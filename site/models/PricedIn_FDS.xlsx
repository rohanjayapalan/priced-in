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<sst xmlns="http://schemas.openxmlformats.org/spreadsheetml/2006/main" count="844" uniqueCount="252">
  <si>
    <t xml:space="preserve">Priced In: FactSet (FDS)</t>
  </si>
  <si>
    <t xml:space="preserve">Reverse DCF, model v1.0. Inputs as of the Oct 13, 2026 close; model locked Oct 14, 2026 (commit 0735af0).</t>
  </si>
  <si>
    <t xml:space="preserve">Data and software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</si>
  <si>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</si>
  <si>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</si>
  <si>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</si>
  <si>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</si>
  <si>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</si>
  <si>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</si>
  <si>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</si>
  <si>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</si>
  <si>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</si>
  <si>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</si>
  <si>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</si>
  <si>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</si>
  <si>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</si>
  <si>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</si>
  <si>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</si>
  <si>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</si>
  <si>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</si>
  <si>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</si>
  <si>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</si>
  <si>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</si>
  <si>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</si>
  <si>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</si>
  <si>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</si>
  <si>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</si>
  <si>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</si>
  <si>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</si>
  <si>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</si>
  <si>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FactSet (FDS):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</si>
  <si>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</si>
  <si>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</si>
  <si>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</si>
  <si>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</si>
  <si>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</si>
  <si>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</si>
  <si>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</si>
  <si>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</si>
  <si>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</si>
  <si>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</si>
  <si>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</si>
  <si>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</si>
  <si>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</si>
  <si>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</si>
  <si>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</si>
  <si>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</si>
  <si>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</si>
  <si>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</si>
  <si>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</si>
  <si>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</si>
  <si>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</si>
  <si>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</si>
  <si>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</si>
  <si>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</si>
  <si>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</si>
  <si>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</si>
  <si>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</si>
  <si>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</si>
  <si>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</si>
  <si>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</si>
  <si>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</si>
  <si>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</si>
  <si>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</si>
  <si>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</si>
  <si>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</si>
  <si>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</si>
  <si>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</si>
  <si>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</si>
  <si>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</si>
  <si>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</si>
  <si>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</si>
  <si>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</si>
  <si>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</si>
  <si>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</si>
  <si>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</si>
  <si>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</si>
  <si>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</si>
  <si>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</si>
  <si>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</si>
  <si>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</si>
  <si>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FY2023 to FY2026 (August years)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</si>
  <si>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</si>
  <si>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</si>
  <si>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</si>
  <si>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</si>
  <si>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</si>
  <si>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</si>
  <si>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</si>
  <si>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</si>
  <si>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</si>
  <si>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</si>
  <si>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</si>
  <si>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</si>
  <si>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FactSet (FDS):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</si>
  <si>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</si>
  <si>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</si>
  <si>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</si>
  <si>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</si>
  <si>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</si>
  <si>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</si>
  <si>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</si>
  <si>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TTM (= FY2026)</t>
  </si>
  <si>
    <t xml:space="preserve">Revenue ($mm)</t>
  </si>
  <si>
    <t xml:space="preserve">Growth on the prior year</t>
  </si>
  <si>
    <t xml:space="preserve">Source note: FDS fiscal years end Aug; columns shifted: fy2025=FY2026(Aug-26) fy2024=FY2025 fy2023=FY2024 fy2022=FY2023 fy2021=FY2022</t>
  </si>
  <si>
    <t xml:space="preserve">History window</t>
  </si>
  <si>
    <t xml:space="preserve">Start year</t>
  </si>
  <si>
    <t xml:space="preserve">Years from start to TTM</t>
  </si>
  <si>
    <t xml:space="preserve">Revenue CAGR, start to TTM</t>
  </si>
  <si>
    <t xml:space="preserve">FY2023 to FY2026 (August years). Starts after the CUSIP Global Services purchase so the window is organic.</t>
  </si>
  <si>
    <t xml:space="preserve">Free-cash-flow margin history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</si>
  <si>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</si>
  <si>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</si>
  <si>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</si>
  <si>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</si>
  <si>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</si>
  <si>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(CFO - capex) / revenue</t>
  </si>
  <si>
    <t xml:space="preserve">SEC XBRL filings (NetCashProvidedByOperatingActivities, PaymentsToAcquirePropertyPlantAndEquipment, revenue tags).</t>
  </si>
  <si>
    <t xml:space="preserve">Plus today's interest add-back</t>
  </si>
  <si>
    <t xml:space="preserve">Range (the margin slider's shaded zone)</t>
  </si>
  <si>
    <t xml:space="preserve">FactSet (FDS):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</si>
  <si>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</si>
  <si>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</si>
  <si>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</si>
  <si>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</si>
  <si>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</si>
  <si>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</si>
  <si>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FactSet (FDS)</t>
  </si>
  <si>
    <t xml:space="preserve">Raw betas: 60 monthly returns to Sep 2026 against the S&amp;P 500 (S&amp;P/TSX for TMX); Cboe uses Stock Analysis's 5-year beta. Debt and equity from Stock Analysis, Oct 13, 2026.</t>
  </si>
  <si>
    <t xml:space="preserve">Thomson Reuters (TRI)</t>
  </si>
  <si>
    <t xml:space="preserve">Broadridge (BR)</t>
  </si>
  <si>
    <t xml:space="preserve">SS&amp;C Technologies (SSNC)</t>
  </si>
  <si>
    <t xml:space="preserve">Verisk (VRSK)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</si>
  <si>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</si>
  <si>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</si>
  <si>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</si>
  <si>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</si>
  <si>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</si>
  <si>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</si>
  <si>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</si>
  <si>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</si>
  <si>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</si>
  <si>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</si>
  <si>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</si>
  <si>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</si>
  <si>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</si>
  <si>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</si>
  <si>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</si>
  <si>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</si>
  <si>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</si>
  <si>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</si>
  <si>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</si>
  <si>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</si>
  <si>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</si>
  <si>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</si>
  <si>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</si>
  <si>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</si>
  <si>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</si>
  <si>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</si>
  <si>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</si>
  <si>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</si>
  <si>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</si>
  <si>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</si>
  <si>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</si>
  <si>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</si>
  <si>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</si>
  <si>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</si>
  <si>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</si>
  <si>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</si>
  <si>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</si>
  <si>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</si>
  <si>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</si>
  <si>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</si>
  <si>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</si>
  <si>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</si>
  <si>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</si>
  <si>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</si>
  <si>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</si>
  <si>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</si>
  <si>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</si>
  <si>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</si>
  <si>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</si>
  <si>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</si>
  <si>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</si>
  <si>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</si>
  <si>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</si>
  <si>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</si>
  <si>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</si>
  <si>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</si>
  <si>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</si>
  <si>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</si>
  <si>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</si>
  <si>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</si>
  <si>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</si>
  <si>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</si>
  <si>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</si>
  <si>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</si>
  <si>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</si>
  <si>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</si>
  <si>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</si>
  <si>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</si>
  <si>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</si>
  <si>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</si>
  <si>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</si>
  <si>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</si>
  <si>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</si>
  <si>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</si>
  <si>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</si>
  <si>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</si>
  <si>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FactSet (FDS):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</si>
  <si>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</si>
  <si>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</si>
  <si>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</si>
  <si>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</si>
  <si>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</si>
  <si>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</si>
  <si>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</si>
  <si>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</si>
  <si>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</si>
  <si>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</si>
  <si>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</si>
  <si>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</si>
  <si>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</si>
  <si>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</si>
  <si>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</si>
  <si>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</si>
  <si>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</si>
  <si>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FactSet (FDS):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</si>
  <si>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</si>
  <si>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</si>
  <si>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</si>
  <si>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</si>
  <si>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</si>
  <si>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</si>
  <si>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</si>
  <si>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$289.29.</t>
  </si>
  <si>
    <t xml:space="preserve">Helper: revenue paths for each growth view (years 1 to 10)</t>
  </si>
  <si>
    <t xml:space="preserve">FactSet (FDS):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</si>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</sst>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"/>
    <numFmt numFmtId="172" formatCode="0.00;\(0.00\);\-"/>
    <numFmt numFmtId="173" formatCode="0.0\x"/>
    <numFmt numFmtId="174" formatCode="0.0000%"/>
    <numFmt numFmtId="175" formatCode="#,##0.0000;\(#,##0.0000\);\-"/>
    <numFmt numFmtId="176" formatCode="0.0000"/>
    <numFmt numFmtId="177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289.288726454878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-0.00925686573054918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0.0579477807830288</v>
      </c>
    </row>
    <row r="13" customFormat="false" ht="15" hidden="false" customHeight="false" outlineLevel="0" collapsed="false">
      <c r="B13" s="7" t="s">
        <v>9</v>
      </c>
      <c r="C13" s="10" t="n">
        <f aca="false">C11-C12</f>
        <v>-0.067204646513578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Expectations too low</v>
      </c>
    </row>
    <row r="15" customFormat="false" ht="15" hidden="false" customHeight="false" outlineLevel="0" collapsed="false">
      <c r="B15" s="5" t="s">
        <v>11</v>
      </c>
      <c r="C15" s="12" t="n">
        <f aca="false">WACC!$C$35</f>
        <v>0.0814218415038925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0.300467741935484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0.0579477807830287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445.997392874283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0.541703329887098</v>
      </c>
    </row>
    <row r="23" customFormat="false" ht="30" hidden="false" customHeight="true" outlineLevel="0" collapsed="false">
      <c r="B23" s="13"/>
      <c r="C23" s="13"/>
      <c r="D23" s="13"/>
      <c r="E23" s="13"/>
    </row>
    <row r="25" customFormat="false" ht="15" hidden="false" customHeight="false" outlineLevel="0" collapsed="false">
      <c r="B25" s="3" t="s">
        <v>17</v>
      </c>
    </row>
    <row r="26" customFormat="false" ht="15" hidden="false" customHeight="false" outlineLevel="0" collapsed="false">
      <c r="B26" s="5" t="s">
        <v>18</v>
      </c>
    </row>
    <row r="27" customFormat="false" ht="15" hidden="false" customHeight="false" outlineLevel="0" collapsed="false">
      <c r="B27" s="5" t="s">
        <v>19</v>
      </c>
    </row>
    <row r="28" customFormat="false" ht="15" hidden="false" customHeight="false" outlineLevel="0" collapsed="false">
      <c r="B28" s="5" t="s">
        <v>20</v>
      </c>
    </row>
    <row r="29" customFormat="false" ht="15" hidden="false" customHeight="false" outlineLevel="0" collapsed="false">
      <c r="B29" s="5" t="s">
        <v>21</v>
      </c>
    </row>
    <row r="31" customFormat="false" ht="15" hidden="false" customHeight="false" outlineLevel="0" collapsed="false">
      <c r="B31" s="3" t="s">
        <v>22</v>
      </c>
    </row>
    <row r="32" customFormat="false" ht="15" hidden="false" customHeight="false" outlineLevel="0" collapsed="false">
      <c r="B32" s="5" t="s">
        <v>23</v>
      </c>
      <c r="C32" s="14" t="n">
        <v>1234</v>
      </c>
    </row>
    <row r="33" customFormat="false" ht="15" hidden="false" customHeight="false" outlineLevel="0" collapsed="false">
      <c r="B33" s="5" t="s">
        <v>24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25</v>
      </c>
      <c r="C34" s="16" t="n">
        <f aca="false">Inputs!$C$12</f>
        <v>2480</v>
      </c>
    </row>
    <row r="35" customFormat="false" ht="15" hidden="false" customHeight="false" outlineLevel="0" collapsed="false">
      <c r="B35" s="5" t="s">
        <v>26</v>
      </c>
      <c r="C35" s="17" t="n">
        <f aca="false">Inputs!$C$45</f>
        <v>0.0579477807830287</v>
      </c>
    </row>
    <row r="37" customFormat="false" ht="15" hidden="false" customHeight="false" outlineLevel="0" collapsed="false">
      <c r="B37" s="3" t="s">
        <v>27</v>
      </c>
    </row>
    <row r="38" customFormat="false" ht="15" hidden="false" customHeight="false" outlineLevel="0" collapsed="false">
      <c r="B38" s="18" t="s">
        <v>28</v>
      </c>
    </row>
    <row r="40" customFormat="false" ht="15" hidden="false" customHeight="false" outlineLevel="0" collapsed="false">
      <c r="B40" s="19" t="s">
        <v>29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30</v>
      </c>
    </row>
    <row r="3" customFormat="false" ht="15" hidden="false" customHeight="false" outlineLevel="0" collapsed="false">
      <c r="B3" s="2" t="s">
        <v>31</v>
      </c>
    </row>
    <row r="5" customFormat="false" ht="15" hidden="false" customHeight="false" outlineLevel="0" collapsed="false">
      <c r="B5" s="3" t="s">
        <v>32</v>
      </c>
    </row>
    <row r="6" customFormat="false" ht="15" hidden="false" customHeight="false" outlineLevel="0" collapsed="false">
      <c r="B6" s="5" t="s">
        <v>33</v>
      </c>
      <c r="C6" s="20" t="n">
        <v>289.288726454878</v>
      </c>
      <c r="E6" s="19" t="s">
        <v>34</v>
      </c>
    </row>
    <row r="7" customFormat="false" ht="15" hidden="false" customHeight="false" outlineLevel="0" collapsed="false">
      <c r="B7" s="5" t="s">
        <v>35</v>
      </c>
      <c r="C7" s="21" t="n">
        <v>35.57</v>
      </c>
      <c r="E7" s="19" t="s">
        <v>36</v>
      </c>
    </row>
    <row r="8" customFormat="false" ht="15" hidden="false" customHeight="false" outlineLevel="0" collapsed="false">
      <c r="B8" s="5" t="s">
        <v>37</v>
      </c>
      <c r="C8" s="15" t="n">
        <f aca="false">C6*C7</f>
        <v>10290</v>
      </c>
      <c r="E8" s="19" t="s">
        <v>38</v>
      </c>
    </row>
    <row r="10" customFormat="false" ht="15" hidden="false" customHeight="false" outlineLevel="0" collapsed="false">
      <c r="B10" s="3" t="s">
        <v>39</v>
      </c>
    </row>
    <row r="11" customFormat="false" ht="15" hidden="false" customHeight="false" outlineLevel="0" collapsed="false">
      <c r="B11" s="5" t="s">
        <v>40</v>
      </c>
      <c r="C11" s="14" t="n">
        <v>2480</v>
      </c>
      <c r="E11" s="19" t="s">
        <v>41</v>
      </c>
    </row>
    <row r="12" customFormat="false" ht="15" hidden="false" customHeight="false" outlineLevel="0" collapsed="false">
      <c r="B12" s="5" t="s">
        <v>42</v>
      </c>
      <c r="C12" s="15" t="n">
        <f aca="false">C11</f>
        <v>2480</v>
      </c>
      <c r="E12" s="19" t="s">
        <v>43</v>
      </c>
    </row>
    <row r="13" customFormat="false" ht="15" hidden="false" customHeight="false" outlineLevel="0" collapsed="false">
      <c r="B13" s="5" t="s">
        <v>44</v>
      </c>
      <c r="C13" s="14" t="n">
        <v>707.48</v>
      </c>
      <c r="E13" s="19" t="s">
        <v>45</v>
      </c>
    </row>
    <row r="14" customFormat="false" ht="15" hidden="false" customHeight="false" outlineLevel="0" collapsed="false">
      <c r="B14" s="5" t="s">
        <v>46</v>
      </c>
      <c r="C14" s="15" t="n">
        <f aca="false">C13</f>
        <v>707.48</v>
      </c>
      <c r="E14" s="19" t="s">
        <v>43</v>
      </c>
    </row>
    <row r="15" customFormat="false" ht="15" hidden="false" customHeight="false" outlineLevel="0" collapsed="false">
      <c r="B15" s="5" t="s">
        <v>47</v>
      </c>
      <c r="C15" s="14" t="n">
        <v>0</v>
      </c>
      <c r="E15" s="19" t="s">
        <v>48</v>
      </c>
    </row>
    <row r="16" customFormat="false" ht="15" hidden="false" customHeight="false" outlineLevel="0" collapsed="false">
      <c r="B16" s="5" t="s">
        <v>49</v>
      </c>
      <c r="C16" s="15" t="n">
        <f aca="false">C14-C15</f>
        <v>707.48</v>
      </c>
    </row>
    <row r="17" customFormat="false" ht="15" hidden="false" customHeight="false" outlineLevel="0" collapsed="false">
      <c r="B17" s="5" t="s">
        <v>50</v>
      </c>
      <c r="C17" s="14" t="n">
        <v>699.96</v>
      </c>
      <c r="E17" s="19" t="s">
        <v>51</v>
      </c>
    </row>
    <row r="18" customFormat="false" ht="15" hidden="false" customHeight="false" outlineLevel="0" collapsed="false">
      <c r="B18" s="5" t="s">
        <v>52</v>
      </c>
      <c r="C18" s="14" t="n">
        <v>649.72</v>
      </c>
      <c r="E18" s="19" t="s">
        <v>51</v>
      </c>
    </row>
    <row r="19" customFormat="false" ht="15" hidden="false" customHeight="false" outlineLevel="0" collapsed="false">
      <c r="B19" s="5" t="s">
        <v>53</v>
      </c>
      <c r="C19" s="15" t="n">
        <f aca="false">MAX(0,C17-C18)</f>
        <v>50.24</v>
      </c>
      <c r="E19" s="19" t="s">
        <v>54</v>
      </c>
    </row>
    <row r="20" customFormat="false" ht="15" hidden="false" customHeight="false" outlineLevel="0" collapsed="false">
      <c r="B20" s="5" t="s">
        <v>55</v>
      </c>
      <c r="C20" s="22" t="n">
        <v>0.25</v>
      </c>
      <c r="E20" s="19" t="s">
        <v>56</v>
      </c>
    </row>
    <row r="21" customFormat="false" ht="15" hidden="false" customHeight="false" outlineLevel="0" collapsed="false">
      <c r="B21" s="5" t="s">
        <v>57</v>
      </c>
      <c r="C21" s="15" t="n">
        <f aca="false">C19*(1-C20)</f>
        <v>37.68</v>
      </c>
    </row>
    <row r="22" customFormat="false" ht="15" hidden="false" customHeight="false" outlineLevel="0" collapsed="false">
      <c r="B22" s="5" t="s">
        <v>58</v>
      </c>
      <c r="C22" s="15" t="n">
        <f aca="false">C16+C21</f>
        <v>745.16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0.300467741935484</v>
      </c>
      <c r="E23" s="19" t="s">
        <v>59</v>
      </c>
    </row>
    <row r="24" customFormat="false" ht="15" hidden="false" customHeight="false" outlineLevel="0" collapsed="false">
      <c r="B24" s="5" t="s">
        <v>60</v>
      </c>
      <c r="C24" s="14" t="n">
        <v>880.79</v>
      </c>
      <c r="E24" s="19" t="s">
        <v>51</v>
      </c>
    </row>
    <row r="26" customFormat="false" ht="15" hidden="false" customHeight="false" outlineLevel="0" collapsed="false">
      <c r="B26" s="3" t="s">
        <v>61</v>
      </c>
    </row>
    <row r="27" customFormat="false" ht="15" hidden="false" customHeight="false" outlineLevel="0" collapsed="false">
      <c r="B27" s="5" t="s">
        <v>62</v>
      </c>
      <c r="C27" s="14" t="n">
        <v>1540</v>
      </c>
      <c r="E27" s="19" t="s">
        <v>63</v>
      </c>
    </row>
    <row r="28" customFormat="false" ht="15" hidden="false" customHeight="false" outlineLevel="0" collapsed="false">
      <c r="B28" s="5" t="s">
        <v>64</v>
      </c>
      <c r="C28" s="14" t="n">
        <v>265.33</v>
      </c>
      <c r="E28" s="19" t="s">
        <v>63</v>
      </c>
    </row>
    <row r="29" customFormat="false" ht="15" hidden="false" customHeight="false" outlineLevel="0" collapsed="false">
      <c r="B29" s="5" t="s">
        <v>65</v>
      </c>
      <c r="C29" s="15" t="n">
        <f aca="false">C27-C28</f>
        <v>1274.67</v>
      </c>
    </row>
    <row r="31" customFormat="false" ht="15" hidden="false" customHeight="false" outlineLevel="0" collapsed="false">
      <c r="B31" s="3" t="s">
        <v>66</v>
      </c>
    </row>
    <row r="32" customFormat="false" ht="15" hidden="false" customHeight="false" outlineLevel="0" collapsed="false">
      <c r="B32" s="5" t="s">
        <v>67</v>
      </c>
      <c r="C32" s="24" t="n">
        <v>0.0521</v>
      </c>
      <c r="E32" s="19" t="s">
        <v>68</v>
      </c>
    </row>
    <row r="33" customFormat="false" ht="15" hidden="false" customHeight="false" outlineLevel="0" collapsed="false">
      <c r="B33" s="5" t="s">
        <v>69</v>
      </c>
      <c r="C33" s="24" t="n">
        <v>0.0288</v>
      </c>
      <c r="E33" s="19" t="s">
        <v>70</v>
      </c>
    </row>
    <row r="34" customFormat="false" ht="15" hidden="false" customHeight="false" outlineLevel="0" collapsed="false">
      <c r="B34" s="5" t="s">
        <v>71</v>
      </c>
      <c r="C34" s="25" t="n">
        <f aca="false">C32-C33</f>
        <v>0.0233</v>
      </c>
      <c r="E34" s="19" t="s">
        <v>72</v>
      </c>
    </row>
    <row r="35" customFormat="false" ht="15" hidden="false" customHeight="false" outlineLevel="0" collapsed="false">
      <c r="B35" s="5" t="s">
        <v>73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74</v>
      </c>
      <c r="C36" s="24" t="n">
        <v>0.005</v>
      </c>
      <c r="E36" s="19" t="s">
        <v>75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76</v>
      </c>
    </row>
    <row r="38" customFormat="false" ht="15" hidden="false" customHeight="false" outlineLevel="0" collapsed="false">
      <c r="B38" s="5" t="s">
        <v>77</v>
      </c>
      <c r="C38" s="24" t="n">
        <v>0.0423</v>
      </c>
      <c r="E38" s="19" t="s">
        <v>78</v>
      </c>
    </row>
    <row r="40" customFormat="false" ht="15" hidden="false" customHeight="false" outlineLevel="0" collapsed="false">
      <c r="B40" s="3" t="s">
        <v>79</v>
      </c>
    </row>
    <row r="41" customFormat="false" ht="15" hidden="false" customHeight="false" outlineLevel="0" collapsed="false">
      <c r="B41" s="5" t="s">
        <v>80</v>
      </c>
      <c r="C41" s="9" t="n">
        <f aca="false">History!$C$12</f>
        <v>0.0587955615660576</v>
      </c>
      <c r="E41" s="19" t="s">
        <v>81</v>
      </c>
    </row>
    <row r="42" customFormat="false" ht="15" hidden="false" customHeight="false" outlineLevel="0" collapsed="false">
      <c r="B42" s="5" t="s">
        <v>82</v>
      </c>
      <c r="C42" s="22" t="n">
        <v>0.0571</v>
      </c>
      <c r="E42" s="19" t="s">
        <v>83</v>
      </c>
    </row>
    <row r="43" customFormat="false" ht="15" hidden="false" customHeight="false" outlineLevel="0" collapsed="false">
      <c r="B43" s="5" t="s">
        <v>84</v>
      </c>
      <c r="C43" s="23" t="n">
        <f aca="false">AVERAGE(C41:C42)</f>
        <v>0.0579477807830288</v>
      </c>
      <c r="E43" s="19" t="s">
        <v>85</v>
      </c>
    </row>
    <row r="44" customFormat="false" ht="15" hidden="false" customHeight="false" outlineLevel="0" collapsed="false">
      <c r="B44" s="5" t="s">
        <v>86</v>
      </c>
      <c r="C44" s="22" t="n">
        <v>0.03</v>
      </c>
      <c r="E44" s="19" t="s">
        <v>87</v>
      </c>
    </row>
    <row r="45" customFormat="false" ht="15" hidden="false" customHeight="false" outlineLevel="0" collapsed="false">
      <c r="B45" s="5" t="s">
        <v>88</v>
      </c>
      <c r="C45" s="26" t="n">
        <v>0.0579477807830287</v>
      </c>
      <c r="E45" s="19" t="s">
        <v>89</v>
      </c>
    </row>
    <row r="46" customFormat="false" ht="15" hidden="false" customHeight="false" outlineLevel="0" collapsed="false">
      <c r="B46" s="5" t="s">
        <v>90</v>
      </c>
      <c r="C46" s="27" t="n">
        <v>5</v>
      </c>
      <c r="E46" s="19" t="s">
        <v>91</v>
      </c>
    </row>
    <row r="47" customFormat="false" ht="15" hidden="false" customHeight="false" outlineLevel="0" collapsed="false">
      <c r="B47" s="5" t="s">
        <v>92</v>
      </c>
      <c r="C47" s="27" t="n">
        <v>5</v>
      </c>
      <c r="E47" s="1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94</v>
      </c>
    </row>
    <row r="3" customFormat="false" ht="15" hidden="false" customHeight="false" outlineLevel="0" collapsed="false">
      <c r="B3" s="2" t="s">
        <v>95</v>
      </c>
    </row>
    <row r="5" customFormat="false" ht="15" hidden="false" customHeight="false" outlineLevel="0" collapsed="false">
      <c r="B5" s="28" t="s">
        <v>96</v>
      </c>
      <c r="C5" s="28" t="s">
        <v>97</v>
      </c>
      <c r="D5" s="28" t="s">
        <v>98</v>
      </c>
      <c r="E5" s="28" t="s">
        <v>99</v>
      </c>
      <c r="F5" s="28" t="s">
        <v>100</v>
      </c>
      <c r="G5" s="28" t="s">
        <v>101</v>
      </c>
      <c r="H5" s="28" t="s">
        <v>102</v>
      </c>
    </row>
    <row r="6" customFormat="false" ht="15" hidden="false" customHeight="false" outlineLevel="0" collapsed="false">
      <c r="B6" s="5" t="s">
        <v>103</v>
      </c>
      <c r="C6" s="14" t="n">
        <v>1844</v>
      </c>
      <c r="D6" s="14" t="n">
        <v>2086</v>
      </c>
      <c r="E6" s="14" t="n">
        <v>2203</v>
      </c>
      <c r="F6" s="14" t="n">
        <v>2322</v>
      </c>
      <c r="G6" s="14" t="n">
        <v>2476</v>
      </c>
      <c r="H6" s="14" t="n">
        <v>2476</v>
      </c>
    </row>
    <row r="7" customFormat="false" ht="15" hidden="false" customHeight="false" outlineLevel="0" collapsed="false">
      <c r="B7" s="5" t="s">
        <v>104</v>
      </c>
      <c r="D7" s="23" t="n">
        <f aca="false">D6/C6-1</f>
        <v>0.131236442516269</v>
      </c>
      <c r="E7" s="23" t="n">
        <f aca="false">E6/D6-1</f>
        <v>0.0560882070949185</v>
      </c>
      <c r="F7" s="23" t="n">
        <f aca="false">F6/E6-1</f>
        <v>0.0540172492056288</v>
      </c>
      <c r="G7" s="23" t="n">
        <f aca="false">G6/F6-1</f>
        <v>0.066322136089578</v>
      </c>
    </row>
    <row r="8" customFormat="false" ht="15" hidden="false" customHeight="false" outlineLevel="0" collapsed="false">
      <c r="B8" s="19" t="s">
        <v>105</v>
      </c>
    </row>
    <row r="10" customFormat="false" ht="15" hidden="false" customHeight="false" outlineLevel="0" collapsed="false">
      <c r="B10" s="3" t="s">
        <v>106</v>
      </c>
    </row>
    <row r="11" customFormat="false" ht="15" hidden="false" customHeight="false" outlineLevel="0" collapsed="false">
      <c r="B11" s="5" t="s">
        <v>107</v>
      </c>
      <c r="C11" s="29" t="s">
        <v>98</v>
      </c>
      <c r="E11" s="5" t="s">
        <v>108</v>
      </c>
      <c r="G11" s="30" t="n">
        <v>3</v>
      </c>
    </row>
    <row r="12" customFormat="false" ht="15" hidden="false" customHeight="false" outlineLevel="0" collapsed="false">
      <c r="B12" s="5" t="s">
        <v>109</v>
      </c>
      <c r="C12" s="23" t="n">
        <f aca="false">(H6/INDEX(C6:H6,MATCH(C11,C5:H5,0)))^(1/G11)-1</f>
        <v>0.0587955615660576</v>
      </c>
      <c r="I12" s="19" t="s">
        <v>110</v>
      </c>
    </row>
    <row r="15" customFormat="false" ht="15" hidden="false" customHeight="false" outlineLevel="0" collapsed="false">
      <c r="B15" s="3" t="s">
        <v>111</v>
      </c>
    </row>
    <row r="16" customFormat="false" ht="15" hidden="false" customHeight="false" outlineLevel="0" collapsed="false">
      <c r="B16" s="28" t="s">
        <v>96</v>
      </c>
      <c r="C16" s="28" t="s">
        <v>112</v>
      </c>
      <c r="D16" s="28" t="s">
        <v>113</v>
      </c>
      <c r="E16" s="28" t="s">
        <v>114</v>
      </c>
      <c r="F16" s="28" t="s">
        <v>115</v>
      </c>
      <c r="G16" s="28" t="s">
        <v>116</v>
      </c>
    </row>
    <row r="17" customFormat="false" ht="15" hidden="false" customHeight="false" outlineLevel="0" collapsed="false">
      <c r="B17" s="5" t="s">
        <v>117</v>
      </c>
      <c r="C17" s="22" t="n">
        <v>0.3103</v>
      </c>
      <c r="D17" s="22" t="n">
        <v>0.2534</v>
      </c>
      <c r="E17" s="22" t="n">
        <v>0.2804</v>
      </c>
      <c r="F17" s="22" t="n">
        <v>0.2887</v>
      </c>
      <c r="G17" s="22" t="n">
        <v>0.2837</v>
      </c>
      <c r="I17" s="19" t="s">
        <v>118</v>
      </c>
    </row>
    <row r="18" customFormat="false" ht="15" hidden="false" customHeight="false" outlineLevel="0" collapsed="false">
      <c r="B18" s="5" t="s">
        <v>119</v>
      </c>
      <c r="C18" s="23" t="n">
        <f aca="false">C17+(Inputs!$C$23-Inputs!$C$16/Inputs!$C$12)</f>
        <v>0.325493548387097</v>
      </c>
      <c r="D18" s="23" t="n">
        <f aca="false">D17+(Inputs!$C$23-Inputs!$C$16/Inputs!$C$12)</f>
        <v>0.268593548387097</v>
      </c>
      <c r="E18" s="23" t="n">
        <f aca="false">E17+(Inputs!$C$23-Inputs!$C$16/Inputs!$C$12)</f>
        <v>0.295593548387097</v>
      </c>
      <c r="F18" s="23" t="n">
        <f aca="false">F17+(Inputs!$C$23-Inputs!$C$16/Inputs!$C$12)</f>
        <v>0.303893548387097</v>
      </c>
      <c r="G18" s="23" t="n">
        <f aca="false">G17+(Inputs!$C$23-Inputs!$C$16/Inputs!$C$12)</f>
        <v>0.298893548387097</v>
      </c>
    </row>
    <row r="19" customFormat="false" ht="15" hidden="false" customHeight="false" outlineLevel="0" collapsed="false">
      <c r="B19" s="5" t="s">
        <v>120</v>
      </c>
      <c r="C19" s="23" t="n">
        <f aca="false">MIN(C18:G18)</f>
        <v>0.268593548387097</v>
      </c>
      <c r="D19" s="23" t="n">
        <f aca="false">MAX(C18:G18)</f>
        <v>0.325493548387097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121</v>
      </c>
    </row>
    <row r="3" customFormat="false" ht="15" hidden="false" customHeight="false" outlineLevel="0" collapsed="false">
      <c r="B3" s="2" t="s">
        <v>122</v>
      </c>
    </row>
    <row r="5" customFormat="false" ht="15" hidden="false" customHeight="false" outlineLevel="0" collapsed="false">
      <c r="B5" s="28" t="s">
        <v>123</v>
      </c>
      <c r="C5" s="28" t="s">
        <v>124</v>
      </c>
      <c r="D5" s="28" t="s">
        <v>125</v>
      </c>
      <c r="E5" s="28" t="s">
        <v>126</v>
      </c>
      <c r="F5" s="28" t="s">
        <v>55</v>
      </c>
      <c r="G5" s="28" t="s">
        <v>127</v>
      </c>
    </row>
    <row r="6" customFormat="false" ht="15" hidden="false" customHeight="false" outlineLevel="0" collapsed="false">
      <c r="B6" s="7" t="s">
        <v>128</v>
      </c>
      <c r="C6" s="31" t="n">
        <v>0.769330232518927</v>
      </c>
      <c r="D6" s="14" t="n">
        <v>1540</v>
      </c>
      <c r="E6" s="14" t="n">
        <v>10290</v>
      </c>
      <c r="F6" s="22" t="n">
        <v>0.25</v>
      </c>
      <c r="G6" s="32" t="n">
        <f aca="false">C6/(1+(1-F6)*D6/E6)</f>
        <v>0.691691401714264</v>
      </c>
      <c r="H6" s="19" t="s">
        <v>129</v>
      </c>
    </row>
    <row r="7" customFormat="false" ht="15" hidden="false" customHeight="false" outlineLevel="0" collapsed="false">
      <c r="B7" s="5" t="s">
        <v>130</v>
      </c>
      <c r="C7" s="31" t="n">
        <v>0.766558343640791</v>
      </c>
      <c r="D7" s="14" t="n">
        <v>3210</v>
      </c>
      <c r="E7" s="14" t="n">
        <v>45600</v>
      </c>
      <c r="F7" s="22" t="n">
        <v>0.25</v>
      </c>
      <c r="G7" s="32" t="n">
        <f aca="false">C7/(1+(1-F7)*D7/E7)</f>
        <v>0.728116658230903</v>
      </c>
    </row>
    <row r="8" customFormat="false" ht="15" hidden="false" customHeight="false" outlineLevel="0" collapsed="false">
      <c r="B8" s="5" t="s">
        <v>131</v>
      </c>
      <c r="C8" s="31" t="n">
        <v>0.923134711556654</v>
      </c>
      <c r="D8" s="14" t="n">
        <v>3520</v>
      </c>
      <c r="E8" s="14" t="n">
        <v>19020</v>
      </c>
      <c r="F8" s="22" t="n">
        <v>0.25</v>
      </c>
      <c r="G8" s="32" t="n">
        <f aca="false">C8/(1+(1-F8)*D8/E8)</f>
        <v>0.810619677461106</v>
      </c>
    </row>
    <row r="9" customFormat="false" ht="15" hidden="false" customHeight="false" outlineLevel="0" collapsed="false">
      <c r="B9" s="5" t="s">
        <v>132</v>
      </c>
      <c r="C9" s="31" t="n">
        <v>1.08729648487927</v>
      </c>
      <c r="D9" s="14" t="n">
        <v>7780</v>
      </c>
      <c r="E9" s="14" t="n">
        <v>19010</v>
      </c>
      <c r="F9" s="22" t="n">
        <v>0.25</v>
      </c>
      <c r="G9" s="32" t="n">
        <f aca="false">C9/(1+(1-F9)*D9/E9)</f>
        <v>0.83193826434111</v>
      </c>
    </row>
    <row r="10" customFormat="false" ht="15" hidden="false" customHeight="false" outlineLevel="0" collapsed="false">
      <c r="B10" s="5" t="s">
        <v>133</v>
      </c>
      <c r="C10" s="31" t="n">
        <v>0.687897840873463</v>
      </c>
      <c r="D10" s="14" t="n">
        <v>4620</v>
      </c>
      <c r="E10" s="14" t="n">
        <v>22990</v>
      </c>
      <c r="F10" s="22" t="n">
        <v>0.25</v>
      </c>
      <c r="G10" s="32" t="n">
        <f aca="false">C10/(1+(1-F10)*D10/E10)</f>
        <v>0.597798955270493</v>
      </c>
    </row>
    <row r="12" customFormat="false" ht="15" hidden="false" customHeight="false" outlineLevel="0" collapsed="false">
      <c r="B12" s="5" t="s">
        <v>134</v>
      </c>
      <c r="C12" s="32" t="n">
        <f aca="false">MEDIAN(G6:G10)</f>
        <v>0.728116658230903</v>
      </c>
    </row>
    <row r="13" customFormat="false" ht="15" hidden="false" customHeight="false" outlineLevel="0" collapsed="false">
      <c r="B13" s="5" t="s">
        <v>125</v>
      </c>
      <c r="C13" s="16" t="n">
        <f aca="false">Inputs!$C$27</f>
        <v>1540</v>
      </c>
    </row>
    <row r="14" customFormat="false" ht="15" hidden="false" customHeight="false" outlineLevel="0" collapsed="false">
      <c r="B14" s="5" t="s">
        <v>37</v>
      </c>
      <c r="C14" s="16" t="n">
        <f aca="false">Inputs!$C$8</f>
        <v>10290</v>
      </c>
    </row>
    <row r="15" customFormat="false" ht="15" hidden="false" customHeight="false" outlineLevel="0" collapsed="false">
      <c r="B15" s="5" t="s">
        <v>55</v>
      </c>
      <c r="C15" s="9" t="n">
        <f aca="false">Inputs!$C$20</f>
        <v>0.25</v>
      </c>
    </row>
    <row r="16" customFormat="false" ht="15" hidden="false" customHeight="false" outlineLevel="0" collapsed="false">
      <c r="B16" s="5" t="s">
        <v>135</v>
      </c>
      <c r="C16" s="32" t="n">
        <f aca="false">WACC!$C$12*(1+(1-WACC!$C$15)*WACC!$C$13/WACC!$C$14)</f>
        <v>0.809844038236413</v>
      </c>
      <c r="H16" s="19" t="s">
        <v>136</v>
      </c>
    </row>
    <row r="17" customFormat="false" ht="15" hidden="false" customHeight="false" outlineLevel="0" collapsed="false">
      <c r="B17" s="5" t="s">
        <v>137</v>
      </c>
      <c r="C17" s="12" t="n">
        <f aca="false">Inputs!$C$35</f>
        <v>0.0521</v>
      </c>
    </row>
    <row r="18" customFormat="false" ht="15" hidden="false" customHeight="false" outlineLevel="0" collapsed="false">
      <c r="B18" s="5" t="s">
        <v>77</v>
      </c>
      <c r="C18" s="12" t="n">
        <f aca="false">Inputs!$C$38</f>
        <v>0.0423</v>
      </c>
    </row>
    <row r="19" customFormat="false" ht="15" hidden="false" customHeight="false" outlineLevel="0" collapsed="false">
      <c r="B19" s="5" t="s">
        <v>138</v>
      </c>
      <c r="C19" s="25" t="n">
        <f aca="false">WACC!$C$17+WACC!$C$16*WACC!$C$18</f>
        <v>0.0863564028174002</v>
      </c>
      <c r="H19" s="19" t="s">
        <v>139</v>
      </c>
    </row>
    <row r="21" customFormat="false" ht="15" hidden="false" customHeight="false" outlineLevel="0" collapsed="false">
      <c r="B21" s="3" t="s">
        <v>140</v>
      </c>
    </row>
    <row r="22" customFormat="false" ht="15" hidden="false" customHeight="false" outlineLevel="0" collapsed="false">
      <c r="B22" s="28" t="s">
        <v>141</v>
      </c>
      <c r="C22" s="28" t="s">
        <v>142</v>
      </c>
    </row>
    <row r="23" customFormat="false" ht="15" hidden="false" customHeight="false" outlineLevel="0" collapsed="false">
      <c r="B23" s="33" t="n">
        <v>1</v>
      </c>
      <c r="C23" s="24" t="n">
        <v>0.01</v>
      </c>
      <c r="H23" s="19" t="s">
        <v>143</v>
      </c>
    </row>
    <row r="24" customFormat="false" ht="15" hidden="false" customHeight="false" outlineLevel="0" collapsed="false">
      <c r="B24" s="33" t="n">
        <v>2</v>
      </c>
      <c r="C24" s="24" t="n">
        <v>0.0125</v>
      </c>
    </row>
    <row r="25" customFormat="false" ht="15" hidden="false" customHeight="false" outlineLevel="0" collapsed="false">
      <c r="B25" s="33" t="n">
        <v>3</v>
      </c>
      <c r="C25" s="24" t="n">
        <v>0.016</v>
      </c>
    </row>
    <row r="26" customFormat="false" ht="15" hidden="false" customHeight="false" outlineLevel="0" collapsed="false">
      <c r="B26" s="33" t="n">
        <v>4</v>
      </c>
      <c r="C26" s="24" t="n">
        <v>0.02</v>
      </c>
    </row>
    <row r="27" customFormat="false" ht="15" hidden="false" customHeight="false" outlineLevel="0" collapsed="false">
      <c r="B27" s="33" t="n">
        <v>99</v>
      </c>
      <c r="C27" s="24" t="n">
        <v>0.0275</v>
      </c>
    </row>
    <row r="29" customFormat="false" ht="15" hidden="false" customHeight="false" outlineLevel="0" collapsed="false">
      <c r="B29" s="5" t="s">
        <v>144</v>
      </c>
      <c r="C29" s="34" t="n">
        <f aca="false">Inputs!$C$27/Inputs!$C$24</f>
        <v>1.7484303863577</v>
      </c>
    </row>
    <row r="30" customFormat="false" ht="15" hidden="false" customHeight="false" outlineLevel="0" collapsed="false">
      <c r="B30" s="5" t="s">
        <v>145</v>
      </c>
      <c r="C30" s="25" t="n">
        <f aca="false">INDEX(C23:C27,COUNTIF(B23:B27,"&lt;="&amp;WACC!$C$29)+1)</f>
        <v>0.0125</v>
      </c>
      <c r="H30" s="19" t="s">
        <v>146</v>
      </c>
    </row>
    <row r="31" customFormat="false" ht="15" hidden="false" customHeight="false" outlineLevel="0" collapsed="false">
      <c r="B31" s="5" t="s">
        <v>147</v>
      </c>
      <c r="C31" s="25" t="n">
        <f aca="false">WACC!$C$17+WACC!$C$30</f>
        <v>0.0646</v>
      </c>
    </row>
    <row r="32" customFormat="false" ht="15" hidden="false" customHeight="false" outlineLevel="0" collapsed="false">
      <c r="B32" s="5" t="s">
        <v>148</v>
      </c>
      <c r="C32" s="25" t="n">
        <f aca="false">WACC!$C$31*(1-WACC!$C$15)</f>
        <v>0.04845</v>
      </c>
    </row>
    <row r="33" customFormat="false" ht="15" hidden="false" customHeight="false" outlineLevel="0" collapsed="false">
      <c r="B33" s="5" t="s">
        <v>149</v>
      </c>
      <c r="C33" s="23" t="n">
        <f aca="false">WACC!$C$13/(WACC!$C$13+WACC!$C$14)</f>
        <v>0.130177514792899</v>
      </c>
      <c r="H33" s="19" t="s">
        <v>150</v>
      </c>
    </row>
    <row r="34" customFormat="false" ht="15" hidden="false" customHeight="false" outlineLevel="0" collapsed="false">
      <c r="B34" s="5" t="s">
        <v>151</v>
      </c>
      <c r="C34" s="23" t="n">
        <f aca="false">1-WACC!$C$33</f>
        <v>0.869822485207101</v>
      </c>
    </row>
    <row r="35" customFormat="false" ht="15" hidden="false" customHeight="false" outlineLevel="0" collapsed="false">
      <c r="B35" s="5" t="s">
        <v>11</v>
      </c>
      <c r="C35" s="35" t="n">
        <f aca="false">WACC!$C$34*WACC!$C$19+WACC!$C$33*WACC!$C$32</f>
        <v>0.0814218415038925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152</v>
      </c>
    </row>
    <row r="2" customFormat="false" ht="15" hidden="false" customHeight="false" outlineLevel="0" collapsed="false">
      <c r="B2" s="5" t="s">
        <v>153</v>
      </c>
      <c r="C2" s="16" t="n">
        <f aca="false">Inputs!$C$12</f>
        <v>2480</v>
      </c>
      <c r="D2" s="5" t="s">
        <v>154</v>
      </c>
      <c r="E2" s="9" t="n">
        <f aca="false">Inputs!$C$23</f>
        <v>0.300467741935484</v>
      </c>
      <c r="F2" s="5" t="s">
        <v>155</v>
      </c>
      <c r="G2" s="16" t="n">
        <f aca="false">Inputs!$C$27</f>
        <v>1540</v>
      </c>
      <c r="H2" s="5" t="s">
        <v>156</v>
      </c>
      <c r="I2" s="16" t="n">
        <f aca="false">Inputs!$C$28</f>
        <v>265.33</v>
      </c>
      <c r="J2" s="5" t="s">
        <v>157</v>
      </c>
      <c r="K2" s="36" t="n">
        <f aca="false">Inputs!$C$7</f>
        <v>35.57</v>
      </c>
      <c r="L2" s="5" t="s">
        <v>158</v>
      </c>
      <c r="M2" s="6" t="n">
        <f aca="false">Inputs!$C$6</f>
        <v>289.288726454878</v>
      </c>
      <c r="N2" s="5" t="s">
        <v>159</v>
      </c>
      <c r="O2" s="37" t="n">
        <f aca="false">Inputs!$C$46</f>
        <v>5</v>
      </c>
      <c r="P2" s="5" t="s">
        <v>160</v>
      </c>
      <c r="Q2" s="37" t="n">
        <f aca="false">Inputs!$C$47</f>
        <v>5</v>
      </c>
    </row>
    <row r="3" customFormat="false" ht="15" hidden="false" customHeight="false" outlineLevel="0" collapsed="false">
      <c r="D3" s="38" t="s">
        <v>161</v>
      </c>
      <c r="E3" s="39" t="n">
        <v>1</v>
      </c>
      <c r="F3" s="39" t="n">
        <v>2</v>
      </c>
      <c r="G3" s="39" t="n">
        <v>3</v>
      </c>
      <c r="H3" s="39" t="n">
        <v>4</v>
      </c>
      <c r="I3" s="39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39" t="n">
        <v>10</v>
      </c>
    </row>
    <row r="4" customFormat="false" ht="15" hidden="false" customHeight="false" outlineLevel="0" collapsed="false">
      <c r="A4" s="19" t="s">
        <v>162</v>
      </c>
    </row>
    <row r="6" customFormat="false" ht="15" hidden="false" customHeight="false" outlineLevel="0" collapsed="false">
      <c r="A6" s="38" t="s">
        <v>163</v>
      </c>
      <c r="E6" s="5" t="s">
        <v>11</v>
      </c>
      <c r="F6" s="12" t="n">
        <f aca="false">WACC!$C$35</f>
        <v>0.0814218415038925</v>
      </c>
      <c r="G6" s="5" t="s">
        <v>12</v>
      </c>
      <c r="I6" s="12" t="n">
        <f aca="false">Inputs!$C$37</f>
        <v>0.0283</v>
      </c>
      <c r="W6" s="38" t="s">
        <v>164</v>
      </c>
    </row>
    <row r="7" customFormat="false" ht="23.85" hidden="false" customHeight="false" outlineLevel="0" collapsed="false">
      <c r="A7" s="38" t="s">
        <v>165</v>
      </c>
      <c r="B7" s="28" t="s">
        <v>166</v>
      </c>
      <c r="C7" s="28" t="s">
        <v>167</v>
      </c>
      <c r="D7" s="28" t="s">
        <v>168</v>
      </c>
      <c r="E7" s="28" t="s">
        <v>169</v>
      </c>
      <c r="F7" s="28" t="s">
        <v>170</v>
      </c>
      <c r="G7" s="28" t="s">
        <v>171</v>
      </c>
      <c r="H7" s="28" t="s">
        <v>172</v>
      </c>
      <c r="I7" s="28" t="s">
        <v>173</v>
      </c>
      <c r="J7" s="28" t="s">
        <v>174</v>
      </c>
      <c r="K7" s="28" t="s">
        <v>175</v>
      </c>
      <c r="L7" s="28" t="s">
        <v>176</v>
      </c>
      <c r="M7" s="28" t="s">
        <v>177</v>
      </c>
      <c r="N7" s="28" t="s">
        <v>178</v>
      </c>
      <c r="O7" s="28" t="s">
        <v>179</v>
      </c>
      <c r="P7" s="28" t="s">
        <v>180</v>
      </c>
      <c r="Q7" s="28" t="s">
        <v>181</v>
      </c>
      <c r="R7" s="28" t="s">
        <v>182</v>
      </c>
      <c r="S7" s="28" t="s">
        <v>183</v>
      </c>
      <c r="T7" s="28" t="s">
        <v>184</v>
      </c>
      <c r="W7" s="40" t="n">
        <f aca="false">$D$47</f>
        <v>-0.00925686573054918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41" t="n">
        <f aca="false">(B8+C8)/2</f>
        <v>0.25</v>
      </c>
      <c r="E8" s="15" t="n">
        <f aca="false">$C$2*(1+IF(E$3&lt;=$O$2,$D8,$D8-($D8-$I$6)*MIN(E$3-$O$2,$Q$2)/$Q$2))</f>
        <v>3100</v>
      </c>
      <c r="F8" s="15" t="n">
        <f aca="false">E8*(1+IF(F$3&lt;=$O$2,$D8,$D8-($D8-$I$6)*MIN(F$3-$O$2,$Q$2)/$Q$2))</f>
        <v>3875</v>
      </c>
      <c r="G8" s="15" t="n">
        <f aca="false">F8*(1+IF(G$3&lt;=$O$2,$D8,$D8-($D8-$I$6)*MIN(G$3-$O$2,$Q$2)/$Q$2))</f>
        <v>4843.75</v>
      </c>
      <c r="H8" s="15" t="n">
        <f aca="false">G8*(1+IF(H$3&lt;=$O$2,$D8,$D8-($D8-$I$6)*MIN(H$3-$O$2,$Q$2)/$Q$2))</f>
        <v>6054.6875</v>
      </c>
      <c r="I8" s="15" t="n">
        <f aca="false">H8*(1+IF(I$3&lt;=$O$2,$D8,$D8-($D8-$I$6)*MIN(I$3-$O$2,$Q$2)/$Q$2))</f>
        <v>7568.359375</v>
      </c>
      <c r="J8" s="15" t="n">
        <f aca="false">I8*(1+IF(J$3&lt;=$O$2,$D8,$D8-($D8-$I$6)*MIN(J$3-$O$2,$Q$2)/$Q$2))</f>
        <v>9124.8681640625</v>
      </c>
      <c r="K8" s="15" t="n">
        <f aca="false">J8*(1+IF(K$3&lt;=$O$2,$D8,$D8-($D8-$I$6)*MIN(K$3-$O$2,$Q$2)/$Q$2))</f>
        <v>10596.8918962891</v>
      </c>
      <c r="L8" s="15" t="n">
        <f aca="false">K8*(1+IF(L$3&lt;=$O$2,$D8,$D8-($D8-$I$6)*MIN(L$3-$O$2,$Q$2)/$Q$2))</f>
        <v>11836.516310317</v>
      </c>
      <c r="M8" s="15" t="n">
        <f aca="false">L8*(1+IF(M$3&lt;=$O$2,$D8,$D8-($D8-$I$6)*MIN(M$3-$O$2,$Q$2)/$Q$2))</f>
        <v>12696.3208550984</v>
      </c>
      <c r="N8" s="15" t="n">
        <f aca="false">M8*(1+IF(N$3&lt;=$O$2,$D8,$D8-($D8-$I$6)*MIN(N$3-$O$2,$Q$2)/$Q$2))</f>
        <v>13055.6267352977</v>
      </c>
      <c r="O8" s="15" t="n">
        <f aca="false">SUMPRODUCT(E8:N8,1/(1+$F$6)^$E$3:$N$3)*$E$2</f>
        <v>15010.8952517404</v>
      </c>
      <c r="P8" s="15" t="n">
        <f aca="false">N8*$E$2*(1+$I$6)/($F$6-$I$6)/(1+$F$6)^$N$3</f>
        <v>34712.9021738516</v>
      </c>
      <c r="Q8" s="15" t="n">
        <f aca="false">O8+P8</f>
        <v>49723.7974255921</v>
      </c>
      <c r="R8" s="15" t="n">
        <f aca="false">Q8-$G$2+$I$2</f>
        <v>48449.1274255921</v>
      </c>
      <c r="S8" s="42" t="n">
        <f aca="false">R8/$K$2</f>
        <v>1362.0783645092</v>
      </c>
      <c r="T8" s="43" t="n">
        <f aca="false">S8-$M$2</f>
        <v>1072.78963805432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41" t="n">
        <f aca="false">(B9+C9)/2</f>
        <v>-0.125</v>
      </c>
      <c r="E9" s="15" t="n">
        <f aca="false">$C$2*(1+IF(E$3&lt;=$O$2,$D9,$D9-($D9-$I$6)*MIN(E$3-$O$2,$Q$2)/$Q$2))</f>
        <v>2170</v>
      </c>
      <c r="F9" s="15" t="n">
        <f aca="false">E9*(1+IF(F$3&lt;=$O$2,$D9,$D9-($D9-$I$6)*MIN(F$3-$O$2,$Q$2)/$Q$2))</f>
        <v>1898.75</v>
      </c>
      <c r="G9" s="15" t="n">
        <f aca="false">F9*(1+IF(G$3&lt;=$O$2,$D9,$D9-($D9-$I$6)*MIN(G$3-$O$2,$Q$2)/$Q$2))</f>
        <v>1661.40625</v>
      </c>
      <c r="H9" s="15" t="n">
        <f aca="false">G9*(1+IF(H$3&lt;=$O$2,$D9,$D9-($D9-$I$6)*MIN(H$3-$O$2,$Q$2)/$Q$2))</f>
        <v>1453.73046875</v>
      </c>
      <c r="I9" s="15" t="n">
        <f aca="false">H9*(1+IF(I$3&lt;=$O$2,$D9,$D9-($D9-$I$6)*MIN(I$3-$O$2,$Q$2)/$Q$2))</f>
        <v>1272.01416015625</v>
      </c>
      <c r="J9" s="15" t="n">
        <f aca="false">I9*(1+IF(J$3&lt;=$O$2,$D9,$D9-($D9-$I$6)*MIN(J$3-$O$2,$Q$2)/$Q$2))</f>
        <v>1152.01234428711</v>
      </c>
      <c r="K9" s="15" t="n">
        <f aca="false">J9*(1+IF(K$3&lt;=$O$2,$D9,$D9-($D9-$I$6)*MIN(K$3-$O$2,$Q$2)/$Q$2))</f>
        <v>1078.65219820291</v>
      </c>
      <c r="L9" s="15" t="n">
        <f aca="false">K9*(1+IF(L$3&lt;=$O$2,$D9,$D9-($D9-$I$6)*MIN(L$3-$O$2,$Q$2)/$Q$2))</f>
        <v>1043.03510261825</v>
      </c>
      <c r="M9" s="15" t="n">
        <f aca="false">L9*(1+IF(M$3&lt;=$O$2,$D9,$D9-($D9-$I$6)*MIN(M$3-$O$2,$Q$2)/$Q$2))</f>
        <v>1040.57353977607</v>
      </c>
      <c r="N9" s="15" t="n">
        <f aca="false">M9*(1+IF(N$3&lt;=$O$2,$D9,$D9-($D9-$I$6)*MIN(N$3-$O$2,$Q$2)/$Q$2))</f>
        <v>1070.02177095173</v>
      </c>
      <c r="O9" s="15" t="n">
        <f aca="false">SUMPRODUCT(E9:N9,1/(1+$F$6)^$E$3:$N$3)*$E$2</f>
        <v>2936.14426436925</v>
      </c>
      <c r="P9" s="15" t="n">
        <f aca="false">N9*$E$2*(1+$I$6)/($F$6-$I$6)/(1+$F$6)^$N$3</f>
        <v>2845.02320815562</v>
      </c>
      <c r="Q9" s="15" t="n">
        <f aca="false">O9+P9</f>
        <v>5781.16747252487</v>
      </c>
      <c r="R9" s="15" t="n">
        <f aca="false">Q9-$G$2+$I$2</f>
        <v>4506.49747252487</v>
      </c>
      <c r="S9" s="42" t="n">
        <f aca="false">R9/$K$2</f>
        <v>126.693772069859</v>
      </c>
      <c r="T9" s="43" t="n">
        <f aca="false">S9-$M$2</f>
        <v>-162.594954385019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41" t="n">
        <f aca="false">(B10+C10)/2</f>
        <v>0.0625</v>
      </c>
      <c r="E10" s="15" t="n">
        <f aca="false">$C$2*(1+IF(E$3&lt;=$O$2,$D10,$D10-($D10-$I$6)*MIN(E$3-$O$2,$Q$2)/$Q$2))</f>
        <v>2635</v>
      </c>
      <c r="F10" s="15" t="n">
        <f aca="false">E10*(1+IF(F$3&lt;=$O$2,$D10,$D10-($D10-$I$6)*MIN(F$3-$O$2,$Q$2)/$Q$2))</f>
        <v>2799.6875</v>
      </c>
      <c r="G10" s="15" t="n">
        <f aca="false">F10*(1+IF(G$3&lt;=$O$2,$D10,$D10-($D10-$I$6)*MIN(G$3-$O$2,$Q$2)/$Q$2))</f>
        <v>2974.66796875</v>
      </c>
      <c r="H10" s="15" t="n">
        <f aca="false">G10*(1+IF(H$3&lt;=$O$2,$D10,$D10-($D10-$I$6)*MIN(H$3-$O$2,$Q$2)/$Q$2))</f>
        <v>3160.58471679688</v>
      </c>
      <c r="I10" s="15" t="n">
        <f aca="false">H10*(1+IF(I$3&lt;=$O$2,$D10,$D10-($D10-$I$6)*MIN(I$3-$O$2,$Q$2)/$Q$2))</f>
        <v>3358.12126159668</v>
      </c>
      <c r="J10" s="15" t="n">
        <f aca="false">I10*(1+IF(J$3&lt;=$O$2,$D10,$D10-($D10-$I$6)*MIN(J$3-$O$2,$Q$2)/$Q$2))</f>
        <v>3545.03429101715</v>
      </c>
      <c r="K10" s="15" t="n">
        <f aca="false">J10*(1+IF(K$3&lt;=$O$2,$D10,$D10-($D10-$I$6)*MIN(K$3-$O$2,$Q$2)/$Q$2))</f>
        <v>3718.10286510461</v>
      </c>
      <c r="L10" s="15" t="n">
        <f aca="false">K10*(1+IF(L$3&lt;=$O$2,$D10,$D10-($D10-$I$6)*MIN(L$3-$O$2,$Q$2)/$Q$2))</f>
        <v>3874.1888233817</v>
      </c>
      <c r="M10" s="15" t="n">
        <f aca="false">L10*(1+IF(M$3&lt;=$O$2,$D10,$D10-($D10-$I$6)*MIN(M$3-$O$2,$Q$2)/$Q$2))</f>
        <v>4010.32781863533</v>
      </c>
      <c r="N10" s="15" t="n">
        <f aca="false">M10*(1+IF(N$3&lt;=$O$2,$D10,$D10-($D10-$I$6)*MIN(N$3-$O$2,$Q$2)/$Q$2))</f>
        <v>4123.82009590271</v>
      </c>
      <c r="O10" s="15" t="n">
        <f aca="false">SUMPRODUCT(E10:N10,1/(1+$F$6)^$E$3:$N$3)*$E$2</f>
        <v>6631.0182360171</v>
      </c>
      <c r="P10" s="15" t="n">
        <f aca="false">N10*$E$2*(1+$I$6)/($F$6-$I$6)/(1+$F$6)^$N$3</f>
        <v>10964.6029619252</v>
      </c>
      <c r="Q10" s="15" t="n">
        <f aca="false">O10+P10</f>
        <v>17595.6211979423</v>
      </c>
      <c r="R10" s="15" t="n">
        <f aca="false">Q10-$G$2+$I$2</f>
        <v>16320.9511979423</v>
      </c>
      <c r="S10" s="42" t="n">
        <f aca="false">R10/$K$2</f>
        <v>458.840348550528</v>
      </c>
      <c r="T10" s="43" t="n">
        <f aca="false">S10-$M$2</f>
        <v>169.55162209565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-0.125</v>
      </c>
      <c r="C11" s="25" t="n">
        <f aca="false">IF(T10&gt;0,D10,C10)</f>
        <v>0.0625</v>
      </c>
      <c r="D11" s="41" t="n">
        <f aca="false">(B11+C11)/2</f>
        <v>-0.03125</v>
      </c>
      <c r="E11" s="15" t="n">
        <f aca="false">$C$2*(1+IF(E$3&lt;=$O$2,$D11,$D11-($D11-$I$6)*MIN(E$3-$O$2,$Q$2)/$Q$2))</f>
        <v>2402.5</v>
      </c>
      <c r="F11" s="15" t="n">
        <f aca="false">E11*(1+IF(F$3&lt;=$O$2,$D11,$D11-($D11-$I$6)*MIN(F$3-$O$2,$Q$2)/$Q$2))</f>
        <v>2327.421875</v>
      </c>
      <c r="G11" s="15" t="n">
        <f aca="false">F11*(1+IF(G$3&lt;=$O$2,$D11,$D11-($D11-$I$6)*MIN(G$3-$O$2,$Q$2)/$Q$2))</f>
        <v>2254.68994140625</v>
      </c>
      <c r="H11" s="15" t="n">
        <f aca="false">G11*(1+IF(H$3&lt;=$O$2,$D11,$D11-($D11-$I$6)*MIN(H$3-$O$2,$Q$2)/$Q$2))</f>
        <v>2184.2308807373</v>
      </c>
      <c r="I11" s="15" t="n">
        <f aca="false">H11*(1+IF(I$3&lt;=$O$2,$D11,$D11-($D11-$I$6)*MIN(I$3-$O$2,$Q$2)/$Q$2))</f>
        <v>2115.97366571426</v>
      </c>
      <c r="J11" s="15" t="n">
        <f aca="false">I11*(1+IF(J$3&lt;=$O$2,$D11,$D11-($D11-$I$6)*MIN(J$3-$O$2,$Q$2)/$Q$2))</f>
        <v>2075.05073501935</v>
      </c>
      <c r="K11" s="15" t="n">
        <f aca="false">J11*(1+IF(K$3&lt;=$O$2,$D11,$D11-($D11-$I$6)*MIN(K$3-$O$2,$Q$2)/$Q$2))</f>
        <v>2059.63310805816</v>
      </c>
      <c r="L11" s="15" t="n">
        <f aca="false">K11*(1+IF(L$3&lt;=$O$2,$D11,$D11-($D11-$I$6)*MIN(L$3-$O$2,$Q$2)/$Q$2))</f>
        <v>2068.86026438226</v>
      </c>
      <c r="M11" s="15" t="n">
        <f aca="false">L11*(1+IF(M$3&lt;=$O$2,$D11,$D11-($D11-$I$6)*MIN(M$3-$O$2,$Q$2)/$Q$2))</f>
        <v>2102.76888411548</v>
      </c>
      <c r="N11" s="15" t="n">
        <f aca="false">M11*(1+IF(N$3&lt;=$O$2,$D11,$D11-($D11-$I$6)*MIN(N$3-$O$2,$Q$2)/$Q$2))</f>
        <v>2162.27724353595</v>
      </c>
      <c r="O11" s="15" t="n">
        <f aca="false">SUMPRODUCT(E11:N11,1/(1+$F$6)^$E$3:$N$3)*$E$2</f>
        <v>4400.16742889115</v>
      </c>
      <c r="P11" s="15" t="n">
        <f aca="false">N11*$E$2*(1+$I$6)/($F$6-$I$6)/(1+$F$6)^$N$3</f>
        <v>5749.1624070928</v>
      </c>
      <c r="Q11" s="15" t="n">
        <f aca="false">O11+P11</f>
        <v>10149.3298359839</v>
      </c>
      <c r="R11" s="15" t="n">
        <f aca="false">Q11-$G$2+$I$2</f>
        <v>8874.65983598395</v>
      </c>
      <c r="S11" s="42" t="n">
        <f aca="false">R11/$K$2</f>
        <v>249.498449142085</v>
      </c>
      <c r="T11" s="43" t="n">
        <f aca="false">S11-$M$2</f>
        <v>-39.7902773127931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-0.03125</v>
      </c>
      <c r="C12" s="25" t="n">
        <f aca="false">IF(T11&gt;0,D11,C11)</f>
        <v>0.0625</v>
      </c>
      <c r="D12" s="41" t="n">
        <f aca="false">(B12+C12)/2</f>
        <v>0.015625</v>
      </c>
      <c r="E12" s="15" t="n">
        <f aca="false">$C$2*(1+IF(E$3&lt;=$O$2,$D12,$D12-($D12-$I$6)*MIN(E$3-$O$2,$Q$2)/$Q$2))</f>
        <v>2518.75</v>
      </c>
      <c r="F12" s="15" t="n">
        <f aca="false">E12*(1+IF(F$3&lt;=$O$2,$D12,$D12-($D12-$I$6)*MIN(F$3-$O$2,$Q$2)/$Q$2))</f>
        <v>2558.10546875</v>
      </c>
      <c r="G12" s="15" t="n">
        <f aca="false">F12*(1+IF(G$3&lt;=$O$2,$D12,$D12-($D12-$I$6)*MIN(G$3-$O$2,$Q$2)/$Q$2))</f>
        <v>2598.07586669922</v>
      </c>
      <c r="H12" s="15" t="n">
        <f aca="false">G12*(1+IF(H$3&lt;=$O$2,$D12,$D12-($D12-$I$6)*MIN(H$3-$O$2,$Q$2)/$Q$2))</f>
        <v>2638.67080211639</v>
      </c>
      <c r="I12" s="15" t="n">
        <f aca="false">H12*(1+IF(I$3&lt;=$O$2,$D12,$D12-($D12-$I$6)*MIN(I$3-$O$2,$Q$2)/$Q$2))</f>
        <v>2679.90003339946</v>
      </c>
      <c r="J12" s="15" t="n">
        <f aca="false">I12*(1+IF(J$3&lt;=$O$2,$D12,$D12-($D12-$I$6)*MIN(J$3-$O$2,$Q$2)/$Q$2))</f>
        <v>2728.567018006</v>
      </c>
      <c r="K12" s="15" t="n">
        <f aca="false">J12*(1+IF(K$3&lt;=$O$2,$D12,$D12-($D12-$I$6)*MIN(K$3-$O$2,$Q$2)/$Q$2))</f>
        <v>2785.03471244363</v>
      </c>
      <c r="L12" s="15" t="n">
        <f aca="false">K12*(1+IF(L$3&lt;=$O$2,$D12,$D12-($D12-$I$6)*MIN(L$3-$O$2,$Q$2)/$Q$2))</f>
        <v>2849.7310688137</v>
      </c>
      <c r="M12" s="15" t="n">
        <f aca="false">L12*(1+IF(M$3&lt;=$O$2,$D12,$D12-($D12-$I$6)*MIN(M$3-$O$2,$Q$2)/$Q$2))</f>
        <v>2923.15438980168</v>
      </c>
      <c r="N12" s="15" t="n">
        <f aca="false">M12*(1+IF(N$3&lt;=$O$2,$D12,$D12-($D12-$I$6)*MIN(N$3-$O$2,$Q$2)/$Q$2))</f>
        <v>3005.87965903307</v>
      </c>
      <c r="O12" s="15" t="n">
        <f aca="false">SUMPRODUCT(E12:N12,1/(1+$F$6)^$E$3:$N$3)*$E$2</f>
        <v>5399.66452285591</v>
      </c>
      <c r="P12" s="15" t="n">
        <f aca="false">N12*$E$2*(1+$I$6)/($F$6-$I$6)/(1+$F$6)^$N$3</f>
        <v>7992.17139597599</v>
      </c>
      <c r="Q12" s="15" t="n">
        <f aca="false">O12+P12</f>
        <v>13391.8359188319</v>
      </c>
      <c r="R12" s="15" t="n">
        <f aca="false">Q12-$G$2+$I$2</f>
        <v>12117.1659188319</v>
      </c>
      <c r="S12" s="42" t="n">
        <f aca="false">R12/$K$2</f>
        <v>340.656899601684</v>
      </c>
      <c r="T12" s="43" t="n">
        <f aca="false">S12-$M$2</f>
        <v>51.3681731468063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-0.03125</v>
      </c>
      <c r="C13" s="25" t="n">
        <f aca="false">IF(T12&gt;0,D12,C12)</f>
        <v>0.015625</v>
      </c>
      <c r="D13" s="41" t="n">
        <f aca="false">(B13+C13)/2</f>
        <v>-0.0078125</v>
      </c>
      <c r="E13" s="15" t="n">
        <f aca="false">$C$2*(1+IF(E$3&lt;=$O$2,$D13,$D13-($D13-$I$6)*MIN(E$3-$O$2,$Q$2)/$Q$2))</f>
        <v>2460.625</v>
      </c>
      <c r="F13" s="15" t="n">
        <f aca="false">E13*(1+IF(F$3&lt;=$O$2,$D13,$D13-($D13-$I$6)*MIN(F$3-$O$2,$Q$2)/$Q$2))</f>
        <v>2441.4013671875</v>
      </c>
      <c r="G13" s="15" t="n">
        <f aca="false">F13*(1+IF(G$3&lt;=$O$2,$D13,$D13-($D13-$I$6)*MIN(G$3-$O$2,$Q$2)/$Q$2))</f>
        <v>2422.32791900635</v>
      </c>
      <c r="H13" s="15" t="n">
        <f aca="false">G13*(1+IF(H$3&lt;=$O$2,$D13,$D13-($D13-$I$6)*MIN(H$3-$O$2,$Q$2)/$Q$2))</f>
        <v>2403.40348213911</v>
      </c>
      <c r="I13" s="15" t="n">
        <f aca="false">H13*(1+IF(I$3&lt;=$O$2,$D13,$D13-($D13-$I$6)*MIN(I$3-$O$2,$Q$2)/$Q$2))</f>
        <v>2384.6268924349</v>
      </c>
      <c r="J13" s="15" t="n">
        <f aca="false">I13*(1+IF(J$3&lt;=$O$2,$D13,$D13-($D13-$I$6)*MIN(J$3-$O$2,$Q$2)/$Q$2))</f>
        <v>2383.21996256836</v>
      </c>
      <c r="K13" s="15" t="n">
        <f aca="false">J13*(1+IF(K$3&lt;=$O$2,$D13,$D13-($D13-$I$6)*MIN(K$3-$O$2,$Q$2)/$Q$2))</f>
        <v>2399.0266689701</v>
      </c>
      <c r="L13" s="15" t="n">
        <f aca="false">K13*(1+IF(L$3&lt;=$O$2,$D13,$D13-($D13-$I$6)*MIN(L$3-$O$2,$Q$2)/$Q$2))</f>
        <v>2432.26518346868</v>
      </c>
      <c r="M13" s="15" t="n">
        <f aca="false">L13*(1+IF(M$3&lt;=$O$2,$D13,$D13-($D13-$I$6)*MIN(M$3-$O$2,$Q$2)/$Q$2))</f>
        <v>2483.53125287324</v>
      </c>
      <c r="N13" s="15" t="n">
        <f aca="false">M13*(1+IF(N$3&lt;=$O$2,$D13,$D13-($D13-$I$6)*MIN(N$3-$O$2,$Q$2)/$Q$2))</f>
        <v>2553.81518732955</v>
      </c>
      <c r="O13" s="15" t="n">
        <f aca="false">SUMPRODUCT(E13:N13,1/(1+$F$6)^$E$3:$N$3)*$E$2</f>
        <v>4873.71944159318</v>
      </c>
      <c r="P13" s="15" t="n">
        <f aca="false">N13*$E$2*(1+$I$6)/($F$6-$I$6)/(1+$F$6)^$N$3</f>
        <v>6790.20154032047</v>
      </c>
      <c r="Q13" s="15" t="n">
        <f aca="false">O13+P13</f>
        <v>11663.9209819137</v>
      </c>
      <c r="R13" s="15" t="n">
        <f aca="false">Q13-$G$2+$I$2</f>
        <v>10389.2509819137</v>
      </c>
      <c r="S13" s="42" t="n">
        <f aca="false">R13/$K$2</f>
        <v>292.0790267617</v>
      </c>
      <c r="T13" s="43" t="n">
        <f aca="false">S13-$M$2</f>
        <v>2.79030030682179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-0.03125</v>
      </c>
      <c r="C14" s="25" t="n">
        <f aca="false">IF(T13&gt;0,D13,C13)</f>
        <v>-0.0078125</v>
      </c>
      <c r="D14" s="41" t="n">
        <f aca="false">(B14+C14)/2</f>
        <v>-0.01953125</v>
      </c>
      <c r="E14" s="15" t="n">
        <f aca="false">$C$2*(1+IF(E$3&lt;=$O$2,$D14,$D14-($D14-$I$6)*MIN(E$3-$O$2,$Q$2)/$Q$2))</f>
        <v>2431.5625</v>
      </c>
      <c r="F14" s="15" t="n">
        <f aca="false">E14*(1+IF(F$3&lt;=$O$2,$D14,$D14-($D14-$I$6)*MIN(F$3-$O$2,$Q$2)/$Q$2))</f>
        <v>2384.07104492188</v>
      </c>
      <c r="G14" s="15" t="n">
        <f aca="false">F14*(1+IF(G$3&lt;=$O$2,$D14,$D14-($D14-$I$6)*MIN(G$3-$O$2,$Q$2)/$Q$2))</f>
        <v>2337.50715732574</v>
      </c>
      <c r="H14" s="15" t="n">
        <f aca="false">G14*(1+IF(H$3&lt;=$O$2,$D14,$D14-($D14-$I$6)*MIN(H$3-$O$2,$Q$2)/$Q$2))</f>
        <v>2291.85272065923</v>
      </c>
      <c r="I14" s="15" t="n">
        <f aca="false">H14*(1+IF(I$3&lt;=$O$2,$D14,$D14-($D14-$I$6)*MIN(I$3-$O$2,$Q$2)/$Q$2))</f>
        <v>2247.08997220885</v>
      </c>
      <c r="J14" s="15" t="n">
        <f aca="false">I14*(1+IF(J$3&lt;=$O$2,$D14,$D14-($D14-$I$6)*MIN(J$3-$O$2,$Q$2)/$Q$2))</f>
        <v>2224.69772063579</v>
      </c>
      <c r="K14" s="15" t="n">
        <f aca="false">J14*(1+IF(K$3&lt;=$O$2,$D14,$D14-($D14-$I$6)*MIN(K$3-$O$2,$Q$2)/$Q$2))</f>
        <v>2223.81062241969</v>
      </c>
      <c r="L14" s="15" t="n">
        <f aca="false">K14*(1+IF(L$3&lt;=$O$2,$D14,$D14-($D14-$I$6)*MIN(L$3-$O$2,$Q$2)/$Q$2))</f>
        <v>2244.19740630072</v>
      </c>
      <c r="M14" s="15" t="n">
        <f aca="false">L14*(1+IF(M$3&lt;=$O$2,$D14,$D14-($D14-$I$6)*MIN(M$3-$O$2,$Q$2)/$Q$2))</f>
        <v>2286.23963946101</v>
      </c>
      <c r="N14" s="15" t="n">
        <f aca="false">M14*(1+IF(N$3&lt;=$O$2,$D14,$D14-($D14-$I$6)*MIN(N$3-$O$2,$Q$2)/$Q$2))</f>
        <v>2350.94022125775</v>
      </c>
      <c r="O14" s="15" t="n">
        <f aca="false">SUMPRODUCT(E14:N14,1/(1+$F$6)^$E$3:$N$3)*$E$2</f>
        <v>4630.71675847919</v>
      </c>
      <c r="P14" s="15" t="n">
        <f aca="false">N14*$E$2*(1+$I$6)/($F$6-$I$6)/(1+$F$6)^$N$3</f>
        <v>6250.7882288374</v>
      </c>
      <c r="Q14" s="15" t="n">
        <f aca="false">O14+P14</f>
        <v>10881.5049873166</v>
      </c>
      <c r="R14" s="15" t="n">
        <f aca="false">Q14-$G$2+$I$2</f>
        <v>9606.83498731659</v>
      </c>
      <c r="S14" s="42" t="n">
        <f aca="false">R14/$K$2</f>
        <v>270.082512997374</v>
      </c>
      <c r="T14" s="43" t="n">
        <f aca="false">S14-$M$2</f>
        <v>-19.2062134575039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-0.01953125</v>
      </c>
      <c r="C15" s="25" t="n">
        <f aca="false">IF(T14&gt;0,D14,C14)</f>
        <v>-0.0078125</v>
      </c>
      <c r="D15" s="41" t="n">
        <f aca="false">(B15+C15)/2</f>
        <v>-0.013671875</v>
      </c>
      <c r="E15" s="15" t="n">
        <f aca="false">$C$2*(1+IF(E$3&lt;=$O$2,$D15,$D15-($D15-$I$6)*MIN(E$3-$O$2,$Q$2)/$Q$2))</f>
        <v>2446.09375</v>
      </c>
      <c r="F15" s="15" t="n">
        <f aca="false">E15*(1+IF(F$3&lt;=$O$2,$D15,$D15-($D15-$I$6)*MIN(F$3-$O$2,$Q$2)/$Q$2))</f>
        <v>2412.65106201172</v>
      </c>
      <c r="G15" s="15" t="n">
        <f aca="false">F15*(1+IF(G$3&lt;=$O$2,$D15,$D15-($D15-$I$6)*MIN(G$3-$O$2,$Q$2)/$Q$2))</f>
        <v>2379.66559827328</v>
      </c>
      <c r="H15" s="15" t="n">
        <f aca="false">G15*(1+IF(H$3&lt;=$O$2,$D15,$D15-($D15-$I$6)*MIN(H$3-$O$2,$Q$2)/$Q$2))</f>
        <v>2347.13110767189</v>
      </c>
      <c r="I15" s="15" t="n">
        <f aca="false">H15*(1+IF(I$3&lt;=$O$2,$D15,$D15-($D15-$I$6)*MIN(I$3-$O$2,$Q$2)/$Q$2))</f>
        <v>2315.04142455918</v>
      </c>
      <c r="J15" s="15" t="n">
        <f aca="false">I15*(1+IF(J$3&lt;=$O$2,$D15,$D15-($D15-$I$6)*MIN(J$3-$O$2,$Q$2)/$Q$2))</f>
        <v>2302.82379344107</v>
      </c>
      <c r="K15" s="15" t="n">
        <f aca="false">J15*(1+IF(K$3&lt;=$O$2,$D15,$D15-($D15-$I$6)*MIN(K$3-$O$2,$Q$2)/$Q$2))</f>
        <v>2310.00140735225</v>
      </c>
      <c r="L15" s="15" t="n">
        <f aca="false">K15*(1+IF(L$3&lt;=$O$2,$D15,$D15-($D15-$I$6)*MIN(L$3-$O$2,$Q$2)/$Q$2))</f>
        <v>2336.59241105264</v>
      </c>
      <c r="M15" s="15" t="n">
        <f aca="false">L15*(1+IF(M$3&lt;=$O$2,$D15,$D15-($D15-$I$6)*MIN(M$3-$O$2,$Q$2)/$Q$2))</f>
        <v>2383.1037433649</v>
      </c>
      <c r="N15" s="15" t="n">
        <f aca="false">M15*(1+IF(N$3&lt;=$O$2,$D15,$D15-($D15-$I$6)*MIN(N$3-$O$2,$Q$2)/$Q$2))</f>
        <v>2450.54557930212</v>
      </c>
      <c r="O15" s="15" t="n">
        <f aca="false">SUMPRODUCT(E15:N15,1/(1+$F$6)^$E$3:$N$3)*$E$2</f>
        <v>4750.62221980467</v>
      </c>
      <c r="P15" s="15" t="n">
        <f aca="false">N15*$E$2*(1+$I$6)/($F$6-$I$6)/(1+$F$6)^$N$3</f>
        <v>6515.62354619812</v>
      </c>
      <c r="Q15" s="15" t="n">
        <f aca="false">O15+P15</f>
        <v>11266.2457660028</v>
      </c>
      <c r="R15" s="15" t="n">
        <f aca="false">Q15-$G$2+$I$2</f>
        <v>9991.57576600279</v>
      </c>
      <c r="S15" s="42" t="n">
        <f aca="false">R15/$K$2</f>
        <v>280.898953219083</v>
      </c>
      <c r="T15" s="43" t="n">
        <f aca="false">S15-$M$2</f>
        <v>-8.38977323579451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-0.013671875</v>
      </c>
      <c r="C16" s="25" t="n">
        <f aca="false">IF(T15&gt;0,D15,C15)</f>
        <v>-0.0078125</v>
      </c>
      <c r="D16" s="41" t="n">
        <f aca="false">(B16+C16)/2</f>
        <v>-0.0107421875</v>
      </c>
      <c r="E16" s="15" t="n">
        <f aca="false">$C$2*(1+IF(E$3&lt;=$O$2,$D16,$D16-($D16-$I$6)*MIN(E$3-$O$2,$Q$2)/$Q$2))</f>
        <v>2453.359375</v>
      </c>
      <c r="F16" s="15" t="n">
        <f aca="false">E16*(1+IF(F$3&lt;=$O$2,$D16,$D16-($D16-$I$6)*MIN(F$3-$O$2,$Q$2)/$Q$2))</f>
        <v>2427.00492858887</v>
      </c>
      <c r="G16" s="15" t="n">
        <f aca="false">F16*(1+IF(G$3&lt;=$O$2,$D16,$D16-($D16-$I$6)*MIN(G$3-$O$2,$Q$2)/$Q$2))</f>
        <v>2400.93358658254</v>
      </c>
      <c r="H16" s="15" t="n">
        <f aca="false">G16*(1+IF(H$3&lt;=$O$2,$D16,$D16-($D16-$I$6)*MIN(H$3-$O$2,$Q$2)/$Q$2))</f>
        <v>2375.14230782042</v>
      </c>
      <c r="I16" s="15" t="n">
        <f aca="false">H16*(1+IF(I$3&lt;=$O$2,$D16,$D16-($D16-$I$6)*MIN(I$3-$O$2,$Q$2)/$Q$2))</f>
        <v>2349.62808381063</v>
      </c>
      <c r="J16" s="15" t="n">
        <f aca="false">I16*(1+IF(J$3&lt;=$O$2,$D16,$D16-($D16-$I$6)*MIN(J$3-$O$2,$Q$2)/$Q$2))</f>
        <v>2342.73486241976</v>
      </c>
      <c r="K16" s="15" t="n">
        <f aca="false">J16*(1+IF(K$3&lt;=$O$2,$D16,$D16-($D16-$I$6)*MIN(K$3-$O$2,$Q$2)/$Q$2))</f>
        <v>2354.15496276941</v>
      </c>
      <c r="L16" s="15" t="n">
        <f aca="false">K16*(1+IF(L$3&lt;=$O$2,$D16,$D16-($D16-$I$6)*MIN(L$3-$O$2,$Q$2)/$Q$2))</f>
        <v>2384.01300443158</v>
      </c>
      <c r="M16" s="15" t="n">
        <f aca="false">L16*(1+IF(M$3&lt;=$O$2,$D16,$D16-($D16-$I$6)*MIN(M$3-$O$2,$Q$2)/$Q$2))</f>
        <v>2432.8651559127</v>
      </c>
      <c r="N16" s="15" t="n">
        <f aca="false">M16*(1+IF(N$3&lt;=$O$2,$D16,$D16-($D16-$I$6)*MIN(N$3-$O$2,$Q$2)/$Q$2))</f>
        <v>2501.71523982503</v>
      </c>
      <c r="O16" s="15" t="n">
        <f aca="false">SUMPRODUCT(E16:N16,1/(1+$F$6)^$E$3:$N$3)*$E$2</f>
        <v>4811.76686491081</v>
      </c>
      <c r="P16" s="15" t="n">
        <f aca="false">N16*$E$2*(1+$I$6)/($F$6-$I$6)/(1+$F$6)^$N$3</f>
        <v>6651.67579830477</v>
      </c>
      <c r="Q16" s="15" t="n">
        <f aca="false">O16+P16</f>
        <v>11463.4426632156</v>
      </c>
      <c r="R16" s="15" t="n">
        <f aca="false">Q16-$G$2+$I$2</f>
        <v>10188.7726632156</v>
      </c>
      <c r="S16" s="42" t="n">
        <f aca="false">R16/$K$2</f>
        <v>286.442863739544</v>
      </c>
      <c r="T16" s="43" t="n">
        <f aca="false">S16-$M$2</f>
        <v>-2.84586271533368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-0.0107421875</v>
      </c>
      <c r="C17" s="25" t="n">
        <f aca="false">IF(T16&gt;0,D16,C16)</f>
        <v>-0.0078125</v>
      </c>
      <c r="D17" s="41" t="n">
        <f aca="false">(B17+C17)/2</f>
        <v>-0.00927734375</v>
      </c>
      <c r="E17" s="15" t="n">
        <f aca="false">$C$2*(1+IF(E$3&lt;=$O$2,$D17,$D17-($D17-$I$6)*MIN(E$3-$O$2,$Q$2)/$Q$2))</f>
        <v>2456.9921875</v>
      </c>
      <c r="F17" s="15" t="n">
        <f aca="false">E17*(1+IF(F$3&lt;=$O$2,$D17,$D17-($D17-$I$6)*MIN(F$3-$O$2,$Q$2)/$Q$2))</f>
        <v>2434.1978263855</v>
      </c>
      <c r="G17" s="15" t="n">
        <f aca="false">F17*(1+IF(G$3&lt;=$O$2,$D17,$D17-($D17-$I$6)*MIN(G$3-$O$2,$Q$2)/$Q$2))</f>
        <v>2411.61493639462</v>
      </c>
      <c r="H17" s="15" t="n">
        <f aca="false">G17*(1+IF(H$3&lt;=$O$2,$D17,$D17-($D17-$I$6)*MIN(H$3-$O$2,$Q$2)/$Q$2))</f>
        <v>2389.24155563705</v>
      </c>
      <c r="I17" s="15" t="n">
        <f aca="false">H17*(1+IF(I$3&lt;=$O$2,$D17,$D17-($D17-$I$6)*MIN(I$3-$O$2,$Q$2)/$Q$2))</f>
        <v>2367.07574042362</v>
      </c>
      <c r="J17" s="15" t="n">
        <f aca="false">I17*(1+IF(J$3&lt;=$O$2,$D17,$D17-($D17-$I$6)*MIN(J$3-$O$2,$Q$2)/$Q$2))</f>
        <v>2362.90524885346</v>
      </c>
      <c r="K17" s="15" t="n">
        <f aca="false">J17*(1+IF(K$3&lt;=$O$2,$D17,$D17-($D17-$I$6)*MIN(K$3-$O$2,$Q$2)/$Q$2))</f>
        <v>2376.50044572511</v>
      </c>
      <c r="L17" s="15" t="n">
        <f aca="false">K17*(1+IF(L$3&lt;=$O$2,$D17,$D17-($D17-$I$6)*MIN(L$3-$O$2,$Q$2)/$Q$2))</f>
        <v>2408.03437867071</v>
      </c>
      <c r="M17" s="15" t="n">
        <f aca="false">L17*(1+IF(M$3&lt;=$O$2,$D17,$D17-($D17-$I$6)*MIN(M$3-$O$2,$Q$2)/$Q$2))</f>
        <v>2458.08424446527</v>
      </c>
      <c r="N17" s="15" t="n">
        <f aca="false">M17*(1+IF(N$3&lt;=$O$2,$D17,$D17-($D17-$I$6)*MIN(N$3-$O$2,$Q$2)/$Q$2))</f>
        <v>2527.64802858363</v>
      </c>
      <c r="O17" s="15" t="n">
        <f aca="false">SUMPRODUCT(E17:N17,1/(1+$F$6)^$E$3:$N$3)*$E$2</f>
        <v>4842.64153136162</v>
      </c>
      <c r="P17" s="15" t="n">
        <f aca="false">N17*$E$2*(1+$I$6)/($F$6-$I$6)/(1+$F$6)^$N$3</f>
        <v>6720.62709244974</v>
      </c>
      <c r="Q17" s="15" t="n">
        <f aca="false">O17+P17</f>
        <v>11563.2686238114</v>
      </c>
      <c r="R17" s="15" t="n">
        <f aca="false">Q17-$G$2+$I$2</f>
        <v>10288.5986238114</v>
      </c>
      <c r="S17" s="42" t="n">
        <f aca="false">R17/$K$2</f>
        <v>289.249328754888</v>
      </c>
      <c r="T17" s="43" t="n">
        <f aca="false">S17-$M$2</f>
        <v>-0.0393976999900474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-0.00927734375</v>
      </c>
      <c r="C18" s="25" t="n">
        <f aca="false">IF(T17&gt;0,D17,C17)</f>
        <v>-0.0078125</v>
      </c>
      <c r="D18" s="41" t="n">
        <f aca="false">(B18+C18)/2</f>
        <v>-0.008544921875</v>
      </c>
      <c r="E18" s="15" t="n">
        <f aca="false">$C$2*(1+IF(E$3&lt;=$O$2,$D18,$D18-($D18-$I$6)*MIN(E$3-$O$2,$Q$2)/$Q$2))</f>
        <v>2458.80859375</v>
      </c>
      <c r="F18" s="15" t="n">
        <f aca="false">E18*(1+IF(F$3&lt;=$O$2,$D18,$D18-($D18-$I$6)*MIN(F$3-$O$2,$Q$2)/$Q$2))</f>
        <v>2437.79826641083</v>
      </c>
      <c r="G18" s="15" t="n">
        <f aca="false">F18*(1+IF(G$3&lt;=$O$2,$D18,$D18-($D18-$I$6)*MIN(G$3-$O$2,$Q$2)/$Q$2))</f>
        <v>2416.96747067734</v>
      </c>
      <c r="H18" s="15" t="n">
        <f aca="false">G18*(1+IF(H$3&lt;=$O$2,$D18,$D18-($D18-$I$6)*MIN(H$3-$O$2,$Q$2)/$Q$2))</f>
        <v>2396.31467246598</v>
      </c>
      <c r="I18" s="15" t="n">
        <f aca="false">H18*(1+IF(I$3&lt;=$O$2,$D18,$D18-($D18-$I$6)*MIN(I$3-$O$2,$Q$2)/$Q$2))</f>
        <v>2375.83835080184</v>
      </c>
      <c r="J18" s="15" t="n">
        <f aca="false">I18*(1+IF(J$3&lt;=$O$2,$D18,$D18-($D18-$I$6)*MIN(J$3-$O$2,$Q$2)/$Q$2))</f>
        <v>2373.0445133912</v>
      </c>
      <c r="K18" s="15" t="n">
        <f aca="false">J18*(1+IF(K$3&lt;=$O$2,$D18,$D18-($D18-$I$6)*MIN(K$3-$O$2,$Q$2)/$Q$2))</f>
        <v>2387.74088929909</v>
      </c>
      <c r="L18" s="15" t="n">
        <f aca="false">K18*(1+IF(L$3&lt;=$O$2,$D18,$D18-($D18-$I$6)*MIN(L$3-$O$2,$Q$2)/$Q$2))</f>
        <v>2420.12350585667</v>
      </c>
      <c r="M18" s="15" t="n">
        <f aca="false">L18*(1+IF(M$3&lt;=$O$2,$D18,$D18-($D18-$I$6)*MIN(M$3-$O$2,$Q$2)/$Q$2))</f>
        <v>2470.77914877218</v>
      </c>
      <c r="N18" s="15" t="n">
        <f aca="false">M18*(1+IF(N$3&lt;=$O$2,$D18,$D18-($D18-$I$6)*MIN(N$3-$O$2,$Q$2)/$Q$2))</f>
        <v>2540.70219868244</v>
      </c>
      <c r="O18" s="15" t="n">
        <f aca="false">SUMPRODUCT(E18:N18,1/(1+$F$6)^$E$3:$N$3)*$E$2</f>
        <v>4858.15500182329</v>
      </c>
      <c r="P18" s="15" t="n">
        <f aca="false">N18*$E$2*(1+$I$6)/($F$6-$I$6)/(1+$F$6)^$N$3</f>
        <v>6755.33612165133</v>
      </c>
      <c r="Q18" s="15" t="n">
        <f aca="false">O18+P18</f>
        <v>11613.4911234746</v>
      </c>
      <c r="R18" s="15" t="n">
        <f aca="false">Q18-$G$2+$I$2</f>
        <v>10338.8211234746</v>
      </c>
      <c r="S18" s="42" t="n">
        <f aca="false">R18/$K$2</f>
        <v>290.661262959646</v>
      </c>
      <c r="T18" s="43" t="n">
        <f aca="false">S18-$M$2</f>
        <v>1.37253650476868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-0.00927734375</v>
      </c>
      <c r="C19" s="25" t="n">
        <f aca="false">IF(T18&gt;0,D18,C18)</f>
        <v>-0.008544921875</v>
      </c>
      <c r="D19" s="41" t="n">
        <f aca="false">(B19+C19)/2</f>
        <v>-0.0089111328125</v>
      </c>
      <c r="E19" s="15" t="n">
        <f aca="false">$C$2*(1+IF(E$3&lt;=$O$2,$D19,$D19-($D19-$I$6)*MIN(E$3-$O$2,$Q$2)/$Q$2))</f>
        <v>2457.900390625</v>
      </c>
      <c r="F19" s="15" t="n">
        <f aca="false">E19*(1+IF(F$3&lt;=$O$2,$D19,$D19-($D19-$I$6)*MIN(F$3-$O$2,$Q$2)/$Q$2))</f>
        <v>2435.99771380425</v>
      </c>
      <c r="G19" s="15" t="n">
        <f aca="false">F19*(1+IF(G$3&lt;=$O$2,$D19,$D19-($D19-$I$6)*MIN(G$3-$O$2,$Q$2)/$Q$2))</f>
        <v>2414.29021464559</v>
      </c>
      <c r="H19" s="15" t="n">
        <f aca="false">G19*(1+IF(H$3&lt;=$O$2,$D19,$D19-($D19-$I$6)*MIN(H$3-$O$2,$Q$2)/$Q$2))</f>
        <v>2392.77615389496</v>
      </c>
      <c r="I19" s="15" t="n">
        <f aca="false">H19*(1+IF(I$3&lt;=$O$2,$D19,$D19-($D19-$I$6)*MIN(I$3-$O$2,$Q$2)/$Q$2))</f>
        <v>2371.45380779702</v>
      </c>
      <c r="J19" s="15" t="n">
        <f aca="false">I19*(1+IF(J$3&lt;=$O$2,$D19,$D19-($D19-$I$6)*MIN(J$3-$O$2,$Q$2)/$Q$2))</f>
        <v>2367.97036447716</v>
      </c>
      <c r="K19" s="15" t="n">
        <f aca="false">J19*(1+IF(K$3&lt;=$O$2,$D19,$D19-($D19-$I$6)*MIN(K$3-$O$2,$Q$2)/$Q$2))</f>
        <v>2382.11500995469</v>
      </c>
      <c r="L19" s="15" t="n">
        <f aca="false">K19*(1+IF(L$3&lt;=$O$2,$D19,$D19-($D19-$I$6)*MIN(L$3-$O$2,$Q$2)/$Q$2))</f>
        <v>2414.07238553238</v>
      </c>
      <c r="M19" s="15" t="n">
        <f aca="false">L19*(1+IF(M$3&lt;=$O$2,$D19,$D19-($D19-$I$6)*MIN(M$3-$O$2,$Q$2)/$Q$2))</f>
        <v>2464.42456041154</v>
      </c>
      <c r="N19" s="15" t="n">
        <f aca="false">M19*(1+IF(N$3&lt;=$O$2,$D19,$D19-($D19-$I$6)*MIN(N$3-$O$2,$Q$2)/$Q$2))</f>
        <v>2534.16777547119</v>
      </c>
      <c r="O19" s="15" t="n">
        <f aca="false">SUMPRODUCT(E19:N19,1/(1+$F$6)^$E$3:$N$3)*$E$2</f>
        <v>4850.39190534346</v>
      </c>
      <c r="P19" s="15" t="n">
        <f aca="false">N19*$E$2*(1+$I$6)/($F$6-$I$6)/(1+$F$6)^$N$3</f>
        <v>6737.96209600755</v>
      </c>
      <c r="Q19" s="15" t="n">
        <f aca="false">O19+P19</f>
        <v>11588.354001351</v>
      </c>
      <c r="R19" s="15" t="n">
        <f aca="false">Q19-$G$2+$I$2</f>
        <v>10313.684001351</v>
      </c>
      <c r="S19" s="42" t="n">
        <f aca="false">R19/$K$2</f>
        <v>289.954568494546</v>
      </c>
      <c r="T19" s="43" t="n">
        <f aca="false">S19-$M$2</f>
        <v>0.665842039668462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-0.00927734375</v>
      </c>
      <c r="C20" s="25" t="n">
        <f aca="false">IF(T19&gt;0,D19,C19)</f>
        <v>-0.0089111328125</v>
      </c>
      <c r="D20" s="41" t="n">
        <f aca="false">(B20+C20)/2</f>
        <v>-0.00909423828125</v>
      </c>
      <c r="E20" s="15" t="n">
        <f aca="false">$C$2*(1+IF(E$3&lt;=$O$2,$D20,$D20-($D20-$I$6)*MIN(E$3-$O$2,$Q$2)/$Q$2))</f>
        <v>2457.4462890625</v>
      </c>
      <c r="F20" s="15" t="n">
        <f aca="false">E20*(1+IF(F$3&lt;=$O$2,$D20,$D20-($D20-$I$6)*MIN(F$3-$O$2,$Q$2)/$Q$2))</f>
        <v>2435.09768694639</v>
      </c>
      <c r="G20" s="15" t="n">
        <f aca="false">F20*(1+IF(G$3&lt;=$O$2,$D20,$D20-($D20-$I$6)*MIN(G$3-$O$2,$Q$2)/$Q$2))</f>
        <v>2412.95232834318</v>
      </c>
      <c r="H20" s="15" t="n">
        <f aca="false">G20*(1+IF(H$3&lt;=$O$2,$D20,$D20-($D20-$I$6)*MIN(H$3-$O$2,$Q$2)/$Q$2))</f>
        <v>2391.00836490793</v>
      </c>
      <c r="I20" s="15" t="n">
        <f aca="false">H20*(1+IF(I$3&lt;=$O$2,$D20,$D20-($D20-$I$6)*MIN(I$3-$O$2,$Q$2)/$Q$2))</f>
        <v>2369.263965105</v>
      </c>
      <c r="J20" s="15" t="n">
        <f aca="false">I20*(1+IF(J$3&lt;=$O$2,$D20,$D20-($D20-$I$6)*MIN(J$3-$O$2,$Q$2)/$Q$2))</f>
        <v>2365.43667830762</v>
      </c>
      <c r="K20" s="15" t="n">
        <f aca="false">J20*(1+IF(K$3&lt;=$O$2,$D20,$D20-($D20-$I$6)*MIN(K$3-$O$2,$Q$2)/$Q$2))</f>
        <v>2379.30631463101</v>
      </c>
      <c r="L20" s="15" t="n">
        <f aca="false">K20*(1+IF(L$3&lt;=$O$2,$D20,$D20-($D20-$I$6)*MIN(L$3-$O$2,$Q$2)/$Q$2))</f>
        <v>2411.05174442572</v>
      </c>
      <c r="M20" s="15" t="n">
        <f aca="false">L20*(1+IF(M$3&lt;=$O$2,$D20,$D20-($D20-$I$6)*MIN(M$3-$O$2,$Q$2)/$Q$2))</f>
        <v>2461.25262010507</v>
      </c>
      <c r="N20" s="15" t="n">
        <f aca="false">M20*(1+IF(N$3&lt;=$O$2,$D20,$D20-($D20-$I$6)*MIN(N$3-$O$2,$Q$2)/$Q$2))</f>
        <v>2530.90606925404</v>
      </c>
      <c r="O20" s="15" t="n">
        <f aca="false">SUMPRODUCT(E20:N20,1/(1+$F$6)^$E$3:$N$3)*$E$2</f>
        <v>4846.51512927813</v>
      </c>
      <c r="P20" s="15" t="n">
        <f aca="false">N20*$E$2*(1+$I$6)/($F$6-$I$6)/(1+$F$6)^$N$3</f>
        <v>6729.28972116633</v>
      </c>
      <c r="Q20" s="15" t="n">
        <f aca="false">O20+P20</f>
        <v>11575.8048504445</v>
      </c>
      <c r="R20" s="15" t="n">
        <f aca="false">Q20-$G$2+$I$2</f>
        <v>10301.1348504445</v>
      </c>
      <c r="S20" s="42" t="n">
        <f aca="false">R20/$K$2</f>
        <v>289.601766950926</v>
      </c>
      <c r="T20" s="43" t="n">
        <f aca="false">S20-$M$2</f>
        <v>0.3130404960487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-0.00927734375</v>
      </c>
      <c r="C21" s="25" t="n">
        <f aca="false">IF(T20&gt;0,D20,C20)</f>
        <v>-0.00909423828125</v>
      </c>
      <c r="D21" s="41" t="n">
        <f aca="false">(B21+C21)/2</f>
        <v>-0.009185791015625</v>
      </c>
      <c r="E21" s="15" t="n">
        <f aca="false">$C$2*(1+IF(E$3&lt;=$O$2,$D21,$D21-($D21-$I$6)*MIN(E$3-$O$2,$Q$2)/$Q$2))</f>
        <v>2457.21923828125</v>
      </c>
      <c r="F21" s="15" t="n">
        <f aca="false">E21*(1+IF(F$3&lt;=$O$2,$D21,$D21-($D21-$I$6)*MIN(F$3-$O$2,$Q$2)/$Q$2))</f>
        <v>2434.64773587883</v>
      </c>
      <c r="G21" s="15" t="n">
        <f aca="false">F21*(1+IF(G$3&lt;=$O$2,$D21,$D21-($D21-$I$6)*MIN(G$3-$O$2,$Q$2)/$Q$2))</f>
        <v>2412.28357058038</v>
      </c>
      <c r="H21" s="15" t="n">
        <f aca="false">G21*(1+IF(H$3&lt;=$O$2,$D21,$D21-($D21-$I$6)*MIN(H$3-$O$2,$Q$2)/$Q$2))</f>
        <v>2390.1248378306</v>
      </c>
      <c r="I21" s="15" t="n">
        <f aca="false">H21*(1+IF(I$3&lt;=$O$2,$D21,$D21-($D21-$I$6)*MIN(I$3-$O$2,$Q$2)/$Q$2))</f>
        <v>2368.16965056903</v>
      </c>
      <c r="J21" s="15" t="n">
        <f aca="false">I21*(1+IF(J$3&lt;=$O$2,$D21,$D21-($D21-$I$6)*MIN(J$3-$O$2,$Q$2)/$Q$2))</f>
        <v>2364.17068159152</v>
      </c>
      <c r="K21" s="15" t="n">
        <f aca="false">J21*(1+IF(K$3&lt;=$O$2,$D21,$D21-($D21-$I$6)*MIN(K$3-$O$2,$Q$2)/$Q$2))</f>
        <v>2377.90302702331</v>
      </c>
      <c r="L21" s="15" t="n">
        <f aca="false">K21*(1+IF(L$3&lt;=$O$2,$D21,$D21-($D21-$I$6)*MIN(L$3-$O$2,$Q$2)/$Q$2))</f>
        <v>2409.5426523175</v>
      </c>
      <c r="M21" s="15" t="n">
        <f aca="false">L21*(1+IF(M$3&lt;=$O$2,$D21,$D21-($D21-$I$6)*MIN(M$3-$O$2,$Q$2)/$Q$2))</f>
        <v>2459.66798691649</v>
      </c>
      <c r="N21" s="15" t="n">
        <f aca="false">M21*(1+IF(N$3&lt;=$O$2,$D21,$D21-($D21-$I$6)*MIN(N$3-$O$2,$Q$2)/$Q$2))</f>
        <v>2529.27659094623</v>
      </c>
      <c r="O21" s="15" t="n">
        <f aca="false">SUMPRODUCT(E21:N21,1/(1+$F$6)^$E$3:$N$3)*$E$2</f>
        <v>4844.57793320591</v>
      </c>
      <c r="P21" s="15" t="n">
        <f aca="false">N21*$E$2*(1+$I$6)/($F$6-$I$6)/(1+$F$6)^$N$3</f>
        <v>6724.95718912934</v>
      </c>
      <c r="Q21" s="15" t="n">
        <f aca="false">O21+P21</f>
        <v>11569.5351223352</v>
      </c>
      <c r="R21" s="15" t="n">
        <f aca="false">Q21-$G$2+$I$2</f>
        <v>10294.8651223352</v>
      </c>
      <c r="S21" s="42" t="n">
        <f aca="false">R21/$K$2</f>
        <v>289.425502455306</v>
      </c>
      <c r="T21" s="43" t="n">
        <f aca="false">S21-$M$2</f>
        <v>0.136776000428711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-0.00927734375</v>
      </c>
      <c r="C22" s="25" t="n">
        <f aca="false">IF(T21&gt;0,D21,C21)</f>
        <v>-0.009185791015625</v>
      </c>
      <c r="D22" s="41" t="n">
        <f aca="false">(B22+C22)/2</f>
        <v>-0.0092315673828125</v>
      </c>
      <c r="E22" s="15" t="n">
        <f aca="false">$C$2*(1+IF(E$3&lt;=$O$2,$D22,$D22-($D22-$I$6)*MIN(E$3-$O$2,$Q$2)/$Q$2))</f>
        <v>2457.10571289063</v>
      </c>
      <c r="F22" s="15" t="n">
        <f aca="false">E22*(1+IF(F$3&lt;=$O$2,$D22,$D22-($D22-$I$6)*MIN(F$3-$O$2,$Q$2)/$Q$2))</f>
        <v>2434.42277593538</v>
      </c>
      <c r="G22" s="15" t="n">
        <f aca="false">F22*(1+IF(G$3&lt;=$O$2,$D22,$D22-($D22-$I$6)*MIN(G$3-$O$2,$Q$2)/$Q$2))</f>
        <v>2411.94923804108</v>
      </c>
      <c r="H22" s="15" t="n">
        <f aca="false">G22*(1+IF(H$3&lt;=$O$2,$D22,$D22-($D22-$I$6)*MIN(H$3-$O$2,$Q$2)/$Q$2))</f>
        <v>2389.68316612618</v>
      </c>
      <c r="I22" s="15" t="n">
        <f aca="false">H22*(1+IF(I$3&lt;=$O$2,$D22,$D22-($D22-$I$6)*MIN(I$3-$O$2,$Q$2)/$Q$2))</f>
        <v>2367.62264495451</v>
      </c>
      <c r="J22" s="15" t="n">
        <f aca="false">I22*(1+IF(J$3&lt;=$O$2,$D22,$D22-($D22-$I$6)*MIN(J$3-$O$2,$Q$2)/$Q$2))</f>
        <v>2363.53789473778</v>
      </c>
      <c r="K22" s="15" t="n">
        <f aca="false">J22*(1+IF(K$3&lt;=$O$2,$D22,$D22-($D22-$I$6)*MIN(K$3-$O$2,$Q$2)/$Q$2))</f>
        <v>2377.20164810395</v>
      </c>
      <c r="L22" s="15" t="n">
        <f aca="false">K22*(1+IF(L$3&lt;=$O$2,$D22,$D22-($D22-$I$6)*MIN(L$3-$O$2,$Q$2)/$Q$2))</f>
        <v>2408.78841320995</v>
      </c>
      <c r="M22" s="15" t="n">
        <f aca="false">L22*(1+IF(M$3&lt;=$O$2,$D22,$D22-($D22-$I$6)*MIN(M$3-$O$2,$Q$2)/$Q$2))</f>
        <v>2458.87600437553</v>
      </c>
      <c r="N22" s="15" t="n">
        <f aca="false">M22*(1+IF(N$3&lt;=$O$2,$D22,$D22-($D22-$I$6)*MIN(N$3-$O$2,$Q$2)/$Q$2))</f>
        <v>2528.46219529936</v>
      </c>
      <c r="O22" s="15" t="n">
        <f aca="false">SUMPRODUCT(E22:N22,1/(1+$F$6)^$E$3:$N$3)*$E$2</f>
        <v>4843.6096330246</v>
      </c>
      <c r="P22" s="15" t="n">
        <f aca="false">N22*$E$2*(1+$I$6)/($F$6-$I$6)/(1+$F$6)^$N$3</f>
        <v>6722.7918364432</v>
      </c>
      <c r="Q22" s="15" t="n">
        <f aca="false">O22+P22</f>
        <v>11566.4014694678</v>
      </c>
      <c r="R22" s="15" t="n">
        <f aca="false">Q22-$G$2+$I$2</f>
        <v>10291.7314694678</v>
      </c>
      <c r="S22" s="42" t="n">
        <f aca="false">R22/$K$2</f>
        <v>289.337404258302</v>
      </c>
      <c r="T22" s="43" t="n">
        <f aca="false">S22-$M$2</f>
        <v>0.0486778034241411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-0.00927734375</v>
      </c>
      <c r="C23" s="25" t="n">
        <f aca="false">IF(T22&gt;0,D22,C22)</f>
        <v>-0.0092315673828125</v>
      </c>
      <c r="D23" s="41" t="n">
        <f aca="false">(B23+C23)/2</f>
        <v>-0.00925445556640625</v>
      </c>
      <c r="E23" s="15" t="n">
        <f aca="false">$C$2*(1+IF(E$3&lt;=$O$2,$D23,$D23-($D23-$I$6)*MIN(E$3-$O$2,$Q$2)/$Q$2))</f>
        <v>2457.04895019531</v>
      </c>
      <c r="F23" s="15" t="n">
        <f aca="false">E23*(1+IF(F$3&lt;=$O$2,$D23,$D23-($D23-$I$6)*MIN(F$3-$O$2,$Q$2)/$Q$2))</f>
        <v>2434.31029986125</v>
      </c>
      <c r="G23" s="15" t="n">
        <f aca="false">F23*(1+IF(G$3&lt;=$O$2,$D23,$D23-($D23-$I$6)*MIN(G$3-$O$2,$Q$2)/$Q$2))</f>
        <v>2411.78208335633</v>
      </c>
      <c r="H23" s="15" t="n">
        <f aca="false">G23*(1+IF(H$3&lt;=$O$2,$D23,$D23-($D23-$I$6)*MIN(H$3-$O$2,$Q$2)/$Q$2))</f>
        <v>2389.46235323006</v>
      </c>
      <c r="I23" s="15" t="n">
        <f aca="false">H23*(1+IF(I$3&lt;=$O$2,$D23,$D23-($D23-$I$6)*MIN(I$3-$O$2,$Q$2)/$Q$2))</f>
        <v>2367.34918005449</v>
      </c>
      <c r="J23" s="15" t="n">
        <f aca="false">I23*(1+IF(J$3&lt;=$O$2,$D23,$D23-($D23-$I$6)*MIN(J$3-$O$2,$Q$2)/$Q$2))</f>
        <v>2363.22155417601</v>
      </c>
      <c r="K23" s="15" t="n">
        <f aca="false">J23*(1+IF(K$3&lt;=$O$2,$D23,$D23-($D23-$I$6)*MIN(K$3-$O$2,$Q$2)/$Q$2))</f>
        <v>2376.85102484927</v>
      </c>
      <c r="L23" s="15" t="n">
        <f aca="false">K23*(1+IF(L$3&lt;=$O$2,$D23,$D23-($D23-$I$6)*MIN(L$3-$O$2,$Q$2)/$Q$2))</f>
        <v>2408.41137037223</v>
      </c>
      <c r="M23" s="15" t="n">
        <f aca="false">L23*(1+IF(M$3&lt;=$O$2,$D23,$D23-($D23-$I$6)*MIN(M$3-$O$2,$Q$2)/$Q$2))</f>
        <v>2458.48009659491</v>
      </c>
      <c r="N23" s="15" t="n">
        <f aca="false">M23*(1+IF(N$3&lt;=$O$2,$D23,$D23-($D23-$I$6)*MIN(N$3-$O$2,$Q$2)/$Q$2))</f>
        <v>2528.05508332855</v>
      </c>
      <c r="O23" s="15" t="n">
        <f aca="false">SUMPRODUCT(E23:N23,1/(1+$F$6)^$E$3:$N$3)*$E$2</f>
        <v>4843.12555738073</v>
      </c>
      <c r="P23" s="15" t="n">
        <f aca="false">N23*$E$2*(1+$I$6)/($F$6-$I$6)/(1+$F$6)^$N$3</f>
        <v>6721.70938836905</v>
      </c>
      <c r="Q23" s="15" t="n">
        <f aca="false">O23+P23</f>
        <v>11564.8349457498</v>
      </c>
      <c r="R23" s="15" t="n">
        <f aca="false">Q23-$G$2+$I$2</f>
        <v>10290.1649457498</v>
      </c>
      <c r="S23" s="42" t="n">
        <f aca="false">R23/$K$2</f>
        <v>289.293363670222</v>
      </c>
      <c r="T23" s="43" t="n">
        <f aca="false">S23-$M$2</f>
        <v>0.00463721534390515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-0.00927734375</v>
      </c>
      <c r="C24" s="25" t="n">
        <f aca="false">IF(T23&gt;0,D23,C23)</f>
        <v>-0.00925445556640625</v>
      </c>
      <c r="D24" s="41" t="n">
        <f aca="false">(B24+C24)/2</f>
        <v>-0.00926589965820313</v>
      </c>
      <c r="E24" s="15" t="n">
        <f aca="false">$C$2*(1+IF(E$3&lt;=$O$2,$D24,$D24-($D24-$I$6)*MIN(E$3-$O$2,$Q$2)/$Q$2))</f>
        <v>2457.02056884766</v>
      </c>
      <c r="F24" s="15" t="n">
        <f aca="false">E24*(1+IF(F$3&lt;=$O$2,$D24,$D24-($D24-$I$6)*MIN(F$3-$O$2,$Q$2)/$Q$2))</f>
        <v>2434.25406279857</v>
      </c>
      <c r="G24" s="15" t="n">
        <f aca="false">F24*(1+IF(G$3&lt;=$O$2,$D24,$D24-($D24-$I$6)*MIN(G$3-$O$2,$Q$2)/$Q$2))</f>
        <v>2411.69850891011</v>
      </c>
      <c r="H24" s="15" t="n">
        <f aca="false">G24*(1+IF(H$3&lt;=$O$2,$D24,$D24-($D24-$I$6)*MIN(H$3-$O$2,$Q$2)/$Q$2))</f>
        <v>2389.35195252071</v>
      </c>
      <c r="I24" s="15" t="n">
        <f aca="false">H24*(1+IF(I$3&lt;=$O$2,$D24,$D24-($D24-$I$6)*MIN(I$3-$O$2,$Q$2)/$Q$2))</f>
        <v>2367.21245708052</v>
      </c>
      <c r="J24" s="15" t="n">
        <f aca="false">I24*(1+IF(J$3&lt;=$O$2,$D24,$D24-($D24-$I$6)*MIN(J$3-$O$2,$Q$2)/$Q$2))</f>
        <v>2363.06339711003</v>
      </c>
      <c r="K24" s="15" t="n">
        <f aca="false">J24*(1+IF(K$3&lt;=$O$2,$D24,$D24-($D24-$I$6)*MIN(K$3-$O$2,$Q$2)/$Q$2))</f>
        <v>2376.67572977116</v>
      </c>
      <c r="L24" s="15" t="n">
        <f aca="false">K24*(1+IF(L$3&lt;=$O$2,$D24,$D24-($D24-$I$6)*MIN(L$3-$O$2,$Q$2)/$Q$2))</f>
        <v>2408.22286812981</v>
      </c>
      <c r="M24" s="15" t="n">
        <f aca="false">L24*(1+IF(M$3&lt;=$O$2,$D24,$D24-($D24-$I$6)*MIN(M$3-$O$2,$Q$2)/$Q$2))</f>
        <v>2458.28216357414</v>
      </c>
      <c r="N24" s="15" t="n">
        <f aca="false">M24*(1+IF(N$3&lt;=$O$2,$D24,$D24-($D24-$I$6)*MIN(N$3-$O$2,$Q$2)/$Q$2))</f>
        <v>2527.85154880329</v>
      </c>
      <c r="O24" s="15" t="n">
        <f aca="false">SUMPRODUCT(E24:N24,1/(1+$F$6)^$E$3:$N$3)*$E$2</f>
        <v>4842.88353816838</v>
      </c>
      <c r="P24" s="15" t="n">
        <f aca="false">N24*$E$2*(1+$I$6)/($F$6-$I$6)/(1+$F$6)^$N$3</f>
        <v>6721.16822139118</v>
      </c>
      <c r="Q24" s="15" t="n">
        <f aca="false">O24+P24</f>
        <v>11564.0517595596</v>
      </c>
      <c r="R24" s="15" t="n">
        <f aca="false">Q24-$G$2+$I$2</f>
        <v>10289.3817595596</v>
      </c>
      <c r="S24" s="42" t="n">
        <f aca="false">R24/$K$2</f>
        <v>289.271345503502</v>
      </c>
      <c r="T24" s="43" t="n">
        <f aca="false">S24-$M$2</f>
        <v>-0.0173809513757988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-0.00926589965820313</v>
      </c>
      <c r="C25" s="25" t="n">
        <f aca="false">IF(T24&gt;0,D24,C24)</f>
        <v>-0.00925445556640625</v>
      </c>
      <c r="D25" s="41" t="n">
        <f aca="false">(B25+C25)/2</f>
        <v>-0.00926017761230469</v>
      </c>
      <c r="E25" s="15" t="n">
        <f aca="false">$C$2*(1+IF(E$3&lt;=$O$2,$D25,$D25-($D25-$I$6)*MIN(E$3-$O$2,$Q$2)/$Q$2))</f>
        <v>2457.03475952148</v>
      </c>
      <c r="F25" s="15" t="n">
        <f aca="false">E25*(1+IF(F$3&lt;=$O$2,$D25,$D25-($D25-$I$6)*MIN(F$3-$O$2,$Q$2)/$Q$2))</f>
        <v>2434.28218124871</v>
      </c>
      <c r="G25" s="15" t="n">
        <f aca="false">F25*(1+IF(G$3&lt;=$O$2,$D25,$D25-($D25-$I$6)*MIN(G$3-$O$2,$Q$2)/$Q$2))</f>
        <v>2411.74029589188</v>
      </c>
      <c r="H25" s="15" t="n">
        <f aca="false">G25*(1+IF(H$3&lt;=$O$2,$D25,$D25-($D25-$I$6)*MIN(H$3-$O$2,$Q$2)/$Q$2))</f>
        <v>2389.40715239717</v>
      </c>
      <c r="I25" s="15" t="n">
        <f aca="false">H25*(1+IF(I$3&lt;=$O$2,$D25,$D25-($D25-$I$6)*MIN(I$3-$O$2,$Q$2)/$Q$2))</f>
        <v>2367.28081777786</v>
      </c>
      <c r="J25" s="15" t="n">
        <f aca="false">I25*(1+IF(J$3&lt;=$O$2,$D25,$D25-($D25-$I$6)*MIN(J$3-$O$2,$Q$2)/$Q$2))</f>
        <v>2363.14247454182</v>
      </c>
      <c r="K25" s="15" t="n">
        <f aca="false">J25*(1+IF(K$3&lt;=$O$2,$D25,$D25-($D25-$I$6)*MIN(K$3-$O$2,$Q$2)/$Q$2))</f>
        <v>2376.76337593117</v>
      </c>
      <c r="L25" s="15" t="n">
        <f aca="false">K25*(1+IF(L$3&lt;=$O$2,$D25,$D25-($D25-$I$6)*MIN(L$3-$O$2,$Q$2)/$Q$2))</f>
        <v>2408.31711765306</v>
      </c>
      <c r="M25" s="15" t="n">
        <f aca="false">L25*(1+IF(M$3&lt;=$O$2,$D25,$D25-($D25-$I$6)*MIN(M$3-$O$2,$Q$2)/$Q$2))</f>
        <v>2458.38112834549</v>
      </c>
      <c r="N25" s="15" t="n">
        <f aca="false">M25*(1+IF(N$3&lt;=$O$2,$D25,$D25-($D25-$I$6)*MIN(N$3-$O$2,$Q$2)/$Q$2))</f>
        <v>2527.95331427766</v>
      </c>
      <c r="O25" s="15" t="n">
        <f aca="false">SUMPRODUCT(E25:N25,1/(1+$F$6)^$E$3:$N$3)*$E$2</f>
        <v>4843.00454622382</v>
      </c>
      <c r="P25" s="15" t="n">
        <f aca="false">N25*$E$2*(1+$I$6)/($F$6-$I$6)/(1+$F$6)^$N$3</f>
        <v>6721.43880012542</v>
      </c>
      <c r="Q25" s="15" t="n">
        <f aca="false">O25+P25</f>
        <v>11564.4433463492</v>
      </c>
      <c r="R25" s="15" t="n">
        <f aca="false">Q25-$G$2+$I$2</f>
        <v>10289.7733463492</v>
      </c>
      <c r="S25" s="42" t="n">
        <f aca="false">R25/$K$2</f>
        <v>289.282354409594</v>
      </c>
      <c r="T25" s="43" t="n">
        <f aca="false">S25-$M$2</f>
        <v>-0.00637204528413804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-0.00926017761230469</v>
      </c>
      <c r="C26" s="25" t="n">
        <f aca="false">IF(T25&gt;0,D25,C25)</f>
        <v>-0.00925445556640625</v>
      </c>
      <c r="D26" s="41" t="n">
        <f aca="false">(B26+C26)/2</f>
        <v>-0.00925731658935547</v>
      </c>
      <c r="E26" s="15" t="n">
        <f aca="false">$C$2*(1+IF(E$3&lt;=$O$2,$D26,$D26-($D26-$I$6)*MIN(E$3-$O$2,$Q$2)/$Q$2))</f>
        <v>2457.0418548584</v>
      </c>
      <c r="F26" s="15" t="n">
        <f aca="false">E26*(1+IF(F$3&lt;=$O$2,$D26,$D26-($D26-$I$6)*MIN(F$3-$O$2,$Q$2)/$Q$2))</f>
        <v>2434.29624053468</v>
      </c>
      <c r="G26" s="15" t="n">
        <f aca="false">F26*(1+IF(G$3&lt;=$O$2,$D26,$D26-($D26-$I$6)*MIN(G$3-$O$2,$Q$2)/$Q$2))</f>
        <v>2411.76118956377</v>
      </c>
      <c r="H26" s="15" t="n">
        <f aca="false">G26*(1+IF(H$3&lt;=$O$2,$D26,$D26-($D26-$I$6)*MIN(H$3-$O$2,$Q$2)/$Q$2))</f>
        <v>2389.43475269406</v>
      </c>
      <c r="I26" s="15" t="n">
        <f aca="false">H26*(1+IF(I$3&lt;=$O$2,$D26,$D26-($D26-$I$6)*MIN(I$3-$O$2,$Q$2)/$Q$2))</f>
        <v>2367.31499871876</v>
      </c>
      <c r="J26" s="15" t="n">
        <f aca="false">I26*(1+IF(J$3&lt;=$O$2,$D26,$D26-($D26-$I$6)*MIN(J$3-$O$2,$Q$2)/$Q$2))</f>
        <v>2363.18201408361</v>
      </c>
      <c r="K26" s="15" t="n">
        <f aca="false">J26*(1+IF(K$3&lt;=$O$2,$D26,$D26-($D26-$I$6)*MIN(K$3-$O$2,$Q$2)/$Q$2))</f>
        <v>2376.80720004545</v>
      </c>
      <c r="L26" s="15" t="n">
        <f aca="false">K26*(1+IF(L$3&lt;=$O$2,$D26,$D26-($D26-$I$6)*MIN(L$3-$O$2,$Q$2)/$Q$2))</f>
        <v>2408.36424361315</v>
      </c>
      <c r="M26" s="15" t="n">
        <f aca="false">L26*(1+IF(M$3&lt;=$O$2,$D26,$D26-($D26-$I$6)*MIN(M$3-$O$2,$Q$2)/$Q$2))</f>
        <v>2458.43061203543</v>
      </c>
      <c r="N26" s="15" t="n">
        <f aca="false">M26*(1+IF(N$3&lt;=$O$2,$D26,$D26-($D26-$I$6)*MIN(N$3-$O$2,$Q$2)/$Q$2))</f>
        <v>2528.00419835604</v>
      </c>
      <c r="O26" s="15" t="n">
        <f aca="false">SUMPRODUCT(E26:N26,1/(1+$F$6)^$E$3:$N$3)*$E$2</f>
        <v>4843.06505141459</v>
      </c>
      <c r="P26" s="15" t="n">
        <f aca="false">N26*$E$2*(1+$I$6)/($F$6-$I$6)/(1+$F$6)^$N$3</f>
        <v>6721.57409305855</v>
      </c>
      <c r="Q26" s="15" t="n">
        <f aca="false">O26+P26</f>
        <v>11564.6391444731</v>
      </c>
      <c r="R26" s="15" t="n">
        <f aca="false">Q26-$G$2+$I$2</f>
        <v>10289.9691444731</v>
      </c>
      <c r="S26" s="42" t="n">
        <f aca="false">R26/$K$2</f>
        <v>289.28785899559</v>
      </c>
      <c r="T26" s="43" t="n">
        <f aca="false">S26-$M$2</f>
        <v>-0.00086745928780374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-0.00925731658935547</v>
      </c>
      <c r="C27" s="25" t="n">
        <f aca="false">IF(T26&gt;0,D26,C26)</f>
        <v>-0.00925445556640625</v>
      </c>
      <c r="D27" s="41" t="n">
        <f aca="false">(B27+C27)/2</f>
        <v>-0.00925588607788086</v>
      </c>
      <c r="E27" s="15" t="n">
        <f aca="false">$C$2*(1+IF(E$3&lt;=$O$2,$D27,$D27-($D27-$I$6)*MIN(E$3-$O$2,$Q$2)/$Q$2))</f>
        <v>2457.04540252686</v>
      </c>
      <c r="F27" s="15" t="n">
        <f aca="false">E27*(1+IF(F$3&lt;=$O$2,$D27,$D27-($D27-$I$6)*MIN(F$3-$O$2,$Q$2)/$Q$2))</f>
        <v>2434.30327019289</v>
      </c>
      <c r="G27" s="15" t="n">
        <f aca="false">F27*(1+IF(G$3&lt;=$O$2,$D27,$D27-($D27-$I$6)*MIN(G$3-$O$2,$Q$2)/$Q$2))</f>
        <v>2411.77163644497</v>
      </c>
      <c r="H27" s="15" t="n">
        <f aca="false">G27*(1+IF(H$3&lt;=$O$2,$D27,$D27-($D27-$I$6)*MIN(H$3-$O$2,$Q$2)/$Q$2))</f>
        <v>2389.44855293217</v>
      </c>
      <c r="I27" s="15" t="n">
        <f aca="false">H27*(1+IF(I$3&lt;=$O$2,$D27,$D27-($D27-$I$6)*MIN(I$3-$O$2,$Q$2)/$Q$2))</f>
        <v>2367.33208933727</v>
      </c>
      <c r="J27" s="15" t="n">
        <f aca="false">I27*(1+IF(J$3&lt;=$O$2,$D27,$D27-($D27-$I$6)*MIN(J$3-$O$2,$Q$2)/$Q$2))</f>
        <v>2363.20178406099</v>
      </c>
      <c r="K27" s="15" t="n">
        <f aca="false">J27*(1+IF(K$3&lt;=$O$2,$D27,$D27-($D27-$I$6)*MIN(K$3-$O$2,$Q$2)/$Q$2))</f>
        <v>2376.82911236117</v>
      </c>
      <c r="L27" s="15" t="n">
        <f aca="false">K27*(1+IF(L$3&lt;=$O$2,$D27,$D27-($D27-$I$6)*MIN(L$3-$O$2,$Q$2)/$Q$2))</f>
        <v>2408.38780689282</v>
      </c>
      <c r="M27" s="15" t="n">
        <f aca="false">L27*(1+IF(M$3&lt;=$O$2,$D27,$D27-($D27-$I$6)*MIN(M$3-$O$2,$Q$2)/$Q$2))</f>
        <v>2458.45535420648</v>
      </c>
      <c r="N27" s="15" t="n">
        <f aca="false">M27*(1+IF(N$3&lt;=$O$2,$D27,$D27-($D27-$I$6)*MIN(N$3-$O$2,$Q$2)/$Q$2))</f>
        <v>2528.02964073052</v>
      </c>
      <c r="O27" s="15" t="n">
        <f aca="false">SUMPRODUCT(E27:N27,1/(1+$F$6)^$E$3:$N$3)*$E$2</f>
        <v>4843.09530430074</v>
      </c>
      <c r="P27" s="15" t="n">
        <f aca="false">N27*$E$2*(1+$I$6)/($F$6-$I$6)/(1+$F$6)^$N$3</f>
        <v>6721.64174041662</v>
      </c>
      <c r="Q27" s="15" t="n">
        <f aca="false">O27+P27</f>
        <v>11564.7370447174</v>
      </c>
      <c r="R27" s="15" t="n">
        <f aca="false">Q27-$G$2+$I$2</f>
        <v>10290.0670447174</v>
      </c>
      <c r="S27" s="42" t="n">
        <f aca="false">R27/$K$2</f>
        <v>289.290611321826</v>
      </c>
      <c r="T27" s="43" t="n">
        <f aca="false">S27-$M$2</f>
        <v>0.00188486694850099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-0.00925731658935547</v>
      </c>
      <c r="C28" s="25" t="n">
        <f aca="false">IF(T27&gt;0,D27,C27)</f>
        <v>-0.00925588607788086</v>
      </c>
      <c r="D28" s="41" t="n">
        <f aca="false">(B28+C28)/2</f>
        <v>-0.00925660133361816</v>
      </c>
      <c r="E28" s="15" t="n">
        <f aca="false">$C$2*(1+IF(E$3&lt;=$O$2,$D28,$D28-($D28-$I$6)*MIN(E$3-$O$2,$Q$2)/$Q$2))</f>
        <v>2457.04362869263</v>
      </c>
      <c r="F28" s="15" t="n">
        <f aca="false">E28*(1+IF(F$3&lt;=$O$2,$D28,$D28-($D28-$I$6)*MIN(F$3-$O$2,$Q$2)/$Q$2))</f>
        <v>2434.29975536251</v>
      </c>
      <c r="G28" s="15" t="n">
        <f aca="false">F28*(1+IF(G$3&lt;=$O$2,$D28,$D28-($D28-$I$6)*MIN(G$3-$O$2,$Q$2)/$Q$2))</f>
        <v>2411.7664130006</v>
      </c>
      <c r="H28" s="15" t="n">
        <f aca="false">G28*(1+IF(H$3&lt;=$O$2,$D28,$D28-($D28-$I$6)*MIN(H$3-$O$2,$Q$2)/$Q$2))</f>
        <v>2389.44165280564</v>
      </c>
      <c r="I28" s="15" t="n">
        <f aca="false">H28*(1+IF(I$3&lt;=$O$2,$D28,$D28-($D28-$I$6)*MIN(I$3-$O$2,$Q$2)/$Q$2))</f>
        <v>2367.32354401568</v>
      </c>
      <c r="J28" s="15" t="n">
        <f aca="false">I28*(1+IF(J$3&lt;=$O$2,$D28,$D28-($D28-$I$6)*MIN(J$3-$O$2,$Q$2)/$Q$2))</f>
        <v>2363.19189905509</v>
      </c>
      <c r="K28" s="15" t="n">
        <f aca="false">J28*(1+IF(K$3&lt;=$O$2,$D28,$D28-($D28-$I$6)*MIN(K$3-$O$2,$Q$2)/$Q$2))</f>
        <v>2376.81815618176</v>
      </c>
      <c r="L28" s="15" t="n">
        <f aca="false">K28*(1+IF(L$3&lt;=$O$2,$D28,$D28-($D28-$I$6)*MIN(L$3-$O$2,$Q$2)/$Q$2))</f>
        <v>2408.37602522802</v>
      </c>
      <c r="M28" s="15" t="n">
        <f aca="false">L28*(1+IF(M$3&lt;=$O$2,$D28,$D28-($D28-$I$6)*MIN(M$3-$O$2,$Q$2)/$Q$2))</f>
        <v>2458.44298309378</v>
      </c>
      <c r="N28" s="15" t="n">
        <f aca="false">M28*(1+IF(N$3&lt;=$O$2,$D28,$D28-($D28-$I$6)*MIN(N$3-$O$2,$Q$2)/$Q$2))</f>
        <v>2528.01691951534</v>
      </c>
      <c r="O28" s="15" t="n">
        <f aca="false">SUMPRODUCT(E28:N28,1/(1+$F$6)^$E$3:$N$3)*$E$2</f>
        <v>4843.08017783343</v>
      </c>
      <c r="P28" s="15" t="n">
        <f aca="false">N28*$E$2*(1+$I$6)/($F$6-$I$6)/(1+$F$6)^$N$3</f>
        <v>6721.60791666329</v>
      </c>
      <c r="Q28" s="15" t="n">
        <f aca="false">O28+P28</f>
        <v>11564.6880944967</v>
      </c>
      <c r="R28" s="15" t="n">
        <f aca="false">Q28-$G$2+$I$2</f>
        <v>10290.0180944967</v>
      </c>
      <c r="S28" s="42" t="n">
        <f aca="false">R28/$K$2</f>
        <v>289.289235155938</v>
      </c>
      <c r="T28" s="43" t="n">
        <f aca="false">S28-$M$2</f>
        <v>0.000508701060425665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-0.00925731658935547</v>
      </c>
      <c r="C29" s="25" t="n">
        <f aca="false">IF(T28&gt;0,D28,C28)</f>
        <v>-0.00925660133361816</v>
      </c>
      <c r="D29" s="41" t="n">
        <f aca="false">(B29+C29)/2</f>
        <v>-0.00925695896148682</v>
      </c>
      <c r="E29" s="15" t="n">
        <f aca="false">$C$2*(1+IF(E$3&lt;=$O$2,$D29,$D29-($D29-$I$6)*MIN(E$3-$O$2,$Q$2)/$Q$2))</f>
        <v>2457.04274177551</v>
      </c>
      <c r="F29" s="15" t="n">
        <f aca="false">E29*(1+IF(F$3&lt;=$O$2,$D29,$D29-($D29-$I$6)*MIN(F$3-$O$2,$Q$2)/$Q$2))</f>
        <v>2434.29799794828</v>
      </c>
      <c r="G29" s="15" t="n">
        <f aca="false">F29*(1+IF(G$3&lt;=$O$2,$D29,$D29-($D29-$I$6)*MIN(G$3-$O$2,$Q$2)/$Q$2))</f>
        <v>2411.76380128124</v>
      </c>
      <c r="H29" s="15" t="n">
        <f aca="false">G29*(1+IF(H$3&lt;=$O$2,$D29,$D29-($D29-$I$6)*MIN(H$3-$O$2,$Q$2)/$Q$2))</f>
        <v>2389.43820274798</v>
      </c>
      <c r="I29" s="15" t="n">
        <f aca="false">H29*(1+IF(I$3&lt;=$O$2,$D29,$D29-($D29-$I$6)*MIN(I$3-$O$2,$Q$2)/$Q$2))</f>
        <v>2367.31927136413</v>
      </c>
      <c r="J29" s="15" t="n">
        <f aca="false">I29*(1+IF(J$3&lt;=$O$2,$D29,$D29-($D29-$I$6)*MIN(J$3-$O$2,$Q$2)/$Q$2))</f>
        <v>2363.18695656505</v>
      </c>
      <c r="K29" s="15" t="n">
        <f aca="false">J29*(1+IF(K$3&lt;=$O$2,$D29,$D29-($D29-$I$6)*MIN(K$3-$O$2,$Q$2)/$Q$2))</f>
        <v>2376.81267810822</v>
      </c>
      <c r="L29" s="15" t="n">
        <f aca="false">K29*(1+IF(L$3&lt;=$O$2,$D29,$D29-($D29-$I$6)*MIN(L$3-$O$2,$Q$2)/$Q$2))</f>
        <v>2408.37013441434</v>
      </c>
      <c r="M29" s="15" t="n">
        <f aca="false">L29*(1+IF(M$3&lt;=$O$2,$D29,$D29-($D29-$I$6)*MIN(M$3-$O$2,$Q$2)/$Q$2))</f>
        <v>2458.43679755782</v>
      </c>
      <c r="N29" s="15" t="n">
        <f aca="false">M29*(1+IF(N$3&lt;=$O$2,$D29,$D29-($D29-$I$6)*MIN(N$3-$O$2,$Q$2)/$Q$2))</f>
        <v>2528.0105589287</v>
      </c>
      <c r="O29" s="15" t="n">
        <f aca="false">SUMPRODUCT(E29:N29,1/(1+$F$6)^$E$3:$N$3)*$E$2</f>
        <v>4843.07261461795</v>
      </c>
      <c r="P29" s="15" t="n">
        <f aca="false">N29*$E$2*(1+$I$6)/($F$6-$I$6)/(1+$F$6)^$N$3</f>
        <v>6721.59100484235</v>
      </c>
      <c r="Q29" s="15" t="n">
        <f aca="false">O29+P29</f>
        <v>11564.6636194603</v>
      </c>
      <c r="R29" s="15" t="n">
        <f aca="false">Q29-$G$2+$I$2</f>
        <v>10289.9936194603</v>
      </c>
      <c r="S29" s="42" t="n">
        <f aca="false">R29/$K$2</f>
        <v>289.288547075072</v>
      </c>
      <c r="T29" s="43" t="n">
        <f aca="false">S29-$M$2</f>
        <v>-0.000179379806070301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-0.00925695896148682</v>
      </c>
      <c r="C30" s="25" t="n">
        <f aca="false">IF(T29&gt;0,D29,C29)</f>
        <v>-0.00925660133361816</v>
      </c>
      <c r="D30" s="41" t="n">
        <f aca="false">(B30+C30)/2</f>
        <v>-0.00925678014755249</v>
      </c>
      <c r="E30" s="15" t="n">
        <f aca="false">$C$2*(1+IF(E$3&lt;=$O$2,$D30,$D30-($D30-$I$6)*MIN(E$3-$O$2,$Q$2)/$Q$2))</f>
        <v>2457.04318523407</v>
      </c>
      <c r="F30" s="15" t="n">
        <f aca="false">E30*(1+IF(F$3&lt;=$O$2,$D30,$D30-($D30-$I$6)*MIN(F$3-$O$2,$Q$2)/$Q$2))</f>
        <v>2434.29887665532</v>
      </c>
      <c r="G30" s="15" t="n">
        <f aca="false">F30*(1+IF(G$3&lt;=$O$2,$D30,$D30-($D30-$I$6)*MIN(G$3-$O$2,$Q$2)/$Q$2))</f>
        <v>2411.76510714068</v>
      </c>
      <c r="H30" s="15" t="n">
        <f aca="false">G30*(1+IF(H$3&lt;=$O$2,$D30,$D30-($D30-$I$6)*MIN(H$3-$O$2,$Q$2)/$Q$2))</f>
        <v>2389.43992777634</v>
      </c>
      <c r="I30" s="15" t="n">
        <f aca="false">H30*(1+IF(I$3&lt;=$O$2,$D30,$D30-($D30-$I$6)*MIN(I$3-$O$2,$Q$2)/$Q$2))</f>
        <v>2367.32140768913</v>
      </c>
      <c r="J30" s="15" t="n">
        <f aca="false">I30*(1+IF(J$3&lt;=$O$2,$D30,$D30-($D30-$I$6)*MIN(J$3-$O$2,$Q$2)/$Q$2))</f>
        <v>2363.189427809</v>
      </c>
      <c r="K30" s="15" t="n">
        <f aca="false">J30*(1+IF(K$3&lt;=$O$2,$D30,$D30-($D30-$I$6)*MIN(K$3-$O$2,$Q$2)/$Q$2))</f>
        <v>2376.81541714365</v>
      </c>
      <c r="L30" s="15" t="n">
        <f aca="false">K30*(1+IF(L$3&lt;=$O$2,$D30,$D30-($D30-$I$6)*MIN(L$3-$O$2,$Q$2)/$Q$2))</f>
        <v>2408.37307981962</v>
      </c>
      <c r="M30" s="15" t="n">
        <f aca="false">L30*(1+IF(M$3&lt;=$O$2,$D30,$D30-($D30-$I$6)*MIN(M$3-$O$2,$Q$2)/$Q$2))</f>
        <v>2458.4398903241</v>
      </c>
      <c r="N30" s="15" t="n">
        <f aca="false">M30*(1+IF(N$3&lt;=$O$2,$D30,$D30-($D30-$I$6)*MIN(N$3-$O$2,$Q$2)/$Q$2))</f>
        <v>2528.01373922027</v>
      </c>
      <c r="O30" s="15" t="n">
        <f aca="false">SUMPRODUCT(E30:N30,1/(1+$F$6)^$E$3:$N$3)*$E$2</f>
        <v>4843.07639622418</v>
      </c>
      <c r="P30" s="15" t="n">
        <f aca="false">N30*$E$2*(1+$I$6)/($F$6-$I$6)/(1+$F$6)^$N$3</f>
        <v>6721.59946074817</v>
      </c>
      <c r="Q30" s="15" t="n">
        <f aca="false">O30+P30</f>
        <v>11564.6758569723</v>
      </c>
      <c r="R30" s="15" t="n">
        <f aca="false">Q30-$G$2+$I$2</f>
        <v>10290.0058569723</v>
      </c>
      <c r="S30" s="42" t="n">
        <f aca="false">R30/$K$2</f>
        <v>289.288891115332</v>
      </c>
      <c r="T30" s="43" t="n">
        <f aca="false">S30-$M$2</f>
        <v>0.000164660453947363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-0.00925695896148682</v>
      </c>
      <c r="C31" s="25" t="n">
        <f aca="false">IF(T30&gt;0,D30,C30)</f>
        <v>-0.00925678014755249</v>
      </c>
      <c r="D31" s="41" t="n">
        <f aca="false">(B31+C31)/2</f>
        <v>-0.00925686955451965</v>
      </c>
      <c r="E31" s="15" t="n">
        <f aca="false">$C$2*(1+IF(E$3&lt;=$O$2,$D31,$D31-($D31-$I$6)*MIN(E$3-$O$2,$Q$2)/$Q$2))</f>
        <v>2457.04296350479</v>
      </c>
      <c r="F31" s="15" t="n">
        <f aca="false">E31*(1+IF(F$3&lt;=$O$2,$D31,$D31-($D31-$I$6)*MIN(F$3-$O$2,$Q$2)/$Q$2))</f>
        <v>2434.29843730178</v>
      </c>
      <c r="G31" s="15" t="n">
        <f aca="false">F31*(1+IF(G$3&lt;=$O$2,$D31,$D31-($D31-$I$6)*MIN(G$3-$O$2,$Q$2)/$Q$2))</f>
        <v>2411.7644542109</v>
      </c>
      <c r="H31" s="15" t="n">
        <f aca="false">G31*(1+IF(H$3&lt;=$O$2,$D31,$D31-($D31-$I$6)*MIN(H$3-$O$2,$Q$2)/$Q$2))</f>
        <v>2389.43906526205</v>
      </c>
      <c r="I31" s="15" t="n">
        <f aca="false">H31*(1+IF(I$3&lt;=$O$2,$D31,$D31-($D31-$I$6)*MIN(I$3-$O$2,$Q$2)/$Q$2))</f>
        <v>2367.32033952644</v>
      </c>
      <c r="J31" s="15" t="n">
        <f aca="false">I31*(1+IF(J$3&lt;=$O$2,$D31,$D31-($D31-$I$6)*MIN(J$3-$O$2,$Q$2)/$Q$2))</f>
        <v>2363.18819218676</v>
      </c>
      <c r="K31" s="15" t="n">
        <f aca="false">J31*(1+IF(K$3&lt;=$O$2,$D31,$D31-($D31-$I$6)*MIN(K$3-$O$2,$Q$2)/$Q$2))</f>
        <v>2376.8140476256</v>
      </c>
      <c r="L31" s="15" t="n">
        <f aca="false">K31*(1+IF(L$3&lt;=$O$2,$D31,$D31-($D31-$I$6)*MIN(L$3-$O$2,$Q$2)/$Q$2))</f>
        <v>2408.37160711659</v>
      </c>
      <c r="M31" s="15" t="n">
        <f aca="false">L31*(1+IF(M$3&lt;=$O$2,$D31,$D31-($D31-$I$6)*MIN(M$3-$O$2,$Q$2)/$Q$2))</f>
        <v>2458.43834394053</v>
      </c>
      <c r="N31" s="15" t="n">
        <f aca="false">M31*(1+IF(N$3&lt;=$O$2,$D31,$D31-($D31-$I$6)*MIN(N$3-$O$2,$Q$2)/$Q$2))</f>
        <v>2528.01214907405</v>
      </c>
      <c r="O31" s="15" t="n">
        <f aca="false">SUMPRODUCT(E31:N31,1/(1+$F$6)^$E$3:$N$3)*$E$2</f>
        <v>4843.07450542068</v>
      </c>
      <c r="P31" s="15" t="n">
        <f aca="false">N31*$E$2*(1+$I$6)/($F$6-$I$6)/(1+$F$6)^$N$3</f>
        <v>6721.5952327941</v>
      </c>
      <c r="Q31" s="15" t="n">
        <f aca="false">O31+P31</f>
        <v>11564.6697382148</v>
      </c>
      <c r="R31" s="15" t="n">
        <f aca="false">Q31-$G$2+$I$2</f>
        <v>10289.9997382148</v>
      </c>
      <c r="S31" s="42" t="n">
        <f aca="false">R31/$K$2</f>
        <v>289.288719095158</v>
      </c>
      <c r="T31" s="43" t="n">
        <f aca="false">S31-$M$2</f>
        <v>-7.35971934773261E-006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-0.00925686955451965</v>
      </c>
      <c r="C32" s="25" t="n">
        <f aca="false">IF(T31&gt;0,D31,C31)</f>
        <v>-0.00925678014755249</v>
      </c>
      <c r="D32" s="41" t="n">
        <f aca="false">(B32+C32)/2</f>
        <v>-0.00925682485103607</v>
      </c>
      <c r="E32" s="15" t="n">
        <f aca="false">$C$2*(1+IF(E$3&lt;=$O$2,$D32,$D32-($D32-$I$6)*MIN(E$3-$O$2,$Q$2)/$Q$2))</f>
        <v>2457.04307436943</v>
      </c>
      <c r="F32" s="15" t="n">
        <f aca="false">E32*(1+IF(F$3&lt;=$O$2,$D32,$D32-($D32-$I$6)*MIN(F$3-$O$2,$Q$2)/$Q$2))</f>
        <v>2434.29865697854</v>
      </c>
      <c r="G32" s="15" t="n">
        <f aca="false">F32*(1+IF(G$3&lt;=$O$2,$D32,$D32-($D32-$I$6)*MIN(G$3-$O$2,$Q$2)/$Q$2))</f>
        <v>2411.76478067578</v>
      </c>
      <c r="H32" s="15" t="n">
        <f aca="false">G32*(1+IF(H$3&lt;=$O$2,$D32,$D32-($D32-$I$6)*MIN(H$3-$O$2,$Q$2)/$Q$2))</f>
        <v>2389.43949651917</v>
      </c>
      <c r="I32" s="15" t="n">
        <f aca="false">H32*(1+IF(I$3&lt;=$O$2,$D32,$D32-($D32-$I$6)*MIN(I$3-$O$2,$Q$2)/$Q$2))</f>
        <v>2367.32087360774</v>
      </c>
      <c r="J32" s="15" t="n">
        <f aca="false">I32*(1+IF(J$3&lt;=$O$2,$D32,$D32-($D32-$I$6)*MIN(J$3-$O$2,$Q$2)/$Q$2))</f>
        <v>2363.18880999781</v>
      </c>
      <c r="K32" s="15" t="n">
        <f aca="false">J32*(1+IF(K$3&lt;=$O$2,$D32,$D32-($D32-$I$6)*MIN(K$3-$O$2,$Q$2)/$Q$2))</f>
        <v>2376.81473238454</v>
      </c>
      <c r="L32" s="15" t="n">
        <f aca="false">K32*(1+IF(L$3&lt;=$O$2,$D32,$D32-($D32-$I$6)*MIN(L$3-$O$2,$Q$2)/$Q$2))</f>
        <v>2408.37234346801</v>
      </c>
      <c r="M32" s="15" t="n">
        <f aca="false">L32*(1+IF(M$3&lt;=$O$2,$D32,$D32-($D32-$I$6)*MIN(M$3-$O$2,$Q$2)/$Q$2))</f>
        <v>2458.43911713221</v>
      </c>
      <c r="N32" s="15" t="n">
        <f aca="false">M32*(1+IF(N$3&lt;=$O$2,$D32,$D32-($D32-$I$6)*MIN(N$3-$O$2,$Q$2)/$Q$2))</f>
        <v>2528.01294414705</v>
      </c>
      <c r="O32" s="15" t="n">
        <f aca="false">SUMPRODUCT(E32:N32,1/(1+$F$6)^$E$3:$N$3)*$E$2</f>
        <v>4843.07545082234</v>
      </c>
      <c r="P32" s="15" t="n">
        <f aca="false">N32*$E$2*(1+$I$6)/($F$6-$I$6)/(1+$F$6)^$N$3</f>
        <v>6721.59734677085</v>
      </c>
      <c r="Q32" s="15" t="n">
        <f aca="false">O32+P32</f>
        <v>11564.6727975932</v>
      </c>
      <c r="R32" s="15" t="n">
        <f aca="false">Q32-$G$2+$I$2</f>
        <v>10290.0027975932</v>
      </c>
      <c r="S32" s="42" t="n">
        <f aca="false">R32/$K$2</f>
        <v>289.288805105234</v>
      </c>
      <c r="T32" s="43" t="n">
        <f aca="false">S32-$M$2</f>
        <v>7.8650356556409E-005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-0.00925686955451965</v>
      </c>
      <c r="C33" s="25" t="n">
        <f aca="false">IF(T32&gt;0,D32,C32)</f>
        <v>-0.00925682485103607</v>
      </c>
      <c r="D33" s="41" t="n">
        <f aca="false">(B33+C33)/2</f>
        <v>-0.00925684720277786</v>
      </c>
      <c r="E33" s="15" t="n">
        <f aca="false">$C$2*(1+IF(E$3&lt;=$O$2,$D33,$D33-($D33-$I$6)*MIN(E$3-$O$2,$Q$2)/$Q$2))</f>
        <v>2457.04301893711</v>
      </c>
      <c r="F33" s="15" t="n">
        <f aca="false">E33*(1+IF(F$3&lt;=$O$2,$D33,$D33-($D33-$I$6)*MIN(F$3-$O$2,$Q$2)/$Q$2))</f>
        <v>2434.29854714016</v>
      </c>
      <c r="G33" s="15" t="n">
        <f aca="false">F33*(1+IF(G$3&lt;=$O$2,$D33,$D33-($D33-$I$6)*MIN(G$3-$O$2,$Q$2)/$Q$2))</f>
        <v>2411.76461744334</v>
      </c>
      <c r="H33" s="15" t="n">
        <f aca="false">G33*(1+IF(H$3&lt;=$O$2,$D33,$D33-($D33-$I$6)*MIN(H$3-$O$2,$Q$2)/$Q$2))</f>
        <v>2389.4392808906</v>
      </c>
      <c r="I33" s="15" t="n">
        <f aca="false">H33*(1+IF(I$3&lt;=$O$2,$D33,$D33-($D33-$I$6)*MIN(I$3-$O$2,$Q$2)/$Q$2))</f>
        <v>2367.32060656708</v>
      </c>
      <c r="J33" s="15" t="n">
        <f aca="false">I33*(1+IF(J$3&lt;=$O$2,$D33,$D33-($D33-$I$6)*MIN(J$3-$O$2,$Q$2)/$Q$2))</f>
        <v>2363.18850109227</v>
      </c>
      <c r="K33" s="15" t="n">
        <f aca="false">J33*(1+IF(K$3&lt;=$O$2,$D33,$D33-($D33-$I$6)*MIN(K$3-$O$2,$Q$2)/$Q$2))</f>
        <v>2376.81439000505</v>
      </c>
      <c r="L33" s="15" t="n">
        <f aca="false">K33*(1+IF(L$3&lt;=$O$2,$D33,$D33-($D33-$I$6)*MIN(L$3-$O$2,$Q$2)/$Q$2))</f>
        <v>2408.37197529228</v>
      </c>
      <c r="M33" s="15" t="n">
        <f aca="false">L33*(1+IF(M$3&lt;=$O$2,$D33,$D33-($D33-$I$6)*MIN(M$3-$O$2,$Q$2)/$Q$2))</f>
        <v>2458.43873053635</v>
      </c>
      <c r="N33" s="15" t="n">
        <f aca="false">M33*(1+IF(N$3&lt;=$O$2,$D33,$D33-($D33-$I$6)*MIN(N$3-$O$2,$Q$2)/$Q$2))</f>
        <v>2528.01254661052</v>
      </c>
      <c r="O33" s="15" t="n">
        <f aca="false">SUMPRODUCT(E33:N33,1/(1+$F$6)^$E$3:$N$3)*$E$2</f>
        <v>4843.07497812149</v>
      </c>
      <c r="P33" s="15" t="n">
        <f aca="false">N33*$E$2*(1+$I$6)/($F$6-$I$6)/(1+$F$6)^$N$3</f>
        <v>6721.5962897824</v>
      </c>
      <c r="Q33" s="15" t="n">
        <f aca="false">O33+P33</f>
        <v>11564.6712679039</v>
      </c>
      <c r="R33" s="15" t="n">
        <f aca="false">Q33-$G$2+$I$2</f>
        <v>10290.0012679039</v>
      </c>
      <c r="S33" s="42" t="n">
        <f aca="false">R33/$K$2</f>
        <v>289.288762100194</v>
      </c>
      <c r="T33" s="43" t="n">
        <f aca="false">S33-$M$2</f>
        <v>3.56453159042758E-005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-0.00925686955451965</v>
      </c>
      <c r="C34" s="25" t="n">
        <f aca="false">IF(T33&gt;0,D33,C33)</f>
        <v>-0.00925684720277786</v>
      </c>
      <c r="D34" s="41" t="n">
        <f aca="false">(B34+C34)/2</f>
        <v>-0.00925685837864876</v>
      </c>
      <c r="E34" s="15" t="n">
        <f aca="false">$C$2*(1+IF(E$3&lt;=$O$2,$D34,$D34-($D34-$I$6)*MIN(E$3-$O$2,$Q$2)/$Q$2))</f>
        <v>2457.04299122095</v>
      </c>
      <c r="F34" s="15" t="n">
        <f aca="false">E34*(1+IF(F$3&lt;=$O$2,$D34,$D34-($D34-$I$6)*MIN(F$3-$O$2,$Q$2)/$Q$2))</f>
        <v>2434.29849222097</v>
      </c>
      <c r="G34" s="15" t="n">
        <f aca="false">F34*(1+IF(G$3&lt;=$O$2,$D34,$D34-($D34-$I$6)*MIN(G$3-$O$2,$Q$2)/$Q$2))</f>
        <v>2411.76453582712</v>
      </c>
      <c r="H34" s="15" t="n">
        <f aca="false">G34*(1+IF(H$3&lt;=$O$2,$D34,$D34-($D34-$I$6)*MIN(H$3-$O$2,$Q$2)/$Q$2))</f>
        <v>2389.43917307632</v>
      </c>
      <c r="I34" s="15" t="n">
        <f aca="false">H34*(1+IF(I$3&lt;=$O$2,$D34,$D34-($D34-$I$6)*MIN(I$3-$O$2,$Q$2)/$Q$2))</f>
        <v>2367.32047304676</v>
      </c>
      <c r="J34" s="15" t="n">
        <f aca="false">I34*(1+IF(J$3&lt;=$O$2,$D34,$D34-($D34-$I$6)*MIN(J$3-$O$2,$Q$2)/$Q$2))</f>
        <v>2363.18834663951</v>
      </c>
      <c r="K34" s="15" t="n">
        <f aca="false">J34*(1+IF(K$3&lt;=$O$2,$D34,$D34-($D34-$I$6)*MIN(K$3-$O$2,$Q$2)/$Q$2))</f>
        <v>2376.81421881532</v>
      </c>
      <c r="L34" s="15" t="n">
        <f aca="false">K34*(1+IF(L$3&lt;=$O$2,$D34,$D34-($D34-$I$6)*MIN(L$3-$O$2,$Q$2)/$Q$2))</f>
        <v>2408.37179120443</v>
      </c>
      <c r="M34" s="15" t="n">
        <f aca="false">L34*(1+IF(M$3&lt;=$O$2,$D34,$D34-($D34-$I$6)*MIN(M$3-$O$2,$Q$2)/$Q$2))</f>
        <v>2458.43853723843</v>
      </c>
      <c r="N34" s="15" t="n">
        <f aca="false">M34*(1+IF(N$3&lt;=$O$2,$D34,$D34-($D34-$I$6)*MIN(N$3-$O$2,$Q$2)/$Q$2))</f>
        <v>2528.01234784228</v>
      </c>
      <c r="O34" s="15" t="n">
        <f aca="false">SUMPRODUCT(E34:N34,1/(1+$F$6)^$E$3:$N$3)*$E$2</f>
        <v>4843.07474177108</v>
      </c>
      <c r="P34" s="15" t="n">
        <f aca="false">N34*$E$2*(1+$I$6)/($F$6-$I$6)/(1+$F$6)^$N$3</f>
        <v>6721.59576128823</v>
      </c>
      <c r="Q34" s="15" t="n">
        <f aca="false">O34+P34</f>
        <v>11564.6705030593</v>
      </c>
      <c r="R34" s="15" t="n">
        <f aca="false">Q34-$G$2+$I$2</f>
        <v>10290.0005030593</v>
      </c>
      <c r="S34" s="42" t="n">
        <f aca="false">R34/$K$2</f>
        <v>289.288740597675</v>
      </c>
      <c r="T34" s="43" t="n">
        <f aca="false">S34-$M$2</f>
        <v>1.41427975108854E-005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-0.00925686955451965</v>
      </c>
      <c r="C35" s="25" t="n">
        <f aca="false">IF(T34&gt;0,D34,C34)</f>
        <v>-0.00925685837864876</v>
      </c>
      <c r="D35" s="41" t="n">
        <f aca="false">(B35+C35)/2</f>
        <v>-0.00925686396658421</v>
      </c>
      <c r="E35" s="15" t="n">
        <f aca="false">$C$2*(1+IF(E$3&lt;=$O$2,$D35,$D35-($D35-$I$6)*MIN(E$3-$O$2,$Q$2)/$Q$2))</f>
        <v>2457.04297736287</v>
      </c>
      <c r="F35" s="15" t="n">
        <f aca="false">E35*(1+IF(F$3&lt;=$O$2,$D35,$D35-($D35-$I$6)*MIN(F$3-$O$2,$Q$2)/$Q$2))</f>
        <v>2434.29846476137</v>
      </c>
      <c r="G35" s="15" t="n">
        <f aca="false">F35*(1+IF(G$3&lt;=$O$2,$D35,$D35-($D35-$I$6)*MIN(G$3-$O$2,$Q$2)/$Q$2))</f>
        <v>2411.76449501901</v>
      </c>
      <c r="H35" s="15" t="n">
        <f aca="false">G35*(1+IF(H$3&lt;=$O$2,$D35,$D35-($D35-$I$6)*MIN(H$3-$O$2,$Q$2)/$Q$2))</f>
        <v>2389.43911916918</v>
      </c>
      <c r="I35" s="15" t="n">
        <f aca="false">H35*(1+IF(I$3&lt;=$O$2,$D35,$D35-($D35-$I$6)*MIN(I$3-$O$2,$Q$2)/$Q$2))</f>
        <v>2367.3204062866</v>
      </c>
      <c r="J35" s="15" t="n">
        <f aca="false">I35*(1+IF(J$3&lt;=$O$2,$D35,$D35-($D35-$I$6)*MIN(J$3-$O$2,$Q$2)/$Q$2))</f>
        <v>2363.18826941313</v>
      </c>
      <c r="K35" s="15" t="n">
        <f aca="false">J35*(1+IF(K$3&lt;=$O$2,$D35,$D35-($D35-$I$6)*MIN(K$3-$O$2,$Q$2)/$Q$2))</f>
        <v>2376.81413322046</v>
      </c>
      <c r="L35" s="15" t="n">
        <f aca="false">K35*(1+IF(L$3&lt;=$O$2,$D35,$D35-($D35-$I$6)*MIN(L$3-$O$2,$Q$2)/$Q$2))</f>
        <v>2408.37169916051</v>
      </c>
      <c r="M35" s="15" t="n">
        <f aca="false">L35*(1+IF(M$3&lt;=$O$2,$D35,$D35-($D35-$I$6)*MIN(M$3-$O$2,$Q$2)/$Q$2))</f>
        <v>2458.43844058948</v>
      </c>
      <c r="N35" s="15" t="n">
        <f aca="false">M35*(1+IF(N$3&lt;=$O$2,$D35,$D35-($D35-$I$6)*MIN(N$3-$O$2,$Q$2)/$Q$2))</f>
        <v>2528.01224845816</v>
      </c>
      <c r="O35" s="15" t="n">
        <f aca="false">SUMPRODUCT(E35:N35,1/(1+$F$6)^$E$3:$N$3)*$E$2</f>
        <v>4843.07462359588</v>
      </c>
      <c r="P35" s="15" t="n">
        <f aca="false">N35*$E$2*(1+$I$6)/($F$6-$I$6)/(1+$F$6)^$N$3</f>
        <v>6721.59549704116</v>
      </c>
      <c r="Q35" s="15" t="n">
        <f aca="false">O35+P35</f>
        <v>11564.670120637</v>
      </c>
      <c r="R35" s="15" t="n">
        <f aca="false">Q35-$G$2+$I$2</f>
        <v>10290.000120637</v>
      </c>
      <c r="S35" s="42" t="n">
        <f aca="false">R35/$K$2</f>
        <v>289.288729846417</v>
      </c>
      <c r="T35" s="43" t="n">
        <f aca="false">S35-$M$2</f>
        <v>3.39153888262445E-006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-0.00925686955451965</v>
      </c>
      <c r="C36" s="25" t="n">
        <f aca="false">IF(T35&gt;0,D35,C35)</f>
        <v>-0.00925686396658421</v>
      </c>
      <c r="D36" s="41" t="n">
        <f aca="false">(B36+C36)/2</f>
        <v>-0.00925686676055193</v>
      </c>
      <c r="E36" s="15" t="n">
        <f aca="false">$C$2*(1+IF(E$3&lt;=$O$2,$D36,$D36-($D36-$I$6)*MIN(E$3-$O$2,$Q$2)/$Q$2))</f>
        <v>2457.04297043383</v>
      </c>
      <c r="F36" s="15" t="n">
        <f aca="false">E36*(1+IF(F$3&lt;=$O$2,$D36,$D36-($D36-$I$6)*MIN(F$3-$O$2,$Q$2)/$Q$2))</f>
        <v>2434.29845103157</v>
      </c>
      <c r="G36" s="15" t="n">
        <f aca="false">F36*(1+IF(G$3&lt;=$O$2,$D36,$D36-($D36-$I$6)*MIN(G$3-$O$2,$Q$2)/$Q$2))</f>
        <v>2411.76447461496</v>
      </c>
      <c r="H36" s="15" t="n">
        <f aca="false">G36*(1+IF(H$3&lt;=$O$2,$D36,$D36-($D36-$I$6)*MIN(H$3-$O$2,$Q$2)/$Q$2))</f>
        <v>2389.43909221561</v>
      </c>
      <c r="I36" s="15" t="n">
        <f aca="false">H36*(1+IF(I$3&lt;=$O$2,$D36,$D36-($D36-$I$6)*MIN(I$3-$O$2,$Q$2)/$Q$2))</f>
        <v>2367.32037290652</v>
      </c>
      <c r="J36" s="15" t="n">
        <f aca="false">I36*(1+IF(J$3&lt;=$O$2,$D36,$D36-($D36-$I$6)*MIN(J$3-$O$2,$Q$2)/$Q$2))</f>
        <v>2363.18823079994</v>
      </c>
      <c r="K36" s="15" t="n">
        <f aca="false">J36*(1+IF(K$3&lt;=$O$2,$D36,$D36-($D36-$I$6)*MIN(K$3-$O$2,$Q$2)/$Q$2))</f>
        <v>2376.81409042303</v>
      </c>
      <c r="L36" s="15" t="n">
        <f aca="false">K36*(1+IF(L$3&lt;=$O$2,$D36,$D36-($D36-$I$6)*MIN(L$3-$O$2,$Q$2)/$Q$2))</f>
        <v>2408.37165313855</v>
      </c>
      <c r="M36" s="15" t="n">
        <f aca="false">L36*(1+IF(M$3&lt;=$O$2,$D36,$D36-($D36-$I$6)*MIN(M$3-$O$2,$Q$2)/$Q$2))</f>
        <v>2458.43839226501</v>
      </c>
      <c r="N36" s="15" t="n">
        <f aca="false">M36*(1+IF(N$3&lt;=$O$2,$D36,$D36-($D36-$I$6)*MIN(N$3-$O$2,$Q$2)/$Q$2))</f>
        <v>2528.01219876611</v>
      </c>
      <c r="O36" s="15" t="n">
        <f aca="false">SUMPRODUCT(E36:N36,1/(1+$F$6)^$E$3:$N$3)*$E$2</f>
        <v>4843.07456450828</v>
      </c>
      <c r="P36" s="15" t="n">
        <f aca="false">N36*$E$2*(1+$I$6)/($F$6-$I$6)/(1+$F$6)^$N$3</f>
        <v>6721.59536491763</v>
      </c>
      <c r="Q36" s="15" t="n">
        <f aca="false">O36+P36</f>
        <v>11564.6699294259</v>
      </c>
      <c r="R36" s="15" t="n">
        <f aca="false">Q36-$G$2+$I$2</f>
        <v>10289.9999294259</v>
      </c>
      <c r="S36" s="42" t="n">
        <f aca="false">R36/$K$2</f>
        <v>289.288724470787</v>
      </c>
      <c r="T36" s="43" t="n">
        <f aca="false">S36-$M$2</f>
        <v>-1.98409026097579E-006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-0.00925686676055193</v>
      </c>
      <c r="C37" s="25" t="n">
        <f aca="false">IF(T36&gt;0,D36,C36)</f>
        <v>-0.00925686396658421</v>
      </c>
      <c r="D37" s="41" t="n">
        <f aca="false">(B37+C37)/2</f>
        <v>-0.00925686536356807</v>
      </c>
      <c r="E37" s="15" t="n">
        <f aca="false">$C$2*(1+IF(E$3&lt;=$O$2,$D37,$D37-($D37-$I$6)*MIN(E$3-$O$2,$Q$2)/$Q$2))</f>
        <v>2457.04297389835</v>
      </c>
      <c r="F37" s="15" t="n">
        <f aca="false">E37*(1+IF(F$3&lt;=$O$2,$D37,$D37-($D37-$I$6)*MIN(F$3-$O$2,$Q$2)/$Q$2))</f>
        <v>2434.29845789647</v>
      </c>
      <c r="G37" s="15" t="n">
        <f aca="false">F37*(1+IF(G$3&lt;=$O$2,$D37,$D37-($D37-$I$6)*MIN(G$3-$O$2,$Q$2)/$Q$2))</f>
        <v>2411.76448481698</v>
      </c>
      <c r="H37" s="15" t="n">
        <f aca="false">G37*(1+IF(H$3&lt;=$O$2,$D37,$D37-($D37-$I$6)*MIN(H$3-$O$2,$Q$2)/$Q$2))</f>
        <v>2389.4391056924</v>
      </c>
      <c r="I37" s="15" t="n">
        <f aca="false">H37*(1+IF(I$3&lt;=$O$2,$D37,$D37-($D37-$I$6)*MIN(I$3-$O$2,$Q$2)/$Q$2))</f>
        <v>2367.32038959656</v>
      </c>
      <c r="J37" s="15" t="n">
        <f aca="false">I37*(1+IF(J$3&lt;=$O$2,$D37,$D37-($D37-$I$6)*MIN(J$3-$O$2,$Q$2)/$Q$2))</f>
        <v>2363.18825010654</v>
      </c>
      <c r="K37" s="15" t="n">
        <f aca="false">J37*(1+IF(K$3&lt;=$O$2,$D37,$D37-($D37-$I$6)*MIN(K$3-$O$2,$Q$2)/$Q$2))</f>
        <v>2376.81411182174</v>
      </c>
      <c r="L37" s="15" t="n">
        <f aca="false">K37*(1+IF(L$3&lt;=$O$2,$D37,$D37-($D37-$I$6)*MIN(L$3-$O$2,$Q$2)/$Q$2))</f>
        <v>2408.37167614953</v>
      </c>
      <c r="M37" s="15" t="n">
        <f aca="false">L37*(1+IF(M$3&lt;=$O$2,$D37,$D37-($D37-$I$6)*MIN(M$3-$O$2,$Q$2)/$Q$2))</f>
        <v>2458.43841642724</v>
      </c>
      <c r="N37" s="15" t="n">
        <f aca="false">M37*(1+IF(N$3&lt;=$O$2,$D37,$D37-($D37-$I$6)*MIN(N$3-$O$2,$Q$2)/$Q$2))</f>
        <v>2528.01222361214</v>
      </c>
      <c r="O37" s="15" t="n">
        <f aca="false">SUMPRODUCT(E37:N37,1/(1+$F$6)^$E$3:$N$3)*$E$2</f>
        <v>4843.07459405208</v>
      </c>
      <c r="P37" s="15" t="n">
        <f aca="false">N37*$E$2*(1+$I$6)/($F$6-$I$6)/(1+$F$6)^$N$3</f>
        <v>6721.59543097939</v>
      </c>
      <c r="Q37" s="15" t="n">
        <f aca="false">O37+P37</f>
        <v>11564.6700250315</v>
      </c>
      <c r="R37" s="15" t="n">
        <f aca="false">Q37-$G$2+$I$2</f>
        <v>10290.0000250315</v>
      </c>
      <c r="S37" s="42" t="n">
        <f aca="false">R37/$K$2</f>
        <v>289.288727158602</v>
      </c>
      <c r="T37" s="43" t="n">
        <f aca="false">S37-$M$2</f>
        <v>7.03724367667746E-007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-0.00925686676055193</v>
      </c>
      <c r="C38" s="25" t="n">
        <f aca="false">IF(T37&gt;0,D37,C37)</f>
        <v>-0.00925686536356807</v>
      </c>
      <c r="D38" s="41" t="n">
        <f aca="false">(B38+C38)/2</f>
        <v>-0.00925686606206</v>
      </c>
      <c r="E38" s="15" t="n">
        <f aca="false">$C$2*(1+IF(E$3&lt;=$O$2,$D38,$D38-($D38-$I$6)*MIN(E$3-$O$2,$Q$2)/$Q$2))</f>
        <v>2457.04297216609</v>
      </c>
      <c r="F38" s="15" t="n">
        <f aca="false">E38*(1+IF(F$3&lt;=$O$2,$D38,$D38-($D38-$I$6)*MIN(F$3-$O$2,$Q$2)/$Q$2))</f>
        <v>2434.29845446402</v>
      </c>
      <c r="G38" s="15" t="n">
        <f aca="false">F38*(1+IF(G$3&lt;=$O$2,$D38,$D38-($D38-$I$6)*MIN(G$3-$O$2,$Q$2)/$Q$2))</f>
        <v>2411.76447971597</v>
      </c>
      <c r="H38" s="15" t="n">
        <f aca="false">G38*(1+IF(H$3&lt;=$O$2,$D38,$D38-($D38-$I$6)*MIN(H$3-$O$2,$Q$2)/$Q$2))</f>
        <v>2389.43909895401</v>
      </c>
      <c r="I38" s="15" t="n">
        <f aca="false">H38*(1+IF(I$3&lt;=$O$2,$D38,$D38-($D38-$I$6)*MIN(I$3-$O$2,$Q$2)/$Q$2))</f>
        <v>2367.32038125154</v>
      </c>
      <c r="J38" s="15" t="n">
        <f aca="false">I38*(1+IF(J$3&lt;=$O$2,$D38,$D38-($D38-$I$6)*MIN(J$3-$O$2,$Q$2)/$Q$2))</f>
        <v>2363.18824045324</v>
      </c>
      <c r="K38" s="15" t="n">
        <f aca="false">J38*(1+IF(K$3&lt;=$O$2,$D38,$D38-($D38-$I$6)*MIN(K$3-$O$2,$Q$2)/$Q$2))</f>
        <v>2376.81410112238</v>
      </c>
      <c r="L38" s="15" t="n">
        <f aca="false">K38*(1+IF(L$3&lt;=$O$2,$D38,$D38-($D38-$I$6)*MIN(L$3-$O$2,$Q$2)/$Q$2))</f>
        <v>2408.37166464404</v>
      </c>
      <c r="M38" s="15" t="n">
        <f aca="false">L38*(1+IF(M$3&lt;=$O$2,$D38,$D38-($D38-$I$6)*MIN(M$3-$O$2,$Q$2)/$Q$2))</f>
        <v>2458.43840434613</v>
      </c>
      <c r="N38" s="15" t="n">
        <f aca="false">M38*(1+IF(N$3&lt;=$O$2,$D38,$D38-($D38-$I$6)*MIN(N$3-$O$2,$Q$2)/$Q$2))</f>
        <v>2528.01221118912</v>
      </c>
      <c r="O38" s="15" t="n">
        <f aca="false">SUMPRODUCT(E38:N38,1/(1+$F$6)^$E$3:$N$3)*$E$2</f>
        <v>4843.07457928018</v>
      </c>
      <c r="P38" s="15" t="n">
        <f aca="false">N38*$E$2*(1+$I$6)/($F$6-$I$6)/(1+$F$6)^$N$3</f>
        <v>6721.59539794851</v>
      </c>
      <c r="Q38" s="15" t="n">
        <f aca="false">O38+P38</f>
        <v>11564.6699772287</v>
      </c>
      <c r="R38" s="15" t="n">
        <f aca="false">Q38-$G$2+$I$2</f>
        <v>10289.9999772287</v>
      </c>
      <c r="S38" s="42" t="n">
        <f aca="false">R38/$K$2</f>
        <v>289.288725814695</v>
      </c>
      <c r="T38" s="43" t="n">
        <f aca="false">S38-$M$2</f>
        <v>-6.40182861388894E-007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-0.00925686606206</v>
      </c>
      <c r="C39" s="25" t="n">
        <f aca="false">IF(T38&gt;0,D38,C38)</f>
        <v>-0.00925686536356807</v>
      </c>
      <c r="D39" s="41" t="n">
        <f aca="false">(B39+C39)/2</f>
        <v>-0.00925686571281403</v>
      </c>
      <c r="E39" s="15" t="n">
        <f aca="false">$C$2*(1+IF(E$3&lt;=$O$2,$D39,$D39-($D39-$I$6)*MIN(E$3-$O$2,$Q$2)/$Q$2))</f>
        <v>2457.04297303222</v>
      </c>
      <c r="F39" s="15" t="n">
        <f aca="false">E39*(1+IF(F$3&lt;=$O$2,$D39,$D39-($D39-$I$6)*MIN(F$3-$O$2,$Q$2)/$Q$2))</f>
        <v>2434.29845618025</v>
      </c>
      <c r="G39" s="15" t="n">
        <f aca="false">F39*(1+IF(G$3&lt;=$O$2,$D39,$D39-($D39-$I$6)*MIN(G$3-$O$2,$Q$2)/$Q$2))</f>
        <v>2411.76448226648</v>
      </c>
      <c r="H39" s="15" t="n">
        <f aca="false">G39*(1+IF(H$3&lt;=$O$2,$D39,$D39-($D39-$I$6)*MIN(H$3-$O$2,$Q$2)/$Q$2))</f>
        <v>2389.4391023232</v>
      </c>
      <c r="I39" s="15" t="n">
        <f aca="false">H39*(1+IF(I$3&lt;=$O$2,$D39,$D39-($D39-$I$6)*MIN(I$3-$O$2,$Q$2)/$Q$2))</f>
        <v>2367.32038542405</v>
      </c>
      <c r="J39" s="15" t="n">
        <f aca="false">I39*(1+IF(J$3&lt;=$O$2,$D39,$D39-($D39-$I$6)*MIN(J$3-$O$2,$Q$2)/$Q$2))</f>
        <v>2363.18824527989</v>
      </c>
      <c r="K39" s="15" t="n">
        <f aca="false">J39*(1+IF(K$3&lt;=$O$2,$D39,$D39-($D39-$I$6)*MIN(K$3-$O$2,$Q$2)/$Q$2))</f>
        <v>2376.81410647206</v>
      </c>
      <c r="L39" s="15" t="n">
        <f aca="false">K39*(1+IF(L$3&lt;=$O$2,$D39,$D39-($D39-$I$6)*MIN(L$3-$O$2,$Q$2)/$Q$2))</f>
        <v>2408.37167039678</v>
      </c>
      <c r="M39" s="15" t="n">
        <f aca="false">L39*(1+IF(M$3&lt;=$O$2,$D39,$D39-($D39-$I$6)*MIN(M$3-$O$2,$Q$2)/$Q$2))</f>
        <v>2458.43841038669</v>
      </c>
      <c r="N39" s="15" t="n">
        <f aca="false">M39*(1+IF(N$3&lt;=$O$2,$D39,$D39-($D39-$I$6)*MIN(N$3-$O$2,$Q$2)/$Q$2))</f>
        <v>2528.01221740063</v>
      </c>
      <c r="O39" s="15" t="n">
        <f aca="false">SUMPRODUCT(E39:N39,1/(1+$F$6)^$E$3:$N$3)*$E$2</f>
        <v>4843.07458666613</v>
      </c>
      <c r="P39" s="15" t="n">
        <f aca="false">N39*$E$2*(1+$I$6)/($F$6-$I$6)/(1+$F$6)^$N$3</f>
        <v>6721.59541446395</v>
      </c>
      <c r="Q39" s="15" t="n">
        <f aca="false">O39+P39</f>
        <v>11564.6700011301</v>
      </c>
      <c r="R39" s="15" t="n">
        <f aca="false">Q39-$G$2+$I$2</f>
        <v>10290.0000011301</v>
      </c>
      <c r="S39" s="42" t="n">
        <f aca="false">R39/$K$2</f>
        <v>289.288726486648</v>
      </c>
      <c r="T39" s="43" t="n">
        <f aca="false">S39-$M$2</f>
        <v>3.17707531394262E-008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-0.00925686606206</v>
      </c>
      <c r="C40" s="25" t="n">
        <f aca="false">IF(T39&gt;0,D39,C39)</f>
        <v>-0.00925686571281403</v>
      </c>
      <c r="D40" s="41" t="n">
        <f aca="false">(B40+C40)/2</f>
        <v>-0.00925686588743702</v>
      </c>
      <c r="E40" s="15" t="n">
        <f aca="false">$C$2*(1+IF(E$3&lt;=$O$2,$D40,$D40-($D40-$I$6)*MIN(E$3-$O$2,$Q$2)/$Q$2))</f>
        <v>2457.04297259916</v>
      </c>
      <c r="F40" s="15" t="n">
        <f aca="false">E40*(1+IF(F$3&lt;=$O$2,$D40,$D40-($D40-$I$6)*MIN(F$3-$O$2,$Q$2)/$Q$2))</f>
        <v>2434.29845532214</v>
      </c>
      <c r="G40" s="15" t="n">
        <f aca="false">F40*(1+IF(G$3&lt;=$O$2,$D40,$D40-($D40-$I$6)*MIN(G$3-$O$2,$Q$2)/$Q$2))</f>
        <v>2411.76448099122</v>
      </c>
      <c r="H40" s="15" t="n">
        <f aca="false">G40*(1+IF(H$3&lt;=$O$2,$D40,$D40-($D40-$I$6)*MIN(H$3-$O$2,$Q$2)/$Q$2))</f>
        <v>2389.4391006386</v>
      </c>
      <c r="I40" s="15" t="n">
        <f aca="false">H40*(1+IF(I$3&lt;=$O$2,$D40,$D40-($D40-$I$6)*MIN(I$3-$O$2,$Q$2)/$Q$2))</f>
        <v>2367.32038333779</v>
      </c>
      <c r="J40" s="15" t="n">
        <f aca="false">I40*(1+IF(J$3&lt;=$O$2,$D40,$D40-($D40-$I$6)*MIN(J$3-$O$2,$Q$2)/$Q$2))</f>
        <v>2363.18824286656</v>
      </c>
      <c r="K40" s="15" t="n">
        <f aca="false">J40*(1+IF(K$3&lt;=$O$2,$D40,$D40-($D40-$I$6)*MIN(K$3-$O$2,$Q$2)/$Q$2))</f>
        <v>2376.81410379722</v>
      </c>
      <c r="L40" s="15" t="n">
        <f aca="false">K40*(1+IF(L$3&lt;=$O$2,$D40,$D40-($D40-$I$6)*MIN(L$3-$O$2,$Q$2)/$Q$2))</f>
        <v>2408.37166752041</v>
      </c>
      <c r="M40" s="15" t="n">
        <f aca="false">L40*(1+IF(M$3&lt;=$O$2,$D40,$D40-($D40-$I$6)*MIN(M$3-$O$2,$Q$2)/$Q$2))</f>
        <v>2458.43840736641</v>
      </c>
      <c r="N40" s="15" t="n">
        <f aca="false">M40*(1+IF(N$3&lt;=$O$2,$D40,$D40-($D40-$I$6)*MIN(N$3-$O$2,$Q$2)/$Q$2))</f>
        <v>2528.01221429488</v>
      </c>
      <c r="O40" s="15" t="n">
        <f aca="false">SUMPRODUCT(E40:N40,1/(1+$F$6)^$E$3:$N$3)*$E$2</f>
        <v>4843.07458297316</v>
      </c>
      <c r="P40" s="15" t="n">
        <f aca="false">N40*$E$2*(1+$I$6)/($F$6-$I$6)/(1+$F$6)^$N$3</f>
        <v>6721.59540620623</v>
      </c>
      <c r="Q40" s="15" t="n">
        <f aca="false">O40+P40</f>
        <v>11564.6699891794</v>
      </c>
      <c r="R40" s="15" t="n">
        <f aca="false">Q40-$G$2+$I$2</f>
        <v>10289.9999891794</v>
      </c>
      <c r="S40" s="42" t="n">
        <f aca="false">R40/$K$2</f>
        <v>289.288726150672</v>
      </c>
      <c r="T40" s="43" t="n">
        <f aca="false">S40-$M$2</f>
        <v>-3.04206139389862E-007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-0.00925686588743702</v>
      </c>
      <c r="C41" s="25" t="n">
        <f aca="false">IF(T40&gt;0,D40,C40)</f>
        <v>-0.00925686571281403</v>
      </c>
      <c r="D41" s="41" t="n">
        <f aca="false">(B41+C41)/2</f>
        <v>-0.00925686580012552</v>
      </c>
      <c r="E41" s="15" t="n">
        <f aca="false">$C$2*(1+IF(E$3&lt;=$O$2,$D41,$D41-($D41-$I$6)*MIN(E$3-$O$2,$Q$2)/$Q$2))</f>
        <v>2457.04297281569</v>
      </c>
      <c r="F41" s="15" t="n">
        <f aca="false">E41*(1+IF(F$3&lt;=$O$2,$D41,$D41-($D41-$I$6)*MIN(F$3-$O$2,$Q$2)/$Q$2))</f>
        <v>2434.29845575119</v>
      </c>
      <c r="G41" s="15" t="n">
        <f aca="false">F41*(1+IF(G$3&lt;=$O$2,$D41,$D41-($D41-$I$6)*MIN(G$3-$O$2,$Q$2)/$Q$2))</f>
        <v>2411.76448162885</v>
      </c>
      <c r="H41" s="15" t="n">
        <f aca="false">G41*(1+IF(H$3&lt;=$O$2,$D41,$D41-($D41-$I$6)*MIN(H$3-$O$2,$Q$2)/$Q$2))</f>
        <v>2389.4391014809</v>
      </c>
      <c r="I41" s="15" t="n">
        <f aca="false">H41*(1+IF(I$3&lt;=$O$2,$D41,$D41-($D41-$I$6)*MIN(I$3-$O$2,$Q$2)/$Q$2))</f>
        <v>2367.32038438092</v>
      </c>
      <c r="J41" s="15" t="n">
        <f aca="false">I41*(1+IF(J$3&lt;=$O$2,$D41,$D41-($D41-$I$6)*MIN(J$3-$O$2,$Q$2)/$Q$2))</f>
        <v>2363.18824407323</v>
      </c>
      <c r="K41" s="15" t="n">
        <f aca="false">J41*(1+IF(K$3&lt;=$O$2,$D41,$D41-($D41-$I$6)*MIN(K$3-$O$2,$Q$2)/$Q$2))</f>
        <v>2376.81410513464</v>
      </c>
      <c r="L41" s="15" t="n">
        <f aca="false">K41*(1+IF(L$3&lt;=$O$2,$D41,$D41-($D41-$I$6)*MIN(L$3-$O$2,$Q$2)/$Q$2))</f>
        <v>2408.3716689586</v>
      </c>
      <c r="M41" s="15" t="n">
        <f aca="false">L41*(1+IF(M$3&lt;=$O$2,$D41,$D41-($D41-$I$6)*MIN(M$3-$O$2,$Q$2)/$Q$2))</f>
        <v>2458.43840887655</v>
      </c>
      <c r="N41" s="15" t="n">
        <f aca="false">M41*(1+IF(N$3&lt;=$O$2,$D41,$D41-($D41-$I$6)*MIN(N$3-$O$2,$Q$2)/$Q$2))</f>
        <v>2528.01221584775</v>
      </c>
      <c r="O41" s="15" t="n">
        <f aca="false">SUMPRODUCT(E41:N41,1/(1+$F$6)^$E$3:$N$3)*$E$2</f>
        <v>4843.07458481964</v>
      </c>
      <c r="P41" s="15" t="n">
        <f aca="false">N41*$E$2*(1+$I$6)/($F$6-$I$6)/(1+$F$6)^$N$3</f>
        <v>6721.59541033509</v>
      </c>
      <c r="Q41" s="15" t="n">
        <f aca="false">O41+P41</f>
        <v>11564.6699951547</v>
      </c>
      <c r="R41" s="15" t="n">
        <f aca="false">Q41-$G$2+$I$2</f>
        <v>10289.9999951547</v>
      </c>
      <c r="S41" s="42" t="n">
        <f aca="false">R41/$K$2</f>
        <v>289.28872631866</v>
      </c>
      <c r="T41" s="43" t="n">
        <f aca="false">S41-$M$2</f>
        <v>-1.36217749968637E-007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-0.00925686580012552</v>
      </c>
      <c r="C42" s="25" t="n">
        <f aca="false">IF(T41&gt;0,D41,C41)</f>
        <v>-0.00925686571281403</v>
      </c>
      <c r="D42" s="41" t="n">
        <f aca="false">(B42+C42)/2</f>
        <v>-0.00925686575646978</v>
      </c>
      <c r="E42" s="15" t="n">
        <f aca="false">$C$2*(1+IF(E$3&lt;=$O$2,$D42,$D42-($D42-$I$6)*MIN(E$3-$O$2,$Q$2)/$Q$2))</f>
        <v>2457.04297292396</v>
      </c>
      <c r="F42" s="15" t="n">
        <f aca="false">E42*(1+IF(F$3&lt;=$O$2,$D42,$D42-($D42-$I$6)*MIN(F$3-$O$2,$Q$2)/$Q$2))</f>
        <v>2434.29845596572</v>
      </c>
      <c r="G42" s="15" t="n">
        <f aca="false">F42*(1+IF(G$3&lt;=$O$2,$D42,$D42-($D42-$I$6)*MIN(G$3-$O$2,$Q$2)/$Q$2))</f>
        <v>2411.76448194766</v>
      </c>
      <c r="H42" s="15" t="n">
        <f aca="false">G42*(1+IF(H$3&lt;=$O$2,$D42,$D42-($D42-$I$6)*MIN(H$3-$O$2,$Q$2)/$Q$2))</f>
        <v>2389.43910190205</v>
      </c>
      <c r="I42" s="15" t="n">
        <f aca="false">H42*(1+IF(I$3&lt;=$O$2,$D42,$D42-($D42-$I$6)*MIN(I$3-$O$2,$Q$2)/$Q$2))</f>
        <v>2367.32038490249</v>
      </c>
      <c r="J42" s="15" t="n">
        <f aca="false">I42*(1+IF(J$3&lt;=$O$2,$D42,$D42-($D42-$I$6)*MIN(J$3-$O$2,$Q$2)/$Q$2))</f>
        <v>2363.18824467656</v>
      </c>
      <c r="K42" s="15" t="n">
        <f aca="false">J42*(1+IF(K$3&lt;=$O$2,$D42,$D42-($D42-$I$6)*MIN(K$3-$O$2,$Q$2)/$Q$2))</f>
        <v>2376.81410580335</v>
      </c>
      <c r="L42" s="15" t="n">
        <f aca="false">K42*(1+IF(L$3&lt;=$O$2,$D42,$D42-($D42-$I$6)*MIN(L$3-$O$2,$Q$2)/$Q$2))</f>
        <v>2408.37166967769</v>
      </c>
      <c r="M42" s="15" t="n">
        <f aca="false">L42*(1+IF(M$3&lt;=$O$2,$D42,$D42-($D42-$I$6)*MIN(M$3-$O$2,$Q$2)/$Q$2))</f>
        <v>2458.43840963162</v>
      </c>
      <c r="N42" s="15" t="n">
        <f aca="false">M42*(1+IF(N$3&lt;=$O$2,$D42,$D42-($D42-$I$6)*MIN(N$3-$O$2,$Q$2)/$Q$2))</f>
        <v>2528.01221662419</v>
      </c>
      <c r="O42" s="15" t="n">
        <f aca="false">SUMPRODUCT(E42:N42,1/(1+$F$6)^$E$3:$N$3)*$E$2</f>
        <v>4843.07458574289</v>
      </c>
      <c r="P42" s="15" t="n">
        <f aca="false">N42*$E$2*(1+$I$6)/($F$6-$I$6)/(1+$F$6)^$N$3</f>
        <v>6721.59541239952</v>
      </c>
      <c r="Q42" s="15" t="n">
        <f aca="false">O42+P42</f>
        <v>11564.6699981424</v>
      </c>
      <c r="R42" s="15" t="n">
        <f aca="false">Q42-$G$2+$I$2</f>
        <v>10289.9999981424</v>
      </c>
      <c r="S42" s="42" t="n">
        <f aca="false">R42/$K$2</f>
        <v>289.288726402654</v>
      </c>
      <c r="T42" s="43" t="n">
        <f aca="false">S42-$M$2</f>
        <v>-5.22234699928958E-008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-0.00925686575646978</v>
      </c>
      <c r="C43" s="25" t="n">
        <f aca="false">IF(T42&gt;0,D42,C42)</f>
        <v>-0.00925686571281403</v>
      </c>
      <c r="D43" s="41" t="n">
        <f aca="false">(B43+C43)/2</f>
        <v>-0.00925686573464191</v>
      </c>
      <c r="E43" s="15" t="n">
        <f aca="false">$C$2*(1+IF(E$3&lt;=$O$2,$D43,$D43-($D43-$I$6)*MIN(E$3-$O$2,$Q$2)/$Q$2))</f>
        <v>2457.04297297809</v>
      </c>
      <c r="F43" s="15" t="n">
        <f aca="false">E43*(1+IF(F$3&lt;=$O$2,$D43,$D43-($D43-$I$6)*MIN(F$3-$O$2,$Q$2)/$Q$2))</f>
        <v>2434.29845607298</v>
      </c>
      <c r="G43" s="15" t="n">
        <f aca="false">F43*(1+IF(G$3&lt;=$O$2,$D43,$D43-($D43-$I$6)*MIN(G$3-$O$2,$Q$2)/$Q$2))</f>
        <v>2411.76448210707</v>
      </c>
      <c r="H43" s="15" t="n">
        <f aca="false">G43*(1+IF(H$3&lt;=$O$2,$D43,$D43-($D43-$I$6)*MIN(H$3-$O$2,$Q$2)/$Q$2))</f>
        <v>2389.43910211263</v>
      </c>
      <c r="I43" s="15" t="n">
        <f aca="false">H43*(1+IF(I$3&lt;=$O$2,$D43,$D43-($D43-$I$6)*MIN(I$3-$O$2,$Q$2)/$Q$2))</f>
        <v>2367.32038516327</v>
      </c>
      <c r="J43" s="15" t="n">
        <f aca="false">I43*(1+IF(J$3&lt;=$O$2,$D43,$D43-($D43-$I$6)*MIN(J$3-$O$2,$Q$2)/$Q$2))</f>
        <v>2363.18824497822</v>
      </c>
      <c r="K43" s="15" t="n">
        <f aca="false">J43*(1+IF(K$3&lt;=$O$2,$D43,$D43-($D43-$I$6)*MIN(K$3-$O$2,$Q$2)/$Q$2))</f>
        <v>2376.81410613771</v>
      </c>
      <c r="L43" s="15" t="n">
        <f aca="false">K43*(1+IF(L$3&lt;=$O$2,$D43,$D43-($D43-$I$6)*MIN(L$3-$O$2,$Q$2)/$Q$2))</f>
        <v>2408.37167003724</v>
      </c>
      <c r="M43" s="15" t="n">
        <f aca="false">L43*(1+IF(M$3&lt;=$O$2,$D43,$D43-($D43-$I$6)*MIN(M$3-$O$2,$Q$2)/$Q$2))</f>
        <v>2458.43841000915</v>
      </c>
      <c r="N43" s="15" t="n">
        <f aca="false">M43*(1+IF(N$3&lt;=$O$2,$D43,$D43-($D43-$I$6)*MIN(N$3-$O$2,$Q$2)/$Q$2))</f>
        <v>2528.01221701241</v>
      </c>
      <c r="O43" s="15" t="n">
        <f aca="false">SUMPRODUCT(E43:N43,1/(1+$F$6)^$E$3:$N$3)*$E$2</f>
        <v>4843.07458620451</v>
      </c>
      <c r="P43" s="15" t="n">
        <f aca="false">N43*$E$2*(1+$I$6)/($F$6-$I$6)/(1+$F$6)^$N$3</f>
        <v>6721.59541343174</v>
      </c>
      <c r="Q43" s="15" t="n">
        <f aca="false">O43+P43</f>
        <v>11564.6699996362</v>
      </c>
      <c r="R43" s="15" t="n">
        <f aca="false">Q43-$G$2+$I$2</f>
        <v>10289.9999996362</v>
      </c>
      <c r="S43" s="42" t="n">
        <f aca="false">R43/$K$2</f>
        <v>289.288726444651</v>
      </c>
      <c r="T43" s="43" t="n">
        <f aca="false">S43-$M$2</f>
        <v>-1.02264152701537E-008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-0.00925686573464191</v>
      </c>
      <c r="C44" s="25" t="n">
        <f aca="false">IF(T43&gt;0,D43,C43)</f>
        <v>-0.00925686571281403</v>
      </c>
      <c r="D44" s="41" t="n">
        <f aca="false">(B44+C44)/2</f>
        <v>-0.00925686572372797</v>
      </c>
      <c r="E44" s="15" t="n">
        <f aca="false">$C$2*(1+IF(E$3&lt;=$O$2,$D44,$D44-($D44-$I$6)*MIN(E$3-$O$2,$Q$2)/$Q$2))</f>
        <v>2457.04297300515</v>
      </c>
      <c r="F44" s="15" t="n">
        <f aca="false">E44*(1+IF(F$3&lt;=$O$2,$D44,$D44-($D44-$I$6)*MIN(F$3-$O$2,$Q$2)/$Q$2))</f>
        <v>2434.29845612662</v>
      </c>
      <c r="G44" s="15" t="n">
        <f aca="false">F44*(1+IF(G$3&lt;=$O$2,$D44,$D44-($D44-$I$6)*MIN(G$3-$O$2,$Q$2)/$Q$2))</f>
        <v>2411.76448218677</v>
      </c>
      <c r="H44" s="15" t="n">
        <f aca="false">G44*(1+IF(H$3&lt;=$O$2,$D44,$D44-($D44-$I$6)*MIN(H$3-$O$2,$Q$2)/$Q$2))</f>
        <v>2389.43910221792</v>
      </c>
      <c r="I44" s="15" t="n">
        <f aca="false">H44*(1+IF(I$3&lt;=$O$2,$D44,$D44-($D44-$I$6)*MIN(I$3-$O$2,$Q$2)/$Q$2))</f>
        <v>2367.32038529366</v>
      </c>
      <c r="J44" s="15" t="n">
        <f aca="false">I44*(1+IF(J$3&lt;=$O$2,$D44,$D44-($D44-$I$6)*MIN(J$3-$O$2,$Q$2)/$Q$2))</f>
        <v>2363.18824512906</v>
      </c>
      <c r="K44" s="15" t="n">
        <f aca="false">J44*(1+IF(K$3&lt;=$O$2,$D44,$D44-($D44-$I$6)*MIN(K$3-$O$2,$Q$2)/$Q$2))</f>
        <v>2376.81410630489</v>
      </c>
      <c r="L44" s="15" t="n">
        <f aca="false">K44*(1+IF(L$3&lt;=$O$2,$D44,$D44-($D44-$I$6)*MIN(L$3-$O$2,$Q$2)/$Q$2))</f>
        <v>2408.37167021701</v>
      </c>
      <c r="M44" s="15" t="n">
        <f aca="false">L44*(1+IF(M$3&lt;=$O$2,$D44,$D44-($D44-$I$6)*MIN(M$3-$O$2,$Q$2)/$Q$2))</f>
        <v>2458.43841019792</v>
      </c>
      <c r="N44" s="15" t="n">
        <f aca="false">M44*(1+IF(N$3&lt;=$O$2,$D44,$D44-($D44-$I$6)*MIN(N$3-$O$2,$Q$2)/$Q$2))</f>
        <v>2528.01221720652</v>
      </c>
      <c r="O44" s="15" t="n">
        <f aca="false">SUMPRODUCT(E44:N44,1/(1+$F$6)^$E$3:$N$3)*$E$2</f>
        <v>4843.07458643532</v>
      </c>
      <c r="P44" s="15" t="n">
        <f aca="false">N44*$E$2*(1+$I$6)/($F$6-$I$6)/(1+$F$6)^$N$3</f>
        <v>6721.59541394785</v>
      </c>
      <c r="Q44" s="15" t="n">
        <f aca="false">O44+P44</f>
        <v>11564.6700003832</v>
      </c>
      <c r="R44" s="15" t="n">
        <f aca="false">Q44-$G$2+$I$2</f>
        <v>10290.0000003832</v>
      </c>
      <c r="S44" s="42" t="n">
        <f aca="false">R44/$K$2</f>
        <v>289.28872646565</v>
      </c>
      <c r="T44" s="43" t="n">
        <f aca="false">S44-$M$2</f>
        <v>1.07721689346363E-008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-0.00925686573464191</v>
      </c>
      <c r="C45" s="25" t="n">
        <f aca="false">IF(T44&gt;0,D44,C44)</f>
        <v>-0.00925686572372797</v>
      </c>
      <c r="D45" s="41" t="n">
        <f aca="false">(B45+C45)/2</f>
        <v>-0.00925686572918494</v>
      </c>
      <c r="E45" s="15" t="n">
        <f aca="false">$C$2*(1+IF(E$3&lt;=$O$2,$D45,$D45-($D45-$I$6)*MIN(E$3-$O$2,$Q$2)/$Q$2))</f>
        <v>2457.04297299162</v>
      </c>
      <c r="F45" s="15" t="n">
        <f aca="false">E45*(1+IF(F$3&lt;=$O$2,$D45,$D45-($D45-$I$6)*MIN(F$3-$O$2,$Q$2)/$Q$2))</f>
        <v>2434.2984560998</v>
      </c>
      <c r="G45" s="15" t="n">
        <f aca="false">F45*(1+IF(G$3&lt;=$O$2,$D45,$D45-($D45-$I$6)*MIN(G$3-$O$2,$Q$2)/$Q$2))</f>
        <v>2411.76448214692</v>
      </c>
      <c r="H45" s="15" t="n">
        <f aca="false">G45*(1+IF(H$3&lt;=$O$2,$D45,$D45-($D45-$I$6)*MIN(H$3-$O$2,$Q$2)/$Q$2))</f>
        <v>2389.43910216527</v>
      </c>
      <c r="I45" s="15" t="n">
        <f aca="false">H45*(1+IF(I$3&lt;=$O$2,$D45,$D45-($D45-$I$6)*MIN(I$3-$O$2,$Q$2)/$Q$2))</f>
        <v>2367.32038522846</v>
      </c>
      <c r="J45" s="15" t="n">
        <f aca="false">I45*(1+IF(J$3&lt;=$O$2,$D45,$D45-($D45-$I$6)*MIN(J$3-$O$2,$Q$2)/$Q$2))</f>
        <v>2363.18824505364</v>
      </c>
      <c r="K45" s="15" t="n">
        <f aca="false">J45*(1+IF(K$3&lt;=$O$2,$D45,$D45-($D45-$I$6)*MIN(K$3-$O$2,$Q$2)/$Q$2))</f>
        <v>2376.8141062213</v>
      </c>
      <c r="L45" s="15" t="n">
        <f aca="false">K45*(1+IF(L$3&lt;=$O$2,$D45,$D45-($D45-$I$6)*MIN(L$3-$O$2,$Q$2)/$Q$2))</f>
        <v>2408.37167012712</v>
      </c>
      <c r="M45" s="15" t="n">
        <f aca="false">L45*(1+IF(M$3&lt;=$O$2,$D45,$D45-($D45-$I$6)*MIN(M$3-$O$2,$Q$2)/$Q$2))</f>
        <v>2458.43841010353</v>
      </c>
      <c r="N45" s="15" t="n">
        <f aca="false">M45*(1+IF(N$3&lt;=$O$2,$D45,$D45-($D45-$I$6)*MIN(N$3-$O$2,$Q$2)/$Q$2))</f>
        <v>2528.01221710946</v>
      </c>
      <c r="O45" s="15" t="n">
        <f aca="false">SUMPRODUCT(E45:N45,1/(1+$F$6)^$E$3:$N$3)*$E$2</f>
        <v>4843.07458631992</v>
      </c>
      <c r="P45" s="15" t="n">
        <f aca="false">N45*$E$2*(1+$I$6)/($F$6-$I$6)/(1+$F$6)^$N$3</f>
        <v>6721.59541368979</v>
      </c>
      <c r="Q45" s="15" t="n">
        <f aca="false">O45+P45</f>
        <v>11564.6700000097</v>
      </c>
      <c r="R45" s="15" t="n">
        <f aca="false">Q45-$G$2+$I$2</f>
        <v>10290.0000000097</v>
      </c>
      <c r="S45" s="42" t="n">
        <f aca="false">R45/$K$2</f>
        <v>289.288726455151</v>
      </c>
      <c r="T45" s="43" t="n">
        <f aca="false">S45-$M$2</f>
        <v>2.72905253950739E-010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-0.00925686573464191</v>
      </c>
      <c r="C46" s="25" t="n">
        <f aca="false">IF(T45&gt;0,D45,C45)</f>
        <v>-0.00925686572918494</v>
      </c>
      <c r="D46" s="41" t="n">
        <f aca="false">(B46+C46)/2</f>
        <v>-0.00925686573191342</v>
      </c>
      <c r="E46" s="15" t="n">
        <f aca="false">$C$2*(1+IF(E$3&lt;=$O$2,$D46,$D46-($D46-$I$6)*MIN(E$3-$O$2,$Q$2)/$Q$2))</f>
        <v>2457.04297298485</v>
      </c>
      <c r="F46" s="15" t="n">
        <f aca="false">E46*(1+IF(F$3&lt;=$O$2,$D46,$D46-($D46-$I$6)*MIN(F$3-$O$2,$Q$2)/$Q$2))</f>
        <v>2434.29845608639</v>
      </c>
      <c r="G46" s="15" t="n">
        <f aca="false">F46*(1+IF(G$3&lt;=$O$2,$D46,$D46-($D46-$I$6)*MIN(G$3-$O$2,$Q$2)/$Q$2))</f>
        <v>2411.764482127</v>
      </c>
      <c r="H46" s="15" t="n">
        <f aca="false">G46*(1+IF(H$3&lt;=$O$2,$D46,$D46-($D46-$I$6)*MIN(H$3-$O$2,$Q$2)/$Q$2))</f>
        <v>2389.43910213895</v>
      </c>
      <c r="I46" s="15" t="n">
        <f aca="false">H46*(1+IF(I$3&lt;=$O$2,$D46,$D46-($D46-$I$6)*MIN(I$3-$O$2,$Q$2)/$Q$2))</f>
        <v>2367.32038519587</v>
      </c>
      <c r="J46" s="15" t="n">
        <f aca="false">I46*(1+IF(J$3&lt;=$O$2,$D46,$D46-($D46-$I$6)*MIN(J$3-$O$2,$Q$2)/$Q$2))</f>
        <v>2363.18824501593</v>
      </c>
      <c r="K46" s="15" t="n">
        <f aca="false">J46*(1+IF(K$3&lt;=$O$2,$D46,$D46-($D46-$I$6)*MIN(K$3-$O$2,$Q$2)/$Q$2))</f>
        <v>2376.8141061795</v>
      </c>
      <c r="L46" s="15" t="n">
        <f aca="false">K46*(1+IF(L$3&lt;=$O$2,$D46,$D46-($D46-$I$6)*MIN(L$3-$O$2,$Q$2)/$Q$2))</f>
        <v>2408.37167008218</v>
      </c>
      <c r="M46" s="15" t="n">
        <f aca="false">L46*(1+IF(M$3&lt;=$O$2,$D46,$D46-($D46-$I$6)*MIN(M$3-$O$2,$Q$2)/$Q$2))</f>
        <v>2458.43841005634</v>
      </c>
      <c r="N46" s="15" t="n">
        <f aca="false">M46*(1+IF(N$3&lt;=$O$2,$D46,$D46-($D46-$I$6)*MIN(N$3-$O$2,$Q$2)/$Q$2))</f>
        <v>2528.01221706094</v>
      </c>
      <c r="O46" s="15" t="n">
        <f aca="false">SUMPRODUCT(E46:N46,1/(1+$F$6)^$E$3:$N$3)*$E$2</f>
        <v>4843.07458626221</v>
      </c>
      <c r="P46" s="15" t="n">
        <f aca="false">N46*$E$2*(1+$I$6)/($F$6-$I$6)/(1+$F$6)^$N$3</f>
        <v>6721.59541356076</v>
      </c>
      <c r="Q46" s="15" t="n">
        <f aca="false">O46+P46</f>
        <v>11564.669999823</v>
      </c>
      <c r="R46" s="15" t="n">
        <f aca="false">Q46-$G$2+$I$2</f>
        <v>10289.999999823</v>
      </c>
      <c r="S46" s="42" t="n">
        <f aca="false">R46/$K$2</f>
        <v>289.288726449901</v>
      </c>
      <c r="T46" s="43" t="n">
        <f aca="false">S46-$M$2</f>
        <v>-4.97675500810146E-009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-0.00925686573191342</v>
      </c>
      <c r="C47" s="25" t="n">
        <f aca="false">IF(T46&gt;0,D46,C46)</f>
        <v>-0.00925686572918494</v>
      </c>
      <c r="D47" s="41" t="n">
        <f aca="false">(B47+C47)/2</f>
        <v>-0.00925686573054918</v>
      </c>
      <c r="E47" s="15" t="n">
        <f aca="false">$C$2*(1+IF(E$3&lt;=$O$2,$D47,$D47-($D47-$I$6)*MIN(E$3-$O$2,$Q$2)/$Q$2))</f>
        <v>2457.04297298824</v>
      </c>
      <c r="F47" s="15" t="n">
        <f aca="false">E47*(1+IF(F$3&lt;=$O$2,$D47,$D47-($D47-$I$6)*MIN(F$3-$O$2,$Q$2)/$Q$2))</f>
        <v>2434.2984560931</v>
      </c>
      <c r="G47" s="15" t="n">
        <f aca="false">F47*(1+IF(G$3&lt;=$O$2,$D47,$D47-($D47-$I$6)*MIN(G$3-$O$2,$Q$2)/$Q$2))</f>
        <v>2411.76448213696</v>
      </c>
      <c r="H47" s="15" t="n">
        <f aca="false">G47*(1+IF(H$3&lt;=$O$2,$D47,$D47-($D47-$I$6)*MIN(H$3-$O$2,$Q$2)/$Q$2))</f>
        <v>2389.43910215211</v>
      </c>
      <c r="I47" s="15" t="n">
        <f aca="false">H47*(1+IF(I$3&lt;=$O$2,$D47,$D47-($D47-$I$6)*MIN(I$3-$O$2,$Q$2)/$Q$2))</f>
        <v>2367.32038521216</v>
      </c>
      <c r="J47" s="15" t="n">
        <f aca="false">I47*(1+IF(J$3&lt;=$O$2,$D47,$D47-($D47-$I$6)*MIN(J$3-$O$2,$Q$2)/$Q$2))</f>
        <v>2363.18824503478</v>
      </c>
      <c r="K47" s="15" t="n">
        <f aca="false">J47*(1+IF(K$3&lt;=$O$2,$D47,$D47-($D47-$I$6)*MIN(K$3-$O$2,$Q$2)/$Q$2))</f>
        <v>2376.8141062004</v>
      </c>
      <c r="L47" s="15" t="n">
        <f aca="false">K47*(1+IF(L$3&lt;=$O$2,$D47,$D47-($D47-$I$6)*MIN(L$3-$O$2,$Q$2)/$Q$2))</f>
        <v>2408.37167010465</v>
      </c>
      <c r="M47" s="15" t="n">
        <f aca="false">L47*(1+IF(M$3&lt;=$O$2,$D47,$D47-($D47-$I$6)*MIN(M$3-$O$2,$Q$2)/$Q$2))</f>
        <v>2458.43841007994</v>
      </c>
      <c r="N47" s="15" t="n">
        <f aca="false">M47*(1+IF(N$3&lt;=$O$2,$D47,$D47-($D47-$I$6)*MIN(N$3-$O$2,$Q$2)/$Q$2))</f>
        <v>2528.0122170852</v>
      </c>
      <c r="O47" s="15" t="n">
        <f aca="false">SUMPRODUCT(E47:N47,1/(1+$F$6)^$E$3:$N$3)*$E$2</f>
        <v>4843.07458629106</v>
      </c>
      <c r="P47" s="15" t="n">
        <f aca="false">N47*$E$2*(1+$I$6)/($F$6-$I$6)/(1+$F$6)^$N$3</f>
        <v>6721.59541362528</v>
      </c>
      <c r="Q47" s="15" t="n">
        <f aca="false">O47+P47</f>
        <v>11564.6699999163</v>
      </c>
      <c r="R47" s="15" t="n">
        <f aca="false">Q47-$G$2+$I$2</f>
        <v>10289.9999999163</v>
      </c>
      <c r="S47" s="42" t="n">
        <f aca="false">R47/$K$2</f>
        <v>289.288726452526</v>
      </c>
      <c r="T47" s="43" t="n">
        <f aca="false">S47-$M$2</f>
        <v>-2.35189645536593E-009</v>
      </c>
    </row>
    <row r="49" customFormat="false" ht="15" hidden="false" customHeight="false" outlineLevel="0" collapsed="false">
      <c r="A49" s="38" t="s">
        <v>185</v>
      </c>
      <c r="E49" s="5" t="s">
        <v>11</v>
      </c>
      <c r="F49" s="12" t="n">
        <f aca="false">Sensitivity!$B$10</f>
        <v>0.0714218415038925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8" t="s">
        <v>165</v>
      </c>
      <c r="B50" s="28" t="s">
        <v>166</v>
      </c>
      <c r="C50" s="28" t="s">
        <v>167</v>
      </c>
      <c r="D50" s="28" t="s">
        <v>168</v>
      </c>
      <c r="E50" s="28" t="s">
        <v>169</v>
      </c>
      <c r="F50" s="28" t="s">
        <v>170</v>
      </c>
      <c r="G50" s="28" t="s">
        <v>171</v>
      </c>
      <c r="H50" s="28" t="s">
        <v>172</v>
      </c>
      <c r="I50" s="28" t="s">
        <v>173</v>
      </c>
      <c r="J50" s="28" t="s">
        <v>174</v>
      </c>
      <c r="K50" s="28" t="s">
        <v>175</v>
      </c>
      <c r="L50" s="28" t="s">
        <v>176</v>
      </c>
      <c r="M50" s="28" t="s">
        <v>177</v>
      </c>
      <c r="N50" s="28" t="s">
        <v>178</v>
      </c>
      <c r="O50" s="28" t="s">
        <v>179</v>
      </c>
      <c r="P50" s="28" t="s">
        <v>180</v>
      </c>
      <c r="Q50" s="28" t="s">
        <v>181</v>
      </c>
      <c r="R50" s="28" t="s">
        <v>182</v>
      </c>
      <c r="S50" s="28" t="s">
        <v>183</v>
      </c>
      <c r="T50" s="28" t="s">
        <v>184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41" t="n">
        <f aca="false">(B51+C51)/2</f>
        <v>0.25</v>
      </c>
      <c r="E51" s="15" t="n">
        <f aca="false">$C$2*(1+IF(E$3&lt;=$O$2,$D51,$D51-($D51-$I$49)*MIN(E$3-$O$2,$Q$2)/$Q$2))</f>
        <v>3100</v>
      </c>
      <c r="F51" s="15" t="n">
        <f aca="false">E51*(1+IF(F$3&lt;=$O$2,$D51,$D51-($D51-$I$49)*MIN(F$3-$O$2,$Q$2)/$Q$2))</f>
        <v>3875</v>
      </c>
      <c r="G51" s="15" t="n">
        <f aca="false">F51*(1+IF(G$3&lt;=$O$2,$D51,$D51-($D51-$I$49)*MIN(G$3-$O$2,$Q$2)/$Q$2))</f>
        <v>4843.75</v>
      </c>
      <c r="H51" s="15" t="n">
        <f aca="false">G51*(1+IF(H$3&lt;=$O$2,$D51,$D51-($D51-$I$49)*MIN(H$3-$O$2,$Q$2)/$Q$2))</f>
        <v>6054.6875</v>
      </c>
      <c r="I51" s="15" t="n">
        <f aca="false">H51*(1+IF(I$3&lt;=$O$2,$D51,$D51-($D51-$I$49)*MIN(I$3-$O$2,$Q$2)/$Q$2))</f>
        <v>7568.359375</v>
      </c>
      <c r="J51" s="15" t="n">
        <f aca="false">I51*(1+IF(J$3&lt;=$O$2,$D51,$D51-($D51-$I$49)*MIN(J$3-$O$2,$Q$2)/$Q$2))</f>
        <v>9109.7314453125</v>
      </c>
      <c r="K51" s="15" t="n">
        <f aca="false">J51*(1+IF(K$3&lt;=$O$2,$D51,$D51-($D51-$I$49)*MIN(K$3-$O$2,$Q$2)/$Q$2))</f>
        <v>10542.8743962891</v>
      </c>
      <c r="L51" s="15" t="n">
        <f aca="false">K51*(1+IF(L$3&lt;=$O$2,$D51,$D51-($D51-$I$49)*MIN(L$3-$O$2,$Q$2)/$Q$2))</f>
        <v>11712.9225967892</v>
      </c>
      <c r="M51" s="15" t="n">
        <f aca="false">L51*(1+IF(M$3&lt;=$O$2,$D51,$D51-($D51-$I$49)*MIN(M$3-$O$2,$Q$2)/$Q$2))</f>
        <v>12470.0459134457</v>
      </c>
      <c r="N51" s="15" t="n">
        <f aca="false">M51*(1+IF(N$3&lt;=$O$2,$D51,$D51-($D51-$I$49)*MIN(N$3-$O$2,$Q$2)/$Q$2))</f>
        <v>12698.2477536617</v>
      </c>
      <c r="O51" s="15" t="n">
        <f aca="false">SUMPRODUCT(E51:N51,1/(1+$F$49)^$E$3:$N$3)*$E$2</f>
        <v>15776.4632267133</v>
      </c>
      <c r="P51" s="15" t="n">
        <f aca="false">N51*$E$2*(1+$I$49)/($F$49-$I$49)/(1+$F$49)^$N$3</f>
        <v>36689.2908035057</v>
      </c>
      <c r="Q51" s="15" t="n">
        <f aca="false">O51+P51</f>
        <v>52465.754030219</v>
      </c>
      <c r="R51" s="15" t="n">
        <f aca="false">Q51-$G$2+$I$2</f>
        <v>51191.084030219</v>
      </c>
      <c r="S51" s="42" t="n">
        <f aca="false">R51/$K$2</f>
        <v>1439.1645777402</v>
      </c>
      <c r="T51" s="43" t="n">
        <f aca="false">S51-$M$2</f>
        <v>1149.87585128533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41" t="n">
        <f aca="false">(B52+C52)/2</f>
        <v>-0.125</v>
      </c>
      <c r="E52" s="15" t="n">
        <f aca="false">$C$2*(1+IF(E$3&lt;=$O$2,$D52,$D52-($D52-$I$49)*MIN(E$3-$O$2,$Q$2)/$Q$2))</f>
        <v>2170</v>
      </c>
      <c r="F52" s="15" t="n">
        <f aca="false">E52*(1+IF(F$3&lt;=$O$2,$D52,$D52-($D52-$I$49)*MIN(F$3-$O$2,$Q$2)/$Q$2))</f>
        <v>1898.75</v>
      </c>
      <c r="G52" s="15" t="n">
        <f aca="false">F52*(1+IF(G$3&lt;=$O$2,$D52,$D52-($D52-$I$49)*MIN(G$3-$O$2,$Q$2)/$Q$2))</f>
        <v>1661.40625</v>
      </c>
      <c r="H52" s="15" t="n">
        <f aca="false">G52*(1+IF(H$3&lt;=$O$2,$D52,$D52-($D52-$I$49)*MIN(H$3-$O$2,$Q$2)/$Q$2))</f>
        <v>1453.73046875</v>
      </c>
      <c r="I52" s="15" t="n">
        <f aca="false">H52*(1+IF(I$3&lt;=$O$2,$D52,$D52-($D52-$I$49)*MIN(I$3-$O$2,$Q$2)/$Q$2))</f>
        <v>1272.01416015625</v>
      </c>
      <c r="J52" s="15" t="n">
        <f aca="false">I52*(1+IF(J$3&lt;=$O$2,$D52,$D52-($D52-$I$49)*MIN(J$3-$O$2,$Q$2)/$Q$2))</f>
        <v>1149.4683159668</v>
      </c>
      <c r="K52" s="15" t="n">
        <f aca="false">J52*(1+IF(K$3&lt;=$O$2,$D52,$D52-($D52-$I$49)*MIN(K$3-$O$2,$Q$2)/$Q$2))</f>
        <v>1071.67230034216</v>
      </c>
      <c r="L52" s="15" t="n">
        <f aca="false">K52*(1+IF(L$3&lt;=$O$2,$D52,$D52-($D52-$I$49)*MIN(L$3-$O$2,$Q$2)/$Q$2))</f>
        <v>1029.85564718281</v>
      </c>
      <c r="M52" s="15" t="n">
        <f aca="false">L52*(1+IF(M$3&lt;=$O$2,$D52,$D52-($D52-$I$49)*MIN(M$3-$O$2,$Q$2)/$Q$2))</f>
        <v>1019.186342678</v>
      </c>
      <c r="N52" s="15" t="n">
        <f aca="false">M52*(1+IF(N$3&lt;=$O$2,$D52,$D52-($D52-$I$49)*MIN(N$3-$O$2,$Q$2)/$Q$2))</f>
        <v>1037.83745274901</v>
      </c>
      <c r="O52" s="15" t="n">
        <f aca="false">SUMPRODUCT(E52:N52,1/(1+$F$49)^$E$3:$N$3)*$E$2</f>
        <v>3039.7791438173</v>
      </c>
      <c r="P52" s="15" t="n">
        <f aca="false">N52*$E$2*(1+$I$49)/($F$49-$I$49)/(1+$F$49)^$N$3</f>
        <v>2998.64365929525</v>
      </c>
      <c r="Q52" s="15" t="n">
        <f aca="false">O52+P52</f>
        <v>6038.42280311254</v>
      </c>
      <c r="R52" s="15" t="n">
        <f aca="false">Q52-$G$2+$I$2</f>
        <v>4763.75280311254</v>
      </c>
      <c r="S52" s="42" t="n">
        <f aca="false">R52/$K$2</f>
        <v>133.926140093127</v>
      </c>
      <c r="T52" s="43" t="n">
        <f aca="false">S52-$M$2</f>
        <v>-155.36258636175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41" t="n">
        <f aca="false">(B53+C53)/2</f>
        <v>0.0625</v>
      </c>
      <c r="E53" s="15" t="n">
        <f aca="false">$C$2*(1+IF(E$3&lt;=$O$2,$D53,$D53-($D53-$I$49)*MIN(E$3-$O$2,$Q$2)/$Q$2))</f>
        <v>2635</v>
      </c>
      <c r="F53" s="15" t="n">
        <f aca="false">E53*(1+IF(F$3&lt;=$O$2,$D53,$D53-($D53-$I$49)*MIN(F$3-$O$2,$Q$2)/$Q$2))</f>
        <v>2799.6875</v>
      </c>
      <c r="G53" s="15" t="n">
        <f aca="false">F53*(1+IF(G$3&lt;=$O$2,$D53,$D53-($D53-$I$49)*MIN(G$3-$O$2,$Q$2)/$Q$2))</f>
        <v>2974.66796875</v>
      </c>
      <c r="H53" s="15" t="n">
        <f aca="false">G53*(1+IF(H$3&lt;=$O$2,$D53,$D53-($D53-$I$49)*MIN(H$3-$O$2,$Q$2)/$Q$2))</f>
        <v>3160.58471679688</v>
      </c>
      <c r="I53" s="15" t="n">
        <f aca="false">H53*(1+IF(I$3&lt;=$O$2,$D53,$D53-($D53-$I$49)*MIN(I$3-$O$2,$Q$2)/$Q$2))</f>
        <v>3358.12126159668</v>
      </c>
      <c r="J53" s="15" t="n">
        <f aca="false">I53*(1+IF(J$3&lt;=$O$2,$D53,$D53-($D53-$I$49)*MIN(J$3-$O$2,$Q$2)/$Q$2))</f>
        <v>3538.31804849396</v>
      </c>
      <c r="K53" s="15" t="n">
        <f aca="false">J53*(1+IF(K$3&lt;=$O$2,$D53,$D53-($D53-$I$49)*MIN(K$3-$O$2,$Q$2)/$Q$2))</f>
        <v>3696.90546342746</v>
      </c>
      <c r="L53" s="15" t="n">
        <f aca="false">K53*(1+IF(L$3&lt;=$O$2,$D53,$D53-($D53-$I$49)*MIN(L$3-$O$2,$Q$2)/$Q$2))</f>
        <v>3829.92012200158</v>
      </c>
      <c r="M53" s="15" t="n">
        <f aca="false">L53*(1+IF(M$3&lt;=$O$2,$D53,$D53-($D53-$I$49)*MIN(M$3-$O$2,$Q$2)/$Q$2))</f>
        <v>3933.8641541127</v>
      </c>
      <c r="N53" s="15" t="n">
        <f aca="false">M53*(1+IF(N$3&lt;=$O$2,$D53,$D53-($D53-$I$49)*MIN(N$3-$O$2,$Q$2)/$Q$2))</f>
        <v>4005.85386813296</v>
      </c>
      <c r="O53" s="15" t="n">
        <f aca="false">SUMPRODUCT(E53:N53,1/(1+$F$49)^$E$3:$N$3)*$E$2</f>
        <v>6923.66565406433</v>
      </c>
      <c r="P53" s="15" t="n">
        <f aca="false">N53*$E$2*(1+$I$49)/($F$49-$I$49)/(1+$F$49)^$N$3</f>
        <v>11574.190418666</v>
      </c>
      <c r="Q53" s="15" t="n">
        <f aca="false">O53+P53</f>
        <v>18497.8560727303</v>
      </c>
      <c r="R53" s="15" t="n">
        <f aca="false">Q53-$G$2+$I$2</f>
        <v>17223.1860727303</v>
      </c>
      <c r="S53" s="42" t="n">
        <f aca="false">R53/$K$2</f>
        <v>484.20539985185</v>
      </c>
      <c r="T53" s="43" t="n">
        <f aca="false">S53-$M$2</f>
        <v>194.916673396972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-0.125</v>
      </c>
      <c r="C54" s="25" t="n">
        <f aca="false">IF(T53&gt;0,D53,C53)</f>
        <v>0.0625</v>
      </c>
      <c r="D54" s="41" t="n">
        <f aca="false">(B54+C54)/2</f>
        <v>-0.03125</v>
      </c>
      <c r="E54" s="15" t="n">
        <f aca="false">$C$2*(1+IF(E$3&lt;=$O$2,$D54,$D54-($D54-$I$49)*MIN(E$3-$O$2,$Q$2)/$Q$2))</f>
        <v>2402.5</v>
      </c>
      <c r="F54" s="15" t="n">
        <f aca="false">E54*(1+IF(F$3&lt;=$O$2,$D54,$D54-($D54-$I$49)*MIN(F$3-$O$2,$Q$2)/$Q$2))</f>
        <v>2327.421875</v>
      </c>
      <c r="G54" s="15" t="n">
        <f aca="false">F54*(1+IF(G$3&lt;=$O$2,$D54,$D54-($D54-$I$49)*MIN(G$3-$O$2,$Q$2)/$Q$2))</f>
        <v>2254.68994140625</v>
      </c>
      <c r="H54" s="15" t="n">
        <f aca="false">G54*(1+IF(H$3&lt;=$O$2,$D54,$D54-($D54-$I$49)*MIN(H$3-$O$2,$Q$2)/$Q$2))</f>
        <v>2184.2308807373</v>
      </c>
      <c r="I54" s="15" t="n">
        <f aca="false">H54*(1+IF(I$3&lt;=$O$2,$D54,$D54-($D54-$I$49)*MIN(I$3-$O$2,$Q$2)/$Q$2))</f>
        <v>2115.97366571426</v>
      </c>
      <c r="J54" s="15" t="n">
        <f aca="false">I54*(1+IF(J$3&lt;=$O$2,$D54,$D54-($D54-$I$49)*MIN(J$3-$O$2,$Q$2)/$Q$2))</f>
        <v>2070.81878768792</v>
      </c>
      <c r="K54" s="15" t="n">
        <f aca="false">J54*(1+IF(K$3&lt;=$O$2,$D54,$D54-($D54-$I$49)*MIN(K$3-$O$2,$Q$2)/$Q$2))</f>
        <v>2047.14932894465</v>
      </c>
      <c r="L54" s="15" t="n">
        <f aca="false">K54*(1+IF(L$3&lt;=$O$2,$D54,$D54-($D54-$I$49)*MIN(L$3-$O$2,$Q$2)/$Q$2))</f>
        <v>2044.03766196465</v>
      </c>
      <c r="M54" s="15" t="n">
        <f aca="false">L54*(1+IF(M$3&lt;=$O$2,$D54,$D54-($D54-$I$49)*MIN(M$3-$O$2,$Q$2)/$Q$2))</f>
        <v>2061.18713794854</v>
      </c>
      <c r="N54" s="15" t="n">
        <f aca="false">M54*(1+IF(N$3&lt;=$O$2,$D54,$D54-($D54-$I$49)*MIN(N$3-$O$2,$Q$2)/$Q$2))</f>
        <v>2098.90686257299</v>
      </c>
      <c r="O54" s="15" t="n">
        <f aca="false">SUMPRODUCT(E54:N54,1/(1+$F$49)^$E$3:$N$3)*$E$2</f>
        <v>4575.81822463131</v>
      </c>
      <c r="P54" s="15" t="n">
        <f aca="false">N54*$E$2*(1+$I$49)/($F$49-$I$49)/(1+$F$49)^$N$3</f>
        <v>6064.41185778629</v>
      </c>
      <c r="Q54" s="15" t="n">
        <f aca="false">O54+P54</f>
        <v>10640.2300824176</v>
      </c>
      <c r="R54" s="15" t="n">
        <f aca="false">Q54-$G$2+$I$2</f>
        <v>9365.5600824176</v>
      </c>
      <c r="S54" s="42" t="n">
        <f aca="false">R54/$K$2</f>
        <v>263.299411931898</v>
      </c>
      <c r="T54" s="43" t="n">
        <f aca="false">S54-$M$2</f>
        <v>-25.9893145229801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-0.03125</v>
      </c>
      <c r="C55" s="25" t="n">
        <f aca="false">IF(T54&gt;0,D54,C54)</f>
        <v>0.0625</v>
      </c>
      <c r="D55" s="41" t="n">
        <f aca="false">(B55+C55)/2</f>
        <v>0.015625</v>
      </c>
      <c r="E55" s="15" t="n">
        <f aca="false">$C$2*(1+IF(E$3&lt;=$O$2,$D55,$D55-($D55-$I$49)*MIN(E$3-$O$2,$Q$2)/$Q$2))</f>
        <v>2518.75</v>
      </c>
      <c r="F55" s="15" t="n">
        <f aca="false">E55*(1+IF(F$3&lt;=$O$2,$D55,$D55-($D55-$I$49)*MIN(F$3-$O$2,$Q$2)/$Q$2))</f>
        <v>2558.10546875</v>
      </c>
      <c r="G55" s="15" t="n">
        <f aca="false">F55*(1+IF(G$3&lt;=$O$2,$D55,$D55-($D55-$I$49)*MIN(G$3-$O$2,$Q$2)/$Q$2))</f>
        <v>2598.07586669922</v>
      </c>
      <c r="H55" s="15" t="n">
        <f aca="false">G55*(1+IF(H$3&lt;=$O$2,$D55,$D55-($D55-$I$49)*MIN(H$3-$O$2,$Q$2)/$Q$2))</f>
        <v>2638.67080211639</v>
      </c>
      <c r="I55" s="15" t="n">
        <f aca="false">H55*(1+IF(I$3&lt;=$O$2,$D55,$D55-($D55-$I$49)*MIN(I$3-$O$2,$Q$2)/$Q$2))</f>
        <v>2679.90003339946</v>
      </c>
      <c r="J55" s="15" t="n">
        <f aca="false">I55*(1+IF(J$3&lt;=$O$2,$D55,$D55-($D55-$I$49)*MIN(J$3-$O$2,$Q$2)/$Q$2))</f>
        <v>2723.2072179392</v>
      </c>
      <c r="K55" s="15" t="n">
        <f aca="false">J55*(1+IF(K$3&lt;=$O$2,$D55,$D55-($D55-$I$49)*MIN(K$3-$O$2,$Q$2)/$Q$2))</f>
        <v>2768.67116244269</v>
      </c>
      <c r="L55" s="15" t="n">
        <f aca="false">K55*(1+IF(L$3&lt;=$O$2,$D55,$D55-($D55-$I$49)*MIN(L$3-$O$2,$Q$2)/$Q$2))</f>
        <v>2816.37536657158</v>
      </c>
      <c r="M55" s="15" t="n">
        <f aca="false">L55*(1+IF(M$3&lt;=$O$2,$D55,$D55-($D55-$I$49)*MIN(M$3-$O$2,$Q$2)/$Q$2))</f>
        <v>2866.40827495872</v>
      </c>
      <c r="N55" s="15" t="n">
        <f aca="false">M55*(1+IF(N$3&lt;=$O$2,$D55,$D55-($D55-$I$49)*MIN(N$3-$O$2,$Q$2)/$Q$2))</f>
        <v>2918.86354639047</v>
      </c>
      <c r="O55" s="15" t="n">
        <f aca="false">SUMPRODUCT(E55:N55,1/(1+$F$49)^$E$3:$N$3)*$E$2</f>
        <v>5626.91756942969</v>
      </c>
      <c r="P55" s="15" t="n">
        <f aca="false">N55*$E$2*(1+$I$49)/($F$49-$I$49)/(1+$F$49)^$N$3</f>
        <v>8433.52843217211</v>
      </c>
      <c r="Q55" s="15" t="n">
        <f aca="false">O55+P55</f>
        <v>14060.4460016018</v>
      </c>
      <c r="R55" s="15" t="n">
        <f aca="false">Q55-$G$2+$I$2</f>
        <v>12785.7760016018</v>
      </c>
      <c r="S55" s="42" t="n">
        <f aca="false">R55/$K$2</f>
        <v>359.453921889283</v>
      </c>
      <c r="T55" s="43" t="n">
        <f aca="false">S55-$M$2</f>
        <v>70.1651954344052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-0.03125</v>
      </c>
      <c r="C56" s="25" t="n">
        <f aca="false">IF(T55&gt;0,D55,C55)</f>
        <v>0.015625</v>
      </c>
      <c r="D56" s="41" t="n">
        <f aca="false">(B56+C56)/2</f>
        <v>-0.0078125</v>
      </c>
      <c r="E56" s="15" t="n">
        <f aca="false">$C$2*(1+IF(E$3&lt;=$O$2,$D56,$D56-($D56-$I$49)*MIN(E$3-$O$2,$Q$2)/$Q$2))</f>
        <v>2460.625</v>
      </c>
      <c r="F56" s="15" t="n">
        <f aca="false">E56*(1+IF(F$3&lt;=$O$2,$D56,$D56-($D56-$I$49)*MIN(F$3-$O$2,$Q$2)/$Q$2))</f>
        <v>2441.4013671875</v>
      </c>
      <c r="G56" s="15" t="n">
        <f aca="false">F56*(1+IF(G$3&lt;=$O$2,$D56,$D56-($D56-$I$49)*MIN(G$3-$O$2,$Q$2)/$Q$2))</f>
        <v>2422.32791900635</v>
      </c>
      <c r="H56" s="15" t="n">
        <f aca="false">G56*(1+IF(H$3&lt;=$O$2,$D56,$D56-($D56-$I$49)*MIN(H$3-$O$2,$Q$2)/$Q$2))</f>
        <v>2403.40348213911</v>
      </c>
      <c r="I56" s="15" t="n">
        <f aca="false">H56*(1+IF(I$3&lt;=$O$2,$D56,$D56-($D56-$I$49)*MIN(I$3-$O$2,$Q$2)/$Q$2))</f>
        <v>2384.6268924349</v>
      </c>
      <c r="J56" s="15" t="n">
        <f aca="false">I56*(1+IF(J$3&lt;=$O$2,$D56,$D56-($D56-$I$49)*MIN(J$3-$O$2,$Q$2)/$Q$2))</f>
        <v>2378.45070878349</v>
      </c>
      <c r="K56" s="15" t="n">
        <f aca="false">J56*(1+IF(K$3&lt;=$O$2,$D56,$D56-($D56-$I$49)*MIN(K$3-$O$2,$Q$2)/$Q$2))</f>
        <v>2384.71198027437</v>
      </c>
      <c r="L56" s="15" t="n">
        <f aca="false">K56*(1+IF(L$3&lt;=$O$2,$D56,$D56-($D56-$I$49)*MIN(L$3-$O$2,$Q$2)/$Q$2))</f>
        <v>2403.44389287942</v>
      </c>
      <c r="M56" s="15" t="n">
        <f aca="false">L56*(1+IF(M$3&lt;=$O$2,$D56,$D56-($D56-$I$49)*MIN(M$3-$O$2,$Q$2)/$Q$2))</f>
        <v>2434.87493038855</v>
      </c>
      <c r="N56" s="15" t="n">
        <f aca="false">M56*(1+IF(N$3&lt;=$O$2,$D56,$D56-($D56-$I$49)*MIN(N$3-$O$2,$Q$2)/$Q$2))</f>
        <v>2479.43314161466</v>
      </c>
      <c r="O56" s="15" t="n">
        <f aca="false">SUMPRODUCT(E56:N56,1/(1+$F$49)^$E$3:$N$3)*$E$2</f>
        <v>5073.62503368628</v>
      </c>
      <c r="P56" s="15" t="n">
        <f aca="false">N56*$E$2*(1+$I$49)/($F$49-$I$49)/(1+$F$49)^$N$3</f>
        <v>7163.87373480863</v>
      </c>
      <c r="Q56" s="15" t="n">
        <f aca="false">O56+P56</f>
        <v>12237.4987684949</v>
      </c>
      <c r="R56" s="15" t="n">
        <f aca="false">Q56-$G$2+$I$2</f>
        <v>10962.8287684949</v>
      </c>
      <c r="S56" s="42" t="n">
        <f aca="false">R56/$K$2</f>
        <v>308.204351096287</v>
      </c>
      <c r="T56" s="43" t="n">
        <f aca="false">S56-$M$2</f>
        <v>18.915624641409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-0.03125</v>
      </c>
      <c r="C57" s="25" t="n">
        <f aca="false">IF(T56&gt;0,D56,C56)</f>
        <v>-0.0078125</v>
      </c>
      <c r="D57" s="41" t="n">
        <f aca="false">(B57+C57)/2</f>
        <v>-0.01953125</v>
      </c>
      <c r="E57" s="15" t="n">
        <f aca="false">$C$2*(1+IF(E$3&lt;=$O$2,$D57,$D57-($D57-$I$49)*MIN(E$3-$O$2,$Q$2)/$Q$2))</f>
        <v>2431.5625</v>
      </c>
      <c r="F57" s="15" t="n">
        <f aca="false">E57*(1+IF(F$3&lt;=$O$2,$D57,$D57-($D57-$I$49)*MIN(F$3-$O$2,$Q$2)/$Q$2))</f>
        <v>2384.07104492188</v>
      </c>
      <c r="G57" s="15" t="n">
        <f aca="false">F57*(1+IF(G$3&lt;=$O$2,$D57,$D57-($D57-$I$49)*MIN(G$3-$O$2,$Q$2)/$Q$2))</f>
        <v>2337.50715732574</v>
      </c>
      <c r="H57" s="15" t="n">
        <f aca="false">G57*(1+IF(H$3&lt;=$O$2,$D57,$D57-($D57-$I$49)*MIN(H$3-$O$2,$Q$2)/$Q$2))</f>
        <v>2291.85272065923</v>
      </c>
      <c r="I57" s="15" t="n">
        <f aca="false">H57*(1+IF(I$3&lt;=$O$2,$D57,$D57-($D57-$I$49)*MIN(I$3-$O$2,$Q$2)/$Q$2))</f>
        <v>2247.08997220885</v>
      </c>
      <c r="J57" s="15" t="n">
        <f aca="false">I57*(1+IF(J$3&lt;=$O$2,$D57,$D57-($D57-$I$49)*MIN(J$3-$O$2,$Q$2)/$Q$2))</f>
        <v>2220.20354069137</v>
      </c>
      <c r="K57" s="15" t="n">
        <f aca="false">J57*(1+IF(K$3&lt;=$O$2,$D57,$D57-($D57-$I$49)*MIN(K$3-$O$2,$Q$2)/$Q$2))</f>
        <v>2210.43742036676</v>
      </c>
      <c r="L57" s="15" t="n">
        <f aca="false">K57*(1+IF(L$3&lt;=$O$2,$D57,$D57-($D57-$I$49)*MIN(L$3-$O$2,$Q$2)/$Q$2))</f>
        <v>2217.43898089577</v>
      </c>
      <c r="M57" s="15" t="n">
        <f aca="false">L57*(1+IF(M$3&lt;=$O$2,$D57,$D57-($D57-$I$49)*MIN(M$3-$O$2,$Q$2)/$Q$2))</f>
        <v>2241.24041655696</v>
      </c>
      <c r="N57" s="15" t="n">
        <f aca="false">M57*(1+IF(N$3&lt;=$O$2,$D57,$D57-($D57-$I$49)*MIN(N$3-$O$2,$Q$2)/$Q$2))</f>
        <v>2282.25511617995</v>
      </c>
      <c r="O57" s="15" t="n">
        <f aca="false">SUMPRODUCT(E57:N57,1/(1+$F$49)^$E$3:$N$3)*$E$2</f>
        <v>4818.12885169027</v>
      </c>
      <c r="P57" s="15" t="n">
        <f aca="false">N57*$E$2*(1+$I$49)/($F$49-$I$49)/(1+$F$49)^$N$3</f>
        <v>6594.16348379002</v>
      </c>
      <c r="Q57" s="15" t="n">
        <f aca="false">O57+P57</f>
        <v>11412.2923354803</v>
      </c>
      <c r="R57" s="15" t="n">
        <f aca="false">Q57-$G$2+$I$2</f>
        <v>10137.6223354803</v>
      </c>
      <c r="S57" s="42" t="n">
        <f aca="false">R57/$K$2</f>
        <v>285.004844967115</v>
      </c>
      <c r="T57" s="43" t="n">
        <f aca="false">S57-$M$2</f>
        <v>-4.28388148776247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-0.01953125</v>
      </c>
      <c r="C58" s="25" t="n">
        <f aca="false">IF(T57&gt;0,D57,C57)</f>
        <v>-0.0078125</v>
      </c>
      <c r="D58" s="41" t="n">
        <f aca="false">(B58+C58)/2</f>
        <v>-0.013671875</v>
      </c>
      <c r="E58" s="15" t="n">
        <f aca="false">$C$2*(1+IF(E$3&lt;=$O$2,$D58,$D58-($D58-$I$49)*MIN(E$3-$O$2,$Q$2)/$Q$2))</f>
        <v>2446.09375</v>
      </c>
      <c r="F58" s="15" t="n">
        <f aca="false">E58*(1+IF(F$3&lt;=$O$2,$D58,$D58-($D58-$I$49)*MIN(F$3-$O$2,$Q$2)/$Q$2))</f>
        <v>2412.65106201172</v>
      </c>
      <c r="G58" s="15" t="n">
        <f aca="false">F58*(1+IF(G$3&lt;=$O$2,$D58,$D58-($D58-$I$49)*MIN(G$3-$O$2,$Q$2)/$Q$2))</f>
        <v>2379.66559827328</v>
      </c>
      <c r="H58" s="15" t="n">
        <f aca="false">G58*(1+IF(H$3&lt;=$O$2,$D58,$D58-($D58-$I$49)*MIN(H$3-$O$2,$Q$2)/$Q$2))</f>
        <v>2347.13110767189</v>
      </c>
      <c r="I58" s="15" t="n">
        <f aca="false">H58*(1+IF(I$3&lt;=$O$2,$D58,$D58-($D58-$I$49)*MIN(I$3-$O$2,$Q$2)/$Q$2))</f>
        <v>2315.04142455918</v>
      </c>
      <c r="J58" s="15" t="n">
        <f aca="false">I58*(1+IF(J$3&lt;=$O$2,$D58,$D58-($D58-$I$49)*MIN(J$3-$O$2,$Q$2)/$Q$2))</f>
        <v>2298.19371059195</v>
      </c>
      <c r="K58" s="15" t="n">
        <f aca="false">J58*(1+IF(K$3&lt;=$O$2,$D58,$D58-($D58-$I$49)*MIN(K$3-$O$2,$Q$2)/$Q$2))</f>
        <v>2296.16411827129</v>
      </c>
      <c r="L58" s="15" t="n">
        <f aca="false">K58*(1+IF(L$3&lt;=$O$2,$D58,$D58-($D58-$I$49)*MIN(L$3-$O$2,$Q$2)/$Q$2))</f>
        <v>2308.81885276811</v>
      </c>
      <c r="M58" s="15" t="n">
        <f aca="false">L58*(1+IF(M$3&lt;=$O$2,$D58,$D58-($D58-$I$49)*MIN(M$3-$O$2,$Q$2)/$Q$2))</f>
        <v>2336.3067842221</v>
      </c>
      <c r="N58" s="15" t="n">
        <f aca="false">M58*(1+IF(N$3&lt;=$O$2,$D58,$D58-($D58-$I$49)*MIN(N$3-$O$2,$Q$2)/$Q$2))</f>
        <v>2379.06119837336</v>
      </c>
      <c r="O58" s="15" t="n">
        <f aca="false">SUMPRODUCT(E58:N58,1/(1+$F$49)^$E$3:$N$3)*$E$2</f>
        <v>4944.18705055988</v>
      </c>
      <c r="P58" s="15" t="n">
        <f aca="false">N58*$E$2*(1+$I$49)/($F$49-$I$49)/(1+$F$49)^$N$3</f>
        <v>6873.86715393758</v>
      </c>
      <c r="Q58" s="15" t="n">
        <f aca="false">O58+P58</f>
        <v>11818.0542044975</v>
      </c>
      <c r="R58" s="15" t="n">
        <f aca="false">Q58-$G$2+$I$2</f>
        <v>10543.3842044975</v>
      </c>
      <c r="S58" s="42" t="n">
        <f aca="false">R58/$K$2</f>
        <v>296.412263269538</v>
      </c>
      <c r="T58" s="43" t="n">
        <f aca="false">S58-$M$2</f>
        <v>7.1235368146601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-0.01953125</v>
      </c>
      <c r="C59" s="25" t="n">
        <f aca="false">IF(T58&gt;0,D58,C58)</f>
        <v>-0.013671875</v>
      </c>
      <c r="D59" s="41" t="n">
        <f aca="false">(B59+C59)/2</f>
        <v>-0.0166015625</v>
      </c>
      <c r="E59" s="15" t="n">
        <f aca="false">$C$2*(1+IF(E$3&lt;=$O$2,$D59,$D59-($D59-$I$49)*MIN(E$3-$O$2,$Q$2)/$Q$2))</f>
        <v>2438.828125</v>
      </c>
      <c r="F59" s="15" t="n">
        <f aca="false">E59*(1+IF(F$3&lt;=$O$2,$D59,$D59-($D59-$I$49)*MIN(F$3-$O$2,$Q$2)/$Q$2))</f>
        <v>2398.33976745605</v>
      </c>
      <c r="G59" s="15" t="n">
        <f aca="false">F59*(1+IF(G$3&lt;=$O$2,$D59,$D59-($D59-$I$49)*MIN(G$3-$O$2,$Q$2)/$Q$2))</f>
        <v>2358.5235799104</v>
      </c>
      <c r="H59" s="15" t="n">
        <f aca="false">G59*(1+IF(H$3&lt;=$O$2,$D59,$D59-($D59-$I$49)*MIN(H$3-$O$2,$Q$2)/$Q$2))</f>
        <v>2319.36840329079</v>
      </c>
      <c r="I59" s="15" t="n">
        <f aca="false">H59*(1+IF(I$3&lt;=$O$2,$D59,$D59-($D59-$I$49)*MIN(I$3-$O$2,$Q$2)/$Q$2))</f>
        <v>2280.86326378303</v>
      </c>
      <c r="J59" s="15" t="n">
        <f aca="false">I59*(1+IF(J$3&lt;=$O$2,$D59,$D59-($D59-$I$49)*MIN(J$3-$O$2,$Q$2)/$Q$2))</f>
        <v>2258.91850810636</v>
      </c>
      <c r="K59" s="15" t="n">
        <f aca="false">J59*(1+IF(K$3&lt;=$O$2,$D59,$D59-($D59-$I$49)*MIN(K$3-$O$2,$Q$2)/$Q$2))</f>
        <v>2252.95284550886</v>
      </c>
      <c r="L59" s="15" t="n">
        <f aca="false">K59*(1+IF(L$3&lt;=$O$2,$D59,$D59-($D59-$I$49)*MIN(L$3-$O$2,$Q$2)/$Q$2))</f>
        <v>2262.72925276284</v>
      </c>
      <c r="M59" s="15" t="n">
        <f aca="false">L59*(1+IF(M$3&lt;=$O$2,$D59,$D59-($D59-$I$49)*MIN(M$3-$O$2,$Q$2)/$Q$2))</f>
        <v>2288.34264080122</v>
      </c>
      <c r="N59" s="15" t="n">
        <f aca="false">M59*(1+IF(N$3&lt;=$O$2,$D59,$D59-($D59-$I$49)*MIN(N$3-$O$2,$Q$2)/$Q$2))</f>
        <v>2330.21931112789</v>
      </c>
      <c r="O59" s="15" t="n">
        <f aca="false">SUMPRODUCT(E59:N59,1/(1+$F$49)^$E$3:$N$3)*$E$2</f>
        <v>4880.74076195938</v>
      </c>
      <c r="P59" s="15" t="n">
        <f aca="false">N59*$E$2*(1+$I$49)/($F$49-$I$49)/(1+$F$49)^$N$3</f>
        <v>6732.74735226852</v>
      </c>
      <c r="Q59" s="15" t="n">
        <f aca="false">O59+P59</f>
        <v>11613.4881142279</v>
      </c>
      <c r="R59" s="15" t="n">
        <f aca="false">Q59-$G$2+$I$2</f>
        <v>10338.8181142279</v>
      </c>
      <c r="S59" s="42" t="n">
        <f aca="false">R59/$K$2</f>
        <v>290.661178358951</v>
      </c>
      <c r="T59" s="43" t="n">
        <f aca="false">S59-$M$2</f>
        <v>1.37245190407361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-0.01953125</v>
      </c>
      <c r="C60" s="25" t="n">
        <f aca="false">IF(T59&gt;0,D59,C59)</f>
        <v>-0.0166015625</v>
      </c>
      <c r="D60" s="41" t="n">
        <f aca="false">(B60+C60)/2</f>
        <v>-0.01806640625</v>
      </c>
      <c r="E60" s="15" t="n">
        <f aca="false">$C$2*(1+IF(E$3&lt;=$O$2,$D60,$D60-($D60-$I$49)*MIN(E$3-$O$2,$Q$2)/$Q$2))</f>
        <v>2435.1953125</v>
      </c>
      <c r="F60" s="15" t="n">
        <f aca="false">E60*(1+IF(F$3&lt;=$O$2,$D60,$D60-($D60-$I$49)*MIN(F$3-$O$2,$Q$2)/$Q$2))</f>
        <v>2391.20008468628</v>
      </c>
      <c r="G60" s="15" t="n">
        <f aca="false">F60*(1+IF(G$3&lt;=$O$2,$D60,$D60-($D60-$I$49)*MIN(G$3-$O$2,$Q$2)/$Q$2))</f>
        <v>2347.9996925313</v>
      </c>
      <c r="H60" s="15" t="n">
        <f aca="false">G60*(1+IF(H$3&lt;=$O$2,$D60,$D60-($D60-$I$49)*MIN(H$3-$O$2,$Q$2)/$Q$2))</f>
        <v>2305.57977621116</v>
      </c>
      <c r="I60" s="15" t="n">
        <f aca="false">H60*(1+IF(I$3&lt;=$O$2,$D60,$D60-($D60-$I$49)*MIN(I$3-$O$2,$Q$2)/$Q$2))</f>
        <v>2263.92623533234</v>
      </c>
      <c r="J60" s="15" t="n">
        <f aca="false">I60*(1+IF(J$3&lt;=$O$2,$D60,$D60-($D60-$I$49)*MIN(J$3-$O$2,$Q$2)/$Q$2))</f>
        <v>2239.49139648362</v>
      </c>
      <c r="K60" s="15" t="n">
        <f aca="false">J60*(1+IF(K$3&lt;=$O$2,$D60,$D60-($D60-$I$49)*MIN(K$3-$O$2,$Q$2)/$Q$2))</f>
        <v>2231.60873668853</v>
      </c>
      <c r="L60" s="15" t="n">
        <f aca="false">K60*(1+IF(L$3&lt;=$O$2,$D60,$D60-($D60-$I$49)*MIN(L$3-$O$2,$Q$2)/$Q$2))</f>
        <v>2239.98494060614</v>
      </c>
      <c r="M60" s="15" t="n">
        <f aca="false">L60*(1+IF(M$3&lt;=$O$2,$D60,$D60-($D60-$I$49)*MIN(M$3-$O$2,$Q$2)/$Q$2))</f>
        <v>2264.68462455044</v>
      </c>
      <c r="N60" s="15" t="n">
        <f aca="false">M60*(1+IF(N$3&lt;=$O$2,$D60,$D60-($D60-$I$49)*MIN(N$3-$O$2,$Q$2)/$Q$2))</f>
        <v>2306.12835317972</v>
      </c>
      <c r="O60" s="15" t="n">
        <f aca="false">SUMPRODUCT(E60:N60,1/(1+$F$49)^$E$3:$N$3)*$E$2</f>
        <v>4849.33116369646</v>
      </c>
      <c r="P60" s="15" t="n">
        <f aca="false">N60*$E$2*(1+$I$49)/($F$49-$I$49)/(1+$F$49)^$N$3</f>
        <v>6663.14088537307</v>
      </c>
      <c r="Q60" s="15" t="n">
        <f aca="false">O60+P60</f>
        <v>11512.4720490695</v>
      </c>
      <c r="R60" s="15" t="n">
        <f aca="false">Q60-$G$2+$I$2</f>
        <v>10237.8020490695</v>
      </c>
      <c r="S60" s="42" t="n">
        <f aca="false">R60/$K$2</f>
        <v>287.821255245137</v>
      </c>
      <c r="T60" s="43" t="n">
        <f aca="false">S60-$M$2</f>
        <v>-1.46747120974044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-0.01806640625</v>
      </c>
      <c r="C61" s="25" t="n">
        <f aca="false">IF(T60&gt;0,D60,C60)</f>
        <v>-0.0166015625</v>
      </c>
      <c r="D61" s="41" t="n">
        <f aca="false">(B61+C61)/2</f>
        <v>-0.017333984375</v>
      </c>
      <c r="E61" s="15" t="n">
        <f aca="false">$C$2*(1+IF(E$3&lt;=$O$2,$D61,$D61-($D61-$I$49)*MIN(E$3-$O$2,$Q$2)/$Q$2))</f>
        <v>2437.01171875</v>
      </c>
      <c r="F61" s="15" t="n">
        <f aca="false">E61*(1+IF(F$3&lt;=$O$2,$D61,$D61-($D61-$I$49)*MIN(F$3-$O$2,$Q$2)/$Q$2))</f>
        <v>2394.7685956955</v>
      </c>
      <c r="G61" s="15" t="n">
        <f aca="false">F61*(1+IF(G$3&lt;=$O$2,$D61,$D61-($D61-$I$49)*MIN(G$3-$O$2,$Q$2)/$Q$2))</f>
        <v>2353.25771427597</v>
      </c>
      <c r="H61" s="15" t="n">
        <f aca="false">G61*(1+IF(H$3&lt;=$O$2,$D61,$D61-($D61-$I$49)*MIN(H$3-$O$2,$Q$2)/$Q$2))</f>
        <v>2312.46638182636</v>
      </c>
      <c r="I61" s="15" t="n">
        <f aca="false">H61*(1+IF(I$3&lt;=$O$2,$D61,$D61-($D61-$I$49)*MIN(I$3-$O$2,$Q$2)/$Q$2))</f>
        <v>2272.38212569607</v>
      </c>
      <c r="J61" s="15" t="n">
        <f aca="false">I61*(1+IF(J$3&lt;=$O$2,$D61,$D61-($D61-$I$49)*MIN(J$3-$O$2,$Q$2)/$Q$2))</f>
        <v>2249.18749526744</v>
      </c>
      <c r="K61" s="15" t="n">
        <f aca="false">J61*(1+IF(K$3&lt;=$O$2,$D61,$D61-($D61-$I$49)*MIN(K$3-$O$2,$Q$2)/$Q$2))</f>
        <v>2242.25911919315</v>
      </c>
      <c r="L61" s="15" t="n">
        <f aca="false">K61*(1+IF(L$3&lt;=$O$2,$D61,$D61-($D61-$I$49)*MIN(L$3-$O$2,$Q$2)/$Q$2))</f>
        <v>2251.33221050718</v>
      </c>
      <c r="M61" s="15" t="n">
        <f aca="false">L61*(1+IF(M$3&lt;=$O$2,$D61,$D61-($D61-$I$49)*MIN(M$3-$O$2,$Q$2)/$Q$2))</f>
        <v>2276.48680259703</v>
      </c>
      <c r="N61" s="15" t="n">
        <f aca="false">M61*(1+IF(N$3&lt;=$O$2,$D61,$D61-($D61-$I$49)*MIN(N$3-$O$2,$Q$2)/$Q$2))</f>
        <v>2318.14651108455</v>
      </c>
      <c r="O61" s="15" t="n">
        <f aca="false">SUMPRODUCT(E61:N61,1/(1+$F$49)^$E$3:$N$3)*$E$2</f>
        <v>4865.00997055594</v>
      </c>
      <c r="P61" s="15" t="n">
        <f aca="false">N61*$E$2*(1+$I$49)/($F$49-$I$49)/(1+$F$49)^$N$3</f>
        <v>6697.86517953136</v>
      </c>
      <c r="Q61" s="15" t="n">
        <f aca="false">O61+P61</f>
        <v>11562.8751500873</v>
      </c>
      <c r="R61" s="15" t="n">
        <f aca="false">Q61-$G$2+$I$2</f>
        <v>10288.2051500873</v>
      </c>
      <c r="S61" s="42" t="n">
        <f aca="false">R61/$K$2</f>
        <v>289.238266800318</v>
      </c>
      <c r="T61" s="43" t="n">
        <f aca="false">S61-$M$2</f>
        <v>-0.0504596545599156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-0.017333984375</v>
      </c>
      <c r="C62" s="25" t="n">
        <f aca="false">IF(T61&gt;0,D61,C61)</f>
        <v>-0.0166015625</v>
      </c>
      <c r="D62" s="41" t="n">
        <f aca="false">(B62+C62)/2</f>
        <v>-0.0169677734375</v>
      </c>
      <c r="E62" s="15" t="n">
        <f aca="false">$C$2*(1+IF(E$3&lt;=$O$2,$D62,$D62-($D62-$I$49)*MIN(E$3-$O$2,$Q$2)/$Q$2))</f>
        <v>2437.919921875</v>
      </c>
      <c r="F62" s="15" t="n">
        <f aca="false">E62*(1+IF(F$3&lt;=$O$2,$D62,$D62-($D62-$I$49)*MIN(F$3-$O$2,$Q$2)/$Q$2))</f>
        <v>2396.55384898186</v>
      </c>
      <c r="G62" s="15" t="n">
        <f aca="false">F62*(1+IF(G$3&lt;=$O$2,$D62,$D62-($D62-$I$49)*MIN(G$3-$O$2,$Q$2)/$Q$2))</f>
        <v>2355.88966624156</v>
      </c>
      <c r="H62" s="15" t="n">
        <f aca="false">G62*(1+IF(H$3&lt;=$O$2,$D62,$D62-($D62-$I$49)*MIN(H$3-$O$2,$Q$2)/$Q$2))</f>
        <v>2315.91546414103</v>
      </c>
      <c r="I62" s="15" t="n">
        <f aca="false">H62*(1+IF(I$3&lt;=$O$2,$D62,$D62-($D62-$I$49)*MIN(I$3-$O$2,$Q$2)/$Q$2))</f>
        <v>2276.61953524508</v>
      </c>
      <c r="J62" s="15" t="n">
        <f aca="false">I62*(1+IF(J$3&lt;=$O$2,$D62,$D62-($D62-$I$49)*MIN(J$3-$O$2,$Q$2)/$Q$2))</f>
        <v>2254.04863116214</v>
      </c>
      <c r="K62" s="15" t="n">
        <f aca="false">J62*(1+IF(K$3&lt;=$O$2,$D62,$D62-($D62-$I$49)*MIN(K$3-$O$2,$Q$2)/$Q$2))</f>
        <v>2247.60055524785</v>
      </c>
      <c r="L62" s="15" t="n">
        <f aca="false">K62*(1+IF(L$3&lt;=$O$2,$D62,$D62-($D62-$I$49)*MIN(L$3-$O$2,$Q$2)/$Q$2))</f>
        <v>2257.02449854469</v>
      </c>
      <c r="M62" s="15" t="n">
        <f aca="false">L62*(1+IF(M$3&lt;=$O$2,$D62,$D62-($D62-$I$49)*MIN(M$3-$O$2,$Q$2)/$Q$2))</f>
        <v>2282.40800113655</v>
      </c>
      <c r="N62" s="15" t="n">
        <f aca="false">M62*(1+IF(N$3&lt;=$O$2,$D62,$D62-($D62-$I$49)*MIN(N$3-$O$2,$Q$2)/$Q$2))</f>
        <v>2324.17606755734</v>
      </c>
      <c r="O62" s="15" t="n">
        <f aca="false">SUMPRODUCT(E62:N62,1/(1+$F$49)^$E$3:$N$3)*$E$2</f>
        <v>4872.86885797894</v>
      </c>
      <c r="P62" s="15" t="n">
        <f aca="false">N62*$E$2*(1+$I$49)/($F$49-$I$49)/(1+$F$49)^$N$3</f>
        <v>6715.28649270291</v>
      </c>
      <c r="Q62" s="15" t="n">
        <f aca="false">O62+P62</f>
        <v>11588.1553506818</v>
      </c>
      <c r="R62" s="15" t="n">
        <f aca="false">Q62-$G$2+$I$2</f>
        <v>10313.4853506818</v>
      </c>
      <c r="S62" s="42" t="n">
        <f aca="false">R62/$K$2</f>
        <v>289.948983713293</v>
      </c>
      <c r="T62" s="43" t="n">
        <f aca="false">S62-$M$2</f>
        <v>0.660257258415584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-0.017333984375</v>
      </c>
      <c r="C63" s="25" t="n">
        <f aca="false">IF(T62&gt;0,D62,C62)</f>
        <v>-0.0169677734375</v>
      </c>
      <c r="D63" s="41" t="n">
        <f aca="false">(B63+C63)/2</f>
        <v>-0.01715087890625</v>
      </c>
      <c r="E63" s="15" t="n">
        <f aca="false">$C$2*(1+IF(E$3&lt;=$O$2,$D63,$D63-($D63-$I$49)*MIN(E$3-$O$2,$Q$2)/$Q$2))</f>
        <v>2437.4658203125</v>
      </c>
      <c r="F63" s="15" t="n">
        <f aca="false">E63*(1+IF(F$3&lt;=$O$2,$D63,$D63-($D63-$I$49)*MIN(F$3-$O$2,$Q$2)/$Q$2))</f>
        <v>2395.6611391902</v>
      </c>
      <c r="G63" s="15" t="n">
        <f aca="false">F63*(1+IF(G$3&lt;=$O$2,$D63,$D63-($D63-$I$49)*MIN(G$3-$O$2,$Q$2)/$Q$2))</f>
        <v>2354.57344509154</v>
      </c>
      <c r="H63" s="15" t="n">
        <f aca="false">G63*(1+IF(H$3&lt;=$O$2,$D63,$D63-($D63-$I$49)*MIN(H$3-$O$2,$Q$2)/$Q$2))</f>
        <v>2314.1904410589</v>
      </c>
      <c r="I63" s="15" t="n">
        <f aca="false">H63*(1+IF(I$3&lt;=$O$2,$D63,$D63-($D63-$I$49)*MIN(I$3-$O$2,$Q$2)/$Q$2))</f>
        <v>2274.5000410383</v>
      </c>
      <c r="J63" s="15" t="n">
        <f aca="false">I63*(1+IF(J$3&lt;=$O$2,$D63,$D63-($D63-$I$49)*MIN(J$3-$O$2,$Q$2)/$Q$2))</f>
        <v>2251.61697136761</v>
      </c>
      <c r="K63" s="15" t="n">
        <f aca="false">J63*(1+IF(K$3&lt;=$O$2,$D63,$D63-($D63-$I$49)*MIN(K$3-$O$2,$Q$2)/$Q$2))</f>
        <v>2244.92848158651</v>
      </c>
      <c r="L63" s="15" t="n">
        <f aca="false">K63*(1+IF(L$3&lt;=$O$2,$D63,$D63-($D63-$I$49)*MIN(L$3-$O$2,$Q$2)/$Q$2))</f>
        <v>2254.17679769798</v>
      </c>
      <c r="M63" s="15" t="n">
        <f aca="false">L63*(1+IF(M$3&lt;=$O$2,$D63,$D63-($D63-$I$49)*MIN(M$3-$O$2,$Q$2)/$Q$2))</f>
        <v>2279.44572335816</v>
      </c>
      <c r="N63" s="15" t="n">
        <f aca="false">M63*(1+IF(N$3&lt;=$O$2,$D63,$D63-($D63-$I$49)*MIN(N$3-$O$2,$Q$2)/$Q$2))</f>
        <v>2321.15958009561</v>
      </c>
      <c r="O63" s="15" t="n">
        <f aca="false">SUMPRODUCT(E63:N63,1/(1+$F$49)^$E$3:$N$3)*$E$2</f>
        <v>4868.93778847519</v>
      </c>
      <c r="P63" s="15" t="n">
        <f aca="false">N63*$E$2*(1+$I$49)/($F$49-$I$49)/(1+$F$49)^$N$3</f>
        <v>6706.57089761959</v>
      </c>
      <c r="Q63" s="15" t="n">
        <f aca="false">O63+P63</f>
        <v>11575.5086860948</v>
      </c>
      <c r="R63" s="15" t="n">
        <f aca="false">Q63-$G$2+$I$2</f>
        <v>10300.8386860948</v>
      </c>
      <c r="S63" s="42" t="n">
        <f aca="false">R63/$K$2</f>
        <v>289.593440711127</v>
      </c>
      <c r="T63" s="43" t="n">
        <f aca="false">S63-$M$2</f>
        <v>0.304714256249099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-0.017333984375</v>
      </c>
      <c r="C64" s="25" t="n">
        <f aca="false">IF(T63&gt;0,D63,C63)</f>
        <v>-0.01715087890625</v>
      </c>
      <c r="D64" s="41" t="n">
        <f aca="false">(B64+C64)/2</f>
        <v>-0.017242431640625</v>
      </c>
      <c r="E64" s="15" t="n">
        <f aca="false">$C$2*(1+IF(E$3&lt;=$O$2,$D64,$D64-($D64-$I$49)*MIN(E$3-$O$2,$Q$2)/$Q$2))</f>
        <v>2437.23876953125</v>
      </c>
      <c r="F64" s="15" t="n">
        <f aca="false">E64*(1+IF(F$3&lt;=$O$2,$D64,$D64-($D64-$I$49)*MIN(F$3-$O$2,$Q$2)/$Q$2))</f>
        <v>2395.21484665573</v>
      </c>
      <c r="G64" s="15" t="n">
        <f aca="false">F64*(1+IF(G$3&lt;=$O$2,$D64,$D64-($D64-$I$49)*MIN(G$3-$O$2,$Q$2)/$Q$2))</f>
        <v>2353.91551839766</v>
      </c>
      <c r="H64" s="15" t="n">
        <f aca="false">G64*(1+IF(H$3&lt;=$O$2,$D64,$D64-($D64-$I$49)*MIN(H$3-$O$2,$Q$2)/$Q$2))</f>
        <v>2313.32829098388</v>
      </c>
      <c r="I64" s="15" t="n">
        <f aca="false">H64*(1+IF(I$3&lt;=$O$2,$D64,$D64-($D64-$I$49)*MIN(I$3-$O$2,$Q$2)/$Q$2))</f>
        <v>2273.44088606426</v>
      </c>
      <c r="J64" s="15" t="n">
        <f aca="false">I64*(1+IF(J$3&lt;=$O$2,$D64,$D64-($D64-$I$49)*MIN(J$3-$O$2,$Q$2)/$Q$2))</f>
        <v>2250.40196045369</v>
      </c>
      <c r="K64" s="15" t="n">
        <f aca="false">J64*(1+IF(K$3&lt;=$O$2,$D64,$D64-($D64-$I$49)*MIN(K$3-$O$2,$Q$2)/$Q$2))</f>
        <v>2243.59346162398</v>
      </c>
      <c r="L64" s="15" t="n">
        <f aca="false">K64*(1+IF(L$3&lt;=$O$2,$D64,$D64-($D64-$I$49)*MIN(L$3-$O$2,$Q$2)/$Q$2))</f>
        <v>2252.75411507605</v>
      </c>
      <c r="M64" s="15" t="n">
        <f aca="false">L64*(1+IF(M$3&lt;=$O$2,$D64,$D64-($D64-$I$49)*MIN(M$3-$O$2,$Q$2)/$Q$2))</f>
        <v>2277.96584355429</v>
      </c>
      <c r="N64" s="15" t="n">
        <f aca="false">M64*(1+IF(N$3&lt;=$O$2,$D64,$D64-($D64-$I$49)*MIN(N$3-$O$2,$Q$2)/$Q$2))</f>
        <v>2319.65261849134</v>
      </c>
      <c r="O64" s="15" t="n">
        <f aca="false">SUMPRODUCT(E64:N64,1/(1+$F$49)^$E$3:$N$3)*$E$2</f>
        <v>4866.97347322709</v>
      </c>
      <c r="P64" s="15" t="n">
        <f aca="false">N64*$E$2*(1+$I$49)/($F$49-$I$49)/(1+$F$49)^$N$3</f>
        <v>6702.21680455088</v>
      </c>
      <c r="Q64" s="15" t="n">
        <f aca="false">O64+P64</f>
        <v>11569.190277778</v>
      </c>
      <c r="R64" s="15" t="n">
        <f aca="false">Q64-$G$2+$I$2</f>
        <v>10294.520277778</v>
      </c>
      <c r="S64" s="42" t="n">
        <f aca="false">R64/$K$2</f>
        <v>289.415807640651</v>
      </c>
      <c r="T64" s="43" t="n">
        <f aca="false">S64-$M$2</f>
        <v>0.127081185773534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-0.017333984375</v>
      </c>
      <c r="C65" s="25" t="n">
        <f aca="false">IF(T64&gt;0,D64,C64)</f>
        <v>-0.017242431640625</v>
      </c>
      <c r="D65" s="41" t="n">
        <f aca="false">(B65+C65)/2</f>
        <v>-0.0172882080078125</v>
      </c>
      <c r="E65" s="15" t="n">
        <f aca="false">$C$2*(1+IF(E$3&lt;=$O$2,$D65,$D65-($D65-$I$49)*MIN(E$3-$O$2,$Q$2)/$Q$2))</f>
        <v>2437.12524414063</v>
      </c>
      <c r="F65" s="15" t="n">
        <f aca="false">E65*(1+IF(F$3&lt;=$O$2,$D65,$D65-($D65-$I$49)*MIN(F$3-$O$2,$Q$2)/$Q$2))</f>
        <v>2394.99171597883</v>
      </c>
      <c r="G65" s="15" t="n">
        <f aca="false">F65*(1+IF(G$3&lt;=$O$2,$D65,$D65-($D65-$I$49)*MIN(G$3-$O$2,$Q$2)/$Q$2))</f>
        <v>2353.586601016</v>
      </c>
      <c r="H65" s="15" t="n">
        <f aca="false">G65*(1+IF(H$3&lt;=$O$2,$D65,$D65-($D65-$I$49)*MIN(H$3-$O$2,$Q$2)/$Q$2))</f>
        <v>2312.89730629324</v>
      </c>
      <c r="I65" s="15" t="n">
        <f aca="false">H65*(1+IF(I$3&lt;=$O$2,$D65,$D65-($D65-$I$49)*MIN(I$3-$O$2,$Q$2)/$Q$2))</f>
        <v>2272.91145656133</v>
      </c>
      <c r="J65" s="15" t="n">
        <f aca="false">I65*(1+IF(J$3&lt;=$O$2,$D65,$D65-($D65-$I$49)*MIN(J$3-$O$2,$Q$2)/$Q$2))</f>
        <v>2249.79465965685</v>
      </c>
      <c r="K65" s="15" t="n">
        <f aca="false">J65*(1+IF(K$3&lt;=$O$2,$D65,$D65-($D65-$I$49)*MIN(K$3-$O$2,$Q$2)/$Q$2))</f>
        <v>2242.92620573493</v>
      </c>
      <c r="L65" s="15" t="n">
        <f aca="false">K65*(1+IF(L$3&lt;=$O$2,$D65,$D65-($D65-$I$49)*MIN(L$3-$O$2,$Q$2)/$Q$2))</f>
        <v>2252.04306555753</v>
      </c>
      <c r="M65" s="15" t="n">
        <f aca="false">L65*(1+IF(M$3&lt;=$O$2,$D65,$D65-($D65-$I$49)*MIN(M$3-$O$2,$Q$2)/$Q$2))</f>
        <v>2277.22621824531</v>
      </c>
      <c r="N65" s="15" t="n">
        <f aca="false">M65*(1+IF(N$3&lt;=$O$2,$D65,$D65-($D65-$I$49)*MIN(N$3-$O$2,$Q$2)/$Q$2))</f>
        <v>2318.8994580392</v>
      </c>
      <c r="O65" s="15" t="n">
        <f aca="false">SUMPRODUCT(E65:N65,1/(1+$F$49)^$E$3:$N$3)*$E$2</f>
        <v>4865.99162033934</v>
      </c>
      <c r="P65" s="15" t="n">
        <f aca="false">N65*$E$2*(1+$I$49)/($F$49-$I$49)/(1+$F$49)^$N$3</f>
        <v>6700.04068360992</v>
      </c>
      <c r="Q65" s="15" t="n">
        <f aca="false">O65+P65</f>
        <v>11566.0323039493</v>
      </c>
      <c r="R65" s="15" t="n">
        <f aca="false">Q65-$G$2+$I$2</f>
        <v>10291.3623039493</v>
      </c>
      <c r="S65" s="42" t="n">
        <f aca="false">R65/$K$2</f>
        <v>289.327025694384</v>
      </c>
      <c r="T65" s="43" t="n">
        <f aca="false">S65-$M$2</f>
        <v>0.0382992395066708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-0.017333984375</v>
      </c>
      <c r="C66" s="25" t="n">
        <f aca="false">IF(T65&gt;0,D65,C65)</f>
        <v>-0.0172882080078125</v>
      </c>
      <c r="D66" s="41" t="n">
        <f aca="false">(B66+C66)/2</f>
        <v>-0.0173110961914063</v>
      </c>
      <c r="E66" s="15" t="n">
        <f aca="false">$C$2*(1+IF(E$3&lt;=$O$2,$D66,$D66-($D66-$I$49)*MIN(E$3-$O$2,$Q$2)/$Q$2))</f>
        <v>2437.06848144531</v>
      </c>
      <c r="F66" s="15" t="n">
        <f aca="false">E66*(1+IF(F$3&lt;=$O$2,$D66,$D66-($D66-$I$49)*MIN(F$3-$O$2,$Q$2)/$Q$2))</f>
        <v>2394.88015453797</v>
      </c>
      <c r="G66" s="15" t="n">
        <f aca="false">F66*(1+IF(G$3&lt;=$O$2,$D66,$D66-($D66-$I$49)*MIN(G$3-$O$2,$Q$2)/$Q$2))</f>
        <v>2353.42215381587</v>
      </c>
      <c r="H66" s="15" t="n">
        <f aca="false">G66*(1+IF(H$3&lt;=$O$2,$D66,$D66-($D66-$I$49)*MIN(H$3-$O$2,$Q$2)/$Q$2))</f>
        <v>2312.68183653218</v>
      </c>
      <c r="I66" s="15" t="n">
        <f aca="false">H66*(1+IF(I$3&lt;=$O$2,$D66,$D66-($D66-$I$49)*MIN(I$3-$O$2,$Q$2)/$Q$2))</f>
        <v>2272.64677879985</v>
      </c>
      <c r="J66" s="15" t="n">
        <f aca="false">I66*(1+IF(J$3&lt;=$O$2,$D66,$D66-($D66-$I$49)*MIN(J$3-$O$2,$Q$2)/$Q$2))</f>
        <v>2249.49106041274</v>
      </c>
      <c r="K66" s="15" t="n">
        <f aca="false">J66*(1+IF(K$3&lt;=$O$2,$D66,$D66-($D66-$I$49)*MIN(K$3-$O$2,$Q$2)/$Q$2))</f>
        <v>2242.59264129786</v>
      </c>
      <c r="L66" s="15" t="n">
        <f aca="false">K66*(1+IF(L$3&lt;=$O$2,$D66,$D66-($D66-$I$49)*MIN(L$3-$O$2,$Q$2)/$Q$2))</f>
        <v>2251.68761372665</v>
      </c>
      <c r="M66" s="15" t="n">
        <f aca="false">L66*(1+IF(M$3&lt;=$O$2,$D66,$D66-($D66-$I$49)*MIN(M$3-$O$2,$Q$2)/$Q$2))</f>
        <v>2276.85648421676</v>
      </c>
      <c r="N66" s="15" t="n">
        <f aca="false">M66*(1+IF(N$3&lt;=$O$2,$D66,$D66-($D66-$I$49)*MIN(N$3-$O$2,$Q$2)/$Q$2))</f>
        <v>2318.52295787793</v>
      </c>
      <c r="O66" s="15" t="n">
        <f aca="false">SUMPRODUCT(E66:N66,1/(1+$F$49)^$E$3:$N$3)*$E$2</f>
        <v>4865.50077006209</v>
      </c>
      <c r="P66" s="15" t="n">
        <f aca="false">N66*$E$2*(1+$I$49)/($F$49-$I$49)/(1+$F$49)^$N$3</f>
        <v>6698.95285447221</v>
      </c>
      <c r="Q66" s="15" t="n">
        <f aca="false">O66+P66</f>
        <v>11564.4536245343</v>
      </c>
      <c r="R66" s="15" t="n">
        <f aca="false">Q66-$G$2+$I$2</f>
        <v>10289.7836245343</v>
      </c>
      <c r="S66" s="42" t="n">
        <f aca="false">R66/$K$2</f>
        <v>289.28264336616</v>
      </c>
      <c r="T66" s="43" t="n">
        <f aca="false">S66-$M$2</f>
        <v>-0.00608308871807139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-0.0173110961914063</v>
      </c>
      <c r="C67" s="25" t="n">
        <f aca="false">IF(T66&gt;0,D66,C66)</f>
        <v>-0.0172882080078125</v>
      </c>
      <c r="D67" s="41" t="n">
        <f aca="false">(B67+C67)/2</f>
        <v>-0.0172996520996094</v>
      </c>
      <c r="E67" s="15" t="n">
        <f aca="false">$C$2*(1+IF(E$3&lt;=$O$2,$D67,$D67-($D67-$I$49)*MIN(E$3-$O$2,$Q$2)/$Q$2))</f>
        <v>2437.09686279297</v>
      </c>
      <c r="F67" s="15" t="n">
        <f aca="false">E67*(1+IF(F$3&lt;=$O$2,$D67,$D67-($D67-$I$49)*MIN(F$3-$O$2,$Q$2)/$Q$2))</f>
        <v>2394.9359349336</v>
      </c>
      <c r="G67" s="15" t="n">
        <f aca="false">F67*(1+IF(G$3&lt;=$O$2,$D67,$D67-($D67-$I$49)*MIN(G$3-$O$2,$Q$2)/$Q$2))</f>
        <v>2353.5043764584</v>
      </c>
      <c r="H67" s="15" t="n">
        <f aca="false">G67*(1+IF(H$3&lt;=$O$2,$D67,$D67-($D67-$I$49)*MIN(H$3-$O$2,$Q$2)/$Q$2))</f>
        <v>2312.78956953076</v>
      </c>
      <c r="I67" s="15" t="n">
        <f aca="false">H67*(1+IF(I$3&lt;=$O$2,$D67,$D67-($D67-$I$49)*MIN(I$3-$O$2,$Q$2)/$Q$2))</f>
        <v>2272.77911459827</v>
      </c>
      <c r="J67" s="15" t="n">
        <f aca="false">I67*(1+IF(J$3&lt;=$O$2,$D67,$D67-($D67-$I$49)*MIN(J$3-$O$2,$Q$2)/$Q$2))</f>
        <v>2249.64285577225</v>
      </c>
      <c r="K67" s="15" t="n">
        <f aca="false">J67*(1+IF(K$3&lt;=$O$2,$D67,$D67-($D67-$I$49)*MIN(K$3-$O$2,$Q$2)/$Q$2))</f>
        <v>2242.75941822457</v>
      </c>
      <c r="L67" s="15" t="n">
        <f aca="false">K67*(1+IF(L$3&lt;=$O$2,$D67,$D67-($D67-$I$49)*MIN(L$3-$O$2,$Q$2)/$Q$2))</f>
        <v>2251.86533356531</v>
      </c>
      <c r="M67" s="15" t="n">
        <f aca="false">L67*(1+IF(M$3&lt;=$O$2,$D67,$D67-($D67-$I$49)*MIN(M$3-$O$2,$Q$2)/$Q$2))</f>
        <v>2277.04134467954</v>
      </c>
      <c r="N67" s="15" t="n">
        <f aca="false">M67*(1+IF(N$3&lt;=$O$2,$D67,$D67-($D67-$I$49)*MIN(N$3-$O$2,$Q$2)/$Q$2))</f>
        <v>2318.71120128717</v>
      </c>
      <c r="O67" s="15" t="n">
        <f aca="false">SUMPRODUCT(E67:N67,1/(1+$F$49)^$E$3:$N$3)*$E$2</f>
        <v>4865.74618885401</v>
      </c>
      <c r="P67" s="15" t="n">
        <f aca="false">N67*$E$2*(1+$I$49)/($F$49-$I$49)/(1+$F$49)^$N$3</f>
        <v>6699.49674976528</v>
      </c>
      <c r="Q67" s="15" t="n">
        <f aca="false">O67+P67</f>
        <v>11565.2429386193</v>
      </c>
      <c r="R67" s="15" t="n">
        <f aca="false">Q67-$G$2+$I$2</f>
        <v>10290.5729386193</v>
      </c>
      <c r="S67" s="42" t="n">
        <f aca="false">R67/$K$2</f>
        <v>289.304833809932</v>
      </c>
      <c r="T67" s="43" t="n">
        <f aca="false">S67-$M$2</f>
        <v>0.0161073550547144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-0.0173110961914063</v>
      </c>
      <c r="C68" s="25" t="n">
        <f aca="false">IF(T67&gt;0,D67,C67)</f>
        <v>-0.0172996520996094</v>
      </c>
      <c r="D68" s="41" t="n">
        <f aca="false">(B68+C68)/2</f>
        <v>-0.0173053741455078</v>
      </c>
      <c r="E68" s="15" t="n">
        <f aca="false">$C$2*(1+IF(E$3&lt;=$O$2,$D68,$D68-($D68-$I$49)*MIN(E$3-$O$2,$Q$2)/$Q$2))</f>
        <v>2437.08267211914</v>
      </c>
      <c r="F68" s="15" t="n">
        <f aca="false">E68*(1+IF(F$3&lt;=$O$2,$D68,$D68-($D68-$I$49)*MIN(F$3-$O$2,$Q$2)/$Q$2))</f>
        <v>2394.90804465459</v>
      </c>
      <c r="G68" s="15" t="n">
        <f aca="false">F68*(1+IF(G$3&lt;=$O$2,$D68,$D68-($D68-$I$49)*MIN(G$3-$O$2,$Q$2)/$Q$2))</f>
        <v>2353.46326489775</v>
      </c>
      <c r="H68" s="15" t="n">
        <f aca="false">G68*(1+IF(H$3&lt;=$O$2,$D68,$D68-($D68-$I$49)*MIN(H$3-$O$2,$Q$2)/$Q$2))</f>
        <v>2312.73570256099</v>
      </c>
      <c r="I68" s="15" t="n">
        <f aca="false">H68*(1+IF(I$3&lt;=$O$2,$D68,$D68-($D68-$I$49)*MIN(I$3-$O$2,$Q$2)/$Q$2))</f>
        <v>2272.7129459285</v>
      </c>
      <c r="J68" s="15" t="n">
        <f aca="false">I68*(1+IF(J$3&lt;=$O$2,$D68,$D68-($D68-$I$49)*MIN(J$3-$O$2,$Q$2)/$Q$2))</f>
        <v>2249.56695702689</v>
      </c>
      <c r="K68" s="15" t="n">
        <f aca="false">J68*(1+IF(K$3&lt;=$O$2,$D68,$D68-($D68-$I$49)*MIN(K$3-$O$2,$Q$2)/$Q$2))</f>
        <v>2242.67602843829</v>
      </c>
      <c r="L68" s="15" t="n">
        <f aca="false">K68*(1+IF(L$3&lt;=$O$2,$D68,$D68-($D68-$I$49)*MIN(L$3-$O$2,$Q$2)/$Q$2))</f>
        <v>2251.77647212683</v>
      </c>
      <c r="M68" s="15" t="n">
        <f aca="false">L68*(1+IF(M$3&lt;=$O$2,$D68,$D68-($D68-$I$49)*MIN(M$3-$O$2,$Q$2)/$Q$2))</f>
        <v>2276.94891281033</v>
      </c>
      <c r="N68" s="15" t="n">
        <f aca="false">M68*(1+IF(N$3&lt;=$O$2,$D68,$D68-($D68-$I$49)*MIN(N$3-$O$2,$Q$2)/$Q$2))</f>
        <v>2318.61707791475</v>
      </c>
      <c r="O68" s="15" t="n">
        <f aca="false">SUMPRODUCT(E68:N68,1/(1+$F$49)^$E$3:$N$3)*$E$2</f>
        <v>4865.62347787142</v>
      </c>
      <c r="P68" s="15" t="n">
        <f aca="false">N68*$E$2*(1+$I$49)/($F$49-$I$49)/(1+$F$49)^$N$3</f>
        <v>6699.22479729995</v>
      </c>
      <c r="Q68" s="15" t="n">
        <f aca="false">O68+P68</f>
        <v>11564.8482751714</v>
      </c>
      <c r="R68" s="15" t="n">
        <f aca="false">Q68-$G$2+$I$2</f>
        <v>10290.1782751714</v>
      </c>
      <c r="S68" s="42" t="n">
        <f aca="false">R68/$K$2</f>
        <v>289.293738407966</v>
      </c>
      <c r="T68" s="43" t="n">
        <f aca="false">S68-$M$2</f>
        <v>0.00501195308862634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-0.0173110961914063</v>
      </c>
      <c r="C69" s="25" t="n">
        <f aca="false">IF(T68&gt;0,D68,C68)</f>
        <v>-0.0173053741455078</v>
      </c>
      <c r="D69" s="41" t="n">
        <f aca="false">(B69+C69)/2</f>
        <v>-0.017308235168457</v>
      </c>
      <c r="E69" s="15" t="n">
        <f aca="false">$C$2*(1+IF(E$3&lt;=$O$2,$D69,$D69-($D69-$I$49)*MIN(E$3-$O$2,$Q$2)/$Q$2))</f>
        <v>2437.07557678223</v>
      </c>
      <c r="F69" s="15" t="n">
        <f aca="false">E69*(1+IF(F$3&lt;=$O$2,$D69,$D69-($D69-$I$49)*MIN(F$3-$O$2,$Q$2)/$Q$2))</f>
        <v>2394.89409957598</v>
      </c>
      <c r="G69" s="15" t="n">
        <f aca="false">F69*(1+IF(G$3&lt;=$O$2,$D69,$D69-($D69-$I$49)*MIN(G$3-$O$2,$Q$2)/$Q$2))</f>
        <v>2353.44270929697</v>
      </c>
      <c r="H69" s="15" t="n">
        <f aca="false">G69*(1+IF(H$3&lt;=$O$2,$D69,$D69-($D69-$I$49)*MIN(H$3-$O$2,$Q$2)/$Q$2))</f>
        <v>2312.70876942896</v>
      </c>
      <c r="I69" s="15" t="n">
        <f aca="false">H69*(1+IF(I$3&lt;=$O$2,$D69,$D69-($D69-$I$49)*MIN(I$3-$O$2,$Q$2)/$Q$2))</f>
        <v>2272.67986217153</v>
      </c>
      <c r="J69" s="15" t="n">
        <f aca="false">I69*(1+IF(J$3&lt;=$O$2,$D69,$D69-($D69-$I$49)*MIN(J$3-$O$2,$Q$2)/$Q$2))</f>
        <v>2249.52900845342</v>
      </c>
      <c r="K69" s="15" t="n">
        <f aca="false">J69*(1+IF(K$3&lt;=$O$2,$D69,$D69-($D69-$I$49)*MIN(K$3-$O$2,$Q$2)/$Q$2))</f>
        <v>2242.63433453735</v>
      </c>
      <c r="L69" s="15" t="n">
        <f aca="false">K69*(1+IF(L$3&lt;=$O$2,$D69,$D69-($D69-$I$49)*MIN(L$3-$O$2,$Q$2)/$Q$2))</f>
        <v>2251.73204254696</v>
      </c>
      <c r="M69" s="15" t="n">
        <f aca="false">L69*(1+IF(M$3&lt;=$O$2,$D69,$D69-($D69-$I$49)*MIN(M$3-$O$2,$Q$2)/$Q$2))</f>
        <v>2276.90269810409</v>
      </c>
      <c r="N69" s="15" t="n">
        <f aca="false">M69*(1+IF(N$3&lt;=$O$2,$D69,$D69-($D69-$I$49)*MIN(N$3-$O$2,$Q$2)/$Q$2))</f>
        <v>2318.5700174794</v>
      </c>
      <c r="O69" s="15" t="n">
        <f aca="false">SUMPRODUCT(E69:N69,1/(1+$F$49)^$E$3:$N$3)*$E$2</f>
        <v>4865.5621235701</v>
      </c>
      <c r="P69" s="15" t="n">
        <f aca="false">N69*$E$2*(1+$I$49)/($F$49-$I$49)/(1+$F$49)^$N$3</f>
        <v>6699.08882468139</v>
      </c>
      <c r="Q69" s="15" t="n">
        <f aca="false">O69+P69</f>
        <v>11564.6509482515</v>
      </c>
      <c r="R69" s="15" t="n">
        <f aca="false">Q69-$G$2+$I$2</f>
        <v>10289.9809482515</v>
      </c>
      <c r="S69" s="42" t="n">
        <f aca="false">R69/$K$2</f>
        <v>289.288190842044</v>
      </c>
      <c r="T69" s="43" t="n">
        <f aca="false">S69-$M$2</f>
        <v>-0.000535612834084986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-0.017308235168457</v>
      </c>
      <c r="C70" s="25" t="n">
        <f aca="false">IF(T69&gt;0,D69,C69)</f>
        <v>-0.0173053741455078</v>
      </c>
      <c r="D70" s="41" t="n">
        <f aca="false">(B70+C70)/2</f>
        <v>-0.0173068046569824</v>
      </c>
      <c r="E70" s="15" t="n">
        <f aca="false">$C$2*(1+IF(E$3&lt;=$O$2,$D70,$D70-($D70-$I$49)*MIN(E$3-$O$2,$Q$2)/$Q$2))</f>
        <v>2437.07912445068</v>
      </c>
      <c r="F70" s="15" t="n">
        <f aca="false">E70*(1+IF(F$3&lt;=$O$2,$D70,$D70-($D70-$I$49)*MIN(F$3-$O$2,$Q$2)/$Q$2))</f>
        <v>2394.90107211021</v>
      </c>
      <c r="G70" s="15" t="n">
        <f aca="false">F70*(1+IF(G$3&lt;=$O$2,$D70,$D70-($D70-$I$49)*MIN(G$3-$O$2,$Q$2)/$Q$2))</f>
        <v>2353.4529870824</v>
      </c>
      <c r="H70" s="15" t="n">
        <f aca="false">G70*(1+IF(H$3&lt;=$O$2,$D70,$D70-($D70-$I$49)*MIN(H$3-$O$2,$Q$2)/$Q$2))</f>
        <v>2312.72223596557</v>
      </c>
      <c r="I70" s="15" t="n">
        <f aca="false">H70*(1+IF(I$3&lt;=$O$2,$D70,$D70-($D70-$I$49)*MIN(I$3-$O$2,$Q$2)/$Q$2))</f>
        <v>2272.69640400185</v>
      </c>
      <c r="J70" s="15" t="n">
        <f aca="false">I70*(1+IF(J$3&lt;=$O$2,$D70,$D70-($D70-$I$49)*MIN(J$3-$O$2,$Q$2)/$Q$2))</f>
        <v>2249.54798267355</v>
      </c>
      <c r="K70" s="15" t="n">
        <f aca="false">J70*(1+IF(K$3&lt;=$O$2,$D70,$D70-($D70-$I$49)*MIN(K$3-$O$2,$Q$2)/$Q$2))</f>
        <v>2242.65518140514</v>
      </c>
      <c r="L70" s="15" t="n">
        <f aca="false">K70*(1+IF(L$3&lt;=$O$2,$D70,$D70-($D70-$I$49)*MIN(L$3-$O$2,$Q$2)/$Q$2))</f>
        <v>2251.75425724195</v>
      </c>
      <c r="M70" s="15" t="n">
        <f aca="false">L70*(1+IF(M$3&lt;=$O$2,$D70,$D70-($D70-$I$49)*MIN(M$3-$O$2,$Q$2)/$Q$2))</f>
        <v>2276.92580535485</v>
      </c>
      <c r="N70" s="15" t="n">
        <f aca="false">M70*(1+IF(N$3&lt;=$O$2,$D70,$D70-($D70-$I$49)*MIN(N$3-$O$2,$Q$2)/$Q$2))</f>
        <v>2318.59354759284</v>
      </c>
      <c r="O70" s="15" t="n">
        <f aca="false">SUMPRODUCT(E70:N70,1/(1+$F$49)^$E$3:$N$3)*$E$2</f>
        <v>4865.59280062159</v>
      </c>
      <c r="P70" s="15" t="n">
        <f aca="false">N70*$E$2*(1+$I$49)/($F$49-$I$49)/(1+$F$49)^$N$3</f>
        <v>6699.1568106895</v>
      </c>
      <c r="Q70" s="15" t="n">
        <f aca="false">O70+P70</f>
        <v>11564.7496113111</v>
      </c>
      <c r="R70" s="15" t="n">
        <f aca="false">Q70-$G$2+$I$2</f>
        <v>10290.0796113111</v>
      </c>
      <c r="S70" s="42" t="n">
        <f aca="false">R70/$K$2</f>
        <v>289.29096461375</v>
      </c>
      <c r="T70" s="43" t="n">
        <f aca="false">S70-$M$2</f>
        <v>0.00223815887238743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-0.017308235168457</v>
      </c>
      <c r="C71" s="25" t="n">
        <f aca="false">IF(T70&gt;0,D70,C70)</f>
        <v>-0.0173068046569824</v>
      </c>
      <c r="D71" s="41" t="n">
        <f aca="false">(B71+C71)/2</f>
        <v>-0.0173075199127197</v>
      </c>
      <c r="E71" s="15" t="n">
        <f aca="false">$C$2*(1+IF(E$3&lt;=$O$2,$D71,$D71-($D71-$I$49)*MIN(E$3-$O$2,$Q$2)/$Q$2))</f>
        <v>2437.07735061646</v>
      </c>
      <c r="F71" s="15" t="n">
        <f aca="false">E71*(1+IF(F$3&lt;=$O$2,$D71,$D71-($D71-$I$49)*MIN(F$3-$O$2,$Q$2)/$Q$2))</f>
        <v>2394.89758584182</v>
      </c>
      <c r="G71" s="15" t="n">
        <f aca="false">F71*(1+IF(G$3&lt;=$O$2,$D71,$D71-($D71-$I$49)*MIN(G$3-$O$2,$Q$2)/$Q$2))</f>
        <v>2353.44784818594</v>
      </c>
      <c r="H71" s="15" t="n">
        <f aca="false">G71*(1+IF(H$3&lt;=$O$2,$D71,$D71-($D71-$I$49)*MIN(H$3-$O$2,$Q$2)/$Q$2))</f>
        <v>2312.71550268992</v>
      </c>
      <c r="I71" s="15" t="n">
        <f aca="false">H71*(1+IF(I$3&lt;=$O$2,$D71,$D71-($D71-$I$49)*MIN(I$3-$O$2,$Q$2)/$Q$2))</f>
        <v>2272.68813307465</v>
      </c>
      <c r="J71" s="15" t="n">
        <f aca="false">I71*(1+IF(J$3&lt;=$O$2,$D71,$D71-($D71-$I$49)*MIN(J$3-$O$2,$Q$2)/$Q$2))</f>
        <v>2249.53849554683</v>
      </c>
      <c r="K71" s="15" t="n">
        <f aca="false">J71*(1+IF(K$3&lt;=$O$2,$D71,$D71-($D71-$I$49)*MIN(K$3-$O$2,$Q$2)/$Q$2))</f>
        <v>2242.64475795057</v>
      </c>
      <c r="L71" s="15" t="n">
        <f aca="false">K71*(1+IF(L$3&lt;=$O$2,$D71,$D71-($D71-$I$49)*MIN(L$3-$O$2,$Q$2)/$Q$2))</f>
        <v>2251.74314987072</v>
      </c>
      <c r="M71" s="15" t="n">
        <f aca="false">L71*(1+IF(M$3&lt;=$O$2,$D71,$D71-($D71-$I$49)*MIN(M$3-$O$2,$Q$2)/$Q$2))</f>
        <v>2276.91425170388</v>
      </c>
      <c r="N71" s="15" t="n">
        <f aca="false">M71*(1+IF(N$3&lt;=$O$2,$D71,$D71-($D71-$I$49)*MIN(N$3-$O$2,$Q$2)/$Q$2))</f>
        <v>2318.58178251006</v>
      </c>
      <c r="O71" s="15" t="n">
        <f aca="false">SUMPRODUCT(E71:N71,1/(1+$F$49)^$E$3:$N$3)*$E$2</f>
        <v>4865.57746207105</v>
      </c>
      <c r="P71" s="15" t="n">
        <f aca="false">N71*$E$2*(1+$I$49)/($F$49-$I$49)/(1+$F$49)^$N$3</f>
        <v>6699.12281761015</v>
      </c>
      <c r="Q71" s="15" t="n">
        <f aca="false">O71+P71</f>
        <v>11564.7002796812</v>
      </c>
      <c r="R71" s="15" t="n">
        <f aca="false">Q71-$G$2+$I$2</f>
        <v>10290.0302796812</v>
      </c>
      <c r="S71" s="42" t="n">
        <f aca="false">R71/$K$2</f>
        <v>289.289577725083</v>
      </c>
      <c r="T71" s="43" t="n">
        <f aca="false">S71-$M$2</f>
        <v>0.00085127020543041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-0.017308235168457</v>
      </c>
      <c r="C72" s="25" t="n">
        <f aca="false">IF(T71&gt;0,D71,C71)</f>
        <v>-0.0173075199127197</v>
      </c>
      <c r="D72" s="41" t="n">
        <f aca="false">(B72+C72)/2</f>
        <v>-0.0173078775405884</v>
      </c>
      <c r="E72" s="15" t="n">
        <f aca="false">$C$2*(1+IF(E$3&lt;=$O$2,$D72,$D72-($D72-$I$49)*MIN(E$3-$O$2,$Q$2)/$Q$2))</f>
        <v>2437.07646369934</v>
      </c>
      <c r="F72" s="15" t="n">
        <f aca="false">E72*(1+IF(F$3&lt;=$O$2,$D72,$D72-($D72-$I$49)*MIN(F$3-$O$2,$Q$2)/$Q$2))</f>
        <v>2394.89584270858</v>
      </c>
      <c r="G72" s="15" t="n">
        <f aca="false">F72*(1+IF(G$3&lt;=$O$2,$D72,$D72-($D72-$I$49)*MIN(G$3-$O$2,$Q$2)/$Q$2))</f>
        <v>2353.44527874052</v>
      </c>
      <c r="H72" s="15" t="n">
        <f aca="false">G72*(1+IF(H$3&lt;=$O$2,$D72,$D72-($D72-$I$49)*MIN(H$3-$O$2,$Q$2)/$Q$2))</f>
        <v>2312.7121360576</v>
      </c>
      <c r="I72" s="15" t="n">
        <f aca="false">H72*(1+IF(I$3&lt;=$O$2,$D72,$D72-($D72-$I$49)*MIN(I$3-$O$2,$Q$2)/$Q$2))</f>
        <v>2272.68399762008</v>
      </c>
      <c r="J72" s="15" t="n">
        <f aca="false">I72*(1+IF(J$3&lt;=$O$2,$D72,$D72-($D72-$I$49)*MIN(J$3-$O$2,$Q$2)/$Q$2))</f>
        <v>2249.53375199596</v>
      </c>
      <c r="K72" s="15" t="n">
        <f aca="false">J72*(1+IF(K$3&lt;=$O$2,$D72,$D72-($D72-$I$49)*MIN(K$3-$O$2,$Q$2)/$Q$2))</f>
        <v>2242.63954623879</v>
      </c>
      <c r="L72" s="15" t="n">
        <f aca="false">K72*(1+IF(L$3&lt;=$O$2,$D72,$D72-($D72-$I$49)*MIN(L$3-$O$2,$Q$2)/$Q$2))</f>
        <v>2251.7375962029</v>
      </c>
      <c r="M72" s="15" t="n">
        <f aca="false">L72*(1+IF(M$3&lt;=$O$2,$D72,$D72-($D72-$I$49)*MIN(M$3-$O$2,$Q$2)/$Q$2))</f>
        <v>2276.90847489759</v>
      </c>
      <c r="N72" s="15" t="n">
        <f aca="false">M72*(1+IF(N$3&lt;=$O$2,$D72,$D72-($D72-$I$49)*MIN(N$3-$O$2,$Q$2)/$Q$2))</f>
        <v>2318.57589998822</v>
      </c>
      <c r="O72" s="15" t="n">
        <f aca="false">SUMPRODUCT(E72:N72,1/(1+$F$49)^$E$3:$N$3)*$E$2</f>
        <v>4865.56979281438</v>
      </c>
      <c r="P72" s="15" t="n">
        <f aca="false">N72*$E$2*(1+$I$49)/($F$49-$I$49)/(1+$F$49)^$N$3</f>
        <v>6699.10582112695</v>
      </c>
      <c r="Q72" s="15" t="n">
        <f aca="false">O72+P72</f>
        <v>11564.6756139413</v>
      </c>
      <c r="R72" s="15" t="n">
        <f aca="false">Q72-$G$2+$I$2</f>
        <v>10290.0056139413</v>
      </c>
      <c r="S72" s="42" t="n">
        <f aca="false">R72/$K$2</f>
        <v>289.28888428286</v>
      </c>
      <c r="T72" s="43" t="n">
        <f aca="false">S72-$M$2</f>
        <v>0.000157827982206982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-0.017308235168457</v>
      </c>
      <c r="C73" s="25" t="n">
        <f aca="false">IF(T72&gt;0,D72,C72)</f>
        <v>-0.0173078775405884</v>
      </c>
      <c r="D73" s="41" t="n">
        <f aca="false">(B73+C73)/2</f>
        <v>-0.0173080563545227</v>
      </c>
      <c r="E73" s="15" t="n">
        <f aca="false">$C$2*(1+IF(E$3&lt;=$O$2,$D73,$D73-($D73-$I$49)*MIN(E$3-$O$2,$Q$2)/$Q$2))</f>
        <v>2437.07602024078</v>
      </c>
      <c r="F73" s="15" t="n">
        <f aca="false">E73*(1+IF(F$3&lt;=$O$2,$D73,$D73-($D73-$I$49)*MIN(F$3-$O$2,$Q$2)/$Q$2))</f>
        <v>2394.8949711422</v>
      </c>
      <c r="G73" s="15" t="n">
        <f aca="false">F73*(1+IF(G$3&lt;=$O$2,$D73,$D73-($D73-$I$49)*MIN(G$3-$O$2,$Q$2)/$Q$2))</f>
        <v>2353.44399401851</v>
      </c>
      <c r="H73" s="15" t="n">
        <f aca="false">G73*(1+IF(H$3&lt;=$O$2,$D73,$D73-($D73-$I$49)*MIN(H$3-$O$2,$Q$2)/$Q$2))</f>
        <v>2312.71045274282</v>
      </c>
      <c r="I73" s="15" t="n">
        <f aca="false">H73*(1+IF(I$3&lt;=$O$2,$D73,$D73-($D73-$I$49)*MIN(I$3-$O$2,$Q$2)/$Q$2))</f>
        <v>2272.68192989506</v>
      </c>
      <c r="J73" s="15" t="n">
        <f aca="false">I73*(1+IF(J$3&lt;=$O$2,$D73,$D73-($D73-$I$49)*MIN(J$3-$O$2,$Q$2)/$Q$2))</f>
        <v>2249.53138022365</v>
      </c>
      <c r="K73" s="15" t="n">
        <f aca="false">J73*(1+IF(K$3&lt;=$O$2,$D73,$D73-($D73-$I$49)*MIN(K$3-$O$2,$Q$2)/$Q$2))</f>
        <v>2242.63694038678</v>
      </c>
      <c r="L73" s="15" t="n">
        <f aca="false">K73*(1+IF(L$3&lt;=$O$2,$D73,$D73-($D73-$I$49)*MIN(L$3-$O$2,$Q$2)/$Q$2))</f>
        <v>2251.73481937345</v>
      </c>
      <c r="M73" s="15" t="n">
        <f aca="false">L73*(1+IF(M$3&lt;=$O$2,$D73,$D73-($D73-$I$49)*MIN(M$3-$O$2,$Q$2)/$Q$2))</f>
        <v>2276.90558649924</v>
      </c>
      <c r="N73" s="15" t="n">
        <f aca="false">M73*(1+IF(N$3&lt;=$O$2,$D73,$D73-($D73-$I$49)*MIN(N$3-$O$2,$Q$2)/$Q$2))</f>
        <v>2318.57295873218</v>
      </c>
      <c r="O73" s="15" t="n">
        <f aca="false">SUMPRODUCT(E73:N73,1/(1+$F$49)^$E$3:$N$3)*$E$2</f>
        <v>4865.56595819069</v>
      </c>
      <c r="P73" s="15" t="n">
        <f aca="false">N73*$E$2*(1+$I$49)/($F$49-$I$49)/(1+$F$49)^$N$3</f>
        <v>6699.09732289947</v>
      </c>
      <c r="Q73" s="15" t="n">
        <f aca="false">O73+P73</f>
        <v>11564.6632810902</v>
      </c>
      <c r="R73" s="15" t="n">
        <f aca="false">Q73-$G$2+$I$2</f>
        <v>10289.9932810902</v>
      </c>
      <c r="S73" s="42" t="n">
        <f aca="false">R73/$K$2</f>
        <v>289.288537562276</v>
      </c>
      <c r="T73" s="43" t="n">
        <f aca="false">S73-$M$2</f>
        <v>-0.000188892601784119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-0.0173080563545227</v>
      </c>
      <c r="C74" s="25" t="n">
        <f aca="false">IF(T73&gt;0,D73,C73)</f>
        <v>-0.0173078775405884</v>
      </c>
      <c r="D74" s="41" t="n">
        <f aca="false">(B74+C74)/2</f>
        <v>-0.0173079669475555</v>
      </c>
      <c r="E74" s="15" t="n">
        <f aca="false">$C$2*(1+IF(E$3&lt;=$O$2,$D74,$D74-($D74-$I$49)*MIN(E$3-$O$2,$Q$2)/$Q$2))</f>
        <v>2437.07624197006</v>
      </c>
      <c r="F74" s="15" t="n">
        <f aca="false">E74*(1+IF(F$3&lt;=$O$2,$D74,$D74-($D74-$I$49)*MIN(F$3-$O$2,$Q$2)/$Q$2))</f>
        <v>2394.89540692537</v>
      </c>
      <c r="G74" s="15" t="n">
        <f aca="false">F74*(1+IF(G$3&lt;=$O$2,$D74,$D74-($D74-$I$49)*MIN(G$3-$O$2,$Q$2)/$Q$2))</f>
        <v>2353.44463637945</v>
      </c>
      <c r="H74" s="15" t="n">
        <f aca="false">G74*(1+IF(H$3&lt;=$O$2,$D74,$D74-($D74-$I$49)*MIN(H$3-$O$2,$Q$2)/$Q$2))</f>
        <v>2312.7112944001</v>
      </c>
      <c r="I74" s="15" t="n">
        <f aca="false">H74*(1+IF(I$3&lt;=$O$2,$D74,$D74-($D74-$I$49)*MIN(I$3-$O$2,$Q$2)/$Q$2))</f>
        <v>2272.68296375738</v>
      </c>
      <c r="J74" s="15" t="n">
        <f aca="false">I74*(1+IF(J$3&lt;=$O$2,$D74,$D74-($D74-$I$49)*MIN(J$3-$O$2,$Q$2)/$Q$2))</f>
        <v>2249.53256610955</v>
      </c>
      <c r="K74" s="15" t="n">
        <f aca="false">J74*(1+IF(K$3&lt;=$O$2,$D74,$D74-($D74-$I$49)*MIN(K$3-$O$2,$Q$2)/$Q$2))</f>
        <v>2242.63824331246</v>
      </c>
      <c r="L74" s="15" t="n">
        <f aca="false">K74*(1+IF(L$3&lt;=$O$2,$D74,$D74-($D74-$I$49)*MIN(L$3-$O$2,$Q$2)/$Q$2))</f>
        <v>2251.7362077878</v>
      </c>
      <c r="M74" s="15" t="n">
        <f aca="false">L74*(1+IF(M$3&lt;=$O$2,$D74,$D74-($D74-$I$49)*MIN(M$3-$O$2,$Q$2)/$Q$2))</f>
        <v>2276.90703069802</v>
      </c>
      <c r="N74" s="15" t="n">
        <f aca="false">M74*(1+IF(N$3&lt;=$O$2,$D74,$D74-($D74-$I$49)*MIN(N$3-$O$2,$Q$2)/$Q$2))</f>
        <v>2318.57442935979</v>
      </c>
      <c r="O74" s="15" t="n">
        <f aca="false">SUMPRODUCT(E74:N74,1/(1+$F$49)^$E$3:$N$3)*$E$2</f>
        <v>4865.56787550214</v>
      </c>
      <c r="P74" s="15" t="n">
        <f aca="false">N74*$E$2*(1+$I$49)/($F$49-$I$49)/(1+$F$49)^$N$3</f>
        <v>6699.10157201203</v>
      </c>
      <c r="Q74" s="15" t="n">
        <f aca="false">O74+P74</f>
        <v>11564.6694475142</v>
      </c>
      <c r="R74" s="15" t="n">
        <f aca="false">Q74-$G$2+$I$2</f>
        <v>10289.9994475142</v>
      </c>
      <c r="S74" s="42" t="n">
        <f aca="false">R74/$K$2</f>
        <v>289.288710922524</v>
      </c>
      <c r="T74" s="43" t="n">
        <f aca="false">S74-$M$2</f>
        <v>-1.55323537001095E-005</v>
      </c>
    </row>
    <row r="76" customFormat="false" ht="15" hidden="false" customHeight="false" outlineLevel="0" collapsed="false">
      <c r="A76" s="38" t="s">
        <v>186</v>
      </c>
      <c r="E76" s="5" t="s">
        <v>11</v>
      </c>
      <c r="F76" s="12" t="n">
        <f aca="false">Sensitivity!$B$10</f>
        <v>0.0714218415038925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8" t="s">
        <v>165</v>
      </c>
      <c r="B77" s="28" t="s">
        <v>166</v>
      </c>
      <c r="C77" s="28" t="s">
        <v>167</v>
      </c>
      <c r="D77" s="28" t="s">
        <v>168</v>
      </c>
      <c r="E77" s="28" t="s">
        <v>169</v>
      </c>
      <c r="F77" s="28" t="s">
        <v>170</v>
      </c>
      <c r="G77" s="28" t="s">
        <v>171</v>
      </c>
      <c r="H77" s="28" t="s">
        <v>172</v>
      </c>
      <c r="I77" s="28" t="s">
        <v>173</v>
      </c>
      <c r="J77" s="28" t="s">
        <v>174</v>
      </c>
      <c r="K77" s="28" t="s">
        <v>175</v>
      </c>
      <c r="L77" s="28" t="s">
        <v>176</v>
      </c>
      <c r="M77" s="28" t="s">
        <v>177</v>
      </c>
      <c r="N77" s="28" t="s">
        <v>178</v>
      </c>
      <c r="O77" s="28" t="s">
        <v>179</v>
      </c>
      <c r="P77" s="28" t="s">
        <v>180</v>
      </c>
      <c r="Q77" s="28" t="s">
        <v>181</v>
      </c>
      <c r="R77" s="28" t="s">
        <v>182</v>
      </c>
      <c r="S77" s="28" t="s">
        <v>183</v>
      </c>
      <c r="T77" s="28" t="s">
        <v>184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41" t="n">
        <f aca="false">(B78+C78)/2</f>
        <v>0.25</v>
      </c>
      <c r="E78" s="15" t="n">
        <f aca="false">$C$2*(1+IF(E$3&lt;=$O$2,$D78,$D78-($D78-$I$76)*MIN(E$3-$O$2,$Q$2)/$Q$2))</f>
        <v>3100</v>
      </c>
      <c r="F78" s="15" t="n">
        <f aca="false">E78*(1+IF(F$3&lt;=$O$2,$D78,$D78-($D78-$I$76)*MIN(F$3-$O$2,$Q$2)/$Q$2))</f>
        <v>3875</v>
      </c>
      <c r="G78" s="15" t="n">
        <f aca="false">F78*(1+IF(G$3&lt;=$O$2,$D78,$D78-($D78-$I$76)*MIN(G$3-$O$2,$Q$2)/$Q$2))</f>
        <v>4843.75</v>
      </c>
      <c r="H78" s="15" t="n">
        <f aca="false">G78*(1+IF(H$3&lt;=$O$2,$D78,$D78-($D78-$I$76)*MIN(H$3-$O$2,$Q$2)/$Q$2))</f>
        <v>6054.6875</v>
      </c>
      <c r="I78" s="15" t="n">
        <f aca="false">H78*(1+IF(I$3&lt;=$O$2,$D78,$D78-($D78-$I$76)*MIN(I$3-$O$2,$Q$2)/$Q$2))</f>
        <v>7568.359375</v>
      </c>
      <c r="J78" s="15" t="n">
        <f aca="false">I78*(1+IF(J$3&lt;=$O$2,$D78,$D78-($D78-$I$76)*MIN(J$3-$O$2,$Q$2)/$Q$2))</f>
        <v>9117.2998046875</v>
      </c>
      <c r="K78" s="15" t="n">
        <f aca="false">J78*(1+IF(K$3&lt;=$O$2,$D78,$D78-($D78-$I$76)*MIN(K$3-$O$2,$Q$2)/$Q$2))</f>
        <v>10569.8680095703</v>
      </c>
      <c r="L78" s="15" t="n">
        <f aca="false">K78*(1+IF(L$3&lt;=$O$2,$D78,$D78-($D78-$I$76)*MIN(L$3-$O$2,$Q$2)/$Q$2))</f>
        <v>11774.6215653011</v>
      </c>
      <c r="M78" s="15" t="n">
        <f aca="false">L78*(1+IF(M$3&lt;=$O$2,$D78,$D78-($D78-$I$76)*MIN(M$3-$O$2,$Q$2)/$Q$2))</f>
        <v>12582.8315895434</v>
      </c>
      <c r="N78" s="15" t="n">
        <f aca="false">M78*(1+IF(N$3&lt;=$O$2,$D78,$D78-($D78-$I$76)*MIN(N$3-$O$2,$Q$2)/$Q$2))</f>
        <v>12876.0115655798</v>
      </c>
      <c r="O78" s="15" t="n">
        <f aca="false">SUMPRODUCT(E78:N78,1/(1+$F$76)^$E$3:$N$3)*$E$2</f>
        <v>15838.6542958621</v>
      </c>
      <c r="P78" s="15" t="n">
        <f aca="false">N78*$E$2*(1+$I$76)/($F$76-$I$76)/(1+$F$76)^$N$3</f>
        <v>41270.0497653133</v>
      </c>
      <c r="Q78" s="15" t="n">
        <f aca="false">O78+P78</f>
        <v>57108.7040611754</v>
      </c>
      <c r="R78" s="15" t="n">
        <f aca="false">Q78-$G$2+$I$2</f>
        <v>55834.0340611754</v>
      </c>
      <c r="S78" s="42" t="n">
        <f aca="false">R78/$K$2</f>
        <v>1569.69451957198</v>
      </c>
      <c r="T78" s="43" t="n">
        <f aca="false">S78-$M$2</f>
        <v>1280.4057931171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41" t="n">
        <f aca="false">(B79+C79)/2</f>
        <v>-0.125</v>
      </c>
      <c r="E79" s="15" t="n">
        <f aca="false">$C$2*(1+IF(E$3&lt;=$O$2,$D79,$D79-($D79-$I$76)*MIN(E$3-$O$2,$Q$2)/$Q$2))</f>
        <v>2170</v>
      </c>
      <c r="F79" s="15" t="n">
        <f aca="false">E79*(1+IF(F$3&lt;=$O$2,$D79,$D79-($D79-$I$76)*MIN(F$3-$O$2,$Q$2)/$Q$2))</f>
        <v>1898.75</v>
      </c>
      <c r="G79" s="15" t="n">
        <f aca="false">F79*(1+IF(G$3&lt;=$O$2,$D79,$D79-($D79-$I$76)*MIN(G$3-$O$2,$Q$2)/$Q$2))</f>
        <v>1661.40625</v>
      </c>
      <c r="H79" s="15" t="n">
        <f aca="false">G79*(1+IF(H$3&lt;=$O$2,$D79,$D79-($D79-$I$76)*MIN(H$3-$O$2,$Q$2)/$Q$2))</f>
        <v>1453.73046875</v>
      </c>
      <c r="I79" s="15" t="n">
        <f aca="false">H79*(1+IF(I$3&lt;=$O$2,$D79,$D79-($D79-$I$76)*MIN(I$3-$O$2,$Q$2)/$Q$2))</f>
        <v>1272.01416015625</v>
      </c>
      <c r="J79" s="15" t="n">
        <f aca="false">I79*(1+IF(J$3&lt;=$O$2,$D79,$D79-($D79-$I$76)*MIN(J$3-$O$2,$Q$2)/$Q$2))</f>
        <v>1150.74033012695</v>
      </c>
      <c r="K79" s="15" t="n">
        <f aca="false">J79*(1+IF(K$3&lt;=$O$2,$D79,$D79-($D79-$I$76)*MIN(K$3-$O$2,$Q$2)/$Q$2))</f>
        <v>1075.15970524421</v>
      </c>
      <c r="L79" s="15" t="n">
        <f aca="false">K79*(1+IF(L$3&lt;=$O$2,$D79,$D79-($D79-$I$76)*MIN(L$3-$O$2,$Q$2)/$Q$2))</f>
        <v>1036.43245266132</v>
      </c>
      <c r="M79" s="15" t="n">
        <f aca="false">L79*(1+IF(M$3&lt;=$O$2,$D79,$D79-($D79-$I$76)*MIN(M$3-$O$2,$Q$2)/$Q$2))</f>
        <v>1029.84074226239</v>
      </c>
      <c r="N79" s="15" t="n">
        <f aca="false">M79*(1+IF(N$3&lt;=$O$2,$D79,$D79-($D79-$I$76)*MIN(N$3-$O$2,$Q$2)/$Q$2))</f>
        <v>1053.83603155711</v>
      </c>
      <c r="O79" s="15" t="n">
        <f aca="false">SUMPRODUCT(E79:N79,1/(1+$F$76)^$E$3:$N$3)*$E$2</f>
        <v>3045.94831315208</v>
      </c>
      <c r="P79" s="15" t="n">
        <f aca="false">N79*$E$2*(1+$I$76)/($F$76-$I$76)/(1+$F$76)^$N$3</f>
        <v>3377.74358506362</v>
      </c>
      <c r="Q79" s="15" t="n">
        <f aca="false">O79+P79</f>
        <v>6423.6918982157</v>
      </c>
      <c r="R79" s="15" t="n">
        <f aca="false">Q79-$G$2+$I$2</f>
        <v>5149.0218982157</v>
      </c>
      <c r="S79" s="42" t="n">
        <f aca="false">R79/$K$2</f>
        <v>144.757433180087</v>
      </c>
      <c r="T79" s="43" t="n">
        <f aca="false">S79-$M$2</f>
        <v>-144.53129327479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41" t="n">
        <f aca="false">(B80+C80)/2</f>
        <v>0.0625</v>
      </c>
      <c r="E80" s="15" t="n">
        <f aca="false">$C$2*(1+IF(E$3&lt;=$O$2,$D80,$D80-($D80-$I$76)*MIN(E$3-$O$2,$Q$2)/$Q$2))</f>
        <v>2635</v>
      </c>
      <c r="F80" s="15" t="n">
        <f aca="false">E80*(1+IF(F$3&lt;=$O$2,$D80,$D80-($D80-$I$76)*MIN(F$3-$O$2,$Q$2)/$Q$2))</f>
        <v>2799.6875</v>
      </c>
      <c r="G80" s="15" t="n">
        <f aca="false">F80*(1+IF(G$3&lt;=$O$2,$D80,$D80-($D80-$I$76)*MIN(G$3-$O$2,$Q$2)/$Q$2))</f>
        <v>2974.66796875</v>
      </c>
      <c r="H80" s="15" t="n">
        <f aca="false">G80*(1+IF(H$3&lt;=$O$2,$D80,$D80-($D80-$I$76)*MIN(H$3-$O$2,$Q$2)/$Q$2))</f>
        <v>3160.58471679688</v>
      </c>
      <c r="I80" s="15" t="n">
        <f aca="false">H80*(1+IF(I$3&lt;=$O$2,$D80,$D80-($D80-$I$76)*MIN(I$3-$O$2,$Q$2)/$Q$2))</f>
        <v>3358.12126159668</v>
      </c>
      <c r="J80" s="15" t="n">
        <f aca="false">I80*(1+IF(J$3&lt;=$O$2,$D80,$D80-($D80-$I$76)*MIN(J$3-$O$2,$Q$2)/$Q$2))</f>
        <v>3541.67616975555</v>
      </c>
      <c r="K80" s="15" t="n">
        <f aca="false">J80*(1+IF(K$3&lt;=$O$2,$D80,$D80-($D80-$I$76)*MIN(K$3-$O$2,$Q$2)/$Q$2))</f>
        <v>3707.49744802351</v>
      </c>
      <c r="L80" s="15" t="n">
        <f aca="false">K80*(1+IF(L$3&lt;=$O$2,$D80,$D80-($D80-$I$76)*MIN(L$3-$O$2,$Q$2)/$Q$2))</f>
        <v>3852.01569854747</v>
      </c>
      <c r="M80" s="15" t="n">
        <f aca="false">L80*(1+IF(M$3&lt;=$O$2,$D80,$D80-($D80-$I$76)*MIN(M$3-$O$2,$Q$2)/$Q$2))</f>
        <v>3971.96746740023</v>
      </c>
      <c r="N80" s="15" t="n">
        <f aca="false">M80*(1+IF(N$3&lt;=$O$2,$D80,$D80-($D80-$I$76)*MIN(N$3-$O$2,$Q$2)/$Q$2))</f>
        <v>4064.51430939066</v>
      </c>
      <c r="O80" s="15" t="n">
        <f aca="false">SUMPRODUCT(E80:N80,1/(1+$F$76)^$E$3:$N$3)*$E$2</f>
        <v>6945.11455181389</v>
      </c>
      <c r="P80" s="15" t="n">
        <f aca="false">N80*$E$2*(1+$I$76)/($F$76-$I$76)/(1+$F$76)^$N$3</f>
        <v>13027.5362806283</v>
      </c>
      <c r="Q80" s="15" t="n">
        <f aca="false">O80+P80</f>
        <v>19972.6508324422</v>
      </c>
      <c r="R80" s="15" t="n">
        <f aca="false">Q80-$G$2+$I$2</f>
        <v>18697.9808324422</v>
      </c>
      <c r="S80" s="42" t="n">
        <f aca="false">R80/$K$2</f>
        <v>525.667158629245</v>
      </c>
      <c r="T80" s="43" t="n">
        <f aca="false">S80-$M$2</f>
        <v>236.378432174367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-0.125</v>
      </c>
      <c r="C81" s="25" t="n">
        <f aca="false">IF(T80&gt;0,D80,C80)</f>
        <v>0.0625</v>
      </c>
      <c r="D81" s="41" t="n">
        <f aca="false">(B81+C81)/2</f>
        <v>-0.03125</v>
      </c>
      <c r="E81" s="15" t="n">
        <f aca="false">$C$2*(1+IF(E$3&lt;=$O$2,$D81,$D81-($D81-$I$76)*MIN(E$3-$O$2,$Q$2)/$Q$2))</f>
        <v>2402.5</v>
      </c>
      <c r="F81" s="15" t="n">
        <f aca="false">E81*(1+IF(F$3&lt;=$O$2,$D81,$D81-($D81-$I$76)*MIN(F$3-$O$2,$Q$2)/$Q$2))</f>
        <v>2327.421875</v>
      </c>
      <c r="G81" s="15" t="n">
        <f aca="false">F81*(1+IF(G$3&lt;=$O$2,$D81,$D81-($D81-$I$76)*MIN(G$3-$O$2,$Q$2)/$Q$2))</f>
        <v>2254.68994140625</v>
      </c>
      <c r="H81" s="15" t="n">
        <f aca="false">G81*(1+IF(H$3&lt;=$O$2,$D81,$D81-($D81-$I$76)*MIN(H$3-$O$2,$Q$2)/$Q$2))</f>
        <v>2184.2308807373</v>
      </c>
      <c r="I81" s="15" t="n">
        <f aca="false">H81*(1+IF(I$3&lt;=$O$2,$D81,$D81-($D81-$I$76)*MIN(I$3-$O$2,$Q$2)/$Q$2))</f>
        <v>2115.97366571426</v>
      </c>
      <c r="J81" s="15" t="n">
        <f aca="false">I81*(1+IF(J$3&lt;=$O$2,$D81,$D81-($D81-$I$76)*MIN(J$3-$O$2,$Q$2)/$Q$2))</f>
        <v>2072.93476135364</v>
      </c>
      <c r="K81" s="15" t="n">
        <f aca="false">J81*(1+IF(K$3&lt;=$O$2,$D81,$D81-($D81-$I$76)*MIN(K$3-$O$2,$Q$2)/$Q$2))</f>
        <v>2053.38698655407</v>
      </c>
      <c r="L81" s="15" t="n">
        <f aca="false">K81*(1+IF(L$3&lt;=$O$2,$D81,$D81-($D81-$I$76)*MIN(L$3-$O$2,$Q$2)/$Q$2))</f>
        <v>2056.42599929417</v>
      </c>
      <c r="M81" s="15" t="n">
        <f aca="false">L81*(1+IF(M$3&lt;=$O$2,$D81,$D81-($D81-$I$76)*MIN(M$3-$O$2,$Q$2)/$Q$2))</f>
        <v>2081.90511742542</v>
      </c>
      <c r="N81" s="15" t="n">
        <f aca="false">M81*(1+IF(N$3&lt;=$O$2,$D81,$D81-($D81-$I$76)*MIN(N$3-$O$2,$Q$2)/$Q$2))</f>
        <v>2130.41350666144</v>
      </c>
      <c r="O81" s="15" t="n">
        <f aca="false">SUMPRODUCT(E81:N81,1/(1+$F$76)^$E$3:$N$3)*$E$2</f>
        <v>4587.63312373382</v>
      </c>
      <c r="P81" s="15" t="n">
        <f aca="false">N81*$E$2*(1+$I$76)/($F$76-$I$76)/(1+$F$76)^$N$3</f>
        <v>6828.3777932949</v>
      </c>
      <c r="Q81" s="15" t="n">
        <f aca="false">O81+P81</f>
        <v>11416.0109170287</v>
      </c>
      <c r="R81" s="15" t="n">
        <f aca="false">Q81-$G$2+$I$2</f>
        <v>10141.3409170287</v>
      </c>
      <c r="S81" s="42" t="n">
        <f aca="false">R81/$K$2</f>
        <v>285.109387602719</v>
      </c>
      <c r="T81" s="43" t="n">
        <f aca="false">S81-$M$2</f>
        <v>-4.17933885215859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-0.03125</v>
      </c>
      <c r="C82" s="25" t="n">
        <f aca="false">IF(T81&gt;0,D81,C81)</f>
        <v>0.0625</v>
      </c>
      <c r="D82" s="41" t="n">
        <f aca="false">(B82+C82)/2</f>
        <v>0.015625</v>
      </c>
      <c r="E82" s="15" t="n">
        <f aca="false">$C$2*(1+IF(E$3&lt;=$O$2,$D82,$D82-($D82-$I$76)*MIN(E$3-$O$2,$Q$2)/$Q$2))</f>
        <v>2518.75</v>
      </c>
      <c r="F82" s="15" t="n">
        <f aca="false">E82*(1+IF(F$3&lt;=$O$2,$D82,$D82-($D82-$I$76)*MIN(F$3-$O$2,$Q$2)/$Q$2))</f>
        <v>2558.10546875</v>
      </c>
      <c r="G82" s="15" t="n">
        <f aca="false">F82*(1+IF(G$3&lt;=$O$2,$D82,$D82-($D82-$I$76)*MIN(G$3-$O$2,$Q$2)/$Q$2))</f>
        <v>2598.07586669922</v>
      </c>
      <c r="H82" s="15" t="n">
        <f aca="false">G82*(1+IF(H$3&lt;=$O$2,$D82,$D82-($D82-$I$76)*MIN(H$3-$O$2,$Q$2)/$Q$2))</f>
        <v>2638.67080211639</v>
      </c>
      <c r="I82" s="15" t="n">
        <f aca="false">H82*(1+IF(I$3&lt;=$O$2,$D82,$D82-($D82-$I$76)*MIN(I$3-$O$2,$Q$2)/$Q$2))</f>
        <v>2679.90003339946</v>
      </c>
      <c r="J82" s="15" t="n">
        <f aca="false">I82*(1+IF(J$3&lt;=$O$2,$D82,$D82-($D82-$I$76)*MIN(J$3-$O$2,$Q$2)/$Q$2))</f>
        <v>2725.8871179726</v>
      </c>
      <c r="K82" s="15" t="n">
        <f aca="false">J82*(1+IF(K$3&lt;=$O$2,$D82,$D82-($D82-$I$76)*MIN(K$3-$O$2,$Q$2)/$Q$2))</f>
        <v>2776.8475776431</v>
      </c>
      <c r="L82" s="15" t="n">
        <f aca="false">K82*(1+IF(L$3&lt;=$O$2,$D82,$D82-($D82-$I$76)*MIN(L$3-$O$2,$Q$2)/$Q$2))</f>
        <v>2833.02320413882</v>
      </c>
      <c r="M82" s="15" t="n">
        <f aca="false">L82*(1+IF(M$3&lt;=$O$2,$D82,$D82-($D82-$I$76)*MIN(M$3-$O$2,$Q$2)/$Q$2))</f>
        <v>2894.6839541769</v>
      </c>
      <c r="N82" s="15" t="n">
        <f aca="false">M82*(1+IF(N$3&lt;=$O$2,$D82,$D82-($D82-$I$76)*MIN(N$3-$O$2,$Q$2)/$Q$2))</f>
        <v>2962.13009030922</v>
      </c>
      <c r="O82" s="15" t="n">
        <f aca="false">SUMPRODUCT(E82:N82,1/(1+$F$76)^$E$3:$N$3)*$E$2</f>
        <v>5642.93396031383</v>
      </c>
      <c r="P82" s="15" t="n">
        <f aca="false">N82*$E$2*(1+$I$76)/($F$76-$I$76)/(1+$F$76)^$N$3</f>
        <v>9494.18658221662</v>
      </c>
      <c r="Q82" s="15" t="n">
        <f aca="false">O82+P82</f>
        <v>15137.1205425305</v>
      </c>
      <c r="R82" s="15" t="n">
        <f aca="false">Q82-$G$2+$I$2</f>
        <v>13862.4505425305</v>
      </c>
      <c r="S82" s="42" t="n">
        <f aca="false">R82/$K$2</f>
        <v>389.723096500716</v>
      </c>
      <c r="T82" s="43" t="n">
        <f aca="false">S82-$M$2</f>
        <v>100.434370045838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-0.03125</v>
      </c>
      <c r="C83" s="25" t="n">
        <f aca="false">IF(T82&gt;0,D82,C82)</f>
        <v>0.015625</v>
      </c>
      <c r="D83" s="41" t="n">
        <f aca="false">(B83+C83)/2</f>
        <v>-0.0078125</v>
      </c>
      <c r="E83" s="15" t="n">
        <f aca="false">$C$2*(1+IF(E$3&lt;=$O$2,$D83,$D83-($D83-$I$76)*MIN(E$3-$O$2,$Q$2)/$Q$2))</f>
        <v>2460.625</v>
      </c>
      <c r="F83" s="15" t="n">
        <f aca="false">E83*(1+IF(F$3&lt;=$O$2,$D83,$D83-($D83-$I$76)*MIN(F$3-$O$2,$Q$2)/$Q$2))</f>
        <v>2441.4013671875</v>
      </c>
      <c r="G83" s="15" t="n">
        <f aca="false">F83*(1+IF(G$3&lt;=$O$2,$D83,$D83-($D83-$I$76)*MIN(G$3-$O$2,$Q$2)/$Q$2))</f>
        <v>2422.32791900635</v>
      </c>
      <c r="H83" s="15" t="n">
        <f aca="false">G83*(1+IF(H$3&lt;=$O$2,$D83,$D83-($D83-$I$76)*MIN(H$3-$O$2,$Q$2)/$Q$2))</f>
        <v>2403.40348213911</v>
      </c>
      <c r="I83" s="15" t="n">
        <f aca="false">H83*(1+IF(I$3&lt;=$O$2,$D83,$D83-($D83-$I$76)*MIN(I$3-$O$2,$Q$2)/$Q$2))</f>
        <v>2384.6268924349</v>
      </c>
      <c r="J83" s="15" t="n">
        <f aca="false">I83*(1+IF(J$3&lt;=$O$2,$D83,$D83-($D83-$I$76)*MIN(J$3-$O$2,$Q$2)/$Q$2))</f>
        <v>2380.83533567593</v>
      </c>
      <c r="K83" s="15" t="n">
        <f aca="false">J83*(1+IF(K$3&lt;=$O$2,$D83,$D83-($D83-$I$76)*MIN(K$3-$O$2,$Q$2)/$Q$2))</f>
        <v>2391.86455536845</v>
      </c>
      <c r="L83" s="15" t="n">
        <f aca="false">K83*(1+IF(L$3&lt;=$O$2,$D83,$D83-($D83-$I$76)*MIN(L$3-$O$2,$Q$2)/$Q$2))</f>
        <v>2417.82824511697</v>
      </c>
      <c r="M83" s="15" t="n">
        <f aca="false">L83*(1+IF(M$3&lt;=$O$2,$D83,$D83-($D83-$I$76)*MIN(M$3-$O$2,$Q$2)/$Q$2))</f>
        <v>2459.11870697296</v>
      </c>
      <c r="N83" s="15" t="n">
        <f aca="false">M83*(1+IF(N$3&lt;=$O$2,$D83,$D83-($D83-$I$76)*MIN(N$3-$O$2,$Q$2)/$Q$2))</f>
        <v>2516.41617284543</v>
      </c>
      <c r="O83" s="15" t="n">
        <f aca="false">SUMPRODUCT(E83:N83,1/(1+$F$76)^$E$3:$N$3)*$E$2</f>
        <v>5087.40310459008</v>
      </c>
      <c r="P83" s="15" t="n">
        <f aca="false">N83*$E$2*(1+$I$76)/($F$76-$I$76)/(1+$F$76)^$N$3</f>
        <v>8065.58926688055</v>
      </c>
      <c r="Q83" s="15" t="n">
        <f aca="false">O83+P83</f>
        <v>13152.9923714706</v>
      </c>
      <c r="R83" s="15" t="n">
        <f aca="false">Q83-$G$2+$I$2</f>
        <v>11878.3223714706</v>
      </c>
      <c r="S83" s="42" t="n">
        <f aca="false">R83/$K$2</f>
        <v>333.942152698078</v>
      </c>
      <c r="T83" s="43" t="n">
        <f aca="false">S83-$M$2</f>
        <v>44.6534262432002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-0.03125</v>
      </c>
      <c r="C84" s="25" t="n">
        <f aca="false">IF(T83&gt;0,D83,C83)</f>
        <v>-0.0078125</v>
      </c>
      <c r="D84" s="41" t="n">
        <f aca="false">(B84+C84)/2</f>
        <v>-0.01953125</v>
      </c>
      <c r="E84" s="15" t="n">
        <f aca="false">$C$2*(1+IF(E$3&lt;=$O$2,$D84,$D84-($D84-$I$76)*MIN(E$3-$O$2,$Q$2)/$Q$2))</f>
        <v>2431.5625</v>
      </c>
      <c r="F84" s="15" t="n">
        <f aca="false">E84*(1+IF(F$3&lt;=$O$2,$D84,$D84-($D84-$I$76)*MIN(F$3-$O$2,$Q$2)/$Q$2))</f>
        <v>2384.07104492188</v>
      </c>
      <c r="G84" s="15" t="n">
        <f aca="false">F84*(1+IF(G$3&lt;=$O$2,$D84,$D84-($D84-$I$76)*MIN(G$3-$O$2,$Q$2)/$Q$2))</f>
        <v>2337.50715732574</v>
      </c>
      <c r="H84" s="15" t="n">
        <f aca="false">G84*(1+IF(H$3&lt;=$O$2,$D84,$D84-($D84-$I$76)*MIN(H$3-$O$2,$Q$2)/$Q$2))</f>
        <v>2291.85272065923</v>
      </c>
      <c r="I84" s="15" t="n">
        <f aca="false">H84*(1+IF(I$3&lt;=$O$2,$D84,$D84-($D84-$I$76)*MIN(I$3-$O$2,$Q$2)/$Q$2))</f>
        <v>2247.08997220885</v>
      </c>
      <c r="J84" s="15" t="n">
        <f aca="false">I84*(1+IF(J$3&lt;=$O$2,$D84,$D84-($D84-$I$76)*MIN(J$3-$O$2,$Q$2)/$Q$2))</f>
        <v>2222.45063066358</v>
      </c>
      <c r="K84" s="15" t="n">
        <f aca="false">J84*(1+IF(K$3&lt;=$O$2,$D84,$D84-($D84-$I$76)*MIN(K$3-$O$2,$Q$2)/$Q$2))</f>
        <v>2217.11952721328</v>
      </c>
      <c r="L84" s="15" t="n">
        <f aca="false">K84*(1+IF(L$3&lt;=$O$2,$D84,$D84-($D84-$I$76)*MIN(L$3-$O$2,$Q$2)/$Q$2))</f>
        <v>2230.79361189736</v>
      </c>
      <c r="M84" s="15" t="n">
        <f aca="false">L84*(1+IF(M$3&lt;=$O$2,$D84,$D84-($D84-$I$76)*MIN(M$3-$O$2,$Q$2)/$Q$2))</f>
        <v>2263.66156727666</v>
      </c>
      <c r="N84" s="15" t="n">
        <f aca="false">M84*(1+IF(N$3&lt;=$O$2,$D84,$D84-($D84-$I$76)*MIN(N$3-$O$2,$Q$2)/$Q$2))</f>
        <v>2316.4048817942</v>
      </c>
      <c r="O84" s="15" t="n">
        <f aca="false">SUMPRODUCT(E84:N84,1/(1+$F$76)^$E$3:$N$3)*$E$2</f>
        <v>4830.89282441733</v>
      </c>
      <c r="P84" s="15" t="n">
        <f aca="false">N84*$E$2*(1+$I$76)/($F$76-$I$76)/(1+$F$76)^$N$3</f>
        <v>7424.5152904192</v>
      </c>
      <c r="Q84" s="15" t="n">
        <f aca="false">O84+P84</f>
        <v>12255.4081148365</v>
      </c>
      <c r="R84" s="15" t="n">
        <f aca="false">Q84-$G$2+$I$2</f>
        <v>10980.7381148365</v>
      </c>
      <c r="S84" s="42" t="n">
        <f aca="false">R84/$K$2</f>
        <v>308.707846916968</v>
      </c>
      <c r="T84" s="43" t="n">
        <f aca="false">S84-$M$2</f>
        <v>19.4191204620898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-0.03125</v>
      </c>
      <c r="C85" s="25" t="n">
        <f aca="false">IF(T84&gt;0,D84,C84)</f>
        <v>-0.01953125</v>
      </c>
      <c r="D85" s="41" t="n">
        <f aca="false">(B85+C85)/2</f>
        <v>-0.025390625</v>
      </c>
      <c r="E85" s="15" t="n">
        <f aca="false">$C$2*(1+IF(E$3&lt;=$O$2,$D85,$D85-($D85-$I$76)*MIN(E$3-$O$2,$Q$2)/$Q$2))</f>
        <v>2417.03125</v>
      </c>
      <c r="F85" s="15" t="n">
        <f aca="false">E85*(1+IF(F$3&lt;=$O$2,$D85,$D85-($D85-$I$76)*MIN(F$3-$O$2,$Q$2)/$Q$2))</f>
        <v>2355.66131591797</v>
      </c>
      <c r="G85" s="15" t="n">
        <f aca="false">F85*(1+IF(G$3&lt;=$O$2,$D85,$D85-($D85-$I$76)*MIN(G$3-$O$2,$Q$2)/$Q$2))</f>
        <v>2295.84960281849</v>
      </c>
      <c r="H85" s="15" t="n">
        <f aca="false">G85*(1+IF(H$3&lt;=$O$2,$D85,$D85-($D85-$I$76)*MIN(H$3-$O$2,$Q$2)/$Q$2))</f>
        <v>2237.55654649693</v>
      </c>
      <c r="I85" s="15" t="n">
        <f aca="false">H85*(1+IF(I$3&lt;=$O$2,$D85,$D85-($D85-$I$76)*MIN(I$3-$O$2,$Q$2)/$Q$2))</f>
        <v>2180.74358730853</v>
      </c>
      <c r="J85" s="15" t="n">
        <f aca="false">I85*(1+IF(J$3&lt;=$O$2,$D85,$D85-($D85-$I$76)*MIN(J$3-$O$2,$Q$2)/$Q$2))</f>
        <v>2146.60949830818</v>
      </c>
      <c r="K85" s="15" t="n">
        <f aca="false">J85*(1+IF(K$3&lt;=$O$2,$D85,$D85-($D85-$I$76)*MIN(K$3-$O$2,$Q$2)/$Q$2))</f>
        <v>2133.91364475662</v>
      </c>
      <c r="L85" s="15" t="n">
        <f aca="false">K85*(1+IF(L$3&lt;=$O$2,$D85,$D85-($D85-$I$76)*MIN(L$3-$O$2,$Q$2)/$Q$2))</f>
        <v>2142.07319705576</v>
      </c>
      <c r="M85" s="15" t="n">
        <f aca="false">L85*(1+IF(M$3&lt;=$O$2,$D85,$D85-($D85-$I$76)*MIN(M$3-$O$2,$Q$2)/$Q$2))</f>
        <v>2171.12372599508</v>
      </c>
      <c r="N85" s="15" t="n">
        <f aca="false">M85*(1+IF(N$3&lt;=$O$2,$D85,$D85-($D85-$I$76)*MIN(N$3-$O$2,$Q$2)/$Q$2))</f>
        <v>2221.71090881077</v>
      </c>
      <c r="O85" s="15" t="n">
        <f aca="false">SUMPRODUCT(E85:N85,1/(1+$F$76)^$E$3:$N$3)*$E$2</f>
        <v>4707.64811923578</v>
      </c>
      <c r="P85" s="15" t="n">
        <f aca="false">N85*$E$2*(1+$I$76)/($F$76-$I$76)/(1+$F$76)^$N$3</f>
        <v>7121.00321623401</v>
      </c>
      <c r="Q85" s="15" t="n">
        <f aca="false">O85+P85</f>
        <v>11828.6513354698</v>
      </c>
      <c r="R85" s="15" t="n">
        <f aca="false">Q85-$G$2+$I$2</f>
        <v>10553.9813354698</v>
      </c>
      <c r="S85" s="42" t="n">
        <f aca="false">R85/$K$2</f>
        <v>296.710186546803</v>
      </c>
      <c r="T85" s="43" t="n">
        <f aca="false">S85-$M$2</f>
        <v>7.42146009192567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-0.03125</v>
      </c>
      <c r="C86" s="25" t="n">
        <f aca="false">IF(T85&gt;0,D85,C85)</f>
        <v>-0.025390625</v>
      </c>
      <c r="D86" s="41" t="n">
        <f aca="false">(B86+C86)/2</f>
        <v>-0.0283203125</v>
      </c>
      <c r="E86" s="15" t="n">
        <f aca="false">$C$2*(1+IF(E$3&lt;=$O$2,$D86,$D86-($D86-$I$76)*MIN(E$3-$O$2,$Q$2)/$Q$2))</f>
        <v>2409.765625</v>
      </c>
      <c r="F86" s="15" t="n">
        <f aca="false">E86*(1+IF(F$3&lt;=$O$2,$D86,$D86-($D86-$I$76)*MIN(F$3-$O$2,$Q$2)/$Q$2))</f>
        <v>2341.52030944824</v>
      </c>
      <c r="G86" s="15" t="n">
        <f aca="false">F86*(1+IF(G$3&lt;=$O$2,$D86,$D86-($D86-$I$76)*MIN(G$3-$O$2,$Q$2)/$Q$2))</f>
        <v>2275.20772255957</v>
      </c>
      <c r="H86" s="15" t="n">
        <f aca="false">G86*(1+IF(H$3&lt;=$O$2,$D86,$D86-($D86-$I$76)*MIN(H$3-$O$2,$Q$2)/$Q$2))</f>
        <v>2210.77312885427</v>
      </c>
      <c r="I86" s="15" t="n">
        <f aca="false">H86*(1+IF(I$3&lt;=$O$2,$D86,$D86-($D86-$I$76)*MIN(I$3-$O$2,$Q$2)/$Q$2))</f>
        <v>2148.16334297852</v>
      </c>
      <c r="J86" s="15" t="n">
        <f aca="false">I86*(1+IF(J$3&lt;=$O$2,$D86,$D86-($D86-$I$76)*MIN(J$3-$O$2,$Q$2)/$Q$2))</f>
        <v>2109.50445841744</v>
      </c>
      <c r="K86" s="15" t="n">
        <f aca="false">J86*(1+IF(K$3&lt;=$O$2,$D86,$D86-($D86-$I$76)*MIN(K$3-$O$2,$Q$2)/$Q$2))</f>
        <v>2093.31994468037</v>
      </c>
      <c r="L86" s="15" t="n">
        <f aca="false">K86*(1+IF(L$3&lt;=$O$2,$D86,$D86-($D86-$I$76)*MIN(L$3-$O$2,$Q$2)/$Q$2))</f>
        <v>2098.87116750867</v>
      </c>
      <c r="M86" s="15" t="n">
        <f aca="false">L86*(1+IF(M$3&lt;=$O$2,$D86,$D86-($D86-$I$76)*MIN(M$3-$O$2,$Q$2)/$Q$2))</f>
        <v>2126.10598859882</v>
      </c>
      <c r="N86" s="15" t="n">
        <f aca="false">M86*(1+IF(N$3&lt;=$O$2,$D86,$D86-($D86-$I$76)*MIN(N$3-$O$2,$Q$2)/$Q$2))</f>
        <v>2175.64425813317</v>
      </c>
      <c r="O86" s="15" t="n">
        <f aca="false">SUMPRODUCT(E86:N86,1/(1+$F$76)^$E$3:$N$3)*$E$2</f>
        <v>4647.24199180316</v>
      </c>
      <c r="P86" s="15" t="n">
        <f aca="false">N86*$E$2*(1+$I$76)/($F$76-$I$76)/(1+$F$76)^$N$3</f>
        <v>6973.35089732277</v>
      </c>
      <c r="Q86" s="15" t="n">
        <f aca="false">O86+P86</f>
        <v>11620.5928891259</v>
      </c>
      <c r="R86" s="15" t="n">
        <f aca="false">Q86-$G$2+$I$2</f>
        <v>10345.9228891259</v>
      </c>
      <c r="S86" s="42" t="n">
        <f aca="false">R86/$K$2</f>
        <v>290.86091900832</v>
      </c>
      <c r="T86" s="43" t="n">
        <f aca="false">S86-$M$2</f>
        <v>1.57219255344199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-0.03125</v>
      </c>
      <c r="C87" s="25" t="n">
        <f aca="false">IF(T86&gt;0,D86,C86)</f>
        <v>-0.0283203125</v>
      </c>
      <c r="D87" s="41" t="n">
        <f aca="false">(B87+C87)/2</f>
        <v>-0.02978515625</v>
      </c>
      <c r="E87" s="15" t="n">
        <f aca="false">$C$2*(1+IF(E$3&lt;=$O$2,$D87,$D87-($D87-$I$76)*MIN(E$3-$O$2,$Q$2)/$Q$2))</f>
        <v>2406.1328125</v>
      </c>
      <c r="F87" s="15" t="n">
        <f aca="false">E87*(1+IF(F$3&lt;=$O$2,$D87,$D87-($D87-$I$76)*MIN(F$3-$O$2,$Q$2)/$Q$2))</f>
        <v>2334.46577072144</v>
      </c>
      <c r="G87" s="15" t="n">
        <f aca="false">F87*(1+IF(G$3&lt;=$O$2,$D87,$D87-($D87-$I$76)*MIN(G$3-$O$2,$Q$2)/$Q$2))</f>
        <v>2264.93334298022</v>
      </c>
      <c r="H87" s="15" t="n">
        <f aca="false">G87*(1+IF(H$3&lt;=$O$2,$D87,$D87-($D87-$I$76)*MIN(H$3-$O$2,$Q$2)/$Q$2))</f>
        <v>2197.47194946372</v>
      </c>
      <c r="I87" s="15" t="n">
        <f aca="false">H87*(1+IF(I$3&lt;=$O$2,$D87,$D87-($D87-$I$76)*MIN(I$3-$O$2,$Q$2)/$Q$2))</f>
        <v>2132.01990409395</v>
      </c>
      <c r="J87" s="15" t="n">
        <f aca="false">I87*(1+IF(J$3&lt;=$O$2,$D87,$D87-($D87-$I$76)*MIN(J$3-$O$2,$Q$2)/$Q$2))</f>
        <v>2091.15308006979</v>
      </c>
      <c r="K87" s="15" t="n">
        <f aca="false">J87*(1+IF(K$3&lt;=$O$2,$D87,$D87-($D87-$I$76)*MIN(K$3-$O$2,$Q$2)/$Q$2))</f>
        <v>2073.27143403651</v>
      </c>
      <c r="L87" s="15" t="n">
        <f aca="false">K87*(1+IF(L$3&lt;=$O$2,$D87,$D87-($D87-$I$76)*MIN(L$3-$O$2,$Q$2)/$Q$2))</f>
        <v>2077.55468323977</v>
      </c>
      <c r="M87" s="15" t="n">
        <f aca="false">L87*(1+IF(M$3&lt;=$O$2,$D87,$D87-($D87-$I$76)*MIN(M$3-$O$2,$Q$2)/$Q$2))</f>
        <v>2103.90424436371</v>
      </c>
      <c r="N87" s="15" t="n">
        <f aca="false">M87*(1+IF(N$3&lt;=$O$2,$D87,$D87-($D87-$I$76)*MIN(N$3-$O$2,$Q$2)/$Q$2))</f>
        <v>2152.92521325739</v>
      </c>
      <c r="O87" s="15" t="n">
        <f aca="false">SUMPRODUCT(E87:N87,1/(1+$F$76)^$E$3:$N$3)*$E$2</f>
        <v>4617.33852972239</v>
      </c>
      <c r="P87" s="15" t="n">
        <f aca="false">N87*$E$2*(1+$I$76)/($F$76-$I$76)/(1+$F$76)^$N$3</f>
        <v>6900.53206612893</v>
      </c>
      <c r="Q87" s="15" t="n">
        <f aca="false">O87+P87</f>
        <v>11517.8705958513</v>
      </c>
      <c r="R87" s="15" t="n">
        <f aca="false">Q87-$G$2+$I$2</f>
        <v>10243.2005958513</v>
      </c>
      <c r="S87" s="42" t="n">
        <f aca="false">R87/$K$2</f>
        <v>287.973027715809</v>
      </c>
      <c r="T87" s="43" t="n">
        <f aca="false">S87-$M$2</f>
        <v>-1.31569873906886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-0.02978515625</v>
      </c>
      <c r="C88" s="25" t="n">
        <f aca="false">IF(T87&gt;0,D87,C87)</f>
        <v>-0.0283203125</v>
      </c>
      <c r="D88" s="41" t="n">
        <f aca="false">(B88+C88)/2</f>
        <v>-0.029052734375</v>
      </c>
      <c r="E88" s="15" t="n">
        <f aca="false">$C$2*(1+IF(E$3&lt;=$O$2,$D88,$D88-($D88-$I$76)*MIN(E$3-$O$2,$Q$2)/$Q$2))</f>
        <v>2407.94921875</v>
      </c>
      <c r="F88" s="15" t="n">
        <f aca="false">E88*(1+IF(F$3&lt;=$O$2,$D88,$D88-($D88-$I$76)*MIN(F$3-$O$2,$Q$2)/$Q$2))</f>
        <v>2337.99170970917</v>
      </c>
      <c r="G88" s="15" t="n">
        <f aca="false">F88*(1+IF(G$3&lt;=$O$2,$D88,$D88-($D88-$I$76)*MIN(G$3-$O$2,$Q$2)/$Q$2))</f>
        <v>2270.06665759604</v>
      </c>
      <c r="H88" s="15" t="n">
        <f aca="false">G88*(1+IF(H$3&lt;=$O$2,$D88,$D88-($D88-$I$76)*MIN(H$3-$O$2,$Q$2)/$Q$2))</f>
        <v>2204.11501397935</v>
      </c>
      <c r="I88" s="15" t="n">
        <f aca="false">H88*(1+IF(I$3&lt;=$O$2,$D88,$D88-($D88-$I$76)*MIN(I$3-$O$2,$Q$2)/$Q$2))</f>
        <v>2140.07944594626</v>
      </c>
      <c r="J88" s="15" t="n">
        <f aca="false">I88*(1+IF(J$3&lt;=$O$2,$D88,$D88-($D88-$I$76)*MIN(J$3-$O$2,$Q$2)/$Q$2))</f>
        <v>2100.31208841679</v>
      </c>
      <c r="K88" s="15" t="n">
        <f aca="false">J88*(1+IF(K$3&lt;=$O$2,$D88,$D88-($D88-$I$76)*MIN(K$3-$O$2,$Q$2)/$Q$2))</f>
        <v>2083.27511155521</v>
      </c>
      <c r="L88" s="15" t="n">
        <f aca="false">K88*(1+IF(L$3&lt;=$O$2,$D88,$D88-($D88-$I$76)*MIN(L$3-$O$2,$Q$2)/$Q$2))</f>
        <v>2088.18936223633</v>
      </c>
      <c r="M88" s="15" t="n">
        <f aca="false">L88*(1+IF(M$3&lt;=$O$2,$D88,$D88-($D88-$I$76)*MIN(M$3-$O$2,$Q$2)/$Q$2))</f>
        <v>2114.97968977526</v>
      </c>
      <c r="N88" s="15" t="n">
        <f aca="false">M88*(1+IF(N$3&lt;=$O$2,$D88,$D88-($D88-$I$76)*MIN(N$3-$O$2,$Q$2)/$Q$2))</f>
        <v>2164.25871654703</v>
      </c>
      <c r="O88" s="15" t="n">
        <f aca="false">SUMPRODUCT(E88:N88,1/(1+$F$76)^$E$3:$N$3)*$E$2</f>
        <v>4632.26542535146</v>
      </c>
      <c r="P88" s="15" t="n">
        <f aca="false">N88*$E$2*(1+$I$76)/($F$76-$I$76)/(1+$F$76)^$N$3</f>
        <v>6936.85808543984</v>
      </c>
      <c r="Q88" s="15" t="n">
        <f aca="false">O88+P88</f>
        <v>11569.1235107913</v>
      </c>
      <c r="R88" s="15" t="n">
        <f aca="false">Q88-$G$2+$I$2</f>
        <v>10294.4535107913</v>
      </c>
      <c r="S88" s="42" t="n">
        <f aca="false">R88/$K$2</f>
        <v>289.413930581707</v>
      </c>
      <c r="T88" s="43" t="n">
        <f aca="false">S88-$M$2</f>
        <v>0.125204126828976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-0.02978515625</v>
      </c>
      <c r="C89" s="25" t="n">
        <f aca="false">IF(T88&gt;0,D88,C88)</f>
        <v>-0.029052734375</v>
      </c>
      <c r="D89" s="41" t="n">
        <f aca="false">(B89+C89)/2</f>
        <v>-0.0294189453125</v>
      </c>
      <c r="E89" s="15" t="n">
        <f aca="false">$C$2*(1+IF(E$3&lt;=$O$2,$D89,$D89-($D89-$I$76)*MIN(E$3-$O$2,$Q$2)/$Q$2))</f>
        <v>2407.041015625</v>
      </c>
      <c r="F89" s="15" t="n">
        <f aca="false">E89*(1+IF(F$3&lt;=$O$2,$D89,$D89-($D89-$I$76)*MIN(F$3-$O$2,$Q$2)/$Q$2))</f>
        <v>2336.22840762138</v>
      </c>
      <c r="G89" s="15" t="n">
        <f aca="false">F89*(1+IF(G$3&lt;=$O$2,$D89,$D89-($D89-$I$76)*MIN(G$3-$O$2,$Q$2)/$Q$2))</f>
        <v>2267.49903186006</v>
      </c>
      <c r="H89" s="15" t="n">
        <f aca="false">G89*(1+IF(H$3&lt;=$O$2,$D89,$D89-($D89-$I$76)*MIN(H$3-$O$2,$Q$2)/$Q$2))</f>
        <v>2200.79160184562</v>
      </c>
      <c r="I89" s="15" t="n">
        <f aca="false">H89*(1+IF(I$3&lt;=$O$2,$D89,$D89-($D89-$I$76)*MIN(I$3-$O$2,$Q$2)/$Q$2))</f>
        <v>2136.04663406672</v>
      </c>
      <c r="J89" s="15" t="n">
        <f aca="false">I89*(1+IF(J$3&lt;=$O$2,$D89,$D89-($D89-$I$76)*MIN(J$3-$O$2,$Q$2)/$Q$2))</f>
        <v>2095.72842009142</v>
      </c>
      <c r="K89" s="15" t="n">
        <f aca="false">J89*(1+IF(K$3&lt;=$O$2,$D89,$D89-($D89-$I$76)*MIN(K$3-$O$2,$Q$2)/$Q$2))</f>
        <v>2078.26813709836</v>
      </c>
      <c r="L89" s="15" t="n">
        <f aca="false">K89*(1+IF(L$3&lt;=$O$2,$D89,$D89-($D89-$I$76)*MIN(L$3-$O$2,$Q$2)/$Q$2))</f>
        <v>2082.86614298699</v>
      </c>
      <c r="M89" s="15" t="n">
        <f aca="false">L89*(1+IF(M$3&lt;=$O$2,$D89,$D89-($D89-$I$76)*MIN(M$3-$O$2,$Q$2)/$Q$2))</f>
        <v>2109.43562286151</v>
      </c>
      <c r="N89" s="15" t="n">
        <f aca="false">M89*(1+IF(N$3&lt;=$O$2,$D89,$D89-($D89-$I$76)*MIN(N$3-$O$2,$Q$2)/$Q$2))</f>
        <v>2158.58547287419</v>
      </c>
      <c r="O89" s="15" t="n">
        <f aca="false">SUMPRODUCT(E89:N89,1/(1+$F$76)^$E$3:$N$3)*$E$2</f>
        <v>4624.79577850103</v>
      </c>
      <c r="P89" s="15" t="n">
        <f aca="false">N89*$E$2*(1+$I$76)/($F$76-$I$76)/(1+$F$76)^$N$3</f>
        <v>6918.67426760802</v>
      </c>
      <c r="Q89" s="15" t="n">
        <f aca="false">O89+P89</f>
        <v>11543.4700461091</v>
      </c>
      <c r="R89" s="15" t="n">
        <f aca="false">Q89-$G$2+$I$2</f>
        <v>10268.8000461091</v>
      </c>
      <c r="S89" s="42" t="n">
        <f aca="false">R89/$K$2</f>
        <v>288.692719879366</v>
      </c>
      <c r="T89" s="43" t="n">
        <f aca="false">S89-$M$2</f>
        <v>-0.596006575511638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-0.0294189453125</v>
      </c>
      <c r="C90" s="25" t="n">
        <f aca="false">IF(T89&gt;0,D89,C89)</f>
        <v>-0.029052734375</v>
      </c>
      <c r="D90" s="41" t="n">
        <f aca="false">(B90+C90)/2</f>
        <v>-0.02923583984375</v>
      </c>
      <c r="E90" s="15" t="n">
        <f aca="false">$C$2*(1+IF(E$3&lt;=$O$2,$D90,$D90-($D90-$I$76)*MIN(E$3-$O$2,$Q$2)/$Q$2))</f>
        <v>2407.4951171875</v>
      </c>
      <c r="F90" s="15" t="n">
        <f aca="false">E90*(1+IF(F$3&lt;=$O$2,$D90,$D90-($D90-$I$76)*MIN(F$3-$O$2,$Q$2)/$Q$2))</f>
        <v>2337.1099755168</v>
      </c>
      <c r="G90" s="15" t="n">
        <f aca="false">F90*(1+IF(G$3&lt;=$O$2,$D90,$D90-($D90-$I$76)*MIN(G$3-$O$2,$Q$2)/$Q$2))</f>
        <v>2268.78260257536</v>
      </c>
      <c r="H90" s="15" t="n">
        <f aca="false">G90*(1+IF(H$3&lt;=$O$2,$D90,$D90-($D90-$I$76)*MIN(H$3-$O$2,$Q$2)/$Q$2))</f>
        <v>2202.45283776618</v>
      </c>
      <c r="I90" s="15" t="n">
        <f aca="false">H90*(1+IF(I$3&lt;=$O$2,$D90,$D90-($D90-$I$76)*MIN(I$3-$O$2,$Q$2)/$Q$2))</f>
        <v>2138.06227933783</v>
      </c>
      <c r="J90" s="15" t="n">
        <f aca="false">I90*(1+IF(J$3&lt;=$O$2,$D90,$D90-($D90-$I$76)*MIN(J$3-$O$2,$Q$2)/$Q$2))</f>
        <v>2098.0192124598</v>
      </c>
      <c r="K90" s="15" t="n">
        <f aca="false">J90*(1+IF(K$3&lt;=$O$2,$D90,$D90-($D90-$I$76)*MIN(K$3-$O$2,$Q$2)/$Q$2))</f>
        <v>2080.77033930917</v>
      </c>
      <c r="L90" s="15" t="n">
        <f aca="false">K90*(1+IF(L$3&lt;=$O$2,$D90,$D90-($D90-$I$76)*MIN(L$3-$O$2,$Q$2)/$Q$2))</f>
        <v>2085.52628129605</v>
      </c>
      <c r="M90" s="15" t="n">
        <f aca="false">L90*(1+IF(M$3&lt;=$O$2,$D90,$D90-($D90-$I$76)*MIN(M$3-$O$2,$Q$2)/$Q$2))</f>
        <v>2112.20606870943</v>
      </c>
      <c r="N90" s="15" t="n">
        <f aca="false">M90*(1+IF(N$3&lt;=$O$2,$D90,$D90-($D90-$I$76)*MIN(N$3-$O$2,$Q$2)/$Q$2))</f>
        <v>2161.42047011036</v>
      </c>
      <c r="O90" s="15" t="n">
        <f aca="false">SUMPRODUCT(E90:N90,1/(1+$F$76)^$E$3:$N$3)*$E$2</f>
        <v>4628.52905094122</v>
      </c>
      <c r="P90" s="15" t="n">
        <f aca="false">N90*$E$2*(1+$I$76)/($F$76-$I$76)/(1+$F$76)^$N$3</f>
        <v>6927.76096937319</v>
      </c>
      <c r="Q90" s="15" t="n">
        <f aca="false">O90+P90</f>
        <v>11556.2900203144</v>
      </c>
      <c r="R90" s="15" t="n">
        <f aca="false">Q90-$G$2+$I$2</f>
        <v>10281.6200203144</v>
      </c>
      <c r="S90" s="42" t="n">
        <f aca="false">R90/$K$2</f>
        <v>289.053135235153</v>
      </c>
      <c r="T90" s="43" t="n">
        <f aca="false">S90-$M$2</f>
        <v>-0.235591219724313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-0.02923583984375</v>
      </c>
      <c r="C91" s="25" t="n">
        <f aca="false">IF(T90&gt;0,D90,C90)</f>
        <v>-0.029052734375</v>
      </c>
      <c r="D91" s="41" t="n">
        <f aca="false">(B91+C91)/2</f>
        <v>-0.029144287109375</v>
      </c>
      <c r="E91" s="15" t="n">
        <f aca="false">$C$2*(1+IF(E$3&lt;=$O$2,$D91,$D91-($D91-$I$76)*MIN(E$3-$O$2,$Q$2)/$Q$2))</f>
        <v>2407.72216796875</v>
      </c>
      <c r="F91" s="15" t="n">
        <f aca="false">E91*(1+IF(F$3&lt;=$O$2,$D91,$D91-($D91-$I$76)*MIN(F$3-$O$2,$Q$2)/$Q$2))</f>
        <v>2337.55082182586</v>
      </c>
      <c r="G91" s="15" t="n">
        <f aca="false">F91*(1+IF(G$3&lt;=$O$2,$D91,$D91-($D91-$I$76)*MIN(G$3-$O$2,$Q$2)/$Q$2))</f>
        <v>2269.42456954181</v>
      </c>
      <c r="H91" s="15" t="n">
        <f aca="false">G91*(1+IF(H$3&lt;=$O$2,$D91,$D91-($D91-$I$76)*MIN(H$3-$O$2,$Q$2)/$Q$2))</f>
        <v>2203.28380831402</v>
      </c>
      <c r="I91" s="15" t="n">
        <f aca="false">H91*(1+IF(I$3&lt;=$O$2,$D91,$D91-($D91-$I$76)*MIN(I$3-$O$2,$Q$2)/$Q$2))</f>
        <v>2139.07067242108</v>
      </c>
      <c r="J91" s="15" t="n">
        <f aca="false">I91*(1+IF(J$3&lt;=$O$2,$D91,$D91-($D91-$I$76)*MIN(J$3-$O$2,$Q$2)/$Q$2))</f>
        <v>2099.16538989513</v>
      </c>
      <c r="K91" s="15" t="n">
        <f aca="false">J91*(1+IF(K$3&lt;=$O$2,$D91,$D91-($D91-$I$76)*MIN(K$3-$O$2,$Q$2)/$Q$2))</f>
        <v>2082.02240404105</v>
      </c>
      <c r="L91" s="15" t="n">
        <f aca="false">K91*(1+IF(L$3&lt;=$O$2,$D91,$D91-($D91-$I$76)*MIN(L$3-$O$2,$Q$2)/$Q$2))</f>
        <v>2086.85745376494</v>
      </c>
      <c r="M91" s="15" t="n">
        <f aca="false">L91*(1+IF(M$3&lt;=$O$2,$D91,$D91-($D91-$I$76)*MIN(M$3-$O$2,$Q$2)/$Q$2))</f>
        <v>2113.59248214534</v>
      </c>
      <c r="N91" s="15" t="n">
        <f aca="false">M91*(1+IF(N$3&lt;=$O$2,$D91,$D91-($D91-$I$76)*MIN(N$3-$O$2,$Q$2)/$Q$2))</f>
        <v>2162.83918697933</v>
      </c>
      <c r="O91" s="15" t="n">
        <f aca="false">SUMPRODUCT(E91:N91,1/(1+$F$76)^$E$3:$N$3)*$E$2</f>
        <v>4630.39685024673</v>
      </c>
      <c r="P91" s="15" t="n">
        <f aca="false">N91*$E$2*(1+$I$76)/($F$76-$I$76)/(1+$F$76)^$N$3</f>
        <v>6932.30822498004</v>
      </c>
      <c r="Q91" s="15" t="n">
        <f aca="false">O91+P91</f>
        <v>11562.7050752268</v>
      </c>
      <c r="R91" s="15" t="n">
        <f aca="false">Q91-$G$2+$I$2</f>
        <v>10288.0350752268</v>
      </c>
      <c r="S91" s="42" t="n">
        <f aca="false">R91/$K$2</f>
        <v>289.233485387315</v>
      </c>
      <c r="T91" s="43" t="n">
        <f aca="false">S91-$M$2</f>
        <v>-0.055241067563145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-0.029144287109375</v>
      </c>
      <c r="C92" s="25" t="n">
        <f aca="false">IF(T91&gt;0,D91,C91)</f>
        <v>-0.029052734375</v>
      </c>
      <c r="D92" s="41" t="n">
        <f aca="false">(B92+C92)/2</f>
        <v>-0.0290985107421875</v>
      </c>
      <c r="E92" s="15" t="n">
        <f aca="false">$C$2*(1+IF(E$3&lt;=$O$2,$D92,$D92-($D92-$I$76)*MIN(E$3-$O$2,$Q$2)/$Q$2))</f>
        <v>2407.83569335938</v>
      </c>
      <c r="F92" s="15" t="n">
        <f aca="false">E92*(1+IF(F$3&lt;=$O$2,$D92,$D92-($D92-$I$76)*MIN(F$3-$O$2,$Q$2)/$Q$2))</f>
        <v>2337.77126057073</v>
      </c>
      <c r="G92" s="15" t="n">
        <f aca="false">F92*(1+IF(G$3&lt;=$O$2,$D92,$D92-($D92-$I$76)*MIN(G$3-$O$2,$Q$2)/$Q$2))</f>
        <v>2269.74559843224</v>
      </c>
      <c r="H92" s="15" t="n">
        <f aca="false">G92*(1+IF(H$3&lt;=$O$2,$D92,$D92-($D92-$I$76)*MIN(H$3-$O$2,$Q$2)/$Q$2))</f>
        <v>2203.69938175423</v>
      </c>
      <c r="I92" s="15" t="n">
        <f aca="false">H92*(1+IF(I$3&lt;=$O$2,$D92,$D92-($D92-$I$76)*MIN(I$3-$O$2,$Q$2)/$Q$2))</f>
        <v>2139.5750116217</v>
      </c>
      <c r="J92" s="15" t="n">
        <f aca="false">I92*(1+IF(J$3&lt;=$O$2,$D92,$D92-($D92-$I$76)*MIN(J$3-$O$2,$Q$2)/$Q$2))</f>
        <v>2099.73867400834</v>
      </c>
      <c r="K92" s="15" t="n">
        <f aca="false">J92*(1+IF(K$3&lt;=$O$2,$D92,$D92-($D92-$I$76)*MIN(K$3-$O$2,$Q$2)/$Q$2))</f>
        <v>2082.64867743325</v>
      </c>
      <c r="L92" s="15" t="n">
        <f aca="false">K92*(1+IF(L$3&lt;=$O$2,$D92,$D92-($D92-$I$76)*MIN(L$3-$O$2,$Q$2)/$Q$2))</f>
        <v>2087.52331597877</v>
      </c>
      <c r="M92" s="15" t="n">
        <f aca="false">L92*(1+IF(M$3&lt;=$O$2,$D92,$D92-($D92-$I$76)*MIN(M$3-$O$2,$Q$2)/$Q$2))</f>
        <v>2114.2859866617</v>
      </c>
      <c r="N92" s="15" t="n">
        <f aca="false">M92*(1+IF(N$3&lt;=$O$2,$D92,$D92-($D92-$I$76)*MIN(N$3-$O$2,$Q$2)/$Q$2))</f>
        <v>2163.54885015092</v>
      </c>
      <c r="O92" s="15" t="n">
        <f aca="false">SUMPRODUCT(E92:N92,1/(1+$F$76)^$E$3:$N$3)*$E$2</f>
        <v>4631.33104080502</v>
      </c>
      <c r="P92" s="15" t="n">
        <f aca="false">N92*$E$2*(1+$I$76)/($F$76-$I$76)/(1+$F$76)^$N$3</f>
        <v>6934.58282952345</v>
      </c>
      <c r="Q92" s="15" t="n">
        <f aca="false">O92+P92</f>
        <v>11565.9138703285</v>
      </c>
      <c r="R92" s="15" t="n">
        <f aca="false">Q92-$G$2+$I$2</f>
        <v>10291.2438703285</v>
      </c>
      <c r="S92" s="42" t="n">
        <f aca="false">R92/$K$2</f>
        <v>289.323696101447</v>
      </c>
      <c r="T92" s="43" t="n">
        <f aca="false">S92-$M$2</f>
        <v>0.0349696465693228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-0.029144287109375</v>
      </c>
      <c r="C93" s="25" t="n">
        <f aca="false">IF(T92&gt;0,D92,C92)</f>
        <v>-0.0290985107421875</v>
      </c>
      <c r="D93" s="41" t="n">
        <f aca="false">(B93+C93)/2</f>
        <v>-0.0291213989257813</v>
      </c>
      <c r="E93" s="15" t="n">
        <f aca="false">$C$2*(1+IF(E$3&lt;=$O$2,$D93,$D93-($D93-$I$76)*MIN(E$3-$O$2,$Q$2)/$Q$2))</f>
        <v>2407.77893066406</v>
      </c>
      <c r="F93" s="15" t="n">
        <f aca="false">E93*(1+IF(F$3&lt;=$O$2,$D93,$D93-($D93-$I$76)*MIN(F$3-$O$2,$Q$2)/$Q$2))</f>
        <v>2337.6610398991</v>
      </c>
      <c r="G93" s="15" t="n">
        <f aca="false">F93*(1+IF(G$3&lt;=$O$2,$D93,$D93-($D93-$I$76)*MIN(G$3-$O$2,$Q$2)/$Q$2))</f>
        <v>2269.58508020295</v>
      </c>
      <c r="H93" s="15" t="n">
        <f aca="false">G93*(1+IF(H$3&lt;=$O$2,$D93,$D93-($D93-$I$76)*MIN(H$3-$O$2,$Q$2)/$Q$2))</f>
        <v>2203.49158768635</v>
      </c>
      <c r="I93" s="15" t="n">
        <f aca="false">H93*(1+IF(I$3&lt;=$O$2,$D93,$D93-($D93-$I$76)*MIN(I$3-$O$2,$Q$2)/$Q$2))</f>
        <v>2139.32283013174</v>
      </c>
      <c r="J93" s="15" t="n">
        <f aca="false">I93*(1+IF(J$3&lt;=$O$2,$D93,$D93-($D93-$I$76)*MIN(J$3-$O$2,$Q$2)/$Q$2))</f>
        <v>2099.45201566631</v>
      </c>
      <c r="K93" s="15" t="n">
        <f aca="false">J93*(1+IF(K$3&lt;=$O$2,$D93,$D93-($D93-$I$76)*MIN(K$3-$O$2,$Q$2)/$Q$2))</f>
        <v>2082.33552064807</v>
      </c>
      <c r="L93" s="15" t="n">
        <f aca="false">K93*(1+IF(L$3&lt;=$O$2,$D93,$D93-($D93-$I$76)*MIN(L$3-$O$2,$Q$2)/$Q$2))</f>
        <v>2087.19036186908</v>
      </c>
      <c r="M93" s="15" t="n">
        <f aca="false">L93*(1+IF(M$3&lt;=$O$2,$D93,$D93-($D93-$I$76)*MIN(M$3-$O$2,$Q$2)/$Q$2))</f>
        <v>2113.93920958192</v>
      </c>
      <c r="N93" s="15" t="n">
        <f aca="false">M93*(1+IF(N$3&lt;=$O$2,$D93,$D93-($D93-$I$76)*MIN(N$3-$O$2,$Q$2)/$Q$2))</f>
        <v>2163.19399316517</v>
      </c>
      <c r="O93" s="15" t="n">
        <f aca="false">SUMPRODUCT(E93:N93,1/(1+$F$76)^$E$3:$N$3)*$E$2</f>
        <v>4630.86392127975</v>
      </c>
      <c r="P93" s="15" t="n">
        <f aca="false">N93*$E$2*(1+$I$76)/($F$76-$I$76)/(1+$F$76)^$N$3</f>
        <v>6933.44544584011</v>
      </c>
      <c r="Q93" s="15" t="n">
        <f aca="false">O93+P93</f>
        <v>11564.3093671199</v>
      </c>
      <c r="R93" s="15" t="n">
        <f aca="false">Q93-$G$2+$I$2</f>
        <v>10289.6393671199</v>
      </c>
      <c r="S93" s="42" t="n">
        <f aca="false">R93/$K$2</f>
        <v>289.278587773963</v>
      </c>
      <c r="T93" s="43" t="n">
        <f aca="false">S93-$M$2</f>
        <v>-0.0101386809147357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-0.0291213989257813</v>
      </c>
      <c r="C94" s="25" t="n">
        <f aca="false">IF(T93&gt;0,D93,C93)</f>
        <v>-0.0290985107421875</v>
      </c>
      <c r="D94" s="41" t="n">
        <f aca="false">(B94+C94)/2</f>
        <v>-0.0291099548339844</v>
      </c>
      <c r="E94" s="15" t="n">
        <f aca="false">$C$2*(1+IF(E$3&lt;=$O$2,$D94,$D94-($D94-$I$76)*MIN(E$3-$O$2,$Q$2)/$Q$2))</f>
        <v>2407.80731201172</v>
      </c>
      <c r="F94" s="15" t="n">
        <f aca="false">E94*(1+IF(F$3&lt;=$O$2,$D94,$D94-($D94-$I$76)*MIN(F$3-$O$2,$Q$2)/$Q$2))</f>
        <v>2337.71614991012</v>
      </c>
      <c r="G94" s="15" t="n">
        <f aca="false">F94*(1+IF(G$3&lt;=$O$2,$D94,$D94-($D94-$I$76)*MIN(G$3-$O$2,$Q$2)/$Q$2))</f>
        <v>2269.66533837156</v>
      </c>
      <c r="H94" s="15" t="n">
        <f aca="false">G94*(1+IF(H$3&lt;=$O$2,$D94,$D94-($D94-$I$76)*MIN(H$3-$O$2,$Q$2)/$Q$2))</f>
        <v>2203.5954828833</v>
      </c>
      <c r="I94" s="15" t="n">
        <f aca="false">H94*(1+IF(I$3&lt;=$O$2,$D94,$D94-($D94-$I$76)*MIN(I$3-$O$2,$Q$2)/$Q$2))</f>
        <v>2139.4489179042</v>
      </c>
      <c r="J94" s="15" t="n">
        <f aca="false">I94*(1+IF(J$3&lt;=$O$2,$D94,$D94-($D94-$I$76)*MIN(J$3-$O$2,$Q$2)/$Q$2))</f>
        <v>2099.59534076579</v>
      </c>
      <c r="K94" s="15" t="n">
        <f aca="false">J94*(1+IF(K$3&lt;=$O$2,$D94,$D94-($D94-$I$76)*MIN(K$3-$O$2,$Q$2)/$Q$2))</f>
        <v>2082.49209401812</v>
      </c>
      <c r="L94" s="15" t="n">
        <f aca="false">K94*(1+IF(L$3&lt;=$O$2,$D94,$D94-($D94-$I$76)*MIN(L$3-$O$2,$Q$2)/$Q$2))</f>
        <v>2087.3568331729</v>
      </c>
      <c r="M94" s="15" t="n">
        <f aca="false">L94*(1+IF(M$3&lt;=$O$2,$D94,$D94-($D94-$I$76)*MIN(M$3-$O$2,$Q$2)/$Q$2))</f>
        <v>2114.11259191603</v>
      </c>
      <c r="N94" s="15" t="n">
        <f aca="false">M94*(1+IF(N$3&lt;=$O$2,$D94,$D94-($D94-$I$76)*MIN(N$3-$O$2,$Q$2)/$Q$2))</f>
        <v>2163.37141530767</v>
      </c>
      <c r="O94" s="15" t="n">
        <f aca="false">SUMPRODUCT(E94:N94,1/(1+$F$76)^$E$3:$N$3)*$E$2</f>
        <v>4631.09747498056</v>
      </c>
      <c r="P94" s="15" t="n">
        <f aca="false">N94*$E$2*(1+$I$76)/($F$76-$I$76)/(1+$F$76)^$N$3</f>
        <v>6934.01411732762</v>
      </c>
      <c r="Q94" s="15" t="n">
        <f aca="false">O94+P94</f>
        <v>11565.1115923082</v>
      </c>
      <c r="R94" s="15" t="n">
        <f aca="false">Q94-$G$2+$I$2</f>
        <v>10290.4415923082</v>
      </c>
      <c r="S94" s="42" t="n">
        <f aca="false">R94/$K$2</f>
        <v>289.301141195057</v>
      </c>
      <c r="T94" s="43" t="n">
        <f aca="false">S94-$M$2</f>
        <v>0.0124147401792243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-0.0291213989257813</v>
      </c>
      <c r="C95" s="25" t="n">
        <f aca="false">IF(T94&gt;0,D94,C94)</f>
        <v>-0.0291099548339844</v>
      </c>
      <c r="D95" s="41" t="n">
        <f aca="false">(B95+C95)/2</f>
        <v>-0.0291156768798828</v>
      </c>
      <c r="E95" s="15" t="n">
        <f aca="false">$C$2*(1+IF(E$3&lt;=$O$2,$D95,$D95-($D95-$I$76)*MIN(E$3-$O$2,$Q$2)/$Q$2))</f>
        <v>2407.79312133789</v>
      </c>
      <c r="F95" s="15" t="n">
        <f aca="false">E95*(1+IF(F$3&lt;=$O$2,$D95,$D95-($D95-$I$76)*MIN(F$3-$O$2,$Q$2)/$Q$2))</f>
        <v>2337.68859482341</v>
      </c>
      <c r="G95" s="15" t="n">
        <f aca="false">F95*(1+IF(G$3&lt;=$O$2,$D95,$D95-($D95-$I$76)*MIN(G$3-$O$2,$Q$2)/$Q$2))</f>
        <v>2269.62520905075</v>
      </c>
      <c r="H95" s="15" t="n">
        <f aca="false">G95*(1+IF(H$3&lt;=$O$2,$D95,$D95-($D95-$I$76)*MIN(H$3-$O$2,$Q$2)/$Q$2))</f>
        <v>2203.54353482559</v>
      </c>
      <c r="I95" s="15" t="n">
        <f aca="false">H95*(1+IF(I$3&lt;=$O$2,$D95,$D95-($D95-$I$76)*MIN(I$3-$O$2,$Q$2)/$Q$2))</f>
        <v>2139.38587327485</v>
      </c>
      <c r="J95" s="15" t="n">
        <f aca="false">I95*(1+IF(J$3&lt;=$O$2,$D95,$D95-($D95-$I$76)*MIN(J$3-$O$2,$Q$2)/$Q$2))</f>
        <v>2099.52367719819</v>
      </c>
      <c r="K95" s="15" t="n">
        <f aca="false">J95*(1+IF(K$3&lt;=$O$2,$D95,$D95-($D95-$I$76)*MIN(K$3-$O$2,$Q$2)/$Q$2))</f>
        <v>2082.4138060775</v>
      </c>
      <c r="L95" s="15" t="n">
        <f aca="false">K95*(1+IF(L$3&lt;=$O$2,$D95,$D95-($D95-$I$76)*MIN(L$3-$O$2,$Q$2)/$Q$2))</f>
        <v>2087.27359608327</v>
      </c>
      <c r="M95" s="15" t="n">
        <f aca="false">L95*(1+IF(M$3&lt;=$O$2,$D95,$D95-($D95-$I$76)*MIN(M$3-$O$2,$Q$2)/$Q$2))</f>
        <v>2114.02589919757</v>
      </c>
      <c r="N95" s="15" t="n">
        <f aca="false">M95*(1+IF(N$3&lt;=$O$2,$D95,$D95-($D95-$I$76)*MIN(N$3-$O$2,$Q$2)/$Q$2))</f>
        <v>2163.28270264888</v>
      </c>
      <c r="O95" s="15" t="n">
        <f aca="false">SUMPRODUCT(E95:N95,1/(1+$F$76)^$E$3:$N$3)*$E$2</f>
        <v>4630.98069661474</v>
      </c>
      <c r="P95" s="15" t="n">
        <f aca="false">N95*$E$2*(1+$I$76)/($F$76-$I$76)/(1+$F$76)^$N$3</f>
        <v>6933.72977649548</v>
      </c>
      <c r="Q95" s="15" t="n">
        <f aca="false">O95+P95</f>
        <v>11564.7104731102</v>
      </c>
      <c r="R95" s="15" t="n">
        <f aca="false">Q95-$G$2+$I$2</f>
        <v>10290.0404731102</v>
      </c>
      <c r="S95" s="42" t="n">
        <f aca="false">R95/$K$2</f>
        <v>289.289864298853</v>
      </c>
      <c r="T95" s="43" t="n">
        <f aca="false">S95-$M$2</f>
        <v>0.00113784397569816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-0.0291213989257813</v>
      </c>
      <c r="C96" s="25" t="n">
        <f aca="false">IF(T95&gt;0,D95,C95)</f>
        <v>-0.0291156768798828</v>
      </c>
      <c r="D96" s="41" t="n">
        <f aca="false">(B96+C96)/2</f>
        <v>-0.029118537902832</v>
      </c>
      <c r="E96" s="15" t="n">
        <f aca="false">$C$2*(1+IF(E$3&lt;=$O$2,$D96,$D96-($D96-$I$76)*MIN(E$3-$O$2,$Q$2)/$Q$2))</f>
        <v>2407.78602600098</v>
      </c>
      <c r="F96" s="15" t="n">
        <f aca="false">E96*(1+IF(F$3&lt;=$O$2,$D96,$D96-($D96-$I$76)*MIN(F$3-$O$2,$Q$2)/$Q$2))</f>
        <v>2337.67481734096</v>
      </c>
      <c r="G96" s="15" t="n">
        <f aca="false">F96*(1+IF(G$3&lt;=$O$2,$D96,$D96-($D96-$I$76)*MIN(G$3-$O$2,$Q$2)/$Q$2))</f>
        <v>2269.60514456772</v>
      </c>
      <c r="H96" s="15" t="n">
        <f aca="false">G96*(1+IF(H$3&lt;=$O$2,$D96,$D96-($D96-$I$76)*MIN(H$3-$O$2,$Q$2)/$Q$2))</f>
        <v>2203.51756114116</v>
      </c>
      <c r="I96" s="15" t="n">
        <f aca="false">H96*(1+IF(I$3&lt;=$O$2,$D96,$D96-($D96-$I$76)*MIN(I$3-$O$2,$Q$2)/$Q$2))</f>
        <v>2139.35435151752</v>
      </c>
      <c r="J96" s="15" t="n">
        <f aca="false">I96*(1+IF(J$3&lt;=$O$2,$D96,$D96-($D96-$I$76)*MIN(J$3-$O$2,$Q$2)/$Q$2))</f>
        <v>2099.48784617779</v>
      </c>
      <c r="K96" s="15" t="n">
        <f aca="false">J96*(1+IF(K$3&lt;=$O$2,$D96,$D96-($D96-$I$76)*MIN(K$3-$O$2,$Q$2)/$Q$2))</f>
        <v>2082.37466304889</v>
      </c>
      <c r="L96" s="15" t="n">
        <f aca="false">K96*(1+IF(L$3&lt;=$O$2,$D96,$D96-($D96-$I$76)*MIN(L$3-$O$2,$Q$2)/$Q$2))</f>
        <v>2087.23197861676</v>
      </c>
      <c r="M96" s="15" t="n">
        <f aca="false">L96*(1+IF(M$3&lt;=$O$2,$D96,$D96-($D96-$I$76)*MIN(M$3-$O$2,$Q$2)/$Q$2))</f>
        <v>2113.9825540019</v>
      </c>
      <c r="N96" s="15" t="n">
        <f aca="false">M96*(1+IF(N$3&lt;=$O$2,$D96,$D96-($D96-$I$76)*MIN(N$3-$O$2,$Q$2)/$Q$2))</f>
        <v>2163.23834751014</v>
      </c>
      <c r="O96" s="15" t="n">
        <f aca="false">SUMPRODUCT(E96:N96,1/(1+$F$76)^$E$3:$N$3)*$E$2</f>
        <v>4630.92230856839</v>
      </c>
      <c r="P96" s="15" t="n">
        <f aca="false">N96*$E$2*(1+$I$76)/($F$76-$I$76)/(1+$F$76)^$N$3</f>
        <v>6933.58760989572</v>
      </c>
      <c r="Q96" s="15" t="n">
        <f aca="false">O96+P96</f>
        <v>11564.5099184641</v>
      </c>
      <c r="R96" s="15" t="n">
        <f aca="false">Q96-$G$2+$I$2</f>
        <v>10289.8399184641</v>
      </c>
      <c r="S96" s="42" t="n">
        <f aca="false">R96/$K$2</f>
        <v>289.284225989995</v>
      </c>
      <c r="T96" s="43" t="n">
        <f aca="false">S96-$M$2</f>
        <v>-0.00450046488299449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-0.029118537902832</v>
      </c>
      <c r="C97" s="25" t="n">
        <f aca="false">IF(T96&gt;0,D96,C96)</f>
        <v>-0.0291156768798828</v>
      </c>
      <c r="D97" s="41" t="n">
        <f aca="false">(B97+C97)/2</f>
        <v>-0.0291171073913574</v>
      </c>
      <c r="E97" s="15" t="n">
        <f aca="false">$C$2*(1+IF(E$3&lt;=$O$2,$D97,$D97-($D97-$I$76)*MIN(E$3-$O$2,$Q$2)/$Q$2))</f>
        <v>2407.78957366943</v>
      </c>
      <c r="F97" s="15" t="n">
        <f aca="false">E97*(1+IF(F$3&lt;=$O$2,$D97,$D97-($D97-$I$76)*MIN(F$3-$O$2,$Q$2)/$Q$2))</f>
        <v>2337.68170607711</v>
      </c>
      <c r="G97" s="15" t="n">
        <f aca="false">F97*(1+IF(G$3&lt;=$O$2,$D97,$D97-($D97-$I$76)*MIN(G$3-$O$2,$Q$2)/$Q$2))</f>
        <v>2269.61517679445</v>
      </c>
      <c r="H97" s="15" t="n">
        <f aca="false">G97*(1+IF(H$3&lt;=$O$2,$D97,$D97-($D97-$I$76)*MIN(H$3-$O$2,$Q$2)/$Q$2))</f>
        <v>2203.53054795467</v>
      </c>
      <c r="I97" s="15" t="n">
        <f aca="false">H97*(1+IF(I$3&lt;=$O$2,$D97,$D97-($D97-$I$76)*MIN(I$3-$O$2,$Q$2)/$Q$2))</f>
        <v>2139.37011234974</v>
      </c>
      <c r="J97" s="15" t="n">
        <f aca="false">I97*(1+IF(J$3&lt;=$O$2,$D97,$D97-($D97-$I$76)*MIN(J$3-$O$2,$Q$2)/$Q$2))</f>
        <v>2099.50576162437</v>
      </c>
      <c r="K97" s="15" t="n">
        <f aca="false">J97*(1+IF(K$3&lt;=$O$2,$D97,$D97-($D97-$I$76)*MIN(K$3-$O$2,$Q$2)/$Q$2))</f>
        <v>2082.39423448472</v>
      </c>
      <c r="L97" s="15" t="n">
        <f aca="false">K97*(1+IF(L$3&lt;=$O$2,$D97,$D97-($D97-$I$76)*MIN(L$3-$O$2,$Q$2)/$Q$2))</f>
        <v>2087.25278726016</v>
      </c>
      <c r="M97" s="15" t="n">
        <f aca="false">L97*(1+IF(M$3&lt;=$O$2,$D97,$D97-($D97-$I$76)*MIN(M$3-$O$2,$Q$2)/$Q$2))</f>
        <v>2114.00422650277</v>
      </c>
      <c r="N97" s="15" t="n">
        <f aca="false">M97*(1+IF(N$3&lt;=$O$2,$D97,$D97-($D97-$I$76)*MIN(N$3-$O$2,$Q$2)/$Q$2))</f>
        <v>2163.26052498029</v>
      </c>
      <c r="O97" s="15" t="n">
        <f aca="false">SUMPRODUCT(E97:N97,1/(1+$F$76)^$E$3:$N$3)*$E$2</f>
        <v>4630.95150249685</v>
      </c>
      <c r="P97" s="15" t="n">
        <f aca="false">N97*$E$2*(1+$I$76)/($F$76-$I$76)/(1+$F$76)^$N$3</f>
        <v>6933.65869287758</v>
      </c>
      <c r="Q97" s="15" t="n">
        <f aca="false">O97+P97</f>
        <v>11564.6101953744</v>
      </c>
      <c r="R97" s="15" t="n">
        <f aca="false">Q97-$G$2+$I$2</f>
        <v>10289.9401953744</v>
      </c>
      <c r="S97" s="42" t="n">
        <f aca="false">R97/$K$2</f>
        <v>289.287045132821</v>
      </c>
      <c r="T97" s="43" t="n">
        <f aca="false">S97-$M$2</f>
        <v>-0.0016813220571521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-0.0291171073913574</v>
      </c>
      <c r="C98" s="25" t="n">
        <f aca="false">IF(T97&gt;0,D97,C97)</f>
        <v>-0.0291156768798828</v>
      </c>
      <c r="D98" s="41" t="n">
        <f aca="false">(B98+C98)/2</f>
        <v>-0.0291163921356201</v>
      </c>
      <c r="E98" s="15" t="n">
        <f aca="false">$C$2*(1+IF(E$3&lt;=$O$2,$D98,$D98-($D98-$I$76)*MIN(E$3-$O$2,$Q$2)/$Q$2))</f>
        <v>2407.79134750366</v>
      </c>
      <c r="F98" s="15" t="n">
        <f aca="false">E98*(1+IF(F$3&lt;=$O$2,$D98,$D98-($D98-$I$76)*MIN(F$3-$O$2,$Q$2)/$Q$2))</f>
        <v>2337.68515044899</v>
      </c>
      <c r="G98" s="15" t="n">
        <f aca="false">F98*(1+IF(G$3&lt;=$O$2,$D98,$D98-($D98-$I$76)*MIN(G$3-$O$2,$Q$2)/$Q$2))</f>
        <v>2269.6201929189</v>
      </c>
      <c r="H98" s="15" t="n">
        <f aca="false">G98*(1+IF(H$3&lt;=$O$2,$D98,$D98-($D98-$I$76)*MIN(H$3-$O$2,$Q$2)/$Q$2))</f>
        <v>2203.53704138295</v>
      </c>
      <c r="I98" s="15" t="n">
        <f aca="false">H98*(1+IF(I$3&lt;=$O$2,$D98,$D98-($D98-$I$76)*MIN(I$3-$O$2,$Q$2)/$Q$2))</f>
        <v>2139.37799280068</v>
      </c>
      <c r="J98" s="15" t="n">
        <f aca="false">I98*(1+IF(J$3&lt;=$O$2,$D98,$D98-($D98-$I$76)*MIN(J$3-$O$2,$Q$2)/$Q$2))</f>
        <v>2099.51471939538</v>
      </c>
      <c r="K98" s="15" t="n">
        <f aca="false">J98*(1+IF(K$3&lt;=$O$2,$D98,$D98-($D98-$I$76)*MIN(K$3-$O$2,$Q$2)/$Q$2))</f>
        <v>2082.40402026149</v>
      </c>
      <c r="L98" s="15" t="n">
        <f aca="false">K98*(1+IF(L$3&lt;=$O$2,$D98,$D98-($D98-$I$76)*MIN(L$3-$O$2,$Q$2)/$Q$2))</f>
        <v>2087.26319164925</v>
      </c>
      <c r="M98" s="15" t="n">
        <f aca="false">L98*(1+IF(M$3&lt;=$O$2,$D98,$D98-($D98-$I$76)*MIN(M$3-$O$2,$Q$2)/$Q$2))</f>
        <v>2114.01506282593</v>
      </c>
      <c r="N98" s="15" t="n">
        <f aca="false">M98*(1+IF(N$3&lt;=$O$2,$D98,$D98-($D98-$I$76)*MIN(N$3-$O$2,$Q$2)/$Q$2))</f>
        <v>2163.27161378978</v>
      </c>
      <c r="O98" s="15" t="n">
        <f aca="false">SUMPRODUCT(E98:N98,1/(1+$F$76)^$E$3:$N$3)*$E$2</f>
        <v>4630.96609953212</v>
      </c>
      <c r="P98" s="15" t="n">
        <f aca="false">N98*$E$2*(1+$I$76)/($F$76-$I$76)/(1+$F$76)^$N$3</f>
        <v>6933.69423460702</v>
      </c>
      <c r="Q98" s="15" t="n">
        <f aca="false">O98+P98</f>
        <v>11564.6603341391</v>
      </c>
      <c r="R98" s="15" t="n">
        <f aca="false">Q98-$G$2+$I$2</f>
        <v>10289.9903341391</v>
      </c>
      <c r="S98" s="42" t="n">
        <f aca="false">R98/$K$2</f>
        <v>289.288454712936</v>
      </c>
      <c r="T98" s="43" t="n">
        <f aca="false">S98-$M$2</f>
        <v>-0.000271741941560322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-0.0291163921356201</v>
      </c>
      <c r="C99" s="25" t="n">
        <f aca="false">IF(T98&gt;0,D98,C98)</f>
        <v>-0.0291156768798828</v>
      </c>
      <c r="D99" s="41" t="n">
        <f aca="false">(B99+C99)/2</f>
        <v>-0.0291160345077515</v>
      </c>
      <c r="E99" s="15" t="n">
        <f aca="false">$C$2*(1+IF(E$3&lt;=$O$2,$D99,$D99-($D99-$I$76)*MIN(E$3-$O$2,$Q$2)/$Q$2))</f>
        <v>2407.79223442078</v>
      </c>
      <c r="F99" s="15" t="n">
        <f aca="false">E99*(1+IF(F$3&lt;=$O$2,$D99,$D99-($D99-$I$76)*MIN(F$3-$O$2,$Q$2)/$Q$2))</f>
        <v>2337.68687263589</v>
      </c>
      <c r="G99" s="15" t="n">
        <f aca="false">F99*(1+IF(G$3&lt;=$O$2,$D99,$D99-($D99-$I$76)*MIN(G$3-$O$2,$Q$2)/$Q$2))</f>
        <v>2269.6227009839</v>
      </c>
      <c r="H99" s="15" t="n">
        <f aca="false">G99*(1+IF(H$3&lt;=$O$2,$D99,$D99-($D99-$I$76)*MIN(H$3-$O$2,$Q$2)/$Q$2))</f>
        <v>2203.54028810248</v>
      </c>
      <c r="I99" s="15" t="n">
        <f aca="false">H99*(1+IF(I$3&lt;=$O$2,$D99,$D99-($D99-$I$76)*MIN(I$3-$O$2,$Q$2)/$Q$2))</f>
        <v>2139.38193303487</v>
      </c>
      <c r="J99" s="15" t="n">
        <f aca="false">I99*(1+IF(J$3&lt;=$O$2,$D99,$D99-($D99-$I$76)*MIN(J$3-$O$2,$Q$2)/$Q$2))</f>
        <v>2099.51919829281</v>
      </c>
      <c r="K99" s="15" t="n">
        <f aca="false">J99*(1+IF(K$3&lt;=$O$2,$D99,$D99-($D99-$I$76)*MIN(K$3-$O$2,$Q$2)/$Q$2))</f>
        <v>2082.40891316459</v>
      </c>
      <c r="L99" s="15" t="n">
        <f aca="false">K99*(1+IF(L$3&lt;=$O$2,$D99,$D99-($D99-$I$76)*MIN(L$3-$O$2,$Q$2)/$Q$2))</f>
        <v>2087.26839386065</v>
      </c>
      <c r="M99" s="15" t="n">
        <f aca="false">L99*(1+IF(M$3&lt;=$O$2,$D99,$D99-($D99-$I$76)*MIN(M$3-$O$2,$Q$2)/$Q$2))</f>
        <v>2114.02048100569</v>
      </c>
      <c r="N99" s="15" t="n">
        <f aca="false">M99*(1+IF(N$3&lt;=$O$2,$D99,$D99-($D99-$I$76)*MIN(N$3-$O$2,$Q$2)/$Q$2))</f>
        <v>2163.27715821313</v>
      </c>
      <c r="O99" s="15" t="n">
        <f aca="false">SUMPRODUCT(E99:N99,1/(1+$F$76)^$E$3:$N$3)*$E$2</f>
        <v>4630.97339806751</v>
      </c>
      <c r="P99" s="15" t="n">
        <f aca="false">N99*$E$2*(1+$I$76)/($F$76-$I$76)/(1+$F$76)^$N$3</f>
        <v>6933.71200553137</v>
      </c>
      <c r="Q99" s="15" t="n">
        <f aca="false">O99+P99</f>
        <v>11564.6854035989</v>
      </c>
      <c r="R99" s="15" t="n">
        <f aca="false">Q99-$G$2+$I$2</f>
        <v>10290.0154035989</v>
      </c>
      <c r="S99" s="42" t="n">
        <f aca="false">R99/$K$2</f>
        <v>289.28915950517</v>
      </c>
      <c r="T99" s="43" t="n">
        <f aca="false">S99-$M$2</f>
        <v>0.000433050291860582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-0.0291163921356201</v>
      </c>
      <c r="C100" s="25" t="n">
        <f aca="false">IF(T99&gt;0,D99,C99)</f>
        <v>-0.0291160345077515</v>
      </c>
      <c r="D100" s="41" t="n">
        <f aca="false">(B100+C100)/2</f>
        <v>-0.0291162133216858</v>
      </c>
      <c r="E100" s="15" t="n">
        <f aca="false">$C$2*(1+IF(E$3&lt;=$O$2,$D100,$D100-($D100-$I$76)*MIN(E$3-$O$2,$Q$2)/$Q$2))</f>
        <v>2407.79179096222</v>
      </c>
      <c r="F100" s="15" t="n">
        <f aca="false">E100*(1+IF(F$3&lt;=$O$2,$D100,$D100-($D100-$I$76)*MIN(F$3-$O$2,$Q$2)/$Q$2))</f>
        <v>2337.68601154236</v>
      </c>
      <c r="G100" s="15" t="n">
        <f aca="false">F100*(1+IF(G$3&lt;=$O$2,$D100,$D100-($D100-$I$76)*MIN(G$3-$O$2,$Q$2)/$Q$2))</f>
        <v>2269.62144695117</v>
      </c>
      <c r="H100" s="15" t="n">
        <f aca="false">G100*(1+IF(H$3&lt;=$O$2,$D100,$D100-($D100-$I$76)*MIN(H$3-$O$2,$Q$2)/$Q$2))</f>
        <v>2203.53866474227</v>
      </c>
      <c r="I100" s="15" t="n">
        <f aca="false">H100*(1+IF(I$3&lt;=$O$2,$D100,$D100-($D100-$I$76)*MIN(I$3-$O$2,$Q$2)/$Q$2))</f>
        <v>2139.37996291705</v>
      </c>
      <c r="J100" s="15" t="n">
        <f aca="false">I100*(1+IF(J$3&lt;=$O$2,$D100,$D100-($D100-$I$76)*MIN(J$3-$O$2,$Q$2)/$Q$2))</f>
        <v>2099.5169588431</v>
      </c>
      <c r="K100" s="15" t="n">
        <f aca="false">J100*(1+IF(K$3&lt;=$O$2,$D100,$D100-($D100-$I$76)*MIN(K$3-$O$2,$Q$2)/$Q$2))</f>
        <v>2082.40646671181</v>
      </c>
      <c r="L100" s="15" t="n">
        <f aca="false">K100*(1+IF(L$3&lt;=$O$2,$D100,$D100-($D100-$I$76)*MIN(L$3-$O$2,$Q$2)/$Q$2))</f>
        <v>2087.26579275355</v>
      </c>
      <c r="M100" s="15" t="n">
        <f aca="false">L100*(1+IF(M$3&lt;=$O$2,$D100,$D100-($D100-$I$76)*MIN(M$3-$O$2,$Q$2)/$Q$2))</f>
        <v>2114.0177719143</v>
      </c>
      <c r="N100" s="15" t="n">
        <f aca="false">M100*(1+IF(N$3&lt;=$O$2,$D100,$D100-($D100-$I$76)*MIN(N$3-$O$2,$Q$2)/$Q$2))</f>
        <v>2163.2743859999</v>
      </c>
      <c r="O100" s="15" t="n">
        <f aca="false">SUMPRODUCT(E100:N100,1/(1+$F$76)^$E$3:$N$3)*$E$2</f>
        <v>4630.96974879833</v>
      </c>
      <c r="P100" s="15" t="n">
        <f aca="false">N100*$E$2*(1+$I$76)/($F$76-$I$76)/(1+$F$76)^$N$3</f>
        <v>6933.70312006423</v>
      </c>
      <c r="Q100" s="15" t="n">
        <f aca="false">O100+P100</f>
        <v>11564.6728688626</v>
      </c>
      <c r="R100" s="15" t="n">
        <f aca="false">Q100-$G$2+$I$2</f>
        <v>10290.0028688626</v>
      </c>
      <c r="S100" s="42" t="n">
        <f aca="false">R100/$K$2</f>
        <v>289.288807108872</v>
      </c>
      <c r="T100" s="43" t="n">
        <f aca="false">S100-$M$2</f>
        <v>8.06539937912021E-005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-0.0291163921356201</v>
      </c>
      <c r="C101" s="25" t="n">
        <f aca="false">IF(T100&gt;0,D100,C100)</f>
        <v>-0.0291162133216858</v>
      </c>
      <c r="D101" s="41" t="n">
        <f aca="false">(B101+C101)/2</f>
        <v>-0.029116302728653</v>
      </c>
      <c r="E101" s="15" t="n">
        <f aca="false">$C$2*(1+IF(E$3&lt;=$O$2,$D101,$D101-($D101-$I$76)*MIN(E$3-$O$2,$Q$2)/$Q$2))</f>
        <v>2407.79156923294</v>
      </c>
      <c r="F101" s="15" t="n">
        <f aca="false">E101*(1+IF(F$3&lt;=$O$2,$D101,$D101-($D101-$I$76)*MIN(F$3-$O$2,$Q$2)/$Q$2))</f>
        <v>2337.68558099566</v>
      </c>
      <c r="G101" s="15" t="n">
        <f aca="false">F101*(1+IF(G$3&lt;=$O$2,$D101,$D101-($D101-$I$76)*MIN(G$3-$O$2,$Q$2)/$Q$2))</f>
        <v>2269.62081993498</v>
      </c>
      <c r="H101" s="15" t="n">
        <f aca="false">G101*(1+IF(H$3&lt;=$O$2,$D101,$D101-($D101-$I$76)*MIN(H$3-$O$2,$Q$2)/$Q$2))</f>
        <v>2203.5378530625</v>
      </c>
      <c r="I101" s="15" t="n">
        <f aca="false">H101*(1+IF(I$3&lt;=$O$2,$D101,$D101-($D101-$I$76)*MIN(I$3-$O$2,$Q$2)/$Q$2))</f>
        <v>2139.37897785869</v>
      </c>
      <c r="J101" s="15" t="n">
        <f aca="false">I101*(1+IF(J$3&lt;=$O$2,$D101,$D101-($D101-$I$76)*MIN(J$3-$O$2,$Q$2)/$Q$2))</f>
        <v>2099.51583911899</v>
      </c>
      <c r="K101" s="15" t="n">
        <f aca="false">J101*(1+IF(K$3&lt;=$O$2,$D101,$D101-($D101-$I$76)*MIN(K$3-$O$2,$Q$2)/$Q$2))</f>
        <v>2082.40524348634</v>
      </c>
      <c r="L101" s="15" t="n">
        <f aca="false">K101*(1+IF(L$3&lt;=$O$2,$D101,$D101-($D101-$I$76)*MIN(L$3-$O$2,$Q$2)/$Q$2))</f>
        <v>2087.26449220105</v>
      </c>
      <c r="M101" s="15" t="n">
        <f aca="false">L101*(1+IF(M$3&lt;=$O$2,$D101,$D101-($D101-$I$76)*MIN(M$3-$O$2,$Q$2)/$Q$2))</f>
        <v>2114.01641736974</v>
      </c>
      <c r="N101" s="15" t="n">
        <f aca="false">M101*(1+IF(N$3&lt;=$O$2,$D101,$D101-($D101-$I$76)*MIN(N$3-$O$2,$Q$2)/$Q$2))</f>
        <v>2163.27299989445</v>
      </c>
      <c r="O101" s="15" t="n">
        <f aca="false">SUMPRODUCT(E101:N101,1/(1+$F$76)^$E$3:$N$3)*$E$2</f>
        <v>4630.96792416485</v>
      </c>
      <c r="P101" s="15" t="n">
        <f aca="false">N101*$E$2*(1+$I$76)/($F$76-$I$76)/(1+$F$76)^$N$3</f>
        <v>6933.69867733438</v>
      </c>
      <c r="Q101" s="15" t="n">
        <f aca="false">O101+P101</f>
        <v>11564.6666014992</v>
      </c>
      <c r="R101" s="15" t="n">
        <f aca="false">Q101-$G$2+$I$2</f>
        <v>10289.9966014992</v>
      </c>
      <c r="S101" s="42" t="n">
        <f aca="false">R101/$K$2</f>
        <v>289.288630910858</v>
      </c>
      <c r="T101" s="43" t="n">
        <f aca="false">S101-$M$2</f>
        <v>-9.55440193024515E-005</v>
      </c>
    </row>
    <row r="103" customFormat="false" ht="15" hidden="false" customHeight="false" outlineLevel="0" collapsed="false">
      <c r="A103" s="38" t="s">
        <v>187</v>
      </c>
      <c r="E103" s="5" t="s">
        <v>11</v>
      </c>
      <c r="F103" s="12" t="n">
        <f aca="false">Sensitivity!$B$10</f>
        <v>0.0714218415038925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8" t="s">
        <v>165</v>
      </c>
      <c r="B104" s="28" t="s">
        <v>166</v>
      </c>
      <c r="C104" s="28" t="s">
        <v>167</v>
      </c>
      <c r="D104" s="28" t="s">
        <v>168</v>
      </c>
      <c r="E104" s="28" t="s">
        <v>169</v>
      </c>
      <c r="F104" s="28" t="s">
        <v>170</v>
      </c>
      <c r="G104" s="28" t="s">
        <v>171</v>
      </c>
      <c r="H104" s="28" t="s">
        <v>172</v>
      </c>
      <c r="I104" s="28" t="s">
        <v>173</v>
      </c>
      <c r="J104" s="28" t="s">
        <v>174</v>
      </c>
      <c r="K104" s="28" t="s">
        <v>175</v>
      </c>
      <c r="L104" s="28" t="s">
        <v>176</v>
      </c>
      <c r="M104" s="28" t="s">
        <v>177</v>
      </c>
      <c r="N104" s="28" t="s">
        <v>178</v>
      </c>
      <c r="O104" s="28" t="s">
        <v>179</v>
      </c>
      <c r="P104" s="28" t="s">
        <v>180</v>
      </c>
      <c r="Q104" s="28" t="s">
        <v>181</v>
      </c>
      <c r="R104" s="28" t="s">
        <v>182</v>
      </c>
      <c r="S104" s="28" t="s">
        <v>183</v>
      </c>
      <c r="T104" s="28" t="s">
        <v>184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41" t="n">
        <f aca="false">(B105+C105)/2</f>
        <v>0.25</v>
      </c>
      <c r="E105" s="15" t="n">
        <f aca="false">$C$2*(1+IF(E$3&lt;=$O$2,$D105,$D105-($D105-$I$103)*MIN(E$3-$O$2,$Q$2)/$Q$2))</f>
        <v>3100</v>
      </c>
      <c r="F105" s="15" t="n">
        <f aca="false">E105*(1+IF(F$3&lt;=$O$2,$D105,$D105-($D105-$I$103)*MIN(F$3-$O$2,$Q$2)/$Q$2))</f>
        <v>3875</v>
      </c>
      <c r="G105" s="15" t="n">
        <f aca="false">F105*(1+IF(G$3&lt;=$O$2,$D105,$D105-($D105-$I$103)*MIN(G$3-$O$2,$Q$2)/$Q$2))</f>
        <v>4843.75</v>
      </c>
      <c r="H105" s="15" t="n">
        <f aca="false">G105*(1+IF(H$3&lt;=$O$2,$D105,$D105-($D105-$I$103)*MIN(H$3-$O$2,$Q$2)/$Q$2))</f>
        <v>6054.6875</v>
      </c>
      <c r="I105" s="15" t="n">
        <f aca="false">H105*(1+IF(I$3&lt;=$O$2,$D105,$D105-($D105-$I$103)*MIN(I$3-$O$2,$Q$2)/$Q$2))</f>
        <v>7568.359375</v>
      </c>
      <c r="J105" s="15" t="n">
        <f aca="false">I105*(1+IF(J$3&lt;=$O$2,$D105,$D105-($D105-$I$103)*MIN(J$3-$O$2,$Q$2)/$Q$2))</f>
        <v>9124.8681640625</v>
      </c>
      <c r="K105" s="15" t="n">
        <f aca="false">J105*(1+IF(K$3&lt;=$O$2,$D105,$D105-($D105-$I$103)*MIN(K$3-$O$2,$Q$2)/$Q$2))</f>
        <v>10596.8918962891</v>
      </c>
      <c r="L105" s="15" t="n">
        <f aca="false">K105*(1+IF(L$3&lt;=$O$2,$D105,$D105-($D105-$I$103)*MIN(L$3-$O$2,$Q$2)/$Q$2))</f>
        <v>11836.516310317</v>
      </c>
      <c r="M105" s="15" t="n">
        <f aca="false">L105*(1+IF(M$3&lt;=$O$2,$D105,$D105-($D105-$I$103)*MIN(M$3-$O$2,$Q$2)/$Q$2))</f>
        <v>12696.3208550984</v>
      </c>
      <c r="N105" s="15" t="n">
        <f aca="false">M105*(1+IF(N$3&lt;=$O$2,$D105,$D105-($D105-$I$103)*MIN(N$3-$O$2,$Q$2)/$Q$2))</f>
        <v>13055.6267352977</v>
      </c>
      <c r="O105" s="15" t="n">
        <f aca="false">SUMPRODUCT(E105:N105,1/(1+$F$103)^$E$3:$N$3)*$E$2</f>
        <v>15901.2775273546</v>
      </c>
      <c r="P105" s="15" t="n">
        <f aca="false">N105*$E$2*(1+$I$103)/($F$103-$I$103)/(1+$F$103)^$N$3</f>
        <v>46925.9593962081</v>
      </c>
      <c r="Q105" s="15" t="n">
        <f aca="false">O105+P105</f>
        <v>62827.2369235627</v>
      </c>
      <c r="R105" s="15" t="n">
        <f aca="false">Q105-$G$2+$I$2</f>
        <v>61552.5669235627</v>
      </c>
      <c r="S105" s="42" t="n">
        <f aca="false">R105/$K$2</f>
        <v>1730.46294415414</v>
      </c>
      <c r="T105" s="43" t="n">
        <f aca="false">S105-$M$2</f>
        <v>1441.17421769926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41" t="n">
        <f aca="false">(B106+C106)/2</f>
        <v>-0.125</v>
      </c>
      <c r="E106" s="15" t="n">
        <f aca="false">$C$2*(1+IF(E$3&lt;=$O$2,$D106,$D106-($D106-$I$103)*MIN(E$3-$O$2,$Q$2)/$Q$2))</f>
        <v>2170</v>
      </c>
      <c r="F106" s="15" t="n">
        <f aca="false">E106*(1+IF(F$3&lt;=$O$2,$D106,$D106-($D106-$I$103)*MIN(F$3-$O$2,$Q$2)/$Q$2))</f>
        <v>1898.75</v>
      </c>
      <c r="G106" s="15" t="n">
        <f aca="false">F106*(1+IF(G$3&lt;=$O$2,$D106,$D106-($D106-$I$103)*MIN(G$3-$O$2,$Q$2)/$Q$2))</f>
        <v>1661.40625</v>
      </c>
      <c r="H106" s="15" t="n">
        <f aca="false">G106*(1+IF(H$3&lt;=$O$2,$D106,$D106-($D106-$I$103)*MIN(H$3-$O$2,$Q$2)/$Q$2))</f>
        <v>1453.73046875</v>
      </c>
      <c r="I106" s="15" t="n">
        <f aca="false">H106*(1+IF(I$3&lt;=$O$2,$D106,$D106-($D106-$I$103)*MIN(I$3-$O$2,$Q$2)/$Q$2))</f>
        <v>1272.01416015625</v>
      </c>
      <c r="J106" s="15" t="n">
        <f aca="false">I106*(1+IF(J$3&lt;=$O$2,$D106,$D106-($D106-$I$103)*MIN(J$3-$O$2,$Q$2)/$Q$2))</f>
        <v>1152.01234428711</v>
      </c>
      <c r="K106" s="15" t="n">
        <f aca="false">J106*(1+IF(K$3&lt;=$O$2,$D106,$D106-($D106-$I$103)*MIN(K$3-$O$2,$Q$2)/$Q$2))</f>
        <v>1078.65219820291</v>
      </c>
      <c r="L106" s="15" t="n">
        <f aca="false">K106*(1+IF(L$3&lt;=$O$2,$D106,$D106-($D106-$I$103)*MIN(L$3-$O$2,$Q$2)/$Q$2))</f>
        <v>1043.03510261825</v>
      </c>
      <c r="M106" s="15" t="n">
        <f aca="false">L106*(1+IF(M$3&lt;=$O$2,$D106,$D106-($D106-$I$103)*MIN(M$3-$O$2,$Q$2)/$Q$2))</f>
        <v>1040.57353977607</v>
      </c>
      <c r="N106" s="15" t="n">
        <f aca="false">M106*(1+IF(N$3&lt;=$O$2,$D106,$D106-($D106-$I$103)*MIN(N$3-$O$2,$Q$2)/$Q$2))</f>
        <v>1070.02177095173</v>
      </c>
      <c r="O106" s="15" t="n">
        <f aca="false">SUMPRODUCT(E106:N106,1/(1+$F$103)^$E$3:$N$3)*$E$2</f>
        <v>3052.16376850977</v>
      </c>
      <c r="P106" s="15" t="n">
        <f aca="false">N106*$E$2*(1+$I$103)/($F$103-$I$103)/(1+$F$103)^$N$3</f>
        <v>3845.98910452802</v>
      </c>
      <c r="Q106" s="15" t="n">
        <f aca="false">O106+P106</f>
        <v>6898.15287303779</v>
      </c>
      <c r="R106" s="15" t="n">
        <f aca="false">Q106-$G$2+$I$2</f>
        <v>5623.48287303779</v>
      </c>
      <c r="S106" s="42" t="n">
        <f aca="false">R106/$K$2</f>
        <v>158.096229211071</v>
      </c>
      <c r="T106" s="43" t="n">
        <f aca="false">S106-$M$2</f>
        <v>-131.192497243807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41" t="n">
        <f aca="false">(B107+C107)/2</f>
        <v>0.0625</v>
      </c>
      <c r="E107" s="15" t="n">
        <f aca="false">$C$2*(1+IF(E$3&lt;=$O$2,$D107,$D107-($D107-$I$103)*MIN(E$3-$O$2,$Q$2)/$Q$2))</f>
        <v>2635</v>
      </c>
      <c r="F107" s="15" t="n">
        <f aca="false">E107*(1+IF(F$3&lt;=$O$2,$D107,$D107-($D107-$I$103)*MIN(F$3-$O$2,$Q$2)/$Q$2))</f>
        <v>2799.6875</v>
      </c>
      <c r="G107" s="15" t="n">
        <f aca="false">F107*(1+IF(G$3&lt;=$O$2,$D107,$D107-($D107-$I$103)*MIN(G$3-$O$2,$Q$2)/$Q$2))</f>
        <v>2974.66796875</v>
      </c>
      <c r="H107" s="15" t="n">
        <f aca="false">G107*(1+IF(H$3&lt;=$O$2,$D107,$D107-($D107-$I$103)*MIN(H$3-$O$2,$Q$2)/$Q$2))</f>
        <v>3160.58471679688</v>
      </c>
      <c r="I107" s="15" t="n">
        <f aca="false">H107*(1+IF(I$3&lt;=$O$2,$D107,$D107-($D107-$I$103)*MIN(I$3-$O$2,$Q$2)/$Q$2))</f>
        <v>3358.12126159668</v>
      </c>
      <c r="J107" s="15" t="n">
        <f aca="false">I107*(1+IF(J$3&lt;=$O$2,$D107,$D107-($D107-$I$103)*MIN(J$3-$O$2,$Q$2)/$Q$2))</f>
        <v>3545.03429101715</v>
      </c>
      <c r="K107" s="15" t="n">
        <f aca="false">J107*(1+IF(K$3&lt;=$O$2,$D107,$D107-($D107-$I$103)*MIN(K$3-$O$2,$Q$2)/$Q$2))</f>
        <v>3718.10286510461</v>
      </c>
      <c r="L107" s="15" t="n">
        <f aca="false">K107*(1+IF(L$3&lt;=$O$2,$D107,$D107-($D107-$I$103)*MIN(L$3-$O$2,$Q$2)/$Q$2))</f>
        <v>3874.1888233817</v>
      </c>
      <c r="M107" s="15" t="n">
        <f aca="false">L107*(1+IF(M$3&lt;=$O$2,$D107,$D107-($D107-$I$103)*MIN(M$3-$O$2,$Q$2)/$Q$2))</f>
        <v>4010.32781863533</v>
      </c>
      <c r="N107" s="15" t="n">
        <f aca="false">M107*(1+IF(N$3&lt;=$O$2,$D107,$D107-($D107-$I$103)*MIN(N$3-$O$2,$Q$2)/$Q$2))</f>
        <v>4123.82009590271</v>
      </c>
      <c r="O107" s="15" t="n">
        <f aca="false">SUMPRODUCT(E107:N107,1/(1+$F$103)^$E$3:$N$3)*$E$2</f>
        <v>6966.7181388584</v>
      </c>
      <c r="P107" s="15" t="n">
        <f aca="false">N107*$E$2*(1+$I$103)/($F$103-$I$103)/(1+$F$103)^$N$3</f>
        <v>14822.2845445179</v>
      </c>
      <c r="Q107" s="15" t="n">
        <f aca="false">O107+P107</f>
        <v>21789.0026833763</v>
      </c>
      <c r="R107" s="15" t="n">
        <f aca="false">Q107-$G$2+$I$2</f>
        <v>20514.3326833763</v>
      </c>
      <c r="S107" s="42" t="n">
        <f aca="false">R107/$K$2</f>
        <v>576.731309625424</v>
      </c>
      <c r="T107" s="43" t="n">
        <f aca="false">S107-$M$2</f>
        <v>287.442583170546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-0.125</v>
      </c>
      <c r="C108" s="25" t="n">
        <f aca="false">IF(T107&gt;0,D107,C107)</f>
        <v>0.0625</v>
      </c>
      <c r="D108" s="41" t="n">
        <f aca="false">(B108+C108)/2</f>
        <v>-0.03125</v>
      </c>
      <c r="E108" s="15" t="n">
        <f aca="false">$C$2*(1+IF(E$3&lt;=$O$2,$D108,$D108-($D108-$I$103)*MIN(E$3-$O$2,$Q$2)/$Q$2))</f>
        <v>2402.5</v>
      </c>
      <c r="F108" s="15" t="n">
        <f aca="false">E108*(1+IF(F$3&lt;=$O$2,$D108,$D108-($D108-$I$103)*MIN(F$3-$O$2,$Q$2)/$Q$2))</f>
        <v>2327.421875</v>
      </c>
      <c r="G108" s="15" t="n">
        <f aca="false">F108*(1+IF(G$3&lt;=$O$2,$D108,$D108-($D108-$I$103)*MIN(G$3-$O$2,$Q$2)/$Q$2))</f>
        <v>2254.68994140625</v>
      </c>
      <c r="H108" s="15" t="n">
        <f aca="false">G108*(1+IF(H$3&lt;=$O$2,$D108,$D108-($D108-$I$103)*MIN(H$3-$O$2,$Q$2)/$Q$2))</f>
        <v>2184.2308807373</v>
      </c>
      <c r="I108" s="15" t="n">
        <f aca="false">H108*(1+IF(I$3&lt;=$O$2,$D108,$D108-($D108-$I$103)*MIN(I$3-$O$2,$Q$2)/$Q$2))</f>
        <v>2115.97366571426</v>
      </c>
      <c r="J108" s="15" t="n">
        <f aca="false">I108*(1+IF(J$3&lt;=$O$2,$D108,$D108-($D108-$I$103)*MIN(J$3-$O$2,$Q$2)/$Q$2))</f>
        <v>2075.05073501935</v>
      </c>
      <c r="K108" s="15" t="n">
        <f aca="false">J108*(1+IF(K$3&lt;=$O$2,$D108,$D108-($D108-$I$103)*MIN(K$3-$O$2,$Q$2)/$Q$2))</f>
        <v>2059.63310805816</v>
      </c>
      <c r="L108" s="15" t="n">
        <f aca="false">K108*(1+IF(L$3&lt;=$O$2,$D108,$D108-($D108-$I$103)*MIN(L$3-$O$2,$Q$2)/$Q$2))</f>
        <v>2068.86026438226</v>
      </c>
      <c r="M108" s="15" t="n">
        <f aca="false">L108*(1+IF(M$3&lt;=$O$2,$D108,$D108-($D108-$I$103)*MIN(M$3-$O$2,$Q$2)/$Q$2))</f>
        <v>2102.76888411548</v>
      </c>
      <c r="N108" s="15" t="n">
        <f aca="false">M108*(1+IF(N$3&lt;=$O$2,$D108,$D108-($D108-$I$103)*MIN(N$3-$O$2,$Q$2)/$Q$2))</f>
        <v>2162.27724353595</v>
      </c>
      <c r="O108" s="15" t="n">
        <f aca="false">SUMPRODUCT(E108:N108,1/(1+$F$103)^$E$3:$N$3)*$E$2</f>
        <v>4599.53490600773</v>
      </c>
      <c r="P108" s="15" t="n">
        <f aca="false">N108*$E$2*(1+$I$103)/($F$103-$I$103)/(1+$F$103)^$N$3</f>
        <v>7771.89300757068</v>
      </c>
      <c r="Q108" s="15" t="n">
        <f aca="false">O108+P108</f>
        <v>12371.4279135784</v>
      </c>
      <c r="R108" s="15" t="n">
        <f aca="false">Q108-$G$2+$I$2</f>
        <v>11096.7579135784</v>
      </c>
      <c r="S108" s="42" t="n">
        <f aca="false">R108/$K$2</f>
        <v>311.969578678055</v>
      </c>
      <c r="T108" s="43" t="n">
        <f aca="false">S108-$M$2</f>
        <v>22.6808522231772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-0.125</v>
      </c>
      <c r="C109" s="25" t="n">
        <f aca="false">IF(T108&gt;0,D108,C108)</f>
        <v>-0.03125</v>
      </c>
      <c r="D109" s="41" t="n">
        <f aca="false">(B109+C109)/2</f>
        <v>-0.078125</v>
      </c>
      <c r="E109" s="15" t="n">
        <f aca="false">$C$2*(1+IF(E$3&lt;=$O$2,$D109,$D109-($D109-$I$103)*MIN(E$3-$O$2,$Q$2)/$Q$2))</f>
        <v>2286.25</v>
      </c>
      <c r="F109" s="15" t="n">
        <f aca="false">E109*(1+IF(F$3&lt;=$O$2,$D109,$D109-($D109-$I$103)*MIN(F$3-$O$2,$Q$2)/$Q$2))</f>
        <v>2107.63671875</v>
      </c>
      <c r="G109" s="15" t="n">
        <f aca="false">F109*(1+IF(G$3&lt;=$O$2,$D109,$D109-($D109-$I$103)*MIN(G$3-$O$2,$Q$2)/$Q$2))</f>
        <v>1942.97760009766</v>
      </c>
      <c r="H109" s="15" t="n">
        <f aca="false">G109*(1+IF(H$3&lt;=$O$2,$D109,$D109-($D109-$I$103)*MIN(H$3-$O$2,$Q$2)/$Q$2))</f>
        <v>1791.18247509003</v>
      </c>
      <c r="I109" s="15" t="n">
        <f aca="false">H109*(1+IF(I$3&lt;=$O$2,$D109,$D109-($D109-$I$103)*MIN(I$3-$O$2,$Q$2)/$Q$2))</f>
        <v>1651.24634422362</v>
      </c>
      <c r="J109" s="15" t="n">
        <f aca="false">I109*(1+IF(J$3&lt;=$O$2,$D109,$D109-($D109-$I$103)*MIN(J$3-$O$2,$Q$2)/$Q$2))</f>
        <v>1557.38950201795</v>
      </c>
      <c r="K109" s="15" t="n">
        <f aca="false">J109*(1+IF(K$3&lt;=$O$2,$D109,$D109-($D109-$I$103)*MIN(K$3-$O$2,$Q$2)/$Q$2))</f>
        <v>1502.0165182737</v>
      </c>
      <c r="L109" s="15" t="n">
        <f aca="false">K109*(1+IF(L$3&lt;=$O$2,$D109,$D109-($D109-$I$103)*MIN(L$3-$O$2,$Q$2)/$Q$2))</f>
        <v>1480.58274255793</v>
      </c>
      <c r="M109" s="15" t="n">
        <f aca="false">L109*(1+IF(M$3&lt;=$O$2,$D109,$D109-($D109-$I$103)*MIN(M$3-$O$2,$Q$2)/$Q$2))</f>
        <v>1490.96903049698</v>
      </c>
      <c r="N109" s="15" t="n">
        <f aca="false">M109*(1+IF(N$3&lt;=$O$2,$D109,$D109-($D109-$I$103)*MIN(N$3-$O$2,$Q$2)/$Q$2))</f>
        <v>1533.16345406004</v>
      </c>
      <c r="O109" s="15" t="n">
        <f aca="false">SUMPRODUCT(E109:N109,1/(1+$F$103)^$E$3:$N$3)*$E$2</f>
        <v>3743.12919834072</v>
      </c>
      <c r="P109" s="15" t="n">
        <f aca="false">N109*$E$2*(1+$I$103)/($F$103-$I$103)/(1+$F$103)^$N$3</f>
        <v>5510.66352092146</v>
      </c>
      <c r="Q109" s="15" t="n">
        <f aca="false">O109+P109</f>
        <v>9253.79271926218</v>
      </c>
      <c r="R109" s="15" t="n">
        <f aca="false">Q109-$G$2+$I$2</f>
        <v>7979.12271926218</v>
      </c>
      <c r="S109" s="42" t="n">
        <f aca="false">R109/$K$2</f>
        <v>224.321695790334</v>
      </c>
      <c r="T109" s="43" t="n">
        <f aca="false">S109-$M$2</f>
        <v>-64.9670306645438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-0.078125</v>
      </c>
      <c r="C110" s="25" t="n">
        <f aca="false">IF(T109&gt;0,D109,C109)</f>
        <v>-0.03125</v>
      </c>
      <c r="D110" s="41" t="n">
        <f aca="false">(B110+C110)/2</f>
        <v>-0.0546875</v>
      </c>
      <c r="E110" s="15" t="n">
        <f aca="false">$C$2*(1+IF(E$3&lt;=$O$2,$D110,$D110-($D110-$I$103)*MIN(E$3-$O$2,$Q$2)/$Q$2))</f>
        <v>2344.375</v>
      </c>
      <c r="F110" s="15" t="n">
        <f aca="false">E110*(1+IF(F$3&lt;=$O$2,$D110,$D110-($D110-$I$103)*MIN(F$3-$O$2,$Q$2)/$Q$2))</f>
        <v>2216.1669921875</v>
      </c>
      <c r="G110" s="15" t="n">
        <f aca="false">F110*(1+IF(G$3&lt;=$O$2,$D110,$D110-($D110-$I$103)*MIN(G$3-$O$2,$Q$2)/$Q$2))</f>
        <v>2094.97035980225</v>
      </c>
      <c r="H110" s="15" t="n">
        <f aca="false">G110*(1+IF(H$3&lt;=$O$2,$D110,$D110-($D110-$I$103)*MIN(H$3-$O$2,$Q$2)/$Q$2))</f>
        <v>1980.40166825056</v>
      </c>
      <c r="I110" s="15" t="n">
        <f aca="false">H110*(1+IF(I$3&lt;=$O$2,$D110,$D110-($D110-$I$103)*MIN(I$3-$O$2,$Q$2)/$Q$2))</f>
        <v>1872.09845201811</v>
      </c>
      <c r="J110" s="15" t="n">
        <f aca="false">I110*(1+IF(J$3&lt;=$O$2,$D110,$D110-($D110-$I$103)*MIN(J$3-$O$2,$Q$2)/$Q$2))</f>
        <v>1800.79022198074</v>
      </c>
      <c r="K110" s="15" t="n">
        <f aca="false">J110*(1+IF(K$3&lt;=$O$2,$D110,$D110-($D110-$I$103)*MIN(K$3-$O$2,$Q$2)/$Q$2))</f>
        <v>1762.08673813482</v>
      </c>
      <c r="L110" s="15" t="n">
        <f aca="false">K110*(1+IF(L$3&lt;=$O$2,$D110,$D110-($D110-$I$103)*MIN(L$3-$O$2,$Q$2)/$Q$2))</f>
        <v>1753.46132355165</v>
      </c>
      <c r="M110" s="15" t="n">
        <f aca="false">L110*(1+IF(M$3&lt;=$O$2,$D110,$D110-($D110-$I$103)*MIN(M$3-$O$2,$Q$2)/$Q$2))</f>
        <v>1773.98120469051</v>
      </c>
      <c r="N110" s="15" t="n">
        <f aca="false">M110*(1+IF(N$3&lt;=$O$2,$D110,$D110-($D110-$I$103)*MIN(N$3-$O$2,$Q$2)/$Q$2))</f>
        <v>1824.18487278325</v>
      </c>
      <c r="O110" s="15" t="n">
        <f aca="false">SUMPRODUCT(E110:N110,1/(1+$F$103)^$E$3:$N$3)*$E$2</f>
        <v>4148.45547819623</v>
      </c>
      <c r="P110" s="15" t="n">
        <f aca="false">N110*$E$2*(1+$I$103)/($F$103-$I$103)/(1+$F$103)^$N$3</f>
        <v>6556.68448608203</v>
      </c>
      <c r="Q110" s="15" t="n">
        <f aca="false">O110+P110</f>
        <v>10705.1399642783</v>
      </c>
      <c r="R110" s="15" t="n">
        <f aca="false">Q110-$G$2+$I$2</f>
        <v>9430.46996427826</v>
      </c>
      <c r="S110" s="42" t="n">
        <f aca="false">R110/$K$2</f>
        <v>265.124261014289</v>
      </c>
      <c r="T110" s="43" t="n">
        <f aca="false">S110-$M$2</f>
        <v>-24.1644654405887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-0.0546875</v>
      </c>
      <c r="C111" s="25" t="n">
        <f aca="false">IF(T110&gt;0,D110,C110)</f>
        <v>-0.03125</v>
      </c>
      <c r="D111" s="41" t="n">
        <f aca="false">(B111+C111)/2</f>
        <v>-0.04296875</v>
      </c>
      <c r="E111" s="15" t="n">
        <f aca="false">$C$2*(1+IF(E$3&lt;=$O$2,$D111,$D111-($D111-$I$103)*MIN(E$3-$O$2,$Q$2)/$Q$2))</f>
        <v>2373.4375</v>
      </c>
      <c r="F111" s="15" t="n">
        <f aca="false">E111*(1+IF(F$3&lt;=$O$2,$D111,$D111-($D111-$I$103)*MIN(F$3-$O$2,$Q$2)/$Q$2))</f>
        <v>2271.45385742188</v>
      </c>
      <c r="G111" s="15" t="n">
        <f aca="false">F111*(1+IF(G$3&lt;=$O$2,$D111,$D111-($D111-$I$103)*MIN(G$3-$O$2,$Q$2)/$Q$2))</f>
        <v>2173.85232448578</v>
      </c>
      <c r="H111" s="15" t="n">
        <f aca="false">G111*(1+IF(H$3&lt;=$O$2,$D111,$D111-($D111-$I$103)*MIN(H$3-$O$2,$Q$2)/$Q$2))</f>
        <v>2080.44460741803</v>
      </c>
      <c r="I111" s="15" t="n">
        <f aca="false">H111*(1+IF(I$3&lt;=$O$2,$D111,$D111-($D111-$I$103)*MIN(I$3-$O$2,$Q$2)/$Q$2))</f>
        <v>1991.05050319304</v>
      </c>
      <c r="J111" s="15" t="n">
        <f aca="false">I111*(1+IF(J$3&lt;=$O$2,$D111,$D111-($D111-$I$103)*MIN(J$3-$O$2,$Q$2)/$Q$2))</f>
        <v>1933.87748799385</v>
      </c>
      <c r="K111" s="15" t="n">
        <f aca="false">J111*(1+IF(K$3&lt;=$O$2,$D111,$D111-($D111-$I$103)*MIN(K$3-$O$2,$Q$2)/$Q$2))</f>
        <v>1905.9112021706</v>
      </c>
      <c r="L111" s="15" t="n">
        <f aca="false">K111*(1+IF(L$3&lt;=$O$2,$D111,$D111-($D111-$I$103)*MIN(L$3-$O$2,$Q$2)/$Q$2))</f>
        <v>1905.51572559615</v>
      </c>
      <c r="M111" s="15" t="n">
        <f aca="false">L111*(1+IF(M$3&lt;=$O$2,$D111,$D111-($D111-$I$103)*MIN(M$3-$O$2,$Q$2)/$Q$2))</f>
        <v>1932.2810758568</v>
      </c>
      <c r="N111" s="15" t="n">
        <f aca="false">M111*(1+IF(N$3&lt;=$O$2,$D111,$D111-($D111-$I$103)*MIN(N$3-$O$2,$Q$2)/$Q$2))</f>
        <v>1986.96463030355</v>
      </c>
      <c r="O111" s="15" t="n">
        <f aca="false">SUMPRODUCT(E111:N111,1/(1+$F$103)^$E$3:$N$3)*$E$2</f>
        <v>4367.97918285057</v>
      </c>
      <c r="P111" s="15" t="n">
        <f aca="false">N111*$E$2*(1+$I$103)/($F$103-$I$103)/(1+$F$103)^$N$3</f>
        <v>7141.76526747953</v>
      </c>
      <c r="Q111" s="15" t="n">
        <f aca="false">O111+P111</f>
        <v>11509.7444503301</v>
      </c>
      <c r="R111" s="15" t="n">
        <f aca="false">Q111-$G$2+$I$2</f>
        <v>10235.0744503301</v>
      </c>
      <c r="S111" s="42" t="n">
        <f aca="false">R111/$K$2</f>
        <v>287.744572682882</v>
      </c>
      <c r="T111" s="43" t="n">
        <f aca="false">S111-$M$2</f>
        <v>-1.54415377199592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-0.04296875</v>
      </c>
      <c r="C112" s="25" t="n">
        <f aca="false">IF(T111&gt;0,D111,C111)</f>
        <v>-0.03125</v>
      </c>
      <c r="D112" s="41" t="n">
        <f aca="false">(B112+C112)/2</f>
        <v>-0.037109375</v>
      </c>
      <c r="E112" s="15" t="n">
        <f aca="false">$C$2*(1+IF(E$3&lt;=$O$2,$D112,$D112-($D112-$I$103)*MIN(E$3-$O$2,$Q$2)/$Q$2))</f>
        <v>2387.96875</v>
      </c>
      <c r="F112" s="15" t="n">
        <f aca="false">E112*(1+IF(F$3&lt;=$O$2,$D112,$D112-($D112-$I$103)*MIN(F$3-$O$2,$Q$2)/$Q$2))</f>
        <v>2299.35272216797</v>
      </c>
      <c r="G112" s="15" t="n">
        <f aca="false">F112*(1+IF(G$3&lt;=$O$2,$D112,$D112-($D112-$I$103)*MIN(G$3-$O$2,$Q$2)/$Q$2))</f>
        <v>2214.02517974377</v>
      </c>
      <c r="H112" s="15" t="n">
        <f aca="false">G112*(1+IF(H$3&lt;=$O$2,$D112,$D112-($D112-$I$103)*MIN(H$3-$O$2,$Q$2)/$Q$2))</f>
        <v>2131.86408908921</v>
      </c>
      <c r="I112" s="15" t="n">
        <f aca="false">H112*(1+IF(I$3&lt;=$O$2,$D112,$D112-($D112-$I$103)*MIN(I$3-$O$2,$Q$2)/$Q$2))</f>
        <v>2052.75194515817</v>
      </c>
      <c r="J112" s="15" t="n">
        <f aca="false">I112*(1+IF(J$3&lt;=$O$2,$D112,$D112-($D112-$I$103)*MIN(J$3-$O$2,$Q$2)/$Q$2))</f>
        <v>2003.42944779588</v>
      </c>
      <c r="K112" s="15" t="n">
        <f aca="false">J112*(1+IF(K$3&lt;=$O$2,$D112,$D112-($D112-$I$103)*MIN(K$3-$O$2,$Q$2)/$Q$2))</f>
        <v>1981.50066034635</v>
      </c>
      <c r="L112" s="15" t="n">
        <f aca="false">K112*(1+IF(L$3&lt;=$O$2,$D112,$D112-($D112-$I$103)*MIN(L$3-$O$2,$Q$2)/$Q$2))</f>
        <v>1985.73364113201</v>
      </c>
      <c r="M112" s="15" t="n">
        <f aca="false">L112*(1+IF(M$3&lt;=$O$2,$D112,$D112-($D112-$I$103)*MIN(M$3-$O$2,$Q$2)/$Q$2))</f>
        <v>2015.95278389947</v>
      </c>
      <c r="N112" s="15" t="n">
        <f aca="false">M112*(1+IF(N$3&lt;=$O$2,$D112,$D112-($D112-$I$103)*MIN(N$3-$O$2,$Q$2)/$Q$2))</f>
        <v>2073.00424768382</v>
      </c>
      <c r="O112" s="15" t="n">
        <f aca="false">SUMPRODUCT(E112:N112,1/(1+$F$103)^$E$3:$N$3)*$E$2</f>
        <v>4482.21446082943</v>
      </c>
      <c r="P112" s="15" t="n">
        <f aca="false">N112*$E$2*(1+$I$103)/($F$103-$I$103)/(1+$F$103)^$N$3</f>
        <v>7451.01825651727</v>
      </c>
      <c r="Q112" s="15" t="n">
        <f aca="false">O112+P112</f>
        <v>11933.2327173467</v>
      </c>
      <c r="R112" s="15" t="n">
        <f aca="false">Q112-$G$2+$I$2</f>
        <v>10658.5627173467</v>
      </c>
      <c r="S112" s="42" t="n">
        <f aca="false">R112/$K$2</f>
        <v>299.65034347334</v>
      </c>
      <c r="T112" s="43" t="n">
        <f aca="false">S112-$M$2</f>
        <v>10.3616170184621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-0.04296875</v>
      </c>
      <c r="C113" s="25" t="n">
        <f aca="false">IF(T112&gt;0,D112,C112)</f>
        <v>-0.037109375</v>
      </c>
      <c r="D113" s="41" t="n">
        <f aca="false">(B113+C113)/2</f>
        <v>-0.0400390625</v>
      </c>
      <c r="E113" s="15" t="n">
        <f aca="false">$C$2*(1+IF(E$3&lt;=$O$2,$D113,$D113-($D113-$I$103)*MIN(E$3-$O$2,$Q$2)/$Q$2))</f>
        <v>2380.703125</v>
      </c>
      <c r="F113" s="15" t="n">
        <f aca="false">E113*(1+IF(F$3&lt;=$O$2,$D113,$D113-($D113-$I$103)*MIN(F$3-$O$2,$Q$2)/$Q$2))</f>
        <v>2285.38200378418</v>
      </c>
      <c r="G113" s="15" t="n">
        <f aca="false">F113*(1+IF(G$3&lt;=$O$2,$D113,$D113-($D113-$I$103)*MIN(G$3-$O$2,$Q$2)/$Q$2))</f>
        <v>2193.87745089829</v>
      </c>
      <c r="H113" s="15" t="n">
        <f aca="false">G113*(1+IF(H$3&lt;=$O$2,$D113,$D113-($D113-$I$103)*MIN(H$3-$O$2,$Q$2)/$Q$2))</f>
        <v>2106.03665452443</v>
      </c>
      <c r="I113" s="15" t="n">
        <f aca="false">H113*(1+IF(I$3&lt;=$O$2,$D113,$D113-($D113-$I$103)*MIN(I$3-$O$2,$Q$2)/$Q$2))</f>
        <v>2021.71292128664</v>
      </c>
      <c r="J113" s="15" t="n">
        <f aca="false">I113*(1+IF(J$3&lt;=$O$2,$D113,$D113-($D113-$I$103)*MIN(J$3-$O$2,$Q$2)/$Q$2))</f>
        <v>1968.39782441116</v>
      </c>
      <c r="K113" s="15" t="n">
        <f aca="false">J113*(1+IF(K$3&lt;=$O$2,$D113,$D113-($D113-$I$103)*MIN(K$3-$O$2,$Q$2)/$Q$2))</f>
        <v>1943.39240567361</v>
      </c>
      <c r="L113" s="15" t="n">
        <f aca="false">K113*(1+IF(L$3&lt;=$O$2,$D113,$D113-($D113-$I$103)*MIN(L$3-$O$2,$Q$2)/$Q$2))</f>
        <v>1945.26656472484</v>
      </c>
      <c r="M113" s="15" t="n">
        <f aca="false">L113*(1+IF(M$3&lt;=$O$2,$D113,$D113-($D113-$I$103)*MIN(M$3-$O$2,$Q$2)/$Q$2))</f>
        <v>1973.73006983737</v>
      </c>
      <c r="N113" s="15" t="n">
        <f aca="false">M113*(1+IF(N$3&lt;=$O$2,$D113,$D113-($D113-$I$103)*MIN(N$3-$O$2,$Q$2)/$Q$2))</f>
        <v>2029.58663081377</v>
      </c>
      <c r="O113" s="15" t="n">
        <f aca="false">SUMPRODUCT(E113:N113,1/(1+$F$103)^$E$3:$N$3)*$E$2</f>
        <v>4424.71606595362</v>
      </c>
      <c r="P113" s="15" t="n">
        <f aca="false">N113*$E$2*(1+$I$103)/($F$103-$I$103)/(1+$F$103)^$N$3</f>
        <v>7294.96191639415</v>
      </c>
      <c r="Q113" s="15" t="n">
        <f aca="false">O113+P113</f>
        <v>11719.6779823478</v>
      </c>
      <c r="R113" s="15" t="n">
        <f aca="false">Q113-$G$2+$I$2</f>
        <v>10445.0079823478</v>
      </c>
      <c r="S113" s="42" t="n">
        <f aca="false">R113/$K$2</f>
        <v>293.646555590322</v>
      </c>
      <c r="T113" s="43" t="n">
        <f aca="false">S113-$M$2</f>
        <v>4.35782913544455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-0.04296875</v>
      </c>
      <c r="C114" s="25" t="n">
        <f aca="false">IF(T113&gt;0,D113,C113)</f>
        <v>-0.0400390625</v>
      </c>
      <c r="D114" s="41" t="n">
        <f aca="false">(B114+C114)/2</f>
        <v>-0.04150390625</v>
      </c>
      <c r="E114" s="15" t="n">
        <f aca="false">$C$2*(1+IF(E$3&lt;=$O$2,$D114,$D114-($D114-$I$103)*MIN(E$3-$O$2,$Q$2)/$Q$2))</f>
        <v>2377.0703125</v>
      </c>
      <c r="F114" s="15" t="n">
        <f aca="false">E114*(1+IF(F$3&lt;=$O$2,$D114,$D114-($D114-$I$103)*MIN(F$3-$O$2,$Q$2)/$Q$2))</f>
        <v>2278.41260910034</v>
      </c>
      <c r="G114" s="15" t="n">
        <f aca="false">F114*(1+IF(G$3&lt;=$O$2,$D114,$D114-($D114-$I$103)*MIN(G$3-$O$2,$Q$2)/$Q$2))</f>
        <v>2183.84958577342</v>
      </c>
      <c r="H114" s="15" t="n">
        <f aca="false">G114*(1+IF(H$3&lt;=$O$2,$D114,$D114-($D114-$I$103)*MIN(H$3-$O$2,$Q$2)/$Q$2))</f>
        <v>2093.21129730138</v>
      </c>
      <c r="I114" s="15" t="n">
        <f aca="false">H114*(1+IF(I$3&lt;=$O$2,$D114,$D114-($D114-$I$103)*MIN(I$3-$O$2,$Q$2)/$Q$2))</f>
        <v>2006.33485185674</v>
      </c>
      <c r="J114" s="15" t="n">
        <f aca="false">I114*(1+IF(J$3&lt;=$O$2,$D114,$D114-($D114-$I$103)*MIN(J$3-$O$2,$Q$2)/$Q$2))</f>
        <v>1951.0741202402</v>
      </c>
      <c r="K114" s="15" t="n">
        <f aca="false">J114*(1+IF(K$3&lt;=$O$2,$D114,$D114-($D114-$I$103)*MIN(K$3-$O$2,$Q$2)/$Q$2))</f>
        <v>1924.57396085737</v>
      </c>
      <c r="L114" s="15" t="n">
        <f aca="false">K114*(1+IF(L$3&lt;=$O$2,$D114,$D114-($D114-$I$103)*MIN(L$3-$O$2,$Q$2)/$Q$2))</f>
        <v>1925.30229181568</v>
      </c>
      <c r="M114" s="15" t="n">
        <f aca="false">L114*(1+IF(M$3&lt;=$O$2,$D114,$D114-($D114-$I$103)*MIN(M$3-$O$2,$Q$2)/$Q$2))</f>
        <v>1952.9096225379</v>
      </c>
      <c r="N114" s="15" t="n">
        <f aca="false">M114*(1+IF(N$3&lt;=$O$2,$D114,$D114-($D114-$I$103)*MIN(N$3-$O$2,$Q$2)/$Q$2))</f>
        <v>2008.17696485572</v>
      </c>
      <c r="O114" s="15" t="n">
        <f aca="false">SUMPRODUCT(E114:N114,1/(1+$F$103)^$E$3:$N$3)*$E$2</f>
        <v>4396.25304073993</v>
      </c>
      <c r="P114" s="15" t="n">
        <f aca="false">N114*$E$2*(1+$I$103)/($F$103-$I$103)/(1+$F$103)^$N$3</f>
        <v>7218.00895689222</v>
      </c>
      <c r="Q114" s="15" t="n">
        <f aca="false">O114+P114</f>
        <v>11614.2619976321</v>
      </c>
      <c r="R114" s="15" t="n">
        <f aca="false">Q114-$G$2+$I$2</f>
        <v>10339.5919976321</v>
      </c>
      <c r="S114" s="42" t="n">
        <f aca="false">R114/$K$2</f>
        <v>290.682934991064</v>
      </c>
      <c r="T114" s="43" t="n">
        <f aca="false">S114-$M$2</f>
        <v>1.39420853618628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-0.04296875</v>
      </c>
      <c r="C115" s="25" t="n">
        <f aca="false">IF(T114&gt;0,D114,C114)</f>
        <v>-0.04150390625</v>
      </c>
      <c r="D115" s="41" t="n">
        <f aca="false">(B115+C115)/2</f>
        <v>-0.042236328125</v>
      </c>
      <c r="E115" s="15" t="n">
        <f aca="false">$C$2*(1+IF(E$3&lt;=$O$2,$D115,$D115-($D115-$I$103)*MIN(E$3-$O$2,$Q$2)/$Q$2))</f>
        <v>2375.25390625</v>
      </c>
      <c r="F115" s="15" t="n">
        <f aca="false">E115*(1+IF(F$3&lt;=$O$2,$D115,$D115-($D115-$I$103)*MIN(F$3-$O$2,$Q$2)/$Q$2))</f>
        <v>2274.93190288544</v>
      </c>
      <c r="G115" s="15" t="n">
        <f aca="false">F115*(1+IF(G$3&lt;=$O$2,$D115,$D115-($D115-$I$103)*MIN(G$3-$O$2,$Q$2)/$Q$2))</f>
        <v>2178.84713257314</v>
      </c>
      <c r="H115" s="15" t="n">
        <f aca="false">G115*(1+IF(H$3&lt;=$O$2,$D115,$D115-($D115-$I$103)*MIN(H$3-$O$2,$Q$2)/$Q$2))</f>
        <v>2086.82063014756</v>
      </c>
      <c r="I115" s="15" t="n">
        <f aca="false">H115*(1+IF(I$3&lt;=$O$2,$D115,$D115-($D115-$I$103)*MIN(I$3-$O$2,$Q$2)/$Q$2))</f>
        <v>1998.68098927463</v>
      </c>
      <c r="J115" s="15" t="n">
        <f aca="false">I115*(1+IF(J$3&lt;=$O$2,$D115,$D115-($D115-$I$103)*MIN(J$3-$O$2,$Q$2)/$Q$2))</f>
        <v>1942.45996680976</v>
      </c>
      <c r="K115" s="15" t="n">
        <f aca="false">J115*(1+IF(K$3&lt;=$O$2,$D115,$D115-($D115-$I$103)*MIN(K$3-$O$2,$Q$2)/$Q$2))</f>
        <v>1915.22318771734</v>
      </c>
      <c r="L115" s="15" t="n">
        <f aca="false">K115*(1+IF(L$3&lt;=$O$2,$D115,$D115-($D115-$I$103)*MIN(L$3-$O$2,$Q$2)/$Q$2))</f>
        <v>1915.38687944916</v>
      </c>
      <c r="M115" s="15" t="n">
        <f aca="false">L115*(1+IF(M$3&lt;=$O$2,$D115,$D115-($D115-$I$103)*MIN(M$3-$O$2,$Q$2)/$Q$2))</f>
        <v>1942.57145665454</v>
      </c>
      <c r="N115" s="15" t="n">
        <f aca="false">M115*(1+IF(N$3&lt;=$O$2,$D115,$D115-($D115-$I$103)*MIN(N$3-$O$2,$Q$2)/$Q$2))</f>
        <v>1997.54622887787</v>
      </c>
      <c r="O115" s="15" t="n">
        <f aca="false">SUMPRODUCT(E115:N115,1/(1+$F$103)^$E$3:$N$3)*$E$2</f>
        <v>4382.09254117456</v>
      </c>
      <c r="P115" s="15" t="n">
        <f aca="false">N115*$E$2*(1+$I$103)/($F$103-$I$103)/(1+$F$103)^$N$3</f>
        <v>7179.79880467487</v>
      </c>
      <c r="Q115" s="15" t="n">
        <f aca="false">O115+P115</f>
        <v>11561.8913458494</v>
      </c>
      <c r="R115" s="15" t="n">
        <f aca="false">Q115-$G$2+$I$2</f>
        <v>10287.2213458494</v>
      </c>
      <c r="S115" s="42" t="n">
        <f aca="false">R115/$K$2</f>
        <v>289.210608542295</v>
      </c>
      <c r="T115" s="43" t="n">
        <f aca="false">S115-$M$2</f>
        <v>-0.0781179125829681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-0.042236328125</v>
      </c>
      <c r="C116" s="25" t="n">
        <f aca="false">IF(T115&gt;0,D115,C115)</f>
        <v>-0.04150390625</v>
      </c>
      <c r="D116" s="41" t="n">
        <f aca="false">(B116+C116)/2</f>
        <v>-0.0418701171875</v>
      </c>
      <c r="E116" s="15" t="n">
        <f aca="false">$C$2*(1+IF(E$3&lt;=$O$2,$D116,$D116-($D116-$I$103)*MIN(E$3-$O$2,$Q$2)/$Q$2))</f>
        <v>2376.162109375</v>
      </c>
      <c r="F116" s="15" t="n">
        <f aca="false">E116*(1+IF(F$3&lt;=$O$2,$D116,$D116-($D116-$I$103)*MIN(F$3-$O$2,$Q$2)/$Q$2))</f>
        <v>2276.67192339897</v>
      </c>
      <c r="G116" s="15" t="n">
        <f aca="false">F116*(1+IF(G$3&lt;=$O$2,$D116,$D116-($D116-$I$103)*MIN(G$3-$O$2,$Q$2)/$Q$2))</f>
        <v>2181.34740316877</v>
      </c>
      <c r="H116" s="15" t="n">
        <f aca="false">G116*(1+IF(H$3&lt;=$O$2,$D116,$D116-($D116-$I$103)*MIN(H$3-$O$2,$Q$2)/$Q$2))</f>
        <v>2090.01413177144</v>
      </c>
      <c r="I116" s="15" t="n">
        <f aca="false">H116*(1+IF(I$3&lt;=$O$2,$D116,$D116-($D116-$I$103)*MIN(I$3-$O$2,$Q$2)/$Q$2))</f>
        <v>2002.50499515064</v>
      </c>
      <c r="J116" s="15" t="n">
        <f aca="false">I116*(1+IF(J$3&lt;=$O$2,$D116,$D116-($D116-$I$103)*MIN(J$3-$O$2,$Q$2)/$Q$2))</f>
        <v>1946.76307837078</v>
      </c>
      <c r="K116" s="15" t="n">
        <f aca="false">J116*(1+IF(K$3&lt;=$O$2,$D116,$D116-($D116-$I$103)*MIN(K$3-$O$2,$Q$2)/$Q$2))</f>
        <v>1919.89371748133</v>
      </c>
      <c r="L116" s="15" t="n">
        <f aca="false">K116*(1+IF(L$3&lt;=$O$2,$D116,$D116-($D116-$I$103)*MIN(L$3-$O$2,$Q$2)/$Q$2))</f>
        <v>1920.33904282877</v>
      </c>
      <c r="M116" s="15" t="n">
        <f aca="false">L116*(1+IF(M$3&lt;=$O$2,$D116,$D116-($D116-$I$103)*MIN(M$3-$O$2,$Q$2)/$Q$2))</f>
        <v>1947.73455460582</v>
      </c>
      <c r="N116" s="15" t="n">
        <f aca="false">M116*(1+IF(N$3&lt;=$O$2,$D116,$D116-($D116-$I$103)*MIN(N$3-$O$2,$Q$2)/$Q$2))</f>
        <v>2002.85544250116</v>
      </c>
      <c r="O116" s="15" t="n">
        <f aca="false">SUMPRODUCT(E116:N116,1/(1+$F$103)^$E$3:$N$3)*$E$2</f>
        <v>4389.16688890663</v>
      </c>
      <c r="P116" s="15" t="n">
        <f aca="false">N116*$E$2*(1+$I$103)/($F$103-$I$103)/(1+$F$103)^$N$3</f>
        <v>7198.88176009048</v>
      </c>
      <c r="Q116" s="15" t="n">
        <f aca="false">O116+P116</f>
        <v>11588.0486489971</v>
      </c>
      <c r="R116" s="15" t="n">
        <f aca="false">Q116-$G$2+$I$2</f>
        <v>10313.3786489971</v>
      </c>
      <c r="S116" s="42" t="n">
        <f aca="false">R116/$K$2</f>
        <v>289.945983947065</v>
      </c>
      <c r="T116" s="43" t="n">
        <f aca="false">S116-$M$2</f>
        <v>0.657257492187341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-0.042236328125</v>
      </c>
      <c r="C117" s="25" t="n">
        <f aca="false">IF(T116&gt;0,D116,C116)</f>
        <v>-0.0418701171875</v>
      </c>
      <c r="D117" s="41" t="n">
        <f aca="false">(B117+C117)/2</f>
        <v>-0.04205322265625</v>
      </c>
      <c r="E117" s="15" t="n">
        <f aca="false">$C$2*(1+IF(E$3&lt;=$O$2,$D117,$D117-($D117-$I$103)*MIN(E$3-$O$2,$Q$2)/$Q$2))</f>
        <v>2375.7080078125</v>
      </c>
      <c r="F117" s="15" t="n">
        <f aca="false">E117*(1+IF(F$3&lt;=$O$2,$D117,$D117-($D117-$I$103)*MIN(F$3-$O$2,$Q$2)/$Q$2))</f>
        <v>2275.80182999373</v>
      </c>
      <c r="G117" s="15" t="n">
        <f aca="false">F117*(1+IF(G$3&lt;=$O$2,$D117,$D117-($D117-$I$103)*MIN(G$3-$O$2,$Q$2)/$Q$2))</f>
        <v>2180.0970289155</v>
      </c>
      <c r="H117" s="15" t="n">
        <f aca="false">G117*(1+IF(H$3&lt;=$O$2,$D117,$D117-($D117-$I$103)*MIN(H$3-$O$2,$Q$2)/$Q$2))</f>
        <v>2088.41692314629</v>
      </c>
      <c r="I117" s="15" t="n">
        <f aca="false">H117*(1+IF(I$3&lt;=$O$2,$D117,$D117-($D117-$I$103)*MIN(I$3-$O$2,$Q$2)/$Q$2))</f>
        <v>2000.59226127813</v>
      </c>
      <c r="J117" s="15" t="n">
        <f aca="false">I117*(1+IF(J$3&lt;=$O$2,$D117,$D117-($D117-$I$103)*MIN(J$3-$O$2,$Q$2)/$Q$2))</f>
        <v>1944.61053203065</v>
      </c>
      <c r="K117" s="15" t="n">
        <f aca="false">J117*(1+IF(K$3&lt;=$O$2,$D117,$D117-($D117-$I$103)*MIN(K$3-$O$2,$Q$2)/$Q$2))</f>
        <v>1917.55723944333</v>
      </c>
      <c r="L117" s="15" t="n">
        <f aca="false">K117*(1+IF(L$3&lt;=$O$2,$D117,$D117-($D117-$I$103)*MIN(L$3-$O$2,$Q$2)/$Q$2))</f>
        <v>1917.86157675051</v>
      </c>
      <c r="M117" s="15" t="n">
        <f aca="false">L117*(1+IF(M$3&lt;=$O$2,$D117,$D117-($D117-$I$103)*MIN(M$3-$O$2,$Q$2)/$Q$2))</f>
        <v>1945.15151086595</v>
      </c>
      <c r="N117" s="15" t="n">
        <f aca="false">M117*(1+IF(N$3&lt;=$O$2,$D117,$D117-($D117-$I$103)*MIN(N$3-$O$2,$Q$2)/$Q$2))</f>
        <v>2000.19929862346</v>
      </c>
      <c r="O117" s="15" t="n">
        <f aca="false">SUMPRODUCT(E117:N117,1/(1+$F$103)^$E$3:$N$3)*$E$2</f>
        <v>4385.62824070339</v>
      </c>
      <c r="P117" s="15" t="n">
        <f aca="false">N117*$E$2*(1+$I$103)/($F$103-$I$103)/(1+$F$103)^$N$3</f>
        <v>7189.334757692</v>
      </c>
      <c r="Q117" s="15" t="n">
        <f aca="false">O117+P117</f>
        <v>11574.9629983954</v>
      </c>
      <c r="R117" s="15" t="n">
        <f aca="false">Q117-$G$2+$I$2</f>
        <v>10300.2929983954</v>
      </c>
      <c r="S117" s="42" t="n">
        <f aca="false">R117/$K$2</f>
        <v>289.578099476958</v>
      </c>
      <c r="T117" s="43" t="n">
        <f aca="false">S117-$M$2</f>
        <v>0.289373022080213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-0.042236328125</v>
      </c>
      <c r="C118" s="25" t="n">
        <f aca="false">IF(T117&gt;0,D117,C117)</f>
        <v>-0.04205322265625</v>
      </c>
      <c r="D118" s="41" t="n">
        <f aca="false">(B118+C118)/2</f>
        <v>-0.042144775390625</v>
      </c>
      <c r="E118" s="15" t="n">
        <f aca="false">$C$2*(1+IF(E$3&lt;=$O$2,$D118,$D118-($D118-$I$103)*MIN(E$3-$O$2,$Q$2)/$Q$2))</f>
        <v>2375.48095703125</v>
      </c>
      <c r="F118" s="15" t="n">
        <f aca="false">E118*(1+IF(F$3&lt;=$O$2,$D118,$D118-($D118-$I$103)*MIN(F$3-$O$2,$Q$2)/$Q$2))</f>
        <v>2275.36684565246</v>
      </c>
      <c r="G118" s="15" t="n">
        <f aca="false">F118*(1+IF(G$3&lt;=$O$2,$D118,$D118-($D118-$I$103)*MIN(G$3-$O$2,$Q$2)/$Q$2))</f>
        <v>2179.47202101116</v>
      </c>
      <c r="H118" s="15" t="n">
        <f aca="false">G118*(1+IF(H$3&lt;=$O$2,$D118,$D118-($D118-$I$103)*MIN(H$3-$O$2,$Q$2)/$Q$2))</f>
        <v>2087.6186622155</v>
      </c>
      <c r="I118" s="15" t="n">
        <f aca="false">H118*(1+IF(I$3&lt;=$O$2,$D118,$D118-($D118-$I$103)*MIN(I$3-$O$2,$Q$2)/$Q$2))</f>
        <v>1999.63644259515</v>
      </c>
      <c r="J118" s="15" t="n">
        <f aca="false">I118*(1+IF(J$3&lt;=$O$2,$D118,$D118-($D118-$I$103)*MIN(J$3-$O$2,$Q$2)/$Q$2))</f>
        <v>1943.53500187137</v>
      </c>
      <c r="K118" s="15" t="n">
        <f aca="false">J118*(1+IF(K$3&lt;=$O$2,$D118,$D118-($D118-$I$103)*MIN(K$3-$O$2,$Q$2)/$Q$2))</f>
        <v>1916.38991042194</v>
      </c>
      <c r="L118" s="15" t="n">
        <f aca="false">K118*(1+IF(L$3&lt;=$O$2,$D118,$D118-($D118-$I$103)*MIN(L$3-$O$2,$Q$2)/$Q$2))</f>
        <v>1916.62388216667</v>
      </c>
      <c r="M118" s="15" t="n">
        <f aca="false">L118*(1+IF(M$3&lt;=$O$2,$D118,$D118-($D118-$I$103)*MIN(M$3-$O$2,$Q$2)/$Q$2))</f>
        <v>1943.86111025448</v>
      </c>
      <c r="N118" s="15" t="n">
        <f aca="false">M118*(1+IF(N$3&lt;=$O$2,$D118,$D118-($D118-$I$103)*MIN(N$3-$O$2,$Q$2)/$Q$2))</f>
        <v>1998.87237967468</v>
      </c>
      <c r="O118" s="15" t="n">
        <f aca="false">SUMPRODUCT(E118:N118,1/(1+$F$103)^$E$3:$N$3)*$E$2</f>
        <v>4383.86002250152</v>
      </c>
      <c r="P118" s="15" t="n">
        <f aca="false">N118*$E$2*(1+$I$103)/($F$103-$I$103)/(1+$F$103)^$N$3</f>
        <v>7184.56540069559</v>
      </c>
      <c r="Q118" s="15" t="n">
        <f aca="false">O118+P118</f>
        <v>11568.4254231971</v>
      </c>
      <c r="R118" s="15" t="n">
        <f aca="false">Q118-$G$2+$I$2</f>
        <v>10293.7554231971</v>
      </c>
      <c r="S118" s="42" t="n">
        <f aca="false">R118/$K$2</f>
        <v>289.394304841077</v>
      </c>
      <c r="T118" s="43" t="n">
        <f aca="false">S118-$M$2</f>
        <v>0.10557838619934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-0.042236328125</v>
      </c>
      <c r="C119" s="25" t="n">
        <f aca="false">IF(T118&gt;0,D118,C118)</f>
        <v>-0.042144775390625</v>
      </c>
      <c r="D119" s="41" t="n">
        <f aca="false">(B119+C119)/2</f>
        <v>-0.0421905517578125</v>
      </c>
      <c r="E119" s="15" t="n">
        <f aca="false">$C$2*(1+IF(E$3&lt;=$O$2,$D119,$D119-($D119-$I$103)*MIN(E$3-$O$2,$Q$2)/$Q$2))</f>
        <v>2375.36743164063</v>
      </c>
      <c r="F119" s="15" t="n">
        <f aca="false">E119*(1+IF(F$3&lt;=$O$2,$D119,$D119-($D119-$I$103)*MIN(F$3-$O$2,$Q$2)/$Q$2))</f>
        <v>2275.14936907217</v>
      </c>
      <c r="G119" s="15" t="n">
        <f aca="false">F119*(1+IF(G$3&lt;=$O$2,$D119,$D119-($D119-$I$103)*MIN(G$3-$O$2,$Q$2)/$Q$2))</f>
        <v>2179.15956185958</v>
      </c>
      <c r="H119" s="15" t="n">
        <f aca="false">G119*(1+IF(H$3&lt;=$O$2,$D119,$D119-($D119-$I$103)*MIN(H$3-$O$2,$Q$2)/$Q$2))</f>
        <v>2087.21961757641</v>
      </c>
      <c r="I119" s="15" t="n">
        <f aca="false">H119*(1+IF(I$3&lt;=$O$2,$D119,$D119-($D119-$I$103)*MIN(I$3-$O$2,$Q$2)/$Q$2))</f>
        <v>1999.15867027113</v>
      </c>
      <c r="J119" s="15" t="n">
        <f aca="false">I119*(1+IF(J$3&lt;=$O$2,$D119,$D119-($D119-$I$103)*MIN(J$3-$O$2,$Q$2)/$Q$2))</f>
        <v>1942.99742246474</v>
      </c>
      <c r="K119" s="15" t="n">
        <f aca="false">J119*(1+IF(K$3&lt;=$O$2,$D119,$D119-($D119-$I$103)*MIN(K$3-$O$2,$Q$2)/$Q$2))</f>
        <v>1915.80647329636</v>
      </c>
      <c r="L119" s="15" t="n">
        <f aca="false">K119*(1+IF(L$3&lt;=$O$2,$D119,$D119-($D119-$I$103)*MIN(L$3-$O$2,$Q$2)/$Q$2))</f>
        <v>1916.00529434511</v>
      </c>
      <c r="M119" s="15" t="n">
        <f aca="false">L119*(1+IF(M$3&lt;=$O$2,$D119,$D119-($D119-$I$103)*MIN(M$3-$O$2,$Q$2)/$Q$2))</f>
        <v>1943.21619010122</v>
      </c>
      <c r="N119" s="15" t="n">
        <f aca="false">M119*(1+IF(N$3&lt;=$O$2,$D119,$D119-($D119-$I$103)*MIN(N$3-$O$2,$Q$2)/$Q$2))</f>
        <v>1998.20920828109</v>
      </c>
      <c r="O119" s="15" t="n">
        <f aca="false">SUMPRODUCT(E119:N119,1/(1+$F$103)^$E$3:$N$3)*$E$2</f>
        <v>4382.97618974702</v>
      </c>
      <c r="P119" s="15" t="n">
        <f aca="false">N119*$E$2*(1+$I$103)/($F$103-$I$103)/(1+$F$103)^$N$3</f>
        <v>7182.18175764884</v>
      </c>
      <c r="Q119" s="15" t="n">
        <f aca="false">O119+P119</f>
        <v>11565.1579473959</v>
      </c>
      <c r="R119" s="15" t="n">
        <f aca="false">Q119-$G$2+$I$2</f>
        <v>10290.4879473959</v>
      </c>
      <c r="S119" s="42" t="n">
        <f aca="false">R119/$K$2</f>
        <v>289.30244440247</v>
      </c>
      <c r="T119" s="43" t="n">
        <f aca="false">S119-$M$2</f>
        <v>0.0137179475925109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-0.042236328125</v>
      </c>
      <c r="C120" s="25" t="n">
        <f aca="false">IF(T119&gt;0,D119,C119)</f>
        <v>-0.0421905517578125</v>
      </c>
      <c r="D120" s="41" t="n">
        <f aca="false">(B120+C120)/2</f>
        <v>-0.0422134399414063</v>
      </c>
      <c r="E120" s="15" t="n">
        <f aca="false">$C$2*(1+IF(E$3&lt;=$O$2,$D120,$D120-($D120-$I$103)*MIN(E$3-$O$2,$Q$2)/$Q$2))</f>
        <v>2375.31066894531</v>
      </c>
      <c r="F120" s="15" t="n">
        <f aca="false">E120*(1+IF(F$3&lt;=$O$2,$D120,$D120-($D120-$I$103)*MIN(F$3-$O$2,$Q$2)/$Q$2))</f>
        <v>2275.04063467961</v>
      </c>
      <c r="G120" s="15" t="n">
        <f aca="false">F120*(1+IF(G$3&lt;=$O$2,$D120,$D120-($D120-$I$103)*MIN(G$3-$O$2,$Q$2)/$Q$2))</f>
        <v>2179.0033434833</v>
      </c>
      <c r="H120" s="15" t="n">
        <f aca="false">G120*(1+IF(H$3&lt;=$O$2,$D120,$D120-($D120-$I$103)*MIN(H$3-$O$2,$Q$2)/$Q$2))</f>
        <v>2087.02011671105</v>
      </c>
      <c r="I120" s="15" t="n">
        <f aca="false">H120*(1+IF(I$3&lt;=$O$2,$D120,$D120-($D120-$I$103)*MIN(I$3-$O$2,$Q$2)/$Q$2))</f>
        <v>1998.91981835776</v>
      </c>
      <c r="J120" s="15" t="n">
        <f aca="false">I120*(1+IF(J$3&lt;=$O$2,$D120,$D120-($D120-$I$103)*MIN(J$3-$O$2,$Q$2)/$Q$2))</f>
        <v>1942.72867916972</v>
      </c>
      <c r="K120" s="15" t="n">
        <f aca="false">J120*(1+IF(K$3&lt;=$O$2,$D120,$D120-($D120-$I$103)*MIN(K$3-$O$2,$Q$2)/$Q$2))</f>
        <v>1915.51481156557</v>
      </c>
      <c r="L120" s="15" t="n">
        <f aca="false">K120*(1+IF(L$3&lt;=$O$2,$D120,$D120-($D120-$I$103)*MIN(L$3-$O$2,$Q$2)/$Q$2))</f>
        <v>1915.696065284</v>
      </c>
      <c r="M120" s="15" t="n">
        <f aca="false">L120*(1+IF(M$3&lt;=$O$2,$D120,$D120-($D120-$I$103)*MIN(M$3-$O$2,$Q$2)/$Q$2))</f>
        <v>1942.89380004245</v>
      </c>
      <c r="N120" s="15" t="n">
        <f aca="false">M120*(1+IF(N$3&lt;=$O$2,$D120,$D120-($D120-$I$103)*MIN(N$3-$O$2,$Q$2)/$Q$2))</f>
        <v>1997.87769458366</v>
      </c>
      <c r="O120" s="15" t="n">
        <f aca="false">SUMPRODUCT(E120:N120,1/(1+$F$103)^$E$3:$N$3)*$E$2</f>
        <v>4382.53434244033</v>
      </c>
      <c r="P120" s="15" t="n">
        <f aca="false">N120*$E$2*(1+$I$103)/($F$103-$I$103)/(1+$F$103)^$N$3</f>
        <v>7180.99019491345</v>
      </c>
      <c r="Q120" s="15" t="n">
        <f aca="false">O120+P120</f>
        <v>11563.5245373538</v>
      </c>
      <c r="R120" s="15" t="n">
        <f aca="false">Q120-$G$2+$I$2</f>
        <v>10288.8545373538</v>
      </c>
      <c r="S120" s="42" t="n">
        <f aca="false">R120/$K$2</f>
        <v>289.256523400444</v>
      </c>
      <c r="T120" s="43" t="n">
        <f aca="false">S120-$M$2</f>
        <v>-0.032203054434035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-0.0422134399414063</v>
      </c>
      <c r="C121" s="25" t="n">
        <f aca="false">IF(T120&gt;0,D120,C120)</f>
        <v>-0.0421905517578125</v>
      </c>
      <c r="D121" s="41" t="n">
        <f aca="false">(B121+C121)/2</f>
        <v>-0.0422019958496094</v>
      </c>
      <c r="E121" s="15" t="n">
        <f aca="false">$C$2*(1+IF(E$3&lt;=$O$2,$D121,$D121-($D121-$I$103)*MIN(E$3-$O$2,$Q$2)/$Q$2))</f>
        <v>2375.33905029297</v>
      </c>
      <c r="F121" s="15" t="n">
        <f aca="false">E121*(1+IF(F$3&lt;=$O$2,$D121,$D121-($D121-$I$103)*MIN(F$3-$O$2,$Q$2)/$Q$2))</f>
        <v>2275.09500155109</v>
      </c>
      <c r="G121" s="15" t="n">
        <f aca="false">F121*(1+IF(G$3&lt;=$O$2,$D121,$D121-($D121-$I$103)*MIN(G$3-$O$2,$Q$2)/$Q$2))</f>
        <v>2179.08145173816</v>
      </c>
      <c r="H121" s="15" t="n">
        <f aca="false">G121*(1+IF(H$3&lt;=$O$2,$D121,$D121-($D121-$I$103)*MIN(H$3-$O$2,$Q$2)/$Q$2))</f>
        <v>2087.11986535595</v>
      </c>
      <c r="I121" s="15" t="n">
        <f aca="false">H121*(1+IF(I$3&lt;=$O$2,$D121,$D121-($D121-$I$103)*MIN(I$3-$O$2,$Q$2)/$Q$2))</f>
        <v>1999.03924146056</v>
      </c>
      <c r="J121" s="15" t="n">
        <f aca="false">I121*(1+IF(J$3&lt;=$O$2,$D121,$D121-($D121-$I$103)*MIN(J$3-$O$2,$Q$2)/$Q$2))</f>
        <v>1942.86304695017</v>
      </c>
      <c r="K121" s="15" t="n">
        <f aca="false">J121*(1+IF(K$3&lt;=$O$2,$D121,$D121-($D121-$I$103)*MIN(K$3-$O$2,$Q$2)/$Q$2))</f>
        <v>1915.66063769539</v>
      </c>
      <c r="L121" s="15" t="n">
        <f aca="false">K121*(1+IF(L$3&lt;=$O$2,$D121,$D121-($D121-$I$103)*MIN(L$3-$O$2,$Q$2)/$Q$2))</f>
        <v>1915.85067441095</v>
      </c>
      <c r="M121" s="15" t="n">
        <f aca="false">L121*(1+IF(M$3&lt;=$O$2,$D121,$D121-($D121-$I$103)*MIN(M$3-$O$2,$Q$2)/$Q$2))</f>
        <v>1943.05498923762</v>
      </c>
      <c r="N121" s="15" t="n">
        <f aca="false">M121*(1+IF(N$3&lt;=$O$2,$D121,$D121-($D121-$I$103)*MIN(N$3-$O$2,$Q$2)/$Q$2))</f>
        <v>1998.04344543304</v>
      </c>
      <c r="O121" s="15" t="n">
        <f aca="false">SUMPRODUCT(E121:N121,1/(1+$F$103)^$E$3:$N$3)*$E$2</f>
        <v>4382.75526033827</v>
      </c>
      <c r="P121" s="15" t="n">
        <f aca="false">N121*$E$2*(1+$I$103)/($F$103-$I$103)/(1+$F$103)^$N$3</f>
        <v>7181.58595471771</v>
      </c>
      <c r="Q121" s="15" t="n">
        <f aca="false">O121+P121</f>
        <v>11564.341215056</v>
      </c>
      <c r="R121" s="15" t="n">
        <f aca="false">Q121-$G$2+$I$2</f>
        <v>10289.671215056</v>
      </c>
      <c r="S121" s="42" t="n">
        <f aca="false">R121/$K$2</f>
        <v>289.279483133427</v>
      </c>
      <c r="T121" s="43" t="n">
        <f aca="false">S121-$M$2</f>
        <v>-0.0092433214510379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-0.0422019958496094</v>
      </c>
      <c r="C122" s="25" t="n">
        <f aca="false">IF(T121&gt;0,D121,C121)</f>
        <v>-0.0421905517578125</v>
      </c>
      <c r="D122" s="41" t="n">
        <f aca="false">(B122+C122)/2</f>
        <v>-0.0421962738037109</v>
      </c>
      <c r="E122" s="15" t="n">
        <f aca="false">$C$2*(1+IF(E$3&lt;=$O$2,$D122,$D122-($D122-$I$103)*MIN(E$3-$O$2,$Q$2)/$Q$2))</f>
        <v>2375.3532409668</v>
      </c>
      <c r="F122" s="15" t="n">
        <f aca="false">E122*(1+IF(F$3&lt;=$O$2,$D122,$D122-($D122-$I$103)*MIN(F$3-$O$2,$Q$2)/$Q$2))</f>
        <v>2275.12218523043</v>
      </c>
      <c r="G122" s="15" t="n">
        <f aca="false">F122*(1+IF(G$3&lt;=$O$2,$D122,$D122-($D122-$I$103)*MIN(G$3-$O$2,$Q$2)/$Q$2))</f>
        <v>2179.12050656555</v>
      </c>
      <c r="H122" s="15" t="n">
        <f aca="false">G122*(1+IF(H$3&lt;=$O$2,$D122,$D122-($D122-$I$103)*MIN(H$3-$O$2,$Q$2)/$Q$2))</f>
        <v>2087.16974101923</v>
      </c>
      <c r="I122" s="15" t="n">
        <f aca="false">H122*(1+IF(I$3&lt;=$O$2,$D122,$D122-($D122-$I$103)*MIN(I$3-$O$2,$Q$2)/$Q$2))</f>
        <v>1999.09895515236</v>
      </c>
      <c r="J122" s="15" t="n">
        <f aca="false">I122*(1+IF(J$3&lt;=$O$2,$D122,$D122-($D122-$I$103)*MIN(J$3-$O$2,$Q$2)/$Q$2))</f>
        <v>1942.93023374067</v>
      </c>
      <c r="K122" s="15" t="n">
        <f aca="false">J122*(1+IF(K$3&lt;=$O$2,$D122,$D122-($D122-$I$103)*MIN(K$3-$O$2,$Q$2)/$Q$2))</f>
        <v>1915.73355431195</v>
      </c>
      <c r="L122" s="15" t="n">
        <f aca="false">K122*(1+IF(L$3&lt;=$O$2,$D122,$D122-($D122-$I$103)*MIN(L$3-$O$2,$Q$2)/$Q$2))</f>
        <v>1915.92798302709</v>
      </c>
      <c r="M122" s="15" t="n">
        <f aca="false">L122*(1+IF(M$3&lt;=$O$2,$D122,$D122-($D122-$I$103)*MIN(M$3-$O$2,$Q$2)/$Q$2))</f>
        <v>1943.13558821082</v>
      </c>
      <c r="N122" s="15" t="n">
        <f aca="false">M122*(1+IF(N$3&lt;=$O$2,$D122,$D122-($D122-$I$103)*MIN(N$3-$O$2,$Q$2)/$Q$2))</f>
        <v>1998.12632535719</v>
      </c>
      <c r="O122" s="15" t="n">
        <f aca="false">SUMPRODUCT(E122:N122,1/(1+$F$103)^$E$3:$N$3)*$E$2</f>
        <v>4382.86572360376</v>
      </c>
      <c r="P122" s="15" t="n">
        <f aca="false">N122*$E$2*(1+$I$103)/($F$103-$I$103)/(1+$F$103)^$N$3</f>
        <v>7181.88385079225</v>
      </c>
      <c r="Q122" s="15" t="n">
        <f aca="false">O122+P122</f>
        <v>11564.749574396</v>
      </c>
      <c r="R122" s="15" t="n">
        <f aca="false">Q122-$G$2+$I$2</f>
        <v>10290.079574396</v>
      </c>
      <c r="S122" s="42" t="n">
        <f aca="false">R122/$K$2</f>
        <v>289.290963575935</v>
      </c>
      <c r="T122" s="43" t="n">
        <f aca="false">S122-$M$2</f>
        <v>0.00223712105741924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-0.0422019958496094</v>
      </c>
      <c r="C123" s="25" t="n">
        <f aca="false">IF(T122&gt;0,D122,C122)</f>
        <v>-0.0421962738037109</v>
      </c>
      <c r="D123" s="41" t="n">
        <f aca="false">(B123+C123)/2</f>
        <v>-0.0421991348266602</v>
      </c>
      <c r="E123" s="15" t="n">
        <f aca="false">$C$2*(1+IF(E$3&lt;=$O$2,$D123,$D123-($D123-$I$103)*MIN(E$3-$O$2,$Q$2)/$Q$2))</f>
        <v>2375.34614562988</v>
      </c>
      <c r="F123" s="15" t="n">
        <f aca="false">E123*(1+IF(F$3&lt;=$O$2,$D123,$D123-($D123-$I$103)*MIN(F$3-$O$2,$Q$2)/$Q$2))</f>
        <v>2275.10859337046</v>
      </c>
      <c r="G123" s="15" t="n">
        <f aca="false">F123*(1+IF(G$3&lt;=$O$2,$D123,$D123-($D123-$I$103)*MIN(G$3-$O$2,$Q$2)/$Q$2))</f>
        <v>2179.10097909353</v>
      </c>
      <c r="H123" s="15" t="n">
        <f aca="false">G123*(1+IF(H$3&lt;=$O$2,$D123,$D123-($D123-$I$103)*MIN(H$3-$O$2,$Q$2)/$Q$2))</f>
        <v>2087.14480307585</v>
      </c>
      <c r="I123" s="15" t="n">
        <f aca="false">H123*(1+IF(I$3&lt;=$O$2,$D123,$D123-($D123-$I$103)*MIN(I$3-$O$2,$Q$2)/$Q$2))</f>
        <v>1999.06909812809</v>
      </c>
      <c r="J123" s="15" t="n">
        <f aca="false">I123*(1+IF(J$3&lt;=$O$2,$D123,$D123-($D123-$I$103)*MIN(J$3-$O$2,$Q$2)/$Q$2))</f>
        <v>1942.89664010372</v>
      </c>
      <c r="K123" s="15" t="n">
        <f aca="false">J123*(1+IF(K$3&lt;=$O$2,$D123,$D123-($D123-$I$103)*MIN(K$3-$O$2,$Q$2)/$Q$2))</f>
        <v>1915.6970957077</v>
      </c>
      <c r="L123" s="15" t="n">
        <f aca="false">K123*(1+IF(L$3&lt;=$O$2,$D123,$D123-($D123-$I$103)*MIN(L$3-$O$2,$Q$2)/$Q$2))</f>
        <v>1915.88932838129</v>
      </c>
      <c r="M123" s="15" t="n">
        <f aca="false">L123*(1+IF(M$3&lt;=$O$2,$D123,$D123-($D123-$I$103)*MIN(M$3-$O$2,$Q$2)/$Q$2))</f>
        <v>1943.09528835958</v>
      </c>
      <c r="N123" s="15" t="n">
        <f aca="false">M123*(1+IF(N$3&lt;=$O$2,$D123,$D123-($D123-$I$103)*MIN(N$3-$O$2,$Q$2)/$Q$2))</f>
        <v>1998.08488502015</v>
      </c>
      <c r="O123" s="15" t="n">
        <f aca="false">SUMPRODUCT(E123:N123,1/(1+$F$103)^$E$3:$N$3)*$E$2</f>
        <v>4382.8104916113</v>
      </c>
      <c r="P123" s="15" t="n">
        <f aca="false">N123*$E$2*(1+$I$103)/($F$103-$I$103)/(1+$F$103)^$N$3</f>
        <v>7181.73490140725</v>
      </c>
      <c r="Q123" s="15" t="n">
        <f aca="false">O123+P123</f>
        <v>11564.5453930185</v>
      </c>
      <c r="R123" s="15" t="n">
        <f aca="false">Q123-$G$2+$I$2</f>
        <v>10289.8753930185</v>
      </c>
      <c r="S123" s="42" t="n">
        <f aca="false">R123/$K$2</f>
        <v>289.285223306678</v>
      </c>
      <c r="T123" s="43" t="n">
        <f aca="false">S123-$M$2</f>
        <v>-0.00350314819939968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-0.0421991348266602</v>
      </c>
      <c r="C124" s="25" t="n">
        <f aca="false">IF(T123&gt;0,D123,C123)</f>
        <v>-0.0421962738037109</v>
      </c>
      <c r="D124" s="41" t="n">
        <f aca="false">(B124+C124)/2</f>
        <v>-0.0421977043151856</v>
      </c>
      <c r="E124" s="15" t="n">
        <f aca="false">$C$2*(1+IF(E$3&lt;=$O$2,$D124,$D124-($D124-$I$103)*MIN(E$3-$O$2,$Q$2)/$Q$2))</f>
        <v>2375.34969329834</v>
      </c>
      <c r="F124" s="15" t="n">
        <f aca="false">E124*(1+IF(F$3&lt;=$O$2,$D124,$D124-($D124-$I$103)*MIN(F$3-$O$2,$Q$2)/$Q$2))</f>
        <v>2275.11538929537</v>
      </c>
      <c r="G124" s="15" t="n">
        <f aca="false">F124*(1+IF(G$3&lt;=$O$2,$D124,$D124-($D124-$I$103)*MIN(G$3-$O$2,$Q$2)/$Q$2))</f>
        <v>2179.11074281496</v>
      </c>
      <c r="H124" s="15" t="n">
        <f aca="false">G124*(1+IF(H$3&lt;=$O$2,$D124,$D124-($D124-$I$103)*MIN(H$3-$O$2,$Q$2)/$Q$2))</f>
        <v>2087.15727201961</v>
      </c>
      <c r="I124" s="15" t="n">
        <f aca="false">H124*(1+IF(I$3&lt;=$O$2,$D124,$D124-($D124-$I$103)*MIN(I$3-$O$2,$Q$2)/$Q$2))</f>
        <v>1999.08402659563</v>
      </c>
      <c r="J124" s="15" t="n">
        <f aca="false">I124*(1+IF(J$3&lt;=$O$2,$D124,$D124-($D124-$I$103)*MIN(J$3-$O$2,$Q$2)/$Q$2))</f>
        <v>1942.91343686177</v>
      </c>
      <c r="K124" s="15" t="n">
        <f aca="false">J124*(1+IF(K$3&lt;=$O$2,$D124,$D124-($D124-$I$103)*MIN(K$3-$O$2,$Q$2)/$Q$2))</f>
        <v>1915.71532493583</v>
      </c>
      <c r="L124" s="15" t="n">
        <f aca="false">K124*(1+IF(L$3&lt;=$O$2,$D124,$D124-($D124-$I$103)*MIN(L$3-$O$2,$Q$2)/$Q$2))</f>
        <v>1915.90865561975</v>
      </c>
      <c r="M124" s="15" t="n">
        <f aca="false">L124*(1+IF(M$3&lt;=$O$2,$D124,$D124-($D124-$I$103)*MIN(M$3-$O$2,$Q$2)/$Q$2))</f>
        <v>1943.11543819404</v>
      </c>
      <c r="N124" s="15" t="n">
        <f aca="false">M124*(1+IF(N$3&lt;=$O$2,$D124,$D124-($D124-$I$103)*MIN(N$3-$O$2,$Q$2)/$Q$2))</f>
        <v>1998.10560509493</v>
      </c>
      <c r="O124" s="15" t="n">
        <f aca="false">SUMPRODUCT(E124:N124,1/(1+$F$103)^$E$3:$N$3)*$E$2</f>
        <v>4382.8381075176</v>
      </c>
      <c r="P124" s="15" t="n">
        <f aca="false">N124*$E$2*(1+$I$103)/($F$103-$I$103)/(1+$F$103)^$N$3</f>
        <v>7181.80937576281</v>
      </c>
      <c r="Q124" s="15" t="n">
        <f aca="false">O124+P124</f>
        <v>11564.6474832804</v>
      </c>
      <c r="R124" s="15" t="n">
        <f aca="false">Q124-$G$2+$I$2</f>
        <v>10289.9774832804</v>
      </c>
      <c r="S124" s="42" t="n">
        <f aca="false">R124/$K$2</f>
        <v>289.288093429306</v>
      </c>
      <c r="T124" s="43" t="n">
        <f aca="false">S124-$M$2</f>
        <v>-0.000633025571744383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-0.0421977043151856</v>
      </c>
      <c r="C125" s="25" t="n">
        <f aca="false">IF(T124&gt;0,D124,C124)</f>
        <v>-0.0421962738037109</v>
      </c>
      <c r="D125" s="41" t="n">
        <f aca="false">(B125+C125)/2</f>
        <v>-0.0421969890594482</v>
      </c>
      <c r="E125" s="15" t="n">
        <f aca="false">$C$2*(1+IF(E$3&lt;=$O$2,$D125,$D125-($D125-$I$103)*MIN(E$3-$O$2,$Q$2)/$Q$2))</f>
        <v>2375.35146713257</v>
      </c>
      <c r="F125" s="15" t="n">
        <f aca="false">E125*(1+IF(F$3&lt;=$O$2,$D125,$D125-($D125-$I$103)*MIN(F$3-$O$2,$Q$2)/$Q$2))</f>
        <v>2275.11878726163</v>
      </c>
      <c r="G125" s="15" t="n">
        <f aca="false">F125*(1+IF(G$3&lt;=$O$2,$D125,$D125-($D125-$I$103)*MIN(G$3-$O$2,$Q$2)/$Q$2))</f>
        <v>2179.11562468661</v>
      </c>
      <c r="H125" s="15" t="n">
        <f aca="false">G125*(1+IF(H$3&lt;=$O$2,$D125,$D125-($D125-$I$103)*MIN(H$3-$O$2,$Q$2)/$Q$2))</f>
        <v>2087.16350651243</v>
      </c>
      <c r="I125" s="15" t="n">
        <f aca="false">H125*(1+IF(I$3&lt;=$O$2,$D125,$D125-($D125-$I$103)*MIN(I$3-$O$2,$Q$2)/$Q$2))</f>
        <v>1999.09149086285</v>
      </c>
      <c r="J125" s="15" t="n">
        <f aca="false">I125*(1+IF(J$3&lt;=$O$2,$D125,$D125-($D125-$I$103)*MIN(J$3-$O$2,$Q$2)/$Q$2))</f>
        <v>1942.92183528611</v>
      </c>
      <c r="K125" s="15" t="n">
        <f aca="false">J125*(1+IF(K$3&lt;=$O$2,$D125,$D125-($D125-$I$103)*MIN(K$3-$O$2,$Q$2)/$Q$2))</f>
        <v>1915.72443960539</v>
      </c>
      <c r="L125" s="15" t="n">
        <f aca="false">K125*(1+IF(L$3&lt;=$O$2,$D125,$D125-($D125-$I$103)*MIN(L$3-$O$2,$Q$2)/$Q$2))</f>
        <v>1915.91831930231</v>
      </c>
      <c r="M125" s="15" t="n">
        <f aca="false">L125*(1+IF(M$3&lt;=$O$2,$D125,$D125-($D125-$I$103)*MIN(M$3-$O$2,$Q$2)/$Q$2))</f>
        <v>1943.12551317964</v>
      </c>
      <c r="N125" s="15" t="n">
        <f aca="false">M125*(1+IF(N$3&lt;=$O$2,$D125,$D125-($D125-$I$103)*MIN(N$3-$O$2,$Q$2)/$Q$2))</f>
        <v>1998.11596520262</v>
      </c>
      <c r="O125" s="15" t="n">
        <f aca="false">SUMPRODUCT(E125:N125,1/(1+$F$103)^$E$3:$N$3)*$E$2</f>
        <v>4382.8519155382</v>
      </c>
      <c r="P125" s="15" t="n">
        <f aca="false">N125*$E$2*(1+$I$103)/($F$103-$I$103)/(1+$F$103)^$N$3</f>
        <v>7181.84661319329</v>
      </c>
      <c r="Q125" s="15" t="n">
        <f aca="false">O125+P125</f>
        <v>11564.6985287315</v>
      </c>
      <c r="R125" s="15" t="n">
        <f aca="false">Q125-$G$2+$I$2</f>
        <v>10290.0285287315</v>
      </c>
      <c r="S125" s="42" t="n">
        <f aca="false">R125/$K$2</f>
        <v>289.28952849962</v>
      </c>
      <c r="T125" s="43" t="n">
        <f aca="false">S125-$M$2</f>
        <v>0.000802044742499675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-0.0421977043151856</v>
      </c>
      <c r="C126" s="25" t="n">
        <f aca="false">IF(T125&gt;0,D125,C125)</f>
        <v>-0.0421969890594482</v>
      </c>
      <c r="D126" s="41" t="n">
        <f aca="false">(B126+C126)/2</f>
        <v>-0.0421973466873169</v>
      </c>
      <c r="E126" s="15" t="n">
        <f aca="false">$C$2*(1+IF(E$3&lt;=$O$2,$D126,$D126-($D126-$I$103)*MIN(E$3-$O$2,$Q$2)/$Q$2))</f>
        <v>2375.35058021545</v>
      </c>
      <c r="F126" s="15" t="n">
        <f aca="false">E126*(1+IF(F$3&lt;=$O$2,$D126,$D126-($D126-$I$103)*MIN(F$3-$O$2,$Q$2)/$Q$2))</f>
        <v>2275.11708827818</v>
      </c>
      <c r="G126" s="15" t="n">
        <f aca="false">F126*(1+IF(G$3&lt;=$O$2,$D126,$D126-($D126-$I$103)*MIN(G$3-$O$2,$Q$2)/$Q$2))</f>
        <v>2179.11318374987</v>
      </c>
      <c r="H126" s="15" t="n">
        <f aca="false">G126*(1+IF(H$3&lt;=$O$2,$D126,$D126-($D126-$I$103)*MIN(H$3-$O$2,$Q$2)/$Q$2))</f>
        <v>2087.16038926427</v>
      </c>
      <c r="I126" s="15" t="n">
        <f aca="false">H126*(1+IF(I$3&lt;=$O$2,$D126,$D126-($D126-$I$103)*MIN(I$3-$O$2,$Q$2)/$Q$2))</f>
        <v>1999.08775872645</v>
      </c>
      <c r="J126" s="15" t="n">
        <f aca="false">I126*(1+IF(J$3&lt;=$O$2,$D126,$D126-($D126-$I$103)*MIN(J$3-$O$2,$Q$2)/$Q$2))</f>
        <v>1942.91763607016</v>
      </c>
      <c r="K126" s="15" t="n">
        <f aca="false">J126*(1+IF(K$3&lt;=$O$2,$D126,$D126-($D126-$I$103)*MIN(K$3-$O$2,$Q$2)/$Q$2))</f>
        <v>1915.71988226599</v>
      </c>
      <c r="L126" s="15" t="n">
        <f aca="false">K126*(1+IF(L$3&lt;=$O$2,$D126,$D126-($D126-$I$103)*MIN(L$3-$O$2,$Q$2)/$Q$2))</f>
        <v>1915.91348745576</v>
      </c>
      <c r="M126" s="15" t="n">
        <f aca="false">L126*(1+IF(M$3&lt;=$O$2,$D126,$D126-($D126-$I$103)*MIN(M$3-$O$2,$Q$2)/$Q$2))</f>
        <v>1943.12047568114</v>
      </c>
      <c r="N126" s="15" t="n">
        <f aca="false">M126*(1+IF(N$3&lt;=$O$2,$D126,$D126-($D126-$I$103)*MIN(N$3-$O$2,$Q$2)/$Q$2))</f>
        <v>1998.11078514292</v>
      </c>
      <c r="O126" s="15" t="n">
        <f aca="false">SUMPRODUCT(E126:N126,1/(1+$F$103)^$E$3:$N$3)*$E$2</f>
        <v>4382.84501152228</v>
      </c>
      <c r="P126" s="15" t="n">
        <f aca="false">N126*$E$2*(1+$I$103)/($F$103-$I$103)/(1+$F$103)^$N$3</f>
        <v>7181.827994457</v>
      </c>
      <c r="Q126" s="15" t="n">
        <f aca="false">O126+P126</f>
        <v>11564.6730059793</v>
      </c>
      <c r="R126" s="15" t="n">
        <f aca="false">Q126-$G$2+$I$2</f>
        <v>10290.0030059793</v>
      </c>
      <c r="S126" s="42" t="n">
        <f aca="false">R126/$K$2</f>
        <v>289.288810963713</v>
      </c>
      <c r="T126" s="43" t="n">
        <f aca="false">S126-$M$2</f>
        <v>8.45088353571555E-005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-0.0421977043151856</v>
      </c>
      <c r="C127" s="25" t="n">
        <f aca="false">IF(T126&gt;0,D126,C126)</f>
        <v>-0.0421973466873169</v>
      </c>
      <c r="D127" s="41" t="n">
        <f aca="false">(B127+C127)/2</f>
        <v>-0.0421975255012512</v>
      </c>
      <c r="E127" s="15" t="n">
        <f aca="false">$C$2*(1+IF(E$3&lt;=$O$2,$D127,$D127-($D127-$I$103)*MIN(E$3-$O$2,$Q$2)/$Q$2))</f>
        <v>2375.3501367569</v>
      </c>
      <c r="F127" s="15" t="n">
        <f aca="false">E127*(1+IF(F$3&lt;=$O$2,$D127,$D127-($D127-$I$103)*MIN(F$3-$O$2,$Q$2)/$Q$2))</f>
        <v>2275.1162387867</v>
      </c>
      <c r="G127" s="15" t="n">
        <f aca="false">F127*(1+IF(G$3&lt;=$O$2,$D127,$D127-($D127-$I$103)*MIN(G$3-$O$2,$Q$2)/$Q$2))</f>
        <v>2179.11196328218</v>
      </c>
      <c r="H127" s="15" t="n">
        <f aca="false">G127*(1+IF(H$3&lt;=$O$2,$D127,$D127-($D127-$I$103)*MIN(H$3-$O$2,$Q$2)/$Q$2))</f>
        <v>2087.1588306415</v>
      </c>
      <c r="I127" s="15" t="n">
        <f aca="false">H127*(1+IF(I$3&lt;=$O$2,$D127,$D127-($D127-$I$103)*MIN(I$3-$O$2,$Q$2)/$Q$2))</f>
        <v>1999.08589266035</v>
      </c>
      <c r="J127" s="15" t="n">
        <f aca="false">I127*(1+IF(J$3&lt;=$O$2,$D127,$D127-($D127-$I$103)*MIN(J$3-$O$2,$Q$2)/$Q$2))</f>
        <v>1942.91553646502</v>
      </c>
      <c r="K127" s="15" t="n">
        <f aca="false">J127*(1+IF(K$3&lt;=$O$2,$D127,$D127-($D127-$I$103)*MIN(K$3-$O$2,$Q$2)/$Q$2))</f>
        <v>1915.71760359975</v>
      </c>
      <c r="L127" s="15" t="n">
        <f aca="false">K127*(1+IF(L$3&lt;=$O$2,$D127,$D127-($D127-$I$103)*MIN(L$3-$O$2,$Q$2)/$Q$2))</f>
        <v>1915.91107153644</v>
      </c>
      <c r="M127" s="15" t="n">
        <f aca="false">L127*(1+IF(M$3&lt;=$O$2,$D127,$D127-($D127-$I$103)*MIN(M$3-$O$2,$Q$2)/$Q$2))</f>
        <v>1943.11795693616</v>
      </c>
      <c r="N127" s="15" t="n">
        <f aca="false">M127*(1+IF(N$3&lt;=$O$2,$D127,$D127-($D127-$I$103)*MIN(N$3-$O$2,$Q$2)/$Q$2))</f>
        <v>1998.10819511746</v>
      </c>
      <c r="O127" s="15" t="n">
        <f aca="false">SUMPRODUCT(E127:N127,1/(1+$F$103)^$E$3:$N$3)*$E$2</f>
        <v>4382.84155951853</v>
      </c>
      <c r="P127" s="15" t="n">
        <f aca="false">N127*$E$2*(1+$I$103)/($F$103-$I$103)/(1+$F$103)^$N$3</f>
        <v>7181.81868510464</v>
      </c>
      <c r="Q127" s="15" t="n">
        <f aca="false">O127+P127</f>
        <v>11564.6602446232</v>
      </c>
      <c r="R127" s="15" t="n">
        <f aca="false">Q127-$G$2+$I$2</f>
        <v>10289.9902446232</v>
      </c>
      <c r="S127" s="42" t="n">
        <f aca="false">R127/$K$2</f>
        <v>289.288452196322</v>
      </c>
      <c r="T127" s="43" t="n">
        <f aca="false">S127-$M$2</f>
        <v>-0.000274258555805318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-0.0421975255012512</v>
      </c>
      <c r="C128" s="25" t="n">
        <f aca="false">IF(T127&gt;0,D127,C127)</f>
        <v>-0.0421973466873169</v>
      </c>
      <c r="D128" s="41" t="n">
        <f aca="false">(B128+C128)/2</f>
        <v>-0.0421974360942841</v>
      </c>
      <c r="E128" s="15" t="n">
        <f aca="false">$C$2*(1+IF(E$3&lt;=$O$2,$D128,$D128-($D128-$I$103)*MIN(E$3-$O$2,$Q$2)/$Q$2))</f>
        <v>2375.35035848618</v>
      </c>
      <c r="F128" s="15" t="n">
        <f aca="false">E128*(1+IF(F$3&lt;=$O$2,$D128,$D128-($D128-$I$103)*MIN(F$3-$O$2,$Q$2)/$Q$2))</f>
        <v>2275.11666353242</v>
      </c>
      <c r="G128" s="15" t="n">
        <f aca="false">F128*(1+IF(G$3&lt;=$O$2,$D128,$D128-($D128-$I$103)*MIN(G$3-$O$2,$Q$2)/$Q$2))</f>
        <v>2179.11257351597</v>
      </c>
      <c r="H128" s="15" t="n">
        <f aca="false">G128*(1+IF(H$3&lt;=$O$2,$D128,$D128-($D128-$I$103)*MIN(H$3-$O$2,$Q$2)/$Q$2))</f>
        <v>2087.15960995278</v>
      </c>
      <c r="I128" s="15" t="n">
        <f aca="false">H128*(1+IF(I$3&lt;=$O$2,$D128,$D128-($D128-$I$103)*MIN(I$3-$O$2,$Q$2)/$Q$2))</f>
        <v>1999.08682569323</v>
      </c>
      <c r="J128" s="15" t="n">
        <f aca="false">I128*(1+IF(J$3&lt;=$O$2,$D128,$D128-($D128-$I$103)*MIN(J$3-$O$2,$Q$2)/$Q$2))</f>
        <v>1942.91658626736</v>
      </c>
      <c r="K128" s="15" t="n">
        <f aca="false">J128*(1+IF(K$3&lt;=$O$2,$D128,$D128-($D128-$I$103)*MIN(K$3-$O$2,$Q$2)/$Q$2))</f>
        <v>1915.71874293258</v>
      </c>
      <c r="L128" s="15" t="n">
        <f aca="false">K128*(1+IF(L$3&lt;=$O$2,$D128,$D128-($D128-$I$103)*MIN(L$3-$O$2,$Q$2)/$Q$2))</f>
        <v>1915.91227949577</v>
      </c>
      <c r="M128" s="15" t="n">
        <f aca="false">L128*(1+IF(M$3&lt;=$O$2,$D128,$D128-($D128-$I$103)*MIN(M$3-$O$2,$Q$2)/$Q$2))</f>
        <v>1943.1192163083</v>
      </c>
      <c r="N128" s="15" t="n">
        <f aca="false">M128*(1+IF(N$3&lt;=$O$2,$D128,$D128-($D128-$I$103)*MIN(N$3-$O$2,$Q$2)/$Q$2))</f>
        <v>1998.10949012982</v>
      </c>
      <c r="O128" s="15" t="n">
        <f aca="false">SUMPRODUCT(E128:N128,1/(1+$F$103)^$E$3:$N$3)*$E$2</f>
        <v>4382.84328552006</v>
      </c>
      <c r="P128" s="15" t="n">
        <f aca="false">N128*$E$2*(1+$I$103)/($F$103-$I$103)/(1+$F$103)^$N$3</f>
        <v>7181.8233397795</v>
      </c>
      <c r="Q128" s="15" t="n">
        <f aca="false">O128+P128</f>
        <v>11564.6666252996</v>
      </c>
      <c r="R128" s="15" t="n">
        <f aca="false">Q128-$G$2+$I$2</f>
        <v>10289.9966252996</v>
      </c>
      <c r="S128" s="42" t="n">
        <f aca="false">R128/$K$2</f>
        <v>289.288631579971</v>
      </c>
      <c r="T128" s="43" t="n">
        <f aca="false">S128-$M$2</f>
        <v>-9.48749070062149E-005</v>
      </c>
    </row>
    <row r="130" customFormat="false" ht="15" hidden="false" customHeight="false" outlineLevel="0" collapsed="false">
      <c r="A130" s="38" t="s">
        <v>188</v>
      </c>
      <c r="E130" s="5" t="s">
        <v>11</v>
      </c>
      <c r="F130" s="12" t="n">
        <f aca="false">Sensitivity!$B$10</f>
        <v>0.0714218415038925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8" t="s">
        <v>165</v>
      </c>
      <c r="B131" s="28" t="s">
        <v>166</v>
      </c>
      <c r="C131" s="28" t="s">
        <v>167</v>
      </c>
      <c r="D131" s="28" t="s">
        <v>168</v>
      </c>
      <c r="E131" s="28" t="s">
        <v>169</v>
      </c>
      <c r="F131" s="28" t="s">
        <v>170</v>
      </c>
      <c r="G131" s="28" t="s">
        <v>171</v>
      </c>
      <c r="H131" s="28" t="s">
        <v>172</v>
      </c>
      <c r="I131" s="28" t="s">
        <v>173</v>
      </c>
      <c r="J131" s="28" t="s">
        <v>174</v>
      </c>
      <c r="K131" s="28" t="s">
        <v>175</v>
      </c>
      <c r="L131" s="28" t="s">
        <v>176</v>
      </c>
      <c r="M131" s="28" t="s">
        <v>177</v>
      </c>
      <c r="N131" s="28" t="s">
        <v>178</v>
      </c>
      <c r="O131" s="28" t="s">
        <v>179</v>
      </c>
      <c r="P131" s="28" t="s">
        <v>180</v>
      </c>
      <c r="Q131" s="28" t="s">
        <v>181</v>
      </c>
      <c r="R131" s="28" t="s">
        <v>182</v>
      </c>
      <c r="S131" s="28" t="s">
        <v>183</v>
      </c>
      <c r="T131" s="28" t="s">
        <v>184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41" t="n">
        <f aca="false">(B132+C132)/2</f>
        <v>0.25</v>
      </c>
      <c r="E132" s="15" t="n">
        <f aca="false">$C$2*(1+IF(E$3&lt;=$O$2,$D132,$D132-($D132-$I$130)*MIN(E$3-$O$2,$Q$2)/$Q$2))</f>
        <v>3100</v>
      </c>
      <c r="F132" s="15" t="n">
        <f aca="false">E132*(1+IF(F$3&lt;=$O$2,$D132,$D132-($D132-$I$130)*MIN(F$3-$O$2,$Q$2)/$Q$2))</f>
        <v>3875</v>
      </c>
      <c r="G132" s="15" t="n">
        <f aca="false">F132*(1+IF(G$3&lt;=$O$2,$D132,$D132-($D132-$I$130)*MIN(G$3-$O$2,$Q$2)/$Q$2))</f>
        <v>4843.75</v>
      </c>
      <c r="H132" s="15" t="n">
        <f aca="false">G132*(1+IF(H$3&lt;=$O$2,$D132,$D132-($D132-$I$130)*MIN(H$3-$O$2,$Q$2)/$Q$2))</f>
        <v>6054.6875</v>
      </c>
      <c r="I132" s="15" t="n">
        <f aca="false">H132*(1+IF(I$3&lt;=$O$2,$D132,$D132-($D132-$I$130)*MIN(I$3-$O$2,$Q$2)/$Q$2))</f>
        <v>7568.359375</v>
      </c>
      <c r="J132" s="15" t="n">
        <f aca="false">I132*(1+IF(J$3&lt;=$O$2,$D132,$D132-($D132-$I$130)*MIN(J$3-$O$2,$Q$2)/$Q$2))</f>
        <v>9132.4365234375</v>
      </c>
      <c r="K132" s="15" t="n">
        <f aca="false">J132*(1+IF(K$3&lt;=$O$2,$D132,$D132-($D132-$I$130)*MIN(K$3-$O$2,$Q$2)/$Q$2))</f>
        <v>10623.9460564453</v>
      </c>
      <c r="L132" s="15" t="n">
        <f aca="false">K132*(1+IF(L$3&lt;=$O$2,$D132,$D132-($D132-$I$130)*MIN(L$3-$O$2,$Q$2)/$Q$2))</f>
        <v>11898.6071042976</v>
      </c>
      <c r="M132" s="15" t="n">
        <f aca="false">L132*(1+IF(M$3&lt;=$O$2,$D132,$D132-($D132-$I$130)*MIN(M$3-$O$2,$Q$2)/$Q$2))</f>
        <v>12810.516352771</v>
      </c>
      <c r="N132" s="15" t="n">
        <f aca="false">M132*(1+IF(N$3&lt;=$O$2,$D132,$D132-($D132-$I$130)*MIN(N$3-$O$2,$Q$2)/$Q$2))</f>
        <v>13237.1065473183</v>
      </c>
      <c r="O132" s="15" t="n">
        <f aca="false">SUMPRODUCT(E132:N132,1/(1+$F$130)^$E$3:$N$3)*$E$2</f>
        <v>15964.3353974466</v>
      </c>
      <c r="P132" s="15" t="n">
        <f aca="false">N132*$E$2*(1+$I$130)/($F$130-$I$130)/(1+$F$130)^$N$3</f>
        <v>54080.2289164549</v>
      </c>
      <c r="Q132" s="15" t="n">
        <f aca="false">O132+P132</f>
        <v>70044.5643139014</v>
      </c>
      <c r="R132" s="15" t="n">
        <f aca="false">Q132-$G$2+$I$2</f>
        <v>68769.8943139014</v>
      </c>
      <c r="S132" s="42" t="n">
        <f aca="false">R132/$K$2</f>
        <v>1933.36784689068</v>
      </c>
      <c r="T132" s="43" t="n">
        <f aca="false">S132-$M$2</f>
        <v>1644.0791204358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41" t="n">
        <f aca="false">(B133+C133)/2</f>
        <v>-0.125</v>
      </c>
      <c r="E133" s="15" t="n">
        <f aca="false">$C$2*(1+IF(E$3&lt;=$O$2,$D133,$D133-($D133-$I$130)*MIN(E$3-$O$2,$Q$2)/$Q$2))</f>
        <v>2170</v>
      </c>
      <c r="F133" s="15" t="n">
        <f aca="false">E133*(1+IF(F$3&lt;=$O$2,$D133,$D133-($D133-$I$130)*MIN(F$3-$O$2,$Q$2)/$Q$2))</f>
        <v>1898.75</v>
      </c>
      <c r="G133" s="15" t="n">
        <f aca="false">F133*(1+IF(G$3&lt;=$O$2,$D133,$D133-($D133-$I$130)*MIN(G$3-$O$2,$Q$2)/$Q$2))</f>
        <v>1661.40625</v>
      </c>
      <c r="H133" s="15" t="n">
        <f aca="false">G133*(1+IF(H$3&lt;=$O$2,$D133,$D133-($D133-$I$130)*MIN(H$3-$O$2,$Q$2)/$Q$2))</f>
        <v>1453.73046875</v>
      </c>
      <c r="I133" s="15" t="n">
        <f aca="false">H133*(1+IF(I$3&lt;=$O$2,$D133,$D133-($D133-$I$130)*MIN(I$3-$O$2,$Q$2)/$Q$2))</f>
        <v>1272.01416015625</v>
      </c>
      <c r="J133" s="15" t="n">
        <f aca="false">I133*(1+IF(J$3&lt;=$O$2,$D133,$D133-($D133-$I$130)*MIN(J$3-$O$2,$Q$2)/$Q$2))</f>
        <v>1153.28435844727</v>
      </c>
      <c r="K133" s="15" t="n">
        <f aca="false">J133*(1+IF(K$3&lt;=$O$2,$D133,$D133-($D133-$I$130)*MIN(K$3-$O$2,$Q$2)/$Q$2))</f>
        <v>1082.14977921824</v>
      </c>
      <c r="L133" s="15" t="n">
        <f aca="false">K133*(1+IF(L$3&lt;=$O$2,$D133,$D133-($D133-$I$130)*MIN(L$3-$O$2,$Q$2)/$Q$2))</f>
        <v>1049.66364284611</v>
      </c>
      <c r="M133" s="15" t="n">
        <f aca="false">L133*(1+IF(M$3&lt;=$O$2,$D133,$D133-($D133-$I$130)*MIN(M$3-$O$2,$Q$2)/$Q$2))</f>
        <v>1051.38509122037</v>
      </c>
      <c r="N133" s="15" t="n">
        <f aca="false">M133*(1+IF(N$3&lt;=$O$2,$D133,$D133-($D133-$I$130)*MIN(N$3-$O$2,$Q$2)/$Q$2))</f>
        <v>1086.39621475801</v>
      </c>
      <c r="O133" s="15" t="n">
        <f aca="false">SUMPRODUCT(E133:N133,1/(1+$F$130)^$E$3:$N$3)*$E$2</f>
        <v>3058.4258080025</v>
      </c>
      <c r="P133" s="15" t="n">
        <f aca="false">N133*$E$2*(1+$I$130)/($F$130-$I$130)/(1+$F$130)^$N$3</f>
        <v>4438.4742071889</v>
      </c>
      <c r="Q133" s="15" t="n">
        <f aca="false">O133+P133</f>
        <v>7496.9000151914</v>
      </c>
      <c r="R133" s="15" t="n">
        <f aca="false">Q133-$G$2+$I$2</f>
        <v>6222.2300151914</v>
      </c>
      <c r="S133" s="42" t="n">
        <f aca="false">R133/$K$2</f>
        <v>174.929154208361</v>
      </c>
      <c r="T133" s="43" t="n">
        <f aca="false">S133-$M$2</f>
        <v>-114.359572246517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41" t="n">
        <f aca="false">(B134+C134)/2</f>
        <v>0.0625</v>
      </c>
      <c r="E134" s="15" t="n">
        <f aca="false">$C$2*(1+IF(E$3&lt;=$O$2,$D134,$D134-($D134-$I$130)*MIN(E$3-$O$2,$Q$2)/$Q$2))</f>
        <v>2635</v>
      </c>
      <c r="F134" s="15" t="n">
        <f aca="false">E134*(1+IF(F$3&lt;=$O$2,$D134,$D134-($D134-$I$130)*MIN(F$3-$O$2,$Q$2)/$Q$2))</f>
        <v>2799.6875</v>
      </c>
      <c r="G134" s="15" t="n">
        <f aca="false">F134*(1+IF(G$3&lt;=$O$2,$D134,$D134-($D134-$I$130)*MIN(G$3-$O$2,$Q$2)/$Q$2))</f>
        <v>2974.66796875</v>
      </c>
      <c r="H134" s="15" t="n">
        <f aca="false">G134*(1+IF(H$3&lt;=$O$2,$D134,$D134-($D134-$I$130)*MIN(H$3-$O$2,$Q$2)/$Q$2))</f>
        <v>3160.58471679688</v>
      </c>
      <c r="I134" s="15" t="n">
        <f aca="false">H134*(1+IF(I$3&lt;=$O$2,$D134,$D134-($D134-$I$130)*MIN(I$3-$O$2,$Q$2)/$Q$2))</f>
        <v>3358.12126159668</v>
      </c>
      <c r="J134" s="15" t="n">
        <f aca="false">I134*(1+IF(J$3&lt;=$O$2,$D134,$D134-($D134-$I$130)*MIN(J$3-$O$2,$Q$2)/$Q$2))</f>
        <v>3548.39241227875</v>
      </c>
      <c r="K134" s="15" t="n">
        <f aca="false">J134*(1+IF(K$3&lt;=$O$2,$D134,$D134-($D134-$I$130)*MIN(K$3-$O$2,$Q$2)/$Q$2))</f>
        <v>3728.72171467075</v>
      </c>
      <c r="L134" s="15" t="n">
        <f aca="false">K134*(1+IF(L$3&lt;=$O$2,$D134,$D134-($D134-$I$130)*MIN(L$3-$O$2,$Q$2)/$Q$2))</f>
        <v>3896.43961739664</v>
      </c>
      <c r="M134" s="15" t="n">
        <f aca="false">L134*(1+IF(M$3&lt;=$O$2,$D134,$D134-($D134-$I$130)*MIN(M$3-$O$2,$Q$2)/$Q$2))</f>
        <v>4048.94626402155</v>
      </c>
      <c r="N134" s="15" t="n">
        <f aca="false">M134*(1+IF(N$3&lt;=$O$2,$D134,$D134-($D134-$I$130)*MIN(N$3-$O$2,$Q$2)/$Q$2))</f>
        <v>4183.77617461347</v>
      </c>
      <c r="O134" s="15" t="n">
        <f aca="false">SUMPRODUCT(E134:N134,1/(1+$F$130)^$E$3:$N$3)*$E$2</f>
        <v>6988.47735232612</v>
      </c>
      <c r="P134" s="15" t="n">
        <f aca="false">N134*$E$2*(1+$I$130)/($F$130-$I$130)/(1+$F$130)^$N$3</f>
        <v>17092.8270804124</v>
      </c>
      <c r="Q134" s="15" t="n">
        <f aca="false">O134+P134</f>
        <v>24081.3044327385</v>
      </c>
      <c r="R134" s="15" t="n">
        <f aca="false">Q134-$G$2+$I$2</f>
        <v>22806.6344327385</v>
      </c>
      <c r="S134" s="42" t="n">
        <f aca="false">R134/$K$2</f>
        <v>641.176115623799</v>
      </c>
      <c r="T134" s="43" t="n">
        <f aca="false">S134-$M$2</f>
        <v>351.887389168921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41" t="n">
        <f aca="false">(B135+C135)/2</f>
        <v>-0.03125</v>
      </c>
      <c r="E135" s="15" t="n">
        <f aca="false">$C$2*(1+IF(E$3&lt;=$O$2,$D135,$D135-($D135-$I$130)*MIN(E$3-$O$2,$Q$2)/$Q$2))</f>
        <v>2402.5</v>
      </c>
      <c r="F135" s="15" t="n">
        <f aca="false">E135*(1+IF(F$3&lt;=$O$2,$D135,$D135-($D135-$I$130)*MIN(F$3-$O$2,$Q$2)/$Q$2))</f>
        <v>2327.421875</v>
      </c>
      <c r="G135" s="15" t="n">
        <f aca="false">F135*(1+IF(G$3&lt;=$O$2,$D135,$D135-($D135-$I$130)*MIN(G$3-$O$2,$Q$2)/$Q$2))</f>
        <v>2254.68994140625</v>
      </c>
      <c r="H135" s="15" t="n">
        <f aca="false">G135*(1+IF(H$3&lt;=$O$2,$D135,$D135-($D135-$I$130)*MIN(H$3-$O$2,$Q$2)/$Q$2))</f>
        <v>2184.2308807373</v>
      </c>
      <c r="I135" s="15" t="n">
        <f aca="false">H135*(1+IF(I$3&lt;=$O$2,$D135,$D135-($D135-$I$130)*MIN(I$3-$O$2,$Q$2)/$Q$2))</f>
        <v>2115.97366571426</v>
      </c>
      <c r="J135" s="15" t="n">
        <f aca="false">I135*(1+IF(J$3&lt;=$O$2,$D135,$D135-($D135-$I$130)*MIN(J$3-$O$2,$Q$2)/$Q$2))</f>
        <v>2077.16670868506</v>
      </c>
      <c r="K135" s="15" t="n">
        <f aca="false">J135*(1+IF(K$3&lt;=$O$2,$D135,$D135-($D135-$I$130)*MIN(K$3-$O$2,$Q$2)/$Q$2))</f>
        <v>2065.8876934569</v>
      </c>
      <c r="L135" s="15" t="n">
        <f aca="false">K135*(1+IF(L$3&lt;=$O$2,$D135,$D135-($D135-$I$130)*MIN(L$3-$O$2,$Q$2)/$Q$2))</f>
        <v>2081.34053340396</v>
      </c>
      <c r="M135" s="15" t="n">
        <f aca="false">L135*(1+IF(M$3&lt;=$O$2,$D135,$D135-($D135-$I$130)*MIN(M$3-$O$2,$Q$2)/$Q$2))</f>
        <v>2123.77906688007</v>
      </c>
      <c r="N135" s="15" t="n">
        <f aca="false">M135*(1+IF(N$3&lt;=$O$2,$D135,$D135-($D135-$I$130)*MIN(N$3-$O$2,$Q$2)/$Q$2))</f>
        <v>2194.50090980717</v>
      </c>
      <c r="O135" s="15" t="n">
        <f aca="false">SUMPRODUCT(E135:N135,1/(1+$F$130)^$E$3:$N$3)*$E$2</f>
        <v>4611.52411374565</v>
      </c>
      <c r="P135" s="15" t="n">
        <f aca="false">N135*$E$2*(1+$I$130)/($F$130-$I$130)/(1+$F$130)^$N$3</f>
        <v>8965.63845999894</v>
      </c>
      <c r="Q135" s="15" t="n">
        <f aca="false">O135+P135</f>
        <v>13577.1625737446</v>
      </c>
      <c r="R135" s="15" t="n">
        <f aca="false">Q135-$G$2+$I$2</f>
        <v>12302.4925737446</v>
      </c>
      <c r="S135" s="42" t="n">
        <f aca="false">R135/$K$2</f>
        <v>345.86709512917</v>
      </c>
      <c r="T135" s="43" t="n">
        <f aca="false">S135-$M$2</f>
        <v>56.5783686742927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-0.125</v>
      </c>
      <c r="C136" s="25" t="n">
        <f aca="false">IF(T135&gt;0,D135,C135)</f>
        <v>-0.03125</v>
      </c>
      <c r="D136" s="41" t="n">
        <f aca="false">(B136+C136)/2</f>
        <v>-0.078125</v>
      </c>
      <c r="E136" s="15" t="n">
        <f aca="false">$C$2*(1+IF(E$3&lt;=$O$2,$D136,$D136-($D136-$I$130)*MIN(E$3-$O$2,$Q$2)/$Q$2))</f>
        <v>2286.25</v>
      </c>
      <c r="F136" s="15" t="n">
        <f aca="false">E136*(1+IF(F$3&lt;=$O$2,$D136,$D136-($D136-$I$130)*MIN(F$3-$O$2,$Q$2)/$Q$2))</f>
        <v>2107.63671875</v>
      </c>
      <c r="G136" s="15" t="n">
        <f aca="false">F136*(1+IF(G$3&lt;=$O$2,$D136,$D136-($D136-$I$130)*MIN(G$3-$O$2,$Q$2)/$Q$2))</f>
        <v>1942.97760009766</v>
      </c>
      <c r="H136" s="15" t="n">
        <f aca="false">G136*(1+IF(H$3&lt;=$O$2,$D136,$D136-($D136-$I$130)*MIN(H$3-$O$2,$Q$2)/$Q$2))</f>
        <v>1791.18247509003</v>
      </c>
      <c r="I136" s="15" t="n">
        <f aca="false">H136*(1+IF(I$3&lt;=$O$2,$D136,$D136-($D136-$I$130)*MIN(I$3-$O$2,$Q$2)/$Q$2))</f>
        <v>1651.24634422362</v>
      </c>
      <c r="J136" s="15" t="n">
        <f aca="false">I136*(1+IF(J$3&lt;=$O$2,$D136,$D136-($D136-$I$130)*MIN(J$3-$O$2,$Q$2)/$Q$2))</f>
        <v>1559.04074836217</v>
      </c>
      <c r="K136" s="15" t="n">
        <f aca="false">J136*(1+IF(K$3&lt;=$O$2,$D136,$D136-($D136-$I$130)*MIN(K$3-$O$2,$Q$2)/$Q$2))</f>
        <v>1506.72713605088</v>
      </c>
      <c r="L136" s="15" t="n">
        <f aca="false">K136*(1+IF(L$3&lt;=$O$2,$D136,$D136-($D136-$I$130)*MIN(L$3-$O$2,$Q$2)/$Q$2))</f>
        <v>1489.74632122759</v>
      </c>
      <c r="M136" s="15" t="n">
        <f aca="false">L136*(1+IF(M$3&lt;=$O$2,$D136,$D136-($D136-$I$130)*MIN(M$3-$O$2,$Q$2)/$Q$2))</f>
        <v>1506.15587695591</v>
      </c>
      <c r="N136" s="15" t="n">
        <f aca="false">M136*(1+IF(N$3&lt;=$O$2,$D136,$D136-($D136-$I$130)*MIN(N$3-$O$2,$Q$2)/$Q$2))</f>
        <v>1556.31086765854</v>
      </c>
      <c r="O136" s="15" t="n">
        <f aca="false">SUMPRODUCT(E136:N136,1/(1+$F$130)^$E$3:$N$3)*$E$2</f>
        <v>3751.85752458343</v>
      </c>
      <c r="P136" s="15" t="n">
        <f aca="false">N136*$E$2*(1+$I$130)/($F$130-$I$130)/(1+$F$130)^$N$3</f>
        <v>6358.31159077522</v>
      </c>
      <c r="Q136" s="15" t="n">
        <f aca="false">O136+P136</f>
        <v>10110.1691153586</v>
      </c>
      <c r="R136" s="15" t="n">
        <f aca="false">Q136-$G$2+$I$2</f>
        <v>8835.49911535864</v>
      </c>
      <c r="S136" s="42" t="n">
        <f aca="false">R136/$K$2</f>
        <v>248.397501134626</v>
      </c>
      <c r="T136" s="43" t="n">
        <f aca="false">S136-$M$2</f>
        <v>-40.8912253202518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-0.078125</v>
      </c>
      <c r="C137" s="25" t="n">
        <f aca="false">IF(T136&gt;0,D136,C136)</f>
        <v>-0.03125</v>
      </c>
      <c r="D137" s="41" t="n">
        <f aca="false">(B137+C137)/2</f>
        <v>-0.0546875</v>
      </c>
      <c r="E137" s="15" t="n">
        <f aca="false">$C$2*(1+IF(E$3&lt;=$O$2,$D137,$D137-($D137-$I$130)*MIN(E$3-$O$2,$Q$2)/$Q$2))</f>
        <v>2344.375</v>
      </c>
      <c r="F137" s="15" t="n">
        <f aca="false">E137*(1+IF(F$3&lt;=$O$2,$D137,$D137-($D137-$I$130)*MIN(F$3-$O$2,$Q$2)/$Q$2))</f>
        <v>2216.1669921875</v>
      </c>
      <c r="G137" s="15" t="n">
        <f aca="false">F137*(1+IF(G$3&lt;=$O$2,$D137,$D137-($D137-$I$130)*MIN(G$3-$O$2,$Q$2)/$Q$2))</f>
        <v>2094.97035980225</v>
      </c>
      <c r="H137" s="15" t="n">
        <f aca="false">G137*(1+IF(H$3&lt;=$O$2,$D137,$D137-($D137-$I$130)*MIN(H$3-$O$2,$Q$2)/$Q$2))</f>
        <v>1980.40166825056</v>
      </c>
      <c r="I137" s="15" t="n">
        <f aca="false">H137*(1+IF(I$3&lt;=$O$2,$D137,$D137-($D137-$I$130)*MIN(I$3-$O$2,$Q$2)/$Q$2))</f>
        <v>1872.09845201811</v>
      </c>
      <c r="J137" s="15" t="n">
        <f aca="false">I137*(1+IF(J$3&lt;=$O$2,$D137,$D137-($D137-$I$130)*MIN(J$3-$O$2,$Q$2)/$Q$2))</f>
        <v>1802.66232043276</v>
      </c>
      <c r="K137" s="15" t="n">
        <f aca="false">J137*(1+IF(K$3&lt;=$O$2,$D137,$D137-($D137-$I$130)*MIN(K$3-$O$2,$Q$2)/$Q$2))</f>
        <v>1767.52392515172</v>
      </c>
      <c r="L137" s="15" t="n">
        <f aca="false">K137*(1+IF(L$3&lt;=$O$2,$D137,$D137-($D137-$I$130)*MIN(L$3-$O$2,$Q$2)/$Q$2))</f>
        <v>1764.17446731356</v>
      </c>
      <c r="M137" s="15" t="n">
        <f aca="false">L137*(1+IF(M$3&lt;=$O$2,$D137,$D137-($D137-$I$130)*MIN(M$3-$O$2,$Q$2)/$Q$2))</f>
        <v>1791.87641688655</v>
      </c>
      <c r="N137" s="15" t="n">
        <f aca="false">M137*(1+IF(N$3&lt;=$O$2,$D137,$D137-($D137-$I$130)*MIN(N$3-$O$2,$Q$2)/$Q$2))</f>
        <v>1851.54590156887</v>
      </c>
      <c r="O137" s="15" t="n">
        <f aca="false">SUMPRODUCT(E137:N137,1/(1+$F$130)^$E$3:$N$3)*$E$2</f>
        <v>4158.70297293758</v>
      </c>
      <c r="P137" s="15" t="n">
        <f aca="false">N137*$E$2*(1+$I$130)/($F$130-$I$130)/(1+$F$130)^$N$3</f>
        <v>7564.4949935418</v>
      </c>
      <c r="Q137" s="15" t="n">
        <f aca="false">O137+P137</f>
        <v>11723.1979664794</v>
      </c>
      <c r="R137" s="15" t="n">
        <f aca="false">Q137-$G$2+$I$2</f>
        <v>10448.5279664794</v>
      </c>
      <c r="S137" s="42" t="n">
        <f aca="false">R137/$K$2</f>
        <v>293.745514941787</v>
      </c>
      <c r="T137" s="43" t="n">
        <f aca="false">S137-$M$2</f>
        <v>4.45678848690955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-0.078125</v>
      </c>
      <c r="C138" s="25" t="n">
        <f aca="false">IF(T137&gt;0,D137,C137)</f>
        <v>-0.0546875</v>
      </c>
      <c r="D138" s="41" t="n">
        <f aca="false">(B138+C138)/2</f>
        <v>-0.06640625</v>
      </c>
      <c r="E138" s="15" t="n">
        <f aca="false">$C$2*(1+IF(E$3&lt;=$O$2,$D138,$D138-($D138-$I$130)*MIN(E$3-$O$2,$Q$2)/$Q$2))</f>
        <v>2315.3125</v>
      </c>
      <c r="F138" s="15" t="n">
        <f aca="false">E138*(1+IF(F$3&lt;=$O$2,$D138,$D138-($D138-$I$130)*MIN(F$3-$O$2,$Q$2)/$Q$2))</f>
        <v>2161.56127929688</v>
      </c>
      <c r="G138" s="15" t="n">
        <f aca="false">F138*(1+IF(G$3&lt;=$O$2,$D138,$D138-($D138-$I$130)*MIN(G$3-$O$2,$Q$2)/$Q$2))</f>
        <v>2018.02010059357</v>
      </c>
      <c r="H138" s="15" t="n">
        <f aca="false">G138*(1+IF(H$3&lt;=$O$2,$D138,$D138-($D138-$I$130)*MIN(H$3-$O$2,$Q$2)/$Q$2))</f>
        <v>1884.01095328853</v>
      </c>
      <c r="I138" s="15" t="n">
        <f aca="false">H138*(1+IF(I$3&lt;=$O$2,$D138,$D138-($D138-$I$130)*MIN(I$3-$O$2,$Q$2)/$Q$2))</f>
        <v>1758.90085092171</v>
      </c>
      <c r="J138" s="15" t="n">
        <f aca="false">I138*(1+IF(J$3&lt;=$O$2,$D138,$D138-($D138-$I$130)*MIN(J$3-$O$2,$Q$2)/$Q$2))</f>
        <v>1677.17352288363</v>
      </c>
      <c r="K138" s="15" t="n">
        <f aca="false">J138*(1+IF(K$3&lt;=$O$2,$D138,$D138-($D138-$I$130)*MIN(K$3-$O$2,$Q$2)/$Q$2))</f>
        <v>1632.68859165605</v>
      </c>
      <c r="L138" s="15" t="n">
        <f aca="false">K138*(1+IF(L$3&lt;=$O$2,$D138,$D138-($D138-$I$130)*MIN(L$3-$O$2,$Q$2)/$Q$2))</f>
        <v>1621.94141900147</v>
      </c>
      <c r="M138" s="15" t="n">
        <f aca="false">L138*(1+IF(M$3&lt;=$O$2,$D138,$D138-($D138-$I$130)*MIN(M$3-$O$2,$Q$2)/$Q$2))</f>
        <v>1643.60852893256</v>
      </c>
      <c r="N138" s="15" t="n">
        <f aca="false">M138*(1+IF(N$3&lt;=$O$2,$D138,$D138-($D138-$I$130)*MIN(N$3-$O$2,$Q$2)/$Q$2))</f>
        <v>1698.34069294601</v>
      </c>
      <c r="O138" s="15" t="n">
        <f aca="false">SUMPRODUCT(E138:N138,1/(1+$F$130)^$E$3:$N$3)*$E$2</f>
        <v>3949.82512602462</v>
      </c>
      <c r="P138" s="15" t="n">
        <f aca="false">N138*$E$2*(1+$I$130)/($F$130-$I$130)/(1+$F$130)^$N$3</f>
        <v>6938.5747651369</v>
      </c>
      <c r="Q138" s="15" t="n">
        <f aca="false">O138+P138</f>
        <v>10888.3998911615</v>
      </c>
      <c r="R138" s="15" t="n">
        <f aca="false">Q138-$G$2+$I$2</f>
        <v>9613.72989116151</v>
      </c>
      <c r="S138" s="42" t="n">
        <f aca="false">R138/$K$2</f>
        <v>270.276353420341</v>
      </c>
      <c r="T138" s="43" t="n">
        <f aca="false">S138-$M$2</f>
        <v>-19.0123730345372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-0.06640625</v>
      </c>
      <c r="C139" s="25" t="n">
        <f aca="false">IF(T138&gt;0,D138,C138)</f>
        <v>-0.0546875</v>
      </c>
      <c r="D139" s="41" t="n">
        <f aca="false">(B139+C139)/2</f>
        <v>-0.060546875</v>
      </c>
      <c r="E139" s="15" t="n">
        <f aca="false">$C$2*(1+IF(E$3&lt;=$O$2,$D139,$D139-($D139-$I$130)*MIN(E$3-$O$2,$Q$2)/$Q$2))</f>
        <v>2329.84375</v>
      </c>
      <c r="F139" s="15" t="n">
        <f aca="false">E139*(1+IF(F$3&lt;=$O$2,$D139,$D139-($D139-$I$130)*MIN(F$3-$O$2,$Q$2)/$Q$2))</f>
        <v>2188.77899169922</v>
      </c>
      <c r="G139" s="15" t="n">
        <f aca="false">F139*(1+IF(G$3&lt;=$O$2,$D139,$D139-($D139-$I$130)*MIN(G$3-$O$2,$Q$2)/$Q$2))</f>
        <v>2056.25526368618</v>
      </c>
      <c r="H139" s="15" t="n">
        <f aca="false">G139*(1+IF(H$3&lt;=$O$2,$D139,$D139-($D139-$I$130)*MIN(H$3-$O$2,$Q$2)/$Q$2))</f>
        <v>1931.75543326768</v>
      </c>
      <c r="I139" s="15" t="n">
        <f aca="false">H139*(1+IF(I$3&lt;=$O$2,$D139,$D139-($D139-$I$130)*MIN(I$3-$O$2,$Q$2)/$Q$2))</f>
        <v>1814.79367851905</v>
      </c>
      <c r="J139" s="15" t="n">
        <f aca="false">I139*(1+IF(J$3&lt;=$O$2,$D139,$D139-($D139-$I$130)*MIN(J$3-$O$2,$Q$2)/$Q$2))</f>
        <v>1738.97613561472</v>
      </c>
      <c r="K139" s="15" t="n">
        <f aca="false">J139*(1+IF(K$3&lt;=$O$2,$D139,$D139-($D139-$I$130)*MIN(K$3-$O$2,$Q$2)/$Q$2))</f>
        <v>1698.96555531448</v>
      </c>
      <c r="L139" s="15" t="n">
        <f aca="false">K139*(1+IF(L$3&lt;=$O$2,$D139,$D139-($D139-$I$130)*MIN(L$3-$O$2,$Q$2)/$Q$2))</f>
        <v>1691.76406506689</v>
      </c>
      <c r="M139" s="15" t="n">
        <f aca="false">L139*(1+IF(M$3&lt;=$O$2,$D139,$D139-($D139-$I$130)*MIN(M$3-$O$2,$Q$2)/$Q$2))</f>
        <v>1716.34645428485</v>
      </c>
      <c r="N139" s="15" t="n">
        <f aca="false">M139*(1+IF(N$3&lt;=$O$2,$D139,$D139-($D139-$I$130)*MIN(N$3-$O$2,$Q$2)/$Q$2))</f>
        <v>1773.50079121254</v>
      </c>
      <c r="O139" s="15" t="n">
        <f aca="false">SUMPRODUCT(E139:N139,1/(1+$F$130)^$E$3:$N$3)*$E$2</f>
        <v>4052.86481609374</v>
      </c>
      <c r="P139" s="15" t="n">
        <f aca="false">N139*$E$2*(1+$I$130)/($F$130-$I$130)/(1+$F$130)^$N$3</f>
        <v>7245.64151761088</v>
      </c>
      <c r="Q139" s="15" t="n">
        <f aca="false">O139+P139</f>
        <v>11298.5063337046</v>
      </c>
      <c r="R139" s="15" t="n">
        <f aca="false">Q139-$G$2+$I$2</f>
        <v>10023.8363337046</v>
      </c>
      <c r="S139" s="42" t="n">
        <f aca="false">R139/$K$2</f>
        <v>281.805913233191</v>
      </c>
      <c r="T139" s="43" t="n">
        <f aca="false">S139-$M$2</f>
        <v>-7.48281322168646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-0.060546875</v>
      </c>
      <c r="C140" s="25" t="n">
        <f aca="false">IF(T139&gt;0,D139,C139)</f>
        <v>-0.0546875</v>
      </c>
      <c r="D140" s="41" t="n">
        <f aca="false">(B140+C140)/2</f>
        <v>-0.0576171875</v>
      </c>
      <c r="E140" s="15" t="n">
        <f aca="false">$C$2*(1+IF(E$3&lt;=$O$2,$D140,$D140-($D140-$I$130)*MIN(E$3-$O$2,$Q$2)/$Q$2))</f>
        <v>2337.109375</v>
      </c>
      <c r="F140" s="15" t="n">
        <f aca="false">E140*(1+IF(F$3&lt;=$O$2,$D140,$D140-($D140-$I$130)*MIN(F$3-$O$2,$Q$2)/$Q$2))</f>
        <v>2202.45170593262</v>
      </c>
      <c r="G140" s="15" t="n">
        <f aca="false">F140*(1+IF(G$3&lt;=$O$2,$D140,$D140-($D140-$I$130)*MIN(G$3-$O$2,$Q$2)/$Q$2))</f>
        <v>2075.5526330322</v>
      </c>
      <c r="H140" s="15" t="n">
        <f aca="false">G140*(1+IF(H$3&lt;=$O$2,$D140,$D140-($D140-$I$130)*MIN(H$3-$O$2,$Q$2)/$Q$2))</f>
        <v>1955.96512780867</v>
      </c>
      <c r="I140" s="15" t="n">
        <f aca="false">H140*(1+IF(I$3&lt;=$O$2,$D140,$D140-($D140-$I$130)*MIN(I$3-$O$2,$Q$2)/$Q$2))</f>
        <v>1843.26791829625</v>
      </c>
      <c r="J140" s="15" t="n">
        <f aca="false">I140*(1+IF(J$3&lt;=$O$2,$D140,$D140-($D140-$I$130)*MIN(J$3-$O$2,$Q$2)/$Q$2))</f>
        <v>1770.58095202314</v>
      </c>
      <c r="K140" s="15" t="n">
        <f aca="false">J140*(1+IF(K$3&lt;=$O$2,$D140,$D140-($D140-$I$130)*MIN(K$3-$O$2,$Q$2)/$Q$2))</f>
        <v>1732.9555534861</v>
      </c>
      <c r="L140" s="15" t="n">
        <f aca="false">K140*(1+IF(L$3&lt;=$O$2,$D140,$D140-($D140-$I$130)*MIN(L$3-$O$2,$Q$2)/$Q$2))</f>
        <v>1727.640795423</v>
      </c>
      <c r="M140" s="15" t="n">
        <f aca="false">L140*(1+IF(M$3&lt;=$O$2,$D140,$D140-($D140-$I$130)*MIN(M$3-$O$2,$Q$2)/$Q$2))</f>
        <v>1753.75678548456</v>
      </c>
      <c r="N140" s="15" t="n">
        <f aca="false">M140*(1+IF(N$3&lt;=$O$2,$D140,$D140-($D140-$I$130)*MIN(N$3-$O$2,$Q$2)/$Q$2))</f>
        <v>1812.1568864412</v>
      </c>
      <c r="O140" s="15" t="n">
        <f aca="false">SUMPRODUCT(E140:N140,1/(1+$F$130)^$E$3:$N$3)*$E$2</f>
        <v>4105.4295662153</v>
      </c>
      <c r="P140" s="15" t="n">
        <f aca="false">N140*$E$2*(1+$I$130)/($F$130-$I$130)/(1+$F$130)^$N$3</f>
        <v>7403.57108261885</v>
      </c>
      <c r="Q140" s="15" t="n">
        <f aca="false">O140+P140</f>
        <v>11509.0006488342</v>
      </c>
      <c r="R140" s="15" t="n">
        <f aca="false">Q140-$G$2+$I$2</f>
        <v>10234.3306488342</v>
      </c>
      <c r="S140" s="42" t="n">
        <f aca="false">R140/$K$2</f>
        <v>287.72366176087</v>
      </c>
      <c r="T140" s="43" t="n">
        <f aca="false">S140-$M$2</f>
        <v>-1.5650646940075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-0.0576171875</v>
      </c>
      <c r="C141" s="25" t="n">
        <f aca="false">IF(T140&gt;0,D140,C140)</f>
        <v>-0.0546875</v>
      </c>
      <c r="D141" s="41" t="n">
        <f aca="false">(B141+C141)/2</f>
        <v>-0.05615234375</v>
      </c>
      <c r="E141" s="15" t="n">
        <f aca="false">$C$2*(1+IF(E$3&lt;=$O$2,$D141,$D141-($D141-$I$130)*MIN(E$3-$O$2,$Q$2)/$Q$2))</f>
        <v>2340.7421875</v>
      </c>
      <c r="F141" s="15" t="n">
        <f aca="false">E141*(1+IF(F$3&lt;=$O$2,$D141,$D141-($D141-$I$130)*MIN(F$3-$O$2,$Q$2)/$Q$2))</f>
        <v>2209.30402755737</v>
      </c>
      <c r="G141" s="15" t="n">
        <f aca="false">F141*(1+IF(G$3&lt;=$O$2,$D141,$D141-($D141-$I$130)*MIN(G$3-$O$2,$Q$2)/$Q$2))</f>
        <v>2085.24642835371</v>
      </c>
      <c r="H141" s="15" t="n">
        <f aca="false">G141*(1+IF(H$3&lt;=$O$2,$D141,$D141-($D141-$I$130)*MIN(H$3-$O$2,$Q$2)/$Q$2))</f>
        <v>1968.15495410533</v>
      </c>
      <c r="I141" s="15" t="n">
        <f aca="false">H141*(1+IF(I$3&lt;=$O$2,$D141,$D141-($D141-$I$130)*MIN(I$3-$O$2,$Q$2)/$Q$2))</f>
        <v>1857.63844056915</v>
      </c>
      <c r="J141" s="15" t="n">
        <f aca="false">I141*(1+IF(J$3&lt;=$O$2,$D141,$D141-($D141-$I$130)*MIN(J$3-$O$2,$Q$2)/$Q$2))</f>
        <v>1786.56171076089</v>
      </c>
      <c r="K141" s="15" t="n">
        <f aca="false">J141*(1+IF(K$3&lt;=$O$2,$D141,$D141-($D141-$I$130)*MIN(K$3-$O$2,$Q$2)/$Q$2))</f>
        <v>1750.16693636029</v>
      </c>
      <c r="L141" s="15" t="n">
        <f aca="false">K141*(1+IF(L$3&lt;=$O$2,$D141,$D141-($D141-$I$130)*MIN(L$3-$O$2,$Q$2)/$Q$2))</f>
        <v>1745.82488157661</v>
      </c>
      <c r="M141" s="15" t="n">
        <f aca="false">L141*(1+IF(M$3&lt;=$O$2,$D141,$D141-($D141-$I$130)*MIN(M$3-$O$2,$Q$2)/$Q$2))</f>
        <v>1772.7272246463</v>
      </c>
      <c r="N141" s="15" t="n">
        <f aca="false">M141*(1+IF(N$3&lt;=$O$2,$D141,$D141-($D141-$I$130)*MIN(N$3-$O$2,$Q$2)/$Q$2))</f>
        <v>1831.75904122702</v>
      </c>
      <c r="O141" s="15" t="n">
        <f aca="false">SUMPRODUCT(E141:N141,1/(1+$F$130)^$E$3:$N$3)*$E$2</f>
        <v>4131.97711690648</v>
      </c>
      <c r="P141" s="15" t="n">
        <f aca="false">N141*$E$2*(1+$I$130)/($F$130-$I$130)/(1+$F$130)^$N$3</f>
        <v>7483.65573059561</v>
      </c>
      <c r="Q141" s="15" t="n">
        <f aca="false">O141+P141</f>
        <v>11615.6328475021</v>
      </c>
      <c r="R141" s="15" t="n">
        <f aca="false">Q141-$G$2+$I$2</f>
        <v>10340.9628475021</v>
      </c>
      <c r="S141" s="42" t="n">
        <f aca="false">R141/$K$2</f>
        <v>290.721474486986</v>
      </c>
      <c r="T141" s="43" t="n">
        <f aca="false">S141-$M$2</f>
        <v>1.43274803210801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-0.0576171875</v>
      </c>
      <c r="C142" s="25" t="n">
        <f aca="false">IF(T141&gt;0,D141,C141)</f>
        <v>-0.05615234375</v>
      </c>
      <c r="D142" s="41" t="n">
        <f aca="false">(B142+C142)/2</f>
        <v>-0.056884765625</v>
      </c>
      <c r="E142" s="15" t="n">
        <f aca="false">$C$2*(1+IF(E$3&lt;=$O$2,$D142,$D142-($D142-$I$130)*MIN(E$3-$O$2,$Q$2)/$Q$2))</f>
        <v>2338.92578125</v>
      </c>
      <c r="F142" s="15" t="n">
        <f aca="false">E142*(1+IF(F$3&lt;=$O$2,$D142,$D142-($D142-$I$130)*MIN(F$3-$O$2,$Q$2)/$Q$2))</f>
        <v>2205.87653636932</v>
      </c>
      <c r="G142" s="15" t="n">
        <f aca="false">F142*(1+IF(G$3&lt;=$O$2,$D142,$D142-($D142-$I$130)*MIN(G$3-$O$2,$Q$2)/$Q$2))</f>
        <v>2080.39576660027</v>
      </c>
      <c r="H142" s="15" t="n">
        <f aca="false">G142*(1+IF(H$3&lt;=$O$2,$D142,$D142-($D142-$I$130)*MIN(H$3-$O$2,$Q$2)/$Q$2))</f>
        <v>1962.05294100997</v>
      </c>
      <c r="I142" s="15" t="n">
        <f aca="false">H142*(1+IF(I$3&lt;=$O$2,$D142,$D142-($D142-$I$130)*MIN(I$3-$O$2,$Q$2)/$Q$2))</f>
        <v>1850.44201931678</v>
      </c>
      <c r="J142" s="15" t="n">
        <f aca="false">I142*(1+IF(J$3&lt;=$O$2,$D142,$D142-($D142-$I$130)*MIN(J$3-$O$2,$Q$2)/$Q$2))</f>
        <v>1778.55639470824</v>
      </c>
      <c r="K142" s="15" t="n">
        <f aca="false">J142*(1+IF(K$3&lt;=$O$2,$D142,$D142-($D142-$I$130)*MIN(K$3-$O$2,$Q$2)/$Q$2))</f>
        <v>1741.54310768746</v>
      </c>
      <c r="L142" s="15" t="n">
        <f aca="false">K142*(1+IF(L$3&lt;=$O$2,$D142,$D142-($D142-$I$130)*MIN(L$3-$O$2,$Q$2)/$Q$2))</f>
        <v>1736.7122303764</v>
      </c>
      <c r="M142" s="15" t="n">
        <f aca="false">L142*(1+IF(M$3&lt;=$O$2,$D142,$D142-($D142-$I$130)*MIN(M$3-$O$2,$Q$2)/$Q$2))</f>
        <v>1763.21975055702</v>
      </c>
      <c r="N142" s="15" t="n">
        <f aca="false">M142*(1+IF(N$3&lt;=$O$2,$D142,$D142-($D142-$I$130)*MIN(N$3-$O$2,$Q$2)/$Q$2))</f>
        <v>1821.93496825057</v>
      </c>
      <c r="O142" s="15" t="n">
        <f aca="false">SUMPRODUCT(E142:N142,1/(1+$F$130)^$E$3:$N$3)*$E$2</f>
        <v>4118.68112496931</v>
      </c>
      <c r="P142" s="15" t="n">
        <f aca="false">N142*$E$2*(1+$I$130)/($F$130-$I$130)/(1+$F$130)^$N$3</f>
        <v>7443.51945809835</v>
      </c>
      <c r="Q142" s="15" t="n">
        <f aca="false">O142+P142</f>
        <v>11562.2005830677</v>
      </c>
      <c r="R142" s="15" t="n">
        <f aca="false">Q142-$G$2+$I$2</f>
        <v>10287.5305830677</v>
      </c>
      <c r="S142" s="42" t="n">
        <f aca="false">R142/$K$2</f>
        <v>289.219302307216</v>
      </c>
      <c r="T142" s="43" t="n">
        <f aca="false">S142-$M$2</f>
        <v>-0.0694241476621187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-0.056884765625</v>
      </c>
      <c r="C143" s="25" t="n">
        <f aca="false">IF(T142&gt;0,D142,C142)</f>
        <v>-0.05615234375</v>
      </c>
      <c r="D143" s="41" t="n">
        <f aca="false">(B143+C143)/2</f>
        <v>-0.0565185546875</v>
      </c>
      <c r="E143" s="15" t="n">
        <f aca="false">$C$2*(1+IF(E$3&lt;=$O$2,$D143,$D143-($D143-$I$130)*MIN(E$3-$O$2,$Q$2)/$Q$2))</f>
        <v>2339.833984375</v>
      </c>
      <c r="F143" s="15" t="n">
        <f aca="false">E143*(1+IF(F$3&lt;=$O$2,$D143,$D143-($D143-$I$130)*MIN(F$3-$O$2,$Q$2)/$Q$2))</f>
        <v>2207.58994936943</v>
      </c>
      <c r="G143" s="15" t="n">
        <f aca="false">F143*(1+IF(G$3&lt;=$O$2,$D143,$D143-($D143-$I$130)*MIN(G$3-$O$2,$Q$2)/$Q$2))</f>
        <v>2082.82015608842</v>
      </c>
      <c r="H143" s="15" t="n">
        <f aca="false">G143*(1+IF(H$3&lt;=$O$2,$D143,$D143-($D143-$I$130)*MIN(H$3-$O$2,$Q$2)/$Q$2))</f>
        <v>1965.10217119231</v>
      </c>
      <c r="I143" s="15" t="n">
        <f aca="false">H143*(1+IF(I$3&lt;=$O$2,$D143,$D143-($D143-$I$130)*MIN(I$3-$O$2,$Q$2)/$Q$2))</f>
        <v>1854.03743666325</v>
      </c>
      <c r="J143" s="15" t="n">
        <f aca="false">I143*(1+IF(J$3&lt;=$O$2,$D143,$D143-($D143-$I$130)*MIN(J$3-$O$2,$Q$2)/$Q$2))</f>
        <v>1782.55531298605</v>
      </c>
      <c r="K143" s="15" t="n">
        <f aca="false">J143*(1+IF(K$3&lt;=$O$2,$D143,$D143-($D143-$I$130)*MIN(K$3-$O$2,$Q$2)/$Q$2))</f>
        <v>1745.85047979073</v>
      </c>
      <c r="L143" s="15" t="n">
        <f aca="false">K143*(1+IF(L$3&lt;=$O$2,$D143,$D143-($D143-$I$130)*MIN(L$3-$O$2,$Q$2)/$Q$2))</f>
        <v>1741.26339404964</v>
      </c>
      <c r="M143" s="15" t="n">
        <f aca="false">L143*(1+IF(M$3&lt;=$O$2,$D143,$D143-($D143-$I$130)*MIN(M$3-$O$2,$Q$2)/$Q$2))</f>
        <v>1767.96791279474</v>
      </c>
      <c r="N143" s="15" t="n">
        <f aca="false">M143*(1+IF(N$3&lt;=$O$2,$D143,$D143-($D143-$I$130)*MIN(N$3-$O$2,$Q$2)/$Q$2))</f>
        <v>1826.8412442908</v>
      </c>
      <c r="O143" s="15" t="n">
        <f aca="false">SUMPRODUCT(E143:N143,1/(1+$F$130)^$E$3:$N$3)*$E$2</f>
        <v>4125.32355785877</v>
      </c>
      <c r="P143" s="15" t="n">
        <f aca="false">N143*$E$2*(1+$I$130)/($F$130-$I$130)/(1+$F$130)^$N$3</f>
        <v>7463.56406002362</v>
      </c>
      <c r="Q143" s="15" t="n">
        <f aca="false">O143+P143</f>
        <v>11588.8876178824</v>
      </c>
      <c r="R143" s="15" t="n">
        <f aca="false">Q143-$G$2+$I$2</f>
        <v>10314.2176178824</v>
      </c>
      <c r="S143" s="42" t="n">
        <f aca="false">R143/$K$2</f>
        <v>289.969570364981</v>
      </c>
      <c r="T143" s="43" t="n">
        <f aca="false">S143-$M$2</f>
        <v>0.680843910103704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-0.056884765625</v>
      </c>
      <c r="C144" s="25" t="n">
        <f aca="false">IF(T143&gt;0,D143,C143)</f>
        <v>-0.0565185546875</v>
      </c>
      <c r="D144" s="41" t="n">
        <f aca="false">(B144+C144)/2</f>
        <v>-0.05670166015625</v>
      </c>
      <c r="E144" s="15" t="n">
        <f aca="false">$C$2*(1+IF(E$3&lt;=$O$2,$D144,$D144-($D144-$I$130)*MIN(E$3-$O$2,$Q$2)/$Q$2))</f>
        <v>2339.3798828125</v>
      </c>
      <c r="F144" s="15" t="n">
        <f aca="false">E144*(1+IF(F$3&lt;=$O$2,$D144,$D144-($D144-$I$130)*MIN(F$3-$O$2,$Q$2)/$Q$2))</f>
        <v>2206.7331597209</v>
      </c>
      <c r="G144" s="15" t="n">
        <f aca="false">F144*(1+IF(G$3&lt;=$O$2,$D144,$D144-($D144-$I$130)*MIN(G$3-$O$2,$Q$2)/$Q$2))</f>
        <v>2081.60772604288</v>
      </c>
      <c r="H144" s="15" t="n">
        <f aca="false">G144*(1+IF(H$3&lt;=$O$2,$D144,$D144-($D144-$I$130)*MIN(H$3-$O$2,$Q$2)/$Q$2))</f>
        <v>1963.57711218217</v>
      </c>
      <c r="I144" s="15" t="n">
        <f aca="false">H144*(1+IF(I$3&lt;=$O$2,$D144,$D144-($D144-$I$130)*MIN(I$3-$O$2,$Q$2)/$Q$2))</f>
        <v>1852.23903007662</v>
      </c>
      <c r="J144" s="15" t="n">
        <f aca="false">I144*(1+IF(J$3&lt;=$O$2,$D144,$D144-($D144-$I$130)*MIN(J$3-$O$2,$Q$2)/$Q$2))</f>
        <v>1780.5549196077</v>
      </c>
      <c r="K144" s="15" t="n">
        <f aca="false">J144*(1+IF(K$3&lt;=$O$2,$D144,$D144-($D144-$I$130)*MIN(K$3-$O$2,$Q$2)/$Q$2))</f>
        <v>1743.69565917219</v>
      </c>
      <c r="L144" s="15" t="n">
        <f aca="false">K144*(1+IF(L$3&lt;=$O$2,$D144,$D144-($D144-$I$130)*MIN(L$3-$O$2,$Q$2)/$Q$2))</f>
        <v>1738.98652296953</v>
      </c>
      <c r="M144" s="15" t="n">
        <f aca="false">L144*(1+IF(M$3&lt;=$O$2,$D144,$D144-($D144-$I$130)*MIN(M$3-$O$2,$Q$2)/$Q$2))</f>
        <v>1765.59243937309</v>
      </c>
      <c r="N144" s="15" t="n">
        <f aca="false">M144*(1+IF(N$3&lt;=$O$2,$D144,$D144-($D144-$I$130)*MIN(N$3-$O$2,$Q$2)/$Q$2))</f>
        <v>1824.38666760422</v>
      </c>
      <c r="O144" s="15" t="n">
        <f aca="false">SUMPRODUCT(E144:N144,1/(1+$F$130)^$E$3:$N$3)*$E$2</f>
        <v>4122.00095176165</v>
      </c>
      <c r="P144" s="15" t="n">
        <f aca="false">N144*$E$2*(1+$I$130)/($F$130-$I$130)/(1+$F$130)^$N$3</f>
        <v>7453.53588138585</v>
      </c>
      <c r="Q144" s="15" t="n">
        <f aca="false">O144+P144</f>
        <v>11575.5368331475</v>
      </c>
      <c r="R144" s="15" t="n">
        <f aca="false">Q144-$G$2+$I$2</f>
        <v>10300.8668331475</v>
      </c>
      <c r="S144" s="42" t="n">
        <f aca="false">R144/$K$2</f>
        <v>289.594232025513</v>
      </c>
      <c r="T144" s="43" t="n">
        <f aca="false">S144-$M$2</f>
        <v>0.305505570635205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-0.056884765625</v>
      </c>
      <c r="C145" s="25" t="n">
        <f aca="false">IF(T144&gt;0,D144,C144)</f>
        <v>-0.05670166015625</v>
      </c>
      <c r="D145" s="41" t="n">
        <f aca="false">(B145+C145)/2</f>
        <v>-0.056793212890625</v>
      </c>
      <c r="E145" s="15" t="n">
        <f aca="false">$C$2*(1+IF(E$3&lt;=$O$2,$D145,$D145-($D145-$I$130)*MIN(E$3-$O$2,$Q$2)/$Q$2))</f>
        <v>2339.15283203125</v>
      </c>
      <c r="F145" s="15" t="n">
        <f aca="false">E145*(1+IF(F$3&lt;=$O$2,$D145,$D145-($D145-$I$130)*MIN(F$3-$O$2,$Q$2)/$Q$2))</f>
        <v>2206.30482725799</v>
      </c>
      <c r="G145" s="15" t="n">
        <f aca="false">F145*(1+IF(G$3&lt;=$O$2,$D145,$D145-($D145-$I$130)*MIN(G$3-$O$2,$Q$2)/$Q$2))</f>
        <v>2081.00168750191</v>
      </c>
      <c r="H145" s="15" t="n">
        <f aca="false">G145*(1+IF(H$3&lt;=$O$2,$D145,$D145-($D145-$I$130)*MIN(H$3-$O$2,$Q$2)/$Q$2))</f>
        <v>1962.81491563787</v>
      </c>
      <c r="I145" s="15" t="n">
        <f aca="false">H145*(1+IF(I$3&lt;=$O$2,$D145,$D145-($D145-$I$130)*MIN(I$3-$O$2,$Q$2)/$Q$2))</f>
        <v>1851.34035026915</v>
      </c>
      <c r="J145" s="15" t="n">
        <f aca="false">I145*(1+IF(J$3&lt;=$O$2,$D145,$D145-($D145-$I$130)*MIN(J$3-$O$2,$Q$2)/$Q$2))</f>
        <v>1779.55542368527</v>
      </c>
      <c r="K145" s="15" t="n">
        <f aca="false">J145*(1+IF(K$3&lt;=$O$2,$D145,$D145-($D145-$I$130)*MIN(K$3-$O$2,$Q$2)/$Q$2))</f>
        <v>1742.61909991195</v>
      </c>
      <c r="L145" s="15" t="n">
        <f aca="false">K145*(1+IF(L$3&lt;=$O$2,$D145,$D145-($D145-$I$130)*MIN(L$3-$O$2,$Q$2)/$Q$2))</f>
        <v>1737.84905451676</v>
      </c>
      <c r="M145" s="15" t="n">
        <f aca="false">L145*(1+IF(M$3&lt;=$O$2,$D145,$D145-($D145-$I$130)*MIN(M$3-$O$2,$Q$2)/$Q$2))</f>
        <v>1764.4057470641</v>
      </c>
      <c r="N145" s="15" t="n">
        <f aca="false">M145*(1+IF(N$3&lt;=$O$2,$D145,$D145-($D145-$I$130)*MIN(N$3-$O$2,$Q$2)/$Q$2))</f>
        <v>1823.16045844133</v>
      </c>
      <c r="O145" s="15" t="n">
        <f aca="false">SUMPRODUCT(E145:N145,1/(1+$F$130)^$E$3:$N$3)*$E$2</f>
        <v>4120.34069109197</v>
      </c>
      <c r="P145" s="15" t="n">
        <f aca="false">N145*$E$2*(1+$I$130)/($F$130-$I$130)/(1+$F$130)^$N$3</f>
        <v>7448.52620106099</v>
      </c>
      <c r="Q145" s="15" t="n">
        <f aca="false">O145+P145</f>
        <v>11568.866892153</v>
      </c>
      <c r="R145" s="15" t="n">
        <f aca="false">Q145-$G$2+$I$2</f>
        <v>10294.196892153</v>
      </c>
      <c r="S145" s="42" t="n">
        <f aca="false">R145/$K$2</f>
        <v>289.406716113381</v>
      </c>
      <c r="T145" s="43" t="n">
        <f aca="false">S145-$M$2</f>
        <v>0.117989658503063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-0.056884765625</v>
      </c>
      <c r="C146" s="25" t="n">
        <f aca="false">IF(T145&gt;0,D145,C145)</f>
        <v>-0.056793212890625</v>
      </c>
      <c r="D146" s="41" t="n">
        <f aca="false">(B146+C146)/2</f>
        <v>-0.0568389892578125</v>
      </c>
      <c r="E146" s="15" t="n">
        <f aca="false">$C$2*(1+IF(E$3&lt;=$O$2,$D146,$D146-($D146-$I$130)*MIN(E$3-$O$2,$Q$2)/$Q$2))</f>
        <v>2339.03930664063</v>
      </c>
      <c r="F146" s="15" t="n">
        <f aca="false">E146*(1+IF(F$3&lt;=$O$2,$D146,$D146-($D146-$I$130)*MIN(F$3-$O$2,$Q$2)/$Q$2))</f>
        <v>2206.09067661688</v>
      </c>
      <c r="G146" s="15" t="n">
        <f aca="false">F146*(1+IF(G$3&lt;=$O$2,$D146,$D146-($D146-$I$130)*MIN(G$3-$O$2,$Q$2)/$Q$2))</f>
        <v>2080.69871234689</v>
      </c>
      <c r="H146" s="15" t="n">
        <f aca="false">G146*(1+IF(H$3&lt;=$O$2,$D146,$D146-($D146-$I$130)*MIN(H$3-$O$2,$Q$2)/$Q$2))</f>
        <v>1962.43390058706</v>
      </c>
      <c r="I146" s="15" t="n">
        <f aca="false">H146*(1+IF(I$3&lt;=$O$2,$D146,$D146-($D146-$I$130)*MIN(I$3-$O$2,$Q$2)/$Q$2))</f>
        <v>1850.89114119243</v>
      </c>
      <c r="J146" s="15" t="n">
        <f aca="false">I146*(1+IF(J$3&lt;=$O$2,$D146,$D146-($D146-$I$130)*MIN(J$3-$O$2,$Q$2)/$Q$2))</f>
        <v>1779.05585083947</v>
      </c>
      <c r="K146" s="15" t="n">
        <f aca="false">J146*(1+IF(K$3&lt;=$O$2,$D146,$D146-($D146-$I$130)*MIN(K$3-$O$2,$Q$2)/$Q$2))</f>
        <v>1742.08103293571</v>
      </c>
      <c r="L146" s="15" t="n">
        <f aca="false">K146*(1+IF(L$3&lt;=$O$2,$D146,$D146-($D146-$I$130)*MIN(L$3-$O$2,$Q$2)/$Q$2))</f>
        <v>1737.28056192685</v>
      </c>
      <c r="M146" s="15" t="n">
        <f aca="false">L146*(1+IF(M$3&lt;=$O$2,$D146,$D146-($D146-$I$130)*MIN(M$3-$O$2,$Q$2)/$Q$2))</f>
        <v>1763.81266185715</v>
      </c>
      <c r="N146" s="15" t="n">
        <f aca="false">M146*(1+IF(N$3&lt;=$O$2,$D146,$D146-($D146-$I$130)*MIN(N$3-$O$2,$Q$2)/$Q$2))</f>
        <v>1822.547623497</v>
      </c>
      <c r="O146" s="15" t="n">
        <f aca="false">SUMPRODUCT(E146:N146,1/(1+$F$130)^$E$3:$N$3)*$E$2</f>
        <v>4119.5108212297</v>
      </c>
      <c r="P146" s="15" t="n">
        <f aca="false">N146*$E$2*(1+$I$130)/($F$130-$I$130)/(1+$F$130)^$N$3</f>
        <v>7446.02246250156</v>
      </c>
      <c r="Q146" s="15" t="n">
        <f aca="false">O146+P146</f>
        <v>11565.5332837313</v>
      </c>
      <c r="R146" s="15" t="n">
        <f aca="false">Q146-$G$2+$I$2</f>
        <v>10290.8632837313</v>
      </c>
      <c r="S146" s="42" t="n">
        <f aca="false">R146/$K$2</f>
        <v>289.312996450134</v>
      </c>
      <c r="T146" s="43" t="n">
        <f aca="false">S146-$M$2</f>
        <v>0.0242699952563044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-0.056884765625</v>
      </c>
      <c r="C147" s="25" t="n">
        <f aca="false">IF(T146&gt;0,D146,C146)</f>
        <v>-0.0568389892578125</v>
      </c>
      <c r="D147" s="41" t="n">
        <f aca="false">(B147+C147)/2</f>
        <v>-0.0568618774414063</v>
      </c>
      <c r="E147" s="15" t="n">
        <f aca="false">$C$2*(1+IF(E$3&lt;=$O$2,$D147,$D147-($D147-$I$130)*MIN(E$3-$O$2,$Q$2)/$Q$2))</f>
        <v>2338.98254394531</v>
      </c>
      <c r="F147" s="15" t="n">
        <f aca="false">E147*(1+IF(F$3&lt;=$O$2,$D147,$D147-($D147-$I$130)*MIN(F$3-$O$2,$Q$2)/$Q$2))</f>
        <v>2205.98360519391</v>
      </c>
      <c r="G147" s="15" t="n">
        <f aca="false">F147*(1+IF(G$3&lt;=$O$2,$D147,$D147-($D147-$I$130)*MIN(G$3-$O$2,$Q$2)/$Q$2))</f>
        <v>2080.54723579762</v>
      </c>
      <c r="H147" s="15" t="n">
        <f aca="false">G147*(1+IF(H$3&lt;=$O$2,$D147,$D147-($D147-$I$130)*MIN(H$3-$O$2,$Q$2)/$Q$2))</f>
        <v>1962.24341386464</v>
      </c>
      <c r="I147" s="15" t="n">
        <f aca="false">H147*(1+IF(I$3&lt;=$O$2,$D147,$D147-($D147-$I$130)*MIN(I$3-$O$2,$Q$2)/$Q$2))</f>
        <v>1850.66656935526</v>
      </c>
      <c r="J147" s="15" t="n">
        <f aca="false">I147*(1+IF(J$3&lt;=$O$2,$D147,$D147-($D147-$I$130)*MIN(J$3-$O$2,$Q$2)/$Q$2))</f>
        <v>1778.8061081859</v>
      </c>
      <c r="K147" s="15" t="n">
        <f aca="false">J147*(1+IF(K$3&lt;=$O$2,$D147,$D147-($D147-$I$130)*MIN(K$3-$O$2,$Q$2)/$Q$2))</f>
        <v>1741.81205259752</v>
      </c>
      <c r="L147" s="15" t="n">
        <f aca="false">K147*(1+IF(L$3&lt;=$O$2,$D147,$D147-($D147-$I$130)*MIN(L$3-$O$2,$Q$2)/$Q$2))</f>
        <v>1736.99637602411</v>
      </c>
      <c r="M147" s="15" t="n">
        <f aca="false">L147*(1+IF(M$3&lt;=$O$2,$D147,$D147-($D147-$I$130)*MIN(M$3-$O$2,$Q$2)/$Q$2))</f>
        <v>1763.51618447146</v>
      </c>
      <c r="N147" s="15" t="n">
        <f aca="false">M147*(1+IF(N$3&lt;=$O$2,$D147,$D147-($D147-$I$130)*MIN(N$3-$O$2,$Q$2)/$Q$2))</f>
        <v>1822.24127341436</v>
      </c>
      <c r="O147" s="15" t="n">
        <f aca="false">SUMPRODUCT(E147:N147,1/(1+$F$130)^$E$3:$N$3)*$E$2</f>
        <v>4119.09595140145</v>
      </c>
      <c r="P147" s="15" t="n">
        <f aca="false">N147*$E$2*(1+$I$130)/($F$130-$I$130)/(1+$F$130)^$N$3</f>
        <v>7444.77086854195</v>
      </c>
      <c r="Q147" s="15" t="n">
        <f aca="false">O147+P147</f>
        <v>11563.8668199434</v>
      </c>
      <c r="R147" s="15" t="n">
        <f aca="false">Q147-$G$2+$I$2</f>
        <v>10289.1968199434</v>
      </c>
      <c r="S147" s="42" t="n">
        <f aca="false">R147/$K$2</f>
        <v>289.266146189019</v>
      </c>
      <c r="T147" s="43" t="n">
        <f aca="false">S147-$M$2</f>
        <v>-0.0225802658587781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-0.0568618774414063</v>
      </c>
      <c r="C148" s="25" t="n">
        <f aca="false">IF(T147&gt;0,D147,C147)</f>
        <v>-0.0568389892578125</v>
      </c>
      <c r="D148" s="41" t="n">
        <f aca="false">(B148+C148)/2</f>
        <v>-0.0568504333496094</v>
      </c>
      <c r="E148" s="15" t="n">
        <f aca="false">$C$2*(1+IF(E$3&lt;=$O$2,$D148,$D148-($D148-$I$130)*MIN(E$3-$O$2,$Q$2)/$Q$2))</f>
        <v>2339.01092529297</v>
      </c>
      <c r="F148" s="15" t="n">
        <f aca="false">E148*(1+IF(F$3&lt;=$O$2,$D148,$D148-($D148-$I$130)*MIN(F$3-$O$2,$Q$2)/$Q$2))</f>
        <v>2206.03714058059</v>
      </c>
      <c r="G148" s="15" t="n">
        <f aca="false">F148*(1+IF(G$3&lt;=$O$2,$D148,$D148-($D148-$I$130)*MIN(G$3-$O$2,$Q$2)/$Q$2))</f>
        <v>2080.62297315325</v>
      </c>
      <c r="H148" s="15" t="n">
        <f aca="false">G148*(1+IF(H$3&lt;=$O$2,$D148,$D148-($D148-$I$130)*MIN(H$3-$O$2,$Q$2)/$Q$2))</f>
        <v>1962.33865549234</v>
      </c>
      <c r="I148" s="15" t="n">
        <f aca="false">H148*(1+IF(I$3&lt;=$O$2,$D148,$D148-($D148-$I$130)*MIN(I$3-$O$2,$Q$2)/$Q$2))</f>
        <v>1850.77885254891</v>
      </c>
      <c r="J148" s="15" t="n">
        <f aca="false">I148*(1+IF(J$3&lt;=$O$2,$D148,$D148-($D148-$I$130)*MIN(J$3-$O$2,$Q$2)/$Q$2))</f>
        <v>1778.93097586553</v>
      </c>
      <c r="K148" s="15" t="n">
        <f aca="false">J148*(1+IF(K$3&lt;=$O$2,$D148,$D148-($D148-$I$130)*MIN(K$3-$O$2,$Q$2)/$Q$2))</f>
        <v>1741.94653833786</v>
      </c>
      <c r="L148" s="15" t="n">
        <f aca="false">K148*(1+IF(L$3&lt;=$O$2,$D148,$D148-($D148-$I$130)*MIN(L$3-$O$2,$Q$2)/$Q$2))</f>
        <v>1737.1384639433</v>
      </c>
      <c r="M148" s="15" t="n">
        <f aca="false">L148*(1+IF(M$3&lt;=$O$2,$D148,$D148-($D148-$I$130)*MIN(M$3-$O$2,$Q$2)/$Q$2))</f>
        <v>1763.66441773006</v>
      </c>
      <c r="N148" s="15" t="n">
        <f aca="false">M148*(1+IF(N$3&lt;=$O$2,$D148,$D148-($D148-$I$130)*MIN(N$3-$O$2,$Q$2)/$Q$2))</f>
        <v>1822.39444284047</v>
      </c>
      <c r="O148" s="15" t="n">
        <f aca="false">SUMPRODUCT(E148:N148,1/(1+$F$130)^$E$3:$N$3)*$E$2</f>
        <v>4119.30338089079</v>
      </c>
      <c r="P148" s="15" t="n">
        <f aca="false">N148*$E$2*(1+$I$130)/($F$130-$I$130)/(1+$F$130)^$N$3</f>
        <v>7445.39664258082</v>
      </c>
      <c r="Q148" s="15" t="n">
        <f aca="false">O148+P148</f>
        <v>11564.7000234716</v>
      </c>
      <c r="R148" s="15" t="n">
        <f aca="false">Q148-$G$2+$I$2</f>
        <v>10290.0300234716</v>
      </c>
      <c r="S148" s="42" t="n">
        <f aca="false">R148/$K$2</f>
        <v>289.289570522114</v>
      </c>
      <c r="T148" s="43" t="n">
        <f aca="false">S148-$M$2</f>
        <v>0.00084406723669872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-0.0568618774414063</v>
      </c>
      <c r="C149" s="25" t="n">
        <f aca="false">IF(T148&gt;0,D148,C148)</f>
        <v>-0.0568504333496094</v>
      </c>
      <c r="D149" s="41" t="n">
        <f aca="false">(B149+C149)/2</f>
        <v>-0.0568561553955078</v>
      </c>
      <c r="E149" s="15" t="n">
        <f aca="false">$C$2*(1+IF(E$3&lt;=$O$2,$D149,$D149-($D149-$I$130)*MIN(E$3-$O$2,$Q$2)/$Q$2))</f>
        <v>2338.99673461914</v>
      </c>
      <c r="F149" s="15" t="n">
        <f aca="false">E149*(1+IF(F$3&lt;=$O$2,$D149,$D149-($D149-$I$130)*MIN(F$3-$O$2,$Q$2)/$Q$2))</f>
        <v>2206.01037280605</v>
      </c>
      <c r="G149" s="15" t="n">
        <f aca="false">F149*(1+IF(G$3&lt;=$O$2,$D149,$D149-($D149-$I$130)*MIN(G$3-$O$2,$Q$2)/$Q$2))</f>
        <v>2080.58510424569</v>
      </c>
      <c r="H149" s="15" t="n">
        <f aca="false">G149*(1+IF(H$3&lt;=$O$2,$D149,$D149-($D149-$I$130)*MIN(H$3-$O$2,$Q$2)/$Q$2))</f>
        <v>1962.29103424512</v>
      </c>
      <c r="I149" s="15" t="n">
        <f aca="false">H149*(1+IF(I$3&lt;=$O$2,$D149,$D149-($D149-$I$130)*MIN(I$3-$O$2,$Q$2)/$Q$2))</f>
        <v>1850.72271027086</v>
      </c>
      <c r="J149" s="15" t="n">
        <f aca="false">I149*(1+IF(J$3&lt;=$O$2,$D149,$D149-($D149-$I$130)*MIN(J$3-$O$2,$Q$2)/$Q$2))</f>
        <v>1778.86854111394</v>
      </c>
      <c r="K149" s="15" t="n">
        <f aca="false">J149*(1+IF(K$3&lt;=$O$2,$D149,$D149-($D149-$I$130)*MIN(K$3-$O$2,$Q$2)/$Q$2))</f>
        <v>1741.87929436053</v>
      </c>
      <c r="L149" s="15" t="n">
        <f aca="false">K149*(1+IF(L$3&lt;=$O$2,$D149,$D149-($D149-$I$130)*MIN(L$3-$O$2,$Q$2)/$Q$2))</f>
        <v>1737.0674187257</v>
      </c>
      <c r="M149" s="15" t="n">
        <f aca="false">L149*(1+IF(M$3&lt;=$O$2,$D149,$D149-($D149-$I$130)*MIN(M$3-$O$2,$Q$2)/$Q$2))</f>
        <v>1763.59029974224</v>
      </c>
      <c r="N149" s="15" t="n">
        <f aca="false">M149*(1+IF(N$3&lt;=$O$2,$D149,$D149-($D149-$I$130)*MIN(N$3-$O$2,$Q$2)/$Q$2))</f>
        <v>1822.31785672366</v>
      </c>
      <c r="O149" s="15" t="n">
        <f aca="false">SUMPRODUCT(E149:N149,1/(1+$F$130)^$E$3:$N$3)*$E$2</f>
        <v>4119.19966478996</v>
      </c>
      <c r="P149" s="15" t="n">
        <f aca="false">N149*$E$2*(1+$I$130)/($F$130-$I$130)/(1+$F$130)^$N$3</f>
        <v>7445.08374982633</v>
      </c>
      <c r="Q149" s="15" t="n">
        <f aca="false">O149+P149</f>
        <v>11564.2834146163</v>
      </c>
      <c r="R149" s="15" t="n">
        <f aca="false">Q149-$G$2+$I$2</f>
        <v>10289.6134146163</v>
      </c>
      <c r="S149" s="42" t="n">
        <f aca="false">R149/$K$2</f>
        <v>289.277858156207</v>
      </c>
      <c r="T149" s="43" t="n">
        <f aca="false">S149-$M$2</f>
        <v>-0.0108682986706299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-0.0568561553955078</v>
      </c>
      <c r="C150" s="25" t="n">
        <f aca="false">IF(T149&gt;0,D149,C149)</f>
        <v>-0.0568504333496094</v>
      </c>
      <c r="D150" s="41" t="n">
        <f aca="false">(B150+C150)/2</f>
        <v>-0.0568532943725586</v>
      </c>
      <c r="E150" s="15" t="n">
        <f aca="false">$C$2*(1+IF(E$3&lt;=$O$2,$D150,$D150-($D150-$I$130)*MIN(E$3-$O$2,$Q$2)/$Q$2))</f>
        <v>2339.00382995605</v>
      </c>
      <c r="F150" s="15" t="n">
        <f aca="false">E150*(1+IF(F$3&lt;=$O$2,$D150,$D150-($D150-$I$130)*MIN(F$3-$O$2,$Q$2)/$Q$2))</f>
        <v>2206.02375667302</v>
      </c>
      <c r="G150" s="15" t="n">
        <f aca="false">F150*(1+IF(G$3&lt;=$O$2,$D150,$D150-($D150-$I$130)*MIN(G$3-$O$2,$Q$2)/$Q$2))</f>
        <v>2080.60403864203</v>
      </c>
      <c r="H150" s="15" t="n">
        <f aca="false">G150*(1+IF(H$3&lt;=$O$2,$D150,$D150-($D150-$I$130)*MIN(H$3-$O$2,$Q$2)/$Q$2))</f>
        <v>1962.31484476038</v>
      </c>
      <c r="I150" s="15" t="n">
        <f aca="false">H150*(1+IF(I$3&lt;=$O$2,$D150,$D150-($D150-$I$130)*MIN(I$3-$O$2,$Q$2)/$Q$2))</f>
        <v>1850.75078123958</v>
      </c>
      <c r="J150" s="15" t="n">
        <f aca="false">I150*(1+IF(J$3&lt;=$O$2,$D150,$D150-($D150-$I$130)*MIN(J$3-$O$2,$Q$2)/$Q$2))</f>
        <v>1778.89975826179</v>
      </c>
      <c r="K150" s="15" t="n">
        <f aca="false">J150*(1+IF(K$3&lt;=$O$2,$D150,$D150-($D150-$I$130)*MIN(K$3-$O$2,$Q$2)/$Q$2))</f>
        <v>1741.9129160724</v>
      </c>
      <c r="L150" s="15" t="n">
        <f aca="false">K150*(1+IF(L$3&lt;=$O$2,$D150,$D150-($D150-$I$130)*MIN(L$3-$O$2,$Q$2)/$Q$2))</f>
        <v>1737.10294101999</v>
      </c>
      <c r="M150" s="15" t="n">
        <f aca="false">L150*(1+IF(M$3&lt;=$O$2,$D150,$D150-($D150-$I$130)*MIN(M$3-$O$2,$Q$2)/$Q$2))</f>
        <v>1763.62735839652</v>
      </c>
      <c r="N150" s="15" t="n">
        <f aca="false">M150*(1+IF(N$3&lt;=$O$2,$D150,$D150-($D150-$I$130)*MIN(N$3-$O$2,$Q$2)/$Q$2))</f>
        <v>1822.35614943112</v>
      </c>
      <c r="O150" s="15" t="n">
        <f aca="false">SUMPRODUCT(E150:N150,1/(1+$F$130)^$E$3:$N$3)*$E$2</f>
        <v>4119.25152250133</v>
      </c>
      <c r="P150" s="15" t="n">
        <f aca="false">N150*$E$2*(1+$I$130)/($F$130-$I$130)/(1+$F$130)^$N$3</f>
        <v>7445.24019476979</v>
      </c>
      <c r="Q150" s="15" t="n">
        <f aca="false">O150+P150</f>
        <v>11564.4917172711</v>
      </c>
      <c r="R150" s="15" t="n">
        <f aca="false">Q150-$G$2+$I$2</f>
        <v>10289.8217172711</v>
      </c>
      <c r="S150" s="42" t="n">
        <f aca="false">R150/$K$2</f>
        <v>289.28371428932</v>
      </c>
      <c r="T150" s="43" t="n">
        <f aca="false">S150-$M$2</f>
        <v>-0.00501216555755946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-0.0568532943725586</v>
      </c>
      <c r="C151" s="25" t="n">
        <f aca="false">IF(T150&gt;0,D150,C150)</f>
        <v>-0.0568504333496094</v>
      </c>
      <c r="D151" s="41" t="n">
        <f aca="false">(B151+C151)/2</f>
        <v>-0.056851863861084</v>
      </c>
      <c r="E151" s="15" t="n">
        <f aca="false">$C$2*(1+IF(E$3&lt;=$O$2,$D151,$D151-($D151-$I$130)*MIN(E$3-$O$2,$Q$2)/$Q$2))</f>
        <v>2339.00737762451</v>
      </c>
      <c r="F151" s="15" t="n">
        <f aca="false">E151*(1+IF(F$3&lt;=$O$2,$D151,$D151-($D151-$I$130)*MIN(F$3-$O$2,$Q$2)/$Q$2))</f>
        <v>2206.03044862173</v>
      </c>
      <c r="G151" s="15" t="n">
        <f aca="false">F151*(1+IF(G$3&lt;=$O$2,$D151,$D151-($D151-$I$130)*MIN(G$3-$O$2,$Q$2)/$Q$2))</f>
        <v>2080.61350588328</v>
      </c>
      <c r="H151" s="15" t="n">
        <f aca="false">G151*(1+IF(H$3&lt;=$O$2,$D151,$D151-($D151-$I$130)*MIN(H$3-$O$2,$Q$2)/$Q$2))</f>
        <v>1962.32675009927</v>
      </c>
      <c r="I151" s="15" t="n">
        <f aca="false">H151*(1+IF(I$3&lt;=$O$2,$D151,$D151-($D151-$I$130)*MIN(I$3-$O$2,$Q$2)/$Q$2))</f>
        <v>1850.76481685167</v>
      </c>
      <c r="J151" s="15" t="n">
        <f aca="false">I151*(1+IF(J$3&lt;=$O$2,$D151,$D151-($D151-$I$130)*MIN(J$3-$O$2,$Q$2)/$Q$2))</f>
        <v>1778.91536700667</v>
      </c>
      <c r="K151" s="15" t="n">
        <f aca="false">J151*(1+IF(K$3&lt;=$O$2,$D151,$D151-($D151-$I$130)*MIN(K$3-$O$2,$Q$2)/$Q$2))</f>
        <v>1741.92972713593</v>
      </c>
      <c r="L151" s="15" t="n">
        <f aca="false">K151*(1+IF(L$3&lt;=$O$2,$D151,$D151-($D151-$I$130)*MIN(L$3-$O$2,$Q$2)/$Q$2))</f>
        <v>1737.12070240302</v>
      </c>
      <c r="M151" s="15" t="n">
        <f aca="false">L151*(1+IF(M$3&lt;=$O$2,$D151,$D151-($D151-$I$130)*MIN(M$3-$O$2,$Q$2)/$Q$2))</f>
        <v>1763.64588797838</v>
      </c>
      <c r="N151" s="15" t="n">
        <f aca="false">M151*(1+IF(N$3&lt;=$O$2,$D151,$D151-($D151-$I$130)*MIN(N$3-$O$2,$Q$2)/$Q$2))</f>
        <v>1822.37529604806</v>
      </c>
      <c r="O151" s="15" t="n">
        <f aca="false">SUMPRODUCT(E151:N151,1/(1+$F$130)^$E$3:$N$3)*$E$2</f>
        <v>4119.2774516113</v>
      </c>
      <c r="P151" s="15" t="n">
        <f aca="false">N151*$E$2*(1+$I$130)/($F$130-$I$130)/(1+$F$130)^$N$3</f>
        <v>7445.31841831685</v>
      </c>
      <c r="Q151" s="15" t="n">
        <f aca="false">O151+P151</f>
        <v>11564.5958699282</v>
      </c>
      <c r="R151" s="15" t="n">
        <f aca="false">Q151-$G$2+$I$2</f>
        <v>10289.9258699282</v>
      </c>
      <c r="S151" s="42" t="n">
        <f aca="false">R151/$K$2</f>
        <v>289.286642393257</v>
      </c>
      <c r="T151" s="43" t="n">
        <f aca="false">S151-$M$2</f>
        <v>-0.00208406162073516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-0.056851863861084</v>
      </c>
      <c r="C152" s="25" t="n">
        <f aca="false">IF(T151&gt;0,D151,C151)</f>
        <v>-0.0568504333496094</v>
      </c>
      <c r="D152" s="41" t="n">
        <f aca="false">(B152+C152)/2</f>
        <v>-0.0568511486053467</v>
      </c>
      <c r="E152" s="15" t="n">
        <f aca="false">$C$2*(1+IF(E$3&lt;=$O$2,$D152,$D152-($D152-$I$130)*MIN(E$3-$O$2,$Q$2)/$Q$2))</f>
        <v>2339.00915145874</v>
      </c>
      <c r="F152" s="15" t="n">
        <f aca="false">E152*(1+IF(F$3&lt;=$O$2,$D152,$D152-($D152-$I$130)*MIN(F$3-$O$2,$Q$2)/$Q$2))</f>
        <v>2206.03379459989</v>
      </c>
      <c r="G152" s="15" t="n">
        <f aca="false">F152*(1+IF(G$3&lt;=$O$2,$D152,$D152-($D152-$I$130)*MIN(G$3-$O$2,$Q$2)/$Q$2))</f>
        <v>2080.61823951468</v>
      </c>
      <c r="H152" s="15" t="n">
        <f aca="false">G152*(1+IF(H$3&lt;=$O$2,$D152,$D152-($D152-$I$130)*MIN(H$3-$O$2,$Q$2)/$Q$2))</f>
        <v>1962.33270278903</v>
      </c>
      <c r="I152" s="15" t="n">
        <f aca="false">H152*(1+IF(I$3&lt;=$O$2,$D152,$D152-($D152-$I$130)*MIN(I$3-$O$2,$Q$2)/$Q$2))</f>
        <v>1850.77183468964</v>
      </c>
      <c r="J152" s="15" t="n">
        <f aca="false">I152*(1+IF(J$3&lt;=$O$2,$D152,$D152-($D152-$I$130)*MIN(J$3-$O$2,$Q$2)/$Q$2))</f>
        <v>1778.92317142185</v>
      </c>
      <c r="K152" s="15" t="n">
        <f aca="false">J152*(1+IF(K$3&lt;=$O$2,$D152,$D152-($D152-$I$130)*MIN(K$3-$O$2,$Q$2)/$Q$2))</f>
        <v>1741.93813271959</v>
      </c>
      <c r="L152" s="15" t="n">
        <f aca="false">K152*(1+IF(L$3&lt;=$O$2,$D152,$D152-($D152-$I$130)*MIN(L$3-$O$2,$Q$2)/$Q$2))</f>
        <v>1737.1295831535</v>
      </c>
      <c r="M152" s="15" t="n">
        <f aca="false">L152*(1+IF(M$3&lt;=$O$2,$D152,$D152-($D152-$I$130)*MIN(M$3-$O$2,$Q$2)/$Q$2))</f>
        <v>1763.65515283299</v>
      </c>
      <c r="N152" s="15" t="n">
        <f aca="false">M152*(1+IF(N$3&lt;=$O$2,$D152,$D152-($D152-$I$130)*MIN(N$3-$O$2,$Q$2)/$Q$2))</f>
        <v>1822.38486942233</v>
      </c>
      <c r="O152" s="15" t="n">
        <f aca="false">SUMPRODUCT(E152:N152,1/(1+$F$130)^$E$3:$N$3)*$E$2</f>
        <v>4119.29041622986</v>
      </c>
      <c r="P152" s="15" t="n">
        <f aca="false">N152*$E$2*(1+$I$130)/($F$130-$I$130)/(1+$F$130)^$N$3</f>
        <v>7445.35753035922</v>
      </c>
      <c r="Q152" s="15" t="n">
        <f aca="false">O152+P152</f>
        <v>11564.6479465891</v>
      </c>
      <c r="R152" s="15" t="n">
        <f aca="false">Q152-$G$2+$I$2</f>
        <v>10289.9779465891</v>
      </c>
      <c r="S152" s="42" t="n">
        <f aca="false">R152/$K$2</f>
        <v>289.288106454571</v>
      </c>
      <c r="T152" s="43" t="n">
        <f aca="false">S152-$M$2</f>
        <v>-0.000620000307094415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-0.0568511486053467</v>
      </c>
      <c r="C153" s="25" t="n">
        <f aca="false">IF(T152&gt;0,D152,C152)</f>
        <v>-0.0568504333496094</v>
      </c>
      <c r="D153" s="41" t="n">
        <f aca="false">(B153+C153)/2</f>
        <v>-0.056850790977478</v>
      </c>
      <c r="E153" s="15" t="n">
        <f aca="false">$C$2*(1+IF(E$3&lt;=$O$2,$D153,$D153-($D153-$I$130)*MIN(E$3-$O$2,$Q$2)/$Q$2))</f>
        <v>2339.01003837585</v>
      </c>
      <c r="F153" s="15" t="n">
        <f aca="false">E153*(1+IF(F$3&lt;=$O$2,$D153,$D153-($D153-$I$130)*MIN(F$3-$O$2,$Q$2)/$Q$2))</f>
        <v>2206.03546758993</v>
      </c>
      <c r="G153" s="15" t="n">
        <f aca="false">F153*(1+IF(G$3&lt;=$O$2,$D153,$D153-($D153-$I$130)*MIN(G$3-$O$2,$Q$2)/$Q$2))</f>
        <v>2080.62060633307</v>
      </c>
      <c r="H153" s="15" t="n">
        <f aca="false">G153*(1+IF(H$3&lt;=$O$2,$D153,$D153-($D153-$I$130)*MIN(H$3-$O$2,$Q$2)/$Q$2))</f>
        <v>1962.33567913899</v>
      </c>
      <c r="I153" s="15" t="n">
        <f aca="false">H153*(1+IF(I$3&lt;=$O$2,$D153,$D153-($D153-$I$130)*MIN(I$3-$O$2,$Q$2)/$Q$2))</f>
        <v>1850.77534361662</v>
      </c>
      <c r="J153" s="15" t="n">
        <f aca="false">I153*(1+IF(J$3&lt;=$O$2,$D153,$D153-($D153-$I$130)*MIN(J$3-$O$2,$Q$2)/$Q$2))</f>
        <v>1778.92707364013</v>
      </c>
      <c r="K153" s="15" t="n">
        <f aca="false">J153*(1+IF(K$3&lt;=$O$2,$D153,$D153-($D153-$I$130)*MIN(K$3-$O$2,$Q$2)/$Q$2))</f>
        <v>1741.9423355244</v>
      </c>
      <c r="L153" s="15" t="n">
        <f aca="false">K153*(1+IF(L$3&lt;=$O$2,$D153,$D153-($D153-$I$130)*MIN(L$3-$O$2,$Q$2)/$Q$2))</f>
        <v>1737.13402354349</v>
      </c>
      <c r="M153" s="15" t="n">
        <f aca="false">L153*(1+IF(M$3&lt;=$O$2,$D153,$D153-($D153-$I$130)*MIN(M$3-$O$2,$Q$2)/$Q$2))</f>
        <v>1763.65978527622</v>
      </c>
      <c r="N153" s="15" t="n">
        <f aca="false">M153*(1+IF(N$3&lt;=$O$2,$D153,$D153-($D153-$I$130)*MIN(N$3-$O$2,$Q$2)/$Q$2))</f>
        <v>1822.38965612592</v>
      </c>
      <c r="O153" s="15" t="n">
        <f aca="false">SUMPRODUCT(E153:N153,1/(1+$F$130)^$E$3:$N$3)*$E$2</f>
        <v>4119.29689855503</v>
      </c>
      <c r="P153" s="15" t="n">
        <f aca="false">N153*$E$2*(1+$I$130)/($F$130-$I$130)/(1+$F$130)^$N$3</f>
        <v>7445.37708644761</v>
      </c>
      <c r="Q153" s="15" t="n">
        <f aca="false">O153+P153</f>
        <v>11564.6739850026</v>
      </c>
      <c r="R153" s="15" t="n">
        <f aca="false">Q153-$G$2+$I$2</f>
        <v>10290.0039850026</v>
      </c>
      <c r="S153" s="42" t="n">
        <f aca="false">R153/$K$2</f>
        <v>289.288838487564</v>
      </c>
      <c r="T153" s="43" t="n">
        <f aca="false">S153-$M$2</f>
        <v>0.000112032685933627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-0.0568511486053467</v>
      </c>
      <c r="C154" s="25" t="n">
        <f aca="false">IF(T153&gt;0,D153,C153)</f>
        <v>-0.056850790977478</v>
      </c>
      <c r="D154" s="41" t="n">
        <f aca="false">(B154+C154)/2</f>
        <v>-0.0568509697914124</v>
      </c>
      <c r="E154" s="15" t="n">
        <f aca="false">$C$2*(1+IF(E$3&lt;=$O$2,$D154,$D154-($D154-$I$130)*MIN(E$3-$O$2,$Q$2)/$Q$2))</f>
        <v>2339.0095949173</v>
      </c>
      <c r="F154" s="15" t="n">
        <f aca="false">E154*(1+IF(F$3&lt;=$O$2,$D154,$D154-($D154-$I$130)*MIN(F$3-$O$2,$Q$2)/$Q$2))</f>
        <v>2206.03463109483</v>
      </c>
      <c r="G154" s="15" t="n">
        <f aca="false">F154*(1+IF(G$3&lt;=$O$2,$D154,$D154-($D154-$I$130)*MIN(G$3-$O$2,$Q$2)/$Q$2))</f>
        <v>2080.61942292365</v>
      </c>
      <c r="H154" s="15" t="n">
        <f aca="false">G154*(1+IF(H$3&lt;=$O$2,$D154,$D154-($D154-$I$130)*MIN(H$3-$O$2,$Q$2)/$Q$2))</f>
        <v>1962.33419096359</v>
      </c>
      <c r="I154" s="15" t="n">
        <f aca="false">H154*(1+IF(I$3&lt;=$O$2,$D154,$D154-($D154-$I$130)*MIN(I$3-$O$2,$Q$2)/$Q$2))</f>
        <v>1850.77358915246</v>
      </c>
      <c r="J154" s="15" t="n">
        <f aca="false">I154*(1+IF(J$3&lt;=$O$2,$D154,$D154-($D154-$I$130)*MIN(J$3-$O$2,$Q$2)/$Q$2))</f>
        <v>1778.9251225301</v>
      </c>
      <c r="K154" s="15" t="n">
        <f aca="false">J154*(1+IF(K$3&lt;=$O$2,$D154,$D154-($D154-$I$130)*MIN(K$3-$O$2,$Q$2)/$Q$2))</f>
        <v>1741.94023412091</v>
      </c>
      <c r="L154" s="15" t="n">
        <f aca="false">K154*(1+IF(L$3&lt;=$O$2,$D154,$D154-($D154-$I$130)*MIN(L$3-$O$2,$Q$2)/$Q$2))</f>
        <v>1737.13180334727</v>
      </c>
      <c r="M154" s="15" t="n">
        <f aca="false">L154*(1+IF(M$3&lt;=$O$2,$D154,$D154-($D154-$I$130)*MIN(M$3-$O$2,$Q$2)/$Q$2))</f>
        <v>1763.65746905328</v>
      </c>
      <c r="N154" s="15" t="n">
        <f aca="false">M154*(1+IF(N$3&lt;=$O$2,$D154,$D154-($D154-$I$130)*MIN(N$3-$O$2,$Q$2)/$Q$2))</f>
        <v>1822.38726277275</v>
      </c>
      <c r="O154" s="15" t="n">
        <f aca="false">SUMPRODUCT(E154:N154,1/(1+$F$130)^$E$3:$N$3)*$E$2</f>
        <v>4119.29365739112</v>
      </c>
      <c r="P154" s="15" t="n">
        <f aca="false">N154*$E$2*(1+$I$130)/($F$130-$I$130)/(1+$F$130)^$N$3</f>
        <v>7445.36730839782</v>
      </c>
      <c r="Q154" s="15" t="n">
        <f aca="false">O154+P154</f>
        <v>11564.6609657889</v>
      </c>
      <c r="R154" s="15" t="n">
        <f aca="false">Q154-$G$2+$I$2</f>
        <v>10289.9909657889</v>
      </c>
      <c r="S154" s="42" t="n">
        <f aca="false">R154/$K$2</f>
        <v>289.288472470872</v>
      </c>
      <c r="T154" s="43" t="n">
        <f aca="false">S154-$M$2</f>
        <v>-0.000253984005269103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-0.0568509697914124</v>
      </c>
      <c r="C155" s="25" t="n">
        <f aca="false">IF(T154&gt;0,D154,C154)</f>
        <v>-0.056850790977478</v>
      </c>
      <c r="D155" s="41" t="n">
        <f aca="false">(B155+C155)/2</f>
        <v>-0.0568508803844452</v>
      </c>
      <c r="E155" s="15" t="n">
        <f aca="false">$C$2*(1+IF(E$3&lt;=$O$2,$D155,$D155-($D155-$I$130)*MIN(E$3-$O$2,$Q$2)/$Q$2))</f>
        <v>2339.00981664658</v>
      </c>
      <c r="F155" s="15" t="n">
        <f aca="false">E155*(1+IF(F$3&lt;=$O$2,$D155,$D155-($D155-$I$130)*MIN(F$3-$O$2,$Q$2)/$Q$2))</f>
        <v>2206.03504934236</v>
      </c>
      <c r="G155" s="15" t="n">
        <f aca="false">F155*(1+IF(G$3&lt;=$O$2,$D155,$D155-($D155-$I$130)*MIN(G$3-$O$2,$Q$2)/$Q$2))</f>
        <v>2080.6200146283</v>
      </c>
      <c r="H155" s="15" t="n">
        <f aca="false">G155*(1+IF(H$3&lt;=$O$2,$D155,$D155-($D155-$I$130)*MIN(H$3-$O$2,$Q$2)/$Q$2))</f>
        <v>1962.33493505119</v>
      </c>
      <c r="I155" s="15" t="n">
        <f aca="false">H155*(1+IF(I$3&lt;=$O$2,$D155,$D155-($D155-$I$130)*MIN(I$3-$O$2,$Q$2)/$Q$2))</f>
        <v>1850.77446638437</v>
      </c>
      <c r="J155" s="15" t="n">
        <f aca="false">I155*(1+IF(J$3&lt;=$O$2,$D155,$D155-($D155-$I$130)*MIN(J$3-$O$2,$Q$2)/$Q$2))</f>
        <v>1778.92609808489</v>
      </c>
      <c r="K155" s="15" t="n">
        <f aca="false">J155*(1+IF(K$3&lt;=$O$2,$D155,$D155-($D155-$I$130)*MIN(K$3-$O$2,$Q$2)/$Q$2))</f>
        <v>1741.94128482239</v>
      </c>
      <c r="L155" s="15" t="n">
        <f aca="false">K155*(1+IF(L$3&lt;=$O$2,$D155,$D155-($D155-$I$130)*MIN(L$3-$O$2,$Q$2)/$Q$2))</f>
        <v>1737.13291344507</v>
      </c>
      <c r="M155" s="15" t="n">
        <f aca="false">L155*(1+IF(M$3&lt;=$O$2,$D155,$D155-($D155-$I$130)*MIN(M$3-$O$2,$Q$2)/$Q$2))</f>
        <v>1763.65862716442</v>
      </c>
      <c r="N155" s="15" t="n">
        <f aca="false">M155*(1+IF(N$3&lt;=$O$2,$D155,$D155-($D155-$I$130)*MIN(N$3-$O$2,$Q$2)/$Q$2))</f>
        <v>1822.38845944899</v>
      </c>
      <c r="O155" s="15" t="n">
        <f aca="false">SUMPRODUCT(E155:N155,1/(1+$F$130)^$E$3:$N$3)*$E$2</f>
        <v>4119.29527797274</v>
      </c>
      <c r="P155" s="15" t="n">
        <f aca="false">N155*$E$2*(1+$I$130)/($F$130-$I$130)/(1+$F$130)^$N$3</f>
        <v>7445.37219742132</v>
      </c>
      <c r="Q155" s="15" t="n">
        <f aca="false">O155+P155</f>
        <v>11564.6674753941</v>
      </c>
      <c r="R155" s="15" t="n">
        <f aca="false">Q155-$G$2+$I$2</f>
        <v>10289.9974753941</v>
      </c>
      <c r="S155" s="42" t="n">
        <f aca="false">R155/$K$2</f>
        <v>289.288655479169</v>
      </c>
      <c r="T155" s="43" t="n">
        <f aca="false">S155-$M$2</f>
        <v>-7.09757082404394E-005</v>
      </c>
    </row>
    <row r="157" customFormat="false" ht="15" hidden="false" customHeight="false" outlineLevel="0" collapsed="false">
      <c r="A157" s="38" t="s">
        <v>189</v>
      </c>
      <c r="E157" s="5" t="s">
        <v>11</v>
      </c>
      <c r="F157" s="12" t="n">
        <f aca="false">Sensitivity!$B$10</f>
        <v>0.0714218415038925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8" t="s">
        <v>165</v>
      </c>
      <c r="B158" s="28" t="s">
        <v>166</v>
      </c>
      <c r="C158" s="28" t="s">
        <v>167</v>
      </c>
      <c r="D158" s="28" t="s">
        <v>168</v>
      </c>
      <c r="E158" s="28" t="s">
        <v>169</v>
      </c>
      <c r="F158" s="28" t="s">
        <v>170</v>
      </c>
      <c r="G158" s="28" t="s">
        <v>171</v>
      </c>
      <c r="H158" s="28" t="s">
        <v>172</v>
      </c>
      <c r="I158" s="28" t="s">
        <v>173</v>
      </c>
      <c r="J158" s="28" t="s">
        <v>174</v>
      </c>
      <c r="K158" s="28" t="s">
        <v>175</v>
      </c>
      <c r="L158" s="28" t="s">
        <v>176</v>
      </c>
      <c r="M158" s="28" t="s">
        <v>177</v>
      </c>
      <c r="N158" s="28" t="s">
        <v>178</v>
      </c>
      <c r="O158" s="28" t="s">
        <v>179</v>
      </c>
      <c r="P158" s="28" t="s">
        <v>180</v>
      </c>
      <c r="Q158" s="28" t="s">
        <v>181</v>
      </c>
      <c r="R158" s="28" t="s">
        <v>182</v>
      </c>
      <c r="S158" s="28" t="s">
        <v>183</v>
      </c>
      <c r="T158" s="28" t="s">
        <v>184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41" t="n">
        <f aca="false">(B159+C159)/2</f>
        <v>0.25</v>
      </c>
      <c r="E159" s="15" t="n">
        <f aca="false">$C$2*(1+IF(E$3&lt;=$O$2,$D159,$D159-($D159-$I$157)*MIN(E$3-$O$2,$Q$2)/$Q$2))</f>
        <v>3100</v>
      </c>
      <c r="F159" s="15" t="n">
        <f aca="false">E159*(1+IF(F$3&lt;=$O$2,$D159,$D159-($D159-$I$157)*MIN(F$3-$O$2,$Q$2)/$Q$2))</f>
        <v>3875</v>
      </c>
      <c r="G159" s="15" t="n">
        <f aca="false">F159*(1+IF(G$3&lt;=$O$2,$D159,$D159-($D159-$I$157)*MIN(G$3-$O$2,$Q$2)/$Q$2))</f>
        <v>4843.75</v>
      </c>
      <c r="H159" s="15" t="n">
        <f aca="false">G159*(1+IF(H$3&lt;=$O$2,$D159,$D159-($D159-$I$157)*MIN(H$3-$O$2,$Q$2)/$Q$2))</f>
        <v>6054.6875</v>
      </c>
      <c r="I159" s="15" t="n">
        <f aca="false">H159*(1+IF(I$3&lt;=$O$2,$D159,$D159-($D159-$I$157)*MIN(I$3-$O$2,$Q$2)/$Q$2))</f>
        <v>7568.359375</v>
      </c>
      <c r="J159" s="15" t="n">
        <f aca="false">I159*(1+IF(J$3&lt;=$O$2,$D159,$D159-($D159-$I$157)*MIN(J$3-$O$2,$Q$2)/$Q$2))</f>
        <v>9140.0048828125</v>
      </c>
      <c r="K159" s="15" t="n">
        <f aca="false">J159*(1+IF(K$3&lt;=$O$2,$D159,$D159-($D159-$I$157)*MIN(K$3-$O$2,$Q$2)/$Q$2))</f>
        <v>10651.0304900391</v>
      </c>
      <c r="L159" s="15" t="n">
        <f aca="false">K159*(1+IF(L$3&lt;=$O$2,$D159,$D159-($D159-$I$157)*MIN(L$3-$O$2,$Q$2)/$Q$2))</f>
        <v>11960.8942197041</v>
      </c>
      <c r="M159" s="15" t="n">
        <f aca="false">L159*(1+IF(M$3&lt;=$O$2,$D159,$D159-($D159-$I$157)*MIN(M$3-$O$2,$Q$2)/$Q$2))</f>
        <v>12925.420729581</v>
      </c>
      <c r="N159" s="15" t="n">
        <f aca="false">M159*(1+IF(N$3&lt;=$O$2,$D159,$D159-($D159-$I$157)*MIN(N$3-$O$2,$Q$2)/$Q$2))</f>
        <v>13420.464343524</v>
      </c>
      <c r="O159" s="15" t="n">
        <f aca="false">SUMPRODUCT(E159:N159,1/(1+$F$157)^$E$3:$N$3)*$E$2</f>
        <v>16027.8303917465</v>
      </c>
      <c r="P159" s="15" t="n">
        <f aca="false">N159*$E$2*(1+$I$157)/($F$157-$I$157)/(1+$F$157)^$N$3</f>
        <v>63411.6159412065</v>
      </c>
      <c r="Q159" s="15" t="n">
        <f aca="false">O159+P159</f>
        <v>79439.446332953</v>
      </c>
      <c r="R159" s="15" t="n">
        <f aca="false">Q159-$G$2+$I$2</f>
        <v>78164.776332953</v>
      </c>
      <c r="S159" s="42" t="n">
        <f aca="false">R159/$K$2</f>
        <v>2197.49160340042</v>
      </c>
      <c r="T159" s="43" t="n">
        <f aca="false">S159-$M$2</f>
        <v>1908.20287694554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41" t="n">
        <f aca="false">(B160+C160)/2</f>
        <v>-0.125</v>
      </c>
      <c r="E160" s="15" t="n">
        <f aca="false">$C$2*(1+IF(E$3&lt;=$O$2,$D160,$D160-($D160-$I$157)*MIN(E$3-$O$2,$Q$2)/$Q$2))</f>
        <v>2170</v>
      </c>
      <c r="F160" s="15" t="n">
        <f aca="false">E160*(1+IF(F$3&lt;=$O$2,$D160,$D160-($D160-$I$157)*MIN(F$3-$O$2,$Q$2)/$Q$2))</f>
        <v>1898.75</v>
      </c>
      <c r="G160" s="15" t="n">
        <f aca="false">F160*(1+IF(G$3&lt;=$O$2,$D160,$D160-($D160-$I$157)*MIN(G$3-$O$2,$Q$2)/$Q$2))</f>
        <v>1661.40625</v>
      </c>
      <c r="H160" s="15" t="n">
        <f aca="false">G160*(1+IF(H$3&lt;=$O$2,$D160,$D160-($D160-$I$157)*MIN(H$3-$O$2,$Q$2)/$Q$2))</f>
        <v>1453.73046875</v>
      </c>
      <c r="I160" s="15" t="n">
        <f aca="false">H160*(1+IF(I$3&lt;=$O$2,$D160,$D160-($D160-$I$157)*MIN(I$3-$O$2,$Q$2)/$Q$2))</f>
        <v>1272.01416015625</v>
      </c>
      <c r="J160" s="15" t="n">
        <f aca="false">I160*(1+IF(J$3&lt;=$O$2,$D160,$D160-($D160-$I$157)*MIN(J$3-$O$2,$Q$2)/$Q$2))</f>
        <v>1154.55637260742</v>
      </c>
      <c r="K160" s="15" t="n">
        <f aca="false">J160*(1+IF(K$3&lt;=$O$2,$D160,$D160-($D160-$I$157)*MIN(K$3-$O$2,$Q$2)/$Q$2))</f>
        <v>1085.65244829021</v>
      </c>
      <c r="L160" s="15" t="n">
        <f aca="false">K160*(1+IF(L$3&lt;=$O$2,$D160,$D160-($D160-$I$157)*MIN(L$3-$O$2,$Q$2)/$Q$2))</f>
        <v>1056.31811913741</v>
      </c>
      <c r="M160" s="15" t="n">
        <f aca="false">L160*(1+IF(M$3&lt;=$O$2,$D160,$D160-($D160-$I$157)*MIN(M$3-$O$2,$Q$2)/$Q$2))</f>
        <v>1062.27575332934</v>
      </c>
      <c r="N160" s="15" t="n">
        <f aca="false">M160*(1+IF(N$3&lt;=$O$2,$D160,$D160-($D160-$I$157)*MIN(N$3-$O$2,$Q$2)/$Q$2))</f>
        <v>1102.96091468186</v>
      </c>
      <c r="O160" s="15" t="n">
        <f aca="false">SUMPRODUCT(E160:N160,1/(1+$F$157)^$E$3:$N$3)*$E$2</f>
        <v>3064.73473104859</v>
      </c>
      <c r="P160" s="15" t="n">
        <f aca="false">N160*$E$2*(1+$I$157)/($F$157-$I$157)/(1+$F$157)^$N$3</f>
        <v>5211.48390470689</v>
      </c>
      <c r="Q160" s="15" t="n">
        <f aca="false">O160+P160</f>
        <v>8276.21863575548</v>
      </c>
      <c r="R160" s="15" t="n">
        <f aca="false">Q160-$G$2+$I$2</f>
        <v>7001.54863575548</v>
      </c>
      <c r="S160" s="42" t="n">
        <f aca="false">R160/$K$2</f>
        <v>196.838589703556</v>
      </c>
      <c r="T160" s="43" t="n">
        <f aca="false">S160-$M$2</f>
        <v>-92.4501367513218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41" t="n">
        <f aca="false">(B161+C161)/2</f>
        <v>0.0625</v>
      </c>
      <c r="E161" s="15" t="n">
        <f aca="false">$C$2*(1+IF(E$3&lt;=$O$2,$D161,$D161-($D161-$I$157)*MIN(E$3-$O$2,$Q$2)/$Q$2))</f>
        <v>2635</v>
      </c>
      <c r="F161" s="15" t="n">
        <f aca="false">E161*(1+IF(F$3&lt;=$O$2,$D161,$D161-($D161-$I$157)*MIN(F$3-$O$2,$Q$2)/$Q$2))</f>
        <v>2799.6875</v>
      </c>
      <c r="G161" s="15" t="n">
        <f aca="false">F161*(1+IF(G$3&lt;=$O$2,$D161,$D161-($D161-$I$157)*MIN(G$3-$O$2,$Q$2)/$Q$2))</f>
        <v>2974.66796875</v>
      </c>
      <c r="H161" s="15" t="n">
        <f aca="false">G161*(1+IF(H$3&lt;=$O$2,$D161,$D161-($D161-$I$157)*MIN(H$3-$O$2,$Q$2)/$Q$2))</f>
        <v>3160.58471679688</v>
      </c>
      <c r="I161" s="15" t="n">
        <f aca="false">H161*(1+IF(I$3&lt;=$O$2,$D161,$D161-($D161-$I$157)*MIN(I$3-$O$2,$Q$2)/$Q$2))</f>
        <v>3358.12126159668</v>
      </c>
      <c r="J161" s="15" t="n">
        <f aca="false">I161*(1+IF(J$3&lt;=$O$2,$D161,$D161-($D161-$I$157)*MIN(J$3-$O$2,$Q$2)/$Q$2))</f>
        <v>3551.75053354034</v>
      </c>
      <c r="K161" s="15" t="n">
        <f aca="false">J161*(1+IF(K$3&lt;=$O$2,$D161,$D161-($D161-$I$157)*MIN(K$3-$O$2,$Q$2)/$Q$2))</f>
        <v>3739.35399672195</v>
      </c>
      <c r="L161" s="15" t="n">
        <f aca="false">K161*(1+IF(L$3&lt;=$O$2,$D161,$D161-($D161-$I$157)*MIN(L$3-$O$2,$Q$2)/$Q$2))</f>
        <v>3918.76820148466</v>
      </c>
      <c r="M161" s="15" t="n">
        <f aca="false">L161*(1+IF(M$3&lt;=$O$2,$D161,$D161-($D161-$I$157)*MIN(M$3-$O$2,$Q$2)/$Q$2))</f>
        <v>4087.82386169671</v>
      </c>
      <c r="N161" s="15" t="n">
        <f aca="false">M161*(1+IF(N$3&lt;=$O$2,$D161,$D161-($D161-$I$157)*MIN(N$3-$O$2,$Q$2)/$Q$2))</f>
        <v>4244.3875155997</v>
      </c>
      <c r="O161" s="15" t="n">
        <f aca="false">SUMPRODUCT(E161:N161,1/(1+$F$157)^$E$3:$N$3)*$E$2</f>
        <v>7010.39313314436</v>
      </c>
      <c r="P161" s="15" t="n">
        <f aca="false">N161*$E$2*(1+$I$157)/($F$157-$I$157)/(1+$F$157)^$N$3</f>
        <v>20054.7063168298</v>
      </c>
      <c r="Q161" s="15" t="n">
        <f aca="false">O161+P161</f>
        <v>27065.0994499742</v>
      </c>
      <c r="R161" s="15" t="n">
        <f aca="false">Q161-$G$2+$I$2</f>
        <v>25790.4294499742</v>
      </c>
      <c r="S161" s="42" t="n">
        <f aca="false">R161/$K$2</f>
        <v>725.061272138718</v>
      </c>
      <c r="T161" s="43" t="n">
        <f aca="false">S161-$M$2</f>
        <v>435.77254568384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41" t="n">
        <f aca="false">(B162+C162)/2</f>
        <v>-0.03125</v>
      </c>
      <c r="E162" s="15" t="n">
        <f aca="false">$C$2*(1+IF(E$3&lt;=$O$2,$D162,$D162-($D162-$I$157)*MIN(E$3-$O$2,$Q$2)/$Q$2))</f>
        <v>2402.5</v>
      </c>
      <c r="F162" s="15" t="n">
        <f aca="false">E162*(1+IF(F$3&lt;=$O$2,$D162,$D162-($D162-$I$157)*MIN(F$3-$O$2,$Q$2)/$Q$2))</f>
        <v>2327.421875</v>
      </c>
      <c r="G162" s="15" t="n">
        <f aca="false">F162*(1+IF(G$3&lt;=$O$2,$D162,$D162-($D162-$I$157)*MIN(G$3-$O$2,$Q$2)/$Q$2))</f>
        <v>2254.68994140625</v>
      </c>
      <c r="H162" s="15" t="n">
        <f aca="false">G162*(1+IF(H$3&lt;=$O$2,$D162,$D162-($D162-$I$157)*MIN(H$3-$O$2,$Q$2)/$Q$2))</f>
        <v>2184.2308807373</v>
      </c>
      <c r="I162" s="15" t="n">
        <f aca="false">H162*(1+IF(I$3&lt;=$O$2,$D162,$D162-($D162-$I$157)*MIN(I$3-$O$2,$Q$2)/$Q$2))</f>
        <v>2115.97366571426</v>
      </c>
      <c r="J162" s="15" t="n">
        <f aca="false">I162*(1+IF(J$3&lt;=$O$2,$D162,$D162-($D162-$I$157)*MIN(J$3-$O$2,$Q$2)/$Q$2))</f>
        <v>2079.28268235078</v>
      </c>
      <c r="K162" s="15" t="n">
        <f aca="false">J162*(1+IF(K$3&lt;=$O$2,$D162,$D162-($D162-$I$157)*MIN(K$3-$O$2,$Q$2)/$Q$2))</f>
        <v>2072.15074275032</v>
      </c>
      <c r="L162" s="15" t="n">
        <f aca="false">K162*(1+IF(L$3&lt;=$O$2,$D162,$D162-($D162-$I$157)*MIN(L$3-$O$2,$Q$2)/$Q$2))</f>
        <v>2093.86688253434</v>
      </c>
      <c r="M162" s="15" t="n">
        <f aca="false">L162*(1+IF(M$3&lt;=$O$2,$D162,$D162-($D162-$I$157)*MIN(M$3-$O$2,$Q$2)/$Q$2))</f>
        <v>2144.93629579935</v>
      </c>
      <c r="N162" s="15" t="n">
        <f aca="false">M162*(1+IF(N$3&lt;=$O$2,$D162,$D162-($D162-$I$157)*MIN(N$3-$O$2,$Q$2)/$Q$2))</f>
        <v>2227.08735592847</v>
      </c>
      <c r="O162" s="15" t="n">
        <f aca="false">SUMPRODUCT(E162:N162,1/(1+$F$157)^$E$3:$N$3)*$E$2</f>
        <v>4623.60129152349</v>
      </c>
      <c r="P162" s="15" t="n">
        <f aca="false">N162*$E$2*(1+$I$157)/($F$157-$I$157)/(1+$F$157)^$N$3</f>
        <v>10522.9747992885</v>
      </c>
      <c r="Q162" s="15" t="n">
        <f aca="false">O162+P162</f>
        <v>15146.576090812</v>
      </c>
      <c r="R162" s="15" t="n">
        <f aca="false">Q162-$G$2+$I$2</f>
        <v>13871.906090812</v>
      </c>
      <c r="S162" s="42" t="n">
        <f aca="false">R162/$K$2</f>
        <v>389.988925802981</v>
      </c>
      <c r="T162" s="43" t="n">
        <f aca="false">S162-$M$2</f>
        <v>100.700199348103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-0.125</v>
      </c>
      <c r="C163" s="25" t="n">
        <f aca="false">IF(T162&gt;0,D162,C162)</f>
        <v>-0.03125</v>
      </c>
      <c r="D163" s="41" t="n">
        <f aca="false">(B163+C163)/2</f>
        <v>-0.078125</v>
      </c>
      <c r="E163" s="15" t="n">
        <f aca="false">$C$2*(1+IF(E$3&lt;=$O$2,$D163,$D163-($D163-$I$157)*MIN(E$3-$O$2,$Q$2)/$Q$2))</f>
        <v>2286.25</v>
      </c>
      <c r="F163" s="15" t="n">
        <f aca="false">E163*(1+IF(F$3&lt;=$O$2,$D163,$D163-($D163-$I$157)*MIN(F$3-$O$2,$Q$2)/$Q$2))</f>
        <v>2107.63671875</v>
      </c>
      <c r="G163" s="15" t="n">
        <f aca="false">F163*(1+IF(G$3&lt;=$O$2,$D163,$D163-($D163-$I$157)*MIN(G$3-$O$2,$Q$2)/$Q$2))</f>
        <v>1942.97760009766</v>
      </c>
      <c r="H163" s="15" t="n">
        <f aca="false">G163*(1+IF(H$3&lt;=$O$2,$D163,$D163-($D163-$I$157)*MIN(H$3-$O$2,$Q$2)/$Q$2))</f>
        <v>1791.18247509003</v>
      </c>
      <c r="I163" s="15" t="n">
        <f aca="false">H163*(1+IF(I$3&lt;=$O$2,$D163,$D163-($D163-$I$157)*MIN(I$3-$O$2,$Q$2)/$Q$2))</f>
        <v>1651.24634422362</v>
      </c>
      <c r="J163" s="15" t="n">
        <f aca="false">I163*(1+IF(J$3&lt;=$O$2,$D163,$D163-($D163-$I$157)*MIN(J$3-$O$2,$Q$2)/$Q$2))</f>
        <v>1560.6919947064</v>
      </c>
      <c r="K163" s="15" t="n">
        <f aca="false">J163*(1+IF(K$3&lt;=$O$2,$D163,$D163-($D163-$I$157)*MIN(K$3-$O$2,$Q$2)/$Q$2))</f>
        <v>1511.44435881344</v>
      </c>
      <c r="L163" s="15" t="n">
        <f aca="false">K163*(1+IF(L$3&lt;=$O$2,$D163,$D163-($D163-$I$157)*MIN(L$3-$O$2,$Q$2)/$Q$2))</f>
        <v>1498.94471396605</v>
      </c>
      <c r="M163" s="15" t="n">
        <f aca="false">L163*(1+IF(M$3&lt;=$O$2,$D163,$D163-($D163-$I$157)*MIN(M$3-$O$2,$Q$2)/$Q$2))</f>
        <v>1521.45136884625</v>
      </c>
      <c r="N163" s="15" t="n">
        <f aca="false">M163*(1+IF(N$3&lt;=$O$2,$D163,$D163-($D163-$I$157)*MIN(N$3-$O$2,$Q$2)/$Q$2))</f>
        <v>1579.72295627306</v>
      </c>
      <c r="O163" s="15" t="n">
        <f aca="false">SUMPRODUCT(E163:N163,1/(1+$F$157)^$E$3:$N$3)*$E$2</f>
        <v>3760.65053836949</v>
      </c>
      <c r="P163" s="15" t="n">
        <f aca="false">N163*$E$2*(1+$I$157)/($F$157-$I$157)/(1+$F$157)^$N$3</f>
        <v>7464.18177736398</v>
      </c>
      <c r="Q163" s="15" t="n">
        <f aca="false">O163+P163</f>
        <v>11224.8323157335</v>
      </c>
      <c r="R163" s="15" t="n">
        <f aca="false">Q163-$G$2+$I$2</f>
        <v>9950.16231573347</v>
      </c>
      <c r="S163" s="42" t="n">
        <f aca="false">R163/$K$2</f>
        <v>279.73467291913</v>
      </c>
      <c r="T163" s="43" t="n">
        <f aca="false">S163-$M$2</f>
        <v>-9.5540535357473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-0.078125</v>
      </c>
      <c r="C164" s="25" t="n">
        <f aca="false">IF(T163&gt;0,D163,C163)</f>
        <v>-0.03125</v>
      </c>
      <c r="D164" s="41" t="n">
        <f aca="false">(B164+C164)/2</f>
        <v>-0.0546875</v>
      </c>
      <c r="E164" s="15" t="n">
        <f aca="false">$C$2*(1+IF(E$3&lt;=$O$2,$D164,$D164-($D164-$I$157)*MIN(E$3-$O$2,$Q$2)/$Q$2))</f>
        <v>2344.375</v>
      </c>
      <c r="F164" s="15" t="n">
        <f aca="false">E164*(1+IF(F$3&lt;=$O$2,$D164,$D164-($D164-$I$157)*MIN(F$3-$O$2,$Q$2)/$Q$2))</f>
        <v>2216.1669921875</v>
      </c>
      <c r="G164" s="15" t="n">
        <f aca="false">F164*(1+IF(G$3&lt;=$O$2,$D164,$D164-($D164-$I$157)*MIN(G$3-$O$2,$Q$2)/$Q$2))</f>
        <v>2094.97035980225</v>
      </c>
      <c r="H164" s="15" t="n">
        <f aca="false">G164*(1+IF(H$3&lt;=$O$2,$D164,$D164-($D164-$I$157)*MIN(H$3-$O$2,$Q$2)/$Q$2))</f>
        <v>1980.40166825056</v>
      </c>
      <c r="I164" s="15" t="n">
        <f aca="false">H164*(1+IF(I$3&lt;=$O$2,$D164,$D164-($D164-$I$157)*MIN(I$3-$O$2,$Q$2)/$Q$2))</f>
        <v>1872.09845201811</v>
      </c>
      <c r="J164" s="15" t="n">
        <f aca="false">I164*(1+IF(J$3&lt;=$O$2,$D164,$D164-($D164-$I$157)*MIN(J$3-$O$2,$Q$2)/$Q$2))</f>
        <v>1804.53441888477</v>
      </c>
      <c r="K164" s="15" t="n">
        <f aca="false">J164*(1+IF(K$3&lt;=$O$2,$D164,$D164-($D164-$I$157)*MIN(K$3-$O$2,$Q$2)/$Q$2))</f>
        <v>1772.96860056243</v>
      </c>
      <c r="L164" s="15" t="n">
        <f aca="false">K164*(1+IF(L$3&lt;=$O$2,$D164,$D164-($D164-$I$157)*MIN(L$3-$O$2,$Q$2)/$Q$2))</f>
        <v>1774.92773086605</v>
      </c>
      <c r="M164" s="15" t="n">
        <f aca="false">L164*(1+IF(M$3&lt;=$O$2,$D164,$D164-($D164-$I$157)*MIN(M$3-$O$2,$Q$2)/$Q$2))</f>
        <v>1809.89824448344</v>
      </c>
      <c r="N164" s="15" t="n">
        <f aca="false">M164*(1+IF(N$3&lt;=$O$2,$D164,$D164-($D164-$I$157)*MIN(N$3-$O$2,$Q$2)/$Q$2))</f>
        <v>1879.21734724716</v>
      </c>
      <c r="O164" s="15" t="n">
        <f aca="false">SUMPRODUCT(E164:N164,1/(1+$F$157)^$E$3:$N$3)*$E$2</f>
        <v>4169.02603361334</v>
      </c>
      <c r="P164" s="15" t="n">
        <f aca="false">N164*$E$2*(1+$I$157)/($F$157-$I$157)/(1+$F$157)^$N$3</f>
        <v>8879.29103222068</v>
      </c>
      <c r="Q164" s="15" t="n">
        <f aca="false">O164+P164</f>
        <v>13048.317065834</v>
      </c>
      <c r="R164" s="15" t="n">
        <f aca="false">Q164-$G$2+$I$2</f>
        <v>11773.647065834</v>
      </c>
      <c r="S164" s="42" t="n">
        <f aca="false">R164/$K$2</f>
        <v>330.999355238516</v>
      </c>
      <c r="T164" s="43" t="n">
        <f aca="false">S164-$M$2</f>
        <v>41.7106287836387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-0.078125</v>
      </c>
      <c r="C165" s="25" t="n">
        <f aca="false">IF(T164&gt;0,D164,C164)</f>
        <v>-0.0546875</v>
      </c>
      <c r="D165" s="41" t="n">
        <f aca="false">(B165+C165)/2</f>
        <v>-0.06640625</v>
      </c>
      <c r="E165" s="15" t="n">
        <f aca="false">$C$2*(1+IF(E$3&lt;=$O$2,$D165,$D165-($D165-$I$157)*MIN(E$3-$O$2,$Q$2)/$Q$2))</f>
        <v>2315.3125</v>
      </c>
      <c r="F165" s="15" t="n">
        <f aca="false">E165*(1+IF(F$3&lt;=$O$2,$D165,$D165-($D165-$I$157)*MIN(F$3-$O$2,$Q$2)/$Q$2))</f>
        <v>2161.56127929688</v>
      </c>
      <c r="G165" s="15" t="n">
        <f aca="false">F165*(1+IF(G$3&lt;=$O$2,$D165,$D165-($D165-$I$157)*MIN(G$3-$O$2,$Q$2)/$Q$2))</f>
        <v>2018.02010059357</v>
      </c>
      <c r="H165" s="15" t="n">
        <f aca="false">G165*(1+IF(H$3&lt;=$O$2,$D165,$D165-($D165-$I$157)*MIN(H$3-$O$2,$Q$2)/$Q$2))</f>
        <v>1884.01095328853</v>
      </c>
      <c r="I165" s="15" t="n">
        <f aca="false">H165*(1+IF(I$3&lt;=$O$2,$D165,$D165-($D165-$I$157)*MIN(I$3-$O$2,$Q$2)/$Q$2))</f>
        <v>1758.90085092171</v>
      </c>
      <c r="J165" s="15" t="n">
        <f aca="false">I165*(1+IF(J$3&lt;=$O$2,$D165,$D165-($D165-$I$157)*MIN(J$3-$O$2,$Q$2)/$Q$2))</f>
        <v>1678.93242373455</v>
      </c>
      <c r="K165" s="15" t="n">
        <f aca="false">J165*(1+IF(K$3&lt;=$O$2,$D165,$D165-($D165-$I$157)*MIN(K$3-$O$2,$Q$2)/$Q$2))</f>
        <v>1637.75870470799</v>
      </c>
      <c r="L165" s="15" t="n">
        <f aca="false">K165*(1+IF(L$3&lt;=$O$2,$D165,$D165-($D165-$I$157)*MIN(L$3-$O$2,$Q$2)/$Q$2))</f>
        <v>1631.89143414838</v>
      </c>
      <c r="M165" s="15" t="n">
        <f aca="false">L165*(1+IF(M$3&lt;=$O$2,$D165,$D165-($D165-$I$157)*MIN(M$3-$O$2,$Q$2)/$Q$2))</f>
        <v>1660.2190295809</v>
      </c>
      <c r="N165" s="15" t="n">
        <f aca="false">M165*(1+IF(N$3&lt;=$O$2,$D165,$D165-($D165-$I$157)*MIN(N$3-$O$2,$Q$2)/$Q$2))</f>
        <v>1723.80541841385</v>
      </c>
      <c r="O165" s="15" t="n">
        <f aca="false">SUMPRODUCT(E165:N165,1/(1+$F$157)^$E$3:$N$3)*$E$2</f>
        <v>3959.35674791095</v>
      </c>
      <c r="P165" s="15" t="n">
        <f aca="false">N165*$E$2*(1+$I$157)/($F$157-$I$157)/(1+$F$157)^$N$3</f>
        <v>8144.97057268938</v>
      </c>
      <c r="Q165" s="15" t="n">
        <f aca="false">O165+P165</f>
        <v>12104.3273206003</v>
      </c>
      <c r="R165" s="15" t="n">
        <f aca="false">Q165-$G$2+$I$2</f>
        <v>10829.6573206003</v>
      </c>
      <c r="S165" s="42" t="n">
        <f aca="false">R165/$K$2</f>
        <v>304.46042509419</v>
      </c>
      <c r="T165" s="43" t="n">
        <f aca="false">S165-$M$2</f>
        <v>15.1716986393121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-0.078125</v>
      </c>
      <c r="C166" s="25" t="n">
        <f aca="false">IF(T165&gt;0,D165,C165)</f>
        <v>-0.06640625</v>
      </c>
      <c r="D166" s="41" t="n">
        <f aca="false">(B166+C166)/2</f>
        <v>-0.072265625</v>
      </c>
      <c r="E166" s="15" t="n">
        <f aca="false">$C$2*(1+IF(E$3&lt;=$O$2,$D166,$D166-($D166-$I$157)*MIN(E$3-$O$2,$Q$2)/$Q$2))</f>
        <v>2300.78125</v>
      </c>
      <c r="F166" s="15" t="n">
        <f aca="false">E166*(1+IF(F$3&lt;=$O$2,$D166,$D166-($D166-$I$157)*MIN(F$3-$O$2,$Q$2)/$Q$2))</f>
        <v>2134.51385498047</v>
      </c>
      <c r="G166" s="15" t="n">
        <f aca="false">F166*(1+IF(G$3&lt;=$O$2,$D166,$D166-($D166-$I$157)*MIN(G$3-$O$2,$Q$2)/$Q$2))</f>
        <v>1980.26187717915</v>
      </c>
      <c r="H166" s="15" t="n">
        <f aca="false">G166*(1+IF(H$3&lt;=$O$2,$D166,$D166-($D166-$I$157)*MIN(H$3-$O$2,$Q$2)/$Q$2))</f>
        <v>1837.15701496112</v>
      </c>
      <c r="I166" s="15" t="n">
        <f aca="false">H166*(1+IF(I$3&lt;=$O$2,$D166,$D166-($D166-$I$157)*MIN(I$3-$O$2,$Q$2)/$Q$2))</f>
        <v>1704.39371505182</v>
      </c>
      <c r="J166" s="15" t="n">
        <f aca="false">I166*(1+IF(J$3&lt;=$O$2,$D166,$D166-($D166-$I$157)*MIN(J$3-$O$2,$Q$2)/$Q$2))</f>
        <v>1618.91410925769</v>
      </c>
      <c r="K166" s="15" t="n">
        <f aca="false">J166*(1+IF(K$3&lt;=$O$2,$D166,$D166-($D166-$I$157)*MIN(K$3-$O$2,$Q$2)/$Q$2))</f>
        <v>1573.52076945542</v>
      </c>
      <c r="L166" s="15" t="n">
        <f aca="false">K166*(1+IF(L$3&lt;=$O$2,$D166,$D166-($D166-$I$157)*MIN(L$3-$O$2,$Q$2)/$Q$2))</f>
        <v>1564.19569199543</v>
      </c>
      <c r="M166" s="15" t="n">
        <f aca="false">L166*(1+IF(M$3&lt;=$O$2,$D166,$D166-($D166-$I$157)*MIN(M$3-$O$2,$Q$2)/$Q$2))</f>
        <v>1589.5151321373</v>
      </c>
      <c r="N166" s="15" t="n">
        <f aca="false">M166*(1+IF(N$3&lt;=$O$2,$D166,$D166-($D166-$I$157)*MIN(N$3-$O$2,$Q$2)/$Q$2))</f>
        <v>1650.39356169816</v>
      </c>
      <c r="O166" s="15" t="n">
        <f aca="false">SUMPRODUCT(E166:N166,1/(1+$F$157)^$E$3:$N$3)*$E$2</f>
        <v>3858.66850215765</v>
      </c>
      <c r="P166" s="15" t="n">
        <f aca="false">N166*$E$2*(1+$I$157)/($F$157-$I$157)/(1+$F$157)^$N$3</f>
        <v>7798.09997682714</v>
      </c>
      <c r="Q166" s="15" t="n">
        <f aca="false">O166+P166</f>
        <v>11656.7684789848</v>
      </c>
      <c r="R166" s="15" t="n">
        <f aca="false">Q166-$G$2+$I$2</f>
        <v>10382.0984789848</v>
      </c>
      <c r="S166" s="42" t="n">
        <f aca="false">R166/$K$2</f>
        <v>291.877944306573</v>
      </c>
      <c r="T166" s="43" t="n">
        <f aca="false">S166-$M$2</f>
        <v>2.58921785169503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-0.078125</v>
      </c>
      <c r="C167" s="25" t="n">
        <f aca="false">IF(T166&gt;0,D166,C166)</f>
        <v>-0.072265625</v>
      </c>
      <c r="D167" s="41" t="n">
        <f aca="false">(B167+C167)/2</f>
        <v>-0.0751953125</v>
      </c>
      <c r="E167" s="15" t="n">
        <f aca="false">$C$2*(1+IF(E$3&lt;=$O$2,$D167,$D167-($D167-$I$157)*MIN(E$3-$O$2,$Q$2)/$Q$2))</f>
        <v>2293.515625</v>
      </c>
      <c r="F167" s="15" t="n">
        <f aca="false">E167*(1+IF(F$3&lt;=$O$2,$D167,$D167-($D167-$I$157)*MIN(F$3-$O$2,$Q$2)/$Q$2))</f>
        <v>2121.05400085449</v>
      </c>
      <c r="G167" s="15" t="n">
        <f aca="false">F167*(1+IF(G$3&lt;=$O$2,$D167,$D167-($D167-$I$157)*MIN(G$3-$O$2,$Q$2)/$Q$2))</f>
        <v>1961.56068243086</v>
      </c>
      <c r="H167" s="15" t="n">
        <f aca="false">G167*(1+IF(H$3&lt;=$O$2,$D167,$D167-($D167-$I$157)*MIN(H$3-$O$2,$Q$2)/$Q$2))</f>
        <v>1814.06051392776</v>
      </c>
      <c r="I167" s="15" t="n">
        <f aca="false">H167*(1+IF(I$3&lt;=$O$2,$D167,$D167-($D167-$I$157)*MIN(I$3-$O$2,$Q$2)/$Q$2))</f>
        <v>1677.65166668905</v>
      </c>
      <c r="J167" s="15" t="n">
        <f aca="false">I167*(1+IF(J$3&lt;=$O$2,$D167,$D167-($D167-$I$157)*MIN(J$3-$O$2,$Q$2)/$Q$2))</f>
        <v>1589.58124538163</v>
      </c>
      <c r="K167" s="15" t="n">
        <f aca="false">J167*(1+IF(K$3&lt;=$O$2,$D167,$D167-($D167-$I$157)*MIN(K$3-$O$2,$Q$2)/$Q$2))</f>
        <v>1542.21619496651</v>
      </c>
      <c r="L167" s="15" t="n">
        <f aca="false">K167*(1+IF(L$3&lt;=$O$2,$D167,$D167-($D167-$I$157)*MIN(L$3-$O$2,$Q$2)/$Q$2))</f>
        <v>1531.26935163761</v>
      </c>
      <c r="M167" s="15" t="n">
        <f aca="false">L167*(1+IF(M$3&lt;=$O$2,$D167,$D167-($D167-$I$157)*MIN(M$3-$O$2,$Q$2)/$Q$2))</f>
        <v>1555.15858908817</v>
      </c>
      <c r="N167" s="15" t="n">
        <f aca="false">M167*(1+IF(N$3&lt;=$O$2,$D167,$D167-($D167-$I$157)*MIN(N$3-$O$2,$Q$2)/$Q$2))</f>
        <v>1614.72116305025</v>
      </c>
      <c r="O167" s="15" t="n">
        <f aca="false">SUMPRODUCT(E167:N167,1/(1+$F$157)^$E$3:$N$3)*$E$2</f>
        <v>3809.33005324223</v>
      </c>
      <c r="P167" s="15" t="n">
        <f aca="false">N167*$E$2*(1+$I$157)/($F$157-$I$157)/(1+$F$157)^$N$3</f>
        <v>7629.54810076226</v>
      </c>
      <c r="Q167" s="15" t="n">
        <f aca="false">O167+P167</f>
        <v>11438.8781540045</v>
      </c>
      <c r="R167" s="15" t="n">
        <f aca="false">Q167-$G$2+$I$2</f>
        <v>10164.2081540045</v>
      </c>
      <c r="S167" s="42" t="n">
        <f aca="false">R167/$K$2</f>
        <v>285.752267472716</v>
      </c>
      <c r="T167" s="43" t="n">
        <f aca="false">S167-$M$2</f>
        <v>-3.53645898216217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-0.0751953125</v>
      </c>
      <c r="C168" s="25" t="n">
        <f aca="false">IF(T167&gt;0,D167,C167)</f>
        <v>-0.072265625</v>
      </c>
      <c r="D168" s="41" t="n">
        <f aca="false">(B168+C168)/2</f>
        <v>-0.07373046875</v>
      </c>
      <c r="E168" s="15" t="n">
        <f aca="false">$C$2*(1+IF(E$3&lt;=$O$2,$D168,$D168-($D168-$I$157)*MIN(E$3-$O$2,$Q$2)/$Q$2))</f>
        <v>2297.1484375</v>
      </c>
      <c r="F168" s="15" t="n">
        <f aca="false">E168*(1+IF(F$3&lt;=$O$2,$D168,$D168-($D168-$I$157)*MIN(F$3-$O$2,$Q$2)/$Q$2))</f>
        <v>2127.7786064148</v>
      </c>
      <c r="G168" s="15" t="n">
        <f aca="false">F168*(1+IF(G$3&lt;=$O$2,$D168,$D168-($D168-$I$157)*MIN(G$3-$O$2,$Q$2)/$Q$2))</f>
        <v>1970.89649236761</v>
      </c>
      <c r="H168" s="15" t="n">
        <f aca="false">G168*(1+IF(H$3&lt;=$O$2,$D168,$D168-($D168-$I$157)*MIN(H$3-$O$2,$Q$2)/$Q$2))</f>
        <v>1825.58137012762</v>
      </c>
      <c r="I168" s="15" t="n">
        <f aca="false">H168*(1+IF(I$3&lt;=$O$2,$D168,$D168-($D168-$I$157)*MIN(I$3-$O$2,$Q$2)/$Q$2))</f>
        <v>1690.98039996684</v>
      </c>
      <c r="J168" s="15" t="n">
        <f aca="false">I168*(1+IF(J$3&lt;=$O$2,$D168,$D168-($D168-$I$157)*MIN(J$3-$O$2,$Q$2)/$Q$2))</f>
        <v>1604.19188780129</v>
      </c>
      <c r="K168" s="15" t="n">
        <f aca="false">J168*(1+IF(K$3&lt;=$O$2,$D168,$D168-($D168-$I$157)*MIN(K$3-$O$2,$Q$2)/$Q$2))</f>
        <v>1557.80141561089</v>
      </c>
      <c r="L168" s="15" t="n">
        <f aca="false">K168*(1+IF(L$3&lt;=$O$2,$D168,$D168-($D168-$I$157)*MIN(L$3-$O$2,$Q$2)/$Q$2))</f>
        <v>1547.65672070466</v>
      </c>
      <c r="M168" s="15" t="n">
        <f aca="false">L168*(1+IF(M$3&lt;=$O$2,$D168,$D168-($D168-$I$157)*MIN(M$3-$O$2,$Q$2)/$Q$2))</f>
        <v>1572.25503153072</v>
      </c>
      <c r="N168" s="15" t="n">
        <f aca="false">M168*(1+IF(N$3&lt;=$O$2,$D168,$D168-($D168-$I$157)*MIN(N$3-$O$2,$Q$2)/$Q$2))</f>
        <v>1632.47239923835</v>
      </c>
      <c r="O168" s="15" t="n">
        <f aca="false">SUMPRODUCT(E168:N168,1/(1+$F$157)^$E$3:$N$3)*$E$2</f>
        <v>3833.9163750127</v>
      </c>
      <c r="P168" s="15" t="n">
        <f aca="false">N168*$E$2*(1+$I$157)/($F$157-$I$157)/(1+$F$157)^$N$3</f>
        <v>7713.42258847211</v>
      </c>
      <c r="Q168" s="15" t="n">
        <f aca="false">O168+P168</f>
        <v>11547.3389634848</v>
      </c>
      <c r="R168" s="15" t="n">
        <f aca="false">Q168-$G$2+$I$2</f>
        <v>10272.6689634848</v>
      </c>
      <c r="S168" s="42" t="n">
        <f aca="false">R168/$K$2</f>
        <v>288.801488993107</v>
      </c>
      <c r="T168" s="43" t="n">
        <f aca="false">S168-$M$2</f>
        <v>-0.487237461770803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-0.07373046875</v>
      </c>
      <c r="C169" s="25" t="n">
        <f aca="false">IF(T168&gt;0,D168,C168)</f>
        <v>-0.072265625</v>
      </c>
      <c r="D169" s="41" t="n">
        <f aca="false">(B169+C169)/2</f>
        <v>-0.072998046875</v>
      </c>
      <c r="E169" s="15" t="n">
        <f aca="false">$C$2*(1+IF(E$3&lt;=$O$2,$D169,$D169-($D169-$I$157)*MIN(E$3-$O$2,$Q$2)/$Q$2))</f>
        <v>2298.96484375</v>
      </c>
      <c r="F169" s="15" t="n">
        <f aca="false">E169*(1+IF(F$3&lt;=$O$2,$D169,$D169-($D169-$I$157)*MIN(F$3-$O$2,$Q$2)/$Q$2))</f>
        <v>2131.14490032196</v>
      </c>
      <c r="G169" s="15" t="n">
        <f aca="false">F169*(1+IF(G$3&lt;=$O$2,$D169,$D169-($D169-$I$157)*MIN(G$3-$O$2,$Q$2)/$Q$2))</f>
        <v>1975.57548499084</v>
      </c>
      <c r="H169" s="15" t="n">
        <f aca="false">G169*(1+IF(H$3&lt;=$O$2,$D169,$D169-($D169-$I$157)*MIN(H$3-$O$2,$Q$2)/$Q$2))</f>
        <v>1831.36233313238</v>
      </c>
      <c r="I169" s="15" t="n">
        <f aca="false">H169*(1+IF(I$3&lt;=$O$2,$D169,$D169-($D169-$I$157)*MIN(I$3-$O$2,$Q$2)/$Q$2))</f>
        <v>1697.67645969327</v>
      </c>
      <c r="J169" s="15" t="n">
        <f aca="false">I169*(1+IF(J$3&lt;=$O$2,$D169,$D169-($D169-$I$157)*MIN(J$3-$O$2,$Q$2)/$Q$2))</f>
        <v>1611.5390087479</v>
      </c>
      <c r="K169" s="15" t="n">
        <f aca="false">J169*(1+IF(K$3&lt;=$O$2,$D169,$D169-($D169-$I$157)*MIN(K$3-$O$2,$Q$2)/$Q$2))</f>
        <v>1565.64426630104</v>
      </c>
      <c r="L169" s="15" t="n">
        <f aca="false">K169*(1+IF(L$3&lt;=$O$2,$D169,$D169-($D169-$I$157)*MIN(L$3-$O$2,$Q$2)/$Q$2))</f>
        <v>1555.90718212423</v>
      </c>
      <c r="M169" s="15" t="n">
        <f aca="false">L169*(1+IF(M$3&lt;=$O$2,$D169,$D169-($D169-$I$157)*MIN(M$3-$O$2,$Q$2)/$Q$2))</f>
        <v>1580.86454110175</v>
      </c>
      <c r="N169" s="15" t="n">
        <f aca="false">M169*(1+IF(N$3&lt;=$O$2,$D169,$D169-($D169-$I$157)*MIN(N$3-$O$2,$Q$2)/$Q$2))</f>
        <v>1641.41165302594</v>
      </c>
      <c r="O169" s="15" t="n">
        <f aca="false">SUMPRODUCT(E169:N169,1/(1+$F$157)^$E$3:$N$3)*$E$2</f>
        <v>3846.27164558677</v>
      </c>
      <c r="P169" s="15" t="n">
        <f aca="false">N169*$E$2*(1+$I$157)/($F$157-$I$157)/(1+$F$157)^$N$3</f>
        <v>7755.66051060878</v>
      </c>
      <c r="Q169" s="15" t="n">
        <f aca="false">O169+P169</f>
        <v>11601.9321561956</v>
      </c>
      <c r="R169" s="15" t="n">
        <f aca="false">Q169-$G$2+$I$2</f>
        <v>10327.2621561956</v>
      </c>
      <c r="S169" s="42" t="n">
        <f aca="false">R169/$K$2</f>
        <v>290.336299021522</v>
      </c>
      <c r="T169" s="43" t="n">
        <f aca="false">S169-$M$2</f>
        <v>1.04757256664465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-0.07373046875</v>
      </c>
      <c r="C170" s="25" t="n">
        <f aca="false">IF(T169&gt;0,D169,C169)</f>
        <v>-0.072998046875</v>
      </c>
      <c r="D170" s="41" t="n">
        <f aca="false">(B170+C170)/2</f>
        <v>-0.0733642578125</v>
      </c>
      <c r="E170" s="15" t="n">
        <f aca="false">$C$2*(1+IF(E$3&lt;=$O$2,$D170,$D170-($D170-$I$157)*MIN(E$3-$O$2,$Q$2)/$Q$2))</f>
        <v>2298.056640625</v>
      </c>
      <c r="F170" s="15" t="n">
        <f aca="false">E170*(1+IF(F$3&lt;=$O$2,$D170,$D170-($D170-$I$157)*MIN(F$3-$O$2,$Q$2)/$Q$2))</f>
        <v>2129.46142077446</v>
      </c>
      <c r="G170" s="15" t="n">
        <f aca="false">F170*(1+IF(G$3&lt;=$O$2,$D170,$D170-($D170-$I$157)*MIN(G$3-$O$2,$Q$2)/$Q$2))</f>
        <v>1973.23506409899</v>
      </c>
      <c r="H170" s="15" t="n">
        <f aca="false">G170*(1+IF(H$3&lt;=$O$2,$D170,$D170-($D170-$I$157)*MIN(H$3-$O$2,$Q$2)/$Q$2))</f>
        <v>1828.47013813177</v>
      </c>
      <c r="I170" s="15" t="n">
        <f aca="false">H170*(1+IF(I$3&lt;=$O$2,$D170,$D170-($D170-$I$157)*MIN(I$3-$O$2,$Q$2)/$Q$2))</f>
        <v>1694.32578351541</v>
      </c>
      <c r="J170" s="15" t="n">
        <f aca="false">I170*(1+IF(J$3&lt;=$O$2,$D170,$D170-($D170-$I$157)*MIN(J$3-$O$2,$Q$2)/$Q$2))</f>
        <v>1607.86195613699</v>
      </c>
      <c r="K170" s="15" t="n">
        <f aca="false">J170*(1+IF(K$3&lt;=$O$2,$D170,$D170-($D170-$I$157)*MIN(K$3-$O$2,$Q$2)/$Q$2))</f>
        <v>1561.71864185884</v>
      </c>
      <c r="L170" s="15" t="n">
        <f aca="false">K170*(1+IF(L$3&lt;=$O$2,$D170,$D170-($D170-$I$157)*MIN(L$3-$O$2,$Q$2)/$Q$2))</f>
        <v>1551.77720461999</v>
      </c>
      <c r="M170" s="15" t="n">
        <f aca="false">L170*(1+IF(M$3&lt;=$O$2,$D170,$D170-($D170-$I$157)*MIN(M$3-$O$2,$Q$2)/$Q$2))</f>
        <v>1576.55466158808</v>
      </c>
      <c r="N170" s="15" t="n">
        <f aca="false">M170*(1+IF(N$3&lt;=$O$2,$D170,$D170-($D170-$I$157)*MIN(N$3-$O$2,$Q$2)/$Q$2))</f>
        <v>1636.93670512691</v>
      </c>
      <c r="O170" s="15" t="n">
        <f aca="false">SUMPRODUCT(E170:N170,1/(1+$F$157)^$E$3:$N$3)*$E$2</f>
        <v>3840.08882048097</v>
      </c>
      <c r="P170" s="15" t="n">
        <f aca="false">N170*$E$2*(1+$I$157)/($F$157-$I$157)/(1+$F$157)^$N$3</f>
        <v>7734.51640782164</v>
      </c>
      <c r="Q170" s="15" t="n">
        <f aca="false">O170+P170</f>
        <v>11574.6052283026</v>
      </c>
      <c r="R170" s="15" t="n">
        <f aca="false">Q170-$G$2+$I$2</f>
        <v>10299.9352283026</v>
      </c>
      <c r="S170" s="42" t="n">
        <f aca="false">R170/$K$2</f>
        <v>289.568041279241</v>
      </c>
      <c r="T170" s="43" t="n">
        <f aca="false">S170-$M$2</f>
        <v>0.279314824363382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-0.07373046875</v>
      </c>
      <c r="C171" s="25" t="n">
        <f aca="false">IF(T170&gt;0,D170,C170)</f>
        <v>-0.0733642578125</v>
      </c>
      <c r="D171" s="41" t="n">
        <f aca="false">(B171+C171)/2</f>
        <v>-0.07354736328125</v>
      </c>
      <c r="E171" s="15" t="n">
        <f aca="false">$C$2*(1+IF(E$3&lt;=$O$2,$D171,$D171-($D171-$I$157)*MIN(E$3-$O$2,$Q$2)/$Q$2))</f>
        <v>2297.6025390625</v>
      </c>
      <c r="F171" s="15" t="n">
        <f aca="false">E171*(1+IF(F$3&lt;=$O$2,$D171,$D171-($D171-$I$157)*MIN(F$3-$O$2,$Q$2)/$Q$2))</f>
        <v>2128.61993044615</v>
      </c>
      <c r="G171" s="15" t="n">
        <f aca="false">F171*(1+IF(G$3&lt;=$O$2,$D171,$D171-($D171-$I$157)*MIN(G$3-$O$2,$Q$2)/$Q$2))</f>
        <v>1972.06554713392</v>
      </c>
      <c r="H171" s="15" t="n">
        <f aca="false">G171*(1+IF(H$3&lt;=$O$2,$D171,$D171-($D171-$I$157)*MIN(H$3-$O$2,$Q$2)/$Q$2))</f>
        <v>1827.02532592442</v>
      </c>
      <c r="I171" s="15" t="n">
        <f aca="false">H171*(1+IF(I$3&lt;=$O$2,$D171,$D171-($D171-$I$157)*MIN(I$3-$O$2,$Q$2)/$Q$2))</f>
        <v>1692.65243055461</v>
      </c>
      <c r="J171" s="15" t="n">
        <f aca="false">I171*(1+IF(J$3&lt;=$O$2,$D171,$D171-($D171-$I$157)*MIN(J$3-$O$2,$Q$2)/$Q$2))</f>
        <v>1606.02604959755</v>
      </c>
      <c r="K171" s="15" t="n">
        <f aca="false">J171*(1+IF(K$3&lt;=$O$2,$D171,$D171-($D171-$I$157)*MIN(K$3-$O$2,$Q$2)/$Q$2))</f>
        <v>1559.75897989204</v>
      </c>
      <c r="L171" s="15" t="n">
        <f aca="false">K171*(1+IF(L$3&lt;=$O$2,$D171,$D171-($D171-$I$157)*MIN(L$3-$O$2,$Q$2)/$Q$2))</f>
        <v>1549.71577711984</v>
      </c>
      <c r="M171" s="15" t="n">
        <f aca="false">L171*(1+IF(M$3&lt;=$O$2,$D171,$D171-($D171-$I$157)*MIN(M$3-$O$2,$Q$2)/$Q$2))</f>
        <v>1574.40356668229</v>
      </c>
      <c r="N171" s="15" t="n">
        <f aca="false">M171*(1+IF(N$3&lt;=$O$2,$D171,$D171-($D171-$I$157)*MIN(N$3-$O$2,$Q$2)/$Q$2))</f>
        <v>1634.70322328622</v>
      </c>
      <c r="O171" s="15" t="n">
        <f aca="false">SUMPRODUCT(E171:N171,1/(1+$F$157)^$E$3:$N$3)*$E$2</f>
        <v>3837.00130134468</v>
      </c>
      <c r="P171" s="15" t="n">
        <f aca="false">N171*$E$2*(1+$I$157)/($F$157-$I$157)/(1+$F$157)^$N$3</f>
        <v>7723.96321911906</v>
      </c>
      <c r="Q171" s="15" t="n">
        <f aca="false">O171+P171</f>
        <v>11560.9645204637</v>
      </c>
      <c r="R171" s="15" t="n">
        <f aca="false">Q171-$G$2+$I$2</f>
        <v>10286.2945204637</v>
      </c>
      <c r="S171" s="42" t="n">
        <f aca="false">R171/$K$2</f>
        <v>289.184552163726</v>
      </c>
      <c r="T171" s="43" t="n">
        <f aca="false">S171-$M$2</f>
        <v>-0.104174291151537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-0.07354736328125</v>
      </c>
      <c r="C172" s="25" t="n">
        <f aca="false">IF(T171&gt;0,D171,C171)</f>
        <v>-0.0733642578125</v>
      </c>
      <c r="D172" s="41" t="n">
        <f aca="false">(B172+C172)/2</f>
        <v>-0.073455810546875</v>
      </c>
      <c r="E172" s="15" t="n">
        <f aca="false">$C$2*(1+IF(E$3&lt;=$O$2,$D172,$D172-($D172-$I$157)*MIN(E$3-$O$2,$Q$2)/$Q$2))</f>
        <v>2297.82958984375</v>
      </c>
      <c r="F172" s="15" t="n">
        <f aca="false">E172*(1+IF(F$3&lt;=$O$2,$D172,$D172-($D172-$I$157)*MIN(F$3-$O$2,$Q$2)/$Q$2))</f>
        <v>2129.04065482318</v>
      </c>
      <c r="G172" s="15" t="n">
        <f aca="false">F172*(1+IF(G$3&lt;=$O$2,$D172,$D172-($D172-$I$157)*MIN(G$3-$O$2,$Q$2)/$Q$2))</f>
        <v>1972.6502478359</v>
      </c>
      <c r="H172" s="15" t="n">
        <f aca="false">G172*(1+IF(H$3&lt;=$O$2,$D172,$D172-($D172-$I$157)*MIN(H$3-$O$2,$Q$2)/$Q$2))</f>
        <v>1827.74762495562</v>
      </c>
      <c r="I172" s="15" t="n">
        <f aca="false">H172*(1+IF(I$3&lt;=$O$2,$D172,$D172-($D172-$I$157)*MIN(I$3-$O$2,$Q$2)/$Q$2))</f>
        <v>1693.48894168938</v>
      </c>
      <c r="J172" s="15" t="n">
        <f aca="false">I172*(1+IF(J$3&lt;=$O$2,$D172,$D172-($D172-$I$157)*MIN(J$3-$O$2,$Q$2)/$Q$2))</f>
        <v>1606.94378469155</v>
      </c>
      <c r="K172" s="15" t="n">
        <f aca="false">J172*(1+IF(K$3&lt;=$O$2,$D172,$D172-($D172-$I$157)*MIN(K$3-$O$2,$Q$2)/$Q$2))</f>
        <v>1560.73854854835</v>
      </c>
      <c r="L172" s="15" t="n">
        <f aca="false">K172*(1+IF(L$3&lt;=$O$2,$D172,$D172-($D172-$I$157)*MIN(L$3-$O$2,$Q$2)/$Q$2))</f>
        <v>1550.74619433985</v>
      </c>
      <c r="M172" s="15" t="n">
        <f aca="false">L172*(1+IF(M$3&lt;=$O$2,$D172,$D172-($D172-$I$157)*MIN(M$3-$O$2,$Q$2)/$Q$2))</f>
        <v>1575.47879400288</v>
      </c>
      <c r="N172" s="15" t="n">
        <f aca="false">M172*(1+IF(N$3&lt;=$O$2,$D172,$D172-($D172-$I$157)*MIN(N$3-$O$2,$Q$2)/$Q$2))</f>
        <v>1635.81963181319</v>
      </c>
      <c r="O172" s="15" t="n">
        <f aca="false">SUMPRODUCT(E172:N172,1/(1+$F$157)^$E$3:$N$3)*$E$2</f>
        <v>3838.54473668078</v>
      </c>
      <c r="P172" s="15" t="n">
        <f aca="false">N172*$E$2*(1+$I$157)/($F$157-$I$157)/(1+$F$157)^$N$3</f>
        <v>7729.23824291359</v>
      </c>
      <c r="Q172" s="15" t="n">
        <f aca="false">O172+P172</f>
        <v>11567.7829795944</v>
      </c>
      <c r="R172" s="15" t="n">
        <f aca="false">Q172-$G$2+$I$2</f>
        <v>10293.1129795944</v>
      </c>
      <c r="S172" s="42" t="n">
        <f aca="false">R172/$K$2</f>
        <v>289.376243452189</v>
      </c>
      <c r="T172" s="43" t="n">
        <f aca="false">S172-$M$2</f>
        <v>0.0875169973113543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-0.07354736328125</v>
      </c>
      <c r="C173" s="25" t="n">
        <f aca="false">IF(T172&gt;0,D172,C172)</f>
        <v>-0.073455810546875</v>
      </c>
      <c r="D173" s="41" t="n">
        <f aca="false">(B173+C173)/2</f>
        <v>-0.0735015869140625</v>
      </c>
      <c r="E173" s="15" t="n">
        <f aca="false">$C$2*(1+IF(E$3&lt;=$O$2,$D173,$D173-($D173-$I$157)*MIN(E$3-$O$2,$Q$2)/$Q$2))</f>
        <v>2297.71606445313</v>
      </c>
      <c r="F173" s="15" t="n">
        <f aca="false">E173*(1+IF(F$3&lt;=$O$2,$D173,$D173-($D173-$I$157)*MIN(F$3-$O$2,$Q$2)/$Q$2))</f>
        <v>2128.83028743789</v>
      </c>
      <c r="G173" s="15" t="n">
        <f aca="false">F173*(1+IF(G$3&lt;=$O$2,$D173,$D173-($D173-$I$157)*MIN(G$3-$O$2,$Q$2)/$Q$2))</f>
        <v>1972.35788304048</v>
      </c>
      <c r="H173" s="15" t="n">
        <f aca="false">G173*(1+IF(H$3&lt;=$O$2,$D173,$D173-($D173-$I$157)*MIN(H$3-$O$2,$Q$2)/$Q$2))</f>
        <v>1827.38644867455</v>
      </c>
      <c r="I173" s="15" t="n">
        <f aca="false">H173*(1+IF(I$3&lt;=$O$2,$D173,$D173-($D173-$I$157)*MIN(I$3-$O$2,$Q$2)/$Q$2))</f>
        <v>1693.07064479171</v>
      </c>
      <c r="J173" s="15" t="n">
        <f aca="false">I173*(1+IF(J$3&lt;=$O$2,$D173,$D173-($D173-$I$157)*MIN(J$3-$O$2,$Q$2)/$Q$2))</f>
        <v>1606.48486261097</v>
      </c>
      <c r="K173" s="15" t="n">
        <f aca="false">J173*(1+IF(K$3&lt;=$O$2,$D173,$D173-($D173-$I$157)*MIN(K$3-$O$2,$Q$2)/$Q$2))</f>
        <v>1560.24869865298</v>
      </c>
      <c r="L173" s="15" t="n">
        <f aca="false">K173*(1+IF(L$3&lt;=$O$2,$D173,$D173-($D173-$I$157)*MIN(L$3-$O$2,$Q$2)/$Q$2))</f>
        <v>1550.23091161538</v>
      </c>
      <c r="M173" s="15" t="n">
        <f aca="false">L173*(1+IF(M$3&lt;=$O$2,$D173,$D173-($D173-$I$157)*MIN(M$3-$O$2,$Q$2)/$Q$2))</f>
        <v>1574.94110032989</v>
      </c>
      <c r="N173" s="15" t="n">
        <f aca="false">M173*(1+IF(N$3&lt;=$O$2,$D173,$D173-($D173-$I$157)*MIN(N$3-$O$2,$Q$2)/$Q$2))</f>
        <v>1635.26134447252</v>
      </c>
      <c r="O173" s="15" t="n">
        <f aca="false">SUMPRODUCT(E173:N173,1/(1+$F$157)^$E$3:$N$3)*$E$2</f>
        <v>3837.77293797116</v>
      </c>
      <c r="P173" s="15" t="n">
        <f aca="false">N173*$E$2*(1+$I$157)/($F$157-$I$157)/(1+$F$157)^$N$3</f>
        <v>7726.60033847714</v>
      </c>
      <c r="Q173" s="15" t="n">
        <f aca="false">O173+P173</f>
        <v>11564.3732764483</v>
      </c>
      <c r="R173" s="15" t="n">
        <f aca="false">Q173-$G$2+$I$2</f>
        <v>10289.7032764483</v>
      </c>
      <c r="S173" s="42" t="n">
        <f aca="false">R173/$K$2</f>
        <v>289.280384493908</v>
      </c>
      <c r="T173" s="43" t="n">
        <f aca="false">S173-$M$2</f>
        <v>-0.0083419609700286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-0.0735015869140625</v>
      </c>
      <c r="C174" s="25" t="n">
        <f aca="false">IF(T173&gt;0,D173,C173)</f>
        <v>-0.073455810546875</v>
      </c>
      <c r="D174" s="41" t="n">
        <f aca="false">(B174+C174)/2</f>
        <v>-0.0734786987304688</v>
      </c>
      <c r="E174" s="15" t="n">
        <f aca="false">$C$2*(1+IF(E$3&lt;=$O$2,$D174,$D174-($D174-$I$157)*MIN(E$3-$O$2,$Q$2)/$Q$2))</f>
        <v>2297.77282714844</v>
      </c>
      <c r="F174" s="15" t="n">
        <f aca="false">E174*(1+IF(F$3&lt;=$O$2,$D174,$D174-($D174-$I$157)*MIN(F$3-$O$2,$Q$2)/$Q$2))</f>
        <v>2128.93546983134</v>
      </c>
      <c r="G174" s="15" t="n">
        <f aca="false">F174*(1+IF(G$3&lt;=$O$2,$D174,$D174-($D174-$I$157)*MIN(G$3-$O$2,$Q$2)/$Q$2))</f>
        <v>1972.50406182699</v>
      </c>
      <c r="H174" s="15" t="n">
        <f aca="false">G174*(1+IF(H$3&lt;=$O$2,$D174,$D174-($D174-$I$157)*MIN(H$3-$O$2,$Q$2)/$Q$2))</f>
        <v>1827.56703012338</v>
      </c>
      <c r="I174" s="15" t="n">
        <f aca="false">H174*(1+IF(I$3&lt;=$O$2,$D174,$D174-($D174-$I$157)*MIN(I$3-$O$2,$Q$2)/$Q$2))</f>
        <v>1693.27978290721</v>
      </c>
      <c r="J174" s="15" t="n">
        <f aca="false">I174*(1+IF(J$3&lt;=$O$2,$D174,$D174-($D174-$I$157)*MIN(J$3-$O$2,$Q$2)/$Q$2))</f>
        <v>1606.71431001657</v>
      </c>
      <c r="K174" s="15" t="n">
        <f aca="false">J174*(1+IF(K$3&lt;=$O$2,$D174,$D174-($D174-$I$157)*MIN(K$3-$O$2,$Q$2)/$Q$2))</f>
        <v>1560.49360720704</v>
      </c>
      <c r="L174" s="15" t="n">
        <f aca="false">K174*(1+IF(L$3&lt;=$O$2,$D174,$D174-($D174-$I$157)*MIN(L$3-$O$2,$Q$2)/$Q$2))</f>
        <v>1550.48853444674</v>
      </c>
      <c r="M174" s="15" t="n">
        <f aca="false">L174*(1+IF(M$3&lt;=$O$2,$D174,$D174-($D174-$I$157)*MIN(M$3-$O$2,$Q$2)/$Q$2))</f>
        <v>1575.20992716066</v>
      </c>
      <c r="N174" s="15" t="n">
        <f aca="false">M174*(1+IF(N$3&lt;=$O$2,$D174,$D174-($D174-$I$157)*MIN(N$3-$O$2,$Q$2)/$Q$2))</f>
        <v>1635.54046737091</v>
      </c>
      <c r="O174" s="15" t="n">
        <f aca="false">SUMPRODUCT(E174:N174,1/(1+$F$157)^$E$3:$N$3)*$E$2</f>
        <v>3838.15881706352</v>
      </c>
      <c r="P174" s="15" t="n">
        <f aca="false">N174*$E$2*(1+$I$157)/($F$157-$I$157)/(1+$F$157)^$N$3</f>
        <v>7727.91919254807</v>
      </c>
      <c r="Q174" s="15" t="n">
        <f aca="false">O174+P174</f>
        <v>11566.0780096116</v>
      </c>
      <c r="R174" s="15" t="n">
        <f aca="false">Q174-$G$2+$I$2</f>
        <v>10291.4080096116</v>
      </c>
      <c r="S174" s="42" t="n">
        <f aca="false">R174/$K$2</f>
        <v>289.328310644127</v>
      </c>
      <c r="T174" s="43" t="n">
        <f aca="false">S174-$M$2</f>
        <v>0.0395841892489557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-0.0735015869140625</v>
      </c>
      <c r="C175" s="25" t="n">
        <f aca="false">IF(T174&gt;0,D174,C174)</f>
        <v>-0.0734786987304688</v>
      </c>
      <c r="D175" s="41" t="n">
        <f aca="false">(B175+C175)/2</f>
        <v>-0.0734901428222656</v>
      </c>
      <c r="E175" s="15" t="n">
        <f aca="false">$C$2*(1+IF(E$3&lt;=$O$2,$D175,$D175-($D175-$I$157)*MIN(E$3-$O$2,$Q$2)/$Q$2))</f>
        <v>2297.74444580078</v>
      </c>
      <c r="F175" s="15" t="n">
        <f aca="false">E175*(1+IF(F$3&lt;=$O$2,$D175,$D175-($D175-$I$157)*MIN(F$3-$O$2,$Q$2)/$Q$2))</f>
        <v>2128.88287830981</v>
      </c>
      <c r="G175" s="15" t="n">
        <f aca="false">F175*(1+IF(G$3&lt;=$O$2,$D175,$D175-($D175-$I$157)*MIN(G$3-$O$2,$Q$2)/$Q$2))</f>
        <v>1972.43097153095</v>
      </c>
      <c r="H175" s="15" t="n">
        <f aca="false">G175*(1+IF(H$3&lt;=$O$2,$D175,$D175-($D175-$I$157)*MIN(H$3-$O$2,$Q$2)/$Q$2))</f>
        <v>1827.47673772608</v>
      </c>
      <c r="I175" s="15" t="n">
        <f aca="false">H175*(1+IF(I$3&lt;=$O$2,$D175,$D175-($D175-$I$157)*MIN(I$3-$O$2,$Q$2)/$Q$2))</f>
        <v>1693.17521126622</v>
      </c>
      <c r="J175" s="15" t="n">
        <f aca="false">I175*(1+IF(J$3&lt;=$O$2,$D175,$D175-($D175-$I$157)*MIN(J$3-$O$2,$Q$2)/$Q$2))</f>
        <v>1606.59958290526</v>
      </c>
      <c r="K175" s="15" t="n">
        <f aca="false">J175*(1+IF(K$3&lt;=$O$2,$D175,$D175-($D175-$I$157)*MIN(K$3-$O$2,$Q$2)/$Q$2))</f>
        <v>1560.37114883183</v>
      </c>
      <c r="L175" s="15" t="n">
        <f aca="false">K175*(1+IF(L$3&lt;=$O$2,$D175,$D175-($D175-$I$157)*MIN(L$3-$O$2,$Q$2)/$Q$2))</f>
        <v>1550.35971839863</v>
      </c>
      <c r="M175" s="15" t="n">
        <f aca="false">L175*(1+IF(M$3&lt;=$O$2,$D175,$D175-($D175-$I$157)*MIN(M$3-$O$2,$Q$2)/$Q$2))</f>
        <v>1575.07550874416</v>
      </c>
      <c r="N175" s="15" t="n">
        <f aca="false">M175*(1+IF(N$3&lt;=$O$2,$D175,$D175-($D175-$I$157)*MIN(N$3-$O$2,$Q$2)/$Q$2))</f>
        <v>1635.40090072906</v>
      </c>
      <c r="O175" s="15" t="n">
        <f aca="false">SUMPRODUCT(E175:N175,1/(1+$F$157)^$E$3:$N$3)*$E$2</f>
        <v>3837.96587245198</v>
      </c>
      <c r="P175" s="15" t="n">
        <f aca="false">N175*$E$2*(1+$I$157)/($F$157-$I$157)/(1+$F$157)^$N$3</f>
        <v>7727.25974097734</v>
      </c>
      <c r="Q175" s="15" t="n">
        <f aca="false">O175+P175</f>
        <v>11565.2256134293</v>
      </c>
      <c r="R175" s="15" t="n">
        <f aca="false">Q175-$G$2+$I$2</f>
        <v>10290.5556134293</v>
      </c>
      <c r="S175" s="42" t="n">
        <f aca="false">R175/$K$2</f>
        <v>289.304346736838</v>
      </c>
      <c r="T175" s="43" t="n">
        <f aca="false">S175-$M$2</f>
        <v>0.015620281960139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-0.0735015869140625</v>
      </c>
      <c r="C176" s="25" t="n">
        <f aca="false">IF(T175&gt;0,D175,C175)</f>
        <v>-0.0734901428222656</v>
      </c>
      <c r="D176" s="41" t="n">
        <f aca="false">(B176+C176)/2</f>
        <v>-0.0734958648681641</v>
      </c>
      <c r="E176" s="15" t="n">
        <f aca="false">$C$2*(1+IF(E$3&lt;=$O$2,$D176,$D176-($D176-$I$157)*MIN(E$3-$O$2,$Q$2)/$Q$2))</f>
        <v>2297.73025512695</v>
      </c>
      <c r="F176" s="15" t="n">
        <f aca="false">E176*(1+IF(F$3&lt;=$O$2,$D176,$D176-($D176-$I$157)*MIN(F$3-$O$2,$Q$2)/$Q$2))</f>
        <v>2128.85658279265</v>
      </c>
      <c r="G176" s="15" t="n">
        <f aca="false">F176*(1+IF(G$3&lt;=$O$2,$D176,$D176-($D176-$I$157)*MIN(G$3-$O$2,$Q$2)/$Q$2))</f>
        <v>1972.39442706002</v>
      </c>
      <c r="H176" s="15" t="n">
        <f aca="false">G176*(1+IF(H$3&lt;=$O$2,$D176,$D176-($D176-$I$157)*MIN(H$3-$O$2,$Q$2)/$Q$2))</f>
        <v>1827.4315927821</v>
      </c>
      <c r="I176" s="15" t="n">
        <f aca="false">H176*(1+IF(I$3&lt;=$O$2,$D176,$D176-($D176-$I$157)*MIN(I$3-$O$2,$Q$2)/$Q$2))</f>
        <v>1693.12292738317</v>
      </c>
      <c r="J176" s="15" t="n">
        <f aca="false">I176*(1+IF(J$3&lt;=$O$2,$D176,$D176-($D176-$I$157)*MIN(J$3-$O$2,$Q$2)/$Q$2))</f>
        <v>1606.54222190601</v>
      </c>
      <c r="K176" s="15" t="n">
        <f aca="false">J176*(1+IF(K$3&lt;=$O$2,$D176,$D176-($D176-$I$157)*MIN(K$3-$O$2,$Q$2)/$Q$2))</f>
        <v>1560.30992271789</v>
      </c>
      <c r="L176" s="15" t="n">
        <f aca="false">K176*(1+IF(L$3&lt;=$O$2,$D176,$D176-($D176-$I$157)*MIN(L$3-$O$2,$Q$2)/$Q$2))</f>
        <v>1550.29531384893</v>
      </c>
      <c r="M176" s="15" t="n">
        <f aca="false">L176*(1+IF(M$3&lt;=$O$2,$D176,$D176-($D176-$I$157)*MIN(M$3-$O$2,$Q$2)/$Q$2))</f>
        <v>1575.00830328679</v>
      </c>
      <c r="N176" s="15" t="n">
        <f aca="false">M176*(1+IF(N$3&lt;=$O$2,$D176,$D176-($D176-$I$157)*MIN(N$3-$O$2,$Q$2)/$Q$2))</f>
        <v>1635.33112130267</v>
      </c>
      <c r="O176" s="15" t="n">
        <f aca="false">SUMPRODUCT(E176:N176,1/(1+$F$157)^$E$3:$N$3)*$E$2</f>
        <v>3837.86940394526</v>
      </c>
      <c r="P176" s="15" t="n">
        <f aca="false">N176*$E$2*(1+$I$157)/($F$157-$I$157)/(1+$F$157)^$N$3</f>
        <v>7726.93003359362</v>
      </c>
      <c r="Q176" s="15" t="n">
        <f aca="false">O176+P176</f>
        <v>11564.7994375389</v>
      </c>
      <c r="R176" s="15" t="n">
        <f aca="false">Q176-$G$2+$I$2</f>
        <v>10290.1294375389</v>
      </c>
      <c r="S176" s="42" t="n">
        <f aca="false">R176/$K$2</f>
        <v>289.292365407334</v>
      </c>
      <c r="T176" s="43" t="n">
        <f aca="false">S176-$M$2</f>
        <v>0.00363895245658341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-0.0735015869140625</v>
      </c>
      <c r="C177" s="25" t="n">
        <f aca="false">IF(T176&gt;0,D176,C176)</f>
        <v>-0.0734958648681641</v>
      </c>
      <c r="D177" s="41" t="n">
        <f aca="false">(B177+C177)/2</f>
        <v>-0.0734987258911133</v>
      </c>
      <c r="E177" s="15" t="n">
        <f aca="false">$C$2*(1+IF(E$3&lt;=$O$2,$D177,$D177-($D177-$I$157)*MIN(E$3-$O$2,$Q$2)/$Q$2))</f>
        <v>2297.72315979004</v>
      </c>
      <c r="F177" s="15" t="n">
        <f aca="false">E177*(1+IF(F$3&lt;=$O$2,$D177,$D177-($D177-$I$157)*MIN(F$3-$O$2,$Q$2)/$Q$2))</f>
        <v>2128.84343509497</v>
      </c>
      <c r="G177" s="15" t="n">
        <f aca="false">F177*(1+IF(G$3&lt;=$O$2,$D177,$D177-($D177-$I$157)*MIN(G$3-$O$2,$Q$2)/$Q$2))</f>
        <v>1972.37615499383</v>
      </c>
      <c r="H177" s="15" t="n">
        <f aca="false">G177*(1+IF(H$3&lt;=$O$2,$D177,$D177-($D177-$I$157)*MIN(H$3-$O$2,$Q$2)/$Q$2))</f>
        <v>1827.40902062377</v>
      </c>
      <c r="I177" s="15" t="n">
        <f aca="false">H177*(1+IF(I$3&lt;=$O$2,$D177,$D177-($D177-$I$157)*MIN(I$3-$O$2,$Q$2)/$Q$2))</f>
        <v>1693.09678592599</v>
      </c>
      <c r="J177" s="15" t="n">
        <f aca="false">I177*(1+IF(J$3&lt;=$O$2,$D177,$D177-($D177-$I$157)*MIN(J$3-$O$2,$Q$2)/$Q$2))</f>
        <v>1606.51354204547</v>
      </c>
      <c r="K177" s="15" t="n">
        <f aca="false">J177*(1+IF(K$3&lt;=$O$2,$D177,$D177-($D177-$I$157)*MIN(K$3-$O$2,$Q$2)/$Q$2))</f>
        <v>1560.27931042931</v>
      </c>
      <c r="L177" s="15" t="n">
        <f aca="false">K177*(1+IF(L$3&lt;=$O$2,$D177,$D177-($D177-$I$157)*MIN(L$3-$O$2,$Q$2)/$Q$2))</f>
        <v>1550.26311244265</v>
      </c>
      <c r="M177" s="15" t="n">
        <f aca="false">L177*(1+IF(M$3&lt;=$O$2,$D177,$D177-($D177-$I$157)*MIN(M$3-$O$2,$Q$2)/$Q$2))</f>
        <v>1574.97470149578</v>
      </c>
      <c r="N177" s="15" t="n">
        <f aca="false">M177*(1+IF(N$3&lt;=$O$2,$D177,$D177-($D177-$I$157)*MIN(N$3-$O$2,$Q$2)/$Q$2))</f>
        <v>1635.29623256307</v>
      </c>
      <c r="O177" s="15" t="n">
        <f aca="false">SUMPRODUCT(E177:N177,1/(1+$F$157)^$E$3:$N$3)*$E$2</f>
        <v>3837.82117064164</v>
      </c>
      <c r="P177" s="15" t="n">
        <f aca="false">N177*$E$2*(1+$I$157)/($F$157-$I$157)/(1+$F$157)^$N$3</f>
        <v>7726.765184502</v>
      </c>
      <c r="Q177" s="15" t="n">
        <f aca="false">O177+P177</f>
        <v>11564.5863551436</v>
      </c>
      <c r="R177" s="15" t="n">
        <f aca="false">Q177-$G$2+$I$2</f>
        <v>10289.9163551436</v>
      </c>
      <c r="S177" s="42" t="n">
        <f aca="false">R177/$K$2</f>
        <v>289.286374898612</v>
      </c>
      <c r="T177" s="43" t="n">
        <f aca="false">S177-$M$2</f>
        <v>-0.00235155626546657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-0.0734987258911133</v>
      </c>
      <c r="C178" s="25" t="n">
        <f aca="false">IF(T177&gt;0,D177,C177)</f>
        <v>-0.0734958648681641</v>
      </c>
      <c r="D178" s="41" t="n">
        <f aca="false">(B178+C178)/2</f>
        <v>-0.0734972953796387</v>
      </c>
      <c r="E178" s="15" t="n">
        <f aca="false">$C$2*(1+IF(E$3&lt;=$O$2,$D178,$D178-($D178-$I$157)*MIN(E$3-$O$2,$Q$2)/$Q$2))</f>
        <v>2297.7267074585</v>
      </c>
      <c r="F178" s="15" t="n">
        <f aca="false">E178*(1+IF(F$3&lt;=$O$2,$D178,$D178-($D178-$I$157)*MIN(F$3-$O$2,$Q$2)/$Q$2))</f>
        <v>2128.85000893873</v>
      </c>
      <c r="G178" s="15" t="n">
        <f aca="false">F178*(1+IF(G$3&lt;=$O$2,$D178,$D178-($D178-$I$157)*MIN(G$3-$O$2,$Q$2)/$Q$2))</f>
        <v>1972.38529101282</v>
      </c>
      <c r="H178" s="15" t="n">
        <f aca="false">G178*(1+IF(H$3&lt;=$O$2,$D178,$D178-($D178-$I$157)*MIN(H$3-$O$2,$Q$2)/$Q$2))</f>
        <v>1827.42030667679</v>
      </c>
      <c r="I178" s="15" t="n">
        <f aca="false">H178*(1+IF(I$3&lt;=$O$2,$D178,$D178-($D178-$I$157)*MIN(I$3-$O$2,$Q$2)/$Q$2))</f>
        <v>1693.10985661422</v>
      </c>
      <c r="J178" s="15" t="n">
        <f aca="false">I178*(1+IF(J$3&lt;=$O$2,$D178,$D178-($D178-$I$157)*MIN(J$3-$O$2,$Q$2)/$Q$2))</f>
        <v>1606.52788192248</v>
      </c>
      <c r="K178" s="15" t="n">
        <f aca="false">J178*(1+IF(K$3&lt;=$O$2,$D178,$D178-($D178-$I$157)*MIN(K$3-$O$2,$Q$2)/$Q$2))</f>
        <v>1560.29461650957</v>
      </c>
      <c r="L178" s="15" t="n">
        <f aca="false">K178*(1+IF(L$3&lt;=$O$2,$D178,$D178-($D178-$I$157)*MIN(L$3-$O$2,$Q$2)/$Q$2))</f>
        <v>1550.27921307341</v>
      </c>
      <c r="M178" s="15" t="n">
        <f aca="false">L178*(1+IF(M$3&lt;=$O$2,$D178,$D178-($D178-$I$157)*MIN(M$3-$O$2,$Q$2)/$Q$2))</f>
        <v>1574.99150231315</v>
      </c>
      <c r="N178" s="15" t="n">
        <f aca="false">M178*(1+IF(N$3&lt;=$O$2,$D178,$D178-($D178-$I$157)*MIN(N$3-$O$2,$Q$2)/$Q$2))</f>
        <v>1635.31367685174</v>
      </c>
      <c r="O178" s="15" t="n">
        <f aca="false">SUMPRODUCT(E178:N178,1/(1+$F$157)^$E$3:$N$3)*$E$2</f>
        <v>3837.84528721431</v>
      </c>
      <c r="P178" s="15" t="n">
        <f aca="false">N178*$E$2*(1+$I$157)/($F$157-$I$157)/(1+$F$157)^$N$3</f>
        <v>7726.84760866446</v>
      </c>
      <c r="Q178" s="15" t="n">
        <f aca="false">O178+P178</f>
        <v>11564.6928958788</v>
      </c>
      <c r="R178" s="15" t="n">
        <f aca="false">Q178-$G$2+$I$2</f>
        <v>10290.0228958788</v>
      </c>
      <c r="S178" s="42" t="n">
        <f aca="false">R178/$K$2</f>
        <v>289.289370139971</v>
      </c>
      <c r="T178" s="43" t="n">
        <f aca="false">S178-$M$2</f>
        <v>0.000643685093223212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-0.0734987258911133</v>
      </c>
      <c r="C179" s="25" t="n">
        <f aca="false">IF(T178&gt;0,D178,C178)</f>
        <v>-0.0734972953796387</v>
      </c>
      <c r="D179" s="41" t="n">
        <f aca="false">(B179+C179)/2</f>
        <v>-0.073498010635376</v>
      </c>
      <c r="E179" s="15" t="n">
        <f aca="false">$C$2*(1+IF(E$3&lt;=$O$2,$D179,$D179-($D179-$I$157)*MIN(E$3-$O$2,$Q$2)/$Q$2))</f>
        <v>2297.72493362427</v>
      </c>
      <c r="F179" s="15" t="n">
        <f aca="false">E179*(1+IF(F$3&lt;=$O$2,$D179,$D179-($D179-$I$157)*MIN(F$3-$O$2,$Q$2)/$Q$2))</f>
        <v>2128.84672201558</v>
      </c>
      <c r="G179" s="15" t="n">
        <f aca="false">F179*(1+IF(G$3&lt;=$O$2,$D179,$D179-($D179-$I$157)*MIN(G$3-$O$2,$Q$2)/$Q$2))</f>
        <v>1972.3807229998</v>
      </c>
      <c r="H179" s="15" t="n">
        <f aca="false">G179*(1+IF(H$3&lt;=$O$2,$D179,$D179-($D179-$I$157)*MIN(H$3-$O$2,$Q$2)/$Q$2))</f>
        <v>1827.41466364375</v>
      </c>
      <c r="I179" s="15" t="n">
        <f aca="false">H179*(1+IF(I$3&lt;=$O$2,$D179,$D179-($D179-$I$157)*MIN(I$3-$O$2,$Q$2)/$Q$2))</f>
        <v>1693.10332126002</v>
      </c>
      <c r="J179" s="15" t="n">
        <f aca="false">I179*(1+IF(J$3&lt;=$O$2,$D179,$D179-($D179-$I$157)*MIN(J$3-$O$2,$Q$2)/$Q$2))</f>
        <v>1606.52071197066</v>
      </c>
      <c r="K179" s="15" t="n">
        <f aca="false">J179*(1+IF(K$3&lt;=$O$2,$D179,$D179-($D179-$I$157)*MIN(K$3-$O$2,$Q$2)/$Q$2))</f>
        <v>1560.28696345343</v>
      </c>
      <c r="L179" s="15" t="n">
        <f aca="false">K179*(1+IF(L$3&lt;=$O$2,$D179,$D179-($D179-$I$157)*MIN(L$3-$O$2,$Q$2)/$Q$2))</f>
        <v>1550.27116273993</v>
      </c>
      <c r="M179" s="15" t="n">
        <f aca="false">L179*(1+IF(M$3&lt;=$O$2,$D179,$D179-($D179-$I$157)*MIN(M$3-$O$2,$Q$2)/$Q$2))</f>
        <v>1574.98310188493</v>
      </c>
      <c r="N179" s="15" t="n">
        <f aca="false">M179*(1+IF(N$3&lt;=$O$2,$D179,$D179-($D179-$I$157)*MIN(N$3-$O$2,$Q$2)/$Q$2))</f>
        <v>1635.30495468712</v>
      </c>
      <c r="O179" s="15" t="n">
        <f aca="false">SUMPRODUCT(E179:N179,1/(1+$F$157)^$E$3:$N$3)*$E$2</f>
        <v>3837.83322890819</v>
      </c>
      <c r="P179" s="15" t="n">
        <f aca="false">N179*$E$2*(1+$I$157)/($F$157-$I$157)/(1+$F$157)^$N$3</f>
        <v>7726.80639648739</v>
      </c>
      <c r="Q179" s="15" t="n">
        <f aca="false">O179+P179</f>
        <v>11564.6396253956</v>
      </c>
      <c r="R179" s="15" t="n">
        <f aca="false">Q179-$G$2+$I$2</f>
        <v>10289.9696253956</v>
      </c>
      <c r="S179" s="42" t="n">
        <f aca="false">R179/$K$2</f>
        <v>289.287872516041</v>
      </c>
      <c r="T179" s="43" t="n">
        <f aca="false">S179-$M$2</f>
        <v>-0.000853938836655743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-0.073498010635376</v>
      </c>
      <c r="C180" s="25" t="n">
        <f aca="false">IF(T179&gt;0,D179,C179)</f>
        <v>-0.0734972953796387</v>
      </c>
      <c r="D180" s="41" t="n">
        <f aca="false">(B180+C180)/2</f>
        <v>-0.0734976530075073</v>
      </c>
      <c r="E180" s="15" t="n">
        <f aca="false">$C$2*(1+IF(E$3&lt;=$O$2,$D180,$D180-($D180-$I$157)*MIN(E$3-$O$2,$Q$2)/$Q$2))</f>
        <v>2297.72582054138</v>
      </c>
      <c r="F180" s="15" t="n">
        <f aca="false">E180*(1+IF(F$3&lt;=$O$2,$D180,$D180-($D180-$I$157)*MIN(F$3-$O$2,$Q$2)/$Q$2))</f>
        <v>2128.84836547684</v>
      </c>
      <c r="G180" s="15" t="n">
        <f aca="false">F180*(1+IF(G$3&lt;=$O$2,$D180,$D180-($D180-$I$157)*MIN(G$3-$O$2,$Q$2)/$Q$2))</f>
        <v>1972.38300700543</v>
      </c>
      <c r="H180" s="15" t="n">
        <f aca="false">G180*(1+IF(H$3&lt;=$O$2,$D180,$D180-($D180-$I$157)*MIN(H$3-$O$2,$Q$2)/$Q$2))</f>
        <v>1827.41748515864</v>
      </c>
      <c r="I180" s="15" t="n">
        <f aca="false">H180*(1+IF(I$3&lt;=$O$2,$D180,$D180-($D180-$I$157)*MIN(I$3-$O$2,$Q$2)/$Q$2))</f>
        <v>1693.1065889346</v>
      </c>
      <c r="J180" s="15" t="n">
        <f aca="false">I180*(1+IF(J$3&lt;=$O$2,$D180,$D180-($D180-$I$157)*MIN(J$3-$O$2,$Q$2)/$Q$2))</f>
        <v>1606.52429694324</v>
      </c>
      <c r="K180" s="15" t="n">
        <f aca="false">J180*(1+IF(K$3&lt;=$O$2,$D180,$D180-($D180-$I$157)*MIN(K$3-$O$2,$Q$2)/$Q$2))</f>
        <v>1560.2907899775</v>
      </c>
      <c r="L180" s="15" t="n">
        <f aca="false">K180*(1+IF(L$3&lt;=$O$2,$D180,$D180-($D180-$I$157)*MIN(L$3-$O$2,$Q$2)/$Q$2))</f>
        <v>1550.27518790215</v>
      </c>
      <c r="M180" s="15" t="n">
        <f aca="false">L180*(1+IF(M$3&lt;=$O$2,$D180,$D180-($D180-$I$157)*MIN(M$3-$O$2,$Q$2)/$Q$2))</f>
        <v>1574.98730209415</v>
      </c>
      <c r="N180" s="15" t="n">
        <f aca="false">M180*(1+IF(N$3&lt;=$O$2,$D180,$D180-($D180-$I$157)*MIN(N$3-$O$2,$Q$2)/$Q$2))</f>
        <v>1635.30931576436</v>
      </c>
      <c r="O180" s="15" t="n">
        <f aca="false">SUMPRODUCT(E180:N180,1/(1+$F$157)^$E$3:$N$3)*$E$2</f>
        <v>3837.8392580563</v>
      </c>
      <c r="P180" s="15" t="n">
        <f aca="false">N180*$E$2*(1+$I$157)/($F$157-$I$157)/(1+$F$157)^$N$3</f>
        <v>7726.82700255197</v>
      </c>
      <c r="Q180" s="15" t="n">
        <f aca="false">O180+P180</f>
        <v>11564.6662606083</v>
      </c>
      <c r="R180" s="15" t="n">
        <f aca="false">Q180-$G$2+$I$2</f>
        <v>10289.9962606083</v>
      </c>
      <c r="S180" s="42" t="n">
        <f aca="false">R180/$K$2</f>
        <v>289.288621327193</v>
      </c>
      <c r="T180" s="43" t="n">
        <f aca="false">S180-$M$2</f>
        <v>-0.00010512768432136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-0.0734976530075073</v>
      </c>
      <c r="C181" s="25" t="n">
        <f aca="false">IF(T180&gt;0,D180,C180)</f>
        <v>-0.0734972953796387</v>
      </c>
      <c r="D181" s="41" t="n">
        <f aca="false">(B181+C181)/2</f>
        <v>-0.073497474193573</v>
      </c>
      <c r="E181" s="15" t="n">
        <f aca="false">$C$2*(1+IF(E$3&lt;=$O$2,$D181,$D181-($D181-$I$157)*MIN(E$3-$O$2,$Q$2)/$Q$2))</f>
        <v>2297.72626399994</v>
      </c>
      <c r="F181" s="15" t="n">
        <f aca="false">E181*(1+IF(F$3&lt;=$O$2,$D181,$D181-($D181-$I$157)*MIN(F$3-$O$2,$Q$2)/$Q$2))</f>
        <v>2128.84918720771</v>
      </c>
      <c r="G181" s="15" t="n">
        <f aca="false">F181*(1+IF(G$3&lt;=$O$2,$D181,$D181-($D181-$I$157)*MIN(G$3-$O$2,$Q$2)/$Q$2))</f>
        <v>1972.3841490089</v>
      </c>
      <c r="H181" s="15" t="n">
        <f aca="false">G181*(1+IF(H$3&lt;=$O$2,$D181,$D181-($D181-$I$157)*MIN(H$3-$O$2,$Q$2)/$Q$2))</f>
        <v>1827.41889591731</v>
      </c>
      <c r="I181" s="15" t="n">
        <f aca="false">H181*(1+IF(I$3&lt;=$O$2,$D181,$D181-($D181-$I$157)*MIN(I$3-$O$2,$Q$2)/$Q$2))</f>
        <v>1693.10822277378</v>
      </c>
      <c r="J181" s="15" t="n">
        <f aca="false">I181*(1+IF(J$3&lt;=$O$2,$D181,$D181-($D181-$I$157)*MIN(J$3-$O$2,$Q$2)/$Q$2))</f>
        <v>1606.52608943203</v>
      </c>
      <c r="K181" s="15" t="n">
        <f aca="false">J181*(1+IF(K$3&lt;=$O$2,$D181,$D181-($D181-$I$157)*MIN(K$3-$O$2,$Q$2)/$Q$2))</f>
        <v>1560.29270324253</v>
      </c>
      <c r="L181" s="15" t="n">
        <f aca="false">K181*(1+IF(L$3&lt;=$O$2,$D181,$D181-($D181-$I$157)*MIN(L$3-$O$2,$Q$2)/$Q$2))</f>
        <v>1550.27720048665</v>
      </c>
      <c r="M181" s="15" t="n">
        <f aca="false">L181*(1+IF(M$3&lt;=$O$2,$D181,$D181-($D181-$I$157)*MIN(M$3-$O$2,$Q$2)/$Q$2))</f>
        <v>1574.98940220243</v>
      </c>
      <c r="N181" s="15" t="n">
        <f aca="false">M181*(1+IF(N$3&lt;=$O$2,$D181,$D181-($D181-$I$157)*MIN(N$3-$O$2,$Q$2)/$Q$2))</f>
        <v>1635.31149630678</v>
      </c>
      <c r="O181" s="15" t="n">
        <f aca="false">SUMPRODUCT(E181:N181,1/(1+$F$157)^$E$3:$N$3)*$E$2</f>
        <v>3837.84227263407</v>
      </c>
      <c r="P181" s="15" t="n">
        <f aca="false">N181*$E$2*(1+$I$157)/($F$157-$I$157)/(1+$F$157)^$N$3</f>
        <v>7726.83730560222</v>
      </c>
      <c r="Q181" s="15" t="n">
        <f aca="false">O181+P181</f>
        <v>11564.6795782363</v>
      </c>
      <c r="R181" s="15" t="n">
        <f aca="false">Q181-$G$2+$I$2</f>
        <v>10290.0095782363</v>
      </c>
      <c r="S181" s="42" t="n">
        <f aca="false">R181/$K$2</f>
        <v>289.288995733379</v>
      </c>
      <c r="T181" s="43" t="n">
        <f aca="false">S181-$M$2</f>
        <v>0.000269278501264125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-0.0734976530075073</v>
      </c>
      <c r="C182" s="25" t="n">
        <f aca="false">IF(T181&gt;0,D181,C181)</f>
        <v>-0.073497474193573</v>
      </c>
      <c r="D182" s="41" t="n">
        <f aca="false">(B182+C182)/2</f>
        <v>-0.0734975636005402</v>
      </c>
      <c r="E182" s="15" t="n">
        <f aca="false">$C$2*(1+IF(E$3&lt;=$O$2,$D182,$D182-($D182-$I$157)*MIN(E$3-$O$2,$Q$2)/$Q$2))</f>
        <v>2297.72604227066</v>
      </c>
      <c r="F182" s="15" t="n">
        <f aca="false">E182*(1+IF(F$3&lt;=$O$2,$D182,$D182-($D182-$I$157)*MIN(F$3-$O$2,$Q$2)/$Q$2))</f>
        <v>2128.84877634226</v>
      </c>
      <c r="G182" s="15" t="n">
        <f aca="false">F182*(1+IF(G$3&lt;=$O$2,$D182,$D182-($D182-$I$157)*MIN(G$3-$O$2,$Q$2)/$Q$2))</f>
        <v>1972.38357800711</v>
      </c>
      <c r="H182" s="15" t="n">
        <f aca="false">G182*(1+IF(H$3&lt;=$O$2,$D182,$D182-($D182-$I$157)*MIN(H$3-$O$2,$Q$2)/$Q$2))</f>
        <v>1827.41819053787</v>
      </c>
      <c r="I182" s="15" t="n">
        <f aca="false">H182*(1+IF(I$3&lt;=$O$2,$D182,$D182-($D182-$I$157)*MIN(I$3-$O$2,$Q$2)/$Q$2))</f>
        <v>1693.10740585403</v>
      </c>
      <c r="J182" s="15" t="n">
        <f aca="false">I182*(1+IF(J$3&lt;=$O$2,$D182,$D182-($D182-$I$157)*MIN(J$3-$O$2,$Q$2)/$Q$2))</f>
        <v>1606.52519318743</v>
      </c>
      <c r="K182" s="15" t="n">
        <f aca="false">J182*(1+IF(K$3&lt;=$O$2,$D182,$D182-($D182-$I$157)*MIN(K$3-$O$2,$Q$2)/$Q$2))</f>
        <v>1560.29174660976</v>
      </c>
      <c r="L182" s="15" t="n">
        <f aca="false">K182*(1+IF(L$3&lt;=$O$2,$D182,$D182-($D182-$I$157)*MIN(L$3-$O$2,$Q$2)/$Q$2))</f>
        <v>1550.27619419412</v>
      </c>
      <c r="M182" s="15" t="n">
        <f aca="false">L182*(1+IF(M$3&lt;=$O$2,$D182,$D182-($D182-$I$157)*MIN(M$3-$O$2,$Q$2)/$Q$2))</f>
        <v>1574.98835214799</v>
      </c>
      <c r="N182" s="15" t="n">
        <f aca="false">M182*(1+IF(N$3&lt;=$O$2,$D182,$D182-($D182-$I$157)*MIN(N$3-$O$2,$Q$2)/$Q$2))</f>
        <v>1635.31040603525</v>
      </c>
      <c r="O182" s="15" t="n">
        <f aca="false">SUMPRODUCT(E182:N182,1/(1+$F$157)^$E$3:$N$3)*$E$2</f>
        <v>3837.84076534488</v>
      </c>
      <c r="P182" s="15" t="n">
        <f aca="false">N182*$E$2*(1+$I$157)/($F$157-$I$157)/(1+$F$157)^$N$3</f>
        <v>7726.8321540756</v>
      </c>
      <c r="Q182" s="15" t="n">
        <f aca="false">O182+P182</f>
        <v>11564.6729194205</v>
      </c>
      <c r="R182" s="15" t="n">
        <f aca="false">Q182-$G$2+$I$2</f>
        <v>10290.0029194205</v>
      </c>
      <c r="S182" s="42" t="n">
        <f aca="false">R182/$K$2</f>
        <v>289.288808530235</v>
      </c>
      <c r="T182" s="43" t="n">
        <f aca="false">S182-$M$2</f>
        <v>8.20753576817879E-005</v>
      </c>
    </row>
    <row r="184" customFormat="false" ht="15" hidden="false" customHeight="false" outlineLevel="0" collapsed="false">
      <c r="A184" s="38" t="s">
        <v>190</v>
      </c>
      <c r="E184" s="5" t="s">
        <v>11</v>
      </c>
      <c r="F184" s="12" t="n">
        <f aca="false">Sensitivity!$B$11</f>
        <v>0.0764218415038925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8" t="s">
        <v>165</v>
      </c>
      <c r="B185" s="28" t="s">
        <v>166</v>
      </c>
      <c r="C185" s="28" t="s">
        <v>167</v>
      </c>
      <c r="D185" s="28" t="s">
        <v>168</v>
      </c>
      <c r="E185" s="28" t="s">
        <v>169</v>
      </c>
      <c r="F185" s="28" t="s">
        <v>170</v>
      </c>
      <c r="G185" s="28" t="s">
        <v>171</v>
      </c>
      <c r="H185" s="28" t="s">
        <v>172</v>
      </c>
      <c r="I185" s="28" t="s">
        <v>173</v>
      </c>
      <c r="J185" s="28" t="s">
        <v>174</v>
      </c>
      <c r="K185" s="28" t="s">
        <v>175</v>
      </c>
      <c r="L185" s="28" t="s">
        <v>176</v>
      </c>
      <c r="M185" s="28" t="s">
        <v>177</v>
      </c>
      <c r="N185" s="28" t="s">
        <v>178</v>
      </c>
      <c r="O185" s="28" t="s">
        <v>179</v>
      </c>
      <c r="P185" s="28" t="s">
        <v>180</v>
      </c>
      <c r="Q185" s="28" t="s">
        <v>181</v>
      </c>
      <c r="R185" s="28" t="s">
        <v>182</v>
      </c>
      <c r="S185" s="28" t="s">
        <v>183</v>
      </c>
      <c r="T185" s="28" t="s">
        <v>184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41" t="n">
        <f aca="false">(B186+C186)/2</f>
        <v>0.25</v>
      </c>
      <c r="E186" s="15" t="n">
        <f aca="false">$C$2*(1+IF(E$3&lt;=$O$2,$D186,$D186-($D186-$I$184)*MIN(E$3-$O$2,$Q$2)/$Q$2))</f>
        <v>3100</v>
      </c>
      <c r="F186" s="15" t="n">
        <f aca="false">E186*(1+IF(F$3&lt;=$O$2,$D186,$D186-($D186-$I$184)*MIN(F$3-$O$2,$Q$2)/$Q$2))</f>
        <v>3875</v>
      </c>
      <c r="G186" s="15" t="n">
        <f aca="false">F186*(1+IF(G$3&lt;=$O$2,$D186,$D186-($D186-$I$184)*MIN(G$3-$O$2,$Q$2)/$Q$2))</f>
        <v>4843.75</v>
      </c>
      <c r="H186" s="15" t="n">
        <f aca="false">G186*(1+IF(H$3&lt;=$O$2,$D186,$D186-($D186-$I$184)*MIN(H$3-$O$2,$Q$2)/$Q$2))</f>
        <v>6054.6875</v>
      </c>
      <c r="I186" s="15" t="n">
        <f aca="false">H186*(1+IF(I$3&lt;=$O$2,$D186,$D186-($D186-$I$184)*MIN(I$3-$O$2,$Q$2)/$Q$2))</f>
        <v>7568.359375</v>
      </c>
      <c r="J186" s="15" t="n">
        <f aca="false">I186*(1+IF(J$3&lt;=$O$2,$D186,$D186-($D186-$I$184)*MIN(J$3-$O$2,$Q$2)/$Q$2))</f>
        <v>9109.7314453125</v>
      </c>
      <c r="K186" s="15" t="n">
        <f aca="false">J186*(1+IF(K$3&lt;=$O$2,$D186,$D186-($D186-$I$184)*MIN(K$3-$O$2,$Q$2)/$Q$2))</f>
        <v>10542.8743962891</v>
      </c>
      <c r="L186" s="15" t="n">
        <f aca="false">K186*(1+IF(L$3&lt;=$O$2,$D186,$D186-($D186-$I$184)*MIN(L$3-$O$2,$Q$2)/$Q$2))</f>
        <v>11712.9225967892</v>
      </c>
      <c r="M186" s="15" t="n">
        <f aca="false">L186*(1+IF(M$3&lt;=$O$2,$D186,$D186-($D186-$I$184)*MIN(M$3-$O$2,$Q$2)/$Q$2))</f>
        <v>12470.0459134457</v>
      </c>
      <c r="N186" s="15" t="n">
        <f aca="false">M186*(1+IF(N$3&lt;=$O$2,$D186,$D186-($D186-$I$184)*MIN(N$3-$O$2,$Q$2)/$Q$2))</f>
        <v>12698.2477536617</v>
      </c>
      <c r="O186" s="15" t="n">
        <f aca="false">SUMPRODUCT(E186:N186,1/(1+$F$184)^$E$3:$N$3)*$E$2</f>
        <v>15327.7516897462</v>
      </c>
      <c r="P186" s="15" t="n">
        <f aca="false">N186*$E$2*(1+$I$184)/($F$184-$I$184)/(1+$F$184)^$N$3</f>
        <v>32007.5928222685</v>
      </c>
      <c r="Q186" s="15" t="n">
        <f aca="false">O186+P186</f>
        <v>47335.3445120147</v>
      </c>
      <c r="R186" s="15" t="n">
        <f aca="false">Q186-$G$2+$I$2</f>
        <v>46060.6745120147</v>
      </c>
      <c r="S186" s="42" t="n">
        <f aca="false">R186/$K$2</f>
        <v>1294.93040517331</v>
      </c>
      <c r="T186" s="43" t="n">
        <f aca="false">S186-$M$2</f>
        <v>1005.64167871843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41" t="n">
        <f aca="false">(B187+C187)/2</f>
        <v>-0.125</v>
      </c>
      <c r="E187" s="15" t="n">
        <f aca="false">$C$2*(1+IF(E$3&lt;=$O$2,$D187,$D187-($D187-$I$184)*MIN(E$3-$O$2,$Q$2)/$Q$2))</f>
        <v>2170</v>
      </c>
      <c r="F187" s="15" t="n">
        <f aca="false">E187*(1+IF(F$3&lt;=$O$2,$D187,$D187-($D187-$I$184)*MIN(F$3-$O$2,$Q$2)/$Q$2))</f>
        <v>1898.75</v>
      </c>
      <c r="G187" s="15" t="n">
        <f aca="false">F187*(1+IF(G$3&lt;=$O$2,$D187,$D187-($D187-$I$184)*MIN(G$3-$O$2,$Q$2)/$Q$2))</f>
        <v>1661.40625</v>
      </c>
      <c r="H187" s="15" t="n">
        <f aca="false">G187*(1+IF(H$3&lt;=$O$2,$D187,$D187-($D187-$I$184)*MIN(H$3-$O$2,$Q$2)/$Q$2))</f>
        <v>1453.73046875</v>
      </c>
      <c r="I187" s="15" t="n">
        <f aca="false">H187*(1+IF(I$3&lt;=$O$2,$D187,$D187-($D187-$I$184)*MIN(I$3-$O$2,$Q$2)/$Q$2))</f>
        <v>1272.01416015625</v>
      </c>
      <c r="J187" s="15" t="n">
        <f aca="false">I187*(1+IF(J$3&lt;=$O$2,$D187,$D187-($D187-$I$184)*MIN(J$3-$O$2,$Q$2)/$Q$2))</f>
        <v>1149.4683159668</v>
      </c>
      <c r="K187" s="15" t="n">
        <f aca="false">J187*(1+IF(K$3&lt;=$O$2,$D187,$D187-($D187-$I$184)*MIN(K$3-$O$2,$Q$2)/$Q$2))</f>
        <v>1071.67230034216</v>
      </c>
      <c r="L187" s="15" t="n">
        <f aca="false">K187*(1+IF(L$3&lt;=$O$2,$D187,$D187-($D187-$I$184)*MIN(L$3-$O$2,$Q$2)/$Q$2))</f>
        <v>1029.85564718281</v>
      </c>
      <c r="M187" s="15" t="n">
        <f aca="false">L187*(1+IF(M$3&lt;=$O$2,$D187,$D187-($D187-$I$184)*MIN(M$3-$O$2,$Q$2)/$Q$2))</f>
        <v>1019.186342678</v>
      </c>
      <c r="N187" s="15" t="n">
        <f aca="false">M187*(1+IF(N$3&lt;=$O$2,$D187,$D187-($D187-$I$184)*MIN(N$3-$O$2,$Q$2)/$Q$2))</f>
        <v>1037.83745274901</v>
      </c>
      <c r="O187" s="15" t="n">
        <f aca="false">SUMPRODUCT(E187:N187,1/(1+$F$184)^$E$3:$N$3)*$E$2</f>
        <v>2981.32592368784</v>
      </c>
      <c r="P187" s="15" t="n">
        <f aca="false">N187*$E$2*(1+$I$184)/($F$184-$I$184)/(1+$F$184)^$N$3</f>
        <v>2616.00492034118</v>
      </c>
      <c r="Q187" s="15" t="n">
        <f aca="false">O187+P187</f>
        <v>5597.33084402902</v>
      </c>
      <c r="R187" s="15" t="n">
        <f aca="false">Q187-$G$2+$I$2</f>
        <v>4322.66084402902</v>
      </c>
      <c r="S187" s="42" t="n">
        <f aca="false">R187/$K$2</f>
        <v>121.525466517543</v>
      </c>
      <c r="T187" s="43" t="n">
        <f aca="false">S187-$M$2</f>
        <v>-167.763259937334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41" t="n">
        <f aca="false">(B188+C188)/2</f>
        <v>0.0625</v>
      </c>
      <c r="E188" s="15" t="n">
        <f aca="false">$C$2*(1+IF(E$3&lt;=$O$2,$D188,$D188-($D188-$I$184)*MIN(E$3-$O$2,$Q$2)/$Q$2))</f>
        <v>2635</v>
      </c>
      <c r="F188" s="15" t="n">
        <f aca="false">E188*(1+IF(F$3&lt;=$O$2,$D188,$D188-($D188-$I$184)*MIN(F$3-$O$2,$Q$2)/$Q$2))</f>
        <v>2799.6875</v>
      </c>
      <c r="G188" s="15" t="n">
        <f aca="false">F188*(1+IF(G$3&lt;=$O$2,$D188,$D188-($D188-$I$184)*MIN(G$3-$O$2,$Q$2)/$Q$2))</f>
        <v>2974.66796875</v>
      </c>
      <c r="H188" s="15" t="n">
        <f aca="false">G188*(1+IF(H$3&lt;=$O$2,$D188,$D188-($D188-$I$184)*MIN(H$3-$O$2,$Q$2)/$Q$2))</f>
        <v>3160.58471679688</v>
      </c>
      <c r="I188" s="15" t="n">
        <f aca="false">H188*(1+IF(I$3&lt;=$O$2,$D188,$D188-($D188-$I$184)*MIN(I$3-$O$2,$Q$2)/$Q$2))</f>
        <v>3358.12126159668</v>
      </c>
      <c r="J188" s="15" t="n">
        <f aca="false">I188*(1+IF(J$3&lt;=$O$2,$D188,$D188-($D188-$I$184)*MIN(J$3-$O$2,$Q$2)/$Q$2))</f>
        <v>3538.31804849396</v>
      </c>
      <c r="K188" s="15" t="n">
        <f aca="false">J188*(1+IF(K$3&lt;=$O$2,$D188,$D188-($D188-$I$184)*MIN(K$3-$O$2,$Q$2)/$Q$2))</f>
        <v>3696.90546342746</v>
      </c>
      <c r="L188" s="15" t="n">
        <f aca="false">K188*(1+IF(L$3&lt;=$O$2,$D188,$D188-($D188-$I$184)*MIN(L$3-$O$2,$Q$2)/$Q$2))</f>
        <v>3829.92012200158</v>
      </c>
      <c r="M188" s="15" t="n">
        <f aca="false">L188*(1+IF(M$3&lt;=$O$2,$D188,$D188-($D188-$I$184)*MIN(M$3-$O$2,$Q$2)/$Q$2))</f>
        <v>3933.8641541127</v>
      </c>
      <c r="N188" s="15" t="n">
        <f aca="false">M188*(1+IF(N$3&lt;=$O$2,$D188,$D188-($D188-$I$184)*MIN(N$3-$O$2,$Q$2)/$Q$2))</f>
        <v>4005.85386813296</v>
      </c>
      <c r="O188" s="15" t="n">
        <f aca="false">SUMPRODUCT(E188:N188,1/(1+$F$184)^$E$3:$N$3)*$E$2</f>
        <v>6754.5172731049</v>
      </c>
      <c r="P188" s="15" t="n">
        <f aca="false">N188*$E$2*(1+$I$184)/($F$184-$I$184)/(1+$F$184)^$N$3</f>
        <v>10097.2781445169</v>
      </c>
      <c r="Q188" s="15" t="n">
        <f aca="false">O188+P188</f>
        <v>16851.7954176218</v>
      </c>
      <c r="R188" s="15" t="n">
        <f aca="false">Q188-$G$2+$I$2</f>
        <v>15577.1254176218</v>
      </c>
      <c r="S188" s="42" t="n">
        <f aca="false">R188/$K$2</f>
        <v>437.928743818436</v>
      </c>
      <c r="T188" s="43" t="n">
        <f aca="false">S188-$M$2</f>
        <v>148.640017363558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-0.125</v>
      </c>
      <c r="C189" s="25" t="n">
        <f aca="false">IF(T188&gt;0,D188,C188)</f>
        <v>0.0625</v>
      </c>
      <c r="D189" s="41" t="n">
        <f aca="false">(B189+C189)/2</f>
        <v>-0.03125</v>
      </c>
      <c r="E189" s="15" t="n">
        <f aca="false">$C$2*(1+IF(E$3&lt;=$O$2,$D189,$D189-($D189-$I$184)*MIN(E$3-$O$2,$Q$2)/$Q$2))</f>
        <v>2402.5</v>
      </c>
      <c r="F189" s="15" t="n">
        <f aca="false">E189*(1+IF(F$3&lt;=$O$2,$D189,$D189-($D189-$I$184)*MIN(F$3-$O$2,$Q$2)/$Q$2))</f>
        <v>2327.421875</v>
      </c>
      <c r="G189" s="15" t="n">
        <f aca="false">F189*(1+IF(G$3&lt;=$O$2,$D189,$D189-($D189-$I$184)*MIN(G$3-$O$2,$Q$2)/$Q$2))</f>
        <v>2254.68994140625</v>
      </c>
      <c r="H189" s="15" t="n">
        <f aca="false">G189*(1+IF(H$3&lt;=$O$2,$D189,$D189-($D189-$I$184)*MIN(H$3-$O$2,$Q$2)/$Q$2))</f>
        <v>2184.2308807373</v>
      </c>
      <c r="I189" s="15" t="n">
        <f aca="false">H189*(1+IF(I$3&lt;=$O$2,$D189,$D189-($D189-$I$184)*MIN(I$3-$O$2,$Q$2)/$Q$2))</f>
        <v>2115.97366571426</v>
      </c>
      <c r="J189" s="15" t="n">
        <f aca="false">I189*(1+IF(J$3&lt;=$O$2,$D189,$D189-($D189-$I$184)*MIN(J$3-$O$2,$Q$2)/$Q$2))</f>
        <v>2070.81878768792</v>
      </c>
      <c r="K189" s="15" t="n">
        <f aca="false">J189*(1+IF(K$3&lt;=$O$2,$D189,$D189-($D189-$I$184)*MIN(K$3-$O$2,$Q$2)/$Q$2))</f>
        <v>2047.14932894465</v>
      </c>
      <c r="L189" s="15" t="n">
        <f aca="false">K189*(1+IF(L$3&lt;=$O$2,$D189,$D189-($D189-$I$184)*MIN(L$3-$O$2,$Q$2)/$Q$2))</f>
        <v>2044.03766196465</v>
      </c>
      <c r="M189" s="15" t="n">
        <f aca="false">L189*(1+IF(M$3&lt;=$O$2,$D189,$D189-($D189-$I$184)*MIN(M$3-$O$2,$Q$2)/$Q$2))</f>
        <v>2061.18713794854</v>
      </c>
      <c r="N189" s="15" t="n">
        <f aca="false">M189*(1+IF(N$3&lt;=$O$2,$D189,$D189-($D189-$I$184)*MIN(N$3-$O$2,$Q$2)/$Q$2))</f>
        <v>2098.90686257299</v>
      </c>
      <c r="O189" s="15" t="n">
        <f aca="false">SUMPRODUCT(E189:N189,1/(1+$F$184)^$E$3:$N$3)*$E$2</f>
        <v>4475.36882786672</v>
      </c>
      <c r="P189" s="15" t="n">
        <f aca="false">N189*$E$2*(1+$I$184)/($F$184-$I$184)/(1+$F$184)^$N$3</f>
        <v>5290.56902435446</v>
      </c>
      <c r="Q189" s="15" t="n">
        <f aca="false">O189+P189</f>
        <v>9765.93785222119</v>
      </c>
      <c r="R189" s="15" t="n">
        <f aca="false">Q189-$G$2+$I$2</f>
        <v>8491.26785222119</v>
      </c>
      <c r="S189" s="42" t="n">
        <f aca="false">R189/$K$2</f>
        <v>238.719928372819</v>
      </c>
      <c r="T189" s="43" t="n">
        <f aca="false">S189-$M$2</f>
        <v>-50.5687980820583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-0.03125</v>
      </c>
      <c r="C190" s="25" t="n">
        <f aca="false">IF(T189&gt;0,D189,C189)</f>
        <v>0.0625</v>
      </c>
      <c r="D190" s="41" t="n">
        <f aca="false">(B190+C190)/2</f>
        <v>0.015625</v>
      </c>
      <c r="E190" s="15" t="n">
        <f aca="false">$C$2*(1+IF(E$3&lt;=$O$2,$D190,$D190-($D190-$I$184)*MIN(E$3-$O$2,$Q$2)/$Q$2))</f>
        <v>2518.75</v>
      </c>
      <c r="F190" s="15" t="n">
        <f aca="false">E190*(1+IF(F$3&lt;=$O$2,$D190,$D190-($D190-$I$184)*MIN(F$3-$O$2,$Q$2)/$Q$2))</f>
        <v>2558.10546875</v>
      </c>
      <c r="G190" s="15" t="n">
        <f aca="false">F190*(1+IF(G$3&lt;=$O$2,$D190,$D190-($D190-$I$184)*MIN(G$3-$O$2,$Q$2)/$Q$2))</f>
        <v>2598.07586669922</v>
      </c>
      <c r="H190" s="15" t="n">
        <f aca="false">G190*(1+IF(H$3&lt;=$O$2,$D190,$D190-($D190-$I$184)*MIN(H$3-$O$2,$Q$2)/$Q$2))</f>
        <v>2638.67080211639</v>
      </c>
      <c r="I190" s="15" t="n">
        <f aca="false">H190*(1+IF(I$3&lt;=$O$2,$D190,$D190-($D190-$I$184)*MIN(I$3-$O$2,$Q$2)/$Q$2))</f>
        <v>2679.90003339946</v>
      </c>
      <c r="J190" s="15" t="n">
        <f aca="false">I190*(1+IF(J$3&lt;=$O$2,$D190,$D190-($D190-$I$184)*MIN(J$3-$O$2,$Q$2)/$Q$2))</f>
        <v>2723.2072179392</v>
      </c>
      <c r="K190" s="15" t="n">
        <f aca="false">J190*(1+IF(K$3&lt;=$O$2,$D190,$D190-($D190-$I$184)*MIN(K$3-$O$2,$Q$2)/$Q$2))</f>
        <v>2768.67116244269</v>
      </c>
      <c r="L190" s="15" t="n">
        <f aca="false">K190*(1+IF(L$3&lt;=$O$2,$D190,$D190-($D190-$I$184)*MIN(L$3-$O$2,$Q$2)/$Q$2))</f>
        <v>2816.37536657158</v>
      </c>
      <c r="M190" s="15" t="n">
        <f aca="false">L190*(1+IF(M$3&lt;=$O$2,$D190,$D190-($D190-$I$184)*MIN(M$3-$O$2,$Q$2)/$Q$2))</f>
        <v>2866.40827495872</v>
      </c>
      <c r="N190" s="15" t="n">
        <f aca="false">M190*(1+IF(N$3&lt;=$O$2,$D190,$D190-($D190-$I$184)*MIN(N$3-$O$2,$Q$2)/$Q$2))</f>
        <v>2918.86354639047</v>
      </c>
      <c r="O190" s="15" t="n">
        <f aca="false">SUMPRODUCT(E190:N190,1/(1+$F$184)^$E$3:$N$3)*$E$2</f>
        <v>5496.21691267664</v>
      </c>
      <c r="P190" s="15" t="n">
        <f aca="false">N190*$E$2*(1+$I$184)/($F$184-$I$184)/(1+$F$184)^$N$3</f>
        <v>7357.37699476591</v>
      </c>
      <c r="Q190" s="15" t="n">
        <f aca="false">O190+P190</f>
        <v>12853.5939074425</v>
      </c>
      <c r="R190" s="15" t="n">
        <f aca="false">Q190-$G$2+$I$2</f>
        <v>11578.9239074425</v>
      </c>
      <c r="S190" s="42" t="n">
        <f aca="false">R190/$K$2</f>
        <v>325.524990369484</v>
      </c>
      <c r="T190" s="43" t="n">
        <f aca="false">S190-$M$2</f>
        <v>36.2362639146064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-0.03125</v>
      </c>
      <c r="C191" s="25" t="n">
        <f aca="false">IF(T190&gt;0,D190,C190)</f>
        <v>0.015625</v>
      </c>
      <c r="D191" s="41" t="n">
        <f aca="false">(B191+C191)/2</f>
        <v>-0.0078125</v>
      </c>
      <c r="E191" s="15" t="n">
        <f aca="false">$C$2*(1+IF(E$3&lt;=$O$2,$D191,$D191-($D191-$I$184)*MIN(E$3-$O$2,$Q$2)/$Q$2))</f>
        <v>2460.625</v>
      </c>
      <c r="F191" s="15" t="n">
        <f aca="false">E191*(1+IF(F$3&lt;=$O$2,$D191,$D191-($D191-$I$184)*MIN(F$3-$O$2,$Q$2)/$Q$2))</f>
        <v>2441.4013671875</v>
      </c>
      <c r="G191" s="15" t="n">
        <f aca="false">F191*(1+IF(G$3&lt;=$O$2,$D191,$D191-($D191-$I$184)*MIN(G$3-$O$2,$Q$2)/$Q$2))</f>
        <v>2422.32791900635</v>
      </c>
      <c r="H191" s="15" t="n">
        <f aca="false">G191*(1+IF(H$3&lt;=$O$2,$D191,$D191-($D191-$I$184)*MIN(H$3-$O$2,$Q$2)/$Q$2))</f>
        <v>2403.40348213911</v>
      </c>
      <c r="I191" s="15" t="n">
        <f aca="false">H191*(1+IF(I$3&lt;=$O$2,$D191,$D191-($D191-$I$184)*MIN(I$3-$O$2,$Q$2)/$Q$2))</f>
        <v>2384.6268924349</v>
      </c>
      <c r="J191" s="15" t="n">
        <f aca="false">I191*(1+IF(J$3&lt;=$O$2,$D191,$D191-($D191-$I$184)*MIN(J$3-$O$2,$Q$2)/$Q$2))</f>
        <v>2378.45070878349</v>
      </c>
      <c r="K191" s="15" t="n">
        <f aca="false">J191*(1+IF(K$3&lt;=$O$2,$D191,$D191-($D191-$I$184)*MIN(K$3-$O$2,$Q$2)/$Q$2))</f>
        <v>2384.71198027437</v>
      </c>
      <c r="L191" s="15" t="n">
        <f aca="false">K191*(1+IF(L$3&lt;=$O$2,$D191,$D191-($D191-$I$184)*MIN(L$3-$O$2,$Q$2)/$Q$2))</f>
        <v>2403.44389287942</v>
      </c>
      <c r="M191" s="15" t="n">
        <f aca="false">L191*(1+IF(M$3&lt;=$O$2,$D191,$D191-($D191-$I$184)*MIN(M$3-$O$2,$Q$2)/$Q$2))</f>
        <v>2434.87493038855</v>
      </c>
      <c r="N191" s="15" t="n">
        <f aca="false">M191*(1+IF(N$3&lt;=$O$2,$D191,$D191-($D191-$I$184)*MIN(N$3-$O$2,$Q$2)/$Q$2))</f>
        <v>2479.43314161466</v>
      </c>
      <c r="O191" s="15" t="n">
        <f aca="false">SUMPRODUCT(E191:N191,1/(1+$F$184)^$E$3:$N$3)*$E$2</f>
        <v>4958.96848171737</v>
      </c>
      <c r="P191" s="15" t="n">
        <f aca="false">N191*$E$2*(1+$I$184)/($F$184-$I$184)/(1+$F$184)^$N$3</f>
        <v>6249.73523641915</v>
      </c>
      <c r="Q191" s="15" t="n">
        <f aca="false">O191+P191</f>
        <v>11208.7037181365</v>
      </c>
      <c r="R191" s="15" t="n">
        <f aca="false">Q191-$G$2+$I$2</f>
        <v>9934.03371813652</v>
      </c>
      <c r="S191" s="42" t="n">
        <f aca="false">R191/$K$2</f>
        <v>279.28124031871</v>
      </c>
      <c r="T191" s="43" t="n">
        <f aca="false">S191-$M$2</f>
        <v>-10.0074861361676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-0.0078125</v>
      </c>
      <c r="C192" s="25" t="n">
        <f aca="false">IF(T191&gt;0,D191,C191)</f>
        <v>0.015625</v>
      </c>
      <c r="D192" s="41" t="n">
        <f aca="false">(B192+C192)/2</f>
        <v>0.00390625</v>
      </c>
      <c r="E192" s="15" t="n">
        <f aca="false">$C$2*(1+IF(E$3&lt;=$O$2,$D192,$D192-($D192-$I$184)*MIN(E$3-$O$2,$Q$2)/$Q$2))</f>
        <v>2489.6875</v>
      </c>
      <c r="F192" s="15" t="n">
        <f aca="false">E192*(1+IF(F$3&lt;=$O$2,$D192,$D192-($D192-$I$184)*MIN(F$3-$O$2,$Q$2)/$Q$2))</f>
        <v>2499.41284179688</v>
      </c>
      <c r="G192" s="15" t="n">
        <f aca="false">F192*(1+IF(G$3&lt;=$O$2,$D192,$D192-($D192-$I$184)*MIN(G$3-$O$2,$Q$2)/$Q$2))</f>
        <v>2509.17617321014</v>
      </c>
      <c r="H192" s="15" t="n">
        <f aca="false">G192*(1+IF(H$3&lt;=$O$2,$D192,$D192-($D192-$I$184)*MIN(H$3-$O$2,$Q$2)/$Q$2))</f>
        <v>2518.97764263675</v>
      </c>
      <c r="I192" s="15" t="n">
        <f aca="false">H192*(1+IF(I$3&lt;=$O$2,$D192,$D192-($D192-$I$184)*MIN(I$3-$O$2,$Q$2)/$Q$2))</f>
        <v>2528.8173990533</v>
      </c>
      <c r="J192" s="15" t="n">
        <f aca="false">I192*(1+IF(J$3&lt;=$O$2,$D192,$D192-($D192-$I$184)*MIN(J$3-$O$2,$Q$2)/$Q$2))</f>
        <v>2545.97542510587</v>
      </c>
      <c r="K192" s="15" t="n">
        <f aca="false">J192*(1+IF(K$3&lt;=$O$2,$D192,$D192-($D192-$I$184)*MIN(K$3-$O$2,$Q$2)/$Q$2))</f>
        <v>2570.57909512024</v>
      </c>
      <c r="L192" s="15" t="n">
        <f aca="false">K192*(1+IF(L$3&lt;=$O$2,$D192,$D192-($D192-$I$184)*MIN(L$3-$O$2,$Q$2)/$Q$2))</f>
        <v>2602.82058342079</v>
      </c>
      <c r="M192" s="15" t="n">
        <f aca="false">L192*(1+IF(M$3&lt;=$O$2,$D192,$D192-($D192-$I$184)*MIN(M$3-$O$2,$Q$2)/$Q$2))</f>
        <v>2642.95933034286</v>
      </c>
      <c r="N192" s="15" t="n">
        <f aca="false">M192*(1+IF(N$3&lt;=$O$2,$D192,$D192-($D192-$I$184)*MIN(N$3-$O$2,$Q$2)/$Q$2))</f>
        <v>2691.32548608814</v>
      </c>
      <c r="O192" s="15" t="n">
        <f aca="false">SUMPRODUCT(E192:N192,1/(1+$F$184)^$E$3:$N$3)*$E$2</f>
        <v>5220.54860813203</v>
      </c>
      <c r="P192" s="15" t="n">
        <f aca="false">N192*$E$2*(1+$I$184)/($F$184-$I$184)/(1+$F$184)^$N$3</f>
        <v>6783.83757995762</v>
      </c>
      <c r="Q192" s="15" t="n">
        <f aca="false">O192+P192</f>
        <v>12004.3861880897</v>
      </c>
      <c r="R192" s="15" t="n">
        <f aca="false">Q192-$G$2+$I$2</f>
        <v>10729.7161880897</v>
      </c>
      <c r="S192" s="42" t="n">
        <f aca="false">R192/$K$2</f>
        <v>301.650722184134</v>
      </c>
      <c r="T192" s="43" t="n">
        <f aca="false">S192-$M$2</f>
        <v>12.3619957292564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-0.0078125</v>
      </c>
      <c r="C193" s="25" t="n">
        <f aca="false">IF(T192&gt;0,D192,C192)</f>
        <v>0.00390625</v>
      </c>
      <c r="D193" s="41" t="n">
        <f aca="false">(B193+C193)/2</f>
        <v>-0.001953125</v>
      </c>
      <c r="E193" s="15" t="n">
        <f aca="false">$C$2*(1+IF(E$3&lt;=$O$2,$D193,$D193-($D193-$I$184)*MIN(E$3-$O$2,$Q$2)/$Q$2))</f>
        <v>2475.15625</v>
      </c>
      <c r="F193" s="15" t="n">
        <f aca="false">E193*(1+IF(F$3&lt;=$O$2,$D193,$D193-($D193-$I$184)*MIN(F$3-$O$2,$Q$2)/$Q$2))</f>
        <v>2470.32196044922</v>
      </c>
      <c r="G193" s="15" t="n">
        <f aca="false">F193*(1+IF(G$3&lt;=$O$2,$D193,$D193-($D193-$I$184)*MIN(G$3-$O$2,$Q$2)/$Q$2))</f>
        <v>2465.49711287022</v>
      </c>
      <c r="H193" s="15" t="n">
        <f aca="false">G193*(1+IF(H$3&lt;=$O$2,$D193,$D193-($D193-$I$184)*MIN(H$3-$O$2,$Q$2)/$Q$2))</f>
        <v>2460.68168882164</v>
      </c>
      <c r="I193" s="15" t="n">
        <f aca="false">H193*(1+IF(I$3&lt;=$O$2,$D193,$D193-($D193-$I$184)*MIN(I$3-$O$2,$Q$2)/$Q$2))</f>
        <v>2455.87566989816</v>
      </c>
      <c r="J193" s="15" t="n">
        <f aca="false">I193*(1+IF(J$3&lt;=$O$2,$D193,$D193-($D193-$I$184)*MIN(J$3-$O$2,$Q$2)/$Q$2))</f>
        <v>2461.02686911577</v>
      </c>
      <c r="K193" s="15" t="n">
        <f aca="false">J193*(1+IF(K$3&lt;=$O$2,$D193,$D193-($D193-$I$184)*MIN(K$3-$O$2,$Q$2)/$Q$2))</f>
        <v>2476.15756993546</v>
      </c>
      <c r="L193" s="15" t="n">
        <f aca="false">K193*(1+IF(L$3&lt;=$O$2,$D193,$D193-($D193-$I$184)*MIN(L$3-$O$2,$Q$2)/$Q$2))</f>
        <v>2501.41128195184</v>
      </c>
      <c r="M193" s="15" t="n">
        <f aca="false">L193*(1+IF(M$3&lt;=$O$2,$D193,$D193-($D193-$I$184)*MIN(M$3-$O$2,$Q$2)/$Q$2))</f>
        <v>2537.0548293376</v>
      </c>
      <c r="N193" s="15" t="n">
        <f aca="false">M193*(1+IF(N$3&lt;=$O$2,$D193,$D193-($D193-$I$184)*MIN(N$3-$O$2,$Q$2)/$Q$2))</f>
        <v>2583.48293271448</v>
      </c>
      <c r="O193" s="15" t="n">
        <f aca="false">SUMPRODUCT(E193:N193,1/(1+$F$184)^$E$3:$N$3)*$E$2</f>
        <v>5088.04092194053</v>
      </c>
      <c r="P193" s="15" t="n">
        <f aca="false">N193*$E$2*(1+$I$184)/($F$184-$I$184)/(1+$F$184)^$N$3</f>
        <v>6512.00633172082</v>
      </c>
      <c r="Q193" s="15" t="n">
        <f aca="false">O193+P193</f>
        <v>11600.0472536614</v>
      </c>
      <c r="R193" s="15" t="n">
        <f aca="false">Q193-$G$2+$I$2</f>
        <v>10325.3772536614</v>
      </c>
      <c r="S193" s="42" t="n">
        <f aca="false">R193/$K$2</f>
        <v>290.283307665486</v>
      </c>
      <c r="T193" s="43" t="n">
        <f aca="false">S193-$M$2</f>
        <v>0.994581210608715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-0.0078125</v>
      </c>
      <c r="C194" s="25" t="n">
        <f aca="false">IF(T193&gt;0,D193,C193)</f>
        <v>-0.001953125</v>
      </c>
      <c r="D194" s="41" t="n">
        <f aca="false">(B194+C194)/2</f>
        <v>-0.0048828125</v>
      </c>
      <c r="E194" s="15" t="n">
        <f aca="false">$C$2*(1+IF(E$3&lt;=$O$2,$D194,$D194-($D194-$I$184)*MIN(E$3-$O$2,$Q$2)/$Q$2))</f>
        <v>2467.890625</v>
      </c>
      <c r="F194" s="15" t="n">
        <f aca="false">E194*(1+IF(F$3&lt;=$O$2,$D194,$D194-($D194-$I$184)*MIN(F$3-$O$2,$Q$2)/$Q$2))</f>
        <v>2455.84037780762</v>
      </c>
      <c r="G194" s="15" t="n">
        <f aca="false">F194*(1+IF(G$3&lt;=$O$2,$D194,$D194-($D194-$I$184)*MIN(G$3-$O$2,$Q$2)/$Q$2))</f>
        <v>2443.84896971285</v>
      </c>
      <c r="H194" s="15" t="n">
        <f aca="false">G194*(1+IF(H$3&lt;=$O$2,$D194,$D194-($D194-$I$184)*MIN(H$3-$O$2,$Q$2)/$Q$2))</f>
        <v>2431.91611341543</v>
      </c>
      <c r="I194" s="15" t="n">
        <f aca="false">H194*(1+IF(I$3&lt;=$O$2,$D194,$D194-($D194-$I$184)*MIN(I$3-$O$2,$Q$2)/$Q$2))</f>
        <v>2420.04152301789</v>
      </c>
      <c r="J194" s="15" t="n">
        <f aca="false">I194*(1+IF(J$3&lt;=$O$2,$D194,$D194-($D194-$I$184)*MIN(J$3-$O$2,$Q$2)/$Q$2))</f>
        <v>2419.44558779285</v>
      </c>
      <c r="K194" s="15" t="n">
        <f aca="false">J194*(1+IF(K$3&lt;=$O$2,$D194,$D194-($D194-$I$184)*MIN(K$3-$O$2,$Q$2)/$Q$2))</f>
        <v>2430.06771</v>
      </c>
      <c r="L194" s="15" t="n">
        <f aca="false">K194*(1+IF(L$3&lt;=$O$2,$D194,$D194-($D194-$I$184)*MIN(L$3-$O$2,$Q$2)/$Q$2))</f>
        <v>2452.00362745971</v>
      </c>
      <c r="M194" s="15" t="n">
        <f aca="false">L194*(1+IF(M$3&lt;=$O$2,$D194,$D194-($D194-$I$184)*MIN(M$3-$O$2,$Q$2)/$Q$2))</f>
        <v>2485.50642577328</v>
      </c>
      <c r="N194" s="15" t="n">
        <f aca="false">M194*(1+IF(N$3&lt;=$O$2,$D194,$D194-($D194-$I$184)*MIN(N$3-$O$2,$Q$2)/$Q$2))</f>
        <v>2530.99119336493</v>
      </c>
      <c r="O194" s="15" t="n">
        <f aca="false">SUMPRODUCT(E194:N194,1/(1+$F$184)^$E$3:$N$3)*$E$2</f>
        <v>5023.08061871659</v>
      </c>
      <c r="P194" s="15" t="n">
        <f aca="false">N194*$E$2*(1+$I$184)/($F$184-$I$184)/(1+$F$184)^$N$3</f>
        <v>6379.69404326761</v>
      </c>
      <c r="Q194" s="15" t="n">
        <f aca="false">O194+P194</f>
        <v>11402.7746619842</v>
      </c>
      <c r="R194" s="15" t="n">
        <f aca="false">Q194-$G$2+$I$2</f>
        <v>10128.1046619842</v>
      </c>
      <c r="S194" s="42" t="n">
        <f aca="false">R194/$K$2</f>
        <v>284.737269102733</v>
      </c>
      <c r="T194" s="43" t="n">
        <f aca="false">S194-$M$2</f>
        <v>-4.55145735214506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-0.0048828125</v>
      </c>
      <c r="C195" s="25" t="n">
        <f aca="false">IF(T194&gt;0,D194,C194)</f>
        <v>-0.001953125</v>
      </c>
      <c r="D195" s="41" t="n">
        <f aca="false">(B195+C195)/2</f>
        <v>-0.00341796875</v>
      </c>
      <c r="E195" s="15" t="n">
        <f aca="false">$C$2*(1+IF(E$3&lt;=$O$2,$D195,$D195-($D195-$I$184)*MIN(E$3-$O$2,$Q$2)/$Q$2))</f>
        <v>2471.5234375</v>
      </c>
      <c r="F195" s="15" t="n">
        <f aca="false">E195*(1+IF(F$3&lt;=$O$2,$D195,$D195-($D195-$I$184)*MIN(F$3-$O$2,$Q$2)/$Q$2))</f>
        <v>2463.07584762573</v>
      </c>
      <c r="G195" s="15" t="n">
        <f aca="false">F195*(1+IF(G$3&lt;=$O$2,$D195,$D195-($D195-$I$184)*MIN(G$3-$O$2,$Q$2)/$Q$2))</f>
        <v>2454.65713134967</v>
      </c>
      <c r="H195" s="15" t="n">
        <f aca="false">G195*(1+IF(H$3&lt;=$O$2,$D195,$D195-($D195-$I$184)*MIN(H$3-$O$2,$Q$2)/$Q$2))</f>
        <v>2446.26718998275</v>
      </c>
      <c r="I195" s="15" t="n">
        <f aca="false">H195*(1+IF(I$3&lt;=$O$2,$D195,$D195-($D195-$I$184)*MIN(I$3-$O$2,$Q$2)/$Q$2))</f>
        <v>2437.90592517324</v>
      </c>
      <c r="J195" s="15" t="n">
        <f aca="false">I195*(1+IF(J$3&lt;=$O$2,$D195,$D195-($D195-$I$184)*MIN(J$3-$O$2,$Q$2)/$Q$2))</f>
        <v>2440.16251184523</v>
      </c>
      <c r="K195" s="15" t="n">
        <f aca="false">J195*(1+IF(K$3&lt;=$O$2,$D195,$D195-($D195-$I$184)*MIN(K$3-$O$2,$Q$2)/$Q$2))</f>
        <v>2453.02026190569</v>
      </c>
      <c r="L195" s="15" t="n">
        <f aca="false">K195*(1+IF(L$3&lt;=$O$2,$D195,$D195-($D195-$I$184)*MIN(L$3-$O$2,$Q$2)/$Q$2))</f>
        <v>2476.60068574209</v>
      </c>
      <c r="M195" s="15" t="n">
        <f aca="false">L195*(1+IF(M$3&lt;=$O$2,$D195,$D195-($D195-$I$184)*MIN(M$3-$O$2,$Q$2)/$Q$2))</f>
        <v>2511.16513103133</v>
      </c>
      <c r="N195" s="15" t="n">
        <f aca="false">M195*(1+IF(N$3&lt;=$O$2,$D195,$D195-($D195-$I$184)*MIN(N$3-$O$2,$Q$2)/$Q$2))</f>
        <v>2557.11945292921</v>
      </c>
      <c r="O195" s="15" t="n">
        <f aca="false">SUMPRODUCT(E195:N195,1/(1+$F$184)^$E$3:$N$3)*$E$2</f>
        <v>5055.45408873417</v>
      </c>
      <c r="P195" s="15" t="n">
        <f aca="false">N195*$E$2*(1+$I$184)/($F$184-$I$184)/(1+$F$184)^$N$3</f>
        <v>6445.55373584187</v>
      </c>
      <c r="Q195" s="15" t="n">
        <f aca="false">O195+P195</f>
        <v>11501.007824576</v>
      </c>
      <c r="R195" s="15" t="n">
        <f aca="false">Q195-$G$2+$I$2</f>
        <v>10226.337824576</v>
      </c>
      <c r="S195" s="42" t="n">
        <f aca="false">R195/$K$2</f>
        <v>287.498954865787</v>
      </c>
      <c r="T195" s="43" t="n">
        <f aca="false">S195-$M$2</f>
        <v>-1.78977158909083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-0.00341796875</v>
      </c>
      <c r="C196" s="25" t="n">
        <f aca="false">IF(T195&gt;0,D195,C195)</f>
        <v>-0.001953125</v>
      </c>
      <c r="D196" s="41" t="n">
        <f aca="false">(B196+C196)/2</f>
        <v>-0.002685546875</v>
      </c>
      <c r="E196" s="15" t="n">
        <f aca="false">$C$2*(1+IF(E$3&lt;=$O$2,$D196,$D196-($D196-$I$184)*MIN(E$3-$O$2,$Q$2)/$Q$2))</f>
        <v>2473.33984375</v>
      </c>
      <c r="F196" s="15" t="n">
        <f aca="false">E196*(1+IF(F$3&lt;=$O$2,$D196,$D196-($D196-$I$184)*MIN(F$3-$O$2,$Q$2)/$Q$2))</f>
        <v>2466.6975736618</v>
      </c>
      <c r="G196" s="15" t="n">
        <f aca="false">F196*(1+IF(G$3&lt;=$O$2,$D196,$D196-($D196-$I$184)*MIN(G$3-$O$2,$Q$2)/$Q$2))</f>
        <v>2460.07314170129</v>
      </c>
      <c r="H196" s="15" t="n">
        <f aca="false">G196*(1+IF(H$3&lt;=$O$2,$D196,$D196-($D196-$I$184)*MIN(H$3-$O$2,$Q$2)/$Q$2))</f>
        <v>2453.46649996332</v>
      </c>
      <c r="I196" s="15" t="n">
        <f aca="false">H196*(1+IF(I$3&lt;=$O$2,$D196,$D196-($D196-$I$184)*MIN(I$3-$O$2,$Q$2)/$Q$2))</f>
        <v>2446.87760067143</v>
      </c>
      <c r="J196" s="15" t="n">
        <f aca="false">I196*(1+IF(J$3&lt;=$O$2,$D196,$D196-($D196-$I$184)*MIN(J$3-$O$2,$Q$2)/$Q$2))</f>
        <v>2450.57620909469</v>
      </c>
      <c r="K196" s="15" t="n">
        <f aca="false">J196*(1+IF(K$3&lt;=$O$2,$D196,$D196-($D196-$I$184)*MIN(K$3-$O$2,$Q$2)/$Q$2))</f>
        <v>2464.56574457709</v>
      </c>
      <c r="L196" s="15" t="n">
        <f aca="false">K196*(1+IF(L$3&lt;=$O$2,$D196,$D196-($D196-$I$184)*MIN(L$3-$O$2,$Q$2)/$Q$2))</f>
        <v>2488.97919371912</v>
      </c>
      <c r="M196" s="15" t="n">
        <f aca="false">L196*(1+IF(M$3&lt;=$O$2,$D196,$D196-($D196-$I$184)*MIN(M$3-$O$2,$Q$2)/$Q$2))</f>
        <v>2524.08099505604</v>
      </c>
      <c r="N196" s="15" t="n">
        <f aca="false">M196*(1+IF(N$3&lt;=$O$2,$D196,$D196-($D196-$I$184)*MIN(N$3-$O$2,$Q$2)/$Q$2))</f>
        <v>2570.27167726557</v>
      </c>
      <c r="O196" s="15" t="n">
        <f aca="false">SUMPRODUCT(E196:N196,1/(1+$F$184)^$E$3:$N$3)*$E$2</f>
        <v>5071.72075194343</v>
      </c>
      <c r="P196" s="15" t="n">
        <f aca="false">N196*$E$2*(1+$I$184)/($F$184-$I$184)/(1+$F$184)^$N$3</f>
        <v>6478.70563596477</v>
      </c>
      <c r="Q196" s="15" t="n">
        <f aca="false">O196+P196</f>
        <v>11550.4263879082</v>
      </c>
      <c r="R196" s="15" t="n">
        <f aca="false">Q196-$G$2+$I$2</f>
        <v>10275.7563879082</v>
      </c>
      <c r="S196" s="42" t="n">
        <f aca="false">R196/$K$2</f>
        <v>288.888287543104</v>
      </c>
      <c r="T196" s="43" t="n">
        <f aca="false">S196-$M$2</f>
        <v>-0.400438911774017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-0.002685546875</v>
      </c>
      <c r="C197" s="25" t="n">
        <f aca="false">IF(T196&gt;0,D196,C196)</f>
        <v>-0.001953125</v>
      </c>
      <c r="D197" s="41" t="n">
        <f aca="false">(B197+C197)/2</f>
        <v>-0.0023193359375</v>
      </c>
      <c r="E197" s="15" t="n">
        <f aca="false">$C$2*(1+IF(E$3&lt;=$O$2,$D197,$D197-($D197-$I$184)*MIN(E$3-$O$2,$Q$2)/$Q$2))</f>
        <v>2474.248046875</v>
      </c>
      <c r="F197" s="15" t="n">
        <f aca="false">E197*(1+IF(F$3&lt;=$O$2,$D197,$D197-($D197-$I$184)*MIN(F$3-$O$2,$Q$2)/$Q$2))</f>
        <v>2468.50943446159</v>
      </c>
      <c r="G197" s="15" t="n">
        <f aca="false">F197*(1+IF(G$3&lt;=$O$2,$D197,$D197-($D197-$I$184)*MIN(G$3-$O$2,$Q$2)/$Q$2))</f>
        <v>2462.78413181819</v>
      </c>
      <c r="H197" s="15" t="n">
        <f aca="false">G197*(1+IF(H$3&lt;=$O$2,$D197,$D197-($D197-$I$184)*MIN(H$3-$O$2,$Q$2)/$Q$2))</f>
        <v>2457.07210807496</v>
      </c>
      <c r="I197" s="15" t="n">
        <f aca="false">H197*(1+IF(I$3&lt;=$O$2,$D197,$D197-($D197-$I$184)*MIN(I$3-$O$2,$Q$2)/$Q$2))</f>
        <v>2451.37333243367</v>
      </c>
      <c r="J197" s="15" t="n">
        <f aca="false">I197*(1+IF(J$3&lt;=$O$2,$D197,$D197-($D197-$I$184)*MIN(J$3-$O$2,$Q$2)/$Q$2))</f>
        <v>2455.79691221746</v>
      </c>
      <c r="K197" s="15" t="n">
        <f aca="false">J197*(1+IF(K$3&lt;=$O$2,$D197,$D197-($D197-$I$184)*MIN(K$3-$O$2,$Q$2)/$Q$2))</f>
        <v>2470.35585479467</v>
      </c>
      <c r="L197" s="15" t="n">
        <f aca="false">K197*(1+IF(L$3&lt;=$O$2,$D197,$D197-($D197-$I$184)*MIN(L$3-$O$2,$Q$2)/$Q$2))</f>
        <v>2495.18852803534</v>
      </c>
      <c r="M197" s="15" t="n">
        <f aca="false">L197*(1+IF(M$3&lt;=$O$2,$D197,$D197-($D197-$I$184)*MIN(M$3-$O$2,$Q$2)/$Q$2))</f>
        <v>2530.560652001</v>
      </c>
      <c r="N197" s="15" t="n">
        <f aca="false">M197*(1+IF(N$3&lt;=$O$2,$D197,$D197-($D197-$I$184)*MIN(N$3-$O$2,$Q$2)/$Q$2))</f>
        <v>2576.86991193262</v>
      </c>
      <c r="O197" s="15" t="n">
        <f aca="false">SUMPRODUCT(E197:N197,1/(1+$F$184)^$E$3:$N$3)*$E$2</f>
        <v>5079.87413819442</v>
      </c>
      <c r="P197" s="15" t="n">
        <f aca="false">N197*$E$2*(1+$I$184)/($F$184-$I$184)/(1+$F$184)^$N$3</f>
        <v>6495.33734867551</v>
      </c>
      <c r="Q197" s="15" t="n">
        <f aca="false">O197+P197</f>
        <v>11575.2114868699</v>
      </c>
      <c r="R197" s="15" t="n">
        <f aca="false">Q197-$G$2+$I$2</f>
        <v>10300.5414868699</v>
      </c>
      <c r="S197" s="42" t="n">
        <f aca="false">R197/$K$2</f>
        <v>289.585085377282</v>
      </c>
      <c r="T197" s="43" t="n">
        <f aca="false">S197-$M$2</f>
        <v>0.296358922404636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-0.002685546875</v>
      </c>
      <c r="C198" s="25" t="n">
        <f aca="false">IF(T197&gt;0,D197,C197)</f>
        <v>-0.0023193359375</v>
      </c>
      <c r="D198" s="41" t="n">
        <f aca="false">(B198+C198)/2</f>
        <v>-0.00250244140625</v>
      </c>
      <c r="E198" s="15" t="n">
        <f aca="false">$C$2*(1+IF(E$3&lt;=$O$2,$D198,$D198-($D198-$I$184)*MIN(E$3-$O$2,$Q$2)/$Q$2))</f>
        <v>2473.7939453125</v>
      </c>
      <c r="F198" s="15" t="n">
        <f aca="false">E198*(1+IF(F$3&lt;=$O$2,$D198,$D198-($D198-$I$184)*MIN(F$3-$O$2,$Q$2)/$Q$2))</f>
        <v>2467.60342091322</v>
      </c>
      <c r="G198" s="15" t="n">
        <f aca="false">F198*(1+IF(G$3&lt;=$O$2,$D198,$D198-($D198-$I$184)*MIN(G$3-$O$2,$Q$2)/$Q$2))</f>
        <v>2461.42838793852</v>
      </c>
      <c r="H198" s="15" t="n">
        <f aca="false">G198*(1+IF(H$3&lt;=$O$2,$D198,$D198-($D198-$I$184)*MIN(H$3-$O$2,$Q$2)/$Q$2))</f>
        <v>2455.26880762203</v>
      </c>
      <c r="I198" s="15" t="n">
        <f aca="false">H198*(1+IF(I$3&lt;=$O$2,$D198,$D198-($D198-$I$184)*MIN(I$3-$O$2,$Q$2)/$Q$2))</f>
        <v>2449.12464129436</v>
      </c>
      <c r="J198" s="15" t="n">
        <f aca="false">I198*(1+IF(J$3&lt;=$O$2,$D198,$D198-($D198-$I$184)*MIN(J$3-$O$2,$Q$2)/$Q$2))</f>
        <v>2453.18540475234</v>
      </c>
      <c r="K198" s="15" t="n">
        <f aca="false">J198*(1+IF(K$3&lt;=$O$2,$D198,$D198-($D198-$I$184)*MIN(K$3-$O$2,$Q$2)/$Q$2))</f>
        <v>2467.45935027469</v>
      </c>
      <c r="L198" s="15" t="n">
        <f aca="false">K198*(1+IF(L$3&lt;=$O$2,$D198,$D198-($D198-$I$184)*MIN(L$3-$O$2,$Q$2)/$Q$2))</f>
        <v>2492.08218496216</v>
      </c>
      <c r="M198" s="15" t="n">
        <f aca="false">L198*(1+IF(M$3&lt;=$O$2,$D198,$D198-($D198-$I$184)*MIN(M$3-$O$2,$Q$2)/$Q$2))</f>
        <v>2527.31901022052</v>
      </c>
      <c r="N198" s="15" t="n">
        <f aca="false">M198*(1+IF(N$3&lt;=$O$2,$D198,$D198-($D198-$I$184)*MIN(N$3-$O$2,$Q$2)/$Q$2))</f>
        <v>2573.56894810756</v>
      </c>
      <c r="O198" s="15" t="n">
        <f aca="false">SUMPRODUCT(E198:N198,1/(1+$F$184)^$E$3:$N$3)*$E$2</f>
        <v>5075.79577168302</v>
      </c>
      <c r="P198" s="15" t="n">
        <f aca="false">N198*$E$2*(1+$I$184)/($F$184-$I$184)/(1+$F$184)^$N$3</f>
        <v>6487.01683799694</v>
      </c>
      <c r="Q198" s="15" t="n">
        <f aca="false">O198+P198</f>
        <v>11562.81260968</v>
      </c>
      <c r="R198" s="15" t="n">
        <f aca="false">Q198-$G$2+$I$2</f>
        <v>10288.14260968</v>
      </c>
      <c r="S198" s="42" t="n">
        <f aca="false">R198/$K$2</f>
        <v>289.236508565644</v>
      </c>
      <c r="T198" s="43" t="n">
        <f aca="false">S198-$M$2</f>
        <v>-0.052217889233475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-0.00250244140625</v>
      </c>
      <c r="C199" s="25" t="n">
        <f aca="false">IF(T198&gt;0,D198,C198)</f>
        <v>-0.0023193359375</v>
      </c>
      <c r="D199" s="41" t="n">
        <f aca="false">(B199+C199)/2</f>
        <v>-0.002410888671875</v>
      </c>
      <c r="E199" s="15" t="n">
        <f aca="false">$C$2*(1+IF(E$3&lt;=$O$2,$D199,$D199-($D199-$I$184)*MIN(E$3-$O$2,$Q$2)/$Q$2))</f>
        <v>2474.02099609375</v>
      </c>
      <c r="F199" s="15" t="n">
        <f aca="false">E199*(1+IF(F$3&lt;=$O$2,$D199,$D199-($D199-$I$184)*MIN(F$3-$O$2,$Q$2)/$Q$2))</f>
        <v>2468.05640690029</v>
      </c>
      <c r="G199" s="15" t="n">
        <f aca="false">F199*(1+IF(G$3&lt;=$O$2,$D199,$D199-($D199-$I$184)*MIN(G$3-$O$2,$Q$2)/$Q$2))</f>
        <v>2462.10619766734</v>
      </c>
      <c r="H199" s="15" t="n">
        <f aca="false">G199*(1+IF(H$3&lt;=$O$2,$D199,$D199-($D199-$I$184)*MIN(H$3-$O$2,$Q$2)/$Q$2))</f>
        <v>2456.17033372643</v>
      </c>
      <c r="I199" s="15" t="n">
        <f aca="false">H199*(1+IF(I$3&lt;=$O$2,$D199,$D199-($D199-$I$184)*MIN(I$3-$O$2,$Q$2)/$Q$2))</f>
        <v>2450.24878049266</v>
      </c>
      <c r="J199" s="15" t="n">
        <f aca="false">I199*(1+IF(J$3&lt;=$O$2,$D199,$D199-($D199-$I$184)*MIN(J$3-$O$2,$Q$2)/$Q$2))</f>
        <v>2454.49086940673</v>
      </c>
      <c r="K199" s="15" t="n">
        <f aca="false">J199*(1+IF(K$3&lt;=$O$2,$D199,$D199-($D199-$I$184)*MIN(K$3-$O$2,$Q$2)/$Q$2))</f>
        <v>2468.90724003142</v>
      </c>
      <c r="L199" s="15" t="n">
        <f aca="false">K199*(1+IF(L$3&lt;=$O$2,$D199,$D199-($D199-$I$184)*MIN(L$3-$O$2,$Q$2)/$Q$2))</f>
        <v>2493.63493732821</v>
      </c>
      <c r="M199" s="15" t="n">
        <f aca="false">L199*(1+IF(M$3&lt;=$O$2,$D199,$D199-($D199-$I$184)*MIN(M$3-$O$2,$Q$2)/$Q$2))</f>
        <v>2528.93937756625</v>
      </c>
      <c r="N199" s="15" t="n">
        <f aca="false">M199*(1+IF(N$3&lt;=$O$2,$D199,$D199-($D199-$I$184)*MIN(N$3-$O$2,$Q$2)/$Q$2))</f>
        <v>2575.21896817571</v>
      </c>
      <c r="O199" s="15" t="n">
        <f aca="false">SUMPRODUCT(E199:N199,1/(1+$F$184)^$E$3:$N$3)*$E$2</f>
        <v>5077.83453642969</v>
      </c>
      <c r="P199" s="15" t="n">
        <f aca="false">N199*$E$2*(1+$I$184)/($F$184-$I$184)/(1+$F$184)^$N$3</f>
        <v>6491.17592919713</v>
      </c>
      <c r="Q199" s="15" t="n">
        <f aca="false">O199+P199</f>
        <v>11569.0104656268</v>
      </c>
      <c r="R199" s="15" t="n">
        <f aca="false">Q199-$G$2+$I$2</f>
        <v>10294.3404656268</v>
      </c>
      <c r="S199" s="42" t="n">
        <f aca="false">R199/$K$2</f>
        <v>289.41075247756</v>
      </c>
      <c r="T199" s="43" t="n">
        <f aca="false">S199-$M$2</f>
        <v>0.122026022682689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-0.00250244140625</v>
      </c>
      <c r="C200" s="25" t="n">
        <f aca="false">IF(T199&gt;0,D199,C199)</f>
        <v>-0.002410888671875</v>
      </c>
      <c r="D200" s="41" t="n">
        <f aca="false">(B200+C200)/2</f>
        <v>-0.0024566650390625</v>
      </c>
      <c r="E200" s="15" t="n">
        <f aca="false">$C$2*(1+IF(E$3&lt;=$O$2,$D200,$D200-($D200-$I$184)*MIN(E$3-$O$2,$Q$2)/$Q$2))</f>
        <v>2473.90747070313</v>
      </c>
      <c r="F200" s="15" t="n">
        <f aca="false">E200*(1+IF(F$3&lt;=$O$2,$D200,$D200-($D200-$I$184)*MIN(F$3-$O$2,$Q$2)/$Q$2))</f>
        <v>2467.82990870997</v>
      </c>
      <c r="G200" s="15" t="n">
        <f aca="false">F200*(1+IF(G$3&lt;=$O$2,$D200,$D200-($D200-$I$184)*MIN(G$3-$O$2,$Q$2)/$Q$2))</f>
        <v>2461.76727725089</v>
      </c>
      <c r="H200" s="15" t="n">
        <f aca="false">G200*(1+IF(H$3&lt;=$O$2,$D200,$D200-($D200-$I$184)*MIN(H$3-$O$2,$Q$2)/$Q$2))</f>
        <v>2455.71953964656</v>
      </c>
      <c r="I200" s="15" t="n">
        <f aca="false">H200*(1+IF(I$3&lt;=$O$2,$D200,$D200-($D200-$I$184)*MIN(I$3-$O$2,$Q$2)/$Q$2))</f>
        <v>2449.68665930777</v>
      </c>
      <c r="J200" s="15" t="n">
        <f aca="false">I200*(1+IF(J$3&lt;=$O$2,$D200,$D200-($D200-$I$184)*MIN(J$3-$O$2,$Q$2)/$Q$2))</f>
        <v>2453.83806482277</v>
      </c>
      <c r="K200" s="15" t="n">
        <f aca="false">J200*(1+IF(K$3&lt;=$O$2,$D200,$D200-($D200-$I$184)*MIN(K$3-$O$2,$Q$2)/$Q$2))</f>
        <v>2468.18320454605</v>
      </c>
      <c r="L200" s="15" t="n">
        <f aca="false">K200*(1+IF(L$3&lt;=$O$2,$D200,$D200-($D200-$I$184)*MIN(L$3-$O$2,$Q$2)/$Q$2))</f>
        <v>2492.85845637652</v>
      </c>
      <c r="M200" s="15" t="n">
        <f aca="false">L200*(1+IF(M$3&lt;=$O$2,$D200,$D200-($D200-$I$184)*MIN(M$3-$O$2,$Q$2)/$Q$2))</f>
        <v>2528.12908053445</v>
      </c>
      <c r="N200" s="15" t="n">
        <f aca="false">M200*(1+IF(N$3&lt;=$O$2,$D200,$D200-($D200-$I$184)*MIN(N$3-$O$2,$Q$2)/$Q$2))</f>
        <v>2574.39384270824</v>
      </c>
      <c r="O200" s="15" t="n">
        <f aca="false">SUMPRODUCT(E200:N200,1/(1+$F$184)^$E$3:$N$3)*$E$2</f>
        <v>5076.81504944942</v>
      </c>
      <c r="P200" s="15" t="n">
        <f aca="false">N200*$E$2*(1+$I$184)/($F$184-$I$184)/(1+$F$184)^$N$3</f>
        <v>6489.09609263207</v>
      </c>
      <c r="Q200" s="15" t="n">
        <f aca="false">O200+P200</f>
        <v>11565.9111420815</v>
      </c>
      <c r="R200" s="15" t="n">
        <f aca="false">Q200-$G$2+$I$2</f>
        <v>10291.2411420815</v>
      </c>
      <c r="S200" s="42" t="n">
        <f aca="false">R200/$K$2</f>
        <v>289.32361940066</v>
      </c>
      <c r="T200" s="43" t="n">
        <f aca="false">S200-$M$2</f>
        <v>0.0348929457826444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-0.00250244140625</v>
      </c>
      <c r="C201" s="25" t="n">
        <f aca="false">IF(T200&gt;0,D200,C200)</f>
        <v>-0.0024566650390625</v>
      </c>
      <c r="D201" s="41" t="n">
        <f aca="false">(B201+C201)/2</f>
        <v>-0.00247955322265625</v>
      </c>
      <c r="E201" s="15" t="n">
        <f aca="false">$C$2*(1+IF(E$3&lt;=$O$2,$D201,$D201-($D201-$I$184)*MIN(E$3-$O$2,$Q$2)/$Q$2))</f>
        <v>2473.85070800781</v>
      </c>
      <c r="F201" s="15" t="n">
        <f aca="false">E201*(1+IF(F$3&lt;=$O$2,$D201,$D201-($D201-$I$184)*MIN(F$3-$O$2,$Q$2)/$Q$2))</f>
        <v>2467.7166635124</v>
      </c>
      <c r="G201" s="15" t="n">
        <f aca="false">F201*(1+IF(G$3&lt;=$O$2,$D201,$D201-($D201-$I$184)*MIN(G$3-$O$2,$Q$2)/$Q$2))</f>
        <v>2461.59782870679</v>
      </c>
      <c r="H201" s="15" t="n">
        <f aca="false">G201*(1+IF(H$3&lt;=$O$2,$D201,$D201-($D201-$I$184)*MIN(H$3-$O$2,$Q$2)/$Q$2))</f>
        <v>2455.49416587773</v>
      </c>
      <c r="I201" s="15" t="n">
        <f aca="false">H201*(1+IF(I$3&lt;=$O$2,$D201,$D201-($D201-$I$184)*MIN(I$3-$O$2,$Q$2)/$Q$2))</f>
        <v>2449.40563740552</v>
      </c>
      <c r="J201" s="15" t="n">
        <f aca="false">I201*(1+IF(J$3&lt;=$O$2,$D201,$D201-($D201-$I$184)*MIN(J$3-$O$2,$Q$2)/$Q$2))</f>
        <v>2453.51171672496</v>
      </c>
      <c r="K201" s="15" t="n">
        <f aca="false">J201*(1+IF(K$3&lt;=$O$2,$D201,$D201-($D201-$I$184)*MIN(K$3-$O$2,$Q$2)/$Q$2))</f>
        <v>2467.82125476097</v>
      </c>
      <c r="L201" s="15" t="n">
        <f aca="false">K201*(1+IF(L$3&lt;=$O$2,$D201,$D201-($D201-$I$184)*MIN(L$3-$O$2,$Q$2)/$Q$2))</f>
        <v>2492.47029448018</v>
      </c>
      <c r="M201" s="15" t="n">
        <f aca="false">L201*(1+IF(M$3&lt;=$O$2,$D201,$D201-($D201-$I$184)*MIN(M$3-$O$2,$Q$2)/$Q$2))</f>
        <v>2527.72401704115</v>
      </c>
      <c r="N201" s="15" t="n">
        <f aca="false">M201*(1+IF(N$3&lt;=$O$2,$D201,$D201-($D201-$I$184)*MIN(N$3-$O$2,$Q$2)/$Q$2))</f>
        <v>2573.98136655301</v>
      </c>
      <c r="O201" s="15" t="n">
        <f aca="false">SUMPRODUCT(E201:N201,1/(1+$F$184)^$E$3:$N$3)*$E$2</f>
        <v>5076.30538441703</v>
      </c>
      <c r="P201" s="15" t="n">
        <f aca="false">N201*$E$2*(1+$I$184)/($F$184-$I$184)/(1+$F$184)^$N$3</f>
        <v>6488.05639258199</v>
      </c>
      <c r="Q201" s="15" t="n">
        <f aca="false">O201+P201</f>
        <v>11564.361776999</v>
      </c>
      <c r="R201" s="15" t="n">
        <f aca="false">Q201-$G$2+$I$2</f>
        <v>10289.691776999</v>
      </c>
      <c r="S201" s="42" t="n">
        <f aca="false">R201/$K$2</f>
        <v>289.280061203233</v>
      </c>
      <c r="T201" s="43" t="n">
        <f aca="false">S201-$M$2</f>
        <v>-0.00866525164428822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-0.00247955322265625</v>
      </c>
      <c r="C202" s="25" t="n">
        <f aca="false">IF(T201&gt;0,D201,C201)</f>
        <v>-0.0024566650390625</v>
      </c>
      <c r="D202" s="41" t="n">
        <f aca="false">(B202+C202)/2</f>
        <v>-0.00246810913085938</v>
      </c>
      <c r="E202" s="15" t="n">
        <f aca="false">$C$2*(1+IF(E$3&lt;=$O$2,$D202,$D202-($D202-$I$184)*MIN(E$3-$O$2,$Q$2)/$Q$2))</f>
        <v>2473.87908935547</v>
      </c>
      <c r="F202" s="15" t="n">
        <f aca="false">E202*(1+IF(F$3&lt;=$O$2,$D202,$D202-($D202-$I$184)*MIN(F$3-$O$2,$Q$2)/$Q$2))</f>
        <v>2467.77328578639</v>
      </c>
      <c r="G202" s="15" t="n">
        <f aca="false">F202*(1+IF(G$3&lt;=$O$2,$D202,$D202-($D202-$I$184)*MIN(G$3-$O$2,$Q$2)/$Q$2))</f>
        <v>2461.68255200685</v>
      </c>
      <c r="H202" s="15" t="n">
        <f aca="false">G202*(1+IF(H$3&lt;=$O$2,$D202,$D202-($D202-$I$184)*MIN(H$3-$O$2,$Q$2)/$Q$2))</f>
        <v>2455.60685082296</v>
      </c>
      <c r="I202" s="15" t="n">
        <f aca="false">H202*(1+IF(I$3&lt;=$O$2,$D202,$D202-($D202-$I$184)*MIN(I$3-$O$2,$Q$2)/$Q$2))</f>
        <v>2449.54614513265</v>
      </c>
      <c r="J202" s="15" t="n">
        <f aca="false">I202*(1+IF(J$3&lt;=$O$2,$D202,$D202-($D202-$I$184)*MIN(J$3-$O$2,$Q$2)/$Q$2))</f>
        <v>2453.67488625802</v>
      </c>
      <c r="K202" s="15" t="n">
        <f aca="false">J202*(1+IF(K$3&lt;=$O$2,$D202,$D202-($D202-$I$184)*MIN(K$3-$O$2,$Q$2)/$Q$2))</f>
        <v>2468.00222399087</v>
      </c>
      <c r="L202" s="15" t="n">
        <f aca="false">K202*(1+IF(L$3&lt;=$O$2,$D202,$D202-($D202-$I$184)*MIN(L$3-$O$2,$Q$2)/$Q$2))</f>
        <v>2492.66436888068</v>
      </c>
      <c r="M202" s="15" t="n">
        <f aca="false">L202*(1+IF(M$3&lt;=$O$2,$D202,$D202-($D202-$I$184)*MIN(M$3-$O$2,$Q$2)/$Q$2))</f>
        <v>2527.9265417033</v>
      </c>
      <c r="N202" s="15" t="n">
        <f aca="false">M202*(1+IF(N$3&lt;=$O$2,$D202,$D202-($D202-$I$184)*MIN(N$3-$O$2,$Q$2)/$Q$2))</f>
        <v>2574.18759741647</v>
      </c>
      <c r="O202" s="15" t="n">
        <f aca="false">SUMPRODUCT(E202:N202,1/(1+$F$184)^$E$3:$N$3)*$E$2</f>
        <v>5076.56021039561</v>
      </c>
      <c r="P202" s="15" t="n">
        <f aca="false">N202*$E$2*(1+$I$184)/($F$184-$I$184)/(1+$F$184)^$N$3</f>
        <v>6488.57622442281</v>
      </c>
      <c r="Q202" s="15" t="n">
        <f aca="false">O202+P202</f>
        <v>11565.1364348184</v>
      </c>
      <c r="R202" s="15" t="n">
        <f aca="false">Q202-$G$2+$I$2</f>
        <v>10290.4664348184</v>
      </c>
      <c r="S202" s="42" t="n">
        <f aca="false">R202/$K$2</f>
        <v>289.301839606928</v>
      </c>
      <c r="T202" s="43" t="n">
        <f aca="false">S202-$M$2</f>
        <v>0.0131131520498684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-0.00247955322265625</v>
      </c>
      <c r="C203" s="25" t="n">
        <f aca="false">IF(T202&gt;0,D202,C202)</f>
        <v>-0.00246810913085938</v>
      </c>
      <c r="D203" s="41" t="n">
        <f aca="false">(B203+C203)/2</f>
        <v>-0.00247383117675781</v>
      </c>
      <c r="E203" s="15" t="n">
        <f aca="false">$C$2*(1+IF(E$3&lt;=$O$2,$D203,$D203-($D203-$I$184)*MIN(E$3-$O$2,$Q$2)/$Q$2))</f>
        <v>2473.86489868164</v>
      </c>
      <c r="F203" s="15" t="n">
        <f aca="false">E203*(1+IF(F$3&lt;=$O$2,$D203,$D203-($D203-$I$184)*MIN(F$3-$O$2,$Q$2)/$Q$2))</f>
        <v>2467.7449745682</v>
      </c>
      <c r="G203" s="15" t="n">
        <f aca="false">F203*(1+IF(G$3&lt;=$O$2,$D203,$D203-($D203-$I$184)*MIN(G$3-$O$2,$Q$2)/$Q$2))</f>
        <v>2461.64019011382</v>
      </c>
      <c r="H203" s="15" t="n">
        <f aca="false">G203*(1+IF(H$3&lt;=$O$2,$D203,$D203-($D203-$I$184)*MIN(H$3-$O$2,$Q$2)/$Q$2))</f>
        <v>2455.55050786556</v>
      </c>
      <c r="I203" s="15" t="n">
        <f aca="false">H203*(1+IF(I$3&lt;=$O$2,$D203,$D203-($D203-$I$184)*MIN(I$3-$O$2,$Q$2)/$Q$2))</f>
        <v>2449.4758904631</v>
      </c>
      <c r="J203" s="15" t="n">
        <f aca="false">I203*(1+IF(J$3&lt;=$O$2,$D203,$D203-($D203-$I$184)*MIN(J$3-$O$2,$Q$2)/$Q$2))</f>
        <v>2453.59330036256</v>
      </c>
      <c r="K203" s="15" t="n">
        <f aca="false">J203*(1+IF(K$3&lt;=$O$2,$D203,$D203-($D203-$I$184)*MIN(K$3-$O$2,$Q$2)/$Q$2))</f>
        <v>2467.9117379603</v>
      </c>
      <c r="L203" s="15" t="n">
        <f aca="false">K203*(1+IF(L$3&lt;=$O$2,$D203,$D203-($D203-$I$184)*MIN(L$3-$O$2,$Q$2)/$Q$2))</f>
        <v>2492.56733004356</v>
      </c>
      <c r="M203" s="15" t="n">
        <f aca="false">L203*(1+IF(M$3&lt;=$O$2,$D203,$D203-($D203-$I$184)*MIN(M$3-$O$2,$Q$2)/$Q$2))</f>
        <v>2527.82527760115</v>
      </c>
      <c r="N203" s="15" t="n">
        <f aca="false">M203*(1+IF(N$3&lt;=$O$2,$D203,$D203-($D203-$I$184)*MIN(N$3-$O$2,$Q$2)/$Q$2))</f>
        <v>2574.08448018125</v>
      </c>
      <c r="O203" s="15" t="n">
        <f aca="false">SUMPRODUCT(E203:N203,1/(1+$F$184)^$E$3:$N$3)*$E$2</f>
        <v>5076.43279577195</v>
      </c>
      <c r="P203" s="15" t="n">
        <f aca="false">N203*$E$2*(1+$I$184)/($F$184-$I$184)/(1+$F$184)^$N$3</f>
        <v>6488.31630395648</v>
      </c>
      <c r="Q203" s="15" t="n">
        <f aca="false">O203+P203</f>
        <v>11564.7490997284</v>
      </c>
      <c r="R203" s="15" t="n">
        <f aca="false">Q203-$G$2+$I$2</f>
        <v>10290.0790997284</v>
      </c>
      <c r="S203" s="42" t="n">
        <f aca="false">R203/$K$2</f>
        <v>289.290950231331</v>
      </c>
      <c r="T203" s="43" t="n">
        <f aca="false">S203-$M$2</f>
        <v>0.00222377645303595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-0.00247955322265625</v>
      </c>
      <c r="C204" s="25" t="n">
        <f aca="false">IF(T203&gt;0,D203,C203)</f>
        <v>-0.00247383117675781</v>
      </c>
      <c r="D204" s="41" t="n">
        <f aca="false">(B204+C204)/2</f>
        <v>-0.00247669219970703</v>
      </c>
      <c r="E204" s="15" t="n">
        <f aca="false">$C$2*(1+IF(E$3&lt;=$O$2,$D204,$D204-($D204-$I$184)*MIN(E$3-$O$2,$Q$2)/$Q$2))</f>
        <v>2473.85780334473</v>
      </c>
      <c r="F204" s="15" t="n">
        <f aca="false">E204*(1+IF(F$3&lt;=$O$2,$D204,$D204-($D204-$I$184)*MIN(F$3-$O$2,$Q$2)/$Q$2))</f>
        <v>2467.73081902</v>
      </c>
      <c r="G204" s="15" t="n">
        <f aca="false">F204*(1+IF(G$3&lt;=$O$2,$D204,$D204-($D204-$I$184)*MIN(G$3-$O$2,$Q$2)/$Q$2))</f>
        <v>2461.61900934955</v>
      </c>
      <c r="H204" s="15" t="n">
        <f aca="false">G204*(1+IF(H$3&lt;=$O$2,$D204,$D204-($D204-$I$184)*MIN(H$3-$O$2,$Q$2)/$Q$2))</f>
        <v>2455.52233675045</v>
      </c>
      <c r="I204" s="15" t="n">
        <f aca="false">H204*(1+IF(I$3&lt;=$O$2,$D204,$D204-($D204-$I$184)*MIN(I$3-$O$2,$Q$2)/$Q$2))</f>
        <v>2449.44076373281</v>
      </c>
      <c r="J204" s="15" t="n">
        <f aca="false">I204*(1+IF(J$3&lt;=$O$2,$D204,$D204-($D204-$I$184)*MIN(J$3-$O$2,$Q$2)/$Q$2))</f>
        <v>2453.55250826153</v>
      </c>
      <c r="K204" s="15" t="n">
        <f aca="false">J204*(1+IF(K$3&lt;=$O$2,$D204,$D204-($D204-$I$184)*MIN(K$3-$O$2,$Q$2)/$Q$2))</f>
        <v>2467.86649600673</v>
      </c>
      <c r="L204" s="15" t="n">
        <f aca="false">K204*(1+IF(L$3&lt;=$O$2,$D204,$D204-($D204-$I$184)*MIN(L$3-$O$2,$Q$2)/$Q$2))</f>
        <v>2492.51881185266</v>
      </c>
      <c r="M204" s="15" t="n">
        <f aca="false">L204*(1+IF(M$3&lt;=$O$2,$D204,$D204-($D204-$I$184)*MIN(M$3-$O$2,$Q$2)/$Q$2))</f>
        <v>2527.77464687839</v>
      </c>
      <c r="N204" s="15" t="n">
        <f aca="false">M204*(1+IF(N$3&lt;=$O$2,$D204,$D204-($D204-$I$184)*MIN(N$3-$O$2,$Q$2)/$Q$2))</f>
        <v>2574.03292291627</v>
      </c>
      <c r="O204" s="15" t="n">
        <f aca="false">SUMPRODUCT(E204:N204,1/(1+$F$184)^$E$3:$N$3)*$E$2</f>
        <v>5076.3690896859</v>
      </c>
      <c r="P204" s="15" t="n">
        <f aca="false">N204*$E$2*(1+$I$184)/($F$184-$I$184)/(1+$F$184)^$N$3</f>
        <v>6488.18634713277</v>
      </c>
      <c r="Q204" s="15" t="n">
        <f aca="false">O204+P204</f>
        <v>11564.5554368187</v>
      </c>
      <c r="R204" s="15" t="n">
        <f aca="false">Q204-$G$2+$I$2</f>
        <v>10289.8854368187</v>
      </c>
      <c r="S204" s="42" t="n">
        <f aca="false">R204/$K$2</f>
        <v>289.285505673845</v>
      </c>
      <c r="T204" s="43" t="n">
        <f aca="false">S204-$M$2</f>
        <v>-0.00322078103255308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-0.00247669219970703</v>
      </c>
      <c r="C205" s="25" t="n">
        <f aca="false">IF(T204&gt;0,D204,C204)</f>
        <v>-0.00247383117675781</v>
      </c>
      <c r="D205" s="41" t="n">
        <f aca="false">(B205+C205)/2</f>
        <v>-0.00247526168823242</v>
      </c>
      <c r="E205" s="15" t="n">
        <f aca="false">$C$2*(1+IF(E$3&lt;=$O$2,$D205,$D205-($D205-$I$184)*MIN(E$3-$O$2,$Q$2)/$Q$2))</f>
        <v>2473.86135101318</v>
      </c>
      <c r="F205" s="15" t="n">
        <f aca="false">E205*(1+IF(F$3&lt;=$O$2,$D205,$D205-($D205-$I$184)*MIN(F$3-$O$2,$Q$2)/$Q$2))</f>
        <v>2467.73789678902</v>
      </c>
      <c r="G205" s="15" t="n">
        <f aca="false">F205*(1+IF(G$3&lt;=$O$2,$D205,$D205-($D205-$I$184)*MIN(G$3-$O$2,$Q$2)/$Q$2))</f>
        <v>2461.6295997165</v>
      </c>
      <c r="H205" s="15" t="n">
        <f aca="false">G205*(1+IF(H$3&lt;=$O$2,$D205,$D205-($D205-$I$184)*MIN(H$3-$O$2,$Q$2)/$Q$2))</f>
        <v>2455.5364222777</v>
      </c>
      <c r="I205" s="15" t="n">
        <f aca="false">H205*(1+IF(I$3&lt;=$O$2,$D205,$D205-($D205-$I$184)*MIN(I$3-$O$2,$Q$2)/$Q$2))</f>
        <v>2449.45832704758</v>
      </c>
      <c r="J205" s="15" t="n">
        <f aca="false">I205*(1+IF(J$3&lt;=$O$2,$D205,$D205-($D205-$I$184)*MIN(J$3-$O$2,$Q$2)/$Q$2))</f>
        <v>2453.57290424148</v>
      </c>
      <c r="K205" s="15" t="n">
        <f aca="false">J205*(1+IF(K$3&lt;=$O$2,$D205,$D205-($D205-$I$184)*MIN(K$3-$O$2,$Q$2)/$Q$2))</f>
        <v>2467.88911689504</v>
      </c>
      <c r="L205" s="15" t="n">
        <f aca="false">K205*(1+IF(L$3&lt;=$O$2,$D205,$D205-($D205-$I$184)*MIN(L$3-$O$2,$Q$2)/$Q$2))</f>
        <v>2492.5430708458</v>
      </c>
      <c r="M205" s="15" t="n">
        <f aca="false">L205*(1+IF(M$3&lt;=$O$2,$D205,$D205-($D205-$I$184)*MIN(M$3-$O$2,$Q$2)/$Q$2))</f>
        <v>2527.79996212908</v>
      </c>
      <c r="N205" s="15" t="n">
        <f aca="false">M205*(1+IF(N$3&lt;=$O$2,$D205,$D205-($D205-$I$184)*MIN(N$3-$O$2,$Q$2)/$Q$2))</f>
        <v>2574.05870143604</v>
      </c>
      <c r="O205" s="15" t="n">
        <f aca="false">SUMPRODUCT(E205:N205,1/(1+$F$184)^$E$3:$N$3)*$E$2</f>
        <v>5076.40094262678</v>
      </c>
      <c r="P205" s="15" t="n">
        <f aca="false">N205*$E$2*(1+$I$184)/($F$184-$I$184)/(1+$F$184)^$N$3</f>
        <v>6488.25132526051</v>
      </c>
      <c r="Q205" s="15" t="n">
        <f aca="false">O205+P205</f>
        <v>11564.6522678873</v>
      </c>
      <c r="R205" s="15" t="n">
        <f aca="false">Q205-$G$2+$I$2</f>
        <v>10289.9822678873</v>
      </c>
      <c r="S205" s="42" t="n">
        <f aca="false">R205/$K$2</f>
        <v>289.288227941729</v>
      </c>
      <c r="T205" s="43" t="n">
        <f aca="false">S205-$M$2</f>
        <v>-0.000498513149125301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-0.00247526168823242</v>
      </c>
      <c r="C206" s="25" t="n">
        <f aca="false">IF(T205&gt;0,D205,C205)</f>
        <v>-0.00247383117675781</v>
      </c>
      <c r="D206" s="41" t="n">
        <f aca="false">(B206+C206)/2</f>
        <v>-0.00247454643249512</v>
      </c>
      <c r="E206" s="15" t="n">
        <f aca="false">$C$2*(1+IF(E$3&lt;=$O$2,$D206,$D206-($D206-$I$184)*MIN(E$3-$O$2,$Q$2)/$Q$2))</f>
        <v>2473.86312484741</v>
      </c>
      <c r="F206" s="15" t="n">
        <f aca="false">E206*(1+IF(F$3&lt;=$O$2,$D206,$D206-($D206-$I$184)*MIN(F$3-$O$2,$Q$2)/$Q$2))</f>
        <v>2467.74143567734</v>
      </c>
      <c r="G206" s="15" t="n">
        <f aca="false">F206*(1+IF(G$3&lt;=$O$2,$D206,$D206-($D206-$I$184)*MIN(G$3-$O$2,$Q$2)/$Q$2))</f>
        <v>2461.63489491136</v>
      </c>
      <c r="H206" s="15" t="n">
        <f aca="false">G206*(1+IF(H$3&lt;=$O$2,$D206,$D206-($D206-$I$184)*MIN(H$3-$O$2,$Q$2)/$Q$2))</f>
        <v>2455.54346506406</v>
      </c>
      <c r="I206" s="15" t="n">
        <f aca="false">H206*(1+IF(I$3&lt;=$O$2,$D206,$D206-($D206-$I$184)*MIN(I$3-$O$2,$Q$2)/$Q$2))</f>
        <v>2449.46710874274</v>
      </c>
      <c r="J206" s="15" t="n">
        <f aca="false">I206*(1+IF(J$3&lt;=$O$2,$D206,$D206-($D206-$I$184)*MIN(J$3-$O$2,$Q$2)/$Q$2))</f>
        <v>2453.58310228438</v>
      </c>
      <c r="K206" s="15" t="n">
        <f aca="false">J206*(1+IF(K$3&lt;=$O$2,$D206,$D206-($D206-$I$184)*MIN(K$3-$O$2,$Q$2)/$Q$2))</f>
        <v>2467.90042740555</v>
      </c>
      <c r="L206" s="15" t="n">
        <f aca="false">K206*(1+IF(L$3&lt;=$O$2,$D206,$D206-($D206-$I$184)*MIN(L$3-$O$2,$Q$2)/$Q$2))</f>
        <v>2492.55520041911</v>
      </c>
      <c r="M206" s="15" t="n">
        <f aca="false">L206*(1+IF(M$3&lt;=$O$2,$D206,$D206-($D206-$I$184)*MIN(M$3-$O$2,$Q$2)/$Q$2))</f>
        <v>2527.81261983744</v>
      </c>
      <c r="N206" s="15" t="n">
        <f aca="false">M206*(1+IF(N$3&lt;=$O$2,$D206,$D206-($D206-$I$184)*MIN(N$3-$O$2,$Q$2)/$Q$2))</f>
        <v>2574.07159078047</v>
      </c>
      <c r="O206" s="15" t="n">
        <f aca="false">SUMPRODUCT(E206:N206,1/(1+$F$184)^$E$3:$N$3)*$E$2</f>
        <v>5076.41686917383</v>
      </c>
      <c r="P206" s="15" t="n">
        <f aca="false">N206*$E$2*(1+$I$184)/($F$184-$I$184)/(1+$F$184)^$N$3</f>
        <v>6488.28381453746</v>
      </c>
      <c r="Q206" s="15" t="n">
        <f aca="false">O206+P206</f>
        <v>11564.7006837113</v>
      </c>
      <c r="R206" s="15" t="n">
        <f aca="false">Q206-$G$2+$I$2</f>
        <v>10290.0306837113</v>
      </c>
      <c r="S206" s="42" t="n">
        <f aca="false">R206/$K$2</f>
        <v>289.289589083815</v>
      </c>
      <c r="T206" s="43" t="n">
        <f aca="false">S206-$M$2</f>
        <v>0.000862628937113641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-0.00247526168823242</v>
      </c>
      <c r="C207" s="25" t="n">
        <f aca="false">IF(T206&gt;0,D206,C206)</f>
        <v>-0.00247454643249512</v>
      </c>
      <c r="D207" s="41" t="n">
        <f aca="false">(B207+C207)/2</f>
        <v>-0.00247490406036377</v>
      </c>
      <c r="E207" s="15" t="n">
        <f aca="false">$C$2*(1+IF(E$3&lt;=$O$2,$D207,$D207-($D207-$I$184)*MIN(E$3-$O$2,$Q$2)/$Q$2))</f>
        <v>2473.8622379303</v>
      </c>
      <c r="F207" s="15" t="n">
        <f aca="false">E207*(1+IF(F$3&lt;=$O$2,$D207,$D207-($D207-$I$184)*MIN(F$3-$O$2,$Q$2)/$Q$2))</f>
        <v>2467.73966623286</v>
      </c>
      <c r="G207" s="15" t="n">
        <f aca="false">F207*(1+IF(G$3&lt;=$O$2,$D207,$D207-($D207-$I$184)*MIN(G$3-$O$2,$Q$2)/$Q$2))</f>
        <v>2461.63224731298</v>
      </c>
      <c r="H207" s="15" t="n">
        <f aca="false">G207*(1+IF(H$3&lt;=$O$2,$D207,$D207-($D207-$I$184)*MIN(H$3-$O$2,$Q$2)/$Q$2))</f>
        <v>2455.53994366899</v>
      </c>
      <c r="I207" s="15" t="n">
        <f aca="false">H207*(1+IF(I$3&lt;=$O$2,$D207,$D207-($D207-$I$184)*MIN(I$3-$O$2,$Q$2)/$Q$2))</f>
        <v>2449.46271789201</v>
      </c>
      <c r="J207" s="15" t="n">
        <f aca="false">I207*(1+IF(J$3&lt;=$O$2,$D207,$D207-($D207-$I$184)*MIN(J$3-$O$2,$Q$2)/$Q$2))</f>
        <v>2453.57800325852</v>
      </c>
      <c r="K207" s="15" t="n">
        <f aca="false">J207*(1+IF(K$3&lt;=$O$2,$D207,$D207-($D207-$I$184)*MIN(K$3-$O$2,$Q$2)/$Q$2))</f>
        <v>2467.89477214477</v>
      </c>
      <c r="L207" s="15" t="n">
        <f aca="false">K207*(1+IF(L$3&lt;=$O$2,$D207,$D207-($D207-$I$184)*MIN(L$3-$O$2,$Q$2)/$Q$2))</f>
        <v>2492.54913562606</v>
      </c>
      <c r="M207" s="15" t="n">
        <f aca="false">L207*(1+IF(M$3&lt;=$O$2,$D207,$D207-($D207-$I$184)*MIN(M$3-$O$2,$Q$2)/$Q$2))</f>
        <v>2527.80629097634</v>
      </c>
      <c r="N207" s="15" t="n">
        <f aca="false">M207*(1+IF(N$3&lt;=$O$2,$D207,$D207-($D207-$I$184)*MIN(N$3-$O$2,$Q$2)/$Q$2))</f>
        <v>2574.06514610121</v>
      </c>
      <c r="O207" s="15" t="n">
        <f aca="false">SUMPRODUCT(E207:N207,1/(1+$F$184)^$E$3:$N$3)*$E$2</f>
        <v>5076.40890589392</v>
      </c>
      <c r="P207" s="15" t="n">
        <f aca="false">N207*$E$2*(1+$I$184)/($F$184-$I$184)/(1+$F$184)^$N$3</f>
        <v>6488.26756988123</v>
      </c>
      <c r="Q207" s="15" t="n">
        <f aca="false">O207+P207</f>
        <v>11564.6764757752</v>
      </c>
      <c r="R207" s="15" t="n">
        <f aca="false">Q207-$G$2+$I$2</f>
        <v>10290.0064757752</v>
      </c>
      <c r="S207" s="42" t="n">
        <f aca="false">R207/$K$2</f>
        <v>289.288908512093</v>
      </c>
      <c r="T207" s="43" t="n">
        <f aca="false">S207-$M$2</f>
        <v>0.000182057215340592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-0.00247526168823242</v>
      </c>
      <c r="C208" s="25" t="n">
        <f aca="false">IF(T207&gt;0,D207,C207)</f>
        <v>-0.00247490406036377</v>
      </c>
      <c r="D208" s="41" t="n">
        <f aca="false">(B208+C208)/2</f>
        <v>-0.0024750828742981</v>
      </c>
      <c r="E208" s="15" t="n">
        <f aca="false">$C$2*(1+IF(E$3&lt;=$O$2,$D208,$D208-($D208-$I$184)*MIN(E$3-$O$2,$Q$2)/$Q$2))</f>
        <v>2473.86179447174</v>
      </c>
      <c r="F208" s="15" t="n">
        <f aca="false">E208*(1+IF(F$3&lt;=$O$2,$D208,$D208-($D208-$I$184)*MIN(F$3-$O$2,$Q$2)/$Q$2))</f>
        <v>2467.73878151086</v>
      </c>
      <c r="G208" s="15" t="n">
        <f aca="false">F208*(1+IF(G$3&lt;=$O$2,$D208,$D208-($D208-$I$184)*MIN(G$3-$O$2,$Q$2)/$Q$2))</f>
        <v>2461.6309235145</v>
      </c>
      <c r="H208" s="15" t="n">
        <f aca="false">G208*(1+IF(H$3&lt;=$O$2,$D208,$D208-($D208-$I$184)*MIN(H$3-$O$2,$Q$2)/$Q$2))</f>
        <v>2455.53818297287</v>
      </c>
      <c r="I208" s="15" t="n">
        <f aca="false">H208*(1+IF(I$3&lt;=$O$2,$D208,$D208-($D208-$I$184)*MIN(I$3-$O$2,$Q$2)/$Q$2))</f>
        <v>2449.46052246901</v>
      </c>
      <c r="J208" s="15" t="n">
        <f aca="false">I208*(1+IF(J$3&lt;=$O$2,$D208,$D208-($D208-$I$184)*MIN(J$3-$O$2,$Q$2)/$Q$2))</f>
        <v>2453.5754537489</v>
      </c>
      <c r="K208" s="15" t="n">
        <f aca="false">J208*(1+IF(K$3&lt;=$O$2,$D208,$D208-($D208-$I$184)*MIN(K$3-$O$2,$Q$2)/$Q$2))</f>
        <v>2467.89194451852</v>
      </c>
      <c r="L208" s="15" t="n">
        <f aca="false">K208*(1+IF(L$3&lt;=$O$2,$D208,$D208-($D208-$I$184)*MIN(L$3-$O$2,$Q$2)/$Q$2))</f>
        <v>2492.54610323433</v>
      </c>
      <c r="M208" s="15" t="n">
        <f aca="false">L208*(1+IF(M$3&lt;=$O$2,$D208,$D208-($D208-$I$184)*MIN(M$3-$O$2,$Q$2)/$Q$2))</f>
        <v>2527.80312655098</v>
      </c>
      <c r="N208" s="15" t="n">
        <f aca="false">M208*(1+IF(N$3&lt;=$O$2,$D208,$D208-($D208-$I$184)*MIN(N$3-$O$2,$Q$2)/$Q$2))</f>
        <v>2574.06192376687</v>
      </c>
      <c r="O208" s="15" t="n">
        <f aca="false">SUMPRODUCT(E208:N208,1/(1+$F$184)^$E$3:$N$3)*$E$2</f>
        <v>5076.40492425876</v>
      </c>
      <c r="P208" s="15" t="n">
        <f aca="false">N208*$E$2*(1+$I$184)/($F$184-$I$184)/(1+$F$184)^$N$3</f>
        <v>6488.25944756643</v>
      </c>
      <c r="Q208" s="15" t="n">
        <f aca="false">O208+P208</f>
        <v>11564.6643718252</v>
      </c>
      <c r="R208" s="15" t="n">
        <f aca="false">Q208-$G$2+$I$2</f>
        <v>10289.9943718252</v>
      </c>
      <c r="S208" s="42" t="n">
        <f aca="false">R208/$K$2</f>
        <v>289.288568226741</v>
      </c>
      <c r="T208" s="43" t="n">
        <f aca="false">S208-$M$2</f>
        <v>-0.000158228136513117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-0.0024750828742981</v>
      </c>
      <c r="C209" s="25" t="n">
        <f aca="false">IF(T208&gt;0,D208,C208)</f>
        <v>-0.00247490406036377</v>
      </c>
      <c r="D209" s="41" t="n">
        <f aca="false">(B209+C209)/2</f>
        <v>-0.00247499346733093</v>
      </c>
      <c r="E209" s="15" t="n">
        <f aca="false">$C$2*(1+IF(E$3&lt;=$O$2,$D209,$D209-($D209-$I$184)*MIN(E$3-$O$2,$Q$2)/$Q$2))</f>
        <v>2473.86201620102</v>
      </c>
      <c r="F209" s="15" t="n">
        <f aca="false">E209*(1+IF(F$3&lt;=$O$2,$D209,$D209-($D209-$I$184)*MIN(F$3-$O$2,$Q$2)/$Q$2))</f>
        <v>2467.73922387184</v>
      </c>
      <c r="G209" s="15" t="n">
        <f aca="false">F209*(1+IF(G$3&lt;=$O$2,$D209,$D209-($D209-$I$184)*MIN(G$3-$O$2,$Q$2)/$Q$2))</f>
        <v>2461.63158541368</v>
      </c>
      <c r="H209" s="15" t="n">
        <f aca="false">G209*(1+IF(H$3&lt;=$O$2,$D209,$D209-($D209-$I$184)*MIN(H$3-$O$2,$Q$2)/$Q$2))</f>
        <v>2455.53906332081</v>
      </c>
      <c r="I209" s="15" t="n">
        <f aca="false">H209*(1+IF(I$3&lt;=$O$2,$D209,$D209-($D209-$I$184)*MIN(I$3-$O$2,$Q$2)/$Q$2))</f>
        <v>2449.46162018032</v>
      </c>
      <c r="J209" s="15" t="n">
        <f aca="false">I209*(1+IF(J$3&lt;=$O$2,$D209,$D209-($D209-$I$184)*MIN(J$3-$O$2,$Q$2)/$Q$2))</f>
        <v>2453.57672850344</v>
      </c>
      <c r="K209" s="15" t="n">
        <f aca="false">J209*(1+IF(K$3&lt;=$O$2,$D209,$D209-($D209-$I$184)*MIN(K$3-$O$2,$Q$2)/$Q$2))</f>
        <v>2467.8933583313</v>
      </c>
      <c r="L209" s="15" t="n">
        <f aca="false">K209*(1+IF(L$3&lt;=$O$2,$D209,$D209-($D209-$I$184)*MIN(L$3-$O$2,$Q$2)/$Q$2))</f>
        <v>2492.5476194298</v>
      </c>
      <c r="M209" s="15" t="n">
        <f aca="false">L209*(1+IF(M$3&lt;=$O$2,$D209,$D209-($D209-$I$184)*MIN(M$3-$O$2,$Q$2)/$Q$2))</f>
        <v>2527.80470876323</v>
      </c>
      <c r="N209" s="15" t="n">
        <f aca="false">M209*(1+IF(N$3&lt;=$O$2,$D209,$D209-($D209-$I$184)*MIN(N$3-$O$2,$Q$2)/$Q$2))</f>
        <v>2574.0635349336</v>
      </c>
      <c r="O209" s="15" t="n">
        <f aca="false">SUMPRODUCT(E209:N209,1/(1+$F$184)^$E$3:$N$3)*$E$2</f>
        <v>5076.40691507594</v>
      </c>
      <c r="P209" s="15" t="n">
        <f aca="false">N209*$E$2*(1+$I$184)/($F$184-$I$184)/(1+$F$184)^$N$3</f>
        <v>6488.26350872272</v>
      </c>
      <c r="Q209" s="15" t="n">
        <f aca="false">O209+P209</f>
        <v>11564.6704237987</v>
      </c>
      <c r="R209" s="15" t="n">
        <f aca="false">Q209-$G$2+$I$2</f>
        <v>10290.0004237987</v>
      </c>
      <c r="S209" s="42" t="n">
        <f aca="false">R209/$K$2</f>
        <v>289.288738369375</v>
      </c>
      <c r="T209" s="43" t="n">
        <f aca="false">S209-$M$2</f>
        <v>1.19144969517038E-005</v>
      </c>
    </row>
    <row r="211" customFormat="false" ht="15" hidden="false" customHeight="false" outlineLevel="0" collapsed="false">
      <c r="A211" s="38" t="s">
        <v>191</v>
      </c>
      <c r="E211" s="5" t="s">
        <v>11</v>
      </c>
      <c r="F211" s="12" t="n">
        <f aca="false">Sensitivity!$B$11</f>
        <v>0.0764218415038925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8" t="s">
        <v>165</v>
      </c>
      <c r="B212" s="28" t="s">
        <v>166</v>
      </c>
      <c r="C212" s="28" t="s">
        <v>167</v>
      </c>
      <c r="D212" s="28" t="s">
        <v>168</v>
      </c>
      <c r="E212" s="28" t="s">
        <v>169</v>
      </c>
      <c r="F212" s="28" t="s">
        <v>170</v>
      </c>
      <c r="G212" s="28" t="s">
        <v>171</v>
      </c>
      <c r="H212" s="28" t="s">
        <v>172</v>
      </c>
      <c r="I212" s="28" t="s">
        <v>173</v>
      </c>
      <c r="J212" s="28" t="s">
        <v>174</v>
      </c>
      <c r="K212" s="28" t="s">
        <v>175</v>
      </c>
      <c r="L212" s="28" t="s">
        <v>176</v>
      </c>
      <c r="M212" s="28" t="s">
        <v>177</v>
      </c>
      <c r="N212" s="28" t="s">
        <v>178</v>
      </c>
      <c r="O212" s="28" t="s">
        <v>179</v>
      </c>
      <c r="P212" s="28" t="s">
        <v>180</v>
      </c>
      <c r="Q212" s="28" t="s">
        <v>181</v>
      </c>
      <c r="R212" s="28" t="s">
        <v>182</v>
      </c>
      <c r="S212" s="28" t="s">
        <v>183</v>
      </c>
      <c r="T212" s="28" t="s">
        <v>184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41" t="n">
        <f aca="false">(B213+C213)/2</f>
        <v>0.25</v>
      </c>
      <c r="E213" s="15" t="n">
        <f aca="false">$C$2*(1+IF(E$3&lt;=$O$2,$D213,$D213-($D213-$I$211)*MIN(E$3-$O$2,$Q$2)/$Q$2))</f>
        <v>3100</v>
      </c>
      <c r="F213" s="15" t="n">
        <f aca="false">E213*(1+IF(F$3&lt;=$O$2,$D213,$D213-($D213-$I$211)*MIN(F$3-$O$2,$Q$2)/$Q$2))</f>
        <v>3875</v>
      </c>
      <c r="G213" s="15" t="n">
        <f aca="false">F213*(1+IF(G$3&lt;=$O$2,$D213,$D213-($D213-$I$211)*MIN(G$3-$O$2,$Q$2)/$Q$2))</f>
        <v>4843.75</v>
      </c>
      <c r="H213" s="15" t="n">
        <f aca="false">G213*(1+IF(H$3&lt;=$O$2,$D213,$D213-($D213-$I$211)*MIN(H$3-$O$2,$Q$2)/$Q$2))</f>
        <v>6054.6875</v>
      </c>
      <c r="I213" s="15" t="n">
        <f aca="false">H213*(1+IF(I$3&lt;=$O$2,$D213,$D213-($D213-$I$211)*MIN(I$3-$O$2,$Q$2)/$Q$2))</f>
        <v>7568.359375</v>
      </c>
      <c r="J213" s="15" t="n">
        <f aca="false">I213*(1+IF(J$3&lt;=$O$2,$D213,$D213-($D213-$I$211)*MIN(J$3-$O$2,$Q$2)/$Q$2))</f>
        <v>9117.2998046875</v>
      </c>
      <c r="K213" s="15" t="n">
        <f aca="false">J213*(1+IF(K$3&lt;=$O$2,$D213,$D213-($D213-$I$211)*MIN(K$3-$O$2,$Q$2)/$Q$2))</f>
        <v>10569.8680095703</v>
      </c>
      <c r="L213" s="15" t="n">
        <f aca="false">K213*(1+IF(L$3&lt;=$O$2,$D213,$D213-($D213-$I$211)*MIN(L$3-$O$2,$Q$2)/$Q$2))</f>
        <v>11774.6215653011</v>
      </c>
      <c r="M213" s="15" t="n">
        <f aca="false">L213*(1+IF(M$3&lt;=$O$2,$D213,$D213-($D213-$I$211)*MIN(M$3-$O$2,$Q$2)/$Q$2))</f>
        <v>12582.8315895434</v>
      </c>
      <c r="N213" s="15" t="n">
        <f aca="false">M213*(1+IF(N$3&lt;=$O$2,$D213,$D213-($D213-$I$211)*MIN(N$3-$O$2,$Q$2)/$Q$2))</f>
        <v>12876.0115655798</v>
      </c>
      <c r="O213" s="15" t="n">
        <f aca="false">SUMPRODUCT(E213:N213,1/(1+$F$211)^$E$3:$N$3)*$E$2</f>
        <v>15387.3842321529</v>
      </c>
      <c r="P213" s="15" t="n">
        <f aca="false">N213*$E$2*(1+$I$211)/($F$211-$I$211)/(1+$F$211)^$N$3</f>
        <v>35684.8643256578</v>
      </c>
      <c r="Q213" s="15" t="n">
        <f aca="false">O213+P213</f>
        <v>51072.2485578106</v>
      </c>
      <c r="R213" s="15" t="n">
        <f aca="false">Q213-$G$2+$I$2</f>
        <v>49797.5785578106</v>
      </c>
      <c r="S213" s="42" t="n">
        <f aca="false">R213/$K$2</f>
        <v>1399.98815175178</v>
      </c>
      <c r="T213" s="43" t="n">
        <f aca="false">S213-$M$2</f>
        <v>1110.6994252969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41" t="n">
        <f aca="false">(B214+C214)/2</f>
        <v>-0.125</v>
      </c>
      <c r="E214" s="15" t="n">
        <f aca="false">$C$2*(1+IF(E$3&lt;=$O$2,$D214,$D214-($D214-$I$211)*MIN(E$3-$O$2,$Q$2)/$Q$2))</f>
        <v>2170</v>
      </c>
      <c r="F214" s="15" t="n">
        <f aca="false">E214*(1+IF(F$3&lt;=$O$2,$D214,$D214-($D214-$I$211)*MIN(F$3-$O$2,$Q$2)/$Q$2))</f>
        <v>1898.75</v>
      </c>
      <c r="G214" s="15" t="n">
        <f aca="false">F214*(1+IF(G$3&lt;=$O$2,$D214,$D214-($D214-$I$211)*MIN(G$3-$O$2,$Q$2)/$Q$2))</f>
        <v>1661.40625</v>
      </c>
      <c r="H214" s="15" t="n">
        <f aca="false">G214*(1+IF(H$3&lt;=$O$2,$D214,$D214-($D214-$I$211)*MIN(H$3-$O$2,$Q$2)/$Q$2))</f>
        <v>1453.73046875</v>
      </c>
      <c r="I214" s="15" t="n">
        <f aca="false">H214*(1+IF(I$3&lt;=$O$2,$D214,$D214-($D214-$I$211)*MIN(I$3-$O$2,$Q$2)/$Q$2))</f>
        <v>1272.01416015625</v>
      </c>
      <c r="J214" s="15" t="n">
        <f aca="false">I214*(1+IF(J$3&lt;=$O$2,$D214,$D214-($D214-$I$211)*MIN(J$3-$O$2,$Q$2)/$Q$2))</f>
        <v>1150.74033012695</v>
      </c>
      <c r="K214" s="15" t="n">
        <f aca="false">J214*(1+IF(K$3&lt;=$O$2,$D214,$D214-($D214-$I$211)*MIN(K$3-$O$2,$Q$2)/$Q$2))</f>
        <v>1075.15970524421</v>
      </c>
      <c r="L214" s="15" t="n">
        <f aca="false">K214*(1+IF(L$3&lt;=$O$2,$D214,$D214-($D214-$I$211)*MIN(L$3-$O$2,$Q$2)/$Q$2))</f>
        <v>1036.43245266132</v>
      </c>
      <c r="M214" s="15" t="n">
        <f aca="false">L214*(1+IF(M$3&lt;=$O$2,$D214,$D214-($D214-$I$211)*MIN(M$3-$O$2,$Q$2)/$Q$2))</f>
        <v>1029.84074226239</v>
      </c>
      <c r="N214" s="15" t="n">
        <f aca="false">M214*(1+IF(N$3&lt;=$O$2,$D214,$D214-($D214-$I$211)*MIN(N$3-$O$2,$Q$2)/$Q$2))</f>
        <v>1053.83603155711</v>
      </c>
      <c r="O214" s="15" t="n">
        <f aca="false">SUMPRODUCT(E214:N214,1/(1+$F$211)^$E$3:$N$3)*$E$2</f>
        <v>2987.24548917715</v>
      </c>
      <c r="P214" s="15" t="n">
        <f aca="false">N214*$E$2*(1+$I$211)/($F$211-$I$211)/(1+$F$211)^$N$3</f>
        <v>2920.6245750923</v>
      </c>
      <c r="Q214" s="15" t="n">
        <f aca="false">O214+P214</f>
        <v>5907.87006426944</v>
      </c>
      <c r="R214" s="15" t="n">
        <f aca="false">Q214-$G$2+$I$2</f>
        <v>4633.20006426944</v>
      </c>
      <c r="S214" s="42" t="n">
        <f aca="false">R214/$K$2</f>
        <v>130.255835374457</v>
      </c>
      <c r="T214" s="43" t="n">
        <f aca="false">S214-$M$2</f>
        <v>-159.03289108042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41" t="n">
        <f aca="false">(B215+C215)/2</f>
        <v>0.0625</v>
      </c>
      <c r="E215" s="15" t="n">
        <f aca="false">$C$2*(1+IF(E$3&lt;=$O$2,$D215,$D215-($D215-$I$211)*MIN(E$3-$O$2,$Q$2)/$Q$2))</f>
        <v>2635</v>
      </c>
      <c r="F215" s="15" t="n">
        <f aca="false">E215*(1+IF(F$3&lt;=$O$2,$D215,$D215-($D215-$I$211)*MIN(F$3-$O$2,$Q$2)/$Q$2))</f>
        <v>2799.6875</v>
      </c>
      <c r="G215" s="15" t="n">
        <f aca="false">F215*(1+IF(G$3&lt;=$O$2,$D215,$D215-($D215-$I$211)*MIN(G$3-$O$2,$Q$2)/$Q$2))</f>
        <v>2974.66796875</v>
      </c>
      <c r="H215" s="15" t="n">
        <f aca="false">G215*(1+IF(H$3&lt;=$O$2,$D215,$D215-($D215-$I$211)*MIN(H$3-$O$2,$Q$2)/$Q$2))</f>
        <v>3160.58471679688</v>
      </c>
      <c r="I215" s="15" t="n">
        <f aca="false">H215*(1+IF(I$3&lt;=$O$2,$D215,$D215-($D215-$I$211)*MIN(I$3-$O$2,$Q$2)/$Q$2))</f>
        <v>3358.12126159668</v>
      </c>
      <c r="J215" s="15" t="n">
        <f aca="false">I215*(1+IF(J$3&lt;=$O$2,$D215,$D215-($D215-$I$211)*MIN(J$3-$O$2,$Q$2)/$Q$2))</f>
        <v>3541.67616975555</v>
      </c>
      <c r="K215" s="15" t="n">
        <f aca="false">J215*(1+IF(K$3&lt;=$O$2,$D215,$D215-($D215-$I$211)*MIN(K$3-$O$2,$Q$2)/$Q$2))</f>
        <v>3707.49744802351</v>
      </c>
      <c r="L215" s="15" t="n">
        <f aca="false">K215*(1+IF(L$3&lt;=$O$2,$D215,$D215-($D215-$I$211)*MIN(L$3-$O$2,$Q$2)/$Q$2))</f>
        <v>3852.01569854747</v>
      </c>
      <c r="M215" s="15" t="n">
        <f aca="false">L215*(1+IF(M$3&lt;=$O$2,$D215,$D215-($D215-$I$211)*MIN(M$3-$O$2,$Q$2)/$Q$2))</f>
        <v>3971.96746740023</v>
      </c>
      <c r="N215" s="15" t="n">
        <f aca="false">M215*(1+IF(N$3&lt;=$O$2,$D215,$D215-($D215-$I$211)*MIN(N$3-$O$2,$Q$2)/$Q$2))</f>
        <v>4064.51430939066</v>
      </c>
      <c r="O215" s="15" t="n">
        <f aca="false">SUMPRODUCT(E215:N215,1/(1+$F$211)^$E$3:$N$3)*$E$2</f>
        <v>6775.09031423781</v>
      </c>
      <c r="P215" s="15" t="n">
        <f aca="false">N215*$E$2*(1+$I$211)/($F$211-$I$211)/(1+$F$211)^$N$3</f>
        <v>11264.4851972661</v>
      </c>
      <c r="Q215" s="15" t="n">
        <f aca="false">O215+P215</f>
        <v>18039.5755115039</v>
      </c>
      <c r="R215" s="15" t="n">
        <f aca="false">Q215-$G$2+$I$2</f>
        <v>16764.9055115039</v>
      </c>
      <c r="S215" s="42" t="n">
        <f aca="false">R215/$K$2</f>
        <v>471.321493154453</v>
      </c>
      <c r="T215" s="43" t="n">
        <f aca="false">S215-$M$2</f>
        <v>182.032766699576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-0.125</v>
      </c>
      <c r="C216" s="25" t="n">
        <f aca="false">IF(T215&gt;0,D215,C215)</f>
        <v>0.0625</v>
      </c>
      <c r="D216" s="41" t="n">
        <f aca="false">(B216+C216)/2</f>
        <v>-0.03125</v>
      </c>
      <c r="E216" s="15" t="n">
        <f aca="false">$C$2*(1+IF(E$3&lt;=$O$2,$D216,$D216-($D216-$I$211)*MIN(E$3-$O$2,$Q$2)/$Q$2))</f>
        <v>2402.5</v>
      </c>
      <c r="F216" s="15" t="n">
        <f aca="false">E216*(1+IF(F$3&lt;=$O$2,$D216,$D216-($D216-$I$211)*MIN(F$3-$O$2,$Q$2)/$Q$2))</f>
        <v>2327.421875</v>
      </c>
      <c r="G216" s="15" t="n">
        <f aca="false">F216*(1+IF(G$3&lt;=$O$2,$D216,$D216-($D216-$I$211)*MIN(G$3-$O$2,$Q$2)/$Q$2))</f>
        <v>2254.68994140625</v>
      </c>
      <c r="H216" s="15" t="n">
        <f aca="false">G216*(1+IF(H$3&lt;=$O$2,$D216,$D216-($D216-$I$211)*MIN(H$3-$O$2,$Q$2)/$Q$2))</f>
        <v>2184.2308807373</v>
      </c>
      <c r="I216" s="15" t="n">
        <f aca="false">H216*(1+IF(I$3&lt;=$O$2,$D216,$D216-($D216-$I$211)*MIN(I$3-$O$2,$Q$2)/$Q$2))</f>
        <v>2115.97366571426</v>
      </c>
      <c r="J216" s="15" t="n">
        <f aca="false">I216*(1+IF(J$3&lt;=$O$2,$D216,$D216-($D216-$I$211)*MIN(J$3-$O$2,$Q$2)/$Q$2))</f>
        <v>2072.93476135364</v>
      </c>
      <c r="K216" s="15" t="n">
        <f aca="false">J216*(1+IF(K$3&lt;=$O$2,$D216,$D216-($D216-$I$211)*MIN(K$3-$O$2,$Q$2)/$Q$2))</f>
        <v>2053.38698655407</v>
      </c>
      <c r="L216" s="15" t="n">
        <f aca="false">K216*(1+IF(L$3&lt;=$O$2,$D216,$D216-($D216-$I$211)*MIN(L$3-$O$2,$Q$2)/$Q$2))</f>
        <v>2056.42599929417</v>
      </c>
      <c r="M216" s="15" t="n">
        <f aca="false">L216*(1+IF(M$3&lt;=$O$2,$D216,$D216-($D216-$I$211)*MIN(M$3-$O$2,$Q$2)/$Q$2))</f>
        <v>2081.90511742542</v>
      </c>
      <c r="N216" s="15" t="n">
        <f aca="false">M216*(1+IF(N$3&lt;=$O$2,$D216,$D216-($D216-$I$211)*MIN(N$3-$O$2,$Q$2)/$Q$2))</f>
        <v>2130.41350666144</v>
      </c>
      <c r="O216" s="15" t="n">
        <f aca="false">SUMPRODUCT(E216:N216,1/(1+$F$211)^$E$3:$N$3)*$E$2</f>
        <v>4486.7033635191</v>
      </c>
      <c r="P216" s="15" t="n">
        <f aca="false">N216*$E$2*(1+$I$211)/($F$211-$I$211)/(1+$F$211)^$N$3</f>
        <v>5904.2752917362</v>
      </c>
      <c r="Q216" s="15" t="n">
        <f aca="false">O216+P216</f>
        <v>10390.9786552553</v>
      </c>
      <c r="R216" s="15" t="n">
        <f aca="false">Q216-$G$2+$I$2</f>
        <v>9116.30865525531</v>
      </c>
      <c r="S216" s="42" t="n">
        <f aca="false">R216/$K$2</f>
        <v>256.292062278755</v>
      </c>
      <c r="T216" s="43" t="n">
        <f aca="false">S216-$M$2</f>
        <v>-32.996664176123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-0.03125</v>
      </c>
      <c r="C217" s="25" t="n">
        <f aca="false">IF(T216&gt;0,D216,C216)</f>
        <v>0.0625</v>
      </c>
      <c r="D217" s="41" t="n">
        <f aca="false">(B217+C217)/2</f>
        <v>0.015625</v>
      </c>
      <c r="E217" s="15" t="n">
        <f aca="false">$C$2*(1+IF(E$3&lt;=$O$2,$D217,$D217-($D217-$I$211)*MIN(E$3-$O$2,$Q$2)/$Q$2))</f>
        <v>2518.75</v>
      </c>
      <c r="F217" s="15" t="n">
        <f aca="false">E217*(1+IF(F$3&lt;=$O$2,$D217,$D217-($D217-$I$211)*MIN(F$3-$O$2,$Q$2)/$Q$2))</f>
        <v>2558.10546875</v>
      </c>
      <c r="G217" s="15" t="n">
        <f aca="false">F217*(1+IF(G$3&lt;=$O$2,$D217,$D217-($D217-$I$211)*MIN(G$3-$O$2,$Q$2)/$Q$2))</f>
        <v>2598.07586669922</v>
      </c>
      <c r="H217" s="15" t="n">
        <f aca="false">G217*(1+IF(H$3&lt;=$O$2,$D217,$D217-($D217-$I$211)*MIN(H$3-$O$2,$Q$2)/$Q$2))</f>
        <v>2638.67080211639</v>
      </c>
      <c r="I217" s="15" t="n">
        <f aca="false">H217*(1+IF(I$3&lt;=$O$2,$D217,$D217-($D217-$I$211)*MIN(I$3-$O$2,$Q$2)/$Q$2))</f>
        <v>2679.90003339946</v>
      </c>
      <c r="J217" s="15" t="n">
        <f aca="false">I217*(1+IF(J$3&lt;=$O$2,$D217,$D217-($D217-$I$211)*MIN(J$3-$O$2,$Q$2)/$Q$2))</f>
        <v>2725.8871179726</v>
      </c>
      <c r="K217" s="15" t="n">
        <f aca="false">J217*(1+IF(K$3&lt;=$O$2,$D217,$D217-($D217-$I$211)*MIN(K$3-$O$2,$Q$2)/$Q$2))</f>
        <v>2776.8475776431</v>
      </c>
      <c r="L217" s="15" t="n">
        <f aca="false">K217*(1+IF(L$3&lt;=$O$2,$D217,$D217-($D217-$I$211)*MIN(L$3-$O$2,$Q$2)/$Q$2))</f>
        <v>2833.02320413882</v>
      </c>
      <c r="M217" s="15" t="n">
        <f aca="false">L217*(1+IF(M$3&lt;=$O$2,$D217,$D217-($D217-$I$211)*MIN(M$3-$O$2,$Q$2)/$Q$2))</f>
        <v>2894.6839541769</v>
      </c>
      <c r="N217" s="15" t="n">
        <f aca="false">M217*(1+IF(N$3&lt;=$O$2,$D217,$D217-($D217-$I$211)*MIN(N$3-$O$2,$Q$2)/$Q$2))</f>
        <v>2962.13009030922</v>
      </c>
      <c r="O217" s="15" t="n">
        <f aca="false">SUMPRODUCT(E217:N217,1/(1+$F$211)^$E$3:$N$3)*$E$2</f>
        <v>5511.58066226582</v>
      </c>
      <c r="P217" s="15" t="n">
        <f aca="false">N217*$E$2*(1+$I$211)/($F$211-$I$211)/(1+$F$211)^$N$3</f>
        <v>8209.31309740349</v>
      </c>
      <c r="Q217" s="15" t="n">
        <f aca="false">O217+P217</f>
        <v>13720.8937596693</v>
      </c>
      <c r="R217" s="15" t="n">
        <f aca="false">Q217-$G$2+$I$2</f>
        <v>12446.2237596693</v>
      </c>
      <c r="S217" s="42" t="n">
        <f aca="false">R217/$K$2</f>
        <v>349.907893159104</v>
      </c>
      <c r="T217" s="43" t="n">
        <f aca="false">S217-$M$2</f>
        <v>60.6191667042258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-0.03125</v>
      </c>
      <c r="C218" s="25" t="n">
        <f aca="false">IF(T217&gt;0,D217,C217)</f>
        <v>0.015625</v>
      </c>
      <c r="D218" s="41" t="n">
        <f aca="false">(B218+C218)/2</f>
        <v>-0.0078125</v>
      </c>
      <c r="E218" s="15" t="n">
        <f aca="false">$C$2*(1+IF(E$3&lt;=$O$2,$D218,$D218-($D218-$I$211)*MIN(E$3-$O$2,$Q$2)/$Q$2))</f>
        <v>2460.625</v>
      </c>
      <c r="F218" s="15" t="n">
        <f aca="false">E218*(1+IF(F$3&lt;=$O$2,$D218,$D218-($D218-$I$211)*MIN(F$3-$O$2,$Q$2)/$Q$2))</f>
        <v>2441.4013671875</v>
      </c>
      <c r="G218" s="15" t="n">
        <f aca="false">F218*(1+IF(G$3&lt;=$O$2,$D218,$D218-($D218-$I$211)*MIN(G$3-$O$2,$Q$2)/$Q$2))</f>
        <v>2422.32791900635</v>
      </c>
      <c r="H218" s="15" t="n">
        <f aca="false">G218*(1+IF(H$3&lt;=$O$2,$D218,$D218-($D218-$I$211)*MIN(H$3-$O$2,$Q$2)/$Q$2))</f>
        <v>2403.40348213911</v>
      </c>
      <c r="I218" s="15" t="n">
        <f aca="false">H218*(1+IF(I$3&lt;=$O$2,$D218,$D218-($D218-$I$211)*MIN(I$3-$O$2,$Q$2)/$Q$2))</f>
        <v>2384.6268924349</v>
      </c>
      <c r="J218" s="15" t="n">
        <f aca="false">I218*(1+IF(J$3&lt;=$O$2,$D218,$D218-($D218-$I$211)*MIN(J$3-$O$2,$Q$2)/$Q$2))</f>
        <v>2380.83533567593</v>
      </c>
      <c r="K218" s="15" t="n">
        <f aca="false">J218*(1+IF(K$3&lt;=$O$2,$D218,$D218-($D218-$I$211)*MIN(K$3-$O$2,$Q$2)/$Q$2))</f>
        <v>2391.86455536845</v>
      </c>
      <c r="L218" s="15" t="n">
        <f aca="false">K218*(1+IF(L$3&lt;=$O$2,$D218,$D218-($D218-$I$211)*MIN(L$3-$O$2,$Q$2)/$Q$2))</f>
        <v>2417.82824511697</v>
      </c>
      <c r="M218" s="15" t="n">
        <f aca="false">L218*(1+IF(M$3&lt;=$O$2,$D218,$D218-($D218-$I$211)*MIN(M$3-$O$2,$Q$2)/$Q$2))</f>
        <v>2459.11870697296</v>
      </c>
      <c r="N218" s="15" t="n">
        <f aca="false">M218*(1+IF(N$3&lt;=$O$2,$D218,$D218-($D218-$I$211)*MIN(N$3-$O$2,$Q$2)/$Q$2))</f>
        <v>2516.41617284543</v>
      </c>
      <c r="O218" s="15" t="n">
        <f aca="false">SUMPRODUCT(E218:N218,1/(1+$F$211)^$E$3:$N$3)*$E$2</f>
        <v>4972.18573700949</v>
      </c>
      <c r="P218" s="15" t="n">
        <f aca="false">N218*$E$2*(1+$I$211)/($F$211-$I$211)/(1+$F$211)^$N$3</f>
        <v>6974.05165081775</v>
      </c>
      <c r="Q218" s="15" t="n">
        <f aca="false">O218+P218</f>
        <v>11946.2373878272</v>
      </c>
      <c r="R218" s="15" t="n">
        <f aca="false">Q218-$G$2+$I$2</f>
        <v>10671.5673878272</v>
      </c>
      <c r="S218" s="42" t="n">
        <f aca="false">R218/$K$2</f>
        <v>300.015951302425</v>
      </c>
      <c r="T218" s="43" t="n">
        <f aca="false">S218-$M$2</f>
        <v>10.7272248475468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-0.03125</v>
      </c>
      <c r="C219" s="25" t="n">
        <f aca="false">IF(T218&gt;0,D218,C218)</f>
        <v>-0.0078125</v>
      </c>
      <c r="D219" s="41" t="n">
        <f aca="false">(B219+C219)/2</f>
        <v>-0.01953125</v>
      </c>
      <c r="E219" s="15" t="n">
        <f aca="false">$C$2*(1+IF(E$3&lt;=$O$2,$D219,$D219-($D219-$I$211)*MIN(E$3-$O$2,$Q$2)/$Q$2))</f>
        <v>2431.5625</v>
      </c>
      <c r="F219" s="15" t="n">
        <f aca="false">E219*(1+IF(F$3&lt;=$O$2,$D219,$D219-($D219-$I$211)*MIN(F$3-$O$2,$Q$2)/$Q$2))</f>
        <v>2384.07104492188</v>
      </c>
      <c r="G219" s="15" t="n">
        <f aca="false">F219*(1+IF(G$3&lt;=$O$2,$D219,$D219-($D219-$I$211)*MIN(G$3-$O$2,$Q$2)/$Q$2))</f>
        <v>2337.50715732574</v>
      </c>
      <c r="H219" s="15" t="n">
        <f aca="false">G219*(1+IF(H$3&lt;=$O$2,$D219,$D219-($D219-$I$211)*MIN(H$3-$O$2,$Q$2)/$Q$2))</f>
        <v>2291.85272065923</v>
      </c>
      <c r="I219" s="15" t="n">
        <f aca="false">H219*(1+IF(I$3&lt;=$O$2,$D219,$D219-($D219-$I$211)*MIN(I$3-$O$2,$Q$2)/$Q$2))</f>
        <v>2247.08997220885</v>
      </c>
      <c r="J219" s="15" t="n">
        <f aca="false">I219*(1+IF(J$3&lt;=$O$2,$D219,$D219-($D219-$I$211)*MIN(J$3-$O$2,$Q$2)/$Q$2))</f>
        <v>2222.45063066358</v>
      </c>
      <c r="K219" s="15" t="n">
        <f aca="false">J219*(1+IF(K$3&lt;=$O$2,$D219,$D219-($D219-$I$211)*MIN(K$3-$O$2,$Q$2)/$Q$2))</f>
        <v>2217.11952721328</v>
      </c>
      <c r="L219" s="15" t="n">
        <f aca="false">K219*(1+IF(L$3&lt;=$O$2,$D219,$D219-($D219-$I$211)*MIN(L$3-$O$2,$Q$2)/$Q$2))</f>
        <v>2230.79361189736</v>
      </c>
      <c r="M219" s="15" t="n">
        <f aca="false">L219*(1+IF(M$3&lt;=$O$2,$D219,$D219-($D219-$I$211)*MIN(M$3-$O$2,$Q$2)/$Q$2))</f>
        <v>2263.66156727666</v>
      </c>
      <c r="N219" s="15" t="n">
        <f aca="false">M219*(1+IF(N$3&lt;=$O$2,$D219,$D219-($D219-$I$211)*MIN(N$3-$O$2,$Q$2)/$Q$2))</f>
        <v>2316.4048817942</v>
      </c>
      <c r="O219" s="15" t="n">
        <f aca="false">SUMPRODUCT(E219:N219,1/(1+$F$211)^$E$3:$N$3)*$E$2</f>
        <v>4723.03799297903</v>
      </c>
      <c r="P219" s="15" t="n">
        <f aca="false">N219*$E$2*(1+$I$211)/($F$211-$I$211)/(1+$F$211)^$N$3</f>
        <v>6419.7359181539</v>
      </c>
      <c r="Q219" s="15" t="n">
        <f aca="false">O219+P219</f>
        <v>11142.7739111329</v>
      </c>
      <c r="R219" s="15" t="n">
        <f aca="false">Q219-$G$2+$I$2</f>
        <v>9868.10391113294</v>
      </c>
      <c r="S219" s="42" t="n">
        <f aca="false">R219/$K$2</f>
        <v>277.427717490383</v>
      </c>
      <c r="T219" s="43" t="n">
        <f aca="false">S219-$M$2</f>
        <v>-11.8610089644944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-0.01953125</v>
      </c>
      <c r="C220" s="25" t="n">
        <f aca="false">IF(T219&gt;0,D219,C219)</f>
        <v>-0.0078125</v>
      </c>
      <c r="D220" s="41" t="n">
        <f aca="false">(B220+C220)/2</f>
        <v>-0.013671875</v>
      </c>
      <c r="E220" s="15" t="n">
        <f aca="false">$C$2*(1+IF(E$3&lt;=$O$2,$D220,$D220-($D220-$I$211)*MIN(E$3-$O$2,$Q$2)/$Q$2))</f>
        <v>2446.09375</v>
      </c>
      <c r="F220" s="15" t="n">
        <f aca="false">E220*(1+IF(F$3&lt;=$O$2,$D220,$D220-($D220-$I$211)*MIN(F$3-$O$2,$Q$2)/$Q$2))</f>
        <v>2412.65106201172</v>
      </c>
      <c r="G220" s="15" t="n">
        <f aca="false">F220*(1+IF(G$3&lt;=$O$2,$D220,$D220-($D220-$I$211)*MIN(G$3-$O$2,$Q$2)/$Q$2))</f>
        <v>2379.66559827328</v>
      </c>
      <c r="H220" s="15" t="n">
        <f aca="false">G220*(1+IF(H$3&lt;=$O$2,$D220,$D220-($D220-$I$211)*MIN(H$3-$O$2,$Q$2)/$Q$2))</f>
        <v>2347.13110767189</v>
      </c>
      <c r="I220" s="15" t="n">
        <f aca="false">H220*(1+IF(I$3&lt;=$O$2,$D220,$D220-($D220-$I$211)*MIN(I$3-$O$2,$Q$2)/$Q$2))</f>
        <v>2315.04142455918</v>
      </c>
      <c r="J220" s="15" t="n">
        <f aca="false">I220*(1+IF(J$3&lt;=$O$2,$D220,$D220-($D220-$I$211)*MIN(J$3-$O$2,$Q$2)/$Q$2))</f>
        <v>2300.50875201651</v>
      </c>
      <c r="K220" s="15" t="n">
        <f aca="false">J220*(1+IF(K$3&lt;=$O$2,$D220,$D220-($D220-$I$211)*MIN(K$3-$O$2,$Q$2)/$Q$2))</f>
        <v>2303.07813272892</v>
      </c>
      <c r="L220" s="15" t="n">
        <f aca="false">K220*(1+IF(L$3&lt;=$O$2,$D220,$D220-($D220-$I$211)*MIN(L$3-$O$2,$Q$2)/$Q$2))</f>
        <v>2322.68020648611</v>
      </c>
      <c r="M220" s="15" t="n">
        <f aca="false">L220*(1+IF(M$3&lt;=$O$2,$D220,$D220-($D220-$I$211)*MIN(M$3-$O$2,$Q$2)/$Q$2))</f>
        <v>2359.6238868454</v>
      </c>
      <c r="N220" s="15" t="n">
        <f aca="false">M220*(1+IF(N$3&lt;=$O$2,$D220,$D220-($D220-$I$211)*MIN(N$3-$O$2,$Q$2)/$Q$2))</f>
        <v>2414.6031234089</v>
      </c>
      <c r="O220" s="15" t="n">
        <f aca="false">SUMPRODUCT(E220:N220,1/(1+$F$211)^$E$3:$N$3)*$E$2</f>
        <v>4845.96979381702</v>
      </c>
      <c r="P220" s="15" t="n">
        <f aca="false">N220*$E$2*(1+$I$211)/($F$211-$I$211)/(1+$F$211)^$N$3</f>
        <v>6691.88470515919</v>
      </c>
      <c r="Q220" s="15" t="n">
        <f aca="false">O220+P220</f>
        <v>11537.8544989762</v>
      </c>
      <c r="R220" s="15" t="n">
        <f aca="false">Q220-$G$2+$I$2</f>
        <v>10263.1844989762</v>
      </c>
      <c r="S220" s="42" t="n">
        <f aca="false">R220/$K$2</f>
        <v>288.534846752213</v>
      </c>
      <c r="T220" s="43" t="n">
        <f aca="false">S220-$M$2</f>
        <v>-0.75387970266479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-0.013671875</v>
      </c>
      <c r="C221" s="25" t="n">
        <f aca="false">IF(T220&gt;0,D220,C220)</f>
        <v>-0.0078125</v>
      </c>
      <c r="D221" s="41" t="n">
        <f aca="false">(B221+C221)/2</f>
        <v>-0.0107421875</v>
      </c>
      <c r="E221" s="15" t="n">
        <f aca="false">$C$2*(1+IF(E$3&lt;=$O$2,$D221,$D221-($D221-$I$211)*MIN(E$3-$O$2,$Q$2)/$Q$2))</f>
        <v>2453.359375</v>
      </c>
      <c r="F221" s="15" t="n">
        <f aca="false">E221*(1+IF(F$3&lt;=$O$2,$D221,$D221-($D221-$I$211)*MIN(F$3-$O$2,$Q$2)/$Q$2))</f>
        <v>2427.00492858887</v>
      </c>
      <c r="G221" s="15" t="n">
        <f aca="false">F221*(1+IF(G$3&lt;=$O$2,$D221,$D221-($D221-$I$211)*MIN(G$3-$O$2,$Q$2)/$Q$2))</f>
        <v>2400.93358658254</v>
      </c>
      <c r="H221" s="15" t="n">
        <f aca="false">G221*(1+IF(H$3&lt;=$O$2,$D221,$D221-($D221-$I$211)*MIN(H$3-$O$2,$Q$2)/$Q$2))</f>
        <v>2375.14230782042</v>
      </c>
      <c r="I221" s="15" t="n">
        <f aca="false">H221*(1+IF(I$3&lt;=$O$2,$D221,$D221-($D221-$I$211)*MIN(I$3-$O$2,$Q$2)/$Q$2))</f>
        <v>2349.62808381063</v>
      </c>
      <c r="J221" s="15" t="n">
        <f aca="false">I221*(1+IF(J$3&lt;=$O$2,$D221,$D221-($D221-$I$211)*MIN(J$3-$O$2,$Q$2)/$Q$2))</f>
        <v>2340.38523433594</v>
      </c>
      <c r="K221" s="15" t="n">
        <f aca="false">J221*(1+IF(K$3&lt;=$O$2,$D221,$D221-($D221-$I$211)*MIN(K$3-$O$2,$Q$2)/$Q$2))</f>
        <v>2347.11311051428</v>
      </c>
      <c r="L221" s="15" t="n">
        <f aca="false">K221*(1+IF(L$3&lt;=$O$2,$D221,$D221-($D221-$I$211)*MIN(L$3-$O$2,$Q$2)/$Q$2))</f>
        <v>2369.84050015252</v>
      </c>
      <c r="M221" s="15" t="n">
        <f aca="false">L221*(1+IF(M$3&lt;=$O$2,$D221,$D221-($D221-$I$211)*MIN(M$3-$O$2,$Q$2)/$Q$2))</f>
        <v>2408.92287287582</v>
      </c>
      <c r="N221" s="15" t="n">
        <f aca="false">M221*(1+IF(N$3&lt;=$O$2,$D221,$D221-($D221-$I$211)*MIN(N$3-$O$2,$Q$2)/$Q$2))</f>
        <v>2465.05077581383</v>
      </c>
      <c r="O221" s="15" t="n">
        <f aca="false">SUMPRODUCT(E221:N221,1/(1+$F$211)^$E$3:$N$3)*$E$2</f>
        <v>4908.6620961865</v>
      </c>
      <c r="P221" s="15" t="n">
        <f aca="false">N221*$E$2*(1+$I$211)/($F$211-$I$211)/(1+$F$211)^$N$3</f>
        <v>6831.69644907142</v>
      </c>
      <c r="Q221" s="15" t="n">
        <f aca="false">O221+P221</f>
        <v>11740.3585452579</v>
      </c>
      <c r="R221" s="15" t="n">
        <f aca="false">Q221-$G$2+$I$2</f>
        <v>10465.6885452579</v>
      </c>
      <c r="S221" s="42" t="n">
        <f aca="false">R221/$K$2</f>
        <v>294.227960226537</v>
      </c>
      <c r="T221" s="43" t="n">
        <f aca="false">S221-$M$2</f>
        <v>4.93923377165936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-0.013671875</v>
      </c>
      <c r="C222" s="25" t="n">
        <f aca="false">IF(T221&gt;0,D221,C221)</f>
        <v>-0.0107421875</v>
      </c>
      <c r="D222" s="41" t="n">
        <f aca="false">(B222+C222)/2</f>
        <v>-0.01220703125</v>
      </c>
      <c r="E222" s="15" t="n">
        <f aca="false">$C$2*(1+IF(E$3&lt;=$O$2,$D222,$D222-($D222-$I$211)*MIN(E$3-$O$2,$Q$2)/$Q$2))</f>
        <v>2449.7265625</v>
      </c>
      <c r="F222" s="15" t="n">
        <f aca="false">E222*(1+IF(F$3&lt;=$O$2,$D222,$D222-($D222-$I$211)*MIN(F$3-$O$2,$Q$2)/$Q$2))</f>
        <v>2419.82267379761</v>
      </c>
      <c r="G222" s="15" t="n">
        <f aca="false">F222*(1+IF(G$3&lt;=$O$2,$D222,$D222-($D222-$I$211)*MIN(G$3-$O$2,$Q$2)/$Q$2))</f>
        <v>2390.2838227991</v>
      </c>
      <c r="H222" s="15" t="n">
        <f aca="false">G222*(1+IF(H$3&lt;=$O$2,$D222,$D222-($D222-$I$211)*MIN(H$3-$O$2,$Q$2)/$Q$2))</f>
        <v>2361.10555347782</v>
      </c>
      <c r="I222" s="15" t="n">
        <f aca="false">H222*(1+IF(I$3&lt;=$O$2,$D222,$D222-($D222-$I$211)*MIN(I$3-$O$2,$Q$2)/$Q$2))</f>
        <v>2332.28346420197</v>
      </c>
      <c r="J222" s="15" t="n">
        <f aca="false">I222*(1+IF(J$3&lt;=$O$2,$D222,$D222-($D222-$I$211)*MIN(J$3-$O$2,$Q$2)/$Q$2))</f>
        <v>2320.37569944006</v>
      </c>
      <c r="K222" s="15" t="n">
        <f aca="false">J222*(1+IF(K$3&lt;=$O$2,$D222,$D222-($D222-$I$211)*MIN(K$3-$O$2,$Q$2)/$Q$2))</f>
        <v>2325.00666175395</v>
      </c>
      <c r="L222" s="15" t="n">
        <f aca="false">K222*(1+IF(L$3&lt;=$O$2,$D222,$D222-($D222-$I$211)*MIN(L$3-$O$2,$Q$2)/$Q$2))</f>
        <v>2346.15768329468</v>
      </c>
      <c r="M222" s="15" t="n">
        <f aca="false">L222*(1+IF(M$3&lt;=$O$2,$D222,$D222-($D222-$I$211)*MIN(M$3-$O$2,$Q$2)/$Q$2))</f>
        <v>2384.16213847981</v>
      </c>
      <c r="N222" s="15" t="n">
        <f aca="false">M222*(1+IF(N$3&lt;=$O$2,$D222,$D222-($D222-$I$211)*MIN(N$3-$O$2,$Q$2)/$Q$2))</f>
        <v>2439.71311630639</v>
      </c>
      <c r="O222" s="15" t="n">
        <f aca="false">SUMPRODUCT(E222:N222,1/(1+$F$211)^$E$3:$N$3)*$E$2</f>
        <v>4877.21267602589</v>
      </c>
      <c r="P222" s="15" t="n">
        <f aca="false">N222*$E$2*(1+$I$211)/($F$211-$I$211)/(1+$F$211)^$N$3</f>
        <v>6761.47509696658</v>
      </c>
      <c r="Q222" s="15" t="n">
        <f aca="false">O222+P222</f>
        <v>11638.6877729925</v>
      </c>
      <c r="R222" s="15" t="n">
        <f aca="false">Q222-$G$2+$I$2</f>
        <v>10364.0177729925</v>
      </c>
      <c r="S222" s="42" t="n">
        <f aca="false">R222/$K$2</f>
        <v>291.369630952839</v>
      </c>
      <c r="T222" s="43" t="n">
        <f aca="false">S222-$M$2</f>
        <v>2.08090449796083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-0.013671875</v>
      </c>
      <c r="C223" s="25" t="n">
        <f aca="false">IF(T222&gt;0,D222,C222)</f>
        <v>-0.01220703125</v>
      </c>
      <c r="D223" s="41" t="n">
        <f aca="false">(B223+C223)/2</f>
        <v>-0.012939453125</v>
      </c>
      <c r="E223" s="15" t="n">
        <f aca="false">$C$2*(1+IF(E$3&lt;=$O$2,$D223,$D223-($D223-$I$211)*MIN(E$3-$O$2,$Q$2)/$Q$2))</f>
        <v>2447.91015625</v>
      </c>
      <c r="F223" s="15" t="n">
        <f aca="false">E223*(1+IF(F$3&lt;=$O$2,$D223,$D223-($D223-$I$211)*MIN(F$3-$O$2,$Q$2)/$Q$2))</f>
        <v>2416.23553752899</v>
      </c>
      <c r="G223" s="15" t="n">
        <f aca="false">F223*(1+IF(G$3&lt;=$O$2,$D223,$D223-($D223-$I$211)*MIN(G$3-$O$2,$Q$2)/$Q$2))</f>
        <v>2384.97077105218</v>
      </c>
      <c r="H223" s="15" t="n">
        <f aca="false">G223*(1+IF(H$3&lt;=$O$2,$D223,$D223-($D223-$I$211)*MIN(H$3-$O$2,$Q$2)/$Q$2))</f>
        <v>2354.11055355565</v>
      </c>
      <c r="I223" s="15" t="n">
        <f aca="false">H223*(1+IF(I$3&lt;=$O$2,$D223,$D223-($D223-$I$211)*MIN(I$3-$O$2,$Q$2)/$Q$2))</f>
        <v>2323.64965039685</v>
      </c>
      <c r="J223" s="15" t="n">
        <f aca="false">I223*(1+IF(J$3&lt;=$O$2,$D223,$D223-($D223-$I$211)*MIN(J$3-$O$2,$Q$2)/$Q$2))</f>
        <v>2310.42445318351</v>
      </c>
      <c r="K223" s="15" t="n">
        <f aca="false">J223*(1+IF(K$3&lt;=$O$2,$D223,$D223-($D223-$I$211)*MIN(K$3-$O$2,$Q$2)/$Q$2))</f>
        <v>2314.02023174069</v>
      </c>
      <c r="L223" s="15" t="n">
        <f aca="false">K223*(1+IF(L$3&lt;=$O$2,$D223,$D223-($D223-$I$211)*MIN(L$3-$O$2,$Q$2)/$Q$2))</f>
        <v>2334.39337205286</v>
      </c>
      <c r="M223" s="15" t="n">
        <f aca="false">L223*(1+IF(M$3&lt;=$O$2,$D223,$D223-($D223-$I$211)*MIN(M$3-$O$2,$Q$2)/$Q$2))</f>
        <v>2371.86530978533</v>
      </c>
      <c r="N223" s="15" t="n">
        <f aca="false">M223*(1+IF(N$3&lt;=$O$2,$D223,$D223-($D223-$I$211)*MIN(N$3-$O$2,$Q$2)/$Q$2))</f>
        <v>2427.12977150333</v>
      </c>
      <c r="O223" s="15" t="n">
        <f aca="false">SUMPRODUCT(E223:N223,1/(1+$F$211)^$E$3:$N$3)*$E$2</f>
        <v>4861.56549833212</v>
      </c>
      <c r="P223" s="15" t="n">
        <f aca="false">N223*$E$2*(1+$I$211)/($F$211-$I$211)/(1+$F$211)^$N$3</f>
        <v>6726.60133580434</v>
      </c>
      <c r="Q223" s="15" t="n">
        <f aca="false">O223+P223</f>
        <v>11588.1668341365</v>
      </c>
      <c r="R223" s="15" t="n">
        <f aca="false">Q223-$G$2+$I$2</f>
        <v>10313.4968341365</v>
      </c>
      <c r="S223" s="42" t="n">
        <f aca="false">R223/$K$2</f>
        <v>289.9493065543</v>
      </c>
      <c r="T223" s="43" t="n">
        <f aca="false">S223-$M$2</f>
        <v>0.660580099422589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-0.013671875</v>
      </c>
      <c r="C224" s="25" t="n">
        <f aca="false">IF(T223&gt;0,D223,C223)</f>
        <v>-0.012939453125</v>
      </c>
      <c r="D224" s="41" t="n">
        <f aca="false">(B224+C224)/2</f>
        <v>-0.0133056640625</v>
      </c>
      <c r="E224" s="15" t="n">
        <f aca="false">$C$2*(1+IF(E$3&lt;=$O$2,$D224,$D224-($D224-$I$211)*MIN(E$3-$O$2,$Q$2)/$Q$2))</f>
        <v>2447.001953125</v>
      </c>
      <c r="F224" s="15" t="n">
        <f aca="false">E224*(1+IF(F$3&lt;=$O$2,$D224,$D224-($D224-$I$211)*MIN(F$3-$O$2,$Q$2)/$Q$2))</f>
        <v>2414.44296717644</v>
      </c>
      <c r="G224" s="15" t="n">
        <f aca="false">F224*(1+IF(G$3&lt;=$O$2,$D224,$D224-($D224-$I$211)*MIN(G$3-$O$2,$Q$2)/$Q$2))</f>
        <v>2382.31720015712</v>
      </c>
      <c r="H224" s="15" t="n">
        <f aca="false">G224*(1+IF(H$3&lt;=$O$2,$D224,$D224-($D224-$I$211)*MIN(H$3-$O$2,$Q$2)/$Q$2))</f>
        <v>2350.61888780152</v>
      </c>
      <c r="I224" s="15" t="n">
        <f aca="false">H224*(1+IF(I$3&lt;=$O$2,$D224,$D224-($D224-$I$211)*MIN(I$3-$O$2,$Q$2)/$Q$2))</f>
        <v>2319.34234254146</v>
      </c>
      <c r="J224" s="15" t="n">
        <f aca="false">I224*(1+IF(J$3&lt;=$O$2,$D224,$D224-($D224-$I$211)*MIN(J$3-$O$2,$Q$2)/$Q$2))</f>
        <v>2305.46216581307</v>
      </c>
      <c r="K224" s="15" t="n">
        <f aca="false">J224*(1+IF(K$3&lt;=$O$2,$D224,$D224-($D224-$I$211)*MIN(K$3-$O$2,$Q$2)/$Q$2))</f>
        <v>2308.54365014618</v>
      </c>
      <c r="L224" s="15" t="n">
        <f aca="false">K224*(1+IF(L$3&lt;=$O$2,$D224,$D224-($D224-$I$211)*MIN(L$3-$O$2,$Q$2)/$Q$2))</f>
        <v>2328.53040786224</v>
      </c>
      <c r="M224" s="15" t="n">
        <f aca="false">L224*(1+IF(M$3&lt;=$O$2,$D224,$D224-($D224-$I$211)*MIN(M$3-$O$2,$Q$2)/$Q$2))</f>
        <v>2365.73768599153</v>
      </c>
      <c r="N224" s="15" t="n">
        <f aca="false">M224*(1+IF(N$3&lt;=$O$2,$D224,$D224-($D224-$I$211)*MIN(N$3-$O$2,$Q$2)/$Q$2))</f>
        <v>2420.85937407513</v>
      </c>
      <c r="O224" s="15" t="n">
        <f aca="false">SUMPRODUCT(E224:N224,1/(1+$F$211)^$E$3:$N$3)*$E$2</f>
        <v>4853.76122198498</v>
      </c>
      <c r="P224" s="15" t="n">
        <f aca="false">N224*$E$2*(1+$I$211)/($F$211-$I$211)/(1+$F$211)^$N$3</f>
        <v>6709.22341715667</v>
      </c>
      <c r="Q224" s="15" t="n">
        <f aca="false">O224+P224</f>
        <v>11562.9846391417</v>
      </c>
      <c r="R224" s="15" t="n">
        <f aca="false">Q224-$G$2+$I$2</f>
        <v>10288.3146391417</v>
      </c>
      <c r="S224" s="42" t="n">
        <f aca="false">R224/$K$2</f>
        <v>289.241344929481</v>
      </c>
      <c r="T224" s="43" t="n">
        <f aca="false">S224-$M$2</f>
        <v>-0.0473815253963608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-0.0133056640625</v>
      </c>
      <c r="C225" s="25" t="n">
        <f aca="false">IF(T224&gt;0,D224,C224)</f>
        <v>-0.012939453125</v>
      </c>
      <c r="D225" s="41" t="n">
        <f aca="false">(B225+C225)/2</f>
        <v>-0.01312255859375</v>
      </c>
      <c r="E225" s="15" t="n">
        <f aca="false">$C$2*(1+IF(E$3&lt;=$O$2,$D225,$D225-($D225-$I$211)*MIN(E$3-$O$2,$Q$2)/$Q$2))</f>
        <v>2447.4560546875</v>
      </c>
      <c r="F225" s="15" t="n">
        <f aca="false">E225*(1+IF(F$3&lt;=$O$2,$D225,$D225-($D225-$I$211)*MIN(F$3-$O$2,$Q$2)/$Q$2))</f>
        <v>2415.33916920424</v>
      </c>
      <c r="G225" s="15" t="n">
        <f aca="false">F225*(1+IF(G$3&lt;=$O$2,$D225,$D225-($D225-$I$211)*MIN(G$3-$O$2,$Q$2)/$Q$2))</f>
        <v>2383.64373943257</v>
      </c>
      <c r="H225" s="15" t="n">
        <f aca="false">G225*(1+IF(H$3&lt;=$O$2,$D225,$D225-($D225-$I$211)*MIN(H$3-$O$2,$Q$2)/$Q$2))</f>
        <v>2352.36423479524</v>
      </c>
      <c r="I225" s="15" t="n">
        <f aca="false">H225*(1+IF(I$3&lt;=$O$2,$D225,$D225-($D225-$I$211)*MIN(I$3-$O$2,$Q$2)/$Q$2))</f>
        <v>2321.4951972903</v>
      </c>
      <c r="J225" s="15" t="n">
        <f aca="false">I225*(1+IF(J$3&lt;=$O$2,$D225,$D225-($D225-$I$211)*MIN(J$3-$O$2,$Q$2)/$Q$2))</f>
        <v>2307.94219950843</v>
      </c>
      <c r="K225" s="15" t="n">
        <f aca="false">J225*(1+IF(K$3&lt;=$O$2,$D225,$D225-($D225-$I$211)*MIN(K$3-$O$2,$Q$2)/$Q$2))</f>
        <v>2311.28055676143</v>
      </c>
      <c r="L225" s="15" t="n">
        <f aca="false">K225*(1+IF(L$3&lt;=$O$2,$D225,$D225-($D225-$I$211)*MIN(L$3-$O$2,$Q$2)/$Q$2))</f>
        <v>2331.46029313188</v>
      </c>
      <c r="M225" s="15" t="n">
        <f aca="false">L225*(1+IF(M$3&lt;=$O$2,$D225,$D225-($D225-$I$211)*MIN(M$3-$O$2,$Q$2)/$Q$2))</f>
        <v>2368.79976813473</v>
      </c>
      <c r="N225" s="15" t="n">
        <f aca="false">M225*(1+IF(N$3&lt;=$O$2,$D225,$D225-($D225-$I$211)*MIN(N$3-$O$2,$Q$2)/$Q$2))</f>
        <v>2423.99280273227</v>
      </c>
      <c r="O225" s="15" t="n">
        <f aca="false">SUMPRODUCT(E225:N225,1/(1+$F$211)^$E$3:$N$3)*$E$2</f>
        <v>4857.66175288001</v>
      </c>
      <c r="P225" s="15" t="n">
        <f aca="false">N225*$E$2*(1+$I$211)/($F$211-$I$211)/(1+$F$211)^$N$3</f>
        <v>6717.90747090534</v>
      </c>
      <c r="Q225" s="15" t="n">
        <f aca="false">O225+P225</f>
        <v>11575.5692237854</v>
      </c>
      <c r="R225" s="15" t="n">
        <f aca="false">Q225-$G$2+$I$2</f>
        <v>10300.8992237854</v>
      </c>
      <c r="S225" s="42" t="n">
        <f aca="false">R225/$K$2</f>
        <v>289.595142642265</v>
      </c>
      <c r="T225" s="43" t="n">
        <f aca="false">S225-$M$2</f>
        <v>0.306416187386901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-0.0133056640625</v>
      </c>
      <c r="C226" s="25" t="n">
        <f aca="false">IF(T225&gt;0,D225,C225)</f>
        <v>-0.01312255859375</v>
      </c>
      <c r="D226" s="41" t="n">
        <f aca="false">(B226+C226)/2</f>
        <v>-0.013214111328125</v>
      </c>
      <c r="E226" s="15" t="n">
        <f aca="false">$C$2*(1+IF(E$3&lt;=$O$2,$D226,$D226-($D226-$I$211)*MIN(E$3-$O$2,$Q$2)/$Q$2))</f>
        <v>2447.22900390625</v>
      </c>
      <c r="F226" s="15" t="n">
        <f aca="false">E226*(1+IF(F$3&lt;=$O$2,$D226,$D226-($D226-$I$211)*MIN(F$3-$O$2,$Q$2)/$Q$2))</f>
        <v>2414.89104740322</v>
      </c>
      <c r="G226" s="15" t="n">
        <f aca="false">F226*(1+IF(G$3&lt;=$O$2,$D226,$D226-($D226-$I$211)*MIN(G$3-$O$2,$Q$2)/$Q$2))</f>
        <v>2382.98040825754</v>
      </c>
      <c r="H226" s="15" t="n">
        <f aca="false">G226*(1+IF(H$3&lt;=$O$2,$D226,$D226-($D226-$I$211)*MIN(H$3-$O$2,$Q$2)/$Q$2))</f>
        <v>2351.49143985008</v>
      </c>
      <c r="I226" s="15" t="n">
        <f aca="false">H226*(1+IF(I$3&lt;=$O$2,$D226,$D226-($D226-$I$211)*MIN(I$3-$O$2,$Q$2)/$Q$2))</f>
        <v>2320.41857017677</v>
      </c>
      <c r="J226" s="15" t="n">
        <f aca="false">I226*(1+IF(J$3&lt;=$O$2,$D226,$D226-($D226-$I$211)*MIN(J$3-$O$2,$Q$2)/$Q$2))</f>
        <v>2306.70190526246</v>
      </c>
      <c r="K226" s="15" t="n">
        <f aca="false">J226*(1+IF(K$3&lt;=$O$2,$D226,$D226-($D226-$I$211)*MIN(K$3-$O$2,$Q$2)/$Q$2))</f>
        <v>2309.91175755335</v>
      </c>
      <c r="L226" s="15" t="n">
        <f aca="false">K226*(1+IF(L$3&lt;=$O$2,$D226,$D226-($D226-$I$211)*MIN(L$3-$O$2,$Q$2)/$Q$2))</f>
        <v>2329.99495147496</v>
      </c>
      <c r="M226" s="15" t="n">
        <f aca="false">L226*(1+IF(M$3&lt;=$O$2,$D226,$D226-($D226-$I$211)*MIN(M$3-$O$2,$Q$2)/$Q$2))</f>
        <v>2367.2682948339</v>
      </c>
      <c r="N226" s="15" t="n">
        <f aca="false">M226*(1+IF(N$3&lt;=$O$2,$D226,$D226-($D226-$I$211)*MIN(N$3-$O$2,$Q$2)/$Q$2))</f>
        <v>2422.42564610353</v>
      </c>
      <c r="O226" s="15" t="n">
        <f aca="false">SUMPRODUCT(E226:N226,1/(1+$F$211)^$E$3:$N$3)*$E$2</f>
        <v>4855.71108576994</v>
      </c>
      <c r="P226" s="15" t="n">
        <f aca="false">N226*$E$2*(1+$I$211)/($F$211-$I$211)/(1+$F$211)^$N$3</f>
        <v>6713.5642182305</v>
      </c>
      <c r="Q226" s="15" t="n">
        <f aca="false">O226+P226</f>
        <v>11569.2753040004</v>
      </c>
      <c r="R226" s="15" t="n">
        <f aca="false">Q226-$G$2+$I$2</f>
        <v>10294.6053040004</v>
      </c>
      <c r="S226" s="42" t="n">
        <f aca="false">R226/$K$2</f>
        <v>289.418198032062</v>
      </c>
      <c r="T226" s="43" t="n">
        <f aca="false">S226-$M$2</f>
        <v>0.129471577184233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-0.0133056640625</v>
      </c>
      <c r="C227" s="25" t="n">
        <f aca="false">IF(T226&gt;0,D226,C226)</f>
        <v>-0.013214111328125</v>
      </c>
      <c r="D227" s="41" t="n">
        <f aca="false">(B227+C227)/2</f>
        <v>-0.0132598876953125</v>
      </c>
      <c r="E227" s="15" t="n">
        <f aca="false">$C$2*(1+IF(E$3&lt;=$O$2,$D227,$D227-($D227-$I$211)*MIN(E$3-$O$2,$Q$2)/$Q$2))</f>
        <v>2447.11547851563</v>
      </c>
      <c r="F227" s="15" t="n">
        <f aca="false">E227*(1+IF(F$3&lt;=$O$2,$D227,$D227-($D227-$I$211)*MIN(F$3-$O$2,$Q$2)/$Q$2))</f>
        <v>2414.66700209305</v>
      </c>
      <c r="G227" s="15" t="n">
        <f aca="false">F227*(1+IF(G$3&lt;=$O$2,$D227,$D227-($D227-$I$211)*MIN(G$3-$O$2,$Q$2)/$Q$2))</f>
        <v>2382.64878882372</v>
      </c>
      <c r="H227" s="15" t="n">
        <f aca="false">G227*(1+IF(H$3&lt;=$O$2,$D227,$D227-($D227-$I$211)*MIN(H$3-$O$2,$Q$2)/$Q$2))</f>
        <v>2351.05513346654</v>
      </c>
      <c r="I227" s="15" t="n">
        <f aca="false">H227*(1+IF(I$3&lt;=$O$2,$D227,$D227-($D227-$I$211)*MIN(I$3-$O$2,$Q$2)/$Q$2))</f>
        <v>2319.88040643129</v>
      </c>
      <c r="J227" s="15" t="n">
        <f aca="false">I227*(1+IF(J$3&lt;=$O$2,$D227,$D227-($D227-$I$211)*MIN(J$3-$O$2,$Q$2)/$Q$2))</f>
        <v>2306.08196620059</v>
      </c>
      <c r="K227" s="15" t="n">
        <f aca="false">J227*(1+IF(K$3&lt;=$O$2,$D227,$D227-($D227-$I$211)*MIN(K$3-$O$2,$Q$2)/$Q$2))</f>
        <v>2309.22761739278</v>
      </c>
      <c r="L227" s="15" t="n">
        <f aca="false">K227*(1+IF(L$3&lt;=$O$2,$D227,$D227-($D227-$I$211)*MIN(L$3-$O$2,$Q$2)/$Q$2))</f>
        <v>2329.26257993611</v>
      </c>
      <c r="M227" s="15" t="n">
        <f aca="false">L227*(1+IF(M$3&lt;=$O$2,$D227,$D227-($D227-$I$211)*MIN(M$3-$O$2,$Q$2)/$Q$2))</f>
        <v>2366.50288238155</v>
      </c>
      <c r="N227" s="15" t="n">
        <f aca="false">M227*(1+IF(N$3&lt;=$O$2,$D227,$D227-($D227-$I$211)*MIN(N$3-$O$2,$Q$2)/$Q$2))</f>
        <v>2421.64239954104</v>
      </c>
      <c r="O227" s="15" t="n">
        <f aca="false">SUMPRODUCT(E227:N227,1/(1+$F$211)^$E$3:$N$3)*$E$2</f>
        <v>4854.73605348145</v>
      </c>
      <c r="P227" s="15" t="n">
        <f aca="false">N227*$E$2*(1+$I$211)/($F$211-$I$211)/(1+$F$211)^$N$3</f>
        <v>6711.39351131759</v>
      </c>
      <c r="Q227" s="15" t="n">
        <f aca="false">O227+P227</f>
        <v>11566.129564799</v>
      </c>
      <c r="R227" s="15" t="n">
        <f aca="false">Q227-$G$2+$I$2</f>
        <v>10291.459564799</v>
      </c>
      <c r="S227" s="42" t="n">
        <f aca="false">R227/$K$2</f>
        <v>289.329760044955</v>
      </c>
      <c r="T227" s="43" t="n">
        <f aca="false">S227-$M$2</f>
        <v>0.0410335900772907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-0.0133056640625</v>
      </c>
      <c r="C228" s="25" t="n">
        <f aca="false">IF(T227&gt;0,D227,C227)</f>
        <v>-0.0132598876953125</v>
      </c>
      <c r="D228" s="41" t="n">
        <f aca="false">(B228+C228)/2</f>
        <v>-0.0132827758789063</v>
      </c>
      <c r="E228" s="15" t="n">
        <f aca="false">$C$2*(1+IF(E$3&lt;=$O$2,$D228,$D228-($D228-$I$211)*MIN(E$3-$O$2,$Q$2)/$Q$2))</f>
        <v>2447.05871582031</v>
      </c>
      <c r="F228" s="15" t="n">
        <f aca="false">E228*(1+IF(F$3&lt;=$O$2,$D228,$D228-($D228-$I$211)*MIN(F$3-$O$2,$Q$2)/$Q$2))</f>
        <v>2414.55498333555</v>
      </c>
      <c r="G228" s="15" t="n">
        <f aca="false">F228*(1+IF(G$3&lt;=$O$2,$D228,$D228-($D228-$I$211)*MIN(G$3-$O$2,$Q$2)/$Q$2))</f>
        <v>2382.48299064461</v>
      </c>
      <c r="H228" s="15" t="n">
        <f aca="false">G228*(1+IF(H$3&lt;=$O$2,$D228,$D228-($D228-$I$211)*MIN(H$3-$O$2,$Q$2)/$Q$2))</f>
        <v>2350.83700304457</v>
      </c>
      <c r="I228" s="15" t="n">
        <f aca="false">H228*(1+IF(I$3&lt;=$O$2,$D228,$D228-($D228-$I$211)*MIN(I$3-$O$2,$Q$2)/$Q$2))</f>
        <v>2319.61136200529</v>
      </c>
      <c r="J228" s="15" t="n">
        <f aca="false">I228*(1+IF(J$3&lt;=$O$2,$D228,$D228-($D228-$I$211)*MIN(J$3-$O$2,$Q$2)/$Q$2))</f>
        <v>2305.77204867409</v>
      </c>
      <c r="K228" s="15" t="n">
        <f aca="false">J228*(1+IF(K$3&lt;=$O$2,$D228,$D228-($D228-$I$211)*MIN(K$3-$O$2,$Q$2)/$Q$2))</f>
        <v>2308.8856121575</v>
      </c>
      <c r="L228" s="15" t="n">
        <f aca="false">K228*(1+IF(L$3&lt;=$O$2,$D228,$D228-($D228-$I$211)*MIN(L$3-$O$2,$Q$2)/$Q$2))</f>
        <v>2328.89646896893</v>
      </c>
      <c r="M228" s="15" t="n">
        <f aca="false">L228*(1+IF(M$3&lt;=$O$2,$D228,$D228-($D228-$I$211)*MIN(M$3-$O$2,$Q$2)/$Q$2))</f>
        <v>2366.12025718201</v>
      </c>
      <c r="N228" s="15" t="n">
        <f aca="false">M228*(1+IF(N$3&lt;=$O$2,$D228,$D228-($D228-$I$211)*MIN(N$3-$O$2,$Q$2)/$Q$2))</f>
        <v>2421.25085917436</v>
      </c>
      <c r="O228" s="15" t="n">
        <f aca="false">SUMPRODUCT(E228:N228,1/(1+$F$211)^$E$3:$N$3)*$E$2</f>
        <v>4854.24861263667</v>
      </c>
      <c r="P228" s="15" t="n">
        <f aca="false">N228*$E$2*(1+$I$211)/($F$211-$I$211)/(1+$F$211)^$N$3</f>
        <v>6710.3083876524</v>
      </c>
      <c r="Q228" s="15" t="n">
        <f aca="false">O228+P228</f>
        <v>11564.5570002891</v>
      </c>
      <c r="R228" s="15" t="n">
        <f aca="false">Q228-$G$2+$I$2</f>
        <v>10289.8870002891</v>
      </c>
      <c r="S228" s="42" t="n">
        <f aca="false">R228/$K$2</f>
        <v>289.285549628593</v>
      </c>
      <c r="T228" s="43" t="n">
        <f aca="false">S228-$M$2</f>
        <v>-0.00317682628440252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-0.0132827758789063</v>
      </c>
      <c r="C229" s="25" t="n">
        <f aca="false">IF(T228&gt;0,D228,C228)</f>
        <v>-0.0132598876953125</v>
      </c>
      <c r="D229" s="41" t="n">
        <f aca="false">(B229+C229)/2</f>
        <v>-0.0132713317871094</v>
      </c>
      <c r="E229" s="15" t="n">
        <f aca="false">$C$2*(1+IF(E$3&lt;=$O$2,$D229,$D229-($D229-$I$211)*MIN(E$3-$O$2,$Q$2)/$Q$2))</f>
        <v>2447.08709716797</v>
      </c>
      <c r="F229" s="15" t="n">
        <f aca="false">E229*(1+IF(F$3&lt;=$O$2,$D229,$D229-($D229-$I$211)*MIN(F$3-$O$2,$Q$2)/$Q$2))</f>
        <v>2414.6109923895</v>
      </c>
      <c r="G229" s="15" t="n">
        <f aca="false">F229*(1+IF(G$3&lt;=$O$2,$D229,$D229-($D229-$I$211)*MIN(G$3-$O$2,$Q$2)/$Q$2))</f>
        <v>2382.5658887727</v>
      </c>
      <c r="H229" s="15" t="n">
        <f aca="false">G229*(1+IF(H$3&lt;=$O$2,$D229,$D229-($D229-$I$211)*MIN(H$3-$O$2,$Q$2)/$Q$2))</f>
        <v>2350.94606635814</v>
      </c>
      <c r="I229" s="15" t="n">
        <f aca="false">H229*(1+IF(I$3&lt;=$O$2,$D229,$D229-($D229-$I$211)*MIN(I$3-$O$2,$Q$2)/$Q$2))</f>
        <v>2319.74588109791</v>
      </c>
      <c r="J229" s="15" t="n">
        <f aca="false">I229*(1+IF(J$3&lt;=$O$2,$D229,$D229-($D229-$I$211)*MIN(J$3-$O$2,$Q$2)/$Q$2))</f>
        <v>2305.92700310396</v>
      </c>
      <c r="K229" s="15" t="n">
        <f aca="false">J229*(1+IF(K$3&lt;=$O$2,$D229,$D229-($D229-$I$211)*MIN(K$3-$O$2,$Q$2)/$Q$2))</f>
        <v>2309.05660937186</v>
      </c>
      <c r="L229" s="15" t="n">
        <f aca="false">K229*(1+IF(L$3&lt;=$O$2,$D229,$D229-($D229-$I$211)*MIN(L$3-$O$2,$Q$2)/$Q$2))</f>
        <v>2329.0795182196</v>
      </c>
      <c r="M229" s="15" t="n">
        <f aca="false">L229*(1+IF(M$3&lt;=$O$2,$D229,$D229-($D229-$I$211)*MIN(M$3-$O$2,$Q$2)/$Q$2))</f>
        <v>2366.31156303024</v>
      </c>
      <c r="N229" s="15" t="n">
        <f aca="false">M229*(1+IF(N$3&lt;=$O$2,$D229,$D229-($D229-$I$211)*MIN(N$3-$O$2,$Q$2)/$Q$2))</f>
        <v>2421.44662244885</v>
      </c>
      <c r="O229" s="15" t="n">
        <f aca="false">SUMPRODUCT(E229:N229,1/(1+$F$211)^$E$3:$N$3)*$E$2</f>
        <v>4854.49232678462</v>
      </c>
      <c r="P229" s="15" t="n">
        <f aca="false">N229*$E$2*(1+$I$211)/($F$211-$I$211)/(1+$F$211)^$N$3</f>
        <v>6710.85093033766</v>
      </c>
      <c r="Q229" s="15" t="n">
        <f aca="false">O229+P229</f>
        <v>11565.3432571223</v>
      </c>
      <c r="R229" s="15" t="n">
        <f aca="false">Q229-$G$2+$I$2</f>
        <v>10290.6732571223</v>
      </c>
      <c r="S229" s="42" t="n">
        <f aca="false">R229/$K$2</f>
        <v>289.307654122077</v>
      </c>
      <c r="T229" s="43" t="n">
        <f aca="false">S229-$M$2</f>
        <v>0.0189276671991365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-0.0132827758789063</v>
      </c>
      <c r="C230" s="25" t="n">
        <f aca="false">IF(T229&gt;0,D229,C229)</f>
        <v>-0.0132713317871094</v>
      </c>
      <c r="D230" s="41" t="n">
        <f aca="false">(B230+C230)/2</f>
        <v>-0.0132770538330078</v>
      </c>
      <c r="E230" s="15" t="n">
        <f aca="false">$C$2*(1+IF(E$3&lt;=$O$2,$D230,$D230-($D230-$I$211)*MIN(E$3-$O$2,$Q$2)/$Q$2))</f>
        <v>2447.07290649414</v>
      </c>
      <c r="F230" s="15" t="n">
        <f aca="false">E230*(1+IF(F$3&lt;=$O$2,$D230,$D230-($D230-$I$211)*MIN(F$3-$O$2,$Q$2)/$Q$2))</f>
        <v>2414.58298778132</v>
      </c>
      <c r="G230" s="15" t="n">
        <f aca="false">F230*(1+IF(G$3&lt;=$O$2,$D230,$D230-($D230-$I$211)*MIN(G$3-$O$2,$Q$2)/$Q$2))</f>
        <v>2382.52443946829</v>
      </c>
      <c r="H230" s="15" t="n">
        <f aca="false">G230*(1+IF(H$3&lt;=$O$2,$D230,$D230-($D230-$I$211)*MIN(H$3-$O$2,$Q$2)/$Q$2))</f>
        <v>2350.89153422701</v>
      </c>
      <c r="I230" s="15" t="n">
        <f aca="false">H230*(1+IF(I$3&lt;=$O$2,$D230,$D230-($D230-$I$211)*MIN(I$3-$O$2,$Q$2)/$Q$2))</f>
        <v>2319.67862077151</v>
      </c>
      <c r="J230" s="15" t="n">
        <f aca="false">I230*(1+IF(J$3&lt;=$O$2,$D230,$D230-($D230-$I$211)*MIN(J$3-$O$2,$Q$2)/$Q$2))</f>
        <v>2305.8495248057</v>
      </c>
      <c r="K230" s="15" t="n">
        <f aca="false">J230*(1+IF(K$3&lt;=$O$2,$D230,$D230-($D230-$I$211)*MIN(K$3-$O$2,$Q$2)/$Q$2))</f>
        <v>2308.97110941389</v>
      </c>
      <c r="L230" s="15" t="n">
        <f aca="false">K230*(1+IF(L$3&lt;=$O$2,$D230,$D230-($D230-$I$211)*MIN(L$3-$O$2,$Q$2)/$Q$2))</f>
        <v>2328.98799203608</v>
      </c>
      <c r="M230" s="15" t="n">
        <f aca="false">L230*(1+IF(M$3&lt;=$O$2,$D230,$D230-($D230-$I$211)*MIN(M$3-$O$2,$Q$2)/$Q$2))</f>
        <v>2366.2159084183</v>
      </c>
      <c r="N230" s="15" t="n">
        <f aca="false">M230*(1+IF(N$3&lt;=$O$2,$D230,$D230-($D230-$I$211)*MIN(N$3-$O$2,$Q$2)/$Q$2))</f>
        <v>2421.34873908444</v>
      </c>
      <c r="O230" s="15" t="n">
        <f aca="false">SUMPRODUCT(E230:N230,1/(1+$F$211)^$E$3:$N$3)*$E$2</f>
        <v>4854.37046814207</v>
      </c>
      <c r="P230" s="15" t="n">
        <f aca="false">N230*$E$2*(1+$I$211)/($F$211-$I$211)/(1+$F$211)^$N$3</f>
        <v>6710.57965420834</v>
      </c>
      <c r="Q230" s="15" t="n">
        <f aca="false">O230+P230</f>
        <v>11564.9501223504</v>
      </c>
      <c r="R230" s="15" t="n">
        <f aca="false">Q230-$G$2+$I$2</f>
        <v>10290.2801223504</v>
      </c>
      <c r="S230" s="42" t="n">
        <f aca="false">R230/$K$2</f>
        <v>289.296601696666</v>
      </c>
      <c r="T230" s="43" t="n">
        <f aca="false">S230-$M$2</f>
        <v>0.00787524178815602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-0.0132827758789063</v>
      </c>
      <c r="C231" s="25" t="n">
        <f aca="false">IF(T230&gt;0,D230,C230)</f>
        <v>-0.0132770538330078</v>
      </c>
      <c r="D231" s="41" t="n">
        <f aca="false">(B231+C231)/2</f>
        <v>-0.013279914855957</v>
      </c>
      <c r="E231" s="15" t="n">
        <f aca="false">$C$2*(1+IF(E$3&lt;=$O$2,$D231,$D231-($D231-$I$211)*MIN(E$3-$O$2,$Q$2)/$Q$2))</f>
        <v>2447.06581115723</v>
      </c>
      <c r="F231" s="15" t="n">
        <f aca="false">E231*(1+IF(F$3&lt;=$O$2,$D231,$D231-($D231-$I$211)*MIN(F$3-$O$2,$Q$2)/$Q$2))</f>
        <v>2414.56898553814</v>
      </c>
      <c r="G231" s="15" t="n">
        <f aca="false">F231*(1+IF(G$3&lt;=$O$2,$D231,$D231-($D231-$I$211)*MIN(G$3-$O$2,$Q$2)/$Q$2))</f>
        <v>2382.50371499635</v>
      </c>
      <c r="H231" s="15" t="n">
        <f aca="false">G231*(1+IF(H$3&lt;=$O$2,$D231,$D231-($D231-$I$211)*MIN(H$3-$O$2,$Q$2)/$Q$2))</f>
        <v>2350.8642685172</v>
      </c>
      <c r="I231" s="15" t="n">
        <f aca="false">H231*(1+IF(I$3&lt;=$O$2,$D231,$D231-($D231-$I$211)*MIN(I$3-$O$2,$Q$2)/$Q$2))</f>
        <v>2319.64499119338</v>
      </c>
      <c r="J231" s="15" t="n">
        <f aca="false">I231*(1+IF(J$3&lt;=$O$2,$D231,$D231-($D231-$I$211)*MIN(J$3-$O$2,$Q$2)/$Q$2))</f>
        <v>2305.81078646907</v>
      </c>
      <c r="K231" s="15" t="n">
        <f aca="false">J231*(1+IF(K$3&lt;=$O$2,$D231,$D231-($D231-$I$211)*MIN(K$3-$O$2,$Q$2)/$Q$2))</f>
        <v>2308.928360448</v>
      </c>
      <c r="L231" s="15" t="n">
        <f aca="false">K231*(1+IF(L$3&lt;=$O$2,$D231,$D231-($D231-$I$211)*MIN(L$3-$O$2,$Q$2)/$Q$2))</f>
        <v>2328.94223011297</v>
      </c>
      <c r="M231" s="15" t="n">
        <f aca="false">L231*(1+IF(M$3&lt;=$O$2,$D231,$D231-($D231-$I$211)*MIN(M$3-$O$2,$Q$2)/$Q$2))</f>
        <v>2366.1680823782</v>
      </c>
      <c r="N231" s="15" t="n">
        <f aca="false">M231*(1+IF(N$3&lt;=$O$2,$D231,$D231-($D231-$I$211)*MIN(N$3-$O$2,$Q$2)/$Q$2))</f>
        <v>2421.29979869761</v>
      </c>
      <c r="O231" s="15" t="n">
        <f aca="false">SUMPRODUCT(E231:N231,1/(1+$F$211)^$E$3:$N$3)*$E$2</f>
        <v>4854.30953999723</v>
      </c>
      <c r="P231" s="15" t="n">
        <f aca="false">N231*$E$2*(1+$I$211)/($F$211-$I$211)/(1+$F$211)^$N$3</f>
        <v>6710.44401973371</v>
      </c>
      <c r="Q231" s="15" t="n">
        <f aca="false">O231+P231</f>
        <v>11564.7535597309</v>
      </c>
      <c r="R231" s="15" t="n">
        <f aca="false">Q231-$G$2+$I$2</f>
        <v>10290.0835597309</v>
      </c>
      <c r="S231" s="42" t="n">
        <f aca="false">R231/$K$2</f>
        <v>289.291075617963</v>
      </c>
      <c r="T231" s="43" t="n">
        <f aca="false">S231-$M$2</f>
        <v>0.0023491630852277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-0.0132827758789063</v>
      </c>
      <c r="C232" s="25" t="n">
        <f aca="false">IF(T231&gt;0,D231,C231)</f>
        <v>-0.013279914855957</v>
      </c>
      <c r="D232" s="41" t="n">
        <f aca="false">(B232+C232)/2</f>
        <v>-0.0132813453674316</v>
      </c>
      <c r="E232" s="15" t="n">
        <f aca="false">$C$2*(1+IF(E$3&lt;=$O$2,$D232,$D232-($D232-$I$211)*MIN(E$3-$O$2,$Q$2)/$Q$2))</f>
        <v>2447.06226348877</v>
      </c>
      <c r="F232" s="15" t="n">
        <f aca="false">E232*(1+IF(F$3&lt;=$O$2,$D232,$D232-($D232-$I$211)*MIN(F$3-$O$2,$Q$2)/$Q$2))</f>
        <v>2414.56198443177</v>
      </c>
      <c r="G232" s="15" t="n">
        <f aca="false">F232*(1+IF(G$3&lt;=$O$2,$D232,$D232-($D232-$I$211)*MIN(G$3-$O$2,$Q$2)/$Q$2))</f>
        <v>2382.49335280546</v>
      </c>
      <c r="H232" s="15" t="n">
        <f aca="false">G232*(1+IF(H$3&lt;=$O$2,$D232,$D232-($D232-$I$211)*MIN(H$3-$O$2,$Q$2)/$Q$2))</f>
        <v>2350.85063575124</v>
      </c>
      <c r="I232" s="15" t="n">
        <f aca="false">H232*(1+IF(I$3&lt;=$O$2,$D232,$D232-($D232-$I$211)*MIN(I$3-$O$2,$Q$2)/$Q$2))</f>
        <v>2319.62817655058</v>
      </c>
      <c r="J232" s="15" t="n">
        <f aca="false">I232*(1+IF(J$3&lt;=$O$2,$D232,$D232-($D232-$I$211)*MIN(J$3-$O$2,$Q$2)/$Q$2))</f>
        <v>2305.79141750387</v>
      </c>
      <c r="K232" s="15" t="n">
        <f aca="false">J232*(1+IF(K$3&lt;=$O$2,$D232,$D232-($D232-$I$211)*MIN(K$3-$O$2,$Q$2)/$Q$2))</f>
        <v>2308.90698621833</v>
      </c>
      <c r="L232" s="15" t="n">
        <f aca="false">K232*(1+IF(L$3&lt;=$O$2,$D232,$D232-($D232-$I$211)*MIN(L$3-$O$2,$Q$2)/$Q$2))</f>
        <v>2328.91934944357</v>
      </c>
      <c r="M232" s="15" t="n">
        <f aca="false">L232*(1+IF(M$3&lt;=$O$2,$D232,$D232-($D232-$I$211)*MIN(M$3-$O$2,$Q$2)/$Q$2))</f>
        <v>2366.14416967462</v>
      </c>
      <c r="N232" s="15" t="n">
        <f aca="false">M232*(1+IF(N$3&lt;=$O$2,$D232,$D232-($D232-$I$211)*MIN(N$3-$O$2,$Q$2)/$Q$2))</f>
        <v>2421.27532882804</v>
      </c>
      <c r="O232" s="15" t="n">
        <f aca="false">SUMPRODUCT(E232:N232,1/(1+$F$211)^$E$3:$N$3)*$E$2</f>
        <v>4854.27907621892</v>
      </c>
      <c r="P232" s="15" t="n">
        <f aca="false">N232*$E$2*(1+$I$211)/($F$211-$I$211)/(1+$F$211)^$N$3</f>
        <v>6710.3762033939</v>
      </c>
      <c r="Q232" s="15" t="n">
        <f aca="false">O232+P232</f>
        <v>11564.6552796128</v>
      </c>
      <c r="R232" s="15" t="n">
        <f aca="false">Q232-$G$2+$I$2</f>
        <v>10289.9852796128</v>
      </c>
      <c r="S232" s="42" t="n">
        <f aca="false">R232/$K$2</f>
        <v>289.288312612112</v>
      </c>
      <c r="T232" s="43" t="n">
        <f aca="false">S232-$M$2</f>
        <v>-0.000413842766135986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-0.0132813453674316</v>
      </c>
      <c r="C233" s="25" t="n">
        <f aca="false">IF(T232&gt;0,D232,C232)</f>
        <v>-0.013279914855957</v>
      </c>
      <c r="D233" s="41" t="n">
        <f aca="false">(B233+C233)/2</f>
        <v>-0.0132806301116943</v>
      </c>
      <c r="E233" s="15" t="n">
        <f aca="false">$C$2*(1+IF(E$3&lt;=$O$2,$D233,$D233-($D233-$I$211)*MIN(E$3-$O$2,$Q$2)/$Q$2))</f>
        <v>2447.064037323</v>
      </c>
      <c r="F233" s="15" t="n">
        <f aca="false">E233*(1+IF(F$3&lt;=$O$2,$D233,$D233-($D233-$I$211)*MIN(F$3-$O$2,$Q$2)/$Q$2))</f>
        <v>2414.56548498368</v>
      </c>
      <c r="G233" s="15" t="n">
        <f aca="false">F233*(1+IF(G$3&lt;=$O$2,$D233,$D233-($D233-$I$211)*MIN(G$3-$O$2,$Q$2)/$Q$2))</f>
        <v>2382.49853389715</v>
      </c>
      <c r="H233" s="15" t="n">
        <f aca="false">G233*(1+IF(H$3&lt;=$O$2,$D233,$D233-($D233-$I$211)*MIN(H$3-$O$2,$Q$2)/$Q$2))</f>
        <v>2350.85745212681</v>
      </c>
      <c r="I233" s="15" t="n">
        <f aca="false">H233*(1+IF(I$3&lt;=$O$2,$D233,$D233-($D233-$I$211)*MIN(I$3-$O$2,$Q$2)/$Q$2))</f>
        <v>2319.63658385979</v>
      </c>
      <c r="J233" s="15" t="n">
        <f aca="false">I233*(1+IF(J$3&lt;=$O$2,$D233,$D233-($D233-$I$211)*MIN(J$3-$O$2,$Q$2)/$Q$2))</f>
        <v>2305.80110196954</v>
      </c>
      <c r="K233" s="15" t="n">
        <f aca="false">J233*(1+IF(K$3&lt;=$O$2,$D233,$D233-($D233-$I$211)*MIN(K$3-$O$2,$Q$2)/$Q$2))</f>
        <v>2308.91767331206</v>
      </c>
      <c r="L233" s="15" t="n">
        <f aca="false">K233*(1+IF(L$3&lt;=$O$2,$D233,$D233-($D233-$I$211)*MIN(L$3-$O$2,$Q$2)/$Q$2))</f>
        <v>2328.93078975392</v>
      </c>
      <c r="M233" s="15" t="n">
        <f aca="false">L233*(1+IF(M$3&lt;=$O$2,$D233,$D233-($D233-$I$211)*MIN(M$3-$O$2,$Q$2)/$Q$2))</f>
        <v>2366.15612600004</v>
      </c>
      <c r="N233" s="15" t="n">
        <f aca="false">M233*(1+IF(N$3&lt;=$O$2,$D233,$D233-($D233-$I$211)*MIN(N$3-$O$2,$Q$2)/$Q$2))</f>
        <v>2421.28756373584</v>
      </c>
      <c r="O233" s="15" t="n">
        <f aca="false">SUMPRODUCT(E233:N233,1/(1+$F$211)^$E$3:$N$3)*$E$2</f>
        <v>4854.29430808356</v>
      </c>
      <c r="P233" s="15" t="n">
        <f aca="false">N233*$E$2*(1+$I$211)/($F$211-$I$211)/(1+$F$211)^$N$3</f>
        <v>6710.41011148901</v>
      </c>
      <c r="Q233" s="15" t="n">
        <f aca="false">O233+P233</f>
        <v>11564.7044195726</v>
      </c>
      <c r="R233" s="15" t="n">
        <f aca="false">Q233-$G$2+$I$2</f>
        <v>10290.0344195726</v>
      </c>
      <c r="S233" s="42" t="n">
        <f aca="false">R233/$K$2</f>
        <v>289.289694112246</v>
      </c>
      <c r="T233" s="43" t="n">
        <f aca="false">S233-$M$2</f>
        <v>0.000967657367880292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-0.0132813453674316</v>
      </c>
      <c r="C234" s="25" t="n">
        <f aca="false">IF(T233&gt;0,D233,C233)</f>
        <v>-0.0132806301116943</v>
      </c>
      <c r="D234" s="41" t="n">
        <f aca="false">(B234+C234)/2</f>
        <v>-0.013280987739563</v>
      </c>
      <c r="E234" s="15" t="n">
        <f aca="false">$C$2*(1+IF(E$3&lt;=$O$2,$D234,$D234-($D234-$I$211)*MIN(E$3-$O$2,$Q$2)/$Q$2))</f>
        <v>2447.06315040588</v>
      </c>
      <c r="F234" s="15" t="n">
        <f aca="false">E234*(1+IF(F$3&lt;=$O$2,$D234,$D234-($D234-$I$211)*MIN(F$3-$O$2,$Q$2)/$Q$2))</f>
        <v>2414.56373470741</v>
      </c>
      <c r="G234" s="15" t="n">
        <f aca="false">F234*(1+IF(G$3&lt;=$O$2,$D234,$D234-($D234-$I$211)*MIN(G$3-$O$2,$Q$2)/$Q$2))</f>
        <v>2382.49594335036</v>
      </c>
      <c r="H234" s="15" t="n">
        <f aca="false">G234*(1+IF(H$3&lt;=$O$2,$D234,$D234-($D234-$I$211)*MIN(H$3-$O$2,$Q$2)/$Q$2))</f>
        <v>2350.85404393717</v>
      </c>
      <c r="I234" s="15" t="n">
        <f aca="false">H234*(1+IF(I$3&lt;=$O$2,$D234,$D234-($D234-$I$211)*MIN(I$3-$O$2,$Q$2)/$Q$2))</f>
        <v>2319.63238020214</v>
      </c>
      <c r="J234" s="15" t="n">
        <f aca="false">I234*(1+IF(J$3&lt;=$O$2,$D234,$D234-($D234-$I$211)*MIN(J$3-$O$2,$Q$2)/$Q$2))</f>
        <v>2305.79625973247</v>
      </c>
      <c r="K234" s="15" t="n">
        <f aca="false">J234*(1+IF(K$3&lt;=$O$2,$D234,$D234-($D234-$I$211)*MIN(K$3-$O$2,$Q$2)/$Q$2))</f>
        <v>2308.91232975992</v>
      </c>
      <c r="L234" s="15" t="n">
        <f aca="false">K234*(1+IF(L$3&lt;=$O$2,$D234,$D234-($D234-$I$211)*MIN(L$3-$O$2,$Q$2)/$Q$2))</f>
        <v>2328.92506959266</v>
      </c>
      <c r="M234" s="15" t="n">
        <f aca="false">L234*(1+IF(M$3&lt;=$O$2,$D234,$D234-($D234-$I$211)*MIN(M$3-$O$2,$Q$2)/$Q$2))</f>
        <v>2366.15014783074</v>
      </c>
      <c r="N234" s="15" t="n">
        <f aca="false">M234*(1+IF(N$3&lt;=$O$2,$D234,$D234-($D234-$I$211)*MIN(N$3-$O$2,$Q$2)/$Q$2))</f>
        <v>2421.28144627519</v>
      </c>
      <c r="O234" s="15" t="n">
        <f aca="false">SUMPRODUCT(E234:N234,1/(1+$F$211)^$E$3:$N$3)*$E$2</f>
        <v>4854.28669214511</v>
      </c>
      <c r="P234" s="15" t="n">
        <f aca="false">N234*$E$2*(1+$I$211)/($F$211-$I$211)/(1+$F$211)^$N$3</f>
        <v>6710.39315742275</v>
      </c>
      <c r="Q234" s="15" t="n">
        <f aca="false">O234+P234</f>
        <v>11564.6798495679</v>
      </c>
      <c r="R234" s="15" t="n">
        <f aca="false">Q234-$G$2+$I$2</f>
        <v>10290.0098495679</v>
      </c>
      <c r="S234" s="42" t="n">
        <f aca="false">R234/$K$2</f>
        <v>289.289003361481</v>
      </c>
      <c r="T234" s="43" t="n">
        <f aca="false">S234-$M$2</f>
        <v>0.000276906602948657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-0.0132813453674316</v>
      </c>
      <c r="C235" s="25" t="n">
        <f aca="false">IF(T234&gt;0,D234,C234)</f>
        <v>-0.013280987739563</v>
      </c>
      <c r="D235" s="41" t="n">
        <f aca="false">(B235+C235)/2</f>
        <v>-0.0132811665534973</v>
      </c>
      <c r="E235" s="15" t="n">
        <f aca="false">$C$2*(1+IF(E$3&lt;=$O$2,$D235,$D235-($D235-$I$211)*MIN(E$3-$O$2,$Q$2)/$Q$2))</f>
        <v>2447.06270694733</v>
      </c>
      <c r="F235" s="15" t="n">
        <f aca="false">E235*(1+IF(F$3&lt;=$O$2,$D235,$D235-($D235-$I$211)*MIN(F$3-$O$2,$Q$2)/$Q$2))</f>
        <v>2414.56285956951</v>
      </c>
      <c r="G235" s="15" t="n">
        <f aca="false">F235*(1+IF(G$3&lt;=$O$2,$D235,$D235-($D235-$I$211)*MIN(G$3-$O$2,$Q$2)/$Q$2))</f>
        <v>2382.49464807768</v>
      </c>
      <c r="H235" s="15" t="n">
        <f aca="false">G235*(1+IF(H$3&lt;=$O$2,$D235,$D235-($D235-$I$211)*MIN(H$3-$O$2,$Q$2)/$Q$2))</f>
        <v>2350.85233984374</v>
      </c>
      <c r="I235" s="15" t="n">
        <f aca="false">H235*(1+IF(I$3&lt;=$O$2,$D235,$D235-($D235-$I$211)*MIN(I$3-$O$2,$Q$2)/$Q$2))</f>
        <v>2319.6302783756</v>
      </c>
      <c r="J235" s="15" t="n">
        <f aca="false">I235*(1+IF(J$3&lt;=$O$2,$D235,$D235-($D235-$I$211)*MIN(J$3-$O$2,$Q$2)/$Q$2))</f>
        <v>2305.79383861711</v>
      </c>
      <c r="K235" s="15" t="n">
        <f aca="false">J235*(1+IF(K$3&lt;=$O$2,$D235,$D235-($D235-$I$211)*MIN(K$3-$O$2,$Q$2)/$Q$2))</f>
        <v>2308.9096579878</v>
      </c>
      <c r="L235" s="15" t="n">
        <f aca="false">K235*(1+IF(L$3&lt;=$O$2,$D235,$D235-($D235-$I$211)*MIN(L$3-$O$2,$Q$2)/$Q$2))</f>
        <v>2328.92220951659</v>
      </c>
      <c r="M235" s="15" t="n">
        <f aca="false">L235*(1+IF(M$3&lt;=$O$2,$D235,$D235-($D235-$I$211)*MIN(M$3-$O$2,$Q$2)/$Q$2))</f>
        <v>2366.14715875103</v>
      </c>
      <c r="N235" s="15" t="n">
        <f aca="false">M235*(1+IF(N$3&lt;=$O$2,$D235,$D235-($D235-$I$211)*MIN(N$3-$O$2,$Q$2)/$Q$2))</f>
        <v>2421.27838754993</v>
      </c>
      <c r="O235" s="15" t="n">
        <f aca="false">SUMPRODUCT(E235:N235,1/(1+$F$211)^$E$3:$N$3)*$E$2</f>
        <v>4854.28288418048</v>
      </c>
      <c r="P235" s="15" t="n">
        <f aca="false">N235*$E$2*(1+$I$211)/($F$211-$I$211)/(1+$F$211)^$N$3</f>
        <v>6710.38468040365</v>
      </c>
      <c r="Q235" s="15" t="n">
        <f aca="false">O235+P235</f>
        <v>11564.6675645841</v>
      </c>
      <c r="R235" s="15" t="n">
        <f aca="false">Q235-$G$2+$I$2</f>
        <v>10289.9975645841</v>
      </c>
      <c r="S235" s="42" t="n">
        <f aca="false">R235/$K$2</f>
        <v>289.288657986622</v>
      </c>
      <c r="T235" s="43" t="n">
        <f aca="false">S235-$M$2</f>
        <v>-6.84682561313821E-005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-0.0132811665534973</v>
      </c>
      <c r="C236" s="25" t="n">
        <f aca="false">IF(T235&gt;0,D235,C235)</f>
        <v>-0.013280987739563</v>
      </c>
      <c r="D236" s="41" t="n">
        <f aca="false">(B236+C236)/2</f>
        <v>-0.0132810771465302</v>
      </c>
      <c r="E236" s="15" t="n">
        <f aca="false">$C$2*(1+IF(E$3&lt;=$O$2,$D236,$D236-($D236-$I$211)*MIN(E$3-$O$2,$Q$2)/$Q$2))</f>
        <v>2447.06292867661</v>
      </c>
      <c r="F236" s="15" t="n">
        <f aca="false">E236*(1+IF(F$3&lt;=$O$2,$D236,$D236-($D236-$I$211)*MIN(F$3-$O$2,$Q$2)/$Q$2))</f>
        <v>2414.56329713844</v>
      </c>
      <c r="G236" s="15" t="n">
        <f aca="false">F236*(1+IF(G$3&lt;=$O$2,$D236,$D236-($D236-$I$211)*MIN(G$3-$O$2,$Q$2)/$Q$2))</f>
        <v>2382.49529571396</v>
      </c>
      <c r="H236" s="15" t="n">
        <f aca="false">G236*(1+IF(H$3&lt;=$O$2,$D236,$D236-($D236-$I$211)*MIN(H$3-$O$2,$Q$2)/$Q$2))</f>
        <v>2350.85319189034</v>
      </c>
      <c r="I236" s="15" t="n">
        <f aca="false">H236*(1+IF(I$3&lt;=$O$2,$D236,$D236-($D236-$I$211)*MIN(I$3-$O$2,$Q$2)/$Q$2))</f>
        <v>2319.63132928868</v>
      </c>
      <c r="J236" s="15" t="n">
        <f aca="false">I236*(1+IF(J$3&lt;=$O$2,$D236,$D236-($D236-$I$211)*MIN(J$3-$O$2,$Q$2)/$Q$2))</f>
        <v>2305.79504917453</v>
      </c>
      <c r="K236" s="15" t="n">
        <f aca="false">J236*(1+IF(K$3&lt;=$O$2,$D236,$D236-($D236-$I$211)*MIN(K$3-$O$2,$Q$2)/$Q$2))</f>
        <v>2308.91099387353</v>
      </c>
      <c r="L236" s="15" t="n">
        <f aca="false">K236*(1+IF(L$3&lt;=$O$2,$D236,$D236-($D236-$I$211)*MIN(L$3-$O$2,$Q$2)/$Q$2))</f>
        <v>2328.92363955424</v>
      </c>
      <c r="M236" s="15" t="n">
        <f aca="false">L236*(1+IF(M$3&lt;=$O$2,$D236,$D236-($D236-$I$211)*MIN(M$3-$O$2,$Q$2)/$Q$2))</f>
        <v>2366.14865329047</v>
      </c>
      <c r="N236" s="15" t="n">
        <f aca="false">M236*(1+IF(N$3&lt;=$O$2,$D236,$D236-($D236-$I$211)*MIN(N$3-$O$2,$Q$2)/$Q$2))</f>
        <v>2421.27991691214</v>
      </c>
      <c r="O236" s="15" t="n">
        <f aca="false">SUMPRODUCT(E236:N236,1/(1+$F$211)^$E$3:$N$3)*$E$2</f>
        <v>4854.28478816241</v>
      </c>
      <c r="P236" s="15" t="n">
        <f aca="false">N236*$E$2*(1+$I$211)/($F$211-$I$211)/(1+$F$211)^$N$3</f>
        <v>6710.38891891204</v>
      </c>
      <c r="Q236" s="15" t="n">
        <f aca="false">O236+P236</f>
        <v>11564.6737070745</v>
      </c>
      <c r="R236" s="15" t="n">
        <f aca="false">Q236-$G$2+$I$2</f>
        <v>10290.0037070745</v>
      </c>
      <c r="S236" s="42" t="n">
        <f aca="false">R236/$K$2</f>
        <v>289.288830674008</v>
      </c>
      <c r="T236" s="43" t="n">
        <f aca="false">S236-$M$2</f>
        <v>0.000104219129866578</v>
      </c>
    </row>
    <row r="238" customFormat="false" ht="15" hidden="false" customHeight="false" outlineLevel="0" collapsed="false">
      <c r="A238" s="38" t="s">
        <v>192</v>
      </c>
      <c r="E238" s="5" t="s">
        <v>11</v>
      </c>
      <c r="F238" s="12" t="n">
        <f aca="false">Sensitivity!$B$11</f>
        <v>0.0764218415038925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8" t="s">
        <v>165</v>
      </c>
      <c r="B239" s="28" t="s">
        <v>166</v>
      </c>
      <c r="C239" s="28" t="s">
        <v>167</v>
      </c>
      <c r="D239" s="28" t="s">
        <v>168</v>
      </c>
      <c r="E239" s="28" t="s">
        <v>169</v>
      </c>
      <c r="F239" s="28" t="s">
        <v>170</v>
      </c>
      <c r="G239" s="28" t="s">
        <v>171</v>
      </c>
      <c r="H239" s="28" t="s">
        <v>172</v>
      </c>
      <c r="I239" s="28" t="s">
        <v>173</v>
      </c>
      <c r="J239" s="28" t="s">
        <v>174</v>
      </c>
      <c r="K239" s="28" t="s">
        <v>175</v>
      </c>
      <c r="L239" s="28" t="s">
        <v>176</v>
      </c>
      <c r="M239" s="28" t="s">
        <v>177</v>
      </c>
      <c r="N239" s="28" t="s">
        <v>178</v>
      </c>
      <c r="O239" s="28" t="s">
        <v>179</v>
      </c>
      <c r="P239" s="28" t="s">
        <v>180</v>
      </c>
      <c r="Q239" s="28" t="s">
        <v>181</v>
      </c>
      <c r="R239" s="28" t="s">
        <v>182</v>
      </c>
      <c r="S239" s="28" t="s">
        <v>183</v>
      </c>
      <c r="T239" s="28" t="s">
        <v>184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41" t="n">
        <f aca="false">(B240+C240)/2</f>
        <v>0.25</v>
      </c>
      <c r="E240" s="15" t="n">
        <f aca="false">$C$2*(1+IF(E$3&lt;=$O$2,$D240,$D240-($D240-$I$238)*MIN(E$3-$O$2,$Q$2)/$Q$2))</f>
        <v>3100</v>
      </c>
      <c r="F240" s="15" t="n">
        <f aca="false">E240*(1+IF(F$3&lt;=$O$2,$D240,$D240-($D240-$I$238)*MIN(F$3-$O$2,$Q$2)/$Q$2))</f>
        <v>3875</v>
      </c>
      <c r="G240" s="15" t="n">
        <f aca="false">F240*(1+IF(G$3&lt;=$O$2,$D240,$D240-($D240-$I$238)*MIN(G$3-$O$2,$Q$2)/$Q$2))</f>
        <v>4843.75</v>
      </c>
      <c r="H240" s="15" t="n">
        <f aca="false">G240*(1+IF(H$3&lt;=$O$2,$D240,$D240-($D240-$I$238)*MIN(H$3-$O$2,$Q$2)/$Q$2))</f>
        <v>6054.6875</v>
      </c>
      <c r="I240" s="15" t="n">
        <f aca="false">H240*(1+IF(I$3&lt;=$O$2,$D240,$D240-($D240-$I$238)*MIN(I$3-$O$2,$Q$2)/$Q$2))</f>
        <v>7568.359375</v>
      </c>
      <c r="J240" s="15" t="n">
        <f aca="false">I240*(1+IF(J$3&lt;=$O$2,$D240,$D240-($D240-$I$238)*MIN(J$3-$O$2,$Q$2)/$Q$2))</f>
        <v>9124.8681640625</v>
      </c>
      <c r="K240" s="15" t="n">
        <f aca="false">J240*(1+IF(K$3&lt;=$O$2,$D240,$D240-($D240-$I$238)*MIN(K$3-$O$2,$Q$2)/$Q$2))</f>
        <v>10596.8918962891</v>
      </c>
      <c r="L240" s="15" t="n">
        <f aca="false">K240*(1+IF(L$3&lt;=$O$2,$D240,$D240-($D240-$I$238)*MIN(L$3-$O$2,$Q$2)/$Q$2))</f>
        <v>11836.516310317</v>
      </c>
      <c r="M240" s="15" t="n">
        <f aca="false">L240*(1+IF(M$3&lt;=$O$2,$D240,$D240-($D240-$I$238)*MIN(M$3-$O$2,$Q$2)/$Q$2))</f>
        <v>12696.3208550984</v>
      </c>
      <c r="N240" s="15" t="n">
        <f aca="false">M240*(1+IF(N$3&lt;=$O$2,$D240,$D240-($D240-$I$238)*MIN(N$3-$O$2,$Q$2)/$Q$2))</f>
        <v>13055.6267352977</v>
      </c>
      <c r="O240" s="15" t="n">
        <f aca="false">SUMPRODUCT(E240:N240,1/(1+$F$238)^$E$3:$N$3)*$E$2</f>
        <v>15447.4301612883</v>
      </c>
      <c r="P240" s="15" t="n">
        <f aca="false">N240*$E$2*(1+$I$238)/($F$238-$I$238)/(1+$F$238)^$N$3</f>
        <v>40137.3006714316</v>
      </c>
      <c r="Q240" s="15" t="n">
        <f aca="false">O240+P240</f>
        <v>55584.7308327198</v>
      </c>
      <c r="R240" s="15" t="n">
        <f aca="false">Q240-$G$2+$I$2</f>
        <v>54310.0608327198</v>
      </c>
      <c r="S240" s="42" t="n">
        <f aca="false">R240/$K$2</f>
        <v>1526.85017803542</v>
      </c>
      <c r="T240" s="43" t="n">
        <f aca="false">S240-$M$2</f>
        <v>1237.56145158054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41" t="n">
        <f aca="false">(B241+C241)/2</f>
        <v>-0.125</v>
      </c>
      <c r="E241" s="15" t="n">
        <f aca="false">$C$2*(1+IF(E$3&lt;=$O$2,$D241,$D241-($D241-$I$238)*MIN(E$3-$O$2,$Q$2)/$Q$2))</f>
        <v>2170</v>
      </c>
      <c r="F241" s="15" t="n">
        <f aca="false">E241*(1+IF(F$3&lt;=$O$2,$D241,$D241-($D241-$I$238)*MIN(F$3-$O$2,$Q$2)/$Q$2))</f>
        <v>1898.75</v>
      </c>
      <c r="G241" s="15" t="n">
        <f aca="false">F241*(1+IF(G$3&lt;=$O$2,$D241,$D241-($D241-$I$238)*MIN(G$3-$O$2,$Q$2)/$Q$2))</f>
        <v>1661.40625</v>
      </c>
      <c r="H241" s="15" t="n">
        <f aca="false">G241*(1+IF(H$3&lt;=$O$2,$D241,$D241-($D241-$I$238)*MIN(H$3-$O$2,$Q$2)/$Q$2))</f>
        <v>1453.73046875</v>
      </c>
      <c r="I241" s="15" t="n">
        <f aca="false">H241*(1+IF(I$3&lt;=$O$2,$D241,$D241-($D241-$I$238)*MIN(I$3-$O$2,$Q$2)/$Q$2))</f>
        <v>1272.01416015625</v>
      </c>
      <c r="J241" s="15" t="n">
        <f aca="false">I241*(1+IF(J$3&lt;=$O$2,$D241,$D241-($D241-$I$238)*MIN(J$3-$O$2,$Q$2)/$Q$2))</f>
        <v>1152.01234428711</v>
      </c>
      <c r="K241" s="15" t="n">
        <f aca="false">J241*(1+IF(K$3&lt;=$O$2,$D241,$D241-($D241-$I$238)*MIN(K$3-$O$2,$Q$2)/$Q$2))</f>
        <v>1078.65219820291</v>
      </c>
      <c r="L241" s="15" t="n">
        <f aca="false">K241*(1+IF(L$3&lt;=$O$2,$D241,$D241-($D241-$I$238)*MIN(L$3-$O$2,$Q$2)/$Q$2))</f>
        <v>1043.03510261825</v>
      </c>
      <c r="M241" s="15" t="n">
        <f aca="false">L241*(1+IF(M$3&lt;=$O$2,$D241,$D241-($D241-$I$238)*MIN(M$3-$O$2,$Q$2)/$Q$2))</f>
        <v>1040.57353977607</v>
      </c>
      <c r="N241" s="15" t="n">
        <f aca="false">M241*(1+IF(N$3&lt;=$O$2,$D241,$D241-($D241-$I$238)*MIN(N$3-$O$2,$Q$2)/$Q$2))</f>
        <v>1070.02177095173</v>
      </c>
      <c r="O241" s="15" t="n">
        <f aca="false">SUMPRODUCT(E241:N241,1/(1+$F$238)^$E$3:$N$3)*$E$2</f>
        <v>2993.20934407396</v>
      </c>
      <c r="P241" s="15" t="n">
        <f aca="false">N241*$E$2*(1+$I$238)/($F$238-$I$238)/(1+$F$238)^$N$3</f>
        <v>3289.59968115143</v>
      </c>
      <c r="Q241" s="15" t="n">
        <f aca="false">O241+P241</f>
        <v>6282.80902522539</v>
      </c>
      <c r="R241" s="15" t="n">
        <f aca="false">Q241-$G$2+$I$2</f>
        <v>5008.13902522539</v>
      </c>
      <c r="S241" s="42" t="n">
        <f aca="false">R241/$K$2</f>
        <v>140.796711420449</v>
      </c>
      <c r="T241" s="43" t="n">
        <f aca="false">S241-$M$2</f>
        <v>-148.492015034428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41" t="n">
        <f aca="false">(B242+C242)/2</f>
        <v>0.0625</v>
      </c>
      <c r="E242" s="15" t="n">
        <f aca="false">$C$2*(1+IF(E$3&lt;=$O$2,$D242,$D242-($D242-$I$238)*MIN(E$3-$O$2,$Q$2)/$Q$2))</f>
        <v>2635</v>
      </c>
      <c r="F242" s="15" t="n">
        <f aca="false">E242*(1+IF(F$3&lt;=$O$2,$D242,$D242-($D242-$I$238)*MIN(F$3-$O$2,$Q$2)/$Q$2))</f>
        <v>2799.6875</v>
      </c>
      <c r="G242" s="15" t="n">
        <f aca="false">F242*(1+IF(G$3&lt;=$O$2,$D242,$D242-($D242-$I$238)*MIN(G$3-$O$2,$Q$2)/$Q$2))</f>
        <v>2974.66796875</v>
      </c>
      <c r="H242" s="15" t="n">
        <f aca="false">G242*(1+IF(H$3&lt;=$O$2,$D242,$D242-($D242-$I$238)*MIN(H$3-$O$2,$Q$2)/$Q$2))</f>
        <v>3160.58471679688</v>
      </c>
      <c r="I242" s="15" t="n">
        <f aca="false">H242*(1+IF(I$3&lt;=$O$2,$D242,$D242-($D242-$I$238)*MIN(I$3-$O$2,$Q$2)/$Q$2))</f>
        <v>3358.12126159668</v>
      </c>
      <c r="J242" s="15" t="n">
        <f aca="false">I242*(1+IF(J$3&lt;=$O$2,$D242,$D242-($D242-$I$238)*MIN(J$3-$O$2,$Q$2)/$Q$2))</f>
        <v>3545.03429101715</v>
      </c>
      <c r="K242" s="15" t="n">
        <f aca="false">J242*(1+IF(K$3&lt;=$O$2,$D242,$D242-($D242-$I$238)*MIN(K$3-$O$2,$Q$2)/$Q$2))</f>
        <v>3718.10286510461</v>
      </c>
      <c r="L242" s="15" t="n">
        <f aca="false">K242*(1+IF(L$3&lt;=$O$2,$D242,$D242-($D242-$I$238)*MIN(L$3-$O$2,$Q$2)/$Q$2))</f>
        <v>3874.1888233817</v>
      </c>
      <c r="M242" s="15" t="n">
        <f aca="false">L242*(1+IF(M$3&lt;=$O$2,$D242,$D242-($D242-$I$238)*MIN(M$3-$O$2,$Q$2)/$Q$2))</f>
        <v>4010.32781863533</v>
      </c>
      <c r="N242" s="15" t="n">
        <f aca="false">M242*(1+IF(N$3&lt;=$O$2,$D242,$D242-($D242-$I$238)*MIN(N$3-$O$2,$Q$2)/$Q$2))</f>
        <v>4123.82009590271</v>
      </c>
      <c r="O242" s="15" t="n">
        <f aca="false">SUMPRODUCT(E242:N242,1/(1+$F$238)^$E$3:$N$3)*$E$2</f>
        <v>6795.81134581587</v>
      </c>
      <c r="P242" s="15" t="n">
        <f aca="false">N242*$E$2*(1+$I$238)/($F$238-$I$238)/(1+$F$238)^$N$3</f>
        <v>12677.9824867875</v>
      </c>
      <c r="Q242" s="15" t="n">
        <f aca="false">O242+P242</f>
        <v>19473.7938326034</v>
      </c>
      <c r="R242" s="15" t="n">
        <f aca="false">Q242-$G$2+$I$2</f>
        <v>18199.1238326034</v>
      </c>
      <c r="S242" s="42" t="n">
        <f aca="false">R242/$K$2</f>
        <v>511.642503025117</v>
      </c>
      <c r="T242" s="43" t="n">
        <f aca="false">S242-$M$2</f>
        <v>222.353776570239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-0.125</v>
      </c>
      <c r="C243" s="25" t="n">
        <f aca="false">IF(T242&gt;0,D242,C242)</f>
        <v>0.0625</v>
      </c>
      <c r="D243" s="41" t="n">
        <f aca="false">(B243+C243)/2</f>
        <v>-0.03125</v>
      </c>
      <c r="E243" s="15" t="n">
        <f aca="false">$C$2*(1+IF(E$3&lt;=$O$2,$D243,$D243-($D243-$I$238)*MIN(E$3-$O$2,$Q$2)/$Q$2))</f>
        <v>2402.5</v>
      </c>
      <c r="F243" s="15" t="n">
        <f aca="false">E243*(1+IF(F$3&lt;=$O$2,$D243,$D243-($D243-$I$238)*MIN(F$3-$O$2,$Q$2)/$Q$2))</f>
        <v>2327.421875</v>
      </c>
      <c r="G243" s="15" t="n">
        <f aca="false">F243*(1+IF(G$3&lt;=$O$2,$D243,$D243-($D243-$I$238)*MIN(G$3-$O$2,$Q$2)/$Q$2))</f>
        <v>2254.68994140625</v>
      </c>
      <c r="H243" s="15" t="n">
        <f aca="false">G243*(1+IF(H$3&lt;=$O$2,$D243,$D243-($D243-$I$238)*MIN(H$3-$O$2,$Q$2)/$Q$2))</f>
        <v>2184.2308807373</v>
      </c>
      <c r="I243" s="15" t="n">
        <f aca="false">H243*(1+IF(I$3&lt;=$O$2,$D243,$D243-($D243-$I$238)*MIN(I$3-$O$2,$Q$2)/$Q$2))</f>
        <v>2115.97366571426</v>
      </c>
      <c r="J243" s="15" t="n">
        <f aca="false">I243*(1+IF(J$3&lt;=$O$2,$D243,$D243-($D243-$I$238)*MIN(J$3-$O$2,$Q$2)/$Q$2))</f>
        <v>2075.05073501935</v>
      </c>
      <c r="K243" s="15" t="n">
        <f aca="false">J243*(1+IF(K$3&lt;=$O$2,$D243,$D243-($D243-$I$238)*MIN(K$3-$O$2,$Q$2)/$Q$2))</f>
        <v>2059.63310805816</v>
      </c>
      <c r="L243" s="15" t="n">
        <f aca="false">K243*(1+IF(L$3&lt;=$O$2,$D243,$D243-($D243-$I$238)*MIN(L$3-$O$2,$Q$2)/$Q$2))</f>
        <v>2068.86026438226</v>
      </c>
      <c r="M243" s="15" t="n">
        <f aca="false">L243*(1+IF(M$3&lt;=$O$2,$D243,$D243-($D243-$I$238)*MIN(M$3-$O$2,$Q$2)/$Q$2))</f>
        <v>2102.76888411548</v>
      </c>
      <c r="N243" s="15" t="n">
        <f aca="false">M243*(1+IF(N$3&lt;=$O$2,$D243,$D243-($D243-$I$238)*MIN(N$3-$O$2,$Q$2)/$Q$2))</f>
        <v>2162.27724353595</v>
      </c>
      <c r="O243" s="15" t="n">
        <f aca="false">SUMPRODUCT(E243:N243,1/(1+$F$238)^$E$3:$N$3)*$E$2</f>
        <v>4498.12102682368</v>
      </c>
      <c r="P243" s="15" t="n">
        <f aca="false">N243*$E$2*(1+$I$238)/($F$238-$I$238)/(1+$F$238)^$N$3</f>
        <v>6647.55309097139</v>
      </c>
      <c r="Q243" s="15" t="n">
        <f aca="false">O243+P243</f>
        <v>11145.6741177951</v>
      </c>
      <c r="R243" s="15" t="n">
        <f aca="false">Q243-$G$2+$I$2</f>
        <v>9871.00411779506</v>
      </c>
      <c r="S243" s="42" t="n">
        <f aca="false">R243/$K$2</f>
        <v>277.509252679085</v>
      </c>
      <c r="T243" s="43" t="n">
        <f aca="false">S243-$M$2</f>
        <v>-11.7794737757924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-0.03125</v>
      </c>
      <c r="C244" s="25" t="n">
        <f aca="false">IF(T243&gt;0,D243,C243)</f>
        <v>0.0625</v>
      </c>
      <c r="D244" s="41" t="n">
        <f aca="false">(B244+C244)/2</f>
        <v>0.015625</v>
      </c>
      <c r="E244" s="15" t="n">
        <f aca="false">$C$2*(1+IF(E$3&lt;=$O$2,$D244,$D244-($D244-$I$238)*MIN(E$3-$O$2,$Q$2)/$Q$2))</f>
        <v>2518.75</v>
      </c>
      <c r="F244" s="15" t="n">
        <f aca="false">E244*(1+IF(F$3&lt;=$O$2,$D244,$D244-($D244-$I$238)*MIN(F$3-$O$2,$Q$2)/$Q$2))</f>
        <v>2558.10546875</v>
      </c>
      <c r="G244" s="15" t="n">
        <f aca="false">F244*(1+IF(G$3&lt;=$O$2,$D244,$D244-($D244-$I$238)*MIN(G$3-$O$2,$Q$2)/$Q$2))</f>
        <v>2598.07586669922</v>
      </c>
      <c r="H244" s="15" t="n">
        <f aca="false">G244*(1+IF(H$3&lt;=$O$2,$D244,$D244-($D244-$I$238)*MIN(H$3-$O$2,$Q$2)/$Q$2))</f>
        <v>2638.67080211639</v>
      </c>
      <c r="I244" s="15" t="n">
        <f aca="false">H244*(1+IF(I$3&lt;=$O$2,$D244,$D244-($D244-$I$238)*MIN(I$3-$O$2,$Q$2)/$Q$2))</f>
        <v>2679.90003339946</v>
      </c>
      <c r="J244" s="15" t="n">
        <f aca="false">I244*(1+IF(J$3&lt;=$O$2,$D244,$D244-($D244-$I$238)*MIN(J$3-$O$2,$Q$2)/$Q$2))</f>
        <v>2728.567018006</v>
      </c>
      <c r="K244" s="15" t="n">
        <f aca="false">J244*(1+IF(K$3&lt;=$O$2,$D244,$D244-($D244-$I$238)*MIN(K$3-$O$2,$Q$2)/$Q$2))</f>
        <v>2785.03471244363</v>
      </c>
      <c r="L244" s="15" t="n">
        <f aca="false">K244*(1+IF(L$3&lt;=$O$2,$D244,$D244-($D244-$I$238)*MIN(L$3-$O$2,$Q$2)/$Q$2))</f>
        <v>2849.7310688137</v>
      </c>
      <c r="M244" s="15" t="n">
        <f aca="false">L244*(1+IF(M$3&lt;=$O$2,$D244,$D244-($D244-$I$238)*MIN(M$3-$O$2,$Q$2)/$Q$2))</f>
        <v>2923.15438980168</v>
      </c>
      <c r="N244" s="15" t="n">
        <f aca="false">M244*(1+IF(N$3&lt;=$O$2,$D244,$D244-($D244-$I$238)*MIN(N$3-$O$2,$Q$2)/$Q$2))</f>
        <v>3005.87965903307</v>
      </c>
      <c r="O244" s="15" t="n">
        <f aca="false">SUMPRODUCT(E244:N244,1/(1+$F$238)^$E$3:$N$3)*$E$2</f>
        <v>5527.05599624366</v>
      </c>
      <c r="P244" s="15" t="n">
        <f aca="false">N244*$E$2*(1+$I$238)/($F$238-$I$238)/(1+$F$238)^$N$3</f>
        <v>9241.06502911595</v>
      </c>
      <c r="Q244" s="15" t="n">
        <f aca="false">O244+P244</f>
        <v>14768.1210253596</v>
      </c>
      <c r="R244" s="15" t="n">
        <f aca="false">Q244-$G$2+$I$2</f>
        <v>13493.4510253596</v>
      </c>
      <c r="S244" s="42" t="n">
        <f aca="false">R244/$K$2</f>
        <v>379.349199475952</v>
      </c>
      <c r="T244" s="43" t="n">
        <f aca="false">S244-$M$2</f>
        <v>90.0604730210742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-0.03125</v>
      </c>
      <c r="C245" s="25" t="n">
        <f aca="false">IF(T244&gt;0,D244,C244)</f>
        <v>0.015625</v>
      </c>
      <c r="D245" s="41" t="n">
        <f aca="false">(B245+C245)/2</f>
        <v>-0.0078125</v>
      </c>
      <c r="E245" s="15" t="n">
        <f aca="false">$C$2*(1+IF(E$3&lt;=$O$2,$D245,$D245-($D245-$I$238)*MIN(E$3-$O$2,$Q$2)/$Q$2))</f>
        <v>2460.625</v>
      </c>
      <c r="F245" s="15" t="n">
        <f aca="false">E245*(1+IF(F$3&lt;=$O$2,$D245,$D245-($D245-$I$238)*MIN(F$3-$O$2,$Q$2)/$Q$2))</f>
        <v>2441.4013671875</v>
      </c>
      <c r="G245" s="15" t="n">
        <f aca="false">F245*(1+IF(G$3&lt;=$O$2,$D245,$D245-($D245-$I$238)*MIN(G$3-$O$2,$Q$2)/$Q$2))</f>
        <v>2422.32791900635</v>
      </c>
      <c r="H245" s="15" t="n">
        <f aca="false">G245*(1+IF(H$3&lt;=$O$2,$D245,$D245-($D245-$I$238)*MIN(H$3-$O$2,$Q$2)/$Q$2))</f>
        <v>2403.40348213911</v>
      </c>
      <c r="I245" s="15" t="n">
        <f aca="false">H245*(1+IF(I$3&lt;=$O$2,$D245,$D245-($D245-$I$238)*MIN(I$3-$O$2,$Q$2)/$Q$2))</f>
        <v>2384.6268924349</v>
      </c>
      <c r="J245" s="15" t="n">
        <f aca="false">I245*(1+IF(J$3&lt;=$O$2,$D245,$D245-($D245-$I$238)*MIN(J$3-$O$2,$Q$2)/$Q$2))</f>
        <v>2383.21996256836</v>
      </c>
      <c r="K245" s="15" t="n">
        <f aca="false">J245*(1+IF(K$3&lt;=$O$2,$D245,$D245-($D245-$I$238)*MIN(K$3-$O$2,$Q$2)/$Q$2))</f>
        <v>2399.0266689701</v>
      </c>
      <c r="L245" s="15" t="n">
        <f aca="false">K245*(1+IF(L$3&lt;=$O$2,$D245,$D245-($D245-$I$238)*MIN(L$3-$O$2,$Q$2)/$Q$2))</f>
        <v>2432.26518346868</v>
      </c>
      <c r="M245" s="15" t="n">
        <f aca="false">L245*(1+IF(M$3&lt;=$O$2,$D245,$D245-($D245-$I$238)*MIN(M$3-$O$2,$Q$2)/$Q$2))</f>
        <v>2483.53125287324</v>
      </c>
      <c r="N245" s="15" t="n">
        <f aca="false">M245*(1+IF(N$3&lt;=$O$2,$D245,$D245-($D245-$I$238)*MIN(N$3-$O$2,$Q$2)/$Q$2))</f>
        <v>2553.81518732955</v>
      </c>
      <c r="O245" s="15" t="n">
        <f aca="false">SUMPRODUCT(E245:N245,1/(1+$F$238)^$E$3:$N$3)*$E$2</f>
        <v>4985.49945449886</v>
      </c>
      <c r="P245" s="15" t="n">
        <f aca="false">N245*$E$2*(1+$I$238)/($F$238-$I$238)/(1+$F$238)^$N$3</f>
        <v>7851.26980966628</v>
      </c>
      <c r="Q245" s="15" t="n">
        <f aca="false">O245+P245</f>
        <v>12836.7692641651</v>
      </c>
      <c r="R245" s="15" t="n">
        <f aca="false">Q245-$G$2+$I$2</f>
        <v>11562.0992641651</v>
      </c>
      <c r="S245" s="42" t="n">
        <f aca="false">R245/$K$2</f>
        <v>325.051989433937</v>
      </c>
      <c r="T245" s="43" t="n">
        <f aca="false">S245-$M$2</f>
        <v>35.7632629790594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-0.03125</v>
      </c>
      <c r="C246" s="25" t="n">
        <f aca="false">IF(T245&gt;0,D245,C245)</f>
        <v>-0.0078125</v>
      </c>
      <c r="D246" s="41" t="n">
        <f aca="false">(B246+C246)/2</f>
        <v>-0.01953125</v>
      </c>
      <c r="E246" s="15" t="n">
        <f aca="false">$C$2*(1+IF(E$3&lt;=$O$2,$D246,$D246-($D246-$I$238)*MIN(E$3-$O$2,$Q$2)/$Q$2))</f>
        <v>2431.5625</v>
      </c>
      <c r="F246" s="15" t="n">
        <f aca="false">E246*(1+IF(F$3&lt;=$O$2,$D246,$D246-($D246-$I$238)*MIN(F$3-$O$2,$Q$2)/$Q$2))</f>
        <v>2384.07104492188</v>
      </c>
      <c r="G246" s="15" t="n">
        <f aca="false">F246*(1+IF(G$3&lt;=$O$2,$D246,$D246-($D246-$I$238)*MIN(G$3-$O$2,$Q$2)/$Q$2))</f>
        <v>2337.50715732574</v>
      </c>
      <c r="H246" s="15" t="n">
        <f aca="false">G246*(1+IF(H$3&lt;=$O$2,$D246,$D246-($D246-$I$238)*MIN(H$3-$O$2,$Q$2)/$Q$2))</f>
        <v>2291.85272065923</v>
      </c>
      <c r="I246" s="15" t="n">
        <f aca="false">H246*(1+IF(I$3&lt;=$O$2,$D246,$D246-($D246-$I$238)*MIN(I$3-$O$2,$Q$2)/$Q$2))</f>
        <v>2247.08997220885</v>
      </c>
      <c r="J246" s="15" t="n">
        <f aca="false">I246*(1+IF(J$3&lt;=$O$2,$D246,$D246-($D246-$I$238)*MIN(J$3-$O$2,$Q$2)/$Q$2))</f>
        <v>2224.69772063579</v>
      </c>
      <c r="K246" s="15" t="n">
        <f aca="false">J246*(1+IF(K$3&lt;=$O$2,$D246,$D246-($D246-$I$238)*MIN(K$3-$O$2,$Q$2)/$Q$2))</f>
        <v>2223.81062241969</v>
      </c>
      <c r="L246" s="15" t="n">
        <f aca="false">K246*(1+IF(L$3&lt;=$O$2,$D246,$D246-($D246-$I$238)*MIN(L$3-$O$2,$Q$2)/$Q$2))</f>
        <v>2244.19740630072</v>
      </c>
      <c r="M246" s="15" t="n">
        <f aca="false">L246*(1+IF(M$3&lt;=$O$2,$D246,$D246-($D246-$I$238)*MIN(M$3-$O$2,$Q$2)/$Q$2))</f>
        <v>2286.23963946101</v>
      </c>
      <c r="N246" s="15" t="n">
        <f aca="false">M246*(1+IF(N$3&lt;=$O$2,$D246,$D246-($D246-$I$238)*MIN(N$3-$O$2,$Q$2)/$Q$2))</f>
        <v>2350.94022125775</v>
      </c>
      <c r="O246" s="15" t="n">
        <f aca="false">SUMPRODUCT(E246:N246,1/(1+$F$238)^$E$3:$N$3)*$E$2</f>
        <v>4735.37230246791</v>
      </c>
      <c r="P246" s="15" t="n">
        <f aca="false">N246*$E$2*(1+$I$238)/($F$238-$I$238)/(1+$F$238)^$N$3</f>
        <v>7227.56528157075</v>
      </c>
      <c r="Q246" s="15" t="n">
        <f aca="false">O246+P246</f>
        <v>11962.9375840387</v>
      </c>
      <c r="R246" s="15" t="n">
        <f aca="false">Q246-$G$2+$I$2</f>
        <v>10688.2675840387</v>
      </c>
      <c r="S246" s="42" t="n">
        <f aca="false">R246/$K$2</f>
        <v>300.485453585568</v>
      </c>
      <c r="T246" s="43" t="n">
        <f aca="false">S246-$M$2</f>
        <v>11.1967271306904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-0.03125</v>
      </c>
      <c r="C247" s="25" t="n">
        <f aca="false">IF(T246&gt;0,D246,C246)</f>
        <v>-0.01953125</v>
      </c>
      <c r="D247" s="41" t="n">
        <f aca="false">(B247+C247)/2</f>
        <v>-0.025390625</v>
      </c>
      <c r="E247" s="15" t="n">
        <f aca="false">$C$2*(1+IF(E$3&lt;=$O$2,$D247,$D247-($D247-$I$238)*MIN(E$3-$O$2,$Q$2)/$Q$2))</f>
        <v>2417.03125</v>
      </c>
      <c r="F247" s="15" t="n">
        <f aca="false">E247*(1+IF(F$3&lt;=$O$2,$D247,$D247-($D247-$I$238)*MIN(F$3-$O$2,$Q$2)/$Q$2))</f>
        <v>2355.66131591797</v>
      </c>
      <c r="G247" s="15" t="n">
        <f aca="false">F247*(1+IF(G$3&lt;=$O$2,$D247,$D247-($D247-$I$238)*MIN(G$3-$O$2,$Q$2)/$Q$2))</f>
        <v>2295.84960281849</v>
      </c>
      <c r="H247" s="15" t="n">
        <f aca="false">G247*(1+IF(H$3&lt;=$O$2,$D247,$D247-($D247-$I$238)*MIN(H$3-$O$2,$Q$2)/$Q$2))</f>
        <v>2237.55654649693</v>
      </c>
      <c r="I247" s="15" t="n">
        <f aca="false">H247*(1+IF(I$3&lt;=$O$2,$D247,$D247-($D247-$I$238)*MIN(I$3-$O$2,$Q$2)/$Q$2))</f>
        <v>2180.74358730853</v>
      </c>
      <c r="J247" s="15" t="n">
        <f aca="false">I247*(1+IF(J$3&lt;=$O$2,$D247,$D247-($D247-$I$238)*MIN(J$3-$O$2,$Q$2)/$Q$2))</f>
        <v>2148.79024189549</v>
      </c>
      <c r="K247" s="15" t="n">
        <f aca="false">J247*(1+IF(K$3&lt;=$O$2,$D247,$D247-($D247-$I$238)*MIN(K$3-$O$2,$Q$2)/$Q$2))</f>
        <v>2140.37907109237</v>
      </c>
      <c r="L247" s="15" t="n">
        <f aca="false">K247*(1+IF(L$3&lt;=$O$2,$D247,$D247-($D247-$I$238)*MIN(L$3-$O$2,$Q$2)/$Q$2))</f>
        <v>2154.98448277874</v>
      </c>
      <c r="M247" s="15" t="n">
        <f aca="false">L247*(1+IF(M$3&lt;=$O$2,$D247,$D247-($D247-$I$238)*MIN(M$3-$O$2,$Q$2)/$Q$2))</f>
        <v>2192.83005089224</v>
      </c>
      <c r="N247" s="15" t="n">
        <f aca="false">M247*(1+IF(N$3&lt;=$O$2,$D247,$D247-($D247-$I$238)*MIN(N$3-$O$2,$Q$2)/$Q$2))</f>
        <v>2254.88714133249</v>
      </c>
      <c r="O247" s="15" t="n">
        <f aca="false">SUMPRODUCT(E247:N247,1/(1+$F$238)^$E$3:$N$3)*$E$2</f>
        <v>4615.17738834572</v>
      </c>
      <c r="P247" s="15" t="n">
        <f aca="false">N247*$E$2*(1+$I$238)/($F$238-$I$238)/(1+$F$238)^$N$3</f>
        <v>6932.26644777719</v>
      </c>
      <c r="Q247" s="15" t="n">
        <f aca="false">O247+P247</f>
        <v>11547.4438361229</v>
      </c>
      <c r="R247" s="15" t="n">
        <f aca="false">Q247-$G$2+$I$2</f>
        <v>10272.7738361229</v>
      </c>
      <c r="S247" s="42" t="n">
        <f aca="false">R247/$K$2</f>
        <v>288.804437338288</v>
      </c>
      <c r="T247" s="43" t="n">
        <f aca="false">S247-$M$2</f>
        <v>-0.484289116589764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-0.025390625</v>
      </c>
      <c r="C248" s="25" t="n">
        <f aca="false">IF(T247&gt;0,D247,C247)</f>
        <v>-0.01953125</v>
      </c>
      <c r="D248" s="41" t="n">
        <f aca="false">(B248+C248)/2</f>
        <v>-0.0224609375</v>
      </c>
      <c r="E248" s="15" t="n">
        <f aca="false">$C$2*(1+IF(E$3&lt;=$O$2,$D248,$D248-($D248-$I$238)*MIN(E$3-$O$2,$Q$2)/$Q$2))</f>
        <v>2424.296875</v>
      </c>
      <c r="F248" s="15" t="n">
        <f aca="false">E248*(1+IF(F$3&lt;=$O$2,$D248,$D248-($D248-$I$238)*MIN(F$3-$O$2,$Q$2)/$Q$2))</f>
        <v>2369.84489440918</v>
      </c>
      <c r="G248" s="15" t="n">
        <f aca="false">F248*(1+IF(G$3&lt;=$O$2,$D248,$D248-($D248-$I$238)*MIN(G$3-$O$2,$Q$2)/$Q$2))</f>
        <v>2316.61595635116</v>
      </c>
      <c r="H248" s="15" t="n">
        <f aca="false">G248*(1+IF(H$3&lt;=$O$2,$D248,$D248-($D248-$I$238)*MIN(H$3-$O$2,$Q$2)/$Q$2))</f>
        <v>2264.58259014406</v>
      </c>
      <c r="I248" s="15" t="n">
        <f aca="false">H248*(1+IF(I$3&lt;=$O$2,$D248,$D248-($D248-$I$238)*MIN(I$3-$O$2,$Q$2)/$Q$2))</f>
        <v>2213.71794212324</v>
      </c>
      <c r="J248" s="15" t="n">
        <f aca="false">I248*(1+IF(J$3&lt;=$O$2,$D248,$D248-($D248-$I$238)*MIN(J$3-$O$2,$Q$2)/$Q$2))</f>
        <v>2186.46984140313</v>
      </c>
      <c r="K248" s="15" t="n">
        <f aca="false">J248*(1+IF(K$3&lt;=$O$2,$D248,$D248-($D248-$I$238)*MIN(K$3-$O$2,$Q$2)/$Q$2))</f>
        <v>2181.75458253578</v>
      </c>
      <c r="L248" s="15" t="n">
        <f aca="false">K248*(1+IF(L$3&lt;=$O$2,$D248,$D248-($D248-$I$238)*MIN(L$3-$O$2,$Q$2)/$Q$2))</f>
        <v>2199.19907401977</v>
      </c>
      <c r="M248" s="15" t="n">
        <f aca="false">L248*(1+IF(M$3&lt;=$O$2,$D248,$D248-($D248-$I$238)*MIN(M$3-$O$2,$Q$2)/$Q$2))</f>
        <v>2239.10972646525</v>
      </c>
      <c r="N248" s="15" t="n">
        <f aca="false">M248*(1+IF(N$3&lt;=$O$2,$D248,$D248-($D248-$I$238)*MIN(N$3-$O$2,$Q$2)/$Q$2))</f>
        <v>2302.47653172422</v>
      </c>
      <c r="O248" s="15" t="n">
        <f aca="false">SUMPRODUCT(E248:N248,1/(1+$F$238)^$E$3:$N$3)*$E$2</f>
        <v>4674.87756929495</v>
      </c>
      <c r="P248" s="15" t="n">
        <f aca="false">N248*$E$2*(1+$I$238)/($F$238-$I$238)/(1+$F$238)^$N$3</f>
        <v>7078.57192277663</v>
      </c>
      <c r="Q248" s="15" t="n">
        <f aca="false">O248+P248</f>
        <v>11753.4494920716</v>
      </c>
      <c r="R248" s="15" t="n">
        <f aca="false">Q248-$G$2+$I$2</f>
        <v>10478.7794920716</v>
      </c>
      <c r="S248" s="42" t="n">
        <f aca="false">R248/$K$2</f>
        <v>294.595993592116</v>
      </c>
      <c r="T248" s="43" t="n">
        <f aca="false">S248-$M$2</f>
        <v>5.30726713723874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-0.025390625</v>
      </c>
      <c r="C249" s="25" t="n">
        <f aca="false">IF(T248&gt;0,D248,C248)</f>
        <v>-0.0224609375</v>
      </c>
      <c r="D249" s="41" t="n">
        <f aca="false">(B249+C249)/2</f>
        <v>-0.02392578125</v>
      </c>
      <c r="E249" s="15" t="n">
        <f aca="false">$C$2*(1+IF(E$3&lt;=$O$2,$D249,$D249-($D249-$I$238)*MIN(E$3-$O$2,$Q$2)/$Q$2))</f>
        <v>2420.6640625</v>
      </c>
      <c r="F249" s="15" t="n">
        <f aca="false">E249*(1+IF(F$3&lt;=$O$2,$D249,$D249-($D249-$I$238)*MIN(F$3-$O$2,$Q$2)/$Q$2))</f>
        <v>2362.74778366089</v>
      </c>
      <c r="G249" s="15" t="n">
        <f aca="false">F249*(1+IF(G$3&lt;=$O$2,$D249,$D249-($D249-$I$238)*MIN(G$3-$O$2,$Q$2)/$Q$2))</f>
        <v>2306.2171970401</v>
      </c>
      <c r="H249" s="15" t="n">
        <f aca="false">G249*(1+IF(H$3&lt;=$O$2,$D249,$D249-($D249-$I$238)*MIN(H$3-$O$2,$Q$2)/$Q$2))</f>
        <v>2251.03914886873</v>
      </c>
      <c r="I249" s="15" t="n">
        <f aca="false">H249*(1+IF(I$3&lt;=$O$2,$D249,$D249-($D249-$I$238)*MIN(I$3-$O$2,$Q$2)/$Q$2))</f>
        <v>2197.18127860771</v>
      </c>
      <c r="J249" s="15" t="n">
        <f aca="false">I249*(1+IF(J$3&lt;=$O$2,$D249,$D249-($D249-$I$238)*MIN(J$3-$O$2,$Q$2)/$Q$2))</f>
        <v>2167.56190173378</v>
      </c>
      <c r="K249" s="15" t="n">
        <f aca="false">J249*(1+IF(K$3&lt;=$O$2,$D249,$D249-($D249-$I$238)*MIN(K$3-$O$2,$Q$2)/$Q$2))</f>
        <v>2160.98233531737</v>
      </c>
      <c r="L249" s="15" t="n">
        <f aca="false">K249*(1+IF(L$3&lt;=$O$2,$D249,$D249-($D249-$I$238)*MIN(L$3-$O$2,$Q$2)/$Q$2))</f>
        <v>2176.99453911509</v>
      </c>
      <c r="M249" s="15" t="n">
        <f aca="false">L249*(1+IF(M$3&lt;=$O$2,$D249,$D249-($D249-$I$238)*MIN(M$3-$O$2,$Q$2)/$Q$2))</f>
        <v>2215.8644364556</v>
      </c>
      <c r="N249" s="15" t="n">
        <f aca="false">M249*(1+IF(N$3&lt;=$O$2,$D249,$D249-($D249-$I$238)*MIN(N$3-$O$2,$Q$2)/$Q$2))</f>
        <v>2278.57340000729</v>
      </c>
      <c r="O249" s="15" t="n">
        <f aca="false">SUMPRODUCT(E249:N249,1/(1+$F$238)^$E$3:$N$3)*$E$2</f>
        <v>4644.92878369108</v>
      </c>
      <c r="P249" s="15" t="n">
        <f aca="false">N249*$E$2*(1+$I$238)/($F$238-$I$238)/(1+$F$238)^$N$3</f>
        <v>7005.08581566258</v>
      </c>
      <c r="Q249" s="15" t="n">
        <f aca="false">O249+P249</f>
        <v>11650.0145993537</v>
      </c>
      <c r="R249" s="15" t="n">
        <f aca="false">Q249-$G$2+$I$2</f>
        <v>10375.3445993537</v>
      </c>
      <c r="S249" s="42" t="n">
        <f aca="false">R249/$K$2</f>
        <v>291.688068578961</v>
      </c>
      <c r="T249" s="43" t="n">
        <f aca="false">S249-$M$2</f>
        <v>2.3993421240836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-0.025390625</v>
      </c>
      <c r="C250" s="25" t="n">
        <f aca="false">IF(T249&gt;0,D249,C249)</f>
        <v>-0.02392578125</v>
      </c>
      <c r="D250" s="41" t="n">
        <f aca="false">(B250+C250)/2</f>
        <v>-0.024658203125</v>
      </c>
      <c r="E250" s="15" t="n">
        <f aca="false">$C$2*(1+IF(E$3&lt;=$O$2,$D250,$D250-($D250-$I$238)*MIN(E$3-$O$2,$Q$2)/$Q$2))</f>
        <v>2418.84765625</v>
      </c>
      <c r="F250" s="15" t="n">
        <f aca="false">E250*(1+IF(F$3&lt;=$O$2,$D250,$D250-($D250-$I$238)*MIN(F$3-$O$2,$Q$2)/$Q$2))</f>
        <v>2359.20321941376</v>
      </c>
      <c r="G250" s="15" t="n">
        <f aca="false">F250*(1+IF(G$3&lt;=$O$2,$D250,$D250-($D250-$I$238)*MIN(G$3-$O$2,$Q$2)/$Q$2))</f>
        <v>2301.0295072163</v>
      </c>
      <c r="H250" s="15" t="n">
        <f aca="false">G250*(1+IF(H$3&lt;=$O$2,$D250,$D250-($D250-$I$238)*MIN(H$3-$O$2,$Q$2)/$Q$2))</f>
        <v>2244.29025423074</v>
      </c>
      <c r="I250" s="15" t="n">
        <f aca="false">H250*(1+IF(I$3&lt;=$O$2,$D250,$D250-($D250-$I$238)*MIN(I$3-$O$2,$Q$2)/$Q$2))</f>
        <v>2188.95008927046</v>
      </c>
      <c r="J250" s="15" t="n">
        <f aca="false">I250*(1+IF(J$3&lt;=$O$2,$D250,$D250-($D250-$I$238)*MIN(J$3-$O$2,$Q$2)/$Q$2))</f>
        <v>2158.15908603036</v>
      </c>
      <c r="K250" s="15" t="n">
        <f aca="false">J250*(1+IF(K$3&lt;=$O$2,$D250,$D250-($D250-$I$238)*MIN(K$3-$O$2,$Q$2)/$Q$2))</f>
        <v>2150.65965181258</v>
      </c>
      <c r="L250" s="15" t="n">
        <f aca="false">K250*(1+IF(L$3&lt;=$O$2,$D250,$D250-($D250-$I$238)*MIN(L$3-$O$2,$Q$2)/$Q$2))</f>
        <v>2165.9652916815</v>
      </c>
      <c r="M250" s="15" t="n">
        <f aca="false">L250*(1+IF(M$3&lt;=$O$2,$D250,$D250-($D250-$I$238)*MIN(M$3-$O$2,$Q$2)/$Q$2))</f>
        <v>2204.32098346038</v>
      </c>
      <c r="N250" s="15" t="n">
        <f aca="false">M250*(1+IF(N$3&lt;=$O$2,$D250,$D250-($D250-$I$238)*MIN(N$3-$O$2,$Q$2)/$Q$2))</f>
        <v>2266.70326729231</v>
      </c>
      <c r="O250" s="15" t="n">
        <f aca="false">SUMPRODUCT(E250:N250,1/(1+$F$238)^$E$3:$N$3)*$E$2</f>
        <v>4630.02848984834</v>
      </c>
      <c r="P250" s="15" t="n">
        <f aca="false">N250*$E$2*(1+$I$238)/($F$238-$I$238)/(1+$F$238)^$N$3</f>
        <v>6968.59311443491</v>
      </c>
      <c r="Q250" s="15" t="n">
        <f aca="false">O250+P250</f>
        <v>11598.6216042833</v>
      </c>
      <c r="R250" s="15" t="n">
        <f aca="false">Q250-$G$2+$I$2</f>
        <v>10323.9516042833</v>
      </c>
      <c r="S250" s="42" t="n">
        <f aca="false">R250/$K$2</f>
        <v>290.24322755927</v>
      </c>
      <c r="T250" s="43" t="n">
        <f aca="false">S250-$M$2</f>
        <v>0.954501104392762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-0.025390625</v>
      </c>
      <c r="C251" s="25" t="n">
        <f aca="false">IF(T250&gt;0,D250,C250)</f>
        <v>-0.024658203125</v>
      </c>
      <c r="D251" s="41" t="n">
        <f aca="false">(B251+C251)/2</f>
        <v>-0.0250244140625</v>
      </c>
      <c r="E251" s="15" t="n">
        <f aca="false">$C$2*(1+IF(E$3&lt;=$O$2,$D251,$D251-($D251-$I$238)*MIN(E$3-$O$2,$Q$2)/$Q$2))</f>
        <v>2417.939453125</v>
      </c>
      <c r="F251" s="15" t="n">
        <f aca="false">E251*(1+IF(F$3&lt;=$O$2,$D251,$D251-($D251-$I$238)*MIN(F$3-$O$2,$Q$2)/$Q$2))</f>
        <v>2357.43193507195</v>
      </c>
      <c r="G251" s="15" t="n">
        <f aca="false">F251*(1+IF(G$3&lt;=$O$2,$D251,$D251-($D251-$I$238)*MIN(G$3-$O$2,$Q$2)/$Q$2))</f>
        <v>2298.43858220454</v>
      </c>
      <c r="H251" s="15" t="n">
        <f aca="false">G251*(1+IF(H$3&lt;=$O$2,$D251,$D251-($D251-$I$238)*MIN(H$3-$O$2,$Q$2)/$Q$2))</f>
        <v>2240.92150342623</v>
      </c>
      <c r="I251" s="15" t="n">
        <f aca="false">H251*(1+IF(I$3&lt;=$O$2,$D251,$D251-($D251-$I$238)*MIN(I$3-$O$2,$Q$2)/$Q$2))</f>
        <v>2184.84375584293</v>
      </c>
      <c r="J251" s="15" t="n">
        <f aca="false">I251*(1+IF(J$3&lt;=$O$2,$D251,$D251-($D251-$I$238)*MIN(J$3-$O$2,$Q$2)/$Q$2))</f>
        <v>2153.47042365454</v>
      </c>
      <c r="K251" s="15" t="n">
        <f aca="false">J251*(1+IF(K$3&lt;=$O$2,$D251,$D251-($D251-$I$238)*MIN(K$3-$O$2,$Q$2)/$Q$2))</f>
        <v>2145.51410751858</v>
      </c>
      <c r="L251" s="15" t="n">
        <f aca="false">K251*(1+IF(L$3&lt;=$O$2,$D251,$D251-($D251-$I$238)*MIN(L$3-$O$2,$Q$2)/$Q$2))</f>
        <v>2160.46884370286</v>
      </c>
      <c r="M251" s="15" t="n">
        <f aca="false">L251*(1+IF(M$3&lt;=$O$2,$D251,$D251-($D251-$I$238)*MIN(M$3-$O$2,$Q$2)/$Q$2))</f>
        <v>2198.5689649415</v>
      </c>
      <c r="N251" s="15" t="n">
        <f aca="false">M251*(1+IF(N$3&lt;=$O$2,$D251,$D251-($D251-$I$238)*MIN(N$3-$O$2,$Q$2)/$Q$2))</f>
        <v>2260.78846664934</v>
      </c>
      <c r="O251" s="15" t="n">
        <f aca="false">SUMPRODUCT(E251:N251,1/(1+$F$238)^$E$3:$N$3)*$E$2</f>
        <v>4622.59679973269</v>
      </c>
      <c r="P251" s="15" t="n">
        <f aca="false">N251*$E$2*(1+$I$238)/($F$238-$I$238)/(1+$F$238)^$N$3</f>
        <v>6950.4090673086</v>
      </c>
      <c r="Q251" s="15" t="n">
        <f aca="false">O251+P251</f>
        <v>11573.0058670413</v>
      </c>
      <c r="R251" s="15" t="n">
        <f aca="false">Q251-$G$2+$I$2</f>
        <v>10298.3358670413</v>
      </c>
      <c r="S251" s="42" t="n">
        <f aca="false">R251/$K$2</f>
        <v>289.523077510298</v>
      </c>
      <c r="T251" s="43" t="n">
        <f aca="false">S251-$M$2</f>
        <v>0.234351055419836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-0.025390625</v>
      </c>
      <c r="C252" s="25" t="n">
        <f aca="false">IF(T251&gt;0,D251,C251)</f>
        <v>-0.0250244140625</v>
      </c>
      <c r="D252" s="41" t="n">
        <f aca="false">(B252+C252)/2</f>
        <v>-0.02520751953125</v>
      </c>
      <c r="E252" s="15" t="n">
        <f aca="false">$C$2*(1+IF(E$3&lt;=$O$2,$D252,$D252-($D252-$I$238)*MIN(E$3-$O$2,$Q$2)/$Q$2))</f>
        <v>2417.4853515625</v>
      </c>
      <c r="F252" s="15" t="n">
        <f aca="false">E252*(1+IF(F$3&lt;=$O$2,$D252,$D252-($D252-$I$238)*MIN(F$3-$O$2,$Q$2)/$Q$2))</f>
        <v>2356.54654234648</v>
      </c>
      <c r="G252" s="15" t="n">
        <f aca="false">F252*(1+IF(G$3&lt;=$O$2,$D252,$D252-($D252-$I$238)*MIN(G$3-$O$2,$Q$2)/$Q$2))</f>
        <v>2297.14384935398</v>
      </c>
      <c r="H252" s="15" t="n">
        <f aca="false">G252*(1+IF(H$3&lt;=$O$2,$D252,$D252-($D252-$I$238)*MIN(H$3-$O$2,$Q$2)/$Q$2))</f>
        <v>2239.2385509053</v>
      </c>
      <c r="I252" s="15" t="n">
        <f aca="false">H252*(1+IF(I$3&lt;=$O$2,$D252,$D252-($D252-$I$238)*MIN(I$3-$O$2,$Q$2)/$Q$2))</f>
        <v>2182.79290139823</v>
      </c>
      <c r="J252" s="15" t="n">
        <f aca="false">I252*(1+IF(J$3&lt;=$O$2,$D252,$D252-($D252-$I$238)*MIN(J$3-$O$2,$Q$2)/$Q$2))</f>
        <v>2151.1292734644</v>
      </c>
      <c r="K252" s="15" t="n">
        <f aca="false">J252*(1+IF(K$3&lt;=$O$2,$D252,$D252-($D252-$I$238)*MIN(K$3-$O$2,$Q$2)/$Q$2))</f>
        <v>2142.94527693496</v>
      </c>
      <c r="L252" s="15" t="n">
        <f aca="false">K252*(1+IF(L$3&lt;=$O$2,$D252,$D252-($D252-$I$238)*MIN(L$3-$O$2,$Q$2)/$Q$2))</f>
        <v>2157.72515376822</v>
      </c>
      <c r="M252" s="15" t="n">
        <f aca="false">L252*(1+IF(M$3&lt;=$O$2,$D252,$D252-($D252-$I$238)*MIN(M$3-$O$2,$Q$2)/$Q$2))</f>
        <v>2195.6978714582</v>
      </c>
      <c r="N252" s="15" t="n">
        <f aca="false">M252*(1+IF(N$3&lt;=$O$2,$D252,$D252-($D252-$I$238)*MIN(N$3-$O$2,$Q$2)/$Q$2))</f>
        <v>2257.83612122047</v>
      </c>
      <c r="O252" s="15" t="n">
        <f aca="false">SUMPRODUCT(E252:N252,1/(1+$F$238)^$E$3:$N$3)*$E$2</f>
        <v>4618.88556040643</v>
      </c>
      <c r="P252" s="15" t="n">
        <f aca="false">N252*$E$2*(1+$I$238)/($F$238-$I$238)/(1+$F$238)^$N$3</f>
        <v>6941.33258415177</v>
      </c>
      <c r="Q252" s="15" t="n">
        <f aca="false">O252+P252</f>
        <v>11560.2181445582</v>
      </c>
      <c r="R252" s="15" t="n">
        <f aca="false">Q252-$G$2+$I$2</f>
        <v>10285.5481445582</v>
      </c>
      <c r="S252" s="42" t="n">
        <f aca="false">R252/$K$2</f>
        <v>289.163568865848</v>
      </c>
      <c r="T252" s="43" t="n">
        <f aca="false">S252-$M$2</f>
        <v>-0.125157589030209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-0.02520751953125</v>
      </c>
      <c r="C253" s="25" t="n">
        <f aca="false">IF(T252&gt;0,D252,C252)</f>
        <v>-0.0250244140625</v>
      </c>
      <c r="D253" s="41" t="n">
        <f aca="false">(B253+C253)/2</f>
        <v>-0.025115966796875</v>
      </c>
      <c r="E253" s="15" t="n">
        <f aca="false">$C$2*(1+IF(E$3&lt;=$O$2,$D253,$D253-($D253-$I$238)*MIN(E$3-$O$2,$Q$2)/$Q$2))</f>
        <v>2417.71240234375</v>
      </c>
      <c r="F253" s="15" t="n">
        <f aca="false">E253*(1+IF(F$3&lt;=$O$2,$D253,$D253-($D253-$I$238)*MIN(F$3-$O$2,$Q$2)/$Q$2))</f>
        <v>2356.98921792209</v>
      </c>
      <c r="G253" s="15" t="n">
        <f aca="false">F253*(1+IF(G$3&lt;=$O$2,$D253,$D253-($D253-$I$238)*MIN(G$3-$O$2,$Q$2)/$Q$2))</f>
        <v>2297.79115498417</v>
      </c>
      <c r="H253" s="15" t="n">
        <f aca="false">G253*(1+IF(H$3&lt;=$O$2,$D253,$D253-($D253-$I$238)*MIN(H$3-$O$2,$Q$2)/$Q$2))</f>
        <v>2240.07990862943</v>
      </c>
      <c r="I253" s="15" t="n">
        <f aca="false">H253*(1+IF(I$3&lt;=$O$2,$D253,$D253-($D253-$I$238)*MIN(I$3-$O$2,$Q$2)/$Q$2))</f>
        <v>2183.81813602195</v>
      </c>
      <c r="J253" s="15" t="n">
        <f aca="false">I253*(1+IF(J$3&lt;=$O$2,$D253,$D253-($D253-$I$238)*MIN(J$3-$O$2,$Q$2)/$Q$2))</f>
        <v>2152.29958363604</v>
      </c>
      <c r="K253" s="15" t="n">
        <f aca="false">J253*(1+IF(K$3&lt;=$O$2,$D253,$D253-($D253-$I$238)*MIN(K$3-$O$2,$Q$2)/$Q$2))</f>
        <v>2144.22936399508</v>
      </c>
      <c r="L253" s="15" t="n">
        <f aca="false">K253*(1+IF(L$3&lt;=$O$2,$D253,$D253-($D253-$I$238)*MIN(L$3-$O$2,$Q$2)/$Q$2))</f>
        <v>2159.09662119132</v>
      </c>
      <c r="M253" s="15" t="n">
        <f aca="false">L253*(1+IF(M$3&lt;=$O$2,$D253,$D253-($D253-$I$238)*MIN(M$3-$O$2,$Q$2)/$Q$2))</f>
        <v>2197.13300888528</v>
      </c>
      <c r="N253" s="15" t="n">
        <f aca="false">M253*(1+IF(N$3&lt;=$O$2,$D253,$D253-($D253-$I$238)*MIN(N$3-$O$2,$Q$2)/$Q$2))</f>
        <v>2259.31187303673</v>
      </c>
      <c r="O253" s="15" t="n">
        <f aca="false">SUMPRODUCT(E253:N253,1/(1+$F$238)^$E$3:$N$3)*$E$2</f>
        <v>4620.74079651039</v>
      </c>
      <c r="P253" s="15" t="n">
        <f aca="false">N253*$E$2*(1+$I$238)/($F$238-$I$238)/(1+$F$238)^$N$3</f>
        <v>6945.86953175044</v>
      </c>
      <c r="Q253" s="15" t="n">
        <f aca="false">O253+P253</f>
        <v>11566.6103282608</v>
      </c>
      <c r="R253" s="15" t="n">
        <f aca="false">Q253-$G$2+$I$2</f>
        <v>10291.9403282608</v>
      </c>
      <c r="S253" s="42" t="n">
        <f aca="false">R253/$K$2</f>
        <v>289.34327602645</v>
      </c>
      <c r="T253" s="43" t="n">
        <f aca="false">S253-$M$2</f>
        <v>0.0545495715725224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-0.02520751953125</v>
      </c>
      <c r="C254" s="25" t="n">
        <f aca="false">IF(T253&gt;0,D253,C253)</f>
        <v>-0.025115966796875</v>
      </c>
      <c r="D254" s="41" t="n">
        <f aca="false">(B254+C254)/2</f>
        <v>-0.0251617431640625</v>
      </c>
      <c r="E254" s="15" t="n">
        <f aca="false">$C$2*(1+IF(E$3&lt;=$O$2,$D254,$D254-($D254-$I$238)*MIN(E$3-$O$2,$Q$2)/$Q$2))</f>
        <v>2417.59887695313</v>
      </c>
      <c r="F254" s="15" t="n">
        <f aca="false">E254*(1+IF(F$3&lt;=$O$2,$D254,$D254-($D254-$I$238)*MIN(F$3-$O$2,$Q$2)/$Q$2))</f>
        <v>2356.7678749375</v>
      </c>
      <c r="G254" s="15" t="n">
        <f aca="false">F254*(1+IF(G$3&lt;=$O$2,$D254,$D254-($D254-$I$238)*MIN(G$3-$O$2,$Q$2)/$Q$2))</f>
        <v>2297.46748697101</v>
      </c>
      <c r="H254" s="15" t="n">
        <f aca="false">G254*(1+IF(H$3&lt;=$O$2,$D254,$D254-($D254-$I$238)*MIN(H$3-$O$2,$Q$2)/$Q$2))</f>
        <v>2239.65920013607</v>
      </c>
      <c r="I254" s="15" t="n">
        <f aca="false">H254*(1+IF(I$3&lt;=$O$2,$D254,$D254-($D254-$I$238)*MIN(I$3-$O$2,$Q$2)/$Q$2))</f>
        <v>2183.30547056721</v>
      </c>
      <c r="J254" s="15" t="n">
        <f aca="false">I254*(1+IF(J$3&lt;=$O$2,$D254,$D254-($D254-$I$238)*MIN(J$3-$O$2,$Q$2)/$Q$2))</f>
        <v>2151.71436233134</v>
      </c>
      <c r="K254" s="15" t="n">
        <f aca="false">J254*(1+IF(K$3&lt;=$O$2,$D254,$D254-($D254-$I$238)*MIN(K$3-$O$2,$Q$2)/$Q$2))</f>
        <v>2143.58723842449</v>
      </c>
      <c r="L254" s="15" t="n">
        <f aca="false">K254*(1+IF(L$3&lt;=$O$2,$D254,$D254-($D254-$I$238)*MIN(L$3-$O$2,$Q$2)/$Q$2))</f>
        <v>2158.41079311573</v>
      </c>
      <c r="M254" s="15" t="n">
        <f aca="false">L254*(1+IF(M$3&lt;=$O$2,$D254,$D254-($D254-$I$238)*MIN(M$3-$O$2,$Q$2)/$Q$2))</f>
        <v>2196.41533786809</v>
      </c>
      <c r="N254" s="15" t="n">
        <f aca="false">M254*(1+IF(N$3&lt;=$O$2,$D254,$D254-($D254-$I$238)*MIN(N$3-$O$2,$Q$2)/$Q$2))</f>
        <v>2258.57389192976</v>
      </c>
      <c r="O254" s="15" t="n">
        <f aca="false">SUMPRODUCT(E254:N254,1/(1+$F$238)^$E$3:$N$3)*$E$2</f>
        <v>4619.81308258749</v>
      </c>
      <c r="P254" s="15" t="n">
        <f aca="false">N254*$E$2*(1+$I$238)/($F$238-$I$238)/(1+$F$238)^$N$3</f>
        <v>6943.60073453518</v>
      </c>
      <c r="Q254" s="15" t="n">
        <f aca="false">O254+P254</f>
        <v>11563.4138171227</v>
      </c>
      <c r="R254" s="15" t="n">
        <f aca="false">Q254-$G$2+$I$2</f>
        <v>10288.7438171227</v>
      </c>
      <c r="S254" s="42" t="n">
        <f aca="false">R254/$K$2</f>
        <v>289.253410658495</v>
      </c>
      <c r="T254" s="43" t="n">
        <f aca="false">S254-$M$2</f>
        <v>-0.035315796382406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-0.0251617431640625</v>
      </c>
      <c r="C255" s="25" t="n">
        <f aca="false">IF(T254&gt;0,D254,C254)</f>
        <v>-0.025115966796875</v>
      </c>
      <c r="D255" s="41" t="n">
        <f aca="false">(B255+C255)/2</f>
        <v>-0.0251388549804688</v>
      </c>
      <c r="E255" s="15" t="n">
        <f aca="false">$C$2*(1+IF(E$3&lt;=$O$2,$D255,$D255-($D255-$I$238)*MIN(E$3-$O$2,$Q$2)/$Q$2))</f>
        <v>2417.65563964844</v>
      </c>
      <c r="F255" s="15" t="n">
        <f aca="false">E255*(1+IF(F$3&lt;=$O$2,$D255,$D255-($D255-$I$238)*MIN(F$3-$O$2,$Q$2)/$Q$2))</f>
        <v>2356.8785451306</v>
      </c>
      <c r="G255" s="15" t="n">
        <f aca="false">F255*(1+IF(G$3&lt;=$O$2,$D255,$D255-($D255-$I$238)*MIN(G$3-$O$2,$Q$2)/$Q$2))</f>
        <v>2297.62931717799</v>
      </c>
      <c r="H255" s="15" t="n">
        <f aca="false">G255*(1+IF(H$3&lt;=$O$2,$D255,$D255-($D255-$I$238)*MIN(H$3-$O$2,$Q$2)/$Q$2))</f>
        <v>2239.86954697458</v>
      </c>
      <c r="I255" s="15" t="n">
        <f aca="false">H255*(1+IF(I$3&lt;=$O$2,$D255,$D255-($D255-$I$238)*MIN(I$3-$O$2,$Q$2)/$Q$2))</f>
        <v>2183.56179125801</v>
      </c>
      <c r="J255" s="15" t="n">
        <f aca="false">I255*(1+IF(J$3&lt;=$O$2,$D255,$D255-($D255-$I$238)*MIN(J$3-$O$2,$Q$2)/$Q$2))</f>
        <v>2152.00695642747</v>
      </c>
      <c r="K255" s="15" t="n">
        <f aca="false">J255*(1+IF(K$3&lt;=$O$2,$D255,$D255-($D255-$I$238)*MIN(K$3-$O$2,$Q$2)/$Q$2))</f>
        <v>2143.90828069748</v>
      </c>
      <c r="L255" s="15" t="n">
        <f aca="false">K255*(1+IF(L$3&lt;=$O$2,$D255,$D255-($D255-$I$238)*MIN(L$3-$O$2,$Q$2)/$Q$2))</f>
        <v>2158.75368355977</v>
      </c>
      <c r="M255" s="15" t="n">
        <f aca="false">L255*(1+IF(M$3&lt;=$O$2,$D255,$D255-($D255-$I$238)*MIN(M$3-$O$2,$Q$2)/$Q$2))</f>
        <v>2196.77414779765</v>
      </c>
      <c r="N255" s="15" t="n">
        <f aca="false">M255*(1+IF(N$3&lt;=$O$2,$D255,$D255-($D255-$I$238)*MIN(N$3-$O$2,$Q$2)/$Q$2))</f>
        <v>2258.94285618032</v>
      </c>
      <c r="O255" s="15" t="n">
        <f aca="false">SUMPRODUCT(E255:N255,1/(1+$F$238)^$E$3:$N$3)*$E$2</f>
        <v>4620.27691557886</v>
      </c>
      <c r="P255" s="15" t="n">
        <f aca="false">N255*$E$2*(1+$I$238)/($F$238-$I$238)/(1+$F$238)^$N$3</f>
        <v>6944.73505227896</v>
      </c>
      <c r="Q255" s="15" t="n">
        <f aca="false">O255+P255</f>
        <v>11565.0119678578</v>
      </c>
      <c r="R255" s="15" t="n">
        <f aca="false">Q255-$G$2+$I$2</f>
        <v>10290.3419678578</v>
      </c>
      <c r="S255" s="42" t="n">
        <f aca="false">R255/$K$2</f>
        <v>289.298340395215</v>
      </c>
      <c r="T255" s="43" t="n">
        <f aca="false">S255-$M$2</f>
        <v>0.00961394033771512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-0.0251617431640625</v>
      </c>
      <c r="C256" s="25" t="n">
        <f aca="false">IF(T255&gt;0,D255,C255)</f>
        <v>-0.0251388549804688</v>
      </c>
      <c r="D256" s="41" t="n">
        <f aca="false">(B256+C256)/2</f>
        <v>-0.0251502990722656</v>
      </c>
      <c r="E256" s="15" t="n">
        <f aca="false">$C$2*(1+IF(E$3&lt;=$O$2,$D256,$D256-($D256-$I$238)*MIN(E$3-$O$2,$Q$2)/$Q$2))</f>
        <v>2417.62725830078</v>
      </c>
      <c r="F256" s="15" t="n">
        <f aca="false">E256*(1+IF(F$3&lt;=$O$2,$D256,$D256-($D256-$I$238)*MIN(F$3-$O$2,$Q$2)/$Q$2))</f>
        <v>2356.82320970926</v>
      </c>
      <c r="G256" s="15" t="n">
        <f aca="false">F256*(1+IF(G$3&lt;=$O$2,$D256,$D256-($D256-$I$238)*MIN(G$3-$O$2,$Q$2)/$Q$2))</f>
        <v>2297.54840112461</v>
      </c>
      <c r="H256" s="15" t="n">
        <f aca="false">G256*(1+IF(H$3&lt;=$O$2,$D256,$D256-($D256-$I$238)*MIN(H$3-$O$2,$Q$2)/$Q$2))</f>
        <v>2239.76437170332</v>
      </c>
      <c r="I256" s="15" t="n">
        <f aca="false">H256*(1+IF(I$3&lt;=$O$2,$D256,$D256-($D256-$I$238)*MIN(I$3-$O$2,$Q$2)/$Q$2))</f>
        <v>2183.43362790358</v>
      </c>
      <c r="J256" s="15" t="n">
        <f aca="false">I256*(1+IF(J$3&lt;=$O$2,$D256,$D256-($D256-$I$238)*MIN(J$3-$O$2,$Q$2)/$Q$2))</f>
        <v>2151.86065524054</v>
      </c>
      <c r="K256" s="15" t="n">
        <f aca="false">J256*(1+IF(K$3&lt;=$O$2,$D256,$D256-($D256-$I$238)*MIN(K$3-$O$2,$Q$2)/$Q$2))</f>
        <v>2143.74775443318</v>
      </c>
      <c r="L256" s="15" t="n">
        <f aca="false">K256*(1+IF(L$3&lt;=$O$2,$D256,$D256-($D256-$I$238)*MIN(L$3-$O$2,$Q$2)/$Q$2))</f>
        <v>2158.58223243965</v>
      </c>
      <c r="M256" s="15" t="n">
        <f aca="false">L256*(1+IF(M$3&lt;=$O$2,$D256,$D256-($D256-$I$238)*MIN(M$3-$O$2,$Q$2)/$Q$2))</f>
        <v>2196.5947364385</v>
      </c>
      <c r="N256" s="15" t="n">
        <f aca="false">M256*(1+IF(N$3&lt;=$O$2,$D256,$D256-($D256-$I$238)*MIN(N$3-$O$2,$Q$2)/$Q$2))</f>
        <v>2258.75836747971</v>
      </c>
      <c r="O256" s="15" t="n">
        <f aca="false">SUMPRODUCT(E256:N256,1/(1+$F$238)^$E$3:$N$3)*$E$2</f>
        <v>4620.04499309095</v>
      </c>
      <c r="P256" s="15" t="n">
        <f aca="false">N256*$E$2*(1+$I$238)/($F$238-$I$238)/(1+$F$238)^$N$3</f>
        <v>6944.16787319234</v>
      </c>
      <c r="Q256" s="15" t="n">
        <f aca="false">O256+P256</f>
        <v>11564.2128662833</v>
      </c>
      <c r="R256" s="15" t="n">
        <f aca="false">Q256-$G$2+$I$2</f>
        <v>10289.5428662833</v>
      </c>
      <c r="S256" s="42" t="n">
        <f aca="false">R256/$K$2</f>
        <v>289.275874790084</v>
      </c>
      <c r="T256" s="43" t="n">
        <f aca="false">S256-$M$2</f>
        <v>-0.0128516647936294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-0.0251502990722656</v>
      </c>
      <c r="C257" s="25" t="n">
        <f aca="false">IF(T256&gt;0,D256,C256)</f>
        <v>-0.0251388549804688</v>
      </c>
      <c r="D257" s="41" t="n">
        <f aca="false">(B257+C257)/2</f>
        <v>-0.0251445770263672</v>
      </c>
      <c r="E257" s="15" t="n">
        <f aca="false">$C$2*(1+IF(E$3&lt;=$O$2,$D257,$D257-($D257-$I$238)*MIN(E$3-$O$2,$Q$2)/$Q$2))</f>
        <v>2417.64144897461</v>
      </c>
      <c r="F257" s="15" t="n">
        <f aca="false">E257*(1+IF(F$3&lt;=$O$2,$D257,$D257-($D257-$I$238)*MIN(F$3-$O$2,$Q$2)/$Q$2))</f>
        <v>2356.85087733873</v>
      </c>
      <c r="G257" s="15" t="n">
        <f aca="false">F257*(1+IF(G$3&lt;=$O$2,$D257,$D257-($D257-$I$238)*MIN(G$3-$O$2,$Q$2)/$Q$2))</f>
        <v>2297.58885891382</v>
      </c>
      <c r="H257" s="15" t="n">
        <f aca="false">G257*(1+IF(H$3&lt;=$O$2,$D257,$D257-($D257-$I$238)*MIN(H$3-$O$2,$Q$2)/$Q$2))</f>
        <v>2239.81695887594</v>
      </c>
      <c r="I257" s="15" t="n">
        <f aca="false">H257*(1+IF(I$3&lt;=$O$2,$D257,$D257-($D257-$I$238)*MIN(I$3-$O$2,$Q$2)/$Q$2))</f>
        <v>2183.49770882852</v>
      </c>
      <c r="J257" s="15" t="n">
        <f aca="false">I257*(1+IF(J$3&lt;=$O$2,$D257,$D257-($D257-$I$238)*MIN(J$3-$O$2,$Q$2)/$Q$2))</f>
        <v>2151.93380479926</v>
      </c>
      <c r="K257" s="15" t="n">
        <f aca="false">J257*(1+IF(K$3&lt;=$O$2,$D257,$D257-($D257-$I$238)*MIN(K$3-$O$2,$Q$2)/$Q$2))</f>
        <v>2143.82801628334</v>
      </c>
      <c r="L257" s="15" t="n">
        <f aca="false">K257*(1+IF(L$3&lt;=$O$2,$D257,$D257-($D257-$I$238)*MIN(L$3-$O$2,$Q$2)/$Q$2))</f>
        <v>2158.66795652514</v>
      </c>
      <c r="M257" s="15" t="n">
        <f aca="false">L257*(1+IF(M$3&lt;=$O$2,$D257,$D257-($D257-$I$238)*MIN(M$3-$O$2,$Q$2)/$Q$2))</f>
        <v>2196.68444051943</v>
      </c>
      <c r="N257" s="15" t="n">
        <f aca="false">M257*(1+IF(N$3&lt;=$O$2,$D257,$D257-($D257-$I$238)*MIN(N$3-$O$2,$Q$2)/$Q$2))</f>
        <v>2258.85061018613</v>
      </c>
      <c r="O257" s="15" t="n">
        <f aca="false">SUMPRODUCT(E257:N257,1/(1+$F$238)^$E$3:$N$3)*$E$2</f>
        <v>4620.16095283681</v>
      </c>
      <c r="P257" s="15" t="n">
        <f aca="false">N257*$E$2*(1+$I$238)/($F$238-$I$238)/(1+$F$238)^$N$3</f>
        <v>6944.45145768182</v>
      </c>
      <c r="Q257" s="15" t="n">
        <f aca="false">O257+P257</f>
        <v>11564.6124105186</v>
      </c>
      <c r="R257" s="15" t="n">
        <f aca="false">Q257-$G$2+$I$2</f>
        <v>10289.9424105186</v>
      </c>
      <c r="S257" s="42" t="n">
        <f aca="false">R257/$K$2</f>
        <v>289.287107408452</v>
      </c>
      <c r="T257" s="43" t="n">
        <f aca="false">S257-$M$2</f>
        <v>-0.00161904642612853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-0.0251445770263672</v>
      </c>
      <c r="C258" s="25" t="n">
        <f aca="false">IF(T257&gt;0,D257,C257)</f>
        <v>-0.0251388549804688</v>
      </c>
      <c r="D258" s="41" t="n">
        <f aca="false">(B258+C258)/2</f>
        <v>-0.025141716003418</v>
      </c>
      <c r="E258" s="15" t="n">
        <f aca="false">$C$2*(1+IF(E$3&lt;=$O$2,$D258,$D258-($D258-$I$238)*MIN(E$3-$O$2,$Q$2)/$Q$2))</f>
        <v>2417.64854431152</v>
      </c>
      <c r="F258" s="15" t="n">
        <f aca="false">E258*(1+IF(F$3&lt;=$O$2,$D258,$D258-($D258-$I$238)*MIN(F$3-$O$2,$Q$2)/$Q$2))</f>
        <v>2356.86471121437</v>
      </c>
      <c r="G258" s="15" t="n">
        <f aca="false">F258*(1+IF(G$3&lt;=$O$2,$D258,$D258-($D258-$I$238)*MIN(G$3-$O$2,$Q$2)/$Q$2))</f>
        <v>2297.60908798654</v>
      </c>
      <c r="H258" s="15" t="n">
        <f aca="false">G258*(1+IF(H$3&lt;=$O$2,$D258,$D258-($D258-$I$238)*MIN(H$3-$O$2,$Q$2)/$Q$2))</f>
        <v>2239.84325280951</v>
      </c>
      <c r="I258" s="15" t="n">
        <f aca="false">H258*(1+IF(I$3&lt;=$O$2,$D258,$D258-($D258-$I$238)*MIN(I$3-$O$2,$Q$2)/$Q$2))</f>
        <v>2183.5297498552</v>
      </c>
      <c r="J258" s="15" t="n">
        <f aca="false">I258*(1+IF(J$3&lt;=$O$2,$D258,$D258-($D258-$I$238)*MIN(J$3-$O$2,$Q$2)/$Q$2))</f>
        <v>2151.97038035468</v>
      </c>
      <c r="K258" s="15" t="n">
        <f aca="false">J258*(1+IF(K$3&lt;=$O$2,$D258,$D258-($D258-$I$238)*MIN(K$3-$O$2,$Q$2)/$Q$2))</f>
        <v>2143.86814816991</v>
      </c>
      <c r="L258" s="15" t="n">
        <f aca="false">K258*(1+IF(L$3&lt;=$O$2,$D258,$D258-($D258-$I$238)*MIN(L$3-$O$2,$Q$2)/$Q$2))</f>
        <v>2158.71081967381</v>
      </c>
      <c r="M258" s="15" t="n">
        <f aca="false">L258*(1+IF(M$3&lt;=$O$2,$D258,$D258-($D258-$I$238)*MIN(M$3-$O$2,$Q$2)/$Q$2))</f>
        <v>2196.72929375887</v>
      </c>
      <c r="N258" s="15" t="n">
        <f aca="false">M258*(1+IF(N$3&lt;=$O$2,$D258,$D258-($D258-$I$238)*MIN(N$3-$O$2,$Q$2)/$Q$2))</f>
        <v>2258.89673277225</v>
      </c>
      <c r="O258" s="15" t="n">
        <f aca="false">SUMPRODUCT(E258:N258,1/(1+$F$238)^$E$3:$N$3)*$E$2</f>
        <v>4620.2189338333</v>
      </c>
      <c r="P258" s="15" t="n">
        <f aca="false">N258*$E$2*(1+$I$238)/($F$238-$I$238)/(1+$F$238)^$N$3</f>
        <v>6944.59325371691</v>
      </c>
      <c r="Q258" s="15" t="n">
        <f aca="false">O258+P258</f>
        <v>11564.8121875502</v>
      </c>
      <c r="R258" s="15" t="n">
        <f aca="false">Q258-$G$2+$I$2</f>
        <v>10290.1421875502</v>
      </c>
      <c r="S258" s="42" t="n">
        <f aca="false">R258/$K$2</f>
        <v>289.292723855783</v>
      </c>
      <c r="T258" s="43" t="n">
        <f aca="false">S258-$M$2</f>
        <v>0.00399740090551859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-0.0251445770263672</v>
      </c>
      <c r="C259" s="25" t="n">
        <f aca="false">IF(T258&gt;0,D258,C258)</f>
        <v>-0.025141716003418</v>
      </c>
      <c r="D259" s="41" t="n">
        <f aca="false">(B259+C259)/2</f>
        <v>-0.0251431465148926</v>
      </c>
      <c r="E259" s="15" t="n">
        <f aca="false">$C$2*(1+IF(E$3&lt;=$O$2,$D259,$D259-($D259-$I$238)*MIN(E$3-$O$2,$Q$2)/$Q$2))</f>
        <v>2417.64499664307</v>
      </c>
      <c r="F259" s="15" t="n">
        <f aca="false">E259*(1+IF(F$3&lt;=$O$2,$D259,$D259-($D259-$I$238)*MIN(F$3-$O$2,$Q$2)/$Q$2))</f>
        <v>2356.85779427147</v>
      </c>
      <c r="G259" s="15" t="n">
        <f aca="false">F259*(1+IF(G$3&lt;=$O$2,$D259,$D259-($D259-$I$238)*MIN(G$3-$O$2,$Q$2)/$Q$2))</f>
        <v>2297.59897343534</v>
      </c>
      <c r="H259" s="15" t="n">
        <f aca="false">G259*(1+IF(H$3&lt;=$O$2,$D259,$D259-($D259-$I$238)*MIN(H$3-$O$2,$Q$2)/$Q$2))</f>
        <v>2239.83010581379</v>
      </c>
      <c r="I259" s="15" t="n">
        <f aca="false">H259*(1+IF(I$3&lt;=$O$2,$D259,$D259-($D259-$I$238)*MIN(I$3-$O$2,$Q$2)/$Q$2))</f>
        <v>2183.51372929484</v>
      </c>
      <c r="J259" s="15" t="n">
        <f aca="false">I259*(1+IF(J$3&lt;=$O$2,$D259,$D259-($D259-$I$238)*MIN(J$3-$O$2,$Q$2)/$Q$2))</f>
        <v>2151.9520925123</v>
      </c>
      <c r="K259" s="15" t="n">
        <f aca="false">J259*(1+IF(K$3&lt;=$O$2,$D259,$D259-($D259-$I$238)*MIN(K$3-$O$2,$Q$2)/$Q$2))</f>
        <v>2143.8480821465</v>
      </c>
      <c r="L259" s="15" t="n">
        <f aca="false">K259*(1+IF(L$3&lt;=$O$2,$D259,$D259-($D259-$I$238)*MIN(L$3-$O$2,$Q$2)/$Q$2))</f>
        <v>2158.68938800732</v>
      </c>
      <c r="M259" s="15" t="n">
        <f aca="false">L259*(1+IF(M$3&lt;=$O$2,$D259,$D259-($D259-$I$238)*MIN(M$3-$O$2,$Q$2)/$Q$2))</f>
        <v>2196.70686703924</v>
      </c>
      <c r="N259" s="15" t="n">
        <f aca="false">M259*(1+IF(N$3&lt;=$O$2,$D259,$D259-($D259-$I$238)*MIN(N$3-$O$2,$Q$2)/$Q$2))</f>
        <v>2258.87367137645</v>
      </c>
      <c r="O259" s="15" t="n">
        <f aca="false">SUMPRODUCT(E259:N259,1/(1+$F$238)^$E$3:$N$3)*$E$2</f>
        <v>4620.18994324142</v>
      </c>
      <c r="P259" s="15" t="n">
        <f aca="false">N259*$E$2*(1+$I$238)/($F$238-$I$238)/(1+$F$238)^$N$3</f>
        <v>6944.5223553835</v>
      </c>
      <c r="Q259" s="15" t="n">
        <f aca="false">O259+P259</f>
        <v>11564.7122986249</v>
      </c>
      <c r="R259" s="15" t="n">
        <f aca="false">Q259-$G$2+$I$2</f>
        <v>10290.0422986249</v>
      </c>
      <c r="S259" s="42" t="n">
        <f aca="false">R259/$K$2</f>
        <v>289.289915620605</v>
      </c>
      <c r="T259" s="43" t="n">
        <f aca="false">S259-$M$2</f>
        <v>0.00118916572728267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-0.0251445770263672</v>
      </c>
      <c r="C260" s="25" t="n">
        <f aca="false">IF(T259&gt;0,D259,C259)</f>
        <v>-0.0251431465148926</v>
      </c>
      <c r="D260" s="41" t="n">
        <f aca="false">(B260+C260)/2</f>
        <v>-0.0251438617706299</v>
      </c>
      <c r="E260" s="15" t="n">
        <f aca="false">$C$2*(1+IF(E$3&lt;=$O$2,$D260,$D260-($D260-$I$238)*MIN(E$3-$O$2,$Q$2)/$Q$2))</f>
        <v>2417.64322280884</v>
      </c>
      <c r="F260" s="15" t="n">
        <f aca="false">E260*(1+IF(F$3&lt;=$O$2,$D260,$D260-($D260-$I$238)*MIN(F$3-$O$2,$Q$2)/$Q$2))</f>
        <v>2356.85433580383</v>
      </c>
      <c r="G260" s="15" t="n">
        <f aca="false">F260*(1+IF(G$3&lt;=$O$2,$D260,$D260-($D260-$I$238)*MIN(G$3-$O$2,$Q$2)/$Q$2))</f>
        <v>2297.59391617087</v>
      </c>
      <c r="H260" s="15" t="n">
        <f aca="false">G260*(1+IF(H$3&lt;=$O$2,$D260,$D260-($D260-$I$238)*MIN(H$3-$O$2,$Q$2)/$Q$2))</f>
        <v>2239.82353233763</v>
      </c>
      <c r="I260" s="15" t="n">
        <f aca="false">H260*(1+IF(I$3&lt;=$O$2,$D260,$D260-($D260-$I$238)*MIN(I$3-$O$2,$Q$2)/$Q$2))</f>
        <v>2183.50571904993</v>
      </c>
      <c r="J260" s="15" t="n">
        <f aca="false">I260*(1+IF(J$3&lt;=$O$2,$D260,$D260-($D260-$I$238)*MIN(J$3-$O$2,$Q$2)/$Q$2))</f>
        <v>2151.94294863961</v>
      </c>
      <c r="K260" s="15" t="n">
        <f aca="false">J260*(1+IF(K$3&lt;=$O$2,$D260,$D260-($D260-$I$238)*MIN(K$3-$O$2,$Q$2)/$Q$2))</f>
        <v>2143.83804919489</v>
      </c>
      <c r="L260" s="15" t="n">
        <f aca="false">K260*(1+IF(L$3&lt;=$O$2,$D260,$D260-($D260-$I$238)*MIN(L$3-$O$2,$Q$2)/$Q$2))</f>
        <v>2158.67867224319</v>
      </c>
      <c r="M260" s="15" t="n">
        <f aca="false">L260*(1+IF(M$3&lt;=$O$2,$D260,$D260-($D260-$I$238)*MIN(M$3-$O$2,$Q$2)/$Q$2))</f>
        <v>2196.69565375436</v>
      </c>
      <c r="N260" s="15" t="n">
        <f aca="false">M260*(1+IF(N$3&lt;=$O$2,$D260,$D260-($D260-$I$238)*MIN(N$3-$O$2,$Q$2)/$Q$2))</f>
        <v>2258.86214075561</v>
      </c>
      <c r="O260" s="15" t="n">
        <f aca="false">SUMPRODUCT(E260:N260,1/(1+$F$238)^$E$3:$N$3)*$E$2</f>
        <v>4620.17544801571</v>
      </c>
      <c r="P260" s="15" t="n">
        <f aca="false">N260*$E$2*(1+$I$238)/($F$238-$I$238)/(1+$F$238)^$N$3</f>
        <v>6944.48690645369</v>
      </c>
      <c r="Q260" s="15" t="n">
        <f aca="false">O260+P260</f>
        <v>11564.6623544694</v>
      </c>
      <c r="R260" s="15" t="n">
        <f aca="false">Q260-$G$2+$I$2</f>
        <v>10289.9923544694</v>
      </c>
      <c r="S260" s="42" t="n">
        <f aca="false">R260/$K$2</f>
        <v>289.28851151165</v>
      </c>
      <c r="T260" s="43" t="n">
        <f aca="false">S260-$M$2</f>
        <v>-0.000214943227661024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-0.0251438617706299</v>
      </c>
      <c r="C261" s="25" t="n">
        <f aca="false">IF(T260&gt;0,D260,C260)</f>
        <v>-0.0251431465148926</v>
      </c>
      <c r="D261" s="41" t="n">
        <f aca="false">(B261+C261)/2</f>
        <v>-0.0251435041427612</v>
      </c>
      <c r="E261" s="15" t="n">
        <f aca="false">$C$2*(1+IF(E$3&lt;=$O$2,$D261,$D261-($D261-$I$238)*MIN(E$3-$O$2,$Q$2)/$Q$2))</f>
        <v>2417.64410972595</v>
      </c>
      <c r="F261" s="15" t="n">
        <f aca="false">E261*(1+IF(F$3&lt;=$O$2,$D261,$D261-($D261-$I$238)*MIN(F$3-$O$2,$Q$2)/$Q$2))</f>
        <v>2356.85606503734</v>
      </c>
      <c r="G261" s="15" t="n">
        <f aca="false">F261*(1+IF(G$3&lt;=$O$2,$D261,$D261-($D261-$I$238)*MIN(G$3-$O$2,$Q$2)/$Q$2))</f>
        <v>2297.59644480218</v>
      </c>
      <c r="H261" s="15" t="n">
        <f aca="false">G261*(1+IF(H$3&lt;=$O$2,$D261,$D261-($D261-$I$238)*MIN(H$3-$O$2,$Q$2)/$Q$2))</f>
        <v>2239.8268190739</v>
      </c>
      <c r="I261" s="15" t="n">
        <f aca="false">H261*(1+IF(I$3&lt;=$O$2,$D261,$D261-($D261-$I$238)*MIN(I$3-$O$2,$Q$2)/$Q$2))</f>
        <v>2183.50972416945</v>
      </c>
      <c r="J261" s="15" t="n">
        <f aca="false">I261*(1+IF(J$3&lt;=$O$2,$D261,$D261-($D261-$I$238)*MIN(J$3-$O$2,$Q$2)/$Q$2))</f>
        <v>2151.94752057192</v>
      </c>
      <c r="K261" s="15" t="n">
        <f aca="false">J261*(1+IF(K$3&lt;=$O$2,$D261,$D261-($D261-$I$238)*MIN(K$3-$O$2,$Q$2)/$Q$2))</f>
        <v>2143.84306566569</v>
      </c>
      <c r="L261" s="15" t="n">
        <f aca="false">K261*(1+IF(L$3&lt;=$O$2,$D261,$D261-($D261-$I$238)*MIN(L$3-$O$2,$Q$2)/$Q$2))</f>
        <v>2158.68403011949</v>
      </c>
      <c r="M261" s="15" t="n">
        <f aca="false">L261*(1+IF(M$3&lt;=$O$2,$D261,$D261-($D261-$I$238)*MIN(M$3-$O$2,$Q$2)/$Q$2))</f>
        <v>2196.70126039055</v>
      </c>
      <c r="N261" s="15" t="n">
        <f aca="false">M261*(1+IF(N$3&lt;=$O$2,$D261,$D261-($D261-$I$238)*MIN(N$3-$O$2,$Q$2)/$Q$2))</f>
        <v>2258.86790605961</v>
      </c>
      <c r="O261" s="15" t="n">
        <f aca="false">SUMPRODUCT(E261:N261,1/(1+$F$238)^$E$3:$N$3)*$E$2</f>
        <v>4620.18269562271</v>
      </c>
      <c r="P261" s="15" t="n">
        <f aca="false">N261*$E$2*(1+$I$238)/($F$238-$I$238)/(1+$F$238)^$N$3</f>
        <v>6944.50463089885</v>
      </c>
      <c r="Q261" s="15" t="n">
        <f aca="false">O261+P261</f>
        <v>11564.6873265216</v>
      </c>
      <c r="R261" s="15" t="n">
        <f aca="false">Q261-$G$2+$I$2</f>
        <v>10290.0173265216</v>
      </c>
      <c r="S261" s="42" t="n">
        <f aca="false">R261/$K$2</f>
        <v>289.289213565408</v>
      </c>
      <c r="T261" s="43" t="n">
        <f aca="false">S261-$M$2</f>
        <v>0.000487110530286827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-0.0251438617706299</v>
      </c>
      <c r="C262" s="25" t="n">
        <f aca="false">IF(T261&gt;0,D261,C261)</f>
        <v>-0.0251435041427612</v>
      </c>
      <c r="D262" s="41" t="n">
        <f aca="false">(B262+C262)/2</f>
        <v>-0.0251436829566956</v>
      </c>
      <c r="E262" s="15" t="n">
        <f aca="false">$C$2*(1+IF(E$3&lt;=$O$2,$D262,$D262-($D262-$I$238)*MIN(E$3-$O$2,$Q$2)/$Q$2))</f>
        <v>2417.6436662674</v>
      </c>
      <c r="F262" s="15" t="n">
        <f aca="false">E262*(1+IF(F$3&lt;=$O$2,$D262,$D262-($D262-$I$238)*MIN(F$3-$O$2,$Q$2)/$Q$2))</f>
        <v>2356.8552004205</v>
      </c>
      <c r="G262" s="15" t="n">
        <f aca="false">F262*(1+IF(G$3&lt;=$O$2,$D262,$D262-($D262-$I$238)*MIN(G$3-$O$2,$Q$2)/$Q$2))</f>
        <v>2297.59518048629</v>
      </c>
      <c r="H262" s="15" t="n">
        <f aca="false">G262*(1+IF(H$3&lt;=$O$2,$D262,$D262-($D262-$I$238)*MIN(H$3-$O$2,$Q$2)/$Q$2))</f>
        <v>2239.82517570531</v>
      </c>
      <c r="I262" s="15" t="n">
        <f aca="false">H262*(1+IF(I$3&lt;=$O$2,$D262,$D262-($D262-$I$238)*MIN(I$3-$O$2,$Q$2)/$Q$2))</f>
        <v>2183.50772160895</v>
      </c>
      <c r="J262" s="15" t="n">
        <f aca="false">I262*(1+IF(J$3&lt;=$O$2,$D262,$D262-($D262-$I$238)*MIN(J$3-$O$2,$Q$2)/$Q$2))</f>
        <v>2151.94523460475</v>
      </c>
      <c r="K262" s="15" t="n">
        <f aca="false">J262*(1+IF(K$3&lt;=$O$2,$D262,$D262-($D262-$I$238)*MIN(K$3-$O$2,$Q$2)/$Q$2))</f>
        <v>2143.84055742904</v>
      </c>
      <c r="L262" s="15" t="n">
        <f aca="false">K262*(1+IF(L$3&lt;=$O$2,$D262,$D262-($D262-$I$238)*MIN(L$3-$O$2,$Q$2)/$Q$2))</f>
        <v>2158.6813511799</v>
      </c>
      <c r="M262" s="15" t="n">
        <f aca="false">L262*(1+IF(M$3&lt;=$O$2,$D262,$D262-($D262-$I$238)*MIN(M$3-$O$2,$Q$2)/$Q$2))</f>
        <v>2196.69845707089</v>
      </c>
      <c r="N262" s="15" t="n">
        <f aca="false">M262*(1+IF(N$3&lt;=$O$2,$D262,$D262-($D262-$I$238)*MIN(N$3-$O$2,$Q$2)/$Q$2))</f>
        <v>2258.865023406</v>
      </c>
      <c r="O262" s="15" t="n">
        <f aca="false">SUMPRODUCT(E262:N262,1/(1+$F$238)^$E$3:$N$3)*$E$2</f>
        <v>4620.17907181775</v>
      </c>
      <c r="P262" s="15" t="n">
        <f aca="false">N262*$E$2*(1+$I$238)/($F$238-$I$238)/(1+$F$238)^$N$3</f>
        <v>6944.49576867133</v>
      </c>
      <c r="Q262" s="15" t="n">
        <f aca="false">O262+P262</f>
        <v>11564.6748404891</v>
      </c>
      <c r="R262" s="15" t="n">
        <f aca="false">Q262-$G$2+$I$2</f>
        <v>10290.0048404891</v>
      </c>
      <c r="S262" s="42" t="n">
        <f aca="false">R262/$K$2</f>
        <v>289.288862538349</v>
      </c>
      <c r="T262" s="43" t="n">
        <f aca="false">S262-$M$2</f>
        <v>0.000136083471488746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-0.0251438617706299</v>
      </c>
      <c r="C263" s="25" t="n">
        <f aca="false">IF(T262&gt;0,D262,C262)</f>
        <v>-0.0251436829566956</v>
      </c>
      <c r="D263" s="41" t="n">
        <f aca="false">(B263+C263)/2</f>
        <v>-0.0251437723636627</v>
      </c>
      <c r="E263" s="15" t="n">
        <f aca="false">$C$2*(1+IF(E$3&lt;=$O$2,$D263,$D263-($D263-$I$238)*MIN(E$3-$O$2,$Q$2)/$Q$2))</f>
        <v>2417.64344453812</v>
      </c>
      <c r="F263" s="15" t="n">
        <f aca="false">E263*(1+IF(F$3&lt;=$O$2,$D263,$D263-($D263-$I$238)*MIN(F$3-$O$2,$Q$2)/$Q$2))</f>
        <v>2356.85476811215</v>
      </c>
      <c r="G263" s="15" t="n">
        <f aca="false">F263*(1+IF(G$3&lt;=$O$2,$D263,$D263-($D263-$I$238)*MIN(G$3-$O$2,$Q$2)/$Q$2))</f>
        <v>2297.59454832852</v>
      </c>
      <c r="H263" s="15" t="n">
        <f aca="false">G263*(1+IF(H$3&lt;=$O$2,$D263,$D263-($D263-$I$238)*MIN(H$3-$O$2,$Q$2)/$Q$2))</f>
        <v>2239.82435402136</v>
      </c>
      <c r="I263" s="15" t="n">
        <f aca="false">H263*(1+IF(I$3&lt;=$O$2,$D263,$D263-($D263-$I$238)*MIN(I$3-$O$2,$Q$2)/$Q$2))</f>
        <v>2183.50672032926</v>
      </c>
      <c r="J263" s="15" t="n">
        <f aca="false">I263*(1+IF(J$3&lt;=$O$2,$D263,$D263-($D263-$I$238)*MIN(J$3-$O$2,$Q$2)/$Q$2))</f>
        <v>2151.94409162193</v>
      </c>
      <c r="K263" s="15" t="n">
        <f aca="false">J263*(1+IF(K$3&lt;=$O$2,$D263,$D263-($D263-$I$238)*MIN(K$3-$O$2,$Q$2)/$Q$2))</f>
        <v>2143.83930331165</v>
      </c>
      <c r="L263" s="15" t="n">
        <f aca="false">K263*(1+IF(L$3&lt;=$O$2,$D263,$D263-($D263-$I$238)*MIN(L$3-$O$2,$Q$2)/$Q$2))</f>
        <v>2158.68001171119</v>
      </c>
      <c r="M263" s="15" t="n">
        <f aca="false">L263*(1+IF(M$3&lt;=$O$2,$D263,$D263-($D263-$I$238)*MIN(M$3-$O$2,$Q$2)/$Q$2))</f>
        <v>2196.69705541224</v>
      </c>
      <c r="N263" s="15" t="n">
        <f aca="false">M263*(1+IF(N$3&lt;=$O$2,$D263,$D263-($D263-$I$238)*MIN(N$3-$O$2,$Q$2)/$Q$2))</f>
        <v>2258.8635820804</v>
      </c>
      <c r="O263" s="15" t="n">
        <f aca="false">SUMPRODUCT(E263:N263,1/(1+$F$238)^$E$3:$N$3)*$E$2</f>
        <v>4620.17725991636</v>
      </c>
      <c r="P263" s="15" t="n">
        <f aca="false">N263*$E$2*(1+$I$238)/($F$238-$I$238)/(1+$F$238)^$N$3</f>
        <v>6944.49133756128</v>
      </c>
      <c r="Q263" s="15" t="n">
        <f aca="false">O263+P263</f>
        <v>11564.6685974776</v>
      </c>
      <c r="R263" s="15" t="n">
        <f aca="false">Q263-$G$2+$I$2</f>
        <v>10289.9985974776</v>
      </c>
      <c r="S263" s="42" t="n">
        <f aca="false">R263/$K$2</f>
        <v>289.288687024955</v>
      </c>
      <c r="T263" s="43" t="n">
        <f aca="false">S263-$M$2</f>
        <v>-3.94299230492834E-005</v>
      </c>
    </row>
    <row r="265" customFormat="false" ht="15" hidden="false" customHeight="false" outlineLevel="0" collapsed="false">
      <c r="A265" s="38" t="s">
        <v>193</v>
      </c>
      <c r="E265" s="5" t="s">
        <v>11</v>
      </c>
      <c r="F265" s="12" t="n">
        <f aca="false">Sensitivity!$B$11</f>
        <v>0.0764218415038925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8" t="s">
        <v>165</v>
      </c>
      <c r="B266" s="28" t="s">
        <v>166</v>
      </c>
      <c r="C266" s="28" t="s">
        <v>167</v>
      </c>
      <c r="D266" s="28" t="s">
        <v>168</v>
      </c>
      <c r="E266" s="28" t="s">
        <v>169</v>
      </c>
      <c r="F266" s="28" t="s">
        <v>170</v>
      </c>
      <c r="G266" s="28" t="s">
        <v>171</v>
      </c>
      <c r="H266" s="28" t="s">
        <v>172</v>
      </c>
      <c r="I266" s="28" t="s">
        <v>173</v>
      </c>
      <c r="J266" s="28" t="s">
        <v>174</v>
      </c>
      <c r="K266" s="28" t="s">
        <v>175</v>
      </c>
      <c r="L266" s="28" t="s">
        <v>176</v>
      </c>
      <c r="M266" s="28" t="s">
        <v>177</v>
      </c>
      <c r="N266" s="28" t="s">
        <v>178</v>
      </c>
      <c r="O266" s="28" t="s">
        <v>179</v>
      </c>
      <c r="P266" s="28" t="s">
        <v>180</v>
      </c>
      <c r="Q266" s="28" t="s">
        <v>181</v>
      </c>
      <c r="R266" s="28" t="s">
        <v>182</v>
      </c>
      <c r="S266" s="28" t="s">
        <v>183</v>
      </c>
      <c r="T266" s="28" t="s">
        <v>184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41" t="n">
        <f aca="false">(B267+C267)/2</f>
        <v>0.25</v>
      </c>
      <c r="E267" s="15" t="n">
        <f aca="false">$C$2*(1+IF(E$3&lt;=$O$2,$D267,$D267-($D267-$I$265)*MIN(E$3-$O$2,$Q$2)/$Q$2))</f>
        <v>3100</v>
      </c>
      <c r="F267" s="15" t="n">
        <f aca="false">E267*(1+IF(F$3&lt;=$O$2,$D267,$D267-($D267-$I$265)*MIN(F$3-$O$2,$Q$2)/$Q$2))</f>
        <v>3875</v>
      </c>
      <c r="G267" s="15" t="n">
        <f aca="false">F267*(1+IF(G$3&lt;=$O$2,$D267,$D267-($D267-$I$265)*MIN(G$3-$O$2,$Q$2)/$Q$2))</f>
        <v>4843.75</v>
      </c>
      <c r="H267" s="15" t="n">
        <f aca="false">G267*(1+IF(H$3&lt;=$O$2,$D267,$D267-($D267-$I$265)*MIN(H$3-$O$2,$Q$2)/$Q$2))</f>
        <v>6054.6875</v>
      </c>
      <c r="I267" s="15" t="n">
        <f aca="false">H267*(1+IF(I$3&lt;=$O$2,$D267,$D267-($D267-$I$265)*MIN(I$3-$O$2,$Q$2)/$Q$2))</f>
        <v>7568.359375</v>
      </c>
      <c r="J267" s="15" t="n">
        <f aca="false">I267*(1+IF(J$3&lt;=$O$2,$D267,$D267-($D267-$I$265)*MIN(J$3-$O$2,$Q$2)/$Q$2))</f>
        <v>9132.4365234375</v>
      </c>
      <c r="K267" s="15" t="n">
        <f aca="false">J267*(1+IF(K$3&lt;=$O$2,$D267,$D267-($D267-$I$265)*MIN(K$3-$O$2,$Q$2)/$Q$2))</f>
        <v>10623.9460564453</v>
      </c>
      <c r="L267" s="15" t="n">
        <f aca="false">K267*(1+IF(L$3&lt;=$O$2,$D267,$D267-($D267-$I$265)*MIN(L$3-$O$2,$Q$2)/$Q$2))</f>
        <v>11898.6071042976</v>
      </c>
      <c r="M267" s="15" t="n">
        <f aca="false">L267*(1+IF(M$3&lt;=$O$2,$D267,$D267-($D267-$I$265)*MIN(M$3-$O$2,$Q$2)/$Q$2))</f>
        <v>12810.516352771</v>
      </c>
      <c r="N267" s="15" t="n">
        <f aca="false">M267*(1+IF(N$3&lt;=$O$2,$D267,$D267-($D267-$I$265)*MIN(N$3-$O$2,$Q$2)/$Q$2))</f>
        <v>13237.1065473183</v>
      </c>
      <c r="O267" s="15" t="n">
        <f aca="false">SUMPRODUCT(E267:N267,1/(1+$F$265)^$E$3:$N$3)*$E$2</f>
        <v>15507.8918430822</v>
      </c>
      <c r="P267" s="15" t="n">
        <f aca="false">N267*$E$2*(1+$I$265)/($F$265-$I$265)/(1+$F$265)^$N$3</f>
        <v>45634.6826127812</v>
      </c>
      <c r="Q267" s="15" t="n">
        <f aca="false">O267+P267</f>
        <v>61142.5744558633</v>
      </c>
      <c r="R267" s="15" t="n">
        <f aca="false">Q267-$G$2+$I$2</f>
        <v>59867.9044558633</v>
      </c>
      <c r="S267" s="42" t="n">
        <f aca="false">R267/$K$2</f>
        <v>1683.10105301837</v>
      </c>
      <c r="T267" s="43" t="n">
        <f aca="false">S267-$M$2</f>
        <v>1393.81232656349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41" t="n">
        <f aca="false">(B268+C268)/2</f>
        <v>-0.125</v>
      </c>
      <c r="E268" s="15" t="n">
        <f aca="false">$C$2*(1+IF(E$3&lt;=$O$2,$D268,$D268-($D268-$I$265)*MIN(E$3-$O$2,$Q$2)/$Q$2))</f>
        <v>2170</v>
      </c>
      <c r="F268" s="15" t="n">
        <f aca="false">E268*(1+IF(F$3&lt;=$O$2,$D268,$D268-($D268-$I$265)*MIN(F$3-$O$2,$Q$2)/$Q$2))</f>
        <v>1898.75</v>
      </c>
      <c r="G268" s="15" t="n">
        <f aca="false">F268*(1+IF(G$3&lt;=$O$2,$D268,$D268-($D268-$I$265)*MIN(G$3-$O$2,$Q$2)/$Q$2))</f>
        <v>1661.40625</v>
      </c>
      <c r="H268" s="15" t="n">
        <f aca="false">G268*(1+IF(H$3&lt;=$O$2,$D268,$D268-($D268-$I$265)*MIN(H$3-$O$2,$Q$2)/$Q$2))</f>
        <v>1453.73046875</v>
      </c>
      <c r="I268" s="15" t="n">
        <f aca="false">H268*(1+IF(I$3&lt;=$O$2,$D268,$D268-($D268-$I$265)*MIN(I$3-$O$2,$Q$2)/$Q$2))</f>
        <v>1272.01416015625</v>
      </c>
      <c r="J268" s="15" t="n">
        <f aca="false">I268*(1+IF(J$3&lt;=$O$2,$D268,$D268-($D268-$I$265)*MIN(J$3-$O$2,$Q$2)/$Q$2))</f>
        <v>1153.28435844727</v>
      </c>
      <c r="K268" s="15" t="n">
        <f aca="false">J268*(1+IF(K$3&lt;=$O$2,$D268,$D268-($D268-$I$265)*MIN(K$3-$O$2,$Q$2)/$Q$2))</f>
        <v>1082.14977921824</v>
      </c>
      <c r="L268" s="15" t="n">
        <f aca="false">K268*(1+IF(L$3&lt;=$O$2,$D268,$D268-($D268-$I$265)*MIN(L$3-$O$2,$Q$2)/$Q$2))</f>
        <v>1049.66364284611</v>
      </c>
      <c r="M268" s="15" t="n">
        <f aca="false">L268*(1+IF(M$3&lt;=$O$2,$D268,$D268-($D268-$I$265)*MIN(M$3-$O$2,$Q$2)/$Q$2))</f>
        <v>1051.38509122037</v>
      </c>
      <c r="N268" s="15" t="n">
        <f aca="false">M268*(1+IF(N$3&lt;=$O$2,$D268,$D268-($D268-$I$265)*MIN(N$3-$O$2,$Q$2)/$Q$2))</f>
        <v>1086.39621475801</v>
      </c>
      <c r="O268" s="15" t="n">
        <f aca="false">SUMPRODUCT(E268:N268,1/(1+$F$265)^$E$3:$N$3)*$E$2</f>
        <v>2999.21777325578</v>
      </c>
      <c r="P268" s="15" t="n">
        <f aca="false">N268*$E$2*(1+$I$265)/($F$265-$I$265)/(1+$F$265)^$N$3</f>
        <v>3745.33107178568</v>
      </c>
      <c r="Q268" s="15" t="n">
        <f aca="false">O268+P268</f>
        <v>6744.54884504146</v>
      </c>
      <c r="R268" s="15" t="n">
        <f aca="false">Q268-$G$2+$I$2</f>
        <v>5469.87884504146</v>
      </c>
      <c r="S268" s="42" t="n">
        <f aca="false">R268/$K$2</f>
        <v>153.777870256999</v>
      </c>
      <c r="T268" s="43" t="n">
        <f aca="false">S268-$M$2</f>
        <v>-135.510856197879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41" t="n">
        <f aca="false">(B269+C269)/2</f>
        <v>0.0625</v>
      </c>
      <c r="E269" s="15" t="n">
        <f aca="false">$C$2*(1+IF(E$3&lt;=$O$2,$D269,$D269-($D269-$I$265)*MIN(E$3-$O$2,$Q$2)/$Q$2))</f>
        <v>2635</v>
      </c>
      <c r="F269" s="15" t="n">
        <f aca="false">E269*(1+IF(F$3&lt;=$O$2,$D269,$D269-($D269-$I$265)*MIN(F$3-$O$2,$Q$2)/$Q$2))</f>
        <v>2799.6875</v>
      </c>
      <c r="G269" s="15" t="n">
        <f aca="false">F269*(1+IF(G$3&lt;=$O$2,$D269,$D269-($D269-$I$265)*MIN(G$3-$O$2,$Q$2)/$Q$2))</f>
        <v>2974.66796875</v>
      </c>
      <c r="H269" s="15" t="n">
        <f aca="false">G269*(1+IF(H$3&lt;=$O$2,$D269,$D269-($D269-$I$265)*MIN(H$3-$O$2,$Q$2)/$Q$2))</f>
        <v>3160.58471679688</v>
      </c>
      <c r="I269" s="15" t="n">
        <f aca="false">H269*(1+IF(I$3&lt;=$O$2,$D269,$D269-($D269-$I$265)*MIN(I$3-$O$2,$Q$2)/$Q$2))</f>
        <v>3358.12126159668</v>
      </c>
      <c r="J269" s="15" t="n">
        <f aca="false">I269*(1+IF(J$3&lt;=$O$2,$D269,$D269-($D269-$I$265)*MIN(J$3-$O$2,$Q$2)/$Q$2))</f>
        <v>3548.39241227875</v>
      </c>
      <c r="K269" s="15" t="n">
        <f aca="false">J269*(1+IF(K$3&lt;=$O$2,$D269,$D269-($D269-$I$265)*MIN(K$3-$O$2,$Q$2)/$Q$2))</f>
        <v>3728.72171467075</v>
      </c>
      <c r="L269" s="15" t="n">
        <f aca="false">K269*(1+IF(L$3&lt;=$O$2,$D269,$D269-($D269-$I$265)*MIN(L$3-$O$2,$Q$2)/$Q$2))</f>
        <v>3896.43961739664</v>
      </c>
      <c r="M269" s="15" t="n">
        <f aca="false">L269*(1+IF(M$3&lt;=$O$2,$D269,$D269-($D269-$I$265)*MIN(M$3-$O$2,$Q$2)/$Q$2))</f>
        <v>4048.94626402155</v>
      </c>
      <c r="N269" s="15" t="n">
        <f aca="false">M269*(1+IF(N$3&lt;=$O$2,$D269,$D269-($D269-$I$265)*MIN(N$3-$O$2,$Q$2)/$Q$2))</f>
        <v>4183.77617461347</v>
      </c>
      <c r="O269" s="15" t="n">
        <f aca="false">SUMPRODUCT(E269:N269,1/(1+$F$265)^$E$3:$N$3)*$E$2</f>
        <v>6816.68126328282</v>
      </c>
      <c r="P269" s="15" t="n">
        <f aca="false">N269*$E$2*(1+$I$265)/($F$265-$I$265)/(1+$F$265)^$N$3</f>
        <v>14423.4918083425</v>
      </c>
      <c r="Q269" s="15" t="n">
        <f aca="false">O269+P269</f>
        <v>21240.1730716253</v>
      </c>
      <c r="R269" s="15" t="n">
        <f aca="false">Q269-$G$2+$I$2</f>
        <v>19965.5030716253</v>
      </c>
      <c r="S269" s="42" t="n">
        <f aca="false">R269/$K$2</f>
        <v>561.301745055532</v>
      </c>
      <c r="T269" s="43" t="n">
        <f aca="false">S269-$M$2</f>
        <v>272.013018600654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-0.125</v>
      </c>
      <c r="C270" s="25" t="n">
        <f aca="false">IF(T269&gt;0,D269,C269)</f>
        <v>0.0625</v>
      </c>
      <c r="D270" s="41" t="n">
        <f aca="false">(B270+C270)/2</f>
        <v>-0.03125</v>
      </c>
      <c r="E270" s="15" t="n">
        <f aca="false">$C$2*(1+IF(E$3&lt;=$O$2,$D270,$D270-($D270-$I$265)*MIN(E$3-$O$2,$Q$2)/$Q$2))</f>
        <v>2402.5</v>
      </c>
      <c r="F270" s="15" t="n">
        <f aca="false">E270*(1+IF(F$3&lt;=$O$2,$D270,$D270-($D270-$I$265)*MIN(F$3-$O$2,$Q$2)/$Q$2))</f>
        <v>2327.421875</v>
      </c>
      <c r="G270" s="15" t="n">
        <f aca="false">F270*(1+IF(G$3&lt;=$O$2,$D270,$D270-($D270-$I$265)*MIN(G$3-$O$2,$Q$2)/$Q$2))</f>
        <v>2254.68994140625</v>
      </c>
      <c r="H270" s="15" t="n">
        <f aca="false">G270*(1+IF(H$3&lt;=$O$2,$D270,$D270-($D270-$I$265)*MIN(H$3-$O$2,$Q$2)/$Q$2))</f>
        <v>2184.2308807373</v>
      </c>
      <c r="I270" s="15" t="n">
        <f aca="false">H270*(1+IF(I$3&lt;=$O$2,$D270,$D270-($D270-$I$265)*MIN(I$3-$O$2,$Q$2)/$Q$2))</f>
        <v>2115.97366571426</v>
      </c>
      <c r="J270" s="15" t="n">
        <f aca="false">I270*(1+IF(J$3&lt;=$O$2,$D270,$D270-($D270-$I$265)*MIN(J$3-$O$2,$Q$2)/$Q$2))</f>
        <v>2077.16670868506</v>
      </c>
      <c r="K270" s="15" t="n">
        <f aca="false">J270*(1+IF(K$3&lt;=$O$2,$D270,$D270-($D270-$I$265)*MIN(K$3-$O$2,$Q$2)/$Q$2))</f>
        <v>2065.8876934569</v>
      </c>
      <c r="L270" s="15" t="n">
        <f aca="false">K270*(1+IF(L$3&lt;=$O$2,$D270,$D270-($D270-$I$265)*MIN(L$3-$O$2,$Q$2)/$Q$2))</f>
        <v>2081.34053340396</v>
      </c>
      <c r="M270" s="15" t="n">
        <f aca="false">L270*(1+IF(M$3&lt;=$O$2,$D270,$D270-($D270-$I$265)*MIN(M$3-$O$2,$Q$2)/$Q$2))</f>
        <v>2123.77906688007</v>
      </c>
      <c r="N270" s="15" t="n">
        <f aca="false">M270*(1+IF(N$3&lt;=$O$2,$D270,$D270-($D270-$I$265)*MIN(N$3-$O$2,$Q$2)/$Q$2))</f>
        <v>2194.50090980717</v>
      </c>
      <c r="O270" s="15" t="n">
        <f aca="false">SUMPRODUCT(E270:N270,1/(1+$F$265)^$E$3:$N$3)*$E$2</f>
        <v>4509.62233597358</v>
      </c>
      <c r="P270" s="15" t="n">
        <f aca="false">N270*$E$2*(1+$I$265)/($F$265-$I$265)/(1+$F$265)^$N$3</f>
        <v>7565.50173215902</v>
      </c>
      <c r="Q270" s="15" t="n">
        <f aca="false">O270+P270</f>
        <v>12075.1240681326</v>
      </c>
      <c r="R270" s="15" t="n">
        <f aca="false">Q270-$G$2+$I$2</f>
        <v>10800.4540681326</v>
      </c>
      <c r="S270" s="42" t="n">
        <f aca="false">R270/$K$2</f>
        <v>303.639417153011</v>
      </c>
      <c r="T270" s="43" t="n">
        <f aca="false">S270-$M$2</f>
        <v>14.3506906981332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-0.125</v>
      </c>
      <c r="C271" s="25" t="n">
        <f aca="false">IF(T270&gt;0,D270,C270)</f>
        <v>-0.03125</v>
      </c>
      <c r="D271" s="41" t="n">
        <f aca="false">(B271+C271)/2</f>
        <v>-0.078125</v>
      </c>
      <c r="E271" s="15" t="n">
        <f aca="false">$C$2*(1+IF(E$3&lt;=$O$2,$D271,$D271-($D271-$I$265)*MIN(E$3-$O$2,$Q$2)/$Q$2))</f>
        <v>2286.25</v>
      </c>
      <c r="F271" s="15" t="n">
        <f aca="false">E271*(1+IF(F$3&lt;=$O$2,$D271,$D271-($D271-$I$265)*MIN(F$3-$O$2,$Q$2)/$Q$2))</f>
        <v>2107.63671875</v>
      </c>
      <c r="G271" s="15" t="n">
        <f aca="false">F271*(1+IF(G$3&lt;=$O$2,$D271,$D271-($D271-$I$265)*MIN(G$3-$O$2,$Q$2)/$Q$2))</f>
        <v>1942.97760009766</v>
      </c>
      <c r="H271" s="15" t="n">
        <f aca="false">G271*(1+IF(H$3&lt;=$O$2,$D271,$D271-($D271-$I$265)*MIN(H$3-$O$2,$Q$2)/$Q$2))</f>
        <v>1791.18247509003</v>
      </c>
      <c r="I271" s="15" t="n">
        <f aca="false">H271*(1+IF(I$3&lt;=$O$2,$D271,$D271-($D271-$I$265)*MIN(I$3-$O$2,$Q$2)/$Q$2))</f>
        <v>1651.24634422362</v>
      </c>
      <c r="J271" s="15" t="n">
        <f aca="false">I271*(1+IF(J$3&lt;=$O$2,$D271,$D271-($D271-$I$265)*MIN(J$3-$O$2,$Q$2)/$Q$2))</f>
        <v>1559.04074836217</v>
      </c>
      <c r="K271" s="15" t="n">
        <f aca="false">J271*(1+IF(K$3&lt;=$O$2,$D271,$D271-($D271-$I$265)*MIN(K$3-$O$2,$Q$2)/$Q$2))</f>
        <v>1506.72713605088</v>
      </c>
      <c r="L271" s="15" t="n">
        <f aca="false">K271*(1+IF(L$3&lt;=$O$2,$D271,$D271-($D271-$I$265)*MIN(L$3-$O$2,$Q$2)/$Q$2))</f>
        <v>1489.74632122759</v>
      </c>
      <c r="M271" s="15" t="n">
        <f aca="false">L271*(1+IF(M$3&lt;=$O$2,$D271,$D271-($D271-$I$265)*MIN(M$3-$O$2,$Q$2)/$Q$2))</f>
        <v>1506.15587695591</v>
      </c>
      <c r="N271" s="15" t="n">
        <f aca="false">M271*(1+IF(N$3&lt;=$O$2,$D271,$D271-($D271-$I$265)*MIN(N$3-$O$2,$Q$2)/$Q$2))</f>
        <v>1556.31086765854</v>
      </c>
      <c r="O271" s="15" t="n">
        <f aca="false">SUMPRODUCT(E271:N271,1/(1+$F$265)^$E$3:$N$3)*$E$2</f>
        <v>3673.99640643865</v>
      </c>
      <c r="P271" s="15" t="n">
        <f aca="false">N271*$E$2*(1+$I$265)/($F$265-$I$265)/(1+$F$265)^$N$3</f>
        <v>5365.35323928536</v>
      </c>
      <c r="Q271" s="15" t="n">
        <f aca="false">O271+P271</f>
        <v>9039.34964572401</v>
      </c>
      <c r="R271" s="15" t="n">
        <f aca="false">Q271-$G$2+$I$2</f>
        <v>7764.67964572401</v>
      </c>
      <c r="S271" s="42" t="n">
        <f aca="false">R271/$K$2</f>
        <v>218.29293353174</v>
      </c>
      <c r="T271" s="43" t="n">
        <f aca="false">S271-$M$2</f>
        <v>-70.9957929231373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-0.078125</v>
      </c>
      <c r="C272" s="25" t="n">
        <f aca="false">IF(T271&gt;0,D271,C271)</f>
        <v>-0.03125</v>
      </c>
      <c r="D272" s="41" t="n">
        <f aca="false">(B272+C272)/2</f>
        <v>-0.0546875</v>
      </c>
      <c r="E272" s="15" t="n">
        <f aca="false">$C$2*(1+IF(E$3&lt;=$O$2,$D272,$D272-($D272-$I$265)*MIN(E$3-$O$2,$Q$2)/$Q$2))</f>
        <v>2344.375</v>
      </c>
      <c r="F272" s="15" t="n">
        <f aca="false">E272*(1+IF(F$3&lt;=$O$2,$D272,$D272-($D272-$I$265)*MIN(F$3-$O$2,$Q$2)/$Q$2))</f>
        <v>2216.1669921875</v>
      </c>
      <c r="G272" s="15" t="n">
        <f aca="false">F272*(1+IF(G$3&lt;=$O$2,$D272,$D272-($D272-$I$265)*MIN(G$3-$O$2,$Q$2)/$Q$2))</f>
        <v>2094.97035980225</v>
      </c>
      <c r="H272" s="15" t="n">
        <f aca="false">G272*(1+IF(H$3&lt;=$O$2,$D272,$D272-($D272-$I$265)*MIN(H$3-$O$2,$Q$2)/$Q$2))</f>
        <v>1980.40166825056</v>
      </c>
      <c r="I272" s="15" t="n">
        <f aca="false">H272*(1+IF(I$3&lt;=$O$2,$D272,$D272-($D272-$I$265)*MIN(I$3-$O$2,$Q$2)/$Q$2))</f>
        <v>1872.09845201811</v>
      </c>
      <c r="J272" s="15" t="n">
        <f aca="false">I272*(1+IF(J$3&lt;=$O$2,$D272,$D272-($D272-$I$265)*MIN(J$3-$O$2,$Q$2)/$Q$2))</f>
        <v>1802.66232043276</v>
      </c>
      <c r="K272" s="15" t="n">
        <f aca="false">J272*(1+IF(K$3&lt;=$O$2,$D272,$D272-($D272-$I$265)*MIN(K$3-$O$2,$Q$2)/$Q$2))</f>
        <v>1767.52392515172</v>
      </c>
      <c r="L272" s="15" t="n">
        <f aca="false">K272*(1+IF(L$3&lt;=$O$2,$D272,$D272-($D272-$I$265)*MIN(L$3-$O$2,$Q$2)/$Q$2))</f>
        <v>1764.17446731356</v>
      </c>
      <c r="M272" s="15" t="n">
        <f aca="false">L272*(1+IF(M$3&lt;=$O$2,$D272,$D272-($D272-$I$265)*MIN(M$3-$O$2,$Q$2)/$Q$2))</f>
        <v>1791.87641688655</v>
      </c>
      <c r="N272" s="15" t="n">
        <f aca="false">M272*(1+IF(N$3&lt;=$O$2,$D272,$D272-($D272-$I$265)*MIN(N$3-$O$2,$Q$2)/$Q$2))</f>
        <v>1851.54590156887</v>
      </c>
      <c r="O272" s="15" t="n">
        <f aca="false">SUMPRODUCT(E272:N272,1/(1+$F$265)^$E$3:$N$3)*$E$2</f>
        <v>4069.57298816188</v>
      </c>
      <c r="P272" s="15" t="n">
        <f aca="false">N272*$E$2*(1+$I$265)/($F$265-$I$265)/(1+$F$265)^$N$3</f>
        <v>6383.17061655813</v>
      </c>
      <c r="Q272" s="15" t="n">
        <f aca="false">O272+P272</f>
        <v>10452.74360472</v>
      </c>
      <c r="R272" s="15" t="n">
        <f aca="false">Q272-$G$2+$I$2</f>
        <v>9178.07360472001</v>
      </c>
      <c r="S272" s="42" t="n">
        <f aca="false">R272/$K$2</f>
        <v>258.028496056227</v>
      </c>
      <c r="T272" s="43" t="n">
        <f aca="false">S272-$M$2</f>
        <v>-31.2602303986504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-0.0546875</v>
      </c>
      <c r="C273" s="25" t="n">
        <f aca="false">IF(T272&gt;0,D272,C272)</f>
        <v>-0.03125</v>
      </c>
      <c r="D273" s="41" t="n">
        <f aca="false">(B273+C273)/2</f>
        <v>-0.04296875</v>
      </c>
      <c r="E273" s="15" t="n">
        <f aca="false">$C$2*(1+IF(E$3&lt;=$O$2,$D273,$D273-($D273-$I$265)*MIN(E$3-$O$2,$Q$2)/$Q$2))</f>
        <v>2373.4375</v>
      </c>
      <c r="F273" s="15" t="n">
        <f aca="false">E273*(1+IF(F$3&lt;=$O$2,$D273,$D273-($D273-$I$265)*MIN(F$3-$O$2,$Q$2)/$Q$2))</f>
        <v>2271.45385742188</v>
      </c>
      <c r="G273" s="15" t="n">
        <f aca="false">F273*(1+IF(G$3&lt;=$O$2,$D273,$D273-($D273-$I$265)*MIN(G$3-$O$2,$Q$2)/$Q$2))</f>
        <v>2173.85232448578</v>
      </c>
      <c r="H273" s="15" t="n">
        <f aca="false">G273*(1+IF(H$3&lt;=$O$2,$D273,$D273-($D273-$I$265)*MIN(H$3-$O$2,$Q$2)/$Q$2))</f>
        <v>2080.44460741803</v>
      </c>
      <c r="I273" s="15" t="n">
        <f aca="false">H273*(1+IF(I$3&lt;=$O$2,$D273,$D273-($D273-$I$265)*MIN(I$3-$O$2,$Q$2)/$Q$2))</f>
        <v>1991.05050319304</v>
      </c>
      <c r="J273" s="15" t="n">
        <f aca="false">I273*(1+IF(J$3&lt;=$O$2,$D273,$D273-($D273-$I$265)*MIN(J$3-$O$2,$Q$2)/$Q$2))</f>
        <v>1935.86853849704</v>
      </c>
      <c r="K273" s="15" t="n">
        <f aca="false">J273*(1+IF(K$3&lt;=$O$2,$D273,$D273-($D273-$I$265)*MIN(K$3-$O$2,$Q$2)/$Q$2))</f>
        <v>1911.7451966717</v>
      </c>
      <c r="L273" s="15" t="n">
        <f aca="false">K273*(1+IF(L$3&lt;=$O$2,$D273,$D273-($D273-$I$265)*MIN(L$3-$O$2,$Q$2)/$Q$2))</f>
        <v>1917.0837451334</v>
      </c>
      <c r="M273" s="15" t="n">
        <f aca="false">L273*(1+IF(M$3&lt;=$O$2,$D273,$D273-($D273-$I$265)*MIN(M$3-$O$2,$Q$2)/$Q$2))</f>
        <v>1951.67991766902</v>
      </c>
      <c r="N273" s="15" t="n">
        <f aca="false">M273*(1+IF(N$3&lt;=$O$2,$D273,$D273-($D273-$I$265)*MIN(N$3-$O$2,$Q$2)/$Q$2))</f>
        <v>2016.67085892739</v>
      </c>
      <c r="O273" s="15" t="n">
        <f aca="false">SUMPRODUCT(E273:N273,1/(1+$F$265)^$E$3:$N$3)*$E$2</f>
        <v>4283.75066810166</v>
      </c>
      <c r="P273" s="15" t="n">
        <f aca="false">N273*$E$2*(1+$I$265)/($F$265-$I$265)/(1+$F$265)^$N$3</f>
        <v>6952.43588563854</v>
      </c>
      <c r="Q273" s="15" t="n">
        <f aca="false">O273+P273</f>
        <v>11236.1865537402</v>
      </c>
      <c r="R273" s="15" t="n">
        <f aca="false">Q273-$G$2+$I$2</f>
        <v>9961.51655374019</v>
      </c>
      <c r="S273" s="42" t="n">
        <f aca="false">R273/$K$2</f>
        <v>280.053881184712</v>
      </c>
      <c r="T273" s="43" t="n">
        <f aca="false">S273-$M$2</f>
        <v>-9.23484527016603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-0.04296875</v>
      </c>
      <c r="C274" s="25" t="n">
        <f aca="false">IF(T273&gt;0,D273,C273)</f>
        <v>-0.03125</v>
      </c>
      <c r="D274" s="41" t="n">
        <f aca="false">(B274+C274)/2</f>
        <v>-0.037109375</v>
      </c>
      <c r="E274" s="15" t="n">
        <f aca="false">$C$2*(1+IF(E$3&lt;=$O$2,$D274,$D274-($D274-$I$265)*MIN(E$3-$O$2,$Q$2)/$Q$2))</f>
        <v>2387.96875</v>
      </c>
      <c r="F274" s="15" t="n">
        <f aca="false">E274*(1+IF(F$3&lt;=$O$2,$D274,$D274-($D274-$I$265)*MIN(F$3-$O$2,$Q$2)/$Q$2))</f>
        <v>2299.35272216797</v>
      </c>
      <c r="G274" s="15" t="n">
        <f aca="false">F274*(1+IF(G$3&lt;=$O$2,$D274,$D274-($D274-$I$265)*MIN(G$3-$O$2,$Q$2)/$Q$2))</f>
        <v>2214.02517974377</v>
      </c>
      <c r="H274" s="15" t="n">
        <f aca="false">G274*(1+IF(H$3&lt;=$O$2,$D274,$D274-($D274-$I$265)*MIN(H$3-$O$2,$Q$2)/$Q$2))</f>
        <v>2131.86408908921</v>
      </c>
      <c r="I274" s="15" t="n">
        <f aca="false">H274*(1+IF(I$3&lt;=$O$2,$D274,$D274-($D274-$I$265)*MIN(I$3-$O$2,$Q$2)/$Q$2))</f>
        <v>2052.75194515817</v>
      </c>
      <c r="J274" s="15" t="n">
        <f aca="false">I274*(1+IF(J$3&lt;=$O$2,$D274,$D274-($D274-$I$265)*MIN(J$3-$O$2,$Q$2)/$Q$2))</f>
        <v>2005.48219974104</v>
      </c>
      <c r="K274" s="15" t="n">
        <f aca="false">J274*(1+IF(K$3&lt;=$O$2,$D274,$D274-($D274-$I$265)*MIN(K$3-$O$2,$Q$2)/$Q$2))</f>
        <v>1987.54190803798</v>
      </c>
      <c r="L274" s="15" t="n">
        <f aca="false">K274*(1+IF(L$3&lt;=$O$2,$D274,$D274-($D274-$I$265)*MIN(L$3-$O$2,$Q$2)/$Q$2))</f>
        <v>1997.75042016314</v>
      </c>
      <c r="M274" s="15" t="n">
        <f aca="false">L274*(1+IF(M$3&lt;=$O$2,$D274,$D274-($D274-$I$265)*MIN(M$3-$O$2,$Q$2)/$Q$2))</f>
        <v>2036.14343745664</v>
      </c>
      <c r="N274" s="15" t="n">
        <f aca="false">M274*(1+IF(N$3&lt;=$O$2,$D274,$D274-($D274-$I$265)*MIN(N$3-$O$2,$Q$2)/$Q$2))</f>
        <v>2103.94701392394</v>
      </c>
      <c r="O274" s="15" t="n">
        <f aca="false">SUMPRODUCT(E274:N274,1/(1+$F$265)^$E$3:$N$3)*$E$2</f>
        <v>4395.18734016451</v>
      </c>
      <c r="P274" s="15" t="n">
        <f aca="false">N274*$E$2*(1+$I$265)/($F$265-$I$265)/(1+$F$265)^$N$3</f>
        <v>7253.31883303299</v>
      </c>
      <c r="Q274" s="15" t="n">
        <f aca="false">O274+P274</f>
        <v>11648.5061731975</v>
      </c>
      <c r="R274" s="15" t="n">
        <f aca="false">Q274-$G$2+$I$2</f>
        <v>10373.8361731975</v>
      </c>
      <c r="S274" s="42" t="n">
        <f aca="false">R274/$K$2</f>
        <v>291.645661321268</v>
      </c>
      <c r="T274" s="43" t="n">
        <f aca="false">S274-$M$2</f>
        <v>2.35693486639013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-0.04296875</v>
      </c>
      <c r="C275" s="25" t="n">
        <f aca="false">IF(T274&gt;0,D274,C274)</f>
        <v>-0.037109375</v>
      </c>
      <c r="D275" s="41" t="n">
        <f aca="false">(B275+C275)/2</f>
        <v>-0.0400390625</v>
      </c>
      <c r="E275" s="15" t="n">
        <f aca="false">$C$2*(1+IF(E$3&lt;=$O$2,$D275,$D275-($D275-$I$265)*MIN(E$3-$O$2,$Q$2)/$Q$2))</f>
        <v>2380.703125</v>
      </c>
      <c r="F275" s="15" t="n">
        <f aca="false">E275*(1+IF(F$3&lt;=$O$2,$D275,$D275-($D275-$I$265)*MIN(F$3-$O$2,$Q$2)/$Q$2))</f>
        <v>2285.38200378418</v>
      </c>
      <c r="G275" s="15" t="n">
        <f aca="false">F275*(1+IF(G$3&lt;=$O$2,$D275,$D275-($D275-$I$265)*MIN(G$3-$O$2,$Q$2)/$Q$2))</f>
        <v>2193.87745089829</v>
      </c>
      <c r="H275" s="15" t="n">
        <f aca="false">G275*(1+IF(H$3&lt;=$O$2,$D275,$D275-($D275-$I$265)*MIN(H$3-$O$2,$Q$2)/$Q$2))</f>
        <v>2106.03665452443</v>
      </c>
      <c r="I275" s="15" t="n">
        <f aca="false">H275*(1+IF(I$3&lt;=$O$2,$D275,$D275-($D275-$I$265)*MIN(I$3-$O$2,$Q$2)/$Q$2))</f>
        <v>2021.71292128664</v>
      </c>
      <c r="J275" s="15" t="n">
        <f aca="false">I275*(1+IF(J$3&lt;=$O$2,$D275,$D275-($D275-$I$265)*MIN(J$3-$O$2,$Q$2)/$Q$2))</f>
        <v>1970.41953733244</v>
      </c>
      <c r="K275" s="15" t="n">
        <f aca="false">J275*(1+IF(K$3&lt;=$O$2,$D275,$D275-($D275-$I$265)*MIN(K$3-$O$2,$Q$2)/$Q$2))</f>
        <v>1949.32927496583</v>
      </c>
      <c r="L275" s="15" t="n">
        <f aca="false">K275*(1+IF(L$3&lt;=$O$2,$D275,$D275-($D275-$I$265)*MIN(L$3-$O$2,$Q$2)/$Q$2))</f>
        <v>1957.05714721027</v>
      </c>
      <c r="M275" s="15" t="n">
        <f aca="false">L275*(1+IF(M$3&lt;=$O$2,$D275,$D275-($D275-$I$265)*MIN(M$3-$O$2,$Q$2)/$Q$2))</f>
        <v>1993.52140292531</v>
      </c>
      <c r="N275" s="15" t="n">
        <f aca="false">M275*(1+IF(N$3&lt;=$O$2,$D275,$D275-($D275-$I$265)*MIN(N$3-$O$2,$Q$2)/$Q$2))</f>
        <v>2059.90566564272</v>
      </c>
      <c r="O275" s="15" t="n">
        <f aca="false">SUMPRODUCT(E275:N275,1/(1+$F$265)^$E$3:$N$3)*$E$2</f>
        <v>4339.0989555406</v>
      </c>
      <c r="P275" s="15" t="n">
        <f aca="false">N275*$E$2*(1+$I$265)/($F$265-$I$265)/(1+$F$265)^$N$3</f>
        <v>7101.48709069049</v>
      </c>
      <c r="Q275" s="15" t="n">
        <f aca="false">O275+P275</f>
        <v>11440.5860462311</v>
      </c>
      <c r="R275" s="15" t="n">
        <f aca="false">Q275-$G$2+$I$2</f>
        <v>10165.9160462311</v>
      </c>
      <c r="S275" s="42" t="n">
        <f aca="false">R275/$K$2</f>
        <v>285.80028243551</v>
      </c>
      <c r="T275" s="43" t="n">
        <f aca="false">S275-$M$2</f>
        <v>-3.48844401936782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-0.0400390625</v>
      </c>
      <c r="C276" s="25" t="n">
        <f aca="false">IF(T275&gt;0,D275,C275)</f>
        <v>-0.037109375</v>
      </c>
      <c r="D276" s="41" t="n">
        <f aca="false">(B276+C276)/2</f>
        <v>-0.03857421875</v>
      </c>
      <c r="E276" s="15" t="n">
        <f aca="false">$C$2*(1+IF(E$3&lt;=$O$2,$D276,$D276-($D276-$I$265)*MIN(E$3-$O$2,$Q$2)/$Q$2))</f>
        <v>2384.3359375</v>
      </c>
      <c r="F276" s="15" t="n">
        <f aca="false">E276*(1+IF(F$3&lt;=$O$2,$D276,$D276-($D276-$I$265)*MIN(F$3-$O$2,$Q$2)/$Q$2))</f>
        <v>2292.36204147339</v>
      </c>
      <c r="G276" s="15" t="n">
        <f aca="false">F276*(1+IF(G$3&lt;=$O$2,$D276,$D276-($D276-$I$265)*MIN(G$3-$O$2,$Q$2)/$Q$2))</f>
        <v>2203.9359666314</v>
      </c>
      <c r="H276" s="15" t="n">
        <f aca="false">G276*(1+IF(H$3&lt;=$O$2,$D276,$D276-($D276-$I$265)*MIN(H$3-$O$2,$Q$2)/$Q$2))</f>
        <v>2118.92085854357</v>
      </c>
      <c r="I276" s="15" t="n">
        <f aca="false">H276*(1+IF(I$3&lt;=$O$2,$D276,$D276-($D276-$I$265)*MIN(I$3-$O$2,$Q$2)/$Q$2))</f>
        <v>2037.18514183217</v>
      </c>
      <c r="J276" s="15" t="n">
        <f aca="false">I276*(1+IF(J$3&lt;=$O$2,$D276,$D276-($D276-$I$265)*MIN(J$3-$O$2,$Q$2)/$Q$2))</f>
        <v>1987.88653464054</v>
      </c>
      <c r="K276" s="15" t="n">
        <f aca="false">J276*(1+IF(K$3&lt;=$O$2,$D276,$D276-($D276-$I$265)*MIN(K$3-$O$2,$Q$2)/$Q$2))</f>
        <v>1968.35648125951</v>
      </c>
      <c r="L276" s="15" t="n">
        <f aca="false">K276*(1+IF(L$3&lt;=$O$2,$D276,$D276-($D276-$I$265)*MIN(L$3-$O$2,$Q$2)/$Q$2))</f>
        <v>1977.31311836064</v>
      </c>
      <c r="M276" s="15" t="n">
        <f aca="false">L276*(1+IF(M$3&lt;=$O$2,$D276,$D276-($D276-$I$265)*MIN(M$3-$O$2,$Q$2)/$Q$2))</f>
        <v>2014.73407808079</v>
      </c>
      <c r="N276" s="15" t="n">
        <f aca="false">M276*(1+IF(N$3&lt;=$O$2,$D276,$D276-($D276-$I$265)*MIN(N$3-$O$2,$Q$2)/$Q$2))</f>
        <v>2081.82472288088</v>
      </c>
      <c r="O276" s="15" t="n">
        <f aca="false">SUMPRODUCT(E276:N276,1/(1+$F$265)^$E$3:$N$3)*$E$2</f>
        <v>4367.05004708647</v>
      </c>
      <c r="P276" s="15" t="n">
        <f aca="false">N276*$E$2*(1+$I$265)/($F$265-$I$265)/(1+$F$265)^$N$3</f>
        <v>7177.05263944991</v>
      </c>
      <c r="Q276" s="15" t="n">
        <f aca="false">O276+P276</f>
        <v>11544.1026865364</v>
      </c>
      <c r="R276" s="15" t="n">
        <f aca="false">Q276-$G$2+$I$2</f>
        <v>10269.4326865364</v>
      </c>
      <c r="S276" s="42" t="n">
        <f aca="false">R276/$K$2</f>
        <v>288.710505665909</v>
      </c>
      <c r="T276" s="43" t="n">
        <f aca="false">S276-$M$2</f>
        <v>-0.578220788968849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-0.03857421875</v>
      </c>
      <c r="C277" s="25" t="n">
        <f aca="false">IF(T276&gt;0,D276,C276)</f>
        <v>-0.037109375</v>
      </c>
      <c r="D277" s="41" t="n">
        <f aca="false">(B277+C277)/2</f>
        <v>-0.037841796875</v>
      </c>
      <c r="E277" s="15" t="n">
        <f aca="false">$C$2*(1+IF(E$3&lt;=$O$2,$D277,$D277-($D277-$I$265)*MIN(E$3-$O$2,$Q$2)/$Q$2))</f>
        <v>2386.15234375</v>
      </c>
      <c r="F277" s="15" t="n">
        <f aca="false">E277*(1+IF(F$3&lt;=$O$2,$D277,$D277-($D277-$I$265)*MIN(F$3-$O$2,$Q$2)/$Q$2))</f>
        <v>2295.85605144501</v>
      </c>
      <c r="G277" s="15" t="n">
        <f aca="false">F277*(1+IF(G$3&lt;=$O$2,$D277,$D277-($D277-$I$265)*MIN(G$3-$O$2,$Q$2)/$Q$2))</f>
        <v>2208.97673309199</v>
      </c>
      <c r="H277" s="15" t="n">
        <f aca="false">G277*(1+IF(H$3&lt;=$O$2,$D277,$D277-($D277-$I$265)*MIN(H$3-$O$2,$Q$2)/$Q$2))</f>
        <v>2125.38508425672</v>
      </c>
      <c r="I277" s="15" t="n">
        <f aca="false">H277*(1+IF(I$3&lt;=$O$2,$D277,$D277-($D277-$I$265)*MIN(I$3-$O$2,$Q$2)/$Q$2))</f>
        <v>2044.95669361712</v>
      </c>
      <c r="J277" s="15" t="n">
        <f aca="false">I277*(1+IF(J$3&lt;=$O$2,$D277,$D277-($D277-$I$265)*MIN(J$3-$O$2,$Q$2)/$Q$2))</f>
        <v>1996.66823654219</v>
      </c>
      <c r="K277" s="15" t="n">
        <f aca="false">J277*(1+IF(K$3&lt;=$O$2,$D277,$D277-($D277-$I$265)*MIN(K$3-$O$2,$Q$2)/$Q$2))</f>
        <v>1977.92934915253</v>
      </c>
      <c r="L277" s="15" t="n">
        <f aca="false">K277*(1+IF(L$3&lt;=$O$2,$D277,$D277-($D277-$I$265)*MIN(L$3-$O$2,$Q$2)/$Q$2))</f>
        <v>1987.50901728311</v>
      </c>
      <c r="M277" s="15" t="n">
        <f aca="false">L277*(1+IF(M$3&lt;=$O$2,$D277,$D277-($D277-$I$265)*MIN(M$3-$O$2,$Q$2)/$Q$2))</f>
        <v>2025.41407499968</v>
      </c>
      <c r="N277" s="15" t="n">
        <f aca="false">M277*(1+IF(N$3&lt;=$O$2,$D277,$D277-($D277-$I$265)*MIN(N$3-$O$2,$Q$2)/$Q$2))</f>
        <v>2092.86036369717</v>
      </c>
      <c r="O277" s="15" t="n">
        <f aca="false">SUMPRODUCT(E277:N277,1/(1+$F$265)^$E$3:$N$3)*$E$2</f>
        <v>4381.09534449802</v>
      </c>
      <c r="P277" s="15" t="n">
        <f aca="false">N277*$E$2*(1+$I$265)/($F$265-$I$265)/(1+$F$265)^$N$3</f>
        <v>7215.09780923678</v>
      </c>
      <c r="Q277" s="15" t="n">
        <f aca="false">O277+P277</f>
        <v>11596.1931537348</v>
      </c>
      <c r="R277" s="15" t="n">
        <f aca="false">Q277-$G$2+$I$2</f>
        <v>10321.5231537348</v>
      </c>
      <c r="S277" s="42" t="n">
        <f aca="false">R277/$K$2</f>
        <v>290.174955123272</v>
      </c>
      <c r="T277" s="43" t="n">
        <f aca="false">S277-$M$2</f>
        <v>0.886228668394779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-0.03857421875</v>
      </c>
      <c r="C278" s="25" t="n">
        <f aca="false">IF(T277&gt;0,D277,C277)</f>
        <v>-0.037841796875</v>
      </c>
      <c r="D278" s="41" t="n">
        <f aca="false">(B278+C278)/2</f>
        <v>-0.0382080078125</v>
      </c>
      <c r="E278" s="15" t="n">
        <f aca="false">$C$2*(1+IF(E$3&lt;=$O$2,$D278,$D278-($D278-$I$265)*MIN(E$3-$O$2,$Q$2)/$Q$2))</f>
        <v>2385.244140625</v>
      </c>
      <c r="F278" s="15" t="n">
        <f aca="false">E278*(1+IF(F$3&lt;=$O$2,$D278,$D278-($D278-$I$265)*MIN(F$3-$O$2,$Q$2)/$Q$2))</f>
        <v>2294.10871386528</v>
      </c>
      <c r="G278" s="15" t="n">
        <f aca="false">F278*(1+IF(G$3&lt;=$O$2,$D278,$D278-($D278-$I$265)*MIN(G$3-$O$2,$Q$2)/$Q$2))</f>
        <v>2206.45539020319</v>
      </c>
      <c r="H278" s="15" t="n">
        <f aca="false">G278*(1+IF(H$3&lt;=$O$2,$D278,$D278-($D278-$I$265)*MIN(H$3-$O$2,$Q$2)/$Q$2))</f>
        <v>2122.15112541637</v>
      </c>
      <c r="I278" s="15" t="n">
        <f aca="false">H278*(1+IF(I$3&lt;=$O$2,$D278,$D278-($D278-$I$265)*MIN(I$3-$O$2,$Q$2)/$Q$2))</f>
        <v>2041.06795863716</v>
      </c>
      <c r="J278" s="15" t="n">
        <f aca="false">I278*(1+IF(J$3&lt;=$O$2,$D278,$D278-($D278-$I$265)*MIN(J$3-$O$2,$Q$2)/$Q$2))</f>
        <v>1992.27335883412</v>
      </c>
      <c r="K278" s="15" t="n">
        <f aca="false">J278*(1+IF(K$3&lt;=$O$2,$D278,$D278-($D278-$I$265)*MIN(K$3-$O$2,$Q$2)/$Q$2))</f>
        <v>1973.13796233841</v>
      </c>
      <c r="L278" s="15" t="n">
        <f aca="false">K278*(1+IF(L$3&lt;=$O$2,$D278,$D278-($D278-$I$265)*MIN(L$3-$O$2,$Q$2)/$Q$2))</f>
        <v>1982.40539055387</v>
      </c>
      <c r="M278" s="15" t="n">
        <f aca="false">L278*(1+IF(M$3&lt;=$O$2,$D278,$D278-($D278-$I$265)*MIN(M$3-$O$2,$Q$2)/$Q$2))</f>
        <v>2020.06791802826</v>
      </c>
      <c r="N278" s="15" t="n">
        <f aca="false">M278*(1+IF(N$3&lt;=$O$2,$D278,$D278-($D278-$I$265)*MIN(N$3-$O$2,$Q$2)/$Q$2))</f>
        <v>2087.3361796986</v>
      </c>
      <c r="O278" s="15" t="n">
        <f aca="false">SUMPRODUCT(E278:N278,1/(1+$F$265)^$E$3:$N$3)*$E$2</f>
        <v>4374.06686776843</v>
      </c>
      <c r="P278" s="15" t="n">
        <f aca="false">N278*$E$2*(1+$I$265)/($F$265-$I$265)/(1+$F$265)^$N$3</f>
        <v>7196.05328598178</v>
      </c>
      <c r="Q278" s="15" t="n">
        <f aca="false">O278+P278</f>
        <v>11570.1201537502</v>
      </c>
      <c r="R278" s="15" t="n">
        <f aca="false">Q278-$G$2+$I$2</f>
        <v>10295.4501537502</v>
      </c>
      <c r="S278" s="42" t="n">
        <f aca="false">R278/$K$2</f>
        <v>289.441949782126</v>
      </c>
      <c r="T278" s="43" t="n">
        <f aca="false">S278-$M$2</f>
        <v>0.153223327248099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-0.03857421875</v>
      </c>
      <c r="C279" s="25" t="n">
        <f aca="false">IF(T278&gt;0,D278,C278)</f>
        <v>-0.0382080078125</v>
      </c>
      <c r="D279" s="41" t="n">
        <f aca="false">(B279+C279)/2</f>
        <v>-0.03839111328125</v>
      </c>
      <c r="E279" s="15" t="n">
        <f aca="false">$C$2*(1+IF(E$3&lt;=$O$2,$D279,$D279-($D279-$I$265)*MIN(E$3-$O$2,$Q$2)/$Q$2))</f>
        <v>2384.7900390625</v>
      </c>
      <c r="F279" s="15" t="n">
        <f aca="false">E279*(1+IF(F$3&lt;=$O$2,$D279,$D279-($D279-$I$265)*MIN(F$3-$O$2,$Q$2)/$Q$2))</f>
        <v>2293.23529452086</v>
      </c>
      <c r="G279" s="15" t="n">
        <f aca="false">F279*(1+IF(G$3&lt;=$O$2,$D279,$D279-($D279-$I$265)*MIN(G$3-$O$2,$Q$2)/$Q$2))</f>
        <v>2205.19543854834</v>
      </c>
      <c r="H279" s="15" t="n">
        <f aca="false">G279*(1+IF(H$3&lt;=$O$2,$D279,$D279-($D279-$I$265)*MIN(H$3-$O$2,$Q$2)/$Q$2))</f>
        <v>2120.53553065974</v>
      </c>
      <c r="I279" s="15" t="n">
        <f aca="false">H279*(1+IF(I$3&lt;=$O$2,$D279,$D279-($D279-$I$265)*MIN(I$3-$O$2,$Q$2)/$Q$2))</f>
        <v>2039.12581088527</v>
      </c>
      <c r="J279" s="15" t="n">
        <f aca="false">I279*(1+IF(J$3&lt;=$O$2,$D279,$D279-($D279-$I$265)*MIN(J$3-$O$2,$Q$2)/$Q$2))</f>
        <v>1990.07894078543</v>
      </c>
      <c r="K279" s="15" t="n">
        <f aca="false">J279*(1+IF(K$3&lt;=$O$2,$D279,$D279-($D279-$I$265)*MIN(K$3-$O$2,$Q$2)/$Q$2))</f>
        <v>1970.7459846441</v>
      </c>
      <c r="L279" s="15" t="n">
        <f aca="false">K279*(1+IF(L$3&lt;=$O$2,$D279,$D279-($D279-$I$265)*MIN(L$3-$O$2,$Q$2)/$Q$2))</f>
        <v>1979.85783647927</v>
      </c>
      <c r="M279" s="15" t="n">
        <f aca="false">L279*(1+IF(M$3&lt;=$O$2,$D279,$D279-($D279-$I$265)*MIN(M$3-$O$2,$Q$2)/$Q$2))</f>
        <v>2017.39945994687</v>
      </c>
      <c r="N279" s="15" t="n">
        <f aca="false">M279*(1+IF(N$3&lt;=$O$2,$D279,$D279-($D279-$I$265)*MIN(N$3-$O$2,$Q$2)/$Q$2))</f>
        <v>2084.5788619631</v>
      </c>
      <c r="O279" s="15" t="n">
        <f aca="false">SUMPRODUCT(E279:N279,1/(1+$F$265)^$E$3:$N$3)*$E$2</f>
        <v>4370.55700157735</v>
      </c>
      <c r="P279" s="15" t="n">
        <f aca="false">N279*$E$2*(1+$I$265)/($F$265-$I$265)/(1+$F$265)^$N$3</f>
        <v>7186.54748354133</v>
      </c>
      <c r="Q279" s="15" t="n">
        <f aca="false">O279+P279</f>
        <v>11557.1044851187</v>
      </c>
      <c r="R279" s="15" t="n">
        <f aca="false">Q279-$G$2+$I$2</f>
        <v>10282.4344851187</v>
      </c>
      <c r="S279" s="42" t="n">
        <f aca="false">R279/$K$2</f>
        <v>289.076032755656</v>
      </c>
      <c r="T279" s="43" t="n">
        <f aca="false">S279-$M$2</f>
        <v>-0.212693699221973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-0.03839111328125</v>
      </c>
      <c r="C280" s="25" t="n">
        <f aca="false">IF(T279&gt;0,D279,C279)</f>
        <v>-0.0382080078125</v>
      </c>
      <c r="D280" s="41" t="n">
        <f aca="false">(B280+C280)/2</f>
        <v>-0.038299560546875</v>
      </c>
      <c r="E280" s="15" t="n">
        <f aca="false">$C$2*(1+IF(E$3&lt;=$O$2,$D280,$D280-($D280-$I$265)*MIN(E$3-$O$2,$Q$2)/$Q$2))</f>
        <v>2385.01708984375</v>
      </c>
      <c r="F280" s="15" t="n">
        <f aca="false">E280*(1+IF(F$3&lt;=$O$2,$D280,$D280-($D280-$I$265)*MIN(F$3-$O$2,$Q$2)/$Q$2))</f>
        <v>2293.67198340595</v>
      </c>
      <c r="G280" s="15" t="n">
        <f aca="false">F280*(1+IF(G$3&lt;=$O$2,$D280,$D280-($D280-$I$265)*MIN(G$3-$O$2,$Q$2)/$Q$2))</f>
        <v>2205.82535440282</v>
      </c>
      <c r="H280" s="15" t="n">
        <f aca="false">G280*(1+IF(H$3&lt;=$O$2,$D280,$D280-($D280-$I$265)*MIN(H$3-$O$2,$Q$2)/$Q$2))</f>
        <v>2121.34321268604</v>
      </c>
      <c r="I280" s="15" t="n">
        <f aca="false">H280*(1+IF(I$3&lt;=$O$2,$D280,$D280-($D280-$I$265)*MIN(I$3-$O$2,$Q$2)/$Q$2))</f>
        <v>2040.09669987107</v>
      </c>
      <c r="J280" s="15" t="n">
        <f aca="false">I280*(1+IF(J$3&lt;=$O$2,$D280,$D280-($D280-$I$265)*MIN(J$3-$O$2,$Q$2)/$Q$2))</f>
        <v>1991.17589822965</v>
      </c>
      <c r="K280" s="15" t="n">
        <f aca="false">J280*(1+IF(K$3&lt;=$O$2,$D280,$D280-($D280-$I$265)*MIN(K$3-$O$2,$Q$2)/$Q$2))</f>
        <v>1971.94166406984</v>
      </c>
      <c r="L280" s="15" t="n">
        <f aca="false">K280*(1+IF(L$3&lt;=$O$2,$D280,$D280-($D280-$I$265)*MIN(L$3-$O$2,$Q$2)/$Q$2))</f>
        <v>1981.13125885477</v>
      </c>
      <c r="M280" s="15" t="n">
        <f aca="false">L280*(1+IF(M$3&lt;=$O$2,$D280,$D280-($D280-$I$265)*MIN(M$3-$O$2,$Q$2)/$Q$2))</f>
        <v>2018.7333042707</v>
      </c>
      <c r="N280" s="15" t="n">
        <f aca="false">M280*(1+IF(N$3&lt;=$O$2,$D280,$D280-($D280-$I$265)*MIN(N$3-$O$2,$Q$2)/$Q$2))</f>
        <v>2085.95712330292</v>
      </c>
      <c r="O280" s="15" t="n">
        <f aca="false">SUMPRODUCT(E280:N280,1/(1+$F$265)^$E$3:$N$3)*$E$2</f>
        <v>4372.31157056595</v>
      </c>
      <c r="P280" s="15" t="n">
        <f aca="false">N280*$E$2*(1+$I$265)/($F$265-$I$265)/(1+$F$265)^$N$3</f>
        <v>7191.29901429129</v>
      </c>
      <c r="Q280" s="15" t="n">
        <f aca="false">O280+P280</f>
        <v>11563.6105848572</v>
      </c>
      <c r="R280" s="15" t="n">
        <f aca="false">Q280-$G$2+$I$2</f>
        <v>10288.9405848572</v>
      </c>
      <c r="S280" s="42" t="n">
        <f aca="false">R280/$K$2</f>
        <v>289.258942503718</v>
      </c>
      <c r="T280" s="43" t="n">
        <f aca="false">S280-$M$2</f>
        <v>-0.029783951160141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-0.038299560546875</v>
      </c>
      <c r="C281" s="25" t="n">
        <f aca="false">IF(T280&gt;0,D280,C280)</f>
        <v>-0.0382080078125</v>
      </c>
      <c r="D281" s="41" t="n">
        <f aca="false">(B281+C281)/2</f>
        <v>-0.0382537841796875</v>
      </c>
      <c r="E281" s="15" t="n">
        <f aca="false">$C$2*(1+IF(E$3&lt;=$O$2,$D281,$D281-($D281-$I$265)*MIN(E$3-$O$2,$Q$2)/$Q$2))</f>
        <v>2385.13061523438</v>
      </c>
      <c r="F281" s="15" t="n">
        <f aca="false">E281*(1+IF(F$3&lt;=$O$2,$D281,$D281-($D281-$I$265)*MIN(F$3-$O$2,$Q$2)/$Q$2))</f>
        <v>2293.89034343883</v>
      </c>
      <c r="G281" s="15" t="n">
        <f aca="false">F281*(1+IF(G$3&lt;=$O$2,$D281,$D281-($D281-$I$265)*MIN(G$3-$O$2,$Q$2)/$Q$2))</f>
        <v>2206.14035730906</v>
      </c>
      <c r="H281" s="15" t="n">
        <f aca="false">G281*(1+IF(H$3&lt;=$O$2,$D281,$D281-($D281-$I$265)*MIN(H$3-$O$2,$Q$2)/$Q$2))</f>
        <v>2121.74714021046</v>
      </c>
      <c r="I281" s="15" t="n">
        <f aca="false">H281*(1+IF(I$3&lt;=$O$2,$D281,$D281-($D281-$I$265)*MIN(I$3-$O$2,$Q$2)/$Q$2))</f>
        <v>2040.58228302498</v>
      </c>
      <c r="J281" s="15" t="n">
        <f aca="false">I281*(1+IF(J$3&lt;=$O$2,$D281,$D281-($D281-$I$265)*MIN(J$3-$O$2,$Q$2)/$Q$2))</f>
        <v>1991.72456562534</v>
      </c>
      <c r="K281" s="15" t="n">
        <f aca="false">J281*(1+IF(K$3&lt;=$O$2,$D281,$D281-($D281-$I$265)*MIN(K$3-$O$2,$Q$2)/$Q$2))</f>
        <v>1972.53973583218</v>
      </c>
      <c r="L281" s="15" t="n">
        <f aca="false">K281*(1+IF(L$3&lt;=$O$2,$D281,$D281-($D281-$I$265)*MIN(L$3-$O$2,$Q$2)/$Q$2))</f>
        <v>1981.76823601795</v>
      </c>
      <c r="M281" s="15" t="n">
        <f aca="false">L281*(1+IF(M$3&lt;=$O$2,$D281,$D281-($D281-$I$265)*MIN(M$3-$O$2,$Q$2)/$Q$2))</f>
        <v>2019.40051494651</v>
      </c>
      <c r="N281" s="15" t="n">
        <f aca="false">M281*(1+IF(N$3&lt;=$O$2,$D281,$D281-($D281-$I$265)*MIN(N$3-$O$2,$Q$2)/$Q$2))</f>
        <v>2086.64655209423</v>
      </c>
      <c r="O281" s="15" t="n">
        <f aca="false">SUMPRODUCT(E281:N281,1/(1+$F$265)^$E$3:$N$3)*$E$2</f>
        <v>4373.18912812239</v>
      </c>
      <c r="P281" s="15" t="n">
        <f aca="false">N281*$E$2*(1+$I$265)/($F$265-$I$265)/(1+$F$265)^$N$3</f>
        <v>7193.67580743436</v>
      </c>
      <c r="Q281" s="15" t="n">
        <f aca="false">O281+P281</f>
        <v>11566.8649355568</v>
      </c>
      <c r="R281" s="15" t="n">
        <f aca="false">Q281-$G$2+$I$2</f>
        <v>10292.1949355568</v>
      </c>
      <c r="S281" s="42" t="n">
        <f aca="false">R281/$K$2</f>
        <v>289.350433948742</v>
      </c>
      <c r="T281" s="43" t="n">
        <f aca="false">S281-$M$2</f>
        <v>0.0617074938644464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-0.038299560546875</v>
      </c>
      <c r="C282" s="25" t="n">
        <f aca="false">IF(T281&gt;0,D281,C281)</f>
        <v>-0.0382537841796875</v>
      </c>
      <c r="D282" s="41" t="n">
        <f aca="false">(B282+C282)/2</f>
        <v>-0.0382766723632813</v>
      </c>
      <c r="E282" s="15" t="n">
        <f aca="false">$C$2*(1+IF(E$3&lt;=$O$2,$D282,$D282-($D282-$I$265)*MIN(E$3-$O$2,$Q$2)/$Q$2))</f>
        <v>2385.07385253906</v>
      </c>
      <c r="F282" s="15" t="n">
        <f aca="false">E282*(1+IF(F$3&lt;=$O$2,$D282,$D282-($D282-$I$265)*MIN(F$3-$O$2,$Q$2)/$Q$2))</f>
        <v>2293.7811621232</v>
      </c>
      <c r="G282" s="15" t="n">
        <f aca="false">F282*(1+IF(G$3&lt;=$O$2,$D282,$D282-($D282-$I$265)*MIN(G$3-$O$2,$Q$2)/$Q$2))</f>
        <v>2205.98285210754</v>
      </c>
      <c r="H282" s="15" t="n">
        <f aca="false">G282*(1+IF(H$3&lt;=$O$2,$D282,$D282-($D282-$I$265)*MIN(H$3-$O$2,$Q$2)/$Q$2))</f>
        <v>2121.5451692384</v>
      </c>
      <c r="I282" s="15" t="n">
        <f aca="false">H282*(1+IF(I$3&lt;=$O$2,$D282,$D282-($D282-$I$265)*MIN(I$3-$O$2,$Q$2)/$Q$2))</f>
        <v>2040.33947989156</v>
      </c>
      <c r="J282" s="15" t="n">
        <f aca="false">I282*(1+IF(J$3&lt;=$O$2,$D282,$D282-($D282-$I$265)*MIN(J$3-$O$2,$Q$2)/$Q$2))</f>
        <v>1991.4502162023</v>
      </c>
      <c r="K282" s="15" t="n">
        <f aca="false">J282*(1+IF(K$3&lt;=$O$2,$D282,$D282-($D282-$I$265)*MIN(K$3-$O$2,$Q$2)/$Q$2))</f>
        <v>1972.2406806101</v>
      </c>
      <c r="L282" s="15" t="n">
        <f aca="false">K282*(1+IF(L$3&lt;=$O$2,$D282,$D282-($D282-$I$265)*MIN(L$3-$O$2,$Q$2)/$Q$2))</f>
        <v>1981.44972526739</v>
      </c>
      <c r="M282" s="15" t="n">
        <f aca="false">L282*(1+IF(M$3&lt;=$O$2,$D282,$D282-($D282-$I$265)*MIN(M$3-$O$2,$Q$2)/$Q$2))</f>
        <v>2019.06688556084</v>
      </c>
      <c r="N282" s="15" t="n">
        <f aca="false">M282*(1+IF(N$3&lt;=$O$2,$D282,$D282-($D282-$I$265)*MIN(N$3-$O$2,$Q$2)/$Q$2))</f>
        <v>2086.30181285001</v>
      </c>
      <c r="O282" s="15" t="n">
        <f aca="false">SUMPRODUCT(E282:N282,1/(1+$F$265)^$E$3:$N$3)*$E$2</f>
        <v>4372.75032658523</v>
      </c>
      <c r="P282" s="15" t="n">
        <f aca="false">N282*$E$2*(1+$I$265)/($F$265-$I$265)/(1+$F$265)^$N$3</f>
        <v>7192.48732519786</v>
      </c>
      <c r="Q282" s="15" t="n">
        <f aca="false">O282+P282</f>
        <v>11565.2376517831</v>
      </c>
      <c r="R282" s="15" t="n">
        <f aca="false">Q282-$G$2+$I$2</f>
        <v>10290.5676517831</v>
      </c>
      <c r="S282" s="42" t="n">
        <f aca="false">R282/$K$2</f>
        <v>289.304685178046</v>
      </c>
      <c r="T282" s="43" t="n">
        <f aca="false">S282-$M$2</f>
        <v>0.0159587231680121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-0.038299560546875</v>
      </c>
      <c r="C283" s="25" t="n">
        <f aca="false">IF(T282&gt;0,D282,C282)</f>
        <v>-0.0382766723632813</v>
      </c>
      <c r="D283" s="41" t="n">
        <f aca="false">(B283+C283)/2</f>
        <v>-0.0382881164550781</v>
      </c>
      <c r="E283" s="15" t="n">
        <f aca="false">$C$2*(1+IF(E$3&lt;=$O$2,$D283,$D283-($D283-$I$265)*MIN(E$3-$O$2,$Q$2)/$Q$2))</f>
        <v>2385.04547119141</v>
      </c>
      <c r="F283" s="15" t="n">
        <f aca="false">E283*(1+IF(F$3&lt;=$O$2,$D283,$D283-($D283-$I$265)*MIN(F$3-$O$2,$Q$2)/$Q$2))</f>
        <v>2293.72657243977</v>
      </c>
      <c r="G283" s="15" t="n">
        <f aca="false">F283*(1+IF(G$3&lt;=$O$2,$D283,$D283-($D283-$I$265)*MIN(G$3-$O$2,$Q$2)/$Q$2))</f>
        <v>2205.90410231809</v>
      </c>
      <c r="H283" s="15" t="n">
        <f aca="false">G283*(1+IF(H$3&lt;=$O$2,$D283,$D283-($D283-$I$265)*MIN(H$3-$O$2,$Q$2)/$Q$2))</f>
        <v>2121.4441891598</v>
      </c>
      <c r="I283" s="15" t="n">
        <f aca="false">H283*(1+IF(I$3&lt;=$O$2,$D283,$D283-($D283-$I$265)*MIN(I$3-$O$2,$Q$2)/$Q$2))</f>
        <v>2040.2180869923</v>
      </c>
      <c r="J283" s="15" t="n">
        <f aca="false">I283*(1+IF(J$3&lt;=$O$2,$D283,$D283-($D283-$I$265)*MIN(J$3-$O$2,$Q$2)/$Q$2))</f>
        <v>1991.31305328486</v>
      </c>
      <c r="K283" s="15" t="n">
        <f aca="false">J283*(1+IF(K$3&lt;=$O$2,$D283,$D283-($D283-$I$265)*MIN(K$3-$O$2,$Q$2)/$Q$2))</f>
        <v>1972.091167505</v>
      </c>
      <c r="L283" s="15" t="n">
        <f aca="false">K283*(1+IF(L$3&lt;=$O$2,$D283,$D283-($D283-$I$265)*MIN(L$3-$O$2,$Q$2)/$Q$2))</f>
        <v>1981.29048651916</v>
      </c>
      <c r="M283" s="15" t="n">
        <f aca="false">L283*(1+IF(M$3&lt;=$O$2,$D283,$D283-($D283-$I$265)*MIN(M$3-$O$2,$Q$2)/$Q$2))</f>
        <v>2018.9000889042</v>
      </c>
      <c r="N283" s="15" t="n">
        <f aca="false">M283*(1+IF(N$3&lt;=$O$2,$D283,$D283-($D283-$I$265)*MIN(N$3-$O$2,$Q$2)/$Q$2))</f>
        <v>2086.12946186471</v>
      </c>
      <c r="O283" s="15" t="n">
        <f aca="false">SUMPRODUCT(E283:N283,1/(1+$F$265)^$E$3:$N$3)*$E$2</f>
        <v>4372.53094288613</v>
      </c>
      <c r="P283" s="15" t="n">
        <f aca="false">N283*$E$2*(1+$I$265)/($F$265-$I$265)/(1+$F$265)^$N$3</f>
        <v>7191.89314832966</v>
      </c>
      <c r="Q283" s="15" t="n">
        <f aca="false">O283+P283</f>
        <v>11564.4240912158</v>
      </c>
      <c r="R283" s="15" t="n">
        <f aca="false">Q283-$G$2+$I$2</f>
        <v>10289.7540912158</v>
      </c>
      <c r="S283" s="42" t="n">
        <f aca="false">R283/$K$2</f>
        <v>289.281813078881</v>
      </c>
      <c r="T283" s="43" t="n">
        <f aca="false">S283-$M$2</f>
        <v>-0.00691337599698727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-0.0382881164550781</v>
      </c>
      <c r="C284" s="25" t="n">
        <f aca="false">IF(T283&gt;0,D283,C283)</f>
        <v>-0.0382766723632813</v>
      </c>
      <c r="D284" s="41" t="n">
        <f aca="false">(B284+C284)/2</f>
        <v>-0.0382823944091797</v>
      </c>
      <c r="E284" s="15" t="n">
        <f aca="false">$C$2*(1+IF(E$3&lt;=$O$2,$D284,$D284-($D284-$I$265)*MIN(E$3-$O$2,$Q$2)/$Q$2))</f>
        <v>2385.05966186523</v>
      </c>
      <c r="F284" s="15" t="n">
        <f aca="false">E284*(1+IF(F$3&lt;=$O$2,$D284,$D284-($D284-$I$265)*MIN(F$3-$O$2,$Q$2)/$Q$2))</f>
        <v>2293.75386720028</v>
      </c>
      <c r="G284" s="15" t="n">
        <f aca="false">F284*(1+IF(G$3&lt;=$O$2,$D284,$D284-($D284-$I$265)*MIN(G$3-$O$2,$Q$2)/$Q$2))</f>
        <v>2205.94347697854</v>
      </c>
      <c r="H284" s="15" t="n">
        <f aca="false">G284*(1+IF(H$3&lt;=$O$2,$D284,$D284-($D284-$I$265)*MIN(H$3-$O$2,$Q$2)/$Q$2))</f>
        <v>2121.49467874849</v>
      </c>
      <c r="I284" s="15" t="n">
        <f aca="false">H284*(1+IF(I$3&lt;=$O$2,$D284,$D284-($D284-$I$265)*MIN(I$3-$O$2,$Q$2)/$Q$2))</f>
        <v>2040.27878271967</v>
      </c>
      <c r="J284" s="15" t="n">
        <f aca="false">I284*(1+IF(J$3&lt;=$O$2,$D284,$D284-($D284-$I$265)*MIN(J$3-$O$2,$Q$2)/$Q$2))</f>
        <v>1991.38163376078</v>
      </c>
      <c r="K284" s="15" t="n">
        <f aca="false">J284*(1+IF(K$3&lt;=$O$2,$D284,$D284-($D284-$I$265)*MIN(K$3-$O$2,$Q$2)/$Q$2))</f>
        <v>1972.16592284877</v>
      </c>
      <c r="L284" s="15" t="n">
        <f aca="false">K284*(1+IF(L$3&lt;=$O$2,$D284,$D284-($D284-$I$265)*MIN(L$3-$O$2,$Q$2)/$Q$2))</f>
        <v>1981.37010450776</v>
      </c>
      <c r="M284" s="15" t="n">
        <f aca="false">L284*(1+IF(M$3&lt;=$O$2,$D284,$D284-($D284-$I$265)*MIN(M$3-$O$2,$Q$2)/$Q$2))</f>
        <v>2018.98348572958</v>
      </c>
      <c r="N284" s="15" t="n">
        <f aca="false">M284*(1+IF(N$3&lt;=$O$2,$D284,$D284-($D284-$I$265)*MIN(N$3-$O$2,$Q$2)/$Q$2))</f>
        <v>2086.21563580437</v>
      </c>
      <c r="O284" s="15" t="n">
        <f aca="false">SUMPRODUCT(E284:N284,1/(1+$F$265)^$E$3:$N$3)*$E$2</f>
        <v>4372.64063331328</v>
      </c>
      <c r="P284" s="15" t="n">
        <f aca="false">N284*$E$2*(1+$I$265)/($F$265-$I$265)/(1+$F$265)^$N$3</f>
        <v>7192.19023140986</v>
      </c>
      <c r="Q284" s="15" t="n">
        <f aca="false">O284+P284</f>
        <v>11564.8308647231</v>
      </c>
      <c r="R284" s="15" t="n">
        <f aca="false">Q284-$G$2+$I$2</f>
        <v>10290.1608647231</v>
      </c>
      <c r="S284" s="42" t="n">
        <f aca="false">R284/$K$2</f>
        <v>289.293248937957</v>
      </c>
      <c r="T284" s="43" t="n">
        <f aca="false">S284-$M$2</f>
        <v>0.00452248307976788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-0.0382881164550781</v>
      </c>
      <c r="C285" s="25" t="n">
        <f aca="false">IF(T284&gt;0,D284,C284)</f>
        <v>-0.0382823944091797</v>
      </c>
      <c r="D285" s="41" t="n">
        <f aca="false">(B285+C285)/2</f>
        <v>-0.0382852554321289</v>
      </c>
      <c r="E285" s="15" t="n">
        <f aca="false">$C$2*(1+IF(E$3&lt;=$O$2,$D285,$D285-($D285-$I$265)*MIN(E$3-$O$2,$Q$2)/$Q$2))</f>
        <v>2385.05256652832</v>
      </c>
      <c r="F285" s="15" t="n">
        <f aca="false">E285*(1+IF(F$3&lt;=$O$2,$D285,$D285-($D285-$I$265)*MIN(F$3-$O$2,$Q$2)/$Q$2))</f>
        <v>2293.74021979973</v>
      </c>
      <c r="G285" s="15" t="n">
        <f aca="false">F285*(1+IF(G$3&lt;=$O$2,$D285,$D285-($D285-$I$265)*MIN(G$3-$O$2,$Q$2)/$Q$2))</f>
        <v>2205.92378958975</v>
      </c>
      <c r="H285" s="15" t="n">
        <f aca="false">G285*(1+IF(H$3&lt;=$O$2,$D285,$D285-($D285-$I$265)*MIN(H$3-$O$2,$Q$2)/$Q$2))</f>
        <v>2121.4694338415</v>
      </c>
      <c r="I285" s="15" t="n">
        <f aca="false">H285*(1+IF(I$3&lt;=$O$2,$D285,$D285-($D285-$I$265)*MIN(I$3-$O$2,$Q$2)/$Q$2))</f>
        <v>2040.24843467542</v>
      </c>
      <c r="J285" s="15" t="n">
        <f aca="false">I285*(1+IF(J$3&lt;=$O$2,$D285,$D285-($D285-$I$265)*MIN(J$3-$O$2,$Q$2)/$Q$2))</f>
        <v>1991.34734327712</v>
      </c>
      <c r="K285" s="15" t="n">
        <f aca="false">J285*(1+IF(K$3&lt;=$O$2,$D285,$D285-($D285-$I$265)*MIN(K$3-$O$2,$Q$2)/$Q$2))</f>
        <v>1972.1285448747</v>
      </c>
      <c r="L285" s="15" t="n">
        <f aca="false">K285*(1+IF(L$3&lt;=$O$2,$D285,$D285-($D285-$I$265)*MIN(L$3-$O$2,$Q$2)/$Q$2))</f>
        <v>1981.33029516708</v>
      </c>
      <c r="M285" s="15" t="n">
        <f aca="false">L285*(1+IF(M$3&lt;=$O$2,$D285,$D285-($D285-$I$265)*MIN(M$3-$O$2,$Q$2)/$Q$2))</f>
        <v>2018.94178694116</v>
      </c>
      <c r="N285" s="15" t="n">
        <f aca="false">M285*(1+IF(N$3&lt;=$O$2,$D285,$D285-($D285-$I$265)*MIN(N$3-$O$2,$Q$2)/$Q$2))</f>
        <v>2086.1725484463</v>
      </c>
      <c r="O285" s="15" t="n">
        <f aca="false">SUMPRODUCT(E285:N285,1/(1+$F$265)^$E$3:$N$3)*$E$2</f>
        <v>4372.58578774411</v>
      </c>
      <c r="P285" s="15" t="n">
        <f aca="false">N285*$E$2*(1+$I$265)/($F$265-$I$265)/(1+$F$265)^$N$3</f>
        <v>7192.04168853131</v>
      </c>
      <c r="Q285" s="15" t="n">
        <f aca="false">O285+P285</f>
        <v>11564.6274762754</v>
      </c>
      <c r="R285" s="15" t="n">
        <f aca="false">Q285-$G$2+$I$2</f>
        <v>10289.9574762754</v>
      </c>
      <c r="S285" s="42" t="n">
        <f aca="false">R285/$K$2</f>
        <v>289.287530960793</v>
      </c>
      <c r="T285" s="43" t="n">
        <f aca="false">S285-$M$2</f>
        <v>-0.0011954940843566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-0.0382852554321289</v>
      </c>
      <c r="C286" s="25" t="n">
        <f aca="false">IF(T285&gt;0,D285,C285)</f>
        <v>-0.0382823944091797</v>
      </c>
      <c r="D286" s="41" t="n">
        <f aca="false">(B286+C286)/2</f>
        <v>-0.0382838249206543</v>
      </c>
      <c r="E286" s="15" t="n">
        <f aca="false">$C$2*(1+IF(E$3&lt;=$O$2,$D286,$D286-($D286-$I$265)*MIN(E$3-$O$2,$Q$2)/$Q$2))</f>
        <v>2385.05611419678</v>
      </c>
      <c r="F286" s="15" t="n">
        <f aca="false">E286*(1+IF(F$3&lt;=$O$2,$D286,$D286-($D286-$I$265)*MIN(F$3-$O$2,$Q$2)/$Q$2))</f>
        <v>2293.74704349493</v>
      </c>
      <c r="G286" s="15" t="n">
        <f aca="false">F286*(1+IF(G$3&lt;=$O$2,$D286,$D286-($D286-$I$265)*MIN(G$3-$O$2,$Q$2)/$Q$2))</f>
        <v>2205.9336332695</v>
      </c>
      <c r="H286" s="15" t="n">
        <f aca="false">G286*(1+IF(H$3&lt;=$O$2,$D286,$D286-($D286-$I$265)*MIN(H$3-$O$2,$Q$2)/$Q$2))</f>
        <v>2121.48205626683</v>
      </c>
      <c r="I286" s="15" t="n">
        <f aca="false">H286*(1+IF(I$3&lt;=$O$2,$D286,$D286-($D286-$I$265)*MIN(I$3-$O$2,$Q$2)/$Q$2))</f>
        <v>2040.2636086524</v>
      </c>
      <c r="J286" s="15" t="n">
        <f aca="false">I286*(1+IF(J$3&lt;=$O$2,$D286,$D286-($D286-$I$265)*MIN(J$3-$O$2,$Q$2)/$Q$2))</f>
        <v>1991.36448845752</v>
      </c>
      <c r="K286" s="15" t="n">
        <f aca="false">J286*(1+IF(K$3&lt;=$O$2,$D286,$D286-($D286-$I$265)*MIN(K$3-$O$2,$Q$2)/$Q$2))</f>
        <v>1972.14723378619</v>
      </c>
      <c r="L286" s="15" t="n">
        <f aca="false">K286*(1+IF(L$3&lt;=$O$2,$D286,$D286-($D286-$I$265)*MIN(L$3-$O$2,$Q$2)/$Q$2))</f>
        <v>1981.35019975083</v>
      </c>
      <c r="M286" s="15" t="n">
        <f aca="false">L286*(1+IF(M$3&lt;=$O$2,$D286,$D286-($D286-$I$265)*MIN(M$3-$O$2,$Q$2)/$Q$2))</f>
        <v>2018.96263624143</v>
      </c>
      <c r="N286" s="15" t="n">
        <f aca="false">M286*(1+IF(N$3&lt;=$O$2,$D286,$D286-($D286-$I$265)*MIN(N$3-$O$2,$Q$2)/$Q$2))</f>
        <v>2086.19409202827</v>
      </c>
      <c r="O286" s="15" t="n">
        <f aca="false">SUMPRODUCT(E286:N286,1/(1+$F$265)^$E$3:$N$3)*$E$2</f>
        <v>4372.6132104398</v>
      </c>
      <c r="P286" s="15" t="n">
        <f aca="false">N286*$E$2*(1+$I$265)/($F$265-$I$265)/(1+$F$265)^$N$3</f>
        <v>7192.11595963597</v>
      </c>
      <c r="Q286" s="15" t="n">
        <f aca="false">O286+P286</f>
        <v>11564.7291700758</v>
      </c>
      <c r="R286" s="15" t="n">
        <f aca="false">Q286-$G$2+$I$2</f>
        <v>10290.0591700758</v>
      </c>
      <c r="S286" s="42" t="n">
        <f aca="false">R286/$K$2</f>
        <v>289.290389937469</v>
      </c>
      <c r="T286" s="43" t="n">
        <f aca="false">S286-$M$2</f>
        <v>0.00166348259114102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-0.0382852554321289</v>
      </c>
      <c r="C287" s="25" t="n">
        <f aca="false">IF(T286&gt;0,D286,C286)</f>
        <v>-0.0382838249206543</v>
      </c>
      <c r="D287" s="41" t="n">
        <f aca="false">(B287+C287)/2</f>
        <v>-0.0382845401763916</v>
      </c>
      <c r="E287" s="15" t="n">
        <f aca="false">$C$2*(1+IF(E$3&lt;=$O$2,$D287,$D287-($D287-$I$265)*MIN(E$3-$O$2,$Q$2)/$Q$2))</f>
        <v>2385.05434036255</v>
      </c>
      <c r="F287" s="15" t="n">
        <f aca="false">E287*(1+IF(F$3&lt;=$O$2,$D287,$D287-($D287-$I$265)*MIN(F$3-$O$2,$Q$2)/$Q$2))</f>
        <v>2293.74363164606</v>
      </c>
      <c r="G287" s="15" t="n">
        <f aca="false">F287*(1+IF(G$3&lt;=$O$2,$D287,$D287-($D287-$I$265)*MIN(G$3-$O$2,$Q$2)/$Q$2))</f>
        <v>2205.92871142597</v>
      </c>
      <c r="H287" s="15" t="n">
        <f aca="false">G287*(1+IF(H$3&lt;=$O$2,$D287,$D287-($D287-$I$265)*MIN(H$3-$O$2,$Q$2)/$Q$2))</f>
        <v>2121.47574504712</v>
      </c>
      <c r="I287" s="15" t="n">
        <f aca="false">H287*(1+IF(I$3&lt;=$O$2,$D287,$D287-($D287-$I$265)*MIN(I$3-$O$2,$Q$2)/$Q$2))</f>
        <v>2040.25602165263</v>
      </c>
      <c r="J287" s="15" t="n">
        <f aca="false">I287*(1+IF(J$3&lt;=$O$2,$D287,$D287-($D287-$I$265)*MIN(J$3-$O$2,$Q$2)/$Q$2))</f>
        <v>1991.35591585196</v>
      </c>
      <c r="K287" s="15" t="n">
        <f aca="false">J287*(1+IF(K$3&lt;=$O$2,$D287,$D287-($D287-$I$265)*MIN(K$3-$O$2,$Q$2)/$Q$2))</f>
        <v>1972.13788931155</v>
      </c>
      <c r="L287" s="15" t="n">
        <f aca="false">K287*(1+IF(L$3&lt;=$O$2,$D287,$D287-($D287-$I$265)*MIN(L$3-$O$2,$Q$2)/$Q$2))</f>
        <v>1981.34024743731</v>
      </c>
      <c r="M287" s="15" t="n">
        <f aca="false">L287*(1+IF(M$3&lt;=$O$2,$D287,$D287-($D287-$I$265)*MIN(M$3-$O$2,$Q$2)/$Q$2))</f>
        <v>2018.95221156781</v>
      </c>
      <c r="N287" s="15" t="n">
        <f aca="false">M287*(1+IF(N$3&lt;=$O$2,$D287,$D287-($D287-$I$265)*MIN(N$3-$O$2,$Q$2)/$Q$2))</f>
        <v>2086.18332021302</v>
      </c>
      <c r="O287" s="15" t="n">
        <f aca="false">SUMPRODUCT(E287:N287,1/(1+$F$265)^$E$3:$N$3)*$E$2</f>
        <v>4372.59949906973</v>
      </c>
      <c r="P287" s="15" t="n">
        <f aca="false">N287*$E$2*(1+$I$265)/($F$265-$I$265)/(1+$F$265)^$N$3</f>
        <v>7192.07882399998</v>
      </c>
      <c r="Q287" s="15" t="n">
        <f aca="false">O287+P287</f>
        <v>11564.6783230697</v>
      </c>
      <c r="R287" s="15" t="n">
        <f aca="false">Q287-$G$2+$I$2</f>
        <v>10290.0083230697</v>
      </c>
      <c r="S287" s="42" t="n">
        <f aca="false">R287/$K$2</f>
        <v>289.288960446154</v>
      </c>
      <c r="T287" s="43" t="n">
        <f aca="false">S287-$M$2</f>
        <v>0.000233991276672896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-0.0382852554321289</v>
      </c>
      <c r="C288" s="25" t="n">
        <f aca="false">IF(T287&gt;0,D287,C287)</f>
        <v>-0.0382845401763916</v>
      </c>
      <c r="D288" s="41" t="n">
        <f aca="false">(B288+C288)/2</f>
        <v>-0.0382848978042603</v>
      </c>
      <c r="E288" s="15" t="n">
        <f aca="false">$C$2*(1+IF(E$3&lt;=$O$2,$D288,$D288-($D288-$I$265)*MIN(E$3-$O$2,$Q$2)/$Q$2))</f>
        <v>2385.05345344543</v>
      </c>
      <c r="F288" s="15" t="n">
        <f aca="false">E288*(1+IF(F$3&lt;=$O$2,$D288,$D288-($D288-$I$265)*MIN(F$3-$O$2,$Q$2)/$Q$2))</f>
        <v>2293.74192572258</v>
      </c>
      <c r="G288" s="15" t="n">
        <f aca="false">F288*(1+IF(G$3&lt;=$O$2,$D288,$D288-($D288-$I$265)*MIN(G$3-$O$2,$Q$2)/$Q$2))</f>
        <v>2205.92625050694</v>
      </c>
      <c r="H288" s="15" t="n">
        <f aca="false">G288*(1+IF(H$3&lt;=$O$2,$D288,$D288-($D288-$I$265)*MIN(H$3-$O$2,$Q$2)/$Q$2))</f>
        <v>2121.47258944255</v>
      </c>
      <c r="I288" s="15" t="n">
        <f aca="false">H288*(1+IF(I$3&lt;=$O$2,$D288,$D288-($D288-$I$265)*MIN(I$3-$O$2,$Q$2)/$Q$2))</f>
        <v>2040.2522281612</v>
      </c>
      <c r="J288" s="15" t="n">
        <f aca="false">I288*(1+IF(J$3&lt;=$O$2,$D288,$D288-($D288-$I$265)*MIN(J$3-$O$2,$Q$2)/$Q$2))</f>
        <v>1991.3516295607</v>
      </c>
      <c r="K288" s="15" t="n">
        <f aca="false">J288*(1+IF(K$3&lt;=$O$2,$D288,$D288-($D288-$I$265)*MIN(K$3-$O$2,$Q$2)/$Q$2))</f>
        <v>1972.1332170884</v>
      </c>
      <c r="L288" s="15" t="n">
        <f aca="false">K288*(1+IF(L$3&lt;=$O$2,$D288,$D288-($D288-$I$265)*MIN(L$3-$O$2,$Q$2)/$Q$2))</f>
        <v>1981.33527129678</v>
      </c>
      <c r="M288" s="15" t="n">
        <f aca="false">L288*(1+IF(M$3&lt;=$O$2,$D288,$D288-($D288-$I$265)*MIN(M$3-$O$2,$Q$2)/$Q$2))</f>
        <v>2018.94699924862</v>
      </c>
      <c r="N288" s="15" t="n">
        <f aca="false">M288*(1+IF(N$3&lt;=$O$2,$D288,$D288-($D288-$I$265)*MIN(N$3-$O$2,$Q$2)/$Q$2))</f>
        <v>2086.17793432359</v>
      </c>
      <c r="O288" s="15" t="n">
        <f aca="false">SUMPRODUCT(E288:N288,1/(1+$F$265)^$E$3:$N$3)*$E$2</f>
        <v>4372.59264340137</v>
      </c>
      <c r="P288" s="15" t="n">
        <f aca="false">N288*$E$2*(1+$I$265)/($F$265-$I$265)/(1+$F$265)^$N$3</f>
        <v>7192.06025624473</v>
      </c>
      <c r="Q288" s="15" t="n">
        <f aca="false">O288+P288</f>
        <v>11564.6528996461</v>
      </c>
      <c r="R288" s="15" t="n">
        <f aca="false">Q288-$G$2+$I$2</f>
        <v>10289.9828996461</v>
      </c>
      <c r="S288" s="42" t="n">
        <f aca="false">R288/$K$2</f>
        <v>289.28824570273</v>
      </c>
      <c r="T288" s="43" t="n">
        <f aca="false">S288-$M$2</f>
        <v>-0.000480752147893782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-0.0382848978042603</v>
      </c>
      <c r="C289" s="25" t="n">
        <f aca="false">IF(T288&gt;0,D288,C288)</f>
        <v>-0.0382845401763916</v>
      </c>
      <c r="D289" s="41" t="n">
        <f aca="false">(B289+C289)/2</f>
        <v>-0.0382847189903259</v>
      </c>
      <c r="E289" s="15" t="n">
        <f aca="false">$C$2*(1+IF(E$3&lt;=$O$2,$D289,$D289-($D289-$I$265)*MIN(E$3-$O$2,$Q$2)/$Q$2))</f>
        <v>2385.05389690399</v>
      </c>
      <c r="F289" s="15" t="n">
        <f aca="false">E289*(1+IF(F$3&lt;=$O$2,$D289,$D289-($D289-$I$265)*MIN(F$3-$O$2,$Q$2)/$Q$2))</f>
        <v>2293.74277868424</v>
      </c>
      <c r="G289" s="15" t="n">
        <f aca="false">F289*(1+IF(G$3&lt;=$O$2,$D289,$D289-($D289-$I$265)*MIN(G$3-$O$2,$Q$2)/$Q$2))</f>
        <v>2205.92748096622</v>
      </c>
      <c r="H289" s="15" t="n">
        <f aca="false">G289*(1+IF(H$3&lt;=$O$2,$D289,$D289-($D289-$I$265)*MIN(H$3-$O$2,$Q$2)/$Q$2))</f>
        <v>2121.4741672444</v>
      </c>
      <c r="I289" s="15" t="n">
        <f aca="false">H289*(1+IF(I$3&lt;=$O$2,$D289,$D289-($D289-$I$265)*MIN(I$3-$O$2,$Q$2)/$Q$2))</f>
        <v>2040.25412490621</v>
      </c>
      <c r="J289" s="15" t="n">
        <f aca="false">I289*(1+IF(J$3&lt;=$O$2,$D289,$D289-($D289-$I$265)*MIN(J$3-$O$2,$Q$2)/$Q$2))</f>
        <v>1991.35377270537</v>
      </c>
      <c r="K289" s="15" t="n">
        <f aca="false">J289*(1+IF(K$3&lt;=$O$2,$D289,$D289-($D289-$I$265)*MIN(K$3-$O$2,$Q$2)/$Q$2))</f>
        <v>1972.1355531988</v>
      </c>
      <c r="L289" s="15" t="n">
        <f aca="false">K289*(1+IF(L$3&lt;=$O$2,$D289,$D289-($D289-$I$265)*MIN(L$3-$O$2,$Q$2)/$Q$2))</f>
        <v>1981.33775936569</v>
      </c>
      <c r="M289" s="15" t="n">
        <f aca="false">L289*(1+IF(M$3&lt;=$O$2,$D289,$D289-($D289-$I$265)*MIN(M$3-$O$2,$Q$2)/$Q$2))</f>
        <v>2018.94960540675</v>
      </c>
      <c r="N289" s="15" t="n">
        <f aca="false">M289*(1+IF(N$3&lt;=$O$2,$D289,$D289-($D289-$I$265)*MIN(N$3-$O$2,$Q$2)/$Q$2))</f>
        <v>2086.18062726679</v>
      </c>
      <c r="O289" s="15" t="n">
        <f aca="false">SUMPRODUCT(E289:N289,1/(1+$F$265)^$E$3:$N$3)*$E$2</f>
        <v>4372.59607123416</v>
      </c>
      <c r="P289" s="15" t="n">
        <f aca="false">N289*$E$2*(1+$I$265)/($F$265-$I$265)/(1+$F$265)^$N$3</f>
        <v>7192.06954011713</v>
      </c>
      <c r="Q289" s="15" t="n">
        <f aca="false">O289+P289</f>
        <v>11564.6656113513</v>
      </c>
      <c r="R289" s="15" t="n">
        <f aca="false">Q289-$G$2+$I$2</f>
        <v>10289.9956113513</v>
      </c>
      <c r="S289" s="42" t="n">
        <f aca="false">R289/$K$2</f>
        <v>289.288603074256</v>
      </c>
      <c r="T289" s="43" t="n">
        <f aca="false">S289-$M$2</f>
        <v>-0.000123380621630531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-0.0382847189903259</v>
      </c>
      <c r="C290" s="25" t="n">
        <f aca="false">IF(T289&gt;0,D289,C289)</f>
        <v>-0.0382845401763916</v>
      </c>
      <c r="D290" s="41" t="n">
        <f aca="false">(B290+C290)/2</f>
        <v>-0.0382846295833588</v>
      </c>
      <c r="E290" s="15" t="n">
        <f aca="false">$C$2*(1+IF(E$3&lt;=$O$2,$D290,$D290-($D290-$I$265)*MIN(E$3-$O$2,$Q$2)/$Q$2))</f>
        <v>2385.05411863327</v>
      </c>
      <c r="F290" s="15" t="n">
        <f aca="false">E290*(1+IF(F$3&lt;=$O$2,$D290,$D290-($D290-$I$265)*MIN(F$3-$O$2,$Q$2)/$Q$2))</f>
        <v>2293.74320516513</v>
      </c>
      <c r="G290" s="15" t="n">
        <f aca="false">F290*(1+IF(G$3&lt;=$O$2,$D290,$D290-($D290-$I$265)*MIN(G$3-$O$2,$Q$2)/$Q$2))</f>
        <v>2205.92809619604</v>
      </c>
      <c r="H290" s="15" t="n">
        <f aca="false">G290*(1+IF(H$3&lt;=$O$2,$D290,$D290-($D290-$I$265)*MIN(H$3-$O$2,$Q$2)/$Q$2))</f>
        <v>2121.47495614565</v>
      </c>
      <c r="I290" s="15" t="n">
        <f aca="false">H290*(1+IF(I$3&lt;=$O$2,$D290,$D290-($D290-$I$265)*MIN(I$3-$O$2,$Q$2)/$Q$2))</f>
        <v>2040.25507327924</v>
      </c>
      <c r="J290" s="15" t="n">
        <f aca="false">I290*(1+IF(J$3&lt;=$O$2,$D290,$D290-($D290-$I$265)*MIN(J$3-$O$2,$Q$2)/$Q$2))</f>
        <v>1991.35484427843</v>
      </c>
      <c r="K290" s="15" t="n">
        <f aca="false">J290*(1+IF(K$3&lt;=$O$2,$D290,$D290-($D290-$I$265)*MIN(K$3-$O$2,$Q$2)/$Q$2))</f>
        <v>1972.13672125488</v>
      </c>
      <c r="L290" s="15" t="n">
        <f aca="false">K290*(1+IF(L$3&lt;=$O$2,$D290,$D290-($D290-$I$265)*MIN(L$3-$O$2,$Q$2)/$Q$2))</f>
        <v>1981.33900340116</v>
      </c>
      <c r="M290" s="15" t="n">
        <f aca="false">L290*(1+IF(M$3&lt;=$O$2,$D290,$D290-($D290-$I$265)*MIN(M$3-$O$2,$Q$2)/$Q$2))</f>
        <v>2018.95090848691</v>
      </c>
      <c r="N290" s="15" t="n">
        <f aca="false">M290*(1+IF(N$3&lt;=$O$2,$D290,$D290-($D290-$I$265)*MIN(N$3-$O$2,$Q$2)/$Q$2))</f>
        <v>2086.18197373953</v>
      </c>
      <c r="O290" s="15" t="n">
        <f aca="false">SUMPRODUCT(E290:N290,1/(1+$F$265)^$E$3:$N$3)*$E$2</f>
        <v>4372.5977851516</v>
      </c>
      <c r="P290" s="15" t="n">
        <f aca="false">N290*$E$2*(1+$I$265)/($F$265-$I$265)/(1+$F$265)^$N$3</f>
        <v>7192.07418205725</v>
      </c>
      <c r="Q290" s="15" t="n">
        <f aca="false">O290+P290</f>
        <v>11564.6719672088</v>
      </c>
      <c r="R290" s="15" t="n">
        <f aca="false">Q290-$G$2+$I$2</f>
        <v>10290.0019672088</v>
      </c>
      <c r="S290" s="42" t="n">
        <f aca="false">R290/$K$2</f>
        <v>289.288781760159</v>
      </c>
      <c r="T290" s="43" t="n">
        <f aca="false">S290-$M$2</f>
        <v>5.53052810801091E-005</v>
      </c>
    </row>
    <row r="292" customFormat="false" ht="15" hidden="false" customHeight="false" outlineLevel="0" collapsed="false">
      <c r="A292" s="38" t="s">
        <v>194</v>
      </c>
      <c r="E292" s="5" t="s">
        <v>11</v>
      </c>
      <c r="F292" s="12" t="n">
        <f aca="false">Sensitivity!$B$11</f>
        <v>0.0764218415038925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8" t="s">
        <v>165</v>
      </c>
      <c r="B293" s="28" t="s">
        <v>166</v>
      </c>
      <c r="C293" s="28" t="s">
        <v>167</v>
      </c>
      <c r="D293" s="28" t="s">
        <v>168</v>
      </c>
      <c r="E293" s="28" t="s">
        <v>169</v>
      </c>
      <c r="F293" s="28" t="s">
        <v>170</v>
      </c>
      <c r="G293" s="28" t="s">
        <v>171</v>
      </c>
      <c r="H293" s="28" t="s">
        <v>172</v>
      </c>
      <c r="I293" s="28" t="s">
        <v>173</v>
      </c>
      <c r="J293" s="28" t="s">
        <v>174</v>
      </c>
      <c r="K293" s="28" t="s">
        <v>175</v>
      </c>
      <c r="L293" s="28" t="s">
        <v>176</v>
      </c>
      <c r="M293" s="28" t="s">
        <v>177</v>
      </c>
      <c r="N293" s="28" t="s">
        <v>178</v>
      </c>
      <c r="O293" s="28" t="s">
        <v>179</v>
      </c>
      <c r="P293" s="28" t="s">
        <v>180</v>
      </c>
      <c r="Q293" s="28" t="s">
        <v>181</v>
      </c>
      <c r="R293" s="28" t="s">
        <v>182</v>
      </c>
      <c r="S293" s="28" t="s">
        <v>183</v>
      </c>
      <c r="T293" s="28" t="s">
        <v>184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41" t="n">
        <f aca="false">(B294+C294)/2</f>
        <v>0.25</v>
      </c>
      <c r="E294" s="15" t="n">
        <f aca="false">$C$2*(1+IF(E$3&lt;=$O$2,$D294,$D294-($D294-$I$292)*MIN(E$3-$O$2,$Q$2)/$Q$2))</f>
        <v>3100</v>
      </c>
      <c r="F294" s="15" t="n">
        <f aca="false">E294*(1+IF(F$3&lt;=$O$2,$D294,$D294-($D294-$I$292)*MIN(F$3-$O$2,$Q$2)/$Q$2))</f>
        <v>3875</v>
      </c>
      <c r="G294" s="15" t="n">
        <f aca="false">F294*(1+IF(G$3&lt;=$O$2,$D294,$D294-($D294-$I$292)*MIN(G$3-$O$2,$Q$2)/$Q$2))</f>
        <v>4843.75</v>
      </c>
      <c r="H294" s="15" t="n">
        <f aca="false">G294*(1+IF(H$3&lt;=$O$2,$D294,$D294-($D294-$I$292)*MIN(H$3-$O$2,$Q$2)/$Q$2))</f>
        <v>6054.6875</v>
      </c>
      <c r="I294" s="15" t="n">
        <f aca="false">H294*(1+IF(I$3&lt;=$O$2,$D294,$D294-($D294-$I$292)*MIN(I$3-$O$2,$Q$2)/$Q$2))</f>
        <v>7568.359375</v>
      </c>
      <c r="J294" s="15" t="n">
        <f aca="false">I294*(1+IF(J$3&lt;=$O$2,$D294,$D294-($D294-$I$292)*MIN(J$3-$O$2,$Q$2)/$Q$2))</f>
        <v>9140.0048828125</v>
      </c>
      <c r="K294" s="15" t="n">
        <f aca="false">J294*(1+IF(K$3&lt;=$O$2,$D294,$D294-($D294-$I$292)*MIN(K$3-$O$2,$Q$2)/$Q$2))</f>
        <v>10651.0304900391</v>
      </c>
      <c r="L294" s="15" t="n">
        <f aca="false">K294*(1+IF(L$3&lt;=$O$2,$D294,$D294-($D294-$I$292)*MIN(L$3-$O$2,$Q$2)/$Q$2))</f>
        <v>11960.8942197041</v>
      </c>
      <c r="M294" s="15" t="n">
        <f aca="false">L294*(1+IF(M$3&lt;=$O$2,$D294,$D294-($D294-$I$292)*MIN(M$3-$O$2,$Q$2)/$Q$2))</f>
        <v>12925.420729581</v>
      </c>
      <c r="N294" s="15" t="n">
        <f aca="false">M294*(1+IF(N$3&lt;=$O$2,$D294,$D294-($D294-$I$292)*MIN(N$3-$O$2,$Q$2)/$Q$2))</f>
        <v>13420.464343524</v>
      </c>
      <c r="O294" s="15" t="n">
        <f aca="false">SUMPRODUCT(E294:N294,1/(1+$F$292)^$E$3:$N$3)*$E$2</f>
        <v>15568.7716523949</v>
      </c>
      <c r="P294" s="15" t="n">
        <f aca="false">N294*$E$2*(1+$I$292)/($F$292-$I$292)/(1+$F$292)^$N$3</f>
        <v>52588.3281856587</v>
      </c>
      <c r="Q294" s="15" t="n">
        <f aca="false">O294+P294</f>
        <v>68157.0998380535</v>
      </c>
      <c r="R294" s="15" t="n">
        <f aca="false">Q294-$G$2+$I$2</f>
        <v>66882.4298380535</v>
      </c>
      <c r="S294" s="42" t="n">
        <f aca="false">R294/$K$2</f>
        <v>1880.30446550614</v>
      </c>
      <c r="T294" s="43" t="n">
        <f aca="false">S294-$M$2</f>
        <v>1591.01573905127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41" t="n">
        <f aca="false">(B295+C295)/2</f>
        <v>-0.125</v>
      </c>
      <c r="E295" s="15" t="n">
        <f aca="false">$C$2*(1+IF(E$3&lt;=$O$2,$D295,$D295-($D295-$I$292)*MIN(E$3-$O$2,$Q$2)/$Q$2))</f>
        <v>2170</v>
      </c>
      <c r="F295" s="15" t="n">
        <f aca="false">E295*(1+IF(F$3&lt;=$O$2,$D295,$D295-($D295-$I$292)*MIN(F$3-$O$2,$Q$2)/$Q$2))</f>
        <v>1898.75</v>
      </c>
      <c r="G295" s="15" t="n">
        <f aca="false">F295*(1+IF(G$3&lt;=$O$2,$D295,$D295-($D295-$I$292)*MIN(G$3-$O$2,$Q$2)/$Q$2))</f>
        <v>1661.40625</v>
      </c>
      <c r="H295" s="15" t="n">
        <f aca="false">G295*(1+IF(H$3&lt;=$O$2,$D295,$D295-($D295-$I$292)*MIN(H$3-$O$2,$Q$2)/$Q$2))</f>
        <v>1453.73046875</v>
      </c>
      <c r="I295" s="15" t="n">
        <f aca="false">H295*(1+IF(I$3&lt;=$O$2,$D295,$D295-($D295-$I$292)*MIN(I$3-$O$2,$Q$2)/$Q$2))</f>
        <v>1272.01416015625</v>
      </c>
      <c r="J295" s="15" t="n">
        <f aca="false">I295*(1+IF(J$3&lt;=$O$2,$D295,$D295-($D295-$I$292)*MIN(J$3-$O$2,$Q$2)/$Q$2))</f>
        <v>1154.55637260742</v>
      </c>
      <c r="K295" s="15" t="n">
        <f aca="false">J295*(1+IF(K$3&lt;=$O$2,$D295,$D295-($D295-$I$292)*MIN(K$3-$O$2,$Q$2)/$Q$2))</f>
        <v>1085.65244829021</v>
      </c>
      <c r="L295" s="15" t="n">
        <f aca="false">K295*(1+IF(L$3&lt;=$O$2,$D295,$D295-($D295-$I$292)*MIN(L$3-$O$2,$Q$2)/$Q$2))</f>
        <v>1056.31811913741</v>
      </c>
      <c r="M295" s="15" t="n">
        <f aca="false">L295*(1+IF(M$3&lt;=$O$2,$D295,$D295-($D295-$I$292)*MIN(M$3-$O$2,$Q$2)/$Q$2))</f>
        <v>1062.27575332934</v>
      </c>
      <c r="N295" s="15" t="n">
        <f aca="false">M295*(1+IF(N$3&lt;=$O$2,$D295,$D295-($D295-$I$292)*MIN(N$3-$O$2,$Q$2)/$Q$2))</f>
        <v>1102.96091468186</v>
      </c>
      <c r="O295" s="15" t="n">
        <f aca="false">SUMPRODUCT(E295:N295,1/(1+$F$292)^$E$3:$N$3)*$E$2</f>
        <v>3005.27106284741</v>
      </c>
      <c r="P295" s="15" t="n">
        <f aca="false">N295*$E$2*(1+$I$292)/($F$292-$I$292)/(1+$F$292)^$N$3</f>
        <v>4321.971958089</v>
      </c>
      <c r="Q295" s="15" t="n">
        <f aca="false">O295+P295</f>
        <v>7327.24302093641</v>
      </c>
      <c r="R295" s="15" t="n">
        <f aca="false">Q295-$G$2+$I$2</f>
        <v>6052.57302093641</v>
      </c>
      <c r="S295" s="42" t="n">
        <f aca="false">R295/$K$2</f>
        <v>170.159488921462</v>
      </c>
      <c r="T295" s="43" t="n">
        <f aca="false">S295-$M$2</f>
        <v>-119.129237533416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41" t="n">
        <f aca="false">(B296+C296)/2</f>
        <v>0.0625</v>
      </c>
      <c r="E296" s="15" t="n">
        <f aca="false">$C$2*(1+IF(E$3&lt;=$O$2,$D296,$D296-($D296-$I$292)*MIN(E$3-$O$2,$Q$2)/$Q$2))</f>
        <v>2635</v>
      </c>
      <c r="F296" s="15" t="n">
        <f aca="false">E296*(1+IF(F$3&lt;=$O$2,$D296,$D296-($D296-$I$292)*MIN(F$3-$O$2,$Q$2)/$Q$2))</f>
        <v>2799.6875</v>
      </c>
      <c r="G296" s="15" t="n">
        <f aca="false">F296*(1+IF(G$3&lt;=$O$2,$D296,$D296-($D296-$I$292)*MIN(G$3-$O$2,$Q$2)/$Q$2))</f>
        <v>2974.66796875</v>
      </c>
      <c r="H296" s="15" t="n">
        <f aca="false">G296*(1+IF(H$3&lt;=$O$2,$D296,$D296-($D296-$I$292)*MIN(H$3-$O$2,$Q$2)/$Q$2))</f>
        <v>3160.58471679688</v>
      </c>
      <c r="I296" s="15" t="n">
        <f aca="false">H296*(1+IF(I$3&lt;=$O$2,$D296,$D296-($D296-$I$292)*MIN(I$3-$O$2,$Q$2)/$Q$2))</f>
        <v>3358.12126159668</v>
      </c>
      <c r="J296" s="15" t="n">
        <f aca="false">I296*(1+IF(J$3&lt;=$O$2,$D296,$D296-($D296-$I$292)*MIN(J$3-$O$2,$Q$2)/$Q$2))</f>
        <v>3551.75053354034</v>
      </c>
      <c r="K296" s="15" t="n">
        <f aca="false">J296*(1+IF(K$3&lt;=$O$2,$D296,$D296-($D296-$I$292)*MIN(K$3-$O$2,$Q$2)/$Q$2))</f>
        <v>3739.35399672195</v>
      </c>
      <c r="L296" s="15" t="n">
        <f aca="false">K296*(1+IF(L$3&lt;=$O$2,$D296,$D296-($D296-$I$292)*MIN(L$3-$O$2,$Q$2)/$Q$2))</f>
        <v>3918.76820148466</v>
      </c>
      <c r="M296" s="15" t="n">
        <f aca="false">L296*(1+IF(M$3&lt;=$O$2,$D296,$D296-($D296-$I$292)*MIN(M$3-$O$2,$Q$2)/$Q$2))</f>
        <v>4087.82386169671</v>
      </c>
      <c r="N296" s="15" t="n">
        <f aca="false">M296*(1+IF(N$3&lt;=$O$2,$D296,$D296-($D296-$I$292)*MIN(N$3-$O$2,$Q$2)/$Q$2))</f>
        <v>4244.3875155997</v>
      </c>
      <c r="O296" s="15" t="n">
        <f aca="false">SUMPRODUCT(E296:N296,1/(1+$F$292)^$E$3:$N$3)*$E$2</f>
        <v>6837.70096571003</v>
      </c>
      <c r="P296" s="15" t="n">
        <f aca="false">N296*$E$2*(1+$I$292)/($F$292-$I$292)/(1+$F$292)^$N$3</f>
        <v>16631.7079576443</v>
      </c>
      <c r="Q296" s="15" t="n">
        <f aca="false">O296+P296</f>
        <v>23469.4089233544</v>
      </c>
      <c r="R296" s="15" t="n">
        <f aca="false">Q296-$G$2+$I$2</f>
        <v>22194.7389233544</v>
      </c>
      <c r="S296" s="42" t="n">
        <f aca="false">R296/$K$2</f>
        <v>623.973542967511</v>
      </c>
      <c r="T296" s="43" t="n">
        <f aca="false">S296-$M$2</f>
        <v>334.684816512633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41" t="n">
        <f aca="false">(B297+C297)/2</f>
        <v>-0.03125</v>
      </c>
      <c r="E297" s="15" t="n">
        <f aca="false">$C$2*(1+IF(E$3&lt;=$O$2,$D297,$D297-($D297-$I$292)*MIN(E$3-$O$2,$Q$2)/$Q$2))</f>
        <v>2402.5</v>
      </c>
      <c r="F297" s="15" t="n">
        <f aca="false">E297*(1+IF(F$3&lt;=$O$2,$D297,$D297-($D297-$I$292)*MIN(F$3-$O$2,$Q$2)/$Q$2))</f>
        <v>2327.421875</v>
      </c>
      <c r="G297" s="15" t="n">
        <f aca="false">F297*(1+IF(G$3&lt;=$O$2,$D297,$D297-($D297-$I$292)*MIN(G$3-$O$2,$Q$2)/$Q$2))</f>
        <v>2254.68994140625</v>
      </c>
      <c r="H297" s="15" t="n">
        <f aca="false">G297*(1+IF(H$3&lt;=$O$2,$D297,$D297-($D297-$I$292)*MIN(H$3-$O$2,$Q$2)/$Q$2))</f>
        <v>2184.2308807373</v>
      </c>
      <c r="I297" s="15" t="n">
        <f aca="false">H297*(1+IF(I$3&lt;=$O$2,$D297,$D297-($D297-$I$292)*MIN(I$3-$O$2,$Q$2)/$Q$2))</f>
        <v>2115.97366571426</v>
      </c>
      <c r="J297" s="15" t="n">
        <f aca="false">I297*(1+IF(J$3&lt;=$O$2,$D297,$D297-($D297-$I$292)*MIN(J$3-$O$2,$Q$2)/$Q$2))</f>
        <v>2079.28268235078</v>
      </c>
      <c r="K297" s="15" t="n">
        <f aca="false">J297*(1+IF(K$3&lt;=$O$2,$D297,$D297-($D297-$I$292)*MIN(K$3-$O$2,$Q$2)/$Q$2))</f>
        <v>2072.15074275032</v>
      </c>
      <c r="L297" s="15" t="n">
        <f aca="false">K297*(1+IF(L$3&lt;=$O$2,$D297,$D297-($D297-$I$292)*MIN(L$3-$O$2,$Q$2)/$Q$2))</f>
        <v>2093.86688253434</v>
      </c>
      <c r="M297" s="15" t="n">
        <f aca="false">L297*(1+IF(M$3&lt;=$O$2,$D297,$D297-($D297-$I$292)*MIN(M$3-$O$2,$Q$2)/$Q$2))</f>
        <v>2144.93629579935</v>
      </c>
      <c r="N297" s="15" t="n">
        <f aca="false">M297*(1+IF(N$3&lt;=$O$2,$D297,$D297-($D297-$I$292)*MIN(N$3-$O$2,$Q$2)/$Q$2))</f>
        <v>2227.08735592847</v>
      </c>
      <c r="O297" s="15" t="n">
        <f aca="false">SUMPRODUCT(E297:N297,1/(1+$F$292)^$E$3:$N$3)*$E$2</f>
        <v>4521.20781134226</v>
      </c>
      <c r="P297" s="15" t="n">
        <f aca="false">N297*$E$2*(1+$I$292)/($F$292-$I$292)/(1+$F$292)^$N$3</f>
        <v>8726.88140840765</v>
      </c>
      <c r="Q297" s="15" t="n">
        <f aca="false">O297+P297</f>
        <v>13248.0892197499</v>
      </c>
      <c r="R297" s="15" t="n">
        <f aca="false">Q297-$G$2+$I$2</f>
        <v>11973.4192197499</v>
      </c>
      <c r="S297" s="42" t="n">
        <f aca="false">R297/$K$2</f>
        <v>336.615665441381</v>
      </c>
      <c r="T297" s="43" t="n">
        <f aca="false">S297-$M$2</f>
        <v>47.3269389865029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-0.125</v>
      </c>
      <c r="C298" s="25" t="n">
        <f aca="false">IF(T297&gt;0,D297,C297)</f>
        <v>-0.03125</v>
      </c>
      <c r="D298" s="41" t="n">
        <f aca="false">(B298+C298)/2</f>
        <v>-0.078125</v>
      </c>
      <c r="E298" s="15" t="n">
        <f aca="false">$C$2*(1+IF(E$3&lt;=$O$2,$D298,$D298-($D298-$I$292)*MIN(E$3-$O$2,$Q$2)/$Q$2))</f>
        <v>2286.25</v>
      </c>
      <c r="F298" s="15" t="n">
        <f aca="false">E298*(1+IF(F$3&lt;=$O$2,$D298,$D298-($D298-$I$292)*MIN(F$3-$O$2,$Q$2)/$Q$2))</f>
        <v>2107.63671875</v>
      </c>
      <c r="G298" s="15" t="n">
        <f aca="false">F298*(1+IF(G$3&lt;=$O$2,$D298,$D298-($D298-$I$292)*MIN(G$3-$O$2,$Q$2)/$Q$2))</f>
        <v>1942.97760009766</v>
      </c>
      <c r="H298" s="15" t="n">
        <f aca="false">G298*(1+IF(H$3&lt;=$O$2,$D298,$D298-($D298-$I$292)*MIN(H$3-$O$2,$Q$2)/$Q$2))</f>
        <v>1791.18247509003</v>
      </c>
      <c r="I298" s="15" t="n">
        <f aca="false">H298*(1+IF(I$3&lt;=$O$2,$D298,$D298-($D298-$I$292)*MIN(I$3-$O$2,$Q$2)/$Q$2))</f>
        <v>1651.24634422362</v>
      </c>
      <c r="J298" s="15" t="n">
        <f aca="false">I298*(1+IF(J$3&lt;=$O$2,$D298,$D298-($D298-$I$292)*MIN(J$3-$O$2,$Q$2)/$Q$2))</f>
        <v>1560.6919947064</v>
      </c>
      <c r="K298" s="15" t="n">
        <f aca="false">J298*(1+IF(K$3&lt;=$O$2,$D298,$D298-($D298-$I$292)*MIN(K$3-$O$2,$Q$2)/$Q$2))</f>
        <v>1511.44435881344</v>
      </c>
      <c r="L298" s="15" t="n">
        <f aca="false">K298*(1+IF(L$3&lt;=$O$2,$D298,$D298-($D298-$I$292)*MIN(L$3-$O$2,$Q$2)/$Q$2))</f>
        <v>1498.94471396605</v>
      </c>
      <c r="M298" s="15" t="n">
        <f aca="false">L298*(1+IF(M$3&lt;=$O$2,$D298,$D298-($D298-$I$292)*MIN(M$3-$O$2,$Q$2)/$Q$2))</f>
        <v>1521.45136884625</v>
      </c>
      <c r="N298" s="15" t="n">
        <f aca="false">M298*(1+IF(N$3&lt;=$O$2,$D298,$D298-($D298-$I$292)*MIN(N$3-$O$2,$Q$2)/$Q$2))</f>
        <v>1579.72295627306</v>
      </c>
      <c r="O298" s="15" t="n">
        <f aca="false">SUMPRODUCT(E298:N298,1/(1+$F$292)^$E$3:$N$3)*$E$2</f>
        <v>3682.43225612229</v>
      </c>
      <c r="P298" s="15" t="n">
        <f aca="false">N298*$E$2*(1+$I$292)/($F$292-$I$292)/(1+$F$292)^$N$3</f>
        <v>6190.17249630371</v>
      </c>
      <c r="Q298" s="15" t="n">
        <f aca="false">O298+P298</f>
        <v>9872.60475242599</v>
      </c>
      <c r="R298" s="15" t="n">
        <f aca="false">Q298-$G$2+$I$2</f>
        <v>8597.93475242599</v>
      </c>
      <c r="S298" s="42" t="n">
        <f aca="false">R298/$K$2</f>
        <v>241.718716683328</v>
      </c>
      <c r="T298" s="43" t="n">
        <f aca="false">S298-$M$2</f>
        <v>-47.5700097715493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-0.078125</v>
      </c>
      <c r="C299" s="25" t="n">
        <f aca="false">IF(T298&gt;0,D298,C298)</f>
        <v>-0.03125</v>
      </c>
      <c r="D299" s="41" t="n">
        <f aca="false">(B299+C299)/2</f>
        <v>-0.0546875</v>
      </c>
      <c r="E299" s="15" t="n">
        <f aca="false">$C$2*(1+IF(E$3&lt;=$O$2,$D299,$D299-($D299-$I$292)*MIN(E$3-$O$2,$Q$2)/$Q$2))</f>
        <v>2344.375</v>
      </c>
      <c r="F299" s="15" t="n">
        <f aca="false">E299*(1+IF(F$3&lt;=$O$2,$D299,$D299-($D299-$I$292)*MIN(F$3-$O$2,$Q$2)/$Q$2))</f>
        <v>2216.1669921875</v>
      </c>
      <c r="G299" s="15" t="n">
        <f aca="false">F299*(1+IF(G$3&lt;=$O$2,$D299,$D299-($D299-$I$292)*MIN(G$3-$O$2,$Q$2)/$Q$2))</f>
        <v>2094.97035980225</v>
      </c>
      <c r="H299" s="15" t="n">
        <f aca="false">G299*(1+IF(H$3&lt;=$O$2,$D299,$D299-($D299-$I$292)*MIN(H$3-$O$2,$Q$2)/$Q$2))</f>
        <v>1980.40166825056</v>
      </c>
      <c r="I299" s="15" t="n">
        <f aca="false">H299*(1+IF(I$3&lt;=$O$2,$D299,$D299-($D299-$I$292)*MIN(I$3-$O$2,$Q$2)/$Q$2))</f>
        <v>1872.09845201811</v>
      </c>
      <c r="J299" s="15" t="n">
        <f aca="false">I299*(1+IF(J$3&lt;=$O$2,$D299,$D299-($D299-$I$292)*MIN(J$3-$O$2,$Q$2)/$Q$2))</f>
        <v>1804.53441888477</v>
      </c>
      <c r="K299" s="15" t="n">
        <f aca="false">J299*(1+IF(K$3&lt;=$O$2,$D299,$D299-($D299-$I$292)*MIN(K$3-$O$2,$Q$2)/$Q$2))</f>
        <v>1772.96860056243</v>
      </c>
      <c r="L299" s="15" t="n">
        <f aca="false">K299*(1+IF(L$3&lt;=$O$2,$D299,$D299-($D299-$I$292)*MIN(L$3-$O$2,$Q$2)/$Q$2))</f>
        <v>1774.92773086605</v>
      </c>
      <c r="M299" s="15" t="n">
        <f aca="false">L299*(1+IF(M$3&lt;=$O$2,$D299,$D299-($D299-$I$292)*MIN(M$3-$O$2,$Q$2)/$Q$2))</f>
        <v>1809.89824448344</v>
      </c>
      <c r="N299" s="15" t="n">
        <f aca="false">M299*(1+IF(N$3&lt;=$O$2,$D299,$D299-($D299-$I$292)*MIN(N$3-$O$2,$Q$2)/$Q$2))</f>
        <v>1879.21734724716</v>
      </c>
      <c r="O299" s="15" t="n">
        <f aca="false">SUMPRODUCT(E299:N299,1/(1+$F$292)^$E$3:$N$3)*$E$2</f>
        <v>4079.47624230976</v>
      </c>
      <c r="P299" s="15" t="n">
        <f aca="false">N299*$E$2*(1+$I$292)/($F$292-$I$292)/(1+$F$292)^$N$3</f>
        <v>7363.74659323203</v>
      </c>
      <c r="Q299" s="15" t="n">
        <f aca="false">O299+P299</f>
        <v>11443.2228355418</v>
      </c>
      <c r="R299" s="15" t="n">
        <f aca="false">Q299-$G$2+$I$2</f>
        <v>10168.5528355418</v>
      </c>
      <c r="S299" s="42" t="n">
        <f aca="false">R299/$K$2</f>
        <v>285.87441201973</v>
      </c>
      <c r="T299" s="43" t="n">
        <f aca="false">S299-$M$2</f>
        <v>-3.41431443514796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-0.0546875</v>
      </c>
      <c r="C300" s="25" t="n">
        <f aca="false">IF(T299&gt;0,D299,C299)</f>
        <v>-0.03125</v>
      </c>
      <c r="D300" s="41" t="n">
        <f aca="false">(B300+C300)/2</f>
        <v>-0.04296875</v>
      </c>
      <c r="E300" s="15" t="n">
        <f aca="false">$C$2*(1+IF(E$3&lt;=$O$2,$D300,$D300-($D300-$I$292)*MIN(E$3-$O$2,$Q$2)/$Q$2))</f>
        <v>2373.4375</v>
      </c>
      <c r="F300" s="15" t="n">
        <f aca="false">E300*(1+IF(F$3&lt;=$O$2,$D300,$D300-($D300-$I$292)*MIN(F$3-$O$2,$Q$2)/$Q$2))</f>
        <v>2271.45385742188</v>
      </c>
      <c r="G300" s="15" t="n">
        <f aca="false">F300*(1+IF(G$3&lt;=$O$2,$D300,$D300-($D300-$I$292)*MIN(G$3-$O$2,$Q$2)/$Q$2))</f>
        <v>2173.85232448578</v>
      </c>
      <c r="H300" s="15" t="n">
        <f aca="false">G300*(1+IF(H$3&lt;=$O$2,$D300,$D300-($D300-$I$292)*MIN(H$3-$O$2,$Q$2)/$Q$2))</f>
        <v>2080.44460741803</v>
      </c>
      <c r="I300" s="15" t="n">
        <f aca="false">H300*(1+IF(I$3&lt;=$O$2,$D300,$D300-($D300-$I$292)*MIN(I$3-$O$2,$Q$2)/$Q$2))</f>
        <v>1991.05050319304</v>
      </c>
      <c r="J300" s="15" t="n">
        <f aca="false">I300*(1+IF(J$3&lt;=$O$2,$D300,$D300-($D300-$I$292)*MIN(J$3-$O$2,$Q$2)/$Q$2))</f>
        <v>1937.85958900024</v>
      </c>
      <c r="K300" s="15" t="n">
        <f aca="false">J300*(1+IF(K$3&lt;=$O$2,$D300,$D300-($D300-$I$292)*MIN(K$3-$O$2,$Q$2)/$Q$2))</f>
        <v>1917.58715537481</v>
      </c>
      <c r="L300" s="15" t="n">
        <f aca="false">K300*(1+IF(L$3&lt;=$O$2,$D300,$D300-($D300-$I$292)*MIN(L$3-$O$2,$Q$2)/$Q$2))</f>
        <v>1928.69477897232</v>
      </c>
      <c r="M300" s="15" t="n">
        <f aca="false">L300*(1+IF(M$3&lt;=$O$2,$D300,$D300-($D300-$I$292)*MIN(M$3-$O$2,$Q$2)/$Q$2))</f>
        <v>1971.21526624323</v>
      </c>
      <c r="N300" s="15" t="n">
        <f aca="false">M300*(1+IF(N$3&lt;=$O$2,$D300,$D300-($D300-$I$292)*MIN(N$3-$O$2,$Q$2)/$Q$2))</f>
        <v>2046.71281094035</v>
      </c>
      <c r="O300" s="15" t="n">
        <f aca="false">SUMPRODUCT(E300:N300,1/(1+$F$292)^$E$3:$N$3)*$E$2</f>
        <v>4294.46661733011</v>
      </c>
      <c r="P300" s="15" t="n">
        <f aca="false">N300*$E$2*(1+$I$292)/($F$292-$I$292)/(1+$F$292)^$N$3</f>
        <v>8020.08054627867</v>
      </c>
      <c r="Q300" s="15" t="n">
        <f aca="false">O300+P300</f>
        <v>12314.5471636088</v>
      </c>
      <c r="R300" s="15" t="n">
        <f aca="false">Q300-$G$2+$I$2</f>
        <v>11039.8771636088</v>
      </c>
      <c r="S300" s="42" t="n">
        <f aca="false">R300/$K$2</f>
        <v>310.370457228248</v>
      </c>
      <c r="T300" s="43" t="n">
        <f aca="false">S300-$M$2</f>
        <v>21.0817307733702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-0.0546875</v>
      </c>
      <c r="C301" s="25" t="n">
        <f aca="false">IF(T300&gt;0,D300,C300)</f>
        <v>-0.04296875</v>
      </c>
      <c r="D301" s="41" t="n">
        <f aca="false">(B301+C301)/2</f>
        <v>-0.048828125</v>
      </c>
      <c r="E301" s="15" t="n">
        <f aca="false">$C$2*(1+IF(E$3&lt;=$O$2,$D301,$D301-($D301-$I$292)*MIN(E$3-$O$2,$Q$2)/$Q$2))</f>
        <v>2358.90625</v>
      </c>
      <c r="F301" s="15" t="n">
        <f aca="false">E301*(1+IF(F$3&lt;=$O$2,$D301,$D301-($D301-$I$292)*MIN(F$3-$O$2,$Q$2)/$Q$2))</f>
        <v>2243.72528076172</v>
      </c>
      <c r="G301" s="15" t="n">
        <f aca="false">F301*(1+IF(G$3&lt;=$O$2,$D301,$D301-($D301-$I$292)*MIN(G$3-$O$2,$Q$2)/$Q$2))</f>
        <v>2134.16838228703</v>
      </c>
      <c r="H301" s="15" t="n">
        <f aca="false">G301*(1+IF(H$3&lt;=$O$2,$D301,$D301-($D301-$I$292)*MIN(H$3-$O$2,$Q$2)/$Q$2))</f>
        <v>2029.96094174567</v>
      </c>
      <c r="I301" s="15" t="n">
        <f aca="false">H301*(1+IF(I$3&lt;=$O$2,$D301,$D301-($D301-$I$292)*MIN(I$3-$O$2,$Q$2)/$Q$2))</f>
        <v>1930.84175513699</v>
      </c>
      <c r="J301" s="15" t="n">
        <f aca="false">I301*(1+IF(J$3&lt;=$O$2,$D301,$D301-($D301-$I$292)*MIN(J$3-$O$2,$Q$2)/$Q$2))</f>
        <v>1870.2084969213</v>
      </c>
      <c r="K301" s="15" t="n">
        <f aca="false">J301*(1+IF(K$3&lt;=$O$2,$D301,$D301-($D301-$I$292)*MIN(K$3-$O$2,$Q$2)/$Q$2))</f>
        <v>1844.0688265359</v>
      </c>
      <c r="L301" s="15" t="n">
        <f aca="false">K301*(1+IF(L$3&lt;=$O$2,$D301,$D301-($D301-$I$292)*MIN(L$3-$O$2,$Q$2)/$Q$2))</f>
        <v>1850.42855890141</v>
      </c>
      <c r="M301" s="15" t="n">
        <f aca="false">L301*(1+IF(M$3&lt;=$O$2,$D301,$D301-($D301-$I$292)*MIN(M$3-$O$2,$Q$2)/$Q$2))</f>
        <v>1889.05509855063</v>
      </c>
      <c r="N301" s="15" t="n">
        <f aca="false">M301*(1+IF(N$3&lt;=$O$2,$D301,$D301-($D301-$I$292)*MIN(N$3-$O$2,$Q$2)/$Q$2))</f>
        <v>1961.40590882512</v>
      </c>
      <c r="O301" s="15" t="n">
        <f aca="false">SUMPRODUCT(E301:N301,1/(1+$F$292)^$E$3:$N$3)*$E$2</f>
        <v>4185.53977700515</v>
      </c>
      <c r="P301" s="15" t="n">
        <f aca="false">N301*$E$2*(1+$I$292)/($F$292-$I$292)/(1+$F$292)^$N$3</f>
        <v>7685.80393333104</v>
      </c>
      <c r="Q301" s="15" t="n">
        <f aca="false">O301+P301</f>
        <v>11871.3437103362</v>
      </c>
      <c r="R301" s="15" t="n">
        <f aca="false">Q301-$G$2+$I$2</f>
        <v>10596.6737103362</v>
      </c>
      <c r="S301" s="42" t="n">
        <f aca="false">R301/$K$2</f>
        <v>297.91042199427</v>
      </c>
      <c r="T301" s="43" t="n">
        <f aca="false">S301-$M$2</f>
        <v>8.62169553939231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-0.0546875</v>
      </c>
      <c r="C302" s="25" t="n">
        <f aca="false">IF(T301&gt;0,D301,C301)</f>
        <v>-0.048828125</v>
      </c>
      <c r="D302" s="41" t="n">
        <f aca="false">(B302+C302)/2</f>
        <v>-0.0517578125</v>
      </c>
      <c r="E302" s="15" t="n">
        <f aca="false">$C$2*(1+IF(E$3&lt;=$O$2,$D302,$D302-($D302-$I$292)*MIN(E$3-$O$2,$Q$2)/$Q$2))</f>
        <v>2351.640625</v>
      </c>
      <c r="F302" s="15" t="n">
        <f aca="false">E302*(1+IF(F$3&lt;=$O$2,$D302,$D302-($D302-$I$292)*MIN(F$3-$O$2,$Q$2)/$Q$2))</f>
        <v>2229.92485046387</v>
      </c>
      <c r="G302" s="15" t="n">
        <f aca="false">F302*(1+IF(G$3&lt;=$O$2,$D302,$D302-($D302-$I$292)*MIN(G$3-$O$2,$Q$2)/$Q$2))</f>
        <v>2114.50881816447</v>
      </c>
      <c r="H302" s="15" t="n">
        <f aca="false">G302*(1+IF(H$3&lt;=$O$2,$D302,$D302-($D302-$I$292)*MIN(H$3-$O$2,$Q$2)/$Q$2))</f>
        <v>2005.06646722431</v>
      </c>
      <c r="I302" s="15" t="n">
        <f aca="false">H302*(1+IF(I$3&lt;=$O$2,$D302,$D302-($D302-$I$292)*MIN(I$3-$O$2,$Q$2)/$Q$2))</f>
        <v>1901.28861296368</v>
      </c>
      <c r="J302" s="15" t="n">
        <f aca="false">I302*(1+IF(J$3&lt;=$O$2,$D302,$D302-($D302-$I$292)*MIN(J$3-$O$2,$Q$2)/$Q$2))</f>
        <v>1837.12725210846</v>
      </c>
      <c r="K302" s="15" t="n">
        <f aca="false">J302*(1+IF(K$3&lt;=$O$2,$D302,$D302-($D302-$I$292)*MIN(K$3-$O$2,$Q$2)/$Q$2))</f>
        <v>1808.2206288988</v>
      </c>
      <c r="L302" s="15" t="n">
        <f aca="false">K302*(1+IF(L$3&lt;=$O$2,$D302,$D302-($D302-$I$292)*MIN(L$3-$O$2,$Q$2)/$Q$2))</f>
        <v>1812.33772124322</v>
      </c>
      <c r="M302" s="15" t="n">
        <f aca="false">L302*(1+IF(M$3&lt;=$O$2,$D302,$D302-($D302-$I$292)*MIN(M$3-$O$2,$Q$2)/$Q$2))</f>
        <v>1849.10722182955</v>
      </c>
      <c r="N302" s="15" t="n">
        <f aca="false">M302*(1+IF(N$3&lt;=$O$2,$D302,$D302-($D302-$I$292)*MIN(N$3-$O$2,$Q$2)/$Q$2))</f>
        <v>1919.92802842563</v>
      </c>
      <c r="O302" s="15" t="n">
        <f aca="false">SUMPRODUCT(E302:N302,1/(1+$F$292)^$E$3:$N$3)*$E$2</f>
        <v>4132.1546559395</v>
      </c>
      <c r="P302" s="15" t="n">
        <f aca="false">N302*$E$2*(1+$I$292)/($F$292-$I$292)/(1+$F$292)^$N$3</f>
        <v>7523.27212138621</v>
      </c>
      <c r="Q302" s="15" t="n">
        <f aca="false">O302+P302</f>
        <v>11655.4267773257</v>
      </c>
      <c r="R302" s="15" t="n">
        <f aca="false">Q302-$G$2+$I$2</f>
        <v>10380.7567773257</v>
      </c>
      <c r="S302" s="42" t="n">
        <f aca="false">R302/$K$2</f>
        <v>291.840224271175</v>
      </c>
      <c r="T302" s="43" t="n">
        <f aca="false">S302-$M$2</f>
        <v>2.55149781629763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-0.0546875</v>
      </c>
      <c r="C303" s="25" t="n">
        <f aca="false">IF(T302&gt;0,D302,C302)</f>
        <v>-0.0517578125</v>
      </c>
      <c r="D303" s="41" t="n">
        <f aca="false">(B303+C303)/2</f>
        <v>-0.05322265625</v>
      </c>
      <c r="E303" s="15" t="n">
        <f aca="false">$C$2*(1+IF(E$3&lt;=$O$2,$D303,$D303-($D303-$I$292)*MIN(E$3-$O$2,$Q$2)/$Q$2))</f>
        <v>2348.0078125</v>
      </c>
      <c r="F303" s="15" t="n">
        <f aca="false">E303*(1+IF(F$3&lt;=$O$2,$D303,$D303-($D303-$I$292)*MIN(F$3-$O$2,$Q$2)/$Q$2))</f>
        <v>2223.040599823</v>
      </c>
      <c r="G303" s="15" t="n">
        <f aca="false">F303*(1+IF(G$3&lt;=$O$2,$D303,$D303-($D303-$I$292)*MIN(G$3-$O$2,$Q$2)/$Q$2))</f>
        <v>2104.72447414883</v>
      </c>
      <c r="H303" s="15" t="n">
        <f aca="false">G303*(1+IF(H$3&lt;=$O$2,$D303,$D303-($D303-$I$292)*MIN(H$3-$O$2,$Q$2)/$Q$2))</f>
        <v>1992.70544696024</v>
      </c>
      <c r="I303" s="15" t="n">
        <f aca="false">H303*(1+IF(I$3&lt;=$O$2,$D303,$D303-($D303-$I$292)*MIN(I$3-$O$2,$Q$2)/$Q$2))</f>
        <v>1886.64836994917</v>
      </c>
      <c r="J303" s="15" t="n">
        <f aca="false">I303*(1+IF(J$3&lt;=$O$2,$D303,$D303-($D303-$I$292)*MIN(J$3-$O$2,$Q$2)/$Q$2))</f>
        <v>1820.77014633624</v>
      </c>
      <c r="K303" s="15" t="n">
        <f aca="false">J303*(1+IF(K$3&lt;=$O$2,$D303,$D303-($D303-$I$292)*MIN(K$3-$O$2,$Q$2)/$Q$2))</f>
        <v>1790.52061081288</v>
      </c>
      <c r="L303" s="15" t="n">
        <f aca="false">K303*(1+IF(L$3&lt;=$O$2,$D303,$D303-($D303-$I$292)*MIN(L$3-$O$2,$Q$2)/$Q$2))</f>
        <v>1793.54826925823</v>
      </c>
      <c r="M303" s="15" t="n">
        <f aca="false">L303*(1+IF(M$3&lt;=$O$2,$D303,$D303-($D303-$I$292)*MIN(M$3-$O$2,$Q$2)/$Q$2))</f>
        <v>1829.4111076278</v>
      </c>
      <c r="N303" s="15" t="n">
        <f aca="false">M303*(1+IF(N$3&lt;=$O$2,$D303,$D303-($D303-$I$292)*MIN(N$3-$O$2,$Q$2)/$Q$2))</f>
        <v>1899.47755304994</v>
      </c>
      <c r="O303" s="15" t="n">
        <f aca="false">SUMPRODUCT(E303:N303,1/(1+$F$292)^$E$3:$N$3)*$E$2</f>
        <v>4105.72767505526</v>
      </c>
      <c r="P303" s="15" t="n">
        <f aca="false">N303*$E$2*(1+$I$292)/($F$292-$I$292)/(1+$F$292)^$N$3</f>
        <v>7443.13656995664</v>
      </c>
      <c r="Q303" s="15" t="n">
        <f aca="false">O303+P303</f>
        <v>11548.8642450119</v>
      </c>
      <c r="R303" s="15" t="n">
        <f aca="false">Q303-$G$2+$I$2</f>
        <v>10274.1942450119</v>
      </c>
      <c r="S303" s="42" t="n">
        <f aca="false">R303/$K$2</f>
        <v>288.8443701156</v>
      </c>
      <c r="T303" s="43" t="n">
        <f aca="false">S303-$M$2</f>
        <v>-0.444356339277476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-0.05322265625</v>
      </c>
      <c r="C304" s="25" t="n">
        <f aca="false">IF(T303&gt;0,D303,C303)</f>
        <v>-0.0517578125</v>
      </c>
      <c r="D304" s="41" t="n">
        <f aca="false">(B304+C304)/2</f>
        <v>-0.052490234375</v>
      </c>
      <c r="E304" s="15" t="n">
        <f aca="false">$C$2*(1+IF(E$3&lt;=$O$2,$D304,$D304-($D304-$I$292)*MIN(E$3-$O$2,$Q$2)/$Q$2))</f>
        <v>2349.82421875</v>
      </c>
      <c r="F304" s="15" t="n">
        <f aca="false">E304*(1+IF(F$3&lt;=$O$2,$D304,$D304-($D304-$I$292)*MIN(F$3-$O$2,$Q$2)/$Q$2))</f>
        <v>2226.48139476776</v>
      </c>
      <c r="G304" s="15" t="n">
        <f aca="false">F304*(1+IF(G$3&lt;=$O$2,$D304,$D304-($D304-$I$292)*MIN(G$3-$O$2,$Q$2)/$Q$2))</f>
        <v>2109.61286452482</v>
      </c>
      <c r="H304" s="15" t="n">
        <f aca="false">G304*(1+IF(H$3&lt;=$O$2,$D304,$D304-($D304-$I$292)*MIN(H$3-$O$2,$Q$2)/$Q$2))</f>
        <v>1998.8787908254</v>
      </c>
      <c r="I304" s="15" t="n">
        <f aca="false">H304*(1+IF(I$3&lt;=$O$2,$D304,$D304-($D304-$I$292)*MIN(I$3-$O$2,$Q$2)/$Q$2))</f>
        <v>1893.95717460776</v>
      </c>
      <c r="J304" s="15" t="n">
        <f aca="false">I304*(1+IF(J$3&lt;=$O$2,$D304,$D304-($D304-$I$292)*MIN(J$3-$O$2,$Q$2)/$Q$2))</f>
        <v>1828.93348177216</v>
      </c>
      <c r="K304" s="15" t="n">
        <f aca="false">J304*(1+IF(K$3&lt;=$O$2,$D304,$D304-($D304-$I$292)*MIN(K$3-$O$2,$Q$2)/$Q$2))</f>
        <v>1799.3520544442</v>
      </c>
      <c r="L304" s="15" t="n">
        <f aca="false">K304*(1+IF(L$3&lt;=$O$2,$D304,$D304-($D304-$I$292)*MIN(L$3-$O$2,$Q$2)/$Q$2))</f>
        <v>1802.92180023096</v>
      </c>
      <c r="M304" s="15" t="n">
        <f aca="false">L304*(1+IF(M$3&lt;=$O$2,$D304,$D304-($D304-$I$292)*MIN(M$3-$O$2,$Q$2)/$Q$2))</f>
        <v>1839.23616661926</v>
      </c>
      <c r="N304" s="15" t="n">
        <f aca="false">M304*(1+IF(N$3&lt;=$O$2,$D304,$D304-($D304-$I$292)*MIN(N$3-$O$2,$Q$2)/$Q$2))</f>
        <v>1909.67891180077</v>
      </c>
      <c r="O304" s="15" t="n">
        <f aca="false">SUMPRODUCT(E304:N304,1/(1+$F$292)^$E$3:$N$3)*$E$2</f>
        <v>4118.91915168243</v>
      </c>
      <c r="P304" s="15" t="n">
        <f aca="false">N304*$E$2*(1+$I$292)/($F$292-$I$292)/(1+$F$292)^$N$3</f>
        <v>7483.11077563211</v>
      </c>
      <c r="Q304" s="15" t="n">
        <f aca="false">O304+P304</f>
        <v>11602.0299273145</v>
      </c>
      <c r="R304" s="15" t="n">
        <f aca="false">Q304-$G$2+$I$2</f>
        <v>10327.3599273145</v>
      </c>
      <c r="S304" s="42" t="n">
        <f aca="false">R304/$K$2</f>
        <v>290.339047717586</v>
      </c>
      <c r="T304" s="43" t="n">
        <f aca="false">S304-$M$2</f>
        <v>1.05032126270856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-0.05322265625</v>
      </c>
      <c r="C305" s="25" t="n">
        <f aca="false">IF(T304&gt;0,D304,C304)</f>
        <v>-0.052490234375</v>
      </c>
      <c r="D305" s="41" t="n">
        <f aca="false">(B305+C305)/2</f>
        <v>-0.0528564453125</v>
      </c>
      <c r="E305" s="15" t="n">
        <f aca="false">$C$2*(1+IF(E$3&lt;=$O$2,$D305,$D305-($D305-$I$292)*MIN(E$3-$O$2,$Q$2)/$Q$2))</f>
        <v>2348.916015625</v>
      </c>
      <c r="F305" s="15" t="n">
        <f aca="false">E305*(1+IF(F$3&lt;=$O$2,$D305,$D305-($D305-$I$292)*MIN(F$3-$O$2,$Q$2)/$Q$2))</f>
        <v>2224.76066470146</v>
      </c>
      <c r="G305" s="15" t="n">
        <f aca="false">F305*(1+IF(G$3&lt;=$O$2,$D305,$D305-($D305-$I$292)*MIN(G$3-$O$2,$Q$2)/$Q$2))</f>
        <v>2107.16772429427</v>
      </c>
      <c r="H305" s="15" t="n">
        <f aca="false">G305*(1+IF(H$3&lt;=$O$2,$D305,$D305-($D305-$I$292)*MIN(H$3-$O$2,$Q$2)/$Q$2))</f>
        <v>1995.79032871084</v>
      </c>
      <c r="I305" s="15" t="n">
        <f aca="false">H305*(1+IF(I$3&lt;=$O$2,$D305,$D305-($D305-$I$292)*MIN(I$3-$O$2,$Q$2)/$Q$2))</f>
        <v>1890.29994634612</v>
      </c>
      <c r="J305" s="15" t="n">
        <f aca="false">I305*(1+IF(J$3&lt;=$O$2,$D305,$D305-($D305-$I$292)*MIN(J$3-$O$2,$Q$2)/$Q$2))</f>
        <v>1824.84801534452</v>
      </c>
      <c r="K305" s="15" t="n">
        <f aca="false">J305*(1+IF(K$3&lt;=$O$2,$D305,$D305-($D305-$I$292)*MIN(K$3-$O$2,$Q$2)/$Q$2))</f>
        <v>1794.93169934359</v>
      </c>
      <c r="L305" s="15" t="n">
        <f aca="false">K305*(1+IF(L$3&lt;=$O$2,$D305,$D305-($D305-$I$292)*MIN(L$3-$O$2,$Q$2)/$Q$2))</f>
        <v>1798.22974611209</v>
      </c>
      <c r="M305" s="15" t="n">
        <f aca="false">L305*(1+IF(M$3&lt;=$O$2,$D305,$D305-($D305-$I$292)*MIN(M$3-$O$2,$Q$2)/$Q$2))</f>
        <v>1834.31789908603</v>
      </c>
      <c r="N305" s="15" t="n">
        <f aca="false">M305*(1+IF(N$3&lt;=$O$2,$D305,$D305-($D305-$I$292)*MIN(N$3-$O$2,$Q$2)/$Q$2))</f>
        <v>1904.57227462103</v>
      </c>
      <c r="O305" s="15" t="n">
        <f aca="false">SUMPRODUCT(E305:N305,1/(1+$F$292)^$E$3:$N$3)*$E$2</f>
        <v>4112.31791871774</v>
      </c>
      <c r="P305" s="15" t="n">
        <f aca="false">N305*$E$2*(1+$I$292)/($F$292-$I$292)/(1+$F$292)^$N$3</f>
        <v>7463.10032703215</v>
      </c>
      <c r="Q305" s="15" t="n">
        <f aca="false">O305+P305</f>
        <v>11575.4182457499</v>
      </c>
      <c r="R305" s="15" t="n">
        <f aca="false">Q305-$G$2+$I$2</f>
        <v>10300.7482457499</v>
      </c>
      <c r="S305" s="42" t="n">
        <f aca="false">R305/$K$2</f>
        <v>289.590898109359</v>
      </c>
      <c r="T305" s="43" t="n">
        <f aca="false">S305-$M$2</f>
        <v>0.302171654480958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-0.05322265625</v>
      </c>
      <c r="C306" s="25" t="n">
        <f aca="false">IF(T305&gt;0,D305,C305)</f>
        <v>-0.0528564453125</v>
      </c>
      <c r="D306" s="41" t="n">
        <f aca="false">(B306+C306)/2</f>
        <v>-0.05303955078125</v>
      </c>
      <c r="E306" s="15" t="n">
        <f aca="false">$C$2*(1+IF(E$3&lt;=$O$2,$D306,$D306-($D306-$I$292)*MIN(E$3-$O$2,$Q$2)/$Q$2))</f>
        <v>2348.4619140625</v>
      </c>
      <c r="F306" s="15" t="n">
        <f aca="false">E306*(1+IF(F$3&lt;=$O$2,$D306,$D306-($D306-$I$292)*MIN(F$3-$O$2,$Q$2)/$Q$2))</f>
        <v>2223.90054911375</v>
      </c>
      <c r="G306" s="15" t="n">
        <f aca="false">F306*(1+IF(G$3&lt;=$O$2,$D306,$D306-($D306-$I$292)*MIN(G$3-$O$2,$Q$2)/$Q$2))</f>
        <v>2105.94586300658</v>
      </c>
      <c r="H306" s="15" t="n">
        <f aca="false">G306*(1+IF(H$3&lt;=$O$2,$D306,$D306-($D306-$I$292)*MIN(H$3-$O$2,$Q$2)/$Q$2))</f>
        <v>1994.24744046308</v>
      </c>
      <c r="I306" s="15" t="n">
        <f aca="false">H306*(1+IF(I$3&lt;=$O$2,$D306,$D306-($D306-$I$292)*MIN(I$3-$O$2,$Q$2)/$Q$2))</f>
        <v>1888.47345207426</v>
      </c>
      <c r="J306" s="15" t="n">
        <f aca="false">I306*(1+IF(J$3&lt;=$O$2,$D306,$D306-($D306-$I$292)*MIN(J$3-$O$2,$Q$2)/$Q$2))</f>
        <v>1822.80813186888</v>
      </c>
      <c r="K306" s="15" t="n">
        <f aca="false">J306*(1+IF(K$3&lt;=$O$2,$D306,$D306-($D306-$I$292)*MIN(K$3-$O$2,$Q$2)/$Q$2))</f>
        <v>1792.72499776427</v>
      </c>
      <c r="L306" s="15" t="n">
        <f aca="false">K306*(1+IF(L$3&lt;=$O$2,$D306,$D306-($D306-$I$292)*MIN(L$3-$O$2,$Q$2)/$Q$2))</f>
        <v>1795.8876867906</v>
      </c>
      <c r="M306" s="15" t="n">
        <f aca="false">L306*(1+IF(M$3&lt;=$O$2,$D306,$D306-($D306-$I$292)*MIN(M$3-$O$2,$Q$2)/$Q$2))</f>
        <v>1831.86307028168</v>
      </c>
      <c r="N306" s="15" t="n">
        <f aca="false">M306*(1+IF(N$3&lt;=$O$2,$D306,$D306-($D306-$I$292)*MIN(N$3-$O$2,$Q$2)/$Q$2))</f>
        <v>1902.02342587346</v>
      </c>
      <c r="O306" s="15" t="n">
        <f aca="false">SUMPRODUCT(E306:N306,1/(1+$F$292)^$E$3:$N$3)*$E$2</f>
        <v>4109.0214243227</v>
      </c>
      <c r="P306" s="15" t="n">
        <f aca="false">N306*$E$2*(1+$I$292)/($F$292-$I$292)/(1+$F$292)^$N$3</f>
        <v>7453.11261788876</v>
      </c>
      <c r="Q306" s="15" t="n">
        <f aca="false">O306+P306</f>
        <v>11562.1340422115</v>
      </c>
      <c r="R306" s="15" t="n">
        <f aca="false">Q306-$G$2+$I$2</f>
        <v>10287.4640422115</v>
      </c>
      <c r="S306" s="42" t="n">
        <f aca="false">R306/$K$2</f>
        <v>289.217431605607</v>
      </c>
      <c r="T306" s="43" t="n">
        <f aca="false">S306-$M$2</f>
        <v>-0.0712948492703731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-0.05303955078125</v>
      </c>
      <c r="C307" s="25" t="n">
        <f aca="false">IF(T306&gt;0,D306,C306)</f>
        <v>-0.0528564453125</v>
      </c>
      <c r="D307" s="41" t="n">
        <f aca="false">(B307+C307)/2</f>
        <v>-0.052947998046875</v>
      </c>
      <c r="E307" s="15" t="n">
        <f aca="false">$C$2*(1+IF(E$3&lt;=$O$2,$D307,$D307-($D307-$I$292)*MIN(E$3-$O$2,$Q$2)/$Q$2))</f>
        <v>2348.68896484375</v>
      </c>
      <c r="F307" s="15" t="n">
        <f aca="false">E307*(1+IF(F$3&lt;=$O$2,$D307,$D307-($D307-$I$292)*MIN(F$3-$O$2,$Q$2)/$Q$2))</f>
        <v>2224.33058612049</v>
      </c>
      <c r="G307" s="15" t="n">
        <f aca="false">F307*(1+IF(G$3&lt;=$O$2,$D307,$D307-($D307-$I$292)*MIN(G$3-$O$2,$Q$2)/$Q$2))</f>
        <v>2106.55673459097</v>
      </c>
      <c r="H307" s="15" t="n">
        <f aca="false">G307*(1+IF(H$3&lt;=$O$2,$D307,$D307-($D307-$I$292)*MIN(H$3-$O$2,$Q$2)/$Q$2))</f>
        <v>1995.01877272222</v>
      </c>
      <c r="I307" s="15" t="n">
        <f aca="false">H307*(1+IF(I$3&lt;=$O$2,$D307,$D307-($D307-$I$292)*MIN(I$3-$O$2,$Q$2)/$Q$2))</f>
        <v>1889.38652264065</v>
      </c>
      <c r="J307" s="15" t="n">
        <f aca="false">I307*(1+IF(J$3&lt;=$O$2,$D307,$D307-($D307-$I$292)*MIN(J$3-$O$2,$Q$2)/$Q$2))</f>
        <v>1823.82783627562</v>
      </c>
      <c r="K307" s="15" t="n">
        <f aca="false">J307*(1+IF(K$3&lt;=$O$2,$D307,$D307-($D307-$I$292)*MIN(K$3-$O$2,$Q$2)/$Q$2))</f>
        <v>1793.82805909959</v>
      </c>
      <c r="L307" s="15" t="n">
        <f aca="false">K307*(1+IF(L$3&lt;=$O$2,$D307,$D307-($D307-$I$292)*MIN(L$3-$O$2,$Q$2)/$Q$2))</f>
        <v>1797.05838606984</v>
      </c>
      <c r="M307" s="15" t="n">
        <f aca="false">L307*(1+IF(M$3&lt;=$O$2,$D307,$D307-($D307-$I$292)*MIN(M$3-$O$2,$Q$2)/$Q$2))</f>
        <v>1833.09012623587</v>
      </c>
      <c r="N307" s="15" t="n">
        <f aca="false">M307*(1+IF(N$3&lt;=$O$2,$D307,$D307-($D307-$I$292)*MIN(N$3-$O$2,$Q$2)/$Q$2))</f>
        <v>1903.2974780707</v>
      </c>
      <c r="O307" s="15" t="n">
        <f aca="false">SUMPRODUCT(E307:N307,1/(1+$F$292)^$E$3:$N$3)*$E$2</f>
        <v>4110.66932824195</v>
      </c>
      <c r="P307" s="15" t="n">
        <f aca="false">N307*$E$2*(1+$I$292)/($F$292-$I$292)/(1+$F$292)^$N$3</f>
        <v>7458.10501408006</v>
      </c>
      <c r="Q307" s="15" t="n">
        <f aca="false">O307+P307</f>
        <v>11568.774342322</v>
      </c>
      <c r="R307" s="15" t="n">
        <f aca="false">Q307-$G$2+$I$2</f>
        <v>10294.104342322</v>
      </c>
      <c r="S307" s="42" t="n">
        <f aca="false">R307/$K$2</f>
        <v>289.40411420641</v>
      </c>
      <c r="T307" s="43" t="n">
        <f aca="false">S307-$M$2</f>
        <v>0.11538775153258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-0.05303955078125</v>
      </c>
      <c r="C308" s="25" t="n">
        <f aca="false">IF(T307&gt;0,D307,C307)</f>
        <v>-0.052947998046875</v>
      </c>
      <c r="D308" s="41" t="n">
        <f aca="false">(B308+C308)/2</f>
        <v>-0.0529937744140625</v>
      </c>
      <c r="E308" s="15" t="n">
        <f aca="false">$C$2*(1+IF(E$3&lt;=$O$2,$D308,$D308-($D308-$I$292)*MIN(E$3-$O$2,$Q$2)/$Q$2))</f>
        <v>2348.57543945313</v>
      </c>
      <c r="F308" s="15" t="n">
        <f aca="false">E308*(1+IF(F$3&lt;=$O$2,$D308,$D308-($D308-$I$292)*MIN(F$3-$O$2,$Q$2)/$Q$2))</f>
        <v>2224.11556242034</v>
      </c>
      <c r="G308" s="15" t="n">
        <f aca="false">F308*(1+IF(G$3&lt;=$O$2,$D308,$D308-($D308-$I$292)*MIN(G$3-$O$2,$Q$2)/$Q$2))</f>
        <v>2106.25128403463</v>
      </c>
      <c r="H308" s="15" t="n">
        <f aca="false">G308*(1+IF(H$3&lt;=$O$2,$D308,$D308-($D308-$I$292)*MIN(H$3-$O$2,$Q$2)/$Q$2))</f>
        <v>1994.63307862917</v>
      </c>
      <c r="I308" s="15" t="n">
        <f aca="false">H308*(1+IF(I$3&lt;=$O$2,$D308,$D308-($D308-$I$292)*MIN(I$3-$O$2,$Q$2)/$Q$2))</f>
        <v>1888.92994322147</v>
      </c>
      <c r="J308" s="15" t="n">
        <f aca="false">I308*(1+IF(J$3&lt;=$O$2,$D308,$D308-($D308-$I$292)*MIN(J$3-$O$2,$Q$2)/$Q$2))</f>
        <v>1823.31792475051</v>
      </c>
      <c r="K308" s="15" t="n">
        <f aca="false">J308*(1+IF(K$3&lt;=$O$2,$D308,$D308-($D308-$I$292)*MIN(K$3-$O$2,$Q$2)/$Q$2))</f>
        <v>1793.27645608408</v>
      </c>
      <c r="L308" s="15" t="n">
        <f aca="false">K308*(1+IF(L$3&lt;=$O$2,$D308,$D308-($D308-$I$292)*MIN(L$3-$O$2,$Q$2)/$Q$2))</f>
        <v>1796.47295385458</v>
      </c>
      <c r="M308" s="15" t="n">
        <f aca="false">L308*(1+IF(M$3&lt;=$O$2,$D308,$D308-($D308-$I$292)*MIN(M$3-$O$2,$Q$2)/$Q$2))</f>
        <v>1832.47650866918</v>
      </c>
      <c r="N308" s="15" t="n">
        <f aca="false">M308*(1+IF(N$3&lt;=$O$2,$D308,$D308-($D308-$I$292)*MIN(N$3-$O$2,$Q$2)/$Q$2))</f>
        <v>1902.66035895121</v>
      </c>
      <c r="O308" s="15" t="n">
        <f aca="false">SUMPRODUCT(E308:N308,1/(1+$F$292)^$E$3:$N$3)*$E$2</f>
        <v>4109.84529047993</v>
      </c>
      <c r="P308" s="15" t="n">
        <f aca="false">N308*$E$2*(1+$I$292)/($F$292-$I$292)/(1+$F$292)^$N$3</f>
        <v>7455.60845148046</v>
      </c>
      <c r="Q308" s="15" t="n">
        <f aca="false">O308+P308</f>
        <v>11565.4537419604</v>
      </c>
      <c r="R308" s="15" t="n">
        <f aca="false">Q308-$G$2+$I$2</f>
        <v>10290.7837419604</v>
      </c>
      <c r="S308" s="42" t="n">
        <f aca="false">R308/$K$2</f>
        <v>289.310760246286</v>
      </c>
      <c r="T308" s="43" t="n">
        <f aca="false">S308-$M$2</f>
        <v>0.0220337914080346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-0.05303955078125</v>
      </c>
      <c r="C309" s="25" t="n">
        <f aca="false">IF(T308&gt;0,D308,C308)</f>
        <v>-0.0529937744140625</v>
      </c>
      <c r="D309" s="41" t="n">
        <f aca="false">(B309+C309)/2</f>
        <v>-0.0530166625976563</v>
      </c>
      <c r="E309" s="15" t="n">
        <f aca="false">$C$2*(1+IF(E$3&lt;=$O$2,$D309,$D309-($D309-$I$292)*MIN(E$3-$O$2,$Q$2)/$Q$2))</f>
        <v>2348.51867675781</v>
      </c>
      <c r="F309" s="15" t="n">
        <f aca="false">E309*(1+IF(F$3&lt;=$O$2,$D309,$D309-($D309-$I$292)*MIN(F$3-$O$2,$Q$2)/$Q$2))</f>
        <v>2224.00805446785</v>
      </c>
      <c r="G309" s="15" t="n">
        <f aca="false">F309*(1+IF(G$3&lt;=$O$2,$D309,$D309-($D309-$I$292)*MIN(G$3-$O$2,$Q$2)/$Q$2))</f>
        <v>2106.09856982966</v>
      </c>
      <c r="H309" s="15" t="n">
        <f aca="false">G309*(1+IF(H$3&lt;=$O$2,$D309,$D309-($D309-$I$292)*MIN(H$3-$O$2,$Q$2)/$Q$2))</f>
        <v>1994.44025255559</v>
      </c>
      <c r="I309" s="15" t="n">
        <f aca="false">H309*(1+IF(I$3&lt;=$O$2,$D309,$D309-($D309-$I$292)*MIN(I$3-$O$2,$Q$2)/$Q$2))</f>
        <v>1888.70168661467</v>
      </c>
      <c r="J309" s="15" t="n">
        <f aca="false">I309*(1+IF(J$3&lt;=$O$2,$D309,$D309-($D309-$I$292)*MIN(J$3-$O$2,$Q$2)/$Q$2))</f>
        <v>1823.06301348064</v>
      </c>
      <c r="K309" s="15" t="n">
        <f aca="false">J309*(1+IF(K$3&lt;=$O$2,$D309,$D309-($D309-$I$292)*MIN(K$3-$O$2,$Q$2)/$Q$2))</f>
        <v>1793.00070883918</v>
      </c>
      <c r="L309" s="15" t="n">
        <f aca="false">K309*(1+IF(L$3&lt;=$O$2,$D309,$D309-($D309-$I$292)*MIN(L$3-$O$2,$Q$2)/$Q$2))</f>
        <v>1796.18029968115</v>
      </c>
      <c r="M309" s="15" t="n">
        <f aca="false">L309*(1+IF(M$3&lt;=$O$2,$D309,$D309-($D309-$I$292)*MIN(M$3-$O$2,$Q$2)/$Q$2))</f>
        <v>1832.16976708083</v>
      </c>
      <c r="N309" s="15" t="n">
        <f aca="false">M309*(1+IF(N$3&lt;=$O$2,$D309,$D309-($D309-$I$292)*MIN(N$3-$O$2,$Q$2)/$Q$2))</f>
        <v>1902.34186916002</v>
      </c>
      <c r="O309" s="15" t="n">
        <f aca="false">SUMPRODUCT(E309:N309,1/(1+$F$292)^$E$3:$N$3)*$E$2</f>
        <v>4109.43333595286</v>
      </c>
      <c r="P309" s="15" t="n">
        <f aca="false">N309*$E$2*(1+$I$292)/($F$292-$I$292)/(1+$F$292)^$N$3</f>
        <v>7454.36044357001</v>
      </c>
      <c r="Q309" s="15" t="n">
        <f aca="false">O309+P309</f>
        <v>11563.7937795229</v>
      </c>
      <c r="R309" s="15" t="n">
        <f aca="false">Q309-$G$2+$I$2</f>
        <v>10289.1237795229</v>
      </c>
      <c r="S309" s="42" t="n">
        <f aca="false">R309/$K$2</f>
        <v>289.264092761396</v>
      </c>
      <c r="T309" s="43" t="n">
        <f aca="false">S309-$M$2</f>
        <v>-0.0246336934814053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-0.0530166625976563</v>
      </c>
      <c r="C310" s="25" t="n">
        <f aca="false">IF(T309&gt;0,D309,C309)</f>
        <v>-0.0529937744140625</v>
      </c>
      <c r="D310" s="41" t="n">
        <f aca="false">(B310+C310)/2</f>
        <v>-0.0530052185058594</v>
      </c>
      <c r="E310" s="15" t="n">
        <f aca="false">$C$2*(1+IF(E$3&lt;=$O$2,$D310,$D310-($D310-$I$292)*MIN(E$3-$O$2,$Q$2)/$Q$2))</f>
        <v>2348.54705810547</v>
      </c>
      <c r="F310" s="15" t="n">
        <f aca="false">E310*(1+IF(F$3&lt;=$O$2,$D310,$D310-($D310-$I$292)*MIN(F$3-$O$2,$Q$2)/$Q$2))</f>
        <v>2224.0618081193</v>
      </c>
      <c r="G310" s="15" t="n">
        <f aca="false">F310*(1+IF(G$3&lt;=$O$2,$D310,$D310-($D310-$I$292)*MIN(G$3-$O$2,$Q$2)/$Q$2))</f>
        <v>2106.1749260094</v>
      </c>
      <c r="H310" s="15" t="n">
        <f aca="false">G310*(1+IF(H$3&lt;=$O$2,$D310,$D310-($D310-$I$292)*MIN(H$3-$O$2,$Q$2)/$Q$2))</f>
        <v>1994.53666384471</v>
      </c>
      <c r="I310" s="15" t="n">
        <f aca="false">H310*(1+IF(I$3&lt;=$O$2,$D310,$D310-($D310-$I$292)*MIN(I$3-$O$2,$Q$2)/$Q$2))</f>
        <v>1888.81581215967</v>
      </c>
      <c r="J310" s="15" t="n">
        <f aca="false">I310*(1+IF(J$3&lt;=$O$2,$D310,$D310-($D310-$I$292)*MIN(J$3-$O$2,$Q$2)/$Q$2))</f>
        <v>1823.19046540814</v>
      </c>
      <c r="K310" s="15" t="n">
        <f aca="false">J310*(1+IF(K$3&lt;=$O$2,$D310,$D310-($D310-$I$292)*MIN(K$3-$O$2,$Q$2)/$Q$2))</f>
        <v>1793.13857794013</v>
      </c>
      <c r="L310" s="15" t="n">
        <f aca="false">K310*(1+IF(L$3&lt;=$O$2,$D310,$D310-($D310-$I$292)*MIN(L$3-$O$2,$Q$2)/$Q$2))</f>
        <v>1796.3266216072</v>
      </c>
      <c r="M310" s="15" t="n">
        <f aca="false">L310*(1+IF(M$3&lt;=$O$2,$D310,$D310-($D310-$I$292)*MIN(M$3-$O$2,$Q$2)/$Q$2))</f>
        <v>1832.323132276</v>
      </c>
      <c r="N310" s="15" t="n">
        <f aca="false">M310*(1+IF(N$3&lt;=$O$2,$D310,$D310-($D310-$I$292)*MIN(N$3-$O$2,$Q$2)/$Q$2))</f>
        <v>1902.50110824218</v>
      </c>
      <c r="O310" s="15" t="n">
        <f aca="false">SUMPRODUCT(E310:N310,1/(1+$F$292)^$E$3:$N$3)*$E$2</f>
        <v>4109.63930785401</v>
      </c>
      <c r="P310" s="15" t="n">
        <f aca="false">N310*$E$2*(1+$I$292)/($F$292-$I$292)/(1+$F$292)^$N$3</f>
        <v>7454.98442474516</v>
      </c>
      <c r="Q310" s="15" t="n">
        <f aca="false">O310+P310</f>
        <v>11564.6237325992</v>
      </c>
      <c r="R310" s="15" t="n">
        <f aca="false">Q310-$G$2+$I$2</f>
        <v>10289.9537325992</v>
      </c>
      <c r="S310" s="42" t="n">
        <f aca="false">R310/$K$2</f>
        <v>289.287425712656</v>
      </c>
      <c r="T310" s="43" t="n">
        <f aca="false">S310-$M$2</f>
        <v>-0.0013007422218152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-0.0530052185058594</v>
      </c>
      <c r="C311" s="25" t="n">
        <f aca="false">IF(T310&gt;0,D310,C310)</f>
        <v>-0.0529937744140625</v>
      </c>
      <c r="D311" s="41" t="n">
        <f aca="false">(B311+C311)/2</f>
        <v>-0.0529994964599609</v>
      </c>
      <c r="E311" s="15" t="n">
        <f aca="false">$C$2*(1+IF(E$3&lt;=$O$2,$D311,$D311-($D311-$I$292)*MIN(E$3-$O$2,$Q$2)/$Q$2))</f>
        <v>2348.5612487793</v>
      </c>
      <c r="F311" s="15" t="n">
        <f aca="false">E311*(1+IF(F$3&lt;=$O$2,$D311,$D311-($D311-$I$292)*MIN(F$3-$O$2,$Q$2)/$Q$2))</f>
        <v>2224.08868518862</v>
      </c>
      <c r="G311" s="15" t="n">
        <f aca="false">F311*(1+IF(G$3&lt;=$O$2,$D311,$D311-($D311-$I$292)*MIN(G$3-$O$2,$Q$2)/$Q$2))</f>
        <v>2106.21310479132</v>
      </c>
      <c r="H311" s="15" t="n">
        <f aca="false">G311*(1+IF(H$3&lt;=$O$2,$D311,$D311-($D311-$I$292)*MIN(H$3-$O$2,$Q$2)/$Q$2))</f>
        <v>1994.58487080001</v>
      </c>
      <c r="I311" s="15" t="n">
        <f aca="false">H311*(1+IF(I$3&lt;=$O$2,$D311,$D311-($D311-$I$292)*MIN(I$3-$O$2,$Q$2)/$Q$2))</f>
        <v>1888.87287700096</v>
      </c>
      <c r="J311" s="15" t="n">
        <f aca="false">I311*(1+IF(J$3&lt;=$O$2,$D311,$D311-($D311-$I$292)*MIN(J$3-$O$2,$Q$2)/$Q$2))</f>
        <v>1823.25419415244</v>
      </c>
      <c r="K311" s="15" t="n">
        <f aca="false">J311*(1+IF(K$3&lt;=$O$2,$D311,$D311-($D311-$I$292)*MIN(K$3-$O$2,$Q$2)/$Q$2))</f>
        <v>1793.2075158817</v>
      </c>
      <c r="L311" s="15" t="n">
        <f aca="false">K311*(1+IF(L$3&lt;=$O$2,$D311,$D311-($D311-$I$292)*MIN(L$3-$O$2,$Q$2)/$Q$2))</f>
        <v>1796.39978644068</v>
      </c>
      <c r="M311" s="15" t="n">
        <f aca="false">L311*(1+IF(M$3&lt;=$O$2,$D311,$D311-($D311-$I$292)*MIN(M$3-$O$2,$Q$2)/$Q$2))</f>
        <v>1832.3998190728</v>
      </c>
      <c r="N311" s="15" t="n">
        <f aca="false">M311*(1+IF(N$3&lt;=$O$2,$D311,$D311-($D311-$I$292)*MIN(N$3-$O$2,$Q$2)/$Q$2))</f>
        <v>1902.58073214329</v>
      </c>
      <c r="O311" s="15" t="n">
        <f aca="false">SUMPRODUCT(E311:N311,1/(1+$F$292)^$E$3:$N$3)*$E$2</f>
        <v>4109.74229782634</v>
      </c>
      <c r="P311" s="15" t="n">
        <f aca="false">N311*$E$2*(1+$I$292)/($F$292-$I$292)/(1+$F$292)^$N$3</f>
        <v>7455.29643241761</v>
      </c>
      <c r="Q311" s="15" t="n">
        <f aca="false">O311+P311</f>
        <v>11565.038730244</v>
      </c>
      <c r="R311" s="15" t="n">
        <f aca="false">Q311-$G$2+$I$2</f>
        <v>10290.368730244</v>
      </c>
      <c r="S311" s="42" t="n">
        <f aca="false">R311/$K$2</f>
        <v>289.299092781669</v>
      </c>
      <c r="T311" s="43" t="n">
        <f aca="false">S311-$M$2</f>
        <v>0.0103663267908587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-0.0530052185058594</v>
      </c>
      <c r="C312" s="25" t="n">
        <f aca="false">IF(T311&gt;0,D311,C311)</f>
        <v>-0.0529994964599609</v>
      </c>
      <c r="D312" s="41" t="n">
        <f aca="false">(B312+C312)/2</f>
        <v>-0.0530023574829102</v>
      </c>
      <c r="E312" s="15" t="n">
        <f aca="false">$C$2*(1+IF(E$3&lt;=$O$2,$D312,$D312-($D312-$I$292)*MIN(E$3-$O$2,$Q$2)/$Q$2))</f>
        <v>2348.55415344238</v>
      </c>
      <c r="F312" s="15" t="n">
        <f aca="false">E312*(1+IF(F$3&lt;=$O$2,$D312,$D312-($D312-$I$292)*MIN(F$3-$O$2,$Q$2)/$Q$2))</f>
        <v>2224.07524663366</v>
      </c>
      <c r="G312" s="15" t="n">
        <f aca="false">F312*(1+IF(G$3&lt;=$O$2,$D312,$D312-($D312-$I$292)*MIN(G$3-$O$2,$Q$2)/$Q$2))</f>
        <v>2106.19401534269</v>
      </c>
      <c r="H312" s="15" t="n">
        <f aca="false">G312*(1+IF(H$3&lt;=$O$2,$D312,$D312-($D312-$I$292)*MIN(H$3-$O$2,$Q$2)/$Q$2))</f>
        <v>1994.56076721313</v>
      </c>
      <c r="I312" s="15" t="n">
        <f aca="false">H312*(1+IF(I$3&lt;=$O$2,$D312,$D312-($D312-$I$292)*MIN(I$3-$O$2,$Q$2)/$Q$2))</f>
        <v>1888.84434440791</v>
      </c>
      <c r="J312" s="15" t="n">
        <f aca="false">I312*(1+IF(J$3&lt;=$O$2,$D312,$D312-($D312-$I$292)*MIN(J$3-$O$2,$Q$2)/$Q$2))</f>
        <v>1823.22232954857</v>
      </c>
      <c r="K312" s="15" t="n">
        <f aca="false">J312*(1+IF(K$3&lt;=$O$2,$D312,$D312-($D312-$I$292)*MIN(K$3-$O$2,$Q$2)/$Q$2))</f>
        <v>1793.17304662832</v>
      </c>
      <c r="L312" s="15" t="n">
        <f aca="false">K312*(1+IF(L$3&lt;=$O$2,$D312,$D312-($D312-$I$292)*MIN(L$3-$O$2,$Q$2)/$Q$2))</f>
        <v>1796.36320370139</v>
      </c>
      <c r="M312" s="15" t="n">
        <f aca="false">L312*(1+IF(M$3&lt;=$O$2,$D312,$D312-($D312-$I$292)*MIN(M$3-$O$2,$Q$2)/$Q$2))</f>
        <v>1832.36147532446</v>
      </c>
      <c r="N312" s="15" t="n">
        <f aca="false">M312*(1+IF(N$3&lt;=$O$2,$D312,$D312-($D312-$I$292)*MIN(N$3-$O$2,$Q$2)/$Q$2))</f>
        <v>1902.54091982939</v>
      </c>
      <c r="O312" s="15" t="n">
        <f aca="false">SUMPRODUCT(E312:N312,1/(1+$F$292)^$E$3:$N$3)*$E$2</f>
        <v>4109.69080250502</v>
      </c>
      <c r="P312" s="15" t="n">
        <f aca="false">N312*$E$2*(1+$I$292)/($F$292-$I$292)/(1+$F$292)^$N$3</f>
        <v>7455.14042715761</v>
      </c>
      <c r="Q312" s="15" t="n">
        <f aca="false">O312+P312</f>
        <v>11564.8312296626</v>
      </c>
      <c r="R312" s="15" t="n">
        <f aca="false">Q312-$G$2+$I$2</f>
        <v>10290.1612296626</v>
      </c>
      <c r="S312" s="42" t="n">
        <f aca="false">R312/$K$2</f>
        <v>289.293259197713</v>
      </c>
      <c r="T312" s="43" t="n">
        <f aca="false">S312-$M$2</f>
        <v>0.00453274283478322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-0.0530052185058594</v>
      </c>
      <c r="C313" s="25" t="n">
        <f aca="false">IF(T312&gt;0,D312,C312)</f>
        <v>-0.0530023574829102</v>
      </c>
      <c r="D313" s="41" t="n">
        <f aca="false">(B313+C313)/2</f>
        <v>-0.0530037879943848</v>
      </c>
      <c r="E313" s="15" t="n">
        <f aca="false">$C$2*(1+IF(E$3&lt;=$O$2,$D313,$D313-($D313-$I$292)*MIN(E$3-$O$2,$Q$2)/$Q$2))</f>
        <v>2348.55060577393</v>
      </c>
      <c r="F313" s="15" t="n">
        <f aca="false">E313*(1+IF(F$3&lt;=$O$2,$D313,$D313-($D313-$I$292)*MIN(F$3-$O$2,$Q$2)/$Q$2))</f>
        <v>2224.0685273714</v>
      </c>
      <c r="G313" s="15" t="n">
        <f aca="false">F313*(1+IF(G$3&lt;=$O$2,$D313,$D313-($D313-$I$292)*MIN(G$3-$O$2,$Q$2)/$Q$2))</f>
        <v>2106.18447066162</v>
      </c>
      <c r="H313" s="15" t="n">
        <f aca="false">G313*(1+IF(H$3&lt;=$O$2,$D313,$D313-($D313-$I$292)*MIN(H$3-$O$2,$Q$2)/$Q$2))</f>
        <v>1994.54871550161</v>
      </c>
      <c r="I313" s="15" t="n">
        <f aca="false">H313*(1+IF(I$3&lt;=$O$2,$D313,$D313-($D313-$I$292)*MIN(I$3-$O$2,$Q$2)/$Q$2))</f>
        <v>1888.83007824069</v>
      </c>
      <c r="J313" s="15" t="n">
        <f aca="false">I313*(1+IF(J$3&lt;=$O$2,$D313,$D313-($D313-$I$292)*MIN(J$3-$O$2,$Q$2)/$Q$2))</f>
        <v>1823.20639742042</v>
      </c>
      <c r="K313" s="15" t="n">
        <f aca="false">J313*(1+IF(K$3&lt;=$O$2,$D313,$D313-($D313-$I$292)*MIN(K$3-$O$2,$Q$2)/$Q$2))</f>
        <v>1793.15581221358</v>
      </c>
      <c r="L313" s="15" t="n">
        <f aca="false">K313*(1+IF(L$3&lt;=$O$2,$D313,$D313-($D313-$I$292)*MIN(L$3-$O$2,$Q$2)/$Q$2))</f>
        <v>1796.34491257366</v>
      </c>
      <c r="M313" s="15" t="n">
        <f aca="false">L313*(1+IF(M$3&lt;=$O$2,$D313,$D313-($D313-$I$292)*MIN(M$3-$O$2,$Q$2)/$Q$2))</f>
        <v>1832.34230371275</v>
      </c>
      <c r="N313" s="15" t="n">
        <f aca="false">M313*(1+IF(N$3&lt;=$O$2,$D313,$D313-($D313-$I$292)*MIN(N$3-$O$2,$Q$2)/$Q$2))</f>
        <v>1902.52101394495</v>
      </c>
      <c r="O313" s="15" t="n">
        <f aca="false">SUMPRODUCT(E313:N313,1/(1+$F$292)^$E$3:$N$3)*$E$2</f>
        <v>4109.66505509573</v>
      </c>
      <c r="P313" s="15" t="n">
        <f aca="false">N313*$E$2*(1+$I$292)/($F$292-$I$292)/(1+$F$292)^$N$3</f>
        <v>7455.06242559544</v>
      </c>
      <c r="Q313" s="15" t="n">
        <f aca="false">O313+P313</f>
        <v>11564.7274806912</v>
      </c>
      <c r="R313" s="15" t="n">
        <f aca="false">Q313-$G$2+$I$2</f>
        <v>10290.0574806912</v>
      </c>
      <c r="S313" s="42" t="n">
        <f aca="false">R313/$K$2</f>
        <v>289.290342442822</v>
      </c>
      <c r="T313" s="43" t="n">
        <f aca="false">S313-$M$2</f>
        <v>0.00161598794414886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-0.0530052185058594</v>
      </c>
      <c r="C314" s="25" t="n">
        <f aca="false">IF(T313&gt;0,D313,C313)</f>
        <v>-0.0530037879943848</v>
      </c>
      <c r="D314" s="41" t="n">
        <f aca="false">(B314+C314)/2</f>
        <v>-0.0530045032501221</v>
      </c>
      <c r="E314" s="15" t="n">
        <f aca="false">$C$2*(1+IF(E$3&lt;=$O$2,$D314,$D314-($D314-$I$292)*MIN(E$3-$O$2,$Q$2)/$Q$2))</f>
        <v>2348.5488319397</v>
      </c>
      <c r="F314" s="15" t="n">
        <f aca="false">E314*(1+IF(F$3&lt;=$O$2,$D314,$D314-($D314-$I$292)*MIN(F$3-$O$2,$Q$2)/$Q$2))</f>
        <v>2224.06516774408</v>
      </c>
      <c r="G314" s="15" t="n">
        <f aca="false">F314*(1+IF(G$3&lt;=$O$2,$D314,$D314-($D314-$I$292)*MIN(G$3-$O$2,$Q$2)/$Q$2))</f>
        <v>2106.17969833191</v>
      </c>
      <c r="H314" s="15" t="n">
        <f aca="false">G314*(1+IF(H$3&lt;=$O$2,$D314,$D314-($D314-$I$292)*MIN(H$3-$O$2,$Q$2)/$Q$2))</f>
        <v>1994.54268966633</v>
      </c>
      <c r="I314" s="15" t="n">
        <f aca="false">H314*(1+IF(I$3&lt;=$O$2,$D314,$D314-($D314-$I$292)*MIN(I$3-$O$2,$Q$2)/$Q$2))</f>
        <v>1888.8229451894</v>
      </c>
      <c r="J314" s="15" t="n">
        <f aca="false">I314*(1+IF(J$3&lt;=$O$2,$D314,$D314-($D314-$I$292)*MIN(J$3-$O$2,$Q$2)/$Q$2))</f>
        <v>1823.1984313998</v>
      </c>
      <c r="K314" s="15" t="n">
        <f aca="false">J314*(1+IF(K$3&lt;=$O$2,$D314,$D314-($D314-$I$292)*MIN(K$3-$O$2,$Q$2)/$Q$2))</f>
        <v>1793.14719505919</v>
      </c>
      <c r="L314" s="15" t="n">
        <f aca="false">K314*(1+IF(L$3&lt;=$O$2,$D314,$D314-($D314-$I$292)*MIN(L$3-$O$2,$Q$2)/$Q$2))</f>
        <v>1796.33576707027</v>
      </c>
      <c r="M314" s="15" t="n">
        <f aca="false">L314*(1+IF(M$3&lt;=$O$2,$D314,$D314-($D314-$I$292)*MIN(M$3-$O$2,$Q$2)/$Q$2))</f>
        <v>1832.3327179725</v>
      </c>
      <c r="N314" s="15" t="n">
        <f aca="false">M314*(1+IF(N$3&lt;=$O$2,$D314,$D314-($D314-$I$292)*MIN(N$3-$O$2,$Q$2)/$Q$2))</f>
        <v>1902.51106107085</v>
      </c>
      <c r="O314" s="15" t="n">
        <f aca="false">SUMPRODUCT(E314:N314,1/(1+$F$292)^$E$3:$N$3)*$E$2</f>
        <v>4109.65218145392</v>
      </c>
      <c r="P314" s="15" t="n">
        <f aca="false">N314*$E$2*(1+$I$292)/($F$292-$I$292)/(1+$F$292)^$N$3</f>
        <v>7455.02342508131</v>
      </c>
      <c r="Q314" s="15" t="n">
        <f aca="false">O314+P314</f>
        <v>11564.6756065352</v>
      </c>
      <c r="R314" s="15" t="n">
        <f aca="false">Q314-$G$2+$I$2</f>
        <v>10290.0056065352</v>
      </c>
      <c r="S314" s="42" t="n">
        <f aca="false">R314/$K$2</f>
        <v>289.288884074648</v>
      </c>
      <c r="T314" s="43" t="n">
        <f aca="false">S314-$M$2</f>
        <v>0.000157619770561723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-0.0530052185058594</v>
      </c>
      <c r="C315" s="25" t="n">
        <f aca="false">IF(T314&gt;0,D314,C314)</f>
        <v>-0.0530045032501221</v>
      </c>
      <c r="D315" s="41" t="n">
        <f aca="false">(B315+C315)/2</f>
        <v>-0.0530048608779907</v>
      </c>
      <c r="E315" s="15" t="n">
        <f aca="false">$C$2*(1+IF(E$3&lt;=$O$2,$D315,$D315-($D315-$I$292)*MIN(E$3-$O$2,$Q$2)/$Q$2))</f>
        <v>2348.54794502258</v>
      </c>
      <c r="F315" s="15" t="n">
        <f aca="false">E315*(1+IF(F$3&lt;=$O$2,$D315,$D315-($D315-$I$292)*MIN(F$3-$O$2,$Q$2)/$Q$2))</f>
        <v>2224.06348793137</v>
      </c>
      <c r="G315" s="15" t="n">
        <f aca="false">F315*(1+IF(G$3&lt;=$O$2,$D315,$D315-($D315-$I$292)*MIN(G$3-$O$2,$Q$2)/$Q$2))</f>
        <v>2106.17731216975</v>
      </c>
      <c r="H315" s="15" t="n">
        <f aca="false">G315*(1+IF(H$3&lt;=$O$2,$D315,$D315-($D315-$I$292)*MIN(H$3-$O$2,$Q$2)/$Q$2))</f>
        <v>1994.53967675381</v>
      </c>
      <c r="I315" s="15" t="n">
        <f aca="false">H315*(1+IF(I$3&lt;=$O$2,$D315,$D315-($D315-$I$292)*MIN(I$3-$O$2,$Q$2)/$Q$2))</f>
        <v>1888.81937867184</v>
      </c>
      <c r="J315" s="15" t="n">
        <f aca="false">I315*(1+IF(J$3&lt;=$O$2,$D315,$D315-($D315-$I$292)*MIN(J$3-$O$2,$Q$2)/$Q$2))</f>
        <v>1823.19444840035</v>
      </c>
      <c r="K315" s="15" t="n">
        <f aca="false">J315*(1+IF(K$3&lt;=$O$2,$D315,$D315-($D315-$I$292)*MIN(K$3-$O$2,$Q$2)/$Q$2))</f>
        <v>1793.14288649525</v>
      </c>
      <c r="L315" s="15" t="n">
        <f aca="false">K315*(1+IF(L$3&lt;=$O$2,$D315,$D315-($D315-$I$292)*MIN(L$3-$O$2,$Q$2)/$Q$2))</f>
        <v>1796.33119433369</v>
      </c>
      <c r="M315" s="15" t="n">
        <f aca="false">L315*(1+IF(M$3&lt;=$O$2,$D315,$D315-($D315-$I$292)*MIN(M$3-$O$2,$Q$2)/$Q$2))</f>
        <v>1832.32792511879</v>
      </c>
      <c r="N315" s="15" t="n">
        <f aca="false">M315*(1+IF(N$3&lt;=$O$2,$D315,$D315-($D315-$I$292)*MIN(N$3-$O$2,$Q$2)/$Q$2))</f>
        <v>1902.50608465084</v>
      </c>
      <c r="O315" s="15" t="n">
        <f aca="false">SUMPRODUCT(E315:N315,1/(1+$F$292)^$E$3:$N$3)*$E$2</f>
        <v>4109.64574464873</v>
      </c>
      <c r="P315" s="15" t="n">
        <f aca="false">N315*$E$2*(1+$I$292)/($F$292-$I$292)/(1+$F$292)^$N$3</f>
        <v>7455.00392489099</v>
      </c>
      <c r="Q315" s="15" t="n">
        <f aca="false">O315+P315</f>
        <v>11564.6496695397</v>
      </c>
      <c r="R315" s="15" t="n">
        <f aca="false">Q315-$G$2+$I$2</f>
        <v>10289.9796695397</v>
      </c>
      <c r="S315" s="42" t="n">
        <f aca="false">R315/$K$2</f>
        <v>289.288154892879</v>
      </c>
      <c r="T315" s="43" t="n">
        <f aca="false">S315-$M$2</f>
        <v>-0.000571561998242487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-0.0530048608779907</v>
      </c>
      <c r="C316" s="25" t="n">
        <f aca="false">IF(T315&gt;0,D315,C315)</f>
        <v>-0.0530045032501221</v>
      </c>
      <c r="D316" s="41" t="n">
        <f aca="false">(B316+C316)/2</f>
        <v>-0.0530046820640564</v>
      </c>
      <c r="E316" s="15" t="n">
        <f aca="false">$C$2*(1+IF(E$3&lt;=$O$2,$D316,$D316-($D316-$I$292)*MIN(E$3-$O$2,$Q$2)/$Q$2))</f>
        <v>2348.54838848114</v>
      </c>
      <c r="F316" s="15" t="n">
        <f aca="false">E316*(1+IF(F$3&lt;=$O$2,$D316,$D316-($D316-$I$292)*MIN(F$3-$O$2,$Q$2)/$Q$2))</f>
        <v>2224.06432783765</v>
      </c>
      <c r="G316" s="15" t="n">
        <f aca="false">F316*(1+IF(G$3&lt;=$O$2,$D316,$D316-($D316-$I$292)*MIN(G$3-$O$2,$Q$2)/$Q$2))</f>
        <v>2106.1785052506</v>
      </c>
      <c r="H316" s="15" t="n">
        <f aca="false">G316*(1+IF(H$3&lt;=$O$2,$D316,$D316-($D316-$I$292)*MIN(H$3-$O$2,$Q$2)/$Q$2))</f>
        <v>1994.54118320964</v>
      </c>
      <c r="I316" s="15" t="n">
        <f aca="false">H316*(1+IF(I$3&lt;=$O$2,$D316,$D316-($D316-$I$292)*MIN(I$3-$O$2,$Q$2)/$Q$2))</f>
        <v>1888.82116192995</v>
      </c>
      <c r="J316" s="15" t="n">
        <f aca="false">I316*(1+IF(J$3&lt;=$O$2,$D316,$D316-($D316-$I$292)*MIN(J$3-$O$2,$Q$2)/$Q$2))</f>
        <v>1823.19643989917</v>
      </c>
      <c r="K316" s="15" t="n">
        <f aca="false">J316*(1+IF(K$3&lt;=$O$2,$D316,$D316-($D316-$I$292)*MIN(K$3-$O$2,$Q$2)/$Q$2))</f>
        <v>1793.14504077612</v>
      </c>
      <c r="L316" s="15" t="n">
        <f aca="false">K316*(1+IF(L$3&lt;=$O$2,$D316,$D316-($D316-$I$292)*MIN(L$3-$O$2,$Q$2)/$Q$2))</f>
        <v>1796.33348070072</v>
      </c>
      <c r="M316" s="15" t="n">
        <f aca="false">L316*(1+IF(M$3&lt;=$O$2,$D316,$D316-($D316-$I$292)*MIN(M$3-$O$2,$Q$2)/$Q$2))</f>
        <v>1832.33032154428</v>
      </c>
      <c r="N316" s="15" t="n">
        <f aca="false">M316*(1+IF(N$3&lt;=$O$2,$D316,$D316-($D316-$I$292)*MIN(N$3-$O$2,$Q$2)/$Q$2))</f>
        <v>1902.50857285943</v>
      </c>
      <c r="O316" s="15" t="n">
        <f aca="false">SUMPRODUCT(E316:N316,1/(1+$F$292)^$E$3:$N$3)*$E$2</f>
        <v>4109.64896305002</v>
      </c>
      <c r="P316" s="15" t="n">
        <f aca="false">N316*$E$2*(1+$I$292)/($F$292-$I$292)/(1+$F$292)^$N$3</f>
        <v>7455.01367498059</v>
      </c>
      <c r="Q316" s="15" t="n">
        <f aca="false">O316+P316</f>
        <v>11564.6626380306</v>
      </c>
      <c r="R316" s="15" t="n">
        <f aca="false">Q316-$G$2+$I$2</f>
        <v>10289.9926380306</v>
      </c>
      <c r="S316" s="42" t="n">
        <f aca="false">R316/$K$2</f>
        <v>289.288519483571</v>
      </c>
      <c r="T316" s="43" t="n">
        <f aca="false">S316-$M$2</f>
        <v>-0.000206971306965897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-0.0530046820640564</v>
      </c>
      <c r="C317" s="25" t="n">
        <f aca="false">IF(T316&gt;0,D316,C316)</f>
        <v>-0.0530045032501221</v>
      </c>
      <c r="D317" s="41" t="n">
        <f aca="false">(B317+C317)/2</f>
        <v>-0.0530045926570892</v>
      </c>
      <c r="E317" s="15" t="n">
        <f aca="false">$C$2*(1+IF(E$3&lt;=$O$2,$D317,$D317-($D317-$I$292)*MIN(E$3-$O$2,$Q$2)/$Q$2))</f>
        <v>2348.54861021042</v>
      </c>
      <c r="F317" s="15" t="n">
        <f aca="false">E317*(1+IF(F$3&lt;=$O$2,$D317,$D317-($D317-$I$292)*MIN(F$3-$O$2,$Q$2)/$Q$2))</f>
        <v>2224.06474779084</v>
      </c>
      <c r="G317" s="15" t="n">
        <f aca="false">F317*(1+IF(G$3&lt;=$O$2,$D317,$D317-($D317-$I$292)*MIN(G$3-$O$2,$Q$2)/$Q$2))</f>
        <v>2106.1791017912</v>
      </c>
      <c r="H317" s="15" t="n">
        <f aca="false">G317*(1+IF(H$3&lt;=$O$2,$D317,$D317-($D317-$I$292)*MIN(H$3-$O$2,$Q$2)/$Q$2))</f>
        <v>1994.54193643788</v>
      </c>
      <c r="I317" s="15" t="n">
        <f aca="false">H317*(1+IF(I$3&lt;=$O$2,$D317,$D317-($D317-$I$292)*MIN(I$3-$O$2,$Q$2)/$Q$2))</f>
        <v>1888.82205355951</v>
      </c>
      <c r="J317" s="15" t="n">
        <f aca="false">I317*(1+IF(J$3&lt;=$O$2,$D317,$D317-($D317-$I$292)*MIN(J$3-$O$2,$Q$2)/$Q$2))</f>
        <v>1823.19743564926</v>
      </c>
      <c r="K317" s="15" t="n">
        <f aca="false">J317*(1+IF(K$3&lt;=$O$2,$D317,$D317-($D317-$I$292)*MIN(K$3-$O$2,$Q$2)/$Q$2))</f>
        <v>1793.14611791738</v>
      </c>
      <c r="L317" s="15" t="n">
        <f aca="false">K317*(1+IF(L$3&lt;=$O$2,$D317,$D317-($D317-$I$292)*MIN(L$3-$O$2,$Q$2)/$Q$2))</f>
        <v>1796.33462388518</v>
      </c>
      <c r="M317" s="15" t="n">
        <f aca="false">L317*(1+IF(M$3&lt;=$O$2,$D317,$D317-($D317-$I$292)*MIN(M$3-$O$2,$Q$2)/$Q$2))</f>
        <v>1832.33151975805</v>
      </c>
      <c r="N317" s="15" t="n">
        <f aca="false">M317*(1+IF(N$3&lt;=$O$2,$D317,$D317-($D317-$I$292)*MIN(N$3-$O$2,$Q$2)/$Q$2))</f>
        <v>1902.50981696478</v>
      </c>
      <c r="O317" s="15" t="n">
        <f aca="false">SUMPRODUCT(E317:N317,1/(1+$F$292)^$E$3:$N$3)*$E$2</f>
        <v>4109.65057225164</v>
      </c>
      <c r="P317" s="15" t="n">
        <f aca="false">N317*$E$2*(1+$I$292)/($F$292-$I$292)/(1+$F$292)^$N$3</f>
        <v>7455.01855002956</v>
      </c>
      <c r="Q317" s="15" t="n">
        <f aca="false">O317+P317</f>
        <v>11564.6691222812</v>
      </c>
      <c r="R317" s="15" t="n">
        <f aca="false">Q317-$G$2+$I$2</f>
        <v>10289.9991222812</v>
      </c>
      <c r="S317" s="42" t="n">
        <f aca="false">R317/$K$2</f>
        <v>289.288701779061</v>
      </c>
      <c r="T317" s="43" t="n">
        <f aca="false">S317-$M$2</f>
        <v>-2.46758164621497E-005</v>
      </c>
    </row>
    <row r="319" customFormat="false" ht="15" hidden="false" customHeight="false" outlineLevel="0" collapsed="false">
      <c r="A319" s="38" t="s">
        <v>195</v>
      </c>
      <c r="E319" s="5" t="s">
        <v>11</v>
      </c>
      <c r="F319" s="12" t="n">
        <f aca="false">Sensitivity!$B$12</f>
        <v>0.0814218415038925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8" t="s">
        <v>165</v>
      </c>
      <c r="B320" s="28" t="s">
        <v>166</v>
      </c>
      <c r="C320" s="28" t="s">
        <v>167</v>
      </c>
      <c r="D320" s="28" t="s">
        <v>168</v>
      </c>
      <c r="E320" s="28" t="s">
        <v>169</v>
      </c>
      <c r="F320" s="28" t="s">
        <v>170</v>
      </c>
      <c r="G320" s="28" t="s">
        <v>171</v>
      </c>
      <c r="H320" s="28" t="s">
        <v>172</v>
      </c>
      <c r="I320" s="28" t="s">
        <v>173</v>
      </c>
      <c r="J320" s="28" t="s">
        <v>174</v>
      </c>
      <c r="K320" s="28" t="s">
        <v>175</v>
      </c>
      <c r="L320" s="28" t="s">
        <v>176</v>
      </c>
      <c r="M320" s="28" t="s">
        <v>177</v>
      </c>
      <c r="N320" s="28" t="s">
        <v>178</v>
      </c>
      <c r="O320" s="28" t="s">
        <v>179</v>
      </c>
      <c r="P320" s="28" t="s">
        <v>180</v>
      </c>
      <c r="Q320" s="28" t="s">
        <v>181</v>
      </c>
      <c r="R320" s="28" t="s">
        <v>182</v>
      </c>
      <c r="S320" s="28" t="s">
        <v>183</v>
      </c>
      <c r="T320" s="28" t="s">
        <v>184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41" t="n">
        <f aca="false">(B321+C321)/2</f>
        <v>0.25</v>
      </c>
      <c r="E321" s="15" t="n">
        <f aca="false">$C$2*(1+IF(E$3&lt;=$O$2,$D321,$D321-($D321-$I$319)*MIN(E$3-$O$2,$Q$2)/$Q$2))</f>
        <v>3100</v>
      </c>
      <c r="F321" s="15" t="n">
        <f aca="false">E321*(1+IF(F$3&lt;=$O$2,$D321,$D321-($D321-$I$319)*MIN(F$3-$O$2,$Q$2)/$Q$2))</f>
        <v>3875</v>
      </c>
      <c r="G321" s="15" t="n">
        <f aca="false">F321*(1+IF(G$3&lt;=$O$2,$D321,$D321-($D321-$I$319)*MIN(G$3-$O$2,$Q$2)/$Q$2))</f>
        <v>4843.75</v>
      </c>
      <c r="H321" s="15" t="n">
        <f aca="false">G321*(1+IF(H$3&lt;=$O$2,$D321,$D321-($D321-$I$319)*MIN(H$3-$O$2,$Q$2)/$Q$2))</f>
        <v>6054.6875</v>
      </c>
      <c r="I321" s="15" t="n">
        <f aca="false">H321*(1+IF(I$3&lt;=$O$2,$D321,$D321-($D321-$I$319)*MIN(I$3-$O$2,$Q$2)/$Q$2))</f>
        <v>7568.359375</v>
      </c>
      <c r="J321" s="15" t="n">
        <f aca="false">I321*(1+IF(J$3&lt;=$O$2,$D321,$D321-($D321-$I$319)*MIN(J$3-$O$2,$Q$2)/$Q$2))</f>
        <v>9109.7314453125</v>
      </c>
      <c r="K321" s="15" t="n">
        <f aca="false">J321*(1+IF(K$3&lt;=$O$2,$D321,$D321-($D321-$I$319)*MIN(K$3-$O$2,$Q$2)/$Q$2))</f>
        <v>10542.8743962891</v>
      </c>
      <c r="L321" s="15" t="n">
        <f aca="false">K321*(1+IF(L$3&lt;=$O$2,$D321,$D321-($D321-$I$319)*MIN(L$3-$O$2,$Q$2)/$Q$2))</f>
        <v>11712.9225967892</v>
      </c>
      <c r="M321" s="15" t="n">
        <f aca="false">L321*(1+IF(M$3&lt;=$O$2,$D321,$D321-($D321-$I$319)*MIN(M$3-$O$2,$Q$2)/$Q$2))</f>
        <v>12470.0459134457</v>
      </c>
      <c r="N321" s="15" t="n">
        <f aca="false">M321*(1+IF(N$3&lt;=$O$2,$D321,$D321-($D321-$I$319)*MIN(N$3-$O$2,$Q$2)/$Q$2))</f>
        <v>12698.2477536617</v>
      </c>
      <c r="O321" s="15" t="n">
        <f aca="false">SUMPRODUCT(E321:N321,1/(1+$F$319)^$E$3:$N$3)*$E$2</f>
        <v>14896.1161045935</v>
      </c>
      <c r="P321" s="15" t="n">
        <f aca="false">N321*$E$2*(1+$I$319)/($F$319-$I$319)/(1+$F$319)^$N$3</f>
        <v>28137.5555235512</v>
      </c>
      <c r="Q321" s="15" t="n">
        <f aca="false">O321+P321</f>
        <v>43033.6716281447</v>
      </c>
      <c r="R321" s="15" t="n">
        <f aca="false">Q321-$G$2+$I$2</f>
        <v>41759.0016281447</v>
      </c>
      <c r="S321" s="42" t="n">
        <f aca="false">R321/$K$2</f>
        <v>1173.99498532878</v>
      </c>
      <c r="T321" s="43" t="n">
        <f aca="false">S321-$M$2</f>
        <v>884.706258873901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41" t="n">
        <f aca="false">(B322+C322)/2</f>
        <v>-0.125</v>
      </c>
      <c r="E322" s="15" t="n">
        <f aca="false">$C$2*(1+IF(E$3&lt;=$O$2,$D322,$D322-($D322-$I$319)*MIN(E$3-$O$2,$Q$2)/$Q$2))</f>
        <v>2170</v>
      </c>
      <c r="F322" s="15" t="n">
        <f aca="false">E322*(1+IF(F$3&lt;=$O$2,$D322,$D322-($D322-$I$319)*MIN(F$3-$O$2,$Q$2)/$Q$2))</f>
        <v>1898.75</v>
      </c>
      <c r="G322" s="15" t="n">
        <f aca="false">F322*(1+IF(G$3&lt;=$O$2,$D322,$D322-($D322-$I$319)*MIN(G$3-$O$2,$Q$2)/$Q$2))</f>
        <v>1661.40625</v>
      </c>
      <c r="H322" s="15" t="n">
        <f aca="false">G322*(1+IF(H$3&lt;=$O$2,$D322,$D322-($D322-$I$319)*MIN(H$3-$O$2,$Q$2)/$Q$2))</f>
        <v>1453.73046875</v>
      </c>
      <c r="I322" s="15" t="n">
        <f aca="false">H322*(1+IF(I$3&lt;=$O$2,$D322,$D322-($D322-$I$319)*MIN(I$3-$O$2,$Q$2)/$Q$2))</f>
        <v>1272.01416015625</v>
      </c>
      <c r="J322" s="15" t="n">
        <f aca="false">I322*(1+IF(J$3&lt;=$O$2,$D322,$D322-($D322-$I$319)*MIN(J$3-$O$2,$Q$2)/$Q$2))</f>
        <v>1149.4683159668</v>
      </c>
      <c r="K322" s="15" t="n">
        <f aca="false">J322*(1+IF(K$3&lt;=$O$2,$D322,$D322-($D322-$I$319)*MIN(K$3-$O$2,$Q$2)/$Q$2))</f>
        <v>1071.67230034216</v>
      </c>
      <c r="L322" s="15" t="n">
        <f aca="false">K322*(1+IF(L$3&lt;=$O$2,$D322,$D322-($D322-$I$319)*MIN(L$3-$O$2,$Q$2)/$Q$2))</f>
        <v>1029.85564718281</v>
      </c>
      <c r="M322" s="15" t="n">
        <f aca="false">L322*(1+IF(M$3&lt;=$O$2,$D322,$D322-($D322-$I$319)*MIN(M$3-$O$2,$Q$2)/$Q$2))</f>
        <v>1019.186342678</v>
      </c>
      <c r="N322" s="15" t="n">
        <f aca="false">M322*(1+IF(N$3&lt;=$O$2,$D322,$D322-($D322-$I$319)*MIN(N$3-$O$2,$Q$2)/$Q$2))</f>
        <v>1037.83745274901</v>
      </c>
      <c r="O322" s="15" t="n">
        <f aca="false">SUMPRODUCT(E322:N322,1/(1+$F$319)^$E$3:$N$3)*$E$2</f>
        <v>2924.73924963985</v>
      </c>
      <c r="P322" s="15" t="n">
        <f aca="false">N322*$E$2*(1+$I$319)/($F$319-$I$319)/(1+$F$319)^$N$3</f>
        <v>2299.70382667366</v>
      </c>
      <c r="Q322" s="15" t="n">
        <f aca="false">O322+P322</f>
        <v>5224.4430763135</v>
      </c>
      <c r="R322" s="15" t="n">
        <f aca="false">Q322-$G$2+$I$2</f>
        <v>3949.7730763135</v>
      </c>
      <c r="S322" s="42" t="n">
        <f aca="false">R322/$K$2</f>
        <v>111.04225685447</v>
      </c>
      <c r="T322" s="43" t="n">
        <f aca="false">S322-$M$2</f>
        <v>-178.246469600408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41" t="n">
        <f aca="false">(B323+C323)/2</f>
        <v>0.0625</v>
      </c>
      <c r="E323" s="15" t="n">
        <f aca="false">$C$2*(1+IF(E$3&lt;=$O$2,$D323,$D323-($D323-$I$319)*MIN(E$3-$O$2,$Q$2)/$Q$2))</f>
        <v>2635</v>
      </c>
      <c r="F323" s="15" t="n">
        <f aca="false">E323*(1+IF(F$3&lt;=$O$2,$D323,$D323-($D323-$I$319)*MIN(F$3-$O$2,$Q$2)/$Q$2))</f>
        <v>2799.6875</v>
      </c>
      <c r="G323" s="15" t="n">
        <f aca="false">F323*(1+IF(G$3&lt;=$O$2,$D323,$D323-($D323-$I$319)*MIN(G$3-$O$2,$Q$2)/$Q$2))</f>
        <v>2974.66796875</v>
      </c>
      <c r="H323" s="15" t="n">
        <f aca="false">G323*(1+IF(H$3&lt;=$O$2,$D323,$D323-($D323-$I$319)*MIN(H$3-$O$2,$Q$2)/$Q$2))</f>
        <v>3160.58471679688</v>
      </c>
      <c r="I323" s="15" t="n">
        <f aca="false">H323*(1+IF(I$3&lt;=$O$2,$D323,$D323-($D323-$I$319)*MIN(I$3-$O$2,$Q$2)/$Q$2))</f>
        <v>3358.12126159668</v>
      </c>
      <c r="J323" s="15" t="n">
        <f aca="false">I323*(1+IF(J$3&lt;=$O$2,$D323,$D323-($D323-$I$319)*MIN(J$3-$O$2,$Q$2)/$Q$2))</f>
        <v>3538.31804849396</v>
      </c>
      <c r="K323" s="15" t="n">
        <f aca="false">J323*(1+IF(K$3&lt;=$O$2,$D323,$D323-($D323-$I$319)*MIN(K$3-$O$2,$Q$2)/$Q$2))</f>
        <v>3696.90546342746</v>
      </c>
      <c r="L323" s="15" t="n">
        <f aca="false">K323*(1+IF(L$3&lt;=$O$2,$D323,$D323-($D323-$I$319)*MIN(L$3-$O$2,$Q$2)/$Q$2))</f>
        <v>3829.92012200158</v>
      </c>
      <c r="M323" s="15" t="n">
        <f aca="false">L323*(1+IF(M$3&lt;=$O$2,$D323,$D323-($D323-$I$319)*MIN(M$3-$O$2,$Q$2)/$Q$2))</f>
        <v>3933.8641541127</v>
      </c>
      <c r="N323" s="15" t="n">
        <f aca="false">M323*(1+IF(N$3&lt;=$O$2,$D323,$D323-($D323-$I$319)*MIN(N$3-$O$2,$Q$2)/$Q$2))</f>
        <v>4005.85386813296</v>
      </c>
      <c r="O323" s="15" t="n">
        <f aca="false">SUMPRODUCT(E323:N323,1/(1+$F$319)^$E$3:$N$3)*$E$2</f>
        <v>6591.40204435095</v>
      </c>
      <c r="P323" s="15" t="n">
        <f aca="false">N323*$E$2*(1+$I$319)/($F$319-$I$319)/(1+$F$319)^$N$3</f>
        <v>8876.41648048017</v>
      </c>
      <c r="Q323" s="15" t="n">
        <f aca="false">O323+P323</f>
        <v>15467.8185248311</v>
      </c>
      <c r="R323" s="15" t="n">
        <f aca="false">Q323-$G$2+$I$2</f>
        <v>14193.1485248311</v>
      </c>
      <c r="S323" s="42" t="n">
        <f aca="false">R323/$K$2</f>
        <v>399.020200304502</v>
      </c>
      <c r="T323" s="43" t="n">
        <f aca="false">S323-$M$2</f>
        <v>109.731473849624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-0.125</v>
      </c>
      <c r="C324" s="25" t="n">
        <f aca="false">IF(T323&gt;0,D323,C323)</f>
        <v>0.0625</v>
      </c>
      <c r="D324" s="41" t="n">
        <f aca="false">(B324+C324)/2</f>
        <v>-0.03125</v>
      </c>
      <c r="E324" s="15" t="n">
        <f aca="false">$C$2*(1+IF(E$3&lt;=$O$2,$D324,$D324-($D324-$I$319)*MIN(E$3-$O$2,$Q$2)/$Q$2))</f>
        <v>2402.5</v>
      </c>
      <c r="F324" s="15" t="n">
        <f aca="false">E324*(1+IF(F$3&lt;=$O$2,$D324,$D324-($D324-$I$319)*MIN(F$3-$O$2,$Q$2)/$Q$2))</f>
        <v>2327.421875</v>
      </c>
      <c r="G324" s="15" t="n">
        <f aca="false">F324*(1+IF(G$3&lt;=$O$2,$D324,$D324-($D324-$I$319)*MIN(G$3-$O$2,$Q$2)/$Q$2))</f>
        <v>2254.68994140625</v>
      </c>
      <c r="H324" s="15" t="n">
        <f aca="false">G324*(1+IF(H$3&lt;=$O$2,$D324,$D324-($D324-$I$319)*MIN(H$3-$O$2,$Q$2)/$Q$2))</f>
        <v>2184.2308807373</v>
      </c>
      <c r="I324" s="15" t="n">
        <f aca="false">H324*(1+IF(I$3&lt;=$O$2,$D324,$D324-($D324-$I$319)*MIN(I$3-$O$2,$Q$2)/$Q$2))</f>
        <v>2115.97366571426</v>
      </c>
      <c r="J324" s="15" t="n">
        <f aca="false">I324*(1+IF(J$3&lt;=$O$2,$D324,$D324-($D324-$I$319)*MIN(J$3-$O$2,$Q$2)/$Q$2))</f>
        <v>2070.81878768792</v>
      </c>
      <c r="K324" s="15" t="n">
        <f aca="false">J324*(1+IF(K$3&lt;=$O$2,$D324,$D324-($D324-$I$319)*MIN(K$3-$O$2,$Q$2)/$Q$2))</f>
        <v>2047.14932894465</v>
      </c>
      <c r="L324" s="15" t="n">
        <f aca="false">K324*(1+IF(L$3&lt;=$O$2,$D324,$D324-($D324-$I$319)*MIN(L$3-$O$2,$Q$2)/$Q$2))</f>
        <v>2044.03766196465</v>
      </c>
      <c r="M324" s="15" t="n">
        <f aca="false">L324*(1+IF(M$3&lt;=$O$2,$D324,$D324-($D324-$I$319)*MIN(M$3-$O$2,$Q$2)/$Q$2))</f>
        <v>2061.18713794854</v>
      </c>
      <c r="N324" s="15" t="n">
        <f aca="false">M324*(1+IF(N$3&lt;=$O$2,$D324,$D324-($D324-$I$319)*MIN(N$3-$O$2,$Q$2)/$Q$2))</f>
        <v>2098.90686257299</v>
      </c>
      <c r="O324" s="15" t="n">
        <f aca="false">SUMPRODUCT(E324:N324,1/(1+$F$319)^$E$3:$N$3)*$E$2</f>
        <v>4378.33568263378</v>
      </c>
      <c r="P324" s="15" t="n">
        <f aca="false">N324*$E$2*(1+$I$319)/($F$319-$I$319)/(1+$F$319)^$N$3</f>
        <v>4650.88644749272</v>
      </c>
      <c r="Q324" s="15" t="n">
        <f aca="false">O324+P324</f>
        <v>9029.22213012649</v>
      </c>
      <c r="R324" s="15" t="n">
        <f aca="false">Q324-$G$2+$I$2</f>
        <v>7754.55213012649</v>
      </c>
      <c r="S324" s="42" t="n">
        <f aca="false">R324/$K$2</f>
        <v>218.008212823348</v>
      </c>
      <c r="T324" s="43" t="n">
        <f aca="false">S324-$M$2</f>
        <v>-71.2805136315295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-0.03125</v>
      </c>
      <c r="C325" s="25" t="n">
        <f aca="false">IF(T324&gt;0,D324,C324)</f>
        <v>0.0625</v>
      </c>
      <c r="D325" s="41" t="n">
        <f aca="false">(B325+C325)/2</f>
        <v>0.015625</v>
      </c>
      <c r="E325" s="15" t="n">
        <f aca="false">$C$2*(1+IF(E$3&lt;=$O$2,$D325,$D325-($D325-$I$319)*MIN(E$3-$O$2,$Q$2)/$Q$2))</f>
        <v>2518.75</v>
      </c>
      <c r="F325" s="15" t="n">
        <f aca="false">E325*(1+IF(F$3&lt;=$O$2,$D325,$D325-($D325-$I$319)*MIN(F$3-$O$2,$Q$2)/$Q$2))</f>
        <v>2558.10546875</v>
      </c>
      <c r="G325" s="15" t="n">
        <f aca="false">F325*(1+IF(G$3&lt;=$O$2,$D325,$D325-($D325-$I$319)*MIN(G$3-$O$2,$Q$2)/$Q$2))</f>
        <v>2598.07586669922</v>
      </c>
      <c r="H325" s="15" t="n">
        <f aca="false">G325*(1+IF(H$3&lt;=$O$2,$D325,$D325-($D325-$I$319)*MIN(H$3-$O$2,$Q$2)/$Q$2))</f>
        <v>2638.67080211639</v>
      </c>
      <c r="I325" s="15" t="n">
        <f aca="false">H325*(1+IF(I$3&lt;=$O$2,$D325,$D325-($D325-$I$319)*MIN(I$3-$O$2,$Q$2)/$Q$2))</f>
        <v>2679.90003339946</v>
      </c>
      <c r="J325" s="15" t="n">
        <f aca="false">I325*(1+IF(J$3&lt;=$O$2,$D325,$D325-($D325-$I$319)*MIN(J$3-$O$2,$Q$2)/$Q$2))</f>
        <v>2723.2072179392</v>
      </c>
      <c r="K325" s="15" t="n">
        <f aca="false">J325*(1+IF(K$3&lt;=$O$2,$D325,$D325-($D325-$I$319)*MIN(K$3-$O$2,$Q$2)/$Q$2))</f>
        <v>2768.67116244269</v>
      </c>
      <c r="L325" s="15" t="n">
        <f aca="false">K325*(1+IF(L$3&lt;=$O$2,$D325,$D325-($D325-$I$319)*MIN(L$3-$O$2,$Q$2)/$Q$2))</f>
        <v>2816.37536657158</v>
      </c>
      <c r="M325" s="15" t="n">
        <f aca="false">L325*(1+IF(M$3&lt;=$O$2,$D325,$D325-($D325-$I$319)*MIN(M$3-$O$2,$Q$2)/$Q$2))</f>
        <v>2866.40827495872</v>
      </c>
      <c r="N325" s="15" t="n">
        <f aca="false">M325*(1+IF(N$3&lt;=$O$2,$D325,$D325-($D325-$I$319)*MIN(N$3-$O$2,$Q$2)/$Q$2))</f>
        <v>2918.86354639047</v>
      </c>
      <c r="O325" s="15" t="n">
        <f aca="false">SUMPRODUCT(E325:N325,1/(1+$F$319)^$E$3:$N$3)*$E$2</f>
        <v>5370.07585153381</v>
      </c>
      <c r="P325" s="15" t="n">
        <f aca="false">N325*$E$2*(1+$I$319)/($F$319-$I$319)/(1+$F$319)^$N$3</f>
        <v>6467.79671459378</v>
      </c>
      <c r="Q325" s="15" t="n">
        <f aca="false">O325+P325</f>
        <v>11837.8725661276</v>
      </c>
      <c r="R325" s="15" t="n">
        <f aca="false">Q325-$G$2+$I$2</f>
        <v>10563.2025661276</v>
      </c>
      <c r="S325" s="42" t="n">
        <f aca="false">R325/$K$2</f>
        <v>296.969428342075</v>
      </c>
      <c r="T325" s="43" t="n">
        <f aca="false">S325-$M$2</f>
        <v>7.6807018871969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-0.03125</v>
      </c>
      <c r="C326" s="25" t="n">
        <f aca="false">IF(T325&gt;0,D325,C325)</f>
        <v>0.015625</v>
      </c>
      <c r="D326" s="41" t="n">
        <f aca="false">(B326+C326)/2</f>
        <v>-0.0078125</v>
      </c>
      <c r="E326" s="15" t="n">
        <f aca="false">$C$2*(1+IF(E$3&lt;=$O$2,$D326,$D326-($D326-$I$319)*MIN(E$3-$O$2,$Q$2)/$Q$2))</f>
        <v>2460.625</v>
      </c>
      <c r="F326" s="15" t="n">
        <f aca="false">E326*(1+IF(F$3&lt;=$O$2,$D326,$D326-($D326-$I$319)*MIN(F$3-$O$2,$Q$2)/$Q$2))</f>
        <v>2441.4013671875</v>
      </c>
      <c r="G326" s="15" t="n">
        <f aca="false">F326*(1+IF(G$3&lt;=$O$2,$D326,$D326-($D326-$I$319)*MIN(G$3-$O$2,$Q$2)/$Q$2))</f>
        <v>2422.32791900635</v>
      </c>
      <c r="H326" s="15" t="n">
        <f aca="false">G326*(1+IF(H$3&lt;=$O$2,$D326,$D326-($D326-$I$319)*MIN(H$3-$O$2,$Q$2)/$Q$2))</f>
        <v>2403.40348213911</v>
      </c>
      <c r="I326" s="15" t="n">
        <f aca="false">H326*(1+IF(I$3&lt;=$O$2,$D326,$D326-($D326-$I$319)*MIN(I$3-$O$2,$Q$2)/$Q$2))</f>
        <v>2384.6268924349</v>
      </c>
      <c r="J326" s="15" t="n">
        <f aca="false">I326*(1+IF(J$3&lt;=$O$2,$D326,$D326-($D326-$I$319)*MIN(J$3-$O$2,$Q$2)/$Q$2))</f>
        <v>2378.45070878349</v>
      </c>
      <c r="K326" s="15" t="n">
        <f aca="false">J326*(1+IF(K$3&lt;=$O$2,$D326,$D326-($D326-$I$319)*MIN(K$3-$O$2,$Q$2)/$Q$2))</f>
        <v>2384.71198027437</v>
      </c>
      <c r="L326" s="15" t="n">
        <f aca="false">K326*(1+IF(L$3&lt;=$O$2,$D326,$D326-($D326-$I$319)*MIN(L$3-$O$2,$Q$2)/$Q$2))</f>
        <v>2403.44389287942</v>
      </c>
      <c r="M326" s="15" t="n">
        <f aca="false">L326*(1+IF(M$3&lt;=$O$2,$D326,$D326-($D326-$I$319)*MIN(M$3-$O$2,$Q$2)/$Q$2))</f>
        <v>2434.87493038855</v>
      </c>
      <c r="N326" s="15" t="n">
        <f aca="false">M326*(1+IF(N$3&lt;=$O$2,$D326,$D326-($D326-$I$319)*MIN(N$3-$O$2,$Q$2)/$Q$2))</f>
        <v>2479.43314161466</v>
      </c>
      <c r="O326" s="15" t="n">
        <f aca="false">SUMPRODUCT(E326:N326,1/(1+$F$319)^$E$3:$N$3)*$E$2</f>
        <v>4848.26301449887</v>
      </c>
      <c r="P326" s="15" t="n">
        <f aca="false">N326*$E$2*(1+$I$319)/($F$319-$I$319)/(1+$F$319)^$N$3</f>
        <v>5494.0798953145</v>
      </c>
      <c r="Q326" s="15" t="n">
        <f aca="false">O326+P326</f>
        <v>10342.3429098134</v>
      </c>
      <c r="R326" s="15" t="n">
        <f aca="false">Q326-$G$2+$I$2</f>
        <v>9067.67290981337</v>
      </c>
      <c r="S326" s="42" t="n">
        <f aca="false">R326/$K$2</f>
        <v>254.924737413927</v>
      </c>
      <c r="T326" s="43" t="n">
        <f aca="false">S326-$M$2</f>
        <v>-34.3639890409511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-0.0078125</v>
      </c>
      <c r="C327" s="25" t="n">
        <f aca="false">IF(T326&gt;0,D326,C326)</f>
        <v>0.015625</v>
      </c>
      <c r="D327" s="41" t="n">
        <f aca="false">(B327+C327)/2</f>
        <v>0.00390625</v>
      </c>
      <c r="E327" s="15" t="n">
        <f aca="false">$C$2*(1+IF(E$3&lt;=$O$2,$D327,$D327-($D327-$I$319)*MIN(E$3-$O$2,$Q$2)/$Q$2))</f>
        <v>2489.6875</v>
      </c>
      <c r="F327" s="15" t="n">
        <f aca="false">E327*(1+IF(F$3&lt;=$O$2,$D327,$D327-($D327-$I$319)*MIN(F$3-$O$2,$Q$2)/$Q$2))</f>
        <v>2499.41284179688</v>
      </c>
      <c r="G327" s="15" t="n">
        <f aca="false">F327*(1+IF(G$3&lt;=$O$2,$D327,$D327-($D327-$I$319)*MIN(G$3-$O$2,$Q$2)/$Q$2))</f>
        <v>2509.17617321014</v>
      </c>
      <c r="H327" s="15" t="n">
        <f aca="false">G327*(1+IF(H$3&lt;=$O$2,$D327,$D327-($D327-$I$319)*MIN(H$3-$O$2,$Q$2)/$Q$2))</f>
        <v>2518.97764263675</v>
      </c>
      <c r="I327" s="15" t="n">
        <f aca="false">H327*(1+IF(I$3&lt;=$O$2,$D327,$D327-($D327-$I$319)*MIN(I$3-$O$2,$Q$2)/$Q$2))</f>
        <v>2528.8173990533</v>
      </c>
      <c r="J327" s="15" t="n">
        <f aca="false">I327*(1+IF(J$3&lt;=$O$2,$D327,$D327-($D327-$I$319)*MIN(J$3-$O$2,$Q$2)/$Q$2))</f>
        <v>2545.97542510587</v>
      </c>
      <c r="K327" s="15" t="n">
        <f aca="false">J327*(1+IF(K$3&lt;=$O$2,$D327,$D327-($D327-$I$319)*MIN(K$3-$O$2,$Q$2)/$Q$2))</f>
        <v>2570.57909512024</v>
      </c>
      <c r="L327" s="15" t="n">
        <f aca="false">K327*(1+IF(L$3&lt;=$O$2,$D327,$D327-($D327-$I$319)*MIN(L$3-$O$2,$Q$2)/$Q$2))</f>
        <v>2602.82058342079</v>
      </c>
      <c r="M327" s="15" t="n">
        <f aca="false">L327*(1+IF(M$3&lt;=$O$2,$D327,$D327-($D327-$I$319)*MIN(M$3-$O$2,$Q$2)/$Q$2))</f>
        <v>2642.95933034286</v>
      </c>
      <c r="N327" s="15" t="n">
        <f aca="false">M327*(1+IF(N$3&lt;=$O$2,$D327,$D327-($D327-$I$319)*MIN(N$3-$O$2,$Q$2)/$Q$2))</f>
        <v>2691.32548608814</v>
      </c>
      <c r="O327" s="15" t="n">
        <f aca="false">SUMPRODUCT(E327:N327,1/(1+$F$319)^$E$3:$N$3)*$E$2</f>
        <v>5102.35774351418</v>
      </c>
      <c r="P327" s="15" t="n">
        <f aca="false">N327*$E$2*(1+$I$319)/($F$319-$I$319)/(1+$F$319)^$N$3</f>
        <v>5963.60393700116</v>
      </c>
      <c r="Q327" s="15" t="n">
        <f aca="false">O327+P327</f>
        <v>11065.9616805153</v>
      </c>
      <c r="R327" s="15" t="n">
        <f aca="false">Q327-$G$2+$I$2</f>
        <v>9791.29168051534</v>
      </c>
      <c r="S327" s="42" t="n">
        <f aca="false">R327/$K$2</f>
        <v>275.268250787611</v>
      </c>
      <c r="T327" s="43" t="n">
        <f aca="false">S327-$M$2</f>
        <v>-14.0204756672663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0.00390625</v>
      </c>
      <c r="C328" s="25" t="n">
        <f aca="false">IF(T327&gt;0,D327,C327)</f>
        <v>0.015625</v>
      </c>
      <c r="D328" s="41" t="n">
        <f aca="false">(B328+C328)/2</f>
        <v>0.009765625</v>
      </c>
      <c r="E328" s="15" t="n">
        <f aca="false">$C$2*(1+IF(E$3&lt;=$O$2,$D328,$D328-($D328-$I$319)*MIN(E$3-$O$2,$Q$2)/$Q$2))</f>
        <v>2504.21875</v>
      </c>
      <c r="F328" s="15" t="n">
        <f aca="false">E328*(1+IF(F$3&lt;=$O$2,$D328,$D328-($D328-$I$319)*MIN(F$3-$O$2,$Q$2)/$Q$2))</f>
        <v>2528.67401123047</v>
      </c>
      <c r="G328" s="15" t="n">
        <f aca="false">F328*(1+IF(G$3&lt;=$O$2,$D328,$D328-($D328-$I$319)*MIN(G$3-$O$2,$Q$2)/$Q$2))</f>
        <v>2553.36809337139</v>
      </c>
      <c r="H328" s="15" t="n">
        <f aca="false">G328*(1+IF(H$3&lt;=$O$2,$D328,$D328-($D328-$I$319)*MIN(H$3-$O$2,$Q$2)/$Q$2))</f>
        <v>2578.30332865822</v>
      </c>
      <c r="I328" s="15" t="n">
        <f aca="false">H328*(1+IF(I$3&lt;=$O$2,$D328,$D328-($D328-$I$319)*MIN(I$3-$O$2,$Q$2)/$Q$2))</f>
        <v>2603.48207210215</v>
      </c>
      <c r="J328" s="15" t="n">
        <f aca="false">I328*(1+IF(J$3&lt;=$O$2,$D328,$D328-($D328-$I$319)*MIN(J$3-$O$2,$Q$2)/$Q$2))</f>
        <v>2633.35052017434</v>
      </c>
      <c r="K328" s="15" t="n">
        <f aca="false">J328*(1+IF(K$3&lt;=$O$2,$D328,$D328-($D328-$I$319)*MIN(K$3-$O$2,$Q$2)/$Q$2))</f>
        <v>2668.05643418616</v>
      </c>
      <c r="L328" s="15" t="n">
        <f aca="false">K328*(1+IF(L$3&lt;=$O$2,$D328,$D328-($D328-$I$319)*MIN(L$3-$O$2,$Q$2)/$Q$2))</f>
        <v>2707.77378927957</v>
      </c>
      <c r="M328" s="15" t="n">
        <f aca="false">L328*(1+IF(M$3&lt;=$O$2,$D328,$D328-($D328-$I$319)*MIN(M$3-$O$2,$Q$2)/$Q$2))</f>
        <v>2752.70421823681</v>
      </c>
      <c r="N328" s="15" t="n">
        <f aca="false">M328*(1+IF(N$3&lt;=$O$2,$D328,$D328-($D328-$I$319)*MIN(N$3-$O$2,$Q$2)/$Q$2))</f>
        <v>2803.07870543054</v>
      </c>
      <c r="O328" s="15" t="n">
        <f aca="false">SUMPRODUCT(E328:N328,1/(1+$F$319)^$E$3:$N$3)*$E$2</f>
        <v>5234.47156343243</v>
      </c>
      <c r="P328" s="15" t="n">
        <f aca="false">N328*$E$2*(1+$I$319)/($F$319-$I$319)/(1+$F$319)^$N$3</f>
        <v>6211.23356867815</v>
      </c>
      <c r="Q328" s="15" t="n">
        <f aca="false">O328+P328</f>
        <v>11445.7051321106</v>
      </c>
      <c r="R328" s="15" t="n">
        <f aca="false">Q328-$G$2+$I$2</f>
        <v>10171.0351321106</v>
      </c>
      <c r="S328" s="42" t="n">
        <f aca="false">R328/$K$2</f>
        <v>285.944198260067</v>
      </c>
      <c r="T328" s="43" t="n">
        <f aca="false">S328-$M$2</f>
        <v>-3.34452819481078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0.009765625</v>
      </c>
      <c r="C329" s="25" t="n">
        <f aca="false">IF(T328&gt;0,D328,C328)</f>
        <v>0.015625</v>
      </c>
      <c r="D329" s="41" t="n">
        <f aca="false">(B329+C329)/2</f>
        <v>0.0126953125</v>
      </c>
      <c r="E329" s="15" t="n">
        <f aca="false">$C$2*(1+IF(E$3&lt;=$O$2,$D329,$D329-($D329-$I$319)*MIN(E$3-$O$2,$Q$2)/$Q$2))</f>
        <v>2511.484375</v>
      </c>
      <c r="F329" s="15" t="n">
        <f aca="false">E329*(1+IF(F$3&lt;=$O$2,$D329,$D329-($D329-$I$319)*MIN(F$3-$O$2,$Q$2)/$Q$2))</f>
        <v>2543.36845397949</v>
      </c>
      <c r="G329" s="15" t="n">
        <f aca="false">F329*(1+IF(G$3&lt;=$O$2,$D329,$D329-($D329-$I$319)*MIN(G$3-$O$2,$Q$2)/$Q$2))</f>
        <v>2575.6573113054</v>
      </c>
      <c r="H329" s="15" t="n">
        <f aca="false">G329*(1+IF(H$3&lt;=$O$2,$D329,$D329-($D329-$I$319)*MIN(H$3-$O$2,$Q$2)/$Q$2))</f>
        <v>2608.35608576534</v>
      </c>
      <c r="I329" s="15" t="n">
        <f aca="false">H329*(1+IF(I$3&lt;=$O$2,$D329,$D329-($D329-$I$319)*MIN(I$3-$O$2,$Q$2)/$Q$2))</f>
        <v>2641.4699813854</v>
      </c>
      <c r="J329" s="15" t="n">
        <f aca="false">I329*(1+IF(J$3&lt;=$O$2,$D329,$D329-($D329-$I$319)*MIN(J$3-$O$2,$Q$2)/$Q$2))</f>
        <v>2677.96519101572</v>
      </c>
      <c r="K329" s="15" t="n">
        <f aca="false">J329*(1+IF(K$3&lt;=$O$2,$D329,$D329-($D329-$I$319)*MIN(K$3-$O$2,$Q$2)/$Q$2))</f>
        <v>2717.96645919239</v>
      </c>
      <c r="L329" s="15" t="n">
        <f aca="false">K329*(1+IF(L$3&lt;=$O$2,$D329,$D329-($D329-$I$319)*MIN(L$3-$O$2,$Q$2)/$Q$2))</f>
        <v>2761.61190433991</v>
      </c>
      <c r="M329" s="15" t="n">
        <f aca="false">L329*(1+IF(M$3&lt;=$O$2,$D329,$D329-($D329-$I$319)*MIN(M$3-$O$2,$Q$2)/$Q$2))</f>
        <v>2809.05380784531</v>
      </c>
      <c r="N329" s="15" t="n">
        <f aca="false">M329*(1+IF(N$3&lt;=$O$2,$D329,$D329-($D329-$I$319)*MIN(N$3-$O$2,$Q$2)/$Q$2))</f>
        <v>2860.45949252888</v>
      </c>
      <c r="O329" s="15" t="n">
        <f aca="false">SUMPRODUCT(E329:N329,1/(1+$F$319)^$E$3:$N$3)*$E$2</f>
        <v>5301.8320097633</v>
      </c>
      <c r="P329" s="15" t="n">
        <f aca="false">N329*$E$2*(1+$I$319)/($F$319-$I$319)/(1+$F$319)^$N$3</f>
        <v>6338.38143303598</v>
      </c>
      <c r="Q329" s="15" t="n">
        <f aca="false">O329+P329</f>
        <v>11640.2134427993</v>
      </c>
      <c r="R329" s="15" t="n">
        <f aca="false">Q329-$G$2+$I$2</f>
        <v>10365.5434427993</v>
      </c>
      <c r="S329" s="42" t="n">
        <f aca="false">R329/$K$2</f>
        <v>291.412522991265</v>
      </c>
      <c r="T329" s="43" t="n">
        <f aca="false">S329-$M$2</f>
        <v>2.12379653638692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0.009765625</v>
      </c>
      <c r="C330" s="25" t="n">
        <f aca="false">IF(T329&gt;0,D329,C329)</f>
        <v>0.0126953125</v>
      </c>
      <c r="D330" s="41" t="n">
        <f aca="false">(B330+C330)/2</f>
        <v>0.01123046875</v>
      </c>
      <c r="E330" s="15" t="n">
        <f aca="false">$C$2*(1+IF(E$3&lt;=$O$2,$D330,$D330-($D330-$I$319)*MIN(E$3-$O$2,$Q$2)/$Q$2))</f>
        <v>2507.8515625</v>
      </c>
      <c r="F330" s="15" t="n">
        <f aca="false">E330*(1+IF(F$3&lt;=$O$2,$D330,$D330-($D330-$I$319)*MIN(F$3-$O$2,$Q$2)/$Q$2))</f>
        <v>2536.0159111023</v>
      </c>
      <c r="G330" s="15" t="n">
        <f aca="false">F330*(1+IF(G$3&lt;=$O$2,$D330,$D330-($D330-$I$319)*MIN(G$3-$O$2,$Q$2)/$Q$2))</f>
        <v>2564.49655854143</v>
      </c>
      <c r="H330" s="15" t="n">
        <f aca="false">G330*(1+IF(H$3&lt;=$O$2,$D330,$D330-($D330-$I$319)*MIN(H$3-$O$2,$Q$2)/$Q$2))</f>
        <v>2593.29705700161</v>
      </c>
      <c r="I330" s="15" t="n">
        <f aca="false">H330*(1+IF(I$3&lt;=$O$2,$D330,$D330-($D330-$I$319)*MIN(I$3-$O$2,$Q$2)/$Q$2))</f>
        <v>2622.42099855974</v>
      </c>
      <c r="J330" s="15" t="n">
        <f aca="false">I330*(1+IF(J$3&lt;=$O$2,$D330,$D330-($D330-$I$319)*MIN(J$3-$O$2,$Q$2)/$Q$2))</f>
        <v>2655.5798730734</v>
      </c>
      <c r="K330" s="15" t="n">
        <f aca="false">J330*(1+IF(K$3&lt;=$O$2,$D330,$D330-($D330-$I$319)*MIN(K$3-$O$2,$Q$2)/$Q$2))</f>
        <v>2692.91276181091</v>
      </c>
      <c r="L330" s="15" t="n">
        <f aca="false">K330*(1+IF(L$3&lt;=$O$2,$D330,$D330-($D330-$I$319)*MIN(L$3-$O$2,$Q$2)/$Q$2))</f>
        <v>2734.57801298279</v>
      </c>
      <c r="M330" s="15" t="n">
        <f aca="false">L330*(1+IF(M$3&lt;=$O$2,$D330,$D330-($D330-$I$319)*MIN(M$3-$O$2,$Q$2)/$Q$2))</f>
        <v>2780.7543536767</v>
      </c>
      <c r="N330" s="15" t="n">
        <f aca="false">M330*(1+IF(N$3&lt;=$O$2,$D330,$D330-($D330-$I$319)*MIN(N$3-$O$2,$Q$2)/$Q$2))</f>
        <v>2831.64215834899</v>
      </c>
      <c r="O330" s="15" t="n">
        <f aca="false">SUMPRODUCT(E330:N330,1/(1+$F$319)^$E$3:$N$3)*$E$2</f>
        <v>5268.04204034404</v>
      </c>
      <c r="P330" s="15" t="n">
        <f aca="false">N330*$E$2*(1+$I$319)/($F$319-$I$319)/(1+$F$319)^$N$3</f>
        <v>6274.52621802856</v>
      </c>
      <c r="Q330" s="15" t="n">
        <f aca="false">O330+P330</f>
        <v>11542.5682583726</v>
      </c>
      <c r="R330" s="15" t="n">
        <f aca="false">Q330-$G$2+$I$2</f>
        <v>10267.8982583726</v>
      </c>
      <c r="S330" s="42" t="n">
        <f aca="false">R330/$K$2</f>
        <v>288.667367398724</v>
      </c>
      <c r="T330" s="43" t="n">
        <f aca="false">S330-$M$2</f>
        <v>-0.621359056154006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0.01123046875</v>
      </c>
      <c r="C331" s="25" t="n">
        <f aca="false">IF(T330&gt;0,D330,C330)</f>
        <v>0.0126953125</v>
      </c>
      <c r="D331" s="41" t="n">
        <f aca="false">(B331+C331)/2</f>
        <v>0.011962890625</v>
      </c>
      <c r="E331" s="15" t="n">
        <f aca="false">$C$2*(1+IF(E$3&lt;=$O$2,$D331,$D331-($D331-$I$319)*MIN(E$3-$O$2,$Q$2)/$Q$2))</f>
        <v>2509.66796875</v>
      </c>
      <c r="F331" s="15" t="n">
        <f aca="false">E331*(1+IF(F$3&lt;=$O$2,$D331,$D331-($D331-$I$319)*MIN(F$3-$O$2,$Q$2)/$Q$2))</f>
        <v>2539.69085216522</v>
      </c>
      <c r="G331" s="15" t="n">
        <f aca="false">F331*(1+IF(G$3&lt;=$O$2,$D331,$D331-($D331-$I$319)*MIN(G$3-$O$2,$Q$2)/$Q$2))</f>
        <v>2570.07289605099</v>
      </c>
      <c r="H331" s="15" t="n">
        <f aca="false">G331*(1+IF(H$3&lt;=$O$2,$D331,$D331-($D331-$I$319)*MIN(H$3-$O$2,$Q$2)/$Q$2))</f>
        <v>2600.81839700472</v>
      </c>
      <c r="I331" s="15" t="n">
        <f aca="false">H331*(1+IF(I$3&lt;=$O$2,$D331,$D331-($D331-$I$319)*MIN(I$3-$O$2,$Q$2)/$Q$2))</f>
        <v>2631.93170302358</v>
      </c>
      <c r="J331" s="15" t="n">
        <f aca="false">I331*(1+IF(J$3&lt;=$O$2,$D331,$D331-($D331-$I$319)*MIN(J$3-$O$2,$Q$2)/$Q$2))</f>
        <v>2666.75298193324</v>
      </c>
      <c r="K331" s="15" t="n">
        <f aca="false">J331*(1+IF(K$3&lt;=$O$2,$D331,$D331-($D331-$I$319)*MIN(K$3-$O$2,$Q$2)/$Q$2))</f>
        <v>2705.41485830904</v>
      </c>
      <c r="L331" s="15" t="n">
        <f aca="false">K331*(1+IF(L$3&lt;=$O$2,$D331,$D331-($D331-$I$319)*MIN(L$3-$O$2,$Q$2)/$Q$2))</f>
        <v>2748.06614627136</v>
      </c>
      <c r="M331" s="15" t="n">
        <f aca="false">L331*(1+IF(M$3&lt;=$O$2,$D331,$D331-($D331-$I$319)*MIN(M$3-$O$2,$Q$2)/$Q$2))</f>
        <v>2794.87279760039</v>
      </c>
      <c r="N331" s="15" t="n">
        <f aca="false">M331*(1+IF(N$3&lt;=$O$2,$D331,$D331-($D331-$I$319)*MIN(N$3-$O$2,$Q$2)/$Q$2))</f>
        <v>2846.01896979648</v>
      </c>
      <c r="O331" s="15" t="n">
        <f aca="false">SUMPRODUCT(E331:N331,1/(1+$F$319)^$E$3:$N$3)*$E$2</f>
        <v>5284.90950400249</v>
      </c>
      <c r="P331" s="15" t="n">
        <f aca="false">N331*$E$2*(1+$I$319)/($F$319-$I$319)/(1+$F$319)^$N$3</f>
        <v>6306.3832378476</v>
      </c>
      <c r="Q331" s="15" t="n">
        <f aca="false">O331+P331</f>
        <v>11591.2927418501</v>
      </c>
      <c r="R331" s="15" t="n">
        <f aca="false">Q331-$G$2+$I$2</f>
        <v>10316.6227418501</v>
      </c>
      <c r="S331" s="42" t="n">
        <f aca="false">R331/$K$2</f>
        <v>290.037187007312</v>
      </c>
      <c r="T331" s="43" t="n">
        <f aca="false">S331-$M$2</f>
        <v>0.748460552434324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0.01123046875</v>
      </c>
      <c r="C332" s="25" t="n">
        <f aca="false">IF(T331&gt;0,D331,C331)</f>
        <v>0.011962890625</v>
      </c>
      <c r="D332" s="41" t="n">
        <f aca="false">(B332+C332)/2</f>
        <v>0.0115966796875</v>
      </c>
      <c r="E332" s="15" t="n">
        <f aca="false">$C$2*(1+IF(E$3&lt;=$O$2,$D332,$D332-($D332-$I$319)*MIN(E$3-$O$2,$Q$2)/$Q$2))</f>
        <v>2508.759765625</v>
      </c>
      <c r="F332" s="15" t="n">
        <f aca="false">E332*(1+IF(F$3&lt;=$O$2,$D332,$D332-($D332-$I$319)*MIN(F$3-$O$2,$Q$2)/$Q$2))</f>
        <v>2537.85304903984</v>
      </c>
      <c r="G332" s="15" t="n">
        <f aca="false">F332*(1+IF(G$3&lt;=$O$2,$D332,$D332-($D332-$I$319)*MIN(G$3-$O$2,$Q$2)/$Q$2))</f>
        <v>2567.2837179435</v>
      </c>
      <c r="H332" s="15" t="n">
        <f aca="false">G332*(1+IF(H$3&lt;=$O$2,$D332,$D332-($D332-$I$319)*MIN(H$3-$O$2,$Q$2)/$Q$2))</f>
        <v>2597.05568488743</v>
      </c>
      <c r="I332" s="15" t="n">
        <f aca="false">H332*(1+IF(I$3&lt;=$O$2,$D332,$D332-($D332-$I$319)*MIN(I$3-$O$2,$Q$2)/$Q$2))</f>
        <v>2627.17290779567</v>
      </c>
      <c r="J332" s="15" t="n">
        <f aca="false">I332*(1+IF(J$3&lt;=$O$2,$D332,$D332-($D332-$I$319)*MIN(J$3-$O$2,$Q$2)/$Q$2))</f>
        <v>2661.16154679451</v>
      </c>
      <c r="K332" s="15" t="n">
        <f aca="false">J332*(1+IF(K$3&lt;=$O$2,$D332,$D332-($D332-$I$319)*MIN(K$3-$O$2,$Q$2)/$Q$2))</f>
        <v>2699.15763214996</v>
      </c>
      <c r="L332" s="15" t="n">
        <f aca="false">K332*(1+IF(L$3&lt;=$O$2,$D332,$D332-($D332-$I$319)*MIN(L$3-$O$2,$Q$2)/$Q$2))</f>
        <v>2741.31488954541</v>
      </c>
      <c r="M332" s="15" t="n">
        <f aca="false">L332*(1+IF(M$3&lt;=$O$2,$D332,$D332-($D332-$I$319)*MIN(M$3-$O$2,$Q$2)/$Q$2))</f>
        <v>2787.80576966769</v>
      </c>
      <c r="N332" s="15" t="n">
        <f aca="false">M332*(1+IF(N$3&lt;=$O$2,$D332,$D332-($D332-$I$319)*MIN(N$3-$O$2,$Q$2)/$Q$2))</f>
        <v>2838.8226152526</v>
      </c>
      <c r="O332" s="15" t="n">
        <f aca="false">SUMPRODUCT(E332:N332,1/(1+$F$319)^$E$3:$N$3)*$E$2</f>
        <v>5276.46890248916</v>
      </c>
      <c r="P332" s="15" t="n">
        <f aca="false">N332*$E$2*(1+$I$319)/($F$319-$I$319)/(1+$F$319)^$N$3</f>
        <v>6290.43711445533</v>
      </c>
      <c r="Q332" s="15" t="n">
        <f aca="false">O332+P332</f>
        <v>11566.9060169445</v>
      </c>
      <c r="R332" s="15" t="n">
        <f aca="false">Q332-$G$2+$I$2</f>
        <v>10292.2360169445</v>
      </c>
      <c r="S332" s="42" t="n">
        <f aca="false">R332/$K$2</f>
        <v>289.351588893576</v>
      </c>
      <c r="T332" s="43" t="n">
        <f aca="false">S332-$M$2</f>
        <v>0.0628624386981755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0.01123046875</v>
      </c>
      <c r="C333" s="25" t="n">
        <f aca="false">IF(T332&gt;0,D332,C332)</f>
        <v>0.0115966796875</v>
      </c>
      <c r="D333" s="41" t="n">
        <f aca="false">(B333+C333)/2</f>
        <v>0.01141357421875</v>
      </c>
      <c r="E333" s="15" t="n">
        <f aca="false">$C$2*(1+IF(E$3&lt;=$O$2,$D333,$D333-($D333-$I$319)*MIN(E$3-$O$2,$Q$2)/$Q$2))</f>
        <v>2508.3056640625</v>
      </c>
      <c r="F333" s="15" t="n">
        <f aca="false">E333*(1+IF(F$3&lt;=$O$2,$D333,$D333-($D333-$I$319)*MIN(F$3-$O$2,$Q$2)/$Q$2))</f>
        <v>2536.93439692259</v>
      </c>
      <c r="G333" s="15" t="n">
        <f aca="false">F333*(1+IF(G$3&lt;=$O$2,$D333,$D333-($D333-$I$319)*MIN(G$3-$O$2,$Q$2)/$Q$2))</f>
        <v>2565.88988594996</v>
      </c>
      <c r="H333" s="15" t="n">
        <f aca="false">G333*(1+IF(H$3&lt;=$O$2,$D333,$D333-($D333-$I$319)*MIN(H$3-$O$2,$Q$2)/$Q$2))</f>
        <v>2595.17586060039</v>
      </c>
      <c r="I333" s="15" t="n">
        <f aca="false">H333*(1+IF(I$3&lt;=$O$2,$D333,$D333-($D333-$I$319)*MIN(I$3-$O$2,$Q$2)/$Q$2))</f>
        <v>2624.79609289607</v>
      </c>
      <c r="J333" s="15" t="n">
        <f aca="false">I333*(1+IF(J$3&lt;=$O$2,$D333,$D333-($D333-$I$319)*MIN(J$3-$O$2,$Q$2)/$Q$2))</f>
        <v>2658.36949060835</v>
      </c>
      <c r="K333" s="15" t="n">
        <f aca="false">J333*(1+IF(K$3&lt;=$O$2,$D333,$D333-($D333-$I$319)*MIN(K$3-$O$2,$Q$2)/$Q$2))</f>
        <v>2696.03365376875</v>
      </c>
      <c r="L333" s="15" t="n">
        <f aca="false">K333*(1+IF(L$3&lt;=$O$2,$D333,$D333-($D333-$I$319)*MIN(L$3-$O$2,$Q$2)/$Q$2))</f>
        <v>2737.94465536855</v>
      </c>
      <c r="M333" s="15" t="n">
        <f aca="false">L333*(1+IF(M$3&lt;=$O$2,$D333,$D333-($D333-$I$319)*MIN(M$3-$O$2,$Q$2)/$Q$2))</f>
        <v>2784.27811202932</v>
      </c>
      <c r="N333" s="15" t="n">
        <f aca="false">M333*(1+IF(N$3&lt;=$O$2,$D333,$D333-($D333-$I$319)*MIN(N$3-$O$2,$Q$2)/$Q$2))</f>
        <v>2835.23040147946</v>
      </c>
      <c r="O333" s="15" t="n">
        <f aca="false">SUMPRODUCT(E333:N333,1/(1+$F$319)^$E$3:$N$3)*$E$2</f>
        <v>5272.25375531636</v>
      </c>
      <c r="P333" s="15" t="n">
        <f aca="false">N333*$E$2*(1+$I$319)/($F$319-$I$319)/(1+$F$319)^$N$3</f>
        <v>6282.47726704526</v>
      </c>
      <c r="Q333" s="15" t="n">
        <f aca="false">O333+P333</f>
        <v>11554.7310223616</v>
      </c>
      <c r="R333" s="15" t="n">
        <f aca="false">Q333-$G$2+$I$2</f>
        <v>10280.0610223616</v>
      </c>
      <c r="S333" s="42" t="n">
        <f aca="false">R333/$K$2</f>
        <v>289.009306223267</v>
      </c>
      <c r="T333" s="43" t="n">
        <f aca="false">S333-$M$2</f>
        <v>-0.279420231610345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0.01141357421875</v>
      </c>
      <c r="C334" s="25" t="n">
        <f aca="false">IF(T333&gt;0,D333,C333)</f>
        <v>0.0115966796875</v>
      </c>
      <c r="D334" s="41" t="n">
        <f aca="false">(B334+C334)/2</f>
        <v>0.011505126953125</v>
      </c>
      <c r="E334" s="15" t="n">
        <f aca="false">$C$2*(1+IF(E$3&lt;=$O$2,$D334,$D334-($D334-$I$319)*MIN(E$3-$O$2,$Q$2)/$Q$2))</f>
        <v>2508.53271484375</v>
      </c>
      <c r="F334" s="15" t="n">
        <f aca="false">E334*(1+IF(F$3&lt;=$O$2,$D334,$D334-($D334-$I$319)*MIN(F$3-$O$2,$Q$2)/$Q$2))</f>
        <v>2537.39370219409</v>
      </c>
      <c r="G334" s="15" t="n">
        <f aca="false">F334*(1+IF(G$3&lt;=$O$2,$D334,$D334-($D334-$I$319)*MIN(G$3-$O$2,$Q$2)/$Q$2))</f>
        <v>2566.5867388679</v>
      </c>
      <c r="H334" s="15" t="n">
        <f aca="false">G334*(1+IF(H$3&lt;=$O$2,$D334,$D334-($D334-$I$319)*MIN(H$3-$O$2,$Q$2)/$Q$2))</f>
        <v>2596.11564513478</v>
      </c>
      <c r="I334" s="15" t="n">
        <f aca="false">H334*(1+IF(I$3&lt;=$O$2,$D334,$D334-($D334-$I$319)*MIN(I$3-$O$2,$Q$2)/$Q$2))</f>
        <v>2625.98428521705</v>
      </c>
      <c r="J334" s="15" t="n">
        <f aca="false">I334*(1+IF(J$3&lt;=$O$2,$D334,$D334-($D334-$I$319)*MIN(J$3-$O$2,$Q$2)/$Q$2))</f>
        <v>2659.76521376361</v>
      </c>
      <c r="K334" s="15" t="n">
        <f aca="false">J334*(1+IF(K$3&lt;=$O$2,$D334,$D334-($D334-$I$319)*MIN(K$3-$O$2,$Q$2)/$Q$2))</f>
        <v>2697.59525699827</v>
      </c>
      <c r="L334" s="15" t="n">
        <f aca="false">K334*(1+IF(L$3&lt;=$O$2,$D334,$D334-($D334-$I$319)*MIN(L$3-$O$2,$Q$2)/$Q$2))</f>
        <v>2739.62932328008</v>
      </c>
      <c r="M334" s="15" t="n">
        <f aca="false">L334*(1+IF(M$3&lt;=$O$2,$D334,$D334-($D334-$I$319)*MIN(M$3-$O$2,$Q$2)/$Q$2))</f>
        <v>2786.04145320667</v>
      </c>
      <c r="N334" s="15" t="n">
        <f aca="false">M334*(1+IF(N$3&lt;=$O$2,$D334,$D334-($D334-$I$319)*MIN(N$3-$O$2,$Q$2)/$Q$2))</f>
        <v>2837.02601180035</v>
      </c>
      <c r="O334" s="15" t="n">
        <f aca="false">SUMPRODUCT(E334:N334,1/(1+$F$319)^$E$3:$N$3)*$E$2</f>
        <v>5274.36089971267</v>
      </c>
      <c r="P334" s="15" t="n">
        <f aca="false">N334*$E$2*(1+$I$319)/($F$319-$I$319)/(1+$F$319)^$N$3</f>
        <v>6286.45609042964</v>
      </c>
      <c r="Q334" s="15" t="n">
        <f aca="false">O334+P334</f>
        <v>11560.8169901423</v>
      </c>
      <c r="R334" s="15" t="n">
        <f aca="false">Q334-$G$2+$I$2</f>
        <v>10286.1469901423</v>
      </c>
      <c r="S334" s="42" t="n">
        <f aca="false">R334/$K$2</f>
        <v>289.1804045584</v>
      </c>
      <c r="T334" s="43" t="n">
        <f aca="false">S334-$M$2</f>
        <v>-0.108321896477264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0.011505126953125</v>
      </c>
      <c r="C335" s="25" t="n">
        <f aca="false">IF(T334&gt;0,D334,C334)</f>
        <v>0.0115966796875</v>
      </c>
      <c r="D335" s="41" t="n">
        <f aca="false">(B335+C335)/2</f>
        <v>0.0115509033203125</v>
      </c>
      <c r="E335" s="15" t="n">
        <f aca="false">$C$2*(1+IF(E$3&lt;=$O$2,$D335,$D335-($D335-$I$319)*MIN(E$3-$O$2,$Q$2)/$Q$2))</f>
        <v>2508.64624023438</v>
      </c>
      <c r="F335" s="15" t="n">
        <f aca="false">E335*(1+IF(F$3&lt;=$O$2,$D335,$D335-($D335-$I$319)*MIN(F$3-$O$2,$Q$2)/$Q$2))</f>
        <v>2537.62337042019</v>
      </c>
      <c r="G335" s="15" t="n">
        <f aca="false">F335*(1+IF(G$3&lt;=$O$2,$D335,$D335-($D335-$I$319)*MIN(G$3-$O$2,$Q$2)/$Q$2))</f>
        <v>2566.93521263528</v>
      </c>
      <c r="H335" s="15" t="n">
        <f aca="false">G335*(1+IF(H$3&lt;=$O$2,$D335,$D335-($D335-$I$319)*MIN(H$3-$O$2,$Q$2)/$Q$2))</f>
        <v>2596.58563310593</v>
      </c>
      <c r="I335" s="15" t="n">
        <f aca="false">H335*(1+IF(I$3&lt;=$O$2,$D335,$D335-($D335-$I$319)*MIN(I$3-$O$2,$Q$2)/$Q$2))</f>
        <v>2626.57854271685</v>
      </c>
      <c r="J335" s="15" t="n">
        <f aca="false">I335*(1+IF(J$3&lt;=$O$2,$D335,$D335-($D335-$I$319)*MIN(J$3-$O$2,$Q$2)/$Q$2))</f>
        <v>2660.4633040313</v>
      </c>
      <c r="K335" s="15" t="n">
        <f aca="false">J335*(1+IF(K$3&lt;=$O$2,$D335,$D335-($D335-$I$319)*MIN(K$3-$O$2,$Q$2)/$Q$2))</f>
        <v>2698.37634806407</v>
      </c>
      <c r="L335" s="15" t="n">
        <f aca="false">K335*(1+IF(L$3&lt;=$O$2,$D335,$D335-($D335-$I$319)*MIN(L$3-$O$2,$Q$2)/$Q$2))</f>
        <v>2740.47199409314</v>
      </c>
      <c r="M335" s="15" t="n">
        <f aca="false">L335*(1+IF(M$3&lt;=$O$2,$D335,$D335-($D335-$I$319)*MIN(M$3-$O$2,$Q$2)/$Q$2))</f>
        <v>2786.92348949782</v>
      </c>
      <c r="N335" s="15" t="n">
        <f aca="false">M335*(1+IF(N$3&lt;=$O$2,$D335,$D335-($D335-$I$319)*MIN(N$3-$O$2,$Q$2)/$Q$2))</f>
        <v>2837.92418935563</v>
      </c>
      <c r="O335" s="15" t="n">
        <f aca="false">SUMPRODUCT(E335:N335,1/(1+$F$319)^$E$3:$N$3)*$E$2</f>
        <v>5275.41479378276</v>
      </c>
      <c r="P335" s="15" t="n">
        <f aca="false">N335*$E$2*(1+$I$319)/($F$319-$I$319)/(1+$F$319)^$N$3</f>
        <v>6288.44632729711</v>
      </c>
      <c r="Q335" s="15" t="n">
        <f aca="false">O335+P335</f>
        <v>11563.8611210799</v>
      </c>
      <c r="R335" s="15" t="n">
        <f aca="false">Q335-$G$2+$I$2</f>
        <v>10289.1911210799</v>
      </c>
      <c r="S335" s="42" t="n">
        <f aca="false">R335/$K$2</f>
        <v>289.265985973569</v>
      </c>
      <c r="T335" s="43" t="n">
        <f aca="false">S335-$M$2</f>
        <v>-0.022740481308233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0.0115509033203125</v>
      </c>
      <c r="C336" s="25" t="n">
        <f aca="false">IF(T335&gt;0,D335,C335)</f>
        <v>0.0115966796875</v>
      </c>
      <c r="D336" s="41" t="n">
        <f aca="false">(B336+C336)/2</f>
        <v>0.0115737915039063</v>
      </c>
      <c r="E336" s="15" t="n">
        <f aca="false">$C$2*(1+IF(E$3&lt;=$O$2,$D336,$D336-($D336-$I$319)*MIN(E$3-$O$2,$Q$2)/$Q$2))</f>
        <v>2508.70300292969</v>
      </c>
      <c r="F336" s="15" t="n">
        <f aca="false">E336*(1+IF(F$3&lt;=$O$2,$D336,$D336-($D336-$I$319)*MIN(F$3-$O$2,$Q$2)/$Q$2))</f>
        <v>2537.73820843082</v>
      </c>
      <c r="G336" s="15" t="n">
        <f aca="false">F336*(1+IF(G$3&lt;=$O$2,$D336,$D336-($D336-$I$319)*MIN(G$3-$O$2,$Q$2)/$Q$2))</f>
        <v>2567.10946134669</v>
      </c>
      <c r="H336" s="15" t="n">
        <f aca="false">G336*(1+IF(H$3&lt;=$O$2,$D336,$D336-($D336-$I$319)*MIN(H$3-$O$2,$Q$2)/$Q$2))</f>
        <v>2596.82065102003</v>
      </c>
      <c r="I336" s="15" t="n">
        <f aca="false">H336*(1+IF(I$3&lt;=$O$2,$D336,$D336-($D336-$I$319)*MIN(I$3-$O$2,$Q$2)/$Q$2))</f>
        <v>2626.87571180797</v>
      </c>
      <c r="J336" s="15" t="n">
        <f aca="false">I336*(1+IF(J$3&lt;=$O$2,$D336,$D336-($D336-$I$319)*MIN(J$3-$O$2,$Q$2)/$Q$2))</f>
        <v>2660.8124063493</v>
      </c>
      <c r="K336" s="15" t="n">
        <f aca="false">J336*(1+IF(K$3&lt;=$O$2,$D336,$D336-($D336-$I$319)*MIN(K$3-$O$2,$Q$2)/$Q$2))</f>
        <v>2698.76696597703</v>
      </c>
      <c r="L336" s="15" t="n">
        <f aca="false">K336*(1+IF(L$3&lt;=$O$2,$D336,$D336-($D336-$I$319)*MIN(L$3-$O$2,$Q$2)/$Q$2))</f>
        <v>2740.8934137362</v>
      </c>
      <c r="M336" s="15" t="n">
        <f aca="false">L336*(1+IF(M$3&lt;=$O$2,$D336,$D336-($D336-$I$319)*MIN(M$3-$O$2,$Q$2)/$Q$2))</f>
        <v>2787.3645990943</v>
      </c>
      <c r="N336" s="15" t="n">
        <f aca="false">M336*(1+IF(N$3&lt;=$O$2,$D336,$D336-($D336-$I$319)*MIN(N$3-$O$2,$Q$2)/$Q$2))</f>
        <v>2838.37337125773</v>
      </c>
      <c r="O336" s="15" t="n">
        <f aca="false">SUMPRODUCT(E336:N336,1/(1+$F$319)^$E$3:$N$3)*$E$2</f>
        <v>5275.94182130384</v>
      </c>
      <c r="P336" s="15" t="n">
        <f aca="false">N336*$E$2*(1+$I$319)/($F$319-$I$319)/(1+$F$319)^$N$3</f>
        <v>6289.44165208173</v>
      </c>
      <c r="Q336" s="15" t="n">
        <f aca="false">O336+P336</f>
        <v>11565.3834733856</v>
      </c>
      <c r="R336" s="15" t="n">
        <f aca="false">Q336-$G$2+$I$2</f>
        <v>10290.7134733856</v>
      </c>
      <c r="S336" s="42" t="n">
        <f aca="false">R336/$K$2</f>
        <v>289.308784745166</v>
      </c>
      <c r="T336" s="43" t="n">
        <f aca="false">S336-$M$2</f>
        <v>0.0200582902885458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0.0115509033203125</v>
      </c>
      <c r="C337" s="25" t="n">
        <f aca="false">IF(T336&gt;0,D336,C336)</f>
        <v>0.0115737915039063</v>
      </c>
      <c r="D337" s="41" t="n">
        <f aca="false">(B337+C337)/2</f>
        <v>0.0115623474121094</v>
      </c>
      <c r="E337" s="15" t="n">
        <f aca="false">$C$2*(1+IF(E$3&lt;=$O$2,$D337,$D337-($D337-$I$319)*MIN(E$3-$O$2,$Q$2)/$Q$2))</f>
        <v>2508.67462158203</v>
      </c>
      <c r="F337" s="15" t="n">
        <f aca="false">E337*(1+IF(F$3&lt;=$O$2,$D337,$D337-($D337-$I$319)*MIN(F$3-$O$2,$Q$2)/$Q$2))</f>
        <v>2537.6807891007</v>
      </c>
      <c r="G337" s="15" t="n">
        <f aca="false">F337*(1+IF(G$3&lt;=$O$2,$D337,$D337-($D337-$I$319)*MIN(G$3-$O$2,$Q$2)/$Q$2))</f>
        <v>2567.02233600532</v>
      </c>
      <c r="H337" s="15" t="n">
        <f aca="false">G337*(1+IF(H$3&lt;=$O$2,$D337,$D337-($D337-$I$319)*MIN(H$3-$O$2,$Q$2)/$Q$2))</f>
        <v>2596.70314006886</v>
      </c>
      <c r="I337" s="15" t="n">
        <f aca="false">H337*(1+IF(I$3&lt;=$O$2,$D337,$D337-($D337-$I$319)*MIN(I$3-$O$2,$Q$2)/$Q$2))</f>
        <v>2626.72712390045</v>
      </c>
      <c r="J337" s="15" t="n">
        <f aca="false">I337*(1+IF(J$3&lt;=$O$2,$D337,$D337-($D337-$I$319)*MIN(J$3-$O$2,$Q$2)/$Q$2))</f>
        <v>2660.63785042461</v>
      </c>
      <c r="K337" s="15" t="n">
        <f aca="false">J337*(1+IF(K$3&lt;=$O$2,$D337,$D337-($D337-$I$319)*MIN(K$3-$O$2,$Q$2)/$Q$2))</f>
        <v>2698.57165098836</v>
      </c>
      <c r="L337" s="15" t="n">
        <f aca="false">K337*(1+IF(L$3&lt;=$O$2,$D337,$D337-($D337-$I$319)*MIN(L$3-$O$2,$Q$2)/$Q$2))</f>
        <v>2740.6826968943</v>
      </c>
      <c r="M337" s="15" t="n">
        <f aca="false">L337*(1+IF(M$3&lt;=$O$2,$D337,$D337-($D337-$I$319)*MIN(M$3-$O$2,$Q$2)/$Q$2))</f>
        <v>2787.1440366744</v>
      </c>
      <c r="N337" s="15" t="n">
        <f aca="false">M337*(1+IF(N$3&lt;=$O$2,$D337,$D337-($D337-$I$319)*MIN(N$3-$O$2,$Q$2)/$Q$2))</f>
        <v>2838.14877254554</v>
      </c>
      <c r="O337" s="15" t="n">
        <f aca="false">SUMPRODUCT(E337:N337,1/(1+$F$319)^$E$3:$N$3)*$E$2</f>
        <v>5275.67830083559</v>
      </c>
      <c r="P337" s="15" t="n">
        <f aca="false">N337*$E$2*(1+$I$319)/($F$319-$I$319)/(1+$F$319)^$N$3</f>
        <v>6288.94397249181</v>
      </c>
      <c r="Q337" s="15" t="n">
        <f aca="false">O337+P337</f>
        <v>11564.6222733274</v>
      </c>
      <c r="R337" s="15" t="n">
        <f aca="false">Q337-$G$2+$I$2</f>
        <v>10289.9522733274</v>
      </c>
      <c r="S337" s="42" t="n">
        <f aca="false">R337/$K$2</f>
        <v>289.287384687304</v>
      </c>
      <c r="T337" s="43" t="n">
        <f aca="false">S337-$M$2</f>
        <v>-0.00134176757370597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0.0115623474121094</v>
      </c>
      <c r="C338" s="25" t="n">
        <f aca="false">IF(T337&gt;0,D337,C337)</f>
        <v>0.0115737915039063</v>
      </c>
      <c r="D338" s="41" t="n">
        <f aca="false">(B338+C338)/2</f>
        <v>0.0115680694580078</v>
      </c>
      <c r="E338" s="15" t="n">
        <f aca="false">$C$2*(1+IF(E$3&lt;=$O$2,$D338,$D338-($D338-$I$319)*MIN(E$3-$O$2,$Q$2)/$Q$2))</f>
        <v>2508.68881225586</v>
      </c>
      <c r="F338" s="15" t="n">
        <f aca="false">E338*(1+IF(F$3&lt;=$O$2,$D338,$D338-($D338-$I$319)*MIN(F$3-$O$2,$Q$2)/$Q$2))</f>
        <v>2537.70949868456</v>
      </c>
      <c r="G338" s="15" t="n">
        <f aca="false">F338*(1+IF(G$3&lt;=$O$2,$D338,$D338-($D338-$I$319)*MIN(G$3-$O$2,$Q$2)/$Q$2))</f>
        <v>2567.06589842959</v>
      </c>
      <c r="H338" s="15" t="n">
        <f aca="false">G338*(1+IF(H$3&lt;=$O$2,$D338,$D338-($D338-$I$319)*MIN(H$3-$O$2,$Q$2)/$Q$2))</f>
        <v>2596.76189504591</v>
      </c>
      <c r="I338" s="15" t="n">
        <f aca="false">H338*(1+IF(I$3&lt;=$O$2,$D338,$D338-($D338-$I$319)*MIN(I$3-$O$2,$Q$2)/$Q$2))</f>
        <v>2626.80141701371</v>
      </c>
      <c r="J338" s="15" t="n">
        <f aca="false">I338*(1+IF(J$3&lt;=$O$2,$D338,$D338-($D338-$I$319)*MIN(J$3-$O$2,$Q$2)/$Q$2))</f>
        <v>2660.7251271955</v>
      </c>
      <c r="K338" s="15" t="n">
        <f aca="false">J338*(1+IF(K$3&lt;=$O$2,$D338,$D338-($D338-$I$319)*MIN(K$3-$O$2,$Q$2)/$Q$2))</f>
        <v>2698.66930697461</v>
      </c>
      <c r="L338" s="15" t="n">
        <f aca="false">K338*(1+IF(L$3&lt;=$O$2,$D338,$D338-($D338-$I$319)*MIN(L$3-$O$2,$Q$2)/$Q$2))</f>
        <v>2740.78805356011</v>
      </c>
      <c r="M338" s="15" t="n">
        <f aca="false">L338*(1+IF(M$3&lt;=$O$2,$D338,$D338-($D338-$I$319)*MIN(M$3-$O$2,$Q$2)/$Q$2))</f>
        <v>2787.25431597888</v>
      </c>
      <c r="N338" s="15" t="n">
        <f aca="false">M338*(1+IF(N$3&lt;=$O$2,$D338,$D338-($D338-$I$319)*MIN(N$3-$O$2,$Q$2)/$Q$2))</f>
        <v>2838.26106996129</v>
      </c>
      <c r="O338" s="15" t="n">
        <f aca="false">SUMPRODUCT(E338:N338,1/(1+$F$319)^$E$3:$N$3)*$E$2</f>
        <v>5275.81005939275</v>
      </c>
      <c r="P338" s="15" t="n">
        <f aca="false">N338*$E$2*(1+$I$319)/($F$319-$I$319)/(1+$F$319)^$N$3</f>
        <v>6289.19280798724</v>
      </c>
      <c r="Q338" s="15" t="n">
        <f aca="false">O338+P338</f>
        <v>11565.00286738</v>
      </c>
      <c r="R338" s="15" t="n">
        <f aca="false">Q338-$G$2+$I$2</f>
        <v>10290.33286738</v>
      </c>
      <c r="S338" s="42" t="n">
        <f aca="false">R338/$K$2</f>
        <v>289.298084548215</v>
      </c>
      <c r="T338" s="43" t="n">
        <f aca="false">S338-$M$2</f>
        <v>0.00935809333680027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0.0115623474121094</v>
      </c>
      <c r="C339" s="25" t="n">
        <f aca="false">IF(T338&gt;0,D338,C338)</f>
        <v>0.0115680694580078</v>
      </c>
      <c r="D339" s="41" t="n">
        <f aca="false">(B339+C339)/2</f>
        <v>0.0115652084350586</v>
      </c>
      <c r="E339" s="15" t="n">
        <f aca="false">$C$2*(1+IF(E$3&lt;=$O$2,$D339,$D339-($D339-$I$319)*MIN(E$3-$O$2,$Q$2)/$Q$2))</f>
        <v>2508.68171691895</v>
      </c>
      <c r="F339" s="15" t="n">
        <f aca="false">E339*(1+IF(F$3&lt;=$O$2,$D339,$D339-($D339-$I$319)*MIN(F$3-$O$2,$Q$2)/$Q$2))</f>
        <v>2537.69514387233</v>
      </c>
      <c r="G339" s="15" t="n">
        <f aca="false">F339*(1+IF(G$3&lt;=$O$2,$D339,$D339-($D339-$I$319)*MIN(G$3-$O$2,$Q$2)/$Q$2))</f>
        <v>2567.04411715585</v>
      </c>
      <c r="H339" s="15" t="n">
        <f aca="false">G339*(1+IF(H$3&lt;=$O$2,$D339,$D339-($D339-$I$319)*MIN(H$3-$O$2,$Q$2)/$Q$2))</f>
        <v>2596.73251743275</v>
      </c>
      <c r="I339" s="15" t="n">
        <f aca="false">H339*(1+IF(I$3&lt;=$O$2,$D339,$D339-($D339-$I$319)*MIN(I$3-$O$2,$Q$2)/$Q$2))</f>
        <v>2626.76427024696</v>
      </c>
      <c r="J339" s="15" t="n">
        <f aca="false">I339*(1+IF(J$3&lt;=$O$2,$D339,$D339-($D339-$I$319)*MIN(J$3-$O$2,$Q$2)/$Q$2))</f>
        <v>2660.6814885122</v>
      </c>
      <c r="K339" s="15" t="n">
        <f aca="false">J339*(1+IF(K$3&lt;=$O$2,$D339,$D339-($D339-$I$319)*MIN(K$3-$O$2,$Q$2)/$Q$2))</f>
        <v>2698.62047860447</v>
      </c>
      <c r="L339" s="15" t="n">
        <f aca="false">K339*(1+IF(L$3&lt;=$O$2,$D339,$D339-($D339-$I$319)*MIN(L$3-$O$2,$Q$2)/$Q$2))</f>
        <v>2740.73537478842</v>
      </c>
      <c r="M339" s="15" t="n">
        <f aca="false">L339*(1+IF(M$3&lt;=$O$2,$D339,$D339-($D339-$I$319)*MIN(M$3-$O$2,$Q$2)/$Q$2))</f>
        <v>2787.19917585028</v>
      </c>
      <c r="N339" s="15" t="n">
        <f aca="false">M339*(1+IF(N$3&lt;=$O$2,$D339,$D339-($D339-$I$319)*MIN(N$3-$O$2,$Q$2)/$Q$2))</f>
        <v>2838.20492076834</v>
      </c>
      <c r="O339" s="15" t="n">
        <f aca="false">SUMPRODUCT(E339:N339,1/(1+$F$319)^$E$3:$N$3)*$E$2</f>
        <v>5275.74417969493</v>
      </c>
      <c r="P339" s="15" t="n">
        <f aca="false">N339*$E$2*(1+$I$319)/($F$319-$I$319)/(1+$F$319)^$N$3</f>
        <v>6289.06838916466</v>
      </c>
      <c r="Q339" s="15" t="n">
        <f aca="false">O339+P339</f>
        <v>11564.8125688596</v>
      </c>
      <c r="R339" s="15" t="n">
        <f aca="false">Q339-$G$2+$I$2</f>
        <v>10290.1425688596</v>
      </c>
      <c r="S339" s="42" t="n">
        <f aca="false">R339/$K$2</f>
        <v>289.292734575755</v>
      </c>
      <c r="T339" s="43" t="n">
        <f aca="false">S339-$M$2</f>
        <v>0.00400812087696068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0.0115623474121094</v>
      </c>
      <c r="C340" s="25" t="n">
        <f aca="false">IF(T339&gt;0,D339,C339)</f>
        <v>0.0115652084350586</v>
      </c>
      <c r="D340" s="41" t="n">
        <f aca="false">(B340+C340)/2</f>
        <v>0.011563777923584</v>
      </c>
      <c r="E340" s="15" t="n">
        <f aca="false">$C$2*(1+IF(E$3&lt;=$O$2,$D340,$D340-($D340-$I$319)*MIN(E$3-$O$2,$Q$2)/$Q$2))</f>
        <v>2508.67816925049</v>
      </c>
      <c r="F340" s="15" t="n">
        <f aca="false">E340*(1+IF(F$3&lt;=$O$2,$D340,$D340-($D340-$I$319)*MIN(F$3-$O$2,$Q$2)/$Q$2))</f>
        <v>2537.68796648144</v>
      </c>
      <c r="G340" s="15" t="n">
        <f aca="false">F340*(1+IF(G$3&lt;=$O$2,$D340,$D340-($D340-$I$319)*MIN(G$3-$O$2,$Q$2)/$Q$2))</f>
        <v>2567.03322656519</v>
      </c>
      <c r="H340" s="15" t="n">
        <f aca="false">G340*(1+IF(H$3&lt;=$O$2,$D340,$D340-($D340-$I$319)*MIN(H$3-$O$2,$Q$2)/$Q$2))</f>
        <v>2596.71782871965</v>
      </c>
      <c r="I340" s="15" t="n">
        <f aca="false">H340*(1+IF(I$3&lt;=$O$2,$D340,$D340-($D340-$I$319)*MIN(I$3-$O$2,$Q$2)/$Q$2))</f>
        <v>2626.74569702117</v>
      </c>
      <c r="J340" s="15" t="n">
        <f aca="false">I340*(1+IF(J$3&lt;=$O$2,$D340,$D340-($D340-$I$319)*MIN(J$3-$O$2,$Q$2)/$Q$2))</f>
        <v>2660.65966939394</v>
      </c>
      <c r="K340" s="15" t="n">
        <f aca="false">J340*(1+IF(K$3&lt;=$O$2,$D340,$D340-($D340-$I$319)*MIN(K$3-$O$2,$Q$2)/$Q$2))</f>
        <v>2698.59606470217</v>
      </c>
      <c r="L340" s="15" t="n">
        <f aca="false">K340*(1+IF(L$3&lt;=$O$2,$D340,$D340-($D340-$I$319)*MIN(L$3-$O$2,$Q$2)/$Q$2))</f>
        <v>2740.70903573166</v>
      </c>
      <c r="M340" s="15" t="n">
        <f aca="false">L340*(1+IF(M$3&lt;=$O$2,$D340,$D340-($D340-$I$319)*MIN(M$3-$O$2,$Q$2)/$Q$2))</f>
        <v>2787.17160614325</v>
      </c>
      <c r="N340" s="15" t="n">
        <f aca="false">M340*(1+IF(N$3&lt;=$O$2,$D340,$D340-($D340-$I$319)*MIN(N$3-$O$2,$Q$2)/$Q$2))</f>
        <v>2838.17684653567</v>
      </c>
      <c r="O340" s="15" t="n">
        <f aca="false">SUMPRODUCT(E340:N340,1/(1+$F$319)^$E$3:$N$3)*$E$2</f>
        <v>5275.71124016045</v>
      </c>
      <c r="P340" s="15" t="n">
        <f aca="false">N340*$E$2*(1+$I$319)/($F$319-$I$319)/(1+$F$319)^$N$3</f>
        <v>6289.00618055952</v>
      </c>
      <c r="Q340" s="15" t="n">
        <f aca="false">O340+P340</f>
        <v>11564.71742072</v>
      </c>
      <c r="R340" s="15" t="n">
        <f aca="false">Q340-$G$2+$I$2</f>
        <v>10290.04742072</v>
      </c>
      <c r="S340" s="42" t="n">
        <f aca="false">R340/$K$2</f>
        <v>289.290059621028</v>
      </c>
      <c r="T340" s="43" t="n">
        <f aca="false">S340-$M$2</f>
        <v>0.00133316615057311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0.0115623474121094</v>
      </c>
      <c r="C341" s="25" t="n">
        <f aca="false">IF(T340&gt;0,D340,C340)</f>
        <v>0.011563777923584</v>
      </c>
      <c r="D341" s="41" t="n">
        <f aca="false">(B341+C341)/2</f>
        <v>0.0115630626678467</v>
      </c>
      <c r="E341" s="15" t="n">
        <f aca="false">$C$2*(1+IF(E$3&lt;=$O$2,$D341,$D341-($D341-$I$319)*MIN(E$3-$O$2,$Q$2)/$Q$2))</f>
        <v>2508.67639541626</v>
      </c>
      <c r="F341" s="15" t="n">
        <f aca="false">E341*(1+IF(F$3&lt;=$O$2,$D341,$D341-($D341-$I$319)*MIN(F$3-$O$2,$Q$2)/$Q$2))</f>
        <v>2537.68437778981</v>
      </c>
      <c r="G341" s="15" t="n">
        <f aca="false">F341*(1+IF(G$3&lt;=$O$2,$D341,$D341-($D341-$I$319)*MIN(G$3-$O$2,$Q$2)/$Q$2))</f>
        <v>2567.0277812814</v>
      </c>
      <c r="H341" s="15" t="n">
        <f aca="false">G341*(1+IF(H$3&lt;=$O$2,$D341,$D341-($D341-$I$319)*MIN(H$3-$O$2,$Q$2)/$Q$2))</f>
        <v>2596.71048438647</v>
      </c>
      <c r="I341" s="15" t="n">
        <f aca="false">H341*(1+IF(I$3&lt;=$O$2,$D341,$D341-($D341-$I$319)*MIN(I$3-$O$2,$Q$2)/$Q$2))</f>
        <v>2626.73641044768</v>
      </c>
      <c r="J341" s="15" t="n">
        <f aca="false">I341*(1+IF(J$3&lt;=$O$2,$D341,$D341-($D341-$I$319)*MIN(J$3-$O$2,$Q$2)/$Q$2))</f>
        <v>2660.64875989066</v>
      </c>
      <c r="K341" s="15" t="n">
        <f aca="false">J341*(1+IF(K$3&lt;=$O$2,$D341,$D341-($D341-$I$319)*MIN(K$3-$O$2,$Q$2)/$Q$2))</f>
        <v>2698.5838578217</v>
      </c>
      <c r="L341" s="15" t="n">
        <f aca="false">K341*(1+IF(L$3&lt;=$O$2,$D341,$D341-($D341-$I$319)*MIN(L$3-$O$2,$Q$2)/$Q$2))</f>
        <v>2740.69586628556</v>
      </c>
      <c r="M341" s="15" t="n">
        <f aca="false">L341*(1+IF(M$3&lt;=$O$2,$D341,$D341-($D341-$I$319)*MIN(M$3-$O$2,$Q$2)/$Q$2))</f>
        <v>2787.15782137905</v>
      </c>
      <c r="N341" s="15" t="n">
        <f aca="false">M341*(1+IF(N$3&lt;=$O$2,$D341,$D341-($D341-$I$319)*MIN(N$3-$O$2,$Q$2)/$Q$2))</f>
        <v>2838.16280951029</v>
      </c>
      <c r="O341" s="15" t="n">
        <f aca="false">SUMPRODUCT(E341:N341,1/(1+$F$319)^$E$3:$N$3)*$E$2</f>
        <v>5275.69477047182</v>
      </c>
      <c r="P341" s="15" t="n">
        <f aca="false">N341*$E$2*(1+$I$319)/($F$319-$I$319)/(1+$F$319)^$N$3</f>
        <v>6288.97507645849</v>
      </c>
      <c r="Q341" s="15" t="n">
        <f aca="false">O341+P341</f>
        <v>11564.6698469303</v>
      </c>
      <c r="R341" s="15" t="n">
        <f aca="false">Q341-$G$2+$I$2</f>
        <v>10289.9998469303</v>
      </c>
      <c r="S341" s="42" t="n">
        <f aca="false">R341/$K$2</f>
        <v>289.288722151541</v>
      </c>
      <c r="T341" s="43" t="n">
        <f aca="false">S341-$M$2</f>
        <v>-4.30333682288619E-006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0.0115630626678467</v>
      </c>
      <c r="C342" s="25" t="n">
        <f aca="false">IF(T341&gt;0,D341,C341)</f>
        <v>0.011563777923584</v>
      </c>
      <c r="D342" s="41" t="n">
        <f aca="false">(B342+C342)/2</f>
        <v>0.0115634202957153</v>
      </c>
      <c r="E342" s="15" t="n">
        <f aca="false">$C$2*(1+IF(E$3&lt;=$O$2,$D342,$D342-($D342-$I$319)*MIN(E$3-$O$2,$Q$2)/$Q$2))</f>
        <v>2508.67728233337</v>
      </c>
      <c r="F342" s="15" t="n">
        <f aca="false">E342*(1+IF(F$3&lt;=$O$2,$D342,$D342-($D342-$I$319)*MIN(F$3-$O$2,$Q$2)/$Q$2))</f>
        <v>2537.68617213531</v>
      </c>
      <c r="G342" s="15" t="n">
        <f aca="false">F342*(1+IF(G$3&lt;=$O$2,$D342,$D342-($D342-$I$319)*MIN(G$3-$O$2,$Q$2)/$Q$2))</f>
        <v>2567.03050392233</v>
      </c>
      <c r="H342" s="15" t="n">
        <f aca="false">G342*(1+IF(H$3&lt;=$O$2,$D342,$D342-($D342-$I$319)*MIN(H$3-$O$2,$Q$2)/$Q$2))</f>
        <v>2596.71415655111</v>
      </c>
      <c r="I342" s="15" t="n">
        <f aca="false">H342*(1+IF(I$3&lt;=$O$2,$D342,$D342-($D342-$I$319)*MIN(I$3-$O$2,$Q$2)/$Q$2))</f>
        <v>2626.74105373114</v>
      </c>
      <c r="J342" s="15" t="n">
        <f aca="false">I342*(1+IF(J$3&lt;=$O$2,$D342,$D342-($D342-$I$319)*MIN(J$3-$O$2,$Q$2)/$Q$2))</f>
        <v>2660.65421463764</v>
      </c>
      <c r="K342" s="15" t="n">
        <f aca="false">J342*(1+IF(K$3&lt;=$O$2,$D342,$D342-($D342-$I$319)*MIN(K$3-$O$2,$Q$2)/$Q$2))</f>
        <v>2698.58996125604</v>
      </c>
      <c r="L342" s="15" t="n">
        <f aca="false">K342*(1+IF(L$3&lt;=$O$2,$D342,$D342-($D342-$I$319)*MIN(L$3-$O$2,$Q$2)/$Q$2))</f>
        <v>2740.70245100175</v>
      </c>
      <c r="M342" s="15" t="n">
        <f aca="false">L342*(1+IF(M$3&lt;=$O$2,$D342,$D342-($D342-$I$319)*MIN(M$3-$O$2,$Q$2)/$Q$2))</f>
        <v>2787.16471375371</v>
      </c>
      <c r="N342" s="15" t="n">
        <f aca="false">M342*(1+IF(N$3&lt;=$O$2,$D342,$D342-($D342-$I$319)*MIN(N$3-$O$2,$Q$2)/$Q$2))</f>
        <v>2838.1698280154</v>
      </c>
      <c r="O342" s="15" t="n">
        <f aca="false">SUMPRODUCT(E342:N342,1/(1+$F$319)^$E$3:$N$3)*$E$2</f>
        <v>5275.70300530958</v>
      </c>
      <c r="P342" s="15" t="n">
        <f aca="false">N342*$E$2*(1+$I$319)/($F$319-$I$319)/(1+$F$319)^$N$3</f>
        <v>6288.99062849221</v>
      </c>
      <c r="Q342" s="15" t="n">
        <f aca="false">O342+P342</f>
        <v>11564.6936338018</v>
      </c>
      <c r="R342" s="15" t="n">
        <f aca="false">Q342-$G$2+$I$2</f>
        <v>10290.0236338018</v>
      </c>
      <c r="S342" s="42" t="n">
        <f aca="false">R342/$K$2</f>
        <v>289.289390885628</v>
      </c>
      <c r="T342" s="43" t="n">
        <f aca="false">S342-$M$2</f>
        <v>0.000664430750475731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0.0115630626678467</v>
      </c>
      <c r="C343" s="25" t="n">
        <f aca="false">IF(T342&gt;0,D342,C342)</f>
        <v>0.0115634202957153</v>
      </c>
      <c r="D343" s="41" t="n">
        <f aca="false">(B343+C343)/2</f>
        <v>0.011563241481781</v>
      </c>
      <c r="E343" s="15" t="n">
        <f aca="false">$C$2*(1+IF(E$3&lt;=$O$2,$D343,$D343-($D343-$I$319)*MIN(E$3-$O$2,$Q$2)/$Q$2))</f>
        <v>2508.67683887482</v>
      </c>
      <c r="F343" s="15" t="n">
        <f aca="false">E343*(1+IF(F$3&lt;=$O$2,$D343,$D343-($D343-$I$319)*MIN(F$3-$O$2,$Q$2)/$Q$2))</f>
        <v>2537.68527496248</v>
      </c>
      <c r="G343" s="15" t="n">
        <f aca="false">F343*(1+IF(G$3&lt;=$O$2,$D343,$D343-($D343-$I$319)*MIN(G$3-$O$2,$Q$2)/$Q$2))</f>
        <v>2567.02914260163</v>
      </c>
      <c r="H343" s="15" t="n">
        <f aca="false">G343*(1+IF(H$3&lt;=$O$2,$D343,$D343-($D343-$I$319)*MIN(H$3-$O$2,$Q$2)/$Q$2))</f>
        <v>2596.7123204683</v>
      </c>
      <c r="I343" s="15" t="n">
        <f aca="false">H343*(1+IF(I$3&lt;=$O$2,$D343,$D343-($D343-$I$319)*MIN(I$3-$O$2,$Q$2)/$Q$2))</f>
        <v>2626.73873208859</v>
      </c>
      <c r="J343" s="15" t="n">
        <f aca="false">I343*(1+IF(J$3&lt;=$O$2,$D343,$D343-($D343-$I$319)*MIN(J$3-$O$2,$Q$2)/$Q$2))</f>
        <v>2660.65148726299</v>
      </c>
      <c r="K343" s="15" t="n">
        <f aca="false">J343*(1+IF(K$3&lt;=$O$2,$D343,$D343-($D343-$I$319)*MIN(K$3-$O$2,$Q$2)/$Q$2))</f>
        <v>2698.5869095374</v>
      </c>
      <c r="L343" s="15" t="n">
        <f aca="false">K343*(1+IF(L$3&lt;=$O$2,$D343,$D343-($D343-$I$319)*MIN(L$3-$O$2,$Q$2)/$Q$2))</f>
        <v>2740.69915864194</v>
      </c>
      <c r="M343" s="15" t="n">
        <f aca="false">L343*(1+IF(M$3&lt;=$O$2,$D343,$D343-($D343-$I$319)*MIN(M$3-$O$2,$Q$2)/$Q$2))</f>
        <v>2787.16126756452</v>
      </c>
      <c r="N343" s="15" t="n">
        <f aca="false">M343*(1+IF(N$3&lt;=$O$2,$D343,$D343-($D343-$I$319)*MIN(N$3-$O$2,$Q$2)/$Q$2))</f>
        <v>2838.16631876095</v>
      </c>
      <c r="O343" s="15" t="n">
        <f aca="false">SUMPRODUCT(E343:N343,1/(1+$F$319)^$E$3:$N$3)*$E$2</f>
        <v>5275.69888788906</v>
      </c>
      <c r="P343" s="15" t="n">
        <f aca="false">N343*$E$2*(1+$I$319)/($F$319-$I$319)/(1+$F$319)^$N$3</f>
        <v>6288.98285247115</v>
      </c>
      <c r="Q343" s="15" t="n">
        <f aca="false">O343+P343</f>
        <v>11564.6817403602</v>
      </c>
      <c r="R343" s="15" t="n">
        <f aca="false">Q343-$G$2+$I$2</f>
        <v>10290.0117403602</v>
      </c>
      <c r="S343" s="42" t="n">
        <f aca="false">R343/$K$2</f>
        <v>289.28905651842</v>
      </c>
      <c r="T343" s="43" t="n">
        <f aca="false">S343-$M$2</f>
        <v>0.000330063542719472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0.0115630626678467</v>
      </c>
      <c r="C344" s="25" t="n">
        <f aca="false">IF(T343&gt;0,D343,C343)</f>
        <v>0.011563241481781</v>
      </c>
      <c r="D344" s="41" t="n">
        <f aca="false">(B344+C344)/2</f>
        <v>0.0115631520748138</v>
      </c>
      <c r="E344" s="15" t="n">
        <f aca="false">$C$2*(1+IF(E$3&lt;=$O$2,$D344,$D344-($D344-$I$319)*MIN(E$3-$O$2,$Q$2)/$Q$2))</f>
        <v>2508.67661714554</v>
      </c>
      <c r="F344" s="15" t="n">
        <f aca="false">E344*(1+IF(F$3&lt;=$O$2,$D344,$D344-($D344-$I$319)*MIN(F$3-$O$2,$Q$2)/$Q$2))</f>
        <v>2537.68482637612</v>
      </c>
      <c r="G344" s="15" t="n">
        <f aca="false">F344*(1+IF(G$3&lt;=$O$2,$D344,$D344-($D344-$I$319)*MIN(G$3-$O$2,$Q$2)/$Q$2))</f>
        <v>2567.02846194146</v>
      </c>
      <c r="H344" s="15" t="n">
        <f aca="false">G344*(1+IF(H$3&lt;=$O$2,$D344,$D344-($D344-$I$319)*MIN(H$3-$O$2,$Q$2)/$Q$2))</f>
        <v>2596.71140242726</v>
      </c>
      <c r="I344" s="15" t="n">
        <f aca="false">H344*(1+IF(I$3&lt;=$O$2,$D344,$D344-($D344-$I$319)*MIN(I$3-$O$2,$Q$2)/$Q$2))</f>
        <v>2626.73757126793</v>
      </c>
      <c r="J344" s="15" t="n">
        <f aca="false">I344*(1+IF(J$3&lt;=$O$2,$D344,$D344-($D344-$I$319)*MIN(J$3-$O$2,$Q$2)/$Q$2))</f>
        <v>2660.65012357653</v>
      </c>
      <c r="K344" s="15" t="n">
        <f aca="false">J344*(1+IF(K$3&lt;=$O$2,$D344,$D344-($D344-$I$319)*MIN(K$3-$O$2,$Q$2)/$Q$2))</f>
        <v>2698.58538367918</v>
      </c>
      <c r="L344" s="15" t="n">
        <f aca="false">K344*(1+IF(L$3&lt;=$O$2,$D344,$D344-($D344-$I$319)*MIN(L$3-$O$2,$Q$2)/$Q$2))</f>
        <v>2740.69751246332</v>
      </c>
      <c r="M344" s="15" t="n">
        <f aca="false">L344*(1+IF(M$3&lt;=$O$2,$D344,$D344-($D344-$I$319)*MIN(M$3-$O$2,$Q$2)/$Q$2))</f>
        <v>2787.15954447132</v>
      </c>
      <c r="N344" s="15" t="n">
        <f aca="false">M344*(1+IF(N$3&lt;=$O$2,$D344,$D344-($D344-$I$319)*MIN(N$3-$O$2,$Q$2)/$Q$2))</f>
        <v>2838.16456413514</v>
      </c>
      <c r="O344" s="15" t="n">
        <f aca="false">SUMPRODUCT(E344:N344,1/(1+$F$319)^$E$3:$N$3)*$E$2</f>
        <v>5275.69682918003</v>
      </c>
      <c r="P344" s="15" t="n">
        <f aca="false">N344*$E$2*(1+$I$319)/($F$319-$I$319)/(1+$F$319)^$N$3</f>
        <v>6288.97896446377</v>
      </c>
      <c r="Q344" s="15" t="n">
        <f aca="false">O344+P344</f>
        <v>11564.6757936438</v>
      </c>
      <c r="R344" s="15" t="n">
        <f aca="false">Q344-$G$2+$I$2</f>
        <v>10290.0057936438</v>
      </c>
      <c r="S344" s="42" t="n">
        <f aca="false">R344/$K$2</f>
        <v>289.28888933494</v>
      </c>
      <c r="T344" s="43" t="n">
        <f aca="false">S344-$M$2</f>
        <v>0.000162880061907345</v>
      </c>
    </row>
    <row r="346" customFormat="false" ht="15" hidden="false" customHeight="false" outlineLevel="0" collapsed="false">
      <c r="A346" s="38" t="s">
        <v>196</v>
      </c>
      <c r="E346" s="5" t="s">
        <v>11</v>
      </c>
      <c r="F346" s="12" t="n">
        <f aca="false">Sensitivity!$B$12</f>
        <v>0.0814218415038925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8" t="s">
        <v>165</v>
      </c>
      <c r="B347" s="28" t="s">
        <v>166</v>
      </c>
      <c r="C347" s="28" t="s">
        <v>167</v>
      </c>
      <c r="D347" s="28" t="s">
        <v>168</v>
      </c>
      <c r="E347" s="28" t="s">
        <v>169</v>
      </c>
      <c r="F347" s="28" t="s">
        <v>170</v>
      </c>
      <c r="G347" s="28" t="s">
        <v>171</v>
      </c>
      <c r="H347" s="28" t="s">
        <v>172</v>
      </c>
      <c r="I347" s="28" t="s">
        <v>173</v>
      </c>
      <c r="J347" s="28" t="s">
        <v>174</v>
      </c>
      <c r="K347" s="28" t="s">
        <v>175</v>
      </c>
      <c r="L347" s="28" t="s">
        <v>176</v>
      </c>
      <c r="M347" s="28" t="s">
        <v>177</v>
      </c>
      <c r="N347" s="28" t="s">
        <v>178</v>
      </c>
      <c r="O347" s="28" t="s">
        <v>179</v>
      </c>
      <c r="P347" s="28" t="s">
        <v>180</v>
      </c>
      <c r="Q347" s="28" t="s">
        <v>181</v>
      </c>
      <c r="R347" s="28" t="s">
        <v>182</v>
      </c>
      <c r="S347" s="28" t="s">
        <v>183</v>
      </c>
      <c r="T347" s="28" t="s">
        <v>184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41" t="n">
        <f aca="false">(B348+C348)/2</f>
        <v>0.25</v>
      </c>
      <c r="E348" s="15" t="n">
        <f aca="false">$C$2*(1+IF(E$3&lt;=$O$2,$D348,$D348-($D348-$I$346)*MIN(E$3-$O$2,$Q$2)/$Q$2))</f>
        <v>3100</v>
      </c>
      <c r="F348" s="15" t="n">
        <f aca="false">E348*(1+IF(F$3&lt;=$O$2,$D348,$D348-($D348-$I$346)*MIN(F$3-$O$2,$Q$2)/$Q$2))</f>
        <v>3875</v>
      </c>
      <c r="G348" s="15" t="n">
        <f aca="false">F348*(1+IF(G$3&lt;=$O$2,$D348,$D348-($D348-$I$346)*MIN(G$3-$O$2,$Q$2)/$Q$2))</f>
        <v>4843.75</v>
      </c>
      <c r="H348" s="15" t="n">
        <f aca="false">G348*(1+IF(H$3&lt;=$O$2,$D348,$D348-($D348-$I$346)*MIN(H$3-$O$2,$Q$2)/$Q$2))</f>
        <v>6054.6875</v>
      </c>
      <c r="I348" s="15" t="n">
        <f aca="false">H348*(1+IF(I$3&lt;=$O$2,$D348,$D348-($D348-$I$346)*MIN(I$3-$O$2,$Q$2)/$Q$2))</f>
        <v>7568.359375</v>
      </c>
      <c r="J348" s="15" t="n">
        <f aca="false">I348*(1+IF(J$3&lt;=$O$2,$D348,$D348-($D348-$I$346)*MIN(J$3-$O$2,$Q$2)/$Q$2))</f>
        <v>9117.2998046875</v>
      </c>
      <c r="K348" s="15" t="n">
        <f aca="false">J348*(1+IF(K$3&lt;=$O$2,$D348,$D348-($D348-$I$346)*MIN(K$3-$O$2,$Q$2)/$Q$2))</f>
        <v>10569.8680095703</v>
      </c>
      <c r="L348" s="15" t="n">
        <f aca="false">K348*(1+IF(L$3&lt;=$O$2,$D348,$D348-($D348-$I$346)*MIN(L$3-$O$2,$Q$2)/$Q$2))</f>
        <v>11774.6215653011</v>
      </c>
      <c r="M348" s="15" t="n">
        <f aca="false">L348*(1+IF(M$3&lt;=$O$2,$D348,$D348-($D348-$I$346)*MIN(M$3-$O$2,$Q$2)/$Q$2))</f>
        <v>12582.8315895434</v>
      </c>
      <c r="N348" s="15" t="n">
        <f aca="false">M348*(1+IF(N$3&lt;=$O$2,$D348,$D348-($D348-$I$346)*MIN(N$3-$O$2,$Q$2)/$Q$2))</f>
        <v>12876.0115655798</v>
      </c>
      <c r="O348" s="15" t="n">
        <f aca="false">SUMPRODUCT(E348:N348,1/(1+$F$346)^$E$3:$N$3)*$E$2</f>
        <v>14953.307921982</v>
      </c>
      <c r="P348" s="15" t="n">
        <f aca="false">N348*$E$2*(1+$I$346)/($F$346-$I$346)/(1+$F$346)^$N$3</f>
        <v>31138.0528752296</v>
      </c>
      <c r="Q348" s="15" t="n">
        <f aca="false">O348+P348</f>
        <v>46091.3607972117</v>
      </c>
      <c r="R348" s="15" t="n">
        <f aca="false">Q348-$G$2+$I$2</f>
        <v>44816.6907972117</v>
      </c>
      <c r="S348" s="42" t="n">
        <f aca="false">R348/$K$2</f>
        <v>1259.9575709084</v>
      </c>
      <c r="T348" s="43" t="n">
        <f aca="false">S348-$M$2</f>
        <v>970.668844453519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41" t="n">
        <f aca="false">(B349+C349)/2</f>
        <v>-0.125</v>
      </c>
      <c r="E349" s="15" t="n">
        <f aca="false">$C$2*(1+IF(E$3&lt;=$O$2,$D349,$D349-($D349-$I$346)*MIN(E$3-$O$2,$Q$2)/$Q$2))</f>
        <v>2170</v>
      </c>
      <c r="F349" s="15" t="n">
        <f aca="false">E349*(1+IF(F$3&lt;=$O$2,$D349,$D349-($D349-$I$346)*MIN(F$3-$O$2,$Q$2)/$Q$2))</f>
        <v>1898.75</v>
      </c>
      <c r="G349" s="15" t="n">
        <f aca="false">F349*(1+IF(G$3&lt;=$O$2,$D349,$D349-($D349-$I$346)*MIN(G$3-$O$2,$Q$2)/$Q$2))</f>
        <v>1661.40625</v>
      </c>
      <c r="H349" s="15" t="n">
        <f aca="false">G349*(1+IF(H$3&lt;=$O$2,$D349,$D349-($D349-$I$346)*MIN(H$3-$O$2,$Q$2)/$Q$2))</f>
        <v>1453.73046875</v>
      </c>
      <c r="I349" s="15" t="n">
        <f aca="false">H349*(1+IF(I$3&lt;=$O$2,$D349,$D349-($D349-$I$346)*MIN(I$3-$O$2,$Q$2)/$Q$2))</f>
        <v>1272.01416015625</v>
      </c>
      <c r="J349" s="15" t="n">
        <f aca="false">I349*(1+IF(J$3&lt;=$O$2,$D349,$D349-($D349-$I$346)*MIN(J$3-$O$2,$Q$2)/$Q$2))</f>
        <v>1150.74033012695</v>
      </c>
      <c r="K349" s="15" t="n">
        <f aca="false">J349*(1+IF(K$3&lt;=$O$2,$D349,$D349-($D349-$I$346)*MIN(K$3-$O$2,$Q$2)/$Q$2))</f>
        <v>1075.15970524421</v>
      </c>
      <c r="L349" s="15" t="n">
        <f aca="false">K349*(1+IF(L$3&lt;=$O$2,$D349,$D349-($D349-$I$346)*MIN(L$3-$O$2,$Q$2)/$Q$2))</f>
        <v>1036.43245266132</v>
      </c>
      <c r="M349" s="15" t="n">
        <f aca="false">L349*(1+IF(M$3&lt;=$O$2,$D349,$D349-($D349-$I$346)*MIN(M$3-$O$2,$Q$2)/$Q$2))</f>
        <v>1029.84074226239</v>
      </c>
      <c r="N349" s="15" t="n">
        <f aca="false">M349*(1+IF(N$3&lt;=$O$2,$D349,$D349-($D349-$I$346)*MIN(N$3-$O$2,$Q$2)/$Q$2))</f>
        <v>1053.83603155711</v>
      </c>
      <c r="O349" s="15" t="n">
        <f aca="false">SUMPRODUCT(E349:N349,1/(1+$F$346)^$E$3:$N$3)*$E$2</f>
        <v>2930.42056295579</v>
      </c>
      <c r="P349" s="15" t="n">
        <f aca="false">N349*$E$2*(1+$I$346)/($F$346-$I$346)/(1+$F$346)^$N$3</f>
        <v>2548.49119273603</v>
      </c>
      <c r="Q349" s="15" t="n">
        <f aca="false">O349+P349</f>
        <v>5478.91175569182</v>
      </c>
      <c r="R349" s="15" t="n">
        <f aca="false">Q349-$G$2+$I$2</f>
        <v>4204.24175569182</v>
      </c>
      <c r="S349" s="42" t="n">
        <f aca="false">R349/$K$2</f>
        <v>118.196282139213</v>
      </c>
      <c r="T349" s="43" t="n">
        <f aca="false">S349-$M$2</f>
        <v>-171.092444315664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41" t="n">
        <f aca="false">(B350+C350)/2</f>
        <v>0.0625</v>
      </c>
      <c r="E350" s="15" t="n">
        <f aca="false">$C$2*(1+IF(E$3&lt;=$O$2,$D350,$D350-($D350-$I$346)*MIN(E$3-$O$2,$Q$2)/$Q$2))</f>
        <v>2635</v>
      </c>
      <c r="F350" s="15" t="n">
        <f aca="false">E350*(1+IF(F$3&lt;=$O$2,$D350,$D350-($D350-$I$346)*MIN(F$3-$O$2,$Q$2)/$Q$2))</f>
        <v>2799.6875</v>
      </c>
      <c r="G350" s="15" t="n">
        <f aca="false">F350*(1+IF(G$3&lt;=$O$2,$D350,$D350-($D350-$I$346)*MIN(G$3-$O$2,$Q$2)/$Q$2))</f>
        <v>2974.66796875</v>
      </c>
      <c r="H350" s="15" t="n">
        <f aca="false">G350*(1+IF(H$3&lt;=$O$2,$D350,$D350-($D350-$I$346)*MIN(H$3-$O$2,$Q$2)/$Q$2))</f>
        <v>3160.58471679688</v>
      </c>
      <c r="I350" s="15" t="n">
        <f aca="false">H350*(1+IF(I$3&lt;=$O$2,$D350,$D350-($D350-$I$346)*MIN(I$3-$O$2,$Q$2)/$Q$2))</f>
        <v>3358.12126159668</v>
      </c>
      <c r="J350" s="15" t="n">
        <f aca="false">I350*(1+IF(J$3&lt;=$O$2,$D350,$D350-($D350-$I$346)*MIN(J$3-$O$2,$Q$2)/$Q$2))</f>
        <v>3541.67616975555</v>
      </c>
      <c r="K350" s="15" t="n">
        <f aca="false">J350*(1+IF(K$3&lt;=$O$2,$D350,$D350-($D350-$I$346)*MIN(K$3-$O$2,$Q$2)/$Q$2))</f>
        <v>3707.49744802351</v>
      </c>
      <c r="L350" s="15" t="n">
        <f aca="false">K350*(1+IF(L$3&lt;=$O$2,$D350,$D350-($D350-$I$346)*MIN(L$3-$O$2,$Q$2)/$Q$2))</f>
        <v>3852.01569854747</v>
      </c>
      <c r="M350" s="15" t="n">
        <f aca="false">L350*(1+IF(M$3&lt;=$O$2,$D350,$D350-($D350-$I$346)*MIN(M$3-$O$2,$Q$2)/$Q$2))</f>
        <v>3971.96746740023</v>
      </c>
      <c r="N350" s="15" t="n">
        <f aca="false">M350*(1+IF(N$3&lt;=$O$2,$D350,$D350-($D350-$I$346)*MIN(N$3-$O$2,$Q$2)/$Q$2))</f>
        <v>4064.51430939066</v>
      </c>
      <c r="O350" s="15" t="n">
        <f aca="false">SUMPRODUCT(E350:N350,1/(1+$F$346)^$E$3:$N$3)*$E$2</f>
        <v>6611.1393340175</v>
      </c>
      <c r="P350" s="15" t="n">
        <f aca="false">N350*$E$2*(1+$I$346)/($F$346-$I$346)/(1+$F$346)^$N$3</f>
        <v>9829.21309392557</v>
      </c>
      <c r="Q350" s="15" t="n">
        <f aca="false">O350+P350</f>
        <v>16440.3524279431</v>
      </c>
      <c r="R350" s="15" t="n">
        <f aca="false">Q350-$G$2+$I$2</f>
        <v>15165.6824279431</v>
      </c>
      <c r="S350" s="42" t="n">
        <f aca="false">R350/$K$2</f>
        <v>426.361608882291</v>
      </c>
      <c r="T350" s="43" t="n">
        <f aca="false">S350-$M$2</f>
        <v>137.072882427413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-0.125</v>
      </c>
      <c r="C351" s="25" t="n">
        <f aca="false">IF(T350&gt;0,D350,C350)</f>
        <v>0.0625</v>
      </c>
      <c r="D351" s="41" t="n">
        <f aca="false">(B351+C351)/2</f>
        <v>-0.03125</v>
      </c>
      <c r="E351" s="15" t="n">
        <f aca="false">$C$2*(1+IF(E$3&lt;=$O$2,$D351,$D351-($D351-$I$346)*MIN(E$3-$O$2,$Q$2)/$Q$2))</f>
        <v>2402.5</v>
      </c>
      <c r="F351" s="15" t="n">
        <f aca="false">E351*(1+IF(F$3&lt;=$O$2,$D351,$D351-($D351-$I$346)*MIN(F$3-$O$2,$Q$2)/$Q$2))</f>
        <v>2327.421875</v>
      </c>
      <c r="G351" s="15" t="n">
        <f aca="false">F351*(1+IF(G$3&lt;=$O$2,$D351,$D351-($D351-$I$346)*MIN(G$3-$O$2,$Q$2)/$Q$2))</f>
        <v>2254.68994140625</v>
      </c>
      <c r="H351" s="15" t="n">
        <f aca="false">G351*(1+IF(H$3&lt;=$O$2,$D351,$D351-($D351-$I$346)*MIN(H$3-$O$2,$Q$2)/$Q$2))</f>
        <v>2184.2308807373</v>
      </c>
      <c r="I351" s="15" t="n">
        <f aca="false">H351*(1+IF(I$3&lt;=$O$2,$D351,$D351-($D351-$I$346)*MIN(I$3-$O$2,$Q$2)/$Q$2))</f>
        <v>2115.97366571426</v>
      </c>
      <c r="J351" s="15" t="n">
        <f aca="false">I351*(1+IF(J$3&lt;=$O$2,$D351,$D351-($D351-$I$346)*MIN(J$3-$O$2,$Q$2)/$Q$2))</f>
        <v>2072.93476135364</v>
      </c>
      <c r="K351" s="15" t="n">
        <f aca="false">J351*(1+IF(K$3&lt;=$O$2,$D351,$D351-($D351-$I$346)*MIN(K$3-$O$2,$Q$2)/$Q$2))</f>
        <v>2053.38698655407</v>
      </c>
      <c r="L351" s="15" t="n">
        <f aca="false">K351*(1+IF(L$3&lt;=$O$2,$D351,$D351-($D351-$I$346)*MIN(L$3-$O$2,$Q$2)/$Q$2))</f>
        <v>2056.42599929417</v>
      </c>
      <c r="M351" s="15" t="n">
        <f aca="false">L351*(1+IF(M$3&lt;=$O$2,$D351,$D351-($D351-$I$346)*MIN(M$3-$O$2,$Q$2)/$Q$2))</f>
        <v>2081.90511742542</v>
      </c>
      <c r="N351" s="15" t="n">
        <f aca="false">M351*(1+IF(N$3&lt;=$O$2,$D351,$D351-($D351-$I$346)*MIN(N$3-$O$2,$Q$2)/$Q$2))</f>
        <v>2130.41350666144</v>
      </c>
      <c r="O351" s="15" t="n">
        <f aca="false">SUMPRODUCT(E351:N351,1/(1+$F$346)^$E$3:$N$3)*$E$2</f>
        <v>4389.21177992026</v>
      </c>
      <c r="P351" s="15" t="n">
        <f aca="false">N351*$E$2*(1+$I$346)/($F$346-$I$346)/(1+$F$346)^$N$3</f>
        <v>5151.97800799274</v>
      </c>
      <c r="Q351" s="15" t="n">
        <f aca="false">O351+P351</f>
        <v>9541.18978791301</v>
      </c>
      <c r="R351" s="15" t="n">
        <f aca="false">Q351-$G$2+$I$2</f>
        <v>8266.51978791301</v>
      </c>
      <c r="S351" s="42" t="n">
        <f aca="false">R351/$K$2</f>
        <v>232.401455943576</v>
      </c>
      <c r="T351" s="43" t="n">
        <f aca="false">S351-$M$2</f>
        <v>-56.8872705113015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-0.03125</v>
      </c>
      <c r="C352" s="25" t="n">
        <f aca="false">IF(T351&gt;0,D351,C351)</f>
        <v>0.0625</v>
      </c>
      <c r="D352" s="41" t="n">
        <f aca="false">(B352+C352)/2</f>
        <v>0.015625</v>
      </c>
      <c r="E352" s="15" t="n">
        <f aca="false">$C$2*(1+IF(E$3&lt;=$O$2,$D352,$D352-($D352-$I$346)*MIN(E$3-$O$2,$Q$2)/$Q$2))</f>
        <v>2518.75</v>
      </c>
      <c r="F352" s="15" t="n">
        <f aca="false">E352*(1+IF(F$3&lt;=$O$2,$D352,$D352-($D352-$I$346)*MIN(F$3-$O$2,$Q$2)/$Q$2))</f>
        <v>2558.10546875</v>
      </c>
      <c r="G352" s="15" t="n">
        <f aca="false">F352*(1+IF(G$3&lt;=$O$2,$D352,$D352-($D352-$I$346)*MIN(G$3-$O$2,$Q$2)/$Q$2))</f>
        <v>2598.07586669922</v>
      </c>
      <c r="H352" s="15" t="n">
        <f aca="false">G352*(1+IF(H$3&lt;=$O$2,$D352,$D352-($D352-$I$346)*MIN(H$3-$O$2,$Q$2)/$Q$2))</f>
        <v>2638.67080211639</v>
      </c>
      <c r="I352" s="15" t="n">
        <f aca="false">H352*(1+IF(I$3&lt;=$O$2,$D352,$D352-($D352-$I$346)*MIN(I$3-$O$2,$Q$2)/$Q$2))</f>
        <v>2679.90003339946</v>
      </c>
      <c r="J352" s="15" t="n">
        <f aca="false">I352*(1+IF(J$3&lt;=$O$2,$D352,$D352-($D352-$I$346)*MIN(J$3-$O$2,$Q$2)/$Q$2))</f>
        <v>2725.8871179726</v>
      </c>
      <c r="K352" s="15" t="n">
        <f aca="false">J352*(1+IF(K$3&lt;=$O$2,$D352,$D352-($D352-$I$346)*MIN(K$3-$O$2,$Q$2)/$Q$2))</f>
        <v>2776.8475776431</v>
      </c>
      <c r="L352" s="15" t="n">
        <f aca="false">K352*(1+IF(L$3&lt;=$O$2,$D352,$D352-($D352-$I$346)*MIN(L$3-$O$2,$Q$2)/$Q$2))</f>
        <v>2833.02320413882</v>
      </c>
      <c r="M352" s="15" t="n">
        <f aca="false">L352*(1+IF(M$3&lt;=$O$2,$D352,$D352-($D352-$I$346)*MIN(M$3-$O$2,$Q$2)/$Q$2))</f>
        <v>2894.6839541769</v>
      </c>
      <c r="N352" s="15" t="n">
        <f aca="false">M352*(1+IF(N$3&lt;=$O$2,$D352,$D352-($D352-$I$346)*MIN(N$3-$O$2,$Q$2)/$Q$2))</f>
        <v>2962.13009030922</v>
      </c>
      <c r="O352" s="15" t="n">
        <f aca="false">SUMPRODUCT(E352:N352,1/(1+$F$346)^$E$3:$N$3)*$E$2</f>
        <v>5384.81679735135</v>
      </c>
      <c r="P352" s="15" t="n">
        <f aca="false">N352*$E$2*(1+$I$346)/($F$346-$I$346)/(1+$F$346)^$N$3</f>
        <v>7163.31784152169</v>
      </c>
      <c r="Q352" s="15" t="n">
        <f aca="false">O352+P352</f>
        <v>12548.134638873</v>
      </c>
      <c r="R352" s="15" t="n">
        <f aca="false">Q352-$G$2+$I$2</f>
        <v>11273.464638873</v>
      </c>
      <c r="S352" s="42" t="n">
        <f aca="false">R352/$K$2</f>
        <v>316.937437134468</v>
      </c>
      <c r="T352" s="43" t="n">
        <f aca="false">S352-$M$2</f>
        <v>27.6487106795906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-0.03125</v>
      </c>
      <c r="C353" s="25" t="n">
        <f aca="false">IF(T352&gt;0,D352,C352)</f>
        <v>0.015625</v>
      </c>
      <c r="D353" s="41" t="n">
        <f aca="false">(B353+C353)/2</f>
        <v>-0.0078125</v>
      </c>
      <c r="E353" s="15" t="n">
        <f aca="false">$C$2*(1+IF(E$3&lt;=$O$2,$D353,$D353-($D353-$I$346)*MIN(E$3-$O$2,$Q$2)/$Q$2))</f>
        <v>2460.625</v>
      </c>
      <c r="F353" s="15" t="n">
        <f aca="false">E353*(1+IF(F$3&lt;=$O$2,$D353,$D353-($D353-$I$346)*MIN(F$3-$O$2,$Q$2)/$Q$2))</f>
        <v>2441.4013671875</v>
      </c>
      <c r="G353" s="15" t="n">
        <f aca="false">F353*(1+IF(G$3&lt;=$O$2,$D353,$D353-($D353-$I$346)*MIN(G$3-$O$2,$Q$2)/$Q$2))</f>
        <v>2422.32791900635</v>
      </c>
      <c r="H353" s="15" t="n">
        <f aca="false">G353*(1+IF(H$3&lt;=$O$2,$D353,$D353-($D353-$I$346)*MIN(H$3-$O$2,$Q$2)/$Q$2))</f>
        <v>2403.40348213911</v>
      </c>
      <c r="I353" s="15" t="n">
        <f aca="false">H353*(1+IF(I$3&lt;=$O$2,$D353,$D353-($D353-$I$346)*MIN(I$3-$O$2,$Q$2)/$Q$2))</f>
        <v>2384.6268924349</v>
      </c>
      <c r="J353" s="15" t="n">
        <f aca="false">I353*(1+IF(J$3&lt;=$O$2,$D353,$D353-($D353-$I$346)*MIN(J$3-$O$2,$Q$2)/$Q$2))</f>
        <v>2380.83533567593</v>
      </c>
      <c r="K353" s="15" t="n">
        <f aca="false">J353*(1+IF(K$3&lt;=$O$2,$D353,$D353-($D353-$I$346)*MIN(K$3-$O$2,$Q$2)/$Q$2))</f>
        <v>2391.86455536845</v>
      </c>
      <c r="L353" s="15" t="n">
        <f aca="false">K353*(1+IF(L$3&lt;=$O$2,$D353,$D353-($D353-$I$346)*MIN(L$3-$O$2,$Q$2)/$Q$2))</f>
        <v>2417.82824511697</v>
      </c>
      <c r="M353" s="15" t="n">
        <f aca="false">L353*(1+IF(M$3&lt;=$O$2,$D353,$D353-($D353-$I$346)*MIN(M$3-$O$2,$Q$2)/$Q$2))</f>
        <v>2459.11870697296</v>
      </c>
      <c r="N353" s="15" t="n">
        <f aca="false">M353*(1+IF(N$3&lt;=$O$2,$D353,$D353-($D353-$I$346)*MIN(N$3-$O$2,$Q$2)/$Q$2))</f>
        <v>2516.41617284543</v>
      </c>
      <c r="O353" s="15" t="n">
        <f aca="false">SUMPRODUCT(E353:N353,1/(1+$F$346)^$E$3:$N$3)*$E$2</f>
        <v>4860.94507274602</v>
      </c>
      <c r="P353" s="15" t="n">
        <f aca="false">N353*$E$2*(1+$I$346)/($F$346-$I$346)/(1+$F$346)^$N$3</f>
        <v>6085.44807893823</v>
      </c>
      <c r="Q353" s="15" t="n">
        <f aca="false">O353+P353</f>
        <v>10946.3931516843</v>
      </c>
      <c r="R353" s="15" t="n">
        <f aca="false">Q353-$G$2+$I$2</f>
        <v>9671.72315168425</v>
      </c>
      <c r="S353" s="42" t="n">
        <f aca="false">R353/$K$2</f>
        <v>271.906751523313</v>
      </c>
      <c r="T353" s="43" t="n">
        <f aca="false">S353-$M$2</f>
        <v>-17.3819749315645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-0.0078125</v>
      </c>
      <c r="C354" s="25" t="n">
        <f aca="false">IF(T353&gt;0,D353,C353)</f>
        <v>0.015625</v>
      </c>
      <c r="D354" s="41" t="n">
        <f aca="false">(B354+C354)/2</f>
        <v>0.00390625</v>
      </c>
      <c r="E354" s="15" t="n">
        <f aca="false">$C$2*(1+IF(E$3&lt;=$O$2,$D354,$D354-($D354-$I$346)*MIN(E$3-$O$2,$Q$2)/$Q$2))</f>
        <v>2489.6875</v>
      </c>
      <c r="F354" s="15" t="n">
        <f aca="false">E354*(1+IF(F$3&lt;=$O$2,$D354,$D354-($D354-$I$346)*MIN(F$3-$O$2,$Q$2)/$Q$2))</f>
        <v>2499.41284179688</v>
      </c>
      <c r="G354" s="15" t="n">
        <f aca="false">F354*(1+IF(G$3&lt;=$O$2,$D354,$D354-($D354-$I$346)*MIN(G$3-$O$2,$Q$2)/$Q$2))</f>
        <v>2509.17617321014</v>
      </c>
      <c r="H354" s="15" t="n">
        <f aca="false">G354*(1+IF(H$3&lt;=$O$2,$D354,$D354-($D354-$I$346)*MIN(H$3-$O$2,$Q$2)/$Q$2))</f>
        <v>2518.97764263675</v>
      </c>
      <c r="I354" s="15" t="n">
        <f aca="false">H354*(1+IF(I$3&lt;=$O$2,$D354,$D354-($D354-$I$346)*MIN(I$3-$O$2,$Q$2)/$Q$2))</f>
        <v>2528.8173990533</v>
      </c>
      <c r="J354" s="15" t="n">
        <f aca="false">I354*(1+IF(J$3&lt;=$O$2,$D354,$D354-($D354-$I$346)*MIN(J$3-$O$2,$Q$2)/$Q$2))</f>
        <v>2548.50424250493</v>
      </c>
      <c r="K354" s="15" t="n">
        <f aca="false">J354*(1+IF(K$3&lt;=$O$2,$D354,$D354-($D354-$I$346)*MIN(K$3-$O$2,$Q$2)/$Q$2))</f>
        <v>2578.22935886344</v>
      </c>
      <c r="L354" s="15" t="n">
        <f aca="false">K354*(1+IF(L$3&lt;=$O$2,$D354,$D354-($D354-$I$346)*MIN(L$3-$O$2,$Q$2)/$Q$2))</f>
        <v>2618.30148867358</v>
      </c>
      <c r="M354" s="15" t="n">
        <f aca="false">L354*(1+IF(M$3&lt;=$O$2,$D354,$D354-($D354-$I$346)*MIN(M$3-$O$2,$Q$2)/$Q$2))</f>
        <v>2669.15217646048</v>
      </c>
      <c r="N354" s="15" t="n">
        <f aca="false">M354*(1+IF(N$3&lt;=$O$2,$D354,$D354-($D354-$I$346)*MIN(N$3-$O$2,$Q$2)/$Q$2))</f>
        <v>2731.34342217201</v>
      </c>
      <c r="O354" s="15" t="n">
        <f aca="false">SUMPRODUCT(E354:N354,1/(1+$F$346)^$E$3:$N$3)*$E$2</f>
        <v>5116.03586212393</v>
      </c>
      <c r="P354" s="15" t="n">
        <f aca="false">N354*$E$2*(1+$I$346)/($F$346-$I$346)/(1+$F$346)^$N$3</f>
        <v>6605.2065476048</v>
      </c>
      <c r="Q354" s="15" t="n">
        <f aca="false">O354+P354</f>
        <v>11721.2424097287</v>
      </c>
      <c r="R354" s="15" t="n">
        <f aca="false">Q354-$G$2+$I$2</f>
        <v>10446.5724097287</v>
      </c>
      <c r="S354" s="42" t="n">
        <f aca="false">R354/$K$2</f>
        <v>293.690537242866</v>
      </c>
      <c r="T354" s="43" t="n">
        <f aca="false">S354-$M$2</f>
        <v>4.40181078798793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-0.0078125</v>
      </c>
      <c r="C355" s="25" t="n">
        <f aca="false">IF(T354&gt;0,D354,C354)</f>
        <v>0.00390625</v>
      </c>
      <c r="D355" s="41" t="n">
        <f aca="false">(B355+C355)/2</f>
        <v>-0.001953125</v>
      </c>
      <c r="E355" s="15" t="n">
        <f aca="false">$C$2*(1+IF(E$3&lt;=$O$2,$D355,$D355-($D355-$I$346)*MIN(E$3-$O$2,$Q$2)/$Q$2))</f>
        <v>2475.15625</v>
      </c>
      <c r="F355" s="15" t="n">
        <f aca="false">E355*(1+IF(F$3&lt;=$O$2,$D355,$D355-($D355-$I$346)*MIN(F$3-$O$2,$Q$2)/$Q$2))</f>
        <v>2470.32196044922</v>
      </c>
      <c r="G355" s="15" t="n">
        <f aca="false">F355*(1+IF(G$3&lt;=$O$2,$D355,$D355-($D355-$I$346)*MIN(G$3-$O$2,$Q$2)/$Q$2))</f>
        <v>2465.49711287022</v>
      </c>
      <c r="H355" s="15" t="n">
        <f aca="false">G355*(1+IF(H$3&lt;=$O$2,$D355,$D355-($D355-$I$346)*MIN(H$3-$O$2,$Q$2)/$Q$2))</f>
        <v>2460.68168882164</v>
      </c>
      <c r="I355" s="15" t="n">
        <f aca="false">H355*(1+IF(I$3&lt;=$O$2,$D355,$D355-($D355-$I$346)*MIN(I$3-$O$2,$Q$2)/$Q$2))</f>
        <v>2455.87566989816</v>
      </c>
      <c r="J355" s="15" t="n">
        <f aca="false">I355*(1+IF(J$3&lt;=$O$2,$D355,$D355-($D355-$I$346)*MIN(J$3-$O$2,$Q$2)/$Q$2))</f>
        <v>2463.48274478567</v>
      </c>
      <c r="K355" s="15" t="n">
        <f aca="false">J355*(1+IF(K$3&lt;=$O$2,$D355,$D355-($D355-$I$346)*MIN(K$3-$O$2,$Q$2)/$Q$2))</f>
        <v>2483.55551012553</v>
      </c>
      <c r="L355" s="15" t="n">
        <f aca="false">K355*(1+IF(L$3&lt;=$O$2,$D355,$D355-($D355-$I$346)*MIN(L$3-$O$2,$Q$2)/$Q$2))</f>
        <v>2516.3353384148</v>
      </c>
      <c r="M355" s="15" t="n">
        <f aca="false">L355*(1+IF(M$3&lt;=$O$2,$D355,$D355-($D355-$I$346)*MIN(M$3-$O$2,$Q$2)/$Q$2))</f>
        <v>2562.25688563128</v>
      </c>
      <c r="N355" s="15" t="n">
        <f aca="false">M355*(1+IF(N$3&lt;=$O$2,$D355,$D355-($D355-$I$346)*MIN(N$3-$O$2,$Q$2)/$Q$2))</f>
        <v>2621.95747106649</v>
      </c>
      <c r="O355" s="15" t="n">
        <f aca="false">SUMPRODUCT(E355:N355,1/(1+$F$346)^$E$3:$N$3)*$E$2</f>
        <v>4986.82128398232</v>
      </c>
      <c r="P355" s="15" t="n">
        <f aca="false">N355*$E$2*(1+$I$346)/($F$346-$I$346)/(1+$F$346)^$N$3</f>
        <v>6340.67855211619</v>
      </c>
      <c r="Q355" s="15" t="n">
        <f aca="false">O355+P355</f>
        <v>11327.4998360985</v>
      </c>
      <c r="R355" s="15" t="n">
        <f aca="false">Q355-$G$2+$I$2</f>
        <v>10052.8298360985</v>
      </c>
      <c r="S355" s="42" t="n">
        <f aca="false">R355/$K$2</f>
        <v>282.621024349129</v>
      </c>
      <c r="T355" s="43" t="n">
        <f aca="false">S355-$M$2</f>
        <v>-6.6677021057489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-0.001953125</v>
      </c>
      <c r="C356" s="25" t="n">
        <f aca="false">IF(T355&gt;0,D355,C355)</f>
        <v>0.00390625</v>
      </c>
      <c r="D356" s="41" t="n">
        <f aca="false">(B356+C356)/2</f>
        <v>0.0009765625</v>
      </c>
      <c r="E356" s="15" t="n">
        <f aca="false">$C$2*(1+IF(E$3&lt;=$O$2,$D356,$D356-($D356-$I$346)*MIN(E$3-$O$2,$Q$2)/$Q$2))</f>
        <v>2482.421875</v>
      </c>
      <c r="F356" s="15" t="n">
        <f aca="false">E356*(1+IF(F$3&lt;=$O$2,$D356,$D356-($D356-$I$346)*MIN(F$3-$O$2,$Q$2)/$Q$2))</f>
        <v>2484.8461151123</v>
      </c>
      <c r="G356" s="15" t="n">
        <f aca="false">F356*(1+IF(G$3&lt;=$O$2,$D356,$D356-($D356-$I$346)*MIN(G$3-$O$2,$Q$2)/$Q$2))</f>
        <v>2487.27272264659</v>
      </c>
      <c r="H356" s="15" t="n">
        <f aca="false">G356*(1+IF(H$3&lt;=$O$2,$D356,$D356-($D356-$I$346)*MIN(H$3-$O$2,$Q$2)/$Q$2))</f>
        <v>2489.7016999148</v>
      </c>
      <c r="I356" s="15" t="n">
        <f aca="false">H356*(1+IF(I$3&lt;=$O$2,$D356,$D356-($D356-$I$346)*MIN(I$3-$O$2,$Q$2)/$Q$2))</f>
        <v>2492.13304923113</v>
      </c>
      <c r="J356" s="15" t="n">
        <f aca="false">I356*(1+IF(J$3&lt;=$O$2,$D356,$D356-($D356-$I$346)*MIN(J$3-$O$2,$Q$2)/$Q$2))</f>
        <v>2505.69336818526</v>
      </c>
      <c r="K356" s="15" t="n">
        <f aca="false">J356*(1+IF(K$3&lt;=$O$2,$D356,$D356-($D356-$I$346)*MIN(K$3-$O$2,$Q$2)/$Q$2))</f>
        <v>2530.51461008466</v>
      </c>
      <c r="L356" s="15" t="n">
        <f aca="false">K356*(1+IF(L$3&lt;=$O$2,$D356,$D356-($D356-$I$346)*MIN(L$3-$O$2,$Q$2)/$Q$2))</f>
        <v>2566.87968660321</v>
      </c>
      <c r="M356" s="15" t="n">
        <f aca="false">L356*(1+IF(M$3&lt;=$O$2,$D356,$D356-($D356-$I$346)*MIN(M$3-$O$2,$Q$2)/$Q$2))</f>
        <v>2615.22766765028</v>
      </c>
      <c r="N356" s="15" t="n">
        <f aca="false">M356*(1+IF(N$3&lt;=$O$2,$D356,$D356-($D356-$I$346)*MIN(N$3-$O$2,$Q$2)/$Q$2))</f>
        <v>2676.16247230654</v>
      </c>
      <c r="O356" s="15" t="n">
        <f aca="false">SUMPRODUCT(E356:N356,1/(1+$F$346)^$E$3:$N$3)*$E$2</f>
        <v>5051.00608757187</v>
      </c>
      <c r="P356" s="15" t="n">
        <f aca="false">N356*$E$2*(1+$I$346)/($F$346-$I$346)/(1+$F$346)^$N$3</f>
        <v>6471.76248180343</v>
      </c>
      <c r="Q356" s="15" t="n">
        <f aca="false">O356+P356</f>
        <v>11522.7685693753</v>
      </c>
      <c r="R356" s="15" t="n">
        <f aca="false">Q356-$G$2+$I$2</f>
        <v>10248.0985693753</v>
      </c>
      <c r="S356" s="42" t="n">
        <f aca="false">R356/$K$2</f>
        <v>288.110727280722</v>
      </c>
      <c r="T356" s="43" t="n">
        <f aca="false">S356-$M$2</f>
        <v>-1.17799917415527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0.0009765625</v>
      </c>
      <c r="C357" s="25" t="n">
        <f aca="false">IF(T356&gt;0,D356,C356)</f>
        <v>0.00390625</v>
      </c>
      <c r="D357" s="41" t="n">
        <f aca="false">(B357+C357)/2</f>
        <v>0.00244140625</v>
      </c>
      <c r="E357" s="15" t="n">
        <f aca="false">$C$2*(1+IF(E$3&lt;=$O$2,$D357,$D357-($D357-$I$346)*MIN(E$3-$O$2,$Q$2)/$Q$2))</f>
        <v>2486.0546875</v>
      </c>
      <c r="F357" s="15" t="n">
        <f aca="false">E357*(1+IF(F$3&lt;=$O$2,$D357,$D357-($D357-$I$346)*MIN(F$3-$O$2,$Q$2)/$Q$2))</f>
        <v>2492.1241569519</v>
      </c>
      <c r="G357" s="15" t="n">
        <f aca="false">F357*(1+IF(G$3&lt;=$O$2,$D357,$D357-($D357-$I$346)*MIN(G$3-$O$2,$Q$2)/$Q$2))</f>
        <v>2498.20844444446</v>
      </c>
      <c r="H357" s="15" t="n">
        <f aca="false">G357*(1+IF(H$3&lt;=$O$2,$D357,$D357-($D357-$I$346)*MIN(H$3-$O$2,$Q$2)/$Q$2))</f>
        <v>2504.30758615453</v>
      </c>
      <c r="I357" s="15" t="n">
        <f aca="false">H357*(1+IF(I$3&lt;=$O$2,$D357,$D357-($D357-$I$346)*MIN(I$3-$O$2,$Q$2)/$Q$2))</f>
        <v>2510.42161834729</v>
      </c>
      <c r="J357" s="15" t="n">
        <f aca="false">I357*(1+IF(J$3&lt;=$O$2,$D357,$D357-($D357-$I$346)*MIN(J$3-$O$2,$Q$2)/$Q$2))</f>
        <v>2527.02335031213</v>
      </c>
      <c r="K357" s="15" t="n">
        <f aca="false">J357*(1+IF(K$3&lt;=$O$2,$D357,$D357-($D357-$I$346)*MIN(K$3-$O$2,$Q$2)/$Q$2))</f>
        <v>2554.27690229784</v>
      </c>
      <c r="L357" s="15" t="n">
        <f aca="false">K357*(1+IF(L$3&lt;=$O$2,$D357,$D357-($D357-$I$346)*MIN(L$3-$O$2,$Q$2)/$Q$2))</f>
        <v>2592.48010442937</v>
      </c>
      <c r="M357" s="15" t="n">
        <f aca="false">L357*(1+IF(M$3&lt;=$O$2,$D357,$D357-($D357-$I$346)*MIN(M$3-$O$2,$Q$2)/$Q$2))</f>
        <v>2642.06979300192</v>
      </c>
      <c r="N357" s="15" t="n">
        <f aca="false">M357*(1+IF(N$3&lt;=$O$2,$D357,$D357-($D357-$I$346)*MIN(N$3-$O$2,$Q$2)/$Q$2))</f>
        <v>2703.63001917887</v>
      </c>
      <c r="O357" s="15" t="n">
        <f aca="false">SUMPRODUCT(E357:N357,1/(1+$F$346)^$E$3:$N$3)*$E$2</f>
        <v>5083.41469861454</v>
      </c>
      <c r="P357" s="15" t="n">
        <f aca="false">N357*$E$2*(1+$I$346)/($F$346-$I$346)/(1+$F$346)^$N$3</f>
        <v>6538.1872378319</v>
      </c>
      <c r="Q357" s="15" t="n">
        <f aca="false">O357+P357</f>
        <v>11621.6019364464</v>
      </c>
      <c r="R357" s="15" t="n">
        <f aca="false">Q357-$G$2+$I$2</f>
        <v>10346.9319364464</v>
      </c>
      <c r="S357" s="42" t="n">
        <f aca="false">R357/$K$2</f>
        <v>290.889286939737</v>
      </c>
      <c r="T357" s="43" t="n">
        <f aca="false">S357-$M$2</f>
        <v>1.60056048485922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0.0009765625</v>
      </c>
      <c r="C358" s="25" t="n">
        <f aca="false">IF(T357&gt;0,D357,C357)</f>
        <v>0.00244140625</v>
      </c>
      <c r="D358" s="41" t="n">
        <f aca="false">(B358+C358)/2</f>
        <v>0.001708984375</v>
      </c>
      <c r="E358" s="15" t="n">
        <f aca="false">$C$2*(1+IF(E$3&lt;=$O$2,$D358,$D358-($D358-$I$346)*MIN(E$3-$O$2,$Q$2)/$Q$2))</f>
        <v>2484.23828125</v>
      </c>
      <c r="F358" s="15" t="n">
        <f aca="false">E358*(1+IF(F$3&lt;=$O$2,$D358,$D358-($D358-$I$346)*MIN(F$3-$O$2,$Q$2)/$Q$2))</f>
        <v>2488.48380565643</v>
      </c>
      <c r="G358" s="15" t="n">
        <f aca="false">F358*(1+IF(G$3&lt;=$O$2,$D358,$D358-($D358-$I$346)*MIN(G$3-$O$2,$Q$2)/$Q$2))</f>
        <v>2492.73658559774</v>
      </c>
      <c r="H358" s="15" t="n">
        <f aca="false">G358*(1+IF(H$3&lt;=$O$2,$D358,$D358-($D358-$I$346)*MIN(H$3-$O$2,$Q$2)/$Q$2))</f>
        <v>2496.99663347352</v>
      </c>
      <c r="I358" s="15" t="n">
        <f aca="false">H358*(1+IF(I$3&lt;=$O$2,$D358,$D358-($D358-$I$346)*MIN(I$3-$O$2,$Q$2)/$Q$2))</f>
        <v>2501.26396170455</v>
      </c>
      <c r="J358" s="15" t="n">
        <f aca="false">I358*(1+IF(J$3&lt;=$O$2,$D358,$D358-($D358-$I$346)*MIN(J$3-$O$2,$Q$2)/$Q$2))</f>
        <v>2516.33954858874</v>
      </c>
      <c r="K358" s="15" t="n">
        <f aca="false">J358*(1+IF(K$3&lt;=$O$2,$D358,$D358-($D358-$I$346)*MIN(K$3-$O$2,$Q$2)/$Q$2))</f>
        <v>2542.37206416402</v>
      </c>
      <c r="L358" s="15" t="n">
        <f aca="false">K358*(1+IF(L$3&lt;=$O$2,$D358,$D358-($D358-$I$346)*MIN(L$3-$O$2,$Q$2)/$Q$2))</f>
        <v>2579.65237527427</v>
      </c>
      <c r="M358" s="15" t="n">
        <f aca="false">L358*(1+IF(M$3&lt;=$O$2,$D358,$D358-($D358-$I$346)*MIN(M$3-$O$2,$Q$2)/$Q$2))</f>
        <v>2628.61881266984</v>
      </c>
      <c r="N358" s="15" t="n">
        <f aca="false">M358*(1+IF(N$3&lt;=$O$2,$D358,$D358-($D358-$I$346)*MIN(N$3-$O$2,$Q$2)/$Q$2))</f>
        <v>2689.86563100505</v>
      </c>
      <c r="O358" s="15" t="n">
        <f aca="false">SUMPRODUCT(E358:N358,1/(1+$F$346)^$E$3:$N$3)*$E$2</f>
        <v>5067.18390616938</v>
      </c>
      <c r="P358" s="15" t="n">
        <f aca="false">N358*$E$2*(1+$I$346)/($F$346-$I$346)/(1+$F$346)^$N$3</f>
        <v>6504.90082421161</v>
      </c>
      <c r="Q358" s="15" t="n">
        <f aca="false">O358+P358</f>
        <v>11572.084730381</v>
      </c>
      <c r="R358" s="15" t="n">
        <f aca="false">Q358-$G$2+$I$2</f>
        <v>10297.414730381</v>
      </c>
      <c r="S358" s="42" t="n">
        <f aca="false">R358/$K$2</f>
        <v>289.497181062159</v>
      </c>
      <c r="T358" s="43" t="n">
        <f aca="false">S358-$M$2</f>
        <v>0.208454607281226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0.0009765625</v>
      </c>
      <c r="C359" s="25" t="n">
        <f aca="false">IF(T358&gt;0,D358,C358)</f>
        <v>0.001708984375</v>
      </c>
      <c r="D359" s="41" t="n">
        <f aca="false">(B359+C359)/2</f>
        <v>0.0013427734375</v>
      </c>
      <c r="E359" s="15" t="n">
        <f aca="false">$C$2*(1+IF(E$3&lt;=$O$2,$D359,$D359-($D359-$I$346)*MIN(E$3-$O$2,$Q$2)/$Q$2))</f>
        <v>2483.330078125</v>
      </c>
      <c r="F359" s="15" t="n">
        <f aca="false">E359*(1+IF(F$3&lt;=$O$2,$D359,$D359-($D359-$I$346)*MIN(F$3-$O$2,$Q$2)/$Q$2))</f>
        <v>2486.66462779045</v>
      </c>
      <c r="G359" s="15" t="n">
        <f aca="false">F359*(1+IF(G$3&lt;=$O$2,$D359,$D359-($D359-$I$346)*MIN(G$3-$O$2,$Q$2)/$Q$2))</f>
        <v>2490.00365500062</v>
      </c>
      <c r="H359" s="15" t="n">
        <f aca="false">G359*(1+IF(H$3&lt;=$O$2,$D359,$D359-($D359-$I$346)*MIN(H$3-$O$2,$Q$2)/$Q$2))</f>
        <v>2493.34716576783</v>
      </c>
      <c r="I359" s="15" t="n">
        <f aca="false">H359*(1+IF(I$3&lt;=$O$2,$D359,$D359-($D359-$I$346)*MIN(I$3-$O$2,$Q$2)/$Q$2))</f>
        <v>2496.69516611249</v>
      </c>
      <c r="J359" s="15" t="n">
        <f aca="false">I359*(1+IF(J$3&lt;=$O$2,$D359,$D359-($D359-$I$346)*MIN(J$3-$O$2,$Q$2)/$Q$2))</f>
        <v>2511.01176234705</v>
      </c>
      <c r="K359" s="15" t="n">
        <f aca="false">J359*(1+IF(K$3&lt;=$O$2,$D359,$D359-($D359-$I$346)*MIN(K$3-$O$2,$Q$2)/$Q$2))</f>
        <v>2536.43742390956</v>
      </c>
      <c r="L359" s="15" t="n">
        <f aca="false">K359*(1+IF(L$3&lt;=$O$2,$D359,$D359-($D359-$I$346)*MIN(L$3-$O$2,$Q$2)/$Q$2))</f>
        <v>2573.2591634153</v>
      </c>
      <c r="M359" s="15" t="n">
        <f aca="false">L359*(1+IF(M$3&lt;=$O$2,$D359,$D359-($D359-$I$346)*MIN(M$3-$O$2,$Q$2)/$Q$2))</f>
        <v>2621.91577503185</v>
      </c>
      <c r="N359" s="15" t="n">
        <f aca="false">M359*(1+IF(N$3&lt;=$O$2,$D359,$D359-($D359-$I$346)*MIN(N$3-$O$2,$Q$2)/$Q$2))</f>
        <v>2683.00641259009</v>
      </c>
      <c r="O359" s="15" t="n">
        <f aca="false">SUMPRODUCT(E359:N359,1/(1+$F$346)^$E$3:$N$3)*$E$2</f>
        <v>5059.08838538223</v>
      </c>
      <c r="P359" s="15" t="n">
        <f aca="false">N359*$E$2*(1+$I$346)/($F$346-$I$346)/(1+$F$346)^$N$3</f>
        <v>6488.31317945842</v>
      </c>
      <c r="Q359" s="15" t="n">
        <f aca="false">O359+P359</f>
        <v>11547.4015648407</v>
      </c>
      <c r="R359" s="15" t="n">
        <f aca="false">Q359-$G$2+$I$2</f>
        <v>10272.7315648407</v>
      </c>
      <c r="S359" s="42" t="n">
        <f aca="false">R359/$K$2</f>
        <v>288.803248941261</v>
      </c>
      <c r="T359" s="43" t="n">
        <f aca="false">S359-$M$2</f>
        <v>-0.485477513616729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0.0013427734375</v>
      </c>
      <c r="C360" s="25" t="n">
        <f aca="false">IF(T359&gt;0,D359,C359)</f>
        <v>0.001708984375</v>
      </c>
      <c r="D360" s="41" t="n">
        <f aca="false">(B360+C360)/2</f>
        <v>0.00152587890625</v>
      </c>
      <c r="E360" s="15" t="n">
        <f aca="false">$C$2*(1+IF(E$3&lt;=$O$2,$D360,$D360-($D360-$I$346)*MIN(E$3-$O$2,$Q$2)/$Q$2))</f>
        <v>2483.7841796875</v>
      </c>
      <c r="F360" s="15" t="n">
        <f aca="false">E360*(1+IF(F$3&lt;=$O$2,$D360,$D360-($D360-$I$346)*MIN(F$3-$O$2,$Q$2)/$Q$2))</f>
        <v>2487.57413357496</v>
      </c>
      <c r="G360" s="15" t="n">
        <f aca="false">F360*(1+IF(G$3&lt;=$O$2,$D360,$D360-($D360-$I$346)*MIN(G$3-$O$2,$Q$2)/$Q$2))</f>
        <v>2491.36987047312</v>
      </c>
      <c r="H360" s="15" t="n">
        <f aca="false">G360*(1+IF(H$3&lt;=$O$2,$D360,$D360-($D360-$I$346)*MIN(H$3-$O$2,$Q$2)/$Q$2))</f>
        <v>2495.17139920614</v>
      </c>
      <c r="I360" s="15" t="n">
        <f aca="false">H360*(1+IF(I$3&lt;=$O$2,$D360,$D360-($D360-$I$346)*MIN(I$3-$O$2,$Q$2)/$Q$2))</f>
        <v>2498.97872861167</v>
      </c>
      <c r="J360" s="15" t="n">
        <f aca="false">I360*(1+IF(J$3&lt;=$O$2,$D360,$D360-($D360-$I$346)*MIN(J$3-$O$2,$Q$2)/$Q$2))</f>
        <v>2513.67448063032</v>
      </c>
      <c r="K360" s="15" t="n">
        <f aca="false">J360*(1+IF(K$3&lt;=$O$2,$D360,$D360-($D360-$I$346)*MIN(K$3-$O$2,$Q$2)/$Q$2))</f>
        <v>2539.4032645101</v>
      </c>
      <c r="L360" s="15" t="n">
        <f aca="false">K360*(1+IF(L$3&lt;=$O$2,$D360,$D360-($D360-$I$346)*MIN(L$3-$O$2,$Q$2)/$Q$2))</f>
        <v>2576.45405089826</v>
      </c>
      <c r="M360" s="15" t="n">
        <f aca="false">L360*(1+IF(M$3&lt;=$O$2,$D360,$D360-($D360-$I$346)*MIN(M$3-$O$2,$Q$2)/$Q$2))</f>
        <v>2625.26542578485</v>
      </c>
      <c r="N360" s="15" t="n">
        <f aca="false">M360*(1+IF(N$3&lt;=$O$2,$D360,$D360-($D360-$I$346)*MIN(N$3-$O$2,$Q$2)/$Q$2))</f>
        <v>2686.43411020563</v>
      </c>
      <c r="O360" s="15" t="n">
        <f aca="false">SUMPRODUCT(E360:N360,1/(1+$F$346)^$E$3:$N$3)*$E$2</f>
        <v>5063.13449162447</v>
      </c>
      <c r="P360" s="15" t="n">
        <f aca="false">N360*$E$2*(1+$I$346)/($F$346-$I$346)/(1+$F$346)^$N$3</f>
        <v>6496.60237903311</v>
      </c>
      <c r="Q360" s="15" t="n">
        <f aca="false">O360+P360</f>
        <v>11559.7368706576</v>
      </c>
      <c r="R360" s="15" t="n">
        <f aca="false">Q360-$G$2+$I$2</f>
        <v>10285.0668706576</v>
      </c>
      <c r="S360" s="42" t="n">
        <f aca="false">R360/$K$2</f>
        <v>289.15003853409</v>
      </c>
      <c r="T360" s="43" t="n">
        <f aca="false">S360-$M$2</f>
        <v>-0.138687920787731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0.00152587890625</v>
      </c>
      <c r="C361" s="25" t="n">
        <f aca="false">IF(T360&gt;0,D360,C360)</f>
        <v>0.001708984375</v>
      </c>
      <c r="D361" s="41" t="n">
        <f aca="false">(B361+C361)/2</f>
        <v>0.001617431640625</v>
      </c>
      <c r="E361" s="15" t="n">
        <f aca="false">$C$2*(1+IF(E$3&lt;=$O$2,$D361,$D361-($D361-$I$346)*MIN(E$3-$O$2,$Q$2)/$Q$2))</f>
        <v>2484.01123046875</v>
      </c>
      <c r="F361" s="15" t="n">
        <f aca="false">E361*(1+IF(F$3&lt;=$O$2,$D361,$D361-($D361-$I$346)*MIN(F$3-$O$2,$Q$2)/$Q$2))</f>
        <v>2488.02894882858</v>
      </c>
      <c r="G361" s="15" t="n">
        <f aca="false">F361*(1+IF(G$3&lt;=$O$2,$D361,$D361-($D361-$I$346)*MIN(G$3-$O$2,$Q$2)/$Q$2))</f>
        <v>2492.0531655732</v>
      </c>
      <c r="H361" s="15" t="n">
        <f aca="false">G361*(1+IF(H$3&lt;=$O$2,$D361,$D361-($D361-$I$346)*MIN(H$3-$O$2,$Q$2)/$Q$2))</f>
        <v>2496.08389121332</v>
      </c>
      <c r="I361" s="15" t="n">
        <f aca="false">H361*(1+IF(I$3&lt;=$O$2,$D361,$D361-($D361-$I$346)*MIN(I$3-$O$2,$Q$2)/$Q$2))</f>
        <v>2500.12113627663</v>
      </c>
      <c r="J361" s="15" t="n">
        <f aca="false">I361*(1+IF(J$3&lt;=$O$2,$D361,$D361-($D361-$I$346)*MIN(J$3-$O$2,$Q$2)/$Q$2))</f>
        <v>2515.00672079664</v>
      </c>
      <c r="K361" s="15" t="n">
        <f aca="false">J361*(1+IF(K$3&lt;=$O$2,$D361,$D361-($D361-$I$346)*MIN(K$3-$O$2,$Q$2)/$Q$2))</f>
        <v>2540.88729430243</v>
      </c>
      <c r="L361" s="15" t="n">
        <f aca="false">K361*(1+IF(L$3&lt;=$O$2,$D361,$D361-($D361-$I$346)*MIN(L$3-$O$2,$Q$2)/$Q$2))</f>
        <v>2578.0527832788</v>
      </c>
      <c r="M361" s="15" t="n">
        <f aca="false">L361*(1+IF(M$3&lt;=$O$2,$D361,$D361-($D361-$I$346)*MIN(M$3-$O$2,$Q$2)/$Q$2))</f>
        <v>2626.94165198769</v>
      </c>
      <c r="N361" s="15" t="n">
        <f aca="false">M361*(1+IF(N$3&lt;=$O$2,$D361,$D361-($D361-$I$346)*MIN(N$3-$O$2,$Q$2)/$Q$2))</f>
        <v>2688.14939247901</v>
      </c>
      <c r="O361" s="15" t="n">
        <f aca="false">SUMPRODUCT(E361:N361,1/(1+$F$346)^$E$3:$N$3)*$E$2</f>
        <v>5065.15878519909</v>
      </c>
      <c r="P361" s="15" t="n">
        <f aca="false">N361*$E$2*(1+$I$346)/($F$346-$I$346)/(1+$F$346)^$N$3</f>
        <v>6500.75044536967</v>
      </c>
      <c r="Q361" s="15" t="n">
        <f aca="false">O361+P361</f>
        <v>11565.9092305688</v>
      </c>
      <c r="R361" s="15" t="n">
        <f aca="false">Q361-$G$2+$I$2</f>
        <v>10291.2392305688</v>
      </c>
      <c r="S361" s="42" t="n">
        <f aca="false">R361/$K$2</f>
        <v>289.323565661196</v>
      </c>
      <c r="T361" s="43" t="n">
        <f aca="false">S361-$M$2</f>
        <v>0.0348392063187362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0.00152587890625</v>
      </c>
      <c r="C362" s="25" t="n">
        <f aca="false">IF(T361&gt;0,D361,C361)</f>
        <v>0.001617431640625</v>
      </c>
      <c r="D362" s="41" t="n">
        <f aca="false">(B362+C362)/2</f>
        <v>0.0015716552734375</v>
      </c>
      <c r="E362" s="15" t="n">
        <f aca="false">$C$2*(1+IF(E$3&lt;=$O$2,$D362,$D362-($D362-$I$346)*MIN(E$3-$O$2,$Q$2)/$Q$2))</f>
        <v>2483.89770507813</v>
      </c>
      <c r="F362" s="15" t="n">
        <f aca="false">E362*(1+IF(F$3&lt;=$O$2,$D362,$D362-($D362-$I$346)*MIN(F$3-$O$2,$Q$2)/$Q$2))</f>
        <v>2487.80153600499</v>
      </c>
      <c r="G362" s="15" t="n">
        <f aca="false">F362*(1+IF(G$3&lt;=$O$2,$D362,$D362-($D362-$I$346)*MIN(G$3-$O$2,$Q$2)/$Q$2))</f>
        <v>2491.71150240832</v>
      </c>
      <c r="H362" s="15" t="n">
        <f aca="false">G362*(1+IF(H$3&lt;=$O$2,$D362,$D362-($D362-$I$346)*MIN(H$3-$O$2,$Q$2)/$Q$2))</f>
        <v>2495.62761393096</v>
      </c>
      <c r="I362" s="15" t="n">
        <f aca="false">H362*(1+IF(I$3&lt;=$O$2,$D362,$D362-($D362-$I$346)*MIN(I$3-$O$2,$Q$2)/$Q$2))</f>
        <v>2499.54988023093</v>
      </c>
      <c r="J362" s="15" t="n">
        <f aca="false">I362*(1+IF(J$3&lt;=$O$2,$D362,$D362-($D362-$I$346)*MIN(J$3-$O$2,$Q$2)/$Q$2))</f>
        <v>2514.3405272732</v>
      </c>
      <c r="K362" s="15" t="n">
        <f aca="false">J362*(1+IF(K$3&lt;=$O$2,$D362,$D362-($D362-$I$346)*MIN(K$3-$O$2,$Q$2)/$Q$2))</f>
        <v>2540.14518691673</v>
      </c>
      <c r="L362" s="15" t="n">
        <f aca="false">K362*(1+IF(L$3&lt;=$O$2,$D362,$D362-($D362-$I$346)*MIN(L$3-$O$2,$Q$2)/$Q$2))</f>
        <v>2577.25330966115</v>
      </c>
      <c r="M362" s="15" t="n">
        <f aca="false">L362*(1+IF(M$3&lt;=$O$2,$D362,$D362-($D362-$I$346)*MIN(M$3-$O$2,$Q$2)/$Q$2))</f>
        <v>2626.10342210426</v>
      </c>
      <c r="N362" s="15" t="n">
        <f aca="false">M362*(1+IF(N$3&lt;=$O$2,$D362,$D362-($D362-$I$346)*MIN(N$3-$O$2,$Q$2)/$Q$2))</f>
        <v>2687.29163183929</v>
      </c>
      <c r="O362" s="15" t="n">
        <f aca="false">SUMPRODUCT(E362:N362,1/(1+$F$346)^$E$3:$N$3)*$E$2</f>
        <v>5064.14653500732</v>
      </c>
      <c r="P362" s="15" t="n">
        <f aca="false">N362*$E$2*(1+$I$346)/($F$346-$I$346)/(1+$F$346)^$N$3</f>
        <v>6498.67612320726</v>
      </c>
      <c r="Q362" s="15" t="n">
        <f aca="false">O362+P362</f>
        <v>11562.8226582146</v>
      </c>
      <c r="R362" s="15" t="n">
        <f aca="false">Q362-$G$2+$I$2</f>
        <v>10288.1526582146</v>
      </c>
      <c r="S362" s="42" t="n">
        <f aca="false">R362/$K$2</f>
        <v>289.236791065915</v>
      </c>
      <c r="T362" s="43" t="n">
        <f aca="false">S362-$M$2</f>
        <v>-0.0519353889629883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0.0015716552734375</v>
      </c>
      <c r="C363" s="25" t="n">
        <f aca="false">IF(T362&gt;0,D362,C362)</f>
        <v>0.001617431640625</v>
      </c>
      <c r="D363" s="41" t="n">
        <f aca="false">(B363+C363)/2</f>
        <v>0.00159454345703125</v>
      </c>
      <c r="E363" s="15" t="n">
        <f aca="false">$C$2*(1+IF(E$3&lt;=$O$2,$D363,$D363-($D363-$I$346)*MIN(E$3-$O$2,$Q$2)/$Q$2))</f>
        <v>2483.95446777344</v>
      </c>
      <c r="F363" s="15" t="n">
        <f aca="false">E363*(1+IF(F$3&lt;=$O$2,$D363,$D363-($D363-$I$346)*MIN(F$3-$O$2,$Q$2)/$Q$2))</f>
        <v>2487.91524111759</v>
      </c>
      <c r="G363" s="15" t="n">
        <f aca="false">F363*(1+IF(G$3&lt;=$O$2,$D363,$D363-($D363-$I$346)*MIN(G$3-$O$2,$Q$2)/$Q$2))</f>
        <v>2491.88233008696</v>
      </c>
      <c r="H363" s="15" t="n">
        <f aca="false">G363*(1+IF(H$3&lt;=$O$2,$D363,$D363-($D363-$I$346)*MIN(H$3-$O$2,$Q$2)/$Q$2))</f>
        <v>2495.85574475209</v>
      </c>
      <c r="I363" s="15" t="n">
        <f aca="false">H363*(1+IF(I$3&lt;=$O$2,$D363,$D363-($D363-$I$346)*MIN(I$3-$O$2,$Q$2)/$Q$2))</f>
        <v>2499.83549519958</v>
      </c>
      <c r="J363" s="15" t="n">
        <f aca="false">I363*(1+IF(J$3&lt;=$O$2,$D363,$D363-($D363-$I$346)*MIN(J$3-$O$2,$Q$2)/$Q$2))</f>
        <v>2514.67360567323</v>
      </c>
      <c r="K363" s="15" t="n">
        <f aca="false">J363*(1+IF(K$3&lt;=$O$2,$D363,$D363-($D363-$I$346)*MIN(K$3-$O$2,$Q$2)/$Q$2))</f>
        <v>2540.5162174848</v>
      </c>
      <c r="L363" s="15" t="n">
        <f aca="false">K363*(1+IF(L$3&lt;=$O$2,$D363,$D363-($D363-$I$346)*MIN(L$3-$O$2,$Q$2)/$Q$2))</f>
        <v>2577.65301961007</v>
      </c>
      <c r="M363" s="15" t="n">
        <f aca="false">L363*(1+IF(M$3&lt;=$O$2,$D363,$D363-($D363-$I$346)*MIN(M$3-$O$2,$Q$2)/$Q$2))</f>
        <v>2626.52250784698</v>
      </c>
      <c r="N363" s="15" t="n">
        <f aca="false">M363*(1+IF(N$3&lt;=$O$2,$D363,$D363-($D363-$I$346)*MIN(N$3-$O$2,$Q$2)/$Q$2))</f>
        <v>2687.72048227982</v>
      </c>
      <c r="O363" s="15" t="n">
        <f aca="false">SUMPRODUCT(E363:N363,1/(1+$F$346)^$E$3:$N$3)*$E$2</f>
        <v>5064.65263424959</v>
      </c>
      <c r="P363" s="15" t="n">
        <f aca="false">N363*$E$2*(1+$I$346)/($F$346-$I$346)/(1+$F$346)^$N$3</f>
        <v>6499.7132120313</v>
      </c>
      <c r="Q363" s="15" t="n">
        <f aca="false">O363+P363</f>
        <v>11564.3658462809</v>
      </c>
      <c r="R363" s="15" t="n">
        <f aca="false">Q363-$G$2+$I$2</f>
        <v>10289.6958462809</v>
      </c>
      <c r="S363" s="42" t="n">
        <f aca="false">R363/$K$2</f>
        <v>289.280175605311</v>
      </c>
      <c r="T363" s="43" t="n">
        <f aca="false">S363-$M$2</f>
        <v>-0.0085508495672002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0.00159454345703125</v>
      </c>
      <c r="C364" s="25" t="n">
        <f aca="false">IF(T363&gt;0,D363,C363)</f>
        <v>0.001617431640625</v>
      </c>
      <c r="D364" s="41" t="n">
        <f aca="false">(B364+C364)/2</f>
        <v>0.00160598754882813</v>
      </c>
      <c r="E364" s="15" t="n">
        <f aca="false">$C$2*(1+IF(E$3&lt;=$O$2,$D364,$D364-($D364-$I$346)*MIN(E$3-$O$2,$Q$2)/$Q$2))</f>
        <v>2483.98284912109</v>
      </c>
      <c r="F364" s="15" t="n">
        <f aca="false">E364*(1+IF(F$3&lt;=$O$2,$D364,$D364-($D364-$I$346)*MIN(F$3-$O$2,$Q$2)/$Q$2))</f>
        <v>2487.97209464829</v>
      </c>
      <c r="G364" s="15" t="n">
        <f aca="false">F364*(1+IF(G$3&lt;=$O$2,$D364,$D364-($D364-$I$346)*MIN(G$3-$O$2,$Q$2)/$Q$2))</f>
        <v>2491.96774685412</v>
      </c>
      <c r="H364" s="15" t="n">
        <f aca="false">G364*(1+IF(H$3&lt;=$O$2,$D364,$D364-($D364-$I$346)*MIN(H$3-$O$2,$Q$2)/$Q$2))</f>
        <v>2495.96981602765</v>
      </c>
      <c r="I364" s="15" t="n">
        <f aca="false">H364*(1+IF(I$3&lt;=$O$2,$D364,$D364-($D364-$I$346)*MIN(I$3-$O$2,$Q$2)/$Q$2))</f>
        <v>2499.97831247444</v>
      </c>
      <c r="J364" s="15" t="n">
        <f aca="false">I364*(1+IF(J$3&lt;=$O$2,$D364,$D364-($D364-$I$346)*MIN(J$3-$O$2,$Q$2)/$Q$2))</f>
        <v>2514.84015864431</v>
      </c>
      <c r="K364" s="15" t="n">
        <f aca="false">J364*(1+IF(K$3&lt;=$O$2,$D364,$D364-($D364-$I$346)*MIN(K$3-$O$2,$Q$2)/$Q$2))</f>
        <v>2540.70175011212</v>
      </c>
      <c r="L364" s="15" t="n">
        <f aca="false">K364*(1+IF(L$3&lt;=$O$2,$D364,$D364-($D364-$I$346)*MIN(L$3-$O$2,$Q$2)/$Q$2))</f>
        <v>2577.85289472908</v>
      </c>
      <c r="M364" s="15" t="n">
        <f aca="false">L364*(1+IF(M$3&lt;=$O$2,$D364,$D364-($D364-$I$346)*MIN(M$3-$O$2,$Q$2)/$Q$2))</f>
        <v>2626.73207261716</v>
      </c>
      <c r="N364" s="15" t="n">
        <f aca="false">M364*(1+IF(N$3&lt;=$O$2,$D364,$D364-($D364-$I$346)*MIN(N$3-$O$2,$Q$2)/$Q$2))</f>
        <v>2687.93492990914</v>
      </c>
      <c r="O364" s="15" t="n">
        <f aca="false">SUMPRODUCT(E364:N364,1/(1+$F$346)^$E$3:$N$3)*$E$2</f>
        <v>5064.90570326063</v>
      </c>
      <c r="P364" s="15" t="n">
        <f aca="false">N364*$E$2*(1+$I$346)/($F$346-$I$346)/(1+$F$346)^$N$3</f>
        <v>6500.23181063512</v>
      </c>
      <c r="Q364" s="15" t="n">
        <f aca="false">O364+P364</f>
        <v>11565.1375138957</v>
      </c>
      <c r="R364" s="15" t="n">
        <f aca="false">Q364-$G$2+$I$2</f>
        <v>10290.4675138957</v>
      </c>
      <c r="S364" s="42" t="n">
        <f aca="false">R364/$K$2</f>
        <v>289.301869943653</v>
      </c>
      <c r="T364" s="43" t="n">
        <f aca="false">S364-$M$2</f>
        <v>0.0131434887754835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0.00159454345703125</v>
      </c>
      <c r="C365" s="25" t="n">
        <f aca="false">IF(T364&gt;0,D364,C364)</f>
        <v>0.00160598754882813</v>
      </c>
      <c r="D365" s="41" t="n">
        <f aca="false">(B365+C365)/2</f>
        <v>0.00160026550292969</v>
      </c>
      <c r="E365" s="15" t="n">
        <f aca="false">$C$2*(1+IF(E$3&lt;=$O$2,$D365,$D365-($D365-$I$346)*MIN(E$3-$O$2,$Q$2)/$Q$2))</f>
        <v>2483.96865844727</v>
      </c>
      <c r="F365" s="15" t="n">
        <f aca="false">E365*(1+IF(F$3&lt;=$O$2,$D365,$D365-($D365-$I$346)*MIN(F$3-$O$2,$Q$2)/$Q$2))</f>
        <v>2487.94366780174</v>
      </c>
      <c r="G365" s="15" t="n">
        <f aca="false">F365*(1+IF(G$3&lt;=$O$2,$D365,$D365-($D365-$I$346)*MIN(G$3-$O$2,$Q$2)/$Q$2))</f>
        <v>2491.92503822655</v>
      </c>
      <c r="H365" s="15" t="n">
        <f aca="false">G365*(1+IF(H$3&lt;=$O$2,$D365,$D365-($D365-$I$346)*MIN(H$3-$O$2,$Q$2)/$Q$2))</f>
        <v>2495.91277990111</v>
      </c>
      <c r="I365" s="15" t="n">
        <f aca="false">H365*(1+IF(I$3&lt;=$O$2,$D365,$D365-($D365-$I$346)*MIN(I$3-$O$2,$Q$2)/$Q$2))</f>
        <v>2499.90690302111</v>
      </c>
      <c r="J365" s="15" t="n">
        <f aca="false">I365*(1+IF(J$3&lt;=$O$2,$D365,$D365-($D365-$I$346)*MIN(J$3-$O$2,$Q$2)/$Q$2))</f>
        <v>2514.75688101114</v>
      </c>
      <c r="K365" s="15" t="n">
        <f aca="false">J365*(1+IF(K$3&lt;=$O$2,$D365,$D365-($D365-$I$346)*MIN(K$3-$O$2,$Q$2)/$Q$2))</f>
        <v>2540.60898235313</v>
      </c>
      <c r="L365" s="15" t="n">
        <f aca="false">K365*(1+IF(L$3&lt;=$O$2,$D365,$D365-($D365-$I$346)*MIN(L$3-$O$2,$Q$2)/$Q$2))</f>
        <v>2577.75295549078</v>
      </c>
      <c r="M365" s="15" t="n">
        <f aca="false">L365*(1+IF(M$3&lt;=$O$2,$D365,$D365-($D365-$I$346)*MIN(M$3-$O$2,$Q$2)/$Q$2))</f>
        <v>2626.62728840708</v>
      </c>
      <c r="N365" s="15" t="n">
        <f aca="false">M365*(1+IF(N$3&lt;=$O$2,$D365,$D365-($D365-$I$346)*MIN(N$3-$O$2,$Q$2)/$Q$2))</f>
        <v>2687.82770422696</v>
      </c>
      <c r="O365" s="15" t="n">
        <f aca="false">SUMPRODUCT(E365:N365,1/(1+$F$346)^$E$3:$N$3)*$E$2</f>
        <v>5064.77916713922</v>
      </c>
      <c r="P365" s="15" t="n">
        <f aca="false">N365*$E$2*(1+$I$346)/($F$346-$I$346)/(1+$F$346)^$N$3</f>
        <v>6499.972506817</v>
      </c>
      <c r="Q365" s="15" t="n">
        <f aca="false">O365+P365</f>
        <v>11564.7516739562</v>
      </c>
      <c r="R365" s="15" t="n">
        <f aca="false">Q365-$G$2+$I$2</f>
        <v>10290.0816739562</v>
      </c>
      <c r="S365" s="42" t="n">
        <f aca="false">R365/$K$2</f>
        <v>289.291022602087</v>
      </c>
      <c r="T365" s="43" t="n">
        <f aca="false">S365-$M$2</f>
        <v>0.00229614720899463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0.00159454345703125</v>
      </c>
      <c r="C366" s="25" t="n">
        <f aca="false">IF(T365&gt;0,D365,C365)</f>
        <v>0.00160026550292969</v>
      </c>
      <c r="D366" s="41" t="n">
        <f aca="false">(B366+C366)/2</f>
        <v>0.00159740447998047</v>
      </c>
      <c r="E366" s="15" t="n">
        <f aca="false">$C$2*(1+IF(E$3&lt;=$O$2,$D366,$D366-($D366-$I$346)*MIN(E$3-$O$2,$Q$2)/$Q$2))</f>
        <v>2483.96156311035</v>
      </c>
      <c r="F366" s="15" t="n">
        <f aca="false">E366*(1+IF(F$3&lt;=$O$2,$D366,$D366-($D366-$I$346)*MIN(F$3-$O$2,$Q$2)/$Q$2))</f>
        <v>2487.92945443936</v>
      </c>
      <c r="G366" s="15" t="n">
        <f aca="false">F366*(1+IF(G$3&lt;=$O$2,$D366,$D366-($D366-$I$346)*MIN(G$3-$O$2,$Q$2)/$Q$2))</f>
        <v>2491.90368409576</v>
      </c>
      <c r="H366" s="15" t="n">
        <f aca="false">G366*(1+IF(H$3&lt;=$O$2,$D366,$D366-($D366-$I$346)*MIN(H$3-$O$2,$Q$2)/$Q$2))</f>
        <v>2495.88426220441</v>
      </c>
      <c r="I366" s="15" t="n">
        <f aca="false">H366*(1+IF(I$3&lt;=$O$2,$D366,$D366-($D366-$I$346)*MIN(I$3-$O$2,$Q$2)/$Q$2))</f>
        <v>2499.87119890637</v>
      </c>
      <c r="J366" s="15" t="n">
        <f aca="false">I366*(1+IF(J$3&lt;=$O$2,$D366,$D366-($D366-$I$346)*MIN(J$3-$O$2,$Q$2)/$Q$2))</f>
        <v>2514.71524305528</v>
      </c>
      <c r="K366" s="15" t="n">
        <f aca="false">J366*(1+IF(K$3&lt;=$O$2,$D366,$D366-($D366-$I$346)*MIN(K$3-$O$2,$Q$2)/$Q$2))</f>
        <v>2540.56259955764</v>
      </c>
      <c r="L366" s="15" t="n">
        <f aca="false">K366*(1+IF(L$3&lt;=$O$2,$D366,$D366-($D366-$I$346)*MIN(L$3-$O$2,$Q$2)/$Q$2))</f>
        <v>2577.70298713073</v>
      </c>
      <c r="M366" s="15" t="n">
        <f aca="false">L366*(1+IF(M$3&lt;=$O$2,$D366,$D366-($D366-$I$346)*MIN(M$3-$O$2,$Q$2)/$Q$2))</f>
        <v>2626.57489767079</v>
      </c>
      <c r="N366" s="15" t="n">
        <f aca="false">M366*(1+IF(N$3&lt;=$O$2,$D366,$D366-($D366-$I$346)*MIN(N$3-$O$2,$Q$2)/$Q$2))</f>
        <v>2687.77409278652</v>
      </c>
      <c r="O366" s="15" t="n">
        <f aca="false">SUMPRODUCT(E366:N366,1/(1+$F$346)^$E$3:$N$3)*$E$2</f>
        <v>5064.71590029044</v>
      </c>
      <c r="P366" s="15" t="n">
        <f aca="false">N366*$E$2*(1+$I$346)/($F$346-$I$346)/(1+$F$346)^$N$3</f>
        <v>6499.84285829512</v>
      </c>
      <c r="Q366" s="15" t="n">
        <f aca="false">O366+P366</f>
        <v>11564.5587585856</v>
      </c>
      <c r="R366" s="15" t="n">
        <f aca="false">Q366-$G$2+$I$2</f>
        <v>10289.8887585856</v>
      </c>
      <c r="S366" s="42" t="n">
        <f aca="false">R366/$K$2</f>
        <v>289.2855990606</v>
      </c>
      <c r="T366" s="43" t="n">
        <f aca="false">S366-$M$2</f>
        <v>-0.00312739427727138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0.00159740447998047</v>
      </c>
      <c r="C367" s="25" t="n">
        <f aca="false">IF(T366&gt;0,D366,C366)</f>
        <v>0.00160026550292969</v>
      </c>
      <c r="D367" s="41" t="n">
        <f aca="false">(B367+C367)/2</f>
        <v>0.00159883499145508</v>
      </c>
      <c r="E367" s="15" t="n">
        <f aca="false">$C$2*(1+IF(E$3&lt;=$O$2,$D367,$D367-($D367-$I$346)*MIN(E$3-$O$2,$Q$2)/$Q$2))</f>
        <v>2483.96511077881</v>
      </c>
      <c r="F367" s="15" t="n">
        <f aca="false">E367*(1+IF(F$3&lt;=$O$2,$D367,$D367-($D367-$I$346)*MIN(F$3-$O$2,$Q$2)/$Q$2))</f>
        <v>2487.93656111548</v>
      </c>
      <c r="G367" s="15" t="n">
        <f aca="false">F367*(1+IF(G$3&lt;=$O$2,$D367,$D367-($D367-$I$346)*MIN(G$3-$O$2,$Q$2)/$Q$2))</f>
        <v>2491.91436114591</v>
      </c>
      <c r="H367" s="15" t="n">
        <f aca="false">G367*(1+IF(H$3&lt;=$O$2,$D367,$D367-($D367-$I$346)*MIN(H$3-$O$2,$Q$2)/$Q$2))</f>
        <v>2495.89852102222</v>
      </c>
      <c r="I367" s="15" t="n">
        <f aca="false">H367*(1+IF(I$3&lt;=$O$2,$D367,$D367-($D367-$I$346)*MIN(I$3-$O$2,$Q$2)/$Q$2))</f>
        <v>2499.88905091275</v>
      </c>
      <c r="J367" s="15" t="n">
        <f aca="false">I367*(1+IF(J$3&lt;=$O$2,$D367,$D367-($D367-$I$346)*MIN(J$3-$O$2,$Q$2)/$Q$2))</f>
        <v>2514.73606196149</v>
      </c>
      <c r="K367" s="15" t="n">
        <f aca="false">J367*(1+IF(K$3&lt;=$O$2,$D367,$D367-($D367-$I$346)*MIN(K$3-$O$2,$Q$2)/$Q$2))</f>
        <v>2540.58579086505</v>
      </c>
      <c r="L367" s="15" t="n">
        <f aca="false">K367*(1+IF(L$3&lt;=$O$2,$D367,$D367-($D367-$I$346)*MIN(L$3-$O$2,$Q$2)/$Q$2))</f>
        <v>2577.72797120583</v>
      </c>
      <c r="M367" s="15" t="n">
        <f aca="false">L367*(1+IF(M$3&lt;=$O$2,$D367,$D367-($D367-$I$346)*MIN(M$3-$O$2,$Q$2)/$Q$2))</f>
        <v>2626.60109292487</v>
      </c>
      <c r="N367" s="15" t="n">
        <f aca="false">M367*(1+IF(N$3&lt;=$O$2,$D367,$D367-($D367-$I$346)*MIN(N$3-$O$2,$Q$2)/$Q$2))</f>
        <v>2687.80089839002</v>
      </c>
      <c r="O367" s="15" t="n">
        <f aca="false">SUMPRODUCT(E367:N367,1/(1+$F$346)^$E$3:$N$3)*$E$2</f>
        <v>5064.74753361384</v>
      </c>
      <c r="P367" s="15" t="n">
        <f aca="false">N367*$E$2*(1+$I$346)/($F$346-$I$346)/(1+$F$346)^$N$3</f>
        <v>6499.9076822738</v>
      </c>
      <c r="Q367" s="15" t="n">
        <f aca="false">O367+P367</f>
        <v>11564.6552158876</v>
      </c>
      <c r="R367" s="15" t="n">
        <f aca="false">Q367-$G$2+$I$2</f>
        <v>10289.9852158876</v>
      </c>
      <c r="S367" s="42" t="n">
        <f aca="false">R367/$K$2</f>
        <v>289.288310820569</v>
      </c>
      <c r="T367" s="43" t="n">
        <f aca="false">S367-$M$2</f>
        <v>-0.000415634308751578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0.00159883499145508</v>
      </c>
      <c r="C368" s="25" t="n">
        <f aca="false">IF(T367&gt;0,D367,C367)</f>
        <v>0.00160026550292969</v>
      </c>
      <c r="D368" s="41" t="n">
        <f aca="false">(B368+C368)/2</f>
        <v>0.00159955024719238</v>
      </c>
      <c r="E368" s="15" t="n">
        <f aca="false">$C$2*(1+IF(E$3&lt;=$O$2,$D368,$D368-($D368-$I$346)*MIN(E$3-$O$2,$Q$2)/$Q$2))</f>
        <v>2483.96688461304</v>
      </c>
      <c r="F368" s="15" t="n">
        <f aca="false">E368*(1+IF(F$3&lt;=$O$2,$D368,$D368-($D368-$I$346)*MIN(F$3-$O$2,$Q$2)/$Q$2))</f>
        <v>2487.94011445734</v>
      </c>
      <c r="G368" s="15" t="n">
        <f aca="false">F368*(1+IF(G$3&lt;=$O$2,$D368,$D368-($D368-$I$346)*MIN(G$3-$O$2,$Q$2)/$Q$2))</f>
        <v>2491.91969968242</v>
      </c>
      <c r="H368" s="15" t="n">
        <f aca="false">G368*(1+IF(H$3&lt;=$O$2,$D368,$D368-($D368-$I$346)*MIN(H$3-$O$2,$Q$2)/$Q$2))</f>
        <v>2495.90565045403</v>
      </c>
      <c r="I368" s="15" t="n">
        <f aca="false">H368*(1+IF(I$3&lt;=$O$2,$D368,$D368-($D368-$I$346)*MIN(I$3-$O$2,$Q$2)/$Q$2))</f>
        <v>2499.89797695418</v>
      </c>
      <c r="J368" s="15" t="n">
        <f aca="false">I368*(1+IF(J$3&lt;=$O$2,$D368,$D368-($D368-$I$346)*MIN(J$3-$O$2,$Q$2)/$Q$2))</f>
        <v>2514.74647146838</v>
      </c>
      <c r="K368" s="15" t="n">
        <f aca="false">J368*(1+IF(K$3&lt;=$O$2,$D368,$D368-($D368-$I$346)*MIN(K$3-$O$2,$Q$2)/$Q$2))</f>
        <v>2540.59738658651</v>
      </c>
      <c r="L368" s="15" t="n">
        <f aca="false">K368*(1+IF(L$3&lt;=$O$2,$D368,$D368-($D368-$I$346)*MIN(L$3-$O$2,$Q$2)/$Q$2))</f>
        <v>2577.74046332208</v>
      </c>
      <c r="M368" s="15" t="n">
        <f aca="false">L368*(1+IF(M$3&lt;=$O$2,$D368,$D368-($D368-$I$346)*MIN(M$3-$O$2,$Q$2)/$Q$2))</f>
        <v>2626.61419063746</v>
      </c>
      <c r="N368" s="15" t="n">
        <f aca="false">M368*(1+IF(N$3&lt;=$O$2,$D368,$D368-($D368-$I$346)*MIN(N$3-$O$2,$Q$2)/$Q$2))</f>
        <v>2687.81430127931</v>
      </c>
      <c r="O368" s="15" t="n">
        <f aca="false">SUMPRODUCT(E368:N368,1/(1+$F$346)^$E$3:$N$3)*$E$2</f>
        <v>5064.76335035128</v>
      </c>
      <c r="P368" s="15" t="n">
        <f aca="false">N368*$E$2*(1+$I$346)/($F$346-$I$346)/(1+$F$346)^$N$3</f>
        <v>6499.94009447484</v>
      </c>
      <c r="Q368" s="15" t="n">
        <f aca="false">O368+P368</f>
        <v>11564.7034448261</v>
      </c>
      <c r="R368" s="15" t="n">
        <f aca="false">Q368-$G$2+$I$2</f>
        <v>10290.0334448261</v>
      </c>
      <c r="S368" s="42" t="n">
        <f aca="false">R368/$K$2</f>
        <v>289.289666708634</v>
      </c>
      <c r="T368" s="43" t="n">
        <f aca="false">S368-$M$2</f>
        <v>0.000940253756425591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0.00159883499145508</v>
      </c>
      <c r="C369" s="25" t="n">
        <f aca="false">IF(T368&gt;0,D368,C368)</f>
        <v>0.00159955024719238</v>
      </c>
      <c r="D369" s="41" t="n">
        <f aca="false">(B369+C369)/2</f>
        <v>0.00159919261932373</v>
      </c>
      <c r="E369" s="15" t="n">
        <f aca="false">$C$2*(1+IF(E$3&lt;=$O$2,$D369,$D369-($D369-$I$346)*MIN(E$3-$O$2,$Q$2)/$Q$2))</f>
        <v>2483.96599769592</v>
      </c>
      <c r="F369" s="15" t="n">
        <f aca="false">E369*(1+IF(F$3&lt;=$O$2,$D369,$D369-($D369-$I$346)*MIN(F$3-$O$2,$Q$2)/$Q$2))</f>
        <v>2487.93833778609</v>
      </c>
      <c r="G369" s="15" t="n">
        <f aca="false">F369*(1+IF(G$3&lt;=$O$2,$D369,$D369-($D369-$I$346)*MIN(G$3-$O$2,$Q$2)/$Q$2))</f>
        <v>2491.91703041321</v>
      </c>
      <c r="H369" s="15" t="n">
        <f aca="false">G369*(1+IF(H$3&lt;=$O$2,$D369,$D369-($D369-$I$346)*MIN(H$3-$O$2,$Q$2)/$Q$2))</f>
        <v>2495.90208573621</v>
      </c>
      <c r="I369" s="15" t="n">
        <f aca="false">H369*(1+IF(I$3&lt;=$O$2,$D369,$D369-($D369-$I$346)*MIN(I$3-$O$2,$Q$2)/$Q$2))</f>
        <v>2499.89351393028</v>
      </c>
      <c r="J369" s="15" t="n">
        <f aca="false">I369*(1+IF(J$3&lt;=$O$2,$D369,$D369-($D369-$I$346)*MIN(J$3-$O$2,$Q$2)/$Q$2))</f>
        <v>2514.74126671045</v>
      </c>
      <c r="K369" s="15" t="n">
        <f aca="false">J369*(1+IF(K$3&lt;=$O$2,$D369,$D369-($D369-$I$346)*MIN(K$3-$O$2,$Q$2)/$Q$2))</f>
        <v>2540.59158872013</v>
      </c>
      <c r="L369" s="15" t="n">
        <f aca="false">K369*(1+IF(L$3&lt;=$O$2,$D369,$D369-($D369-$I$346)*MIN(L$3-$O$2,$Q$2)/$Q$2))</f>
        <v>2577.7342172574</v>
      </c>
      <c r="M369" s="15" t="n">
        <f aca="false">L369*(1+IF(M$3&lt;=$O$2,$D369,$D369-($D369-$I$346)*MIN(M$3-$O$2,$Q$2)/$Q$2))</f>
        <v>2626.60764177404</v>
      </c>
      <c r="N369" s="15" t="n">
        <f aca="false">M369*(1+IF(N$3&lt;=$O$2,$D369,$D369-($D369-$I$346)*MIN(N$3-$O$2,$Q$2)/$Q$2))</f>
        <v>2687.80759982738</v>
      </c>
      <c r="O369" s="15" t="n">
        <f aca="false">SUMPRODUCT(E369:N369,1/(1+$F$346)^$E$3:$N$3)*$E$2</f>
        <v>5064.75544197625</v>
      </c>
      <c r="P369" s="15" t="n">
        <f aca="false">N369*$E$2*(1+$I$346)/($F$346-$I$346)/(1+$F$346)^$N$3</f>
        <v>6499.92388835668</v>
      </c>
      <c r="Q369" s="15" t="n">
        <f aca="false">O369+P369</f>
        <v>11564.6793303329</v>
      </c>
      <c r="R369" s="15" t="n">
        <f aca="false">Q369-$G$2+$I$2</f>
        <v>10290.0093303329</v>
      </c>
      <c r="S369" s="42" t="n">
        <f aca="false">R369/$K$2</f>
        <v>289.288988763928</v>
      </c>
      <c r="T369" s="43" t="n">
        <f aca="false">S369-$M$2</f>
        <v>0.000262309050469867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0.00159883499145508</v>
      </c>
      <c r="C370" s="25" t="n">
        <f aca="false">IF(T369&gt;0,D369,C369)</f>
        <v>0.00159919261932373</v>
      </c>
      <c r="D370" s="41" t="n">
        <f aca="false">(B370+C370)/2</f>
        <v>0.0015990138053894</v>
      </c>
      <c r="E370" s="15" t="n">
        <f aca="false">$C$2*(1+IF(E$3&lt;=$O$2,$D370,$D370-($D370-$I$346)*MIN(E$3-$O$2,$Q$2)/$Q$2))</f>
        <v>2483.96555423737</v>
      </c>
      <c r="F370" s="15" t="n">
        <f aca="false">E370*(1+IF(F$3&lt;=$O$2,$D370,$D370-($D370-$I$346)*MIN(F$3-$O$2,$Q$2)/$Q$2))</f>
        <v>2487.9374494507</v>
      </c>
      <c r="G370" s="15" t="n">
        <f aca="false">F370*(1+IF(G$3&lt;=$O$2,$D370,$D370-($D370-$I$346)*MIN(G$3-$O$2,$Q$2)/$Q$2))</f>
        <v>2491.91569577932</v>
      </c>
      <c r="H370" s="15" t="n">
        <f aca="false">G370*(1+IF(H$3&lt;=$O$2,$D370,$D370-($D370-$I$346)*MIN(H$3-$O$2,$Q$2)/$Q$2))</f>
        <v>2495.90030337874</v>
      </c>
      <c r="I370" s="15" t="n">
        <f aca="false">H370*(1+IF(I$3&lt;=$O$2,$D370,$D370-($D370-$I$346)*MIN(I$3-$O$2,$Q$2)/$Q$2))</f>
        <v>2499.89128242072</v>
      </c>
      <c r="J370" s="15" t="n">
        <f aca="false">I370*(1+IF(J$3&lt;=$O$2,$D370,$D370-($D370-$I$346)*MIN(J$3-$O$2,$Q$2)/$Q$2))</f>
        <v>2514.73866433485</v>
      </c>
      <c r="K370" s="15" t="n">
        <f aca="false">J370*(1+IF(K$3&lt;=$O$2,$D370,$D370-($D370-$I$346)*MIN(K$3-$O$2,$Q$2)/$Q$2))</f>
        <v>2540.58868979118</v>
      </c>
      <c r="L370" s="15" t="n">
        <f aca="false">K370*(1+IF(L$3&lt;=$O$2,$D370,$D370-($D370-$I$346)*MIN(L$3-$O$2,$Q$2)/$Q$2))</f>
        <v>2577.73109422998</v>
      </c>
      <c r="M370" s="15" t="n">
        <f aca="false">L370*(1+IF(M$3&lt;=$O$2,$D370,$D370-($D370-$I$346)*MIN(M$3-$O$2,$Q$2)/$Q$2))</f>
        <v>2626.60436734767</v>
      </c>
      <c r="N370" s="15" t="n">
        <f aca="false">M370*(1+IF(N$3&lt;=$O$2,$D370,$D370-($D370-$I$346)*MIN(N$3-$O$2,$Q$2)/$Q$2))</f>
        <v>2687.80424910687</v>
      </c>
      <c r="O370" s="15" t="n">
        <f aca="false">SUMPRODUCT(E370:N370,1/(1+$F$346)^$E$3:$N$3)*$E$2</f>
        <v>5064.75148779346</v>
      </c>
      <c r="P370" s="15" t="n">
        <f aca="false">N370*$E$2*(1+$I$346)/($F$346-$I$346)/(1+$F$346)^$N$3</f>
        <v>6499.91578531083</v>
      </c>
      <c r="Q370" s="15" t="n">
        <f aca="false">O370+P370</f>
        <v>11564.6672731043</v>
      </c>
      <c r="R370" s="15" t="n">
        <f aca="false">Q370-$G$2+$I$2</f>
        <v>10289.9972731043</v>
      </c>
      <c r="S370" s="42" t="n">
        <f aca="false">R370/$K$2</f>
        <v>289.28864979208</v>
      </c>
      <c r="T370" s="43" t="n">
        <f aca="false">S370-$M$2</f>
        <v>-7.66627975963274E-005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0.0015990138053894</v>
      </c>
      <c r="C371" s="25" t="n">
        <f aca="false">IF(T370&gt;0,D370,C370)</f>
        <v>0.00159919261932373</v>
      </c>
      <c r="D371" s="41" t="n">
        <f aca="false">(B371+C371)/2</f>
        <v>0.00159910321235657</v>
      </c>
      <c r="E371" s="15" t="n">
        <f aca="false">$C$2*(1+IF(E$3&lt;=$O$2,$D371,$D371-($D371-$I$346)*MIN(E$3-$O$2,$Q$2)/$Q$2))</f>
        <v>2483.96577596664</v>
      </c>
      <c r="F371" s="15" t="n">
        <f aca="false">E371*(1+IF(F$3&lt;=$O$2,$D371,$D371-($D371-$I$346)*MIN(F$3-$O$2,$Q$2)/$Q$2))</f>
        <v>2487.93789361838</v>
      </c>
      <c r="G371" s="15" t="n">
        <f aca="false">F371*(1+IF(G$3&lt;=$O$2,$D371,$D371-($D371-$I$346)*MIN(G$3-$O$2,$Q$2)/$Q$2))</f>
        <v>2491.91636309621</v>
      </c>
      <c r="H371" s="15" t="n">
        <f aca="false">G371*(1+IF(H$3&lt;=$O$2,$D371,$D371-($D371-$I$346)*MIN(H$3-$O$2,$Q$2)/$Q$2))</f>
        <v>2495.90119455736</v>
      </c>
      <c r="I371" s="15" t="n">
        <f aca="false">H371*(1+IF(I$3&lt;=$O$2,$D371,$D371-($D371-$I$346)*MIN(I$3-$O$2,$Q$2)/$Q$2))</f>
        <v>2499.8923981753</v>
      </c>
      <c r="J371" s="15" t="n">
        <f aca="false">I371*(1+IF(J$3&lt;=$O$2,$D371,$D371-($D371-$I$346)*MIN(J$3-$O$2,$Q$2)/$Q$2))</f>
        <v>2514.73996552237</v>
      </c>
      <c r="K371" s="15" t="n">
        <f aca="false">J371*(1+IF(K$3&lt;=$O$2,$D371,$D371-($D371-$I$346)*MIN(K$3-$O$2,$Q$2)/$Q$2))</f>
        <v>2540.5901392553</v>
      </c>
      <c r="L371" s="15" t="n">
        <f aca="false">K371*(1+IF(L$3&lt;=$O$2,$D371,$D371-($D371-$I$346)*MIN(L$3-$O$2,$Q$2)/$Q$2))</f>
        <v>2577.73265574328</v>
      </c>
      <c r="M371" s="15" t="n">
        <f aca="false">L371*(1+IF(M$3&lt;=$O$2,$D371,$D371-($D371-$I$346)*MIN(M$3-$O$2,$Q$2)/$Q$2))</f>
        <v>2626.60600456041</v>
      </c>
      <c r="N371" s="15" t="n">
        <f aca="false">M371*(1+IF(N$3&lt;=$O$2,$D371,$D371-($D371-$I$346)*MIN(N$3-$O$2,$Q$2)/$Q$2))</f>
        <v>2687.80592446667</v>
      </c>
      <c r="O371" s="15" t="n">
        <f aca="false">SUMPRODUCT(E371:N371,1/(1+$F$346)^$E$3:$N$3)*$E$2</f>
        <v>5064.75346488446</v>
      </c>
      <c r="P371" s="15" t="n">
        <f aca="false">N371*$E$2*(1+$I$346)/($F$346-$I$346)/(1+$F$346)^$N$3</f>
        <v>6499.91983683265</v>
      </c>
      <c r="Q371" s="15" t="n">
        <f aca="false">O371+P371</f>
        <v>11564.6733017171</v>
      </c>
      <c r="R371" s="15" t="n">
        <f aca="false">Q371-$G$2+$I$2</f>
        <v>10290.0033017171</v>
      </c>
      <c r="S371" s="42" t="n">
        <f aca="false">R371/$K$2</f>
        <v>289.288819277962</v>
      </c>
      <c r="T371" s="43" t="n">
        <f aca="false">S371-$M$2</f>
        <v>9.28230843442179E-005</v>
      </c>
    </row>
    <row r="373" customFormat="false" ht="15" hidden="false" customHeight="false" outlineLevel="0" collapsed="false">
      <c r="A373" s="38" t="s">
        <v>197</v>
      </c>
      <c r="E373" s="5" t="s">
        <v>11</v>
      </c>
      <c r="F373" s="12" t="n">
        <f aca="false">Sensitivity!$B$12</f>
        <v>0.0814218415038925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8" t="s">
        <v>165</v>
      </c>
      <c r="B374" s="28" t="s">
        <v>166</v>
      </c>
      <c r="C374" s="28" t="s">
        <v>167</v>
      </c>
      <c r="D374" s="28" t="s">
        <v>168</v>
      </c>
      <c r="E374" s="28" t="s">
        <v>169</v>
      </c>
      <c r="F374" s="28" t="s">
        <v>170</v>
      </c>
      <c r="G374" s="28" t="s">
        <v>171</v>
      </c>
      <c r="H374" s="28" t="s">
        <v>172</v>
      </c>
      <c r="I374" s="28" t="s">
        <v>173</v>
      </c>
      <c r="J374" s="28" t="s">
        <v>174</v>
      </c>
      <c r="K374" s="28" t="s">
        <v>175</v>
      </c>
      <c r="L374" s="28" t="s">
        <v>176</v>
      </c>
      <c r="M374" s="28" t="s">
        <v>177</v>
      </c>
      <c r="N374" s="28" t="s">
        <v>178</v>
      </c>
      <c r="O374" s="28" t="s">
        <v>179</v>
      </c>
      <c r="P374" s="28" t="s">
        <v>180</v>
      </c>
      <c r="Q374" s="28" t="s">
        <v>181</v>
      </c>
      <c r="R374" s="28" t="s">
        <v>182</v>
      </c>
      <c r="S374" s="28" t="s">
        <v>183</v>
      </c>
      <c r="T374" s="28" t="s">
        <v>184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41" t="n">
        <f aca="false">(B375+C375)/2</f>
        <v>0.25</v>
      </c>
      <c r="E375" s="15" t="n">
        <f aca="false">$C$2*(1+IF(E$3&lt;=$O$2,$D375,$D375-($D375-$I$373)*MIN(E$3-$O$2,$Q$2)/$Q$2))</f>
        <v>3100</v>
      </c>
      <c r="F375" s="15" t="n">
        <f aca="false">E375*(1+IF(F$3&lt;=$O$2,$D375,$D375-($D375-$I$373)*MIN(F$3-$O$2,$Q$2)/$Q$2))</f>
        <v>3875</v>
      </c>
      <c r="G375" s="15" t="n">
        <f aca="false">F375*(1+IF(G$3&lt;=$O$2,$D375,$D375-($D375-$I$373)*MIN(G$3-$O$2,$Q$2)/$Q$2))</f>
        <v>4843.75</v>
      </c>
      <c r="H375" s="15" t="n">
        <f aca="false">G375*(1+IF(H$3&lt;=$O$2,$D375,$D375-($D375-$I$373)*MIN(H$3-$O$2,$Q$2)/$Q$2))</f>
        <v>6054.6875</v>
      </c>
      <c r="I375" s="15" t="n">
        <f aca="false">H375*(1+IF(I$3&lt;=$O$2,$D375,$D375-($D375-$I$373)*MIN(I$3-$O$2,$Q$2)/$Q$2))</f>
        <v>7568.359375</v>
      </c>
      <c r="J375" s="15" t="n">
        <f aca="false">I375*(1+IF(J$3&lt;=$O$2,$D375,$D375-($D375-$I$373)*MIN(J$3-$O$2,$Q$2)/$Q$2))</f>
        <v>9124.8681640625</v>
      </c>
      <c r="K375" s="15" t="n">
        <f aca="false">J375*(1+IF(K$3&lt;=$O$2,$D375,$D375-($D375-$I$373)*MIN(K$3-$O$2,$Q$2)/$Q$2))</f>
        <v>10596.8918962891</v>
      </c>
      <c r="L375" s="15" t="n">
        <f aca="false">K375*(1+IF(L$3&lt;=$O$2,$D375,$D375-($D375-$I$373)*MIN(L$3-$O$2,$Q$2)/$Q$2))</f>
        <v>11836.516310317</v>
      </c>
      <c r="M375" s="15" t="n">
        <f aca="false">L375*(1+IF(M$3&lt;=$O$2,$D375,$D375-($D375-$I$373)*MIN(M$3-$O$2,$Q$2)/$Q$2))</f>
        <v>12696.3208550984</v>
      </c>
      <c r="N375" s="15" t="n">
        <f aca="false">M375*(1+IF(N$3&lt;=$O$2,$D375,$D375-($D375-$I$373)*MIN(N$3-$O$2,$Q$2)/$Q$2))</f>
        <v>13055.6267352977</v>
      </c>
      <c r="O375" s="15" t="n">
        <f aca="false">SUMPRODUCT(E375:N375,1/(1+$F$373)^$E$3:$N$3)*$E$2</f>
        <v>15010.8952517404</v>
      </c>
      <c r="P375" s="15" t="n">
        <f aca="false">N375*$E$2*(1+$I$373)/($F$373-$I$373)/(1+$F$373)^$N$3</f>
        <v>34712.9021738516</v>
      </c>
      <c r="Q375" s="15" t="n">
        <f aca="false">O375+P375</f>
        <v>49723.7974255921</v>
      </c>
      <c r="R375" s="15" t="n">
        <f aca="false">Q375-$G$2+$I$2</f>
        <v>48449.1274255921</v>
      </c>
      <c r="S375" s="42" t="n">
        <f aca="false">R375/$K$2</f>
        <v>1362.0783645092</v>
      </c>
      <c r="T375" s="43" t="n">
        <f aca="false">S375-$M$2</f>
        <v>1072.78963805432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41" t="n">
        <f aca="false">(B376+C376)/2</f>
        <v>-0.125</v>
      </c>
      <c r="E376" s="15" t="n">
        <f aca="false">$C$2*(1+IF(E$3&lt;=$O$2,$D376,$D376-($D376-$I$373)*MIN(E$3-$O$2,$Q$2)/$Q$2))</f>
        <v>2170</v>
      </c>
      <c r="F376" s="15" t="n">
        <f aca="false">E376*(1+IF(F$3&lt;=$O$2,$D376,$D376-($D376-$I$373)*MIN(F$3-$O$2,$Q$2)/$Q$2))</f>
        <v>1898.75</v>
      </c>
      <c r="G376" s="15" t="n">
        <f aca="false">F376*(1+IF(G$3&lt;=$O$2,$D376,$D376-($D376-$I$373)*MIN(G$3-$O$2,$Q$2)/$Q$2))</f>
        <v>1661.40625</v>
      </c>
      <c r="H376" s="15" t="n">
        <f aca="false">G376*(1+IF(H$3&lt;=$O$2,$D376,$D376-($D376-$I$373)*MIN(H$3-$O$2,$Q$2)/$Q$2))</f>
        <v>1453.73046875</v>
      </c>
      <c r="I376" s="15" t="n">
        <f aca="false">H376*(1+IF(I$3&lt;=$O$2,$D376,$D376-($D376-$I$373)*MIN(I$3-$O$2,$Q$2)/$Q$2))</f>
        <v>1272.01416015625</v>
      </c>
      <c r="J376" s="15" t="n">
        <f aca="false">I376*(1+IF(J$3&lt;=$O$2,$D376,$D376-($D376-$I$373)*MIN(J$3-$O$2,$Q$2)/$Q$2))</f>
        <v>1152.01234428711</v>
      </c>
      <c r="K376" s="15" t="n">
        <f aca="false">J376*(1+IF(K$3&lt;=$O$2,$D376,$D376-($D376-$I$373)*MIN(K$3-$O$2,$Q$2)/$Q$2))</f>
        <v>1078.65219820291</v>
      </c>
      <c r="L376" s="15" t="n">
        <f aca="false">K376*(1+IF(L$3&lt;=$O$2,$D376,$D376-($D376-$I$373)*MIN(L$3-$O$2,$Q$2)/$Q$2))</f>
        <v>1043.03510261825</v>
      </c>
      <c r="M376" s="15" t="n">
        <f aca="false">L376*(1+IF(M$3&lt;=$O$2,$D376,$D376-($D376-$I$373)*MIN(M$3-$O$2,$Q$2)/$Q$2))</f>
        <v>1040.57353977607</v>
      </c>
      <c r="N376" s="15" t="n">
        <f aca="false">M376*(1+IF(N$3&lt;=$O$2,$D376,$D376-($D376-$I$373)*MIN(N$3-$O$2,$Q$2)/$Q$2))</f>
        <v>1070.02177095173</v>
      </c>
      <c r="O376" s="15" t="n">
        <f aca="false">SUMPRODUCT(E376:N376,1/(1+$F$373)^$E$3:$N$3)*$E$2</f>
        <v>2936.14426436925</v>
      </c>
      <c r="P376" s="15" t="n">
        <f aca="false">N376*$E$2*(1+$I$373)/($F$373-$I$373)/(1+$F$373)^$N$3</f>
        <v>2845.02320815562</v>
      </c>
      <c r="Q376" s="15" t="n">
        <f aca="false">O376+P376</f>
        <v>5781.16747252487</v>
      </c>
      <c r="R376" s="15" t="n">
        <f aca="false">Q376-$G$2+$I$2</f>
        <v>4506.49747252487</v>
      </c>
      <c r="S376" s="42" t="n">
        <f aca="false">R376/$K$2</f>
        <v>126.693772069859</v>
      </c>
      <c r="T376" s="43" t="n">
        <f aca="false">S376-$M$2</f>
        <v>-162.594954385019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41" t="n">
        <f aca="false">(B377+C377)/2</f>
        <v>0.0625</v>
      </c>
      <c r="E377" s="15" t="n">
        <f aca="false">$C$2*(1+IF(E$3&lt;=$O$2,$D377,$D377-($D377-$I$373)*MIN(E$3-$O$2,$Q$2)/$Q$2))</f>
        <v>2635</v>
      </c>
      <c r="F377" s="15" t="n">
        <f aca="false">E377*(1+IF(F$3&lt;=$O$2,$D377,$D377-($D377-$I$373)*MIN(F$3-$O$2,$Q$2)/$Q$2))</f>
        <v>2799.6875</v>
      </c>
      <c r="G377" s="15" t="n">
        <f aca="false">F377*(1+IF(G$3&lt;=$O$2,$D377,$D377-($D377-$I$373)*MIN(G$3-$O$2,$Q$2)/$Q$2))</f>
        <v>2974.66796875</v>
      </c>
      <c r="H377" s="15" t="n">
        <f aca="false">G377*(1+IF(H$3&lt;=$O$2,$D377,$D377-($D377-$I$373)*MIN(H$3-$O$2,$Q$2)/$Q$2))</f>
        <v>3160.58471679688</v>
      </c>
      <c r="I377" s="15" t="n">
        <f aca="false">H377*(1+IF(I$3&lt;=$O$2,$D377,$D377-($D377-$I$373)*MIN(I$3-$O$2,$Q$2)/$Q$2))</f>
        <v>3358.12126159668</v>
      </c>
      <c r="J377" s="15" t="n">
        <f aca="false">I377*(1+IF(J$3&lt;=$O$2,$D377,$D377-($D377-$I$373)*MIN(J$3-$O$2,$Q$2)/$Q$2))</f>
        <v>3545.03429101715</v>
      </c>
      <c r="K377" s="15" t="n">
        <f aca="false">J377*(1+IF(K$3&lt;=$O$2,$D377,$D377-($D377-$I$373)*MIN(K$3-$O$2,$Q$2)/$Q$2))</f>
        <v>3718.10286510461</v>
      </c>
      <c r="L377" s="15" t="n">
        <f aca="false">K377*(1+IF(L$3&lt;=$O$2,$D377,$D377-($D377-$I$373)*MIN(L$3-$O$2,$Q$2)/$Q$2))</f>
        <v>3874.1888233817</v>
      </c>
      <c r="M377" s="15" t="n">
        <f aca="false">L377*(1+IF(M$3&lt;=$O$2,$D377,$D377-($D377-$I$373)*MIN(M$3-$O$2,$Q$2)/$Q$2))</f>
        <v>4010.32781863533</v>
      </c>
      <c r="N377" s="15" t="n">
        <f aca="false">M377*(1+IF(N$3&lt;=$O$2,$D377,$D377-($D377-$I$373)*MIN(N$3-$O$2,$Q$2)/$Q$2))</f>
        <v>4123.82009590271</v>
      </c>
      <c r="O377" s="15" t="n">
        <f aca="false">SUMPRODUCT(E377:N377,1/(1+$F$373)^$E$3:$N$3)*$E$2</f>
        <v>6631.0182360171</v>
      </c>
      <c r="P377" s="15" t="n">
        <f aca="false">N377*$E$2*(1+$I$373)/($F$373-$I$373)/(1+$F$373)^$N$3</f>
        <v>10964.6029619252</v>
      </c>
      <c r="Q377" s="15" t="n">
        <f aca="false">O377+P377</f>
        <v>17595.6211979423</v>
      </c>
      <c r="R377" s="15" t="n">
        <f aca="false">Q377-$G$2+$I$2</f>
        <v>16320.9511979423</v>
      </c>
      <c r="S377" s="42" t="n">
        <f aca="false">R377/$K$2</f>
        <v>458.840348550528</v>
      </c>
      <c r="T377" s="43" t="n">
        <f aca="false">S377-$M$2</f>
        <v>169.55162209565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-0.125</v>
      </c>
      <c r="C378" s="25" t="n">
        <f aca="false">IF(T377&gt;0,D377,C377)</f>
        <v>0.0625</v>
      </c>
      <c r="D378" s="41" t="n">
        <f aca="false">(B378+C378)/2</f>
        <v>-0.03125</v>
      </c>
      <c r="E378" s="15" t="n">
        <f aca="false">$C$2*(1+IF(E$3&lt;=$O$2,$D378,$D378-($D378-$I$373)*MIN(E$3-$O$2,$Q$2)/$Q$2))</f>
        <v>2402.5</v>
      </c>
      <c r="F378" s="15" t="n">
        <f aca="false">E378*(1+IF(F$3&lt;=$O$2,$D378,$D378-($D378-$I$373)*MIN(F$3-$O$2,$Q$2)/$Q$2))</f>
        <v>2327.421875</v>
      </c>
      <c r="G378" s="15" t="n">
        <f aca="false">F378*(1+IF(G$3&lt;=$O$2,$D378,$D378-($D378-$I$373)*MIN(G$3-$O$2,$Q$2)/$Q$2))</f>
        <v>2254.68994140625</v>
      </c>
      <c r="H378" s="15" t="n">
        <f aca="false">G378*(1+IF(H$3&lt;=$O$2,$D378,$D378-($D378-$I$373)*MIN(H$3-$O$2,$Q$2)/$Q$2))</f>
        <v>2184.2308807373</v>
      </c>
      <c r="I378" s="15" t="n">
        <f aca="false">H378*(1+IF(I$3&lt;=$O$2,$D378,$D378-($D378-$I$373)*MIN(I$3-$O$2,$Q$2)/$Q$2))</f>
        <v>2115.97366571426</v>
      </c>
      <c r="J378" s="15" t="n">
        <f aca="false">I378*(1+IF(J$3&lt;=$O$2,$D378,$D378-($D378-$I$373)*MIN(J$3-$O$2,$Q$2)/$Q$2))</f>
        <v>2075.05073501935</v>
      </c>
      <c r="K378" s="15" t="n">
        <f aca="false">J378*(1+IF(K$3&lt;=$O$2,$D378,$D378-($D378-$I$373)*MIN(K$3-$O$2,$Q$2)/$Q$2))</f>
        <v>2059.63310805816</v>
      </c>
      <c r="L378" s="15" t="n">
        <f aca="false">K378*(1+IF(L$3&lt;=$O$2,$D378,$D378-($D378-$I$373)*MIN(L$3-$O$2,$Q$2)/$Q$2))</f>
        <v>2068.86026438226</v>
      </c>
      <c r="M378" s="15" t="n">
        <f aca="false">L378*(1+IF(M$3&lt;=$O$2,$D378,$D378-($D378-$I$373)*MIN(M$3-$O$2,$Q$2)/$Q$2))</f>
        <v>2102.76888411548</v>
      </c>
      <c r="N378" s="15" t="n">
        <f aca="false">M378*(1+IF(N$3&lt;=$O$2,$D378,$D378-($D378-$I$373)*MIN(N$3-$O$2,$Q$2)/$Q$2))</f>
        <v>2162.27724353595</v>
      </c>
      <c r="O378" s="15" t="n">
        <f aca="false">SUMPRODUCT(E378:N378,1/(1+$F$373)^$E$3:$N$3)*$E$2</f>
        <v>4400.16742889115</v>
      </c>
      <c r="P378" s="15" t="n">
        <f aca="false">N378*$E$2*(1+$I$373)/($F$373-$I$373)/(1+$F$373)^$N$3</f>
        <v>5749.1624070928</v>
      </c>
      <c r="Q378" s="15" t="n">
        <f aca="false">O378+P378</f>
        <v>10149.3298359839</v>
      </c>
      <c r="R378" s="15" t="n">
        <f aca="false">Q378-$G$2+$I$2</f>
        <v>8874.65983598395</v>
      </c>
      <c r="S378" s="42" t="n">
        <f aca="false">R378/$K$2</f>
        <v>249.498449142085</v>
      </c>
      <c r="T378" s="43" t="n">
        <f aca="false">S378-$M$2</f>
        <v>-39.7902773127931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-0.03125</v>
      </c>
      <c r="C379" s="25" t="n">
        <f aca="false">IF(T378&gt;0,D378,C378)</f>
        <v>0.0625</v>
      </c>
      <c r="D379" s="41" t="n">
        <f aca="false">(B379+C379)/2</f>
        <v>0.015625</v>
      </c>
      <c r="E379" s="15" t="n">
        <f aca="false">$C$2*(1+IF(E$3&lt;=$O$2,$D379,$D379-($D379-$I$373)*MIN(E$3-$O$2,$Q$2)/$Q$2))</f>
        <v>2518.75</v>
      </c>
      <c r="F379" s="15" t="n">
        <f aca="false">E379*(1+IF(F$3&lt;=$O$2,$D379,$D379-($D379-$I$373)*MIN(F$3-$O$2,$Q$2)/$Q$2))</f>
        <v>2558.10546875</v>
      </c>
      <c r="G379" s="15" t="n">
        <f aca="false">F379*(1+IF(G$3&lt;=$O$2,$D379,$D379-($D379-$I$373)*MIN(G$3-$O$2,$Q$2)/$Q$2))</f>
        <v>2598.07586669922</v>
      </c>
      <c r="H379" s="15" t="n">
        <f aca="false">G379*(1+IF(H$3&lt;=$O$2,$D379,$D379-($D379-$I$373)*MIN(H$3-$O$2,$Q$2)/$Q$2))</f>
        <v>2638.67080211639</v>
      </c>
      <c r="I379" s="15" t="n">
        <f aca="false">H379*(1+IF(I$3&lt;=$O$2,$D379,$D379-($D379-$I$373)*MIN(I$3-$O$2,$Q$2)/$Q$2))</f>
        <v>2679.90003339946</v>
      </c>
      <c r="J379" s="15" t="n">
        <f aca="false">I379*(1+IF(J$3&lt;=$O$2,$D379,$D379-($D379-$I$373)*MIN(J$3-$O$2,$Q$2)/$Q$2))</f>
        <v>2728.567018006</v>
      </c>
      <c r="K379" s="15" t="n">
        <f aca="false">J379*(1+IF(K$3&lt;=$O$2,$D379,$D379-($D379-$I$373)*MIN(K$3-$O$2,$Q$2)/$Q$2))</f>
        <v>2785.03471244363</v>
      </c>
      <c r="L379" s="15" t="n">
        <f aca="false">K379*(1+IF(L$3&lt;=$O$2,$D379,$D379-($D379-$I$373)*MIN(L$3-$O$2,$Q$2)/$Q$2))</f>
        <v>2849.7310688137</v>
      </c>
      <c r="M379" s="15" t="n">
        <f aca="false">L379*(1+IF(M$3&lt;=$O$2,$D379,$D379-($D379-$I$373)*MIN(M$3-$O$2,$Q$2)/$Q$2))</f>
        <v>2923.15438980168</v>
      </c>
      <c r="N379" s="15" t="n">
        <f aca="false">M379*(1+IF(N$3&lt;=$O$2,$D379,$D379-($D379-$I$373)*MIN(N$3-$O$2,$Q$2)/$Q$2))</f>
        <v>3005.87965903307</v>
      </c>
      <c r="O379" s="15" t="n">
        <f aca="false">SUMPRODUCT(E379:N379,1/(1+$F$373)^$E$3:$N$3)*$E$2</f>
        <v>5399.66452285591</v>
      </c>
      <c r="P379" s="15" t="n">
        <f aca="false">N379*$E$2*(1+$I$373)/($F$373-$I$373)/(1+$F$373)^$N$3</f>
        <v>7992.17139597599</v>
      </c>
      <c r="Q379" s="15" t="n">
        <f aca="false">O379+P379</f>
        <v>13391.8359188319</v>
      </c>
      <c r="R379" s="15" t="n">
        <f aca="false">Q379-$G$2+$I$2</f>
        <v>12117.1659188319</v>
      </c>
      <c r="S379" s="42" t="n">
        <f aca="false">R379/$K$2</f>
        <v>340.656899601684</v>
      </c>
      <c r="T379" s="43" t="n">
        <f aca="false">S379-$M$2</f>
        <v>51.3681731468063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-0.03125</v>
      </c>
      <c r="C380" s="25" t="n">
        <f aca="false">IF(T379&gt;0,D379,C379)</f>
        <v>0.015625</v>
      </c>
      <c r="D380" s="41" t="n">
        <f aca="false">(B380+C380)/2</f>
        <v>-0.0078125</v>
      </c>
      <c r="E380" s="15" t="n">
        <f aca="false">$C$2*(1+IF(E$3&lt;=$O$2,$D380,$D380-($D380-$I$373)*MIN(E$3-$O$2,$Q$2)/$Q$2))</f>
        <v>2460.625</v>
      </c>
      <c r="F380" s="15" t="n">
        <f aca="false">E380*(1+IF(F$3&lt;=$O$2,$D380,$D380-($D380-$I$373)*MIN(F$3-$O$2,$Q$2)/$Q$2))</f>
        <v>2441.4013671875</v>
      </c>
      <c r="G380" s="15" t="n">
        <f aca="false">F380*(1+IF(G$3&lt;=$O$2,$D380,$D380-($D380-$I$373)*MIN(G$3-$O$2,$Q$2)/$Q$2))</f>
        <v>2422.32791900635</v>
      </c>
      <c r="H380" s="15" t="n">
        <f aca="false">G380*(1+IF(H$3&lt;=$O$2,$D380,$D380-($D380-$I$373)*MIN(H$3-$O$2,$Q$2)/$Q$2))</f>
        <v>2403.40348213911</v>
      </c>
      <c r="I380" s="15" t="n">
        <f aca="false">H380*(1+IF(I$3&lt;=$O$2,$D380,$D380-($D380-$I$373)*MIN(I$3-$O$2,$Q$2)/$Q$2))</f>
        <v>2384.6268924349</v>
      </c>
      <c r="J380" s="15" t="n">
        <f aca="false">I380*(1+IF(J$3&lt;=$O$2,$D380,$D380-($D380-$I$373)*MIN(J$3-$O$2,$Q$2)/$Q$2))</f>
        <v>2383.21996256836</v>
      </c>
      <c r="K380" s="15" t="n">
        <f aca="false">J380*(1+IF(K$3&lt;=$O$2,$D380,$D380-($D380-$I$373)*MIN(K$3-$O$2,$Q$2)/$Q$2))</f>
        <v>2399.0266689701</v>
      </c>
      <c r="L380" s="15" t="n">
        <f aca="false">K380*(1+IF(L$3&lt;=$O$2,$D380,$D380-($D380-$I$373)*MIN(L$3-$O$2,$Q$2)/$Q$2))</f>
        <v>2432.26518346868</v>
      </c>
      <c r="M380" s="15" t="n">
        <f aca="false">L380*(1+IF(M$3&lt;=$O$2,$D380,$D380-($D380-$I$373)*MIN(M$3-$O$2,$Q$2)/$Q$2))</f>
        <v>2483.53125287324</v>
      </c>
      <c r="N380" s="15" t="n">
        <f aca="false">M380*(1+IF(N$3&lt;=$O$2,$D380,$D380-($D380-$I$373)*MIN(N$3-$O$2,$Q$2)/$Q$2))</f>
        <v>2553.81518732955</v>
      </c>
      <c r="O380" s="15" t="n">
        <f aca="false">SUMPRODUCT(E380:N380,1/(1+$F$373)^$E$3:$N$3)*$E$2</f>
        <v>4873.71944159318</v>
      </c>
      <c r="P380" s="15" t="n">
        <f aca="false">N380*$E$2*(1+$I$373)/($F$373-$I$373)/(1+$F$373)^$N$3</f>
        <v>6790.20154032047</v>
      </c>
      <c r="Q380" s="15" t="n">
        <f aca="false">O380+P380</f>
        <v>11663.9209819137</v>
      </c>
      <c r="R380" s="15" t="n">
        <f aca="false">Q380-$G$2+$I$2</f>
        <v>10389.2509819137</v>
      </c>
      <c r="S380" s="42" t="n">
        <f aca="false">R380/$K$2</f>
        <v>292.0790267617</v>
      </c>
      <c r="T380" s="43" t="n">
        <f aca="false">S380-$M$2</f>
        <v>2.79030030682179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-0.03125</v>
      </c>
      <c r="C381" s="25" t="n">
        <f aca="false">IF(T380&gt;0,D380,C380)</f>
        <v>-0.0078125</v>
      </c>
      <c r="D381" s="41" t="n">
        <f aca="false">(B381+C381)/2</f>
        <v>-0.01953125</v>
      </c>
      <c r="E381" s="15" t="n">
        <f aca="false">$C$2*(1+IF(E$3&lt;=$O$2,$D381,$D381-($D381-$I$373)*MIN(E$3-$O$2,$Q$2)/$Q$2))</f>
        <v>2431.5625</v>
      </c>
      <c r="F381" s="15" t="n">
        <f aca="false">E381*(1+IF(F$3&lt;=$O$2,$D381,$D381-($D381-$I$373)*MIN(F$3-$O$2,$Q$2)/$Q$2))</f>
        <v>2384.07104492188</v>
      </c>
      <c r="G381" s="15" t="n">
        <f aca="false">F381*(1+IF(G$3&lt;=$O$2,$D381,$D381-($D381-$I$373)*MIN(G$3-$O$2,$Q$2)/$Q$2))</f>
        <v>2337.50715732574</v>
      </c>
      <c r="H381" s="15" t="n">
        <f aca="false">G381*(1+IF(H$3&lt;=$O$2,$D381,$D381-($D381-$I$373)*MIN(H$3-$O$2,$Q$2)/$Q$2))</f>
        <v>2291.85272065923</v>
      </c>
      <c r="I381" s="15" t="n">
        <f aca="false">H381*(1+IF(I$3&lt;=$O$2,$D381,$D381-($D381-$I$373)*MIN(I$3-$O$2,$Q$2)/$Q$2))</f>
        <v>2247.08997220885</v>
      </c>
      <c r="J381" s="15" t="n">
        <f aca="false">I381*(1+IF(J$3&lt;=$O$2,$D381,$D381-($D381-$I$373)*MIN(J$3-$O$2,$Q$2)/$Q$2))</f>
        <v>2224.69772063579</v>
      </c>
      <c r="K381" s="15" t="n">
        <f aca="false">J381*(1+IF(K$3&lt;=$O$2,$D381,$D381-($D381-$I$373)*MIN(K$3-$O$2,$Q$2)/$Q$2))</f>
        <v>2223.81062241969</v>
      </c>
      <c r="L381" s="15" t="n">
        <f aca="false">K381*(1+IF(L$3&lt;=$O$2,$D381,$D381-($D381-$I$373)*MIN(L$3-$O$2,$Q$2)/$Q$2))</f>
        <v>2244.19740630072</v>
      </c>
      <c r="M381" s="15" t="n">
        <f aca="false">L381*(1+IF(M$3&lt;=$O$2,$D381,$D381-($D381-$I$373)*MIN(M$3-$O$2,$Q$2)/$Q$2))</f>
        <v>2286.23963946101</v>
      </c>
      <c r="N381" s="15" t="n">
        <f aca="false">M381*(1+IF(N$3&lt;=$O$2,$D381,$D381-($D381-$I$373)*MIN(N$3-$O$2,$Q$2)/$Q$2))</f>
        <v>2350.94022125775</v>
      </c>
      <c r="O381" s="15" t="n">
        <f aca="false">SUMPRODUCT(E381:N381,1/(1+$F$373)^$E$3:$N$3)*$E$2</f>
        <v>4630.71675847919</v>
      </c>
      <c r="P381" s="15" t="n">
        <f aca="false">N381*$E$2*(1+$I$373)/($F$373-$I$373)/(1+$F$373)^$N$3</f>
        <v>6250.7882288374</v>
      </c>
      <c r="Q381" s="15" t="n">
        <f aca="false">O381+P381</f>
        <v>10881.5049873166</v>
      </c>
      <c r="R381" s="15" t="n">
        <f aca="false">Q381-$G$2+$I$2</f>
        <v>9606.83498731659</v>
      </c>
      <c r="S381" s="42" t="n">
        <f aca="false">R381/$K$2</f>
        <v>270.082512997374</v>
      </c>
      <c r="T381" s="43" t="n">
        <f aca="false">S381-$M$2</f>
        <v>-19.2062134575039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-0.01953125</v>
      </c>
      <c r="C382" s="25" t="n">
        <f aca="false">IF(T381&gt;0,D381,C381)</f>
        <v>-0.0078125</v>
      </c>
      <c r="D382" s="41" t="n">
        <f aca="false">(B382+C382)/2</f>
        <v>-0.013671875</v>
      </c>
      <c r="E382" s="15" t="n">
        <f aca="false">$C$2*(1+IF(E$3&lt;=$O$2,$D382,$D382-($D382-$I$373)*MIN(E$3-$O$2,$Q$2)/$Q$2))</f>
        <v>2446.09375</v>
      </c>
      <c r="F382" s="15" t="n">
        <f aca="false">E382*(1+IF(F$3&lt;=$O$2,$D382,$D382-($D382-$I$373)*MIN(F$3-$O$2,$Q$2)/$Q$2))</f>
        <v>2412.65106201172</v>
      </c>
      <c r="G382" s="15" t="n">
        <f aca="false">F382*(1+IF(G$3&lt;=$O$2,$D382,$D382-($D382-$I$373)*MIN(G$3-$O$2,$Q$2)/$Q$2))</f>
        <v>2379.66559827328</v>
      </c>
      <c r="H382" s="15" t="n">
        <f aca="false">G382*(1+IF(H$3&lt;=$O$2,$D382,$D382-($D382-$I$373)*MIN(H$3-$O$2,$Q$2)/$Q$2))</f>
        <v>2347.13110767189</v>
      </c>
      <c r="I382" s="15" t="n">
        <f aca="false">H382*(1+IF(I$3&lt;=$O$2,$D382,$D382-($D382-$I$373)*MIN(I$3-$O$2,$Q$2)/$Q$2))</f>
        <v>2315.04142455918</v>
      </c>
      <c r="J382" s="15" t="n">
        <f aca="false">I382*(1+IF(J$3&lt;=$O$2,$D382,$D382-($D382-$I$373)*MIN(J$3-$O$2,$Q$2)/$Q$2))</f>
        <v>2302.82379344107</v>
      </c>
      <c r="K382" s="15" t="n">
        <f aca="false">J382*(1+IF(K$3&lt;=$O$2,$D382,$D382-($D382-$I$373)*MIN(K$3-$O$2,$Q$2)/$Q$2))</f>
        <v>2310.00140735225</v>
      </c>
      <c r="L382" s="15" t="n">
        <f aca="false">K382*(1+IF(L$3&lt;=$O$2,$D382,$D382-($D382-$I$373)*MIN(L$3-$O$2,$Q$2)/$Q$2))</f>
        <v>2336.59241105264</v>
      </c>
      <c r="M382" s="15" t="n">
        <f aca="false">L382*(1+IF(M$3&lt;=$O$2,$D382,$D382-($D382-$I$373)*MIN(M$3-$O$2,$Q$2)/$Q$2))</f>
        <v>2383.1037433649</v>
      </c>
      <c r="N382" s="15" t="n">
        <f aca="false">M382*(1+IF(N$3&lt;=$O$2,$D382,$D382-($D382-$I$373)*MIN(N$3-$O$2,$Q$2)/$Q$2))</f>
        <v>2450.54557930212</v>
      </c>
      <c r="O382" s="15" t="n">
        <f aca="false">SUMPRODUCT(E382:N382,1/(1+$F$373)^$E$3:$N$3)*$E$2</f>
        <v>4750.62221980467</v>
      </c>
      <c r="P382" s="15" t="n">
        <f aca="false">N382*$E$2*(1+$I$373)/($F$373-$I$373)/(1+$F$373)^$N$3</f>
        <v>6515.62354619812</v>
      </c>
      <c r="Q382" s="15" t="n">
        <f aca="false">O382+P382</f>
        <v>11266.2457660028</v>
      </c>
      <c r="R382" s="15" t="n">
        <f aca="false">Q382-$G$2+$I$2</f>
        <v>9991.57576600279</v>
      </c>
      <c r="S382" s="42" t="n">
        <f aca="false">R382/$K$2</f>
        <v>280.898953219083</v>
      </c>
      <c r="T382" s="43" t="n">
        <f aca="false">S382-$M$2</f>
        <v>-8.38977323579451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-0.013671875</v>
      </c>
      <c r="C383" s="25" t="n">
        <f aca="false">IF(T382&gt;0,D382,C382)</f>
        <v>-0.0078125</v>
      </c>
      <c r="D383" s="41" t="n">
        <f aca="false">(B383+C383)/2</f>
        <v>-0.0107421875</v>
      </c>
      <c r="E383" s="15" t="n">
        <f aca="false">$C$2*(1+IF(E$3&lt;=$O$2,$D383,$D383-($D383-$I$373)*MIN(E$3-$O$2,$Q$2)/$Q$2))</f>
        <v>2453.359375</v>
      </c>
      <c r="F383" s="15" t="n">
        <f aca="false">E383*(1+IF(F$3&lt;=$O$2,$D383,$D383-($D383-$I$373)*MIN(F$3-$O$2,$Q$2)/$Q$2))</f>
        <v>2427.00492858887</v>
      </c>
      <c r="G383" s="15" t="n">
        <f aca="false">F383*(1+IF(G$3&lt;=$O$2,$D383,$D383-($D383-$I$373)*MIN(G$3-$O$2,$Q$2)/$Q$2))</f>
        <v>2400.93358658254</v>
      </c>
      <c r="H383" s="15" t="n">
        <f aca="false">G383*(1+IF(H$3&lt;=$O$2,$D383,$D383-($D383-$I$373)*MIN(H$3-$O$2,$Q$2)/$Q$2))</f>
        <v>2375.14230782042</v>
      </c>
      <c r="I383" s="15" t="n">
        <f aca="false">H383*(1+IF(I$3&lt;=$O$2,$D383,$D383-($D383-$I$373)*MIN(I$3-$O$2,$Q$2)/$Q$2))</f>
        <v>2349.62808381063</v>
      </c>
      <c r="J383" s="15" t="n">
        <f aca="false">I383*(1+IF(J$3&lt;=$O$2,$D383,$D383-($D383-$I$373)*MIN(J$3-$O$2,$Q$2)/$Q$2))</f>
        <v>2342.73486241976</v>
      </c>
      <c r="K383" s="15" t="n">
        <f aca="false">J383*(1+IF(K$3&lt;=$O$2,$D383,$D383-($D383-$I$373)*MIN(K$3-$O$2,$Q$2)/$Q$2))</f>
        <v>2354.15496276941</v>
      </c>
      <c r="L383" s="15" t="n">
        <f aca="false">K383*(1+IF(L$3&lt;=$O$2,$D383,$D383-($D383-$I$373)*MIN(L$3-$O$2,$Q$2)/$Q$2))</f>
        <v>2384.01300443158</v>
      </c>
      <c r="M383" s="15" t="n">
        <f aca="false">L383*(1+IF(M$3&lt;=$O$2,$D383,$D383-($D383-$I$373)*MIN(M$3-$O$2,$Q$2)/$Q$2))</f>
        <v>2432.8651559127</v>
      </c>
      <c r="N383" s="15" t="n">
        <f aca="false">M383*(1+IF(N$3&lt;=$O$2,$D383,$D383-($D383-$I$373)*MIN(N$3-$O$2,$Q$2)/$Q$2))</f>
        <v>2501.71523982503</v>
      </c>
      <c r="O383" s="15" t="n">
        <f aca="false">SUMPRODUCT(E383:N383,1/(1+$F$373)^$E$3:$N$3)*$E$2</f>
        <v>4811.76686491081</v>
      </c>
      <c r="P383" s="15" t="n">
        <f aca="false">N383*$E$2*(1+$I$373)/($F$373-$I$373)/(1+$F$373)^$N$3</f>
        <v>6651.67579830477</v>
      </c>
      <c r="Q383" s="15" t="n">
        <f aca="false">O383+P383</f>
        <v>11463.4426632156</v>
      </c>
      <c r="R383" s="15" t="n">
        <f aca="false">Q383-$G$2+$I$2</f>
        <v>10188.7726632156</v>
      </c>
      <c r="S383" s="42" t="n">
        <f aca="false">R383/$K$2</f>
        <v>286.442863739544</v>
      </c>
      <c r="T383" s="43" t="n">
        <f aca="false">S383-$M$2</f>
        <v>-2.84586271533368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-0.0107421875</v>
      </c>
      <c r="C384" s="25" t="n">
        <f aca="false">IF(T383&gt;0,D383,C383)</f>
        <v>-0.0078125</v>
      </c>
      <c r="D384" s="41" t="n">
        <f aca="false">(B384+C384)/2</f>
        <v>-0.00927734375</v>
      </c>
      <c r="E384" s="15" t="n">
        <f aca="false">$C$2*(1+IF(E$3&lt;=$O$2,$D384,$D384-($D384-$I$373)*MIN(E$3-$O$2,$Q$2)/$Q$2))</f>
        <v>2456.9921875</v>
      </c>
      <c r="F384" s="15" t="n">
        <f aca="false">E384*(1+IF(F$3&lt;=$O$2,$D384,$D384-($D384-$I$373)*MIN(F$3-$O$2,$Q$2)/$Q$2))</f>
        <v>2434.1978263855</v>
      </c>
      <c r="G384" s="15" t="n">
        <f aca="false">F384*(1+IF(G$3&lt;=$O$2,$D384,$D384-($D384-$I$373)*MIN(G$3-$O$2,$Q$2)/$Q$2))</f>
        <v>2411.61493639462</v>
      </c>
      <c r="H384" s="15" t="n">
        <f aca="false">G384*(1+IF(H$3&lt;=$O$2,$D384,$D384-($D384-$I$373)*MIN(H$3-$O$2,$Q$2)/$Q$2))</f>
        <v>2389.24155563705</v>
      </c>
      <c r="I384" s="15" t="n">
        <f aca="false">H384*(1+IF(I$3&lt;=$O$2,$D384,$D384-($D384-$I$373)*MIN(I$3-$O$2,$Q$2)/$Q$2))</f>
        <v>2367.07574042362</v>
      </c>
      <c r="J384" s="15" t="n">
        <f aca="false">I384*(1+IF(J$3&lt;=$O$2,$D384,$D384-($D384-$I$373)*MIN(J$3-$O$2,$Q$2)/$Q$2))</f>
        <v>2362.90524885346</v>
      </c>
      <c r="K384" s="15" t="n">
        <f aca="false">J384*(1+IF(K$3&lt;=$O$2,$D384,$D384-($D384-$I$373)*MIN(K$3-$O$2,$Q$2)/$Q$2))</f>
        <v>2376.50044572511</v>
      </c>
      <c r="L384" s="15" t="n">
        <f aca="false">K384*(1+IF(L$3&lt;=$O$2,$D384,$D384-($D384-$I$373)*MIN(L$3-$O$2,$Q$2)/$Q$2))</f>
        <v>2408.03437867071</v>
      </c>
      <c r="M384" s="15" t="n">
        <f aca="false">L384*(1+IF(M$3&lt;=$O$2,$D384,$D384-($D384-$I$373)*MIN(M$3-$O$2,$Q$2)/$Q$2))</f>
        <v>2458.08424446527</v>
      </c>
      <c r="N384" s="15" t="n">
        <f aca="false">M384*(1+IF(N$3&lt;=$O$2,$D384,$D384-($D384-$I$373)*MIN(N$3-$O$2,$Q$2)/$Q$2))</f>
        <v>2527.64802858363</v>
      </c>
      <c r="O384" s="15" t="n">
        <f aca="false">SUMPRODUCT(E384:N384,1/(1+$F$373)^$E$3:$N$3)*$E$2</f>
        <v>4842.64153136162</v>
      </c>
      <c r="P384" s="15" t="n">
        <f aca="false">N384*$E$2*(1+$I$373)/($F$373-$I$373)/(1+$F$373)^$N$3</f>
        <v>6720.62709244974</v>
      </c>
      <c r="Q384" s="15" t="n">
        <f aca="false">O384+P384</f>
        <v>11563.2686238114</v>
      </c>
      <c r="R384" s="15" t="n">
        <f aca="false">Q384-$G$2+$I$2</f>
        <v>10288.5986238114</v>
      </c>
      <c r="S384" s="42" t="n">
        <f aca="false">R384/$K$2</f>
        <v>289.249328754888</v>
      </c>
      <c r="T384" s="43" t="n">
        <f aca="false">S384-$M$2</f>
        <v>-0.0393976999900474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-0.00927734375</v>
      </c>
      <c r="C385" s="25" t="n">
        <f aca="false">IF(T384&gt;0,D384,C384)</f>
        <v>-0.0078125</v>
      </c>
      <c r="D385" s="41" t="n">
        <f aca="false">(B385+C385)/2</f>
        <v>-0.008544921875</v>
      </c>
      <c r="E385" s="15" t="n">
        <f aca="false">$C$2*(1+IF(E$3&lt;=$O$2,$D385,$D385-($D385-$I$373)*MIN(E$3-$O$2,$Q$2)/$Q$2))</f>
        <v>2458.80859375</v>
      </c>
      <c r="F385" s="15" t="n">
        <f aca="false">E385*(1+IF(F$3&lt;=$O$2,$D385,$D385-($D385-$I$373)*MIN(F$3-$O$2,$Q$2)/$Q$2))</f>
        <v>2437.79826641083</v>
      </c>
      <c r="G385" s="15" t="n">
        <f aca="false">F385*(1+IF(G$3&lt;=$O$2,$D385,$D385-($D385-$I$373)*MIN(G$3-$O$2,$Q$2)/$Q$2))</f>
        <v>2416.96747067734</v>
      </c>
      <c r="H385" s="15" t="n">
        <f aca="false">G385*(1+IF(H$3&lt;=$O$2,$D385,$D385-($D385-$I$373)*MIN(H$3-$O$2,$Q$2)/$Q$2))</f>
        <v>2396.31467246598</v>
      </c>
      <c r="I385" s="15" t="n">
        <f aca="false">H385*(1+IF(I$3&lt;=$O$2,$D385,$D385-($D385-$I$373)*MIN(I$3-$O$2,$Q$2)/$Q$2))</f>
        <v>2375.83835080184</v>
      </c>
      <c r="J385" s="15" t="n">
        <f aca="false">I385*(1+IF(J$3&lt;=$O$2,$D385,$D385-($D385-$I$373)*MIN(J$3-$O$2,$Q$2)/$Q$2))</f>
        <v>2373.0445133912</v>
      </c>
      <c r="K385" s="15" t="n">
        <f aca="false">J385*(1+IF(K$3&lt;=$O$2,$D385,$D385-($D385-$I$373)*MIN(K$3-$O$2,$Q$2)/$Q$2))</f>
        <v>2387.74088929909</v>
      </c>
      <c r="L385" s="15" t="n">
        <f aca="false">K385*(1+IF(L$3&lt;=$O$2,$D385,$D385-($D385-$I$373)*MIN(L$3-$O$2,$Q$2)/$Q$2))</f>
        <v>2420.12350585667</v>
      </c>
      <c r="M385" s="15" t="n">
        <f aca="false">L385*(1+IF(M$3&lt;=$O$2,$D385,$D385-($D385-$I$373)*MIN(M$3-$O$2,$Q$2)/$Q$2))</f>
        <v>2470.77914877218</v>
      </c>
      <c r="N385" s="15" t="n">
        <f aca="false">M385*(1+IF(N$3&lt;=$O$2,$D385,$D385-($D385-$I$373)*MIN(N$3-$O$2,$Q$2)/$Q$2))</f>
        <v>2540.70219868244</v>
      </c>
      <c r="O385" s="15" t="n">
        <f aca="false">SUMPRODUCT(E385:N385,1/(1+$F$373)^$E$3:$N$3)*$E$2</f>
        <v>4858.15500182329</v>
      </c>
      <c r="P385" s="15" t="n">
        <f aca="false">N385*$E$2*(1+$I$373)/($F$373-$I$373)/(1+$F$373)^$N$3</f>
        <v>6755.33612165133</v>
      </c>
      <c r="Q385" s="15" t="n">
        <f aca="false">O385+P385</f>
        <v>11613.4911234746</v>
      </c>
      <c r="R385" s="15" t="n">
        <f aca="false">Q385-$G$2+$I$2</f>
        <v>10338.8211234746</v>
      </c>
      <c r="S385" s="42" t="n">
        <f aca="false">R385/$K$2</f>
        <v>290.661262959646</v>
      </c>
      <c r="T385" s="43" t="n">
        <f aca="false">S385-$M$2</f>
        <v>1.37253650476868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-0.00927734375</v>
      </c>
      <c r="C386" s="25" t="n">
        <f aca="false">IF(T385&gt;0,D385,C385)</f>
        <v>-0.008544921875</v>
      </c>
      <c r="D386" s="41" t="n">
        <f aca="false">(B386+C386)/2</f>
        <v>-0.0089111328125</v>
      </c>
      <c r="E386" s="15" t="n">
        <f aca="false">$C$2*(1+IF(E$3&lt;=$O$2,$D386,$D386-($D386-$I$373)*MIN(E$3-$O$2,$Q$2)/$Q$2))</f>
        <v>2457.900390625</v>
      </c>
      <c r="F386" s="15" t="n">
        <f aca="false">E386*(1+IF(F$3&lt;=$O$2,$D386,$D386-($D386-$I$373)*MIN(F$3-$O$2,$Q$2)/$Q$2))</f>
        <v>2435.99771380425</v>
      </c>
      <c r="G386" s="15" t="n">
        <f aca="false">F386*(1+IF(G$3&lt;=$O$2,$D386,$D386-($D386-$I$373)*MIN(G$3-$O$2,$Q$2)/$Q$2))</f>
        <v>2414.29021464559</v>
      </c>
      <c r="H386" s="15" t="n">
        <f aca="false">G386*(1+IF(H$3&lt;=$O$2,$D386,$D386-($D386-$I$373)*MIN(H$3-$O$2,$Q$2)/$Q$2))</f>
        <v>2392.77615389496</v>
      </c>
      <c r="I386" s="15" t="n">
        <f aca="false">H386*(1+IF(I$3&lt;=$O$2,$D386,$D386-($D386-$I$373)*MIN(I$3-$O$2,$Q$2)/$Q$2))</f>
        <v>2371.45380779702</v>
      </c>
      <c r="J386" s="15" t="n">
        <f aca="false">I386*(1+IF(J$3&lt;=$O$2,$D386,$D386-($D386-$I$373)*MIN(J$3-$O$2,$Q$2)/$Q$2))</f>
        <v>2367.97036447716</v>
      </c>
      <c r="K386" s="15" t="n">
        <f aca="false">J386*(1+IF(K$3&lt;=$O$2,$D386,$D386-($D386-$I$373)*MIN(K$3-$O$2,$Q$2)/$Q$2))</f>
        <v>2382.11500995469</v>
      </c>
      <c r="L386" s="15" t="n">
        <f aca="false">K386*(1+IF(L$3&lt;=$O$2,$D386,$D386-($D386-$I$373)*MIN(L$3-$O$2,$Q$2)/$Q$2))</f>
        <v>2414.07238553238</v>
      </c>
      <c r="M386" s="15" t="n">
        <f aca="false">L386*(1+IF(M$3&lt;=$O$2,$D386,$D386-($D386-$I$373)*MIN(M$3-$O$2,$Q$2)/$Q$2))</f>
        <v>2464.42456041154</v>
      </c>
      <c r="N386" s="15" t="n">
        <f aca="false">M386*(1+IF(N$3&lt;=$O$2,$D386,$D386-($D386-$I$373)*MIN(N$3-$O$2,$Q$2)/$Q$2))</f>
        <v>2534.16777547119</v>
      </c>
      <c r="O386" s="15" t="n">
        <f aca="false">SUMPRODUCT(E386:N386,1/(1+$F$373)^$E$3:$N$3)*$E$2</f>
        <v>4850.39190534346</v>
      </c>
      <c r="P386" s="15" t="n">
        <f aca="false">N386*$E$2*(1+$I$373)/($F$373-$I$373)/(1+$F$373)^$N$3</f>
        <v>6737.96209600755</v>
      </c>
      <c r="Q386" s="15" t="n">
        <f aca="false">O386+P386</f>
        <v>11588.354001351</v>
      </c>
      <c r="R386" s="15" t="n">
        <f aca="false">Q386-$G$2+$I$2</f>
        <v>10313.684001351</v>
      </c>
      <c r="S386" s="42" t="n">
        <f aca="false">R386/$K$2</f>
        <v>289.954568494546</v>
      </c>
      <c r="T386" s="43" t="n">
        <f aca="false">S386-$M$2</f>
        <v>0.665842039668462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-0.00927734375</v>
      </c>
      <c r="C387" s="25" t="n">
        <f aca="false">IF(T386&gt;0,D386,C386)</f>
        <v>-0.0089111328125</v>
      </c>
      <c r="D387" s="41" t="n">
        <f aca="false">(B387+C387)/2</f>
        <v>-0.00909423828125</v>
      </c>
      <c r="E387" s="15" t="n">
        <f aca="false">$C$2*(1+IF(E$3&lt;=$O$2,$D387,$D387-($D387-$I$373)*MIN(E$3-$O$2,$Q$2)/$Q$2))</f>
        <v>2457.4462890625</v>
      </c>
      <c r="F387" s="15" t="n">
        <f aca="false">E387*(1+IF(F$3&lt;=$O$2,$D387,$D387-($D387-$I$373)*MIN(F$3-$O$2,$Q$2)/$Q$2))</f>
        <v>2435.09768694639</v>
      </c>
      <c r="G387" s="15" t="n">
        <f aca="false">F387*(1+IF(G$3&lt;=$O$2,$D387,$D387-($D387-$I$373)*MIN(G$3-$O$2,$Q$2)/$Q$2))</f>
        <v>2412.95232834318</v>
      </c>
      <c r="H387" s="15" t="n">
        <f aca="false">G387*(1+IF(H$3&lt;=$O$2,$D387,$D387-($D387-$I$373)*MIN(H$3-$O$2,$Q$2)/$Q$2))</f>
        <v>2391.00836490793</v>
      </c>
      <c r="I387" s="15" t="n">
        <f aca="false">H387*(1+IF(I$3&lt;=$O$2,$D387,$D387-($D387-$I$373)*MIN(I$3-$O$2,$Q$2)/$Q$2))</f>
        <v>2369.263965105</v>
      </c>
      <c r="J387" s="15" t="n">
        <f aca="false">I387*(1+IF(J$3&lt;=$O$2,$D387,$D387-($D387-$I$373)*MIN(J$3-$O$2,$Q$2)/$Q$2))</f>
        <v>2365.43667830762</v>
      </c>
      <c r="K387" s="15" t="n">
        <f aca="false">J387*(1+IF(K$3&lt;=$O$2,$D387,$D387-($D387-$I$373)*MIN(K$3-$O$2,$Q$2)/$Q$2))</f>
        <v>2379.30631463101</v>
      </c>
      <c r="L387" s="15" t="n">
        <f aca="false">K387*(1+IF(L$3&lt;=$O$2,$D387,$D387-($D387-$I$373)*MIN(L$3-$O$2,$Q$2)/$Q$2))</f>
        <v>2411.05174442572</v>
      </c>
      <c r="M387" s="15" t="n">
        <f aca="false">L387*(1+IF(M$3&lt;=$O$2,$D387,$D387-($D387-$I$373)*MIN(M$3-$O$2,$Q$2)/$Q$2))</f>
        <v>2461.25262010507</v>
      </c>
      <c r="N387" s="15" t="n">
        <f aca="false">M387*(1+IF(N$3&lt;=$O$2,$D387,$D387-($D387-$I$373)*MIN(N$3-$O$2,$Q$2)/$Q$2))</f>
        <v>2530.90606925404</v>
      </c>
      <c r="O387" s="15" t="n">
        <f aca="false">SUMPRODUCT(E387:N387,1/(1+$F$373)^$E$3:$N$3)*$E$2</f>
        <v>4846.51512927813</v>
      </c>
      <c r="P387" s="15" t="n">
        <f aca="false">N387*$E$2*(1+$I$373)/($F$373-$I$373)/(1+$F$373)^$N$3</f>
        <v>6729.28972116633</v>
      </c>
      <c r="Q387" s="15" t="n">
        <f aca="false">O387+P387</f>
        <v>11575.8048504445</v>
      </c>
      <c r="R387" s="15" t="n">
        <f aca="false">Q387-$G$2+$I$2</f>
        <v>10301.1348504445</v>
      </c>
      <c r="S387" s="42" t="n">
        <f aca="false">R387/$K$2</f>
        <v>289.601766950926</v>
      </c>
      <c r="T387" s="43" t="n">
        <f aca="false">S387-$M$2</f>
        <v>0.3130404960487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-0.00927734375</v>
      </c>
      <c r="C388" s="25" t="n">
        <f aca="false">IF(T387&gt;0,D387,C387)</f>
        <v>-0.00909423828125</v>
      </c>
      <c r="D388" s="41" t="n">
        <f aca="false">(B388+C388)/2</f>
        <v>-0.009185791015625</v>
      </c>
      <c r="E388" s="15" t="n">
        <f aca="false">$C$2*(1+IF(E$3&lt;=$O$2,$D388,$D388-($D388-$I$373)*MIN(E$3-$O$2,$Q$2)/$Q$2))</f>
        <v>2457.21923828125</v>
      </c>
      <c r="F388" s="15" t="n">
        <f aca="false">E388*(1+IF(F$3&lt;=$O$2,$D388,$D388-($D388-$I$373)*MIN(F$3-$O$2,$Q$2)/$Q$2))</f>
        <v>2434.64773587883</v>
      </c>
      <c r="G388" s="15" t="n">
        <f aca="false">F388*(1+IF(G$3&lt;=$O$2,$D388,$D388-($D388-$I$373)*MIN(G$3-$O$2,$Q$2)/$Q$2))</f>
        <v>2412.28357058038</v>
      </c>
      <c r="H388" s="15" t="n">
        <f aca="false">G388*(1+IF(H$3&lt;=$O$2,$D388,$D388-($D388-$I$373)*MIN(H$3-$O$2,$Q$2)/$Q$2))</f>
        <v>2390.1248378306</v>
      </c>
      <c r="I388" s="15" t="n">
        <f aca="false">H388*(1+IF(I$3&lt;=$O$2,$D388,$D388-($D388-$I$373)*MIN(I$3-$O$2,$Q$2)/$Q$2))</f>
        <v>2368.16965056903</v>
      </c>
      <c r="J388" s="15" t="n">
        <f aca="false">I388*(1+IF(J$3&lt;=$O$2,$D388,$D388-($D388-$I$373)*MIN(J$3-$O$2,$Q$2)/$Q$2))</f>
        <v>2364.17068159152</v>
      </c>
      <c r="K388" s="15" t="n">
        <f aca="false">J388*(1+IF(K$3&lt;=$O$2,$D388,$D388-($D388-$I$373)*MIN(K$3-$O$2,$Q$2)/$Q$2))</f>
        <v>2377.90302702331</v>
      </c>
      <c r="L388" s="15" t="n">
        <f aca="false">K388*(1+IF(L$3&lt;=$O$2,$D388,$D388-($D388-$I$373)*MIN(L$3-$O$2,$Q$2)/$Q$2))</f>
        <v>2409.5426523175</v>
      </c>
      <c r="M388" s="15" t="n">
        <f aca="false">L388*(1+IF(M$3&lt;=$O$2,$D388,$D388-($D388-$I$373)*MIN(M$3-$O$2,$Q$2)/$Q$2))</f>
        <v>2459.66798691649</v>
      </c>
      <c r="N388" s="15" t="n">
        <f aca="false">M388*(1+IF(N$3&lt;=$O$2,$D388,$D388-($D388-$I$373)*MIN(N$3-$O$2,$Q$2)/$Q$2))</f>
        <v>2529.27659094623</v>
      </c>
      <c r="O388" s="15" t="n">
        <f aca="false">SUMPRODUCT(E388:N388,1/(1+$F$373)^$E$3:$N$3)*$E$2</f>
        <v>4844.57793320591</v>
      </c>
      <c r="P388" s="15" t="n">
        <f aca="false">N388*$E$2*(1+$I$373)/($F$373-$I$373)/(1+$F$373)^$N$3</f>
        <v>6724.95718912934</v>
      </c>
      <c r="Q388" s="15" t="n">
        <f aca="false">O388+P388</f>
        <v>11569.5351223352</v>
      </c>
      <c r="R388" s="15" t="n">
        <f aca="false">Q388-$G$2+$I$2</f>
        <v>10294.8651223352</v>
      </c>
      <c r="S388" s="42" t="n">
        <f aca="false">R388/$K$2</f>
        <v>289.425502455306</v>
      </c>
      <c r="T388" s="43" t="n">
        <f aca="false">S388-$M$2</f>
        <v>0.136776000428711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-0.00927734375</v>
      </c>
      <c r="C389" s="25" t="n">
        <f aca="false">IF(T388&gt;0,D388,C388)</f>
        <v>-0.009185791015625</v>
      </c>
      <c r="D389" s="41" t="n">
        <f aca="false">(B389+C389)/2</f>
        <v>-0.0092315673828125</v>
      </c>
      <c r="E389" s="15" t="n">
        <f aca="false">$C$2*(1+IF(E$3&lt;=$O$2,$D389,$D389-($D389-$I$373)*MIN(E$3-$O$2,$Q$2)/$Q$2))</f>
        <v>2457.10571289063</v>
      </c>
      <c r="F389" s="15" t="n">
        <f aca="false">E389*(1+IF(F$3&lt;=$O$2,$D389,$D389-($D389-$I$373)*MIN(F$3-$O$2,$Q$2)/$Q$2))</f>
        <v>2434.42277593538</v>
      </c>
      <c r="G389" s="15" t="n">
        <f aca="false">F389*(1+IF(G$3&lt;=$O$2,$D389,$D389-($D389-$I$373)*MIN(G$3-$O$2,$Q$2)/$Q$2))</f>
        <v>2411.94923804108</v>
      </c>
      <c r="H389" s="15" t="n">
        <f aca="false">G389*(1+IF(H$3&lt;=$O$2,$D389,$D389-($D389-$I$373)*MIN(H$3-$O$2,$Q$2)/$Q$2))</f>
        <v>2389.68316612618</v>
      </c>
      <c r="I389" s="15" t="n">
        <f aca="false">H389*(1+IF(I$3&lt;=$O$2,$D389,$D389-($D389-$I$373)*MIN(I$3-$O$2,$Q$2)/$Q$2))</f>
        <v>2367.62264495451</v>
      </c>
      <c r="J389" s="15" t="n">
        <f aca="false">I389*(1+IF(J$3&lt;=$O$2,$D389,$D389-($D389-$I$373)*MIN(J$3-$O$2,$Q$2)/$Q$2))</f>
        <v>2363.53789473778</v>
      </c>
      <c r="K389" s="15" t="n">
        <f aca="false">J389*(1+IF(K$3&lt;=$O$2,$D389,$D389-($D389-$I$373)*MIN(K$3-$O$2,$Q$2)/$Q$2))</f>
        <v>2377.20164810395</v>
      </c>
      <c r="L389" s="15" t="n">
        <f aca="false">K389*(1+IF(L$3&lt;=$O$2,$D389,$D389-($D389-$I$373)*MIN(L$3-$O$2,$Q$2)/$Q$2))</f>
        <v>2408.78841320995</v>
      </c>
      <c r="M389" s="15" t="n">
        <f aca="false">L389*(1+IF(M$3&lt;=$O$2,$D389,$D389-($D389-$I$373)*MIN(M$3-$O$2,$Q$2)/$Q$2))</f>
        <v>2458.87600437553</v>
      </c>
      <c r="N389" s="15" t="n">
        <f aca="false">M389*(1+IF(N$3&lt;=$O$2,$D389,$D389-($D389-$I$373)*MIN(N$3-$O$2,$Q$2)/$Q$2))</f>
        <v>2528.46219529936</v>
      </c>
      <c r="O389" s="15" t="n">
        <f aca="false">SUMPRODUCT(E389:N389,1/(1+$F$373)^$E$3:$N$3)*$E$2</f>
        <v>4843.6096330246</v>
      </c>
      <c r="P389" s="15" t="n">
        <f aca="false">N389*$E$2*(1+$I$373)/($F$373-$I$373)/(1+$F$373)^$N$3</f>
        <v>6722.7918364432</v>
      </c>
      <c r="Q389" s="15" t="n">
        <f aca="false">O389+P389</f>
        <v>11566.4014694678</v>
      </c>
      <c r="R389" s="15" t="n">
        <f aca="false">Q389-$G$2+$I$2</f>
        <v>10291.7314694678</v>
      </c>
      <c r="S389" s="42" t="n">
        <f aca="false">R389/$K$2</f>
        <v>289.337404258302</v>
      </c>
      <c r="T389" s="43" t="n">
        <f aca="false">S389-$M$2</f>
        <v>0.0486778034241411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-0.00927734375</v>
      </c>
      <c r="C390" s="25" t="n">
        <f aca="false">IF(T389&gt;0,D389,C389)</f>
        <v>-0.0092315673828125</v>
      </c>
      <c r="D390" s="41" t="n">
        <f aca="false">(B390+C390)/2</f>
        <v>-0.00925445556640625</v>
      </c>
      <c r="E390" s="15" t="n">
        <f aca="false">$C$2*(1+IF(E$3&lt;=$O$2,$D390,$D390-($D390-$I$373)*MIN(E$3-$O$2,$Q$2)/$Q$2))</f>
        <v>2457.04895019531</v>
      </c>
      <c r="F390" s="15" t="n">
        <f aca="false">E390*(1+IF(F$3&lt;=$O$2,$D390,$D390-($D390-$I$373)*MIN(F$3-$O$2,$Q$2)/$Q$2))</f>
        <v>2434.31029986125</v>
      </c>
      <c r="G390" s="15" t="n">
        <f aca="false">F390*(1+IF(G$3&lt;=$O$2,$D390,$D390-($D390-$I$373)*MIN(G$3-$O$2,$Q$2)/$Q$2))</f>
        <v>2411.78208335633</v>
      </c>
      <c r="H390" s="15" t="n">
        <f aca="false">G390*(1+IF(H$3&lt;=$O$2,$D390,$D390-($D390-$I$373)*MIN(H$3-$O$2,$Q$2)/$Q$2))</f>
        <v>2389.46235323006</v>
      </c>
      <c r="I390" s="15" t="n">
        <f aca="false">H390*(1+IF(I$3&lt;=$O$2,$D390,$D390-($D390-$I$373)*MIN(I$3-$O$2,$Q$2)/$Q$2))</f>
        <v>2367.34918005449</v>
      </c>
      <c r="J390" s="15" t="n">
        <f aca="false">I390*(1+IF(J$3&lt;=$O$2,$D390,$D390-($D390-$I$373)*MIN(J$3-$O$2,$Q$2)/$Q$2))</f>
        <v>2363.22155417601</v>
      </c>
      <c r="K390" s="15" t="n">
        <f aca="false">J390*(1+IF(K$3&lt;=$O$2,$D390,$D390-($D390-$I$373)*MIN(K$3-$O$2,$Q$2)/$Q$2))</f>
        <v>2376.85102484927</v>
      </c>
      <c r="L390" s="15" t="n">
        <f aca="false">K390*(1+IF(L$3&lt;=$O$2,$D390,$D390-($D390-$I$373)*MIN(L$3-$O$2,$Q$2)/$Q$2))</f>
        <v>2408.41137037223</v>
      </c>
      <c r="M390" s="15" t="n">
        <f aca="false">L390*(1+IF(M$3&lt;=$O$2,$D390,$D390-($D390-$I$373)*MIN(M$3-$O$2,$Q$2)/$Q$2))</f>
        <v>2458.48009659491</v>
      </c>
      <c r="N390" s="15" t="n">
        <f aca="false">M390*(1+IF(N$3&lt;=$O$2,$D390,$D390-($D390-$I$373)*MIN(N$3-$O$2,$Q$2)/$Q$2))</f>
        <v>2528.05508332855</v>
      </c>
      <c r="O390" s="15" t="n">
        <f aca="false">SUMPRODUCT(E390:N390,1/(1+$F$373)^$E$3:$N$3)*$E$2</f>
        <v>4843.12555738073</v>
      </c>
      <c r="P390" s="15" t="n">
        <f aca="false">N390*$E$2*(1+$I$373)/($F$373-$I$373)/(1+$F$373)^$N$3</f>
        <v>6721.70938836905</v>
      </c>
      <c r="Q390" s="15" t="n">
        <f aca="false">O390+P390</f>
        <v>11564.8349457498</v>
      </c>
      <c r="R390" s="15" t="n">
        <f aca="false">Q390-$G$2+$I$2</f>
        <v>10290.1649457498</v>
      </c>
      <c r="S390" s="42" t="n">
        <f aca="false">R390/$K$2</f>
        <v>289.293363670222</v>
      </c>
      <c r="T390" s="43" t="n">
        <f aca="false">S390-$M$2</f>
        <v>0.00463721534390515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-0.00927734375</v>
      </c>
      <c r="C391" s="25" t="n">
        <f aca="false">IF(T390&gt;0,D390,C390)</f>
        <v>-0.00925445556640625</v>
      </c>
      <c r="D391" s="41" t="n">
        <f aca="false">(B391+C391)/2</f>
        <v>-0.00926589965820313</v>
      </c>
      <c r="E391" s="15" t="n">
        <f aca="false">$C$2*(1+IF(E$3&lt;=$O$2,$D391,$D391-($D391-$I$373)*MIN(E$3-$O$2,$Q$2)/$Q$2))</f>
        <v>2457.02056884766</v>
      </c>
      <c r="F391" s="15" t="n">
        <f aca="false">E391*(1+IF(F$3&lt;=$O$2,$D391,$D391-($D391-$I$373)*MIN(F$3-$O$2,$Q$2)/$Q$2))</f>
        <v>2434.25406279857</v>
      </c>
      <c r="G391" s="15" t="n">
        <f aca="false">F391*(1+IF(G$3&lt;=$O$2,$D391,$D391-($D391-$I$373)*MIN(G$3-$O$2,$Q$2)/$Q$2))</f>
        <v>2411.69850891011</v>
      </c>
      <c r="H391" s="15" t="n">
        <f aca="false">G391*(1+IF(H$3&lt;=$O$2,$D391,$D391-($D391-$I$373)*MIN(H$3-$O$2,$Q$2)/$Q$2))</f>
        <v>2389.35195252071</v>
      </c>
      <c r="I391" s="15" t="n">
        <f aca="false">H391*(1+IF(I$3&lt;=$O$2,$D391,$D391-($D391-$I$373)*MIN(I$3-$O$2,$Q$2)/$Q$2))</f>
        <v>2367.21245708052</v>
      </c>
      <c r="J391" s="15" t="n">
        <f aca="false">I391*(1+IF(J$3&lt;=$O$2,$D391,$D391-($D391-$I$373)*MIN(J$3-$O$2,$Q$2)/$Q$2))</f>
        <v>2363.06339711003</v>
      </c>
      <c r="K391" s="15" t="n">
        <f aca="false">J391*(1+IF(K$3&lt;=$O$2,$D391,$D391-($D391-$I$373)*MIN(K$3-$O$2,$Q$2)/$Q$2))</f>
        <v>2376.67572977116</v>
      </c>
      <c r="L391" s="15" t="n">
        <f aca="false">K391*(1+IF(L$3&lt;=$O$2,$D391,$D391-($D391-$I$373)*MIN(L$3-$O$2,$Q$2)/$Q$2))</f>
        <v>2408.22286812981</v>
      </c>
      <c r="M391" s="15" t="n">
        <f aca="false">L391*(1+IF(M$3&lt;=$O$2,$D391,$D391-($D391-$I$373)*MIN(M$3-$O$2,$Q$2)/$Q$2))</f>
        <v>2458.28216357414</v>
      </c>
      <c r="N391" s="15" t="n">
        <f aca="false">M391*(1+IF(N$3&lt;=$O$2,$D391,$D391-($D391-$I$373)*MIN(N$3-$O$2,$Q$2)/$Q$2))</f>
        <v>2527.85154880329</v>
      </c>
      <c r="O391" s="15" t="n">
        <f aca="false">SUMPRODUCT(E391:N391,1/(1+$F$373)^$E$3:$N$3)*$E$2</f>
        <v>4842.88353816838</v>
      </c>
      <c r="P391" s="15" t="n">
        <f aca="false">N391*$E$2*(1+$I$373)/($F$373-$I$373)/(1+$F$373)^$N$3</f>
        <v>6721.16822139118</v>
      </c>
      <c r="Q391" s="15" t="n">
        <f aca="false">O391+P391</f>
        <v>11564.0517595596</v>
      </c>
      <c r="R391" s="15" t="n">
        <f aca="false">Q391-$G$2+$I$2</f>
        <v>10289.3817595596</v>
      </c>
      <c r="S391" s="42" t="n">
        <f aca="false">R391/$K$2</f>
        <v>289.271345503502</v>
      </c>
      <c r="T391" s="43" t="n">
        <f aca="false">S391-$M$2</f>
        <v>-0.0173809513757988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-0.00926589965820313</v>
      </c>
      <c r="C392" s="25" t="n">
        <f aca="false">IF(T391&gt;0,D391,C391)</f>
        <v>-0.00925445556640625</v>
      </c>
      <c r="D392" s="41" t="n">
        <f aca="false">(B392+C392)/2</f>
        <v>-0.00926017761230469</v>
      </c>
      <c r="E392" s="15" t="n">
        <f aca="false">$C$2*(1+IF(E$3&lt;=$O$2,$D392,$D392-($D392-$I$373)*MIN(E$3-$O$2,$Q$2)/$Q$2))</f>
        <v>2457.03475952148</v>
      </c>
      <c r="F392" s="15" t="n">
        <f aca="false">E392*(1+IF(F$3&lt;=$O$2,$D392,$D392-($D392-$I$373)*MIN(F$3-$O$2,$Q$2)/$Q$2))</f>
        <v>2434.28218124871</v>
      </c>
      <c r="G392" s="15" t="n">
        <f aca="false">F392*(1+IF(G$3&lt;=$O$2,$D392,$D392-($D392-$I$373)*MIN(G$3-$O$2,$Q$2)/$Q$2))</f>
        <v>2411.74029589188</v>
      </c>
      <c r="H392" s="15" t="n">
        <f aca="false">G392*(1+IF(H$3&lt;=$O$2,$D392,$D392-($D392-$I$373)*MIN(H$3-$O$2,$Q$2)/$Q$2))</f>
        <v>2389.40715239717</v>
      </c>
      <c r="I392" s="15" t="n">
        <f aca="false">H392*(1+IF(I$3&lt;=$O$2,$D392,$D392-($D392-$I$373)*MIN(I$3-$O$2,$Q$2)/$Q$2))</f>
        <v>2367.28081777786</v>
      </c>
      <c r="J392" s="15" t="n">
        <f aca="false">I392*(1+IF(J$3&lt;=$O$2,$D392,$D392-($D392-$I$373)*MIN(J$3-$O$2,$Q$2)/$Q$2))</f>
        <v>2363.14247454182</v>
      </c>
      <c r="K392" s="15" t="n">
        <f aca="false">J392*(1+IF(K$3&lt;=$O$2,$D392,$D392-($D392-$I$373)*MIN(K$3-$O$2,$Q$2)/$Q$2))</f>
        <v>2376.76337593117</v>
      </c>
      <c r="L392" s="15" t="n">
        <f aca="false">K392*(1+IF(L$3&lt;=$O$2,$D392,$D392-($D392-$I$373)*MIN(L$3-$O$2,$Q$2)/$Q$2))</f>
        <v>2408.31711765306</v>
      </c>
      <c r="M392" s="15" t="n">
        <f aca="false">L392*(1+IF(M$3&lt;=$O$2,$D392,$D392-($D392-$I$373)*MIN(M$3-$O$2,$Q$2)/$Q$2))</f>
        <v>2458.38112834549</v>
      </c>
      <c r="N392" s="15" t="n">
        <f aca="false">M392*(1+IF(N$3&lt;=$O$2,$D392,$D392-($D392-$I$373)*MIN(N$3-$O$2,$Q$2)/$Q$2))</f>
        <v>2527.95331427766</v>
      </c>
      <c r="O392" s="15" t="n">
        <f aca="false">SUMPRODUCT(E392:N392,1/(1+$F$373)^$E$3:$N$3)*$E$2</f>
        <v>4843.00454622382</v>
      </c>
      <c r="P392" s="15" t="n">
        <f aca="false">N392*$E$2*(1+$I$373)/($F$373-$I$373)/(1+$F$373)^$N$3</f>
        <v>6721.43880012542</v>
      </c>
      <c r="Q392" s="15" t="n">
        <f aca="false">O392+P392</f>
        <v>11564.4433463492</v>
      </c>
      <c r="R392" s="15" t="n">
        <f aca="false">Q392-$G$2+$I$2</f>
        <v>10289.7733463492</v>
      </c>
      <c r="S392" s="42" t="n">
        <f aca="false">R392/$K$2</f>
        <v>289.282354409594</v>
      </c>
      <c r="T392" s="43" t="n">
        <f aca="false">S392-$M$2</f>
        <v>-0.00637204528413804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-0.00926017761230469</v>
      </c>
      <c r="C393" s="25" t="n">
        <f aca="false">IF(T392&gt;0,D392,C392)</f>
        <v>-0.00925445556640625</v>
      </c>
      <c r="D393" s="41" t="n">
        <f aca="false">(B393+C393)/2</f>
        <v>-0.00925731658935547</v>
      </c>
      <c r="E393" s="15" t="n">
        <f aca="false">$C$2*(1+IF(E$3&lt;=$O$2,$D393,$D393-($D393-$I$373)*MIN(E$3-$O$2,$Q$2)/$Q$2))</f>
        <v>2457.0418548584</v>
      </c>
      <c r="F393" s="15" t="n">
        <f aca="false">E393*(1+IF(F$3&lt;=$O$2,$D393,$D393-($D393-$I$373)*MIN(F$3-$O$2,$Q$2)/$Q$2))</f>
        <v>2434.29624053468</v>
      </c>
      <c r="G393" s="15" t="n">
        <f aca="false">F393*(1+IF(G$3&lt;=$O$2,$D393,$D393-($D393-$I$373)*MIN(G$3-$O$2,$Q$2)/$Q$2))</f>
        <v>2411.76118956377</v>
      </c>
      <c r="H393" s="15" t="n">
        <f aca="false">G393*(1+IF(H$3&lt;=$O$2,$D393,$D393-($D393-$I$373)*MIN(H$3-$O$2,$Q$2)/$Q$2))</f>
        <v>2389.43475269406</v>
      </c>
      <c r="I393" s="15" t="n">
        <f aca="false">H393*(1+IF(I$3&lt;=$O$2,$D393,$D393-($D393-$I$373)*MIN(I$3-$O$2,$Q$2)/$Q$2))</f>
        <v>2367.31499871876</v>
      </c>
      <c r="J393" s="15" t="n">
        <f aca="false">I393*(1+IF(J$3&lt;=$O$2,$D393,$D393-($D393-$I$373)*MIN(J$3-$O$2,$Q$2)/$Q$2))</f>
        <v>2363.18201408361</v>
      </c>
      <c r="K393" s="15" t="n">
        <f aca="false">J393*(1+IF(K$3&lt;=$O$2,$D393,$D393-($D393-$I$373)*MIN(K$3-$O$2,$Q$2)/$Q$2))</f>
        <v>2376.80720004545</v>
      </c>
      <c r="L393" s="15" t="n">
        <f aca="false">K393*(1+IF(L$3&lt;=$O$2,$D393,$D393-($D393-$I$373)*MIN(L$3-$O$2,$Q$2)/$Q$2))</f>
        <v>2408.36424361315</v>
      </c>
      <c r="M393" s="15" t="n">
        <f aca="false">L393*(1+IF(M$3&lt;=$O$2,$D393,$D393-($D393-$I$373)*MIN(M$3-$O$2,$Q$2)/$Q$2))</f>
        <v>2458.43061203543</v>
      </c>
      <c r="N393" s="15" t="n">
        <f aca="false">M393*(1+IF(N$3&lt;=$O$2,$D393,$D393-($D393-$I$373)*MIN(N$3-$O$2,$Q$2)/$Q$2))</f>
        <v>2528.00419835604</v>
      </c>
      <c r="O393" s="15" t="n">
        <f aca="false">SUMPRODUCT(E393:N393,1/(1+$F$373)^$E$3:$N$3)*$E$2</f>
        <v>4843.06505141459</v>
      </c>
      <c r="P393" s="15" t="n">
        <f aca="false">N393*$E$2*(1+$I$373)/($F$373-$I$373)/(1+$F$373)^$N$3</f>
        <v>6721.57409305855</v>
      </c>
      <c r="Q393" s="15" t="n">
        <f aca="false">O393+P393</f>
        <v>11564.6391444731</v>
      </c>
      <c r="R393" s="15" t="n">
        <f aca="false">Q393-$G$2+$I$2</f>
        <v>10289.9691444731</v>
      </c>
      <c r="S393" s="42" t="n">
        <f aca="false">R393/$K$2</f>
        <v>289.28785899559</v>
      </c>
      <c r="T393" s="43" t="n">
        <f aca="false">S393-$M$2</f>
        <v>-0.00086745928780374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-0.00925731658935547</v>
      </c>
      <c r="C394" s="25" t="n">
        <f aca="false">IF(T393&gt;0,D393,C393)</f>
        <v>-0.00925445556640625</v>
      </c>
      <c r="D394" s="41" t="n">
        <f aca="false">(B394+C394)/2</f>
        <v>-0.00925588607788086</v>
      </c>
      <c r="E394" s="15" t="n">
        <f aca="false">$C$2*(1+IF(E$3&lt;=$O$2,$D394,$D394-($D394-$I$373)*MIN(E$3-$O$2,$Q$2)/$Q$2))</f>
        <v>2457.04540252686</v>
      </c>
      <c r="F394" s="15" t="n">
        <f aca="false">E394*(1+IF(F$3&lt;=$O$2,$D394,$D394-($D394-$I$373)*MIN(F$3-$O$2,$Q$2)/$Q$2))</f>
        <v>2434.30327019289</v>
      </c>
      <c r="G394" s="15" t="n">
        <f aca="false">F394*(1+IF(G$3&lt;=$O$2,$D394,$D394-($D394-$I$373)*MIN(G$3-$O$2,$Q$2)/$Q$2))</f>
        <v>2411.77163644497</v>
      </c>
      <c r="H394" s="15" t="n">
        <f aca="false">G394*(1+IF(H$3&lt;=$O$2,$D394,$D394-($D394-$I$373)*MIN(H$3-$O$2,$Q$2)/$Q$2))</f>
        <v>2389.44855293217</v>
      </c>
      <c r="I394" s="15" t="n">
        <f aca="false">H394*(1+IF(I$3&lt;=$O$2,$D394,$D394-($D394-$I$373)*MIN(I$3-$O$2,$Q$2)/$Q$2))</f>
        <v>2367.33208933727</v>
      </c>
      <c r="J394" s="15" t="n">
        <f aca="false">I394*(1+IF(J$3&lt;=$O$2,$D394,$D394-($D394-$I$373)*MIN(J$3-$O$2,$Q$2)/$Q$2))</f>
        <v>2363.20178406099</v>
      </c>
      <c r="K394" s="15" t="n">
        <f aca="false">J394*(1+IF(K$3&lt;=$O$2,$D394,$D394-($D394-$I$373)*MIN(K$3-$O$2,$Q$2)/$Q$2))</f>
        <v>2376.82911236117</v>
      </c>
      <c r="L394" s="15" t="n">
        <f aca="false">K394*(1+IF(L$3&lt;=$O$2,$D394,$D394-($D394-$I$373)*MIN(L$3-$O$2,$Q$2)/$Q$2))</f>
        <v>2408.38780689282</v>
      </c>
      <c r="M394" s="15" t="n">
        <f aca="false">L394*(1+IF(M$3&lt;=$O$2,$D394,$D394-($D394-$I$373)*MIN(M$3-$O$2,$Q$2)/$Q$2))</f>
        <v>2458.45535420648</v>
      </c>
      <c r="N394" s="15" t="n">
        <f aca="false">M394*(1+IF(N$3&lt;=$O$2,$D394,$D394-($D394-$I$373)*MIN(N$3-$O$2,$Q$2)/$Q$2))</f>
        <v>2528.02964073052</v>
      </c>
      <c r="O394" s="15" t="n">
        <f aca="false">SUMPRODUCT(E394:N394,1/(1+$F$373)^$E$3:$N$3)*$E$2</f>
        <v>4843.09530430074</v>
      </c>
      <c r="P394" s="15" t="n">
        <f aca="false">N394*$E$2*(1+$I$373)/($F$373-$I$373)/(1+$F$373)^$N$3</f>
        <v>6721.64174041662</v>
      </c>
      <c r="Q394" s="15" t="n">
        <f aca="false">O394+P394</f>
        <v>11564.7370447174</v>
      </c>
      <c r="R394" s="15" t="n">
        <f aca="false">Q394-$G$2+$I$2</f>
        <v>10290.0670447174</v>
      </c>
      <c r="S394" s="42" t="n">
        <f aca="false">R394/$K$2</f>
        <v>289.290611321826</v>
      </c>
      <c r="T394" s="43" t="n">
        <f aca="false">S394-$M$2</f>
        <v>0.00188486694850099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-0.00925731658935547</v>
      </c>
      <c r="C395" s="25" t="n">
        <f aca="false">IF(T394&gt;0,D394,C394)</f>
        <v>-0.00925588607788086</v>
      </c>
      <c r="D395" s="41" t="n">
        <f aca="false">(B395+C395)/2</f>
        <v>-0.00925660133361816</v>
      </c>
      <c r="E395" s="15" t="n">
        <f aca="false">$C$2*(1+IF(E$3&lt;=$O$2,$D395,$D395-($D395-$I$373)*MIN(E$3-$O$2,$Q$2)/$Q$2))</f>
        <v>2457.04362869263</v>
      </c>
      <c r="F395" s="15" t="n">
        <f aca="false">E395*(1+IF(F$3&lt;=$O$2,$D395,$D395-($D395-$I$373)*MIN(F$3-$O$2,$Q$2)/$Q$2))</f>
        <v>2434.29975536251</v>
      </c>
      <c r="G395" s="15" t="n">
        <f aca="false">F395*(1+IF(G$3&lt;=$O$2,$D395,$D395-($D395-$I$373)*MIN(G$3-$O$2,$Q$2)/$Q$2))</f>
        <v>2411.7664130006</v>
      </c>
      <c r="H395" s="15" t="n">
        <f aca="false">G395*(1+IF(H$3&lt;=$O$2,$D395,$D395-($D395-$I$373)*MIN(H$3-$O$2,$Q$2)/$Q$2))</f>
        <v>2389.44165280564</v>
      </c>
      <c r="I395" s="15" t="n">
        <f aca="false">H395*(1+IF(I$3&lt;=$O$2,$D395,$D395-($D395-$I$373)*MIN(I$3-$O$2,$Q$2)/$Q$2))</f>
        <v>2367.32354401568</v>
      </c>
      <c r="J395" s="15" t="n">
        <f aca="false">I395*(1+IF(J$3&lt;=$O$2,$D395,$D395-($D395-$I$373)*MIN(J$3-$O$2,$Q$2)/$Q$2))</f>
        <v>2363.19189905509</v>
      </c>
      <c r="K395" s="15" t="n">
        <f aca="false">J395*(1+IF(K$3&lt;=$O$2,$D395,$D395-($D395-$I$373)*MIN(K$3-$O$2,$Q$2)/$Q$2))</f>
        <v>2376.81815618176</v>
      </c>
      <c r="L395" s="15" t="n">
        <f aca="false">K395*(1+IF(L$3&lt;=$O$2,$D395,$D395-($D395-$I$373)*MIN(L$3-$O$2,$Q$2)/$Q$2))</f>
        <v>2408.37602522802</v>
      </c>
      <c r="M395" s="15" t="n">
        <f aca="false">L395*(1+IF(M$3&lt;=$O$2,$D395,$D395-($D395-$I$373)*MIN(M$3-$O$2,$Q$2)/$Q$2))</f>
        <v>2458.44298309378</v>
      </c>
      <c r="N395" s="15" t="n">
        <f aca="false">M395*(1+IF(N$3&lt;=$O$2,$D395,$D395-($D395-$I$373)*MIN(N$3-$O$2,$Q$2)/$Q$2))</f>
        <v>2528.01691951534</v>
      </c>
      <c r="O395" s="15" t="n">
        <f aca="false">SUMPRODUCT(E395:N395,1/(1+$F$373)^$E$3:$N$3)*$E$2</f>
        <v>4843.08017783343</v>
      </c>
      <c r="P395" s="15" t="n">
        <f aca="false">N395*$E$2*(1+$I$373)/($F$373-$I$373)/(1+$F$373)^$N$3</f>
        <v>6721.60791666329</v>
      </c>
      <c r="Q395" s="15" t="n">
        <f aca="false">O395+P395</f>
        <v>11564.6880944967</v>
      </c>
      <c r="R395" s="15" t="n">
        <f aca="false">Q395-$G$2+$I$2</f>
        <v>10290.0180944967</v>
      </c>
      <c r="S395" s="42" t="n">
        <f aca="false">R395/$K$2</f>
        <v>289.289235155938</v>
      </c>
      <c r="T395" s="43" t="n">
        <f aca="false">S395-$M$2</f>
        <v>0.000508701060425665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-0.00925731658935547</v>
      </c>
      <c r="C396" s="25" t="n">
        <f aca="false">IF(T395&gt;0,D395,C395)</f>
        <v>-0.00925660133361816</v>
      </c>
      <c r="D396" s="41" t="n">
        <f aca="false">(B396+C396)/2</f>
        <v>-0.00925695896148682</v>
      </c>
      <c r="E396" s="15" t="n">
        <f aca="false">$C$2*(1+IF(E$3&lt;=$O$2,$D396,$D396-($D396-$I$373)*MIN(E$3-$O$2,$Q$2)/$Q$2))</f>
        <v>2457.04274177551</v>
      </c>
      <c r="F396" s="15" t="n">
        <f aca="false">E396*(1+IF(F$3&lt;=$O$2,$D396,$D396-($D396-$I$373)*MIN(F$3-$O$2,$Q$2)/$Q$2))</f>
        <v>2434.29799794828</v>
      </c>
      <c r="G396" s="15" t="n">
        <f aca="false">F396*(1+IF(G$3&lt;=$O$2,$D396,$D396-($D396-$I$373)*MIN(G$3-$O$2,$Q$2)/$Q$2))</f>
        <v>2411.76380128124</v>
      </c>
      <c r="H396" s="15" t="n">
        <f aca="false">G396*(1+IF(H$3&lt;=$O$2,$D396,$D396-($D396-$I$373)*MIN(H$3-$O$2,$Q$2)/$Q$2))</f>
        <v>2389.43820274798</v>
      </c>
      <c r="I396" s="15" t="n">
        <f aca="false">H396*(1+IF(I$3&lt;=$O$2,$D396,$D396-($D396-$I$373)*MIN(I$3-$O$2,$Q$2)/$Q$2))</f>
        <v>2367.31927136413</v>
      </c>
      <c r="J396" s="15" t="n">
        <f aca="false">I396*(1+IF(J$3&lt;=$O$2,$D396,$D396-($D396-$I$373)*MIN(J$3-$O$2,$Q$2)/$Q$2))</f>
        <v>2363.18695656505</v>
      </c>
      <c r="K396" s="15" t="n">
        <f aca="false">J396*(1+IF(K$3&lt;=$O$2,$D396,$D396-($D396-$I$373)*MIN(K$3-$O$2,$Q$2)/$Q$2))</f>
        <v>2376.81267810822</v>
      </c>
      <c r="L396" s="15" t="n">
        <f aca="false">K396*(1+IF(L$3&lt;=$O$2,$D396,$D396-($D396-$I$373)*MIN(L$3-$O$2,$Q$2)/$Q$2))</f>
        <v>2408.37013441434</v>
      </c>
      <c r="M396" s="15" t="n">
        <f aca="false">L396*(1+IF(M$3&lt;=$O$2,$D396,$D396-($D396-$I$373)*MIN(M$3-$O$2,$Q$2)/$Q$2))</f>
        <v>2458.43679755782</v>
      </c>
      <c r="N396" s="15" t="n">
        <f aca="false">M396*(1+IF(N$3&lt;=$O$2,$D396,$D396-($D396-$I$373)*MIN(N$3-$O$2,$Q$2)/$Q$2))</f>
        <v>2528.0105589287</v>
      </c>
      <c r="O396" s="15" t="n">
        <f aca="false">SUMPRODUCT(E396:N396,1/(1+$F$373)^$E$3:$N$3)*$E$2</f>
        <v>4843.07261461795</v>
      </c>
      <c r="P396" s="15" t="n">
        <f aca="false">N396*$E$2*(1+$I$373)/($F$373-$I$373)/(1+$F$373)^$N$3</f>
        <v>6721.59100484235</v>
      </c>
      <c r="Q396" s="15" t="n">
        <f aca="false">O396+P396</f>
        <v>11564.6636194603</v>
      </c>
      <c r="R396" s="15" t="n">
        <f aca="false">Q396-$G$2+$I$2</f>
        <v>10289.9936194603</v>
      </c>
      <c r="S396" s="42" t="n">
        <f aca="false">R396/$K$2</f>
        <v>289.288547075072</v>
      </c>
      <c r="T396" s="43" t="n">
        <f aca="false">S396-$M$2</f>
        <v>-0.000179379806070301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-0.00925695896148682</v>
      </c>
      <c r="C397" s="25" t="n">
        <f aca="false">IF(T396&gt;0,D396,C396)</f>
        <v>-0.00925660133361816</v>
      </c>
      <c r="D397" s="41" t="n">
        <f aca="false">(B397+C397)/2</f>
        <v>-0.00925678014755249</v>
      </c>
      <c r="E397" s="15" t="n">
        <f aca="false">$C$2*(1+IF(E$3&lt;=$O$2,$D397,$D397-($D397-$I$373)*MIN(E$3-$O$2,$Q$2)/$Q$2))</f>
        <v>2457.04318523407</v>
      </c>
      <c r="F397" s="15" t="n">
        <f aca="false">E397*(1+IF(F$3&lt;=$O$2,$D397,$D397-($D397-$I$373)*MIN(F$3-$O$2,$Q$2)/$Q$2))</f>
        <v>2434.29887665532</v>
      </c>
      <c r="G397" s="15" t="n">
        <f aca="false">F397*(1+IF(G$3&lt;=$O$2,$D397,$D397-($D397-$I$373)*MIN(G$3-$O$2,$Q$2)/$Q$2))</f>
        <v>2411.76510714068</v>
      </c>
      <c r="H397" s="15" t="n">
        <f aca="false">G397*(1+IF(H$3&lt;=$O$2,$D397,$D397-($D397-$I$373)*MIN(H$3-$O$2,$Q$2)/$Q$2))</f>
        <v>2389.43992777634</v>
      </c>
      <c r="I397" s="15" t="n">
        <f aca="false">H397*(1+IF(I$3&lt;=$O$2,$D397,$D397-($D397-$I$373)*MIN(I$3-$O$2,$Q$2)/$Q$2))</f>
        <v>2367.32140768913</v>
      </c>
      <c r="J397" s="15" t="n">
        <f aca="false">I397*(1+IF(J$3&lt;=$O$2,$D397,$D397-($D397-$I$373)*MIN(J$3-$O$2,$Q$2)/$Q$2))</f>
        <v>2363.189427809</v>
      </c>
      <c r="K397" s="15" t="n">
        <f aca="false">J397*(1+IF(K$3&lt;=$O$2,$D397,$D397-($D397-$I$373)*MIN(K$3-$O$2,$Q$2)/$Q$2))</f>
        <v>2376.81541714365</v>
      </c>
      <c r="L397" s="15" t="n">
        <f aca="false">K397*(1+IF(L$3&lt;=$O$2,$D397,$D397-($D397-$I$373)*MIN(L$3-$O$2,$Q$2)/$Q$2))</f>
        <v>2408.37307981962</v>
      </c>
      <c r="M397" s="15" t="n">
        <f aca="false">L397*(1+IF(M$3&lt;=$O$2,$D397,$D397-($D397-$I$373)*MIN(M$3-$O$2,$Q$2)/$Q$2))</f>
        <v>2458.4398903241</v>
      </c>
      <c r="N397" s="15" t="n">
        <f aca="false">M397*(1+IF(N$3&lt;=$O$2,$D397,$D397-($D397-$I$373)*MIN(N$3-$O$2,$Q$2)/$Q$2))</f>
        <v>2528.01373922027</v>
      </c>
      <c r="O397" s="15" t="n">
        <f aca="false">SUMPRODUCT(E397:N397,1/(1+$F$373)^$E$3:$N$3)*$E$2</f>
        <v>4843.07639622418</v>
      </c>
      <c r="P397" s="15" t="n">
        <f aca="false">N397*$E$2*(1+$I$373)/($F$373-$I$373)/(1+$F$373)^$N$3</f>
        <v>6721.59946074817</v>
      </c>
      <c r="Q397" s="15" t="n">
        <f aca="false">O397+P397</f>
        <v>11564.6758569723</v>
      </c>
      <c r="R397" s="15" t="n">
        <f aca="false">Q397-$G$2+$I$2</f>
        <v>10290.0058569723</v>
      </c>
      <c r="S397" s="42" t="n">
        <f aca="false">R397/$K$2</f>
        <v>289.288891115332</v>
      </c>
      <c r="T397" s="43" t="n">
        <f aca="false">S397-$M$2</f>
        <v>0.000164660453947363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-0.00925695896148682</v>
      </c>
      <c r="C398" s="25" t="n">
        <f aca="false">IF(T397&gt;0,D397,C397)</f>
        <v>-0.00925678014755249</v>
      </c>
      <c r="D398" s="41" t="n">
        <f aca="false">(B398+C398)/2</f>
        <v>-0.00925686955451965</v>
      </c>
      <c r="E398" s="15" t="n">
        <f aca="false">$C$2*(1+IF(E$3&lt;=$O$2,$D398,$D398-($D398-$I$373)*MIN(E$3-$O$2,$Q$2)/$Q$2))</f>
        <v>2457.04296350479</v>
      </c>
      <c r="F398" s="15" t="n">
        <f aca="false">E398*(1+IF(F$3&lt;=$O$2,$D398,$D398-($D398-$I$373)*MIN(F$3-$O$2,$Q$2)/$Q$2))</f>
        <v>2434.29843730178</v>
      </c>
      <c r="G398" s="15" t="n">
        <f aca="false">F398*(1+IF(G$3&lt;=$O$2,$D398,$D398-($D398-$I$373)*MIN(G$3-$O$2,$Q$2)/$Q$2))</f>
        <v>2411.7644542109</v>
      </c>
      <c r="H398" s="15" t="n">
        <f aca="false">G398*(1+IF(H$3&lt;=$O$2,$D398,$D398-($D398-$I$373)*MIN(H$3-$O$2,$Q$2)/$Q$2))</f>
        <v>2389.43906526205</v>
      </c>
      <c r="I398" s="15" t="n">
        <f aca="false">H398*(1+IF(I$3&lt;=$O$2,$D398,$D398-($D398-$I$373)*MIN(I$3-$O$2,$Q$2)/$Q$2))</f>
        <v>2367.32033952644</v>
      </c>
      <c r="J398" s="15" t="n">
        <f aca="false">I398*(1+IF(J$3&lt;=$O$2,$D398,$D398-($D398-$I$373)*MIN(J$3-$O$2,$Q$2)/$Q$2))</f>
        <v>2363.18819218676</v>
      </c>
      <c r="K398" s="15" t="n">
        <f aca="false">J398*(1+IF(K$3&lt;=$O$2,$D398,$D398-($D398-$I$373)*MIN(K$3-$O$2,$Q$2)/$Q$2))</f>
        <v>2376.8140476256</v>
      </c>
      <c r="L398" s="15" t="n">
        <f aca="false">K398*(1+IF(L$3&lt;=$O$2,$D398,$D398-($D398-$I$373)*MIN(L$3-$O$2,$Q$2)/$Q$2))</f>
        <v>2408.37160711659</v>
      </c>
      <c r="M398" s="15" t="n">
        <f aca="false">L398*(1+IF(M$3&lt;=$O$2,$D398,$D398-($D398-$I$373)*MIN(M$3-$O$2,$Q$2)/$Q$2))</f>
        <v>2458.43834394053</v>
      </c>
      <c r="N398" s="15" t="n">
        <f aca="false">M398*(1+IF(N$3&lt;=$O$2,$D398,$D398-($D398-$I$373)*MIN(N$3-$O$2,$Q$2)/$Q$2))</f>
        <v>2528.01214907405</v>
      </c>
      <c r="O398" s="15" t="n">
        <f aca="false">SUMPRODUCT(E398:N398,1/(1+$F$373)^$E$3:$N$3)*$E$2</f>
        <v>4843.07450542068</v>
      </c>
      <c r="P398" s="15" t="n">
        <f aca="false">N398*$E$2*(1+$I$373)/($F$373-$I$373)/(1+$F$373)^$N$3</f>
        <v>6721.5952327941</v>
      </c>
      <c r="Q398" s="15" t="n">
        <f aca="false">O398+P398</f>
        <v>11564.6697382148</v>
      </c>
      <c r="R398" s="15" t="n">
        <f aca="false">Q398-$G$2+$I$2</f>
        <v>10289.9997382148</v>
      </c>
      <c r="S398" s="42" t="n">
        <f aca="false">R398/$K$2</f>
        <v>289.288719095158</v>
      </c>
      <c r="T398" s="43" t="n">
        <f aca="false">S398-$M$2</f>
        <v>-7.35971934773261E-006</v>
      </c>
    </row>
    <row r="400" customFormat="false" ht="15" hidden="false" customHeight="false" outlineLevel="0" collapsed="false">
      <c r="A400" s="38" t="s">
        <v>198</v>
      </c>
      <c r="E400" s="5" t="s">
        <v>11</v>
      </c>
      <c r="F400" s="12" t="n">
        <f aca="false">Sensitivity!$B$12</f>
        <v>0.0814218415038925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8" t="s">
        <v>165</v>
      </c>
      <c r="B401" s="28" t="s">
        <v>166</v>
      </c>
      <c r="C401" s="28" t="s">
        <v>167</v>
      </c>
      <c r="D401" s="28" t="s">
        <v>168</v>
      </c>
      <c r="E401" s="28" t="s">
        <v>169</v>
      </c>
      <c r="F401" s="28" t="s">
        <v>170</v>
      </c>
      <c r="G401" s="28" t="s">
        <v>171</v>
      </c>
      <c r="H401" s="28" t="s">
        <v>172</v>
      </c>
      <c r="I401" s="28" t="s">
        <v>173</v>
      </c>
      <c r="J401" s="28" t="s">
        <v>174</v>
      </c>
      <c r="K401" s="28" t="s">
        <v>175</v>
      </c>
      <c r="L401" s="28" t="s">
        <v>176</v>
      </c>
      <c r="M401" s="28" t="s">
        <v>177</v>
      </c>
      <c r="N401" s="28" t="s">
        <v>178</v>
      </c>
      <c r="O401" s="28" t="s">
        <v>179</v>
      </c>
      <c r="P401" s="28" t="s">
        <v>180</v>
      </c>
      <c r="Q401" s="28" t="s">
        <v>181</v>
      </c>
      <c r="R401" s="28" t="s">
        <v>182</v>
      </c>
      <c r="S401" s="28" t="s">
        <v>183</v>
      </c>
      <c r="T401" s="28" t="s">
        <v>184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41" t="n">
        <f aca="false">(B402+C402)/2</f>
        <v>0.25</v>
      </c>
      <c r="E402" s="15" t="n">
        <f aca="false">$C$2*(1+IF(E$3&lt;=$O$2,$D402,$D402-($D402-$I$400)*MIN(E$3-$O$2,$Q$2)/$Q$2))</f>
        <v>3100</v>
      </c>
      <c r="F402" s="15" t="n">
        <f aca="false">E402*(1+IF(F$3&lt;=$O$2,$D402,$D402-($D402-$I$400)*MIN(F$3-$O$2,$Q$2)/$Q$2))</f>
        <v>3875</v>
      </c>
      <c r="G402" s="15" t="n">
        <f aca="false">F402*(1+IF(G$3&lt;=$O$2,$D402,$D402-($D402-$I$400)*MIN(G$3-$O$2,$Q$2)/$Q$2))</f>
        <v>4843.75</v>
      </c>
      <c r="H402" s="15" t="n">
        <f aca="false">G402*(1+IF(H$3&lt;=$O$2,$D402,$D402-($D402-$I$400)*MIN(H$3-$O$2,$Q$2)/$Q$2))</f>
        <v>6054.6875</v>
      </c>
      <c r="I402" s="15" t="n">
        <f aca="false">H402*(1+IF(I$3&lt;=$O$2,$D402,$D402-($D402-$I$400)*MIN(I$3-$O$2,$Q$2)/$Q$2))</f>
        <v>7568.359375</v>
      </c>
      <c r="J402" s="15" t="n">
        <f aca="false">I402*(1+IF(J$3&lt;=$O$2,$D402,$D402-($D402-$I$400)*MIN(J$3-$O$2,$Q$2)/$Q$2))</f>
        <v>9132.4365234375</v>
      </c>
      <c r="K402" s="15" t="n">
        <f aca="false">J402*(1+IF(K$3&lt;=$O$2,$D402,$D402-($D402-$I$400)*MIN(K$3-$O$2,$Q$2)/$Q$2))</f>
        <v>10623.9460564453</v>
      </c>
      <c r="L402" s="15" t="n">
        <f aca="false">K402*(1+IF(L$3&lt;=$O$2,$D402,$D402-($D402-$I$400)*MIN(L$3-$O$2,$Q$2)/$Q$2))</f>
        <v>11898.6071042976</v>
      </c>
      <c r="M402" s="15" t="n">
        <f aca="false">L402*(1+IF(M$3&lt;=$O$2,$D402,$D402-($D402-$I$400)*MIN(M$3-$O$2,$Q$2)/$Q$2))</f>
        <v>12810.516352771</v>
      </c>
      <c r="N402" s="15" t="n">
        <f aca="false">M402*(1+IF(N$3&lt;=$O$2,$D402,$D402-($D402-$I$400)*MIN(N$3-$O$2,$Q$2)/$Q$2))</f>
        <v>13237.1065473183</v>
      </c>
      <c r="O402" s="15" t="n">
        <f aca="false">SUMPRODUCT(E402:N402,1/(1+$F$400)^$E$3:$N$3)*$E$2</f>
        <v>15068.8803548756</v>
      </c>
      <c r="P402" s="15" t="n">
        <f aca="false">N402*$E$2*(1+$I$400)/($F$400-$I$400)/(1+$F$400)^$N$3</f>
        <v>39041.2524048895</v>
      </c>
      <c r="Q402" s="15" t="n">
        <f aca="false">O402+P402</f>
        <v>54110.1327597651</v>
      </c>
      <c r="R402" s="15" t="n">
        <f aca="false">Q402-$G$2+$I$2</f>
        <v>52835.4627597651</v>
      </c>
      <c r="S402" s="42" t="n">
        <f aca="false">R402/$K$2</f>
        <v>1485.39394882668</v>
      </c>
      <c r="T402" s="43" t="n">
        <f aca="false">S402-$M$2</f>
        <v>1196.10522237181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41" t="n">
        <f aca="false">(B403+C403)/2</f>
        <v>-0.125</v>
      </c>
      <c r="E403" s="15" t="n">
        <f aca="false">$C$2*(1+IF(E$3&lt;=$O$2,$D403,$D403-($D403-$I$400)*MIN(E$3-$O$2,$Q$2)/$Q$2))</f>
        <v>2170</v>
      </c>
      <c r="F403" s="15" t="n">
        <f aca="false">E403*(1+IF(F$3&lt;=$O$2,$D403,$D403-($D403-$I$400)*MIN(F$3-$O$2,$Q$2)/$Q$2))</f>
        <v>1898.75</v>
      </c>
      <c r="G403" s="15" t="n">
        <f aca="false">F403*(1+IF(G$3&lt;=$O$2,$D403,$D403-($D403-$I$400)*MIN(G$3-$O$2,$Q$2)/$Q$2))</f>
        <v>1661.40625</v>
      </c>
      <c r="H403" s="15" t="n">
        <f aca="false">G403*(1+IF(H$3&lt;=$O$2,$D403,$D403-($D403-$I$400)*MIN(H$3-$O$2,$Q$2)/$Q$2))</f>
        <v>1453.73046875</v>
      </c>
      <c r="I403" s="15" t="n">
        <f aca="false">H403*(1+IF(I$3&lt;=$O$2,$D403,$D403-($D403-$I$400)*MIN(I$3-$O$2,$Q$2)/$Q$2))</f>
        <v>1272.01416015625</v>
      </c>
      <c r="J403" s="15" t="n">
        <f aca="false">I403*(1+IF(J$3&lt;=$O$2,$D403,$D403-($D403-$I$400)*MIN(J$3-$O$2,$Q$2)/$Q$2))</f>
        <v>1153.28435844727</v>
      </c>
      <c r="K403" s="15" t="n">
        <f aca="false">J403*(1+IF(K$3&lt;=$O$2,$D403,$D403-($D403-$I$400)*MIN(K$3-$O$2,$Q$2)/$Q$2))</f>
        <v>1082.14977921824</v>
      </c>
      <c r="L403" s="15" t="n">
        <f aca="false">K403*(1+IF(L$3&lt;=$O$2,$D403,$D403-($D403-$I$400)*MIN(L$3-$O$2,$Q$2)/$Q$2))</f>
        <v>1049.66364284611</v>
      </c>
      <c r="M403" s="15" t="n">
        <f aca="false">L403*(1+IF(M$3&lt;=$O$2,$D403,$D403-($D403-$I$400)*MIN(M$3-$O$2,$Q$2)/$Q$2))</f>
        <v>1051.38509122037</v>
      </c>
      <c r="N403" s="15" t="n">
        <f aca="false">M403*(1+IF(N$3&lt;=$O$2,$D403,$D403-($D403-$I$400)*MIN(N$3-$O$2,$Q$2)/$Q$2))</f>
        <v>1086.39621475801</v>
      </c>
      <c r="O403" s="15" t="n">
        <f aca="false">SUMPRODUCT(E403:N403,1/(1+$F$400)^$E$3:$N$3)*$E$2</f>
        <v>2941.91062616936</v>
      </c>
      <c r="P403" s="15" t="n">
        <f aca="false">N403*$E$2*(1+$I$400)/($F$400-$I$400)/(1+$F$400)^$N$3</f>
        <v>3204.19486543129</v>
      </c>
      <c r="Q403" s="15" t="n">
        <f aca="false">O403+P403</f>
        <v>6146.10549160065</v>
      </c>
      <c r="R403" s="15" t="n">
        <f aca="false">Q403-$G$2+$I$2</f>
        <v>4871.43549160065</v>
      </c>
      <c r="S403" s="42" t="n">
        <f aca="false">R403/$K$2</f>
        <v>136.953485847643</v>
      </c>
      <c r="T403" s="43" t="n">
        <f aca="false">S403-$M$2</f>
        <v>-152.335240607235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41" t="n">
        <f aca="false">(B404+C404)/2</f>
        <v>0.0625</v>
      </c>
      <c r="E404" s="15" t="n">
        <f aca="false">$C$2*(1+IF(E$3&lt;=$O$2,$D404,$D404-($D404-$I$400)*MIN(E$3-$O$2,$Q$2)/$Q$2))</f>
        <v>2635</v>
      </c>
      <c r="F404" s="15" t="n">
        <f aca="false">E404*(1+IF(F$3&lt;=$O$2,$D404,$D404-($D404-$I$400)*MIN(F$3-$O$2,$Q$2)/$Q$2))</f>
        <v>2799.6875</v>
      </c>
      <c r="G404" s="15" t="n">
        <f aca="false">F404*(1+IF(G$3&lt;=$O$2,$D404,$D404-($D404-$I$400)*MIN(G$3-$O$2,$Q$2)/$Q$2))</f>
        <v>2974.66796875</v>
      </c>
      <c r="H404" s="15" t="n">
        <f aca="false">G404*(1+IF(H$3&lt;=$O$2,$D404,$D404-($D404-$I$400)*MIN(H$3-$O$2,$Q$2)/$Q$2))</f>
        <v>3160.58471679688</v>
      </c>
      <c r="I404" s="15" t="n">
        <f aca="false">H404*(1+IF(I$3&lt;=$O$2,$D404,$D404-($D404-$I$400)*MIN(I$3-$O$2,$Q$2)/$Q$2))</f>
        <v>3358.12126159668</v>
      </c>
      <c r="J404" s="15" t="n">
        <f aca="false">I404*(1+IF(J$3&lt;=$O$2,$D404,$D404-($D404-$I$400)*MIN(J$3-$O$2,$Q$2)/$Q$2))</f>
        <v>3548.39241227875</v>
      </c>
      <c r="K404" s="15" t="n">
        <f aca="false">J404*(1+IF(K$3&lt;=$O$2,$D404,$D404-($D404-$I$400)*MIN(K$3-$O$2,$Q$2)/$Q$2))</f>
        <v>3728.72171467075</v>
      </c>
      <c r="L404" s="15" t="n">
        <f aca="false">K404*(1+IF(L$3&lt;=$O$2,$D404,$D404-($D404-$I$400)*MIN(L$3-$O$2,$Q$2)/$Q$2))</f>
        <v>3896.43961739664</v>
      </c>
      <c r="M404" s="15" t="n">
        <f aca="false">L404*(1+IF(M$3&lt;=$O$2,$D404,$D404-($D404-$I$400)*MIN(M$3-$O$2,$Q$2)/$Q$2))</f>
        <v>4048.94626402155</v>
      </c>
      <c r="N404" s="15" t="n">
        <f aca="false">M404*(1+IF(N$3&lt;=$O$2,$D404,$D404-($D404-$I$400)*MIN(N$3-$O$2,$Q$2)/$Q$2))</f>
        <v>4183.77617461347</v>
      </c>
      <c r="O404" s="15" t="n">
        <f aca="false">SUMPRODUCT(E404:N404,1/(1+$F$400)^$E$3:$N$3)*$E$2</f>
        <v>6651.03960614763</v>
      </c>
      <c r="P404" s="15" t="n">
        <f aca="false">N404*$E$2*(1+$I$400)/($F$400-$I$400)/(1+$F$400)^$N$3</f>
        <v>12339.5442240161</v>
      </c>
      <c r="Q404" s="15" t="n">
        <f aca="false">O404+P404</f>
        <v>18990.5838301638</v>
      </c>
      <c r="R404" s="15" t="n">
        <f aca="false">Q404-$G$2+$I$2</f>
        <v>17715.9138301638</v>
      </c>
      <c r="S404" s="42" t="n">
        <f aca="false">R404/$K$2</f>
        <v>498.057740516272</v>
      </c>
      <c r="T404" s="43" t="n">
        <f aca="false">S404-$M$2</f>
        <v>208.769014061394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-0.125</v>
      </c>
      <c r="C405" s="25" t="n">
        <f aca="false">IF(T404&gt;0,D404,C404)</f>
        <v>0.0625</v>
      </c>
      <c r="D405" s="41" t="n">
        <f aca="false">(B405+C405)/2</f>
        <v>-0.03125</v>
      </c>
      <c r="E405" s="15" t="n">
        <f aca="false">$C$2*(1+IF(E$3&lt;=$O$2,$D405,$D405-($D405-$I$400)*MIN(E$3-$O$2,$Q$2)/$Q$2))</f>
        <v>2402.5</v>
      </c>
      <c r="F405" s="15" t="n">
        <f aca="false">E405*(1+IF(F$3&lt;=$O$2,$D405,$D405-($D405-$I$400)*MIN(F$3-$O$2,$Q$2)/$Q$2))</f>
        <v>2327.421875</v>
      </c>
      <c r="G405" s="15" t="n">
        <f aca="false">F405*(1+IF(G$3&lt;=$O$2,$D405,$D405-($D405-$I$400)*MIN(G$3-$O$2,$Q$2)/$Q$2))</f>
        <v>2254.68994140625</v>
      </c>
      <c r="H405" s="15" t="n">
        <f aca="false">G405*(1+IF(H$3&lt;=$O$2,$D405,$D405-($D405-$I$400)*MIN(H$3-$O$2,$Q$2)/$Q$2))</f>
        <v>2184.2308807373</v>
      </c>
      <c r="I405" s="15" t="n">
        <f aca="false">H405*(1+IF(I$3&lt;=$O$2,$D405,$D405-($D405-$I$400)*MIN(I$3-$O$2,$Q$2)/$Q$2))</f>
        <v>2115.97366571426</v>
      </c>
      <c r="J405" s="15" t="n">
        <f aca="false">I405*(1+IF(J$3&lt;=$O$2,$D405,$D405-($D405-$I$400)*MIN(J$3-$O$2,$Q$2)/$Q$2))</f>
        <v>2077.16670868506</v>
      </c>
      <c r="K405" s="15" t="n">
        <f aca="false">J405*(1+IF(K$3&lt;=$O$2,$D405,$D405-($D405-$I$400)*MIN(K$3-$O$2,$Q$2)/$Q$2))</f>
        <v>2065.8876934569</v>
      </c>
      <c r="L405" s="15" t="n">
        <f aca="false">K405*(1+IF(L$3&lt;=$O$2,$D405,$D405-($D405-$I$400)*MIN(L$3-$O$2,$Q$2)/$Q$2))</f>
        <v>2081.34053340396</v>
      </c>
      <c r="M405" s="15" t="n">
        <f aca="false">L405*(1+IF(M$3&lt;=$O$2,$D405,$D405-($D405-$I$400)*MIN(M$3-$O$2,$Q$2)/$Q$2))</f>
        <v>2123.77906688007</v>
      </c>
      <c r="N405" s="15" t="n">
        <f aca="false">M405*(1+IF(N$3&lt;=$O$2,$D405,$D405-($D405-$I$400)*MIN(N$3-$O$2,$Q$2)/$Q$2))</f>
        <v>2194.50090980717</v>
      </c>
      <c r="O405" s="15" t="n">
        <f aca="false">SUMPRODUCT(E405:N405,1/(1+$F$400)^$E$3:$N$3)*$E$2</f>
        <v>4411.20312481788</v>
      </c>
      <c r="P405" s="15" t="n">
        <f aca="false">N405*$E$2*(1+$I$400)/($F$400-$I$400)/(1+$F$400)^$N$3</f>
        <v>6472.41628042186</v>
      </c>
      <c r="Q405" s="15" t="n">
        <f aca="false">O405+P405</f>
        <v>10883.6194052397</v>
      </c>
      <c r="R405" s="15" t="n">
        <f aca="false">Q405-$G$2+$I$2</f>
        <v>9608.94940523974</v>
      </c>
      <c r="S405" s="42" t="n">
        <f aca="false">R405/$K$2</f>
        <v>270.141956852397</v>
      </c>
      <c r="T405" s="43" t="n">
        <f aca="false">S405-$M$2</f>
        <v>-19.1467696024812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-0.03125</v>
      </c>
      <c r="C406" s="25" t="n">
        <f aca="false">IF(T405&gt;0,D405,C405)</f>
        <v>0.0625</v>
      </c>
      <c r="D406" s="41" t="n">
        <f aca="false">(B406+C406)/2</f>
        <v>0.015625</v>
      </c>
      <c r="E406" s="15" t="n">
        <f aca="false">$C$2*(1+IF(E$3&lt;=$O$2,$D406,$D406-($D406-$I$400)*MIN(E$3-$O$2,$Q$2)/$Q$2))</f>
        <v>2518.75</v>
      </c>
      <c r="F406" s="15" t="n">
        <f aca="false">E406*(1+IF(F$3&lt;=$O$2,$D406,$D406-($D406-$I$400)*MIN(F$3-$O$2,$Q$2)/$Q$2))</f>
        <v>2558.10546875</v>
      </c>
      <c r="G406" s="15" t="n">
        <f aca="false">F406*(1+IF(G$3&lt;=$O$2,$D406,$D406-($D406-$I$400)*MIN(G$3-$O$2,$Q$2)/$Q$2))</f>
        <v>2598.07586669922</v>
      </c>
      <c r="H406" s="15" t="n">
        <f aca="false">G406*(1+IF(H$3&lt;=$O$2,$D406,$D406-($D406-$I$400)*MIN(H$3-$O$2,$Q$2)/$Q$2))</f>
        <v>2638.67080211639</v>
      </c>
      <c r="I406" s="15" t="n">
        <f aca="false">H406*(1+IF(I$3&lt;=$O$2,$D406,$D406-($D406-$I$400)*MIN(I$3-$O$2,$Q$2)/$Q$2))</f>
        <v>2679.90003339946</v>
      </c>
      <c r="J406" s="15" t="n">
        <f aca="false">I406*(1+IF(J$3&lt;=$O$2,$D406,$D406-($D406-$I$400)*MIN(J$3-$O$2,$Q$2)/$Q$2))</f>
        <v>2731.2469180394</v>
      </c>
      <c r="K406" s="15" t="n">
        <f aca="false">J406*(1+IF(K$3&lt;=$O$2,$D406,$D406-($D406-$I$400)*MIN(K$3-$O$2,$Q$2)/$Q$2))</f>
        <v>2793.2325668443</v>
      </c>
      <c r="L406" s="15" t="n">
        <f aca="false">K406*(1+IF(L$3&lt;=$O$2,$D406,$D406-($D406-$I$400)*MIN(L$3-$O$2,$Q$2)/$Q$2))</f>
        <v>2866.49905707263</v>
      </c>
      <c r="M406" s="15" t="n">
        <f aca="false">L406*(1+IF(M$3&lt;=$O$2,$D406,$D406-($D406-$I$400)*MIN(M$3-$O$2,$Q$2)/$Q$2))</f>
        <v>2951.82040150639</v>
      </c>
      <c r="N406" s="15" t="n">
        <f aca="false">M406*(1+IF(N$3&lt;=$O$2,$D406,$D406-($D406-$I$400)*MIN(N$3-$O$2,$Q$2)/$Q$2))</f>
        <v>3050.11602087656</v>
      </c>
      <c r="O406" s="15" t="n">
        <f aca="false">SUMPRODUCT(E406:N406,1/(1+$F$400)^$E$3:$N$3)*$E$2</f>
        <v>5414.61968289785</v>
      </c>
      <c r="P406" s="15" t="n">
        <f aca="false">N406*$E$2*(1+$I$400)/($F$400-$I$400)/(1+$F$400)^$N$3</f>
        <v>8995.95005974804</v>
      </c>
      <c r="Q406" s="15" t="n">
        <f aca="false">O406+P406</f>
        <v>14410.5697426459</v>
      </c>
      <c r="R406" s="15" t="n">
        <f aca="false">Q406-$G$2+$I$2</f>
        <v>13135.8997426459</v>
      </c>
      <c r="S406" s="42" t="n">
        <f aca="false">R406/$K$2</f>
        <v>369.29715329339</v>
      </c>
      <c r="T406" s="43" t="n">
        <f aca="false">S406-$M$2</f>
        <v>80.0084268385123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-0.03125</v>
      </c>
      <c r="C407" s="25" t="n">
        <f aca="false">IF(T406&gt;0,D406,C406)</f>
        <v>0.015625</v>
      </c>
      <c r="D407" s="41" t="n">
        <f aca="false">(B407+C407)/2</f>
        <v>-0.0078125</v>
      </c>
      <c r="E407" s="15" t="n">
        <f aca="false">$C$2*(1+IF(E$3&lt;=$O$2,$D407,$D407-($D407-$I$400)*MIN(E$3-$O$2,$Q$2)/$Q$2))</f>
        <v>2460.625</v>
      </c>
      <c r="F407" s="15" t="n">
        <f aca="false">E407*(1+IF(F$3&lt;=$O$2,$D407,$D407-($D407-$I$400)*MIN(F$3-$O$2,$Q$2)/$Q$2))</f>
        <v>2441.4013671875</v>
      </c>
      <c r="G407" s="15" t="n">
        <f aca="false">F407*(1+IF(G$3&lt;=$O$2,$D407,$D407-($D407-$I$400)*MIN(G$3-$O$2,$Q$2)/$Q$2))</f>
        <v>2422.32791900635</v>
      </c>
      <c r="H407" s="15" t="n">
        <f aca="false">G407*(1+IF(H$3&lt;=$O$2,$D407,$D407-($D407-$I$400)*MIN(H$3-$O$2,$Q$2)/$Q$2))</f>
        <v>2403.40348213911</v>
      </c>
      <c r="I407" s="15" t="n">
        <f aca="false">H407*(1+IF(I$3&lt;=$O$2,$D407,$D407-($D407-$I$400)*MIN(I$3-$O$2,$Q$2)/$Q$2))</f>
        <v>2384.6268924349</v>
      </c>
      <c r="J407" s="15" t="n">
        <f aca="false">I407*(1+IF(J$3&lt;=$O$2,$D407,$D407-($D407-$I$400)*MIN(J$3-$O$2,$Q$2)/$Q$2))</f>
        <v>2385.6045894608</v>
      </c>
      <c r="K407" s="15" t="n">
        <f aca="false">J407*(1+IF(K$3&lt;=$O$2,$D407,$D407-($D407-$I$400)*MIN(K$3-$O$2,$Q$2)/$Q$2))</f>
        <v>2406.19832107932</v>
      </c>
      <c r="L407" s="15" t="n">
        <f aca="false">K407*(1+IF(L$3&lt;=$O$2,$D407,$D407-($D407-$I$400)*MIN(L$3-$O$2,$Q$2)/$Q$2))</f>
        <v>2446.75479378111</v>
      </c>
      <c r="M407" s="15" t="n">
        <f aca="false">L407*(1+IF(M$3&lt;=$O$2,$D407,$D407-($D407-$I$400)*MIN(M$3-$O$2,$Q$2)/$Q$2))</f>
        <v>2508.11328712216</v>
      </c>
      <c r="N407" s="15" t="n">
        <f aca="false">M407*(1+IF(N$3&lt;=$O$2,$D407,$D407-($D407-$I$400)*MIN(N$3-$O$2,$Q$2)/$Q$2))</f>
        <v>2591.63345958332</v>
      </c>
      <c r="O407" s="15" t="n">
        <f aca="false">SUMPRODUCT(E407:N407,1/(1+$F$400)^$E$3:$N$3)*$E$2</f>
        <v>4886.58669140816</v>
      </c>
      <c r="P407" s="15" t="n">
        <f aca="false">N407*$E$2*(1+$I$400)/($F$400-$I$400)/(1+$F$400)^$N$3</f>
        <v>7643.71093296427</v>
      </c>
      <c r="Q407" s="15" t="n">
        <f aca="false">O407+P407</f>
        <v>12530.2976243724</v>
      </c>
      <c r="R407" s="15" t="n">
        <f aca="false">Q407-$G$2+$I$2</f>
        <v>11255.6276243724</v>
      </c>
      <c r="S407" s="42" t="n">
        <f aca="false">R407/$K$2</f>
        <v>316.435974820704</v>
      </c>
      <c r="T407" s="43" t="n">
        <f aca="false">S407-$M$2</f>
        <v>27.1472483658261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-0.03125</v>
      </c>
      <c r="C408" s="25" t="n">
        <f aca="false">IF(T407&gt;0,D407,C407)</f>
        <v>-0.0078125</v>
      </c>
      <c r="D408" s="41" t="n">
        <f aca="false">(B408+C408)/2</f>
        <v>-0.01953125</v>
      </c>
      <c r="E408" s="15" t="n">
        <f aca="false">$C$2*(1+IF(E$3&lt;=$O$2,$D408,$D408-($D408-$I$400)*MIN(E$3-$O$2,$Q$2)/$Q$2))</f>
        <v>2431.5625</v>
      </c>
      <c r="F408" s="15" t="n">
        <f aca="false">E408*(1+IF(F$3&lt;=$O$2,$D408,$D408-($D408-$I$400)*MIN(F$3-$O$2,$Q$2)/$Q$2))</f>
        <v>2384.07104492188</v>
      </c>
      <c r="G408" s="15" t="n">
        <f aca="false">F408*(1+IF(G$3&lt;=$O$2,$D408,$D408-($D408-$I$400)*MIN(G$3-$O$2,$Q$2)/$Q$2))</f>
        <v>2337.50715732574</v>
      </c>
      <c r="H408" s="15" t="n">
        <f aca="false">G408*(1+IF(H$3&lt;=$O$2,$D408,$D408-($D408-$I$400)*MIN(H$3-$O$2,$Q$2)/$Q$2))</f>
        <v>2291.85272065923</v>
      </c>
      <c r="I408" s="15" t="n">
        <f aca="false">H408*(1+IF(I$3&lt;=$O$2,$D408,$D408-($D408-$I$400)*MIN(I$3-$O$2,$Q$2)/$Q$2))</f>
        <v>2247.08997220885</v>
      </c>
      <c r="J408" s="15" t="n">
        <f aca="false">I408*(1+IF(J$3&lt;=$O$2,$D408,$D408-($D408-$I$400)*MIN(J$3-$O$2,$Q$2)/$Q$2))</f>
        <v>2226.944810608</v>
      </c>
      <c r="K408" s="15" t="n">
        <f aca="false">J408*(1+IF(K$3&lt;=$O$2,$D408,$D408-($D408-$I$400)*MIN(K$3-$O$2,$Q$2)/$Q$2))</f>
        <v>2230.51070598598</v>
      </c>
      <c r="L408" s="15" t="n">
        <f aca="false">K408*(1+IF(L$3&lt;=$O$2,$D408,$D408-($D408-$I$400)*MIN(L$3-$O$2,$Q$2)/$Q$2))</f>
        <v>2257.65044500107</v>
      </c>
      <c r="M408" s="15" t="n">
        <f aca="false">L408*(1+IF(M$3&lt;=$O$2,$D408,$D408-($D408-$I$400)*MIN(M$3-$O$2,$Q$2)/$Q$2))</f>
        <v>2308.97530580511</v>
      </c>
      <c r="N408" s="15" t="n">
        <f aca="false">M408*(1+IF(N$3&lt;=$O$2,$D408,$D408-($D408-$I$400)*MIN(N$3-$O$2,$Q$2)/$Q$2))</f>
        <v>2385.86418348842</v>
      </c>
      <c r="O408" s="15" t="n">
        <f aca="false">SUMPRODUCT(E408:N408,1/(1+$F$400)^$E$3:$N$3)*$E$2</f>
        <v>4642.63793701685</v>
      </c>
      <c r="P408" s="15" t="n">
        <f aca="false">N408*$E$2*(1+$I$400)/($F$400-$I$400)/(1+$F$400)^$N$3</f>
        <v>7036.819221662</v>
      </c>
      <c r="Q408" s="15" t="n">
        <f aca="false">O408+P408</f>
        <v>11679.4571586789</v>
      </c>
      <c r="R408" s="15" t="n">
        <f aca="false">Q408-$G$2+$I$2</f>
        <v>10404.7871586789</v>
      </c>
      <c r="S408" s="42" t="n">
        <f aca="false">R408/$K$2</f>
        <v>292.515804292349</v>
      </c>
      <c r="T408" s="43" t="n">
        <f aca="false">S408-$M$2</f>
        <v>3.22707783747126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-0.03125</v>
      </c>
      <c r="C409" s="25" t="n">
        <f aca="false">IF(T408&gt;0,D408,C408)</f>
        <v>-0.01953125</v>
      </c>
      <c r="D409" s="41" t="n">
        <f aca="false">(B409+C409)/2</f>
        <v>-0.025390625</v>
      </c>
      <c r="E409" s="15" t="n">
        <f aca="false">$C$2*(1+IF(E$3&lt;=$O$2,$D409,$D409-($D409-$I$400)*MIN(E$3-$O$2,$Q$2)/$Q$2))</f>
        <v>2417.03125</v>
      </c>
      <c r="F409" s="15" t="n">
        <f aca="false">E409*(1+IF(F$3&lt;=$O$2,$D409,$D409-($D409-$I$400)*MIN(F$3-$O$2,$Q$2)/$Q$2))</f>
        <v>2355.66131591797</v>
      </c>
      <c r="G409" s="15" t="n">
        <f aca="false">F409*(1+IF(G$3&lt;=$O$2,$D409,$D409-($D409-$I$400)*MIN(G$3-$O$2,$Q$2)/$Q$2))</f>
        <v>2295.84960281849</v>
      </c>
      <c r="H409" s="15" t="n">
        <f aca="false">G409*(1+IF(H$3&lt;=$O$2,$D409,$D409-($D409-$I$400)*MIN(H$3-$O$2,$Q$2)/$Q$2))</f>
        <v>2237.55654649693</v>
      </c>
      <c r="I409" s="15" t="n">
        <f aca="false">H409*(1+IF(I$3&lt;=$O$2,$D409,$D409-($D409-$I$400)*MIN(I$3-$O$2,$Q$2)/$Q$2))</f>
        <v>2180.74358730853</v>
      </c>
      <c r="J409" s="15" t="n">
        <f aca="false">I409*(1+IF(J$3&lt;=$O$2,$D409,$D409-($D409-$I$400)*MIN(J$3-$O$2,$Q$2)/$Q$2))</f>
        <v>2150.9709854828</v>
      </c>
      <c r="K409" s="15" t="n">
        <f aca="false">J409*(1+IF(K$3&lt;=$O$2,$D409,$D409-($D409-$I$400)*MIN(K$3-$O$2,$Q$2)/$Q$2))</f>
        <v>2146.85322040246</v>
      </c>
      <c r="L409" s="15" t="n">
        <f aca="false">K409*(1+IF(L$3&lt;=$O$2,$D409,$D409-($D409-$I$400)*MIN(L$3-$O$2,$Q$2)/$Q$2))</f>
        <v>2167.94336972639</v>
      </c>
      <c r="M409" s="15" t="n">
        <f aca="false">L409*(1+IF(M$3&lt;=$O$2,$D409,$D409-($D409-$I$400)*MIN(M$3-$O$2,$Q$2)/$Q$2))</f>
        <v>2214.68829367151</v>
      </c>
      <c r="N409" s="15" t="n">
        <f aca="false">M409*(1+IF(N$3&lt;=$O$2,$D409,$D409-($D409-$I$400)*MIN(N$3-$O$2,$Q$2)/$Q$2))</f>
        <v>2288.43741385077</v>
      </c>
      <c r="O409" s="15" t="n">
        <f aca="false">SUMPRODUCT(E409:N409,1/(1+$F$400)^$E$3:$N$3)*$E$2</f>
        <v>4525.39528191776</v>
      </c>
      <c r="P409" s="15" t="n">
        <f aca="false">N409*$E$2*(1+$I$400)/($F$400-$I$400)/(1+$F$400)^$N$3</f>
        <v>6749.47069191952</v>
      </c>
      <c r="Q409" s="15" t="n">
        <f aca="false">O409+P409</f>
        <v>11274.8659738373</v>
      </c>
      <c r="R409" s="15" t="n">
        <f aca="false">Q409-$G$2+$I$2</f>
        <v>10000.1959738373</v>
      </c>
      <c r="S409" s="42" t="n">
        <f aca="false">R409/$K$2</f>
        <v>281.141298111816</v>
      </c>
      <c r="T409" s="43" t="n">
        <f aca="false">S409-$M$2</f>
        <v>-8.14742834306219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-0.025390625</v>
      </c>
      <c r="C410" s="25" t="n">
        <f aca="false">IF(T409&gt;0,D409,C409)</f>
        <v>-0.01953125</v>
      </c>
      <c r="D410" s="41" t="n">
        <f aca="false">(B410+C410)/2</f>
        <v>-0.0224609375</v>
      </c>
      <c r="E410" s="15" t="n">
        <f aca="false">$C$2*(1+IF(E$3&lt;=$O$2,$D410,$D410-($D410-$I$400)*MIN(E$3-$O$2,$Q$2)/$Q$2))</f>
        <v>2424.296875</v>
      </c>
      <c r="F410" s="15" t="n">
        <f aca="false">E410*(1+IF(F$3&lt;=$O$2,$D410,$D410-($D410-$I$400)*MIN(F$3-$O$2,$Q$2)/$Q$2))</f>
        <v>2369.84489440918</v>
      </c>
      <c r="G410" s="15" t="n">
        <f aca="false">F410*(1+IF(G$3&lt;=$O$2,$D410,$D410-($D410-$I$400)*MIN(G$3-$O$2,$Q$2)/$Q$2))</f>
        <v>2316.61595635116</v>
      </c>
      <c r="H410" s="15" t="n">
        <f aca="false">G410*(1+IF(H$3&lt;=$O$2,$D410,$D410-($D410-$I$400)*MIN(H$3-$O$2,$Q$2)/$Q$2))</f>
        <v>2264.58259014406</v>
      </c>
      <c r="I410" s="15" t="n">
        <f aca="false">H410*(1+IF(I$3&lt;=$O$2,$D410,$D410-($D410-$I$400)*MIN(I$3-$O$2,$Q$2)/$Q$2))</f>
        <v>2213.71794212324</v>
      </c>
      <c r="J410" s="15" t="n">
        <f aca="false">I410*(1+IF(J$3&lt;=$O$2,$D410,$D410-($D410-$I$400)*MIN(J$3-$O$2,$Q$2)/$Q$2))</f>
        <v>2188.68355934526</v>
      </c>
      <c r="K410" s="15" t="n">
        <f aca="false">J410*(1+IF(K$3&lt;=$O$2,$D410,$D410-($D410-$I$400)*MIN(K$3-$O$2,$Q$2)/$Q$2))</f>
        <v>2188.3408935755</v>
      </c>
      <c r="L410" s="15" t="n">
        <f aca="false">K410*(1+IF(L$3&lt;=$O$2,$D410,$D410-($D410-$I$400)*MIN(L$3-$O$2,$Q$2)/$Q$2))</f>
        <v>2212.40306941342</v>
      </c>
      <c r="M410" s="15" t="n">
        <f aca="false">L410*(1+IF(M$3&lt;=$O$2,$D410,$D410-($D410-$I$400)*MIN(M$3-$O$2,$Q$2)/$Q$2))</f>
        <v>2261.40295776921</v>
      </c>
      <c r="N410" s="15" t="n">
        <f aca="false">M410*(1+IF(N$3&lt;=$O$2,$D410,$D410-($D410-$I$400)*MIN(N$3-$O$2,$Q$2)/$Q$2))</f>
        <v>2336.70767626292</v>
      </c>
      <c r="O410" s="15" t="n">
        <f aca="false">SUMPRODUCT(E410:N410,1/(1+$F$400)^$E$3:$N$3)*$E$2</f>
        <v>4583.63048979455</v>
      </c>
      <c r="P410" s="15" t="n">
        <f aca="false">N410*$E$2*(1+$I$400)/($F$400-$I$400)/(1+$F$400)^$N$3</f>
        <v>6891.83802059112</v>
      </c>
      <c r="Q410" s="15" t="n">
        <f aca="false">O410+P410</f>
        <v>11475.4685103857</v>
      </c>
      <c r="R410" s="15" t="n">
        <f aca="false">Q410-$G$2+$I$2</f>
        <v>10200.7985103857</v>
      </c>
      <c r="S410" s="42" t="n">
        <f aca="false">R410/$K$2</f>
        <v>286.780953342302</v>
      </c>
      <c r="T410" s="43" t="n">
        <f aca="false">S410-$M$2</f>
        <v>-2.50777311257605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-0.0224609375</v>
      </c>
      <c r="C411" s="25" t="n">
        <f aca="false">IF(T410&gt;0,D410,C410)</f>
        <v>-0.01953125</v>
      </c>
      <c r="D411" s="41" t="n">
        <f aca="false">(B411+C411)/2</f>
        <v>-0.02099609375</v>
      </c>
      <c r="E411" s="15" t="n">
        <f aca="false">$C$2*(1+IF(E$3&lt;=$O$2,$D411,$D411-($D411-$I$400)*MIN(E$3-$O$2,$Q$2)/$Q$2))</f>
        <v>2427.9296875</v>
      </c>
      <c r="F411" s="15" t="n">
        <f aca="false">E411*(1+IF(F$3&lt;=$O$2,$D411,$D411-($D411-$I$400)*MIN(F$3-$O$2,$Q$2)/$Q$2))</f>
        <v>2376.95264816284</v>
      </c>
      <c r="G411" s="15" t="n">
        <f aca="false">F411*(1+IF(G$3&lt;=$O$2,$D411,$D411-($D411-$I$400)*MIN(G$3-$O$2,$Q$2)/$Q$2))</f>
        <v>2327.0459275227</v>
      </c>
      <c r="H411" s="15" t="n">
        <f aca="false">G411*(1+IF(H$3&lt;=$O$2,$D411,$D411-($D411-$I$400)*MIN(H$3-$O$2,$Q$2)/$Q$2))</f>
        <v>2278.18705306788</v>
      </c>
      <c r="I411" s="15" t="n">
        <f aca="false">H411*(1+IF(I$3&lt;=$O$2,$D411,$D411-($D411-$I$400)*MIN(I$3-$O$2,$Q$2)/$Q$2))</f>
        <v>2230.35402412163</v>
      </c>
      <c r="J411" s="15" t="n">
        <f aca="false">I411*(1+IF(J$3&lt;=$O$2,$D411,$D411-($D411-$I$400)*MIN(J$3-$O$2,$Q$2)/$Q$2))</f>
        <v>2207.74520417336</v>
      </c>
      <c r="K411" s="15" t="n">
        <f aca="false">J411*(1+IF(K$3&lt;=$O$2,$D411,$D411-($D411-$I$400)*MIN(K$3-$O$2,$Q$2)/$Q$2))</f>
        <v>2209.33995512319</v>
      </c>
      <c r="L411" s="15" t="n">
        <f aca="false">K411*(1+IF(L$3&lt;=$O$2,$D411,$D411-($D411-$I$400)*MIN(L$3-$O$2,$Q$2)/$Q$2))</f>
        <v>2234.9275638972</v>
      </c>
      <c r="M411" s="15" t="n">
        <f aca="false">L411*(1+IF(M$3&lt;=$O$2,$D411,$D411-($D411-$I$400)*MIN(M$3-$O$2,$Q$2)/$Q$2))</f>
        <v>2285.08108446821</v>
      </c>
      <c r="N411" s="15" t="n">
        <f aca="false">M411*(1+IF(N$3&lt;=$O$2,$D411,$D411-($D411-$I$400)*MIN(N$3-$O$2,$Q$2)/$Q$2))</f>
        <v>2361.174284581</v>
      </c>
      <c r="O411" s="15" t="n">
        <f aca="false">SUMPRODUCT(E411:N411,1/(1+$F$400)^$E$3:$N$3)*$E$2</f>
        <v>4613.03707676246</v>
      </c>
      <c r="P411" s="15" t="n">
        <f aca="false">N411*$E$2*(1+$I$400)/($F$400-$I$400)/(1+$F$400)^$N$3</f>
        <v>6963.99933676872</v>
      </c>
      <c r="Q411" s="15" t="n">
        <f aca="false">O411+P411</f>
        <v>11577.0364135312</v>
      </c>
      <c r="R411" s="15" t="n">
        <f aca="false">Q411-$G$2+$I$2</f>
        <v>10302.3664135312</v>
      </c>
      <c r="S411" s="42" t="n">
        <f aca="false">R411/$K$2</f>
        <v>289.636390596884</v>
      </c>
      <c r="T411" s="43" t="n">
        <f aca="false">S411-$M$2</f>
        <v>0.347664142006636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-0.0224609375</v>
      </c>
      <c r="C412" s="25" t="n">
        <f aca="false">IF(T411&gt;0,D411,C411)</f>
        <v>-0.02099609375</v>
      </c>
      <c r="D412" s="41" t="n">
        <f aca="false">(B412+C412)/2</f>
        <v>-0.021728515625</v>
      </c>
      <c r="E412" s="15" t="n">
        <f aca="false">$C$2*(1+IF(E$3&lt;=$O$2,$D412,$D412-($D412-$I$400)*MIN(E$3-$O$2,$Q$2)/$Q$2))</f>
        <v>2426.11328125</v>
      </c>
      <c r="F412" s="15" t="n">
        <f aca="false">E412*(1+IF(F$3&lt;=$O$2,$D412,$D412-($D412-$I$400)*MIN(F$3-$O$2,$Q$2)/$Q$2))</f>
        <v>2373.39744091034</v>
      </c>
      <c r="G412" s="15" t="n">
        <f aca="false">F412*(1+IF(G$3&lt;=$O$2,$D412,$D412-($D412-$I$400)*MIN(G$3-$O$2,$Q$2)/$Q$2))</f>
        <v>2321.82703753118</v>
      </c>
      <c r="H412" s="15" t="n">
        <f aca="false">G412*(1+IF(H$3&lt;=$O$2,$D412,$D412-($D412-$I$400)*MIN(H$3-$O$2,$Q$2)/$Q$2))</f>
        <v>2271.37718246764</v>
      </c>
      <c r="I412" s="15" t="n">
        <f aca="false">H412*(1+IF(I$3&lt;=$O$2,$D412,$D412-($D412-$I$400)*MIN(I$3-$O$2,$Q$2)/$Q$2))</f>
        <v>2222.02352786812</v>
      </c>
      <c r="J412" s="15" t="n">
        <f aca="false">I412*(1+IF(J$3&lt;=$O$2,$D412,$D412-($D412-$I$400)*MIN(J$3-$O$2,$Q$2)/$Q$2))</f>
        <v>2198.19718620821</v>
      </c>
      <c r="K412" s="15" t="n">
        <f aca="false">J412*(1+IF(K$3&lt;=$O$2,$D412,$D412-($D412-$I$400)*MIN(K$3-$O$2,$Q$2)/$Q$2))</f>
        <v>2198.81903558408</v>
      </c>
      <c r="L412" s="15" t="n">
        <f aca="false">K412*(1+IF(L$3&lt;=$O$2,$D412,$D412-($D412-$I$400)*MIN(L$3-$O$2,$Q$2)/$Q$2))</f>
        <v>2223.64061040656</v>
      </c>
      <c r="M412" s="15" t="n">
        <f aca="false">L412*(1+IF(M$3&lt;=$O$2,$D412,$D412-($D412-$I$400)*MIN(M$3-$O$2,$Q$2)/$Q$2))</f>
        <v>2273.21511431827</v>
      </c>
      <c r="N412" s="15" t="n">
        <f aca="false">M412*(1+IF(N$3&lt;=$O$2,$D412,$D412-($D412-$I$400)*MIN(N$3-$O$2,$Q$2)/$Q$2))</f>
        <v>2348.91317762507</v>
      </c>
      <c r="O412" s="15" t="n">
        <f aca="false">SUMPRODUCT(E412:N412,1/(1+$F$400)^$E$3:$N$3)*$E$2</f>
        <v>4598.30957521866</v>
      </c>
      <c r="P412" s="15" t="n">
        <f aca="false">N412*$E$2*(1+$I$400)/($F$400-$I$400)/(1+$F$400)^$N$3</f>
        <v>6927.83667767712</v>
      </c>
      <c r="Q412" s="15" t="n">
        <f aca="false">O412+P412</f>
        <v>11526.1462528958</v>
      </c>
      <c r="R412" s="15" t="n">
        <f aca="false">Q412-$G$2+$I$2</f>
        <v>10251.4762528958</v>
      </c>
      <c r="S412" s="42" t="n">
        <f aca="false">R412/$K$2</f>
        <v>288.205686052735</v>
      </c>
      <c r="T412" s="43" t="n">
        <f aca="false">S412-$M$2</f>
        <v>-1.08304040214296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-0.021728515625</v>
      </c>
      <c r="C413" s="25" t="n">
        <f aca="false">IF(T412&gt;0,D412,C412)</f>
        <v>-0.02099609375</v>
      </c>
      <c r="D413" s="41" t="n">
        <f aca="false">(B413+C413)/2</f>
        <v>-0.0213623046875</v>
      </c>
      <c r="E413" s="15" t="n">
        <f aca="false">$C$2*(1+IF(E$3&lt;=$O$2,$D413,$D413-($D413-$I$400)*MIN(E$3-$O$2,$Q$2)/$Q$2))</f>
        <v>2427.021484375</v>
      </c>
      <c r="F413" s="15" t="n">
        <f aca="false">E413*(1+IF(F$3&lt;=$O$2,$D413,$D413-($D413-$I$400)*MIN(F$3-$O$2,$Q$2)/$Q$2))</f>
        <v>2375.17471194267</v>
      </c>
      <c r="G413" s="15" t="n">
        <f aca="false">F413*(1+IF(G$3&lt;=$O$2,$D413,$D413-($D413-$I$400)*MIN(G$3-$O$2,$Q$2)/$Q$2))</f>
        <v>2324.43550606011</v>
      </c>
      <c r="H413" s="15" t="n">
        <f aca="false">G413*(1+IF(H$3&lt;=$O$2,$D413,$D413-($D413-$I$400)*MIN(H$3-$O$2,$Q$2)/$Q$2))</f>
        <v>2274.78020655321</v>
      </c>
      <c r="I413" s="15" t="n">
        <f aca="false">H413*(1+IF(I$3&lt;=$O$2,$D413,$D413-($D413-$I$400)*MIN(I$3-$O$2,$Q$2)/$Q$2))</f>
        <v>2226.18565868373</v>
      </c>
      <c r="J413" s="15" t="n">
        <f aca="false">I413*(1+IF(J$3&lt;=$O$2,$D413,$D413-($D413-$I$400)*MIN(J$3-$O$2,$Q$2)/$Q$2))</f>
        <v>2202.96689010516</v>
      </c>
      <c r="K413" s="15" t="n">
        <f aca="false">J413*(1+IF(K$3&lt;=$O$2,$D413,$D413-($D413-$I$400)*MIN(K$3-$O$2,$Q$2)/$Q$2))</f>
        <v>2204.07413912762</v>
      </c>
      <c r="L413" s="15" t="n">
        <f aca="false">K413*(1+IF(L$3&lt;=$O$2,$D413,$D413-($D413-$I$400)*MIN(L$3-$O$2,$Q$2)/$Q$2))</f>
        <v>2229.27789910184</v>
      </c>
      <c r="M413" s="15" t="n">
        <f aca="false">L413*(1+IF(M$3&lt;=$O$2,$D413,$D413-($D413-$I$400)*MIN(M$3-$O$2,$Q$2)/$Q$2))</f>
        <v>2279.14135959117</v>
      </c>
      <c r="N413" s="15" t="n">
        <f aca="false">M413*(1+IF(N$3&lt;=$O$2,$D413,$D413-($D413-$I$400)*MIN(N$3-$O$2,$Q$2)/$Q$2))</f>
        <v>2355.03676686555</v>
      </c>
      <c r="O413" s="15" t="n">
        <f aca="false">SUMPRODUCT(E413:N413,1/(1+$F$400)^$E$3:$N$3)*$E$2</f>
        <v>4605.66726447929</v>
      </c>
      <c r="P413" s="15" t="n">
        <f aca="false">N413*$E$2*(1+$I$400)/($F$400-$I$400)/(1+$F$400)^$N$3</f>
        <v>6945.89746704276</v>
      </c>
      <c r="Q413" s="15" t="n">
        <f aca="false">O413+P413</f>
        <v>11551.564731522</v>
      </c>
      <c r="R413" s="15" t="n">
        <f aca="false">Q413-$G$2+$I$2</f>
        <v>10276.894731522</v>
      </c>
      <c r="S413" s="42" t="n">
        <f aca="false">R413/$K$2</f>
        <v>288.92029045606</v>
      </c>
      <c r="T413" s="43" t="n">
        <f aca="false">S413-$M$2</f>
        <v>-0.368435998817972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-0.0213623046875</v>
      </c>
      <c r="C414" s="25" t="n">
        <f aca="false">IF(T413&gt;0,D413,C413)</f>
        <v>-0.02099609375</v>
      </c>
      <c r="D414" s="41" t="n">
        <f aca="false">(B414+C414)/2</f>
        <v>-0.02117919921875</v>
      </c>
      <c r="E414" s="15" t="n">
        <f aca="false">$C$2*(1+IF(E$3&lt;=$O$2,$D414,$D414-($D414-$I$400)*MIN(E$3-$O$2,$Q$2)/$Q$2))</f>
        <v>2427.4755859375</v>
      </c>
      <c r="F414" s="15" t="n">
        <f aca="false">E414*(1+IF(F$3&lt;=$O$2,$D414,$D414-($D414-$I$400)*MIN(F$3-$O$2,$Q$2)/$Q$2))</f>
        <v>2376.06359690428</v>
      </c>
      <c r="G414" s="15" t="n">
        <f aca="false">F414*(1+IF(G$3&lt;=$O$2,$D414,$D414-($D414-$I$400)*MIN(G$3-$O$2,$Q$2)/$Q$2))</f>
        <v>2325.74047262902</v>
      </c>
      <c r="H414" s="15" t="n">
        <f aca="false">G414*(1+IF(H$3&lt;=$O$2,$D414,$D414-($D414-$I$400)*MIN(H$3-$O$2,$Q$2)/$Q$2))</f>
        <v>2276.4831518281</v>
      </c>
      <c r="I414" s="15" t="n">
        <f aca="false">H414*(1+IF(I$3&lt;=$O$2,$D414,$D414-($D414-$I$400)*MIN(I$3-$O$2,$Q$2)/$Q$2))</f>
        <v>2228.26906163741</v>
      </c>
      <c r="J414" s="15" t="n">
        <f aca="false">I414*(1+IF(J$3&lt;=$O$2,$D414,$D414-($D414-$I$400)*MIN(J$3-$O$2,$Q$2)/$Q$2))</f>
        <v>2205.3549700924</v>
      </c>
      <c r="K414" s="15" t="n">
        <f aca="false">J414*(1+IF(K$3&lt;=$O$2,$D414,$D414-($D414-$I$400)*MIN(K$3-$O$2,$Q$2)/$Q$2))</f>
        <v>2206.70570693824</v>
      </c>
      <c r="L414" s="15" t="n">
        <f aca="false">K414*(1+IF(L$3&lt;=$O$2,$D414,$D414-($D414-$I$400)*MIN(L$3-$O$2,$Q$2)/$Q$2))</f>
        <v>2232.1011830491</v>
      </c>
      <c r="M414" s="15" t="n">
        <f aca="false">L414*(1+IF(M$3&lt;=$O$2,$D414,$D414-($D414-$I$400)*MIN(M$3-$O$2,$Q$2)/$Q$2))</f>
        <v>2282.10953543909</v>
      </c>
      <c r="N414" s="15" t="n">
        <f aca="false">M414*(1+IF(N$3&lt;=$O$2,$D414,$D414-($D414-$I$400)*MIN(N$3-$O$2,$Q$2)/$Q$2))</f>
        <v>2358.10378296921</v>
      </c>
      <c r="O414" s="15" t="n">
        <f aca="false">SUMPRODUCT(E414:N414,1/(1+$F$400)^$E$3:$N$3)*$E$2</f>
        <v>4609.35065405459</v>
      </c>
      <c r="P414" s="15" t="n">
        <f aca="false">N414*$E$2*(1+$I$400)/($F$400-$I$400)/(1+$F$400)^$N$3</f>
        <v>6954.9432618624</v>
      </c>
      <c r="Q414" s="15" t="n">
        <f aca="false">O414+P414</f>
        <v>11564.293915917</v>
      </c>
      <c r="R414" s="15" t="n">
        <f aca="false">Q414-$G$2+$I$2</f>
        <v>10289.623915917</v>
      </c>
      <c r="S414" s="42" t="n">
        <f aca="false">R414/$K$2</f>
        <v>289.278153385353</v>
      </c>
      <c r="T414" s="43" t="n">
        <f aca="false">S414-$M$2</f>
        <v>-0.0105730695251509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-0.02117919921875</v>
      </c>
      <c r="C415" s="25" t="n">
        <f aca="false">IF(T414&gt;0,D414,C414)</f>
        <v>-0.02099609375</v>
      </c>
      <c r="D415" s="41" t="n">
        <f aca="false">(B415+C415)/2</f>
        <v>-0.021087646484375</v>
      </c>
      <c r="E415" s="15" t="n">
        <f aca="false">$C$2*(1+IF(E$3&lt;=$O$2,$D415,$D415-($D415-$I$400)*MIN(E$3-$O$2,$Q$2)/$Q$2))</f>
        <v>2427.70263671875</v>
      </c>
      <c r="F415" s="15" t="n">
        <f aca="false">E415*(1+IF(F$3&lt;=$O$2,$D415,$D415-($D415-$I$400)*MIN(F$3-$O$2,$Q$2)/$Q$2))</f>
        <v>2376.50810174644</v>
      </c>
      <c r="G415" s="15" t="n">
        <f aca="false">F415*(1+IF(G$3&lt;=$O$2,$D415,$D415-($D415-$I$400)*MIN(G$3-$O$2,$Q$2)/$Q$2))</f>
        <v>2326.39313902956</v>
      </c>
      <c r="H415" s="15" t="n">
        <f aca="false">G415*(1+IF(H$3&lt;=$O$2,$D415,$D415-($D415-$I$400)*MIN(H$3-$O$2,$Q$2)/$Q$2))</f>
        <v>2277.33498293003</v>
      </c>
      <c r="I415" s="15" t="n">
        <f aca="false">H415*(1+IF(I$3&lt;=$O$2,$D415,$D415-($D415-$I$400)*MIN(I$3-$O$2,$Q$2)/$Q$2))</f>
        <v>2229.3113478835</v>
      </c>
      <c r="J415" s="15" t="n">
        <f aca="false">I415*(1+IF(J$3&lt;=$O$2,$D415,$D415-($D415-$I$400)*MIN(J$3-$O$2,$Q$2)/$Q$2))</f>
        <v>2206.54981777418</v>
      </c>
      <c r="K415" s="15" t="n">
        <f aca="false">J415*(1+IF(K$3&lt;=$O$2,$D415,$D415-($D415-$I$400)*MIN(K$3-$O$2,$Q$2)/$Q$2))</f>
        <v>2208.02249584251</v>
      </c>
      <c r="L415" s="15" t="n">
        <f aca="false">K415*(1+IF(L$3&lt;=$O$2,$D415,$D415-($D415-$I$400)*MIN(L$3-$O$2,$Q$2)/$Q$2))</f>
        <v>2233.51398618069</v>
      </c>
      <c r="M415" s="15" t="n">
        <f aca="false">L415*(1+IF(M$3&lt;=$O$2,$D415,$D415-($D415-$I$400)*MIN(M$3-$O$2,$Q$2)/$Q$2))</f>
        <v>2283.59488810085</v>
      </c>
      <c r="N415" s="15" t="n">
        <f aca="false">M415*(1+IF(N$3&lt;=$O$2,$D415,$D415-($D415-$I$400)*MIN(N$3-$O$2,$Q$2)/$Q$2))</f>
        <v>2359.63859787461</v>
      </c>
      <c r="O415" s="15" t="n">
        <f aca="false">SUMPRODUCT(E415:N415,1/(1+$F$400)^$E$3:$N$3)*$E$2</f>
        <v>4611.19348611831</v>
      </c>
      <c r="P415" s="15" t="n">
        <f aca="false">N415*$E$2*(1+$I$400)/($F$400-$I$400)/(1+$F$400)^$N$3</f>
        <v>6959.4700136795</v>
      </c>
      <c r="Q415" s="15" t="n">
        <f aca="false">O415+P415</f>
        <v>11570.6634997978</v>
      </c>
      <c r="R415" s="15" t="n">
        <f aca="false">Q415-$G$2+$I$2</f>
        <v>10295.9934997978</v>
      </c>
      <c r="S415" s="42" t="n">
        <f aca="false">R415/$K$2</f>
        <v>289.457225184082</v>
      </c>
      <c r="T415" s="43" t="n">
        <f aca="false">S415-$M$2</f>
        <v>0.168498729204487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-0.02117919921875</v>
      </c>
      <c r="C416" s="25" t="n">
        <f aca="false">IF(T415&gt;0,D415,C415)</f>
        <v>-0.021087646484375</v>
      </c>
      <c r="D416" s="41" t="n">
        <f aca="false">(B416+C416)/2</f>
        <v>-0.0211334228515625</v>
      </c>
      <c r="E416" s="15" t="n">
        <f aca="false">$C$2*(1+IF(E$3&lt;=$O$2,$D416,$D416-($D416-$I$400)*MIN(E$3-$O$2,$Q$2)/$Q$2))</f>
        <v>2427.58911132813</v>
      </c>
      <c r="F416" s="15" t="n">
        <f aca="false">E416*(1+IF(F$3&lt;=$O$2,$D416,$D416-($D416-$I$400)*MIN(F$3-$O$2,$Q$2)/$Q$2))</f>
        <v>2376.28584412858</v>
      </c>
      <c r="G416" s="15" t="n">
        <f aca="false">F416*(1+IF(G$3&lt;=$O$2,$D416,$D416-($D416-$I$400)*MIN(G$3-$O$2,$Q$2)/$Q$2))</f>
        <v>2326.06679056843</v>
      </c>
      <c r="H416" s="15" t="n">
        <f aca="false">G416*(1+IF(H$3&lt;=$O$2,$D416,$D416-($D416-$I$400)*MIN(H$3-$O$2,$Q$2)/$Q$2))</f>
        <v>2276.90903750237</v>
      </c>
      <c r="I416" s="15" t="n">
        <f aca="false">H416*(1+IF(I$3&lt;=$O$2,$D416,$D416-($D416-$I$400)*MIN(I$3-$O$2,$Q$2)/$Q$2))</f>
        <v>2228.79015601829</v>
      </c>
      <c r="J416" s="15" t="n">
        <f aca="false">I416*(1+IF(J$3&lt;=$O$2,$D416,$D416-($D416-$I$400)*MIN(J$3-$O$2,$Q$2)/$Q$2))</f>
        <v>2205.95232660574</v>
      </c>
      <c r="K416" s="15" t="n">
        <f aca="false">J416*(1+IF(K$3&lt;=$O$2,$D416,$D416-($D416-$I$400)*MIN(K$3-$O$2,$Q$2)/$Q$2))</f>
        <v>2207.364017611</v>
      </c>
      <c r="L416" s="15" t="n">
        <f aca="false">K416*(1+IF(L$3&lt;=$O$2,$D416,$D416-($D416-$I$400)*MIN(L$3-$O$2,$Q$2)/$Q$2))</f>
        <v>2232.80748781427</v>
      </c>
      <c r="M416" s="15" t="n">
        <f aca="false">L416*(1+IF(M$3&lt;=$O$2,$D416,$D416-($D416-$I$400)*MIN(M$3-$O$2,$Q$2)/$Q$2))</f>
        <v>2282.85210633242</v>
      </c>
      <c r="N416" s="15" t="n">
        <f aca="false">M416*(1+IF(N$3&lt;=$O$2,$D416,$D416-($D416-$I$400)*MIN(N$3-$O$2,$Q$2)/$Q$2))</f>
        <v>2358.87108147329</v>
      </c>
      <c r="O416" s="15" t="n">
        <f aca="false">SUMPRODUCT(E416:N416,1/(1+$F$400)^$E$3:$N$3)*$E$2</f>
        <v>4610.27197528248</v>
      </c>
      <c r="P416" s="15" t="n">
        <f aca="false">N416*$E$2*(1+$I$400)/($F$400-$I$400)/(1+$F$400)^$N$3</f>
        <v>6957.20631644011</v>
      </c>
      <c r="Q416" s="15" t="n">
        <f aca="false">O416+P416</f>
        <v>11567.4782917226</v>
      </c>
      <c r="R416" s="15" t="n">
        <f aca="false">Q416-$G$2+$I$2</f>
        <v>10292.8082917226</v>
      </c>
      <c r="S416" s="42" t="n">
        <f aca="false">R416/$K$2</f>
        <v>289.367677585679</v>
      </c>
      <c r="T416" s="43" t="n">
        <f aca="false">S416-$M$2</f>
        <v>0.078951130800931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-0.02117919921875</v>
      </c>
      <c r="C417" s="25" t="n">
        <f aca="false">IF(T416&gt;0,D416,C416)</f>
        <v>-0.0211334228515625</v>
      </c>
      <c r="D417" s="41" t="n">
        <f aca="false">(B417+C417)/2</f>
        <v>-0.0211563110351563</v>
      </c>
      <c r="E417" s="15" t="n">
        <f aca="false">$C$2*(1+IF(E$3&lt;=$O$2,$D417,$D417-($D417-$I$400)*MIN(E$3-$O$2,$Q$2)/$Q$2))</f>
        <v>2427.53234863281</v>
      </c>
      <c r="F417" s="15" t="n">
        <f aca="false">E417*(1+IF(F$3&lt;=$O$2,$D417,$D417-($D417-$I$400)*MIN(F$3-$O$2,$Q$2)/$Q$2))</f>
        <v>2376.17471921723</v>
      </c>
      <c r="G417" s="15" t="n">
        <f aca="false">F417*(1+IF(G$3&lt;=$O$2,$D417,$D417-($D417-$I$400)*MIN(G$3-$O$2,$Q$2)/$Q$2))</f>
        <v>2325.9036277836</v>
      </c>
      <c r="H417" s="15" t="n">
        <f aca="false">G417*(1+IF(H$3&lt;=$O$2,$D417,$D417-($D417-$I$400)*MIN(H$3-$O$2,$Q$2)/$Q$2))</f>
        <v>2276.69608719641</v>
      </c>
      <c r="I417" s="15" t="n">
        <f aca="false">H417*(1+IF(I$3&lt;=$O$2,$D417,$D417-($D417-$I$400)*MIN(I$3-$O$2,$Q$2)/$Q$2))</f>
        <v>2228.52959664316</v>
      </c>
      <c r="J417" s="15" t="n">
        <f aca="false">I417*(1+IF(J$3&lt;=$O$2,$D417,$D417-($D417-$I$400)*MIN(J$3-$O$2,$Q$2)/$Q$2))</f>
        <v>2205.6536315187</v>
      </c>
      <c r="K417" s="15" t="n">
        <f aca="false">J417*(1+IF(K$3&lt;=$O$2,$D417,$D417-($D417-$I$400)*MIN(K$3-$O$2,$Q$2)/$Q$2))</f>
        <v>2207.03484133199</v>
      </c>
      <c r="L417" s="15" t="n">
        <f aca="false">K417*(1+IF(L$3&lt;=$O$2,$D417,$D417-($D417-$I$400)*MIN(L$3-$O$2,$Q$2)/$Q$2))</f>
        <v>2232.45431123434</v>
      </c>
      <c r="M417" s="15" t="n">
        <f aca="false">L417*(1+IF(M$3&lt;=$O$2,$D417,$D417-($D417-$I$400)*MIN(M$3-$O$2,$Q$2)/$Q$2))</f>
        <v>2282.48079452957</v>
      </c>
      <c r="N417" s="15" t="n">
        <f aca="false">M417*(1+IF(N$3&lt;=$O$2,$D417,$D417-($D417-$I$400)*MIN(N$3-$O$2,$Q$2)/$Q$2))</f>
        <v>2358.48740498741</v>
      </c>
      <c r="O417" s="15" t="n">
        <f aca="false">SUMPRODUCT(E417:N417,1/(1+$F$400)^$E$3:$N$3)*$E$2</f>
        <v>4609.81129096987</v>
      </c>
      <c r="P417" s="15" t="n">
        <f aca="false">N417*$E$2*(1+$I$400)/($F$400-$I$400)/(1+$F$400)^$N$3</f>
        <v>6956.07470882832</v>
      </c>
      <c r="Q417" s="15" t="n">
        <f aca="false">O417+P417</f>
        <v>11565.8859997982</v>
      </c>
      <c r="R417" s="15" t="n">
        <f aca="false">Q417-$G$2+$I$2</f>
        <v>10291.2159997982</v>
      </c>
      <c r="S417" s="42" t="n">
        <f aca="false">R417/$K$2</f>
        <v>289.322912561096</v>
      </c>
      <c r="T417" s="43" t="n">
        <f aca="false">S417-$M$2</f>
        <v>0.0341861062182147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-0.02117919921875</v>
      </c>
      <c r="C418" s="25" t="n">
        <f aca="false">IF(T417&gt;0,D417,C417)</f>
        <v>-0.0211563110351563</v>
      </c>
      <c r="D418" s="41" t="n">
        <f aca="false">(B418+C418)/2</f>
        <v>-0.0211677551269531</v>
      </c>
      <c r="E418" s="15" t="n">
        <f aca="false">$C$2*(1+IF(E$3&lt;=$O$2,$D418,$D418-($D418-$I$400)*MIN(E$3-$O$2,$Q$2)/$Q$2))</f>
        <v>2427.50396728516</v>
      </c>
      <c r="F418" s="15" t="n">
        <f aca="false">E418*(1+IF(F$3&lt;=$O$2,$D418,$D418-($D418-$I$400)*MIN(F$3-$O$2,$Q$2)/$Q$2))</f>
        <v>2376.11915773596</v>
      </c>
      <c r="G418" s="15" t="n">
        <f aca="false">F418*(1+IF(G$3&lt;=$O$2,$D418,$D418-($D418-$I$400)*MIN(G$3-$O$2,$Q$2)/$Q$2))</f>
        <v>2325.82204925254</v>
      </c>
      <c r="H418" s="15" t="n">
        <f aca="false">G418*(1+IF(H$3&lt;=$O$2,$D418,$D418-($D418-$I$400)*MIN(H$3-$O$2,$Q$2)/$Q$2))</f>
        <v>2276.58961764509</v>
      </c>
      <c r="I418" s="15" t="n">
        <f aca="false">H418*(1+IF(I$3&lt;=$O$2,$D418,$D418-($D418-$I$400)*MIN(I$3-$O$2,$Q$2)/$Q$2))</f>
        <v>2228.39932609422</v>
      </c>
      <c r="J418" s="15" t="n">
        <f aca="false">I418*(1+IF(J$3&lt;=$O$2,$D418,$D418-($D418-$I$400)*MIN(J$3-$O$2,$Q$2)/$Q$2))</f>
        <v>2205.50429659814</v>
      </c>
      <c r="K418" s="15" t="n">
        <f aca="false">J418*(1+IF(K$3&lt;=$O$2,$D418,$D418-($D418-$I$400)*MIN(K$3-$O$2,$Q$2)/$Q$2))</f>
        <v>2206.87026889973</v>
      </c>
      <c r="L418" s="15" t="n">
        <f aca="false">K418*(1+IF(L$3&lt;=$O$2,$D418,$D418-($D418-$I$400)*MIN(L$3-$O$2,$Q$2)/$Q$2))</f>
        <v>2232.27774109274</v>
      </c>
      <c r="M418" s="15" t="n">
        <f aca="false">L418*(1+IF(M$3&lt;=$O$2,$D418,$D418-($D418-$I$400)*MIN(M$3-$O$2,$Q$2)/$Q$2))</f>
        <v>2282.29515839569</v>
      </c>
      <c r="N418" s="15" t="n">
        <f aca="false">M418*(1+IF(N$3&lt;=$O$2,$D418,$D418-($D418-$I$400)*MIN(N$3-$O$2,$Q$2)/$Q$2))</f>
        <v>2358.29558717026</v>
      </c>
      <c r="O418" s="15" t="n">
        <f aca="false">SUMPRODUCT(E418:N418,1/(1+$F$400)^$E$3:$N$3)*$E$2</f>
        <v>4609.58096658785</v>
      </c>
      <c r="P418" s="15" t="n">
        <f aca="false">N418*$E$2*(1+$I$400)/($F$400-$I$400)/(1+$F$400)^$N$3</f>
        <v>6955.50896526584</v>
      </c>
      <c r="Q418" s="15" t="n">
        <f aca="false">O418+P418</f>
        <v>11565.0899318537</v>
      </c>
      <c r="R418" s="15" t="n">
        <f aca="false">Q418-$G$2+$I$2</f>
        <v>10290.4199318537</v>
      </c>
      <c r="S418" s="42" t="n">
        <f aca="false">R418/$K$2</f>
        <v>289.300532242162</v>
      </c>
      <c r="T418" s="43" t="n">
        <f aca="false">S418-$M$2</f>
        <v>0.0118057872840609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-0.02117919921875</v>
      </c>
      <c r="C419" s="25" t="n">
        <f aca="false">IF(T418&gt;0,D418,C418)</f>
        <v>-0.0211677551269531</v>
      </c>
      <c r="D419" s="41" t="n">
        <f aca="false">(B419+C419)/2</f>
        <v>-0.0211734771728516</v>
      </c>
      <c r="E419" s="15" t="n">
        <f aca="false">$C$2*(1+IF(E$3&lt;=$O$2,$D419,$D419-($D419-$I$400)*MIN(E$3-$O$2,$Q$2)/$Q$2))</f>
        <v>2427.48977661133</v>
      </c>
      <c r="F419" s="15" t="n">
        <f aca="false">E419*(1+IF(F$3&lt;=$O$2,$D419,$D419-($D419-$I$400)*MIN(F$3-$O$2,$Q$2)/$Q$2))</f>
        <v>2376.09137723892</v>
      </c>
      <c r="G419" s="15" t="n">
        <f aca="false">F419*(1+IF(G$3&lt;=$O$2,$D419,$D419-($D419-$I$400)*MIN(G$3-$O$2,$Q$2)/$Q$2))</f>
        <v>2325.78126070234</v>
      </c>
      <c r="H419" s="15" t="n">
        <f aca="false">G419*(1+IF(H$3&lt;=$O$2,$D419,$D419-($D419-$I$400)*MIN(H$3-$O$2,$Q$2)/$Q$2))</f>
        <v>2276.53638426981</v>
      </c>
      <c r="I419" s="15" t="n">
        <f aca="false">H419*(1+IF(I$3&lt;=$O$2,$D419,$D419-($D419-$I$400)*MIN(I$3-$O$2,$Q$2)/$Q$2))</f>
        <v>2228.33419310431</v>
      </c>
      <c r="J419" s="15" t="n">
        <f aca="false">I419*(1+IF(J$3&lt;=$O$2,$D419,$D419-($D419-$I$400)*MIN(J$3-$O$2,$Q$2)/$Q$2))</f>
        <v>2205.42963229344</v>
      </c>
      <c r="K419" s="15" t="n">
        <f aca="false">J419*(1+IF(K$3&lt;=$O$2,$D419,$D419-($D419-$I$400)*MIN(K$3-$O$2,$Q$2)/$Q$2))</f>
        <v>2206.78798661017</v>
      </c>
      <c r="L419" s="15" t="n">
        <f aca="false">K419*(1+IF(L$3&lt;=$O$2,$D419,$D419-($D419-$I$400)*MIN(L$3-$O$2,$Q$2)/$Q$2))</f>
        <v>2232.18946055872</v>
      </c>
      <c r="M419" s="15" t="n">
        <f aca="false">L419*(1+IF(M$3&lt;=$O$2,$D419,$D419-($D419-$I$400)*MIN(M$3-$O$2,$Q$2)/$Q$2))</f>
        <v>2282.20234527028</v>
      </c>
      <c r="N419" s="15" t="n">
        <f aca="false">M419*(1+IF(N$3&lt;=$O$2,$D419,$D419-($D419-$I$400)*MIN(N$3-$O$2,$Q$2)/$Q$2))</f>
        <v>2358.19968336778</v>
      </c>
      <c r="O419" s="15" t="n">
        <f aca="false">SUMPRODUCT(E419:N419,1/(1+$F$400)^$E$3:$N$3)*$E$2</f>
        <v>4609.46580884016</v>
      </c>
      <c r="P419" s="15" t="n">
        <f aca="false">N419*$E$2*(1+$I$400)/($F$400-$I$400)/(1+$F$400)^$N$3</f>
        <v>6955.2261085444</v>
      </c>
      <c r="Q419" s="15" t="n">
        <f aca="false">O419+P419</f>
        <v>11564.6919173846</v>
      </c>
      <c r="R419" s="15" t="n">
        <f aca="false">Q419-$G$2+$I$2</f>
        <v>10290.0219173846</v>
      </c>
      <c r="S419" s="42" t="n">
        <f aca="false">R419/$K$2</f>
        <v>289.289342630997</v>
      </c>
      <c r="T419" s="43" t="n">
        <f aca="false">S419-$M$2</f>
        <v>0.00061617611930842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-0.02117919921875</v>
      </c>
      <c r="C420" s="25" t="n">
        <f aca="false">IF(T419&gt;0,D419,C419)</f>
        <v>-0.0211734771728516</v>
      </c>
      <c r="D420" s="41" t="n">
        <f aca="false">(B420+C420)/2</f>
        <v>-0.0211763381958008</v>
      </c>
      <c r="E420" s="15" t="n">
        <f aca="false">$C$2*(1+IF(E$3&lt;=$O$2,$D420,$D420-($D420-$I$400)*MIN(E$3-$O$2,$Q$2)/$Q$2))</f>
        <v>2427.48268127441</v>
      </c>
      <c r="F420" s="15" t="n">
        <f aca="false">E420*(1+IF(F$3&lt;=$O$2,$D420,$D420-($D420-$I$400)*MIN(F$3-$O$2,$Q$2)/$Q$2))</f>
        <v>2376.0774870513</v>
      </c>
      <c r="G420" s="15" t="n">
        <f aca="false">F420*(1+IF(G$3&lt;=$O$2,$D420,$D420-($D420-$I$400)*MIN(G$3-$O$2,$Q$2)/$Q$2))</f>
        <v>2325.76086660607</v>
      </c>
      <c r="H420" s="15" t="n">
        <f aca="false">G420*(1+IF(H$3&lt;=$O$2,$D420,$D420-($D420-$I$400)*MIN(H$3-$O$2,$Q$2)/$Q$2))</f>
        <v>2276.50976793226</v>
      </c>
      <c r="I420" s="15" t="n">
        <f aca="false">H420*(1+IF(I$3&lt;=$O$2,$D420,$D420-($D420-$I$400)*MIN(I$3-$O$2,$Q$2)/$Q$2))</f>
        <v>2228.30162718048</v>
      </c>
      <c r="J420" s="15" t="n">
        <f aca="false">I420*(1+IF(J$3&lt;=$O$2,$D420,$D420-($D420-$I$400)*MIN(J$3-$O$2,$Q$2)/$Q$2))</f>
        <v>2205.39230092996</v>
      </c>
      <c r="K420" s="15" t="n">
        <f aca="false">J420*(1+IF(K$3&lt;=$O$2,$D420,$D420-($D420-$I$400)*MIN(K$3-$O$2,$Q$2)/$Q$2))</f>
        <v>2206.74684644701</v>
      </c>
      <c r="L420" s="15" t="n">
        <f aca="false">K420*(1+IF(L$3&lt;=$O$2,$D420,$D420-($D420-$I$400)*MIN(L$3-$O$2,$Q$2)/$Q$2))</f>
        <v>2232.14532142587</v>
      </c>
      <c r="M420" s="15" t="n">
        <f aca="false">L420*(1+IF(M$3&lt;=$O$2,$D420,$D420-($D420-$I$400)*MIN(M$3-$O$2,$Q$2)/$Q$2))</f>
        <v>2282.15593994291</v>
      </c>
      <c r="N420" s="15" t="n">
        <f aca="false">M420*(1+IF(N$3&lt;=$O$2,$D420,$D420-($D420-$I$400)*MIN(N$3-$O$2,$Q$2)/$Q$2))</f>
        <v>2358.15173274301</v>
      </c>
      <c r="O420" s="15" t="n">
        <f aca="false">SUMPRODUCT(E420:N420,1/(1+$F$400)^$E$3:$N$3)*$E$2</f>
        <v>4609.40823107712</v>
      </c>
      <c r="P420" s="15" t="n">
        <f aca="false">N420*$E$2*(1+$I$400)/($F$400-$I$400)/(1+$F$400)^$N$3</f>
        <v>6955.08468394849</v>
      </c>
      <c r="Q420" s="15" t="n">
        <f aca="false">O420+P420</f>
        <v>11564.4929150256</v>
      </c>
      <c r="R420" s="15" t="n">
        <f aca="false">Q420-$G$2+$I$2</f>
        <v>10289.8229150256</v>
      </c>
      <c r="S420" s="42" t="n">
        <f aca="false">R420/$K$2</f>
        <v>289.283747962485</v>
      </c>
      <c r="T420" s="43" t="n">
        <f aca="false">S420-$M$2</f>
        <v>-0.00497849239224024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-0.0211763381958008</v>
      </c>
      <c r="C421" s="25" t="n">
        <f aca="false">IF(T420&gt;0,D420,C420)</f>
        <v>-0.0211734771728516</v>
      </c>
      <c r="D421" s="41" t="n">
        <f aca="false">(B421+C421)/2</f>
        <v>-0.0211749076843262</v>
      </c>
      <c r="E421" s="15" t="n">
        <f aca="false">$C$2*(1+IF(E$3&lt;=$O$2,$D421,$D421-($D421-$I$400)*MIN(E$3-$O$2,$Q$2)/$Q$2))</f>
        <v>2427.48622894287</v>
      </c>
      <c r="F421" s="15" t="n">
        <f aca="false">E421*(1+IF(F$3&lt;=$O$2,$D421,$D421-($D421-$I$400)*MIN(F$3-$O$2,$Q$2)/$Q$2))</f>
        <v>2376.08443214003</v>
      </c>
      <c r="G421" s="15" t="n">
        <f aca="false">F421*(1+IF(G$3&lt;=$O$2,$D421,$D421-($D421-$I$400)*MIN(G$3-$O$2,$Q$2)/$Q$2))</f>
        <v>2325.7710636393</v>
      </c>
      <c r="H421" s="15" t="n">
        <f aca="false">G421*(1+IF(H$3&lt;=$O$2,$D421,$D421-($D421-$I$400)*MIN(H$3-$O$2,$Q$2)/$Q$2))</f>
        <v>2276.52307607186</v>
      </c>
      <c r="I421" s="15" t="n">
        <f aca="false">H421*(1+IF(I$3&lt;=$O$2,$D421,$D421-($D421-$I$400)*MIN(I$3-$O$2,$Q$2)/$Q$2))</f>
        <v>2228.3179100948</v>
      </c>
      <c r="J421" s="15" t="n">
        <f aca="false">I421*(1+IF(J$3&lt;=$O$2,$D421,$D421-($D421-$I$400)*MIN(J$3-$O$2,$Q$2)/$Q$2))</f>
        <v>2205.41096654596</v>
      </c>
      <c r="K421" s="15" t="n">
        <f aca="false">J421*(1+IF(K$3&lt;=$O$2,$D421,$D421-($D421-$I$400)*MIN(K$3-$O$2,$Q$2)/$Q$2))</f>
        <v>2206.76741644679</v>
      </c>
      <c r="L421" s="15" t="n">
        <f aca="false">K421*(1+IF(L$3&lt;=$O$2,$D421,$D421-($D421-$I$400)*MIN(L$3-$O$2,$Q$2)/$Q$2))</f>
        <v>2232.16739089778</v>
      </c>
      <c r="M421" s="15" t="n">
        <f aca="false">L421*(1+IF(M$3&lt;=$O$2,$D421,$D421-($D421-$I$400)*MIN(M$3-$O$2,$Q$2)/$Q$2))</f>
        <v>2282.17914250365</v>
      </c>
      <c r="N421" s="15" t="n">
        <f aca="false">M421*(1+IF(N$3&lt;=$O$2,$D421,$D421-($D421-$I$400)*MIN(N$3-$O$2,$Q$2)/$Q$2))</f>
        <v>2358.17570794903</v>
      </c>
      <c r="O421" s="15" t="n">
        <f aca="false">SUMPRODUCT(E421:N421,1/(1+$F$400)^$E$3:$N$3)*$E$2</f>
        <v>4609.43701986607</v>
      </c>
      <c r="P421" s="15" t="n">
        <f aca="false">N421*$E$2*(1+$I$400)/($F$400-$I$400)/(1+$F$400)^$N$3</f>
        <v>6955.15539593271</v>
      </c>
      <c r="Q421" s="15" t="n">
        <f aca="false">O421+P421</f>
        <v>11564.5924157988</v>
      </c>
      <c r="R421" s="15" t="n">
        <f aca="false">Q421-$G$2+$I$2</f>
        <v>10289.9224157988</v>
      </c>
      <c r="S421" s="42" t="n">
        <f aca="false">R421/$K$2</f>
        <v>289.286545285319</v>
      </c>
      <c r="T421" s="43" t="n">
        <f aca="false">S421-$M$2</f>
        <v>-0.00218116955903724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-0.0211749076843262</v>
      </c>
      <c r="C422" s="25" t="n">
        <f aca="false">IF(T421&gt;0,D421,C421)</f>
        <v>-0.0211734771728516</v>
      </c>
      <c r="D422" s="41" t="n">
        <f aca="false">(B422+C422)/2</f>
        <v>-0.0211741924285889</v>
      </c>
      <c r="E422" s="15" t="n">
        <f aca="false">$C$2*(1+IF(E$3&lt;=$O$2,$D422,$D422-($D422-$I$400)*MIN(E$3-$O$2,$Q$2)/$Q$2))</f>
        <v>2427.4880027771</v>
      </c>
      <c r="F422" s="15" t="n">
        <f aca="false">E422*(1+IF(F$3&lt;=$O$2,$D422,$D422-($D422-$I$400)*MIN(F$3-$O$2,$Q$2)/$Q$2))</f>
        <v>2376.08790468821</v>
      </c>
      <c r="G422" s="15" t="n">
        <f aca="false">F422*(1+IF(G$3&lt;=$O$2,$D422,$D422-($D422-$I$400)*MIN(G$3-$O$2,$Q$2)/$Q$2))</f>
        <v>2325.7761621671</v>
      </c>
      <c r="H422" s="15" t="n">
        <f aca="false">G422*(1+IF(H$3&lt;=$O$2,$D422,$D422-($D422-$I$400)*MIN(H$3-$O$2,$Q$2)/$Q$2))</f>
        <v>2276.52973016354</v>
      </c>
      <c r="I422" s="15" t="n">
        <f aca="false">H422*(1+IF(I$3&lt;=$O$2,$D422,$D422-($D422-$I$400)*MIN(I$3-$O$2,$Q$2)/$Q$2))</f>
        <v>2228.32605158766</v>
      </c>
      <c r="J422" s="15" t="n">
        <f aca="false">I422*(1+IF(J$3&lt;=$O$2,$D422,$D422-($D422-$I$400)*MIN(J$3-$O$2,$Q$2)/$Q$2))</f>
        <v>2205.42029940327</v>
      </c>
      <c r="K422" s="15" t="n">
        <f aca="false">J422*(1+IF(K$3&lt;=$O$2,$D422,$D422-($D422-$I$400)*MIN(K$3-$O$2,$Q$2)/$Q$2))</f>
        <v>2206.77770150803</v>
      </c>
      <c r="L422" s="15" t="n">
        <f aca="false">K422*(1+IF(L$3&lt;=$O$2,$D422,$D422-($D422-$I$400)*MIN(L$3-$O$2,$Q$2)/$Q$2))</f>
        <v>2232.17842570462</v>
      </c>
      <c r="M422" s="15" t="n">
        <f aca="false">L422*(1+IF(M$3&lt;=$O$2,$D422,$D422-($D422-$I$400)*MIN(M$3-$O$2,$Q$2)/$Q$2))</f>
        <v>2282.19074386123</v>
      </c>
      <c r="N422" s="15" t="n">
        <f aca="false">M422*(1+IF(N$3&lt;=$O$2,$D422,$D422-($D422-$I$400)*MIN(N$3-$O$2,$Q$2)/$Q$2))</f>
        <v>2358.18769563181</v>
      </c>
      <c r="O422" s="15" t="n">
        <f aca="false">SUMPRODUCT(E422:N422,1/(1+$F$400)^$E$3:$N$3)*$E$2</f>
        <v>4609.45141432998</v>
      </c>
      <c r="P422" s="15" t="n">
        <f aca="false">N422*$E$2*(1+$I$400)/($F$400-$I$400)/(1+$F$400)^$N$3</f>
        <v>6955.19075216012</v>
      </c>
      <c r="Q422" s="15" t="n">
        <f aca="false">O422+P422</f>
        <v>11564.6421664901</v>
      </c>
      <c r="R422" s="15" t="n">
        <f aca="false">Q422-$G$2+$I$2</f>
        <v>10289.9721664901</v>
      </c>
      <c r="S422" s="42" t="n">
        <f aca="false">R422/$K$2</f>
        <v>289.287943955302</v>
      </c>
      <c r="T422" s="43" t="n">
        <f aca="false">S422-$M$2</f>
        <v>-0.000782499575507245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-0.0211741924285889</v>
      </c>
      <c r="C423" s="25" t="n">
        <f aca="false">IF(T422&gt;0,D422,C422)</f>
        <v>-0.0211734771728516</v>
      </c>
      <c r="D423" s="41" t="n">
        <f aca="false">(B423+C423)/2</f>
        <v>-0.0211738348007202</v>
      </c>
      <c r="E423" s="15" t="n">
        <f aca="false">$C$2*(1+IF(E$3&lt;=$O$2,$D423,$D423-($D423-$I$400)*MIN(E$3-$O$2,$Q$2)/$Q$2))</f>
        <v>2427.48888969421</v>
      </c>
      <c r="F423" s="15" t="n">
        <f aca="false">E423*(1+IF(F$3&lt;=$O$2,$D423,$D423-($D423-$I$400)*MIN(F$3-$O$2,$Q$2)/$Q$2))</f>
        <v>2376.08964096325</v>
      </c>
      <c r="G423" s="15" t="n">
        <f aca="false">F423*(1+IF(G$3&lt;=$O$2,$D423,$D423-($D423-$I$400)*MIN(G$3-$O$2,$Q$2)/$Q$2))</f>
        <v>2325.77871143379</v>
      </c>
      <c r="H423" s="15" t="n">
        <f aca="false">G423*(1+IF(H$3&lt;=$O$2,$D423,$D423-($D423-$I$400)*MIN(H$3-$O$2,$Q$2)/$Q$2))</f>
        <v>2276.53305721486</v>
      </c>
      <c r="I423" s="15" t="n">
        <f aca="false">H423*(1+IF(I$3&lt;=$O$2,$D423,$D423-($D423-$I$400)*MIN(I$3-$O$2,$Q$2)/$Q$2))</f>
        <v>2228.33012234301</v>
      </c>
      <c r="J423" s="15" t="n">
        <f aca="false">I423*(1+IF(J$3&lt;=$O$2,$D423,$D423-($D423-$I$400)*MIN(J$3-$O$2,$Q$2)/$Q$2))</f>
        <v>2205.42496584425</v>
      </c>
      <c r="K423" s="15" t="n">
        <f aca="false">J423*(1+IF(K$3&lt;=$O$2,$D423,$D423-($D423-$I$400)*MIN(K$3-$O$2,$Q$2)/$Q$2))</f>
        <v>2206.78284405399</v>
      </c>
      <c r="L423" s="15" t="n">
        <f aca="false">K423*(1+IF(L$3&lt;=$O$2,$D423,$D423-($D423-$I$400)*MIN(L$3-$O$2,$Q$2)/$Q$2))</f>
        <v>2232.18394312576</v>
      </c>
      <c r="M423" s="15" t="n">
        <f aca="false">L423*(1+IF(M$3&lt;=$O$2,$D423,$D423-($D423-$I$400)*MIN(M$3-$O$2,$Q$2)/$Q$2))</f>
        <v>2282.19654455932</v>
      </c>
      <c r="N423" s="15" t="n">
        <f aca="false">M423*(1+IF(N$3&lt;=$O$2,$D423,$D423-($D423-$I$400)*MIN(N$3-$O$2,$Q$2)/$Q$2))</f>
        <v>2358.19368949315</v>
      </c>
      <c r="O423" s="15" t="n">
        <f aca="false">SUMPRODUCT(E423:N423,1/(1+$F$400)^$E$3:$N$3)*$E$2</f>
        <v>4609.45861157928</v>
      </c>
      <c r="P423" s="15" t="n">
        <f aca="false">N423*$E$2*(1+$I$400)/($F$400-$I$400)/(1+$F$400)^$N$3</f>
        <v>6955.20843033265</v>
      </c>
      <c r="Q423" s="15" t="n">
        <f aca="false">O423+P423</f>
        <v>11564.6670419119</v>
      </c>
      <c r="R423" s="15" t="n">
        <f aca="false">Q423-$G$2+$I$2</f>
        <v>10289.9970419119</v>
      </c>
      <c r="S423" s="42" t="n">
        <f aca="false">R423/$K$2</f>
        <v>289.288643292436</v>
      </c>
      <c r="T423" s="43" t="n">
        <f aca="false">S423-$M$2</f>
        <v>-8.31624421380184E-005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-0.0211738348007202</v>
      </c>
      <c r="C424" s="25" t="n">
        <f aca="false">IF(T423&gt;0,D423,C423)</f>
        <v>-0.0211734771728516</v>
      </c>
      <c r="D424" s="41" t="n">
        <f aca="false">(B424+C424)/2</f>
        <v>-0.0211736559867859</v>
      </c>
      <c r="E424" s="15" t="n">
        <f aca="false">$C$2*(1+IF(E$3&lt;=$O$2,$D424,$D424-($D424-$I$400)*MIN(E$3-$O$2,$Q$2)/$Q$2))</f>
        <v>2427.48933315277</v>
      </c>
      <c r="F424" s="15" t="n">
        <f aca="false">E424*(1+IF(F$3&lt;=$O$2,$D424,$D424-($D424-$I$400)*MIN(F$3-$O$2,$Q$2)/$Q$2))</f>
        <v>2376.090509101</v>
      </c>
      <c r="G424" s="15" t="n">
        <f aca="false">F424*(1+IF(G$3&lt;=$O$2,$D424,$D424-($D424-$I$400)*MIN(G$3-$O$2,$Q$2)/$Q$2))</f>
        <v>2325.77998606783</v>
      </c>
      <c r="H424" s="15" t="n">
        <f aca="false">G424*(1+IF(H$3&lt;=$O$2,$D424,$D424-($D424-$I$400)*MIN(H$3-$O$2,$Q$2)/$Q$2))</f>
        <v>2276.53472074188</v>
      </c>
      <c r="I424" s="15" t="n">
        <f aca="false">H424*(1+IF(I$3&lt;=$O$2,$D424,$D424-($D424-$I$400)*MIN(I$3-$O$2,$Q$2)/$Q$2))</f>
        <v>2228.33215772292</v>
      </c>
      <c r="J424" s="15" t="n">
        <f aca="false">I424*(1+IF(J$3&lt;=$O$2,$D424,$D424-($D424-$I$400)*MIN(J$3-$O$2,$Q$2)/$Q$2))</f>
        <v>2205.42729906782</v>
      </c>
      <c r="K424" s="15" t="n">
        <f aca="false">J424*(1+IF(K$3&lt;=$O$2,$D424,$D424-($D424-$I$400)*MIN(K$3-$O$2,$Q$2)/$Q$2))</f>
        <v>2206.7854153308</v>
      </c>
      <c r="L424" s="15" t="n">
        <f aca="false">K424*(1+IF(L$3&lt;=$O$2,$D424,$D424-($D424-$I$400)*MIN(L$3-$O$2,$Q$2)/$Q$2))</f>
        <v>2232.18670184076</v>
      </c>
      <c r="M424" s="15" t="n">
        <f aca="false">L424*(1+IF(M$3&lt;=$O$2,$D424,$D424-($D424-$I$400)*MIN(M$3-$O$2,$Q$2)/$Q$2))</f>
        <v>2282.19944491319</v>
      </c>
      <c r="N424" s="15" t="n">
        <f aca="false">M424*(1+IF(N$3&lt;=$O$2,$D424,$D424-($D424-$I$400)*MIN(N$3-$O$2,$Q$2)/$Q$2))</f>
        <v>2358.1966864288</v>
      </c>
      <c r="O424" s="15" t="n">
        <f aca="false">SUMPRODUCT(E424:N424,1/(1+$F$400)^$E$3:$N$3)*$E$2</f>
        <v>4609.46221020828</v>
      </c>
      <c r="P424" s="15" t="n">
        <f aca="false">N424*$E$2*(1+$I$400)/($F$400-$I$400)/(1+$F$400)^$N$3</f>
        <v>6955.21726943362</v>
      </c>
      <c r="Q424" s="15" t="n">
        <f aca="false">O424+P424</f>
        <v>11564.6794796419</v>
      </c>
      <c r="R424" s="15" t="n">
        <f aca="false">Q424-$G$2+$I$2</f>
        <v>10290.0094796419</v>
      </c>
      <c r="S424" s="42" t="n">
        <f aca="false">R424/$K$2</f>
        <v>289.288992961538</v>
      </c>
      <c r="T424" s="43" t="n">
        <f aca="false">S424-$M$2</f>
        <v>0.000266506660011601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-0.0211738348007202</v>
      </c>
      <c r="C425" s="25" t="n">
        <f aca="false">IF(T424&gt;0,D424,C424)</f>
        <v>-0.0211736559867859</v>
      </c>
      <c r="D425" s="41" t="n">
        <f aca="false">(B425+C425)/2</f>
        <v>-0.0211737453937531</v>
      </c>
      <c r="E425" s="15" t="n">
        <f aca="false">$C$2*(1+IF(E$3&lt;=$O$2,$D425,$D425-($D425-$I$400)*MIN(E$3-$O$2,$Q$2)/$Q$2))</f>
        <v>2427.48911142349</v>
      </c>
      <c r="F425" s="15" t="n">
        <f aca="false">E425*(1+IF(F$3&lt;=$O$2,$D425,$D425-($D425-$I$400)*MIN(F$3-$O$2,$Q$2)/$Q$2))</f>
        <v>2376.0900750321</v>
      </c>
      <c r="G425" s="15" t="n">
        <f aca="false">F425*(1+IF(G$3&lt;=$O$2,$D425,$D425-($D425-$I$400)*MIN(G$3-$O$2,$Q$2)/$Q$2))</f>
        <v>2325.77934875075</v>
      </c>
      <c r="H425" s="15" t="n">
        <f aca="false">G425*(1+IF(H$3&lt;=$O$2,$D425,$D425-($D425-$I$400)*MIN(H$3-$O$2,$Q$2)/$Q$2))</f>
        <v>2276.53388897825</v>
      </c>
      <c r="I425" s="15" t="n">
        <f aca="false">H425*(1+IF(I$3&lt;=$O$2,$D425,$D425-($D425-$I$400)*MIN(I$3-$O$2,$Q$2)/$Q$2))</f>
        <v>2228.33114003278</v>
      </c>
      <c r="J425" s="15" t="n">
        <f aca="false">I425*(1+IF(J$3&lt;=$O$2,$D425,$D425-($D425-$I$400)*MIN(J$3-$O$2,$Q$2)/$Q$2))</f>
        <v>2205.42613245578</v>
      </c>
      <c r="K425" s="15" t="n">
        <f aca="false">J425*(1+IF(K$3&lt;=$O$2,$D425,$D425-($D425-$I$400)*MIN(K$3-$O$2,$Q$2)/$Q$2))</f>
        <v>2206.78412969208</v>
      </c>
      <c r="L425" s="15" t="n">
        <f aca="false">K425*(1+IF(L$3&lt;=$O$2,$D425,$D425-($D425-$I$400)*MIN(L$3-$O$2,$Q$2)/$Q$2))</f>
        <v>2232.1853224829</v>
      </c>
      <c r="M425" s="15" t="n">
        <f aca="false">L425*(1+IF(M$3&lt;=$O$2,$D425,$D425-($D425-$I$400)*MIN(M$3-$O$2,$Q$2)/$Q$2))</f>
        <v>2282.19799473585</v>
      </c>
      <c r="N425" s="15" t="n">
        <f aca="false">M425*(1+IF(N$3&lt;=$O$2,$D425,$D425-($D425-$I$400)*MIN(N$3-$O$2,$Q$2)/$Q$2))</f>
        <v>2358.19518796056</v>
      </c>
      <c r="O425" s="15" t="n">
        <f aca="false">SUMPRODUCT(E425:N425,1/(1+$F$400)^$E$3:$N$3)*$E$2</f>
        <v>4609.46041089342</v>
      </c>
      <c r="P425" s="15" t="n">
        <f aca="false">N425*$E$2*(1+$I$400)/($F$400-$I$400)/(1+$F$400)^$N$3</f>
        <v>6955.21284988191</v>
      </c>
      <c r="Q425" s="15" t="n">
        <f aca="false">O425+P425</f>
        <v>11564.6732607753</v>
      </c>
      <c r="R425" s="15" t="n">
        <f aca="false">Q425-$G$2+$I$2</f>
        <v>10290.0032607753</v>
      </c>
      <c r="S425" s="42" t="n">
        <f aca="false">R425/$K$2</f>
        <v>289.288818126942</v>
      </c>
      <c r="T425" s="43" t="n">
        <f aca="false">S425-$M$2</f>
        <v>9.16720643999724E-005</v>
      </c>
    </row>
    <row r="427" customFormat="false" ht="15" hidden="false" customHeight="false" outlineLevel="0" collapsed="false">
      <c r="A427" s="38" t="s">
        <v>199</v>
      </c>
      <c r="E427" s="5" t="s">
        <v>11</v>
      </c>
      <c r="F427" s="12" t="n">
        <f aca="false">Sensitivity!$B$12</f>
        <v>0.0814218415038925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8" t="s">
        <v>165</v>
      </c>
      <c r="B428" s="28" t="s">
        <v>166</v>
      </c>
      <c r="C428" s="28" t="s">
        <v>167</v>
      </c>
      <c r="D428" s="28" t="s">
        <v>168</v>
      </c>
      <c r="E428" s="28" t="s">
        <v>169</v>
      </c>
      <c r="F428" s="28" t="s">
        <v>170</v>
      </c>
      <c r="G428" s="28" t="s">
        <v>171</v>
      </c>
      <c r="H428" s="28" t="s">
        <v>172</v>
      </c>
      <c r="I428" s="28" t="s">
        <v>173</v>
      </c>
      <c r="J428" s="28" t="s">
        <v>174</v>
      </c>
      <c r="K428" s="28" t="s">
        <v>175</v>
      </c>
      <c r="L428" s="28" t="s">
        <v>176</v>
      </c>
      <c r="M428" s="28" t="s">
        <v>177</v>
      </c>
      <c r="N428" s="28" t="s">
        <v>178</v>
      </c>
      <c r="O428" s="28" t="s">
        <v>179</v>
      </c>
      <c r="P428" s="28" t="s">
        <v>180</v>
      </c>
      <c r="Q428" s="28" t="s">
        <v>181</v>
      </c>
      <c r="R428" s="28" t="s">
        <v>182</v>
      </c>
      <c r="S428" s="28" t="s">
        <v>183</v>
      </c>
      <c r="T428" s="28" t="s">
        <v>184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41" t="n">
        <f aca="false">(B429+C429)/2</f>
        <v>0.25</v>
      </c>
      <c r="E429" s="15" t="n">
        <f aca="false">$C$2*(1+IF(E$3&lt;=$O$2,$D429,$D429-($D429-$I$427)*MIN(E$3-$O$2,$Q$2)/$Q$2))</f>
        <v>3100</v>
      </c>
      <c r="F429" s="15" t="n">
        <f aca="false">E429*(1+IF(F$3&lt;=$O$2,$D429,$D429-($D429-$I$427)*MIN(F$3-$O$2,$Q$2)/$Q$2))</f>
        <v>3875</v>
      </c>
      <c r="G429" s="15" t="n">
        <f aca="false">F429*(1+IF(G$3&lt;=$O$2,$D429,$D429-($D429-$I$427)*MIN(G$3-$O$2,$Q$2)/$Q$2))</f>
        <v>4843.75</v>
      </c>
      <c r="H429" s="15" t="n">
        <f aca="false">G429*(1+IF(H$3&lt;=$O$2,$D429,$D429-($D429-$I$427)*MIN(H$3-$O$2,$Q$2)/$Q$2))</f>
        <v>6054.6875</v>
      </c>
      <c r="I429" s="15" t="n">
        <f aca="false">H429*(1+IF(I$3&lt;=$O$2,$D429,$D429-($D429-$I$427)*MIN(I$3-$O$2,$Q$2)/$Q$2))</f>
        <v>7568.359375</v>
      </c>
      <c r="J429" s="15" t="n">
        <f aca="false">I429*(1+IF(J$3&lt;=$O$2,$D429,$D429-($D429-$I$427)*MIN(J$3-$O$2,$Q$2)/$Q$2))</f>
        <v>9140.0048828125</v>
      </c>
      <c r="K429" s="15" t="n">
        <f aca="false">J429*(1+IF(K$3&lt;=$O$2,$D429,$D429-($D429-$I$427)*MIN(K$3-$O$2,$Q$2)/$Q$2))</f>
        <v>10651.0304900391</v>
      </c>
      <c r="L429" s="15" t="n">
        <f aca="false">K429*(1+IF(L$3&lt;=$O$2,$D429,$D429-($D429-$I$427)*MIN(L$3-$O$2,$Q$2)/$Q$2))</f>
        <v>11960.8942197041</v>
      </c>
      <c r="M429" s="15" t="n">
        <f aca="false">L429*(1+IF(M$3&lt;=$O$2,$D429,$D429-($D429-$I$427)*MIN(M$3-$O$2,$Q$2)/$Q$2))</f>
        <v>12925.420729581</v>
      </c>
      <c r="N429" s="15" t="n">
        <f aca="false">M429*(1+IF(N$3&lt;=$O$2,$D429,$D429-($D429-$I$427)*MIN(N$3-$O$2,$Q$2)/$Q$2))</f>
        <v>13420.464343524</v>
      </c>
      <c r="O429" s="15" t="n">
        <f aca="false">SUMPRODUCT(E429:N429,1/(1+$F$427)^$E$3:$N$3)*$E$2</f>
        <v>15127.2655009234</v>
      </c>
      <c r="P429" s="15" t="n">
        <f aca="false">N429*$E$2*(1+$I$427)/($F$427-$I$427)/(1+$F$427)^$N$3</f>
        <v>44385.3432628802</v>
      </c>
      <c r="Q429" s="15" t="n">
        <f aca="false">O429+P429</f>
        <v>59512.6087638036</v>
      </c>
      <c r="R429" s="15" t="n">
        <f aca="false">Q429-$G$2+$I$2</f>
        <v>58237.9387638036</v>
      </c>
      <c r="S429" s="42" t="n">
        <f aca="false">R429/$K$2</f>
        <v>1637.27688399785</v>
      </c>
      <c r="T429" s="43" t="n">
        <f aca="false">S429-$M$2</f>
        <v>1347.98815754297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41" t="n">
        <f aca="false">(B430+C430)/2</f>
        <v>-0.125</v>
      </c>
      <c r="E430" s="15" t="n">
        <f aca="false">$C$2*(1+IF(E$3&lt;=$O$2,$D430,$D430-($D430-$I$427)*MIN(E$3-$O$2,$Q$2)/$Q$2))</f>
        <v>2170</v>
      </c>
      <c r="F430" s="15" t="n">
        <f aca="false">E430*(1+IF(F$3&lt;=$O$2,$D430,$D430-($D430-$I$427)*MIN(F$3-$O$2,$Q$2)/$Q$2))</f>
        <v>1898.75</v>
      </c>
      <c r="G430" s="15" t="n">
        <f aca="false">F430*(1+IF(G$3&lt;=$O$2,$D430,$D430-($D430-$I$427)*MIN(G$3-$O$2,$Q$2)/$Q$2))</f>
        <v>1661.40625</v>
      </c>
      <c r="H430" s="15" t="n">
        <f aca="false">G430*(1+IF(H$3&lt;=$O$2,$D430,$D430-($D430-$I$427)*MIN(H$3-$O$2,$Q$2)/$Q$2))</f>
        <v>1453.73046875</v>
      </c>
      <c r="I430" s="15" t="n">
        <f aca="false">H430*(1+IF(I$3&lt;=$O$2,$D430,$D430-($D430-$I$427)*MIN(I$3-$O$2,$Q$2)/$Q$2))</f>
        <v>1272.01416015625</v>
      </c>
      <c r="J430" s="15" t="n">
        <f aca="false">I430*(1+IF(J$3&lt;=$O$2,$D430,$D430-($D430-$I$427)*MIN(J$3-$O$2,$Q$2)/$Q$2))</f>
        <v>1154.55637260742</v>
      </c>
      <c r="K430" s="15" t="n">
        <f aca="false">J430*(1+IF(K$3&lt;=$O$2,$D430,$D430-($D430-$I$427)*MIN(K$3-$O$2,$Q$2)/$Q$2))</f>
        <v>1085.65244829021</v>
      </c>
      <c r="L430" s="15" t="n">
        <f aca="false">K430*(1+IF(L$3&lt;=$O$2,$D430,$D430-($D430-$I$427)*MIN(L$3-$O$2,$Q$2)/$Q$2))</f>
        <v>1056.31811913741</v>
      </c>
      <c r="M430" s="15" t="n">
        <f aca="false">L430*(1+IF(M$3&lt;=$O$2,$D430,$D430-($D430-$I$427)*MIN(M$3-$O$2,$Q$2)/$Q$2))</f>
        <v>1062.27575332934</v>
      </c>
      <c r="N430" s="15" t="n">
        <f aca="false">M430*(1+IF(N$3&lt;=$O$2,$D430,$D430-($D430-$I$427)*MIN(N$3-$O$2,$Q$2)/$Q$2))</f>
        <v>1102.96091468186</v>
      </c>
      <c r="O430" s="15" t="n">
        <f aca="false">SUMPRODUCT(E430:N430,1/(1+$F$427)^$E$3:$N$3)*$E$2</f>
        <v>2947.71992183653</v>
      </c>
      <c r="P430" s="15" t="n">
        <f aca="false">N430*$E$2*(1+$I$427)/($F$427-$I$427)/(1+$F$427)^$N$3</f>
        <v>3647.80961005407</v>
      </c>
      <c r="Q430" s="15" t="n">
        <f aca="false">O430+P430</f>
        <v>6595.5295318906</v>
      </c>
      <c r="R430" s="15" t="n">
        <f aca="false">Q430-$G$2+$I$2</f>
        <v>5320.8595318906</v>
      </c>
      <c r="S430" s="42" t="n">
        <f aca="false">R430/$K$2</f>
        <v>149.58840404528</v>
      </c>
      <c r="T430" s="43" t="n">
        <f aca="false">S430-$M$2</f>
        <v>-139.700322409598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41" t="n">
        <f aca="false">(B431+C431)/2</f>
        <v>0.0625</v>
      </c>
      <c r="E431" s="15" t="n">
        <f aca="false">$C$2*(1+IF(E$3&lt;=$O$2,$D431,$D431-($D431-$I$427)*MIN(E$3-$O$2,$Q$2)/$Q$2))</f>
        <v>2635</v>
      </c>
      <c r="F431" s="15" t="n">
        <f aca="false">E431*(1+IF(F$3&lt;=$O$2,$D431,$D431-($D431-$I$427)*MIN(F$3-$O$2,$Q$2)/$Q$2))</f>
        <v>2799.6875</v>
      </c>
      <c r="G431" s="15" t="n">
        <f aca="false">F431*(1+IF(G$3&lt;=$O$2,$D431,$D431-($D431-$I$427)*MIN(G$3-$O$2,$Q$2)/$Q$2))</f>
        <v>2974.66796875</v>
      </c>
      <c r="H431" s="15" t="n">
        <f aca="false">G431*(1+IF(H$3&lt;=$O$2,$D431,$D431-($D431-$I$427)*MIN(H$3-$O$2,$Q$2)/$Q$2))</f>
        <v>3160.58471679688</v>
      </c>
      <c r="I431" s="15" t="n">
        <f aca="false">H431*(1+IF(I$3&lt;=$O$2,$D431,$D431-($D431-$I$427)*MIN(I$3-$O$2,$Q$2)/$Q$2))</f>
        <v>3358.12126159668</v>
      </c>
      <c r="J431" s="15" t="n">
        <f aca="false">I431*(1+IF(J$3&lt;=$O$2,$D431,$D431-($D431-$I$427)*MIN(J$3-$O$2,$Q$2)/$Q$2))</f>
        <v>3551.75053354034</v>
      </c>
      <c r="K431" s="15" t="n">
        <f aca="false">J431*(1+IF(K$3&lt;=$O$2,$D431,$D431-($D431-$I$427)*MIN(K$3-$O$2,$Q$2)/$Q$2))</f>
        <v>3739.35399672195</v>
      </c>
      <c r="L431" s="15" t="n">
        <f aca="false">K431*(1+IF(L$3&lt;=$O$2,$D431,$D431-($D431-$I$427)*MIN(L$3-$O$2,$Q$2)/$Q$2))</f>
        <v>3918.76820148466</v>
      </c>
      <c r="M431" s="15" t="n">
        <f aca="false">L431*(1+IF(M$3&lt;=$O$2,$D431,$D431-($D431-$I$427)*MIN(M$3-$O$2,$Q$2)/$Q$2))</f>
        <v>4087.82386169671</v>
      </c>
      <c r="N431" s="15" t="n">
        <f aca="false">M431*(1+IF(N$3&lt;=$O$2,$D431,$D431-($D431-$I$427)*MIN(N$3-$O$2,$Q$2)/$Q$2))</f>
        <v>4244.3875155997</v>
      </c>
      <c r="O431" s="15" t="n">
        <f aca="false">SUMPRODUCT(E431:N431,1/(1+$F$427)^$E$3:$N$3)*$E$2</f>
        <v>6671.20430367171</v>
      </c>
      <c r="P431" s="15" t="n">
        <f aca="false">N431*$E$2*(1+$I$427)/($F$427-$I$427)/(1+$F$427)^$N$3</f>
        <v>14037.4127152674</v>
      </c>
      <c r="Q431" s="15" t="n">
        <f aca="false">O431+P431</f>
        <v>20708.6170189391</v>
      </c>
      <c r="R431" s="15" t="n">
        <f aca="false">Q431-$G$2+$I$2</f>
        <v>19433.9470189391</v>
      </c>
      <c r="S431" s="42" t="n">
        <f aca="false">R431/$K$2</f>
        <v>546.357802050579</v>
      </c>
      <c r="T431" s="43" t="n">
        <f aca="false">S431-$M$2</f>
        <v>257.069075595702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-0.125</v>
      </c>
      <c r="C432" s="25" t="n">
        <f aca="false">IF(T431&gt;0,D431,C431)</f>
        <v>0.0625</v>
      </c>
      <c r="D432" s="41" t="n">
        <f aca="false">(B432+C432)/2</f>
        <v>-0.03125</v>
      </c>
      <c r="E432" s="15" t="n">
        <f aca="false">$C$2*(1+IF(E$3&lt;=$O$2,$D432,$D432-($D432-$I$427)*MIN(E$3-$O$2,$Q$2)/$Q$2))</f>
        <v>2402.5</v>
      </c>
      <c r="F432" s="15" t="n">
        <f aca="false">E432*(1+IF(F$3&lt;=$O$2,$D432,$D432-($D432-$I$427)*MIN(F$3-$O$2,$Q$2)/$Q$2))</f>
        <v>2327.421875</v>
      </c>
      <c r="G432" s="15" t="n">
        <f aca="false">F432*(1+IF(G$3&lt;=$O$2,$D432,$D432-($D432-$I$427)*MIN(G$3-$O$2,$Q$2)/$Q$2))</f>
        <v>2254.68994140625</v>
      </c>
      <c r="H432" s="15" t="n">
        <f aca="false">G432*(1+IF(H$3&lt;=$O$2,$D432,$D432-($D432-$I$427)*MIN(H$3-$O$2,$Q$2)/$Q$2))</f>
        <v>2184.2308807373</v>
      </c>
      <c r="I432" s="15" t="n">
        <f aca="false">H432*(1+IF(I$3&lt;=$O$2,$D432,$D432-($D432-$I$427)*MIN(I$3-$O$2,$Q$2)/$Q$2))</f>
        <v>2115.97366571426</v>
      </c>
      <c r="J432" s="15" t="n">
        <f aca="false">I432*(1+IF(J$3&lt;=$O$2,$D432,$D432-($D432-$I$427)*MIN(J$3-$O$2,$Q$2)/$Q$2))</f>
        <v>2079.28268235078</v>
      </c>
      <c r="K432" s="15" t="n">
        <f aca="false">J432*(1+IF(K$3&lt;=$O$2,$D432,$D432-($D432-$I$427)*MIN(K$3-$O$2,$Q$2)/$Q$2))</f>
        <v>2072.15074275032</v>
      </c>
      <c r="L432" s="15" t="n">
        <f aca="false">K432*(1+IF(L$3&lt;=$O$2,$D432,$D432-($D432-$I$427)*MIN(L$3-$O$2,$Q$2)/$Q$2))</f>
        <v>2093.86688253434</v>
      </c>
      <c r="M432" s="15" t="n">
        <f aca="false">L432*(1+IF(M$3&lt;=$O$2,$D432,$D432-($D432-$I$427)*MIN(M$3-$O$2,$Q$2)/$Q$2))</f>
        <v>2144.93629579935</v>
      </c>
      <c r="N432" s="15" t="n">
        <f aca="false">M432*(1+IF(N$3&lt;=$O$2,$D432,$D432-($D432-$I$427)*MIN(N$3-$O$2,$Q$2)/$Q$2))</f>
        <v>2227.08735592847</v>
      </c>
      <c r="O432" s="15" t="n">
        <f aca="false">SUMPRODUCT(E432:N432,1/(1+$F$427)^$E$3:$N$3)*$E$2</f>
        <v>4422.31936505429</v>
      </c>
      <c r="P432" s="15" t="n">
        <f aca="false">N432*$E$2*(1+$I$427)/($F$427-$I$427)/(1+$F$427)^$N$3</f>
        <v>7365.61971620642</v>
      </c>
      <c r="Q432" s="15" t="n">
        <f aca="false">O432+P432</f>
        <v>11787.9390812607</v>
      </c>
      <c r="R432" s="15" t="n">
        <f aca="false">Q432-$G$2+$I$2</f>
        <v>10513.2690812607</v>
      </c>
      <c r="S432" s="42" t="n">
        <f aca="false">R432/$K$2</f>
        <v>295.565619377585</v>
      </c>
      <c r="T432" s="43" t="n">
        <f aca="false">S432-$M$2</f>
        <v>6.27689292270748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-0.125</v>
      </c>
      <c r="C433" s="25" t="n">
        <f aca="false">IF(T432&gt;0,D432,C432)</f>
        <v>-0.03125</v>
      </c>
      <c r="D433" s="41" t="n">
        <f aca="false">(B433+C433)/2</f>
        <v>-0.078125</v>
      </c>
      <c r="E433" s="15" t="n">
        <f aca="false">$C$2*(1+IF(E$3&lt;=$O$2,$D433,$D433-($D433-$I$427)*MIN(E$3-$O$2,$Q$2)/$Q$2))</f>
        <v>2286.25</v>
      </c>
      <c r="F433" s="15" t="n">
        <f aca="false">E433*(1+IF(F$3&lt;=$O$2,$D433,$D433-($D433-$I$427)*MIN(F$3-$O$2,$Q$2)/$Q$2))</f>
        <v>2107.63671875</v>
      </c>
      <c r="G433" s="15" t="n">
        <f aca="false">F433*(1+IF(G$3&lt;=$O$2,$D433,$D433-($D433-$I$427)*MIN(G$3-$O$2,$Q$2)/$Q$2))</f>
        <v>1942.97760009766</v>
      </c>
      <c r="H433" s="15" t="n">
        <f aca="false">G433*(1+IF(H$3&lt;=$O$2,$D433,$D433-($D433-$I$427)*MIN(H$3-$O$2,$Q$2)/$Q$2))</f>
        <v>1791.18247509003</v>
      </c>
      <c r="I433" s="15" t="n">
        <f aca="false">H433*(1+IF(I$3&lt;=$O$2,$D433,$D433-($D433-$I$427)*MIN(I$3-$O$2,$Q$2)/$Q$2))</f>
        <v>1651.24634422362</v>
      </c>
      <c r="J433" s="15" t="n">
        <f aca="false">I433*(1+IF(J$3&lt;=$O$2,$D433,$D433-($D433-$I$427)*MIN(J$3-$O$2,$Q$2)/$Q$2))</f>
        <v>1560.6919947064</v>
      </c>
      <c r="K433" s="15" t="n">
        <f aca="false">J433*(1+IF(K$3&lt;=$O$2,$D433,$D433-($D433-$I$427)*MIN(K$3-$O$2,$Q$2)/$Q$2))</f>
        <v>1511.44435881344</v>
      </c>
      <c r="L433" s="15" t="n">
        <f aca="false">K433*(1+IF(L$3&lt;=$O$2,$D433,$D433-($D433-$I$427)*MIN(L$3-$O$2,$Q$2)/$Q$2))</f>
        <v>1498.94471396605</v>
      </c>
      <c r="M433" s="15" t="n">
        <f aca="false">L433*(1+IF(M$3&lt;=$O$2,$D433,$D433-($D433-$I$427)*MIN(M$3-$O$2,$Q$2)/$Q$2))</f>
        <v>1521.45136884625</v>
      </c>
      <c r="N433" s="15" t="n">
        <f aca="false">M433*(1+IF(N$3&lt;=$O$2,$D433,$D433-($D433-$I$427)*MIN(N$3-$O$2,$Q$2)/$Q$2))</f>
        <v>1579.72295627306</v>
      </c>
      <c r="O433" s="15" t="n">
        <f aca="false">SUMPRODUCT(E433:N433,1/(1+$F$427)^$E$3:$N$3)*$E$2</f>
        <v>3606.81515109135</v>
      </c>
      <c r="P433" s="15" t="n">
        <f aca="false">N433*$E$2*(1+$I$427)/($F$427-$I$427)/(1+$F$427)^$N$3</f>
        <v>5224.59908090039</v>
      </c>
      <c r="Q433" s="15" t="n">
        <f aca="false">O433+P433</f>
        <v>8831.41423199173</v>
      </c>
      <c r="R433" s="15" t="n">
        <f aca="false">Q433-$G$2+$I$2</f>
        <v>7556.74423199173</v>
      </c>
      <c r="S433" s="42" t="n">
        <f aca="false">R433/$K$2</f>
        <v>212.447124880285</v>
      </c>
      <c r="T433" s="43" t="n">
        <f aca="false">S433-$M$2</f>
        <v>-76.8416015745928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-0.078125</v>
      </c>
      <c r="C434" s="25" t="n">
        <f aca="false">IF(T433&gt;0,D433,C433)</f>
        <v>-0.03125</v>
      </c>
      <c r="D434" s="41" t="n">
        <f aca="false">(B434+C434)/2</f>
        <v>-0.0546875</v>
      </c>
      <c r="E434" s="15" t="n">
        <f aca="false">$C$2*(1+IF(E$3&lt;=$O$2,$D434,$D434-($D434-$I$427)*MIN(E$3-$O$2,$Q$2)/$Q$2))</f>
        <v>2344.375</v>
      </c>
      <c r="F434" s="15" t="n">
        <f aca="false">E434*(1+IF(F$3&lt;=$O$2,$D434,$D434-($D434-$I$427)*MIN(F$3-$O$2,$Q$2)/$Q$2))</f>
        <v>2216.1669921875</v>
      </c>
      <c r="G434" s="15" t="n">
        <f aca="false">F434*(1+IF(G$3&lt;=$O$2,$D434,$D434-($D434-$I$427)*MIN(G$3-$O$2,$Q$2)/$Q$2))</f>
        <v>2094.97035980225</v>
      </c>
      <c r="H434" s="15" t="n">
        <f aca="false">G434*(1+IF(H$3&lt;=$O$2,$D434,$D434-($D434-$I$427)*MIN(H$3-$O$2,$Q$2)/$Q$2))</f>
        <v>1980.40166825056</v>
      </c>
      <c r="I434" s="15" t="n">
        <f aca="false">H434*(1+IF(I$3&lt;=$O$2,$D434,$D434-($D434-$I$427)*MIN(I$3-$O$2,$Q$2)/$Q$2))</f>
        <v>1872.09845201811</v>
      </c>
      <c r="J434" s="15" t="n">
        <f aca="false">I434*(1+IF(J$3&lt;=$O$2,$D434,$D434-($D434-$I$427)*MIN(J$3-$O$2,$Q$2)/$Q$2))</f>
        <v>1804.53441888477</v>
      </c>
      <c r="K434" s="15" t="n">
        <f aca="false">J434*(1+IF(K$3&lt;=$O$2,$D434,$D434-($D434-$I$427)*MIN(K$3-$O$2,$Q$2)/$Q$2))</f>
        <v>1772.96860056243</v>
      </c>
      <c r="L434" s="15" t="n">
        <f aca="false">K434*(1+IF(L$3&lt;=$O$2,$D434,$D434-($D434-$I$427)*MIN(L$3-$O$2,$Q$2)/$Q$2))</f>
        <v>1774.92773086605</v>
      </c>
      <c r="M434" s="15" t="n">
        <f aca="false">L434*(1+IF(M$3&lt;=$O$2,$D434,$D434-($D434-$I$427)*MIN(M$3-$O$2,$Q$2)/$Q$2))</f>
        <v>1809.89824448344</v>
      </c>
      <c r="N434" s="15" t="n">
        <f aca="false">M434*(1+IF(N$3&lt;=$O$2,$D434,$D434-($D434-$I$427)*MIN(N$3-$O$2,$Q$2)/$Q$2))</f>
        <v>1879.21734724716</v>
      </c>
      <c r="O434" s="15" t="n">
        <f aca="false">SUMPRODUCT(E434:N434,1/(1+$F$427)^$E$3:$N$3)*$E$2</f>
        <v>3992.94939472863</v>
      </c>
      <c r="P434" s="15" t="n">
        <f aca="false">N434*$E$2*(1+$I$427)/($F$427-$I$427)/(1+$F$427)^$N$3</f>
        <v>6215.11334392641</v>
      </c>
      <c r="Q434" s="15" t="n">
        <f aca="false">O434+P434</f>
        <v>10208.062738655</v>
      </c>
      <c r="R434" s="15" t="n">
        <f aca="false">Q434-$G$2+$I$2</f>
        <v>8933.39273865504</v>
      </c>
      <c r="S434" s="42" t="n">
        <f aca="false">R434/$K$2</f>
        <v>251.149641232922</v>
      </c>
      <c r="T434" s="43" t="n">
        <f aca="false">S434-$M$2</f>
        <v>-38.1390852219557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-0.0546875</v>
      </c>
      <c r="C435" s="25" t="n">
        <f aca="false">IF(T434&gt;0,D434,C434)</f>
        <v>-0.03125</v>
      </c>
      <c r="D435" s="41" t="n">
        <f aca="false">(B435+C435)/2</f>
        <v>-0.04296875</v>
      </c>
      <c r="E435" s="15" t="n">
        <f aca="false">$C$2*(1+IF(E$3&lt;=$O$2,$D435,$D435-($D435-$I$427)*MIN(E$3-$O$2,$Q$2)/$Q$2))</f>
        <v>2373.4375</v>
      </c>
      <c r="F435" s="15" t="n">
        <f aca="false">E435*(1+IF(F$3&lt;=$O$2,$D435,$D435-($D435-$I$427)*MIN(F$3-$O$2,$Q$2)/$Q$2))</f>
        <v>2271.45385742188</v>
      </c>
      <c r="G435" s="15" t="n">
        <f aca="false">F435*(1+IF(G$3&lt;=$O$2,$D435,$D435-($D435-$I$427)*MIN(G$3-$O$2,$Q$2)/$Q$2))</f>
        <v>2173.85232448578</v>
      </c>
      <c r="H435" s="15" t="n">
        <f aca="false">G435*(1+IF(H$3&lt;=$O$2,$D435,$D435-($D435-$I$427)*MIN(H$3-$O$2,$Q$2)/$Q$2))</f>
        <v>2080.44460741803</v>
      </c>
      <c r="I435" s="15" t="n">
        <f aca="false">H435*(1+IF(I$3&lt;=$O$2,$D435,$D435-($D435-$I$427)*MIN(I$3-$O$2,$Q$2)/$Q$2))</f>
        <v>1991.05050319304</v>
      </c>
      <c r="J435" s="15" t="n">
        <f aca="false">I435*(1+IF(J$3&lt;=$O$2,$D435,$D435-($D435-$I$427)*MIN(J$3-$O$2,$Q$2)/$Q$2))</f>
        <v>1937.85958900024</v>
      </c>
      <c r="K435" s="15" t="n">
        <f aca="false">J435*(1+IF(K$3&lt;=$O$2,$D435,$D435-($D435-$I$427)*MIN(K$3-$O$2,$Q$2)/$Q$2))</f>
        <v>1917.58715537481</v>
      </c>
      <c r="L435" s="15" t="n">
        <f aca="false">K435*(1+IF(L$3&lt;=$O$2,$D435,$D435-($D435-$I$427)*MIN(L$3-$O$2,$Q$2)/$Q$2))</f>
        <v>1928.69477897232</v>
      </c>
      <c r="M435" s="15" t="n">
        <f aca="false">L435*(1+IF(M$3&lt;=$O$2,$D435,$D435-($D435-$I$427)*MIN(M$3-$O$2,$Q$2)/$Q$2))</f>
        <v>1971.21526624323</v>
      </c>
      <c r="N435" s="15" t="n">
        <f aca="false">M435*(1+IF(N$3&lt;=$O$2,$D435,$D435-($D435-$I$427)*MIN(N$3-$O$2,$Q$2)/$Q$2))</f>
        <v>2046.71281094035</v>
      </c>
      <c r="O435" s="15" t="n">
        <f aca="false">SUMPRODUCT(E435:N435,1/(1+$F$427)^$E$3:$N$3)*$E$2</f>
        <v>4201.95066510653</v>
      </c>
      <c r="P435" s="15" t="n">
        <f aca="false">N435*$E$2*(1+$I$427)/($F$427-$I$427)/(1+$F$427)^$N$3</f>
        <v>6769.06911331713</v>
      </c>
      <c r="Q435" s="15" t="n">
        <f aca="false">O435+P435</f>
        <v>10971.0197784237</v>
      </c>
      <c r="R435" s="15" t="n">
        <f aca="false">Q435-$G$2+$I$2</f>
        <v>9696.34977842366</v>
      </c>
      <c r="S435" s="42" t="n">
        <f aca="false">R435/$K$2</f>
        <v>272.599094136173</v>
      </c>
      <c r="T435" s="43" t="n">
        <f aca="false">S435-$M$2</f>
        <v>-16.6896323187052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-0.04296875</v>
      </c>
      <c r="C436" s="25" t="n">
        <f aca="false">IF(T435&gt;0,D435,C435)</f>
        <v>-0.03125</v>
      </c>
      <c r="D436" s="41" t="n">
        <f aca="false">(B436+C436)/2</f>
        <v>-0.037109375</v>
      </c>
      <c r="E436" s="15" t="n">
        <f aca="false">$C$2*(1+IF(E$3&lt;=$O$2,$D436,$D436-($D436-$I$427)*MIN(E$3-$O$2,$Q$2)/$Q$2))</f>
        <v>2387.96875</v>
      </c>
      <c r="F436" s="15" t="n">
        <f aca="false">E436*(1+IF(F$3&lt;=$O$2,$D436,$D436-($D436-$I$427)*MIN(F$3-$O$2,$Q$2)/$Q$2))</f>
        <v>2299.35272216797</v>
      </c>
      <c r="G436" s="15" t="n">
        <f aca="false">F436*(1+IF(G$3&lt;=$O$2,$D436,$D436-($D436-$I$427)*MIN(G$3-$O$2,$Q$2)/$Q$2))</f>
        <v>2214.02517974377</v>
      </c>
      <c r="H436" s="15" t="n">
        <f aca="false">G436*(1+IF(H$3&lt;=$O$2,$D436,$D436-($D436-$I$427)*MIN(H$3-$O$2,$Q$2)/$Q$2))</f>
        <v>2131.86408908921</v>
      </c>
      <c r="I436" s="15" t="n">
        <f aca="false">H436*(1+IF(I$3&lt;=$O$2,$D436,$D436-($D436-$I$427)*MIN(I$3-$O$2,$Q$2)/$Q$2))</f>
        <v>2052.75194515817</v>
      </c>
      <c r="J436" s="15" t="n">
        <f aca="false">I436*(1+IF(J$3&lt;=$O$2,$D436,$D436-($D436-$I$427)*MIN(J$3-$O$2,$Q$2)/$Q$2))</f>
        <v>2007.5349516862</v>
      </c>
      <c r="K436" s="15" t="n">
        <f aca="false">J436*(1+IF(K$3&lt;=$O$2,$D436,$D436-($D436-$I$427)*MIN(K$3-$O$2,$Q$2)/$Q$2))</f>
        <v>1993.59136673739</v>
      </c>
      <c r="L436" s="15" t="n">
        <f aca="false">K436*(1+IF(L$3&lt;=$O$2,$D436,$D436-($D436-$I$427)*MIN(L$3-$O$2,$Q$2)/$Q$2))</f>
        <v>2009.81172449501</v>
      </c>
      <c r="M436" s="15" t="n">
        <f aca="false">L436*(1+IF(M$3&lt;=$O$2,$D436,$D436-($D436-$I$427)*MIN(M$3-$O$2,$Q$2)/$Q$2))</f>
        <v>2056.4757843408</v>
      </c>
      <c r="N436" s="15" t="n">
        <f aca="false">M436*(1+IF(N$3&lt;=$O$2,$D436,$D436-($D436-$I$427)*MIN(N$3-$O$2,$Q$2)/$Q$2))</f>
        <v>2135.23880688105</v>
      </c>
      <c r="O436" s="15" t="n">
        <f aca="false">SUMPRODUCT(E436:N436,1/(1+$F$427)^$E$3:$N$3)*$E$2</f>
        <v>4310.67779938804</v>
      </c>
      <c r="P436" s="15" t="n">
        <f aca="false">N436*$E$2*(1+$I$427)/($F$427-$I$427)/(1+$F$427)^$N$3</f>
        <v>7061.85009443218</v>
      </c>
      <c r="Q436" s="15" t="n">
        <f aca="false">O436+P436</f>
        <v>11372.5278938202</v>
      </c>
      <c r="R436" s="15" t="n">
        <f aca="false">Q436-$G$2+$I$2</f>
        <v>10097.8578938202</v>
      </c>
      <c r="S436" s="42" t="n">
        <f aca="false">R436/$K$2</f>
        <v>283.886924200737</v>
      </c>
      <c r="T436" s="43" t="n">
        <f aca="false">S436-$M$2</f>
        <v>-5.40180225414082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-0.037109375</v>
      </c>
      <c r="C437" s="25" t="n">
        <f aca="false">IF(T436&gt;0,D436,C436)</f>
        <v>-0.03125</v>
      </c>
      <c r="D437" s="41" t="n">
        <f aca="false">(B437+C437)/2</f>
        <v>-0.0341796875</v>
      </c>
      <c r="E437" s="15" t="n">
        <f aca="false">$C$2*(1+IF(E$3&lt;=$O$2,$D437,$D437-($D437-$I$427)*MIN(E$3-$O$2,$Q$2)/$Q$2))</f>
        <v>2395.234375</v>
      </c>
      <c r="F437" s="15" t="n">
        <f aca="false">E437*(1+IF(F$3&lt;=$O$2,$D437,$D437-($D437-$I$427)*MIN(F$3-$O$2,$Q$2)/$Q$2))</f>
        <v>2313.36601257324</v>
      </c>
      <c r="G437" s="15" t="n">
        <f aca="false">F437*(1+IF(G$3&lt;=$O$2,$D437,$D437-($D437-$I$427)*MIN(G$3-$O$2,$Q$2)/$Q$2))</f>
        <v>2234.29588519037</v>
      </c>
      <c r="H437" s="15" t="n">
        <f aca="false">G437*(1+IF(H$3&lt;=$O$2,$D437,$D437-($D437-$I$427)*MIN(H$3-$O$2,$Q$2)/$Q$2))</f>
        <v>2157.92835005203</v>
      </c>
      <c r="I437" s="15" t="n">
        <f aca="false">H437*(1+IF(I$3&lt;=$O$2,$D437,$D437-($D437-$I$427)*MIN(I$3-$O$2,$Q$2)/$Q$2))</f>
        <v>2084.17103339986</v>
      </c>
      <c r="J437" s="15" t="n">
        <f aca="false">I437*(1+IF(J$3&lt;=$O$2,$D437,$D437-($D437-$I$427)*MIN(J$3-$O$2,$Q$2)/$Q$2))</f>
        <v>2043.14673182117</v>
      </c>
      <c r="K437" s="15" t="n">
        <f aca="false">J437*(1+IF(K$3&lt;=$O$2,$D437,$D437-($D437-$I$427)*MIN(K$3-$O$2,$Q$2)/$Q$2))</f>
        <v>2032.5472696665</v>
      </c>
      <c r="L437" s="15" t="n">
        <f aca="false">K437*(1+IF(L$3&lt;=$O$2,$D437,$D437-($D437-$I$427)*MIN(L$3-$O$2,$Q$2)/$Q$2))</f>
        <v>2051.46647372096</v>
      </c>
      <c r="M437" s="15" t="n">
        <f aca="false">L437*(1+IF(M$3&lt;=$O$2,$D437,$D437-($D437-$I$427)*MIN(M$3-$O$2,$Q$2)/$Q$2))</f>
        <v>2100.29970987807</v>
      </c>
      <c r="N437" s="15" t="n">
        <f aca="false">M437*(1+IF(N$3&lt;=$O$2,$D437,$D437-($D437-$I$427)*MIN(N$3-$O$2,$Q$2)/$Q$2))</f>
        <v>2180.7411887664</v>
      </c>
      <c r="O437" s="15" t="n">
        <f aca="false">SUMPRODUCT(E437:N437,1/(1+$F$427)^$E$3:$N$3)*$E$2</f>
        <v>4366.12965371156</v>
      </c>
      <c r="P437" s="15" t="n">
        <f aca="false">N437*$E$2*(1+$I$427)/($F$427-$I$427)/(1+$F$427)^$N$3</f>
        <v>7212.33958477789</v>
      </c>
      <c r="Q437" s="15" t="n">
        <f aca="false">O437+P437</f>
        <v>11578.4692384895</v>
      </c>
      <c r="R437" s="15" t="n">
        <f aca="false">Q437-$G$2+$I$2</f>
        <v>10303.7992384895</v>
      </c>
      <c r="S437" s="42" t="n">
        <f aca="false">R437/$K$2</f>
        <v>289.676672434339</v>
      </c>
      <c r="T437" s="43" t="n">
        <f aca="false">S437-$M$2</f>
        <v>0.387945979461676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-0.037109375</v>
      </c>
      <c r="C438" s="25" t="n">
        <f aca="false">IF(T437&gt;0,D437,C437)</f>
        <v>-0.0341796875</v>
      </c>
      <c r="D438" s="41" t="n">
        <f aca="false">(B438+C438)/2</f>
        <v>-0.03564453125</v>
      </c>
      <c r="E438" s="15" t="n">
        <f aca="false">$C$2*(1+IF(E$3&lt;=$O$2,$D438,$D438-($D438-$I$427)*MIN(E$3-$O$2,$Q$2)/$Q$2))</f>
        <v>2391.6015625</v>
      </c>
      <c r="F438" s="15" t="n">
        <f aca="false">E438*(1+IF(F$3&lt;=$O$2,$D438,$D438-($D438-$I$427)*MIN(F$3-$O$2,$Q$2)/$Q$2))</f>
        <v>2306.35404586792</v>
      </c>
      <c r="G438" s="15" t="n">
        <f aca="false">F438*(1+IF(G$3&lt;=$O$2,$D438,$D438-($D438-$I$427)*MIN(G$3-$O$2,$Q$2)/$Q$2))</f>
        <v>2224.14513700642</v>
      </c>
      <c r="H438" s="15" t="n">
        <f aca="false">G438*(1+IF(H$3&lt;=$O$2,$D438,$D438-($D438-$I$427)*MIN(H$3-$O$2,$Q$2)/$Q$2))</f>
        <v>2144.86652616586</v>
      </c>
      <c r="I438" s="15" t="n">
        <f aca="false">H438*(1+IF(I$3&lt;=$O$2,$D438,$D438-($D438-$I$427)*MIN(I$3-$O$2,$Q$2)/$Q$2))</f>
        <v>2068.41376424686</v>
      </c>
      <c r="J438" s="15" t="n">
        <f aca="false">I438*(1+IF(J$3&lt;=$O$2,$D438,$D438-($D438-$I$427)*MIN(J$3-$O$2,$Q$2)/$Q$2))</f>
        <v>2025.27570243489</v>
      </c>
      <c r="K438" s="15" t="n">
        <f aca="false">J438*(1+IF(K$3&lt;=$O$2,$D438,$D438-($D438-$I$427)*MIN(K$3-$O$2,$Q$2)/$Q$2))</f>
        <v>2012.98892435701</v>
      </c>
      <c r="L438" s="15" t="n">
        <f aca="false">K438*(1+IF(L$3&lt;=$O$2,$D438,$D438-($D438-$I$427)*MIN(L$3-$O$2,$Q$2)/$Q$2))</f>
        <v>2030.54659119067</v>
      </c>
      <c r="M438" s="15" t="n">
        <f aca="false">L438*(1+IF(M$3&lt;=$O$2,$D438,$D438-($D438-$I$427)*MIN(M$3-$O$2,$Q$2)/$Q$2))</f>
        <v>2078.2869624599</v>
      </c>
      <c r="N438" s="15" t="n">
        <f aca="false">M438*(1+IF(N$3&lt;=$O$2,$D438,$D438-($D438-$I$427)*MIN(N$3-$O$2,$Q$2)/$Q$2))</f>
        <v>2157.88535312211</v>
      </c>
      <c r="O438" s="15" t="n">
        <f aca="false">SUMPRODUCT(E438:N438,1/(1+$F$427)^$E$3:$N$3)*$E$2</f>
        <v>4338.31207650344</v>
      </c>
      <c r="P438" s="15" t="n">
        <f aca="false">N438*$E$2*(1+$I$427)/($F$427-$I$427)/(1+$F$427)^$N$3</f>
        <v>7136.74874941897</v>
      </c>
      <c r="Q438" s="15" t="n">
        <f aca="false">O438+P438</f>
        <v>11475.0608259224</v>
      </c>
      <c r="R438" s="15" t="n">
        <f aca="false">Q438-$G$2+$I$2</f>
        <v>10200.3908259224</v>
      </c>
      <c r="S438" s="42" t="n">
        <f aca="false">R438/$K$2</f>
        <v>286.769491872995</v>
      </c>
      <c r="T438" s="43" t="n">
        <f aca="false">S438-$M$2</f>
        <v>-2.51923458188321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-0.03564453125</v>
      </c>
      <c r="C439" s="25" t="n">
        <f aca="false">IF(T438&gt;0,D438,C438)</f>
        <v>-0.0341796875</v>
      </c>
      <c r="D439" s="41" t="n">
        <f aca="false">(B439+C439)/2</f>
        <v>-0.034912109375</v>
      </c>
      <c r="E439" s="15" t="n">
        <f aca="false">$C$2*(1+IF(E$3&lt;=$O$2,$D439,$D439-($D439-$I$427)*MIN(E$3-$O$2,$Q$2)/$Q$2))</f>
        <v>2393.41796875</v>
      </c>
      <c r="F439" s="15" t="n">
        <f aca="false">E439*(1+IF(F$3&lt;=$O$2,$D439,$D439-($D439-$I$427)*MIN(F$3-$O$2,$Q$2)/$Q$2))</f>
        <v>2309.85869884491</v>
      </c>
      <c r="G439" s="15" t="n">
        <f aca="false">F439*(1+IF(G$3&lt;=$O$2,$D439,$D439-($D439-$I$427)*MIN(G$3-$O$2,$Q$2)/$Q$2))</f>
        <v>2229.21665931004</v>
      </c>
      <c r="H439" s="15" t="n">
        <f aca="false">G439*(1+IF(H$3&lt;=$O$2,$D439,$D439-($D439-$I$427)*MIN(H$3-$O$2,$Q$2)/$Q$2))</f>
        <v>2151.39000347964</v>
      </c>
      <c r="I439" s="15" t="n">
        <f aca="false">H439*(1+IF(I$3&lt;=$O$2,$D439,$D439-($D439-$I$427)*MIN(I$3-$O$2,$Q$2)/$Q$2))</f>
        <v>2076.28044036987</v>
      </c>
      <c r="J439" s="15" t="n">
        <f aca="false">I439*(1+IF(J$3&lt;=$O$2,$D439,$D439-($D439-$I$427)*MIN(J$3-$O$2,$Q$2)/$Q$2))</f>
        <v>2034.19488468121</v>
      </c>
      <c r="K439" s="15" t="n">
        <f aca="false">J439*(1+IF(K$3&lt;=$O$2,$D439,$D439-($D439-$I$427)*MIN(K$3-$O$2,$Q$2)/$Q$2))</f>
        <v>2022.7479297321</v>
      </c>
      <c r="L439" s="15" t="n">
        <f aca="false">K439*(1+IF(L$3&lt;=$O$2,$D439,$D439-($D439-$I$427)*MIN(L$3-$O$2,$Q$2)/$Q$2))</f>
        <v>2040.983318373</v>
      </c>
      <c r="M439" s="15" t="n">
        <f aca="false">L439*(1+IF(M$3&lt;=$O$2,$D439,$D439-($D439-$I$427)*MIN(M$3-$O$2,$Q$2)/$Q$2))</f>
        <v>2089.26804067923</v>
      </c>
      <c r="N439" s="15" t="n">
        <f aca="false">M439*(1+IF(N$3&lt;=$O$2,$D439,$D439-($D439-$I$427)*MIN(N$3-$O$2,$Q$2)/$Q$2))</f>
        <v>2169.28700663724</v>
      </c>
      <c r="O439" s="15" t="n">
        <f aca="false">SUMPRODUCT(E439:N439,1/(1+$F$427)^$E$3:$N$3)*$E$2</f>
        <v>4352.19788008753</v>
      </c>
      <c r="P439" s="15" t="n">
        <f aca="false">N439*$E$2*(1+$I$427)/($F$427-$I$427)/(1+$F$427)^$N$3</f>
        <v>7174.45730346595</v>
      </c>
      <c r="Q439" s="15" t="n">
        <f aca="false">O439+P439</f>
        <v>11526.6551835535</v>
      </c>
      <c r="R439" s="15" t="n">
        <f aca="false">Q439-$G$2+$I$2</f>
        <v>10251.9851835535</v>
      </c>
      <c r="S439" s="42" t="n">
        <f aca="false">R439/$K$2</f>
        <v>288.219993914914</v>
      </c>
      <c r="T439" s="43" t="n">
        <f aca="false">S439-$M$2</f>
        <v>-1.06873253996406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-0.034912109375</v>
      </c>
      <c r="C440" s="25" t="n">
        <f aca="false">IF(T439&gt;0,D439,C439)</f>
        <v>-0.0341796875</v>
      </c>
      <c r="D440" s="41" t="n">
        <f aca="false">(B440+C440)/2</f>
        <v>-0.0345458984375</v>
      </c>
      <c r="E440" s="15" t="n">
        <f aca="false">$C$2*(1+IF(E$3&lt;=$O$2,$D440,$D440-($D440-$I$427)*MIN(E$3-$O$2,$Q$2)/$Q$2))</f>
        <v>2394.326171875</v>
      </c>
      <c r="F440" s="15" t="n">
        <f aca="false">E440*(1+IF(F$3&lt;=$O$2,$D440,$D440-($D440-$I$427)*MIN(F$3-$O$2,$Q$2)/$Q$2))</f>
        <v>2311.61202311516</v>
      </c>
      <c r="G440" s="15" t="n">
        <f aca="false">F440*(1+IF(G$3&lt;=$O$2,$D440,$D440-($D440-$I$427)*MIN(G$3-$O$2,$Q$2)/$Q$2))</f>
        <v>2231.75530893772</v>
      </c>
      <c r="H440" s="15" t="n">
        <f aca="false">G440*(1+IF(H$3&lt;=$O$2,$D440,$D440-($D440-$I$427)*MIN(H$3-$O$2,$Q$2)/$Q$2))</f>
        <v>2154.6573166978</v>
      </c>
      <c r="I440" s="15" t="n">
        <f aca="false">H440*(1+IF(I$3&lt;=$O$2,$D440,$D440-($D440-$I$427)*MIN(I$3-$O$2,$Q$2)/$Q$2))</f>
        <v>2080.22274386755</v>
      </c>
      <c r="J440" s="15" t="n">
        <f aca="false">I440*(1+IF(J$3&lt;=$O$2,$D440,$D440-($D440-$I$427)*MIN(J$3-$O$2,$Q$2)/$Q$2))</f>
        <v>2038.66671917595</v>
      </c>
      <c r="K440" s="15" t="n">
        <f aca="false">J440*(1+IF(K$3&lt;=$O$2,$D440,$D440-($D440-$I$427)*MIN(K$3-$O$2,$Q$2)/$Q$2))</f>
        <v>2027.64254925659</v>
      </c>
      <c r="L440" s="15" t="n">
        <f aca="false">K440*(1+IF(L$3&lt;=$O$2,$D440,$D440-($D440-$I$427)*MIN(L$3-$O$2,$Q$2)/$Q$2))</f>
        <v>2046.21908160884</v>
      </c>
      <c r="M440" s="15" t="n">
        <f aca="false">L440*(1+IF(M$3&lt;=$O$2,$D440,$D440-($D440-$I$427)*MIN(M$3-$O$2,$Q$2)/$Q$2))</f>
        <v>2094.7775389545</v>
      </c>
      <c r="N440" s="15" t="n">
        <f aca="false">M440*(1+IF(N$3&lt;=$O$2,$D440,$D440-($D440-$I$427)*MIN(N$3-$O$2,$Q$2)/$Q$2))</f>
        <v>2175.00751869646</v>
      </c>
      <c r="O440" s="15" t="n">
        <f aca="false">SUMPRODUCT(E440:N440,1/(1+$F$427)^$E$3:$N$3)*$E$2</f>
        <v>4359.15801155902</v>
      </c>
      <c r="P440" s="15" t="n">
        <f aca="false">N440*$E$2*(1+$I$427)/($F$427-$I$427)/(1+$F$427)^$N$3</f>
        <v>7193.37668545518</v>
      </c>
      <c r="Q440" s="15" t="n">
        <f aca="false">O440+P440</f>
        <v>11552.5346970142</v>
      </c>
      <c r="R440" s="15" t="n">
        <f aca="false">Q440-$G$2+$I$2</f>
        <v>10277.8646970142</v>
      </c>
      <c r="S440" s="42" t="n">
        <f aca="false">R440/$K$2</f>
        <v>288.947559657414</v>
      </c>
      <c r="T440" s="43" t="n">
        <f aca="false">S440-$M$2</f>
        <v>-0.341166797464211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-0.0345458984375</v>
      </c>
      <c r="C441" s="25" t="n">
        <f aca="false">IF(T440&gt;0,D440,C440)</f>
        <v>-0.0341796875</v>
      </c>
      <c r="D441" s="41" t="n">
        <f aca="false">(B441+C441)/2</f>
        <v>-0.03436279296875</v>
      </c>
      <c r="E441" s="15" t="n">
        <f aca="false">$C$2*(1+IF(E$3&lt;=$O$2,$D441,$D441-($D441-$I$427)*MIN(E$3-$O$2,$Q$2)/$Q$2))</f>
        <v>2394.7802734375</v>
      </c>
      <c r="F441" s="15" t="n">
        <f aca="false">E441*(1+IF(F$3&lt;=$O$2,$D441,$D441-($D441-$I$427)*MIN(F$3-$O$2,$Q$2)/$Q$2))</f>
        <v>2312.48893469572</v>
      </c>
      <c r="G441" s="15" t="n">
        <f aca="false">F441*(1+IF(G$3&lt;=$O$2,$D441,$D441-($D441-$I$427)*MIN(G$3-$O$2,$Q$2)/$Q$2))</f>
        <v>2233.02535619025</v>
      </c>
      <c r="H441" s="15" t="n">
        <f aca="false">G441*(1+IF(H$3&lt;=$O$2,$D441,$D441-($D441-$I$427)*MIN(H$3-$O$2,$Q$2)/$Q$2))</f>
        <v>2156.29236818151</v>
      </c>
      <c r="I441" s="15" t="n">
        <f aca="false">H441*(1+IF(I$3&lt;=$O$2,$D441,$D441-($D441-$I$427)*MIN(I$3-$O$2,$Q$2)/$Q$2))</f>
        <v>2082.1961399536</v>
      </c>
      <c r="J441" s="15" t="n">
        <f aca="false">I441*(1+IF(J$3&lt;=$O$2,$D441,$D441-($D441-$I$427)*MIN(J$3-$O$2,$Q$2)/$Q$2))</f>
        <v>2040.90570248359</v>
      </c>
      <c r="K441" s="15" t="n">
        <f aca="false">J441*(1+IF(K$3&lt;=$O$2,$D441,$D441-($D441-$I$427)*MIN(K$3-$O$2,$Q$2)/$Q$2))</f>
        <v>2030.09364577173</v>
      </c>
      <c r="L441" s="15" t="n">
        <f aca="false">K441*(1+IF(L$3&lt;=$O$2,$D441,$D441-($D441-$I$427)*MIN(L$3-$O$2,$Q$2)/$Q$2))</f>
        <v>2048.84132268884</v>
      </c>
      <c r="M441" s="15" t="n">
        <f aca="false">L441*(1+IF(M$3&lt;=$O$2,$D441,$D441-($D441-$I$427)*MIN(M$3-$O$2,$Q$2)/$Q$2))</f>
        <v>2097.53703877655</v>
      </c>
      <c r="N441" s="15" t="n">
        <f aca="false">M441*(1+IF(N$3&lt;=$O$2,$D441,$D441-($D441-$I$427)*MIN(N$3-$O$2,$Q$2)/$Q$2))</f>
        <v>2177.87270736169</v>
      </c>
      <c r="O441" s="15" t="n">
        <f aca="false">SUMPRODUCT(E441:N441,1/(1+$F$427)^$E$3:$N$3)*$E$2</f>
        <v>4362.64239266309</v>
      </c>
      <c r="P441" s="15" t="n">
        <f aca="false">N441*$E$2*(1+$I$427)/($F$427-$I$427)/(1+$F$427)^$N$3</f>
        <v>7202.85269009733</v>
      </c>
      <c r="Q441" s="15" t="n">
        <f aca="false">O441+P441</f>
        <v>11565.4950827604</v>
      </c>
      <c r="R441" s="15" t="n">
        <f aca="false">Q441-$G$2+$I$2</f>
        <v>10290.8250827604</v>
      </c>
      <c r="S441" s="42" t="n">
        <f aca="false">R441/$K$2</f>
        <v>289.311922484128</v>
      </c>
      <c r="T441" s="43" t="n">
        <f aca="false">S441-$M$2</f>
        <v>0.0231960292498457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-0.0345458984375</v>
      </c>
      <c r="C442" s="25" t="n">
        <f aca="false">IF(T441&gt;0,D441,C441)</f>
        <v>-0.03436279296875</v>
      </c>
      <c r="D442" s="41" t="n">
        <f aca="false">(B442+C442)/2</f>
        <v>-0.034454345703125</v>
      </c>
      <c r="E442" s="15" t="n">
        <f aca="false">$C$2*(1+IF(E$3&lt;=$O$2,$D442,$D442-($D442-$I$427)*MIN(E$3-$O$2,$Q$2)/$Q$2))</f>
        <v>2394.55322265625</v>
      </c>
      <c r="F442" s="15" t="n">
        <f aca="false">E442*(1+IF(F$3&lt;=$O$2,$D442,$D442-($D442-$I$427)*MIN(F$3-$O$2,$Q$2)/$Q$2))</f>
        <v>2312.05045811832</v>
      </c>
      <c r="G442" s="15" t="n">
        <f aca="false">F442*(1+IF(G$3&lt;=$O$2,$D442,$D442-($D442-$I$427)*MIN(G$3-$O$2,$Q$2)/$Q$2))</f>
        <v>2232.39027235124</v>
      </c>
      <c r="H442" s="15" t="n">
        <f aca="false">G442*(1+IF(H$3&lt;=$O$2,$D442,$D442-($D442-$I$427)*MIN(H$3-$O$2,$Q$2)/$Q$2))</f>
        <v>2155.47472616336</v>
      </c>
      <c r="I442" s="15" t="n">
        <f aca="false">H442*(1+IF(I$3&lt;=$O$2,$D442,$D442-($D442-$I$427)*MIN(I$3-$O$2,$Q$2)/$Q$2))</f>
        <v>2081.20925479378</v>
      </c>
      <c r="J442" s="15" t="n">
        <f aca="false">I442*(1+IF(J$3&lt;=$O$2,$D442,$D442-($D442-$I$427)*MIN(J$3-$O$2,$Q$2)/$Q$2))</f>
        <v>2039.78595516933</v>
      </c>
      <c r="K442" s="15" t="n">
        <f aca="false">J442*(1+IF(K$3&lt;=$O$2,$D442,$D442-($D442-$I$427)*MIN(K$3-$O$2,$Q$2)/$Q$2))</f>
        <v>2028.86778172666</v>
      </c>
      <c r="L442" s="15" t="n">
        <f aca="false">K442*(1+IF(L$3&lt;=$O$2,$D442,$D442-($D442-$I$427)*MIN(L$3-$O$2,$Q$2)/$Q$2))</f>
        <v>2047.52983857572</v>
      </c>
      <c r="M442" s="15" t="n">
        <f aca="false">L442*(1+IF(M$3&lt;=$O$2,$D442,$D442-($D442-$I$427)*MIN(M$3-$O$2,$Q$2)/$Q$2))</f>
        <v>2096.15689265053</v>
      </c>
      <c r="N442" s="15" t="n">
        <f aca="false">M442*(1+IF(N$3&lt;=$O$2,$D442,$D442-($D442-$I$427)*MIN(N$3-$O$2,$Q$2)/$Q$2))</f>
        <v>2176.43970163904</v>
      </c>
      <c r="O442" s="15" t="n">
        <f aca="false">SUMPRODUCT(E442:N442,1/(1+$F$427)^$E$3:$N$3)*$E$2</f>
        <v>4360.8998422602</v>
      </c>
      <c r="P442" s="15" t="n">
        <f aca="false">N442*$E$2*(1+$I$427)/($F$427-$I$427)/(1+$F$427)^$N$3</f>
        <v>7198.11332719086</v>
      </c>
      <c r="Q442" s="15" t="n">
        <f aca="false">O442+P442</f>
        <v>11559.0131694511</v>
      </c>
      <c r="R442" s="15" t="n">
        <f aca="false">Q442-$G$2+$I$2</f>
        <v>10284.3431694511</v>
      </c>
      <c r="S442" s="42" t="n">
        <f aca="false">R442/$K$2</f>
        <v>289.12969270315</v>
      </c>
      <c r="T442" s="43" t="n">
        <f aca="false">S442-$M$2</f>
        <v>-0.159033751727293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-0.034454345703125</v>
      </c>
      <c r="C443" s="25" t="n">
        <f aca="false">IF(T442&gt;0,D442,C442)</f>
        <v>-0.03436279296875</v>
      </c>
      <c r="D443" s="41" t="n">
        <f aca="false">(B443+C443)/2</f>
        <v>-0.0344085693359375</v>
      </c>
      <c r="E443" s="15" t="n">
        <f aca="false">$C$2*(1+IF(E$3&lt;=$O$2,$D443,$D443-($D443-$I$427)*MIN(E$3-$O$2,$Q$2)/$Q$2))</f>
        <v>2394.66674804688</v>
      </c>
      <c r="F443" s="15" t="n">
        <f aca="false">E443*(1+IF(F$3&lt;=$O$2,$D443,$D443-($D443-$I$427)*MIN(F$3-$O$2,$Q$2)/$Q$2))</f>
        <v>2312.26969121024</v>
      </c>
      <c r="G443" s="15" t="n">
        <f aca="false">F443*(1+IF(G$3&lt;=$O$2,$D443,$D443-($D443-$I$427)*MIN(G$3-$O$2,$Q$2)/$Q$2))</f>
        <v>2232.70779921685</v>
      </c>
      <c r="H443" s="15" t="n">
        <f aca="false">G443*(1+IF(H$3&lt;=$O$2,$D443,$D443-($D443-$I$427)*MIN(H$3-$O$2,$Q$2)/$Q$2))</f>
        <v>2155.8835181006</v>
      </c>
      <c r="I443" s="15" t="n">
        <f aca="false">H443*(1+IF(I$3&lt;=$O$2,$D443,$D443-($D443-$I$427)*MIN(I$3-$O$2,$Q$2)/$Q$2))</f>
        <v>2081.70265058784</v>
      </c>
      <c r="J443" s="15" t="n">
        <f aca="false">I443*(1+IF(J$3&lt;=$O$2,$D443,$D443-($D443-$I$427)*MIN(J$3-$O$2,$Q$2)/$Q$2))</f>
        <v>2040.34576489969</v>
      </c>
      <c r="K443" s="15" t="n">
        <f aca="false">J443*(1+IF(K$3&lt;=$O$2,$D443,$D443-($D443-$I$427)*MIN(K$3-$O$2,$Q$2)/$Q$2))</f>
        <v>2029.48063478545</v>
      </c>
      <c r="L443" s="15" t="n">
        <f aca="false">K443*(1+IF(L$3&lt;=$O$2,$D443,$D443-($D443-$I$427)*MIN(L$3-$O$2,$Q$2)/$Q$2))</f>
        <v>2048.18548971764</v>
      </c>
      <c r="M443" s="15" t="n">
        <f aca="false">L443*(1+IF(M$3&lt;=$O$2,$D443,$D443-($D443-$I$427)*MIN(M$3-$O$2,$Q$2)/$Q$2))</f>
        <v>2096.84686663543</v>
      </c>
      <c r="N443" s="15" t="n">
        <f aca="false">M443*(1+IF(N$3&lt;=$O$2,$D443,$D443-($D443-$I$427)*MIN(N$3-$O$2,$Q$2)/$Q$2))</f>
        <v>2177.15610162756</v>
      </c>
      <c r="O443" s="15" t="n">
        <f aca="false">SUMPRODUCT(E443:N443,1/(1+$F$427)^$E$3:$N$3)*$E$2</f>
        <v>4361.77102748116</v>
      </c>
      <c r="P443" s="15" t="n">
        <f aca="false">N443*$E$2*(1+$I$427)/($F$427-$I$427)/(1+$F$427)^$N$3</f>
        <v>7200.48266841409</v>
      </c>
      <c r="Q443" s="15" t="n">
        <f aca="false">O443+P443</f>
        <v>11562.2536958953</v>
      </c>
      <c r="R443" s="15" t="n">
        <f aca="false">Q443-$G$2+$I$2</f>
        <v>10287.5836958953</v>
      </c>
      <c r="S443" s="42" t="n">
        <f aca="false">R443/$K$2</f>
        <v>289.220795498883</v>
      </c>
      <c r="T443" s="43" t="n">
        <f aca="false">S443-$M$2</f>
        <v>-0.0679309559951662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-0.0344085693359375</v>
      </c>
      <c r="C444" s="25" t="n">
        <f aca="false">IF(T443&gt;0,D443,C443)</f>
        <v>-0.03436279296875</v>
      </c>
      <c r="D444" s="41" t="n">
        <f aca="false">(B444+C444)/2</f>
        <v>-0.0343856811523438</v>
      </c>
      <c r="E444" s="15" t="n">
        <f aca="false">$C$2*(1+IF(E$3&lt;=$O$2,$D444,$D444-($D444-$I$427)*MIN(E$3-$O$2,$Q$2)/$Q$2))</f>
        <v>2394.72351074219</v>
      </c>
      <c r="F444" s="15" t="n">
        <f aca="false">E444*(1+IF(F$3&lt;=$O$2,$D444,$D444-($D444-$I$427)*MIN(F$3-$O$2,$Q$2)/$Q$2))</f>
        <v>2312.37931165379</v>
      </c>
      <c r="G444" s="15" t="n">
        <f aca="false">F444*(1+IF(G$3&lt;=$O$2,$D444,$D444-($D444-$I$427)*MIN(G$3-$O$2,$Q$2)/$Q$2))</f>
        <v>2232.86657393998</v>
      </c>
      <c r="H444" s="15" t="n">
        <f aca="false">G444*(1+IF(H$3&lt;=$O$2,$D444,$D444-($D444-$I$427)*MIN(H$3-$O$2,$Q$2)/$Q$2))</f>
        <v>2156.08793587276</v>
      </c>
      <c r="I444" s="15" t="n">
        <f aca="false">H444*(1+IF(I$3&lt;=$O$2,$D444,$D444-($D444-$I$427)*MIN(I$3-$O$2,$Q$2)/$Q$2))</f>
        <v>2081.94938357342</v>
      </c>
      <c r="J444" s="15" t="n">
        <f aca="false">I444*(1+IF(J$3&lt;=$O$2,$D444,$D444-($D444-$I$427)*MIN(J$3-$O$2,$Q$2)/$Q$2))</f>
        <v>2040.62571770849</v>
      </c>
      <c r="K444" s="15" t="n">
        <f aca="false">J444*(1+IF(K$3&lt;=$O$2,$D444,$D444-($D444-$I$427)*MIN(K$3-$O$2,$Q$2)/$Q$2))</f>
        <v>2029.78712053555</v>
      </c>
      <c r="L444" s="15" t="n">
        <f aca="false">K444*(1+IF(L$3&lt;=$O$2,$D444,$D444-($D444-$I$427)*MIN(L$3-$O$2,$Q$2)/$Q$2))</f>
        <v>2048.51338347191</v>
      </c>
      <c r="M444" s="15" t="n">
        <f aca="false">L444*(1+IF(M$3&lt;=$O$2,$D444,$D444-($D444-$I$427)*MIN(M$3-$O$2,$Q$2)/$Q$2))</f>
        <v>2097.19192793341</v>
      </c>
      <c r="N444" s="15" t="n">
        <f aca="false">M444*(1+IF(N$3&lt;=$O$2,$D444,$D444-($D444-$I$427)*MIN(N$3-$O$2,$Q$2)/$Q$2))</f>
        <v>2177.51437877326</v>
      </c>
      <c r="O444" s="15" t="n">
        <f aca="false">SUMPRODUCT(E444:N444,1/(1+$F$427)^$E$3:$N$3)*$E$2</f>
        <v>4362.20668757478</v>
      </c>
      <c r="P444" s="15" t="n">
        <f aca="false">N444*$E$2*(1+$I$427)/($F$427-$I$427)/(1+$F$427)^$N$3</f>
        <v>7201.66759418775</v>
      </c>
      <c r="Q444" s="15" t="n">
        <f aca="false">O444+P444</f>
        <v>11563.8742817625</v>
      </c>
      <c r="R444" s="15" t="n">
        <f aca="false">Q444-$G$2+$I$2</f>
        <v>10289.2042817625</v>
      </c>
      <c r="S444" s="42" t="n">
        <f aca="false">R444/$K$2</f>
        <v>289.26635596746</v>
      </c>
      <c r="T444" s="43" t="n">
        <f aca="false">S444-$M$2</f>
        <v>-0.0223704874181863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-0.0343856811523438</v>
      </c>
      <c r="C445" s="25" t="n">
        <f aca="false">IF(T444&gt;0,D444,C444)</f>
        <v>-0.03436279296875</v>
      </c>
      <c r="D445" s="41" t="n">
        <f aca="false">(B445+C445)/2</f>
        <v>-0.0343742370605469</v>
      </c>
      <c r="E445" s="15" t="n">
        <f aca="false">$C$2*(1+IF(E$3&lt;=$O$2,$D445,$D445-($D445-$I$427)*MIN(E$3-$O$2,$Q$2)/$Q$2))</f>
        <v>2394.75189208984</v>
      </c>
      <c r="F445" s="15" t="n">
        <f aca="false">E445*(1+IF(F$3&lt;=$O$2,$D445,$D445-($D445-$I$427)*MIN(F$3-$O$2,$Q$2)/$Q$2))</f>
        <v>2312.43412284995</v>
      </c>
      <c r="G445" s="15" t="n">
        <f aca="false">F445*(1+IF(G$3&lt;=$O$2,$D445,$D445-($D445-$I$427)*MIN(G$3-$O$2,$Q$2)/$Q$2))</f>
        <v>2232.94596412421</v>
      </c>
      <c r="H445" s="15" t="n">
        <f aca="false">G445*(1+IF(H$3&lt;=$O$2,$D445,$D445-($D445-$I$427)*MIN(H$3-$O$2,$Q$2)/$Q$2))</f>
        <v>2156.19015021002</v>
      </c>
      <c r="I445" s="15" t="n">
        <f aca="false">H445*(1+IF(I$3&lt;=$O$2,$D445,$D445-($D445-$I$427)*MIN(I$3-$O$2,$Q$2)/$Q$2))</f>
        <v>2082.07275883908</v>
      </c>
      <c r="J445" s="15" t="n">
        <f aca="false">I445*(1+IF(J$3&lt;=$O$2,$D445,$D445-($D445-$I$427)*MIN(J$3-$O$2,$Q$2)/$Q$2))</f>
        <v>2040.76570610007</v>
      </c>
      <c r="K445" s="15" t="n">
        <f aca="false">J445*(1+IF(K$3&lt;=$O$2,$D445,$D445-($D445-$I$427)*MIN(K$3-$O$2,$Q$2)/$Q$2))</f>
        <v>2029.94037821762</v>
      </c>
      <c r="L445" s="15" t="n">
        <f aca="false">K445*(1+IF(L$3&lt;=$O$2,$D445,$D445-($D445-$I$427)*MIN(L$3-$O$2,$Q$2)/$Q$2))</f>
        <v>2048.67734739721</v>
      </c>
      <c r="M445" s="15" t="n">
        <f aca="false">L445*(1+IF(M$3&lt;=$O$2,$D445,$D445-($D445-$I$427)*MIN(M$3-$O$2,$Q$2)/$Q$2))</f>
        <v>2097.36447716146</v>
      </c>
      <c r="N445" s="15" t="n">
        <f aca="false">M445*(1+IF(N$3&lt;=$O$2,$D445,$D445-($D445-$I$427)*MIN(N$3-$O$2,$Q$2)/$Q$2))</f>
        <v>2177.69353663674</v>
      </c>
      <c r="O445" s="15" t="n">
        <f aca="false">SUMPRODUCT(E445:N445,1/(1+$F$427)^$E$3:$N$3)*$E$2</f>
        <v>4362.42453449432</v>
      </c>
      <c r="P445" s="15" t="n">
        <f aca="false">N445*$E$2*(1+$I$427)/($F$427-$I$427)/(1+$F$427)^$N$3</f>
        <v>7202.26012087424</v>
      </c>
      <c r="Q445" s="15" t="n">
        <f aca="false">O445+P445</f>
        <v>11564.6846553686</v>
      </c>
      <c r="R445" s="15" t="n">
        <f aca="false">Q445-$G$2+$I$2</f>
        <v>10290.0146553686</v>
      </c>
      <c r="S445" s="42" t="n">
        <f aca="false">R445/$K$2</f>
        <v>289.289138469738</v>
      </c>
      <c r="T445" s="43" t="n">
        <f aca="false">S445-$M$2</f>
        <v>0.000412014859875853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-0.0343856811523438</v>
      </c>
      <c r="C446" s="25" t="n">
        <f aca="false">IF(T445&gt;0,D445,C445)</f>
        <v>-0.0343742370605469</v>
      </c>
      <c r="D446" s="41" t="n">
        <f aca="false">(B446+C446)/2</f>
        <v>-0.0343799591064453</v>
      </c>
      <c r="E446" s="15" t="n">
        <f aca="false">$C$2*(1+IF(E$3&lt;=$O$2,$D446,$D446-($D446-$I$427)*MIN(E$3-$O$2,$Q$2)/$Q$2))</f>
        <v>2394.73770141602</v>
      </c>
      <c r="F446" s="15" t="n">
        <f aca="false">E446*(1+IF(F$3&lt;=$O$2,$D446,$D446-($D446-$I$427)*MIN(F$3-$O$2,$Q$2)/$Q$2))</f>
        <v>2312.40671717067</v>
      </c>
      <c r="G446" s="15" t="n">
        <f aca="false">F446*(1+IF(G$3&lt;=$O$2,$D446,$D446-($D446-$I$427)*MIN(G$3-$O$2,$Q$2)/$Q$2))</f>
        <v>2232.90626879687</v>
      </c>
      <c r="H446" s="15" t="n">
        <f aca="false">G446*(1+IF(H$3&lt;=$O$2,$D446,$D446-($D446-$I$427)*MIN(H$3-$O$2,$Q$2)/$Q$2))</f>
        <v>2156.13904258711</v>
      </c>
      <c r="I446" s="15" t="n">
        <f aca="false">H446*(1+IF(I$3&lt;=$O$2,$D446,$D446-($D446-$I$427)*MIN(I$3-$O$2,$Q$2)/$Q$2))</f>
        <v>2082.01107047516</v>
      </c>
      <c r="J446" s="15" t="n">
        <f aca="false">I446*(1+IF(J$3&lt;=$O$2,$D446,$D446-($D446-$I$427)*MIN(J$3-$O$2,$Q$2)/$Q$2))</f>
        <v>2040.69571090531</v>
      </c>
      <c r="K446" s="15" t="n">
        <f aca="false">J446*(1+IF(K$3&lt;=$O$2,$D446,$D446-($D446-$I$427)*MIN(K$3-$O$2,$Q$2)/$Q$2))</f>
        <v>2029.86374814261</v>
      </c>
      <c r="L446" s="15" t="n">
        <f aca="false">K446*(1+IF(L$3&lt;=$O$2,$D446,$D446-($D446-$I$427)*MIN(L$3-$O$2,$Q$2)/$Q$2))</f>
        <v>2048.59536401381</v>
      </c>
      <c r="M446" s="15" t="n">
        <f aca="false">L446*(1+IF(M$3&lt;=$O$2,$D446,$D446-($D446-$I$427)*MIN(M$3-$O$2,$Q$2)/$Q$2))</f>
        <v>2097.2782009991</v>
      </c>
      <c r="N446" s="15" t="n">
        <f aca="false">M446*(1+IF(N$3&lt;=$O$2,$D446,$D446-($D446-$I$427)*MIN(N$3-$O$2,$Q$2)/$Q$2))</f>
        <v>2177.60395609737</v>
      </c>
      <c r="O446" s="15" t="n">
        <f aca="false">SUMPRODUCT(E446:N446,1/(1+$F$427)^$E$3:$N$3)*$E$2</f>
        <v>4362.31560962844</v>
      </c>
      <c r="P446" s="15" t="n">
        <f aca="false">N446*$E$2*(1+$I$427)/($F$427-$I$427)/(1+$F$427)^$N$3</f>
        <v>7201.96385221409</v>
      </c>
      <c r="Q446" s="15" t="n">
        <f aca="false">O446+P446</f>
        <v>11564.2794618425</v>
      </c>
      <c r="R446" s="15" t="n">
        <f aca="false">Q446-$G$2+$I$2</f>
        <v>10289.6094618425</v>
      </c>
      <c r="S446" s="42" t="n">
        <f aca="false">R446/$K$2</f>
        <v>289.27774702959</v>
      </c>
      <c r="T446" s="43" t="n">
        <f aca="false">S446-$M$2</f>
        <v>-0.0109794252875872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-0.0343799591064453</v>
      </c>
      <c r="C447" s="25" t="n">
        <f aca="false">IF(T446&gt;0,D446,C446)</f>
        <v>-0.0343742370605469</v>
      </c>
      <c r="D447" s="41" t="n">
        <f aca="false">(B447+C447)/2</f>
        <v>-0.0343770980834961</v>
      </c>
      <c r="E447" s="15" t="n">
        <f aca="false">$C$2*(1+IF(E$3&lt;=$O$2,$D447,$D447-($D447-$I$427)*MIN(E$3-$O$2,$Q$2)/$Q$2))</f>
        <v>2394.74479675293</v>
      </c>
      <c r="F447" s="15" t="n">
        <f aca="false">E447*(1+IF(F$3&lt;=$O$2,$D447,$D447-($D447-$I$427)*MIN(F$3-$O$2,$Q$2)/$Q$2))</f>
        <v>2312.42041999001</v>
      </c>
      <c r="G447" s="15" t="n">
        <f aca="false">F447*(1+IF(G$3&lt;=$O$2,$D447,$D447-($D447-$I$427)*MIN(G$3-$O$2,$Q$2)/$Q$2))</f>
        <v>2232.92611640174</v>
      </c>
      <c r="H447" s="15" t="n">
        <f aca="false">G447*(1+IF(H$3&lt;=$O$2,$D447,$D447-($D447-$I$427)*MIN(H$3-$O$2,$Q$2)/$Q$2))</f>
        <v>2156.16459628499</v>
      </c>
      <c r="I447" s="15" t="n">
        <f aca="false">H447*(1+IF(I$3&lt;=$O$2,$D447,$D447-($D447-$I$427)*MIN(I$3-$O$2,$Q$2)/$Q$2))</f>
        <v>2082.04191447434</v>
      </c>
      <c r="J447" s="15" t="n">
        <f aca="false">I447*(1+IF(J$3&lt;=$O$2,$D447,$D447-($D447-$I$427)*MIN(J$3-$O$2,$Q$2)/$Q$2))</f>
        <v>2040.73070825295</v>
      </c>
      <c r="K447" s="15" t="n">
        <f aca="false">J447*(1+IF(K$3&lt;=$O$2,$D447,$D447-($D447-$I$427)*MIN(K$3-$O$2,$Q$2)/$Q$2))</f>
        <v>2029.90206287162</v>
      </c>
      <c r="L447" s="15" t="n">
        <f aca="false">K447*(1+IF(L$3&lt;=$O$2,$D447,$D447-($D447-$I$427)*MIN(L$3-$O$2,$Q$2)/$Q$2))</f>
        <v>2048.63635535031</v>
      </c>
      <c r="M447" s="15" t="n">
        <f aca="false">L447*(1+IF(M$3&lt;=$O$2,$D447,$D447-($D447-$I$427)*MIN(M$3-$O$2,$Q$2)/$Q$2))</f>
        <v>2097.32133869319</v>
      </c>
      <c r="N447" s="15" t="n">
        <f aca="false">M447*(1+IF(N$3&lt;=$O$2,$D447,$D447-($D447-$I$427)*MIN(N$3-$O$2,$Q$2)/$Q$2))</f>
        <v>2177.64874596514</v>
      </c>
      <c r="O447" s="15" t="n">
        <f aca="false">SUMPRODUCT(E447:N447,1/(1+$F$427)^$E$3:$N$3)*$E$2</f>
        <v>4362.37007170985</v>
      </c>
      <c r="P447" s="15" t="n">
        <f aca="false">N447*$E$2*(1+$I$427)/($F$427-$I$427)/(1+$F$427)^$N$3</f>
        <v>7202.11198521492</v>
      </c>
      <c r="Q447" s="15" t="n">
        <f aca="false">O447+P447</f>
        <v>11564.4820569248</v>
      </c>
      <c r="R447" s="15" t="n">
        <f aca="false">Q447-$G$2+$I$2</f>
        <v>10289.8120569248</v>
      </c>
      <c r="S447" s="42" t="n">
        <f aca="false">R447/$K$2</f>
        <v>289.283442702411</v>
      </c>
      <c r="T447" s="43" t="n">
        <f aca="false">S447-$M$2</f>
        <v>-0.00528375246665291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-0.0343770980834961</v>
      </c>
      <c r="C448" s="25" t="n">
        <f aca="false">IF(T447&gt;0,D447,C447)</f>
        <v>-0.0343742370605469</v>
      </c>
      <c r="D448" s="41" t="n">
        <f aca="false">(B448+C448)/2</f>
        <v>-0.0343756675720215</v>
      </c>
      <c r="E448" s="15" t="n">
        <f aca="false">$C$2*(1+IF(E$3&lt;=$O$2,$D448,$D448-($D448-$I$427)*MIN(E$3-$O$2,$Q$2)/$Q$2))</f>
        <v>2394.74834442139</v>
      </c>
      <c r="F448" s="15" t="n">
        <f aca="false">E448*(1+IF(F$3&lt;=$O$2,$D448,$D448-($D448-$I$427)*MIN(F$3-$O$2,$Q$2)/$Q$2))</f>
        <v>2312.42727141491</v>
      </c>
      <c r="G448" s="15" t="n">
        <f aca="false">F448*(1+IF(G$3&lt;=$O$2,$D448,$D448-($D448-$I$427)*MIN(G$3-$O$2,$Q$2)/$Q$2))</f>
        <v>2232.93604024827</v>
      </c>
      <c r="H448" s="15" t="n">
        <f aca="false">G448*(1+IF(H$3&lt;=$O$2,$D448,$D448-($D448-$I$427)*MIN(H$3-$O$2,$Q$2)/$Q$2))</f>
        <v>2156.17737321911</v>
      </c>
      <c r="I448" s="15" t="n">
        <f aca="false">H448*(1+IF(I$3&lt;=$O$2,$D448,$D448-($D448-$I$427)*MIN(I$3-$O$2,$Q$2)/$Q$2))</f>
        <v>2082.05733661102</v>
      </c>
      <c r="J448" s="15" t="n">
        <f aca="false">I448*(1+IF(J$3&lt;=$O$2,$D448,$D448-($D448-$I$427)*MIN(J$3-$O$2,$Q$2)/$Q$2))</f>
        <v>2040.74820711407</v>
      </c>
      <c r="K448" s="15" t="n">
        <f aca="false">J448*(1+IF(K$3&lt;=$O$2,$D448,$D448-($D448-$I$427)*MIN(K$3-$O$2,$Q$2)/$Q$2))</f>
        <v>2029.92122046749</v>
      </c>
      <c r="L448" s="15" t="n">
        <f aca="false">K448*(1+IF(L$3&lt;=$O$2,$D448,$D448-($D448-$I$427)*MIN(L$3-$O$2,$Q$2)/$Q$2))</f>
        <v>2048.65685128496</v>
      </c>
      <c r="M448" s="15" t="n">
        <f aca="false">L448*(1+IF(M$3&lt;=$O$2,$D448,$D448-($D448-$I$427)*MIN(M$3-$O$2,$Q$2)/$Q$2))</f>
        <v>2097.34290783055</v>
      </c>
      <c r="N448" s="15" t="n">
        <f aca="false">M448*(1+IF(N$3&lt;=$O$2,$D448,$D448-($D448-$I$427)*MIN(N$3-$O$2,$Q$2)/$Q$2))</f>
        <v>2177.67114120046</v>
      </c>
      <c r="O448" s="15" t="n">
        <f aca="false">SUMPRODUCT(E448:N448,1/(1+$F$427)^$E$3:$N$3)*$E$2</f>
        <v>4362.3973030142</v>
      </c>
      <c r="P448" s="15" t="n">
        <f aca="false">N448*$E$2*(1+$I$427)/($F$427-$I$427)/(1+$F$427)^$N$3</f>
        <v>7202.18605271226</v>
      </c>
      <c r="Q448" s="15" t="n">
        <f aca="false">O448+P448</f>
        <v>11564.5833557265</v>
      </c>
      <c r="R448" s="15" t="n">
        <f aca="false">Q448-$G$2+$I$2</f>
        <v>10289.9133557265</v>
      </c>
      <c r="S448" s="42" t="n">
        <f aca="false">R448/$K$2</f>
        <v>289.286290574261</v>
      </c>
      <c r="T448" s="43" t="n">
        <f aca="false">S448-$M$2</f>
        <v>-0.00243588061687206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-0.0343756675720215</v>
      </c>
      <c r="C449" s="25" t="n">
        <f aca="false">IF(T448&gt;0,D448,C448)</f>
        <v>-0.0343742370605469</v>
      </c>
      <c r="D449" s="41" t="n">
        <f aca="false">(B449+C449)/2</f>
        <v>-0.0343749523162842</v>
      </c>
      <c r="E449" s="15" t="n">
        <f aca="false">$C$2*(1+IF(E$3&lt;=$O$2,$D449,$D449-($D449-$I$427)*MIN(E$3-$O$2,$Q$2)/$Q$2))</f>
        <v>2394.75011825562</v>
      </c>
      <c r="F449" s="15" t="n">
        <f aca="false">E449*(1+IF(F$3&lt;=$O$2,$D449,$D449-($D449-$I$427)*MIN(F$3-$O$2,$Q$2)/$Q$2))</f>
        <v>2312.43069713116</v>
      </c>
      <c r="G449" s="15" t="n">
        <f aca="false">F449*(1+IF(G$3&lt;=$O$2,$D449,$D449-($D449-$I$427)*MIN(G$3-$O$2,$Q$2)/$Q$2))</f>
        <v>2232.94100218257</v>
      </c>
      <c r="H449" s="15" t="n">
        <f aca="false">G449*(1+IF(H$3&lt;=$O$2,$D449,$D449-($D449-$I$427)*MIN(H$3-$O$2,$Q$2)/$Q$2))</f>
        <v>2156.18376170747</v>
      </c>
      <c r="I449" s="15" t="n">
        <f aca="false">H449*(1+IF(I$3&lt;=$O$2,$D449,$D449-($D449-$I$427)*MIN(I$3-$O$2,$Q$2)/$Q$2))</f>
        <v>2082.06504771363</v>
      </c>
      <c r="J449" s="15" t="n">
        <f aca="false">I449*(1+IF(J$3&lt;=$O$2,$D449,$D449-($D449-$I$427)*MIN(J$3-$O$2,$Q$2)/$Q$2))</f>
        <v>2040.75695659147</v>
      </c>
      <c r="K449" s="15" t="n">
        <f aca="false">J449*(1+IF(K$3&lt;=$O$2,$D449,$D449-($D449-$I$427)*MIN(K$3-$O$2,$Q$2)/$Q$2))</f>
        <v>2029.93079932327</v>
      </c>
      <c r="L449" s="15" t="n">
        <f aca="false">K449*(1+IF(L$3&lt;=$O$2,$D449,$D449-($D449-$I$427)*MIN(L$3-$O$2,$Q$2)/$Q$2))</f>
        <v>2048.66709931888</v>
      </c>
      <c r="M449" s="15" t="n">
        <f aca="false">L449*(1+IF(M$3&lt;=$O$2,$D449,$D449-($D449-$I$427)*MIN(M$3-$O$2,$Q$2)/$Q$2))</f>
        <v>2097.35369247181</v>
      </c>
      <c r="N449" s="15" t="n">
        <f aca="false">M449*(1+IF(N$3&lt;=$O$2,$D449,$D449-($D449-$I$427)*MIN(N$3-$O$2,$Q$2)/$Q$2))</f>
        <v>2177.68233889348</v>
      </c>
      <c r="O449" s="15" t="n">
        <f aca="false">SUMPRODUCT(E449:N449,1/(1+$F$427)^$E$3:$N$3)*$E$2</f>
        <v>4362.41091873229</v>
      </c>
      <c r="P449" s="15" t="n">
        <f aca="false">N449*$E$2*(1+$I$427)/($F$427-$I$427)/(1+$F$427)^$N$3</f>
        <v>7202.22308671017</v>
      </c>
      <c r="Q449" s="15" t="n">
        <f aca="false">O449+P449</f>
        <v>11564.6340054425</v>
      </c>
      <c r="R449" s="15" t="n">
        <f aca="false">Q449-$G$2+$I$2</f>
        <v>10289.9640054425</v>
      </c>
      <c r="S449" s="42" t="n">
        <f aca="false">R449/$K$2</f>
        <v>289.287714519046</v>
      </c>
      <c r="T449" s="43" t="n">
        <f aca="false">S449-$M$2</f>
        <v>-0.00101193583174108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-0.0343749523162842</v>
      </c>
      <c r="C450" s="25" t="n">
        <f aca="false">IF(T449&gt;0,D449,C449)</f>
        <v>-0.0343742370605469</v>
      </c>
      <c r="D450" s="41" t="n">
        <f aca="false">(B450+C450)/2</f>
        <v>-0.0343745946884155</v>
      </c>
      <c r="E450" s="15" t="n">
        <f aca="false">$C$2*(1+IF(E$3&lt;=$O$2,$D450,$D450-($D450-$I$427)*MIN(E$3-$O$2,$Q$2)/$Q$2))</f>
        <v>2394.75100517273</v>
      </c>
      <c r="F450" s="15" t="n">
        <f aca="false">E450*(1+IF(F$3&lt;=$O$2,$D450,$D450-($D450-$I$427)*MIN(F$3-$O$2,$Q$2)/$Q$2))</f>
        <v>2312.43240999024</v>
      </c>
      <c r="G450" s="15" t="n">
        <f aca="false">F450*(1+IF(G$3&lt;=$O$2,$D450,$D450-($D450-$I$427)*MIN(G$3-$O$2,$Q$2)/$Q$2))</f>
        <v>2232.94348315247</v>
      </c>
      <c r="H450" s="15" t="n">
        <f aca="false">G450*(1+IF(H$3&lt;=$O$2,$D450,$D450-($D450-$I$427)*MIN(H$3-$O$2,$Q$2)/$Q$2))</f>
        <v>2156.18695595697</v>
      </c>
      <c r="I450" s="15" t="n">
        <f aca="false">H450*(1+IF(I$3&lt;=$O$2,$D450,$D450-($D450-$I$427)*MIN(I$3-$O$2,$Q$2)/$Q$2))</f>
        <v>2082.0689032735</v>
      </c>
      <c r="J450" s="15" t="n">
        <f aca="false">I450*(1+IF(J$3&lt;=$O$2,$D450,$D450-($D450-$I$427)*MIN(J$3-$O$2,$Q$2)/$Q$2))</f>
        <v>2040.76133134187</v>
      </c>
      <c r="K450" s="15" t="n">
        <f aca="false">J450*(1+IF(K$3&lt;=$O$2,$D450,$D450-($D450-$I$427)*MIN(K$3-$O$2,$Q$2)/$Q$2))</f>
        <v>2029.93558876562</v>
      </c>
      <c r="L450" s="15" t="n">
        <f aca="false">K450*(1+IF(L$3&lt;=$O$2,$D450,$D450-($D450-$I$427)*MIN(L$3-$O$2,$Q$2)/$Q$2))</f>
        <v>2048.67222335249</v>
      </c>
      <c r="M450" s="15" t="n">
        <f aca="false">L450*(1+IF(M$3&lt;=$O$2,$D450,$D450-($D450-$I$427)*MIN(M$3-$O$2,$Q$2)/$Q$2))</f>
        <v>2097.35908481058</v>
      </c>
      <c r="N450" s="15" t="n">
        <f aca="false">M450*(1+IF(N$3&lt;=$O$2,$D450,$D450-($D450-$I$427)*MIN(N$3-$O$2,$Q$2)/$Q$2))</f>
        <v>2177.68793775883</v>
      </c>
      <c r="O450" s="15" t="n">
        <f aca="false">SUMPRODUCT(E450:N450,1/(1+$F$427)^$E$3:$N$3)*$E$2</f>
        <v>4362.41772660781</v>
      </c>
      <c r="P450" s="15" t="n">
        <f aca="false">N450*$E$2*(1+$I$427)/($F$427-$I$427)/(1+$F$427)^$N$3</f>
        <v>7202.24160377144</v>
      </c>
      <c r="Q450" s="15" t="n">
        <f aca="false">O450+P450</f>
        <v>11564.6593303793</v>
      </c>
      <c r="R450" s="15" t="n">
        <f aca="false">Q450-$G$2+$I$2</f>
        <v>10289.9893303793</v>
      </c>
      <c r="S450" s="42" t="n">
        <f aca="false">R450/$K$2</f>
        <v>289.288426493653</v>
      </c>
      <c r="T450" s="43" t="n">
        <f aca="false">S450-$M$2</f>
        <v>-0.000299961224300205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-0.0343745946884155</v>
      </c>
      <c r="C451" s="25" t="n">
        <f aca="false">IF(T450&gt;0,D450,C450)</f>
        <v>-0.0343742370605469</v>
      </c>
      <c r="D451" s="41" t="n">
        <f aca="false">(B451+C451)/2</f>
        <v>-0.0343744158744812</v>
      </c>
      <c r="E451" s="15" t="n">
        <f aca="false">$C$2*(1+IF(E$3&lt;=$O$2,$D451,$D451-($D451-$I$427)*MIN(E$3-$O$2,$Q$2)/$Q$2))</f>
        <v>2394.75144863129</v>
      </c>
      <c r="F451" s="15" t="n">
        <f aca="false">E451*(1+IF(F$3&lt;=$O$2,$D451,$D451-($D451-$I$427)*MIN(F$3-$O$2,$Q$2)/$Q$2))</f>
        <v>2312.43326642002</v>
      </c>
      <c r="G451" s="15" t="n">
        <f aca="false">F451*(1+IF(G$3&lt;=$O$2,$D451,$D451-($D451-$I$427)*MIN(G$3-$O$2,$Q$2)/$Q$2))</f>
        <v>2232.94472363811</v>
      </c>
      <c r="H451" s="15" t="n">
        <f aca="false">G451*(1+IF(H$3&lt;=$O$2,$D451,$D451-($D451-$I$427)*MIN(H$3-$O$2,$Q$2)/$Q$2))</f>
        <v>2156.18855308305</v>
      </c>
      <c r="I451" s="15" t="n">
        <f aca="false">H451*(1+IF(I$3&lt;=$O$2,$D451,$D451-($D451-$I$427)*MIN(I$3-$O$2,$Q$2)/$Q$2))</f>
        <v>2082.07083105557</v>
      </c>
      <c r="J451" s="15" t="n">
        <f aca="false">I451*(1+IF(J$3&lt;=$O$2,$D451,$D451-($D451-$I$427)*MIN(J$3-$O$2,$Q$2)/$Q$2))</f>
        <v>2040.76351872</v>
      </c>
      <c r="K451" s="15" t="n">
        <f aca="false">J451*(1+IF(K$3&lt;=$O$2,$D451,$D451-($D451-$I$427)*MIN(K$3-$O$2,$Q$2)/$Q$2))</f>
        <v>2029.93798349042</v>
      </c>
      <c r="L451" s="15" t="n">
        <f aca="false">K451*(1+IF(L$3&lt;=$O$2,$D451,$D451-($D451-$I$427)*MIN(L$3-$O$2,$Q$2)/$Q$2))</f>
        <v>2048.67478537346</v>
      </c>
      <c r="M451" s="15" t="n">
        <f aca="false">L451*(1+IF(M$3&lt;=$O$2,$D451,$D451-($D451-$I$427)*MIN(M$3-$O$2,$Q$2)/$Q$2))</f>
        <v>2097.36178098451</v>
      </c>
      <c r="N451" s="15" t="n">
        <f aca="false">M451*(1+IF(N$3&lt;=$O$2,$D451,$D451-($D451-$I$427)*MIN(N$3-$O$2,$Q$2)/$Q$2))</f>
        <v>2177.69073719621</v>
      </c>
      <c r="O451" s="15" t="n">
        <f aca="false">SUMPRODUCT(E451:N451,1/(1+$F$427)^$E$3:$N$3)*$E$2</f>
        <v>4362.4211305497</v>
      </c>
      <c r="P451" s="15" t="n">
        <f aca="false">N451*$E$2*(1+$I$427)/($F$427-$I$427)/(1+$F$427)^$N$3</f>
        <v>7202.25086231765</v>
      </c>
      <c r="Q451" s="15" t="n">
        <f aca="false">O451+P451</f>
        <v>11564.6719928673</v>
      </c>
      <c r="R451" s="15" t="n">
        <f aca="false">Q451-$G$2+$I$2</f>
        <v>10290.0019928673</v>
      </c>
      <c r="S451" s="42" t="n">
        <f aca="false">R451/$K$2</f>
        <v>289.288782481511</v>
      </c>
      <c r="T451" s="43" t="n">
        <f aca="false">S451-$M$2</f>
        <v>5.60266332172432E-005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-0.0343745946884155</v>
      </c>
      <c r="C452" s="25" t="n">
        <f aca="false">IF(T451&gt;0,D451,C451)</f>
        <v>-0.0343744158744812</v>
      </c>
      <c r="D452" s="41" t="n">
        <f aca="false">(B452+C452)/2</f>
        <v>-0.0343745052814484</v>
      </c>
      <c r="E452" s="15" t="n">
        <f aca="false">$C$2*(1+IF(E$3&lt;=$O$2,$D452,$D452-($D452-$I$427)*MIN(E$3-$O$2,$Q$2)/$Q$2))</f>
        <v>2394.75122690201</v>
      </c>
      <c r="F452" s="15" t="n">
        <f aca="false">E452*(1+IF(F$3&lt;=$O$2,$D452,$D452-($D452-$I$427)*MIN(F$3-$O$2,$Q$2)/$Q$2))</f>
        <v>2312.43283820511</v>
      </c>
      <c r="G452" s="15" t="n">
        <f aca="false">F452*(1+IF(G$3&lt;=$O$2,$D452,$D452-($D452-$I$427)*MIN(G$3-$O$2,$Q$2)/$Q$2))</f>
        <v>2232.94410339523</v>
      </c>
      <c r="H452" s="15" t="n">
        <f aca="false">G452*(1+IF(H$3&lt;=$O$2,$D452,$D452-($D452-$I$427)*MIN(H$3-$O$2,$Q$2)/$Q$2))</f>
        <v>2156.1877545199</v>
      </c>
      <c r="I452" s="15" t="n">
        <f aca="false">H452*(1+IF(I$3&lt;=$O$2,$D452,$D452-($D452-$I$427)*MIN(I$3-$O$2,$Q$2)/$Q$2))</f>
        <v>2082.06986716436</v>
      </c>
      <c r="J452" s="15" t="n">
        <f aca="false">I452*(1+IF(J$3&lt;=$O$2,$D452,$D452-($D452-$I$427)*MIN(J$3-$O$2,$Q$2)/$Q$2))</f>
        <v>2040.76242503069</v>
      </c>
      <c r="K452" s="15" t="n">
        <f aca="false">J452*(1+IF(K$3&lt;=$O$2,$D452,$D452-($D452-$I$427)*MIN(K$3-$O$2,$Q$2)/$Q$2))</f>
        <v>2029.93678612772</v>
      </c>
      <c r="L452" s="15" t="n">
        <f aca="false">K452*(1+IF(L$3&lt;=$O$2,$D452,$D452-($D452-$I$427)*MIN(L$3-$O$2,$Q$2)/$Q$2))</f>
        <v>2048.67350436263</v>
      </c>
      <c r="M452" s="15" t="n">
        <f aca="false">L452*(1+IF(M$3&lt;=$O$2,$D452,$D452-($D452-$I$427)*MIN(M$3-$O$2,$Q$2)/$Q$2))</f>
        <v>2097.36043289717</v>
      </c>
      <c r="N452" s="15" t="n">
        <f aca="false">M452*(1+IF(N$3&lt;=$O$2,$D452,$D452-($D452-$I$427)*MIN(N$3-$O$2,$Q$2)/$Q$2))</f>
        <v>2177.68933747713</v>
      </c>
      <c r="O452" s="15" t="n">
        <f aca="false">SUMPRODUCT(E452:N452,1/(1+$F$427)^$E$3:$N$3)*$E$2</f>
        <v>4362.41942857841</v>
      </c>
      <c r="P452" s="15" t="n">
        <f aca="false">N452*$E$2*(1+$I$427)/($F$427-$I$427)/(1+$F$427)^$N$3</f>
        <v>7202.24623304324</v>
      </c>
      <c r="Q452" s="15" t="n">
        <f aca="false">O452+P452</f>
        <v>11564.6656616217</v>
      </c>
      <c r="R452" s="15" t="n">
        <f aca="false">Q452-$G$2+$I$2</f>
        <v>10289.9956616217</v>
      </c>
      <c r="S452" s="42" t="n">
        <f aca="false">R452/$K$2</f>
        <v>289.288604487536</v>
      </c>
      <c r="T452" s="43" t="n">
        <f aca="false">S452-$M$2</f>
        <v>-0.000121967341783602</v>
      </c>
    </row>
    <row r="454" customFormat="false" ht="15" hidden="false" customHeight="false" outlineLevel="0" collapsed="false">
      <c r="A454" s="38" t="s">
        <v>200</v>
      </c>
      <c r="E454" s="5" t="s">
        <v>11</v>
      </c>
      <c r="F454" s="12" t="n">
        <f aca="false">Sensitivity!$B$13</f>
        <v>0.0864218415038925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8" t="s">
        <v>165</v>
      </c>
      <c r="B455" s="28" t="s">
        <v>166</v>
      </c>
      <c r="C455" s="28" t="s">
        <v>167</v>
      </c>
      <c r="D455" s="28" t="s">
        <v>168</v>
      </c>
      <c r="E455" s="28" t="s">
        <v>169</v>
      </c>
      <c r="F455" s="28" t="s">
        <v>170</v>
      </c>
      <c r="G455" s="28" t="s">
        <v>171</v>
      </c>
      <c r="H455" s="28" t="s">
        <v>172</v>
      </c>
      <c r="I455" s="28" t="s">
        <v>173</v>
      </c>
      <c r="J455" s="28" t="s">
        <v>174</v>
      </c>
      <c r="K455" s="28" t="s">
        <v>175</v>
      </c>
      <c r="L455" s="28" t="s">
        <v>176</v>
      </c>
      <c r="M455" s="28" t="s">
        <v>177</v>
      </c>
      <c r="N455" s="28" t="s">
        <v>178</v>
      </c>
      <c r="O455" s="28" t="s">
        <v>179</v>
      </c>
      <c r="P455" s="28" t="s">
        <v>180</v>
      </c>
      <c r="Q455" s="28" t="s">
        <v>181</v>
      </c>
      <c r="R455" s="28" t="s">
        <v>182</v>
      </c>
      <c r="S455" s="28" t="s">
        <v>183</v>
      </c>
      <c r="T455" s="28" t="s">
        <v>184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41" t="n">
        <f aca="false">(B456+C456)/2</f>
        <v>0.25</v>
      </c>
      <c r="E456" s="15" t="n">
        <f aca="false">$C$2*(1+IF(E$3&lt;=$O$2,$D456,$D456-($D456-$I$454)*MIN(E$3-$O$2,$Q$2)/$Q$2))</f>
        <v>3100</v>
      </c>
      <c r="F456" s="15" t="n">
        <f aca="false">E456*(1+IF(F$3&lt;=$O$2,$D456,$D456-($D456-$I$454)*MIN(F$3-$O$2,$Q$2)/$Q$2))</f>
        <v>3875</v>
      </c>
      <c r="G456" s="15" t="n">
        <f aca="false">F456*(1+IF(G$3&lt;=$O$2,$D456,$D456-($D456-$I$454)*MIN(G$3-$O$2,$Q$2)/$Q$2))</f>
        <v>4843.75</v>
      </c>
      <c r="H456" s="15" t="n">
        <f aca="false">G456*(1+IF(H$3&lt;=$O$2,$D456,$D456-($D456-$I$454)*MIN(H$3-$O$2,$Q$2)/$Q$2))</f>
        <v>6054.6875</v>
      </c>
      <c r="I456" s="15" t="n">
        <f aca="false">H456*(1+IF(I$3&lt;=$O$2,$D456,$D456-($D456-$I$454)*MIN(I$3-$O$2,$Q$2)/$Q$2))</f>
        <v>7568.359375</v>
      </c>
      <c r="J456" s="15" t="n">
        <f aca="false">I456*(1+IF(J$3&lt;=$O$2,$D456,$D456-($D456-$I$454)*MIN(J$3-$O$2,$Q$2)/$Q$2))</f>
        <v>9109.7314453125</v>
      </c>
      <c r="K456" s="15" t="n">
        <f aca="false">J456*(1+IF(K$3&lt;=$O$2,$D456,$D456-($D456-$I$454)*MIN(K$3-$O$2,$Q$2)/$Q$2))</f>
        <v>10542.8743962891</v>
      </c>
      <c r="L456" s="15" t="n">
        <f aca="false">K456*(1+IF(L$3&lt;=$O$2,$D456,$D456-($D456-$I$454)*MIN(L$3-$O$2,$Q$2)/$Q$2))</f>
        <v>11712.9225967892</v>
      </c>
      <c r="M456" s="15" t="n">
        <f aca="false">L456*(1+IF(M$3&lt;=$O$2,$D456,$D456-($D456-$I$454)*MIN(M$3-$O$2,$Q$2)/$Q$2))</f>
        <v>12470.0459134457</v>
      </c>
      <c r="N456" s="15" t="n">
        <f aca="false">M456*(1+IF(N$3&lt;=$O$2,$D456,$D456-($D456-$I$454)*MIN(N$3-$O$2,$Q$2)/$Q$2))</f>
        <v>12698.2477536617</v>
      </c>
      <c r="O456" s="15" t="n">
        <f aca="false">SUMPRODUCT(E456:N456,1/(1+$F$454)^$E$3:$N$3)*$E$2</f>
        <v>14480.7882099441</v>
      </c>
      <c r="P456" s="15" t="n">
        <f aca="false">N456*$E$2*(1+$I$454)/($F$454-$I$454)/(1+$F$454)^$N$3</f>
        <v>24896.9491681664</v>
      </c>
      <c r="Q456" s="15" t="n">
        <f aca="false">O456+P456</f>
        <v>39377.7373781105</v>
      </c>
      <c r="R456" s="15" t="n">
        <f aca="false">Q456-$G$2+$I$2</f>
        <v>38103.0673781105</v>
      </c>
      <c r="S456" s="42" t="n">
        <f aca="false">R456/$K$2</f>
        <v>1071.21358948863</v>
      </c>
      <c r="T456" s="43" t="n">
        <f aca="false">S456-$M$2</f>
        <v>781.924863033752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41" t="n">
        <f aca="false">(B457+C457)/2</f>
        <v>-0.125</v>
      </c>
      <c r="E457" s="15" t="n">
        <f aca="false">$C$2*(1+IF(E$3&lt;=$O$2,$D457,$D457-($D457-$I$454)*MIN(E$3-$O$2,$Q$2)/$Q$2))</f>
        <v>2170</v>
      </c>
      <c r="F457" s="15" t="n">
        <f aca="false">E457*(1+IF(F$3&lt;=$O$2,$D457,$D457-($D457-$I$454)*MIN(F$3-$O$2,$Q$2)/$Q$2))</f>
        <v>1898.75</v>
      </c>
      <c r="G457" s="15" t="n">
        <f aca="false">F457*(1+IF(G$3&lt;=$O$2,$D457,$D457-($D457-$I$454)*MIN(G$3-$O$2,$Q$2)/$Q$2))</f>
        <v>1661.40625</v>
      </c>
      <c r="H457" s="15" t="n">
        <f aca="false">G457*(1+IF(H$3&lt;=$O$2,$D457,$D457-($D457-$I$454)*MIN(H$3-$O$2,$Q$2)/$Q$2))</f>
        <v>1453.73046875</v>
      </c>
      <c r="I457" s="15" t="n">
        <f aca="false">H457*(1+IF(I$3&lt;=$O$2,$D457,$D457-($D457-$I$454)*MIN(I$3-$O$2,$Q$2)/$Q$2))</f>
        <v>1272.01416015625</v>
      </c>
      <c r="J457" s="15" t="n">
        <f aca="false">I457*(1+IF(J$3&lt;=$O$2,$D457,$D457-($D457-$I$454)*MIN(J$3-$O$2,$Q$2)/$Q$2))</f>
        <v>1149.4683159668</v>
      </c>
      <c r="K457" s="15" t="n">
        <f aca="false">J457*(1+IF(K$3&lt;=$O$2,$D457,$D457-($D457-$I$454)*MIN(K$3-$O$2,$Q$2)/$Q$2))</f>
        <v>1071.67230034216</v>
      </c>
      <c r="L457" s="15" t="n">
        <f aca="false">K457*(1+IF(L$3&lt;=$O$2,$D457,$D457-($D457-$I$454)*MIN(L$3-$O$2,$Q$2)/$Q$2))</f>
        <v>1029.85564718281</v>
      </c>
      <c r="M457" s="15" t="n">
        <f aca="false">L457*(1+IF(M$3&lt;=$O$2,$D457,$D457-($D457-$I$454)*MIN(M$3-$O$2,$Q$2)/$Q$2))</f>
        <v>1019.186342678</v>
      </c>
      <c r="N457" s="15" t="n">
        <f aca="false">M457*(1+IF(N$3&lt;=$O$2,$D457,$D457-($D457-$I$454)*MIN(N$3-$O$2,$Q$2)/$Q$2))</f>
        <v>1037.83745274901</v>
      </c>
      <c r="O457" s="15" t="n">
        <f aca="false">SUMPRODUCT(E457:N457,1/(1+$F$454)^$E$3:$N$3)*$E$2</f>
        <v>2869.94259031158</v>
      </c>
      <c r="P457" s="15" t="n">
        <f aca="false">N457*$E$2*(1+$I$454)/($F$454-$I$454)/(1+$F$454)^$N$3</f>
        <v>2034.84660302523</v>
      </c>
      <c r="Q457" s="15" t="n">
        <f aca="false">O457+P457</f>
        <v>4904.78919333681</v>
      </c>
      <c r="R457" s="15" t="n">
        <f aca="false">Q457-$G$2+$I$2</f>
        <v>3630.11919333681</v>
      </c>
      <c r="S457" s="42" t="n">
        <f aca="false">R457/$K$2</f>
        <v>102.055642207951</v>
      </c>
      <c r="T457" s="43" t="n">
        <f aca="false">S457-$M$2</f>
        <v>-187.233084246927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41" t="n">
        <f aca="false">(B458+C458)/2</f>
        <v>0.0625</v>
      </c>
      <c r="E458" s="15" t="n">
        <f aca="false">$C$2*(1+IF(E$3&lt;=$O$2,$D458,$D458-($D458-$I$454)*MIN(E$3-$O$2,$Q$2)/$Q$2))</f>
        <v>2635</v>
      </c>
      <c r="F458" s="15" t="n">
        <f aca="false">E458*(1+IF(F$3&lt;=$O$2,$D458,$D458-($D458-$I$454)*MIN(F$3-$O$2,$Q$2)/$Q$2))</f>
        <v>2799.6875</v>
      </c>
      <c r="G458" s="15" t="n">
        <f aca="false">F458*(1+IF(G$3&lt;=$O$2,$D458,$D458-($D458-$I$454)*MIN(G$3-$O$2,$Q$2)/$Q$2))</f>
        <v>2974.66796875</v>
      </c>
      <c r="H458" s="15" t="n">
        <f aca="false">G458*(1+IF(H$3&lt;=$O$2,$D458,$D458-($D458-$I$454)*MIN(H$3-$O$2,$Q$2)/$Q$2))</f>
        <v>3160.58471679688</v>
      </c>
      <c r="I458" s="15" t="n">
        <f aca="false">H458*(1+IF(I$3&lt;=$O$2,$D458,$D458-($D458-$I$454)*MIN(I$3-$O$2,$Q$2)/$Q$2))</f>
        <v>3358.12126159668</v>
      </c>
      <c r="J458" s="15" t="n">
        <f aca="false">I458*(1+IF(J$3&lt;=$O$2,$D458,$D458-($D458-$I$454)*MIN(J$3-$O$2,$Q$2)/$Q$2))</f>
        <v>3538.31804849396</v>
      </c>
      <c r="K458" s="15" t="n">
        <f aca="false">J458*(1+IF(K$3&lt;=$O$2,$D458,$D458-($D458-$I$454)*MIN(K$3-$O$2,$Q$2)/$Q$2))</f>
        <v>3696.90546342746</v>
      </c>
      <c r="L458" s="15" t="n">
        <f aca="false">K458*(1+IF(L$3&lt;=$O$2,$D458,$D458-($D458-$I$454)*MIN(L$3-$O$2,$Q$2)/$Q$2))</f>
        <v>3829.92012200158</v>
      </c>
      <c r="M458" s="15" t="n">
        <f aca="false">L458*(1+IF(M$3&lt;=$O$2,$D458,$D458-($D458-$I$454)*MIN(M$3-$O$2,$Q$2)/$Q$2))</f>
        <v>3933.8641541127</v>
      </c>
      <c r="N458" s="15" t="n">
        <f aca="false">M458*(1+IF(N$3&lt;=$O$2,$D458,$D458-($D458-$I$454)*MIN(N$3-$O$2,$Q$2)/$Q$2))</f>
        <v>4005.85386813296</v>
      </c>
      <c r="O458" s="15" t="n">
        <f aca="false">SUMPRODUCT(E458:N458,1/(1+$F$454)^$E$3:$N$3)*$E$2</f>
        <v>6434.05770813393</v>
      </c>
      <c r="P458" s="15" t="n">
        <f aca="false">N458*$E$2*(1+$I$454)/($F$454-$I$454)/(1+$F$454)^$N$3</f>
        <v>7854.11830551578</v>
      </c>
      <c r="Q458" s="15" t="n">
        <f aca="false">O458+P458</f>
        <v>14288.1760136497</v>
      </c>
      <c r="R458" s="15" t="n">
        <f aca="false">Q458-$G$2+$I$2</f>
        <v>13013.5060136497</v>
      </c>
      <c r="S458" s="42" t="n">
        <f aca="false">R458/$K$2</f>
        <v>365.856227541459</v>
      </c>
      <c r="T458" s="43" t="n">
        <f aca="false">S458-$M$2</f>
        <v>76.5675010865816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-0.125</v>
      </c>
      <c r="C459" s="25" t="n">
        <f aca="false">IF(T458&gt;0,D458,C458)</f>
        <v>0.0625</v>
      </c>
      <c r="D459" s="41" t="n">
        <f aca="false">(B459+C459)/2</f>
        <v>-0.03125</v>
      </c>
      <c r="E459" s="15" t="n">
        <f aca="false">$C$2*(1+IF(E$3&lt;=$O$2,$D459,$D459-($D459-$I$454)*MIN(E$3-$O$2,$Q$2)/$Q$2))</f>
        <v>2402.5</v>
      </c>
      <c r="F459" s="15" t="n">
        <f aca="false">E459*(1+IF(F$3&lt;=$O$2,$D459,$D459-($D459-$I$454)*MIN(F$3-$O$2,$Q$2)/$Q$2))</f>
        <v>2327.421875</v>
      </c>
      <c r="G459" s="15" t="n">
        <f aca="false">F459*(1+IF(G$3&lt;=$O$2,$D459,$D459-($D459-$I$454)*MIN(G$3-$O$2,$Q$2)/$Q$2))</f>
        <v>2254.68994140625</v>
      </c>
      <c r="H459" s="15" t="n">
        <f aca="false">G459*(1+IF(H$3&lt;=$O$2,$D459,$D459-($D459-$I$454)*MIN(H$3-$O$2,$Q$2)/$Q$2))</f>
        <v>2184.2308807373</v>
      </c>
      <c r="I459" s="15" t="n">
        <f aca="false">H459*(1+IF(I$3&lt;=$O$2,$D459,$D459-($D459-$I$454)*MIN(I$3-$O$2,$Q$2)/$Q$2))</f>
        <v>2115.97366571426</v>
      </c>
      <c r="J459" s="15" t="n">
        <f aca="false">I459*(1+IF(J$3&lt;=$O$2,$D459,$D459-($D459-$I$454)*MIN(J$3-$O$2,$Q$2)/$Q$2))</f>
        <v>2070.81878768792</v>
      </c>
      <c r="K459" s="15" t="n">
        <f aca="false">J459*(1+IF(K$3&lt;=$O$2,$D459,$D459-($D459-$I$454)*MIN(K$3-$O$2,$Q$2)/$Q$2))</f>
        <v>2047.14932894465</v>
      </c>
      <c r="L459" s="15" t="n">
        <f aca="false">K459*(1+IF(L$3&lt;=$O$2,$D459,$D459-($D459-$I$454)*MIN(L$3-$O$2,$Q$2)/$Q$2))</f>
        <v>2044.03766196465</v>
      </c>
      <c r="M459" s="15" t="n">
        <f aca="false">L459*(1+IF(M$3&lt;=$O$2,$D459,$D459-($D459-$I$454)*MIN(M$3-$O$2,$Q$2)/$Q$2))</f>
        <v>2061.18713794854</v>
      </c>
      <c r="N459" s="15" t="n">
        <f aca="false">M459*(1+IF(N$3&lt;=$O$2,$D459,$D459-($D459-$I$454)*MIN(N$3-$O$2,$Q$2)/$Q$2))</f>
        <v>2098.90686257299</v>
      </c>
      <c r="O459" s="15" t="n">
        <f aca="false">SUMPRODUCT(E459:N459,1/(1+$F$454)^$E$3:$N$3)*$E$2</f>
        <v>4284.57395477011</v>
      </c>
      <c r="P459" s="15" t="n">
        <f aca="false">N459*$E$2*(1+$I$454)/($F$454-$I$454)/(1+$F$454)^$N$3</f>
        <v>4115.24317999912</v>
      </c>
      <c r="Q459" s="15" t="n">
        <f aca="false">O459+P459</f>
        <v>8399.81713476923</v>
      </c>
      <c r="R459" s="15" t="n">
        <f aca="false">Q459-$G$2+$I$2</f>
        <v>7125.14713476923</v>
      </c>
      <c r="S459" s="42" t="n">
        <f aca="false">R459/$K$2</f>
        <v>200.313385852382</v>
      </c>
      <c r="T459" s="43" t="n">
        <f aca="false">S459-$M$2</f>
        <v>-88.9753406024958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-0.03125</v>
      </c>
      <c r="C460" s="25" t="n">
        <f aca="false">IF(T459&gt;0,D459,C459)</f>
        <v>0.0625</v>
      </c>
      <c r="D460" s="41" t="n">
        <f aca="false">(B460+C460)/2</f>
        <v>0.015625</v>
      </c>
      <c r="E460" s="15" t="n">
        <f aca="false">$C$2*(1+IF(E$3&lt;=$O$2,$D460,$D460-($D460-$I$454)*MIN(E$3-$O$2,$Q$2)/$Q$2))</f>
        <v>2518.75</v>
      </c>
      <c r="F460" s="15" t="n">
        <f aca="false">E460*(1+IF(F$3&lt;=$O$2,$D460,$D460-($D460-$I$454)*MIN(F$3-$O$2,$Q$2)/$Q$2))</f>
        <v>2558.10546875</v>
      </c>
      <c r="G460" s="15" t="n">
        <f aca="false">F460*(1+IF(G$3&lt;=$O$2,$D460,$D460-($D460-$I$454)*MIN(G$3-$O$2,$Q$2)/$Q$2))</f>
        <v>2598.07586669922</v>
      </c>
      <c r="H460" s="15" t="n">
        <f aca="false">G460*(1+IF(H$3&lt;=$O$2,$D460,$D460-($D460-$I$454)*MIN(H$3-$O$2,$Q$2)/$Q$2))</f>
        <v>2638.67080211639</v>
      </c>
      <c r="I460" s="15" t="n">
        <f aca="false">H460*(1+IF(I$3&lt;=$O$2,$D460,$D460-($D460-$I$454)*MIN(I$3-$O$2,$Q$2)/$Q$2))</f>
        <v>2679.90003339946</v>
      </c>
      <c r="J460" s="15" t="n">
        <f aca="false">I460*(1+IF(J$3&lt;=$O$2,$D460,$D460-($D460-$I$454)*MIN(J$3-$O$2,$Q$2)/$Q$2))</f>
        <v>2723.2072179392</v>
      </c>
      <c r="K460" s="15" t="n">
        <f aca="false">J460*(1+IF(K$3&lt;=$O$2,$D460,$D460-($D460-$I$454)*MIN(K$3-$O$2,$Q$2)/$Q$2))</f>
        <v>2768.67116244269</v>
      </c>
      <c r="L460" s="15" t="n">
        <f aca="false">K460*(1+IF(L$3&lt;=$O$2,$D460,$D460-($D460-$I$454)*MIN(L$3-$O$2,$Q$2)/$Q$2))</f>
        <v>2816.37536657158</v>
      </c>
      <c r="M460" s="15" t="n">
        <f aca="false">L460*(1+IF(M$3&lt;=$O$2,$D460,$D460-($D460-$I$454)*MIN(M$3-$O$2,$Q$2)/$Q$2))</f>
        <v>2866.40827495872</v>
      </c>
      <c r="N460" s="15" t="n">
        <f aca="false">M460*(1+IF(N$3&lt;=$O$2,$D460,$D460-($D460-$I$454)*MIN(N$3-$O$2,$Q$2)/$Q$2))</f>
        <v>2918.86354639047</v>
      </c>
      <c r="O460" s="15" t="n">
        <f aca="false">SUMPRODUCT(E460:N460,1/(1+$F$454)^$E$3:$N$3)*$E$2</f>
        <v>5248.29847690645</v>
      </c>
      <c r="P460" s="15" t="n">
        <f aca="false">N460*$E$2*(1+$I$454)/($F$454-$I$454)/(1+$F$454)^$N$3</f>
        <v>5722.89962781218</v>
      </c>
      <c r="Q460" s="15" t="n">
        <f aca="false">O460+P460</f>
        <v>10971.1981047186</v>
      </c>
      <c r="R460" s="15" t="n">
        <f aca="false">Q460-$G$2+$I$2</f>
        <v>9696.52810471862</v>
      </c>
      <c r="S460" s="42" t="n">
        <f aca="false">R460/$K$2</f>
        <v>272.604107526529</v>
      </c>
      <c r="T460" s="43" t="n">
        <f aca="false">S460-$M$2</f>
        <v>-16.6846189283491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0.015625</v>
      </c>
      <c r="C461" s="25" t="n">
        <f aca="false">IF(T460&gt;0,D460,C460)</f>
        <v>0.0625</v>
      </c>
      <c r="D461" s="41" t="n">
        <f aca="false">(B461+C461)/2</f>
        <v>0.0390625</v>
      </c>
      <c r="E461" s="15" t="n">
        <f aca="false">$C$2*(1+IF(E$3&lt;=$O$2,$D461,$D461-($D461-$I$454)*MIN(E$3-$O$2,$Q$2)/$Q$2))</f>
        <v>2576.875</v>
      </c>
      <c r="F461" s="15" t="n">
        <f aca="false">E461*(1+IF(F$3&lt;=$O$2,$D461,$D461-($D461-$I$454)*MIN(F$3-$O$2,$Q$2)/$Q$2))</f>
        <v>2677.5341796875</v>
      </c>
      <c r="G461" s="15" t="n">
        <f aca="false">F461*(1+IF(G$3&lt;=$O$2,$D461,$D461-($D461-$I$454)*MIN(G$3-$O$2,$Q$2)/$Q$2))</f>
        <v>2782.12535858154</v>
      </c>
      <c r="H461" s="15" t="n">
        <f aca="false">G461*(1+IF(H$3&lt;=$O$2,$D461,$D461-($D461-$I$454)*MIN(H$3-$O$2,$Q$2)/$Q$2))</f>
        <v>2890.80213040113</v>
      </c>
      <c r="I461" s="15" t="n">
        <f aca="false">H461*(1+IF(I$3&lt;=$O$2,$D461,$D461-($D461-$I$454)*MIN(I$3-$O$2,$Q$2)/$Q$2))</f>
        <v>3003.72408861993</v>
      </c>
      <c r="J461" s="15" t="n">
        <f aca="false">I461*(1+IF(J$3&lt;=$O$2,$D461,$D461-($D461-$I$454)*MIN(J$3-$O$2,$Q$2)/$Q$2))</f>
        <v>3108.58409655365</v>
      </c>
      <c r="K461" s="15" t="n">
        <f aca="false">J461*(1+IF(K$3&lt;=$O$2,$D461,$D461-($D461-$I$454)*MIN(K$3-$O$2,$Q$2)/$Q$2))</f>
        <v>3204.1963719034</v>
      </c>
      <c r="L461" s="15" t="n">
        <f aca="false">K461*(1+IF(L$3&lt;=$O$2,$D461,$D461-($D461-$I$454)*MIN(L$3-$O$2,$Q$2)/$Q$2))</f>
        <v>3289.44401637789</v>
      </c>
      <c r="M461" s="15" t="n">
        <f aca="false">L461*(1+IF(M$3&lt;=$O$2,$D461,$D461-($D461-$I$454)*MIN(M$3-$O$2,$Q$2)/$Q$2))</f>
        <v>3363.30025815561</v>
      </c>
      <c r="N461" s="15" t="n">
        <f aca="false">M461*(1+IF(N$3&lt;=$O$2,$D461,$D461-($D461-$I$454)*MIN(N$3-$O$2,$Q$2)/$Q$2))</f>
        <v>3424.84865287986</v>
      </c>
      <c r="O461" s="15" t="n">
        <f aca="false">SUMPRODUCT(E461:N461,1/(1+$F$454)^$E$3:$N$3)*$E$2</f>
        <v>5810.6496120892</v>
      </c>
      <c r="P461" s="15" t="n">
        <f aca="false">N461*$E$2*(1+$I$454)/($F$454-$I$454)/(1+$F$454)^$N$3</f>
        <v>6714.96449538282</v>
      </c>
      <c r="Q461" s="15" t="n">
        <f aca="false">O461+P461</f>
        <v>12525.614107472</v>
      </c>
      <c r="R461" s="15" t="n">
        <f aca="false">Q461-$G$2+$I$2</f>
        <v>11250.944107472</v>
      </c>
      <c r="S461" s="42" t="n">
        <f aca="false">R461/$K$2</f>
        <v>316.304304398989</v>
      </c>
      <c r="T461" s="43" t="n">
        <f aca="false">S461-$M$2</f>
        <v>27.0155779441109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0.015625</v>
      </c>
      <c r="C462" s="25" t="n">
        <f aca="false">IF(T461&gt;0,D461,C461)</f>
        <v>0.0390625</v>
      </c>
      <c r="D462" s="41" t="n">
        <f aca="false">(B462+C462)/2</f>
        <v>0.02734375</v>
      </c>
      <c r="E462" s="15" t="n">
        <f aca="false">$C$2*(1+IF(E$3&lt;=$O$2,$D462,$D462-($D462-$I$454)*MIN(E$3-$O$2,$Q$2)/$Q$2))</f>
        <v>2547.8125</v>
      </c>
      <c r="F462" s="15" t="n">
        <f aca="false">E462*(1+IF(F$3&lt;=$O$2,$D462,$D462-($D462-$I$454)*MIN(F$3-$O$2,$Q$2)/$Q$2))</f>
        <v>2617.47924804688</v>
      </c>
      <c r="G462" s="15" t="n">
        <f aca="false">F462*(1+IF(G$3&lt;=$O$2,$D462,$D462-($D462-$I$454)*MIN(G$3-$O$2,$Q$2)/$Q$2))</f>
        <v>2689.05094623566</v>
      </c>
      <c r="H462" s="15" t="n">
        <f aca="false">G462*(1+IF(H$3&lt;=$O$2,$D462,$D462-($D462-$I$454)*MIN(H$3-$O$2,$Q$2)/$Q$2))</f>
        <v>2762.57968304679</v>
      </c>
      <c r="I462" s="15" t="n">
        <f aca="false">H462*(1+IF(I$3&lt;=$O$2,$D462,$D462-($D462-$I$454)*MIN(I$3-$O$2,$Q$2)/$Q$2))</f>
        <v>2838.1189712551</v>
      </c>
      <c r="J462" s="15" t="n">
        <f aca="false">I462*(1+IF(J$3&lt;=$O$2,$D462,$D462-($D462-$I$454)*MIN(J$3-$O$2,$Q$2)/$Q$2))</f>
        <v>2910.5903391861</v>
      </c>
      <c r="K462" s="15" t="n">
        <f aca="false">J462*(1+IF(K$3&lt;=$O$2,$D462,$D462-($D462-$I$454)*MIN(K$3-$O$2,$Q$2)/$Q$2))</f>
        <v>2979.64773322121</v>
      </c>
      <c r="L462" s="15" t="n">
        <f aca="false">K462*(1+IF(L$3&lt;=$O$2,$D462,$D462-($D462-$I$454)*MIN(L$3-$O$2,$Q$2)/$Q$2))</f>
        <v>3044.95416241409</v>
      </c>
      <c r="M462" s="15" t="n">
        <f aca="false">L462*(1+IF(M$3&lt;=$O$2,$D462,$D462-($D462-$I$454)*MIN(M$3-$O$2,$Q$2)/$Q$2))</f>
        <v>3106.18438442753</v>
      </c>
      <c r="N462" s="15" t="n">
        <f aca="false">M462*(1+IF(N$3&lt;=$O$2,$D462,$D462-($D462-$I$454)*MIN(N$3-$O$2,$Q$2)/$Q$2))</f>
        <v>3163.02755866256</v>
      </c>
      <c r="O462" s="15" t="n">
        <f aca="false">SUMPRODUCT(E462:N462,1/(1+$F$454)^$E$3:$N$3)*$E$2</f>
        <v>5522.20721242462</v>
      </c>
      <c r="P462" s="15" t="n">
        <f aca="false">N462*$E$2*(1+$I$454)/($F$454-$I$454)/(1+$F$454)^$N$3</f>
        <v>6201.62229255785</v>
      </c>
      <c r="Q462" s="15" t="n">
        <f aca="false">O462+P462</f>
        <v>11723.8295049825</v>
      </c>
      <c r="R462" s="15" t="n">
        <f aca="false">Q462-$G$2+$I$2</f>
        <v>10449.1595049825</v>
      </c>
      <c r="S462" s="42" t="n">
        <f aca="false">R462/$K$2</f>
        <v>293.763269749296</v>
      </c>
      <c r="T462" s="43" t="n">
        <f aca="false">S462-$M$2</f>
        <v>4.47454329441865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0.015625</v>
      </c>
      <c r="C463" s="25" t="n">
        <f aca="false">IF(T462&gt;0,D462,C462)</f>
        <v>0.02734375</v>
      </c>
      <c r="D463" s="41" t="n">
        <f aca="false">(B463+C463)/2</f>
        <v>0.021484375</v>
      </c>
      <c r="E463" s="15" t="n">
        <f aca="false">$C$2*(1+IF(E$3&lt;=$O$2,$D463,$D463-($D463-$I$454)*MIN(E$3-$O$2,$Q$2)/$Q$2))</f>
        <v>2533.28125</v>
      </c>
      <c r="F463" s="15" t="n">
        <f aca="false">E463*(1+IF(F$3&lt;=$O$2,$D463,$D463-($D463-$I$454)*MIN(F$3-$O$2,$Q$2)/$Q$2))</f>
        <v>2587.70721435547</v>
      </c>
      <c r="G463" s="15" t="n">
        <f aca="false">F463*(1+IF(G$3&lt;=$O$2,$D463,$D463-($D463-$I$454)*MIN(G$3-$O$2,$Q$2)/$Q$2))</f>
        <v>2643.30248653889</v>
      </c>
      <c r="H463" s="15" t="n">
        <f aca="false">G463*(1+IF(H$3&lt;=$O$2,$D463,$D463-($D463-$I$454)*MIN(H$3-$O$2,$Q$2)/$Q$2))</f>
        <v>2700.09218839812</v>
      </c>
      <c r="I463" s="15" t="n">
        <f aca="false">H463*(1+IF(I$3&lt;=$O$2,$D463,$D463-($D463-$I$454)*MIN(I$3-$O$2,$Q$2)/$Q$2))</f>
        <v>2758.10198150824</v>
      </c>
      <c r="J463" s="15" t="n">
        <f aca="false">I463*(1+IF(J$3&lt;=$O$2,$D463,$D463-($D463-$I$454)*MIN(J$3-$O$2,$Q$2)/$Q$2))</f>
        <v>2815.60151256773</v>
      </c>
      <c r="K463" s="15" t="n">
        <f aca="false">J463*(1+IF(K$3&lt;=$O$2,$D463,$D463-($D463-$I$454)*MIN(K$3-$O$2,$Q$2)/$Q$2))</f>
        <v>2872.50657888767</v>
      </c>
      <c r="L463" s="15" t="n">
        <f aca="false">K463*(1+IF(L$3&lt;=$O$2,$D463,$D463-($D463-$I$454)*MIN(L$3-$O$2,$Q$2)/$Q$2))</f>
        <v>2928.73230453617</v>
      </c>
      <c r="M463" s="15" t="n">
        <f aca="false">L463*(1+IF(M$3&lt;=$O$2,$D463,$D463-($D463-$I$454)*MIN(M$3-$O$2,$Q$2)/$Q$2))</f>
        <v>2984.19334209563</v>
      </c>
      <c r="N463" s="15" t="n">
        <f aca="false">M463*(1+IF(N$3&lt;=$O$2,$D463,$D463-($D463-$I$454)*MIN(N$3-$O$2,$Q$2)/$Q$2))</f>
        <v>3038.80408025598</v>
      </c>
      <c r="O463" s="15" t="n">
        <f aca="false">SUMPRODUCT(E463:N463,1/(1+$F$454)^$E$3:$N$3)*$E$2</f>
        <v>5383.48012587234</v>
      </c>
      <c r="P463" s="15" t="n">
        <f aca="false">N463*$E$2*(1+$I$454)/($F$454-$I$454)/(1+$F$454)^$N$3</f>
        <v>5958.06226070311</v>
      </c>
      <c r="Q463" s="15" t="n">
        <f aca="false">O463+P463</f>
        <v>11341.5423865754</v>
      </c>
      <c r="R463" s="15" t="n">
        <f aca="false">Q463-$G$2+$I$2</f>
        <v>10066.8723865754</v>
      </c>
      <c r="S463" s="42" t="n">
        <f aca="false">R463/$K$2</f>
        <v>283.015810699338</v>
      </c>
      <c r="T463" s="43" t="n">
        <f aca="false">S463-$M$2</f>
        <v>-6.27291575553988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0.021484375</v>
      </c>
      <c r="C464" s="25" t="n">
        <f aca="false">IF(T463&gt;0,D463,C463)</f>
        <v>0.02734375</v>
      </c>
      <c r="D464" s="41" t="n">
        <f aca="false">(B464+C464)/2</f>
        <v>0.0244140625</v>
      </c>
      <c r="E464" s="15" t="n">
        <f aca="false">$C$2*(1+IF(E$3&lt;=$O$2,$D464,$D464-($D464-$I$454)*MIN(E$3-$O$2,$Q$2)/$Q$2))</f>
        <v>2540.546875</v>
      </c>
      <c r="F464" s="15" t="n">
        <f aca="false">E464*(1+IF(F$3&lt;=$O$2,$D464,$D464-($D464-$I$454)*MIN(F$3-$O$2,$Q$2)/$Q$2))</f>
        <v>2602.57194519043</v>
      </c>
      <c r="G464" s="15" t="n">
        <f aca="false">F464*(1+IF(G$3&lt;=$O$2,$D464,$D464-($D464-$I$454)*MIN(G$3-$O$2,$Q$2)/$Q$2))</f>
        <v>2666.11129932106</v>
      </c>
      <c r="H464" s="15" t="n">
        <f aca="false">G464*(1+IF(H$3&lt;=$O$2,$D464,$D464-($D464-$I$454)*MIN(H$3-$O$2,$Q$2)/$Q$2))</f>
        <v>2731.20190721464</v>
      </c>
      <c r="I464" s="15" t="n">
        <f aca="false">H464*(1+IF(I$3&lt;=$O$2,$D464,$D464-($D464-$I$454)*MIN(I$3-$O$2,$Q$2)/$Q$2))</f>
        <v>2797.88164127749</v>
      </c>
      <c r="J464" s="15" t="n">
        <f aca="false">I464*(1+IF(J$3&lt;=$O$2,$D464,$D464-($D464-$I$454)*MIN(J$3-$O$2,$Q$2)/$Q$2))</f>
        <v>2862.76801389077</v>
      </c>
      <c r="K464" s="15" t="n">
        <f aca="false">J464*(1+IF(K$3&lt;=$O$2,$D464,$D464-($D464-$I$454)*MIN(K$3-$O$2,$Q$2)/$Q$2))</f>
        <v>2925.65855408093</v>
      </c>
      <c r="L464" s="15" t="n">
        <f aca="false">K464*(1+IF(L$3&lt;=$O$2,$D464,$D464-($D464-$I$454)*MIN(L$3-$O$2,$Q$2)/$Q$2))</f>
        <v>2986.35316932193</v>
      </c>
      <c r="M464" s="15" t="n">
        <f aca="false">L464*(1+IF(M$3&lt;=$O$2,$D464,$D464-($D464-$I$454)*MIN(M$3-$O$2,$Q$2)/$Q$2))</f>
        <v>3044.65518230539</v>
      </c>
      <c r="N464" s="15" t="n">
        <f aca="false">M464*(1+IF(N$3&lt;=$O$2,$D464,$D464-($D464-$I$454)*MIN(N$3-$O$2,$Q$2)/$Q$2))</f>
        <v>3100.37237214157</v>
      </c>
      <c r="O464" s="15" t="n">
        <f aca="false">SUMPRODUCT(E464:N464,1/(1+$F$454)^$E$3:$N$3)*$E$2</f>
        <v>5452.39506374168</v>
      </c>
      <c r="P464" s="15" t="n">
        <f aca="false">N464*$E$2*(1+$I$454)/($F$454-$I$454)/(1+$F$454)^$N$3</f>
        <v>6078.77676109584</v>
      </c>
      <c r="Q464" s="15" t="n">
        <f aca="false">O464+P464</f>
        <v>11531.1718248375</v>
      </c>
      <c r="R464" s="15" t="n">
        <f aca="false">Q464-$G$2+$I$2</f>
        <v>10256.5018248375</v>
      </c>
      <c r="S464" s="42" t="n">
        <f aca="false">R464/$K$2</f>
        <v>288.346972865829</v>
      </c>
      <c r="T464" s="43" t="n">
        <f aca="false">S464-$M$2</f>
        <v>-0.941753589049142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0.0244140625</v>
      </c>
      <c r="C465" s="25" t="n">
        <f aca="false">IF(T464&gt;0,D464,C464)</f>
        <v>0.02734375</v>
      </c>
      <c r="D465" s="41" t="n">
        <f aca="false">(B465+C465)/2</f>
        <v>0.02587890625</v>
      </c>
      <c r="E465" s="15" t="n">
        <f aca="false">$C$2*(1+IF(E$3&lt;=$O$2,$D465,$D465-($D465-$I$454)*MIN(E$3-$O$2,$Q$2)/$Q$2))</f>
        <v>2544.1796875</v>
      </c>
      <c r="F465" s="15" t="n">
        <f aca="false">E465*(1+IF(F$3&lt;=$O$2,$D465,$D465-($D465-$I$454)*MIN(F$3-$O$2,$Q$2)/$Q$2))</f>
        <v>2610.02027511597</v>
      </c>
      <c r="G465" s="15" t="n">
        <f aca="false">F465*(1+IF(G$3&lt;=$O$2,$D465,$D465-($D465-$I$454)*MIN(G$3-$O$2,$Q$2)/$Q$2))</f>
        <v>2677.56474512629</v>
      </c>
      <c r="H465" s="15" t="n">
        <f aca="false">G465*(1+IF(H$3&lt;=$O$2,$D465,$D465-($D465-$I$454)*MIN(H$3-$O$2,$Q$2)/$Q$2))</f>
        <v>2746.85719214372</v>
      </c>
      <c r="I465" s="15" t="n">
        <f aca="false">H465*(1+IF(I$3&lt;=$O$2,$D465,$D465-($D465-$I$454)*MIN(I$3-$O$2,$Q$2)/$Q$2))</f>
        <v>2817.94285190135</v>
      </c>
      <c r="J465" s="15" t="n">
        <f aca="false">I465*(1+IF(J$3&lt;=$O$2,$D465,$D465-($D465-$I$454)*MIN(J$3-$O$2,$Q$2)/$Q$2))</f>
        <v>2886.59674584508</v>
      </c>
      <c r="K465" s="15" t="n">
        <f aca="false">J465*(1+IF(K$3&lt;=$O$2,$D465,$D465-($D465-$I$454)*MIN(K$3-$O$2,$Q$2)/$Q$2))</f>
        <v>2952.54781396503</v>
      </c>
      <c r="L465" s="15" t="n">
        <f aca="false">K465*(1+IF(L$3&lt;=$O$2,$D465,$D465-($D465-$I$454)*MIN(L$3-$O$2,$Q$2)/$Q$2))</f>
        <v>3015.53027219286</v>
      </c>
      <c r="M465" s="15" t="n">
        <f aca="false">L465*(1+IF(M$3&lt;=$O$2,$D465,$D465-($D465-$I$454)*MIN(M$3-$O$2,$Q$2)/$Q$2))</f>
        <v>3075.28536041939</v>
      </c>
      <c r="N465" s="15" t="n">
        <f aca="false">M465*(1+IF(N$3&lt;=$O$2,$D465,$D465-($D465-$I$454)*MIN(N$3-$O$2,$Q$2)/$Q$2))</f>
        <v>3131.56308251506</v>
      </c>
      <c r="O465" s="15" t="n">
        <f aca="false">SUMPRODUCT(E465:N465,1/(1+$F$454)^$E$3:$N$3)*$E$2</f>
        <v>5487.18830218565</v>
      </c>
      <c r="P465" s="15" t="n">
        <f aca="false">N465*$E$2*(1+$I$454)/($F$454-$I$454)/(1+$F$454)^$N$3</f>
        <v>6139.93114599621</v>
      </c>
      <c r="Q465" s="15" t="n">
        <f aca="false">O465+P465</f>
        <v>11627.1194481819</v>
      </c>
      <c r="R465" s="15" t="n">
        <f aca="false">Q465-$G$2+$I$2</f>
        <v>10352.4494481819</v>
      </c>
      <c r="S465" s="42" t="n">
        <f aca="false">R465/$K$2</f>
        <v>291.044403941014</v>
      </c>
      <c r="T465" s="43" t="n">
        <f aca="false">S465-$M$2</f>
        <v>1.75567748613616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0.0244140625</v>
      </c>
      <c r="C466" s="25" t="n">
        <f aca="false">IF(T465&gt;0,D465,C465)</f>
        <v>0.02587890625</v>
      </c>
      <c r="D466" s="41" t="n">
        <f aca="false">(B466+C466)/2</f>
        <v>0.025146484375</v>
      </c>
      <c r="E466" s="15" t="n">
        <f aca="false">$C$2*(1+IF(E$3&lt;=$O$2,$D466,$D466-($D466-$I$454)*MIN(E$3-$O$2,$Q$2)/$Q$2))</f>
        <v>2542.36328125</v>
      </c>
      <c r="F466" s="15" t="n">
        <f aca="false">E466*(1+IF(F$3&lt;=$O$2,$D466,$D466-($D466-$I$454)*MIN(F$3-$O$2,$Q$2)/$Q$2))</f>
        <v>2606.29477977753</v>
      </c>
      <c r="G466" s="15" t="n">
        <f aca="false">F466*(1+IF(G$3&lt;=$O$2,$D466,$D466-($D466-$I$454)*MIN(G$3-$O$2,$Q$2)/$Q$2))</f>
        <v>2671.83393073385</v>
      </c>
      <c r="H466" s="15" t="n">
        <f aca="false">G466*(1+IF(H$3&lt;=$O$2,$D466,$D466-($D466-$I$454)*MIN(H$3-$O$2,$Q$2)/$Q$2))</f>
        <v>2739.02116092564</v>
      </c>
      <c r="I466" s="15" t="n">
        <f aca="false">H466*(1+IF(I$3&lt;=$O$2,$D466,$D466-($D466-$I$454)*MIN(I$3-$O$2,$Q$2)/$Q$2))</f>
        <v>2807.89791375165</v>
      </c>
      <c r="J466" s="15" t="n">
        <f aca="false">I466*(1+IF(J$3&lt;=$O$2,$D466,$D466-($D466-$I$454)*MIN(J$3-$O$2,$Q$2)/$Q$2))</f>
        <v>2874.66182892778</v>
      </c>
      <c r="K466" s="15" t="n">
        <f aca="false">J466*(1+IF(K$3&lt;=$O$2,$D466,$D466-($D466-$I$454)*MIN(K$3-$O$2,$Q$2)/$Q$2))</f>
        <v>2939.07693677426</v>
      </c>
      <c r="L466" s="15" t="n">
        <f aca="false">K466*(1+IF(L$3&lt;=$O$2,$D466,$D466-($D466-$I$454)*MIN(L$3-$O$2,$Q$2)/$Q$2))</f>
        <v>3000.91098244705</v>
      </c>
      <c r="M466" s="15" t="n">
        <f aca="false">L466*(1+IF(M$3&lt;=$O$2,$D466,$D466-($D466-$I$454)*MIN(M$3-$O$2,$Q$2)/$Q$2))</f>
        <v>3059.93679145625</v>
      </c>
      <c r="N466" s="15" t="n">
        <f aca="false">M466*(1+IF(N$3&lt;=$O$2,$D466,$D466-($D466-$I$454)*MIN(N$3-$O$2,$Q$2)/$Q$2))</f>
        <v>3115.9336347399</v>
      </c>
      <c r="O466" s="15" t="n">
        <f aca="false">SUMPRODUCT(E466:N466,1/(1+$F$454)^$E$3:$N$3)*$E$2</f>
        <v>5469.76355984182</v>
      </c>
      <c r="P466" s="15" t="n">
        <f aca="false">N466*$E$2*(1+$I$454)/($F$454-$I$454)/(1+$F$454)^$N$3</f>
        <v>6109.28710956428</v>
      </c>
      <c r="Q466" s="15" t="n">
        <f aca="false">O466+P466</f>
        <v>11579.0506694061</v>
      </c>
      <c r="R466" s="15" t="n">
        <f aca="false">Q466-$G$2+$I$2</f>
        <v>10304.3806694061</v>
      </c>
      <c r="S466" s="42" t="n">
        <f aca="false">R466/$K$2</f>
        <v>289.693018538266</v>
      </c>
      <c r="T466" s="43" t="n">
        <f aca="false">S466-$M$2</f>
        <v>0.404292083387873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0.0244140625</v>
      </c>
      <c r="C467" s="25" t="n">
        <f aca="false">IF(T466&gt;0,D466,C466)</f>
        <v>0.025146484375</v>
      </c>
      <c r="D467" s="41" t="n">
        <f aca="false">(B467+C467)/2</f>
        <v>0.0247802734375</v>
      </c>
      <c r="E467" s="15" t="n">
        <f aca="false">$C$2*(1+IF(E$3&lt;=$O$2,$D467,$D467-($D467-$I$454)*MIN(E$3-$O$2,$Q$2)/$Q$2))</f>
        <v>2541.455078125</v>
      </c>
      <c r="F467" s="15" t="n">
        <f aca="false">E467*(1+IF(F$3&lt;=$O$2,$D467,$D467-($D467-$I$454)*MIN(F$3-$O$2,$Q$2)/$Q$2))</f>
        <v>2604.43302989006</v>
      </c>
      <c r="G467" s="15" t="n">
        <f aca="false">F467*(1+IF(G$3&lt;=$O$2,$D467,$D467-($D467-$I$454)*MIN(G$3-$O$2,$Q$2)/$Q$2))</f>
        <v>2668.97159252039</v>
      </c>
      <c r="H467" s="15" t="n">
        <f aca="false">G467*(1+IF(H$3&lt;=$O$2,$D467,$D467-($D467-$I$454)*MIN(H$3-$O$2,$Q$2)/$Q$2))</f>
        <v>2735.10943837997</v>
      </c>
      <c r="I467" s="15" t="n">
        <f aca="false">H467*(1+IF(I$3&lt;=$O$2,$D467,$D467-($D467-$I$454)*MIN(I$3-$O$2,$Q$2)/$Q$2))</f>
        <v>2802.88619814451</v>
      </c>
      <c r="J467" s="15" t="n">
        <f aca="false">I467*(1+IF(J$3&lt;=$O$2,$D467,$D467-($D467-$I$454)*MIN(J$3-$O$2,$Q$2)/$Q$2))</f>
        <v>2868.70979075309</v>
      </c>
      <c r="K467" s="15" t="n">
        <f aca="false">J467*(1+IF(K$3&lt;=$O$2,$D467,$D467-($D467-$I$454)*MIN(K$3-$O$2,$Q$2)/$Q$2))</f>
        <v>2932.36119423802</v>
      </c>
      <c r="L467" s="15" t="n">
        <f aca="false">K467*(1+IF(L$3&lt;=$O$2,$D467,$D467-($D467-$I$454)*MIN(L$3-$O$2,$Q$2)/$Q$2))</f>
        <v>2993.62440503505</v>
      </c>
      <c r="M467" s="15" t="n">
        <f aca="false">L467*(1+IF(M$3&lt;=$O$2,$D467,$D467-($D467-$I$454)*MIN(M$3-$O$2,$Q$2)/$Q$2))</f>
        <v>3052.28763258995</v>
      </c>
      <c r="N467" s="15" t="n">
        <f aca="false">M467*(1+IF(N$3&lt;=$O$2,$D467,$D467-($D467-$I$454)*MIN(N$3-$O$2,$Q$2)/$Q$2))</f>
        <v>3108.14449626635</v>
      </c>
      <c r="O467" s="15" t="n">
        <f aca="false">SUMPRODUCT(E467:N467,1/(1+$F$454)^$E$3:$N$3)*$E$2</f>
        <v>5461.07229171793</v>
      </c>
      <c r="P467" s="15" t="n">
        <f aca="false">N467*$E$2*(1+$I$454)/($F$454-$I$454)/(1+$F$454)^$N$3</f>
        <v>6094.01525565169</v>
      </c>
      <c r="Q467" s="15" t="n">
        <f aca="false">O467+P467</f>
        <v>11555.0875473696</v>
      </c>
      <c r="R467" s="15" t="n">
        <f aca="false">Q467-$G$2+$I$2</f>
        <v>10280.4175473696</v>
      </c>
      <c r="S467" s="42" t="n">
        <f aca="false">R467/$K$2</f>
        <v>289.019329417195</v>
      </c>
      <c r="T467" s="43" t="n">
        <f aca="false">S467-$M$2</f>
        <v>-0.269397037682722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0.0247802734375</v>
      </c>
      <c r="C468" s="25" t="n">
        <f aca="false">IF(T467&gt;0,D467,C467)</f>
        <v>0.025146484375</v>
      </c>
      <c r="D468" s="41" t="n">
        <f aca="false">(B468+C468)/2</f>
        <v>0.02496337890625</v>
      </c>
      <c r="E468" s="15" t="n">
        <f aca="false">$C$2*(1+IF(E$3&lt;=$O$2,$D468,$D468-($D468-$I$454)*MIN(E$3-$O$2,$Q$2)/$Q$2))</f>
        <v>2541.9091796875</v>
      </c>
      <c r="F468" s="15" t="n">
        <f aca="false">E468*(1+IF(F$3&lt;=$O$2,$D468,$D468-($D468-$I$454)*MIN(F$3-$O$2,$Q$2)/$Q$2))</f>
        <v>2605.36382168531</v>
      </c>
      <c r="G468" s="15" t="n">
        <f aca="false">F468*(1+IF(G$3&lt;=$O$2,$D468,$D468-($D468-$I$454)*MIN(G$3-$O$2,$Q$2)/$Q$2))</f>
        <v>2670.40250595468</v>
      </c>
      <c r="H468" s="15" t="n">
        <f aca="false">G468*(1+IF(H$3&lt;=$O$2,$D468,$D468-($D468-$I$454)*MIN(H$3-$O$2,$Q$2)/$Q$2))</f>
        <v>2737.06477554303</v>
      </c>
      <c r="I468" s="15" t="n">
        <f aca="false">H468*(1+IF(I$3&lt;=$O$2,$D468,$D468-($D468-$I$454)*MIN(I$3-$O$2,$Q$2)/$Q$2))</f>
        <v>2805.39116062586</v>
      </c>
      <c r="J468" s="15" t="n">
        <f aca="false">I468*(1+IF(J$3&lt;=$O$2,$D468,$D468-($D468-$I$454)*MIN(J$3-$O$2,$Q$2)/$Q$2))</f>
        <v>2871.68452629211</v>
      </c>
      <c r="K468" s="15" t="n">
        <f aca="false">J468*(1+IF(K$3&lt;=$O$2,$D468,$D468-($D468-$I$454)*MIN(K$3-$O$2,$Q$2)/$Q$2))</f>
        <v>2935.71742638199</v>
      </c>
      <c r="L468" s="15" t="n">
        <f aca="false">K468*(1+IF(L$3&lt;=$O$2,$D468,$D468-($D468-$I$454)*MIN(L$3-$O$2,$Q$2)/$Q$2))</f>
        <v>2997.26577431425</v>
      </c>
      <c r="M468" s="15" t="n">
        <f aca="false">L468*(1+IF(M$3&lt;=$O$2,$D468,$D468-($D468-$I$454)*MIN(M$3-$O$2,$Q$2)/$Q$2))</f>
        <v>3056.1101214916</v>
      </c>
      <c r="N468" s="15" t="n">
        <f aca="false">M468*(1+IF(N$3&lt;=$O$2,$D468,$D468-($D468-$I$454)*MIN(N$3-$O$2,$Q$2)/$Q$2))</f>
        <v>3112.03693671489</v>
      </c>
      <c r="O468" s="15" t="n">
        <f aca="false">SUMPRODUCT(E468:N468,1/(1+$F$454)^$E$3:$N$3)*$E$2</f>
        <v>5465.4161694242</v>
      </c>
      <c r="P468" s="15" t="n">
        <f aca="false">N468*$E$2*(1+$I$454)/($F$454-$I$454)/(1+$F$454)^$N$3</f>
        <v>6101.64700877761</v>
      </c>
      <c r="Q468" s="15" t="n">
        <f aca="false">O468+P468</f>
        <v>11567.0631782018</v>
      </c>
      <c r="R468" s="15" t="n">
        <f aca="false">Q468-$G$2+$I$2</f>
        <v>10292.3931782018</v>
      </c>
      <c r="S468" s="42" t="n">
        <f aca="false">R468/$K$2</f>
        <v>289.356007258977</v>
      </c>
      <c r="T468" s="43" t="n">
        <f aca="false">S468-$M$2</f>
        <v>0.0672808040991981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0.0247802734375</v>
      </c>
      <c r="C469" s="25" t="n">
        <f aca="false">IF(T468&gt;0,D468,C468)</f>
        <v>0.02496337890625</v>
      </c>
      <c r="D469" s="41" t="n">
        <f aca="false">(B469+C469)/2</f>
        <v>0.024871826171875</v>
      </c>
      <c r="E469" s="15" t="n">
        <f aca="false">$C$2*(1+IF(E$3&lt;=$O$2,$D469,$D469-($D469-$I$454)*MIN(E$3-$O$2,$Q$2)/$Q$2))</f>
        <v>2541.68212890625</v>
      </c>
      <c r="F469" s="15" t="n">
        <f aca="false">E469*(1+IF(F$3&lt;=$O$2,$D469,$D469-($D469-$I$454)*MIN(F$3-$O$2,$Q$2)/$Q$2))</f>
        <v>2604.89840500057</v>
      </c>
      <c r="G469" s="15" t="n">
        <f aca="false">F469*(1+IF(G$3&lt;=$O$2,$D469,$D469-($D469-$I$454)*MIN(G$3-$O$2,$Q$2)/$Q$2))</f>
        <v>2669.68698532514</v>
      </c>
      <c r="H469" s="15" t="n">
        <f aca="false">G469*(1+IF(H$3&lt;=$O$2,$D469,$D469-($D469-$I$454)*MIN(H$3-$O$2,$Q$2)/$Q$2))</f>
        <v>2736.08697595746</v>
      </c>
      <c r="I469" s="15" t="n">
        <f aca="false">H469*(1+IF(I$3&lt;=$O$2,$D469,$D469-($D469-$I$454)*MIN(I$3-$O$2,$Q$2)/$Q$2))</f>
        <v>2804.13845561461</v>
      </c>
      <c r="J469" s="15" t="n">
        <f aca="false">I469*(1+IF(J$3&lt;=$O$2,$D469,$D469-($D469-$I$454)*MIN(J$3-$O$2,$Q$2)/$Q$2))</f>
        <v>2870.19683774609</v>
      </c>
      <c r="K469" s="15" t="n">
        <f aca="false">J469*(1+IF(K$3&lt;=$O$2,$D469,$D469-($D469-$I$454)*MIN(K$3-$O$2,$Q$2)/$Q$2))</f>
        <v>2934.03890069488</v>
      </c>
      <c r="L469" s="15" t="n">
        <f aca="false">K469*(1+IF(L$3&lt;=$O$2,$D469,$D469-($D469-$I$454)*MIN(L$3-$O$2,$Q$2)/$Q$2))</f>
        <v>2995.44461003235</v>
      </c>
      <c r="M469" s="15" t="n">
        <f aca="false">L469*(1+IF(M$3&lt;=$O$2,$D469,$D469-($D469-$I$454)*MIN(M$3-$O$2,$Q$2)/$Q$2))</f>
        <v>3054.19835465287</v>
      </c>
      <c r="N469" s="15" t="n">
        <f aca="false">M469*(1+IF(N$3&lt;=$O$2,$D469,$D469-($D469-$I$454)*MIN(N$3-$O$2,$Q$2)/$Q$2))</f>
        <v>3110.09018454301</v>
      </c>
      <c r="O469" s="15" t="n">
        <f aca="false">SUMPRODUCT(E469:N469,1/(1+$F$454)^$E$3:$N$3)*$E$2</f>
        <v>5463.24379164937</v>
      </c>
      <c r="P469" s="15" t="n">
        <f aca="false">N469*$E$2*(1+$I$454)/($F$454-$I$454)/(1+$F$454)^$N$3</f>
        <v>6097.83008924615</v>
      </c>
      <c r="Q469" s="15" t="n">
        <f aca="false">O469+P469</f>
        <v>11561.0738808955</v>
      </c>
      <c r="R469" s="15" t="n">
        <f aca="false">Q469-$G$2+$I$2</f>
        <v>10286.4038808955</v>
      </c>
      <c r="S469" s="42" t="n">
        <f aca="false">R469/$K$2</f>
        <v>289.187626676849</v>
      </c>
      <c r="T469" s="43" t="n">
        <f aca="false">S469-$M$2</f>
        <v>-0.101099778028811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0.024871826171875</v>
      </c>
      <c r="C470" s="25" t="n">
        <f aca="false">IF(T469&gt;0,D469,C469)</f>
        <v>0.02496337890625</v>
      </c>
      <c r="D470" s="41" t="n">
        <f aca="false">(B470+C470)/2</f>
        <v>0.0249176025390625</v>
      </c>
      <c r="E470" s="15" t="n">
        <f aca="false">$C$2*(1+IF(E$3&lt;=$O$2,$D470,$D470-($D470-$I$454)*MIN(E$3-$O$2,$Q$2)/$Q$2))</f>
        <v>2541.79565429688</v>
      </c>
      <c r="F470" s="15" t="n">
        <f aca="false">E470*(1+IF(F$3&lt;=$O$2,$D470,$D470-($D470-$I$454)*MIN(F$3-$O$2,$Q$2)/$Q$2))</f>
        <v>2605.13110814616</v>
      </c>
      <c r="G470" s="15" t="n">
        <f aca="false">F470*(1+IF(G$3&lt;=$O$2,$D470,$D470-($D470-$I$454)*MIN(G$3-$O$2,$Q$2)/$Q$2))</f>
        <v>2670.04472966109</v>
      </c>
      <c r="H470" s="15" t="n">
        <f aca="false">G470*(1+IF(H$3&lt;=$O$2,$D470,$D470-($D470-$I$454)*MIN(H$3-$O$2,$Q$2)/$Q$2))</f>
        <v>2736.57584299631</v>
      </c>
      <c r="I470" s="15" t="n">
        <f aca="false">H470*(1+IF(I$3&lt;=$O$2,$D470,$D470-($D470-$I$454)*MIN(I$3-$O$2,$Q$2)/$Q$2))</f>
        <v>2804.76475217009</v>
      </c>
      <c r="J470" s="15" t="n">
        <f aca="false">I470*(1+IF(J$3&lt;=$O$2,$D470,$D470-($D470-$I$454)*MIN(J$3-$O$2,$Q$2)/$Q$2))</f>
        <v>2870.94060181115</v>
      </c>
      <c r="K470" s="15" t="n">
        <f aca="false">J470*(1+IF(K$3&lt;=$O$2,$D470,$D470-($D470-$I$454)*MIN(K$3-$O$2,$Q$2)/$Q$2))</f>
        <v>2934.87806111392</v>
      </c>
      <c r="L470" s="15" t="n">
        <f aca="false">K470*(1+IF(L$3&lt;=$O$2,$D470,$D470-($D470-$I$454)*MIN(L$3-$O$2,$Q$2)/$Q$2))</f>
        <v>2996.35507223593</v>
      </c>
      <c r="M470" s="15" t="n">
        <f aca="false">L470*(1+IF(M$3&lt;=$O$2,$D470,$D470-($D470-$I$454)*MIN(M$3-$O$2,$Q$2)/$Q$2))</f>
        <v>3055.15410744464</v>
      </c>
      <c r="N470" s="15" t="n">
        <f aca="false">M470*(1+IF(N$3&lt;=$O$2,$D470,$D470-($D470-$I$454)*MIN(N$3-$O$2,$Q$2)/$Q$2))</f>
        <v>3111.06342761088</v>
      </c>
      <c r="O470" s="15" t="n">
        <f aca="false">SUMPRODUCT(E470:N470,1/(1+$F$454)^$E$3:$N$3)*$E$2</f>
        <v>5464.32987078546</v>
      </c>
      <c r="P470" s="15" t="n">
        <f aca="false">N470*$E$2*(1+$I$454)/($F$454-$I$454)/(1+$F$454)^$N$3</f>
        <v>6099.73828820863</v>
      </c>
      <c r="Q470" s="15" t="n">
        <f aca="false">O470+P470</f>
        <v>11564.0681589941</v>
      </c>
      <c r="R470" s="15" t="n">
        <f aca="false">Q470-$G$2+$I$2</f>
        <v>10289.3981589941</v>
      </c>
      <c r="S470" s="42" t="n">
        <f aca="false">R470/$K$2</f>
        <v>289.271806550298</v>
      </c>
      <c r="T470" s="43" t="n">
        <f aca="false">S470-$M$2</f>
        <v>-0.016919904579936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0.0249176025390625</v>
      </c>
      <c r="C471" s="25" t="n">
        <f aca="false">IF(T470&gt;0,D470,C470)</f>
        <v>0.02496337890625</v>
      </c>
      <c r="D471" s="41" t="n">
        <f aca="false">(B471+C471)/2</f>
        <v>0.0249404907226563</v>
      </c>
      <c r="E471" s="15" t="n">
        <f aca="false">$C$2*(1+IF(E$3&lt;=$O$2,$D471,$D471-($D471-$I$454)*MIN(E$3-$O$2,$Q$2)/$Q$2))</f>
        <v>2541.85241699219</v>
      </c>
      <c r="F471" s="15" t="n">
        <f aca="false">E471*(1+IF(F$3&lt;=$O$2,$D471,$D471-($D471-$I$454)*MIN(F$3-$O$2,$Q$2)/$Q$2))</f>
        <v>2605.24746361654</v>
      </c>
      <c r="G471" s="15" t="n">
        <f aca="false">F471*(1+IF(G$3&lt;=$O$2,$D471,$D471-($D471-$I$454)*MIN(G$3-$O$2,$Q$2)/$Q$2))</f>
        <v>2670.22361381309</v>
      </c>
      <c r="H471" s="15" t="n">
        <f aca="false">G471*(1+IF(H$3&lt;=$O$2,$D471,$D471-($D471-$I$454)*MIN(H$3-$O$2,$Q$2)/$Q$2))</f>
        <v>2736.82030108082</v>
      </c>
      <c r="I471" s="15" t="n">
        <f aca="false">H471*(1+IF(I$3&lt;=$O$2,$D471,$D471-($D471-$I$454)*MIN(I$3-$O$2,$Q$2)/$Q$2))</f>
        <v>2805.0779424095</v>
      </c>
      <c r="J471" s="15" t="n">
        <f aca="false">I471*(1+IF(J$3&lt;=$O$2,$D471,$D471-($D471-$I$454)*MIN(J$3-$O$2,$Q$2)/$Q$2))</f>
        <v>2871.31254399791</v>
      </c>
      <c r="K471" s="15" t="n">
        <f aca="false">J471*(1+IF(K$3&lt;=$O$2,$D471,$D471-($D471-$I$454)*MIN(K$3-$O$2,$Q$2)/$Q$2))</f>
        <v>2935.29771813923</v>
      </c>
      <c r="L471" s="15" t="n">
        <f aca="false">K471*(1+IF(L$3&lt;=$O$2,$D471,$D471-($D471-$I$454)*MIN(L$3-$O$2,$Q$2)/$Q$2))</f>
        <v>2996.8103932874</v>
      </c>
      <c r="M471" s="15" t="n">
        <f aca="false">L471*(1+IF(M$3&lt;=$O$2,$D471,$D471-($D471-$I$454)*MIN(M$3-$O$2,$Q$2)/$Q$2))</f>
        <v>3055.63208180739</v>
      </c>
      <c r="N471" s="15" t="n">
        <f aca="false">M471*(1+IF(N$3&lt;=$O$2,$D471,$D471-($D471-$I$454)*MIN(N$3-$O$2,$Q$2)/$Q$2))</f>
        <v>3111.55014890447</v>
      </c>
      <c r="O471" s="15" t="n">
        <f aca="false">SUMPRODUCT(E471:N471,1/(1+$F$454)^$E$3:$N$3)*$E$2</f>
        <v>5464.87299266439</v>
      </c>
      <c r="P471" s="15" t="n">
        <f aca="false">N471*$E$2*(1+$I$454)/($F$454-$I$454)/(1+$F$454)^$N$3</f>
        <v>6100.69258328466</v>
      </c>
      <c r="Q471" s="15" t="n">
        <f aca="false">O471+P471</f>
        <v>11565.5655759491</v>
      </c>
      <c r="R471" s="15" t="n">
        <f aca="false">Q471-$G$2+$I$2</f>
        <v>10290.8955759491</v>
      </c>
      <c r="S471" s="42" t="n">
        <f aca="false">R471/$K$2</f>
        <v>289.313904299945</v>
      </c>
      <c r="T471" s="43" t="n">
        <f aca="false">S471-$M$2</f>
        <v>0.025177845067617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0.0249176025390625</v>
      </c>
      <c r="C472" s="25" t="n">
        <f aca="false">IF(T471&gt;0,D471,C471)</f>
        <v>0.0249404907226563</v>
      </c>
      <c r="D472" s="41" t="n">
        <f aca="false">(B472+C472)/2</f>
        <v>0.0249290466308594</v>
      </c>
      <c r="E472" s="15" t="n">
        <f aca="false">$C$2*(1+IF(E$3&lt;=$O$2,$D472,$D472-($D472-$I$454)*MIN(E$3-$O$2,$Q$2)/$Q$2))</f>
        <v>2541.82403564453</v>
      </c>
      <c r="F472" s="15" t="n">
        <f aca="false">E472*(1+IF(F$3&lt;=$O$2,$D472,$D472-($D472-$I$454)*MIN(F$3-$O$2,$Q$2)/$Q$2))</f>
        <v>2605.18928555655</v>
      </c>
      <c r="G472" s="15" t="n">
        <f aca="false">F472*(1+IF(G$3&lt;=$O$2,$D472,$D472-($D472-$I$454)*MIN(G$3-$O$2,$Q$2)/$Q$2))</f>
        <v>2670.13417073841</v>
      </c>
      <c r="H472" s="15" t="n">
        <f aca="false">G472*(1+IF(H$3&lt;=$O$2,$D472,$D472-($D472-$I$454)*MIN(H$3-$O$2,$Q$2)/$Q$2))</f>
        <v>2736.6980699914</v>
      </c>
      <c r="I472" s="15" t="n">
        <f aca="false">H472*(1+IF(I$3&lt;=$O$2,$D472,$D472-($D472-$I$454)*MIN(I$3-$O$2,$Q$2)/$Q$2))</f>
        <v>2804.9213437928</v>
      </c>
      <c r="J472" s="15" t="n">
        <f aca="false">I472*(1+IF(J$3&lt;=$O$2,$D472,$D472-($D472-$I$454)*MIN(J$3-$O$2,$Q$2)/$Q$2))</f>
        <v>2871.12656789132</v>
      </c>
      <c r="K472" s="15" t="n">
        <f aca="false">J472*(1+IF(K$3&lt;=$O$2,$D472,$D472-($D472-$I$454)*MIN(K$3-$O$2,$Q$2)/$Q$2))</f>
        <v>2935.08788322472</v>
      </c>
      <c r="L472" s="15" t="n">
        <f aca="false">K472*(1+IF(L$3&lt;=$O$2,$D472,$D472-($D472-$I$454)*MIN(L$3-$O$2,$Q$2)/$Q$2))</f>
        <v>2996.58272526516</v>
      </c>
      <c r="M472" s="15" t="n">
        <f aca="false">L472*(1+IF(M$3&lt;=$O$2,$D472,$D472-($D472-$I$454)*MIN(M$3-$O$2,$Q$2)/$Q$2))</f>
        <v>3055.39308646132</v>
      </c>
      <c r="N472" s="15" t="n">
        <f aca="false">M472*(1+IF(N$3&lt;=$O$2,$D472,$D472-($D472-$I$454)*MIN(N$3-$O$2,$Q$2)/$Q$2))</f>
        <v>3111.30677994356</v>
      </c>
      <c r="O472" s="15" t="n">
        <f aca="false">SUMPRODUCT(E472:N472,1/(1+$F$454)^$E$3:$N$3)*$E$2</f>
        <v>5464.60142486514</v>
      </c>
      <c r="P472" s="15" t="n">
        <f aca="false">N472*$E$2*(1+$I$454)/($F$454-$I$454)/(1+$F$454)^$N$3</f>
        <v>6100.21541944549</v>
      </c>
      <c r="Q472" s="15" t="n">
        <f aca="false">O472+P472</f>
        <v>11564.8168443106</v>
      </c>
      <c r="R472" s="15" t="n">
        <f aca="false">Q472-$G$2+$I$2</f>
        <v>10290.1468443106</v>
      </c>
      <c r="S472" s="42" t="n">
        <f aca="false">R472/$K$2</f>
        <v>289.292854773985</v>
      </c>
      <c r="T472" s="43" t="n">
        <f aca="false">S472-$M$2</f>
        <v>0.00412831910693967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0.0249176025390625</v>
      </c>
      <c r="C473" s="25" t="n">
        <f aca="false">IF(T472&gt;0,D472,C472)</f>
        <v>0.0249290466308594</v>
      </c>
      <c r="D473" s="41" t="n">
        <f aca="false">(B473+C473)/2</f>
        <v>0.0249233245849609</v>
      </c>
      <c r="E473" s="15" t="n">
        <f aca="false">$C$2*(1+IF(E$3&lt;=$O$2,$D473,$D473-($D473-$I$454)*MIN(E$3-$O$2,$Q$2)/$Q$2))</f>
        <v>2541.8098449707</v>
      </c>
      <c r="F473" s="15" t="n">
        <f aca="false">E473*(1+IF(F$3&lt;=$O$2,$D473,$D473-($D473-$I$454)*MIN(F$3-$O$2,$Q$2)/$Q$2))</f>
        <v>2605.16019677016</v>
      </c>
      <c r="G473" s="15" t="n">
        <f aca="false">F473*(1+IF(G$3&lt;=$O$2,$D473,$D473-($D473-$I$454)*MIN(G$3-$O$2,$Q$2)/$Q$2))</f>
        <v>2670.08944995008</v>
      </c>
      <c r="H473" s="15" t="n">
        <f aca="false">G473*(1+IF(H$3&lt;=$O$2,$D473,$D473-($D473-$I$454)*MIN(H$3-$O$2,$Q$2)/$Q$2))</f>
        <v>2736.63695598207</v>
      </c>
      <c r="I473" s="15" t="n">
        <f aca="false">H473*(1+IF(I$3&lt;=$O$2,$D473,$D473-($D473-$I$454)*MIN(I$3-$O$2,$Q$2)/$Q$2))</f>
        <v>2804.84304710721</v>
      </c>
      <c r="J473" s="15" t="n">
        <f aca="false">I473*(1+IF(J$3&lt;=$O$2,$D473,$D473-($D473-$I$454)*MIN(J$3-$O$2,$Q$2)/$Q$2))</f>
        <v>2871.03358359796</v>
      </c>
      <c r="K473" s="15" t="n">
        <f aca="false">J473*(1+IF(K$3&lt;=$O$2,$D473,$D473-($D473-$I$454)*MIN(K$3-$O$2,$Q$2)/$Q$2))</f>
        <v>2934.9829705689</v>
      </c>
      <c r="L473" s="15" t="n">
        <f aca="false">K473*(1+IF(L$3&lt;=$O$2,$D473,$D473-($D473-$I$454)*MIN(L$3-$O$2,$Q$2)/$Q$2))</f>
        <v>2996.46889687647</v>
      </c>
      <c r="M473" s="15" t="n">
        <f aca="false">L473*(1+IF(M$3&lt;=$O$2,$D473,$D473-($D473-$I$454)*MIN(M$3-$O$2,$Q$2)/$Q$2))</f>
        <v>3055.27359491186</v>
      </c>
      <c r="N473" s="15" t="n">
        <f aca="false">M473*(1+IF(N$3&lt;=$O$2,$D473,$D473-($D473-$I$454)*MIN(N$3-$O$2,$Q$2)/$Q$2))</f>
        <v>3111.18510169875</v>
      </c>
      <c r="O473" s="15" t="n">
        <f aca="false">SUMPRODUCT(E473:N473,1/(1+$F$454)^$E$3:$N$3)*$E$2</f>
        <v>5464.4656461104</v>
      </c>
      <c r="P473" s="15" t="n">
        <f aca="false">N473*$E$2*(1+$I$454)/($F$454-$I$454)/(1+$F$454)^$N$3</f>
        <v>6099.97684975189</v>
      </c>
      <c r="Q473" s="15" t="n">
        <f aca="false">O473+P473</f>
        <v>11564.4424958623</v>
      </c>
      <c r="R473" s="15" t="n">
        <f aca="false">Q473-$G$2+$I$2</f>
        <v>10289.7724958623</v>
      </c>
      <c r="S473" s="42" t="n">
        <f aca="false">R473/$K$2</f>
        <v>289.282330499361</v>
      </c>
      <c r="T473" s="43" t="n">
        <f aca="false">S473-$M$2</f>
        <v>-0.0063959555163251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0.0249233245849609</v>
      </c>
      <c r="C474" s="25" t="n">
        <f aca="false">IF(T473&gt;0,D473,C473)</f>
        <v>0.0249290466308594</v>
      </c>
      <c r="D474" s="41" t="n">
        <f aca="false">(B474+C474)/2</f>
        <v>0.0249261856079102</v>
      </c>
      <c r="E474" s="15" t="n">
        <f aca="false">$C$2*(1+IF(E$3&lt;=$O$2,$D474,$D474-($D474-$I$454)*MIN(E$3-$O$2,$Q$2)/$Q$2))</f>
        <v>2541.81694030762</v>
      </c>
      <c r="F474" s="15" t="n">
        <f aca="false">E474*(1+IF(F$3&lt;=$O$2,$D474,$D474-($D474-$I$454)*MIN(F$3-$O$2,$Q$2)/$Q$2))</f>
        <v>2605.17474114306</v>
      </c>
      <c r="G474" s="15" t="n">
        <f aca="false">F474*(1+IF(G$3&lt;=$O$2,$D474,$D474-($D474-$I$454)*MIN(G$3-$O$2,$Q$2)/$Q$2))</f>
        <v>2670.11181028183</v>
      </c>
      <c r="H474" s="15" t="n">
        <f aca="false">G474*(1+IF(H$3&lt;=$O$2,$D474,$D474-($D474-$I$454)*MIN(H$3-$O$2,$Q$2)/$Q$2))</f>
        <v>2736.66751285878</v>
      </c>
      <c r="I474" s="15" t="n">
        <f aca="false">H474*(1+IF(I$3&lt;=$O$2,$D474,$D474-($D474-$I$454)*MIN(I$3-$O$2,$Q$2)/$Q$2))</f>
        <v>2804.88219523144</v>
      </c>
      <c r="J474" s="15" t="n">
        <f aca="false">I474*(1+IF(J$3&lt;=$O$2,$D474,$D474-($D474-$I$454)*MIN(J$3-$O$2,$Q$2)/$Q$2))</f>
        <v>2871.08007543132</v>
      </c>
      <c r="K474" s="15" t="n">
        <f aca="false">J474*(1+IF(K$3&lt;=$O$2,$D474,$D474-($D474-$I$454)*MIN(K$3-$O$2,$Q$2)/$Q$2))</f>
        <v>2935.0354264967</v>
      </c>
      <c r="L474" s="15" t="n">
        <f aca="false">K474*(1+IF(L$3&lt;=$O$2,$D474,$D474-($D474-$I$454)*MIN(L$3-$O$2,$Q$2)/$Q$2))</f>
        <v>2996.52581060229</v>
      </c>
      <c r="M474" s="15" t="n">
        <f aca="false">L474*(1+IF(M$3&lt;=$O$2,$D474,$D474-($D474-$I$454)*MIN(M$3-$O$2,$Q$2)/$Q$2))</f>
        <v>3055.3333401763</v>
      </c>
      <c r="N474" s="15" t="n">
        <f aca="false">M474*(1+IF(N$3&lt;=$O$2,$D474,$D474-($D474-$I$454)*MIN(N$3-$O$2,$Q$2)/$Q$2))</f>
        <v>3111.24594030153</v>
      </c>
      <c r="O474" s="15" t="n">
        <f aca="false">SUMPRODUCT(E474:N474,1/(1+$F$454)^$E$3:$N$3)*$E$2</f>
        <v>5464.53353505904</v>
      </c>
      <c r="P474" s="15" t="n">
        <f aca="false">N474*$E$2*(1+$I$454)/($F$454-$I$454)/(1+$F$454)^$N$3</f>
        <v>6100.09613357988</v>
      </c>
      <c r="Q474" s="15" t="n">
        <f aca="false">O474+P474</f>
        <v>11564.6296686389</v>
      </c>
      <c r="R474" s="15" t="n">
        <f aca="false">Q474-$G$2+$I$2</f>
        <v>10289.9596686389</v>
      </c>
      <c r="S474" s="42" t="n">
        <f aca="false">R474/$K$2</f>
        <v>289.287592595977</v>
      </c>
      <c r="T474" s="43" t="n">
        <f aca="false">S474-$M$2</f>
        <v>-0.00113385890028894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0.0249261856079102</v>
      </c>
      <c r="C475" s="25" t="n">
        <f aca="false">IF(T474&gt;0,D474,C474)</f>
        <v>0.0249290466308594</v>
      </c>
      <c r="D475" s="41" t="n">
        <f aca="false">(B475+C475)/2</f>
        <v>0.0249276161193848</v>
      </c>
      <c r="E475" s="15" t="n">
        <f aca="false">$C$2*(1+IF(E$3&lt;=$O$2,$D475,$D475-($D475-$I$454)*MIN(E$3-$O$2,$Q$2)/$Q$2))</f>
        <v>2541.82048797607</v>
      </c>
      <c r="F475" s="15" t="n">
        <f aca="false">E475*(1+IF(F$3&lt;=$O$2,$D475,$D475-($D475-$I$454)*MIN(F$3-$O$2,$Q$2)/$Q$2))</f>
        <v>2605.18201334473</v>
      </c>
      <c r="G475" s="15" t="n">
        <f aca="false">F475*(1+IF(G$3&lt;=$O$2,$D475,$D475-($D475-$I$454)*MIN(G$3-$O$2,$Q$2)/$Q$2))</f>
        <v>2670.12299049451</v>
      </c>
      <c r="H475" s="15" t="n">
        <f aca="false">G475*(1+IF(H$3&lt;=$O$2,$D475,$D475-($D475-$I$454)*MIN(H$3-$O$2,$Q$2)/$Q$2))</f>
        <v>2736.6827913931</v>
      </c>
      <c r="I475" s="15" t="n">
        <f aca="false">H475*(1+IF(I$3&lt;=$O$2,$D475,$D475-($D475-$I$454)*MIN(I$3-$O$2,$Q$2)/$Q$2))</f>
        <v>2804.90176945748</v>
      </c>
      <c r="J475" s="15" t="n">
        <f aca="false">I475*(1+IF(J$3&lt;=$O$2,$D475,$D475-($D475-$I$454)*MIN(J$3-$O$2,$Q$2)/$Q$2))</f>
        <v>2871.10332158299</v>
      </c>
      <c r="K475" s="15" t="n">
        <f aca="false">J475*(1+IF(K$3&lt;=$O$2,$D475,$D475-($D475-$I$454)*MIN(K$3-$O$2,$Q$2)/$Q$2))</f>
        <v>2935.06165476068</v>
      </c>
      <c r="L475" s="15" t="n">
        <f aca="false">K475*(1+IF(L$3&lt;=$O$2,$D475,$D475-($D475-$I$454)*MIN(L$3-$O$2,$Q$2)/$Q$2))</f>
        <v>2996.55426781659</v>
      </c>
      <c r="M475" s="15" t="n">
        <f aca="false">L475*(1+IF(M$3&lt;=$O$2,$D475,$D475-($D475-$I$454)*MIN(M$3-$O$2,$Q$2)/$Q$2))</f>
        <v>3055.36321319124</v>
      </c>
      <c r="N475" s="15" t="n">
        <f aca="false">M475*(1+IF(N$3&lt;=$O$2,$D475,$D475-($D475-$I$454)*MIN(N$3-$O$2,$Q$2)/$Q$2))</f>
        <v>3111.27635999263</v>
      </c>
      <c r="O475" s="15" t="n">
        <f aca="false">SUMPRODUCT(E475:N475,1/(1+$F$454)^$E$3:$N$3)*$E$2</f>
        <v>5464.56747985491</v>
      </c>
      <c r="P475" s="15" t="n">
        <f aca="false">N475*$E$2*(1+$I$454)/($F$454-$I$454)/(1+$F$454)^$N$3</f>
        <v>6100.15577625798</v>
      </c>
      <c r="Q475" s="15" t="n">
        <f aca="false">O475+P475</f>
        <v>11564.7232561129</v>
      </c>
      <c r="R475" s="15" t="n">
        <f aca="false">Q475-$G$2+$I$2</f>
        <v>10290.0532561129</v>
      </c>
      <c r="S475" s="42" t="n">
        <f aca="false">R475/$K$2</f>
        <v>289.290223674807</v>
      </c>
      <c r="T475" s="43" t="n">
        <f aca="false">S475-$M$2</f>
        <v>0.00149721992937657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0.0249261856079102</v>
      </c>
      <c r="C476" s="25" t="n">
        <f aca="false">IF(T475&gt;0,D475,C475)</f>
        <v>0.0249276161193848</v>
      </c>
      <c r="D476" s="41" t="n">
        <f aca="false">(B476+C476)/2</f>
        <v>0.0249269008636475</v>
      </c>
      <c r="E476" s="15" t="n">
        <f aca="false">$C$2*(1+IF(E$3&lt;=$O$2,$D476,$D476-($D476-$I$454)*MIN(E$3-$O$2,$Q$2)/$Q$2))</f>
        <v>2541.81871414185</v>
      </c>
      <c r="F476" s="15" t="n">
        <f aca="false">E476*(1+IF(F$3&lt;=$O$2,$D476,$D476-($D476-$I$454)*MIN(F$3-$O$2,$Q$2)/$Q$2))</f>
        <v>2605.17837724262</v>
      </c>
      <c r="G476" s="15" t="n">
        <f aca="false">F476*(1+IF(G$3&lt;=$O$2,$D476,$D476-($D476-$I$454)*MIN(G$3-$O$2,$Q$2)/$Q$2))</f>
        <v>2670.11740038427</v>
      </c>
      <c r="H476" s="15" t="n">
        <f aca="false">G476*(1+IF(H$3&lt;=$O$2,$D476,$D476-($D476-$I$454)*MIN(H$3-$O$2,$Q$2)/$Q$2))</f>
        <v>2736.67515211795</v>
      </c>
      <c r="I476" s="15" t="n">
        <f aca="false">H476*(1+IF(I$3&lt;=$O$2,$D476,$D476-($D476-$I$454)*MIN(I$3-$O$2,$Q$2)/$Q$2))</f>
        <v>2804.8919823308</v>
      </c>
      <c r="J476" s="15" t="n">
        <f aca="false">I476*(1+IF(J$3&lt;=$O$2,$D476,$D476-($D476-$I$454)*MIN(J$3-$O$2,$Q$2)/$Q$2))</f>
        <v>2871.09169848757</v>
      </c>
      <c r="K476" s="15" t="n">
        <f aca="false">J476*(1+IF(K$3&lt;=$O$2,$D476,$D476-($D476-$I$454)*MIN(K$3-$O$2,$Q$2)/$Q$2))</f>
        <v>2935.04854060368</v>
      </c>
      <c r="L476" s="15" t="n">
        <f aca="false">K476*(1+IF(L$3&lt;=$O$2,$D476,$D476-($D476-$I$454)*MIN(L$3-$O$2,$Q$2)/$Q$2))</f>
        <v>2996.54003918016</v>
      </c>
      <c r="M476" s="15" t="n">
        <f aca="false">L476*(1+IF(M$3&lt;=$O$2,$D476,$D476-($D476-$I$454)*MIN(M$3-$O$2,$Q$2)/$Q$2))</f>
        <v>3055.34827665188</v>
      </c>
      <c r="N476" s="15" t="n">
        <f aca="false">M476*(1+IF(N$3&lt;=$O$2,$D476,$D476-($D476-$I$454)*MIN(N$3-$O$2,$Q$2)/$Q$2))</f>
        <v>3111.26115011461</v>
      </c>
      <c r="O476" s="15" t="n">
        <f aca="false">SUMPRODUCT(E476:N476,1/(1+$F$454)^$E$3:$N$3)*$E$2</f>
        <v>5464.55050743018</v>
      </c>
      <c r="P476" s="15" t="n">
        <f aca="false">N476*$E$2*(1+$I$454)/($F$454-$I$454)/(1+$F$454)^$N$3</f>
        <v>6100.12595485526</v>
      </c>
      <c r="Q476" s="15" t="n">
        <f aca="false">O476+P476</f>
        <v>11564.6764622854</v>
      </c>
      <c r="R476" s="15" t="n">
        <f aca="false">Q476-$G$2+$I$2</f>
        <v>10290.0064622854</v>
      </c>
      <c r="S476" s="42" t="n">
        <f aca="false">R476/$K$2</f>
        <v>289.288908132849</v>
      </c>
      <c r="T476" s="43" t="n">
        <f aca="false">S476-$M$2</f>
        <v>0.000181677971170302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0.0249261856079102</v>
      </c>
      <c r="C477" s="25" t="n">
        <f aca="false">IF(T476&gt;0,D476,C476)</f>
        <v>0.0249269008636475</v>
      </c>
      <c r="D477" s="41" t="n">
        <f aca="false">(B477+C477)/2</f>
        <v>0.0249265432357788</v>
      </c>
      <c r="E477" s="15" t="n">
        <f aca="false">$C$2*(1+IF(E$3&lt;=$O$2,$D477,$D477-($D477-$I$454)*MIN(E$3-$O$2,$Q$2)/$Q$2))</f>
        <v>2541.81782722473</v>
      </c>
      <c r="F477" s="15" t="n">
        <f aca="false">E477*(1+IF(F$3&lt;=$O$2,$D477,$D477-($D477-$I$454)*MIN(F$3-$O$2,$Q$2)/$Q$2))</f>
        <v>2605.17655919252</v>
      </c>
      <c r="G477" s="15" t="n">
        <f aca="false">F477*(1+IF(G$3&lt;=$O$2,$D477,$D477-($D477-$I$454)*MIN(G$3-$O$2,$Q$2)/$Q$2))</f>
        <v>2670.11460533207</v>
      </c>
      <c r="H477" s="15" t="n">
        <f aca="false">G477*(1+IF(H$3&lt;=$O$2,$D477,$D477-($D477-$I$454)*MIN(H$3-$O$2,$Q$2)/$Q$2))</f>
        <v>2736.67133248637</v>
      </c>
      <c r="I477" s="15" t="n">
        <f aca="false">H477*(1+IF(I$3&lt;=$O$2,$D477,$D477-($D477-$I$454)*MIN(I$3-$O$2,$Q$2)/$Q$2))</f>
        <v>2804.88708877771</v>
      </c>
      <c r="J477" s="15" t="n">
        <f aca="false">I477*(1+IF(J$3&lt;=$O$2,$D477,$D477-($D477-$I$454)*MIN(J$3-$O$2,$Q$2)/$Q$2))</f>
        <v>2871.08588695455</v>
      </c>
      <c r="K477" s="15" t="n">
        <f aca="false">J477*(1+IF(K$3&lt;=$O$2,$D477,$D477-($D477-$I$454)*MIN(K$3-$O$2,$Q$2)/$Q$2))</f>
        <v>2935.04198354394</v>
      </c>
      <c r="L477" s="15" t="n">
        <f aca="false">K477*(1+IF(L$3&lt;=$O$2,$D477,$D477-($D477-$I$454)*MIN(L$3-$O$2,$Q$2)/$Q$2))</f>
        <v>2996.53292488391</v>
      </c>
      <c r="M477" s="15" t="n">
        <f aca="false">L477*(1+IF(M$3&lt;=$O$2,$D477,$D477-($D477-$I$454)*MIN(M$3-$O$2,$Q$2)/$Q$2))</f>
        <v>3055.34080840612</v>
      </c>
      <c r="N477" s="15" t="n">
        <f aca="false">M477*(1+IF(N$3&lt;=$O$2,$D477,$D477-($D477-$I$454)*MIN(N$3-$O$2,$Q$2)/$Q$2))</f>
        <v>3111.25354519995</v>
      </c>
      <c r="O477" s="15" t="n">
        <f aca="false">SUMPRODUCT(E477:N477,1/(1+$F$454)^$E$3:$N$3)*$E$2</f>
        <v>5464.54202123791</v>
      </c>
      <c r="P477" s="15" t="n">
        <f aca="false">N477*$E$2*(1+$I$454)/($F$454-$I$454)/(1+$F$454)^$N$3</f>
        <v>6100.11104420165</v>
      </c>
      <c r="Q477" s="15" t="n">
        <f aca="false">O477+P477</f>
        <v>11564.6530654396</v>
      </c>
      <c r="R477" s="15" t="n">
        <f aca="false">Q477-$G$2+$I$2</f>
        <v>10289.9830654396</v>
      </c>
      <c r="S477" s="42" t="n">
        <f aca="false">R477/$K$2</f>
        <v>289.288250363777</v>
      </c>
      <c r="T477" s="43" t="n">
        <f aca="false">S477-$M$2</f>
        <v>-0.000476091100438225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0.0249265432357788</v>
      </c>
      <c r="C478" s="25" t="n">
        <f aca="false">IF(T477&gt;0,D477,C477)</f>
        <v>0.0249269008636475</v>
      </c>
      <c r="D478" s="41" t="n">
        <f aca="false">(B478+C478)/2</f>
        <v>0.0249267220497131</v>
      </c>
      <c r="E478" s="15" t="n">
        <f aca="false">$C$2*(1+IF(E$3&lt;=$O$2,$D478,$D478-($D478-$I$454)*MIN(E$3-$O$2,$Q$2)/$Q$2))</f>
        <v>2541.81827068329</v>
      </c>
      <c r="F478" s="15" t="n">
        <f aca="false">E478*(1+IF(F$3&lt;=$O$2,$D478,$D478-($D478-$I$454)*MIN(F$3-$O$2,$Q$2)/$Q$2))</f>
        <v>2605.17746821749</v>
      </c>
      <c r="G478" s="15" t="n">
        <f aca="false">F478*(1+IF(G$3&lt;=$O$2,$D478,$D478-($D478-$I$454)*MIN(G$3-$O$2,$Q$2)/$Q$2))</f>
        <v>2670.11600285793</v>
      </c>
      <c r="H478" s="15" t="n">
        <f aca="false">G478*(1+IF(H$3&lt;=$O$2,$D478,$D478-($D478-$I$454)*MIN(H$3-$O$2,$Q$2)/$Q$2))</f>
        <v>2736.67324230166</v>
      </c>
      <c r="I478" s="15" t="n">
        <f aca="false">H478*(1+IF(I$3&lt;=$O$2,$D478,$D478-($D478-$I$454)*MIN(I$3-$O$2,$Q$2)/$Q$2))</f>
        <v>2804.8895355534</v>
      </c>
      <c r="J478" s="15" t="n">
        <f aca="false">I478*(1+IF(J$3&lt;=$O$2,$D478,$D478-($D478-$I$454)*MIN(J$3-$O$2,$Q$2)/$Q$2))</f>
        <v>2871.08879271983</v>
      </c>
      <c r="K478" s="15" t="n">
        <f aca="false">J478*(1+IF(K$3&lt;=$O$2,$D478,$D478-($D478-$I$454)*MIN(K$3-$O$2,$Q$2)/$Q$2))</f>
        <v>2935.04526207225</v>
      </c>
      <c r="L478" s="15" t="n">
        <f aca="false">K478*(1+IF(L$3&lt;=$O$2,$D478,$D478-($D478-$I$454)*MIN(L$3-$O$2,$Q$2)/$Q$2))</f>
        <v>2996.5364820302</v>
      </c>
      <c r="M478" s="15" t="n">
        <f aca="false">L478*(1+IF(M$3&lt;=$O$2,$D478,$D478-($D478-$I$454)*MIN(M$3-$O$2,$Q$2)/$Q$2))</f>
        <v>3055.344542527</v>
      </c>
      <c r="N478" s="15" t="n">
        <f aca="false">M478*(1+IF(N$3&lt;=$O$2,$D478,$D478-($D478-$I$454)*MIN(N$3-$O$2,$Q$2)/$Q$2))</f>
        <v>3111.25734765525</v>
      </c>
      <c r="O478" s="15" t="n">
        <f aca="false">SUMPRODUCT(E478:N478,1/(1+$F$454)^$E$3:$N$3)*$E$2</f>
        <v>5464.54626433237</v>
      </c>
      <c r="P478" s="15" t="n">
        <f aca="false">N478*$E$2*(1+$I$454)/($F$454-$I$454)/(1+$F$454)^$N$3</f>
        <v>6100.11849952447</v>
      </c>
      <c r="Q478" s="15" t="n">
        <f aca="false">O478+P478</f>
        <v>11564.6647638568</v>
      </c>
      <c r="R478" s="15" t="n">
        <f aca="false">Q478-$G$2+$I$2</f>
        <v>10289.9947638568</v>
      </c>
      <c r="S478" s="42" t="n">
        <f aca="false">R478/$K$2</f>
        <v>289.288579248154</v>
      </c>
      <c r="T478" s="43" t="n">
        <f aca="false">S478-$M$2</f>
        <v>-0.000147206723625004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0.0249267220497131</v>
      </c>
      <c r="C479" s="25" t="n">
        <f aca="false">IF(T478&gt;0,D478,C478)</f>
        <v>0.0249269008636475</v>
      </c>
      <c r="D479" s="41" t="n">
        <f aca="false">(B479+C479)/2</f>
        <v>0.0249268114566803</v>
      </c>
      <c r="E479" s="15" t="n">
        <f aca="false">$C$2*(1+IF(E$3&lt;=$O$2,$D479,$D479-($D479-$I$454)*MIN(E$3-$O$2,$Q$2)/$Q$2))</f>
        <v>2541.81849241257</v>
      </c>
      <c r="F479" s="15" t="n">
        <f aca="false">E479*(1+IF(F$3&lt;=$O$2,$D479,$D479-($D479-$I$454)*MIN(F$3-$O$2,$Q$2)/$Q$2))</f>
        <v>2605.17792273004</v>
      </c>
      <c r="G479" s="15" t="n">
        <f aca="false">F479*(1+IF(G$3&lt;=$O$2,$D479,$D479-($D479-$I$454)*MIN(G$3-$O$2,$Q$2)/$Q$2))</f>
        <v>2670.11670162104</v>
      </c>
      <c r="H479" s="15" t="n">
        <f aca="false">G479*(1+IF(H$3&lt;=$O$2,$D479,$D479-($D479-$I$454)*MIN(H$3-$O$2,$Q$2)/$Q$2))</f>
        <v>2736.67419720968</v>
      </c>
      <c r="I479" s="15" t="n">
        <f aca="false">H479*(1+IF(I$3&lt;=$O$2,$D479,$D479-($D479-$I$454)*MIN(I$3-$O$2,$Q$2)/$Q$2))</f>
        <v>2804.89075894188</v>
      </c>
      <c r="J479" s="15" t="n">
        <f aca="false">I479*(1+IF(J$3&lt;=$O$2,$D479,$D479-($D479-$I$454)*MIN(J$3-$O$2,$Q$2)/$Q$2))</f>
        <v>2871.09024560339</v>
      </c>
      <c r="K479" s="15" t="n">
        <f aca="false">J479*(1+IF(K$3&lt;=$O$2,$D479,$D479-($D479-$I$454)*MIN(K$3-$O$2,$Q$2)/$Q$2))</f>
        <v>2935.04690133757</v>
      </c>
      <c r="L479" s="15" t="n">
        <f aca="false">K479*(1+IF(L$3&lt;=$O$2,$D479,$D479-($D479-$I$454)*MIN(L$3-$O$2,$Q$2)/$Q$2))</f>
        <v>2996.53826060472</v>
      </c>
      <c r="M479" s="15" t="n">
        <f aca="false">L479*(1+IF(M$3&lt;=$O$2,$D479,$D479-($D479-$I$454)*MIN(M$3-$O$2,$Q$2)/$Q$2))</f>
        <v>3055.34640958894</v>
      </c>
      <c r="N479" s="15" t="n">
        <f aca="false">M479*(1+IF(N$3&lt;=$O$2,$D479,$D479-($D479-$I$454)*MIN(N$3-$O$2,$Q$2)/$Q$2))</f>
        <v>3111.25924888442</v>
      </c>
      <c r="O479" s="15" t="n">
        <f aca="false">SUMPRODUCT(E479:N479,1/(1+$F$454)^$E$3:$N$3)*$E$2</f>
        <v>5464.54838588085</v>
      </c>
      <c r="P479" s="15" t="n">
        <f aca="false">N479*$E$2*(1+$I$454)/($F$454-$I$454)/(1+$F$454)^$N$3</f>
        <v>6100.12222718887</v>
      </c>
      <c r="Q479" s="15" t="n">
        <f aca="false">O479+P479</f>
        <v>11564.6706130697</v>
      </c>
      <c r="R479" s="15" t="n">
        <f aca="false">Q479-$G$2+$I$2</f>
        <v>10290.0006130697</v>
      </c>
      <c r="S479" s="42" t="n">
        <f aca="false">R479/$K$2</f>
        <v>289.288743690462</v>
      </c>
      <c r="T479" s="43" t="n">
        <f aca="false">S479-$M$2</f>
        <v>1.72355839254124E-005</v>
      </c>
    </row>
    <row r="481" customFormat="false" ht="15" hidden="false" customHeight="false" outlineLevel="0" collapsed="false">
      <c r="A481" s="38" t="s">
        <v>201</v>
      </c>
      <c r="E481" s="5" t="s">
        <v>11</v>
      </c>
      <c r="F481" s="12" t="n">
        <f aca="false">Sensitivity!$B$13</f>
        <v>0.0864218415038925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8" t="s">
        <v>165</v>
      </c>
      <c r="B482" s="28" t="s">
        <v>166</v>
      </c>
      <c r="C482" s="28" t="s">
        <v>167</v>
      </c>
      <c r="D482" s="28" t="s">
        <v>168</v>
      </c>
      <c r="E482" s="28" t="s">
        <v>169</v>
      </c>
      <c r="F482" s="28" t="s">
        <v>170</v>
      </c>
      <c r="G482" s="28" t="s">
        <v>171</v>
      </c>
      <c r="H482" s="28" t="s">
        <v>172</v>
      </c>
      <c r="I482" s="28" t="s">
        <v>173</v>
      </c>
      <c r="J482" s="28" t="s">
        <v>174</v>
      </c>
      <c r="K482" s="28" t="s">
        <v>175</v>
      </c>
      <c r="L482" s="28" t="s">
        <v>176</v>
      </c>
      <c r="M482" s="28" t="s">
        <v>177</v>
      </c>
      <c r="N482" s="28" t="s">
        <v>178</v>
      </c>
      <c r="O482" s="28" t="s">
        <v>179</v>
      </c>
      <c r="P482" s="28" t="s">
        <v>180</v>
      </c>
      <c r="Q482" s="28" t="s">
        <v>181</v>
      </c>
      <c r="R482" s="28" t="s">
        <v>182</v>
      </c>
      <c r="S482" s="28" t="s">
        <v>183</v>
      </c>
      <c r="T482" s="28" t="s">
        <v>184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41" t="n">
        <f aca="false">(B483+C483)/2</f>
        <v>0.25</v>
      </c>
      <c r="E483" s="15" t="n">
        <f aca="false">$C$2*(1+IF(E$3&lt;=$O$2,$D483,$D483-($D483-$I$481)*MIN(E$3-$O$2,$Q$2)/$Q$2))</f>
        <v>3100</v>
      </c>
      <c r="F483" s="15" t="n">
        <f aca="false">E483*(1+IF(F$3&lt;=$O$2,$D483,$D483-($D483-$I$481)*MIN(F$3-$O$2,$Q$2)/$Q$2))</f>
        <v>3875</v>
      </c>
      <c r="G483" s="15" t="n">
        <f aca="false">F483*(1+IF(G$3&lt;=$O$2,$D483,$D483-($D483-$I$481)*MIN(G$3-$O$2,$Q$2)/$Q$2))</f>
        <v>4843.75</v>
      </c>
      <c r="H483" s="15" t="n">
        <f aca="false">G483*(1+IF(H$3&lt;=$O$2,$D483,$D483-($D483-$I$481)*MIN(H$3-$O$2,$Q$2)/$Q$2))</f>
        <v>6054.6875</v>
      </c>
      <c r="I483" s="15" t="n">
        <f aca="false">H483*(1+IF(I$3&lt;=$O$2,$D483,$D483-($D483-$I$481)*MIN(I$3-$O$2,$Q$2)/$Q$2))</f>
        <v>7568.359375</v>
      </c>
      <c r="J483" s="15" t="n">
        <f aca="false">I483*(1+IF(J$3&lt;=$O$2,$D483,$D483-($D483-$I$481)*MIN(J$3-$O$2,$Q$2)/$Q$2))</f>
        <v>9117.2998046875</v>
      </c>
      <c r="K483" s="15" t="n">
        <f aca="false">J483*(1+IF(K$3&lt;=$O$2,$D483,$D483-($D483-$I$481)*MIN(K$3-$O$2,$Q$2)/$Q$2))</f>
        <v>10569.8680095703</v>
      </c>
      <c r="L483" s="15" t="n">
        <f aca="false">K483*(1+IF(L$3&lt;=$O$2,$D483,$D483-($D483-$I$481)*MIN(L$3-$O$2,$Q$2)/$Q$2))</f>
        <v>11774.6215653011</v>
      </c>
      <c r="M483" s="15" t="n">
        <f aca="false">L483*(1+IF(M$3&lt;=$O$2,$D483,$D483-($D483-$I$481)*MIN(M$3-$O$2,$Q$2)/$Q$2))</f>
        <v>12582.8315895434</v>
      </c>
      <c r="N483" s="15" t="n">
        <f aca="false">M483*(1+IF(N$3&lt;=$O$2,$D483,$D483-($D483-$I$481)*MIN(N$3-$O$2,$Q$2)/$Q$2))</f>
        <v>12876.0115655798</v>
      </c>
      <c r="O483" s="15" t="n">
        <f aca="false">SUMPRODUCT(E483:N483,1/(1+$F$481)^$E$3:$N$3)*$E$2</f>
        <v>14535.6511223023</v>
      </c>
      <c r="P483" s="15" t="n">
        <f aca="false">N483*$E$2*(1+$I$481)/($F$481-$I$481)/(1+$F$481)^$N$3</f>
        <v>27379.0039179532</v>
      </c>
      <c r="Q483" s="15" t="n">
        <f aca="false">O483+P483</f>
        <v>41914.6550402554</v>
      </c>
      <c r="R483" s="15" t="n">
        <f aca="false">Q483-$G$2+$I$2</f>
        <v>40639.9850402554</v>
      </c>
      <c r="S483" s="42" t="n">
        <f aca="false">R483/$K$2</f>
        <v>1142.53542424109</v>
      </c>
      <c r="T483" s="43" t="n">
        <f aca="false">S483-$M$2</f>
        <v>853.246697786208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41" t="n">
        <f aca="false">(B484+C484)/2</f>
        <v>-0.125</v>
      </c>
      <c r="E484" s="15" t="n">
        <f aca="false">$C$2*(1+IF(E$3&lt;=$O$2,$D484,$D484-($D484-$I$481)*MIN(E$3-$O$2,$Q$2)/$Q$2))</f>
        <v>2170</v>
      </c>
      <c r="F484" s="15" t="n">
        <f aca="false">E484*(1+IF(F$3&lt;=$O$2,$D484,$D484-($D484-$I$481)*MIN(F$3-$O$2,$Q$2)/$Q$2))</f>
        <v>1898.75</v>
      </c>
      <c r="G484" s="15" t="n">
        <f aca="false">F484*(1+IF(G$3&lt;=$O$2,$D484,$D484-($D484-$I$481)*MIN(G$3-$O$2,$Q$2)/$Q$2))</f>
        <v>1661.40625</v>
      </c>
      <c r="H484" s="15" t="n">
        <f aca="false">G484*(1+IF(H$3&lt;=$O$2,$D484,$D484-($D484-$I$481)*MIN(H$3-$O$2,$Q$2)/$Q$2))</f>
        <v>1453.73046875</v>
      </c>
      <c r="I484" s="15" t="n">
        <f aca="false">H484*(1+IF(I$3&lt;=$O$2,$D484,$D484-($D484-$I$481)*MIN(I$3-$O$2,$Q$2)/$Q$2))</f>
        <v>1272.01416015625</v>
      </c>
      <c r="J484" s="15" t="n">
        <f aca="false">I484*(1+IF(J$3&lt;=$O$2,$D484,$D484-($D484-$I$481)*MIN(J$3-$O$2,$Q$2)/$Q$2))</f>
        <v>1150.74033012695</v>
      </c>
      <c r="K484" s="15" t="n">
        <f aca="false">J484*(1+IF(K$3&lt;=$O$2,$D484,$D484-($D484-$I$481)*MIN(K$3-$O$2,$Q$2)/$Q$2))</f>
        <v>1075.15970524421</v>
      </c>
      <c r="L484" s="15" t="n">
        <f aca="false">K484*(1+IF(L$3&lt;=$O$2,$D484,$D484-($D484-$I$481)*MIN(L$3-$O$2,$Q$2)/$Q$2))</f>
        <v>1036.43245266132</v>
      </c>
      <c r="M484" s="15" t="n">
        <f aca="false">L484*(1+IF(M$3&lt;=$O$2,$D484,$D484-($D484-$I$481)*MIN(M$3-$O$2,$Q$2)/$Q$2))</f>
        <v>1029.84074226239</v>
      </c>
      <c r="N484" s="15" t="n">
        <f aca="false">M484*(1+IF(N$3&lt;=$O$2,$D484,$D484-($D484-$I$481)*MIN(N$3-$O$2,$Q$2)/$Q$2))</f>
        <v>1053.83603155711</v>
      </c>
      <c r="O484" s="15" t="n">
        <f aca="false">SUMPRODUCT(E484:N484,1/(1+$F$481)^$E$3:$N$3)*$E$2</f>
        <v>2875.3964320954</v>
      </c>
      <c r="P484" s="15" t="n">
        <f aca="false">N484*$E$2*(1+$I$481)/($F$481-$I$481)/(1+$F$481)^$N$3</f>
        <v>2240.83216219005</v>
      </c>
      <c r="Q484" s="15" t="n">
        <f aca="false">O484+P484</f>
        <v>5116.22859428545</v>
      </c>
      <c r="R484" s="15" t="n">
        <f aca="false">Q484-$G$2+$I$2</f>
        <v>3841.55859428545</v>
      </c>
      <c r="S484" s="42" t="n">
        <f aca="false">R484/$K$2</f>
        <v>107.999960480333</v>
      </c>
      <c r="T484" s="43" t="n">
        <f aca="false">S484-$M$2</f>
        <v>-181.288765974545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41" t="n">
        <f aca="false">(B485+C485)/2</f>
        <v>0.0625</v>
      </c>
      <c r="E485" s="15" t="n">
        <f aca="false">$C$2*(1+IF(E$3&lt;=$O$2,$D485,$D485-($D485-$I$481)*MIN(E$3-$O$2,$Q$2)/$Q$2))</f>
        <v>2635</v>
      </c>
      <c r="F485" s="15" t="n">
        <f aca="false">E485*(1+IF(F$3&lt;=$O$2,$D485,$D485-($D485-$I$481)*MIN(F$3-$O$2,$Q$2)/$Q$2))</f>
        <v>2799.6875</v>
      </c>
      <c r="G485" s="15" t="n">
        <f aca="false">F485*(1+IF(G$3&lt;=$O$2,$D485,$D485-($D485-$I$481)*MIN(G$3-$O$2,$Q$2)/$Q$2))</f>
        <v>2974.66796875</v>
      </c>
      <c r="H485" s="15" t="n">
        <f aca="false">G485*(1+IF(H$3&lt;=$O$2,$D485,$D485-($D485-$I$481)*MIN(H$3-$O$2,$Q$2)/$Q$2))</f>
        <v>3160.58471679688</v>
      </c>
      <c r="I485" s="15" t="n">
        <f aca="false">H485*(1+IF(I$3&lt;=$O$2,$D485,$D485-($D485-$I$481)*MIN(I$3-$O$2,$Q$2)/$Q$2))</f>
        <v>3358.12126159668</v>
      </c>
      <c r="J485" s="15" t="n">
        <f aca="false">I485*(1+IF(J$3&lt;=$O$2,$D485,$D485-($D485-$I$481)*MIN(J$3-$O$2,$Q$2)/$Q$2))</f>
        <v>3541.67616975555</v>
      </c>
      <c r="K485" s="15" t="n">
        <f aca="false">J485*(1+IF(K$3&lt;=$O$2,$D485,$D485-($D485-$I$481)*MIN(K$3-$O$2,$Q$2)/$Q$2))</f>
        <v>3707.49744802351</v>
      </c>
      <c r="L485" s="15" t="n">
        <f aca="false">K485*(1+IF(L$3&lt;=$O$2,$D485,$D485-($D485-$I$481)*MIN(L$3-$O$2,$Q$2)/$Q$2))</f>
        <v>3852.01569854747</v>
      </c>
      <c r="M485" s="15" t="n">
        <f aca="false">L485*(1+IF(M$3&lt;=$O$2,$D485,$D485-($D485-$I$481)*MIN(M$3-$O$2,$Q$2)/$Q$2))</f>
        <v>3971.96746740023</v>
      </c>
      <c r="N485" s="15" t="n">
        <f aca="false">M485*(1+IF(N$3&lt;=$O$2,$D485,$D485-($D485-$I$481)*MIN(N$3-$O$2,$Q$2)/$Q$2))</f>
        <v>4064.51430939066</v>
      </c>
      <c r="O485" s="15" t="n">
        <f aca="false">SUMPRODUCT(E485:N485,1/(1+$F$481)^$E$3:$N$3)*$E$2</f>
        <v>6452.99732357212</v>
      </c>
      <c r="P485" s="15" t="n">
        <f aca="false">N485*$E$2*(1+$I$481)/($F$481-$I$481)/(1+$F$481)^$N$3</f>
        <v>8642.61053468329</v>
      </c>
      <c r="Q485" s="15" t="n">
        <f aca="false">O485+P485</f>
        <v>15095.6078582554</v>
      </c>
      <c r="R485" s="15" t="n">
        <f aca="false">Q485-$G$2+$I$2</f>
        <v>13820.9378582554</v>
      </c>
      <c r="S485" s="42" t="n">
        <f aca="false">R485/$K$2</f>
        <v>388.556026377717</v>
      </c>
      <c r="T485" s="43" t="n">
        <f aca="false">S485-$M$2</f>
        <v>99.2672999228398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-0.125</v>
      </c>
      <c r="C486" s="25" t="n">
        <f aca="false">IF(T485&gt;0,D485,C485)</f>
        <v>0.0625</v>
      </c>
      <c r="D486" s="41" t="n">
        <f aca="false">(B486+C486)/2</f>
        <v>-0.03125</v>
      </c>
      <c r="E486" s="15" t="n">
        <f aca="false">$C$2*(1+IF(E$3&lt;=$O$2,$D486,$D486-($D486-$I$481)*MIN(E$3-$O$2,$Q$2)/$Q$2))</f>
        <v>2402.5</v>
      </c>
      <c r="F486" s="15" t="n">
        <f aca="false">E486*(1+IF(F$3&lt;=$O$2,$D486,$D486-($D486-$I$481)*MIN(F$3-$O$2,$Q$2)/$Q$2))</f>
        <v>2327.421875</v>
      </c>
      <c r="G486" s="15" t="n">
        <f aca="false">F486*(1+IF(G$3&lt;=$O$2,$D486,$D486-($D486-$I$481)*MIN(G$3-$O$2,$Q$2)/$Q$2))</f>
        <v>2254.68994140625</v>
      </c>
      <c r="H486" s="15" t="n">
        <f aca="false">G486*(1+IF(H$3&lt;=$O$2,$D486,$D486-($D486-$I$481)*MIN(H$3-$O$2,$Q$2)/$Q$2))</f>
        <v>2184.2308807373</v>
      </c>
      <c r="I486" s="15" t="n">
        <f aca="false">H486*(1+IF(I$3&lt;=$O$2,$D486,$D486-($D486-$I$481)*MIN(I$3-$O$2,$Q$2)/$Q$2))</f>
        <v>2115.97366571426</v>
      </c>
      <c r="J486" s="15" t="n">
        <f aca="false">I486*(1+IF(J$3&lt;=$O$2,$D486,$D486-($D486-$I$481)*MIN(J$3-$O$2,$Q$2)/$Q$2))</f>
        <v>2072.93476135364</v>
      </c>
      <c r="K486" s="15" t="n">
        <f aca="false">J486*(1+IF(K$3&lt;=$O$2,$D486,$D486-($D486-$I$481)*MIN(K$3-$O$2,$Q$2)/$Q$2))</f>
        <v>2053.38698655407</v>
      </c>
      <c r="L486" s="15" t="n">
        <f aca="false">K486*(1+IF(L$3&lt;=$O$2,$D486,$D486-($D486-$I$481)*MIN(L$3-$O$2,$Q$2)/$Q$2))</f>
        <v>2056.42599929417</v>
      </c>
      <c r="M486" s="15" t="n">
        <f aca="false">L486*(1+IF(M$3&lt;=$O$2,$D486,$D486-($D486-$I$481)*MIN(M$3-$O$2,$Q$2)/$Q$2))</f>
        <v>2081.90511742542</v>
      </c>
      <c r="N486" s="15" t="n">
        <f aca="false">M486*(1+IF(N$3&lt;=$O$2,$D486,$D486-($D486-$I$481)*MIN(N$3-$O$2,$Q$2)/$Q$2))</f>
        <v>2130.41350666144</v>
      </c>
      <c r="O486" s="15" t="n">
        <f aca="false">SUMPRODUCT(E486:N486,1/(1+$F$481)^$E$3:$N$3)*$E$2</f>
        <v>4295.01243284339</v>
      </c>
      <c r="P486" s="15" t="n">
        <f aca="false">N486*$E$2*(1+$I$481)/($F$481-$I$481)/(1+$F$481)^$N$3</f>
        <v>4530.02076370203</v>
      </c>
      <c r="Q486" s="15" t="n">
        <f aca="false">O486+P486</f>
        <v>8825.03319654542</v>
      </c>
      <c r="R486" s="15" t="n">
        <f aca="false">Q486-$G$2+$I$2</f>
        <v>7550.36319654542</v>
      </c>
      <c r="S486" s="42" t="n">
        <f aca="false">R486/$K$2</f>
        <v>212.267731137066</v>
      </c>
      <c r="T486" s="43" t="n">
        <f aca="false">S486-$M$2</f>
        <v>-77.0209953178121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-0.03125</v>
      </c>
      <c r="C487" s="25" t="n">
        <f aca="false">IF(T486&gt;0,D486,C486)</f>
        <v>0.0625</v>
      </c>
      <c r="D487" s="41" t="n">
        <f aca="false">(B487+C487)/2</f>
        <v>0.015625</v>
      </c>
      <c r="E487" s="15" t="n">
        <f aca="false">$C$2*(1+IF(E$3&lt;=$O$2,$D487,$D487-($D487-$I$481)*MIN(E$3-$O$2,$Q$2)/$Q$2))</f>
        <v>2518.75</v>
      </c>
      <c r="F487" s="15" t="n">
        <f aca="false">E487*(1+IF(F$3&lt;=$O$2,$D487,$D487-($D487-$I$481)*MIN(F$3-$O$2,$Q$2)/$Q$2))</f>
        <v>2558.10546875</v>
      </c>
      <c r="G487" s="15" t="n">
        <f aca="false">F487*(1+IF(G$3&lt;=$O$2,$D487,$D487-($D487-$I$481)*MIN(G$3-$O$2,$Q$2)/$Q$2))</f>
        <v>2598.07586669922</v>
      </c>
      <c r="H487" s="15" t="n">
        <f aca="false">G487*(1+IF(H$3&lt;=$O$2,$D487,$D487-($D487-$I$481)*MIN(H$3-$O$2,$Q$2)/$Q$2))</f>
        <v>2638.67080211639</v>
      </c>
      <c r="I487" s="15" t="n">
        <f aca="false">H487*(1+IF(I$3&lt;=$O$2,$D487,$D487-($D487-$I$481)*MIN(I$3-$O$2,$Q$2)/$Q$2))</f>
        <v>2679.90003339946</v>
      </c>
      <c r="J487" s="15" t="n">
        <f aca="false">I487*(1+IF(J$3&lt;=$O$2,$D487,$D487-($D487-$I$481)*MIN(J$3-$O$2,$Q$2)/$Q$2))</f>
        <v>2725.8871179726</v>
      </c>
      <c r="K487" s="15" t="n">
        <f aca="false">J487*(1+IF(K$3&lt;=$O$2,$D487,$D487-($D487-$I$481)*MIN(K$3-$O$2,$Q$2)/$Q$2))</f>
        <v>2776.8475776431</v>
      </c>
      <c r="L487" s="15" t="n">
        <f aca="false">K487*(1+IF(L$3&lt;=$O$2,$D487,$D487-($D487-$I$481)*MIN(L$3-$O$2,$Q$2)/$Q$2))</f>
        <v>2833.02320413882</v>
      </c>
      <c r="M487" s="15" t="n">
        <f aca="false">L487*(1+IF(M$3&lt;=$O$2,$D487,$D487-($D487-$I$481)*MIN(M$3-$O$2,$Q$2)/$Q$2))</f>
        <v>2894.6839541769</v>
      </c>
      <c r="N487" s="15" t="n">
        <f aca="false">M487*(1+IF(N$3&lt;=$O$2,$D487,$D487-($D487-$I$481)*MIN(N$3-$O$2,$Q$2)/$Q$2))</f>
        <v>2962.13009030922</v>
      </c>
      <c r="O487" s="15" t="n">
        <f aca="false">SUMPRODUCT(E487:N487,1/(1+$F$481)^$E$3:$N$3)*$E$2</f>
        <v>5262.44494953902</v>
      </c>
      <c r="P487" s="15" t="n">
        <f aca="false">N487*$E$2*(1+$I$481)/($F$481-$I$481)/(1+$F$481)^$N$3</f>
        <v>6298.54756925355</v>
      </c>
      <c r="Q487" s="15" t="n">
        <f aca="false">O487+P487</f>
        <v>11560.9925187926</v>
      </c>
      <c r="R487" s="15" t="n">
        <f aca="false">Q487-$G$2+$I$2</f>
        <v>10286.3225187926</v>
      </c>
      <c r="S487" s="42" t="n">
        <f aca="false">R487/$K$2</f>
        <v>289.185339296952</v>
      </c>
      <c r="T487" s="43" t="n">
        <f aca="false">S487-$M$2</f>
        <v>-0.103387157926022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0.015625</v>
      </c>
      <c r="C488" s="25" t="n">
        <f aca="false">IF(T487&gt;0,D487,C487)</f>
        <v>0.0625</v>
      </c>
      <c r="D488" s="41" t="n">
        <f aca="false">(B488+C488)/2</f>
        <v>0.0390625</v>
      </c>
      <c r="E488" s="15" t="n">
        <f aca="false">$C$2*(1+IF(E$3&lt;=$O$2,$D488,$D488-($D488-$I$481)*MIN(E$3-$O$2,$Q$2)/$Q$2))</f>
        <v>2576.875</v>
      </c>
      <c r="F488" s="15" t="n">
        <f aca="false">E488*(1+IF(F$3&lt;=$O$2,$D488,$D488-($D488-$I$481)*MIN(F$3-$O$2,$Q$2)/$Q$2))</f>
        <v>2677.5341796875</v>
      </c>
      <c r="G488" s="15" t="n">
        <f aca="false">F488*(1+IF(G$3&lt;=$O$2,$D488,$D488-($D488-$I$481)*MIN(G$3-$O$2,$Q$2)/$Q$2))</f>
        <v>2782.12535858154</v>
      </c>
      <c r="H488" s="15" t="n">
        <f aca="false">G488*(1+IF(H$3&lt;=$O$2,$D488,$D488-($D488-$I$481)*MIN(H$3-$O$2,$Q$2)/$Q$2))</f>
        <v>2890.80213040113</v>
      </c>
      <c r="I488" s="15" t="n">
        <f aca="false">H488*(1+IF(I$3&lt;=$O$2,$D488,$D488-($D488-$I$481)*MIN(I$3-$O$2,$Q$2)/$Q$2))</f>
        <v>3003.72408861993</v>
      </c>
      <c r="J488" s="15" t="n">
        <f aca="false">I488*(1+IF(J$3&lt;=$O$2,$D488,$D488-($D488-$I$481)*MIN(J$3-$O$2,$Q$2)/$Q$2))</f>
        <v>3111.58782064227</v>
      </c>
      <c r="K488" s="15" t="n">
        <f aca="false">J488*(1+IF(K$3&lt;=$O$2,$D488,$D488-($D488-$I$481)*MIN(K$3-$O$2,$Q$2)/$Q$2))</f>
        <v>3213.51565867696</v>
      </c>
      <c r="L488" s="15" t="n">
        <f aca="false">K488*(1+IF(L$3&lt;=$O$2,$D488,$D488-($D488-$I$481)*MIN(L$3-$O$2,$Q$2)/$Q$2))</f>
        <v>3308.65178975209</v>
      </c>
      <c r="M488" s="15" t="n">
        <f aca="false">L488*(1+IF(M$3&lt;=$O$2,$D488,$D488-($D488-$I$481)*MIN(M$3-$O$2,$Q$2)/$Q$2))</f>
        <v>3396.17390122051</v>
      </c>
      <c r="N488" s="15" t="n">
        <f aca="false">M488*(1+IF(N$3&lt;=$O$2,$D488,$D488-($D488-$I$481)*MIN(N$3-$O$2,$Q$2)/$Q$2))</f>
        <v>3475.30475311895</v>
      </c>
      <c r="O488" s="15" t="n">
        <f aca="false">SUMPRODUCT(E488:N488,1/(1+$F$481)^$E$3:$N$3)*$E$2</f>
        <v>5827.0420055927</v>
      </c>
      <c r="P488" s="15" t="n">
        <f aca="false">N488*$E$2*(1+$I$481)/($F$481-$I$481)/(1+$F$481)^$N$3</f>
        <v>7389.74036852231</v>
      </c>
      <c r="Q488" s="15" t="n">
        <f aca="false">O488+P488</f>
        <v>13216.782374115</v>
      </c>
      <c r="R488" s="15" t="n">
        <f aca="false">Q488-$G$2+$I$2</f>
        <v>11942.112374115</v>
      </c>
      <c r="S488" s="42" t="n">
        <f aca="false">R488/$K$2</f>
        <v>335.73551796781</v>
      </c>
      <c r="T488" s="43" t="n">
        <f aca="false">S488-$M$2</f>
        <v>46.4467915129324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0.015625</v>
      </c>
      <c r="C489" s="25" t="n">
        <f aca="false">IF(T488&gt;0,D488,C488)</f>
        <v>0.0390625</v>
      </c>
      <c r="D489" s="41" t="n">
        <f aca="false">(B489+C489)/2</f>
        <v>0.02734375</v>
      </c>
      <c r="E489" s="15" t="n">
        <f aca="false">$C$2*(1+IF(E$3&lt;=$O$2,$D489,$D489-($D489-$I$481)*MIN(E$3-$O$2,$Q$2)/$Q$2))</f>
        <v>2547.8125</v>
      </c>
      <c r="F489" s="15" t="n">
        <f aca="false">E489*(1+IF(F$3&lt;=$O$2,$D489,$D489-($D489-$I$481)*MIN(F$3-$O$2,$Q$2)/$Q$2))</f>
        <v>2617.47924804688</v>
      </c>
      <c r="G489" s="15" t="n">
        <f aca="false">F489*(1+IF(G$3&lt;=$O$2,$D489,$D489-($D489-$I$481)*MIN(G$3-$O$2,$Q$2)/$Q$2))</f>
        <v>2689.05094623566</v>
      </c>
      <c r="H489" s="15" t="n">
        <f aca="false">G489*(1+IF(H$3&lt;=$O$2,$D489,$D489-($D489-$I$481)*MIN(H$3-$O$2,$Q$2)/$Q$2))</f>
        <v>2762.57968304679</v>
      </c>
      <c r="I489" s="15" t="n">
        <f aca="false">H489*(1+IF(I$3&lt;=$O$2,$D489,$D489-($D489-$I$481)*MIN(I$3-$O$2,$Q$2)/$Q$2))</f>
        <v>2838.1189712551</v>
      </c>
      <c r="J489" s="15" t="n">
        <f aca="false">I489*(1+IF(J$3&lt;=$O$2,$D489,$D489-($D489-$I$481)*MIN(J$3-$O$2,$Q$2)/$Q$2))</f>
        <v>2913.42845815735</v>
      </c>
      <c r="K489" s="15" t="n">
        <f aca="false">J489*(1+IF(K$3&lt;=$O$2,$D489,$D489-($D489-$I$481)*MIN(K$3-$O$2,$Q$2)/$Q$2))</f>
        <v>2988.38004702902</v>
      </c>
      <c r="L489" s="15" t="n">
        <f aca="false">K489*(1+IF(L$3&lt;=$O$2,$D489,$D489-($D489-$I$481)*MIN(L$3-$O$2,$Q$2)/$Q$2))</f>
        <v>3062.84300685087</v>
      </c>
      <c r="M489" s="15" t="n">
        <f aca="false">L489*(1+IF(M$3&lt;=$O$2,$D489,$D489-($D489-$I$481)*MIN(M$3-$O$2,$Q$2)/$Q$2))</f>
        <v>3136.68432319228</v>
      </c>
      <c r="N489" s="15" t="n">
        <f aca="false">M489*(1+IF(N$3&lt;=$O$2,$D489,$D489-($D489-$I$481)*MIN(N$3-$O$2,$Q$2)/$Q$2))</f>
        <v>3209.76906792266</v>
      </c>
      <c r="O489" s="15" t="n">
        <f aca="false">SUMPRODUCT(E489:N489,1/(1+$F$481)^$E$3:$N$3)*$E$2</f>
        <v>5537.44096277846</v>
      </c>
      <c r="P489" s="15" t="n">
        <f aca="false">N489*$E$2*(1+$I$481)/($F$481-$I$481)/(1+$F$481)^$N$3</f>
        <v>6825.1165695829</v>
      </c>
      <c r="Q489" s="15" t="n">
        <f aca="false">O489+P489</f>
        <v>12362.5575323614</v>
      </c>
      <c r="R489" s="15" t="n">
        <f aca="false">Q489-$G$2+$I$2</f>
        <v>11087.8875323614</v>
      </c>
      <c r="S489" s="42" t="n">
        <f aca="false">R489/$K$2</f>
        <v>311.720200516204</v>
      </c>
      <c r="T489" s="43" t="n">
        <f aca="false">S489-$M$2</f>
        <v>22.4314740613258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0.015625</v>
      </c>
      <c r="C490" s="25" t="n">
        <f aca="false">IF(T489&gt;0,D489,C489)</f>
        <v>0.02734375</v>
      </c>
      <c r="D490" s="41" t="n">
        <f aca="false">(B490+C490)/2</f>
        <v>0.021484375</v>
      </c>
      <c r="E490" s="15" t="n">
        <f aca="false">$C$2*(1+IF(E$3&lt;=$O$2,$D490,$D490-($D490-$I$481)*MIN(E$3-$O$2,$Q$2)/$Q$2))</f>
        <v>2533.28125</v>
      </c>
      <c r="F490" s="15" t="n">
        <f aca="false">E490*(1+IF(F$3&lt;=$O$2,$D490,$D490-($D490-$I$481)*MIN(F$3-$O$2,$Q$2)/$Q$2))</f>
        <v>2587.70721435547</v>
      </c>
      <c r="G490" s="15" t="n">
        <f aca="false">F490*(1+IF(G$3&lt;=$O$2,$D490,$D490-($D490-$I$481)*MIN(G$3-$O$2,$Q$2)/$Q$2))</f>
        <v>2643.30248653889</v>
      </c>
      <c r="H490" s="15" t="n">
        <f aca="false">G490*(1+IF(H$3&lt;=$O$2,$D490,$D490-($D490-$I$481)*MIN(H$3-$O$2,$Q$2)/$Q$2))</f>
        <v>2700.09218839812</v>
      </c>
      <c r="I490" s="15" t="n">
        <f aca="false">H490*(1+IF(I$3&lt;=$O$2,$D490,$D490-($D490-$I$481)*MIN(I$3-$O$2,$Q$2)/$Q$2))</f>
        <v>2758.10198150824</v>
      </c>
      <c r="J490" s="15" t="n">
        <f aca="false">I490*(1+IF(J$3&lt;=$O$2,$D490,$D490-($D490-$I$481)*MIN(J$3-$O$2,$Q$2)/$Q$2))</f>
        <v>2818.35961454924</v>
      </c>
      <c r="K490" s="15" t="n">
        <f aca="false">J490*(1+IF(K$3&lt;=$O$2,$D490,$D490-($D490-$I$481)*MIN(K$3-$O$2,$Q$2)/$Q$2))</f>
        <v>2880.95714306314</v>
      </c>
      <c r="L490" s="15" t="n">
        <f aca="false">K490*(1+IF(L$3&lt;=$O$2,$D490,$D490-($D490-$I$481)*MIN(L$3-$O$2,$Q$2)/$Q$2))</f>
        <v>2945.99114937136</v>
      </c>
      <c r="M490" s="15" t="n">
        <f aca="false">L490*(1+IF(M$3&lt;=$O$2,$D490,$D490-($D490-$I$481)*MIN(M$3-$O$2,$Q$2)/$Q$2))</f>
        <v>3013.5629801156</v>
      </c>
      <c r="N490" s="15" t="n">
        <f aca="false">M490*(1+IF(N$3&lt;=$O$2,$D490,$D490-($D490-$I$481)*MIN(N$3-$O$2,$Q$2)/$Q$2))</f>
        <v>3083.77899755229</v>
      </c>
      <c r="O490" s="15" t="n">
        <f aca="false">SUMPRODUCT(E490:N490,1/(1+$F$481)^$E$3:$N$3)*$E$2</f>
        <v>5398.16155478764</v>
      </c>
      <c r="P490" s="15" t="n">
        <f aca="false">N490*$E$2*(1+$I$481)/($F$481-$I$481)/(1+$F$481)^$N$3</f>
        <v>6557.2166370048</v>
      </c>
      <c r="Q490" s="15" t="n">
        <f aca="false">O490+P490</f>
        <v>11955.3781917924</v>
      </c>
      <c r="R490" s="15" t="n">
        <f aca="false">Q490-$G$2+$I$2</f>
        <v>10680.7081917924</v>
      </c>
      <c r="S490" s="42" t="n">
        <f aca="false">R490/$K$2</f>
        <v>300.272932015531</v>
      </c>
      <c r="T490" s="43" t="n">
        <f aca="false">S490-$M$2</f>
        <v>10.9842055606532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0.015625</v>
      </c>
      <c r="C491" s="25" t="n">
        <f aca="false">IF(T490&gt;0,D490,C490)</f>
        <v>0.021484375</v>
      </c>
      <c r="D491" s="41" t="n">
        <f aca="false">(B491+C491)/2</f>
        <v>0.0185546875</v>
      </c>
      <c r="E491" s="15" t="n">
        <f aca="false">$C$2*(1+IF(E$3&lt;=$O$2,$D491,$D491-($D491-$I$481)*MIN(E$3-$O$2,$Q$2)/$Q$2))</f>
        <v>2526.015625</v>
      </c>
      <c r="F491" s="15" t="n">
        <f aca="false">E491*(1+IF(F$3&lt;=$O$2,$D491,$D491-($D491-$I$481)*MIN(F$3-$O$2,$Q$2)/$Q$2))</f>
        <v>2572.88505554199</v>
      </c>
      <c r="G491" s="15" t="n">
        <f aca="false">F491*(1+IF(G$3&lt;=$O$2,$D491,$D491-($D491-$I$481)*MIN(G$3-$O$2,$Q$2)/$Q$2))</f>
        <v>2620.62413372099</v>
      </c>
      <c r="H491" s="15" t="n">
        <f aca="false">G491*(1+IF(H$3&lt;=$O$2,$D491,$D491-($D491-$I$481)*MIN(H$3-$O$2,$Q$2)/$Q$2))</f>
        <v>2669.24899557715</v>
      </c>
      <c r="I491" s="15" t="n">
        <f aca="false">H491*(1+IF(I$3&lt;=$O$2,$D491,$D491-($D491-$I$481)*MIN(I$3-$O$2,$Q$2)/$Q$2))</f>
        <v>2718.77607654977</v>
      </c>
      <c r="J491" s="15" t="n">
        <f aca="false">I491*(1+IF(J$3&lt;=$O$2,$D491,$D491-($D491-$I$481)*MIN(J$3-$O$2,$Q$2)/$Q$2))</f>
        <v>2771.80240545278</v>
      </c>
      <c r="K491" s="15" t="n">
        <f aca="false">J491*(1+IF(K$3&lt;=$O$2,$D491,$D491-($D491-$I$481)*MIN(K$3-$O$2,$Q$2)/$Q$2))</f>
        <v>2828.49356033855</v>
      </c>
      <c r="L491" s="15" t="n">
        <f aca="false">K491*(1+IF(L$3&lt;=$O$2,$D491,$D491-($D491-$I$481)*MIN(L$3-$O$2,$Q$2)/$Q$2))</f>
        <v>2889.02862595522</v>
      </c>
      <c r="M491" s="15" t="n">
        <f aca="false">L491*(1+IF(M$3&lt;=$O$2,$D491,$D491-($D491-$I$481)*MIN(M$3-$O$2,$Q$2)/$Q$2))</f>
        <v>2953.60112420966</v>
      </c>
      <c r="N491" s="15" t="n">
        <f aca="false">M491*(1+IF(N$3&lt;=$O$2,$D491,$D491-($D491-$I$481)*MIN(N$3-$O$2,$Q$2)/$Q$2))</f>
        <v>3022.42003040374</v>
      </c>
      <c r="O491" s="15" t="n">
        <f aca="false">SUMPRODUCT(E491:N491,1/(1+$F$481)^$E$3:$N$3)*$E$2</f>
        <v>5329.86332789956</v>
      </c>
      <c r="P491" s="15" t="n">
        <f aca="false">N491*$E$2*(1+$I$481)/($F$481-$I$481)/(1+$F$481)^$N$3</f>
        <v>6426.74553627571</v>
      </c>
      <c r="Q491" s="15" t="n">
        <f aca="false">O491+P491</f>
        <v>11756.6088641753</v>
      </c>
      <c r="R491" s="15" t="n">
        <f aca="false">Q491-$G$2+$I$2</f>
        <v>10481.9388641753</v>
      </c>
      <c r="S491" s="42" t="n">
        <f aca="false">R491/$K$2</f>
        <v>294.684814848897</v>
      </c>
      <c r="T491" s="43" t="n">
        <f aca="false">S491-$M$2</f>
        <v>5.39608839401927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0.015625</v>
      </c>
      <c r="C492" s="25" t="n">
        <f aca="false">IF(T491&gt;0,D491,C491)</f>
        <v>0.0185546875</v>
      </c>
      <c r="D492" s="41" t="n">
        <f aca="false">(B492+C492)/2</f>
        <v>0.01708984375</v>
      </c>
      <c r="E492" s="15" t="n">
        <f aca="false">$C$2*(1+IF(E$3&lt;=$O$2,$D492,$D492-($D492-$I$481)*MIN(E$3-$O$2,$Q$2)/$Q$2))</f>
        <v>2522.3828125</v>
      </c>
      <c r="F492" s="15" t="n">
        <f aca="false">E492*(1+IF(F$3&lt;=$O$2,$D492,$D492-($D492-$I$481)*MIN(F$3-$O$2,$Q$2)/$Q$2))</f>
        <v>2565.48994064331</v>
      </c>
      <c r="G492" s="15" t="n">
        <f aca="false">F492*(1+IF(G$3&lt;=$O$2,$D492,$D492-($D492-$I$481)*MIN(G$3-$O$2,$Q$2)/$Q$2))</f>
        <v>2609.3337628711</v>
      </c>
      <c r="H492" s="15" t="n">
        <f aca="false">G492*(1+IF(H$3&lt;=$O$2,$D492,$D492-($D492-$I$481)*MIN(H$3-$O$2,$Q$2)/$Q$2))</f>
        <v>2653.92686917017</v>
      </c>
      <c r="I492" s="15" t="n">
        <f aca="false">H492*(1+IF(I$3&lt;=$O$2,$D492,$D492-($D492-$I$481)*MIN(I$3-$O$2,$Q$2)/$Q$2))</f>
        <v>2699.28206468821</v>
      </c>
      <c r="J492" s="15" t="n">
        <f aca="false">I492*(1+IF(J$3&lt;=$O$2,$D492,$D492-($D492-$I$481)*MIN(J$3-$O$2,$Q$2)/$Q$2))</f>
        <v>2748.76496608782</v>
      </c>
      <c r="K492" s="15" t="n">
        <f aca="false">J492*(1+IF(K$3&lt;=$O$2,$D492,$D492-($D492-$I$481)*MIN(K$3-$O$2,$Q$2)/$Q$2))</f>
        <v>2802.56903383731</v>
      </c>
      <c r="L492" s="15" t="n">
        <f aca="false">K492*(1+IF(L$3&lt;=$O$2,$D492,$D492-($D492-$I$481)*MIN(L$3-$O$2,$Q$2)/$Q$2))</f>
        <v>2860.9071356851</v>
      </c>
      <c r="M492" s="15" t="n">
        <f aca="false">L492*(1+IF(M$3&lt;=$O$2,$D492,$D492-($D492-$I$481)*MIN(M$3-$O$2,$Q$2)/$Q$2))</f>
        <v>2924.01293588069</v>
      </c>
      <c r="N492" s="15" t="n">
        <f aca="false">M492*(1+IF(N$3&lt;=$O$2,$D492,$D492-($D492-$I$481)*MIN(N$3-$O$2,$Q$2)/$Q$2))</f>
        <v>2992.14243728671</v>
      </c>
      <c r="O492" s="15" t="n">
        <f aca="false">SUMPRODUCT(E492:N492,1/(1+$F$481)^$E$3:$N$3)*$E$2</f>
        <v>5296.04482960118</v>
      </c>
      <c r="P492" s="15" t="n">
        <f aca="false">N492*$E$2*(1+$I$481)/($F$481-$I$481)/(1+$F$481)^$N$3</f>
        <v>6362.36454870396</v>
      </c>
      <c r="Q492" s="15" t="n">
        <f aca="false">O492+P492</f>
        <v>11658.4093783051</v>
      </c>
      <c r="R492" s="15" t="n">
        <f aca="false">Q492-$G$2+$I$2</f>
        <v>10383.7393783051</v>
      </c>
      <c r="S492" s="42" t="n">
        <f aca="false">R492/$K$2</f>
        <v>291.924075859015</v>
      </c>
      <c r="T492" s="43" t="n">
        <f aca="false">S492-$M$2</f>
        <v>2.63534940413683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0.015625</v>
      </c>
      <c r="C493" s="25" t="n">
        <f aca="false">IF(T492&gt;0,D492,C492)</f>
        <v>0.01708984375</v>
      </c>
      <c r="D493" s="41" t="n">
        <f aca="false">(B493+C493)/2</f>
        <v>0.016357421875</v>
      </c>
      <c r="E493" s="15" t="n">
        <f aca="false">$C$2*(1+IF(E$3&lt;=$O$2,$D493,$D493-($D493-$I$481)*MIN(E$3-$O$2,$Q$2)/$Q$2))</f>
        <v>2520.56640625</v>
      </c>
      <c r="F493" s="15" t="n">
        <f aca="false">E493*(1+IF(F$3&lt;=$O$2,$D493,$D493-($D493-$I$481)*MIN(F$3-$O$2,$Q$2)/$Q$2))</f>
        <v>2561.79637432098</v>
      </c>
      <c r="G493" s="15" t="n">
        <f aca="false">F493*(1+IF(G$3&lt;=$O$2,$D493,$D493-($D493-$I$481)*MIN(G$3-$O$2,$Q$2)/$Q$2))</f>
        <v>2603.7007583736</v>
      </c>
      <c r="H493" s="15" t="n">
        <f aca="false">G493*(1+IF(H$3&lt;=$O$2,$D493,$D493-($D493-$I$481)*MIN(H$3-$O$2,$Q$2)/$Q$2))</f>
        <v>2646.29059011457</v>
      </c>
      <c r="I493" s="15" t="n">
        <f aca="false">H493*(1+IF(I$3&lt;=$O$2,$D493,$D493-($D493-$I$481)*MIN(I$3-$O$2,$Q$2)/$Q$2))</f>
        <v>2689.57708170092</v>
      </c>
      <c r="J493" s="15" t="n">
        <f aca="false">I493*(1+IF(J$3&lt;=$O$2,$D493,$D493-($D493-$I$481)*MIN(J$3-$O$2,$Q$2)/$Q$2))</f>
        <v>2737.30614849422</v>
      </c>
      <c r="K493" s="15" t="n">
        <f aca="false">J493*(1+IF(K$3&lt;=$O$2,$D493,$D493-($D493-$I$481)*MIN(K$3-$O$2,$Q$2)/$Q$2))</f>
        <v>2789.68300468135</v>
      </c>
      <c r="L493" s="15" t="n">
        <f aca="false">K493*(1+IF(L$3&lt;=$O$2,$D493,$D493-($D493-$I$481)*MIN(L$3-$O$2,$Q$2)/$Q$2))</f>
        <v>2846.93558180883</v>
      </c>
      <c r="M493" s="15" t="n">
        <f aca="false">L493*(1+IF(M$3&lt;=$O$2,$D493,$D493-($D493-$I$481)*MIN(M$3-$O$2,$Q$2)/$Q$2))</f>
        <v>2909.31616632627</v>
      </c>
      <c r="N493" s="15" t="n">
        <f aca="false">M493*(1+IF(N$3&lt;=$O$2,$D493,$D493-($D493-$I$481)*MIN(N$3-$O$2,$Q$2)/$Q$2))</f>
        <v>2977.10323300167</v>
      </c>
      <c r="O493" s="15" t="n">
        <f aca="false">SUMPRODUCT(E493:N493,1/(1+$F$481)^$E$3:$N$3)*$E$2</f>
        <v>5279.21764589216</v>
      </c>
      <c r="P493" s="15" t="n">
        <f aca="false">N493*$E$2*(1+$I$481)/($F$481-$I$481)/(1+$F$481)^$N$3</f>
        <v>6330.38582369693</v>
      </c>
      <c r="Q493" s="15" t="n">
        <f aca="false">O493+P493</f>
        <v>11609.6034695891</v>
      </c>
      <c r="R493" s="15" t="n">
        <f aca="false">Q493-$G$2+$I$2</f>
        <v>10334.9334695891</v>
      </c>
      <c r="S493" s="42" t="n">
        <f aca="false">R493/$K$2</f>
        <v>290.55196709556</v>
      </c>
      <c r="T493" s="43" t="n">
        <f aca="false">S493-$M$2</f>
        <v>1.26324064068262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0.015625</v>
      </c>
      <c r="C494" s="25" t="n">
        <f aca="false">IF(T493&gt;0,D493,C493)</f>
        <v>0.016357421875</v>
      </c>
      <c r="D494" s="41" t="n">
        <f aca="false">(B494+C494)/2</f>
        <v>0.0159912109375</v>
      </c>
      <c r="E494" s="15" t="n">
        <f aca="false">$C$2*(1+IF(E$3&lt;=$O$2,$D494,$D494-($D494-$I$481)*MIN(E$3-$O$2,$Q$2)/$Q$2))</f>
        <v>2519.658203125</v>
      </c>
      <c r="F494" s="15" t="n">
        <f aca="false">E494*(1+IF(F$3&lt;=$O$2,$D494,$D494-($D494-$I$481)*MIN(F$3-$O$2,$Q$2)/$Q$2))</f>
        <v>2559.95058894157</v>
      </c>
      <c r="G494" s="15" t="n">
        <f aca="false">F494*(1+IF(G$3&lt;=$O$2,$D494,$D494-($D494-$I$481)*MIN(G$3-$O$2,$Q$2)/$Q$2))</f>
        <v>2600.88729879892</v>
      </c>
      <c r="H494" s="15" t="n">
        <f aca="false">G494*(1+IF(H$3&lt;=$O$2,$D494,$D494-($D494-$I$481)*MIN(H$3-$O$2,$Q$2)/$Q$2))</f>
        <v>2642.47863621867</v>
      </c>
      <c r="I494" s="15" t="n">
        <f aca="false">H494*(1+IF(I$3&lt;=$O$2,$D494,$D494-($D494-$I$481)*MIN(I$3-$O$2,$Q$2)/$Q$2))</f>
        <v>2684.73506948828</v>
      </c>
      <c r="J494" s="15" t="n">
        <f aca="false">I494*(1+IF(J$3&lt;=$O$2,$D494,$D494-($D494-$I$481)*MIN(J$3-$O$2,$Q$2)/$Q$2))</f>
        <v>2731.59166675809</v>
      </c>
      <c r="K494" s="15" t="n">
        <f aca="false">J494*(1+IF(K$3&lt;=$O$2,$D494,$D494-($D494-$I$481)*MIN(K$3-$O$2,$Q$2)/$Q$2))</f>
        <v>2783.25897621523</v>
      </c>
      <c r="L494" s="15" t="n">
        <f aca="false">K494*(1+IF(L$3&lt;=$O$2,$D494,$D494-($D494-$I$481)*MIN(L$3-$O$2,$Q$2)/$Q$2))</f>
        <v>2839.97200925565</v>
      </c>
      <c r="M494" s="15" t="n">
        <f aca="false">L494*(1+IF(M$3&lt;=$O$2,$D494,$D494-($D494-$I$481)*MIN(M$3-$O$2,$Q$2)/$Q$2))</f>
        <v>2901.9920057995</v>
      </c>
      <c r="N494" s="15" t="n">
        <f aca="false">M494*(1+IF(N$3&lt;=$O$2,$D494,$D494-($D494-$I$481)*MIN(N$3-$O$2,$Q$2)/$Q$2))</f>
        <v>2969.60841953463</v>
      </c>
      <c r="O494" s="15" t="n">
        <f aca="false">SUMPRODUCT(E494:N494,1/(1+$F$481)^$E$3:$N$3)*$E$2</f>
        <v>5270.82449722189</v>
      </c>
      <c r="P494" s="15" t="n">
        <f aca="false">N494*$E$2*(1+$I$481)/($F$481-$I$481)/(1+$F$481)^$N$3</f>
        <v>6314.44917077973</v>
      </c>
      <c r="Q494" s="15" t="n">
        <f aca="false">O494+P494</f>
        <v>11585.2736680016</v>
      </c>
      <c r="R494" s="15" t="n">
        <f aca="false">Q494-$G$2+$I$2</f>
        <v>10310.6036680016</v>
      </c>
      <c r="S494" s="42" t="n">
        <f aca="false">R494/$K$2</f>
        <v>289.867969300017</v>
      </c>
      <c r="T494" s="43" t="n">
        <f aca="false">S494-$M$2</f>
        <v>0.579242845139504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0.015625</v>
      </c>
      <c r="C495" s="25" t="n">
        <f aca="false">IF(T494&gt;0,D494,C494)</f>
        <v>0.0159912109375</v>
      </c>
      <c r="D495" s="41" t="n">
        <f aca="false">(B495+C495)/2</f>
        <v>0.01580810546875</v>
      </c>
      <c r="E495" s="15" t="n">
        <f aca="false">$C$2*(1+IF(E$3&lt;=$O$2,$D495,$D495-($D495-$I$481)*MIN(E$3-$O$2,$Q$2)/$Q$2))</f>
        <v>2519.2041015625</v>
      </c>
      <c r="F495" s="15" t="n">
        <f aca="false">E495*(1+IF(F$3&lt;=$O$2,$D495,$D495-($D495-$I$481)*MIN(F$3-$O$2,$Q$2)/$Q$2))</f>
        <v>2559.02794569731</v>
      </c>
      <c r="G495" s="15" t="n">
        <f aca="false">F495*(1+IF(G$3&lt;=$O$2,$D495,$D495-($D495-$I$481)*MIN(G$3-$O$2,$Q$2)/$Q$2))</f>
        <v>2599.48132936037</v>
      </c>
      <c r="H495" s="15" t="n">
        <f aca="false">G495*(1+IF(H$3&lt;=$O$2,$D495,$D495-($D495-$I$481)*MIN(H$3-$O$2,$Q$2)/$Q$2))</f>
        <v>2640.57420437894</v>
      </c>
      <c r="I495" s="15" t="n">
        <f aca="false">H495*(1+IF(I$3&lt;=$O$2,$D495,$D495-($D495-$I$481)*MIN(I$3-$O$2,$Q$2)/$Q$2))</f>
        <v>2682.31667989983</v>
      </c>
      <c r="J495" s="15" t="n">
        <f aca="false">I495*(1+IF(J$3&lt;=$O$2,$D495,$D495-($D495-$I$481)*MIN(J$3-$O$2,$Q$2)/$Q$2))</f>
        <v>2728.73815160932</v>
      </c>
      <c r="K495" s="15" t="n">
        <f aca="false">J495*(1+IF(K$3&lt;=$O$2,$D495,$D495-($D495-$I$481)*MIN(K$3-$O$2,$Q$2)/$Q$2))</f>
        <v>2780.05169948066</v>
      </c>
      <c r="L495" s="15" t="n">
        <f aca="false">K495*(1+IF(L$3&lt;=$O$2,$D495,$D495-($D495-$I$481)*MIN(L$3-$O$2,$Q$2)/$Q$2))</f>
        <v>2836.49576242899</v>
      </c>
      <c r="M495" s="15" t="n">
        <f aca="false">L495*(1+IF(M$3&lt;=$O$2,$D495,$D495-($D495-$I$481)*MIN(M$3-$O$2,$Q$2)/$Q$2))</f>
        <v>2898.33596827549</v>
      </c>
      <c r="N495" s="15" t="n">
        <f aca="false">M495*(1+IF(N$3&lt;=$O$2,$D495,$D495-($D495-$I$481)*MIN(N$3-$O$2,$Q$2)/$Q$2))</f>
        <v>2965.86719633631</v>
      </c>
      <c r="O495" s="15" t="n">
        <f aca="false">SUMPRODUCT(E495:N495,1/(1+$F$481)^$E$3:$N$3)*$E$2</f>
        <v>5266.63302455873</v>
      </c>
      <c r="P495" s="15" t="n">
        <f aca="false">N495*$E$2*(1+$I$481)/($F$481-$I$481)/(1+$F$481)^$N$3</f>
        <v>6306.49399272766</v>
      </c>
      <c r="Q495" s="15" t="n">
        <f aca="false">O495+P495</f>
        <v>11573.1270172864</v>
      </c>
      <c r="R495" s="15" t="n">
        <f aca="false">Q495-$G$2+$I$2</f>
        <v>10298.4570172864</v>
      </c>
      <c r="S495" s="42" t="n">
        <f aca="false">R495/$K$2</f>
        <v>289.526483477267</v>
      </c>
      <c r="T495" s="43" t="n">
        <f aca="false">S495-$M$2</f>
        <v>0.237757022389133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0.015625</v>
      </c>
      <c r="C496" s="25" t="n">
        <f aca="false">IF(T495&gt;0,D495,C495)</f>
        <v>0.01580810546875</v>
      </c>
      <c r="D496" s="41" t="n">
        <f aca="false">(B496+C496)/2</f>
        <v>0.015716552734375</v>
      </c>
      <c r="E496" s="15" t="n">
        <f aca="false">$C$2*(1+IF(E$3&lt;=$O$2,$D496,$D496-($D496-$I$481)*MIN(E$3-$O$2,$Q$2)/$Q$2))</f>
        <v>2518.97705078125</v>
      </c>
      <c r="F496" s="15" t="n">
        <f aca="false">E496*(1+IF(F$3&lt;=$O$2,$D496,$D496-($D496-$I$481)*MIN(F$3-$O$2,$Q$2)/$Q$2))</f>
        <v>2558.56668643653</v>
      </c>
      <c r="G496" s="15" t="n">
        <f aca="false">F496*(1+IF(G$3&lt;=$O$2,$D496,$D496-($D496-$I$481)*MIN(G$3-$O$2,$Q$2)/$Q$2))</f>
        <v>2598.77853468833</v>
      </c>
      <c r="H496" s="15" t="n">
        <f aca="false">G496*(1+IF(H$3&lt;=$O$2,$D496,$D496-($D496-$I$481)*MIN(H$3-$O$2,$Q$2)/$Q$2))</f>
        <v>2639.62237457372</v>
      </c>
      <c r="I496" s="15" t="n">
        <f aca="false">H496*(1+IF(I$3&lt;=$O$2,$D496,$D496-($D496-$I$481)*MIN(I$3-$O$2,$Q$2)/$Q$2))</f>
        <v>2681.10813882254</v>
      </c>
      <c r="J496" s="15" t="n">
        <f aca="false">I496*(1+IF(J$3&lt;=$O$2,$D496,$D496-($D496-$I$481)*MIN(J$3-$O$2,$Q$2)/$Q$2))</f>
        <v>2727.31232470975</v>
      </c>
      <c r="K496" s="15" t="n">
        <f aca="false">J496*(1+IF(K$3&lt;=$O$2,$D496,$D496-($D496-$I$481)*MIN(K$3-$O$2,$Q$2)/$Q$2))</f>
        <v>2778.44924436069</v>
      </c>
      <c r="L496" s="15" t="n">
        <f aca="false">K496*(1+IF(L$3&lt;=$O$2,$D496,$D496-($D496-$I$481)*MIN(L$3-$O$2,$Q$2)/$Q$2))</f>
        <v>2834.75902242437</v>
      </c>
      <c r="M496" s="15" t="n">
        <f aca="false">L496*(1+IF(M$3&lt;=$O$2,$D496,$D496-($D496-$I$481)*MIN(M$3-$O$2,$Q$2)/$Q$2))</f>
        <v>2896.50945853539</v>
      </c>
      <c r="N496" s="15" t="n">
        <f aca="false">M496*(1+IF(N$3&lt;=$O$2,$D496,$D496-($D496-$I$481)*MIN(N$3-$O$2,$Q$2)/$Q$2))</f>
        <v>2963.99812891927</v>
      </c>
      <c r="O496" s="15" t="n">
        <f aca="false">SUMPRODUCT(E496:N496,1/(1+$F$481)^$E$3:$N$3)*$E$2</f>
        <v>5264.53856250606</v>
      </c>
      <c r="P496" s="15" t="n">
        <f aca="false">N496*$E$2*(1+$I$481)/($F$481-$I$481)/(1+$F$481)^$N$3</f>
        <v>6302.51968718487</v>
      </c>
      <c r="Q496" s="15" t="n">
        <f aca="false">O496+P496</f>
        <v>11567.0582496909</v>
      </c>
      <c r="R496" s="15" t="n">
        <f aca="false">Q496-$G$2+$I$2</f>
        <v>10292.3882496909</v>
      </c>
      <c r="S496" s="42" t="n">
        <f aca="false">R496/$K$2</f>
        <v>289.355868700898</v>
      </c>
      <c r="T496" s="43" t="n">
        <f aca="false">S496-$M$2</f>
        <v>0.0671422460198983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0.015625</v>
      </c>
      <c r="C497" s="25" t="n">
        <f aca="false">IF(T496&gt;0,D496,C496)</f>
        <v>0.015716552734375</v>
      </c>
      <c r="D497" s="41" t="n">
        <f aca="false">(B497+C497)/2</f>
        <v>0.0156707763671875</v>
      </c>
      <c r="E497" s="15" t="n">
        <f aca="false">$C$2*(1+IF(E$3&lt;=$O$2,$D497,$D497-($D497-$I$481)*MIN(E$3-$O$2,$Q$2)/$Q$2))</f>
        <v>2518.86352539063</v>
      </c>
      <c r="F497" s="15" t="n">
        <f aca="false">E497*(1+IF(F$3&lt;=$O$2,$D497,$D497-($D497-$I$481)*MIN(F$3-$O$2,$Q$2)/$Q$2))</f>
        <v>2558.33607239649</v>
      </c>
      <c r="G497" s="15" t="n">
        <f aca="false">F497*(1+IF(G$3&lt;=$O$2,$D497,$D497-($D497-$I$481)*MIN(G$3-$O$2,$Q$2)/$Q$2))</f>
        <v>2598.42718485912</v>
      </c>
      <c r="H497" s="15" t="n">
        <f aca="false">G497*(1+IF(H$3&lt;=$O$2,$D497,$D497-($D497-$I$481)*MIN(H$3-$O$2,$Q$2)/$Q$2))</f>
        <v>2639.14655617947</v>
      </c>
      <c r="I497" s="15" t="n">
        <f aca="false">H497*(1+IF(I$3&lt;=$O$2,$D497,$D497-($D497-$I$481)*MIN(I$3-$O$2,$Q$2)/$Q$2))</f>
        <v>2680.50403166159</v>
      </c>
      <c r="J497" s="15" t="n">
        <f aca="false">I497*(1+IF(J$3&lt;=$O$2,$D497,$D497-($D497-$I$481)*MIN(J$3-$O$2,$Q$2)/$Q$2))</f>
        <v>2726.59964383434</v>
      </c>
      <c r="K497" s="15" t="n">
        <f aca="false">J497*(1+IF(K$3&lt;=$O$2,$D497,$D497-($D497-$I$481)*MIN(K$3-$O$2,$Q$2)/$Q$2))</f>
        <v>2777.64831247171</v>
      </c>
      <c r="L497" s="15" t="n">
        <f aca="false">K497*(1+IF(L$3&lt;=$O$2,$D497,$D497-($D497-$I$481)*MIN(L$3-$O$2,$Q$2)/$Q$2))</f>
        <v>2833.89099809264</v>
      </c>
      <c r="M497" s="15" t="n">
        <f aca="false">L497*(1+IF(M$3&lt;=$O$2,$D497,$D497-($D497-$I$481)*MIN(M$3-$O$2,$Q$2)/$Q$2))</f>
        <v>2895.5965807131</v>
      </c>
      <c r="N497" s="15" t="n">
        <f aca="false">M497*(1+IF(N$3&lt;=$O$2,$D497,$D497-($D497-$I$481)*MIN(N$3-$O$2,$Q$2)/$Q$2))</f>
        <v>2963.06398104372</v>
      </c>
      <c r="O497" s="15" t="n">
        <f aca="false">SUMPRODUCT(E497:N497,1/(1+$F$481)^$E$3:$N$3)*$E$2</f>
        <v>5263.49164990716</v>
      </c>
      <c r="P497" s="15" t="n">
        <f aca="false">N497*$E$2*(1+$I$481)/($F$481-$I$481)/(1+$F$481)^$N$3</f>
        <v>6300.53335483231</v>
      </c>
      <c r="Q497" s="15" t="n">
        <f aca="false">O497+P497</f>
        <v>11564.0250047395</v>
      </c>
      <c r="R497" s="15" t="n">
        <f aca="false">Q497-$G$2+$I$2</f>
        <v>10289.3550047395</v>
      </c>
      <c r="S497" s="42" t="n">
        <f aca="false">R497/$K$2</f>
        <v>289.270593329757</v>
      </c>
      <c r="T497" s="43" t="n">
        <f aca="false">S497-$M$2</f>
        <v>-0.0181331251203574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0.0156707763671875</v>
      </c>
      <c r="C498" s="25" t="n">
        <f aca="false">IF(T497&gt;0,D497,C497)</f>
        <v>0.015716552734375</v>
      </c>
      <c r="D498" s="41" t="n">
        <f aca="false">(B498+C498)/2</f>
        <v>0.0156936645507813</v>
      </c>
      <c r="E498" s="15" t="n">
        <f aca="false">$C$2*(1+IF(E$3&lt;=$O$2,$D498,$D498-($D498-$I$481)*MIN(E$3-$O$2,$Q$2)/$Q$2))</f>
        <v>2518.92028808594</v>
      </c>
      <c r="F498" s="15" t="n">
        <f aca="false">E498*(1+IF(F$3&lt;=$O$2,$D498,$D498-($D498-$I$481)*MIN(F$3-$O$2,$Q$2)/$Q$2))</f>
        <v>2558.45137811732</v>
      </c>
      <c r="G498" s="15" t="n">
        <f aca="false">F498*(1+IF(G$3&lt;=$O$2,$D498,$D498-($D498-$I$481)*MIN(G$3-$O$2,$Q$2)/$Q$2))</f>
        <v>2598.60285581497</v>
      </c>
      <c r="H498" s="15" t="n">
        <f aca="false">G498*(1+IF(H$3&lt;=$O$2,$D498,$D498-($D498-$I$481)*MIN(H$3-$O$2,$Q$2)/$Q$2))</f>
        <v>2639.38445733484</v>
      </c>
      <c r="I498" s="15" t="n">
        <f aca="false">H498*(1+IF(I$3&lt;=$O$2,$D498,$D498-($D498-$I$481)*MIN(I$3-$O$2,$Q$2)/$Q$2))</f>
        <v>2680.80607162879</v>
      </c>
      <c r="J498" s="15" t="n">
        <f aca="false">I498*(1+IF(J$3&lt;=$O$2,$D498,$D498-($D498-$I$481)*MIN(J$3-$O$2,$Q$2)/$Q$2))</f>
        <v>2726.95596489366</v>
      </c>
      <c r="K498" s="15" t="n">
        <f aca="false">J498*(1+IF(K$3&lt;=$O$2,$D498,$D498-($D498-$I$481)*MIN(K$3-$O$2,$Q$2)/$Q$2))</f>
        <v>2778.04875378114</v>
      </c>
      <c r="L498" s="15" t="n">
        <f aca="false">K498*(1+IF(L$3&lt;=$O$2,$D498,$D498-($D498-$I$481)*MIN(L$3-$O$2,$Q$2)/$Q$2))</f>
        <v>2834.32498145802</v>
      </c>
      <c r="M498" s="15" t="n">
        <f aca="false">L498*(1+IF(M$3&lt;=$O$2,$D498,$D498-($D498-$I$481)*MIN(M$3-$O$2,$Q$2)/$Q$2))</f>
        <v>2896.05298820978</v>
      </c>
      <c r="N498" s="15" t="n">
        <f aca="false">M498*(1+IF(N$3&lt;=$O$2,$D498,$D498-($D498-$I$481)*MIN(N$3-$O$2,$Q$2)/$Q$2))</f>
        <v>2963.53102283507</v>
      </c>
      <c r="O498" s="15" t="n">
        <f aca="false">SUMPRODUCT(E498:N498,1/(1+$F$481)^$E$3:$N$3)*$E$2</f>
        <v>5264.01507967522</v>
      </c>
      <c r="P498" s="15" t="n">
        <f aca="false">N498*$E$2*(1+$I$481)/($F$481-$I$481)/(1+$F$481)^$N$3</f>
        <v>6301.5264526538</v>
      </c>
      <c r="Q498" s="15" t="n">
        <f aca="false">O498+P498</f>
        <v>11565.541532329</v>
      </c>
      <c r="R498" s="15" t="n">
        <f aca="false">Q498-$G$2+$I$2</f>
        <v>10290.871532329</v>
      </c>
      <c r="S498" s="42" t="n">
        <f aca="false">R498/$K$2</f>
        <v>289.313228347737</v>
      </c>
      <c r="T498" s="43" t="n">
        <f aca="false">S498-$M$2</f>
        <v>0.0245018928596892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0.0156707763671875</v>
      </c>
      <c r="C499" s="25" t="n">
        <f aca="false">IF(T498&gt;0,D498,C498)</f>
        <v>0.0156936645507813</v>
      </c>
      <c r="D499" s="41" t="n">
        <f aca="false">(B499+C499)/2</f>
        <v>0.0156822204589844</v>
      </c>
      <c r="E499" s="15" t="n">
        <f aca="false">$C$2*(1+IF(E$3&lt;=$O$2,$D499,$D499-($D499-$I$481)*MIN(E$3-$O$2,$Q$2)/$Q$2))</f>
        <v>2518.89190673828</v>
      </c>
      <c r="F499" s="15" t="n">
        <f aca="false">E499*(1+IF(F$3&lt;=$O$2,$D499,$D499-($D499-$I$481)*MIN(F$3-$O$2,$Q$2)/$Q$2))</f>
        <v>2558.3937249321</v>
      </c>
      <c r="G499" s="15" t="n">
        <f aca="false">F499*(1+IF(G$3&lt;=$O$2,$D499,$D499-($D499-$I$481)*MIN(G$3-$O$2,$Q$2)/$Q$2))</f>
        <v>2598.51501934737</v>
      </c>
      <c r="H499" s="15" t="n">
        <f aca="false">G499*(1+IF(H$3&lt;=$O$2,$D499,$D499-($D499-$I$481)*MIN(H$3-$O$2,$Q$2)/$Q$2))</f>
        <v>2639.26550474676</v>
      </c>
      <c r="I499" s="15" t="n">
        <f aca="false">H499*(1+IF(I$3&lt;=$O$2,$D499,$D499-($D499-$I$481)*MIN(I$3-$O$2,$Q$2)/$Q$2))</f>
        <v>2680.65504824199</v>
      </c>
      <c r="J499" s="15" t="n">
        <f aca="false">I499*(1+IF(J$3&lt;=$O$2,$D499,$D499-($D499-$I$481)*MIN(J$3-$O$2,$Q$2)/$Q$2))</f>
        <v>2726.77779951961</v>
      </c>
      <c r="K499" s="15" t="n">
        <f aca="false">J499*(1+IF(K$3&lt;=$O$2,$D499,$D499-($D499-$I$481)*MIN(K$3-$O$2,$Q$2)/$Q$2))</f>
        <v>2777.84852696797</v>
      </c>
      <c r="L499" s="15" t="n">
        <f aca="false">K499*(1+IF(L$3&lt;=$O$2,$D499,$D499-($D499-$I$481)*MIN(L$3-$O$2,$Q$2)/$Q$2))</f>
        <v>2834.10798257562</v>
      </c>
      <c r="M499" s="15" t="n">
        <f aca="false">L499*(1+IF(M$3&lt;=$O$2,$D499,$D499-($D499-$I$481)*MIN(M$3-$O$2,$Q$2)/$Q$2))</f>
        <v>2895.82477660829</v>
      </c>
      <c r="N499" s="15" t="n">
        <f aca="false">M499*(1+IF(N$3&lt;=$O$2,$D499,$D499-($D499-$I$481)*MIN(N$3-$O$2,$Q$2)/$Q$2))</f>
        <v>2963.29749390326</v>
      </c>
      <c r="O499" s="15" t="n">
        <f aca="false">SUMPRODUCT(E499:N499,1/(1+$F$481)^$E$3:$N$3)*$E$2</f>
        <v>5263.75335815866</v>
      </c>
      <c r="P499" s="15" t="n">
        <f aca="false">N499*$E$2*(1+$I$481)/($F$481-$I$481)/(1+$F$481)^$N$3</f>
        <v>6301.02988665537</v>
      </c>
      <c r="Q499" s="15" t="n">
        <f aca="false">O499+P499</f>
        <v>11564.783244814</v>
      </c>
      <c r="R499" s="15" t="n">
        <f aca="false">Q499-$G$2+$I$2</f>
        <v>10290.113244814</v>
      </c>
      <c r="S499" s="42" t="n">
        <f aca="false">R499/$K$2</f>
        <v>289.291910171887</v>
      </c>
      <c r="T499" s="43" t="n">
        <f aca="false">S499-$M$2</f>
        <v>0.00318371700944908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0.0156707763671875</v>
      </c>
      <c r="C500" s="25" t="n">
        <f aca="false">IF(T499&gt;0,D499,C499)</f>
        <v>0.0156822204589844</v>
      </c>
      <c r="D500" s="41" t="n">
        <f aca="false">(B500+C500)/2</f>
        <v>0.0156764984130859</v>
      </c>
      <c r="E500" s="15" t="n">
        <f aca="false">$C$2*(1+IF(E$3&lt;=$O$2,$D500,$D500-($D500-$I$481)*MIN(E$3-$O$2,$Q$2)/$Q$2))</f>
        <v>2518.87771606445</v>
      </c>
      <c r="F500" s="15" t="n">
        <f aca="false">E500*(1+IF(F$3&lt;=$O$2,$D500,$D500-($D500-$I$481)*MIN(F$3-$O$2,$Q$2)/$Q$2))</f>
        <v>2558.3648985831</v>
      </c>
      <c r="G500" s="15" t="n">
        <f aca="false">F500*(1+IF(G$3&lt;=$O$2,$D500,$D500-($D500-$I$481)*MIN(G$3-$O$2,$Q$2)/$Q$2))</f>
        <v>2598.47110185583</v>
      </c>
      <c r="H500" s="15" t="n">
        <f aca="false">G500*(1+IF(H$3&lt;=$O$2,$D500,$D500-($D500-$I$481)*MIN(H$3-$O$2,$Q$2)/$Q$2))</f>
        <v>2639.20602996052</v>
      </c>
      <c r="I500" s="15" t="n">
        <f aca="false">H500*(1+IF(I$3&lt;=$O$2,$D500,$D500-($D500-$I$481)*MIN(I$3-$O$2,$Q$2)/$Q$2))</f>
        <v>2680.579539101</v>
      </c>
      <c r="J500" s="15" t="n">
        <f aca="false">I500*(1+IF(J$3&lt;=$O$2,$D500,$D500-($D500-$I$481)*MIN(J$3-$O$2,$Q$2)/$Q$2))</f>
        <v>2726.68872046591</v>
      </c>
      <c r="K500" s="15" t="n">
        <f aca="false">J500*(1+IF(K$3&lt;=$O$2,$D500,$D500-($D500-$I$481)*MIN(K$3-$O$2,$Q$2)/$Q$2))</f>
        <v>2777.74841818027</v>
      </c>
      <c r="L500" s="15" t="n">
        <f aca="false">K500*(1+IF(L$3&lt;=$O$2,$D500,$D500-($D500-$I$481)*MIN(L$3-$O$2,$Q$2)/$Q$2))</f>
        <v>2833.99948853425</v>
      </c>
      <c r="M500" s="15" t="n">
        <f aca="false">L500*(1+IF(M$3&lt;=$O$2,$D500,$D500-($D500-$I$481)*MIN(M$3-$O$2,$Q$2)/$Q$2))</f>
        <v>2895.71067669747</v>
      </c>
      <c r="N500" s="15" t="n">
        <f aca="false">M500*(1+IF(N$3&lt;=$O$2,$D500,$D500-($D500-$I$481)*MIN(N$3-$O$2,$Q$2)/$Q$2))</f>
        <v>2963.18073546452</v>
      </c>
      <c r="O500" s="15" t="n">
        <f aca="false">SUMPRODUCT(E500:N500,1/(1+$F$481)^$E$3:$N$3)*$E$2</f>
        <v>5263.62250237482</v>
      </c>
      <c r="P500" s="15" t="n">
        <f aca="false">N500*$E$2*(1+$I$481)/($F$481-$I$481)/(1+$F$481)^$N$3</f>
        <v>6300.78161647204</v>
      </c>
      <c r="Q500" s="15" t="n">
        <f aca="false">O500+P500</f>
        <v>11564.4041188469</v>
      </c>
      <c r="R500" s="15" t="n">
        <f aca="false">Q500-$G$2+$I$2</f>
        <v>10289.7341188469</v>
      </c>
      <c r="S500" s="42" t="n">
        <f aca="false">R500/$K$2</f>
        <v>289.281251584112</v>
      </c>
      <c r="T500" s="43" t="n">
        <f aca="false">S500-$M$2</f>
        <v>-0.00747487076580455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0.0156764984130859</v>
      </c>
      <c r="C501" s="25" t="n">
        <f aca="false">IF(T500&gt;0,D500,C500)</f>
        <v>0.0156822204589844</v>
      </c>
      <c r="D501" s="41" t="n">
        <f aca="false">(B501+C501)/2</f>
        <v>0.0156793594360352</v>
      </c>
      <c r="E501" s="15" t="n">
        <f aca="false">$C$2*(1+IF(E$3&lt;=$O$2,$D501,$D501-($D501-$I$481)*MIN(E$3-$O$2,$Q$2)/$Q$2))</f>
        <v>2518.88481140137</v>
      </c>
      <c r="F501" s="15" t="n">
        <f aca="false">E501*(1+IF(F$3&lt;=$O$2,$D501,$D501-($D501-$I$481)*MIN(F$3-$O$2,$Q$2)/$Q$2))</f>
        <v>2558.3793117373</v>
      </c>
      <c r="G501" s="15" t="n">
        <f aca="false">F501*(1+IF(G$3&lt;=$O$2,$D501,$D501-($D501-$I$481)*MIN(G$3-$O$2,$Q$2)/$Q$2))</f>
        <v>2598.49306053974</v>
      </c>
      <c r="H501" s="15" t="n">
        <f aca="false">G501*(1+IF(H$3&lt;=$O$2,$D501,$D501-($D501-$I$481)*MIN(H$3-$O$2,$Q$2)/$Q$2))</f>
        <v>2639.23576722799</v>
      </c>
      <c r="I501" s="15" t="n">
        <f aca="false">H501*(1+IF(I$3&lt;=$O$2,$D501,$D501-($D501-$I$481)*MIN(I$3-$O$2,$Q$2)/$Q$2))</f>
        <v>2680.6172934588</v>
      </c>
      <c r="J501" s="15" t="n">
        <f aca="false">I501*(1+IF(J$3&lt;=$O$2,$D501,$D501-($D501-$I$481)*MIN(J$3-$O$2,$Q$2)/$Q$2))</f>
        <v>2726.73325968999</v>
      </c>
      <c r="K501" s="15" t="n">
        <f aca="false">J501*(1+IF(K$3&lt;=$O$2,$D501,$D501-($D501-$I$481)*MIN(K$3-$O$2,$Q$2)/$Q$2))</f>
        <v>2777.79847218922</v>
      </c>
      <c r="L501" s="15" t="n">
        <f aca="false">K501*(1+IF(L$3&lt;=$O$2,$D501,$D501-($D501-$I$481)*MIN(L$3-$O$2,$Q$2)/$Q$2))</f>
        <v>2834.05373510496</v>
      </c>
      <c r="M501" s="15" t="n">
        <f aca="false">L501*(1+IF(M$3&lt;=$O$2,$D501,$D501-($D501-$I$481)*MIN(M$3-$O$2,$Q$2)/$Q$2))</f>
        <v>2895.76772616206</v>
      </c>
      <c r="N501" s="15" t="n">
        <f aca="false">M501*(1+IF(N$3&lt;=$O$2,$D501,$D501-($D501-$I$481)*MIN(N$3-$O$2,$Q$2)/$Q$2))</f>
        <v>2963.23911418164</v>
      </c>
      <c r="O501" s="15" t="n">
        <f aca="false">SUMPRODUCT(E501:N501,1/(1+$F$481)^$E$3:$N$3)*$E$2</f>
        <v>5263.68792985221</v>
      </c>
      <c r="P501" s="15" t="n">
        <f aca="false">N501*$E$2*(1+$I$481)/($F$481-$I$481)/(1+$F$481)^$N$3</f>
        <v>6300.90575049574</v>
      </c>
      <c r="Q501" s="15" t="n">
        <f aca="false">O501+P501</f>
        <v>11564.5936803479</v>
      </c>
      <c r="R501" s="15" t="n">
        <f aca="false">Q501-$G$2+$I$2</f>
        <v>10289.9236803479</v>
      </c>
      <c r="S501" s="42" t="n">
        <f aca="false">R501/$K$2</f>
        <v>289.286580836321</v>
      </c>
      <c r="T501" s="43" t="n">
        <f aca="false">S501-$M$2</f>
        <v>-0.0021456185563693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0.0156793594360352</v>
      </c>
      <c r="C502" s="25" t="n">
        <f aca="false">IF(T501&gt;0,D501,C501)</f>
        <v>0.0156822204589844</v>
      </c>
      <c r="D502" s="41" t="n">
        <f aca="false">(B502+C502)/2</f>
        <v>0.0156807899475098</v>
      </c>
      <c r="E502" s="15" t="n">
        <f aca="false">$C$2*(1+IF(E$3&lt;=$O$2,$D502,$D502-($D502-$I$481)*MIN(E$3-$O$2,$Q$2)/$Q$2))</f>
        <v>2518.88835906982</v>
      </c>
      <c r="F502" s="15" t="n">
        <f aca="false">E502*(1+IF(F$3&lt;=$O$2,$D502,$D502-($D502-$I$481)*MIN(F$3-$O$2,$Q$2)/$Q$2))</f>
        <v>2558.38651832963</v>
      </c>
      <c r="G502" s="15" t="n">
        <f aca="false">F502*(1+IF(G$3&lt;=$O$2,$D502,$D502-($D502-$I$481)*MIN(G$3-$O$2,$Q$2)/$Q$2))</f>
        <v>2598.50403992809</v>
      </c>
      <c r="H502" s="15" t="n">
        <f aca="false">G502*(1+IF(H$3&lt;=$O$2,$D502,$D502-($D502-$I$481)*MIN(H$3-$O$2,$Q$2)/$Q$2))</f>
        <v>2639.25063595596</v>
      </c>
      <c r="I502" s="15" t="n">
        <f aca="false">H502*(1+IF(I$3&lt;=$O$2,$D502,$D502-($D502-$I$481)*MIN(I$3-$O$2,$Q$2)/$Q$2))</f>
        <v>2680.63617079722</v>
      </c>
      <c r="J502" s="15" t="n">
        <f aca="false">I502*(1+IF(J$3&lt;=$O$2,$D502,$D502-($D502-$I$481)*MIN(J$3-$O$2,$Q$2)/$Q$2))</f>
        <v>2726.75552952911</v>
      </c>
      <c r="K502" s="15" t="n">
        <f aca="false">J502*(1+IF(K$3&lt;=$O$2,$D502,$D502-($D502-$I$481)*MIN(K$3-$O$2,$Q$2)/$Q$2))</f>
        <v>2777.82349948237</v>
      </c>
      <c r="L502" s="15" t="n">
        <f aca="false">K502*(1+IF(L$3&lt;=$O$2,$D502,$D502-($D502-$I$481)*MIN(L$3-$O$2,$Q$2)/$Q$2))</f>
        <v>2834.08085872779</v>
      </c>
      <c r="M502" s="15" t="n">
        <f aca="false">L502*(1+IF(M$3&lt;=$O$2,$D502,$D502-($D502-$I$481)*MIN(M$3-$O$2,$Q$2)/$Q$2))</f>
        <v>2895.79625126247</v>
      </c>
      <c r="N502" s="15" t="n">
        <f aca="false">M502*(1+IF(N$3&lt;=$O$2,$D502,$D502-($D502-$I$481)*MIN(N$3-$O$2,$Q$2)/$Q$2))</f>
        <v>2963.26830391689</v>
      </c>
      <c r="O502" s="15" t="n">
        <f aca="false">SUMPRODUCT(E502:N502,1/(1+$F$481)^$E$3:$N$3)*$E$2</f>
        <v>5263.7206439018</v>
      </c>
      <c r="P502" s="15" t="n">
        <f aca="false">N502*$E$2*(1+$I$481)/($F$481-$I$481)/(1+$F$481)^$N$3</f>
        <v>6300.96781830856</v>
      </c>
      <c r="Q502" s="15" t="n">
        <f aca="false">O502+P502</f>
        <v>11564.6884622104</v>
      </c>
      <c r="R502" s="15" t="n">
        <f aca="false">Q502-$G$2+$I$2</f>
        <v>10290.0184622104</v>
      </c>
      <c r="S502" s="42" t="n">
        <f aca="false">R502/$K$2</f>
        <v>289.289245493685</v>
      </c>
      <c r="T502" s="43" t="n">
        <f aca="false">S502-$M$2</f>
        <v>0.000519038806999106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0.0156793594360352</v>
      </c>
      <c r="C503" s="25" t="n">
        <f aca="false">IF(T502&gt;0,D502,C502)</f>
        <v>0.0156807899475098</v>
      </c>
      <c r="D503" s="41" t="n">
        <f aca="false">(B503+C503)/2</f>
        <v>0.0156800746917725</v>
      </c>
      <c r="E503" s="15" t="n">
        <f aca="false">$C$2*(1+IF(E$3&lt;=$O$2,$D503,$D503-($D503-$I$481)*MIN(E$3-$O$2,$Q$2)/$Q$2))</f>
        <v>2518.8865852356</v>
      </c>
      <c r="F503" s="15" t="n">
        <f aca="false">E503*(1+IF(F$3&lt;=$O$2,$D503,$D503-($D503-$I$481)*MIN(F$3-$O$2,$Q$2)/$Q$2))</f>
        <v>2558.38291503219</v>
      </c>
      <c r="G503" s="15" t="n">
        <f aca="false">F503*(1+IF(G$3&lt;=$O$2,$D503,$D503-($D503-$I$481)*MIN(G$3-$O$2,$Q$2)/$Q$2))</f>
        <v>2598.49855023005</v>
      </c>
      <c r="H503" s="15" t="n">
        <f aca="false">G503*(1+IF(H$3&lt;=$O$2,$D503,$D503-($D503-$I$481)*MIN(H$3-$O$2,$Q$2)/$Q$2))</f>
        <v>2639.24320158412</v>
      </c>
      <c r="I503" s="15" t="n">
        <f aca="false">H503*(1+IF(I$3&lt;=$O$2,$D503,$D503-($D503-$I$481)*MIN(I$3-$O$2,$Q$2)/$Q$2))</f>
        <v>2680.62673211471</v>
      </c>
      <c r="J503" s="15" t="n">
        <f aca="false">I503*(1+IF(J$3&lt;=$O$2,$D503,$D503-($D503-$I$481)*MIN(J$3-$O$2,$Q$2)/$Q$2))</f>
        <v>2726.74439459063</v>
      </c>
      <c r="K503" s="15" t="n">
        <f aca="false">J503*(1+IF(K$3&lt;=$O$2,$D503,$D503-($D503-$I$481)*MIN(K$3-$O$2,$Q$2)/$Q$2))</f>
        <v>2777.81098581174</v>
      </c>
      <c r="L503" s="15" t="n">
        <f aca="false">K503*(1+IF(L$3&lt;=$O$2,$D503,$D503-($D503-$I$481)*MIN(L$3-$O$2,$Q$2)/$Q$2))</f>
        <v>2834.06729688825</v>
      </c>
      <c r="M503" s="15" t="n">
        <f aca="false">L503*(1+IF(M$3&lt;=$O$2,$D503,$D503-($D503-$I$481)*MIN(M$3-$O$2,$Q$2)/$Q$2))</f>
        <v>2895.78198868159</v>
      </c>
      <c r="N503" s="15" t="n">
        <f aca="false">M503*(1+IF(N$3&lt;=$O$2,$D503,$D503-($D503-$I$481)*MIN(N$3-$O$2,$Q$2)/$Q$2))</f>
        <v>2963.25370901787</v>
      </c>
      <c r="O503" s="15" t="n">
        <f aca="false">SUMPRODUCT(E503:N503,1/(1+$F$481)^$E$3:$N$3)*$E$2</f>
        <v>5263.7042868511</v>
      </c>
      <c r="P503" s="15" t="n">
        <f aca="false">N503*$E$2*(1+$I$481)/($F$481-$I$481)/(1+$F$481)^$N$3</f>
        <v>6300.9367843354</v>
      </c>
      <c r="Q503" s="15" t="n">
        <f aca="false">O503+P503</f>
        <v>11564.6410711865</v>
      </c>
      <c r="R503" s="15" t="n">
        <f aca="false">Q503-$G$2+$I$2</f>
        <v>10289.9710711865</v>
      </c>
      <c r="S503" s="42" t="n">
        <f aca="false">R503/$K$2</f>
        <v>289.287913162398</v>
      </c>
      <c r="T503" s="43" t="n">
        <f aca="false">S503-$M$2</f>
        <v>-0.000813292479506345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0.0156800746917725</v>
      </c>
      <c r="C504" s="25" t="n">
        <f aca="false">IF(T503&gt;0,D503,C503)</f>
        <v>0.0156807899475098</v>
      </c>
      <c r="D504" s="41" t="n">
        <f aca="false">(B504+C504)/2</f>
        <v>0.0156804323196411</v>
      </c>
      <c r="E504" s="15" t="n">
        <f aca="false">$C$2*(1+IF(E$3&lt;=$O$2,$D504,$D504-($D504-$I$481)*MIN(E$3-$O$2,$Q$2)/$Q$2))</f>
        <v>2518.88747215271</v>
      </c>
      <c r="F504" s="15" t="n">
        <f aca="false">E504*(1+IF(F$3&lt;=$O$2,$D504,$D504-($D504-$I$481)*MIN(F$3-$O$2,$Q$2)/$Q$2))</f>
        <v>2558.38471668059</v>
      </c>
      <c r="G504" s="15" t="n">
        <f aca="false">F504*(1+IF(G$3&lt;=$O$2,$D504,$D504-($D504-$I$481)*MIN(G$3-$O$2,$Q$2)/$Q$2))</f>
        <v>2598.50129507811</v>
      </c>
      <c r="H504" s="15" t="n">
        <f aca="false">G504*(1+IF(H$3&lt;=$O$2,$D504,$D504-($D504-$I$481)*MIN(H$3-$O$2,$Q$2)/$Q$2))</f>
        <v>2639.24691876808</v>
      </c>
      <c r="I504" s="15" t="n">
        <f aca="false">H504*(1+IF(I$3&lt;=$O$2,$D504,$D504-($D504-$I$481)*MIN(I$3-$O$2,$Q$2)/$Q$2))</f>
        <v>2680.63145145264</v>
      </c>
      <c r="J504" s="15" t="n">
        <f aca="false">I504*(1+IF(J$3&lt;=$O$2,$D504,$D504-($D504-$I$481)*MIN(J$3-$O$2,$Q$2)/$Q$2))</f>
        <v>2726.74996205514</v>
      </c>
      <c r="K504" s="15" t="n">
        <f aca="false">J504*(1+IF(K$3&lt;=$O$2,$D504,$D504-($D504-$I$481)*MIN(K$3-$O$2,$Q$2)/$Q$2))</f>
        <v>2777.81724264104</v>
      </c>
      <c r="L504" s="15" t="n">
        <f aca="false">K504*(1+IF(L$3&lt;=$O$2,$D504,$D504-($D504-$I$481)*MIN(L$3-$O$2,$Q$2)/$Q$2))</f>
        <v>2834.07407780099</v>
      </c>
      <c r="M504" s="15" t="n">
        <f aca="false">L504*(1+IF(M$3&lt;=$O$2,$D504,$D504-($D504-$I$481)*MIN(M$3-$O$2,$Q$2)/$Q$2))</f>
        <v>2895.78911996436</v>
      </c>
      <c r="N504" s="15" t="n">
        <f aca="false">M504*(1+IF(N$3&lt;=$O$2,$D504,$D504-($D504-$I$481)*MIN(N$3-$O$2,$Q$2)/$Q$2))</f>
        <v>2963.26100645953</v>
      </c>
      <c r="O504" s="15" t="n">
        <f aca="false">SUMPRODUCT(E504:N504,1/(1+$F$481)^$E$3:$N$3)*$E$2</f>
        <v>5263.71246536998</v>
      </c>
      <c r="P504" s="15" t="n">
        <f aca="false">N504*$E$2*(1+$I$481)/($F$481-$I$481)/(1+$F$481)^$N$3</f>
        <v>6300.9523013053</v>
      </c>
      <c r="Q504" s="15" t="n">
        <f aca="false">O504+P504</f>
        <v>11564.6647666753</v>
      </c>
      <c r="R504" s="15" t="n">
        <f aca="false">Q504-$G$2+$I$2</f>
        <v>10289.9947666753</v>
      </c>
      <c r="S504" s="42" t="n">
        <f aca="false">R504/$K$2</f>
        <v>289.28857932739</v>
      </c>
      <c r="T504" s="43" t="n">
        <f aca="false">S504-$M$2</f>
        <v>-0.000147127487480248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0.0156804323196411</v>
      </c>
      <c r="C505" s="25" t="n">
        <f aca="false">IF(T504&gt;0,D504,C504)</f>
        <v>0.0156807899475098</v>
      </c>
      <c r="D505" s="41" t="n">
        <f aca="false">(B505+C505)/2</f>
        <v>0.0156806111335754</v>
      </c>
      <c r="E505" s="15" t="n">
        <f aca="false">$C$2*(1+IF(E$3&lt;=$O$2,$D505,$D505-($D505-$I$481)*MIN(E$3-$O$2,$Q$2)/$Q$2))</f>
        <v>2518.88791561127</v>
      </c>
      <c r="F505" s="15" t="n">
        <f aca="false">E505*(1+IF(F$3&lt;=$O$2,$D505,$D505-($D505-$I$481)*MIN(F$3-$O$2,$Q$2)/$Q$2))</f>
        <v>2558.38561750503</v>
      </c>
      <c r="G505" s="15" t="n">
        <f aca="false">F505*(1+IF(G$3&lt;=$O$2,$D505,$D505-($D505-$I$481)*MIN(G$3-$O$2,$Q$2)/$Q$2))</f>
        <v>2598.50266750286</v>
      </c>
      <c r="H505" s="15" t="n">
        <f aca="false">G505*(1+IF(H$3&lt;=$O$2,$D505,$D505-($D505-$I$481)*MIN(H$3-$O$2,$Q$2)/$Q$2))</f>
        <v>2639.24877736153</v>
      </c>
      <c r="I505" s="15" t="n">
        <f aca="false">H505*(1+IF(I$3&lt;=$O$2,$D505,$D505-($D505-$I$481)*MIN(I$3-$O$2,$Q$2)/$Q$2))</f>
        <v>2680.6338111241</v>
      </c>
      <c r="J505" s="15" t="n">
        <f aca="false">I505*(1+IF(J$3&lt;=$O$2,$D505,$D505-($D505-$I$481)*MIN(J$3-$O$2,$Q$2)/$Q$2))</f>
        <v>2726.75274579094</v>
      </c>
      <c r="K505" s="15" t="n">
        <f aca="false">J505*(1+IF(K$3&lt;=$O$2,$D505,$D505-($D505-$I$481)*MIN(K$3-$O$2,$Q$2)/$Q$2))</f>
        <v>2777.8203710602</v>
      </c>
      <c r="L505" s="15" t="n">
        <f aca="false">K505*(1+IF(L$3&lt;=$O$2,$D505,$D505-($D505-$I$481)*MIN(L$3-$O$2,$Q$2)/$Q$2))</f>
        <v>2834.07746826263</v>
      </c>
      <c r="M505" s="15" t="n">
        <f aca="false">L505*(1+IF(M$3&lt;=$O$2,$D505,$D505-($D505-$I$481)*MIN(M$3-$O$2,$Q$2)/$Q$2))</f>
        <v>2895.7926856115</v>
      </c>
      <c r="N505" s="15" t="n">
        <f aca="false">M505*(1+IF(N$3&lt;=$O$2,$D505,$D505-($D505-$I$481)*MIN(N$3-$O$2,$Q$2)/$Q$2))</f>
        <v>2963.26465518625</v>
      </c>
      <c r="O505" s="15" t="n">
        <f aca="false">SUMPRODUCT(E505:N505,1/(1+$F$481)^$E$3:$N$3)*$E$2</f>
        <v>5263.71655463427</v>
      </c>
      <c r="P505" s="15" t="n">
        <f aca="false">N505*$E$2*(1+$I$481)/($F$481-$I$481)/(1+$F$481)^$N$3</f>
        <v>6300.96005980275</v>
      </c>
      <c r="Q505" s="15" t="n">
        <f aca="false">O505+P505</f>
        <v>11564.676614437</v>
      </c>
      <c r="R505" s="15" t="n">
        <f aca="false">Q505-$G$2+$I$2</f>
        <v>10290.006614437</v>
      </c>
      <c r="S505" s="42" t="n">
        <f aca="false">R505/$K$2</f>
        <v>289.288912410375</v>
      </c>
      <c r="T505" s="43" t="n">
        <f aca="false">S505-$M$2</f>
        <v>0.000185955496817769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0.0156804323196411</v>
      </c>
      <c r="C506" s="25" t="n">
        <f aca="false">IF(T505&gt;0,D505,C505)</f>
        <v>0.0156806111335754</v>
      </c>
      <c r="D506" s="41" t="n">
        <f aca="false">(B506+C506)/2</f>
        <v>0.0156805217266083</v>
      </c>
      <c r="E506" s="15" t="n">
        <f aca="false">$C$2*(1+IF(E$3&lt;=$O$2,$D506,$D506-($D506-$I$481)*MIN(E$3-$O$2,$Q$2)/$Q$2))</f>
        <v>2518.88769388199</v>
      </c>
      <c r="F506" s="15" t="n">
        <f aca="false">E506*(1+IF(F$3&lt;=$O$2,$D506,$D506-($D506-$I$481)*MIN(F$3-$O$2,$Q$2)/$Q$2))</f>
        <v>2558.38516709279</v>
      </c>
      <c r="G506" s="15" t="n">
        <f aca="false">F506*(1+IF(G$3&lt;=$O$2,$D506,$D506-($D506-$I$481)*MIN(G$3-$O$2,$Q$2)/$Q$2))</f>
        <v>2598.50198129042</v>
      </c>
      <c r="H506" s="15" t="n">
        <f aca="false">G506*(1+IF(H$3&lt;=$O$2,$D506,$D506-($D506-$I$481)*MIN(H$3-$O$2,$Q$2)/$Q$2))</f>
        <v>2639.24784806468</v>
      </c>
      <c r="I506" s="15" t="n">
        <f aca="false">H506*(1+IF(I$3&lt;=$O$2,$D506,$D506-($D506-$I$481)*MIN(I$3-$O$2,$Q$2)/$Q$2))</f>
        <v>2680.63263128816</v>
      </c>
      <c r="J506" s="15" t="n">
        <f aca="false">I506*(1+IF(J$3&lt;=$O$2,$D506,$D506-($D506-$I$481)*MIN(J$3-$O$2,$Q$2)/$Q$2))</f>
        <v>2726.75135392274</v>
      </c>
      <c r="K506" s="15" t="n">
        <f aca="false">J506*(1+IF(K$3&lt;=$O$2,$D506,$D506-($D506-$I$481)*MIN(K$3-$O$2,$Q$2)/$Q$2))</f>
        <v>2777.81880685025</v>
      </c>
      <c r="L506" s="15" t="n">
        <f aca="false">K506*(1+IF(L$3&lt;=$O$2,$D506,$D506-($D506-$I$481)*MIN(L$3-$O$2,$Q$2)/$Q$2))</f>
        <v>2834.07577303137</v>
      </c>
      <c r="M506" s="15" t="n">
        <f aca="false">L506*(1+IF(M$3&lt;=$O$2,$D506,$D506-($D506-$I$481)*MIN(M$3-$O$2,$Q$2)/$Q$2))</f>
        <v>2895.79090278745</v>
      </c>
      <c r="N506" s="15" t="n">
        <f aca="false">M506*(1+IF(N$3&lt;=$O$2,$D506,$D506-($D506-$I$481)*MIN(N$3-$O$2,$Q$2)/$Q$2))</f>
        <v>2963.2628308224</v>
      </c>
      <c r="O506" s="15" t="n">
        <f aca="false">SUMPRODUCT(E506:N506,1/(1+$F$481)^$E$3:$N$3)*$E$2</f>
        <v>5263.71451000172</v>
      </c>
      <c r="P506" s="15" t="n">
        <f aca="false">N506*$E$2*(1+$I$481)/($F$481-$I$481)/(1+$F$481)^$N$3</f>
        <v>6300.95618055298</v>
      </c>
      <c r="Q506" s="15" t="n">
        <f aca="false">O506+P506</f>
        <v>11564.6706905547</v>
      </c>
      <c r="R506" s="15" t="n">
        <f aca="false">Q506-$G$2+$I$2</f>
        <v>10290.0006905547</v>
      </c>
      <c r="S506" s="42" t="n">
        <f aca="false">R506/$K$2</f>
        <v>289.288745868842</v>
      </c>
      <c r="T506" s="43" t="n">
        <f aca="false">S506-$M$2</f>
        <v>1.94139640257163E-005</v>
      </c>
    </row>
    <row r="508" customFormat="false" ht="15" hidden="false" customHeight="false" outlineLevel="0" collapsed="false">
      <c r="A508" s="38" t="s">
        <v>202</v>
      </c>
      <c r="E508" s="5" t="s">
        <v>11</v>
      </c>
      <c r="F508" s="12" t="n">
        <f aca="false">Sensitivity!$B$13</f>
        <v>0.0864218415038925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8" t="s">
        <v>165</v>
      </c>
      <c r="B509" s="28" t="s">
        <v>166</v>
      </c>
      <c r="C509" s="28" t="s">
        <v>167</v>
      </c>
      <c r="D509" s="28" t="s">
        <v>168</v>
      </c>
      <c r="E509" s="28" t="s">
        <v>169</v>
      </c>
      <c r="F509" s="28" t="s">
        <v>170</v>
      </c>
      <c r="G509" s="28" t="s">
        <v>171</v>
      </c>
      <c r="H509" s="28" t="s">
        <v>172</v>
      </c>
      <c r="I509" s="28" t="s">
        <v>173</v>
      </c>
      <c r="J509" s="28" t="s">
        <v>174</v>
      </c>
      <c r="K509" s="28" t="s">
        <v>175</v>
      </c>
      <c r="L509" s="28" t="s">
        <v>176</v>
      </c>
      <c r="M509" s="28" t="s">
        <v>177</v>
      </c>
      <c r="N509" s="28" t="s">
        <v>178</v>
      </c>
      <c r="O509" s="28" t="s">
        <v>179</v>
      </c>
      <c r="P509" s="28" t="s">
        <v>180</v>
      </c>
      <c r="Q509" s="28" t="s">
        <v>181</v>
      </c>
      <c r="R509" s="28" t="s">
        <v>182</v>
      </c>
      <c r="S509" s="28" t="s">
        <v>183</v>
      </c>
      <c r="T509" s="28" t="s">
        <v>184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41" t="n">
        <f aca="false">(B510+C510)/2</f>
        <v>0.25</v>
      </c>
      <c r="E510" s="15" t="n">
        <f aca="false">$C$2*(1+IF(E$3&lt;=$O$2,$D510,$D510-($D510-$I$508)*MIN(E$3-$O$2,$Q$2)/$Q$2))</f>
        <v>3100</v>
      </c>
      <c r="F510" s="15" t="n">
        <f aca="false">E510*(1+IF(F$3&lt;=$O$2,$D510,$D510-($D510-$I$508)*MIN(F$3-$O$2,$Q$2)/$Q$2))</f>
        <v>3875</v>
      </c>
      <c r="G510" s="15" t="n">
        <f aca="false">F510*(1+IF(G$3&lt;=$O$2,$D510,$D510-($D510-$I$508)*MIN(G$3-$O$2,$Q$2)/$Q$2))</f>
        <v>4843.75</v>
      </c>
      <c r="H510" s="15" t="n">
        <f aca="false">G510*(1+IF(H$3&lt;=$O$2,$D510,$D510-($D510-$I$508)*MIN(H$3-$O$2,$Q$2)/$Q$2))</f>
        <v>6054.6875</v>
      </c>
      <c r="I510" s="15" t="n">
        <f aca="false">H510*(1+IF(I$3&lt;=$O$2,$D510,$D510-($D510-$I$508)*MIN(I$3-$O$2,$Q$2)/$Q$2))</f>
        <v>7568.359375</v>
      </c>
      <c r="J510" s="15" t="n">
        <f aca="false">I510*(1+IF(J$3&lt;=$O$2,$D510,$D510-($D510-$I$508)*MIN(J$3-$O$2,$Q$2)/$Q$2))</f>
        <v>9124.8681640625</v>
      </c>
      <c r="K510" s="15" t="n">
        <f aca="false">J510*(1+IF(K$3&lt;=$O$2,$D510,$D510-($D510-$I$508)*MIN(K$3-$O$2,$Q$2)/$Q$2))</f>
        <v>10596.8918962891</v>
      </c>
      <c r="L510" s="15" t="n">
        <f aca="false">K510*(1+IF(L$3&lt;=$O$2,$D510,$D510-($D510-$I$508)*MIN(L$3-$O$2,$Q$2)/$Q$2))</f>
        <v>11836.516310317</v>
      </c>
      <c r="M510" s="15" t="n">
        <f aca="false">L510*(1+IF(M$3&lt;=$O$2,$D510,$D510-($D510-$I$508)*MIN(M$3-$O$2,$Q$2)/$Q$2))</f>
        <v>12696.3208550984</v>
      </c>
      <c r="N510" s="15" t="n">
        <f aca="false">M510*(1+IF(N$3&lt;=$O$2,$D510,$D510-($D510-$I$508)*MIN(N$3-$O$2,$Q$2)/$Q$2))</f>
        <v>13055.6267352977</v>
      </c>
      <c r="O510" s="15" t="n">
        <f aca="false">SUMPRODUCT(E510:N510,1/(1+$F$508)^$E$3:$N$3)*$E$2</f>
        <v>14590.8925266373</v>
      </c>
      <c r="P510" s="15" t="n">
        <f aca="false">N510*$E$2*(1+$I$508)/($F$508-$I$508)/(1+$F$508)^$N$3</f>
        <v>30296.4098322384</v>
      </c>
      <c r="Q510" s="15" t="n">
        <f aca="false">O510+P510</f>
        <v>44887.3023588757</v>
      </c>
      <c r="R510" s="15" t="n">
        <f aca="false">Q510-$G$2+$I$2</f>
        <v>43612.6323588757</v>
      </c>
      <c r="S510" s="42" t="n">
        <f aca="false">R510/$K$2</f>
        <v>1226.10717905189</v>
      </c>
      <c r="T510" s="43" t="n">
        <f aca="false">S510-$M$2</f>
        <v>936.818452597012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41" t="n">
        <f aca="false">(B511+C511)/2</f>
        <v>-0.125</v>
      </c>
      <c r="E511" s="15" t="n">
        <f aca="false">$C$2*(1+IF(E$3&lt;=$O$2,$D511,$D511-($D511-$I$508)*MIN(E$3-$O$2,$Q$2)/$Q$2))</f>
        <v>2170</v>
      </c>
      <c r="F511" s="15" t="n">
        <f aca="false">E511*(1+IF(F$3&lt;=$O$2,$D511,$D511-($D511-$I$508)*MIN(F$3-$O$2,$Q$2)/$Q$2))</f>
        <v>1898.75</v>
      </c>
      <c r="G511" s="15" t="n">
        <f aca="false">F511*(1+IF(G$3&lt;=$O$2,$D511,$D511-($D511-$I$508)*MIN(G$3-$O$2,$Q$2)/$Q$2))</f>
        <v>1661.40625</v>
      </c>
      <c r="H511" s="15" t="n">
        <f aca="false">G511*(1+IF(H$3&lt;=$O$2,$D511,$D511-($D511-$I$508)*MIN(H$3-$O$2,$Q$2)/$Q$2))</f>
        <v>1453.73046875</v>
      </c>
      <c r="I511" s="15" t="n">
        <f aca="false">H511*(1+IF(I$3&lt;=$O$2,$D511,$D511-($D511-$I$508)*MIN(I$3-$O$2,$Q$2)/$Q$2))</f>
        <v>1272.01416015625</v>
      </c>
      <c r="J511" s="15" t="n">
        <f aca="false">I511*(1+IF(J$3&lt;=$O$2,$D511,$D511-($D511-$I$508)*MIN(J$3-$O$2,$Q$2)/$Q$2))</f>
        <v>1152.01234428711</v>
      </c>
      <c r="K511" s="15" t="n">
        <f aca="false">J511*(1+IF(K$3&lt;=$O$2,$D511,$D511-($D511-$I$508)*MIN(K$3-$O$2,$Q$2)/$Q$2))</f>
        <v>1078.65219820291</v>
      </c>
      <c r="L511" s="15" t="n">
        <f aca="false">K511*(1+IF(L$3&lt;=$O$2,$D511,$D511-($D511-$I$508)*MIN(L$3-$O$2,$Q$2)/$Q$2))</f>
        <v>1043.03510261825</v>
      </c>
      <c r="M511" s="15" t="n">
        <f aca="false">L511*(1+IF(M$3&lt;=$O$2,$D511,$D511-($D511-$I$508)*MIN(M$3-$O$2,$Q$2)/$Q$2))</f>
        <v>1040.57353977607</v>
      </c>
      <c r="N511" s="15" t="n">
        <f aca="false">M511*(1+IF(N$3&lt;=$O$2,$D511,$D511-($D511-$I$508)*MIN(N$3-$O$2,$Q$2)/$Q$2))</f>
        <v>1070.02177095173</v>
      </c>
      <c r="O511" s="15" t="n">
        <f aca="false">SUMPRODUCT(E511:N511,1/(1+$F$508)^$E$3:$N$3)*$E$2</f>
        <v>2880.89085099376</v>
      </c>
      <c r="P511" s="15" t="n">
        <f aca="false">N511*$E$2*(1+$I$508)/($F$508-$I$508)/(1+$F$508)^$N$3</f>
        <v>2483.05338069487</v>
      </c>
      <c r="Q511" s="15" t="n">
        <f aca="false">O511+P511</f>
        <v>5363.94423168862</v>
      </c>
      <c r="R511" s="15" t="n">
        <f aca="false">Q511-$G$2+$I$2</f>
        <v>4089.27423168862</v>
      </c>
      <c r="S511" s="42" t="n">
        <f aca="false">R511/$K$2</f>
        <v>114.964133586973</v>
      </c>
      <c r="T511" s="43" t="n">
        <f aca="false">S511-$M$2</f>
        <v>-174.324592867905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41" t="n">
        <f aca="false">(B512+C512)/2</f>
        <v>0.0625</v>
      </c>
      <c r="E512" s="15" t="n">
        <f aca="false">$C$2*(1+IF(E$3&lt;=$O$2,$D512,$D512-($D512-$I$508)*MIN(E$3-$O$2,$Q$2)/$Q$2))</f>
        <v>2635</v>
      </c>
      <c r="F512" s="15" t="n">
        <f aca="false">E512*(1+IF(F$3&lt;=$O$2,$D512,$D512-($D512-$I$508)*MIN(F$3-$O$2,$Q$2)/$Q$2))</f>
        <v>2799.6875</v>
      </c>
      <c r="G512" s="15" t="n">
        <f aca="false">F512*(1+IF(G$3&lt;=$O$2,$D512,$D512-($D512-$I$508)*MIN(G$3-$O$2,$Q$2)/$Q$2))</f>
        <v>2974.66796875</v>
      </c>
      <c r="H512" s="15" t="n">
        <f aca="false">G512*(1+IF(H$3&lt;=$O$2,$D512,$D512-($D512-$I$508)*MIN(H$3-$O$2,$Q$2)/$Q$2))</f>
        <v>3160.58471679688</v>
      </c>
      <c r="I512" s="15" t="n">
        <f aca="false">H512*(1+IF(I$3&lt;=$O$2,$D512,$D512-($D512-$I$508)*MIN(I$3-$O$2,$Q$2)/$Q$2))</f>
        <v>3358.12126159668</v>
      </c>
      <c r="J512" s="15" t="n">
        <f aca="false">I512*(1+IF(J$3&lt;=$O$2,$D512,$D512-($D512-$I$508)*MIN(J$3-$O$2,$Q$2)/$Q$2))</f>
        <v>3545.03429101715</v>
      </c>
      <c r="K512" s="15" t="n">
        <f aca="false">J512*(1+IF(K$3&lt;=$O$2,$D512,$D512-($D512-$I$508)*MIN(K$3-$O$2,$Q$2)/$Q$2))</f>
        <v>3718.10286510461</v>
      </c>
      <c r="L512" s="15" t="n">
        <f aca="false">K512*(1+IF(L$3&lt;=$O$2,$D512,$D512-($D512-$I$508)*MIN(L$3-$O$2,$Q$2)/$Q$2))</f>
        <v>3874.1888233817</v>
      </c>
      <c r="M512" s="15" t="n">
        <f aca="false">L512*(1+IF(M$3&lt;=$O$2,$D512,$D512-($D512-$I$508)*MIN(M$3-$O$2,$Q$2)/$Q$2))</f>
        <v>4010.32781863533</v>
      </c>
      <c r="N512" s="15" t="n">
        <f aca="false">M512*(1+IF(N$3&lt;=$O$2,$D512,$D512-($D512-$I$508)*MIN(N$3-$O$2,$Q$2)/$Q$2))</f>
        <v>4123.82009590271</v>
      </c>
      <c r="O512" s="15" t="n">
        <f aca="false">SUMPRODUCT(E512:N512,1/(1+$F$508)^$E$3:$N$3)*$E$2</f>
        <v>6472.07247717369</v>
      </c>
      <c r="P512" s="15" t="n">
        <f aca="false">N512*$E$2*(1+$I$508)/($F$508-$I$508)/(1+$F$508)^$N$3</f>
        <v>9569.58606683394</v>
      </c>
      <c r="Q512" s="15" t="n">
        <f aca="false">O512+P512</f>
        <v>16041.6585440076</v>
      </c>
      <c r="R512" s="15" t="n">
        <f aca="false">Q512-$G$2+$I$2</f>
        <v>14766.9885440076</v>
      </c>
      <c r="S512" s="42" t="n">
        <f aca="false">R512/$K$2</f>
        <v>415.152896935834</v>
      </c>
      <c r="T512" s="43" t="n">
        <f aca="false">S512-$M$2</f>
        <v>125.864170480957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-0.125</v>
      </c>
      <c r="C513" s="25" t="n">
        <f aca="false">IF(T512&gt;0,D512,C512)</f>
        <v>0.0625</v>
      </c>
      <c r="D513" s="41" t="n">
        <f aca="false">(B513+C513)/2</f>
        <v>-0.03125</v>
      </c>
      <c r="E513" s="15" t="n">
        <f aca="false">$C$2*(1+IF(E$3&lt;=$O$2,$D513,$D513-($D513-$I$508)*MIN(E$3-$O$2,$Q$2)/$Q$2))</f>
        <v>2402.5</v>
      </c>
      <c r="F513" s="15" t="n">
        <f aca="false">E513*(1+IF(F$3&lt;=$O$2,$D513,$D513-($D513-$I$508)*MIN(F$3-$O$2,$Q$2)/$Q$2))</f>
        <v>2327.421875</v>
      </c>
      <c r="G513" s="15" t="n">
        <f aca="false">F513*(1+IF(G$3&lt;=$O$2,$D513,$D513-($D513-$I$508)*MIN(G$3-$O$2,$Q$2)/$Q$2))</f>
        <v>2254.68994140625</v>
      </c>
      <c r="H513" s="15" t="n">
        <f aca="false">G513*(1+IF(H$3&lt;=$O$2,$D513,$D513-($D513-$I$508)*MIN(H$3-$O$2,$Q$2)/$Q$2))</f>
        <v>2184.2308807373</v>
      </c>
      <c r="I513" s="15" t="n">
        <f aca="false">H513*(1+IF(I$3&lt;=$O$2,$D513,$D513-($D513-$I$508)*MIN(I$3-$O$2,$Q$2)/$Q$2))</f>
        <v>2115.97366571426</v>
      </c>
      <c r="J513" s="15" t="n">
        <f aca="false">I513*(1+IF(J$3&lt;=$O$2,$D513,$D513-($D513-$I$508)*MIN(J$3-$O$2,$Q$2)/$Q$2))</f>
        <v>2075.05073501935</v>
      </c>
      <c r="K513" s="15" t="n">
        <f aca="false">J513*(1+IF(K$3&lt;=$O$2,$D513,$D513-($D513-$I$508)*MIN(K$3-$O$2,$Q$2)/$Q$2))</f>
        <v>2059.63310805816</v>
      </c>
      <c r="L513" s="15" t="n">
        <f aca="false">K513*(1+IF(L$3&lt;=$O$2,$D513,$D513-($D513-$I$508)*MIN(L$3-$O$2,$Q$2)/$Q$2))</f>
        <v>2068.86026438226</v>
      </c>
      <c r="M513" s="15" t="n">
        <f aca="false">L513*(1+IF(M$3&lt;=$O$2,$D513,$D513-($D513-$I$508)*MIN(M$3-$O$2,$Q$2)/$Q$2))</f>
        <v>2102.76888411548</v>
      </c>
      <c r="N513" s="15" t="n">
        <f aca="false">M513*(1+IF(N$3&lt;=$O$2,$D513,$D513-($D513-$I$508)*MIN(N$3-$O$2,$Q$2)/$Q$2))</f>
        <v>2162.27724353595</v>
      </c>
      <c r="O513" s="15" t="n">
        <f aca="false">SUMPRODUCT(E513:N513,1/(1+$F$508)^$E$3:$N$3)*$E$2</f>
        <v>4305.52705679358</v>
      </c>
      <c r="P513" s="15" t="n">
        <f aca="false">N513*$E$2*(1+$I$508)/($F$508-$I$508)/(1+$F$508)^$N$3</f>
        <v>5017.70147609802</v>
      </c>
      <c r="Q513" s="15" t="n">
        <f aca="false">O513+P513</f>
        <v>9323.2285328916</v>
      </c>
      <c r="R513" s="15" t="n">
        <f aca="false">Q513-$G$2+$I$2</f>
        <v>8048.5585328916</v>
      </c>
      <c r="S513" s="42" t="n">
        <f aca="false">R513/$K$2</f>
        <v>226.273785012415</v>
      </c>
      <c r="T513" s="43" t="n">
        <f aca="false">S513-$M$2</f>
        <v>-63.0149414424627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-0.03125</v>
      </c>
      <c r="C514" s="25" t="n">
        <f aca="false">IF(T513&gt;0,D513,C513)</f>
        <v>0.0625</v>
      </c>
      <c r="D514" s="41" t="n">
        <f aca="false">(B514+C514)/2</f>
        <v>0.015625</v>
      </c>
      <c r="E514" s="15" t="n">
        <f aca="false">$C$2*(1+IF(E$3&lt;=$O$2,$D514,$D514-($D514-$I$508)*MIN(E$3-$O$2,$Q$2)/$Q$2))</f>
        <v>2518.75</v>
      </c>
      <c r="F514" s="15" t="n">
        <f aca="false">E514*(1+IF(F$3&lt;=$O$2,$D514,$D514-($D514-$I$508)*MIN(F$3-$O$2,$Q$2)/$Q$2))</f>
        <v>2558.10546875</v>
      </c>
      <c r="G514" s="15" t="n">
        <f aca="false">F514*(1+IF(G$3&lt;=$O$2,$D514,$D514-($D514-$I$508)*MIN(G$3-$O$2,$Q$2)/$Q$2))</f>
        <v>2598.07586669922</v>
      </c>
      <c r="H514" s="15" t="n">
        <f aca="false">G514*(1+IF(H$3&lt;=$O$2,$D514,$D514-($D514-$I$508)*MIN(H$3-$O$2,$Q$2)/$Q$2))</f>
        <v>2638.67080211639</v>
      </c>
      <c r="I514" s="15" t="n">
        <f aca="false">H514*(1+IF(I$3&lt;=$O$2,$D514,$D514-($D514-$I$508)*MIN(I$3-$O$2,$Q$2)/$Q$2))</f>
        <v>2679.90003339946</v>
      </c>
      <c r="J514" s="15" t="n">
        <f aca="false">I514*(1+IF(J$3&lt;=$O$2,$D514,$D514-($D514-$I$508)*MIN(J$3-$O$2,$Q$2)/$Q$2))</f>
        <v>2728.567018006</v>
      </c>
      <c r="K514" s="15" t="n">
        <f aca="false">J514*(1+IF(K$3&lt;=$O$2,$D514,$D514-($D514-$I$508)*MIN(K$3-$O$2,$Q$2)/$Q$2))</f>
        <v>2785.03471244363</v>
      </c>
      <c r="L514" s="15" t="n">
        <f aca="false">K514*(1+IF(L$3&lt;=$O$2,$D514,$D514-($D514-$I$508)*MIN(L$3-$O$2,$Q$2)/$Q$2))</f>
        <v>2849.7310688137</v>
      </c>
      <c r="M514" s="15" t="n">
        <f aca="false">L514*(1+IF(M$3&lt;=$O$2,$D514,$D514-($D514-$I$508)*MIN(M$3-$O$2,$Q$2)/$Q$2))</f>
        <v>2923.15438980168</v>
      </c>
      <c r="N514" s="15" t="n">
        <f aca="false">M514*(1+IF(N$3&lt;=$O$2,$D514,$D514-($D514-$I$508)*MIN(N$3-$O$2,$Q$2)/$Q$2))</f>
        <v>3005.87965903307</v>
      </c>
      <c r="O514" s="15" t="n">
        <f aca="false">SUMPRODUCT(E514:N514,1/(1+$F$508)^$E$3:$N$3)*$E$2</f>
        <v>5276.69362595683</v>
      </c>
      <c r="P514" s="15" t="n">
        <f aca="false">N514*$E$2*(1+$I$508)/($F$508-$I$508)/(1+$F$508)^$N$3</f>
        <v>6975.33438285593</v>
      </c>
      <c r="Q514" s="15" t="n">
        <f aca="false">O514+P514</f>
        <v>12252.0280088128</v>
      </c>
      <c r="R514" s="15" t="n">
        <f aca="false">Q514-$G$2+$I$2</f>
        <v>10977.3580088128</v>
      </c>
      <c r="S514" s="42" t="n">
        <f aca="false">R514/$K$2</f>
        <v>308.612820039718</v>
      </c>
      <c r="T514" s="43" t="n">
        <f aca="false">S514-$M$2</f>
        <v>19.3240935848399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-0.03125</v>
      </c>
      <c r="C515" s="25" t="n">
        <f aca="false">IF(T514&gt;0,D514,C514)</f>
        <v>0.015625</v>
      </c>
      <c r="D515" s="41" t="n">
        <f aca="false">(B515+C515)/2</f>
        <v>-0.0078125</v>
      </c>
      <c r="E515" s="15" t="n">
        <f aca="false">$C$2*(1+IF(E$3&lt;=$O$2,$D515,$D515-($D515-$I$508)*MIN(E$3-$O$2,$Q$2)/$Q$2))</f>
        <v>2460.625</v>
      </c>
      <c r="F515" s="15" t="n">
        <f aca="false">E515*(1+IF(F$3&lt;=$O$2,$D515,$D515-($D515-$I$508)*MIN(F$3-$O$2,$Q$2)/$Q$2))</f>
        <v>2441.4013671875</v>
      </c>
      <c r="G515" s="15" t="n">
        <f aca="false">F515*(1+IF(G$3&lt;=$O$2,$D515,$D515-($D515-$I$508)*MIN(G$3-$O$2,$Q$2)/$Q$2))</f>
        <v>2422.32791900635</v>
      </c>
      <c r="H515" s="15" t="n">
        <f aca="false">G515*(1+IF(H$3&lt;=$O$2,$D515,$D515-($D515-$I$508)*MIN(H$3-$O$2,$Q$2)/$Q$2))</f>
        <v>2403.40348213911</v>
      </c>
      <c r="I515" s="15" t="n">
        <f aca="false">H515*(1+IF(I$3&lt;=$O$2,$D515,$D515-($D515-$I$508)*MIN(I$3-$O$2,$Q$2)/$Q$2))</f>
        <v>2384.6268924349</v>
      </c>
      <c r="J515" s="15" t="n">
        <f aca="false">I515*(1+IF(J$3&lt;=$O$2,$D515,$D515-($D515-$I$508)*MIN(J$3-$O$2,$Q$2)/$Q$2))</f>
        <v>2383.21996256836</v>
      </c>
      <c r="K515" s="15" t="n">
        <f aca="false">J515*(1+IF(K$3&lt;=$O$2,$D515,$D515-($D515-$I$508)*MIN(K$3-$O$2,$Q$2)/$Q$2))</f>
        <v>2399.0266689701</v>
      </c>
      <c r="L515" s="15" t="n">
        <f aca="false">K515*(1+IF(L$3&lt;=$O$2,$D515,$D515-($D515-$I$508)*MIN(L$3-$O$2,$Q$2)/$Q$2))</f>
        <v>2432.26518346868</v>
      </c>
      <c r="M515" s="15" t="n">
        <f aca="false">L515*(1+IF(M$3&lt;=$O$2,$D515,$D515-($D515-$I$508)*MIN(M$3-$O$2,$Q$2)/$Q$2))</f>
        <v>2483.53125287324</v>
      </c>
      <c r="N515" s="15" t="n">
        <f aca="false">M515*(1+IF(N$3&lt;=$O$2,$D515,$D515-($D515-$I$508)*MIN(N$3-$O$2,$Q$2)/$Q$2))</f>
        <v>2553.81518732955</v>
      </c>
      <c r="O515" s="15" t="n">
        <f aca="false">SUMPRODUCT(E515:N515,1/(1+$F$508)^$E$3:$N$3)*$E$2</f>
        <v>4765.77068986443</v>
      </c>
      <c r="P515" s="15" t="n">
        <f aca="false">N515*$E$2*(1+$I$508)/($F$508-$I$508)/(1+$F$508)^$N$3</f>
        <v>5926.2901061614</v>
      </c>
      <c r="Q515" s="15" t="n">
        <f aca="false">O515+P515</f>
        <v>10692.0607960258</v>
      </c>
      <c r="R515" s="15" t="n">
        <f aca="false">Q515-$G$2+$I$2</f>
        <v>9417.39079602582</v>
      </c>
      <c r="S515" s="42" t="n">
        <f aca="false">R515/$K$2</f>
        <v>264.756558786219</v>
      </c>
      <c r="T515" s="43" t="n">
        <f aca="false">S515-$M$2</f>
        <v>-24.5321676686584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-0.0078125</v>
      </c>
      <c r="C516" s="25" t="n">
        <f aca="false">IF(T515&gt;0,D515,C515)</f>
        <v>0.015625</v>
      </c>
      <c r="D516" s="41" t="n">
        <f aca="false">(B516+C516)/2</f>
        <v>0.00390625</v>
      </c>
      <c r="E516" s="15" t="n">
        <f aca="false">$C$2*(1+IF(E$3&lt;=$O$2,$D516,$D516-($D516-$I$508)*MIN(E$3-$O$2,$Q$2)/$Q$2))</f>
        <v>2489.6875</v>
      </c>
      <c r="F516" s="15" t="n">
        <f aca="false">E516*(1+IF(F$3&lt;=$O$2,$D516,$D516-($D516-$I$508)*MIN(F$3-$O$2,$Q$2)/$Q$2))</f>
        <v>2499.41284179688</v>
      </c>
      <c r="G516" s="15" t="n">
        <f aca="false">F516*(1+IF(G$3&lt;=$O$2,$D516,$D516-($D516-$I$508)*MIN(G$3-$O$2,$Q$2)/$Q$2))</f>
        <v>2509.17617321014</v>
      </c>
      <c r="H516" s="15" t="n">
        <f aca="false">G516*(1+IF(H$3&lt;=$O$2,$D516,$D516-($D516-$I$508)*MIN(H$3-$O$2,$Q$2)/$Q$2))</f>
        <v>2518.97764263675</v>
      </c>
      <c r="I516" s="15" t="n">
        <f aca="false">H516*(1+IF(I$3&lt;=$O$2,$D516,$D516-($D516-$I$508)*MIN(I$3-$O$2,$Q$2)/$Q$2))</f>
        <v>2528.8173990533</v>
      </c>
      <c r="J516" s="15" t="n">
        <f aca="false">I516*(1+IF(J$3&lt;=$O$2,$D516,$D516-($D516-$I$508)*MIN(J$3-$O$2,$Q$2)/$Q$2))</f>
        <v>2551.03305990398</v>
      </c>
      <c r="K516" s="15" t="n">
        <f aca="false">J516*(1+IF(K$3&lt;=$O$2,$D516,$D516-($D516-$I$508)*MIN(K$3-$O$2,$Q$2)/$Q$2))</f>
        <v>2585.88973787624</v>
      </c>
      <c r="L516" s="15" t="n">
        <f aca="false">K516*(1+IF(L$3&lt;=$O$2,$D516,$D516-($D516-$I$508)*MIN(L$3-$O$2,$Q$2)/$Q$2))</f>
        <v>2633.83859834081</v>
      </c>
      <c r="M516" s="15" t="n">
        <f aca="false">L516*(1+IF(M$3&lt;=$O$2,$D516,$D516-($D516-$I$508)*MIN(M$3-$O$2,$Q$2)/$Q$2))</f>
        <v>2695.5263906122</v>
      </c>
      <c r="N516" s="15" t="n">
        <f aca="false">M516*(1+IF(N$3&lt;=$O$2,$D516,$D516-($D516-$I$508)*MIN(N$3-$O$2,$Q$2)/$Q$2))</f>
        <v>2771.80978746653</v>
      </c>
      <c r="O516" s="15" t="n">
        <f aca="false">SUMPRODUCT(E516:N516,1/(1+$F$508)^$E$3:$N$3)*$E$2</f>
        <v>5014.5793363882</v>
      </c>
      <c r="P516" s="15" t="n">
        <f aca="false">N516*$E$2*(1+$I$508)/($F$508-$I$508)/(1+$F$508)^$N$3</f>
        <v>6432.16040108249</v>
      </c>
      <c r="Q516" s="15" t="n">
        <f aca="false">O516+P516</f>
        <v>11446.7397374707</v>
      </c>
      <c r="R516" s="15" t="n">
        <f aca="false">Q516-$G$2+$I$2</f>
        <v>10172.0697374707</v>
      </c>
      <c r="S516" s="42" t="n">
        <f aca="false">R516/$K$2</f>
        <v>285.973284719446</v>
      </c>
      <c r="T516" s="43" t="n">
        <f aca="false">S516-$M$2</f>
        <v>-3.31544173543182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0.00390625</v>
      </c>
      <c r="C517" s="25" t="n">
        <f aca="false">IF(T516&gt;0,D516,C516)</f>
        <v>0.015625</v>
      </c>
      <c r="D517" s="41" t="n">
        <f aca="false">(B517+C517)/2</f>
        <v>0.009765625</v>
      </c>
      <c r="E517" s="15" t="n">
        <f aca="false">$C$2*(1+IF(E$3&lt;=$O$2,$D517,$D517-($D517-$I$508)*MIN(E$3-$O$2,$Q$2)/$Q$2))</f>
        <v>2504.21875</v>
      </c>
      <c r="F517" s="15" t="n">
        <f aca="false">E517*(1+IF(F$3&lt;=$O$2,$D517,$D517-($D517-$I$508)*MIN(F$3-$O$2,$Q$2)/$Q$2))</f>
        <v>2528.67401123047</v>
      </c>
      <c r="G517" s="15" t="n">
        <f aca="false">F517*(1+IF(G$3&lt;=$O$2,$D517,$D517-($D517-$I$508)*MIN(G$3-$O$2,$Q$2)/$Q$2))</f>
        <v>2553.36809337139</v>
      </c>
      <c r="H517" s="15" t="n">
        <f aca="false">G517*(1+IF(H$3&lt;=$O$2,$D517,$D517-($D517-$I$508)*MIN(H$3-$O$2,$Q$2)/$Q$2))</f>
        <v>2578.30332865822</v>
      </c>
      <c r="I517" s="15" t="n">
        <f aca="false">H517*(1+IF(I$3&lt;=$O$2,$D517,$D517-($D517-$I$508)*MIN(I$3-$O$2,$Q$2)/$Q$2))</f>
        <v>2603.48207210215</v>
      </c>
      <c r="J517" s="15" t="n">
        <f aca="false">I517*(1+IF(J$3&lt;=$O$2,$D517,$D517-($D517-$I$508)*MIN(J$3-$O$2,$Q$2)/$Q$2))</f>
        <v>2638.55748431855</v>
      </c>
      <c r="K517" s="15" t="n">
        <f aca="false">J517*(1+IF(K$3&lt;=$O$2,$D517,$D517-($D517-$I$508)*MIN(K$3-$O$2,$Q$2)/$Q$2))</f>
        <v>2683.88625280071</v>
      </c>
      <c r="L517" s="15" t="n">
        <f aca="false">K517*(1+IF(L$3&lt;=$O$2,$D517,$D517-($D517-$I$508)*MIN(L$3-$O$2,$Q$2)/$Q$2))</f>
        <v>2739.94257204827</v>
      </c>
      <c r="M517" s="15" t="n">
        <f aca="false">L517*(1+IF(M$3&lt;=$O$2,$D517,$D517-($D517-$I$508)*MIN(M$3-$O$2,$Q$2)/$Q$2))</f>
        <v>2807.32632221547</v>
      </c>
      <c r="N517" s="15" t="n">
        <f aca="false">M517*(1+IF(N$3&lt;=$O$2,$D517,$D517-($D517-$I$508)*MIN(N$3-$O$2,$Q$2)/$Q$2))</f>
        <v>2886.77365713417</v>
      </c>
      <c r="O517" s="15" t="n">
        <f aca="false">SUMPRODUCT(E517:N517,1/(1+$F$508)^$E$3:$N$3)*$E$2</f>
        <v>5143.93201661325</v>
      </c>
      <c r="P517" s="15" t="n">
        <f aca="false">N517*$E$2*(1+$I$508)/($F$508-$I$508)/(1+$F$508)^$N$3</f>
        <v>6698.94135170007</v>
      </c>
      <c r="Q517" s="15" t="n">
        <f aca="false">O517+P517</f>
        <v>11842.8733683133</v>
      </c>
      <c r="R517" s="15" t="n">
        <f aca="false">Q517-$G$2+$I$2</f>
        <v>10568.2033683133</v>
      </c>
      <c r="S517" s="42" t="n">
        <f aca="false">R517/$K$2</f>
        <v>297.110018788679</v>
      </c>
      <c r="T517" s="43" t="n">
        <f aca="false">S517-$M$2</f>
        <v>7.82129233380169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0.00390625</v>
      </c>
      <c r="C518" s="25" t="n">
        <f aca="false">IF(T517&gt;0,D517,C517)</f>
        <v>0.009765625</v>
      </c>
      <c r="D518" s="41" t="n">
        <f aca="false">(B518+C518)/2</f>
        <v>0.0068359375</v>
      </c>
      <c r="E518" s="15" t="n">
        <f aca="false">$C$2*(1+IF(E$3&lt;=$O$2,$D518,$D518-($D518-$I$508)*MIN(E$3-$O$2,$Q$2)/$Q$2))</f>
        <v>2496.953125</v>
      </c>
      <c r="F518" s="15" t="n">
        <f aca="false">E518*(1+IF(F$3&lt;=$O$2,$D518,$D518-($D518-$I$508)*MIN(F$3-$O$2,$Q$2)/$Q$2))</f>
        <v>2514.02214050293</v>
      </c>
      <c r="G518" s="15" t="n">
        <f aca="false">F518*(1+IF(G$3&lt;=$O$2,$D518,$D518-($D518-$I$508)*MIN(G$3-$O$2,$Q$2)/$Q$2))</f>
        <v>2531.20783872902</v>
      </c>
      <c r="H518" s="15" t="n">
        <f aca="false">G518*(1+IF(H$3&lt;=$O$2,$D518,$D518-($D518-$I$508)*MIN(H$3-$O$2,$Q$2)/$Q$2))</f>
        <v>2548.51101731409</v>
      </c>
      <c r="I518" s="15" t="n">
        <f aca="false">H518*(1+IF(I$3&lt;=$O$2,$D518,$D518-($D518-$I$508)*MIN(I$3-$O$2,$Q$2)/$Q$2))</f>
        <v>2565.93247934651</v>
      </c>
      <c r="J518" s="15" t="n">
        <f aca="false">I518*(1+IF(J$3&lt;=$O$2,$D518,$D518-($D518-$I$508)*MIN(J$3-$O$2,$Q$2)/$Q$2))</f>
        <v>2594.48810042603</v>
      </c>
      <c r="K518" s="15" t="n">
        <f aca="false">J518*(1+IF(K$3&lt;=$O$2,$D518,$D518-($D518-$I$508)*MIN(K$3-$O$2,$Q$2)/$Q$2))</f>
        <v>2634.49916082226</v>
      </c>
      <c r="L518" s="15" t="n">
        <f aca="false">K518*(1+IF(L$3&lt;=$O$2,$D518,$D518-($D518-$I$508)*MIN(L$3-$O$2,$Q$2)/$Q$2))</f>
        <v>2686.4366652159</v>
      </c>
      <c r="M518" s="15" t="n">
        <f aca="false">L518*(1+IF(M$3&lt;=$O$2,$D518,$D518-($D518-$I$508)*MIN(M$3-$O$2,$Q$2)/$Q$2))</f>
        <v>2750.93045394461</v>
      </c>
      <c r="N518" s="15" t="n">
        <f aca="false">M518*(1+IF(N$3&lt;=$O$2,$D518,$D518-($D518-$I$508)*MIN(N$3-$O$2,$Q$2)/$Q$2))</f>
        <v>2828.78178579124</v>
      </c>
      <c r="O518" s="15" t="n">
        <f aca="false">SUMPRODUCT(E518:N518,1/(1+$F$508)^$E$3:$N$3)*$E$2</f>
        <v>5078.8347872248</v>
      </c>
      <c r="P518" s="15" t="n">
        <f aca="false">N518*$E$2*(1+$I$508)/($F$508-$I$508)/(1+$F$508)^$N$3</f>
        <v>6564.36753638152</v>
      </c>
      <c r="Q518" s="15" t="n">
        <f aca="false">O518+P518</f>
        <v>11643.2023236063</v>
      </c>
      <c r="R518" s="15" t="n">
        <f aca="false">Q518-$G$2+$I$2</f>
        <v>10368.5323236063</v>
      </c>
      <c r="S518" s="42" t="n">
        <f aca="false">R518/$K$2</f>
        <v>291.496551127532</v>
      </c>
      <c r="T518" s="43" t="n">
        <f aca="false">S518-$M$2</f>
        <v>2.20782467265434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0.00390625</v>
      </c>
      <c r="C519" s="25" t="n">
        <f aca="false">IF(T518&gt;0,D518,C518)</f>
        <v>0.0068359375</v>
      </c>
      <c r="D519" s="41" t="n">
        <f aca="false">(B519+C519)/2</f>
        <v>0.00537109375</v>
      </c>
      <c r="E519" s="15" t="n">
        <f aca="false">$C$2*(1+IF(E$3&lt;=$O$2,$D519,$D519-($D519-$I$508)*MIN(E$3-$O$2,$Q$2)/$Q$2))</f>
        <v>2493.3203125</v>
      </c>
      <c r="F519" s="15" t="n">
        <f aca="false">E519*(1+IF(F$3&lt;=$O$2,$D519,$D519-($D519-$I$508)*MIN(F$3-$O$2,$Q$2)/$Q$2))</f>
        <v>2506.71216964722</v>
      </c>
      <c r="G519" s="15" t="n">
        <f aca="false">F519*(1+IF(G$3&lt;=$O$2,$D519,$D519-($D519-$I$508)*MIN(G$3-$O$2,$Q$2)/$Q$2))</f>
        <v>2520.17595571466</v>
      </c>
      <c r="H519" s="15" t="n">
        <f aca="false">G519*(1+IF(H$3&lt;=$O$2,$D519,$D519-($D519-$I$508)*MIN(H$3-$O$2,$Q$2)/$Q$2))</f>
        <v>2533.7120570393</v>
      </c>
      <c r="I519" s="15" t="n">
        <f aca="false">H519*(1+IF(I$3&lt;=$O$2,$D519,$D519-($D519-$I$508)*MIN(I$3-$O$2,$Q$2)/$Q$2))</f>
        <v>2547.32086203316</v>
      </c>
      <c r="J519" s="15" t="n">
        <f aca="false">I519*(1+IF(J$3&lt;=$O$2,$D519,$D519-($D519-$I$508)*MIN(J$3-$O$2,$Q$2)/$Q$2))</f>
        <v>2572.68421744132</v>
      </c>
      <c r="K519" s="15" t="n">
        <f aca="false">J519*(1+IF(K$3&lt;=$O$2,$D519,$D519-($D519-$I$508)*MIN(K$3-$O$2,$Q$2)/$Q$2))</f>
        <v>2610.09787965537</v>
      </c>
      <c r="L519" s="15" t="n">
        <f aca="false">K519*(1+IF(L$3&lt;=$O$2,$D519,$D519-($D519-$I$508)*MIN(L$3-$O$2,$Q$2)/$Q$2))</f>
        <v>2660.02497381524</v>
      </c>
      <c r="M519" s="15" t="n">
        <f aca="false">L519*(1+IF(M$3&lt;=$O$2,$D519,$D519-($D519-$I$508)*MIN(M$3-$O$2,$Q$2)/$Q$2))</f>
        <v>2723.10538792475</v>
      </c>
      <c r="N519" s="15" t="n">
        <f aca="false">M519*(1+IF(N$3&lt;=$O$2,$D519,$D519-($D519-$I$508)*MIN(N$3-$O$2,$Q$2)/$Q$2))</f>
        <v>2800.16927040302</v>
      </c>
      <c r="O519" s="15" t="n">
        <f aca="false">SUMPRODUCT(E519:N519,1/(1+$F$508)^$E$3:$N$3)*$E$2</f>
        <v>5046.60248671854</v>
      </c>
      <c r="P519" s="15" t="n">
        <f aca="false">N519*$E$2*(1+$I$508)/($F$508-$I$508)/(1+$F$508)^$N$3</f>
        <v>6497.97037980619</v>
      </c>
      <c r="Q519" s="15" t="n">
        <f aca="false">O519+P519</f>
        <v>11544.5728665247</v>
      </c>
      <c r="R519" s="15" t="n">
        <f aca="false">Q519-$G$2+$I$2</f>
        <v>10269.9028665247</v>
      </c>
      <c r="S519" s="42" t="n">
        <f aca="false">R519/$K$2</f>
        <v>288.723724108089</v>
      </c>
      <c r="T519" s="43" t="n">
        <f aca="false">S519-$M$2</f>
        <v>-0.56500234678856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0.00537109375</v>
      </c>
      <c r="C520" s="25" t="n">
        <f aca="false">IF(T519&gt;0,D519,C519)</f>
        <v>0.0068359375</v>
      </c>
      <c r="D520" s="41" t="n">
        <f aca="false">(B520+C520)/2</f>
        <v>0.006103515625</v>
      </c>
      <c r="E520" s="15" t="n">
        <f aca="false">$C$2*(1+IF(E$3&lt;=$O$2,$D520,$D520-($D520-$I$508)*MIN(E$3-$O$2,$Q$2)/$Q$2))</f>
        <v>2495.13671875</v>
      </c>
      <c r="F520" s="15" t="n">
        <f aca="false">E520*(1+IF(F$3&lt;=$O$2,$D520,$D520-($D520-$I$508)*MIN(F$3-$O$2,$Q$2)/$Q$2))</f>
        <v>2510.3658246994</v>
      </c>
      <c r="G520" s="15" t="n">
        <f aca="false">F520*(1+IF(G$3&lt;=$O$2,$D520,$D520-($D520-$I$508)*MIN(G$3-$O$2,$Q$2)/$Q$2))</f>
        <v>2525.68788173492</v>
      </c>
      <c r="H520" s="15" t="n">
        <f aca="false">G520*(1+IF(H$3&lt;=$O$2,$D520,$D520-($D520-$I$508)*MIN(H$3-$O$2,$Q$2)/$Q$2))</f>
        <v>2541.10345718496</v>
      </c>
      <c r="I520" s="15" t="n">
        <f aca="false">H520*(1+IF(I$3&lt;=$O$2,$D520,$D520-($D520-$I$508)*MIN(I$3-$O$2,$Q$2)/$Q$2))</f>
        <v>2556.61312184063</v>
      </c>
      <c r="J520" s="15" t="n">
        <f aca="false">I520*(1+IF(J$3&lt;=$O$2,$D520,$D520-($D520-$I$508)*MIN(J$3-$O$2,$Q$2)/$Q$2))</f>
        <v>2583.56701461924</v>
      </c>
      <c r="K520" s="15" t="n">
        <f aca="false">J520*(1+IF(K$3&lt;=$O$2,$D520,$D520-($D520-$I$508)*MIN(K$3-$O$2,$Q$2)/$Q$2))</f>
        <v>2622.27429820991</v>
      </c>
      <c r="L520" s="15" t="n">
        <f aca="false">K520*(1+IF(L$3&lt;=$O$2,$D520,$D520-($D520-$I$508)*MIN(L$3-$O$2,$Q$2)/$Q$2))</f>
        <v>2673.20255265437</v>
      </c>
      <c r="M520" s="15" t="n">
        <f aca="false">L520*(1+IF(M$3&lt;=$O$2,$D520,$D520-($D520-$I$508)*MIN(M$3-$O$2,$Q$2)/$Q$2))</f>
        <v>2736.98704515625</v>
      </c>
      <c r="N520" s="15" t="n">
        <f aca="false">M520*(1+IF(N$3&lt;=$O$2,$D520,$D520-($D520-$I$508)*MIN(N$3-$O$2,$Q$2)/$Q$2))</f>
        <v>2814.44377853417</v>
      </c>
      <c r="O520" s="15" t="n">
        <f aca="false">SUMPRODUCT(E520:N520,1/(1+$F$508)^$E$3:$N$3)*$E$2</f>
        <v>5062.69241256775</v>
      </c>
      <c r="P520" s="15" t="n">
        <f aca="false">N520*$E$2*(1+$I$508)/($F$508-$I$508)/(1+$F$508)^$N$3</f>
        <v>6531.09528121944</v>
      </c>
      <c r="Q520" s="15" t="n">
        <f aca="false">O520+P520</f>
        <v>11593.7876937872</v>
      </c>
      <c r="R520" s="15" t="n">
        <f aca="false">Q520-$G$2+$I$2</f>
        <v>10319.1176937872</v>
      </c>
      <c r="S520" s="42" t="n">
        <f aca="false">R520/$K$2</f>
        <v>290.107329035344</v>
      </c>
      <c r="T520" s="43" t="n">
        <f aca="false">S520-$M$2</f>
        <v>0.818602580466347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0.00537109375</v>
      </c>
      <c r="C521" s="25" t="n">
        <f aca="false">IF(T520&gt;0,D520,C520)</f>
        <v>0.006103515625</v>
      </c>
      <c r="D521" s="41" t="n">
        <f aca="false">(B521+C521)/2</f>
        <v>0.0057373046875</v>
      </c>
      <c r="E521" s="15" t="n">
        <f aca="false">$C$2*(1+IF(E$3&lt;=$O$2,$D521,$D521-($D521-$I$508)*MIN(E$3-$O$2,$Q$2)/$Q$2))</f>
        <v>2494.228515625</v>
      </c>
      <c r="F521" s="15" t="n">
        <f aca="false">E521*(1+IF(F$3&lt;=$O$2,$D521,$D521-($D521-$I$508)*MIN(F$3-$O$2,$Q$2)/$Q$2))</f>
        <v>2508.53866457939</v>
      </c>
      <c r="G521" s="15" t="n">
        <f aca="false">F521*(1+IF(G$3&lt;=$O$2,$D521,$D521-($D521-$I$508)*MIN(G$3-$O$2,$Q$2)/$Q$2))</f>
        <v>2522.93091521846</v>
      </c>
      <c r="H521" s="15" t="n">
        <f aca="false">G521*(1+IF(H$3&lt;=$O$2,$D521,$D521-($D521-$I$508)*MIN(H$3-$O$2,$Q$2)/$Q$2))</f>
        <v>2537.40573858458</v>
      </c>
      <c r="I521" s="15" t="n">
        <f aca="false">H521*(1+IF(I$3&lt;=$O$2,$D521,$D521-($D521-$I$508)*MIN(I$3-$O$2,$Q$2)/$Q$2))</f>
        <v>2551.96360842265</v>
      </c>
      <c r="J521" s="15" t="n">
        <f aca="false">I521*(1+IF(J$3&lt;=$O$2,$D521,$D521-($D521-$I$508)*MIN(J$3-$O$2,$Q$2)/$Q$2))</f>
        <v>2578.12083666467</v>
      </c>
      <c r="K521" s="15" t="n">
        <f aca="false">J521*(1+IF(K$3&lt;=$O$2,$D521,$D521-($D521-$I$508)*MIN(K$3-$O$2,$Q$2)/$Q$2))</f>
        <v>2616.1800433924</v>
      </c>
      <c r="L521" s="15" t="n">
        <f aca="false">K521*(1+IF(L$3&lt;=$O$2,$D521,$D521-($D521-$I$508)*MIN(L$3-$O$2,$Q$2)/$Q$2))</f>
        <v>2666.60670933972</v>
      </c>
      <c r="M521" s="15" t="n">
        <f aca="false">L521*(1+IF(M$3&lt;=$O$2,$D521,$D521-($D521-$I$508)*MIN(M$3-$O$2,$Q$2)/$Q$2))</f>
        <v>2730.03851227381</v>
      </c>
      <c r="N521" s="15" t="n">
        <f aca="false">M521*(1+IF(N$3&lt;=$O$2,$D521,$D521-($D521-$I$508)*MIN(N$3-$O$2,$Q$2)/$Q$2))</f>
        <v>2807.29860217116</v>
      </c>
      <c r="O521" s="15" t="n">
        <f aca="false">SUMPRODUCT(E521:N521,1/(1+$F$508)^$E$3:$N$3)*$E$2</f>
        <v>5054.64090363811</v>
      </c>
      <c r="P521" s="15" t="n">
        <f aca="false">N521*$E$2*(1+$I$508)/($F$508-$I$508)/(1+$F$508)^$N$3</f>
        <v>6514.51444631917</v>
      </c>
      <c r="Q521" s="15" t="n">
        <f aca="false">O521+P521</f>
        <v>11569.1553499573</v>
      </c>
      <c r="R521" s="15" t="n">
        <f aca="false">Q521-$G$2+$I$2</f>
        <v>10294.4853499573</v>
      </c>
      <c r="S521" s="42" t="n">
        <f aca="false">R521/$K$2</f>
        <v>289.41482569461</v>
      </c>
      <c r="T521" s="43" t="n">
        <f aca="false">S521-$M$2</f>
        <v>0.126099239732582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0.00537109375</v>
      </c>
      <c r="C522" s="25" t="n">
        <f aca="false">IF(T521&gt;0,D521,C521)</f>
        <v>0.0057373046875</v>
      </c>
      <c r="D522" s="41" t="n">
        <f aca="false">(B522+C522)/2</f>
        <v>0.00555419921875</v>
      </c>
      <c r="E522" s="15" t="n">
        <f aca="false">$C$2*(1+IF(E$3&lt;=$O$2,$D522,$D522-($D522-$I$508)*MIN(E$3-$O$2,$Q$2)/$Q$2))</f>
        <v>2493.7744140625</v>
      </c>
      <c r="F522" s="15" t="n">
        <f aca="false">E522*(1+IF(F$3&lt;=$O$2,$D522,$D522-($D522-$I$508)*MIN(F$3-$O$2,$Q$2)/$Q$2))</f>
        <v>2507.62533396482</v>
      </c>
      <c r="G522" s="15" t="n">
        <f aca="false">F522*(1+IF(G$3&lt;=$O$2,$D522,$D522-($D522-$I$508)*MIN(G$3-$O$2,$Q$2)/$Q$2))</f>
        <v>2521.55318463565</v>
      </c>
      <c r="H522" s="15" t="n">
        <f aca="false">G522*(1+IF(H$3&lt;=$O$2,$D522,$D522-($D522-$I$508)*MIN(H$3-$O$2,$Q$2)/$Q$2))</f>
        <v>2535.55839336379</v>
      </c>
      <c r="I522" s="15" t="n">
        <f aca="false">H522*(1+IF(I$3&lt;=$O$2,$D522,$D522-($D522-$I$508)*MIN(I$3-$O$2,$Q$2)/$Q$2))</f>
        <v>2549.64138981131</v>
      </c>
      <c r="J522" s="15" t="n">
        <f aca="false">I522*(1+IF(J$3&lt;=$O$2,$D522,$D522-($D522-$I$508)*MIN(J$3-$O$2,$Q$2)/$Q$2))</f>
        <v>2575.40133304994</v>
      </c>
      <c r="K522" s="15" t="n">
        <f aca="false">J522*(1+IF(K$3&lt;=$O$2,$D522,$D522-($D522-$I$508)*MIN(K$3-$O$2,$Q$2)/$Q$2))</f>
        <v>2613.13745138326</v>
      </c>
      <c r="L522" s="15" t="n">
        <f aca="false">K522*(1+IF(L$3&lt;=$O$2,$D522,$D522-($D522-$I$508)*MIN(L$3-$O$2,$Q$2)/$Q$2))</f>
        <v>2663.31407970414</v>
      </c>
      <c r="M522" s="15" t="n">
        <f aca="false">L522*(1+IF(M$3&lt;=$O$2,$D522,$D522-($D522-$I$508)*MIN(M$3-$O$2,$Q$2)/$Q$2))</f>
        <v>2726.57002586479</v>
      </c>
      <c r="N522" s="15" t="n">
        <f aca="false">M522*(1+IF(N$3&lt;=$O$2,$D522,$D522-($D522-$I$508)*MIN(N$3-$O$2,$Q$2)/$Q$2))</f>
        <v>2803.73195759677</v>
      </c>
      <c r="O522" s="15" t="n">
        <f aca="false">SUMPRODUCT(E522:N522,1/(1+$F$508)^$E$3:$N$3)*$E$2</f>
        <v>5050.62005993758</v>
      </c>
      <c r="P522" s="15" t="n">
        <f aca="false">N522*$E$2*(1+$I$508)/($F$508-$I$508)/(1+$F$508)^$N$3</f>
        <v>6506.23782138629</v>
      </c>
      <c r="Q522" s="15" t="n">
        <f aca="false">O522+P522</f>
        <v>11556.8578813239</v>
      </c>
      <c r="R522" s="15" t="n">
        <f aca="false">Q522-$G$2+$I$2</f>
        <v>10282.1878813239</v>
      </c>
      <c r="S522" s="42" t="n">
        <f aca="false">R522/$K$2</f>
        <v>289.069099840424</v>
      </c>
      <c r="T522" s="43" t="n">
        <f aca="false">S522-$M$2</f>
        <v>-0.219626614454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0.00555419921875</v>
      </c>
      <c r="C523" s="25" t="n">
        <f aca="false">IF(T522&gt;0,D522,C522)</f>
        <v>0.0057373046875</v>
      </c>
      <c r="D523" s="41" t="n">
        <f aca="false">(B523+C523)/2</f>
        <v>0.005645751953125</v>
      </c>
      <c r="E523" s="15" t="n">
        <f aca="false">$C$2*(1+IF(E$3&lt;=$O$2,$D523,$D523-($D523-$I$508)*MIN(E$3-$O$2,$Q$2)/$Q$2))</f>
        <v>2494.00146484375</v>
      </c>
      <c r="F523" s="15" t="n">
        <f aca="false">E523*(1+IF(F$3&lt;=$O$2,$D523,$D523-($D523-$I$508)*MIN(F$3-$O$2,$Q$2)/$Q$2))</f>
        <v>2508.08197848499</v>
      </c>
      <c r="G523" s="15" t="n">
        <f aca="false">F523*(1+IF(G$3&lt;=$O$2,$D523,$D523-($D523-$I$508)*MIN(G$3-$O$2,$Q$2)/$Q$2))</f>
        <v>2522.24198721362</v>
      </c>
      <c r="H523" s="15" t="n">
        <f aca="false">G523*(1+IF(H$3&lt;=$O$2,$D523,$D523-($D523-$I$508)*MIN(H$3-$O$2,$Q$2)/$Q$2))</f>
        <v>2536.48193983918</v>
      </c>
      <c r="I523" s="15" t="n">
        <f aca="false">H523*(1+IF(I$3&lt;=$O$2,$D523,$D523-($D523-$I$508)*MIN(I$3-$O$2,$Q$2)/$Q$2))</f>
        <v>2550.8022877051</v>
      </c>
      <c r="J523" s="15" t="n">
        <f aca="false">I523*(1+IF(J$3&lt;=$O$2,$D523,$D523-($D523-$I$508)*MIN(J$3-$O$2,$Q$2)/$Q$2))</f>
        <v>2576.76078625178</v>
      </c>
      <c r="K523" s="15" t="n">
        <f aca="false">J523*(1+IF(K$3&lt;=$O$2,$D523,$D523-($D523-$I$508)*MIN(K$3-$O$2,$Q$2)/$Q$2))</f>
        <v>2614.65836969718</v>
      </c>
      <c r="L523" s="15" t="n">
        <f aca="false">K523*(1+IF(L$3&lt;=$O$2,$D523,$D523-($D523-$I$508)*MIN(L$3-$O$2,$Q$2)/$Q$2))</f>
        <v>2664.95995385363</v>
      </c>
      <c r="M523" s="15" t="n">
        <f aca="false">L523*(1+IF(M$3&lt;=$O$2,$D523,$D523-($D523-$I$508)*MIN(M$3-$O$2,$Q$2)/$Q$2))</f>
        <v>2728.30378778177</v>
      </c>
      <c r="N523" s="15" t="n">
        <f aca="false">M523*(1+IF(N$3&lt;=$O$2,$D523,$D523-($D523-$I$508)*MIN(N$3-$O$2,$Q$2)/$Q$2))</f>
        <v>2805.514784976</v>
      </c>
      <c r="O523" s="15" t="n">
        <f aca="false">SUMPRODUCT(E523:N523,1/(1+$F$508)^$E$3:$N$3)*$E$2</f>
        <v>5052.63007282016</v>
      </c>
      <c r="P523" s="15" t="n">
        <f aca="false">N523*$E$2*(1+$I$508)/($F$508-$I$508)/(1+$F$508)^$N$3</f>
        <v>6510.37498538741</v>
      </c>
      <c r="Q523" s="15" t="n">
        <f aca="false">O523+P523</f>
        <v>11563.0050582076</v>
      </c>
      <c r="R523" s="15" t="n">
        <f aca="false">Q523-$G$2+$I$2</f>
        <v>10288.3350582076</v>
      </c>
      <c r="S523" s="42" t="n">
        <f aca="false">R523/$K$2</f>
        <v>289.241918982501</v>
      </c>
      <c r="T523" s="43" t="n">
        <f aca="false">S523-$M$2</f>
        <v>-0.0468074723764858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0.005645751953125</v>
      </c>
      <c r="C524" s="25" t="n">
        <f aca="false">IF(T523&gt;0,D523,C523)</f>
        <v>0.0057373046875</v>
      </c>
      <c r="D524" s="41" t="n">
        <f aca="false">(B524+C524)/2</f>
        <v>0.0056915283203125</v>
      </c>
      <c r="E524" s="15" t="n">
        <f aca="false">$C$2*(1+IF(E$3&lt;=$O$2,$D524,$D524-($D524-$I$508)*MIN(E$3-$O$2,$Q$2)/$Q$2))</f>
        <v>2494.11499023438</v>
      </c>
      <c r="F524" s="15" t="n">
        <f aca="false">E524*(1+IF(F$3&lt;=$O$2,$D524,$D524-($D524-$I$508)*MIN(F$3-$O$2,$Q$2)/$Q$2))</f>
        <v>2508.31031633541</v>
      </c>
      <c r="G524" s="15" t="n">
        <f aca="false">F524*(1+IF(G$3&lt;=$O$2,$D524,$D524-($D524-$I$508)*MIN(G$3-$O$2,$Q$2)/$Q$2))</f>
        <v>2522.58643553697</v>
      </c>
      <c r="H524" s="15" t="n">
        <f aca="false">G524*(1+IF(H$3&lt;=$O$2,$D524,$D524-($D524-$I$508)*MIN(H$3-$O$2,$Q$2)/$Q$2))</f>
        <v>2536.94380767526</v>
      </c>
      <c r="I524" s="15" t="n">
        <f aca="false">H524*(1+IF(I$3&lt;=$O$2,$D524,$D524-($D524-$I$508)*MIN(I$3-$O$2,$Q$2)/$Q$2))</f>
        <v>2551.38289520369</v>
      </c>
      <c r="J524" s="15" t="n">
        <f aca="false">I524*(1+IF(J$3&lt;=$O$2,$D524,$D524-($D524-$I$508)*MIN(J$3-$O$2,$Q$2)/$Q$2))</f>
        <v>2577.44073679375</v>
      </c>
      <c r="K524" s="15" t="n">
        <f aca="false">J524*(1+IF(K$3&lt;=$O$2,$D524,$D524-($D524-$I$508)*MIN(K$3-$O$2,$Q$2)/$Q$2))</f>
        <v>2615.41911210269</v>
      </c>
      <c r="L524" s="15" t="n">
        <f aca="false">K524*(1+IF(L$3&lt;=$O$2,$D524,$D524-($D524-$I$508)*MIN(L$3-$O$2,$Q$2)/$Q$2))</f>
        <v>2665.7832214046</v>
      </c>
      <c r="M524" s="15" t="n">
        <f aca="false">L524*(1+IF(M$3&lt;=$O$2,$D524,$D524-($D524-$I$508)*MIN(M$3-$O$2,$Q$2)/$Q$2))</f>
        <v>2729.17102967729</v>
      </c>
      <c r="N524" s="15" t="n">
        <f aca="false">M524*(1+IF(N$3&lt;=$O$2,$D524,$D524-($D524-$I$508)*MIN(N$3-$O$2,$Q$2)/$Q$2))</f>
        <v>2806.40656981715</v>
      </c>
      <c r="O524" s="15" t="n">
        <f aca="false">SUMPRODUCT(E524:N524,1/(1+$F$508)^$E$3:$N$3)*$E$2</f>
        <v>5053.63538596752</v>
      </c>
      <c r="P524" s="15" t="n">
        <f aca="false">N524*$E$2*(1+$I$508)/($F$508-$I$508)/(1+$F$508)^$N$3</f>
        <v>6512.44442866865</v>
      </c>
      <c r="Q524" s="15" t="n">
        <f aca="false">O524+P524</f>
        <v>11566.0798146362</v>
      </c>
      <c r="R524" s="15" t="n">
        <f aca="false">Q524-$G$2+$I$2</f>
        <v>10291.4098146362</v>
      </c>
      <c r="S524" s="42" t="n">
        <f aca="false">R524/$K$2</f>
        <v>289.328361389828</v>
      </c>
      <c r="T524" s="43" t="n">
        <f aca="false">S524-$M$2</f>
        <v>0.0396349349501861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0.005645751953125</v>
      </c>
      <c r="C525" s="25" t="n">
        <f aca="false">IF(T524&gt;0,D524,C524)</f>
        <v>0.0056915283203125</v>
      </c>
      <c r="D525" s="41" t="n">
        <f aca="false">(B525+C525)/2</f>
        <v>0.00566864013671875</v>
      </c>
      <c r="E525" s="15" t="n">
        <f aca="false">$C$2*(1+IF(E$3&lt;=$O$2,$D525,$D525-($D525-$I$508)*MIN(E$3-$O$2,$Q$2)/$Q$2))</f>
        <v>2494.05822753906</v>
      </c>
      <c r="F525" s="15" t="n">
        <f aca="false">E525*(1+IF(F$3&lt;=$O$2,$D525,$D525-($D525-$I$508)*MIN(F$3-$O$2,$Q$2)/$Q$2))</f>
        <v>2508.196146111</v>
      </c>
      <c r="G525" s="15" t="n">
        <f aca="false">F525*(1+IF(G$3&lt;=$O$2,$D525,$D525-($D525-$I$508)*MIN(G$3-$O$2,$Q$2)/$Q$2))</f>
        <v>2522.41420745561</v>
      </c>
      <c r="H525" s="15" t="n">
        <f aca="false">G525*(1+IF(H$3&lt;=$O$2,$D525,$D525-($D525-$I$508)*MIN(H$3-$O$2,$Q$2)/$Q$2))</f>
        <v>2536.71286587342</v>
      </c>
      <c r="I525" s="15" t="n">
        <f aca="false">H525*(1+IF(I$3&lt;=$O$2,$D525,$D525-($D525-$I$508)*MIN(I$3-$O$2,$Q$2)/$Q$2))</f>
        <v>2551.09257824025</v>
      </c>
      <c r="J525" s="15" t="n">
        <f aca="false">I525*(1+IF(J$3&lt;=$O$2,$D525,$D525-($D525-$I$508)*MIN(J$3-$O$2,$Q$2)/$Q$2))</f>
        <v>2577.10074285828</v>
      </c>
      <c r="K525" s="15" t="n">
        <f aca="false">J525*(1+IF(K$3&lt;=$O$2,$D525,$D525-($D525-$I$508)*MIN(K$3-$O$2,$Q$2)/$Q$2))</f>
        <v>2615.03871729184</v>
      </c>
      <c r="L525" s="15" t="n">
        <f aca="false">K525*(1+IF(L$3&lt;=$O$2,$D525,$D525-($D525-$I$508)*MIN(L$3-$O$2,$Q$2)/$Q$2))</f>
        <v>2665.37156008422</v>
      </c>
      <c r="M525" s="15" t="n">
        <f aca="false">L525*(1+IF(M$3&lt;=$O$2,$D525,$D525-($D525-$I$508)*MIN(M$3-$O$2,$Q$2)/$Q$2))</f>
        <v>2728.73737864548</v>
      </c>
      <c r="N525" s="15" t="n">
        <f aca="false">M525*(1+IF(N$3&lt;=$O$2,$D525,$D525-($D525-$I$508)*MIN(N$3-$O$2,$Q$2)/$Q$2))</f>
        <v>2805.96064646115</v>
      </c>
      <c r="O525" s="15" t="n">
        <f aca="false">SUMPRODUCT(E525:N525,1/(1+$F$508)^$E$3:$N$3)*$E$2</f>
        <v>5053.1327038309</v>
      </c>
      <c r="P525" s="15" t="n">
        <f aca="false">N525*$E$2*(1+$I$508)/($F$508-$I$508)/(1+$F$508)^$N$3</f>
        <v>6511.40963524041</v>
      </c>
      <c r="Q525" s="15" t="n">
        <f aca="false">O525+P525</f>
        <v>11564.5423390713</v>
      </c>
      <c r="R525" s="15" t="n">
        <f aca="false">Q525-$G$2+$I$2</f>
        <v>10289.8723390713</v>
      </c>
      <c r="S525" s="42" t="n">
        <f aca="false">R525/$K$2</f>
        <v>289.285137449292</v>
      </c>
      <c r="T525" s="43" t="n">
        <f aca="false">S525-$M$2</f>
        <v>-0.00358900558592268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0.00566864013671875</v>
      </c>
      <c r="C526" s="25" t="n">
        <f aca="false">IF(T525&gt;0,D525,C525)</f>
        <v>0.0056915283203125</v>
      </c>
      <c r="D526" s="41" t="n">
        <f aca="false">(B526+C526)/2</f>
        <v>0.00568008422851563</v>
      </c>
      <c r="E526" s="15" t="n">
        <f aca="false">$C$2*(1+IF(E$3&lt;=$O$2,$D526,$D526-($D526-$I$508)*MIN(E$3-$O$2,$Q$2)/$Q$2))</f>
        <v>2494.08660888672</v>
      </c>
      <c r="F526" s="15" t="n">
        <f aca="false">E526*(1+IF(F$3&lt;=$O$2,$D526,$D526-($D526-$I$508)*MIN(F$3-$O$2,$Q$2)/$Q$2))</f>
        <v>2508.25323089841</v>
      </c>
      <c r="G526" s="15" t="n">
        <f aca="false">F526*(1+IF(G$3&lt;=$O$2,$D526,$D526-($D526-$I$508)*MIN(G$3-$O$2,$Q$2)/$Q$2))</f>
        <v>2522.50032051636</v>
      </c>
      <c r="H526" s="15" t="n">
        <f aca="false">G526*(1+IF(H$3&lt;=$O$2,$D526,$D526-($D526-$I$508)*MIN(H$3-$O$2,$Q$2)/$Q$2))</f>
        <v>2536.82833480335</v>
      </c>
      <c r="I526" s="15" t="n">
        <f aca="false">H526*(1+IF(I$3&lt;=$O$2,$D526,$D526-($D526-$I$508)*MIN(I$3-$O$2,$Q$2)/$Q$2))</f>
        <v>2551.23773341832</v>
      </c>
      <c r="J526" s="15" t="n">
        <f aca="false">I526*(1+IF(J$3&lt;=$O$2,$D526,$D526-($D526-$I$508)*MIN(J$3-$O$2,$Q$2)/$Q$2))</f>
        <v>2577.27073515969</v>
      </c>
      <c r="K526" s="15" t="n">
        <f aca="false">J526*(1+IF(K$3&lt;=$O$2,$D526,$D526-($D526-$I$508)*MIN(K$3-$O$2,$Q$2)/$Q$2))</f>
        <v>2615.22890879494</v>
      </c>
      <c r="L526" s="15" t="n">
        <f aca="false">K526*(1+IF(L$3&lt;=$O$2,$D526,$D526-($D526-$I$508)*MIN(L$3-$O$2,$Q$2)/$Q$2))</f>
        <v>2665.5773838578</v>
      </c>
      <c r="M526" s="15" t="n">
        <f aca="false">L526*(1+IF(M$3&lt;=$O$2,$D526,$D526-($D526-$I$508)*MIN(M$3-$O$2,$Q$2)/$Q$2))</f>
        <v>2728.95419663992</v>
      </c>
      <c r="N526" s="15" t="n">
        <f aca="false">M526*(1+IF(N$3&lt;=$O$2,$D526,$D526-($D526-$I$508)*MIN(N$3-$O$2,$Q$2)/$Q$2))</f>
        <v>2806.18360040483</v>
      </c>
      <c r="O526" s="15" t="n">
        <f aca="false">SUMPRODUCT(E526:N526,1/(1+$F$508)^$E$3:$N$3)*$E$2</f>
        <v>5053.38403850817</v>
      </c>
      <c r="P526" s="15" t="n">
        <f aca="false">N526*$E$2*(1+$I$508)/($F$508-$I$508)/(1+$F$508)^$N$3</f>
        <v>6511.92701400656</v>
      </c>
      <c r="Q526" s="15" t="n">
        <f aca="false">O526+P526</f>
        <v>11565.3110525147</v>
      </c>
      <c r="R526" s="15" t="n">
        <f aca="false">Q526-$G$2+$I$2</f>
        <v>10290.6410525147</v>
      </c>
      <c r="S526" s="42" t="n">
        <f aca="false">R526/$K$2</f>
        <v>289.306748735303</v>
      </c>
      <c r="T526" s="43" t="n">
        <f aca="false">S526-$M$2</f>
        <v>0.0180222804253276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0.00566864013671875</v>
      </c>
      <c r="C527" s="25" t="n">
        <f aca="false">IF(T526&gt;0,D526,C526)</f>
        <v>0.00568008422851563</v>
      </c>
      <c r="D527" s="41" t="n">
        <f aca="false">(B527+C527)/2</f>
        <v>0.00567436218261719</v>
      </c>
      <c r="E527" s="15" t="n">
        <f aca="false">$C$2*(1+IF(E$3&lt;=$O$2,$D527,$D527-($D527-$I$508)*MIN(E$3-$O$2,$Q$2)/$Q$2))</f>
        <v>2494.07241821289</v>
      </c>
      <c r="F527" s="15" t="n">
        <f aca="false">E527*(1+IF(F$3&lt;=$O$2,$D527,$D527-($D527-$I$508)*MIN(F$3-$O$2,$Q$2)/$Q$2))</f>
        <v>2508.22468842351</v>
      </c>
      <c r="G527" s="15" t="n">
        <f aca="false">F527*(1+IF(G$3&lt;=$O$2,$D527,$D527-($D527-$I$508)*MIN(G$3-$O$2,$Q$2)/$Q$2))</f>
        <v>2522.457263741</v>
      </c>
      <c r="H527" s="15" t="n">
        <f aca="false">G527*(1+IF(H$3&lt;=$O$2,$D527,$D527-($D527-$I$508)*MIN(H$3-$O$2,$Q$2)/$Q$2))</f>
        <v>2536.77059984564</v>
      </c>
      <c r="I527" s="15" t="n">
        <f aca="false">H527*(1+IF(I$3&lt;=$O$2,$D527,$D527-($D527-$I$508)*MIN(I$3-$O$2,$Q$2)/$Q$2))</f>
        <v>2551.16515500338</v>
      </c>
      <c r="J527" s="15" t="n">
        <f aca="false">I527*(1+IF(J$3&lt;=$O$2,$D527,$D527-($D527-$I$508)*MIN(J$3-$O$2,$Q$2)/$Q$2))</f>
        <v>2577.18573784243</v>
      </c>
      <c r="K527" s="15" t="n">
        <f aca="false">J527*(1+IF(K$3&lt;=$O$2,$D527,$D527-($D527-$I$508)*MIN(K$3-$O$2,$Q$2)/$Q$2))</f>
        <v>2615.13381156784</v>
      </c>
      <c r="L527" s="15" t="n">
        <f aca="false">K527*(1+IF(L$3&lt;=$O$2,$D527,$D527-($D527-$I$508)*MIN(L$3-$O$2,$Q$2)/$Q$2))</f>
        <v>2665.4744702494</v>
      </c>
      <c r="M527" s="15" t="n">
        <f aca="false">L527*(1+IF(M$3&lt;=$O$2,$D527,$D527-($D527-$I$508)*MIN(M$3-$O$2,$Q$2)/$Q$2))</f>
        <v>2728.84578576239</v>
      </c>
      <c r="N527" s="15" t="n">
        <f aca="false">M527*(1+IF(N$3&lt;=$O$2,$D527,$D527-($D527-$I$508)*MIN(N$3-$O$2,$Q$2)/$Q$2))</f>
        <v>2806.07212149947</v>
      </c>
      <c r="O527" s="15" t="n">
        <f aca="false">SUMPRODUCT(E527:N527,1/(1+$F$508)^$E$3:$N$3)*$E$2</f>
        <v>5053.25836957181</v>
      </c>
      <c r="P527" s="15" t="n">
        <f aca="false">N527*$E$2*(1+$I$508)/($F$508-$I$508)/(1+$F$508)^$N$3</f>
        <v>6511.66832013663</v>
      </c>
      <c r="Q527" s="15" t="n">
        <f aca="false">O527+P527</f>
        <v>11564.9266897084</v>
      </c>
      <c r="R527" s="15" t="n">
        <f aca="false">Q527-$G$2+$I$2</f>
        <v>10290.2566897084</v>
      </c>
      <c r="S527" s="42" t="n">
        <f aca="false">R527/$K$2</f>
        <v>289.295942921238</v>
      </c>
      <c r="T527" s="43" t="n">
        <f aca="false">S527-$M$2</f>
        <v>0.00721646636037576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0.00566864013671875</v>
      </c>
      <c r="C528" s="25" t="n">
        <f aca="false">IF(T527&gt;0,D527,C527)</f>
        <v>0.00567436218261719</v>
      </c>
      <c r="D528" s="41" t="n">
        <f aca="false">(B528+C528)/2</f>
        <v>0.00567150115966797</v>
      </c>
      <c r="E528" s="15" t="n">
        <f aca="false">$C$2*(1+IF(E$3&lt;=$O$2,$D528,$D528-($D528-$I$508)*MIN(E$3-$O$2,$Q$2)/$Q$2))</f>
        <v>2494.06532287598</v>
      </c>
      <c r="F528" s="15" t="n">
        <f aca="false">E528*(1+IF(F$3&lt;=$O$2,$D528,$D528-($D528-$I$508)*MIN(F$3-$O$2,$Q$2)/$Q$2))</f>
        <v>2508.21041724696</v>
      </c>
      <c r="G528" s="15" t="n">
        <f aca="false">F528*(1+IF(G$3&lt;=$O$2,$D528,$D528-($D528-$I$508)*MIN(G$3-$O$2,$Q$2)/$Q$2))</f>
        <v>2522.43573553706</v>
      </c>
      <c r="H528" s="15" t="n">
        <f aca="false">G528*(1+IF(H$3&lt;=$O$2,$D528,$D528-($D528-$I$508)*MIN(H$3-$O$2,$Q$2)/$Q$2))</f>
        <v>2536.74173273635</v>
      </c>
      <c r="I528" s="15" t="n">
        <f aca="false">H528*(1+IF(I$3&lt;=$O$2,$D528,$D528-($D528-$I$508)*MIN(I$3-$O$2,$Q$2)/$Q$2))</f>
        <v>2551.12886641534</v>
      </c>
      <c r="J528" s="15" t="n">
        <f aca="false">I528*(1+IF(J$3&lt;=$O$2,$D528,$D528-($D528-$I$508)*MIN(J$3-$O$2,$Q$2)/$Q$2))</f>
        <v>2577.14324005872</v>
      </c>
      <c r="K528" s="15" t="n">
        <f aca="false">J528*(1+IF(K$3&lt;=$O$2,$D528,$D528-($D528-$I$508)*MIN(K$3-$O$2,$Q$2)/$Q$2))</f>
        <v>2615.08626406096</v>
      </c>
      <c r="L528" s="15" t="n">
        <f aca="false">K528*(1+IF(L$3&lt;=$O$2,$D528,$D528-($D528-$I$508)*MIN(L$3-$O$2,$Q$2)/$Q$2))</f>
        <v>2665.42301473642</v>
      </c>
      <c r="M528" s="15" t="n">
        <f aca="false">L528*(1+IF(M$3&lt;=$O$2,$D528,$D528-($D528-$I$508)*MIN(M$3-$O$2,$Q$2)/$Q$2))</f>
        <v>2728.79158173387</v>
      </c>
      <c r="N528" s="15" t="n">
        <f aca="false">M528*(1+IF(N$3&lt;=$O$2,$D528,$D528-($D528-$I$508)*MIN(N$3-$O$2,$Q$2)/$Q$2))</f>
        <v>2806.01638349694</v>
      </c>
      <c r="O528" s="15" t="n">
        <f aca="false">SUMPRODUCT(E528:N528,1/(1+$F$508)^$E$3:$N$3)*$E$2</f>
        <v>5053.19553630193</v>
      </c>
      <c r="P528" s="15" t="n">
        <f aca="false">N528*$E$2*(1+$I$508)/($F$508-$I$508)/(1+$F$508)^$N$3</f>
        <v>6511.53897656682</v>
      </c>
      <c r="Q528" s="15" t="n">
        <f aca="false">O528+P528</f>
        <v>11564.7345128688</v>
      </c>
      <c r="R528" s="15" t="n">
        <f aca="false">Q528-$G$2+$I$2</f>
        <v>10290.0645128688</v>
      </c>
      <c r="S528" s="42" t="n">
        <f aca="false">R528/$K$2</f>
        <v>289.290540142501</v>
      </c>
      <c r="T528" s="43" t="n">
        <f aca="false">S528-$M$2</f>
        <v>0.00181368762304146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0.00566864013671875</v>
      </c>
      <c r="C529" s="25" t="n">
        <f aca="false">IF(T528&gt;0,D528,C528)</f>
        <v>0.00567150115966797</v>
      </c>
      <c r="D529" s="41" t="n">
        <f aca="false">(B529+C529)/2</f>
        <v>0.00567007064819336</v>
      </c>
      <c r="E529" s="15" t="n">
        <f aca="false">$C$2*(1+IF(E$3&lt;=$O$2,$D529,$D529-($D529-$I$508)*MIN(E$3-$O$2,$Q$2)/$Q$2))</f>
        <v>2494.06177520752</v>
      </c>
      <c r="F529" s="15" t="n">
        <f aca="false">E529*(1+IF(F$3&lt;=$O$2,$D529,$D529-($D529-$I$508)*MIN(F$3-$O$2,$Q$2)/$Q$2))</f>
        <v>2508.2032816739</v>
      </c>
      <c r="G529" s="15" t="n">
        <f aca="false">F529*(1+IF(G$3&lt;=$O$2,$D529,$D529-($D529-$I$508)*MIN(G$3-$O$2,$Q$2)/$Q$2))</f>
        <v>2522.42497148103</v>
      </c>
      <c r="H529" s="15" t="n">
        <f aca="false">G529*(1+IF(H$3&lt;=$O$2,$D529,$D529-($D529-$I$508)*MIN(H$3-$O$2,$Q$2)/$Q$2))</f>
        <v>2536.72729927409</v>
      </c>
      <c r="I529" s="15" t="n">
        <f aca="false">H529*(1+IF(I$3&lt;=$O$2,$D529,$D529-($D529-$I$508)*MIN(I$3-$O$2,$Q$2)/$Q$2))</f>
        <v>2551.11072227618</v>
      </c>
      <c r="J529" s="15" t="n">
        <f aca="false">I529*(1+IF(J$3&lt;=$O$2,$D529,$D529-($D529-$I$508)*MIN(J$3-$O$2,$Q$2)/$Q$2))</f>
        <v>2577.12199138559</v>
      </c>
      <c r="K529" s="15" t="n">
        <f aca="false">J529*(1+IF(K$3&lt;=$O$2,$D529,$D529-($D529-$I$508)*MIN(K$3-$O$2,$Q$2)/$Q$2))</f>
        <v>2615.06249058418</v>
      </c>
      <c r="L529" s="15" t="n">
        <f aca="false">K529*(1+IF(L$3&lt;=$O$2,$D529,$D529-($D529-$I$508)*MIN(L$3-$O$2,$Q$2)/$Q$2))</f>
        <v>2665.39728730272</v>
      </c>
      <c r="M529" s="15" t="n">
        <f aca="false">L529*(1+IF(M$3&lt;=$O$2,$D529,$D529-($D529-$I$508)*MIN(M$3-$O$2,$Q$2)/$Q$2))</f>
        <v>2728.76448007216</v>
      </c>
      <c r="N529" s="15" t="n">
        <f aca="false">M529*(1+IF(N$3&lt;=$O$2,$D529,$D529-($D529-$I$508)*MIN(N$3-$O$2,$Q$2)/$Q$2))</f>
        <v>2805.9885148582</v>
      </c>
      <c r="O529" s="15" t="n">
        <f aca="false">SUMPRODUCT(E529:N529,1/(1+$F$508)^$E$3:$N$3)*$E$2</f>
        <v>5053.16411996656</v>
      </c>
      <c r="P529" s="15" t="n">
        <f aca="false">N529*$E$2*(1+$I$508)/($F$508-$I$508)/(1+$F$508)^$N$3</f>
        <v>6511.47430562319</v>
      </c>
      <c r="Q529" s="15" t="n">
        <f aca="false">O529+P529</f>
        <v>11564.6384255898</v>
      </c>
      <c r="R529" s="15" t="n">
        <f aca="false">Q529-$G$2+$I$2</f>
        <v>10289.9684255898</v>
      </c>
      <c r="S529" s="42" t="n">
        <f aca="false">R529/$K$2</f>
        <v>289.287838785205</v>
      </c>
      <c r="T529" s="43" t="n">
        <f aca="false">S529-$M$2</f>
        <v>-0.000887669672351876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0.00567007064819336</v>
      </c>
      <c r="C530" s="25" t="n">
        <f aca="false">IF(T529&gt;0,D529,C529)</f>
        <v>0.00567150115966797</v>
      </c>
      <c r="D530" s="41" t="n">
        <f aca="false">(B530+C530)/2</f>
        <v>0.00567078590393066</v>
      </c>
      <c r="E530" s="15" t="n">
        <f aca="false">$C$2*(1+IF(E$3&lt;=$O$2,$D530,$D530-($D530-$I$508)*MIN(E$3-$O$2,$Q$2)/$Q$2))</f>
        <v>2494.06354904175</v>
      </c>
      <c r="F530" s="15" t="n">
        <f aca="false">E530*(1+IF(F$3&lt;=$O$2,$D530,$D530-($D530-$I$508)*MIN(F$3-$O$2,$Q$2)/$Q$2))</f>
        <v>2508.20684945916</v>
      </c>
      <c r="G530" s="15" t="n">
        <f aca="false">F530*(1+IF(G$3&lt;=$O$2,$D530,$D530-($D530-$I$508)*MIN(G$3-$O$2,$Q$2)/$Q$2))</f>
        <v>2522.43035350522</v>
      </c>
      <c r="H530" s="15" t="n">
        <f aca="false">G530*(1+IF(H$3&lt;=$O$2,$D530,$D530-($D530-$I$508)*MIN(H$3-$O$2,$Q$2)/$Q$2))</f>
        <v>2536.73451599752</v>
      </c>
      <c r="I530" s="15" t="n">
        <f aca="false">H530*(1+IF(I$3&lt;=$O$2,$D530,$D530-($D530-$I$508)*MIN(I$3-$O$2,$Q$2)/$Q$2))</f>
        <v>2551.11979433285</v>
      </c>
      <c r="J530" s="15" t="n">
        <f aca="false">I530*(1+IF(J$3&lt;=$O$2,$D530,$D530-($D530-$I$508)*MIN(J$3-$O$2,$Q$2)/$Q$2))</f>
        <v>2577.13261570393</v>
      </c>
      <c r="K530" s="15" t="n">
        <f aca="false">J530*(1+IF(K$3&lt;=$O$2,$D530,$D530-($D530-$I$508)*MIN(K$3-$O$2,$Q$2)/$Q$2))</f>
        <v>2615.07437729952</v>
      </c>
      <c r="L530" s="15" t="n">
        <f aca="false">K530*(1+IF(L$3&lt;=$O$2,$D530,$D530-($D530-$I$508)*MIN(L$3-$O$2,$Q$2)/$Q$2))</f>
        <v>2665.41015099267</v>
      </c>
      <c r="M530" s="15" t="n">
        <f aca="false">L530*(1+IF(M$3&lt;=$O$2,$D530,$D530-($D530-$I$508)*MIN(M$3-$O$2,$Q$2)/$Q$2))</f>
        <v>2728.77803087363</v>
      </c>
      <c r="N530" s="15" t="n">
        <f aca="false">M530*(1+IF(N$3&lt;=$O$2,$D530,$D530-($D530-$I$508)*MIN(N$3-$O$2,$Q$2)/$Q$2))</f>
        <v>2806.00244914736</v>
      </c>
      <c r="O530" s="15" t="n">
        <f aca="false">SUMPRODUCT(E530:N530,1/(1+$F$508)^$E$3:$N$3)*$E$2</f>
        <v>5053.17982810928</v>
      </c>
      <c r="P530" s="15" t="n">
        <f aca="false">N530*$E$2*(1+$I$508)/($F$508-$I$508)/(1+$F$508)^$N$3</f>
        <v>6511.5066410249</v>
      </c>
      <c r="Q530" s="15" t="n">
        <f aca="false">O530+P530</f>
        <v>11564.6864691342</v>
      </c>
      <c r="R530" s="15" t="n">
        <f aca="false">Q530-$G$2+$I$2</f>
        <v>10290.0164691342</v>
      </c>
      <c r="S530" s="42" t="n">
        <f aca="false">R530/$K$2</f>
        <v>289.28918946118</v>
      </c>
      <c r="T530" s="43" t="n">
        <f aca="false">S530-$M$2</f>
        <v>0.000463006302481972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0.00567007064819336</v>
      </c>
      <c r="C531" s="25" t="n">
        <f aca="false">IF(T530&gt;0,D530,C530)</f>
        <v>0.00567078590393066</v>
      </c>
      <c r="D531" s="41" t="n">
        <f aca="false">(B531+C531)/2</f>
        <v>0.00567042827606201</v>
      </c>
      <c r="E531" s="15" t="n">
        <f aca="false">$C$2*(1+IF(E$3&lt;=$O$2,$D531,$D531-($D531-$I$508)*MIN(E$3-$O$2,$Q$2)/$Q$2))</f>
        <v>2494.06266212463</v>
      </c>
      <c r="F531" s="15" t="n">
        <f aca="false">E531*(1+IF(F$3&lt;=$O$2,$D531,$D531-($D531-$I$508)*MIN(F$3-$O$2,$Q$2)/$Q$2))</f>
        <v>2508.20506556622</v>
      </c>
      <c r="G531" s="15" t="n">
        <f aca="false">F531*(1+IF(G$3&lt;=$O$2,$D531,$D531-($D531-$I$508)*MIN(G$3-$O$2,$Q$2)/$Q$2))</f>
        <v>2522.42766249216</v>
      </c>
      <c r="H531" s="15" t="n">
        <f aca="false">G531*(1+IF(H$3&lt;=$O$2,$D531,$D531-($D531-$I$508)*MIN(H$3-$O$2,$Q$2)/$Q$2))</f>
        <v>2536.73090763388</v>
      </c>
      <c r="I531" s="15" t="n">
        <f aca="false">H531*(1+IF(I$3&lt;=$O$2,$D531,$D531-($D531-$I$508)*MIN(I$3-$O$2,$Q$2)/$Q$2))</f>
        <v>2551.11525830129</v>
      </c>
      <c r="J531" s="15" t="n">
        <f aca="false">I531*(1+IF(J$3&lt;=$O$2,$D531,$D531-($D531-$I$508)*MIN(J$3-$O$2,$Q$2)/$Q$2))</f>
        <v>2577.12730354021</v>
      </c>
      <c r="K531" s="15" t="n">
        <f aca="false">J531*(1+IF(K$3&lt;=$O$2,$D531,$D531-($D531-$I$508)*MIN(K$3-$O$2,$Q$2)/$Q$2))</f>
        <v>2615.06843393608</v>
      </c>
      <c r="L531" s="15" t="n">
        <f aca="false">K531*(1+IF(L$3&lt;=$O$2,$D531,$D531-($D531-$I$508)*MIN(L$3-$O$2,$Q$2)/$Q$2))</f>
        <v>2665.40371914097</v>
      </c>
      <c r="M531" s="15" t="n">
        <f aca="false">L531*(1+IF(M$3&lt;=$O$2,$D531,$D531-($D531-$I$508)*MIN(M$3-$O$2,$Q$2)/$Q$2))</f>
        <v>2728.77125546555</v>
      </c>
      <c r="N531" s="15" t="n">
        <f aca="false">M531*(1+IF(N$3&lt;=$O$2,$D531,$D531-($D531-$I$508)*MIN(N$3-$O$2,$Q$2)/$Q$2))</f>
        <v>2805.99548199522</v>
      </c>
      <c r="O531" s="15" t="n">
        <f aca="false">SUMPRODUCT(E531:N531,1/(1+$F$508)^$E$3:$N$3)*$E$2</f>
        <v>5053.17197403168</v>
      </c>
      <c r="P531" s="15" t="n">
        <f aca="false">N531*$E$2*(1+$I$508)/($F$508-$I$508)/(1+$F$508)^$N$3</f>
        <v>6511.49047330652</v>
      </c>
      <c r="Q531" s="15" t="n">
        <f aca="false">O531+P531</f>
        <v>11564.6624473382</v>
      </c>
      <c r="R531" s="15" t="n">
        <f aca="false">Q531-$G$2+$I$2</f>
        <v>10289.9924473382</v>
      </c>
      <c r="S531" s="42" t="n">
        <f aca="false">R531/$K$2</f>
        <v>289.288514122525</v>
      </c>
      <c r="T531" s="43" t="n">
        <f aca="false">S531-$M$2</f>
        <v>-0.000212332353214606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0.00567042827606201</v>
      </c>
      <c r="C532" s="25" t="n">
        <f aca="false">IF(T531&gt;0,D531,C531)</f>
        <v>0.00567078590393066</v>
      </c>
      <c r="D532" s="41" t="n">
        <f aca="false">(B532+C532)/2</f>
        <v>0.00567060708999634</v>
      </c>
      <c r="E532" s="15" t="n">
        <f aca="false">$C$2*(1+IF(E$3&lt;=$O$2,$D532,$D532-($D532-$I$508)*MIN(E$3-$O$2,$Q$2)/$Q$2))</f>
        <v>2494.06310558319</v>
      </c>
      <c r="F532" s="15" t="n">
        <f aca="false">E532*(1+IF(F$3&lt;=$O$2,$D532,$D532-($D532-$I$508)*MIN(F$3-$O$2,$Q$2)/$Q$2))</f>
        <v>2508.20595751261</v>
      </c>
      <c r="G532" s="15" t="n">
        <f aca="false">F532*(1+IF(G$3&lt;=$O$2,$D532,$D532-($D532-$I$508)*MIN(G$3-$O$2,$Q$2)/$Q$2))</f>
        <v>2522.42900799845</v>
      </c>
      <c r="H532" s="15" t="n">
        <f aca="false">G532*(1+IF(H$3&lt;=$O$2,$D532,$D532-($D532-$I$508)*MIN(H$3-$O$2,$Q$2)/$Q$2))</f>
        <v>2536.73271181522</v>
      </c>
      <c r="I532" s="15" t="n">
        <f aca="false">H532*(1+IF(I$3&lt;=$O$2,$D532,$D532-($D532-$I$508)*MIN(I$3-$O$2,$Q$2)/$Q$2))</f>
        <v>2551.11752631627</v>
      </c>
      <c r="J532" s="15" t="n">
        <f aca="false">I532*(1+IF(J$3&lt;=$O$2,$D532,$D532-($D532-$I$508)*MIN(J$3-$O$2,$Q$2)/$Q$2))</f>
        <v>2577.12995962093</v>
      </c>
      <c r="K532" s="15" t="n">
        <f aca="false">J532*(1+IF(K$3&lt;=$O$2,$D532,$D532-($D532-$I$508)*MIN(K$3-$O$2,$Q$2)/$Q$2))</f>
        <v>2615.07140561636</v>
      </c>
      <c r="L532" s="15" t="n">
        <f aca="false">K532*(1+IF(L$3&lt;=$O$2,$D532,$D532-($D532-$I$508)*MIN(L$3-$O$2,$Q$2)/$Q$2))</f>
        <v>2665.40693506514</v>
      </c>
      <c r="M532" s="15" t="n">
        <f aca="false">L532*(1+IF(M$3&lt;=$O$2,$D532,$D532-($D532-$I$508)*MIN(M$3-$O$2,$Q$2)/$Q$2))</f>
        <v>2728.77464316776</v>
      </c>
      <c r="N532" s="15" t="n">
        <f aca="false">M532*(1+IF(N$3&lt;=$O$2,$D532,$D532-($D532-$I$508)*MIN(N$3-$O$2,$Q$2)/$Q$2))</f>
        <v>2805.9989655694</v>
      </c>
      <c r="O532" s="15" t="n">
        <f aca="false">SUMPRODUCT(E532:N532,1/(1+$F$508)^$E$3:$N$3)*$E$2</f>
        <v>5053.17590106892</v>
      </c>
      <c r="P532" s="15" t="n">
        <f aca="false">N532*$E$2*(1+$I$508)/($F$508-$I$508)/(1+$F$508)^$N$3</f>
        <v>6511.49855716133</v>
      </c>
      <c r="Q532" s="15" t="n">
        <f aca="false">O532+P532</f>
        <v>11564.6744582302</v>
      </c>
      <c r="R532" s="15" t="n">
        <f aca="false">Q532-$G$2+$I$2</f>
        <v>10290.0044582302</v>
      </c>
      <c r="S532" s="42" t="n">
        <f aca="false">R532/$K$2</f>
        <v>289.288851791685</v>
      </c>
      <c r="T532" s="43" t="n">
        <f aca="false">S532-$M$2</f>
        <v>0.000125336807684562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0.00567042827606201</v>
      </c>
      <c r="C533" s="25" t="n">
        <f aca="false">IF(T532&gt;0,D532,C532)</f>
        <v>0.00567060708999634</v>
      </c>
      <c r="D533" s="41" t="n">
        <f aca="false">(B533+C533)/2</f>
        <v>0.00567051768302918</v>
      </c>
      <c r="E533" s="15" t="n">
        <f aca="false">$C$2*(1+IF(E$3&lt;=$O$2,$D533,$D533-($D533-$I$508)*MIN(E$3-$O$2,$Q$2)/$Q$2))</f>
        <v>2494.06288385391</v>
      </c>
      <c r="F533" s="15" t="n">
        <f aca="false">E533*(1+IF(F$3&lt;=$O$2,$D533,$D533-($D533-$I$508)*MIN(F$3-$O$2,$Q$2)/$Q$2))</f>
        <v>2508.20551153939</v>
      </c>
      <c r="G533" s="15" t="n">
        <f aca="false">F533*(1+IF(G$3&lt;=$O$2,$D533,$D533-($D533-$I$508)*MIN(G$3-$O$2,$Q$2)/$Q$2))</f>
        <v>2522.42833524525</v>
      </c>
      <c r="H533" s="15" t="n">
        <f aca="false">G533*(1+IF(H$3&lt;=$O$2,$D533,$D533-($D533-$I$508)*MIN(H$3-$O$2,$Q$2)/$Q$2))</f>
        <v>2536.73180972443</v>
      </c>
      <c r="I533" s="15" t="n">
        <f aca="false">H533*(1+IF(I$3&lt;=$O$2,$D533,$D533-($D533-$I$508)*MIN(I$3-$O$2,$Q$2)/$Q$2))</f>
        <v>2551.11639230858</v>
      </c>
      <c r="J533" s="15" t="n">
        <f aca="false">I533*(1+IF(J$3&lt;=$O$2,$D533,$D533-($D533-$I$508)*MIN(J$3-$O$2,$Q$2)/$Q$2))</f>
        <v>2577.12863158028</v>
      </c>
      <c r="K533" s="15" t="n">
        <f aca="false">J533*(1+IF(K$3&lt;=$O$2,$D533,$D533-($D533-$I$508)*MIN(K$3-$O$2,$Q$2)/$Q$2))</f>
        <v>2615.06991977586</v>
      </c>
      <c r="L533" s="15" t="n">
        <f aca="false">K533*(1+IF(L$3&lt;=$O$2,$D533,$D533-($D533-$I$508)*MIN(L$3-$O$2,$Q$2)/$Q$2))</f>
        <v>2665.40532710263</v>
      </c>
      <c r="M533" s="15" t="n">
        <f aca="false">L533*(1+IF(M$3&lt;=$O$2,$D533,$D533-($D533-$I$508)*MIN(M$3-$O$2,$Q$2)/$Q$2))</f>
        <v>2728.77294931619</v>
      </c>
      <c r="N533" s="15" t="n">
        <f aca="false">M533*(1+IF(N$3&lt;=$O$2,$D533,$D533-($D533-$I$508)*MIN(N$3-$O$2,$Q$2)/$Q$2))</f>
        <v>2805.99722378184</v>
      </c>
      <c r="O533" s="15" t="n">
        <f aca="false">SUMPRODUCT(E533:N533,1/(1+$F$508)^$E$3:$N$3)*$E$2</f>
        <v>5053.17393754991</v>
      </c>
      <c r="P533" s="15" t="n">
        <f aca="false">N533*$E$2*(1+$I$508)/($F$508-$I$508)/(1+$F$508)^$N$3</f>
        <v>6511.49451523283</v>
      </c>
      <c r="Q533" s="15" t="n">
        <f aca="false">O533+P533</f>
        <v>11564.6684527827</v>
      </c>
      <c r="R533" s="15" t="n">
        <f aca="false">Q533-$G$2+$I$2</f>
        <v>10289.9984527827</v>
      </c>
      <c r="S533" s="42" t="n">
        <f aca="false">R533/$K$2</f>
        <v>289.288682957063</v>
      </c>
      <c r="T533" s="43" t="n">
        <f aca="false">S533-$M$2</f>
        <v>-4.34978144880915E-005</v>
      </c>
    </row>
    <row r="535" customFormat="false" ht="15" hidden="false" customHeight="false" outlineLevel="0" collapsed="false">
      <c r="A535" s="38" t="s">
        <v>203</v>
      </c>
      <c r="E535" s="5" t="s">
        <v>11</v>
      </c>
      <c r="F535" s="12" t="n">
        <f aca="false">Sensitivity!$B$13</f>
        <v>0.0864218415038925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8" t="s">
        <v>165</v>
      </c>
      <c r="B536" s="28" t="s">
        <v>166</v>
      </c>
      <c r="C536" s="28" t="s">
        <v>167</v>
      </c>
      <c r="D536" s="28" t="s">
        <v>168</v>
      </c>
      <c r="E536" s="28" t="s">
        <v>169</v>
      </c>
      <c r="F536" s="28" t="s">
        <v>170</v>
      </c>
      <c r="G536" s="28" t="s">
        <v>171</v>
      </c>
      <c r="H536" s="28" t="s">
        <v>172</v>
      </c>
      <c r="I536" s="28" t="s">
        <v>173</v>
      </c>
      <c r="J536" s="28" t="s">
        <v>174</v>
      </c>
      <c r="K536" s="28" t="s">
        <v>175</v>
      </c>
      <c r="L536" s="28" t="s">
        <v>176</v>
      </c>
      <c r="M536" s="28" t="s">
        <v>177</v>
      </c>
      <c r="N536" s="28" t="s">
        <v>178</v>
      </c>
      <c r="O536" s="28" t="s">
        <v>179</v>
      </c>
      <c r="P536" s="28" t="s">
        <v>180</v>
      </c>
      <c r="Q536" s="28" t="s">
        <v>181</v>
      </c>
      <c r="R536" s="28" t="s">
        <v>182</v>
      </c>
      <c r="S536" s="28" t="s">
        <v>183</v>
      </c>
      <c r="T536" s="28" t="s">
        <v>184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41" t="n">
        <f aca="false">(B537+C537)/2</f>
        <v>0.25</v>
      </c>
      <c r="E537" s="15" t="n">
        <f aca="false">$C$2*(1+IF(E$3&lt;=$O$2,$D537,$D537-($D537-$I$535)*MIN(E$3-$O$2,$Q$2)/$Q$2))</f>
        <v>3100</v>
      </c>
      <c r="F537" s="15" t="n">
        <f aca="false">E537*(1+IF(F$3&lt;=$O$2,$D537,$D537-($D537-$I$535)*MIN(F$3-$O$2,$Q$2)/$Q$2))</f>
        <v>3875</v>
      </c>
      <c r="G537" s="15" t="n">
        <f aca="false">F537*(1+IF(G$3&lt;=$O$2,$D537,$D537-($D537-$I$535)*MIN(G$3-$O$2,$Q$2)/$Q$2))</f>
        <v>4843.75</v>
      </c>
      <c r="H537" s="15" t="n">
        <f aca="false">G537*(1+IF(H$3&lt;=$O$2,$D537,$D537-($D537-$I$535)*MIN(H$3-$O$2,$Q$2)/$Q$2))</f>
        <v>6054.6875</v>
      </c>
      <c r="I537" s="15" t="n">
        <f aca="false">H537*(1+IF(I$3&lt;=$O$2,$D537,$D537-($D537-$I$535)*MIN(I$3-$O$2,$Q$2)/$Q$2))</f>
        <v>7568.359375</v>
      </c>
      <c r="J537" s="15" t="n">
        <f aca="false">I537*(1+IF(J$3&lt;=$O$2,$D537,$D537-($D537-$I$535)*MIN(J$3-$O$2,$Q$2)/$Q$2))</f>
        <v>9132.4365234375</v>
      </c>
      <c r="K537" s="15" t="n">
        <f aca="false">J537*(1+IF(K$3&lt;=$O$2,$D537,$D537-($D537-$I$535)*MIN(K$3-$O$2,$Q$2)/$Q$2))</f>
        <v>10623.9460564453</v>
      </c>
      <c r="L537" s="15" t="n">
        <f aca="false">K537*(1+IF(L$3&lt;=$O$2,$D537,$D537-($D537-$I$535)*MIN(L$3-$O$2,$Q$2)/$Q$2))</f>
        <v>11898.6071042976</v>
      </c>
      <c r="M537" s="15" t="n">
        <f aca="false">L537*(1+IF(M$3&lt;=$O$2,$D537,$D537-($D537-$I$535)*MIN(M$3-$O$2,$Q$2)/$Q$2))</f>
        <v>12810.516352771</v>
      </c>
      <c r="N537" s="15" t="n">
        <f aca="false">M537*(1+IF(N$3&lt;=$O$2,$D537,$D537-($D537-$I$535)*MIN(N$3-$O$2,$Q$2)/$Q$2))</f>
        <v>13237.1065473183</v>
      </c>
      <c r="O537" s="15" t="n">
        <f aca="false">SUMPRODUCT(E537:N537,1/(1+$F$535)^$E$3:$N$3)*$E$2</f>
        <v>14646.514584148</v>
      </c>
      <c r="P537" s="15" t="n">
        <f aca="false">N537*$E$2*(1+$I$535)/($F$535-$I$535)/(1+$F$535)^$N$3</f>
        <v>33772.1993625689</v>
      </c>
      <c r="Q537" s="15" t="n">
        <f aca="false">O537+P537</f>
        <v>48418.7139467168</v>
      </c>
      <c r="R537" s="15" t="n">
        <f aca="false">Q537-$G$2+$I$2</f>
        <v>47144.0439467168</v>
      </c>
      <c r="S537" s="42" t="n">
        <f aca="false">R537/$K$2</f>
        <v>1325.38779720879</v>
      </c>
      <c r="T537" s="43" t="n">
        <f aca="false">S537-$M$2</f>
        <v>1036.09907075392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41" t="n">
        <f aca="false">(B538+C538)/2</f>
        <v>-0.125</v>
      </c>
      <c r="E538" s="15" t="n">
        <f aca="false">$C$2*(1+IF(E$3&lt;=$O$2,$D538,$D538-($D538-$I$535)*MIN(E$3-$O$2,$Q$2)/$Q$2))</f>
        <v>2170</v>
      </c>
      <c r="F538" s="15" t="n">
        <f aca="false">E538*(1+IF(F$3&lt;=$O$2,$D538,$D538-($D538-$I$535)*MIN(F$3-$O$2,$Q$2)/$Q$2))</f>
        <v>1898.75</v>
      </c>
      <c r="G538" s="15" t="n">
        <f aca="false">F538*(1+IF(G$3&lt;=$O$2,$D538,$D538-($D538-$I$535)*MIN(G$3-$O$2,$Q$2)/$Q$2))</f>
        <v>1661.40625</v>
      </c>
      <c r="H538" s="15" t="n">
        <f aca="false">G538*(1+IF(H$3&lt;=$O$2,$D538,$D538-($D538-$I$535)*MIN(H$3-$O$2,$Q$2)/$Q$2))</f>
        <v>1453.73046875</v>
      </c>
      <c r="I538" s="15" t="n">
        <f aca="false">H538*(1+IF(I$3&lt;=$O$2,$D538,$D538-($D538-$I$535)*MIN(I$3-$O$2,$Q$2)/$Q$2))</f>
        <v>1272.01416015625</v>
      </c>
      <c r="J538" s="15" t="n">
        <f aca="false">I538*(1+IF(J$3&lt;=$O$2,$D538,$D538-($D538-$I$535)*MIN(J$3-$O$2,$Q$2)/$Q$2))</f>
        <v>1153.28435844727</v>
      </c>
      <c r="K538" s="15" t="n">
        <f aca="false">J538*(1+IF(K$3&lt;=$O$2,$D538,$D538-($D538-$I$535)*MIN(K$3-$O$2,$Q$2)/$Q$2))</f>
        <v>1082.14977921824</v>
      </c>
      <c r="L538" s="15" t="n">
        <f aca="false">K538*(1+IF(L$3&lt;=$O$2,$D538,$D538-($D538-$I$535)*MIN(L$3-$O$2,$Q$2)/$Q$2))</f>
        <v>1049.66364284611</v>
      </c>
      <c r="M538" s="15" t="n">
        <f aca="false">L538*(1+IF(M$3&lt;=$O$2,$D538,$D538-($D538-$I$535)*MIN(M$3-$O$2,$Q$2)/$Q$2))</f>
        <v>1051.38509122037</v>
      </c>
      <c r="N538" s="15" t="n">
        <f aca="false">M538*(1+IF(N$3&lt;=$O$2,$D538,$D538-($D538-$I$535)*MIN(N$3-$O$2,$Q$2)/$Q$2))</f>
        <v>1086.39621475801</v>
      </c>
      <c r="O538" s="15" t="n">
        <f aca="false">SUMPRODUCT(E538:N538,1/(1+$F$535)^$E$3:$N$3)*$E$2</f>
        <v>2886.42610731927</v>
      </c>
      <c r="P538" s="15" t="n">
        <f aca="false">N538*$E$2*(1+$I$535)/($F$535-$I$535)/(1+$F$535)^$N$3</f>
        <v>2771.75298245075</v>
      </c>
      <c r="Q538" s="15" t="n">
        <f aca="false">O538+P538</f>
        <v>5658.17908977002</v>
      </c>
      <c r="R538" s="15" t="n">
        <f aca="false">Q538-$G$2+$I$2</f>
        <v>4383.50908977002</v>
      </c>
      <c r="S538" s="42" t="n">
        <f aca="false">R538/$K$2</f>
        <v>123.23612847259</v>
      </c>
      <c r="T538" s="43" t="n">
        <f aca="false">S538-$M$2</f>
        <v>-166.052597982288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41" t="n">
        <f aca="false">(B539+C539)/2</f>
        <v>0.0625</v>
      </c>
      <c r="E539" s="15" t="n">
        <f aca="false">$C$2*(1+IF(E$3&lt;=$O$2,$D539,$D539-($D539-$I$535)*MIN(E$3-$O$2,$Q$2)/$Q$2))</f>
        <v>2635</v>
      </c>
      <c r="F539" s="15" t="n">
        <f aca="false">E539*(1+IF(F$3&lt;=$O$2,$D539,$D539-($D539-$I$535)*MIN(F$3-$O$2,$Q$2)/$Q$2))</f>
        <v>2799.6875</v>
      </c>
      <c r="G539" s="15" t="n">
        <f aca="false">F539*(1+IF(G$3&lt;=$O$2,$D539,$D539-($D539-$I$535)*MIN(G$3-$O$2,$Q$2)/$Q$2))</f>
        <v>2974.66796875</v>
      </c>
      <c r="H539" s="15" t="n">
        <f aca="false">G539*(1+IF(H$3&lt;=$O$2,$D539,$D539-($D539-$I$535)*MIN(H$3-$O$2,$Q$2)/$Q$2))</f>
        <v>3160.58471679688</v>
      </c>
      <c r="I539" s="15" t="n">
        <f aca="false">H539*(1+IF(I$3&lt;=$O$2,$D539,$D539-($D539-$I$535)*MIN(I$3-$O$2,$Q$2)/$Q$2))</f>
        <v>3358.12126159668</v>
      </c>
      <c r="J539" s="15" t="n">
        <f aca="false">I539*(1+IF(J$3&lt;=$O$2,$D539,$D539-($D539-$I$535)*MIN(J$3-$O$2,$Q$2)/$Q$2))</f>
        <v>3548.39241227875</v>
      </c>
      <c r="K539" s="15" t="n">
        <f aca="false">J539*(1+IF(K$3&lt;=$O$2,$D539,$D539-($D539-$I$535)*MIN(K$3-$O$2,$Q$2)/$Q$2))</f>
        <v>3728.72171467075</v>
      </c>
      <c r="L539" s="15" t="n">
        <f aca="false">K539*(1+IF(L$3&lt;=$O$2,$D539,$D539-($D539-$I$535)*MIN(L$3-$O$2,$Q$2)/$Q$2))</f>
        <v>3896.43961739664</v>
      </c>
      <c r="M539" s="15" t="n">
        <f aca="false">L539*(1+IF(M$3&lt;=$O$2,$D539,$D539-($D539-$I$535)*MIN(M$3-$O$2,$Q$2)/$Q$2))</f>
        <v>4048.94626402155</v>
      </c>
      <c r="N539" s="15" t="n">
        <f aca="false">M539*(1+IF(N$3&lt;=$O$2,$D539,$D539-($D539-$I$535)*MIN(N$3-$O$2,$Q$2)/$Q$2))</f>
        <v>4183.77617461347</v>
      </c>
      <c r="O539" s="15" t="n">
        <f aca="false">SUMPRODUCT(E539:N539,1/(1+$F$535)^$E$3:$N$3)*$E$2</f>
        <v>6491.28398702078</v>
      </c>
      <c r="P539" s="15" t="n">
        <f aca="false">N539*$E$2*(1+$I$535)/($F$535-$I$535)/(1+$F$535)^$N$3</f>
        <v>10674.1849174008</v>
      </c>
      <c r="Q539" s="15" t="n">
        <f aca="false">O539+P539</f>
        <v>17165.4689044216</v>
      </c>
      <c r="R539" s="15" t="n">
        <f aca="false">Q539-$G$2+$I$2</f>
        <v>15890.7989044216</v>
      </c>
      <c r="S539" s="42" t="n">
        <f aca="false">R539/$K$2</f>
        <v>446.74722812543</v>
      </c>
      <c r="T539" s="43" t="n">
        <f aca="false">S539-$M$2</f>
        <v>157.458501670553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-0.125</v>
      </c>
      <c r="C540" s="25" t="n">
        <f aca="false">IF(T539&gt;0,D539,C539)</f>
        <v>0.0625</v>
      </c>
      <c r="D540" s="41" t="n">
        <f aca="false">(B540+C540)/2</f>
        <v>-0.03125</v>
      </c>
      <c r="E540" s="15" t="n">
        <f aca="false">$C$2*(1+IF(E$3&lt;=$O$2,$D540,$D540-($D540-$I$535)*MIN(E$3-$O$2,$Q$2)/$Q$2))</f>
        <v>2402.5</v>
      </c>
      <c r="F540" s="15" t="n">
        <f aca="false">E540*(1+IF(F$3&lt;=$O$2,$D540,$D540-($D540-$I$535)*MIN(F$3-$O$2,$Q$2)/$Q$2))</f>
        <v>2327.421875</v>
      </c>
      <c r="G540" s="15" t="n">
        <f aca="false">F540*(1+IF(G$3&lt;=$O$2,$D540,$D540-($D540-$I$535)*MIN(G$3-$O$2,$Q$2)/$Q$2))</f>
        <v>2254.68994140625</v>
      </c>
      <c r="H540" s="15" t="n">
        <f aca="false">G540*(1+IF(H$3&lt;=$O$2,$D540,$D540-($D540-$I$535)*MIN(H$3-$O$2,$Q$2)/$Q$2))</f>
        <v>2184.2308807373</v>
      </c>
      <c r="I540" s="15" t="n">
        <f aca="false">H540*(1+IF(I$3&lt;=$O$2,$D540,$D540-($D540-$I$535)*MIN(I$3-$O$2,$Q$2)/$Q$2))</f>
        <v>2115.97366571426</v>
      </c>
      <c r="J540" s="15" t="n">
        <f aca="false">I540*(1+IF(J$3&lt;=$O$2,$D540,$D540-($D540-$I$535)*MIN(J$3-$O$2,$Q$2)/$Q$2))</f>
        <v>2077.16670868506</v>
      </c>
      <c r="K540" s="15" t="n">
        <f aca="false">J540*(1+IF(K$3&lt;=$O$2,$D540,$D540-($D540-$I$535)*MIN(K$3-$O$2,$Q$2)/$Q$2))</f>
        <v>2065.8876934569</v>
      </c>
      <c r="L540" s="15" t="n">
        <f aca="false">K540*(1+IF(L$3&lt;=$O$2,$D540,$D540-($D540-$I$535)*MIN(L$3-$O$2,$Q$2)/$Q$2))</f>
        <v>2081.34053340396</v>
      </c>
      <c r="M540" s="15" t="n">
        <f aca="false">L540*(1+IF(M$3&lt;=$O$2,$D540,$D540-($D540-$I$535)*MIN(M$3-$O$2,$Q$2)/$Q$2))</f>
        <v>2123.77906688007</v>
      </c>
      <c r="N540" s="15" t="n">
        <f aca="false">M540*(1+IF(N$3&lt;=$O$2,$D540,$D540-($D540-$I$535)*MIN(N$3-$O$2,$Q$2)/$Q$2))</f>
        <v>2194.50090980717</v>
      </c>
      <c r="O540" s="15" t="n">
        <f aca="false">SUMPRODUCT(E540:N540,1/(1+$F$535)^$E$3:$N$3)*$E$2</f>
        <v>4316.11830008544</v>
      </c>
      <c r="P540" s="15" t="n">
        <f aca="false">N540*$E$2*(1+$I$535)/($F$535-$I$535)/(1+$F$535)^$N$3</f>
        <v>5598.89141652043</v>
      </c>
      <c r="Q540" s="15" t="n">
        <f aca="false">O540+P540</f>
        <v>9915.00971660587</v>
      </c>
      <c r="R540" s="15" t="n">
        <f aca="false">Q540-$G$2+$I$2</f>
        <v>8640.33971660587</v>
      </c>
      <c r="S540" s="42" t="n">
        <f aca="false">R540/$K$2</f>
        <v>242.910871987795</v>
      </c>
      <c r="T540" s="43" t="n">
        <f aca="false">S540-$M$2</f>
        <v>-46.3778544670827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-0.03125</v>
      </c>
      <c r="C541" s="25" t="n">
        <f aca="false">IF(T540&gt;0,D540,C540)</f>
        <v>0.0625</v>
      </c>
      <c r="D541" s="41" t="n">
        <f aca="false">(B541+C541)/2</f>
        <v>0.015625</v>
      </c>
      <c r="E541" s="15" t="n">
        <f aca="false">$C$2*(1+IF(E$3&lt;=$O$2,$D541,$D541-($D541-$I$535)*MIN(E$3-$O$2,$Q$2)/$Q$2))</f>
        <v>2518.75</v>
      </c>
      <c r="F541" s="15" t="n">
        <f aca="false">E541*(1+IF(F$3&lt;=$O$2,$D541,$D541-($D541-$I$535)*MIN(F$3-$O$2,$Q$2)/$Q$2))</f>
        <v>2558.10546875</v>
      </c>
      <c r="G541" s="15" t="n">
        <f aca="false">F541*(1+IF(G$3&lt;=$O$2,$D541,$D541-($D541-$I$535)*MIN(G$3-$O$2,$Q$2)/$Q$2))</f>
        <v>2598.07586669922</v>
      </c>
      <c r="H541" s="15" t="n">
        <f aca="false">G541*(1+IF(H$3&lt;=$O$2,$D541,$D541-($D541-$I$535)*MIN(H$3-$O$2,$Q$2)/$Q$2))</f>
        <v>2638.67080211639</v>
      </c>
      <c r="I541" s="15" t="n">
        <f aca="false">H541*(1+IF(I$3&lt;=$O$2,$D541,$D541-($D541-$I$535)*MIN(I$3-$O$2,$Q$2)/$Q$2))</f>
        <v>2679.90003339946</v>
      </c>
      <c r="J541" s="15" t="n">
        <f aca="false">I541*(1+IF(J$3&lt;=$O$2,$D541,$D541-($D541-$I$535)*MIN(J$3-$O$2,$Q$2)/$Q$2))</f>
        <v>2731.2469180394</v>
      </c>
      <c r="K541" s="15" t="n">
        <f aca="false">J541*(1+IF(K$3&lt;=$O$2,$D541,$D541-($D541-$I$535)*MIN(K$3-$O$2,$Q$2)/$Q$2))</f>
        <v>2793.2325668443</v>
      </c>
      <c r="L541" s="15" t="n">
        <f aca="false">K541*(1+IF(L$3&lt;=$O$2,$D541,$D541-($D541-$I$535)*MIN(L$3-$O$2,$Q$2)/$Q$2))</f>
        <v>2866.49905707263</v>
      </c>
      <c r="M541" s="15" t="n">
        <f aca="false">L541*(1+IF(M$3&lt;=$O$2,$D541,$D541-($D541-$I$535)*MIN(M$3-$O$2,$Q$2)/$Q$2))</f>
        <v>2951.82040150639</v>
      </c>
      <c r="N541" s="15" t="n">
        <f aca="false">M541*(1+IF(N$3&lt;=$O$2,$D541,$D541-($D541-$I$535)*MIN(N$3-$O$2,$Q$2)/$Q$2))</f>
        <v>3050.11602087656</v>
      </c>
      <c r="O541" s="15" t="n">
        <f aca="false">SUMPRODUCT(E541:N541,1/(1+$F$535)^$E$3:$N$3)*$E$2</f>
        <v>5291.04513216359</v>
      </c>
      <c r="P541" s="15" t="n">
        <f aca="false">N541*$E$2*(1+$I$535)/($F$535-$I$535)/(1+$F$535)^$N$3</f>
        <v>7781.84612836535</v>
      </c>
      <c r="Q541" s="15" t="n">
        <f aca="false">O541+P541</f>
        <v>13072.8912605289</v>
      </c>
      <c r="R541" s="15" t="n">
        <f aca="false">Q541-$G$2+$I$2</f>
        <v>11798.2212605289</v>
      </c>
      <c r="S541" s="42" t="n">
        <f aca="false">R541/$K$2</f>
        <v>331.690223798958</v>
      </c>
      <c r="T541" s="43" t="n">
        <f aca="false">S541-$M$2</f>
        <v>42.4014973440805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-0.03125</v>
      </c>
      <c r="C542" s="25" t="n">
        <f aca="false">IF(T541&gt;0,D541,C541)</f>
        <v>0.015625</v>
      </c>
      <c r="D542" s="41" t="n">
        <f aca="false">(B542+C542)/2</f>
        <v>-0.0078125</v>
      </c>
      <c r="E542" s="15" t="n">
        <f aca="false">$C$2*(1+IF(E$3&lt;=$O$2,$D542,$D542-($D542-$I$535)*MIN(E$3-$O$2,$Q$2)/$Q$2))</f>
        <v>2460.625</v>
      </c>
      <c r="F542" s="15" t="n">
        <f aca="false">E542*(1+IF(F$3&lt;=$O$2,$D542,$D542-($D542-$I$535)*MIN(F$3-$O$2,$Q$2)/$Q$2))</f>
        <v>2441.4013671875</v>
      </c>
      <c r="G542" s="15" t="n">
        <f aca="false">F542*(1+IF(G$3&lt;=$O$2,$D542,$D542-($D542-$I$535)*MIN(G$3-$O$2,$Q$2)/$Q$2))</f>
        <v>2422.32791900635</v>
      </c>
      <c r="H542" s="15" t="n">
        <f aca="false">G542*(1+IF(H$3&lt;=$O$2,$D542,$D542-($D542-$I$535)*MIN(H$3-$O$2,$Q$2)/$Q$2))</f>
        <v>2403.40348213911</v>
      </c>
      <c r="I542" s="15" t="n">
        <f aca="false">H542*(1+IF(I$3&lt;=$O$2,$D542,$D542-($D542-$I$535)*MIN(I$3-$O$2,$Q$2)/$Q$2))</f>
        <v>2384.6268924349</v>
      </c>
      <c r="J542" s="15" t="n">
        <f aca="false">I542*(1+IF(J$3&lt;=$O$2,$D542,$D542-($D542-$I$535)*MIN(J$3-$O$2,$Q$2)/$Q$2))</f>
        <v>2385.6045894608</v>
      </c>
      <c r="K542" s="15" t="n">
        <f aca="false">J542*(1+IF(K$3&lt;=$O$2,$D542,$D542-($D542-$I$535)*MIN(K$3-$O$2,$Q$2)/$Q$2))</f>
        <v>2406.19832107932</v>
      </c>
      <c r="L542" s="15" t="n">
        <f aca="false">K542*(1+IF(L$3&lt;=$O$2,$D542,$D542-($D542-$I$535)*MIN(L$3-$O$2,$Q$2)/$Q$2))</f>
        <v>2446.75479378111</v>
      </c>
      <c r="M542" s="15" t="n">
        <f aca="false">L542*(1+IF(M$3&lt;=$O$2,$D542,$D542-($D542-$I$535)*MIN(M$3-$O$2,$Q$2)/$Q$2))</f>
        <v>2508.11328712216</v>
      </c>
      <c r="N542" s="15" t="n">
        <f aca="false">M542*(1+IF(N$3&lt;=$O$2,$D542,$D542-($D542-$I$535)*MIN(N$3-$O$2,$Q$2)/$Q$2))</f>
        <v>2591.63345958332</v>
      </c>
      <c r="O542" s="15" t="n">
        <f aca="false">SUMPRODUCT(E542:N542,1/(1+$F$535)^$E$3:$N$3)*$E$2</f>
        <v>4778.11913508108</v>
      </c>
      <c r="P542" s="15" t="n">
        <f aca="false">N542*$E$2*(1+$I$535)/($F$535-$I$535)/(1+$F$535)^$N$3</f>
        <v>6612.10677415632</v>
      </c>
      <c r="Q542" s="15" t="n">
        <f aca="false">O542+P542</f>
        <v>11390.2259092374</v>
      </c>
      <c r="R542" s="15" t="n">
        <f aca="false">Q542-$G$2+$I$2</f>
        <v>10115.5559092374</v>
      </c>
      <c r="S542" s="42" t="n">
        <f aca="false">R542/$K$2</f>
        <v>284.384478752809</v>
      </c>
      <c r="T542" s="43" t="n">
        <f aca="false">S542-$M$2</f>
        <v>-4.90424770206914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-0.0078125</v>
      </c>
      <c r="C543" s="25" t="n">
        <f aca="false">IF(T542&gt;0,D542,C542)</f>
        <v>0.015625</v>
      </c>
      <c r="D543" s="41" t="n">
        <f aca="false">(B543+C543)/2</f>
        <v>0.00390625</v>
      </c>
      <c r="E543" s="15" t="n">
        <f aca="false">$C$2*(1+IF(E$3&lt;=$O$2,$D543,$D543-($D543-$I$535)*MIN(E$3-$O$2,$Q$2)/$Q$2))</f>
        <v>2489.6875</v>
      </c>
      <c r="F543" s="15" t="n">
        <f aca="false">E543*(1+IF(F$3&lt;=$O$2,$D543,$D543-($D543-$I$535)*MIN(F$3-$O$2,$Q$2)/$Q$2))</f>
        <v>2499.41284179688</v>
      </c>
      <c r="G543" s="15" t="n">
        <f aca="false">F543*(1+IF(G$3&lt;=$O$2,$D543,$D543-($D543-$I$535)*MIN(G$3-$O$2,$Q$2)/$Q$2))</f>
        <v>2509.17617321014</v>
      </c>
      <c r="H543" s="15" t="n">
        <f aca="false">G543*(1+IF(H$3&lt;=$O$2,$D543,$D543-($D543-$I$535)*MIN(H$3-$O$2,$Q$2)/$Q$2))</f>
        <v>2518.97764263675</v>
      </c>
      <c r="I543" s="15" t="n">
        <f aca="false">H543*(1+IF(I$3&lt;=$O$2,$D543,$D543-($D543-$I$535)*MIN(I$3-$O$2,$Q$2)/$Q$2))</f>
        <v>2528.8173990533</v>
      </c>
      <c r="J543" s="15" t="n">
        <f aca="false">I543*(1+IF(J$3&lt;=$O$2,$D543,$D543-($D543-$I$535)*MIN(J$3-$O$2,$Q$2)/$Q$2))</f>
        <v>2553.56187730303</v>
      </c>
      <c r="K543" s="15" t="n">
        <f aca="false">J543*(1+IF(K$3&lt;=$O$2,$D543,$D543-($D543-$I$535)*MIN(K$3-$O$2,$Q$2)/$Q$2))</f>
        <v>2593.56023215864</v>
      </c>
      <c r="L543" s="15" t="n">
        <f aca="false">K543*(1+IF(L$3&lt;=$O$2,$D543,$D543-($D543-$I$535)*MIN(L$3-$O$2,$Q$2)/$Q$2))</f>
        <v>2649.43200345992</v>
      </c>
      <c r="M543" s="15" t="n">
        <f aca="false">L543*(1+IF(M$3&lt;=$O$2,$D543,$D543-($D543-$I$535)*MIN(M$3-$O$2,$Q$2)/$Q$2))</f>
        <v>2722.08274078479</v>
      </c>
      <c r="N543" s="15" t="n">
        <f aca="false">M543*(1+IF(N$3&lt;=$O$2,$D543,$D543-($D543-$I$535)*MIN(N$3-$O$2,$Q$2)/$Q$2))</f>
        <v>2812.72809605292</v>
      </c>
      <c r="O543" s="15" t="n">
        <f aca="false">SUMPRODUCT(E543:N543,1/(1+$F$535)^$E$3:$N$3)*$E$2</f>
        <v>5027.89686340411</v>
      </c>
      <c r="P543" s="15" t="n">
        <f aca="false">N543*$E$2*(1+$I$535)/($F$535-$I$535)/(1+$F$535)^$N$3</f>
        <v>7176.19169061102</v>
      </c>
      <c r="Q543" s="15" t="n">
        <f aca="false">O543+P543</f>
        <v>12204.0885540151</v>
      </c>
      <c r="R543" s="15" t="n">
        <f aca="false">Q543-$G$2+$I$2</f>
        <v>10929.4185540151</v>
      </c>
      <c r="S543" s="42" t="n">
        <f aca="false">R543/$K$2</f>
        <v>307.265070396827</v>
      </c>
      <c r="T543" s="43" t="n">
        <f aca="false">S543-$M$2</f>
        <v>17.9763439419491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-0.0078125</v>
      </c>
      <c r="C544" s="25" t="n">
        <f aca="false">IF(T543&gt;0,D543,C543)</f>
        <v>0.00390625</v>
      </c>
      <c r="D544" s="41" t="n">
        <f aca="false">(B544+C544)/2</f>
        <v>-0.001953125</v>
      </c>
      <c r="E544" s="15" t="n">
        <f aca="false">$C$2*(1+IF(E$3&lt;=$O$2,$D544,$D544-($D544-$I$535)*MIN(E$3-$O$2,$Q$2)/$Q$2))</f>
        <v>2475.15625</v>
      </c>
      <c r="F544" s="15" t="n">
        <f aca="false">E544*(1+IF(F$3&lt;=$O$2,$D544,$D544-($D544-$I$535)*MIN(F$3-$O$2,$Q$2)/$Q$2))</f>
        <v>2470.32196044922</v>
      </c>
      <c r="G544" s="15" t="n">
        <f aca="false">F544*(1+IF(G$3&lt;=$O$2,$D544,$D544-($D544-$I$535)*MIN(G$3-$O$2,$Q$2)/$Q$2))</f>
        <v>2465.49711287022</v>
      </c>
      <c r="H544" s="15" t="n">
        <f aca="false">G544*(1+IF(H$3&lt;=$O$2,$D544,$D544-($D544-$I$535)*MIN(H$3-$O$2,$Q$2)/$Q$2))</f>
        <v>2460.68168882164</v>
      </c>
      <c r="I544" s="15" t="n">
        <f aca="false">H544*(1+IF(I$3&lt;=$O$2,$D544,$D544-($D544-$I$535)*MIN(I$3-$O$2,$Q$2)/$Q$2))</f>
        <v>2455.87566989816</v>
      </c>
      <c r="J544" s="15" t="n">
        <f aca="false">I544*(1+IF(J$3&lt;=$O$2,$D544,$D544-($D544-$I$535)*MIN(J$3-$O$2,$Q$2)/$Q$2))</f>
        <v>2468.39449612547</v>
      </c>
      <c r="K544" s="15" t="n">
        <f aca="false">J544*(1+IF(K$3&lt;=$O$2,$D544,$D544-($D544-$I$535)*MIN(K$3-$O$2,$Q$2)/$Q$2))</f>
        <v>2498.38086101371</v>
      </c>
      <c r="L544" s="15" t="n">
        <f aca="false">K544*(1+IF(L$3&lt;=$O$2,$D544,$D544-($D544-$I$535)*MIN(L$3-$O$2,$Q$2)/$Q$2))</f>
        <v>2546.3466505691</v>
      </c>
      <c r="M544" s="15" t="n">
        <f aca="false">L544*(1+IF(M$3&lt;=$O$2,$D544,$D544-($D544-$I$535)*MIN(M$3-$O$2,$Q$2)/$Q$2))</f>
        <v>2613.18665867988</v>
      </c>
      <c r="N544" s="15" t="n">
        <f aca="false">M544*(1+IF(N$3&lt;=$O$2,$D544,$D544-($D544-$I$535)*MIN(N$3-$O$2,$Q$2)/$Q$2))</f>
        <v>2700.20577441392</v>
      </c>
      <c r="O544" s="15" t="n">
        <f aca="false">SUMPRODUCT(E544:N544,1/(1+$F$535)^$E$3:$N$3)*$E$2</f>
        <v>4901.37771925028</v>
      </c>
      <c r="P544" s="15" t="n">
        <f aca="false">N544*$E$2*(1+$I$535)/($F$535-$I$535)/(1+$F$535)^$N$3</f>
        <v>6889.11035107905</v>
      </c>
      <c r="Q544" s="15" t="n">
        <f aca="false">O544+P544</f>
        <v>11790.4880703293</v>
      </c>
      <c r="R544" s="15" t="n">
        <f aca="false">Q544-$G$2+$I$2</f>
        <v>10515.8180703293</v>
      </c>
      <c r="S544" s="42" t="n">
        <f aca="false">R544/$K$2</f>
        <v>295.637280582776</v>
      </c>
      <c r="T544" s="43" t="n">
        <f aca="false">S544-$M$2</f>
        <v>6.34855412789801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-0.0078125</v>
      </c>
      <c r="C545" s="25" t="n">
        <f aca="false">IF(T544&gt;0,D544,C544)</f>
        <v>-0.001953125</v>
      </c>
      <c r="D545" s="41" t="n">
        <f aca="false">(B545+C545)/2</f>
        <v>-0.0048828125</v>
      </c>
      <c r="E545" s="15" t="n">
        <f aca="false">$C$2*(1+IF(E$3&lt;=$O$2,$D545,$D545-($D545-$I$535)*MIN(E$3-$O$2,$Q$2)/$Q$2))</f>
        <v>2467.890625</v>
      </c>
      <c r="F545" s="15" t="n">
        <f aca="false">E545*(1+IF(F$3&lt;=$O$2,$D545,$D545-($D545-$I$535)*MIN(F$3-$O$2,$Q$2)/$Q$2))</f>
        <v>2455.84037780762</v>
      </c>
      <c r="G545" s="15" t="n">
        <f aca="false">F545*(1+IF(G$3&lt;=$O$2,$D545,$D545-($D545-$I$535)*MIN(G$3-$O$2,$Q$2)/$Q$2))</f>
        <v>2443.84896971285</v>
      </c>
      <c r="H545" s="15" t="n">
        <f aca="false">G545*(1+IF(H$3&lt;=$O$2,$D545,$D545-($D545-$I$535)*MIN(H$3-$O$2,$Q$2)/$Q$2))</f>
        <v>2431.91611341543</v>
      </c>
      <c r="I545" s="15" t="n">
        <f aca="false">H545*(1+IF(I$3&lt;=$O$2,$D545,$D545-($D545-$I$535)*MIN(I$3-$O$2,$Q$2)/$Q$2))</f>
        <v>2420.04152301789</v>
      </c>
      <c r="J545" s="15" t="n">
        <f aca="false">I545*(1+IF(J$3&lt;=$O$2,$D545,$D545-($D545-$I$535)*MIN(J$3-$O$2,$Q$2)/$Q$2))</f>
        <v>2426.7057123619</v>
      </c>
      <c r="K545" s="15" t="n">
        <f aca="false">J545*(1+IF(K$3&lt;=$O$2,$D545,$D545-($D545-$I$535)*MIN(K$3-$O$2,$Q$2)/$Q$2))</f>
        <v>2451.91994305888</v>
      </c>
      <c r="L545" s="15" t="n">
        <f aca="false">K545*(1+IF(L$3&lt;=$O$2,$D545,$D545-($D545-$I$535)*MIN(L$3-$O$2,$Q$2)/$Q$2))</f>
        <v>2496.12039738241</v>
      </c>
      <c r="M545" s="15" t="n">
        <f aca="false">L545*(1+IF(M$3&lt;=$O$2,$D545,$D545-($D545-$I$535)*MIN(M$3-$O$2,$Q$2)/$Q$2))</f>
        <v>2560.17942719311</v>
      </c>
      <c r="N545" s="15" t="n">
        <f aca="false">M545*(1+IF(N$3&lt;=$O$2,$D545,$D545-($D545-$I$535)*MIN(N$3-$O$2,$Q$2)/$Q$2))</f>
        <v>2645.43340211864</v>
      </c>
      <c r="O545" s="15" t="n">
        <f aca="false">SUMPRODUCT(E545:N545,1/(1+$F$535)^$E$3:$N$3)*$E$2</f>
        <v>4839.34589044585</v>
      </c>
      <c r="P545" s="15" t="n">
        <f aca="false">N545*$E$2*(1+$I$535)/($F$535-$I$535)/(1+$F$535)^$N$3</f>
        <v>6749.36806902483</v>
      </c>
      <c r="Q545" s="15" t="n">
        <f aca="false">O545+P545</f>
        <v>11588.7139594707</v>
      </c>
      <c r="R545" s="15" t="n">
        <f aca="false">Q545-$G$2+$I$2</f>
        <v>10314.0439594707</v>
      </c>
      <c r="S545" s="42" t="n">
        <f aca="false">R545/$K$2</f>
        <v>289.964688205529</v>
      </c>
      <c r="T545" s="43" t="n">
        <f aca="false">S545-$M$2</f>
        <v>0.675961750651652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-0.0078125</v>
      </c>
      <c r="C546" s="25" t="n">
        <f aca="false">IF(T545&gt;0,D545,C545)</f>
        <v>-0.0048828125</v>
      </c>
      <c r="D546" s="41" t="n">
        <f aca="false">(B546+C546)/2</f>
        <v>-0.00634765625</v>
      </c>
      <c r="E546" s="15" t="n">
        <f aca="false">$C$2*(1+IF(E$3&lt;=$O$2,$D546,$D546-($D546-$I$535)*MIN(E$3-$O$2,$Q$2)/$Q$2))</f>
        <v>2464.2578125</v>
      </c>
      <c r="F546" s="15" t="n">
        <f aca="false">E546*(1+IF(F$3&lt;=$O$2,$D546,$D546-($D546-$I$535)*MIN(F$3-$O$2,$Q$2)/$Q$2))</f>
        <v>2448.61555099487</v>
      </c>
      <c r="G546" s="15" t="n">
        <f aca="false">F546*(1+IF(G$3&lt;=$O$2,$D546,$D546-($D546-$I$535)*MIN(G$3-$O$2,$Q$2)/$Q$2))</f>
        <v>2433.07258118875</v>
      </c>
      <c r="H546" s="15" t="n">
        <f aca="false">G546*(1+IF(H$3&lt;=$O$2,$D546,$D546-($D546-$I$535)*MIN(H$3-$O$2,$Q$2)/$Q$2))</f>
        <v>2417.62827281207</v>
      </c>
      <c r="I546" s="15" t="n">
        <f aca="false">H546*(1+IF(I$3&lt;=$O$2,$D546,$D546-($D546-$I$535)*MIN(I$3-$O$2,$Q$2)/$Q$2))</f>
        <v>2402.28199959597</v>
      </c>
      <c r="J546" s="15" t="n">
        <f aca="false">I546*(1+IF(J$3&lt;=$O$2,$D546,$D546-($D546-$I$535)*MIN(J$3-$O$2,$Q$2)/$Q$2))</f>
        <v>2406.08210943409</v>
      </c>
      <c r="K546" s="15" t="n">
        <f aca="false">J546*(1+IF(K$3&lt;=$O$2,$D546,$D546-($D546-$I$535)*MIN(K$3-$O$2,$Q$2)/$Q$2))</f>
        <v>2428.96733384777</v>
      </c>
      <c r="L546" s="15" t="n">
        <f aca="false">K546*(1+IF(L$3&lt;=$O$2,$D546,$D546-($D546-$I$535)*MIN(L$3-$O$2,$Q$2)/$Q$2))</f>
        <v>2471.33080130695</v>
      </c>
      <c r="M546" s="15" t="n">
        <f aca="false">L546*(1+IF(M$3&lt;=$O$2,$D546,$D546-($D546-$I$535)*MIN(M$3-$O$2,$Q$2)/$Q$2))</f>
        <v>2534.02962217242</v>
      </c>
      <c r="N546" s="15" t="n">
        <f aca="false">M546*(1+IF(N$3&lt;=$O$2,$D546,$D546-($D546-$I$535)*MIN(N$3-$O$2,$Q$2)/$Q$2))</f>
        <v>2618.41280859076</v>
      </c>
      <c r="O546" s="15" t="n">
        <f aca="false">SUMPRODUCT(E546:N546,1/(1+$F$535)^$E$3:$N$3)*$E$2</f>
        <v>4808.63250179761</v>
      </c>
      <c r="P546" s="15" t="n">
        <f aca="false">N546*$E$2*(1+$I$535)/($F$535-$I$535)/(1+$F$535)^$N$3</f>
        <v>6680.42967465169</v>
      </c>
      <c r="Q546" s="15" t="n">
        <f aca="false">O546+P546</f>
        <v>11489.0621764493</v>
      </c>
      <c r="R546" s="15" t="n">
        <f aca="false">Q546-$G$2+$I$2</f>
        <v>10214.3921764493</v>
      </c>
      <c r="S546" s="42" t="n">
        <f aca="false">R546/$K$2</f>
        <v>287.163119945159</v>
      </c>
      <c r="T546" s="43" t="n">
        <f aca="false">S546-$M$2</f>
        <v>-2.12560650971892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-0.00634765625</v>
      </c>
      <c r="C547" s="25" t="n">
        <f aca="false">IF(T546&gt;0,D546,C546)</f>
        <v>-0.0048828125</v>
      </c>
      <c r="D547" s="41" t="n">
        <f aca="false">(B547+C547)/2</f>
        <v>-0.005615234375</v>
      </c>
      <c r="E547" s="15" t="n">
        <f aca="false">$C$2*(1+IF(E$3&lt;=$O$2,$D547,$D547-($D547-$I$535)*MIN(E$3-$O$2,$Q$2)/$Q$2))</f>
        <v>2466.07421875</v>
      </c>
      <c r="F547" s="15" t="n">
        <f aca="false">E547*(1+IF(F$3&lt;=$O$2,$D547,$D547-($D547-$I$535)*MIN(F$3-$O$2,$Q$2)/$Q$2))</f>
        <v>2452.22663402557</v>
      </c>
      <c r="G547" s="15" t="n">
        <f aca="false">F547*(1+IF(G$3&lt;=$O$2,$D547,$D547-($D547-$I$535)*MIN(G$3-$O$2,$Q$2)/$Q$2))</f>
        <v>2438.4568067349</v>
      </c>
      <c r="H547" s="15" t="n">
        <f aca="false">G547*(1+IF(H$3&lt;=$O$2,$D547,$D547-($D547-$I$535)*MIN(H$3-$O$2,$Q$2)/$Q$2))</f>
        <v>2424.76430025177</v>
      </c>
      <c r="I547" s="15" t="n">
        <f aca="false">H547*(1+IF(I$3&lt;=$O$2,$D547,$D547-($D547-$I$535)*MIN(I$3-$O$2,$Q$2)/$Q$2))</f>
        <v>2411.14868040173</v>
      </c>
      <c r="J547" s="15" t="n">
        <f aca="false">I547*(1+IF(J$3&lt;=$O$2,$D547,$D547-($D547-$I$535)*MIN(J$3-$O$2,$Q$2)/$Q$2))</f>
        <v>2416.37559865046</v>
      </c>
      <c r="K547" s="15" t="n">
        <f aca="false">J547*(1+IF(K$3&lt;=$O$2,$D547,$D547-($D547-$I$535)*MIN(K$3-$O$2,$Q$2)/$Q$2))</f>
        <v>2440.42061242981</v>
      </c>
      <c r="L547" s="15" t="n">
        <f aca="false">K547*(1+IF(L$3&lt;=$O$2,$D547,$D547-($D547-$I$535)*MIN(L$3-$O$2,$Q$2)/$Q$2))</f>
        <v>2483.69880278121</v>
      </c>
      <c r="M547" s="15" t="n">
        <f aca="false">L547*(1+IF(M$3&lt;=$O$2,$D547,$D547-($D547-$I$535)*MIN(M$3-$O$2,$Q$2)/$Q$2))</f>
        <v>2547.0752287084</v>
      </c>
      <c r="N547" s="15" t="n">
        <f aca="false">M547*(1+IF(N$3&lt;=$O$2,$D547,$D547-($D547-$I$535)*MIN(N$3-$O$2,$Q$2)/$Q$2))</f>
        <v>2631.89283382439</v>
      </c>
      <c r="O547" s="15" t="n">
        <f aca="false">SUMPRODUCT(E547:N547,1/(1+$F$535)^$E$3:$N$3)*$E$2</f>
        <v>4823.9641157424</v>
      </c>
      <c r="P547" s="15" t="n">
        <f aca="false">N547*$E$2*(1+$I$535)/($F$535-$I$535)/(1+$F$535)^$N$3</f>
        <v>6714.82163923813</v>
      </c>
      <c r="Q547" s="15" t="n">
        <f aca="false">O547+P547</f>
        <v>11538.7857549805</v>
      </c>
      <c r="R547" s="15" t="n">
        <f aca="false">Q547-$G$2+$I$2</f>
        <v>10264.1157549805</v>
      </c>
      <c r="S547" s="42" t="n">
        <f aca="false">R547/$K$2</f>
        <v>288.561027691328</v>
      </c>
      <c r="T547" s="43" t="n">
        <f aca="false">S547-$M$2</f>
        <v>-0.727698763550052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-0.005615234375</v>
      </c>
      <c r="C548" s="25" t="n">
        <f aca="false">IF(T547&gt;0,D547,C547)</f>
        <v>-0.0048828125</v>
      </c>
      <c r="D548" s="41" t="n">
        <f aca="false">(B548+C548)/2</f>
        <v>-0.0052490234375</v>
      </c>
      <c r="E548" s="15" t="n">
        <f aca="false">$C$2*(1+IF(E$3&lt;=$O$2,$D548,$D548-($D548-$I$535)*MIN(E$3-$O$2,$Q$2)/$Q$2))</f>
        <v>2466.982421875</v>
      </c>
      <c r="F548" s="15" t="n">
        <f aca="false">E548*(1+IF(F$3&lt;=$O$2,$D548,$D548-($D548-$I$535)*MIN(F$3-$O$2,$Q$2)/$Q$2))</f>
        <v>2454.03317332268</v>
      </c>
      <c r="G548" s="15" t="n">
        <f aca="false">F548*(1+IF(G$3&lt;=$O$2,$D548,$D548-($D548-$I$535)*MIN(G$3-$O$2,$Q$2)/$Q$2))</f>
        <v>2441.1518956795</v>
      </c>
      <c r="H548" s="15" t="n">
        <f aca="false">G548*(1+IF(H$3&lt;=$O$2,$D548,$D548-($D548-$I$535)*MIN(H$3-$O$2,$Q$2)/$Q$2))</f>
        <v>2428.33823216459</v>
      </c>
      <c r="I548" s="15" t="n">
        <f aca="false">H548*(1+IF(I$3&lt;=$O$2,$D548,$D548-($D548-$I$535)*MIN(I$3-$O$2,$Q$2)/$Q$2))</f>
        <v>2415.59182786978</v>
      </c>
      <c r="J548" s="15" t="n">
        <f aca="false">I548*(1+IF(J$3&lt;=$O$2,$D548,$D548-($D548-$I$535)*MIN(J$3-$O$2,$Q$2)/$Q$2))</f>
        <v>2421.53607094745</v>
      </c>
      <c r="K548" s="15" t="n">
        <f aca="false">J548*(1+IF(K$3&lt;=$O$2,$D548,$D548-($D548-$I$535)*MIN(K$3-$O$2,$Q$2)/$Q$2))</f>
        <v>2446.16451165778</v>
      </c>
      <c r="L548" s="15" t="n">
        <f aca="false">K548*(1+IF(L$3&lt;=$O$2,$D548,$D548-($D548-$I$535)*MIN(L$3-$O$2,$Q$2)/$Q$2))</f>
        <v>2489.90288865923</v>
      </c>
      <c r="M548" s="15" t="n">
        <f aca="false">L548*(1+IF(M$3&lt;=$O$2,$D548,$D548-($D548-$I$535)*MIN(M$3-$O$2,$Q$2)/$Q$2))</f>
        <v>2553.61998988918</v>
      </c>
      <c r="N548" s="15" t="n">
        <f aca="false">M548*(1+IF(N$3&lt;=$O$2,$D548,$D548-($D548-$I$535)*MIN(N$3-$O$2,$Q$2)/$Q$2))</f>
        <v>2638.65553555249</v>
      </c>
      <c r="O548" s="15" t="n">
        <f aca="false">SUMPRODUCT(E548:N548,1/(1+$F$535)^$E$3:$N$3)*$E$2</f>
        <v>4831.64872327151</v>
      </c>
      <c r="P548" s="15" t="n">
        <f aca="false">N548*$E$2*(1+$I$535)/($F$535-$I$535)/(1+$F$535)^$N$3</f>
        <v>6732.07550889421</v>
      </c>
      <c r="Q548" s="15" t="n">
        <f aca="false">O548+P548</f>
        <v>11563.7242321657</v>
      </c>
      <c r="R548" s="15" t="n">
        <f aca="false">Q548-$G$2+$I$2</f>
        <v>10289.0542321657</v>
      </c>
      <c r="S548" s="42" t="n">
        <f aca="false">R548/$K$2</f>
        <v>289.262137536287</v>
      </c>
      <c r="T548" s="43" t="n">
        <f aca="false">S548-$M$2</f>
        <v>-0.0265889185907895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-0.0052490234375</v>
      </c>
      <c r="C549" s="25" t="n">
        <f aca="false">IF(T548&gt;0,D548,C548)</f>
        <v>-0.0048828125</v>
      </c>
      <c r="D549" s="41" t="n">
        <f aca="false">(B549+C549)/2</f>
        <v>-0.00506591796875</v>
      </c>
      <c r="E549" s="15" t="n">
        <f aca="false">$C$2*(1+IF(E$3&lt;=$O$2,$D549,$D549-($D549-$I$535)*MIN(E$3-$O$2,$Q$2)/$Q$2))</f>
        <v>2467.4365234375</v>
      </c>
      <c r="F549" s="15" t="n">
        <f aca="false">E549*(1+IF(F$3&lt;=$O$2,$D549,$D549-($D549-$I$535)*MIN(F$3-$O$2,$Q$2)/$Q$2))</f>
        <v>2454.93669241667</v>
      </c>
      <c r="G549" s="15" t="n">
        <f aca="false">F549*(1+IF(G$3&lt;=$O$2,$D549,$D549-($D549-$I$535)*MIN(G$3-$O$2,$Q$2)/$Q$2))</f>
        <v>2442.50018451441</v>
      </c>
      <c r="H549" s="15" t="n">
        <f aca="false">G549*(1+IF(H$3&lt;=$O$2,$D549,$D549-($D549-$I$535)*MIN(H$3-$O$2,$Q$2)/$Q$2))</f>
        <v>2430.126678941</v>
      </c>
      <c r="I549" s="15" t="n">
        <f aca="false">H549*(1+IF(I$3&lt;=$O$2,$D549,$D549-($D549-$I$535)*MIN(I$3-$O$2,$Q$2)/$Q$2))</f>
        <v>2417.81585653182</v>
      </c>
      <c r="J549" s="15" t="n">
        <f aca="false">I549*(1+IF(J$3&lt;=$O$2,$D549,$D549-($D549-$I$535)*MIN(J$3-$O$2,$Q$2)/$Q$2))</f>
        <v>2424.11974470213</v>
      </c>
      <c r="K549" s="15" t="n">
        <f aca="false">J549*(1+IF(K$3&lt;=$O$2,$D549,$D549-($D549-$I$535)*MIN(K$3-$O$2,$Q$2)/$Q$2))</f>
        <v>2449.04078463771</v>
      </c>
      <c r="L549" s="15" t="n">
        <f aca="false">K549*(1+IF(L$3&lt;=$O$2,$D549,$D549-($D549-$I$535)*MIN(L$3-$O$2,$Q$2)/$Q$2))</f>
        <v>2493.00996362794</v>
      </c>
      <c r="M549" s="15" t="n">
        <f aca="false">L549*(1+IF(M$3&lt;=$O$2,$D549,$D549-($D549-$I$535)*MIN(M$3-$O$2,$Q$2)/$Q$2))</f>
        <v>2556.89787226478</v>
      </c>
      <c r="N549" s="15" t="n">
        <f aca="false">M549*(1+IF(N$3&lt;=$O$2,$D549,$D549-($D549-$I$535)*MIN(N$3-$O$2,$Q$2)/$Q$2))</f>
        <v>2642.0425714112</v>
      </c>
      <c r="O549" s="15" t="n">
        <f aca="false">SUMPRODUCT(E549:N549,1/(1+$F$535)^$E$3:$N$3)*$E$2</f>
        <v>4835.49573568562</v>
      </c>
      <c r="P549" s="15" t="n">
        <f aca="false">N549*$E$2*(1+$I$535)/($F$535-$I$535)/(1+$F$535)^$N$3</f>
        <v>6740.71694800778</v>
      </c>
      <c r="Q549" s="15" t="n">
        <f aca="false">O549+P549</f>
        <v>11576.2126836934</v>
      </c>
      <c r="R549" s="15" t="n">
        <f aca="false">Q549-$G$2+$I$2</f>
        <v>10301.5426836934</v>
      </c>
      <c r="S549" s="42" t="n">
        <f aca="false">R549/$K$2</f>
        <v>289.613232603132</v>
      </c>
      <c r="T549" s="43" t="n">
        <f aca="false">S549-$M$2</f>
        <v>0.324506148254102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-0.0052490234375</v>
      </c>
      <c r="C550" s="25" t="n">
        <f aca="false">IF(T549&gt;0,D549,C549)</f>
        <v>-0.00506591796875</v>
      </c>
      <c r="D550" s="41" t="n">
        <f aca="false">(B550+C550)/2</f>
        <v>-0.005157470703125</v>
      </c>
      <c r="E550" s="15" t="n">
        <f aca="false">$C$2*(1+IF(E$3&lt;=$O$2,$D550,$D550-($D550-$I$535)*MIN(E$3-$O$2,$Q$2)/$Q$2))</f>
        <v>2467.20947265625</v>
      </c>
      <c r="F550" s="15" t="n">
        <f aca="false">E550*(1+IF(F$3&lt;=$O$2,$D550,$D550-($D550-$I$535)*MIN(F$3-$O$2,$Q$2)/$Q$2))</f>
        <v>2454.48491208255</v>
      </c>
      <c r="G550" s="15" t="n">
        <f aca="false">F550*(1+IF(G$3&lt;=$O$2,$D550,$D550-($D550-$I$535)*MIN(G$3-$O$2,$Q$2)/$Q$2))</f>
        <v>2441.82597805723</v>
      </c>
      <c r="H550" s="15" t="n">
        <f aca="false">G550*(1+IF(H$3&lt;=$O$2,$D550,$D550-($D550-$I$535)*MIN(H$3-$O$2,$Q$2)/$Q$2))</f>
        <v>2429.23233211327</v>
      </c>
      <c r="I550" s="15" t="n">
        <f aca="false">H550*(1+IF(I$3&lt;=$O$2,$D550,$D550-($D550-$I$535)*MIN(I$3-$O$2,$Q$2)/$Q$2))</f>
        <v>2416.70363752931</v>
      </c>
      <c r="J550" s="15" t="n">
        <f aca="false">I550*(1+IF(J$3&lt;=$O$2,$D550,$D550-($D550-$I$535)*MIN(J$3-$O$2,$Q$2)/$Q$2))</f>
        <v>2422.8276211883</v>
      </c>
      <c r="K550" s="15" t="n">
        <f aca="false">J550*(1+IF(K$3&lt;=$O$2,$D550,$D550-($D550-$I$535)*MIN(K$3-$O$2,$Q$2)/$Q$2))</f>
        <v>2447.60228761753</v>
      </c>
      <c r="L550" s="15" t="n">
        <f aca="false">K550*(1+IF(L$3&lt;=$O$2,$D550,$D550-($D550-$I$535)*MIN(L$3-$O$2,$Q$2)/$Q$2))</f>
        <v>2491.45600648761</v>
      </c>
      <c r="M550" s="15" t="n">
        <f aca="false">L550*(1+IF(M$3&lt;=$O$2,$D550,$D550-($D550-$I$535)*MIN(M$3-$O$2,$Q$2)/$Q$2))</f>
        <v>2555.25847222812</v>
      </c>
      <c r="N550" s="15" t="n">
        <f aca="false">M550*(1+IF(N$3&lt;=$O$2,$D550,$D550-($D550-$I$535)*MIN(N$3-$O$2,$Q$2)/$Q$2))</f>
        <v>2640.34857935332</v>
      </c>
      <c r="O550" s="15" t="n">
        <f aca="false">SUMPRODUCT(E550:N550,1/(1+$F$535)^$E$3:$N$3)*$E$2</f>
        <v>4833.57183683754</v>
      </c>
      <c r="P550" s="15" t="n">
        <f aca="false">N550*$E$2*(1+$I$535)/($F$535-$I$535)/(1+$F$535)^$N$3</f>
        <v>6736.39501879366</v>
      </c>
      <c r="Q550" s="15" t="n">
        <f aca="false">O550+P550</f>
        <v>11569.9668556312</v>
      </c>
      <c r="R550" s="15" t="n">
        <f aca="false">Q550-$G$2+$I$2</f>
        <v>10295.2968556312</v>
      </c>
      <c r="S550" s="42" t="n">
        <f aca="false">R550/$K$2</f>
        <v>289.437640023368</v>
      </c>
      <c r="T550" s="43" t="n">
        <f aca="false">S550-$M$2</f>
        <v>0.148913568490173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-0.0052490234375</v>
      </c>
      <c r="C551" s="25" t="n">
        <f aca="false">IF(T550&gt;0,D550,C550)</f>
        <v>-0.005157470703125</v>
      </c>
      <c r="D551" s="41" t="n">
        <f aca="false">(B551+C551)/2</f>
        <v>-0.0052032470703125</v>
      </c>
      <c r="E551" s="15" t="n">
        <f aca="false">$C$2*(1+IF(E$3&lt;=$O$2,$D551,$D551-($D551-$I$535)*MIN(E$3-$O$2,$Q$2)/$Q$2))</f>
        <v>2467.09594726563</v>
      </c>
      <c r="F551" s="15" t="n">
        <f aca="false">E551*(1+IF(F$3&lt;=$O$2,$D551,$D551-($D551-$I$535)*MIN(F$3-$O$2,$Q$2)/$Q$2))</f>
        <v>2454.25903750584</v>
      </c>
      <c r="G551" s="15" t="n">
        <f aca="false">F551*(1+IF(G$3&lt;=$O$2,$D551,$D551-($D551-$I$535)*MIN(G$3-$O$2,$Q$2)/$Q$2))</f>
        <v>2441.48892135915</v>
      </c>
      <c r="H551" s="15" t="n">
        <f aca="false">G551*(1+IF(H$3&lt;=$O$2,$D551,$D551-($D551-$I$535)*MIN(H$3-$O$2,$Q$2)/$Q$2))</f>
        <v>2428.78525128188</v>
      </c>
      <c r="I551" s="15" t="n">
        <f aca="false">H551*(1+IF(I$3&lt;=$O$2,$D551,$D551-($D551-$I$535)*MIN(I$3-$O$2,$Q$2)/$Q$2))</f>
        <v>2416.14768153873</v>
      </c>
      <c r="J551" s="15" t="n">
        <f aca="false">I551*(1+IF(J$3&lt;=$O$2,$D551,$D551-($D551-$I$535)*MIN(J$3-$O$2,$Q$2)/$Q$2))</f>
        <v>2422.18177442145</v>
      </c>
      <c r="K551" s="15" t="n">
        <f aca="false">J551*(1+IF(K$3&lt;=$O$2,$D551,$D551-($D551-$I$535)*MIN(K$3-$O$2,$Q$2)/$Q$2))</f>
        <v>2446.88330952383</v>
      </c>
      <c r="L551" s="15" t="n">
        <f aca="false">K551*(1+IF(L$3&lt;=$O$2,$D551,$D551-($D551-$I$535)*MIN(L$3-$O$2,$Q$2)/$Q$2))</f>
        <v>2490.67934268345</v>
      </c>
      <c r="M551" s="15" t="n">
        <f aca="false">L551*(1+IF(M$3&lt;=$O$2,$D551,$D551-($D551-$I$535)*MIN(M$3-$O$2,$Q$2)/$Q$2))</f>
        <v>2554.43911637395</v>
      </c>
      <c r="N551" s="15" t="n">
        <f aca="false">M551*(1+IF(N$3&lt;=$O$2,$D551,$D551-($D551-$I$535)*MIN(N$3-$O$2,$Q$2)/$Q$2))</f>
        <v>2639.50193894921</v>
      </c>
      <c r="O551" s="15" t="n">
        <f aca="false">SUMPRODUCT(E551:N551,1/(1+$F$535)^$E$3:$N$3)*$E$2</f>
        <v>4832.61018191329</v>
      </c>
      <c r="P551" s="15" t="n">
        <f aca="false">N551*$E$2*(1+$I$535)/($F$535-$I$535)/(1+$F$535)^$N$3</f>
        <v>6734.23496150215</v>
      </c>
      <c r="Q551" s="15" t="n">
        <f aca="false">O551+P551</f>
        <v>11566.8451434154</v>
      </c>
      <c r="R551" s="15" t="n">
        <f aca="false">Q551-$G$2+$I$2</f>
        <v>10292.1751434154</v>
      </c>
      <c r="S551" s="42" t="n">
        <f aca="false">R551/$K$2</f>
        <v>289.349877520816</v>
      </c>
      <c r="T551" s="43" t="n">
        <f aca="false">S551-$M$2</f>
        <v>0.0611510659387591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-0.0052490234375</v>
      </c>
      <c r="C552" s="25" t="n">
        <f aca="false">IF(T551&gt;0,D551,C551)</f>
        <v>-0.0052032470703125</v>
      </c>
      <c r="D552" s="41" t="n">
        <f aca="false">(B552+C552)/2</f>
        <v>-0.00522613525390625</v>
      </c>
      <c r="E552" s="15" t="n">
        <f aca="false">$C$2*(1+IF(E$3&lt;=$O$2,$D552,$D552-($D552-$I$535)*MIN(E$3-$O$2,$Q$2)/$Q$2))</f>
        <v>2467.03918457031</v>
      </c>
      <c r="F552" s="15" t="n">
        <f aca="false">E552*(1+IF(F$3&lt;=$O$2,$D552,$D552-($D552-$I$535)*MIN(F$3-$O$2,$Q$2)/$Q$2))</f>
        <v>2454.14610411506</v>
      </c>
      <c r="G552" s="15" t="n">
        <f aca="false">F552*(1+IF(G$3&lt;=$O$2,$D552,$D552-($D552-$I$535)*MIN(G$3-$O$2,$Q$2)/$Q$2))</f>
        <v>2441.32040464211</v>
      </c>
      <c r="H552" s="15" t="n">
        <f aca="false">G552*(1+IF(H$3&lt;=$O$2,$D552,$D552-($D552-$I$535)*MIN(H$3-$O$2,$Q$2)/$Q$2))</f>
        <v>2428.56173400933</v>
      </c>
      <c r="I552" s="15" t="n">
        <f aca="false">H552*(1+IF(I$3&lt;=$O$2,$D552,$D552-($D552-$I$535)*MIN(I$3-$O$2,$Q$2)/$Q$2))</f>
        <v>2415.86974191494</v>
      </c>
      <c r="J552" s="15" t="n">
        <f aca="false">I552*(1+IF(J$3&lt;=$O$2,$D552,$D552-($D552-$I$535)*MIN(J$3-$O$2,$Q$2)/$Q$2))</f>
        <v>2421.85890477444</v>
      </c>
      <c r="K552" s="15" t="n">
        <f aca="false">J552*(1+IF(K$3&lt;=$O$2,$D552,$D552-($D552-$I$535)*MIN(K$3-$O$2,$Q$2)/$Q$2))</f>
        <v>2446.52388806469</v>
      </c>
      <c r="L552" s="15" t="n">
        <f aca="false">K552*(1+IF(L$3&lt;=$O$2,$D552,$D552-($D552-$I$535)*MIN(L$3-$O$2,$Q$2)/$Q$2))</f>
        <v>2490.29108945185</v>
      </c>
      <c r="M552" s="15" t="n">
        <f aca="false">L552*(1+IF(M$3&lt;=$O$2,$D552,$D552-($D552-$I$535)*MIN(M$3-$O$2,$Q$2)/$Q$2))</f>
        <v>2554.02952446383</v>
      </c>
      <c r="N552" s="15" t="n">
        <f aca="false">M552*(1+IF(N$3&lt;=$O$2,$D552,$D552-($D552-$I$535)*MIN(N$3-$O$2,$Q$2)/$Q$2))</f>
        <v>2639.07870762848</v>
      </c>
      <c r="O552" s="15" t="n">
        <f aca="false">SUMPRODUCT(E552:N552,1/(1+$F$535)^$E$3:$N$3)*$E$2</f>
        <v>4832.12942805947</v>
      </c>
      <c r="P552" s="15" t="n">
        <f aca="false">N552*$E$2*(1+$I$535)/($F$535-$I$535)/(1+$F$535)^$N$3</f>
        <v>6733.15515962181</v>
      </c>
      <c r="Q552" s="15" t="n">
        <f aca="false">O552+P552</f>
        <v>11565.2845876813</v>
      </c>
      <c r="R552" s="15" t="n">
        <f aca="false">Q552-$G$2+$I$2</f>
        <v>10290.6145876813</v>
      </c>
      <c r="S552" s="42" t="n">
        <f aca="false">R552/$K$2</f>
        <v>289.306004714121</v>
      </c>
      <c r="T552" s="43" t="n">
        <f aca="false">S552-$M$2</f>
        <v>0.0172782592431417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-0.0052490234375</v>
      </c>
      <c r="C553" s="25" t="n">
        <f aca="false">IF(T552&gt;0,D552,C552)</f>
        <v>-0.00522613525390625</v>
      </c>
      <c r="D553" s="41" t="n">
        <f aca="false">(B553+C553)/2</f>
        <v>-0.00523757934570313</v>
      </c>
      <c r="E553" s="15" t="n">
        <f aca="false">$C$2*(1+IF(E$3&lt;=$O$2,$D553,$D553-($D553-$I$535)*MIN(E$3-$O$2,$Q$2)/$Q$2))</f>
        <v>2467.01080322266</v>
      </c>
      <c r="F553" s="15" t="n">
        <f aca="false">E553*(1+IF(F$3&lt;=$O$2,$D553,$D553-($D553-$I$535)*MIN(F$3-$O$2,$Q$2)/$Q$2))</f>
        <v>2454.08963839407</v>
      </c>
      <c r="G553" s="15" t="n">
        <f aca="false">F553*(1+IF(G$3&lt;=$O$2,$D553,$D553-($D553-$I$535)*MIN(G$3-$O$2,$Q$2)/$Q$2))</f>
        <v>2441.23614919151</v>
      </c>
      <c r="H553" s="15" t="n">
        <f aca="false">G553*(1+IF(H$3&lt;=$O$2,$D553,$D553-($D553-$I$535)*MIN(H$3-$O$2,$Q$2)/$Q$2))</f>
        <v>2428.44998115852</v>
      </c>
      <c r="I553" s="15" t="n">
        <f aca="false">H553*(1+IF(I$3&lt;=$O$2,$D553,$D553-($D553-$I$535)*MIN(I$3-$O$2,$Q$2)/$Q$2))</f>
        <v>2415.73078169514</v>
      </c>
      <c r="J553" s="15" t="n">
        <f aca="false">I553*(1+IF(J$3&lt;=$O$2,$D553,$D553-($D553-$I$535)*MIN(J$3-$O$2,$Q$2)/$Q$2))</f>
        <v>2421.69748338364</v>
      </c>
      <c r="K553" s="15" t="n">
        <f aca="false">J553*(1+IF(K$3&lt;=$O$2,$D553,$D553-($D553-$I$535)*MIN(K$3-$O$2,$Q$2)/$Q$2))</f>
        <v>2446.34419423</v>
      </c>
      <c r="L553" s="15" t="n">
        <f aca="false">K553*(1+IF(L$3&lt;=$O$2,$D553,$D553-($D553-$I$535)*MIN(L$3-$O$2,$Q$2)/$Q$2))</f>
        <v>2490.09698250104</v>
      </c>
      <c r="M553" s="15" t="n">
        <f aca="false">L553*(1+IF(M$3&lt;=$O$2,$D553,$D553-($D553-$I$535)*MIN(M$3-$O$2,$Q$2)/$Q$2))</f>
        <v>2553.82475001</v>
      </c>
      <c r="N553" s="15" t="n">
        <f aca="false">M553*(1+IF(N$3&lt;=$O$2,$D553,$D553-($D553-$I$535)*MIN(N$3-$O$2,$Q$2)/$Q$2))</f>
        <v>2638.86711418534</v>
      </c>
      <c r="O553" s="15" t="n">
        <f aca="false">SUMPRODUCT(E553:N553,1/(1+$F$535)^$E$3:$N$3)*$E$2</f>
        <v>4831.88906953256</v>
      </c>
      <c r="P553" s="15" t="n">
        <f aca="false">N553*$E$2*(1+$I$535)/($F$535-$I$535)/(1+$F$535)^$N$3</f>
        <v>6732.61531536505</v>
      </c>
      <c r="Q553" s="15" t="n">
        <f aca="false">O553+P553</f>
        <v>11564.5043848976</v>
      </c>
      <c r="R553" s="15" t="n">
        <f aca="false">Q553-$G$2+$I$2</f>
        <v>10289.8343848976</v>
      </c>
      <c r="S553" s="42" t="n">
        <f aca="false">R553/$K$2</f>
        <v>289.284070421636</v>
      </c>
      <c r="T553" s="43" t="n">
        <f aca="false">S553-$M$2</f>
        <v>-0.0046560332413037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-0.00523757934570313</v>
      </c>
      <c r="C554" s="25" t="n">
        <f aca="false">IF(T553&gt;0,D553,C553)</f>
        <v>-0.00522613525390625</v>
      </c>
      <c r="D554" s="41" t="n">
        <f aca="false">(B554+C554)/2</f>
        <v>-0.00523185729980469</v>
      </c>
      <c r="E554" s="15" t="n">
        <f aca="false">$C$2*(1+IF(E$3&lt;=$O$2,$D554,$D554-($D554-$I$535)*MIN(E$3-$O$2,$Q$2)/$Q$2))</f>
        <v>2467.02499389648</v>
      </c>
      <c r="F554" s="15" t="n">
        <f aca="false">E554*(1+IF(F$3&lt;=$O$2,$D554,$D554-($D554-$I$535)*MIN(F$3-$O$2,$Q$2)/$Q$2))</f>
        <v>2454.11787117337</v>
      </c>
      <c r="G554" s="15" t="n">
        <f aca="false">F554*(1+IF(G$3&lt;=$O$2,$D554,$D554-($D554-$I$535)*MIN(G$3-$O$2,$Q$2)/$Q$2))</f>
        <v>2441.27827667449</v>
      </c>
      <c r="H554" s="15" t="n">
        <f aca="false">G554*(1+IF(H$3&lt;=$O$2,$D554,$D554-($D554-$I$535)*MIN(H$3-$O$2,$Q$2)/$Q$2))</f>
        <v>2428.50585710181</v>
      </c>
      <c r="I554" s="15" t="n">
        <f aca="false">H554*(1+IF(I$3&lt;=$O$2,$D554,$D554-($D554-$I$535)*MIN(I$3-$O$2,$Q$2)/$Q$2))</f>
        <v>2415.80026100572</v>
      </c>
      <c r="J554" s="15" t="n">
        <f aca="false">I554*(1+IF(J$3&lt;=$O$2,$D554,$D554-($D554-$I$535)*MIN(J$3-$O$2,$Q$2)/$Q$2))</f>
        <v>2421.77819295968</v>
      </c>
      <c r="K554" s="15" t="n">
        <f aca="false">J554*(1+IF(K$3&lt;=$O$2,$D554,$D554-($D554-$I$535)*MIN(K$3-$O$2,$Q$2)/$Q$2))</f>
        <v>2446.4340397395</v>
      </c>
      <c r="L554" s="15" t="n">
        <f aca="false">K554*(1+IF(L$3&lt;=$O$2,$D554,$D554-($D554-$I$535)*MIN(L$3-$O$2,$Q$2)/$Q$2))</f>
        <v>2490.19403433777</v>
      </c>
      <c r="M554" s="15" t="n">
        <f aca="false">L554*(1+IF(M$3&lt;=$O$2,$D554,$D554-($D554-$I$535)*MIN(M$3-$O$2,$Q$2)/$Q$2))</f>
        <v>2553.92713544524</v>
      </c>
      <c r="N554" s="15" t="n">
        <f aca="false">M554*(1+IF(N$3&lt;=$O$2,$D554,$D554-($D554-$I$535)*MIN(N$3-$O$2,$Q$2)/$Q$2))</f>
        <v>2638.97290905556</v>
      </c>
      <c r="O554" s="15" t="n">
        <f aca="false">SUMPRODUCT(E554:N554,1/(1+$F$535)^$E$3:$N$3)*$E$2</f>
        <v>4832.00924726274</v>
      </c>
      <c r="P554" s="15" t="n">
        <f aca="false">N554*$E$2*(1+$I$535)/($F$535-$I$535)/(1+$F$535)^$N$3</f>
        <v>6732.88523277004</v>
      </c>
      <c r="Q554" s="15" t="n">
        <f aca="false">O554+P554</f>
        <v>11564.8944800328</v>
      </c>
      <c r="R554" s="15" t="n">
        <f aca="false">Q554-$G$2+$I$2</f>
        <v>10290.2244800328</v>
      </c>
      <c r="S554" s="42" t="n">
        <f aca="false">R554/$K$2</f>
        <v>289.295037391982</v>
      </c>
      <c r="T554" s="43" t="n">
        <f aca="false">S554-$M$2</f>
        <v>0.00631093710387631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-0.00523757934570313</v>
      </c>
      <c r="C555" s="25" t="n">
        <f aca="false">IF(T554&gt;0,D554,C554)</f>
        <v>-0.00523185729980469</v>
      </c>
      <c r="D555" s="41" t="n">
        <f aca="false">(B555+C555)/2</f>
        <v>-0.00523471832275391</v>
      </c>
      <c r="E555" s="15" t="n">
        <f aca="false">$C$2*(1+IF(E$3&lt;=$O$2,$D555,$D555-($D555-$I$535)*MIN(E$3-$O$2,$Q$2)/$Q$2))</f>
        <v>2467.01789855957</v>
      </c>
      <c r="F555" s="15" t="n">
        <f aca="false">E555*(1+IF(F$3&lt;=$O$2,$D555,$D555-($D555-$I$535)*MIN(F$3-$O$2,$Q$2)/$Q$2))</f>
        <v>2454.10375476342</v>
      </c>
      <c r="G555" s="15" t="n">
        <f aca="false">F555*(1+IF(G$3&lt;=$O$2,$D555,$D555-($D555-$I$535)*MIN(G$3-$O$2,$Q$2)/$Q$2))</f>
        <v>2441.25721287242</v>
      </c>
      <c r="H555" s="15" t="n">
        <f aca="false">G555*(1+IF(H$3&lt;=$O$2,$D555,$D555-($D555-$I$535)*MIN(H$3-$O$2,$Q$2)/$Q$2))</f>
        <v>2428.47791900964</v>
      </c>
      <c r="I555" s="15" t="n">
        <f aca="false">H555*(1+IF(I$3&lt;=$O$2,$D555,$D555-($D555-$I$535)*MIN(I$3-$O$2,$Q$2)/$Q$2))</f>
        <v>2415.7655211506</v>
      </c>
      <c r="J555" s="15" t="n">
        <f aca="false">I555*(1+IF(J$3&lt;=$O$2,$D555,$D555-($D555-$I$535)*MIN(J$3-$O$2,$Q$2)/$Q$2))</f>
        <v>2421.73783789183</v>
      </c>
      <c r="K555" s="15" t="n">
        <f aca="false">J555*(1+IF(K$3&lt;=$O$2,$D555,$D555-($D555-$I$535)*MIN(K$3-$O$2,$Q$2)/$Q$2))</f>
        <v>2446.38911663279</v>
      </c>
      <c r="L555" s="15" t="n">
        <f aca="false">K555*(1+IF(L$3&lt;=$O$2,$D555,$D555-($D555-$I$535)*MIN(L$3-$O$2,$Q$2)/$Q$2))</f>
        <v>2490.14550800975</v>
      </c>
      <c r="M555" s="15" t="n">
        <f aca="false">L555*(1+IF(M$3&lt;=$O$2,$D555,$D555-($D555-$I$535)*MIN(M$3-$O$2,$Q$2)/$Q$2))</f>
        <v>2553.87594227971</v>
      </c>
      <c r="N555" s="15" t="n">
        <f aca="false">M555*(1+IF(N$3&lt;=$O$2,$D555,$D555-($D555-$I$535)*MIN(N$3-$O$2,$Q$2)/$Q$2))</f>
        <v>2638.92001115762</v>
      </c>
      <c r="O555" s="15" t="n">
        <f aca="false">SUMPRODUCT(E555:N555,1/(1+$F$535)^$E$3:$N$3)*$E$2</f>
        <v>4831.94915801434</v>
      </c>
      <c r="P555" s="15" t="n">
        <f aca="false">N555*$E$2*(1+$I$535)/($F$535-$I$535)/(1+$F$535)^$N$3</f>
        <v>6732.75027288672</v>
      </c>
      <c r="Q555" s="15" t="n">
        <f aca="false">O555+P555</f>
        <v>11564.6994309011</v>
      </c>
      <c r="R555" s="15" t="n">
        <f aca="false">Q555-$G$2+$I$2</f>
        <v>10290.0294309011</v>
      </c>
      <c r="S555" s="42" t="n">
        <f aca="false">R555/$K$2</f>
        <v>289.289553862835</v>
      </c>
      <c r="T555" s="43" t="n">
        <f aca="false">S555-$M$2</f>
        <v>0.000827407957672222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-0.00523757934570313</v>
      </c>
      <c r="C556" s="25" t="n">
        <f aca="false">IF(T555&gt;0,D555,C555)</f>
        <v>-0.00523471832275391</v>
      </c>
      <c r="D556" s="41" t="n">
        <f aca="false">(B556+C556)/2</f>
        <v>-0.00523614883422852</v>
      </c>
      <c r="E556" s="15" t="n">
        <f aca="false">$C$2*(1+IF(E$3&lt;=$O$2,$D556,$D556-($D556-$I$535)*MIN(E$3-$O$2,$Q$2)/$Q$2))</f>
        <v>2467.01435089111</v>
      </c>
      <c r="F556" s="15" t="n">
        <f aca="false">E556*(1+IF(F$3&lt;=$O$2,$D556,$D556-($D556-$I$535)*MIN(F$3-$O$2,$Q$2)/$Q$2))</f>
        <v>2454.09669657367</v>
      </c>
      <c r="G556" s="15" t="n">
        <f aca="false">F556*(1+IF(G$3&lt;=$O$2,$D556,$D556-($D556-$I$535)*MIN(G$3-$O$2,$Q$2)/$Q$2))</f>
        <v>2441.24668101682</v>
      </c>
      <c r="H556" s="15" t="n">
        <f aca="false">G556*(1+IF(H$3&lt;=$O$2,$D556,$D556-($D556-$I$535)*MIN(H$3-$O$2,$Q$2)/$Q$2))</f>
        <v>2428.46395005395</v>
      </c>
      <c r="I556" s="15" t="n">
        <f aca="false">H556*(1+IF(I$3&lt;=$O$2,$D556,$D556-($D556-$I$535)*MIN(I$3-$O$2,$Q$2)/$Q$2))</f>
        <v>2415.74815137291</v>
      </c>
      <c r="J556" s="15" t="n">
        <f aca="false">I556*(1+IF(J$3&lt;=$O$2,$D556,$D556-($D556-$I$535)*MIN(J$3-$O$2,$Q$2)/$Q$2))</f>
        <v>2421.71766056777</v>
      </c>
      <c r="K556" s="15" t="n">
        <f aca="false">J556*(1+IF(K$3&lt;=$O$2,$D556,$D556-($D556-$I$535)*MIN(K$3-$O$2,$Q$2)/$Q$2))</f>
        <v>2446.36665534341</v>
      </c>
      <c r="L556" s="15" t="n">
        <f aca="false">K556*(1+IF(L$3&lt;=$O$2,$D556,$D556-($D556-$I$535)*MIN(L$3-$O$2,$Q$2)/$Q$2))</f>
        <v>2490.12124515298</v>
      </c>
      <c r="M556" s="15" t="n">
        <f aca="false">L556*(1+IF(M$3&lt;=$O$2,$D556,$D556-($D556-$I$535)*MIN(M$3-$O$2,$Q$2)/$Q$2))</f>
        <v>2553.85034603288</v>
      </c>
      <c r="N556" s="15" t="n">
        <f aca="false">M556*(1+IF(N$3&lt;=$O$2,$D556,$D556-($D556-$I$535)*MIN(N$3-$O$2,$Q$2)/$Q$2))</f>
        <v>2638.89356255577</v>
      </c>
      <c r="O556" s="15" t="n">
        <f aca="false">SUMPRODUCT(E556:N556,1/(1+$F$535)^$E$3:$N$3)*$E$2</f>
        <v>4831.91911367762</v>
      </c>
      <c r="P556" s="15" t="n">
        <f aca="false">N556*$E$2*(1+$I$535)/($F$535-$I$535)/(1+$F$535)^$N$3</f>
        <v>6732.68279383067</v>
      </c>
      <c r="Q556" s="15" t="n">
        <f aca="false">O556+P556</f>
        <v>11564.6019075083</v>
      </c>
      <c r="R556" s="15" t="n">
        <f aca="false">Q556-$G$2+$I$2</f>
        <v>10289.9319075083</v>
      </c>
      <c r="S556" s="42" t="n">
        <f aca="false">R556/$K$2</f>
        <v>289.286812131242</v>
      </c>
      <c r="T556" s="43" t="n">
        <f aca="false">S556-$M$2</f>
        <v>-0.00191432363521926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-0.00523614883422852</v>
      </c>
      <c r="C557" s="25" t="n">
        <f aca="false">IF(T556&gt;0,D556,C556)</f>
        <v>-0.00523471832275391</v>
      </c>
      <c r="D557" s="41" t="n">
        <f aca="false">(B557+C557)/2</f>
        <v>-0.00523543357849121</v>
      </c>
      <c r="E557" s="15" t="n">
        <f aca="false">$C$2*(1+IF(E$3&lt;=$O$2,$D557,$D557-($D557-$I$535)*MIN(E$3-$O$2,$Q$2)/$Q$2))</f>
        <v>2467.01612472534</v>
      </c>
      <c r="F557" s="15" t="n">
        <f aca="false">E557*(1+IF(F$3&lt;=$O$2,$D557,$D557-($D557-$I$535)*MIN(F$3-$O$2,$Q$2)/$Q$2))</f>
        <v>2454.10022566728</v>
      </c>
      <c r="G557" s="15" t="n">
        <f aca="false">F557*(1+IF(G$3&lt;=$O$2,$D557,$D557-($D557-$I$535)*MIN(G$3-$O$2,$Q$2)/$Q$2))</f>
        <v>2441.25194694083</v>
      </c>
      <c r="H557" s="15" t="n">
        <f aca="false">G557*(1+IF(H$3&lt;=$O$2,$D557,$D557-($D557-$I$535)*MIN(H$3-$O$2,$Q$2)/$Q$2))</f>
        <v>2428.47093452426</v>
      </c>
      <c r="I557" s="15" t="n">
        <f aca="false">H557*(1+IF(I$3&lt;=$O$2,$D557,$D557-($D557-$I$535)*MIN(I$3-$O$2,$Q$2)/$Q$2))</f>
        <v>2415.75683624927</v>
      </c>
      <c r="J557" s="15" t="n">
        <f aca="false">I557*(1+IF(J$3&lt;=$O$2,$D557,$D557-($D557-$I$535)*MIN(J$3-$O$2,$Q$2)/$Q$2))</f>
        <v>2421.72774921231</v>
      </c>
      <c r="K557" s="15" t="n">
        <f aca="false">J557*(1+IF(K$3&lt;=$O$2,$D557,$D557-($D557-$I$535)*MIN(K$3-$O$2,$Q$2)/$Q$2))</f>
        <v>2446.3778859661</v>
      </c>
      <c r="L557" s="15" t="n">
        <f aca="false">K557*(1+IF(L$3&lt;=$O$2,$D557,$D557-($D557-$I$535)*MIN(L$3-$O$2,$Q$2)/$Q$2))</f>
        <v>2490.13337655576</v>
      </c>
      <c r="M557" s="15" t="n">
        <f aca="false">L557*(1+IF(M$3&lt;=$O$2,$D557,$D557-($D557-$I$535)*MIN(M$3-$O$2,$Q$2)/$Q$2))</f>
        <v>2553.8631441283</v>
      </c>
      <c r="N557" s="15" t="n">
        <f aca="false">M557*(1+IF(N$3&lt;=$O$2,$D557,$D557-($D557-$I$535)*MIN(N$3-$O$2,$Q$2)/$Q$2))</f>
        <v>2638.90678682777</v>
      </c>
      <c r="O557" s="15" t="n">
        <f aca="false">SUMPRODUCT(E557:N557,1/(1+$F$535)^$E$3:$N$3)*$E$2</f>
        <v>4831.93413582202</v>
      </c>
      <c r="P557" s="15" t="n">
        <f aca="false">N557*$E$2*(1+$I$535)/($F$535-$I$535)/(1+$F$535)^$N$3</f>
        <v>6732.71653328489</v>
      </c>
      <c r="Q557" s="15" t="n">
        <f aca="false">O557+P557</f>
        <v>11564.6506691069</v>
      </c>
      <c r="R557" s="15" t="n">
        <f aca="false">Q557-$G$2+$I$2</f>
        <v>10289.9806691069</v>
      </c>
      <c r="S557" s="42" t="n">
        <f aca="false">R557/$K$2</f>
        <v>289.288182994291</v>
      </c>
      <c r="T557" s="43" t="n">
        <f aca="false">S557-$M$2</f>
        <v>-0.000543460587152822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-0.00523543357849121</v>
      </c>
      <c r="C558" s="25" t="n">
        <f aca="false">IF(T557&gt;0,D557,C557)</f>
        <v>-0.00523471832275391</v>
      </c>
      <c r="D558" s="41" t="n">
        <f aca="false">(B558+C558)/2</f>
        <v>-0.00523507595062256</v>
      </c>
      <c r="E558" s="15" t="n">
        <f aca="false">$C$2*(1+IF(E$3&lt;=$O$2,$D558,$D558-($D558-$I$535)*MIN(E$3-$O$2,$Q$2)/$Q$2))</f>
        <v>2467.01701164246</v>
      </c>
      <c r="F558" s="15" t="n">
        <f aca="false">E558*(1+IF(F$3&lt;=$O$2,$D558,$D558-($D558-$I$535)*MIN(F$3-$O$2,$Q$2)/$Q$2))</f>
        <v>2454.10199021503</v>
      </c>
      <c r="G558" s="15" t="n">
        <f aca="false">F558*(1+IF(G$3&lt;=$O$2,$D558,$D558-($D558-$I$535)*MIN(G$3-$O$2,$Q$2)/$Q$2))</f>
        <v>2441.25457990568</v>
      </c>
      <c r="H558" s="15" t="n">
        <f aca="false">G558*(1+IF(H$3&lt;=$O$2,$D558,$D558-($D558-$I$535)*MIN(H$3-$O$2,$Q$2)/$Q$2))</f>
        <v>2428.47442676507</v>
      </c>
      <c r="I558" s="15" t="n">
        <f aca="false">H558*(1+IF(I$3&lt;=$O$2,$D558,$D558-($D558-$I$535)*MIN(I$3-$O$2,$Q$2)/$Q$2))</f>
        <v>2415.76117869681</v>
      </c>
      <c r="J558" s="15" t="n">
        <f aca="false">I558*(1+IF(J$3&lt;=$O$2,$D558,$D558-($D558-$I$535)*MIN(J$3-$O$2,$Q$2)/$Q$2))</f>
        <v>2421.7327935477</v>
      </c>
      <c r="K558" s="15" t="n">
        <f aca="false">J558*(1+IF(K$3&lt;=$O$2,$D558,$D558-($D558-$I$535)*MIN(K$3-$O$2,$Q$2)/$Q$2))</f>
        <v>2446.38350129395</v>
      </c>
      <c r="L558" s="15" t="n">
        <f aca="false">K558*(1+IF(L$3&lt;=$O$2,$D558,$D558-($D558-$I$535)*MIN(L$3-$O$2,$Q$2)/$Q$2))</f>
        <v>2490.13944227635</v>
      </c>
      <c r="M558" s="15" t="n">
        <f aca="false">L558*(1+IF(M$3&lt;=$O$2,$D558,$D558-($D558-$I$535)*MIN(M$3-$O$2,$Q$2)/$Q$2))</f>
        <v>2553.869543197</v>
      </c>
      <c r="N558" s="15" t="n">
        <f aca="false">M558*(1+IF(N$3&lt;=$O$2,$D558,$D558-($D558-$I$535)*MIN(N$3-$O$2,$Q$2)/$Q$2))</f>
        <v>2638.91339898546</v>
      </c>
      <c r="O558" s="15" t="n">
        <f aca="false">SUMPRODUCT(E558:N558,1/(1+$F$535)^$E$3:$N$3)*$E$2</f>
        <v>4831.94164691219</v>
      </c>
      <c r="P558" s="15" t="n">
        <f aca="false">N558*$E$2*(1+$I$535)/($F$535-$I$535)/(1+$F$535)^$N$3</f>
        <v>6732.73340306736</v>
      </c>
      <c r="Q558" s="15" t="n">
        <f aca="false">O558+P558</f>
        <v>11564.6750499795</v>
      </c>
      <c r="R558" s="15" t="n">
        <f aca="false">Q558-$G$2+$I$2</f>
        <v>10290.0050499795</v>
      </c>
      <c r="S558" s="42" t="n">
        <f aca="false">R558/$K$2</f>
        <v>289.288868427876</v>
      </c>
      <c r="T558" s="43" t="n">
        <f aca="false">S558-$M$2</f>
        <v>0.000141972998278561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-0.00523543357849121</v>
      </c>
      <c r="C559" s="25" t="n">
        <f aca="false">IF(T558&gt;0,D558,C558)</f>
        <v>-0.00523507595062256</v>
      </c>
      <c r="D559" s="41" t="n">
        <f aca="false">(B559+C559)/2</f>
        <v>-0.00523525476455689</v>
      </c>
      <c r="E559" s="15" t="n">
        <f aca="false">$C$2*(1+IF(E$3&lt;=$O$2,$D559,$D559-($D559-$I$535)*MIN(E$3-$O$2,$Q$2)/$Q$2))</f>
        <v>2467.0165681839</v>
      </c>
      <c r="F559" s="15" t="n">
        <f aca="false">E559*(1+IF(F$3&lt;=$O$2,$D559,$D559-($D559-$I$535)*MIN(F$3-$O$2,$Q$2)/$Q$2))</f>
        <v>2454.10110794107</v>
      </c>
      <c r="G559" s="15" t="n">
        <f aca="false">F559*(1+IF(G$3&lt;=$O$2,$D559,$D559-($D559-$I$535)*MIN(G$3-$O$2,$Q$2)/$Q$2))</f>
        <v>2441.25326342302</v>
      </c>
      <c r="H559" s="15" t="n">
        <f aca="false">G559*(1+IF(H$3&lt;=$O$2,$D559,$D559-($D559-$I$535)*MIN(H$3-$O$2,$Q$2)/$Q$2))</f>
        <v>2428.4726806442</v>
      </c>
      <c r="I559" s="15" t="n">
        <f aca="false">H559*(1+IF(I$3&lt;=$O$2,$D559,$D559-($D559-$I$535)*MIN(I$3-$O$2,$Q$2)/$Q$2))</f>
        <v>2415.75900747226</v>
      </c>
      <c r="J559" s="15" t="n">
        <f aca="false">I559*(1+IF(J$3&lt;=$O$2,$D559,$D559-($D559-$I$535)*MIN(J$3-$O$2,$Q$2)/$Q$2))</f>
        <v>2421.73027137891</v>
      </c>
      <c r="K559" s="15" t="n">
        <f aca="false">J559*(1+IF(K$3&lt;=$O$2,$D559,$D559-($D559-$I$535)*MIN(K$3-$O$2,$Q$2)/$Q$2))</f>
        <v>2446.38069362865</v>
      </c>
      <c r="L559" s="15" t="n">
        <f aca="false">K559*(1+IF(L$3&lt;=$O$2,$D559,$D559-($D559-$I$535)*MIN(L$3-$O$2,$Q$2)/$Q$2))</f>
        <v>2490.13640941446</v>
      </c>
      <c r="M559" s="15" t="n">
        <f aca="false">L559*(1+IF(M$3&lt;=$O$2,$D559,$D559-($D559-$I$535)*MIN(M$3-$O$2,$Q$2)/$Q$2))</f>
        <v>2553.8663436609</v>
      </c>
      <c r="N559" s="15" t="n">
        <f aca="false">M559*(1+IF(N$3&lt;=$O$2,$D559,$D559-($D559-$I$535)*MIN(N$3-$O$2,$Q$2)/$Q$2))</f>
        <v>2638.91009290481</v>
      </c>
      <c r="O559" s="15" t="n">
        <f aca="false">SUMPRODUCT(E559:N559,1/(1+$F$535)^$E$3:$N$3)*$E$2</f>
        <v>4831.93789136561</v>
      </c>
      <c r="P559" s="15" t="n">
        <f aca="false">N559*$E$2*(1+$I$535)/($F$535-$I$535)/(1+$F$535)^$N$3</f>
        <v>6732.72496817151</v>
      </c>
      <c r="Q559" s="15" t="n">
        <f aca="false">O559+P559</f>
        <v>11564.6628595371</v>
      </c>
      <c r="R559" s="15" t="n">
        <f aca="false">Q559-$G$2+$I$2</f>
        <v>10289.9928595371</v>
      </c>
      <c r="S559" s="42" t="n">
        <f aca="false">R559/$K$2</f>
        <v>289.288525710911</v>
      </c>
      <c r="T559" s="43" t="n">
        <f aca="false">S559-$M$2</f>
        <v>-0.000200743966274786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-0.00523525476455689</v>
      </c>
      <c r="C560" s="25" t="n">
        <f aca="false">IF(T559&gt;0,D559,C559)</f>
        <v>-0.00523507595062256</v>
      </c>
      <c r="D560" s="41" t="n">
        <f aca="false">(B560+C560)/2</f>
        <v>-0.00523516535758972</v>
      </c>
      <c r="E560" s="15" t="n">
        <f aca="false">$C$2*(1+IF(E$3&lt;=$O$2,$D560,$D560-($D560-$I$535)*MIN(E$3-$O$2,$Q$2)/$Q$2))</f>
        <v>2467.01678991318</v>
      </c>
      <c r="F560" s="15" t="n">
        <f aca="false">E560*(1+IF(F$3&lt;=$O$2,$D560,$D560-($D560-$I$535)*MIN(F$3-$O$2,$Q$2)/$Q$2))</f>
        <v>2454.10154907803</v>
      </c>
      <c r="G560" s="15" t="n">
        <f aca="false">F560*(1+IF(G$3&lt;=$O$2,$D560,$D560-($D560-$I$535)*MIN(G$3-$O$2,$Q$2)/$Q$2))</f>
        <v>2441.25392166429</v>
      </c>
      <c r="H560" s="15" t="n">
        <f aca="false">G560*(1+IF(H$3&lt;=$O$2,$D560,$D560-($D560-$I$535)*MIN(H$3-$O$2,$Q$2)/$Q$2))</f>
        <v>2428.47355370451</v>
      </c>
      <c r="I560" s="15" t="n">
        <f aca="false">H560*(1+IF(I$3&lt;=$O$2,$D560,$D560-($D560-$I$535)*MIN(I$3-$O$2,$Q$2)/$Q$2))</f>
        <v>2415.76009308434</v>
      </c>
      <c r="J560" s="15" t="n">
        <f aca="false">I560*(1+IF(J$3&lt;=$O$2,$D560,$D560-($D560-$I$535)*MIN(J$3-$O$2,$Q$2)/$Q$2))</f>
        <v>2421.73153246303</v>
      </c>
      <c r="K560" s="15" t="n">
        <f aca="false">J560*(1+IF(K$3&lt;=$O$2,$D560,$D560-($D560-$I$535)*MIN(K$3-$O$2,$Q$2)/$Q$2))</f>
        <v>2446.38209746096</v>
      </c>
      <c r="L560" s="15" t="n">
        <f aca="false">K560*(1+IF(L$3&lt;=$O$2,$D560,$D560-($D560-$I$535)*MIN(L$3-$O$2,$Q$2)/$Q$2))</f>
        <v>2490.13792584501</v>
      </c>
      <c r="M560" s="15" t="n">
        <f aca="false">L560*(1+IF(M$3&lt;=$O$2,$D560,$D560-($D560-$I$535)*MIN(M$3-$O$2,$Q$2)/$Q$2))</f>
        <v>2553.86794342852</v>
      </c>
      <c r="N560" s="15" t="n">
        <f aca="false">M560*(1+IF(N$3&lt;=$O$2,$D560,$D560-($D560-$I$535)*MIN(N$3-$O$2,$Q$2)/$Q$2))</f>
        <v>2638.91174594468</v>
      </c>
      <c r="O560" s="15" t="n">
        <f aca="false">SUMPRODUCT(E560:N560,1/(1+$F$535)^$E$3:$N$3)*$E$2</f>
        <v>4831.93976913853</v>
      </c>
      <c r="P560" s="15" t="n">
        <f aca="false">N560*$E$2*(1+$I$535)/($F$535-$I$535)/(1+$F$535)^$N$3</f>
        <v>6732.72918561828</v>
      </c>
      <c r="Q560" s="15" t="n">
        <f aca="false">O560+P560</f>
        <v>11564.6689547568</v>
      </c>
      <c r="R560" s="15" t="n">
        <f aca="false">Q560-$G$2+$I$2</f>
        <v>10289.9989547568</v>
      </c>
      <c r="S560" s="42" t="n">
        <f aca="false">R560/$K$2</f>
        <v>289.288697069351</v>
      </c>
      <c r="T560" s="43" t="n">
        <f aca="false">S560-$M$2</f>
        <v>-2.93855269433152E-005</v>
      </c>
    </row>
    <row r="562" customFormat="false" ht="15" hidden="false" customHeight="false" outlineLevel="0" collapsed="false">
      <c r="A562" s="38" t="s">
        <v>204</v>
      </c>
      <c r="E562" s="5" t="s">
        <v>11</v>
      </c>
      <c r="F562" s="12" t="n">
        <f aca="false">Sensitivity!$B$13</f>
        <v>0.0864218415038925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8" t="s">
        <v>165</v>
      </c>
      <c r="B563" s="28" t="s">
        <v>166</v>
      </c>
      <c r="C563" s="28" t="s">
        <v>167</v>
      </c>
      <c r="D563" s="28" t="s">
        <v>168</v>
      </c>
      <c r="E563" s="28" t="s">
        <v>169</v>
      </c>
      <c r="F563" s="28" t="s">
        <v>170</v>
      </c>
      <c r="G563" s="28" t="s">
        <v>171</v>
      </c>
      <c r="H563" s="28" t="s">
        <v>172</v>
      </c>
      <c r="I563" s="28" t="s">
        <v>173</v>
      </c>
      <c r="J563" s="28" t="s">
        <v>174</v>
      </c>
      <c r="K563" s="28" t="s">
        <v>175</v>
      </c>
      <c r="L563" s="28" t="s">
        <v>176</v>
      </c>
      <c r="M563" s="28" t="s">
        <v>177</v>
      </c>
      <c r="N563" s="28" t="s">
        <v>178</v>
      </c>
      <c r="O563" s="28" t="s">
        <v>179</v>
      </c>
      <c r="P563" s="28" t="s">
        <v>180</v>
      </c>
      <c r="Q563" s="28" t="s">
        <v>181</v>
      </c>
      <c r="R563" s="28" t="s">
        <v>182</v>
      </c>
      <c r="S563" s="28" t="s">
        <v>183</v>
      </c>
      <c r="T563" s="28" t="s">
        <v>184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41" t="n">
        <f aca="false">(B564+C564)/2</f>
        <v>0.25</v>
      </c>
      <c r="E564" s="15" t="n">
        <f aca="false">$C$2*(1+IF(E$3&lt;=$O$2,$D564,$D564-($D564-$I$562)*MIN(E$3-$O$2,$Q$2)/$Q$2))</f>
        <v>3100</v>
      </c>
      <c r="F564" s="15" t="n">
        <f aca="false">E564*(1+IF(F$3&lt;=$O$2,$D564,$D564-($D564-$I$562)*MIN(F$3-$O$2,$Q$2)/$Q$2))</f>
        <v>3875</v>
      </c>
      <c r="G564" s="15" t="n">
        <f aca="false">F564*(1+IF(G$3&lt;=$O$2,$D564,$D564-($D564-$I$562)*MIN(G$3-$O$2,$Q$2)/$Q$2))</f>
        <v>4843.75</v>
      </c>
      <c r="H564" s="15" t="n">
        <f aca="false">G564*(1+IF(H$3&lt;=$O$2,$D564,$D564-($D564-$I$562)*MIN(H$3-$O$2,$Q$2)/$Q$2))</f>
        <v>6054.6875</v>
      </c>
      <c r="I564" s="15" t="n">
        <f aca="false">H564*(1+IF(I$3&lt;=$O$2,$D564,$D564-($D564-$I$562)*MIN(I$3-$O$2,$Q$2)/$Q$2))</f>
        <v>7568.359375</v>
      </c>
      <c r="J564" s="15" t="n">
        <f aca="false">I564*(1+IF(J$3&lt;=$O$2,$D564,$D564-($D564-$I$562)*MIN(J$3-$O$2,$Q$2)/$Q$2))</f>
        <v>9140.0048828125</v>
      </c>
      <c r="K564" s="15" t="n">
        <f aca="false">J564*(1+IF(K$3&lt;=$O$2,$D564,$D564-($D564-$I$562)*MIN(K$3-$O$2,$Q$2)/$Q$2))</f>
        <v>10651.0304900391</v>
      </c>
      <c r="L564" s="15" t="n">
        <f aca="false">K564*(1+IF(L$3&lt;=$O$2,$D564,$D564-($D564-$I$562)*MIN(L$3-$O$2,$Q$2)/$Q$2))</f>
        <v>11960.8942197041</v>
      </c>
      <c r="M564" s="15" t="n">
        <f aca="false">L564*(1+IF(M$3&lt;=$O$2,$D564,$D564-($D564-$I$562)*MIN(M$3-$O$2,$Q$2)/$Q$2))</f>
        <v>12925.420729581</v>
      </c>
      <c r="N564" s="15" t="n">
        <f aca="false">M564*(1+IF(N$3&lt;=$O$2,$D564,$D564-($D564-$I$562)*MIN(N$3-$O$2,$Q$2)/$Q$2))</f>
        <v>13420.464343524</v>
      </c>
      <c r="O564" s="15" t="n">
        <f aca="false">SUMPRODUCT(E564:N564,1/(1+$F$562)^$E$3:$N$3)*$E$2</f>
        <v>14702.5194641802</v>
      </c>
      <c r="P564" s="15" t="n">
        <f aca="false">N564*$E$2*(1+$I$562)/($F$562-$I$562)/(1+$F$562)^$N$3</f>
        <v>37980.5395724932</v>
      </c>
      <c r="Q564" s="15" t="n">
        <f aca="false">O564+P564</f>
        <v>52683.0590366734</v>
      </c>
      <c r="R564" s="15" t="n">
        <f aca="false">Q564-$G$2+$I$2</f>
        <v>51408.3890366734</v>
      </c>
      <c r="S564" s="42" t="n">
        <f aca="false">R564/$K$2</f>
        <v>1445.27379917552</v>
      </c>
      <c r="T564" s="43" t="n">
        <f aca="false">S564-$M$2</f>
        <v>1155.98507272065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41" t="n">
        <f aca="false">(B565+C565)/2</f>
        <v>-0.125</v>
      </c>
      <c r="E565" s="15" t="n">
        <f aca="false">$C$2*(1+IF(E$3&lt;=$O$2,$D565,$D565-($D565-$I$562)*MIN(E$3-$O$2,$Q$2)/$Q$2))</f>
        <v>2170</v>
      </c>
      <c r="F565" s="15" t="n">
        <f aca="false">E565*(1+IF(F$3&lt;=$O$2,$D565,$D565-($D565-$I$562)*MIN(F$3-$O$2,$Q$2)/$Q$2))</f>
        <v>1898.75</v>
      </c>
      <c r="G565" s="15" t="n">
        <f aca="false">F565*(1+IF(G$3&lt;=$O$2,$D565,$D565-($D565-$I$562)*MIN(G$3-$O$2,$Q$2)/$Q$2))</f>
        <v>1661.40625</v>
      </c>
      <c r="H565" s="15" t="n">
        <f aca="false">G565*(1+IF(H$3&lt;=$O$2,$D565,$D565-($D565-$I$562)*MIN(H$3-$O$2,$Q$2)/$Q$2))</f>
        <v>1453.73046875</v>
      </c>
      <c r="I565" s="15" t="n">
        <f aca="false">H565*(1+IF(I$3&lt;=$O$2,$D565,$D565-($D565-$I$562)*MIN(I$3-$O$2,$Q$2)/$Q$2))</f>
        <v>1272.01416015625</v>
      </c>
      <c r="J565" s="15" t="n">
        <f aca="false">I565*(1+IF(J$3&lt;=$O$2,$D565,$D565-($D565-$I$562)*MIN(J$3-$O$2,$Q$2)/$Q$2))</f>
        <v>1154.55637260742</v>
      </c>
      <c r="K565" s="15" t="n">
        <f aca="false">J565*(1+IF(K$3&lt;=$O$2,$D565,$D565-($D565-$I$562)*MIN(K$3-$O$2,$Q$2)/$Q$2))</f>
        <v>1085.65244829021</v>
      </c>
      <c r="L565" s="15" t="n">
        <f aca="false">K565*(1+IF(L$3&lt;=$O$2,$D565,$D565-($D565-$I$562)*MIN(L$3-$O$2,$Q$2)/$Q$2))</f>
        <v>1056.31811913741</v>
      </c>
      <c r="M565" s="15" t="n">
        <f aca="false">L565*(1+IF(M$3&lt;=$O$2,$D565,$D565-($D565-$I$562)*MIN(M$3-$O$2,$Q$2)/$Q$2))</f>
        <v>1062.27575332934</v>
      </c>
      <c r="N565" s="15" t="n">
        <f aca="false">M565*(1+IF(N$3&lt;=$O$2,$D565,$D565-($D565-$I$562)*MIN(N$3-$O$2,$Q$2)/$Q$2))</f>
        <v>1102.96091468186</v>
      </c>
      <c r="O565" s="15" t="n">
        <f aca="false">SUMPRODUCT(E565:N565,1/(1+$F$562)^$E$3:$N$3)*$E$2</f>
        <v>2892.00246252262</v>
      </c>
      <c r="P565" s="15" t="n">
        <f aca="false">N565*$E$2*(1+$I$562)/($F$562-$I$562)/(1+$F$562)^$N$3</f>
        <v>3121.43079365224</v>
      </c>
      <c r="Q565" s="15" t="n">
        <f aca="false">O565+P565</f>
        <v>6013.43325617486</v>
      </c>
      <c r="R565" s="15" t="n">
        <f aca="false">Q565-$G$2+$I$2</f>
        <v>4738.76325617486</v>
      </c>
      <c r="S565" s="42" t="n">
        <f aca="false">R565/$K$2</f>
        <v>133.223594494654</v>
      </c>
      <c r="T565" s="43" t="n">
        <f aca="false">S565-$M$2</f>
        <v>-156.065131960223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41" t="n">
        <f aca="false">(B566+C566)/2</f>
        <v>0.0625</v>
      </c>
      <c r="E566" s="15" t="n">
        <f aca="false">$C$2*(1+IF(E$3&lt;=$O$2,$D566,$D566-($D566-$I$562)*MIN(E$3-$O$2,$Q$2)/$Q$2))</f>
        <v>2635</v>
      </c>
      <c r="F566" s="15" t="n">
        <f aca="false">E566*(1+IF(F$3&lt;=$O$2,$D566,$D566-($D566-$I$562)*MIN(F$3-$O$2,$Q$2)/$Q$2))</f>
        <v>2799.6875</v>
      </c>
      <c r="G566" s="15" t="n">
        <f aca="false">F566*(1+IF(G$3&lt;=$O$2,$D566,$D566-($D566-$I$562)*MIN(G$3-$O$2,$Q$2)/$Q$2))</f>
        <v>2974.66796875</v>
      </c>
      <c r="H566" s="15" t="n">
        <f aca="false">G566*(1+IF(H$3&lt;=$O$2,$D566,$D566-($D566-$I$562)*MIN(H$3-$O$2,$Q$2)/$Q$2))</f>
        <v>3160.58471679688</v>
      </c>
      <c r="I566" s="15" t="n">
        <f aca="false">H566*(1+IF(I$3&lt;=$O$2,$D566,$D566-($D566-$I$562)*MIN(I$3-$O$2,$Q$2)/$Q$2))</f>
        <v>3358.12126159668</v>
      </c>
      <c r="J566" s="15" t="n">
        <f aca="false">I566*(1+IF(J$3&lt;=$O$2,$D566,$D566-($D566-$I$562)*MIN(J$3-$O$2,$Q$2)/$Q$2))</f>
        <v>3551.75053354034</v>
      </c>
      <c r="K566" s="15" t="n">
        <f aca="false">J566*(1+IF(K$3&lt;=$O$2,$D566,$D566-($D566-$I$562)*MIN(K$3-$O$2,$Q$2)/$Q$2))</f>
        <v>3739.35399672195</v>
      </c>
      <c r="L566" s="15" t="n">
        <f aca="false">K566*(1+IF(L$3&lt;=$O$2,$D566,$D566-($D566-$I$562)*MIN(L$3-$O$2,$Q$2)/$Q$2))</f>
        <v>3918.76820148466</v>
      </c>
      <c r="M566" s="15" t="n">
        <f aca="false">L566*(1+IF(M$3&lt;=$O$2,$D566,$D566-($D566-$I$562)*MIN(M$3-$O$2,$Q$2)/$Q$2))</f>
        <v>4087.82386169671</v>
      </c>
      <c r="N566" s="15" t="n">
        <f aca="false">M566*(1+IF(N$3&lt;=$O$2,$D566,$D566-($D566-$I$562)*MIN(N$3-$O$2,$Q$2)/$Q$2))</f>
        <v>4244.3875155997</v>
      </c>
      <c r="O566" s="15" t="n">
        <f aca="false">SUMPRODUCT(E566:N566,1/(1+$F$562)^$E$3:$N$3)*$E$2</f>
        <v>6510.6326745053</v>
      </c>
      <c r="P566" s="15" t="n">
        <f aca="false">N566*$E$2*(1+$I$562)/($F$562-$I$562)/(1+$F$562)^$N$3</f>
        <v>12011.8144850196</v>
      </c>
      <c r="Q566" s="15" t="n">
        <f aca="false">O566+P566</f>
        <v>18522.4471595249</v>
      </c>
      <c r="R566" s="15" t="n">
        <f aca="false">Q566-$G$2+$I$2</f>
        <v>17247.7771595249</v>
      </c>
      <c r="S566" s="42" t="n">
        <f aca="false">R566/$K$2</f>
        <v>484.896743309669</v>
      </c>
      <c r="T566" s="43" t="n">
        <f aca="false">S566-$M$2</f>
        <v>195.608016854791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-0.125</v>
      </c>
      <c r="C567" s="25" t="n">
        <f aca="false">IF(T566&gt;0,D566,C566)</f>
        <v>0.0625</v>
      </c>
      <c r="D567" s="41" t="n">
        <f aca="false">(B567+C567)/2</f>
        <v>-0.03125</v>
      </c>
      <c r="E567" s="15" t="n">
        <f aca="false">$C$2*(1+IF(E$3&lt;=$O$2,$D567,$D567-($D567-$I$562)*MIN(E$3-$O$2,$Q$2)/$Q$2))</f>
        <v>2402.5</v>
      </c>
      <c r="F567" s="15" t="n">
        <f aca="false">E567*(1+IF(F$3&lt;=$O$2,$D567,$D567-($D567-$I$562)*MIN(F$3-$O$2,$Q$2)/$Q$2))</f>
        <v>2327.421875</v>
      </c>
      <c r="G567" s="15" t="n">
        <f aca="false">F567*(1+IF(G$3&lt;=$O$2,$D567,$D567-($D567-$I$562)*MIN(G$3-$O$2,$Q$2)/$Q$2))</f>
        <v>2254.68994140625</v>
      </c>
      <c r="H567" s="15" t="n">
        <f aca="false">G567*(1+IF(H$3&lt;=$O$2,$D567,$D567-($D567-$I$562)*MIN(H$3-$O$2,$Q$2)/$Q$2))</f>
        <v>2184.2308807373</v>
      </c>
      <c r="I567" s="15" t="n">
        <f aca="false">H567*(1+IF(I$3&lt;=$O$2,$D567,$D567-($D567-$I$562)*MIN(I$3-$O$2,$Q$2)/$Q$2))</f>
        <v>2115.97366571426</v>
      </c>
      <c r="J567" s="15" t="n">
        <f aca="false">I567*(1+IF(J$3&lt;=$O$2,$D567,$D567-($D567-$I$562)*MIN(J$3-$O$2,$Q$2)/$Q$2))</f>
        <v>2079.28268235078</v>
      </c>
      <c r="K567" s="15" t="n">
        <f aca="false">J567*(1+IF(K$3&lt;=$O$2,$D567,$D567-($D567-$I$562)*MIN(K$3-$O$2,$Q$2)/$Q$2))</f>
        <v>2072.15074275032</v>
      </c>
      <c r="L567" s="15" t="n">
        <f aca="false">K567*(1+IF(L$3&lt;=$O$2,$D567,$D567-($D567-$I$562)*MIN(L$3-$O$2,$Q$2)/$Q$2))</f>
        <v>2093.86688253434</v>
      </c>
      <c r="M567" s="15" t="n">
        <f aca="false">L567*(1+IF(M$3&lt;=$O$2,$D567,$D567-($D567-$I$562)*MIN(M$3-$O$2,$Q$2)/$Q$2))</f>
        <v>2144.93629579935</v>
      </c>
      <c r="N567" s="15" t="n">
        <f aca="false">M567*(1+IF(N$3&lt;=$O$2,$D567,$D567-($D567-$I$562)*MIN(N$3-$O$2,$Q$2)/$Q$2))</f>
        <v>2227.08735592847</v>
      </c>
      <c r="O567" s="15" t="n">
        <f aca="false">SUMPRODUCT(E567:N567,1/(1+$F$562)^$E$3:$N$3)*$E$2</f>
        <v>4326.78663817306</v>
      </c>
      <c r="P567" s="15" t="n">
        <f aca="false">N567*$E$2*(1+$I$562)/($F$562-$I$562)/(1+$F$562)^$N$3</f>
        <v>6302.76101393297</v>
      </c>
      <c r="Q567" s="15" t="n">
        <f aca="false">O567+P567</f>
        <v>10629.547652106</v>
      </c>
      <c r="R567" s="15" t="n">
        <f aca="false">Q567-$G$2+$I$2</f>
        <v>9354.87765210603</v>
      </c>
      <c r="S567" s="42" t="n">
        <f aca="false">R567/$K$2</f>
        <v>262.999090584932</v>
      </c>
      <c r="T567" s="43" t="n">
        <f aca="false">S567-$M$2</f>
        <v>-26.2896358699458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-0.03125</v>
      </c>
      <c r="C568" s="25" t="n">
        <f aca="false">IF(T567&gt;0,D567,C567)</f>
        <v>0.0625</v>
      </c>
      <c r="D568" s="41" t="n">
        <f aca="false">(B568+C568)/2</f>
        <v>0.015625</v>
      </c>
      <c r="E568" s="15" t="n">
        <f aca="false">$C$2*(1+IF(E$3&lt;=$O$2,$D568,$D568-($D568-$I$562)*MIN(E$3-$O$2,$Q$2)/$Q$2))</f>
        <v>2518.75</v>
      </c>
      <c r="F568" s="15" t="n">
        <f aca="false">E568*(1+IF(F$3&lt;=$O$2,$D568,$D568-($D568-$I$562)*MIN(F$3-$O$2,$Q$2)/$Q$2))</f>
        <v>2558.10546875</v>
      </c>
      <c r="G568" s="15" t="n">
        <f aca="false">F568*(1+IF(G$3&lt;=$O$2,$D568,$D568-($D568-$I$562)*MIN(G$3-$O$2,$Q$2)/$Q$2))</f>
        <v>2598.07586669922</v>
      </c>
      <c r="H568" s="15" t="n">
        <f aca="false">G568*(1+IF(H$3&lt;=$O$2,$D568,$D568-($D568-$I$562)*MIN(H$3-$O$2,$Q$2)/$Q$2))</f>
        <v>2638.67080211639</v>
      </c>
      <c r="I568" s="15" t="n">
        <f aca="false">H568*(1+IF(I$3&lt;=$O$2,$D568,$D568-($D568-$I$562)*MIN(I$3-$O$2,$Q$2)/$Q$2))</f>
        <v>2679.90003339946</v>
      </c>
      <c r="J568" s="15" t="n">
        <f aca="false">I568*(1+IF(J$3&lt;=$O$2,$D568,$D568-($D568-$I$562)*MIN(J$3-$O$2,$Q$2)/$Q$2))</f>
        <v>2733.9268180728</v>
      </c>
      <c r="K568" s="15" t="n">
        <f aca="false">J568*(1+IF(K$3&lt;=$O$2,$D568,$D568-($D568-$I$562)*MIN(K$3-$O$2,$Q$2)/$Q$2))</f>
        <v>2801.4411408451</v>
      </c>
      <c r="L568" s="15" t="n">
        <f aca="false">K568*(1+IF(L$3&lt;=$O$2,$D568,$D568-($D568-$I$562)*MIN(L$3-$O$2,$Q$2)/$Q$2))</f>
        <v>2883.32726539201</v>
      </c>
      <c r="M568" s="15" t="n">
        <f aca="false">L568*(1+IF(M$3&lt;=$O$2,$D568,$D568-($D568-$I$562)*MIN(M$3-$O$2,$Q$2)/$Q$2))</f>
        <v>2980.68281050797</v>
      </c>
      <c r="N568" s="15" t="n">
        <f aca="false">M568*(1+IF(N$3&lt;=$O$2,$D568,$D568-($D568-$I$562)*MIN(N$3-$O$2,$Q$2)/$Q$2))</f>
        <v>3094.84296215042</v>
      </c>
      <c r="O568" s="15" t="n">
        <f aca="false">SUMPRODUCT(E568:N568,1/(1+$F$562)^$E$3:$N$3)*$E$2</f>
        <v>5305.50009674343</v>
      </c>
      <c r="P568" s="15" t="n">
        <f aca="false">N568*$E$2*(1+$I$562)/($F$562-$I$562)/(1+$F$562)^$N$3</f>
        <v>8758.54982255714</v>
      </c>
      <c r="Q568" s="15" t="n">
        <f aca="false">O568+P568</f>
        <v>14064.0499193006</v>
      </c>
      <c r="R568" s="15" t="n">
        <f aca="false">Q568-$G$2+$I$2</f>
        <v>12789.3799193006</v>
      </c>
      <c r="S568" s="42" t="n">
        <f aca="false">R568/$K$2</f>
        <v>359.555240913707</v>
      </c>
      <c r="T568" s="43" t="n">
        <f aca="false">S568-$M$2</f>
        <v>70.2665144588298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-0.03125</v>
      </c>
      <c r="C569" s="25" t="n">
        <f aca="false">IF(T568&gt;0,D568,C568)</f>
        <v>0.015625</v>
      </c>
      <c r="D569" s="41" t="n">
        <f aca="false">(B569+C569)/2</f>
        <v>-0.0078125</v>
      </c>
      <c r="E569" s="15" t="n">
        <f aca="false">$C$2*(1+IF(E$3&lt;=$O$2,$D569,$D569-($D569-$I$562)*MIN(E$3-$O$2,$Q$2)/$Q$2))</f>
        <v>2460.625</v>
      </c>
      <c r="F569" s="15" t="n">
        <f aca="false">E569*(1+IF(F$3&lt;=$O$2,$D569,$D569-($D569-$I$562)*MIN(F$3-$O$2,$Q$2)/$Q$2))</f>
        <v>2441.4013671875</v>
      </c>
      <c r="G569" s="15" t="n">
        <f aca="false">F569*(1+IF(G$3&lt;=$O$2,$D569,$D569-($D569-$I$562)*MIN(G$3-$O$2,$Q$2)/$Q$2))</f>
        <v>2422.32791900635</v>
      </c>
      <c r="H569" s="15" t="n">
        <f aca="false">G569*(1+IF(H$3&lt;=$O$2,$D569,$D569-($D569-$I$562)*MIN(H$3-$O$2,$Q$2)/$Q$2))</f>
        <v>2403.40348213911</v>
      </c>
      <c r="I569" s="15" t="n">
        <f aca="false">H569*(1+IF(I$3&lt;=$O$2,$D569,$D569-($D569-$I$562)*MIN(I$3-$O$2,$Q$2)/$Q$2))</f>
        <v>2384.6268924349</v>
      </c>
      <c r="J569" s="15" t="n">
        <f aca="false">I569*(1+IF(J$3&lt;=$O$2,$D569,$D569-($D569-$I$562)*MIN(J$3-$O$2,$Q$2)/$Q$2))</f>
        <v>2387.98921635323</v>
      </c>
      <c r="K569" s="15" t="n">
        <f aca="false">J569*(1+IF(K$3&lt;=$O$2,$D569,$D569-($D569-$I$562)*MIN(K$3-$O$2,$Q$2)/$Q$2))</f>
        <v>2413.37951169611</v>
      </c>
      <c r="L569" s="15" t="n">
        <f aca="false">K569*(1+IF(L$3&lt;=$O$2,$D569,$D569-($D569-$I$562)*MIN(L$3-$O$2,$Q$2)/$Q$2))</f>
        <v>2461.29716190083</v>
      </c>
      <c r="M569" s="15" t="n">
        <f aca="false">L569*(1+IF(M$3&lt;=$O$2,$D569,$D569-($D569-$I$562)*MIN(M$3-$O$2,$Q$2)/$Q$2))</f>
        <v>2532.86553012601</v>
      </c>
      <c r="N569" s="15" t="n">
        <f aca="false">M569*(1+IF(N$3&lt;=$O$2,$D569,$D569-($D569-$I$562)*MIN(N$3-$O$2,$Q$2)/$Q$2))</f>
        <v>2629.87427992983</v>
      </c>
      <c r="O569" s="15" t="n">
        <f aca="false">SUMPRODUCT(E569:N569,1/(1+$F$562)^$E$3:$N$3)*$E$2</f>
        <v>4790.55702969276</v>
      </c>
      <c r="P569" s="15" t="n">
        <f aca="false">N569*$E$2*(1+$I$562)/($F$562-$I$562)/(1+$F$562)^$N$3</f>
        <v>7442.66678132907</v>
      </c>
      <c r="Q569" s="15" t="n">
        <f aca="false">O569+P569</f>
        <v>12233.2238110218</v>
      </c>
      <c r="R569" s="15" t="n">
        <f aca="false">Q569-$G$2+$I$2</f>
        <v>10958.5538110218</v>
      </c>
      <c r="S569" s="42" t="n">
        <f aca="false">R569/$K$2</f>
        <v>308.08416674225</v>
      </c>
      <c r="T569" s="43" t="n">
        <f aca="false">S569-$M$2</f>
        <v>18.7954402873722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-0.03125</v>
      </c>
      <c r="C570" s="25" t="n">
        <f aca="false">IF(T569&gt;0,D569,C569)</f>
        <v>-0.0078125</v>
      </c>
      <c r="D570" s="41" t="n">
        <f aca="false">(B570+C570)/2</f>
        <v>-0.01953125</v>
      </c>
      <c r="E570" s="15" t="n">
        <f aca="false">$C$2*(1+IF(E$3&lt;=$O$2,$D570,$D570-($D570-$I$562)*MIN(E$3-$O$2,$Q$2)/$Q$2))</f>
        <v>2431.5625</v>
      </c>
      <c r="F570" s="15" t="n">
        <f aca="false">E570*(1+IF(F$3&lt;=$O$2,$D570,$D570-($D570-$I$562)*MIN(F$3-$O$2,$Q$2)/$Q$2))</f>
        <v>2384.07104492188</v>
      </c>
      <c r="G570" s="15" t="n">
        <f aca="false">F570*(1+IF(G$3&lt;=$O$2,$D570,$D570-($D570-$I$562)*MIN(G$3-$O$2,$Q$2)/$Q$2))</f>
        <v>2337.50715732574</v>
      </c>
      <c r="H570" s="15" t="n">
        <f aca="false">G570*(1+IF(H$3&lt;=$O$2,$D570,$D570-($D570-$I$562)*MIN(H$3-$O$2,$Q$2)/$Q$2))</f>
        <v>2291.85272065923</v>
      </c>
      <c r="I570" s="15" t="n">
        <f aca="false">H570*(1+IF(I$3&lt;=$O$2,$D570,$D570-($D570-$I$562)*MIN(I$3-$O$2,$Q$2)/$Q$2))</f>
        <v>2247.08997220885</v>
      </c>
      <c r="J570" s="15" t="n">
        <f aca="false">I570*(1+IF(J$3&lt;=$O$2,$D570,$D570-($D570-$I$562)*MIN(J$3-$O$2,$Q$2)/$Q$2))</f>
        <v>2229.19190058021</v>
      </c>
      <c r="K570" s="15" t="n">
        <f aca="false">J570*(1+IF(K$3&lt;=$O$2,$D570,$D570-($D570-$I$562)*MIN(K$3-$O$2,$Q$2)/$Q$2))</f>
        <v>2237.21977791217</v>
      </c>
      <c r="L570" s="15" t="n">
        <f aca="false">K570*(1+IF(L$3&lt;=$O$2,$D570,$D570-($D570-$I$562)*MIN(L$3-$O$2,$Q$2)/$Q$2))</f>
        <v>2271.15280889365</v>
      </c>
      <c r="M570" s="15" t="n">
        <f aca="false">L570*(1+IF(M$3&lt;=$O$2,$D570,$D570-($D570-$I$562)*MIN(M$3-$O$2,$Q$2)/$Q$2))</f>
        <v>2331.86924029842</v>
      </c>
      <c r="N570" s="15" t="n">
        <f aca="false">M570*(1+IF(N$3&lt;=$O$2,$D570,$D570-($D570-$I$562)*MIN(N$3-$O$2,$Q$2)/$Q$2))</f>
        <v>2421.17983220184</v>
      </c>
      <c r="O570" s="15" t="n">
        <f aca="false">SUMPRODUCT(E570:N570,1/(1+$F$562)^$E$3:$N$3)*$E$2</f>
        <v>4552.5896967209</v>
      </c>
      <c r="P570" s="15" t="n">
        <f aca="false">N570*$E$2*(1+$I$562)/($F$562-$I$562)/(1+$F$562)^$N$3</f>
        <v>6852.05176774966</v>
      </c>
      <c r="Q570" s="15" t="n">
        <f aca="false">O570+P570</f>
        <v>11404.6414644706</v>
      </c>
      <c r="R570" s="15" t="n">
        <f aca="false">Q570-$G$2+$I$2</f>
        <v>10129.9714644706</v>
      </c>
      <c r="S570" s="42" t="n">
        <f aca="false">R570/$K$2</f>
        <v>284.789751601646</v>
      </c>
      <c r="T570" s="43" t="n">
        <f aca="false">S570-$M$2</f>
        <v>-4.49897485323129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-0.01953125</v>
      </c>
      <c r="C571" s="25" t="n">
        <f aca="false">IF(T570&gt;0,D570,C570)</f>
        <v>-0.0078125</v>
      </c>
      <c r="D571" s="41" t="n">
        <f aca="false">(B571+C571)/2</f>
        <v>-0.013671875</v>
      </c>
      <c r="E571" s="15" t="n">
        <f aca="false">$C$2*(1+IF(E$3&lt;=$O$2,$D571,$D571-($D571-$I$562)*MIN(E$3-$O$2,$Q$2)/$Q$2))</f>
        <v>2446.09375</v>
      </c>
      <c r="F571" s="15" t="n">
        <f aca="false">E571*(1+IF(F$3&lt;=$O$2,$D571,$D571-($D571-$I$562)*MIN(F$3-$O$2,$Q$2)/$Q$2))</f>
        <v>2412.65106201172</v>
      </c>
      <c r="G571" s="15" t="n">
        <f aca="false">F571*(1+IF(G$3&lt;=$O$2,$D571,$D571-($D571-$I$562)*MIN(G$3-$O$2,$Q$2)/$Q$2))</f>
        <v>2379.66559827328</v>
      </c>
      <c r="H571" s="15" t="n">
        <f aca="false">G571*(1+IF(H$3&lt;=$O$2,$D571,$D571-($D571-$I$562)*MIN(H$3-$O$2,$Q$2)/$Q$2))</f>
        <v>2347.13110767189</v>
      </c>
      <c r="I571" s="15" t="n">
        <f aca="false">H571*(1+IF(I$3&lt;=$O$2,$D571,$D571-($D571-$I$562)*MIN(I$3-$O$2,$Q$2)/$Q$2))</f>
        <v>2315.04142455918</v>
      </c>
      <c r="J571" s="15" t="n">
        <f aca="false">I571*(1+IF(J$3&lt;=$O$2,$D571,$D571-($D571-$I$562)*MIN(J$3-$O$2,$Q$2)/$Q$2))</f>
        <v>2307.45387629019</v>
      </c>
      <c r="K571" s="15" t="n">
        <f aca="false">J571*(1+IF(K$3&lt;=$O$2,$D571,$D571-($D571-$I$562)*MIN(K$3-$O$2,$Q$2)/$Q$2))</f>
        <v>2323.87573709601</v>
      </c>
      <c r="L571" s="15" t="n">
        <f aca="false">K571*(1+IF(L$3&lt;=$O$2,$D571,$D571-($D571-$I$562)*MIN(L$3-$O$2,$Q$2)/$Q$2))</f>
        <v>2364.56970609724</v>
      </c>
      <c r="M571" s="15" t="n">
        <f aca="false">L571*(1+IF(M$3&lt;=$O$2,$D571,$D571-($D571-$I$562)*MIN(M$3-$O$2,$Q$2)/$Q$2))</f>
        <v>2430.55450160195</v>
      </c>
      <c r="N571" s="15" t="n">
        <f aca="false">M571*(1+IF(N$3&lt;=$O$2,$D571,$D571-($D571-$I$562)*MIN(N$3-$O$2,$Q$2)/$Q$2))</f>
        <v>2523.6447390133</v>
      </c>
      <c r="O571" s="15" t="n">
        <f aca="false">SUMPRODUCT(E571:N571,1/(1+$F$562)^$E$3:$N$3)*$E$2</f>
        <v>4670.01459031565</v>
      </c>
      <c r="P571" s="15" t="n">
        <f aca="false">N571*$E$2*(1+$I$562)/($F$562-$I$562)/(1+$F$562)^$N$3</f>
        <v>7142.03222955255</v>
      </c>
      <c r="Q571" s="15" t="n">
        <f aca="false">O571+P571</f>
        <v>11812.0468198682</v>
      </c>
      <c r="R571" s="15" t="n">
        <f aca="false">Q571-$G$2+$I$2</f>
        <v>10537.3768198682</v>
      </c>
      <c r="S571" s="42" t="n">
        <f aca="false">R571/$K$2</f>
        <v>296.243374188029</v>
      </c>
      <c r="T571" s="43" t="n">
        <f aca="false">S571-$M$2</f>
        <v>6.9546477331516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-0.01953125</v>
      </c>
      <c r="C572" s="25" t="n">
        <f aca="false">IF(T571&gt;0,D571,C571)</f>
        <v>-0.013671875</v>
      </c>
      <c r="D572" s="41" t="n">
        <f aca="false">(B572+C572)/2</f>
        <v>-0.0166015625</v>
      </c>
      <c r="E572" s="15" t="n">
        <f aca="false">$C$2*(1+IF(E$3&lt;=$O$2,$D572,$D572-($D572-$I$562)*MIN(E$3-$O$2,$Q$2)/$Q$2))</f>
        <v>2438.828125</v>
      </c>
      <c r="F572" s="15" t="n">
        <f aca="false">E572*(1+IF(F$3&lt;=$O$2,$D572,$D572-($D572-$I$562)*MIN(F$3-$O$2,$Q$2)/$Q$2))</f>
        <v>2398.33976745605</v>
      </c>
      <c r="G572" s="15" t="n">
        <f aca="false">F572*(1+IF(G$3&lt;=$O$2,$D572,$D572-($D572-$I$562)*MIN(G$3-$O$2,$Q$2)/$Q$2))</f>
        <v>2358.5235799104</v>
      </c>
      <c r="H572" s="15" t="n">
        <f aca="false">G572*(1+IF(H$3&lt;=$O$2,$D572,$D572-($D572-$I$562)*MIN(H$3-$O$2,$Q$2)/$Q$2))</f>
        <v>2319.36840329079</v>
      </c>
      <c r="I572" s="15" t="n">
        <f aca="false">H572*(1+IF(I$3&lt;=$O$2,$D572,$D572-($D572-$I$562)*MIN(I$3-$O$2,$Q$2)/$Q$2))</f>
        <v>2280.86326378303</v>
      </c>
      <c r="J572" s="15" t="n">
        <f aca="false">I572*(1+IF(J$3&lt;=$O$2,$D572,$D572-($D572-$I$562)*MIN(J$3-$O$2,$Q$2)/$Q$2))</f>
        <v>2268.04196116149</v>
      </c>
      <c r="K572" s="15" t="n">
        <f aca="false">J572*(1+IF(K$3&lt;=$O$2,$D572,$D572-($D572-$I$562)*MIN(K$3-$O$2,$Q$2)/$Q$2))</f>
        <v>2280.19653978398</v>
      </c>
      <c r="L572" s="15" t="n">
        <f aca="false">K572*(1+IF(L$3&lt;=$O$2,$D572,$D572-($D572-$I$562)*MIN(L$3-$O$2,$Q$2)/$Q$2))</f>
        <v>2317.45352612121</v>
      </c>
      <c r="M572" s="15" t="n">
        <f aca="false">L572*(1+IF(M$3&lt;=$O$2,$D572,$D572-($D572-$I$562)*MIN(M$3-$O$2,$Q$2)/$Q$2))</f>
        <v>2380.76563225062</v>
      </c>
      <c r="N572" s="15" t="n">
        <f aca="false">M572*(1+IF(N$3&lt;=$O$2,$D572,$D572-($D572-$I$562)*MIN(N$3-$O$2,$Q$2)/$Q$2))</f>
        <v>2471.94895596582</v>
      </c>
      <c r="O572" s="15" t="n">
        <f aca="false">SUMPRODUCT(E572:N572,1/(1+$F$562)^$E$3:$N$3)*$E$2</f>
        <v>4610.91729550931</v>
      </c>
      <c r="P572" s="15" t="n">
        <f aca="false">N572*$E$2*(1+$I$562)/($F$562-$I$562)/(1+$F$562)^$N$3</f>
        <v>6995.73075417078</v>
      </c>
      <c r="Q572" s="15" t="n">
        <f aca="false">O572+P572</f>
        <v>11606.6480496801</v>
      </c>
      <c r="R572" s="15" t="n">
        <f aca="false">Q572-$G$2+$I$2</f>
        <v>10331.9780496801</v>
      </c>
      <c r="S572" s="42" t="n">
        <f aca="false">R572/$K$2</f>
        <v>290.468879664889</v>
      </c>
      <c r="T572" s="43" t="n">
        <f aca="false">S572-$M$2</f>
        <v>1.1801532100111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-0.01953125</v>
      </c>
      <c r="C573" s="25" t="n">
        <f aca="false">IF(T572&gt;0,D572,C572)</f>
        <v>-0.0166015625</v>
      </c>
      <c r="D573" s="41" t="n">
        <f aca="false">(B573+C573)/2</f>
        <v>-0.01806640625</v>
      </c>
      <c r="E573" s="15" t="n">
        <f aca="false">$C$2*(1+IF(E$3&lt;=$O$2,$D573,$D573-($D573-$I$562)*MIN(E$3-$O$2,$Q$2)/$Q$2))</f>
        <v>2435.1953125</v>
      </c>
      <c r="F573" s="15" t="n">
        <f aca="false">E573*(1+IF(F$3&lt;=$O$2,$D573,$D573-($D573-$I$562)*MIN(F$3-$O$2,$Q$2)/$Q$2))</f>
        <v>2391.20008468628</v>
      </c>
      <c r="G573" s="15" t="n">
        <f aca="false">F573*(1+IF(G$3&lt;=$O$2,$D573,$D573-($D573-$I$562)*MIN(G$3-$O$2,$Q$2)/$Q$2))</f>
        <v>2347.9996925313</v>
      </c>
      <c r="H573" s="15" t="n">
        <f aca="false">G573*(1+IF(H$3&lt;=$O$2,$D573,$D573-($D573-$I$562)*MIN(H$3-$O$2,$Q$2)/$Q$2))</f>
        <v>2305.57977621116</v>
      </c>
      <c r="I573" s="15" t="n">
        <f aca="false">H573*(1+IF(I$3&lt;=$O$2,$D573,$D573-($D573-$I$562)*MIN(I$3-$O$2,$Q$2)/$Q$2))</f>
        <v>2263.92623533234</v>
      </c>
      <c r="J573" s="15" t="n">
        <f aca="false">I573*(1+IF(J$3&lt;=$O$2,$D573,$D573-($D573-$I$562)*MIN(J$3-$O$2,$Q$2)/$Q$2))</f>
        <v>2248.54710142495</v>
      </c>
      <c r="K573" s="15" t="n">
        <f aca="false">J573*(1+IF(K$3&lt;=$O$2,$D573,$D573-($D573-$I$562)*MIN(K$3-$O$2,$Q$2)/$Q$2))</f>
        <v>2258.62094377482</v>
      </c>
      <c r="L573" s="15" t="n">
        <f aca="false">K573*(1+IF(L$3&lt;=$O$2,$D573,$D573-($D573-$I$562)*MIN(L$3-$O$2,$Q$2)/$Q$2))</f>
        <v>2294.20198764877</v>
      </c>
      <c r="M573" s="15" t="n">
        <f aca="false">L573*(1+IF(M$3&lt;=$O$2,$D573,$D573-($D573-$I$562)*MIN(M$3-$O$2,$Q$2)/$Q$2))</f>
        <v>2356.20673952464</v>
      </c>
      <c r="N573" s="15" t="n">
        <f aca="false">M573*(1+IF(N$3&lt;=$O$2,$D573,$D573-($D573-$I$562)*MIN(N$3-$O$2,$Q$2)/$Q$2))</f>
        <v>2446.44945764843</v>
      </c>
      <c r="O573" s="15" t="n">
        <f aca="false">SUMPRODUCT(E573:N573,1/(1+$F$562)^$E$3:$N$3)*$E$2</f>
        <v>4581.65788399644</v>
      </c>
      <c r="P573" s="15" t="n">
        <f aca="false">N573*$E$2*(1+$I$562)/($F$562-$I$562)/(1+$F$562)^$N$3</f>
        <v>6923.56598549127</v>
      </c>
      <c r="Q573" s="15" t="n">
        <f aca="false">O573+P573</f>
        <v>11505.2238694877</v>
      </c>
      <c r="R573" s="15" t="n">
        <f aca="false">Q573-$G$2+$I$2</f>
        <v>10230.5538694877</v>
      </c>
      <c r="S573" s="42" t="n">
        <f aca="false">R573/$K$2</f>
        <v>287.617482976882</v>
      </c>
      <c r="T573" s="43" t="n">
        <f aca="false">S573-$M$2</f>
        <v>-1.67124347799535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-0.01806640625</v>
      </c>
      <c r="C574" s="25" t="n">
        <f aca="false">IF(T573&gt;0,D573,C573)</f>
        <v>-0.0166015625</v>
      </c>
      <c r="D574" s="41" t="n">
        <f aca="false">(B574+C574)/2</f>
        <v>-0.017333984375</v>
      </c>
      <c r="E574" s="15" t="n">
        <f aca="false">$C$2*(1+IF(E$3&lt;=$O$2,$D574,$D574-($D574-$I$562)*MIN(E$3-$O$2,$Q$2)/$Q$2))</f>
        <v>2437.01171875</v>
      </c>
      <c r="F574" s="15" t="n">
        <f aca="false">E574*(1+IF(F$3&lt;=$O$2,$D574,$D574-($D574-$I$562)*MIN(F$3-$O$2,$Q$2)/$Q$2))</f>
        <v>2394.7685956955</v>
      </c>
      <c r="G574" s="15" t="n">
        <f aca="false">F574*(1+IF(G$3&lt;=$O$2,$D574,$D574-($D574-$I$562)*MIN(G$3-$O$2,$Q$2)/$Q$2))</f>
        <v>2353.25771427597</v>
      </c>
      <c r="H574" s="15" t="n">
        <f aca="false">G574*(1+IF(H$3&lt;=$O$2,$D574,$D574-($D574-$I$562)*MIN(H$3-$O$2,$Q$2)/$Q$2))</f>
        <v>2312.46638182636</v>
      </c>
      <c r="I574" s="15" t="n">
        <f aca="false">H574*(1+IF(I$3&lt;=$O$2,$D574,$D574-($D574-$I$562)*MIN(I$3-$O$2,$Q$2)/$Q$2))</f>
        <v>2272.38212569607</v>
      </c>
      <c r="J574" s="15" t="n">
        <f aca="false">I574*(1+IF(J$3&lt;=$O$2,$D574,$D574-($D574-$I$562)*MIN(J$3-$O$2,$Q$2)/$Q$2))</f>
        <v>2258.27702377023</v>
      </c>
      <c r="K574" s="15" t="n">
        <f aca="false">J574*(1+IF(K$3&lt;=$O$2,$D574,$D574-($D574-$I$562)*MIN(K$3-$O$2,$Q$2)/$Q$2))</f>
        <v>2269.38686458771</v>
      </c>
      <c r="L574" s="15" t="n">
        <f aca="false">K574*(1+IF(L$3&lt;=$O$2,$D574,$D574-($D574-$I$562)*MIN(L$3-$O$2,$Q$2)/$Q$2))</f>
        <v>2305.8023681553</v>
      </c>
      <c r="M574" s="15" t="n">
        <f aca="false">L574*(1+IF(M$3&lt;=$O$2,$D574,$D574-($D574-$I$562)*MIN(M$3-$O$2,$Q$2)/$Q$2))</f>
        <v>2368.45840427129</v>
      </c>
      <c r="N574" s="15" t="n">
        <f aca="false">M574*(1+IF(N$3&lt;=$O$2,$D574,$D574-($D574-$I$562)*MIN(N$3-$O$2,$Q$2)/$Q$2))</f>
        <v>2459.17036115488</v>
      </c>
      <c r="O574" s="15" t="n">
        <f aca="false">SUMPRODUCT(E574:N574,1/(1+$F$562)^$E$3:$N$3)*$E$2</f>
        <v>4596.26361199376</v>
      </c>
      <c r="P574" s="15" t="n">
        <f aca="false">N574*$E$2*(1+$I$562)/($F$562-$I$562)/(1+$F$562)^$N$3</f>
        <v>6959.56673529078</v>
      </c>
      <c r="Q574" s="15" t="n">
        <f aca="false">O574+P574</f>
        <v>11555.8303472845</v>
      </c>
      <c r="R574" s="15" t="n">
        <f aca="false">Q574-$G$2+$I$2</f>
        <v>10281.1603472845</v>
      </c>
      <c r="S574" s="42" t="n">
        <f aca="false">R574/$K$2</f>
        <v>289.040212181179</v>
      </c>
      <c r="T574" s="43" t="n">
        <f aca="false">S574-$M$2</f>
        <v>-0.248514273698618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-0.017333984375</v>
      </c>
      <c r="C575" s="25" t="n">
        <f aca="false">IF(T574&gt;0,D574,C574)</f>
        <v>-0.0166015625</v>
      </c>
      <c r="D575" s="41" t="n">
        <f aca="false">(B575+C575)/2</f>
        <v>-0.0169677734375</v>
      </c>
      <c r="E575" s="15" t="n">
        <f aca="false">$C$2*(1+IF(E$3&lt;=$O$2,$D575,$D575-($D575-$I$562)*MIN(E$3-$O$2,$Q$2)/$Q$2))</f>
        <v>2437.919921875</v>
      </c>
      <c r="F575" s="15" t="n">
        <f aca="false">E575*(1+IF(F$3&lt;=$O$2,$D575,$D575-($D575-$I$562)*MIN(F$3-$O$2,$Q$2)/$Q$2))</f>
        <v>2396.55384898186</v>
      </c>
      <c r="G575" s="15" t="n">
        <f aca="false">F575*(1+IF(G$3&lt;=$O$2,$D575,$D575-($D575-$I$562)*MIN(G$3-$O$2,$Q$2)/$Q$2))</f>
        <v>2355.88966624156</v>
      </c>
      <c r="H575" s="15" t="n">
        <f aca="false">G575*(1+IF(H$3&lt;=$O$2,$D575,$D575-($D575-$I$562)*MIN(H$3-$O$2,$Q$2)/$Q$2))</f>
        <v>2315.91546414103</v>
      </c>
      <c r="I575" s="15" t="n">
        <f aca="false">H575*(1+IF(I$3&lt;=$O$2,$D575,$D575-($D575-$I$562)*MIN(I$3-$O$2,$Q$2)/$Q$2))</f>
        <v>2276.61953524508</v>
      </c>
      <c r="J575" s="15" t="n">
        <f aca="false">I575*(1+IF(J$3&lt;=$O$2,$D575,$D575-($D575-$I$562)*MIN(J$3-$O$2,$Q$2)/$Q$2))</f>
        <v>2263.15510930312</v>
      </c>
      <c r="K575" s="15" t="n">
        <f aca="false">J575*(1+IF(K$3&lt;=$O$2,$D575,$D575-($D575-$I$562)*MIN(K$3-$O$2,$Q$2)/$Q$2))</f>
        <v>2274.7862236885</v>
      </c>
      <c r="L575" s="15" t="n">
        <f aca="false">K575*(1+IF(L$3&lt;=$O$2,$D575,$D575-($D575-$I$562)*MIN(L$3-$O$2,$Q$2)/$Q$2))</f>
        <v>2311.62158820394</v>
      </c>
      <c r="M575" s="15" t="n">
        <f aca="false">L575*(1+IF(M$3&lt;=$O$2,$D575,$D575-($D575-$I$562)*MIN(M$3-$O$2,$Q$2)/$Q$2))</f>
        <v>2374.60505939014</v>
      </c>
      <c r="N575" s="15" t="n">
        <f aca="false">M575*(1+IF(N$3&lt;=$O$2,$D575,$D575-($D575-$I$562)*MIN(N$3-$O$2,$Q$2)/$Q$2))</f>
        <v>2465.55243316478</v>
      </c>
      <c r="O575" s="15" t="n">
        <f aca="false">SUMPRODUCT(E575:N575,1/(1+$F$562)^$E$3:$N$3)*$E$2</f>
        <v>4603.58444994822</v>
      </c>
      <c r="P575" s="15" t="n">
        <f aca="false">N575*$E$2*(1+$I$562)/($F$562-$I$562)/(1+$F$562)^$N$3</f>
        <v>6977.62829652456</v>
      </c>
      <c r="Q575" s="15" t="n">
        <f aca="false">O575+P575</f>
        <v>11581.2127464728</v>
      </c>
      <c r="R575" s="15" t="n">
        <f aca="false">Q575-$G$2+$I$2</f>
        <v>10306.5427464728</v>
      </c>
      <c r="S575" s="42" t="n">
        <f aca="false">R575/$K$2</f>
        <v>289.753802262378</v>
      </c>
      <c r="T575" s="43" t="n">
        <f aca="false">S575-$M$2</f>
        <v>0.465075807500284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-0.017333984375</v>
      </c>
      <c r="C576" s="25" t="n">
        <f aca="false">IF(T575&gt;0,D575,C575)</f>
        <v>-0.0169677734375</v>
      </c>
      <c r="D576" s="41" t="n">
        <f aca="false">(B576+C576)/2</f>
        <v>-0.01715087890625</v>
      </c>
      <c r="E576" s="15" t="n">
        <f aca="false">$C$2*(1+IF(E$3&lt;=$O$2,$D576,$D576-($D576-$I$562)*MIN(E$3-$O$2,$Q$2)/$Q$2))</f>
        <v>2437.4658203125</v>
      </c>
      <c r="F576" s="15" t="n">
        <f aca="false">E576*(1+IF(F$3&lt;=$O$2,$D576,$D576-($D576-$I$562)*MIN(F$3-$O$2,$Q$2)/$Q$2))</f>
        <v>2395.6611391902</v>
      </c>
      <c r="G576" s="15" t="n">
        <f aca="false">F576*(1+IF(G$3&lt;=$O$2,$D576,$D576-($D576-$I$562)*MIN(G$3-$O$2,$Q$2)/$Q$2))</f>
        <v>2354.57344509154</v>
      </c>
      <c r="H576" s="15" t="n">
        <f aca="false">G576*(1+IF(H$3&lt;=$O$2,$D576,$D576-($D576-$I$562)*MIN(H$3-$O$2,$Q$2)/$Q$2))</f>
        <v>2314.1904410589</v>
      </c>
      <c r="I576" s="15" t="n">
        <f aca="false">H576*(1+IF(I$3&lt;=$O$2,$D576,$D576-($D576-$I$562)*MIN(I$3-$O$2,$Q$2)/$Q$2))</f>
        <v>2274.5000410383</v>
      </c>
      <c r="J576" s="15" t="n">
        <f aca="false">I576*(1+IF(J$3&lt;=$O$2,$D576,$D576-($D576-$I$562)*MIN(J$3-$O$2,$Q$2)/$Q$2))</f>
        <v>2260.71497153176</v>
      </c>
      <c r="K576" s="15" t="n">
        <f aca="false">J576*(1+IF(K$3&lt;=$O$2,$D576,$D576-($D576-$I$562)*MIN(K$3-$O$2,$Q$2)/$Q$2))</f>
        <v>2272.08517566466</v>
      </c>
      <c r="L576" s="15" t="n">
        <f aca="false">K576*(1+IF(L$3&lt;=$O$2,$D576,$D576-($D576-$I$562)*MIN(L$3-$O$2,$Q$2)/$Q$2))</f>
        <v>2308.71038991643</v>
      </c>
      <c r="M576" s="15" t="n">
        <f aca="false">L576*(1+IF(M$3&lt;=$O$2,$D576,$D576-($D576-$I$562)*MIN(M$3-$O$2,$Q$2)/$Q$2))</f>
        <v>2371.52999379806</v>
      </c>
      <c r="N576" s="15" t="n">
        <f aca="false">M576*(1+IF(N$3&lt;=$O$2,$D576,$D576-($D576-$I$562)*MIN(N$3-$O$2,$Q$2)/$Q$2))</f>
        <v>2462.35959256052</v>
      </c>
      <c r="O576" s="15" t="n">
        <f aca="false">SUMPRODUCT(E576:N576,1/(1+$F$562)^$E$3:$N$3)*$E$2</f>
        <v>4599.9225311916</v>
      </c>
      <c r="P576" s="15" t="n">
        <f aca="false">N576*$E$2*(1+$I$562)/($F$562-$I$562)/(1+$F$562)^$N$3</f>
        <v>6968.59240880753</v>
      </c>
      <c r="Q576" s="15" t="n">
        <f aca="false">O576+P576</f>
        <v>11568.5149399991</v>
      </c>
      <c r="R576" s="15" t="n">
        <f aca="false">Q576-$G$2+$I$2</f>
        <v>10293.8449399991</v>
      </c>
      <c r="S576" s="42" t="n">
        <f aca="false">R576/$K$2</f>
        <v>289.39682147875</v>
      </c>
      <c r="T576" s="43" t="n">
        <f aca="false">S576-$M$2</f>
        <v>0.108095023872011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-0.017333984375</v>
      </c>
      <c r="C577" s="25" t="n">
        <f aca="false">IF(T576&gt;0,D576,C576)</f>
        <v>-0.01715087890625</v>
      </c>
      <c r="D577" s="41" t="n">
        <f aca="false">(B577+C577)/2</f>
        <v>-0.017242431640625</v>
      </c>
      <c r="E577" s="15" t="n">
        <f aca="false">$C$2*(1+IF(E$3&lt;=$O$2,$D577,$D577-($D577-$I$562)*MIN(E$3-$O$2,$Q$2)/$Q$2))</f>
        <v>2437.23876953125</v>
      </c>
      <c r="F577" s="15" t="n">
        <f aca="false">E577*(1+IF(F$3&lt;=$O$2,$D577,$D577-($D577-$I$562)*MIN(F$3-$O$2,$Q$2)/$Q$2))</f>
        <v>2395.21484665573</v>
      </c>
      <c r="G577" s="15" t="n">
        <f aca="false">F577*(1+IF(G$3&lt;=$O$2,$D577,$D577-($D577-$I$562)*MIN(G$3-$O$2,$Q$2)/$Q$2))</f>
        <v>2353.91551839766</v>
      </c>
      <c r="H577" s="15" t="n">
        <f aca="false">G577*(1+IF(H$3&lt;=$O$2,$D577,$D577-($D577-$I$562)*MIN(H$3-$O$2,$Q$2)/$Q$2))</f>
        <v>2313.32829098388</v>
      </c>
      <c r="I577" s="15" t="n">
        <f aca="false">H577*(1+IF(I$3&lt;=$O$2,$D577,$D577-($D577-$I$562)*MIN(I$3-$O$2,$Q$2)/$Q$2))</f>
        <v>2273.44088606426</v>
      </c>
      <c r="J577" s="15" t="n">
        <f aca="false">I577*(1+IF(J$3&lt;=$O$2,$D577,$D577-($D577-$I$562)*MIN(J$3-$O$2,$Q$2)/$Q$2))</f>
        <v>2259.49572399794</v>
      </c>
      <c r="K577" s="15" t="n">
        <f aca="false">J577*(1+IF(K$3&lt;=$O$2,$D577,$D577-($D577-$I$562)*MIN(K$3-$O$2,$Q$2)/$Q$2))</f>
        <v>2270.7356781516</v>
      </c>
      <c r="L577" s="15" t="n">
        <f aca="false">K577*(1+IF(L$3&lt;=$O$2,$D577,$D577-($D577-$I$562)*MIN(L$3-$O$2,$Q$2)/$Q$2))</f>
        <v>2307.25598215374</v>
      </c>
      <c r="M577" s="15" t="n">
        <f aca="false">L577*(1+IF(M$3&lt;=$O$2,$D577,$D577-($D577-$I$562)*MIN(M$3-$O$2,$Q$2)/$Q$2))</f>
        <v>2369.99376473699</v>
      </c>
      <c r="N577" s="15" t="n">
        <f aca="false">M577*(1+IF(N$3&lt;=$O$2,$D577,$D577-($D577-$I$562)*MIN(N$3-$O$2,$Q$2)/$Q$2))</f>
        <v>2460.76452592642</v>
      </c>
      <c r="O577" s="15" t="n">
        <f aca="false">SUMPRODUCT(E577:N577,1/(1+$F$562)^$E$3:$N$3)*$E$2</f>
        <v>4598.09269679418</v>
      </c>
      <c r="P577" s="15" t="n">
        <f aca="false">N577*$E$2*(1+$I$562)/($F$562-$I$562)/(1+$F$562)^$N$3</f>
        <v>6964.0782958926</v>
      </c>
      <c r="Q577" s="15" t="n">
        <f aca="false">O577+P577</f>
        <v>11562.1709926868</v>
      </c>
      <c r="R577" s="15" t="n">
        <f aca="false">Q577-$G$2+$I$2</f>
        <v>10287.5009926868</v>
      </c>
      <c r="S577" s="42" t="n">
        <f aca="false">R577/$K$2</f>
        <v>289.218470415709</v>
      </c>
      <c r="T577" s="43" t="n">
        <f aca="false">S577-$M$2</f>
        <v>-0.0702560391683846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-0.017242431640625</v>
      </c>
      <c r="C578" s="25" t="n">
        <f aca="false">IF(T577&gt;0,D577,C577)</f>
        <v>-0.01715087890625</v>
      </c>
      <c r="D578" s="41" t="n">
        <f aca="false">(B578+C578)/2</f>
        <v>-0.0171966552734375</v>
      </c>
      <c r="E578" s="15" t="n">
        <f aca="false">$C$2*(1+IF(E$3&lt;=$O$2,$D578,$D578-($D578-$I$562)*MIN(E$3-$O$2,$Q$2)/$Q$2))</f>
        <v>2437.35229492188</v>
      </c>
      <c r="F578" s="15" t="n">
        <f aca="false">E578*(1+IF(F$3&lt;=$O$2,$D578,$D578-($D578-$I$562)*MIN(F$3-$O$2,$Q$2)/$Q$2))</f>
        <v>2395.43798772618</v>
      </c>
      <c r="G578" s="15" t="n">
        <f aca="false">F578*(1+IF(G$3&lt;=$O$2,$D578,$D578-($D578-$I$562)*MIN(G$3-$O$2,$Q$2)/$Q$2))</f>
        <v>2354.24446642236</v>
      </c>
      <c r="H578" s="15" t="n">
        <f aca="false">G578*(1+IF(H$3&lt;=$O$2,$D578,$D578-($D578-$I$562)*MIN(H$3-$O$2,$Q$2)/$Q$2))</f>
        <v>2313.75933590389</v>
      </c>
      <c r="I578" s="15" t="n">
        <f aca="false">H578*(1+IF(I$3&lt;=$O$2,$D578,$D578-($D578-$I$562)*MIN(I$3-$O$2,$Q$2)/$Q$2))</f>
        <v>2273.97041421866</v>
      </c>
      <c r="J578" s="15" t="n">
        <f aca="false">I578*(1+IF(J$3&lt;=$O$2,$D578,$D578-($D578-$I$562)*MIN(J$3-$O$2,$Q$2)/$Q$2))</f>
        <v>2260.10527933932</v>
      </c>
      <c r="K578" s="15" t="n">
        <f aca="false">J578*(1+IF(K$3&lt;=$O$2,$D578,$D578-($D578-$I$562)*MIN(K$3-$O$2,$Q$2)/$Q$2))</f>
        <v>2271.41034139652</v>
      </c>
      <c r="L578" s="15" t="n">
        <f aca="false">K578*(1+IF(L$3&lt;=$O$2,$D578,$D578-($D578-$I$562)*MIN(L$3-$O$2,$Q$2)/$Q$2))</f>
        <v>2307.9830867916</v>
      </c>
      <c r="M578" s="15" t="n">
        <f aca="false">L578*(1+IF(M$3&lt;=$O$2,$D578,$D578-($D578-$I$562)*MIN(M$3-$O$2,$Q$2)/$Q$2))</f>
        <v>2370.7617706668</v>
      </c>
      <c r="N578" s="15" t="n">
        <f aca="false">M578*(1+IF(N$3&lt;=$O$2,$D578,$D578-($D578-$I$562)*MIN(N$3-$O$2,$Q$2)/$Q$2))</f>
        <v>2461.56194648334</v>
      </c>
      <c r="O578" s="15" t="n">
        <f aca="false">SUMPRODUCT(E578:N578,1/(1+$F$562)^$E$3:$N$3)*$E$2</f>
        <v>4599.00752027498</v>
      </c>
      <c r="P578" s="15" t="n">
        <f aca="false">N578*$E$2*(1+$I$562)/($F$562-$I$562)/(1+$F$562)^$N$3</f>
        <v>6966.33503323364</v>
      </c>
      <c r="Q578" s="15" t="n">
        <f aca="false">O578+P578</f>
        <v>11565.3425535086</v>
      </c>
      <c r="R578" s="15" t="n">
        <f aca="false">Q578-$G$2+$I$2</f>
        <v>10290.6725535086</v>
      </c>
      <c r="S578" s="42" t="n">
        <f aca="false">R578/$K$2</f>
        <v>289.307634340979</v>
      </c>
      <c r="T578" s="43" t="n">
        <f aca="false">S578-$M$2</f>
        <v>0.0189078861009762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-0.017242431640625</v>
      </c>
      <c r="C579" s="25" t="n">
        <f aca="false">IF(T578&gt;0,D578,C578)</f>
        <v>-0.0171966552734375</v>
      </c>
      <c r="D579" s="41" t="n">
        <f aca="false">(B579+C579)/2</f>
        <v>-0.0172195434570313</v>
      </c>
      <c r="E579" s="15" t="n">
        <f aca="false">$C$2*(1+IF(E$3&lt;=$O$2,$D579,$D579-($D579-$I$562)*MIN(E$3-$O$2,$Q$2)/$Q$2))</f>
        <v>2437.29553222656</v>
      </c>
      <c r="F579" s="15" t="n">
        <f aca="false">E579*(1+IF(F$3&lt;=$O$2,$D579,$D579-($D579-$I$562)*MIN(F$3-$O$2,$Q$2)/$Q$2))</f>
        <v>2395.32641589176</v>
      </c>
      <c r="G579" s="15" t="n">
        <f aca="false">F579*(1+IF(G$3&lt;=$O$2,$D579,$D579-($D579-$I$562)*MIN(G$3-$O$2,$Q$2)/$Q$2))</f>
        <v>2354.07998857954</v>
      </c>
      <c r="H579" s="15" t="n">
        <f aca="false">G579*(1+IF(H$3&lt;=$O$2,$D579,$D579-($D579-$I$562)*MIN(H$3-$O$2,$Q$2)/$Q$2))</f>
        <v>2313.54380591486</v>
      </c>
      <c r="I579" s="15" t="n">
        <f aca="false">H579*(1+IF(I$3&lt;=$O$2,$D579,$D579-($D579-$I$562)*MIN(I$3-$O$2,$Q$2)/$Q$2))</f>
        <v>2273.70563780917</v>
      </c>
      <c r="J579" s="15" t="n">
        <f aca="false">I579*(1+IF(J$3&lt;=$O$2,$D579,$D579-($D579-$I$562)*MIN(J$3-$O$2,$Q$2)/$Q$2))</f>
        <v>2259.80048456378</v>
      </c>
      <c r="K579" s="15" t="n">
        <f aca="false">J579*(1+IF(K$3&lt;=$O$2,$D579,$D579-($D579-$I$562)*MIN(K$3-$O$2,$Q$2)/$Q$2))</f>
        <v>2271.0729883984</v>
      </c>
      <c r="L579" s="15" t="n">
        <f aca="false">K579*(1+IF(L$3&lt;=$O$2,$D579,$D579-($D579-$I$562)*MIN(L$3-$O$2,$Q$2)/$Q$2))</f>
        <v>2307.61950966467</v>
      </c>
      <c r="M579" s="15" t="n">
        <f aca="false">L579*(1+IF(M$3&lt;=$O$2,$D579,$D579-($D579-$I$562)*MIN(M$3-$O$2,$Q$2)/$Q$2))</f>
        <v>2370.377740555</v>
      </c>
      <c r="N579" s="15" t="n">
        <f aca="false">M579*(1+IF(N$3&lt;=$O$2,$D579,$D579-($D579-$I$562)*MIN(N$3-$O$2,$Q$2)/$Q$2))</f>
        <v>2461.16320801826</v>
      </c>
      <c r="O579" s="15" t="n">
        <f aca="false">SUMPRODUCT(E579:N579,1/(1+$F$562)^$E$3:$N$3)*$E$2</f>
        <v>4598.55008510738</v>
      </c>
      <c r="P579" s="15" t="n">
        <f aca="false">N579*$E$2*(1+$I$562)/($F$562-$I$562)/(1+$F$562)^$N$3</f>
        <v>6965.20658479368</v>
      </c>
      <c r="Q579" s="15" t="n">
        <f aca="false">O579+P579</f>
        <v>11563.7566699011</v>
      </c>
      <c r="R579" s="15" t="n">
        <f aca="false">Q579-$G$2+$I$2</f>
        <v>10289.0866699011</v>
      </c>
      <c r="S579" s="42" t="n">
        <f aca="false">R579/$K$2</f>
        <v>289.263049477117</v>
      </c>
      <c r="T579" s="43" t="n">
        <f aca="false">S579-$M$2</f>
        <v>-0.0256769777604404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-0.0172195434570313</v>
      </c>
      <c r="C580" s="25" t="n">
        <f aca="false">IF(T579&gt;0,D579,C579)</f>
        <v>-0.0171966552734375</v>
      </c>
      <c r="D580" s="41" t="n">
        <f aca="false">(B580+C580)/2</f>
        <v>-0.0172080993652344</v>
      </c>
      <c r="E580" s="15" t="n">
        <f aca="false">$C$2*(1+IF(E$3&lt;=$O$2,$D580,$D580-($D580-$I$562)*MIN(E$3-$O$2,$Q$2)/$Q$2))</f>
        <v>2437.32391357422</v>
      </c>
      <c r="F580" s="15" t="n">
        <f aca="false">E580*(1+IF(F$3&lt;=$O$2,$D580,$D580-($D580-$I$562)*MIN(F$3-$O$2,$Q$2)/$Q$2))</f>
        <v>2395.38220148417</v>
      </c>
      <c r="G580" s="15" t="n">
        <f aca="false">F580*(1+IF(G$3&lt;=$O$2,$D580,$D580-($D580-$I$562)*MIN(G$3-$O$2,$Q$2)/$Q$2))</f>
        <v>2354.16222654332</v>
      </c>
      <c r="H580" s="15" t="n">
        <f aca="false">G580*(1+IF(H$3&lt;=$O$2,$D580,$D580-($D580-$I$562)*MIN(H$3-$O$2,$Q$2)/$Q$2))</f>
        <v>2313.65156902708</v>
      </c>
      <c r="I580" s="15" t="n">
        <f aca="false">H580*(1+IF(I$3&lt;=$O$2,$D580,$D580-($D580-$I$562)*MIN(I$3-$O$2,$Q$2)/$Q$2))</f>
        <v>2273.83802293073</v>
      </c>
      <c r="J580" s="15" t="n">
        <f aca="false">I580*(1+IF(J$3&lt;=$O$2,$D580,$D580-($D580-$I$562)*MIN(J$3-$O$2,$Q$2)/$Q$2))</f>
        <v>2259.95287767515</v>
      </c>
      <c r="K580" s="15" t="n">
        <f aca="false">J580*(1+IF(K$3&lt;=$O$2,$D580,$D580-($D580-$I$562)*MIN(K$3-$O$2,$Q$2)/$Q$2))</f>
        <v>2271.24165955326</v>
      </c>
      <c r="L580" s="15" t="n">
        <f aca="false">K580*(1+IF(L$3&lt;=$O$2,$D580,$D580-($D580-$I$562)*MIN(L$3-$O$2,$Q$2)/$Q$2))</f>
        <v>2307.80129202578</v>
      </c>
      <c r="M580" s="15" t="n">
        <f aca="false">L580*(1+IF(M$3&lt;=$O$2,$D580,$D580-($D580-$I$562)*MIN(M$3-$O$2,$Q$2)/$Q$2))</f>
        <v>2370.56974882377</v>
      </c>
      <c r="N580" s="15" t="n">
        <f aca="false">M580*(1+IF(N$3&lt;=$O$2,$D580,$D580-($D580-$I$562)*MIN(N$3-$O$2,$Q$2)/$Q$2))</f>
        <v>2461.36257020372</v>
      </c>
      <c r="O580" s="15" t="n">
        <f aca="false">SUMPRODUCT(E580:N580,1/(1+$F$562)^$E$3:$N$3)*$E$2</f>
        <v>4598.77879683409</v>
      </c>
      <c r="P580" s="15" t="n">
        <f aca="false">N580*$E$2*(1+$I$562)/($F$562-$I$562)/(1+$F$562)^$N$3</f>
        <v>6965.77078907009</v>
      </c>
      <c r="Q580" s="15" t="n">
        <f aca="false">O580+P580</f>
        <v>11564.5495859042</v>
      </c>
      <c r="R580" s="15" t="n">
        <f aca="false">Q580-$G$2+$I$2</f>
        <v>10289.8795859042</v>
      </c>
      <c r="S580" s="42" t="n">
        <f aca="false">R580/$K$2</f>
        <v>289.285341183699</v>
      </c>
      <c r="T580" s="43" t="n">
        <f aca="false">S580-$M$2</f>
        <v>-0.00338527117855847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-0.0172080993652344</v>
      </c>
      <c r="C581" s="25" t="n">
        <f aca="false">IF(T580&gt;0,D580,C580)</f>
        <v>-0.0171966552734375</v>
      </c>
      <c r="D581" s="41" t="n">
        <f aca="false">(B581+C581)/2</f>
        <v>-0.0172023773193359</v>
      </c>
      <c r="E581" s="15" t="n">
        <f aca="false">$C$2*(1+IF(E$3&lt;=$O$2,$D581,$D581-($D581-$I$562)*MIN(E$3-$O$2,$Q$2)/$Q$2))</f>
        <v>2437.33810424805</v>
      </c>
      <c r="F581" s="15" t="n">
        <f aca="false">E581*(1+IF(F$3&lt;=$O$2,$D581,$D581-($D581-$I$562)*MIN(F$3-$O$2,$Q$2)/$Q$2))</f>
        <v>2395.41009452398</v>
      </c>
      <c r="G581" s="15" t="n">
        <f aca="false">F581*(1+IF(G$3&lt;=$O$2,$D581,$D581-($D581-$I$562)*MIN(G$3-$O$2,$Q$2)/$Q$2))</f>
        <v>2354.20334624343</v>
      </c>
      <c r="H581" s="15" t="n">
        <f aca="false">G581*(1+IF(H$3&lt;=$O$2,$D581,$D581-($D581-$I$562)*MIN(H$3-$O$2,$Q$2)/$Q$2))</f>
        <v>2313.70545199491</v>
      </c>
      <c r="I581" s="15" t="n">
        <f aca="false">H581*(1+IF(I$3&lt;=$O$2,$D581,$D581-($D581-$I$562)*MIN(I$3-$O$2,$Q$2)/$Q$2))</f>
        <v>2273.90421780389</v>
      </c>
      <c r="J581" s="15" t="n">
        <f aca="false">I581*(1+IF(J$3&lt;=$O$2,$D581,$D581-($D581-$I$562)*MIN(J$3-$O$2,$Q$2)/$Q$2))</f>
        <v>2260.02907743811</v>
      </c>
      <c r="K581" s="15" t="n">
        <f aca="false">J581*(1+IF(K$3&lt;=$O$2,$D581,$D581-($D581-$I$562)*MIN(K$3-$O$2,$Q$2)/$Q$2))</f>
        <v>2271.32599913881</v>
      </c>
      <c r="L581" s="15" t="n">
        <f aca="false">K581*(1+IF(L$3&lt;=$O$2,$D581,$D581-($D581-$I$562)*MIN(L$3-$O$2,$Q$2)/$Q$2))</f>
        <v>2307.89218785805</v>
      </c>
      <c r="M581" s="15" t="n">
        <f aca="false">L581*(1+IF(M$3&lt;=$O$2,$D581,$D581-($D581-$I$562)*MIN(M$3-$O$2,$Q$2)/$Q$2))</f>
        <v>2370.66575804845</v>
      </c>
      <c r="N581" s="15" t="n">
        <f aca="false">M581*(1+IF(N$3&lt;=$O$2,$D581,$D581-($D581-$I$562)*MIN(N$3-$O$2,$Q$2)/$Q$2))</f>
        <v>2461.4622565817</v>
      </c>
      <c r="O581" s="15" t="n">
        <f aca="false">SUMPRODUCT(E581:N581,1/(1+$F$562)^$E$3:$N$3)*$E$2</f>
        <v>4598.89315709023</v>
      </c>
      <c r="P581" s="15" t="n">
        <f aca="false">N581*$E$2*(1+$I$562)/($F$562-$I$562)/(1+$F$562)^$N$3</f>
        <v>6966.05290616582</v>
      </c>
      <c r="Q581" s="15" t="n">
        <f aca="false">O581+P581</f>
        <v>11564.946063256</v>
      </c>
      <c r="R581" s="15" t="n">
        <f aca="false">Q581-$G$2+$I$2</f>
        <v>10290.276063256</v>
      </c>
      <c r="S581" s="42" t="n">
        <f aca="false">R581/$K$2</f>
        <v>289.296487580997</v>
      </c>
      <c r="T581" s="43" t="n">
        <f aca="false">S581-$M$2</f>
        <v>0.00776112611879398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-0.0172080993652344</v>
      </c>
      <c r="C582" s="25" t="n">
        <f aca="false">IF(T581&gt;0,D581,C581)</f>
        <v>-0.0172023773193359</v>
      </c>
      <c r="D582" s="41" t="n">
        <f aca="false">(B582+C582)/2</f>
        <v>-0.0172052383422852</v>
      </c>
      <c r="E582" s="15" t="n">
        <f aca="false">$C$2*(1+IF(E$3&lt;=$O$2,$D582,$D582-($D582-$I$562)*MIN(E$3-$O$2,$Q$2)/$Q$2))</f>
        <v>2437.33100891113</v>
      </c>
      <c r="F582" s="15" t="n">
        <f aca="false">E582*(1+IF(F$3&lt;=$O$2,$D582,$D582-($D582-$I$562)*MIN(F$3-$O$2,$Q$2)/$Q$2))</f>
        <v>2395.39614798377</v>
      </c>
      <c r="G582" s="15" t="n">
        <f aca="false">F582*(1+IF(G$3&lt;=$O$2,$D582,$D582-($D582-$I$562)*MIN(G$3-$O$2,$Q$2)/$Q$2))</f>
        <v>2354.18278633352</v>
      </c>
      <c r="H582" s="15" t="n">
        <f aca="false">G582*(1+IF(H$3&lt;=$O$2,$D582,$D582-($D582-$I$562)*MIN(H$3-$O$2,$Q$2)/$Q$2))</f>
        <v>2313.67851039335</v>
      </c>
      <c r="I582" s="15" t="n">
        <f aca="false">H582*(1+IF(I$3&lt;=$O$2,$D582,$D582-($D582-$I$562)*MIN(I$3-$O$2,$Q$2)/$Q$2))</f>
        <v>2273.87112017461</v>
      </c>
      <c r="J582" s="15" t="n">
        <f aca="false">I582*(1+IF(J$3&lt;=$O$2,$D582,$D582-($D582-$I$562)*MIN(J$3-$O$2,$Q$2)/$Q$2))</f>
        <v>2259.99097728935</v>
      </c>
      <c r="K582" s="15" t="n">
        <f aca="false">J582*(1+IF(K$3&lt;=$O$2,$D582,$D582-($D582-$I$562)*MIN(K$3-$O$2,$Q$2)/$Q$2))</f>
        <v>2271.28382901202</v>
      </c>
      <c r="L582" s="15" t="n">
        <f aca="false">K582*(1+IF(L$3&lt;=$O$2,$D582,$D582-($D582-$I$562)*MIN(L$3-$O$2,$Q$2)/$Q$2))</f>
        <v>2307.84673955426</v>
      </c>
      <c r="M582" s="15" t="n">
        <f aca="false">L582*(1+IF(M$3&lt;=$O$2,$D582,$D582-($D582-$I$562)*MIN(M$3-$O$2,$Q$2)/$Q$2))</f>
        <v>2370.61775301191</v>
      </c>
      <c r="N582" s="15" t="n">
        <f aca="false">M582*(1+IF(N$3&lt;=$O$2,$D582,$D582-($D582-$I$562)*MIN(N$3-$O$2,$Q$2)/$Q$2))</f>
        <v>2461.41241295226</v>
      </c>
      <c r="O582" s="15" t="n">
        <f aca="false">SUMPRODUCT(E582:N582,1/(1+$F$562)^$E$3:$N$3)*$E$2</f>
        <v>4598.83597659609</v>
      </c>
      <c r="P582" s="15" t="n">
        <f aca="false">N582*$E$2*(1+$I$562)/($F$562-$I$562)/(1+$F$562)^$N$3</f>
        <v>6965.91184637146</v>
      </c>
      <c r="Q582" s="15" t="n">
        <f aca="false">O582+P582</f>
        <v>11564.7478229676</v>
      </c>
      <c r="R582" s="15" t="n">
        <f aca="false">Q582-$G$2+$I$2</f>
        <v>10290.0778229676</v>
      </c>
      <c r="S582" s="42" t="n">
        <f aca="false">R582/$K$2</f>
        <v>289.290914337013</v>
      </c>
      <c r="T582" s="43" t="n">
        <f aca="false">S582-$M$2</f>
        <v>0.00218788213527432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-0.0172080993652344</v>
      </c>
      <c r="C583" s="25" t="n">
        <f aca="false">IF(T582&gt;0,D582,C582)</f>
        <v>-0.0172052383422852</v>
      </c>
      <c r="D583" s="41" t="n">
        <f aca="false">(B583+C583)/2</f>
        <v>-0.0172066688537598</v>
      </c>
      <c r="E583" s="15" t="n">
        <f aca="false">$C$2*(1+IF(E$3&lt;=$O$2,$D583,$D583-($D583-$I$562)*MIN(E$3-$O$2,$Q$2)/$Q$2))</f>
        <v>2437.32746124268</v>
      </c>
      <c r="F583" s="15" t="n">
        <f aca="false">E583*(1+IF(F$3&lt;=$O$2,$D583,$D583-($D583-$I$562)*MIN(F$3-$O$2,$Q$2)/$Q$2))</f>
        <v>2395.3891747289</v>
      </c>
      <c r="G583" s="15" t="n">
        <f aca="false">F583*(1+IF(G$3&lt;=$O$2,$D583,$D583-($D583-$I$562)*MIN(G$3-$O$2,$Q$2)/$Q$2))</f>
        <v>2354.17250642346</v>
      </c>
      <c r="H583" s="15" t="n">
        <f aca="false">G583*(1+IF(H$3&lt;=$O$2,$D583,$D583-($D583-$I$562)*MIN(H$3-$O$2,$Q$2)/$Q$2))</f>
        <v>2313.6650396808</v>
      </c>
      <c r="I583" s="15" t="n">
        <f aca="false">H583*(1+IF(I$3&lt;=$O$2,$D583,$D583-($D583-$I$562)*MIN(I$3-$O$2,$Q$2)/$Q$2))</f>
        <v>2273.85457150449</v>
      </c>
      <c r="J583" s="15" t="n">
        <f aca="false">I583*(1+IF(J$3&lt;=$O$2,$D583,$D583-($D583-$I$562)*MIN(J$3-$O$2,$Q$2)/$Q$2))</f>
        <v>2259.97192741543</v>
      </c>
      <c r="K583" s="15" t="n">
        <f aca="false">J583*(1+IF(K$3&lt;=$O$2,$D583,$D583-($D583-$I$562)*MIN(K$3-$O$2,$Q$2)/$Q$2))</f>
        <v>2271.26274419914</v>
      </c>
      <c r="L583" s="15" t="n">
        <f aca="false">K583*(1+IF(L$3&lt;=$O$2,$D583,$D583-($D583-$I$562)*MIN(L$3-$O$2,$Q$2)/$Q$2))</f>
        <v>2307.82401569311</v>
      </c>
      <c r="M583" s="15" t="n">
        <f aca="false">L583*(1+IF(M$3&lt;=$O$2,$D583,$D583-($D583-$I$562)*MIN(M$3-$O$2,$Q$2)/$Q$2))</f>
        <v>2370.59375081179</v>
      </c>
      <c r="N583" s="15" t="n">
        <f aca="false">M583*(1+IF(N$3&lt;=$O$2,$D583,$D583-($D583-$I$562)*MIN(N$3-$O$2,$Q$2)/$Q$2))</f>
        <v>2461.38749146788</v>
      </c>
      <c r="O583" s="15" t="n">
        <f aca="false">SUMPRODUCT(E583:N583,1/(1+$F$562)^$E$3:$N$3)*$E$2</f>
        <v>4598.80738662358</v>
      </c>
      <c r="P583" s="15" t="n">
        <f aca="false">N583*$E$2*(1+$I$562)/($F$562-$I$562)/(1+$F$562)^$N$3</f>
        <v>6965.84131740916</v>
      </c>
      <c r="Q583" s="15" t="n">
        <f aca="false">O583+P583</f>
        <v>11564.6487040327</v>
      </c>
      <c r="R583" s="15" t="n">
        <f aca="false">Q583-$G$2+$I$2</f>
        <v>10289.9787040327</v>
      </c>
      <c r="S583" s="42" t="n">
        <f aca="false">R583/$K$2</f>
        <v>289.288127749022</v>
      </c>
      <c r="T583" s="43" t="n">
        <f aca="false">S583-$M$2</f>
        <v>-0.000598705855225035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-0.0172066688537598</v>
      </c>
      <c r="C584" s="25" t="n">
        <f aca="false">IF(T583&gt;0,D583,C583)</f>
        <v>-0.0172052383422852</v>
      </c>
      <c r="D584" s="41" t="n">
        <f aca="false">(B584+C584)/2</f>
        <v>-0.0172059535980225</v>
      </c>
      <c r="E584" s="15" t="n">
        <f aca="false">$C$2*(1+IF(E$3&lt;=$O$2,$D584,$D584-($D584-$I$562)*MIN(E$3-$O$2,$Q$2)/$Q$2))</f>
        <v>2437.3292350769</v>
      </c>
      <c r="F584" s="15" t="n">
        <f aca="false">E584*(1+IF(F$3&lt;=$O$2,$D584,$D584-($D584-$I$562)*MIN(F$3-$O$2,$Q$2)/$Q$2))</f>
        <v>2395.39266135507</v>
      </c>
      <c r="G584" s="15" t="n">
        <f aca="false">F584*(1+IF(G$3&lt;=$O$2,$D584,$D584-($D584-$I$562)*MIN(G$3-$O$2,$Q$2)/$Q$2))</f>
        <v>2354.17764637475</v>
      </c>
      <c r="H584" s="15" t="n">
        <f aca="false">G584*(1+IF(H$3&lt;=$O$2,$D584,$D584-($D584-$I$562)*MIN(H$3-$O$2,$Q$2)/$Q$2))</f>
        <v>2313.67177502972</v>
      </c>
      <c r="I584" s="15" t="n">
        <f aca="false">H584*(1+IF(I$3&lt;=$O$2,$D584,$D584-($D584-$I$562)*MIN(I$3-$O$2,$Q$2)/$Q$2))</f>
        <v>2273.86284582751</v>
      </c>
      <c r="J584" s="15" t="n">
        <f aca="false">I584*(1+IF(J$3&lt;=$O$2,$D584,$D584-($D584-$I$562)*MIN(J$3-$O$2,$Q$2)/$Q$2))</f>
        <v>2259.98145233569</v>
      </c>
      <c r="K584" s="15" t="n">
        <f aca="false">J584*(1+IF(K$3&lt;=$O$2,$D584,$D584-($D584-$I$562)*MIN(K$3-$O$2,$Q$2)/$Q$2))</f>
        <v>2271.2732865847</v>
      </c>
      <c r="L584" s="15" t="n">
        <f aca="false">K584*(1+IF(L$3&lt;=$O$2,$D584,$D584-($D584-$I$562)*MIN(L$3-$O$2,$Q$2)/$Q$2))</f>
        <v>2307.83537759946</v>
      </c>
      <c r="M584" s="15" t="n">
        <f aca="false">L584*(1+IF(M$3&lt;=$O$2,$D584,$D584-($D584-$I$562)*MIN(M$3-$O$2,$Q$2)/$Q$2))</f>
        <v>2370.60575188533</v>
      </c>
      <c r="N584" s="15" t="n">
        <f aca="false">M584*(1+IF(N$3&lt;=$O$2,$D584,$D584-($D584-$I$562)*MIN(N$3-$O$2,$Q$2)/$Q$2))</f>
        <v>2461.39995218254</v>
      </c>
      <c r="O584" s="15" t="n">
        <f aca="false">SUMPRODUCT(E584:N584,1/(1+$F$562)^$E$3:$N$3)*$E$2</f>
        <v>4598.82168158695</v>
      </c>
      <c r="P584" s="15" t="n">
        <f aca="false">N584*$E$2*(1+$I$562)/($F$562-$I$562)/(1+$F$562)^$N$3</f>
        <v>6965.8765818124</v>
      </c>
      <c r="Q584" s="15" t="n">
        <f aca="false">O584+P584</f>
        <v>11564.6982633994</v>
      </c>
      <c r="R584" s="15" t="n">
        <f aca="false">Q584-$G$2+$I$2</f>
        <v>10290.0282633994</v>
      </c>
      <c r="S584" s="42" t="n">
        <f aca="false">R584/$K$2</f>
        <v>289.289521040184</v>
      </c>
      <c r="T584" s="43" t="n">
        <f aca="false">S584-$M$2</f>
        <v>0.000794585306607587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-0.0172066688537598</v>
      </c>
      <c r="C585" s="25" t="n">
        <f aca="false">IF(T584&gt;0,D584,C584)</f>
        <v>-0.0172059535980225</v>
      </c>
      <c r="D585" s="41" t="n">
        <f aca="false">(B585+C585)/2</f>
        <v>-0.0172063112258911</v>
      </c>
      <c r="E585" s="15" t="n">
        <f aca="false">$C$2*(1+IF(E$3&lt;=$O$2,$D585,$D585-($D585-$I$562)*MIN(E$3-$O$2,$Q$2)/$Q$2))</f>
        <v>2437.32834815979</v>
      </c>
      <c r="F585" s="15" t="n">
        <f aca="false">E585*(1+IF(F$3&lt;=$O$2,$D585,$D585-($D585-$I$562)*MIN(F$3-$O$2,$Q$2)/$Q$2))</f>
        <v>2395.39091804167</v>
      </c>
      <c r="G585" s="15" t="n">
        <f aca="false">F585*(1+IF(G$3&lt;=$O$2,$D585,$D585-($D585-$I$562)*MIN(G$3-$O$2,$Q$2)/$Q$2))</f>
        <v>2354.17507639817</v>
      </c>
      <c r="H585" s="15" t="n">
        <f aca="false">G585*(1+IF(H$3&lt;=$O$2,$D585,$D585-($D585-$I$562)*MIN(H$3-$O$2,$Q$2)/$Q$2))</f>
        <v>2313.66840735342</v>
      </c>
      <c r="I585" s="15" t="n">
        <f aca="false">H585*(1+IF(I$3&lt;=$O$2,$D585,$D585-($D585-$I$562)*MIN(I$3-$O$2,$Q$2)/$Q$2))</f>
        <v>2273.85870866299</v>
      </c>
      <c r="J585" s="15" t="n">
        <f aca="false">I585*(1+IF(J$3&lt;=$O$2,$D585,$D585-($D585-$I$562)*MIN(J$3-$O$2,$Q$2)/$Q$2))</f>
        <v>2259.97668987138</v>
      </c>
      <c r="K585" s="15" t="n">
        <f aca="false">J585*(1+IF(K$3&lt;=$O$2,$D585,$D585-($D585-$I$562)*MIN(K$3-$O$2,$Q$2)/$Q$2))</f>
        <v>2271.2680153867</v>
      </c>
      <c r="L585" s="15" t="n">
        <f aca="false">K585*(1+IF(L$3&lt;=$O$2,$D585,$D585-($D585-$I$562)*MIN(L$3-$O$2,$Q$2)/$Q$2))</f>
        <v>2307.82969664022</v>
      </c>
      <c r="M585" s="15" t="n">
        <f aca="false">L585*(1+IF(M$3&lt;=$O$2,$D585,$D585-($D585-$I$562)*MIN(M$3-$O$2,$Q$2)/$Q$2))</f>
        <v>2370.59975134193</v>
      </c>
      <c r="N585" s="15" t="n">
        <f aca="false">M585*(1+IF(N$3&lt;=$O$2,$D585,$D585-($D585-$I$562)*MIN(N$3-$O$2,$Q$2)/$Q$2))</f>
        <v>2461.39372181833</v>
      </c>
      <c r="O585" s="15" t="n">
        <f aca="false">SUMPRODUCT(E585:N585,1/(1+$F$562)^$E$3:$N$3)*$E$2</f>
        <v>4598.81453409954</v>
      </c>
      <c r="P585" s="15" t="n">
        <f aca="false">N585*$E$2*(1+$I$562)/($F$562-$I$562)/(1+$F$562)^$N$3</f>
        <v>6965.8589495913</v>
      </c>
      <c r="Q585" s="15" t="n">
        <f aca="false">O585+P585</f>
        <v>11564.6734836908</v>
      </c>
      <c r="R585" s="15" t="n">
        <f aca="false">Q585-$G$2+$I$2</f>
        <v>10290.0034836908</v>
      </c>
      <c r="S585" s="42" t="n">
        <f aca="false">R585/$K$2</f>
        <v>289.288824393895</v>
      </c>
      <c r="T585" s="43" t="n">
        <f aca="false">S585-$M$2</f>
        <v>9.79390172801686E-005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-0.0172066688537598</v>
      </c>
      <c r="C586" s="25" t="n">
        <f aca="false">IF(T585&gt;0,D585,C585)</f>
        <v>-0.0172063112258911</v>
      </c>
      <c r="D586" s="41" t="n">
        <f aca="false">(B586+C586)/2</f>
        <v>-0.0172064900398254</v>
      </c>
      <c r="E586" s="15" t="n">
        <f aca="false">$C$2*(1+IF(E$3&lt;=$O$2,$D586,$D586-($D586-$I$562)*MIN(E$3-$O$2,$Q$2)/$Q$2))</f>
        <v>2437.32790470123</v>
      </c>
      <c r="F586" s="15" t="n">
        <f aca="false">E586*(1+IF(F$3&lt;=$O$2,$D586,$D586-($D586-$I$562)*MIN(F$3-$O$2,$Q$2)/$Q$2))</f>
        <v>2395.3900463852</v>
      </c>
      <c r="G586" s="15" t="n">
        <f aca="false">F586*(1+IF(G$3&lt;=$O$2,$D586,$D586-($D586-$I$562)*MIN(G$3-$O$2,$Q$2)/$Q$2))</f>
        <v>2354.17379141058</v>
      </c>
      <c r="H586" s="15" t="n">
        <f aca="false">G586*(1+IF(H$3&lt;=$O$2,$D586,$D586-($D586-$I$562)*MIN(H$3-$O$2,$Q$2)/$Q$2))</f>
        <v>2313.66672351665</v>
      </c>
      <c r="I586" s="15" t="n">
        <f aca="false">H586*(1+IF(I$3&lt;=$O$2,$D586,$D586-($D586-$I$562)*MIN(I$3-$O$2,$Q$2)/$Q$2))</f>
        <v>2273.85664008299</v>
      </c>
      <c r="J586" s="15" t="n">
        <f aca="false">I586*(1+IF(J$3&lt;=$O$2,$D586,$D586-($D586-$I$562)*MIN(J$3-$O$2,$Q$2)/$Q$2))</f>
        <v>2259.97430864236</v>
      </c>
      <c r="K586" s="15" t="n">
        <f aca="false">J586*(1+IF(K$3&lt;=$O$2,$D586,$D586-($D586-$I$562)*MIN(K$3-$O$2,$Q$2)/$Q$2))</f>
        <v>2271.26537979161</v>
      </c>
      <c r="L586" s="15" t="n">
        <f aca="false">K586*(1+IF(L$3&lt;=$O$2,$D586,$D586-($D586-$I$562)*MIN(L$3-$O$2,$Q$2)/$Q$2))</f>
        <v>2307.82685616515</v>
      </c>
      <c r="M586" s="15" t="n">
        <f aca="false">L586*(1+IF(M$3&lt;=$O$2,$D586,$D586-($D586-$I$562)*MIN(M$3-$O$2,$Q$2)/$Q$2))</f>
        <v>2370.5967510752</v>
      </c>
      <c r="N586" s="15" t="n">
        <f aca="false">M586*(1+IF(N$3&lt;=$O$2,$D586,$D586-($D586-$I$562)*MIN(N$3-$O$2,$Q$2)/$Q$2))</f>
        <v>2461.39060664138</v>
      </c>
      <c r="O586" s="15" t="n">
        <f aca="false">SUMPRODUCT(E586:N586,1/(1+$F$562)^$E$3:$N$3)*$E$2</f>
        <v>4598.81096036013</v>
      </c>
      <c r="P586" s="15" t="n">
        <f aca="false">N586*$E$2*(1+$I$562)/($F$562-$I$562)/(1+$F$562)^$N$3</f>
        <v>6965.85013349536</v>
      </c>
      <c r="Q586" s="15" t="n">
        <f aca="false">O586+P586</f>
        <v>11564.6610938555</v>
      </c>
      <c r="R586" s="15" t="n">
        <f aca="false">Q586-$G$2+$I$2</f>
        <v>10289.9910938555</v>
      </c>
      <c r="S586" s="42" t="n">
        <f aca="false">R586/$K$2</f>
        <v>289.288476071282</v>
      </c>
      <c r="T586" s="43" t="n">
        <f aca="false">S586-$M$2</f>
        <v>-0.000250383596039683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-0.0172064900398254</v>
      </c>
      <c r="C587" s="25" t="n">
        <f aca="false">IF(T586&gt;0,D586,C586)</f>
        <v>-0.0172063112258911</v>
      </c>
      <c r="D587" s="41" t="n">
        <f aca="false">(B587+C587)/2</f>
        <v>-0.0172064006328583</v>
      </c>
      <c r="E587" s="15" t="n">
        <f aca="false">$C$2*(1+IF(E$3&lt;=$O$2,$D587,$D587-($D587-$I$562)*MIN(E$3-$O$2,$Q$2)/$Q$2))</f>
        <v>2437.32812643051</v>
      </c>
      <c r="F587" s="15" t="n">
        <f aca="false">E587*(1+IF(F$3&lt;=$O$2,$D587,$D587-($D587-$I$562)*MIN(F$3-$O$2,$Q$2)/$Q$2))</f>
        <v>2395.39048221341</v>
      </c>
      <c r="G587" s="15" t="n">
        <f aca="false">F587*(1+IF(G$3&lt;=$O$2,$D587,$D587-($D587-$I$562)*MIN(G$3-$O$2,$Q$2)/$Q$2))</f>
        <v>2354.17443390431</v>
      </c>
      <c r="H587" s="15" t="n">
        <f aca="false">G587*(1+IF(H$3&lt;=$O$2,$D587,$D587-($D587-$I$562)*MIN(H$3-$O$2,$Q$2)/$Q$2))</f>
        <v>2313.66756543492</v>
      </c>
      <c r="I587" s="15" t="n">
        <f aca="false">H587*(1+IF(I$3&lt;=$O$2,$D587,$D587-($D587-$I$562)*MIN(I$3-$O$2,$Q$2)/$Q$2))</f>
        <v>2273.8576743728</v>
      </c>
      <c r="J587" s="15" t="n">
        <f aca="false">I587*(1+IF(J$3&lt;=$O$2,$D587,$D587-($D587-$I$562)*MIN(J$3-$O$2,$Q$2)/$Q$2))</f>
        <v>2259.97549925661</v>
      </c>
      <c r="K587" s="15" t="n">
        <f aca="false">J587*(1+IF(K$3&lt;=$O$2,$D587,$D587-($D587-$I$562)*MIN(K$3-$O$2,$Q$2)/$Q$2))</f>
        <v>2271.26669758883</v>
      </c>
      <c r="L587" s="15" t="n">
        <f aca="false">K587*(1+IF(L$3&lt;=$O$2,$D587,$D587-($D587-$I$562)*MIN(L$3-$O$2,$Q$2)/$Q$2))</f>
        <v>2307.82827640231</v>
      </c>
      <c r="M587" s="15" t="n">
        <f aca="false">L587*(1+IF(M$3&lt;=$O$2,$D587,$D587-($D587-$I$562)*MIN(M$3-$O$2,$Q$2)/$Q$2))</f>
        <v>2370.59825120815</v>
      </c>
      <c r="N587" s="15" t="n">
        <f aca="false">M587*(1+IF(N$3&lt;=$O$2,$D587,$D587-($D587-$I$562)*MIN(N$3-$O$2,$Q$2)/$Q$2))</f>
        <v>2461.39216422942</v>
      </c>
      <c r="O587" s="15" t="n">
        <f aca="false">SUMPRODUCT(E587:N587,1/(1+$F$562)^$E$3:$N$3)*$E$2</f>
        <v>4598.81274722948</v>
      </c>
      <c r="P587" s="15" t="n">
        <f aca="false">N587*$E$2*(1+$I$562)/($F$562-$I$562)/(1+$F$562)^$N$3</f>
        <v>6965.85454154211</v>
      </c>
      <c r="Q587" s="15" t="n">
        <f aca="false">O587+P587</f>
        <v>11564.6672887716</v>
      </c>
      <c r="R587" s="15" t="n">
        <f aca="false">Q587-$G$2+$I$2</f>
        <v>10289.9972887716</v>
      </c>
      <c r="S587" s="42" t="n">
        <f aca="false">R587/$K$2</f>
        <v>289.288650232544</v>
      </c>
      <c r="T587" s="43" t="n">
        <f aca="false">S587-$M$2</f>
        <v>-7.62223338597323E-005</v>
      </c>
    </row>
    <row r="589" customFormat="false" ht="15" hidden="false" customHeight="false" outlineLevel="0" collapsed="false">
      <c r="A589" s="38" t="s">
        <v>205</v>
      </c>
      <c r="E589" s="5" t="s">
        <v>11</v>
      </c>
      <c r="F589" s="12" t="n">
        <f aca="false">Sensitivity!$B$14</f>
        <v>0.0914218415038925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8" t="s">
        <v>165</v>
      </c>
      <c r="B590" s="28" t="s">
        <v>166</v>
      </c>
      <c r="C590" s="28" t="s">
        <v>167</v>
      </c>
      <c r="D590" s="28" t="s">
        <v>168</v>
      </c>
      <c r="E590" s="28" t="s">
        <v>169</v>
      </c>
      <c r="F590" s="28" t="s">
        <v>170</v>
      </c>
      <c r="G590" s="28" t="s">
        <v>171</v>
      </c>
      <c r="H590" s="28" t="s">
        <v>172</v>
      </c>
      <c r="I590" s="28" t="s">
        <v>173</v>
      </c>
      <c r="J590" s="28" t="s">
        <v>174</v>
      </c>
      <c r="K590" s="28" t="s">
        <v>175</v>
      </c>
      <c r="L590" s="28" t="s">
        <v>176</v>
      </c>
      <c r="M590" s="28" t="s">
        <v>177</v>
      </c>
      <c r="N590" s="28" t="s">
        <v>178</v>
      </c>
      <c r="O590" s="28" t="s">
        <v>179</v>
      </c>
      <c r="P590" s="28" t="s">
        <v>180</v>
      </c>
      <c r="Q590" s="28" t="s">
        <v>181</v>
      </c>
      <c r="R590" s="28" t="s">
        <v>182</v>
      </c>
      <c r="S590" s="28" t="s">
        <v>183</v>
      </c>
      <c r="T590" s="28" t="s">
        <v>184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41" t="n">
        <f aca="false">(B591+C591)/2</f>
        <v>0.25</v>
      </c>
      <c r="E591" s="15" t="n">
        <f aca="false">$C$2*(1+IF(E$3&lt;=$O$2,$D591,$D591-($D591-$I$589)*MIN(E$3-$O$2,$Q$2)/$Q$2))</f>
        <v>3100</v>
      </c>
      <c r="F591" s="15" t="n">
        <f aca="false">E591*(1+IF(F$3&lt;=$O$2,$D591,$D591-($D591-$I$589)*MIN(F$3-$O$2,$Q$2)/$Q$2))</f>
        <v>3875</v>
      </c>
      <c r="G591" s="15" t="n">
        <f aca="false">F591*(1+IF(G$3&lt;=$O$2,$D591,$D591-($D591-$I$589)*MIN(G$3-$O$2,$Q$2)/$Q$2))</f>
        <v>4843.75</v>
      </c>
      <c r="H591" s="15" t="n">
        <f aca="false">G591*(1+IF(H$3&lt;=$O$2,$D591,$D591-($D591-$I$589)*MIN(H$3-$O$2,$Q$2)/$Q$2))</f>
        <v>6054.6875</v>
      </c>
      <c r="I591" s="15" t="n">
        <f aca="false">H591*(1+IF(I$3&lt;=$O$2,$D591,$D591-($D591-$I$589)*MIN(I$3-$O$2,$Q$2)/$Q$2))</f>
        <v>7568.359375</v>
      </c>
      <c r="J591" s="15" t="n">
        <f aca="false">I591*(1+IF(J$3&lt;=$O$2,$D591,$D591-($D591-$I$589)*MIN(J$3-$O$2,$Q$2)/$Q$2))</f>
        <v>9109.7314453125</v>
      </c>
      <c r="K591" s="15" t="n">
        <f aca="false">J591*(1+IF(K$3&lt;=$O$2,$D591,$D591-($D591-$I$589)*MIN(K$3-$O$2,$Q$2)/$Q$2))</f>
        <v>10542.8743962891</v>
      </c>
      <c r="L591" s="15" t="n">
        <f aca="false">K591*(1+IF(L$3&lt;=$O$2,$D591,$D591-($D591-$I$589)*MIN(L$3-$O$2,$Q$2)/$Q$2))</f>
        <v>11712.9225967892</v>
      </c>
      <c r="M591" s="15" t="n">
        <f aca="false">L591*(1+IF(M$3&lt;=$O$2,$D591,$D591-($D591-$I$589)*MIN(M$3-$O$2,$Q$2)/$Q$2))</f>
        <v>12470.0459134457</v>
      </c>
      <c r="N591" s="15" t="n">
        <f aca="false">M591*(1+IF(N$3&lt;=$O$2,$D591,$D591-($D591-$I$589)*MIN(N$3-$O$2,$Q$2)/$Q$2))</f>
        <v>12698.2477536617</v>
      </c>
      <c r="O591" s="15" t="n">
        <f aca="false">SUMPRODUCT(E591:N591,1/(1+$F$589)^$E$3:$N$3)*$E$2</f>
        <v>14081.0388391243</v>
      </c>
      <c r="P591" s="15" t="n">
        <f aca="false">N591*$E$2*(1+$I$589)/($F$589-$I$589)/(1+$F$589)^$N$3</f>
        <v>22153.577398774</v>
      </c>
      <c r="Q591" s="15" t="n">
        <f aca="false">O591+P591</f>
        <v>36234.6162378983</v>
      </c>
      <c r="R591" s="15" t="n">
        <f aca="false">Q591-$G$2+$I$2</f>
        <v>34959.9462378983</v>
      </c>
      <c r="S591" s="42" t="n">
        <f aca="false">R591/$K$2</f>
        <v>982.849205451176</v>
      </c>
      <c r="T591" s="43" t="n">
        <f aca="false">S591-$M$2</f>
        <v>693.560478996298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41" t="n">
        <f aca="false">(B592+C592)/2</f>
        <v>-0.125</v>
      </c>
      <c r="E592" s="15" t="n">
        <f aca="false">$C$2*(1+IF(E$3&lt;=$O$2,$D592,$D592-($D592-$I$589)*MIN(E$3-$O$2,$Q$2)/$Q$2))</f>
        <v>2170</v>
      </c>
      <c r="F592" s="15" t="n">
        <f aca="false">E592*(1+IF(F$3&lt;=$O$2,$D592,$D592-($D592-$I$589)*MIN(F$3-$O$2,$Q$2)/$Q$2))</f>
        <v>1898.75</v>
      </c>
      <c r="G592" s="15" t="n">
        <f aca="false">F592*(1+IF(G$3&lt;=$O$2,$D592,$D592-($D592-$I$589)*MIN(G$3-$O$2,$Q$2)/$Q$2))</f>
        <v>1661.40625</v>
      </c>
      <c r="H592" s="15" t="n">
        <f aca="false">G592*(1+IF(H$3&lt;=$O$2,$D592,$D592-($D592-$I$589)*MIN(H$3-$O$2,$Q$2)/$Q$2))</f>
        <v>1453.73046875</v>
      </c>
      <c r="I592" s="15" t="n">
        <f aca="false">H592*(1+IF(I$3&lt;=$O$2,$D592,$D592-($D592-$I$589)*MIN(I$3-$O$2,$Q$2)/$Q$2))</f>
        <v>1272.01416015625</v>
      </c>
      <c r="J592" s="15" t="n">
        <f aca="false">I592*(1+IF(J$3&lt;=$O$2,$D592,$D592-($D592-$I$589)*MIN(J$3-$O$2,$Q$2)/$Q$2))</f>
        <v>1149.4683159668</v>
      </c>
      <c r="K592" s="15" t="n">
        <f aca="false">J592*(1+IF(K$3&lt;=$O$2,$D592,$D592-($D592-$I$589)*MIN(K$3-$O$2,$Q$2)/$Q$2))</f>
        <v>1071.67230034216</v>
      </c>
      <c r="L592" s="15" t="n">
        <f aca="false">K592*(1+IF(L$3&lt;=$O$2,$D592,$D592-($D592-$I$589)*MIN(L$3-$O$2,$Q$2)/$Q$2))</f>
        <v>1029.85564718281</v>
      </c>
      <c r="M592" s="15" t="n">
        <f aca="false">L592*(1+IF(M$3&lt;=$O$2,$D592,$D592-($D592-$I$589)*MIN(M$3-$O$2,$Q$2)/$Q$2))</f>
        <v>1019.186342678</v>
      </c>
      <c r="N592" s="15" t="n">
        <f aca="false">M592*(1+IF(N$3&lt;=$O$2,$D592,$D592-($D592-$I$589)*MIN(N$3-$O$2,$Q$2)/$Q$2))</f>
        <v>1037.83745274901</v>
      </c>
      <c r="O592" s="15" t="n">
        <f aca="false">SUMPRODUCT(E592:N592,1/(1+$F$589)^$E$3:$N$3)*$E$2</f>
        <v>2816.86310143696</v>
      </c>
      <c r="P592" s="15" t="n">
        <f aca="false">N592*$E$2*(1+$I$589)/($F$589-$I$589)/(1+$F$589)^$N$3</f>
        <v>1810.6287405041</v>
      </c>
      <c r="Q592" s="15" t="n">
        <f aca="false">O592+P592</f>
        <v>4627.49184194106</v>
      </c>
      <c r="R592" s="15" t="n">
        <f aca="false">Q592-$G$2+$I$2</f>
        <v>3352.82184194106</v>
      </c>
      <c r="S592" s="42" t="n">
        <f aca="false">R592/$K$2</f>
        <v>94.2598212522085</v>
      </c>
      <c r="T592" s="43" t="n">
        <f aca="false">S592-$M$2</f>
        <v>-195.028905202669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41" t="n">
        <f aca="false">(B593+C593)/2</f>
        <v>0.0625</v>
      </c>
      <c r="E593" s="15" t="n">
        <f aca="false">$C$2*(1+IF(E$3&lt;=$O$2,$D593,$D593-($D593-$I$589)*MIN(E$3-$O$2,$Q$2)/$Q$2))</f>
        <v>2635</v>
      </c>
      <c r="F593" s="15" t="n">
        <f aca="false">E593*(1+IF(F$3&lt;=$O$2,$D593,$D593-($D593-$I$589)*MIN(F$3-$O$2,$Q$2)/$Q$2))</f>
        <v>2799.6875</v>
      </c>
      <c r="G593" s="15" t="n">
        <f aca="false">F593*(1+IF(G$3&lt;=$O$2,$D593,$D593-($D593-$I$589)*MIN(G$3-$O$2,$Q$2)/$Q$2))</f>
        <v>2974.66796875</v>
      </c>
      <c r="H593" s="15" t="n">
        <f aca="false">G593*(1+IF(H$3&lt;=$O$2,$D593,$D593-($D593-$I$589)*MIN(H$3-$O$2,$Q$2)/$Q$2))</f>
        <v>3160.58471679688</v>
      </c>
      <c r="I593" s="15" t="n">
        <f aca="false">H593*(1+IF(I$3&lt;=$O$2,$D593,$D593-($D593-$I$589)*MIN(I$3-$O$2,$Q$2)/$Q$2))</f>
        <v>3358.12126159668</v>
      </c>
      <c r="J593" s="15" t="n">
        <f aca="false">I593*(1+IF(J$3&lt;=$O$2,$D593,$D593-($D593-$I$589)*MIN(J$3-$O$2,$Q$2)/$Q$2))</f>
        <v>3538.31804849396</v>
      </c>
      <c r="K593" s="15" t="n">
        <f aca="false">J593*(1+IF(K$3&lt;=$O$2,$D593,$D593-($D593-$I$589)*MIN(K$3-$O$2,$Q$2)/$Q$2))</f>
        <v>3696.90546342746</v>
      </c>
      <c r="L593" s="15" t="n">
        <f aca="false">K593*(1+IF(L$3&lt;=$O$2,$D593,$D593-($D593-$I$589)*MIN(L$3-$O$2,$Q$2)/$Q$2))</f>
        <v>3829.92012200158</v>
      </c>
      <c r="M593" s="15" t="n">
        <f aca="false">L593*(1+IF(M$3&lt;=$O$2,$D593,$D593-($D593-$I$589)*MIN(M$3-$O$2,$Q$2)/$Q$2))</f>
        <v>3933.8641541127</v>
      </c>
      <c r="N593" s="15" t="n">
        <f aca="false">M593*(1+IF(N$3&lt;=$O$2,$D593,$D593-($D593-$I$589)*MIN(N$3-$O$2,$Q$2)/$Q$2))</f>
        <v>4005.85386813296</v>
      </c>
      <c r="O593" s="15" t="n">
        <f aca="false">SUMPRODUCT(E593:N593,1/(1+$F$589)^$E$3:$N$3)*$E$2</f>
        <v>6282.23507807495</v>
      </c>
      <c r="P593" s="15" t="n">
        <f aca="false">N593*$E$2*(1+$I$589)/($F$589-$I$589)/(1+$F$589)^$N$3</f>
        <v>6988.68028388178</v>
      </c>
      <c r="Q593" s="15" t="n">
        <f aca="false">O593+P593</f>
        <v>13270.9153619567</v>
      </c>
      <c r="R593" s="15" t="n">
        <f aca="false">Q593-$G$2+$I$2</f>
        <v>11996.2453619567</v>
      </c>
      <c r="S593" s="42" t="n">
        <f aca="false">R593/$K$2</f>
        <v>337.257389990349</v>
      </c>
      <c r="T593" s="43" t="n">
        <f aca="false">S593-$M$2</f>
        <v>47.9686635354718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-0.125</v>
      </c>
      <c r="C594" s="25" t="n">
        <f aca="false">IF(T593&gt;0,D593,C593)</f>
        <v>0.0625</v>
      </c>
      <c r="D594" s="41" t="n">
        <f aca="false">(B594+C594)/2</f>
        <v>-0.03125</v>
      </c>
      <c r="E594" s="15" t="n">
        <f aca="false">$C$2*(1+IF(E$3&lt;=$O$2,$D594,$D594-($D594-$I$589)*MIN(E$3-$O$2,$Q$2)/$Q$2))</f>
        <v>2402.5</v>
      </c>
      <c r="F594" s="15" t="n">
        <f aca="false">E594*(1+IF(F$3&lt;=$O$2,$D594,$D594-($D594-$I$589)*MIN(F$3-$O$2,$Q$2)/$Q$2))</f>
        <v>2327.421875</v>
      </c>
      <c r="G594" s="15" t="n">
        <f aca="false">F594*(1+IF(G$3&lt;=$O$2,$D594,$D594-($D594-$I$589)*MIN(G$3-$O$2,$Q$2)/$Q$2))</f>
        <v>2254.68994140625</v>
      </c>
      <c r="H594" s="15" t="n">
        <f aca="false">G594*(1+IF(H$3&lt;=$O$2,$D594,$D594-($D594-$I$589)*MIN(H$3-$O$2,$Q$2)/$Q$2))</f>
        <v>2184.2308807373</v>
      </c>
      <c r="I594" s="15" t="n">
        <f aca="false">H594*(1+IF(I$3&lt;=$O$2,$D594,$D594-($D594-$I$589)*MIN(I$3-$O$2,$Q$2)/$Q$2))</f>
        <v>2115.97366571426</v>
      </c>
      <c r="J594" s="15" t="n">
        <f aca="false">I594*(1+IF(J$3&lt;=$O$2,$D594,$D594-($D594-$I$589)*MIN(J$3-$O$2,$Q$2)/$Q$2))</f>
        <v>2070.81878768792</v>
      </c>
      <c r="K594" s="15" t="n">
        <f aca="false">J594*(1+IF(K$3&lt;=$O$2,$D594,$D594-($D594-$I$589)*MIN(K$3-$O$2,$Q$2)/$Q$2))</f>
        <v>2047.14932894465</v>
      </c>
      <c r="L594" s="15" t="n">
        <f aca="false">K594*(1+IF(L$3&lt;=$O$2,$D594,$D594-($D594-$I$589)*MIN(L$3-$O$2,$Q$2)/$Q$2))</f>
        <v>2044.03766196465</v>
      </c>
      <c r="M594" s="15" t="n">
        <f aca="false">L594*(1+IF(M$3&lt;=$O$2,$D594,$D594-($D594-$I$589)*MIN(M$3-$O$2,$Q$2)/$Q$2))</f>
        <v>2061.18713794854</v>
      </c>
      <c r="N594" s="15" t="n">
        <f aca="false">M594*(1+IF(N$3&lt;=$O$2,$D594,$D594-($D594-$I$589)*MIN(N$3-$O$2,$Q$2)/$Q$2))</f>
        <v>2098.90686257299</v>
      </c>
      <c r="O594" s="15" t="n">
        <f aca="false">SUMPRODUCT(E594:N594,1/(1+$F$589)^$E$3:$N$3)*$E$2</f>
        <v>4193.94592472342</v>
      </c>
      <c r="P594" s="15" t="n">
        <f aca="false">N594*$E$2*(1+$I$589)/($F$589-$I$589)/(1+$F$589)^$N$3</f>
        <v>3661.78834551565</v>
      </c>
      <c r="Q594" s="15" t="n">
        <f aca="false">O594+P594</f>
        <v>7855.73427023907</v>
      </c>
      <c r="R594" s="15" t="n">
        <f aca="false">Q594-$G$2+$I$2</f>
        <v>6581.06427023907</v>
      </c>
      <c r="S594" s="42" t="n">
        <f aca="false">R594/$K$2</f>
        <v>185.017269334807</v>
      </c>
      <c r="T594" s="43" t="n">
        <f aca="false">S594-$M$2</f>
        <v>-104.271457120071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-0.03125</v>
      </c>
      <c r="C595" s="25" t="n">
        <f aca="false">IF(T594&gt;0,D594,C594)</f>
        <v>0.0625</v>
      </c>
      <c r="D595" s="41" t="n">
        <f aca="false">(B595+C595)/2</f>
        <v>0.015625</v>
      </c>
      <c r="E595" s="15" t="n">
        <f aca="false">$C$2*(1+IF(E$3&lt;=$O$2,$D595,$D595-($D595-$I$589)*MIN(E$3-$O$2,$Q$2)/$Q$2))</f>
        <v>2518.75</v>
      </c>
      <c r="F595" s="15" t="n">
        <f aca="false">E595*(1+IF(F$3&lt;=$O$2,$D595,$D595-($D595-$I$589)*MIN(F$3-$O$2,$Q$2)/$Q$2))</f>
        <v>2558.10546875</v>
      </c>
      <c r="G595" s="15" t="n">
        <f aca="false">F595*(1+IF(G$3&lt;=$O$2,$D595,$D595-($D595-$I$589)*MIN(G$3-$O$2,$Q$2)/$Q$2))</f>
        <v>2598.07586669922</v>
      </c>
      <c r="H595" s="15" t="n">
        <f aca="false">G595*(1+IF(H$3&lt;=$O$2,$D595,$D595-($D595-$I$589)*MIN(H$3-$O$2,$Q$2)/$Q$2))</f>
        <v>2638.67080211639</v>
      </c>
      <c r="I595" s="15" t="n">
        <f aca="false">H595*(1+IF(I$3&lt;=$O$2,$D595,$D595-($D595-$I$589)*MIN(I$3-$O$2,$Q$2)/$Q$2))</f>
        <v>2679.90003339946</v>
      </c>
      <c r="J595" s="15" t="n">
        <f aca="false">I595*(1+IF(J$3&lt;=$O$2,$D595,$D595-($D595-$I$589)*MIN(J$3-$O$2,$Q$2)/$Q$2))</f>
        <v>2723.2072179392</v>
      </c>
      <c r="K595" s="15" t="n">
        <f aca="false">J595*(1+IF(K$3&lt;=$O$2,$D595,$D595-($D595-$I$589)*MIN(K$3-$O$2,$Q$2)/$Q$2))</f>
        <v>2768.67116244269</v>
      </c>
      <c r="L595" s="15" t="n">
        <f aca="false">K595*(1+IF(L$3&lt;=$O$2,$D595,$D595-($D595-$I$589)*MIN(L$3-$O$2,$Q$2)/$Q$2))</f>
        <v>2816.37536657158</v>
      </c>
      <c r="M595" s="15" t="n">
        <f aca="false">L595*(1+IF(M$3&lt;=$O$2,$D595,$D595-($D595-$I$589)*MIN(M$3-$O$2,$Q$2)/$Q$2))</f>
        <v>2866.40827495872</v>
      </c>
      <c r="N595" s="15" t="n">
        <f aca="false">M595*(1+IF(N$3&lt;=$O$2,$D595,$D595-($D595-$I$589)*MIN(N$3-$O$2,$Q$2)/$Q$2))</f>
        <v>2918.86354639047</v>
      </c>
      <c r="O595" s="15" t="n">
        <f aca="false">SUMPRODUCT(E595:N595,1/(1+$F$589)^$E$3:$N$3)*$E$2</f>
        <v>5130.69857878055</v>
      </c>
      <c r="P595" s="15" t="n">
        <f aca="false">N595*$E$2*(1+$I$589)/($F$589-$I$589)/(1+$F$589)^$N$3</f>
        <v>5092.29861834871</v>
      </c>
      <c r="Q595" s="15" t="n">
        <f aca="false">O595+P595</f>
        <v>10222.9971971293</v>
      </c>
      <c r="R595" s="15" t="n">
        <f aca="false">Q595-$G$2+$I$2</f>
        <v>8948.32719712926</v>
      </c>
      <c r="S595" s="42" t="n">
        <f aca="false">R595/$K$2</f>
        <v>251.569502308947</v>
      </c>
      <c r="T595" s="43" t="n">
        <f aca="false">S595-$M$2</f>
        <v>-37.7192241459302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0.015625</v>
      </c>
      <c r="C596" s="25" t="n">
        <f aca="false">IF(T595&gt;0,D595,C595)</f>
        <v>0.0625</v>
      </c>
      <c r="D596" s="41" t="n">
        <f aca="false">(B596+C596)/2</f>
        <v>0.0390625</v>
      </c>
      <c r="E596" s="15" t="n">
        <f aca="false">$C$2*(1+IF(E$3&lt;=$O$2,$D596,$D596-($D596-$I$589)*MIN(E$3-$O$2,$Q$2)/$Q$2))</f>
        <v>2576.875</v>
      </c>
      <c r="F596" s="15" t="n">
        <f aca="false">E596*(1+IF(F$3&lt;=$O$2,$D596,$D596-($D596-$I$589)*MIN(F$3-$O$2,$Q$2)/$Q$2))</f>
        <v>2677.5341796875</v>
      </c>
      <c r="G596" s="15" t="n">
        <f aca="false">F596*(1+IF(G$3&lt;=$O$2,$D596,$D596-($D596-$I$589)*MIN(G$3-$O$2,$Q$2)/$Q$2))</f>
        <v>2782.12535858154</v>
      </c>
      <c r="H596" s="15" t="n">
        <f aca="false">G596*(1+IF(H$3&lt;=$O$2,$D596,$D596-($D596-$I$589)*MIN(H$3-$O$2,$Q$2)/$Q$2))</f>
        <v>2890.80213040113</v>
      </c>
      <c r="I596" s="15" t="n">
        <f aca="false">H596*(1+IF(I$3&lt;=$O$2,$D596,$D596-($D596-$I$589)*MIN(I$3-$O$2,$Q$2)/$Q$2))</f>
        <v>3003.72408861993</v>
      </c>
      <c r="J596" s="15" t="n">
        <f aca="false">I596*(1+IF(J$3&lt;=$O$2,$D596,$D596-($D596-$I$589)*MIN(J$3-$O$2,$Q$2)/$Q$2))</f>
        <v>3108.58409655365</v>
      </c>
      <c r="K596" s="15" t="n">
        <f aca="false">J596*(1+IF(K$3&lt;=$O$2,$D596,$D596-($D596-$I$589)*MIN(K$3-$O$2,$Q$2)/$Q$2))</f>
        <v>3204.1963719034</v>
      </c>
      <c r="L596" s="15" t="n">
        <f aca="false">K596*(1+IF(L$3&lt;=$O$2,$D596,$D596-($D596-$I$589)*MIN(L$3-$O$2,$Q$2)/$Q$2))</f>
        <v>3289.44401637789</v>
      </c>
      <c r="M596" s="15" t="n">
        <f aca="false">L596*(1+IF(M$3&lt;=$O$2,$D596,$D596-($D596-$I$589)*MIN(M$3-$O$2,$Q$2)/$Q$2))</f>
        <v>3363.30025815561</v>
      </c>
      <c r="N596" s="15" t="n">
        <f aca="false">M596*(1+IF(N$3&lt;=$O$2,$D596,$D596-($D596-$I$589)*MIN(N$3-$O$2,$Q$2)/$Q$2))</f>
        <v>3424.84865287986</v>
      </c>
      <c r="O596" s="15" t="n">
        <f aca="false">SUMPRODUCT(E596:N596,1/(1+$F$589)^$E$3:$N$3)*$E$2</f>
        <v>5676.94238300135</v>
      </c>
      <c r="P596" s="15" t="n">
        <f aca="false">N596*$E$2*(1+$I$589)/($F$589-$I$589)/(1+$F$589)^$N$3</f>
        <v>5975.04877700798</v>
      </c>
      <c r="Q596" s="15" t="n">
        <f aca="false">O596+P596</f>
        <v>11651.9911600093</v>
      </c>
      <c r="R596" s="15" t="n">
        <f aca="false">Q596-$G$2+$I$2</f>
        <v>10377.3211600093</v>
      </c>
      <c r="S596" s="42" t="n">
        <f aca="false">R596/$K$2</f>
        <v>291.743636772824</v>
      </c>
      <c r="T596" s="43" t="n">
        <f aca="false">S596-$M$2</f>
        <v>2.45491031794586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0.015625</v>
      </c>
      <c r="C597" s="25" t="n">
        <f aca="false">IF(T596&gt;0,D596,C596)</f>
        <v>0.0390625</v>
      </c>
      <c r="D597" s="41" t="n">
        <f aca="false">(B597+C597)/2</f>
        <v>0.02734375</v>
      </c>
      <c r="E597" s="15" t="n">
        <f aca="false">$C$2*(1+IF(E$3&lt;=$O$2,$D597,$D597-($D597-$I$589)*MIN(E$3-$O$2,$Q$2)/$Q$2))</f>
        <v>2547.8125</v>
      </c>
      <c r="F597" s="15" t="n">
        <f aca="false">E597*(1+IF(F$3&lt;=$O$2,$D597,$D597-($D597-$I$589)*MIN(F$3-$O$2,$Q$2)/$Q$2))</f>
        <v>2617.47924804688</v>
      </c>
      <c r="G597" s="15" t="n">
        <f aca="false">F597*(1+IF(G$3&lt;=$O$2,$D597,$D597-($D597-$I$589)*MIN(G$3-$O$2,$Q$2)/$Q$2))</f>
        <v>2689.05094623566</v>
      </c>
      <c r="H597" s="15" t="n">
        <f aca="false">G597*(1+IF(H$3&lt;=$O$2,$D597,$D597-($D597-$I$589)*MIN(H$3-$O$2,$Q$2)/$Q$2))</f>
        <v>2762.57968304679</v>
      </c>
      <c r="I597" s="15" t="n">
        <f aca="false">H597*(1+IF(I$3&lt;=$O$2,$D597,$D597-($D597-$I$589)*MIN(I$3-$O$2,$Q$2)/$Q$2))</f>
        <v>2838.1189712551</v>
      </c>
      <c r="J597" s="15" t="n">
        <f aca="false">I597*(1+IF(J$3&lt;=$O$2,$D597,$D597-($D597-$I$589)*MIN(J$3-$O$2,$Q$2)/$Q$2))</f>
        <v>2910.5903391861</v>
      </c>
      <c r="K597" s="15" t="n">
        <f aca="false">J597*(1+IF(K$3&lt;=$O$2,$D597,$D597-($D597-$I$589)*MIN(K$3-$O$2,$Q$2)/$Q$2))</f>
        <v>2979.64773322121</v>
      </c>
      <c r="L597" s="15" t="n">
        <f aca="false">K597*(1+IF(L$3&lt;=$O$2,$D597,$D597-($D597-$I$589)*MIN(L$3-$O$2,$Q$2)/$Q$2))</f>
        <v>3044.95416241409</v>
      </c>
      <c r="M597" s="15" t="n">
        <f aca="false">L597*(1+IF(M$3&lt;=$O$2,$D597,$D597-($D597-$I$589)*MIN(M$3-$O$2,$Q$2)/$Q$2))</f>
        <v>3106.18438442753</v>
      </c>
      <c r="N597" s="15" t="n">
        <f aca="false">M597*(1+IF(N$3&lt;=$O$2,$D597,$D597-($D597-$I$589)*MIN(N$3-$O$2,$Q$2)/$Q$2))</f>
        <v>3163.02755866256</v>
      </c>
      <c r="O597" s="15" t="n">
        <f aca="false">SUMPRODUCT(E597:N597,1/(1+$F$589)^$E$3:$N$3)*$E$2</f>
        <v>5396.79176314767</v>
      </c>
      <c r="P597" s="15" t="n">
        <f aca="false">N597*$E$2*(1+$I$589)/($F$589-$I$589)/(1+$F$589)^$N$3</f>
        <v>5518.27127605694</v>
      </c>
      <c r="Q597" s="15" t="n">
        <f aca="false">O597+P597</f>
        <v>10915.0630392046</v>
      </c>
      <c r="R597" s="15" t="n">
        <f aca="false">Q597-$G$2+$I$2</f>
        <v>9640.39303920461</v>
      </c>
      <c r="S597" s="42" t="n">
        <f aca="false">R597/$K$2</f>
        <v>271.025949935469</v>
      </c>
      <c r="T597" s="43" t="n">
        <f aca="false">S597-$M$2</f>
        <v>-18.2627765194092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0.02734375</v>
      </c>
      <c r="C598" s="25" t="n">
        <f aca="false">IF(T597&gt;0,D597,C597)</f>
        <v>0.0390625</v>
      </c>
      <c r="D598" s="41" t="n">
        <f aca="false">(B598+C598)/2</f>
        <v>0.033203125</v>
      </c>
      <c r="E598" s="15" t="n">
        <f aca="false">$C$2*(1+IF(E$3&lt;=$O$2,$D598,$D598-($D598-$I$589)*MIN(E$3-$O$2,$Q$2)/$Q$2))</f>
        <v>2562.34375</v>
      </c>
      <c r="F598" s="15" t="n">
        <f aca="false">E598*(1+IF(F$3&lt;=$O$2,$D598,$D598-($D598-$I$589)*MIN(F$3-$O$2,$Q$2)/$Q$2))</f>
        <v>2647.42156982422</v>
      </c>
      <c r="G598" s="15" t="n">
        <f aca="false">F598*(1+IF(G$3&lt;=$O$2,$D598,$D598-($D598-$I$589)*MIN(G$3-$O$2,$Q$2)/$Q$2))</f>
        <v>2735.32423913479</v>
      </c>
      <c r="H598" s="15" t="n">
        <f aca="false">G598*(1+IF(H$3&lt;=$O$2,$D598,$D598-($D598-$I$589)*MIN(H$3-$O$2,$Q$2)/$Q$2))</f>
        <v>2826.14555176231</v>
      </c>
      <c r="I598" s="15" t="n">
        <f aca="false">H598*(1+IF(I$3&lt;=$O$2,$D598,$D598-($D598-$I$589)*MIN(I$3-$O$2,$Q$2)/$Q$2))</f>
        <v>2919.98241578567</v>
      </c>
      <c r="J598" s="15" t="n">
        <f aca="false">I598*(1+IF(J$3&lt;=$O$2,$D598,$D598-($D598-$I$589)*MIN(J$3-$O$2,$Q$2)/$Q$2))</f>
        <v>3008.23158434675</v>
      </c>
      <c r="K598" s="15" t="n">
        <f aca="false">J598*(1+IF(K$3&lt;=$O$2,$D598,$D598-($D598-$I$589)*MIN(K$3-$O$2,$Q$2)/$Q$2))</f>
        <v>3090.18145313858</v>
      </c>
      <c r="L598" s="15" t="n">
        <f aca="false">K598*(1+IF(L$3&lt;=$O$2,$D598,$D598-($D598-$I$589)*MIN(L$3-$O$2,$Q$2)/$Q$2))</f>
        <v>3165.15311791854</v>
      </c>
      <c r="M598" s="15" t="n">
        <f aca="false">L598*(1+IF(M$3&lt;=$O$2,$D598,$D598-($D598-$I$589)*MIN(M$3-$O$2,$Q$2)/$Q$2))</f>
        <v>3232.50955448854</v>
      </c>
      <c r="N598" s="15" t="n">
        <f aca="false">M598*(1+IF(N$3&lt;=$O$2,$D598,$D598-($D598-$I$589)*MIN(N$3-$O$2,$Q$2)/$Q$2))</f>
        <v>3291.66447933568</v>
      </c>
      <c r="O598" s="15" t="n">
        <f aca="false">SUMPRODUCT(E598:N598,1/(1+$F$589)^$E$3:$N$3)*$E$2</f>
        <v>5535.06700238091</v>
      </c>
      <c r="P598" s="15" t="n">
        <f aca="false">N598*$E$2*(1+$I$589)/($F$589-$I$589)/(1+$F$589)^$N$3</f>
        <v>5742.69341947041</v>
      </c>
      <c r="Q598" s="15" t="n">
        <f aca="false">O598+P598</f>
        <v>11277.7604218513</v>
      </c>
      <c r="R598" s="15" t="n">
        <f aca="false">Q598-$G$2+$I$2</f>
        <v>10003.0904218513</v>
      </c>
      <c r="S598" s="42" t="n">
        <f aca="false">R598/$K$2</f>
        <v>281.22267140431</v>
      </c>
      <c r="T598" s="43" t="n">
        <f aca="false">S598-$M$2</f>
        <v>-8.06605505056746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0.033203125</v>
      </c>
      <c r="C599" s="25" t="n">
        <f aca="false">IF(T598&gt;0,D598,C598)</f>
        <v>0.0390625</v>
      </c>
      <c r="D599" s="41" t="n">
        <f aca="false">(B599+C599)/2</f>
        <v>0.0361328125</v>
      </c>
      <c r="E599" s="15" t="n">
        <f aca="false">$C$2*(1+IF(E$3&lt;=$O$2,$D599,$D599-($D599-$I$589)*MIN(E$3-$O$2,$Q$2)/$Q$2))</f>
        <v>2569.609375</v>
      </c>
      <c r="F599" s="15" t="n">
        <f aca="false">E599*(1+IF(F$3&lt;=$O$2,$D599,$D599-($D599-$I$589)*MIN(F$3-$O$2,$Q$2)/$Q$2))</f>
        <v>2662.45658874512</v>
      </c>
      <c r="G599" s="15" t="n">
        <f aca="false">F599*(1+IF(G$3&lt;=$O$2,$D599,$D599-($D599-$I$589)*MIN(G$3-$O$2,$Q$2)/$Q$2))</f>
        <v>2758.65863345563</v>
      </c>
      <c r="H599" s="15" t="n">
        <f aca="false">G599*(1+IF(H$3&lt;=$O$2,$D599,$D599-($D599-$I$589)*MIN(H$3-$O$2,$Q$2)/$Q$2))</f>
        <v>2858.33672860979</v>
      </c>
      <c r="I599" s="15" t="n">
        <f aca="false">H599*(1+IF(I$3&lt;=$O$2,$D599,$D599-($D599-$I$589)*MIN(I$3-$O$2,$Q$2)/$Q$2))</f>
        <v>2961.61647368651</v>
      </c>
      <c r="J599" s="15" t="n">
        <f aca="false">I599*(1+IF(J$3&lt;=$O$2,$D599,$D599-($D599-$I$589)*MIN(J$3-$O$2,$Q$2)/$Q$2))</f>
        <v>3058.06521617271</v>
      </c>
      <c r="K599" s="15" t="n">
        <f aca="false">J599*(1+IF(K$3&lt;=$O$2,$D599,$D599-($D599-$I$589)*MIN(K$3-$O$2,$Q$2)/$Q$2))</f>
        <v>3146.74815179634</v>
      </c>
      <c r="L599" s="15" t="n">
        <f aca="false">K599*(1+IF(L$3&lt;=$O$2,$D599,$D599-($D599-$I$589)*MIN(L$3-$O$2,$Q$2)/$Q$2))</f>
        <v>3226.77979088449</v>
      </c>
      <c r="M599" s="15" t="n">
        <f aca="false">L599*(1+IF(M$3&lt;=$O$2,$D599,$D599-($D599-$I$589)*MIN(M$3-$O$2,$Q$2)/$Q$2))</f>
        <v>3297.3383728556</v>
      </c>
      <c r="N599" s="15" t="n">
        <f aca="false">M599*(1+IF(N$3&lt;=$O$2,$D599,$D599-($D599-$I$589)*MIN(N$3-$O$2,$Q$2)/$Q$2))</f>
        <v>3357.67966507886</v>
      </c>
      <c r="O599" s="15" t="n">
        <f aca="false">SUMPRODUCT(E599:N599,1/(1+$F$589)^$E$3:$N$3)*$E$2</f>
        <v>5605.54921387831</v>
      </c>
      <c r="P599" s="15" t="n">
        <f aca="false">N599*$E$2*(1+$I$589)/($F$589-$I$589)/(1+$F$589)^$N$3</f>
        <v>5857.8646269651</v>
      </c>
      <c r="Q599" s="15" t="n">
        <f aca="false">O599+P599</f>
        <v>11463.4138408434</v>
      </c>
      <c r="R599" s="15" t="n">
        <f aca="false">Q599-$G$2+$I$2</f>
        <v>10188.7438408434</v>
      </c>
      <c r="S599" s="42" t="n">
        <f aca="false">R599/$K$2</f>
        <v>286.442053439511</v>
      </c>
      <c r="T599" s="43" t="n">
        <f aca="false">S599-$M$2</f>
        <v>-2.84667301536661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0.0361328125</v>
      </c>
      <c r="C600" s="25" t="n">
        <f aca="false">IF(T599&gt;0,D599,C599)</f>
        <v>0.0390625</v>
      </c>
      <c r="D600" s="41" t="n">
        <f aca="false">(B600+C600)/2</f>
        <v>0.03759765625</v>
      </c>
      <c r="E600" s="15" t="n">
        <f aca="false">$C$2*(1+IF(E$3&lt;=$O$2,$D600,$D600-($D600-$I$589)*MIN(E$3-$O$2,$Q$2)/$Q$2))</f>
        <v>2573.2421875</v>
      </c>
      <c r="F600" s="15" t="n">
        <f aca="false">E600*(1+IF(F$3&lt;=$O$2,$D600,$D600-($D600-$I$589)*MIN(F$3-$O$2,$Q$2)/$Q$2))</f>
        <v>2669.99006271362</v>
      </c>
      <c r="G600" s="15" t="n">
        <f aca="false">F600*(1+IF(G$3&lt;=$O$2,$D600,$D600-($D600-$I$589)*MIN(G$3-$O$2,$Q$2)/$Q$2))</f>
        <v>2770.37543128245</v>
      </c>
      <c r="H600" s="15" t="n">
        <f aca="false">G600*(1+IF(H$3&lt;=$O$2,$D600,$D600-($D600-$I$589)*MIN(H$3-$O$2,$Q$2)/$Q$2))</f>
        <v>2874.53505443125</v>
      </c>
      <c r="I600" s="15" t="n">
        <f aca="false">H600*(1+IF(I$3&lt;=$O$2,$D600,$D600-($D600-$I$589)*MIN(I$3-$O$2,$Q$2)/$Q$2))</f>
        <v>2982.61083528633</v>
      </c>
      <c r="J600" s="15" t="n">
        <f aca="false">I600*(1+IF(J$3&lt;=$O$2,$D600,$D600-($D600-$I$589)*MIN(J$3-$O$2,$Q$2)/$Q$2))</f>
        <v>3083.23853247357</v>
      </c>
      <c r="K600" s="15" t="n">
        <f aca="false">J600*(1+IF(K$3&lt;=$O$2,$D600,$D600-($D600-$I$589)*MIN(K$3-$O$2,$Q$2)/$Q$2))</f>
        <v>3175.3613640197</v>
      </c>
      <c r="L600" s="15" t="n">
        <f aca="false">K600*(1+IF(L$3&lt;=$O$2,$D600,$D600-($D600-$I$589)*MIN(L$3-$O$2,$Q$2)/$Q$2))</f>
        <v>3257.98128981021</v>
      </c>
      <c r="M600" s="15" t="n">
        <f aca="false">L600*(1+IF(M$3&lt;=$O$2,$D600,$D600-($D600-$I$589)*MIN(M$3-$O$2,$Q$2)/$Q$2))</f>
        <v>3330.17662801368</v>
      </c>
      <c r="N600" s="15" t="n">
        <f aca="false">M600*(1+IF(N$3&lt;=$O$2,$D600,$D600-($D600-$I$589)*MIN(N$3-$O$2,$Q$2)/$Q$2))</f>
        <v>3391.11886030633</v>
      </c>
      <c r="O600" s="15" t="n">
        <f aca="false">SUMPRODUCT(E600:N600,1/(1+$F$589)^$E$3:$N$3)*$E$2</f>
        <v>5641.13123977903</v>
      </c>
      <c r="P600" s="15" t="n">
        <f aca="false">N600*$E$2*(1+$I$589)/($F$589-$I$589)/(1+$F$589)^$N$3</f>
        <v>5916.20321146868</v>
      </c>
      <c r="Q600" s="15" t="n">
        <f aca="false">O600+P600</f>
        <v>11557.3344512477</v>
      </c>
      <c r="R600" s="15" t="n">
        <f aca="false">Q600-$G$2+$I$2</f>
        <v>10282.6644512477</v>
      </c>
      <c r="S600" s="42" t="n">
        <f aca="false">R600/$K$2</f>
        <v>289.082497926559</v>
      </c>
      <c r="T600" s="43" t="n">
        <f aca="false">S600-$M$2</f>
        <v>-0.206228528318491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0.03759765625</v>
      </c>
      <c r="C601" s="25" t="n">
        <f aca="false">IF(T600&gt;0,D600,C600)</f>
        <v>0.0390625</v>
      </c>
      <c r="D601" s="41" t="n">
        <f aca="false">(B601+C601)/2</f>
        <v>0.038330078125</v>
      </c>
      <c r="E601" s="15" t="n">
        <f aca="false">$C$2*(1+IF(E$3&lt;=$O$2,$D601,$D601-($D601-$I$589)*MIN(E$3-$O$2,$Q$2)/$Q$2))</f>
        <v>2575.05859375</v>
      </c>
      <c r="F601" s="15" t="n">
        <f aca="false">E601*(1+IF(F$3&lt;=$O$2,$D601,$D601-($D601-$I$589)*MIN(F$3-$O$2,$Q$2)/$Q$2))</f>
        <v>2673.76079082489</v>
      </c>
      <c r="G601" s="15" t="n">
        <f aca="false">F601*(1+IF(G$3&lt;=$O$2,$D601,$D601-($D601-$I$589)*MIN(G$3-$O$2,$Q$2)/$Q$2))</f>
        <v>2776.24625082477</v>
      </c>
      <c r="H601" s="15" t="n">
        <f aca="false">G601*(1+IF(H$3&lt;=$O$2,$D601,$D601-($D601-$I$589)*MIN(H$3-$O$2,$Q$2)/$Q$2))</f>
        <v>2882.65998651312</v>
      </c>
      <c r="I601" s="15" t="n">
        <f aca="false">H601*(1+IF(I$3&lt;=$O$2,$D601,$D601-($D601-$I$589)*MIN(I$3-$O$2,$Q$2)/$Q$2))</f>
        <v>2993.15256900398</v>
      </c>
      <c r="J601" s="15" t="n">
        <f aca="false">I601*(1+IF(J$3&lt;=$O$2,$D601,$D601-($D601-$I$589)*MIN(J$3-$O$2,$Q$2)/$Q$2))</f>
        <v>3095.88972485451</v>
      </c>
      <c r="K601" s="15" t="n">
        <f aca="false">J601*(1+IF(K$3&lt;=$O$2,$D601,$D601-($D601-$I$589)*MIN(K$3-$O$2,$Q$2)/$Q$2))</f>
        <v>3189.75105465248</v>
      </c>
      <c r="L601" s="15" t="n">
        <f aca="false">K601*(1+IF(L$3&lt;=$O$2,$D601,$D601-($D601-$I$589)*MIN(L$3-$O$2,$Q$2)/$Q$2))</f>
        <v>3273.67988408222</v>
      </c>
      <c r="M601" s="15" t="n">
        <f aca="false">L601*(1+IF(M$3&lt;=$O$2,$D601,$D601-($D601-$I$589)*MIN(M$3-$O$2,$Q$2)/$Q$2))</f>
        <v>3346.7026387278</v>
      </c>
      <c r="N601" s="15" t="n">
        <f aca="false">M601*(1+IF(N$3&lt;=$O$2,$D601,$D601-($D601-$I$589)*MIN(N$3-$O$2,$Q$2)/$Q$2))</f>
        <v>3407.94729701652</v>
      </c>
      <c r="O601" s="15" t="n">
        <f aca="false">SUMPRODUCT(E601:N601,1/(1+$F$589)^$E$3:$N$3)*$E$2</f>
        <v>5659.00808520801</v>
      </c>
      <c r="P601" s="15" t="n">
        <f aca="false">N601*$E$2*(1+$I$589)/($F$589-$I$589)/(1+$F$589)^$N$3</f>
        <v>5945.56238624554</v>
      </c>
      <c r="Q601" s="15" t="n">
        <f aca="false">O601+P601</f>
        <v>11604.5704714536</v>
      </c>
      <c r="R601" s="15" t="n">
        <f aca="false">Q601-$G$2+$I$2</f>
        <v>10329.9004714536</v>
      </c>
      <c r="S601" s="42" t="n">
        <f aca="false">R601/$K$2</f>
        <v>290.410471505582</v>
      </c>
      <c r="T601" s="43" t="n">
        <f aca="false">S601-$M$2</f>
        <v>1.12174505070425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0.03759765625</v>
      </c>
      <c r="C602" s="25" t="n">
        <f aca="false">IF(T601&gt;0,D601,C601)</f>
        <v>0.038330078125</v>
      </c>
      <c r="D602" s="41" t="n">
        <f aca="false">(B602+C602)/2</f>
        <v>0.0379638671875</v>
      </c>
      <c r="E602" s="15" t="n">
        <f aca="false">$C$2*(1+IF(E$3&lt;=$O$2,$D602,$D602-($D602-$I$589)*MIN(E$3-$O$2,$Q$2)/$Q$2))</f>
        <v>2574.150390625</v>
      </c>
      <c r="F602" s="15" t="n">
        <f aca="false">E602*(1+IF(F$3&lt;=$O$2,$D602,$D602-($D602-$I$589)*MIN(F$3-$O$2,$Q$2)/$Q$2))</f>
        <v>2671.87509417534</v>
      </c>
      <c r="G602" s="15" t="n">
        <f aca="false">F602*(1+IF(G$3&lt;=$O$2,$D602,$D602-($D602-$I$589)*MIN(G$3-$O$2,$Q$2)/$Q$2))</f>
        <v>2773.3098053922</v>
      </c>
      <c r="H602" s="15" t="n">
        <f aca="false">G602*(1+IF(H$3&lt;=$O$2,$D602,$D602-($D602-$I$589)*MIN(H$3-$O$2,$Q$2)/$Q$2))</f>
        <v>2878.5953705139</v>
      </c>
      <c r="I602" s="15" t="n">
        <f aca="false">H602*(1+IF(I$3&lt;=$O$2,$D602,$D602-($D602-$I$589)*MIN(I$3-$O$2,$Q$2)/$Q$2))</f>
        <v>2987.87798284664</v>
      </c>
      <c r="J602" s="15" t="n">
        <f aca="false">I602*(1+IF(J$3&lt;=$O$2,$D602,$D602-($D602-$I$589)*MIN(J$3-$O$2,$Q$2)/$Q$2))</f>
        <v>3089.55873859446</v>
      </c>
      <c r="K602" s="15" t="n">
        <f aca="false">J602*(1+IF(K$3&lt;=$O$2,$D602,$D602-($D602-$I$589)*MIN(K$3-$O$2,$Q$2)/$Q$2))</f>
        <v>3182.54926713296</v>
      </c>
      <c r="L602" s="15" t="n">
        <f aca="false">K602*(1+IF(L$3&lt;=$O$2,$D602,$D602-($D602-$I$589)*MIN(L$3-$O$2,$Q$2)/$Q$2))</f>
        <v>3265.82240916412</v>
      </c>
      <c r="M602" s="15" t="n">
        <f aca="false">L602*(1+IF(M$3&lt;=$O$2,$D602,$D602-($D602-$I$589)*MIN(M$3-$O$2,$Q$2)/$Q$2))</f>
        <v>3338.43069887418</v>
      </c>
      <c r="N602" s="15" t="n">
        <f aca="false">M602*(1+IF(N$3&lt;=$O$2,$D602,$D602-($D602-$I$589)*MIN(N$3-$O$2,$Q$2)/$Q$2))</f>
        <v>3399.52398066358</v>
      </c>
      <c r="O602" s="15" t="n">
        <f aca="false">SUMPRODUCT(E602:N602,1/(1+$F$589)^$E$3:$N$3)*$E$2</f>
        <v>5650.06249178038</v>
      </c>
      <c r="P602" s="15" t="n">
        <f aca="false">N602*$E$2*(1+$I$589)/($F$589-$I$589)/(1+$F$589)^$N$3</f>
        <v>5930.86692633648</v>
      </c>
      <c r="Q602" s="15" t="n">
        <f aca="false">O602+P602</f>
        <v>11580.9294181169</v>
      </c>
      <c r="R602" s="15" t="n">
        <f aca="false">Q602-$G$2+$I$2</f>
        <v>10306.2594181169</v>
      </c>
      <c r="S602" s="42" t="n">
        <f aca="false">R602/$K$2</f>
        <v>289.745836888301</v>
      </c>
      <c r="T602" s="43" t="n">
        <f aca="false">S602-$M$2</f>
        <v>0.457110433423111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0.03759765625</v>
      </c>
      <c r="C603" s="25" t="n">
        <f aca="false">IF(T602&gt;0,D602,C602)</f>
        <v>0.0379638671875</v>
      </c>
      <c r="D603" s="41" t="n">
        <f aca="false">(B603+C603)/2</f>
        <v>0.03778076171875</v>
      </c>
      <c r="E603" s="15" t="n">
        <f aca="false">$C$2*(1+IF(E$3&lt;=$O$2,$D603,$D603-($D603-$I$589)*MIN(E$3-$O$2,$Q$2)/$Q$2))</f>
        <v>2573.6962890625</v>
      </c>
      <c r="F603" s="15" t="n">
        <f aca="false">E603*(1+IF(F$3&lt;=$O$2,$D603,$D603-($D603-$I$589)*MIN(F$3-$O$2,$Q$2)/$Q$2))</f>
        <v>2670.932495296</v>
      </c>
      <c r="G603" s="15" t="n">
        <f aca="false">F603*(1+IF(G$3&lt;=$O$2,$D603,$D603-($D603-$I$589)*MIN(G$3-$O$2,$Q$2)/$Q$2))</f>
        <v>2771.84235946765</v>
      </c>
      <c r="H603" s="15" t="n">
        <f aca="false">G603*(1+IF(H$3&lt;=$O$2,$D603,$D603-($D603-$I$589)*MIN(H$3-$O$2,$Q$2)/$Q$2))</f>
        <v>2876.56467517263</v>
      </c>
      <c r="I603" s="15" t="n">
        <f aca="false">H603*(1+IF(I$3&lt;=$O$2,$D603,$D603-($D603-$I$589)*MIN(I$3-$O$2,$Q$2)/$Q$2))</f>
        <v>2985.2434797339</v>
      </c>
      <c r="J603" s="15" t="n">
        <f aca="false">I603*(1+IF(J$3&lt;=$O$2,$D603,$D603-($D603-$I$589)*MIN(J$3-$O$2,$Q$2)/$Q$2))</f>
        <v>3086.39728893395</v>
      </c>
      <c r="K603" s="15" t="n">
        <f aca="false">J603*(1+IF(K$3&lt;=$O$2,$D603,$D603-($D603-$I$589)*MIN(K$3-$O$2,$Q$2)/$Q$2))</f>
        <v>3178.95358141451</v>
      </c>
      <c r="L603" s="15" t="n">
        <f aca="false">K603*(1+IF(L$3&lt;=$O$2,$D603,$D603-($D603-$I$589)*MIN(L$3-$O$2,$Q$2)/$Q$2))</f>
        <v>3261.8998068482</v>
      </c>
      <c r="M603" s="15" t="n">
        <f aca="false">L603*(1+IF(M$3&lt;=$O$2,$D603,$D603-($D603-$I$589)*MIN(M$3-$O$2,$Q$2)/$Q$2))</f>
        <v>3334.30143189105</v>
      </c>
      <c r="N603" s="15" t="n">
        <f aca="false">M603*(1+IF(N$3&lt;=$O$2,$D603,$D603-($D603-$I$589)*MIN(N$3-$O$2,$Q$2)/$Q$2))</f>
        <v>3395.31914809466</v>
      </c>
      <c r="O603" s="15" t="n">
        <f aca="false">SUMPRODUCT(E603:N603,1/(1+$F$589)^$E$3:$N$3)*$E$2</f>
        <v>5645.59507445391</v>
      </c>
      <c r="P603" s="15" t="n">
        <f aca="false">N603*$E$2*(1+$I$589)/($F$589-$I$589)/(1+$F$589)^$N$3</f>
        <v>5923.53110445211</v>
      </c>
      <c r="Q603" s="15" t="n">
        <f aca="false">O603+P603</f>
        <v>11569.126178906</v>
      </c>
      <c r="R603" s="15" t="n">
        <f aca="false">Q603-$G$2+$I$2</f>
        <v>10294.456178906</v>
      </c>
      <c r="S603" s="42" t="n">
        <f aca="false">R603/$K$2</f>
        <v>289.41400559196</v>
      </c>
      <c r="T603" s="43" t="n">
        <f aca="false">S603-$M$2</f>
        <v>0.125279137082487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0.03759765625</v>
      </c>
      <c r="C604" s="25" t="n">
        <f aca="false">IF(T603&gt;0,D603,C603)</f>
        <v>0.03778076171875</v>
      </c>
      <c r="D604" s="41" t="n">
        <f aca="false">(B604+C604)/2</f>
        <v>0.037689208984375</v>
      </c>
      <c r="E604" s="15" t="n">
        <f aca="false">$C$2*(1+IF(E$3&lt;=$O$2,$D604,$D604-($D604-$I$589)*MIN(E$3-$O$2,$Q$2)/$Q$2))</f>
        <v>2573.46923828125</v>
      </c>
      <c r="F604" s="15" t="n">
        <f aca="false">E604*(1+IF(F$3&lt;=$O$2,$D604,$D604-($D604-$I$589)*MIN(F$3-$O$2,$Q$2)/$Q$2))</f>
        <v>2670.46125821769</v>
      </c>
      <c r="G604" s="15" t="n">
        <f aca="false">F604*(1+IF(G$3&lt;=$O$2,$D604,$D604-($D604-$I$589)*MIN(G$3-$O$2,$Q$2)/$Q$2))</f>
        <v>2771.10883066334</v>
      </c>
      <c r="H604" s="15" t="n">
        <f aca="false">G604*(1+IF(H$3&lt;=$O$2,$D604,$D604-($D604-$I$589)*MIN(H$3-$O$2,$Q$2)/$Q$2))</f>
        <v>2875.54973050065</v>
      </c>
      <c r="I604" s="15" t="n">
        <f aca="false">H604*(1+IF(I$3&lt;=$O$2,$D604,$D604-($D604-$I$589)*MIN(I$3-$O$2,$Q$2)/$Q$2))</f>
        <v>2983.92692523846</v>
      </c>
      <c r="J604" s="15" t="n">
        <f aca="false">I604*(1+IF(J$3&lt;=$O$2,$D604,$D604-($D604-$I$589)*MIN(J$3-$O$2,$Q$2)/$Q$2))</f>
        <v>3084.81757416836</v>
      </c>
      <c r="K604" s="15" t="n">
        <f aca="false">J604*(1+IF(K$3&lt;=$O$2,$D604,$D604-($D604-$I$589)*MIN(K$3-$O$2,$Q$2)/$Q$2))</f>
        <v>3177.15703935018</v>
      </c>
      <c r="L604" s="15" t="n">
        <f aca="false">K604*(1+IF(L$3&lt;=$O$2,$D604,$D604-($D604-$I$589)*MIN(L$3-$O$2,$Q$2)/$Q$2))</f>
        <v>3259.94003789514</v>
      </c>
      <c r="M604" s="15" t="n">
        <f aca="false">L604*(1+IF(M$3&lt;=$O$2,$D604,$D604-($D604-$I$589)*MIN(M$3-$O$2,$Q$2)/$Q$2))</f>
        <v>3332.23847232288</v>
      </c>
      <c r="N604" s="15" t="n">
        <f aca="false">M604*(1+IF(N$3&lt;=$O$2,$D604,$D604-($D604-$I$589)*MIN(N$3-$O$2,$Q$2)/$Q$2))</f>
        <v>3393.21843636638</v>
      </c>
      <c r="O604" s="15" t="n">
        <f aca="false">SUMPRODUCT(E604:N604,1/(1+$F$589)^$E$3:$N$3)*$E$2</f>
        <v>5643.36270945399</v>
      </c>
      <c r="P604" s="15" t="n">
        <f aca="false">N604*$E$2*(1+$I$589)/($F$589-$I$589)/(1+$F$589)^$N$3</f>
        <v>5919.86616730743</v>
      </c>
      <c r="Q604" s="15" t="n">
        <f aca="false">O604+P604</f>
        <v>11563.2288767614</v>
      </c>
      <c r="R604" s="15" t="n">
        <f aca="false">Q604-$G$2+$I$2</f>
        <v>10288.5588767614</v>
      </c>
      <c r="S604" s="42" t="n">
        <f aca="false">R604/$K$2</f>
        <v>289.248211323065</v>
      </c>
      <c r="T604" s="43" t="n">
        <f aca="false">S604-$M$2</f>
        <v>-0.0405151318129811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0.037689208984375</v>
      </c>
      <c r="C605" s="25" t="n">
        <f aca="false">IF(T604&gt;0,D604,C604)</f>
        <v>0.03778076171875</v>
      </c>
      <c r="D605" s="41" t="n">
        <f aca="false">(B605+C605)/2</f>
        <v>0.0377349853515625</v>
      </c>
      <c r="E605" s="15" t="n">
        <f aca="false">$C$2*(1+IF(E$3&lt;=$O$2,$D605,$D605-($D605-$I$589)*MIN(E$3-$O$2,$Q$2)/$Q$2))</f>
        <v>2573.58276367188</v>
      </c>
      <c r="F605" s="15" t="n">
        <f aca="false">E605*(1+IF(F$3&lt;=$O$2,$D605,$D605-($D605-$I$589)*MIN(F$3-$O$2,$Q$2)/$Q$2))</f>
        <v>2670.69687156007</v>
      </c>
      <c r="G605" s="15" t="n">
        <f aca="false">F605*(1+IF(G$3&lt;=$O$2,$D605,$D605-($D605-$I$589)*MIN(G$3-$O$2,$Q$2)/$Q$2))</f>
        <v>2771.47557888685</v>
      </c>
      <c r="H605" s="15" t="n">
        <f aca="false">G605*(1+IF(H$3&lt;=$O$2,$D605,$D605-($D605-$I$589)*MIN(H$3-$O$2,$Q$2)/$Q$2))</f>
        <v>2876.05716925836</v>
      </c>
      <c r="I605" s="15" t="n">
        <f aca="false">H605*(1+IF(I$3&lt;=$O$2,$D605,$D605-($D605-$I$589)*MIN(I$3-$O$2,$Q$2)/$Q$2))</f>
        <v>2984.58514441058</v>
      </c>
      <c r="J605" s="15" t="n">
        <f aca="false">I605*(1+IF(J$3&lt;=$O$2,$D605,$D605-($D605-$I$589)*MIN(J$3-$O$2,$Q$2)/$Q$2))</f>
        <v>3085.60734740298</v>
      </c>
      <c r="K605" s="15" t="n">
        <f aca="false">J605*(1+IF(K$3&lt;=$O$2,$D605,$D605-($D605-$I$589)*MIN(K$3-$O$2,$Q$2)/$Q$2))</f>
        <v>3178.05520201893</v>
      </c>
      <c r="L605" s="15" t="n">
        <f aca="false">K605*(1+IF(L$3&lt;=$O$2,$D605,$D605-($D605-$I$589)*MIN(L$3-$O$2,$Q$2)/$Q$2))</f>
        <v>3260.91979473495</v>
      </c>
      <c r="M605" s="15" t="n">
        <f aca="false">L605*(1+IF(M$3&lt;=$O$2,$D605,$D605-($D605-$I$589)*MIN(M$3-$O$2,$Q$2)/$Q$2))</f>
        <v>3333.26981266726</v>
      </c>
      <c r="N605" s="15" t="n">
        <f aca="false">M605*(1+IF(N$3&lt;=$O$2,$D605,$D605-($D605-$I$589)*MIN(N$3-$O$2,$Q$2)/$Q$2))</f>
        <v>3394.26865023907</v>
      </c>
      <c r="O605" s="15" t="n">
        <f aca="false">SUMPRODUCT(E605:N605,1/(1+$F$589)^$E$3:$N$3)*$E$2</f>
        <v>5644.47878001721</v>
      </c>
      <c r="P605" s="15" t="n">
        <f aca="false">N605*$E$2*(1+$I$589)/($F$589-$I$589)/(1+$F$589)^$N$3</f>
        <v>5921.69838815908</v>
      </c>
      <c r="Q605" s="15" t="n">
        <f aca="false">O605+P605</f>
        <v>11566.1771681763</v>
      </c>
      <c r="R605" s="15" t="n">
        <f aca="false">Q605-$G$2+$I$2</f>
        <v>10291.5071681763</v>
      </c>
      <c r="S605" s="42" t="n">
        <f aca="false">R605/$K$2</f>
        <v>289.331098346255</v>
      </c>
      <c r="T605" s="43" t="n">
        <f aca="false">S605-$M$2</f>
        <v>0.0423718913774565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0.037689208984375</v>
      </c>
      <c r="C606" s="25" t="n">
        <f aca="false">IF(T605&gt;0,D605,C605)</f>
        <v>0.0377349853515625</v>
      </c>
      <c r="D606" s="41" t="n">
        <f aca="false">(B606+C606)/2</f>
        <v>0.0377120971679688</v>
      </c>
      <c r="E606" s="15" t="n">
        <f aca="false">$C$2*(1+IF(E$3&lt;=$O$2,$D606,$D606-($D606-$I$589)*MIN(E$3-$O$2,$Q$2)/$Q$2))</f>
        <v>2573.52600097656</v>
      </c>
      <c r="F606" s="15" t="n">
        <f aca="false">E606*(1+IF(F$3&lt;=$O$2,$D606,$D606-($D606-$I$589)*MIN(F$3-$O$2,$Q$2)/$Q$2))</f>
        <v>2670.57906358968</v>
      </c>
      <c r="G606" s="15" t="n">
        <f aca="false">F606*(1+IF(G$3&lt;=$O$2,$D606,$D606-($D606-$I$589)*MIN(G$3-$O$2,$Q$2)/$Q$2))</f>
        <v>2771.29220073052</v>
      </c>
      <c r="H606" s="15" t="n">
        <f aca="false">G606*(1+IF(H$3&lt;=$O$2,$D606,$D606-($D606-$I$589)*MIN(H$3-$O$2,$Q$2)/$Q$2))</f>
        <v>2875.80344148531</v>
      </c>
      <c r="I606" s="15" t="n">
        <f aca="false">H606*(1+IF(I$3&lt;=$O$2,$D606,$D606-($D606-$I$589)*MIN(I$3-$O$2,$Q$2)/$Q$2))</f>
        <v>2984.25602030658</v>
      </c>
      <c r="J606" s="15" t="n">
        <f aca="false">I606*(1+IF(J$3&lt;=$O$2,$D606,$D606-($D606-$I$589)*MIN(J$3-$O$2,$Q$2)/$Q$2))</f>
        <v>3085.21243975042</v>
      </c>
      <c r="K606" s="15" t="n">
        <f aca="false">J606*(1+IF(K$3&lt;=$O$2,$D606,$D606-($D606-$I$589)*MIN(K$3-$O$2,$Q$2)/$Q$2))</f>
        <v>3177.60609359641</v>
      </c>
      <c r="L606" s="15" t="n">
        <f aca="false">K606*(1+IF(L$3&lt;=$O$2,$D606,$D606-($D606-$I$589)*MIN(L$3-$O$2,$Q$2)/$Q$2))</f>
        <v>3260.42988440939</v>
      </c>
      <c r="M606" s="15" t="n">
        <f aca="false">L606*(1+IF(M$3&lt;=$O$2,$D606,$D606-($D606-$I$589)*MIN(M$3-$O$2,$Q$2)/$Q$2))</f>
        <v>3332.75410763918</v>
      </c>
      <c r="N606" s="15" t="n">
        <f aca="false">M606*(1+IF(N$3&lt;=$O$2,$D606,$D606-($D606-$I$589)*MIN(N$3-$O$2,$Q$2)/$Q$2))</f>
        <v>3393.74350780898</v>
      </c>
      <c r="O606" s="15" t="n">
        <f aca="false">SUMPRODUCT(E606:N606,1/(1+$F$589)^$E$3:$N$3)*$E$2</f>
        <v>5643.92071675406</v>
      </c>
      <c r="P606" s="15" t="n">
        <f aca="false">N606*$E$2*(1+$I$589)/($F$589-$I$589)/(1+$F$589)^$N$3</f>
        <v>5920.78221581027</v>
      </c>
      <c r="Q606" s="15" t="n">
        <f aca="false">O606+P606</f>
        <v>11564.7029325643</v>
      </c>
      <c r="R606" s="15" t="n">
        <f aca="false">Q606-$G$2+$I$2</f>
        <v>10290.0329325643</v>
      </c>
      <c r="S606" s="42" t="n">
        <f aca="false">R606/$K$2</f>
        <v>289.289652307122</v>
      </c>
      <c r="T606" s="43" t="n">
        <f aca="false">S606-$M$2</f>
        <v>0.000925852244108683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0.037689208984375</v>
      </c>
      <c r="C607" s="25" t="n">
        <f aca="false">IF(T606&gt;0,D606,C606)</f>
        <v>0.0377120971679688</v>
      </c>
      <c r="D607" s="41" t="n">
        <f aca="false">(B607+C607)/2</f>
        <v>0.0377006530761719</v>
      </c>
      <c r="E607" s="15" t="n">
        <f aca="false">$C$2*(1+IF(E$3&lt;=$O$2,$D607,$D607-($D607-$I$589)*MIN(E$3-$O$2,$Q$2)/$Q$2))</f>
        <v>2573.49761962891</v>
      </c>
      <c r="F607" s="15" t="n">
        <f aca="false">E607*(1+IF(F$3&lt;=$O$2,$D607,$D607-($D607-$I$589)*MIN(F$3-$O$2,$Q$2)/$Q$2))</f>
        <v>2670.52016057889</v>
      </c>
      <c r="G607" s="15" t="n">
        <f aca="false">F607*(1+IF(G$3&lt;=$O$2,$D607,$D607-($D607-$I$589)*MIN(G$3-$O$2,$Q$2)/$Q$2))</f>
        <v>2771.2005146858</v>
      </c>
      <c r="H607" s="15" t="n">
        <f aca="false">G607*(1+IF(H$3&lt;=$O$2,$D607,$D607-($D607-$I$589)*MIN(H$3-$O$2,$Q$2)/$Q$2))</f>
        <v>2875.67658389448</v>
      </c>
      <c r="I607" s="15" t="n">
        <f aca="false">H607*(1+IF(I$3&lt;=$O$2,$D607,$D607-($D607-$I$589)*MIN(I$3-$O$2,$Q$2)/$Q$2))</f>
        <v>2984.09146914315</v>
      </c>
      <c r="J607" s="15" t="n">
        <f aca="false">I607*(1+IF(J$3&lt;=$O$2,$D607,$D607-($D607-$I$589)*MIN(J$3-$O$2,$Q$2)/$Q$2))</f>
        <v>3085.0150017008</v>
      </c>
      <c r="K607" s="15" t="n">
        <f aca="false">J607*(1+IF(K$3&lt;=$O$2,$D607,$D607-($D607-$I$589)*MIN(K$3-$O$2,$Q$2)/$Q$2))</f>
        <v>3177.3815597016</v>
      </c>
      <c r="L607" s="15" t="n">
        <f aca="false">K607*(1+IF(L$3&lt;=$O$2,$D607,$D607-($D607-$I$589)*MIN(L$3-$O$2,$Q$2)/$Q$2))</f>
        <v>3260.18495317629</v>
      </c>
      <c r="M607" s="15" t="n">
        <f aca="false">L607*(1+IF(M$3&lt;=$O$2,$D607,$D607-($D607-$I$589)*MIN(M$3-$O$2,$Q$2)/$Q$2))</f>
        <v>3332.49628126756</v>
      </c>
      <c r="N607" s="15" t="n">
        <f aca="false">M607*(1+IF(N$3&lt;=$O$2,$D607,$D607-($D607-$I$589)*MIN(N$3-$O$2,$Q$2)/$Q$2))</f>
        <v>3393.48096321476</v>
      </c>
      <c r="O607" s="15" t="n">
        <f aca="false">SUMPRODUCT(E607:N607,1/(1+$F$589)^$E$3:$N$3)*$E$2</f>
        <v>5643.64170610897</v>
      </c>
      <c r="P607" s="15" t="n">
        <f aca="false">N607*$E$2*(1+$I$589)/($F$589-$I$589)/(1+$F$589)^$N$3</f>
        <v>5920.324176079</v>
      </c>
      <c r="Q607" s="15" t="n">
        <f aca="false">O607+P607</f>
        <v>11563.965882188</v>
      </c>
      <c r="R607" s="15" t="n">
        <f aca="false">Q607-$G$2+$I$2</f>
        <v>10289.295882188</v>
      </c>
      <c r="S607" s="42" t="n">
        <f aca="false">R607/$K$2</f>
        <v>289.268931183243</v>
      </c>
      <c r="T607" s="43" t="n">
        <f aca="false">S607-$M$2</f>
        <v>-0.0197952716343934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0.0377006530761719</v>
      </c>
      <c r="C608" s="25" t="n">
        <f aca="false">IF(T607&gt;0,D607,C607)</f>
        <v>0.0377120971679688</v>
      </c>
      <c r="D608" s="41" t="n">
        <f aca="false">(B608+C608)/2</f>
        <v>0.0377063751220703</v>
      </c>
      <c r="E608" s="15" t="n">
        <f aca="false">$C$2*(1+IF(E$3&lt;=$O$2,$D608,$D608-($D608-$I$589)*MIN(E$3-$O$2,$Q$2)/$Q$2))</f>
        <v>2573.51181030273</v>
      </c>
      <c r="F608" s="15" t="n">
        <f aca="false">E608*(1+IF(F$3&lt;=$O$2,$D608,$D608-($D608-$I$589)*MIN(F$3-$O$2,$Q$2)/$Q$2))</f>
        <v>2670.54961200309</v>
      </c>
      <c r="G608" s="15" t="n">
        <f aca="false">F608*(1+IF(G$3&lt;=$O$2,$D608,$D608-($D608-$I$589)*MIN(G$3-$O$2,$Q$2)/$Q$2))</f>
        <v>2771.24635745538</v>
      </c>
      <c r="H608" s="15" t="n">
        <f aca="false">G608*(1+IF(H$3&lt;=$O$2,$D608,$D608-($D608-$I$589)*MIN(H$3-$O$2,$Q$2)/$Q$2))</f>
        <v>2875.74001216526</v>
      </c>
      <c r="I608" s="15" t="n">
        <f aca="false">H608*(1+IF(I$3&lt;=$O$2,$D608,$D608-($D608-$I$589)*MIN(I$3-$O$2,$Q$2)/$Q$2))</f>
        <v>2984.17374381751</v>
      </c>
      <c r="J608" s="15" t="n">
        <f aca="false">I608*(1+IF(J$3&lt;=$O$2,$D608,$D608-($D608-$I$589)*MIN(J$3-$O$2,$Q$2)/$Q$2))</f>
        <v>3085.11371941093</v>
      </c>
      <c r="K608" s="15" t="n">
        <f aca="false">J608*(1+IF(K$3&lt;=$O$2,$D608,$D608-($D608-$I$589)*MIN(K$3-$O$2,$Q$2)/$Q$2))</f>
        <v>3177.49382495603</v>
      </c>
      <c r="L608" s="15" t="n">
        <f aca="false">K608*(1+IF(L$3&lt;=$O$2,$D608,$D608-($D608-$I$589)*MIN(L$3-$O$2,$Q$2)/$Q$2))</f>
        <v>3260.30741679879</v>
      </c>
      <c r="M608" s="15" t="n">
        <f aca="false">L608*(1+IF(M$3&lt;=$O$2,$D608,$D608-($D608-$I$589)*MIN(M$3-$O$2,$Q$2)/$Q$2))</f>
        <v>3332.62519227494</v>
      </c>
      <c r="N608" s="15" t="n">
        <f aca="false">M608*(1+IF(N$3&lt;=$O$2,$D608,$D608-($D608-$I$589)*MIN(N$3-$O$2,$Q$2)/$Q$2))</f>
        <v>3393.61223329358</v>
      </c>
      <c r="O608" s="15" t="n">
        <f aca="false">SUMPRODUCT(E608:N608,1/(1+$F$589)^$E$3:$N$3)*$E$2</f>
        <v>5643.78120968271</v>
      </c>
      <c r="P608" s="15" t="n">
        <f aca="false">N608*$E$2*(1+$I$589)/($F$589-$I$589)/(1+$F$589)^$N$3</f>
        <v>5920.55319207456</v>
      </c>
      <c r="Q608" s="15" t="n">
        <f aca="false">O608+P608</f>
        <v>11564.3344017573</v>
      </c>
      <c r="R608" s="15" t="n">
        <f aca="false">Q608-$G$2+$I$2</f>
        <v>10289.6644017573</v>
      </c>
      <c r="S608" s="42" t="n">
        <f aca="false">R608/$K$2</f>
        <v>289.279291587216</v>
      </c>
      <c r="T608" s="43" t="n">
        <f aca="false">S608-$M$2</f>
        <v>-0.00943486766209389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0.0377063751220703</v>
      </c>
      <c r="C609" s="25" t="n">
        <f aca="false">IF(T608&gt;0,D608,C608)</f>
        <v>0.0377120971679688</v>
      </c>
      <c r="D609" s="41" t="n">
        <f aca="false">(B609+C609)/2</f>
        <v>0.0377092361450195</v>
      </c>
      <c r="E609" s="15" t="n">
        <f aca="false">$C$2*(1+IF(E$3&lt;=$O$2,$D609,$D609-($D609-$I$589)*MIN(E$3-$O$2,$Q$2)/$Q$2))</f>
        <v>2573.51890563965</v>
      </c>
      <c r="F609" s="15" t="n">
        <f aca="false">E609*(1+IF(F$3&lt;=$O$2,$D609,$D609-($D609-$I$589)*MIN(F$3-$O$2,$Q$2)/$Q$2))</f>
        <v>2670.56433777609</v>
      </c>
      <c r="G609" s="15" t="n">
        <f aca="false">F609*(1+IF(G$3&lt;=$O$2,$D609,$D609-($D609-$I$589)*MIN(G$3-$O$2,$Q$2)/$Q$2))</f>
        <v>2771.26927902975</v>
      </c>
      <c r="H609" s="15" t="n">
        <f aca="false">G609*(1+IF(H$3&lt;=$O$2,$D609,$D609-($D609-$I$589)*MIN(H$3-$O$2,$Q$2)/$Q$2))</f>
        <v>2875.77172669412</v>
      </c>
      <c r="I609" s="15" t="n">
        <f aca="false">H609*(1+IF(I$3&lt;=$O$2,$D609,$D609-($D609-$I$589)*MIN(I$3-$O$2,$Q$2)/$Q$2))</f>
        <v>2984.2148818352</v>
      </c>
      <c r="J609" s="15" t="n">
        <f aca="false">I609*(1+IF(J$3&lt;=$O$2,$D609,$D609-($D609-$I$589)*MIN(J$3-$O$2,$Q$2)/$Q$2))</f>
        <v>3085.163079252</v>
      </c>
      <c r="K609" s="15" t="n">
        <f aca="false">J609*(1+IF(K$3&lt;=$O$2,$D609,$D609-($D609-$I$589)*MIN(K$3-$O$2,$Q$2)/$Q$2))</f>
        <v>3177.54995885297</v>
      </c>
      <c r="L609" s="15" t="n">
        <f aca="false">K609*(1+IF(L$3&lt;=$O$2,$D609,$D609-($D609-$I$589)*MIN(L$3-$O$2,$Q$2)/$Q$2))</f>
        <v>3260.36865010557</v>
      </c>
      <c r="M609" s="15" t="n">
        <f aca="false">L609*(1+IF(M$3&lt;=$O$2,$D609,$D609-($D609-$I$589)*MIN(M$3-$O$2,$Q$2)/$Q$2))</f>
        <v>3332.68964941245</v>
      </c>
      <c r="N609" s="15" t="n">
        <f aca="false">M609*(1+IF(N$3&lt;=$O$2,$D609,$D609-($D609-$I$589)*MIN(N$3-$O$2,$Q$2)/$Q$2))</f>
        <v>3393.6778699967</v>
      </c>
      <c r="O609" s="15" t="n">
        <f aca="false">SUMPRODUCT(E609:N609,1/(1+$F$589)^$E$3:$N$3)*$E$2</f>
        <v>5643.85096278118</v>
      </c>
      <c r="P609" s="15" t="n">
        <f aca="false">N609*$E$2*(1+$I$589)/($F$589-$I$589)/(1+$F$589)^$N$3</f>
        <v>5920.66770297488</v>
      </c>
      <c r="Q609" s="15" t="n">
        <f aca="false">O609+P609</f>
        <v>11564.5186657561</v>
      </c>
      <c r="R609" s="15" t="n">
        <f aca="false">Q609-$G$2+$I$2</f>
        <v>10289.8486657561</v>
      </c>
      <c r="S609" s="42" t="n">
        <f aca="false">R609/$K$2</f>
        <v>289.284471907677</v>
      </c>
      <c r="T609" s="43" t="n">
        <f aca="false">S609-$M$2</f>
        <v>-0.00425454720112839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0.0377092361450195</v>
      </c>
      <c r="C610" s="25" t="n">
        <f aca="false">IF(T609&gt;0,D609,C609)</f>
        <v>0.0377120971679688</v>
      </c>
      <c r="D610" s="41" t="n">
        <f aca="false">(B610+C610)/2</f>
        <v>0.0377106666564941</v>
      </c>
      <c r="E610" s="15" t="n">
        <f aca="false">$C$2*(1+IF(E$3&lt;=$O$2,$D610,$D610-($D610-$I$589)*MIN(E$3-$O$2,$Q$2)/$Q$2))</f>
        <v>2573.52245330811</v>
      </c>
      <c r="F610" s="15" t="n">
        <f aca="false">E610*(1+IF(F$3&lt;=$O$2,$D610,$D610-($D610-$I$589)*MIN(F$3-$O$2,$Q$2)/$Q$2))</f>
        <v>2670.57170067781</v>
      </c>
      <c r="G610" s="15" t="n">
        <f aca="false">F610*(1+IF(G$3&lt;=$O$2,$D610,$D610-($D610-$I$589)*MIN(G$3-$O$2,$Q$2)/$Q$2))</f>
        <v>2771.28073986434</v>
      </c>
      <c r="H610" s="15" t="n">
        <f aca="false">G610*(1+IF(H$3&lt;=$O$2,$D610,$D610-($D610-$I$589)*MIN(H$3-$O$2,$Q$2)/$Q$2))</f>
        <v>2875.78758405692</v>
      </c>
      <c r="I610" s="15" t="n">
        <f aca="false">H610*(1+IF(I$3&lt;=$O$2,$D610,$D610-($D610-$I$589)*MIN(I$3-$O$2,$Q$2)/$Q$2))</f>
        <v>2984.23545101418</v>
      </c>
      <c r="J610" s="15" t="n">
        <f aca="false">I610*(1+IF(J$3&lt;=$O$2,$D610,$D610-($D610-$I$589)*MIN(J$3-$O$2,$Q$2)/$Q$2))</f>
        <v>3085.18775941904</v>
      </c>
      <c r="K610" s="15" t="n">
        <f aca="false">J610*(1+IF(K$3&lt;=$O$2,$D610,$D610-($D610-$I$589)*MIN(K$3-$O$2,$Q$2)/$Q$2))</f>
        <v>3177.57802611888</v>
      </c>
      <c r="L610" s="15" t="n">
        <f aca="false">K610*(1+IF(L$3&lt;=$O$2,$D610,$D610-($D610-$I$589)*MIN(L$3-$O$2,$Q$2)/$Q$2))</f>
        <v>3260.39926713285</v>
      </c>
      <c r="M610" s="15" t="n">
        <f aca="false">L610*(1+IF(M$3&lt;=$O$2,$D610,$D610-($D610-$I$589)*MIN(M$3-$O$2,$Q$2)/$Q$2))</f>
        <v>3332.72187838966</v>
      </c>
      <c r="N610" s="15" t="n">
        <f aca="false">M610*(1+IF(N$3&lt;=$O$2,$D610,$D610-($D610-$I$589)*MIN(N$3-$O$2,$Q$2)/$Q$2))</f>
        <v>3393.71068876419</v>
      </c>
      <c r="O610" s="15" t="n">
        <f aca="false">SUMPRODUCT(E610:N610,1/(1+$F$589)^$E$3:$N$3)*$E$2</f>
        <v>5643.88583965831</v>
      </c>
      <c r="P610" s="15" t="n">
        <f aca="false">N610*$E$2*(1+$I$589)/($F$589-$I$589)/(1+$F$589)^$N$3</f>
        <v>5920.72495915069</v>
      </c>
      <c r="Q610" s="15" t="n">
        <f aca="false">O610+P610</f>
        <v>11564.610798809</v>
      </c>
      <c r="R610" s="15" t="n">
        <f aca="false">Q610-$G$2+$I$2</f>
        <v>10289.940798809</v>
      </c>
      <c r="S610" s="42" t="n">
        <f aca="false">R610/$K$2</f>
        <v>289.287062097526</v>
      </c>
      <c r="T610" s="43" t="n">
        <f aca="false">S610-$M$2</f>
        <v>-0.0016643573516717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0.0377106666564941</v>
      </c>
      <c r="C611" s="25" t="n">
        <f aca="false">IF(T610&gt;0,D610,C610)</f>
        <v>0.0377120971679688</v>
      </c>
      <c r="D611" s="41" t="n">
        <f aca="false">(B611+C611)/2</f>
        <v>0.0377113819122314</v>
      </c>
      <c r="E611" s="15" t="n">
        <f aca="false">$C$2*(1+IF(E$3&lt;=$O$2,$D611,$D611-($D611-$I$589)*MIN(E$3-$O$2,$Q$2)/$Q$2))</f>
        <v>2573.52422714233</v>
      </c>
      <c r="F611" s="15" t="n">
        <f aca="false">E611*(1+IF(F$3&lt;=$O$2,$D611,$D611-($D611-$I$589)*MIN(F$3-$O$2,$Q$2)/$Q$2))</f>
        <v>2670.57538213248</v>
      </c>
      <c r="G611" s="15" t="n">
        <f aca="false">F611*(1+IF(G$3&lt;=$O$2,$D611,$D611-($D611-$I$589)*MIN(G$3-$O$2,$Q$2)/$Q$2))</f>
        <v>2771.28647029348</v>
      </c>
      <c r="H611" s="15" t="n">
        <f aca="false">G611*(1+IF(H$3&lt;=$O$2,$D611,$D611-($D611-$I$589)*MIN(H$3-$O$2,$Q$2)/$Q$2))</f>
        <v>2875.79551276292</v>
      </c>
      <c r="I611" s="15" t="n">
        <f aca="false">H611*(1+IF(I$3&lt;=$O$2,$D611,$D611-($D611-$I$589)*MIN(I$3-$O$2,$Q$2)/$Q$2))</f>
        <v>2984.2457356462</v>
      </c>
      <c r="J611" s="15" t="n">
        <f aca="false">I611*(1+IF(J$3&lt;=$O$2,$D611,$D611-($D611-$I$589)*MIN(J$3-$O$2,$Q$2)/$Q$2))</f>
        <v>3085.20009956419</v>
      </c>
      <c r="K611" s="15" t="n">
        <f aca="false">J611*(1+IF(K$3&lt;=$O$2,$D611,$D611-($D611-$I$589)*MIN(K$3-$O$2,$Q$2)/$Q$2))</f>
        <v>3177.59205983119</v>
      </c>
      <c r="L611" s="15" t="n">
        <f aca="false">K611*(1+IF(L$3&lt;=$O$2,$D611,$D611-($D611-$I$589)*MIN(L$3-$O$2,$Q$2)/$Q$2))</f>
        <v>3260.41457573996</v>
      </c>
      <c r="M611" s="15" t="n">
        <f aca="false">L611*(1+IF(M$3&lt;=$O$2,$D611,$D611-($D611-$I$589)*MIN(M$3-$O$2,$Q$2)/$Q$2))</f>
        <v>3332.73799298038</v>
      </c>
      <c r="N611" s="15" t="n">
        <f aca="false">M611*(1+IF(N$3&lt;=$O$2,$D611,$D611-($D611-$I$589)*MIN(N$3-$O$2,$Q$2)/$Q$2))</f>
        <v>3393.72709825193</v>
      </c>
      <c r="O611" s="15" t="n">
        <f aca="false">SUMPRODUCT(E611:N611,1/(1+$F$589)^$E$3:$N$3)*$E$2</f>
        <v>5643.90327817886</v>
      </c>
      <c r="P611" s="15" t="n">
        <f aca="false">N611*$E$2*(1+$I$589)/($F$589-$I$589)/(1+$F$589)^$N$3</f>
        <v>5920.75358742001</v>
      </c>
      <c r="Q611" s="15" t="n">
        <f aca="false">O611+P611</f>
        <v>11564.6568655989</v>
      </c>
      <c r="R611" s="15" t="n">
        <f aca="false">Q611-$G$2+$I$2</f>
        <v>10289.9868655989</v>
      </c>
      <c r="S611" s="42" t="n">
        <f aca="false">R611/$K$2</f>
        <v>289.288357199856</v>
      </c>
      <c r="T611" s="43" t="n">
        <f aca="false">S611-$M$2</f>
        <v>-0.000369255022008019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0.0377113819122314</v>
      </c>
      <c r="C612" s="25" t="n">
        <f aca="false">IF(T611&gt;0,D611,C611)</f>
        <v>0.0377120971679688</v>
      </c>
      <c r="D612" s="41" t="n">
        <f aca="false">(B612+C612)/2</f>
        <v>0.0377117395401001</v>
      </c>
      <c r="E612" s="15" t="n">
        <f aca="false">$C$2*(1+IF(E$3&lt;=$O$2,$D612,$D612-($D612-$I$589)*MIN(E$3-$O$2,$Q$2)/$Q$2))</f>
        <v>2573.52511405945</v>
      </c>
      <c r="F612" s="15" t="n">
        <f aca="false">E612*(1+IF(F$3&lt;=$O$2,$D612,$D612-($D612-$I$589)*MIN(F$3-$O$2,$Q$2)/$Q$2))</f>
        <v>2670.57722286077</v>
      </c>
      <c r="G612" s="15" t="n">
        <f aca="false">F612*(1+IF(G$3&lt;=$O$2,$D612,$D612-($D612-$I$589)*MIN(G$3-$O$2,$Q$2)/$Q$2))</f>
        <v>2771.28933551101</v>
      </c>
      <c r="H612" s="15" t="n">
        <f aca="false">G612*(1+IF(H$3&lt;=$O$2,$D612,$D612-($D612-$I$589)*MIN(H$3-$O$2,$Q$2)/$Q$2))</f>
        <v>2875.79947712206</v>
      </c>
      <c r="I612" s="15" t="n">
        <f aca="false">H612*(1+IF(I$3&lt;=$O$2,$D612,$D612-($D612-$I$589)*MIN(I$3-$O$2,$Q$2)/$Q$2))</f>
        <v>2984.25087797285</v>
      </c>
      <c r="J612" s="15" t="n">
        <f aca="false">I612*(1+IF(J$3&lt;=$O$2,$D612,$D612-($D612-$I$589)*MIN(J$3-$O$2,$Q$2)/$Q$2))</f>
        <v>3085.20626965217</v>
      </c>
      <c r="K612" s="15" t="n">
        <f aca="false">J612*(1+IF(K$3&lt;=$O$2,$D612,$D612-($D612-$I$589)*MIN(K$3-$O$2,$Q$2)/$Q$2))</f>
        <v>3177.59907670719</v>
      </c>
      <c r="L612" s="15" t="n">
        <f aca="false">K612*(1+IF(L$3&lt;=$O$2,$D612,$D612-($D612-$I$589)*MIN(L$3-$O$2,$Q$2)/$Q$2))</f>
        <v>3260.42223006689</v>
      </c>
      <c r="M612" s="15" t="n">
        <f aca="false">L612*(1+IF(M$3&lt;=$O$2,$D612,$D612-($D612-$I$589)*MIN(M$3-$O$2,$Q$2)/$Q$2))</f>
        <v>3332.74605030127</v>
      </c>
      <c r="N612" s="15" t="n">
        <f aca="false">M612*(1+IF(N$3&lt;=$O$2,$D612,$D612-($D612-$I$589)*MIN(N$3-$O$2,$Q$2)/$Q$2))</f>
        <v>3393.73530302179</v>
      </c>
      <c r="O612" s="15" t="n">
        <f aca="false">SUMPRODUCT(E612:N612,1/(1+$F$589)^$E$3:$N$3)*$E$2</f>
        <v>5643.91199745963</v>
      </c>
      <c r="P612" s="15" t="n">
        <f aca="false">N612*$E$2*(1+$I$589)/($F$589-$I$589)/(1+$F$589)^$N$3</f>
        <v>5920.76790160002</v>
      </c>
      <c r="Q612" s="15" t="n">
        <f aca="false">O612+P612</f>
        <v>11564.6798990596</v>
      </c>
      <c r="R612" s="15" t="n">
        <f aca="false">Q612-$G$2+$I$2</f>
        <v>10290.0098990596</v>
      </c>
      <c r="S612" s="42" t="n">
        <f aca="false">R612/$K$2</f>
        <v>289.289004752872</v>
      </c>
      <c r="T612" s="43" t="n">
        <f aca="false">S612-$M$2</f>
        <v>0.000278297993929755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0.0377113819122314</v>
      </c>
      <c r="C613" s="25" t="n">
        <f aca="false">IF(T612&gt;0,D612,C612)</f>
        <v>0.0377117395401001</v>
      </c>
      <c r="D613" s="41" t="n">
        <f aca="false">(B613+C613)/2</f>
        <v>0.0377115607261658</v>
      </c>
      <c r="E613" s="15" t="n">
        <f aca="false">$C$2*(1+IF(E$3&lt;=$O$2,$D613,$D613-($D613-$I$589)*MIN(E$3-$O$2,$Q$2)/$Q$2))</f>
        <v>2573.52467060089</v>
      </c>
      <c r="F613" s="15" t="n">
        <f aca="false">E613*(1+IF(F$3&lt;=$O$2,$D613,$D613-($D613-$I$589)*MIN(F$3-$O$2,$Q$2)/$Q$2))</f>
        <v>2670.57630249654</v>
      </c>
      <c r="G613" s="15" t="n">
        <f aca="false">F613*(1+IF(G$3&lt;=$O$2,$D613,$D613-($D613-$I$589)*MIN(G$3-$O$2,$Q$2)/$Q$2))</f>
        <v>2771.287902902</v>
      </c>
      <c r="H613" s="15" t="n">
        <f aca="false">G613*(1+IF(H$3&lt;=$O$2,$D613,$D613-($D613-$I$589)*MIN(H$3-$O$2,$Q$2)/$Q$2))</f>
        <v>2875.79749494198</v>
      </c>
      <c r="I613" s="15" t="n">
        <f aca="false">H613*(1+IF(I$3&lt;=$O$2,$D613,$D613-($D613-$I$589)*MIN(I$3-$O$2,$Q$2)/$Q$2))</f>
        <v>2984.24830680864</v>
      </c>
      <c r="J613" s="15" t="n">
        <f aca="false">I613*(1+IF(J$3&lt;=$O$2,$D613,$D613-($D613-$I$589)*MIN(J$3-$O$2,$Q$2)/$Q$2))</f>
        <v>3085.20318460689</v>
      </c>
      <c r="K613" s="15" t="n">
        <f aca="false">J613*(1+IF(K$3&lt;=$O$2,$D613,$D613-($D613-$I$589)*MIN(K$3-$O$2,$Q$2)/$Q$2))</f>
        <v>3177.59556826753</v>
      </c>
      <c r="L613" s="15" t="n">
        <f aca="false">K613*(1+IF(L$3&lt;=$O$2,$D613,$D613-($D613-$I$589)*MIN(L$3-$O$2,$Q$2)/$Q$2))</f>
        <v>3260.41840290148</v>
      </c>
      <c r="M613" s="15" t="n">
        <f aca="false">L613*(1+IF(M$3&lt;=$O$2,$D613,$D613-($D613-$I$589)*MIN(M$3-$O$2,$Q$2)/$Q$2))</f>
        <v>3332.7420216387</v>
      </c>
      <c r="N613" s="15" t="n">
        <f aca="false">M613*(1+IF(N$3&lt;=$O$2,$D613,$D613-($D613-$I$589)*MIN(N$3-$O$2,$Q$2)/$Q$2))</f>
        <v>3393.73120063469</v>
      </c>
      <c r="O613" s="15" t="n">
        <f aca="false">SUMPRODUCT(E613:N613,1/(1+$F$589)^$E$3:$N$3)*$E$2</f>
        <v>5643.90763781754</v>
      </c>
      <c r="P613" s="15" t="n">
        <f aca="false">N613*$E$2*(1+$I$589)/($F$589-$I$589)/(1+$F$589)^$N$3</f>
        <v>5920.76074450623</v>
      </c>
      <c r="Q613" s="15" t="n">
        <f aca="false">O613+P613</f>
        <v>11564.6683823238</v>
      </c>
      <c r="R613" s="15" t="n">
        <f aca="false">Q613-$G$2+$I$2</f>
        <v>10289.9983823238</v>
      </c>
      <c r="S613" s="42" t="n">
        <f aca="false">R613/$K$2</f>
        <v>289.288680976209</v>
      </c>
      <c r="T613" s="43" t="n">
        <f aca="false">S613-$M$2</f>
        <v>-4.54786683121711E-005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0.0377115607261658</v>
      </c>
      <c r="C614" s="25" t="n">
        <f aca="false">IF(T613&gt;0,D613,C613)</f>
        <v>0.0377117395401001</v>
      </c>
      <c r="D614" s="41" t="n">
        <f aca="false">(B614+C614)/2</f>
        <v>0.0377116501331329</v>
      </c>
      <c r="E614" s="15" t="n">
        <f aca="false">$C$2*(1+IF(E$3&lt;=$O$2,$D614,$D614-($D614-$I$589)*MIN(E$3-$O$2,$Q$2)/$Q$2))</f>
        <v>2573.52489233017</v>
      </c>
      <c r="F614" s="15" t="n">
        <f aca="false">E614*(1+IF(F$3&lt;=$O$2,$D614,$D614-($D614-$I$589)*MIN(F$3-$O$2,$Q$2)/$Q$2))</f>
        <v>2670.57676267863</v>
      </c>
      <c r="G614" s="15" t="n">
        <f aca="false">F614*(1+IF(G$3&lt;=$O$2,$D614,$D614-($D614-$I$589)*MIN(G$3-$O$2,$Q$2)/$Q$2))</f>
        <v>2771.28861920645</v>
      </c>
      <c r="H614" s="15" t="n">
        <f aca="false">G614*(1+IF(H$3&lt;=$O$2,$D614,$D614-($D614-$I$589)*MIN(H$3-$O$2,$Q$2)/$Q$2))</f>
        <v>2875.79848603189</v>
      </c>
      <c r="I614" s="15" t="n">
        <f aca="false">H614*(1+IF(I$3&lt;=$O$2,$D614,$D614-($D614-$I$589)*MIN(I$3-$O$2,$Q$2)/$Q$2))</f>
        <v>2984.24959239052</v>
      </c>
      <c r="J614" s="15" t="n">
        <f aca="false">I614*(1+IF(J$3&lt;=$O$2,$D614,$D614-($D614-$I$589)*MIN(J$3-$O$2,$Q$2)/$Q$2))</f>
        <v>3085.20472712921</v>
      </c>
      <c r="K614" s="15" t="n">
        <f aca="false">J614*(1+IF(K$3&lt;=$O$2,$D614,$D614-($D614-$I$589)*MIN(K$3-$O$2,$Q$2)/$Q$2))</f>
        <v>3177.59732248695</v>
      </c>
      <c r="L614" s="15" t="n">
        <f aca="false">K614*(1+IF(L$3&lt;=$O$2,$D614,$D614-($D614-$I$589)*MIN(L$3-$O$2,$Q$2)/$Q$2))</f>
        <v>3260.4203164837</v>
      </c>
      <c r="M614" s="15" t="n">
        <f aca="false">L614*(1+IF(M$3&lt;=$O$2,$D614,$D614-($D614-$I$589)*MIN(M$3-$O$2,$Q$2)/$Q$2))</f>
        <v>3332.74403596946</v>
      </c>
      <c r="N614" s="15" t="n">
        <f aca="false">M614*(1+IF(N$3&lt;=$O$2,$D614,$D614-($D614-$I$589)*MIN(N$3-$O$2,$Q$2)/$Q$2))</f>
        <v>3393.7332518277</v>
      </c>
      <c r="O614" s="15" t="n">
        <f aca="false">SUMPRODUCT(E614:N614,1/(1+$F$589)^$E$3:$N$3)*$E$2</f>
        <v>5643.90981763816</v>
      </c>
      <c r="P614" s="15" t="n">
        <f aca="false">N614*$E$2*(1+$I$589)/($F$589-$I$589)/(1+$F$589)^$N$3</f>
        <v>5920.76432305218</v>
      </c>
      <c r="Q614" s="15" t="n">
        <f aca="false">O614+P614</f>
        <v>11564.6741406903</v>
      </c>
      <c r="R614" s="15" t="n">
        <f aca="false">Q614-$G$2+$I$2</f>
        <v>10290.0041406903</v>
      </c>
      <c r="S614" s="42" t="n">
        <f aca="false">R614/$K$2</f>
        <v>289.288842864502</v>
      </c>
      <c r="T614" s="43" t="n">
        <f aca="false">S614-$M$2</f>
        <v>0.000116409624240532</v>
      </c>
    </row>
    <row r="616" customFormat="false" ht="15" hidden="false" customHeight="false" outlineLevel="0" collapsed="false">
      <c r="A616" s="38" t="s">
        <v>206</v>
      </c>
      <c r="E616" s="5" t="s">
        <v>11</v>
      </c>
      <c r="F616" s="12" t="n">
        <f aca="false">Sensitivity!$B$14</f>
        <v>0.0914218415038925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8" t="s">
        <v>165</v>
      </c>
      <c r="B617" s="28" t="s">
        <v>166</v>
      </c>
      <c r="C617" s="28" t="s">
        <v>167</v>
      </c>
      <c r="D617" s="28" t="s">
        <v>168</v>
      </c>
      <c r="E617" s="28" t="s">
        <v>169</v>
      </c>
      <c r="F617" s="28" t="s">
        <v>170</v>
      </c>
      <c r="G617" s="28" t="s">
        <v>171</v>
      </c>
      <c r="H617" s="28" t="s">
        <v>172</v>
      </c>
      <c r="I617" s="28" t="s">
        <v>173</v>
      </c>
      <c r="J617" s="28" t="s">
        <v>174</v>
      </c>
      <c r="K617" s="28" t="s">
        <v>175</v>
      </c>
      <c r="L617" s="28" t="s">
        <v>176</v>
      </c>
      <c r="M617" s="28" t="s">
        <v>177</v>
      </c>
      <c r="N617" s="28" t="s">
        <v>178</v>
      </c>
      <c r="O617" s="28" t="s">
        <v>179</v>
      </c>
      <c r="P617" s="28" t="s">
        <v>180</v>
      </c>
      <c r="Q617" s="28" t="s">
        <v>181</v>
      </c>
      <c r="R617" s="28" t="s">
        <v>182</v>
      </c>
      <c r="S617" s="28" t="s">
        <v>183</v>
      </c>
      <c r="T617" s="28" t="s">
        <v>184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41" t="n">
        <f aca="false">(B618+C618)/2</f>
        <v>0.25</v>
      </c>
      <c r="E618" s="15" t="n">
        <f aca="false">$C$2*(1+IF(E$3&lt;=$O$2,$D618,$D618-($D618-$I$616)*MIN(E$3-$O$2,$Q$2)/$Q$2))</f>
        <v>3100</v>
      </c>
      <c r="F618" s="15" t="n">
        <f aca="false">E618*(1+IF(F$3&lt;=$O$2,$D618,$D618-($D618-$I$616)*MIN(F$3-$O$2,$Q$2)/$Q$2))</f>
        <v>3875</v>
      </c>
      <c r="G618" s="15" t="n">
        <f aca="false">F618*(1+IF(G$3&lt;=$O$2,$D618,$D618-($D618-$I$616)*MIN(G$3-$O$2,$Q$2)/$Q$2))</f>
        <v>4843.75</v>
      </c>
      <c r="H618" s="15" t="n">
        <f aca="false">G618*(1+IF(H$3&lt;=$O$2,$D618,$D618-($D618-$I$616)*MIN(H$3-$O$2,$Q$2)/$Q$2))</f>
        <v>6054.6875</v>
      </c>
      <c r="I618" s="15" t="n">
        <f aca="false">H618*(1+IF(I$3&lt;=$O$2,$D618,$D618-($D618-$I$616)*MIN(I$3-$O$2,$Q$2)/$Q$2))</f>
        <v>7568.359375</v>
      </c>
      <c r="J618" s="15" t="n">
        <f aca="false">I618*(1+IF(J$3&lt;=$O$2,$D618,$D618-($D618-$I$616)*MIN(J$3-$O$2,$Q$2)/$Q$2))</f>
        <v>9117.2998046875</v>
      </c>
      <c r="K618" s="15" t="n">
        <f aca="false">J618*(1+IF(K$3&lt;=$O$2,$D618,$D618-($D618-$I$616)*MIN(K$3-$O$2,$Q$2)/$Q$2))</f>
        <v>10569.8680095703</v>
      </c>
      <c r="L618" s="15" t="n">
        <f aca="false">K618*(1+IF(L$3&lt;=$O$2,$D618,$D618-($D618-$I$616)*MIN(L$3-$O$2,$Q$2)/$Q$2))</f>
        <v>11774.6215653011</v>
      </c>
      <c r="M618" s="15" t="n">
        <f aca="false">L618*(1+IF(M$3&lt;=$O$2,$D618,$D618-($D618-$I$616)*MIN(M$3-$O$2,$Q$2)/$Q$2))</f>
        <v>12582.8315895434</v>
      </c>
      <c r="N618" s="15" t="n">
        <f aca="false">M618*(1+IF(N$3&lt;=$O$2,$D618,$D618-($D618-$I$616)*MIN(N$3-$O$2,$Q$2)/$Q$2))</f>
        <v>12876.0115655798</v>
      </c>
      <c r="O618" s="15" t="n">
        <f aca="false">SUMPRODUCT(E618:N618,1/(1+$F$616)^$E$3:$N$3)*$E$2</f>
        <v>14133.6790159917</v>
      </c>
      <c r="P618" s="15" t="n">
        <f aca="false">N618*$E$2*(1+$I$616)/($F$616-$I$616)/(1+$F$616)^$N$3</f>
        <v>24230.89187668</v>
      </c>
      <c r="Q618" s="15" t="n">
        <f aca="false">O618+P618</f>
        <v>38364.5708926717</v>
      </c>
      <c r="R618" s="15" t="n">
        <f aca="false">Q618-$G$2+$I$2</f>
        <v>37089.9008926717</v>
      </c>
      <c r="S618" s="42" t="n">
        <f aca="false">R618/$K$2</f>
        <v>1042.72985360336</v>
      </c>
      <c r="T618" s="43" t="n">
        <f aca="false">S618-$M$2</f>
        <v>753.441127148486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41" t="n">
        <f aca="false">(B619+C619)/2</f>
        <v>-0.125</v>
      </c>
      <c r="E619" s="15" t="n">
        <f aca="false">$C$2*(1+IF(E$3&lt;=$O$2,$D619,$D619-($D619-$I$616)*MIN(E$3-$O$2,$Q$2)/$Q$2))</f>
        <v>2170</v>
      </c>
      <c r="F619" s="15" t="n">
        <f aca="false">E619*(1+IF(F$3&lt;=$O$2,$D619,$D619-($D619-$I$616)*MIN(F$3-$O$2,$Q$2)/$Q$2))</f>
        <v>1898.75</v>
      </c>
      <c r="G619" s="15" t="n">
        <f aca="false">F619*(1+IF(G$3&lt;=$O$2,$D619,$D619-($D619-$I$616)*MIN(G$3-$O$2,$Q$2)/$Q$2))</f>
        <v>1661.40625</v>
      </c>
      <c r="H619" s="15" t="n">
        <f aca="false">G619*(1+IF(H$3&lt;=$O$2,$D619,$D619-($D619-$I$616)*MIN(H$3-$O$2,$Q$2)/$Q$2))</f>
        <v>1453.73046875</v>
      </c>
      <c r="I619" s="15" t="n">
        <f aca="false">H619*(1+IF(I$3&lt;=$O$2,$D619,$D619-($D619-$I$616)*MIN(I$3-$O$2,$Q$2)/$Q$2))</f>
        <v>1272.01416015625</v>
      </c>
      <c r="J619" s="15" t="n">
        <f aca="false">I619*(1+IF(J$3&lt;=$O$2,$D619,$D619-($D619-$I$616)*MIN(J$3-$O$2,$Q$2)/$Q$2))</f>
        <v>1150.74033012695</v>
      </c>
      <c r="K619" s="15" t="n">
        <f aca="false">J619*(1+IF(K$3&lt;=$O$2,$D619,$D619-($D619-$I$616)*MIN(K$3-$O$2,$Q$2)/$Q$2))</f>
        <v>1075.15970524421</v>
      </c>
      <c r="L619" s="15" t="n">
        <f aca="false">K619*(1+IF(L$3&lt;=$O$2,$D619,$D619-($D619-$I$616)*MIN(L$3-$O$2,$Q$2)/$Q$2))</f>
        <v>1036.43245266132</v>
      </c>
      <c r="M619" s="15" t="n">
        <f aca="false">L619*(1+IF(M$3&lt;=$O$2,$D619,$D619-($D619-$I$616)*MIN(M$3-$O$2,$Q$2)/$Q$2))</f>
        <v>1029.84074226239</v>
      </c>
      <c r="N619" s="15" t="n">
        <f aca="false">M619*(1+IF(N$3&lt;=$O$2,$D619,$D619-($D619-$I$616)*MIN(N$3-$O$2,$Q$2)/$Q$2))</f>
        <v>1053.83603155711</v>
      </c>
      <c r="O619" s="15" t="n">
        <f aca="false">SUMPRODUCT(E619:N619,1/(1+$F$616)^$E$3:$N$3)*$E$2</f>
        <v>2822.09971269374</v>
      </c>
      <c r="P619" s="15" t="n">
        <f aca="false">N619*$E$2*(1+$I$616)/($F$616-$I$616)/(1+$F$616)^$N$3</f>
        <v>1983.17520967992</v>
      </c>
      <c r="Q619" s="15" t="n">
        <f aca="false">O619+P619</f>
        <v>4805.27492237366</v>
      </c>
      <c r="R619" s="15" t="n">
        <f aca="false">Q619-$G$2+$I$2</f>
        <v>3530.60492237366</v>
      </c>
      <c r="S619" s="42" t="n">
        <f aca="false">R619/$K$2</f>
        <v>99.2579399036733</v>
      </c>
      <c r="T619" s="43" t="n">
        <f aca="false">S619-$M$2</f>
        <v>-190.030786551204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41" t="n">
        <f aca="false">(B620+C620)/2</f>
        <v>0.0625</v>
      </c>
      <c r="E620" s="15" t="n">
        <f aca="false">$C$2*(1+IF(E$3&lt;=$O$2,$D620,$D620-($D620-$I$616)*MIN(E$3-$O$2,$Q$2)/$Q$2))</f>
        <v>2635</v>
      </c>
      <c r="F620" s="15" t="n">
        <f aca="false">E620*(1+IF(F$3&lt;=$O$2,$D620,$D620-($D620-$I$616)*MIN(F$3-$O$2,$Q$2)/$Q$2))</f>
        <v>2799.6875</v>
      </c>
      <c r="G620" s="15" t="n">
        <f aca="false">F620*(1+IF(G$3&lt;=$O$2,$D620,$D620-($D620-$I$616)*MIN(G$3-$O$2,$Q$2)/$Q$2))</f>
        <v>2974.66796875</v>
      </c>
      <c r="H620" s="15" t="n">
        <f aca="false">G620*(1+IF(H$3&lt;=$O$2,$D620,$D620-($D620-$I$616)*MIN(H$3-$O$2,$Q$2)/$Q$2))</f>
        <v>3160.58471679688</v>
      </c>
      <c r="I620" s="15" t="n">
        <f aca="false">H620*(1+IF(I$3&lt;=$O$2,$D620,$D620-($D620-$I$616)*MIN(I$3-$O$2,$Q$2)/$Q$2))</f>
        <v>3358.12126159668</v>
      </c>
      <c r="J620" s="15" t="n">
        <f aca="false">I620*(1+IF(J$3&lt;=$O$2,$D620,$D620-($D620-$I$616)*MIN(J$3-$O$2,$Q$2)/$Q$2))</f>
        <v>3541.67616975555</v>
      </c>
      <c r="K620" s="15" t="n">
        <f aca="false">J620*(1+IF(K$3&lt;=$O$2,$D620,$D620-($D620-$I$616)*MIN(K$3-$O$2,$Q$2)/$Q$2))</f>
        <v>3707.49744802351</v>
      </c>
      <c r="L620" s="15" t="n">
        <f aca="false">K620*(1+IF(L$3&lt;=$O$2,$D620,$D620-($D620-$I$616)*MIN(L$3-$O$2,$Q$2)/$Q$2))</f>
        <v>3852.01569854747</v>
      </c>
      <c r="M620" s="15" t="n">
        <f aca="false">L620*(1+IF(M$3&lt;=$O$2,$D620,$D620-($D620-$I$616)*MIN(M$3-$O$2,$Q$2)/$Q$2))</f>
        <v>3971.96746740023</v>
      </c>
      <c r="N620" s="15" t="n">
        <f aca="false">M620*(1+IF(N$3&lt;=$O$2,$D620,$D620-($D620-$I$616)*MIN(N$3-$O$2,$Q$2)/$Q$2))</f>
        <v>4064.51430939066</v>
      </c>
      <c r="O620" s="15" t="n">
        <f aca="false">SUMPRODUCT(E620:N620,1/(1+$F$616)^$E$3:$N$3)*$E$2</f>
        <v>6300.41318055395</v>
      </c>
      <c r="P620" s="15" t="n">
        <f aca="false">N620*$E$2*(1+$I$616)/($F$616-$I$616)/(1+$F$616)^$N$3</f>
        <v>7648.85976223719</v>
      </c>
      <c r="Q620" s="15" t="n">
        <f aca="false">O620+P620</f>
        <v>13949.2729427911</v>
      </c>
      <c r="R620" s="15" t="n">
        <f aca="false">Q620-$G$2+$I$2</f>
        <v>12674.6029427911</v>
      </c>
      <c r="S620" s="42" t="n">
        <f aca="false">R620/$K$2</f>
        <v>356.328449333459</v>
      </c>
      <c r="T620" s="43" t="n">
        <f aca="false">S620-$M$2</f>
        <v>67.0397228785811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-0.125</v>
      </c>
      <c r="C621" s="25" t="n">
        <f aca="false">IF(T620&gt;0,D620,C620)</f>
        <v>0.0625</v>
      </c>
      <c r="D621" s="41" t="n">
        <f aca="false">(B621+C621)/2</f>
        <v>-0.03125</v>
      </c>
      <c r="E621" s="15" t="n">
        <f aca="false">$C$2*(1+IF(E$3&lt;=$O$2,$D621,$D621-($D621-$I$616)*MIN(E$3-$O$2,$Q$2)/$Q$2))</f>
        <v>2402.5</v>
      </c>
      <c r="F621" s="15" t="n">
        <f aca="false">E621*(1+IF(F$3&lt;=$O$2,$D621,$D621-($D621-$I$616)*MIN(F$3-$O$2,$Q$2)/$Q$2))</f>
        <v>2327.421875</v>
      </c>
      <c r="G621" s="15" t="n">
        <f aca="false">F621*(1+IF(G$3&lt;=$O$2,$D621,$D621-($D621-$I$616)*MIN(G$3-$O$2,$Q$2)/$Q$2))</f>
        <v>2254.68994140625</v>
      </c>
      <c r="H621" s="15" t="n">
        <f aca="false">G621*(1+IF(H$3&lt;=$O$2,$D621,$D621-($D621-$I$616)*MIN(H$3-$O$2,$Q$2)/$Q$2))</f>
        <v>2184.2308807373</v>
      </c>
      <c r="I621" s="15" t="n">
        <f aca="false">H621*(1+IF(I$3&lt;=$O$2,$D621,$D621-($D621-$I$616)*MIN(I$3-$O$2,$Q$2)/$Q$2))</f>
        <v>2115.97366571426</v>
      </c>
      <c r="J621" s="15" t="n">
        <f aca="false">I621*(1+IF(J$3&lt;=$O$2,$D621,$D621-($D621-$I$616)*MIN(J$3-$O$2,$Q$2)/$Q$2))</f>
        <v>2072.93476135364</v>
      </c>
      <c r="K621" s="15" t="n">
        <f aca="false">J621*(1+IF(K$3&lt;=$O$2,$D621,$D621-($D621-$I$616)*MIN(K$3-$O$2,$Q$2)/$Q$2))</f>
        <v>2053.38698655407</v>
      </c>
      <c r="L621" s="15" t="n">
        <f aca="false">K621*(1+IF(L$3&lt;=$O$2,$D621,$D621-($D621-$I$616)*MIN(L$3-$O$2,$Q$2)/$Q$2))</f>
        <v>2056.42599929417</v>
      </c>
      <c r="M621" s="15" t="n">
        <f aca="false">L621*(1+IF(M$3&lt;=$O$2,$D621,$D621-($D621-$I$616)*MIN(M$3-$O$2,$Q$2)/$Q$2))</f>
        <v>2081.90511742542</v>
      </c>
      <c r="N621" s="15" t="n">
        <f aca="false">M621*(1+IF(N$3&lt;=$O$2,$D621,$D621-($D621-$I$616)*MIN(N$3-$O$2,$Q$2)/$Q$2))</f>
        <v>2130.41350666144</v>
      </c>
      <c r="O621" s="15" t="n">
        <f aca="false">SUMPRODUCT(E621:N621,1/(1+$F$616)^$E$3:$N$3)*$E$2</f>
        <v>4203.96655773723</v>
      </c>
      <c r="P621" s="15" t="n">
        <f aca="false">N621*$E$2*(1+$I$616)/($F$616-$I$616)/(1+$F$616)^$N$3</f>
        <v>4009.14670428906</v>
      </c>
      <c r="Q621" s="15" t="n">
        <f aca="false">O621+P621</f>
        <v>8213.11326202629</v>
      </c>
      <c r="R621" s="15" t="n">
        <f aca="false">Q621-$G$2+$I$2</f>
        <v>6938.44326202629</v>
      </c>
      <c r="S621" s="42" t="n">
        <f aca="false">R621/$K$2</f>
        <v>195.06447180282</v>
      </c>
      <c r="T621" s="43" t="n">
        <f aca="false">S621-$M$2</f>
        <v>-94.2242546520582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-0.03125</v>
      </c>
      <c r="C622" s="25" t="n">
        <f aca="false">IF(T621&gt;0,D621,C621)</f>
        <v>0.0625</v>
      </c>
      <c r="D622" s="41" t="n">
        <f aca="false">(B622+C622)/2</f>
        <v>0.015625</v>
      </c>
      <c r="E622" s="15" t="n">
        <f aca="false">$C$2*(1+IF(E$3&lt;=$O$2,$D622,$D622-($D622-$I$616)*MIN(E$3-$O$2,$Q$2)/$Q$2))</f>
        <v>2518.75</v>
      </c>
      <c r="F622" s="15" t="n">
        <f aca="false">E622*(1+IF(F$3&lt;=$O$2,$D622,$D622-($D622-$I$616)*MIN(F$3-$O$2,$Q$2)/$Q$2))</f>
        <v>2558.10546875</v>
      </c>
      <c r="G622" s="15" t="n">
        <f aca="false">F622*(1+IF(G$3&lt;=$O$2,$D622,$D622-($D622-$I$616)*MIN(G$3-$O$2,$Q$2)/$Q$2))</f>
        <v>2598.07586669922</v>
      </c>
      <c r="H622" s="15" t="n">
        <f aca="false">G622*(1+IF(H$3&lt;=$O$2,$D622,$D622-($D622-$I$616)*MIN(H$3-$O$2,$Q$2)/$Q$2))</f>
        <v>2638.67080211639</v>
      </c>
      <c r="I622" s="15" t="n">
        <f aca="false">H622*(1+IF(I$3&lt;=$O$2,$D622,$D622-($D622-$I$616)*MIN(I$3-$O$2,$Q$2)/$Q$2))</f>
        <v>2679.90003339946</v>
      </c>
      <c r="J622" s="15" t="n">
        <f aca="false">I622*(1+IF(J$3&lt;=$O$2,$D622,$D622-($D622-$I$616)*MIN(J$3-$O$2,$Q$2)/$Q$2))</f>
        <v>2725.8871179726</v>
      </c>
      <c r="K622" s="15" t="n">
        <f aca="false">J622*(1+IF(K$3&lt;=$O$2,$D622,$D622-($D622-$I$616)*MIN(K$3-$O$2,$Q$2)/$Q$2))</f>
        <v>2776.8475776431</v>
      </c>
      <c r="L622" s="15" t="n">
        <f aca="false">K622*(1+IF(L$3&lt;=$O$2,$D622,$D622-($D622-$I$616)*MIN(L$3-$O$2,$Q$2)/$Q$2))</f>
        <v>2833.02320413882</v>
      </c>
      <c r="M622" s="15" t="n">
        <f aca="false">L622*(1+IF(M$3&lt;=$O$2,$D622,$D622-($D622-$I$616)*MIN(M$3-$O$2,$Q$2)/$Q$2))</f>
        <v>2894.6839541769</v>
      </c>
      <c r="N622" s="15" t="n">
        <f aca="false">M622*(1+IF(N$3&lt;=$O$2,$D622,$D622-($D622-$I$616)*MIN(N$3-$O$2,$Q$2)/$Q$2))</f>
        <v>2962.13009030922</v>
      </c>
      <c r="O622" s="15" t="n">
        <f aca="false">SUMPRODUCT(E622:N622,1/(1+$F$616)^$E$3:$N$3)*$E$2</f>
        <v>5144.27748498582</v>
      </c>
      <c r="P622" s="15" t="n">
        <f aca="false">N622*$E$2*(1+$I$616)/($F$616-$I$616)/(1+$F$616)^$N$3</f>
        <v>5574.32350673034</v>
      </c>
      <c r="Q622" s="15" t="n">
        <f aca="false">O622+P622</f>
        <v>10718.6009917162</v>
      </c>
      <c r="R622" s="15" t="n">
        <f aca="false">Q622-$G$2+$I$2</f>
        <v>9443.93099171616</v>
      </c>
      <c r="S622" s="42" t="n">
        <f aca="false">R622/$K$2</f>
        <v>265.502698670682</v>
      </c>
      <c r="T622" s="43" t="n">
        <f aca="false">S622-$M$2</f>
        <v>-23.7860277841957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0.015625</v>
      </c>
      <c r="C623" s="25" t="n">
        <f aca="false">IF(T622&gt;0,D622,C622)</f>
        <v>0.0625</v>
      </c>
      <c r="D623" s="41" t="n">
        <f aca="false">(B623+C623)/2</f>
        <v>0.0390625</v>
      </c>
      <c r="E623" s="15" t="n">
        <f aca="false">$C$2*(1+IF(E$3&lt;=$O$2,$D623,$D623-($D623-$I$616)*MIN(E$3-$O$2,$Q$2)/$Q$2))</f>
        <v>2576.875</v>
      </c>
      <c r="F623" s="15" t="n">
        <f aca="false">E623*(1+IF(F$3&lt;=$O$2,$D623,$D623-($D623-$I$616)*MIN(F$3-$O$2,$Q$2)/$Q$2))</f>
        <v>2677.5341796875</v>
      </c>
      <c r="G623" s="15" t="n">
        <f aca="false">F623*(1+IF(G$3&lt;=$O$2,$D623,$D623-($D623-$I$616)*MIN(G$3-$O$2,$Q$2)/$Q$2))</f>
        <v>2782.12535858154</v>
      </c>
      <c r="H623" s="15" t="n">
        <f aca="false">G623*(1+IF(H$3&lt;=$O$2,$D623,$D623-($D623-$I$616)*MIN(H$3-$O$2,$Q$2)/$Q$2))</f>
        <v>2890.80213040113</v>
      </c>
      <c r="I623" s="15" t="n">
        <f aca="false">H623*(1+IF(I$3&lt;=$O$2,$D623,$D623-($D623-$I$616)*MIN(I$3-$O$2,$Q$2)/$Q$2))</f>
        <v>3003.72408861993</v>
      </c>
      <c r="J623" s="15" t="n">
        <f aca="false">I623*(1+IF(J$3&lt;=$O$2,$D623,$D623-($D623-$I$616)*MIN(J$3-$O$2,$Q$2)/$Q$2))</f>
        <v>3111.58782064227</v>
      </c>
      <c r="K623" s="15" t="n">
        <f aca="false">J623*(1+IF(K$3&lt;=$O$2,$D623,$D623-($D623-$I$616)*MIN(K$3-$O$2,$Q$2)/$Q$2))</f>
        <v>3213.51565867696</v>
      </c>
      <c r="L623" s="15" t="n">
        <f aca="false">K623*(1+IF(L$3&lt;=$O$2,$D623,$D623-($D623-$I$616)*MIN(L$3-$O$2,$Q$2)/$Q$2))</f>
        <v>3308.65178975209</v>
      </c>
      <c r="M623" s="15" t="n">
        <f aca="false">L623*(1+IF(M$3&lt;=$O$2,$D623,$D623-($D623-$I$616)*MIN(M$3-$O$2,$Q$2)/$Q$2))</f>
        <v>3396.17390122051</v>
      </c>
      <c r="N623" s="15" t="n">
        <f aca="false">M623*(1+IF(N$3&lt;=$O$2,$D623,$D623-($D623-$I$616)*MIN(N$3-$O$2,$Q$2)/$Q$2))</f>
        <v>3475.30475311895</v>
      </c>
      <c r="O623" s="15" t="n">
        <f aca="false">SUMPRODUCT(E623:N623,1/(1+$F$616)^$E$3:$N$3)*$E$2</f>
        <v>5692.67638225642</v>
      </c>
      <c r="P623" s="15" t="n">
        <f aca="false">N623*$E$2*(1+$I$616)/($F$616-$I$616)/(1+$F$616)^$N$3</f>
        <v>6540.04800185542</v>
      </c>
      <c r="Q623" s="15" t="n">
        <f aca="false">O623+P623</f>
        <v>12232.7243841118</v>
      </c>
      <c r="R623" s="15" t="n">
        <f aca="false">Q623-$G$2+$I$2</f>
        <v>10958.0543841118</v>
      </c>
      <c r="S623" s="42" t="n">
        <f aca="false">R623/$K$2</f>
        <v>308.070126064432</v>
      </c>
      <c r="T623" s="43" t="n">
        <f aca="false">S623-$M$2</f>
        <v>18.7813996095541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0.015625</v>
      </c>
      <c r="C624" s="25" t="n">
        <f aca="false">IF(T623&gt;0,D623,C623)</f>
        <v>0.0390625</v>
      </c>
      <c r="D624" s="41" t="n">
        <f aca="false">(B624+C624)/2</f>
        <v>0.02734375</v>
      </c>
      <c r="E624" s="15" t="n">
        <f aca="false">$C$2*(1+IF(E$3&lt;=$O$2,$D624,$D624-($D624-$I$616)*MIN(E$3-$O$2,$Q$2)/$Q$2))</f>
        <v>2547.8125</v>
      </c>
      <c r="F624" s="15" t="n">
        <f aca="false">E624*(1+IF(F$3&lt;=$O$2,$D624,$D624-($D624-$I$616)*MIN(F$3-$O$2,$Q$2)/$Q$2))</f>
        <v>2617.47924804688</v>
      </c>
      <c r="G624" s="15" t="n">
        <f aca="false">F624*(1+IF(G$3&lt;=$O$2,$D624,$D624-($D624-$I$616)*MIN(G$3-$O$2,$Q$2)/$Q$2))</f>
        <v>2689.05094623566</v>
      </c>
      <c r="H624" s="15" t="n">
        <f aca="false">G624*(1+IF(H$3&lt;=$O$2,$D624,$D624-($D624-$I$616)*MIN(H$3-$O$2,$Q$2)/$Q$2))</f>
        <v>2762.57968304679</v>
      </c>
      <c r="I624" s="15" t="n">
        <f aca="false">H624*(1+IF(I$3&lt;=$O$2,$D624,$D624-($D624-$I$616)*MIN(I$3-$O$2,$Q$2)/$Q$2))</f>
        <v>2838.1189712551</v>
      </c>
      <c r="J624" s="15" t="n">
        <f aca="false">I624*(1+IF(J$3&lt;=$O$2,$D624,$D624-($D624-$I$616)*MIN(J$3-$O$2,$Q$2)/$Q$2))</f>
        <v>2913.42845815735</v>
      </c>
      <c r="K624" s="15" t="n">
        <f aca="false">J624*(1+IF(K$3&lt;=$O$2,$D624,$D624-($D624-$I$616)*MIN(K$3-$O$2,$Q$2)/$Q$2))</f>
        <v>2988.38004702902</v>
      </c>
      <c r="L624" s="15" t="n">
        <f aca="false">K624*(1+IF(L$3&lt;=$O$2,$D624,$D624-($D624-$I$616)*MIN(L$3-$O$2,$Q$2)/$Q$2))</f>
        <v>3062.84300685087</v>
      </c>
      <c r="M624" s="15" t="n">
        <f aca="false">L624*(1+IF(M$3&lt;=$O$2,$D624,$D624-($D624-$I$616)*MIN(M$3-$O$2,$Q$2)/$Q$2))</f>
        <v>3136.68432319228</v>
      </c>
      <c r="N624" s="15" t="n">
        <f aca="false">M624*(1+IF(N$3&lt;=$O$2,$D624,$D624-($D624-$I$616)*MIN(N$3-$O$2,$Q$2)/$Q$2))</f>
        <v>3209.76906792266</v>
      </c>
      <c r="O624" s="15" t="n">
        <f aca="false">SUMPRODUCT(E624:N624,1/(1+$F$616)^$E$3:$N$3)*$E$2</f>
        <v>5411.41398803956</v>
      </c>
      <c r="P624" s="15" t="n">
        <f aca="false">N624*$E$2*(1+$I$616)/($F$616-$I$616)/(1+$F$616)^$N$3</f>
        <v>6040.34617690591</v>
      </c>
      <c r="Q624" s="15" t="n">
        <f aca="false">O624+P624</f>
        <v>11451.7601649455</v>
      </c>
      <c r="R624" s="15" t="n">
        <f aca="false">Q624-$G$2+$I$2</f>
        <v>10177.0901649455</v>
      </c>
      <c r="S624" s="42" t="n">
        <f aca="false">R624/$K$2</f>
        <v>286.114426903162</v>
      </c>
      <c r="T624" s="43" t="n">
        <f aca="false">S624-$M$2</f>
        <v>-3.17429955171599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0.02734375</v>
      </c>
      <c r="C625" s="25" t="n">
        <f aca="false">IF(T624&gt;0,D624,C624)</f>
        <v>0.0390625</v>
      </c>
      <c r="D625" s="41" t="n">
        <f aca="false">(B625+C625)/2</f>
        <v>0.033203125</v>
      </c>
      <c r="E625" s="15" t="n">
        <f aca="false">$C$2*(1+IF(E$3&lt;=$O$2,$D625,$D625-($D625-$I$616)*MIN(E$3-$O$2,$Q$2)/$Q$2))</f>
        <v>2562.34375</v>
      </c>
      <c r="F625" s="15" t="n">
        <f aca="false">E625*(1+IF(F$3&lt;=$O$2,$D625,$D625-($D625-$I$616)*MIN(F$3-$O$2,$Q$2)/$Q$2))</f>
        <v>2647.42156982422</v>
      </c>
      <c r="G625" s="15" t="n">
        <f aca="false">F625*(1+IF(G$3&lt;=$O$2,$D625,$D625-($D625-$I$616)*MIN(G$3-$O$2,$Q$2)/$Q$2))</f>
        <v>2735.32423913479</v>
      </c>
      <c r="H625" s="15" t="n">
        <f aca="false">G625*(1+IF(H$3&lt;=$O$2,$D625,$D625-($D625-$I$616)*MIN(H$3-$O$2,$Q$2)/$Q$2))</f>
        <v>2826.14555176231</v>
      </c>
      <c r="I625" s="15" t="n">
        <f aca="false">H625*(1+IF(I$3&lt;=$O$2,$D625,$D625-($D625-$I$616)*MIN(I$3-$O$2,$Q$2)/$Q$2))</f>
        <v>2919.98241578567</v>
      </c>
      <c r="J625" s="15" t="n">
        <f aca="false">I625*(1+IF(J$3&lt;=$O$2,$D625,$D625-($D625-$I$616)*MIN(J$3-$O$2,$Q$2)/$Q$2))</f>
        <v>3011.15156676254</v>
      </c>
      <c r="K625" s="15" t="n">
        <f aca="false">J625*(1+IF(K$3&lt;=$O$2,$D625,$D625-($D625-$I$616)*MIN(K$3-$O$2,$Q$2)/$Q$2))</f>
        <v>3099.20328448386</v>
      </c>
      <c r="L625" s="15" t="n">
        <f aca="false">K625*(1+IF(L$3&lt;=$O$2,$D625,$D625-($D625-$I$616)*MIN(L$3-$O$2,$Q$2)/$Q$2))</f>
        <v>3183.691440023</v>
      </c>
      <c r="M625" s="15" t="n">
        <f aca="false">L625*(1+IF(M$3&lt;=$O$2,$D625,$D625-($D625-$I$616)*MIN(M$3-$O$2,$Q$2)/$Q$2))</f>
        <v>3264.17714943393</v>
      </c>
      <c r="N625" s="15" t="n">
        <f aca="false">M625*(1+IF(N$3&lt;=$O$2,$D625,$D625-($D625-$I$616)*MIN(N$3-$O$2,$Q$2)/$Q$2))</f>
        <v>3340.23247701574</v>
      </c>
      <c r="O625" s="15" t="n">
        <f aca="false">SUMPRODUCT(E625:N625,1/(1+$F$616)^$E$3:$N$3)*$E$2</f>
        <v>5550.23632666288</v>
      </c>
      <c r="P625" s="15" t="n">
        <f aca="false">N625*$E$2*(1+$I$616)/($F$616-$I$616)/(1+$F$616)^$N$3</f>
        <v>6285.86046085141</v>
      </c>
      <c r="Q625" s="15" t="n">
        <f aca="false">O625+P625</f>
        <v>11836.0967875143</v>
      </c>
      <c r="R625" s="15" t="n">
        <f aca="false">Q625-$G$2+$I$2</f>
        <v>10561.4267875143</v>
      </c>
      <c r="S625" s="42" t="n">
        <f aca="false">R625/$K$2</f>
        <v>296.919504849994</v>
      </c>
      <c r="T625" s="43" t="n">
        <f aca="false">S625-$M$2</f>
        <v>7.63077839511658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0.02734375</v>
      </c>
      <c r="C626" s="25" t="n">
        <f aca="false">IF(T625&gt;0,D625,C625)</f>
        <v>0.033203125</v>
      </c>
      <c r="D626" s="41" t="n">
        <f aca="false">(B626+C626)/2</f>
        <v>0.0302734375</v>
      </c>
      <c r="E626" s="15" t="n">
        <f aca="false">$C$2*(1+IF(E$3&lt;=$O$2,$D626,$D626-($D626-$I$616)*MIN(E$3-$O$2,$Q$2)/$Q$2))</f>
        <v>2555.078125</v>
      </c>
      <c r="F626" s="15" t="n">
        <f aca="false">E626*(1+IF(F$3&lt;=$O$2,$D626,$D626-($D626-$I$616)*MIN(F$3-$O$2,$Q$2)/$Q$2))</f>
        <v>2632.4291229248</v>
      </c>
      <c r="G626" s="15" t="n">
        <f aca="false">F626*(1+IF(G$3&lt;=$O$2,$D626,$D626-($D626-$I$616)*MIN(G$3-$O$2,$Q$2)/$Q$2))</f>
        <v>2712.12180145085</v>
      </c>
      <c r="H626" s="15" t="n">
        <f aca="false">G626*(1+IF(H$3&lt;=$O$2,$D626,$D626-($D626-$I$616)*MIN(H$3-$O$2,$Q$2)/$Q$2))</f>
        <v>2794.22705129946</v>
      </c>
      <c r="I626" s="15" t="n">
        <f aca="false">H626*(1+IF(I$3&lt;=$O$2,$D626,$D626-($D626-$I$616)*MIN(I$3-$O$2,$Q$2)/$Q$2))</f>
        <v>2878.81790929778</v>
      </c>
      <c r="J626" s="15" t="n">
        <f aca="false">I626*(1+IF(J$3&lt;=$O$2,$D626,$D626-($D626-$I$616)*MIN(J$3-$O$2,$Q$2)/$Q$2))</f>
        <v>2961.95457199592</v>
      </c>
      <c r="K626" s="15" t="n">
        <f aca="false">J626*(1+IF(K$3&lt;=$O$2,$D626,$D626-($D626-$I$616)*MIN(K$3-$O$2,$Q$2)/$Q$2))</f>
        <v>3043.36111657481</v>
      </c>
      <c r="L626" s="15" t="n">
        <f aca="false">K626*(1+IF(L$3&lt;=$O$2,$D626,$D626-($D626-$I$616)*MIN(L$3-$O$2,$Q$2)/$Q$2))</f>
        <v>3122.76050600555</v>
      </c>
      <c r="M626" s="15" t="n">
        <f aca="false">L626*(1+IF(M$3&lt;=$O$2,$D626,$D626-($D626-$I$616)*MIN(M$3-$O$2,$Q$2)/$Q$2))</f>
        <v>3199.8761008387</v>
      </c>
      <c r="N626" s="15" t="n">
        <f aca="false">M626*(1+IF(N$3&lt;=$O$2,$D626,$D626-($D626-$I$616)*MIN(N$3-$O$2,$Q$2)/$Q$2))</f>
        <v>3274.43321398824</v>
      </c>
      <c r="O626" s="15" t="n">
        <f aca="false">SUMPRODUCT(E626:N626,1/(1+$F$616)^$E$3:$N$3)*$E$2</f>
        <v>5480.37840437638</v>
      </c>
      <c r="P626" s="15" t="n">
        <f aca="false">N626*$E$2*(1+$I$616)/($F$616-$I$616)/(1+$F$616)^$N$3</f>
        <v>6162.03525147939</v>
      </c>
      <c r="Q626" s="15" t="n">
        <f aca="false">O626+P626</f>
        <v>11642.4136558558</v>
      </c>
      <c r="R626" s="15" t="n">
        <f aca="false">Q626-$G$2+$I$2</f>
        <v>10367.7436558558</v>
      </c>
      <c r="S626" s="42" t="n">
        <f aca="false">R626/$K$2</f>
        <v>291.474378854534</v>
      </c>
      <c r="T626" s="43" t="n">
        <f aca="false">S626-$M$2</f>
        <v>2.18565239965614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0.02734375</v>
      </c>
      <c r="C627" s="25" t="n">
        <f aca="false">IF(T626&gt;0,D626,C626)</f>
        <v>0.0302734375</v>
      </c>
      <c r="D627" s="41" t="n">
        <f aca="false">(B627+C627)/2</f>
        <v>0.02880859375</v>
      </c>
      <c r="E627" s="15" t="n">
        <f aca="false">$C$2*(1+IF(E$3&lt;=$O$2,$D627,$D627-($D627-$I$616)*MIN(E$3-$O$2,$Q$2)/$Q$2))</f>
        <v>2551.4453125</v>
      </c>
      <c r="F627" s="15" t="n">
        <f aca="false">E627*(1+IF(F$3&lt;=$O$2,$D627,$D627-($D627-$I$616)*MIN(F$3-$O$2,$Q$2)/$Q$2))</f>
        <v>2624.94886398315</v>
      </c>
      <c r="G627" s="15" t="n">
        <f aca="false">F627*(1+IF(G$3&lt;=$O$2,$D627,$D627-($D627-$I$616)*MIN(G$3-$O$2,$Q$2)/$Q$2))</f>
        <v>2700.56994942017</v>
      </c>
      <c r="H627" s="15" t="n">
        <f aca="false">G627*(1+IF(H$3&lt;=$O$2,$D627,$D627-($D627-$I$616)*MIN(H$3-$O$2,$Q$2)/$Q$2))</f>
        <v>2778.36957198647</v>
      </c>
      <c r="I627" s="15" t="n">
        <f aca="false">H627*(1+IF(I$3&lt;=$O$2,$D627,$D627-($D627-$I$616)*MIN(I$3-$O$2,$Q$2)/$Q$2))</f>
        <v>2858.41049227319</v>
      </c>
      <c r="J627" s="15" t="n">
        <f aca="false">I627*(1+IF(J$3&lt;=$O$2,$D627,$D627-($D627-$I$616)*MIN(J$3-$O$2,$Q$2)/$Q$2))</f>
        <v>2937.60811448129</v>
      </c>
      <c r="K627" s="15" t="n">
        <f aca="false">J627*(1+IF(K$3&lt;=$O$2,$D627,$D627-($D627-$I$616)*MIN(K$3-$O$2,$Q$2)/$Q$2))</f>
        <v>3015.76363736834</v>
      </c>
      <c r="L627" s="15" t="n">
        <f aca="false">K627*(1+IF(L$3&lt;=$O$2,$D627,$D627-($D627-$I$616)*MIN(L$3-$O$2,$Q$2)/$Q$2))</f>
        <v>3092.67597680873</v>
      </c>
      <c r="M627" s="15" t="n">
        <f aca="false">L627*(1+IF(M$3&lt;=$O$2,$D627,$D627-($D627-$I$616)*MIN(M$3-$O$2,$Q$2)/$Q$2))</f>
        <v>3168.1425861797</v>
      </c>
      <c r="N627" s="15" t="n">
        <f aca="false">M627*(1+IF(N$3&lt;=$O$2,$D627,$D627-($D627-$I$616)*MIN(N$3-$O$2,$Q$2)/$Q$2))</f>
        <v>3241.96030843769</v>
      </c>
      <c r="O627" s="15" t="n">
        <f aca="false">SUMPRODUCT(E627:N627,1/(1+$F$616)^$E$3:$N$3)*$E$2</f>
        <v>5445.78518437472</v>
      </c>
      <c r="P627" s="15" t="n">
        <f aca="false">N627*$E$2*(1+$I$616)/($F$616-$I$616)/(1+$F$616)^$N$3</f>
        <v>6100.92568666504</v>
      </c>
      <c r="Q627" s="15" t="n">
        <f aca="false">O627+P627</f>
        <v>11546.7108710398</v>
      </c>
      <c r="R627" s="15" t="n">
        <f aca="false">Q627-$G$2+$I$2</f>
        <v>10272.0408710398</v>
      </c>
      <c r="S627" s="42" t="n">
        <f aca="false">R627/$K$2</f>
        <v>288.783831066623</v>
      </c>
      <c r="T627" s="43" t="n">
        <f aca="false">S627-$M$2</f>
        <v>-0.504895388255193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0.02880859375</v>
      </c>
      <c r="C628" s="25" t="n">
        <f aca="false">IF(T627&gt;0,D627,C627)</f>
        <v>0.0302734375</v>
      </c>
      <c r="D628" s="41" t="n">
        <f aca="false">(B628+C628)/2</f>
        <v>0.029541015625</v>
      </c>
      <c r="E628" s="15" t="n">
        <f aca="false">$C$2*(1+IF(E$3&lt;=$O$2,$D628,$D628-($D628-$I$616)*MIN(E$3-$O$2,$Q$2)/$Q$2))</f>
        <v>2553.26171875</v>
      </c>
      <c r="F628" s="15" t="n">
        <f aca="false">E628*(1+IF(F$3&lt;=$O$2,$D628,$D628-($D628-$I$616)*MIN(F$3-$O$2,$Q$2)/$Q$2))</f>
        <v>2628.68766307831</v>
      </c>
      <c r="G628" s="15" t="n">
        <f aca="false">F628*(1+IF(G$3&lt;=$O$2,$D628,$D628-($D628-$I$616)*MIN(G$3-$O$2,$Q$2)/$Q$2))</f>
        <v>2706.34176640655</v>
      </c>
      <c r="H628" s="15" t="n">
        <f aca="false">G628*(1+IF(H$3&lt;=$O$2,$D628,$D628-($D628-$I$616)*MIN(H$3-$O$2,$Q$2)/$Q$2))</f>
        <v>2786.28985081456</v>
      </c>
      <c r="I628" s="15" t="n">
        <f aca="false">H628*(1+IF(I$3&lt;=$O$2,$D628,$D628-($D628-$I$616)*MIN(I$3-$O$2,$Q$2)/$Q$2))</f>
        <v>2868.59968283325</v>
      </c>
      <c r="J628" s="15" t="n">
        <f aca="false">I628*(1+IF(J$3&lt;=$O$2,$D628,$D628-($D628-$I$616)*MIN(J$3-$O$2,$Q$2)/$Q$2))</f>
        <v>2949.76043579721</v>
      </c>
      <c r="K628" s="15" t="n">
        <f aca="false">J628*(1+IF(K$3&lt;=$O$2,$D628,$D628-($D628-$I$616)*MIN(K$3-$O$2,$Q$2)/$Q$2))</f>
        <v>3029.53555453317</v>
      </c>
      <c r="L628" s="15" t="n">
        <f aca="false">K628*(1+IF(L$3&lt;=$O$2,$D628,$D628-($D628-$I$616)*MIN(L$3-$O$2,$Q$2)/$Q$2))</f>
        <v>3107.68668444673</v>
      </c>
      <c r="M628" s="15" t="n">
        <f aca="false">L628*(1+IF(M$3&lt;=$O$2,$D628,$D628-($D628-$I$616)*MIN(M$3-$O$2,$Q$2)/$Q$2))</f>
        <v>3183.97480842539</v>
      </c>
      <c r="N628" s="15" t="n">
        <f aca="false">M628*(1+IF(N$3&lt;=$O$2,$D628,$D628-($D628-$I$616)*MIN(N$3-$O$2,$Q$2)/$Q$2))</f>
        <v>3258.1614214617</v>
      </c>
      <c r="O628" s="15" t="n">
        <f aca="false">SUMPRODUCT(E628:N628,1/(1+$F$616)^$E$3:$N$3)*$E$2</f>
        <v>5463.05395714538</v>
      </c>
      <c r="P628" s="15" t="n">
        <f aca="false">N628*$E$2*(1+$I$616)/($F$616-$I$616)/(1+$F$616)^$N$3</f>
        <v>6131.41396449605</v>
      </c>
      <c r="Q628" s="15" t="n">
        <f aca="false">O628+P628</f>
        <v>11594.4679216414</v>
      </c>
      <c r="R628" s="15" t="n">
        <f aca="false">Q628-$G$2+$I$2</f>
        <v>10319.7979216414</v>
      </c>
      <c r="S628" s="42" t="n">
        <f aca="false">R628/$K$2</f>
        <v>290.126452674766</v>
      </c>
      <c r="T628" s="43" t="n">
        <f aca="false">S628-$M$2</f>
        <v>0.837726219888282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0.02880859375</v>
      </c>
      <c r="C629" s="25" t="n">
        <f aca="false">IF(T628&gt;0,D628,C628)</f>
        <v>0.029541015625</v>
      </c>
      <c r="D629" s="41" t="n">
        <f aca="false">(B629+C629)/2</f>
        <v>0.0291748046875</v>
      </c>
      <c r="E629" s="15" t="n">
        <f aca="false">$C$2*(1+IF(E$3&lt;=$O$2,$D629,$D629-($D629-$I$616)*MIN(E$3-$O$2,$Q$2)/$Q$2))</f>
        <v>2552.353515625</v>
      </c>
      <c r="F629" s="15" t="n">
        <f aca="false">E629*(1+IF(F$3&lt;=$O$2,$D629,$D629-($D629-$I$616)*MIN(F$3-$O$2,$Q$2)/$Q$2))</f>
        <v>2626.81793093681</v>
      </c>
      <c r="G629" s="15" t="n">
        <f aca="false">F629*(1+IF(G$3&lt;=$O$2,$D629,$D629-($D629-$I$616)*MIN(G$3-$O$2,$Q$2)/$Q$2))</f>
        <v>2703.45483102152</v>
      </c>
      <c r="H629" s="15" t="n">
        <f aca="false">G629*(1+IF(H$3&lt;=$O$2,$D629,$D629-($D629-$I$616)*MIN(H$3-$O$2,$Q$2)/$Q$2))</f>
        <v>2782.32759769805</v>
      </c>
      <c r="I629" s="15" t="n">
        <f aca="false">H629*(1+IF(I$3&lt;=$O$2,$D629,$D629-($D629-$I$616)*MIN(I$3-$O$2,$Q$2)/$Q$2))</f>
        <v>2863.50146193753</v>
      </c>
      <c r="J629" s="15" t="n">
        <f aca="false">I629*(1+IF(J$3&lt;=$O$2,$D629,$D629-($D629-$I$616)*MIN(J$3-$O$2,$Q$2)/$Q$2))</f>
        <v>2943.67905544968</v>
      </c>
      <c r="K629" s="15" t="n">
        <f aca="false">J629*(1+IF(K$3&lt;=$O$2,$D629,$D629-($D629-$I$616)*MIN(K$3-$O$2,$Q$2)/$Q$2))</f>
        <v>3022.64290114973</v>
      </c>
      <c r="L629" s="15" t="n">
        <f aca="false">K629*(1+IF(L$3&lt;=$O$2,$D629,$D629-($D629-$I$616)*MIN(L$3-$O$2,$Q$2)/$Q$2))</f>
        <v>3100.17345542024</v>
      </c>
      <c r="M629" s="15" t="n">
        <f aca="false">L629*(1+IF(M$3&lt;=$O$2,$D629,$D629-($D629-$I$616)*MIN(M$3-$O$2,$Q$2)/$Q$2))</f>
        <v>3176.05007964112</v>
      </c>
      <c r="N629" s="15" t="n">
        <f aca="false">M629*(1+IF(N$3&lt;=$O$2,$D629,$D629-($D629-$I$616)*MIN(N$3-$O$2,$Q$2)/$Q$2))</f>
        <v>3250.05204649676</v>
      </c>
      <c r="O629" s="15" t="n">
        <f aca="false">SUMPRODUCT(E629:N629,1/(1+$F$616)^$E$3:$N$3)*$E$2</f>
        <v>5454.41262200391</v>
      </c>
      <c r="P629" s="15" t="n">
        <f aca="false">N629*$E$2*(1+$I$616)/($F$616-$I$616)/(1+$F$616)^$N$3</f>
        <v>6116.1532304588</v>
      </c>
      <c r="Q629" s="15" t="n">
        <f aca="false">O629+P629</f>
        <v>11570.5658524627</v>
      </c>
      <c r="R629" s="15" t="n">
        <f aca="false">Q629-$G$2+$I$2</f>
        <v>10295.8958524627</v>
      </c>
      <c r="S629" s="42" t="n">
        <f aca="false">R629/$K$2</f>
        <v>289.454479968027</v>
      </c>
      <c r="T629" s="43" t="n">
        <f aca="false">S629-$M$2</f>
        <v>0.165753513149127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0.02880859375</v>
      </c>
      <c r="C630" s="25" t="n">
        <f aca="false">IF(T629&gt;0,D629,C629)</f>
        <v>0.0291748046875</v>
      </c>
      <c r="D630" s="41" t="n">
        <f aca="false">(B630+C630)/2</f>
        <v>0.02899169921875</v>
      </c>
      <c r="E630" s="15" t="n">
        <f aca="false">$C$2*(1+IF(E$3&lt;=$O$2,$D630,$D630-($D630-$I$616)*MIN(E$3-$O$2,$Q$2)/$Q$2))</f>
        <v>2551.8994140625</v>
      </c>
      <c r="F630" s="15" t="n">
        <f aca="false">E630*(1+IF(F$3&lt;=$O$2,$D630,$D630-($D630-$I$616)*MIN(F$3-$O$2,$Q$2)/$Q$2))</f>
        <v>2625.8833143115</v>
      </c>
      <c r="G630" s="15" t="n">
        <f aca="false">F630*(1+IF(G$3&lt;=$O$2,$D630,$D630-($D630-$I$616)*MIN(G$3-$O$2,$Q$2)/$Q$2))</f>
        <v>2702.01213354356</v>
      </c>
      <c r="H630" s="15" t="n">
        <f aca="false">G630*(1+IF(H$3&lt;=$O$2,$D630,$D630-($D630-$I$616)*MIN(H$3-$O$2,$Q$2)/$Q$2))</f>
        <v>2780.34805660467</v>
      </c>
      <c r="I630" s="15" t="n">
        <f aca="false">H630*(1+IF(I$3&lt;=$O$2,$D630,$D630-($D630-$I$616)*MIN(I$3-$O$2,$Q$2)/$Q$2))</f>
        <v>2860.95507118518</v>
      </c>
      <c r="J630" s="15" t="n">
        <f aca="false">I630*(1+IF(J$3&lt;=$O$2,$D630,$D630-($D630-$I$616)*MIN(J$3-$O$2,$Q$2)/$Q$2))</f>
        <v>2940.64228093863</v>
      </c>
      <c r="K630" s="15" t="n">
        <f aca="false">J630*(1+IF(K$3&lt;=$O$2,$D630,$D630-($D630-$I$616)*MIN(K$3-$O$2,$Q$2)/$Q$2))</f>
        <v>3019.20159690833</v>
      </c>
      <c r="L630" s="15" t="n">
        <f aca="false">K630*(1+IF(L$3&lt;=$O$2,$D630,$D630-($D630-$I$616)*MIN(L$3-$O$2,$Q$2)/$Q$2))</f>
        <v>3096.42274906444</v>
      </c>
      <c r="M630" s="15" t="n">
        <f aca="false">L630*(1+IF(M$3&lt;=$O$2,$D630,$D630-($D630-$I$616)*MIN(M$3-$O$2,$Q$2)/$Q$2))</f>
        <v>3172.094180506</v>
      </c>
      <c r="N630" s="15" t="n">
        <f aca="false">M630*(1+IF(N$3&lt;=$O$2,$D630,$D630-($D630-$I$616)*MIN(N$3-$O$2,$Q$2)/$Q$2))</f>
        <v>3246.00397491179</v>
      </c>
      <c r="O630" s="15" t="n">
        <f aca="false">SUMPRODUCT(E630:N630,1/(1+$F$616)^$E$3:$N$3)*$E$2</f>
        <v>5450.09716731768</v>
      </c>
      <c r="P630" s="15" t="n">
        <f aca="false">N630*$E$2*(1+$I$616)/($F$616-$I$616)/(1+$F$616)^$N$3</f>
        <v>6108.53531365397</v>
      </c>
      <c r="Q630" s="15" t="n">
        <f aca="false">O630+P630</f>
        <v>11558.6324809717</v>
      </c>
      <c r="R630" s="15" t="n">
        <f aca="false">Q630-$G$2+$I$2</f>
        <v>10283.9624809717</v>
      </c>
      <c r="S630" s="42" t="n">
        <f aca="false">R630/$K$2</f>
        <v>289.118990187564</v>
      </c>
      <c r="T630" s="43" t="n">
        <f aca="false">S630-$M$2</f>
        <v>-0.169736267313567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0.02899169921875</v>
      </c>
      <c r="C631" s="25" t="n">
        <f aca="false">IF(T630&gt;0,D630,C630)</f>
        <v>0.0291748046875</v>
      </c>
      <c r="D631" s="41" t="n">
        <f aca="false">(B631+C631)/2</f>
        <v>0.029083251953125</v>
      </c>
      <c r="E631" s="15" t="n">
        <f aca="false">$C$2*(1+IF(E$3&lt;=$O$2,$D631,$D631-($D631-$I$616)*MIN(E$3-$O$2,$Q$2)/$Q$2))</f>
        <v>2552.12646484375</v>
      </c>
      <c r="F631" s="15" t="n">
        <f aca="false">E631*(1+IF(F$3&lt;=$O$2,$D631,$D631-($D631-$I$616)*MIN(F$3-$O$2,$Q$2)/$Q$2))</f>
        <v>2626.35060183704</v>
      </c>
      <c r="G631" s="15" t="n">
        <f aca="false">F631*(1+IF(G$3&lt;=$O$2,$D631,$D631-($D631-$I$616)*MIN(G$3-$O$2,$Q$2)/$Q$2))</f>
        <v>2702.73341810751</v>
      </c>
      <c r="H631" s="15" t="n">
        <f aca="false">G631*(1+IF(H$3&lt;=$O$2,$D631,$D631-($D631-$I$616)*MIN(H$3-$O$2,$Q$2)/$Q$2))</f>
        <v>2781.33769506846</v>
      </c>
      <c r="I631" s="15" t="n">
        <f aca="false">H631*(1+IF(I$3&lt;=$O$2,$D631,$D631-($D631-$I$616)*MIN(I$3-$O$2,$Q$2)/$Q$2))</f>
        <v>2862.22804002086</v>
      </c>
      <c r="J631" s="15" t="n">
        <f aca="false">I631*(1+IF(J$3&lt;=$O$2,$D631,$D631-($D631-$I$616)*MIN(J$3-$O$2,$Q$2)/$Q$2))</f>
        <v>2942.16034207554</v>
      </c>
      <c r="K631" s="15" t="n">
        <f aca="false">J631*(1+IF(K$3&lt;=$O$2,$D631,$D631-($D631-$I$616)*MIN(K$3-$O$2,$Q$2)/$Q$2))</f>
        <v>3020.92183077273</v>
      </c>
      <c r="L631" s="15" t="n">
        <f aca="false">K631*(1+IF(L$3&lt;=$O$2,$D631,$D631-($D631-$I$616)*MIN(L$3-$O$2,$Q$2)/$Q$2))</f>
        <v>3098.29761026095</v>
      </c>
      <c r="M631" s="15" t="n">
        <f aca="false">L631*(1+IF(M$3&lt;=$O$2,$D631,$D631-($D631-$I$616)*MIN(M$3-$O$2,$Q$2)/$Q$2))</f>
        <v>3174.07159172121</v>
      </c>
      <c r="N631" s="15" t="n">
        <f aca="false">M631*(1+IF(N$3&lt;=$O$2,$D631,$D631-($D631-$I$616)*MIN(N$3-$O$2,$Q$2)/$Q$2))</f>
        <v>3248.02745980832</v>
      </c>
      <c r="O631" s="15" t="n">
        <f aca="false">SUMPRODUCT(E631:N631,1/(1+$F$616)^$E$3:$N$3)*$E$2</f>
        <v>5452.25446052828</v>
      </c>
      <c r="P631" s="15" t="n">
        <f aca="false">N631*$E$2*(1+$I$616)/($F$616-$I$616)/(1+$F$616)^$N$3</f>
        <v>6112.34323534558</v>
      </c>
      <c r="Q631" s="15" t="n">
        <f aca="false">O631+P631</f>
        <v>11564.5976958739</v>
      </c>
      <c r="R631" s="15" t="n">
        <f aca="false">Q631-$G$2+$I$2</f>
        <v>10289.9276958739</v>
      </c>
      <c r="S631" s="42" t="n">
        <f aca="false">R631/$K$2</f>
        <v>289.286693727126</v>
      </c>
      <c r="T631" s="43" t="n">
        <f aca="false">S631-$M$2</f>
        <v>-0.00203272775212326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0.029083251953125</v>
      </c>
      <c r="C632" s="25" t="n">
        <f aca="false">IF(T631&gt;0,D631,C631)</f>
        <v>0.0291748046875</v>
      </c>
      <c r="D632" s="41" t="n">
        <f aca="false">(B632+C632)/2</f>
        <v>0.0291290283203125</v>
      </c>
      <c r="E632" s="15" t="n">
        <f aca="false">$C$2*(1+IF(E$3&lt;=$O$2,$D632,$D632-($D632-$I$616)*MIN(E$3-$O$2,$Q$2)/$Q$2))</f>
        <v>2552.23999023438</v>
      </c>
      <c r="F632" s="15" t="n">
        <f aca="false">E632*(1+IF(F$3&lt;=$O$2,$D632,$D632-($D632-$I$616)*MIN(F$3-$O$2,$Q$2)/$Q$2))</f>
        <v>2626.58426119015</v>
      </c>
      <c r="G632" s="15" t="n">
        <f aca="false">F632*(1+IF(G$3&lt;=$O$2,$D632,$D632-($D632-$I$616)*MIN(G$3-$O$2,$Q$2)/$Q$2))</f>
        <v>2703.09410852004</v>
      </c>
      <c r="H632" s="15" t="n">
        <f aca="false">G632*(1+IF(H$3&lt;=$O$2,$D632,$D632-($D632-$I$616)*MIN(H$3-$O$2,$Q$2)/$Q$2))</f>
        <v>2781.83261335959</v>
      </c>
      <c r="I632" s="15" t="n">
        <f aca="false">H632*(1+IF(I$3&lt;=$O$2,$D632,$D632-($D632-$I$616)*MIN(I$3-$O$2,$Q$2)/$Q$2))</f>
        <v>2862.86469433651</v>
      </c>
      <c r="J632" s="15" t="n">
        <f aca="false">I632*(1+IF(J$3&lt;=$O$2,$D632,$D632-($D632-$I$616)*MIN(J$3-$O$2,$Q$2)/$Q$2))</f>
        <v>2942.91961721896</v>
      </c>
      <c r="K632" s="15" t="n">
        <f aca="false">J632*(1+IF(K$3&lt;=$O$2,$D632,$D632-($D632-$I$616)*MIN(K$3-$O$2,$Q$2)/$Q$2))</f>
        <v>3021.78226137607</v>
      </c>
      <c r="L632" s="15" t="n">
        <f aca="false">K632*(1+IF(L$3&lt;=$O$2,$D632,$D632-($D632-$I$616)*MIN(L$3-$O$2,$Q$2)/$Q$2))</f>
        <v>3099.23540981788</v>
      </c>
      <c r="M632" s="15" t="n">
        <f aca="false">L632*(1+IF(M$3&lt;=$O$2,$D632,$D632-($D632-$I$616)*MIN(M$3-$O$2,$Q$2)/$Q$2))</f>
        <v>3175.06070106167</v>
      </c>
      <c r="N632" s="15" t="n">
        <f aca="false">M632*(1+IF(N$3&lt;=$O$2,$D632,$D632-($D632-$I$616)*MIN(N$3-$O$2,$Q$2)/$Q$2))</f>
        <v>3249.0396153964</v>
      </c>
      <c r="O632" s="15" t="n">
        <f aca="false">SUMPRODUCT(E632:N632,1/(1+$F$616)^$E$3:$N$3)*$E$2</f>
        <v>5453.33343271239</v>
      </c>
      <c r="P632" s="15" t="n">
        <f aca="false">N632*$E$2*(1+$I$616)/($F$616-$I$616)/(1+$F$616)^$N$3</f>
        <v>6114.24797366399</v>
      </c>
      <c r="Q632" s="15" t="n">
        <f aca="false">O632+P632</f>
        <v>11567.5814063764</v>
      </c>
      <c r="R632" s="15" t="n">
        <f aca="false">Q632-$G$2+$I$2</f>
        <v>10292.9114063764</v>
      </c>
      <c r="S632" s="42" t="n">
        <f aca="false">R632/$K$2</f>
        <v>289.370576507629</v>
      </c>
      <c r="T632" s="43" t="n">
        <f aca="false">S632-$M$2</f>
        <v>0.0818500527516335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0.029083251953125</v>
      </c>
      <c r="C633" s="25" t="n">
        <f aca="false">IF(T632&gt;0,D632,C632)</f>
        <v>0.0291290283203125</v>
      </c>
      <c r="D633" s="41" t="n">
        <f aca="false">(B633+C633)/2</f>
        <v>0.0291061401367188</v>
      </c>
      <c r="E633" s="15" t="n">
        <f aca="false">$C$2*(1+IF(E$3&lt;=$O$2,$D633,$D633-($D633-$I$616)*MIN(E$3-$O$2,$Q$2)/$Q$2))</f>
        <v>2552.18322753906</v>
      </c>
      <c r="F633" s="15" t="n">
        <f aca="false">E633*(1+IF(F$3&lt;=$O$2,$D633,$D633-($D633-$I$616)*MIN(F$3-$O$2,$Q$2)/$Q$2))</f>
        <v>2626.4674302144</v>
      </c>
      <c r="G633" s="15" t="n">
        <f aca="false">F633*(1+IF(G$3&lt;=$O$2,$D633,$D633-($D633-$I$616)*MIN(G$3-$O$2,$Q$2)/$Q$2))</f>
        <v>2702.91375930275</v>
      </c>
      <c r="H633" s="15" t="n">
        <f aca="false">G633*(1+IF(H$3&lt;=$O$2,$D633,$D633-($D633-$I$616)*MIN(H$3-$O$2,$Q$2)/$Q$2))</f>
        <v>2781.58514595848</v>
      </c>
      <c r="I633" s="15" t="n">
        <f aca="false">H633*(1+IF(I$3&lt;=$O$2,$D633,$D633-($D633-$I$616)*MIN(I$3-$O$2,$Q$2)/$Q$2))</f>
        <v>2862.54635301896</v>
      </c>
      <c r="J633" s="15" t="n">
        <f aca="false">I633*(1+IF(J$3&lt;=$O$2,$D633,$D633-($D633-$I$616)*MIN(J$3-$O$2,$Q$2)/$Q$2))</f>
        <v>2942.53995926309</v>
      </c>
      <c r="K633" s="15" t="n">
        <f aca="false">J633*(1+IF(K$3&lt;=$O$2,$D633,$D633-($D633-$I$616)*MIN(K$3-$O$2,$Q$2)/$Q$2))</f>
        <v>3021.35201993074</v>
      </c>
      <c r="L633" s="15" t="n">
        <f aca="false">K633*(1+IF(L$3&lt;=$O$2,$D633,$D633-($D633-$I$616)*MIN(L$3-$O$2,$Q$2)/$Q$2))</f>
        <v>3098.76647928716</v>
      </c>
      <c r="M633" s="15" t="n">
        <f aca="false">L633*(1+IF(M$3&lt;=$O$2,$D633,$D633-($D633-$I$616)*MIN(M$3-$O$2,$Q$2)/$Q$2))</f>
        <v>3174.56611274049</v>
      </c>
      <c r="N633" s="15" t="n">
        <f aca="false">M633*(1+IF(N$3&lt;=$O$2,$D633,$D633-($D633-$I$616)*MIN(N$3-$O$2,$Q$2)/$Q$2))</f>
        <v>3248.53350316735</v>
      </c>
      <c r="O633" s="15" t="n">
        <f aca="false">SUMPRODUCT(E633:N633,1/(1+$F$616)^$E$3:$N$3)*$E$2</f>
        <v>5452.79391948448</v>
      </c>
      <c r="P633" s="15" t="n">
        <f aca="false">N633*$E$2*(1+$I$616)/($F$616-$I$616)/(1+$F$616)^$N$3</f>
        <v>6113.2955397028</v>
      </c>
      <c r="Q633" s="15" t="n">
        <f aca="false">O633+P633</f>
        <v>11566.0894591873</v>
      </c>
      <c r="R633" s="15" t="n">
        <f aca="false">Q633-$G$2+$I$2</f>
        <v>10291.4194591873</v>
      </c>
      <c r="S633" s="42" t="n">
        <f aca="false">R633/$K$2</f>
        <v>289.328632532676</v>
      </c>
      <c r="T633" s="43" t="n">
        <f aca="false">S633-$M$2</f>
        <v>0.0399060777980935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0.029083251953125</v>
      </c>
      <c r="C634" s="25" t="n">
        <f aca="false">IF(T633&gt;0,D633,C633)</f>
        <v>0.0291061401367188</v>
      </c>
      <c r="D634" s="41" t="n">
        <f aca="false">(B634+C634)/2</f>
        <v>0.0290946960449219</v>
      </c>
      <c r="E634" s="15" t="n">
        <f aca="false">$C$2*(1+IF(E$3&lt;=$O$2,$D634,$D634-($D634-$I$616)*MIN(E$3-$O$2,$Q$2)/$Q$2))</f>
        <v>2552.15484619141</v>
      </c>
      <c r="F634" s="15" t="n">
        <f aca="false">E634*(1+IF(F$3&lt;=$O$2,$D634,$D634-($D634-$I$616)*MIN(F$3-$O$2,$Q$2)/$Q$2))</f>
        <v>2626.40901570092</v>
      </c>
      <c r="G634" s="15" t="n">
        <f aca="false">F634*(1+IF(G$3&lt;=$O$2,$D634,$D634-($D634-$I$616)*MIN(G$3-$O$2,$Q$2)/$Q$2))</f>
        <v>2702.82358770238</v>
      </c>
      <c r="H634" s="15" t="n">
        <f aca="false">G634*(1+IF(H$3&lt;=$O$2,$D634,$D634-($D634-$I$616)*MIN(H$3-$O$2,$Q$2)/$Q$2))</f>
        <v>2781.46141844963</v>
      </c>
      <c r="I634" s="15" t="n">
        <f aca="false">H634*(1+IF(I$3&lt;=$O$2,$D634,$D634-($D634-$I$616)*MIN(I$3-$O$2,$Q$2)/$Q$2))</f>
        <v>2862.3871929801</v>
      </c>
      <c r="J634" s="15" t="n">
        <f aca="false">I634*(1+IF(J$3&lt;=$O$2,$D634,$D634-($D634-$I$616)*MIN(J$3-$O$2,$Q$2)/$Q$2))</f>
        <v>2942.35014557349</v>
      </c>
      <c r="K634" s="15" t="n">
        <f aca="false">J634*(1+IF(K$3&lt;=$O$2,$D634,$D634-($D634-$I$616)*MIN(K$3-$O$2,$Q$2)/$Q$2))</f>
        <v>3021.13691881615</v>
      </c>
      <c r="L634" s="15" t="n">
        <f aca="false">K634*(1+IF(L$3&lt;=$O$2,$D634,$D634-($D634-$I$616)*MIN(L$3-$O$2,$Q$2)/$Q$2))</f>
        <v>3098.53203708642</v>
      </c>
      <c r="M634" s="15" t="n">
        <f aca="false">L634*(1+IF(M$3&lt;=$O$2,$D634,$D634-($D634-$I$616)*MIN(M$3-$O$2,$Q$2)/$Q$2))</f>
        <v>3174.31884381861</v>
      </c>
      <c r="N634" s="15" t="n">
        <f aca="false">M634*(1+IF(N$3&lt;=$O$2,$D634,$D634-($D634-$I$616)*MIN(N$3-$O$2,$Q$2)/$Q$2))</f>
        <v>3248.28047287958</v>
      </c>
      <c r="O634" s="15" t="n">
        <f aca="false">SUMPRODUCT(E634:N634,1/(1+$F$616)^$E$3:$N$3)*$E$2</f>
        <v>5452.52418322274</v>
      </c>
      <c r="P634" s="15" t="n">
        <f aca="false">N634*$E$2*(1+$I$616)/($F$616-$I$616)/(1+$F$616)^$N$3</f>
        <v>6112.81937132464</v>
      </c>
      <c r="Q634" s="15" t="n">
        <f aca="false">O634+P634</f>
        <v>11565.3435545474</v>
      </c>
      <c r="R634" s="15" t="n">
        <f aca="false">Q634-$G$2+$I$2</f>
        <v>10290.6735545474</v>
      </c>
      <c r="S634" s="42" t="n">
        <f aca="false">R634/$K$2</f>
        <v>289.307662483761</v>
      </c>
      <c r="T634" s="43" t="n">
        <f aca="false">S634-$M$2</f>
        <v>0.0189360288831608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0.029083251953125</v>
      </c>
      <c r="C635" s="25" t="n">
        <f aca="false">IF(T634&gt;0,D634,C634)</f>
        <v>0.0290946960449219</v>
      </c>
      <c r="D635" s="41" t="n">
        <f aca="false">(B635+C635)/2</f>
        <v>0.0290889739990234</v>
      </c>
      <c r="E635" s="15" t="n">
        <f aca="false">$C$2*(1+IF(E$3&lt;=$O$2,$D635,$D635-($D635-$I$616)*MIN(E$3-$O$2,$Q$2)/$Q$2))</f>
        <v>2552.14065551758</v>
      </c>
      <c r="F635" s="15" t="n">
        <f aca="false">E635*(1+IF(F$3&lt;=$O$2,$D635,$D635-($D635-$I$616)*MIN(F$3-$O$2,$Q$2)/$Q$2))</f>
        <v>2626.37980868778</v>
      </c>
      <c r="G635" s="15" t="n">
        <f aca="false">F635*(1+IF(G$3&lt;=$O$2,$D635,$D635-($D635-$I$616)*MIN(G$3-$O$2,$Q$2)/$Q$2))</f>
        <v>2702.77850265426</v>
      </c>
      <c r="H635" s="15" t="n">
        <f aca="false">G635*(1+IF(H$3&lt;=$O$2,$D635,$D635-($D635-$I$616)*MIN(H$3-$O$2,$Q$2)/$Q$2))</f>
        <v>2781.39955624309</v>
      </c>
      <c r="I635" s="15" t="n">
        <f aca="false">H635*(1+IF(I$3&lt;=$O$2,$D635,$D635-($D635-$I$616)*MIN(I$3-$O$2,$Q$2)/$Q$2))</f>
        <v>2862.30761561554</v>
      </c>
      <c r="J635" s="15" t="n">
        <f aca="false">I635*(1+IF(J$3&lt;=$O$2,$D635,$D635-($D635-$I$616)*MIN(J$3-$O$2,$Q$2)/$Q$2))</f>
        <v>2942.25524255059</v>
      </c>
      <c r="K635" s="15" t="n">
        <f aca="false">J635*(1+IF(K$3&lt;=$O$2,$D635,$D635-($D635-$I$616)*MIN(K$3-$O$2,$Q$2)/$Q$2))</f>
        <v>3021.02937316058</v>
      </c>
      <c r="L635" s="15" t="n">
        <f aca="false">K635*(1+IF(L$3&lt;=$O$2,$D635,$D635-($D635-$I$616)*MIN(L$3-$O$2,$Q$2)/$Q$2))</f>
        <v>3098.41482175183</v>
      </c>
      <c r="M635" s="15" t="n">
        <f aca="false">L635*(1+IF(M$3&lt;=$O$2,$D635,$D635-($D635-$I$616)*MIN(M$3-$O$2,$Q$2)/$Q$2))</f>
        <v>3174.19521566691</v>
      </c>
      <c r="N635" s="15" t="n">
        <f aca="false">M635*(1+IF(N$3&lt;=$O$2,$D635,$D635-($D635-$I$616)*MIN(N$3-$O$2,$Q$2)/$Q$2))</f>
        <v>3248.15396419195</v>
      </c>
      <c r="O635" s="15" t="n">
        <f aca="false">SUMPRODUCT(E635:N635,1/(1+$F$616)^$E$3:$N$3)*$E$2</f>
        <v>5452.38932017964</v>
      </c>
      <c r="P635" s="15" t="n">
        <f aca="false">N635*$E$2*(1+$I$616)/($F$616-$I$616)/(1+$F$616)^$N$3</f>
        <v>6112.58129928534</v>
      </c>
      <c r="Q635" s="15" t="n">
        <f aca="false">O635+P635</f>
        <v>11564.970619465</v>
      </c>
      <c r="R635" s="15" t="n">
        <f aca="false">Q635-$G$2+$I$2</f>
        <v>10290.300619465</v>
      </c>
      <c r="S635" s="42" t="n">
        <f aca="false">R635/$K$2</f>
        <v>289.297177943913</v>
      </c>
      <c r="T635" s="43" t="n">
        <f aca="false">S635-$M$2</f>
        <v>0.00845148903505333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0.029083251953125</v>
      </c>
      <c r="C636" s="25" t="n">
        <f aca="false">IF(T635&gt;0,D635,C635)</f>
        <v>0.0290889739990234</v>
      </c>
      <c r="D636" s="41" t="n">
        <f aca="false">(B636+C636)/2</f>
        <v>0.0290861129760742</v>
      </c>
      <c r="E636" s="15" t="n">
        <f aca="false">$C$2*(1+IF(E$3&lt;=$O$2,$D636,$D636-($D636-$I$616)*MIN(E$3-$O$2,$Q$2)/$Q$2))</f>
        <v>2552.13356018066</v>
      </c>
      <c r="F636" s="15" t="n">
        <f aca="false">E636*(1+IF(F$3&lt;=$O$2,$D636,$D636-($D636-$I$616)*MIN(F$3-$O$2,$Q$2)/$Q$2))</f>
        <v>2626.36520524211</v>
      </c>
      <c r="G636" s="15" t="n">
        <f aca="false">F636*(1+IF(G$3&lt;=$O$2,$D636,$D636-($D636-$I$616)*MIN(G$3-$O$2,$Q$2)/$Q$2))</f>
        <v>2702.75596031821</v>
      </c>
      <c r="H636" s="15" t="n">
        <f aca="false">G636*(1+IF(H$3&lt;=$O$2,$D636,$D636-($D636-$I$616)*MIN(H$3-$O$2,$Q$2)/$Q$2))</f>
        <v>2781.36862552679</v>
      </c>
      <c r="I636" s="15" t="n">
        <f aca="false">H636*(1+IF(I$3&lt;=$O$2,$D636,$D636-($D636-$I$616)*MIN(I$3-$O$2,$Q$2)/$Q$2))</f>
        <v>2862.26782759697</v>
      </c>
      <c r="J636" s="15" t="n">
        <f aca="false">I636*(1+IF(J$3&lt;=$O$2,$D636,$D636-($D636-$I$616)*MIN(J$3-$O$2,$Q$2)/$Q$2))</f>
        <v>2942.20779199458</v>
      </c>
      <c r="K636" s="15" t="n">
        <f aca="false">J636*(1+IF(K$3&lt;=$O$2,$D636,$D636-($D636-$I$616)*MIN(K$3-$O$2,$Q$2)/$Q$2))</f>
        <v>3020.9756015582</v>
      </c>
      <c r="L636" s="15" t="n">
        <f aca="false">K636*(1+IF(L$3&lt;=$O$2,$D636,$D636-($D636-$I$616)*MIN(L$3-$O$2,$Q$2)/$Q$2))</f>
        <v>3098.35621552593</v>
      </c>
      <c r="M636" s="15" t="n">
        <f aca="false">L636*(1+IF(M$3&lt;=$O$2,$D636,$D636-($D636-$I$616)*MIN(M$3-$O$2,$Q$2)/$Q$2))</f>
        <v>3174.13340316832</v>
      </c>
      <c r="N636" s="15" t="n">
        <f aca="false">M636*(1+IF(N$3&lt;=$O$2,$D636,$D636-($D636-$I$616)*MIN(N$3-$O$2,$Q$2)/$Q$2))</f>
        <v>3248.09071146214</v>
      </c>
      <c r="O636" s="15" t="n">
        <f aca="false">SUMPRODUCT(E636:N636,1/(1+$F$616)^$E$3:$N$3)*$E$2</f>
        <v>5452.32188993</v>
      </c>
      <c r="P636" s="15" t="n">
        <f aca="false">N636*$E$2*(1+$I$616)/($F$616-$I$616)/(1+$F$616)^$N$3</f>
        <v>6112.46226630303</v>
      </c>
      <c r="Q636" s="15" t="n">
        <f aca="false">O636+P636</f>
        <v>11564.784156233</v>
      </c>
      <c r="R636" s="15" t="n">
        <f aca="false">Q636-$G$2+$I$2</f>
        <v>10290.114156233</v>
      </c>
      <c r="S636" s="42" t="n">
        <f aca="false">R636/$K$2</f>
        <v>289.291935795137</v>
      </c>
      <c r="T636" s="43" t="n">
        <f aca="false">S636-$M$2</f>
        <v>0.00320934025938868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0.029083251953125</v>
      </c>
      <c r="C637" s="25" t="n">
        <f aca="false">IF(T636&gt;0,D636,C636)</f>
        <v>0.0290861129760742</v>
      </c>
      <c r="D637" s="41" t="n">
        <f aca="false">(B637+C637)/2</f>
        <v>0.0290846824645996</v>
      </c>
      <c r="E637" s="15" t="n">
        <f aca="false">$C$2*(1+IF(E$3&lt;=$O$2,$D637,$D637-($D637-$I$616)*MIN(E$3-$O$2,$Q$2)/$Q$2))</f>
        <v>2552.13001251221</v>
      </c>
      <c r="F637" s="15" t="n">
        <f aca="false">E637*(1+IF(F$3&lt;=$O$2,$D637,$D637-($D637-$I$616)*MIN(F$3-$O$2,$Q$2)/$Q$2))</f>
        <v>2626.3579035345</v>
      </c>
      <c r="G637" s="15" t="n">
        <f aca="false">F637*(1+IF(G$3&lt;=$O$2,$D637,$D637-($D637-$I$616)*MIN(G$3-$O$2,$Q$2)/$Q$2))</f>
        <v>2702.74468919719</v>
      </c>
      <c r="H637" s="15" t="n">
        <f aca="false">G637*(1+IF(H$3&lt;=$O$2,$D637,$D637-($D637-$I$616)*MIN(H$3-$O$2,$Q$2)/$Q$2))</f>
        <v>2781.35316026538</v>
      </c>
      <c r="I637" s="15" t="n">
        <f aca="false">H637*(1+IF(I$3&lt;=$O$2,$D637,$D637-($D637-$I$616)*MIN(I$3-$O$2,$Q$2)/$Q$2))</f>
        <v>2862.2479337536</v>
      </c>
      <c r="J637" s="15" t="n">
        <f aca="false">I637*(1+IF(J$3&lt;=$O$2,$D637,$D637-($D637-$I$616)*MIN(J$3-$O$2,$Q$2)/$Q$2))</f>
        <v>2942.18406695544</v>
      </c>
      <c r="K637" s="15" t="n">
        <f aca="false">J637*(1+IF(K$3&lt;=$O$2,$D637,$D637-($D637-$I$616)*MIN(K$3-$O$2,$Q$2)/$Q$2))</f>
        <v>3020.94871606335</v>
      </c>
      <c r="L637" s="15" t="n">
        <f aca="false">K637*(1+IF(L$3&lt;=$O$2,$D637,$D637-($D637-$I$616)*MIN(L$3-$O$2,$Q$2)/$Q$2))</f>
        <v>3098.32691277333</v>
      </c>
      <c r="M637" s="15" t="n">
        <f aca="false">L637*(1+IF(M$3&lt;=$O$2,$D637,$D637-($D637-$I$616)*MIN(M$3-$O$2,$Q$2)/$Q$2))</f>
        <v>3174.10249731333</v>
      </c>
      <c r="N637" s="15" t="n">
        <f aca="false">M637*(1+IF(N$3&lt;=$O$2,$D637,$D637-($D637-$I$616)*MIN(N$3-$O$2,$Q$2)/$Q$2))</f>
        <v>3248.05908550073</v>
      </c>
      <c r="O637" s="15" t="n">
        <f aca="false">SUMPRODUCT(E637:N637,1/(1+$F$616)^$E$3:$N$3)*$E$2</f>
        <v>5452.28817512315</v>
      </c>
      <c r="P637" s="15" t="n">
        <f aca="false">N637*$E$2*(1+$I$616)/($F$616-$I$616)/(1+$F$616)^$N$3</f>
        <v>6112.4027505712</v>
      </c>
      <c r="Q637" s="15" t="n">
        <f aca="false">O637+P637</f>
        <v>11564.6909256944</v>
      </c>
      <c r="R637" s="15" t="n">
        <f aca="false">Q637-$G$2+$I$2</f>
        <v>10290.0209256944</v>
      </c>
      <c r="S637" s="42" t="n">
        <f aca="false">R637/$K$2</f>
        <v>289.289314751036</v>
      </c>
      <c r="T637" s="43" t="n">
        <f aca="false">S637-$M$2</f>
        <v>0.000588296158298363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0.029083251953125</v>
      </c>
      <c r="C638" s="25" t="n">
        <f aca="false">IF(T637&gt;0,D637,C637)</f>
        <v>0.0290846824645996</v>
      </c>
      <c r="D638" s="41" t="n">
        <f aca="false">(B638+C638)/2</f>
        <v>0.0290839672088623</v>
      </c>
      <c r="E638" s="15" t="n">
        <f aca="false">$C$2*(1+IF(E$3&lt;=$O$2,$D638,$D638-($D638-$I$616)*MIN(E$3-$O$2,$Q$2)/$Q$2))</f>
        <v>2552.12823867798</v>
      </c>
      <c r="F638" s="15" t="n">
        <f aca="false">E638*(1+IF(F$3&lt;=$O$2,$D638,$D638-($D638-$I$616)*MIN(F$3-$O$2,$Q$2)/$Q$2))</f>
        <v>2626.3542526845</v>
      </c>
      <c r="G638" s="15" t="n">
        <f aca="false">F638*(1+IF(G$3&lt;=$O$2,$D638,$D638-($D638-$I$616)*MIN(G$3-$O$2,$Q$2)/$Q$2))</f>
        <v>2702.73905364843</v>
      </c>
      <c r="H638" s="15" t="n">
        <f aca="false">G638*(1+IF(H$3&lt;=$O$2,$D638,$D638-($D638-$I$616)*MIN(H$3-$O$2,$Q$2)/$Q$2))</f>
        <v>2781.34542765885</v>
      </c>
      <c r="I638" s="15" t="n">
        <f aca="false">H638*(1+IF(I$3&lt;=$O$2,$D638,$D638-($D638-$I$616)*MIN(I$3-$O$2,$Q$2)/$Q$2))</f>
        <v>2862.2379868734</v>
      </c>
      <c r="J638" s="15" t="n">
        <f aca="false">I638*(1+IF(J$3&lt;=$O$2,$D638,$D638-($D638-$I$616)*MIN(J$3-$O$2,$Q$2)/$Q$2))</f>
        <v>2942.17220449558</v>
      </c>
      <c r="K638" s="15" t="n">
        <f aca="false">J638*(1+IF(K$3&lt;=$O$2,$D638,$D638-($D638-$I$616)*MIN(K$3-$O$2,$Q$2)/$Q$2))</f>
        <v>3020.93527339251</v>
      </c>
      <c r="L638" s="15" t="n">
        <f aca="false">K638*(1+IF(L$3&lt;=$O$2,$D638,$D638-($D638-$I$616)*MIN(L$3-$O$2,$Q$2)/$Q$2))</f>
        <v>3098.31226148711</v>
      </c>
      <c r="M638" s="15" t="n">
        <f aca="false">L638*(1+IF(M$3&lt;=$O$2,$D638,$D638-($D638-$I$616)*MIN(M$3-$O$2,$Q$2)/$Q$2))</f>
        <v>3174.08704448441</v>
      </c>
      <c r="N638" s="15" t="n">
        <f aca="false">M638*(1+IF(N$3&lt;=$O$2,$D638,$D638-($D638-$I$616)*MIN(N$3-$O$2,$Q$2)/$Q$2))</f>
        <v>3248.0432726209</v>
      </c>
      <c r="O638" s="15" t="n">
        <f aca="false">SUMPRODUCT(E638:N638,1/(1+$F$616)^$E$3:$N$3)*$E$2</f>
        <v>5452.27131779922</v>
      </c>
      <c r="P638" s="15" t="n">
        <f aca="false">N638*$E$2*(1+$I$616)/($F$616-$I$616)/(1+$F$616)^$N$3</f>
        <v>6112.37299289511</v>
      </c>
      <c r="Q638" s="15" t="n">
        <f aca="false">O638+P638</f>
        <v>11564.6443106943</v>
      </c>
      <c r="R638" s="15" t="n">
        <f aca="false">Q638-$G$2+$I$2</f>
        <v>10289.9743106943</v>
      </c>
      <c r="S638" s="42" t="n">
        <f aca="false">R638/$K$2</f>
        <v>289.288004236557</v>
      </c>
      <c r="T638" s="43" t="n">
        <f aca="false">S638-$M$2</f>
        <v>-0.00072221832078867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0.0290839672088623</v>
      </c>
      <c r="C639" s="25" t="n">
        <f aca="false">IF(T638&gt;0,D638,C638)</f>
        <v>0.0290846824645996</v>
      </c>
      <c r="D639" s="41" t="n">
        <f aca="false">(B639+C639)/2</f>
        <v>0.029084324836731</v>
      </c>
      <c r="E639" s="15" t="n">
        <f aca="false">$C$2*(1+IF(E$3&lt;=$O$2,$D639,$D639-($D639-$I$616)*MIN(E$3-$O$2,$Q$2)/$Q$2))</f>
        <v>2552.12912559509</v>
      </c>
      <c r="F639" s="15" t="n">
        <f aca="false">E639*(1+IF(F$3&lt;=$O$2,$D639,$D639-($D639-$I$616)*MIN(F$3-$O$2,$Q$2)/$Q$2))</f>
        <v>2626.35607810918</v>
      </c>
      <c r="G639" s="15" t="n">
        <f aca="false">F639*(1+IF(G$3&lt;=$O$2,$D639,$D639-($D639-$I$616)*MIN(G$3-$O$2,$Q$2)/$Q$2))</f>
        <v>2702.74187142183</v>
      </c>
      <c r="H639" s="15" t="n">
        <f aca="false">G639*(1+IF(H$3&lt;=$O$2,$D639,$D639-($D639-$I$616)*MIN(H$3-$O$2,$Q$2)/$Q$2))</f>
        <v>2781.3492939601</v>
      </c>
      <c r="I639" s="15" t="n">
        <f aca="false">H639*(1+IF(I$3&lt;=$O$2,$D639,$D639-($D639-$I$616)*MIN(I$3-$O$2,$Q$2)/$Q$2))</f>
        <v>2862.24296031005</v>
      </c>
      <c r="J639" s="15" t="n">
        <f aca="false">I639*(1+IF(J$3&lt;=$O$2,$D639,$D639-($D639-$I$616)*MIN(J$3-$O$2,$Q$2)/$Q$2))</f>
        <v>2942.17813572054</v>
      </c>
      <c r="K639" s="15" t="n">
        <f aca="false">J639*(1+IF(K$3&lt;=$O$2,$D639,$D639-($D639-$I$616)*MIN(K$3-$O$2,$Q$2)/$Q$2))</f>
        <v>3020.94199472155</v>
      </c>
      <c r="L639" s="15" t="n">
        <f aca="false">K639*(1+IF(L$3&lt;=$O$2,$D639,$D639-($D639-$I$616)*MIN(L$3-$O$2,$Q$2)/$Q$2))</f>
        <v>3098.31958712271</v>
      </c>
      <c r="M639" s="15" t="n">
        <f aca="false">L639*(1+IF(M$3&lt;=$O$2,$D639,$D639-($D639-$I$616)*MIN(M$3-$O$2,$Q$2)/$Q$2))</f>
        <v>3174.09477089066</v>
      </c>
      <c r="N639" s="15" t="n">
        <f aca="false">M639*(1+IF(N$3&lt;=$O$2,$D639,$D639-($D639-$I$616)*MIN(N$3-$O$2,$Q$2)/$Q$2))</f>
        <v>3248.05117905241</v>
      </c>
      <c r="O639" s="15" t="n">
        <f aca="false">SUMPRODUCT(E639:N639,1/(1+$F$616)^$E$3:$N$3)*$E$2</f>
        <v>5452.27974645456</v>
      </c>
      <c r="P639" s="15" t="n">
        <f aca="false">N639*$E$2*(1+$I$616)/($F$616-$I$616)/(1+$F$616)^$N$3</f>
        <v>6112.38787171734</v>
      </c>
      <c r="Q639" s="15" t="n">
        <f aca="false">O639+P639</f>
        <v>11564.6676181719</v>
      </c>
      <c r="R639" s="15" t="n">
        <f aca="false">Q639-$G$2+$I$2</f>
        <v>10289.9976181719</v>
      </c>
      <c r="S639" s="42" t="n">
        <f aca="false">R639/$K$2</f>
        <v>289.288659493166</v>
      </c>
      <c r="T639" s="43" t="n">
        <f aca="false">S639-$M$2</f>
        <v>-6.69617121502597E-005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0.029084324836731</v>
      </c>
      <c r="C640" s="25" t="n">
        <f aca="false">IF(T639&gt;0,D639,C639)</f>
        <v>0.0290846824645996</v>
      </c>
      <c r="D640" s="41" t="n">
        <f aca="false">(B640+C640)/2</f>
        <v>0.0290845036506653</v>
      </c>
      <c r="E640" s="15" t="n">
        <f aca="false">$C$2*(1+IF(E$3&lt;=$O$2,$D640,$D640-($D640-$I$616)*MIN(E$3-$O$2,$Q$2)/$Q$2))</f>
        <v>2552.12956905365</v>
      </c>
      <c r="F640" s="15" t="n">
        <f aca="false">E640*(1+IF(F$3&lt;=$O$2,$D640,$D640-($D640-$I$616)*MIN(F$3-$O$2,$Q$2)/$Q$2))</f>
        <v>2626.35699082176</v>
      </c>
      <c r="G640" s="15" t="n">
        <f aca="false">F640*(1+IF(G$3&lt;=$O$2,$D640,$D640-($D640-$I$616)*MIN(G$3-$O$2,$Q$2)/$Q$2))</f>
        <v>2702.74328030927</v>
      </c>
      <c r="H640" s="15" t="n">
        <f aca="false">G640*(1+IF(H$3&lt;=$O$2,$D640,$D640-($D640-$I$616)*MIN(H$3-$O$2,$Q$2)/$Q$2))</f>
        <v>2781.35122711223</v>
      </c>
      <c r="I640" s="15" t="n">
        <f aca="false">H640*(1+IF(I$3&lt;=$O$2,$D640,$D640-($D640-$I$616)*MIN(I$3-$O$2,$Q$2)/$Q$2))</f>
        <v>2862.24544703096</v>
      </c>
      <c r="J640" s="15" t="n">
        <f aca="false">I640*(1+IF(J$3&lt;=$O$2,$D640,$D640-($D640-$I$616)*MIN(J$3-$O$2,$Q$2)/$Q$2))</f>
        <v>2942.18110133674</v>
      </c>
      <c r="K640" s="15" t="n">
        <f aca="false">J640*(1+IF(K$3&lt;=$O$2,$D640,$D640-($D640-$I$616)*MIN(K$3-$O$2,$Q$2)/$Q$2))</f>
        <v>3020.94535539085</v>
      </c>
      <c r="L640" s="15" t="n">
        <f aca="false">K640*(1+IF(L$3&lt;=$O$2,$D640,$D640-($D640-$I$616)*MIN(L$3-$O$2,$Q$2)/$Q$2))</f>
        <v>3098.32324994614</v>
      </c>
      <c r="M640" s="15" t="n">
        <f aca="false">L640*(1+IF(M$3&lt;=$O$2,$D640,$D640-($D640-$I$616)*MIN(M$3-$O$2,$Q$2)/$Q$2))</f>
        <v>3174.09863409994</v>
      </c>
      <c r="N640" s="15" t="n">
        <f aca="false">M640*(1+IF(N$3&lt;=$O$2,$D640,$D640-($D640-$I$616)*MIN(N$3-$O$2,$Q$2)/$Q$2))</f>
        <v>3248.05513227447</v>
      </c>
      <c r="O640" s="15" t="n">
        <f aca="false">SUMPRODUCT(E640:N640,1/(1+$F$616)^$E$3:$N$3)*$E$2</f>
        <v>5452.2839607872</v>
      </c>
      <c r="P640" s="15" t="n">
        <f aca="false">N640*$E$2*(1+$I$616)/($F$616-$I$616)/(1+$F$616)^$N$3</f>
        <v>6112.39531114031</v>
      </c>
      <c r="Q640" s="15" t="n">
        <f aca="false">O640+P640</f>
        <v>11564.6792719275</v>
      </c>
      <c r="R640" s="15" t="n">
        <f aca="false">Q640-$G$2+$I$2</f>
        <v>10290.0092719275</v>
      </c>
      <c r="S640" s="42" t="n">
        <f aca="false">R640/$K$2</f>
        <v>289.288987121943</v>
      </c>
      <c r="T640" s="43" t="n">
        <f aca="false">S640-$M$2</f>
        <v>0.000260667065276721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0.029084324836731</v>
      </c>
      <c r="C641" s="25" t="n">
        <f aca="false">IF(T640&gt;0,D640,C640)</f>
        <v>0.0290845036506653</v>
      </c>
      <c r="D641" s="41" t="n">
        <f aca="false">(B641+C641)/2</f>
        <v>0.0290844142436981</v>
      </c>
      <c r="E641" s="15" t="n">
        <f aca="false">$C$2*(1+IF(E$3&lt;=$O$2,$D641,$D641-($D641-$I$616)*MIN(E$3-$O$2,$Q$2)/$Q$2))</f>
        <v>2552.12934732437</v>
      </c>
      <c r="F641" s="15" t="n">
        <f aca="false">E641*(1+IF(F$3&lt;=$O$2,$D641,$D641-($D641-$I$616)*MIN(F$3-$O$2,$Q$2)/$Q$2))</f>
        <v>2626.35653446545</v>
      </c>
      <c r="G641" s="15" t="n">
        <f aca="false">F641*(1+IF(G$3&lt;=$O$2,$D641,$D641-($D641-$I$616)*MIN(G$3-$O$2,$Q$2)/$Q$2))</f>
        <v>2702.74257586549</v>
      </c>
      <c r="H641" s="15" t="n">
        <f aca="false">G641*(1+IF(H$3&lt;=$O$2,$D641,$D641-($D641-$I$616)*MIN(H$3-$O$2,$Q$2)/$Q$2))</f>
        <v>2781.35026053604</v>
      </c>
      <c r="I641" s="15" t="n">
        <f aca="false">H641*(1+IF(I$3&lt;=$O$2,$D641,$D641-($D641-$I$616)*MIN(I$3-$O$2,$Q$2)/$Q$2))</f>
        <v>2862.24420367029</v>
      </c>
      <c r="J641" s="15" t="n">
        <f aca="false">I641*(1+IF(J$3&lt;=$O$2,$D641,$D641-($D641-$I$616)*MIN(J$3-$O$2,$Q$2)/$Q$2))</f>
        <v>2942.17961852833</v>
      </c>
      <c r="K641" s="15" t="n">
        <f aca="false">J641*(1+IF(K$3&lt;=$O$2,$D641,$D641-($D641-$I$616)*MIN(K$3-$O$2,$Q$2)/$Q$2))</f>
        <v>3020.9436750558</v>
      </c>
      <c r="L641" s="15" t="n">
        <f aca="false">K641*(1+IF(L$3&lt;=$O$2,$D641,$D641-($D641-$I$616)*MIN(L$3-$O$2,$Q$2)/$Q$2))</f>
        <v>3098.32141853396</v>
      </c>
      <c r="M641" s="15" t="n">
        <f aca="false">L641*(1+IF(M$3&lt;=$O$2,$D641,$D641-($D641-$I$616)*MIN(M$3-$O$2,$Q$2)/$Q$2))</f>
        <v>3174.09670249479</v>
      </c>
      <c r="N641" s="15" t="n">
        <f aca="false">M641*(1+IF(N$3&lt;=$O$2,$D641,$D641-($D641-$I$616)*MIN(N$3-$O$2,$Q$2)/$Q$2))</f>
        <v>3248.05315566291</v>
      </c>
      <c r="O641" s="15" t="n">
        <f aca="false">SUMPRODUCT(E641:N641,1/(1+$F$616)^$E$3:$N$3)*$E$2</f>
        <v>5452.28185362047</v>
      </c>
      <c r="P641" s="15" t="n">
        <f aca="false">N641*$E$2*(1+$I$616)/($F$616-$I$616)/(1+$F$616)^$N$3</f>
        <v>6112.39159142783</v>
      </c>
      <c r="Q641" s="15" t="n">
        <f aca="false">O641+P641</f>
        <v>11564.6734450483</v>
      </c>
      <c r="R641" s="15" t="n">
        <f aca="false">Q641-$G$2+$I$2</f>
        <v>10290.0034450483</v>
      </c>
      <c r="S641" s="42" t="n">
        <f aca="false">R641/$K$2</f>
        <v>289.288823307515</v>
      </c>
      <c r="T641" s="43" t="n">
        <f aca="false">S641-$M$2</f>
        <v>9.68526370570544E-005</v>
      </c>
    </row>
    <row r="643" customFormat="false" ht="15" hidden="false" customHeight="false" outlineLevel="0" collapsed="false">
      <c r="A643" s="38" t="s">
        <v>207</v>
      </c>
      <c r="E643" s="5" t="s">
        <v>11</v>
      </c>
      <c r="F643" s="12" t="n">
        <f aca="false">Sensitivity!$B$14</f>
        <v>0.0914218415038925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8" t="s">
        <v>165</v>
      </c>
      <c r="B644" s="28" t="s">
        <v>166</v>
      </c>
      <c r="C644" s="28" t="s">
        <v>167</v>
      </c>
      <c r="D644" s="28" t="s">
        <v>168</v>
      </c>
      <c r="E644" s="28" t="s">
        <v>169</v>
      </c>
      <c r="F644" s="28" t="s">
        <v>170</v>
      </c>
      <c r="G644" s="28" t="s">
        <v>171</v>
      </c>
      <c r="H644" s="28" t="s">
        <v>172</v>
      </c>
      <c r="I644" s="28" t="s">
        <v>173</v>
      </c>
      <c r="J644" s="28" t="s">
        <v>174</v>
      </c>
      <c r="K644" s="28" t="s">
        <v>175</v>
      </c>
      <c r="L644" s="28" t="s">
        <v>176</v>
      </c>
      <c r="M644" s="28" t="s">
        <v>177</v>
      </c>
      <c r="N644" s="28" t="s">
        <v>178</v>
      </c>
      <c r="O644" s="28" t="s">
        <v>179</v>
      </c>
      <c r="P644" s="28" t="s">
        <v>180</v>
      </c>
      <c r="Q644" s="28" t="s">
        <v>181</v>
      </c>
      <c r="R644" s="28" t="s">
        <v>182</v>
      </c>
      <c r="S644" s="28" t="s">
        <v>183</v>
      </c>
      <c r="T644" s="28" t="s">
        <v>184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41" t="n">
        <f aca="false">(B645+C645)/2</f>
        <v>0.25</v>
      </c>
      <c r="E645" s="15" t="n">
        <f aca="false">$C$2*(1+IF(E$3&lt;=$O$2,$D645,$D645-($D645-$I$643)*MIN(E$3-$O$2,$Q$2)/$Q$2))</f>
        <v>3100</v>
      </c>
      <c r="F645" s="15" t="n">
        <f aca="false">E645*(1+IF(F$3&lt;=$O$2,$D645,$D645-($D645-$I$643)*MIN(F$3-$O$2,$Q$2)/$Q$2))</f>
        <v>3875</v>
      </c>
      <c r="G645" s="15" t="n">
        <f aca="false">F645*(1+IF(G$3&lt;=$O$2,$D645,$D645-($D645-$I$643)*MIN(G$3-$O$2,$Q$2)/$Q$2))</f>
        <v>4843.75</v>
      </c>
      <c r="H645" s="15" t="n">
        <f aca="false">G645*(1+IF(H$3&lt;=$O$2,$D645,$D645-($D645-$I$643)*MIN(H$3-$O$2,$Q$2)/$Q$2))</f>
        <v>6054.6875</v>
      </c>
      <c r="I645" s="15" t="n">
        <f aca="false">H645*(1+IF(I$3&lt;=$O$2,$D645,$D645-($D645-$I$643)*MIN(I$3-$O$2,$Q$2)/$Q$2))</f>
        <v>7568.359375</v>
      </c>
      <c r="J645" s="15" t="n">
        <f aca="false">I645*(1+IF(J$3&lt;=$O$2,$D645,$D645-($D645-$I$643)*MIN(J$3-$O$2,$Q$2)/$Q$2))</f>
        <v>9124.8681640625</v>
      </c>
      <c r="K645" s="15" t="n">
        <f aca="false">J645*(1+IF(K$3&lt;=$O$2,$D645,$D645-($D645-$I$643)*MIN(K$3-$O$2,$Q$2)/$Q$2))</f>
        <v>10596.8918962891</v>
      </c>
      <c r="L645" s="15" t="n">
        <f aca="false">K645*(1+IF(L$3&lt;=$O$2,$D645,$D645-($D645-$I$643)*MIN(L$3-$O$2,$Q$2)/$Q$2))</f>
        <v>11836.516310317</v>
      </c>
      <c r="M645" s="15" t="n">
        <f aca="false">L645*(1+IF(M$3&lt;=$O$2,$D645,$D645-($D645-$I$643)*MIN(M$3-$O$2,$Q$2)/$Q$2))</f>
        <v>12696.3208550984</v>
      </c>
      <c r="N645" s="15" t="n">
        <f aca="false">M645*(1+IF(N$3&lt;=$O$2,$D645,$D645-($D645-$I$643)*MIN(N$3-$O$2,$Q$2)/$Q$2))</f>
        <v>13055.6267352977</v>
      </c>
      <c r="O645" s="15" t="n">
        <f aca="false">SUMPRODUCT(E645:N645,1/(1+$F$643)^$E$3:$N$3)*$E$2</f>
        <v>14186.6814738078</v>
      </c>
      <c r="P645" s="15" t="n">
        <f aca="false">N645*$E$2*(1+$I$643)/($F$643-$I$643)/(1+$F$643)^$N$3</f>
        <v>26644.6087439107</v>
      </c>
      <c r="Q645" s="15" t="n">
        <f aca="false">O645+P645</f>
        <v>40831.2902177185</v>
      </c>
      <c r="R645" s="15" t="n">
        <f aca="false">Q645-$G$2+$I$2</f>
        <v>39556.6202177186</v>
      </c>
      <c r="S645" s="42" t="n">
        <f aca="false">R645/$K$2</f>
        <v>1112.07816187007</v>
      </c>
      <c r="T645" s="43" t="n">
        <f aca="false">S645-$M$2</f>
        <v>822.789435415197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41" t="n">
        <f aca="false">(B646+C646)/2</f>
        <v>-0.125</v>
      </c>
      <c r="E646" s="15" t="n">
        <f aca="false">$C$2*(1+IF(E$3&lt;=$O$2,$D646,$D646-($D646-$I$643)*MIN(E$3-$O$2,$Q$2)/$Q$2))</f>
        <v>2170</v>
      </c>
      <c r="F646" s="15" t="n">
        <f aca="false">E646*(1+IF(F$3&lt;=$O$2,$D646,$D646-($D646-$I$643)*MIN(F$3-$O$2,$Q$2)/$Q$2))</f>
        <v>1898.75</v>
      </c>
      <c r="G646" s="15" t="n">
        <f aca="false">F646*(1+IF(G$3&lt;=$O$2,$D646,$D646-($D646-$I$643)*MIN(G$3-$O$2,$Q$2)/$Q$2))</f>
        <v>1661.40625</v>
      </c>
      <c r="H646" s="15" t="n">
        <f aca="false">G646*(1+IF(H$3&lt;=$O$2,$D646,$D646-($D646-$I$643)*MIN(H$3-$O$2,$Q$2)/$Q$2))</f>
        <v>1453.73046875</v>
      </c>
      <c r="I646" s="15" t="n">
        <f aca="false">H646*(1+IF(I$3&lt;=$O$2,$D646,$D646-($D646-$I$643)*MIN(I$3-$O$2,$Q$2)/$Q$2))</f>
        <v>1272.01416015625</v>
      </c>
      <c r="J646" s="15" t="n">
        <f aca="false">I646*(1+IF(J$3&lt;=$O$2,$D646,$D646-($D646-$I$643)*MIN(J$3-$O$2,$Q$2)/$Q$2))</f>
        <v>1152.01234428711</v>
      </c>
      <c r="K646" s="15" t="n">
        <f aca="false">J646*(1+IF(K$3&lt;=$O$2,$D646,$D646-($D646-$I$643)*MIN(K$3-$O$2,$Q$2)/$Q$2))</f>
        <v>1078.65219820291</v>
      </c>
      <c r="L646" s="15" t="n">
        <f aca="false">K646*(1+IF(L$3&lt;=$O$2,$D646,$D646-($D646-$I$643)*MIN(L$3-$O$2,$Q$2)/$Q$2))</f>
        <v>1043.03510261825</v>
      </c>
      <c r="M646" s="15" t="n">
        <f aca="false">L646*(1+IF(M$3&lt;=$O$2,$D646,$D646-($D646-$I$643)*MIN(M$3-$O$2,$Q$2)/$Q$2))</f>
        <v>1040.57353977607</v>
      </c>
      <c r="N646" s="15" t="n">
        <f aca="false">M646*(1+IF(N$3&lt;=$O$2,$D646,$D646-($D646-$I$643)*MIN(N$3-$O$2,$Q$2)/$Q$2))</f>
        <v>1070.02177095173</v>
      </c>
      <c r="O646" s="15" t="n">
        <f aca="false">SUMPRODUCT(E646:N646,1/(1+$F$643)^$E$3:$N$3)*$E$2</f>
        <v>2827.37517571278</v>
      </c>
      <c r="P646" s="15" t="n">
        <f aca="false">N646*$E$2*(1+$I$643)/($F$643-$I$643)/(1+$F$643)^$N$3</f>
        <v>2183.75662942276</v>
      </c>
      <c r="Q646" s="15" t="n">
        <f aca="false">O646+P646</f>
        <v>5011.13180513554</v>
      </c>
      <c r="R646" s="15" t="n">
        <f aca="false">Q646-$G$2+$I$2</f>
        <v>3736.46180513554</v>
      </c>
      <c r="S646" s="42" t="n">
        <f aca="false">R646/$K$2</f>
        <v>105.045313610783</v>
      </c>
      <c r="T646" s="43" t="n">
        <f aca="false">S646-$M$2</f>
        <v>-184.243412844095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41" t="n">
        <f aca="false">(B647+C647)/2</f>
        <v>0.0625</v>
      </c>
      <c r="E647" s="15" t="n">
        <f aca="false">$C$2*(1+IF(E$3&lt;=$O$2,$D647,$D647-($D647-$I$643)*MIN(E$3-$O$2,$Q$2)/$Q$2))</f>
        <v>2635</v>
      </c>
      <c r="F647" s="15" t="n">
        <f aca="false">E647*(1+IF(F$3&lt;=$O$2,$D647,$D647-($D647-$I$643)*MIN(F$3-$O$2,$Q$2)/$Q$2))</f>
        <v>2799.6875</v>
      </c>
      <c r="G647" s="15" t="n">
        <f aca="false">F647*(1+IF(G$3&lt;=$O$2,$D647,$D647-($D647-$I$643)*MIN(G$3-$O$2,$Q$2)/$Q$2))</f>
        <v>2974.66796875</v>
      </c>
      <c r="H647" s="15" t="n">
        <f aca="false">G647*(1+IF(H$3&lt;=$O$2,$D647,$D647-($D647-$I$643)*MIN(H$3-$O$2,$Q$2)/$Q$2))</f>
        <v>3160.58471679688</v>
      </c>
      <c r="I647" s="15" t="n">
        <f aca="false">H647*(1+IF(I$3&lt;=$O$2,$D647,$D647-($D647-$I$643)*MIN(I$3-$O$2,$Q$2)/$Q$2))</f>
        <v>3358.12126159668</v>
      </c>
      <c r="J647" s="15" t="n">
        <f aca="false">I647*(1+IF(J$3&lt;=$O$2,$D647,$D647-($D647-$I$643)*MIN(J$3-$O$2,$Q$2)/$Q$2))</f>
        <v>3545.03429101715</v>
      </c>
      <c r="K647" s="15" t="n">
        <f aca="false">J647*(1+IF(K$3&lt;=$O$2,$D647,$D647-($D647-$I$643)*MIN(K$3-$O$2,$Q$2)/$Q$2))</f>
        <v>3718.10286510461</v>
      </c>
      <c r="L647" s="15" t="n">
        <f aca="false">K647*(1+IF(L$3&lt;=$O$2,$D647,$D647-($D647-$I$643)*MIN(L$3-$O$2,$Q$2)/$Q$2))</f>
        <v>3874.1888233817</v>
      </c>
      <c r="M647" s="15" t="n">
        <f aca="false">L647*(1+IF(M$3&lt;=$O$2,$D647,$D647-($D647-$I$643)*MIN(M$3-$O$2,$Q$2)/$Q$2))</f>
        <v>4010.32781863533</v>
      </c>
      <c r="N647" s="15" t="n">
        <f aca="false">M647*(1+IF(N$3&lt;=$O$2,$D647,$D647-($D647-$I$643)*MIN(N$3-$O$2,$Q$2)/$Q$2))</f>
        <v>4123.82009590271</v>
      </c>
      <c r="O647" s="15" t="n">
        <f aca="false">SUMPRODUCT(E647:N647,1/(1+$F$643)^$E$3:$N$3)*$E$2</f>
        <v>6318.72103512739</v>
      </c>
      <c r="P647" s="15" t="n">
        <f aca="false">N647*$E$2*(1+$I$643)/($F$643-$I$643)/(1+$F$643)^$N$3</f>
        <v>8416.10864138259</v>
      </c>
      <c r="Q647" s="15" t="n">
        <f aca="false">O647+P647</f>
        <v>14734.82967651</v>
      </c>
      <c r="R647" s="15" t="n">
        <f aca="false">Q647-$G$2+$I$2</f>
        <v>13460.15967651</v>
      </c>
      <c r="S647" s="42" t="n">
        <f aca="false">R647/$K$2</f>
        <v>378.413260514759</v>
      </c>
      <c r="T647" s="43" t="n">
        <f aca="false">S647-$M$2</f>
        <v>89.1245340598814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-0.125</v>
      </c>
      <c r="C648" s="25" t="n">
        <f aca="false">IF(T647&gt;0,D647,C647)</f>
        <v>0.0625</v>
      </c>
      <c r="D648" s="41" t="n">
        <f aca="false">(B648+C648)/2</f>
        <v>-0.03125</v>
      </c>
      <c r="E648" s="15" t="n">
        <f aca="false">$C$2*(1+IF(E$3&lt;=$O$2,$D648,$D648-($D648-$I$643)*MIN(E$3-$O$2,$Q$2)/$Q$2))</f>
        <v>2402.5</v>
      </c>
      <c r="F648" s="15" t="n">
        <f aca="false">E648*(1+IF(F$3&lt;=$O$2,$D648,$D648-($D648-$I$643)*MIN(F$3-$O$2,$Q$2)/$Q$2))</f>
        <v>2327.421875</v>
      </c>
      <c r="G648" s="15" t="n">
        <f aca="false">F648*(1+IF(G$3&lt;=$O$2,$D648,$D648-($D648-$I$643)*MIN(G$3-$O$2,$Q$2)/$Q$2))</f>
        <v>2254.68994140625</v>
      </c>
      <c r="H648" s="15" t="n">
        <f aca="false">G648*(1+IF(H$3&lt;=$O$2,$D648,$D648-($D648-$I$643)*MIN(H$3-$O$2,$Q$2)/$Q$2))</f>
        <v>2184.2308807373</v>
      </c>
      <c r="I648" s="15" t="n">
        <f aca="false">H648*(1+IF(I$3&lt;=$O$2,$D648,$D648-($D648-$I$643)*MIN(I$3-$O$2,$Q$2)/$Q$2))</f>
        <v>2115.97366571426</v>
      </c>
      <c r="J648" s="15" t="n">
        <f aca="false">I648*(1+IF(J$3&lt;=$O$2,$D648,$D648-($D648-$I$643)*MIN(J$3-$O$2,$Q$2)/$Q$2))</f>
        <v>2075.05073501935</v>
      </c>
      <c r="K648" s="15" t="n">
        <f aca="false">J648*(1+IF(K$3&lt;=$O$2,$D648,$D648-($D648-$I$643)*MIN(K$3-$O$2,$Q$2)/$Q$2))</f>
        <v>2059.63310805816</v>
      </c>
      <c r="L648" s="15" t="n">
        <f aca="false">K648*(1+IF(L$3&lt;=$O$2,$D648,$D648-($D648-$I$643)*MIN(L$3-$O$2,$Q$2)/$Q$2))</f>
        <v>2068.86026438226</v>
      </c>
      <c r="M648" s="15" t="n">
        <f aca="false">L648*(1+IF(M$3&lt;=$O$2,$D648,$D648-($D648-$I$643)*MIN(M$3-$O$2,$Q$2)/$Q$2))</f>
        <v>2102.76888411548</v>
      </c>
      <c r="N648" s="15" t="n">
        <f aca="false">M648*(1+IF(N$3&lt;=$O$2,$D648,$D648-($D648-$I$643)*MIN(N$3-$O$2,$Q$2)/$Q$2))</f>
        <v>2162.27724353595</v>
      </c>
      <c r="O648" s="15" t="n">
        <f aca="false">SUMPRODUCT(E648:N648,1/(1+$F$643)^$E$3:$N$3)*$E$2</f>
        <v>4214.06009212223</v>
      </c>
      <c r="P648" s="15" t="n">
        <f aca="false">N648*$E$2*(1+$I$643)/($F$643-$I$643)/(1+$F$643)^$N$3</f>
        <v>4412.88896488688</v>
      </c>
      <c r="Q648" s="15" t="n">
        <f aca="false">O648+P648</f>
        <v>8626.94905700911</v>
      </c>
      <c r="R648" s="15" t="n">
        <f aca="false">Q648-$G$2+$I$2</f>
        <v>7352.27905700911</v>
      </c>
      <c r="S648" s="42" t="n">
        <f aca="false">R648/$K$2</f>
        <v>206.698877059576</v>
      </c>
      <c r="T648" s="43" t="n">
        <f aca="false">S648-$M$2</f>
        <v>-82.5898493953019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-0.03125</v>
      </c>
      <c r="C649" s="25" t="n">
        <f aca="false">IF(T648&gt;0,D648,C648)</f>
        <v>0.0625</v>
      </c>
      <c r="D649" s="41" t="n">
        <f aca="false">(B649+C649)/2</f>
        <v>0.015625</v>
      </c>
      <c r="E649" s="15" t="n">
        <f aca="false">$C$2*(1+IF(E$3&lt;=$O$2,$D649,$D649-($D649-$I$643)*MIN(E$3-$O$2,$Q$2)/$Q$2))</f>
        <v>2518.75</v>
      </c>
      <c r="F649" s="15" t="n">
        <f aca="false">E649*(1+IF(F$3&lt;=$O$2,$D649,$D649-($D649-$I$643)*MIN(F$3-$O$2,$Q$2)/$Q$2))</f>
        <v>2558.10546875</v>
      </c>
      <c r="G649" s="15" t="n">
        <f aca="false">F649*(1+IF(G$3&lt;=$O$2,$D649,$D649-($D649-$I$643)*MIN(G$3-$O$2,$Q$2)/$Q$2))</f>
        <v>2598.07586669922</v>
      </c>
      <c r="H649" s="15" t="n">
        <f aca="false">G649*(1+IF(H$3&lt;=$O$2,$D649,$D649-($D649-$I$643)*MIN(H$3-$O$2,$Q$2)/$Q$2))</f>
        <v>2638.67080211639</v>
      </c>
      <c r="I649" s="15" t="n">
        <f aca="false">H649*(1+IF(I$3&lt;=$O$2,$D649,$D649-($D649-$I$643)*MIN(I$3-$O$2,$Q$2)/$Q$2))</f>
        <v>2679.90003339946</v>
      </c>
      <c r="J649" s="15" t="n">
        <f aca="false">I649*(1+IF(J$3&lt;=$O$2,$D649,$D649-($D649-$I$643)*MIN(J$3-$O$2,$Q$2)/$Q$2))</f>
        <v>2728.567018006</v>
      </c>
      <c r="K649" s="15" t="n">
        <f aca="false">J649*(1+IF(K$3&lt;=$O$2,$D649,$D649-($D649-$I$643)*MIN(K$3-$O$2,$Q$2)/$Q$2))</f>
        <v>2785.03471244363</v>
      </c>
      <c r="L649" s="15" t="n">
        <f aca="false">K649*(1+IF(L$3&lt;=$O$2,$D649,$D649-($D649-$I$643)*MIN(L$3-$O$2,$Q$2)/$Q$2))</f>
        <v>2849.7310688137</v>
      </c>
      <c r="M649" s="15" t="n">
        <f aca="false">L649*(1+IF(M$3&lt;=$O$2,$D649,$D649-($D649-$I$643)*MIN(M$3-$O$2,$Q$2)/$Q$2))</f>
        <v>2923.15438980168</v>
      </c>
      <c r="N649" s="15" t="n">
        <f aca="false">M649*(1+IF(N$3&lt;=$O$2,$D649,$D649-($D649-$I$643)*MIN(N$3-$O$2,$Q$2)/$Q$2))</f>
        <v>3005.87965903307</v>
      </c>
      <c r="O649" s="15" t="n">
        <f aca="false">SUMPRODUCT(E649:N649,1/(1+$F$643)^$E$3:$N$3)*$E$2</f>
        <v>5157.95423595606</v>
      </c>
      <c r="P649" s="15" t="n">
        <f aca="false">N649*$E$2*(1+$I$643)/($F$643-$I$643)/(1+$F$643)^$N$3</f>
        <v>6134.55708178914</v>
      </c>
      <c r="Q649" s="15" t="n">
        <f aca="false">O649+P649</f>
        <v>11292.5113177452</v>
      </c>
      <c r="R649" s="15" t="n">
        <f aca="false">Q649-$G$2+$I$2</f>
        <v>10017.8413177452</v>
      </c>
      <c r="S649" s="42" t="n">
        <f aca="false">R649/$K$2</f>
        <v>281.637371879258</v>
      </c>
      <c r="T649" s="43" t="n">
        <f aca="false">S649-$M$2</f>
        <v>-7.65135457561996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0.015625</v>
      </c>
      <c r="C650" s="25" t="n">
        <f aca="false">IF(T649&gt;0,D649,C649)</f>
        <v>0.0625</v>
      </c>
      <c r="D650" s="41" t="n">
        <f aca="false">(B650+C650)/2</f>
        <v>0.0390625</v>
      </c>
      <c r="E650" s="15" t="n">
        <f aca="false">$C$2*(1+IF(E$3&lt;=$O$2,$D650,$D650-($D650-$I$643)*MIN(E$3-$O$2,$Q$2)/$Q$2))</f>
        <v>2576.875</v>
      </c>
      <c r="F650" s="15" t="n">
        <f aca="false">E650*(1+IF(F$3&lt;=$O$2,$D650,$D650-($D650-$I$643)*MIN(F$3-$O$2,$Q$2)/$Q$2))</f>
        <v>2677.5341796875</v>
      </c>
      <c r="G650" s="15" t="n">
        <f aca="false">F650*(1+IF(G$3&lt;=$O$2,$D650,$D650-($D650-$I$643)*MIN(G$3-$O$2,$Q$2)/$Q$2))</f>
        <v>2782.12535858154</v>
      </c>
      <c r="H650" s="15" t="n">
        <f aca="false">G650*(1+IF(H$3&lt;=$O$2,$D650,$D650-($D650-$I$643)*MIN(H$3-$O$2,$Q$2)/$Q$2))</f>
        <v>2890.80213040113</v>
      </c>
      <c r="I650" s="15" t="n">
        <f aca="false">H650*(1+IF(I$3&lt;=$O$2,$D650,$D650-($D650-$I$643)*MIN(I$3-$O$2,$Q$2)/$Q$2))</f>
        <v>3003.72408861993</v>
      </c>
      <c r="J650" s="15" t="n">
        <f aca="false">I650*(1+IF(J$3&lt;=$O$2,$D650,$D650-($D650-$I$643)*MIN(J$3-$O$2,$Q$2)/$Q$2))</f>
        <v>3114.59154473089</v>
      </c>
      <c r="K650" s="15" t="n">
        <f aca="false">J650*(1+IF(K$3&lt;=$O$2,$D650,$D650-($D650-$I$643)*MIN(K$3-$O$2,$Q$2)/$Q$2))</f>
        <v>3222.84696034687</v>
      </c>
      <c r="L650" s="15" t="n">
        <f aca="false">K650*(1+IF(L$3&lt;=$O$2,$D650,$D650-($D650-$I$643)*MIN(L$3-$O$2,$Q$2)/$Q$2))</f>
        <v>3327.92788548898</v>
      </c>
      <c r="M650" s="15" t="n">
        <f aca="false">L650*(1+IF(M$3&lt;=$O$2,$D650,$D650-($D650-$I$643)*MIN(M$3-$O$2,$Q$2)/$Q$2))</f>
        <v>3429.27160942184</v>
      </c>
      <c r="N650" s="15" t="n">
        <f aca="false">M650*(1+IF(N$3&lt;=$O$2,$D650,$D650-($D650-$I$643)*MIN(N$3-$O$2,$Q$2)/$Q$2))</f>
        <v>3526.31999596848</v>
      </c>
      <c r="O650" s="15" t="n">
        <f aca="false">SUMPRODUCT(E650:N650,1/(1+$F$643)^$E$3:$N$3)*$E$2</f>
        <v>5708.52321834566</v>
      </c>
      <c r="P650" s="15" t="n">
        <f aca="false">N650*$E$2*(1+$I$643)/($F$643-$I$643)/(1+$F$643)^$N$3</f>
        <v>7196.69905577051</v>
      </c>
      <c r="Q650" s="15" t="n">
        <f aca="false">O650+P650</f>
        <v>12905.2222741162</v>
      </c>
      <c r="R650" s="15" t="n">
        <f aca="false">Q650-$G$2+$I$2</f>
        <v>11630.5522741162</v>
      </c>
      <c r="S650" s="42" t="n">
        <f aca="false">R650/$K$2</f>
        <v>326.976448527303</v>
      </c>
      <c r="T650" s="43" t="n">
        <f aca="false">S650-$M$2</f>
        <v>37.6877220724252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0.015625</v>
      </c>
      <c r="C651" s="25" t="n">
        <f aca="false">IF(T650&gt;0,D650,C650)</f>
        <v>0.0390625</v>
      </c>
      <c r="D651" s="41" t="n">
        <f aca="false">(B651+C651)/2</f>
        <v>0.02734375</v>
      </c>
      <c r="E651" s="15" t="n">
        <f aca="false">$C$2*(1+IF(E$3&lt;=$O$2,$D651,$D651-($D651-$I$643)*MIN(E$3-$O$2,$Q$2)/$Q$2))</f>
        <v>2547.8125</v>
      </c>
      <c r="F651" s="15" t="n">
        <f aca="false">E651*(1+IF(F$3&lt;=$O$2,$D651,$D651-($D651-$I$643)*MIN(F$3-$O$2,$Q$2)/$Q$2))</f>
        <v>2617.47924804688</v>
      </c>
      <c r="G651" s="15" t="n">
        <f aca="false">F651*(1+IF(G$3&lt;=$O$2,$D651,$D651-($D651-$I$643)*MIN(G$3-$O$2,$Q$2)/$Q$2))</f>
        <v>2689.05094623566</v>
      </c>
      <c r="H651" s="15" t="n">
        <f aca="false">G651*(1+IF(H$3&lt;=$O$2,$D651,$D651-($D651-$I$643)*MIN(H$3-$O$2,$Q$2)/$Q$2))</f>
        <v>2762.57968304679</v>
      </c>
      <c r="I651" s="15" t="n">
        <f aca="false">H651*(1+IF(I$3&lt;=$O$2,$D651,$D651-($D651-$I$643)*MIN(I$3-$O$2,$Q$2)/$Q$2))</f>
        <v>2838.1189712551</v>
      </c>
      <c r="J651" s="15" t="n">
        <f aca="false">I651*(1+IF(J$3&lt;=$O$2,$D651,$D651-($D651-$I$643)*MIN(J$3-$O$2,$Q$2)/$Q$2))</f>
        <v>2916.26657712861</v>
      </c>
      <c r="K651" s="15" t="n">
        <f aca="false">J651*(1+IF(K$3&lt;=$O$2,$D651,$D651-($D651-$I$643)*MIN(K$3-$O$2,$Q$2)/$Q$2))</f>
        <v>2997.12371331272</v>
      </c>
      <c r="L651" s="15" t="n">
        <f aca="false">K651*(1+IF(L$3&lt;=$O$2,$D651,$D651-($D651-$I$643)*MIN(L$3-$O$2,$Q$2)/$Q$2))</f>
        <v>3080.79591457913</v>
      </c>
      <c r="M651" s="15" t="n">
        <f aca="false">L651*(1+IF(M$3&lt;=$O$2,$D651,$D651-($D651-$I$643)*MIN(M$3-$O$2,$Q$2)/$Q$2))</f>
        <v>3167.39323674305</v>
      </c>
      <c r="N651" s="15" t="n">
        <f aca="false">M651*(1+IF(N$3&lt;=$O$2,$D651,$D651-($D651-$I$643)*MIN(N$3-$O$2,$Q$2)/$Q$2))</f>
        <v>3257.03046534288</v>
      </c>
      <c r="O651" s="15" t="n">
        <f aca="false">SUMPRODUCT(E651:N651,1/(1+$F$643)^$E$3:$N$3)*$E$2</f>
        <v>5426.14132530723</v>
      </c>
      <c r="P651" s="15" t="n">
        <f aca="false">N651*$E$2*(1+$I$643)/($F$643-$I$643)/(1+$F$643)^$N$3</f>
        <v>6647.11883815051</v>
      </c>
      <c r="Q651" s="15" t="n">
        <f aca="false">O651+P651</f>
        <v>12073.2601634577</v>
      </c>
      <c r="R651" s="15" t="n">
        <f aca="false">Q651-$G$2+$I$2</f>
        <v>10798.5901634577</v>
      </c>
      <c r="S651" s="42" t="n">
        <f aca="false">R651/$K$2</f>
        <v>303.587016121949</v>
      </c>
      <c r="T651" s="43" t="n">
        <f aca="false">S651-$M$2</f>
        <v>14.2982896670716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0.015625</v>
      </c>
      <c r="C652" s="25" t="n">
        <f aca="false">IF(T651&gt;0,D651,C651)</f>
        <v>0.02734375</v>
      </c>
      <c r="D652" s="41" t="n">
        <f aca="false">(B652+C652)/2</f>
        <v>0.021484375</v>
      </c>
      <c r="E652" s="15" t="n">
        <f aca="false">$C$2*(1+IF(E$3&lt;=$O$2,$D652,$D652-($D652-$I$643)*MIN(E$3-$O$2,$Q$2)/$Q$2))</f>
        <v>2533.28125</v>
      </c>
      <c r="F652" s="15" t="n">
        <f aca="false">E652*(1+IF(F$3&lt;=$O$2,$D652,$D652-($D652-$I$643)*MIN(F$3-$O$2,$Q$2)/$Q$2))</f>
        <v>2587.70721435547</v>
      </c>
      <c r="G652" s="15" t="n">
        <f aca="false">F652*(1+IF(G$3&lt;=$O$2,$D652,$D652-($D652-$I$643)*MIN(G$3-$O$2,$Q$2)/$Q$2))</f>
        <v>2643.30248653889</v>
      </c>
      <c r="H652" s="15" t="n">
        <f aca="false">G652*(1+IF(H$3&lt;=$O$2,$D652,$D652-($D652-$I$643)*MIN(H$3-$O$2,$Q$2)/$Q$2))</f>
        <v>2700.09218839812</v>
      </c>
      <c r="I652" s="15" t="n">
        <f aca="false">H652*(1+IF(I$3&lt;=$O$2,$D652,$D652-($D652-$I$643)*MIN(I$3-$O$2,$Q$2)/$Q$2))</f>
        <v>2758.10198150824</v>
      </c>
      <c r="J652" s="15" t="n">
        <f aca="false">I652*(1+IF(J$3&lt;=$O$2,$D652,$D652-($D652-$I$643)*MIN(J$3-$O$2,$Q$2)/$Q$2))</f>
        <v>2821.11771653075</v>
      </c>
      <c r="K652" s="15" t="n">
        <f aca="false">J652*(1+IF(K$3&lt;=$O$2,$D652,$D652-($D652-$I$643)*MIN(K$3-$O$2,$Q$2)/$Q$2))</f>
        <v>2889.41873964653</v>
      </c>
      <c r="L652" s="15" t="n">
        <f aca="false">K652*(1+IF(L$3&lt;=$O$2,$D652,$D652-($D652-$I$643)*MIN(L$3-$O$2,$Q$2)/$Q$2))</f>
        <v>2963.31201213956</v>
      </c>
      <c r="M652" s="15" t="n">
        <f aca="false">L652*(1+IF(M$3&lt;=$O$2,$D652,$D652-($D652-$I$643)*MIN(M$3-$O$2,$Q$2)/$Q$2))</f>
        <v>3043.13437739657</v>
      </c>
      <c r="N652" s="15" t="n">
        <f aca="false">M652*(1+IF(N$3&lt;=$O$2,$D652,$D652-($D652-$I$643)*MIN(N$3-$O$2,$Q$2)/$Q$2))</f>
        <v>3129.25508027689</v>
      </c>
      <c r="O652" s="15" t="n">
        <f aca="false">SUMPRODUCT(E652:N652,1/(1+$F$643)^$E$3:$N$3)*$E$2</f>
        <v>5290.3163275335</v>
      </c>
      <c r="P652" s="15" t="n">
        <f aca="false">N652*$E$2*(1+$I$643)/($F$643-$I$643)/(1+$F$643)^$N$3</f>
        <v>6386.34812133909</v>
      </c>
      <c r="Q652" s="15" t="n">
        <f aca="false">O652+P652</f>
        <v>11676.6644488726</v>
      </c>
      <c r="R652" s="15" t="n">
        <f aca="false">Q652-$G$2+$I$2</f>
        <v>10401.9944488726</v>
      </c>
      <c r="S652" s="42" t="n">
        <f aca="false">R652/$K$2</f>
        <v>292.437291224981</v>
      </c>
      <c r="T652" s="43" t="n">
        <f aca="false">S652-$M$2</f>
        <v>3.14856477010375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0.015625</v>
      </c>
      <c r="C653" s="25" t="n">
        <f aca="false">IF(T652&gt;0,D652,C652)</f>
        <v>0.021484375</v>
      </c>
      <c r="D653" s="41" t="n">
        <f aca="false">(B653+C653)/2</f>
        <v>0.0185546875</v>
      </c>
      <c r="E653" s="15" t="n">
        <f aca="false">$C$2*(1+IF(E$3&lt;=$O$2,$D653,$D653-($D653-$I$643)*MIN(E$3-$O$2,$Q$2)/$Q$2))</f>
        <v>2526.015625</v>
      </c>
      <c r="F653" s="15" t="n">
        <f aca="false">E653*(1+IF(F$3&lt;=$O$2,$D653,$D653-($D653-$I$643)*MIN(F$3-$O$2,$Q$2)/$Q$2))</f>
        <v>2572.88505554199</v>
      </c>
      <c r="G653" s="15" t="n">
        <f aca="false">F653*(1+IF(G$3&lt;=$O$2,$D653,$D653-($D653-$I$643)*MIN(G$3-$O$2,$Q$2)/$Q$2))</f>
        <v>2620.62413372099</v>
      </c>
      <c r="H653" s="15" t="n">
        <f aca="false">G653*(1+IF(H$3&lt;=$O$2,$D653,$D653-($D653-$I$643)*MIN(H$3-$O$2,$Q$2)/$Q$2))</f>
        <v>2669.24899557715</v>
      </c>
      <c r="I653" s="15" t="n">
        <f aca="false">H653*(1+IF(I$3&lt;=$O$2,$D653,$D653-($D653-$I$643)*MIN(I$3-$O$2,$Q$2)/$Q$2))</f>
        <v>2718.77607654977</v>
      </c>
      <c r="J653" s="15" t="n">
        <f aca="false">I653*(1+IF(J$3&lt;=$O$2,$D653,$D653-($D653-$I$643)*MIN(J$3-$O$2,$Q$2)/$Q$2))</f>
        <v>2774.52118152933</v>
      </c>
      <c r="K653" s="15" t="n">
        <f aca="false">J653*(1+IF(K$3&lt;=$O$2,$D653,$D653-($D653-$I$643)*MIN(K$3-$O$2,$Q$2)/$Q$2))</f>
        <v>2836.81698539548</v>
      </c>
      <c r="L653" s="15" t="n">
        <f aca="false">K653*(1+IF(L$3&lt;=$O$2,$D653,$D653-($D653-$I$643)*MIN(L$3-$O$2,$Q$2)/$Q$2))</f>
        <v>2906.04063887098</v>
      </c>
      <c r="M653" s="15" t="n">
        <f aca="false">L653*(1+IF(M$3&lt;=$O$2,$D653,$D653-($D653-$I$643)*MIN(M$3-$O$2,$Q$2)/$Q$2))</f>
        <v>2982.61753411833</v>
      </c>
      <c r="N653" s="15" t="n">
        <f aca="false">M653*(1+IF(N$3&lt;=$O$2,$D653,$D653-($D653-$I$643)*MIN(N$3-$O$2,$Q$2)/$Q$2))</f>
        <v>3067.02561033388</v>
      </c>
      <c r="O653" s="15" t="n">
        <f aca="false">SUMPRODUCT(E653:N653,1/(1+$F$643)^$E$3:$N$3)*$E$2</f>
        <v>5223.70768153987</v>
      </c>
      <c r="P653" s="15" t="n">
        <f aca="false">N653*$E$2*(1+$I$643)/($F$643-$I$643)/(1+$F$643)^$N$3</f>
        <v>6259.34695068754</v>
      </c>
      <c r="Q653" s="15" t="n">
        <f aca="false">O653+P653</f>
        <v>11483.0546322274</v>
      </c>
      <c r="R653" s="15" t="n">
        <f aca="false">Q653-$G$2+$I$2</f>
        <v>10208.3846322274</v>
      </c>
      <c r="S653" s="42" t="n">
        <f aca="false">R653/$K$2</f>
        <v>286.99422637693</v>
      </c>
      <c r="T653" s="43" t="n">
        <f aca="false">S653-$M$2</f>
        <v>-2.29450007794742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0.0185546875</v>
      </c>
      <c r="C654" s="25" t="n">
        <f aca="false">IF(T653&gt;0,D653,C653)</f>
        <v>0.021484375</v>
      </c>
      <c r="D654" s="41" t="n">
        <f aca="false">(B654+C654)/2</f>
        <v>0.02001953125</v>
      </c>
      <c r="E654" s="15" t="n">
        <f aca="false">$C$2*(1+IF(E$3&lt;=$O$2,$D654,$D654-($D654-$I$643)*MIN(E$3-$O$2,$Q$2)/$Q$2))</f>
        <v>2529.6484375</v>
      </c>
      <c r="F654" s="15" t="n">
        <f aca="false">E654*(1+IF(F$3&lt;=$O$2,$D654,$D654-($D654-$I$643)*MIN(F$3-$O$2,$Q$2)/$Q$2))</f>
        <v>2580.29081344605</v>
      </c>
      <c r="G654" s="15" t="n">
        <f aca="false">F654*(1+IF(G$3&lt;=$O$2,$D654,$D654-($D654-$I$643)*MIN(G$3-$O$2,$Q$2)/$Q$2))</f>
        <v>2631.94702601992</v>
      </c>
      <c r="H654" s="15" t="n">
        <f aca="false">G654*(1+IF(H$3&lt;=$O$2,$D654,$D654-($D654-$I$643)*MIN(H$3-$O$2,$Q$2)/$Q$2))</f>
        <v>2684.63737175567</v>
      </c>
      <c r="I654" s="15" t="n">
        <f aca="false">H654*(1+IF(I$3&lt;=$O$2,$D654,$D654-($D654-$I$643)*MIN(I$3-$O$2,$Q$2)/$Q$2))</f>
        <v>2738.38255351445</v>
      </c>
      <c r="J654" s="15" t="n">
        <f aca="false">I654*(1+IF(J$3&lt;=$O$2,$D654,$D654-($D654-$I$643)*MIN(J$3-$O$2,$Q$2)/$Q$2))</f>
        <v>2797.73870685097</v>
      </c>
      <c r="K654" s="15" t="n">
        <f aca="false">J654*(1+IF(K$3&lt;=$O$2,$D654,$D654-($D654-$I$643)*MIN(K$3-$O$2,$Q$2)/$Q$2))</f>
        <v>2863.0147594952</v>
      </c>
      <c r="L654" s="15" t="n">
        <f aca="false">K654*(1+IF(L$3&lt;=$O$2,$D654,$D654-($D654-$I$643)*MIN(L$3-$O$2,$Q$2)/$Q$2))</f>
        <v>2934.5552354902</v>
      </c>
      <c r="M654" s="15" t="n">
        <f aca="false">L654*(1+IF(M$3&lt;=$O$2,$D654,$D654-($D654-$I$643)*MIN(M$3-$O$2,$Q$2)/$Q$2))</f>
        <v>3012.74325007005</v>
      </c>
      <c r="N654" s="15" t="n">
        <f aca="false">M654*(1+IF(N$3&lt;=$O$2,$D654,$D654-($D654-$I$643)*MIN(N$3-$O$2,$Q$2)/$Q$2))</f>
        <v>3098.00388404703</v>
      </c>
      <c r="O654" s="15" t="n">
        <f aca="false">SUMPRODUCT(E654:N654,1/(1+$F$643)^$E$3:$N$3)*$E$2</f>
        <v>5256.90445097555</v>
      </c>
      <c r="P654" s="15" t="n">
        <f aca="false">N654*$E$2*(1+$I$643)/($F$643-$I$643)/(1+$F$643)^$N$3</f>
        <v>6322.56903871011</v>
      </c>
      <c r="Q654" s="15" t="n">
        <f aca="false">O654+P654</f>
        <v>11579.4734896857</v>
      </c>
      <c r="R654" s="15" t="n">
        <f aca="false">Q654-$G$2+$I$2</f>
        <v>10304.8034896857</v>
      </c>
      <c r="S654" s="42" t="n">
        <f aca="false">R654/$K$2</f>
        <v>289.704905529538</v>
      </c>
      <c r="T654" s="43" t="n">
        <f aca="false">S654-$M$2</f>
        <v>0.416179074660022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0.0185546875</v>
      </c>
      <c r="C655" s="25" t="n">
        <f aca="false">IF(T654&gt;0,D654,C654)</f>
        <v>0.02001953125</v>
      </c>
      <c r="D655" s="41" t="n">
        <f aca="false">(B655+C655)/2</f>
        <v>0.019287109375</v>
      </c>
      <c r="E655" s="15" t="n">
        <f aca="false">$C$2*(1+IF(E$3&lt;=$O$2,$D655,$D655-($D655-$I$643)*MIN(E$3-$O$2,$Q$2)/$Q$2))</f>
        <v>2527.83203125</v>
      </c>
      <c r="F655" s="15" t="n">
        <f aca="false">E655*(1+IF(F$3&lt;=$O$2,$D655,$D655-($D655-$I$643)*MIN(F$3-$O$2,$Q$2)/$Q$2))</f>
        <v>2576.58660411835</v>
      </c>
      <c r="G655" s="15" t="n">
        <f aca="false">F655*(1+IF(G$3&lt;=$O$2,$D655,$D655-($D655-$I$643)*MIN(G$3-$O$2,$Q$2)/$Q$2))</f>
        <v>2626.28151176614</v>
      </c>
      <c r="H655" s="15" t="n">
        <f aca="false">G655*(1+IF(H$3&lt;=$O$2,$D655,$D655-($D655-$I$643)*MIN(H$3-$O$2,$Q$2)/$Q$2))</f>
        <v>2676.93489053311</v>
      </c>
      <c r="I655" s="15" t="n">
        <f aca="false">H655*(1+IF(I$3&lt;=$O$2,$D655,$D655-($D655-$I$643)*MIN(I$3-$O$2,$Q$2)/$Q$2))</f>
        <v>2728.56522655658</v>
      </c>
      <c r="J655" s="15" t="n">
        <f aca="false">I655*(1+IF(J$3&lt;=$O$2,$D655,$D655-($D655-$I$643)*MIN(J$3-$O$2,$Q$2)/$Q$2))</f>
        <v>2786.10981450802</v>
      </c>
      <c r="K655" s="15" t="n">
        <f aca="false">J655*(1+IF(K$3&lt;=$O$2,$D655,$D655-($D655-$I$643)*MIN(K$3-$O$2,$Q$2)/$Q$2))</f>
        <v>2849.89018044216</v>
      </c>
      <c r="L655" s="15" t="n">
        <f aca="false">K655*(1+IF(L$3&lt;=$O$2,$D655,$D655-($D655-$I$643)*MIN(L$3-$O$2,$Q$2)/$Q$2))</f>
        <v>2920.26777315284</v>
      </c>
      <c r="M655" s="15" t="n">
        <f aca="false">L655*(1+IF(M$3&lt;=$O$2,$D655,$D655-($D655-$I$643)*MIN(M$3-$O$2,$Q$2)/$Q$2))</f>
        <v>2997.64734032603</v>
      </c>
      <c r="N655" s="15" t="n">
        <f aca="false">M655*(1+IF(N$3&lt;=$O$2,$D655,$D655-($D655-$I$643)*MIN(N$3-$O$2,$Q$2)/$Q$2))</f>
        <v>3082.48076005726</v>
      </c>
      <c r="O655" s="15" t="n">
        <f aca="false">SUMPRODUCT(E655:N655,1/(1+$F$643)^$E$3:$N$3)*$E$2</f>
        <v>5240.2792598282</v>
      </c>
      <c r="P655" s="15" t="n">
        <f aca="false">N655*$E$2*(1+$I$643)/($F$643-$I$643)/(1+$F$643)^$N$3</f>
        <v>6290.88863197235</v>
      </c>
      <c r="Q655" s="15" t="n">
        <f aca="false">O655+P655</f>
        <v>11531.1678918006</v>
      </c>
      <c r="R655" s="15" t="n">
        <f aca="false">Q655-$G$2+$I$2</f>
        <v>10256.4978918005</v>
      </c>
      <c r="S655" s="42" t="n">
        <f aca="false">R655/$K$2</f>
        <v>288.346862294083</v>
      </c>
      <c r="T655" s="43" t="n">
        <f aca="false">S655-$M$2</f>
        <v>-0.941864160794239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0.019287109375</v>
      </c>
      <c r="C656" s="25" t="n">
        <f aca="false">IF(T655&gt;0,D655,C655)</f>
        <v>0.02001953125</v>
      </c>
      <c r="D656" s="41" t="n">
        <f aca="false">(B656+C656)/2</f>
        <v>0.0196533203125</v>
      </c>
      <c r="E656" s="15" t="n">
        <f aca="false">$C$2*(1+IF(E$3&lt;=$O$2,$D656,$D656-($D656-$I$643)*MIN(E$3-$O$2,$Q$2)/$Q$2))</f>
        <v>2528.740234375</v>
      </c>
      <c r="F656" s="15" t="n">
        <f aca="false">E656*(1+IF(F$3&lt;=$O$2,$D656,$D656-($D656-$I$643)*MIN(F$3-$O$2,$Q$2)/$Q$2))</f>
        <v>2578.43837618828</v>
      </c>
      <c r="G656" s="15" t="n">
        <f aca="false">F656*(1+IF(G$3&lt;=$O$2,$D656,$D656-($D656-$I$643)*MIN(G$3-$O$2,$Q$2)/$Q$2))</f>
        <v>2629.11325150155</v>
      </c>
      <c r="H656" s="15" t="n">
        <f aca="false">G656*(1+IF(H$3&lt;=$O$2,$D656,$D656-($D656-$I$643)*MIN(H$3-$O$2,$Q$2)/$Q$2))</f>
        <v>2680.78405637115</v>
      </c>
      <c r="I656" s="15" t="n">
        <f aca="false">H656*(1+IF(I$3&lt;=$O$2,$D656,$D656-($D656-$I$643)*MIN(I$3-$O$2,$Q$2)/$Q$2))</f>
        <v>2733.47036411965</v>
      </c>
      <c r="J656" s="15" t="n">
        <f aca="false">I656*(1+IF(J$3&lt;=$O$2,$D656,$D656-($D656-$I$643)*MIN(J$3-$O$2,$Q$2)/$Q$2))</f>
        <v>2791.91922128518</v>
      </c>
      <c r="K656" s="15" t="n">
        <f aca="false">J656*(1+IF(K$3&lt;=$O$2,$D656,$D656-($D656-$I$643)*MIN(K$3-$O$2,$Q$2)/$Q$2))</f>
        <v>2856.44603651566</v>
      </c>
      <c r="L656" s="15" t="n">
        <f aca="false">K656*(1+IF(L$3&lt;=$O$2,$D656,$D656-($D656-$I$643)*MIN(L$3-$O$2,$Q$2)/$Q$2))</f>
        <v>2927.4039497801</v>
      </c>
      <c r="M656" s="15" t="n">
        <f aca="false">L656*(1+IF(M$3&lt;=$O$2,$D656,$D656-($D656-$I$643)*MIN(M$3-$O$2,$Q$2)/$Q$2))</f>
        <v>3005.18701670494</v>
      </c>
      <c r="N656" s="15" t="n">
        <f aca="false">M656*(1+IF(N$3&lt;=$O$2,$D656,$D656-($D656-$I$643)*MIN(N$3-$O$2,$Q$2)/$Q$2))</f>
        <v>3090.23380927769</v>
      </c>
      <c r="O656" s="15" t="n">
        <f aca="false">SUMPRODUCT(E656:N656,1/(1+$F$643)^$E$3:$N$3)*$E$2</f>
        <v>5248.58514356645</v>
      </c>
      <c r="P656" s="15" t="n">
        <f aca="false">N656*$E$2*(1+$I$643)/($F$643-$I$643)/(1+$F$643)^$N$3</f>
        <v>6306.71146202402</v>
      </c>
      <c r="Q656" s="15" t="n">
        <f aca="false">O656+P656</f>
        <v>11555.2966055905</v>
      </c>
      <c r="R656" s="15" t="n">
        <f aca="false">Q656-$G$2+$I$2</f>
        <v>10280.6266055905</v>
      </c>
      <c r="S656" s="42" t="n">
        <f aca="false">R656/$K$2</f>
        <v>289.025206791973</v>
      </c>
      <c r="T656" s="43" t="n">
        <f aca="false">S656-$M$2</f>
        <v>-0.263519662905196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0.0196533203125</v>
      </c>
      <c r="C657" s="25" t="n">
        <f aca="false">IF(T656&gt;0,D656,C656)</f>
        <v>0.02001953125</v>
      </c>
      <c r="D657" s="41" t="n">
        <f aca="false">(B657+C657)/2</f>
        <v>0.01983642578125</v>
      </c>
      <c r="E657" s="15" t="n">
        <f aca="false">$C$2*(1+IF(E$3&lt;=$O$2,$D657,$D657-($D657-$I$643)*MIN(E$3-$O$2,$Q$2)/$Q$2))</f>
        <v>2529.1943359375</v>
      </c>
      <c r="F657" s="15" t="n">
        <f aca="false">E657*(1+IF(F$3&lt;=$O$2,$D657,$D657-($D657-$I$643)*MIN(F$3-$O$2,$Q$2)/$Q$2))</f>
        <v>2579.36451166868</v>
      </c>
      <c r="G657" s="15" t="n">
        <f aca="false">F657*(1+IF(G$3&lt;=$O$2,$D657,$D657-($D657-$I$643)*MIN(G$3-$O$2,$Q$2)/$Q$2))</f>
        <v>2630.52988436719</v>
      </c>
      <c r="H657" s="15" t="n">
        <f aca="false">G657*(1+IF(H$3&lt;=$O$2,$D657,$D657-($D657-$I$643)*MIN(H$3-$O$2,$Q$2)/$Q$2))</f>
        <v>2682.7101951838</v>
      </c>
      <c r="I657" s="15" t="n">
        <f aca="false">H657*(1+IF(I$3&lt;=$O$2,$D657,$D657-($D657-$I$643)*MIN(I$3-$O$2,$Q$2)/$Q$2))</f>
        <v>2735.92557686316</v>
      </c>
      <c r="J657" s="15" t="n">
        <f aca="false">I657*(1+IF(J$3&lt;=$O$2,$D657,$D657-($D657-$I$643)*MIN(J$3-$O$2,$Q$2)/$Q$2))</f>
        <v>2794.82770334699</v>
      </c>
      <c r="K657" s="15" t="n">
        <f aca="false">J657*(1+IF(K$3&lt;=$O$2,$D657,$D657-($D657-$I$643)*MIN(K$3-$O$2,$Q$2)/$Q$2))</f>
        <v>2859.72878833417</v>
      </c>
      <c r="L657" s="15" t="n">
        <f aca="false">K657*(1+IF(L$3&lt;=$O$2,$D657,$D657-($D657-$I$643)*MIN(L$3-$O$2,$Q$2)/$Q$2))</f>
        <v>2930.9777023058</v>
      </c>
      <c r="M657" s="15" t="n">
        <f aca="false">L657*(1+IF(M$3&lt;=$O$2,$D657,$D657-($D657-$I$643)*MIN(M$3-$O$2,$Q$2)/$Q$2))</f>
        <v>3008.96306181766</v>
      </c>
      <c r="N657" s="15" t="n">
        <f aca="false">M657*(1+IF(N$3&lt;=$O$2,$D657,$D657-($D657-$I$643)*MIN(N$3-$O$2,$Q$2)/$Q$2))</f>
        <v>3094.1167164671</v>
      </c>
      <c r="O657" s="15" t="n">
        <f aca="false">SUMPRODUCT(E657:N657,1/(1+$F$643)^$E$3:$N$3)*$E$2</f>
        <v>5252.74311803215</v>
      </c>
      <c r="P657" s="15" t="n">
        <f aca="false">N657*$E$2*(1+$I$643)/($F$643-$I$643)/(1+$F$643)^$N$3</f>
        <v>6314.63590295269</v>
      </c>
      <c r="Q657" s="15" t="n">
        <f aca="false">O657+P657</f>
        <v>11567.3790209848</v>
      </c>
      <c r="R657" s="15" t="n">
        <f aca="false">Q657-$G$2+$I$2</f>
        <v>10292.7090209848</v>
      </c>
      <c r="S657" s="42" t="n">
        <f aca="false">R657/$K$2</f>
        <v>289.364886729964</v>
      </c>
      <c r="T657" s="43" t="n">
        <f aca="false">S657-$M$2</f>
        <v>0.0761602750866928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0.0196533203125</v>
      </c>
      <c r="C658" s="25" t="n">
        <f aca="false">IF(T657&gt;0,D657,C657)</f>
        <v>0.01983642578125</v>
      </c>
      <c r="D658" s="41" t="n">
        <f aca="false">(B658+C658)/2</f>
        <v>0.019744873046875</v>
      </c>
      <c r="E658" s="15" t="n">
        <f aca="false">$C$2*(1+IF(E$3&lt;=$O$2,$D658,$D658-($D658-$I$643)*MIN(E$3-$O$2,$Q$2)/$Q$2))</f>
        <v>2528.96728515625</v>
      </c>
      <c r="F658" s="15" t="n">
        <f aca="false">E658*(1+IF(F$3&lt;=$O$2,$D658,$D658-($D658-$I$643)*MIN(F$3-$O$2,$Q$2)/$Q$2))</f>
        <v>2578.90142314136</v>
      </c>
      <c r="G658" s="15" t="n">
        <f aca="false">F658*(1+IF(G$3&lt;=$O$2,$D658,$D658-($D658-$I$643)*MIN(G$3-$O$2,$Q$2)/$Q$2))</f>
        <v>2629.82150434169</v>
      </c>
      <c r="H658" s="15" t="n">
        <f aca="false">G658*(1+IF(H$3&lt;=$O$2,$D658,$D658-($D658-$I$643)*MIN(H$3-$O$2,$Q$2)/$Q$2))</f>
        <v>2681.74699608086</v>
      </c>
      <c r="I658" s="15" t="n">
        <f aca="false">H658*(1+IF(I$3&lt;=$O$2,$D658,$D658-($D658-$I$643)*MIN(I$3-$O$2,$Q$2)/$Q$2))</f>
        <v>2734.69775006232</v>
      </c>
      <c r="J658" s="15" t="n">
        <f aca="false">I658*(1+IF(J$3&lt;=$O$2,$D658,$D658-($D658-$I$643)*MIN(J$3-$O$2,$Q$2)/$Q$2))</f>
        <v>2793.37314724491</v>
      </c>
      <c r="K658" s="15" t="n">
        <f aca="false">J658*(1+IF(K$3&lt;=$O$2,$D658,$D658-($D658-$I$643)*MIN(K$3-$O$2,$Q$2)/$Q$2))</f>
        <v>2858.08701017066</v>
      </c>
      <c r="L658" s="15" t="n">
        <f aca="false">K658*(1+IF(L$3&lt;=$O$2,$D658,$D658-($D658-$I$643)*MIN(L$3-$O$2,$Q$2)/$Q$2))</f>
        <v>2929.19035367246</v>
      </c>
      <c r="M658" s="15" t="n">
        <f aca="false">L658*(1+IF(M$3&lt;=$O$2,$D658,$D658-($D658-$I$643)*MIN(M$3-$O$2,$Q$2)/$Q$2))</f>
        <v>3007.07452161228</v>
      </c>
      <c r="N658" s="15" t="n">
        <f aca="false">M658*(1+IF(N$3&lt;=$O$2,$D658,$D658-($D658-$I$643)*MIN(N$3-$O$2,$Q$2)/$Q$2))</f>
        <v>3092.17473057391</v>
      </c>
      <c r="O658" s="15" t="n">
        <f aca="false">SUMPRODUCT(E658:N658,1/(1+$F$643)^$E$3:$N$3)*$E$2</f>
        <v>5250.66371114965</v>
      </c>
      <c r="P658" s="15" t="n">
        <f aca="false">N658*$E$2*(1+$I$643)/($F$643-$I$643)/(1+$F$643)^$N$3</f>
        <v>6310.67259614565</v>
      </c>
      <c r="Q658" s="15" t="n">
        <f aca="false">O658+P658</f>
        <v>11561.3363072953</v>
      </c>
      <c r="R658" s="15" t="n">
        <f aca="false">Q658-$G$2+$I$2</f>
        <v>10286.6663072953</v>
      </c>
      <c r="S658" s="42" t="n">
        <f aca="false">R658/$K$2</f>
        <v>289.195004422134</v>
      </c>
      <c r="T658" s="43" t="n">
        <f aca="false">S658-$M$2</f>
        <v>-0.0937220327440969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0.019744873046875</v>
      </c>
      <c r="C659" s="25" t="n">
        <f aca="false">IF(T658&gt;0,D658,C658)</f>
        <v>0.01983642578125</v>
      </c>
      <c r="D659" s="41" t="n">
        <f aca="false">(B659+C659)/2</f>
        <v>0.0197906494140625</v>
      </c>
      <c r="E659" s="15" t="n">
        <f aca="false">$C$2*(1+IF(E$3&lt;=$O$2,$D659,$D659-($D659-$I$643)*MIN(E$3-$O$2,$Q$2)/$Q$2))</f>
        <v>2529.08081054688</v>
      </c>
      <c r="F659" s="15" t="n">
        <f aca="false">E659*(1+IF(F$3&lt;=$O$2,$D659,$D659-($D659-$I$643)*MIN(F$3-$O$2,$Q$2)/$Q$2))</f>
        <v>2579.13296220824</v>
      </c>
      <c r="G659" s="15" t="n">
        <f aca="false">F659*(1+IF(G$3&lt;=$O$2,$D659,$D659-($D659-$I$643)*MIN(G$3-$O$2,$Q$2)/$Q$2))</f>
        <v>2630.17567845556</v>
      </c>
      <c r="H659" s="15" t="n">
        <f aca="false">G659*(1+IF(H$3&lt;=$O$2,$D659,$D659-($D659-$I$643)*MIN(H$3-$O$2,$Q$2)/$Q$2))</f>
        <v>2682.22856320527</v>
      </c>
      <c r="I659" s="15" t="n">
        <f aca="false">H659*(1+IF(I$3&lt;=$O$2,$D659,$D659-($D659-$I$643)*MIN(I$3-$O$2,$Q$2)/$Q$2))</f>
        <v>2735.31160834805</v>
      </c>
      <c r="J659" s="15" t="n">
        <f aca="false">I659*(1+IF(J$3&lt;=$O$2,$D659,$D659-($D659-$I$643)*MIN(J$3-$O$2,$Q$2)/$Q$2))</f>
        <v>2794.10034651452</v>
      </c>
      <c r="K659" s="15" t="n">
        <f aca="false">J659*(1+IF(K$3&lt;=$O$2,$D659,$D659-($D659-$I$643)*MIN(K$3-$O$2,$Q$2)/$Q$2))</f>
        <v>2858.90779866841</v>
      </c>
      <c r="L659" s="15" t="n">
        <f aca="false">K659*(1+IF(L$3&lt;=$O$2,$D659,$D659-($D659-$I$643)*MIN(L$3-$O$2,$Q$2)/$Q$2))</f>
        <v>2930.08390987003</v>
      </c>
      <c r="M659" s="15" t="n">
        <f aca="false">L659*(1+IF(M$3&lt;=$O$2,$D659,$D659-($D659-$I$643)*MIN(M$3-$O$2,$Q$2)/$Q$2))</f>
        <v>3008.01866227229</v>
      </c>
      <c r="N659" s="15" t="n">
        <f aca="false">M659*(1+IF(N$3&lt;=$O$2,$D659,$D659-($D659-$I$643)*MIN(N$3-$O$2,$Q$2)/$Q$2))</f>
        <v>3093.1455904146</v>
      </c>
      <c r="O659" s="15" t="n">
        <f aca="false">SUMPRODUCT(E659:N659,1/(1+$F$643)^$E$3:$N$3)*$E$2</f>
        <v>5251.70330965848</v>
      </c>
      <c r="P659" s="15" t="n">
        <f aca="false">N659*$E$2*(1+$I$643)/($F$643-$I$643)/(1+$F$643)^$N$3</f>
        <v>6312.65397789965</v>
      </c>
      <c r="Q659" s="15" t="n">
        <f aca="false">O659+P659</f>
        <v>11564.3572875581</v>
      </c>
      <c r="R659" s="15" t="n">
        <f aca="false">Q659-$G$2+$I$2</f>
        <v>10289.6872875581</v>
      </c>
      <c r="S659" s="42" t="n">
        <f aca="false">R659/$K$2</f>
        <v>289.279934988983</v>
      </c>
      <c r="T659" s="43" t="n">
        <f aca="false">S659-$M$2</f>
        <v>-0.00879146589466018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0.0197906494140625</v>
      </c>
      <c r="C660" s="25" t="n">
        <f aca="false">IF(T659&gt;0,D659,C659)</f>
        <v>0.01983642578125</v>
      </c>
      <c r="D660" s="41" t="n">
        <f aca="false">(B660+C660)/2</f>
        <v>0.0198135375976563</v>
      </c>
      <c r="E660" s="15" t="n">
        <f aca="false">$C$2*(1+IF(E$3&lt;=$O$2,$D660,$D660-($D660-$I$643)*MIN(E$3-$O$2,$Q$2)/$Q$2))</f>
        <v>2529.13757324219</v>
      </c>
      <c r="F660" s="15" t="n">
        <f aca="false">E660*(1+IF(F$3&lt;=$O$2,$D660,$D660-($D660-$I$643)*MIN(F$3-$O$2,$Q$2)/$Q$2))</f>
        <v>2579.24873563927</v>
      </c>
      <c r="G660" s="15" t="n">
        <f aca="false">F660*(1+IF(G$3&lt;=$O$2,$D660,$D660-($D660-$I$643)*MIN(G$3-$O$2,$Q$2)/$Q$2))</f>
        <v>2630.35277743656</v>
      </c>
      <c r="H660" s="15" t="n">
        <f aca="false">G660*(1+IF(H$3&lt;=$O$2,$D660,$D660-($D660-$I$643)*MIN(H$3-$O$2,$Q$2)/$Q$2))</f>
        <v>2682.4693710874</v>
      </c>
      <c r="I660" s="15" t="n">
        <f aca="false">H660*(1+IF(I$3&lt;=$O$2,$D660,$D660-($D660-$I$643)*MIN(I$3-$O$2,$Q$2)/$Q$2))</f>
        <v>2735.618578826</v>
      </c>
      <c r="J660" s="15" t="n">
        <f aca="false">I660*(1+IF(J$3&lt;=$O$2,$D660,$D660-($D660-$I$643)*MIN(J$3-$O$2,$Q$2)/$Q$2))</f>
        <v>2794.46400523369</v>
      </c>
      <c r="K660" s="15" t="n">
        <f aca="false">J660*(1+IF(K$3&lt;=$O$2,$D660,$D660-($D660-$I$643)*MIN(K$3-$O$2,$Q$2)/$Q$2))</f>
        <v>2859.31826835273</v>
      </c>
      <c r="L660" s="15" t="n">
        <f aca="false">K660*(1+IF(L$3&lt;=$O$2,$D660,$D660-($D660-$I$643)*MIN(L$3-$O$2,$Q$2)/$Q$2))</f>
        <v>2930.53077655483</v>
      </c>
      <c r="M660" s="15" t="n">
        <f aca="false">L660*(1+IF(M$3&lt;=$O$2,$D660,$D660-($D660-$I$643)*MIN(M$3-$O$2,$Q$2)/$Q$2))</f>
        <v>3008.4908296805</v>
      </c>
      <c r="N660" s="15" t="n">
        <f aca="false">M660*(1+IF(N$3&lt;=$O$2,$D660,$D660-($D660-$I$643)*MIN(N$3-$O$2,$Q$2)/$Q$2))</f>
        <v>3093.63112016046</v>
      </c>
      <c r="O660" s="15" t="n">
        <f aca="false">SUMPRODUCT(E660:N660,1/(1+$F$643)^$E$3:$N$3)*$E$2</f>
        <v>5252.22318760971</v>
      </c>
      <c r="P660" s="15" t="n">
        <f aca="false">N660*$E$2*(1+$I$643)/($F$643-$I$643)/(1+$F$643)^$N$3</f>
        <v>6313.64487250581</v>
      </c>
      <c r="Q660" s="15" t="n">
        <f aca="false">O660+P660</f>
        <v>11565.8680601155</v>
      </c>
      <c r="R660" s="15" t="n">
        <f aca="false">Q660-$G$2+$I$2</f>
        <v>10291.1980601155</v>
      </c>
      <c r="S660" s="42" t="n">
        <f aca="false">R660/$K$2</f>
        <v>289.322408212413</v>
      </c>
      <c r="T660" s="43" t="n">
        <f aca="false">S660-$M$2</f>
        <v>0.0336817575348505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0.0197906494140625</v>
      </c>
      <c r="C661" s="25" t="n">
        <f aca="false">IF(T660&gt;0,D660,C660)</f>
        <v>0.0198135375976563</v>
      </c>
      <c r="D661" s="41" t="n">
        <f aca="false">(B661+C661)/2</f>
        <v>0.0198020935058594</v>
      </c>
      <c r="E661" s="15" t="n">
        <f aca="false">$C$2*(1+IF(E$3&lt;=$O$2,$D661,$D661-($D661-$I$643)*MIN(E$3-$O$2,$Q$2)/$Q$2))</f>
        <v>2529.10919189453</v>
      </c>
      <c r="F661" s="15" t="n">
        <f aca="false">E661*(1+IF(F$3&lt;=$O$2,$D661,$D661-($D661-$I$643)*MIN(F$3-$O$2,$Q$2)/$Q$2))</f>
        <v>2579.19084859896</v>
      </c>
      <c r="G661" s="15" t="n">
        <f aca="false">F661*(1+IF(G$3&lt;=$O$2,$D661,$D661-($D661-$I$643)*MIN(G$3-$O$2,$Q$2)/$Q$2))</f>
        <v>2630.26422695237</v>
      </c>
      <c r="H661" s="15" t="n">
        <f aca="false">G661*(1+IF(H$3&lt;=$O$2,$D661,$D661-($D661-$I$643)*MIN(H$3-$O$2,$Q$2)/$Q$2))</f>
        <v>2682.3489651196</v>
      </c>
      <c r="I661" s="15" t="n">
        <f aca="false">H661*(1+IF(I$3&lt;=$O$2,$D661,$D661-($D661-$I$643)*MIN(I$3-$O$2,$Q$2)/$Q$2))</f>
        <v>2735.46509014224</v>
      </c>
      <c r="J661" s="15" t="n">
        <f aca="false">I661*(1+IF(J$3&lt;=$O$2,$D661,$D661-($D661-$I$643)*MIN(J$3-$O$2,$Q$2)/$Q$2))</f>
        <v>2794.28217095005</v>
      </c>
      <c r="K661" s="15" t="n">
        <f aca="false">J661*(1+IF(K$3&lt;=$O$2,$D661,$D661-($D661-$I$643)*MIN(K$3-$O$2,$Q$2)/$Q$2))</f>
        <v>2859.11302722375</v>
      </c>
      <c r="L661" s="15" t="n">
        <f aca="false">K661*(1+IF(L$3&lt;=$O$2,$D661,$D661-($D661-$I$643)*MIN(L$3-$O$2,$Q$2)/$Q$2))</f>
        <v>2930.30733582957</v>
      </c>
      <c r="M661" s="15" t="n">
        <f aca="false">L661*(1+IF(M$3&lt;=$O$2,$D661,$D661-($D661-$I$643)*MIN(M$3-$O$2,$Q$2)/$Q$2))</f>
        <v>3008.25473788576</v>
      </c>
      <c r="N661" s="15" t="n">
        <f aca="false">M661*(1+IF(N$3&lt;=$O$2,$D661,$D661-($D661-$I$643)*MIN(N$3-$O$2,$Q$2)/$Q$2))</f>
        <v>3093.38834696792</v>
      </c>
      <c r="O661" s="15" t="n">
        <f aca="false">SUMPRODUCT(E661:N661,1/(1+$F$643)^$E$3:$N$3)*$E$2</f>
        <v>5251.96324207551</v>
      </c>
      <c r="P661" s="15" t="n">
        <f aca="false">N661*$E$2*(1+$I$643)/($F$643-$I$643)/(1+$F$643)^$N$3</f>
        <v>6313.14940822363</v>
      </c>
      <c r="Q661" s="15" t="n">
        <f aca="false">O661+P661</f>
        <v>11565.1126502991</v>
      </c>
      <c r="R661" s="15" t="n">
        <f aca="false">Q661-$G$2+$I$2</f>
        <v>10290.4426502991</v>
      </c>
      <c r="S661" s="42" t="n">
        <f aca="false">R661/$K$2</f>
        <v>289.301170938969</v>
      </c>
      <c r="T661" s="43" t="n">
        <f aca="false">S661-$M$2</f>
        <v>0.0124444840916453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0.0197906494140625</v>
      </c>
      <c r="C662" s="25" t="n">
        <f aca="false">IF(T661&gt;0,D661,C661)</f>
        <v>0.0198020935058594</v>
      </c>
      <c r="D662" s="41" t="n">
        <f aca="false">(B662+C662)/2</f>
        <v>0.0197963714599609</v>
      </c>
      <c r="E662" s="15" t="n">
        <f aca="false">$C$2*(1+IF(E$3&lt;=$O$2,$D662,$D662-($D662-$I$643)*MIN(E$3-$O$2,$Q$2)/$Q$2))</f>
        <v>2529.0950012207</v>
      </c>
      <c r="F662" s="15" t="n">
        <f aca="false">E662*(1+IF(F$3&lt;=$O$2,$D662,$D662-($D662-$I$643)*MIN(F$3-$O$2,$Q$2)/$Q$2))</f>
        <v>2579.1619053224</v>
      </c>
      <c r="G662" s="15" t="n">
        <f aca="false">F662*(1+IF(G$3&lt;=$O$2,$D662,$D662-($D662-$I$643)*MIN(G$3-$O$2,$Q$2)/$Q$2))</f>
        <v>2630.21995245554</v>
      </c>
      <c r="H662" s="15" t="n">
        <f aca="false">G662*(1+IF(H$3&lt;=$O$2,$D662,$D662-($D662-$I$643)*MIN(H$3-$O$2,$Q$2)/$Q$2))</f>
        <v>2682.28876365575</v>
      </c>
      <c r="I662" s="15" t="n">
        <f aca="false">H662*(1+IF(I$3&lt;=$O$2,$D662,$D662-($D662-$I$643)*MIN(I$3-$O$2,$Q$2)/$Q$2))</f>
        <v>2735.38834838396</v>
      </c>
      <c r="J662" s="15" t="n">
        <f aca="false">I662*(1+IF(J$3&lt;=$O$2,$D662,$D662-($D662-$I$643)*MIN(J$3-$O$2,$Q$2)/$Q$2))</f>
        <v>2794.1912575013</v>
      </c>
      <c r="K662" s="15" t="n">
        <f aca="false">J662*(1+IF(K$3&lt;=$O$2,$D662,$D662-($D662-$I$643)*MIN(K$3-$O$2,$Q$2)/$Q$2))</f>
        <v>2859.01041137442</v>
      </c>
      <c r="L662" s="15" t="n">
        <f aca="false">K662*(1+IF(L$3&lt;=$O$2,$D662,$D662-($D662-$I$643)*MIN(L$3-$O$2,$Q$2)/$Q$2))</f>
        <v>2930.19562100414</v>
      </c>
      <c r="M662" s="15" t="n">
        <f aca="false">L662*(1+IF(M$3&lt;=$O$2,$D662,$D662-($D662-$I$643)*MIN(M$3-$O$2,$Q$2)/$Q$2))</f>
        <v>3008.13669805642</v>
      </c>
      <c r="N662" s="15" t="n">
        <f aca="false">M662*(1+IF(N$3&lt;=$O$2,$D662,$D662-($D662-$I$643)*MIN(N$3-$O$2,$Q$2)/$Q$2))</f>
        <v>3093.26696661142</v>
      </c>
      <c r="O662" s="15" t="n">
        <f aca="false">SUMPRODUCT(E662:N662,1/(1+$F$643)^$E$3:$N$3)*$E$2</f>
        <v>5251.83327422738</v>
      </c>
      <c r="P662" s="15" t="n">
        <f aca="false">N662*$E$2*(1+$I$643)/($F$643-$I$643)/(1+$F$643)^$N$3</f>
        <v>6312.90168881699</v>
      </c>
      <c r="Q662" s="15" t="n">
        <f aca="false">O662+P662</f>
        <v>11564.7349630444</v>
      </c>
      <c r="R662" s="15" t="n">
        <f aca="false">Q662-$G$2+$I$2</f>
        <v>10290.0649630444</v>
      </c>
      <c r="S662" s="42" t="n">
        <f aca="false">R662/$K$2</f>
        <v>289.290552798549</v>
      </c>
      <c r="T662" s="43" t="n">
        <f aca="false">S662-$M$2</f>
        <v>0.0018263436709276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0.0197906494140625</v>
      </c>
      <c r="C663" s="25" t="n">
        <f aca="false">IF(T662&gt;0,D662,C662)</f>
        <v>0.0197963714599609</v>
      </c>
      <c r="D663" s="41" t="n">
        <f aca="false">(B663+C663)/2</f>
        <v>0.0197935104370117</v>
      </c>
      <c r="E663" s="15" t="n">
        <f aca="false">$C$2*(1+IF(E$3&lt;=$O$2,$D663,$D663-($D663-$I$643)*MIN(E$3-$O$2,$Q$2)/$Q$2))</f>
        <v>2529.08790588379</v>
      </c>
      <c r="F663" s="15" t="n">
        <f aca="false">E663*(1+IF(F$3&lt;=$O$2,$D663,$D663-($D663-$I$643)*MIN(F$3-$O$2,$Q$2)/$Q$2))</f>
        <v>2579.14743374502</v>
      </c>
      <c r="G663" s="15" t="n">
        <f aca="false">F663*(1+IF(G$3&lt;=$O$2,$D663,$D663-($D663-$I$643)*MIN(G$3-$O$2,$Q$2)/$Q$2))</f>
        <v>2630.19781539344</v>
      </c>
      <c r="H663" s="15" t="n">
        <f aca="false">G663*(1+IF(H$3&lt;=$O$2,$D663,$D663-($D663-$I$643)*MIN(H$3-$O$2,$Q$2)/$Q$2))</f>
        <v>2682.25866330384</v>
      </c>
      <c r="I663" s="15" t="n">
        <f aca="false">H663*(1+IF(I$3&lt;=$O$2,$D663,$D663-($D663-$I$643)*MIN(I$3-$O$2,$Q$2)/$Q$2))</f>
        <v>2735.34997815071</v>
      </c>
      <c r="J663" s="15" t="n">
        <f aca="false">I663*(1+IF(J$3&lt;=$O$2,$D663,$D663-($D663-$I$643)*MIN(J$3-$O$2,$Q$2)/$Q$2))</f>
        <v>2794.14580170017</v>
      </c>
      <c r="K663" s="15" t="n">
        <f aca="false">J663*(1+IF(K$3&lt;=$O$2,$D663,$D663-($D663-$I$643)*MIN(K$3-$O$2,$Q$2)/$Q$2))</f>
        <v>2858.9591046285</v>
      </c>
      <c r="L663" s="15" t="n">
        <f aca="false">K663*(1+IF(L$3&lt;=$O$2,$D663,$D663-($D663-$I$643)*MIN(L$3-$O$2,$Q$2)/$Q$2))</f>
        <v>2930.13976497568</v>
      </c>
      <c r="M663" s="15" t="n">
        <f aca="false">L663*(1+IF(M$3&lt;=$O$2,$D663,$D663-($D663-$I$643)*MIN(M$3-$O$2,$Q$2)/$Q$2))</f>
        <v>3008.07767965872</v>
      </c>
      <c r="N663" s="15" t="n">
        <f aca="false">M663*(1+IF(N$3&lt;=$O$2,$D663,$D663-($D663-$I$643)*MIN(N$3-$O$2,$Q$2)/$Q$2))</f>
        <v>3093.20627799306</v>
      </c>
      <c r="O663" s="15" t="n">
        <f aca="false">SUMPRODUCT(E663:N663,1/(1+$F$643)^$E$3:$N$3)*$E$2</f>
        <v>5251.76829153304</v>
      </c>
      <c r="P663" s="15" t="n">
        <f aca="false">N663*$E$2*(1+$I$643)/($F$643-$I$643)/(1+$F$643)^$N$3</f>
        <v>6312.77783229717</v>
      </c>
      <c r="Q663" s="15" t="n">
        <f aca="false">O663+P663</f>
        <v>11564.5461238302</v>
      </c>
      <c r="R663" s="15" t="n">
        <f aca="false">Q663-$G$2+$I$2</f>
        <v>10289.8761238302</v>
      </c>
      <c r="S663" s="42" t="n">
        <f aca="false">R663/$K$2</f>
        <v>289.28524385241</v>
      </c>
      <c r="T663" s="43" t="n">
        <f aca="false">S663-$M$2</f>
        <v>-0.00348260246812515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0.0197935104370117</v>
      </c>
      <c r="C664" s="25" t="n">
        <f aca="false">IF(T663&gt;0,D663,C663)</f>
        <v>0.0197963714599609</v>
      </c>
      <c r="D664" s="41" t="n">
        <f aca="false">(B664+C664)/2</f>
        <v>0.0197949409484863</v>
      </c>
      <c r="E664" s="15" t="n">
        <f aca="false">$C$2*(1+IF(E$3&lt;=$O$2,$D664,$D664-($D664-$I$643)*MIN(E$3-$O$2,$Q$2)/$Q$2))</f>
        <v>2529.09145355225</v>
      </c>
      <c r="F664" s="15" t="n">
        <f aca="false">E664*(1+IF(F$3&lt;=$O$2,$D664,$D664-($D664-$I$643)*MIN(F$3-$O$2,$Q$2)/$Q$2))</f>
        <v>2579.15466952863</v>
      </c>
      <c r="G664" s="15" t="n">
        <f aca="false">F664*(1+IF(G$3&lt;=$O$2,$D664,$D664-($D664-$I$643)*MIN(G$3-$O$2,$Q$2)/$Q$2))</f>
        <v>2630.20888390897</v>
      </c>
      <c r="H664" s="15" t="n">
        <f aca="false">G664*(1+IF(H$3&lt;=$O$2,$D664,$D664-($D664-$I$643)*MIN(H$3-$O$2,$Q$2)/$Q$2))</f>
        <v>2682.27371344813</v>
      </c>
      <c r="I664" s="15" t="n">
        <f aca="false">H664*(1+IF(I$3&lt;=$O$2,$D664,$D664-($D664-$I$643)*MIN(I$3-$O$2,$Q$2)/$Q$2))</f>
        <v>2735.36916321351</v>
      </c>
      <c r="J664" s="15" t="n">
        <f aca="false">I664*(1+IF(J$3&lt;=$O$2,$D664,$D664-($D664-$I$643)*MIN(J$3-$O$2,$Q$2)/$Q$2))</f>
        <v>2794.1685295238</v>
      </c>
      <c r="K664" s="15" t="n">
        <f aca="false">J664*(1+IF(K$3&lt;=$O$2,$D664,$D664-($D664-$I$643)*MIN(K$3-$O$2,$Q$2)/$Q$2))</f>
        <v>2858.98475790323</v>
      </c>
      <c r="L664" s="15" t="n">
        <f aca="false">K664*(1+IF(L$3&lt;=$O$2,$D664,$D664-($D664-$I$643)*MIN(L$3-$O$2,$Q$2)/$Q$2))</f>
        <v>2930.16769287456</v>
      </c>
      <c r="M664" s="15" t="n">
        <f aca="false">L664*(1+IF(M$3&lt;=$O$2,$D664,$D664-($D664-$I$643)*MIN(M$3-$O$2,$Q$2)/$Q$2))</f>
        <v>3008.10718873116</v>
      </c>
      <c r="N664" s="15" t="n">
        <f aca="false">M664*(1+IF(N$3&lt;=$O$2,$D664,$D664-($D664-$I$643)*MIN(N$3-$O$2,$Q$2)/$Q$2))</f>
        <v>3093.23662217225</v>
      </c>
      <c r="O664" s="15" t="n">
        <f aca="false">SUMPRODUCT(E664:N664,1/(1+$F$643)^$E$3:$N$3)*$E$2</f>
        <v>5251.80078277774</v>
      </c>
      <c r="P664" s="15" t="n">
        <f aca="false">N664*$E$2*(1+$I$643)/($F$643-$I$643)/(1+$F$643)^$N$3</f>
        <v>6312.83976029179</v>
      </c>
      <c r="Q664" s="15" t="n">
        <f aca="false">O664+P664</f>
        <v>11564.6405430695</v>
      </c>
      <c r="R664" s="15" t="n">
        <f aca="false">Q664-$G$2+$I$2</f>
        <v>10289.9705430695</v>
      </c>
      <c r="S664" s="42" t="n">
        <f aca="false">R664/$K$2</f>
        <v>289.28789831514</v>
      </c>
      <c r="T664" s="43" t="n">
        <f aca="false">S664-$M$2</f>
        <v>-0.000828139737791389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0.0197949409484863</v>
      </c>
      <c r="C665" s="25" t="n">
        <f aca="false">IF(T664&gt;0,D664,C664)</f>
        <v>0.0197963714599609</v>
      </c>
      <c r="D665" s="41" t="n">
        <f aca="false">(B665+C665)/2</f>
        <v>0.0197956562042236</v>
      </c>
      <c r="E665" s="15" t="n">
        <f aca="false">$C$2*(1+IF(E$3&lt;=$O$2,$D665,$D665-($D665-$I$643)*MIN(E$3-$O$2,$Q$2)/$Q$2))</f>
        <v>2529.09322738647</v>
      </c>
      <c r="F665" s="15" t="n">
        <f aca="false">E665*(1+IF(F$3&lt;=$O$2,$D665,$D665-($D665-$I$643)*MIN(F$3-$O$2,$Q$2)/$Q$2))</f>
        <v>2579.15828742425</v>
      </c>
      <c r="G665" s="15" t="n">
        <f aca="false">F665*(1+IF(G$3&lt;=$O$2,$D665,$D665-($D665-$I$643)*MIN(G$3-$O$2,$Q$2)/$Q$2))</f>
        <v>2630.21441817837</v>
      </c>
      <c r="H665" s="15" t="n">
        <f aca="false">G665*(1+IF(H$3&lt;=$O$2,$D665,$D665-($D665-$I$643)*MIN(H$3-$O$2,$Q$2)/$Q$2))</f>
        <v>2682.28123854402</v>
      </c>
      <c r="I665" s="15" t="n">
        <f aca="false">H665*(1+IF(I$3&lt;=$O$2,$D665,$D665-($D665-$I$643)*MIN(I$3-$O$2,$Q$2)/$Q$2))</f>
        <v>2735.37875578528</v>
      </c>
      <c r="J665" s="15" t="n">
        <f aca="false">I665*(1+IF(J$3&lt;=$O$2,$D665,$D665-($D665-$I$643)*MIN(J$3-$O$2,$Q$2)/$Q$2))</f>
        <v>2794.17989349332</v>
      </c>
      <c r="K665" s="15" t="n">
        <f aca="false">J665*(1+IF(K$3&lt;=$O$2,$D665,$D665-($D665-$I$643)*MIN(K$3-$O$2,$Q$2)/$Q$2))</f>
        <v>2858.99758461427</v>
      </c>
      <c r="L665" s="15" t="n">
        <f aca="false">K665*(1+IF(L$3&lt;=$O$2,$D665,$D665-($D665-$I$643)*MIN(L$3-$O$2,$Q$2)/$Q$2))</f>
        <v>2930.18165691051</v>
      </c>
      <c r="M665" s="15" t="n">
        <f aca="false">L665*(1+IF(M$3&lt;=$O$2,$D665,$D665-($D665-$I$643)*MIN(M$3-$O$2,$Q$2)/$Q$2))</f>
        <v>3008.12194336219</v>
      </c>
      <c r="N665" s="15" t="n">
        <f aca="false">M665*(1+IF(N$3&lt;=$O$2,$D665,$D665-($D665-$I$643)*MIN(N$3-$O$2,$Q$2)/$Q$2))</f>
        <v>3093.25179435934</v>
      </c>
      <c r="O665" s="15" t="n">
        <f aca="false">SUMPRODUCT(E665:N665,1/(1+$F$643)^$E$3:$N$3)*$E$2</f>
        <v>5251.81702847694</v>
      </c>
      <c r="P665" s="15" t="n">
        <f aca="false">N665*$E$2*(1+$I$643)/($F$643-$I$643)/(1+$F$643)^$N$3</f>
        <v>6312.87072448807</v>
      </c>
      <c r="Q665" s="15" t="n">
        <f aca="false">O665+P665</f>
        <v>11564.687752965</v>
      </c>
      <c r="R665" s="15" t="n">
        <f aca="false">Q665-$G$2+$I$2</f>
        <v>10290.017752965</v>
      </c>
      <c r="S665" s="42" t="n">
        <f aca="false">R665/$K$2</f>
        <v>289.28922555426</v>
      </c>
      <c r="T665" s="43" t="n">
        <f aca="false">S665-$M$2</f>
        <v>0.000499099381784163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0.0197949409484863</v>
      </c>
      <c r="C666" s="25" t="n">
        <f aca="false">IF(T665&gt;0,D665,C665)</f>
        <v>0.0197956562042236</v>
      </c>
      <c r="D666" s="41" t="n">
        <f aca="false">(B666+C666)/2</f>
        <v>0.019795298576355</v>
      </c>
      <c r="E666" s="15" t="n">
        <f aca="false">$C$2*(1+IF(E$3&lt;=$O$2,$D666,$D666-($D666-$I$643)*MIN(E$3-$O$2,$Q$2)/$Q$2))</f>
        <v>2529.09234046936</v>
      </c>
      <c r="F666" s="15" t="n">
        <f aca="false">E666*(1+IF(F$3&lt;=$O$2,$D666,$D666-($D666-$I$643)*MIN(F$3-$O$2,$Q$2)/$Q$2))</f>
        <v>2579.15647847612</v>
      </c>
      <c r="G666" s="15" t="n">
        <f aca="false">F666*(1+IF(G$3&lt;=$O$2,$D666,$D666-($D666-$I$643)*MIN(G$3-$O$2,$Q$2)/$Q$2))</f>
        <v>2630.2116510427</v>
      </c>
      <c r="H666" s="15" t="n">
        <f aca="false">G666*(1+IF(H$3&lt;=$O$2,$D666,$D666-($D666-$I$643)*MIN(H$3-$O$2,$Q$2)/$Q$2))</f>
        <v>2682.2774759941</v>
      </c>
      <c r="I666" s="15" t="n">
        <f aca="false">H666*(1+IF(I$3&lt;=$O$2,$D666,$D666-($D666-$I$643)*MIN(I$3-$O$2,$Q$2)/$Q$2))</f>
        <v>2735.37395949603</v>
      </c>
      <c r="J666" s="15" t="n">
        <f aca="false">I666*(1+IF(J$3&lt;=$O$2,$D666,$D666-($D666-$I$643)*MIN(J$3-$O$2,$Q$2)/$Q$2))</f>
        <v>2794.17421150375</v>
      </c>
      <c r="K666" s="15" t="n">
        <f aca="false">J666*(1+IF(K$3&lt;=$O$2,$D666,$D666-($D666-$I$643)*MIN(K$3-$O$2,$Q$2)/$Q$2))</f>
        <v>2858.99117125261</v>
      </c>
      <c r="L666" s="15" t="n">
        <f aca="false">K666*(1+IF(L$3&lt;=$O$2,$D666,$D666-($D666-$I$643)*MIN(L$3-$O$2,$Q$2)/$Q$2))</f>
        <v>2930.17467488532</v>
      </c>
      <c r="M666" s="15" t="n">
        <f aca="false">L666*(1+IF(M$3&lt;=$O$2,$D666,$D666-($D666-$I$643)*MIN(M$3-$O$2,$Q$2)/$Q$2))</f>
        <v>3008.11456603877</v>
      </c>
      <c r="N666" s="15" t="n">
        <f aca="false">M666*(1+IF(N$3&lt;=$O$2,$D666,$D666-($D666-$I$643)*MIN(N$3-$O$2,$Q$2)/$Q$2))</f>
        <v>3093.24420825767</v>
      </c>
      <c r="O666" s="15" t="n">
        <f aca="false">SUMPRODUCT(E666:N666,1/(1+$F$643)^$E$3:$N$3)*$E$2</f>
        <v>5251.80890562093</v>
      </c>
      <c r="P666" s="15" t="n">
        <f aca="false">N666*$E$2*(1+$I$643)/($F$643-$I$643)/(1+$F$643)^$N$3</f>
        <v>6312.85524237335</v>
      </c>
      <c r="Q666" s="15" t="n">
        <f aca="false">O666+P666</f>
        <v>11564.6641479943</v>
      </c>
      <c r="R666" s="15" t="n">
        <f aca="false">Q666-$G$2+$I$2</f>
        <v>10289.9941479943</v>
      </c>
      <c r="S666" s="42" t="n">
        <f aca="false">R666/$K$2</f>
        <v>289.288561934053</v>
      </c>
      <c r="T666" s="43" t="n">
        <f aca="false">S666-$M$2</f>
        <v>-0.000164520824228021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0.019795298576355</v>
      </c>
      <c r="C667" s="25" t="n">
        <f aca="false">IF(T666&gt;0,D666,C666)</f>
        <v>0.0197956562042236</v>
      </c>
      <c r="D667" s="41" t="n">
        <f aca="false">(B667+C667)/2</f>
        <v>0.0197954773902893</v>
      </c>
      <c r="E667" s="15" t="n">
        <f aca="false">$C$2*(1+IF(E$3&lt;=$O$2,$D667,$D667-($D667-$I$643)*MIN(E$3-$O$2,$Q$2)/$Q$2))</f>
        <v>2529.09278392792</v>
      </c>
      <c r="F667" s="15" t="n">
        <f aca="false">E667*(1+IF(F$3&lt;=$O$2,$D667,$D667-($D667-$I$643)*MIN(F$3-$O$2,$Q$2)/$Q$2))</f>
        <v>2579.15738295011</v>
      </c>
      <c r="G667" s="15" t="n">
        <f aca="false">F667*(1+IF(G$3&lt;=$O$2,$D667,$D667-($D667-$I$643)*MIN(G$3-$O$2,$Q$2)/$Q$2))</f>
        <v>2630.21303461029</v>
      </c>
      <c r="H667" s="15" t="n">
        <f aca="false">G667*(1+IF(H$3&lt;=$O$2,$D667,$D667-($D667-$I$643)*MIN(H$3-$O$2,$Q$2)/$Q$2))</f>
        <v>2682.27935726857</v>
      </c>
      <c r="I667" s="15" t="n">
        <f aca="false">H667*(1+IF(I$3&lt;=$O$2,$D667,$D667-($D667-$I$643)*MIN(I$3-$O$2,$Q$2)/$Q$2))</f>
        <v>2735.37635763981</v>
      </c>
      <c r="J667" s="15" t="n">
        <f aca="false">I667*(1+IF(J$3&lt;=$O$2,$D667,$D667-($D667-$I$643)*MIN(J$3-$O$2,$Q$2)/$Q$2))</f>
        <v>2794.17705249733</v>
      </c>
      <c r="K667" s="15" t="n">
        <f aca="false">J667*(1+IF(K$3&lt;=$O$2,$D667,$D667-($D667-$I$643)*MIN(K$3-$O$2,$Q$2)/$Q$2))</f>
        <v>2858.9943779319</v>
      </c>
      <c r="L667" s="15" t="n">
        <f aca="false">K667*(1+IF(L$3&lt;=$O$2,$D667,$D667-($D667-$I$643)*MIN(L$3-$O$2,$Q$2)/$Q$2))</f>
        <v>2930.17816589611</v>
      </c>
      <c r="M667" s="15" t="n">
        <f aca="false">L667*(1+IF(M$3&lt;=$O$2,$D667,$D667-($D667-$I$643)*MIN(M$3-$O$2,$Q$2)/$Q$2))</f>
        <v>3008.11825469851</v>
      </c>
      <c r="N667" s="15" t="n">
        <f aca="false">M667*(1+IF(N$3&lt;=$O$2,$D667,$D667-($D667-$I$643)*MIN(N$3-$O$2,$Q$2)/$Q$2))</f>
        <v>3093.24800130647</v>
      </c>
      <c r="O667" s="15" t="n">
        <f aca="false">SUMPRODUCT(E667:N667,1/(1+$F$643)^$E$3:$N$3)*$E$2</f>
        <v>5251.81296704734</v>
      </c>
      <c r="P667" s="15" t="n">
        <f aca="false">N667*$E$2*(1+$I$643)/($F$643-$I$643)/(1+$F$643)^$N$3</f>
        <v>6312.86298342657</v>
      </c>
      <c r="Q667" s="15" t="n">
        <f aca="false">O667+P667</f>
        <v>11564.6759504739</v>
      </c>
      <c r="R667" s="15" t="n">
        <f aca="false">Q667-$G$2+$I$2</f>
        <v>10290.0059504739</v>
      </c>
      <c r="S667" s="42" t="n">
        <f aca="false">R667/$K$2</f>
        <v>289.288893743995</v>
      </c>
      <c r="T667" s="43" t="n">
        <f aca="false">S667-$M$2</f>
        <v>0.00016728911731434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0.019795298576355</v>
      </c>
      <c r="C668" s="25" t="n">
        <f aca="false">IF(T667&gt;0,D667,C667)</f>
        <v>0.0197954773902893</v>
      </c>
      <c r="D668" s="41" t="n">
        <f aca="false">(B668+C668)/2</f>
        <v>0.0197953879833221</v>
      </c>
      <c r="E668" s="15" t="n">
        <f aca="false">$C$2*(1+IF(E$3&lt;=$O$2,$D668,$D668-($D668-$I$643)*MIN(E$3-$O$2,$Q$2)/$Q$2))</f>
        <v>2529.09256219864</v>
      </c>
      <c r="F668" s="15" t="n">
        <f aca="false">E668*(1+IF(F$3&lt;=$O$2,$D668,$D668-($D668-$I$643)*MIN(F$3-$O$2,$Q$2)/$Q$2))</f>
        <v>2579.1569307131</v>
      </c>
      <c r="G668" s="15" t="n">
        <f aca="false">F668*(1+IF(G$3&lt;=$O$2,$D668,$D668-($D668-$I$643)*MIN(G$3-$O$2,$Q$2)/$Q$2))</f>
        <v>2630.21234282644</v>
      </c>
      <c r="H668" s="15" t="n">
        <f aca="false">G668*(1+IF(H$3&lt;=$O$2,$D668,$D668-($D668-$I$643)*MIN(H$3-$O$2,$Q$2)/$Q$2))</f>
        <v>2682.27841663121</v>
      </c>
      <c r="I668" s="15" t="n">
        <f aca="false">H668*(1+IF(I$3&lt;=$O$2,$D668,$D668-($D668-$I$643)*MIN(I$3-$O$2,$Q$2)/$Q$2))</f>
        <v>2735.37515856771</v>
      </c>
      <c r="J668" s="15" t="n">
        <f aca="false">I668*(1+IF(J$3&lt;=$O$2,$D668,$D668-($D668-$I$643)*MIN(J$3-$O$2,$Q$2)/$Q$2))</f>
        <v>2794.17563200024</v>
      </c>
      <c r="K668" s="15" t="n">
        <f aca="false">J668*(1+IF(K$3&lt;=$O$2,$D668,$D668-($D668-$I$643)*MIN(K$3-$O$2,$Q$2)/$Q$2))</f>
        <v>2858.99277459187</v>
      </c>
      <c r="L668" s="15" t="n">
        <f aca="false">K668*(1+IF(L$3&lt;=$O$2,$D668,$D668-($D668-$I$643)*MIN(L$3-$O$2,$Q$2)/$Q$2))</f>
        <v>2930.17642039027</v>
      </c>
      <c r="M668" s="15" t="n">
        <f aca="false">L668*(1+IF(M$3&lt;=$O$2,$D668,$D668-($D668-$I$643)*MIN(M$3-$O$2,$Q$2)/$Q$2))</f>
        <v>3008.11641036815</v>
      </c>
      <c r="N668" s="15" t="n">
        <f aca="false">M668*(1+IF(N$3&lt;=$O$2,$D668,$D668-($D668-$I$643)*MIN(N$3-$O$2,$Q$2)/$Q$2))</f>
        <v>3093.24610478156</v>
      </c>
      <c r="O668" s="15" t="n">
        <f aca="false">SUMPRODUCT(E668:N668,1/(1+$F$643)^$E$3:$N$3)*$E$2</f>
        <v>5251.81093633373</v>
      </c>
      <c r="P668" s="15" t="n">
        <f aca="false">N668*$E$2*(1+$I$643)/($F$643-$I$643)/(1+$F$643)^$N$3</f>
        <v>6312.85911289892</v>
      </c>
      <c r="Q668" s="15" t="n">
        <f aca="false">O668+P668</f>
        <v>11564.6700492327</v>
      </c>
      <c r="R668" s="15" t="n">
        <f aca="false">Q668-$G$2+$I$2</f>
        <v>10290.0000492327</v>
      </c>
      <c r="S668" s="42" t="n">
        <f aca="false">R668/$K$2</f>
        <v>289.288727838984</v>
      </c>
      <c r="T668" s="43" t="n">
        <f aca="false">S668-$M$2</f>
        <v>1.38410609906714E-006</v>
      </c>
    </row>
    <row r="670" customFormat="false" ht="15" hidden="false" customHeight="false" outlineLevel="0" collapsed="false">
      <c r="A670" s="38" t="s">
        <v>208</v>
      </c>
      <c r="E670" s="5" t="s">
        <v>11</v>
      </c>
      <c r="F670" s="12" t="n">
        <f aca="false">Sensitivity!$B$14</f>
        <v>0.0914218415038925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8" t="s">
        <v>165</v>
      </c>
      <c r="B671" s="28" t="s">
        <v>166</v>
      </c>
      <c r="C671" s="28" t="s">
        <v>167</v>
      </c>
      <c r="D671" s="28" t="s">
        <v>168</v>
      </c>
      <c r="E671" s="28" t="s">
        <v>169</v>
      </c>
      <c r="F671" s="28" t="s">
        <v>170</v>
      </c>
      <c r="G671" s="28" t="s">
        <v>171</v>
      </c>
      <c r="H671" s="28" t="s">
        <v>172</v>
      </c>
      <c r="I671" s="28" t="s">
        <v>173</v>
      </c>
      <c r="J671" s="28" t="s">
        <v>174</v>
      </c>
      <c r="K671" s="28" t="s">
        <v>175</v>
      </c>
      <c r="L671" s="28" t="s">
        <v>176</v>
      </c>
      <c r="M671" s="28" t="s">
        <v>177</v>
      </c>
      <c r="N671" s="28" t="s">
        <v>178</v>
      </c>
      <c r="O671" s="28" t="s">
        <v>179</v>
      </c>
      <c r="P671" s="28" t="s">
        <v>180</v>
      </c>
      <c r="Q671" s="28" t="s">
        <v>181</v>
      </c>
      <c r="R671" s="28" t="s">
        <v>182</v>
      </c>
      <c r="S671" s="28" t="s">
        <v>183</v>
      </c>
      <c r="T671" s="28" t="s">
        <v>184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41" t="n">
        <f aca="false">(B672+C672)/2</f>
        <v>0.25</v>
      </c>
      <c r="E672" s="15" t="n">
        <f aca="false">$C$2*(1+IF(E$3&lt;=$O$2,$D672,$D672-($D672-$I$670)*MIN(E$3-$O$2,$Q$2)/$Q$2))</f>
        <v>3100</v>
      </c>
      <c r="F672" s="15" t="n">
        <f aca="false">E672*(1+IF(F$3&lt;=$O$2,$D672,$D672-($D672-$I$670)*MIN(F$3-$O$2,$Q$2)/$Q$2))</f>
        <v>3875</v>
      </c>
      <c r="G672" s="15" t="n">
        <f aca="false">F672*(1+IF(G$3&lt;=$O$2,$D672,$D672-($D672-$I$670)*MIN(G$3-$O$2,$Q$2)/$Q$2))</f>
        <v>4843.75</v>
      </c>
      <c r="H672" s="15" t="n">
        <f aca="false">G672*(1+IF(H$3&lt;=$O$2,$D672,$D672-($D672-$I$670)*MIN(H$3-$O$2,$Q$2)/$Q$2))</f>
        <v>6054.6875</v>
      </c>
      <c r="I672" s="15" t="n">
        <f aca="false">H672*(1+IF(I$3&lt;=$O$2,$D672,$D672-($D672-$I$670)*MIN(I$3-$O$2,$Q$2)/$Q$2))</f>
        <v>7568.359375</v>
      </c>
      <c r="J672" s="15" t="n">
        <f aca="false">I672*(1+IF(J$3&lt;=$O$2,$D672,$D672-($D672-$I$670)*MIN(J$3-$O$2,$Q$2)/$Q$2))</f>
        <v>9132.4365234375</v>
      </c>
      <c r="K672" s="15" t="n">
        <f aca="false">J672*(1+IF(K$3&lt;=$O$2,$D672,$D672-($D672-$I$670)*MIN(K$3-$O$2,$Q$2)/$Q$2))</f>
        <v>10623.9460564453</v>
      </c>
      <c r="L672" s="15" t="n">
        <f aca="false">K672*(1+IF(L$3&lt;=$O$2,$D672,$D672-($D672-$I$670)*MIN(L$3-$O$2,$Q$2)/$Q$2))</f>
        <v>11898.6071042976</v>
      </c>
      <c r="M672" s="15" t="n">
        <f aca="false">L672*(1+IF(M$3&lt;=$O$2,$D672,$D672-($D672-$I$670)*MIN(M$3-$O$2,$Q$2)/$Q$2))</f>
        <v>12810.516352771</v>
      </c>
      <c r="N672" s="15" t="n">
        <f aca="false">M672*(1+IF(N$3&lt;=$O$2,$D672,$D672-($D672-$I$670)*MIN(N$3-$O$2,$Q$2)/$Q$2))</f>
        <v>13237.1065473183</v>
      </c>
      <c r="O672" s="15" t="n">
        <f aca="false">SUMPRODUCT(E672:N672,1/(1+$F$670)^$E$3:$N$3)*$E$2</f>
        <v>14240.0482788064</v>
      </c>
      <c r="P672" s="15" t="n">
        <f aca="false">N672*$E$2*(1+$I$670)/($F$670-$I$670)/(1+$F$670)^$N$3</f>
        <v>29481.6356819953</v>
      </c>
      <c r="Q672" s="15" t="n">
        <f aca="false">O672+P672</f>
        <v>43721.6839608017</v>
      </c>
      <c r="R672" s="15" t="n">
        <f aca="false">Q672-$G$2+$I$2</f>
        <v>42447.0139608017</v>
      </c>
      <c r="S672" s="42" t="n">
        <f aca="false">R672/$K$2</f>
        <v>1193.33747429861</v>
      </c>
      <c r="T672" s="43" t="n">
        <f aca="false">S672-$M$2</f>
        <v>904.048747843736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41" t="n">
        <f aca="false">(B673+C673)/2</f>
        <v>-0.125</v>
      </c>
      <c r="E673" s="15" t="n">
        <f aca="false">$C$2*(1+IF(E$3&lt;=$O$2,$D673,$D673-($D673-$I$670)*MIN(E$3-$O$2,$Q$2)/$Q$2))</f>
        <v>2170</v>
      </c>
      <c r="F673" s="15" t="n">
        <f aca="false">E673*(1+IF(F$3&lt;=$O$2,$D673,$D673-($D673-$I$670)*MIN(F$3-$O$2,$Q$2)/$Q$2))</f>
        <v>1898.75</v>
      </c>
      <c r="G673" s="15" t="n">
        <f aca="false">F673*(1+IF(G$3&lt;=$O$2,$D673,$D673-($D673-$I$670)*MIN(G$3-$O$2,$Q$2)/$Q$2))</f>
        <v>1661.40625</v>
      </c>
      <c r="H673" s="15" t="n">
        <f aca="false">G673*(1+IF(H$3&lt;=$O$2,$D673,$D673-($D673-$I$670)*MIN(H$3-$O$2,$Q$2)/$Q$2))</f>
        <v>1453.73046875</v>
      </c>
      <c r="I673" s="15" t="n">
        <f aca="false">H673*(1+IF(I$3&lt;=$O$2,$D673,$D673-($D673-$I$670)*MIN(I$3-$O$2,$Q$2)/$Q$2))</f>
        <v>1272.01416015625</v>
      </c>
      <c r="J673" s="15" t="n">
        <f aca="false">I673*(1+IF(J$3&lt;=$O$2,$D673,$D673-($D673-$I$670)*MIN(J$3-$O$2,$Q$2)/$Q$2))</f>
        <v>1153.28435844727</v>
      </c>
      <c r="K673" s="15" t="n">
        <f aca="false">J673*(1+IF(K$3&lt;=$O$2,$D673,$D673-($D673-$I$670)*MIN(K$3-$O$2,$Q$2)/$Q$2))</f>
        <v>1082.14977921824</v>
      </c>
      <c r="L673" s="15" t="n">
        <f aca="false">K673*(1+IF(L$3&lt;=$O$2,$D673,$D673-($D673-$I$670)*MIN(L$3-$O$2,$Q$2)/$Q$2))</f>
        <v>1049.66364284611</v>
      </c>
      <c r="M673" s="15" t="n">
        <f aca="false">L673*(1+IF(M$3&lt;=$O$2,$D673,$D673-($D673-$I$670)*MIN(M$3-$O$2,$Q$2)/$Q$2))</f>
        <v>1051.38509122037</v>
      </c>
      <c r="N673" s="15" t="n">
        <f aca="false">M673*(1+IF(N$3&lt;=$O$2,$D673,$D673-($D673-$I$670)*MIN(N$3-$O$2,$Q$2)/$Q$2))</f>
        <v>1086.39621475801</v>
      </c>
      <c r="O673" s="15" t="n">
        <f aca="false">SUMPRODUCT(E673:N673,1/(1+$F$670)^$E$3:$N$3)*$E$2</f>
        <v>2832.68973940963</v>
      </c>
      <c r="P673" s="15" t="n">
        <f aca="false">N673*$E$2*(1+$I$670)/($F$670-$I$670)/(1+$F$670)^$N$3</f>
        <v>2419.61770839438</v>
      </c>
      <c r="Q673" s="15" t="n">
        <f aca="false">O673+P673</f>
        <v>5252.30744780401</v>
      </c>
      <c r="R673" s="15" t="n">
        <f aca="false">Q673-$G$2+$I$2</f>
        <v>3977.63744780401</v>
      </c>
      <c r="S673" s="42" t="n">
        <f aca="false">R673/$K$2</f>
        <v>111.825624059714</v>
      </c>
      <c r="T673" s="43" t="n">
        <f aca="false">S673-$M$2</f>
        <v>-177.463102395164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41" t="n">
        <f aca="false">(B674+C674)/2</f>
        <v>0.0625</v>
      </c>
      <c r="E674" s="15" t="n">
        <f aca="false">$C$2*(1+IF(E$3&lt;=$O$2,$D674,$D674-($D674-$I$670)*MIN(E$3-$O$2,$Q$2)/$Q$2))</f>
        <v>2635</v>
      </c>
      <c r="F674" s="15" t="n">
        <f aca="false">E674*(1+IF(F$3&lt;=$O$2,$D674,$D674-($D674-$I$670)*MIN(F$3-$O$2,$Q$2)/$Q$2))</f>
        <v>2799.6875</v>
      </c>
      <c r="G674" s="15" t="n">
        <f aca="false">F674*(1+IF(G$3&lt;=$O$2,$D674,$D674-($D674-$I$670)*MIN(G$3-$O$2,$Q$2)/$Q$2))</f>
        <v>2974.66796875</v>
      </c>
      <c r="H674" s="15" t="n">
        <f aca="false">G674*(1+IF(H$3&lt;=$O$2,$D674,$D674-($D674-$I$670)*MIN(H$3-$O$2,$Q$2)/$Q$2))</f>
        <v>3160.58471679688</v>
      </c>
      <c r="I674" s="15" t="n">
        <f aca="false">H674*(1+IF(I$3&lt;=$O$2,$D674,$D674-($D674-$I$670)*MIN(I$3-$O$2,$Q$2)/$Q$2))</f>
        <v>3358.12126159668</v>
      </c>
      <c r="J674" s="15" t="n">
        <f aca="false">I674*(1+IF(J$3&lt;=$O$2,$D674,$D674-($D674-$I$670)*MIN(J$3-$O$2,$Q$2)/$Q$2))</f>
        <v>3548.39241227875</v>
      </c>
      <c r="K674" s="15" t="n">
        <f aca="false">J674*(1+IF(K$3&lt;=$O$2,$D674,$D674-($D674-$I$670)*MIN(K$3-$O$2,$Q$2)/$Q$2))</f>
        <v>3728.72171467075</v>
      </c>
      <c r="L674" s="15" t="n">
        <f aca="false">K674*(1+IF(L$3&lt;=$O$2,$D674,$D674-($D674-$I$670)*MIN(L$3-$O$2,$Q$2)/$Q$2))</f>
        <v>3896.43961739664</v>
      </c>
      <c r="M674" s="15" t="n">
        <f aca="false">L674*(1+IF(M$3&lt;=$O$2,$D674,$D674-($D674-$I$670)*MIN(M$3-$O$2,$Q$2)/$Q$2))</f>
        <v>4048.94626402155</v>
      </c>
      <c r="N674" s="15" t="n">
        <f aca="false">M674*(1+IF(N$3&lt;=$O$2,$D674,$D674-($D674-$I$670)*MIN(N$3-$O$2,$Q$2)/$Q$2))</f>
        <v>4183.77617461347</v>
      </c>
      <c r="O674" s="15" t="n">
        <f aca="false">SUMPRODUCT(E674:N674,1/(1+$F$670)^$E$3:$N$3)*$E$2</f>
        <v>6337.15942398939</v>
      </c>
      <c r="P674" s="15" t="n">
        <f aca="false">N674*$E$2*(1+$I$670)/($F$670-$I$670)/(1+$F$670)^$N$3</f>
        <v>9318.09111863309</v>
      </c>
      <c r="Q674" s="15" t="n">
        <f aca="false">O674+P674</f>
        <v>15655.2505426225</v>
      </c>
      <c r="R674" s="15" t="n">
        <f aca="false">Q674-$G$2+$I$2</f>
        <v>14380.5805426225</v>
      </c>
      <c r="S674" s="42" t="n">
        <f aca="false">R674/$K$2</f>
        <v>404.289585117303</v>
      </c>
      <c r="T674" s="43" t="n">
        <f aca="false">S674-$M$2</f>
        <v>115.000858662426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-0.125</v>
      </c>
      <c r="C675" s="25" t="n">
        <f aca="false">IF(T674&gt;0,D674,C674)</f>
        <v>0.0625</v>
      </c>
      <c r="D675" s="41" t="n">
        <f aca="false">(B675+C675)/2</f>
        <v>-0.03125</v>
      </c>
      <c r="E675" s="15" t="n">
        <f aca="false">$C$2*(1+IF(E$3&lt;=$O$2,$D675,$D675-($D675-$I$670)*MIN(E$3-$O$2,$Q$2)/$Q$2))</f>
        <v>2402.5</v>
      </c>
      <c r="F675" s="15" t="n">
        <f aca="false">E675*(1+IF(F$3&lt;=$O$2,$D675,$D675-($D675-$I$670)*MIN(F$3-$O$2,$Q$2)/$Q$2))</f>
        <v>2327.421875</v>
      </c>
      <c r="G675" s="15" t="n">
        <f aca="false">F675*(1+IF(G$3&lt;=$O$2,$D675,$D675-($D675-$I$670)*MIN(G$3-$O$2,$Q$2)/$Q$2))</f>
        <v>2254.68994140625</v>
      </c>
      <c r="H675" s="15" t="n">
        <f aca="false">G675*(1+IF(H$3&lt;=$O$2,$D675,$D675-($D675-$I$670)*MIN(H$3-$O$2,$Q$2)/$Q$2))</f>
        <v>2184.2308807373</v>
      </c>
      <c r="I675" s="15" t="n">
        <f aca="false">H675*(1+IF(I$3&lt;=$O$2,$D675,$D675-($D675-$I$670)*MIN(I$3-$O$2,$Q$2)/$Q$2))</f>
        <v>2115.97366571426</v>
      </c>
      <c r="J675" s="15" t="n">
        <f aca="false">I675*(1+IF(J$3&lt;=$O$2,$D675,$D675-($D675-$I$670)*MIN(J$3-$O$2,$Q$2)/$Q$2))</f>
        <v>2077.16670868506</v>
      </c>
      <c r="K675" s="15" t="n">
        <f aca="false">J675*(1+IF(K$3&lt;=$O$2,$D675,$D675-($D675-$I$670)*MIN(K$3-$O$2,$Q$2)/$Q$2))</f>
        <v>2065.8876934569</v>
      </c>
      <c r="L675" s="15" t="n">
        <f aca="false">K675*(1+IF(L$3&lt;=$O$2,$D675,$D675-($D675-$I$670)*MIN(L$3-$O$2,$Q$2)/$Q$2))</f>
        <v>2081.34053340396</v>
      </c>
      <c r="M675" s="15" t="n">
        <f aca="false">L675*(1+IF(M$3&lt;=$O$2,$D675,$D675-($D675-$I$670)*MIN(M$3-$O$2,$Q$2)/$Q$2))</f>
        <v>2123.77906688007</v>
      </c>
      <c r="N675" s="15" t="n">
        <f aca="false">M675*(1+IF(N$3&lt;=$O$2,$D675,$D675-($D675-$I$670)*MIN(N$3-$O$2,$Q$2)/$Q$2))</f>
        <v>2194.50090980717</v>
      </c>
      <c r="O675" s="15" t="n">
        <f aca="false">SUMPRODUCT(E675:N675,1/(1+$F$670)^$E$3:$N$3)*$E$2</f>
        <v>4224.22698059248</v>
      </c>
      <c r="P675" s="15" t="n">
        <f aca="false">N675*$E$2*(1+$I$670)/($F$670-$I$670)/(1+$F$670)^$N$3</f>
        <v>4887.58446534145</v>
      </c>
      <c r="Q675" s="15" t="n">
        <f aca="false">O675+P675</f>
        <v>9111.81144593393</v>
      </c>
      <c r="R675" s="15" t="n">
        <f aca="false">Q675-$G$2+$I$2</f>
        <v>7837.14144593393</v>
      </c>
      <c r="S675" s="42" t="n">
        <f aca="false">R675/$K$2</f>
        <v>220.330094066177</v>
      </c>
      <c r="T675" s="43" t="n">
        <f aca="false">S675-$M$2</f>
        <v>-68.9586323887003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-0.03125</v>
      </c>
      <c r="C676" s="25" t="n">
        <f aca="false">IF(T675&gt;0,D675,C675)</f>
        <v>0.0625</v>
      </c>
      <c r="D676" s="41" t="n">
        <f aca="false">(B676+C676)/2</f>
        <v>0.015625</v>
      </c>
      <c r="E676" s="15" t="n">
        <f aca="false">$C$2*(1+IF(E$3&lt;=$O$2,$D676,$D676-($D676-$I$670)*MIN(E$3-$O$2,$Q$2)/$Q$2))</f>
        <v>2518.75</v>
      </c>
      <c r="F676" s="15" t="n">
        <f aca="false">E676*(1+IF(F$3&lt;=$O$2,$D676,$D676-($D676-$I$670)*MIN(F$3-$O$2,$Q$2)/$Q$2))</f>
        <v>2558.10546875</v>
      </c>
      <c r="G676" s="15" t="n">
        <f aca="false">F676*(1+IF(G$3&lt;=$O$2,$D676,$D676-($D676-$I$670)*MIN(G$3-$O$2,$Q$2)/$Q$2))</f>
        <v>2598.07586669922</v>
      </c>
      <c r="H676" s="15" t="n">
        <f aca="false">G676*(1+IF(H$3&lt;=$O$2,$D676,$D676-($D676-$I$670)*MIN(H$3-$O$2,$Q$2)/$Q$2))</f>
        <v>2638.67080211639</v>
      </c>
      <c r="I676" s="15" t="n">
        <f aca="false">H676*(1+IF(I$3&lt;=$O$2,$D676,$D676-($D676-$I$670)*MIN(I$3-$O$2,$Q$2)/$Q$2))</f>
        <v>2679.90003339946</v>
      </c>
      <c r="J676" s="15" t="n">
        <f aca="false">I676*(1+IF(J$3&lt;=$O$2,$D676,$D676-($D676-$I$670)*MIN(J$3-$O$2,$Q$2)/$Q$2))</f>
        <v>2731.2469180394</v>
      </c>
      <c r="K676" s="15" t="n">
        <f aca="false">J676*(1+IF(K$3&lt;=$O$2,$D676,$D676-($D676-$I$670)*MIN(K$3-$O$2,$Q$2)/$Q$2))</f>
        <v>2793.2325668443</v>
      </c>
      <c r="L676" s="15" t="n">
        <f aca="false">K676*(1+IF(L$3&lt;=$O$2,$D676,$D676-($D676-$I$670)*MIN(L$3-$O$2,$Q$2)/$Q$2))</f>
        <v>2866.49905707263</v>
      </c>
      <c r="M676" s="15" t="n">
        <f aca="false">L676*(1+IF(M$3&lt;=$O$2,$D676,$D676-($D676-$I$670)*MIN(M$3-$O$2,$Q$2)/$Q$2))</f>
        <v>2951.82040150639</v>
      </c>
      <c r="N676" s="15" t="n">
        <f aca="false">M676*(1+IF(N$3&lt;=$O$2,$D676,$D676-($D676-$I$670)*MIN(N$3-$O$2,$Q$2)/$Q$2))</f>
        <v>3050.11602087656</v>
      </c>
      <c r="O676" s="15" t="n">
        <f aca="false">SUMPRODUCT(E676:N676,1/(1+$F$670)^$E$3:$N$3)*$E$2</f>
        <v>5171.72943024571</v>
      </c>
      <c r="P676" s="15" t="n">
        <f aca="false">N676*$E$2*(1+$I$670)/($F$670-$I$670)/(1+$F$670)^$N$3</f>
        <v>6793.20733680409</v>
      </c>
      <c r="Q676" s="15" t="n">
        <f aca="false">O676+P676</f>
        <v>11964.9367670498</v>
      </c>
      <c r="R676" s="15" t="n">
        <f aca="false">Q676-$G$2+$I$2</f>
        <v>10690.2667670498</v>
      </c>
      <c r="S676" s="42" t="n">
        <f aca="false">R676/$K$2</f>
        <v>300.541657774804</v>
      </c>
      <c r="T676" s="43" t="n">
        <f aca="false">S676-$M$2</f>
        <v>11.2529313199266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-0.03125</v>
      </c>
      <c r="C677" s="25" t="n">
        <f aca="false">IF(T676&gt;0,D676,C676)</f>
        <v>0.015625</v>
      </c>
      <c r="D677" s="41" t="n">
        <f aca="false">(B677+C677)/2</f>
        <v>-0.0078125</v>
      </c>
      <c r="E677" s="15" t="n">
        <f aca="false">$C$2*(1+IF(E$3&lt;=$O$2,$D677,$D677-($D677-$I$670)*MIN(E$3-$O$2,$Q$2)/$Q$2))</f>
        <v>2460.625</v>
      </c>
      <c r="F677" s="15" t="n">
        <f aca="false">E677*(1+IF(F$3&lt;=$O$2,$D677,$D677-($D677-$I$670)*MIN(F$3-$O$2,$Q$2)/$Q$2))</f>
        <v>2441.4013671875</v>
      </c>
      <c r="G677" s="15" t="n">
        <f aca="false">F677*(1+IF(G$3&lt;=$O$2,$D677,$D677-($D677-$I$670)*MIN(G$3-$O$2,$Q$2)/$Q$2))</f>
        <v>2422.32791900635</v>
      </c>
      <c r="H677" s="15" t="n">
        <f aca="false">G677*(1+IF(H$3&lt;=$O$2,$D677,$D677-($D677-$I$670)*MIN(H$3-$O$2,$Q$2)/$Q$2))</f>
        <v>2403.40348213911</v>
      </c>
      <c r="I677" s="15" t="n">
        <f aca="false">H677*(1+IF(I$3&lt;=$O$2,$D677,$D677-($D677-$I$670)*MIN(I$3-$O$2,$Q$2)/$Q$2))</f>
        <v>2384.6268924349</v>
      </c>
      <c r="J677" s="15" t="n">
        <f aca="false">I677*(1+IF(J$3&lt;=$O$2,$D677,$D677-($D677-$I$670)*MIN(J$3-$O$2,$Q$2)/$Q$2))</f>
        <v>2385.6045894608</v>
      </c>
      <c r="K677" s="15" t="n">
        <f aca="false">J677*(1+IF(K$3&lt;=$O$2,$D677,$D677-($D677-$I$670)*MIN(K$3-$O$2,$Q$2)/$Q$2))</f>
        <v>2406.19832107932</v>
      </c>
      <c r="L677" s="15" t="n">
        <f aca="false">K677*(1+IF(L$3&lt;=$O$2,$D677,$D677-($D677-$I$670)*MIN(L$3-$O$2,$Q$2)/$Q$2))</f>
        <v>2446.75479378111</v>
      </c>
      <c r="M677" s="15" t="n">
        <f aca="false">L677*(1+IF(M$3&lt;=$O$2,$D677,$D677-($D677-$I$670)*MIN(M$3-$O$2,$Q$2)/$Q$2))</f>
        <v>2508.11328712216</v>
      </c>
      <c r="N677" s="15" t="n">
        <f aca="false">M677*(1+IF(N$3&lt;=$O$2,$D677,$D677-($D677-$I$670)*MIN(N$3-$O$2,$Q$2)/$Q$2))</f>
        <v>2591.63345958332</v>
      </c>
      <c r="O677" s="15" t="n">
        <f aca="false">SUMPRODUCT(E677:N677,1/(1+$F$670)^$E$3:$N$3)*$E$2</f>
        <v>4673.34351262755</v>
      </c>
      <c r="P677" s="15" t="n">
        <f aca="false">N677*$E$2*(1+$I$670)/($F$670-$I$670)/(1+$F$670)^$N$3</f>
        <v>5772.07663952693</v>
      </c>
      <c r="Q677" s="15" t="n">
        <f aca="false">O677+P677</f>
        <v>10445.4201521545</v>
      </c>
      <c r="R677" s="15" t="n">
        <f aca="false">Q677-$G$2+$I$2</f>
        <v>9170.75015215448</v>
      </c>
      <c r="S677" s="42" t="n">
        <f aca="false">R677/$K$2</f>
        <v>257.822607595009</v>
      </c>
      <c r="T677" s="43" t="n">
        <f aca="false">S677-$M$2</f>
        <v>-31.4661188598685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-0.0078125</v>
      </c>
      <c r="C678" s="25" t="n">
        <f aca="false">IF(T677&gt;0,D677,C677)</f>
        <v>0.015625</v>
      </c>
      <c r="D678" s="41" t="n">
        <f aca="false">(B678+C678)/2</f>
        <v>0.00390625</v>
      </c>
      <c r="E678" s="15" t="n">
        <f aca="false">$C$2*(1+IF(E$3&lt;=$O$2,$D678,$D678-($D678-$I$670)*MIN(E$3-$O$2,$Q$2)/$Q$2))</f>
        <v>2489.6875</v>
      </c>
      <c r="F678" s="15" t="n">
        <f aca="false">E678*(1+IF(F$3&lt;=$O$2,$D678,$D678-($D678-$I$670)*MIN(F$3-$O$2,$Q$2)/$Q$2))</f>
        <v>2499.41284179688</v>
      </c>
      <c r="G678" s="15" t="n">
        <f aca="false">F678*(1+IF(G$3&lt;=$O$2,$D678,$D678-($D678-$I$670)*MIN(G$3-$O$2,$Q$2)/$Q$2))</f>
        <v>2509.17617321014</v>
      </c>
      <c r="H678" s="15" t="n">
        <f aca="false">G678*(1+IF(H$3&lt;=$O$2,$D678,$D678-($D678-$I$670)*MIN(H$3-$O$2,$Q$2)/$Q$2))</f>
        <v>2518.97764263675</v>
      </c>
      <c r="I678" s="15" t="n">
        <f aca="false">H678*(1+IF(I$3&lt;=$O$2,$D678,$D678-($D678-$I$670)*MIN(I$3-$O$2,$Q$2)/$Q$2))</f>
        <v>2528.8173990533</v>
      </c>
      <c r="J678" s="15" t="n">
        <f aca="false">I678*(1+IF(J$3&lt;=$O$2,$D678,$D678-($D678-$I$670)*MIN(J$3-$O$2,$Q$2)/$Q$2))</f>
        <v>2553.56187730303</v>
      </c>
      <c r="K678" s="15" t="n">
        <f aca="false">J678*(1+IF(K$3&lt;=$O$2,$D678,$D678-($D678-$I$670)*MIN(K$3-$O$2,$Q$2)/$Q$2))</f>
        <v>2593.56023215864</v>
      </c>
      <c r="L678" s="15" t="n">
        <f aca="false">K678*(1+IF(L$3&lt;=$O$2,$D678,$D678-($D678-$I$670)*MIN(L$3-$O$2,$Q$2)/$Q$2))</f>
        <v>2649.43200345992</v>
      </c>
      <c r="M678" s="15" t="n">
        <f aca="false">L678*(1+IF(M$3&lt;=$O$2,$D678,$D678-($D678-$I$670)*MIN(M$3-$O$2,$Q$2)/$Q$2))</f>
        <v>2722.08274078479</v>
      </c>
      <c r="N678" s="15" t="n">
        <f aca="false">M678*(1+IF(N$3&lt;=$O$2,$D678,$D678-($D678-$I$670)*MIN(N$3-$O$2,$Q$2)/$Q$2))</f>
        <v>2812.72809605292</v>
      </c>
      <c r="O678" s="15" t="n">
        <f aca="false">SUMPRODUCT(E678:N678,1/(1+$F$670)^$E$3:$N$3)*$E$2</f>
        <v>4916.06940190443</v>
      </c>
      <c r="P678" s="15" t="n">
        <f aca="false">N678*$E$2*(1+$I$670)/($F$670-$I$670)/(1+$F$670)^$N$3</f>
        <v>6264.497811808</v>
      </c>
      <c r="Q678" s="15" t="n">
        <f aca="false">O678+P678</f>
        <v>11180.5672137124</v>
      </c>
      <c r="R678" s="15" t="n">
        <f aca="false">Q678-$G$2+$I$2</f>
        <v>9905.89721371244</v>
      </c>
      <c r="S678" s="42" t="n">
        <f aca="false">R678/$K$2</f>
        <v>278.490222482779</v>
      </c>
      <c r="T678" s="43" t="n">
        <f aca="false">S678-$M$2</f>
        <v>-10.7985039720991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0.00390625</v>
      </c>
      <c r="C679" s="25" t="n">
        <f aca="false">IF(T678&gt;0,D678,C678)</f>
        <v>0.015625</v>
      </c>
      <c r="D679" s="41" t="n">
        <f aca="false">(B679+C679)/2</f>
        <v>0.009765625</v>
      </c>
      <c r="E679" s="15" t="n">
        <f aca="false">$C$2*(1+IF(E$3&lt;=$O$2,$D679,$D679-($D679-$I$670)*MIN(E$3-$O$2,$Q$2)/$Q$2))</f>
        <v>2504.21875</v>
      </c>
      <c r="F679" s="15" t="n">
        <f aca="false">E679*(1+IF(F$3&lt;=$O$2,$D679,$D679-($D679-$I$670)*MIN(F$3-$O$2,$Q$2)/$Q$2))</f>
        <v>2528.67401123047</v>
      </c>
      <c r="G679" s="15" t="n">
        <f aca="false">F679*(1+IF(G$3&lt;=$O$2,$D679,$D679-($D679-$I$670)*MIN(G$3-$O$2,$Q$2)/$Q$2))</f>
        <v>2553.36809337139</v>
      </c>
      <c r="H679" s="15" t="n">
        <f aca="false">G679*(1+IF(H$3&lt;=$O$2,$D679,$D679-($D679-$I$670)*MIN(H$3-$O$2,$Q$2)/$Q$2))</f>
        <v>2578.30332865822</v>
      </c>
      <c r="I679" s="15" t="n">
        <f aca="false">H679*(1+IF(I$3&lt;=$O$2,$D679,$D679-($D679-$I$670)*MIN(I$3-$O$2,$Q$2)/$Q$2))</f>
        <v>2603.48207210215</v>
      </c>
      <c r="J679" s="15" t="n">
        <f aca="false">I679*(1+IF(J$3&lt;=$O$2,$D679,$D679-($D679-$I$670)*MIN(J$3-$O$2,$Q$2)/$Q$2))</f>
        <v>2641.16096639065</v>
      </c>
      <c r="K679" s="15" t="n">
        <f aca="false">J679*(1+IF(K$3&lt;=$O$2,$D679,$D679-($D679-$I$670)*MIN(K$3-$O$2,$Q$2)/$Q$2))</f>
        <v>2691.81678300042</v>
      </c>
      <c r="L679" s="15" t="n">
        <f aca="false">K679*(1+IF(L$3&lt;=$O$2,$D679,$D679-($D679-$I$670)*MIN(L$3-$O$2,$Q$2)/$Q$2))</f>
        <v>2756.11419163336</v>
      </c>
      <c r="M679" s="15" t="n">
        <f aca="false">L679*(1+IF(M$3&lt;=$O$2,$D679,$D679-($D679-$I$670)*MIN(M$3-$O$2,$Q$2)/$Q$2))</f>
        <v>2834.92010922901</v>
      </c>
      <c r="N679" s="15" t="n">
        <f aca="false">M679*(1+IF(N$3&lt;=$O$2,$D679,$D679-($D679-$I$670)*MIN(N$3-$O$2,$Q$2)/$Q$2))</f>
        <v>2929.32294886633</v>
      </c>
      <c r="O679" s="15" t="n">
        <f aca="false">SUMPRODUCT(E679:N679,1/(1+$F$670)^$E$3:$N$3)*$E$2</f>
        <v>5042.24262649664</v>
      </c>
      <c r="P679" s="15" t="n">
        <f aca="false">N679*$E$2*(1+$I$670)/($F$670-$I$670)/(1+$F$670)^$N$3</f>
        <v>6524.1774450234</v>
      </c>
      <c r="Q679" s="15" t="n">
        <f aca="false">O679+P679</f>
        <v>11566.42007152</v>
      </c>
      <c r="R679" s="15" t="n">
        <f aca="false">Q679-$G$2+$I$2</f>
        <v>10291.75007152</v>
      </c>
      <c r="S679" s="42" t="n">
        <f aca="false">R679/$K$2</f>
        <v>289.337927228565</v>
      </c>
      <c r="T679" s="43" t="n">
        <f aca="false">S679-$M$2</f>
        <v>0.0492007736868345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0.00390625</v>
      </c>
      <c r="C680" s="25" t="n">
        <f aca="false">IF(T679&gt;0,D679,C679)</f>
        <v>0.009765625</v>
      </c>
      <c r="D680" s="41" t="n">
        <f aca="false">(B680+C680)/2</f>
        <v>0.0068359375</v>
      </c>
      <c r="E680" s="15" t="n">
        <f aca="false">$C$2*(1+IF(E$3&lt;=$O$2,$D680,$D680-($D680-$I$670)*MIN(E$3-$O$2,$Q$2)/$Q$2))</f>
        <v>2496.953125</v>
      </c>
      <c r="F680" s="15" t="n">
        <f aca="false">E680*(1+IF(F$3&lt;=$O$2,$D680,$D680-($D680-$I$670)*MIN(F$3-$O$2,$Q$2)/$Q$2))</f>
        <v>2514.02214050293</v>
      </c>
      <c r="G680" s="15" t="n">
        <f aca="false">F680*(1+IF(G$3&lt;=$O$2,$D680,$D680-($D680-$I$670)*MIN(G$3-$O$2,$Q$2)/$Q$2))</f>
        <v>2531.20783872902</v>
      </c>
      <c r="H680" s="15" t="n">
        <f aca="false">G680*(1+IF(H$3&lt;=$O$2,$D680,$D680-($D680-$I$670)*MIN(H$3-$O$2,$Q$2)/$Q$2))</f>
        <v>2548.51101731409</v>
      </c>
      <c r="I680" s="15" t="n">
        <f aca="false">H680*(1+IF(I$3&lt;=$O$2,$D680,$D680-($D680-$I$670)*MIN(I$3-$O$2,$Q$2)/$Q$2))</f>
        <v>2565.93247934651</v>
      </c>
      <c r="J680" s="15" t="n">
        <f aca="false">I680*(1+IF(J$3&lt;=$O$2,$D680,$D680-($D680-$I$670)*MIN(J$3-$O$2,$Q$2)/$Q$2))</f>
        <v>2597.05403290538</v>
      </c>
      <c r="K680" s="15" t="n">
        <f aca="false">J680*(1+IF(K$3&lt;=$O$2,$D680,$D680-($D680-$I$670)*MIN(K$3-$O$2,$Q$2)/$Q$2))</f>
        <v>2642.29877205552</v>
      </c>
      <c r="L680" s="15" t="n">
        <f aca="false">K680*(1+IF(L$3&lt;=$O$2,$D680,$D680-($D680-$I$670)*MIN(L$3-$O$2,$Q$2)/$Q$2))</f>
        <v>2702.31693722603</v>
      </c>
      <c r="M680" s="15" t="n">
        <f aca="false">L680*(1+IF(M$3&lt;=$O$2,$D680,$D680-($D680-$I$670)*MIN(M$3-$O$2,$Q$2)/$Q$2))</f>
        <v>2778.00123437134</v>
      </c>
      <c r="N680" s="15" t="n">
        <f aca="false">M680*(1+IF(N$3&lt;=$O$2,$D680,$D680-($D680-$I$670)*MIN(N$3-$O$2,$Q$2)/$Q$2))</f>
        <v>2870.50867547591</v>
      </c>
      <c r="O680" s="15" t="n">
        <f aca="false">SUMPRODUCT(E680:N680,1/(1+$F$670)^$E$3:$N$3)*$E$2</f>
        <v>4978.74688685431</v>
      </c>
      <c r="P680" s="15" t="n">
        <f aca="false">N680*$E$2*(1+$I$670)/($F$670-$I$670)/(1+$F$670)^$N$3</f>
        <v>6393.18650868852</v>
      </c>
      <c r="Q680" s="15" t="n">
        <f aca="false">O680+P680</f>
        <v>11371.9333955428</v>
      </c>
      <c r="R680" s="15" t="n">
        <f aca="false">Q680-$G$2+$I$2</f>
        <v>10097.2633955428</v>
      </c>
      <c r="S680" s="42" t="n">
        <f aca="false">R680/$K$2</f>
        <v>283.870210726534</v>
      </c>
      <c r="T680" s="43" t="n">
        <f aca="false">S680-$M$2</f>
        <v>-5.41851572834327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0.0068359375</v>
      </c>
      <c r="C681" s="25" t="n">
        <f aca="false">IF(T680&gt;0,D680,C680)</f>
        <v>0.009765625</v>
      </c>
      <c r="D681" s="41" t="n">
        <f aca="false">(B681+C681)/2</f>
        <v>0.00830078125</v>
      </c>
      <c r="E681" s="15" t="n">
        <f aca="false">$C$2*(1+IF(E$3&lt;=$O$2,$D681,$D681-($D681-$I$670)*MIN(E$3-$O$2,$Q$2)/$Q$2))</f>
        <v>2500.5859375</v>
      </c>
      <c r="F681" s="15" t="n">
        <f aca="false">E681*(1+IF(F$3&lt;=$O$2,$D681,$D681-($D681-$I$670)*MIN(F$3-$O$2,$Q$2)/$Q$2))</f>
        <v>2521.34275436401</v>
      </c>
      <c r="G681" s="15" t="n">
        <f aca="false">F681*(1+IF(G$3&lt;=$O$2,$D681,$D681-($D681-$I$670)*MIN(G$3-$O$2,$Q$2)/$Q$2))</f>
        <v>2542.27186902426</v>
      </c>
      <c r="H681" s="15" t="n">
        <f aca="false">G681*(1+IF(H$3&lt;=$O$2,$D681,$D681-($D681-$I$670)*MIN(H$3-$O$2,$Q$2)/$Q$2))</f>
        <v>2563.37471168706</v>
      </c>
      <c r="I681" s="15" t="n">
        <f aca="false">H681*(1+IF(I$3&lt;=$O$2,$D681,$D681-($D681-$I$670)*MIN(I$3-$O$2,$Q$2)/$Q$2))</f>
        <v>2584.65272443056</v>
      </c>
      <c r="J681" s="15" t="n">
        <f aca="false">I681*(1+IF(J$3&lt;=$O$2,$D681,$D681-($D681-$I$670)*MIN(J$3-$O$2,$Q$2)/$Q$2))</f>
        <v>2619.03022107344</v>
      </c>
      <c r="K681" s="15" t="n">
        <f aca="false">J681*(1+IF(K$3&lt;=$O$2,$D681,$D681-($D681-$I$670)*MIN(K$3-$O$2,$Q$2)/$Q$2))</f>
        <v>2666.9597017895</v>
      </c>
      <c r="L681" s="15" t="n">
        <f aca="false">K681*(1+IF(L$3&lt;=$O$2,$D681,$D681-($D681-$I$670)*MIN(L$3-$O$2,$Q$2)/$Q$2))</f>
        <v>2729.1006962661</v>
      </c>
      <c r="M681" s="15" t="n">
        <f aca="false">L681*(1+IF(M$3&lt;=$O$2,$D681,$D681-($D681-$I$670)*MIN(M$3-$O$2,$Q$2)/$Q$2))</f>
        <v>2806.33467239241</v>
      </c>
      <c r="N681" s="15" t="n">
        <f aca="false">M681*(1+IF(N$3&lt;=$O$2,$D681,$D681-($D681-$I$670)*MIN(N$3-$O$2,$Q$2)/$Q$2))</f>
        <v>2899.78561698308</v>
      </c>
      <c r="O681" s="15" t="n">
        <f aca="false">SUMPRODUCT(E681:N681,1/(1+$F$670)^$E$3:$N$3)*$E$2</f>
        <v>5010.39184532859</v>
      </c>
      <c r="P681" s="15" t="n">
        <f aca="false">N681*$E$2*(1+$I$670)/($F$670-$I$670)/(1+$F$670)^$N$3</f>
        <v>6458.39200660547</v>
      </c>
      <c r="Q681" s="15" t="n">
        <f aca="false">O681+P681</f>
        <v>11468.7838519341</v>
      </c>
      <c r="R681" s="15" t="n">
        <f aca="false">Q681-$G$2+$I$2</f>
        <v>10194.1138519341</v>
      </c>
      <c r="S681" s="42" t="n">
        <f aca="false">R681/$K$2</f>
        <v>286.59302366978</v>
      </c>
      <c r="T681" s="43" t="n">
        <f aca="false">S681-$M$2</f>
        <v>-2.69570278509809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0.00830078125</v>
      </c>
      <c r="C682" s="25" t="n">
        <f aca="false">IF(T681&gt;0,D681,C681)</f>
        <v>0.009765625</v>
      </c>
      <c r="D682" s="41" t="n">
        <f aca="false">(B682+C682)/2</f>
        <v>0.009033203125</v>
      </c>
      <c r="E682" s="15" t="n">
        <f aca="false">$C$2*(1+IF(E$3&lt;=$O$2,$D682,$D682-($D682-$I$670)*MIN(E$3-$O$2,$Q$2)/$Q$2))</f>
        <v>2502.40234375</v>
      </c>
      <c r="F682" s="15" t="n">
        <f aca="false">E682*(1+IF(F$3&lt;=$O$2,$D682,$D682-($D682-$I$670)*MIN(F$3-$O$2,$Q$2)/$Q$2))</f>
        <v>2525.00705242157</v>
      </c>
      <c r="G682" s="15" t="n">
        <f aca="false">F682*(1+IF(G$3&lt;=$O$2,$D682,$D682-($D682-$I$670)*MIN(G$3-$O$2,$Q$2)/$Q$2))</f>
        <v>2547.81595401815</v>
      </c>
      <c r="H682" s="15" t="n">
        <f aca="false">G682*(1+IF(H$3&lt;=$O$2,$D682,$D682-($D682-$I$670)*MIN(H$3-$O$2,$Q$2)/$Q$2))</f>
        <v>2570.83089305591</v>
      </c>
      <c r="I682" s="15" t="n">
        <f aca="false">H682*(1+IF(I$3&lt;=$O$2,$D682,$D682-($D682-$I$670)*MIN(I$3-$O$2,$Q$2)/$Q$2))</f>
        <v>2594.05373071291</v>
      </c>
      <c r="J682" s="15" t="n">
        <f aca="false">I682*(1+IF(J$3&lt;=$O$2,$D682,$D682-($D682-$I$670)*MIN(J$3-$O$2,$Q$2)/$Q$2))</f>
        <v>2630.07621997282</v>
      </c>
      <c r="K682" s="15" t="n">
        <f aca="false">J682*(1+IF(K$3&lt;=$O$2,$D682,$D682-($D682-$I$670)*MIN(K$3-$O$2,$Q$2)/$Q$2))</f>
        <v>2679.3636428604</v>
      </c>
      <c r="L682" s="15" t="n">
        <f aca="false">K682*(1+IF(L$3&lt;=$O$2,$D682,$D682-($D682-$I$670)*MIN(L$3-$O$2,$Q$2)/$Q$2))</f>
        <v>2742.57862285743</v>
      </c>
      <c r="M682" s="15" t="n">
        <f aca="false">L682*(1+IF(M$3&lt;=$O$2,$D682,$D682-($D682-$I$670)*MIN(M$3-$O$2,$Q$2)/$Q$2))</f>
        <v>2820.59577132766</v>
      </c>
      <c r="N682" s="15" t="n">
        <f aca="false">M682*(1+IF(N$3&lt;=$O$2,$D682,$D682-($D682-$I$670)*MIN(N$3-$O$2,$Q$2)/$Q$2))</f>
        <v>2914.52161051287</v>
      </c>
      <c r="O682" s="15" t="n">
        <f aca="false">SUMPRODUCT(E682:N682,1/(1+$F$670)^$E$3:$N$3)*$E$2</f>
        <v>5026.29142901709</v>
      </c>
      <c r="P682" s="15" t="n">
        <f aca="false">N682*$E$2*(1+$I$670)/($F$670-$I$670)/(1+$F$670)^$N$3</f>
        <v>6491.21195793733</v>
      </c>
      <c r="Q682" s="15" t="n">
        <f aca="false">O682+P682</f>
        <v>11517.5033869544</v>
      </c>
      <c r="R682" s="15" t="n">
        <f aca="false">Q682-$G$2+$I$2</f>
        <v>10242.8333869544</v>
      </c>
      <c r="S682" s="42" t="n">
        <f aca="false">R682/$K$2</f>
        <v>287.962704159528</v>
      </c>
      <c r="T682" s="43" t="n">
        <f aca="false">S682-$M$2</f>
        <v>-1.32602229534967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0.009033203125</v>
      </c>
      <c r="C683" s="25" t="n">
        <f aca="false">IF(T682&gt;0,D682,C682)</f>
        <v>0.009765625</v>
      </c>
      <c r="D683" s="41" t="n">
        <f aca="false">(B683+C683)/2</f>
        <v>0.0093994140625</v>
      </c>
      <c r="E683" s="15" t="n">
        <f aca="false">$C$2*(1+IF(E$3&lt;=$O$2,$D683,$D683-($D683-$I$670)*MIN(E$3-$O$2,$Q$2)/$Q$2))</f>
        <v>2503.310546875</v>
      </c>
      <c r="F683" s="15" t="n">
        <f aca="false">E683*(1+IF(F$3&lt;=$O$2,$D683,$D683-($D683-$I$670)*MIN(F$3-$O$2,$Q$2)/$Q$2))</f>
        <v>2526.8401992321</v>
      </c>
      <c r="G683" s="15" t="n">
        <f aca="false">F683*(1+IF(G$3&lt;=$O$2,$D683,$D683-($D683-$I$670)*MIN(G$3-$O$2,$Q$2)/$Q$2))</f>
        <v>2550.59101653445</v>
      </c>
      <c r="H683" s="15" t="n">
        <f aca="false">G683*(1+IF(H$3&lt;=$O$2,$D683,$D683-($D683-$I$670)*MIN(H$3-$O$2,$Q$2)/$Q$2))</f>
        <v>2574.56507760295</v>
      </c>
      <c r="I683" s="15" t="n">
        <f aca="false">H683*(1+IF(I$3&lt;=$O$2,$D683,$D683-($D683-$I$670)*MIN(I$3-$O$2,$Q$2)/$Q$2))</f>
        <v>2598.7644807982</v>
      </c>
      <c r="J683" s="15" t="n">
        <f aca="false">I683*(1+IF(J$3&lt;=$O$2,$D683,$D683-($D683-$I$670)*MIN(J$3-$O$2,$Q$2)/$Q$2))</f>
        <v>2635.61374296507</v>
      </c>
      <c r="K683" s="15" t="n">
        <f aca="false">J683*(1+IF(K$3&lt;=$O$2,$D683,$D683-($D683-$I$670)*MIN(K$3-$O$2,$Q$2)/$Q$2))</f>
        <v>2685.58405294873</v>
      </c>
      <c r="L683" s="15" t="n">
        <f aca="false">K683*(1+IF(L$3&lt;=$O$2,$D683,$D683-($D683-$I$670)*MIN(L$3-$O$2,$Q$2)/$Q$2))</f>
        <v>2749.33918893197</v>
      </c>
      <c r="M683" s="15" t="n">
        <f aca="false">L683*(1+IF(M$3&lt;=$O$2,$D683,$D683-($D683-$I$670)*MIN(M$3-$O$2,$Q$2)/$Q$2))</f>
        <v>2827.75002041212</v>
      </c>
      <c r="N683" s="15" t="n">
        <f aca="false">M683*(1+IF(N$3&lt;=$O$2,$D683,$D683-($D683-$I$670)*MIN(N$3-$O$2,$Q$2)/$Q$2))</f>
        <v>2921.91409609184</v>
      </c>
      <c r="O683" s="15" t="n">
        <f aca="false">SUMPRODUCT(E683:N683,1/(1+$F$670)^$E$3:$N$3)*$E$2</f>
        <v>5034.26056612743</v>
      </c>
      <c r="P683" s="15" t="n">
        <f aca="false">N683*$E$2*(1+$I$670)/($F$670-$I$670)/(1+$F$670)^$N$3</f>
        <v>6507.67647500112</v>
      </c>
      <c r="Q683" s="15" t="n">
        <f aca="false">O683+P683</f>
        <v>11541.9370411285</v>
      </c>
      <c r="R683" s="15" t="n">
        <f aca="false">Q683-$G$2+$I$2</f>
        <v>10267.2670411285</v>
      </c>
      <c r="S683" s="42" t="n">
        <f aca="false">R683/$K$2</f>
        <v>288.649621622956</v>
      </c>
      <c r="T683" s="43" t="n">
        <f aca="false">S683-$M$2</f>
        <v>-0.639104831921657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0.0093994140625</v>
      </c>
      <c r="C684" s="25" t="n">
        <f aca="false">IF(T683&gt;0,D683,C683)</f>
        <v>0.009765625</v>
      </c>
      <c r="D684" s="41" t="n">
        <f aca="false">(B684+C684)/2</f>
        <v>0.00958251953125</v>
      </c>
      <c r="E684" s="15" t="n">
        <f aca="false">$C$2*(1+IF(E$3&lt;=$O$2,$D684,$D684-($D684-$I$670)*MIN(E$3-$O$2,$Q$2)/$Q$2))</f>
        <v>2503.7646484375</v>
      </c>
      <c r="F684" s="15" t="n">
        <f aca="false">E684*(1+IF(F$3&lt;=$O$2,$D684,$D684-($D684-$I$670)*MIN(F$3-$O$2,$Q$2)/$Q$2))</f>
        <v>2527.75702208281</v>
      </c>
      <c r="G684" s="15" t="n">
        <f aca="false">F684*(1+IF(G$3&lt;=$O$2,$D684,$D684-($D684-$I$670)*MIN(G$3-$O$2,$Q$2)/$Q$2))</f>
        <v>2551.97930311717</v>
      </c>
      <c r="H684" s="15" t="n">
        <f aca="false">G684*(1+IF(H$3&lt;=$O$2,$D684,$D684-($D684-$I$670)*MIN(H$3-$O$2,$Q$2)/$Q$2))</f>
        <v>2576.43369463263</v>
      </c>
      <c r="I684" s="15" t="n">
        <f aca="false">H684*(1+IF(I$3&lt;=$O$2,$D684,$D684-($D684-$I$670)*MIN(I$3-$O$2,$Q$2)/$Q$2))</f>
        <v>2601.12242083242</v>
      </c>
      <c r="J684" s="15" t="n">
        <f aca="false">I684*(1+IF(J$3&lt;=$O$2,$D684,$D684-($D684-$I$670)*MIN(J$3-$O$2,$Q$2)/$Q$2))</f>
        <v>2638.38614127581</v>
      </c>
      <c r="K684" s="15" t="n">
        <f aca="false">J684*(1+IF(K$3&lt;=$O$2,$D684,$D684-($D684-$I$670)*MIN(K$3-$O$2,$Q$2)/$Q$2))</f>
        <v>2688.69887671545</v>
      </c>
      <c r="L684" s="15" t="n">
        <f aca="false">K684*(1+IF(L$3&lt;=$O$2,$D684,$D684-($D684-$I$670)*MIN(L$3-$O$2,$Q$2)/$Q$2))</f>
        <v>2752.72488407214</v>
      </c>
      <c r="M684" s="15" t="n">
        <f aca="false">L684*(1+IF(M$3&lt;=$O$2,$D684,$D684-($D684-$I$670)*MIN(M$3-$O$2,$Q$2)/$Q$2))</f>
        <v>2831.33308297697</v>
      </c>
      <c r="N684" s="15" t="n">
        <f aca="false">M684*(1+IF(N$3&lt;=$O$2,$D684,$D684-($D684-$I$670)*MIN(N$3-$O$2,$Q$2)/$Q$2))</f>
        <v>2925.61647464011</v>
      </c>
      <c r="O684" s="15" t="n">
        <f aca="false">SUMPRODUCT(E684:N684,1/(1+$F$670)^$E$3:$N$3)*$E$2</f>
        <v>5038.24997966502</v>
      </c>
      <c r="P684" s="15" t="n">
        <f aca="false">N684*$E$2*(1+$I$670)/($F$670-$I$670)/(1+$F$670)^$N$3</f>
        <v>6515.92239907271</v>
      </c>
      <c r="Q684" s="15" t="n">
        <f aca="false">O684+P684</f>
        <v>11554.1723787377</v>
      </c>
      <c r="R684" s="15" t="n">
        <f aca="false">Q684-$G$2+$I$2</f>
        <v>10279.5023787377</v>
      </c>
      <c r="S684" s="42" t="n">
        <f aca="false">R684/$K$2</f>
        <v>288.993600751694</v>
      </c>
      <c r="T684" s="43" t="n">
        <f aca="false">S684-$M$2</f>
        <v>-0.295125703184169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0.00958251953125</v>
      </c>
      <c r="C685" s="25" t="n">
        <f aca="false">IF(T684&gt;0,D684,C684)</f>
        <v>0.009765625</v>
      </c>
      <c r="D685" s="41" t="n">
        <f aca="false">(B685+C685)/2</f>
        <v>0.009674072265625</v>
      </c>
      <c r="E685" s="15" t="n">
        <f aca="false">$C$2*(1+IF(E$3&lt;=$O$2,$D685,$D685-($D685-$I$670)*MIN(E$3-$O$2,$Q$2)/$Q$2))</f>
        <v>2503.99169921875</v>
      </c>
      <c r="F685" s="15" t="n">
        <f aca="false">E685*(1+IF(F$3&lt;=$O$2,$D685,$D685-($D685-$I$670)*MIN(F$3-$O$2,$Q$2)/$Q$2))</f>
        <v>2528.21549586952</v>
      </c>
      <c r="G685" s="15" t="n">
        <f aca="false">F685*(1+IF(G$3&lt;=$O$2,$D685,$D685-($D685-$I$670)*MIN(G$3-$O$2,$Q$2)/$Q$2))</f>
        <v>2552.67363527963</v>
      </c>
      <c r="H685" s="15" t="n">
        <f aca="false">G685*(1+IF(H$3&lt;=$O$2,$D685,$D685-($D685-$I$670)*MIN(H$3-$O$2,$Q$2)/$Q$2))</f>
        <v>2577.36838449788</v>
      </c>
      <c r="I685" s="15" t="n">
        <f aca="false">H685*(1+IF(I$3&lt;=$O$2,$D685,$D685-($D685-$I$670)*MIN(I$3-$O$2,$Q$2)/$Q$2))</f>
        <v>2602.30203250465</v>
      </c>
      <c r="J685" s="15" t="n">
        <f aca="false">I685*(1+IF(J$3&lt;=$O$2,$D685,$D685-($D685-$I$670)*MIN(J$3-$O$2,$Q$2)/$Q$2))</f>
        <v>2639.77325037668</v>
      </c>
      <c r="K685" s="15" t="n">
        <f aca="false">J685*(1+IF(K$3&lt;=$O$2,$D685,$D685-($D685-$I$670)*MIN(K$3-$O$2,$Q$2)/$Q$2))</f>
        <v>2690.2574443851</v>
      </c>
      <c r="L685" s="15" t="n">
        <f aca="false">K685*(1+IF(L$3&lt;=$O$2,$D685,$D685-($D685-$I$670)*MIN(L$3-$O$2,$Q$2)/$Q$2))</f>
        <v>2754.41908609596</v>
      </c>
      <c r="M685" s="15" t="n">
        <f aca="false">L685*(1+IF(M$3&lt;=$O$2,$D685,$D685-($D685-$I$670)*MIN(M$3-$O$2,$Q$2)/$Q$2))</f>
        <v>2833.1261004073</v>
      </c>
      <c r="N685" s="15" t="n">
        <f aca="false">M685*(1+IF(N$3&lt;=$O$2,$D685,$D685-($D685-$I$670)*MIN(N$3-$O$2,$Q$2)/$Q$2))</f>
        <v>2927.46919955086</v>
      </c>
      <c r="O685" s="15" t="n">
        <f aca="false">SUMPRODUCT(E685:N685,1/(1+$F$670)^$E$3:$N$3)*$E$2</f>
        <v>5040.24589876403</v>
      </c>
      <c r="P685" s="15" t="n">
        <f aca="false">N685*$E$2*(1+$I$670)/($F$670-$I$670)/(1+$F$670)^$N$3</f>
        <v>6520.04878127283</v>
      </c>
      <c r="Q685" s="15" t="n">
        <f aca="false">O685+P685</f>
        <v>11560.2946800369</v>
      </c>
      <c r="R685" s="15" t="n">
        <f aca="false">Q685-$G$2+$I$2</f>
        <v>10285.6246800369</v>
      </c>
      <c r="S685" s="42" t="n">
        <f aca="false">R685/$K$2</f>
        <v>289.165720552063</v>
      </c>
      <c r="T685" s="43" t="n">
        <f aca="false">S685-$M$2</f>
        <v>-0.12300590281518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0.009674072265625</v>
      </c>
      <c r="C686" s="25" t="n">
        <f aca="false">IF(T685&gt;0,D685,C685)</f>
        <v>0.009765625</v>
      </c>
      <c r="D686" s="41" t="n">
        <f aca="false">(B686+C686)/2</f>
        <v>0.0097198486328125</v>
      </c>
      <c r="E686" s="15" t="n">
        <f aca="false">$C$2*(1+IF(E$3&lt;=$O$2,$D686,$D686-($D686-$I$670)*MIN(E$3-$O$2,$Q$2)/$Q$2))</f>
        <v>2504.10522460938</v>
      </c>
      <c r="F686" s="15" t="n">
        <f aca="false">E686*(1+IF(F$3&lt;=$O$2,$D686,$D686-($D686-$I$670)*MIN(F$3-$O$2,$Q$2)/$Q$2))</f>
        <v>2528.44474835321</v>
      </c>
      <c r="G686" s="15" t="n">
        <f aca="false">F686*(1+IF(G$3&lt;=$O$2,$D686,$D686-($D686-$I$670)*MIN(G$3-$O$2,$Q$2)/$Q$2))</f>
        <v>2553.02084858364</v>
      </c>
      <c r="H686" s="15" t="n">
        <f aca="false">G686*(1+IF(H$3&lt;=$O$2,$D686,$D686-($D686-$I$670)*MIN(H$3-$O$2,$Q$2)/$Q$2))</f>
        <v>2577.83582478828</v>
      </c>
      <c r="I686" s="15" t="n">
        <f aca="false">H686*(1+IF(I$3&lt;=$O$2,$D686,$D686-($D686-$I$670)*MIN(I$3-$O$2,$Q$2)/$Q$2))</f>
        <v>2602.89199880547</v>
      </c>
      <c r="J686" s="15" t="n">
        <f aca="false">I686*(1+IF(J$3&lt;=$O$2,$D686,$D686-($D686-$I$670)*MIN(J$3-$O$2,$Q$2)/$Q$2))</f>
        <v>2640.46703250627</v>
      </c>
      <c r="K686" s="15" t="n">
        <f aca="false">J686*(1+IF(K$3&lt;=$O$2,$D686,$D686-($D686-$I$670)*MIN(K$3-$O$2,$Q$2)/$Q$2))</f>
        <v>2691.03701730479</v>
      </c>
      <c r="L686" s="15" t="n">
        <f aca="false">K686*(1+IF(L$3&lt;=$O$2,$D686,$D686-($D686-$I$670)*MIN(L$3-$O$2,$Q$2)/$Q$2))</f>
        <v>2755.26652589994</v>
      </c>
      <c r="M686" s="15" t="n">
        <f aca="false">L686*(1+IF(M$3&lt;=$O$2,$D686,$D686-($D686-$I$670)*MIN(M$3-$O$2,$Q$2)/$Q$2))</f>
        <v>2834.02298086487</v>
      </c>
      <c r="N686" s="15" t="n">
        <f aca="false">M686*(1+IF(N$3&lt;=$O$2,$D686,$D686-($D686-$I$670)*MIN(N$3-$O$2,$Q$2)/$Q$2))</f>
        <v>2928.39594612767</v>
      </c>
      <c r="O686" s="15" t="n">
        <f aca="false">SUMPRODUCT(E686:N686,1/(1+$F$670)^$E$3:$N$3)*$E$2</f>
        <v>5041.24416153175</v>
      </c>
      <c r="P686" s="15" t="n">
        <f aca="false">N686*$E$2*(1+$I$670)/($F$670-$I$670)/(1+$F$670)^$N$3</f>
        <v>6522.11282788674</v>
      </c>
      <c r="Q686" s="15" t="n">
        <f aca="false">O686+P686</f>
        <v>11563.3569894185</v>
      </c>
      <c r="R686" s="15" t="n">
        <f aca="false">Q686-$G$2+$I$2</f>
        <v>10288.6869894185</v>
      </c>
      <c r="S686" s="42" t="n">
        <f aca="false">R686/$K$2</f>
        <v>289.251813028352</v>
      </c>
      <c r="T686" s="43" t="n">
        <f aca="false">S686-$M$2</f>
        <v>-0.0369134265254729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0.0097198486328125</v>
      </c>
      <c r="C687" s="25" t="n">
        <f aca="false">IF(T686&gt;0,D686,C686)</f>
        <v>0.009765625</v>
      </c>
      <c r="D687" s="41" t="n">
        <f aca="false">(B687+C687)/2</f>
        <v>0.00974273681640625</v>
      </c>
      <c r="E687" s="15" t="n">
        <f aca="false">$C$2*(1+IF(E$3&lt;=$O$2,$D687,$D687-($D687-$I$670)*MIN(E$3-$O$2,$Q$2)/$Q$2))</f>
        <v>2504.16198730469</v>
      </c>
      <c r="F687" s="15" t="n">
        <f aca="false">E687*(1+IF(F$3&lt;=$O$2,$D687,$D687-($D687-$I$670)*MIN(F$3-$O$2,$Q$2)/$Q$2))</f>
        <v>2528.55937849265</v>
      </c>
      <c r="G687" s="15" t="n">
        <f aca="false">F687*(1+IF(G$3&lt;=$O$2,$D687,$D687-($D687-$I$670)*MIN(G$3-$O$2,$Q$2)/$Q$2))</f>
        <v>2553.19446704196</v>
      </c>
      <c r="H687" s="15" t="n">
        <f aca="false">G687*(1+IF(H$3&lt;=$O$2,$D687,$D687-($D687-$I$670)*MIN(H$3-$O$2,$Q$2)/$Q$2))</f>
        <v>2578.06956877545</v>
      </c>
      <c r="I687" s="15" t="n">
        <f aca="false">H687*(1+IF(I$3&lt;=$O$2,$D687,$D687-($D687-$I$670)*MIN(I$3-$O$2,$Q$2)/$Q$2))</f>
        <v>2603.18702207842</v>
      </c>
      <c r="J687" s="15" t="n">
        <f aca="false">I687*(1+IF(J$3&lt;=$O$2,$D687,$D687-($D687-$I$670)*MIN(J$3-$O$2,$Q$2)/$Q$2))</f>
        <v>2640.81398047745</v>
      </c>
      <c r="K687" s="15" t="n">
        <f aca="false">J687*(1+IF(K$3&lt;=$O$2,$D687,$D687-($D687-$I$670)*MIN(K$3-$O$2,$Q$2)/$Q$2))</f>
        <v>2691.42687605314</v>
      </c>
      <c r="L687" s="15" t="n">
        <f aca="false">K687*(1+IF(L$3&lt;=$O$2,$D687,$D687-($D687-$I$670)*MIN(L$3-$O$2,$Q$2)/$Q$2))</f>
        <v>2755.69033052228</v>
      </c>
      <c r="M687" s="15" t="n">
        <f aca="false">L687*(1+IF(M$3&lt;=$O$2,$D687,$D687-($D687-$I$670)*MIN(M$3-$O$2,$Q$2)/$Q$2))</f>
        <v>2834.47151405495</v>
      </c>
      <c r="N687" s="15" t="n">
        <f aca="false">M687*(1+IF(N$3&lt;=$O$2,$D687,$D687-($D687-$I$670)*MIN(N$3-$O$2,$Q$2)/$Q$2))</f>
        <v>2928.85941547298</v>
      </c>
      <c r="O687" s="15" t="n">
        <f aca="false">SUMPRODUCT(E687:N687,1/(1+$F$670)^$E$3:$N$3)*$E$2</f>
        <v>5041.74336873712</v>
      </c>
      <c r="P687" s="15" t="n">
        <f aca="false">N687*$E$2*(1+$I$670)/($F$670-$I$670)/(1+$F$670)^$N$3</f>
        <v>6523.14506513128</v>
      </c>
      <c r="Q687" s="15" t="n">
        <f aca="false">O687+P687</f>
        <v>11564.8884338684</v>
      </c>
      <c r="R687" s="15" t="n">
        <f aca="false">Q687-$G$2+$I$2</f>
        <v>10290.2184338684</v>
      </c>
      <c r="S687" s="42" t="n">
        <f aca="false">R687/$K$2</f>
        <v>289.294867412663</v>
      </c>
      <c r="T687" s="43" t="n">
        <f aca="false">S687-$M$2</f>
        <v>0.00614095778479395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0.0097198486328125</v>
      </c>
      <c r="C688" s="25" t="n">
        <f aca="false">IF(T687&gt;0,D687,C687)</f>
        <v>0.00974273681640625</v>
      </c>
      <c r="D688" s="41" t="n">
        <f aca="false">(B688+C688)/2</f>
        <v>0.00973129272460938</v>
      </c>
      <c r="E688" s="15" t="n">
        <f aca="false">$C$2*(1+IF(E$3&lt;=$O$2,$D688,$D688-($D688-$I$670)*MIN(E$3-$O$2,$Q$2)/$Q$2))</f>
        <v>2504.13360595703</v>
      </c>
      <c r="F688" s="15" t="n">
        <f aca="false">E688*(1+IF(F$3&lt;=$O$2,$D688,$D688-($D688-$I$670)*MIN(F$3-$O$2,$Q$2)/$Q$2))</f>
        <v>2528.50206309813</v>
      </c>
      <c r="G688" s="15" t="n">
        <f aca="false">F688*(1+IF(G$3&lt;=$O$2,$D688,$D688-($D688-$I$670)*MIN(G$3-$O$2,$Q$2)/$Q$2))</f>
        <v>2553.10765682892</v>
      </c>
      <c r="H688" s="15" t="n">
        <f aca="false">G688*(1+IF(H$3&lt;=$O$2,$D688,$D688-($D688-$I$670)*MIN(H$3-$O$2,$Q$2)/$Q$2))</f>
        <v>2577.95269479496</v>
      </c>
      <c r="I688" s="15" t="n">
        <f aca="false">H688*(1+IF(I$3&lt;=$O$2,$D688,$D688-($D688-$I$670)*MIN(I$3-$O$2,$Q$2)/$Q$2))</f>
        <v>2603.03950709821</v>
      </c>
      <c r="J688" s="15" t="n">
        <f aca="false">I688*(1+IF(J$3&lt;=$O$2,$D688,$D688-($D688-$I$670)*MIN(J$3-$O$2,$Q$2)/$Q$2))</f>
        <v>2640.64050174932</v>
      </c>
      <c r="K688" s="15" t="n">
        <f aca="false">J688*(1+IF(K$3&lt;=$O$2,$D688,$D688-($D688-$I$670)*MIN(K$3-$O$2,$Q$2)/$Q$2))</f>
        <v>2691.23194065441</v>
      </c>
      <c r="L688" s="15" t="n">
        <f aca="false">K688*(1+IF(L$3&lt;=$O$2,$D688,$D688-($D688-$I$670)*MIN(L$3-$O$2,$Q$2)/$Q$2))</f>
        <v>2755.47842115041</v>
      </c>
      <c r="M688" s="15" t="n">
        <f aca="false">L688*(1+IF(M$3&lt;=$O$2,$D688,$D688-($D688-$I$670)*MIN(M$3-$O$2,$Q$2)/$Q$2))</f>
        <v>2834.24723971237</v>
      </c>
      <c r="N688" s="15" t="n">
        <f aca="false">M688*(1+IF(N$3&lt;=$O$2,$D688,$D688-($D688-$I$670)*MIN(N$3-$O$2,$Q$2)/$Q$2))</f>
        <v>2928.62767279479</v>
      </c>
      <c r="O688" s="15" t="n">
        <f aca="false">SUMPRODUCT(E688:N688,1/(1+$F$670)^$E$3:$N$3)*$E$2</f>
        <v>5041.49375881547</v>
      </c>
      <c r="P688" s="15" t="n">
        <f aca="false">N688*$E$2*(1+$I$670)/($F$670-$I$670)/(1+$F$670)^$N$3</f>
        <v>6522.62892867912</v>
      </c>
      <c r="Q688" s="15" t="n">
        <f aca="false">O688+P688</f>
        <v>11564.1226874946</v>
      </c>
      <c r="R688" s="15" t="n">
        <f aca="false">Q688-$G$2+$I$2</f>
        <v>10289.4526874946</v>
      </c>
      <c r="S688" s="42" t="n">
        <f aca="false">R688/$K$2</f>
        <v>289.273339541597</v>
      </c>
      <c r="T688" s="43" t="n">
        <f aca="false">S688-$M$2</f>
        <v>-0.01538691328102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0.00973129272460938</v>
      </c>
      <c r="C689" s="25" t="n">
        <f aca="false">IF(T688&gt;0,D688,C688)</f>
        <v>0.00974273681640625</v>
      </c>
      <c r="D689" s="41" t="n">
        <f aca="false">(B689+C689)/2</f>
        <v>0.00973701477050781</v>
      </c>
      <c r="E689" s="15" t="n">
        <f aca="false">$C$2*(1+IF(E$3&lt;=$O$2,$D689,$D689-($D689-$I$670)*MIN(E$3-$O$2,$Q$2)/$Q$2))</f>
        <v>2504.14779663086</v>
      </c>
      <c r="F689" s="15" t="n">
        <f aca="false">E689*(1+IF(F$3&lt;=$O$2,$D689,$D689-($D689-$I$670)*MIN(F$3-$O$2,$Q$2)/$Q$2))</f>
        <v>2528.53072071419</v>
      </c>
      <c r="G689" s="15" t="n">
        <f aca="false">F689*(1+IF(G$3&lt;=$O$2,$D689,$D689-($D689-$I$670)*MIN(G$3-$O$2,$Q$2)/$Q$2))</f>
        <v>2553.15106168947</v>
      </c>
      <c r="H689" s="15" t="n">
        <f aca="false">G689*(1+IF(H$3&lt;=$O$2,$D689,$D689-($D689-$I$670)*MIN(H$3-$O$2,$Q$2)/$Q$2))</f>
        <v>2578.01113128847</v>
      </c>
      <c r="I689" s="15" t="n">
        <f aca="false">H689*(1+IF(I$3&lt;=$O$2,$D689,$D689-($D689-$I$670)*MIN(I$3-$O$2,$Q$2)/$Q$2))</f>
        <v>2603.11326375236</v>
      </c>
      <c r="J689" s="15" t="n">
        <f aca="false">I689*(1+IF(J$3&lt;=$O$2,$D689,$D689-($D689-$I$670)*MIN(J$3-$O$2,$Q$2)/$Q$2))</f>
        <v>2640.72723992772</v>
      </c>
      <c r="K689" s="15" t="n">
        <f aca="false">J689*(1+IF(K$3&lt;=$O$2,$D689,$D689-($D689-$I$670)*MIN(K$3-$O$2,$Q$2)/$Q$2))</f>
        <v>2691.3294068476</v>
      </c>
      <c r="L689" s="15" t="n">
        <f aca="false">K689*(1+IF(L$3&lt;=$O$2,$D689,$D689-($D689-$I$670)*MIN(L$3-$O$2,$Q$2)/$Q$2))</f>
        <v>2755.58437407112</v>
      </c>
      <c r="M689" s="15" t="n">
        <f aca="false">L689*(1+IF(M$3&lt;=$O$2,$D689,$D689-($D689-$I$670)*MIN(M$3-$O$2,$Q$2)/$Q$2))</f>
        <v>2834.35937494672</v>
      </c>
      <c r="N689" s="15" t="n">
        <f aca="false">M689*(1+IF(N$3&lt;=$O$2,$D689,$D689-($D689-$I$670)*MIN(N$3-$O$2,$Q$2)/$Q$2))</f>
        <v>2928.74354213245</v>
      </c>
      <c r="O689" s="15" t="n">
        <f aca="false">SUMPRODUCT(E689:N689,1/(1+$F$670)^$E$3:$N$3)*$E$2</f>
        <v>5041.61856219652</v>
      </c>
      <c r="P689" s="15" t="n">
        <f aca="false">N689*$E$2*(1+$I$670)/($F$670-$I$670)/(1+$F$670)^$N$3</f>
        <v>6522.8869924476</v>
      </c>
      <c r="Q689" s="15" t="n">
        <f aca="false">O689+P689</f>
        <v>11564.5055546441</v>
      </c>
      <c r="R689" s="15" t="n">
        <f aca="false">Q689-$G$2+$I$2</f>
        <v>10289.8355546441</v>
      </c>
      <c r="S689" s="42" t="n">
        <f aca="false">R689/$K$2</f>
        <v>289.284103307397</v>
      </c>
      <c r="T689" s="43" t="n">
        <f aca="false">S689-$M$2</f>
        <v>-0.0046231474805154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0.00973701477050781</v>
      </c>
      <c r="C690" s="25" t="n">
        <f aca="false">IF(T689&gt;0,D689,C689)</f>
        <v>0.00974273681640625</v>
      </c>
      <c r="D690" s="41" t="n">
        <f aca="false">(B690+C690)/2</f>
        <v>0.00973987579345703</v>
      </c>
      <c r="E690" s="15" t="n">
        <f aca="false">$C$2*(1+IF(E$3&lt;=$O$2,$D690,$D690-($D690-$I$670)*MIN(E$3-$O$2,$Q$2)/$Q$2))</f>
        <v>2504.15489196777</v>
      </c>
      <c r="F690" s="15" t="n">
        <f aca="false">E690*(1+IF(F$3&lt;=$O$2,$D690,$D690-($D690-$I$670)*MIN(F$3-$O$2,$Q$2)/$Q$2))</f>
        <v>2528.54504958312</v>
      </c>
      <c r="G690" s="15" t="n">
        <f aca="false">F690*(1+IF(G$3&lt;=$O$2,$D690,$D690-($D690-$I$670)*MIN(G$3-$O$2,$Q$2)/$Q$2))</f>
        <v>2553.17276430422</v>
      </c>
      <c r="H690" s="15" t="n">
        <f aca="false">G690*(1+IF(H$3&lt;=$O$2,$D690,$D690-($D690-$I$670)*MIN(H$3-$O$2,$Q$2)/$Q$2))</f>
        <v>2578.04034990778</v>
      </c>
      <c r="I690" s="15" t="n">
        <f aca="false">H690*(1+IF(I$3&lt;=$O$2,$D690,$D690-($D690-$I$670)*MIN(I$3-$O$2,$Q$2)/$Q$2))</f>
        <v>2603.1501427064</v>
      </c>
      <c r="J690" s="15" t="n">
        <f aca="false">I690*(1+IF(J$3&lt;=$O$2,$D690,$D690-($D690-$I$670)*MIN(J$3-$O$2,$Q$2)/$Q$2))</f>
        <v>2640.77060990617</v>
      </c>
      <c r="K690" s="15" t="n">
        <f aca="false">J690*(1+IF(K$3&lt;=$O$2,$D690,$D690-($D690-$I$670)*MIN(K$3-$O$2,$Q$2)/$Q$2))</f>
        <v>2691.37814107382</v>
      </c>
      <c r="L690" s="15" t="n">
        <f aca="false">K690*(1+IF(L$3&lt;=$O$2,$D690,$D690-($D690-$I$670)*MIN(L$3-$O$2,$Q$2)/$Q$2))</f>
        <v>2755.63735185539</v>
      </c>
      <c r="M690" s="15" t="n">
        <f aca="false">L690*(1+IF(M$3&lt;=$O$2,$D690,$D690-($D690-$I$670)*MIN(M$3-$O$2,$Q$2)/$Q$2))</f>
        <v>2834.41544401659</v>
      </c>
      <c r="N690" s="15" t="n">
        <f aca="false">M690*(1+IF(N$3&lt;=$O$2,$D690,$D690-($D690-$I$670)*MIN(N$3-$O$2,$Q$2)/$Q$2))</f>
        <v>2928.80147830234</v>
      </c>
      <c r="O690" s="15" t="n">
        <f aca="false">SUMPRODUCT(E690:N690,1/(1+$F$670)^$E$3:$N$3)*$E$2</f>
        <v>5041.68096507187</v>
      </c>
      <c r="P690" s="15" t="n">
        <f aca="false">N690*$E$2*(1+$I$670)/($F$670-$I$670)/(1+$F$670)^$N$3</f>
        <v>6523.01602767502</v>
      </c>
      <c r="Q690" s="15" t="n">
        <f aca="false">O690+P690</f>
        <v>11564.6969927469</v>
      </c>
      <c r="R690" s="15" t="n">
        <f aca="false">Q690-$G$2+$I$2</f>
        <v>10290.0269927469</v>
      </c>
      <c r="S690" s="42" t="n">
        <f aca="false">R690/$K$2</f>
        <v>289.289485317596</v>
      </c>
      <c r="T690" s="43" t="n">
        <f aca="false">S690-$M$2</f>
        <v>0.000758862718384989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0.00973701477050781</v>
      </c>
      <c r="C691" s="25" t="n">
        <f aca="false">IF(T690&gt;0,D690,C690)</f>
        <v>0.00973987579345703</v>
      </c>
      <c r="D691" s="41" t="n">
        <f aca="false">(B691+C691)/2</f>
        <v>0.00973844528198242</v>
      </c>
      <c r="E691" s="15" t="n">
        <f aca="false">$C$2*(1+IF(E$3&lt;=$O$2,$D691,$D691-($D691-$I$670)*MIN(E$3-$O$2,$Q$2)/$Q$2))</f>
        <v>2504.15134429932</v>
      </c>
      <c r="F691" s="15" t="n">
        <f aca="false">E691*(1+IF(F$3&lt;=$O$2,$D691,$D691-($D691-$I$670)*MIN(F$3-$O$2,$Q$2)/$Q$2))</f>
        <v>2528.53788514358</v>
      </c>
      <c r="G691" s="15" t="n">
        <f aca="false">F691*(1+IF(G$3&lt;=$O$2,$D691,$D691-($D691-$I$670)*MIN(G$3-$O$2,$Q$2)/$Q$2))</f>
        <v>2553.16191298147</v>
      </c>
      <c r="H691" s="15" t="n">
        <f aca="false">G691*(1+IF(H$3&lt;=$O$2,$D691,$D691-($D691-$I$670)*MIN(H$3-$O$2,$Q$2)/$Q$2))</f>
        <v>2578.02574056708</v>
      </c>
      <c r="I691" s="15" t="n">
        <f aca="false">H691*(1+IF(I$3&lt;=$O$2,$D691,$D691-($D691-$I$670)*MIN(I$3-$O$2,$Q$2)/$Q$2))</f>
        <v>2603.13170317713</v>
      </c>
      <c r="J691" s="15" t="n">
        <f aca="false">I691*(1+IF(J$3&lt;=$O$2,$D691,$D691-($D691-$I$670)*MIN(J$3-$O$2,$Q$2)/$Q$2))</f>
        <v>2640.74892484284</v>
      </c>
      <c r="K691" s="15" t="n">
        <f aca="false">J691*(1+IF(K$3&lt;=$O$2,$D691,$D691-($D691-$I$670)*MIN(K$3-$O$2,$Q$2)/$Q$2))</f>
        <v>2691.35377386657</v>
      </c>
      <c r="L691" s="15" t="n">
        <f aca="false">K691*(1+IF(L$3&lt;=$O$2,$D691,$D691-($D691-$I$670)*MIN(L$3-$O$2,$Q$2)/$Q$2))</f>
        <v>2755.61086285293</v>
      </c>
      <c r="M691" s="15" t="n">
        <f aca="false">L691*(1+IF(M$3&lt;=$O$2,$D691,$D691-($D691-$I$670)*MIN(M$3-$O$2,$Q$2)/$Q$2))</f>
        <v>2834.38740936059</v>
      </c>
      <c r="N691" s="15" t="n">
        <f aca="false">M691*(1+IF(N$3&lt;=$O$2,$D691,$D691-($D691-$I$670)*MIN(N$3-$O$2,$Q$2)/$Q$2))</f>
        <v>2928.7725100923</v>
      </c>
      <c r="O691" s="15" t="n">
        <f aca="false">SUMPRODUCT(E691:N691,1/(1+$F$670)^$E$3:$N$3)*$E$2</f>
        <v>5041.64976353546</v>
      </c>
      <c r="P691" s="15" t="n">
        <f aca="false">N691*$E$2*(1+$I$670)/($F$670-$I$670)/(1+$F$670)^$N$3</f>
        <v>6522.9515097827</v>
      </c>
      <c r="Q691" s="15" t="n">
        <f aca="false">O691+P691</f>
        <v>11564.6012733182</v>
      </c>
      <c r="R691" s="15" t="n">
        <f aca="false">Q691-$G$2+$I$2</f>
        <v>10289.9312733182</v>
      </c>
      <c r="S691" s="42" t="n">
        <f aca="false">R691/$K$2</f>
        <v>289.286794301888</v>
      </c>
      <c r="T691" s="43" t="n">
        <f aca="false">S691-$M$2</f>
        <v>-0.00193215298946825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0.00973844528198242</v>
      </c>
      <c r="C692" s="25" t="n">
        <f aca="false">IF(T691&gt;0,D691,C691)</f>
        <v>0.00973987579345703</v>
      </c>
      <c r="D692" s="41" t="n">
        <f aca="false">(B692+C692)/2</f>
        <v>0.00973916053771973</v>
      </c>
      <c r="E692" s="15" t="n">
        <f aca="false">$C$2*(1+IF(E$3&lt;=$O$2,$D692,$D692-($D692-$I$670)*MIN(E$3-$O$2,$Q$2)/$Q$2))</f>
        <v>2504.15311813355</v>
      </c>
      <c r="F692" s="15" t="n">
        <f aca="false">E692*(1+IF(F$3&lt;=$O$2,$D692,$D692-($D692-$I$670)*MIN(F$3-$O$2,$Q$2)/$Q$2))</f>
        <v>2528.54146736208</v>
      </c>
      <c r="G692" s="15" t="n">
        <f aca="false">F692*(1+IF(G$3&lt;=$O$2,$D692,$D692-($D692-$I$670)*MIN(G$3-$O$2,$Q$2)/$Q$2))</f>
        <v>2553.167338639</v>
      </c>
      <c r="H692" s="15" t="n">
        <f aca="false">G692*(1+IF(H$3&lt;=$O$2,$D692,$D692-($D692-$I$670)*MIN(H$3-$O$2,$Q$2)/$Q$2))</f>
        <v>2578.03304522967</v>
      </c>
      <c r="I692" s="15" t="n">
        <f aca="false">H692*(1+IF(I$3&lt;=$O$2,$D692,$D692-($D692-$I$670)*MIN(I$3-$O$2,$Q$2)/$Q$2))</f>
        <v>2603.14092292871</v>
      </c>
      <c r="J692" s="15" t="n">
        <f aca="false">I692*(1+IF(J$3&lt;=$O$2,$D692,$D692-($D692-$I$670)*MIN(J$3-$O$2,$Q$2)/$Q$2))</f>
        <v>2640.75976735598</v>
      </c>
      <c r="K692" s="15" t="n">
        <f aca="false">J692*(1+IF(K$3&lt;=$O$2,$D692,$D692-($D692-$I$670)*MIN(K$3-$O$2,$Q$2)/$Q$2))</f>
        <v>2691.36595744666</v>
      </c>
      <c r="L692" s="15" t="n">
        <f aca="false">K692*(1+IF(L$3&lt;=$O$2,$D692,$D692-($D692-$I$670)*MIN(L$3-$O$2,$Q$2)/$Q$2))</f>
        <v>2755.62410732657</v>
      </c>
      <c r="M692" s="15" t="n">
        <f aca="false">L692*(1+IF(M$3&lt;=$O$2,$D692,$D692-($D692-$I$670)*MIN(M$3-$O$2,$Q$2)/$Q$2))</f>
        <v>2834.40142665833</v>
      </c>
      <c r="N692" s="15" t="n">
        <f aca="false">M692*(1+IF(N$3&lt;=$O$2,$D692,$D692-($D692-$I$670)*MIN(N$3-$O$2,$Q$2)/$Q$2))</f>
        <v>2928.78699416605</v>
      </c>
      <c r="O692" s="15" t="n">
        <f aca="false">SUMPRODUCT(E692:N692,1/(1+$F$670)^$E$3:$N$3)*$E$2</f>
        <v>5041.66536427898</v>
      </c>
      <c r="P692" s="15" t="n">
        <f aca="false">N692*$E$2*(1+$I$670)/($F$670-$I$670)/(1+$F$670)^$N$3</f>
        <v>6522.98376865921</v>
      </c>
      <c r="Q692" s="15" t="n">
        <f aca="false">O692+P692</f>
        <v>11564.6491329382</v>
      </c>
      <c r="R692" s="15" t="n">
        <f aca="false">Q692-$G$2+$I$2</f>
        <v>10289.9791329382</v>
      </c>
      <c r="S692" s="42" t="n">
        <f aca="false">R692/$K$2</f>
        <v>289.28813980709</v>
      </c>
      <c r="T692" s="43" t="n">
        <f aca="false">S692-$M$2</f>
        <v>-0.000586647787713446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0.00973916053771973</v>
      </c>
      <c r="C693" s="25" t="n">
        <f aca="false">IF(T692&gt;0,D692,C692)</f>
        <v>0.00973987579345703</v>
      </c>
      <c r="D693" s="41" t="n">
        <f aca="false">(B693+C693)/2</f>
        <v>0.00973951816558838</v>
      </c>
      <c r="E693" s="15" t="n">
        <f aca="false">$C$2*(1+IF(E$3&lt;=$O$2,$D693,$D693-($D693-$I$670)*MIN(E$3-$O$2,$Q$2)/$Q$2))</f>
        <v>2504.15400505066</v>
      </c>
      <c r="F693" s="15" t="n">
        <f aca="false">E693*(1+IF(F$3&lt;=$O$2,$D693,$D693-($D693-$I$670)*MIN(F$3-$O$2,$Q$2)/$Q$2))</f>
        <v>2528.54325847228</v>
      </c>
      <c r="G693" s="15" t="n">
        <f aca="false">F693*(1+IF(G$3&lt;=$O$2,$D693,$D693-($D693-$I$670)*MIN(G$3-$O$2,$Q$2)/$Q$2))</f>
        <v>2553.17005147065</v>
      </c>
      <c r="H693" s="15" t="n">
        <f aca="false">G693*(1+IF(H$3&lt;=$O$2,$D693,$D693-($D693-$I$670)*MIN(H$3-$O$2,$Q$2)/$Q$2))</f>
        <v>2578.03669756678</v>
      </c>
      <c r="I693" s="15" t="n">
        <f aca="false">H693*(1+IF(I$3&lt;=$O$2,$D693,$D693-($D693-$I$670)*MIN(I$3-$O$2,$Q$2)/$Q$2))</f>
        <v>2603.14553281429</v>
      </c>
      <c r="J693" s="15" t="n">
        <f aca="false">I693*(1+IF(J$3&lt;=$O$2,$D693,$D693-($D693-$I$670)*MIN(J$3-$O$2,$Q$2)/$Q$2))</f>
        <v>2640.76518862644</v>
      </c>
      <c r="K693" s="15" t="n">
        <f aca="false">J693*(1+IF(K$3&lt;=$O$2,$D693,$D693-($D693-$I$670)*MIN(K$3-$O$2,$Q$2)/$Q$2))</f>
        <v>2691.37204925436</v>
      </c>
      <c r="L693" s="15" t="n">
        <f aca="false">K693*(1+IF(L$3&lt;=$O$2,$D693,$D693-($D693-$I$670)*MIN(L$3-$O$2,$Q$2)/$Q$2))</f>
        <v>2755.63072958408</v>
      </c>
      <c r="M693" s="15" t="n">
        <f aca="false">L693*(1+IF(M$3&lt;=$O$2,$D693,$D693-($D693-$I$670)*MIN(M$3-$O$2,$Q$2)/$Q$2))</f>
        <v>2834.40843532989</v>
      </c>
      <c r="N693" s="15" t="n">
        <f aca="false">M693*(1+IF(N$3&lt;=$O$2,$D693,$D693-($D693-$I$670)*MIN(N$3-$O$2,$Q$2)/$Q$2))</f>
        <v>2928.79423622638</v>
      </c>
      <c r="O693" s="15" t="n">
        <f aca="false">SUMPRODUCT(E693:N693,1/(1+$F$670)^$E$3:$N$3)*$E$2</f>
        <v>5041.67316466926</v>
      </c>
      <c r="P693" s="15" t="n">
        <f aca="false">N693*$E$2*(1+$I$670)/($F$670-$I$670)/(1+$F$670)^$N$3</f>
        <v>6522.9998981497</v>
      </c>
      <c r="Q693" s="15" t="n">
        <f aca="false">O693+P693</f>
        <v>11564.673062819</v>
      </c>
      <c r="R693" s="15" t="n">
        <f aca="false">Q693-$G$2+$I$2</f>
        <v>10290.003062819</v>
      </c>
      <c r="S693" s="42" t="n">
        <f aca="false">R693/$K$2</f>
        <v>289.28881256168</v>
      </c>
      <c r="T693" s="43" t="n">
        <f aca="false">S693-$M$2</f>
        <v>8.61068023141343E-005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0.00973916053771973</v>
      </c>
      <c r="C694" s="25" t="n">
        <f aca="false">IF(T693&gt;0,D693,C693)</f>
        <v>0.00973951816558838</v>
      </c>
      <c r="D694" s="41" t="n">
        <f aca="false">(B694+C694)/2</f>
        <v>0.00973933935165405</v>
      </c>
      <c r="E694" s="15" t="n">
        <f aca="false">$C$2*(1+IF(E$3&lt;=$O$2,$D694,$D694-($D694-$I$670)*MIN(E$3-$O$2,$Q$2)/$Q$2))</f>
        <v>2504.1535615921</v>
      </c>
      <c r="F694" s="15" t="n">
        <f aca="false">E694*(1+IF(F$3&lt;=$O$2,$D694,$D694-($D694-$I$670)*MIN(F$3-$O$2,$Q$2)/$Q$2))</f>
        <v>2528.5423629171</v>
      </c>
      <c r="G694" s="15" t="n">
        <f aca="false">F694*(1+IF(G$3&lt;=$O$2,$D694,$D694-($D694-$I$670)*MIN(G$3-$O$2,$Q$2)/$Q$2))</f>
        <v>2553.16869505458</v>
      </c>
      <c r="H694" s="15" t="n">
        <f aca="false">G694*(1+IF(H$3&lt;=$O$2,$D694,$D694-($D694-$I$670)*MIN(H$3-$O$2,$Q$2)/$Q$2))</f>
        <v>2578.03487139774</v>
      </c>
      <c r="I694" s="15" t="n">
        <f aca="false">H694*(1+IF(I$3&lt;=$O$2,$D694,$D694-($D694-$I$670)*MIN(I$3-$O$2,$Q$2)/$Q$2))</f>
        <v>2603.14322787068</v>
      </c>
      <c r="J694" s="15" t="n">
        <f aca="false">I694*(1+IF(J$3&lt;=$O$2,$D694,$D694-($D694-$I$670)*MIN(J$3-$O$2,$Q$2)/$Q$2))</f>
        <v>2640.76247799005</v>
      </c>
      <c r="K694" s="15" t="n">
        <f aca="false">J694*(1+IF(K$3&lt;=$O$2,$D694,$D694-($D694-$I$670)*MIN(K$3-$O$2,$Q$2)/$Q$2))</f>
        <v>2691.36900334904</v>
      </c>
      <c r="L694" s="15" t="n">
        <f aca="false">K694*(1+IF(L$3&lt;=$O$2,$D694,$D694-($D694-$I$670)*MIN(L$3-$O$2,$Q$2)/$Q$2))</f>
        <v>2755.62741845361</v>
      </c>
      <c r="M694" s="15" t="n">
        <f aca="false">L694*(1+IF(M$3&lt;=$O$2,$D694,$D694-($D694-$I$670)*MIN(M$3-$O$2,$Q$2)/$Q$2))</f>
        <v>2834.40493099222</v>
      </c>
      <c r="N694" s="15" t="n">
        <f aca="false">M694*(1+IF(N$3&lt;=$O$2,$D694,$D694-($D694-$I$670)*MIN(N$3-$O$2,$Q$2)/$Q$2))</f>
        <v>2928.79061519426</v>
      </c>
      <c r="O694" s="15" t="n">
        <f aca="false">SUMPRODUCT(E694:N694,1/(1+$F$670)^$E$3:$N$3)*$E$2</f>
        <v>5041.66926447258</v>
      </c>
      <c r="P694" s="15" t="n">
        <f aca="false">N694*$E$2*(1+$I$670)/($F$670-$I$670)/(1+$F$670)^$N$3</f>
        <v>6522.99183340011</v>
      </c>
      <c r="Q694" s="15" t="n">
        <f aca="false">O694+P694</f>
        <v>11564.6610978727</v>
      </c>
      <c r="R694" s="15" t="n">
        <f aca="false">Q694-$G$2+$I$2</f>
        <v>10289.9910978727</v>
      </c>
      <c r="S694" s="42" t="n">
        <f aca="false">R694/$K$2</f>
        <v>289.288476184219</v>
      </c>
      <c r="T694" s="43" t="n">
        <f aca="false">S694-$M$2</f>
        <v>-0.000250270658398222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0.00973933935165405</v>
      </c>
      <c r="C695" s="25" t="n">
        <f aca="false">IF(T694&gt;0,D694,C694)</f>
        <v>0.00973951816558838</v>
      </c>
      <c r="D695" s="41" t="n">
        <f aca="false">(B695+C695)/2</f>
        <v>0.00973942875862122</v>
      </c>
      <c r="E695" s="15" t="n">
        <f aca="false">$C$2*(1+IF(E$3&lt;=$O$2,$D695,$D695-($D695-$I$670)*MIN(E$3-$O$2,$Q$2)/$Q$2))</f>
        <v>2504.15378332138</v>
      </c>
      <c r="F695" s="15" t="n">
        <f aca="false">E695*(1+IF(F$3&lt;=$O$2,$D695,$D695-($D695-$I$670)*MIN(F$3-$O$2,$Q$2)/$Q$2))</f>
        <v>2528.54281069467</v>
      </c>
      <c r="G695" s="15" t="n">
        <f aca="false">F695*(1+IF(G$3&lt;=$O$2,$D695,$D695-($D695-$I$670)*MIN(G$3-$O$2,$Q$2)/$Q$2))</f>
        <v>2553.16937326256</v>
      </c>
      <c r="H695" s="15" t="n">
        <f aca="false">G695*(1+IF(H$3&lt;=$O$2,$D695,$D695-($D695-$I$670)*MIN(H$3-$O$2,$Q$2)/$Q$2))</f>
        <v>2578.03578448214</v>
      </c>
      <c r="I695" s="15" t="n">
        <f aca="false">H695*(1+IF(I$3&lt;=$O$2,$D695,$D695-($D695-$I$670)*MIN(I$3-$O$2,$Q$2)/$Q$2))</f>
        <v>2603.14438034228</v>
      </c>
      <c r="J695" s="15" t="n">
        <f aca="false">I695*(1+IF(J$3&lt;=$O$2,$D695,$D695-($D695-$I$670)*MIN(J$3-$O$2,$Q$2)/$Q$2))</f>
        <v>2640.76383330796</v>
      </c>
      <c r="K695" s="15" t="n">
        <f aca="false">J695*(1+IF(K$3&lt;=$O$2,$D695,$D695-($D695-$I$670)*MIN(K$3-$O$2,$Q$2)/$Q$2))</f>
        <v>2691.37052630133</v>
      </c>
      <c r="L695" s="15" t="n">
        <f aca="false">K695*(1+IF(L$3&lt;=$O$2,$D695,$D695-($D695-$I$670)*MIN(L$3-$O$2,$Q$2)/$Q$2))</f>
        <v>2755.62907401842</v>
      </c>
      <c r="M695" s="15" t="n">
        <f aca="false">L695*(1+IF(M$3&lt;=$O$2,$D695,$D695-($D695-$I$670)*MIN(M$3-$O$2,$Q$2)/$Q$2))</f>
        <v>2834.40668316058</v>
      </c>
      <c r="N695" s="15" t="n">
        <f aca="false">M695*(1+IF(N$3&lt;=$O$2,$D695,$D695-($D695-$I$670)*MIN(N$3-$O$2,$Q$2)/$Q$2))</f>
        <v>2928.79242570983</v>
      </c>
      <c r="O695" s="15" t="n">
        <f aca="false">SUMPRODUCT(E695:N695,1/(1+$F$670)^$E$3:$N$3)*$E$2</f>
        <v>5041.67121457053</v>
      </c>
      <c r="P695" s="15" t="n">
        <f aca="false">N695*$E$2*(1+$I$670)/($F$670-$I$670)/(1+$F$670)^$N$3</f>
        <v>6522.99586577382</v>
      </c>
      <c r="Q695" s="15" t="n">
        <f aca="false">O695+P695</f>
        <v>11564.6670803443</v>
      </c>
      <c r="R695" s="15" t="n">
        <f aca="false">Q695-$G$2+$I$2</f>
        <v>10289.9970803443</v>
      </c>
      <c r="S695" s="42" t="n">
        <f aca="false">R695/$K$2</f>
        <v>289.288644372908</v>
      </c>
      <c r="T695" s="43" t="n">
        <f aca="false">S695-$M$2</f>
        <v>-8.20819693672092E-005</v>
      </c>
    </row>
    <row r="697" customFormat="false" ht="15" hidden="false" customHeight="false" outlineLevel="0" collapsed="false">
      <c r="A697" s="38" t="s">
        <v>209</v>
      </c>
      <c r="E697" s="5" t="s">
        <v>11</v>
      </c>
      <c r="F697" s="12" t="n">
        <f aca="false">Sensitivity!$B$14</f>
        <v>0.0914218415038925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8" t="s">
        <v>165</v>
      </c>
      <c r="B698" s="28" t="s">
        <v>166</v>
      </c>
      <c r="C698" s="28" t="s">
        <v>167</v>
      </c>
      <c r="D698" s="28" t="s">
        <v>168</v>
      </c>
      <c r="E698" s="28" t="s">
        <v>169</v>
      </c>
      <c r="F698" s="28" t="s">
        <v>170</v>
      </c>
      <c r="G698" s="28" t="s">
        <v>171</v>
      </c>
      <c r="H698" s="28" t="s">
        <v>172</v>
      </c>
      <c r="I698" s="28" t="s">
        <v>173</v>
      </c>
      <c r="J698" s="28" t="s">
        <v>174</v>
      </c>
      <c r="K698" s="28" t="s">
        <v>175</v>
      </c>
      <c r="L698" s="28" t="s">
        <v>176</v>
      </c>
      <c r="M698" s="28" t="s">
        <v>177</v>
      </c>
      <c r="N698" s="28" t="s">
        <v>178</v>
      </c>
      <c r="O698" s="28" t="s">
        <v>179</v>
      </c>
      <c r="P698" s="28" t="s">
        <v>180</v>
      </c>
      <c r="Q698" s="28" t="s">
        <v>181</v>
      </c>
      <c r="R698" s="28" t="s">
        <v>182</v>
      </c>
      <c r="S698" s="28" t="s">
        <v>183</v>
      </c>
      <c r="T698" s="28" t="s">
        <v>184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41" t="n">
        <f aca="false">(B699+C699)/2</f>
        <v>0.25</v>
      </c>
      <c r="E699" s="15" t="n">
        <f aca="false">$C$2*(1+IF(E$3&lt;=$O$2,$D699,$D699-($D699-$I$697)*MIN(E$3-$O$2,$Q$2)/$Q$2))</f>
        <v>3100</v>
      </c>
      <c r="F699" s="15" t="n">
        <f aca="false">E699*(1+IF(F$3&lt;=$O$2,$D699,$D699-($D699-$I$697)*MIN(F$3-$O$2,$Q$2)/$Q$2))</f>
        <v>3875</v>
      </c>
      <c r="G699" s="15" t="n">
        <f aca="false">F699*(1+IF(G$3&lt;=$O$2,$D699,$D699-($D699-$I$697)*MIN(G$3-$O$2,$Q$2)/$Q$2))</f>
        <v>4843.75</v>
      </c>
      <c r="H699" s="15" t="n">
        <f aca="false">G699*(1+IF(H$3&lt;=$O$2,$D699,$D699-($D699-$I$697)*MIN(H$3-$O$2,$Q$2)/$Q$2))</f>
        <v>6054.6875</v>
      </c>
      <c r="I699" s="15" t="n">
        <f aca="false">H699*(1+IF(I$3&lt;=$O$2,$D699,$D699-($D699-$I$697)*MIN(I$3-$O$2,$Q$2)/$Q$2))</f>
        <v>7568.359375</v>
      </c>
      <c r="J699" s="15" t="n">
        <f aca="false">I699*(1+IF(J$3&lt;=$O$2,$D699,$D699-($D699-$I$697)*MIN(J$3-$O$2,$Q$2)/$Q$2))</f>
        <v>9140.0048828125</v>
      </c>
      <c r="K699" s="15" t="n">
        <f aca="false">J699*(1+IF(K$3&lt;=$O$2,$D699,$D699-($D699-$I$697)*MIN(K$3-$O$2,$Q$2)/$Q$2))</f>
        <v>10651.0304900391</v>
      </c>
      <c r="L699" s="15" t="n">
        <f aca="false">K699*(1+IF(L$3&lt;=$O$2,$D699,$D699-($D699-$I$697)*MIN(L$3-$O$2,$Q$2)/$Q$2))</f>
        <v>11960.8942197041</v>
      </c>
      <c r="M699" s="15" t="n">
        <f aca="false">L699*(1+IF(M$3&lt;=$O$2,$D699,$D699-($D699-$I$697)*MIN(M$3-$O$2,$Q$2)/$Q$2))</f>
        <v>12925.420729581</v>
      </c>
      <c r="N699" s="15" t="n">
        <f aca="false">M699*(1+IF(N$3&lt;=$O$2,$D699,$D699-($D699-$I$697)*MIN(N$3-$O$2,$Q$2)/$Q$2))</f>
        <v>13420.464343524</v>
      </c>
      <c r="O699" s="15" t="n">
        <f aca="false">SUMPRODUCT(E699:N699,1/(1+$F$697)^$E$3:$N$3)*$E$2</f>
        <v>14293.7815050054</v>
      </c>
      <c r="P699" s="15" t="n">
        <f aca="false">N699*$E$2*(1+$I$697)/($F$697-$I$697)/(1+$F$697)^$N$3</f>
        <v>32861.6012708708</v>
      </c>
      <c r="Q699" s="15" t="n">
        <f aca="false">O699+P699</f>
        <v>47155.3827758762</v>
      </c>
      <c r="R699" s="15" t="n">
        <f aca="false">Q699-$G$2+$I$2</f>
        <v>45880.7127758762</v>
      </c>
      <c r="S699" s="42" t="n">
        <f aca="false">R699/$K$2</f>
        <v>1289.87103671285</v>
      </c>
      <c r="T699" s="43" t="n">
        <f aca="false">S699-$M$2</f>
        <v>1000.58231025798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41" t="n">
        <f aca="false">(B700+C700)/2</f>
        <v>-0.125</v>
      </c>
      <c r="E700" s="15" t="n">
        <f aca="false">$C$2*(1+IF(E$3&lt;=$O$2,$D700,$D700-($D700-$I$697)*MIN(E$3-$O$2,$Q$2)/$Q$2))</f>
        <v>2170</v>
      </c>
      <c r="F700" s="15" t="n">
        <f aca="false">E700*(1+IF(F$3&lt;=$O$2,$D700,$D700-($D700-$I$697)*MIN(F$3-$O$2,$Q$2)/$Q$2))</f>
        <v>1898.75</v>
      </c>
      <c r="G700" s="15" t="n">
        <f aca="false">F700*(1+IF(G$3&lt;=$O$2,$D700,$D700-($D700-$I$697)*MIN(G$3-$O$2,$Q$2)/$Q$2))</f>
        <v>1661.40625</v>
      </c>
      <c r="H700" s="15" t="n">
        <f aca="false">G700*(1+IF(H$3&lt;=$O$2,$D700,$D700-($D700-$I$697)*MIN(H$3-$O$2,$Q$2)/$Q$2))</f>
        <v>1453.73046875</v>
      </c>
      <c r="I700" s="15" t="n">
        <f aca="false">H700*(1+IF(I$3&lt;=$O$2,$D700,$D700-($D700-$I$697)*MIN(I$3-$O$2,$Q$2)/$Q$2))</f>
        <v>1272.01416015625</v>
      </c>
      <c r="J700" s="15" t="n">
        <f aca="false">I700*(1+IF(J$3&lt;=$O$2,$D700,$D700-($D700-$I$697)*MIN(J$3-$O$2,$Q$2)/$Q$2))</f>
        <v>1154.55637260742</v>
      </c>
      <c r="K700" s="15" t="n">
        <f aca="false">J700*(1+IF(K$3&lt;=$O$2,$D700,$D700-($D700-$I$697)*MIN(K$3-$O$2,$Q$2)/$Q$2))</f>
        <v>1085.65244829021</v>
      </c>
      <c r="L700" s="15" t="n">
        <f aca="false">K700*(1+IF(L$3&lt;=$O$2,$D700,$D700-($D700-$I$697)*MIN(L$3-$O$2,$Q$2)/$Q$2))</f>
        <v>1056.31811913741</v>
      </c>
      <c r="M700" s="15" t="n">
        <f aca="false">L700*(1+IF(M$3&lt;=$O$2,$D700,$D700-($D700-$I$697)*MIN(M$3-$O$2,$Q$2)/$Q$2))</f>
        <v>1062.27575332934</v>
      </c>
      <c r="N700" s="15" t="n">
        <f aca="false">M700*(1+IF(N$3&lt;=$O$2,$D700,$D700-($D700-$I$697)*MIN(N$3-$O$2,$Q$2)/$Q$2))</f>
        <v>1102.96091468186</v>
      </c>
      <c r="O700" s="15" t="n">
        <f aca="false">SUMPRODUCT(E700:N700,1/(1+$F$697)^$E$3:$N$3)*$E$2</f>
        <v>2838.04365378729</v>
      </c>
      <c r="P700" s="15" t="n">
        <f aca="false">N700*$E$2*(1+$I$697)/($F$697-$I$697)/(1+$F$697)^$N$3</f>
        <v>2700.73082926674</v>
      </c>
      <c r="Q700" s="15" t="n">
        <f aca="false">O700+P700</f>
        <v>5538.77448305404</v>
      </c>
      <c r="R700" s="15" t="n">
        <f aca="false">Q700-$G$2+$I$2</f>
        <v>4264.10448305404</v>
      </c>
      <c r="S700" s="42" t="n">
        <f aca="false">R700/$K$2</f>
        <v>119.879237645601</v>
      </c>
      <c r="T700" s="43" t="n">
        <f aca="false">S700-$M$2</f>
        <v>-169.409488809276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41" t="n">
        <f aca="false">(B701+C701)/2</f>
        <v>0.0625</v>
      </c>
      <c r="E701" s="15" t="n">
        <f aca="false">$C$2*(1+IF(E$3&lt;=$O$2,$D701,$D701-($D701-$I$697)*MIN(E$3-$O$2,$Q$2)/$Q$2))</f>
        <v>2635</v>
      </c>
      <c r="F701" s="15" t="n">
        <f aca="false">E701*(1+IF(F$3&lt;=$O$2,$D701,$D701-($D701-$I$697)*MIN(F$3-$O$2,$Q$2)/$Q$2))</f>
        <v>2799.6875</v>
      </c>
      <c r="G701" s="15" t="n">
        <f aca="false">F701*(1+IF(G$3&lt;=$O$2,$D701,$D701-($D701-$I$697)*MIN(G$3-$O$2,$Q$2)/$Q$2))</f>
        <v>2974.66796875</v>
      </c>
      <c r="H701" s="15" t="n">
        <f aca="false">G701*(1+IF(H$3&lt;=$O$2,$D701,$D701-($D701-$I$697)*MIN(H$3-$O$2,$Q$2)/$Q$2))</f>
        <v>3160.58471679688</v>
      </c>
      <c r="I701" s="15" t="n">
        <f aca="false">H701*(1+IF(I$3&lt;=$O$2,$D701,$D701-($D701-$I$697)*MIN(I$3-$O$2,$Q$2)/$Q$2))</f>
        <v>3358.12126159668</v>
      </c>
      <c r="J701" s="15" t="n">
        <f aca="false">I701*(1+IF(J$3&lt;=$O$2,$D701,$D701-($D701-$I$697)*MIN(J$3-$O$2,$Q$2)/$Q$2))</f>
        <v>3551.75053354034</v>
      </c>
      <c r="K701" s="15" t="n">
        <f aca="false">J701*(1+IF(K$3&lt;=$O$2,$D701,$D701-($D701-$I$697)*MIN(K$3-$O$2,$Q$2)/$Q$2))</f>
        <v>3739.35399672195</v>
      </c>
      <c r="L701" s="15" t="n">
        <f aca="false">K701*(1+IF(L$3&lt;=$O$2,$D701,$D701-($D701-$I$697)*MIN(L$3-$O$2,$Q$2)/$Q$2))</f>
        <v>3918.76820148466</v>
      </c>
      <c r="M701" s="15" t="n">
        <f aca="false">L701*(1+IF(M$3&lt;=$O$2,$D701,$D701-($D701-$I$697)*MIN(M$3-$O$2,$Q$2)/$Q$2))</f>
        <v>4087.82386169671</v>
      </c>
      <c r="N701" s="15" t="n">
        <f aca="false">M701*(1+IF(N$3&lt;=$O$2,$D701,$D701-($D701-$I$697)*MIN(N$3-$O$2,$Q$2)/$Q$2))</f>
        <v>4244.3875155997</v>
      </c>
      <c r="O701" s="15" t="n">
        <f aca="false">SUMPRODUCT(E701:N701,1/(1+$F$697)^$E$3:$N$3)*$E$2</f>
        <v>6355.72913249645</v>
      </c>
      <c r="P701" s="15" t="n">
        <f aca="false">N701*$E$2*(1+$I$697)/($F$697-$I$697)/(1+$F$697)^$N$3</f>
        <v>10392.887057146</v>
      </c>
      <c r="Q701" s="15" t="n">
        <f aca="false">O701+P701</f>
        <v>16748.6161896424</v>
      </c>
      <c r="R701" s="15" t="n">
        <f aca="false">Q701-$G$2+$I$2</f>
        <v>15473.9461896424</v>
      </c>
      <c r="S701" s="42" t="n">
        <f aca="false">R701/$K$2</f>
        <v>435.02800645607</v>
      </c>
      <c r="T701" s="43" t="n">
        <f aca="false">S701-$M$2</f>
        <v>145.739280001193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-0.125</v>
      </c>
      <c r="C702" s="25" t="n">
        <f aca="false">IF(T701&gt;0,D701,C701)</f>
        <v>0.0625</v>
      </c>
      <c r="D702" s="41" t="n">
        <f aca="false">(B702+C702)/2</f>
        <v>-0.03125</v>
      </c>
      <c r="E702" s="15" t="n">
        <f aca="false">$C$2*(1+IF(E$3&lt;=$O$2,$D702,$D702-($D702-$I$697)*MIN(E$3-$O$2,$Q$2)/$Q$2))</f>
        <v>2402.5</v>
      </c>
      <c r="F702" s="15" t="n">
        <f aca="false">E702*(1+IF(F$3&lt;=$O$2,$D702,$D702-($D702-$I$697)*MIN(F$3-$O$2,$Q$2)/$Q$2))</f>
        <v>2327.421875</v>
      </c>
      <c r="G702" s="15" t="n">
        <f aca="false">F702*(1+IF(G$3&lt;=$O$2,$D702,$D702-($D702-$I$697)*MIN(G$3-$O$2,$Q$2)/$Q$2))</f>
        <v>2254.68994140625</v>
      </c>
      <c r="H702" s="15" t="n">
        <f aca="false">G702*(1+IF(H$3&lt;=$O$2,$D702,$D702-($D702-$I$697)*MIN(H$3-$O$2,$Q$2)/$Q$2))</f>
        <v>2184.2308807373</v>
      </c>
      <c r="I702" s="15" t="n">
        <f aca="false">H702*(1+IF(I$3&lt;=$O$2,$D702,$D702-($D702-$I$697)*MIN(I$3-$O$2,$Q$2)/$Q$2))</f>
        <v>2115.97366571426</v>
      </c>
      <c r="J702" s="15" t="n">
        <f aca="false">I702*(1+IF(J$3&lt;=$O$2,$D702,$D702-($D702-$I$697)*MIN(J$3-$O$2,$Q$2)/$Q$2))</f>
        <v>2079.28268235078</v>
      </c>
      <c r="K702" s="15" t="n">
        <f aca="false">J702*(1+IF(K$3&lt;=$O$2,$D702,$D702-($D702-$I$697)*MIN(K$3-$O$2,$Q$2)/$Q$2))</f>
        <v>2072.15074275032</v>
      </c>
      <c r="L702" s="15" t="n">
        <f aca="false">K702*(1+IF(L$3&lt;=$O$2,$D702,$D702-($D702-$I$697)*MIN(L$3-$O$2,$Q$2)/$Q$2))</f>
        <v>2093.86688253434</v>
      </c>
      <c r="M702" s="15" t="n">
        <f aca="false">L702*(1+IF(M$3&lt;=$O$2,$D702,$D702-($D702-$I$697)*MIN(M$3-$O$2,$Q$2)/$Q$2))</f>
        <v>2144.93629579935</v>
      </c>
      <c r="N702" s="15" t="n">
        <f aca="false">M702*(1+IF(N$3&lt;=$O$2,$D702,$D702-($D702-$I$697)*MIN(N$3-$O$2,$Q$2)/$Q$2))</f>
        <v>2227.08735592847</v>
      </c>
      <c r="O702" s="15" t="n">
        <f aca="false">SUMPRODUCT(E702:N702,1/(1+$F$697)^$E$3:$N$3)*$E$2</f>
        <v>4234.46767776283</v>
      </c>
      <c r="P702" s="15" t="n">
        <f aca="false">N702*$E$2*(1+$I$697)/($F$697-$I$697)/(1+$F$697)^$N$3</f>
        <v>5453.28796475175</v>
      </c>
      <c r="Q702" s="15" t="n">
        <f aca="false">O702+P702</f>
        <v>9687.75564251457</v>
      </c>
      <c r="R702" s="15" t="n">
        <f aca="false">Q702-$G$2+$I$2</f>
        <v>8413.08564251457</v>
      </c>
      <c r="S702" s="42" t="n">
        <f aca="false">R702/$K$2</f>
        <v>236.521946654894</v>
      </c>
      <c r="T702" s="43" t="n">
        <f aca="false">S702-$M$2</f>
        <v>-52.7667797999839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-0.03125</v>
      </c>
      <c r="C703" s="25" t="n">
        <f aca="false">IF(T702&gt;0,D702,C702)</f>
        <v>0.0625</v>
      </c>
      <c r="D703" s="41" t="n">
        <f aca="false">(B703+C703)/2</f>
        <v>0.015625</v>
      </c>
      <c r="E703" s="15" t="n">
        <f aca="false">$C$2*(1+IF(E$3&lt;=$O$2,$D703,$D703-($D703-$I$697)*MIN(E$3-$O$2,$Q$2)/$Q$2))</f>
        <v>2518.75</v>
      </c>
      <c r="F703" s="15" t="n">
        <f aca="false">E703*(1+IF(F$3&lt;=$O$2,$D703,$D703-($D703-$I$697)*MIN(F$3-$O$2,$Q$2)/$Q$2))</f>
        <v>2558.10546875</v>
      </c>
      <c r="G703" s="15" t="n">
        <f aca="false">F703*(1+IF(G$3&lt;=$O$2,$D703,$D703-($D703-$I$697)*MIN(G$3-$O$2,$Q$2)/$Q$2))</f>
        <v>2598.07586669922</v>
      </c>
      <c r="H703" s="15" t="n">
        <f aca="false">G703*(1+IF(H$3&lt;=$O$2,$D703,$D703-($D703-$I$697)*MIN(H$3-$O$2,$Q$2)/$Q$2))</f>
        <v>2638.67080211639</v>
      </c>
      <c r="I703" s="15" t="n">
        <f aca="false">H703*(1+IF(I$3&lt;=$O$2,$D703,$D703-($D703-$I$697)*MIN(I$3-$O$2,$Q$2)/$Q$2))</f>
        <v>2679.90003339946</v>
      </c>
      <c r="J703" s="15" t="n">
        <f aca="false">I703*(1+IF(J$3&lt;=$O$2,$D703,$D703-($D703-$I$697)*MIN(J$3-$O$2,$Q$2)/$Q$2))</f>
        <v>2733.9268180728</v>
      </c>
      <c r="K703" s="15" t="n">
        <f aca="false">J703*(1+IF(K$3&lt;=$O$2,$D703,$D703-($D703-$I$697)*MIN(K$3-$O$2,$Q$2)/$Q$2))</f>
        <v>2801.4411408451</v>
      </c>
      <c r="L703" s="15" t="n">
        <f aca="false">K703*(1+IF(L$3&lt;=$O$2,$D703,$D703-($D703-$I$697)*MIN(L$3-$O$2,$Q$2)/$Q$2))</f>
        <v>2883.32726539201</v>
      </c>
      <c r="M703" s="15" t="n">
        <f aca="false">L703*(1+IF(M$3&lt;=$O$2,$D703,$D703-($D703-$I$697)*MIN(M$3-$O$2,$Q$2)/$Q$2))</f>
        <v>2980.68281050797</v>
      </c>
      <c r="N703" s="15" t="n">
        <f aca="false">M703*(1+IF(N$3&lt;=$O$2,$D703,$D703-($D703-$I$697)*MIN(N$3-$O$2,$Q$2)/$Q$2))</f>
        <v>3094.84296215042</v>
      </c>
      <c r="O703" s="15" t="n">
        <f aca="false">SUMPRODUCT(E703:N703,1/(1+$F$697)^$E$3:$N$3)*$E$2</f>
        <v>5185.60366887478</v>
      </c>
      <c r="P703" s="15" t="n">
        <f aca="false">N703*$E$2*(1+$I$697)/($F$697-$I$697)/(1+$F$697)^$N$3</f>
        <v>7578.09065430914</v>
      </c>
      <c r="Q703" s="15" t="n">
        <f aca="false">O703+P703</f>
        <v>12763.6943231839</v>
      </c>
      <c r="R703" s="15" t="n">
        <f aca="false">Q703-$G$2+$I$2</f>
        <v>11489.0243231839</v>
      </c>
      <c r="S703" s="42" t="n">
        <f aca="false">R703/$K$2</f>
        <v>322.997591318075</v>
      </c>
      <c r="T703" s="43" t="n">
        <f aca="false">S703-$M$2</f>
        <v>33.7088648631971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-0.03125</v>
      </c>
      <c r="C704" s="25" t="n">
        <f aca="false">IF(T703&gt;0,D703,C703)</f>
        <v>0.015625</v>
      </c>
      <c r="D704" s="41" t="n">
        <f aca="false">(B704+C704)/2</f>
        <v>-0.0078125</v>
      </c>
      <c r="E704" s="15" t="n">
        <f aca="false">$C$2*(1+IF(E$3&lt;=$O$2,$D704,$D704-($D704-$I$697)*MIN(E$3-$O$2,$Q$2)/$Q$2))</f>
        <v>2460.625</v>
      </c>
      <c r="F704" s="15" t="n">
        <f aca="false">E704*(1+IF(F$3&lt;=$O$2,$D704,$D704-($D704-$I$697)*MIN(F$3-$O$2,$Q$2)/$Q$2))</f>
        <v>2441.4013671875</v>
      </c>
      <c r="G704" s="15" t="n">
        <f aca="false">F704*(1+IF(G$3&lt;=$O$2,$D704,$D704-($D704-$I$697)*MIN(G$3-$O$2,$Q$2)/$Q$2))</f>
        <v>2422.32791900635</v>
      </c>
      <c r="H704" s="15" t="n">
        <f aca="false">G704*(1+IF(H$3&lt;=$O$2,$D704,$D704-($D704-$I$697)*MIN(H$3-$O$2,$Q$2)/$Q$2))</f>
        <v>2403.40348213911</v>
      </c>
      <c r="I704" s="15" t="n">
        <f aca="false">H704*(1+IF(I$3&lt;=$O$2,$D704,$D704-($D704-$I$697)*MIN(I$3-$O$2,$Q$2)/$Q$2))</f>
        <v>2384.6268924349</v>
      </c>
      <c r="J704" s="15" t="n">
        <f aca="false">I704*(1+IF(J$3&lt;=$O$2,$D704,$D704-($D704-$I$697)*MIN(J$3-$O$2,$Q$2)/$Q$2))</f>
        <v>2387.98921635323</v>
      </c>
      <c r="K704" s="15" t="n">
        <f aca="false">J704*(1+IF(K$3&lt;=$O$2,$D704,$D704-($D704-$I$697)*MIN(K$3-$O$2,$Q$2)/$Q$2))</f>
        <v>2413.37951169611</v>
      </c>
      <c r="L704" s="15" t="n">
        <f aca="false">K704*(1+IF(L$3&lt;=$O$2,$D704,$D704-($D704-$I$697)*MIN(L$3-$O$2,$Q$2)/$Q$2))</f>
        <v>2461.29716190083</v>
      </c>
      <c r="M704" s="15" t="n">
        <f aca="false">L704*(1+IF(M$3&lt;=$O$2,$D704,$D704-($D704-$I$697)*MIN(M$3-$O$2,$Q$2)/$Q$2))</f>
        <v>2532.86553012601</v>
      </c>
      <c r="N704" s="15" t="n">
        <f aca="false">M704*(1+IF(N$3&lt;=$O$2,$D704,$D704-($D704-$I$697)*MIN(N$3-$O$2,$Q$2)/$Q$2))</f>
        <v>2629.87427992983</v>
      </c>
      <c r="O704" s="15" t="n">
        <f aca="false">SUMPRODUCT(E704:N704,1/(1+$F$697)^$E$3:$N$3)*$E$2</f>
        <v>4685.28226771149</v>
      </c>
      <c r="P704" s="15" t="n">
        <f aca="false">N704*$E$2*(1+$I$697)/($F$697-$I$697)/(1+$F$697)^$N$3</f>
        <v>6439.55959849299</v>
      </c>
      <c r="Q704" s="15" t="n">
        <f aca="false">O704+P704</f>
        <v>11124.8418662045</v>
      </c>
      <c r="R704" s="15" t="n">
        <f aca="false">Q704-$G$2+$I$2</f>
        <v>9850.17186620448</v>
      </c>
      <c r="S704" s="42" t="n">
        <f aca="false">R704/$K$2</f>
        <v>276.923583531191</v>
      </c>
      <c r="T704" s="43" t="n">
        <f aca="false">S704-$M$2</f>
        <v>-12.3651429236864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-0.0078125</v>
      </c>
      <c r="C705" s="25" t="n">
        <f aca="false">IF(T704&gt;0,D704,C704)</f>
        <v>0.015625</v>
      </c>
      <c r="D705" s="41" t="n">
        <f aca="false">(B705+C705)/2</f>
        <v>0.00390625</v>
      </c>
      <c r="E705" s="15" t="n">
        <f aca="false">$C$2*(1+IF(E$3&lt;=$O$2,$D705,$D705-($D705-$I$697)*MIN(E$3-$O$2,$Q$2)/$Q$2))</f>
        <v>2489.6875</v>
      </c>
      <c r="F705" s="15" t="n">
        <f aca="false">E705*(1+IF(F$3&lt;=$O$2,$D705,$D705-($D705-$I$697)*MIN(F$3-$O$2,$Q$2)/$Q$2))</f>
        <v>2499.41284179688</v>
      </c>
      <c r="G705" s="15" t="n">
        <f aca="false">F705*(1+IF(G$3&lt;=$O$2,$D705,$D705-($D705-$I$697)*MIN(G$3-$O$2,$Q$2)/$Q$2))</f>
        <v>2509.17617321014</v>
      </c>
      <c r="H705" s="15" t="n">
        <f aca="false">G705*(1+IF(H$3&lt;=$O$2,$D705,$D705-($D705-$I$697)*MIN(H$3-$O$2,$Q$2)/$Q$2))</f>
        <v>2518.97764263675</v>
      </c>
      <c r="I705" s="15" t="n">
        <f aca="false">H705*(1+IF(I$3&lt;=$O$2,$D705,$D705-($D705-$I$697)*MIN(I$3-$O$2,$Q$2)/$Q$2))</f>
        <v>2528.8173990533</v>
      </c>
      <c r="J705" s="15" t="n">
        <f aca="false">I705*(1+IF(J$3&lt;=$O$2,$D705,$D705-($D705-$I$697)*MIN(J$3-$O$2,$Q$2)/$Q$2))</f>
        <v>2556.09069470209</v>
      </c>
      <c r="K705" s="15" t="n">
        <f aca="false">J705*(1+IF(K$3&lt;=$O$2,$D705,$D705-($D705-$I$697)*MIN(K$3-$O$2,$Q$2)/$Q$2))</f>
        <v>2601.24084171063</v>
      </c>
      <c r="L705" s="15" t="n">
        <f aca="false">K705*(1+IF(L$3&lt;=$O$2,$D705,$D705-($D705-$I$697)*MIN(L$3-$O$2,$Q$2)/$Q$2))</f>
        <v>2665.08179506831</v>
      </c>
      <c r="M705" s="15" t="n">
        <f aca="false">L705*(1+IF(M$3&lt;=$O$2,$D705,$D705-($D705-$I$697)*MIN(M$3-$O$2,$Q$2)/$Q$2))</f>
        <v>2748.8219964216</v>
      </c>
      <c r="N705" s="15" t="n">
        <f aca="false">M705*(1+IF(N$3&lt;=$O$2,$D705,$D705-($D705-$I$697)*MIN(N$3-$O$2,$Q$2)/$Q$2))</f>
        <v>2854.10187888455</v>
      </c>
      <c r="O705" s="15" t="n">
        <f aca="false">SUMPRODUCT(E705:N705,1/(1+$F$697)^$E$3:$N$3)*$E$2</f>
        <v>4928.94456434804</v>
      </c>
      <c r="P705" s="15" t="n">
        <f aca="false">N705*$E$2*(1+$I$697)/($F$697-$I$697)/(1+$F$697)^$N$3</f>
        <v>6988.6075123478</v>
      </c>
      <c r="Q705" s="15" t="n">
        <f aca="false">O705+P705</f>
        <v>11917.5520766958</v>
      </c>
      <c r="R705" s="15" t="n">
        <f aca="false">Q705-$G$2+$I$2</f>
        <v>10642.8820766958</v>
      </c>
      <c r="S705" s="42" t="n">
        <f aca="false">R705/$K$2</f>
        <v>299.209504545849</v>
      </c>
      <c r="T705" s="43" t="n">
        <f aca="false">S705-$M$2</f>
        <v>9.92077809097088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-0.0078125</v>
      </c>
      <c r="C706" s="25" t="n">
        <f aca="false">IF(T705&gt;0,D705,C705)</f>
        <v>0.00390625</v>
      </c>
      <c r="D706" s="41" t="n">
        <f aca="false">(B706+C706)/2</f>
        <v>-0.001953125</v>
      </c>
      <c r="E706" s="15" t="n">
        <f aca="false">$C$2*(1+IF(E$3&lt;=$O$2,$D706,$D706-($D706-$I$697)*MIN(E$3-$O$2,$Q$2)/$Q$2))</f>
        <v>2475.15625</v>
      </c>
      <c r="F706" s="15" t="n">
        <f aca="false">E706*(1+IF(F$3&lt;=$O$2,$D706,$D706-($D706-$I$697)*MIN(F$3-$O$2,$Q$2)/$Q$2))</f>
        <v>2470.32196044922</v>
      </c>
      <c r="G706" s="15" t="n">
        <f aca="false">F706*(1+IF(G$3&lt;=$O$2,$D706,$D706-($D706-$I$697)*MIN(G$3-$O$2,$Q$2)/$Q$2))</f>
        <v>2465.49711287022</v>
      </c>
      <c r="H706" s="15" t="n">
        <f aca="false">G706*(1+IF(H$3&lt;=$O$2,$D706,$D706-($D706-$I$697)*MIN(H$3-$O$2,$Q$2)/$Q$2))</f>
        <v>2460.68168882164</v>
      </c>
      <c r="I706" s="15" t="n">
        <f aca="false">H706*(1+IF(I$3&lt;=$O$2,$D706,$D706-($D706-$I$697)*MIN(I$3-$O$2,$Q$2)/$Q$2))</f>
        <v>2455.87566989816</v>
      </c>
      <c r="J706" s="15" t="n">
        <f aca="false">I706*(1+IF(J$3&lt;=$O$2,$D706,$D706-($D706-$I$697)*MIN(J$3-$O$2,$Q$2)/$Q$2))</f>
        <v>2470.85037179537</v>
      </c>
      <c r="K706" s="15" t="n">
        <f aca="false">J706*(1+IF(K$3&lt;=$O$2,$D706,$D706-($D706-$I$697)*MIN(K$3-$O$2,$Q$2)/$Q$2))</f>
        <v>2505.80827171182</v>
      </c>
      <c r="L706" s="15" t="n">
        <f aca="false">K706*(1+IF(L$3&lt;=$O$2,$D706,$D706-($D706-$I$697)*MIN(L$3-$O$2,$Q$2)/$Q$2))</f>
        <v>2561.43408308349</v>
      </c>
      <c r="M706" s="15" t="n">
        <f aca="false">L706*(1+IF(M$3&lt;=$O$2,$D706,$D706-($D706-$I$697)*MIN(M$3-$O$2,$Q$2)/$Q$2))</f>
        <v>2638.91586320046</v>
      </c>
      <c r="N706" s="15" t="n">
        <f aca="false">M706*(1+IF(N$3&lt;=$O$2,$D706,$D706-($D706-$I$697)*MIN(N$3-$O$2,$Q$2)/$Q$2))</f>
        <v>2739.98634076104</v>
      </c>
      <c r="O706" s="15" t="n">
        <f aca="false">SUMPRODUCT(E706:N706,1/(1+$F$697)^$E$3:$N$3)*$E$2</f>
        <v>4805.52862184655</v>
      </c>
      <c r="P706" s="15" t="n">
        <f aca="false">N706*$E$2*(1+$I$697)/($F$697-$I$697)/(1+$F$697)^$N$3</f>
        <v>6709.18206054253</v>
      </c>
      <c r="Q706" s="15" t="n">
        <f aca="false">O706+P706</f>
        <v>11514.7106823891</v>
      </c>
      <c r="R706" s="15" t="n">
        <f aca="false">Q706-$G$2+$I$2</f>
        <v>10240.0406823891</v>
      </c>
      <c r="S706" s="42" t="n">
        <f aca="false">R706/$K$2</f>
        <v>287.884191239502</v>
      </c>
      <c r="T706" s="43" t="n">
        <f aca="false">S706-$M$2</f>
        <v>-1.40453521537592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-0.001953125</v>
      </c>
      <c r="C707" s="25" t="n">
        <f aca="false">IF(T706&gt;0,D706,C706)</f>
        <v>0.00390625</v>
      </c>
      <c r="D707" s="41" t="n">
        <f aca="false">(B707+C707)/2</f>
        <v>0.0009765625</v>
      </c>
      <c r="E707" s="15" t="n">
        <f aca="false">$C$2*(1+IF(E$3&lt;=$O$2,$D707,$D707-($D707-$I$697)*MIN(E$3-$O$2,$Q$2)/$Q$2))</f>
        <v>2482.421875</v>
      </c>
      <c r="F707" s="15" t="n">
        <f aca="false">E707*(1+IF(F$3&lt;=$O$2,$D707,$D707-($D707-$I$697)*MIN(F$3-$O$2,$Q$2)/$Q$2))</f>
        <v>2484.8461151123</v>
      </c>
      <c r="G707" s="15" t="n">
        <f aca="false">F707*(1+IF(G$3&lt;=$O$2,$D707,$D707-($D707-$I$697)*MIN(G$3-$O$2,$Q$2)/$Q$2))</f>
        <v>2487.27272264659</v>
      </c>
      <c r="H707" s="15" t="n">
        <f aca="false">G707*(1+IF(H$3&lt;=$O$2,$D707,$D707-($D707-$I$697)*MIN(H$3-$O$2,$Q$2)/$Q$2))</f>
        <v>2489.7016999148</v>
      </c>
      <c r="I707" s="15" t="n">
        <f aca="false">H707*(1+IF(I$3&lt;=$O$2,$D707,$D707-($D707-$I$697)*MIN(I$3-$O$2,$Q$2)/$Q$2))</f>
        <v>2492.13304923113</v>
      </c>
      <c r="J707" s="15" t="n">
        <f aca="false">I707*(1+IF(J$3&lt;=$O$2,$D707,$D707-($D707-$I$697)*MIN(J$3-$O$2,$Q$2)/$Q$2))</f>
        <v>2513.16976733295</v>
      </c>
      <c r="K707" s="15" t="n">
        <f aca="false">J707*(1+IF(K$3&lt;=$O$2,$D707,$D707-($D707-$I$697)*MIN(K$3-$O$2,$Q$2)/$Q$2))</f>
        <v>2553.14408857904</v>
      </c>
      <c r="L707" s="15" t="n">
        <f aca="false">K707*(1+IF(L$3&lt;=$O$2,$D707,$D707-($D707-$I$697)*MIN(L$3-$O$2,$Q$2)/$Q$2))</f>
        <v>2612.81266164418</v>
      </c>
      <c r="M707" s="15" t="n">
        <f aca="false">L707*(1+IF(M$3&lt;=$O$2,$D707,$D707-($D707-$I$697)*MIN(M$3-$O$2,$Q$2)/$Q$2))</f>
        <v>2693.37955656994</v>
      </c>
      <c r="N707" s="15" t="n">
        <f aca="false">M707*(1+IF(N$3&lt;=$O$2,$D707,$D707-($D707-$I$697)*MIN(N$3-$O$2,$Q$2)/$Q$2))</f>
        <v>2796.53599358657</v>
      </c>
      <c r="O707" s="15" t="n">
        <f aca="false">SUMPRODUCT(E707:N707,1/(1+$F$697)^$E$3:$N$3)*$E$2</f>
        <v>4866.83548563401</v>
      </c>
      <c r="P707" s="15" t="n">
        <f aca="false">N707*$E$2*(1+$I$697)/($F$697-$I$697)/(1+$F$697)^$N$3</f>
        <v>6847.65060347752</v>
      </c>
      <c r="Q707" s="15" t="n">
        <f aca="false">O707+P707</f>
        <v>11714.4860891115</v>
      </c>
      <c r="R707" s="15" t="n">
        <f aca="false">Q707-$G$2+$I$2</f>
        <v>10439.8160891115</v>
      </c>
      <c r="S707" s="42" t="n">
        <f aca="false">R707/$K$2</f>
        <v>293.5005928904</v>
      </c>
      <c r="T707" s="43" t="n">
        <f aca="false">S707-$M$2</f>
        <v>4.2118664355221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-0.001953125</v>
      </c>
      <c r="C708" s="25" t="n">
        <f aca="false">IF(T707&gt;0,D707,C707)</f>
        <v>0.0009765625</v>
      </c>
      <c r="D708" s="41" t="n">
        <f aca="false">(B708+C708)/2</f>
        <v>-0.00048828125</v>
      </c>
      <c r="E708" s="15" t="n">
        <f aca="false">$C$2*(1+IF(E$3&lt;=$O$2,$D708,$D708-($D708-$I$697)*MIN(E$3-$O$2,$Q$2)/$Q$2))</f>
        <v>2478.7890625</v>
      </c>
      <c r="F708" s="15" t="n">
        <f aca="false">E708*(1+IF(F$3&lt;=$O$2,$D708,$D708-($D708-$I$697)*MIN(F$3-$O$2,$Q$2)/$Q$2))</f>
        <v>2477.57871627808</v>
      </c>
      <c r="G708" s="15" t="n">
        <f aca="false">F708*(1+IF(G$3&lt;=$O$2,$D708,$D708-($D708-$I$697)*MIN(G$3-$O$2,$Q$2)/$Q$2))</f>
        <v>2476.36896104552</v>
      </c>
      <c r="H708" s="15" t="n">
        <f aca="false">G708*(1+IF(H$3&lt;=$O$2,$D708,$D708-($D708-$I$697)*MIN(H$3-$O$2,$Q$2)/$Q$2))</f>
        <v>2475.15979651376</v>
      </c>
      <c r="I708" s="15" t="n">
        <f aca="false">H708*(1+IF(I$3&lt;=$O$2,$D708,$D708-($D708-$I$697)*MIN(I$3-$O$2,$Q$2)/$Q$2))</f>
        <v>2473.95122239437</v>
      </c>
      <c r="J708" s="15" t="n">
        <f aca="false">I708*(1+IF(J$3&lt;=$O$2,$D708,$D708-($D708-$I$697)*MIN(J$3-$O$2,$Q$2)/$Q$2))</f>
        <v>2491.93530156166</v>
      </c>
      <c r="K708" s="15" t="n">
        <f aca="false">J708*(1+IF(K$3&lt;=$O$2,$D708,$D708-($D708-$I$697)*MIN(K$3-$O$2,$Q$2)/$Q$2))</f>
        <v>2529.3816912112</v>
      </c>
      <c r="L708" s="15" t="n">
        <f aca="false">K708*(1+IF(L$3&lt;=$O$2,$D708,$D708-($D708-$I$697)*MIN(L$3-$O$2,$Q$2)/$Q$2))</f>
        <v>2587.01286261367</v>
      </c>
      <c r="M708" s="15" t="n">
        <f aca="false">L708*(1+IF(M$3&lt;=$O$2,$D708,$D708-($D708-$I$697)*MIN(M$3-$O$2,$Q$2)/$Q$2))</f>
        <v>2666.02629874929</v>
      </c>
      <c r="N708" s="15" t="n">
        <f aca="false">M708*(1+IF(N$3&lt;=$O$2,$D708,$D708-($D708-$I$697)*MIN(N$3-$O$2,$Q$2)/$Q$2))</f>
        <v>2768.13510599139</v>
      </c>
      <c r="O708" s="15" t="n">
        <f aca="false">SUMPRODUCT(E708:N708,1/(1+$F$697)^$E$3:$N$3)*$E$2</f>
        <v>4836.08239463154</v>
      </c>
      <c r="P708" s="15" t="n">
        <f aca="false">N708*$E$2*(1+$I$697)/($F$697-$I$697)/(1+$F$697)^$N$3</f>
        <v>6778.10765622905</v>
      </c>
      <c r="Q708" s="15" t="n">
        <f aca="false">O708+P708</f>
        <v>11614.1900508606</v>
      </c>
      <c r="R708" s="15" t="n">
        <f aca="false">Q708-$G$2+$I$2</f>
        <v>10339.5200508606</v>
      </c>
      <c r="S708" s="42" t="n">
        <f aca="false">R708/$K$2</f>
        <v>290.680912309828</v>
      </c>
      <c r="T708" s="43" t="n">
        <f aca="false">S708-$M$2</f>
        <v>1.3921858549507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-0.001953125</v>
      </c>
      <c r="C709" s="25" t="n">
        <f aca="false">IF(T708&gt;0,D708,C708)</f>
        <v>-0.00048828125</v>
      </c>
      <c r="D709" s="41" t="n">
        <f aca="false">(B709+C709)/2</f>
        <v>-0.001220703125</v>
      </c>
      <c r="E709" s="15" t="n">
        <f aca="false">$C$2*(1+IF(E$3&lt;=$O$2,$D709,$D709-($D709-$I$697)*MIN(E$3-$O$2,$Q$2)/$Q$2))</f>
        <v>2476.97265625</v>
      </c>
      <c r="F709" s="15" t="n">
        <f aca="false">E709*(1+IF(F$3&lt;=$O$2,$D709,$D709-($D709-$I$697)*MIN(F$3-$O$2,$Q$2)/$Q$2))</f>
        <v>2473.94900798798</v>
      </c>
      <c r="G709" s="15" t="n">
        <f aca="false">F709*(1+IF(G$3&lt;=$O$2,$D709,$D709-($D709-$I$697)*MIN(G$3-$O$2,$Q$2)/$Q$2))</f>
        <v>2470.92905070283</v>
      </c>
      <c r="H709" s="15" t="n">
        <f aca="false">G709*(1+IF(H$3&lt;=$O$2,$D709,$D709-($D709-$I$697)*MIN(H$3-$O$2,$Q$2)/$Q$2))</f>
        <v>2467.91277988899</v>
      </c>
      <c r="I709" s="15" t="n">
        <f aca="false">H709*(1+IF(I$3&lt;=$O$2,$D709,$D709-($D709-$I$697)*MIN(I$3-$O$2,$Q$2)/$Q$2))</f>
        <v>2464.90019104635</v>
      </c>
      <c r="J709" s="15" t="n">
        <f aca="false">I709*(1+IF(J$3&lt;=$O$2,$D709,$D709-($D709-$I$697)*MIN(J$3-$O$2,$Q$2)/$Q$2))</f>
        <v>2481.37419741695</v>
      </c>
      <c r="K709" s="15" t="n">
        <f aca="false">J709*(1+IF(K$3&lt;=$O$2,$D709,$D709-($D709-$I$697)*MIN(K$3-$O$2,$Q$2)/$Q$2))</f>
        <v>2517.57143737913</v>
      </c>
      <c r="L709" s="15" t="n">
        <f aca="false">K709*(1+IF(L$3&lt;=$O$2,$D709,$D709-($D709-$I$697)*MIN(L$3-$O$2,$Q$2)/$Q$2))</f>
        <v>2574.19594608169</v>
      </c>
      <c r="M709" s="15" t="n">
        <f aca="false">L709*(1+IF(M$3&lt;=$O$2,$D709,$D709-($D709-$I$697)*MIN(M$3-$O$2,$Q$2)/$Q$2))</f>
        <v>2652.44084406248</v>
      </c>
      <c r="N709" s="15" t="n">
        <f aca="false">M709*(1+IF(N$3&lt;=$O$2,$D709,$D709-($D709-$I$697)*MIN(N$3-$O$2,$Q$2)/$Q$2))</f>
        <v>2754.02932839008</v>
      </c>
      <c r="O709" s="15" t="n">
        <f aca="false">SUMPRODUCT(E709:N709,1/(1+$F$697)^$E$3:$N$3)*$E$2</f>
        <v>4820.78067031759</v>
      </c>
      <c r="P709" s="15" t="n">
        <f aca="false">N709*$E$2*(1+$I$697)/($F$697-$I$697)/(1+$F$697)^$N$3</f>
        <v>6743.56798403257</v>
      </c>
      <c r="Q709" s="15" t="n">
        <f aca="false">O709+P709</f>
        <v>11564.3486543502</v>
      </c>
      <c r="R709" s="15" t="n">
        <f aca="false">Q709-$G$2+$I$2</f>
        <v>10289.6786543502</v>
      </c>
      <c r="S709" s="42" t="n">
        <f aca="false">R709/$K$2</f>
        <v>289.27969227861</v>
      </c>
      <c r="T709" s="43" t="n">
        <f aca="false">S709-$M$2</f>
        <v>-0.00903417626778946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-0.001220703125</v>
      </c>
      <c r="C710" s="25" t="n">
        <f aca="false">IF(T709&gt;0,D709,C709)</f>
        <v>-0.00048828125</v>
      </c>
      <c r="D710" s="41" t="n">
        <f aca="false">(B710+C710)/2</f>
        <v>-0.0008544921875</v>
      </c>
      <c r="E710" s="15" t="n">
        <f aca="false">$C$2*(1+IF(E$3&lt;=$O$2,$D710,$D710-($D710-$I$697)*MIN(E$3-$O$2,$Q$2)/$Q$2))</f>
        <v>2477.880859375</v>
      </c>
      <c r="F710" s="15" t="n">
        <f aca="false">E710*(1+IF(F$3&lt;=$O$2,$D710,$D710-($D710-$I$697)*MIN(F$3-$O$2,$Q$2)/$Q$2))</f>
        <v>2475.76352953911</v>
      </c>
      <c r="G710" s="15" t="n">
        <f aca="false">F710*(1+IF(G$3&lt;=$O$2,$D710,$D710-($D710-$I$697)*MIN(G$3-$O$2,$Q$2)/$Q$2))</f>
        <v>2473.64800894502</v>
      </c>
      <c r="H710" s="15" t="n">
        <f aca="false">G710*(1+IF(H$3&lt;=$O$2,$D710,$D710-($D710-$I$697)*MIN(H$3-$O$2,$Q$2)/$Q$2))</f>
        <v>2471.53429604675</v>
      </c>
      <c r="I710" s="15" t="n">
        <f aca="false">H710*(1+IF(I$3&lt;=$O$2,$D710,$D710-($D710-$I$697)*MIN(I$3-$O$2,$Q$2)/$Q$2))</f>
        <v>2469.42238929964</v>
      </c>
      <c r="J710" s="15" t="n">
        <f aca="false">I710*(1+IF(J$3&lt;=$O$2,$D710,$D710-($D710-$I$697)*MIN(J$3-$O$2,$Q$2)/$Q$2))</f>
        <v>2486.65008309024</v>
      </c>
      <c r="K710" s="15" t="n">
        <f aca="false">J710*(1+IF(K$3&lt;=$O$2,$D710,$D710-($D710-$I$697)*MIN(K$3-$O$2,$Q$2)/$Q$2))</f>
        <v>2523.47066852175</v>
      </c>
      <c r="L710" s="15" t="n">
        <f aca="false">K710*(1+IF(L$3&lt;=$O$2,$D710,$D710-($D710-$I$697)*MIN(L$3-$O$2,$Q$2)/$Q$2))</f>
        <v>2580.59751009573</v>
      </c>
      <c r="M710" s="15" t="n">
        <f aca="false">L710*(1+IF(M$3&lt;=$O$2,$D710,$D710-($D710-$I$697)*MIN(M$3-$O$2,$Q$2)/$Q$2))</f>
        <v>2659.22599772277</v>
      </c>
      <c r="N710" s="15" t="n">
        <f aca="false">M710*(1+IF(N$3&lt;=$O$2,$D710,$D710-($D710-$I$697)*MIN(N$3-$O$2,$Q$2)/$Q$2))</f>
        <v>2761.07435343555</v>
      </c>
      <c r="O710" s="15" t="n">
        <f aca="false">SUMPRODUCT(E710:N710,1/(1+$F$697)^$E$3:$N$3)*$E$2</f>
        <v>4828.42531340343</v>
      </c>
      <c r="P710" s="15" t="n">
        <f aca="false">N710*$E$2*(1+$I$697)/($F$697-$I$697)/(1+$F$697)^$N$3</f>
        <v>6760.81856479205</v>
      </c>
      <c r="Q710" s="15" t="n">
        <f aca="false">O710+P710</f>
        <v>11589.2438781955</v>
      </c>
      <c r="R710" s="15" t="n">
        <f aca="false">Q710-$G$2+$I$2</f>
        <v>10314.5738781955</v>
      </c>
      <c r="S710" s="42" t="n">
        <f aca="false">R710/$K$2</f>
        <v>289.979586117388</v>
      </c>
      <c r="T710" s="43" t="n">
        <f aca="false">S710-$M$2</f>
        <v>0.690859662510093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-0.001220703125</v>
      </c>
      <c r="C711" s="25" t="n">
        <f aca="false">IF(T710&gt;0,D710,C710)</f>
        <v>-0.0008544921875</v>
      </c>
      <c r="D711" s="41" t="n">
        <f aca="false">(B711+C711)/2</f>
        <v>-0.00103759765625</v>
      </c>
      <c r="E711" s="15" t="n">
        <f aca="false">$C$2*(1+IF(E$3&lt;=$O$2,$D711,$D711-($D711-$I$697)*MIN(E$3-$O$2,$Q$2)/$Q$2))</f>
        <v>2477.4267578125</v>
      </c>
      <c r="F711" s="15" t="n">
        <f aca="false">E711*(1+IF(F$3&lt;=$O$2,$D711,$D711-($D711-$I$697)*MIN(F$3-$O$2,$Q$2)/$Q$2))</f>
        <v>2474.85618561506</v>
      </c>
      <c r="G711" s="15" t="n">
        <f aca="false">F711*(1+IF(G$3&lt;=$O$2,$D711,$D711-($D711-$I$697)*MIN(G$3-$O$2,$Q$2)/$Q$2))</f>
        <v>2472.28828063731</v>
      </c>
      <c r="H711" s="15" t="n">
        <f aca="false">G711*(1+IF(H$3&lt;=$O$2,$D711,$D711-($D711-$I$697)*MIN(H$3-$O$2,$Q$2)/$Q$2))</f>
        <v>2469.72304011175</v>
      </c>
      <c r="I711" s="15" t="n">
        <f aca="false">H711*(1+IF(I$3&lt;=$O$2,$D711,$D711-($D711-$I$697)*MIN(I$3-$O$2,$Q$2)/$Q$2))</f>
        <v>2467.16046127374</v>
      </c>
      <c r="J711" s="15" t="n">
        <f aca="false">I711*(1+IF(J$3&lt;=$O$2,$D711,$D711-($D711-$I$697)*MIN(J$3-$O$2,$Q$2)/$Q$2))</f>
        <v>2484.01097447733</v>
      </c>
      <c r="K711" s="15" t="n">
        <f aca="false">J711*(1+IF(K$3&lt;=$O$2,$D711,$D711-($D711-$I$697)*MIN(K$3-$O$2,$Q$2)/$Q$2))</f>
        <v>2520.51958022719</v>
      </c>
      <c r="L711" s="15" t="n">
        <f aca="false">K711*(1+IF(L$3&lt;=$O$2,$D711,$D711-($D711-$I$697)*MIN(L$3-$O$2,$Q$2)/$Q$2))</f>
        <v>2577.39500609722</v>
      </c>
      <c r="M711" s="15" t="n">
        <f aca="false">L711*(1+IF(M$3&lt;=$O$2,$D711,$D711-($D711-$I$697)*MIN(M$3-$O$2,$Q$2)/$Q$2))</f>
        <v>2655.83152928053</v>
      </c>
      <c r="N711" s="15" t="n">
        <f aca="false">M711*(1+IF(N$3&lt;=$O$2,$D711,$D711-($D711-$I$697)*MIN(N$3-$O$2,$Q$2)/$Q$2))</f>
        <v>2757.54987685198</v>
      </c>
      <c r="O711" s="15" t="n">
        <f aca="false">SUMPRODUCT(E711:N711,1/(1+$F$697)^$E$3:$N$3)*$E$2</f>
        <v>4824.60143829258</v>
      </c>
      <c r="P711" s="15" t="n">
        <f aca="false">N711*$E$2*(1+$I$697)/($F$697-$I$697)/(1+$F$697)^$N$3</f>
        <v>6752.18846517602</v>
      </c>
      <c r="Q711" s="15" t="n">
        <f aca="false">O711+P711</f>
        <v>11576.7899034686</v>
      </c>
      <c r="R711" s="15" t="n">
        <f aca="false">Q711-$G$2+$I$2</f>
        <v>10302.1199034686</v>
      </c>
      <c r="S711" s="42" t="n">
        <f aca="false">R711/$K$2</f>
        <v>289.629460316801</v>
      </c>
      <c r="T711" s="43" t="n">
        <f aca="false">S711-$M$2</f>
        <v>0.340733861923013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-0.001220703125</v>
      </c>
      <c r="C712" s="25" t="n">
        <f aca="false">IF(T711&gt;0,D711,C711)</f>
        <v>-0.00103759765625</v>
      </c>
      <c r="D712" s="41" t="n">
        <f aca="false">(B712+C712)/2</f>
        <v>-0.001129150390625</v>
      </c>
      <c r="E712" s="15" t="n">
        <f aca="false">$C$2*(1+IF(E$3&lt;=$O$2,$D712,$D712-($D712-$I$697)*MIN(E$3-$O$2,$Q$2)/$Q$2))</f>
        <v>2477.19970703125</v>
      </c>
      <c r="F712" s="15" t="n">
        <f aca="false">E712*(1+IF(F$3&lt;=$O$2,$D712,$D712-($D712-$I$697)*MIN(F$3-$O$2,$Q$2)/$Q$2))</f>
        <v>2474.4025760144</v>
      </c>
      <c r="G712" s="15" t="n">
        <f aca="false">F712*(1+IF(G$3&lt;=$O$2,$D712,$D712-($D712-$I$697)*MIN(G$3-$O$2,$Q$2)/$Q$2))</f>
        <v>2471.60860337913</v>
      </c>
      <c r="H712" s="15" t="n">
        <f aca="false">G712*(1+IF(H$3&lt;=$O$2,$D712,$D712-($D712-$I$697)*MIN(H$3-$O$2,$Q$2)/$Q$2))</f>
        <v>2468.81778555915</v>
      </c>
      <c r="I712" s="15" t="n">
        <f aca="false">H712*(1+IF(I$3&lt;=$O$2,$D712,$D712-($D712-$I$697)*MIN(I$3-$O$2,$Q$2)/$Q$2))</f>
        <v>2466.03011899221</v>
      </c>
      <c r="J712" s="15" t="n">
        <f aca="false">I712*(1+IF(J$3&lt;=$O$2,$D712,$D712-($D712-$I$697)*MIN(J$3-$O$2,$Q$2)/$Q$2))</f>
        <v>2482.69229460596</v>
      </c>
      <c r="K712" s="15" t="n">
        <f aca="false">J712*(1+IF(K$3&lt;=$O$2,$D712,$D712-($D712-$I$697)*MIN(K$3-$O$2,$Q$2)/$Q$2))</f>
        <v>2519.04514077477</v>
      </c>
      <c r="L712" s="15" t="n">
        <f aca="false">K712*(1+IF(L$3&lt;=$O$2,$D712,$D712-($D712-$I$697)*MIN(L$3-$O$2,$Q$2)/$Q$2))</f>
        <v>2575.79504578789</v>
      </c>
      <c r="M712" s="15" t="n">
        <f aca="false">L712*(1+IF(M$3&lt;=$O$2,$D712,$D712-($D712-$I$697)*MIN(M$3-$O$2,$Q$2)/$Q$2))</f>
        <v>2654.13571399441</v>
      </c>
      <c r="N712" s="15" t="n">
        <f aca="false">M712*(1+IF(N$3&lt;=$O$2,$D712,$D712-($D712-$I$697)*MIN(N$3-$O$2,$Q$2)/$Q$2))</f>
        <v>2755.7891118404</v>
      </c>
      <c r="O712" s="15" t="n">
        <f aca="false">SUMPRODUCT(E712:N712,1/(1+$F$697)^$E$3:$N$3)*$E$2</f>
        <v>4822.690666063</v>
      </c>
      <c r="P712" s="15" t="n">
        <f aca="false">N712*$E$2*(1+$I$697)/($F$697-$I$697)/(1+$F$697)^$N$3</f>
        <v>6747.87702286962</v>
      </c>
      <c r="Q712" s="15" t="n">
        <f aca="false">O712+P712</f>
        <v>11570.5676889326</v>
      </c>
      <c r="R712" s="15" t="n">
        <f aca="false">Q712-$G$2+$I$2</f>
        <v>10295.8976889326</v>
      </c>
      <c r="S712" s="42" t="n">
        <f aca="false">R712/$K$2</f>
        <v>289.454531597768</v>
      </c>
      <c r="T712" s="43" t="n">
        <f aca="false">S712-$M$2</f>
        <v>0.165805142890576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-0.001220703125</v>
      </c>
      <c r="C713" s="25" t="n">
        <f aca="false">IF(T712&gt;0,D712,C712)</f>
        <v>-0.001129150390625</v>
      </c>
      <c r="D713" s="41" t="n">
        <f aca="false">(B713+C713)/2</f>
        <v>-0.0011749267578125</v>
      </c>
      <c r="E713" s="15" t="n">
        <f aca="false">$C$2*(1+IF(E$3&lt;=$O$2,$D713,$D713-($D713-$I$697)*MIN(E$3-$O$2,$Q$2)/$Q$2))</f>
        <v>2477.08618164063</v>
      </c>
      <c r="F713" s="15" t="n">
        <f aca="false">E713*(1+IF(F$3&lt;=$O$2,$D713,$D713-($D713-$I$697)*MIN(F$3-$O$2,$Q$2)/$Q$2))</f>
        <v>2474.17578680441</v>
      </c>
      <c r="G713" s="15" t="n">
        <f aca="false">F713*(1+IF(G$3&lt;=$O$2,$D713,$D713-($D713-$I$697)*MIN(G$3-$O$2,$Q$2)/$Q$2))</f>
        <v>2471.26881146896</v>
      </c>
      <c r="H713" s="15" t="n">
        <f aca="false">G713*(1+IF(H$3&lt;=$O$2,$D713,$D713-($D713-$I$697)*MIN(H$3-$O$2,$Q$2)/$Q$2))</f>
        <v>2468.36525161662</v>
      </c>
      <c r="I713" s="15" t="n">
        <f aca="false">H713*(1+IF(I$3&lt;=$O$2,$D713,$D713-($D713-$I$697)*MIN(I$3-$O$2,$Q$2)/$Q$2))</f>
        <v>2465.46510323444</v>
      </c>
      <c r="J713" s="15" t="n">
        <f aca="false">I713*(1+IF(J$3&lt;=$O$2,$D713,$D713-($D713-$I$697)*MIN(J$3-$O$2,$Q$2)/$Q$2))</f>
        <v>2482.03317318902</v>
      </c>
      <c r="K713" s="15" t="n">
        <f aca="false">J713*(1+IF(K$3&lt;=$O$2,$D713,$D713-($D713-$I$697)*MIN(K$3-$O$2,$Q$2)/$Q$2))</f>
        <v>2518.3081970889</v>
      </c>
      <c r="L713" s="15" t="n">
        <f aca="false">K713*(1+IF(L$3&lt;=$O$2,$D713,$D713-($D713-$I$697)*MIN(L$3-$O$2,$Q$2)/$Q$2))</f>
        <v>2574.99538838393</v>
      </c>
      <c r="M713" s="15" t="n">
        <f aca="false">L713*(1+IF(M$3&lt;=$O$2,$D713,$D713-($D713-$I$697)*MIN(M$3-$O$2,$Q$2)/$Q$2))</f>
        <v>2653.2881608874</v>
      </c>
      <c r="N713" s="15" t="n">
        <f aca="false">M713*(1+IF(N$3&lt;=$O$2,$D713,$D713-($D713-$I$697)*MIN(N$3-$O$2,$Q$2)/$Q$2))</f>
        <v>2754.90909744939</v>
      </c>
      <c r="O713" s="15" t="n">
        <f aca="false">SUMPRODUCT(E713:N713,1/(1+$F$697)^$E$3:$N$3)*$E$2</f>
        <v>4821.7355711485</v>
      </c>
      <c r="P713" s="15" t="n">
        <f aca="false">N713*$E$2*(1+$I$697)/($F$697-$I$697)/(1+$F$697)^$N$3</f>
        <v>6745.7222030892</v>
      </c>
      <c r="Q713" s="15" t="n">
        <f aca="false">O713+P713</f>
        <v>11567.4577742377</v>
      </c>
      <c r="R713" s="15" t="n">
        <f aca="false">Q713-$G$2+$I$2</f>
        <v>10292.7877742377</v>
      </c>
      <c r="S713" s="42" t="n">
        <f aca="false">R713/$K$2</f>
        <v>289.367100765749</v>
      </c>
      <c r="T713" s="43" t="n">
        <f aca="false">S713-$M$2</f>
        <v>0.0783743108715385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-0.001220703125</v>
      </c>
      <c r="C714" s="25" t="n">
        <f aca="false">IF(T713&gt;0,D713,C713)</f>
        <v>-0.0011749267578125</v>
      </c>
      <c r="D714" s="41" t="n">
        <f aca="false">(B714+C714)/2</f>
        <v>-0.00119781494140625</v>
      </c>
      <c r="E714" s="15" t="n">
        <f aca="false">$C$2*(1+IF(E$3&lt;=$O$2,$D714,$D714-($D714-$I$697)*MIN(E$3-$O$2,$Q$2)/$Q$2))</f>
        <v>2477.02941894531</v>
      </c>
      <c r="F714" s="15" t="n">
        <f aca="false">E714*(1+IF(F$3&lt;=$O$2,$D714,$D714-($D714-$I$697)*MIN(F$3-$O$2,$Q$2)/$Q$2))</f>
        <v>2474.062396097</v>
      </c>
      <c r="G714" s="15" t="n">
        <f aca="false">F714*(1+IF(G$3&lt;=$O$2,$D714,$D714-($D714-$I$697)*MIN(G$3-$O$2,$Q$2)/$Q$2))</f>
        <v>2471.09892719298</v>
      </c>
      <c r="H714" s="15" t="n">
        <f aca="false">G714*(1+IF(H$3&lt;=$O$2,$D714,$D714-($D714-$I$697)*MIN(H$3-$O$2,$Q$2)/$Q$2))</f>
        <v>2468.1390079763</v>
      </c>
      <c r="I714" s="15" t="n">
        <f aca="false">H714*(1+IF(I$3&lt;=$O$2,$D714,$D714-($D714-$I$697)*MIN(I$3-$O$2,$Q$2)/$Q$2))</f>
        <v>2465.18263419507</v>
      </c>
      <c r="J714" s="15" t="n">
        <f aca="false">I714*(1+IF(J$3&lt;=$O$2,$D714,$D714-($D714-$I$697)*MIN(J$3-$O$2,$Q$2)/$Q$2))</f>
        <v>2481.70366709898</v>
      </c>
      <c r="K714" s="15" t="n">
        <f aca="false">J714*(1+IF(K$3&lt;=$O$2,$D714,$D714-($D714-$I$697)*MIN(K$3-$O$2,$Q$2)/$Q$2))</f>
        <v>2517.93979423938</v>
      </c>
      <c r="L714" s="15" t="n">
        <f aca="false">K714*(1+IF(L$3&lt;=$O$2,$D714,$D714-($D714-$I$697)*MIN(L$3-$O$2,$Q$2)/$Q$2))</f>
        <v>2574.59564034816</v>
      </c>
      <c r="M714" s="15" t="n">
        <f aca="false">L714*(1+IF(M$3&lt;=$O$2,$D714,$D714-($D714-$I$697)*MIN(M$3-$O$2,$Q$2)/$Q$2))</f>
        <v>2652.86447294321</v>
      </c>
      <c r="N714" s="15" t="n">
        <f aca="false">M714*(1+IF(N$3&lt;=$O$2,$D714,$D714-($D714-$I$697)*MIN(N$3-$O$2,$Q$2)/$Q$2))</f>
        <v>2754.46918225694</v>
      </c>
      <c r="O714" s="15" t="n">
        <f aca="false">SUMPRODUCT(E714:N714,1/(1+$F$697)^$E$3:$N$3)*$E$2</f>
        <v>4821.25809647494</v>
      </c>
      <c r="P714" s="15" t="n">
        <f aca="false">N714*$E$2*(1+$I$697)/($F$697-$I$697)/(1+$F$697)^$N$3</f>
        <v>6744.64501847938</v>
      </c>
      <c r="Q714" s="15" t="n">
        <f aca="false">O714+P714</f>
        <v>11565.9031149543</v>
      </c>
      <c r="R714" s="15" t="n">
        <f aca="false">Q714-$G$2+$I$2</f>
        <v>10291.2331149543</v>
      </c>
      <c r="S714" s="42" t="n">
        <f aca="false">R714/$K$2</f>
        <v>289.323393729388</v>
      </c>
      <c r="T714" s="43" t="n">
        <f aca="false">S714-$M$2</f>
        <v>0.0346672745098999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-0.001220703125</v>
      </c>
      <c r="C715" s="25" t="n">
        <f aca="false">IF(T714&gt;0,D714,C714)</f>
        <v>-0.00119781494140625</v>
      </c>
      <c r="D715" s="41" t="n">
        <f aca="false">(B715+C715)/2</f>
        <v>-0.00120925903320313</v>
      </c>
      <c r="E715" s="15" t="n">
        <f aca="false">$C$2*(1+IF(E$3&lt;=$O$2,$D715,$D715-($D715-$I$697)*MIN(E$3-$O$2,$Q$2)/$Q$2))</f>
        <v>2477.00103759766</v>
      </c>
      <c r="F715" s="15" t="n">
        <f aca="false">E715*(1+IF(F$3&lt;=$O$2,$D715,$D715-($D715-$I$697)*MIN(F$3-$O$2,$Q$2)/$Q$2))</f>
        <v>2474.00570171769</v>
      </c>
      <c r="G715" s="15" t="n">
        <f aca="false">F715*(1+IF(G$3&lt;=$O$2,$D715,$D715-($D715-$I$697)*MIN(G$3-$O$2,$Q$2)/$Q$2))</f>
        <v>2471.01398797469</v>
      </c>
      <c r="H715" s="15" t="n">
        <f aca="false">G715*(1+IF(H$3&lt;=$O$2,$D715,$D715-($D715-$I$697)*MIN(H$3-$O$2,$Q$2)/$Q$2))</f>
        <v>2468.02589198856</v>
      </c>
      <c r="I715" s="15" t="n">
        <f aca="false">H715*(1+IF(I$3&lt;=$O$2,$D715,$D715-($D715-$I$697)*MIN(I$3-$O$2,$Q$2)/$Q$2))</f>
        <v>2465.04140938449</v>
      </c>
      <c r="J715" s="15" t="n">
        <f aca="false">I715*(1+IF(J$3&lt;=$O$2,$D715,$D715-($D715-$I$697)*MIN(J$3-$O$2,$Q$2)/$Q$2))</f>
        <v>2481.53892770717</v>
      </c>
      <c r="K715" s="15" t="n">
        <f aca="false">J715*(1+IF(K$3&lt;=$O$2,$D715,$D715-($D715-$I$697)*MIN(K$3-$O$2,$Q$2)/$Q$2))</f>
        <v>2517.75561006089</v>
      </c>
      <c r="L715" s="15" t="n">
        <f aca="false">K715*(1+IF(L$3&lt;=$O$2,$D715,$D715-($D715-$I$697)*MIN(L$3-$O$2,$Q$2)/$Q$2))</f>
        <v>2574.39578649415</v>
      </c>
      <c r="M715" s="15" t="n">
        <f aca="false">L715*(1+IF(M$3&lt;=$O$2,$D715,$D715-($D715-$I$697)*MIN(M$3-$O$2,$Q$2)/$Q$2))</f>
        <v>2652.65265112036</v>
      </c>
      <c r="N715" s="15" t="n">
        <f aca="false">M715*(1+IF(N$3&lt;=$O$2,$D715,$D715-($D715-$I$697)*MIN(N$3-$O$2,$Q$2)/$Q$2))</f>
        <v>2754.24924765827</v>
      </c>
      <c r="O715" s="15" t="n">
        <f aca="false">SUMPRODUCT(E715:N715,1/(1+$F$697)^$E$3:$N$3)*$E$2</f>
        <v>4821.01937733203</v>
      </c>
      <c r="P715" s="15" t="n">
        <f aca="false">N715*$E$2*(1+$I$697)/($F$697-$I$697)/(1+$F$697)^$N$3</f>
        <v>6744.10648248672</v>
      </c>
      <c r="Q715" s="15" t="n">
        <f aca="false">O715+P715</f>
        <v>11565.1258598187</v>
      </c>
      <c r="R715" s="15" t="n">
        <f aca="false">Q715-$G$2+$I$2</f>
        <v>10290.4558598187</v>
      </c>
      <c r="S715" s="42" t="n">
        <f aca="false">R715/$K$2</f>
        <v>289.301542305841</v>
      </c>
      <c r="T715" s="43" t="n">
        <f aca="false">S715-$M$2</f>
        <v>0.012815850962852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-0.001220703125</v>
      </c>
      <c r="C716" s="25" t="n">
        <f aca="false">IF(T715&gt;0,D715,C715)</f>
        <v>-0.00120925903320313</v>
      </c>
      <c r="D716" s="41" t="n">
        <f aca="false">(B716+C716)/2</f>
        <v>-0.00121498107910156</v>
      </c>
      <c r="E716" s="15" t="n">
        <f aca="false">$C$2*(1+IF(E$3&lt;=$O$2,$D716,$D716-($D716-$I$697)*MIN(E$3-$O$2,$Q$2)/$Q$2))</f>
        <v>2476.98684692383</v>
      </c>
      <c r="F716" s="15" t="n">
        <f aca="false">E716*(1+IF(F$3&lt;=$O$2,$D716,$D716-($D716-$I$697)*MIN(F$3-$O$2,$Q$2)/$Q$2))</f>
        <v>2473.97735477163</v>
      </c>
      <c r="G716" s="15" t="n">
        <f aca="false">F716*(1+IF(G$3&lt;=$O$2,$D716,$D716-($D716-$I$697)*MIN(G$3-$O$2,$Q$2)/$Q$2))</f>
        <v>2470.97151909546</v>
      </c>
      <c r="H716" s="15" t="n">
        <f aca="false">G716*(1+IF(H$3&lt;=$O$2,$D716,$D716-($D716-$I$697)*MIN(H$3-$O$2,$Q$2)/$Q$2))</f>
        <v>2467.96933545276</v>
      </c>
      <c r="I716" s="15" t="n">
        <f aca="false">H716*(1+IF(I$3&lt;=$O$2,$D716,$D716-($D716-$I$697)*MIN(I$3-$O$2,$Q$2)/$Q$2))</f>
        <v>2464.97079940638</v>
      </c>
      <c r="J716" s="15" t="n">
        <f aca="false">I716*(1+IF(J$3&lt;=$O$2,$D716,$D716-($D716-$I$697)*MIN(J$3-$O$2,$Q$2)/$Q$2))</f>
        <v>2481.45656142438</v>
      </c>
      <c r="K716" s="15" t="n">
        <f aca="false">J716*(1+IF(K$3&lt;=$O$2,$D716,$D716-($D716-$I$697)*MIN(K$3-$O$2,$Q$2)/$Q$2))</f>
        <v>2517.66352228296</v>
      </c>
      <c r="L716" s="15" t="n">
        <f aca="false">K716*(1+IF(L$3&lt;=$O$2,$D716,$D716-($D716-$I$697)*MIN(L$3-$O$2,$Q$2)/$Q$2))</f>
        <v>2574.29586460777</v>
      </c>
      <c r="M716" s="15" t="n">
        <f aca="false">L716*(1+IF(M$3&lt;=$O$2,$D716,$D716-($D716-$I$697)*MIN(M$3-$O$2,$Q$2)/$Q$2))</f>
        <v>2652.54674574585</v>
      </c>
      <c r="N716" s="15" t="n">
        <f aca="false">M716*(1+IF(N$3&lt;=$O$2,$D716,$D716-($D716-$I$697)*MIN(N$3-$O$2,$Q$2)/$Q$2))</f>
        <v>2754.13928610792</v>
      </c>
      <c r="O716" s="15" t="n">
        <f aca="false">SUMPRODUCT(E716:N716,1/(1+$F$697)^$E$3:$N$3)*$E$2</f>
        <v>4820.90002230878</v>
      </c>
      <c r="P716" s="15" t="n">
        <f aca="false">N716*$E$2*(1+$I$697)/($F$697-$I$697)/(1+$F$697)^$N$3</f>
        <v>6743.83722856747</v>
      </c>
      <c r="Q716" s="15" t="n">
        <f aca="false">O716+P716</f>
        <v>11564.7372508763</v>
      </c>
      <c r="R716" s="15" t="n">
        <f aca="false">Q716-$G$2+$I$2</f>
        <v>10290.0672508763</v>
      </c>
      <c r="S716" s="42" t="n">
        <f aca="false">R716/$K$2</f>
        <v>289.290617117691</v>
      </c>
      <c r="T716" s="43" t="n">
        <f aca="false">S716-$M$2</f>
        <v>0.00189066281285477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-0.001220703125</v>
      </c>
      <c r="C717" s="25" t="n">
        <f aca="false">IF(T716&gt;0,D716,C716)</f>
        <v>-0.00121498107910156</v>
      </c>
      <c r="D717" s="41" t="n">
        <f aca="false">(B717+C717)/2</f>
        <v>-0.00121784210205078</v>
      </c>
      <c r="E717" s="15" t="n">
        <f aca="false">$C$2*(1+IF(E$3&lt;=$O$2,$D717,$D717-($D717-$I$697)*MIN(E$3-$O$2,$Q$2)/$Q$2))</f>
        <v>2476.97975158691</v>
      </c>
      <c r="F717" s="15" t="n">
        <f aca="false">E717*(1+IF(F$3&lt;=$O$2,$D717,$D717-($D717-$I$697)*MIN(F$3-$O$2,$Q$2)/$Q$2))</f>
        <v>2473.9631813595</v>
      </c>
      <c r="G717" s="15" t="n">
        <f aca="false">F717*(1+IF(G$3&lt;=$O$2,$D717,$D717-($D717-$I$697)*MIN(G$3-$O$2,$Q$2)/$Q$2))</f>
        <v>2470.95028483832</v>
      </c>
      <c r="H717" s="15" t="n">
        <f aca="false">G717*(1+IF(H$3&lt;=$O$2,$D717,$D717-($D717-$I$697)*MIN(H$3-$O$2,$Q$2)/$Q$2))</f>
        <v>2467.94105754937</v>
      </c>
      <c r="I717" s="15" t="n">
        <f aca="false">H717*(1+IF(I$3&lt;=$O$2,$D717,$D717-($D717-$I$697)*MIN(I$3-$O$2,$Q$2)/$Q$2))</f>
        <v>2464.93549502411</v>
      </c>
      <c r="J717" s="15" t="n">
        <f aca="false">I717*(1+IF(J$3&lt;=$O$2,$D717,$D717-($D717-$I$697)*MIN(J$3-$O$2,$Q$2)/$Q$2))</f>
        <v>2481.41537913625</v>
      </c>
      <c r="K717" s="15" t="n">
        <f aca="false">J717*(1+IF(K$3&lt;=$O$2,$D717,$D717-($D717-$I$697)*MIN(K$3-$O$2,$Q$2)/$Q$2))</f>
        <v>2517.61747947178</v>
      </c>
      <c r="L717" s="15" t="n">
        <f aca="false">K717*(1+IF(L$3&lt;=$O$2,$D717,$D717-($D717-$I$697)*MIN(L$3-$O$2,$Q$2)/$Q$2))</f>
        <v>2574.2459049247</v>
      </c>
      <c r="M717" s="15" t="n">
        <f aca="false">L717*(1+IF(M$3&lt;=$O$2,$D717,$D717-($D717-$I$697)*MIN(M$3-$O$2,$Q$2)/$Q$2))</f>
        <v>2652.49379444278</v>
      </c>
      <c r="N717" s="15" t="n">
        <f aca="false">M717*(1+IF(N$3&lt;=$O$2,$D717,$D717-($D717-$I$697)*MIN(N$3-$O$2,$Q$2)/$Q$2))</f>
        <v>2754.08430676994</v>
      </c>
      <c r="O717" s="15" t="n">
        <f aca="false">SUMPRODUCT(E717:N717,1/(1+$F$697)^$E$3:$N$3)*$E$2</f>
        <v>4820.84034593418</v>
      </c>
      <c r="P717" s="15" t="n">
        <f aca="false">N717*$E$2*(1+$I$697)/($F$697-$I$697)/(1+$F$697)^$N$3</f>
        <v>6743.702605127</v>
      </c>
      <c r="Q717" s="15" t="n">
        <f aca="false">O717+P717</f>
        <v>11564.5429510612</v>
      </c>
      <c r="R717" s="15" t="n">
        <f aca="false">Q717-$G$2+$I$2</f>
        <v>10289.8729510612</v>
      </c>
      <c r="S717" s="42" t="n">
        <f aca="false">R717/$K$2</f>
        <v>289.285154654517</v>
      </c>
      <c r="T717" s="43" t="n">
        <f aca="false">S717-$M$2</f>
        <v>-0.00357180036041882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-0.00121784210205078</v>
      </c>
      <c r="C718" s="25" t="n">
        <f aca="false">IF(T717&gt;0,D717,C717)</f>
        <v>-0.00121498107910156</v>
      </c>
      <c r="D718" s="41" t="n">
        <f aca="false">(B718+C718)/2</f>
        <v>-0.00121641159057617</v>
      </c>
      <c r="E718" s="15" t="n">
        <f aca="false">$C$2*(1+IF(E$3&lt;=$O$2,$D718,$D718-($D718-$I$697)*MIN(E$3-$O$2,$Q$2)/$Q$2))</f>
        <v>2476.98329925537</v>
      </c>
      <c r="F718" s="15" t="n">
        <f aca="false">E718*(1+IF(F$3&lt;=$O$2,$D718,$D718-($D718-$I$697)*MIN(F$3-$O$2,$Q$2)/$Q$2))</f>
        <v>2473.97026806049</v>
      </c>
      <c r="G718" s="15" t="n">
        <f aca="false">F718*(1+IF(G$3&lt;=$O$2,$D718,$D718-($D718-$I$697)*MIN(G$3-$O$2,$Q$2)/$Q$2))</f>
        <v>2470.96090195168</v>
      </c>
      <c r="H718" s="15" t="n">
        <f aca="false">G718*(1+IF(H$3&lt;=$O$2,$D718,$D718-($D718-$I$697)*MIN(H$3-$O$2,$Q$2)/$Q$2))</f>
        <v>2467.95519647069</v>
      </c>
      <c r="I718" s="15" t="n">
        <f aca="false">H718*(1+IF(I$3&lt;=$O$2,$D718,$D718-($D718-$I$697)*MIN(I$3-$O$2,$Q$2)/$Q$2))</f>
        <v>2464.95314716468</v>
      </c>
      <c r="J718" s="15" t="n">
        <f aca="false">I718*(1+IF(J$3&lt;=$O$2,$D718,$D718-($D718-$I$697)*MIN(J$3-$O$2,$Q$2)/$Q$2))</f>
        <v>2481.43597020921</v>
      </c>
      <c r="K718" s="15" t="n">
        <f aca="false">J718*(1+IF(K$3&lt;=$O$2,$D718,$D718-($D718-$I$697)*MIN(K$3-$O$2,$Q$2)/$Q$2))</f>
        <v>2517.64050078755</v>
      </c>
      <c r="L718" s="15" t="n">
        <f aca="false">K718*(1+IF(L$3&lt;=$O$2,$D718,$D718-($D718-$I$697)*MIN(L$3-$O$2,$Q$2)/$Q$2))</f>
        <v>2574.27088466123</v>
      </c>
      <c r="M718" s="15" t="n">
        <f aca="false">L718*(1+IF(M$3&lt;=$O$2,$D718,$D718-($D718-$I$697)*MIN(M$3-$O$2,$Q$2)/$Q$2))</f>
        <v>2652.52026997897</v>
      </c>
      <c r="N718" s="15" t="n">
        <f aca="false">M718*(1+IF(N$3&lt;=$O$2,$D718,$D718-($D718-$I$697)*MIN(N$3-$O$2,$Q$2)/$Q$2))</f>
        <v>2754.11179631917</v>
      </c>
      <c r="O718" s="15" t="n">
        <f aca="false">SUMPRODUCT(E718:N718,1/(1+$F$697)^$E$3:$N$3)*$E$2</f>
        <v>4820.87018402673</v>
      </c>
      <c r="P718" s="15" t="n">
        <f aca="false">N718*$E$2*(1+$I$697)/($F$697-$I$697)/(1+$F$697)^$N$3</f>
        <v>6743.76991655398</v>
      </c>
      <c r="Q718" s="15" t="n">
        <f aca="false">O718+P718</f>
        <v>11564.6401005807</v>
      </c>
      <c r="R718" s="15" t="n">
        <f aca="false">Q718-$G$2+$I$2</f>
        <v>10289.9701005807</v>
      </c>
      <c r="S718" s="42" t="n">
        <f aca="false">R718/$K$2</f>
        <v>289.287885875196</v>
      </c>
      <c r="T718" s="43" t="n">
        <f aca="false">S718-$M$2</f>
        <v>-0.000840579682062526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-0.00121641159057617</v>
      </c>
      <c r="C719" s="25" t="n">
        <f aca="false">IF(T718&gt;0,D718,C718)</f>
        <v>-0.00121498107910156</v>
      </c>
      <c r="D719" s="41" t="n">
        <f aca="false">(B719+C719)/2</f>
        <v>-0.00121569633483887</v>
      </c>
      <c r="E719" s="15" t="n">
        <f aca="false">$C$2*(1+IF(E$3&lt;=$O$2,$D719,$D719-($D719-$I$697)*MIN(E$3-$O$2,$Q$2)/$Q$2))</f>
        <v>2476.9850730896</v>
      </c>
      <c r="F719" s="15" t="n">
        <f aca="false">E719*(1+IF(F$3&lt;=$O$2,$D719,$D719-($D719-$I$697)*MIN(F$3-$O$2,$Q$2)/$Q$2))</f>
        <v>2473.97381141479</v>
      </c>
      <c r="G719" s="15" t="n">
        <f aca="false">F719*(1+IF(G$3&lt;=$O$2,$D719,$D719-($D719-$I$697)*MIN(G$3-$O$2,$Q$2)/$Q$2))</f>
        <v>2470.96621051977</v>
      </c>
      <c r="H719" s="15" t="n">
        <f aca="false">G719*(1+IF(H$3&lt;=$O$2,$D719,$D719-($D719-$I$697)*MIN(H$3-$O$2,$Q$2)/$Q$2))</f>
        <v>2467.96226595413</v>
      </c>
      <c r="I719" s="15" t="n">
        <f aca="false">H719*(1+IF(I$3&lt;=$O$2,$D719,$D719-($D719-$I$697)*MIN(I$3-$O$2,$Q$2)/$Q$2))</f>
        <v>2464.96197327289</v>
      </c>
      <c r="J719" s="15" t="n">
        <f aca="false">I719*(1+IF(J$3&lt;=$O$2,$D719,$D719-($D719-$I$697)*MIN(J$3-$O$2,$Q$2)/$Q$2))</f>
        <v>2481.44626579902</v>
      </c>
      <c r="K719" s="15" t="n">
        <f aca="false">J719*(1+IF(K$3&lt;=$O$2,$D719,$D719-($D719-$I$697)*MIN(K$3-$O$2,$Q$2)/$Q$2))</f>
        <v>2517.6520115128</v>
      </c>
      <c r="L719" s="15" t="n">
        <f aca="false">K719*(1+IF(L$3&lt;=$O$2,$D719,$D719-($D719-$I$697)*MIN(L$3-$O$2,$Q$2)/$Q$2))</f>
        <v>2574.28337460825</v>
      </c>
      <c r="M719" s="15" t="n">
        <f aca="false">L719*(1+IF(M$3&lt;=$O$2,$D719,$D719-($D719-$I$697)*MIN(M$3-$O$2,$Q$2)/$Q$2))</f>
        <v>2652.53350783357</v>
      </c>
      <c r="N719" s="15" t="n">
        <f aca="false">M719*(1+IF(N$3&lt;=$O$2,$D719,$D719-($D719-$I$697)*MIN(N$3-$O$2,$Q$2)/$Q$2))</f>
        <v>2754.1255411836</v>
      </c>
      <c r="O719" s="15" t="n">
        <f aca="false">SUMPRODUCT(E719:N719,1/(1+$F$697)^$E$3:$N$3)*$E$2</f>
        <v>4820.88510314407</v>
      </c>
      <c r="P719" s="15" t="n">
        <f aca="false">N719*$E$2*(1+$I$697)/($F$697-$I$697)/(1+$F$697)^$N$3</f>
        <v>6743.80357248741</v>
      </c>
      <c r="Q719" s="15" t="n">
        <f aca="false">O719+P719</f>
        <v>11564.6886756315</v>
      </c>
      <c r="R719" s="15" t="n">
        <f aca="false">Q719-$G$2+$I$2</f>
        <v>10290.0186756315</v>
      </c>
      <c r="S719" s="42" t="n">
        <f aca="false">R719/$K$2</f>
        <v>289.289251493716</v>
      </c>
      <c r="T719" s="43" t="n">
        <f aca="false">S719-$M$2</f>
        <v>0.000525038838304681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-0.00121641159057617</v>
      </c>
      <c r="C720" s="25" t="n">
        <f aca="false">IF(T719&gt;0,D719,C719)</f>
        <v>-0.00121569633483887</v>
      </c>
      <c r="D720" s="41" t="n">
        <f aca="false">(B720+C720)/2</f>
        <v>-0.00121605396270752</v>
      </c>
      <c r="E720" s="15" t="n">
        <f aca="false">$C$2*(1+IF(E$3&lt;=$O$2,$D720,$D720-($D720-$I$697)*MIN(E$3-$O$2,$Q$2)/$Q$2))</f>
        <v>2476.98418617249</v>
      </c>
      <c r="F720" s="15" t="n">
        <f aca="false">E720*(1+IF(F$3&lt;=$O$2,$D720,$D720-($D720-$I$697)*MIN(F$3-$O$2,$Q$2)/$Q$2))</f>
        <v>2473.97203973733</v>
      </c>
      <c r="G720" s="15" t="n">
        <f aca="false">F720*(1+IF(G$3&lt;=$O$2,$D720,$D720-($D720-$I$697)*MIN(G$3-$O$2,$Q$2)/$Q$2))</f>
        <v>2470.96355623478</v>
      </c>
      <c r="H720" s="15" t="n">
        <f aca="false">G720*(1+IF(H$3&lt;=$O$2,$D720,$D720-($D720-$I$697)*MIN(H$3-$O$2,$Q$2)/$Q$2))</f>
        <v>2467.95873121051</v>
      </c>
      <c r="I720" s="15" t="n">
        <f aca="false">H720*(1+IF(I$3&lt;=$O$2,$D720,$D720-($D720-$I$697)*MIN(I$3-$O$2,$Q$2)/$Q$2))</f>
        <v>2464.95756021562</v>
      </c>
      <c r="J720" s="15" t="n">
        <f aca="false">I720*(1+IF(J$3&lt;=$O$2,$D720,$D720-($D720-$I$697)*MIN(J$3-$O$2,$Q$2)/$Q$2))</f>
        <v>2481.44111799967</v>
      </c>
      <c r="K720" s="15" t="n">
        <f aca="false">J720*(1+IF(K$3&lt;=$O$2,$D720,$D720-($D720-$I$697)*MIN(K$3-$O$2,$Q$2)/$Q$2))</f>
        <v>2517.64625614456</v>
      </c>
      <c r="L720" s="15" t="n">
        <f aca="false">K720*(1+IF(L$3&lt;=$O$2,$D720,$D720-($D720-$I$697)*MIN(L$3-$O$2,$Q$2)/$Q$2))</f>
        <v>2574.27712962817</v>
      </c>
      <c r="M720" s="15" t="n">
        <f aca="false">L720*(1+IF(M$3&lt;=$O$2,$D720,$D720-($D720-$I$697)*MIN(M$3-$O$2,$Q$2)/$Q$2))</f>
        <v>2652.52688889906</v>
      </c>
      <c r="N720" s="15" t="n">
        <f aca="false">M720*(1+IF(N$3&lt;=$O$2,$D720,$D720-($D720-$I$697)*MIN(N$3-$O$2,$Q$2)/$Q$2))</f>
        <v>2754.1186687439</v>
      </c>
      <c r="O720" s="15" t="n">
        <f aca="false">SUMPRODUCT(E720:N720,1/(1+$F$697)^$E$3:$N$3)*$E$2</f>
        <v>4820.87764357948</v>
      </c>
      <c r="P720" s="15" t="n">
        <f aca="false">N720*$E$2*(1+$I$697)/($F$697-$I$697)/(1+$F$697)^$N$3</f>
        <v>6743.78674450236</v>
      </c>
      <c r="Q720" s="15" t="n">
        <f aca="false">O720+P720</f>
        <v>11564.6643880818</v>
      </c>
      <c r="R720" s="15" t="n">
        <f aca="false">Q720-$G$2+$I$2</f>
        <v>10289.9943880818</v>
      </c>
      <c r="S720" s="42" t="n">
        <f aca="false">R720/$K$2</f>
        <v>289.288568683774</v>
      </c>
      <c r="T720" s="43" t="n">
        <f aca="false">S720-$M$2</f>
        <v>-0.000157771103602045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-0.00121605396270752</v>
      </c>
      <c r="C721" s="25" t="n">
        <f aca="false">IF(T720&gt;0,D720,C720)</f>
        <v>-0.00121569633483887</v>
      </c>
      <c r="D721" s="41" t="n">
        <f aca="false">(B721+C721)/2</f>
        <v>-0.00121587514877319</v>
      </c>
      <c r="E721" s="15" t="n">
        <f aca="false">$C$2*(1+IF(E$3&lt;=$O$2,$D721,$D721-($D721-$I$697)*MIN(E$3-$O$2,$Q$2)/$Q$2))</f>
        <v>2476.98462963104</v>
      </c>
      <c r="F721" s="15" t="n">
        <f aca="false">E721*(1+IF(F$3&lt;=$O$2,$D721,$D721-($D721-$I$697)*MIN(F$3-$O$2,$Q$2)/$Q$2))</f>
        <v>2473.97292557598</v>
      </c>
      <c r="G721" s="15" t="n">
        <f aca="false">F721*(1+IF(G$3&lt;=$O$2,$D721,$D721-($D721-$I$697)*MIN(G$3-$O$2,$Q$2)/$Q$2))</f>
        <v>2470.96488337704</v>
      </c>
      <c r="H721" s="15" t="n">
        <f aca="false">G721*(1+IF(H$3&lt;=$O$2,$D721,$D721-($D721-$I$697)*MIN(H$3-$O$2,$Q$2)/$Q$2))</f>
        <v>2467.96049858185</v>
      </c>
      <c r="I721" s="15" t="n">
        <f aca="false">H721*(1+IF(I$3&lt;=$O$2,$D721,$D721-($D721-$I$697)*MIN(I$3-$O$2,$Q$2)/$Q$2))</f>
        <v>2464.95976674347</v>
      </c>
      <c r="J721" s="15" t="n">
        <f aca="false">I721*(1+IF(J$3&lt;=$O$2,$D721,$D721-($D721-$I$697)*MIN(J$3-$O$2,$Q$2)/$Q$2))</f>
        <v>2481.44369189823</v>
      </c>
      <c r="K721" s="15" t="n">
        <f aca="false">J721*(1+IF(K$3&lt;=$O$2,$D721,$D721-($D721-$I$697)*MIN(K$3-$O$2,$Q$2)/$Q$2))</f>
        <v>2517.64913382728</v>
      </c>
      <c r="L721" s="15" t="n">
        <f aca="false">K721*(1+IF(L$3&lt;=$O$2,$D721,$D721-($D721-$I$697)*MIN(L$3-$O$2,$Q$2)/$Q$2))</f>
        <v>2574.28025211657</v>
      </c>
      <c r="M721" s="15" t="n">
        <f aca="false">L721*(1+IF(M$3&lt;=$O$2,$D721,$D721-($D721-$I$697)*MIN(M$3-$O$2,$Q$2)/$Q$2))</f>
        <v>2652.53019836452</v>
      </c>
      <c r="N721" s="15" t="n">
        <f aca="false">M721*(1+IF(N$3&lt;=$O$2,$D721,$D721-($D721-$I$697)*MIN(N$3-$O$2,$Q$2)/$Q$2))</f>
        <v>2754.12210496188</v>
      </c>
      <c r="O721" s="15" t="n">
        <f aca="false">SUMPRODUCT(E721:N721,1/(1+$F$697)^$E$3:$N$3)*$E$2</f>
        <v>4820.88137336029</v>
      </c>
      <c r="P721" s="15" t="n">
        <f aca="false">N721*$E$2*(1+$I$697)/($F$697-$I$697)/(1+$F$697)^$N$3</f>
        <v>6743.7951584903</v>
      </c>
      <c r="Q721" s="15" t="n">
        <f aca="false">O721+P721</f>
        <v>11564.6765318506</v>
      </c>
      <c r="R721" s="15" t="n">
        <f aca="false">Q721-$G$2+$I$2</f>
        <v>10290.0065318506</v>
      </c>
      <c r="S721" s="42" t="n">
        <f aca="false">R721/$K$2</f>
        <v>289.288910088575</v>
      </c>
      <c r="T721" s="43" t="n">
        <f aca="false">S721-$M$2</f>
        <v>0.000183633696849483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-0.00121605396270752</v>
      </c>
      <c r="C722" s="25" t="n">
        <f aca="false">IF(T721&gt;0,D721,C721)</f>
        <v>-0.00121587514877319</v>
      </c>
      <c r="D722" s="41" t="n">
        <f aca="false">(B722+C722)/2</f>
        <v>-0.00121596455574036</v>
      </c>
      <c r="E722" s="15" t="n">
        <f aca="false">$C$2*(1+IF(E$3&lt;=$O$2,$D722,$D722-($D722-$I$697)*MIN(E$3-$O$2,$Q$2)/$Q$2))</f>
        <v>2476.98440790176</v>
      </c>
      <c r="F722" s="15" t="n">
        <f aca="false">E722*(1+IF(F$3&lt;=$O$2,$D722,$D722-($D722-$I$697)*MIN(F$3-$O$2,$Q$2)/$Q$2))</f>
        <v>2473.97248265663</v>
      </c>
      <c r="G722" s="15" t="n">
        <f aca="false">F722*(1+IF(G$3&lt;=$O$2,$D722,$D722-($D722-$I$697)*MIN(G$3-$O$2,$Q$2)/$Q$2))</f>
        <v>2470.96421980585</v>
      </c>
      <c r="H722" s="15" t="n">
        <f aca="false">G722*(1+IF(H$3&lt;=$O$2,$D722,$D722-($D722-$I$697)*MIN(H$3-$O$2,$Q$2)/$Q$2))</f>
        <v>2467.95961489606</v>
      </c>
      <c r="I722" s="15" t="n">
        <f aca="false">H722*(1+IF(I$3&lt;=$O$2,$D722,$D722-($D722-$I$697)*MIN(I$3-$O$2,$Q$2)/$Q$2))</f>
        <v>2464.95866347935</v>
      </c>
      <c r="J722" s="15" t="n">
        <f aca="false">I722*(1+IF(J$3&lt;=$O$2,$D722,$D722-($D722-$I$697)*MIN(J$3-$O$2,$Q$2)/$Q$2))</f>
        <v>2481.44240494867</v>
      </c>
      <c r="K722" s="15" t="n">
        <f aca="false">J722*(1+IF(K$3&lt;=$O$2,$D722,$D722-($D722-$I$697)*MIN(K$3-$O$2,$Q$2)/$Q$2))</f>
        <v>2517.64769498557</v>
      </c>
      <c r="L722" s="15" t="n">
        <f aca="false">K722*(1+IF(L$3&lt;=$O$2,$D722,$D722-($D722-$I$697)*MIN(L$3-$O$2,$Q$2)/$Q$2))</f>
        <v>2574.27869087196</v>
      </c>
      <c r="M722" s="15" t="n">
        <f aca="false">L722*(1+IF(M$3&lt;=$O$2,$D722,$D722-($D722-$I$697)*MIN(M$3-$O$2,$Q$2)/$Q$2))</f>
        <v>2652.52854363134</v>
      </c>
      <c r="N722" s="15" t="n">
        <f aca="false">M722*(1+IF(N$3&lt;=$O$2,$D722,$D722-($D722-$I$697)*MIN(N$3-$O$2,$Q$2)/$Q$2))</f>
        <v>2754.12038685242</v>
      </c>
      <c r="O722" s="15" t="n">
        <f aca="false">SUMPRODUCT(E722:N722,1/(1+$F$697)^$E$3:$N$3)*$E$2</f>
        <v>4820.87950846952</v>
      </c>
      <c r="P722" s="15" t="n">
        <f aca="false">N722*$E$2*(1+$I$697)/($F$697-$I$697)/(1+$F$697)^$N$3</f>
        <v>6743.79095149519</v>
      </c>
      <c r="Q722" s="15" t="n">
        <f aca="false">O722+P722</f>
        <v>11564.6704599647</v>
      </c>
      <c r="R722" s="15" t="n">
        <f aca="false">Q722-$G$2+$I$2</f>
        <v>10290.0004599647</v>
      </c>
      <c r="S722" s="42" t="n">
        <f aca="false">R722/$K$2</f>
        <v>289.288739386132</v>
      </c>
      <c r="T722" s="43" t="n">
        <f aca="false">S722-$M$2</f>
        <v>1.29312539911552E-005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210</v>
      </c>
    </row>
    <row r="3" customFormat="false" ht="15" hidden="false" customHeight="false" outlineLevel="0" collapsed="false">
      <c r="B3" s="2" t="s">
        <v>211</v>
      </c>
    </row>
    <row r="5" customFormat="false" ht="15" hidden="false" customHeight="false" outlineLevel="0" collapsed="false">
      <c r="B5" s="3" t="s">
        <v>212</v>
      </c>
    </row>
    <row r="6" customFormat="false" ht="15" hidden="false" customHeight="false" outlineLevel="0" collapsed="false">
      <c r="B6" s="28" t="s">
        <v>161</v>
      </c>
      <c r="C6" s="44" t="n">
        <v>1</v>
      </c>
      <c r="D6" s="44" t="n">
        <v>2</v>
      </c>
      <c r="E6" s="44" t="n">
        <v>3</v>
      </c>
      <c r="F6" s="44" t="n">
        <v>4</v>
      </c>
      <c r="G6" s="44" t="n">
        <v>5</v>
      </c>
      <c r="H6" s="44" t="n">
        <v>6</v>
      </c>
      <c r="I6" s="44" t="n">
        <v>7</v>
      </c>
      <c r="J6" s="44" t="n">
        <v>8</v>
      </c>
      <c r="K6" s="44" t="n">
        <v>9</v>
      </c>
      <c r="L6" s="44" t="n">
        <v>10</v>
      </c>
    </row>
    <row r="7" customFormat="false" ht="15" hidden="false" customHeight="false" outlineLevel="0" collapsed="false">
      <c r="B7" s="5" t="s">
        <v>213</v>
      </c>
      <c r="C7" s="23" t="n">
        <f aca="false">IF(C$6&lt;=Inputs!$C$46,Solver!$W$7,Solver!$W$7-(Solver!$W$7-Inputs!$C$37)*MIN(C$6-Inputs!$C$46,Inputs!$C$47)/Inputs!$C$47)</f>
        <v>-0.00925686573054918</v>
      </c>
      <c r="D7" s="23" t="n">
        <f aca="false">IF(D$6&lt;=Inputs!$C$46,Solver!$W$7,Solver!$W$7-(Solver!$W$7-Inputs!$C$37)*MIN(D$6-Inputs!$C$46,Inputs!$C$47)/Inputs!$C$47)</f>
        <v>-0.00925686573054918</v>
      </c>
      <c r="E7" s="23" t="n">
        <f aca="false">IF(E$6&lt;=Inputs!$C$46,Solver!$W$7,Solver!$W$7-(Solver!$W$7-Inputs!$C$37)*MIN(E$6-Inputs!$C$46,Inputs!$C$47)/Inputs!$C$47)</f>
        <v>-0.00925686573054918</v>
      </c>
      <c r="F7" s="23" t="n">
        <f aca="false">IF(F$6&lt;=Inputs!$C$46,Solver!$W$7,Solver!$W$7-(Solver!$W$7-Inputs!$C$37)*MIN(F$6-Inputs!$C$46,Inputs!$C$47)/Inputs!$C$47)</f>
        <v>-0.00925686573054918</v>
      </c>
      <c r="G7" s="23" t="n">
        <f aca="false">IF(G$6&lt;=Inputs!$C$46,Solver!$W$7,Solver!$W$7-(Solver!$W$7-Inputs!$C$37)*MIN(G$6-Inputs!$C$46,Inputs!$C$47)/Inputs!$C$47)</f>
        <v>-0.00925686573054918</v>
      </c>
      <c r="H7" s="23" t="n">
        <f aca="false">IF(H$6&lt;=Inputs!$C$46,Solver!$W$7,Solver!$W$7-(Solver!$W$7-Inputs!$C$37)*MIN(H$6-Inputs!$C$46,Inputs!$C$47)/Inputs!$C$47)</f>
        <v>-0.00174549258443934</v>
      </c>
      <c r="I7" s="23" t="n">
        <f aca="false">IF(I$6&lt;=Inputs!$C$46,Solver!$W$7,Solver!$W$7-(Solver!$W$7-Inputs!$C$37)*MIN(I$6-Inputs!$C$46,Inputs!$C$47)/Inputs!$C$47)</f>
        <v>0.00576588056167049</v>
      </c>
      <c r="J7" s="23" t="n">
        <f aca="false">IF(J$6&lt;=Inputs!$C$46,Solver!$W$7,Solver!$W$7-(Solver!$W$7-Inputs!$C$37)*MIN(J$6-Inputs!$C$46,Inputs!$C$47)/Inputs!$C$47)</f>
        <v>0.0132772537077803</v>
      </c>
      <c r="K7" s="23" t="n">
        <f aca="false">IF(K$6&lt;=Inputs!$C$46,Solver!$W$7,Solver!$W$7-(Solver!$W$7-Inputs!$C$37)*MIN(K$6-Inputs!$C$46,Inputs!$C$47)/Inputs!$C$47)</f>
        <v>0.0207886268538902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103</v>
      </c>
      <c r="C8" s="15" t="n">
        <f aca="false">Inputs!$C$12*(1+C7)</f>
        <v>2457.04297298824</v>
      </c>
      <c r="D8" s="15" t="n">
        <f aca="false">C8*(1+D7)</f>
        <v>2434.2984560931</v>
      </c>
      <c r="E8" s="15" t="n">
        <f aca="false">D8*(1+E7)</f>
        <v>2411.76448213696</v>
      </c>
      <c r="F8" s="15" t="n">
        <f aca="false">E8*(1+F7)</f>
        <v>2389.43910215211</v>
      </c>
      <c r="G8" s="15" t="n">
        <f aca="false">F8*(1+G7)</f>
        <v>2367.32038521216</v>
      </c>
      <c r="H8" s="15" t="n">
        <f aca="false">G8*(1+H7)</f>
        <v>2363.18824503478</v>
      </c>
      <c r="I8" s="15" t="n">
        <f aca="false">H8*(1+I7)</f>
        <v>2376.8141062004</v>
      </c>
      <c r="J8" s="15" t="n">
        <f aca="false">I8*(1+J7)</f>
        <v>2408.37167010465</v>
      </c>
      <c r="K8" s="15" t="n">
        <f aca="false">J8*(1+K7)</f>
        <v>2458.43841007994</v>
      </c>
      <c r="L8" s="15" t="n">
        <f aca="false">K8*(1+L7)</f>
        <v>2528.0122170852</v>
      </c>
    </row>
    <row r="9" customFormat="false" ht="15" hidden="false" customHeight="false" outlineLevel="0" collapsed="false">
      <c r="B9" s="5" t="s">
        <v>58</v>
      </c>
      <c r="C9" s="15" t="n">
        <f aca="false">C8*Inputs!$C$23</f>
        <v>738.262153932224</v>
      </c>
      <c r="D9" s="15" t="n">
        <f aca="false">D8*Inputs!$C$23</f>
        <v>731.428160299327</v>
      </c>
      <c r="E9" s="15" t="n">
        <f aca="false">E8*Inputs!$C$23</f>
        <v>724.657428027894</v>
      </c>
      <c r="F9" s="15" t="n">
        <f aca="false">F8*Inputs!$C$23</f>
        <v>717.949371515995</v>
      </c>
      <c r="G9" s="15" t="n">
        <f aca="false">G8*Inputs!$C$23</f>
        <v>711.303410582539</v>
      </c>
      <c r="H9" s="15" t="n">
        <f aca="false">H8*Inputs!$C$23</f>
        <v>710.061835754081</v>
      </c>
      <c r="I9" s="15" t="n">
        <f aca="false">I8*Inputs!$C$23</f>
        <v>714.155967490439</v>
      </c>
      <c r="J9" s="15" t="n">
        <f aca="false">J8*Inputs!$C$23</f>
        <v>723.637997457735</v>
      </c>
      <c r="K9" s="15" t="n">
        <f aca="false">K8*Inputs!$C$23</f>
        <v>738.681437764181</v>
      </c>
      <c r="L9" s="15" t="n">
        <f aca="false">L8*Inputs!$C$23</f>
        <v>759.586122452907</v>
      </c>
    </row>
    <row r="10" customFormat="false" ht="15" hidden="false" customHeight="false" outlineLevel="0" collapsed="false">
      <c r="B10" s="5" t="s">
        <v>214</v>
      </c>
      <c r="C10" s="45" t="n">
        <f aca="false">1/(1+WACC!$C$35)^C$6</f>
        <v>0.924708528735963</v>
      </c>
      <c r="D10" s="45" t="n">
        <f aca="false">1/(1+WACC!$C$35)^D$6</f>
        <v>0.855085863117029</v>
      </c>
      <c r="E10" s="45" t="n">
        <f aca="false">1/(1+WACC!$C$35)^E$6</f>
        <v>0.790705190425869</v>
      </c>
      <c r="F10" s="45" t="n">
        <f aca="false">1/(1+WACC!$C$35)^F$6</f>
        <v>0.731171833302594</v>
      </c>
      <c r="G10" s="45" t="n">
        <f aca="false">1/(1+WACC!$C$35)^G$6</f>
        <v>0.676120830226419</v>
      </c>
      <c r="H10" s="45" t="n">
        <f aca="false">1/(1+WACC!$C$35)^H$6</f>
        <v>0.625214698166409</v>
      </c>
      <c r="I10" s="45" t="n">
        <f aca="false">1/(1+WACC!$C$35)^I$6</f>
        <v>0.578141363685559</v>
      </c>
      <c r="J10" s="45" t="n">
        <f aca="false">1/(1+WACC!$C$35)^J$6</f>
        <v>0.534612249815077</v>
      </c>
      <c r="K10" s="45" t="n">
        <f aca="false">1/(1+WACC!$C$35)^K$6</f>
        <v>0.494360506970723</v>
      </c>
      <c r="L10" s="45" t="n">
        <f aca="false">1/(1+WACC!$C$35)^L$6</f>
        <v>0.457139377066062</v>
      </c>
    </row>
    <row r="11" customFormat="false" ht="15" hidden="false" customHeight="false" outlineLevel="0" collapsed="false">
      <c r="B11" s="5" t="s">
        <v>215</v>
      </c>
      <c r="C11" s="15" t="n">
        <f aca="false">C9*C10</f>
        <v>682.67731018411</v>
      </c>
      <c r="D11" s="15" t="n">
        <f aca="false">D9*D10</f>
        <v>625.433879757651</v>
      </c>
      <c r="E11" s="15" t="n">
        <f aca="false">E9*E10</f>
        <v>572.990389622316</v>
      </c>
      <c r="F11" s="15" t="n">
        <f aca="false">F9*F10</f>
        <v>524.944358189795</v>
      </c>
      <c r="G11" s="15" t="n">
        <f aca="false">G9*G10</f>
        <v>480.927052505949</v>
      </c>
      <c r="H11" s="15" t="n">
        <f aca="false">H9*H10</f>
        <v>443.941096320474</v>
      </c>
      <c r="I11" s="15" t="n">
        <f aca="false">I9*I10</f>
        <v>412.883104929103</v>
      </c>
      <c r="J11" s="15" t="n">
        <f aca="false">J9*J10</f>
        <v>386.865737872557</v>
      </c>
      <c r="K11" s="15" t="n">
        <f aca="false">K9*K10</f>
        <v>365.174930062963</v>
      </c>
      <c r="L11" s="15" t="n">
        <f aca="false">L9*L10</f>
        <v>347.236726846147</v>
      </c>
    </row>
    <row r="13" customFormat="false" ht="15" hidden="false" customHeight="false" outlineLevel="0" collapsed="false">
      <c r="B13" s="5" t="s">
        <v>216</v>
      </c>
      <c r="C13" s="15" t="n">
        <f aca="false">SUM(C11:L11)</f>
        <v>4843.07458629106</v>
      </c>
    </row>
    <row r="14" customFormat="false" ht="15" hidden="false" customHeight="false" outlineLevel="0" collapsed="false">
      <c r="B14" s="5" t="s">
        <v>217</v>
      </c>
      <c r="C14" s="15" t="n">
        <f aca="false">L9*(1+Inputs!$C$37)/(WACC!$C$35-Inputs!$C$37)</f>
        <v>14703.6019009448</v>
      </c>
    </row>
    <row r="15" customFormat="false" ht="15" hidden="false" customHeight="false" outlineLevel="0" collapsed="false">
      <c r="B15" s="5" t="s">
        <v>218</v>
      </c>
      <c r="C15" s="15" t="n">
        <f aca="false">C14*L10</f>
        <v>6721.59541362528</v>
      </c>
    </row>
    <row r="16" customFormat="false" ht="15" hidden="false" customHeight="false" outlineLevel="0" collapsed="false">
      <c r="B16" s="7" t="s">
        <v>219</v>
      </c>
      <c r="C16" s="15" t="n">
        <f aca="false">C13+C15</f>
        <v>11564.6699999163</v>
      </c>
    </row>
    <row r="17" customFormat="false" ht="15" hidden="false" customHeight="false" outlineLevel="0" collapsed="false">
      <c r="B17" s="5" t="s">
        <v>220</v>
      </c>
      <c r="C17" s="16" t="n">
        <f aca="false">-Inputs!$C$27</f>
        <v>-1540</v>
      </c>
    </row>
    <row r="18" customFormat="false" ht="15" hidden="false" customHeight="false" outlineLevel="0" collapsed="false">
      <c r="B18" s="5" t="s">
        <v>221</v>
      </c>
      <c r="C18" s="16" t="n">
        <f aca="false">Inputs!$C$28</f>
        <v>265.33</v>
      </c>
    </row>
    <row r="19" customFormat="false" ht="15" hidden="false" customHeight="false" outlineLevel="0" collapsed="false">
      <c r="B19" s="5" t="s">
        <v>222</v>
      </c>
      <c r="C19" s="15" t="n">
        <f aca="false">SUM(C16:C18)</f>
        <v>10289.9999999163</v>
      </c>
    </row>
    <row r="20" customFormat="false" ht="15" hidden="false" customHeight="false" outlineLevel="0" collapsed="false">
      <c r="B20" s="5" t="s">
        <v>223</v>
      </c>
      <c r="C20" s="36" t="n">
        <f aca="false">Inputs!$C$7</f>
        <v>35.57</v>
      </c>
    </row>
    <row r="21" customFormat="false" ht="15" hidden="false" customHeight="false" outlineLevel="0" collapsed="false">
      <c r="B21" s="7" t="s">
        <v>224</v>
      </c>
      <c r="C21" s="46" t="n">
        <f aca="false">C19/C20</f>
        <v>289.288726452526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289.288726454878</v>
      </c>
    </row>
    <row r="23" customFormat="false" ht="15" hidden="false" customHeight="false" outlineLevel="0" collapsed="false">
      <c r="B23" s="5" t="s">
        <v>225</v>
      </c>
      <c r="C23" s="23" t="n">
        <f aca="false">C21/C22-1</f>
        <v>-8.1299411647251E-012</v>
      </c>
    </row>
    <row r="24" customFormat="false" ht="15" hidden="false" customHeight="false" outlineLevel="0" collapsed="false">
      <c r="B24" s="5" t="s">
        <v>226</v>
      </c>
      <c r="C24" s="23" t="n">
        <f aca="false">C15/C16</f>
        <v>0.581218090414504</v>
      </c>
    </row>
    <row r="25" customFormat="false" ht="15" hidden="false" customHeight="false" outlineLevel="0" collapsed="false">
      <c r="B25" s="3" t="s">
        <v>227</v>
      </c>
    </row>
    <row r="26" customFormat="false" ht="15" hidden="false" customHeight="false" outlineLevel="0" collapsed="false">
      <c r="B26" s="28" t="s">
        <v>161</v>
      </c>
      <c r="C26" s="44" t="n">
        <v>1</v>
      </c>
      <c r="D26" s="44" t="n">
        <v>2</v>
      </c>
      <c r="E26" s="44" t="n">
        <v>3</v>
      </c>
      <c r="F26" s="44" t="n">
        <v>4</v>
      </c>
      <c r="G26" s="44" t="n">
        <v>5</v>
      </c>
      <c r="H26" s="44" t="n">
        <v>6</v>
      </c>
      <c r="I26" s="44" t="n">
        <v>7</v>
      </c>
      <c r="J26" s="44" t="n">
        <v>8</v>
      </c>
      <c r="K26" s="44" t="n">
        <v>9</v>
      </c>
      <c r="L26" s="44" t="n">
        <v>10</v>
      </c>
    </row>
    <row r="27" customFormat="false" ht="15" hidden="false" customHeight="false" outlineLevel="0" collapsed="false">
      <c r="B27" s="5" t="s">
        <v>213</v>
      </c>
      <c r="C27" s="23" t="n">
        <f aca="false">IF(C$26&lt;=Inputs!$C$46,Inputs!$C$45,Inputs!$C$45-(Inputs!$C$45-Inputs!$C$37)*MIN(C$26-Inputs!$C$46,Inputs!$C$47)/Inputs!$C$47)</f>
        <v>0.0579477807830287</v>
      </c>
      <c r="D27" s="23" t="n">
        <f aca="false">IF(D$26&lt;=Inputs!$C$46,Inputs!$C$45,Inputs!$C$45-(Inputs!$C$45-Inputs!$C$37)*MIN(D$26-Inputs!$C$46,Inputs!$C$47)/Inputs!$C$47)</f>
        <v>0.0579477807830287</v>
      </c>
      <c r="E27" s="23" t="n">
        <f aca="false">IF(E$26&lt;=Inputs!$C$46,Inputs!$C$45,Inputs!$C$45-(Inputs!$C$45-Inputs!$C$37)*MIN(E$26-Inputs!$C$46,Inputs!$C$47)/Inputs!$C$47)</f>
        <v>0.0579477807830287</v>
      </c>
      <c r="F27" s="23" t="n">
        <f aca="false">IF(F$26&lt;=Inputs!$C$46,Inputs!$C$45,Inputs!$C$45-(Inputs!$C$45-Inputs!$C$37)*MIN(F$26-Inputs!$C$46,Inputs!$C$47)/Inputs!$C$47)</f>
        <v>0.0579477807830287</v>
      </c>
      <c r="G27" s="23" t="n">
        <f aca="false">IF(G$26&lt;=Inputs!$C$46,Inputs!$C$45,Inputs!$C$45-(Inputs!$C$45-Inputs!$C$37)*MIN(G$26-Inputs!$C$46,Inputs!$C$47)/Inputs!$C$47)</f>
        <v>0.0579477807830287</v>
      </c>
      <c r="H27" s="23" t="n">
        <f aca="false">IF(H$26&lt;=Inputs!$C$46,Inputs!$C$45,Inputs!$C$45-(Inputs!$C$45-Inputs!$C$37)*MIN(H$26-Inputs!$C$46,Inputs!$C$47)/Inputs!$C$47)</f>
        <v>0.052018224626423</v>
      </c>
      <c r="I27" s="23" t="n">
        <f aca="false">IF(I$26&lt;=Inputs!$C$46,Inputs!$C$45,Inputs!$C$45-(Inputs!$C$45-Inputs!$C$37)*MIN(I$26-Inputs!$C$46,Inputs!$C$47)/Inputs!$C$47)</f>
        <v>0.0460886684698172</v>
      </c>
      <c r="J27" s="23" t="n">
        <f aca="false">IF(J$26&lt;=Inputs!$C$46,Inputs!$C$45,Inputs!$C$45-(Inputs!$C$45-Inputs!$C$37)*MIN(J$26-Inputs!$C$46,Inputs!$C$47)/Inputs!$C$47)</f>
        <v>0.0401591123132115</v>
      </c>
      <c r="K27" s="23" t="n">
        <f aca="false">IF(K$26&lt;=Inputs!$C$46,Inputs!$C$45,Inputs!$C$45-(Inputs!$C$45-Inputs!$C$37)*MIN(K$26-Inputs!$C$46,Inputs!$C$47)/Inputs!$C$47)</f>
        <v>0.0342295561566057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103</v>
      </c>
      <c r="C28" s="15" t="n">
        <f aca="false">Inputs!$C$12*(1+C27)</f>
        <v>2623.71049634191</v>
      </c>
      <c r="D28" s="15" t="n">
        <f aca="false">C28*(1+D27)</f>
        <v>2775.74869702206</v>
      </c>
      <c r="E28" s="15" t="n">
        <f aca="false">D28*(1+E27)</f>
        <v>2936.59717402588</v>
      </c>
      <c r="F28" s="15" t="n">
        <f aca="false">E28*(1+F27)</f>
        <v>3106.76646331439</v>
      </c>
      <c r="G28" s="15" t="n">
        <f aca="false">F28*(1+G27)</f>
        <v>3286.7966852746</v>
      </c>
      <c r="H28" s="15" t="n">
        <f aca="false">G28*(1+H27)</f>
        <v>3457.77001355059</v>
      </c>
      <c r="I28" s="15" t="n">
        <f aca="false">H28*(1+I27)</f>
        <v>3617.13402935</v>
      </c>
      <c r="J28" s="15" t="n">
        <f aca="false">I28*(1+J27)</f>
        <v>3762.39492108661</v>
      </c>
      <c r="K28" s="15" t="n">
        <f aca="false">J28*(1+K27)</f>
        <v>3891.18002932127</v>
      </c>
      <c r="L28" s="15" t="n">
        <f aca="false">K28*(1+L27)</f>
        <v>4001.30042415106</v>
      </c>
    </row>
    <row r="29" customFormat="false" ht="15" hidden="false" customHeight="false" outlineLevel="0" collapsed="false">
      <c r="B29" s="5" t="s">
        <v>58</v>
      </c>
      <c r="C29" s="15" t="n">
        <f aca="false">C28*Inputs!$C$23</f>
        <v>788.340368328282</v>
      </c>
      <c r="D29" s="15" t="n">
        <f aca="false">D28*Inputs!$C$23</f>
        <v>834.022943174581</v>
      </c>
      <c r="E29" s="15" t="n">
        <f aca="false">E28*Inputs!$C$23</f>
        <v>882.352721853678</v>
      </c>
      <c r="F29" s="15" t="n">
        <f aca="false">F28*Inputs!$C$23</f>
        <v>933.483103952964</v>
      </c>
      <c r="G29" s="15" t="n">
        <f aca="false">G28*Inputs!$C$23</f>
        <v>987.576378225491</v>
      </c>
      <c r="H29" s="15" t="n">
        <f aca="false">H28*Inputs!$C$23</f>
        <v>1038.94834810377</v>
      </c>
      <c r="I29" s="15" t="n">
        <f aca="false">I28*Inputs!$C$23</f>
        <v>1086.83209407679</v>
      </c>
      <c r="J29" s="15" t="n">
        <f aca="false">J28*Inputs!$C$23</f>
        <v>1130.47830620843</v>
      </c>
      <c r="K29" s="15" t="n">
        <f aca="false">K28*Inputs!$C$23</f>
        <v>1169.17407687461</v>
      </c>
      <c r="L29" s="15" t="n">
        <f aca="false">L28*Inputs!$C$23</f>
        <v>1202.26170325016</v>
      </c>
    </row>
    <row r="30" customFormat="false" ht="15" hidden="false" customHeight="false" outlineLevel="0" collapsed="false">
      <c r="B30" s="5" t="s">
        <v>214</v>
      </c>
      <c r="C30" s="45" t="n">
        <f aca="false">1/(1+WACC!$C$35)^C$26</f>
        <v>0.924708528735963</v>
      </c>
      <c r="D30" s="45" t="n">
        <f aca="false">1/(1+WACC!$C$35)^D$26</f>
        <v>0.855085863117029</v>
      </c>
      <c r="E30" s="45" t="n">
        <f aca="false">1/(1+WACC!$C$35)^E$26</f>
        <v>0.790705190425869</v>
      </c>
      <c r="F30" s="45" t="n">
        <f aca="false">1/(1+WACC!$C$35)^F$26</f>
        <v>0.731171833302594</v>
      </c>
      <c r="G30" s="45" t="n">
        <f aca="false">1/(1+WACC!$C$35)^G$26</f>
        <v>0.676120830226419</v>
      </c>
      <c r="H30" s="45" t="n">
        <f aca="false">1/(1+WACC!$C$35)^H$26</f>
        <v>0.625214698166409</v>
      </c>
      <c r="I30" s="45" t="n">
        <f aca="false">1/(1+WACC!$C$35)^I$26</f>
        <v>0.578141363685559</v>
      </c>
      <c r="J30" s="45" t="n">
        <f aca="false">1/(1+WACC!$C$35)^J$26</f>
        <v>0.534612249815077</v>
      </c>
      <c r="K30" s="45" t="n">
        <f aca="false">1/(1+WACC!$C$35)^K$26</f>
        <v>0.494360506970723</v>
      </c>
      <c r="L30" s="45" t="n">
        <f aca="false">1/(1+WACC!$C$35)^L$26</f>
        <v>0.457139377066062</v>
      </c>
    </row>
    <row r="31" customFormat="false" ht="15" hidden="false" customHeight="false" outlineLevel="0" collapsed="false">
      <c r="B31" s="5" t="s">
        <v>215</v>
      </c>
      <c r="C31" s="15" t="n">
        <f aca="false">C29*C30</f>
        <v>728.985062140013</v>
      </c>
      <c r="D31" s="15" t="n">
        <f aca="false">D29*D30</f>
        <v>713.161228223842</v>
      </c>
      <c r="E31" s="15" t="n">
        <f aca="false">E29*E30</f>
        <v>697.680876956096</v>
      </c>
      <c r="F31" s="15" t="n">
        <f aca="false">F29*F30</f>
        <v>682.536552474285</v>
      </c>
      <c r="G31" s="15" t="n">
        <f aca="false">G29*G30</f>
        <v>667.720960757819</v>
      </c>
      <c r="H31" s="15" t="n">
        <f aca="false">H29*H30</f>
        <v>649.565777870191</v>
      </c>
      <c r="I31" s="15" t="n">
        <f aca="false">I29*I30</f>
        <v>628.342588966789</v>
      </c>
      <c r="J31" s="15" t="n">
        <f aca="false">J29*J30</f>
        <v>604.367550649224</v>
      </c>
      <c r="K31" s="15" t="n">
        <f aca="false">K29*K30</f>
        <v>577.99348938076</v>
      </c>
      <c r="L31" s="15" t="n">
        <f aca="false">L29*L30</f>
        <v>549.601166094162</v>
      </c>
    </row>
    <row r="33" customFormat="false" ht="15" hidden="false" customHeight="false" outlineLevel="0" collapsed="false">
      <c r="B33" s="5" t="s">
        <v>216</v>
      </c>
      <c r="C33" s="15" t="n">
        <f aca="false">SUM(C31:L31)</f>
        <v>6499.95525351318</v>
      </c>
    </row>
    <row r="34" customFormat="false" ht="15" hidden="false" customHeight="false" outlineLevel="0" collapsed="false">
      <c r="B34" s="5" t="s">
        <v>217</v>
      </c>
      <c r="C34" s="15" t="n">
        <f aca="false">L29*(1+Inputs!$C$37)/(WACC!$C$35-Inputs!$C$37)</f>
        <v>23272.6440660299</v>
      </c>
    </row>
    <row r="35" customFormat="false" ht="15" hidden="false" customHeight="false" outlineLevel="0" collapsed="false">
      <c r="B35" s="5" t="s">
        <v>218</v>
      </c>
      <c r="C35" s="15" t="n">
        <f aca="false">C34*L30</f>
        <v>10638.8420110251</v>
      </c>
    </row>
    <row r="36" customFormat="false" ht="15" hidden="false" customHeight="false" outlineLevel="0" collapsed="false">
      <c r="B36" s="7" t="s">
        <v>219</v>
      </c>
      <c r="C36" s="15" t="n">
        <f aca="false">C33+C35</f>
        <v>17138.7972645382</v>
      </c>
    </row>
    <row r="37" customFormat="false" ht="15" hidden="false" customHeight="false" outlineLevel="0" collapsed="false">
      <c r="B37" s="5" t="s">
        <v>220</v>
      </c>
      <c r="C37" s="16" t="n">
        <f aca="false">-Inputs!$C$27</f>
        <v>-1540</v>
      </c>
    </row>
    <row r="38" customFormat="false" ht="15" hidden="false" customHeight="false" outlineLevel="0" collapsed="false">
      <c r="B38" s="5" t="s">
        <v>221</v>
      </c>
      <c r="C38" s="16" t="n">
        <f aca="false">Inputs!$C$28</f>
        <v>265.33</v>
      </c>
    </row>
    <row r="39" customFormat="false" ht="15" hidden="false" customHeight="false" outlineLevel="0" collapsed="false">
      <c r="B39" s="5" t="s">
        <v>222</v>
      </c>
      <c r="C39" s="15" t="n">
        <f aca="false">SUM(C36:C38)</f>
        <v>15864.1272645382</v>
      </c>
    </row>
    <row r="40" customFormat="false" ht="15" hidden="false" customHeight="false" outlineLevel="0" collapsed="false">
      <c r="B40" s="5" t="s">
        <v>223</v>
      </c>
      <c r="C40" s="36" t="n">
        <f aca="false">Inputs!$C$7</f>
        <v>35.57</v>
      </c>
    </row>
    <row r="41" customFormat="false" ht="15" hidden="false" customHeight="false" outlineLevel="0" collapsed="false">
      <c r="B41" s="7" t="s">
        <v>224</v>
      </c>
      <c r="C41" s="46" t="n">
        <f aca="false">C39/C40</f>
        <v>445.997392874283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289.288726454878</v>
      </c>
    </row>
    <row r="43" customFormat="false" ht="15" hidden="false" customHeight="false" outlineLevel="0" collapsed="false">
      <c r="B43" s="5" t="s">
        <v>225</v>
      </c>
      <c r="C43" s="23" t="n">
        <f aca="false">C41/C42-1</f>
        <v>0.541703329887098</v>
      </c>
    </row>
    <row r="44" customFormat="false" ht="15" hidden="false" customHeight="false" outlineLevel="0" collapsed="false">
      <c r="B44" s="5" t="s">
        <v>226</v>
      </c>
      <c r="C44" s="23" t="n">
        <f aca="false">C35/C36</f>
        <v>0.62074612627794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228</v>
      </c>
    </row>
    <row r="3" customFormat="false" ht="15" hidden="false" customHeight="false" outlineLevel="0" collapsed="false">
      <c r="B3" s="2" t="s">
        <v>229</v>
      </c>
    </row>
    <row r="5" customFormat="false" ht="15" hidden="false" customHeight="false" outlineLevel="0" collapsed="false">
      <c r="B5" s="5" t="s">
        <v>230</v>
      </c>
      <c r="C5" s="24" t="n">
        <v>0.005</v>
      </c>
      <c r="D5" s="5" t="s">
        <v>231</v>
      </c>
      <c r="F5" s="24" t="n">
        <v>0.005</v>
      </c>
    </row>
    <row r="6" customFormat="false" ht="15" hidden="false" customHeight="false" outlineLevel="0" collapsed="false">
      <c r="B6" s="5" t="s">
        <v>232</v>
      </c>
      <c r="C6" s="24" t="n">
        <v>0.02</v>
      </c>
    </row>
    <row r="8" customFormat="false" ht="15" hidden="false" customHeight="false" outlineLevel="0" collapsed="false">
      <c r="B8" s="3" t="s">
        <v>233</v>
      </c>
    </row>
    <row r="9" customFormat="false" ht="15" hidden="false" customHeight="false" outlineLevel="0" collapsed="false">
      <c r="C9" s="47" t="n">
        <f aca="false">Inputs!$C$37+(0-2)*$F$5</f>
        <v>0.0183</v>
      </c>
      <c r="D9" s="47" t="n">
        <f aca="false">Inputs!$C$37+(1-2)*$F$5</f>
        <v>0.0233</v>
      </c>
      <c r="E9" s="47" t="n">
        <f aca="false">Inputs!$C$37+(2-2)*$F$5</f>
        <v>0.0283</v>
      </c>
      <c r="F9" s="47" t="n">
        <f aca="false">Inputs!$C$37+(3-2)*$F$5</f>
        <v>0.0333</v>
      </c>
      <c r="G9" s="47" t="n">
        <f aca="false">Inputs!$C$37+(4-2)*$F$5</f>
        <v>0.0383</v>
      </c>
    </row>
    <row r="10" customFormat="false" ht="15" hidden="false" customHeight="false" outlineLevel="0" collapsed="false">
      <c r="B10" s="47" t="n">
        <f aca="false">WACC!$C$35+(0-2)*$C$5</f>
        <v>0.0714218415038925</v>
      </c>
      <c r="C10" s="9" t="n">
        <f aca="false">Solver!$D$74</f>
        <v>-0.0173079669475555</v>
      </c>
      <c r="D10" s="9" t="n">
        <f aca="false">Solver!$D$101</f>
        <v>-0.029116302728653</v>
      </c>
      <c r="E10" s="9" t="n">
        <f aca="false">Solver!$D$128</f>
        <v>-0.0421974360942841</v>
      </c>
      <c r="F10" s="9" t="n">
        <f aca="false">Solver!$D$155</f>
        <v>-0.0568508803844452</v>
      </c>
      <c r="G10" s="9" t="n">
        <f aca="false">Solver!$D$182</f>
        <v>-0.0734975636005402</v>
      </c>
      <c r="I10" s="19" t="s">
        <v>234</v>
      </c>
    </row>
    <row r="11" customFormat="false" ht="15" hidden="false" customHeight="false" outlineLevel="0" collapsed="false">
      <c r="B11" s="47" t="n">
        <f aca="false">WACC!$C$35+(1-2)*$C$5</f>
        <v>0.0764218415038925</v>
      </c>
      <c r="C11" s="9" t="n">
        <f aca="false">Solver!$D$209</f>
        <v>-0.00247499346733093</v>
      </c>
      <c r="D11" s="9" t="n">
        <f aca="false">Solver!$D$236</f>
        <v>-0.0132810771465302</v>
      </c>
      <c r="E11" s="9" t="n">
        <f aca="false">Solver!$D$263</f>
        <v>-0.0251437723636627</v>
      </c>
      <c r="F11" s="9" t="n">
        <f aca="false">Solver!$D$290</f>
        <v>-0.0382846295833588</v>
      </c>
      <c r="G11" s="9" t="n">
        <f aca="false">Solver!$D$317</f>
        <v>-0.0530045926570892</v>
      </c>
    </row>
    <row r="12" customFormat="false" ht="15" hidden="false" customHeight="false" outlineLevel="0" collapsed="false">
      <c r="B12" s="47" t="n">
        <f aca="false">WACC!$C$35+(2-2)*$C$5</f>
        <v>0.0814218415038925</v>
      </c>
      <c r="C12" s="9" t="n">
        <f aca="false">Solver!$D$344</f>
        <v>0.0115631520748138</v>
      </c>
      <c r="D12" s="9" t="n">
        <f aca="false">Solver!$D$371</f>
        <v>0.00159910321235657</v>
      </c>
      <c r="E12" s="8" t="n">
        <f aca="false">Solver!$D$398</f>
        <v>-0.00925686955451965</v>
      </c>
      <c r="F12" s="9" t="n">
        <f aca="false">Solver!$D$425</f>
        <v>-0.0211737453937531</v>
      </c>
      <c r="G12" s="9" t="n">
        <f aca="false">Solver!$D$452</f>
        <v>-0.0343745052814484</v>
      </c>
    </row>
    <row r="13" customFormat="false" ht="15" hidden="false" customHeight="false" outlineLevel="0" collapsed="false">
      <c r="B13" s="47" t="n">
        <f aca="false">WACC!$C$35+(3-2)*$C$5</f>
        <v>0.0864218415038925</v>
      </c>
      <c r="C13" s="9" t="n">
        <f aca="false">Solver!$D$479</f>
        <v>0.0249268114566803</v>
      </c>
      <c r="D13" s="9" t="n">
        <f aca="false">Solver!$D$506</f>
        <v>0.0156805217266083</v>
      </c>
      <c r="E13" s="9" t="n">
        <f aca="false">Solver!$D$533</f>
        <v>0.00567051768302918</v>
      </c>
      <c r="F13" s="9" t="n">
        <f aca="false">Solver!$D$560</f>
        <v>-0.00523516535758972</v>
      </c>
      <c r="G13" s="9" t="n">
        <f aca="false">Solver!$D$587</f>
        <v>-0.0172064006328583</v>
      </c>
    </row>
    <row r="14" customFormat="false" ht="15" hidden="false" customHeight="false" outlineLevel="0" collapsed="false">
      <c r="B14" s="47" t="n">
        <f aca="false">WACC!$C$35+(4-2)*$C$5</f>
        <v>0.0914218415038925</v>
      </c>
      <c r="C14" s="9" t="n">
        <f aca="false">Solver!$D$614</f>
        <v>0.0377116501331329</v>
      </c>
      <c r="D14" s="9" t="n">
        <f aca="false">Solver!$D$641</f>
        <v>0.0290844142436981</v>
      </c>
      <c r="E14" s="9" t="n">
        <f aca="false">Solver!$D$668</f>
        <v>0.0197953879833221</v>
      </c>
      <c r="F14" s="9" t="n">
        <f aca="false">Solver!$D$695</f>
        <v>0.00973942875862122</v>
      </c>
      <c r="G14" s="9" t="n">
        <f aca="false">Solver!$D$722</f>
        <v>-0.00121596455574036</v>
      </c>
    </row>
    <row r="17" customFormat="false" ht="15" hidden="false" customHeight="false" outlineLevel="0" collapsed="false">
      <c r="B17" s="3" t="s">
        <v>235</v>
      </c>
    </row>
    <row r="18" customFormat="false" ht="15" hidden="false" customHeight="false" outlineLevel="0" collapsed="false">
      <c r="C18" s="48" t="n">
        <f aca="false">Inputs!$C$45+(0-2)*$C$6</f>
        <v>0.0179477807830287</v>
      </c>
      <c r="D18" s="48" t="n">
        <f aca="false">Inputs!$C$45+(1-2)*$C$6</f>
        <v>0.0379477807830287</v>
      </c>
      <c r="E18" s="48" t="n">
        <f aca="false">Inputs!$C$45+(2-2)*$C$6</f>
        <v>0.0579477807830287</v>
      </c>
      <c r="F18" s="48" t="n">
        <f aca="false">Inputs!$C$45+(3-2)*$C$6</f>
        <v>0.0779477807830287</v>
      </c>
      <c r="G18" s="48" t="n">
        <f aca="false">Inputs!$C$45+(4-2)*$C$6</f>
        <v>0.0979477807830287</v>
      </c>
    </row>
    <row r="19" customFormat="false" ht="15" hidden="false" customHeight="false" outlineLevel="0" collapsed="false">
      <c r="B19" s="47" t="n">
        <f aca="false">WACC!$C$35+(0-2)*$C$5</f>
        <v>0.0714218415038925</v>
      </c>
      <c r="C19" s="42" t="n">
        <f aca="false">(SUMPRODUCT($C28:$L28,1/(1+$B19)^$C$27:$L$27)*Inputs!$C$23+$L28*Inputs!$C$23*(1+Inputs!$C$37)/($B19-Inputs!$C$37)/(1+$B19)^$L$27-Inputs!$C$27+Inputs!$C$28)/Inputs!$C$7</f>
        <v>433.537794554361</v>
      </c>
      <c r="D19" s="42" t="n">
        <f aca="false">(SUMPRODUCT($C29:$L29,1/(1+$B19)^$C$27:$L$27)*Inputs!$C$23+$L29*Inputs!$C$23*(1+Inputs!$C$37)/($B19-Inputs!$C$37)/(1+$B19)^$L$27-Inputs!$C$27+Inputs!$C$28)/Inputs!$C$7</f>
        <v>493.472415179883</v>
      </c>
      <c r="E19" s="42" t="n">
        <f aca="false">(SUMPRODUCT($C30:$L30,1/(1+$B19)^$C$27:$L$27)*Inputs!$C$23+$L30*Inputs!$C$23*(1+Inputs!$C$37)/($B19-Inputs!$C$37)/(1+$B19)^$L$27-Inputs!$C$27+Inputs!$C$28)/Inputs!$C$7</f>
        <v>560.435025608852</v>
      </c>
      <c r="F19" s="42" t="n">
        <f aca="false">(SUMPRODUCT($C31:$L31,1/(1+$B19)^$C$27:$L$27)*Inputs!$C$23+$L31*Inputs!$C$23*(1+Inputs!$C$37)/($B19-Inputs!$C$37)/(1+$B19)^$L$27-Inputs!$C$27+Inputs!$C$28)/Inputs!$C$7</f>
        <v>635.14062135226</v>
      </c>
      <c r="G19" s="42" t="n">
        <f aca="false">(SUMPRODUCT($C32:$L32,1/(1+$B19)^$C$27:$L$27)*Inputs!$C$23+$L32*Inputs!$C$23*(1+Inputs!$C$37)/($B19-Inputs!$C$37)/(1+$B19)^$L$27-Inputs!$C$27+Inputs!$C$28)/Inputs!$C$7</f>
        <v>718.364801632516</v>
      </c>
      <c r="I19" s="19" t="s">
        <v>236</v>
      </c>
    </row>
    <row r="20" customFormat="false" ht="15" hidden="false" customHeight="false" outlineLevel="0" collapsed="false">
      <c r="B20" s="47" t="n">
        <f aca="false">WACC!$C$35+(1-2)*$C$5</f>
        <v>0.0764218415038925</v>
      </c>
      <c r="C20" s="42" t="n">
        <f aca="false">(SUMPRODUCT($C28:$L28,1/(1+$B20)^$C$27:$L$27)*Inputs!$C$23+$L28*Inputs!$C$23*(1+Inputs!$C$37)/($B20-Inputs!$C$37)/(1+$B20)^$L$27-Inputs!$C$27+Inputs!$C$28)/Inputs!$C$7</f>
        <v>385.129402607465</v>
      </c>
      <c r="D20" s="42" t="n">
        <f aca="false">(SUMPRODUCT($C29:$L29,1/(1+$B20)^$C$27:$L$27)*Inputs!$C$23+$L29*Inputs!$C$23*(1+Inputs!$C$37)/($B20-Inputs!$C$37)/(1+$B20)^$L$27-Inputs!$C$27+Inputs!$C$28)/Inputs!$C$7</f>
        <v>438.109416900209</v>
      </c>
      <c r="E20" s="42" t="n">
        <f aca="false">(SUMPRODUCT($C30:$L30,1/(1+$B20)^$C$27:$L$27)*Inputs!$C$23+$L30*Inputs!$C$23*(1+Inputs!$C$37)/($B20-Inputs!$C$37)/(1+$B20)^$L$27-Inputs!$C$27+Inputs!$C$28)/Inputs!$C$7</f>
        <v>497.255125764191</v>
      </c>
      <c r="F20" s="42" t="n">
        <f aca="false">(SUMPRODUCT($C31:$L31,1/(1+$B20)^$C$27:$L$27)*Inputs!$C$23+$L31*Inputs!$C$23*(1+Inputs!$C$37)/($B20-Inputs!$C$37)/(1+$B20)^$L$27-Inputs!$C$27+Inputs!$C$28)/Inputs!$C$7</f>
        <v>563.19113605715</v>
      </c>
      <c r="G20" s="42" t="n">
        <f aca="false">(SUMPRODUCT($C32:$L32,1/(1+$B20)^$C$27:$L$27)*Inputs!$C$23+$L32*Inputs!$C$23*(1+Inputs!$C$37)/($B20-Inputs!$C$37)/(1+$B20)^$L$27-Inputs!$C$27+Inputs!$C$28)/Inputs!$C$7</f>
        <v>636.594842224416</v>
      </c>
    </row>
    <row r="21" customFormat="false" ht="15" hidden="false" customHeight="false" outlineLevel="0" collapsed="false">
      <c r="B21" s="47" t="n">
        <f aca="false">WACC!$C$35+(2-2)*$C$5</f>
        <v>0.0814218415038925</v>
      </c>
      <c r="C21" s="42" t="n">
        <f aca="false">(SUMPRODUCT($C28:$L28,1/(1+$B21)^$C$27:$L$27)*Inputs!$C$23+$L28*Inputs!$C$23*(1+Inputs!$C$37)/($B21-Inputs!$C$37)/(1+$B21)^$L$27-Inputs!$C$27+Inputs!$C$28)/Inputs!$C$7</f>
        <v>345.825423397172</v>
      </c>
      <c r="D21" s="42" t="n">
        <f aca="false">(SUMPRODUCT($C29:$L29,1/(1+$B21)^$C$27:$L$27)*Inputs!$C$23+$L29*Inputs!$C$23*(1+Inputs!$C$37)/($B21-Inputs!$C$37)/(1+$B21)^$L$27-Inputs!$C$27+Inputs!$C$28)/Inputs!$C$7</f>
        <v>393.176821431827</v>
      </c>
      <c r="E21" s="46" t="n">
        <f aca="false">(SUMPRODUCT($C30:$L30,1/(1+$B21)^$C$27:$L$27)*Inputs!$C$23+$L30*Inputs!$C$23*(1+Inputs!$C$37)/($B21-Inputs!$C$37)/(1+$B21)^$L$27-Inputs!$C$27+Inputs!$C$28)/Inputs!$C$7</f>
        <v>445.997392874283</v>
      </c>
      <c r="F21" s="42" t="n">
        <f aca="false">(SUMPRODUCT($C31:$L31,1/(1+$B21)^$C$27:$L$27)*Inputs!$C$23+$L31*Inputs!$C$23*(1+Inputs!$C$37)/($B21-Inputs!$C$37)/(1+$B21)^$L$27-Inputs!$C$27+Inputs!$C$28)/Inputs!$C$7</f>
        <v>504.838831208451</v>
      </c>
      <c r="G21" s="42" t="n">
        <f aca="false">(SUMPRODUCT($C32:$L32,1/(1+$B21)^$C$27:$L$27)*Inputs!$C$23+$L32*Inputs!$C$23*(1+Inputs!$C$37)/($B21-Inputs!$C$37)/(1+$B21)^$L$27-Inputs!$C$27+Inputs!$C$28)/Inputs!$C$7</f>
        <v>570.299319053395</v>
      </c>
    </row>
    <row r="22" customFormat="false" ht="15" hidden="false" customHeight="false" outlineLevel="0" collapsed="false">
      <c r="B22" s="47" t="n">
        <f aca="false">WACC!$C$35+(3-2)*$C$5</f>
        <v>0.0864218415038925</v>
      </c>
      <c r="C22" s="42" t="n">
        <f aca="false">(SUMPRODUCT($C28:$L28,1/(1+$B22)^$C$27:$L$27)*Inputs!$C$23+$L28*Inputs!$C$23*(1+Inputs!$C$37)/($B22-Inputs!$C$37)/(1+$B22)^$L$27-Inputs!$C$27+Inputs!$C$28)/Inputs!$C$7</f>
        <v>313.276451171042</v>
      </c>
      <c r="D22" s="42" t="n">
        <f aca="false">(SUMPRODUCT($C29:$L29,1/(1+$B22)^$C$27:$L$27)*Inputs!$C$23+$L29*Inputs!$C$23*(1+Inputs!$C$37)/($B22-Inputs!$C$37)/(1+$B22)^$L$27-Inputs!$C$27+Inputs!$C$28)/Inputs!$C$7</f>
        <v>355.982509653974</v>
      </c>
      <c r="E22" s="42" t="n">
        <f aca="false">(SUMPRODUCT($C30:$L30,1/(1+$B22)^$C$27:$L$27)*Inputs!$C$23+$L30*Inputs!$C$23*(1+Inputs!$C$37)/($B22-Inputs!$C$37)/(1+$B22)^$L$27-Inputs!$C$27+Inputs!$C$28)/Inputs!$C$7</f>
        <v>403.584100564372</v>
      </c>
      <c r="F22" s="42" t="n">
        <f aca="false">(SUMPRODUCT($C31:$L31,1/(1+$B22)^$C$27:$L$27)*Inputs!$C$23+$L31*Inputs!$C$23*(1+Inputs!$C$37)/($B22-Inputs!$C$37)/(1+$B22)^$L$27-Inputs!$C$27+Inputs!$C$28)/Inputs!$C$7</f>
        <v>456.572953628747</v>
      </c>
      <c r="G22" s="42" t="n">
        <f aca="false">(SUMPRODUCT($C32:$L32,1/(1+$B22)^$C$27:$L$27)*Inputs!$C$23+$L32*Inputs!$C$23*(1+Inputs!$C$37)/($B22-Inputs!$C$37)/(1+$B22)^$L$27-Inputs!$C$27+Inputs!$C$28)/Inputs!$C$7</f>
        <v>515.482113600646</v>
      </c>
    </row>
    <row r="23" customFormat="false" ht="15" hidden="false" customHeight="false" outlineLevel="0" collapsed="false">
      <c r="B23" s="47" t="n">
        <f aca="false">WACC!$C$35+(4-2)*$C$5</f>
        <v>0.0914218415038925</v>
      </c>
      <c r="C23" s="42" t="n">
        <f aca="false">(SUMPRODUCT($C28:$L28,1/(1+$B23)^$C$27:$L$27)*Inputs!$C$23+$L28*Inputs!$C$23*(1+Inputs!$C$37)/($B23-Inputs!$C$37)/(1+$B23)^$L$27-Inputs!$C$27+Inputs!$C$28)/Inputs!$C$7</f>
        <v>285.87747470737</v>
      </c>
      <c r="D23" s="42" t="n">
        <f aca="false">(SUMPRODUCT($C29:$L29,1/(1+$B23)^$C$27:$L$27)*Inputs!$C$23+$L29*Inputs!$C$23*(1+Inputs!$C$37)/($B23-Inputs!$C$37)/(1+$B23)^$L$27-Inputs!$C$27+Inputs!$C$28)/Inputs!$C$7</f>
        <v>324.68736299132</v>
      </c>
      <c r="E23" s="42" t="n">
        <f aca="false">(SUMPRODUCT($C30:$L30,1/(1+$B23)^$C$27:$L$27)*Inputs!$C$23+$L30*Inputs!$C$23*(1+Inputs!$C$37)/($B23-Inputs!$C$37)/(1+$B23)^$L$27-Inputs!$C$27+Inputs!$C$28)/Inputs!$C$7</f>
        <v>367.912724038255</v>
      </c>
      <c r="F23" s="42" t="n">
        <f aca="false">(SUMPRODUCT($C31:$L31,1/(1+$B23)^$C$27:$L$27)*Inputs!$C$23+$L31*Inputs!$C$23*(1+Inputs!$C$37)/($B23-Inputs!$C$37)/(1+$B23)^$L$27-Inputs!$C$27+Inputs!$C$28)/Inputs!$C$7</f>
        <v>415.995182330585</v>
      </c>
      <c r="G23" s="42" t="n">
        <f aca="false">(SUMPRODUCT($C32:$L32,1/(1+$B23)^$C$27:$L$27)*Inputs!$C$23+$L32*Inputs!$C$23*(1+Inputs!$C$37)/($B23-Inputs!$C$37)/(1+$B23)^$L$27-Inputs!$C$27+Inputs!$C$28)/Inputs!$C$7</f>
        <v>469.413358978398</v>
      </c>
    </row>
    <row r="26" customFormat="false" ht="15" hidden="false" customHeight="false" outlineLevel="0" collapsed="false">
      <c r="B26" s="19" t="s">
        <v>237</v>
      </c>
    </row>
    <row r="27" customFormat="false" ht="15" hidden="false" customHeight="false" outlineLevel="0" collapsed="false"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</row>
    <row r="28" customFormat="false" ht="15" hidden="false" customHeight="false" outlineLevel="0" collapsed="false">
      <c r="B28" s="23" t="n">
        <f aca="false">C$18</f>
        <v>0.0179477807830287</v>
      </c>
      <c r="C28" s="15" t="n">
        <f aca="false">Inputs!$C$12*(1+IF(C$27&lt;=Inputs!$C$46,$B28,$B28-($B28-Inputs!$C$37)*MIN(C$27-Inputs!$C$46,Inputs!$C$47)/Inputs!$C$47))</f>
        <v>2524.51049634191</v>
      </c>
      <c r="D28" s="15" t="n">
        <f aca="false">C28*(1+IF(D$27&lt;=Inputs!$C$46,$B28,$B28-($B28-Inputs!$C$37)*MIN(D$27-Inputs!$C$46,Inputs!$C$47)/Inputs!$C$47))</f>
        <v>2569.81985731471</v>
      </c>
      <c r="E28" s="15" t="n">
        <f aca="false">D28*(1+IF(E$27&lt;=Inputs!$C$46,$B28,$B28-($B28-Inputs!$C$37)*MIN(E$27-Inputs!$C$46,Inputs!$C$47)/Inputs!$C$47))</f>
        <v>2615.94242076567</v>
      </c>
      <c r="F28" s="15" t="n">
        <f aca="false">E28*(1+IF(F$27&lt;=Inputs!$C$46,$B28,$B28-($B28-Inputs!$C$37)*MIN(F$27-Inputs!$C$46,Inputs!$C$47)/Inputs!$C$47))</f>
        <v>2662.8927818746</v>
      </c>
      <c r="G28" s="15" t="n">
        <f aca="false">F28*(1+IF(G$27&lt;=Inputs!$C$46,$B28,$B28-($B28-Inputs!$C$37)*MIN(G$27-Inputs!$C$46,Inputs!$C$47)/Inputs!$C$47))</f>
        <v>2710.68579777239</v>
      </c>
      <c r="H28" s="15" t="n">
        <f aca="false">G28*(1+IF(H$27&lt;=Inputs!$C$46,$B28,$B28-($B28-Inputs!$C$37)*MIN(H$27-Inputs!$C$46,Inputs!$C$47)/Inputs!$C$47))</f>
        <v>2764.94891496385</v>
      </c>
      <c r="I28" s="15" t="n">
        <f aca="false">H28*(1+IF(I$27&lt;=Inputs!$C$46,$B28,$B28-($B28-Inputs!$C$37)*MIN(I$27-Inputs!$C$46,Inputs!$C$47)/Inputs!$C$47))</f>
        <v>2826.02295488247</v>
      </c>
      <c r="J28" s="15" t="n">
        <f aca="false">I28*(1+IF(J$27&lt;=Inputs!$C$46,$B28,$B28-($B28-Inputs!$C$37)*MIN(J$27-Inputs!$C$46,Inputs!$C$47)/Inputs!$C$47))</f>
        <v>2894.29716084919</v>
      </c>
      <c r="K28" s="15" t="n">
        <f aca="false">J28*(1+IF(K$27&lt;=Inputs!$C$46,$B28,$B28-($B28-Inputs!$C$37)*MIN(K$27-Inputs!$C$46,Inputs!$C$47)/Inputs!$C$47))</f>
        <v>2970.21329076359</v>
      </c>
      <c r="L28" s="15" t="n">
        <f aca="false">K28*(1+IF(L$27&lt;=Inputs!$C$46,$B28,$B28-($B28-Inputs!$C$37)*MIN(L$27-Inputs!$C$46,Inputs!$C$47)/Inputs!$C$47))</f>
        <v>3054.2703268922</v>
      </c>
    </row>
    <row r="29" customFormat="false" ht="15" hidden="false" customHeight="false" outlineLevel="0" collapsed="false">
      <c r="B29" s="23" t="n">
        <f aca="false">D$18</f>
        <v>0.0379477807830287</v>
      </c>
      <c r="C29" s="15" t="n">
        <f aca="false">Inputs!$C$12*(1+IF(C$27&lt;=Inputs!$C$46,$B29,$B29-($B29-Inputs!$C$37)*MIN(C$27-Inputs!$C$46,Inputs!$C$47)/Inputs!$C$47))</f>
        <v>2574.11049634191</v>
      </c>
      <c r="D29" s="15" t="n">
        <f aca="false">C29*(1+IF(D$27&lt;=Inputs!$C$46,$B29,$B29-($B29-Inputs!$C$37)*MIN(D$27-Inputs!$C$46,Inputs!$C$47)/Inputs!$C$47))</f>
        <v>2671.79227716839</v>
      </c>
      <c r="E29" s="15" t="n">
        <f aca="false">D29*(1+IF(E$27&lt;=Inputs!$C$46,$B29,$B29-($B29-Inputs!$C$37)*MIN(E$27-Inputs!$C$46,Inputs!$C$47)/Inputs!$C$47))</f>
        <v>2773.18086480016</v>
      </c>
      <c r="F29" s="15" t="n">
        <f aca="false">E29*(1+IF(F$27&lt;=Inputs!$C$46,$B29,$B29-($B29-Inputs!$C$37)*MIN(F$27-Inputs!$C$46,Inputs!$C$47)/Inputs!$C$47))</f>
        <v>2878.41692432929</v>
      </c>
      <c r="G29" s="15" t="n">
        <f aca="false">F29*(1+IF(G$27&lt;=Inputs!$C$46,$B29,$B29-($B29-Inputs!$C$37)*MIN(G$27-Inputs!$C$46,Inputs!$C$47)/Inputs!$C$47))</f>
        <v>2987.6464587759</v>
      </c>
      <c r="H29" s="15" t="n">
        <f aca="false">G29*(1+IF(H$27&lt;=Inputs!$C$46,$B29,$B29-($B29-Inputs!$C$37)*MIN(H$27-Inputs!$C$46,Inputs!$C$47)/Inputs!$C$47))</f>
        <v>3095.25618003242</v>
      </c>
      <c r="I29" s="15" t="n">
        <f aca="false">H29*(1+IF(I$27&lt;=Inputs!$C$46,$B29,$B29-($B29-Inputs!$C$37)*MIN(I$27-Inputs!$C$46,Inputs!$C$47)/Inputs!$C$47))</f>
        <v>3200.7693417827</v>
      </c>
      <c r="J29" s="15" t="n">
        <f aca="false">I29*(1+IF(J$27&lt;=Inputs!$C$46,$B29,$B29-($B29-Inputs!$C$37)*MIN(J$27-Inputs!$C$46,Inputs!$C$47)/Inputs!$C$47))</f>
        <v>3303.70324253377</v>
      </c>
      <c r="K29" s="15" t="n">
        <f aca="false">J29*(1+IF(K$27&lt;=Inputs!$C$46,$B29,$B29-($B29-Inputs!$C$37)*MIN(K$27-Inputs!$C$46,Inputs!$C$47)/Inputs!$C$47))</f>
        <v>3403.57272522871</v>
      </c>
      <c r="L29" s="15" t="n">
        <f aca="false">K29*(1+IF(L$27&lt;=Inputs!$C$46,$B29,$B29-($B29-Inputs!$C$37)*MIN(L$27-Inputs!$C$46,Inputs!$C$47)/Inputs!$C$47))</f>
        <v>3499.89383335268</v>
      </c>
    </row>
    <row r="30" customFormat="false" ht="15" hidden="false" customHeight="false" outlineLevel="0" collapsed="false">
      <c r="B30" s="23" t="n">
        <f aca="false">E$18</f>
        <v>0.0579477807830287</v>
      </c>
      <c r="C30" s="15" t="n">
        <f aca="false">Inputs!$C$12*(1+IF(C$27&lt;=Inputs!$C$46,$B30,$B30-($B30-Inputs!$C$37)*MIN(C$27-Inputs!$C$46,Inputs!$C$47)/Inputs!$C$47))</f>
        <v>2623.71049634191</v>
      </c>
      <c r="D30" s="15" t="n">
        <f aca="false">C30*(1+IF(D$27&lt;=Inputs!$C$46,$B30,$B30-($B30-Inputs!$C$37)*MIN(D$27-Inputs!$C$46,Inputs!$C$47)/Inputs!$C$47))</f>
        <v>2775.74869702206</v>
      </c>
      <c r="E30" s="15" t="n">
        <f aca="false">D30*(1+IF(E$27&lt;=Inputs!$C$46,$B30,$B30-($B30-Inputs!$C$37)*MIN(E$27-Inputs!$C$46,Inputs!$C$47)/Inputs!$C$47))</f>
        <v>2936.59717402588</v>
      </c>
      <c r="F30" s="15" t="n">
        <f aca="false">E30*(1+IF(F$27&lt;=Inputs!$C$46,$B30,$B30-($B30-Inputs!$C$37)*MIN(F$27-Inputs!$C$46,Inputs!$C$47)/Inputs!$C$47))</f>
        <v>3106.76646331439</v>
      </c>
      <c r="G30" s="15" t="n">
        <f aca="false">F30*(1+IF(G$27&lt;=Inputs!$C$46,$B30,$B30-($B30-Inputs!$C$37)*MIN(G$27-Inputs!$C$46,Inputs!$C$47)/Inputs!$C$47))</f>
        <v>3286.7966852746</v>
      </c>
      <c r="H30" s="15" t="n">
        <f aca="false">G30*(1+IF(H$27&lt;=Inputs!$C$46,$B30,$B30-($B30-Inputs!$C$37)*MIN(H$27-Inputs!$C$46,Inputs!$C$47)/Inputs!$C$47))</f>
        <v>3457.77001355059</v>
      </c>
      <c r="I30" s="15" t="n">
        <f aca="false">H30*(1+IF(I$27&lt;=Inputs!$C$46,$B30,$B30-($B30-Inputs!$C$37)*MIN(I$27-Inputs!$C$46,Inputs!$C$47)/Inputs!$C$47))</f>
        <v>3617.13402935</v>
      </c>
      <c r="J30" s="15" t="n">
        <f aca="false">I30*(1+IF(J$27&lt;=Inputs!$C$46,$B30,$B30-($B30-Inputs!$C$37)*MIN(J$27-Inputs!$C$46,Inputs!$C$47)/Inputs!$C$47))</f>
        <v>3762.39492108661</v>
      </c>
      <c r="K30" s="15" t="n">
        <f aca="false">J30*(1+IF(K$27&lt;=Inputs!$C$46,$B30,$B30-($B30-Inputs!$C$37)*MIN(K$27-Inputs!$C$46,Inputs!$C$47)/Inputs!$C$47))</f>
        <v>3891.18002932127</v>
      </c>
      <c r="L30" s="15" t="n">
        <f aca="false">K30*(1+IF(L$27&lt;=Inputs!$C$46,$B30,$B30-($B30-Inputs!$C$37)*MIN(L$27-Inputs!$C$46,Inputs!$C$47)/Inputs!$C$47))</f>
        <v>4001.30042415106</v>
      </c>
    </row>
    <row r="31" customFormat="false" ht="15" hidden="false" customHeight="false" outlineLevel="0" collapsed="false">
      <c r="B31" s="23" t="n">
        <f aca="false">F$18</f>
        <v>0.0779477807830287</v>
      </c>
      <c r="C31" s="15" t="n">
        <f aca="false">Inputs!$C$12*(1+IF(C$27&lt;=Inputs!$C$46,$B31,$B31-($B31-Inputs!$C$37)*MIN(C$27-Inputs!$C$46,Inputs!$C$47)/Inputs!$C$47))</f>
        <v>2673.31049634191</v>
      </c>
      <c r="D31" s="15" t="n">
        <f aca="false">C31*(1+IF(D$27&lt;=Inputs!$C$46,$B31,$B31-($B31-Inputs!$C$37)*MIN(D$27-Inputs!$C$46,Inputs!$C$47)/Inputs!$C$47))</f>
        <v>2881.68911687574</v>
      </c>
      <c r="E31" s="15" t="n">
        <f aca="false">D31*(1+IF(E$27&lt;=Inputs!$C$46,$B31,$B31-($B31-Inputs!$C$37)*MIN(E$27-Inputs!$C$46,Inputs!$C$47)/Inputs!$C$47))</f>
        <v>3106.31038844281</v>
      </c>
      <c r="F31" s="15" t="n">
        <f aca="false">E31*(1+IF(F$27&lt;=Inputs!$C$46,$B31,$B31-($B31-Inputs!$C$37)*MIN(F$27-Inputs!$C$46,Inputs!$C$47)/Inputs!$C$47))</f>
        <v>3348.44038964519</v>
      </c>
      <c r="G31" s="15" t="n">
        <f aca="false">F31*(1+IF(G$27&lt;=Inputs!$C$46,$B31,$B31-($B31-Inputs!$C$37)*MIN(G$27-Inputs!$C$46,Inputs!$C$47)/Inputs!$C$47))</f>
        <v>3609.4438871023</v>
      </c>
      <c r="H31" s="15" t="n">
        <f aca="false">G31*(1+IF(H$27&lt;=Inputs!$C$46,$B31,$B31-($B31-Inputs!$C$37)*MIN(H$27-Inputs!$C$46,Inputs!$C$47)/Inputs!$C$47))</f>
        <v>3854.95185219169</v>
      </c>
      <c r="I31" s="15" t="n">
        <f aca="false">H31*(1+IF(I$27&lt;=Inputs!$C$46,$B31,$B31-($B31-Inputs!$C$37)*MIN(I$27-Inputs!$C$46,Inputs!$C$47)/Inputs!$C$47))</f>
        <v>4078.88087230076</v>
      </c>
      <c r="J31" s="15" t="n">
        <f aca="false">I31*(1+IF(J$27&lt;=Inputs!$C$46,$B31,$B31-($B31-Inputs!$C$37)*MIN(J$27-Inputs!$C$46,Inputs!$C$47)/Inputs!$C$47))</f>
        <v>4275.3161543421</v>
      </c>
      <c r="K31" s="15" t="n">
        <f aca="false">J31*(1+IF(K$27&lt;=Inputs!$C$46,$B31,$B31-($B31-Inputs!$C$37)*MIN(K$27-Inputs!$C$46,Inputs!$C$47)/Inputs!$C$47))</f>
        <v>4438.75959335177</v>
      </c>
      <c r="L31" s="15" t="n">
        <f aca="false">K31*(1+IF(L$27&lt;=Inputs!$C$46,$B31,$B31-($B31-Inputs!$C$37)*MIN(L$27-Inputs!$C$46,Inputs!$C$47)/Inputs!$C$47))</f>
        <v>4564.37648984362</v>
      </c>
    </row>
    <row r="32" customFormat="false" ht="15" hidden="false" customHeight="false" outlineLevel="0" collapsed="false">
      <c r="B32" s="23" t="n">
        <f aca="false">G$18</f>
        <v>0.0979477807830287</v>
      </c>
      <c r="C32" s="15" t="n">
        <f aca="false">Inputs!$C$12*(1+IF(C$27&lt;=Inputs!$C$46,$B32,$B32-($B32-Inputs!$C$37)*MIN(C$27-Inputs!$C$46,Inputs!$C$47)/Inputs!$C$47))</f>
        <v>2722.91049634191</v>
      </c>
      <c r="D32" s="15" t="n">
        <f aca="false">C32*(1+IF(D$27&lt;=Inputs!$C$46,$B32,$B32-($B32-Inputs!$C$37)*MIN(D$27-Inputs!$C$46,Inputs!$C$47)/Inputs!$C$47))</f>
        <v>2989.61353672942</v>
      </c>
      <c r="E32" s="15" t="n">
        <f aca="false">D32*(1+IF(E$27&lt;=Inputs!$C$46,$B32,$B32-($B32-Inputs!$C$37)*MIN(E$27-Inputs!$C$46,Inputs!$C$47)/Inputs!$C$47))</f>
        <v>3282.43954805096</v>
      </c>
      <c r="F32" s="15" t="n">
        <f aca="false">E32*(1+IF(F$27&lt;=Inputs!$C$46,$B32,$B32-($B32-Inputs!$C$37)*MIN(F$27-Inputs!$C$46,Inputs!$C$47)/Inputs!$C$47))</f>
        <v>3603.947217337</v>
      </c>
      <c r="G32" s="15" t="n">
        <f aca="false">F32*(1+IF(G$27&lt;=Inputs!$C$46,$B32,$B32-($B32-Inputs!$C$37)*MIN(G$27-Inputs!$C$46,Inputs!$C$47)/Inputs!$C$47))</f>
        <v>3956.94584933434</v>
      </c>
      <c r="H32" s="15" t="n">
        <f aca="false">G32*(1+IF(H$27&lt;=Inputs!$C$46,$B32,$B32-($B32-Inputs!$C$37)*MIN(H$27-Inputs!$C$46,Inputs!$C$47)/Inputs!$C$47))</f>
        <v>4289.4014145383</v>
      </c>
      <c r="I32" s="15" t="n">
        <f aca="false">H32*(1+IF(I$27&lt;=Inputs!$C$46,$B32,$B32-($B32-Inputs!$C$37)*MIN(I$27-Inputs!$C$46,Inputs!$C$47)/Inputs!$C$47))</f>
        <v>4590.03984821584</v>
      </c>
      <c r="J32" s="15" t="n">
        <f aca="false">I32*(1+IF(J$27&lt;=Inputs!$C$46,$B32,$B32-($B32-Inputs!$C$37)*MIN(J$27-Inputs!$C$46,Inputs!$C$47)/Inputs!$C$47))</f>
        <v>4847.81241157391</v>
      </c>
      <c r="K32" s="15" t="n">
        <f aca="false">J32*(1+IF(K$27&lt;=Inputs!$C$46,$B32,$B32-($B32-Inputs!$C$37)*MIN(K$27-Inputs!$C$46,Inputs!$C$47)/Inputs!$C$47))</f>
        <v>5052.53337804516</v>
      </c>
      <c r="L32" s="15" t="n">
        <f aca="false">K32*(1+IF(L$27&lt;=Inputs!$C$46,$B32,$B32-($B32-Inputs!$C$37)*MIN(L$27-Inputs!$C$46,Inputs!$C$47)/Inputs!$C$47))</f>
        <v>5195.52007264384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238</v>
      </c>
    </row>
    <row r="3" customFormat="false" ht="15" hidden="false" customHeight="false" outlineLevel="0" collapsed="false">
      <c r="B3" s="2" t="s">
        <v>239</v>
      </c>
    </row>
    <row r="5" customFormat="false" ht="15" hidden="false" customHeight="false" outlineLevel="0" collapsed="false">
      <c r="B5" s="28" t="s">
        <v>240</v>
      </c>
      <c r="C5" s="28" t="s">
        <v>241</v>
      </c>
      <c r="D5" s="28" t="s">
        <v>242</v>
      </c>
      <c r="E5" s="28" t="s">
        <v>243</v>
      </c>
      <c r="F5" s="28" t="s">
        <v>244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0.300467741935484</v>
      </c>
      <c r="D6" s="24" t="n">
        <v>0.30046774</v>
      </c>
      <c r="E6" s="49" t="n">
        <f aca="false">C6-D6</f>
        <v>1.9354839397856E-009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134</v>
      </c>
      <c r="C7" s="50" t="n">
        <f aca="false">WACC!$C$12</f>
        <v>0.728116658230903</v>
      </c>
      <c r="D7" s="51" t="n">
        <v>0.72811666</v>
      </c>
      <c r="E7" s="49" t="n">
        <f aca="false">C7-D7</f>
        <v>-1.76909698001992E-009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WACC!$C$35</f>
        <v>0.0814218415038925</v>
      </c>
      <c r="D8" s="24" t="n">
        <v>0.08142184</v>
      </c>
      <c r="E8" s="49" t="n">
        <f aca="false">C8-D8</f>
        <v>1.50389252440153E-009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9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245</v>
      </c>
      <c r="C10" s="12" t="n">
        <f aca="false">Inputs!$C$43</f>
        <v>0.0579477807830288</v>
      </c>
      <c r="D10" s="24" t="n">
        <v>0.05794778</v>
      </c>
      <c r="E10" s="49" t="n">
        <f aca="false">C10-D10</f>
        <v>7.8302879458203E-010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246</v>
      </c>
      <c r="C11" s="12" t="n">
        <f aca="false">Solver!$W$7</f>
        <v>-0.00925686573054918</v>
      </c>
      <c r="D11" s="24" t="n">
        <v>-0.00925687</v>
      </c>
      <c r="E11" s="49" t="n">
        <f aca="false">C11-D11</f>
        <v>4.26945082065977E-009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247</v>
      </c>
      <c r="C12" s="12" t="n">
        <f aca="false">Sensitivity!$E$14</f>
        <v>0.0197953879833221</v>
      </c>
      <c r="D12" s="24" t="n">
        <v>0.01979539</v>
      </c>
      <c r="E12" s="49" t="n">
        <f aca="false">C12-D12</f>
        <v>-2.01667785595938E-009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248</v>
      </c>
      <c r="C13" s="6" t="n">
        <f aca="false">DCF!$C$41</f>
        <v>445.997392874283</v>
      </c>
      <c r="D13" s="20" t="n">
        <v>445.99739287</v>
      </c>
      <c r="E13" s="49" t="n">
        <f aca="false">C13-D13</f>
        <v>4.28281055064872E-009</v>
      </c>
      <c r="F13" s="5" t="str">
        <f aca="false">IF(ABS(E13)&lt;=0.0445997392874283,"Pass","Check")</f>
        <v>Pass</v>
      </c>
    </row>
    <row r="14" customFormat="false" ht="15" hidden="false" customHeight="false" outlineLevel="0" collapsed="false">
      <c r="B14" s="5" t="s">
        <v>249</v>
      </c>
      <c r="C14" s="6" t="n">
        <f aca="false">DCF!$C$21-DCF!$C$22</f>
        <v>-2.35189645536593E-009</v>
      </c>
      <c r="D14" s="20" t="n">
        <v>0</v>
      </c>
      <c r="E14" s="49" t="n">
        <f aca="false">C14-D14</f>
        <v>-2.35189645536593E-009</v>
      </c>
      <c r="F14" s="5" t="str">
        <f aca="false">IF(ABS(E14)&lt;=0.01,"Pass","Check")</f>
        <v>Pass</v>
      </c>
      <c r="G14" s="19" t="s">
        <v>250</v>
      </c>
    </row>
    <row r="16" customFormat="false" ht="15" hidden="false" customHeight="false" outlineLevel="0" collapsed="false">
      <c r="B16" s="38" t="s">
        <v>251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2026-10-14T16:48:49Z</dcterms:created>
  <dc:creator>openpyxl</dc:creator>
  <dc:description/>
  <dc:language>en-US</dc:language>
  <cp:lastModifiedBy/>
  <dcterms:modified xsi:type="dcterms:W3CDTF">2026-10-14T16:48:49Z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