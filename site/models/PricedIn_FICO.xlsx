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<sst xmlns="http://schemas.openxmlformats.org/spreadsheetml/2006/main" count="842" uniqueCount="249">
  <si>
    <t xml:space="preserve">Priced In: Fair Isaac (FICO)</t>
  </si>
  <si>
    <t xml:space="preserve">Reverse DCF, model v1.0. Inputs as of the Oct 13, 2026 close; model locked Oct 14, 2026 (commit 0735af0).</t>
  </si>
  <si>
    <t xml:space="preserve">Credit data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</si>
  <si>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</si>
  <si>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</si>
  <si>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</si>
  <si>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</si>
  <si>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</si>
  <si>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</si>
  <si>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</si>
  <si>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</si>
  <si>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</si>
  <si>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</si>
  <si>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</si>
  <si>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</si>
  <si>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</si>
  <si>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</si>
  <si>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</si>
  <si>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</si>
  <si>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</si>
  <si>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</si>
  <si>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</si>
  <si>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</si>
  <si>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</si>
  <si>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</si>
  <si>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</si>
  <si>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</si>
  <si>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</si>
  <si>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</si>
  <si>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</si>
  <si>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Fair Isaac (FICO):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</si>
  <si>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</si>
  <si>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</si>
  <si>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</si>
  <si>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</si>
  <si>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</si>
  <si>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</si>
  <si>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</si>
  <si>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</si>
  <si>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</si>
  <si>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</si>
  <si>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</si>
  <si>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</si>
  <si>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</si>
  <si>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</si>
  <si>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</si>
  <si>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</si>
  <si>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</si>
  <si>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</si>
  <si>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</si>
  <si>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</si>
  <si>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</si>
  <si>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</si>
  <si>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</si>
  <si>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</si>
  <si>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</si>
  <si>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</si>
  <si>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</si>
  <si>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</si>
  <si>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</si>
  <si>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</si>
  <si>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</si>
  <si>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</si>
  <si>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</si>
  <si>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</si>
  <si>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</si>
  <si>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</si>
  <si>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</si>
  <si>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</si>
  <si>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</si>
  <si>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</si>
  <si>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</si>
  <si>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</si>
  <si>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</si>
  <si>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</si>
  <si>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</si>
  <si>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</si>
  <si>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</si>
  <si>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</si>
  <si>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</si>
  <si>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</si>
  <si>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FY2021 (September)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</si>
  <si>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</si>
  <si>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</si>
  <si>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</si>
  <si>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</si>
  <si>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</si>
  <si>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</si>
  <si>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</si>
  <si>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</si>
  <si>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</si>
  <si>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</si>
  <si>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</si>
  <si>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</si>
  <si>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Fair Isaac (FICO):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</si>
  <si>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</si>
  <si>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</si>
  <si>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</si>
  <si>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</si>
  <si>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</si>
  <si>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</si>
  <si>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</si>
  <si>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</si>
  <si>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</si>
  <si>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</si>
  <si>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Source note: FICO fiscal years end Sep; TTM through Jun-26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</si>
  <si>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</si>
  <si>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</si>
  <si>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</si>
  <si>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</si>
  <si>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</si>
  <si>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</si>
  <si>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</si>
  <si>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</si>
  <si>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</si>
  <si>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</si>
  <si>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</si>
  <si>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</si>
  <si>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</si>
  <si>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</si>
  <si>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Fair Isaac (FICO):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</si>
  <si>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</si>
  <si>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</si>
  <si>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</si>
  <si>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</si>
  <si>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</si>
  <si>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</si>
  <si>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Fair Isaac (FICO)</t>
  </si>
  <si>
    <t xml:space="preserve">Raw betas: 60 monthly returns to Sep 2026 against the S&amp;P 500 (S&amp;P/TSX for TMX); Cboe uses Stock Analysis's 5-year beta. Debt and equity from Stock Analysis, Oct 13, 2026.</t>
  </si>
  <si>
    <t xml:space="preserve">Equifax (EFX)</t>
  </si>
  <si>
    <t xml:space="preserve">TransUnion (TRU)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</si>
  <si>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</si>
  <si>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</si>
  <si>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</si>
  <si>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</si>
  <si>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</si>
  <si>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</si>
  <si>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</si>
  <si>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</si>
  <si>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</si>
  <si>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</si>
  <si>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</si>
  <si>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</si>
  <si>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</si>
  <si>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</si>
  <si>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</si>
  <si>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</si>
  <si>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</si>
  <si>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</si>
  <si>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</si>
  <si>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</si>
  <si>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</si>
  <si>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</si>
  <si>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</si>
  <si>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</si>
  <si>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</si>
  <si>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</si>
  <si>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</si>
  <si>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</si>
  <si>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</si>
  <si>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</si>
  <si>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</si>
  <si>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</si>
  <si>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</si>
  <si>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</si>
  <si>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</si>
  <si>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</si>
  <si>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</si>
  <si>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</si>
  <si>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</si>
  <si>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</si>
  <si>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</si>
  <si>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</si>
  <si>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</si>
  <si>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</si>
  <si>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</si>
  <si>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</si>
  <si>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</si>
  <si>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</si>
  <si>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</si>
  <si>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</si>
  <si>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</si>
  <si>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</si>
  <si>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</si>
  <si>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</si>
  <si>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</si>
  <si>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</si>
  <si>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</si>
  <si>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</si>
  <si>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</si>
  <si>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</si>
  <si>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</si>
  <si>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</si>
  <si>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</si>
  <si>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</si>
  <si>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</si>
  <si>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</si>
  <si>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</si>
  <si>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</si>
  <si>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</si>
  <si>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</si>
  <si>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</si>
  <si>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</si>
  <si>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</si>
  <si>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</si>
  <si>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</si>
  <si>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</si>
  <si>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Fair Isaac (FICO):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</si>
  <si>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</si>
  <si>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</si>
  <si>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</si>
  <si>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</si>
  <si>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</si>
  <si>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</si>
  <si>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</si>
  <si>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</si>
  <si>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</si>
  <si>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</si>
  <si>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</si>
  <si>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</si>
  <si>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</si>
  <si>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</si>
  <si>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</si>
  <si>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</si>
  <si>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</si>
  <si>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Fair Isaac (FICO):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</si>
  <si>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</si>
  <si>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</si>
  <si>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</si>
  <si>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</si>
  <si>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</si>
  <si>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</si>
  <si>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</si>
  <si>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$725.00.</t>
  </si>
  <si>
    <t xml:space="preserve">Helper: revenue paths for each growth view (years 1 to 10)</t>
  </si>
  <si>
    <t xml:space="preserve">Fair Isaac (FICO):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</si>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</sst>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725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0.0669099144010943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0.142784732400847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-0.0758748179997526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low</v>
      </c>
    </row>
    <row r="15" customFormat="false" ht="15" hidden="false" customHeight="false" outlineLevel="0" collapsed="false">
      <c r="B15" s="5" t="s">
        <v>11</v>
      </c>
      <c r="C15" s="12" t="n">
        <f aca="false">WACC!$C$33</f>
        <v>0.0969721785729318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0.473230125523013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0.142784732400847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1227.24228090573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0.692747973663072</v>
      </c>
    </row>
    <row r="23" customFormat="false" ht="30" hidden="false" customHeight="true" outlineLevel="0" collapsed="false">
      <c r="B23" s="13"/>
      <c r="C23" s="13"/>
      <c r="D23" s="13"/>
      <c r="E23" s="13"/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5" t="s">
        <v>18</v>
      </c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5" t="s">
        <v>20</v>
      </c>
    </row>
    <row r="29" customFormat="false" ht="15" hidden="false" customHeight="false" outlineLevel="0" collapsed="false">
      <c r="B29" s="5" t="s">
        <v>21</v>
      </c>
    </row>
    <row r="31" customFormat="false" ht="15" hidden="false" customHeight="false" outlineLevel="0" collapsed="false">
      <c r="B31" s="3" t="s">
        <v>22</v>
      </c>
    </row>
    <row r="32" customFormat="false" ht="15" hidden="false" customHeight="false" outlineLevel="0" collapsed="false">
      <c r="B32" s="5" t="s">
        <v>23</v>
      </c>
      <c r="C32" s="14" t="n">
        <v>1234</v>
      </c>
    </row>
    <row r="33" customFormat="false" ht="15" hidden="false" customHeight="false" outlineLevel="0" collapsed="false">
      <c r="B33" s="5" t="s">
        <v>24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25</v>
      </c>
      <c r="C34" s="16" t="n">
        <f aca="false">Inputs!$C$12</f>
        <v>2390</v>
      </c>
    </row>
    <row r="35" customFormat="false" ht="15" hidden="false" customHeight="false" outlineLevel="0" collapsed="false">
      <c r="B35" s="5" t="s">
        <v>26</v>
      </c>
      <c r="C35" s="17" t="n">
        <f aca="false">Inputs!$C$45</f>
        <v>0.142784732400847</v>
      </c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18" t="s">
        <v>28</v>
      </c>
    </row>
    <row r="40" customFormat="false" ht="15" hidden="false" customHeight="false" outlineLevel="0" collapsed="false">
      <c r="B40" s="19" t="s">
        <v>29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15" hidden="false" customHeight="false" outlineLevel="0" collapsed="false">
      <c r="B5" s="3" t="s">
        <v>32</v>
      </c>
    </row>
    <row r="6" customFormat="false" ht="15" hidden="false" customHeight="false" outlineLevel="0" collapsed="false">
      <c r="B6" s="5" t="s">
        <v>33</v>
      </c>
      <c r="C6" s="20" t="n">
        <v>725</v>
      </c>
      <c r="E6" s="19" t="s">
        <v>34</v>
      </c>
    </row>
    <row r="7" customFormat="false" ht="15" hidden="false" customHeight="false" outlineLevel="0" collapsed="false">
      <c r="B7" s="5" t="s">
        <v>35</v>
      </c>
      <c r="C7" s="21" t="n">
        <v>21.6</v>
      </c>
      <c r="E7" s="19" t="s">
        <v>36</v>
      </c>
    </row>
    <row r="8" customFormat="false" ht="15" hidden="false" customHeight="false" outlineLevel="0" collapsed="false">
      <c r="B8" s="5" t="s">
        <v>37</v>
      </c>
      <c r="C8" s="15" t="n">
        <f aca="false">C6*C7</f>
        <v>15660</v>
      </c>
      <c r="E8" s="19" t="s">
        <v>38</v>
      </c>
    </row>
    <row r="10" customFormat="false" ht="15" hidden="false" customHeight="false" outlineLevel="0" collapsed="false">
      <c r="B10" s="3" t="s">
        <v>39</v>
      </c>
    </row>
    <row r="11" customFormat="false" ht="15" hidden="false" customHeight="false" outlineLevel="0" collapsed="false">
      <c r="B11" s="5" t="s">
        <v>40</v>
      </c>
      <c r="C11" s="14" t="n">
        <v>2390</v>
      </c>
      <c r="E11" s="19" t="s">
        <v>41</v>
      </c>
    </row>
    <row r="12" customFormat="false" ht="15" hidden="false" customHeight="false" outlineLevel="0" collapsed="false">
      <c r="B12" s="5" t="s">
        <v>42</v>
      </c>
      <c r="C12" s="15" t="n">
        <f aca="false">C11</f>
        <v>2390</v>
      </c>
      <c r="E12" s="19" t="s">
        <v>43</v>
      </c>
    </row>
    <row r="13" customFormat="false" ht="15" hidden="false" customHeight="false" outlineLevel="0" collapsed="false">
      <c r="B13" s="5" t="s">
        <v>44</v>
      </c>
      <c r="C13" s="14" t="n">
        <v>996.02</v>
      </c>
      <c r="E13" s="19" t="s">
        <v>45</v>
      </c>
    </row>
    <row r="14" customFormat="false" ht="15" hidden="false" customHeight="false" outlineLevel="0" collapsed="false">
      <c r="B14" s="5" t="s">
        <v>46</v>
      </c>
      <c r="C14" s="15" t="n">
        <f aca="false">C13</f>
        <v>996.02</v>
      </c>
      <c r="E14" s="19" t="s">
        <v>43</v>
      </c>
    </row>
    <row r="15" customFormat="false" ht="15" hidden="false" customHeight="false" outlineLevel="0" collapsed="false">
      <c r="B15" s="5" t="s">
        <v>47</v>
      </c>
      <c r="C15" s="14" t="n">
        <v>0</v>
      </c>
      <c r="E15" s="19" t="s">
        <v>48</v>
      </c>
    </row>
    <row r="16" customFormat="false" ht="15" hidden="false" customHeight="false" outlineLevel="0" collapsed="false">
      <c r="B16" s="5" t="s">
        <v>49</v>
      </c>
      <c r="C16" s="15" t="n">
        <f aca="false">C14-C15</f>
        <v>996.02</v>
      </c>
    </row>
    <row r="17" customFormat="false" ht="15" hidden="false" customHeight="false" outlineLevel="0" collapsed="false">
      <c r="B17" s="5" t="s">
        <v>50</v>
      </c>
      <c r="C17" s="14" t="n">
        <v>1250</v>
      </c>
      <c r="E17" s="19" t="s">
        <v>51</v>
      </c>
    </row>
    <row r="18" customFormat="false" ht="15" hidden="false" customHeight="false" outlineLevel="0" collapsed="false">
      <c r="B18" s="5" t="s">
        <v>52</v>
      </c>
      <c r="C18" s="14" t="n">
        <v>1070</v>
      </c>
      <c r="E18" s="19" t="s">
        <v>51</v>
      </c>
    </row>
    <row r="19" customFormat="false" ht="15" hidden="false" customHeight="false" outlineLevel="0" collapsed="false">
      <c r="B19" s="5" t="s">
        <v>53</v>
      </c>
      <c r="C19" s="15" t="n">
        <f aca="false">MAX(0,C17-C18)</f>
        <v>180</v>
      </c>
      <c r="E19" s="19" t="s">
        <v>54</v>
      </c>
    </row>
    <row r="20" customFormat="false" ht="15" hidden="false" customHeight="false" outlineLevel="0" collapsed="false">
      <c r="B20" s="5" t="s">
        <v>55</v>
      </c>
      <c r="C20" s="22" t="n">
        <v>0.25</v>
      </c>
      <c r="E20" s="19" t="s">
        <v>56</v>
      </c>
    </row>
    <row r="21" customFormat="false" ht="15" hidden="false" customHeight="false" outlineLevel="0" collapsed="false">
      <c r="B21" s="5" t="s">
        <v>57</v>
      </c>
      <c r="C21" s="15" t="n">
        <f aca="false">C19*(1-C20)</f>
        <v>135</v>
      </c>
    </row>
    <row r="22" customFormat="false" ht="15" hidden="false" customHeight="false" outlineLevel="0" collapsed="false">
      <c r="B22" s="5" t="s">
        <v>58</v>
      </c>
      <c r="C22" s="15" t="n">
        <f aca="false">C16+C21</f>
        <v>1131.02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0.473230125523013</v>
      </c>
      <c r="E23" s="19" t="s">
        <v>59</v>
      </c>
    </row>
    <row r="24" customFormat="false" ht="15" hidden="false" customHeight="false" outlineLevel="0" collapsed="false">
      <c r="B24" s="5" t="s">
        <v>60</v>
      </c>
      <c r="C24" s="14" t="n">
        <v>1260</v>
      </c>
      <c r="E24" s="19" t="s">
        <v>51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5" t="s">
        <v>62</v>
      </c>
      <c r="C27" s="14" t="n">
        <v>5600</v>
      </c>
      <c r="E27" s="19" t="s">
        <v>63</v>
      </c>
    </row>
    <row r="28" customFormat="false" ht="15" hidden="false" customHeight="false" outlineLevel="0" collapsed="false">
      <c r="B28" s="5" t="s">
        <v>64</v>
      </c>
      <c r="C28" s="14" t="n">
        <v>248.44</v>
      </c>
      <c r="E28" s="19" t="s">
        <v>63</v>
      </c>
    </row>
    <row r="29" customFormat="false" ht="15" hidden="false" customHeight="false" outlineLevel="0" collapsed="false">
      <c r="B29" s="5" t="s">
        <v>65</v>
      </c>
      <c r="C29" s="15" t="n">
        <f aca="false">C27-C28</f>
        <v>5351.56</v>
      </c>
    </row>
    <row r="31" customFormat="false" ht="15" hidden="false" customHeight="false" outlineLevel="0" collapsed="false">
      <c r="B31" s="3" t="s">
        <v>66</v>
      </c>
    </row>
    <row r="32" customFormat="false" ht="15" hidden="false" customHeight="false" outlineLevel="0" collapsed="false">
      <c r="B32" s="5" t="s">
        <v>67</v>
      </c>
      <c r="C32" s="24" t="n">
        <v>0.0521</v>
      </c>
      <c r="E32" s="19" t="s">
        <v>68</v>
      </c>
    </row>
    <row r="33" customFormat="false" ht="15" hidden="false" customHeight="false" outlineLevel="0" collapsed="false">
      <c r="B33" s="5" t="s">
        <v>69</v>
      </c>
      <c r="C33" s="24" t="n">
        <v>0.0288</v>
      </c>
      <c r="E33" s="19" t="s">
        <v>70</v>
      </c>
    </row>
    <row r="34" customFormat="false" ht="15" hidden="false" customHeight="false" outlineLevel="0" collapsed="false">
      <c r="B34" s="5" t="s">
        <v>71</v>
      </c>
      <c r="C34" s="25" t="n">
        <f aca="false">C32-C33</f>
        <v>0.0233</v>
      </c>
      <c r="E34" s="19" t="s">
        <v>72</v>
      </c>
    </row>
    <row r="35" customFormat="false" ht="15" hidden="false" customHeight="false" outlineLevel="0" collapsed="false">
      <c r="B35" s="5" t="s">
        <v>73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74</v>
      </c>
      <c r="C36" s="24" t="n">
        <v>0.005</v>
      </c>
      <c r="E36" s="19" t="s">
        <v>75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76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9" t="n">
        <f aca="false">History!$C$12</f>
        <v>0.134069464801694</v>
      </c>
      <c r="E41" s="19" t="s">
        <v>81</v>
      </c>
    </row>
    <row r="42" customFormat="false" ht="15" hidden="false" customHeight="false" outlineLevel="0" collapsed="false">
      <c r="B42" s="5" t="s">
        <v>82</v>
      </c>
      <c r="C42" s="22" t="n">
        <v>0.1515</v>
      </c>
      <c r="E42" s="19" t="s">
        <v>83</v>
      </c>
    </row>
    <row r="43" customFormat="false" ht="15" hidden="false" customHeight="false" outlineLevel="0" collapsed="false">
      <c r="B43" s="5" t="s">
        <v>84</v>
      </c>
      <c r="C43" s="23" t="n">
        <f aca="false">AVERAGE(C41:C42)</f>
        <v>0.142784732400847</v>
      </c>
      <c r="E43" s="19" t="s">
        <v>85</v>
      </c>
    </row>
    <row r="44" customFormat="false" ht="15" hidden="false" customHeight="false" outlineLevel="0" collapsed="false">
      <c r="B44" s="5" t="s">
        <v>86</v>
      </c>
      <c r="C44" s="22" t="n">
        <v>0.03</v>
      </c>
      <c r="E44" s="19" t="s">
        <v>87</v>
      </c>
    </row>
    <row r="45" customFormat="false" ht="15" hidden="false" customHeight="false" outlineLevel="0" collapsed="false">
      <c r="B45" s="5" t="s">
        <v>88</v>
      </c>
      <c r="C45" s="26" t="n">
        <v>0.142784732400847</v>
      </c>
      <c r="E45" s="19" t="s">
        <v>89</v>
      </c>
    </row>
    <row r="46" customFormat="false" ht="15" hidden="false" customHeight="false" outlineLevel="0" collapsed="false">
      <c r="B46" s="5" t="s">
        <v>90</v>
      </c>
      <c r="C46" s="27" t="n">
        <v>5</v>
      </c>
      <c r="E46" s="19" t="s">
        <v>91</v>
      </c>
    </row>
    <row r="47" customFormat="false" ht="15" hidden="false" customHeight="false" outlineLevel="0" collapsed="false">
      <c r="B47" s="5" t="s">
        <v>92</v>
      </c>
      <c r="C47" s="27" t="n">
        <v>5</v>
      </c>
      <c r="E47" s="1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</row>
    <row r="6" customFormat="false" ht="15" hidden="false" customHeight="false" outlineLevel="0" collapsed="false">
      <c r="B6" s="5" t="s">
        <v>103</v>
      </c>
      <c r="C6" s="14" t="n">
        <v>1317</v>
      </c>
      <c r="D6" s="14" t="n">
        <v>1377</v>
      </c>
      <c r="E6" s="14" t="n">
        <v>1514</v>
      </c>
      <c r="F6" s="14" t="n">
        <v>1718</v>
      </c>
      <c r="G6" s="14" t="n">
        <v>1991</v>
      </c>
      <c r="H6" s="14" t="n">
        <v>2394</v>
      </c>
    </row>
    <row r="7" customFormat="false" ht="15" hidden="false" customHeight="false" outlineLevel="0" collapsed="false">
      <c r="B7" s="5" t="s">
        <v>104</v>
      </c>
      <c r="D7" s="23" t="n">
        <f aca="false">D6/C6-1</f>
        <v>0.0455580865603644</v>
      </c>
      <c r="E7" s="23" t="n">
        <f aca="false">E6/D6-1</f>
        <v>0.0994916485112563</v>
      </c>
      <c r="F7" s="23" t="n">
        <f aca="false">F6/E6-1</f>
        <v>0.134742404227213</v>
      </c>
      <c r="G7" s="23" t="n">
        <f aca="false">G6/F6-1</f>
        <v>0.158905704307334</v>
      </c>
    </row>
    <row r="8" customFormat="false" ht="15" hidden="false" customHeight="false" outlineLevel="0" collapsed="false">
      <c r="B8" s="19" t="s">
        <v>105</v>
      </c>
    </row>
    <row r="10" customFormat="false" ht="15" hidden="false" customHeight="false" outlineLevel="0" collapsed="false">
      <c r="B10" s="3" t="s">
        <v>106</v>
      </c>
    </row>
    <row r="11" customFormat="false" ht="15" hidden="false" customHeight="false" outlineLevel="0" collapsed="false">
      <c r="B11" s="5" t="s">
        <v>107</v>
      </c>
      <c r="C11" s="29" t="s">
        <v>97</v>
      </c>
      <c r="E11" s="5" t="s">
        <v>108</v>
      </c>
      <c r="G11" s="30" t="n">
        <v>4.75</v>
      </c>
    </row>
    <row r="12" customFormat="false" ht="15" hidden="false" customHeight="false" outlineLevel="0" collapsed="false">
      <c r="B12" s="5" t="s">
        <v>109</v>
      </c>
      <c r="C12" s="23" t="n">
        <f aca="false">(H6/INDEX(C6:H6,MATCH(C11,C5:H5,0)))^(1/G11)-1</f>
        <v>0.134069464801694</v>
      </c>
      <c r="I12" s="19" t="s">
        <v>81</v>
      </c>
    </row>
    <row r="15" customFormat="false" ht="15" hidden="false" customHeight="false" outlineLevel="0" collapsed="false">
      <c r="B15" s="3" t="s">
        <v>110</v>
      </c>
    </row>
    <row r="16" customFormat="false" ht="15" hidden="false" customHeight="false" outlineLevel="0" collapsed="false">
      <c r="B16" s="28" t="s">
        <v>96</v>
      </c>
      <c r="C16" s="28" t="s">
        <v>111</v>
      </c>
      <c r="D16" s="28" t="s">
        <v>112</v>
      </c>
      <c r="E16" s="28" t="s">
        <v>113</v>
      </c>
      <c r="F16" s="28" t="s">
        <v>114</v>
      </c>
      <c r="G16" s="28" t="s">
        <v>115</v>
      </c>
    </row>
    <row r="17" customFormat="false" ht="15" hidden="false" customHeight="false" outlineLevel="0" collapsed="false">
      <c r="B17" s="5" t="s">
        <v>116</v>
      </c>
      <c r="C17" s="22" t="n">
        <v>0.3162</v>
      </c>
      <c r="D17" s="22" t="n">
        <v>0.3655</v>
      </c>
      <c r="E17" s="22" t="n">
        <v>0.307</v>
      </c>
      <c r="F17" s="22" t="n">
        <v>0.3633</v>
      </c>
      <c r="G17" s="22" t="n">
        <v>0.3867</v>
      </c>
      <c r="I17" s="19" t="s">
        <v>117</v>
      </c>
    </row>
    <row r="18" customFormat="false" ht="15" hidden="false" customHeight="false" outlineLevel="0" collapsed="false">
      <c r="B18" s="5" t="s">
        <v>118</v>
      </c>
      <c r="C18" s="23" t="n">
        <f aca="false">C17+(Inputs!$C$23-Inputs!$C$16/Inputs!$C$12)</f>
        <v>0.372685355648536</v>
      </c>
      <c r="D18" s="23" t="n">
        <f aca="false">D17+(Inputs!$C$23-Inputs!$C$16/Inputs!$C$12)</f>
        <v>0.421985355648536</v>
      </c>
      <c r="E18" s="23" t="n">
        <f aca="false">E17+(Inputs!$C$23-Inputs!$C$16/Inputs!$C$12)</f>
        <v>0.363485355648536</v>
      </c>
      <c r="F18" s="23" t="n">
        <f aca="false">F17+(Inputs!$C$23-Inputs!$C$16/Inputs!$C$12)</f>
        <v>0.419785355648536</v>
      </c>
      <c r="G18" s="23" t="n">
        <f aca="false">G17+(Inputs!$C$23-Inputs!$C$16/Inputs!$C$12)</f>
        <v>0.443185355648536</v>
      </c>
    </row>
    <row r="19" customFormat="false" ht="15" hidden="false" customHeight="false" outlineLevel="0" collapsed="false">
      <c r="B19" s="5" t="s">
        <v>119</v>
      </c>
      <c r="C19" s="23" t="n">
        <f aca="false">MIN(C18:G18)</f>
        <v>0.363485355648536</v>
      </c>
      <c r="D19" s="23" t="n">
        <f aca="false">MAX(C18:G18)</f>
        <v>0.443185355648536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120</v>
      </c>
    </row>
    <row r="3" customFormat="false" ht="15" hidden="false" customHeight="false" outlineLevel="0" collapsed="false">
      <c r="B3" s="2" t="s">
        <v>121</v>
      </c>
    </row>
    <row r="5" customFormat="false" ht="15" hidden="false" customHeight="false" outlineLevel="0" collapsed="false">
      <c r="B5" s="28" t="s">
        <v>122</v>
      </c>
      <c r="C5" s="28" t="s">
        <v>123</v>
      </c>
      <c r="D5" s="28" t="s">
        <v>124</v>
      </c>
      <c r="E5" s="28" t="s">
        <v>125</v>
      </c>
      <c r="F5" s="28" t="s">
        <v>55</v>
      </c>
      <c r="G5" s="28" t="s">
        <v>126</v>
      </c>
    </row>
    <row r="6" customFormat="false" ht="15" hidden="false" customHeight="false" outlineLevel="0" collapsed="false">
      <c r="B6" s="7" t="s">
        <v>127</v>
      </c>
      <c r="C6" s="31" t="n">
        <v>1.34063511586162</v>
      </c>
      <c r="D6" s="14" t="n">
        <v>5600</v>
      </c>
      <c r="E6" s="14" t="n">
        <v>15660</v>
      </c>
      <c r="F6" s="22" t="n">
        <v>0.25</v>
      </c>
      <c r="G6" s="32" t="n">
        <f aca="false">C6/(1+(1-F6)*D6/E6)</f>
        <v>1.05711711552834</v>
      </c>
      <c r="H6" s="19" t="s">
        <v>128</v>
      </c>
    </row>
    <row r="7" customFormat="false" ht="15" hidden="false" customHeight="false" outlineLevel="0" collapsed="false">
      <c r="B7" s="5" t="s">
        <v>129</v>
      </c>
      <c r="C7" s="31" t="n">
        <v>1.34235285049717</v>
      </c>
      <c r="D7" s="14" t="n">
        <v>5470</v>
      </c>
      <c r="E7" s="14" t="n">
        <v>17290</v>
      </c>
      <c r="F7" s="22" t="n">
        <v>0.25</v>
      </c>
      <c r="G7" s="32" t="n">
        <f aca="false">C7/(1+(1-F7)*D7/E7)</f>
        <v>1.08492606217581</v>
      </c>
    </row>
    <row r="8" customFormat="false" ht="15" hidden="false" customHeight="false" outlineLevel="0" collapsed="false">
      <c r="B8" s="5" t="s">
        <v>130</v>
      </c>
      <c r="C8" s="31" t="n">
        <v>1.57907093175696</v>
      </c>
      <c r="D8" s="14" t="n">
        <v>5660</v>
      </c>
      <c r="E8" s="14" t="n">
        <v>12830</v>
      </c>
      <c r="F8" s="22" t="n">
        <v>0.25</v>
      </c>
      <c r="G8" s="32" t="n">
        <f aca="false">C8/(1+(1-F8)*D8/E8)</f>
        <v>1.18649956394974</v>
      </c>
    </row>
    <row r="10" customFormat="false" ht="15" hidden="false" customHeight="false" outlineLevel="0" collapsed="false">
      <c r="B10" s="5" t="s">
        <v>131</v>
      </c>
      <c r="C10" s="32" t="n">
        <f aca="false">MEDIAN(G6:G8)</f>
        <v>1.08492606217581</v>
      </c>
    </row>
    <row r="11" customFormat="false" ht="15" hidden="false" customHeight="false" outlineLevel="0" collapsed="false">
      <c r="B11" s="5" t="s">
        <v>124</v>
      </c>
      <c r="C11" s="16" t="n">
        <f aca="false">Inputs!$C$27</f>
        <v>5600</v>
      </c>
    </row>
    <row r="12" customFormat="false" ht="15" hidden="false" customHeight="false" outlineLevel="0" collapsed="false">
      <c r="B12" s="5" t="s">
        <v>37</v>
      </c>
      <c r="C12" s="16" t="n">
        <f aca="false">Inputs!$C$8</f>
        <v>15660</v>
      </c>
    </row>
    <row r="13" customFormat="false" ht="15" hidden="false" customHeight="false" outlineLevel="0" collapsed="false">
      <c r="B13" s="5" t="s">
        <v>55</v>
      </c>
      <c r="C13" s="9" t="n">
        <f aca="false">Inputs!$C$20</f>
        <v>0.25</v>
      </c>
    </row>
    <row r="14" customFormat="false" ht="15" hidden="false" customHeight="false" outlineLevel="0" collapsed="false">
      <c r="B14" s="5" t="s">
        <v>132</v>
      </c>
      <c r="C14" s="32" t="n">
        <f aca="false">WACC!$C$10*(1+(1-WACC!$C$13)*WACC!$C$11/WACC!$C$12)</f>
        <v>1.3759024006904</v>
      </c>
      <c r="H14" s="19" t="s">
        <v>133</v>
      </c>
    </row>
    <row r="15" customFormat="false" ht="15" hidden="false" customHeight="false" outlineLevel="0" collapsed="false">
      <c r="B15" s="5" t="s">
        <v>134</v>
      </c>
      <c r="C15" s="12" t="n">
        <f aca="false">Inputs!$C$35</f>
        <v>0.0521</v>
      </c>
    </row>
    <row r="16" customFormat="false" ht="15" hidden="false" customHeight="false" outlineLevel="0" collapsed="false">
      <c r="B16" s="5" t="s">
        <v>77</v>
      </c>
      <c r="C16" s="12" t="n">
        <f aca="false">Inputs!$C$38</f>
        <v>0.0423</v>
      </c>
    </row>
    <row r="17" customFormat="false" ht="15" hidden="false" customHeight="false" outlineLevel="0" collapsed="false">
      <c r="B17" s="5" t="s">
        <v>135</v>
      </c>
      <c r="C17" s="25" t="n">
        <f aca="false">WACC!$C$15+WACC!$C$14*WACC!$C$16</f>
        <v>0.110300671549204</v>
      </c>
      <c r="H17" s="19" t="s">
        <v>136</v>
      </c>
    </row>
    <row r="19" customFormat="false" ht="15" hidden="false" customHeight="false" outlineLevel="0" collapsed="false">
      <c r="B19" s="3" t="s">
        <v>137</v>
      </c>
    </row>
    <row r="20" customFormat="false" ht="15" hidden="false" customHeight="false" outlineLevel="0" collapsed="false">
      <c r="B20" s="28" t="s">
        <v>138</v>
      </c>
      <c r="C20" s="28" t="s">
        <v>139</v>
      </c>
    </row>
    <row r="21" customFormat="false" ht="15" hidden="false" customHeight="false" outlineLevel="0" collapsed="false">
      <c r="B21" s="33" t="n">
        <v>1</v>
      </c>
      <c r="C21" s="24" t="n">
        <v>0.01</v>
      </c>
      <c r="H21" s="19" t="s">
        <v>140</v>
      </c>
    </row>
    <row r="22" customFormat="false" ht="15" hidden="false" customHeight="false" outlineLevel="0" collapsed="false">
      <c r="B22" s="33" t="n">
        <v>2</v>
      </c>
      <c r="C22" s="24" t="n">
        <v>0.0125</v>
      </c>
    </row>
    <row r="23" customFormat="false" ht="15" hidden="false" customHeight="false" outlineLevel="0" collapsed="false">
      <c r="B23" s="33" t="n">
        <v>3</v>
      </c>
      <c r="C23" s="24" t="n">
        <v>0.016</v>
      </c>
    </row>
    <row r="24" customFormat="false" ht="15" hidden="false" customHeight="false" outlineLevel="0" collapsed="false">
      <c r="B24" s="33" t="n">
        <v>4</v>
      </c>
      <c r="C24" s="24" t="n">
        <v>0.02</v>
      </c>
    </row>
    <row r="25" customFormat="false" ht="15" hidden="false" customHeight="false" outlineLevel="0" collapsed="false">
      <c r="B25" s="33" t="n">
        <v>99</v>
      </c>
      <c r="C25" s="24" t="n">
        <v>0.0275</v>
      </c>
    </row>
    <row r="27" customFormat="false" ht="15" hidden="false" customHeight="false" outlineLevel="0" collapsed="false">
      <c r="B27" s="5" t="s">
        <v>141</v>
      </c>
      <c r="C27" s="34" t="n">
        <f aca="false">Inputs!$C$27/Inputs!$C$24</f>
        <v>4.44444444444445</v>
      </c>
    </row>
    <row r="28" customFormat="false" ht="15" hidden="false" customHeight="false" outlineLevel="0" collapsed="false">
      <c r="B28" s="5" t="s">
        <v>142</v>
      </c>
      <c r="C28" s="25" t="n">
        <f aca="false">INDEX(C21:C25,COUNTIF(B21:B25,"&lt;="&amp;WACC!$C$27)+1)</f>
        <v>0.0275</v>
      </c>
      <c r="H28" s="19" t="s">
        <v>143</v>
      </c>
    </row>
    <row r="29" customFormat="false" ht="15" hidden="false" customHeight="false" outlineLevel="0" collapsed="false">
      <c r="B29" s="5" t="s">
        <v>144</v>
      </c>
      <c r="C29" s="25" t="n">
        <f aca="false">WACC!$C$15+WACC!$C$28</f>
        <v>0.0796</v>
      </c>
    </row>
    <row r="30" customFormat="false" ht="15" hidden="false" customHeight="false" outlineLevel="0" collapsed="false">
      <c r="B30" s="5" t="s">
        <v>145</v>
      </c>
      <c r="C30" s="25" t="n">
        <f aca="false">WACC!$C$29*(1-WACC!$C$13)</f>
        <v>0.0597</v>
      </c>
    </row>
    <row r="31" customFormat="false" ht="15" hidden="false" customHeight="false" outlineLevel="0" collapsed="false">
      <c r="B31" s="5" t="s">
        <v>146</v>
      </c>
      <c r="C31" s="23" t="n">
        <f aca="false">WACC!$C$11/(WACC!$C$11+WACC!$C$12)</f>
        <v>0.26340545625588</v>
      </c>
      <c r="H31" s="19" t="s">
        <v>147</v>
      </c>
    </row>
    <row r="32" customFormat="false" ht="15" hidden="false" customHeight="false" outlineLevel="0" collapsed="false">
      <c r="B32" s="5" t="s">
        <v>148</v>
      </c>
      <c r="C32" s="23" t="n">
        <f aca="false">1-WACC!$C$31</f>
        <v>0.73659454374412</v>
      </c>
    </row>
    <row r="33" customFormat="false" ht="15" hidden="false" customHeight="false" outlineLevel="0" collapsed="false">
      <c r="B33" s="5" t="s">
        <v>11</v>
      </c>
      <c r="C33" s="35" t="n">
        <f aca="false">WACC!$C$32*WACC!$C$17+WACC!$C$31*WACC!$C$30</f>
        <v>0.0969721785729318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149</v>
      </c>
    </row>
    <row r="2" customFormat="false" ht="15" hidden="false" customHeight="false" outlineLevel="0" collapsed="false">
      <c r="B2" s="5" t="s">
        <v>150</v>
      </c>
      <c r="C2" s="16" t="n">
        <f aca="false">Inputs!$C$12</f>
        <v>2390</v>
      </c>
      <c r="D2" s="5" t="s">
        <v>151</v>
      </c>
      <c r="E2" s="9" t="n">
        <f aca="false">Inputs!$C$23</f>
        <v>0.473230125523013</v>
      </c>
      <c r="F2" s="5" t="s">
        <v>152</v>
      </c>
      <c r="G2" s="16" t="n">
        <f aca="false">Inputs!$C$27</f>
        <v>5600</v>
      </c>
      <c r="H2" s="5" t="s">
        <v>153</v>
      </c>
      <c r="I2" s="16" t="n">
        <f aca="false">Inputs!$C$28</f>
        <v>248.44</v>
      </c>
      <c r="J2" s="5" t="s">
        <v>154</v>
      </c>
      <c r="K2" s="36" t="n">
        <f aca="false">Inputs!$C$7</f>
        <v>21.6</v>
      </c>
      <c r="L2" s="5" t="s">
        <v>155</v>
      </c>
      <c r="M2" s="6" t="n">
        <f aca="false">Inputs!$C$6</f>
        <v>725</v>
      </c>
      <c r="N2" s="5" t="s">
        <v>156</v>
      </c>
      <c r="O2" s="37" t="n">
        <f aca="false">Inputs!$C$46</f>
        <v>5</v>
      </c>
      <c r="P2" s="5" t="s">
        <v>157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158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159</v>
      </c>
    </row>
    <row r="6" customFormat="false" ht="15" hidden="false" customHeight="false" outlineLevel="0" collapsed="false">
      <c r="A6" s="38" t="s">
        <v>160</v>
      </c>
      <c r="E6" s="5" t="s">
        <v>11</v>
      </c>
      <c r="F6" s="12" t="n">
        <f aca="false">WACC!$C$33</f>
        <v>0.0969721785729318</v>
      </c>
      <c r="G6" s="5" t="s">
        <v>12</v>
      </c>
      <c r="I6" s="12" t="n">
        <f aca="false">Inputs!$C$37</f>
        <v>0.0283</v>
      </c>
      <c r="W6" s="38" t="s">
        <v>161</v>
      </c>
    </row>
    <row r="7" customFormat="false" ht="23.85" hidden="false" customHeight="false" outlineLevel="0" collapsed="false">
      <c r="A7" s="38" t="s">
        <v>162</v>
      </c>
      <c r="B7" s="28" t="s">
        <v>163</v>
      </c>
      <c r="C7" s="28" t="s">
        <v>164</v>
      </c>
      <c r="D7" s="28" t="s">
        <v>165</v>
      </c>
      <c r="E7" s="28" t="s">
        <v>166</v>
      </c>
      <c r="F7" s="28" t="s">
        <v>167</v>
      </c>
      <c r="G7" s="28" t="s">
        <v>168</v>
      </c>
      <c r="H7" s="28" t="s">
        <v>169</v>
      </c>
      <c r="I7" s="28" t="s">
        <v>170</v>
      </c>
      <c r="J7" s="28" t="s">
        <v>171</v>
      </c>
      <c r="K7" s="28" t="s">
        <v>172</v>
      </c>
      <c r="L7" s="28" t="s">
        <v>173</v>
      </c>
      <c r="M7" s="28" t="s">
        <v>174</v>
      </c>
      <c r="N7" s="28" t="s">
        <v>175</v>
      </c>
      <c r="O7" s="28" t="s">
        <v>176</v>
      </c>
      <c r="P7" s="28" t="s">
        <v>177</v>
      </c>
      <c r="Q7" s="28" t="s">
        <v>178</v>
      </c>
      <c r="R7" s="28" t="s">
        <v>179</v>
      </c>
      <c r="S7" s="28" t="s">
        <v>180</v>
      </c>
      <c r="T7" s="28" t="s">
        <v>181</v>
      </c>
      <c r="W7" s="40" t="n">
        <f aca="false">$D$47</f>
        <v>0.0669099144010943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2987.5</v>
      </c>
      <c r="F8" s="15" t="n">
        <f aca="false">E8*(1+IF(F$3&lt;=$O$2,$D8,$D8-($D8-$I$6)*MIN(F$3-$O$2,$Q$2)/$Q$2))</f>
        <v>3734.375</v>
      </c>
      <c r="G8" s="15" t="n">
        <f aca="false">F8*(1+IF(G$3&lt;=$O$2,$D8,$D8-($D8-$I$6)*MIN(G$3-$O$2,$Q$2)/$Q$2))</f>
        <v>4667.96875</v>
      </c>
      <c r="H8" s="15" t="n">
        <f aca="false">G8*(1+IF(H$3&lt;=$O$2,$D8,$D8-($D8-$I$6)*MIN(H$3-$O$2,$Q$2)/$Q$2))</f>
        <v>5834.9609375</v>
      </c>
      <c r="I8" s="15" t="n">
        <f aca="false">H8*(1+IF(I$3&lt;=$O$2,$D8,$D8-($D8-$I$6)*MIN(I$3-$O$2,$Q$2)/$Q$2))</f>
        <v>7293.701171875</v>
      </c>
      <c r="J8" s="15" t="n">
        <f aca="false">I8*(1+IF(J$3&lt;=$O$2,$D8,$D8-($D8-$I$6)*MIN(J$3-$O$2,$Q$2)/$Q$2))</f>
        <v>8793.72375488281</v>
      </c>
      <c r="K8" s="15" t="n">
        <f aca="false">J8*(1+IF(K$3&lt;=$O$2,$D8,$D8-($D8-$I$6)*MIN(K$3-$O$2,$Q$2)/$Q$2))</f>
        <v>10212.3272710205</v>
      </c>
      <c r="L8" s="15" t="n">
        <f aca="false">K8*(1+IF(L$3&lt;=$O$2,$D8,$D8-($D8-$I$6)*MIN(L$3-$O$2,$Q$2)/$Q$2))</f>
        <v>11406.9653151845</v>
      </c>
      <c r="M8" s="15" t="n">
        <f aca="false">L8*(1+IF(M$3&lt;=$O$2,$D8,$D8-($D8-$I$6)*MIN(M$3-$O$2,$Q$2)/$Q$2))</f>
        <v>12235.5672756795</v>
      </c>
      <c r="N8" s="15" t="n">
        <f aca="false">M8*(1+IF(N$3&lt;=$O$2,$D8,$D8-($D8-$I$6)*MIN(N$3-$O$2,$Q$2)/$Q$2))</f>
        <v>12581.8338295812</v>
      </c>
      <c r="O8" s="15" t="n">
        <f aca="false">SUMPRODUCT(E8:N8,1/(1+$F$6)^$E$3:$N$3)*$E$2</f>
        <v>20878.5815142345</v>
      </c>
      <c r="P8" s="15" t="n">
        <f aca="false">N8*$E$2*(1+$I$6)/($F$6-$I$6)/(1+$F$6)^$N$3</f>
        <v>35334.5209772935</v>
      </c>
      <c r="Q8" s="15" t="n">
        <f aca="false">O8+P8</f>
        <v>56213.102491528</v>
      </c>
      <c r="R8" s="15" t="n">
        <f aca="false">Q8-$G$2+$I$2</f>
        <v>50861.542491528</v>
      </c>
      <c r="S8" s="42" t="n">
        <f aca="false">R8/$K$2</f>
        <v>2354.70104127444</v>
      </c>
      <c r="T8" s="43" t="n">
        <f aca="false">S8-$M$2</f>
        <v>1629.70104127444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2091.25</v>
      </c>
      <c r="F9" s="15" t="n">
        <f aca="false">E9*(1+IF(F$3&lt;=$O$2,$D9,$D9-($D9-$I$6)*MIN(F$3-$O$2,$Q$2)/$Q$2))</f>
        <v>1829.84375</v>
      </c>
      <c r="G9" s="15" t="n">
        <f aca="false">F9*(1+IF(G$3&lt;=$O$2,$D9,$D9-($D9-$I$6)*MIN(G$3-$O$2,$Q$2)/$Q$2))</f>
        <v>1601.11328125</v>
      </c>
      <c r="H9" s="15" t="n">
        <f aca="false">G9*(1+IF(H$3&lt;=$O$2,$D9,$D9-($D9-$I$6)*MIN(H$3-$O$2,$Q$2)/$Q$2))</f>
        <v>1400.97412109375</v>
      </c>
      <c r="I9" s="15" t="n">
        <f aca="false">H9*(1+IF(I$3&lt;=$O$2,$D9,$D9-($D9-$I$6)*MIN(I$3-$O$2,$Q$2)/$Q$2))</f>
        <v>1225.85235595703</v>
      </c>
      <c r="J9" s="15" t="n">
        <f aca="false">I9*(1+IF(J$3&lt;=$O$2,$D9,$D9-($D9-$I$6)*MIN(J$3-$O$2,$Q$2)/$Q$2))</f>
        <v>1110.20544469604</v>
      </c>
      <c r="K9" s="15" t="n">
        <f aca="false">J9*(1+IF(K$3&lt;=$O$2,$D9,$D9-($D9-$I$6)*MIN(K$3-$O$2,$Q$2)/$Q$2))</f>
        <v>1039.5075619778</v>
      </c>
      <c r="L9" s="15" t="n">
        <f aca="false">K9*(1+IF(L$3&lt;=$O$2,$D9,$D9-($D9-$I$6)*MIN(L$3-$O$2,$Q$2)/$Q$2))</f>
        <v>1005.18302228129</v>
      </c>
      <c r="M9" s="15" t="n">
        <f aca="false">L9*(1+IF(M$3&lt;=$O$2,$D9,$D9-($D9-$I$6)*MIN(M$3-$O$2,$Q$2)/$Q$2))</f>
        <v>1002.81079034871</v>
      </c>
      <c r="N9" s="15" t="n">
        <f aca="false">M9*(1+IF(N$3&lt;=$O$2,$D9,$D9-($D9-$I$6)*MIN(N$3-$O$2,$Q$2)/$Q$2))</f>
        <v>1031.19033571558</v>
      </c>
      <c r="O9" s="15" t="n">
        <f aca="false">SUMPRODUCT(E9:N9,1/(1+$F$6)^$E$3:$N$3)*$E$2</f>
        <v>4204.24309199253</v>
      </c>
      <c r="P9" s="15" t="n">
        <f aca="false">N9*$E$2*(1+$I$6)/($F$6-$I$6)/(1+$F$6)^$N$3</f>
        <v>2895.9702569953</v>
      </c>
      <c r="Q9" s="15" t="n">
        <f aca="false">O9+P9</f>
        <v>7100.21334898783</v>
      </c>
      <c r="R9" s="15" t="n">
        <f aca="false">Q9-$G$2+$I$2</f>
        <v>1748.65334898783</v>
      </c>
      <c r="S9" s="42" t="n">
        <f aca="false">R9/$K$2</f>
        <v>80.9561735642513</v>
      </c>
      <c r="T9" s="43" t="n">
        <f aca="false">S9-$M$2</f>
        <v>-644.043826435749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2539.375</v>
      </c>
      <c r="F10" s="15" t="n">
        <f aca="false">E10*(1+IF(F$3&lt;=$O$2,$D10,$D10-($D10-$I$6)*MIN(F$3-$O$2,$Q$2)/$Q$2))</f>
        <v>2698.0859375</v>
      </c>
      <c r="G10" s="15" t="n">
        <f aca="false">F10*(1+IF(G$3&lt;=$O$2,$D10,$D10-($D10-$I$6)*MIN(G$3-$O$2,$Q$2)/$Q$2))</f>
        <v>2866.71630859375</v>
      </c>
      <c r="H10" s="15" t="n">
        <f aca="false">G10*(1+IF(H$3&lt;=$O$2,$D10,$D10-($D10-$I$6)*MIN(H$3-$O$2,$Q$2)/$Q$2))</f>
        <v>3045.88607788086</v>
      </c>
      <c r="I10" s="15" t="n">
        <f aca="false">H10*(1+IF(I$3&lt;=$O$2,$D10,$D10-($D10-$I$6)*MIN(I$3-$O$2,$Q$2)/$Q$2))</f>
        <v>3236.25395774841</v>
      </c>
      <c r="J10" s="15" t="n">
        <f aca="false">I10*(1+IF(J$3&lt;=$O$2,$D10,$D10-($D10-$I$6)*MIN(J$3-$O$2,$Q$2)/$Q$2))</f>
        <v>3416.38385303669</v>
      </c>
      <c r="K10" s="15" t="n">
        <f aca="false">J10*(1+IF(K$3&lt;=$O$2,$D10,$D10-($D10-$I$6)*MIN(K$3-$O$2,$Q$2)/$Q$2))</f>
        <v>3583.17171274194</v>
      </c>
      <c r="L10" s="15" t="n">
        <f aca="false">K10*(1+IF(L$3&lt;=$O$2,$D10,$D10-($D10-$I$6)*MIN(L$3-$O$2,$Q$2)/$Q$2))</f>
        <v>3733.59326124285</v>
      </c>
      <c r="M10" s="15" t="n">
        <f aca="false">L10*(1+IF(M$3&lt;=$O$2,$D10,$D10-($D10-$I$6)*MIN(M$3-$O$2,$Q$2)/$Q$2))</f>
        <v>3864.79172844292</v>
      </c>
      <c r="N10" s="15" t="n">
        <f aca="false">M10*(1+IF(N$3&lt;=$O$2,$D10,$D10-($D10-$I$6)*MIN(N$3-$O$2,$Q$2)/$Q$2))</f>
        <v>3974.16533435786</v>
      </c>
      <c r="O10" s="15" t="n">
        <f aca="false">SUMPRODUCT(E10:N10,1/(1+$F$6)^$E$3:$N$3)*$E$2</f>
        <v>9341.81426736491</v>
      </c>
      <c r="P10" s="15" t="n">
        <f aca="false">N10*$E$2*(1+$I$6)/($F$6-$I$6)/(1+$F$6)^$N$3</f>
        <v>11160.9508022547</v>
      </c>
      <c r="Q10" s="15" t="n">
        <f aca="false">O10+P10</f>
        <v>20502.7650696197</v>
      </c>
      <c r="R10" s="15" t="n">
        <f aca="false">Q10-$G$2+$I$2</f>
        <v>15151.2050696197</v>
      </c>
      <c r="S10" s="42" t="n">
        <f aca="false">R10/$K$2</f>
        <v>701.444679149058</v>
      </c>
      <c r="T10" s="43" t="n">
        <f aca="false">S10-$M$2</f>
        <v>-23.5553208509418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0.0625</v>
      </c>
      <c r="C11" s="25" t="n">
        <f aca="false">IF(T10&gt;0,D10,C10)</f>
        <v>0.25</v>
      </c>
      <c r="D11" s="41" t="n">
        <f aca="false">(B11+C11)/2</f>
        <v>0.15625</v>
      </c>
      <c r="E11" s="15" t="n">
        <f aca="false">$C$2*(1+IF(E$3&lt;=$O$2,$D11,$D11-($D11-$I$6)*MIN(E$3-$O$2,$Q$2)/$Q$2))</f>
        <v>2763.4375</v>
      </c>
      <c r="F11" s="15" t="n">
        <f aca="false">E11*(1+IF(F$3&lt;=$O$2,$D11,$D11-($D11-$I$6)*MIN(F$3-$O$2,$Q$2)/$Q$2))</f>
        <v>3195.224609375</v>
      </c>
      <c r="G11" s="15" t="n">
        <f aca="false">F11*(1+IF(G$3&lt;=$O$2,$D11,$D11-($D11-$I$6)*MIN(G$3-$O$2,$Q$2)/$Q$2))</f>
        <v>3694.47845458984</v>
      </c>
      <c r="H11" s="15" t="n">
        <f aca="false">G11*(1+IF(H$3&lt;=$O$2,$D11,$D11-($D11-$I$6)*MIN(H$3-$O$2,$Q$2)/$Q$2))</f>
        <v>4271.74071311951</v>
      </c>
      <c r="I11" s="15" t="n">
        <f aca="false">H11*(1+IF(I$3&lt;=$O$2,$D11,$D11-($D11-$I$6)*MIN(I$3-$O$2,$Q$2)/$Q$2))</f>
        <v>4939.20019954443</v>
      </c>
      <c r="J11" s="15" t="n">
        <f aca="false">I11*(1+IF(J$3&lt;=$O$2,$D11,$D11-($D11-$I$6)*MIN(J$3-$O$2,$Q$2)/$Q$2))</f>
        <v>5584.55609761691</v>
      </c>
      <c r="K11" s="15" t="n">
        <f aca="false">J11*(1+IF(K$3&lt;=$O$2,$D11,$D11-($D11-$I$6)*MIN(K$3-$O$2,$Q$2)/$Q$2))</f>
        <v>6171.32540679351</v>
      </c>
      <c r="L11" s="15" t="n">
        <f aca="false">K11*(1+IF(L$3&lt;=$O$2,$D11,$D11-($D11-$I$6)*MIN(L$3-$O$2,$Q$2)/$Q$2))</f>
        <v>6661.82235012546</v>
      </c>
      <c r="M11" s="15" t="n">
        <f aca="false">L11*(1+IF(M$3&lt;=$O$2,$D11,$D11-($D11-$I$6)*MIN(M$3-$O$2,$Q$2)/$Q$2))</f>
        <v>7020.82795657372</v>
      </c>
      <c r="N11" s="15" t="n">
        <f aca="false">M11*(1+IF(N$3&lt;=$O$2,$D11,$D11-($D11-$I$6)*MIN(N$3-$O$2,$Q$2)/$Q$2))</f>
        <v>7219.51738774476</v>
      </c>
      <c r="O11" s="15" t="n">
        <f aca="false">SUMPRODUCT(E11:N11,1/(1+$F$6)^$E$3:$N$3)*$E$2</f>
        <v>13987.1138688709</v>
      </c>
      <c r="P11" s="15" t="n">
        <f aca="false">N11*$E$2*(1+$I$6)/($F$6-$I$6)/(1+$F$6)^$N$3</f>
        <v>20275.1198305799</v>
      </c>
      <c r="Q11" s="15" t="n">
        <f aca="false">O11+P11</f>
        <v>34262.2336994507</v>
      </c>
      <c r="R11" s="15" t="n">
        <f aca="false">Q11-$G$2+$I$2</f>
        <v>28910.6736994507</v>
      </c>
      <c r="S11" s="42" t="n">
        <f aca="false">R11/$K$2</f>
        <v>1338.45711571531</v>
      </c>
      <c r="T11" s="43" t="n">
        <f aca="false">S11-$M$2</f>
        <v>613.45711571531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0.0625</v>
      </c>
      <c r="C12" s="25" t="n">
        <f aca="false">IF(T11&gt;0,D11,C11)</f>
        <v>0.15625</v>
      </c>
      <c r="D12" s="41" t="n">
        <f aca="false">(B12+C12)/2</f>
        <v>0.109375</v>
      </c>
      <c r="E12" s="15" t="n">
        <f aca="false">$C$2*(1+IF(E$3&lt;=$O$2,$D12,$D12-($D12-$I$6)*MIN(E$3-$O$2,$Q$2)/$Q$2))</f>
        <v>2651.40625</v>
      </c>
      <c r="F12" s="15" t="n">
        <f aca="false">E12*(1+IF(F$3&lt;=$O$2,$D12,$D12-($D12-$I$6)*MIN(F$3-$O$2,$Q$2)/$Q$2))</f>
        <v>2941.40380859375</v>
      </c>
      <c r="G12" s="15" t="n">
        <f aca="false">F12*(1+IF(G$3&lt;=$O$2,$D12,$D12-($D12-$I$6)*MIN(G$3-$O$2,$Q$2)/$Q$2))</f>
        <v>3263.11985015869</v>
      </c>
      <c r="H12" s="15" t="n">
        <f aca="false">G12*(1+IF(H$3&lt;=$O$2,$D12,$D12-($D12-$I$6)*MIN(H$3-$O$2,$Q$2)/$Q$2))</f>
        <v>3620.0235837698</v>
      </c>
      <c r="I12" s="15" t="n">
        <f aca="false">H12*(1+IF(I$3&lt;=$O$2,$D12,$D12-($D12-$I$6)*MIN(I$3-$O$2,$Q$2)/$Q$2))</f>
        <v>4015.96366324462</v>
      </c>
      <c r="J12" s="15" t="n">
        <f aca="false">I12*(1+IF(J$3&lt;=$O$2,$D12,$D12-($D12-$I$6)*MIN(J$3-$O$2,$Q$2)/$Q$2))</f>
        <v>4390.09083811249</v>
      </c>
      <c r="K12" s="15" t="n">
        <f aca="false">J12*(1+IF(K$3&lt;=$O$2,$D12,$D12-($D12-$I$6)*MIN(K$3-$O$2,$Q$2)/$Q$2))</f>
        <v>4727.88637765105</v>
      </c>
      <c r="L12" s="15" t="n">
        <f aca="false">K12*(1+IF(L$3&lt;=$O$2,$D12,$D12-($D12-$I$6)*MIN(L$3-$O$2,$Q$2)/$Q$2))</f>
        <v>5015.0109173658</v>
      </c>
      <c r="M12" s="15" t="n">
        <f aca="false">L12*(1+IF(M$3&lt;=$O$2,$D12,$D12-($D12-$I$6)*MIN(M$3-$O$2,$Q$2)/$Q$2))</f>
        <v>5238.25412835234</v>
      </c>
      <c r="N12" s="15" t="n">
        <f aca="false">M12*(1+IF(N$3&lt;=$O$2,$D12,$D12-($D12-$I$6)*MIN(N$3-$O$2,$Q$2)/$Q$2))</f>
        <v>5386.49672018471</v>
      </c>
      <c r="O12" s="15" t="n">
        <f aca="false">SUMPRODUCT(E12:N12,1/(1+$F$6)^$E$3:$N$3)*$E$2</f>
        <v>11432.3550444781</v>
      </c>
      <c r="P12" s="15" t="n">
        <f aca="false">N12*$E$2*(1+$I$6)/($F$6-$I$6)/(1+$F$6)^$N$3</f>
        <v>15127.3084616652</v>
      </c>
      <c r="Q12" s="15" t="n">
        <f aca="false">O12+P12</f>
        <v>26559.6635061433</v>
      </c>
      <c r="R12" s="15" t="n">
        <f aca="false">Q12-$G$2+$I$2</f>
        <v>21208.1035061433</v>
      </c>
      <c r="S12" s="42" t="n">
        <f aca="false">R12/$K$2</f>
        <v>981.856643802932</v>
      </c>
      <c r="T12" s="43" t="n">
        <f aca="false">S12-$M$2</f>
        <v>256.856643802932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0.0625</v>
      </c>
      <c r="C13" s="25" t="n">
        <f aca="false">IF(T12&gt;0,D12,C12)</f>
        <v>0.109375</v>
      </c>
      <c r="D13" s="41" t="n">
        <f aca="false">(B13+C13)/2</f>
        <v>0.0859375</v>
      </c>
      <c r="E13" s="15" t="n">
        <f aca="false">$C$2*(1+IF(E$3&lt;=$O$2,$D13,$D13-($D13-$I$6)*MIN(E$3-$O$2,$Q$2)/$Q$2))</f>
        <v>2595.390625</v>
      </c>
      <c r="F13" s="15" t="n">
        <f aca="false">E13*(1+IF(F$3&lt;=$O$2,$D13,$D13-($D13-$I$6)*MIN(F$3-$O$2,$Q$2)/$Q$2))</f>
        <v>2818.43200683594</v>
      </c>
      <c r="G13" s="15" t="n">
        <f aca="false">F13*(1+IF(G$3&lt;=$O$2,$D13,$D13-($D13-$I$6)*MIN(G$3-$O$2,$Q$2)/$Q$2))</f>
        <v>3060.6410074234</v>
      </c>
      <c r="H13" s="15" t="n">
        <f aca="false">G13*(1+IF(H$3&lt;=$O$2,$D13,$D13-($D13-$I$6)*MIN(H$3-$O$2,$Q$2)/$Q$2))</f>
        <v>3323.66484399885</v>
      </c>
      <c r="I13" s="15" t="n">
        <f aca="false">H13*(1+IF(I$3&lt;=$O$2,$D13,$D13-($D13-$I$6)*MIN(I$3-$O$2,$Q$2)/$Q$2))</f>
        <v>3609.29229153</v>
      </c>
      <c r="J13" s="15" t="n">
        <f aca="false">I13*(1+IF(J$3&lt;=$O$2,$D13,$D13-($D13-$I$6)*MIN(J$3-$O$2,$Q$2)/$Q$2))</f>
        <v>3877.85973094275</v>
      </c>
      <c r="K13" s="15" t="n">
        <f aca="false">J13*(1+IF(K$3&lt;=$O$2,$D13,$D13-($D13-$I$6)*MIN(K$3-$O$2,$Q$2)/$Q$2))</f>
        <v>4121.70924547376</v>
      </c>
      <c r="L13" s="15" t="n">
        <f aca="false">K13*(1+IF(L$3&lt;=$O$2,$D13,$D13-($D13-$I$6)*MIN(L$3-$O$2,$Q$2)/$Q$2))</f>
        <v>4333.37962377506</v>
      </c>
      <c r="M13" s="15" t="n">
        <f aca="false">L13*(1+IF(M$3&lt;=$O$2,$D13,$D13-($D13-$I$6)*MIN(M$3-$O$2,$Q$2)/$Q$2))</f>
        <v>4505.96730074096</v>
      </c>
      <c r="N13" s="15" t="n">
        <f aca="false">M13*(1+IF(N$3&lt;=$O$2,$D13,$D13-($D13-$I$6)*MIN(N$3-$O$2,$Q$2)/$Q$2))</f>
        <v>4633.48617535193</v>
      </c>
      <c r="O13" s="15" t="n">
        <f aca="false">SUMPRODUCT(E13:N13,1/(1+$F$6)^$E$3:$N$3)*$E$2</f>
        <v>10334.3302771972</v>
      </c>
      <c r="P13" s="15" t="n">
        <f aca="false">N13*$E$2*(1+$I$6)/($F$6-$I$6)/(1+$F$6)^$N$3</f>
        <v>13012.5716710743</v>
      </c>
      <c r="Q13" s="15" t="n">
        <f aca="false">O13+P13</f>
        <v>23346.9019482714</v>
      </c>
      <c r="R13" s="15" t="n">
        <f aca="false">Q13-$G$2+$I$2</f>
        <v>17995.3419482714</v>
      </c>
      <c r="S13" s="42" t="n">
        <f aca="false">R13/$K$2</f>
        <v>833.117682790344</v>
      </c>
      <c r="T13" s="43" t="n">
        <f aca="false">S13-$M$2</f>
        <v>108.117682790344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0.0625</v>
      </c>
      <c r="C14" s="25" t="n">
        <f aca="false">IF(T13&gt;0,D13,C13)</f>
        <v>0.0859375</v>
      </c>
      <c r="D14" s="41" t="n">
        <f aca="false">(B14+C14)/2</f>
        <v>0.07421875</v>
      </c>
      <c r="E14" s="15" t="n">
        <f aca="false">$C$2*(1+IF(E$3&lt;=$O$2,$D14,$D14-($D14-$I$6)*MIN(E$3-$O$2,$Q$2)/$Q$2))</f>
        <v>2567.3828125</v>
      </c>
      <c r="F14" s="15" t="n">
        <f aca="false">E14*(1+IF(F$3&lt;=$O$2,$D14,$D14-($D14-$I$6)*MIN(F$3-$O$2,$Q$2)/$Q$2))</f>
        <v>2757.93075561523</v>
      </c>
      <c r="G14" s="15" t="n">
        <f aca="false">F14*(1+IF(G$3&lt;=$O$2,$D14,$D14-($D14-$I$6)*MIN(G$3-$O$2,$Q$2)/$Q$2))</f>
        <v>2962.62092888355</v>
      </c>
      <c r="H14" s="15" t="n">
        <f aca="false">G14*(1+IF(H$3&lt;=$O$2,$D14,$D14-($D14-$I$6)*MIN(H$3-$O$2,$Q$2)/$Q$2))</f>
        <v>3182.50295094913</v>
      </c>
      <c r="I14" s="15" t="n">
        <f aca="false">H14*(1+IF(I$3&lt;=$O$2,$D14,$D14-($D14-$I$6)*MIN(I$3-$O$2,$Q$2)/$Q$2))</f>
        <v>3418.70434183988</v>
      </c>
      <c r="J14" s="15" t="n">
        <f aca="false">I14*(1+IF(J$3&lt;=$O$2,$D14,$D14-($D14-$I$6)*MIN(J$3-$O$2,$Q$2)/$Q$2))</f>
        <v>3641.03977871144</v>
      </c>
      <c r="K14" s="15" t="n">
        <f aca="false">J14*(1+IF(K$3&lt;=$O$2,$D14,$D14-($D14-$I$6)*MIN(K$3-$O$2,$Q$2)/$Q$2))</f>
        <v>3844.3964016522</v>
      </c>
      <c r="L14" s="15" t="n">
        <f aca="false">K14*(1+IF(L$3&lt;=$O$2,$D14,$D14-($D14-$I$6)*MIN(L$3-$O$2,$Q$2)/$Q$2))</f>
        <v>4023.8047707263</v>
      </c>
      <c r="M14" s="15" t="n">
        <f aca="false">L14*(1+IF(M$3&lt;=$O$2,$D14,$D14-($D14-$I$6)*MIN(M$3-$O$2,$Q$2)/$Q$2))</f>
        <v>4174.63206280101</v>
      </c>
      <c r="N14" s="15" t="n">
        <f aca="false">M14*(1+IF(N$3&lt;=$O$2,$D14,$D14-($D14-$I$6)*MIN(N$3-$O$2,$Q$2)/$Q$2))</f>
        <v>4292.77415017828</v>
      </c>
      <c r="O14" s="15" t="n">
        <f aca="false">SUMPRODUCT(E14:N14,1/(1+$F$6)^$E$3:$N$3)*$E$2</f>
        <v>9825.49702340705</v>
      </c>
      <c r="P14" s="15" t="n">
        <f aca="false">N14*$E$2*(1+$I$6)/($F$6-$I$6)/(1+$F$6)^$N$3</f>
        <v>12055.724174614</v>
      </c>
      <c r="Q14" s="15" t="n">
        <f aca="false">O14+P14</f>
        <v>21881.221198021</v>
      </c>
      <c r="R14" s="15" t="n">
        <f aca="false">Q14-$G$2+$I$2</f>
        <v>16529.661198021</v>
      </c>
      <c r="S14" s="42" t="n">
        <f aca="false">R14/$K$2</f>
        <v>765.262092500972</v>
      </c>
      <c r="T14" s="43" t="n">
        <f aca="false">S14-$M$2</f>
        <v>40.262092500972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0.0625</v>
      </c>
      <c r="C15" s="25" t="n">
        <f aca="false">IF(T14&gt;0,D14,C14)</f>
        <v>0.07421875</v>
      </c>
      <c r="D15" s="41" t="n">
        <f aca="false">(B15+C15)/2</f>
        <v>0.068359375</v>
      </c>
      <c r="E15" s="15" t="n">
        <f aca="false">$C$2*(1+IF(E$3&lt;=$O$2,$D15,$D15-($D15-$I$6)*MIN(E$3-$O$2,$Q$2)/$Q$2))</f>
        <v>2553.37890625</v>
      </c>
      <c r="F15" s="15" t="n">
        <f aca="false">E15*(1+IF(F$3&lt;=$O$2,$D15,$D15-($D15-$I$6)*MIN(F$3-$O$2,$Q$2)/$Q$2))</f>
        <v>2727.92629241943</v>
      </c>
      <c r="G15" s="15" t="n">
        <f aca="false">F15*(1+IF(G$3&lt;=$O$2,$D15,$D15-($D15-$I$6)*MIN(G$3-$O$2,$Q$2)/$Q$2))</f>
        <v>2914.40562881529</v>
      </c>
      <c r="H15" s="15" t="n">
        <f aca="false">G15*(1+IF(H$3&lt;=$O$2,$D15,$D15-($D15-$I$6)*MIN(H$3-$O$2,$Q$2)/$Q$2))</f>
        <v>3113.63257609759</v>
      </c>
      <c r="I15" s="15" t="n">
        <f aca="false">H15*(1+IF(I$3&lt;=$O$2,$D15,$D15-($D15-$I$6)*MIN(I$3-$O$2,$Q$2)/$Q$2))</f>
        <v>3326.47855297926</v>
      </c>
      <c r="J15" s="15" t="n">
        <f aca="false">I15*(1+IF(J$3&lt;=$O$2,$D15,$D15-($D15-$I$6)*MIN(J$3-$O$2,$Q$2)/$Q$2))</f>
        <v>3527.22321745518</v>
      </c>
      <c r="K15" s="15" t="n">
        <f aca="false">J15*(1+IF(K$3&lt;=$O$2,$D15,$D15-($D15-$I$6)*MIN(K$3-$O$2,$Q$2)/$Q$2))</f>
        <v>3711.8226490552</v>
      </c>
      <c r="L15" s="15" t="n">
        <f aca="false">K15*(1+IF(L$3&lt;=$O$2,$D15,$D15-($D15-$I$6)*MIN(L$3-$O$2,$Q$2)/$Q$2))</f>
        <v>3876.34454819626</v>
      </c>
      <c r="M15" s="15" t="n">
        <f aca="false">L15*(1+IF(M$3&lt;=$O$2,$D15,$D15-($D15-$I$6)*MIN(M$3-$O$2,$Q$2)/$Q$2))</f>
        <v>4017.1018868873</v>
      </c>
      <c r="N15" s="15" t="n">
        <f aca="false">M15*(1+IF(N$3&lt;=$O$2,$D15,$D15-($D15-$I$6)*MIN(N$3-$O$2,$Q$2)/$Q$2))</f>
        <v>4130.78587028621</v>
      </c>
      <c r="O15" s="15" t="n">
        <f aca="false">SUMPRODUCT(E15:N15,1/(1+$F$6)^$E$3:$N$3)*$E$2</f>
        <v>9580.58578289048</v>
      </c>
      <c r="P15" s="15" t="n">
        <f aca="false">N15*$E$2*(1+$I$6)/($F$6-$I$6)/(1+$F$6)^$N$3</f>
        <v>11600.8001665997</v>
      </c>
      <c r="Q15" s="15" t="n">
        <f aca="false">O15+P15</f>
        <v>21181.3859494902</v>
      </c>
      <c r="R15" s="15" t="n">
        <f aca="false">Q15-$G$2+$I$2</f>
        <v>15829.8259494902</v>
      </c>
      <c r="S15" s="42" t="n">
        <f aca="false">R15/$K$2</f>
        <v>732.862312476398</v>
      </c>
      <c r="T15" s="43" t="n">
        <f aca="false">S15-$M$2</f>
        <v>7.86231247639773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0.0625</v>
      </c>
      <c r="C16" s="25" t="n">
        <f aca="false">IF(T15&gt;0,D15,C15)</f>
        <v>0.068359375</v>
      </c>
      <c r="D16" s="41" t="n">
        <f aca="false">(B16+C16)/2</f>
        <v>0.0654296875</v>
      </c>
      <c r="E16" s="15" t="n">
        <f aca="false">$C$2*(1+IF(E$3&lt;=$O$2,$D16,$D16-($D16-$I$6)*MIN(E$3-$O$2,$Q$2)/$Q$2))</f>
        <v>2546.376953125</v>
      </c>
      <c r="F16" s="15" t="n">
        <f aca="false">E16*(1+IF(F$3&lt;=$O$2,$D16,$D16-($D16-$I$6)*MIN(F$3-$O$2,$Q$2)/$Q$2))</f>
        <v>2712.98560142517</v>
      </c>
      <c r="G16" s="15" t="n">
        <f aca="false">F16*(1+IF(G$3&lt;=$O$2,$D16,$D16-($D16-$I$6)*MIN(G$3-$O$2,$Q$2)/$Q$2))</f>
        <v>2890.49540151842</v>
      </c>
      <c r="H16" s="15" t="n">
        <f aca="false">G16*(1+IF(H$3&lt;=$O$2,$D16,$D16-($D16-$I$6)*MIN(H$3-$O$2,$Q$2)/$Q$2))</f>
        <v>3079.61961235996</v>
      </c>
      <c r="I16" s="15" t="n">
        <f aca="false">H16*(1+IF(I$3&lt;=$O$2,$D16,$D16-($D16-$I$6)*MIN(I$3-$O$2,$Q$2)/$Q$2))</f>
        <v>3281.11816121554</v>
      </c>
      <c r="J16" s="15" t="n">
        <f aca="false">I16*(1+IF(J$3&lt;=$O$2,$D16,$D16-($D16-$I$6)*MIN(J$3-$O$2,$Q$2)/$Q$2))</f>
        <v>3471.43531875915</v>
      </c>
      <c r="K16" s="15" t="n">
        <f aca="false">J16*(1+IF(K$3&lt;=$O$2,$D16,$D16-($D16-$I$6)*MIN(K$3-$O$2,$Q$2)/$Q$2))</f>
        <v>3647.01292341722</v>
      </c>
      <c r="L16" s="15" t="n">
        <f aca="false">K16*(1+IF(L$3&lt;=$O$2,$D16,$D16-($D16-$I$6)*MIN(L$3-$O$2,$Q$2)/$Q$2))</f>
        <v>3804.38836921191</v>
      </c>
      <c r="M16" s="15" t="n">
        <f aca="false">L16*(1+IF(M$3&lt;=$O$2,$D16,$D16-($D16-$I$6)*MIN(M$3-$O$2,$Q$2)/$Q$2))</f>
        <v>3940.3037103161</v>
      </c>
      <c r="N16" s="15" t="n">
        <f aca="false">M16*(1+IF(N$3&lt;=$O$2,$D16,$D16-($D16-$I$6)*MIN(N$3-$O$2,$Q$2)/$Q$2))</f>
        <v>4051.81430531804</v>
      </c>
      <c r="O16" s="15" t="n">
        <f aca="false">SUMPRODUCT(E16:N16,1/(1+$F$6)^$E$3:$N$3)*$E$2</f>
        <v>9460.44163759348</v>
      </c>
      <c r="P16" s="15" t="n">
        <f aca="false">N16*$E$2*(1+$I$6)/($F$6-$I$6)/(1+$F$6)^$N$3</f>
        <v>11379.0183137496</v>
      </c>
      <c r="Q16" s="15" t="n">
        <f aca="false">O16+P16</f>
        <v>20839.459951343</v>
      </c>
      <c r="R16" s="15" t="n">
        <f aca="false">Q16-$G$2+$I$2</f>
        <v>15487.899951343</v>
      </c>
      <c r="S16" s="42" t="n">
        <f aca="false">R16/$K$2</f>
        <v>717.03240515477</v>
      </c>
      <c r="T16" s="43" t="n">
        <f aca="false">S16-$M$2</f>
        <v>-7.96759484522977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0.0654296875</v>
      </c>
      <c r="C17" s="25" t="n">
        <f aca="false">IF(T16&gt;0,D16,C16)</f>
        <v>0.068359375</v>
      </c>
      <c r="D17" s="41" t="n">
        <f aca="false">(B17+C17)/2</f>
        <v>0.06689453125</v>
      </c>
      <c r="E17" s="15" t="n">
        <f aca="false">$C$2*(1+IF(E$3&lt;=$O$2,$D17,$D17-($D17-$I$6)*MIN(E$3-$O$2,$Q$2)/$Q$2))</f>
        <v>2549.8779296875</v>
      </c>
      <c r="F17" s="15" t="n">
        <f aca="false">E17*(1+IF(F$3&lt;=$O$2,$D17,$D17-($D17-$I$6)*MIN(F$3-$O$2,$Q$2)/$Q$2))</f>
        <v>2720.45081853867</v>
      </c>
      <c r="G17" s="15" t="n">
        <f aca="false">F17*(1+IF(G$3&lt;=$O$2,$D17,$D17-($D17-$I$6)*MIN(G$3-$O$2,$Q$2)/$Q$2))</f>
        <v>2902.43410083349</v>
      </c>
      <c r="H17" s="15" t="n">
        <f aca="false">G17*(1+IF(H$3&lt;=$O$2,$D17,$D17-($D17-$I$6)*MIN(H$3-$O$2,$Q$2)/$Q$2))</f>
        <v>3096.59106949276</v>
      </c>
      <c r="I17" s="15" t="n">
        <f aca="false">H17*(1+IF(I$3&lt;=$O$2,$D17,$D17-($D17-$I$6)*MIN(I$3-$O$2,$Q$2)/$Q$2))</f>
        <v>3303.73607755941</v>
      </c>
      <c r="J17" s="15" t="n">
        <f aca="false">I17*(1+IF(J$3&lt;=$O$2,$D17,$D17-($D17-$I$6)*MIN(J$3-$O$2,$Q$2)/$Q$2))</f>
        <v>3499.23672478404</v>
      </c>
      <c r="K17" s="15" t="n">
        <f aca="false">J17*(1+IF(K$3&lt;=$O$2,$D17,$D17-($D17-$I$6)*MIN(K$3-$O$2,$Q$2)/$Q$2))</f>
        <v>3679.29596477093</v>
      </c>
      <c r="L17" s="15" t="n">
        <f aca="false">K17*(1+IF(L$3&lt;=$O$2,$D17,$D17-($D17-$I$6)*MIN(L$3-$O$2,$Q$2)/$Q$2))</f>
        <v>3840.22032181008</v>
      </c>
      <c r="M17" s="15" t="n">
        <f aca="false">L17*(1+IF(M$3&lt;=$O$2,$D17,$D17-($D17-$I$6)*MIN(M$3-$O$2,$Q$2)/$Q$2))</f>
        <v>3978.54085756071</v>
      </c>
      <c r="N17" s="15" t="n">
        <f aca="false">M17*(1+IF(N$3&lt;=$O$2,$D17,$D17-($D17-$I$6)*MIN(N$3-$O$2,$Q$2)/$Q$2))</f>
        <v>4091.13356382967</v>
      </c>
      <c r="O17" s="15" t="n">
        <f aca="false">SUMPRODUCT(E17:N17,1/(1+$F$6)^$E$3:$N$3)*$E$2</f>
        <v>9520.32298590973</v>
      </c>
      <c r="P17" s="15" t="n">
        <f aca="false">N17*$E$2*(1+$I$6)/($F$6-$I$6)/(1+$F$6)^$N$3</f>
        <v>11489.4415782362</v>
      </c>
      <c r="Q17" s="15" t="n">
        <f aca="false">O17+P17</f>
        <v>21009.7645641459</v>
      </c>
      <c r="R17" s="15" t="n">
        <f aca="false">Q17-$G$2+$I$2</f>
        <v>15658.2045641459</v>
      </c>
      <c r="S17" s="42" t="n">
        <f aca="false">R17/$K$2</f>
        <v>724.916877969719</v>
      </c>
      <c r="T17" s="43" t="n">
        <f aca="false">S17-$M$2</f>
        <v>-0.0831220302812881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0.06689453125</v>
      </c>
      <c r="C18" s="25" t="n">
        <f aca="false">IF(T17&gt;0,D17,C17)</f>
        <v>0.068359375</v>
      </c>
      <c r="D18" s="41" t="n">
        <f aca="false">(B18+C18)/2</f>
        <v>0.067626953125</v>
      </c>
      <c r="E18" s="15" t="n">
        <f aca="false">$C$2*(1+IF(E$3&lt;=$O$2,$D18,$D18-($D18-$I$6)*MIN(E$3-$O$2,$Q$2)/$Q$2))</f>
        <v>2551.62841796875</v>
      </c>
      <c r="F18" s="15" t="n">
        <f aca="false">E18*(1+IF(F$3&lt;=$O$2,$D18,$D18-($D18-$I$6)*MIN(F$3-$O$2,$Q$2)/$Q$2))</f>
        <v>2724.18727338314</v>
      </c>
      <c r="G18" s="15" t="n">
        <f aca="false">F18*(1+IF(G$3&lt;=$O$2,$D18,$D18-($D18-$I$6)*MIN(G$3-$O$2,$Q$2)/$Q$2))</f>
        <v>2908.41575842394</v>
      </c>
      <c r="H18" s="15" t="n">
        <f aca="false">G18*(1+IF(H$3&lt;=$O$2,$D18,$D18-($D18-$I$6)*MIN(H$3-$O$2,$Q$2)/$Q$2))</f>
        <v>3105.10305458689</v>
      </c>
      <c r="I18" s="15" t="n">
        <f aca="false">H18*(1+IF(I$3&lt;=$O$2,$D18,$D18-($D18-$I$6)*MIN(I$3-$O$2,$Q$2)/$Q$2))</f>
        <v>3315.09171330773</v>
      </c>
      <c r="J18" s="15" t="n">
        <f aca="false">I18*(1+IF(J$3&lt;=$O$2,$D18,$D18-($D18-$I$6)*MIN(J$3-$O$2,$Q$2)/$Q$2))</f>
        <v>3513.20677392581</v>
      </c>
      <c r="K18" s="15" t="n">
        <f aca="false">J18*(1+IF(K$3&lt;=$O$2,$D18,$D18-($D18-$I$6)*MIN(K$3-$O$2,$Q$2)/$Q$2))</f>
        <v>3695.52875649787</v>
      </c>
      <c r="L18" s="15" t="n">
        <f aca="false">K18*(1+IF(L$3&lt;=$O$2,$D18,$D18-($D18-$I$6)*MIN(L$3-$O$2,$Q$2)/$Q$2))</f>
        <v>3858.24577477832</v>
      </c>
      <c r="M18" s="15" t="n">
        <f aca="false">L18*(1+IF(M$3&lt;=$O$2,$D18,$D18-($D18-$I$6)*MIN(M$3-$O$2,$Q$2)/$Q$2))</f>
        <v>3997.78074035043</v>
      </c>
      <c r="N18" s="15" t="n">
        <f aca="false">M18*(1+IF(N$3&lt;=$O$2,$D18,$D18-($D18-$I$6)*MIN(N$3-$O$2,$Q$2)/$Q$2))</f>
        <v>4110.91793530235</v>
      </c>
      <c r="O18" s="15" t="n">
        <f aca="false">SUMPRODUCT(E18:N18,1/(1+$F$6)^$E$3:$N$3)*$E$2</f>
        <v>9550.40656174856</v>
      </c>
      <c r="P18" s="15" t="n">
        <f aca="false">N18*$E$2*(1+$I$6)/($F$6-$I$6)/(1+$F$6)^$N$3</f>
        <v>11545.0035335356</v>
      </c>
      <c r="Q18" s="15" t="n">
        <f aca="false">O18+P18</f>
        <v>21095.4100952842</v>
      </c>
      <c r="R18" s="15" t="n">
        <f aca="false">Q18-$G$2+$I$2</f>
        <v>15743.8500952842</v>
      </c>
      <c r="S18" s="42" t="n">
        <f aca="false">R18/$K$2</f>
        <v>728.881948855748</v>
      </c>
      <c r="T18" s="43" t="n">
        <f aca="false">S18-$M$2</f>
        <v>3.88194885574842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0.06689453125</v>
      </c>
      <c r="C19" s="25" t="n">
        <f aca="false">IF(T18&gt;0,D18,C18)</f>
        <v>0.067626953125</v>
      </c>
      <c r="D19" s="41" t="n">
        <f aca="false">(B19+C19)/2</f>
        <v>0.0672607421875</v>
      </c>
      <c r="E19" s="15" t="n">
        <f aca="false">$C$2*(1+IF(E$3&lt;=$O$2,$D19,$D19-($D19-$I$6)*MIN(E$3-$O$2,$Q$2)/$Q$2))</f>
        <v>2550.75317382813</v>
      </c>
      <c r="F19" s="15" t="n">
        <f aca="false">E19*(1+IF(F$3&lt;=$O$2,$D19,$D19-($D19-$I$6)*MIN(F$3-$O$2,$Q$2)/$Q$2))</f>
        <v>2722.31872543693</v>
      </c>
      <c r="G19" s="15" t="n">
        <f aca="false">F19*(1+IF(G$3&lt;=$O$2,$D19,$D19-($D19-$I$6)*MIN(G$3-$O$2,$Q$2)/$Q$2))</f>
        <v>2905.42390338074</v>
      </c>
      <c r="H19" s="15" t="n">
        <f aca="false">G19*(1+IF(H$3&lt;=$O$2,$D19,$D19-($D19-$I$6)*MIN(H$3-$O$2,$Q$2)/$Q$2))</f>
        <v>3100.84487149144</v>
      </c>
      <c r="I19" s="15" t="n">
        <f aca="false">H19*(1+IF(I$3&lt;=$O$2,$D19,$D19-($D19-$I$6)*MIN(I$3-$O$2,$Q$2)/$Q$2))</f>
        <v>3309.40999895625</v>
      </c>
      <c r="J19" s="15" t="n">
        <f aca="false">I19*(1+IF(J$3&lt;=$O$2,$D19,$D19-($D19-$I$6)*MIN(J$3-$O$2,$Q$2)/$Q$2))</f>
        <v>3506.21595773637</v>
      </c>
      <c r="K19" s="15" t="n">
        <f aca="false">J19*(1+IF(K$3&lt;=$O$2,$D19,$D19-($D19-$I$6)*MIN(K$3-$O$2,$Q$2)/$Q$2))</f>
        <v>3687.40473493015</v>
      </c>
      <c r="L19" s="15" t="n">
        <f aca="false">K19*(1+IF(L$3&lt;=$O$2,$D19,$D19-($D19-$I$6)*MIN(L$3-$O$2,$Q$2)/$Q$2))</f>
        <v>3849.2238990161</v>
      </c>
      <c r="M19" s="15" t="n">
        <f aca="false">L19*(1+IF(M$3&lt;=$O$2,$D19,$D19-($D19-$I$6)*MIN(M$3-$O$2,$Q$2)/$Q$2))</f>
        <v>3988.15065934856</v>
      </c>
      <c r="N19" s="15" t="n">
        <f aca="false">M19*(1+IF(N$3&lt;=$O$2,$D19,$D19-($D19-$I$6)*MIN(N$3-$O$2,$Q$2)/$Q$2))</f>
        <v>4101.01532300813</v>
      </c>
      <c r="O19" s="15" t="n">
        <f aca="false">SUMPRODUCT(E19:N19,1/(1+$F$6)^$E$3:$N$3)*$E$2</f>
        <v>9535.35283589086</v>
      </c>
      <c r="P19" s="15" t="n">
        <f aca="false">N19*$E$2*(1+$I$6)/($F$6-$I$6)/(1+$F$6)^$N$3</f>
        <v>11517.1932741903</v>
      </c>
      <c r="Q19" s="15" t="n">
        <f aca="false">O19+P19</f>
        <v>21052.5461100812</v>
      </c>
      <c r="R19" s="15" t="n">
        <f aca="false">Q19-$G$2+$I$2</f>
        <v>15700.9861100812</v>
      </c>
      <c r="S19" s="42" t="n">
        <f aca="false">R19/$K$2</f>
        <v>726.89750509635</v>
      </c>
      <c r="T19" s="43" t="n">
        <f aca="false">S19-$M$2</f>
        <v>1.8975050963503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0.06689453125</v>
      </c>
      <c r="C20" s="25" t="n">
        <f aca="false">IF(T19&gt;0,D19,C19)</f>
        <v>0.0672607421875</v>
      </c>
      <c r="D20" s="41" t="n">
        <f aca="false">(B20+C20)/2</f>
        <v>0.06707763671875</v>
      </c>
      <c r="E20" s="15" t="n">
        <f aca="false">$C$2*(1+IF(E$3&lt;=$O$2,$D20,$D20-($D20-$I$6)*MIN(E$3-$O$2,$Q$2)/$Q$2))</f>
        <v>2550.31555175781</v>
      </c>
      <c r="F20" s="15" t="n">
        <f aca="false">E20*(1+IF(F$3&lt;=$O$2,$D20,$D20-($D20-$I$6)*MIN(F$3-$O$2,$Q$2)/$Q$2))</f>
        <v>2721.3846918568</v>
      </c>
      <c r="G20" s="15" t="n">
        <f aca="false">F20*(1+IF(G$3&lt;=$O$2,$D20,$D20-($D20-$I$6)*MIN(G$3-$O$2,$Q$2)/$Q$2))</f>
        <v>2903.92874558914</v>
      </c>
      <c r="H20" s="15" t="n">
        <f aca="false">G20*(1+IF(H$3&lt;=$O$2,$D20,$D20-($D20-$I$6)*MIN(H$3-$O$2,$Q$2)/$Q$2))</f>
        <v>3098.7174230429</v>
      </c>
      <c r="I20" s="15" t="n">
        <f aca="false">H20*(1+IF(I$3&lt;=$O$2,$D20,$D20-($D20-$I$6)*MIN(I$3-$O$2,$Q$2)/$Q$2))</f>
        <v>3306.57206463984</v>
      </c>
      <c r="J20" s="15" t="n">
        <f aca="false">I20*(1+IF(J$3&lt;=$O$2,$D20,$D20-($D20-$I$6)*MIN(J$3-$O$2,$Q$2)/$Q$2))</f>
        <v>3502.72489431472</v>
      </c>
      <c r="K20" s="15" t="n">
        <f aca="false">J20*(1+IF(K$3&lt;=$O$2,$D20,$D20-($D20-$I$6)*MIN(K$3-$O$2,$Q$2)/$Q$2))</f>
        <v>3683.3484449103</v>
      </c>
      <c r="L20" s="15" t="n">
        <f aca="false">K20*(1+IF(L$3&lt;=$O$2,$D20,$D20-($D20-$I$6)*MIN(L$3-$O$2,$Q$2)/$Q$2))</f>
        <v>3844.71982506339</v>
      </c>
      <c r="M20" s="15" t="n">
        <f aca="false">L20*(1+IF(M$3&lt;=$O$2,$D20,$D20-($D20-$I$6)*MIN(M$3-$O$2,$Q$2)/$Q$2))</f>
        <v>3983.34322584502</v>
      </c>
      <c r="N20" s="15" t="n">
        <f aca="false">M20*(1+IF(N$3&lt;=$O$2,$D20,$D20-($D20-$I$6)*MIN(N$3-$O$2,$Q$2)/$Q$2))</f>
        <v>4096.07183913643</v>
      </c>
      <c r="O20" s="15" t="n">
        <f aca="false">SUMPRODUCT(E20:N20,1/(1+$F$6)^$E$3:$N$3)*$E$2</f>
        <v>9527.8349286288</v>
      </c>
      <c r="P20" s="15" t="n">
        <f aca="false">N20*$E$2*(1+$I$6)/($F$6-$I$6)/(1+$F$6)^$N$3</f>
        <v>11503.3101124087</v>
      </c>
      <c r="Q20" s="15" t="n">
        <f aca="false">O20+P20</f>
        <v>21031.1450410375</v>
      </c>
      <c r="R20" s="15" t="n">
        <f aca="false">Q20-$G$2+$I$2</f>
        <v>15679.5850410375</v>
      </c>
      <c r="S20" s="42" t="n">
        <f aca="false">R20/$K$2</f>
        <v>725.906714862847</v>
      </c>
      <c r="T20" s="43" t="n">
        <f aca="false">S20-$M$2</f>
        <v>0.906714862846684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0.06689453125</v>
      </c>
      <c r="C21" s="25" t="n">
        <f aca="false">IF(T20&gt;0,D20,C20)</f>
        <v>0.06707763671875</v>
      </c>
      <c r="D21" s="41" t="n">
        <f aca="false">(B21+C21)/2</f>
        <v>0.066986083984375</v>
      </c>
      <c r="E21" s="15" t="n">
        <f aca="false">$C$2*(1+IF(E$3&lt;=$O$2,$D21,$D21-($D21-$I$6)*MIN(E$3-$O$2,$Q$2)/$Q$2))</f>
        <v>2550.09674072266</v>
      </c>
      <c r="F21" s="15" t="n">
        <f aca="false">E21*(1+IF(F$3&lt;=$O$2,$D21,$D21-($D21-$I$6)*MIN(F$3-$O$2,$Q$2)/$Q$2))</f>
        <v>2720.91773516499</v>
      </c>
      <c r="G21" s="15" t="n">
        <f aca="false">F21*(1+IF(G$3&lt;=$O$2,$D21,$D21-($D21-$I$6)*MIN(G$3-$O$2,$Q$2)/$Q$2))</f>
        <v>2903.18135908732</v>
      </c>
      <c r="H21" s="15" t="n">
        <f aca="false">G21*(1+IF(H$3&lt;=$O$2,$D21,$D21-($D21-$I$6)*MIN(H$3-$O$2,$Q$2)/$Q$2))</f>
        <v>3097.65410942902</v>
      </c>
      <c r="I21" s="15" t="n">
        <f aca="false">H21*(1+IF(I$3&lt;=$O$2,$D21,$D21-($D21-$I$6)*MIN(I$3-$O$2,$Q$2)/$Q$2))</f>
        <v>3305.15382775777</v>
      </c>
      <c r="J21" s="15" t="n">
        <f aca="false">I21*(1+IF(J$3&lt;=$O$2,$D21,$D21-($D21-$I$6)*MIN(J$3-$O$2,$Q$2)/$Q$2))</f>
        <v>3500.98044793285</v>
      </c>
      <c r="K21" s="15" t="n">
        <f aca="false">J21*(1+IF(K$3&lt;=$O$2,$D21,$D21-($D21-$I$6)*MIN(K$3-$O$2,$Q$2)/$Q$2))</f>
        <v>3681.32172879118</v>
      </c>
      <c r="L21" s="15" t="n">
        <f aca="false">K21*(1+IF(L$3&lt;=$O$2,$D21,$D21-($D21-$I$6)*MIN(L$3-$O$2,$Q$2)/$Q$2))</f>
        <v>3842.46950234538</v>
      </c>
      <c r="M21" s="15" t="n">
        <f aca="false">L21*(1+IF(M$3&lt;=$O$2,$D21,$D21-($D21-$I$6)*MIN(M$3-$O$2,$Q$2)/$Q$2))</f>
        <v>3980.94140883678</v>
      </c>
      <c r="N21" s="15" t="n">
        <f aca="false">M21*(1+IF(N$3&lt;=$O$2,$D21,$D21-($D21-$I$6)*MIN(N$3-$O$2,$Q$2)/$Q$2))</f>
        <v>4093.60205070686</v>
      </c>
      <c r="O21" s="15" t="n">
        <f aca="false">SUMPRODUCT(E21:N21,1/(1+$F$6)^$E$3:$N$3)*$E$2</f>
        <v>9524.07821197787</v>
      </c>
      <c r="P21" s="15" t="n">
        <f aca="false">N21*$E$2*(1+$I$6)/($F$6-$I$6)/(1+$F$6)^$N$3</f>
        <v>11496.3740176982</v>
      </c>
      <c r="Q21" s="15" t="n">
        <f aca="false">O21+P21</f>
        <v>21020.452229676</v>
      </c>
      <c r="R21" s="15" t="n">
        <f aca="false">Q21-$G$2+$I$2</f>
        <v>15668.892229676</v>
      </c>
      <c r="S21" s="42" t="n">
        <f aca="false">R21/$K$2</f>
        <v>725.411677299817</v>
      </c>
      <c r="T21" s="43" t="n">
        <f aca="false">S21-$M$2</f>
        <v>0.411677299816461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0.06689453125</v>
      </c>
      <c r="C22" s="25" t="n">
        <f aca="false">IF(T21&gt;0,D21,C21)</f>
        <v>0.066986083984375</v>
      </c>
      <c r="D22" s="41" t="n">
        <f aca="false">(B22+C22)/2</f>
        <v>0.0669403076171875</v>
      </c>
      <c r="E22" s="15" t="n">
        <f aca="false">$C$2*(1+IF(E$3&lt;=$O$2,$D22,$D22-($D22-$I$6)*MIN(E$3-$O$2,$Q$2)/$Q$2))</f>
        <v>2549.98733520508</v>
      </c>
      <c r="F22" s="15" t="n">
        <f aca="false">E22*(1+IF(F$3&lt;=$O$2,$D22,$D22-($D22-$I$6)*MIN(F$3-$O$2,$Q$2)/$Q$2))</f>
        <v>2720.68427184364</v>
      </c>
      <c r="G22" s="15" t="n">
        <f aca="false">F22*(1+IF(G$3&lt;=$O$2,$D22,$D22-($D22-$I$6)*MIN(G$3-$O$2,$Q$2)/$Q$2))</f>
        <v>2902.8077139301</v>
      </c>
      <c r="H22" s="15" t="n">
        <f aca="false">G22*(1+IF(H$3&lt;=$O$2,$D22,$D22-($D22-$I$6)*MIN(H$3-$O$2,$Q$2)/$Q$2))</f>
        <v>3097.12255525412</v>
      </c>
      <c r="I22" s="15" t="n">
        <f aca="false">H22*(1+IF(I$3&lt;=$O$2,$D22,$D22-($D22-$I$6)*MIN(I$3-$O$2,$Q$2)/$Q$2))</f>
        <v>3304.44489183096</v>
      </c>
      <c r="J22" s="15" t="n">
        <f aca="false">I22*(1+IF(J$3&lt;=$O$2,$D22,$D22-($D22-$I$6)*MIN(J$3-$O$2,$Q$2)/$Q$2))</f>
        <v>3500.10849596929</v>
      </c>
      <c r="K22" s="15" t="n">
        <f aca="false">J22*(1+IF(K$3&lt;=$O$2,$D22,$D22-($D22-$I$6)*MIN(K$3-$O$2,$Q$2)/$Q$2))</f>
        <v>3680.30872779189</v>
      </c>
      <c r="L22" s="15" t="n">
        <f aca="false">K22*(1+IF(L$3&lt;=$O$2,$D22,$D22-($D22-$I$6)*MIN(L$3-$O$2,$Q$2)/$Q$2))</f>
        <v>3841.34476933564</v>
      </c>
      <c r="M22" s="15" t="n">
        <f aca="false">L22*(1+IF(M$3&lt;=$O$2,$D22,$D22-($D22-$I$6)*MIN(M$3-$O$2,$Q$2)/$Q$2))</f>
        <v>3979.740975018</v>
      </c>
      <c r="N22" s="15" t="n">
        <f aca="false">M22*(1+IF(N$3&lt;=$O$2,$D22,$D22-($D22-$I$6)*MIN(N$3-$O$2,$Q$2)/$Q$2))</f>
        <v>4092.36764461101</v>
      </c>
      <c r="O22" s="15" t="n">
        <f aca="false">SUMPRODUCT(E22:N22,1/(1+$F$6)^$E$3:$N$3)*$E$2</f>
        <v>9522.2004126555</v>
      </c>
      <c r="P22" s="15" t="n">
        <f aca="false">N22*$E$2*(1+$I$6)/($F$6-$I$6)/(1+$F$6)^$N$3</f>
        <v>11492.9073411644</v>
      </c>
      <c r="Q22" s="15" t="n">
        <f aca="false">O22+P22</f>
        <v>21015.1077538199</v>
      </c>
      <c r="R22" s="15" t="n">
        <f aca="false">Q22-$G$2+$I$2</f>
        <v>15663.5477538199</v>
      </c>
      <c r="S22" s="42" t="n">
        <f aca="false">R22/$K$2</f>
        <v>725.164247862034</v>
      </c>
      <c r="T22" s="43" t="n">
        <f aca="false">S22-$M$2</f>
        <v>0.164247862034358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0.06689453125</v>
      </c>
      <c r="C23" s="25" t="n">
        <f aca="false">IF(T22&gt;0,D22,C22)</f>
        <v>0.0669403076171875</v>
      </c>
      <c r="D23" s="41" t="n">
        <f aca="false">(B23+C23)/2</f>
        <v>0.0669174194335938</v>
      </c>
      <c r="E23" s="15" t="n">
        <f aca="false">$C$2*(1+IF(E$3&lt;=$O$2,$D23,$D23-($D23-$I$6)*MIN(E$3-$O$2,$Q$2)/$Q$2))</f>
        <v>2549.93263244629</v>
      </c>
      <c r="F23" s="15" t="n">
        <f aca="false">E23*(1+IF(F$3&lt;=$O$2,$D23,$D23-($D23-$I$6)*MIN(F$3-$O$2,$Q$2)/$Q$2))</f>
        <v>2720.56754393911</v>
      </c>
      <c r="G23" s="15" t="n">
        <f aca="false">F23*(1+IF(G$3&lt;=$O$2,$D23,$D23-($D23-$I$6)*MIN(G$3-$O$2,$Q$2)/$Q$2))</f>
        <v>2902.6209033743</v>
      </c>
      <c r="H23" s="15" t="n">
        <f aca="false">G23*(1+IF(H$3&lt;=$O$2,$D23,$D23-($D23-$I$6)*MIN(H$3-$O$2,$Q$2)/$Q$2))</f>
        <v>3096.85680382212</v>
      </c>
      <c r="I23" s="15" t="n">
        <f aca="false">H23*(1+IF(I$3&lt;=$O$2,$D23,$D23-($D23-$I$6)*MIN(I$3-$O$2,$Q$2)/$Q$2))</f>
        <v>3304.09046948926</v>
      </c>
      <c r="J23" s="15" t="n">
        <f aca="false">I23*(1+IF(J$3&lt;=$O$2,$D23,$D23-($D23-$I$6)*MIN(J$3-$O$2,$Q$2)/$Q$2))</f>
        <v>3499.67258778125</v>
      </c>
      <c r="K23" s="15" t="n">
        <f aca="false">J23*(1+IF(K$3&lt;=$O$2,$D23,$D23-($D23-$I$6)*MIN(K$3-$O$2,$Q$2)/$Q$2))</f>
        <v>3679.80231653702</v>
      </c>
      <c r="L23" s="15" t="n">
        <f aca="false">K23*(1+IF(L$3&lt;=$O$2,$D23,$D23-($D23-$I$6)*MIN(L$3-$O$2,$Q$2)/$Q$2))</f>
        <v>3840.78250989118</v>
      </c>
      <c r="M23" s="15" t="n">
        <f aca="false">L23*(1+IF(M$3&lt;=$O$2,$D23,$D23-($D23-$I$6)*MIN(M$3-$O$2,$Q$2)/$Q$2))</f>
        <v>3979.14087674864</v>
      </c>
      <c r="N23" s="15" t="n">
        <f aca="false">M23*(1+IF(N$3&lt;=$O$2,$D23,$D23-($D23-$I$6)*MIN(N$3-$O$2,$Q$2)/$Q$2))</f>
        <v>4091.75056356063</v>
      </c>
      <c r="O23" s="15" t="n">
        <f aca="false">SUMPRODUCT(E23:N23,1/(1+$F$6)^$E$3:$N$3)*$E$2</f>
        <v>9521.26165271486</v>
      </c>
      <c r="P23" s="15" t="n">
        <f aca="false">N23*$E$2*(1+$I$6)/($F$6-$I$6)/(1+$F$6)^$N$3</f>
        <v>11491.1743455125</v>
      </c>
      <c r="Q23" s="15" t="n">
        <f aca="false">O23+P23</f>
        <v>21012.4359982274</v>
      </c>
      <c r="R23" s="15" t="n">
        <f aca="false">Q23-$G$2+$I$2</f>
        <v>15660.8759982274</v>
      </c>
      <c r="S23" s="42" t="n">
        <f aca="false">R23/$K$2</f>
        <v>725.040555473491</v>
      </c>
      <c r="T23" s="43" t="n">
        <f aca="false">S23-$M$2</f>
        <v>0.0405554734909401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0.06689453125</v>
      </c>
      <c r="C24" s="25" t="n">
        <f aca="false">IF(T23&gt;0,D23,C23)</f>
        <v>0.0669174194335938</v>
      </c>
      <c r="D24" s="41" t="n">
        <f aca="false">(B24+C24)/2</f>
        <v>0.0669059753417969</v>
      </c>
      <c r="E24" s="15" t="n">
        <f aca="false">$C$2*(1+IF(E$3&lt;=$O$2,$D24,$D24-($D24-$I$6)*MIN(E$3-$O$2,$Q$2)/$Q$2))</f>
        <v>2549.90528106689</v>
      </c>
      <c r="F24" s="15" t="n">
        <f aca="false">E24*(1+IF(F$3&lt;=$O$2,$D24,$D24-($D24-$I$6)*MIN(F$3-$O$2,$Q$2)/$Q$2))</f>
        <v>2720.50918092587</v>
      </c>
      <c r="G24" s="15" t="n">
        <f aca="false">F24*(1+IF(G$3&lt;=$O$2,$D24,$D24-($D24-$I$6)*MIN(G$3-$O$2,$Q$2)/$Q$2))</f>
        <v>2902.52750110203</v>
      </c>
      <c r="H24" s="15" t="n">
        <f aca="false">G24*(1+IF(H$3&lt;=$O$2,$D24,$D24-($D24-$I$6)*MIN(H$3-$O$2,$Q$2)/$Q$2))</f>
        <v>3096.72393451965</v>
      </c>
      <c r="I24" s="15" t="n">
        <f aca="false">H24*(1+IF(I$3&lt;=$O$2,$D24,$D24-($D24-$I$6)*MIN(I$3-$O$2,$Q$2)/$Q$2))</f>
        <v>3303.91326972298</v>
      </c>
      <c r="J24" s="15" t="n">
        <f aca="false">I24*(1+IF(J$3&lt;=$O$2,$D24,$D24-($D24-$I$6)*MIN(J$3-$O$2,$Q$2)/$Q$2))</f>
        <v>3499.45465063403</v>
      </c>
      <c r="K24" s="15" t="n">
        <f aca="false">J24*(1+IF(K$3&lt;=$O$2,$D24,$D24-($D24-$I$6)*MIN(K$3-$O$2,$Q$2)/$Q$2))</f>
        <v>3679.54913321824</v>
      </c>
      <c r="L24" s="15" t="n">
        <f aca="false">K24*(1+IF(L$3&lt;=$O$2,$D24,$D24-($D24-$I$6)*MIN(L$3-$O$2,$Q$2)/$Q$2))</f>
        <v>3840.50140693069</v>
      </c>
      <c r="M24" s="15" t="n">
        <f aca="false">L24*(1+IF(M$3&lt;=$O$2,$D24,$D24-($D24-$I$6)*MIN(M$3-$O$2,$Q$2)/$Q$2))</f>
        <v>3978.84085727005</v>
      </c>
      <c r="N24" s="15" t="n">
        <f aca="false">M24*(1+IF(N$3&lt;=$O$2,$D24,$D24-($D24-$I$6)*MIN(N$3-$O$2,$Q$2)/$Q$2))</f>
        <v>4091.4420535308</v>
      </c>
      <c r="O24" s="15" t="n">
        <f aca="false">SUMPRODUCT(E24:N24,1/(1+$F$6)^$E$3:$N$3)*$E$2</f>
        <v>9520.79230767089</v>
      </c>
      <c r="P24" s="15" t="n">
        <f aca="false">N24*$E$2*(1+$I$6)/($F$6-$I$6)/(1+$F$6)^$N$3</f>
        <v>11490.307933329</v>
      </c>
      <c r="Q24" s="15" t="n">
        <f aca="false">O24+P24</f>
        <v>21011.1002409999</v>
      </c>
      <c r="R24" s="15" t="n">
        <f aca="false">Q24-$G$2+$I$2</f>
        <v>15659.5402409999</v>
      </c>
      <c r="S24" s="42" t="n">
        <f aca="false">R24/$K$2</f>
        <v>724.978714861108</v>
      </c>
      <c r="T24" s="43" t="n">
        <f aca="false">S24-$M$2</f>
        <v>-0.0212851388919262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0.0669059753417969</v>
      </c>
      <c r="C25" s="25" t="n">
        <f aca="false">IF(T24&gt;0,D24,C24)</f>
        <v>0.0669174194335938</v>
      </c>
      <c r="D25" s="41" t="n">
        <f aca="false">(B25+C25)/2</f>
        <v>0.0669116973876953</v>
      </c>
      <c r="E25" s="15" t="n">
        <f aca="false">$C$2*(1+IF(E$3&lt;=$O$2,$D25,$D25-($D25-$I$6)*MIN(E$3-$O$2,$Q$2)/$Q$2))</f>
        <v>2549.91895675659</v>
      </c>
      <c r="F25" s="15" t="n">
        <f aca="false">E25*(1+IF(F$3&lt;=$O$2,$D25,$D25-($D25-$I$6)*MIN(F$3-$O$2,$Q$2)/$Q$2))</f>
        <v>2720.53836235424</v>
      </c>
      <c r="G25" s="15" t="n">
        <f aca="false">F25*(1+IF(G$3&lt;=$O$2,$D25,$D25-($D25-$I$6)*MIN(G$3-$O$2,$Q$2)/$Q$2))</f>
        <v>2902.5742019877</v>
      </c>
      <c r="H25" s="15" t="n">
        <f aca="false">G25*(1+IF(H$3&lt;=$O$2,$D25,$D25-($D25-$I$6)*MIN(H$3-$O$2,$Q$2)/$Q$2))</f>
        <v>3096.79036863643</v>
      </c>
      <c r="I25" s="15" t="n">
        <f aca="false">H25*(1+IF(I$3&lt;=$O$2,$D25,$D25-($D25-$I$6)*MIN(I$3-$O$2,$Q$2)/$Q$2))</f>
        <v>3304.00186865576</v>
      </c>
      <c r="J25" s="15" t="n">
        <f aca="false">I25*(1+IF(J$3&lt;=$O$2,$D25,$D25-($D25-$I$6)*MIN(J$3-$O$2,$Q$2)/$Q$2))</f>
        <v>3499.56361779545</v>
      </c>
      <c r="K25" s="15" t="n">
        <f aca="false">J25*(1+IF(K$3&lt;=$O$2,$D25,$D25-($D25-$I$6)*MIN(K$3-$O$2,$Q$2)/$Q$2))</f>
        <v>3679.67572301865</v>
      </c>
      <c r="L25" s="15" t="n">
        <f aca="false">K25*(1+IF(L$3&lt;=$O$2,$D25,$D25-($D25-$I$6)*MIN(L$3-$O$2,$Q$2)/$Q$2))</f>
        <v>3840.64195618089</v>
      </c>
      <c r="M25" s="15" t="n">
        <f aca="false">L25*(1+IF(M$3&lt;=$O$2,$D25,$D25-($D25-$I$6)*MIN(M$3-$O$2,$Q$2)/$Q$2))</f>
        <v>3978.99086453812</v>
      </c>
      <c r="N25" s="15" t="n">
        <f aca="false">M25*(1+IF(N$3&lt;=$O$2,$D25,$D25-($D25-$I$6)*MIN(N$3-$O$2,$Q$2)/$Q$2))</f>
        <v>4091.59630600455</v>
      </c>
      <c r="O25" s="15" t="n">
        <f aca="false">SUMPRODUCT(E25:N25,1/(1+$F$6)^$E$3:$N$3)*$E$2</f>
        <v>9521.02697728246</v>
      </c>
      <c r="P25" s="15" t="n">
        <f aca="false">N25*$E$2*(1+$I$6)/($F$6-$I$6)/(1+$F$6)^$N$3</f>
        <v>11490.7411322843</v>
      </c>
      <c r="Q25" s="15" t="n">
        <f aca="false">O25+P25</f>
        <v>21011.7681095667</v>
      </c>
      <c r="R25" s="15" t="n">
        <f aca="false">Q25-$G$2+$I$2</f>
        <v>15660.2081095667</v>
      </c>
      <c r="S25" s="42" t="n">
        <f aca="false">R25/$K$2</f>
        <v>725.009634702163</v>
      </c>
      <c r="T25" s="43" t="n">
        <f aca="false">S25-$M$2</f>
        <v>0.00963470216265705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0.0669059753417969</v>
      </c>
      <c r="C26" s="25" t="n">
        <f aca="false">IF(T25&gt;0,D25,C25)</f>
        <v>0.0669116973876953</v>
      </c>
      <c r="D26" s="41" t="n">
        <f aca="false">(B26+C26)/2</f>
        <v>0.0669088363647461</v>
      </c>
      <c r="E26" s="15" t="n">
        <f aca="false">$C$2*(1+IF(E$3&lt;=$O$2,$D26,$D26-($D26-$I$6)*MIN(E$3-$O$2,$Q$2)/$Q$2))</f>
        <v>2549.91211891174</v>
      </c>
      <c r="F26" s="15" t="n">
        <f aca="false">E26*(1+IF(F$3&lt;=$O$2,$D26,$D26-($D26-$I$6)*MIN(F$3-$O$2,$Q$2)/$Q$2))</f>
        <v>2720.52377162049</v>
      </c>
      <c r="G26" s="15" t="n">
        <f aca="false">F26*(1+IF(G$3&lt;=$O$2,$D26,$D26-($D26-$I$6)*MIN(G$3-$O$2,$Q$2)/$Q$2))</f>
        <v>2902.55085148225</v>
      </c>
      <c r="H26" s="15" t="n">
        <f aca="false">G26*(1+IF(H$3&lt;=$O$2,$D26,$D26-($D26-$I$6)*MIN(H$3-$O$2,$Q$2)/$Q$2))</f>
        <v>3096.75715144443</v>
      </c>
      <c r="I26" s="15" t="n">
        <f aca="false">H26*(1+IF(I$3&lt;=$O$2,$D26,$D26-($D26-$I$6)*MIN(I$3-$O$2,$Q$2)/$Q$2))</f>
        <v>3303.95756895178</v>
      </c>
      <c r="J26" s="15" t="n">
        <f aca="false">I26*(1+IF(J$3&lt;=$O$2,$D26,$D26-($D26-$I$6)*MIN(J$3-$O$2,$Q$2)/$Q$2))</f>
        <v>3499.5091338617</v>
      </c>
      <c r="K26" s="15" t="n">
        <f aca="false">J26*(1+IF(K$3&lt;=$O$2,$D26,$D26-($D26-$I$6)*MIN(K$3-$O$2,$Q$2)/$Q$2))</f>
        <v>3679.6124276537</v>
      </c>
      <c r="L26" s="15" t="n">
        <f aca="false">K26*(1+IF(L$3&lt;=$O$2,$D26,$D26-($D26-$I$6)*MIN(L$3-$O$2,$Q$2)/$Q$2))</f>
        <v>3840.57168099829</v>
      </c>
      <c r="M26" s="15" t="n">
        <f aca="false">L26*(1+IF(M$3&lt;=$O$2,$D26,$D26-($D26-$I$6)*MIN(M$3-$O$2,$Q$2)/$Q$2))</f>
        <v>3978.91586028629</v>
      </c>
      <c r="N26" s="15" t="n">
        <f aca="false">M26*(1+IF(N$3&lt;=$O$2,$D26,$D26-($D26-$I$6)*MIN(N$3-$O$2,$Q$2)/$Q$2))</f>
        <v>4091.51917913239</v>
      </c>
      <c r="O26" s="15" t="n">
        <f aca="false">SUMPRODUCT(E26:N26,1/(1+$F$6)^$E$3:$N$3)*$E$2</f>
        <v>9520.90964174908</v>
      </c>
      <c r="P26" s="15" t="n">
        <f aca="false">N26*$E$2*(1+$I$6)/($F$6-$I$6)/(1+$F$6)^$N$3</f>
        <v>11490.5245310225</v>
      </c>
      <c r="Q26" s="15" t="n">
        <f aca="false">O26+P26</f>
        <v>21011.4341727716</v>
      </c>
      <c r="R26" s="15" t="n">
        <f aca="false">Q26-$G$2+$I$2</f>
        <v>15659.8741727716</v>
      </c>
      <c r="S26" s="42" t="n">
        <f aca="false">R26/$K$2</f>
        <v>724.994174665353</v>
      </c>
      <c r="T26" s="43" t="n">
        <f aca="false">S26-$M$2</f>
        <v>-0.00582533464705648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0.0669088363647461</v>
      </c>
      <c r="C27" s="25" t="n">
        <f aca="false">IF(T26&gt;0,D26,C26)</f>
        <v>0.0669116973876953</v>
      </c>
      <c r="D27" s="41" t="n">
        <f aca="false">(B27+C27)/2</f>
        <v>0.0669102668762207</v>
      </c>
      <c r="E27" s="15" t="n">
        <f aca="false">$C$2*(1+IF(E$3&lt;=$O$2,$D27,$D27-($D27-$I$6)*MIN(E$3-$O$2,$Q$2)/$Q$2))</f>
        <v>2549.91553783417</v>
      </c>
      <c r="F27" s="15" t="n">
        <f aca="false">E27*(1+IF(F$3&lt;=$O$2,$D27,$D27-($D27-$I$6)*MIN(F$3-$O$2,$Q$2)/$Q$2))</f>
        <v>2720.53106698247</v>
      </c>
      <c r="G27" s="15" t="n">
        <f aca="false">F27*(1+IF(G$3&lt;=$O$2,$D27,$D27-($D27-$I$6)*MIN(G$3-$O$2,$Q$2)/$Q$2))</f>
        <v>2902.56252671932</v>
      </c>
      <c r="H27" s="15" t="n">
        <f aca="false">G27*(1+IF(H$3&lt;=$O$2,$D27,$D27-($D27-$I$6)*MIN(H$3-$O$2,$Q$2)/$Q$2))</f>
        <v>3096.77376000703</v>
      </c>
      <c r="I27" s="15" t="n">
        <f aca="false">H27*(1+IF(I$3&lt;=$O$2,$D27,$D27-($D27-$I$6)*MIN(I$3-$O$2,$Q$2)/$Q$2))</f>
        <v>3303.97971874438</v>
      </c>
      <c r="J27" s="15" t="n">
        <f aca="false">I27*(1+IF(J$3&lt;=$O$2,$D27,$D27-($D27-$I$6)*MIN(J$3-$O$2,$Q$2)/$Q$2))</f>
        <v>3499.53637574031</v>
      </c>
      <c r="K27" s="15" t="n">
        <f aca="false">J27*(1+IF(K$3&lt;=$O$2,$D27,$D27-($D27-$I$6)*MIN(K$3-$O$2,$Q$2)/$Q$2))</f>
        <v>3679.64407521999</v>
      </c>
      <c r="L27" s="15" t="n">
        <f aca="false">K27*(1+IF(L$3&lt;=$O$2,$D27,$D27-($D27-$I$6)*MIN(L$3-$O$2,$Q$2)/$Q$2))</f>
        <v>3840.60681845022</v>
      </c>
      <c r="M27" s="15" t="n">
        <f aca="false">L27*(1+IF(M$3&lt;=$O$2,$D27,$D27-($D27-$I$6)*MIN(M$3-$O$2,$Q$2)/$Q$2))</f>
        <v>3978.95336225776</v>
      </c>
      <c r="N27" s="15" t="n">
        <f aca="false">M27*(1+IF(N$3&lt;=$O$2,$D27,$D27-($D27-$I$6)*MIN(N$3-$O$2,$Q$2)/$Q$2))</f>
        <v>4091.55774240965</v>
      </c>
      <c r="O27" s="15" t="n">
        <f aca="false">SUMPRODUCT(E27:N27,1/(1+$F$6)^$E$3:$N$3)*$E$2</f>
        <v>9520.96830933387</v>
      </c>
      <c r="P27" s="15" t="n">
        <f aca="false">N27*$E$2*(1+$I$6)/($F$6-$I$6)/(1+$F$6)^$N$3</f>
        <v>11490.6328312074</v>
      </c>
      <c r="Q27" s="15" t="n">
        <f aca="false">O27+P27</f>
        <v>21011.6011405412</v>
      </c>
      <c r="R27" s="15" t="n">
        <f aca="false">Q27-$G$2+$I$2</f>
        <v>15660.0411405412</v>
      </c>
      <c r="S27" s="42" t="n">
        <f aca="false">R27/$K$2</f>
        <v>725.001904654687</v>
      </c>
      <c r="T27" s="43" t="n">
        <f aca="false">S27-$M$2</f>
        <v>0.00190465468710954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0.0669088363647461</v>
      </c>
      <c r="C28" s="25" t="n">
        <f aca="false">IF(T27&gt;0,D27,C27)</f>
        <v>0.0669102668762207</v>
      </c>
      <c r="D28" s="41" t="n">
        <f aca="false">(B28+C28)/2</f>
        <v>0.0669095516204834</v>
      </c>
      <c r="E28" s="15" t="n">
        <f aca="false">$C$2*(1+IF(E$3&lt;=$O$2,$D28,$D28-($D28-$I$6)*MIN(E$3-$O$2,$Q$2)/$Q$2))</f>
        <v>2549.91382837296</v>
      </c>
      <c r="F28" s="15" t="n">
        <f aca="false">E28*(1+IF(F$3&lt;=$O$2,$D28,$D28-($D28-$I$6)*MIN(F$3-$O$2,$Q$2)/$Q$2))</f>
        <v>2720.52741930026</v>
      </c>
      <c r="G28" s="15" t="n">
        <f aca="false">F28*(1+IF(G$3&lt;=$O$2,$D28,$D28-($D28-$I$6)*MIN(G$3-$O$2,$Q$2)/$Q$2))</f>
        <v>2902.55668909687</v>
      </c>
      <c r="H28" s="15" t="n">
        <f aca="false">G28*(1+IF(H$3&lt;=$O$2,$D28,$D28-($D28-$I$6)*MIN(H$3-$O$2,$Q$2)/$Q$2))</f>
        <v>3096.76545571738</v>
      </c>
      <c r="I28" s="15" t="n">
        <f aca="false">H28*(1+IF(I$3&lt;=$O$2,$D28,$D28-($D28-$I$6)*MIN(I$3-$O$2,$Q$2)/$Q$2))</f>
        <v>3303.96864383323</v>
      </c>
      <c r="J28" s="15" t="n">
        <f aca="false">I28*(1+IF(J$3&lt;=$O$2,$D28,$D28-($D28-$I$6)*MIN(J$3-$O$2,$Q$2)/$Q$2))</f>
        <v>3499.52275477894</v>
      </c>
      <c r="K28" s="15" t="n">
        <f aca="false">J28*(1+IF(K$3&lt;=$O$2,$D28,$D28-($D28-$I$6)*MIN(K$3-$O$2,$Q$2)/$Q$2))</f>
        <v>3679.6282514078</v>
      </c>
      <c r="L28" s="15" t="n">
        <f aca="false">K28*(1+IF(L$3&lt;=$O$2,$D28,$D28-($D28-$I$6)*MIN(L$3-$O$2,$Q$2)/$Q$2))</f>
        <v>3840.58924968941</v>
      </c>
      <c r="M28" s="15" t="n">
        <f aca="false">L28*(1+IF(M$3&lt;=$O$2,$D28,$D28-($D28-$I$6)*MIN(M$3-$O$2,$Q$2)/$Q$2))</f>
        <v>3978.93461123341</v>
      </c>
      <c r="N28" s="15" t="n">
        <f aca="false">M28*(1+IF(N$3&lt;=$O$2,$D28,$D28-($D28-$I$6)*MIN(N$3-$O$2,$Q$2)/$Q$2))</f>
        <v>4091.53846073132</v>
      </c>
      <c r="O28" s="15" t="n">
        <f aca="false">SUMPRODUCT(E28:N28,1/(1+$F$6)^$E$3:$N$3)*$E$2</f>
        <v>9520.938975496</v>
      </c>
      <c r="P28" s="15" t="n">
        <f aca="false">N28*$E$2*(1+$I$6)/($F$6-$I$6)/(1+$F$6)^$N$3</f>
        <v>11490.5786810035</v>
      </c>
      <c r="Q28" s="15" t="n">
        <f aca="false">O28+P28</f>
        <v>21011.5176564995</v>
      </c>
      <c r="R28" s="15" t="n">
        <f aca="false">Q28-$G$2+$I$2</f>
        <v>15659.9576564995</v>
      </c>
      <c r="S28" s="42" t="n">
        <f aca="false">R28/$K$2</f>
        <v>724.998039652753</v>
      </c>
      <c r="T28" s="43" t="n">
        <f aca="false">S28-$M$2</f>
        <v>-0.00196034724751826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0.0669095516204834</v>
      </c>
      <c r="C29" s="25" t="n">
        <f aca="false">IF(T28&gt;0,D28,C28)</f>
        <v>0.0669102668762207</v>
      </c>
      <c r="D29" s="41" t="n">
        <f aca="false">(B29+C29)/2</f>
        <v>0.0669099092483521</v>
      </c>
      <c r="E29" s="15" t="n">
        <f aca="false">$C$2*(1+IF(E$3&lt;=$O$2,$D29,$D29-($D29-$I$6)*MIN(E$3-$O$2,$Q$2)/$Q$2))</f>
        <v>2549.91468310356</v>
      </c>
      <c r="F29" s="15" t="n">
        <f aca="false">E29*(1+IF(F$3&lt;=$O$2,$D29,$D29-($D29-$I$6)*MIN(F$3-$O$2,$Q$2)/$Q$2))</f>
        <v>2720.52924314106</v>
      </c>
      <c r="G29" s="15" t="n">
        <f aca="false">F29*(1+IF(G$3&lt;=$O$2,$D29,$D29-($D29-$I$6)*MIN(G$3-$O$2,$Q$2)/$Q$2))</f>
        <v>2902.55960790712</v>
      </c>
      <c r="H29" s="15" t="n">
        <f aca="false">G29*(1+IF(H$3&lt;=$O$2,$D29,$D29-($D29-$I$6)*MIN(H$3-$O$2,$Q$2)/$Q$2))</f>
        <v>3096.76960786012</v>
      </c>
      <c r="I29" s="15" t="n">
        <f aca="false">H29*(1+IF(I$3&lt;=$O$2,$D29,$D29-($D29-$I$6)*MIN(I$3-$O$2,$Q$2)/$Q$2))</f>
        <v>3303.97418128509</v>
      </c>
      <c r="J29" s="15" t="n">
        <f aca="false">I29*(1+IF(J$3&lt;=$O$2,$D29,$D29-($D29-$I$6)*MIN(J$3-$O$2,$Q$2)/$Q$2))</f>
        <v>3499.52956525411</v>
      </c>
      <c r="K29" s="15" t="n">
        <f aca="false">J29*(1+IF(K$3&lt;=$O$2,$D29,$D29-($D29-$I$6)*MIN(K$3-$O$2,$Q$2)/$Q$2))</f>
        <v>3679.63616330663</v>
      </c>
      <c r="L29" s="15" t="n">
        <f aca="false">K29*(1+IF(L$3&lt;=$O$2,$D29,$D29-($D29-$I$6)*MIN(L$3-$O$2,$Q$2)/$Q$2))</f>
        <v>3840.5980340611</v>
      </c>
      <c r="M29" s="15" t="n">
        <f aca="false">L29*(1+IF(M$3&lt;=$O$2,$D29,$D29-($D29-$I$6)*MIN(M$3-$O$2,$Q$2)/$Q$2))</f>
        <v>3978.94398673593</v>
      </c>
      <c r="N29" s="15" t="n">
        <f aca="false">M29*(1+IF(N$3&lt;=$O$2,$D29,$D29-($D29-$I$6)*MIN(N$3-$O$2,$Q$2)/$Q$2))</f>
        <v>4091.54810156056</v>
      </c>
      <c r="O29" s="15" t="n">
        <f aca="false">SUMPRODUCT(E29:N29,1/(1+$F$6)^$E$3:$N$3)*$E$2</f>
        <v>9520.95364240357</v>
      </c>
      <c r="P29" s="15" t="n">
        <f aca="false">N29*$E$2*(1+$I$6)/($F$6-$I$6)/(1+$F$6)^$N$3</f>
        <v>11490.6057560775</v>
      </c>
      <c r="Q29" s="15" t="n">
        <f aca="false">O29+P29</f>
        <v>21011.5593984811</v>
      </c>
      <c r="R29" s="15" t="n">
        <f aca="false">Q29-$G$2+$I$2</f>
        <v>15659.9993984811</v>
      </c>
      <c r="S29" s="42" t="n">
        <f aca="false">R29/$K$2</f>
        <v>724.999972151903</v>
      </c>
      <c r="T29" s="43" t="n">
        <f aca="false">S29-$M$2</f>
        <v>-2.78480972610851E-005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0.0669099092483521</v>
      </c>
      <c r="C30" s="25" t="n">
        <f aca="false">IF(T29&gt;0,D29,C29)</f>
        <v>0.0669102668762207</v>
      </c>
      <c r="D30" s="41" t="n">
        <f aca="false">(B30+C30)/2</f>
        <v>0.0669100880622864</v>
      </c>
      <c r="E30" s="15" t="n">
        <f aca="false">$C$2*(1+IF(E$3&lt;=$O$2,$D30,$D30-($D30-$I$6)*MIN(E$3-$O$2,$Q$2)/$Q$2))</f>
        <v>2549.91511046886</v>
      </c>
      <c r="F30" s="15" t="n">
        <f aca="false">E30*(1+IF(F$3&lt;=$O$2,$D30,$D30-($D30-$I$6)*MIN(F$3-$O$2,$Q$2)/$Q$2))</f>
        <v>2720.53015506169</v>
      </c>
      <c r="G30" s="15" t="n">
        <f aca="false">F30*(1+IF(G$3&lt;=$O$2,$D30,$D30-($D30-$I$6)*MIN(G$3-$O$2,$Q$2)/$Q$2))</f>
        <v>2902.56106731297</v>
      </c>
      <c r="H30" s="15" t="n">
        <f aca="false">G30*(1+IF(H$3&lt;=$O$2,$D30,$D30-($D30-$I$6)*MIN(H$3-$O$2,$Q$2)/$Q$2))</f>
        <v>3096.77168393305</v>
      </c>
      <c r="I30" s="15" t="n">
        <f aca="false">H30*(1+IF(I$3&lt;=$O$2,$D30,$D30-($D30-$I$6)*MIN(I$3-$O$2,$Q$2)/$Q$2))</f>
        <v>3303.97695001381</v>
      </c>
      <c r="J30" s="15" t="n">
        <f aca="false">I30*(1+IF(J$3&lt;=$O$2,$D30,$D30-($D30-$I$6)*MIN(J$3-$O$2,$Q$2)/$Q$2))</f>
        <v>3499.53297049583</v>
      </c>
      <c r="K30" s="15" t="n">
        <f aca="false">J30*(1+IF(K$3&lt;=$O$2,$D30,$D30-($D30-$I$6)*MIN(K$3-$O$2,$Q$2)/$Q$2))</f>
        <v>3679.6401192615</v>
      </c>
      <c r="L30" s="15" t="n">
        <f aca="false">K30*(1+IF(L$3&lt;=$O$2,$D30,$D30-($D30-$I$6)*MIN(L$3-$O$2,$Q$2)/$Q$2))</f>
        <v>3840.60242625348</v>
      </c>
      <c r="M30" s="15" t="n">
        <f aca="false">L30*(1+IF(M$3&lt;=$O$2,$D30,$D30-($D30-$I$6)*MIN(M$3-$O$2,$Q$2)/$Q$2))</f>
        <v>3978.94867449443</v>
      </c>
      <c r="N30" s="15" t="n">
        <f aca="false">M30*(1+IF(N$3&lt;=$O$2,$D30,$D30-($D30-$I$6)*MIN(N$3-$O$2,$Q$2)/$Q$2))</f>
        <v>4091.55292198262</v>
      </c>
      <c r="O30" s="15" t="n">
        <f aca="false">SUMPRODUCT(E30:N30,1/(1+$F$6)^$E$3:$N$3)*$E$2</f>
        <v>9520.96097586588</v>
      </c>
      <c r="P30" s="15" t="n">
        <f aca="false">N30*$E$2*(1+$I$6)/($F$6-$I$6)/(1+$F$6)^$N$3</f>
        <v>11490.6192936355</v>
      </c>
      <c r="Q30" s="15" t="n">
        <f aca="false">O30+P30</f>
        <v>21011.5802695014</v>
      </c>
      <c r="R30" s="15" t="n">
        <f aca="false">Q30-$G$2+$I$2</f>
        <v>15660.0202695014</v>
      </c>
      <c r="S30" s="42" t="n">
        <f aca="false">R30/$K$2</f>
        <v>725.000938402841</v>
      </c>
      <c r="T30" s="43" t="n">
        <f aca="false">S30-$M$2</f>
        <v>0.000938402840688468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0.0669099092483521</v>
      </c>
      <c r="C31" s="25" t="n">
        <f aca="false">IF(T30&gt;0,D30,C30)</f>
        <v>0.0669100880622864</v>
      </c>
      <c r="D31" s="41" t="n">
        <f aca="false">(B31+C31)/2</f>
        <v>0.0669099986553192</v>
      </c>
      <c r="E31" s="15" t="n">
        <f aca="false">$C$2*(1+IF(E$3&lt;=$O$2,$D31,$D31-($D31-$I$6)*MIN(E$3-$O$2,$Q$2)/$Q$2))</f>
        <v>2549.91489678621</v>
      </c>
      <c r="F31" s="15" t="n">
        <f aca="false">E31*(1+IF(F$3&lt;=$O$2,$D31,$D31-($D31-$I$6)*MIN(F$3-$O$2,$Q$2)/$Q$2))</f>
        <v>2720.52969910136</v>
      </c>
      <c r="G31" s="15" t="n">
        <f aca="false">F31*(1+IF(G$3&lt;=$O$2,$D31,$D31-($D31-$I$6)*MIN(G$3-$O$2,$Q$2)/$Q$2))</f>
        <v>2902.56033760999</v>
      </c>
      <c r="H31" s="15" t="n">
        <f aca="false">G31*(1+IF(H$3&lt;=$O$2,$D31,$D31-($D31-$I$6)*MIN(H$3-$O$2,$Q$2)/$Q$2))</f>
        <v>3096.77064589645</v>
      </c>
      <c r="I31" s="15" t="n">
        <f aca="false">H31*(1+IF(I$3&lt;=$O$2,$D31,$D31-($D31-$I$6)*MIN(I$3-$O$2,$Q$2)/$Q$2))</f>
        <v>3303.97556564922</v>
      </c>
      <c r="J31" s="15" t="n">
        <f aca="false">I31*(1+IF(J$3&lt;=$O$2,$D31,$D31-($D31-$I$6)*MIN(J$3-$O$2,$Q$2)/$Q$2))</f>
        <v>3499.53126787463</v>
      </c>
      <c r="K31" s="15" t="n">
        <f aca="false">J31*(1+IF(K$3&lt;=$O$2,$D31,$D31-($D31-$I$6)*MIN(K$3-$O$2,$Q$2)/$Q$2))</f>
        <v>3679.63814128361</v>
      </c>
      <c r="L31" s="15" t="n">
        <f aca="false">K31*(1+IF(L$3&lt;=$O$2,$D31,$D31-($D31-$I$6)*MIN(L$3-$O$2,$Q$2)/$Q$2))</f>
        <v>3840.60023015675</v>
      </c>
      <c r="M31" s="15" t="n">
        <f aca="false">L31*(1+IF(M$3&lt;=$O$2,$D31,$D31-($D31-$I$6)*MIN(M$3-$O$2,$Q$2)/$Q$2))</f>
        <v>3978.94633061458</v>
      </c>
      <c r="N31" s="15" t="n">
        <f aca="false">M31*(1+IF(N$3&lt;=$O$2,$D31,$D31-($D31-$I$6)*MIN(N$3-$O$2,$Q$2)/$Q$2))</f>
        <v>4091.55051177097</v>
      </c>
      <c r="O31" s="15" t="n">
        <f aca="false">SUMPRODUCT(E31:N31,1/(1+$F$6)^$E$3:$N$3)*$E$2</f>
        <v>9520.95730913401</v>
      </c>
      <c r="P31" s="15" t="n">
        <f aca="false">N31*$E$2*(1+$I$6)/($F$6-$I$6)/(1+$F$6)^$N$3</f>
        <v>11490.6125248548</v>
      </c>
      <c r="Q31" s="15" t="n">
        <f aca="false">O31+P31</f>
        <v>21011.5698339888</v>
      </c>
      <c r="R31" s="15" t="n">
        <f aca="false">Q31-$G$2+$I$2</f>
        <v>15660.0098339888</v>
      </c>
      <c r="S31" s="42" t="n">
        <f aca="false">R31/$K$2</f>
        <v>725.000455277258</v>
      </c>
      <c r="T31" s="43" t="n">
        <f aca="false">S31-$M$2</f>
        <v>0.000455277258083697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0.0669099092483521</v>
      </c>
      <c r="C32" s="25" t="n">
        <f aca="false">IF(T31&gt;0,D31,C31)</f>
        <v>0.0669099986553192</v>
      </c>
      <c r="D32" s="41" t="n">
        <f aca="false">(B32+C32)/2</f>
        <v>0.0669099539518356</v>
      </c>
      <c r="E32" s="15" t="n">
        <f aca="false">$C$2*(1+IF(E$3&lt;=$O$2,$D32,$D32-($D32-$I$6)*MIN(E$3-$O$2,$Q$2)/$Q$2))</f>
        <v>2549.91478994489</v>
      </c>
      <c r="F32" s="15" t="n">
        <f aca="false">E32*(1+IF(F$3&lt;=$O$2,$D32,$D32-($D32-$I$6)*MIN(F$3-$O$2,$Q$2)/$Q$2))</f>
        <v>2720.5294711212</v>
      </c>
      <c r="G32" s="15" t="n">
        <f aca="false">F32*(1+IF(G$3&lt;=$O$2,$D32,$D32-($D32-$I$6)*MIN(G$3-$O$2,$Q$2)/$Q$2))</f>
        <v>2902.55997275854</v>
      </c>
      <c r="H32" s="15" t="n">
        <f aca="false">G32*(1+IF(H$3&lt;=$O$2,$D32,$D32-($D32-$I$6)*MIN(H$3-$O$2,$Q$2)/$Q$2))</f>
        <v>3096.77012687825</v>
      </c>
      <c r="I32" s="15" t="n">
        <f aca="false">H32*(1+IF(I$3&lt;=$O$2,$D32,$D32-($D32-$I$6)*MIN(I$3-$O$2,$Q$2)/$Q$2))</f>
        <v>3303.97487346709</v>
      </c>
      <c r="J32" s="15" t="n">
        <f aca="false">I32*(1+IF(J$3&lt;=$O$2,$D32,$D32-($D32-$I$6)*MIN(J$3-$O$2,$Q$2)/$Q$2))</f>
        <v>3499.53041656428</v>
      </c>
      <c r="K32" s="15" t="n">
        <f aca="false">J32*(1+IF(K$3&lt;=$O$2,$D32,$D32-($D32-$I$6)*MIN(K$3-$O$2,$Q$2)/$Q$2))</f>
        <v>3679.63715229501</v>
      </c>
      <c r="L32" s="15" t="n">
        <f aca="false">K32*(1+IF(L$3&lt;=$O$2,$D32,$D32-($D32-$I$6)*MIN(L$3-$O$2,$Q$2)/$Q$2))</f>
        <v>3840.59913210879</v>
      </c>
      <c r="M32" s="15" t="n">
        <f aca="false">L32*(1+IF(M$3&lt;=$O$2,$D32,$D32-($D32-$I$6)*MIN(M$3-$O$2,$Q$2)/$Q$2))</f>
        <v>3978.9451586751</v>
      </c>
      <c r="N32" s="15" t="n">
        <f aca="false">M32*(1+IF(N$3&lt;=$O$2,$D32,$D32-($D32-$I$6)*MIN(N$3-$O$2,$Q$2)/$Q$2))</f>
        <v>4091.54930666561</v>
      </c>
      <c r="O32" s="15" t="n">
        <f aca="false">SUMPRODUCT(E32:N32,1/(1+$F$6)^$E$3:$N$3)*$E$2</f>
        <v>9520.95547576861</v>
      </c>
      <c r="P32" s="15" t="n">
        <f aca="false">N32*$E$2*(1+$I$6)/($F$6-$I$6)/(1+$F$6)^$N$3</f>
        <v>11490.6091404657</v>
      </c>
      <c r="Q32" s="15" t="n">
        <f aca="false">O32+P32</f>
        <v>21011.5646162343</v>
      </c>
      <c r="R32" s="15" t="n">
        <f aca="false">Q32-$G$2+$I$2</f>
        <v>15660.0046162343</v>
      </c>
      <c r="S32" s="42" t="n">
        <f aca="false">R32/$K$2</f>
        <v>725.000213714552</v>
      </c>
      <c r="T32" s="43" t="n">
        <f aca="false">S32-$M$2</f>
        <v>0.000213714551932753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0.0669099092483521</v>
      </c>
      <c r="C33" s="25" t="n">
        <f aca="false">IF(T32&gt;0,D32,C32)</f>
        <v>0.0669099539518356</v>
      </c>
      <c r="D33" s="41" t="n">
        <f aca="false">(B33+C33)/2</f>
        <v>0.0669099316000938</v>
      </c>
      <c r="E33" s="15" t="n">
        <f aca="false">$C$2*(1+IF(E$3&lt;=$O$2,$D33,$D33-($D33-$I$6)*MIN(E$3-$O$2,$Q$2)/$Q$2))</f>
        <v>2549.91473652422</v>
      </c>
      <c r="F33" s="15" t="n">
        <f aca="false">E33*(1+IF(F$3&lt;=$O$2,$D33,$D33-($D33-$I$6)*MIN(F$3-$O$2,$Q$2)/$Q$2))</f>
        <v>2720.52935713113</v>
      </c>
      <c r="G33" s="15" t="n">
        <f aca="false">F33*(1+IF(G$3&lt;=$O$2,$D33,$D33-($D33-$I$6)*MIN(G$3-$O$2,$Q$2)/$Q$2))</f>
        <v>2902.55979033282</v>
      </c>
      <c r="H33" s="15" t="n">
        <f aca="false">G33*(1+IF(H$3&lt;=$O$2,$D33,$D33-($D33-$I$6)*MIN(H$3-$O$2,$Q$2)/$Q$2))</f>
        <v>3096.76986736917</v>
      </c>
      <c r="I33" s="15" t="n">
        <f aca="false">H33*(1+IF(I$3&lt;=$O$2,$D33,$D33-($D33-$I$6)*MIN(I$3-$O$2,$Q$2)/$Q$2))</f>
        <v>3303.97452737608</v>
      </c>
      <c r="J33" s="15" t="n">
        <f aca="false">I33*(1+IF(J$3&lt;=$O$2,$D33,$D33-($D33-$I$6)*MIN(J$3-$O$2,$Q$2)/$Q$2))</f>
        <v>3499.52999090917</v>
      </c>
      <c r="K33" s="15" t="n">
        <f aca="false">J33*(1+IF(K$3&lt;=$O$2,$D33,$D33-($D33-$I$6)*MIN(K$3-$O$2,$Q$2)/$Q$2))</f>
        <v>3679.63665780079</v>
      </c>
      <c r="L33" s="15" t="n">
        <f aca="false">K33*(1+IF(L$3&lt;=$O$2,$D33,$D33-($D33-$I$6)*MIN(L$3-$O$2,$Q$2)/$Q$2))</f>
        <v>3840.59858308491</v>
      </c>
      <c r="M33" s="15" t="n">
        <f aca="false">L33*(1+IF(M$3&lt;=$O$2,$D33,$D33-($D33-$I$6)*MIN(M$3-$O$2,$Q$2)/$Q$2))</f>
        <v>3978.94457270548</v>
      </c>
      <c r="N33" s="15" t="n">
        <f aca="false">M33*(1+IF(N$3&lt;=$O$2,$D33,$D33-($D33-$I$6)*MIN(N$3-$O$2,$Q$2)/$Q$2))</f>
        <v>4091.54870411304</v>
      </c>
      <c r="O33" s="15" t="n">
        <f aca="false">SUMPRODUCT(E33:N33,1/(1+$F$6)^$E$3:$N$3)*$E$2</f>
        <v>9520.95455908604</v>
      </c>
      <c r="P33" s="15" t="n">
        <f aca="false">N33*$E$2*(1+$I$6)/($F$6-$I$6)/(1+$F$6)^$N$3</f>
        <v>11490.6074482715</v>
      </c>
      <c r="Q33" s="15" t="n">
        <f aca="false">O33+P33</f>
        <v>21011.5620073576</v>
      </c>
      <c r="R33" s="15" t="n">
        <f aca="false">Q33-$G$2+$I$2</f>
        <v>15660.0020073576</v>
      </c>
      <c r="S33" s="42" t="n">
        <f aca="false">R33/$K$2</f>
        <v>725.00009293322</v>
      </c>
      <c r="T33" s="43" t="n">
        <f aca="false">S33-$M$2</f>
        <v>9.29332201167199E-005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0.0669099092483521</v>
      </c>
      <c r="C34" s="25" t="n">
        <f aca="false">IF(T33&gt;0,D33,C33)</f>
        <v>0.0669099316000938</v>
      </c>
      <c r="D34" s="41" t="n">
        <f aca="false">(B34+C34)/2</f>
        <v>0.066909920424223</v>
      </c>
      <c r="E34" s="15" t="n">
        <f aca="false">$C$2*(1+IF(E$3&lt;=$O$2,$D34,$D34-($D34-$I$6)*MIN(E$3-$O$2,$Q$2)/$Q$2))</f>
        <v>2549.91470981389</v>
      </c>
      <c r="F34" s="15" t="n">
        <f aca="false">E34*(1+IF(F$3&lt;=$O$2,$D34,$D34-($D34-$I$6)*MIN(F$3-$O$2,$Q$2)/$Q$2))</f>
        <v>2720.5293001361</v>
      </c>
      <c r="G34" s="15" t="n">
        <f aca="false">F34*(1+IF(G$3&lt;=$O$2,$D34,$D34-($D34-$I$6)*MIN(G$3-$O$2,$Q$2)/$Q$2))</f>
        <v>2902.55969911997</v>
      </c>
      <c r="H34" s="15" t="n">
        <f aca="false">G34*(1+IF(H$3&lt;=$O$2,$D34,$D34-($D34-$I$6)*MIN(H$3-$O$2,$Q$2)/$Q$2))</f>
        <v>3096.76973761464</v>
      </c>
      <c r="I34" s="15" t="n">
        <f aca="false">H34*(1+IF(I$3&lt;=$O$2,$D34,$D34-($D34-$I$6)*MIN(I$3-$O$2,$Q$2)/$Q$2))</f>
        <v>3303.97435433058</v>
      </c>
      <c r="J34" s="15" t="n">
        <f aca="false">I34*(1+IF(J$3&lt;=$O$2,$D34,$D34-($D34-$I$6)*MIN(J$3-$O$2,$Q$2)/$Q$2))</f>
        <v>3499.52977808164</v>
      </c>
      <c r="K34" s="15" t="n">
        <f aca="false">J34*(1+IF(K$3&lt;=$O$2,$D34,$D34-($D34-$I$6)*MIN(K$3-$O$2,$Q$2)/$Q$2))</f>
        <v>3679.63641055371</v>
      </c>
      <c r="L34" s="15" t="n">
        <f aca="false">K34*(1+IF(L$3&lt;=$O$2,$D34,$D34-($D34-$I$6)*MIN(L$3-$O$2,$Q$2)/$Q$2))</f>
        <v>3840.598308573</v>
      </c>
      <c r="M34" s="15" t="n">
        <f aca="false">L34*(1+IF(M$3&lt;=$O$2,$D34,$D34-($D34-$I$6)*MIN(M$3-$O$2,$Q$2)/$Q$2))</f>
        <v>3978.94427972069</v>
      </c>
      <c r="N34" s="15" t="n">
        <f aca="false">M34*(1+IF(N$3&lt;=$O$2,$D34,$D34-($D34-$I$6)*MIN(N$3-$O$2,$Q$2)/$Q$2))</f>
        <v>4091.54840283679</v>
      </c>
      <c r="O34" s="15" t="n">
        <f aca="false">SUMPRODUCT(E34:N34,1/(1+$F$6)^$E$3:$N$3)*$E$2</f>
        <v>9520.95410074479</v>
      </c>
      <c r="P34" s="15" t="n">
        <f aca="false">N34*$E$2*(1+$I$6)/($F$6-$I$6)/(1+$F$6)^$N$3</f>
        <v>11490.6066021745</v>
      </c>
      <c r="Q34" s="15" t="n">
        <f aca="false">O34+P34</f>
        <v>21011.5607029193</v>
      </c>
      <c r="R34" s="15" t="n">
        <f aca="false">Q34-$G$2+$I$2</f>
        <v>15660.0007029193</v>
      </c>
      <c r="S34" s="42" t="n">
        <f aca="false">R34/$K$2</f>
        <v>725.00003254256</v>
      </c>
      <c r="T34" s="43" t="n">
        <f aca="false">S34-$M$2</f>
        <v>3.25425595519846E-005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0.0669099092483521</v>
      </c>
      <c r="C35" s="25" t="n">
        <f aca="false">IF(T34&gt;0,D34,C34)</f>
        <v>0.066909920424223</v>
      </c>
      <c r="D35" s="41" t="n">
        <f aca="false">(B35+C35)/2</f>
        <v>0.0669099148362875</v>
      </c>
      <c r="E35" s="15" t="n">
        <f aca="false">$C$2*(1+IF(E$3&lt;=$O$2,$D35,$D35-($D35-$I$6)*MIN(E$3-$O$2,$Q$2)/$Q$2))</f>
        <v>2549.91469645873</v>
      </c>
      <c r="F35" s="15" t="n">
        <f aca="false">E35*(1+IF(F$3&lt;=$O$2,$D35,$D35-($D35-$I$6)*MIN(F$3-$O$2,$Q$2)/$Q$2))</f>
        <v>2720.52927163858</v>
      </c>
      <c r="G35" s="15" t="n">
        <f aca="false">F35*(1+IF(G$3&lt;=$O$2,$D35,$D35-($D35-$I$6)*MIN(G$3-$O$2,$Q$2)/$Q$2))</f>
        <v>2902.55965351354</v>
      </c>
      <c r="H35" s="15" t="n">
        <f aca="false">G35*(1+IF(H$3&lt;=$O$2,$D35,$D35-($D35-$I$6)*MIN(H$3-$O$2,$Q$2)/$Q$2))</f>
        <v>3096.76967273738</v>
      </c>
      <c r="I35" s="15" t="n">
        <f aca="false">H35*(1+IF(I$3&lt;=$O$2,$D35,$D35-($D35-$I$6)*MIN(I$3-$O$2,$Q$2)/$Q$2))</f>
        <v>3303.97426780783</v>
      </c>
      <c r="J35" s="15" t="n">
        <f aca="false">I35*(1+IF(J$3&lt;=$O$2,$D35,$D35-($D35-$I$6)*MIN(J$3-$O$2,$Q$2)/$Q$2))</f>
        <v>3499.52967166787</v>
      </c>
      <c r="K35" s="15" t="n">
        <f aca="false">J35*(1+IF(K$3&lt;=$O$2,$D35,$D35-($D35-$I$6)*MIN(K$3-$O$2,$Q$2)/$Q$2))</f>
        <v>3679.63628693017</v>
      </c>
      <c r="L35" s="15" t="n">
        <f aca="false">K35*(1+IF(L$3&lt;=$O$2,$D35,$D35-($D35-$I$6)*MIN(L$3-$O$2,$Q$2)/$Q$2))</f>
        <v>3840.59817131705</v>
      </c>
      <c r="M35" s="15" t="n">
        <f aca="false">L35*(1+IF(M$3&lt;=$O$2,$D35,$D35-($D35-$I$6)*MIN(M$3-$O$2,$Q$2)/$Q$2))</f>
        <v>3978.94413322831</v>
      </c>
      <c r="N35" s="15" t="n">
        <f aca="false">M35*(1+IF(N$3&lt;=$O$2,$D35,$D35-($D35-$I$6)*MIN(N$3-$O$2,$Q$2)/$Q$2))</f>
        <v>4091.54825219867</v>
      </c>
      <c r="O35" s="15" t="n">
        <f aca="false">SUMPRODUCT(E35:N35,1/(1+$F$6)^$E$3:$N$3)*$E$2</f>
        <v>9520.95387157418</v>
      </c>
      <c r="P35" s="15" t="n">
        <f aca="false">N35*$E$2*(1+$I$6)/($F$6-$I$6)/(1+$F$6)^$N$3</f>
        <v>11490.606179126</v>
      </c>
      <c r="Q35" s="15" t="n">
        <f aca="false">O35+P35</f>
        <v>21011.5600507002</v>
      </c>
      <c r="R35" s="15" t="n">
        <f aca="false">Q35-$G$2+$I$2</f>
        <v>15660.0000507002</v>
      </c>
      <c r="S35" s="42" t="n">
        <f aca="false">R35/$K$2</f>
        <v>725.000002347231</v>
      </c>
      <c r="T35" s="43" t="n">
        <f aca="false">S35-$M$2</f>
        <v>2.34723074754584E-006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0.0669099092483521</v>
      </c>
      <c r="C36" s="25" t="n">
        <f aca="false">IF(T35&gt;0,D35,C35)</f>
        <v>0.0669099148362875</v>
      </c>
      <c r="D36" s="41" t="n">
        <f aca="false">(B36+C36)/2</f>
        <v>0.0669099120423198</v>
      </c>
      <c r="E36" s="15" t="n">
        <f aca="false">$C$2*(1+IF(E$3&lt;=$O$2,$D36,$D36-($D36-$I$6)*MIN(E$3-$O$2,$Q$2)/$Q$2))</f>
        <v>2549.91468978114</v>
      </c>
      <c r="F36" s="15" t="n">
        <f aca="false">E36*(1+IF(F$3&lt;=$O$2,$D36,$D36-($D36-$I$6)*MIN(F$3-$O$2,$Q$2)/$Q$2))</f>
        <v>2720.52925738982</v>
      </c>
      <c r="G36" s="15" t="n">
        <f aca="false">F36*(1+IF(G$3&lt;=$O$2,$D36,$D36-($D36-$I$6)*MIN(G$3-$O$2,$Q$2)/$Q$2))</f>
        <v>2902.55963071033</v>
      </c>
      <c r="H36" s="15" t="n">
        <f aca="false">G36*(1+IF(H$3&lt;=$O$2,$D36,$D36-($D36-$I$6)*MIN(H$3-$O$2,$Q$2)/$Q$2))</f>
        <v>3096.76964029875</v>
      </c>
      <c r="I36" s="15" t="n">
        <f aca="false">H36*(1+IF(I$3&lt;=$O$2,$D36,$D36-($D36-$I$6)*MIN(I$3-$O$2,$Q$2)/$Q$2))</f>
        <v>3303.97422454646</v>
      </c>
      <c r="J36" s="15" t="n">
        <f aca="false">I36*(1+IF(J$3&lt;=$O$2,$D36,$D36-($D36-$I$6)*MIN(J$3-$O$2,$Q$2)/$Q$2))</f>
        <v>3499.52961846099</v>
      </c>
      <c r="K36" s="15" t="n">
        <f aca="false">J36*(1+IF(K$3&lt;=$O$2,$D36,$D36-($D36-$I$6)*MIN(K$3-$O$2,$Q$2)/$Q$2))</f>
        <v>3679.6362251184</v>
      </c>
      <c r="L36" s="15" t="n">
        <f aca="false">K36*(1+IF(L$3&lt;=$O$2,$D36,$D36-($D36-$I$6)*MIN(L$3-$O$2,$Q$2)/$Q$2))</f>
        <v>3840.59810268907</v>
      </c>
      <c r="M36" s="15" t="n">
        <f aca="false">L36*(1+IF(M$3&lt;=$O$2,$D36,$D36-($D36-$I$6)*MIN(M$3-$O$2,$Q$2)/$Q$2))</f>
        <v>3978.94405998212</v>
      </c>
      <c r="N36" s="15" t="n">
        <f aca="false">M36*(1+IF(N$3&lt;=$O$2,$D36,$D36-($D36-$I$6)*MIN(N$3-$O$2,$Q$2)/$Q$2))</f>
        <v>4091.54817687961</v>
      </c>
      <c r="O36" s="15" t="n">
        <f aca="false">SUMPRODUCT(E36:N36,1/(1+$F$6)^$E$3:$N$3)*$E$2</f>
        <v>9520.95375698887</v>
      </c>
      <c r="P36" s="15" t="n">
        <f aca="false">N36*$E$2*(1+$I$6)/($F$6-$I$6)/(1+$F$6)^$N$3</f>
        <v>11490.6059676018</v>
      </c>
      <c r="Q36" s="15" t="n">
        <f aca="false">O36+P36</f>
        <v>21011.5597245906</v>
      </c>
      <c r="R36" s="15" t="n">
        <f aca="false">Q36-$G$2+$I$2</f>
        <v>15659.9997245906</v>
      </c>
      <c r="S36" s="42" t="n">
        <f aca="false">R36/$K$2</f>
        <v>724.999987249567</v>
      </c>
      <c r="T36" s="43" t="n">
        <f aca="false">S36-$M$2</f>
        <v>-1.27504333704564E-005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0.0669099120423198</v>
      </c>
      <c r="C37" s="25" t="n">
        <f aca="false">IF(T36&gt;0,D36,C36)</f>
        <v>0.0669099148362875</v>
      </c>
      <c r="D37" s="41" t="n">
        <f aca="false">(B37+C37)/2</f>
        <v>0.0669099134393036</v>
      </c>
      <c r="E37" s="15" t="n">
        <f aca="false">$C$2*(1+IF(E$3&lt;=$O$2,$D37,$D37-($D37-$I$6)*MIN(E$3-$O$2,$Q$2)/$Q$2))</f>
        <v>2549.91469311994</v>
      </c>
      <c r="F37" s="15" t="n">
        <f aca="false">E37*(1+IF(F$3&lt;=$O$2,$D37,$D37-($D37-$I$6)*MIN(F$3-$O$2,$Q$2)/$Q$2))</f>
        <v>2720.5292645142</v>
      </c>
      <c r="G37" s="15" t="n">
        <f aca="false">F37*(1+IF(G$3&lt;=$O$2,$D37,$D37-($D37-$I$6)*MIN(G$3-$O$2,$Q$2)/$Q$2))</f>
        <v>2902.55964211194</v>
      </c>
      <c r="H37" s="15" t="n">
        <f aca="false">G37*(1+IF(H$3&lt;=$O$2,$D37,$D37-($D37-$I$6)*MIN(H$3-$O$2,$Q$2)/$Q$2))</f>
        <v>3096.76965651806</v>
      </c>
      <c r="I37" s="15" t="n">
        <f aca="false">H37*(1+IF(I$3&lt;=$O$2,$D37,$D37-($D37-$I$6)*MIN(I$3-$O$2,$Q$2)/$Q$2))</f>
        <v>3303.97424617715</v>
      </c>
      <c r="J37" s="15" t="n">
        <f aca="false">I37*(1+IF(J$3&lt;=$O$2,$D37,$D37-($D37-$I$6)*MIN(J$3-$O$2,$Q$2)/$Q$2))</f>
        <v>3499.52964506443</v>
      </c>
      <c r="K37" s="15" t="n">
        <f aca="false">J37*(1+IF(K$3&lt;=$O$2,$D37,$D37-($D37-$I$6)*MIN(K$3-$O$2,$Q$2)/$Q$2))</f>
        <v>3679.63625602428</v>
      </c>
      <c r="L37" s="15" t="n">
        <f aca="false">K37*(1+IF(L$3&lt;=$O$2,$D37,$D37-($D37-$I$6)*MIN(L$3-$O$2,$Q$2)/$Q$2))</f>
        <v>3840.59813700306</v>
      </c>
      <c r="M37" s="15" t="n">
        <f aca="false">L37*(1+IF(M$3&lt;=$O$2,$D37,$D37-($D37-$I$6)*MIN(M$3-$O$2,$Q$2)/$Q$2))</f>
        <v>3978.94409660521</v>
      </c>
      <c r="N37" s="15" t="n">
        <f aca="false">M37*(1+IF(N$3&lt;=$O$2,$D37,$D37-($D37-$I$6)*MIN(N$3-$O$2,$Q$2)/$Q$2))</f>
        <v>4091.54821453914</v>
      </c>
      <c r="O37" s="15" t="n">
        <f aca="false">SUMPRODUCT(E37:N37,1/(1+$F$6)^$E$3:$N$3)*$E$2</f>
        <v>9520.95381428153</v>
      </c>
      <c r="P37" s="15" t="n">
        <f aca="false">N37*$E$2*(1+$I$6)/($F$6-$I$6)/(1+$F$6)^$N$3</f>
        <v>11490.6060733639</v>
      </c>
      <c r="Q37" s="15" t="n">
        <f aca="false">O37+P37</f>
        <v>21011.5598876454</v>
      </c>
      <c r="R37" s="15" t="n">
        <f aca="false">Q37-$G$2+$I$2</f>
        <v>15659.9998876454</v>
      </c>
      <c r="S37" s="42" t="n">
        <f aca="false">R37/$K$2</f>
        <v>724.999994798399</v>
      </c>
      <c r="T37" s="43" t="n">
        <f aca="false">S37-$M$2</f>
        <v>-5.20160108408163E-006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0.0669099134393036</v>
      </c>
      <c r="C38" s="25" t="n">
        <f aca="false">IF(T37&gt;0,D37,C37)</f>
        <v>0.0669099148362875</v>
      </c>
      <c r="D38" s="41" t="n">
        <f aca="false">(B38+C38)/2</f>
        <v>0.0669099141377956</v>
      </c>
      <c r="E38" s="15" t="n">
        <f aca="false">$C$2*(1+IF(E$3&lt;=$O$2,$D38,$D38-($D38-$I$6)*MIN(E$3-$O$2,$Q$2)/$Q$2))</f>
        <v>2549.91469478933</v>
      </c>
      <c r="F38" s="15" t="n">
        <f aca="false">E38*(1+IF(F$3&lt;=$O$2,$D38,$D38-($D38-$I$6)*MIN(F$3-$O$2,$Q$2)/$Q$2))</f>
        <v>2720.52926807639</v>
      </c>
      <c r="G38" s="15" t="n">
        <f aca="false">F38*(1+IF(G$3&lt;=$O$2,$D38,$D38-($D38-$I$6)*MIN(G$3-$O$2,$Q$2)/$Q$2))</f>
        <v>2902.55964781274</v>
      </c>
      <c r="H38" s="15" t="n">
        <f aca="false">G38*(1+IF(H$3&lt;=$O$2,$D38,$D38-($D38-$I$6)*MIN(H$3-$O$2,$Q$2)/$Q$2))</f>
        <v>3096.76966462772</v>
      </c>
      <c r="I38" s="15" t="n">
        <f aca="false">H38*(1+IF(I$3&lt;=$O$2,$D38,$D38-($D38-$I$6)*MIN(I$3-$O$2,$Q$2)/$Q$2))</f>
        <v>3303.97425699249</v>
      </c>
      <c r="J38" s="15" t="n">
        <f aca="false">I38*(1+IF(J$3&lt;=$O$2,$D38,$D38-($D38-$I$6)*MIN(J$3-$O$2,$Q$2)/$Q$2))</f>
        <v>3499.52965836615</v>
      </c>
      <c r="K38" s="15" t="n">
        <f aca="false">J38*(1+IF(K$3&lt;=$O$2,$D38,$D38-($D38-$I$6)*MIN(K$3-$O$2,$Q$2)/$Q$2))</f>
        <v>3679.63627147723</v>
      </c>
      <c r="L38" s="15" t="n">
        <f aca="false">K38*(1+IF(L$3&lt;=$O$2,$D38,$D38-($D38-$I$6)*MIN(L$3-$O$2,$Q$2)/$Q$2))</f>
        <v>3840.59815416005</v>
      </c>
      <c r="M38" s="15" t="n">
        <f aca="false">L38*(1+IF(M$3&lt;=$O$2,$D38,$D38-($D38-$I$6)*MIN(M$3-$O$2,$Q$2)/$Q$2))</f>
        <v>3978.94411491676</v>
      </c>
      <c r="N38" s="15" t="n">
        <f aca="false">M38*(1+IF(N$3&lt;=$O$2,$D38,$D38-($D38-$I$6)*MIN(N$3-$O$2,$Q$2)/$Q$2))</f>
        <v>4091.54823336891</v>
      </c>
      <c r="O38" s="15" t="n">
        <f aca="false">SUMPRODUCT(E38:N38,1/(1+$F$6)^$E$3:$N$3)*$E$2</f>
        <v>9520.95384292785</v>
      </c>
      <c r="P38" s="15" t="n">
        <f aca="false">N38*$E$2*(1+$I$6)/($F$6-$I$6)/(1+$F$6)^$N$3</f>
        <v>11490.6061262449</v>
      </c>
      <c r="Q38" s="15" t="n">
        <f aca="false">O38+P38</f>
        <v>21011.5599691728</v>
      </c>
      <c r="R38" s="15" t="n">
        <f aca="false">Q38-$G$2+$I$2</f>
        <v>15659.9999691728</v>
      </c>
      <c r="S38" s="42" t="n">
        <f aca="false">R38/$K$2</f>
        <v>724.999998572815</v>
      </c>
      <c r="T38" s="43" t="n">
        <f aca="false">S38-$M$2</f>
        <v>-1.42718545248499E-006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0.0669099141377956</v>
      </c>
      <c r="C39" s="25" t="n">
        <f aca="false">IF(T38&gt;0,D38,C38)</f>
        <v>0.0669099148362875</v>
      </c>
      <c r="D39" s="41" t="n">
        <f aca="false">(B39+C39)/2</f>
        <v>0.0669099144870415</v>
      </c>
      <c r="E39" s="15" t="n">
        <f aca="false">$C$2*(1+IF(E$3&lt;=$O$2,$D39,$D39-($D39-$I$6)*MIN(E$3-$O$2,$Q$2)/$Q$2))</f>
        <v>2549.91469562403</v>
      </c>
      <c r="F39" s="15" t="n">
        <f aca="false">E39*(1+IF(F$3&lt;=$O$2,$D39,$D39-($D39-$I$6)*MIN(F$3-$O$2,$Q$2)/$Q$2))</f>
        <v>2720.52926985748</v>
      </c>
      <c r="G39" s="15" t="n">
        <f aca="false">F39*(1+IF(G$3&lt;=$O$2,$D39,$D39-($D39-$I$6)*MIN(G$3-$O$2,$Q$2)/$Q$2))</f>
        <v>2902.55965066314</v>
      </c>
      <c r="H39" s="15" t="n">
        <f aca="false">G39*(1+IF(H$3&lt;=$O$2,$D39,$D39-($D39-$I$6)*MIN(H$3-$O$2,$Q$2)/$Q$2))</f>
        <v>3096.76966868255</v>
      </c>
      <c r="I39" s="15" t="n">
        <f aca="false">H39*(1+IF(I$3&lt;=$O$2,$D39,$D39-($D39-$I$6)*MIN(I$3-$O$2,$Q$2)/$Q$2))</f>
        <v>3303.97426240016</v>
      </c>
      <c r="J39" s="15" t="n">
        <f aca="false">I39*(1+IF(J$3&lt;=$O$2,$D39,$D39-($D39-$I$6)*MIN(J$3-$O$2,$Q$2)/$Q$2))</f>
        <v>3499.52966501701</v>
      </c>
      <c r="K39" s="15" t="n">
        <f aca="false">J39*(1+IF(K$3&lt;=$O$2,$D39,$D39-($D39-$I$6)*MIN(K$3-$O$2,$Q$2)/$Q$2))</f>
        <v>3679.6362792037</v>
      </c>
      <c r="L39" s="15" t="n">
        <f aca="false">K39*(1+IF(L$3&lt;=$O$2,$D39,$D39-($D39-$I$6)*MIN(L$3-$O$2,$Q$2)/$Q$2))</f>
        <v>3840.59816273855</v>
      </c>
      <c r="M39" s="15" t="n">
        <f aca="false">L39*(1+IF(M$3&lt;=$O$2,$D39,$D39-($D39-$I$6)*MIN(M$3-$O$2,$Q$2)/$Q$2))</f>
        <v>3978.94412407254</v>
      </c>
      <c r="N39" s="15" t="n">
        <f aca="false">M39*(1+IF(N$3&lt;=$O$2,$D39,$D39-($D39-$I$6)*MIN(N$3-$O$2,$Q$2)/$Q$2))</f>
        <v>4091.54824278379</v>
      </c>
      <c r="O39" s="15" t="n">
        <f aca="false">SUMPRODUCT(E39:N39,1/(1+$F$6)^$E$3:$N$3)*$E$2</f>
        <v>9520.95385725102</v>
      </c>
      <c r="P39" s="15" t="n">
        <f aca="false">N39*$E$2*(1+$I$6)/($F$6-$I$6)/(1+$F$6)^$N$3</f>
        <v>11490.6061526855</v>
      </c>
      <c r="Q39" s="15" t="n">
        <f aca="false">O39+P39</f>
        <v>21011.5600099365</v>
      </c>
      <c r="R39" s="15" t="n">
        <f aca="false">Q39-$G$2+$I$2</f>
        <v>15660.0000099365</v>
      </c>
      <c r="S39" s="42" t="n">
        <f aca="false">R39/$K$2</f>
        <v>725.000000460023</v>
      </c>
      <c r="T39" s="43" t="n">
        <f aca="false">S39-$M$2</f>
        <v>4.60022988590936E-007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0.0669099141377956</v>
      </c>
      <c r="C40" s="25" t="n">
        <f aca="false">IF(T39&gt;0,D39,C39)</f>
        <v>0.0669099144870415</v>
      </c>
      <c r="D40" s="41" t="n">
        <f aca="false">(B40+C40)/2</f>
        <v>0.0669099143124186</v>
      </c>
      <c r="E40" s="15" t="n">
        <f aca="false">$C$2*(1+IF(E$3&lt;=$O$2,$D40,$D40-($D40-$I$6)*MIN(E$3-$O$2,$Q$2)/$Q$2))</f>
        <v>2549.91469520668</v>
      </c>
      <c r="F40" s="15" t="n">
        <f aca="false">E40*(1+IF(F$3&lt;=$O$2,$D40,$D40-($D40-$I$6)*MIN(F$3-$O$2,$Q$2)/$Q$2))</f>
        <v>2720.52926896694</v>
      </c>
      <c r="G40" s="15" t="n">
        <f aca="false">F40*(1+IF(G$3&lt;=$O$2,$D40,$D40-($D40-$I$6)*MIN(G$3-$O$2,$Q$2)/$Q$2))</f>
        <v>2902.55964923794</v>
      </c>
      <c r="H40" s="15" t="n">
        <f aca="false">G40*(1+IF(H$3&lt;=$O$2,$D40,$D40-($D40-$I$6)*MIN(H$3-$O$2,$Q$2)/$Q$2))</f>
        <v>3096.76966665514</v>
      </c>
      <c r="I40" s="15" t="n">
        <f aca="false">H40*(1+IF(I$3&lt;=$O$2,$D40,$D40-($D40-$I$6)*MIN(I$3-$O$2,$Q$2)/$Q$2))</f>
        <v>3303.97425969633</v>
      </c>
      <c r="J40" s="15" t="n">
        <f aca="false">I40*(1+IF(J$3&lt;=$O$2,$D40,$D40-($D40-$I$6)*MIN(J$3-$O$2,$Q$2)/$Q$2))</f>
        <v>3499.52966169158</v>
      </c>
      <c r="K40" s="15" t="n">
        <f aca="false">J40*(1+IF(K$3&lt;=$O$2,$D40,$D40-($D40-$I$6)*MIN(K$3-$O$2,$Q$2)/$Q$2))</f>
        <v>3679.63627534046</v>
      </c>
      <c r="L40" s="15" t="n">
        <f aca="false">K40*(1+IF(L$3&lt;=$O$2,$D40,$D40-($D40-$I$6)*MIN(L$3-$O$2,$Q$2)/$Q$2))</f>
        <v>3840.5981584493</v>
      </c>
      <c r="M40" s="15" t="n">
        <f aca="false">L40*(1+IF(M$3&lt;=$O$2,$D40,$D40-($D40-$I$6)*MIN(M$3-$O$2,$Q$2)/$Q$2))</f>
        <v>3978.94411949465</v>
      </c>
      <c r="N40" s="15" t="n">
        <f aca="false">M40*(1+IF(N$3&lt;=$O$2,$D40,$D40-($D40-$I$6)*MIN(N$3-$O$2,$Q$2)/$Q$2))</f>
        <v>4091.54823807635</v>
      </c>
      <c r="O40" s="15" t="n">
        <f aca="false">SUMPRODUCT(E40:N40,1/(1+$F$6)^$E$3:$N$3)*$E$2</f>
        <v>9520.95385008943</v>
      </c>
      <c r="P40" s="15" t="n">
        <f aca="false">N40*$E$2*(1+$I$6)/($F$6-$I$6)/(1+$F$6)^$N$3</f>
        <v>11490.6061394652</v>
      </c>
      <c r="Q40" s="15" t="n">
        <f aca="false">O40+P40</f>
        <v>21011.5599895546</v>
      </c>
      <c r="R40" s="15" t="n">
        <f aca="false">Q40-$G$2+$I$2</f>
        <v>15659.9999895546</v>
      </c>
      <c r="S40" s="42" t="n">
        <f aca="false">R40/$K$2</f>
        <v>724.999999516419</v>
      </c>
      <c r="T40" s="43" t="n">
        <f aca="false">S40-$M$2</f>
        <v>-4.83581175103609E-007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0.0669099143124186</v>
      </c>
      <c r="C41" s="25" t="n">
        <f aca="false">IF(T40&gt;0,D40,C40)</f>
        <v>0.0669099144870415</v>
      </c>
      <c r="D41" s="41" t="n">
        <f aca="false">(B41+C41)/2</f>
        <v>0.06690991439973</v>
      </c>
      <c r="E41" s="15" t="n">
        <f aca="false">$C$2*(1+IF(E$3&lt;=$O$2,$D41,$D41-($D41-$I$6)*MIN(E$3-$O$2,$Q$2)/$Q$2))</f>
        <v>2549.91469541536</v>
      </c>
      <c r="F41" s="15" t="n">
        <f aca="false">E41*(1+IF(F$3&lt;=$O$2,$D41,$D41-($D41-$I$6)*MIN(F$3-$O$2,$Q$2)/$Q$2))</f>
        <v>2720.52926941221</v>
      </c>
      <c r="G41" s="15" t="n">
        <f aca="false">F41*(1+IF(G$3&lt;=$O$2,$D41,$D41-($D41-$I$6)*MIN(G$3-$O$2,$Q$2)/$Q$2))</f>
        <v>2902.55964995054</v>
      </c>
      <c r="H41" s="15" t="n">
        <f aca="false">G41*(1+IF(H$3&lt;=$O$2,$D41,$D41-($D41-$I$6)*MIN(H$3-$O$2,$Q$2)/$Q$2))</f>
        <v>3096.76966766884</v>
      </c>
      <c r="I41" s="15" t="n">
        <f aca="false">H41*(1+IF(I$3&lt;=$O$2,$D41,$D41-($D41-$I$6)*MIN(I$3-$O$2,$Q$2)/$Q$2))</f>
        <v>3303.97426104824</v>
      </c>
      <c r="J41" s="15" t="n">
        <f aca="false">I41*(1+IF(J$3&lt;=$O$2,$D41,$D41-($D41-$I$6)*MIN(J$3-$O$2,$Q$2)/$Q$2))</f>
        <v>3499.5296633543</v>
      </c>
      <c r="K41" s="15" t="n">
        <f aca="false">J41*(1+IF(K$3&lt;=$O$2,$D41,$D41-($D41-$I$6)*MIN(K$3-$O$2,$Q$2)/$Q$2))</f>
        <v>3679.63627727208</v>
      </c>
      <c r="L41" s="15" t="n">
        <f aca="false">K41*(1+IF(L$3&lt;=$O$2,$D41,$D41-($D41-$I$6)*MIN(L$3-$O$2,$Q$2)/$Q$2))</f>
        <v>3840.59816059393</v>
      </c>
      <c r="M41" s="15" t="n">
        <f aca="false">L41*(1+IF(M$3&lt;=$O$2,$D41,$D41-($D41-$I$6)*MIN(M$3-$O$2,$Q$2)/$Q$2))</f>
        <v>3978.94412178359</v>
      </c>
      <c r="N41" s="15" t="n">
        <f aca="false">M41*(1+IF(N$3&lt;=$O$2,$D41,$D41-($D41-$I$6)*MIN(N$3-$O$2,$Q$2)/$Q$2))</f>
        <v>4091.54824043007</v>
      </c>
      <c r="O41" s="15" t="n">
        <f aca="false">SUMPRODUCT(E41:N41,1/(1+$F$6)^$E$3:$N$3)*$E$2</f>
        <v>9520.95385367022</v>
      </c>
      <c r="P41" s="15" t="n">
        <f aca="false">N41*$E$2*(1+$I$6)/($F$6-$I$6)/(1+$F$6)^$N$3</f>
        <v>11490.6061460753</v>
      </c>
      <c r="Q41" s="15" t="n">
        <f aca="false">O41+P41</f>
        <v>21011.5599997456</v>
      </c>
      <c r="R41" s="15" t="n">
        <f aca="false">Q41-$G$2+$I$2</f>
        <v>15659.9999997456</v>
      </c>
      <c r="S41" s="42" t="n">
        <f aca="false">R41/$K$2</f>
        <v>724.999999988221</v>
      </c>
      <c r="T41" s="43" t="n">
        <f aca="false">S41-$M$2</f>
        <v>-1.17793206300121E-008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0.06690991439973</v>
      </c>
      <c r="C42" s="25" t="n">
        <f aca="false">IF(T41&gt;0,D41,C41)</f>
        <v>0.0669099144870415</v>
      </c>
      <c r="D42" s="41" t="n">
        <f aca="false">(B42+C42)/2</f>
        <v>0.0669099144433858</v>
      </c>
      <c r="E42" s="15" t="n">
        <f aca="false">$C$2*(1+IF(E$3&lt;=$O$2,$D42,$D42-($D42-$I$6)*MIN(E$3-$O$2,$Q$2)/$Q$2))</f>
        <v>2549.91469551969</v>
      </c>
      <c r="F42" s="15" t="n">
        <f aca="false">E42*(1+IF(F$3&lt;=$O$2,$D42,$D42-($D42-$I$6)*MIN(F$3-$O$2,$Q$2)/$Q$2))</f>
        <v>2720.52926963485</v>
      </c>
      <c r="G42" s="15" t="n">
        <f aca="false">F42*(1+IF(G$3&lt;=$O$2,$D42,$D42-($D42-$I$6)*MIN(G$3-$O$2,$Q$2)/$Q$2))</f>
        <v>2902.55965030684</v>
      </c>
      <c r="H42" s="15" t="n">
        <f aca="false">G42*(1+IF(H$3&lt;=$O$2,$D42,$D42-($D42-$I$6)*MIN(H$3-$O$2,$Q$2)/$Q$2))</f>
        <v>3096.7696681757</v>
      </c>
      <c r="I42" s="15" t="n">
        <f aca="false">H42*(1+IF(I$3&lt;=$O$2,$D42,$D42-($D42-$I$6)*MIN(I$3-$O$2,$Q$2)/$Q$2))</f>
        <v>3303.9742617242</v>
      </c>
      <c r="J42" s="15" t="n">
        <f aca="false">I42*(1+IF(J$3&lt;=$O$2,$D42,$D42-($D42-$I$6)*MIN(J$3-$O$2,$Q$2)/$Q$2))</f>
        <v>3499.52966418566</v>
      </c>
      <c r="K42" s="15" t="n">
        <f aca="false">J42*(1+IF(K$3&lt;=$O$2,$D42,$D42-($D42-$I$6)*MIN(K$3-$O$2,$Q$2)/$Q$2))</f>
        <v>3679.63627823789</v>
      </c>
      <c r="L42" s="15" t="n">
        <f aca="false">K42*(1+IF(L$3&lt;=$O$2,$D42,$D42-($D42-$I$6)*MIN(L$3-$O$2,$Q$2)/$Q$2))</f>
        <v>3840.59816166624</v>
      </c>
      <c r="M42" s="15" t="n">
        <f aca="false">L42*(1+IF(M$3&lt;=$O$2,$D42,$D42-($D42-$I$6)*MIN(M$3-$O$2,$Q$2)/$Q$2))</f>
        <v>3978.94412292806</v>
      </c>
      <c r="N42" s="15" t="n">
        <f aca="false">M42*(1+IF(N$3&lt;=$O$2,$D42,$D42-($D42-$I$6)*MIN(N$3-$O$2,$Q$2)/$Q$2))</f>
        <v>4091.54824160693</v>
      </c>
      <c r="O42" s="15" t="n">
        <f aca="false">SUMPRODUCT(E42:N42,1/(1+$F$6)^$E$3:$N$3)*$E$2</f>
        <v>9520.95385546062</v>
      </c>
      <c r="P42" s="15" t="n">
        <f aca="false">N42*$E$2*(1+$I$6)/($F$6-$I$6)/(1+$F$6)^$N$3</f>
        <v>11490.6061493804</v>
      </c>
      <c r="Q42" s="15" t="n">
        <f aca="false">O42+P42</f>
        <v>21011.560004841</v>
      </c>
      <c r="R42" s="15" t="n">
        <f aca="false">Q42-$G$2+$I$2</f>
        <v>15660.000004841</v>
      </c>
      <c r="S42" s="42" t="n">
        <f aca="false">R42/$K$2</f>
        <v>725.000000224122</v>
      </c>
      <c r="T42" s="43" t="n">
        <f aca="false">S42-$M$2</f>
        <v>2.24121890823881E-007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0.06690991439973</v>
      </c>
      <c r="C43" s="25" t="n">
        <f aca="false">IF(T42&gt;0,D42,C42)</f>
        <v>0.0669099144433858</v>
      </c>
      <c r="D43" s="41" t="n">
        <f aca="false">(B43+C43)/2</f>
        <v>0.0669099144215579</v>
      </c>
      <c r="E43" s="15" t="n">
        <f aca="false">$C$2*(1+IF(E$3&lt;=$O$2,$D43,$D43-($D43-$I$6)*MIN(E$3-$O$2,$Q$2)/$Q$2))</f>
        <v>2549.91469546752</v>
      </c>
      <c r="F43" s="15" t="n">
        <f aca="false">E43*(1+IF(F$3&lt;=$O$2,$D43,$D43-($D43-$I$6)*MIN(F$3-$O$2,$Q$2)/$Q$2))</f>
        <v>2720.52926952353</v>
      </c>
      <c r="G43" s="15" t="n">
        <f aca="false">F43*(1+IF(G$3&lt;=$O$2,$D43,$D43-($D43-$I$6)*MIN(G$3-$O$2,$Q$2)/$Q$2))</f>
        <v>2902.55965012869</v>
      </c>
      <c r="H43" s="15" t="n">
        <f aca="false">G43*(1+IF(H$3&lt;=$O$2,$D43,$D43-($D43-$I$6)*MIN(H$3-$O$2,$Q$2)/$Q$2))</f>
        <v>3096.76966792227</v>
      </c>
      <c r="I43" s="15" t="n">
        <f aca="false">H43*(1+IF(I$3&lt;=$O$2,$D43,$D43-($D43-$I$6)*MIN(I$3-$O$2,$Q$2)/$Q$2))</f>
        <v>3303.97426138622</v>
      </c>
      <c r="J43" s="15" t="n">
        <f aca="false">I43*(1+IF(J$3&lt;=$O$2,$D43,$D43-($D43-$I$6)*MIN(J$3-$O$2,$Q$2)/$Q$2))</f>
        <v>3499.52966376998</v>
      </c>
      <c r="K43" s="15" t="n">
        <f aca="false">J43*(1+IF(K$3&lt;=$O$2,$D43,$D43-($D43-$I$6)*MIN(K$3-$O$2,$Q$2)/$Q$2))</f>
        <v>3679.63627775498</v>
      </c>
      <c r="L43" s="15" t="n">
        <f aca="false">K43*(1+IF(L$3&lt;=$O$2,$D43,$D43-($D43-$I$6)*MIN(L$3-$O$2,$Q$2)/$Q$2))</f>
        <v>3840.59816113008</v>
      </c>
      <c r="M43" s="15" t="n">
        <f aca="false">L43*(1+IF(M$3&lt;=$O$2,$D43,$D43-($D43-$I$6)*MIN(M$3-$O$2,$Q$2)/$Q$2))</f>
        <v>3978.94412235583</v>
      </c>
      <c r="N43" s="15" t="n">
        <f aca="false">M43*(1+IF(N$3&lt;=$O$2,$D43,$D43-($D43-$I$6)*MIN(N$3-$O$2,$Q$2)/$Q$2))</f>
        <v>4091.5482410185</v>
      </c>
      <c r="O43" s="15" t="n">
        <f aca="false">SUMPRODUCT(E43:N43,1/(1+$F$6)^$E$3:$N$3)*$E$2</f>
        <v>9520.95385456542</v>
      </c>
      <c r="P43" s="15" t="n">
        <f aca="false">N43*$E$2*(1+$I$6)/($F$6-$I$6)/(1+$F$6)^$N$3</f>
        <v>11490.6061477279</v>
      </c>
      <c r="Q43" s="15" t="n">
        <f aca="false">O43+P43</f>
        <v>21011.5600022933</v>
      </c>
      <c r="R43" s="15" t="n">
        <f aca="false">Q43-$G$2+$I$2</f>
        <v>15660.0000022933</v>
      </c>
      <c r="S43" s="42" t="n">
        <f aca="false">R43/$K$2</f>
        <v>725.000000106171</v>
      </c>
      <c r="T43" s="43" t="n">
        <f aca="false">S43-$M$2</f>
        <v>1.06171228253515E-007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0.06690991439973</v>
      </c>
      <c r="C44" s="25" t="n">
        <f aca="false">IF(T43&gt;0,D43,C43)</f>
        <v>0.0669099144215579</v>
      </c>
      <c r="D44" s="41" t="n">
        <f aca="false">(B44+C44)/2</f>
        <v>0.066909914410644</v>
      </c>
      <c r="E44" s="15" t="n">
        <f aca="false">$C$2*(1+IF(E$3&lt;=$O$2,$D44,$D44-($D44-$I$6)*MIN(E$3-$O$2,$Q$2)/$Q$2))</f>
        <v>2549.91469544144</v>
      </c>
      <c r="F44" s="15" t="n">
        <f aca="false">E44*(1+IF(F$3&lt;=$O$2,$D44,$D44-($D44-$I$6)*MIN(F$3-$O$2,$Q$2)/$Q$2))</f>
        <v>2720.52926946787</v>
      </c>
      <c r="G44" s="15" t="n">
        <f aca="false">F44*(1+IF(G$3&lt;=$O$2,$D44,$D44-($D44-$I$6)*MIN(G$3-$O$2,$Q$2)/$Q$2))</f>
        <v>2902.55965003962</v>
      </c>
      <c r="H44" s="15" t="n">
        <f aca="false">G44*(1+IF(H$3&lt;=$O$2,$D44,$D44-($D44-$I$6)*MIN(H$3-$O$2,$Q$2)/$Q$2))</f>
        <v>3096.76966779556</v>
      </c>
      <c r="I44" s="15" t="n">
        <f aca="false">H44*(1+IF(I$3&lt;=$O$2,$D44,$D44-($D44-$I$6)*MIN(I$3-$O$2,$Q$2)/$Q$2))</f>
        <v>3303.97426121723</v>
      </c>
      <c r="J44" s="15" t="n">
        <f aca="false">I44*(1+IF(J$3&lt;=$O$2,$D44,$D44-($D44-$I$6)*MIN(J$3-$O$2,$Q$2)/$Q$2))</f>
        <v>3499.52966356214</v>
      </c>
      <c r="K44" s="15" t="n">
        <f aca="false">J44*(1+IF(K$3&lt;=$O$2,$D44,$D44-($D44-$I$6)*MIN(K$3-$O$2,$Q$2)/$Q$2))</f>
        <v>3679.63627751353</v>
      </c>
      <c r="L44" s="15" t="n">
        <f aca="false">K44*(1+IF(L$3&lt;=$O$2,$D44,$D44-($D44-$I$6)*MIN(L$3-$O$2,$Q$2)/$Q$2))</f>
        <v>3840.598160862</v>
      </c>
      <c r="M44" s="15" t="n">
        <f aca="false">L44*(1+IF(M$3&lt;=$O$2,$D44,$D44-($D44-$I$6)*MIN(M$3-$O$2,$Q$2)/$Q$2))</f>
        <v>3978.94412206971</v>
      </c>
      <c r="N44" s="15" t="n">
        <f aca="false">M44*(1+IF(N$3&lt;=$O$2,$D44,$D44-($D44-$I$6)*MIN(N$3-$O$2,$Q$2)/$Q$2))</f>
        <v>4091.54824072428</v>
      </c>
      <c r="O44" s="15" t="n">
        <f aca="false">SUMPRODUCT(E44:N44,1/(1+$F$6)^$E$3:$N$3)*$E$2</f>
        <v>9520.95385411782</v>
      </c>
      <c r="P44" s="15" t="n">
        <f aca="false">N44*$E$2*(1+$I$6)/($F$6-$I$6)/(1+$F$6)^$N$3</f>
        <v>11490.6061469016</v>
      </c>
      <c r="Q44" s="15" t="n">
        <f aca="false">O44+P44</f>
        <v>21011.5600010194</v>
      </c>
      <c r="R44" s="15" t="n">
        <f aca="false">Q44-$G$2+$I$2</f>
        <v>15660.0000010194</v>
      </c>
      <c r="S44" s="42" t="n">
        <f aca="false">R44/$K$2</f>
        <v>725.000000047196</v>
      </c>
      <c r="T44" s="43" t="n">
        <f aca="false">S44-$M$2</f>
        <v>4.71959538117517E-008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0.06690991439973</v>
      </c>
      <c r="C45" s="25" t="n">
        <f aca="false">IF(T44&gt;0,D44,C44)</f>
        <v>0.066909914410644</v>
      </c>
      <c r="D45" s="41" t="n">
        <f aca="false">(B45+C45)/2</f>
        <v>0.066909914405187</v>
      </c>
      <c r="E45" s="15" t="n">
        <f aca="false">$C$2*(1+IF(E$3&lt;=$O$2,$D45,$D45-($D45-$I$6)*MIN(E$3-$O$2,$Q$2)/$Q$2))</f>
        <v>2549.9146954284</v>
      </c>
      <c r="F45" s="15" t="n">
        <f aca="false">E45*(1+IF(F$3&lt;=$O$2,$D45,$D45-($D45-$I$6)*MIN(F$3-$O$2,$Q$2)/$Q$2))</f>
        <v>2720.52926944004</v>
      </c>
      <c r="G45" s="15" t="n">
        <f aca="false">F45*(1+IF(G$3&lt;=$O$2,$D45,$D45-($D45-$I$6)*MIN(G$3-$O$2,$Q$2)/$Q$2))</f>
        <v>2902.55964999508</v>
      </c>
      <c r="H45" s="15" t="n">
        <f aca="false">G45*(1+IF(H$3&lt;=$O$2,$D45,$D45-($D45-$I$6)*MIN(H$3-$O$2,$Q$2)/$Q$2))</f>
        <v>3096.7696677322</v>
      </c>
      <c r="I45" s="15" t="n">
        <f aca="false">H45*(1+IF(I$3&lt;=$O$2,$D45,$D45-($D45-$I$6)*MIN(I$3-$O$2,$Q$2)/$Q$2))</f>
        <v>3303.97426113274</v>
      </c>
      <c r="J45" s="15" t="n">
        <f aca="false">I45*(1+IF(J$3&lt;=$O$2,$D45,$D45-($D45-$I$6)*MIN(J$3-$O$2,$Q$2)/$Q$2))</f>
        <v>3499.52966345822</v>
      </c>
      <c r="K45" s="15" t="n">
        <f aca="false">J45*(1+IF(K$3&lt;=$O$2,$D45,$D45-($D45-$I$6)*MIN(K$3-$O$2,$Q$2)/$Q$2))</f>
        <v>3679.63627739281</v>
      </c>
      <c r="L45" s="15" t="n">
        <f aca="false">K45*(1+IF(L$3&lt;=$O$2,$D45,$D45-($D45-$I$6)*MIN(L$3-$O$2,$Q$2)/$Q$2))</f>
        <v>3840.59816072796</v>
      </c>
      <c r="M45" s="15" t="n">
        <f aca="false">L45*(1+IF(M$3&lt;=$O$2,$D45,$D45-($D45-$I$6)*MIN(M$3-$O$2,$Q$2)/$Q$2))</f>
        <v>3978.94412192665</v>
      </c>
      <c r="N45" s="15" t="n">
        <f aca="false">M45*(1+IF(N$3&lt;=$O$2,$D45,$D45-($D45-$I$6)*MIN(N$3-$O$2,$Q$2)/$Q$2))</f>
        <v>4091.54824057717</v>
      </c>
      <c r="O45" s="15" t="n">
        <f aca="false">SUMPRODUCT(E45:N45,1/(1+$F$6)^$E$3:$N$3)*$E$2</f>
        <v>9520.95385389402</v>
      </c>
      <c r="P45" s="15" t="n">
        <f aca="false">N45*$E$2*(1+$I$6)/($F$6-$I$6)/(1+$F$6)^$N$3</f>
        <v>11490.6061464885</v>
      </c>
      <c r="Q45" s="15" t="n">
        <f aca="false">O45+P45</f>
        <v>21011.5600003825</v>
      </c>
      <c r="R45" s="15" t="n">
        <f aca="false">Q45-$G$2+$I$2</f>
        <v>15660.0000003825</v>
      </c>
      <c r="S45" s="42" t="n">
        <f aca="false">R45/$K$2</f>
        <v>725.000000017708</v>
      </c>
      <c r="T45" s="43" t="n">
        <f aca="false">S45-$M$2</f>
        <v>1.77080892171944E-008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0.06690991439973</v>
      </c>
      <c r="C46" s="25" t="n">
        <f aca="false">IF(T45&gt;0,D45,C45)</f>
        <v>0.066909914405187</v>
      </c>
      <c r="D46" s="41" t="n">
        <f aca="false">(B46+C46)/2</f>
        <v>0.0669099144024585</v>
      </c>
      <c r="E46" s="15" t="n">
        <f aca="false">$C$2*(1+IF(E$3&lt;=$O$2,$D46,$D46-($D46-$I$6)*MIN(E$3-$O$2,$Q$2)/$Q$2))</f>
        <v>2549.91469542188</v>
      </c>
      <c r="F46" s="15" t="n">
        <f aca="false">E46*(1+IF(F$3&lt;=$O$2,$D46,$D46-($D46-$I$6)*MIN(F$3-$O$2,$Q$2)/$Q$2))</f>
        <v>2720.52926942612</v>
      </c>
      <c r="G46" s="15" t="n">
        <f aca="false">F46*(1+IF(G$3&lt;=$O$2,$D46,$D46-($D46-$I$6)*MIN(G$3-$O$2,$Q$2)/$Q$2))</f>
        <v>2902.55964997281</v>
      </c>
      <c r="H46" s="15" t="n">
        <f aca="false">G46*(1+IF(H$3&lt;=$O$2,$D46,$D46-($D46-$I$6)*MIN(H$3-$O$2,$Q$2)/$Q$2))</f>
        <v>3096.76966770052</v>
      </c>
      <c r="I46" s="15" t="n">
        <f aca="false">H46*(1+IF(I$3&lt;=$O$2,$D46,$D46-($D46-$I$6)*MIN(I$3-$O$2,$Q$2)/$Q$2))</f>
        <v>3303.97426109049</v>
      </c>
      <c r="J46" s="15" t="n">
        <f aca="false">I46*(1+IF(J$3&lt;=$O$2,$D46,$D46-($D46-$I$6)*MIN(J$3-$O$2,$Q$2)/$Q$2))</f>
        <v>3499.52966340626</v>
      </c>
      <c r="K46" s="15" t="n">
        <f aca="false">J46*(1+IF(K$3&lt;=$O$2,$D46,$D46-($D46-$I$6)*MIN(K$3-$O$2,$Q$2)/$Q$2))</f>
        <v>3679.63627733244</v>
      </c>
      <c r="L46" s="15" t="n">
        <f aca="false">K46*(1+IF(L$3&lt;=$O$2,$D46,$D46-($D46-$I$6)*MIN(L$3-$O$2,$Q$2)/$Q$2))</f>
        <v>3840.59816066095</v>
      </c>
      <c r="M46" s="15" t="n">
        <f aca="false">L46*(1+IF(M$3&lt;=$O$2,$D46,$D46-($D46-$I$6)*MIN(M$3-$O$2,$Q$2)/$Q$2))</f>
        <v>3978.94412185512</v>
      </c>
      <c r="N46" s="15" t="n">
        <f aca="false">M46*(1+IF(N$3&lt;=$O$2,$D46,$D46-($D46-$I$6)*MIN(N$3-$O$2,$Q$2)/$Q$2))</f>
        <v>4091.54824050362</v>
      </c>
      <c r="O46" s="15" t="n">
        <f aca="false">SUMPRODUCT(E46:N46,1/(1+$F$6)^$E$3:$N$3)*$E$2</f>
        <v>9520.95385378212</v>
      </c>
      <c r="P46" s="15" t="n">
        <f aca="false">N46*$E$2*(1+$I$6)/($F$6-$I$6)/(1+$F$6)^$N$3</f>
        <v>11490.6061462819</v>
      </c>
      <c r="Q46" s="15" t="n">
        <f aca="false">O46+P46</f>
        <v>21011.560000064</v>
      </c>
      <c r="R46" s="15" t="n">
        <f aca="false">Q46-$G$2+$I$2</f>
        <v>15660.000000064</v>
      </c>
      <c r="S46" s="42" t="n">
        <f aca="false">R46/$K$2</f>
        <v>725.000000002965</v>
      </c>
      <c r="T46" s="43" t="n">
        <f aca="false">S46-$M$2</f>
        <v>2.96449798042886E-009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0.06690991439973</v>
      </c>
      <c r="C47" s="25" t="n">
        <f aca="false">IF(T46&gt;0,D46,C46)</f>
        <v>0.0669099144024585</v>
      </c>
      <c r="D47" s="41" t="n">
        <f aca="false">(B47+C47)/2</f>
        <v>0.0669099144010943</v>
      </c>
      <c r="E47" s="15" t="n">
        <f aca="false">$C$2*(1+IF(E$3&lt;=$O$2,$D47,$D47-($D47-$I$6)*MIN(E$3-$O$2,$Q$2)/$Q$2))</f>
        <v>2549.91469541862</v>
      </c>
      <c r="F47" s="15" t="n">
        <f aca="false">E47*(1+IF(F$3&lt;=$O$2,$D47,$D47-($D47-$I$6)*MIN(F$3-$O$2,$Q$2)/$Q$2))</f>
        <v>2720.52926941917</v>
      </c>
      <c r="G47" s="15" t="n">
        <f aca="false">F47*(1+IF(G$3&lt;=$O$2,$D47,$D47-($D47-$I$6)*MIN(G$3-$O$2,$Q$2)/$Q$2))</f>
        <v>2902.55964996168</v>
      </c>
      <c r="H47" s="15" t="n">
        <f aca="false">G47*(1+IF(H$3&lt;=$O$2,$D47,$D47-($D47-$I$6)*MIN(H$3-$O$2,$Q$2)/$Q$2))</f>
        <v>3096.76966768468</v>
      </c>
      <c r="I47" s="15" t="n">
        <f aca="false">H47*(1+IF(I$3&lt;=$O$2,$D47,$D47-($D47-$I$6)*MIN(I$3-$O$2,$Q$2)/$Q$2))</f>
        <v>3303.97426106937</v>
      </c>
      <c r="J47" s="15" t="n">
        <f aca="false">I47*(1+IF(J$3&lt;=$O$2,$D47,$D47-($D47-$I$6)*MIN(J$3-$O$2,$Q$2)/$Q$2))</f>
        <v>3499.52966338028</v>
      </c>
      <c r="K47" s="15" t="n">
        <f aca="false">J47*(1+IF(K$3&lt;=$O$2,$D47,$D47-($D47-$I$6)*MIN(K$3-$O$2,$Q$2)/$Q$2))</f>
        <v>3679.63627730226</v>
      </c>
      <c r="L47" s="15" t="n">
        <f aca="false">K47*(1+IF(L$3&lt;=$O$2,$D47,$D47-($D47-$I$6)*MIN(L$3-$O$2,$Q$2)/$Q$2))</f>
        <v>3840.59816062744</v>
      </c>
      <c r="M47" s="15" t="n">
        <f aca="false">L47*(1+IF(M$3&lt;=$O$2,$D47,$D47-($D47-$I$6)*MIN(M$3-$O$2,$Q$2)/$Q$2))</f>
        <v>3978.94412181936</v>
      </c>
      <c r="N47" s="15" t="n">
        <f aca="false">M47*(1+IF(N$3&lt;=$O$2,$D47,$D47-($D47-$I$6)*MIN(N$3-$O$2,$Q$2)/$Q$2))</f>
        <v>4091.54824046684</v>
      </c>
      <c r="O47" s="15" t="n">
        <f aca="false">SUMPRODUCT(E47:N47,1/(1+$F$6)^$E$3:$N$3)*$E$2</f>
        <v>9520.95385372617</v>
      </c>
      <c r="P47" s="15" t="n">
        <f aca="false">N47*$E$2*(1+$I$6)/($F$6-$I$6)/(1+$F$6)^$N$3</f>
        <v>11490.6061461786</v>
      </c>
      <c r="Q47" s="15" t="n">
        <f aca="false">O47+P47</f>
        <v>21011.5599999048</v>
      </c>
      <c r="R47" s="15" t="n">
        <f aca="false">Q47-$G$2+$I$2</f>
        <v>15659.9999999048</v>
      </c>
      <c r="S47" s="42" t="n">
        <f aca="false">R47/$K$2</f>
        <v>724.999999995593</v>
      </c>
      <c r="T47" s="43" t="n">
        <f aca="false">S47-$M$2</f>
        <v>-4.40752501162933E-009</v>
      </c>
    </row>
    <row r="49" customFormat="false" ht="15" hidden="false" customHeight="false" outlineLevel="0" collapsed="false">
      <c r="A49" s="38" t="s">
        <v>182</v>
      </c>
      <c r="E49" s="5" t="s">
        <v>11</v>
      </c>
      <c r="F49" s="12" t="n">
        <f aca="false">Sensitivity!$B$10</f>
        <v>0.0869721785729318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162</v>
      </c>
      <c r="B50" s="28" t="s">
        <v>163</v>
      </c>
      <c r="C50" s="28" t="s">
        <v>164</v>
      </c>
      <c r="D50" s="28" t="s">
        <v>165</v>
      </c>
      <c r="E50" s="28" t="s">
        <v>166</v>
      </c>
      <c r="F50" s="28" t="s">
        <v>167</v>
      </c>
      <c r="G50" s="28" t="s">
        <v>168</v>
      </c>
      <c r="H50" s="28" t="s">
        <v>169</v>
      </c>
      <c r="I50" s="28" t="s">
        <v>170</v>
      </c>
      <c r="J50" s="28" t="s">
        <v>171</v>
      </c>
      <c r="K50" s="28" t="s">
        <v>172</v>
      </c>
      <c r="L50" s="28" t="s">
        <v>173</v>
      </c>
      <c r="M50" s="28" t="s">
        <v>174</v>
      </c>
      <c r="N50" s="28" t="s">
        <v>175</v>
      </c>
      <c r="O50" s="28" t="s">
        <v>176</v>
      </c>
      <c r="P50" s="28" t="s">
        <v>177</v>
      </c>
      <c r="Q50" s="28" t="s">
        <v>178</v>
      </c>
      <c r="R50" s="28" t="s">
        <v>179</v>
      </c>
      <c r="S50" s="28" t="s">
        <v>180</v>
      </c>
      <c r="T50" s="28" t="s">
        <v>181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2987.5</v>
      </c>
      <c r="F51" s="15" t="n">
        <f aca="false">E51*(1+IF(F$3&lt;=$O$2,$D51,$D51-($D51-$I$49)*MIN(F$3-$O$2,$Q$2)/$Q$2))</f>
        <v>3734.375</v>
      </c>
      <c r="G51" s="15" t="n">
        <f aca="false">F51*(1+IF(G$3&lt;=$O$2,$D51,$D51-($D51-$I$49)*MIN(G$3-$O$2,$Q$2)/$Q$2))</f>
        <v>4667.96875</v>
      </c>
      <c r="H51" s="15" t="n">
        <f aca="false">G51*(1+IF(H$3&lt;=$O$2,$D51,$D51-($D51-$I$49)*MIN(H$3-$O$2,$Q$2)/$Q$2))</f>
        <v>5834.9609375</v>
      </c>
      <c r="I51" s="15" t="n">
        <f aca="false">H51*(1+IF(I$3&lt;=$O$2,$D51,$D51-($D51-$I$49)*MIN(I$3-$O$2,$Q$2)/$Q$2))</f>
        <v>7293.701171875</v>
      </c>
      <c r="J51" s="15" t="n">
        <f aca="false">I51*(1+IF(J$3&lt;=$O$2,$D51,$D51-($D51-$I$49)*MIN(J$3-$O$2,$Q$2)/$Q$2))</f>
        <v>8779.13635253906</v>
      </c>
      <c r="K51" s="15" t="n">
        <f aca="false">J51*(1+IF(K$3&lt;=$O$2,$D51,$D51-($D51-$I$49)*MIN(K$3-$O$2,$Q$2)/$Q$2))</f>
        <v>10160.2700835205</v>
      </c>
      <c r="L51" s="15" t="n">
        <f aca="false">K51*(1+IF(L$3&lt;=$O$2,$D51,$D51-($D51-$I$49)*MIN(L$3-$O$2,$Q$2)/$Q$2))</f>
        <v>11287.8568573896</v>
      </c>
      <c r="M51" s="15" t="n">
        <f aca="false">L51*(1+IF(M$3&lt;=$O$2,$D51,$D51-($D51-$I$49)*MIN(M$3-$O$2,$Q$2)/$Q$2))</f>
        <v>12017.5039246513</v>
      </c>
      <c r="N51" s="15" t="n">
        <f aca="false">M51*(1+IF(N$3&lt;=$O$2,$D51,$D51-($D51-$I$49)*MIN(N$3-$O$2,$Q$2)/$Q$2))</f>
        <v>12237.4242464724</v>
      </c>
      <c r="O51" s="15" t="n">
        <f aca="false">SUMPRODUCT(E51:N51,1/(1+$F$49)^$E$3:$N$3)*$E$2</f>
        <v>21911.3324618812</v>
      </c>
      <c r="P51" s="15" t="n">
        <f aca="false">N51*$E$2*(1+$I$49)/($F$49-$I$49)/(1+$F$49)^$N$3</f>
        <v>37296.9257108955</v>
      </c>
      <c r="Q51" s="15" t="n">
        <f aca="false">O51+P51</f>
        <v>59208.2581727766</v>
      </c>
      <c r="R51" s="15" t="n">
        <f aca="false">Q51-$G$2+$I$2</f>
        <v>53856.6981727766</v>
      </c>
      <c r="S51" s="42" t="n">
        <f aca="false">R51/$K$2</f>
        <v>2493.36565614707</v>
      </c>
      <c r="T51" s="43" t="n">
        <f aca="false">S51-$M$2</f>
        <v>1768.36565614707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2091.25</v>
      </c>
      <c r="F52" s="15" t="n">
        <f aca="false">E52*(1+IF(F$3&lt;=$O$2,$D52,$D52-($D52-$I$49)*MIN(F$3-$O$2,$Q$2)/$Q$2))</f>
        <v>1829.84375</v>
      </c>
      <c r="G52" s="15" t="n">
        <f aca="false">F52*(1+IF(G$3&lt;=$O$2,$D52,$D52-($D52-$I$49)*MIN(G$3-$O$2,$Q$2)/$Q$2))</f>
        <v>1601.11328125</v>
      </c>
      <c r="H52" s="15" t="n">
        <f aca="false">G52*(1+IF(H$3&lt;=$O$2,$D52,$D52-($D52-$I$49)*MIN(H$3-$O$2,$Q$2)/$Q$2))</f>
        <v>1400.97412109375</v>
      </c>
      <c r="I52" s="15" t="n">
        <f aca="false">H52*(1+IF(I$3&lt;=$O$2,$D52,$D52-($D52-$I$49)*MIN(I$3-$O$2,$Q$2)/$Q$2))</f>
        <v>1225.85235595703</v>
      </c>
      <c r="J52" s="15" t="n">
        <f aca="false">I52*(1+IF(J$3&lt;=$O$2,$D52,$D52-($D52-$I$49)*MIN(J$3-$O$2,$Q$2)/$Q$2))</f>
        <v>1107.75373998413</v>
      </c>
      <c r="K52" s="15" t="n">
        <f aca="false">J52*(1+IF(K$3&lt;=$O$2,$D52,$D52-($D52-$I$49)*MIN(K$3-$O$2,$Q$2)/$Q$2))</f>
        <v>1032.780966862</v>
      </c>
      <c r="L52" s="15" t="n">
        <f aca="false">K52*(1+IF(L$3&lt;=$O$2,$D52,$D52-($D52-$I$49)*MIN(L$3-$O$2,$Q$2)/$Q$2))</f>
        <v>992.481853535049</v>
      </c>
      <c r="M52" s="15" t="n">
        <f aca="false">L52*(1+IF(M$3&lt;=$O$2,$D52,$D52-($D52-$I$49)*MIN(M$3-$O$2,$Q$2)/$Q$2))</f>
        <v>982.199741532426</v>
      </c>
      <c r="N52" s="15" t="n">
        <f aca="false">M52*(1+IF(N$3&lt;=$O$2,$D52,$D52-($D52-$I$49)*MIN(N$3-$O$2,$Q$2)/$Q$2))</f>
        <v>1000.17399680247</v>
      </c>
      <c r="O52" s="15" t="n">
        <f aca="false">SUMPRODUCT(E52:N52,1/(1+$F$49)^$E$3:$N$3)*$E$2</f>
        <v>4347.06777130166</v>
      </c>
      <c r="P52" s="15" t="n">
        <f aca="false">N52*$E$2*(1+$I$49)/($F$49-$I$49)/(1+$F$49)^$N$3</f>
        <v>3048.30612270914</v>
      </c>
      <c r="Q52" s="15" t="n">
        <f aca="false">O52+P52</f>
        <v>7395.3738940108</v>
      </c>
      <c r="R52" s="15" t="n">
        <f aca="false">Q52-$G$2+$I$2</f>
        <v>2043.8138940108</v>
      </c>
      <c r="S52" s="42" t="n">
        <f aca="false">R52/$K$2</f>
        <v>94.6210136116111</v>
      </c>
      <c r="T52" s="43" t="n">
        <f aca="false">S52-$M$2</f>
        <v>-630.378986388389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2539.375</v>
      </c>
      <c r="F53" s="15" t="n">
        <f aca="false">E53*(1+IF(F$3&lt;=$O$2,$D53,$D53-($D53-$I$49)*MIN(F$3-$O$2,$Q$2)/$Q$2))</f>
        <v>2698.0859375</v>
      </c>
      <c r="G53" s="15" t="n">
        <f aca="false">F53*(1+IF(G$3&lt;=$O$2,$D53,$D53-($D53-$I$49)*MIN(G$3-$O$2,$Q$2)/$Q$2))</f>
        <v>2866.71630859375</v>
      </c>
      <c r="H53" s="15" t="n">
        <f aca="false">G53*(1+IF(H$3&lt;=$O$2,$D53,$D53-($D53-$I$49)*MIN(H$3-$O$2,$Q$2)/$Q$2))</f>
        <v>3045.88607788086</v>
      </c>
      <c r="I53" s="15" t="n">
        <f aca="false">H53*(1+IF(I$3&lt;=$O$2,$D53,$D53-($D53-$I$49)*MIN(I$3-$O$2,$Q$2)/$Q$2))</f>
        <v>3236.25395774841</v>
      </c>
      <c r="J53" s="15" t="n">
        <f aca="false">I53*(1+IF(J$3&lt;=$O$2,$D53,$D53-($D53-$I$49)*MIN(J$3-$O$2,$Q$2)/$Q$2))</f>
        <v>3409.91134512119</v>
      </c>
      <c r="K53" s="15" t="n">
        <f aca="false">J53*(1+IF(K$3&lt;=$O$2,$D53,$D53-($D53-$I$49)*MIN(K$3-$O$2,$Q$2)/$Q$2))</f>
        <v>3562.74357160953</v>
      </c>
      <c r="L53" s="15" t="n">
        <f aca="false">K53*(1+IF(L$3&lt;=$O$2,$D53,$D53-($D53-$I$49)*MIN(L$3-$O$2,$Q$2)/$Q$2))</f>
        <v>3690.93108531604</v>
      </c>
      <c r="M53" s="15" t="n">
        <f aca="false">L53*(1+IF(M$3&lt;=$O$2,$D53,$D53-($D53-$I$49)*MIN(M$3-$O$2,$Q$2)/$Q$2))</f>
        <v>3791.10295497151</v>
      </c>
      <c r="N53" s="15" t="n">
        <f aca="false">M53*(1+IF(N$3&lt;=$O$2,$D53,$D53-($D53-$I$49)*MIN(N$3-$O$2,$Q$2)/$Q$2))</f>
        <v>3860.48013904749</v>
      </c>
      <c r="O53" s="15" t="n">
        <f aca="false">SUMPRODUCT(E53:N53,1/(1+$F$49)^$E$3:$N$3)*$E$2</f>
        <v>9739.98455643294</v>
      </c>
      <c r="P53" s="15" t="n">
        <f aca="false">N53*$E$2*(1+$I$49)/($F$49-$I$49)/(1+$F$49)^$N$3</f>
        <v>11765.8780193019</v>
      </c>
      <c r="Q53" s="15" t="n">
        <f aca="false">O53+P53</f>
        <v>21505.8625757349</v>
      </c>
      <c r="R53" s="15" t="n">
        <f aca="false">Q53-$G$2+$I$2</f>
        <v>16154.3025757349</v>
      </c>
      <c r="S53" s="42" t="n">
        <f aca="false">R53/$K$2</f>
        <v>747.884378506243</v>
      </c>
      <c r="T53" s="43" t="n">
        <f aca="false">S53-$M$2</f>
        <v>22.884378506243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41" t="n">
        <f aca="false">(B54+C54)/2</f>
        <v>-0.03125</v>
      </c>
      <c r="E54" s="15" t="n">
        <f aca="false">$C$2*(1+IF(E$3&lt;=$O$2,$D54,$D54-($D54-$I$49)*MIN(E$3-$O$2,$Q$2)/$Q$2))</f>
        <v>2315.3125</v>
      </c>
      <c r="F54" s="15" t="n">
        <f aca="false">E54*(1+IF(F$3&lt;=$O$2,$D54,$D54-($D54-$I$49)*MIN(F$3-$O$2,$Q$2)/$Q$2))</f>
        <v>2242.958984375</v>
      </c>
      <c r="G54" s="15" t="n">
        <f aca="false">F54*(1+IF(G$3&lt;=$O$2,$D54,$D54-($D54-$I$49)*MIN(G$3-$O$2,$Q$2)/$Q$2))</f>
        <v>2172.86651611328</v>
      </c>
      <c r="H54" s="15" t="n">
        <f aca="false">G54*(1+IF(H$3&lt;=$O$2,$D54,$D54-($D54-$I$49)*MIN(H$3-$O$2,$Q$2)/$Q$2))</f>
        <v>2104.96443748474</v>
      </c>
      <c r="I54" s="15" t="n">
        <f aca="false">H54*(1+IF(I$3&lt;=$O$2,$D54,$D54-($D54-$I$49)*MIN(I$3-$O$2,$Q$2)/$Q$2))</f>
        <v>2039.18429881334</v>
      </c>
      <c r="J54" s="15" t="n">
        <f aca="false">I54*(1+IF(J$3&lt;=$O$2,$D54,$D54-($D54-$I$49)*MIN(J$3-$O$2,$Q$2)/$Q$2))</f>
        <v>1995.66810587667</v>
      </c>
      <c r="K54" s="15" t="n">
        <f aca="false">J54*(1+IF(K$3&lt;=$O$2,$D54,$D54-($D54-$I$49)*MIN(K$3-$O$2,$Q$2)/$Q$2))</f>
        <v>1972.8576194265</v>
      </c>
      <c r="L54" s="15" t="n">
        <f aca="false">K54*(1+IF(L$3&lt;=$O$2,$D54,$D54-($D54-$I$49)*MIN(L$3-$O$2,$Q$2)/$Q$2))</f>
        <v>1969.85887584497</v>
      </c>
      <c r="M54" s="15" t="n">
        <f aca="false">L54*(1+IF(M$3&lt;=$O$2,$D54,$D54-($D54-$I$49)*MIN(M$3-$O$2,$Q$2)/$Q$2))</f>
        <v>1986.38599181331</v>
      </c>
      <c r="N54" s="15" t="n">
        <f aca="false">M54*(1+IF(N$3&lt;=$O$2,$D54,$D54-($D54-$I$49)*MIN(N$3-$O$2,$Q$2)/$Q$2))</f>
        <v>2022.73685546349</v>
      </c>
      <c r="O54" s="15" t="n">
        <f aca="false">SUMPRODUCT(E54:N54,1/(1+$F$49)^$E$3:$N$3)*$E$2</f>
        <v>6487.84939447699</v>
      </c>
      <c r="P54" s="15" t="n">
        <f aca="false">N54*$E$2*(1+$I$49)/($F$49-$I$49)/(1+$F$49)^$N$3</f>
        <v>6164.84847721605</v>
      </c>
      <c r="Q54" s="15" t="n">
        <f aca="false">O54+P54</f>
        <v>12652.697871693</v>
      </c>
      <c r="R54" s="15" t="n">
        <f aca="false">Q54-$G$2+$I$2</f>
        <v>7301.13787169304</v>
      </c>
      <c r="S54" s="42" t="n">
        <f aca="false">R54/$K$2</f>
        <v>338.015642208011</v>
      </c>
      <c r="T54" s="43" t="n">
        <f aca="false">S54-$M$2</f>
        <v>-386.984357791989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41" t="n">
        <f aca="false">(B55+C55)/2</f>
        <v>0.015625</v>
      </c>
      <c r="E55" s="15" t="n">
        <f aca="false">$C$2*(1+IF(E$3&lt;=$O$2,$D55,$D55-($D55-$I$49)*MIN(E$3-$O$2,$Q$2)/$Q$2))</f>
        <v>2427.34375</v>
      </c>
      <c r="F55" s="15" t="n">
        <f aca="false">E55*(1+IF(F$3&lt;=$O$2,$D55,$D55-($D55-$I$49)*MIN(F$3-$O$2,$Q$2)/$Q$2))</f>
        <v>2465.27099609375</v>
      </c>
      <c r="G55" s="15" t="n">
        <f aca="false">F55*(1+IF(G$3&lt;=$O$2,$D55,$D55-($D55-$I$49)*MIN(G$3-$O$2,$Q$2)/$Q$2))</f>
        <v>2503.79085540772</v>
      </c>
      <c r="H55" s="15" t="n">
        <f aca="false">G55*(1+IF(H$3&lt;=$O$2,$D55,$D55-($D55-$I$49)*MIN(H$3-$O$2,$Q$2)/$Q$2))</f>
        <v>2542.91258752346</v>
      </c>
      <c r="I55" s="15" t="n">
        <f aca="false">H55*(1+IF(I$3&lt;=$O$2,$D55,$D55-($D55-$I$49)*MIN(I$3-$O$2,$Q$2)/$Q$2))</f>
        <v>2582.64559670351</v>
      </c>
      <c r="J55" s="15" t="n">
        <f aca="false">I55*(1+IF(J$3&lt;=$O$2,$D55,$D55-($D55-$I$49)*MIN(J$3-$O$2,$Q$2)/$Q$2))</f>
        <v>2624.38114954624</v>
      </c>
      <c r="K55" s="15" t="n">
        <f aca="false">J55*(1+IF(K$3&lt;=$O$2,$D55,$D55-($D55-$I$49)*MIN(K$3-$O$2,$Q$2)/$Q$2))</f>
        <v>2668.19519283792</v>
      </c>
      <c r="L55" s="15" t="n">
        <f aca="false">K55*(1+IF(L$3&lt;=$O$2,$D55,$D55-($D55-$I$49)*MIN(L$3-$O$2,$Q$2)/$Q$2))</f>
        <v>2714.16819601052</v>
      </c>
      <c r="M55" s="15" t="n">
        <f aca="false">L55*(1+IF(M$3&lt;=$O$2,$D55,$D55-($D55-$I$49)*MIN(M$3-$O$2,$Q$2)/$Q$2))</f>
        <v>2762.38539401264</v>
      </c>
      <c r="N55" s="15" t="n">
        <f aca="false">M55*(1+IF(N$3&lt;=$O$2,$D55,$D55-($D55-$I$49)*MIN(N$3-$O$2,$Q$2)/$Q$2))</f>
        <v>2812.93704672307</v>
      </c>
      <c r="O55" s="15" t="n">
        <f aca="false">SUMPRODUCT(E55:N55,1/(1+$F$49)^$E$3:$N$3)*$E$2</f>
        <v>7946.02907644472</v>
      </c>
      <c r="P55" s="15" t="n">
        <f aca="false">N55*$E$2*(1+$I$49)/($F$49-$I$49)/(1+$F$49)^$N$3</f>
        <v>8573.20151267119</v>
      </c>
      <c r="Q55" s="15" t="n">
        <f aca="false">O55+P55</f>
        <v>16519.2305891159</v>
      </c>
      <c r="R55" s="15" t="n">
        <f aca="false">Q55-$G$2+$I$2</f>
        <v>11167.6705891159</v>
      </c>
      <c r="S55" s="42" t="n">
        <f aca="false">R55/$K$2</f>
        <v>517.021786533144</v>
      </c>
      <c r="T55" s="43" t="n">
        <f aca="false">S55-$M$2</f>
        <v>-207.978213466856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0.015625</v>
      </c>
      <c r="C56" s="25" t="n">
        <f aca="false">IF(T55&gt;0,D55,C55)</f>
        <v>0.0625</v>
      </c>
      <c r="D56" s="41" t="n">
        <f aca="false">(B56+C56)/2</f>
        <v>0.0390625</v>
      </c>
      <c r="E56" s="15" t="n">
        <f aca="false">$C$2*(1+IF(E$3&lt;=$O$2,$D56,$D56-($D56-$I$49)*MIN(E$3-$O$2,$Q$2)/$Q$2))</f>
        <v>2483.359375</v>
      </c>
      <c r="F56" s="15" t="n">
        <f aca="false">E56*(1+IF(F$3&lt;=$O$2,$D56,$D56-($D56-$I$49)*MIN(F$3-$O$2,$Q$2)/$Q$2))</f>
        <v>2580.36560058594</v>
      </c>
      <c r="G56" s="15" t="n">
        <f aca="false">F56*(1+IF(G$3&lt;=$O$2,$D56,$D56-($D56-$I$49)*MIN(G$3-$O$2,$Q$2)/$Q$2))</f>
        <v>2681.16113185883</v>
      </c>
      <c r="H56" s="15" t="n">
        <f aca="false">G56*(1+IF(H$3&lt;=$O$2,$D56,$D56-($D56-$I$49)*MIN(H$3-$O$2,$Q$2)/$Q$2))</f>
        <v>2785.89398857206</v>
      </c>
      <c r="I56" s="15" t="n">
        <f aca="false">H56*(1+IF(I$3&lt;=$O$2,$D56,$D56-($D56-$I$49)*MIN(I$3-$O$2,$Q$2)/$Q$2))</f>
        <v>2894.71797250066</v>
      </c>
      <c r="J56" s="15" t="n">
        <f aca="false">I56*(1+IF(J$3&lt;=$O$2,$D56,$D56-($D56-$I$49)*MIN(J$3-$O$2,$Q$2)/$Q$2))</f>
        <v>2995.77257692066</v>
      </c>
      <c r="K56" s="15" t="n">
        <f aca="false">J56*(1+IF(K$3&lt;=$O$2,$D56,$D56-($D56-$I$49)*MIN(K$3-$O$2,$Q$2)/$Q$2))</f>
        <v>3087.91505195529</v>
      </c>
      <c r="L56" s="15" t="n">
        <f aca="false">K56*(1+IF(L$3&lt;=$O$2,$D56,$D56-($D56-$I$49)*MIN(L$3-$O$2,$Q$2)/$Q$2))</f>
        <v>3170.06903191256</v>
      </c>
      <c r="M56" s="15" t="n">
        <f aca="false">L56*(1+IF(M$3&lt;=$O$2,$D56,$D56-($D56-$I$49)*MIN(M$3-$O$2,$Q$2)/$Q$2))</f>
        <v>3241.24500685158</v>
      </c>
      <c r="N56" s="15" t="n">
        <f aca="false">M56*(1+IF(N$3&lt;=$O$2,$D56,$D56-($D56-$I$49)*MIN(N$3-$O$2,$Q$2)/$Q$2))</f>
        <v>3300.55979047696</v>
      </c>
      <c r="O56" s="15" t="n">
        <f aca="false">SUMPRODUCT(E56:N56,1/(1+$F$49)^$E$3:$N$3)*$E$2</f>
        <v>8796.84081542346</v>
      </c>
      <c r="P56" s="15" t="n">
        <f aca="false">N56*$E$2*(1+$I$49)/($F$49-$I$49)/(1+$F$49)^$N$3</f>
        <v>10059.366320104</v>
      </c>
      <c r="Q56" s="15" t="n">
        <f aca="false">O56+P56</f>
        <v>18856.2071355274</v>
      </c>
      <c r="R56" s="15" t="n">
        <f aca="false">Q56-$G$2+$I$2</f>
        <v>13504.6471355274</v>
      </c>
      <c r="S56" s="42" t="n">
        <f aca="false">R56/$K$2</f>
        <v>625.215145163307</v>
      </c>
      <c r="T56" s="43" t="n">
        <f aca="false">S56-$M$2</f>
        <v>-99.7848548366934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0.0390625</v>
      </c>
      <c r="C57" s="25" t="n">
        <f aca="false">IF(T56&gt;0,D56,C56)</f>
        <v>0.0625</v>
      </c>
      <c r="D57" s="41" t="n">
        <f aca="false">(B57+C57)/2</f>
        <v>0.05078125</v>
      </c>
      <c r="E57" s="15" t="n">
        <f aca="false">$C$2*(1+IF(E$3&lt;=$O$2,$D57,$D57-($D57-$I$49)*MIN(E$3-$O$2,$Q$2)/$Q$2))</f>
        <v>2511.3671875</v>
      </c>
      <c r="F57" s="15" t="n">
        <f aca="false">E57*(1+IF(F$3&lt;=$O$2,$D57,$D57-($D57-$I$49)*MIN(F$3-$O$2,$Q$2)/$Q$2))</f>
        <v>2638.89755249023</v>
      </c>
      <c r="G57" s="15" t="n">
        <f aca="false">F57*(1+IF(G$3&lt;=$O$2,$D57,$D57-($D57-$I$49)*MIN(G$3-$O$2,$Q$2)/$Q$2))</f>
        <v>2772.90406882763</v>
      </c>
      <c r="H57" s="15" t="n">
        <f aca="false">G57*(1+IF(H$3&lt;=$O$2,$D57,$D57-($D57-$I$49)*MIN(H$3-$O$2,$Q$2)/$Q$2))</f>
        <v>2913.71560357278</v>
      </c>
      <c r="I57" s="15" t="n">
        <f aca="false">H57*(1+IF(I$3&lt;=$O$2,$D57,$D57-($D57-$I$49)*MIN(I$3-$O$2,$Q$2)/$Q$2))</f>
        <v>3061.67772406671</v>
      </c>
      <c r="J57" s="15" t="n">
        <f aca="false">I57*(1+IF(J$3&lt;=$O$2,$D57,$D57-($D57-$I$49)*MIN(J$3-$O$2,$Q$2)/$Q$2))</f>
        <v>3197.26412207701</v>
      </c>
      <c r="K57" s="15" t="n">
        <f aca="false">J57*(1+IF(K$3&lt;=$O$2,$D57,$D57-($D57-$I$49)*MIN(K$3-$O$2,$Q$2)/$Q$2))</f>
        <v>3318.08473667014</v>
      </c>
      <c r="L57" s="15" t="n">
        <f aca="false">K57*(1+IF(L$3&lt;=$O$2,$D57,$D57-($D57-$I$49)*MIN(L$3-$O$2,$Q$2)/$Q$2))</f>
        <v>3421.91590329239</v>
      </c>
      <c r="M57" s="15" t="n">
        <f aca="false">L57*(1+IF(M$3&lt;=$O$2,$D57,$D57-($D57-$I$49)*MIN(M$3-$O$2,$Q$2)/$Q$2))</f>
        <v>3506.76658550941</v>
      </c>
      <c r="N57" s="15" t="n">
        <f aca="false">M57*(1+IF(N$3&lt;=$O$2,$D57,$D57-($D57-$I$49)*MIN(N$3-$O$2,$Q$2)/$Q$2))</f>
        <v>3570.94041402423</v>
      </c>
      <c r="O57" s="15" t="n">
        <f aca="false">SUMPRODUCT(E57:N57,1/(1+$F$49)^$E$3:$N$3)*$E$2</f>
        <v>9256.307183798</v>
      </c>
      <c r="P57" s="15" t="n">
        <f aca="false">N57*$E$2*(1+$I$49)/($F$49-$I$49)/(1+$F$49)^$N$3</f>
        <v>10883.4258466024</v>
      </c>
      <c r="Q57" s="15" t="n">
        <f aca="false">O57+P57</f>
        <v>20139.7330304004</v>
      </c>
      <c r="R57" s="15" t="n">
        <f aca="false">Q57-$G$2+$I$2</f>
        <v>14788.1730304004</v>
      </c>
      <c r="S57" s="42" t="n">
        <f aca="false">R57/$K$2</f>
        <v>684.637640296313</v>
      </c>
      <c r="T57" s="43" t="n">
        <f aca="false">S57-$M$2</f>
        <v>-40.3623597036869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0.05078125</v>
      </c>
      <c r="C58" s="25" t="n">
        <f aca="false">IF(T57&gt;0,D57,C57)</f>
        <v>0.0625</v>
      </c>
      <c r="D58" s="41" t="n">
        <f aca="false">(B58+C58)/2</f>
        <v>0.056640625</v>
      </c>
      <c r="E58" s="15" t="n">
        <f aca="false">$C$2*(1+IF(E$3&lt;=$O$2,$D58,$D58-($D58-$I$49)*MIN(E$3-$O$2,$Q$2)/$Q$2))</f>
        <v>2525.37109375</v>
      </c>
      <c r="F58" s="15" t="n">
        <f aca="false">E58*(1+IF(F$3&lt;=$O$2,$D58,$D58-($D58-$I$49)*MIN(F$3-$O$2,$Q$2)/$Q$2))</f>
        <v>2668.40969085693</v>
      </c>
      <c r="G58" s="15" t="n">
        <f aca="false">F58*(1+IF(G$3&lt;=$O$2,$D58,$D58-($D58-$I$49)*MIN(G$3-$O$2,$Q$2)/$Q$2))</f>
        <v>2819.55008350313</v>
      </c>
      <c r="H58" s="15" t="n">
        <f aca="false">G58*(1+IF(H$3&lt;=$O$2,$D58,$D58-($D58-$I$49)*MIN(H$3-$O$2,$Q$2)/$Q$2))</f>
        <v>2979.25116245155</v>
      </c>
      <c r="I58" s="15" t="n">
        <f aca="false">H58*(1+IF(I$3&lt;=$O$2,$D58,$D58-($D58-$I$49)*MIN(I$3-$O$2,$Q$2)/$Q$2))</f>
        <v>3147.99781032478</v>
      </c>
      <c r="J58" s="15" t="n">
        <f aca="false">I58*(1+IF(J$3&lt;=$O$2,$D58,$D58-($D58-$I$49)*MIN(J$3-$O$2,$Q$2)/$Q$2))</f>
        <v>3302.16313309091</v>
      </c>
      <c r="K58" s="15" t="n">
        <f aca="false">J58*(1+IF(K$3&lt;=$O$2,$D58,$D58-($D58-$I$49)*MIN(K$3-$O$2,$Q$2)/$Q$2))</f>
        <v>3438.55691745127</v>
      </c>
      <c r="L58" s="15" t="n">
        <f aca="false">K58*(1+IF(L$3&lt;=$O$2,$D58,$D58-($D58-$I$49)*MIN(L$3-$O$2,$Q$2)/$Q$2))</f>
        <v>3554.21707756589</v>
      </c>
      <c r="M58" s="15" t="n">
        <f aca="false">L58*(1+IF(M$3&lt;=$O$2,$D58,$D58-($D58-$I$49)*MIN(M$3-$O$2,$Q$2)/$Q$2))</f>
        <v>3646.51343091326</v>
      </c>
      <c r="N58" s="15" t="n">
        <f aca="false">M58*(1+IF(N$3&lt;=$O$2,$D58,$D58-($D58-$I$49)*MIN(N$3-$O$2,$Q$2)/$Q$2))</f>
        <v>3713.24462669897</v>
      </c>
      <c r="O58" s="15" t="n">
        <f aca="false">SUMPRODUCT(E58:N58,1/(1+$F$49)^$E$3:$N$3)*$E$2</f>
        <v>9495.04637798513</v>
      </c>
      <c r="P58" s="15" t="n">
        <f aca="false">N58*$E$2*(1+$I$49)/($F$49-$I$49)/(1+$F$49)^$N$3</f>
        <v>11317.137185</v>
      </c>
      <c r="Q58" s="15" t="n">
        <f aca="false">O58+P58</f>
        <v>20812.1835629851</v>
      </c>
      <c r="R58" s="15" t="n">
        <f aca="false">Q58-$G$2+$I$2</f>
        <v>15460.6235629851</v>
      </c>
      <c r="S58" s="42" t="n">
        <f aca="false">R58/$K$2</f>
        <v>715.769609397459</v>
      </c>
      <c r="T58" s="43" t="n">
        <f aca="false">S58-$M$2</f>
        <v>-9.23039060254075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0.056640625</v>
      </c>
      <c r="C59" s="25" t="n">
        <f aca="false">IF(T58&gt;0,D58,C58)</f>
        <v>0.0625</v>
      </c>
      <c r="D59" s="41" t="n">
        <f aca="false">(B59+C59)/2</f>
        <v>0.0595703125</v>
      </c>
      <c r="E59" s="15" t="n">
        <f aca="false">$C$2*(1+IF(E$3&lt;=$O$2,$D59,$D59-($D59-$I$49)*MIN(E$3-$O$2,$Q$2)/$Q$2))</f>
        <v>2532.373046875</v>
      </c>
      <c r="F59" s="15" t="n">
        <f aca="false">E59*(1+IF(F$3&lt;=$O$2,$D59,$D59-($D59-$I$49)*MIN(F$3-$O$2,$Q$2)/$Q$2))</f>
        <v>2683.22730064392</v>
      </c>
      <c r="G59" s="15" t="n">
        <f aca="false">F59*(1+IF(G$3&lt;=$O$2,$D59,$D59-($D59-$I$49)*MIN(G$3-$O$2,$Q$2)/$Q$2))</f>
        <v>2843.06798945181</v>
      </c>
      <c r="H59" s="15" t="n">
        <f aca="false">G59*(1+IF(H$3&lt;=$O$2,$D59,$D59-($D59-$I$49)*MIN(H$3-$O$2,$Q$2)/$Q$2))</f>
        <v>3012.4304380422</v>
      </c>
      <c r="I59" s="15" t="n">
        <f aca="false">H59*(1+IF(I$3&lt;=$O$2,$D59,$D59-($D59-$I$49)*MIN(I$3-$O$2,$Q$2)/$Q$2))</f>
        <v>3191.88186062089</v>
      </c>
      <c r="J59" s="15" t="n">
        <f aca="false">I59*(1+IF(J$3&lt;=$O$2,$D59,$D59-($D59-$I$49)*MIN(J$3-$O$2,$Q$2)/$Q$2))</f>
        <v>3355.67726815097</v>
      </c>
      <c r="K59" s="15" t="n">
        <f aca="false">J59*(1+IF(K$3&lt;=$O$2,$D59,$D59-($D59-$I$49)*MIN(K$3-$O$2,$Q$2)/$Q$2))</f>
        <v>3500.18007186158</v>
      </c>
      <c r="L59" s="15" t="n">
        <f aca="false">K59*(1+IF(L$3&lt;=$O$2,$D59,$D59-($D59-$I$49)*MIN(L$3-$O$2,$Q$2)/$Q$2))</f>
        <v>3622.01477732545</v>
      </c>
      <c r="M59" s="15" t="n">
        <f aca="false">L59*(1+IF(M$3&lt;=$O$2,$D59,$D59-($D59-$I$49)*MIN(M$3-$O$2,$Q$2)/$Q$2))</f>
        <v>3718.19398409847</v>
      </c>
      <c r="N59" s="15" t="n">
        <f aca="false">M59*(1+IF(N$3&lt;=$O$2,$D59,$D59-($D59-$I$49)*MIN(N$3-$O$2,$Q$2)/$Q$2))</f>
        <v>3786.23693400747</v>
      </c>
      <c r="O59" s="15" t="n">
        <f aca="false">SUMPRODUCT(E59:N59,1/(1+$F$49)^$E$3:$N$3)*$E$2</f>
        <v>9616.73128680546</v>
      </c>
      <c r="P59" s="15" t="n">
        <f aca="false">N59*$E$2*(1+$I$49)/($F$49-$I$49)/(1+$F$49)^$N$3</f>
        <v>11539.6013742216</v>
      </c>
      <c r="Q59" s="15" t="n">
        <f aca="false">O59+P59</f>
        <v>21156.332661027</v>
      </c>
      <c r="R59" s="15" t="n">
        <f aca="false">Q59-$G$2+$I$2</f>
        <v>15804.772661027</v>
      </c>
      <c r="S59" s="42" t="n">
        <f aca="false">R59/$K$2</f>
        <v>731.702438010511</v>
      </c>
      <c r="T59" s="43" t="n">
        <f aca="false">S59-$M$2</f>
        <v>6.70243801051095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0.056640625</v>
      </c>
      <c r="C60" s="25" t="n">
        <f aca="false">IF(T59&gt;0,D59,C59)</f>
        <v>0.0595703125</v>
      </c>
      <c r="D60" s="41" t="n">
        <f aca="false">(B60+C60)/2</f>
        <v>0.05810546875</v>
      </c>
      <c r="E60" s="15" t="n">
        <f aca="false">$C$2*(1+IF(E$3&lt;=$O$2,$D60,$D60-($D60-$I$49)*MIN(E$3-$O$2,$Q$2)/$Q$2))</f>
        <v>2528.8720703125</v>
      </c>
      <c r="F60" s="15" t="n">
        <f aca="false">E60*(1+IF(F$3&lt;=$O$2,$D60,$D60-($D60-$I$49)*MIN(F$3-$O$2,$Q$2)/$Q$2))</f>
        <v>2675.81336736679</v>
      </c>
      <c r="G60" s="15" t="n">
        <f aca="false">F60*(1+IF(G$3&lt;=$O$2,$D60,$D60-($D60-$I$49)*MIN(G$3-$O$2,$Q$2)/$Q$2))</f>
        <v>2831.29275736515</v>
      </c>
      <c r="H60" s="15" t="n">
        <f aca="false">G60*(1+IF(H$3&lt;=$O$2,$D60,$D60-($D60-$I$49)*MIN(H$3-$O$2,$Q$2)/$Q$2))</f>
        <v>2995.80635020034</v>
      </c>
      <c r="I60" s="15" t="n">
        <f aca="false">H60*(1+IF(I$3&lt;=$O$2,$D60,$D60-($D60-$I$49)*MIN(I$3-$O$2,$Q$2)/$Q$2))</f>
        <v>3169.87908246295</v>
      </c>
      <c r="J60" s="15" t="n">
        <f aca="false">I60*(1+IF(J$3&lt;=$O$2,$D60,$D60-($D60-$I$49)*MIN(J$3-$O$2,$Q$2)/$Q$2))</f>
        <v>3328.83068787863</v>
      </c>
      <c r="K60" s="15" t="n">
        <f aca="false">J60*(1+IF(K$3&lt;=$O$2,$D60,$D60-($D60-$I$49)*MIN(K$3-$O$2,$Q$2)/$Q$2))</f>
        <v>3469.25168901905</v>
      </c>
      <c r="L60" s="15" t="n">
        <f aca="false">K60*(1+IF(L$3&lt;=$O$2,$D60,$D60-($D60-$I$49)*MIN(L$3-$O$2,$Q$2)/$Q$2))</f>
        <v>3587.97707080535</v>
      </c>
      <c r="M60" s="15" t="n">
        <f aca="false">L60*(1+IF(M$3&lt;=$O$2,$D60,$D60-($D60-$I$49)*MIN(M$3-$O$2,$Q$2)/$Q$2))</f>
        <v>3682.20127303462</v>
      </c>
      <c r="N60" s="15" t="n">
        <f aca="false">M60*(1+IF(N$3&lt;=$O$2,$D60,$D60-($D60-$I$49)*MIN(N$3-$O$2,$Q$2)/$Q$2))</f>
        <v>3749.58555633115</v>
      </c>
      <c r="O60" s="15" t="n">
        <f aca="false">SUMPRODUCT(E60:N60,1/(1+$F$49)^$E$3:$N$3)*$E$2</f>
        <v>9555.6939582907</v>
      </c>
      <c r="P60" s="15" t="n">
        <f aca="false">N60*$E$2*(1+$I$49)/($F$49-$I$49)/(1+$F$49)^$N$3</f>
        <v>11427.8961915897</v>
      </c>
      <c r="Q60" s="15" t="n">
        <f aca="false">O60+P60</f>
        <v>20983.5901498804</v>
      </c>
      <c r="R60" s="15" t="n">
        <f aca="false">Q60-$G$2+$I$2</f>
        <v>15632.0301498804</v>
      </c>
      <c r="S60" s="42" t="n">
        <f aca="false">R60/$K$2</f>
        <v>723.705099531501</v>
      </c>
      <c r="T60" s="43" t="n">
        <f aca="false">S60-$M$2</f>
        <v>-1.29490046849878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0.05810546875</v>
      </c>
      <c r="C61" s="25" t="n">
        <f aca="false">IF(T60&gt;0,D60,C60)</f>
        <v>0.0595703125</v>
      </c>
      <c r="D61" s="41" t="n">
        <f aca="false">(B61+C61)/2</f>
        <v>0.058837890625</v>
      </c>
      <c r="E61" s="15" t="n">
        <f aca="false">$C$2*(1+IF(E$3&lt;=$O$2,$D61,$D61-($D61-$I$49)*MIN(E$3-$O$2,$Q$2)/$Q$2))</f>
        <v>2530.62255859375</v>
      </c>
      <c r="F61" s="15" t="n">
        <f aca="false">E61*(1+IF(F$3&lt;=$O$2,$D61,$D61-($D61-$I$49)*MIN(F$3-$O$2,$Q$2)/$Q$2))</f>
        <v>2679.51905190945</v>
      </c>
      <c r="G61" s="15" t="n">
        <f aca="false">F61*(1+IF(G$3&lt;=$O$2,$D61,$D61-($D61-$I$49)*MIN(G$3-$O$2,$Q$2)/$Q$2))</f>
        <v>2837.1763008133</v>
      </c>
      <c r="H61" s="15" t="n">
        <f aca="false">G61*(1+IF(H$3&lt;=$O$2,$D61,$D61-($D61-$I$49)*MIN(H$3-$O$2,$Q$2)/$Q$2))</f>
        <v>3004.10976968439</v>
      </c>
      <c r="I61" s="15" t="n">
        <f aca="false">H61*(1+IF(I$3&lt;=$O$2,$D61,$D61-($D61-$I$49)*MIN(I$3-$O$2,$Q$2)/$Q$2))</f>
        <v>3180.86525173858</v>
      </c>
      <c r="J61" s="15" t="n">
        <f aca="false">I61*(1+IF(J$3&lt;=$O$2,$D61,$D61-($D61-$I$49)*MIN(J$3-$O$2,$Q$2)/$Q$2))</f>
        <v>3342.23153997967</v>
      </c>
      <c r="K61" s="15" t="n">
        <f aca="false">J61*(1+IF(K$3&lt;=$O$2,$D61,$D61-($D61-$I$49)*MIN(K$3-$O$2,$Q$2)/$Q$2))</f>
        <v>3484.68658712797</v>
      </c>
      <c r="L61" s="15" t="n">
        <f aca="false">K61*(1+IF(L$3&lt;=$O$2,$D61,$D61-($D61-$I$49)*MIN(L$3-$O$2,$Q$2)/$Q$2))</f>
        <v>3604.96108916497</v>
      </c>
      <c r="M61" s="15" t="n">
        <f aca="false">L61*(1+IF(M$3&lt;=$O$2,$D61,$D61-($D61-$I$49)*MIN(M$3-$O$2,$Q$2)/$Q$2))</f>
        <v>3700.15938076468</v>
      </c>
      <c r="N61" s="15" t="n">
        <f aca="false">M61*(1+IF(N$3&lt;=$O$2,$D61,$D61-($D61-$I$49)*MIN(N$3-$O$2,$Q$2)/$Q$2))</f>
        <v>3767.87229743267</v>
      </c>
      <c r="O61" s="15" t="n">
        <f aca="false">SUMPRODUCT(E61:N61,1/(1+$F$49)^$E$3:$N$3)*$E$2</f>
        <v>9586.16375812307</v>
      </c>
      <c r="P61" s="15" t="n">
        <f aca="false">N61*$E$2*(1+$I$49)/($F$49-$I$49)/(1+$F$49)^$N$3</f>
        <v>11483.6300789357</v>
      </c>
      <c r="Q61" s="15" t="n">
        <f aca="false">O61+P61</f>
        <v>21069.7938370588</v>
      </c>
      <c r="R61" s="15" t="n">
        <f aca="false">Q61-$G$2+$I$2</f>
        <v>15718.2338370588</v>
      </c>
      <c r="S61" s="42" t="n">
        <f aca="false">R61/$K$2</f>
        <v>727.696010974943</v>
      </c>
      <c r="T61" s="43" t="n">
        <f aca="false">S61-$M$2</f>
        <v>2.69601097494262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0.05810546875</v>
      </c>
      <c r="C62" s="25" t="n">
        <f aca="false">IF(T61&gt;0,D61,C61)</f>
        <v>0.058837890625</v>
      </c>
      <c r="D62" s="41" t="n">
        <f aca="false">(B62+C62)/2</f>
        <v>0.0584716796875</v>
      </c>
      <c r="E62" s="15" t="n">
        <f aca="false">$C$2*(1+IF(E$3&lt;=$O$2,$D62,$D62-($D62-$I$49)*MIN(E$3-$O$2,$Q$2)/$Q$2))</f>
        <v>2529.74731445313</v>
      </c>
      <c r="F62" s="15" t="n">
        <f aca="false">E62*(1+IF(F$3&lt;=$O$2,$D62,$D62-($D62-$I$49)*MIN(F$3-$O$2,$Q$2)/$Q$2))</f>
        <v>2677.66588911414</v>
      </c>
      <c r="G62" s="15" t="n">
        <f aca="false">F62*(1+IF(G$3&lt;=$O$2,$D62,$D62-($D62-$I$49)*MIN(G$3-$O$2,$Q$2)/$Q$2))</f>
        <v>2834.23351129257</v>
      </c>
      <c r="H62" s="15" t="n">
        <f aca="false">G62*(1+IF(H$3&lt;=$O$2,$D62,$D62-($D62-$I$49)*MIN(H$3-$O$2,$Q$2)/$Q$2))</f>
        <v>2999.95590532445</v>
      </c>
      <c r="I62" s="15" t="n">
        <f aca="false">H62*(1+IF(I$3&lt;=$O$2,$D62,$D62-($D62-$I$49)*MIN(I$3-$O$2,$Q$2)/$Q$2))</f>
        <v>3175.3683660972</v>
      </c>
      <c r="J62" s="15" t="n">
        <f aca="false">I62*(1+IF(J$3&lt;=$O$2,$D62,$D62-($D62-$I$49)*MIN(J$3-$O$2,$Q$2)/$Q$2))</f>
        <v>3335.52551191092</v>
      </c>
      <c r="K62" s="15" t="n">
        <f aca="false">J62*(1+IF(K$3&lt;=$O$2,$D62,$D62-($D62-$I$49)*MIN(K$3-$O$2,$Q$2)/$Q$2))</f>
        <v>3476.96182625127</v>
      </c>
      <c r="L62" s="15" t="n">
        <f aca="false">K62*(1+IF(L$3&lt;=$O$2,$D62,$D62-($D62-$I$49)*MIN(L$3-$O$2,$Q$2)/$Q$2))</f>
        <v>3596.4603863796</v>
      </c>
      <c r="M62" s="15" t="n">
        <f aca="false">L62*(1+IF(M$3&lt;=$O$2,$D62,$D62-($D62-$I$49)*MIN(M$3-$O$2,$Q$2)/$Q$2))</f>
        <v>3691.17078238044</v>
      </c>
      <c r="N62" s="15" t="n">
        <f aca="false">M62*(1+IF(N$3&lt;=$O$2,$D62,$D62-($D62-$I$49)*MIN(N$3-$O$2,$Q$2)/$Q$2))</f>
        <v>3758.719207698</v>
      </c>
      <c r="O62" s="15" t="n">
        <f aca="false">SUMPRODUCT(E62:N62,1/(1+$F$49)^$E$3:$N$3)*$E$2</f>
        <v>9570.91666036765</v>
      </c>
      <c r="P62" s="15" t="n">
        <f aca="false">N62*$E$2*(1+$I$49)/($F$49-$I$49)/(1+$F$49)^$N$3</f>
        <v>11455.733513369</v>
      </c>
      <c r="Q62" s="15" t="n">
        <f aca="false">O62+P62</f>
        <v>21026.6501737366</v>
      </c>
      <c r="R62" s="15" t="n">
        <f aca="false">Q62-$G$2+$I$2</f>
        <v>15675.0901737366</v>
      </c>
      <c r="S62" s="42" t="n">
        <f aca="false">R62/$K$2</f>
        <v>725.698619154474</v>
      </c>
      <c r="T62" s="43" t="n">
        <f aca="false">S62-$M$2</f>
        <v>0.698619154474159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0.05810546875</v>
      </c>
      <c r="C63" s="25" t="n">
        <f aca="false">IF(T62&gt;0,D62,C62)</f>
        <v>0.0584716796875</v>
      </c>
      <c r="D63" s="41" t="n">
        <f aca="false">(B63+C63)/2</f>
        <v>0.05828857421875</v>
      </c>
      <c r="E63" s="15" t="n">
        <f aca="false">$C$2*(1+IF(E$3&lt;=$O$2,$D63,$D63-($D63-$I$49)*MIN(E$3-$O$2,$Q$2)/$Q$2))</f>
        <v>2529.30969238281</v>
      </c>
      <c r="F63" s="15" t="n">
        <f aca="false">E63*(1+IF(F$3&lt;=$O$2,$D63,$D63-($D63-$I$49)*MIN(F$3-$O$2,$Q$2)/$Q$2))</f>
        <v>2676.73954810947</v>
      </c>
      <c r="G63" s="15" t="n">
        <f aca="false">F63*(1+IF(G$3&lt;=$O$2,$D63,$D63-($D63-$I$49)*MIN(G$3-$O$2,$Q$2)/$Q$2))</f>
        <v>2832.76287992371</v>
      </c>
      <c r="H63" s="15" t="n">
        <f aca="false">G63*(1+IF(H$3&lt;=$O$2,$D63,$D63-($D63-$I$49)*MIN(H$3-$O$2,$Q$2)/$Q$2))</f>
        <v>2997.88058929427</v>
      </c>
      <c r="I63" s="15" t="n">
        <f aca="false">H63*(1+IF(I$3&lt;=$O$2,$D63,$D63-($D63-$I$49)*MIN(I$3-$O$2,$Q$2)/$Q$2))</f>
        <v>3172.6227745223</v>
      </c>
      <c r="J63" s="15" t="n">
        <f aca="false">I63*(1+IF(J$3&lt;=$O$2,$D63,$D63-($D63-$I$49)*MIN(J$3-$O$2,$Q$2)/$Q$2))</f>
        <v>3332.17670032572</v>
      </c>
      <c r="K63" s="15" t="n">
        <f aca="false">J63*(1+IF(K$3&lt;=$O$2,$D63,$D63-($D63-$I$49)*MIN(K$3-$O$2,$Q$2)/$Q$2))</f>
        <v>3473.10493111626</v>
      </c>
      <c r="L63" s="15" t="n">
        <f aca="false">K63*(1+IF(L$3&lt;=$O$2,$D63,$D63-($D63-$I$49)*MIN(L$3-$O$2,$Q$2)/$Q$2))</f>
        <v>3592.21655707867</v>
      </c>
      <c r="M63" s="15" t="n">
        <f aca="false">L63*(1+IF(M$3&lt;=$O$2,$D63,$D63-($D63-$I$49)*MIN(M$3-$O$2,$Q$2)/$Q$2))</f>
        <v>3686.68364375372</v>
      </c>
      <c r="N63" s="15" t="n">
        <f aca="false">M63*(1+IF(N$3&lt;=$O$2,$D63,$D63-($D63-$I$49)*MIN(N$3-$O$2,$Q$2)/$Q$2))</f>
        <v>3754.14995443441</v>
      </c>
      <c r="O63" s="15" t="n">
        <f aca="false">SUMPRODUCT(E63:N63,1/(1+$F$49)^$E$3:$N$3)*$E$2</f>
        <v>9563.30226215015</v>
      </c>
      <c r="P63" s="15" t="n">
        <f aca="false">N63*$E$2*(1+$I$49)/($F$49-$I$49)/(1+$F$49)^$N$3</f>
        <v>11441.8074537592</v>
      </c>
      <c r="Q63" s="15" t="n">
        <f aca="false">O63+P63</f>
        <v>21005.1097159094</v>
      </c>
      <c r="R63" s="15" t="n">
        <f aca="false">Q63-$G$2+$I$2</f>
        <v>15653.5497159094</v>
      </c>
      <c r="S63" s="42" t="n">
        <f aca="false">R63/$K$2</f>
        <v>724.701375736546</v>
      </c>
      <c r="T63" s="43" t="n">
        <f aca="false">S63-$M$2</f>
        <v>-0.298624263454485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0.05828857421875</v>
      </c>
      <c r="C64" s="25" t="n">
        <f aca="false">IF(T63&gt;0,D63,C63)</f>
        <v>0.0584716796875</v>
      </c>
      <c r="D64" s="41" t="n">
        <f aca="false">(B64+C64)/2</f>
        <v>0.058380126953125</v>
      </c>
      <c r="E64" s="15" t="n">
        <f aca="false">$C$2*(1+IF(E$3&lt;=$O$2,$D64,$D64-($D64-$I$49)*MIN(E$3-$O$2,$Q$2)/$Q$2))</f>
        <v>2529.52850341797</v>
      </c>
      <c r="F64" s="15" t="n">
        <f aca="false">E64*(1+IF(F$3&lt;=$O$2,$D64,$D64-($D64-$I$49)*MIN(F$3-$O$2,$Q$2)/$Q$2))</f>
        <v>2677.20269857906</v>
      </c>
      <c r="G64" s="15" t="n">
        <f aca="false">F64*(1+IF(G$3&lt;=$O$2,$D64,$D64-($D64-$I$49)*MIN(G$3-$O$2,$Q$2)/$Q$2))</f>
        <v>2833.49813200135</v>
      </c>
      <c r="H64" s="15" t="n">
        <f aca="false">G64*(1+IF(H$3&lt;=$O$2,$D64,$D64-($D64-$I$49)*MIN(H$3-$O$2,$Q$2)/$Q$2))</f>
        <v>2998.91811266903</v>
      </c>
      <c r="I64" s="15" t="n">
        <f aca="false">H64*(1+IF(I$3&lt;=$O$2,$D64,$D64-($D64-$I$49)*MIN(I$3-$O$2,$Q$2)/$Q$2))</f>
        <v>3173.99533280868</v>
      </c>
      <c r="J64" s="15" t="n">
        <f aca="false">I64*(1+IF(J$3&lt;=$O$2,$D64,$D64-($D64-$I$49)*MIN(J$3-$O$2,$Q$2)/$Q$2))</f>
        <v>3333.85075610916</v>
      </c>
      <c r="K64" s="15" t="n">
        <f aca="false">J64*(1+IF(K$3&lt;=$O$2,$D64,$D64-($D64-$I$49)*MIN(K$3-$O$2,$Q$2)/$Q$2))</f>
        <v>3475.03292187453</v>
      </c>
      <c r="L64" s="15" t="n">
        <f aca="false">K64*(1+IF(L$3&lt;=$O$2,$D64,$D64-($D64-$I$49)*MIN(L$3-$O$2,$Q$2)/$Q$2))</f>
        <v>3594.33792861484</v>
      </c>
      <c r="M64" s="15" t="n">
        <f aca="false">L64*(1+IF(M$3&lt;=$O$2,$D64,$D64-($D64-$I$49)*MIN(M$3-$O$2,$Q$2)/$Q$2))</f>
        <v>3688.92661680676</v>
      </c>
      <c r="N64" s="15" t="n">
        <f aca="false">M64*(1+IF(N$3&lt;=$O$2,$D64,$D64-($D64-$I$49)*MIN(N$3-$O$2,$Q$2)/$Q$2))</f>
        <v>3756.43397389432</v>
      </c>
      <c r="O64" s="15" t="n">
        <f aca="false">SUMPRODUCT(E64:N64,1/(1+$F$49)^$E$3:$N$3)*$E$2</f>
        <v>9567.10869917916</v>
      </c>
      <c r="P64" s="15" t="n">
        <f aca="false">N64*$E$2*(1+$I$49)/($F$49-$I$49)/(1+$F$49)^$N$3</f>
        <v>11448.7686330403</v>
      </c>
      <c r="Q64" s="15" t="n">
        <f aca="false">O64+P64</f>
        <v>21015.8773322195</v>
      </c>
      <c r="R64" s="15" t="n">
        <f aca="false">Q64-$G$2+$I$2</f>
        <v>15664.3173322195</v>
      </c>
      <c r="S64" s="42" t="n">
        <f aca="false">R64/$K$2</f>
        <v>725.199876491643</v>
      </c>
      <c r="T64" s="43" t="n">
        <f aca="false">S64-$M$2</f>
        <v>0.199876491642726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0.05828857421875</v>
      </c>
      <c r="C65" s="25" t="n">
        <f aca="false">IF(T64&gt;0,D64,C64)</f>
        <v>0.058380126953125</v>
      </c>
      <c r="D65" s="41" t="n">
        <f aca="false">(B65+C65)/2</f>
        <v>0.0583343505859375</v>
      </c>
      <c r="E65" s="15" t="n">
        <f aca="false">$C$2*(1+IF(E$3&lt;=$O$2,$D65,$D65-($D65-$I$49)*MIN(E$3-$O$2,$Q$2)/$Q$2))</f>
        <v>2529.41909790039</v>
      </c>
      <c r="F65" s="15" t="n">
        <f aca="false">E65*(1+IF(F$3&lt;=$O$2,$D65,$D65-($D65-$I$49)*MIN(F$3-$O$2,$Q$2)/$Q$2))</f>
        <v>2676.97111833608</v>
      </c>
      <c r="G65" s="15" t="n">
        <f aca="false">F65*(1+IF(G$3&lt;=$O$2,$D65,$D65-($D65-$I$49)*MIN(G$3-$O$2,$Q$2)/$Q$2))</f>
        <v>2833.13049006152</v>
      </c>
      <c r="H65" s="15" t="n">
        <f aca="false">G65*(1+IF(H$3&lt;=$O$2,$D65,$D65-($D65-$I$49)*MIN(H$3-$O$2,$Q$2)/$Q$2))</f>
        <v>2998.39931732448</v>
      </c>
      <c r="I65" s="15" t="n">
        <f aca="false">H65*(1+IF(I$3&lt;=$O$2,$D65,$D65-($D65-$I$49)*MIN(I$3-$O$2,$Q$2)/$Q$2))</f>
        <v>3173.30899429792</v>
      </c>
      <c r="J65" s="15" t="n">
        <f aca="false">I65*(1+IF(J$3&lt;=$O$2,$D65,$D65-($D65-$I$49)*MIN(J$3-$O$2,$Q$2)/$Q$2))</f>
        <v>3333.01364072976</v>
      </c>
      <c r="K65" s="15" t="n">
        <f aca="false">J65*(1+IF(K$3&lt;=$O$2,$D65,$D65-($D65-$I$49)*MIN(K$3-$O$2,$Q$2)/$Q$2))</f>
        <v>3474.06881231553</v>
      </c>
      <c r="L65" s="15" t="n">
        <f aca="false">K65*(1+IF(L$3&lt;=$O$2,$D65,$D65-($D65-$I$49)*MIN(L$3-$O$2,$Q$2)/$Q$2))</f>
        <v>3593.27710709767</v>
      </c>
      <c r="M65" s="15" t="n">
        <f aca="false">L65*(1+IF(M$3&lt;=$O$2,$D65,$D65-($D65-$I$49)*MIN(M$3-$O$2,$Q$2)/$Q$2))</f>
        <v>3687.80498124915</v>
      </c>
      <c r="N65" s="15" t="n">
        <f aca="false">M65*(1+IF(N$3&lt;=$O$2,$D65,$D65-($D65-$I$49)*MIN(N$3-$O$2,$Q$2)/$Q$2))</f>
        <v>3755.29181240601</v>
      </c>
      <c r="O65" s="15" t="n">
        <f aca="false">SUMPRODUCT(E65:N65,1/(1+$F$49)^$E$3:$N$3)*$E$2</f>
        <v>9565.20529018035</v>
      </c>
      <c r="P65" s="15" t="n">
        <f aca="false">N65*$E$2*(1+$I$49)/($F$49-$I$49)/(1+$F$49)^$N$3</f>
        <v>11445.2875808743</v>
      </c>
      <c r="Q65" s="15" t="n">
        <f aca="false">O65+P65</f>
        <v>21010.4928710547</v>
      </c>
      <c r="R65" s="15" t="n">
        <f aca="false">Q65-$G$2+$I$2</f>
        <v>15658.9328710547</v>
      </c>
      <c r="S65" s="42" t="n">
        <f aca="false">R65/$K$2</f>
        <v>724.950595882161</v>
      </c>
      <c r="T65" s="43" t="n">
        <f aca="false">S65-$M$2</f>
        <v>-0.0494041178392308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0.0583343505859375</v>
      </c>
      <c r="C66" s="25" t="n">
        <f aca="false">IF(T65&gt;0,D65,C65)</f>
        <v>0.058380126953125</v>
      </c>
      <c r="D66" s="41" t="n">
        <f aca="false">(B66+C66)/2</f>
        <v>0.0583572387695313</v>
      </c>
      <c r="E66" s="15" t="n">
        <f aca="false">$C$2*(1+IF(E$3&lt;=$O$2,$D66,$D66-($D66-$I$49)*MIN(E$3-$O$2,$Q$2)/$Q$2))</f>
        <v>2529.47380065918</v>
      </c>
      <c r="F66" s="15" t="n">
        <f aca="false">E66*(1+IF(F$3&lt;=$O$2,$D66,$D66-($D66-$I$49)*MIN(F$3-$O$2,$Q$2)/$Q$2))</f>
        <v>2677.08690720552</v>
      </c>
      <c r="G66" s="15" t="n">
        <f aca="false">F66*(1+IF(G$3&lt;=$O$2,$D66,$D66-($D66-$I$49)*MIN(G$3-$O$2,$Q$2)/$Q$2))</f>
        <v>2833.3143070561</v>
      </c>
      <c r="H66" s="15" t="n">
        <f aca="false">G66*(1+IF(H$3&lt;=$O$2,$D66,$D66-($D66-$I$49)*MIN(H$3-$O$2,$Q$2)/$Q$2))</f>
        <v>2998.6587065821</v>
      </c>
      <c r="I66" s="15" t="n">
        <f aca="false">H66*(1+IF(I$3&lt;=$O$2,$D66,$D66-($D66-$I$49)*MIN(I$3-$O$2,$Q$2)/$Q$2))</f>
        <v>3173.65214871045</v>
      </c>
      <c r="J66" s="15" t="n">
        <f aca="false">I66*(1+IF(J$3&lt;=$O$2,$D66,$D66-($D66-$I$49)*MIN(J$3-$O$2,$Q$2)/$Q$2))</f>
        <v>3333.43217654571</v>
      </c>
      <c r="K66" s="15" t="n">
        <f aca="false">J66*(1+IF(K$3&lt;=$O$2,$D66,$D66-($D66-$I$49)*MIN(K$3-$O$2,$Q$2)/$Q$2))</f>
        <v>3474.55083854726</v>
      </c>
      <c r="L66" s="15" t="n">
        <f aca="false">K66*(1+IF(L$3&lt;=$O$2,$D66,$D66-($D66-$I$49)*MIN(L$3-$O$2,$Q$2)/$Q$2))</f>
        <v>3593.8074839153</v>
      </c>
      <c r="M66" s="15" t="n">
        <f aca="false">L66*(1+IF(M$3&lt;=$O$2,$D66,$D66-($D66-$I$49)*MIN(M$3-$O$2,$Q$2)/$Q$2))</f>
        <v>3688.36576176593</v>
      </c>
      <c r="N66" s="15" t="n">
        <f aca="false">M66*(1+IF(N$3&lt;=$O$2,$D66,$D66-($D66-$I$49)*MIN(N$3-$O$2,$Q$2)/$Q$2))</f>
        <v>3755.86285520625</v>
      </c>
      <c r="O66" s="15" t="n">
        <f aca="false">SUMPRODUCT(E66:N66,1/(1+$F$49)^$E$3:$N$3)*$E$2</f>
        <v>9566.15694705422</v>
      </c>
      <c r="P66" s="15" t="n">
        <f aca="false">N66*$E$2*(1+$I$49)/($F$49-$I$49)/(1+$F$49)^$N$3</f>
        <v>11447.0279913128</v>
      </c>
      <c r="Q66" s="15" t="n">
        <f aca="false">O66+P66</f>
        <v>21013.184938367</v>
      </c>
      <c r="R66" s="15" t="n">
        <f aca="false">Q66-$G$2+$I$2</f>
        <v>15661.624938367</v>
      </c>
      <c r="S66" s="42" t="n">
        <f aca="false">R66/$K$2</f>
        <v>725.075228628102</v>
      </c>
      <c r="T66" s="43" t="n">
        <f aca="false">S66-$M$2</f>
        <v>0.0752286281017405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0.0583343505859375</v>
      </c>
      <c r="C67" s="25" t="n">
        <f aca="false">IF(T66&gt;0,D66,C66)</f>
        <v>0.0583572387695313</v>
      </c>
      <c r="D67" s="41" t="n">
        <f aca="false">(B67+C67)/2</f>
        <v>0.0583457946777344</v>
      </c>
      <c r="E67" s="15" t="n">
        <f aca="false">$C$2*(1+IF(E$3&lt;=$O$2,$D67,$D67-($D67-$I$49)*MIN(E$3-$O$2,$Q$2)/$Q$2))</f>
        <v>2529.44644927979</v>
      </c>
      <c r="F67" s="15" t="n">
        <f aca="false">E67*(1+IF(F$3&lt;=$O$2,$D67,$D67-($D67-$I$49)*MIN(F$3-$O$2,$Q$2)/$Q$2))</f>
        <v>2677.02901245779</v>
      </c>
      <c r="G67" s="15" t="n">
        <f aca="false">F67*(1+IF(G$3&lt;=$O$2,$D67,$D67-($D67-$I$49)*MIN(G$3-$O$2,$Q$2)/$Q$2))</f>
        <v>2833.22239756499</v>
      </c>
      <c r="H67" s="15" t="n">
        <f aca="false">G67*(1+IF(H$3&lt;=$O$2,$D67,$D67-($D67-$I$49)*MIN(H$3-$O$2,$Q$2)/$Q$2))</f>
        <v>2998.52900984967</v>
      </c>
      <c r="I67" s="15" t="n">
        <f aca="false">H67*(1+IF(I$3&lt;=$O$2,$D67,$D67-($D67-$I$49)*MIN(I$3-$O$2,$Q$2)/$Q$2))</f>
        <v>3173.48056779359</v>
      </c>
      <c r="J67" s="15" t="n">
        <f aca="false">I67*(1+IF(J$3&lt;=$O$2,$D67,$D67-($D67-$I$49)*MIN(J$3-$O$2,$Q$2)/$Q$2))</f>
        <v>3333.22290316953</v>
      </c>
      <c r="K67" s="15" t="n">
        <f aca="false">J67*(1+IF(K$3&lt;=$O$2,$D67,$D67-($D67-$I$49)*MIN(K$3-$O$2,$Q$2)/$Q$2))</f>
        <v>3474.3098182948</v>
      </c>
      <c r="L67" s="15" t="n">
        <f aca="false">K67*(1+IF(L$3&lt;=$O$2,$D67,$D67-($D67-$I$49)*MIN(L$3-$O$2,$Q$2)/$Q$2))</f>
        <v>3593.5422870217</v>
      </c>
      <c r="M67" s="15" t="n">
        <f aca="false">L67*(1+IF(M$3&lt;=$O$2,$D67,$D67-($D67-$I$49)*MIN(M$3-$O$2,$Q$2)/$Q$2))</f>
        <v>3688.08536219257</v>
      </c>
      <c r="N67" s="15" t="n">
        <f aca="false">M67*(1+IF(N$3&lt;=$O$2,$D67,$D67-($D67-$I$49)*MIN(N$3-$O$2,$Q$2)/$Q$2))</f>
        <v>3755.57732432069</v>
      </c>
      <c r="O67" s="15" t="n">
        <f aca="false">SUMPRODUCT(E67:N67,1/(1+$F$49)^$E$3:$N$3)*$E$2</f>
        <v>9565.68110671146</v>
      </c>
      <c r="P67" s="15" t="n">
        <f aca="false">N67*$E$2*(1+$I$49)/($F$49-$I$49)/(1+$F$49)^$N$3</f>
        <v>11446.1577571841</v>
      </c>
      <c r="Q67" s="15" t="n">
        <f aca="false">O67+P67</f>
        <v>21011.8388638955</v>
      </c>
      <c r="R67" s="15" t="n">
        <f aca="false">Q67-$G$2+$I$2</f>
        <v>15660.2788638955</v>
      </c>
      <c r="S67" s="42" t="n">
        <f aca="false">R67/$K$2</f>
        <v>725.012910365534</v>
      </c>
      <c r="T67" s="43" t="n">
        <f aca="false">S67-$M$2</f>
        <v>0.0129103655334575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0.0583343505859375</v>
      </c>
      <c r="C68" s="25" t="n">
        <f aca="false">IF(T67&gt;0,D67,C67)</f>
        <v>0.0583457946777344</v>
      </c>
      <c r="D68" s="41" t="n">
        <f aca="false">(B68+C68)/2</f>
        <v>0.0583400726318359</v>
      </c>
      <c r="E68" s="15" t="n">
        <f aca="false">$C$2*(1+IF(E$3&lt;=$O$2,$D68,$D68-($D68-$I$49)*MIN(E$3-$O$2,$Q$2)/$Q$2))</f>
        <v>2529.43277359009</v>
      </c>
      <c r="F68" s="15" t="n">
        <f aca="false">E68*(1+IF(F$3&lt;=$O$2,$D68,$D68-($D68-$I$49)*MIN(F$3-$O$2,$Q$2)/$Q$2))</f>
        <v>2677.00006531868</v>
      </c>
      <c r="G68" s="15" t="n">
        <f aca="false">F68*(1+IF(G$3&lt;=$O$2,$D68,$D68-($D68-$I$49)*MIN(G$3-$O$2,$Q$2)/$Q$2))</f>
        <v>2833.1764435648</v>
      </c>
      <c r="H68" s="15" t="n">
        <f aca="false">G68*(1+IF(H$3&lt;=$O$2,$D68,$D68-($D68-$I$49)*MIN(H$3-$O$2,$Q$2)/$Q$2))</f>
        <v>2998.46416306118</v>
      </c>
      <c r="I68" s="15" t="n">
        <f aca="false">H68*(1+IF(I$3&lt;=$O$2,$D68,$D68-($D68-$I$49)*MIN(I$3-$O$2,$Q$2)/$Q$2))</f>
        <v>3173.39478011812</v>
      </c>
      <c r="J68" s="15" t="n">
        <f aca="false">I68*(1+IF(J$3&lt;=$O$2,$D68,$D68-($D68-$I$49)*MIN(J$3-$O$2,$Q$2)/$Q$2))</f>
        <v>3333.11827058262</v>
      </c>
      <c r="K68" s="15" t="n">
        <f aca="false">J68*(1+IF(K$3&lt;=$O$2,$D68,$D68-($D68-$I$49)*MIN(K$3-$O$2,$Q$2)/$Q$2))</f>
        <v>3474.18931352106</v>
      </c>
      <c r="L68" s="15" t="n">
        <f aca="false">K68*(1+IF(L$3&lt;=$O$2,$D68,$D68-($D68-$I$49)*MIN(L$3-$O$2,$Q$2)/$Q$2))</f>
        <v>3593.40969493855</v>
      </c>
      <c r="M68" s="15" t="n">
        <f aca="false">L68*(1+IF(M$3&lt;=$O$2,$D68,$D68-($D68-$I$49)*MIN(M$3-$O$2,$Q$2)/$Q$2))</f>
        <v>3687.94516939218</v>
      </c>
      <c r="N68" s="15" t="n">
        <f aca="false">M68*(1+IF(N$3&lt;=$O$2,$D68,$D68-($D68-$I$49)*MIN(N$3-$O$2,$Q$2)/$Q$2))</f>
        <v>3755.43456599206</v>
      </c>
      <c r="O68" s="15" t="n">
        <f aca="false">SUMPRODUCT(E68:N68,1/(1+$F$49)^$E$3:$N$3)*$E$2</f>
        <v>9565.44319546952</v>
      </c>
      <c r="P68" s="15" t="n">
        <f aca="false">N68*$E$2*(1+$I$49)/($F$49-$I$49)/(1+$F$49)^$N$3</f>
        <v>11445.722661802</v>
      </c>
      <c r="Q68" s="15" t="n">
        <f aca="false">O68+P68</f>
        <v>21011.1658572715</v>
      </c>
      <c r="R68" s="15" t="n">
        <f aca="false">Q68-$G$2+$I$2</f>
        <v>15659.6058572715</v>
      </c>
      <c r="S68" s="42" t="n">
        <f aca="false">R68/$K$2</f>
        <v>724.98175265146</v>
      </c>
      <c r="T68" s="43" t="n">
        <f aca="false">S68-$M$2</f>
        <v>-0.0182473485396031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0.0583400726318359</v>
      </c>
      <c r="C69" s="25" t="n">
        <f aca="false">IF(T68&gt;0,D68,C68)</f>
        <v>0.0583457946777344</v>
      </c>
      <c r="D69" s="41" t="n">
        <f aca="false">(B69+C69)/2</f>
        <v>0.0583429336547852</v>
      </c>
      <c r="E69" s="15" t="n">
        <f aca="false">$C$2*(1+IF(E$3&lt;=$O$2,$D69,$D69-($D69-$I$49)*MIN(E$3-$O$2,$Q$2)/$Q$2))</f>
        <v>2529.43961143494</v>
      </c>
      <c r="F69" s="15" t="n">
        <f aca="false">E69*(1+IF(F$3&lt;=$O$2,$D69,$D69-($D69-$I$49)*MIN(F$3-$O$2,$Q$2)/$Q$2))</f>
        <v>2677.01453886867</v>
      </c>
      <c r="G69" s="15" t="n">
        <f aca="false">F69*(1+IF(G$3&lt;=$O$2,$D69,$D69-($D69-$I$49)*MIN(G$3-$O$2,$Q$2)/$Q$2))</f>
        <v>2833.19942050278</v>
      </c>
      <c r="H69" s="15" t="n">
        <f aca="false">G69*(1+IF(H$3&lt;=$O$2,$D69,$D69-($D69-$I$49)*MIN(H$3-$O$2,$Q$2)/$Q$2))</f>
        <v>2998.49658632395</v>
      </c>
      <c r="I69" s="15" t="n">
        <f aca="false">H69*(1+IF(I$3&lt;=$O$2,$D69,$D69-($D69-$I$49)*MIN(I$3-$O$2,$Q$2)/$Q$2))</f>
        <v>3173.43767372395</v>
      </c>
      <c r="J69" s="15" t="n">
        <f aca="false">I69*(1+IF(J$3&lt;=$O$2,$D69,$D69-($D69-$I$49)*MIN(J$3-$O$2,$Q$2)/$Q$2))</f>
        <v>3333.17058653432</v>
      </c>
      <c r="K69" s="15" t="n">
        <f aca="false">J69*(1+IF(K$3&lt;=$O$2,$D69,$D69-($D69-$I$49)*MIN(K$3-$O$2,$Q$2)/$Q$2))</f>
        <v>3474.2495654619</v>
      </c>
      <c r="L69" s="15" t="n">
        <f aca="false">K69*(1+IF(L$3&lt;=$O$2,$D69,$D69-($D69-$I$49)*MIN(L$3-$O$2,$Q$2)/$Q$2))</f>
        <v>3593.47599044983</v>
      </c>
      <c r="M69" s="15" t="n">
        <f aca="false">L69*(1+IF(M$3&lt;=$O$2,$D69,$D69-($D69-$I$49)*MIN(M$3-$O$2,$Q$2)/$Q$2))</f>
        <v>3688.0152652102</v>
      </c>
      <c r="N69" s="15" t="n">
        <f aca="false">M69*(1+IF(N$3&lt;=$O$2,$D69,$D69-($D69-$I$49)*MIN(N$3-$O$2,$Q$2)/$Q$2))</f>
        <v>3755.50594456354</v>
      </c>
      <c r="O69" s="15" t="n">
        <f aca="false">SUMPRODUCT(E69:N69,1/(1+$F$49)^$E$3:$N$3)*$E$2</f>
        <v>9565.56215034638</v>
      </c>
      <c r="P69" s="15" t="n">
        <f aca="false">N69*$E$2*(1+$I$49)/($F$49-$I$49)/(1+$F$49)^$N$3</f>
        <v>11445.9402076862</v>
      </c>
      <c r="Q69" s="15" t="n">
        <f aca="false">O69+P69</f>
        <v>21011.5023580326</v>
      </c>
      <c r="R69" s="15" t="n">
        <f aca="false">Q69-$G$2+$I$2</f>
        <v>15659.9423580326</v>
      </c>
      <c r="S69" s="42" t="n">
        <f aca="false">R69/$K$2</f>
        <v>724.997331390399</v>
      </c>
      <c r="T69" s="43" t="n">
        <f aca="false">S69-$M$2</f>
        <v>-0.0026686096011872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0.0583429336547852</v>
      </c>
      <c r="C70" s="25" t="n">
        <f aca="false">IF(T69&gt;0,D69,C69)</f>
        <v>0.0583457946777344</v>
      </c>
      <c r="D70" s="41" t="n">
        <f aca="false">(B70+C70)/2</f>
        <v>0.0583443641662598</v>
      </c>
      <c r="E70" s="15" t="n">
        <f aca="false">$C$2*(1+IF(E$3&lt;=$O$2,$D70,$D70-($D70-$I$49)*MIN(E$3-$O$2,$Q$2)/$Q$2))</f>
        <v>2529.44303035736</v>
      </c>
      <c r="F70" s="15" t="n">
        <f aca="false">E70*(1+IF(F$3&lt;=$O$2,$D70,$D70-($D70-$I$49)*MIN(F$3-$O$2,$Q$2)/$Q$2))</f>
        <v>2677.02177565834</v>
      </c>
      <c r="G70" s="15" t="n">
        <f aca="false">F70*(1+IF(G$3&lt;=$O$2,$D70,$D70-($D70-$I$49)*MIN(G$3-$O$2,$Q$2)/$Q$2))</f>
        <v>2833.21090901836</v>
      </c>
      <c r="H70" s="15" t="n">
        <f aca="false">G70*(1+IF(H$3&lt;=$O$2,$D70,$D70-($D70-$I$49)*MIN(H$3-$O$2,$Q$2)/$Q$2))</f>
        <v>2998.51279805394</v>
      </c>
      <c r="I70" s="15" t="n">
        <f aca="false">H70*(1+IF(I$3&lt;=$O$2,$D70,$D70-($D70-$I$49)*MIN(I$3-$O$2,$Q$2)/$Q$2))</f>
        <v>3173.45912070079</v>
      </c>
      <c r="J70" s="15" t="n">
        <f aca="false">I70*(1+IF(J$3&lt;=$O$2,$D70,$D70-($D70-$I$49)*MIN(J$3-$O$2,$Q$2)/$Q$2))</f>
        <v>3333.19674476648</v>
      </c>
      <c r="K70" s="15" t="n">
        <f aca="false">J70*(1+IF(K$3&lt;=$O$2,$D70,$D70-($D70-$I$49)*MIN(K$3-$O$2,$Q$2)/$Q$2))</f>
        <v>3474.27969176684</v>
      </c>
      <c r="L70" s="15" t="n">
        <f aca="false">K70*(1+IF(L$3&lt;=$O$2,$D70,$D70-($D70-$I$49)*MIN(L$3-$O$2,$Q$2)/$Q$2))</f>
        <v>3593.5091386032</v>
      </c>
      <c r="M70" s="15" t="n">
        <f aca="false">L70*(1+IF(M$3&lt;=$O$2,$D70,$D70-($D70-$I$49)*MIN(M$3-$O$2,$Q$2)/$Q$2))</f>
        <v>3688.05031355584</v>
      </c>
      <c r="N70" s="15" t="n">
        <f aca="false">M70*(1+IF(N$3&lt;=$O$2,$D70,$D70-($D70-$I$49)*MIN(N$3-$O$2,$Q$2)/$Q$2))</f>
        <v>3755.54163429391</v>
      </c>
      <c r="O70" s="15" t="n">
        <f aca="false">SUMPRODUCT(E70:N70,1/(1+$F$49)^$E$3:$N$3)*$E$2</f>
        <v>9565.6216283429</v>
      </c>
      <c r="P70" s="15" t="n">
        <f aca="false">N70*$E$2*(1+$I$49)/($F$49-$I$49)/(1+$F$49)^$N$3</f>
        <v>11446.0489819834</v>
      </c>
      <c r="Q70" s="15" t="n">
        <f aca="false">O70+P70</f>
        <v>21011.6706103263</v>
      </c>
      <c r="R70" s="15" t="n">
        <f aca="false">Q70-$G$2+$I$2</f>
        <v>15660.1106103263</v>
      </c>
      <c r="S70" s="42" t="n">
        <f aca="false">R70/$K$2</f>
        <v>725.005120848441</v>
      </c>
      <c r="T70" s="43" t="n">
        <f aca="false">S70-$M$2</f>
        <v>0.00512084844137917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0.0583429336547852</v>
      </c>
      <c r="C71" s="25" t="n">
        <f aca="false">IF(T70&gt;0,D70,C70)</f>
        <v>0.0583443641662598</v>
      </c>
      <c r="D71" s="41" t="n">
        <f aca="false">(B71+C71)/2</f>
        <v>0.0583436489105225</v>
      </c>
      <c r="E71" s="15" t="n">
        <f aca="false">$C$2*(1+IF(E$3&lt;=$O$2,$D71,$D71-($D71-$I$49)*MIN(E$3-$O$2,$Q$2)/$Q$2))</f>
        <v>2529.44132089615</v>
      </c>
      <c r="F71" s="15" t="n">
        <f aca="false">E71*(1+IF(F$3&lt;=$O$2,$D71,$D71-($D71-$I$49)*MIN(F$3-$O$2,$Q$2)/$Q$2))</f>
        <v>2677.01815726228</v>
      </c>
      <c r="G71" s="15" t="n">
        <f aca="false">F71*(1+IF(G$3&lt;=$O$2,$D71,$D71-($D71-$I$49)*MIN(G$3-$O$2,$Q$2)/$Q$2))</f>
        <v>2833.20516475669</v>
      </c>
      <c r="H71" s="15" t="n">
        <f aca="false">G71*(1+IF(H$3&lt;=$O$2,$D71,$D71-($D71-$I$49)*MIN(H$3-$O$2,$Q$2)/$Q$2))</f>
        <v>2998.50469218073</v>
      </c>
      <c r="I71" s="15" t="n">
        <f aca="false">H71*(1+IF(I$3&lt;=$O$2,$D71,$D71-($D71-$I$49)*MIN(I$3-$O$2,$Q$2)/$Q$2))</f>
        <v>3173.44839719788</v>
      </c>
      <c r="J71" s="15" t="n">
        <f aca="false">I71*(1+IF(J$3&lt;=$O$2,$D71,$D71-($D71-$I$49)*MIN(J$3-$O$2,$Q$2)/$Q$2))</f>
        <v>3333.18366562904</v>
      </c>
      <c r="K71" s="15" t="n">
        <f aca="false">J71*(1+IF(K$3&lt;=$O$2,$D71,$D71-($D71-$I$49)*MIN(K$3-$O$2,$Q$2)/$Q$2))</f>
        <v>3474.26462858649</v>
      </c>
      <c r="L71" s="15" t="n">
        <f aca="false">K71*(1+IF(L$3&lt;=$O$2,$D71,$D71-($D71-$I$49)*MIN(L$3-$O$2,$Q$2)/$Q$2))</f>
        <v>3593.49256449337</v>
      </c>
      <c r="M71" s="15" t="n">
        <f aca="false">L71*(1+IF(M$3&lt;=$O$2,$D71,$D71-($D71-$I$49)*MIN(M$3-$O$2,$Q$2)/$Q$2))</f>
        <v>3688.03278934663</v>
      </c>
      <c r="N71" s="15" t="n">
        <f aca="false">M71*(1+IF(N$3&lt;=$O$2,$D71,$D71-($D71-$I$49)*MIN(N$3-$O$2,$Q$2)/$Q$2))</f>
        <v>3755.52378939167</v>
      </c>
      <c r="O71" s="15" t="n">
        <f aca="false">SUMPRODUCT(E71:N71,1/(1+$F$49)^$E$3:$N$3)*$E$2</f>
        <v>9565.59188929813</v>
      </c>
      <c r="P71" s="15" t="n">
        <f aca="false">N71*$E$2*(1+$I$49)/($F$49-$I$49)/(1+$F$49)^$N$3</f>
        <v>11445.9945947219</v>
      </c>
      <c r="Q71" s="15" t="n">
        <f aca="false">O71+P71</f>
        <v>21011.58648402</v>
      </c>
      <c r="R71" s="15" t="n">
        <f aca="false">Q71-$G$2+$I$2</f>
        <v>15660.02648402</v>
      </c>
      <c r="S71" s="42" t="n">
        <f aca="false">R71/$K$2</f>
        <v>725.001226112039</v>
      </c>
      <c r="T71" s="43" t="n">
        <f aca="false">S71-$M$2</f>
        <v>0.0012261120389212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0.0583429336547852</v>
      </c>
      <c r="C72" s="25" t="n">
        <f aca="false">IF(T71&gt;0,D71,C71)</f>
        <v>0.0583436489105225</v>
      </c>
      <c r="D72" s="41" t="n">
        <f aca="false">(B72+C72)/2</f>
        <v>0.0583432912826538</v>
      </c>
      <c r="E72" s="15" t="n">
        <f aca="false">$C$2*(1+IF(E$3&lt;=$O$2,$D72,$D72-($D72-$I$49)*MIN(E$3-$O$2,$Q$2)/$Q$2))</f>
        <v>2529.44046616554</v>
      </c>
      <c r="F72" s="15" t="n">
        <f aca="false">E72*(1+IF(F$3&lt;=$O$2,$D72,$D72-($D72-$I$49)*MIN(F$3-$O$2,$Q$2)/$Q$2))</f>
        <v>2677.01634806517</v>
      </c>
      <c r="G72" s="15" t="n">
        <f aca="false">F72*(1+IF(G$3&lt;=$O$2,$D72,$D72-($D72-$I$49)*MIN(G$3-$O$2,$Q$2)/$Q$2))</f>
        <v>2833.20229262876</v>
      </c>
      <c r="H72" s="15" t="n">
        <f aca="false">G72*(1+IF(H$3&lt;=$O$2,$D72,$D72-($D72-$I$49)*MIN(H$3-$O$2,$Q$2)/$Q$2))</f>
        <v>2998.50063925029</v>
      </c>
      <c r="I72" s="15" t="n">
        <f aca="false">H72*(1+IF(I$3&lt;=$O$2,$D72,$D72-($D72-$I$49)*MIN(I$3-$O$2,$Q$2)/$Q$2))</f>
        <v>3173.44303545729</v>
      </c>
      <c r="J72" s="15" t="n">
        <f aca="false">I72*(1+IF(J$3&lt;=$O$2,$D72,$D72-($D72-$I$49)*MIN(J$3-$O$2,$Q$2)/$Q$2))</f>
        <v>3333.17712607634</v>
      </c>
      <c r="K72" s="15" t="n">
        <f aca="false">J72*(1+IF(K$3&lt;=$O$2,$D72,$D72-($D72-$I$49)*MIN(K$3-$O$2,$Q$2)/$Q$2))</f>
        <v>3474.25709701723</v>
      </c>
      <c r="L72" s="15" t="n">
        <f aca="false">K72*(1+IF(L$3&lt;=$O$2,$D72,$D72-($D72-$I$49)*MIN(L$3-$O$2,$Q$2)/$Q$2))</f>
        <v>3593.48427746332</v>
      </c>
      <c r="M72" s="15" t="n">
        <f aca="false">L72*(1+IF(M$3&lt;=$O$2,$D72,$D72-($D72-$I$49)*MIN(M$3-$O$2,$Q$2)/$Q$2))</f>
        <v>3688.02402726932</v>
      </c>
      <c r="N72" s="15" t="n">
        <f aca="false">M72*(1+IF(N$3&lt;=$O$2,$D72,$D72-($D72-$I$49)*MIN(N$3-$O$2,$Q$2)/$Q$2))</f>
        <v>3755.51486696834</v>
      </c>
      <c r="O72" s="15" t="n">
        <f aca="false">SUMPRODUCT(E72:N72,1/(1+$F$49)^$E$3:$N$3)*$E$2</f>
        <v>9565.57701981063</v>
      </c>
      <c r="P72" s="15" t="n">
        <f aca="false">N72*$E$2*(1+$I$49)/($F$49-$I$49)/(1+$F$49)^$N$3</f>
        <v>11445.9674011758</v>
      </c>
      <c r="Q72" s="15" t="n">
        <f aca="false">O72+P72</f>
        <v>21011.5444209865</v>
      </c>
      <c r="R72" s="15" t="n">
        <f aca="false">Q72-$G$2+$I$2</f>
        <v>15659.9844209865</v>
      </c>
      <c r="S72" s="42" t="n">
        <f aca="false">R72/$K$2</f>
        <v>724.999278749374</v>
      </c>
      <c r="T72" s="43" t="n">
        <f aca="false">S72-$M$2</f>
        <v>-0.000721250626497749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0.0583432912826538</v>
      </c>
      <c r="C73" s="25" t="n">
        <f aca="false">IF(T72&gt;0,D72,C72)</f>
        <v>0.0583436489105225</v>
      </c>
      <c r="D73" s="41" t="n">
        <f aca="false">(B73+C73)/2</f>
        <v>0.0583434700965881</v>
      </c>
      <c r="E73" s="15" t="n">
        <f aca="false">$C$2*(1+IF(E$3&lt;=$O$2,$D73,$D73-($D73-$I$49)*MIN(E$3-$O$2,$Q$2)/$Q$2))</f>
        <v>2529.44089353085</v>
      </c>
      <c r="F73" s="15" t="n">
        <f aca="false">E73*(1+IF(F$3&lt;=$O$2,$D73,$D73-($D73-$I$49)*MIN(F$3-$O$2,$Q$2)/$Q$2))</f>
        <v>2677.01725266365</v>
      </c>
      <c r="G73" s="15" t="n">
        <f aca="false">F73*(1+IF(G$3&lt;=$O$2,$D73,$D73-($D73-$I$49)*MIN(G$3-$O$2,$Q$2)/$Q$2))</f>
        <v>2833.20372869248</v>
      </c>
      <c r="H73" s="15" t="n">
        <f aca="false">G73*(1+IF(H$3&lt;=$O$2,$D73,$D73-($D73-$I$49)*MIN(H$3-$O$2,$Q$2)/$Q$2))</f>
        <v>2998.50266571499</v>
      </c>
      <c r="I73" s="15" t="n">
        <f aca="false">H73*(1+IF(I$3&lt;=$O$2,$D73,$D73-($D73-$I$49)*MIN(I$3-$O$2,$Q$2)/$Q$2))</f>
        <v>3173.44571632668</v>
      </c>
      <c r="J73" s="15" t="n">
        <f aca="false">I73*(1+IF(J$3&lt;=$O$2,$D73,$D73-($D73-$I$49)*MIN(J$3-$O$2,$Q$2)/$Q$2))</f>
        <v>3333.18039585135</v>
      </c>
      <c r="K73" s="15" t="n">
        <f aca="false">J73*(1+IF(K$3&lt;=$O$2,$D73,$D73-($D73-$I$49)*MIN(K$3-$O$2,$Q$2)/$Q$2))</f>
        <v>3474.26086280012</v>
      </c>
      <c r="L73" s="15" t="n">
        <f aca="false">K73*(1+IF(L$3&lt;=$O$2,$D73,$D73-($D73-$I$49)*MIN(L$3-$O$2,$Q$2)/$Q$2))</f>
        <v>3593.48842097627</v>
      </c>
      <c r="M73" s="15" t="n">
        <f aca="false">L73*(1+IF(M$3&lt;=$O$2,$D73,$D73-($D73-$I$49)*MIN(M$3-$O$2,$Q$2)/$Q$2))</f>
        <v>3688.0284083057</v>
      </c>
      <c r="N73" s="15" t="n">
        <f aca="false">M73*(1+IF(N$3&lt;=$O$2,$D73,$D73-($D73-$I$49)*MIN(N$3-$O$2,$Q$2)/$Q$2))</f>
        <v>3755.51932817769</v>
      </c>
      <c r="O73" s="15" t="n">
        <f aca="false">SUMPRODUCT(E73:N73,1/(1+$F$49)^$E$3:$N$3)*$E$2</f>
        <v>9565.58445455147</v>
      </c>
      <c r="P73" s="15" t="n">
        <f aca="false">N73*$E$2*(1+$I$49)/($F$49-$I$49)/(1+$F$49)^$N$3</f>
        <v>11445.9809979418</v>
      </c>
      <c r="Q73" s="15" t="n">
        <f aca="false">O73+P73</f>
        <v>21011.5654524933</v>
      </c>
      <c r="R73" s="15" t="n">
        <f aca="false">Q73-$G$2+$I$2</f>
        <v>15660.0054524933</v>
      </c>
      <c r="S73" s="42" t="n">
        <f aca="false">R73/$K$2</f>
        <v>725.000252430245</v>
      </c>
      <c r="T73" s="43" t="n">
        <f aca="false">S73-$M$2</f>
        <v>0.000252430244927382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0.0583432912826538</v>
      </c>
      <c r="C74" s="25" t="n">
        <f aca="false">IF(T73&gt;0,D73,C73)</f>
        <v>0.0583434700965881</v>
      </c>
      <c r="D74" s="41" t="n">
        <f aca="false">(B74+C74)/2</f>
        <v>0.058343380689621</v>
      </c>
      <c r="E74" s="15" t="n">
        <f aca="false">$C$2*(1+IF(E$3&lt;=$O$2,$D74,$D74-($D74-$I$49)*MIN(E$3-$O$2,$Q$2)/$Q$2))</f>
        <v>2529.44067984819</v>
      </c>
      <c r="F74" s="15" t="n">
        <f aca="false">E74*(1+IF(F$3&lt;=$O$2,$D74,$D74-($D74-$I$49)*MIN(F$3-$O$2,$Q$2)/$Q$2))</f>
        <v>2677.01680036439</v>
      </c>
      <c r="G74" s="15" t="n">
        <f aca="false">F74*(1+IF(G$3&lt;=$O$2,$D74,$D74-($D74-$I$49)*MIN(G$3-$O$2,$Q$2)/$Q$2))</f>
        <v>2833.20301066056</v>
      </c>
      <c r="H74" s="15" t="n">
        <f aca="false">G74*(1+IF(H$3&lt;=$O$2,$D74,$D74-($D74-$I$49)*MIN(H$3-$O$2,$Q$2)/$Q$2))</f>
        <v>2998.50165248251</v>
      </c>
      <c r="I74" s="15" t="n">
        <f aca="false">H74*(1+IF(I$3&lt;=$O$2,$D74,$D74-($D74-$I$49)*MIN(I$3-$O$2,$Q$2)/$Q$2))</f>
        <v>3173.44437589176</v>
      </c>
      <c r="J74" s="15" t="n">
        <f aca="false">I74*(1+IF(J$3&lt;=$O$2,$D74,$D74-($D74-$I$49)*MIN(J$3-$O$2,$Q$2)/$Q$2))</f>
        <v>3333.17876096351</v>
      </c>
      <c r="K74" s="15" t="n">
        <f aca="false">J74*(1+IF(K$3&lt;=$O$2,$D74,$D74-($D74-$I$49)*MIN(K$3-$O$2,$Q$2)/$Q$2))</f>
        <v>3474.25897990824</v>
      </c>
      <c r="L74" s="15" t="n">
        <f aca="false">K74*(1+IF(L$3&lt;=$O$2,$D74,$D74-($D74-$I$49)*MIN(L$3-$O$2,$Q$2)/$Q$2))</f>
        <v>3593.48634921928</v>
      </c>
      <c r="M74" s="15" t="n">
        <f aca="false">L74*(1+IF(M$3&lt;=$O$2,$D74,$D74-($D74-$I$49)*MIN(M$3-$O$2,$Q$2)/$Q$2))</f>
        <v>3688.02621778694</v>
      </c>
      <c r="N74" s="15" t="n">
        <f aca="false">M74*(1+IF(N$3&lt;=$O$2,$D74,$D74-($D74-$I$49)*MIN(N$3-$O$2,$Q$2)/$Q$2))</f>
        <v>3755.51709757244</v>
      </c>
      <c r="O74" s="15" t="n">
        <f aca="false">SUMPRODUCT(E74:N74,1/(1+$F$49)^$E$3:$N$3)*$E$2</f>
        <v>9565.58073718033</v>
      </c>
      <c r="P74" s="15" t="n">
        <f aca="false">N74*$E$2*(1+$I$49)/($F$49-$I$49)/(1+$F$49)^$N$3</f>
        <v>11445.9741995571</v>
      </c>
      <c r="Q74" s="15" t="n">
        <f aca="false">O74+P74</f>
        <v>21011.5549367374</v>
      </c>
      <c r="R74" s="15" t="n">
        <f aca="false">Q74-$G$2+$I$2</f>
        <v>15659.9949367374</v>
      </c>
      <c r="S74" s="42" t="n">
        <f aca="false">R74/$K$2</f>
        <v>724.999765589694</v>
      </c>
      <c r="T74" s="43" t="n">
        <f aca="false">S74-$M$2</f>
        <v>-0.000234410306006794</v>
      </c>
    </row>
    <row r="76" customFormat="false" ht="15" hidden="false" customHeight="false" outlineLevel="0" collapsed="false">
      <c r="A76" s="38" t="s">
        <v>183</v>
      </c>
      <c r="E76" s="5" t="s">
        <v>11</v>
      </c>
      <c r="F76" s="12" t="n">
        <f aca="false">Sensitivity!$B$10</f>
        <v>0.0869721785729318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162</v>
      </c>
      <c r="B77" s="28" t="s">
        <v>163</v>
      </c>
      <c r="C77" s="28" t="s">
        <v>164</v>
      </c>
      <c r="D77" s="28" t="s">
        <v>165</v>
      </c>
      <c r="E77" s="28" t="s">
        <v>166</v>
      </c>
      <c r="F77" s="28" t="s">
        <v>167</v>
      </c>
      <c r="G77" s="28" t="s">
        <v>168</v>
      </c>
      <c r="H77" s="28" t="s">
        <v>169</v>
      </c>
      <c r="I77" s="28" t="s">
        <v>170</v>
      </c>
      <c r="J77" s="28" t="s">
        <v>171</v>
      </c>
      <c r="K77" s="28" t="s">
        <v>172</v>
      </c>
      <c r="L77" s="28" t="s">
        <v>173</v>
      </c>
      <c r="M77" s="28" t="s">
        <v>174</v>
      </c>
      <c r="N77" s="28" t="s">
        <v>175</v>
      </c>
      <c r="O77" s="28" t="s">
        <v>176</v>
      </c>
      <c r="P77" s="28" t="s">
        <v>177</v>
      </c>
      <c r="Q77" s="28" t="s">
        <v>178</v>
      </c>
      <c r="R77" s="28" t="s">
        <v>179</v>
      </c>
      <c r="S77" s="28" t="s">
        <v>180</v>
      </c>
      <c r="T77" s="28" t="s">
        <v>181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2987.5</v>
      </c>
      <c r="F78" s="15" t="n">
        <f aca="false">E78*(1+IF(F$3&lt;=$O$2,$D78,$D78-($D78-$I$76)*MIN(F$3-$O$2,$Q$2)/$Q$2))</f>
        <v>3734.375</v>
      </c>
      <c r="G78" s="15" t="n">
        <f aca="false">F78*(1+IF(G$3&lt;=$O$2,$D78,$D78-($D78-$I$76)*MIN(G$3-$O$2,$Q$2)/$Q$2))</f>
        <v>4667.96875</v>
      </c>
      <c r="H78" s="15" t="n">
        <f aca="false">G78*(1+IF(H$3&lt;=$O$2,$D78,$D78-($D78-$I$76)*MIN(H$3-$O$2,$Q$2)/$Q$2))</f>
        <v>5834.9609375</v>
      </c>
      <c r="I78" s="15" t="n">
        <f aca="false">H78*(1+IF(I$3&lt;=$O$2,$D78,$D78-($D78-$I$76)*MIN(I$3-$O$2,$Q$2)/$Q$2))</f>
        <v>7293.701171875</v>
      </c>
      <c r="J78" s="15" t="n">
        <f aca="false">I78*(1+IF(J$3&lt;=$O$2,$D78,$D78-($D78-$I$76)*MIN(J$3-$O$2,$Q$2)/$Q$2))</f>
        <v>8786.43005371094</v>
      </c>
      <c r="K78" s="15" t="n">
        <f aca="false">J78*(1+IF(K$3&lt;=$O$2,$D78,$D78-($D78-$I$76)*MIN(K$3-$O$2,$Q$2)/$Q$2))</f>
        <v>10186.2840898682</v>
      </c>
      <c r="L78" s="15" t="n">
        <f aca="false">K78*(1+IF(L$3&lt;=$O$2,$D78,$D78-($D78-$I$76)*MIN(L$3-$O$2,$Q$2)/$Q$2))</f>
        <v>11347.3167504313</v>
      </c>
      <c r="M78" s="15" t="n">
        <f aca="false">L78*(1+IF(M$3&lt;=$O$2,$D78,$D78-($D78-$I$76)*MIN(M$3-$O$2,$Q$2)/$Q$2))</f>
        <v>12126.1965721809</v>
      </c>
      <c r="N78" s="15" t="n">
        <f aca="false">M78*(1+IF(N$3&lt;=$O$2,$D78,$D78-($D78-$I$76)*MIN(N$3-$O$2,$Q$2)/$Q$2))</f>
        <v>12408.7369523128</v>
      </c>
      <c r="O78" s="15" t="n">
        <f aca="false">SUMPRODUCT(E78:N78,1/(1+$F$76)^$E$3:$N$3)*$E$2</f>
        <v>21994.225501699</v>
      </c>
      <c r="P78" s="15" t="n">
        <f aca="false">N78*$E$2*(1+$I$76)/($F$76-$I$76)/(1+$F$76)^$N$3</f>
        <v>40989.1529179312</v>
      </c>
      <c r="Q78" s="15" t="n">
        <f aca="false">O78+P78</f>
        <v>62983.3784196302</v>
      </c>
      <c r="R78" s="15" t="n">
        <f aca="false">Q78-$G$2+$I$2</f>
        <v>57631.8184196302</v>
      </c>
      <c r="S78" s="42" t="n">
        <f aca="false">R78/$K$2</f>
        <v>2668.13974164955</v>
      </c>
      <c r="T78" s="43" t="n">
        <f aca="false">S78-$M$2</f>
        <v>1943.13974164955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2091.25</v>
      </c>
      <c r="F79" s="15" t="n">
        <f aca="false">E79*(1+IF(F$3&lt;=$O$2,$D79,$D79-($D79-$I$76)*MIN(F$3-$O$2,$Q$2)/$Q$2))</f>
        <v>1829.84375</v>
      </c>
      <c r="G79" s="15" t="n">
        <f aca="false">F79*(1+IF(G$3&lt;=$O$2,$D79,$D79-($D79-$I$76)*MIN(G$3-$O$2,$Q$2)/$Q$2))</f>
        <v>1601.11328125</v>
      </c>
      <c r="H79" s="15" t="n">
        <f aca="false">G79*(1+IF(H$3&lt;=$O$2,$D79,$D79-($D79-$I$76)*MIN(H$3-$O$2,$Q$2)/$Q$2))</f>
        <v>1400.97412109375</v>
      </c>
      <c r="I79" s="15" t="n">
        <f aca="false">H79*(1+IF(I$3&lt;=$O$2,$D79,$D79-($D79-$I$76)*MIN(I$3-$O$2,$Q$2)/$Q$2))</f>
        <v>1225.85235595703</v>
      </c>
      <c r="J79" s="15" t="n">
        <f aca="false">I79*(1+IF(J$3&lt;=$O$2,$D79,$D79-($D79-$I$76)*MIN(J$3-$O$2,$Q$2)/$Q$2))</f>
        <v>1108.97959234009</v>
      </c>
      <c r="K79" s="15" t="n">
        <f aca="false">J79*(1+IF(K$3&lt;=$O$2,$D79,$D79-($D79-$I$76)*MIN(K$3-$O$2,$Q$2)/$Q$2))</f>
        <v>1036.14181271519</v>
      </c>
      <c r="L79" s="15" t="n">
        <f aca="false">K79*(1+IF(L$3&lt;=$O$2,$D79,$D79-($D79-$I$76)*MIN(L$3-$O$2,$Q$2)/$Q$2))</f>
        <v>998.81998462119</v>
      </c>
      <c r="M79" s="15" t="n">
        <f aca="false">L79*(1+IF(M$3&lt;=$O$2,$D79,$D79-($D79-$I$76)*MIN(M$3-$O$2,$Q$2)/$Q$2))</f>
        <v>992.467489518999</v>
      </c>
      <c r="N79" s="15" t="n">
        <f aca="false">M79*(1+IF(N$3&lt;=$O$2,$D79,$D79-($D79-$I$76)*MIN(N$3-$O$2,$Q$2)/$Q$2))</f>
        <v>1015.59198202479</v>
      </c>
      <c r="O79" s="15" t="n">
        <f aca="false">SUMPRODUCT(E79:N79,1/(1+$F$76)^$E$3:$N$3)*$E$2</f>
        <v>4355.30869257495</v>
      </c>
      <c r="P79" s="15" t="n">
        <f aca="false">N79*$E$2*(1+$I$76)/($F$76-$I$76)/(1+$F$76)^$N$3</f>
        <v>3354.75360735085</v>
      </c>
      <c r="Q79" s="15" t="n">
        <f aca="false">O79+P79</f>
        <v>7710.0622999258</v>
      </c>
      <c r="R79" s="15" t="n">
        <f aca="false">Q79-$G$2+$I$2</f>
        <v>2358.5022999258</v>
      </c>
      <c r="S79" s="42" t="n">
        <f aca="false">R79/$K$2</f>
        <v>109.189921292861</v>
      </c>
      <c r="T79" s="43" t="n">
        <f aca="false">S79-$M$2</f>
        <v>-615.810078707139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2539.375</v>
      </c>
      <c r="F80" s="15" t="n">
        <f aca="false">E80*(1+IF(F$3&lt;=$O$2,$D80,$D80-($D80-$I$76)*MIN(F$3-$O$2,$Q$2)/$Q$2))</f>
        <v>2698.0859375</v>
      </c>
      <c r="G80" s="15" t="n">
        <f aca="false">F80*(1+IF(G$3&lt;=$O$2,$D80,$D80-($D80-$I$76)*MIN(G$3-$O$2,$Q$2)/$Q$2))</f>
        <v>2866.71630859375</v>
      </c>
      <c r="H80" s="15" t="n">
        <f aca="false">G80*(1+IF(H$3&lt;=$O$2,$D80,$D80-($D80-$I$76)*MIN(H$3-$O$2,$Q$2)/$Q$2))</f>
        <v>3045.88607788086</v>
      </c>
      <c r="I80" s="15" t="n">
        <f aca="false">H80*(1+IF(I$3&lt;=$O$2,$D80,$D80-($D80-$I$76)*MIN(I$3-$O$2,$Q$2)/$Q$2))</f>
        <v>3236.25395774841</v>
      </c>
      <c r="J80" s="15" t="n">
        <f aca="false">I80*(1+IF(J$3&lt;=$O$2,$D80,$D80-($D80-$I$76)*MIN(J$3-$O$2,$Q$2)/$Q$2))</f>
        <v>3413.14759907894</v>
      </c>
      <c r="K80" s="15" t="n">
        <f aca="false">J80*(1+IF(K$3&lt;=$O$2,$D80,$D80-($D80-$I$76)*MIN(K$3-$O$2,$Q$2)/$Q$2))</f>
        <v>3572.95116966782</v>
      </c>
      <c r="L80" s="15" t="n">
        <f aca="false">K80*(1+IF(L$3&lt;=$O$2,$D80,$D80-($D80-$I$76)*MIN(L$3-$O$2,$Q$2)/$Q$2))</f>
        <v>3712.22480626147</v>
      </c>
      <c r="M80" s="15" t="n">
        <f aca="false">L80*(1+IF(M$3&lt;=$O$2,$D80,$D80-($D80-$I$76)*MIN(M$3-$O$2,$Q$2)/$Q$2))</f>
        <v>3827.82348672845</v>
      </c>
      <c r="N80" s="15" t="n">
        <f aca="false">M80*(1+IF(N$3&lt;=$O$2,$D80,$D80-($D80-$I$76)*MIN(N$3-$O$2,$Q$2)/$Q$2))</f>
        <v>3917.01177396922</v>
      </c>
      <c r="O80" s="15" t="n">
        <f aca="false">SUMPRODUCT(E80:N80,1/(1+$F$76)^$E$3:$N$3)*$E$2</f>
        <v>9768.60165787057</v>
      </c>
      <c r="P80" s="15" t="n">
        <f aca="false">N80*$E$2*(1+$I$76)/($F$76-$I$76)/(1+$F$76)^$N$3</f>
        <v>12938.8668001893</v>
      </c>
      <c r="Q80" s="15" t="n">
        <f aca="false">O80+P80</f>
        <v>22707.4684580598</v>
      </c>
      <c r="R80" s="15" t="n">
        <f aca="false">Q80-$G$2+$I$2</f>
        <v>17355.9084580598</v>
      </c>
      <c r="S80" s="42" t="n">
        <f aca="false">R80/$K$2</f>
        <v>803.514280465734</v>
      </c>
      <c r="T80" s="43" t="n">
        <f aca="false">S80-$M$2</f>
        <v>78.5142804657336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2315.3125</v>
      </c>
      <c r="F81" s="15" t="n">
        <f aca="false">E81*(1+IF(F$3&lt;=$O$2,$D81,$D81-($D81-$I$76)*MIN(F$3-$O$2,$Q$2)/$Q$2))</f>
        <v>2242.958984375</v>
      </c>
      <c r="G81" s="15" t="n">
        <f aca="false">F81*(1+IF(G$3&lt;=$O$2,$D81,$D81-($D81-$I$76)*MIN(G$3-$O$2,$Q$2)/$Q$2))</f>
        <v>2172.86651611328</v>
      </c>
      <c r="H81" s="15" t="n">
        <f aca="false">G81*(1+IF(H$3&lt;=$O$2,$D81,$D81-($D81-$I$76)*MIN(H$3-$O$2,$Q$2)/$Q$2))</f>
        <v>2104.96443748474</v>
      </c>
      <c r="I81" s="15" t="n">
        <f aca="false">H81*(1+IF(I$3&lt;=$O$2,$D81,$D81-($D81-$I$76)*MIN(I$3-$O$2,$Q$2)/$Q$2))</f>
        <v>2039.18429881334</v>
      </c>
      <c r="J81" s="15" t="n">
        <f aca="false">I81*(1+IF(J$3&lt;=$O$2,$D81,$D81-($D81-$I$76)*MIN(J$3-$O$2,$Q$2)/$Q$2))</f>
        <v>1997.70729017548</v>
      </c>
      <c r="K81" s="15" t="n">
        <f aca="false">J81*(1+IF(K$3&lt;=$O$2,$D81,$D81-($D81-$I$76)*MIN(K$3-$O$2,$Q$2)/$Q$2))</f>
        <v>1978.86891042912</v>
      </c>
      <c r="L81" s="15" t="n">
        <f aca="false">K81*(1+IF(L$3&lt;=$O$2,$D81,$D81-($D81-$I$76)*MIN(L$3-$O$2,$Q$2)/$Q$2))</f>
        <v>1981.79763641656</v>
      </c>
      <c r="M81" s="15" t="n">
        <f aca="false">L81*(1+IF(M$3&lt;=$O$2,$D81,$D81-($D81-$I$76)*MIN(M$3-$O$2,$Q$2)/$Q$2))</f>
        <v>2006.35210913176</v>
      </c>
      <c r="N81" s="15" t="n">
        <f aca="false">M81*(1+IF(N$3&lt;=$O$2,$D81,$D81-($D81-$I$76)*MIN(N$3-$O$2,$Q$2)/$Q$2))</f>
        <v>2053.10011327453</v>
      </c>
      <c r="O81" s="15" t="n">
        <f aca="false">SUMPRODUCT(E81:N81,1/(1+$F$76)^$E$3:$N$3)*$E$2</f>
        <v>6503.6218943702</v>
      </c>
      <c r="P81" s="15" t="n">
        <f aca="false">N81*$E$2*(1+$I$76)/($F$76-$I$76)/(1+$F$76)^$N$3</f>
        <v>6781.90172152426</v>
      </c>
      <c r="Q81" s="15" t="n">
        <f aca="false">O81+P81</f>
        <v>13285.5236158945</v>
      </c>
      <c r="R81" s="15" t="n">
        <f aca="false">Q81-$G$2+$I$2</f>
        <v>7933.96361589446</v>
      </c>
      <c r="S81" s="42" t="n">
        <f aca="false">R81/$K$2</f>
        <v>367.313130365484</v>
      </c>
      <c r="T81" s="43" t="n">
        <f aca="false">S81-$M$2</f>
        <v>-357.686869634516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41" t="n">
        <f aca="false">(B82+C82)/2</f>
        <v>0.015625</v>
      </c>
      <c r="E82" s="15" t="n">
        <f aca="false">$C$2*(1+IF(E$3&lt;=$O$2,$D82,$D82-($D82-$I$76)*MIN(E$3-$O$2,$Q$2)/$Q$2))</f>
        <v>2427.34375</v>
      </c>
      <c r="F82" s="15" t="n">
        <f aca="false">E82*(1+IF(F$3&lt;=$O$2,$D82,$D82-($D82-$I$76)*MIN(F$3-$O$2,$Q$2)/$Q$2))</f>
        <v>2465.27099609375</v>
      </c>
      <c r="G82" s="15" t="n">
        <f aca="false">F82*(1+IF(G$3&lt;=$O$2,$D82,$D82-($D82-$I$76)*MIN(G$3-$O$2,$Q$2)/$Q$2))</f>
        <v>2503.79085540772</v>
      </c>
      <c r="H82" s="15" t="n">
        <f aca="false">G82*(1+IF(H$3&lt;=$O$2,$D82,$D82-($D82-$I$76)*MIN(H$3-$O$2,$Q$2)/$Q$2))</f>
        <v>2542.91258752346</v>
      </c>
      <c r="I82" s="15" t="n">
        <f aca="false">H82*(1+IF(I$3&lt;=$O$2,$D82,$D82-($D82-$I$76)*MIN(I$3-$O$2,$Q$2)/$Q$2))</f>
        <v>2582.64559670351</v>
      </c>
      <c r="J82" s="15" t="n">
        <f aca="false">I82*(1+IF(J$3&lt;=$O$2,$D82,$D82-($D82-$I$76)*MIN(J$3-$O$2,$Q$2)/$Q$2))</f>
        <v>2626.96379514295</v>
      </c>
      <c r="K82" s="15" t="n">
        <f aca="false">J82*(1+IF(K$3&lt;=$O$2,$D82,$D82-($D82-$I$76)*MIN(K$3-$O$2,$Q$2)/$Q$2))</f>
        <v>2676.07488329314</v>
      </c>
      <c r="L82" s="15" t="n">
        <f aca="false">K82*(1+IF(L$3&lt;=$O$2,$D82,$D82-($D82-$I$76)*MIN(L$3-$O$2,$Q$2)/$Q$2))</f>
        <v>2730.21187818216</v>
      </c>
      <c r="M82" s="15" t="n">
        <f aca="false">L82*(1+IF(M$3&lt;=$O$2,$D82,$D82-($D82-$I$76)*MIN(M$3-$O$2,$Q$2)/$Q$2))</f>
        <v>2789.6349397108</v>
      </c>
      <c r="N82" s="15" t="n">
        <f aca="false">M82*(1+IF(N$3&lt;=$O$2,$D82,$D82-($D82-$I$76)*MIN(N$3-$O$2,$Q$2)/$Q$2))</f>
        <v>2854.63343380606</v>
      </c>
      <c r="O82" s="15" t="n">
        <f aca="false">SUMPRODUCT(E82:N82,1/(1+$F$76)^$E$3:$N$3)*$E$2</f>
        <v>7967.40411788955</v>
      </c>
      <c r="P82" s="15" t="n">
        <f aca="false">N82*$E$2*(1+$I$76)/($F$76-$I$76)/(1+$F$76)^$N$3</f>
        <v>9429.56618329373</v>
      </c>
      <c r="Q82" s="15" t="n">
        <f aca="false">O82+P82</f>
        <v>17396.9703011833</v>
      </c>
      <c r="R82" s="15" t="n">
        <f aca="false">Q82-$G$2+$I$2</f>
        <v>12045.4103011833</v>
      </c>
      <c r="S82" s="42" t="n">
        <f aca="false">R82/$K$2</f>
        <v>557.657884314041</v>
      </c>
      <c r="T82" s="43" t="n">
        <f aca="false">S82-$M$2</f>
        <v>-167.342115685959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0.015625</v>
      </c>
      <c r="C83" s="25" t="n">
        <f aca="false">IF(T82&gt;0,D82,C82)</f>
        <v>0.0625</v>
      </c>
      <c r="D83" s="41" t="n">
        <f aca="false">(B83+C83)/2</f>
        <v>0.0390625</v>
      </c>
      <c r="E83" s="15" t="n">
        <f aca="false">$C$2*(1+IF(E$3&lt;=$O$2,$D83,$D83-($D83-$I$76)*MIN(E$3-$O$2,$Q$2)/$Q$2))</f>
        <v>2483.359375</v>
      </c>
      <c r="F83" s="15" t="n">
        <f aca="false">E83*(1+IF(F$3&lt;=$O$2,$D83,$D83-($D83-$I$76)*MIN(F$3-$O$2,$Q$2)/$Q$2))</f>
        <v>2580.36560058594</v>
      </c>
      <c r="G83" s="15" t="n">
        <f aca="false">F83*(1+IF(G$3&lt;=$O$2,$D83,$D83-($D83-$I$76)*MIN(G$3-$O$2,$Q$2)/$Q$2))</f>
        <v>2681.16113185883</v>
      </c>
      <c r="H83" s="15" t="n">
        <f aca="false">G83*(1+IF(H$3&lt;=$O$2,$D83,$D83-($D83-$I$76)*MIN(H$3-$O$2,$Q$2)/$Q$2))</f>
        <v>2785.89398857206</v>
      </c>
      <c r="I83" s="15" t="n">
        <f aca="false">H83*(1+IF(I$3&lt;=$O$2,$D83,$D83-($D83-$I$76)*MIN(I$3-$O$2,$Q$2)/$Q$2))</f>
        <v>2894.71797250066</v>
      </c>
      <c r="J83" s="15" t="n">
        <f aca="false">I83*(1+IF(J$3&lt;=$O$2,$D83,$D83-($D83-$I$76)*MIN(J$3-$O$2,$Q$2)/$Q$2))</f>
        <v>2998.66729489316</v>
      </c>
      <c r="K83" s="15" t="n">
        <f aca="false">J83*(1+IF(K$3&lt;=$O$2,$D83,$D83-($D83-$I$76)*MIN(K$3-$O$2,$Q$2)/$Q$2))</f>
        <v>3096.89613880562</v>
      </c>
      <c r="L83" s="15" t="n">
        <f aca="false">K83*(1+IF(L$3&lt;=$O$2,$D83,$D83-($D83-$I$76)*MIN(L$3-$O$2,$Q$2)/$Q$2))</f>
        <v>3188.57974899496</v>
      </c>
      <c r="M83" s="15" t="n">
        <f aca="false">L83*(1+IF(M$3&lt;=$O$2,$D83,$D83-($D83-$I$76)*MIN(M$3-$O$2,$Q$2)/$Q$2))</f>
        <v>3272.92565480525</v>
      </c>
      <c r="N83" s="15" t="n">
        <f aca="false">M83*(1+IF(N$3&lt;=$O$2,$D83,$D83-($D83-$I$76)*MIN(N$3-$O$2,$Q$2)/$Q$2))</f>
        <v>3349.18482256221</v>
      </c>
      <c r="O83" s="15" t="n">
        <f aca="false">SUMPRODUCT(E83:N83,1/(1+$F$76)^$E$3:$N$3)*$E$2</f>
        <v>8821.60927441037</v>
      </c>
      <c r="P83" s="15" t="n">
        <f aca="false">N83*$E$2*(1+$I$76)/($F$76-$I$76)/(1+$F$76)^$N$3</f>
        <v>11063.1927624858</v>
      </c>
      <c r="Q83" s="15" t="n">
        <f aca="false">O83+P83</f>
        <v>19884.8020368962</v>
      </c>
      <c r="R83" s="15" t="n">
        <f aca="false">Q83-$G$2+$I$2</f>
        <v>14533.2420368962</v>
      </c>
      <c r="S83" s="42" t="n">
        <f aca="false">R83/$K$2</f>
        <v>672.835279485934</v>
      </c>
      <c r="T83" s="43" t="n">
        <f aca="false">S83-$M$2</f>
        <v>-52.164720514066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0.0390625</v>
      </c>
      <c r="C84" s="25" t="n">
        <f aca="false">IF(T83&gt;0,D83,C83)</f>
        <v>0.0625</v>
      </c>
      <c r="D84" s="41" t="n">
        <f aca="false">(B84+C84)/2</f>
        <v>0.05078125</v>
      </c>
      <c r="E84" s="15" t="n">
        <f aca="false">$C$2*(1+IF(E$3&lt;=$O$2,$D84,$D84-($D84-$I$76)*MIN(E$3-$O$2,$Q$2)/$Q$2))</f>
        <v>2511.3671875</v>
      </c>
      <c r="F84" s="15" t="n">
        <f aca="false">E84*(1+IF(F$3&lt;=$O$2,$D84,$D84-($D84-$I$76)*MIN(F$3-$O$2,$Q$2)/$Q$2))</f>
        <v>2638.89755249023</v>
      </c>
      <c r="G84" s="15" t="n">
        <f aca="false">F84*(1+IF(G$3&lt;=$O$2,$D84,$D84-($D84-$I$76)*MIN(G$3-$O$2,$Q$2)/$Q$2))</f>
        <v>2772.90406882763</v>
      </c>
      <c r="H84" s="15" t="n">
        <f aca="false">G84*(1+IF(H$3&lt;=$O$2,$D84,$D84-($D84-$I$76)*MIN(H$3-$O$2,$Q$2)/$Q$2))</f>
        <v>2913.71560357278</v>
      </c>
      <c r="I84" s="15" t="n">
        <f aca="false">H84*(1+IF(I$3&lt;=$O$2,$D84,$D84-($D84-$I$76)*MIN(I$3-$O$2,$Q$2)/$Q$2))</f>
        <v>3061.67772406671</v>
      </c>
      <c r="J84" s="15" t="n">
        <f aca="false">I84*(1+IF(J$3&lt;=$O$2,$D84,$D84-($D84-$I$76)*MIN(J$3-$O$2,$Q$2)/$Q$2))</f>
        <v>3200.32579980107</v>
      </c>
      <c r="K84" s="15" t="n">
        <f aca="false">J84*(1+IF(K$3&lt;=$O$2,$D84,$D84-($D84-$I$76)*MIN(K$3-$O$2,$Q$2)/$Q$2))</f>
        <v>3327.66276296791</v>
      </c>
      <c r="L84" s="15" t="n">
        <f aca="false">K84*(1+IF(L$3&lt;=$O$2,$D84,$D84-($D84-$I$76)*MIN(L$3-$O$2,$Q$2)/$Q$2))</f>
        <v>3441.77663826699</v>
      </c>
      <c r="M84" s="15" t="n">
        <f aca="false">L84*(1+IF(M$3&lt;=$O$2,$D84,$D84-($D84-$I$76)*MIN(M$3-$O$2,$Q$2)/$Q$2))</f>
        <v>3540.88689878668</v>
      </c>
      <c r="N84" s="15" t="n">
        <f aca="false">M84*(1+IF(N$3&lt;=$O$2,$D84,$D84-($D84-$I$76)*MIN(N$3-$O$2,$Q$2)/$Q$2))</f>
        <v>3623.38956352841</v>
      </c>
      <c r="O84" s="15" t="n">
        <f aca="false">SUMPRODUCT(E84:N84,1/(1+$F$76)^$E$3:$N$3)*$E$2</f>
        <v>9282.94000366153</v>
      </c>
      <c r="P84" s="15" t="n">
        <f aca="false">N84*$E$2*(1+$I$76)/($F$76-$I$76)/(1+$F$76)^$N$3</f>
        <v>11968.9594091219</v>
      </c>
      <c r="Q84" s="15" t="n">
        <f aca="false">O84+P84</f>
        <v>21251.8994127834</v>
      </c>
      <c r="R84" s="15" t="n">
        <f aca="false">Q84-$G$2+$I$2</f>
        <v>15900.3394127834</v>
      </c>
      <c r="S84" s="42" t="n">
        <f aca="false">R84/$K$2</f>
        <v>736.126824665898</v>
      </c>
      <c r="T84" s="43" t="n">
        <f aca="false">S84-$M$2</f>
        <v>11.1268246658982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0.0390625</v>
      </c>
      <c r="C85" s="25" t="n">
        <f aca="false">IF(T84&gt;0,D84,C84)</f>
        <v>0.05078125</v>
      </c>
      <c r="D85" s="41" t="n">
        <f aca="false">(B85+C85)/2</f>
        <v>0.044921875</v>
      </c>
      <c r="E85" s="15" t="n">
        <f aca="false">$C$2*(1+IF(E$3&lt;=$O$2,$D85,$D85-($D85-$I$76)*MIN(E$3-$O$2,$Q$2)/$Q$2))</f>
        <v>2497.36328125</v>
      </c>
      <c r="F85" s="15" t="n">
        <f aca="false">E85*(1+IF(F$3&lt;=$O$2,$D85,$D85-($D85-$I$76)*MIN(F$3-$O$2,$Q$2)/$Q$2))</f>
        <v>2609.5495223999</v>
      </c>
      <c r="G85" s="15" t="n">
        <f aca="false">F85*(1+IF(G$3&lt;=$O$2,$D85,$D85-($D85-$I$76)*MIN(G$3-$O$2,$Q$2)/$Q$2))</f>
        <v>2726.77537985146</v>
      </c>
      <c r="H85" s="15" t="n">
        <f aca="false">G85*(1+IF(H$3&lt;=$O$2,$D85,$D85-($D85-$I$76)*MIN(H$3-$O$2,$Q$2)/$Q$2))</f>
        <v>2849.26724261823</v>
      </c>
      <c r="I85" s="15" t="n">
        <f aca="false">H85*(1+IF(I$3&lt;=$O$2,$D85,$D85-($D85-$I$76)*MIN(I$3-$O$2,$Q$2)/$Q$2))</f>
        <v>2977.26166953272</v>
      </c>
      <c r="J85" s="15" t="n">
        <f aca="false">I85*(1+IF(J$3&lt;=$O$2,$D85,$D85-($D85-$I$76)*MIN(J$3-$O$2,$Q$2)/$Q$2))</f>
        <v>3098.13105016157</v>
      </c>
      <c r="K85" s="15" t="n">
        <f aca="false">J85*(1+IF(K$3&lt;=$O$2,$D85,$D85-($D85-$I$76)*MIN(K$3-$O$2,$Q$2)/$Q$2))</f>
        <v>3210.50994501046</v>
      </c>
      <c r="L85" s="15" t="n">
        <f aca="false">K85*(1+IF(L$3&lt;=$O$2,$D85,$D85-($D85-$I$76)*MIN(L$3-$O$2,$Q$2)/$Q$2))</f>
        <v>3313.08172461612</v>
      </c>
      <c r="M85" s="15" t="n">
        <f aca="false">L85*(1+IF(M$3&lt;=$O$2,$D85,$D85-($D85-$I$76)*MIN(M$3-$O$2,$Q$2)/$Q$2))</f>
        <v>3404.60353658256</v>
      </c>
      <c r="N85" s="15" t="n">
        <f aca="false">M85*(1+IF(N$3&lt;=$O$2,$D85,$D85-($D85-$I$76)*MIN(N$3-$O$2,$Q$2)/$Q$2))</f>
        <v>3483.93079898493</v>
      </c>
      <c r="O85" s="15" t="n">
        <f aca="false">SUMPRODUCT(E85:N85,1/(1+$F$76)^$E$3:$N$3)*$E$2</f>
        <v>9049.30602209982</v>
      </c>
      <c r="P85" s="15" t="n">
        <f aca="false">N85*$E$2*(1+$I$76)/($F$76-$I$76)/(1+$F$76)^$N$3</f>
        <v>11508.2923285329</v>
      </c>
      <c r="Q85" s="15" t="n">
        <f aca="false">O85+P85</f>
        <v>20557.5983506327</v>
      </c>
      <c r="R85" s="15" t="n">
        <f aca="false">Q85-$G$2+$I$2</f>
        <v>15206.0383506327</v>
      </c>
      <c r="S85" s="42" t="n">
        <f aca="false">R85/$K$2</f>
        <v>703.983256973737</v>
      </c>
      <c r="T85" s="43" t="n">
        <f aca="false">S85-$M$2</f>
        <v>-21.0167430262633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0.044921875</v>
      </c>
      <c r="C86" s="25" t="n">
        <f aca="false">IF(T85&gt;0,D85,C85)</f>
        <v>0.05078125</v>
      </c>
      <c r="D86" s="41" t="n">
        <f aca="false">(B86+C86)/2</f>
        <v>0.0478515625</v>
      </c>
      <c r="E86" s="15" t="n">
        <f aca="false">$C$2*(1+IF(E$3&lt;=$O$2,$D86,$D86-($D86-$I$76)*MIN(E$3-$O$2,$Q$2)/$Q$2))</f>
        <v>2504.365234375</v>
      </c>
      <c r="F86" s="15" t="n">
        <f aca="false">E86*(1+IF(F$3&lt;=$O$2,$D86,$D86-($D86-$I$76)*MIN(F$3-$O$2,$Q$2)/$Q$2))</f>
        <v>2624.20302391052</v>
      </c>
      <c r="G86" s="15" t="n">
        <f aca="false">F86*(1+IF(G$3&lt;=$O$2,$D86,$D86-($D86-$I$76)*MIN(G$3-$O$2,$Q$2)/$Q$2))</f>
        <v>2749.77523892187</v>
      </c>
      <c r="H86" s="15" t="n">
        <f aca="false">G86*(1+IF(H$3&lt;=$O$2,$D86,$D86-($D86-$I$76)*MIN(H$3-$O$2,$Q$2)/$Q$2))</f>
        <v>2881.35628062809</v>
      </c>
      <c r="I86" s="15" t="n">
        <f aca="false">H86*(1+IF(I$3&lt;=$O$2,$D86,$D86-($D86-$I$76)*MIN(I$3-$O$2,$Q$2)/$Q$2))</f>
        <v>3019.23368077533</v>
      </c>
      <c r="J86" s="15" t="n">
        <f aca="false">I86*(1+IF(J$3&lt;=$O$2,$D86,$D86-($D86-$I$76)*MIN(J$3-$O$2,$Q$2)/$Q$2))</f>
        <v>3148.88334906992</v>
      </c>
      <c r="K86" s="15" t="n">
        <f aca="false">J86*(1+IF(K$3&lt;=$O$2,$D86,$D86-($D86-$I$76)*MIN(K$3-$O$2,$Q$2)/$Q$2))</f>
        <v>3268.63833491319</v>
      </c>
      <c r="L86" s="15" t="n">
        <f aca="false">K86*(1+IF(L$3&lt;=$O$2,$D86,$D86-($D86-$I$76)*MIN(L$3-$O$2,$Q$2)/$Q$2))</f>
        <v>3376.89767946448</v>
      </c>
      <c r="M86" s="15" t="n">
        <f aca="false">L86*(1+IF(M$3&lt;=$O$2,$D86,$D86-($D86-$I$76)*MIN(M$3-$O$2,$Q$2)/$Q$2))</f>
        <v>3472.1610182827</v>
      </c>
      <c r="N86" s="15" t="n">
        <f aca="false">M86*(1+IF(N$3&lt;=$O$2,$D86,$D86-($D86-$I$76)*MIN(N$3-$O$2,$Q$2)/$Q$2))</f>
        <v>3553.06237000868</v>
      </c>
      <c r="O86" s="15" t="n">
        <f aca="false">SUMPRODUCT(E86:N86,1/(1+$F$76)^$E$3:$N$3)*$E$2</f>
        <v>9165.37188393536</v>
      </c>
      <c r="P86" s="15" t="n">
        <f aca="false">N86*$E$2*(1+$I$76)/($F$76-$I$76)/(1+$F$76)^$N$3</f>
        <v>11736.6511491799</v>
      </c>
      <c r="Q86" s="15" t="n">
        <f aca="false">O86+P86</f>
        <v>20902.0230331153</v>
      </c>
      <c r="R86" s="15" t="n">
        <f aca="false">Q86-$G$2+$I$2</f>
        <v>15550.4630331153</v>
      </c>
      <c r="S86" s="42" t="n">
        <f aca="false">R86/$K$2</f>
        <v>719.928844125707</v>
      </c>
      <c r="T86" s="43" t="n">
        <f aca="false">S86-$M$2</f>
        <v>-5.07115587429269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0.0478515625</v>
      </c>
      <c r="C87" s="25" t="n">
        <f aca="false">IF(T86&gt;0,D86,C86)</f>
        <v>0.05078125</v>
      </c>
      <c r="D87" s="41" t="n">
        <f aca="false">(B87+C87)/2</f>
        <v>0.04931640625</v>
      </c>
      <c r="E87" s="15" t="n">
        <f aca="false">$C$2*(1+IF(E$3&lt;=$O$2,$D87,$D87-($D87-$I$76)*MIN(E$3-$O$2,$Q$2)/$Q$2))</f>
        <v>2507.8662109375</v>
      </c>
      <c r="F87" s="15" t="n">
        <f aca="false">E87*(1+IF(F$3&lt;=$O$2,$D87,$D87-($D87-$I$76)*MIN(F$3-$O$2,$Q$2)/$Q$2))</f>
        <v>2631.54515981674</v>
      </c>
      <c r="G87" s="15" t="n">
        <f aca="false">F87*(1+IF(G$3&lt;=$O$2,$D87,$D87-($D87-$I$76)*MIN(G$3-$O$2,$Q$2)/$Q$2))</f>
        <v>2761.32350998349</v>
      </c>
      <c r="H87" s="15" t="n">
        <f aca="false">G87*(1+IF(H$3&lt;=$O$2,$D87,$D87-($D87-$I$76)*MIN(H$3-$O$2,$Q$2)/$Q$2))</f>
        <v>2897.50206198951</v>
      </c>
      <c r="I87" s="15" t="n">
        <f aca="false">H87*(1+IF(I$3&lt;=$O$2,$D87,$D87-($D87-$I$76)*MIN(I$3-$O$2,$Q$2)/$Q$2))</f>
        <v>3040.39645078879</v>
      </c>
      <c r="J87" s="15" t="n">
        <f aca="false">I87*(1+IF(J$3&lt;=$O$2,$D87,$D87-($D87-$I$76)*MIN(J$3-$O$2,$Q$2)/$Q$2))</f>
        <v>3174.517839472</v>
      </c>
      <c r="K87" s="15" t="n">
        <f aca="false">J87*(1+IF(K$3&lt;=$O$2,$D87,$D87-($D87-$I$76)*MIN(K$3-$O$2,$Q$2)/$Q$2))</f>
        <v>3298.03783258744</v>
      </c>
      <c r="L87" s="15" t="n">
        <f aca="false">K87*(1+IF(L$3&lt;=$O$2,$D87,$D87-($D87-$I$76)*MIN(L$3-$O$2,$Q$2)/$Q$2))</f>
        <v>3409.20335091891</v>
      </c>
      <c r="M87" s="15" t="n">
        <f aca="false">L87*(1+IF(M$3&lt;=$O$2,$D87,$D87-($D87-$I$76)*MIN(M$3-$O$2,$Q$2)/$Q$2))</f>
        <v>3506.3768328686</v>
      </c>
      <c r="N87" s="15" t="n">
        <f aca="false">M87*(1+IF(N$3&lt;=$O$2,$D87,$D87-($D87-$I$76)*MIN(N$3-$O$2,$Q$2)/$Q$2))</f>
        <v>3588.07541307444</v>
      </c>
      <c r="O87" s="15" t="n">
        <f aca="false">SUMPRODUCT(E87:N87,1/(1+$F$76)^$E$3:$N$3)*$E$2</f>
        <v>9223.9670294026</v>
      </c>
      <c r="P87" s="15" t="n">
        <f aca="false">N87*$E$2*(1+$I$76)/($F$76-$I$76)/(1+$F$76)^$N$3</f>
        <v>11852.3079627508</v>
      </c>
      <c r="Q87" s="15" t="n">
        <f aca="false">O87+P87</f>
        <v>21076.2749921534</v>
      </c>
      <c r="R87" s="15" t="n">
        <f aca="false">Q87-$G$2+$I$2</f>
        <v>15724.7149921534</v>
      </c>
      <c r="S87" s="42" t="n">
        <f aca="false">R87/$K$2</f>
        <v>727.996064451548</v>
      </c>
      <c r="T87" s="43" t="n">
        <f aca="false">S87-$M$2</f>
        <v>2.99606445154814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0.0478515625</v>
      </c>
      <c r="C88" s="25" t="n">
        <f aca="false">IF(T87&gt;0,D87,C87)</f>
        <v>0.04931640625</v>
      </c>
      <c r="D88" s="41" t="n">
        <f aca="false">(B88+C88)/2</f>
        <v>0.048583984375</v>
      </c>
      <c r="E88" s="15" t="n">
        <f aca="false">$C$2*(1+IF(E$3&lt;=$O$2,$D88,$D88-($D88-$I$76)*MIN(E$3-$O$2,$Q$2)/$Q$2))</f>
        <v>2506.11572265625</v>
      </c>
      <c r="F88" s="15" t="n">
        <f aca="false">E88*(1+IF(F$3&lt;=$O$2,$D88,$D88-($D88-$I$76)*MIN(F$3-$O$2,$Q$2)/$Q$2))</f>
        <v>2627.87280976772</v>
      </c>
      <c r="G88" s="15" t="n">
        <f aca="false">F88*(1+IF(G$3&lt;=$O$2,$D88,$D88-($D88-$I$76)*MIN(G$3-$O$2,$Q$2)/$Q$2))</f>
        <v>2755.54534129697</v>
      </c>
      <c r="H88" s="15" t="n">
        <f aca="false">G88*(1+IF(H$3&lt;=$O$2,$D88,$D88-($D88-$I$76)*MIN(H$3-$O$2,$Q$2)/$Q$2))</f>
        <v>2889.42071310314</v>
      </c>
      <c r="I88" s="15" t="n">
        <f aca="false">H88*(1+IF(I$3&lt;=$O$2,$D88,$D88-($D88-$I$76)*MIN(I$3-$O$2,$Q$2)/$Q$2))</f>
        <v>3029.80028388135</v>
      </c>
      <c r="J88" s="15" t="n">
        <f aca="false">I88*(1+IF(J$3&lt;=$O$2,$D88,$D88-($D88-$I$76)*MIN(J$3-$O$2,$Q$2)/$Q$2))</f>
        <v>3161.6789689254</v>
      </c>
      <c r="K88" s="15" t="n">
        <f aca="false">J88*(1+IF(K$3&lt;=$O$2,$D88,$D88-($D88-$I$76)*MIN(K$3-$O$2,$Q$2)/$Q$2))</f>
        <v>3283.30999389081</v>
      </c>
      <c r="L88" s="15" t="n">
        <f aca="false">K88*(1+IF(L$3&lt;=$O$2,$D88,$D88-($D88-$I$76)*MIN(L$3-$O$2,$Q$2)/$Q$2))</f>
        <v>3393.01718018199</v>
      </c>
      <c r="M88" s="15" t="n">
        <f aca="false">L88*(1+IF(M$3&lt;=$O$2,$D88,$D88-($D88-$I$76)*MIN(M$3-$O$2,$Q$2)/$Q$2))</f>
        <v>3489.2322791538</v>
      </c>
      <c r="N88" s="15" t="n">
        <f aca="false">M88*(1+IF(N$3&lt;=$O$2,$D88,$D88-($D88-$I$76)*MIN(N$3-$O$2,$Q$2)/$Q$2))</f>
        <v>3570.53139125808</v>
      </c>
      <c r="O88" s="15" t="n">
        <f aca="false">SUMPRODUCT(E88:N88,1/(1+$F$76)^$E$3:$N$3)*$E$2</f>
        <v>9194.62237005329</v>
      </c>
      <c r="P88" s="15" t="n">
        <f aca="false">N88*$E$2*(1+$I$76)/($F$76-$I$76)/(1+$F$76)^$N$3</f>
        <v>11794.3556831764</v>
      </c>
      <c r="Q88" s="15" t="n">
        <f aca="false">O88+P88</f>
        <v>20988.9780532297</v>
      </c>
      <c r="R88" s="15" t="n">
        <f aca="false">Q88-$G$2+$I$2</f>
        <v>15637.4180532297</v>
      </c>
      <c r="S88" s="42" t="n">
        <f aca="false">R88/$K$2</f>
        <v>723.954539501375</v>
      </c>
      <c r="T88" s="43" t="n">
        <f aca="false">S88-$M$2</f>
        <v>-1.04546049862495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0.048583984375</v>
      </c>
      <c r="C89" s="25" t="n">
        <f aca="false">IF(T88&gt;0,D88,C88)</f>
        <v>0.04931640625</v>
      </c>
      <c r="D89" s="41" t="n">
        <f aca="false">(B89+C89)/2</f>
        <v>0.0489501953125</v>
      </c>
      <c r="E89" s="15" t="n">
        <f aca="false">$C$2*(1+IF(E$3&lt;=$O$2,$D89,$D89-($D89-$I$76)*MIN(E$3-$O$2,$Q$2)/$Q$2))</f>
        <v>2506.99096679688</v>
      </c>
      <c r="F89" s="15" t="n">
        <f aca="false">E89*(1+IF(F$3&lt;=$O$2,$D89,$D89-($D89-$I$76)*MIN(F$3-$O$2,$Q$2)/$Q$2))</f>
        <v>2629.70866426826</v>
      </c>
      <c r="G89" s="15" t="n">
        <f aca="false">F89*(1+IF(G$3&lt;=$O$2,$D89,$D89-($D89-$I$76)*MIN(G$3-$O$2,$Q$2)/$Q$2))</f>
        <v>2758.43341699916</v>
      </c>
      <c r="H89" s="15" t="n">
        <f aca="false">G89*(1+IF(H$3&lt;=$O$2,$D89,$D89-($D89-$I$76)*MIN(H$3-$O$2,$Q$2)/$Q$2))</f>
        <v>2893.4592715178</v>
      </c>
      <c r="I89" s="15" t="n">
        <f aca="false">H89*(1+IF(I$3&lt;=$O$2,$D89,$D89-($D89-$I$76)*MIN(I$3-$O$2,$Q$2)/$Q$2))</f>
        <v>3035.09466798736</v>
      </c>
      <c r="J89" s="15" t="n">
        <f aca="false">I89*(1+IF(J$3&lt;=$O$2,$D89,$D89-($D89-$I$76)*MIN(J$3-$O$2,$Q$2)/$Q$2))</f>
        <v>3168.0929905721</v>
      </c>
      <c r="K89" s="15" t="n">
        <f aca="false">J89*(1+IF(K$3&lt;=$O$2,$D89,$D89-($D89-$I$76)*MIN(K$3-$O$2,$Q$2)/$Q$2))</f>
        <v>3290.66687963824</v>
      </c>
      <c r="L89" s="15" t="n">
        <f aca="false">K89*(1+IF(L$3&lt;=$O$2,$D89,$D89-($D89-$I$76)*MIN(L$3-$O$2,$Q$2)/$Q$2))</f>
        <v>3401.10191720224</v>
      </c>
      <c r="M89" s="15" t="n">
        <f aca="false">L89*(1+IF(M$3&lt;=$O$2,$D89,$D89-($D89-$I$76)*MIN(M$3-$O$2,$Q$2)/$Q$2))</f>
        <v>3497.79537756385</v>
      </c>
      <c r="N89" s="15" t="n">
        <f aca="false">M89*(1+IF(N$3&lt;=$O$2,$D89,$D89-($D89-$I$76)*MIN(N$3-$O$2,$Q$2)/$Q$2))</f>
        <v>3579.29400986109</v>
      </c>
      <c r="O89" s="15" t="n">
        <f aca="false">SUMPRODUCT(E89:N89,1/(1+$F$76)^$E$3:$N$3)*$E$2</f>
        <v>9209.28291035514</v>
      </c>
      <c r="P89" s="15" t="n">
        <f aca="false">N89*$E$2*(1+$I$76)/($F$76-$I$76)/(1+$F$76)^$N$3</f>
        <v>11823.3007978372</v>
      </c>
      <c r="Q89" s="15" t="n">
        <f aca="false">O89+P89</f>
        <v>21032.5837081923</v>
      </c>
      <c r="R89" s="15" t="n">
        <f aca="false">Q89-$G$2+$I$2</f>
        <v>15681.0237081923</v>
      </c>
      <c r="S89" s="42" t="n">
        <f aca="false">R89/$K$2</f>
        <v>725.973319823719</v>
      </c>
      <c r="T89" s="43" t="n">
        <f aca="false">S89-$M$2</f>
        <v>0.973319823718612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0.048583984375</v>
      </c>
      <c r="C90" s="25" t="n">
        <f aca="false">IF(T89&gt;0,D89,C89)</f>
        <v>0.0489501953125</v>
      </c>
      <c r="D90" s="41" t="n">
        <f aca="false">(B90+C90)/2</f>
        <v>0.04876708984375</v>
      </c>
      <c r="E90" s="15" t="n">
        <f aca="false">$C$2*(1+IF(E$3&lt;=$O$2,$D90,$D90-($D90-$I$76)*MIN(E$3-$O$2,$Q$2)/$Q$2))</f>
        <v>2506.55334472656</v>
      </c>
      <c r="F90" s="15" t="n">
        <f aca="false">E90*(1+IF(F$3&lt;=$O$2,$D90,$D90-($D90-$I$76)*MIN(F$3-$O$2,$Q$2)/$Q$2))</f>
        <v>2628.790656887</v>
      </c>
      <c r="G90" s="15" t="n">
        <f aca="false">F90*(1+IF(G$3&lt;=$O$2,$D90,$D90-($D90-$I$76)*MIN(G$3-$O$2,$Q$2)/$Q$2))</f>
        <v>2756.98912703181</v>
      </c>
      <c r="H90" s="15" t="n">
        <f aca="false">G90*(1+IF(H$3&lt;=$O$2,$D90,$D90-($D90-$I$76)*MIN(H$3-$O$2,$Q$2)/$Q$2))</f>
        <v>2891.43946348802</v>
      </c>
      <c r="I90" s="15" t="n">
        <f aca="false">H90*(1+IF(I$3&lt;=$O$2,$D90,$D90-($D90-$I$76)*MIN(I$3-$O$2,$Q$2)/$Q$2))</f>
        <v>3032.4465515817</v>
      </c>
      <c r="J90" s="15" t="n">
        <f aca="false">I90*(1+IF(J$3&lt;=$O$2,$D90,$D90-($D90-$I$76)*MIN(J$3-$O$2,$Q$2)/$Q$2))</f>
        <v>3164.88462725395</v>
      </c>
      <c r="K90" s="15" t="n">
        <f aca="false">J90*(1+IF(K$3&lt;=$O$2,$D90,$D90-($D90-$I$76)*MIN(K$3-$O$2,$Q$2)/$Q$2))</f>
        <v>3286.9866797574</v>
      </c>
      <c r="L90" s="15" t="n">
        <f aca="false">K90*(1+IF(L$3&lt;=$O$2,$D90,$D90-($D90-$I$76)*MIN(L$3-$O$2,$Q$2)/$Q$2))</f>
        <v>3397.05746343118</v>
      </c>
      <c r="M90" s="15" t="n">
        <f aca="false">L90*(1+IF(M$3&lt;=$O$2,$D90,$D90-($D90-$I$76)*MIN(M$3-$O$2,$Q$2)/$Q$2))</f>
        <v>3493.51153585425</v>
      </c>
      <c r="N90" s="15" t="n">
        <f aca="false">M90*(1+IF(N$3&lt;=$O$2,$D90,$D90-($D90-$I$76)*MIN(N$3-$O$2,$Q$2)/$Q$2))</f>
        <v>3574.91035463965</v>
      </c>
      <c r="O90" s="15" t="n">
        <f aca="false">SUMPRODUCT(E90:N90,1/(1+$F$76)^$E$3:$N$3)*$E$2</f>
        <v>9201.94969507769</v>
      </c>
      <c r="P90" s="15" t="n">
        <f aca="false">N90*$E$2*(1+$I$76)/($F$76-$I$76)/(1+$F$76)^$N$3</f>
        <v>11808.8204913482</v>
      </c>
      <c r="Q90" s="15" t="n">
        <f aca="false">O90+P90</f>
        <v>21010.7701864259</v>
      </c>
      <c r="R90" s="15" t="n">
        <f aca="false">Q90-$G$2+$I$2</f>
        <v>15659.2101864259</v>
      </c>
      <c r="S90" s="42" t="n">
        <f aca="false">R90/$K$2</f>
        <v>724.963434556753</v>
      </c>
      <c r="T90" s="43" t="n">
        <f aca="false">S90-$M$2</f>
        <v>-0.0365654432471274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0.04876708984375</v>
      </c>
      <c r="C91" s="25" t="n">
        <f aca="false">IF(T90&gt;0,D90,C90)</f>
        <v>0.0489501953125</v>
      </c>
      <c r="D91" s="41" t="n">
        <f aca="false">(B91+C91)/2</f>
        <v>0.048858642578125</v>
      </c>
      <c r="E91" s="15" t="n">
        <f aca="false">$C$2*(1+IF(E$3&lt;=$O$2,$D91,$D91-($D91-$I$76)*MIN(E$3-$O$2,$Q$2)/$Q$2))</f>
        <v>2506.77215576172</v>
      </c>
      <c r="F91" s="15" t="n">
        <f aca="false">E91*(1+IF(F$3&lt;=$O$2,$D91,$D91-($D91-$I$76)*MIN(F$3-$O$2,$Q$2)/$Q$2))</f>
        <v>2629.24964054488</v>
      </c>
      <c r="G91" s="15" t="n">
        <f aca="false">F91*(1+IF(G$3&lt;=$O$2,$D91,$D91-($D91-$I$76)*MIN(G$3-$O$2,$Q$2)/$Q$2))</f>
        <v>2757.71120898092</v>
      </c>
      <c r="H91" s="15" t="n">
        <f aca="false">G91*(1+IF(H$3&lt;=$O$2,$D91,$D91-($D91-$I$76)*MIN(H$3-$O$2,$Q$2)/$Q$2))</f>
        <v>2892.44923527421</v>
      </c>
      <c r="I91" s="15" t="n">
        <f aca="false">H91*(1+IF(I$3&lt;=$O$2,$D91,$D91-($D91-$I$76)*MIN(I$3-$O$2,$Q$2)/$Q$2))</f>
        <v>3033.77037863584</v>
      </c>
      <c r="J91" s="15" t="n">
        <f aca="false">I91*(1+IF(J$3&lt;=$O$2,$D91,$D91-($D91-$I$76)*MIN(J$3-$O$2,$Q$2)/$Q$2))</f>
        <v>3166.48847067538</v>
      </c>
      <c r="K91" s="15" t="n">
        <f aca="false">J91*(1+IF(K$3&lt;=$O$2,$D91,$D91-($D91-$I$76)*MIN(K$3-$O$2,$Q$2)/$Q$2))</f>
        <v>3288.82634027197</v>
      </c>
      <c r="L91" s="15" t="n">
        <f aca="false">K91*(1+IF(L$3&lt;=$O$2,$D91,$D91-($D91-$I$76)*MIN(L$3-$O$2,$Q$2)/$Q$2))</f>
        <v>3399.07916877332</v>
      </c>
      <c r="M91" s="15" t="n">
        <f aca="false">L91*(1+IF(M$3&lt;=$O$2,$D91,$D91-($D91-$I$76)*MIN(M$3-$O$2,$Q$2)/$Q$2))</f>
        <v>3495.65288331962</v>
      </c>
      <c r="N91" s="15" t="n">
        <f aca="false">M91*(1+IF(N$3&lt;=$O$2,$D91,$D91-($D91-$I$76)*MIN(N$3-$O$2,$Q$2)/$Q$2))</f>
        <v>3577.10159550097</v>
      </c>
      <c r="O91" s="15" t="n">
        <f aca="false">SUMPRODUCT(E91:N91,1/(1+$F$76)^$E$3:$N$3)*$E$2</f>
        <v>9205.61556615781</v>
      </c>
      <c r="P91" s="15" t="n">
        <f aca="false">N91*$E$2*(1+$I$76)/($F$76-$I$76)/(1+$F$76)^$N$3</f>
        <v>11816.0587064131</v>
      </c>
      <c r="Q91" s="15" t="n">
        <f aca="false">O91+P91</f>
        <v>21021.6742725709</v>
      </c>
      <c r="R91" s="15" t="n">
        <f aca="false">Q91-$G$2+$I$2</f>
        <v>15670.1142725709</v>
      </c>
      <c r="S91" s="42" t="n">
        <f aca="false">R91/$K$2</f>
        <v>725.468253359763</v>
      </c>
      <c r="T91" s="43" t="n">
        <f aca="false">S91-$M$2</f>
        <v>0.468253359763253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0.04876708984375</v>
      </c>
      <c r="C92" s="25" t="n">
        <f aca="false">IF(T91&gt;0,D91,C91)</f>
        <v>0.048858642578125</v>
      </c>
      <c r="D92" s="41" t="n">
        <f aca="false">(B92+C92)/2</f>
        <v>0.0488128662109375</v>
      </c>
      <c r="E92" s="15" t="n">
        <f aca="false">$C$2*(1+IF(E$3&lt;=$O$2,$D92,$D92-($D92-$I$76)*MIN(E$3-$O$2,$Q$2)/$Q$2))</f>
        <v>2506.66275024414</v>
      </c>
      <c r="F92" s="15" t="n">
        <f aca="false">E92*(1+IF(F$3&lt;=$O$2,$D92,$D92-($D92-$I$76)*MIN(F$3-$O$2,$Q$2)/$Q$2))</f>
        <v>2629.02014370775</v>
      </c>
      <c r="G92" s="15" t="n">
        <f aca="false">F92*(1+IF(G$3&lt;=$O$2,$D92,$D92-($D92-$I$76)*MIN(G$3-$O$2,$Q$2)/$Q$2))</f>
        <v>2757.35015224841</v>
      </c>
      <c r="H92" s="15" t="n">
        <f aca="false">G92*(1+IF(H$3&lt;=$O$2,$D92,$D92-($D92-$I$76)*MIN(H$3-$O$2,$Q$2)/$Q$2))</f>
        <v>2891.94431632682</v>
      </c>
      <c r="I92" s="15" t="n">
        <f aca="false">H92*(1+IF(I$3&lt;=$O$2,$D92,$D92-($D92-$I$76)*MIN(I$3-$O$2,$Q$2)/$Q$2))</f>
        <v>3033.10840732917</v>
      </c>
      <c r="J92" s="15" t="n">
        <f aca="false">I92*(1+IF(J$3&lt;=$O$2,$D92,$D92-($D92-$I$76)*MIN(J$3-$O$2,$Q$2)/$Q$2))</f>
        <v>3165.6864644195</v>
      </c>
      <c r="K92" s="15" t="n">
        <f aca="false">J92*(1+IF(K$3&lt;=$O$2,$D92,$D92-($D92-$I$76)*MIN(K$3-$O$2,$Q$2)/$Q$2))</f>
        <v>3287.90640017998</v>
      </c>
      <c r="L92" s="15" t="n">
        <f aca="false">K92*(1+IF(L$3&lt;=$O$2,$D92,$D92-($D92-$I$76)*MIN(L$3-$O$2,$Q$2)/$Q$2))</f>
        <v>3398.06818574493</v>
      </c>
      <c r="M92" s="15" t="n">
        <f aca="false">L92*(1+IF(M$3&lt;=$O$2,$D92,$D92-($D92-$I$76)*MIN(M$3-$O$2,$Q$2)/$Q$2))</f>
        <v>3494.5820662725</v>
      </c>
      <c r="N92" s="15" t="n">
        <f aca="false">M92*(1+IF(N$3&lt;=$O$2,$D92,$D92-($D92-$I$76)*MIN(N$3-$O$2,$Q$2)/$Q$2))</f>
        <v>3576.00582841665</v>
      </c>
      <c r="O92" s="15" t="n">
        <f aca="false">SUMPRODUCT(E92:N92,1/(1+$F$76)^$E$3:$N$3)*$E$2</f>
        <v>9203.78244651273</v>
      </c>
      <c r="P92" s="15" t="n">
        <f aca="false">N92*$E$2*(1+$I$76)/($F$76-$I$76)/(1+$F$76)^$N$3</f>
        <v>11812.439114447</v>
      </c>
      <c r="Q92" s="15" t="n">
        <f aca="false">O92+P92</f>
        <v>21016.2215609597</v>
      </c>
      <c r="R92" s="15" t="n">
        <f aca="false">Q92-$G$2+$I$2</f>
        <v>15664.6615609597</v>
      </c>
      <c r="S92" s="42" t="n">
        <f aca="false">R92/$K$2</f>
        <v>725.215813007395</v>
      </c>
      <c r="T92" s="43" t="n">
        <f aca="false">S92-$M$2</f>
        <v>0.215813007394672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0.04876708984375</v>
      </c>
      <c r="C93" s="25" t="n">
        <f aca="false">IF(T92&gt;0,D92,C92)</f>
        <v>0.0488128662109375</v>
      </c>
      <c r="D93" s="41" t="n">
        <f aca="false">(B93+C93)/2</f>
        <v>0.0487899780273438</v>
      </c>
      <c r="E93" s="15" t="n">
        <f aca="false">$C$2*(1+IF(E$3&lt;=$O$2,$D93,$D93-($D93-$I$76)*MIN(E$3-$O$2,$Q$2)/$Q$2))</f>
        <v>2506.60804748535</v>
      </c>
      <c r="F93" s="15" t="n">
        <f aca="false">E93*(1+IF(F$3&lt;=$O$2,$D93,$D93-($D93-$I$76)*MIN(F$3-$O$2,$Q$2)/$Q$2))</f>
        <v>2628.90539904533</v>
      </c>
      <c r="G93" s="15" t="n">
        <f aca="false">F93*(1+IF(G$3&lt;=$O$2,$D93,$D93-($D93-$I$76)*MIN(G$3-$O$2,$Q$2)/$Q$2))</f>
        <v>2757.16963570071</v>
      </c>
      <c r="H93" s="15" t="n">
        <f aca="false">G93*(1+IF(H$3&lt;=$O$2,$D93,$D93-($D93-$I$76)*MIN(H$3-$O$2,$Q$2)/$Q$2))</f>
        <v>2891.69188164421</v>
      </c>
      <c r="I93" s="15" t="n">
        <f aca="false">H93*(1+IF(I$3&lt;=$O$2,$D93,$D93-($D93-$I$76)*MIN(I$3-$O$2,$Q$2)/$Q$2))</f>
        <v>3032.77746501148</v>
      </c>
      <c r="J93" s="15" t="n">
        <f aca="false">I93*(1+IF(J$3&lt;=$O$2,$D93,$D93-($D93-$I$76)*MIN(J$3-$O$2,$Q$2)/$Q$2))</f>
        <v>3165.28552470222</v>
      </c>
      <c r="K93" s="15" t="n">
        <f aca="false">J93*(1+IF(K$3&lt;=$O$2,$D93,$D93-($D93-$I$76)*MIN(K$3-$O$2,$Q$2)/$Q$2))</f>
        <v>3287.44651251274</v>
      </c>
      <c r="L93" s="15" t="n">
        <f aca="false">K93*(1+IF(L$3&lt;=$O$2,$D93,$D93-($D93-$I$76)*MIN(L$3-$O$2,$Q$2)/$Q$2))</f>
        <v>3397.56279200229</v>
      </c>
      <c r="M93" s="15" t="n">
        <f aca="false">L93*(1+IF(M$3&lt;=$O$2,$D93,$D93-($D93-$I$76)*MIN(M$3-$O$2,$Q$2)/$Q$2))</f>
        <v>3494.04676523888</v>
      </c>
      <c r="N93" s="15" t="n">
        <f aca="false">M93*(1+IF(N$3&lt;=$O$2,$D93,$D93-($D93-$I$76)*MIN(N$3-$O$2,$Q$2)/$Q$2))</f>
        <v>3575.45805486894</v>
      </c>
      <c r="O93" s="15" t="n">
        <f aca="false">SUMPRODUCT(E93:N93,1/(1+$F$76)^$E$3:$N$3)*$E$2</f>
        <v>9202.86602477328</v>
      </c>
      <c r="P93" s="15" t="n">
        <f aca="false">N93*$E$2*(1+$I$76)/($F$76-$I$76)/(1+$F$76)^$N$3</f>
        <v>11810.6296818031</v>
      </c>
      <c r="Q93" s="15" t="n">
        <f aca="false">O93+P93</f>
        <v>21013.4957065764</v>
      </c>
      <c r="R93" s="15" t="n">
        <f aca="false">Q93-$G$2+$I$2</f>
        <v>15661.9357065764</v>
      </c>
      <c r="S93" s="42" t="n">
        <f aca="false">R93/$K$2</f>
        <v>725.089616045202</v>
      </c>
      <c r="T93" s="43" t="n">
        <f aca="false">S93-$M$2</f>
        <v>0.0896160452020922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0.04876708984375</v>
      </c>
      <c r="C94" s="25" t="n">
        <f aca="false">IF(T93&gt;0,D93,C93)</f>
        <v>0.0487899780273438</v>
      </c>
      <c r="D94" s="41" t="n">
        <f aca="false">(B94+C94)/2</f>
        <v>0.0487785339355469</v>
      </c>
      <c r="E94" s="15" t="n">
        <f aca="false">$C$2*(1+IF(E$3&lt;=$O$2,$D94,$D94-($D94-$I$76)*MIN(E$3-$O$2,$Q$2)/$Q$2))</f>
        <v>2506.58069610596</v>
      </c>
      <c r="F94" s="15" t="n">
        <f aca="false">E94*(1+IF(F$3&lt;=$O$2,$D94,$D94-($D94-$I$76)*MIN(F$3-$O$2,$Q$2)/$Q$2))</f>
        <v>2628.84802765315</v>
      </c>
      <c r="G94" s="15" t="n">
        <f aca="false">F94*(1+IF(G$3&lt;=$O$2,$D94,$D94-($D94-$I$76)*MIN(G$3-$O$2,$Q$2)/$Q$2))</f>
        <v>2757.07938038142</v>
      </c>
      <c r="H94" s="15" t="n">
        <f aca="false">G94*(1+IF(H$3&lt;=$O$2,$D94,$D94-($D94-$I$76)*MIN(H$3-$O$2,$Q$2)/$Q$2))</f>
        <v>2891.56567050035</v>
      </c>
      <c r="I94" s="15" t="n">
        <f aca="false">H94*(1+IF(I$3&lt;=$O$2,$D94,$D94-($D94-$I$76)*MIN(I$3-$O$2,$Q$2)/$Q$2))</f>
        <v>3032.61200468572</v>
      </c>
      <c r="J94" s="15" t="n">
        <f aca="false">I94*(1+IF(J$3&lt;=$O$2,$D94,$D94-($D94-$I$76)*MIN(J$3-$O$2,$Q$2)/$Q$2))</f>
        <v>3165.08507069468</v>
      </c>
      <c r="K94" s="15" t="n">
        <f aca="false">J94*(1+IF(K$3&lt;=$O$2,$D94,$D94-($D94-$I$76)*MIN(K$3-$O$2,$Q$2)/$Q$2))</f>
        <v>3287.21658927142</v>
      </c>
      <c r="L94" s="15" t="n">
        <f aca="false">K94*(1+IF(L$3&lt;=$O$2,$D94,$D94-($D94-$I$76)*MIN(L$3-$O$2,$Q$2)/$Q$2))</f>
        <v>3397.31011957074</v>
      </c>
      <c r="M94" s="15" t="n">
        <f aca="false">L94*(1+IF(M$3&lt;=$O$2,$D94,$D94-($D94-$I$76)*MIN(M$3-$O$2,$Q$2)/$Q$2))</f>
        <v>3493.77914159095</v>
      </c>
      <c r="N94" s="15" t="n">
        <f aca="false">M94*(1+IF(N$3&lt;=$O$2,$D94,$D94-($D94-$I$76)*MIN(N$3-$O$2,$Q$2)/$Q$2))</f>
        <v>3575.18419559002</v>
      </c>
      <c r="O94" s="15" t="n">
        <f aca="false">SUMPRODUCT(E94:N94,1/(1+$F$76)^$E$3:$N$3)*$E$2</f>
        <v>9202.40784842054</v>
      </c>
      <c r="P94" s="15" t="n">
        <f aca="false">N94*$E$2*(1+$I$76)/($F$76-$I$76)/(1+$F$76)^$N$3</f>
        <v>11809.7250563037</v>
      </c>
      <c r="Q94" s="15" t="n">
        <f aca="false">O94+P94</f>
        <v>21012.1329047243</v>
      </c>
      <c r="R94" s="15" t="n">
        <f aca="false">Q94-$G$2+$I$2</f>
        <v>15660.5729047243</v>
      </c>
      <c r="S94" s="42" t="n">
        <f aca="false">R94/$K$2</f>
        <v>725.026523366865</v>
      </c>
      <c r="T94" s="43" t="n">
        <f aca="false">S94-$M$2</f>
        <v>0.026523366865149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0.04876708984375</v>
      </c>
      <c r="C95" s="25" t="n">
        <f aca="false">IF(T94&gt;0,D94,C94)</f>
        <v>0.0487785339355469</v>
      </c>
      <c r="D95" s="41" t="n">
        <f aca="false">(B95+C95)/2</f>
        <v>0.0487728118896484</v>
      </c>
      <c r="E95" s="15" t="n">
        <f aca="false">$C$2*(1+IF(E$3&lt;=$O$2,$D95,$D95-($D95-$I$76)*MIN(E$3-$O$2,$Q$2)/$Q$2))</f>
        <v>2506.56702041626</v>
      </c>
      <c r="F95" s="15" t="n">
        <f aca="false">E95*(1+IF(F$3&lt;=$O$2,$D95,$D95-($D95-$I$76)*MIN(F$3-$O$2,$Q$2)/$Q$2))</f>
        <v>2628.81934219182</v>
      </c>
      <c r="G95" s="15" t="n">
        <f aca="false">F95*(1+IF(G$3&lt;=$O$2,$D95,$D95-($D95-$I$76)*MIN(G$3-$O$2,$Q$2)/$Q$2))</f>
        <v>2757.03425346041</v>
      </c>
      <c r="H95" s="15" t="n">
        <f aca="false">G95*(1+IF(H$3&lt;=$O$2,$D95,$D95-($D95-$I$76)*MIN(H$3-$O$2,$Q$2)/$Q$2))</f>
        <v>2891.50256647775</v>
      </c>
      <c r="I95" s="15" t="n">
        <f aca="false">H95*(1+IF(I$3&lt;=$O$2,$D95,$D95-($D95-$I$76)*MIN(I$3-$O$2,$Q$2)/$Q$2))</f>
        <v>3032.52927723101</v>
      </c>
      <c r="J95" s="15" t="n">
        <f aca="false">I95*(1+IF(J$3&lt;=$O$2,$D95,$D95-($D95-$I$76)*MIN(J$3-$O$2,$Q$2)/$Q$2))</f>
        <v>3164.9848476535</v>
      </c>
      <c r="K95" s="15" t="n">
        <f aca="false">J95*(1+IF(K$3&lt;=$O$2,$D95,$D95-($D95-$I$76)*MIN(K$3-$O$2,$Q$2)/$Q$2))</f>
        <v>3287.10163279854</v>
      </c>
      <c r="L95" s="15" t="n">
        <f aca="false">K95*(1+IF(L$3&lt;=$O$2,$D95,$D95-($D95-$I$76)*MIN(L$3-$O$2,$Q$2)/$Q$2))</f>
        <v>3397.18378946452</v>
      </c>
      <c r="M95" s="15" t="n">
        <f aca="false">L95*(1+IF(M$3&lt;=$O$2,$D95,$D95-($D95-$I$76)*MIN(M$3-$O$2,$Q$2)/$Q$2))</f>
        <v>3493.64533648376</v>
      </c>
      <c r="N95" s="15" t="n">
        <f aca="false">M95*(1+IF(N$3&lt;=$O$2,$D95,$D95-($D95-$I$76)*MIN(N$3-$O$2,$Q$2)/$Q$2))</f>
        <v>3575.04727282383</v>
      </c>
      <c r="O95" s="15" t="n">
        <f aca="false">SUMPRODUCT(E95:N95,1/(1+$F$76)^$E$3:$N$3)*$E$2</f>
        <v>9202.17876887295</v>
      </c>
      <c r="P95" s="15" t="n">
        <f aca="false">N95*$E$2*(1+$I$76)/($F$76-$I$76)/(1+$F$76)^$N$3</f>
        <v>11809.2727662582</v>
      </c>
      <c r="Q95" s="15" t="n">
        <f aca="false">O95+P95</f>
        <v>21011.4515351312</v>
      </c>
      <c r="R95" s="15" t="n">
        <f aca="false">Q95-$G$2+$I$2</f>
        <v>15659.8915351312</v>
      </c>
      <c r="S95" s="42" t="n">
        <f aca="false">R95/$K$2</f>
        <v>724.994978478294</v>
      </c>
      <c r="T95" s="43" t="n">
        <f aca="false">S95-$M$2</f>
        <v>-0.00502152170577119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0.0487728118896484</v>
      </c>
      <c r="C96" s="25" t="n">
        <f aca="false">IF(T95&gt;0,D95,C95)</f>
        <v>0.0487785339355469</v>
      </c>
      <c r="D96" s="41" t="n">
        <f aca="false">(B96+C96)/2</f>
        <v>0.0487756729125977</v>
      </c>
      <c r="E96" s="15" t="n">
        <f aca="false">$C$2*(1+IF(E$3&lt;=$O$2,$D96,$D96-($D96-$I$76)*MIN(E$3-$O$2,$Q$2)/$Q$2))</f>
        <v>2506.57385826111</v>
      </c>
      <c r="F96" s="15" t="n">
        <f aca="false">E96*(1+IF(F$3&lt;=$O$2,$D96,$D96-($D96-$I$76)*MIN(F$3-$O$2,$Q$2)/$Q$2))</f>
        <v>2628.83368490292</v>
      </c>
      <c r="G96" s="15" t="n">
        <f aca="false">F96*(1+IF(G$3&lt;=$O$2,$D96,$D96-($D96-$I$76)*MIN(G$3-$O$2,$Q$2)/$Q$2))</f>
        <v>2757.05681685936</v>
      </c>
      <c r="H96" s="15" t="n">
        <f aca="false">G96*(1+IF(H$3&lt;=$O$2,$D96,$D96-($D96-$I$76)*MIN(H$3-$O$2,$Q$2)/$Q$2))</f>
        <v>2891.53411835994</v>
      </c>
      <c r="I96" s="15" t="n">
        <f aca="false">H96*(1+IF(I$3&lt;=$O$2,$D96,$D96-($D96-$I$76)*MIN(I$3-$O$2,$Q$2)/$Q$2))</f>
        <v>3032.57064073268</v>
      </c>
      <c r="J96" s="15" t="n">
        <f aca="false">I96*(1+IF(J$3&lt;=$O$2,$D96,$D96-($D96-$I$76)*MIN(J$3-$O$2,$Q$2)/$Q$2))</f>
        <v>3165.03495884388</v>
      </c>
      <c r="K96" s="15" t="n">
        <f aca="false">J96*(1+IF(K$3&lt;=$O$2,$D96,$D96-($D96-$I$76)*MIN(K$3-$O$2,$Q$2)/$Q$2))</f>
        <v>3287.15911060601</v>
      </c>
      <c r="L96" s="15" t="n">
        <f aca="false">K96*(1+IF(L$3&lt;=$O$2,$D96,$D96-($D96-$I$76)*MIN(L$3-$O$2,$Q$2)/$Q$2))</f>
        <v>3397.24695400851</v>
      </c>
      <c r="M96" s="15" t="n">
        <f aca="false">L96*(1+IF(M$3&lt;=$O$2,$D96,$D96-($D96-$I$76)*MIN(M$3-$O$2,$Q$2)/$Q$2))</f>
        <v>3493.71223847764</v>
      </c>
      <c r="N96" s="15" t="n">
        <f aca="false">M96*(1+IF(N$3&lt;=$O$2,$D96,$D96-($D96-$I$76)*MIN(N$3-$O$2,$Q$2)/$Q$2))</f>
        <v>3575.11573363417</v>
      </c>
      <c r="O96" s="15" t="n">
        <f aca="false">SUMPRODUCT(E96:N96,1/(1+$F$76)^$E$3:$N$3)*$E$2</f>
        <v>9202.29330792769</v>
      </c>
      <c r="P96" s="15" t="n">
        <f aca="false">N96*$E$2*(1+$I$76)/($F$76-$I$76)/(1+$F$76)^$N$3</f>
        <v>11809.498909389</v>
      </c>
      <c r="Q96" s="15" t="n">
        <f aca="false">O96+P96</f>
        <v>21011.7922173167</v>
      </c>
      <c r="R96" s="15" t="n">
        <f aca="false">Q96-$G$2+$I$2</f>
        <v>15660.2322173167</v>
      </c>
      <c r="S96" s="42" t="n">
        <f aca="false">R96/$K$2</f>
        <v>725.010750801699</v>
      </c>
      <c r="T96" s="43" t="n">
        <f aca="false">S96-$M$2</f>
        <v>0.010750801699146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0.0487728118896484</v>
      </c>
      <c r="C97" s="25" t="n">
        <f aca="false">IF(T96&gt;0,D96,C96)</f>
        <v>0.0487756729125977</v>
      </c>
      <c r="D97" s="41" t="n">
        <f aca="false">(B97+C97)/2</f>
        <v>0.0487742424011231</v>
      </c>
      <c r="E97" s="15" t="n">
        <f aca="false">$C$2*(1+IF(E$3&lt;=$O$2,$D97,$D97-($D97-$I$76)*MIN(E$3-$O$2,$Q$2)/$Q$2))</f>
        <v>2506.57043933868</v>
      </c>
      <c r="F97" s="15" t="n">
        <f aca="false">E97*(1+IF(F$3&lt;=$O$2,$D97,$D97-($D97-$I$76)*MIN(F$3-$O$2,$Q$2)/$Q$2))</f>
        <v>2628.82651354248</v>
      </c>
      <c r="G97" s="15" t="n">
        <f aca="false">F97*(1+IF(G$3&lt;=$O$2,$D97,$D97-($D97-$I$76)*MIN(G$3-$O$2,$Q$2)/$Q$2))</f>
        <v>2757.0455351445</v>
      </c>
      <c r="H97" s="15" t="n">
        <f aca="false">G97*(1+IF(H$3&lt;=$O$2,$D97,$D97-($D97-$I$76)*MIN(H$3-$O$2,$Q$2)/$Q$2))</f>
        <v>2891.51834238657</v>
      </c>
      <c r="I97" s="15" t="n">
        <f aca="false">H97*(1+IF(I$3&lt;=$O$2,$D97,$D97-($D97-$I$76)*MIN(I$3-$O$2,$Q$2)/$Q$2))</f>
        <v>3032.54995892543</v>
      </c>
      <c r="J97" s="15" t="n">
        <f aca="false">I97*(1+IF(J$3&lt;=$O$2,$D97,$D97-($D97-$I$76)*MIN(J$3-$O$2,$Q$2)/$Q$2))</f>
        <v>3165.00990316613</v>
      </c>
      <c r="K97" s="15" t="n">
        <f aca="false">J97*(1+IF(K$3&lt;=$O$2,$D97,$D97-($D97-$I$76)*MIN(K$3-$O$2,$Q$2)/$Q$2))</f>
        <v>3287.13037159503</v>
      </c>
      <c r="L97" s="15" t="n">
        <f aca="false">K97*(1+IF(L$3&lt;=$O$2,$D97,$D97-($D97-$I$76)*MIN(L$3-$O$2,$Q$2)/$Q$2))</f>
        <v>3397.21537160924</v>
      </c>
      <c r="M97" s="15" t="n">
        <f aca="false">L97*(1+IF(M$3&lt;=$O$2,$D97,$D97-($D97-$I$76)*MIN(M$3-$O$2,$Q$2)/$Q$2))</f>
        <v>3493.67878734077</v>
      </c>
      <c r="N97" s="15" t="n">
        <f aca="false">M97*(1+IF(N$3&lt;=$O$2,$D97,$D97-($D97-$I$76)*MIN(N$3-$O$2,$Q$2)/$Q$2))</f>
        <v>3575.08150308581</v>
      </c>
      <c r="O97" s="15" t="n">
        <f aca="false">SUMPRODUCT(E97:N97,1/(1+$F$76)^$E$3:$N$3)*$E$2</f>
        <v>9202.23603822056</v>
      </c>
      <c r="P97" s="15" t="n">
        <f aca="false">N97*$E$2*(1+$I$76)/($F$76-$I$76)/(1+$F$76)^$N$3</f>
        <v>11809.3858373506</v>
      </c>
      <c r="Q97" s="15" t="n">
        <f aca="false">O97+P97</f>
        <v>21011.6218755712</v>
      </c>
      <c r="R97" s="15" t="n">
        <f aca="false">Q97-$G$2+$I$2</f>
        <v>15660.0618755712</v>
      </c>
      <c r="S97" s="42" t="n">
        <f aca="false">R97/$K$2</f>
        <v>725.002864609777</v>
      </c>
      <c r="T97" s="43" t="n">
        <f aca="false">S97-$M$2</f>
        <v>0.00286460977690695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0.0487728118896484</v>
      </c>
      <c r="C98" s="25" t="n">
        <f aca="false">IF(T97&gt;0,D97,C97)</f>
        <v>0.0487742424011231</v>
      </c>
      <c r="D98" s="41" t="n">
        <f aca="false">(B98+C98)/2</f>
        <v>0.0487735271453857</v>
      </c>
      <c r="E98" s="15" t="n">
        <f aca="false">$C$2*(1+IF(E$3&lt;=$O$2,$D98,$D98-($D98-$I$76)*MIN(E$3-$O$2,$Q$2)/$Q$2))</f>
        <v>2506.56872987747</v>
      </c>
      <c r="F98" s="15" t="n">
        <f aca="false">E98*(1+IF(F$3&lt;=$O$2,$D98,$D98-($D98-$I$76)*MIN(F$3-$O$2,$Q$2)/$Q$2))</f>
        <v>2628.82292786593</v>
      </c>
      <c r="G98" s="15" t="n">
        <f aca="false">F98*(1+IF(G$3&lt;=$O$2,$D98,$D98-($D98-$I$76)*MIN(G$3-$O$2,$Q$2)/$Q$2))</f>
        <v>2757.03989429861</v>
      </c>
      <c r="H98" s="15" t="n">
        <f aca="false">G98*(1+IF(H$3&lt;=$O$2,$D98,$D98-($D98-$I$76)*MIN(H$3-$O$2,$Q$2)/$Q$2))</f>
        <v>2891.51045442409</v>
      </c>
      <c r="I98" s="15" t="n">
        <f aca="false">H98*(1+IF(I$3&lt;=$O$2,$D98,$D98-($D98-$I$76)*MIN(I$3-$O$2,$Q$2)/$Q$2))</f>
        <v>3032.53961806411</v>
      </c>
      <c r="J98" s="15" t="n">
        <f aca="false">I98*(1+IF(J$3&lt;=$O$2,$D98,$D98-($D98-$I$76)*MIN(J$3-$O$2,$Q$2)/$Q$2))</f>
        <v>3164.99737538918</v>
      </c>
      <c r="K98" s="15" t="n">
        <f aca="false">J98*(1+IF(K$3&lt;=$O$2,$D98,$D98-($D98-$I$76)*MIN(K$3-$O$2,$Q$2)/$Q$2))</f>
        <v>3287.11600216997</v>
      </c>
      <c r="L98" s="15" t="n">
        <f aca="false">K98*(1+IF(L$3&lt;=$O$2,$D98,$D98-($D98-$I$76)*MIN(L$3-$O$2,$Q$2)/$Q$2))</f>
        <v>3397.19958050506</v>
      </c>
      <c r="M98" s="15" t="n">
        <f aca="false">L98*(1+IF(M$3&lt;=$O$2,$D98,$D98-($D98-$I$76)*MIN(M$3-$O$2,$Q$2)/$Q$2))</f>
        <v>3493.66206187728</v>
      </c>
      <c r="N98" s="15" t="n">
        <f aca="false">M98*(1+IF(N$3&lt;=$O$2,$D98,$D98-($D98-$I$76)*MIN(N$3-$O$2,$Q$2)/$Q$2))</f>
        <v>3575.06438791903</v>
      </c>
      <c r="O98" s="15" t="n">
        <f aca="false">SUMPRODUCT(E98:N98,1/(1+$F$76)^$E$3:$N$3)*$E$2</f>
        <v>9202.20740350181</v>
      </c>
      <c r="P98" s="15" t="n">
        <f aca="false">N98*$E$2*(1+$I$76)/($F$76-$I$76)/(1+$F$76)^$N$3</f>
        <v>11809.3293016862</v>
      </c>
      <c r="Q98" s="15" t="n">
        <f aca="false">O98+P98</f>
        <v>21011.536705188</v>
      </c>
      <c r="R98" s="15" t="n">
        <f aca="false">Q98-$G$2+$I$2</f>
        <v>15659.976705188</v>
      </c>
      <c r="S98" s="42" t="n">
        <f aca="false">R98/$K$2</f>
        <v>724.998921536481</v>
      </c>
      <c r="T98" s="43" t="n">
        <f aca="false">S98-$M$2</f>
        <v>-0.00107846351943408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0.0487735271453857</v>
      </c>
      <c r="C99" s="25" t="n">
        <f aca="false">IF(T98&gt;0,D98,C98)</f>
        <v>0.0487742424011231</v>
      </c>
      <c r="D99" s="41" t="n">
        <f aca="false">(B99+C99)/2</f>
        <v>0.0487738847732544</v>
      </c>
      <c r="E99" s="15" t="n">
        <f aca="false">$C$2*(1+IF(E$3&lt;=$O$2,$D99,$D99-($D99-$I$76)*MIN(E$3-$O$2,$Q$2)/$Q$2))</f>
        <v>2506.56958460808</v>
      </c>
      <c r="F99" s="15" t="n">
        <f aca="false">E99*(1+IF(F$3&lt;=$O$2,$D99,$D99-($D99-$I$76)*MIN(F$3-$O$2,$Q$2)/$Q$2))</f>
        <v>2628.8247207039</v>
      </c>
      <c r="G99" s="15" t="n">
        <f aca="false">F99*(1+IF(G$3&lt;=$O$2,$D99,$D99-($D99-$I$76)*MIN(G$3-$O$2,$Q$2)/$Q$2))</f>
        <v>2757.04271472059</v>
      </c>
      <c r="H99" s="15" t="n">
        <f aca="false">G99*(1+IF(H$3&lt;=$O$2,$D99,$D99-($D99-$I$76)*MIN(H$3-$O$2,$Q$2)/$Q$2))</f>
        <v>2891.51439840331</v>
      </c>
      <c r="I99" s="15" t="n">
        <f aca="false">H99*(1+IF(I$3&lt;=$O$2,$D99,$D99-($D99-$I$76)*MIN(I$3-$O$2,$Q$2)/$Q$2))</f>
        <v>3032.54478849124</v>
      </c>
      <c r="J99" s="15" t="n">
        <f aca="false">I99*(1+IF(J$3&lt;=$O$2,$D99,$D99-($D99-$I$76)*MIN(J$3-$O$2,$Q$2)/$Q$2))</f>
        <v>3165.0036392725</v>
      </c>
      <c r="K99" s="15" t="n">
        <f aca="false">J99*(1+IF(K$3&lt;=$O$2,$D99,$D99-($D99-$I$76)*MIN(K$3-$O$2,$Q$2)/$Q$2))</f>
        <v>3287.1231868758</v>
      </c>
      <c r="L99" s="15" t="n">
        <f aca="false">K99*(1+IF(L$3&lt;=$O$2,$D99,$D99-($D99-$I$76)*MIN(L$3-$O$2,$Q$2)/$Q$2))</f>
        <v>3397.20747604919</v>
      </c>
      <c r="M99" s="15" t="n">
        <f aca="false">L99*(1+IF(M$3&lt;=$O$2,$D99,$D99-($D99-$I$76)*MIN(M$3-$O$2,$Q$2)/$Q$2))</f>
        <v>3493.67042460028</v>
      </c>
      <c r="N99" s="15" t="n">
        <f aca="false">M99*(1+IF(N$3&lt;=$O$2,$D99,$D99-($D99-$I$76)*MIN(N$3-$O$2,$Q$2)/$Q$2))</f>
        <v>3575.07294549347</v>
      </c>
      <c r="O99" s="15" t="n">
        <f aca="false">SUMPRODUCT(E99:N99,1/(1+$F$76)^$E$3:$N$3)*$E$2</f>
        <v>9202.22172084995</v>
      </c>
      <c r="P99" s="15" t="n">
        <f aca="false">N99*$E$2*(1+$I$76)/($F$76-$I$76)/(1+$F$76)^$N$3</f>
        <v>11809.3575694888</v>
      </c>
      <c r="Q99" s="15" t="n">
        <f aca="false">O99+P99</f>
        <v>21011.5792903388</v>
      </c>
      <c r="R99" s="15" t="n">
        <f aca="false">Q99-$G$2+$I$2</f>
        <v>15660.0192903388</v>
      </c>
      <c r="S99" s="42" t="n">
        <f aca="false">R99/$K$2</f>
        <v>725.00089307124</v>
      </c>
      <c r="T99" s="43" t="n">
        <f aca="false">S99-$M$2</f>
        <v>0.000893071240056997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0.0487735271453857</v>
      </c>
      <c r="C100" s="25" t="n">
        <f aca="false">IF(T99&gt;0,D99,C99)</f>
        <v>0.0487738847732544</v>
      </c>
      <c r="D100" s="41" t="n">
        <f aca="false">(B100+C100)/2</f>
        <v>0.0487737059593201</v>
      </c>
      <c r="E100" s="15" t="n">
        <f aca="false">$C$2*(1+IF(E$3&lt;=$O$2,$D100,$D100-($D100-$I$76)*MIN(E$3-$O$2,$Q$2)/$Q$2))</f>
        <v>2506.56915724278</v>
      </c>
      <c r="F100" s="15" t="n">
        <f aca="false">E100*(1+IF(F$3&lt;=$O$2,$D100,$D100-($D100-$I$76)*MIN(F$3-$O$2,$Q$2)/$Q$2))</f>
        <v>2628.82382428483</v>
      </c>
      <c r="G100" s="15" t="n">
        <f aca="false">F100*(1+IF(G$3&lt;=$O$2,$D100,$D100-($D100-$I$76)*MIN(G$3-$O$2,$Q$2)/$Q$2))</f>
        <v>2757.04130450936</v>
      </c>
      <c r="H100" s="15" t="n">
        <f aca="false">G100*(1+IF(H$3&lt;=$O$2,$D100,$D100-($D100-$I$76)*MIN(H$3-$O$2,$Q$2)/$Q$2))</f>
        <v>2891.5124264132</v>
      </c>
      <c r="I100" s="15" t="n">
        <f aca="false">H100*(1+IF(I$3&lt;=$O$2,$D100,$D100-($D100-$I$76)*MIN(I$3-$O$2,$Q$2)/$Q$2))</f>
        <v>3032.5422032768</v>
      </c>
      <c r="J100" s="15" t="n">
        <f aca="false">I100*(1+IF(J$3&lt;=$O$2,$D100,$D100-($D100-$I$76)*MIN(J$3-$O$2,$Q$2)/$Q$2))</f>
        <v>3165.00050732955</v>
      </c>
      <c r="K100" s="15" t="n">
        <f aca="false">J100*(1+IF(K$3&lt;=$O$2,$D100,$D100-($D100-$I$76)*MIN(K$3-$O$2,$Q$2)/$Q$2))</f>
        <v>3287.11959452121</v>
      </c>
      <c r="L100" s="15" t="n">
        <f aca="false">K100*(1+IF(L$3&lt;=$O$2,$D100,$D100-($D100-$I$76)*MIN(L$3-$O$2,$Q$2)/$Q$2))</f>
        <v>3397.20352827514</v>
      </c>
      <c r="M100" s="15" t="n">
        <f aca="false">L100*(1+IF(M$3&lt;=$O$2,$D100,$D100-($D100-$I$76)*MIN(M$3-$O$2,$Q$2)/$Q$2))</f>
        <v>3493.6662432366</v>
      </c>
      <c r="N100" s="15" t="n">
        <f aca="false">M100*(1+IF(N$3&lt;=$O$2,$D100,$D100-($D100-$I$76)*MIN(N$3-$O$2,$Q$2)/$Q$2))</f>
        <v>3575.06866670401</v>
      </c>
      <c r="O100" s="15" t="n">
        <f aca="false">SUMPRODUCT(E100:N100,1/(1+$F$76)^$E$3:$N$3)*$E$2</f>
        <v>9202.21456217307</v>
      </c>
      <c r="P100" s="15" t="n">
        <f aca="false">N100*$E$2*(1+$I$76)/($F$76-$I$76)/(1+$F$76)^$N$3</f>
        <v>11809.3434355801</v>
      </c>
      <c r="Q100" s="15" t="n">
        <f aca="false">O100+P100</f>
        <v>21011.5579977532</v>
      </c>
      <c r="R100" s="15" t="n">
        <f aca="false">Q100-$G$2+$I$2</f>
        <v>15659.9979977532</v>
      </c>
      <c r="S100" s="42" t="n">
        <f aca="false">R100/$K$2</f>
        <v>724.999907303388</v>
      </c>
      <c r="T100" s="43" t="n">
        <f aca="false">S100-$M$2</f>
        <v>-9.26966123415696E-005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0.0487737059593201</v>
      </c>
      <c r="C101" s="25" t="n">
        <f aca="false">IF(T100&gt;0,D100,C100)</f>
        <v>0.0487738847732544</v>
      </c>
      <c r="D101" s="41" t="n">
        <f aca="false">(B101+C101)/2</f>
        <v>0.0487737953662872</v>
      </c>
      <c r="E101" s="15" t="n">
        <f aca="false">$C$2*(1+IF(E$3&lt;=$O$2,$D101,$D101-($D101-$I$76)*MIN(E$3-$O$2,$Q$2)/$Q$2))</f>
        <v>2506.56937092543</v>
      </c>
      <c r="F101" s="15" t="n">
        <f aca="false">E101*(1+IF(F$3&lt;=$O$2,$D101,$D101-($D101-$I$76)*MIN(F$3-$O$2,$Q$2)/$Q$2))</f>
        <v>2628.82427249435</v>
      </c>
      <c r="G101" s="15" t="n">
        <f aca="false">F101*(1+IF(G$3&lt;=$O$2,$D101,$D101-($D101-$I$76)*MIN(G$3-$O$2,$Q$2)/$Q$2))</f>
        <v>2757.04200961491</v>
      </c>
      <c r="H101" s="15" t="n">
        <f aca="false">G101*(1+IF(H$3&lt;=$O$2,$D101,$D101-($D101-$I$76)*MIN(H$3-$O$2,$Q$2)/$Q$2))</f>
        <v>2891.51341240813</v>
      </c>
      <c r="I101" s="15" t="n">
        <f aca="false">H101*(1+IF(I$3&lt;=$O$2,$D101,$D101-($D101-$I$76)*MIN(I$3-$O$2,$Q$2)/$Q$2))</f>
        <v>3032.5434958838</v>
      </c>
      <c r="J101" s="15" t="n">
        <f aca="false">I101*(1+IF(J$3&lt;=$O$2,$D101,$D101-($D101-$I$76)*MIN(J$3-$O$2,$Q$2)/$Q$2))</f>
        <v>3165.0020733007</v>
      </c>
      <c r="K101" s="15" t="n">
        <f aca="false">J101*(1+IF(K$3&lt;=$O$2,$D101,$D101-($D101-$I$76)*MIN(K$3-$O$2,$Q$2)/$Q$2))</f>
        <v>3287.12139069809</v>
      </c>
      <c r="L101" s="15" t="n">
        <f aca="false">K101*(1+IF(L$3&lt;=$O$2,$D101,$D101-($D101-$I$76)*MIN(L$3-$O$2,$Q$2)/$Q$2))</f>
        <v>3397.20550216167</v>
      </c>
      <c r="M101" s="15" t="n">
        <f aca="false">L101*(1+IF(M$3&lt;=$O$2,$D101,$D101-($D101-$I$76)*MIN(M$3-$O$2,$Q$2)/$Q$2))</f>
        <v>3493.66833391789</v>
      </c>
      <c r="N101" s="15" t="n">
        <f aca="false">M101*(1+IF(N$3&lt;=$O$2,$D101,$D101-($D101-$I$76)*MIN(N$3-$O$2,$Q$2)/$Q$2))</f>
        <v>3575.07080609818</v>
      </c>
      <c r="O101" s="15" t="n">
        <f aca="false">SUMPRODUCT(E101:N101,1/(1+$F$76)^$E$3:$N$3)*$E$2</f>
        <v>9202.21814151081</v>
      </c>
      <c r="P101" s="15" t="n">
        <f aca="false">N101*$E$2*(1+$I$76)/($F$76-$I$76)/(1+$F$76)^$N$3</f>
        <v>11809.3505025326</v>
      </c>
      <c r="Q101" s="15" t="n">
        <f aca="false">O101+P101</f>
        <v>21011.5686440434</v>
      </c>
      <c r="R101" s="15" t="n">
        <f aca="false">Q101-$G$2+$I$2</f>
        <v>15660.0086440434</v>
      </c>
      <c r="S101" s="42" t="n">
        <f aca="false">R101/$K$2</f>
        <v>725.000400187196</v>
      </c>
      <c r="T101" s="43" t="n">
        <f aca="false">S101-$M$2</f>
        <v>0.00040018719607815</v>
      </c>
    </row>
    <row r="103" customFormat="false" ht="15" hidden="false" customHeight="false" outlineLevel="0" collapsed="false">
      <c r="A103" s="38" t="s">
        <v>184</v>
      </c>
      <c r="E103" s="5" t="s">
        <v>11</v>
      </c>
      <c r="F103" s="12" t="n">
        <f aca="false">Sensitivity!$B$10</f>
        <v>0.0869721785729318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162</v>
      </c>
      <c r="B104" s="28" t="s">
        <v>163</v>
      </c>
      <c r="C104" s="28" t="s">
        <v>164</v>
      </c>
      <c r="D104" s="28" t="s">
        <v>165</v>
      </c>
      <c r="E104" s="28" t="s">
        <v>166</v>
      </c>
      <c r="F104" s="28" t="s">
        <v>167</v>
      </c>
      <c r="G104" s="28" t="s">
        <v>168</v>
      </c>
      <c r="H104" s="28" t="s">
        <v>169</v>
      </c>
      <c r="I104" s="28" t="s">
        <v>170</v>
      </c>
      <c r="J104" s="28" t="s">
        <v>171</v>
      </c>
      <c r="K104" s="28" t="s">
        <v>172</v>
      </c>
      <c r="L104" s="28" t="s">
        <v>173</v>
      </c>
      <c r="M104" s="28" t="s">
        <v>174</v>
      </c>
      <c r="N104" s="28" t="s">
        <v>175</v>
      </c>
      <c r="O104" s="28" t="s">
        <v>176</v>
      </c>
      <c r="P104" s="28" t="s">
        <v>177</v>
      </c>
      <c r="Q104" s="28" t="s">
        <v>178</v>
      </c>
      <c r="R104" s="28" t="s">
        <v>179</v>
      </c>
      <c r="S104" s="28" t="s">
        <v>180</v>
      </c>
      <c r="T104" s="28" t="s">
        <v>181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2987.5</v>
      </c>
      <c r="F105" s="15" t="n">
        <f aca="false">E105*(1+IF(F$3&lt;=$O$2,$D105,$D105-($D105-$I$103)*MIN(F$3-$O$2,$Q$2)/$Q$2))</f>
        <v>3734.375</v>
      </c>
      <c r="G105" s="15" t="n">
        <f aca="false">F105*(1+IF(G$3&lt;=$O$2,$D105,$D105-($D105-$I$103)*MIN(G$3-$O$2,$Q$2)/$Q$2))</f>
        <v>4667.96875</v>
      </c>
      <c r="H105" s="15" t="n">
        <f aca="false">G105*(1+IF(H$3&lt;=$O$2,$D105,$D105-($D105-$I$103)*MIN(H$3-$O$2,$Q$2)/$Q$2))</f>
        <v>5834.9609375</v>
      </c>
      <c r="I105" s="15" t="n">
        <f aca="false">H105*(1+IF(I$3&lt;=$O$2,$D105,$D105-($D105-$I$103)*MIN(I$3-$O$2,$Q$2)/$Q$2))</f>
        <v>7293.701171875</v>
      </c>
      <c r="J105" s="15" t="n">
        <f aca="false">I105*(1+IF(J$3&lt;=$O$2,$D105,$D105-($D105-$I$103)*MIN(J$3-$O$2,$Q$2)/$Q$2))</f>
        <v>8793.72375488281</v>
      </c>
      <c r="K105" s="15" t="n">
        <f aca="false">J105*(1+IF(K$3&lt;=$O$2,$D105,$D105-($D105-$I$103)*MIN(K$3-$O$2,$Q$2)/$Q$2))</f>
        <v>10212.3272710205</v>
      </c>
      <c r="L105" s="15" t="n">
        <f aca="false">K105*(1+IF(L$3&lt;=$O$2,$D105,$D105-($D105-$I$103)*MIN(L$3-$O$2,$Q$2)/$Q$2))</f>
        <v>11406.9653151845</v>
      </c>
      <c r="M105" s="15" t="n">
        <f aca="false">L105*(1+IF(M$3&lt;=$O$2,$D105,$D105-($D105-$I$103)*MIN(M$3-$O$2,$Q$2)/$Q$2))</f>
        <v>12235.5672756795</v>
      </c>
      <c r="N105" s="15" t="n">
        <f aca="false">M105*(1+IF(N$3&lt;=$O$2,$D105,$D105-($D105-$I$103)*MIN(N$3-$O$2,$Q$2)/$Q$2))</f>
        <v>12581.8338295812</v>
      </c>
      <c r="O105" s="15" t="n">
        <f aca="false">SUMPRODUCT(E105:N105,1/(1+$F$103)^$E$3:$N$3)*$E$2</f>
        <v>22077.6902576086</v>
      </c>
      <c r="P105" s="15" t="n">
        <f aca="false">N105*$E$2*(1+$I$103)/($F$103-$I$103)/(1+$F$103)^$N$3</f>
        <v>45323.1062718126</v>
      </c>
      <c r="Q105" s="15" t="n">
        <f aca="false">O105+P105</f>
        <v>67400.7965294213</v>
      </c>
      <c r="R105" s="15" t="n">
        <f aca="false">Q105-$G$2+$I$2</f>
        <v>62049.2365294213</v>
      </c>
      <c r="S105" s="42" t="n">
        <f aca="false">R105/$K$2</f>
        <v>2872.64983932506</v>
      </c>
      <c r="T105" s="43" t="n">
        <f aca="false">S105-$M$2</f>
        <v>2147.64983932506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2091.25</v>
      </c>
      <c r="F106" s="15" t="n">
        <f aca="false">E106*(1+IF(F$3&lt;=$O$2,$D106,$D106-($D106-$I$103)*MIN(F$3-$O$2,$Q$2)/$Q$2))</f>
        <v>1829.84375</v>
      </c>
      <c r="G106" s="15" t="n">
        <f aca="false">F106*(1+IF(G$3&lt;=$O$2,$D106,$D106-($D106-$I$103)*MIN(G$3-$O$2,$Q$2)/$Q$2))</f>
        <v>1601.11328125</v>
      </c>
      <c r="H106" s="15" t="n">
        <f aca="false">G106*(1+IF(H$3&lt;=$O$2,$D106,$D106-($D106-$I$103)*MIN(H$3-$O$2,$Q$2)/$Q$2))</f>
        <v>1400.97412109375</v>
      </c>
      <c r="I106" s="15" t="n">
        <f aca="false">H106*(1+IF(I$3&lt;=$O$2,$D106,$D106-($D106-$I$103)*MIN(I$3-$O$2,$Q$2)/$Q$2))</f>
        <v>1225.85235595703</v>
      </c>
      <c r="J106" s="15" t="n">
        <f aca="false">I106*(1+IF(J$3&lt;=$O$2,$D106,$D106-($D106-$I$103)*MIN(J$3-$O$2,$Q$2)/$Q$2))</f>
        <v>1110.20544469604</v>
      </c>
      <c r="K106" s="15" t="n">
        <f aca="false">J106*(1+IF(K$3&lt;=$O$2,$D106,$D106-($D106-$I$103)*MIN(K$3-$O$2,$Q$2)/$Q$2))</f>
        <v>1039.5075619778</v>
      </c>
      <c r="L106" s="15" t="n">
        <f aca="false">K106*(1+IF(L$3&lt;=$O$2,$D106,$D106-($D106-$I$103)*MIN(L$3-$O$2,$Q$2)/$Q$2))</f>
        <v>1005.18302228129</v>
      </c>
      <c r="M106" s="15" t="n">
        <f aca="false">L106*(1+IF(M$3&lt;=$O$2,$D106,$D106-($D106-$I$103)*MIN(M$3-$O$2,$Q$2)/$Q$2))</f>
        <v>1002.81079034871</v>
      </c>
      <c r="N106" s="15" t="n">
        <f aca="false">M106*(1+IF(N$3&lt;=$O$2,$D106,$D106-($D106-$I$103)*MIN(N$3-$O$2,$Q$2)/$Q$2))</f>
        <v>1031.19033571558</v>
      </c>
      <c r="O106" s="15" t="n">
        <f aca="false">SUMPRODUCT(E106:N106,1/(1+$F$103)^$E$3:$N$3)*$E$2</f>
        <v>4363.61090818992</v>
      </c>
      <c r="P106" s="15" t="n">
        <f aca="false">N106*$E$2*(1+$I$103)/($F$103-$I$103)/(1+$F$103)^$N$3</f>
        <v>3714.62139821146</v>
      </c>
      <c r="Q106" s="15" t="n">
        <f aca="false">O106+P106</f>
        <v>8078.23230640138</v>
      </c>
      <c r="R106" s="15" t="n">
        <f aca="false">Q106-$G$2+$I$2</f>
        <v>2726.67230640138</v>
      </c>
      <c r="S106" s="42" t="n">
        <f aca="false">R106/$K$2</f>
        <v>126.234829000064</v>
      </c>
      <c r="T106" s="43" t="n">
        <f aca="false">S106-$M$2</f>
        <v>-598.765170999936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2539.375</v>
      </c>
      <c r="F107" s="15" t="n">
        <f aca="false">E107*(1+IF(F$3&lt;=$O$2,$D107,$D107-($D107-$I$103)*MIN(F$3-$O$2,$Q$2)/$Q$2))</f>
        <v>2698.0859375</v>
      </c>
      <c r="G107" s="15" t="n">
        <f aca="false">F107*(1+IF(G$3&lt;=$O$2,$D107,$D107-($D107-$I$103)*MIN(G$3-$O$2,$Q$2)/$Q$2))</f>
        <v>2866.71630859375</v>
      </c>
      <c r="H107" s="15" t="n">
        <f aca="false">G107*(1+IF(H$3&lt;=$O$2,$D107,$D107-($D107-$I$103)*MIN(H$3-$O$2,$Q$2)/$Q$2))</f>
        <v>3045.88607788086</v>
      </c>
      <c r="I107" s="15" t="n">
        <f aca="false">H107*(1+IF(I$3&lt;=$O$2,$D107,$D107-($D107-$I$103)*MIN(I$3-$O$2,$Q$2)/$Q$2))</f>
        <v>3236.25395774841</v>
      </c>
      <c r="J107" s="15" t="n">
        <f aca="false">I107*(1+IF(J$3&lt;=$O$2,$D107,$D107-($D107-$I$103)*MIN(J$3-$O$2,$Q$2)/$Q$2))</f>
        <v>3416.38385303669</v>
      </c>
      <c r="K107" s="15" t="n">
        <f aca="false">J107*(1+IF(K$3&lt;=$O$2,$D107,$D107-($D107-$I$103)*MIN(K$3-$O$2,$Q$2)/$Q$2))</f>
        <v>3583.17171274194</v>
      </c>
      <c r="L107" s="15" t="n">
        <f aca="false">K107*(1+IF(L$3&lt;=$O$2,$D107,$D107-($D107-$I$103)*MIN(L$3-$O$2,$Q$2)/$Q$2))</f>
        <v>3733.59326124285</v>
      </c>
      <c r="M107" s="15" t="n">
        <f aca="false">L107*(1+IF(M$3&lt;=$O$2,$D107,$D107-($D107-$I$103)*MIN(M$3-$O$2,$Q$2)/$Q$2))</f>
        <v>3864.79172844292</v>
      </c>
      <c r="N107" s="15" t="n">
        <f aca="false">M107*(1+IF(N$3&lt;=$O$2,$D107,$D107-($D107-$I$103)*MIN(N$3-$O$2,$Q$2)/$Q$2))</f>
        <v>3974.16533435786</v>
      </c>
      <c r="O107" s="15" t="n">
        <f aca="false">SUMPRODUCT(E107:N107,1/(1+$F$103)^$E$3:$N$3)*$E$2</f>
        <v>9797.42349443997</v>
      </c>
      <c r="P107" s="15" t="n">
        <f aca="false">N107*$E$2*(1+$I$103)/($F$103-$I$103)/(1+$F$103)^$N$3</f>
        <v>14315.9987828936</v>
      </c>
      <c r="Q107" s="15" t="n">
        <f aca="false">O107+P107</f>
        <v>24113.4222773336</v>
      </c>
      <c r="R107" s="15" t="n">
        <f aca="false">Q107-$G$2+$I$2</f>
        <v>18761.8622773336</v>
      </c>
      <c r="S107" s="42" t="n">
        <f aca="false">R107/$K$2</f>
        <v>868.604735061741</v>
      </c>
      <c r="T107" s="43" t="n">
        <f aca="false">S107-$M$2</f>
        <v>143.604735061741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2315.3125</v>
      </c>
      <c r="F108" s="15" t="n">
        <f aca="false">E108*(1+IF(F$3&lt;=$O$2,$D108,$D108-($D108-$I$103)*MIN(F$3-$O$2,$Q$2)/$Q$2))</f>
        <v>2242.958984375</v>
      </c>
      <c r="G108" s="15" t="n">
        <f aca="false">F108*(1+IF(G$3&lt;=$O$2,$D108,$D108-($D108-$I$103)*MIN(G$3-$O$2,$Q$2)/$Q$2))</f>
        <v>2172.86651611328</v>
      </c>
      <c r="H108" s="15" t="n">
        <f aca="false">G108*(1+IF(H$3&lt;=$O$2,$D108,$D108-($D108-$I$103)*MIN(H$3-$O$2,$Q$2)/$Q$2))</f>
        <v>2104.96443748474</v>
      </c>
      <c r="I108" s="15" t="n">
        <f aca="false">H108*(1+IF(I$3&lt;=$O$2,$D108,$D108-($D108-$I$103)*MIN(I$3-$O$2,$Q$2)/$Q$2))</f>
        <v>2039.18429881334</v>
      </c>
      <c r="J108" s="15" t="n">
        <f aca="false">I108*(1+IF(J$3&lt;=$O$2,$D108,$D108-($D108-$I$103)*MIN(J$3-$O$2,$Q$2)/$Q$2))</f>
        <v>1999.74647447429</v>
      </c>
      <c r="K108" s="15" t="n">
        <f aca="false">J108*(1+IF(K$3&lt;=$O$2,$D108,$D108-($D108-$I$103)*MIN(K$3-$O$2,$Q$2)/$Q$2))</f>
        <v>1984.88835816895</v>
      </c>
      <c r="L108" s="15" t="n">
        <f aca="false">K108*(1+IF(L$3&lt;=$O$2,$D108,$D108-($D108-$I$103)*MIN(L$3-$O$2,$Q$2)/$Q$2))</f>
        <v>1993.78065801355</v>
      </c>
      <c r="M108" s="15" t="n">
        <f aca="false">L108*(1+IF(M$3&lt;=$O$2,$D108,$D108-($D108-$I$103)*MIN(M$3-$O$2,$Q$2)/$Q$2))</f>
        <v>2026.45872299839</v>
      </c>
      <c r="N108" s="15" t="n">
        <f aca="false">M108*(1+IF(N$3&lt;=$O$2,$D108,$D108-($D108-$I$103)*MIN(N$3-$O$2,$Q$2)/$Q$2))</f>
        <v>2083.80750485924</v>
      </c>
      <c r="O108" s="15" t="n">
        <f aca="false">SUMPRODUCT(E108:N108,1/(1+$F$103)^$E$3:$N$3)*$E$2</f>
        <v>6519.5094163355</v>
      </c>
      <c r="P108" s="15" t="n">
        <f aca="false">N108*$E$2*(1+$I$103)/($F$103-$I$103)/(1+$F$103)^$N$3</f>
        <v>7506.42793983551</v>
      </c>
      <c r="Q108" s="15" t="n">
        <f aca="false">O108+P108</f>
        <v>14025.937356171</v>
      </c>
      <c r="R108" s="15" t="n">
        <f aca="false">Q108-$G$2+$I$2</f>
        <v>8674.37735617102</v>
      </c>
      <c r="S108" s="42" t="n">
        <f aca="false">R108/$K$2</f>
        <v>401.591544267177</v>
      </c>
      <c r="T108" s="43" t="n">
        <f aca="false">S108-$M$2</f>
        <v>-323.408455732823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-0.03125</v>
      </c>
      <c r="C109" s="25" t="n">
        <f aca="false">IF(T108&gt;0,D108,C108)</f>
        <v>0.0625</v>
      </c>
      <c r="D109" s="41" t="n">
        <f aca="false">(B109+C109)/2</f>
        <v>0.015625</v>
      </c>
      <c r="E109" s="15" t="n">
        <f aca="false">$C$2*(1+IF(E$3&lt;=$O$2,$D109,$D109-($D109-$I$103)*MIN(E$3-$O$2,$Q$2)/$Q$2))</f>
        <v>2427.34375</v>
      </c>
      <c r="F109" s="15" t="n">
        <f aca="false">E109*(1+IF(F$3&lt;=$O$2,$D109,$D109-($D109-$I$103)*MIN(F$3-$O$2,$Q$2)/$Q$2))</f>
        <v>2465.27099609375</v>
      </c>
      <c r="G109" s="15" t="n">
        <f aca="false">F109*(1+IF(G$3&lt;=$O$2,$D109,$D109-($D109-$I$103)*MIN(G$3-$O$2,$Q$2)/$Q$2))</f>
        <v>2503.79085540772</v>
      </c>
      <c r="H109" s="15" t="n">
        <f aca="false">G109*(1+IF(H$3&lt;=$O$2,$D109,$D109-($D109-$I$103)*MIN(H$3-$O$2,$Q$2)/$Q$2))</f>
        <v>2542.91258752346</v>
      </c>
      <c r="I109" s="15" t="n">
        <f aca="false">H109*(1+IF(I$3&lt;=$O$2,$D109,$D109-($D109-$I$103)*MIN(I$3-$O$2,$Q$2)/$Q$2))</f>
        <v>2582.64559670351</v>
      </c>
      <c r="J109" s="15" t="n">
        <f aca="false">I109*(1+IF(J$3&lt;=$O$2,$D109,$D109-($D109-$I$103)*MIN(J$3-$O$2,$Q$2)/$Q$2))</f>
        <v>2629.54644073965</v>
      </c>
      <c r="K109" s="15" t="n">
        <f aca="false">J109*(1+IF(K$3&lt;=$O$2,$D109,$D109-($D109-$I$103)*MIN(K$3-$O$2,$Q$2)/$Q$2))</f>
        <v>2683.96490433076</v>
      </c>
      <c r="L109" s="15" t="n">
        <f aca="false">K109*(1+IF(L$3&lt;=$O$2,$D109,$D109-($D109-$I$103)*MIN(L$3-$O$2,$Q$2)/$Q$2))</f>
        <v>2746.31340905836</v>
      </c>
      <c r="M109" s="15" t="n">
        <f aca="false">L109*(1+IF(M$3&lt;=$O$2,$D109,$D109-($D109-$I$103)*MIN(M$3-$O$2,$Q$2)/$Q$2))</f>
        <v>2817.07217404275</v>
      </c>
      <c r="N109" s="15" t="n">
        <f aca="false">M109*(1+IF(N$3&lt;=$O$2,$D109,$D109-($D109-$I$103)*MIN(N$3-$O$2,$Q$2)/$Q$2))</f>
        <v>2896.79531656816</v>
      </c>
      <c r="O109" s="15" t="n">
        <f aca="false">SUMPRODUCT(E109:N109,1/(1+$F$103)^$E$3:$N$3)*$E$2</f>
        <v>7988.9335424207</v>
      </c>
      <c r="P109" s="15" t="n">
        <f aca="false">N109*$E$2*(1+$I$103)/($F$103-$I$103)/(1+$F$103)^$N$3</f>
        <v>10435.0259078948</v>
      </c>
      <c r="Q109" s="15" t="n">
        <f aca="false">O109+P109</f>
        <v>18423.9594503155</v>
      </c>
      <c r="R109" s="15" t="n">
        <f aca="false">Q109-$G$2+$I$2</f>
        <v>13072.3994503155</v>
      </c>
      <c r="S109" s="42" t="n">
        <f aca="false">R109/$K$2</f>
        <v>605.203678255349</v>
      </c>
      <c r="T109" s="43" t="n">
        <f aca="false">S109-$M$2</f>
        <v>-119.796321744651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0.015625</v>
      </c>
      <c r="C110" s="25" t="n">
        <f aca="false">IF(T109&gt;0,D109,C109)</f>
        <v>0.0625</v>
      </c>
      <c r="D110" s="41" t="n">
        <f aca="false">(B110+C110)/2</f>
        <v>0.0390625</v>
      </c>
      <c r="E110" s="15" t="n">
        <f aca="false">$C$2*(1+IF(E$3&lt;=$O$2,$D110,$D110-($D110-$I$103)*MIN(E$3-$O$2,$Q$2)/$Q$2))</f>
        <v>2483.359375</v>
      </c>
      <c r="F110" s="15" t="n">
        <f aca="false">E110*(1+IF(F$3&lt;=$O$2,$D110,$D110-($D110-$I$103)*MIN(F$3-$O$2,$Q$2)/$Q$2))</f>
        <v>2580.36560058594</v>
      </c>
      <c r="G110" s="15" t="n">
        <f aca="false">F110*(1+IF(G$3&lt;=$O$2,$D110,$D110-($D110-$I$103)*MIN(G$3-$O$2,$Q$2)/$Q$2))</f>
        <v>2681.16113185883</v>
      </c>
      <c r="H110" s="15" t="n">
        <f aca="false">G110*(1+IF(H$3&lt;=$O$2,$D110,$D110-($D110-$I$103)*MIN(H$3-$O$2,$Q$2)/$Q$2))</f>
        <v>2785.89398857206</v>
      </c>
      <c r="I110" s="15" t="n">
        <f aca="false">H110*(1+IF(I$3&lt;=$O$2,$D110,$D110-($D110-$I$103)*MIN(I$3-$O$2,$Q$2)/$Q$2))</f>
        <v>2894.71797250066</v>
      </c>
      <c r="J110" s="15" t="n">
        <f aca="false">I110*(1+IF(J$3&lt;=$O$2,$D110,$D110-($D110-$I$103)*MIN(J$3-$O$2,$Q$2)/$Q$2))</f>
        <v>3001.56201286566</v>
      </c>
      <c r="K110" s="15" t="n">
        <f aca="false">J110*(1+IF(K$3&lt;=$O$2,$D110,$D110-($D110-$I$103)*MIN(K$3-$O$2,$Q$2)/$Q$2))</f>
        <v>3105.88880452783</v>
      </c>
      <c r="L110" s="15" t="n">
        <f aca="false">K110*(1+IF(L$3&lt;=$O$2,$D110,$D110-($D110-$I$103)*MIN(L$3-$O$2,$Q$2)/$Q$2))</f>
        <v>3207.15630899946</v>
      </c>
      <c r="M110" s="15" t="n">
        <f aca="false">L110*(1+IF(M$3&lt;=$O$2,$D110,$D110-($D110-$I$103)*MIN(M$3-$O$2,$Q$2)/$Q$2))</f>
        <v>3304.82223649927</v>
      </c>
      <c r="N110" s="15" t="n">
        <f aca="false">M110*(1+IF(N$3&lt;=$O$2,$D110,$D110-($D110-$I$103)*MIN(N$3-$O$2,$Q$2)/$Q$2))</f>
        <v>3398.3487057922</v>
      </c>
      <c r="O110" s="15" t="n">
        <f aca="false">SUMPRODUCT(E110:N110,1/(1+$F$103)^$E$3:$N$3)*$E$2</f>
        <v>8846.55577481521</v>
      </c>
      <c r="P110" s="15" t="n">
        <f aca="false">N110*$E$2*(1+$I$103)/($F$103-$I$103)/(1+$F$103)^$N$3</f>
        <v>12241.7543918893</v>
      </c>
      <c r="Q110" s="15" t="n">
        <f aca="false">O110+P110</f>
        <v>21088.3101667045</v>
      </c>
      <c r="R110" s="15" t="n">
        <f aca="false">Q110-$G$2+$I$2</f>
        <v>15736.7501667045</v>
      </c>
      <c r="S110" s="42" t="n">
        <f aca="false">R110/$K$2</f>
        <v>728.553248458541</v>
      </c>
      <c r="T110" s="43" t="n">
        <f aca="false">S110-$M$2</f>
        <v>3.55324845854057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0.015625</v>
      </c>
      <c r="C111" s="25" t="n">
        <f aca="false">IF(T110&gt;0,D110,C110)</f>
        <v>0.0390625</v>
      </c>
      <c r="D111" s="41" t="n">
        <f aca="false">(B111+C111)/2</f>
        <v>0.02734375</v>
      </c>
      <c r="E111" s="15" t="n">
        <f aca="false">$C$2*(1+IF(E$3&lt;=$O$2,$D111,$D111-($D111-$I$103)*MIN(E$3-$O$2,$Q$2)/$Q$2))</f>
        <v>2455.3515625</v>
      </c>
      <c r="F111" s="15" t="n">
        <f aca="false">E111*(1+IF(F$3&lt;=$O$2,$D111,$D111-($D111-$I$103)*MIN(F$3-$O$2,$Q$2)/$Q$2))</f>
        <v>2522.49008178711</v>
      </c>
      <c r="G111" s="15" t="n">
        <f aca="false">F111*(1+IF(G$3&lt;=$O$2,$D111,$D111-($D111-$I$103)*MIN(G$3-$O$2,$Q$2)/$Q$2))</f>
        <v>2591.46441996098</v>
      </c>
      <c r="H111" s="15" t="n">
        <f aca="false">G111*(1+IF(H$3&lt;=$O$2,$D111,$D111-($D111-$I$103)*MIN(H$3-$O$2,$Q$2)/$Q$2))</f>
        <v>2662.32477519428</v>
      </c>
      <c r="I111" s="15" t="n">
        <f aca="false">H111*(1+IF(I$3&lt;=$O$2,$D111,$D111-($D111-$I$103)*MIN(I$3-$O$2,$Q$2)/$Q$2))</f>
        <v>2735.122718266</v>
      </c>
      <c r="J111" s="15" t="n">
        <f aca="false">I111*(1+IF(J$3&lt;=$O$2,$D111,$D111-($D111-$I$103)*MIN(J$3-$O$2,$Q$2)/$Q$2))</f>
        <v>2810.43432231346</v>
      </c>
      <c r="K111" s="15" t="n">
        <f aca="false">J111*(1+IF(K$3&lt;=$O$2,$D111,$D111-($D111-$I$103)*MIN(K$3-$O$2,$Q$2)/$Q$2))</f>
        <v>2888.3571269425</v>
      </c>
      <c r="L111" s="15" t="n">
        <f aca="false">K111*(1+IF(L$3&lt;=$O$2,$D111,$D111-($D111-$I$103)*MIN(L$3-$O$2,$Q$2)/$Q$2))</f>
        <v>2968.99283703392</v>
      </c>
      <c r="M111" s="15" t="n">
        <f aca="false">L111*(1+IF(M$3&lt;=$O$2,$D111,$D111-($D111-$I$103)*MIN(M$3-$O$2,$Q$2)/$Q$2))</f>
        <v>3052.44751444189</v>
      </c>
      <c r="N111" s="15" t="n">
        <f aca="false">M111*(1+IF(N$3&lt;=$O$2,$D111,$D111-($D111-$I$103)*MIN(N$3-$O$2,$Q$2)/$Q$2))</f>
        <v>3138.8317791006</v>
      </c>
      <c r="O111" s="15" t="n">
        <f aca="false">SUMPRODUCT(E111:N111,1/(1+$F$103)^$E$3:$N$3)*$E$2</f>
        <v>8406.64722132519</v>
      </c>
      <c r="P111" s="15" t="n">
        <f aca="false">N111*$E$2*(1+$I$103)/($F$103-$I$103)/(1+$F$103)^$N$3</f>
        <v>11306.9055131731</v>
      </c>
      <c r="Q111" s="15" t="n">
        <f aca="false">O111+P111</f>
        <v>19713.5527344982</v>
      </c>
      <c r="R111" s="15" t="n">
        <f aca="false">Q111-$G$2+$I$2</f>
        <v>14361.9927344982</v>
      </c>
      <c r="S111" s="42" t="n">
        <f aca="false">R111/$K$2</f>
        <v>664.907071041585</v>
      </c>
      <c r="T111" s="43" t="n">
        <f aca="false">S111-$M$2</f>
        <v>-60.0929289584149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0.02734375</v>
      </c>
      <c r="C112" s="25" t="n">
        <f aca="false">IF(T111&gt;0,D111,C111)</f>
        <v>0.0390625</v>
      </c>
      <c r="D112" s="41" t="n">
        <f aca="false">(B112+C112)/2</f>
        <v>0.033203125</v>
      </c>
      <c r="E112" s="15" t="n">
        <f aca="false">$C$2*(1+IF(E$3&lt;=$O$2,$D112,$D112-($D112-$I$103)*MIN(E$3-$O$2,$Q$2)/$Q$2))</f>
        <v>2469.35546875</v>
      </c>
      <c r="F112" s="15" t="n">
        <f aca="false">E112*(1+IF(F$3&lt;=$O$2,$D112,$D112-($D112-$I$103)*MIN(F$3-$O$2,$Q$2)/$Q$2))</f>
        <v>2551.34578704834</v>
      </c>
      <c r="G112" s="15" t="n">
        <f aca="false">F112*(1+IF(G$3&lt;=$O$2,$D112,$D112-($D112-$I$103)*MIN(G$3-$O$2,$Q$2)/$Q$2))</f>
        <v>2636.05844013393</v>
      </c>
      <c r="H112" s="15" t="n">
        <f aca="false">G112*(1+IF(H$3&lt;=$O$2,$D112,$D112-($D112-$I$103)*MIN(H$3-$O$2,$Q$2)/$Q$2))</f>
        <v>2723.583818029</v>
      </c>
      <c r="I112" s="15" t="n">
        <f aca="false">H112*(1+IF(I$3&lt;=$O$2,$D112,$D112-($D112-$I$103)*MIN(I$3-$O$2,$Q$2)/$Q$2))</f>
        <v>2814.015311987</v>
      </c>
      <c r="J112" s="15" t="n">
        <f aca="false">I112*(1+IF(J$3&lt;=$O$2,$D112,$D112-($D112-$I$103)*MIN(J$3-$O$2,$Q$2)/$Q$2))</f>
        <v>2904.6899203775</v>
      </c>
      <c r="K112" s="15" t="n">
        <f aca="false">J112*(1+IF(K$3&lt;=$O$2,$D112,$D112-($D112-$I$103)*MIN(K$3-$O$2,$Q$2)/$Q$2))</f>
        <v>2995.43787978369</v>
      </c>
      <c r="L112" s="15" t="n">
        <f aca="false">K112*(1+IF(L$3&lt;=$O$2,$D112,$D112-($D112-$I$103)*MIN(L$3-$O$2,$Q$2)/$Q$2))</f>
        <v>3086.08357432329</v>
      </c>
      <c r="M112" s="15" t="n">
        <f aca="false">L112*(1+IF(M$3&lt;=$O$2,$D112,$D112-($D112-$I$103)*MIN(M$3-$O$2,$Q$2)/$Q$2))</f>
        <v>3176.44603018171</v>
      </c>
      <c r="N112" s="15" t="n">
        <f aca="false">M112*(1+IF(N$3&lt;=$O$2,$D112,$D112-($D112-$I$103)*MIN(N$3-$O$2,$Q$2)/$Q$2))</f>
        <v>3266.33945283586</v>
      </c>
      <c r="O112" s="15" t="n">
        <f aca="false">SUMPRODUCT(E112:N112,1/(1+$F$103)^$E$3:$N$3)*$E$2</f>
        <v>8623.75919568346</v>
      </c>
      <c r="P112" s="15" t="n">
        <f aca="false">N112*$E$2*(1+$I$103)/($F$103-$I$103)/(1+$F$103)^$N$3</f>
        <v>11766.2220107084</v>
      </c>
      <c r="Q112" s="15" t="n">
        <f aca="false">O112+P112</f>
        <v>20389.9812063918</v>
      </c>
      <c r="R112" s="15" t="n">
        <f aca="false">Q112-$G$2+$I$2</f>
        <v>15038.4212063918</v>
      </c>
      <c r="S112" s="42" t="n">
        <f aca="false">R112/$K$2</f>
        <v>696.223203999622</v>
      </c>
      <c r="T112" s="43" t="n">
        <f aca="false">S112-$M$2</f>
        <v>-28.7767960003783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0.033203125</v>
      </c>
      <c r="C113" s="25" t="n">
        <f aca="false">IF(T112&gt;0,D112,C112)</f>
        <v>0.0390625</v>
      </c>
      <c r="D113" s="41" t="n">
        <f aca="false">(B113+C113)/2</f>
        <v>0.0361328125</v>
      </c>
      <c r="E113" s="15" t="n">
        <f aca="false">$C$2*(1+IF(E$3&lt;=$O$2,$D113,$D113-($D113-$I$103)*MIN(E$3-$O$2,$Q$2)/$Q$2))</f>
        <v>2476.357421875</v>
      </c>
      <c r="F113" s="15" t="n">
        <f aca="false">E113*(1+IF(F$3&lt;=$O$2,$D113,$D113-($D113-$I$103)*MIN(F$3-$O$2,$Q$2)/$Q$2))</f>
        <v>2565.83518028259</v>
      </c>
      <c r="G113" s="15" t="n">
        <f aca="false">F113*(1+IF(G$3&lt;=$O$2,$D113,$D113-($D113-$I$103)*MIN(G$3-$O$2,$Q$2)/$Q$2))</f>
        <v>2658.54602175765</v>
      </c>
      <c r="H113" s="15" t="n">
        <f aca="false">G113*(1+IF(H$3&lt;=$O$2,$D113,$D113-($D113-$I$103)*MIN(H$3-$O$2,$Q$2)/$Q$2))</f>
        <v>2754.60676668444</v>
      </c>
      <c r="I113" s="15" t="n">
        <f aca="false">H113*(1+IF(I$3&lt;=$O$2,$D113,$D113-($D113-$I$103)*MIN(I$3-$O$2,$Q$2)/$Q$2))</f>
        <v>2854.13845649628</v>
      </c>
      <c r="J113" s="15" t="n">
        <f aca="false">I113*(1+IF(J$3&lt;=$O$2,$D113,$D113-($D113-$I$103)*MIN(J$3-$O$2,$Q$2)/$Q$2))</f>
        <v>2952.79531991814</v>
      </c>
      <c r="K113" s="15" t="n">
        <f aca="false">J113*(1+IF(K$3&lt;=$O$2,$D113,$D113-($D113-$I$103)*MIN(K$3-$O$2,$Q$2)/$Q$2))</f>
        <v>3050.2366427269</v>
      </c>
      <c r="L113" s="15" t="n">
        <f aca="false">K113*(1+IF(L$3&lt;=$O$2,$D113,$D113-($D113-$I$103)*MIN(L$3-$O$2,$Q$2)/$Q$2))</f>
        <v>3146.11511239732</v>
      </c>
      <c r="M113" s="15" t="n">
        <f aca="false">L113*(1+IF(M$3&lt;=$O$2,$D113,$D113-($D113-$I$103)*MIN(M$3-$O$2,$Q$2)/$Q$2))</f>
        <v>3240.07875603393</v>
      </c>
      <c r="N113" s="15" t="n">
        <f aca="false">M113*(1+IF(N$3&lt;=$O$2,$D113,$D113-($D113-$I$103)*MIN(N$3-$O$2,$Q$2)/$Q$2))</f>
        <v>3331.77298482969</v>
      </c>
      <c r="O113" s="15" t="n">
        <f aca="false">SUMPRODUCT(E113:N113,1/(1+$F$103)^$E$3:$N$3)*$E$2</f>
        <v>8734.43825846698</v>
      </c>
      <c r="P113" s="15" t="n">
        <f aca="false">N113*$E$2*(1+$I$103)/($F$103-$I$103)/(1+$F$103)^$N$3</f>
        <v>12001.9309673252</v>
      </c>
      <c r="Q113" s="15" t="n">
        <f aca="false">O113+P113</f>
        <v>20736.3692257922</v>
      </c>
      <c r="R113" s="15" t="n">
        <f aca="false">Q113-$G$2+$I$2</f>
        <v>15384.8092257922</v>
      </c>
      <c r="S113" s="42" t="n">
        <f aca="false">R113/$K$2</f>
        <v>712.259686379266</v>
      </c>
      <c r="T113" s="43" t="n">
        <f aca="false">S113-$M$2</f>
        <v>-12.7403136207338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0.0361328125</v>
      </c>
      <c r="C114" s="25" t="n">
        <f aca="false">IF(T113&gt;0,D113,C113)</f>
        <v>0.0390625</v>
      </c>
      <c r="D114" s="41" t="n">
        <f aca="false">(B114+C114)/2</f>
        <v>0.03759765625</v>
      </c>
      <c r="E114" s="15" t="n">
        <f aca="false">$C$2*(1+IF(E$3&lt;=$O$2,$D114,$D114-($D114-$I$103)*MIN(E$3-$O$2,$Q$2)/$Q$2))</f>
        <v>2479.8583984375</v>
      </c>
      <c r="F114" s="15" t="n">
        <f aca="false">E114*(1+IF(F$3&lt;=$O$2,$D114,$D114-($D114-$I$103)*MIN(F$3-$O$2,$Q$2)/$Q$2))</f>
        <v>2573.09526205063</v>
      </c>
      <c r="G114" s="15" t="n">
        <f aca="false">F114*(1+IF(G$3&lt;=$O$2,$D114,$D114-($D114-$I$103)*MIN(G$3-$O$2,$Q$2)/$Q$2))</f>
        <v>2669.83761321171</v>
      </c>
      <c r="H114" s="15" t="n">
        <f aca="false">G114*(1+IF(H$3&lt;=$O$2,$D114,$D114-($D114-$I$103)*MIN(H$3-$O$2,$Q$2)/$Q$2))</f>
        <v>2770.21725003657</v>
      </c>
      <c r="I114" s="15" t="n">
        <f aca="false">H114*(1+IF(I$3&lt;=$O$2,$D114,$D114-($D114-$I$103)*MIN(I$3-$O$2,$Q$2)/$Q$2))</f>
        <v>2874.37092594126</v>
      </c>
      <c r="J114" s="15" t="n">
        <f aca="false">I114*(1+IF(J$3&lt;=$O$2,$D114,$D114-($D114-$I$103)*MIN(J$3-$O$2,$Q$2)/$Q$2))</f>
        <v>2977.09555338892</v>
      </c>
      <c r="K114" s="15" t="n">
        <f aca="false">J114*(1+IF(K$3&lt;=$O$2,$D114,$D114-($D114-$I$103)*MIN(K$3-$O$2,$Q$2)/$Q$2))</f>
        <v>3077.95536419711</v>
      </c>
      <c r="L114" s="15" t="n">
        <f aca="false">K114*(1+IF(L$3&lt;=$O$2,$D114,$D114-($D114-$I$103)*MIN(L$3-$O$2,$Q$2)/$Q$2))</f>
        <v>3176.50860937555</v>
      </c>
      <c r="M114" s="15" t="n">
        <f aca="false">L114*(1+IF(M$3&lt;=$O$2,$D114,$D114-($D114-$I$103)*MIN(M$3-$O$2,$Q$2)/$Q$2))</f>
        <v>3272.3106200459</v>
      </c>
      <c r="N114" s="15" t="n">
        <f aca="false">M114*(1+IF(N$3&lt;=$O$2,$D114,$D114-($D114-$I$103)*MIN(N$3-$O$2,$Q$2)/$Q$2))</f>
        <v>3364.9170105932</v>
      </c>
      <c r="O114" s="15" t="n">
        <f aca="false">SUMPRODUCT(E114:N114,1/(1+$F$103)^$E$3:$N$3)*$E$2</f>
        <v>8790.31611852322</v>
      </c>
      <c r="P114" s="15" t="n">
        <f aca="false">N114*$E$2*(1+$I$103)/($F$103-$I$103)/(1+$F$103)^$N$3</f>
        <v>12121.3245487619</v>
      </c>
      <c r="Q114" s="15" t="n">
        <f aca="false">O114+P114</f>
        <v>20911.6406672851</v>
      </c>
      <c r="R114" s="15" t="n">
        <f aca="false">Q114-$G$2+$I$2</f>
        <v>15560.0806672851</v>
      </c>
      <c r="S114" s="42" t="n">
        <f aca="false">R114/$K$2</f>
        <v>720.374104966904</v>
      </c>
      <c r="T114" s="43" t="n">
        <f aca="false">S114-$M$2</f>
        <v>-4.62589503309653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0.03759765625</v>
      </c>
      <c r="C115" s="25" t="n">
        <f aca="false">IF(T114&gt;0,D114,C114)</f>
        <v>0.0390625</v>
      </c>
      <c r="D115" s="41" t="n">
        <f aca="false">(B115+C115)/2</f>
        <v>0.038330078125</v>
      </c>
      <c r="E115" s="15" t="n">
        <f aca="false">$C$2*(1+IF(E$3&lt;=$O$2,$D115,$D115-($D115-$I$103)*MIN(E$3-$O$2,$Q$2)/$Q$2))</f>
        <v>2481.60888671875</v>
      </c>
      <c r="F115" s="15" t="n">
        <f aca="false">E115*(1+IF(F$3&lt;=$O$2,$D115,$D115-($D115-$I$103)*MIN(F$3-$O$2,$Q$2)/$Q$2))</f>
        <v>2576.72914922237</v>
      </c>
      <c r="G115" s="15" t="n">
        <f aca="false">F115*(1+IF(G$3&lt;=$O$2,$D115,$D115-($D115-$I$103)*MIN(G$3-$O$2,$Q$2)/$Q$2))</f>
        <v>2675.49537881903</v>
      </c>
      <c r="H115" s="15" t="n">
        <f aca="false">G115*(1+IF(H$3&lt;=$O$2,$D115,$D115-($D115-$I$103)*MIN(H$3-$O$2,$Q$2)/$Q$2))</f>
        <v>2778.04732571224</v>
      </c>
      <c r="I115" s="15" t="n">
        <f aca="false">H115*(1+IF(I$3&lt;=$O$2,$D115,$D115-($D115-$I$103)*MIN(I$3-$O$2,$Q$2)/$Q$2))</f>
        <v>2884.53009674174</v>
      </c>
      <c r="J115" s="15" t="n">
        <f aca="false">I115*(1+IF(J$3&lt;=$O$2,$D115,$D115-($D115-$I$103)*MIN(J$3-$O$2,$Q$2)/$Q$2))</f>
        <v>2989.30794825892</v>
      </c>
      <c r="K115" s="15" t="n">
        <f aca="false">J115*(1+IF(K$3&lt;=$O$2,$D115,$D115-($D115-$I$103)*MIN(K$3-$O$2,$Q$2)/$Q$2))</f>
        <v>3091.89515855108</v>
      </c>
      <c r="L115" s="15" t="n">
        <f aca="false">K115*(1+IF(L$3&lt;=$O$2,$D115,$D115-($D115-$I$103)*MIN(L$3-$O$2,$Q$2)/$Q$2))</f>
        <v>3191.8005715359</v>
      </c>
      <c r="M115" s="15" t="n">
        <f aca="false">L115*(1+IF(M$3&lt;=$O$2,$D115,$D115-($D115-$I$103)*MIN(M$3-$O$2,$Q$2)/$Q$2))</f>
        <v>3288.53132952875</v>
      </c>
      <c r="N115" s="15" t="n">
        <f aca="false">M115*(1+IF(N$3&lt;=$O$2,$D115,$D115-($D115-$I$103)*MIN(N$3-$O$2,$Q$2)/$Q$2))</f>
        <v>3381.59676615442</v>
      </c>
      <c r="O115" s="15" t="n">
        <f aca="false">SUMPRODUCT(E115:N115,1/(1+$F$103)^$E$3:$N$3)*$E$2</f>
        <v>8818.39058508135</v>
      </c>
      <c r="P115" s="15" t="n">
        <f aca="false">N115*$E$2*(1+$I$103)/($F$103-$I$103)/(1+$F$103)^$N$3</f>
        <v>12181.4094572203</v>
      </c>
      <c r="Q115" s="15" t="n">
        <f aca="false">O115+P115</f>
        <v>20999.8000423016</v>
      </c>
      <c r="R115" s="15" t="n">
        <f aca="false">Q115-$G$2+$I$2</f>
        <v>15648.2400423016</v>
      </c>
      <c r="S115" s="42" t="n">
        <f aca="false">R115/$K$2</f>
        <v>724.455557513964</v>
      </c>
      <c r="T115" s="43" t="n">
        <f aca="false">S115-$M$2</f>
        <v>-0.544442486036246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0.038330078125</v>
      </c>
      <c r="C116" s="25" t="n">
        <f aca="false">IF(T115&gt;0,D115,C115)</f>
        <v>0.0390625</v>
      </c>
      <c r="D116" s="41" t="n">
        <f aca="false">(B116+C116)/2</f>
        <v>0.0386962890625</v>
      </c>
      <c r="E116" s="15" t="n">
        <f aca="false">$C$2*(1+IF(E$3&lt;=$O$2,$D116,$D116-($D116-$I$103)*MIN(E$3-$O$2,$Q$2)/$Q$2))</f>
        <v>2482.48413085938</v>
      </c>
      <c r="F116" s="15" t="n">
        <f aca="false">E116*(1+IF(F$3&lt;=$O$2,$D116,$D116-($D116-$I$103)*MIN(F$3-$O$2,$Q$2)/$Q$2))</f>
        <v>2578.54705438018</v>
      </c>
      <c r="G116" s="15" t="n">
        <f aca="false">F116*(1+IF(G$3&lt;=$O$2,$D116,$D116-($D116-$I$103)*MIN(G$3-$O$2,$Q$2)/$Q$2))</f>
        <v>2678.32725655773</v>
      </c>
      <c r="H116" s="15" t="n">
        <f aca="false">G116*(1+IF(H$3&lt;=$O$2,$D116,$D116-($D116-$I$103)*MIN(H$3-$O$2,$Q$2)/$Q$2))</f>
        <v>2781.96858228146</v>
      </c>
      <c r="I116" s="15" t="n">
        <f aca="false">H116*(1+IF(I$3&lt;=$O$2,$D116,$D116-($D116-$I$103)*MIN(I$3-$O$2,$Q$2)/$Q$2))</f>
        <v>2889.62044270422</v>
      </c>
      <c r="J116" s="15" t="n">
        <f aca="false">I116*(1+IF(J$3&lt;=$O$2,$D116,$D116-($D116-$I$103)*MIN(J$3-$O$2,$Q$2)/$Q$2))</f>
        <v>2995.42976475536</v>
      </c>
      <c r="K116" s="15" t="n">
        <f aca="false">J116*(1+IF(K$3&lt;=$O$2,$D116,$D116-($D116-$I$103)*MIN(K$3-$O$2,$Q$2)/$Q$2))</f>
        <v>3098.88523931842</v>
      </c>
      <c r="L116" s="15" t="n">
        <f aca="false">K116*(1+IF(L$3&lt;=$O$2,$D116,$D116-($D116-$I$103)*MIN(L$3-$O$2,$Q$2)/$Q$2))</f>
        <v>3199.47045427892</v>
      </c>
      <c r="M116" s="15" t="n">
        <f aca="false">L116*(1+IF(M$3&lt;=$O$2,$D116,$D116-($D116-$I$103)*MIN(M$3-$O$2,$Q$2)/$Q$2))</f>
        <v>3296.66799207294</v>
      </c>
      <c r="N116" s="15" t="n">
        <f aca="false">M116*(1+IF(N$3&lt;=$O$2,$D116,$D116-($D116-$I$103)*MIN(N$3-$O$2,$Q$2)/$Q$2))</f>
        <v>3389.9636962486</v>
      </c>
      <c r="O116" s="15" t="n">
        <f aca="false">SUMPRODUCT(E116:N116,1/(1+$F$103)^$E$3:$N$3)*$E$2</f>
        <v>8832.46182237947</v>
      </c>
      <c r="P116" s="15" t="n">
        <f aca="false">N116*$E$2*(1+$I$103)/($F$103-$I$103)/(1+$F$103)^$N$3</f>
        <v>12211.5493610661</v>
      </c>
      <c r="Q116" s="15" t="n">
        <f aca="false">O116+P116</f>
        <v>21044.0111834455</v>
      </c>
      <c r="R116" s="15" t="n">
        <f aca="false">Q116-$G$2+$I$2</f>
        <v>15692.4511834455</v>
      </c>
      <c r="S116" s="42" t="n">
        <f aca="false">R116/$K$2</f>
        <v>726.502369603961</v>
      </c>
      <c r="T116" s="43" t="n">
        <f aca="false">S116-$M$2</f>
        <v>1.50236960396046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0.038330078125</v>
      </c>
      <c r="C117" s="25" t="n">
        <f aca="false">IF(T116&gt;0,D116,C116)</f>
        <v>0.0386962890625</v>
      </c>
      <c r="D117" s="41" t="n">
        <f aca="false">(B117+C117)/2</f>
        <v>0.03851318359375</v>
      </c>
      <c r="E117" s="15" t="n">
        <f aca="false">$C$2*(1+IF(E$3&lt;=$O$2,$D117,$D117-($D117-$I$103)*MIN(E$3-$O$2,$Q$2)/$Q$2))</f>
        <v>2482.04650878906</v>
      </c>
      <c r="F117" s="15" t="n">
        <f aca="false">E117*(1+IF(F$3&lt;=$O$2,$D117,$D117-($D117-$I$103)*MIN(F$3-$O$2,$Q$2)/$Q$2))</f>
        <v>2577.63802167028</v>
      </c>
      <c r="G117" s="15" t="n">
        <f aca="false">F117*(1+IF(G$3&lt;=$O$2,$D117,$D117-($D117-$I$103)*MIN(G$3-$O$2,$Q$2)/$Q$2))</f>
        <v>2676.9110680371</v>
      </c>
      <c r="H117" s="15" t="n">
        <f aca="false">G117*(1+IF(H$3&lt;=$O$2,$D117,$D117-($D117-$I$103)*MIN(H$3-$O$2,$Q$2)/$Q$2))</f>
        <v>2780.00743546455</v>
      </c>
      <c r="I117" s="15" t="n">
        <f aca="false">H117*(1+IF(I$3&lt;=$O$2,$D117,$D117-($D117-$I$103)*MIN(I$3-$O$2,$Q$2)/$Q$2))</f>
        <v>2887.07437221859</v>
      </c>
      <c r="J117" s="15" t="n">
        <f aca="false">I117*(1+IF(J$3&lt;=$O$2,$D117,$D117-($D117-$I$103)*MIN(J$3-$O$2,$Q$2)/$Q$2))</f>
        <v>2992.3675534422</v>
      </c>
      <c r="K117" s="15" t="n">
        <f aca="false">J117*(1+IF(K$3&lt;=$O$2,$D117,$D117-($D117-$I$103)*MIN(K$3-$O$2,$Q$2)/$Q$2))</f>
        <v>3095.38851472659</v>
      </c>
      <c r="L117" s="15" t="n">
        <f aca="false">K117*(1+IF(L$3&lt;=$O$2,$D117,$D117-($D117-$I$103)*MIN(L$3-$O$2,$Q$2)/$Q$2))</f>
        <v>3195.6335181713</v>
      </c>
      <c r="M117" s="15" t="n">
        <f aca="false">L117*(1+IF(M$3&lt;=$O$2,$D117,$D117-($D117-$I$103)*MIN(M$3-$O$2,$Q$2)/$Q$2))</f>
        <v>3292.59746509944</v>
      </c>
      <c r="N117" s="15" t="n">
        <f aca="false">M117*(1+IF(N$3&lt;=$O$2,$D117,$D117-($D117-$I$103)*MIN(N$3-$O$2,$Q$2)/$Q$2))</f>
        <v>3385.77797336175</v>
      </c>
      <c r="O117" s="15" t="n">
        <f aca="false">SUMPRODUCT(E117:N117,1/(1+$F$103)^$E$3:$N$3)*$E$2</f>
        <v>8825.42336648646</v>
      </c>
      <c r="P117" s="15" t="n">
        <f aca="false">N117*$E$2*(1+$I$103)/($F$103-$I$103)/(1+$F$103)^$N$3</f>
        <v>12196.4712758048</v>
      </c>
      <c r="Q117" s="15" t="n">
        <f aca="false">O117+P117</f>
        <v>21021.8946422913</v>
      </c>
      <c r="R117" s="15" t="n">
        <f aca="false">Q117-$G$2+$I$2</f>
        <v>15670.3346422913</v>
      </c>
      <c r="S117" s="42" t="n">
        <f aca="false">R117/$K$2</f>
        <v>725.478455661634</v>
      </c>
      <c r="T117" s="43" t="n">
        <f aca="false">S117-$M$2</f>
        <v>0.478455661634257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0.038330078125</v>
      </c>
      <c r="C118" s="25" t="n">
        <f aca="false">IF(T117&gt;0,D117,C117)</f>
        <v>0.03851318359375</v>
      </c>
      <c r="D118" s="41" t="n">
        <f aca="false">(B118+C118)/2</f>
        <v>0.038421630859375</v>
      </c>
      <c r="E118" s="15" t="n">
        <f aca="false">$C$2*(1+IF(E$3&lt;=$O$2,$D118,$D118-($D118-$I$103)*MIN(E$3-$O$2,$Q$2)/$Q$2))</f>
        <v>2481.82769775391</v>
      </c>
      <c r="F118" s="15" t="n">
        <f aca="false">E118*(1+IF(F$3&lt;=$O$2,$D118,$D118-($D118-$I$103)*MIN(F$3-$O$2,$Q$2)/$Q$2))</f>
        <v>2577.18356541358</v>
      </c>
      <c r="G118" s="15" t="n">
        <f aca="false">F118*(1+IF(G$3&lt;=$O$2,$D118,$D118-($D118-$I$103)*MIN(G$3-$O$2,$Q$2)/$Q$2))</f>
        <v>2676.20316102075</v>
      </c>
      <c r="H118" s="15" t="n">
        <f aca="false">G118*(1+IF(H$3&lt;=$O$2,$D118,$D118-($D118-$I$103)*MIN(H$3-$O$2,$Q$2)/$Q$2))</f>
        <v>2779.02725097818</v>
      </c>
      <c r="I118" s="15" t="n">
        <f aca="false">H118*(1+IF(I$3&lt;=$O$2,$D118,$D118-($D118-$I$103)*MIN(I$3-$O$2,$Q$2)/$Q$2))</f>
        <v>2885.80201016341</v>
      </c>
      <c r="J118" s="15" t="n">
        <f aca="false">I118*(1+IF(J$3&lt;=$O$2,$D118,$D118-($D118-$I$103)*MIN(J$3-$O$2,$Q$2)/$Q$2))</f>
        <v>2990.83742519512</v>
      </c>
      <c r="K118" s="15" t="n">
        <f aca="false">J118*(1+IF(K$3&lt;=$O$2,$D118,$D118-($D118-$I$103)*MIN(K$3-$O$2,$Q$2)/$Q$2))</f>
        <v>3093.64141575508</v>
      </c>
      <c r="L118" s="15" t="n">
        <f aca="false">K118*(1+IF(L$3&lt;=$O$2,$D118,$D118-($D118-$I$103)*MIN(L$3-$O$2,$Q$2)/$Q$2))</f>
        <v>3193.71654638957</v>
      </c>
      <c r="M118" s="15" t="n">
        <f aca="false">L118*(1+IF(M$3&lt;=$O$2,$D118,$D118-($D118-$I$103)*MIN(M$3-$O$2,$Q$2)/$Q$2))</f>
        <v>3290.5638486428</v>
      </c>
      <c r="N118" s="15" t="n">
        <f aca="false">M118*(1+IF(N$3&lt;=$O$2,$D118,$D118-($D118-$I$103)*MIN(N$3-$O$2,$Q$2)/$Q$2))</f>
        <v>3383.68680555939</v>
      </c>
      <c r="O118" s="15" t="n">
        <f aca="false">SUMPRODUCT(E118:N118,1/(1+$F$103)^$E$3:$N$3)*$E$2</f>
        <v>8821.90626674129</v>
      </c>
      <c r="P118" s="15" t="n">
        <f aca="false">N118*$E$2*(1+$I$103)/($F$103-$I$103)/(1+$F$103)^$N$3</f>
        <v>12188.9383341191</v>
      </c>
      <c r="Q118" s="15" t="n">
        <f aca="false">O118+P118</f>
        <v>21010.8446008604</v>
      </c>
      <c r="R118" s="15" t="n">
        <f aca="false">Q118-$G$2+$I$2</f>
        <v>15659.2846008604</v>
      </c>
      <c r="S118" s="42" t="n">
        <f aca="false">R118/$K$2</f>
        <v>724.966879669461</v>
      </c>
      <c r="T118" s="43" t="n">
        <f aca="false">S118-$M$2</f>
        <v>-0.0331203305394183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0.038421630859375</v>
      </c>
      <c r="C119" s="25" t="n">
        <f aca="false">IF(T118&gt;0,D118,C118)</f>
        <v>0.03851318359375</v>
      </c>
      <c r="D119" s="41" t="n">
        <f aca="false">(B119+C119)/2</f>
        <v>0.0384674072265625</v>
      </c>
      <c r="E119" s="15" t="n">
        <f aca="false">$C$2*(1+IF(E$3&lt;=$O$2,$D119,$D119-($D119-$I$103)*MIN(E$3-$O$2,$Q$2)/$Q$2))</f>
        <v>2481.93710327148</v>
      </c>
      <c r="F119" s="15" t="n">
        <f aca="false">E119*(1+IF(F$3&lt;=$O$2,$D119,$D119-($D119-$I$103)*MIN(F$3-$O$2,$Q$2)/$Q$2))</f>
        <v>2577.41078853374</v>
      </c>
      <c r="G119" s="15" t="n">
        <f aca="false">F119*(1+IF(G$3&lt;=$O$2,$D119,$D119-($D119-$I$103)*MIN(G$3-$O$2,$Q$2)/$Q$2))</f>
        <v>2676.55709892641</v>
      </c>
      <c r="H119" s="15" t="n">
        <f aca="false">G119*(1+IF(H$3&lt;=$O$2,$D119,$D119-($D119-$I$103)*MIN(H$3-$O$2,$Q$2)/$Q$2))</f>
        <v>2779.51731081596</v>
      </c>
      <c r="I119" s="15" t="n">
        <f aca="false">H119*(1+IF(I$3&lt;=$O$2,$D119,$D119-($D119-$I$103)*MIN(I$3-$O$2,$Q$2)/$Q$2))</f>
        <v>2886.43813510439</v>
      </c>
      <c r="J119" s="15" t="n">
        <f aca="false">I119*(1+IF(J$3&lt;=$O$2,$D119,$D119-($D119-$I$103)*MIN(J$3-$O$2,$Q$2)/$Q$2))</f>
        <v>2991.60240789096</v>
      </c>
      <c r="K119" s="15" t="n">
        <f aca="false">J119*(1+IF(K$3&lt;=$O$2,$D119,$D119-($D119-$I$103)*MIN(K$3-$O$2,$Q$2)/$Q$2))</f>
        <v>3094.51485999887</v>
      </c>
      <c r="L119" s="15" t="n">
        <f aca="false">K119*(1+IF(L$3&lt;=$O$2,$D119,$D119-($D119-$I$103)*MIN(L$3-$O$2,$Q$2)/$Q$2))</f>
        <v>3194.67490763694</v>
      </c>
      <c r="M119" s="15" t="n">
        <f aca="false">L119*(1+IF(M$3&lt;=$O$2,$D119,$D119-($D119-$I$103)*MIN(M$3-$O$2,$Q$2)/$Q$2))</f>
        <v>3291.58051967155</v>
      </c>
      <c r="N119" s="15" t="n">
        <f aca="false">M119*(1+IF(N$3&lt;=$O$2,$D119,$D119-($D119-$I$103)*MIN(N$3-$O$2,$Q$2)/$Q$2))</f>
        <v>3384.73224837825</v>
      </c>
      <c r="O119" s="15" t="n">
        <f aca="false">SUMPRODUCT(E119:N119,1/(1+$F$103)^$E$3:$N$3)*$E$2</f>
        <v>8823.66463931968</v>
      </c>
      <c r="P119" s="15" t="n">
        <f aca="false">N119*$E$2*(1+$I$103)/($F$103-$I$103)/(1+$F$103)^$N$3</f>
        <v>12192.704296746</v>
      </c>
      <c r="Q119" s="15" t="n">
        <f aca="false">O119+P119</f>
        <v>21016.3689360657</v>
      </c>
      <c r="R119" s="15" t="n">
        <f aca="false">Q119-$G$2+$I$2</f>
        <v>15664.8089360657</v>
      </c>
      <c r="S119" s="42" t="n">
        <f aca="false">R119/$K$2</f>
        <v>725.222635928965</v>
      </c>
      <c r="T119" s="43" t="n">
        <f aca="false">S119-$M$2</f>
        <v>0.222635928965246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0.038421630859375</v>
      </c>
      <c r="C120" s="25" t="n">
        <f aca="false">IF(T119&gt;0,D119,C119)</f>
        <v>0.0384674072265625</v>
      </c>
      <c r="D120" s="41" t="n">
        <f aca="false">(B120+C120)/2</f>
        <v>0.0384445190429688</v>
      </c>
      <c r="E120" s="15" t="n">
        <f aca="false">$C$2*(1+IF(E$3&lt;=$O$2,$D120,$D120-($D120-$I$103)*MIN(E$3-$O$2,$Q$2)/$Q$2))</f>
        <v>2481.8824005127</v>
      </c>
      <c r="F120" s="15" t="n">
        <f aca="false">E120*(1+IF(F$3&lt;=$O$2,$D120,$D120-($D120-$I$103)*MIN(F$3-$O$2,$Q$2)/$Q$2))</f>
        <v>2577.29717572161</v>
      </c>
      <c r="G120" s="15" t="n">
        <f aca="false">F120*(1+IF(G$3&lt;=$O$2,$D120,$D120-($D120-$I$103)*MIN(G$3-$O$2,$Q$2)/$Q$2))</f>
        <v>2676.38012607303</v>
      </c>
      <c r="H120" s="15" t="n">
        <f aca="false">G120*(1+IF(H$3&lt;=$O$2,$D120,$D120-($D120-$I$103)*MIN(H$3-$O$2,$Q$2)/$Q$2))</f>
        <v>2779.27227279607</v>
      </c>
      <c r="I120" s="15" t="n">
        <f aca="false">H120*(1+IF(I$3&lt;=$O$2,$D120,$D120-($D120-$I$103)*MIN(I$3-$O$2,$Q$2)/$Q$2))</f>
        <v>2886.12005861318</v>
      </c>
      <c r="J120" s="15" t="n">
        <f aca="false">I120*(1+IF(J$3&lt;=$O$2,$D120,$D120-($D120-$I$103)*MIN(J$3-$O$2,$Q$2)/$Q$2))</f>
        <v>2991.21989618785</v>
      </c>
      <c r="K120" s="15" t="n">
        <f aca="false">J120*(1+IF(K$3&lt;=$O$2,$D120,$D120-($D120-$I$103)*MIN(K$3-$O$2,$Q$2)/$Q$2))</f>
        <v>3094.07811156911</v>
      </c>
      <c r="L120" s="15" t="n">
        <f aca="false">K120*(1+IF(L$3&lt;=$O$2,$D120,$D120-($D120-$I$103)*MIN(L$3-$O$2,$Q$2)/$Q$2))</f>
        <v>3194.19569585582</v>
      </c>
      <c r="M120" s="15" t="n">
        <f aca="false">L120*(1+IF(M$3&lt;=$O$2,$D120,$D120-($D120-$I$103)*MIN(M$3-$O$2,$Q$2)/$Q$2))</f>
        <v>3291.07214986125</v>
      </c>
      <c r="N120" s="15" t="n">
        <f aca="false">M120*(1+IF(N$3&lt;=$O$2,$D120,$D120-($D120-$I$103)*MIN(N$3-$O$2,$Q$2)/$Q$2))</f>
        <v>3384.20949170232</v>
      </c>
      <c r="O120" s="15" t="n">
        <f aca="false">SUMPRODUCT(E120:N120,1/(1+$F$103)^$E$3:$N$3)*$E$2</f>
        <v>8822.78540871113</v>
      </c>
      <c r="P120" s="15" t="n">
        <f aca="false">N120*$E$2*(1+$I$103)/($F$103-$I$103)/(1+$F$103)^$N$3</f>
        <v>12190.8211883932</v>
      </c>
      <c r="Q120" s="15" t="n">
        <f aca="false">O120+P120</f>
        <v>21013.6065971044</v>
      </c>
      <c r="R120" s="15" t="n">
        <f aca="false">Q120-$G$2+$I$2</f>
        <v>15662.0465971044</v>
      </c>
      <c r="S120" s="42" t="n">
        <f aca="false">R120/$K$2</f>
        <v>725.094749865942</v>
      </c>
      <c r="T120" s="43" t="n">
        <f aca="false">S120-$M$2</f>
        <v>0.09474986594239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0.038421630859375</v>
      </c>
      <c r="C121" s="25" t="n">
        <f aca="false">IF(T120&gt;0,D120,C120)</f>
        <v>0.0384445190429688</v>
      </c>
      <c r="D121" s="41" t="n">
        <f aca="false">(B121+C121)/2</f>
        <v>0.0384330749511719</v>
      </c>
      <c r="E121" s="15" t="n">
        <f aca="false">$C$2*(1+IF(E$3&lt;=$O$2,$D121,$D121-($D121-$I$103)*MIN(E$3-$O$2,$Q$2)/$Q$2))</f>
        <v>2481.8550491333</v>
      </c>
      <c r="F121" s="15" t="n">
        <f aca="false">E121*(1+IF(F$3&lt;=$O$2,$D121,$D121-($D121-$I$103)*MIN(F$3-$O$2,$Q$2)/$Q$2))</f>
        <v>2577.24037025459</v>
      </c>
      <c r="G121" s="15" t="n">
        <f aca="false">F121*(1+IF(G$3&lt;=$O$2,$D121,$D121-($D121-$I$103)*MIN(G$3-$O$2,$Q$2)/$Q$2))</f>
        <v>2676.29164257177</v>
      </c>
      <c r="H121" s="15" t="n">
        <f aca="false">G121*(1+IF(H$3&lt;=$O$2,$D121,$D121-($D121-$I$103)*MIN(H$3-$O$2,$Q$2)/$Q$2))</f>
        <v>2779.14975986192</v>
      </c>
      <c r="I121" s="15" t="n">
        <f aca="false">H121*(1+IF(I$3&lt;=$O$2,$D121,$D121-($D121-$I$103)*MIN(I$3-$O$2,$Q$2)/$Q$2))</f>
        <v>2885.96103088323</v>
      </c>
      <c r="J121" s="15" t="n">
        <f aca="false">I121*(1+IF(J$3&lt;=$O$2,$D121,$D121-($D121-$I$103)*MIN(J$3-$O$2,$Q$2)/$Q$2))</f>
        <v>2991.0286556029</v>
      </c>
      <c r="K121" s="15" t="n">
        <f aca="false">J121*(1+IF(K$3&lt;=$O$2,$D121,$D121-($D121-$I$103)*MIN(K$3-$O$2,$Q$2)/$Q$2))</f>
        <v>3093.85975708546</v>
      </c>
      <c r="L121" s="15" t="n">
        <f aca="false">K121*(1+IF(L$3&lt;=$O$2,$D121,$D121-($D121-$I$103)*MIN(L$3-$O$2,$Q$2)/$Q$2))</f>
        <v>3193.95611333376</v>
      </c>
      <c r="M121" s="15" t="n">
        <f aca="false">L121*(1+IF(M$3&lt;=$O$2,$D121,$D121-($D121-$I$103)*MIN(M$3-$O$2,$Q$2)/$Q$2))</f>
        <v>3290.81799067854</v>
      </c>
      <c r="N121" s="15" t="n">
        <f aca="false">M121*(1+IF(N$3&lt;=$O$2,$D121,$D121-($D121-$I$103)*MIN(N$3-$O$2,$Q$2)/$Q$2))</f>
        <v>3383.94813981474</v>
      </c>
      <c r="O121" s="15" t="n">
        <f aca="false">SUMPRODUCT(E121:N121,1/(1+$F$103)^$E$3:$N$3)*$E$2</f>
        <v>8822.34582664689</v>
      </c>
      <c r="P121" s="15" t="n">
        <f aca="false">N121*$E$2*(1+$I$103)/($F$103-$I$103)/(1+$F$103)^$N$3</f>
        <v>12189.8797294982</v>
      </c>
      <c r="Q121" s="15" t="n">
        <f aca="false">O121+P121</f>
        <v>21012.2255561451</v>
      </c>
      <c r="R121" s="15" t="n">
        <f aca="false">Q121-$G$2+$I$2</f>
        <v>15660.6655561451</v>
      </c>
      <c r="S121" s="42" t="n">
        <f aca="false">R121/$K$2</f>
        <v>725.030812784493</v>
      </c>
      <c r="T121" s="43" t="n">
        <f aca="false">S121-$M$2</f>
        <v>0.0308127844930368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0.038421630859375</v>
      </c>
      <c r="C122" s="25" t="n">
        <f aca="false">IF(T121&gt;0,D121,C121)</f>
        <v>0.0384330749511719</v>
      </c>
      <c r="D122" s="41" t="n">
        <f aca="false">(B122+C122)/2</f>
        <v>0.0384273529052734</v>
      </c>
      <c r="E122" s="15" t="n">
        <f aca="false">$C$2*(1+IF(E$3&lt;=$O$2,$D122,$D122-($D122-$I$103)*MIN(E$3-$O$2,$Q$2)/$Q$2))</f>
        <v>2481.8413734436</v>
      </c>
      <c r="F122" s="15" t="n">
        <f aca="false">E122*(1+IF(F$3&lt;=$O$2,$D122,$D122-($D122-$I$103)*MIN(F$3-$O$2,$Q$2)/$Q$2))</f>
        <v>2577.21196775583</v>
      </c>
      <c r="G122" s="15" t="n">
        <f aca="false">F122*(1+IF(G$3&lt;=$O$2,$D122,$D122-($D122-$I$103)*MIN(G$3-$O$2,$Q$2)/$Q$2))</f>
        <v>2676.24740155248</v>
      </c>
      <c r="H122" s="15" t="n">
        <f aca="false">G122*(1+IF(H$3&lt;=$O$2,$D122,$D122-($D122-$I$103)*MIN(H$3-$O$2,$Q$2)/$Q$2))</f>
        <v>2779.08850491375</v>
      </c>
      <c r="I122" s="15" t="n">
        <f aca="false">H122*(1+IF(I$3&lt;=$O$2,$D122,$D122-($D122-$I$103)*MIN(I$3-$O$2,$Q$2)/$Q$2))</f>
        <v>2885.88151964706</v>
      </c>
      <c r="J122" s="15" t="n">
        <f aca="false">I122*(1+IF(J$3&lt;=$O$2,$D122,$D122-($D122-$I$103)*MIN(J$3-$O$2,$Q$2)/$Q$2))</f>
        <v>2990.93303912689</v>
      </c>
      <c r="K122" s="15" t="n">
        <f aca="false">J122*(1+IF(K$3&lt;=$O$2,$D122,$D122-($D122-$I$103)*MIN(K$3-$O$2,$Q$2)/$Q$2))</f>
        <v>3093.75058477615</v>
      </c>
      <c r="L122" s="15" t="n">
        <f aca="false">K122*(1+IF(L$3&lt;=$O$2,$D122,$D122-($D122-$I$103)*MIN(L$3-$O$2,$Q$2)/$Q$2))</f>
        <v>3193.83632791449</v>
      </c>
      <c r="M122" s="15" t="n">
        <f aca="false">L122*(1+IF(M$3&lt;=$O$2,$D122,$D122-($D122-$I$103)*MIN(M$3-$O$2,$Q$2)/$Q$2))</f>
        <v>3290.69091751736</v>
      </c>
      <c r="N122" s="15" t="n">
        <f aca="false">M122*(1+IF(N$3&lt;=$O$2,$D122,$D122-($D122-$I$103)*MIN(N$3-$O$2,$Q$2)/$Q$2))</f>
        <v>3383.8174704831</v>
      </c>
      <c r="O122" s="15" t="n">
        <f aca="false">SUMPRODUCT(E122:N122,1/(1+$F$103)^$E$3:$N$3)*$E$2</f>
        <v>8822.12604392433</v>
      </c>
      <c r="P122" s="15" t="n">
        <f aca="false">N122*$E$2*(1+$I$103)/($F$103-$I$103)/(1+$F$103)^$N$3</f>
        <v>12189.4090238693</v>
      </c>
      <c r="Q122" s="15" t="n">
        <f aca="false">O122+P122</f>
        <v>21011.5350677937</v>
      </c>
      <c r="R122" s="15" t="n">
        <f aca="false">Q122-$G$2+$I$2</f>
        <v>15659.9750677937</v>
      </c>
      <c r="S122" s="42" t="n">
        <f aca="false">R122/$K$2</f>
        <v>724.998845731189</v>
      </c>
      <c r="T122" s="43" t="n">
        <f aca="false">S122-$M$2</f>
        <v>-0.00115426881143321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0.0384273529052734</v>
      </c>
      <c r="C123" s="25" t="n">
        <f aca="false">IF(T122&gt;0,D122,C122)</f>
        <v>0.0384330749511719</v>
      </c>
      <c r="D123" s="41" t="n">
        <f aca="false">(B123+C123)/2</f>
        <v>0.0384302139282227</v>
      </c>
      <c r="E123" s="15" t="n">
        <f aca="false">$C$2*(1+IF(E$3&lt;=$O$2,$D123,$D123-($D123-$I$103)*MIN(E$3-$O$2,$Q$2)/$Q$2))</f>
        <v>2481.84821128845</v>
      </c>
      <c r="F123" s="15" t="n">
        <f aca="false">E123*(1+IF(F$3&lt;=$O$2,$D123,$D123-($D123-$I$103)*MIN(F$3-$O$2,$Q$2)/$Q$2))</f>
        <v>2577.22616898564</v>
      </c>
      <c r="G123" s="15" t="n">
        <f aca="false">F123*(1+IF(G$3&lt;=$O$2,$D123,$D123-($D123-$I$103)*MIN(G$3-$O$2,$Q$2)/$Q$2))</f>
        <v>2676.26952200118</v>
      </c>
      <c r="H123" s="15" t="n">
        <f aca="false">G123*(1+IF(H$3&lt;=$O$2,$D123,$D123-($D123-$I$103)*MIN(H$3-$O$2,$Q$2)/$Q$2))</f>
        <v>2779.11913226126</v>
      </c>
      <c r="I123" s="15" t="n">
        <f aca="false">H123*(1+IF(I$3&lt;=$O$2,$D123,$D123-($D123-$I$103)*MIN(I$3-$O$2,$Q$2)/$Q$2))</f>
        <v>2885.92127504608</v>
      </c>
      <c r="J123" s="15" t="n">
        <f aca="false">I123*(1+IF(J$3&lt;=$O$2,$D123,$D123-($D123-$I$103)*MIN(J$3-$O$2,$Q$2)/$Q$2))</f>
        <v>2990.98084704687</v>
      </c>
      <c r="K123" s="15" t="n">
        <f aca="false">J123*(1+IF(K$3&lt;=$O$2,$D123,$D123-($D123-$I$103)*MIN(K$3-$O$2,$Q$2)/$Q$2))</f>
        <v>3093.80517051977</v>
      </c>
      <c r="L123" s="15" t="n">
        <f aca="false">K123*(1+IF(L$3&lt;=$O$2,$D123,$D123-($D123-$I$103)*MIN(L$3-$O$2,$Q$2)/$Q$2))</f>
        <v>3193.89622013733</v>
      </c>
      <c r="M123" s="15" t="n">
        <f aca="false">L123*(1+IF(M$3&lt;=$O$2,$D123,$D123-($D123-$I$103)*MIN(M$3-$O$2,$Q$2)/$Q$2))</f>
        <v>3290.75445356212</v>
      </c>
      <c r="N123" s="15" t="n">
        <f aca="false">M123*(1+IF(N$3&lt;=$O$2,$D123,$D123-($D123-$I$103)*MIN(N$3-$O$2,$Q$2)/$Q$2))</f>
        <v>3383.88280459793</v>
      </c>
      <c r="O123" s="15" t="n">
        <f aca="false">SUMPRODUCT(E123:N123,1/(1+$F$103)^$E$3:$N$3)*$E$2</f>
        <v>8822.23593459316</v>
      </c>
      <c r="P123" s="15" t="n">
        <f aca="false">N123*$E$2*(1+$I$103)/($F$103-$I$103)/(1+$F$103)^$N$3</f>
        <v>12189.6443746989</v>
      </c>
      <c r="Q123" s="15" t="n">
        <f aca="false">O123+P123</f>
        <v>21011.8803092921</v>
      </c>
      <c r="R123" s="15" t="n">
        <f aca="false">Q123-$G$2+$I$2</f>
        <v>15660.3203092921</v>
      </c>
      <c r="S123" s="42" t="n">
        <f aca="false">R123/$K$2</f>
        <v>725.014829133892</v>
      </c>
      <c r="T123" s="43" t="n">
        <f aca="false">S123-$M$2</f>
        <v>0.0148291338921354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0.0384273529052734</v>
      </c>
      <c r="C124" s="25" t="n">
        <f aca="false">IF(T123&gt;0,D123,C123)</f>
        <v>0.0384302139282227</v>
      </c>
      <c r="D124" s="41" t="n">
        <f aca="false">(B124+C124)/2</f>
        <v>0.0384287834167481</v>
      </c>
      <c r="E124" s="15" t="n">
        <f aca="false">$C$2*(1+IF(E$3&lt;=$O$2,$D124,$D124-($D124-$I$103)*MIN(E$3-$O$2,$Q$2)/$Q$2))</f>
        <v>2481.84479236603</v>
      </c>
      <c r="F124" s="15" t="n">
        <f aca="false">E124*(1+IF(F$3&lt;=$O$2,$D124,$D124-($D124-$I$103)*MIN(F$3-$O$2,$Q$2)/$Q$2))</f>
        <v>2577.21906836585</v>
      </c>
      <c r="G124" s="15" t="n">
        <f aca="false">F124*(1+IF(G$3&lt;=$O$2,$D124,$D124-($D124-$I$103)*MIN(G$3-$O$2,$Q$2)/$Q$2))</f>
        <v>2676.25846176159</v>
      </c>
      <c r="H124" s="15" t="n">
        <f aca="false">G124*(1+IF(H$3&lt;=$O$2,$D124,$D124-($D124-$I$103)*MIN(H$3-$O$2,$Q$2)/$Q$2))</f>
        <v>2779.10381855587</v>
      </c>
      <c r="I124" s="15" t="n">
        <f aca="false">H124*(1+IF(I$3&lt;=$O$2,$D124,$D124-($D124-$I$103)*MIN(I$3-$O$2,$Q$2)/$Q$2))</f>
        <v>2885.90139729181</v>
      </c>
      <c r="J124" s="15" t="n">
        <f aca="false">I124*(1+IF(J$3&lt;=$O$2,$D124,$D124-($D124-$I$103)*MIN(J$3-$O$2,$Q$2)/$Q$2))</f>
        <v>2990.95694300737</v>
      </c>
      <c r="K124" s="15" t="n">
        <f aca="false">J124*(1+IF(K$3&lt;=$O$2,$D124,$D124-($D124-$I$103)*MIN(K$3-$O$2,$Q$2)/$Q$2))</f>
        <v>3093.77787754521</v>
      </c>
      <c r="L124" s="15" t="n">
        <f aca="false">K124*(1+IF(L$3&lt;=$O$2,$D124,$D124-($D124-$I$103)*MIN(L$3-$O$2,$Q$2)/$Q$2))</f>
        <v>3193.86627390421</v>
      </c>
      <c r="M124" s="15" t="n">
        <f aca="false">L124*(1+IF(M$3&lt;=$O$2,$D124,$D124-($D124-$I$103)*MIN(M$3-$O$2,$Q$2)/$Q$2))</f>
        <v>3290.72268540578</v>
      </c>
      <c r="N124" s="15" t="n">
        <f aca="false">M124*(1+IF(N$3&lt;=$O$2,$D124,$D124-($D124-$I$103)*MIN(N$3-$O$2,$Q$2)/$Q$2))</f>
        <v>3383.85013740277</v>
      </c>
      <c r="O124" s="15" t="n">
        <f aca="false">SUMPRODUCT(E124:N124,1/(1+$F$103)^$E$3:$N$3)*$E$2</f>
        <v>8822.18098908564</v>
      </c>
      <c r="P124" s="15" t="n">
        <f aca="false">N124*$E$2*(1+$I$103)/($F$103-$I$103)/(1+$F$103)^$N$3</f>
        <v>12189.5266987879</v>
      </c>
      <c r="Q124" s="15" t="n">
        <f aca="false">O124+P124</f>
        <v>21011.7076878736</v>
      </c>
      <c r="R124" s="15" t="n">
        <f aca="false">Q124-$G$2+$I$2</f>
        <v>15660.1476878736</v>
      </c>
      <c r="S124" s="42" t="n">
        <f aca="false">R124/$K$2</f>
        <v>725.006837401553</v>
      </c>
      <c r="T124" s="43" t="n">
        <f aca="false">S124-$M$2</f>
        <v>0.00683740155341184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0.0384273529052734</v>
      </c>
      <c r="C125" s="25" t="n">
        <f aca="false">IF(T124&gt;0,D124,C124)</f>
        <v>0.0384287834167481</v>
      </c>
      <c r="D125" s="41" t="n">
        <f aca="false">(B125+C125)/2</f>
        <v>0.0384280681610107</v>
      </c>
      <c r="E125" s="15" t="n">
        <f aca="false">$C$2*(1+IF(E$3&lt;=$O$2,$D125,$D125-($D125-$I$103)*MIN(E$3-$O$2,$Q$2)/$Q$2))</f>
        <v>2481.84308290482</v>
      </c>
      <c r="F125" s="15" t="n">
        <f aca="false">E125*(1+IF(F$3&lt;=$O$2,$D125,$D125-($D125-$I$103)*MIN(F$3-$O$2,$Q$2)/$Q$2))</f>
        <v>2577.21551805962</v>
      </c>
      <c r="G125" s="15" t="n">
        <f aca="false">F125*(1+IF(G$3&lt;=$O$2,$D125,$D125-($D125-$I$103)*MIN(G$3-$O$2,$Q$2)/$Q$2))</f>
        <v>2676.25293165322</v>
      </c>
      <c r="H125" s="15" t="n">
        <f aca="false">G125*(1+IF(H$3&lt;=$O$2,$D125,$D125-($D125-$I$103)*MIN(H$3-$O$2,$Q$2)/$Q$2))</f>
        <v>2779.0961617269</v>
      </c>
      <c r="I125" s="15" t="n">
        <f aca="false">H125*(1+IF(I$3&lt;=$O$2,$D125,$D125-($D125-$I$103)*MIN(I$3-$O$2,$Q$2)/$Q$2))</f>
        <v>2885.89145845574</v>
      </c>
      <c r="J125" s="15" t="n">
        <f aca="false">I125*(1+IF(J$3&lt;=$O$2,$D125,$D125-($D125-$I$103)*MIN(J$3-$O$2,$Q$2)/$Q$2))</f>
        <v>2990.94499104726</v>
      </c>
      <c r="K125" s="15" t="n">
        <f aca="false">J125*(1+IF(K$3&lt;=$O$2,$D125,$D125-($D125-$I$103)*MIN(K$3-$O$2,$Q$2)/$Q$2))</f>
        <v>3093.76423113499</v>
      </c>
      <c r="L125" s="15" t="n">
        <f aca="false">K125*(1+IF(L$3&lt;=$O$2,$D125,$D125-($D125-$I$103)*MIN(L$3-$O$2,$Q$2)/$Q$2))</f>
        <v>3193.85130087892</v>
      </c>
      <c r="M125" s="15" t="n">
        <f aca="false">L125*(1+IF(M$3&lt;=$O$2,$D125,$D125-($D125-$I$103)*MIN(M$3-$O$2,$Q$2)/$Q$2))</f>
        <v>3290.70680142808</v>
      </c>
      <c r="N125" s="15" t="n">
        <f aca="false">M125*(1+IF(N$3&lt;=$O$2,$D125,$D125-($D125-$I$103)*MIN(N$3-$O$2,$Q$2)/$Q$2))</f>
        <v>3383.8338039085</v>
      </c>
      <c r="O125" s="15" t="n">
        <f aca="false">SUMPRODUCT(E125:N125,1/(1+$F$103)^$E$3:$N$3)*$E$2</f>
        <v>8822.15351646171</v>
      </c>
      <c r="P125" s="15" t="n">
        <f aca="false">N125*$E$2*(1+$I$103)/($F$103-$I$103)/(1+$F$103)^$N$3</f>
        <v>12189.4678612046</v>
      </c>
      <c r="Q125" s="15" t="n">
        <f aca="false">O125+P125</f>
        <v>21011.6213776663</v>
      </c>
      <c r="R125" s="15" t="n">
        <f aca="false">Q125-$G$2+$I$2</f>
        <v>15660.0613776663</v>
      </c>
      <c r="S125" s="42" t="n">
        <f aca="false">R125/$K$2</f>
        <v>725.002841558624</v>
      </c>
      <c r="T125" s="43" t="n">
        <f aca="false">S125-$M$2</f>
        <v>0.0028415586242545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0.0384273529052734</v>
      </c>
      <c r="C126" s="25" t="n">
        <f aca="false">IF(T125&gt;0,D125,C125)</f>
        <v>0.0384280681610107</v>
      </c>
      <c r="D126" s="41" t="n">
        <f aca="false">(B126+C126)/2</f>
        <v>0.0384277105331421</v>
      </c>
      <c r="E126" s="15" t="n">
        <f aca="false">$C$2*(1+IF(E$3&lt;=$O$2,$D126,$D126-($D126-$I$103)*MIN(E$3-$O$2,$Q$2)/$Q$2))</f>
        <v>2481.84222817421</v>
      </c>
      <c r="F126" s="15" t="n">
        <f aca="false">E126*(1+IF(F$3&lt;=$O$2,$D126,$D126-($D126-$I$103)*MIN(F$3-$O$2,$Q$2)/$Q$2))</f>
        <v>2577.21374290742</v>
      </c>
      <c r="G126" s="15" t="n">
        <f aca="false">F126*(1+IF(G$3&lt;=$O$2,$D126,$D126-($D126-$I$103)*MIN(G$3-$O$2,$Q$2)/$Q$2))</f>
        <v>2676.2501666019</v>
      </c>
      <c r="H126" s="15" t="n">
        <f aca="false">G126*(1+IF(H$3&lt;=$O$2,$D126,$D126-($D126-$I$103)*MIN(H$3-$O$2,$Q$2)/$Q$2))</f>
        <v>2779.09233331835</v>
      </c>
      <c r="I126" s="15" t="n">
        <f aca="false">H126*(1+IF(I$3&lt;=$O$2,$D126,$D126-($D126-$I$103)*MIN(I$3-$O$2,$Q$2)/$Q$2))</f>
        <v>2885.88648904798</v>
      </c>
      <c r="J126" s="15" t="n">
        <f aca="false">I126*(1+IF(J$3&lt;=$O$2,$D126,$D126-($D126-$I$103)*MIN(J$3-$O$2,$Q$2)/$Q$2))</f>
        <v>2990.93901508211</v>
      </c>
      <c r="K126" s="15" t="n">
        <f aca="false">J126*(1+IF(K$3&lt;=$O$2,$D126,$D126-($D126-$I$103)*MIN(K$3-$O$2,$Q$2)/$Q$2))</f>
        <v>3093.75740794915</v>
      </c>
      <c r="L126" s="15" t="n">
        <f aca="false">K126*(1+IF(L$3&lt;=$O$2,$D126,$D126-($D126-$I$103)*MIN(L$3-$O$2,$Q$2)/$Q$2))</f>
        <v>3193.8438143891</v>
      </c>
      <c r="M126" s="15" t="n">
        <f aca="false">L126*(1+IF(M$3&lt;=$O$2,$D126,$D126-($D126-$I$103)*MIN(M$3-$O$2,$Q$2)/$Q$2))</f>
        <v>3290.69885946435</v>
      </c>
      <c r="N126" s="15" t="n">
        <f aca="false">M126*(1+IF(N$3&lt;=$O$2,$D126,$D126-($D126-$I$103)*MIN(N$3-$O$2,$Q$2)/$Q$2))</f>
        <v>3383.82563718719</v>
      </c>
      <c r="O126" s="15" t="n">
        <f aca="false">SUMPRODUCT(E126:N126,1/(1+$F$103)^$E$3:$N$3)*$E$2</f>
        <v>8822.1397801822</v>
      </c>
      <c r="P126" s="15" t="n">
        <f aca="false">N126*$E$2*(1+$I$103)/($F$103-$I$103)/(1+$F$103)^$N$3</f>
        <v>12189.438442506</v>
      </c>
      <c r="Q126" s="15" t="n">
        <f aca="false">O126+P126</f>
        <v>21011.5782226882</v>
      </c>
      <c r="R126" s="15" t="n">
        <f aca="false">Q126-$G$2+$I$2</f>
        <v>15660.0182226882</v>
      </c>
      <c r="S126" s="42" t="n">
        <f aca="false">R126/$K$2</f>
        <v>725.00084364297</v>
      </c>
      <c r="T126" s="43" t="n">
        <f aca="false">S126-$M$2</f>
        <v>0.000843642969812208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0.0384273529052734</v>
      </c>
      <c r="C127" s="25" t="n">
        <f aca="false">IF(T126&gt;0,D126,C126)</f>
        <v>0.0384277105331421</v>
      </c>
      <c r="D127" s="41" t="n">
        <f aca="false">(B127+C127)/2</f>
        <v>0.0384275317192078</v>
      </c>
      <c r="E127" s="15" t="n">
        <f aca="false">$C$2*(1+IF(E$3&lt;=$O$2,$D127,$D127-($D127-$I$103)*MIN(E$3-$O$2,$Q$2)/$Q$2))</f>
        <v>2481.84180080891</v>
      </c>
      <c r="F127" s="15" t="n">
        <f aca="false">E127*(1+IF(F$3&lt;=$O$2,$D127,$D127-($D127-$I$103)*MIN(F$3-$O$2,$Q$2)/$Q$2))</f>
        <v>2577.21285533155</v>
      </c>
      <c r="G127" s="15" t="n">
        <f aca="false">F127*(1+IF(G$3&lt;=$O$2,$D127,$D127-($D127-$I$103)*MIN(G$3-$O$2,$Q$2)/$Q$2))</f>
        <v>2676.24878407695</v>
      </c>
      <c r="H127" s="15" t="n">
        <f aca="false">G127*(1+IF(H$3&lt;=$O$2,$D127,$D127-($D127-$I$103)*MIN(H$3-$O$2,$Q$2)/$Q$2))</f>
        <v>2779.09041911556</v>
      </c>
      <c r="I127" s="15" t="n">
        <f aca="false">H127*(1+IF(I$3&lt;=$O$2,$D127,$D127-($D127-$I$103)*MIN(I$3-$O$2,$Q$2)/$Q$2))</f>
        <v>2885.88400434667</v>
      </c>
      <c r="J127" s="15" t="n">
        <f aca="false">I127*(1+IF(J$3&lt;=$O$2,$D127,$D127-($D127-$I$103)*MIN(J$3-$O$2,$Q$2)/$Q$2))</f>
        <v>2990.93602710326</v>
      </c>
      <c r="K127" s="15" t="n">
        <f aca="false">J127*(1+IF(K$3&lt;=$O$2,$D127,$D127-($D127-$I$103)*MIN(K$3-$O$2,$Q$2)/$Q$2))</f>
        <v>3093.75399636105</v>
      </c>
      <c r="L127" s="15" t="n">
        <f aca="false">K127*(1+IF(L$3&lt;=$O$2,$D127,$D127-($D127-$I$103)*MIN(L$3-$O$2,$Q$2)/$Q$2))</f>
        <v>3193.84007114989</v>
      </c>
      <c r="M127" s="15" t="n">
        <f aca="false">L127*(1+IF(M$3&lt;=$O$2,$D127,$D127-($D127-$I$103)*MIN(M$3-$O$2,$Q$2)/$Q$2))</f>
        <v>3290.69488848876</v>
      </c>
      <c r="N127" s="15" t="n">
        <f aca="false">M127*(1+IF(N$3&lt;=$O$2,$D127,$D127-($D127-$I$103)*MIN(N$3-$O$2,$Q$2)/$Q$2))</f>
        <v>3383.821553833</v>
      </c>
      <c r="O127" s="15" t="n">
        <f aca="false">SUMPRODUCT(E127:N127,1/(1+$F$103)^$E$3:$N$3)*$E$2</f>
        <v>8822.13291205056</v>
      </c>
      <c r="P127" s="15" t="n">
        <f aca="false">N127*$E$2*(1+$I$103)/($F$103-$I$103)/(1+$F$103)^$N$3</f>
        <v>12189.4237331799</v>
      </c>
      <c r="Q127" s="15" t="n">
        <f aca="false">O127+P127</f>
        <v>21011.5566452305</v>
      </c>
      <c r="R127" s="15" t="n">
        <f aca="false">Q127-$G$2+$I$2</f>
        <v>15659.9966452305</v>
      </c>
      <c r="S127" s="42" t="n">
        <f aca="false">R127/$K$2</f>
        <v>724.999844686595</v>
      </c>
      <c r="T127" s="43" t="n">
        <f aca="false">S127-$M$2</f>
        <v>-0.000155313405002744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0.0384275317192078</v>
      </c>
      <c r="C128" s="25" t="n">
        <f aca="false">IF(T127&gt;0,D127,C127)</f>
        <v>0.0384277105331421</v>
      </c>
      <c r="D128" s="41" t="n">
        <f aca="false">(B128+C128)/2</f>
        <v>0.0384276211261749</v>
      </c>
      <c r="E128" s="15" t="n">
        <f aca="false">$C$2*(1+IF(E$3&lt;=$O$2,$D128,$D128-($D128-$I$103)*MIN(E$3-$O$2,$Q$2)/$Q$2))</f>
        <v>2481.84201449156</v>
      </c>
      <c r="F128" s="15" t="n">
        <f aca="false">E128*(1+IF(F$3&lt;=$O$2,$D128,$D128-($D128-$I$103)*MIN(F$3-$O$2,$Q$2)/$Q$2))</f>
        <v>2577.21329911946</v>
      </c>
      <c r="G128" s="15" t="n">
        <f aca="false">F128*(1+IF(G$3&lt;=$O$2,$D128,$D128-($D128-$I$103)*MIN(G$3-$O$2,$Q$2)/$Q$2))</f>
        <v>2676.24947533937</v>
      </c>
      <c r="H128" s="15" t="n">
        <f aca="false">G128*(1+IF(H$3&lt;=$O$2,$D128,$D128-($D128-$I$103)*MIN(H$3-$O$2,$Q$2)/$Q$2))</f>
        <v>2779.09137621683</v>
      </c>
      <c r="I128" s="15" t="n">
        <f aca="false">H128*(1+IF(I$3&lt;=$O$2,$D128,$D128-($D128-$I$103)*MIN(I$3-$O$2,$Q$2)/$Q$2))</f>
        <v>2885.88524669711</v>
      </c>
      <c r="J128" s="15" t="n">
        <f aca="false">I128*(1+IF(J$3&lt;=$O$2,$D128,$D128-($D128-$I$103)*MIN(J$3-$O$2,$Q$2)/$Q$2))</f>
        <v>2990.93752109237</v>
      </c>
      <c r="K128" s="15" t="n">
        <f aca="false">J128*(1+IF(K$3&lt;=$O$2,$D128,$D128-($D128-$I$103)*MIN(K$3-$O$2,$Q$2)/$Q$2))</f>
        <v>3093.7557021547</v>
      </c>
      <c r="L128" s="15" t="n">
        <f aca="false">K128*(1+IF(L$3&lt;=$O$2,$D128,$D128-($D128-$I$103)*MIN(L$3-$O$2,$Q$2)/$Q$2))</f>
        <v>3193.84194276902</v>
      </c>
      <c r="M128" s="15" t="n">
        <f aca="false">L128*(1+IF(M$3&lt;=$O$2,$D128,$D128-($D128-$I$103)*MIN(M$3-$O$2,$Q$2)/$Q$2))</f>
        <v>3290.69687397604</v>
      </c>
      <c r="N128" s="15" t="n">
        <f aca="false">M128*(1+IF(N$3&lt;=$O$2,$D128,$D128-($D128-$I$103)*MIN(N$3-$O$2,$Q$2)/$Q$2))</f>
        <v>3383.82359550956</v>
      </c>
      <c r="O128" s="15" t="n">
        <f aca="false">SUMPRODUCT(E128:N128,1/(1+$F$103)^$E$3:$N$3)*$E$2</f>
        <v>8822.1363461157</v>
      </c>
      <c r="P128" s="15" t="n">
        <f aca="false">N128*$E$2*(1+$I$103)/($F$103-$I$103)/(1+$F$103)^$N$3</f>
        <v>12189.431087841</v>
      </c>
      <c r="Q128" s="15" t="n">
        <f aca="false">O128+P128</f>
        <v>21011.5674339567</v>
      </c>
      <c r="R128" s="15" t="n">
        <f aca="false">Q128-$G$2+$I$2</f>
        <v>15660.0074339567</v>
      </c>
      <c r="S128" s="42" t="n">
        <f aca="false">R128/$K$2</f>
        <v>725.000344164662</v>
      </c>
      <c r="T128" s="43" t="n">
        <f aca="false">S128-$M$2</f>
        <v>0.000344164661555624</v>
      </c>
    </row>
    <row r="130" customFormat="false" ht="15" hidden="false" customHeight="false" outlineLevel="0" collapsed="false">
      <c r="A130" s="38" t="s">
        <v>185</v>
      </c>
      <c r="E130" s="5" t="s">
        <v>11</v>
      </c>
      <c r="F130" s="12" t="n">
        <f aca="false">Sensitivity!$B$10</f>
        <v>0.0869721785729318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162</v>
      </c>
      <c r="B131" s="28" t="s">
        <v>163</v>
      </c>
      <c r="C131" s="28" t="s">
        <v>164</v>
      </c>
      <c r="D131" s="28" t="s">
        <v>165</v>
      </c>
      <c r="E131" s="28" t="s">
        <v>166</v>
      </c>
      <c r="F131" s="28" t="s">
        <v>167</v>
      </c>
      <c r="G131" s="28" t="s">
        <v>168</v>
      </c>
      <c r="H131" s="28" t="s">
        <v>169</v>
      </c>
      <c r="I131" s="28" t="s">
        <v>170</v>
      </c>
      <c r="J131" s="28" t="s">
        <v>171</v>
      </c>
      <c r="K131" s="28" t="s">
        <v>172</v>
      </c>
      <c r="L131" s="28" t="s">
        <v>173</v>
      </c>
      <c r="M131" s="28" t="s">
        <v>174</v>
      </c>
      <c r="N131" s="28" t="s">
        <v>175</v>
      </c>
      <c r="O131" s="28" t="s">
        <v>176</v>
      </c>
      <c r="P131" s="28" t="s">
        <v>177</v>
      </c>
      <c r="Q131" s="28" t="s">
        <v>178</v>
      </c>
      <c r="R131" s="28" t="s">
        <v>179</v>
      </c>
      <c r="S131" s="28" t="s">
        <v>180</v>
      </c>
      <c r="T131" s="28" t="s">
        <v>181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2987.5</v>
      </c>
      <c r="F132" s="15" t="n">
        <f aca="false">E132*(1+IF(F$3&lt;=$O$2,$D132,$D132-($D132-$I$130)*MIN(F$3-$O$2,$Q$2)/$Q$2))</f>
        <v>3734.375</v>
      </c>
      <c r="G132" s="15" t="n">
        <f aca="false">F132*(1+IF(G$3&lt;=$O$2,$D132,$D132-($D132-$I$130)*MIN(G$3-$O$2,$Q$2)/$Q$2))</f>
        <v>4667.96875</v>
      </c>
      <c r="H132" s="15" t="n">
        <f aca="false">G132*(1+IF(H$3&lt;=$O$2,$D132,$D132-($D132-$I$130)*MIN(H$3-$O$2,$Q$2)/$Q$2))</f>
        <v>5834.9609375</v>
      </c>
      <c r="I132" s="15" t="n">
        <f aca="false">H132*(1+IF(I$3&lt;=$O$2,$D132,$D132-($D132-$I$130)*MIN(I$3-$O$2,$Q$2)/$Q$2))</f>
        <v>7293.701171875</v>
      </c>
      <c r="J132" s="15" t="n">
        <f aca="false">I132*(1+IF(J$3&lt;=$O$2,$D132,$D132-($D132-$I$130)*MIN(J$3-$O$2,$Q$2)/$Q$2))</f>
        <v>8801.01745605469</v>
      </c>
      <c r="K132" s="15" t="n">
        <f aca="false">J132*(1+IF(K$3&lt;=$O$2,$D132,$D132-($D132-$I$130)*MIN(K$3-$O$2,$Q$2)/$Q$2))</f>
        <v>10238.3996269775</v>
      </c>
      <c r="L132" s="15" t="n">
        <f aca="false">K132*(1+IF(L$3&lt;=$O$2,$D132,$D132-($D132-$I$130)*MIN(L$3-$O$2,$Q$2)/$Q$2))</f>
        <v>11466.8028142223</v>
      </c>
      <c r="M132" s="15" t="n">
        <f aca="false">L132*(1+IF(M$3&lt;=$O$2,$D132,$D132-($D132-$I$130)*MIN(M$3-$O$2,$Q$2)/$Q$2))</f>
        <v>12345.6185819043</v>
      </c>
      <c r="N132" s="15" t="n">
        <f aca="false">M132*(1+IF(N$3&lt;=$O$2,$D132,$D132-($D132-$I$130)*MIN(N$3-$O$2,$Q$2)/$Q$2))</f>
        <v>12756.7276806817</v>
      </c>
      <c r="O132" s="15" t="n">
        <f aca="false">SUMPRODUCT(E132:N132,1/(1+$F$130)^$E$3:$N$3)*$E$2</f>
        <v>22161.7299937063</v>
      </c>
      <c r="P132" s="15" t="n">
        <f aca="false">N132*$E$2*(1+$I$130)/($F$130-$I$130)/(1+$F$130)^$N$3</f>
        <v>50478.2849490876</v>
      </c>
      <c r="Q132" s="15" t="n">
        <f aca="false">O132+P132</f>
        <v>72640.014942794</v>
      </c>
      <c r="R132" s="15" t="n">
        <f aca="false">Q132-$G$2+$I$2</f>
        <v>67288.454942794</v>
      </c>
      <c r="S132" s="42" t="n">
        <f aca="false">R132/$K$2</f>
        <v>3115.20624735157</v>
      </c>
      <c r="T132" s="43" t="n">
        <f aca="false">S132-$M$2</f>
        <v>2390.20624735157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2091.25</v>
      </c>
      <c r="F133" s="15" t="n">
        <f aca="false">E133*(1+IF(F$3&lt;=$O$2,$D133,$D133-($D133-$I$130)*MIN(F$3-$O$2,$Q$2)/$Q$2))</f>
        <v>1829.84375</v>
      </c>
      <c r="G133" s="15" t="n">
        <f aca="false">F133*(1+IF(G$3&lt;=$O$2,$D133,$D133-($D133-$I$130)*MIN(G$3-$O$2,$Q$2)/$Q$2))</f>
        <v>1601.11328125</v>
      </c>
      <c r="H133" s="15" t="n">
        <f aca="false">G133*(1+IF(H$3&lt;=$O$2,$D133,$D133-($D133-$I$130)*MIN(H$3-$O$2,$Q$2)/$Q$2))</f>
        <v>1400.97412109375</v>
      </c>
      <c r="I133" s="15" t="n">
        <f aca="false">H133*(1+IF(I$3&lt;=$O$2,$D133,$D133-($D133-$I$130)*MIN(I$3-$O$2,$Q$2)/$Q$2))</f>
        <v>1225.85235595703</v>
      </c>
      <c r="J133" s="15" t="n">
        <f aca="false">I133*(1+IF(J$3&lt;=$O$2,$D133,$D133-($D133-$I$130)*MIN(J$3-$O$2,$Q$2)/$Q$2))</f>
        <v>1111.431297052</v>
      </c>
      <c r="K133" s="15" t="n">
        <f aca="false">J133*(1+IF(K$3&lt;=$O$2,$D133,$D133-($D133-$I$130)*MIN(K$3-$O$2,$Q$2)/$Q$2))</f>
        <v>1042.87821464983</v>
      </c>
      <c r="L133" s="15" t="n">
        <f aca="false">K133*(1+IF(L$3&lt;=$O$2,$D133,$D133-($D133-$I$130)*MIN(L$3-$O$2,$Q$2)/$Q$2))</f>
        <v>1011.57101064605</v>
      </c>
      <c r="M133" s="15" t="n">
        <f aca="false">L133*(1+IF(M$3&lt;=$O$2,$D133,$D133-($D133-$I$130)*MIN(M$3-$O$2,$Q$2)/$Q$2))</f>
        <v>1013.22998710351</v>
      </c>
      <c r="N133" s="15" t="n">
        <f aca="false">M133*(1+IF(N$3&lt;=$O$2,$D133,$D133-($D133-$I$130)*MIN(N$3-$O$2,$Q$2)/$Q$2))</f>
        <v>1046.97054567405</v>
      </c>
      <c r="O133" s="15" t="n">
        <f aca="false">SUMPRODUCT(E133:N133,1/(1+$F$130)^$E$3:$N$3)*$E$2</f>
        <v>4371.97481130843</v>
      </c>
      <c r="P133" s="15" t="n">
        <f aca="false">N133*$E$2*(1+$I$130)/($F$130-$I$130)/(1+$F$130)^$N$3</f>
        <v>4142.85535136644</v>
      </c>
      <c r="Q133" s="15" t="n">
        <f aca="false">O133+P133</f>
        <v>8514.83016267487</v>
      </c>
      <c r="R133" s="15" t="n">
        <f aca="false">Q133-$G$2+$I$2</f>
        <v>3163.27016267487</v>
      </c>
      <c r="S133" s="42" t="n">
        <f aca="false">R133/$K$2</f>
        <v>146.447692716429</v>
      </c>
      <c r="T133" s="43" t="n">
        <f aca="false">S133-$M$2</f>
        <v>-578.552307283571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2539.375</v>
      </c>
      <c r="F134" s="15" t="n">
        <f aca="false">E134*(1+IF(F$3&lt;=$O$2,$D134,$D134-($D134-$I$130)*MIN(F$3-$O$2,$Q$2)/$Q$2))</f>
        <v>2698.0859375</v>
      </c>
      <c r="G134" s="15" t="n">
        <f aca="false">F134*(1+IF(G$3&lt;=$O$2,$D134,$D134-($D134-$I$130)*MIN(G$3-$O$2,$Q$2)/$Q$2))</f>
        <v>2866.71630859375</v>
      </c>
      <c r="H134" s="15" t="n">
        <f aca="false">G134*(1+IF(H$3&lt;=$O$2,$D134,$D134-($D134-$I$130)*MIN(H$3-$O$2,$Q$2)/$Q$2))</f>
        <v>3045.88607788086</v>
      </c>
      <c r="I134" s="15" t="n">
        <f aca="false">H134*(1+IF(I$3&lt;=$O$2,$D134,$D134-($D134-$I$130)*MIN(I$3-$O$2,$Q$2)/$Q$2))</f>
        <v>3236.25395774841</v>
      </c>
      <c r="J134" s="15" t="n">
        <f aca="false">I134*(1+IF(J$3&lt;=$O$2,$D134,$D134-($D134-$I$130)*MIN(J$3-$O$2,$Q$2)/$Q$2))</f>
        <v>3419.62010699444</v>
      </c>
      <c r="K134" s="15" t="n">
        <f aca="false">J134*(1+IF(K$3&lt;=$O$2,$D134,$D134-($D134-$I$130)*MIN(K$3-$O$2,$Q$2)/$Q$2))</f>
        <v>3593.4052008319</v>
      </c>
      <c r="L134" s="15" t="n">
        <f aca="false">K134*(1+IF(L$3&lt;=$O$2,$D134,$D134-($D134-$I$130)*MIN(L$3-$O$2,$Q$2)/$Q$2))</f>
        <v>3755.03656676531</v>
      </c>
      <c r="M134" s="15" t="n">
        <f aca="false">L134*(1+IF(M$3&lt;=$O$2,$D134,$D134-($D134-$I$130)*MIN(M$3-$O$2,$Q$2)/$Q$2))</f>
        <v>3902.00869798851</v>
      </c>
      <c r="N134" s="15" t="n">
        <f aca="false">M134*(1+IF(N$3&lt;=$O$2,$D134,$D134-($D134-$I$130)*MIN(N$3-$O$2,$Q$2)/$Q$2))</f>
        <v>4031.94558763153</v>
      </c>
      <c r="O134" s="15" t="n">
        <f aca="false">SUMPRODUCT(E134:N134,1/(1+$F$130)^$E$3:$N$3)*$E$2</f>
        <v>9826.45130171527</v>
      </c>
      <c r="P134" s="15" t="n">
        <f aca="false">N134*$E$2*(1+$I$130)/($F$130-$I$130)/(1+$F$130)^$N$3</f>
        <v>15954.3813559564</v>
      </c>
      <c r="Q134" s="15" t="n">
        <f aca="false">O134+P134</f>
        <v>25780.8326576716</v>
      </c>
      <c r="R134" s="15" t="n">
        <f aca="false">Q134-$G$2+$I$2</f>
        <v>20429.2726576716</v>
      </c>
      <c r="S134" s="42" t="n">
        <f aca="false">R134/$K$2</f>
        <v>945.79966007739</v>
      </c>
      <c r="T134" s="43" t="n">
        <f aca="false">S134-$M$2</f>
        <v>220.79966007739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2315.3125</v>
      </c>
      <c r="F135" s="15" t="n">
        <f aca="false">E135*(1+IF(F$3&lt;=$O$2,$D135,$D135-($D135-$I$130)*MIN(F$3-$O$2,$Q$2)/$Q$2))</f>
        <v>2242.958984375</v>
      </c>
      <c r="G135" s="15" t="n">
        <f aca="false">F135*(1+IF(G$3&lt;=$O$2,$D135,$D135-($D135-$I$130)*MIN(G$3-$O$2,$Q$2)/$Q$2))</f>
        <v>2172.86651611328</v>
      </c>
      <c r="H135" s="15" t="n">
        <f aca="false">G135*(1+IF(H$3&lt;=$O$2,$D135,$D135-($D135-$I$130)*MIN(H$3-$O$2,$Q$2)/$Q$2))</f>
        <v>2104.96443748474</v>
      </c>
      <c r="I135" s="15" t="n">
        <f aca="false">H135*(1+IF(I$3&lt;=$O$2,$D135,$D135-($D135-$I$130)*MIN(I$3-$O$2,$Q$2)/$Q$2))</f>
        <v>2039.18429881334</v>
      </c>
      <c r="J135" s="15" t="n">
        <f aca="false">I135*(1+IF(J$3&lt;=$O$2,$D135,$D135-($D135-$I$130)*MIN(J$3-$O$2,$Q$2)/$Q$2))</f>
        <v>2001.78565877311</v>
      </c>
      <c r="K135" s="15" t="n">
        <f aca="false">J135*(1+IF(K$3&lt;=$O$2,$D135,$D135-($D135-$I$130)*MIN(K$3-$O$2,$Q$2)/$Q$2))</f>
        <v>1990.91596264597</v>
      </c>
      <c r="L135" s="15" t="n">
        <f aca="false">K135*(1+IF(L$3&lt;=$O$2,$D135,$D135-($D135-$I$130)*MIN(L$3-$O$2,$Q$2)/$Q$2))</f>
        <v>2005.80801404656</v>
      </c>
      <c r="M135" s="15" t="n">
        <f aca="false">L135*(1+IF(M$3&lt;=$O$2,$D135,$D135-($D135-$I$130)*MIN(M$3-$O$2,$Q$2)/$Q$2))</f>
        <v>2046.70643945297</v>
      </c>
      <c r="N135" s="15" t="n">
        <f aca="false">M135*(1+IF(N$3&lt;=$O$2,$D135,$D135-($D135-$I$130)*MIN(N$3-$O$2,$Q$2)/$Q$2))</f>
        <v>2114.86176388675</v>
      </c>
      <c r="O135" s="15" t="n">
        <f aca="false">SUMPRODUCT(E135:N135,1/(1+$F$130)^$E$3:$N$3)*$E$2</f>
        <v>6535.51267546439</v>
      </c>
      <c r="P135" s="15" t="n">
        <f aca="false">N135*$E$2*(1+$I$130)/($F$130-$I$130)/(1+$F$130)^$N$3</f>
        <v>8368.49366213802</v>
      </c>
      <c r="Q135" s="15" t="n">
        <f aca="false">O135+P135</f>
        <v>14904.0063376024</v>
      </c>
      <c r="R135" s="15" t="n">
        <f aca="false">Q135-$G$2+$I$2</f>
        <v>9552.44633760241</v>
      </c>
      <c r="S135" s="42" t="n">
        <f aca="false">R135/$K$2</f>
        <v>442.242886000112</v>
      </c>
      <c r="T135" s="43" t="n">
        <f aca="false">S135-$M$2</f>
        <v>-282.757113999888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-0.03125</v>
      </c>
      <c r="C136" s="25" t="n">
        <f aca="false">IF(T135&gt;0,D135,C135)</f>
        <v>0.0625</v>
      </c>
      <c r="D136" s="41" t="n">
        <f aca="false">(B136+C136)/2</f>
        <v>0.015625</v>
      </c>
      <c r="E136" s="15" t="n">
        <f aca="false">$C$2*(1+IF(E$3&lt;=$O$2,$D136,$D136-($D136-$I$130)*MIN(E$3-$O$2,$Q$2)/$Q$2))</f>
        <v>2427.34375</v>
      </c>
      <c r="F136" s="15" t="n">
        <f aca="false">E136*(1+IF(F$3&lt;=$O$2,$D136,$D136-($D136-$I$130)*MIN(F$3-$O$2,$Q$2)/$Q$2))</f>
        <v>2465.27099609375</v>
      </c>
      <c r="G136" s="15" t="n">
        <f aca="false">F136*(1+IF(G$3&lt;=$O$2,$D136,$D136-($D136-$I$130)*MIN(G$3-$O$2,$Q$2)/$Q$2))</f>
        <v>2503.79085540772</v>
      </c>
      <c r="H136" s="15" t="n">
        <f aca="false">G136*(1+IF(H$3&lt;=$O$2,$D136,$D136-($D136-$I$130)*MIN(H$3-$O$2,$Q$2)/$Q$2))</f>
        <v>2542.91258752346</v>
      </c>
      <c r="I136" s="15" t="n">
        <f aca="false">H136*(1+IF(I$3&lt;=$O$2,$D136,$D136-($D136-$I$130)*MIN(I$3-$O$2,$Q$2)/$Q$2))</f>
        <v>2582.64559670351</v>
      </c>
      <c r="J136" s="15" t="n">
        <f aca="false">I136*(1+IF(J$3&lt;=$O$2,$D136,$D136-($D136-$I$130)*MIN(J$3-$O$2,$Q$2)/$Q$2))</f>
        <v>2632.12908633635</v>
      </c>
      <c r="K136" s="15" t="n">
        <f aca="false">J136*(1+IF(K$3&lt;=$O$2,$D136,$D136-($D136-$I$130)*MIN(K$3-$O$2,$Q$2)/$Q$2))</f>
        <v>2691.86525595076</v>
      </c>
      <c r="L136" s="15" t="n">
        <f aca="false">K136*(1+IF(L$3&lt;=$O$2,$D136,$D136-($D136-$I$130)*MIN(L$3-$O$2,$Q$2)/$Q$2))</f>
        <v>2762.47288161435</v>
      </c>
      <c r="M136" s="15" t="n">
        <f aca="false">L136*(1+IF(M$3&lt;=$O$2,$D136,$D136-($D136-$I$130)*MIN(M$3-$O$2,$Q$2)/$Q$2))</f>
        <v>2844.6978869356</v>
      </c>
      <c r="N136" s="15" t="n">
        <f aca="false">M136*(1+IF(N$3&lt;=$O$2,$D136,$D136-($D136-$I$130)*MIN(N$3-$O$2,$Q$2)/$Q$2))</f>
        <v>2939.42632657055</v>
      </c>
      <c r="O136" s="15" t="n">
        <f aca="false">SUMPRODUCT(E136:N136,1/(1+$F$130)^$E$3:$N$3)*$E$2</f>
        <v>8010.61829551263</v>
      </c>
      <c r="P136" s="15" t="n">
        <f aca="false">N136*$E$2*(1+$I$130)/($F$130-$I$130)/(1+$F$130)^$N$3</f>
        <v>11631.2900465983</v>
      </c>
      <c r="Q136" s="15" t="n">
        <f aca="false">O136+P136</f>
        <v>19641.9083421109</v>
      </c>
      <c r="R136" s="15" t="n">
        <f aca="false">Q136-$G$2+$I$2</f>
        <v>14290.3483421109</v>
      </c>
      <c r="S136" s="42" t="n">
        <f aca="false">R136/$K$2</f>
        <v>661.590201023654</v>
      </c>
      <c r="T136" s="43" t="n">
        <f aca="false">S136-$M$2</f>
        <v>-63.409798976346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0.015625</v>
      </c>
      <c r="C137" s="25" t="n">
        <f aca="false">IF(T136&gt;0,D136,C136)</f>
        <v>0.0625</v>
      </c>
      <c r="D137" s="41" t="n">
        <f aca="false">(B137+C137)/2</f>
        <v>0.0390625</v>
      </c>
      <c r="E137" s="15" t="n">
        <f aca="false">$C$2*(1+IF(E$3&lt;=$O$2,$D137,$D137-($D137-$I$130)*MIN(E$3-$O$2,$Q$2)/$Q$2))</f>
        <v>2483.359375</v>
      </c>
      <c r="F137" s="15" t="n">
        <f aca="false">E137*(1+IF(F$3&lt;=$O$2,$D137,$D137-($D137-$I$130)*MIN(F$3-$O$2,$Q$2)/$Q$2))</f>
        <v>2580.36560058594</v>
      </c>
      <c r="G137" s="15" t="n">
        <f aca="false">F137*(1+IF(G$3&lt;=$O$2,$D137,$D137-($D137-$I$130)*MIN(G$3-$O$2,$Q$2)/$Q$2))</f>
        <v>2681.16113185883</v>
      </c>
      <c r="H137" s="15" t="n">
        <f aca="false">G137*(1+IF(H$3&lt;=$O$2,$D137,$D137-($D137-$I$130)*MIN(H$3-$O$2,$Q$2)/$Q$2))</f>
        <v>2785.89398857206</v>
      </c>
      <c r="I137" s="15" t="n">
        <f aca="false">H137*(1+IF(I$3&lt;=$O$2,$D137,$D137-($D137-$I$130)*MIN(I$3-$O$2,$Q$2)/$Q$2))</f>
        <v>2894.71797250066</v>
      </c>
      <c r="J137" s="15" t="n">
        <f aca="false">I137*(1+IF(J$3&lt;=$O$2,$D137,$D137-($D137-$I$130)*MIN(J$3-$O$2,$Q$2)/$Q$2))</f>
        <v>3004.45673083816</v>
      </c>
      <c r="K137" s="15" t="n">
        <f aca="false">J137*(1+IF(K$3&lt;=$O$2,$D137,$D137-($D137-$I$130)*MIN(K$3-$O$2,$Q$2)/$Q$2))</f>
        <v>3114.89304912194</v>
      </c>
      <c r="L137" s="15" t="n">
        <f aca="false">K137*(1+IF(L$3&lt;=$O$2,$D137,$D137-($D137-$I$130)*MIN(L$3-$O$2,$Q$2)/$Q$2))</f>
        <v>3225.79881613593</v>
      </c>
      <c r="M137" s="15" t="n">
        <f aca="false">L137*(1+IF(M$3&lt;=$O$2,$D137,$D137-($D137-$I$130)*MIN(M$3-$O$2,$Q$2)/$Q$2))</f>
        <v>3336.93564984885</v>
      </c>
      <c r="N137" s="15" t="n">
        <f aca="false">M137*(1+IF(N$3&lt;=$O$2,$D137,$D137-($D137-$I$130)*MIN(N$3-$O$2,$Q$2)/$Q$2))</f>
        <v>3448.05560698882</v>
      </c>
      <c r="O137" s="15" t="n">
        <f aca="false">SUMPRODUCT(E137:N137,1/(1+$F$130)^$E$3:$N$3)*$E$2</f>
        <v>8871.68139898191</v>
      </c>
      <c r="P137" s="15" t="n">
        <f aca="false">N137*$E$2*(1+$I$130)/($F$130-$I$130)/(1+$F$130)^$N$3</f>
        <v>13643.9326609957</v>
      </c>
      <c r="Q137" s="15" t="n">
        <f aca="false">O137+P137</f>
        <v>22515.6140599776</v>
      </c>
      <c r="R137" s="15" t="n">
        <f aca="false">Q137-$G$2+$I$2</f>
        <v>17164.0540599776</v>
      </c>
      <c r="S137" s="42" t="n">
        <f aca="false">R137/$K$2</f>
        <v>794.63213240637</v>
      </c>
      <c r="T137" s="43" t="n">
        <f aca="false">S137-$M$2</f>
        <v>69.6321324063695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0.015625</v>
      </c>
      <c r="C138" s="25" t="n">
        <f aca="false">IF(T137&gt;0,D137,C137)</f>
        <v>0.0390625</v>
      </c>
      <c r="D138" s="41" t="n">
        <f aca="false">(B138+C138)/2</f>
        <v>0.02734375</v>
      </c>
      <c r="E138" s="15" t="n">
        <f aca="false">$C$2*(1+IF(E$3&lt;=$O$2,$D138,$D138-($D138-$I$130)*MIN(E$3-$O$2,$Q$2)/$Q$2))</f>
        <v>2455.3515625</v>
      </c>
      <c r="F138" s="15" t="n">
        <f aca="false">E138*(1+IF(F$3&lt;=$O$2,$D138,$D138-($D138-$I$130)*MIN(F$3-$O$2,$Q$2)/$Q$2))</f>
        <v>2522.49008178711</v>
      </c>
      <c r="G138" s="15" t="n">
        <f aca="false">F138*(1+IF(G$3&lt;=$O$2,$D138,$D138-($D138-$I$130)*MIN(G$3-$O$2,$Q$2)/$Q$2))</f>
        <v>2591.46441996098</v>
      </c>
      <c r="H138" s="15" t="n">
        <f aca="false">G138*(1+IF(H$3&lt;=$O$2,$D138,$D138-($D138-$I$130)*MIN(H$3-$O$2,$Q$2)/$Q$2))</f>
        <v>2662.32477519428</v>
      </c>
      <c r="I138" s="15" t="n">
        <f aca="false">H138*(1+IF(I$3&lt;=$O$2,$D138,$D138-($D138-$I$130)*MIN(I$3-$O$2,$Q$2)/$Q$2))</f>
        <v>2735.122718266</v>
      </c>
      <c r="J138" s="15" t="n">
        <f aca="false">I138*(1+IF(J$3&lt;=$O$2,$D138,$D138-($D138-$I$130)*MIN(J$3-$O$2,$Q$2)/$Q$2))</f>
        <v>2813.16944503172</v>
      </c>
      <c r="K138" s="15" t="n">
        <f aca="false">J138*(1+IF(K$3&lt;=$O$2,$D138,$D138-($D138-$I$130)*MIN(K$3-$O$2,$Q$2)/$Q$2))</f>
        <v>2896.7944232471</v>
      </c>
      <c r="L138" s="15" t="n">
        <f aca="false">K138*(1+IF(L$3&lt;=$O$2,$D138,$D138-($D138-$I$130)*MIN(L$3-$O$2,$Q$2)/$Q$2))</f>
        <v>2986.35606482784</v>
      </c>
      <c r="M138" s="15" t="n">
        <f aca="false">L138*(1+IF(M$3&lt;=$O$2,$D138,$D138-($D138-$I$130)*MIN(M$3-$O$2,$Q$2)/$Q$2))</f>
        <v>3082.24422512438</v>
      </c>
      <c r="N138" s="15" t="n">
        <f aca="false">M138*(1+IF(N$3&lt;=$O$2,$D138,$D138-($D138-$I$130)*MIN(N$3-$O$2,$Q$2)/$Q$2))</f>
        <v>3184.88295782102</v>
      </c>
      <c r="O138" s="15" t="n">
        <f aca="false">SUMPRODUCT(E138:N138,1/(1+$F$130)^$E$3:$N$3)*$E$2</f>
        <v>8429.9977751143</v>
      </c>
      <c r="P138" s="15" t="n">
        <f aca="false">N138*$E$2*(1+$I$130)/($F$130-$I$130)/(1+$F$130)^$N$3</f>
        <v>12602.5602723998</v>
      </c>
      <c r="Q138" s="15" t="n">
        <f aca="false">O138+P138</f>
        <v>21032.5580475141</v>
      </c>
      <c r="R138" s="15" t="n">
        <f aca="false">Q138-$G$2+$I$2</f>
        <v>15680.9980475141</v>
      </c>
      <c r="S138" s="42" t="n">
        <f aca="false">R138/$K$2</f>
        <v>725.972131829358</v>
      </c>
      <c r="T138" s="43" t="n">
        <f aca="false">S138-$M$2</f>
        <v>0.972131829357636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0.015625</v>
      </c>
      <c r="C139" s="25" t="n">
        <f aca="false">IF(T138&gt;0,D138,C138)</f>
        <v>0.02734375</v>
      </c>
      <c r="D139" s="41" t="n">
        <f aca="false">(B139+C139)/2</f>
        <v>0.021484375</v>
      </c>
      <c r="E139" s="15" t="n">
        <f aca="false">$C$2*(1+IF(E$3&lt;=$O$2,$D139,$D139-($D139-$I$130)*MIN(E$3-$O$2,$Q$2)/$Q$2))</f>
        <v>2441.34765625</v>
      </c>
      <c r="F139" s="15" t="n">
        <f aca="false">E139*(1+IF(F$3&lt;=$O$2,$D139,$D139-($D139-$I$130)*MIN(F$3-$O$2,$Q$2)/$Q$2))</f>
        <v>2493.79848480225</v>
      </c>
      <c r="G139" s="15" t="n">
        <f aca="false">F139*(1+IF(G$3&lt;=$O$2,$D139,$D139-($D139-$I$130)*MIN(G$3-$O$2,$Q$2)/$Q$2))</f>
        <v>2547.37618662417</v>
      </c>
      <c r="H139" s="15" t="n">
        <f aca="false">G139*(1+IF(H$3&lt;=$O$2,$D139,$D139-($D139-$I$130)*MIN(H$3-$O$2,$Q$2)/$Q$2))</f>
        <v>2602.10497188367</v>
      </c>
      <c r="I139" s="15" t="n">
        <f aca="false">H139*(1+IF(I$3&lt;=$O$2,$D139,$D139-($D139-$I$130)*MIN(I$3-$O$2,$Q$2)/$Q$2))</f>
        <v>2658.00957088899</v>
      </c>
      <c r="J139" s="15" t="n">
        <f aca="false">I139*(1+IF(J$3&lt;=$O$2,$D139,$D139-($D139-$I$130)*MIN(J$3-$O$2,$Q$2)/$Q$2))</f>
        <v>2721.39645413076</v>
      </c>
      <c r="K139" s="15" t="n">
        <f aca="false">J139*(1+IF(K$3&lt;=$O$2,$D139,$D139-($D139-$I$130)*MIN(K$3-$O$2,$Q$2)/$Q$2))</f>
        <v>2792.72595606631</v>
      </c>
      <c r="L139" s="15" t="n">
        <f aca="false">K139*(1+IF(L$3&lt;=$O$2,$D139,$D139-($D139-$I$130)*MIN(L$3-$O$2,$Q$2)/$Q$2))</f>
        <v>2872.52460935346</v>
      </c>
      <c r="M139" s="15" t="n">
        <f aca="false">L139*(1+IF(M$3&lt;=$O$2,$D139,$D139-($D139-$I$130)*MIN(M$3-$O$2,$Q$2)/$Q$2))</f>
        <v>2961.39154412745</v>
      </c>
      <c r="N139" s="15" t="n">
        <f aca="false">M139*(1+IF(N$3&lt;=$O$2,$D139,$D139-($D139-$I$130)*MIN(N$3-$O$2,$Q$2)/$Q$2))</f>
        <v>3060.0058825469</v>
      </c>
      <c r="O139" s="15" t="n">
        <f aca="false">SUMPRODUCT(E139:N139,1/(1+$F$130)^$E$3:$N$3)*$E$2</f>
        <v>8217.58760727532</v>
      </c>
      <c r="P139" s="15" t="n">
        <f aca="false">N139*$E$2*(1+$I$130)/($F$130-$I$130)/(1+$F$130)^$N$3</f>
        <v>12108.4225321358</v>
      </c>
      <c r="Q139" s="15" t="n">
        <f aca="false">O139+P139</f>
        <v>20326.0101394111</v>
      </c>
      <c r="R139" s="15" t="n">
        <f aca="false">Q139-$G$2+$I$2</f>
        <v>14974.4501394111</v>
      </c>
      <c r="S139" s="42" t="n">
        <f aca="false">R139/$K$2</f>
        <v>693.261580528292</v>
      </c>
      <c r="T139" s="43" t="n">
        <f aca="false">S139-$M$2</f>
        <v>-31.7384194717083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0.021484375</v>
      </c>
      <c r="C140" s="25" t="n">
        <f aca="false">IF(T139&gt;0,D139,C139)</f>
        <v>0.02734375</v>
      </c>
      <c r="D140" s="41" t="n">
        <f aca="false">(B140+C140)/2</f>
        <v>0.0244140625</v>
      </c>
      <c r="E140" s="15" t="n">
        <f aca="false">$C$2*(1+IF(E$3&lt;=$O$2,$D140,$D140-($D140-$I$130)*MIN(E$3-$O$2,$Q$2)/$Q$2))</f>
        <v>2448.349609375</v>
      </c>
      <c r="F140" s="15" t="n">
        <f aca="false">E140*(1+IF(F$3&lt;=$O$2,$D140,$D140-($D140-$I$130)*MIN(F$3-$O$2,$Q$2)/$Q$2))</f>
        <v>2508.12376976013</v>
      </c>
      <c r="G140" s="15" t="n">
        <f aca="false">F140*(1+IF(G$3&lt;=$O$2,$D140,$D140-($D140-$I$130)*MIN(G$3-$O$2,$Q$2)/$Q$2))</f>
        <v>2569.35726023279</v>
      </c>
      <c r="H140" s="15" t="n">
        <f aca="false">G140*(1+IF(H$3&lt;=$O$2,$D140,$D140-($D140-$I$130)*MIN(H$3-$O$2,$Q$2)/$Q$2))</f>
        <v>2632.08570896894</v>
      </c>
      <c r="I140" s="15" t="n">
        <f aca="false">H140*(1+IF(I$3&lt;=$O$2,$D140,$D140-($D140-$I$130)*MIN(I$3-$O$2,$Q$2)/$Q$2))</f>
        <v>2696.34561397307</v>
      </c>
      <c r="J140" s="15" t="n">
        <f aca="false">I140*(1+IF(J$3&lt;=$O$2,$D140,$D140-($D140-$I$130)*MIN(J$3-$O$2,$Q$2)/$Q$2))</f>
        <v>2766.96627603504</v>
      </c>
      <c r="K140" s="15" t="n">
        <f aca="false">J140*(1+IF(K$3&lt;=$O$2,$D140,$D140-($D140-$I$130)*MIN(K$3-$O$2,$Q$2)/$Q$2))</f>
        <v>2844.35399939093</v>
      </c>
      <c r="L140" s="15" t="n">
        <f aca="false">K140*(1+IF(L$3&lt;=$O$2,$D140,$D140-($D140-$I$130)*MIN(L$3-$O$2,$Q$2)/$Q$2))</f>
        <v>2928.96108682407</v>
      </c>
      <c r="M140" s="15" t="n">
        <f aca="false">L140*(1+IF(M$3&lt;=$O$2,$D140,$D140-($D140-$I$130)*MIN(M$3-$O$2,$Q$2)/$Q$2))</f>
        <v>3021.29017798382</v>
      </c>
      <c r="N140" s="15" t="n">
        <f aca="false">M140*(1+IF(N$3&lt;=$O$2,$D140,$D140-($D140-$I$130)*MIN(N$3-$O$2,$Q$2)/$Q$2))</f>
        <v>3121.89914091068</v>
      </c>
      <c r="O140" s="15" t="n">
        <f aca="false">SUMPRODUCT(E140:N140,1/(1+$F$130)^$E$3:$N$3)*$E$2</f>
        <v>8323.10424756146</v>
      </c>
      <c r="P140" s="15" t="n">
        <f aca="false">N140*$E$2*(1+$I$130)/($F$130-$I$130)/(1+$F$130)^$N$3</f>
        <v>12353.3337358801</v>
      </c>
      <c r="Q140" s="15" t="n">
        <f aca="false">O140+P140</f>
        <v>20676.4379834416</v>
      </c>
      <c r="R140" s="15" t="n">
        <f aca="false">Q140-$G$2+$I$2</f>
        <v>15324.8779834416</v>
      </c>
      <c r="S140" s="42" t="n">
        <f aca="false">R140/$K$2</f>
        <v>709.485091825999</v>
      </c>
      <c r="T140" s="43" t="n">
        <f aca="false">S140-$M$2</f>
        <v>-15.5149081740009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0.0244140625</v>
      </c>
      <c r="C141" s="25" t="n">
        <f aca="false">IF(T140&gt;0,D140,C140)</f>
        <v>0.02734375</v>
      </c>
      <c r="D141" s="41" t="n">
        <f aca="false">(B141+C141)/2</f>
        <v>0.02587890625</v>
      </c>
      <c r="E141" s="15" t="n">
        <f aca="false">$C$2*(1+IF(E$3&lt;=$O$2,$D141,$D141-($D141-$I$130)*MIN(E$3-$O$2,$Q$2)/$Q$2))</f>
        <v>2451.8505859375</v>
      </c>
      <c r="F141" s="15" t="n">
        <f aca="false">E141*(1+IF(F$3&lt;=$O$2,$D141,$D141-($D141-$I$130)*MIN(F$3-$O$2,$Q$2)/$Q$2))</f>
        <v>2515.30179738998</v>
      </c>
      <c r="G141" s="15" t="n">
        <f aca="false">F141*(1+IF(G$3&lt;=$O$2,$D141,$D141-($D141-$I$130)*MIN(G$3-$O$2,$Q$2)/$Q$2))</f>
        <v>2580.3950567951</v>
      </c>
      <c r="H141" s="15" t="n">
        <f aca="false">G141*(1+IF(H$3&lt;=$O$2,$D141,$D141-($D141-$I$130)*MIN(H$3-$O$2,$Q$2)/$Q$2))</f>
        <v>2647.17285855786</v>
      </c>
      <c r="I141" s="15" t="n">
        <f aca="false">H141*(1+IF(I$3&lt;=$O$2,$D141,$D141-($D141-$I$130)*MIN(I$3-$O$2,$Q$2)/$Q$2))</f>
        <v>2715.67879679202</v>
      </c>
      <c r="J141" s="15" t="n">
        <f aca="false">I141*(1+IF(J$3&lt;=$O$2,$D141,$D141-($D141-$I$130)*MIN(J$3-$O$2,$Q$2)/$Q$2))</f>
        <v>2789.98825516849</v>
      </c>
      <c r="K141" s="15" t="n">
        <f aca="false">J141*(1+IF(K$3&lt;=$O$2,$D141,$D141-($D141-$I$130)*MIN(K$3-$O$2,$Q$2)/$Q$2))</f>
        <v>2870.4720054238</v>
      </c>
      <c r="L141" s="15" t="n">
        <f aca="false">K141*(1+IF(L$3&lt;=$O$2,$D141,$D141-($D141-$I$130)*MIN(L$3-$O$2,$Q$2)/$Q$2))</f>
        <v>2957.53790646081</v>
      </c>
      <c r="M141" s="15" t="n">
        <f aca="false">L141*(1+IF(M$3&lt;=$O$2,$D141,$D141-($D141-$I$130)*MIN(M$3-$O$2,$Q$2)/$Q$2))</f>
        <v>3051.63428553135</v>
      </c>
      <c r="N141" s="15" t="n">
        <f aca="false">M141*(1+IF(N$3&lt;=$O$2,$D141,$D141-($D141-$I$130)*MIN(N$3-$O$2,$Q$2)/$Q$2))</f>
        <v>3153.25370723955</v>
      </c>
      <c r="O141" s="15" t="n">
        <f aca="false">SUMPRODUCT(E141:N141,1/(1+$F$130)^$E$3:$N$3)*$E$2</f>
        <v>8376.37784861805</v>
      </c>
      <c r="P141" s="15" t="n">
        <f aca="false">N141*$E$2*(1+$I$130)/($F$130-$I$130)/(1+$F$130)^$N$3</f>
        <v>12477.4035422773</v>
      </c>
      <c r="Q141" s="15" t="n">
        <f aca="false">O141+P141</f>
        <v>20853.7813908953</v>
      </c>
      <c r="R141" s="15" t="n">
        <f aca="false">Q141-$G$2+$I$2</f>
        <v>15502.2213908953</v>
      </c>
      <c r="S141" s="42" t="n">
        <f aca="false">R141/$K$2</f>
        <v>717.695434763673</v>
      </c>
      <c r="T141" s="43" t="n">
        <f aca="false">S141-$M$2</f>
        <v>-7.30456523632677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0.02587890625</v>
      </c>
      <c r="C142" s="25" t="n">
        <f aca="false">IF(T141&gt;0,D141,C141)</f>
        <v>0.02734375</v>
      </c>
      <c r="D142" s="41" t="n">
        <f aca="false">(B142+C142)/2</f>
        <v>0.026611328125</v>
      </c>
      <c r="E142" s="15" t="n">
        <f aca="false">$C$2*(1+IF(E$3&lt;=$O$2,$D142,$D142-($D142-$I$130)*MIN(E$3-$O$2,$Q$2)/$Q$2))</f>
        <v>2453.60107421875</v>
      </c>
      <c r="F142" s="15" t="n">
        <f aca="false">E142*(1+IF(F$3&lt;=$O$2,$D142,$D142-($D142-$I$130)*MIN(F$3-$O$2,$Q$2)/$Q$2))</f>
        <v>2518.89465749264</v>
      </c>
      <c r="G142" s="15" t="n">
        <f aca="false">F142*(1+IF(G$3&lt;=$O$2,$D142,$D142-($D142-$I$130)*MIN(G$3-$O$2,$Q$2)/$Q$2))</f>
        <v>2585.92578973548</v>
      </c>
      <c r="H142" s="15" t="n">
        <f aca="false">G142*(1+IF(H$3&lt;=$O$2,$D142,$D142-($D142-$I$130)*MIN(H$3-$O$2,$Q$2)/$Q$2))</f>
        <v>2654.74070943303</v>
      </c>
      <c r="I142" s="15" t="n">
        <f aca="false">H142*(1+IF(I$3&lt;=$O$2,$D142,$D142-($D142-$I$130)*MIN(I$3-$O$2,$Q$2)/$Q$2))</f>
        <v>2725.38688553855</v>
      </c>
      <c r="J142" s="15" t="n">
        <f aca="false">I142*(1+IF(J$3&lt;=$O$2,$D142,$D142-($D142-$I$130)*MIN(J$3-$O$2,$Q$2)/$Q$2))</f>
        <v>2801.55889393915</v>
      </c>
      <c r="K142" s="15" t="n">
        <f aca="false">J142*(1+IF(K$3&lt;=$O$2,$D142,$D142-($D142-$I$130)*MIN(K$3-$O$2,$Q$2)/$Q$2))</f>
        <v>2883.60758019929</v>
      </c>
      <c r="L142" s="15" t="n">
        <f aca="false">K142*(1+IF(L$3&lt;=$O$2,$D142,$D142-($D142-$I$130)*MIN(L$3-$O$2,$Q$2)/$Q$2))</f>
        <v>2971.91671065185</v>
      </c>
      <c r="M142" s="15" t="n">
        <f aca="false">L142*(1+IF(M$3&lt;=$O$2,$D142,$D142-($D142-$I$130)*MIN(M$3-$O$2,$Q$2)/$Q$2))</f>
        <v>3066.90590197308</v>
      </c>
      <c r="N142" s="15" t="n">
        <f aca="false">M142*(1+IF(N$3&lt;=$O$2,$D142,$D142-($D142-$I$130)*MIN(N$3-$O$2,$Q$2)/$Q$2))</f>
        <v>3169.03386850878</v>
      </c>
      <c r="O142" s="15" t="n">
        <f aca="false">SUMPRODUCT(E142:N142,1/(1+$F$130)^$E$3:$N$3)*$E$2</f>
        <v>8403.14438909742</v>
      </c>
      <c r="P142" s="15" t="n">
        <f aca="false">N142*$E$2*(1+$I$130)/($F$130-$I$130)/(1+$F$130)^$N$3</f>
        <v>12539.8455334391</v>
      </c>
      <c r="Q142" s="15" t="n">
        <f aca="false">O142+P142</f>
        <v>20942.9899225365</v>
      </c>
      <c r="R142" s="15" t="n">
        <f aca="false">Q142-$G$2+$I$2</f>
        <v>15591.4299225365</v>
      </c>
      <c r="S142" s="42" t="n">
        <f aca="false">R142/$K$2</f>
        <v>721.825459376691</v>
      </c>
      <c r="T142" s="43" t="n">
        <f aca="false">S142-$M$2</f>
        <v>-3.17454062330887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0.026611328125</v>
      </c>
      <c r="C143" s="25" t="n">
        <f aca="false">IF(T142&gt;0,D142,C142)</f>
        <v>0.02734375</v>
      </c>
      <c r="D143" s="41" t="n">
        <f aca="false">(B143+C143)/2</f>
        <v>0.0269775390625</v>
      </c>
      <c r="E143" s="15" t="n">
        <f aca="false">$C$2*(1+IF(E$3&lt;=$O$2,$D143,$D143-($D143-$I$130)*MIN(E$3-$O$2,$Q$2)/$Q$2))</f>
        <v>2454.47631835938</v>
      </c>
      <c r="F143" s="15" t="n">
        <f aca="false">E143*(1+IF(F$3&lt;=$O$2,$D143,$D143-($D143-$I$130)*MIN(F$3-$O$2,$Q$2)/$Q$2))</f>
        <v>2520.6920491159</v>
      </c>
      <c r="G143" s="15" t="n">
        <f aca="false">F143*(1+IF(G$3&lt;=$O$2,$D143,$D143-($D143-$I$130)*MIN(G$3-$O$2,$Q$2)/$Q$2))</f>
        <v>2588.69411733545</v>
      </c>
      <c r="H143" s="15" t="n">
        <f aca="false">G143*(1+IF(H$3&lt;=$O$2,$D143,$D143-($D143-$I$130)*MIN(H$3-$O$2,$Q$2)/$Q$2))</f>
        <v>2658.53071400674</v>
      </c>
      <c r="I143" s="15" t="n">
        <f aca="false">H143*(1+IF(I$3&lt;=$O$2,$D143,$D143-($D143-$I$130)*MIN(I$3-$O$2,$Q$2)/$Q$2))</f>
        <v>2730.25133019271</v>
      </c>
      <c r="J143" s="15" t="n">
        <f aca="false">I143*(1+IF(J$3&lt;=$O$2,$D143,$D143-($D143-$I$130)*MIN(J$3-$O$2,$Q$2)/$Q$2))</f>
        <v>2807.35917358036</v>
      </c>
      <c r="K143" s="15" t="n">
        <f aca="false">J143*(1+IF(K$3&lt;=$O$2,$D143,$D143-($D143-$I$130)*MIN(K$3-$O$2,$Q$2)/$Q$2))</f>
        <v>2890.19458283309</v>
      </c>
      <c r="L143" s="15" t="n">
        <f aca="false">K143*(1+IF(L$3&lt;=$O$2,$D143,$D143-($D143-$I$130)*MIN(L$3-$O$2,$Q$2)/$Q$2))</f>
        <v>2979.12880550074</v>
      </c>
      <c r="M143" s="15" t="n">
        <f aca="false">L143*(1+IF(M$3&lt;=$O$2,$D143,$D143-($D143-$I$130)*MIN(M$3-$O$2,$Q$2)/$Q$2))</f>
        <v>3074.5667096238</v>
      </c>
      <c r="N143" s="15" t="n">
        <f aca="false">M143*(1+IF(N$3&lt;=$O$2,$D143,$D143-($D143-$I$130)*MIN(N$3-$O$2,$Q$2)/$Q$2))</f>
        <v>3176.94978105428</v>
      </c>
      <c r="O143" s="15" t="n">
        <f aca="false">SUMPRODUCT(E143:N143,1/(1+$F$130)^$E$3:$N$3)*$E$2</f>
        <v>8416.56020986417</v>
      </c>
      <c r="P143" s="15" t="n">
        <f aca="false">N143*$E$2*(1+$I$130)/($F$130-$I$130)/(1+$F$130)^$N$3</f>
        <v>12571.1687457163</v>
      </c>
      <c r="Q143" s="15" t="n">
        <f aca="false">O143+P143</f>
        <v>20987.7289555804</v>
      </c>
      <c r="R143" s="15" t="n">
        <f aca="false">Q143-$G$2+$I$2</f>
        <v>15636.1689555804</v>
      </c>
      <c r="S143" s="42" t="n">
        <f aca="false">R143/$K$2</f>
        <v>723.896710906501</v>
      </c>
      <c r="T143" s="43" t="n">
        <f aca="false">S143-$M$2</f>
        <v>-1.1032890934988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0.0269775390625</v>
      </c>
      <c r="C144" s="25" t="n">
        <f aca="false">IF(T143&gt;0,D143,C143)</f>
        <v>0.02734375</v>
      </c>
      <c r="D144" s="41" t="n">
        <f aca="false">(B144+C144)/2</f>
        <v>0.02716064453125</v>
      </c>
      <c r="E144" s="15" t="n">
        <f aca="false">$C$2*(1+IF(E$3&lt;=$O$2,$D144,$D144-($D144-$I$130)*MIN(E$3-$O$2,$Q$2)/$Q$2))</f>
        <v>2454.91394042969</v>
      </c>
      <c r="F144" s="15" t="n">
        <f aca="false">E144*(1+IF(F$3&lt;=$O$2,$D144,$D144-($D144-$I$130)*MIN(F$3-$O$2,$Q$2)/$Q$2))</f>
        <v>2521.59098532051</v>
      </c>
      <c r="G144" s="15" t="n">
        <f aca="false">F144*(1+IF(G$3&lt;=$O$2,$D144,$D144-($D144-$I$130)*MIN(G$3-$O$2,$Q$2)/$Q$2))</f>
        <v>2590.079021726</v>
      </c>
      <c r="H144" s="15" t="n">
        <f aca="false">G144*(1+IF(H$3&lt;=$O$2,$D144,$D144-($D144-$I$130)*MIN(H$3-$O$2,$Q$2)/$Q$2))</f>
        <v>2660.42723734295</v>
      </c>
      <c r="I144" s="15" t="n">
        <f aca="false">H144*(1+IF(I$3&lt;=$O$2,$D144,$D144-($D144-$I$130)*MIN(I$3-$O$2,$Q$2)/$Q$2))</f>
        <v>2732.68615583768</v>
      </c>
      <c r="J144" s="15" t="n">
        <f aca="false">I144*(1+IF(J$3&lt;=$O$2,$D144,$D144-($D144-$I$130)*MIN(J$3-$O$2,$Q$2)/$Q$2))</f>
        <v>2810.2630594709</v>
      </c>
      <c r="K144" s="15" t="n">
        <f aca="false">J144*(1+IF(K$3&lt;=$O$2,$D144,$D144-($D144-$I$130)*MIN(K$3-$O$2,$Q$2)/$Q$2))</f>
        <v>2893.49289702161</v>
      </c>
      <c r="L144" s="15" t="n">
        <f aca="false">K144*(1+IF(L$3&lt;=$O$2,$D144,$D144-($D144-$I$130)*MIN(L$3-$O$2,$Q$2)/$Q$2))</f>
        <v>2982.74053791598</v>
      </c>
      <c r="M144" s="15" t="n">
        <f aca="false">L144*(1+IF(M$3&lt;=$O$2,$D144,$D144-($D144-$I$130)*MIN(M$3-$O$2,$Q$2)/$Q$2))</f>
        <v>3078.40337694192</v>
      </c>
      <c r="N144" s="15" t="n">
        <f aca="false">M144*(1+IF(N$3&lt;=$O$2,$D144,$D144-($D144-$I$130)*MIN(N$3-$O$2,$Q$2)/$Q$2))</f>
        <v>3180.91420939408</v>
      </c>
      <c r="O144" s="15" t="n">
        <f aca="false">SUMPRODUCT(E144:N144,1/(1+$F$130)^$E$3:$N$3)*$E$2</f>
        <v>8423.27627235772</v>
      </c>
      <c r="P144" s="15" t="n">
        <f aca="false">N144*$E$2*(1+$I$130)/($F$130-$I$130)/(1+$F$130)^$N$3</f>
        <v>12586.8559617803</v>
      </c>
      <c r="Q144" s="15" t="n">
        <f aca="false">O144+P144</f>
        <v>21010.132234138</v>
      </c>
      <c r="R144" s="15" t="n">
        <f aca="false">Q144-$G$2+$I$2</f>
        <v>15658.572234138</v>
      </c>
      <c r="S144" s="42" t="n">
        <f aca="false">R144/$K$2</f>
        <v>724.933899728612</v>
      </c>
      <c r="T144" s="43" t="n">
        <f aca="false">S144-$M$2</f>
        <v>-0.0661002713882226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0.02716064453125</v>
      </c>
      <c r="C145" s="25" t="n">
        <f aca="false">IF(T144&gt;0,D144,C144)</f>
        <v>0.02734375</v>
      </c>
      <c r="D145" s="41" t="n">
        <f aca="false">(B145+C145)/2</f>
        <v>0.027252197265625</v>
      </c>
      <c r="E145" s="15" t="n">
        <f aca="false">$C$2*(1+IF(E$3&lt;=$O$2,$D145,$D145-($D145-$I$130)*MIN(E$3-$O$2,$Q$2)/$Q$2))</f>
        <v>2455.13275146484</v>
      </c>
      <c r="F145" s="15" t="n">
        <f aca="false">E145*(1+IF(F$3&lt;=$O$2,$D145,$D145-($D145-$I$130)*MIN(F$3-$O$2,$Q$2)/$Q$2))</f>
        <v>2522.04051352106</v>
      </c>
      <c r="G145" s="15" t="n">
        <f aca="false">F145*(1+IF(G$3&lt;=$O$2,$D145,$D145-($D145-$I$130)*MIN(G$3-$O$2,$Q$2)/$Q$2))</f>
        <v>2590.77165910743</v>
      </c>
      <c r="H145" s="15" t="n">
        <f aca="false">G145*(1+IF(H$3&lt;=$O$2,$D145,$D145-($D145-$I$130)*MIN(H$3-$O$2,$Q$2)/$Q$2))</f>
        <v>2661.37587943162</v>
      </c>
      <c r="I145" s="15" t="n">
        <f aca="false">H145*(1+IF(I$3&lt;=$O$2,$D145,$D145-($D145-$I$130)*MIN(I$3-$O$2,$Q$2)/$Q$2))</f>
        <v>2733.90421989587</v>
      </c>
      <c r="J145" s="15" t="n">
        <f aca="false">I145*(1+IF(J$3&lt;=$O$2,$D145,$D145-($D145-$I$130)*MIN(J$3-$O$2,$Q$2)/$Q$2))</f>
        <v>2811.71593968512</v>
      </c>
      <c r="K145" s="15" t="n">
        <f aca="false">J145*(1+IF(K$3&lt;=$O$2,$D145,$D145-($D145-$I$130)*MIN(K$3-$O$2,$Q$2)/$Q$2))</f>
        <v>2895.14325846764</v>
      </c>
      <c r="L145" s="15" t="n">
        <f aca="false">K145*(1+IF(L$3&lt;=$O$2,$D145,$D145-($D145-$I$130)*MIN(L$3-$O$2,$Q$2)/$Q$2))</f>
        <v>2984.54782684863</v>
      </c>
      <c r="M145" s="15" t="n">
        <f aca="false">L145*(1+IF(M$3&lt;=$O$2,$D145,$D145-($D145-$I$130)*MIN(M$3-$O$2,$Q$2)/$Q$2))</f>
        <v>3080.32327818107</v>
      </c>
      <c r="N145" s="15" t="n">
        <f aca="false">M145*(1+IF(N$3&lt;=$O$2,$D145,$D145-($D145-$I$130)*MIN(N$3-$O$2,$Q$2)/$Q$2))</f>
        <v>3182.8980433445</v>
      </c>
      <c r="O145" s="15" t="n">
        <f aca="false">SUMPRODUCT(E145:N145,1/(1+$F$130)^$E$3:$N$3)*$E$2</f>
        <v>8426.6363434441</v>
      </c>
      <c r="P145" s="15" t="n">
        <f aca="false">N145*$E$2*(1+$I$130)/($F$130-$I$130)/(1+$F$130)^$N$3</f>
        <v>12594.7059792728</v>
      </c>
      <c r="Q145" s="15" t="n">
        <f aca="false">O145+P145</f>
        <v>21021.3423227169</v>
      </c>
      <c r="R145" s="15" t="n">
        <f aca="false">Q145-$G$2+$I$2</f>
        <v>15669.7823227169</v>
      </c>
      <c r="S145" s="42" t="n">
        <f aca="false">R145/$K$2</f>
        <v>725.452885310968</v>
      </c>
      <c r="T145" s="43" t="n">
        <f aca="false">S145-$M$2</f>
        <v>0.452885310968441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0.02716064453125</v>
      </c>
      <c r="C146" s="25" t="n">
        <f aca="false">IF(T145&gt;0,D145,C145)</f>
        <v>0.027252197265625</v>
      </c>
      <c r="D146" s="41" t="n">
        <f aca="false">(B146+C146)/2</f>
        <v>0.0272064208984375</v>
      </c>
      <c r="E146" s="15" t="n">
        <f aca="false">$C$2*(1+IF(E$3&lt;=$O$2,$D146,$D146-($D146-$I$130)*MIN(E$3-$O$2,$Q$2)/$Q$2))</f>
        <v>2455.02334594727</v>
      </c>
      <c r="F146" s="15" t="n">
        <f aca="false">E146*(1+IF(F$3&lt;=$O$2,$D146,$D146-($D146-$I$130)*MIN(F$3-$O$2,$Q$2)/$Q$2))</f>
        <v>2521.8157444126</v>
      </c>
      <c r="G146" s="15" t="n">
        <f aca="false">F146*(1+IF(G$3&lt;=$O$2,$D146,$D146-($D146-$I$130)*MIN(G$3-$O$2,$Q$2)/$Q$2))</f>
        <v>2590.42532498339</v>
      </c>
      <c r="H146" s="15" t="n">
        <f aca="false">G146*(1+IF(H$3&lt;=$O$2,$D146,$D146-($D146-$I$130)*MIN(H$3-$O$2,$Q$2)/$Q$2))</f>
        <v>2660.90152668086</v>
      </c>
      <c r="I146" s="15" t="n">
        <f aca="false">H146*(1+IF(I$3&lt;=$O$2,$D146,$D146-($D146-$I$130)*MIN(I$3-$O$2,$Q$2)/$Q$2))</f>
        <v>2733.29513358504</v>
      </c>
      <c r="J146" s="15" t="n">
        <f aca="false">I146*(1+IF(J$3&lt;=$O$2,$D146,$D146-($D146-$I$130)*MIN(J$3-$O$2,$Q$2)/$Q$2))</f>
        <v>2810.98942144989</v>
      </c>
      <c r="K146" s="15" t="n">
        <f aca="false">J146*(1+IF(K$3&lt;=$O$2,$D146,$D146-($D146-$I$130)*MIN(K$3-$O$2,$Q$2)/$Q$2))</f>
        <v>2894.31797734821</v>
      </c>
      <c r="L146" s="15" t="n">
        <f aca="false">K146*(1+IF(L$3&lt;=$O$2,$D146,$D146-($D146-$I$130)*MIN(L$3-$O$2,$Q$2)/$Q$2))</f>
        <v>2983.64406377789</v>
      </c>
      <c r="M146" s="15" t="n">
        <f aca="false">L146*(1+IF(M$3&lt;=$O$2,$D146,$D146-($D146-$I$130)*MIN(M$3-$O$2,$Q$2)/$Q$2))</f>
        <v>3079.36319687899</v>
      </c>
      <c r="N146" s="15" t="n">
        <f aca="false">M146*(1+IF(N$3&lt;=$O$2,$D146,$D146-($D146-$I$130)*MIN(N$3-$O$2,$Q$2)/$Q$2))</f>
        <v>3181.90599133506</v>
      </c>
      <c r="O146" s="15" t="n">
        <f aca="false">SUMPRODUCT(E146:N146,1/(1+$F$130)^$E$3:$N$3)*$E$2</f>
        <v>8424.95613786032</v>
      </c>
      <c r="P146" s="15" t="n">
        <f aca="false">N146*$E$2*(1+$I$130)/($F$130-$I$130)/(1+$F$130)^$N$3</f>
        <v>12590.780436197</v>
      </c>
      <c r="Q146" s="15" t="n">
        <f aca="false">O146+P146</f>
        <v>21015.7365740573</v>
      </c>
      <c r="R146" s="15" t="n">
        <f aca="false">Q146-$G$2+$I$2</f>
        <v>15664.1765740573</v>
      </c>
      <c r="S146" s="42" t="n">
        <f aca="false">R146/$K$2</f>
        <v>725.193359910061</v>
      </c>
      <c r="T146" s="43" t="n">
        <f aca="false">S146-$M$2</f>
        <v>0.19335991006119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0.02716064453125</v>
      </c>
      <c r="C147" s="25" t="n">
        <f aca="false">IF(T146&gt;0,D146,C146)</f>
        <v>0.0272064208984375</v>
      </c>
      <c r="D147" s="41" t="n">
        <f aca="false">(B147+C147)/2</f>
        <v>0.0271835327148438</v>
      </c>
      <c r="E147" s="15" t="n">
        <f aca="false">$C$2*(1+IF(E$3&lt;=$O$2,$D147,$D147-($D147-$I$130)*MIN(E$3-$O$2,$Q$2)/$Q$2))</f>
        <v>2454.96864318848</v>
      </c>
      <c r="F147" s="15" t="n">
        <f aca="false">E147*(1+IF(F$3&lt;=$O$2,$D147,$D147-($D147-$I$130)*MIN(F$3-$O$2,$Q$2)/$Q$2))</f>
        <v>2521.70336361451</v>
      </c>
      <c r="G147" s="15" t="n">
        <f aca="false">F147*(1+IF(G$3&lt;=$O$2,$D147,$D147-($D147-$I$130)*MIN(G$3-$O$2,$Q$2)/$Q$2))</f>
        <v>2590.25216949645</v>
      </c>
      <c r="H147" s="15" t="n">
        <f aca="false">G147*(1+IF(H$3&lt;=$O$2,$D147,$D147-($D147-$I$130)*MIN(H$3-$O$2,$Q$2)/$Q$2))</f>
        <v>2660.66437408565</v>
      </c>
      <c r="I147" s="15" t="n">
        <f aca="false">H147*(1+IF(I$3&lt;=$O$2,$D147,$D147-($D147-$I$130)*MIN(I$3-$O$2,$Q$2)/$Q$2))</f>
        <v>2732.99063114183</v>
      </c>
      <c r="J147" s="15" t="n">
        <f aca="false">I147*(1+IF(J$3&lt;=$O$2,$D147,$D147-($D147-$I$130)*MIN(J$3-$O$2,$Q$2)/$Q$2))</f>
        <v>2810.62622093004</v>
      </c>
      <c r="K147" s="15" t="n">
        <f aca="false">J147*(1+IF(K$3&lt;=$O$2,$D147,$D147-($D147-$I$130)*MIN(K$3-$O$2,$Q$2)/$Q$2))</f>
        <v>2893.90541208834</v>
      </c>
      <c r="L147" s="15" t="n">
        <f aca="false">K147*(1+IF(L$3&lt;=$O$2,$D147,$D147-($D147-$I$130)*MIN(L$3-$O$2,$Q$2)/$Q$2))</f>
        <v>2983.19227119913</v>
      </c>
      <c r="M147" s="15" t="n">
        <f aca="false">L147*(1+IF(M$3&lt;=$O$2,$D147,$D147-($D147-$I$130)*MIN(M$3-$O$2,$Q$2)/$Q$2))</f>
        <v>3078.88325424364</v>
      </c>
      <c r="N147" s="15" t="n">
        <f aca="false">M147*(1+IF(N$3&lt;=$O$2,$D147,$D147-($D147-$I$130)*MIN(N$3-$O$2,$Q$2)/$Q$2))</f>
        <v>3181.41006660995</v>
      </c>
      <c r="O147" s="15" t="n">
        <f aca="false">SUMPRODUCT(E147:N147,1/(1+$F$130)^$E$3:$N$3)*$E$2</f>
        <v>8424.11616260292</v>
      </c>
      <c r="P147" s="15" t="n">
        <f aca="false">N147*$E$2*(1+$I$130)/($F$130-$I$130)/(1+$F$130)^$N$3</f>
        <v>12588.8180654218</v>
      </c>
      <c r="Q147" s="15" t="n">
        <f aca="false">O147+P147</f>
        <v>21012.9342280248</v>
      </c>
      <c r="R147" s="15" t="n">
        <f aca="false">Q147-$G$2+$I$2</f>
        <v>15661.3742280248</v>
      </c>
      <c r="S147" s="42" t="n">
        <f aca="false">R147/$K$2</f>
        <v>725.063621667813</v>
      </c>
      <c r="T147" s="43" t="n">
        <f aca="false">S147-$M$2</f>
        <v>0.0636216678132087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0.02716064453125</v>
      </c>
      <c r="C148" s="25" t="n">
        <f aca="false">IF(T147&gt;0,D147,C147)</f>
        <v>0.0271835327148438</v>
      </c>
      <c r="D148" s="41" t="n">
        <f aca="false">(B148+C148)/2</f>
        <v>0.0271720886230469</v>
      </c>
      <c r="E148" s="15" t="n">
        <f aca="false">$C$2*(1+IF(E$3&lt;=$O$2,$D148,$D148-($D148-$I$130)*MIN(E$3-$O$2,$Q$2)/$Q$2))</f>
        <v>2454.94129180908</v>
      </c>
      <c r="F148" s="15" t="n">
        <f aca="false">E148*(1+IF(F$3&lt;=$O$2,$D148,$D148-($D148-$I$130)*MIN(F$3-$O$2,$Q$2)/$Q$2))</f>
        <v>2521.6471741545</v>
      </c>
      <c r="G148" s="15" t="n">
        <f aca="false">F148*(1+IF(G$3&lt;=$O$2,$D148,$D148-($D148-$I$130)*MIN(G$3-$O$2,$Q$2)/$Q$2))</f>
        <v>2590.16559464668</v>
      </c>
      <c r="H148" s="15" t="n">
        <f aca="false">G148*(1+IF(H$3&lt;=$O$2,$D148,$D148-($D148-$I$130)*MIN(H$3-$O$2,$Q$2)/$Q$2))</f>
        <v>2660.54580373278</v>
      </c>
      <c r="I148" s="15" t="n">
        <f aca="false">H148*(1+IF(I$3&lt;=$O$2,$D148,$D148-($D148-$I$130)*MIN(I$3-$O$2,$Q$2)/$Q$2))</f>
        <v>2732.83839009749</v>
      </c>
      <c r="J148" s="15" t="n">
        <f aca="false">I148*(1+IF(J$3&lt;=$O$2,$D148,$D148-($D148-$I$130)*MIN(J$3-$O$2,$Q$2)/$Q$2))</f>
        <v>2810.44463531809</v>
      </c>
      <c r="K148" s="15" t="n">
        <f aca="false">J148*(1+IF(K$3&lt;=$O$2,$D148,$D148-($D148-$I$130)*MIN(K$3-$O$2,$Q$2)/$Q$2))</f>
        <v>2893.69914828115</v>
      </c>
      <c r="L148" s="15" t="n">
        <f aca="false">K148*(1+IF(L$3&lt;=$O$2,$D148,$D148-($D148-$I$130)*MIN(L$3-$O$2,$Q$2)/$Q$2))</f>
        <v>2982.96639714601</v>
      </c>
      <c r="M148" s="15" t="n">
        <f aca="false">L148*(1+IF(M$3&lt;=$O$2,$D148,$D148-($D148-$I$130)*MIN(M$3-$O$2,$Q$2)/$Q$2))</f>
        <v>3078.64330742655</v>
      </c>
      <c r="N148" s="15" t="n">
        <f aca="false">M148*(1+IF(N$3&lt;=$O$2,$D148,$D148-($D148-$I$130)*MIN(N$3-$O$2,$Q$2)/$Q$2))</f>
        <v>3181.16212956385</v>
      </c>
      <c r="O148" s="15" t="n">
        <f aca="false">SUMPRODUCT(E148:N148,1/(1+$F$130)^$E$3:$N$3)*$E$2</f>
        <v>8423.6962068543</v>
      </c>
      <c r="P148" s="15" t="n">
        <f aca="false">N148*$E$2*(1+$I$130)/($F$130-$I$130)/(1+$F$130)^$N$3</f>
        <v>12587.8369802113</v>
      </c>
      <c r="Q148" s="15" t="n">
        <f aca="false">O148+P148</f>
        <v>21011.5331870656</v>
      </c>
      <c r="R148" s="15" t="n">
        <f aca="false">Q148-$G$2+$I$2</f>
        <v>15659.9731870656</v>
      </c>
      <c r="S148" s="42" t="n">
        <f aca="false">R148/$K$2</f>
        <v>724.998758660445</v>
      </c>
      <c r="T148" s="43" t="n">
        <f aca="false">S148-$M$2</f>
        <v>-0.00124133955466732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0.0271720886230469</v>
      </c>
      <c r="C149" s="25" t="n">
        <f aca="false">IF(T148&gt;0,D148,C148)</f>
        <v>0.0271835327148438</v>
      </c>
      <c r="D149" s="41" t="n">
        <f aca="false">(B149+C149)/2</f>
        <v>0.0271778106689453</v>
      </c>
      <c r="E149" s="15" t="n">
        <f aca="false">$C$2*(1+IF(E$3&lt;=$O$2,$D149,$D149-($D149-$I$130)*MIN(E$3-$O$2,$Q$2)/$Q$2))</f>
        <v>2454.95496749878</v>
      </c>
      <c r="F149" s="15" t="n">
        <f aca="false">E149*(1+IF(F$3&lt;=$O$2,$D149,$D149-($D149-$I$130)*MIN(F$3-$O$2,$Q$2)/$Q$2))</f>
        <v>2521.67526880625</v>
      </c>
      <c r="G149" s="15" t="n">
        <f aca="false">F149*(1+IF(G$3&lt;=$O$2,$D149,$D149-($D149-$I$130)*MIN(G$3-$O$2,$Q$2)/$Q$2))</f>
        <v>2590.20888183043</v>
      </c>
      <c r="H149" s="15" t="n">
        <f aca="false">G149*(1+IF(H$3&lt;=$O$2,$D149,$D149-($D149-$I$130)*MIN(H$3-$O$2,$Q$2)/$Q$2))</f>
        <v>2660.60508841383</v>
      </c>
      <c r="I149" s="15" t="n">
        <f aca="false">H149*(1+IF(I$3&lt;=$O$2,$D149,$D149-($D149-$I$130)*MIN(I$3-$O$2,$Q$2)/$Q$2))</f>
        <v>2732.91450977158</v>
      </c>
      <c r="J149" s="15" t="n">
        <f aca="false">I149*(1+IF(J$3&lt;=$O$2,$D149,$D149-($D149-$I$130)*MIN(J$3-$O$2,$Q$2)/$Q$2))</f>
        <v>2810.53542690344</v>
      </c>
      <c r="K149" s="15" t="n">
        <f aca="false">J149*(1+IF(K$3&lt;=$O$2,$D149,$D149-($D149-$I$130)*MIN(K$3-$O$2,$Q$2)/$Q$2))</f>
        <v>2893.80227861625</v>
      </c>
      <c r="L149" s="15" t="n">
        <f aca="false">K149*(1+IF(L$3&lt;=$O$2,$D149,$D149-($D149-$I$130)*MIN(L$3-$O$2,$Q$2)/$Q$2))</f>
        <v>2983.07933231964</v>
      </c>
      <c r="M149" s="15" t="n">
        <f aca="false">L149*(1+IF(M$3&lt;=$O$2,$D149,$D149-($D149-$I$130)*MIN(M$3-$O$2,$Q$2)/$Q$2))</f>
        <v>3078.76327879348</v>
      </c>
      <c r="N149" s="15" t="n">
        <f aca="false">M149*(1+IF(N$3&lt;=$O$2,$D149,$D149-($D149-$I$130)*MIN(N$3-$O$2,$Q$2)/$Q$2))</f>
        <v>3181.2860959773</v>
      </c>
      <c r="O149" s="15" t="n">
        <f aca="false">SUMPRODUCT(E149:N149,1/(1+$F$130)^$E$3:$N$3)*$E$2</f>
        <v>8423.90618207204</v>
      </c>
      <c r="P149" s="15" t="n">
        <f aca="false">N149*$E$2*(1+$I$130)/($F$130-$I$130)/(1+$F$130)^$N$3</f>
        <v>12588.3275144689</v>
      </c>
      <c r="Q149" s="15" t="n">
        <f aca="false">O149+P149</f>
        <v>21012.233696541</v>
      </c>
      <c r="R149" s="15" t="n">
        <f aca="false">Q149-$G$2+$I$2</f>
        <v>15660.673696541</v>
      </c>
      <c r="S149" s="42" t="n">
        <f aca="false">R149/$K$2</f>
        <v>725.031189654674</v>
      </c>
      <c r="T149" s="43" t="n">
        <f aca="false">S149-$M$2</f>
        <v>0.0311896546735397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0.0271720886230469</v>
      </c>
      <c r="C150" s="25" t="n">
        <f aca="false">IF(T149&gt;0,D149,C149)</f>
        <v>0.0271778106689453</v>
      </c>
      <c r="D150" s="41" t="n">
        <f aca="false">(B150+C150)/2</f>
        <v>0.0271749496459961</v>
      </c>
      <c r="E150" s="15" t="n">
        <f aca="false">$C$2*(1+IF(E$3&lt;=$O$2,$D150,$D150-($D150-$I$130)*MIN(E$3-$O$2,$Q$2)/$Q$2))</f>
        <v>2454.94812965393</v>
      </c>
      <c r="F150" s="15" t="n">
        <f aca="false">E150*(1+IF(F$3&lt;=$O$2,$D150,$D150-($D150-$I$130)*MIN(F$3-$O$2,$Q$2)/$Q$2))</f>
        <v>2521.66122146081</v>
      </c>
      <c r="G150" s="15" t="n">
        <f aca="false">F150*(1+IF(G$3&lt;=$O$2,$D150,$D150-($D150-$I$130)*MIN(G$3-$O$2,$Q$2)/$Q$2))</f>
        <v>2590.18723817827</v>
      </c>
      <c r="H150" s="15" t="n">
        <f aca="false">G150*(1+IF(H$3&lt;=$O$2,$D150,$D150-($D150-$I$130)*MIN(H$3-$O$2,$Q$2)/$Q$2))</f>
        <v>2660.57544594946</v>
      </c>
      <c r="I150" s="15" t="n">
        <f aca="false">H150*(1+IF(I$3&lt;=$O$2,$D150,$D150-($D150-$I$130)*MIN(I$3-$O$2,$Q$2)/$Q$2))</f>
        <v>2732.87644972251</v>
      </c>
      <c r="J150" s="15" t="n">
        <f aca="false">I150*(1+IF(J$3&lt;=$O$2,$D150,$D150-($D150-$I$130)*MIN(J$3-$O$2,$Q$2)/$Q$2))</f>
        <v>2810.49003080562</v>
      </c>
      <c r="K150" s="15" t="n">
        <f aca="false">J150*(1+IF(K$3&lt;=$O$2,$D150,$D150-($D150-$I$130)*MIN(K$3-$O$2,$Q$2)/$Q$2))</f>
        <v>2893.75071305658</v>
      </c>
      <c r="L150" s="15" t="n">
        <f aca="false">K150*(1+IF(L$3&lt;=$O$2,$D150,$D150-($D150-$I$130)*MIN(L$3-$O$2,$Q$2)/$Q$2))</f>
        <v>2983.0228642696</v>
      </c>
      <c r="M150" s="15" t="n">
        <f aca="false">L150*(1+IF(M$3&lt;=$O$2,$D150,$D150-($D150-$I$130)*MIN(M$3-$O$2,$Q$2)/$Q$2))</f>
        <v>3078.70329259962</v>
      </c>
      <c r="N150" s="15" t="n">
        <f aca="false">M150*(1+IF(N$3&lt;=$O$2,$D150,$D150-($D150-$I$130)*MIN(N$3-$O$2,$Q$2)/$Q$2))</f>
        <v>3181.22411224318</v>
      </c>
      <c r="O150" s="15" t="n">
        <f aca="false">SUMPRODUCT(E150:N150,1/(1+$F$130)^$E$3:$N$3)*$E$2</f>
        <v>8423.80119379904</v>
      </c>
      <c r="P150" s="15" t="n">
        <f aca="false">N150*$E$2*(1+$I$130)/($F$130-$I$130)/(1+$F$130)^$N$3</f>
        <v>12588.0822452532</v>
      </c>
      <c r="Q150" s="15" t="n">
        <f aca="false">O150+P150</f>
        <v>21011.8834390523</v>
      </c>
      <c r="R150" s="15" t="n">
        <f aca="false">Q150-$G$2+$I$2</f>
        <v>15660.3234390523</v>
      </c>
      <c r="S150" s="42" t="n">
        <f aca="false">R150/$K$2</f>
        <v>725.014974030197</v>
      </c>
      <c r="T150" s="43" t="n">
        <f aca="false">S150-$M$2</f>
        <v>0.0149740301968677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0.0271720886230469</v>
      </c>
      <c r="C151" s="25" t="n">
        <f aca="false">IF(T150&gt;0,D150,C150)</f>
        <v>0.0271749496459961</v>
      </c>
      <c r="D151" s="41" t="n">
        <f aca="false">(B151+C151)/2</f>
        <v>0.0271735191345215</v>
      </c>
      <c r="E151" s="15" t="n">
        <f aca="false">$C$2*(1+IF(E$3&lt;=$O$2,$D151,$D151-($D151-$I$130)*MIN(E$3-$O$2,$Q$2)/$Q$2))</f>
        <v>2454.94471073151</v>
      </c>
      <c r="F151" s="15" t="n">
        <f aca="false">E151*(1+IF(F$3&lt;=$O$2,$D151,$D151-($D151-$I$130)*MIN(F$3-$O$2,$Q$2)/$Q$2))</f>
        <v>2521.65419780276</v>
      </c>
      <c r="G151" s="15" t="n">
        <f aca="false">F151*(1+IF(G$3&lt;=$O$2,$D151,$D151-($D151-$I$130)*MIN(G$3-$O$2,$Q$2)/$Q$2))</f>
        <v>2590.1764163974</v>
      </c>
      <c r="H151" s="15" t="n">
        <f aca="false">G151*(1+IF(H$3&lt;=$O$2,$D151,$D151-($D151-$I$130)*MIN(H$3-$O$2,$Q$2)/$Q$2))</f>
        <v>2660.56062481016</v>
      </c>
      <c r="I151" s="15" t="n">
        <f aca="false">H151*(1+IF(I$3&lt;=$O$2,$D151,$D151-($D151-$I$130)*MIN(I$3-$O$2,$Q$2)/$Q$2))</f>
        <v>2732.857419857</v>
      </c>
      <c r="J151" s="15" t="n">
        <f aca="false">I151*(1+IF(J$3&lt;=$O$2,$D151,$D151-($D151-$I$130)*MIN(J$3-$O$2,$Q$2)/$Q$2))</f>
        <v>2810.46733298557</v>
      </c>
      <c r="K151" s="15" t="n">
        <f aca="false">J151*(1+IF(K$3&lt;=$O$2,$D151,$D151-($D151-$I$130)*MIN(K$3-$O$2,$Q$2)/$Q$2))</f>
        <v>2893.72493057083</v>
      </c>
      <c r="L151" s="15" t="n">
        <f aca="false">K151*(1+IF(L$3&lt;=$O$2,$D151,$D151-($D151-$I$130)*MIN(L$3-$O$2,$Q$2)/$Q$2))</f>
        <v>2982.994630592</v>
      </c>
      <c r="M151" s="15" t="n">
        <f aca="false">L151*(1+IF(M$3&lt;=$O$2,$D151,$D151-($D151-$I$130)*MIN(M$3-$O$2,$Q$2)/$Q$2))</f>
        <v>3078.67329988549</v>
      </c>
      <c r="N151" s="15" t="n">
        <f aca="false">M151*(1+IF(N$3&lt;=$O$2,$D151,$D151-($D151-$I$130)*MIN(N$3-$O$2,$Q$2)/$Q$2))</f>
        <v>3181.19312077167</v>
      </c>
      <c r="O151" s="15" t="n">
        <f aca="false">SUMPRODUCT(E151:N151,1/(1+$F$130)^$E$3:$N$3)*$E$2</f>
        <v>8423.74870016064</v>
      </c>
      <c r="P151" s="15" t="n">
        <f aca="false">N151*$E$2*(1+$I$130)/($F$130-$I$130)/(1+$F$130)^$N$3</f>
        <v>12587.9596122106</v>
      </c>
      <c r="Q151" s="15" t="n">
        <f aca="false">O151+P151</f>
        <v>21011.7083123712</v>
      </c>
      <c r="R151" s="15" t="n">
        <f aca="false">Q151-$G$2+$I$2</f>
        <v>15660.1483123712</v>
      </c>
      <c r="S151" s="42" t="n">
        <f aca="false">R151/$K$2</f>
        <v>725.006866313481</v>
      </c>
      <c r="T151" s="43" t="n">
        <f aca="false">S151-$M$2</f>
        <v>0.00686631348094124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0.0271720886230469</v>
      </c>
      <c r="C152" s="25" t="n">
        <f aca="false">IF(T151&gt;0,D151,C151)</f>
        <v>0.0271735191345215</v>
      </c>
      <c r="D152" s="41" t="n">
        <f aca="false">(B152+C152)/2</f>
        <v>0.0271728038787842</v>
      </c>
      <c r="E152" s="15" t="n">
        <f aca="false">$C$2*(1+IF(E$3&lt;=$O$2,$D152,$D152-($D152-$I$130)*MIN(E$3-$O$2,$Q$2)/$Q$2))</f>
        <v>2454.94300127029</v>
      </c>
      <c r="F152" s="15" t="n">
        <f aca="false">E152*(1+IF(F$3&lt;=$O$2,$D152,$D152-($D152-$I$130)*MIN(F$3-$O$2,$Q$2)/$Q$2))</f>
        <v>2521.65068597741</v>
      </c>
      <c r="G152" s="15" t="n">
        <f aca="false">F152*(1+IF(G$3&lt;=$O$2,$D152,$D152-($D152-$I$130)*MIN(G$3-$O$2,$Q$2)/$Q$2))</f>
        <v>2590.17100551827</v>
      </c>
      <c r="H152" s="15" t="n">
        <f aca="false">G152*(1+IF(H$3&lt;=$O$2,$D152,$D152-($D152-$I$130)*MIN(H$3-$O$2,$Q$2)/$Q$2))</f>
        <v>2660.55321426373</v>
      </c>
      <c r="I152" s="15" t="n">
        <f aca="false">H152*(1+IF(I$3&lt;=$O$2,$D152,$D152-($D152-$I$130)*MIN(I$3-$O$2,$Q$2)/$Q$2))</f>
        <v>2732.84790496399</v>
      </c>
      <c r="J152" s="15" t="n">
        <f aca="false">I152*(1+IF(J$3&lt;=$O$2,$D152,$D152-($D152-$I$130)*MIN(J$3-$O$2,$Q$2)/$Q$2))</f>
        <v>2810.45598413276</v>
      </c>
      <c r="K152" s="15" t="n">
        <f aca="false">J152*(1+IF(K$3&lt;=$O$2,$D152,$D152-($D152-$I$130)*MIN(K$3-$O$2,$Q$2)/$Q$2))</f>
        <v>2893.71203940148</v>
      </c>
      <c r="L152" s="15" t="n">
        <f aca="false">K152*(1+IF(L$3&lt;=$O$2,$D152,$D152-($D152-$I$130)*MIN(L$3-$O$2,$Q$2)/$Q$2))</f>
        <v>2982.98051384006</v>
      </c>
      <c r="M152" s="15" t="n">
        <f aca="false">L152*(1+IF(M$3&lt;=$O$2,$D152,$D152-($D152-$I$130)*MIN(M$3-$O$2,$Q$2)/$Q$2))</f>
        <v>3078.65830362412</v>
      </c>
      <c r="N152" s="15" t="n">
        <f aca="false">M152*(1+IF(N$3&lt;=$O$2,$D152,$D152-($D152-$I$130)*MIN(N$3-$O$2,$Q$2)/$Q$2))</f>
        <v>3181.1776251348</v>
      </c>
      <c r="O152" s="15" t="n">
        <f aca="false">SUMPRODUCT(E152:N152,1/(1+$F$130)^$E$3:$N$3)*$E$2</f>
        <v>8423.72245346596</v>
      </c>
      <c r="P152" s="15" t="n">
        <f aca="false">N152*$E$2*(1+$I$130)/($F$130-$I$130)/(1+$F$130)^$N$3</f>
        <v>12587.8982960805</v>
      </c>
      <c r="Q152" s="15" t="n">
        <f aca="false">O152+P152</f>
        <v>21011.6207495465</v>
      </c>
      <c r="R152" s="15" t="n">
        <f aca="false">Q152-$G$2+$I$2</f>
        <v>15660.0607495465</v>
      </c>
      <c r="S152" s="42" t="n">
        <f aca="false">R152/$K$2</f>
        <v>725.002812479003</v>
      </c>
      <c r="T152" s="43" t="n">
        <f aca="false">S152-$M$2</f>
        <v>0.00281247900318249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0.0271720886230469</v>
      </c>
      <c r="C153" s="25" t="n">
        <f aca="false">IF(T152&gt;0,D152,C152)</f>
        <v>0.0271728038787842</v>
      </c>
      <c r="D153" s="41" t="n">
        <f aca="false">(B153+C153)/2</f>
        <v>0.0271724462509155</v>
      </c>
      <c r="E153" s="15" t="n">
        <f aca="false">$C$2*(1+IF(E$3&lt;=$O$2,$D153,$D153-($D153-$I$130)*MIN(E$3-$O$2,$Q$2)/$Q$2))</f>
        <v>2454.94214653969</v>
      </c>
      <c r="F153" s="15" t="n">
        <f aca="false">E153*(1+IF(F$3&lt;=$O$2,$D153,$D153-($D153-$I$130)*MIN(F$3-$O$2,$Q$2)/$Q$2))</f>
        <v>2521.64893006565</v>
      </c>
      <c r="G153" s="15" t="n">
        <f aca="false">F153*(1+IF(G$3&lt;=$O$2,$D153,$D153-($D153-$I$130)*MIN(G$3-$O$2,$Q$2)/$Q$2))</f>
        <v>2590.16830008153</v>
      </c>
      <c r="H153" s="15" t="n">
        <f aca="false">G153*(1+IF(H$3&lt;=$O$2,$D153,$D153-($D153-$I$130)*MIN(H$3-$O$2,$Q$2)/$Q$2))</f>
        <v>2660.54950899632</v>
      </c>
      <c r="I153" s="15" t="n">
        <f aca="false">H153*(1+IF(I$3&lt;=$O$2,$D153,$D153-($D153-$I$130)*MIN(I$3-$O$2,$Q$2)/$Q$2))</f>
        <v>2732.84314752743</v>
      </c>
      <c r="J153" s="15" t="n">
        <f aca="false">I153*(1+IF(J$3&lt;=$O$2,$D153,$D153-($D153-$I$130)*MIN(J$3-$O$2,$Q$2)/$Q$2))</f>
        <v>2810.45030972066</v>
      </c>
      <c r="K153" s="15" t="n">
        <f aca="false">J153*(1+IF(K$3&lt;=$O$2,$D153,$D153-($D153-$I$130)*MIN(K$3-$O$2,$Q$2)/$Q$2))</f>
        <v>2893.70559383519</v>
      </c>
      <c r="L153" s="15" t="n">
        <f aca="false">K153*(1+IF(L$3&lt;=$O$2,$D153,$D153-($D153-$I$130)*MIN(L$3-$O$2,$Q$2)/$Q$2))</f>
        <v>2982.9734554858</v>
      </c>
      <c r="M153" s="15" t="n">
        <f aca="false">L153*(1+IF(M$3&lt;=$O$2,$D153,$D153-($D153-$I$130)*MIN(M$3-$O$2,$Q$2)/$Q$2))</f>
        <v>3078.65080551736</v>
      </c>
      <c r="N153" s="15" t="n">
        <f aca="false">M153*(1+IF(N$3&lt;=$O$2,$D153,$D153-($D153-$I$130)*MIN(N$3-$O$2,$Q$2)/$Q$2))</f>
        <v>3181.16987734109</v>
      </c>
      <c r="O153" s="15" t="n">
        <f aca="false">SUMPRODUCT(E153:N153,1/(1+$F$130)^$E$3:$N$3)*$E$2</f>
        <v>8423.70933014976</v>
      </c>
      <c r="P153" s="15" t="n">
        <f aca="false">N153*$E$2*(1+$I$130)/($F$130-$I$130)/(1+$F$130)^$N$3</f>
        <v>12587.8676381133</v>
      </c>
      <c r="Q153" s="15" t="n">
        <f aca="false">O153+P153</f>
        <v>21011.5769682631</v>
      </c>
      <c r="R153" s="15" t="n">
        <f aca="false">Q153-$G$2+$I$2</f>
        <v>15660.0169682631</v>
      </c>
      <c r="S153" s="42" t="n">
        <f aca="false">R153/$K$2</f>
        <v>725.000785567734</v>
      </c>
      <c r="T153" s="43" t="n">
        <f aca="false">S153-$M$2</f>
        <v>0.000785567734396864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0.0271720886230469</v>
      </c>
      <c r="C154" s="25" t="n">
        <f aca="false">IF(T153&gt;0,D153,C153)</f>
        <v>0.0271724462509155</v>
      </c>
      <c r="D154" s="41" t="n">
        <f aca="false">(B154+C154)/2</f>
        <v>0.0271722674369812</v>
      </c>
      <c r="E154" s="15" t="n">
        <f aca="false">$C$2*(1+IF(E$3&lt;=$O$2,$D154,$D154-($D154-$I$130)*MIN(E$3-$O$2,$Q$2)/$Q$2))</f>
        <v>2454.94171917439</v>
      </c>
      <c r="F154" s="15" t="n">
        <f aca="false">E154*(1+IF(F$3&lt;=$O$2,$D154,$D154-($D154-$I$130)*MIN(F$3-$O$2,$Q$2)/$Q$2))</f>
        <v>2521.64805210999</v>
      </c>
      <c r="G154" s="15" t="n">
        <f aca="false">F154*(1+IF(G$3&lt;=$O$2,$D154,$D154-($D154-$I$130)*MIN(G$3-$O$2,$Q$2)/$Q$2))</f>
        <v>2590.16694736387</v>
      </c>
      <c r="H154" s="15" t="n">
        <f aca="false">G154*(1+IF(H$3&lt;=$O$2,$D154,$D154-($D154-$I$130)*MIN(H$3-$O$2,$Q$2)/$Q$2))</f>
        <v>2660.54765636407</v>
      </c>
      <c r="I154" s="15" t="n">
        <f aca="false">H154*(1+IF(I$3&lt;=$O$2,$D154,$D154-($D154-$I$130)*MIN(I$3-$O$2,$Q$2)/$Q$2))</f>
        <v>2732.84076881163</v>
      </c>
      <c r="J154" s="15" t="n">
        <f aca="false">I154*(1+IF(J$3&lt;=$O$2,$D154,$D154-($D154-$I$130)*MIN(J$3-$O$2,$Q$2)/$Q$2))</f>
        <v>2810.44747251818</v>
      </c>
      <c r="K154" s="15" t="n">
        <f aca="false">J154*(1+IF(K$3&lt;=$O$2,$D154,$D154-($D154-$I$130)*MIN(K$3-$O$2,$Q$2)/$Q$2))</f>
        <v>2893.70237105663</v>
      </c>
      <c r="L154" s="15" t="n">
        <f aca="false">K154*(1+IF(L$3&lt;=$O$2,$D154,$D154-($D154-$I$130)*MIN(L$3-$O$2,$Q$2)/$Q$2))</f>
        <v>2982.9699263141</v>
      </c>
      <c r="M154" s="15" t="n">
        <f aca="false">L154*(1+IF(M$3&lt;=$O$2,$D154,$D154-($D154-$I$130)*MIN(M$3-$O$2,$Q$2)/$Q$2))</f>
        <v>3078.64705646996</v>
      </c>
      <c r="N154" s="15" t="n">
        <f aca="false">M154*(1+IF(N$3&lt;=$O$2,$D154,$D154-($D154-$I$130)*MIN(N$3-$O$2,$Q$2)/$Q$2))</f>
        <v>3181.16600345041</v>
      </c>
      <c r="O154" s="15" t="n">
        <f aca="false">SUMPRODUCT(E154:N154,1/(1+$F$130)^$E$3:$N$3)*$E$2</f>
        <v>8423.70276849944</v>
      </c>
      <c r="P154" s="15" t="n">
        <f aca="false">N154*$E$2*(1+$I$130)/($F$130-$I$130)/(1+$F$130)^$N$3</f>
        <v>12587.8523091542</v>
      </c>
      <c r="Q154" s="15" t="n">
        <f aca="false">O154+P154</f>
        <v>21011.5550776536</v>
      </c>
      <c r="R154" s="15" t="n">
        <f aca="false">Q154-$G$2+$I$2</f>
        <v>15659.9950776536</v>
      </c>
      <c r="S154" s="42" t="n">
        <f aca="false">R154/$K$2</f>
        <v>724.999772113592</v>
      </c>
      <c r="T154" s="43" t="n">
        <f aca="false">S154-$M$2</f>
        <v>-0.00022788640762883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0.0271722674369812</v>
      </c>
      <c r="C155" s="25" t="n">
        <f aca="false">IF(T154&gt;0,D154,C154)</f>
        <v>0.0271724462509155</v>
      </c>
      <c r="D155" s="41" t="n">
        <f aca="false">(B155+C155)/2</f>
        <v>0.0271723568439484</v>
      </c>
      <c r="E155" s="15" t="n">
        <f aca="false">$C$2*(1+IF(E$3&lt;=$O$2,$D155,$D155-($D155-$I$130)*MIN(E$3-$O$2,$Q$2)/$Q$2))</f>
        <v>2454.94193285704</v>
      </c>
      <c r="F155" s="15" t="n">
        <f aca="false">E155*(1+IF(F$3&lt;=$O$2,$D155,$D155-($D155-$I$130)*MIN(F$3-$O$2,$Q$2)/$Q$2))</f>
        <v>2521.6484910878</v>
      </c>
      <c r="G155" s="15" t="n">
        <f aca="false">F155*(1+IF(G$3&lt;=$O$2,$D155,$D155-($D155-$I$130)*MIN(G$3-$O$2,$Q$2)/$Q$2))</f>
        <v>2590.16762372264</v>
      </c>
      <c r="H155" s="15" t="n">
        <f aca="false">G155*(1+IF(H$3&lt;=$O$2,$D155,$D155-($D155-$I$130)*MIN(H$3-$O$2,$Q$2)/$Q$2))</f>
        <v>2660.54858268008</v>
      </c>
      <c r="I155" s="15" t="n">
        <f aca="false">H155*(1+IF(I$3&lt;=$O$2,$D155,$D155-($D155-$I$130)*MIN(I$3-$O$2,$Q$2)/$Q$2))</f>
        <v>2732.84195816932</v>
      </c>
      <c r="J155" s="15" t="n">
        <f aca="false">I155*(1+IF(J$3&lt;=$O$2,$D155,$D155-($D155-$I$130)*MIN(J$3-$O$2,$Q$2)/$Q$2))</f>
        <v>2810.44889111912</v>
      </c>
      <c r="K155" s="15" t="n">
        <f aca="false">J155*(1+IF(K$3&lt;=$O$2,$D155,$D155-($D155-$I$130)*MIN(K$3-$O$2,$Q$2)/$Q$2))</f>
        <v>2893.70398244553</v>
      </c>
      <c r="L155" s="15" t="n">
        <f aca="false">K155*(1+IF(L$3&lt;=$O$2,$D155,$D155-($D155-$I$130)*MIN(L$3-$O$2,$Q$2)/$Q$2))</f>
        <v>2982.9716908995</v>
      </c>
      <c r="M155" s="15" t="n">
        <f aca="false">L155*(1+IF(M$3&lt;=$O$2,$D155,$D155-($D155-$I$130)*MIN(M$3-$O$2,$Q$2)/$Q$2))</f>
        <v>3078.64893099316</v>
      </c>
      <c r="N155" s="15" t="n">
        <f aca="false">M155*(1+IF(N$3&lt;=$O$2,$D155,$D155-($D155-$I$130)*MIN(N$3-$O$2,$Q$2)/$Q$2))</f>
        <v>3181.16794039523</v>
      </c>
      <c r="O155" s="15" t="n">
        <f aca="false">SUMPRODUCT(E155:N155,1/(1+$F$130)^$E$3:$N$3)*$E$2</f>
        <v>8423.70604932395</v>
      </c>
      <c r="P155" s="15" t="n">
        <f aca="false">N155*$E$2*(1+$I$130)/($F$130-$I$130)/(1+$F$130)^$N$3</f>
        <v>12587.8599736317</v>
      </c>
      <c r="Q155" s="15" t="n">
        <f aca="false">O155+P155</f>
        <v>21011.5660229556</v>
      </c>
      <c r="R155" s="15" t="n">
        <f aca="false">Q155-$G$2+$I$2</f>
        <v>15660.0060229556</v>
      </c>
      <c r="S155" s="42" t="n">
        <f aca="false">R155/$K$2</f>
        <v>725.000278840539</v>
      </c>
      <c r="T155" s="43" t="n">
        <f aca="false">S155-$M$2</f>
        <v>0.000278840538953773</v>
      </c>
    </row>
    <row r="157" customFormat="false" ht="15" hidden="false" customHeight="false" outlineLevel="0" collapsed="false">
      <c r="A157" s="38" t="s">
        <v>186</v>
      </c>
      <c r="E157" s="5" t="s">
        <v>11</v>
      </c>
      <c r="F157" s="12" t="n">
        <f aca="false">Sensitivity!$B$10</f>
        <v>0.0869721785729318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162</v>
      </c>
      <c r="B158" s="28" t="s">
        <v>163</v>
      </c>
      <c r="C158" s="28" t="s">
        <v>164</v>
      </c>
      <c r="D158" s="28" t="s">
        <v>165</v>
      </c>
      <c r="E158" s="28" t="s">
        <v>166</v>
      </c>
      <c r="F158" s="28" t="s">
        <v>167</v>
      </c>
      <c r="G158" s="28" t="s">
        <v>168</v>
      </c>
      <c r="H158" s="28" t="s">
        <v>169</v>
      </c>
      <c r="I158" s="28" t="s">
        <v>170</v>
      </c>
      <c r="J158" s="28" t="s">
        <v>171</v>
      </c>
      <c r="K158" s="28" t="s">
        <v>172</v>
      </c>
      <c r="L158" s="28" t="s">
        <v>173</v>
      </c>
      <c r="M158" s="28" t="s">
        <v>174</v>
      </c>
      <c r="N158" s="28" t="s">
        <v>175</v>
      </c>
      <c r="O158" s="28" t="s">
        <v>176</v>
      </c>
      <c r="P158" s="28" t="s">
        <v>177</v>
      </c>
      <c r="Q158" s="28" t="s">
        <v>178</v>
      </c>
      <c r="R158" s="28" t="s">
        <v>179</v>
      </c>
      <c r="S158" s="28" t="s">
        <v>180</v>
      </c>
      <c r="T158" s="28" t="s">
        <v>181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2987.5</v>
      </c>
      <c r="F159" s="15" t="n">
        <f aca="false">E159*(1+IF(F$3&lt;=$O$2,$D159,$D159-($D159-$I$157)*MIN(F$3-$O$2,$Q$2)/$Q$2))</f>
        <v>3734.375</v>
      </c>
      <c r="G159" s="15" t="n">
        <f aca="false">F159*(1+IF(G$3&lt;=$O$2,$D159,$D159-($D159-$I$157)*MIN(G$3-$O$2,$Q$2)/$Q$2))</f>
        <v>4667.96875</v>
      </c>
      <c r="H159" s="15" t="n">
        <f aca="false">G159*(1+IF(H$3&lt;=$O$2,$D159,$D159-($D159-$I$157)*MIN(H$3-$O$2,$Q$2)/$Q$2))</f>
        <v>5834.9609375</v>
      </c>
      <c r="I159" s="15" t="n">
        <f aca="false">H159*(1+IF(I$3&lt;=$O$2,$D159,$D159-($D159-$I$157)*MIN(I$3-$O$2,$Q$2)/$Q$2))</f>
        <v>7293.701171875</v>
      </c>
      <c r="J159" s="15" t="n">
        <f aca="false">I159*(1+IF(J$3&lt;=$O$2,$D159,$D159-($D159-$I$157)*MIN(J$3-$O$2,$Q$2)/$Q$2))</f>
        <v>8808.31115722656</v>
      </c>
      <c r="K159" s="15" t="n">
        <f aca="false">J159*(1+IF(K$3&lt;=$O$2,$D159,$D159-($D159-$I$157)*MIN(K$3-$O$2,$Q$2)/$Q$2))</f>
        <v>10264.5011577393</v>
      </c>
      <c r="L159" s="15" t="n">
        <f aca="false">K159*(1+IF(L$3&lt;=$O$2,$D159,$D159-($D159-$I$157)*MIN(L$3-$O$2,$Q$2)/$Q$2))</f>
        <v>11526.829510118</v>
      </c>
      <c r="M159" s="15" t="n">
        <f aca="false">L159*(1+IF(M$3&lt;=$O$2,$D159,$D159-($D159-$I$157)*MIN(M$3-$O$2,$Q$2)/$Q$2))</f>
        <v>12456.353041814</v>
      </c>
      <c r="N159" s="15" t="n">
        <f aca="false">M159*(1+IF(N$3&lt;=$O$2,$D159,$D159-($D159-$I$157)*MIN(N$3-$O$2,$Q$2)/$Q$2))</f>
        <v>12933.4313633154</v>
      </c>
      <c r="O159" s="15" t="n">
        <f aca="false">SUMPRODUCT(E159:N159,1/(1+$F$157)^$E$3:$N$3)*$E$2</f>
        <v>22246.3479863926</v>
      </c>
      <c r="P159" s="15" t="n">
        <f aca="false">N159*$E$2*(1+$I$157)/($F$157-$I$157)/(1+$F$157)^$N$3</f>
        <v>56707.9478811418</v>
      </c>
      <c r="Q159" s="15" t="n">
        <f aca="false">O159+P159</f>
        <v>78954.2958675344</v>
      </c>
      <c r="R159" s="15" t="n">
        <f aca="false">Q159-$G$2+$I$2</f>
        <v>73602.7358675344</v>
      </c>
      <c r="S159" s="42" t="n">
        <f aca="false">R159/$K$2</f>
        <v>3407.53406794141</v>
      </c>
      <c r="T159" s="43" t="n">
        <f aca="false">S159-$M$2</f>
        <v>2682.53406794141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2091.25</v>
      </c>
      <c r="F160" s="15" t="n">
        <f aca="false">E160*(1+IF(F$3&lt;=$O$2,$D160,$D160-($D160-$I$157)*MIN(F$3-$O$2,$Q$2)/$Q$2))</f>
        <v>1829.84375</v>
      </c>
      <c r="G160" s="15" t="n">
        <f aca="false">F160*(1+IF(G$3&lt;=$O$2,$D160,$D160-($D160-$I$157)*MIN(G$3-$O$2,$Q$2)/$Q$2))</f>
        <v>1601.11328125</v>
      </c>
      <c r="H160" s="15" t="n">
        <f aca="false">G160*(1+IF(H$3&lt;=$O$2,$D160,$D160-($D160-$I$157)*MIN(H$3-$O$2,$Q$2)/$Q$2))</f>
        <v>1400.97412109375</v>
      </c>
      <c r="I160" s="15" t="n">
        <f aca="false">H160*(1+IF(I$3&lt;=$O$2,$D160,$D160-($D160-$I$157)*MIN(I$3-$O$2,$Q$2)/$Q$2))</f>
        <v>1225.85235595703</v>
      </c>
      <c r="J160" s="15" t="n">
        <f aca="false">I160*(1+IF(J$3&lt;=$O$2,$D160,$D160-($D160-$I$157)*MIN(J$3-$O$2,$Q$2)/$Q$2))</f>
        <v>1112.65714940796</v>
      </c>
      <c r="K160" s="15" t="n">
        <f aca="false">J160*(1+IF(K$3&lt;=$O$2,$D160,$D160-($D160-$I$157)*MIN(K$3-$O$2,$Q$2)/$Q$2))</f>
        <v>1046.25377073129</v>
      </c>
      <c r="L160" s="15" t="n">
        <f aca="false">K160*(1+IF(L$3&lt;=$O$2,$D160,$D160-($D160-$I$157)*MIN(L$3-$O$2,$Q$2)/$Q$2))</f>
        <v>1017.98399384613</v>
      </c>
      <c r="M160" s="15" t="n">
        <f aca="false">L160*(1+IF(M$3&lt;=$O$2,$D160,$D160-($D160-$I$157)*MIN(M$3-$O$2,$Q$2)/$Q$2))</f>
        <v>1023.72542357142</v>
      </c>
      <c r="N160" s="15" t="n">
        <f aca="false">M160*(1+IF(N$3&lt;=$O$2,$D160,$D160-($D160-$I$157)*MIN(N$3-$O$2,$Q$2)/$Q$2))</f>
        <v>1062.93410729421</v>
      </c>
      <c r="O160" s="15" t="n">
        <f aca="false">SUMPRODUCT(E160:N160,1/(1+$F$157)^$E$3:$N$3)*$E$2</f>
        <v>4380.40079681114</v>
      </c>
      <c r="P160" s="15" t="n">
        <f aca="false">N160*$E$2*(1+$I$157)/($F$157-$I$157)/(1+$F$157)^$N$3</f>
        <v>4660.54291891154</v>
      </c>
      <c r="Q160" s="15" t="n">
        <f aca="false">O160+P160</f>
        <v>9040.94371572268</v>
      </c>
      <c r="R160" s="15" t="n">
        <f aca="false">Q160-$G$2+$I$2</f>
        <v>3689.38371572268</v>
      </c>
      <c r="S160" s="42" t="n">
        <f aca="false">R160/$K$2</f>
        <v>170.804801653828</v>
      </c>
      <c r="T160" s="43" t="n">
        <f aca="false">S160-$M$2</f>
        <v>-554.195198346172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2539.375</v>
      </c>
      <c r="F161" s="15" t="n">
        <f aca="false">E161*(1+IF(F$3&lt;=$O$2,$D161,$D161-($D161-$I$157)*MIN(F$3-$O$2,$Q$2)/$Q$2))</f>
        <v>2698.0859375</v>
      </c>
      <c r="G161" s="15" t="n">
        <f aca="false">F161*(1+IF(G$3&lt;=$O$2,$D161,$D161-($D161-$I$157)*MIN(G$3-$O$2,$Q$2)/$Q$2))</f>
        <v>2866.71630859375</v>
      </c>
      <c r="H161" s="15" t="n">
        <f aca="false">G161*(1+IF(H$3&lt;=$O$2,$D161,$D161-($D161-$I$157)*MIN(H$3-$O$2,$Q$2)/$Q$2))</f>
        <v>3045.88607788086</v>
      </c>
      <c r="I161" s="15" t="n">
        <f aca="false">H161*(1+IF(I$3&lt;=$O$2,$D161,$D161-($D161-$I$157)*MIN(I$3-$O$2,$Q$2)/$Q$2))</f>
        <v>3236.25395774841</v>
      </c>
      <c r="J161" s="15" t="n">
        <f aca="false">I161*(1+IF(J$3&lt;=$O$2,$D161,$D161-($D161-$I$157)*MIN(J$3-$O$2,$Q$2)/$Q$2))</f>
        <v>3422.85636095219</v>
      </c>
      <c r="K161" s="15" t="n">
        <f aca="false">J161*(1+IF(K$3&lt;=$O$2,$D161,$D161-($D161-$I$157)*MIN(K$3-$O$2,$Q$2)/$Q$2))</f>
        <v>3603.65163393768</v>
      </c>
      <c r="L161" s="15" t="n">
        <f aca="false">K161*(1+IF(L$3&lt;=$O$2,$D161,$D161-($D161-$I$157)*MIN(L$3-$O$2,$Q$2)/$Q$2))</f>
        <v>3776.55483933401</v>
      </c>
      <c r="M161" s="15" t="n">
        <f aca="false">L161*(1+IF(M$3&lt;=$O$2,$D161,$D161-($D161-$I$157)*MIN(M$3-$O$2,$Q$2)/$Q$2))</f>
        <v>3939.47541510288</v>
      </c>
      <c r="N161" s="15" t="n">
        <f aca="false">M161*(1+IF(N$3&lt;=$O$2,$D161,$D161-($D161-$I$157)*MIN(N$3-$O$2,$Q$2)/$Q$2))</f>
        <v>4090.35732350132</v>
      </c>
      <c r="O161" s="15" t="n">
        <f aca="false">SUMPRODUCT(E161:N161,1/(1+$F$157)^$E$3:$N$3)*$E$2</f>
        <v>9855.68632026904</v>
      </c>
      <c r="P161" s="15" t="n">
        <f aca="false">N161*$E$2*(1+$I$157)/($F$157-$I$157)/(1+$F$157)^$N$3</f>
        <v>17934.588540384</v>
      </c>
      <c r="Q161" s="15" t="n">
        <f aca="false">O161+P161</f>
        <v>27790.274860653</v>
      </c>
      <c r="R161" s="15" t="n">
        <f aca="false">Q161-$G$2+$I$2</f>
        <v>22438.714860653</v>
      </c>
      <c r="S161" s="42" t="n">
        <f aca="false">R161/$K$2</f>
        <v>1038.8293916969</v>
      </c>
      <c r="T161" s="43" t="n">
        <f aca="false">S161-$M$2</f>
        <v>313.829391696899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2315.3125</v>
      </c>
      <c r="F162" s="15" t="n">
        <f aca="false">E162*(1+IF(F$3&lt;=$O$2,$D162,$D162-($D162-$I$157)*MIN(F$3-$O$2,$Q$2)/$Q$2))</f>
        <v>2242.958984375</v>
      </c>
      <c r="G162" s="15" t="n">
        <f aca="false">F162*(1+IF(G$3&lt;=$O$2,$D162,$D162-($D162-$I$157)*MIN(G$3-$O$2,$Q$2)/$Q$2))</f>
        <v>2172.86651611328</v>
      </c>
      <c r="H162" s="15" t="n">
        <f aca="false">G162*(1+IF(H$3&lt;=$O$2,$D162,$D162-($D162-$I$157)*MIN(H$3-$O$2,$Q$2)/$Q$2))</f>
        <v>2104.96443748474</v>
      </c>
      <c r="I162" s="15" t="n">
        <f aca="false">H162*(1+IF(I$3&lt;=$O$2,$D162,$D162-($D162-$I$157)*MIN(I$3-$O$2,$Q$2)/$Q$2))</f>
        <v>2039.18429881334</v>
      </c>
      <c r="J162" s="15" t="n">
        <f aca="false">I162*(1+IF(J$3&lt;=$O$2,$D162,$D162-($D162-$I$157)*MIN(J$3-$O$2,$Q$2)/$Q$2))</f>
        <v>2003.82484307192</v>
      </c>
      <c r="K162" s="15" t="n">
        <f aca="false">J162*(1+IF(K$3&lt;=$O$2,$D162,$D162-($D162-$I$157)*MIN(K$3-$O$2,$Q$2)/$Q$2))</f>
        <v>1996.95172386018</v>
      </c>
      <c r="L162" s="15" t="n">
        <f aca="false">K162*(1+IF(L$3&lt;=$O$2,$D162,$D162-($D162-$I$157)*MIN(L$3-$O$2,$Q$2)/$Q$2))</f>
        <v>2017.87977792624</v>
      </c>
      <c r="M162" s="15" t="n">
        <f aca="false">L162*(1+IF(M$3&lt;=$O$2,$D162,$D162-($D162-$I$157)*MIN(M$3-$O$2,$Q$2)/$Q$2))</f>
        <v>2067.09586570986</v>
      </c>
      <c r="N162" s="15" t="n">
        <f aca="false">M162*(1+IF(N$3&lt;=$O$2,$D162,$D162-($D162-$I$157)*MIN(N$3-$O$2,$Q$2)/$Q$2))</f>
        <v>2146.26563736655</v>
      </c>
      <c r="O162" s="15" t="n">
        <f aca="false">SUMPRODUCT(E162:N162,1/(1+$F$157)^$E$3:$N$3)*$E$2</f>
        <v>6551.63238985267</v>
      </c>
      <c r="P162" s="15" t="n">
        <f aca="false">N162*$E$2*(1+$I$157)/($F$157-$I$157)/(1+$F$157)^$N$3</f>
        <v>9410.52041673092</v>
      </c>
      <c r="Q162" s="15" t="n">
        <f aca="false">O162+P162</f>
        <v>15962.1528065836</v>
      </c>
      <c r="R162" s="15" t="n">
        <f aca="false">Q162-$G$2+$I$2</f>
        <v>10610.5928065836</v>
      </c>
      <c r="S162" s="42" t="n">
        <f aca="false">R162/$K$2</f>
        <v>491.231148452944</v>
      </c>
      <c r="T162" s="43" t="n">
        <f aca="false">S162-$M$2</f>
        <v>-233.768851547056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-0.03125</v>
      </c>
      <c r="C163" s="25" t="n">
        <f aca="false">IF(T162&gt;0,D162,C162)</f>
        <v>0.0625</v>
      </c>
      <c r="D163" s="41" t="n">
        <f aca="false">(B163+C163)/2</f>
        <v>0.015625</v>
      </c>
      <c r="E163" s="15" t="n">
        <f aca="false">$C$2*(1+IF(E$3&lt;=$O$2,$D163,$D163-($D163-$I$157)*MIN(E$3-$O$2,$Q$2)/$Q$2))</f>
        <v>2427.34375</v>
      </c>
      <c r="F163" s="15" t="n">
        <f aca="false">E163*(1+IF(F$3&lt;=$O$2,$D163,$D163-($D163-$I$157)*MIN(F$3-$O$2,$Q$2)/$Q$2))</f>
        <v>2465.27099609375</v>
      </c>
      <c r="G163" s="15" t="n">
        <f aca="false">F163*(1+IF(G$3&lt;=$O$2,$D163,$D163-($D163-$I$157)*MIN(G$3-$O$2,$Q$2)/$Q$2))</f>
        <v>2503.79085540772</v>
      </c>
      <c r="H163" s="15" t="n">
        <f aca="false">G163*(1+IF(H$3&lt;=$O$2,$D163,$D163-($D163-$I$157)*MIN(H$3-$O$2,$Q$2)/$Q$2))</f>
        <v>2542.91258752346</v>
      </c>
      <c r="I163" s="15" t="n">
        <f aca="false">H163*(1+IF(I$3&lt;=$O$2,$D163,$D163-($D163-$I$157)*MIN(I$3-$O$2,$Q$2)/$Q$2))</f>
        <v>2582.64559670351</v>
      </c>
      <c r="J163" s="15" t="n">
        <f aca="false">I163*(1+IF(J$3&lt;=$O$2,$D163,$D163-($D163-$I$157)*MIN(J$3-$O$2,$Q$2)/$Q$2))</f>
        <v>2634.71173193306</v>
      </c>
      <c r="K163" s="15" t="n">
        <f aca="false">J163*(1+IF(K$3&lt;=$O$2,$D163,$D163-($D163-$I$157)*MIN(K$3-$O$2,$Q$2)/$Q$2))</f>
        <v>2699.77593815314</v>
      </c>
      <c r="L163" s="15" t="n">
        <f aca="false">K163*(1+IF(L$3&lt;=$O$2,$D163,$D163-($D163-$I$157)*MIN(L$3-$O$2,$Q$2)/$Q$2))</f>
        <v>2778.69038882536</v>
      </c>
      <c r="M163" s="15" t="n">
        <f aca="false">L163*(1+IF(M$3&lt;=$O$2,$D163,$D163-($D163-$I$157)*MIN(M$3-$O$2,$Q$2)/$Q$2))</f>
        <v>2872.51286980405</v>
      </c>
      <c r="N163" s="15" t="n">
        <f aca="false">M163*(1+IF(N$3&lt;=$O$2,$D163,$D163-($D163-$I$157)*MIN(N$3-$O$2,$Q$2)/$Q$2))</f>
        <v>2982.53011271754</v>
      </c>
      <c r="O163" s="15" t="n">
        <f aca="false">SUMPRODUCT(E163:N163,1/(1+$F$157)^$E$3:$N$3)*$E$2</f>
        <v>8032.45932653679</v>
      </c>
      <c r="P163" s="15" t="n">
        <f aca="false">N163*$E$2*(1+$I$157)/($F$157-$I$157)/(1+$F$157)^$N$3</f>
        <v>13077.2072340875</v>
      </c>
      <c r="Q163" s="15" t="n">
        <f aca="false">O163+P163</f>
        <v>21109.6665606243</v>
      </c>
      <c r="R163" s="15" t="n">
        <f aca="false">Q163-$G$2+$I$2</f>
        <v>15758.1065606243</v>
      </c>
      <c r="S163" s="42" t="n">
        <f aca="false">R163/$K$2</f>
        <v>729.541970399273</v>
      </c>
      <c r="T163" s="43" t="n">
        <f aca="false">S163-$M$2</f>
        <v>4.5419703992726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-0.03125</v>
      </c>
      <c r="C164" s="25" t="n">
        <f aca="false">IF(T163&gt;0,D163,C163)</f>
        <v>0.015625</v>
      </c>
      <c r="D164" s="41" t="n">
        <f aca="false">(B164+C164)/2</f>
        <v>-0.0078125</v>
      </c>
      <c r="E164" s="15" t="n">
        <f aca="false">$C$2*(1+IF(E$3&lt;=$O$2,$D164,$D164-($D164-$I$157)*MIN(E$3-$O$2,$Q$2)/$Q$2))</f>
        <v>2371.328125</v>
      </c>
      <c r="F164" s="15" t="n">
        <f aca="false">E164*(1+IF(F$3&lt;=$O$2,$D164,$D164-($D164-$I$157)*MIN(F$3-$O$2,$Q$2)/$Q$2))</f>
        <v>2352.80212402344</v>
      </c>
      <c r="G164" s="15" t="n">
        <f aca="false">F164*(1+IF(G$3&lt;=$O$2,$D164,$D164-($D164-$I$157)*MIN(G$3-$O$2,$Q$2)/$Q$2))</f>
        <v>2334.4208574295</v>
      </c>
      <c r="H164" s="15" t="n">
        <f aca="false">G164*(1+IF(H$3&lt;=$O$2,$D164,$D164-($D164-$I$157)*MIN(H$3-$O$2,$Q$2)/$Q$2))</f>
        <v>2316.18319448084</v>
      </c>
      <c r="I164" s="15" t="n">
        <f aca="false">H164*(1+IF(I$3&lt;=$O$2,$D164,$D164-($D164-$I$157)*MIN(I$3-$O$2,$Q$2)/$Q$2))</f>
        <v>2298.08801327396</v>
      </c>
      <c r="J164" s="15" t="n">
        <f aca="false">I164*(1+IF(J$3&lt;=$O$2,$D164,$D164-($D164-$I$157)*MIN(J$3-$O$2,$Q$2)/$Q$2))</f>
        <v>2301.32831737267</v>
      </c>
      <c r="K164" s="15" t="n">
        <f aca="false">J164*(1+IF(K$3&lt;=$O$2,$D164,$D164-($D164-$I$157)*MIN(K$3-$O$2,$Q$2)/$Q$2))</f>
        <v>2325.79719070714</v>
      </c>
      <c r="L164" s="15" t="n">
        <f aca="false">K164*(1+IF(L$3&lt;=$O$2,$D164,$D164-($D164-$I$157)*MIN(L$3-$O$2,$Q$2)/$Q$2))</f>
        <v>2371.97589392863</v>
      </c>
      <c r="M164" s="15" t="n">
        <f aca="false">L164*(1+IF(M$3&lt;=$O$2,$D164,$D164-($D164-$I$157)*MIN(M$3-$O$2,$Q$2)/$Q$2))</f>
        <v>2440.94702298434</v>
      </c>
      <c r="N164" s="15" t="n">
        <f aca="false">M164*(1+IF(N$3&lt;=$O$2,$D164,$D164-($D164-$I$157)*MIN(N$3-$O$2,$Q$2)/$Q$2))</f>
        <v>2534.43529396464</v>
      </c>
      <c r="O164" s="15" t="n">
        <f aca="false">SUMPRODUCT(E164:N164,1/(1+$F$157)^$E$3:$N$3)*$E$2</f>
        <v>7253.35203109287</v>
      </c>
      <c r="P164" s="15" t="n">
        <f aca="false">N164*$E$2*(1+$I$157)/($F$157-$I$157)/(1+$F$157)^$N$3</f>
        <v>11112.4898351361</v>
      </c>
      <c r="Q164" s="15" t="n">
        <f aca="false">O164+P164</f>
        <v>18365.841866229</v>
      </c>
      <c r="R164" s="15" t="n">
        <f aca="false">Q164-$G$2+$I$2</f>
        <v>13014.281866229</v>
      </c>
      <c r="S164" s="42" t="n">
        <f aca="false">R164/$K$2</f>
        <v>602.513049362452</v>
      </c>
      <c r="T164" s="43" t="n">
        <f aca="false">S164-$M$2</f>
        <v>-122.486950637548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-0.0078125</v>
      </c>
      <c r="C165" s="25" t="n">
        <f aca="false">IF(T164&gt;0,D164,C164)</f>
        <v>0.015625</v>
      </c>
      <c r="D165" s="41" t="n">
        <f aca="false">(B165+C165)/2</f>
        <v>0.00390625</v>
      </c>
      <c r="E165" s="15" t="n">
        <f aca="false">$C$2*(1+IF(E$3&lt;=$O$2,$D165,$D165-($D165-$I$157)*MIN(E$3-$O$2,$Q$2)/$Q$2))</f>
        <v>2399.3359375</v>
      </c>
      <c r="F165" s="15" t="n">
        <f aca="false">E165*(1+IF(F$3&lt;=$O$2,$D165,$D165-($D165-$I$157)*MIN(F$3-$O$2,$Q$2)/$Q$2))</f>
        <v>2408.70834350586</v>
      </c>
      <c r="G165" s="15" t="n">
        <f aca="false">F165*(1+IF(G$3&lt;=$O$2,$D165,$D165-($D165-$I$157)*MIN(G$3-$O$2,$Q$2)/$Q$2))</f>
        <v>2418.11736047268</v>
      </c>
      <c r="H165" s="15" t="n">
        <f aca="false">G165*(1+IF(H$3&lt;=$O$2,$D165,$D165-($D165-$I$157)*MIN(H$3-$O$2,$Q$2)/$Q$2))</f>
        <v>2427.56313141203</v>
      </c>
      <c r="I165" s="15" t="n">
        <f aca="false">H165*(1+IF(I$3&lt;=$O$2,$D165,$D165-($D165-$I$157)*MIN(I$3-$O$2,$Q$2)/$Q$2))</f>
        <v>2437.0457998941</v>
      </c>
      <c r="J165" s="15" t="n">
        <f aca="false">I165*(1+IF(J$3&lt;=$O$2,$D165,$D165-($D165-$I$157)*MIN(J$3-$O$2,$Q$2)/$Q$2))</f>
        <v>2463.32933884596</v>
      </c>
      <c r="K165" s="15" t="n">
        <f aca="false">J165*(1+IF(K$3&lt;=$O$2,$D165,$D165-($D165-$I$157)*MIN(K$3-$O$2,$Q$2)/$Q$2))</f>
        <v>2506.840972455</v>
      </c>
      <c r="L165" s="15" t="n">
        <f aca="false">K165*(1+IF(L$3&lt;=$O$2,$D165,$D165-($D165-$I$157)*MIN(L$3-$O$2,$Q$2)/$Q$2))</f>
        <v>2568.36511702148</v>
      </c>
      <c r="M165" s="15" t="n">
        <f aca="false">L165*(1+IF(M$3&lt;=$O$2,$D165,$D165-($D165-$I$157)*MIN(M$3-$O$2,$Q$2)/$Q$2))</f>
        <v>2649.06635945469</v>
      </c>
      <c r="N165" s="15" t="n">
        <f aca="false">M165*(1+IF(N$3&lt;=$O$2,$D165,$D165-($D165-$I$157)*MIN(N$3-$O$2,$Q$2)/$Q$2))</f>
        <v>2750.5256010218</v>
      </c>
      <c r="O165" s="15" t="n">
        <f aca="false">SUMPRODUCT(E165:N165,1/(1+$F$157)^$E$3:$N$3)*$E$2</f>
        <v>7632.7463900776</v>
      </c>
      <c r="P165" s="15" t="n">
        <f aca="false">N165*$E$2*(1+$I$157)/($F$157-$I$157)/(1+$F$157)^$N$3</f>
        <v>12059.9598085706</v>
      </c>
      <c r="Q165" s="15" t="n">
        <f aca="false">O165+P165</f>
        <v>19692.7061986482</v>
      </c>
      <c r="R165" s="15" t="n">
        <f aca="false">Q165-$G$2+$I$2</f>
        <v>14341.1461986482</v>
      </c>
      <c r="S165" s="42" t="n">
        <f aca="false">R165/$K$2</f>
        <v>663.941953641122</v>
      </c>
      <c r="T165" s="43" t="n">
        <f aca="false">S165-$M$2</f>
        <v>-61.0580463588784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0.00390625</v>
      </c>
      <c r="C166" s="25" t="n">
        <f aca="false">IF(T165&gt;0,D165,C165)</f>
        <v>0.015625</v>
      </c>
      <c r="D166" s="41" t="n">
        <f aca="false">(B166+C166)/2</f>
        <v>0.009765625</v>
      </c>
      <c r="E166" s="15" t="n">
        <f aca="false">$C$2*(1+IF(E$3&lt;=$O$2,$D166,$D166-($D166-$I$157)*MIN(E$3-$O$2,$Q$2)/$Q$2))</f>
        <v>2413.33984375</v>
      </c>
      <c r="F166" s="15" t="n">
        <f aca="false">E166*(1+IF(F$3&lt;=$O$2,$D166,$D166-($D166-$I$157)*MIN(F$3-$O$2,$Q$2)/$Q$2))</f>
        <v>2436.90761566162</v>
      </c>
      <c r="G166" s="15" t="n">
        <f aca="false">F166*(1+IF(G$3&lt;=$O$2,$D166,$D166-($D166-$I$157)*MIN(G$3-$O$2,$Q$2)/$Q$2))</f>
        <v>2460.70554159582</v>
      </c>
      <c r="H166" s="15" t="n">
        <f aca="false">G166*(1+IF(H$3&lt;=$O$2,$D166,$D166-($D166-$I$157)*MIN(H$3-$O$2,$Q$2)/$Q$2))</f>
        <v>2484.73586915046</v>
      </c>
      <c r="I166" s="15" t="n">
        <f aca="false">H166*(1+IF(I$3&lt;=$O$2,$D166,$D166-($D166-$I$157)*MIN(I$3-$O$2,$Q$2)/$Q$2))</f>
        <v>2509.00086787264</v>
      </c>
      <c r="J166" s="15" t="n">
        <f aca="false">I166*(1+IF(J$3&lt;=$O$2,$D166,$D166-($D166-$I$157)*MIN(J$3-$O$2,$Q$2)/$Q$2))</f>
        <v>2547.8213838008</v>
      </c>
      <c r="K166" s="15" t="n">
        <f aca="false">J166*(1+IF(K$3&lt;=$O$2,$D166,$D166-($D166-$I$157)*MIN(K$3-$O$2,$Q$2)/$Q$2))</f>
        <v>2601.78264832133</v>
      </c>
      <c r="L166" s="15" t="n">
        <f aca="false">K166*(1+IF(L$3&lt;=$O$2,$D166,$D166-($D166-$I$157)*MIN(L$3-$O$2,$Q$2)/$Q$2))</f>
        <v>2671.73482704976</v>
      </c>
      <c r="M166" s="15" t="n">
        <f aca="false">L166*(1+IF(M$3&lt;=$O$2,$D166,$D166-($D166-$I$157)*MIN(M$3-$O$2,$Q$2)/$Q$2))</f>
        <v>2758.81501423465</v>
      </c>
      <c r="N166" s="15" t="n">
        <f aca="false">M166*(1+IF(N$3&lt;=$O$2,$D166,$D166-($D166-$I$157)*MIN(N$3-$O$2,$Q$2)/$Q$2))</f>
        <v>2864.47762927983</v>
      </c>
      <c r="O166" s="15" t="n">
        <f aca="false">SUMPRODUCT(E166:N166,1/(1+$F$157)^$E$3:$N$3)*$E$2</f>
        <v>7829.99998277393</v>
      </c>
      <c r="P166" s="15" t="n">
        <f aca="false">N166*$E$2*(1+$I$157)/($F$157-$I$157)/(1+$F$157)^$N$3</f>
        <v>12559.5940895191</v>
      </c>
      <c r="Q166" s="15" t="n">
        <f aca="false">O166+P166</f>
        <v>20389.594072293</v>
      </c>
      <c r="R166" s="15" t="n">
        <f aca="false">Q166-$G$2+$I$2</f>
        <v>15038.034072293</v>
      </c>
      <c r="S166" s="42" t="n">
        <f aca="false">R166/$K$2</f>
        <v>696.205281124678</v>
      </c>
      <c r="T166" s="43" t="n">
        <f aca="false">S166-$M$2</f>
        <v>-28.7947188753219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0.009765625</v>
      </c>
      <c r="C167" s="25" t="n">
        <f aca="false">IF(T166&gt;0,D166,C166)</f>
        <v>0.015625</v>
      </c>
      <c r="D167" s="41" t="n">
        <f aca="false">(B167+C167)/2</f>
        <v>0.0126953125</v>
      </c>
      <c r="E167" s="15" t="n">
        <f aca="false">$C$2*(1+IF(E$3&lt;=$O$2,$D167,$D167-($D167-$I$157)*MIN(E$3-$O$2,$Q$2)/$Q$2))</f>
        <v>2420.341796875</v>
      </c>
      <c r="F167" s="15" t="n">
        <f aca="false">E167*(1+IF(F$3&lt;=$O$2,$D167,$D167-($D167-$I$157)*MIN(F$3-$O$2,$Q$2)/$Q$2))</f>
        <v>2451.06879234314</v>
      </c>
      <c r="G167" s="15" t="n">
        <f aca="false">F167*(1+IF(G$3&lt;=$O$2,$D167,$D167-($D167-$I$157)*MIN(G$3-$O$2,$Q$2)/$Q$2))</f>
        <v>2482.18587662093</v>
      </c>
      <c r="H167" s="15" t="n">
        <f aca="false">G167*(1+IF(H$3&lt;=$O$2,$D167,$D167-($D167-$I$157)*MIN(H$3-$O$2,$Q$2)/$Q$2))</f>
        <v>2513.69800200772</v>
      </c>
      <c r="I167" s="15" t="n">
        <f aca="false">H167*(1+IF(I$3&lt;=$O$2,$D167,$D167-($D167-$I$157)*MIN(I$3-$O$2,$Q$2)/$Q$2))</f>
        <v>2545.61018367384</v>
      </c>
      <c r="J167" s="15" t="n">
        <f aca="false">I167*(1+IF(J$3&lt;=$O$2,$D167,$D167-($D167-$I$157)*MIN(J$3-$O$2,$Q$2)/$Q$2))</f>
        <v>2590.96341110872</v>
      </c>
      <c r="K167" s="15" t="n">
        <f aca="false">J167*(1+IF(K$3&lt;=$O$2,$D167,$D167-($D167-$I$157)*MIN(K$3-$O$2,$Q$2)/$Q$2))</f>
        <v>2650.39282467496</v>
      </c>
      <c r="L167" s="15" t="n">
        <f aca="false">K167*(1+IF(L$3&lt;=$O$2,$D167,$D167-($D167-$I$157)*MIN(L$3-$O$2,$Q$2)/$Q$2))</f>
        <v>2724.75787784879</v>
      </c>
      <c r="M167" s="15" t="n">
        <f aca="false">L167*(1+IF(M$3&lt;=$O$2,$D167,$D167-($D167-$I$157)*MIN(M$3-$O$2,$Q$2)/$Q$2))</f>
        <v>2815.1627897753</v>
      </c>
      <c r="N167" s="15" t="n">
        <f aca="false">M167*(1+IF(N$3&lt;=$O$2,$D167,$D167-($D167-$I$157)*MIN(N$3-$O$2,$Q$2)/$Q$2))</f>
        <v>2922.98352462369</v>
      </c>
      <c r="O167" s="15" t="n">
        <f aca="false">SUMPRODUCT(E167:N167,1/(1+$F$157)^$E$3:$N$3)*$E$2</f>
        <v>7930.57090491511</v>
      </c>
      <c r="P167" s="15" t="n">
        <f aca="false">N167*$E$2*(1+$I$157)/($F$157-$I$157)/(1+$F$157)^$N$3</f>
        <v>12816.1191500927</v>
      </c>
      <c r="Q167" s="15" t="n">
        <f aca="false">O167+P167</f>
        <v>20746.6900550078</v>
      </c>
      <c r="R167" s="15" t="n">
        <f aca="false">Q167-$G$2+$I$2</f>
        <v>15395.1300550078</v>
      </c>
      <c r="S167" s="42" t="n">
        <f aca="false">R167/$K$2</f>
        <v>712.737502546659</v>
      </c>
      <c r="T167" s="43" t="n">
        <f aca="false">S167-$M$2</f>
        <v>-12.2624974533411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0.0126953125</v>
      </c>
      <c r="C168" s="25" t="n">
        <f aca="false">IF(T167&gt;0,D167,C167)</f>
        <v>0.015625</v>
      </c>
      <c r="D168" s="41" t="n">
        <f aca="false">(B168+C168)/2</f>
        <v>0.01416015625</v>
      </c>
      <c r="E168" s="15" t="n">
        <f aca="false">$C$2*(1+IF(E$3&lt;=$O$2,$D168,$D168-($D168-$I$157)*MIN(E$3-$O$2,$Q$2)/$Q$2))</f>
        <v>2423.8427734375</v>
      </c>
      <c r="F168" s="15" t="n">
        <f aca="false">E168*(1+IF(F$3&lt;=$O$2,$D168,$D168-($D168-$I$157)*MIN(F$3-$O$2,$Q$2)/$Q$2))</f>
        <v>2458.16476583481</v>
      </c>
      <c r="G168" s="15" t="n">
        <f aca="false">F168*(1+IF(G$3&lt;=$O$2,$D168,$D168-($D168-$I$157)*MIN(G$3-$O$2,$Q$2)/$Q$2))</f>
        <v>2492.97276300727</v>
      </c>
      <c r="H168" s="15" t="n">
        <f aca="false">G168*(1+IF(H$3&lt;=$O$2,$D168,$D168-($D168-$I$157)*MIN(H$3-$O$2,$Q$2)/$Q$2))</f>
        <v>2528.27364685845</v>
      </c>
      <c r="I168" s="15" t="n">
        <f aca="false">H168*(1+IF(I$3&lt;=$O$2,$D168,$D168-($D168-$I$157)*MIN(I$3-$O$2,$Q$2)/$Q$2))</f>
        <v>2564.07439674072</v>
      </c>
      <c r="J168" s="15" t="n">
        <f aca="false">I168*(1+IF(J$3&lt;=$O$2,$D168,$D168-($D168-$I$157)*MIN(J$3-$O$2,$Q$2)/$Q$2))</f>
        <v>2612.76136189534</v>
      </c>
      <c r="K168" s="15" t="n">
        <f aca="false">J168*(1+IF(K$3&lt;=$O$2,$D168,$D168-($D168-$I$157)*MIN(K$3-$O$2,$Q$2)/$Q$2))</f>
        <v>2674.98713143661</v>
      </c>
      <c r="L168" s="15" t="n">
        <f aca="false">K168*(1+IF(L$3&lt;=$O$2,$D168,$D168-($D168-$I$157)*MIN(L$3-$O$2,$Q$2)/$Q$2))</f>
        <v>2751.60963001618</v>
      </c>
      <c r="M168" s="15" t="n">
        <f aca="false">L168*(1+IF(M$3&lt;=$O$2,$D168,$D168-($D168-$I$157)*MIN(M$3-$O$2,$Q$2)/$Q$2))</f>
        <v>2843.71159353988</v>
      </c>
      <c r="N168" s="15" t="n">
        <f aca="false">M168*(1+IF(N$3&lt;=$O$2,$D168,$D168-($D168-$I$157)*MIN(N$3-$O$2,$Q$2)/$Q$2))</f>
        <v>2952.62574757246</v>
      </c>
      <c r="O168" s="15" t="n">
        <f aca="false">SUMPRODUCT(E168:N168,1/(1+$F$157)^$E$3:$N$3)*$E$2</f>
        <v>7981.34941498492</v>
      </c>
      <c r="P168" s="15" t="n">
        <f aca="false">N168*$E$2*(1+$I$157)/($F$157-$I$157)/(1+$F$157)^$N$3</f>
        <v>12946.0884975025</v>
      </c>
      <c r="Q168" s="15" t="n">
        <f aca="false">O168+P168</f>
        <v>20927.4379124875</v>
      </c>
      <c r="R168" s="15" t="n">
        <f aca="false">Q168-$G$2+$I$2</f>
        <v>15575.8779124875</v>
      </c>
      <c r="S168" s="42" t="n">
        <f aca="false">R168/$K$2</f>
        <v>721.105458911457</v>
      </c>
      <c r="T168" s="43" t="n">
        <f aca="false">S168-$M$2</f>
        <v>-3.89454108854352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0.01416015625</v>
      </c>
      <c r="C169" s="25" t="n">
        <f aca="false">IF(T168&gt;0,D168,C168)</f>
        <v>0.015625</v>
      </c>
      <c r="D169" s="41" t="n">
        <f aca="false">(B169+C169)/2</f>
        <v>0.014892578125</v>
      </c>
      <c r="E169" s="15" t="n">
        <f aca="false">$C$2*(1+IF(E$3&lt;=$O$2,$D169,$D169-($D169-$I$157)*MIN(E$3-$O$2,$Q$2)/$Q$2))</f>
        <v>2425.59326171875</v>
      </c>
      <c r="F169" s="15" t="n">
        <f aca="false">E169*(1+IF(F$3&lt;=$O$2,$D169,$D169-($D169-$I$157)*MIN(F$3-$O$2,$Q$2)/$Q$2))</f>
        <v>2461.71659886837</v>
      </c>
      <c r="G169" s="15" t="n">
        <f aca="false">F169*(1+IF(G$3&lt;=$O$2,$D169,$D169-($D169-$I$157)*MIN(G$3-$O$2,$Q$2)/$Q$2))</f>
        <v>2498.37790563863</v>
      </c>
      <c r="H169" s="15" t="n">
        <f aca="false">G169*(1+IF(H$3&lt;=$O$2,$D169,$D169-($D169-$I$157)*MIN(H$3-$O$2,$Q$2)/$Q$2))</f>
        <v>2535.58519378412</v>
      </c>
      <c r="I169" s="15" t="n">
        <f aca="false">H169*(1+IF(I$3&lt;=$O$2,$D169,$D169-($D169-$I$157)*MIN(I$3-$O$2,$Q$2)/$Q$2))</f>
        <v>2573.34659437515</v>
      </c>
      <c r="J169" s="15" t="n">
        <f aca="false">I169*(1+IF(J$3&lt;=$O$2,$D169,$D169-($D169-$I$157)*MIN(J$3-$O$2,$Q$2)/$Q$2))</f>
        <v>2623.71744144761</v>
      </c>
      <c r="K169" s="15" t="n">
        <f aca="false">J169*(1+IF(K$3&lt;=$O$2,$D169,$D169-($D169-$I$157)*MIN(K$3-$O$2,$Q$2)/$Q$2))</f>
        <v>2687.3571428354</v>
      </c>
      <c r="L169" s="15" t="n">
        <f aca="false">K169*(1+IF(L$3&lt;=$O$2,$D169,$D169-($D169-$I$157)*MIN(L$3-$O$2,$Q$2)/$Q$2))</f>
        <v>2765.12128045753</v>
      </c>
      <c r="M169" s="15" t="n">
        <f aca="false">L169*(1+IF(M$3&lt;=$O$2,$D169,$D169-($D169-$I$157)*MIN(M$3-$O$2,$Q$2)/$Q$2))</f>
        <v>2858.08055342962</v>
      </c>
      <c r="N169" s="15" t="n">
        <f aca="false">M169*(1+IF(N$3&lt;=$O$2,$D169,$D169-($D169-$I$157)*MIN(N$3-$O$2,$Q$2)/$Q$2))</f>
        <v>2967.54503862597</v>
      </c>
      <c r="O169" s="15" t="n">
        <f aca="false">SUMPRODUCT(E169:N169,1/(1+$F$157)^$E$3:$N$3)*$E$2</f>
        <v>8006.86281831787</v>
      </c>
      <c r="P169" s="15" t="n">
        <f aca="false">N169*$E$2*(1+$I$157)/($F$157-$I$157)/(1+$F$157)^$N$3</f>
        <v>13011.5036495778</v>
      </c>
      <c r="Q169" s="15" t="n">
        <f aca="false">O169+P169</f>
        <v>21018.3664678957</v>
      </c>
      <c r="R169" s="15" t="n">
        <f aca="false">Q169-$G$2+$I$2</f>
        <v>15666.8064678957</v>
      </c>
      <c r="S169" s="42" t="n">
        <f aca="false">R169/$K$2</f>
        <v>725.315114254429</v>
      </c>
      <c r="T169" s="43" t="n">
        <f aca="false">S169-$M$2</f>
        <v>0.315114254428522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0.01416015625</v>
      </c>
      <c r="C170" s="25" t="n">
        <f aca="false">IF(T169&gt;0,D169,C169)</f>
        <v>0.014892578125</v>
      </c>
      <c r="D170" s="41" t="n">
        <f aca="false">(B170+C170)/2</f>
        <v>0.0145263671875</v>
      </c>
      <c r="E170" s="15" t="n">
        <f aca="false">$C$2*(1+IF(E$3&lt;=$O$2,$D170,$D170-($D170-$I$157)*MIN(E$3-$O$2,$Q$2)/$Q$2))</f>
        <v>2424.71801757813</v>
      </c>
      <c r="F170" s="15" t="n">
        <f aca="false">E170*(1+IF(F$3&lt;=$O$2,$D170,$D170-($D170-$I$157)*MIN(F$3-$O$2,$Q$2)/$Q$2))</f>
        <v>2459.94036182761</v>
      </c>
      <c r="G170" s="15" t="n">
        <f aca="false">F170*(1+IF(G$3&lt;=$O$2,$D170,$D170-($D170-$I$157)*MIN(G$3-$O$2,$Q$2)/$Q$2))</f>
        <v>2495.67435878287</v>
      </c>
      <c r="H170" s="15" t="n">
        <f aca="false">G170*(1+IF(H$3&lt;=$O$2,$D170,$D170-($D170-$I$157)*MIN(H$3-$O$2,$Q$2)/$Q$2))</f>
        <v>2531.92744089898</v>
      </c>
      <c r="I170" s="15" t="n">
        <f aca="false">H170*(1+IF(I$3&lt;=$O$2,$D170,$D170-($D170-$I$157)*MIN(I$3-$O$2,$Q$2)/$Q$2))</f>
        <v>2568.70714859759</v>
      </c>
      <c r="J170" s="15" t="n">
        <f aca="false">I170*(1+IF(J$3&lt;=$O$2,$D170,$D170-($D170-$I$157)*MIN(J$3-$O$2,$Q$2)/$Q$2))</f>
        <v>2618.23463194599</v>
      </c>
      <c r="K170" s="15" t="n">
        <f aca="false">J170*(1+IF(K$3&lt;=$O$2,$D170,$D170-($D170-$I$157)*MIN(K$3-$O$2,$Q$2)/$Q$2))</f>
        <v>2681.16604909541</v>
      </c>
      <c r="L170" s="15" t="n">
        <f aca="false">K170*(1+IF(L$3&lt;=$O$2,$D170,$D170-($D170-$I$157)*MIN(L$3-$O$2,$Q$2)/$Q$2))</f>
        <v>2758.35828591155</v>
      </c>
      <c r="M170" s="15" t="n">
        <f aca="false">L170*(1+IF(M$3&lt;=$O$2,$D170,$D170-($D170-$I$157)*MIN(M$3-$O$2,$Q$2)/$Q$2))</f>
        <v>2850.88816885105</v>
      </c>
      <c r="N170" s="15" t="n">
        <f aca="false">M170*(1+IF(N$3&lt;=$O$2,$D170,$D170-($D170-$I$157)*MIN(N$3-$O$2,$Q$2)/$Q$2))</f>
        <v>2960.07718571804</v>
      </c>
      <c r="O170" s="15" t="n">
        <f aca="false">SUMPRODUCT(E170:N170,1/(1+$F$157)^$E$3:$N$3)*$E$2</f>
        <v>7994.09574447448</v>
      </c>
      <c r="P170" s="15" t="n">
        <f aca="false">N170*$E$2*(1+$I$157)/($F$157-$I$157)/(1+$F$157)^$N$3</f>
        <v>12978.760087441</v>
      </c>
      <c r="Q170" s="15" t="n">
        <f aca="false">O170+P170</f>
        <v>20972.8558319155</v>
      </c>
      <c r="R170" s="15" t="n">
        <f aca="false">Q170-$G$2+$I$2</f>
        <v>15621.2958319155</v>
      </c>
      <c r="S170" s="42" t="n">
        <f aca="false">R170/$K$2</f>
        <v>723.208140366456</v>
      </c>
      <c r="T170" s="43" t="n">
        <f aca="false">S170-$M$2</f>
        <v>-1.7918596335436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0.0145263671875</v>
      </c>
      <c r="C171" s="25" t="n">
        <f aca="false">IF(T170&gt;0,D170,C170)</f>
        <v>0.014892578125</v>
      </c>
      <c r="D171" s="41" t="n">
        <f aca="false">(B171+C171)/2</f>
        <v>0.01470947265625</v>
      </c>
      <c r="E171" s="15" t="n">
        <f aca="false">$C$2*(1+IF(E$3&lt;=$O$2,$D171,$D171-($D171-$I$157)*MIN(E$3-$O$2,$Q$2)/$Q$2))</f>
        <v>2425.15563964844</v>
      </c>
      <c r="F171" s="15" t="n">
        <f aca="false">E171*(1+IF(F$3&lt;=$O$2,$D171,$D171-($D171-$I$157)*MIN(F$3-$O$2,$Q$2)/$Q$2))</f>
        <v>2460.828400217</v>
      </c>
      <c r="G171" s="15" t="n">
        <f aca="false">F171*(1+IF(G$3&lt;=$O$2,$D171,$D171-($D171-$I$157)*MIN(G$3-$O$2,$Q$2)/$Q$2))</f>
        <v>2497.02588828171</v>
      </c>
      <c r="H171" s="15" t="n">
        <f aca="false">G171*(1+IF(H$3&lt;=$O$2,$D171,$D171-($D171-$I$157)*MIN(H$3-$O$2,$Q$2)/$Q$2))</f>
        <v>2533.75582230734</v>
      </c>
      <c r="I171" s="15" t="n">
        <f aca="false">H171*(1+IF(I$3&lt;=$O$2,$D171,$D171-($D171-$I$157)*MIN(I$3-$O$2,$Q$2)/$Q$2))</f>
        <v>2571.02603429318</v>
      </c>
      <c r="J171" s="15" t="n">
        <f aca="false">I171*(1+IF(J$3&lt;=$O$2,$D171,$D171-($D171-$I$157)*MIN(J$3-$O$2,$Q$2)/$Q$2))</f>
        <v>2620.97484343582</v>
      </c>
      <c r="K171" s="15" t="n">
        <f aca="false">J171*(1+IF(K$3&lt;=$O$2,$D171,$D171-($D171-$I$157)*MIN(K$3-$O$2,$Q$2)/$Q$2))</f>
        <v>2684.2600727126</v>
      </c>
      <c r="L171" s="15" t="n">
        <f aca="false">K171*(1+IF(L$3&lt;=$O$2,$D171,$D171-($D171-$I$157)*MIN(L$3-$O$2,$Q$2)/$Q$2))</f>
        <v>2761.73798924027</v>
      </c>
      <c r="M171" s="15" t="n">
        <f aca="false">L171*(1+IF(M$3&lt;=$O$2,$D171,$D171-($D171-$I$157)*MIN(M$3-$O$2,$Q$2)/$Q$2))</f>
        <v>2854.48238311788</v>
      </c>
      <c r="N171" s="15" t="n">
        <f aca="false">M171*(1+IF(N$3&lt;=$O$2,$D171,$D171-($D171-$I$157)*MIN(N$3-$O$2,$Q$2)/$Q$2))</f>
        <v>2963.8090583913</v>
      </c>
      <c r="O171" s="15" t="n">
        <f aca="false">SUMPRODUCT(E171:N171,1/(1+$F$157)^$E$3:$N$3)*$E$2</f>
        <v>8000.47668636188</v>
      </c>
      <c r="P171" s="15" t="n">
        <f aca="false">N171*$E$2*(1+$I$157)/($F$157-$I$157)/(1+$F$157)^$N$3</f>
        <v>12995.1228634986</v>
      </c>
      <c r="Q171" s="15" t="n">
        <f aca="false">O171+P171</f>
        <v>20995.5995498605</v>
      </c>
      <c r="R171" s="15" t="n">
        <f aca="false">Q171-$G$2+$I$2</f>
        <v>15644.0395498605</v>
      </c>
      <c r="S171" s="42" t="n">
        <f aca="false">R171/$K$2</f>
        <v>724.261090271318</v>
      </c>
      <c r="T171" s="43" t="n">
        <f aca="false">S171-$M$2</f>
        <v>-0.738909728682529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0.01470947265625</v>
      </c>
      <c r="C172" s="25" t="n">
        <f aca="false">IF(T171&gt;0,D171,C171)</f>
        <v>0.014892578125</v>
      </c>
      <c r="D172" s="41" t="n">
        <f aca="false">(B172+C172)/2</f>
        <v>0.014801025390625</v>
      </c>
      <c r="E172" s="15" t="n">
        <f aca="false">$C$2*(1+IF(E$3&lt;=$O$2,$D172,$D172-($D172-$I$157)*MIN(E$3-$O$2,$Q$2)/$Q$2))</f>
        <v>2425.37445068359</v>
      </c>
      <c r="F172" s="15" t="n">
        <f aca="false">E172*(1+IF(F$3&lt;=$O$2,$D172,$D172-($D172-$I$157)*MIN(F$3-$O$2,$Q$2)/$Q$2))</f>
        <v>2461.27247950994</v>
      </c>
      <c r="G172" s="15" t="n">
        <f aca="false">F172*(1+IF(G$3&lt;=$O$2,$D172,$D172-($D172-$I$157)*MIN(G$3-$O$2,$Q$2)/$Q$2))</f>
        <v>2497.70183597241</v>
      </c>
      <c r="H172" s="15" t="n">
        <f aca="false">G172*(1+IF(H$3&lt;=$O$2,$D172,$D172-($D172-$I$157)*MIN(H$3-$O$2,$Q$2)/$Q$2))</f>
        <v>2534.67038426485</v>
      </c>
      <c r="I172" s="15" t="n">
        <f aca="false">H172*(1+IF(I$3&lt;=$O$2,$D172,$D172-($D172-$I$157)*MIN(I$3-$O$2,$Q$2)/$Q$2))</f>
        <v>2572.18610497922</v>
      </c>
      <c r="J172" s="15" t="n">
        <f aca="false">I172*(1+IF(J$3&lt;=$O$2,$D172,$D172-($D172-$I$157)*MIN(J$3-$O$2,$Q$2)/$Q$2))</f>
        <v>2622.34584402272</v>
      </c>
      <c r="K172" s="15" t="n">
        <f aca="false">J172*(1+IF(K$3&lt;=$O$2,$D172,$D172-($D172-$I$157)*MIN(K$3-$O$2,$Q$2)/$Q$2))</f>
        <v>2685.80822680538</v>
      </c>
      <c r="L172" s="15" t="n">
        <f aca="false">K172*(1+IF(L$3&lt;=$O$2,$D172,$D172-($D172-$I$157)*MIN(L$3-$O$2,$Q$2)/$Q$2))</f>
        <v>2763.42918616109</v>
      </c>
      <c r="M172" s="15" t="n">
        <f aca="false">L172*(1+IF(M$3&lt;=$O$2,$D172,$D172-($D172-$I$157)*MIN(M$3-$O$2,$Q$2)/$Q$2))</f>
        <v>2856.28097353498</v>
      </c>
      <c r="N172" s="15" t="n">
        <f aca="false">M172*(1+IF(N$3&lt;=$O$2,$D172,$D172-($D172-$I$157)*MIN(N$3-$O$2,$Q$2)/$Q$2))</f>
        <v>2965.67653482137</v>
      </c>
      <c r="O172" s="15" t="n">
        <f aca="false">SUMPRODUCT(E172:N172,1/(1+$F$157)^$E$3:$N$3)*$E$2</f>
        <v>8003.6691033324</v>
      </c>
      <c r="P172" s="15" t="n">
        <f aca="false">N172*$E$2*(1+$I$157)/($F$157-$I$157)/(1+$F$157)^$N$3</f>
        <v>13003.311004224</v>
      </c>
      <c r="Q172" s="15" t="n">
        <f aca="false">O172+P172</f>
        <v>21006.9801075564</v>
      </c>
      <c r="R172" s="15" t="n">
        <f aca="false">Q172-$G$2+$I$2</f>
        <v>15655.4201075564</v>
      </c>
      <c r="S172" s="42" t="n">
        <f aca="false">R172/$K$2</f>
        <v>724.787967942426</v>
      </c>
      <c r="T172" s="43" t="n">
        <f aca="false">S172-$M$2</f>
        <v>-0.212032057574334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0.014801025390625</v>
      </c>
      <c r="C173" s="25" t="n">
        <f aca="false">IF(T172&gt;0,D172,C172)</f>
        <v>0.014892578125</v>
      </c>
      <c r="D173" s="41" t="n">
        <f aca="false">(B173+C173)/2</f>
        <v>0.0148468017578125</v>
      </c>
      <c r="E173" s="15" t="n">
        <f aca="false">$C$2*(1+IF(E$3&lt;=$O$2,$D173,$D173-($D173-$I$157)*MIN(E$3-$O$2,$Q$2)/$Q$2))</f>
        <v>2425.48385620117</v>
      </c>
      <c r="F173" s="15" t="n">
        <f aca="false">E173*(1+IF(F$3&lt;=$O$2,$D173,$D173-($D173-$I$157)*MIN(F$3-$O$2,$Q$2)/$Q$2))</f>
        <v>2461.49453418097</v>
      </c>
      <c r="G173" s="15" t="n">
        <f aca="false">F173*(1+IF(G$3&lt;=$O$2,$D173,$D173-($D173-$I$157)*MIN(G$3-$O$2,$Q$2)/$Q$2))</f>
        <v>2498.03985555789</v>
      </c>
      <c r="H173" s="15" t="n">
        <f aca="false">G173*(1+IF(H$3&lt;=$O$2,$D173,$D173-($D173-$I$157)*MIN(H$3-$O$2,$Q$2)/$Q$2))</f>
        <v>2535.12775807647</v>
      </c>
      <c r="I173" s="15" t="n">
        <f aca="false">H173*(1+IF(I$3&lt;=$O$2,$D173,$D173-($D173-$I$157)*MIN(I$3-$O$2,$Q$2)/$Q$2))</f>
        <v>2572.76629733136</v>
      </c>
      <c r="J173" s="15" t="n">
        <f aca="false">I173*(1+IF(J$3&lt;=$O$2,$D173,$D173-($D173-$I$157)*MIN(J$3-$O$2,$Q$2)/$Q$2))</f>
        <v>2623.03156811745</v>
      </c>
      <c r="K173" s="15" t="n">
        <f aca="false">J173*(1+IF(K$3&lt;=$O$2,$D173,$D173-($D173-$I$157)*MIN(K$3-$O$2,$Q$2)/$Q$2))</f>
        <v>2686.5825895588</v>
      </c>
      <c r="L173" s="15" t="n">
        <f aca="false">K173*(1+IF(L$3&lt;=$O$2,$D173,$D173-($D173-$I$157)*MIN(L$3-$O$2,$Q$2)/$Q$2))</f>
        <v>2764.27512111213</v>
      </c>
      <c r="M173" s="15" t="n">
        <f aca="false">L173*(1+IF(M$3&lt;=$O$2,$D173,$D173-($D173-$I$157)*MIN(M$3-$O$2,$Q$2)/$Q$2))</f>
        <v>2857.18063976845</v>
      </c>
      <c r="N173" s="15" t="n">
        <f aca="false">M173*(1+IF(N$3&lt;=$O$2,$D173,$D173-($D173-$I$157)*MIN(N$3-$O$2,$Q$2)/$Q$2))</f>
        <v>2966.61065827158</v>
      </c>
      <c r="O173" s="15" t="n">
        <f aca="false">SUMPRODUCT(E173:N173,1/(1+$F$157)^$E$3:$N$3)*$E$2</f>
        <v>8005.26579854214</v>
      </c>
      <c r="P173" s="15" t="n">
        <f aca="false">N173*$E$2*(1+$I$157)/($F$157-$I$157)/(1+$F$157)^$N$3</f>
        <v>13007.4067636896</v>
      </c>
      <c r="Q173" s="15" t="n">
        <f aca="false">O173+P173</f>
        <v>21012.6725622318</v>
      </c>
      <c r="R173" s="15" t="n">
        <f aca="false">Q173-$G$2+$I$2</f>
        <v>15661.1125622318</v>
      </c>
      <c r="S173" s="42" t="n">
        <f aca="false">R173/$K$2</f>
        <v>725.05150751073</v>
      </c>
      <c r="T173" s="43" t="n">
        <f aca="false">S173-$M$2</f>
        <v>0.051507510729607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0.014801025390625</v>
      </c>
      <c r="C174" s="25" t="n">
        <f aca="false">IF(T173&gt;0,D173,C173)</f>
        <v>0.0148468017578125</v>
      </c>
      <c r="D174" s="41" t="n">
        <f aca="false">(B174+C174)/2</f>
        <v>0.0148239135742188</v>
      </c>
      <c r="E174" s="15" t="n">
        <f aca="false">$C$2*(1+IF(E$3&lt;=$O$2,$D174,$D174-($D174-$I$157)*MIN(E$3-$O$2,$Q$2)/$Q$2))</f>
        <v>2425.42915344238</v>
      </c>
      <c r="F174" s="15" t="n">
        <f aca="false">E174*(1+IF(F$3&lt;=$O$2,$D174,$D174-($D174-$I$157)*MIN(F$3-$O$2,$Q$2)/$Q$2))</f>
        <v>2461.3835055934</v>
      </c>
      <c r="G174" s="15" t="n">
        <f aca="false">F174*(1+IF(G$3&lt;=$O$2,$D174,$D174-($D174-$I$157)*MIN(G$3-$O$2,$Q$2)/$Q$2))</f>
        <v>2497.87084195333</v>
      </c>
      <c r="H174" s="15" t="n">
        <f aca="false">G174*(1+IF(H$3&lt;=$O$2,$D174,$D174-($D174-$I$157)*MIN(H$3-$O$2,$Q$2)/$Q$2))</f>
        <v>2534.899063434</v>
      </c>
      <c r="I174" s="15" t="n">
        <f aca="false">H174*(1+IF(I$3&lt;=$O$2,$D174,$D174-($D174-$I$157)*MIN(I$3-$O$2,$Q$2)/$Q$2))</f>
        <v>2572.47618806972</v>
      </c>
      <c r="J174" s="15" t="n">
        <f aca="false">I174*(1+IF(J$3&lt;=$O$2,$D174,$D174-($D174-$I$157)*MIN(J$3-$O$2,$Q$2)/$Q$2))</f>
        <v>2622.68868741728</v>
      </c>
      <c r="K174" s="15" t="n">
        <f aca="false">J174*(1+IF(K$3&lt;=$O$2,$D174,$D174-($D174-$I$157)*MIN(K$3-$O$2,$Q$2)/$Q$2))</f>
        <v>2686.19538436912</v>
      </c>
      <c r="L174" s="15" t="n">
        <f aca="false">K174*(1+IF(L$3&lt;=$O$2,$D174,$D174-($D174-$I$157)*MIN(L$3-$O$2,$Q$2)/$Q$2))</f>
        <v>2763.85212559047</v>
      </c>
      <c r="M174" s="15" t="n">
        <f aca="false">L174*(1+IF(M$3&lt;=$O$2,$D174,$D174-($D174-$I$157)*MIN(M$3-$O$2,$Q$2)/$Q$2))</f>
        <v>2856.73077572689</v>
      </c>
      <c r="N174" s="15" t="n">
        <f aca="false">M174*(1+IF(N$3&lt;=$O$2,$D174,$D174-($D174-$I$157)*MIN(N$3-$O$2,$Q$2)/$Q$2))</f>
        <v>2966.14356443723</v>
      </c>
      <c r="O174" s="15" t="n">
        <f aca="false">SUMPRODUCT(E174:N174,1/(1+$F$157)^$E$3:$N$3)*$E$2</f>
        <v>8004.46741037041</v>
      </c>
      <c r="P174" s="15" t="n">
        <f aca="false">N174*$E$2*(1+$I$157)/($F$157-$I$157)/(1+$F$157)^$N$3</f>
        <v>13005.3587431706</v>
      </c>
      <c r="Q174" s="15" t="n">
        <f aca="false">O174+P174</f>
        <v>21009.826153541</v>
      </c>
      <c r="R174" s="15" t="n">
        <f aca="false">Q174-$G$2+$I$2</f>
        <v>15658.266153541</v>
      </c>
      <c r="S174" s="42" t="n">
        <f aca="false">R174/$K$2</f>
        <v>724.919729330601</v>
      </c>
      <c r="T174" s="43" t="n">
        <f aca="false">S174-$M$2</f>
        <v>-0.0802706693987147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0.0148239135742188</v>
      </c>
      <c r="C175" s="25" t="n">
        <f aca="false">IF(T174&gt;0,D174,C174)</f>
        <v>0.0148468017578125</v>
      </c>
      <c r="D175" s="41" t="n">
        <f aca="false">(B175+C175)/2</f>
        <v>0.0148353576660156</v>
      </c>
      <c r="E175" s="15" t="n">
        <f aca="false">$C$2*(1+IF(E$3&lt;=$O$2,$D175,$D175-($D175-$I$157)*MIN(E$3-$O$2,$Q$2)/$Q$2))</f>
        <v>2425.45650482178</v>
      </c>
      <c r="F175" s="15" t="n">
        <f aca="false">E175*(1+IF(F$3&lt;=$O$2,$D175,$D175-($D175-$I$157)*MIN(F$3-$O$2,$Q$2)/$Q$2))</f>
        <v>2461.43901957417</v>
      </c>
      <c r="G175" s="15" t="n">
        <f aca="false">F175*(1+IF(G$3&lt;=$O$2,$D175,$D175-($D175-$I$157)*MIN(G$3-$O$2,$Q$2)/$Q$2))</f>
        <v>2497.95534780264</v>
      </c>
      <c r="H175" s="15" t="n">
        <f aca="false">G175*(1+IF(H$3&lt;=$O$2,$D175,$D175-($D175-$I$157)*MIN(H$3-$O$2,$Q$2)/$Q$2))</f>
        <v>2535.01340882103</v>
      </c>
      <c r="I175" s="15" t="n">
        <f aca="false">H175*(1+IF(I$3&lt;=$O$2,$D175,$D175-($D175-$I$157)*MIN(I$3-$O$2,$Q$2)/$Q$2))</f>
        <v>2572.62123942904</v>
      </c>
      <c r="J175" s="15" t="n">
        <f aca="false">I175*(1+IF(J$3&lt;=$O$2,$D175,$D175-($D175-$I$157)*MIN(J$3-$O$2,$Q$2)/$Q$2))</f>
        <v>2622.86012310396</v>
      </c>
      <c r="K175" s="15" t="n">
        <f aca="false">J175*(1+IF(K$3&lt;=$O$2,$D175,$D175-($D175-$I$157)*MIN(K$3-$O$2,$Q$2)/$Q$2))</f>
        <v>2686.38898101042</v>
      </c>
      <c r="L175" s="15" t="n">
        <f aca="false">K175*(1+IF(L$3&lt;=$O$2,$D175,$D175-($D175-$I$157)*MIN(L$3-$O$2,$Q$2)/$Q$2))</f>
        <v>2764.06361633937</v>
      </c>
      <c r="M175" s="15" t="n">
        <f aca="false">L175*(1+IF(M$3&lt;=$O$2,$D175,$D175-($D175-$I$157)*MIN(M$3-$O$2,$Q$2)/$Q$2))</f>
        <v>2856.95570001601</v>
      </c>
      <c r="N175" s="15" t="n">
        <f aca="false">M175*(1+IF(N$3&lt;=$O$2,$D175,$D175-($D175-$I$157)*MIN(N$3-$O$2,$Q$2)/$Q$2))</f>
        <v>2966.37710332662</v>
      </c>
      <c r="O175" s="15" t="n">
        <f aca="false">SUMPRODUCT(E175:N175,1/(1+$F$157)^$E$3:$N$3)*$E$2</f>
        <v>8004.86659431408</v>
      </c>
      <c r="P175" s="15" t="n">
        <f aca="false">N175*$E$2*(1+$I$157)/($F$157-$I$157)/(1+$F$157)^$N$3</f>
        <v>13006.3827182315</v>
      </c>
      <c r="Q175" s="15" t="n">
        <f aca="false">O175+P175</f>
        <v>21011.2493125455</v>
      </c>
      <c r="R175" s="15" t="n">
        <f aca="false">Q175-$G$2+$I$2</f>
        <v>15659.6893125455</v>
      </c>
      <c r="S175" s="42" t="n">
        <f aca="false">R175/$K$2</f>
        <v>724.985616321553</v>
      </c>
      <c r="T175" s="43" t="n">
        <f aca="false">S175-$M$2</f>
        <v>-0.014383678447075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0.0148353576660156</v>
      </c>
      <c r="C176" s="25" t="n">
        <f aca="false">IF(T175&gt;0,D175,C175)</f>
        <v>0.0148468017578125</v>
      </c>
      <c r="D176" s="41" t="n">
        <f aca="false">(B176+C176)/2</f>
        <v>0.0148410797119141</v>
      </c>
      <c r="E176" s="15" t="n">
        <f aca="false">$C$2*(1+IF(E$3&lt;=$O$2,$D176,$D176-($D176-$I$157)*MIN(E$3-$O$2,$Q$2)/$Q$2))</f>
        <v>2425.47018051147</v>
      </c>
      <c r="F176" s="15" t="n">
        <f aca="false">E176*(1+IF(F$3&lt;=$O$2,$D176,$D176-($D176-$I$157)*MIN(F$3-$O$2,$Q$2)/$Q$2))</f>
        <v>2461.46677679932</v>
      </c>
      <c r="G176" s="15" t="n">
        <f aca="false">F176*(1+IF(G$3&lt;=$O$2,$D176,$D176-($D176-$I$157)*MIN(G$3-$O$2,$Q$2)/$Q$2))</f>
        <v>2497.99760144202</v>
      </c>
      <c r="H176" s="15" t="n">
        <f aca="false">G176*(1+IF(H$3&lt;=$O$2,$D176,$D176-($D176-$I$157)*MIN(H$3-$O$2,$Q$2)/$Q$2))</f>
        <v>2535.07058296519</v>
      </c>
      <c r="I176" s="15" t="n">
        <f aca="false">H176*(1+IF(I$3&lt;=$O$2,$D176,$D176-($D176-$I$157)*MIN(I$3-$O$2,$Q$2)/$Q$2))</f>
        <v>2572.69376756231</v>
      </c>
      <c r="J176" s="15" t="n">
        <f aca="false">I176*(1+IF(J$3&lt;=$O$2,$D176,$D176-($D176-$I$157)*MIN(J$3-$O$2,$Q$2)/$Q$2))</f>
        <v>2622.94584444483</v>
      </c>
      <c r="K176" s="15" t="n">
        <f aca="false">J176*(1+IF(K$3&lt;=$O$2,$D176,$D176-($D176-$I$157)*MIN(K$3-$O$2,$Q$2)/$Q$2))</f>
        <v>2686.48578379618</v>
      </c>
      <c r="L176" s="15" t="n">
        <f aca="false">K176*(1+IF(L$3&lt;=$O$2,$D176,$D176-($D176-$I$157)*MIN(L$3-$O$2,$Q$2)/$Q$2))</f>
        <v>2764.16936697272</v>
      </c>
      <c r="M176" s="15" t="n">
        <f aca="false">L176*(1+IF(M$3&lt;=$O$2,$D176,$D176-($D176-$I$157)*MIN(M$3-$O$2,$Q$2)/$Q$2))</f>
        <v>2857.06816795926</v>
      </c>
      <c r="N176" s="15" t="n">
        <f aca="false">M176*(1+IF(N$3&lt;=$O$2,$D176,$D176-($D176-$I$157)*MIN(N$3-$O$2,$Q$2)/$Q$2))</f>
        <v>2966.4938787921</v>
      </c>
      <c r="O176" s="15" t="n">
        <f aca="false">SUMPRODUCT(E176:N176,1/(1+$F$157)^$E$3:$N$3)*$E$2</f>
        <v>8005.0661938925</v>
      </c>
      <c r="P176" s="15" t="n">
        <f aca="false">N176*$E$2*(1+$I$157)/($F$157-$I$157)/(1+$F$157)^$N$3</f>
        <v>13006.8947321606</v>
      </c>
      <c r="Q176" s="15" t="n">
        <f aca="false">O176+P176</f>
        <v>21011.9609260531</v>
      </c>
      <c r="R176" s="15" t="n">
        <f aca="false">Q176-$G$2+$I$2</f>
        <v>15660.4009260531</v>
      </c>
      <c r="S176" s="42" t="n">
        <f aca="false">R176/$K$2</f>
        <v>725.018561391348</v>
      </c>
      <c r="T176" s="43" t="n">
        <f aca="false">S176-$M$2</f>
        <v>0.0185613913480438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0.0148353576660156</v>
      </c>
      <c r="C177" s="25" t="n">
        <f aca="false">IF(T176&gt;0,D176,C176)</f>
        <v>0.0148410797119141</v>
      </c>
      <c r="D177" s="41" t="n">
        <f aca="false">(B177+C177)/2</f>
        <v>0.0148382186889648</v>
      </c>
      <c r="E177" s="15" t="n">
        <f aca="false">$C$2*(1+IF(E$3&lt;=$O$2,$D177,$D177-($D177-$I$157)*MIN(E$3-$O$2,$Q$2)/$Q$2))</f>
        <v>2425.46334266663</v>
      </c>
      <c r="F177" s="15" t="n">
        <f aca="false">E177*(1+IF(F$3&lt;=$O$2,$D177,$D177-($D177-$I$157)*MIN(F$3-$O$2,$Q$2)/$Q$2))</f>
        <v>2461.45289816718</v>
      </c>
      <c r="G177" s="15" t="n">
        <f aca="false">F177*(1+IF(G$3&lt;=$O$2,$D177,$D177-($D177-$I$157)*MIN(G$3-$O$2,$Q$2)/$Q$2))</f>
        <v>2497.97647456277</v>
      </c>
      <c r="H177" s="15" t="n">
        <f aca="false">G177*(1+IF(H$3&lt;=$O$2,$D177,$D177-($D177-$I$157)*MIN(H$3-$O$2,$Q$2)/$Q$2))</f>
        <v>2535.04199577222</v>
      </c>
      <c r="I177" s="15" t="n">
        <f aca="false">H177*(1+IF(I$3&lt;=$O$2,$D177,$D177-($D177-$I$157)*MIN(I$3-$O$2,$Q$2)/$Q$2))</f>
        <v>2572.6575032912</v>
      </c>
      <c r="J177" s="15" t="n">
        <f aca="false">I177*(1+IF(J$3&lt;=$O$2,$D177,$D177-($D177-$I$157)*MIN(J$3-$O$2,$Q$2)/$Q$2))</f>
        <v>2622.90298348293</v>
      </c>
      <c r="K177" s="15" t="n">
        <f aca="false">J177*(1+IF(K$3&lt;=$O$2,$D177,$D177-($D177-$I$157)*MIN(K$3-$O$2,$Q$2)/$Q$2))</f>
        <v>2686.4373820312</v>
      </c>
      <c r="L177" s="15" t="n">
        <f aca="false">K177*(1+IF(L$3&lt;=$O$2,$D177,$D177-($D177-$I$157)*MIN(L$3-$O$2,$Q$2)/$Q$2))</f>
        <v>2764.11649121779</v>
      </c>
      <c r="M177" s="15" t="n">
        <f aca="false">L177*(1+IF(M$3&lt;=$O$2,$D177,$D177-($D177-$I$157)*MIN(M$3-$O$2,$Q$2)/$Q$2))</f>
        <v>2857.0119335044</v>
      </c>
      <c r="N177" s="15" t="n">
        <f aca="false">M177*(1+IF(N$3&lt;=$O$2,$D177,$D177-($D177-$I$157)*MIN(N$3-$O$2,$Q$2)/$Q$2))</f>
        <v>2966.43549055762</v>
      </c>
      <c r="O177" s="15" t="n">
        <f aca="false">SUMPRODUCT(E177:N177,1/(1+$F$157)^$E$3:$N$3)*$E$2</f>
        <v>8004.96639346939</v>
      </c>
      <c r="P177" s="15" t="n">
        <f aca="false">N177*$E$2*(1+$I$157)/($F$157-$I$157)/(1+$F$157)^$N$3</f>
        <v>13006.6387229961</v>
      </c>
      <c r="Q177" s="15" t="n">
        <f aca="false">O177+P177</f>
        <v>21011.6051164655</v>
      </c>
      <c r="R177" s="15" t="n">
        <f aca="false">Q177-$G$2+$I$2</f>
        <v>15660.0451164655</v>
      </c>
      <c r="S177" s="42" t="n">
        <f aca="false">R177/$K$2</f>
        <v>725.002088725254</v>
      </c>
      <c r="T177" s="43" t="n">
        <f aca="false">S177-$M$2</f>
        <v>0.00208872525422521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0.0148353576660156</v>
      </c>
      <c r="C178" s="25" t="n">
        <f aca="false">IF(T177&gt;0,D177,C177)</f>
        <v>0.0148382186889648</v>
      </c>
      <c r="D178" s="41" t="n">
        <f aca="false">(B178+C178)/2</f>
        <v>0.0148367881774902</v>
      </c>
      <c r="E178" s="15" t="n">
        <f aca="false">$C$2*(1+IF(E$3&lt;=$O$2,$D178,$D178-($D178-$I$157)*MIN(E$3-$O$2,$Q$2)/$Q$2))</f>
        <v>2425.4599237442</v>
      </c>
      <c r="F178" s="15" t="n">
        <f aca="false">E178*(1+IF(F$3&lt;=$O$2,$D178,$D178-($D178-$I$157)*MIN(F$3-$O$2,$Q$2)/$Q$2))</f>
        <v>2461.44595886579</v>
      </c>
      <c r="G178" s="15" t="n">
        <f aca="false">F178*(1+IF(G$3&lt;=$O$2,$D178,$D178-($D178-$I$157)*MIN(G$3-$O$2,$Q$2)/$Q$2))</f>
        <v>2497.96591116782</v>
      </c>
      <c r="H178" s="15" t="n">
        <f aca="false">G178*(1+IF(H$3&lt;=$O$2,$D178,$D178-($D178-$I$157)*MIN(H$3-$O$2,$Q$2)/$Q$2))</f>
        <v>2535.02770226641</v>
      </c>
      <c r="I178" s="15" t="n">
        <f aca="false">H178*(1+IF(I$3&lt;=$O$2,$D178,$D178-($D178-$I$157)*MIN(I$3-$O$2,$Q$2)/$Q$2))</f>
        <v>2572.639371309</v>
      </c>
      <c r="J178" s="15" t="n">
        <f aca="false">I178*(1+IF(J$3&lt;=$O$2,$D178,$D178-($D178-$I$157)*MIN(J$3-$O$2,$Q$2)/$Q$2))</f>
        <v>2622.88155322058</v>
      </c>
      <c r="K178" s="15" t="n">
        <f aca="false">J178*(1+IF(K$3&lt;=$O$2,$D178,$D178-($D178-$I$157)*MIN(K$3-$O$2,$Q$2)/$Q$2))</f>
        <v>2686.41318142778</v>
      </c>
      <c r="L178" s="15" t="n">
        <f aca="false">K178*(1+IF(L$3&lt;=$O$2,$D178,$D178-($D178-$I$157)*MIN(L$3-$O$2,$Q$2)/$Q$2))</f>
        <v>2764.09005366902</v>
      </c>
      <c r="M178" s="15" t="n">
        <f aca="false">L178*(1+IF(M$3&lt;=$O$2,$D178,$D178-($D178-$I$157)*MIN(M$3-$O$2,$Q$2)/$Q$2))</f>
        <v>2856.9838166394</v>
      </c>
      <c r="N178" s="15" t="n">
        <f aca="false">M178*(1+IF(N$3&lt;=$O$2,$D178,$D178-($D178-$I$157)*MIN(N$3-$O$2,$Q$2)/$Q$2))</f>
        <v>2966.40629681668</v>
      </c>
      <c r="O178" s="15" t="n">
        <f aca="false">SUMPRODUCT(E178:N178,1/(1+$F$157)^$E$3:$N$3)*$E$2</f>
        <v>8004.91649373326</v>
      </c>
      <c r="P178" s="15" t="n">
        <f aca="false">N178*$E$2*(1+$I$157)/($F$157-$I$157)/(1+$F$157)^$N$3</f>
        <v>13006.5107200638</v>
      </c>
      <c r="Q178" s="15" t="n">
        <f aca="false">O178+P178</f>
        <v>21011.4272137971</v>
      </c>
      <c r="R178" s="15" t="n">
        <f aca="false">Q178-$G$2+$I$2</f>
        <v>15659.8672137971</v>
      </c>
      <c r="S178" s="42" t="n">
        <f aca="false">R178/$K$2</f>
        <v>724.993852490605</v>
      </c>
      <c r="T178" s="43" t="n">
        <f aca="false">S178-$M$2</f>
        <v>-0.00614750939530495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0.0148367881774902</v>
      </c>
      <c r="C179" s="25" t="n">
        <f aca="false">IF(T178&gt;0,D178,C178)</f>
        <v>0.0148382186889648</v>
      </c>
      <c r="D179" s="41" t="n">
        <f aca="false">(B179+C179)/2</f>
        <v>0.0148375034332275</v>
      </c>
      <c r="E179" s="15" t="n">
        <f aca="false">$C$2*(1+IF(E$3&lt;=$O$2,$D179,$D179-($D179-$I$157)*MIN(E$3-$O$2,$Q$2)/$Q$2))</f>
        <v>2425.46163320541</v>
      </c>
      <c r="F179" s="15" t="n">
        <f aca="false">E179*(1+IF(F$3&lt;=$O$2,$D179,$D179-($D179-$I$157)*MIN(F$3-$O$2,$Q$2)/$Q$2))</f>
        <v>2461.44942851526</v>
      </c>
      <c r="G179" s="15" t="n">
        <f aca="false">F179*(1+IF(G$3&lt;=$O$2,$D179,$D179-($D179-$I$157)*MIN(G$3-$O$2,$Q$2)/$Q$2))</f>
        <v>2497.97119286157</v>
      </c>
      <c r="H179" s="15" t="n">
        <f aca="false">G179*(1+IF(H$3&lt;=$O$2,$D179,$D179-($D179-$I$157)*MIN(H$3-$O$2,$Q$2)/$Q$2))</f>
        <v>2535.03484901176</v>
      </c>
      <c r="I179" s="15" t="n">
        <f aca="false">H179*(1+IF(I$3&lt;=$O$2,$D179,$D179-($D179-$I$157)*MIN(I$3-$O$2,$Q$2)/$Q$2))</f>
        <v>2572.64843728732</v>
      </c>
      <c r="J179" s="15" t="n">
        <f aca="false">I179*(1+IF(J$3&lt;=$O$2,$D179,$D179-($D179-$I$157)*MIN(J$3-$O$2,$Q$2)/$Q$2))</f>
        <v>2622.89226833353</v>
      </c>
      <c r="K179" s="15" t="n">
        <f aca="false">J179*(1+IF(K$3&lt;=$O$2,$D179,$D179-($D179-$I$157)*MIN(K$3-$O$2,$Q$2)/$Q$2))</f>
        <v>2686.42528170623</v>
      </c>
      <c r="L179" s="15" t="n">
        <f aca="false">K179*(1+IF(L$3&lt;=$O$2,$D179,$D179-($D179-$I$157)*MIN(L$3-$O$2,$Q$2)/$Q$2))</f>
        <v>2764.10327241601</v>
      </c>
      <c r="M179" s="15" t="n">
        <f aca="false">L179*(1+IF(M$3&lt;=$O$2,$D179,$D179-($D179-$I$157)*MIN(M$3-$O$2,$Q$2)/$Q$2))</f>
        <v>2856.99787504169</v>
      </c>
      <c r="N179" s="15" t="n">
        <f aca="false">M179*(1+IF(N$3&lt;=$O$2,$D179,$D179-($D179-$I$157)*MIN(N$3-$O$2,$Q$2)/$Q$2))</f>
        <v>2966.42089365579</v>
      </c>
      <c r="O179" s="15" t="n">
        <f aca="false">SUMPRODUCT(E179:N179,1/(1+$F$157)^$E$3:$N$3)*$E$2</f>
        <v>8004.94144356171</v>
      </c>
      <c r="P179" s="15" t="n">
        <f aca="false">N179*$E$2*(1+$I$157)/($F$157-$I$157)/(1+$F$157)^$N$3</f>
        <v>13006.5747213925</v>
      </c>
      <c r="Q179" s="15" t="n">
        <f aca="false">O179+P179</f>
        <v>21011.5161649542</v>
      </c>
      <c r="R179" s="15" t="n">
        <f aca="false">Q179-$G$2+$I$2</f>
        <v>15659.9561649542</v>
      </c>
      <c r="S179" s="42" t="n">
        <f aca="false">R179/$K$2</f>
        <v>724.99797059973</v>
      </c>
      <c r="T179" s="43" t="n">
        <f aca="false">S179-$M$2</f>
        <v>-0.00202940027031673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0.0148375034332275</v>
      </c>
      <c r="C180" s="25" t="n">
        <f aca="false">IF(T179&gt;0,D179,C179)</f>
        <v>0.0148382186889648</v>
      </c>
      <c r="D180" s="41" t="n">
        <f aca="false">(B180+C180)/2</f>
        <v>0.0148378610610962</v>
      </c>
      <c r="E180" s="15" t="n">
        <f aca="false">$C$2*(1+IF(E$3&lt;=$O$2,$D180,$D180-($D180-$I$157)*MIN(E$3-$O$2,$Q$2)/$Q$2))</f>
        <v>2425.46248793602</v>
      </c>
      <c r="F180" s="15" t="n">
        <f aca="false">E180*(1+IF(F$3&lt;=$O$2,$D180,$D180-($D180-$I$157)*MIN(F$3-$O$2,$Q$2)/$Q$2))</f>
        <v>2461.45116334092</v>
      </c>
      <c r="G180" s="15" t="n">
        <f aca="false">F180*(1+IF(G$3&lt;=$O$2,$D180,$D180-($D180-$I$157)*MIN(G$3-$O$2,$Q$2)/$Q$2))</f>
        <v>2497.97383371124</v>
      </c>
      <c r="H180" s="15" t="n">
        <f aca="false">G180*(1+IF(H$3&lt;=$O$2,$D180,$D180-($D180-$I$157)*MIN(H$3-$O$2,$Q$2)/$Q$2))</f>
        <v>2535.0384223901</v>
      </c>
      <c r="I180" s="15" t="n">
        <f aca="false">H180*(1+IF(I$3&lt;=$O$2,$D180,$D180-($D180-$I$157)*MIN(I$3-$O$2,$Q$2)/$Q$2))</f>
        <v>2572.65297028607</v>
      </c>
      <c r="J180" s="15" t="n">
        <f aca="false">I180*(1+IF(J$3&lt;=$O$2,$D180,$D180-($D180-$I$157)*MIN(J$3-$O$2,$Q$2)/$Q$2))</f>
        <v>2622.89762590368</v>
      </c>
      <c r="K180" s="15" t="n">
        <f aca="false">J180*(1+IF(K$3&lt;=$O$2,$D180,$D180-($D180-$I$157)*MIN(K$3-$O$2,$Q$2)/$Q$2))</f>
        <v>2686.4313318629</v>
      </c>
      <c r="L180" s="15" t="n">
        <f aca="false">K180*(1+IF(L$3&lt;=$O$2,$D180,$D180-($D180-$I$157)*MIN(L$3-$O$2,$Q$2)/$Q$2))</f>
        <v>2764.10988181005</v>
      </c>
      <c r="M180" s="15" t="n">
        <f aca="false">L180*(1+IF(M$3&lt;=$O$2,$D180,$D180-($D180-$I$157)*MIN(M$3-$O$2,$Q$2)/$Q$2))</f>
        <v>2857.00490426549</v>
      </c>
      <c r="N180" s="15" t="n">
        <f aca="false">M180*(1+IF(N$3&lt;=$O$2,$D180,$D180-($D180-$I$157)*MIN(N$3-$O$2,$Q$2)/$Q$2))</f>
        <v>2966.42819209886</v>
      </c>
      <c r="O180" s="15" t="n">
        <f aca="false">SUMPRODUCT(E180:N180,1/(1+$F$157)^$E$3:$N$3)*$E$2</f>
        <v>8004.95391850564</v>
      </c>
      <c r="P180" s="15" t="n">
        <f aca="false">N180*$E$2*(1+$I$157)/($F$157-$I$157)/(1+$F$157)^$N$3</f>
        <v>13006.6067221599</v>
      </c>
      <c r="Q180" s="15" t="n">
        <f aca="false">O180+P180</f>
        <v>21011.5606406655</v>
      </c>
      <c r="R180" s="15" t="n">
        <f aca="false">Q180-$G$2+$I$2</f>
        <v>15660.0006406655</v>
      </c>
      <c r="S180" s="42" t="n">
        <f aca="false">R180/$K$2</f>
        <v>725.000029660442</v>
      </c>
      <c r="T180" s="43" t="n">
        <f aca="false">S180-$M$2</f>
        <v>2.96604417826529E-005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0.0148375034332275</v>
      </c>
      <c r="C181" s="25" t="n">
        <f aca="false">IF(T180&gt;0,D180,C180)</f>
        <v>0.0148378610610962</v>
      </c>
      <c r="D181" s="41" t="n">
        <f aca="false">(B181+C181)/2</f>
        <v>0.0148376822471619</v>
      </c>
      <c r="E181" s="15" t="n">
        <f aca="false">$C$2*(1+IF(E$3&lt;=$O$2,$D181,$D181-($D181-$I$157)*MIN(E$3-$O$2,$Q$2)/$Q$2))</f>
        <v>2425.46206057072</v>
      </c>
      <c r="F181" s="15" t="n">
        <f aca="false">E181*(1+IF(F$3&lt;=$O$2,$D181,$D181-($D181-$I$157)*MIN(F$3-$O$2,$Q$2)/$Q$2))</f>
        <v>2461.45029592801</v>
      </c>
      <c r="G181" s="15" t="n">
        <f aca="false">F181*(1+IF(G$3&lt;=$O$2,$D181,$D181-($D181-$I$157)*MIN(G$3-$O$2,$Q$2)/$Q$2))</f>
        <v>2497.97251328617</v>
      </c>
      <c r="H181" s="15" t="n">
        <f aca="false">G181*(1+IF(H$3&lt;=$O$2,$D181,$D181-($D181-$I$157)*MIN(H$3-$O$2,$Q$2)/$Q$2))</f>
        <v>2535.03663570046</v>
      </c>
      <c r="I181" s="15" t="n">
        <f aca="false">H181*(1+IF(I$3&lt;=$O$2,$D181,$D181-($D181-$I$157)*MIN(I$3-$O$2,$Q$2)/$Q$2))</f>
        <v>2572.6507037859</v>
      </c>
      <c r="J181" s="15" t="n">
        <f aca="false">I181*(1+IF(J$3&lt;=$O$2,$D181,$D181-($D181-$I$157)*MIN(J$3-$O$2,$Q$2)/$Q$2))</f>
        <v>2622.89494711747</v>
      </c>
      <c r="K181" s="15" t="n">
        <f aca="false">J181*(1+IF(K$3&lt;=$O$2,$D181,$D181-($D181-$I$157)*MIN(K$3-$O$2,$Q$2)/$Q$2))</f>
        <v>2686.42830678312</v>
      </c>
      <c r="L181" s="15" t="n">
        <f aca="false">K181*(1+IF(L$3&lt;=$O$2,$D181,$D181-($D181-$I$157)*MIN(L$3-$O$2,$Q$2)/$Q$2))</f>
        <v>2764.10657711132</v>
      </c>
      <c r="M181" s="15" t="n">
        <f aca="false">L181*(1+IF(M$3&lt;=$O$2,$D181,$D181-($D181-$I$157)*MIN(M$3-$O$2,$Q$2)/$Q$2))</f>
        <v>2857.00138965171</v>
      </c>
      <c r="N181" s="15" t="n">
        <f aca="false">M181*(1+IF(N$3&lt;=$O$2,$D181,$D181-($D181-$I$157)*MIN(N$3-$O$2,$Q$2)/$Q$2))</f>
        <v>2966.42454287537</v>
      </c>
      <c r="O181" s="15" t="n">
        <f aca="false">SUMPRODUCT(E181:N181,1/(1+$F$157)^$E$3:$N$3)*$E$2</f>
        <v>8004.9476810312</v>
      </c>
      <c r="P181" s="15" t="n">
        <f aca="false">N181*$E$2*(1+$I$157)/($F$157-$I$157)/(1+$F$157)^$N$3</f>
        <v>13006.5907217676</v>
      </c>
      <c r="Q181" s="15" t="n">
        <f aca="false">O181+P181</f>
        <v>21011.5384027988</v>
      </c>
      <c r="R181" s="15" t="n">
        <f aca="false">Q181-$G$2+$I$2</f>
        <v>15659.9784027988</v>
      </c>
      <c r="S181" s="42" t="n">
        <f aca="false">R181/$K$2</f>
        <v>724.999000129573</v>
      </c>
      <c r="T181" s="43" t="n">
        <f aca="false">S181-$M$2</f>
        <v>-0.000999870426653615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0.0148376822471619</v>
      </c>
      <c r="C182" s="25" t="n">
        <f aca="false">IF(T181&gt;0,D181,C181)</f>
        <v>0.0148378610610962</v>
      </c>
      <c r="D182" s="41" t="n">
        <f aca="false">(B182+C182)/2</f>
        <v>0.014837771654129</v>
      </c>
      <c r="E182" s="15" t="n">
        <f aca="false">$C$2*(1+IF(E$3&lt;=$O$2,$D182,$D182-($D182-$I$157)*MIN(E$3-$O$2,$Q$2)/$Q$2))</f>
        <v>2425.46227425337</v>
      </c>
      <c r="F182" s="15" t="n">
        <f aca="false">E182*(1+IF(F$3&lt;=$O$2,$D182,$D182-($D182-$I$157)*MIN(F$3-$O$2,$Q$2)/$Q$2))</f>
        <v>2461.45072963444</v>
      </c>
      <c r="G182" s="15" t="n">
        <f aca="false">F182*(1+IF(G$3&lt;=$O$2,$D182,$D182-($D182-$I$157)*MIN(G$3-$O$2,$Q$2)/$Q$2))</f>
        <v>2497.97317349865</v>
      </c>
      <c r="H182" s="15" t="n">
        <f aca="false">G182*(1+IF(H$3&lt;=$O$2,$D182,$D182-($D182-$I$157)*MIN(H$3-$O$2,$Q$2)/$Q$2))</f>
        <v>2535.03752904516</v>
      </c>
      <c r="I182" s="15" t="n">
        <f aca="false">H182*(1+IF(I$3&lt;=$O$2,$D182,$D182-($D182-$I$157)*MIN(I$3-$O$2,$Q$2)/$Q$2))</f>
        <v>2572.65183703578</v>
      </c>
      <c r="J182" s="15" t="n">
        <f aca="false">I182*(1+IF(J$3&lt;=$O$2,$D182,$D182-($D182-$I$157)*MIN(J$3-$O$2,$Q$2)/$Q$2))</f>
        <v>2622.89628651029</v>
      </c>
      <c r="K182" s="15" t="n">
        <f aca="false">J182*(1+IF(K$3&lt;=$O$2,$D182,$D182-($D182-$I$157)*MIN(K$3-$O$2,$Q$2)/$Q$2))</f>
        <v>2686.42981932265</v>
      </c>
      <c r="L182" s="15" t="n">
        <f aca="false">K182*(1+IF(L$3&lt;=$O$2,$D182,$D182-($D182-$I$157)*MIN(L$3-$O$2,$Q$2)/$Q$2))</f>
        <v>2764.10822946026</v>
      </c>
      <c r="M182" s="15" t="n">
        <f aca="false">L182*(1+IF(M$3&lt;=$O$2,$D182,$D182-($D182-$I$157)*MIN(M$3-$O$2,$Q$2)/$Q$2))</f>
        <v>2857.00314695813</v>
      </c>
      <c r="N182" s="15" t="n">
        <f aca="false">M182*(1+IF(N$3&lt;=$O$2,$D182,$D182-($D182-$I$157)*MIN(N$3-$O$2,$Q$2)/$Q$2))</f>
        <v>2966.42636748663</v>
      </c>
      <c r="O182" s="15" t="n">
        <f aca="false">SUMPRODUCT(E182:N182,1/(1+$F$157)^$E$3:$N$3)*$E$2</f>
        <v>8004.9507997678</v>
      </c>
      <c r="P182" s="15" t="n">
        <f aca="false">N182*$E$2*(1+$I$157)/($F$157-$I$157)/(1+$F$157)^$N$3</f>
        <v>13006.5987219616</v>
      </c>
      <c r="Q182" s="15" t="n">
        <f aca="false">O182+P182</f>
        <v>21011.5495217294</v>
      </c>
      <c r="R182" s="15" t="n">
        <f aca="false">Q182-$G$2+$I$2</f>
        <v>15659.9895217294</v>
      </c>
      <c r="S182" s="42" t="n">
        <f aca="false">R182/$K$2</f>
        <v>724.99951489488</v>
      </c>
      <c r="T182" s="43" t="n">
        <f aca="false">S182-$M$2</f>
        <v>-0.000485105120219487</v>
      </c>
    </row>
    <row r="184" customFormat="false" ht="15" hidden="false" customHeight="false" outlineLevel="0" collapsed="false">
      <c r="A184" s="38" t="s">
        <v>187</v>
      </c>
      <c r="E184" s="5" t="s">
        <v>11</v>
      </c>
      <c r="F184" s="12" t="n">
        <f aca="false">Sensitivity!$B$11</f>
        <v>0.0919721785729318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162</v>
      </c>
      <c r="B185" s="28" t="s">
        <v>163</v>
      </c>
      <c r="C185" s="28" t="s">
        <v>164</v>
      </c>
      <c r="D185" s="28" t="s">
        <v>165</v>
      </c>
      <c r="E185" s="28" t="s">
        <v>166</v>
      </c>
      <c r="F185" s="28" t="s">
        <v>167</v>
      </c>
      <c r="G185" s="28" t="s">
        <v>168</v>
      </c>
      <c r="H185" s="28" t="s">
        <v>169</v>
      </c>
      <c r="I185" s="28" t="s">
        <v>170</v>
      </c>
      <c r="J185" s="28" t="s">
        <v>171</v>
      </c>
      <c r="K185" s="28" t="s">
        <v>172</v>
      </c>
      <c r="L185" s="28" t="s">
        <v>173</v>
      </c>
      <c r="M185" s="28" t="s">
        <v>174</v>
      </c>
      <c r="N185" s="28" t="s">
        <v>175</v>
      </c>
      <c r="O185" s="28" t="s">
        <v>176</v>
      </c>
      <c r="P185" s="28" t="s">
        <v>177</v>
      </c>
      <c r="Q185" s="28" t="s">
        <v>178</v>
      </c>
      <c r="R185" s="28" t="s">
        <v>179</v>
      </c>
      <c r="S185" s="28" t="s">
        <v>180</v>
      </c>
      <c r="T185" s="28" t="s">
        <v>181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2987.5</v>
      </c>
      <c r="F186" s="15" t="n">
        <f aca="false">E186*(1+IF(F$3&lt;=$O$2,$D186,$D186-($D186-$I$184)*MIN(F$3-$O$2,$Q$2)/$Q$2))</f>
        <v>3734.375</v>
      </c>
      <c r="G186" s="15" t="n">
        <f aca="false">F186*(1+IF(G$3&lt;=$O$2,$D186,$D186-($D186-$I$184)*MIN(G$3-$O$2,$Q$2)/$Q$2))</f>
        <v>4667.96875</v>
      </c>
      <c r="H186" s="15" t="n">
        <f aca="false">G186*(1+IF(H$3&lt;=$O$2,$D186,$D186-($D186-$I$184)*MIN(H$3-$O$2,$Q$2)/$Q$2))</f>
        <v>5834.9609375</v>
      </c>
      <c r="I186" s="15" t="n">
        <f aca="false">H186*(1+IF(I$3&lt;=$O$2,$D186,$D186-($D186-$I$184)*MIN(I$3-$O$2,$Q$2)/$Q$2))</f>
        <v>7293.701171875</v>
      </c>
      <c r="J186" s="15" t="n">
        <f aca="false">I186*(1+IF(J$3&lt;=$O$2,$D186,$D186-($D186-$I$184)*MIN(J$3-$O$2,$Q$2)/$Q$2))</f>
        <v>8779.13635253906</v>
      </c>
      <c r="K186" s="15" t="n">
        <f aca="false">J186*(1+IF(K$3&lt;=$O$2,$D186,$D186-($D186-$I$184)*MIN(K$3-$O$2,$Q$2)/$Q$2))</f>
        <v>10160.2700835205</v>
      </c>
      <c r="L186" s="15" t="n">
        <f aca="false">K186*(1+IF(L$3&lt;=$O$2,$D186,$D186-($D186-$I$184)*MIN(L$3-$O$2,$Q$2)/$Q$2))</f>
        <v>11287.8568573896</v>
      </c>
      <c r="M186" s="15" t="n">
        <f aca="false">L186*(1+IF(M$3&lt;=$O$2,$D186,$D186-($D186-$I$184)*MIN(M$3-$O$2,$Q$2)/$Q$2))</f>
        <v>12017.5039246513</v>
      </c>
      <c r="N186" s="15" t="n">
        <f aca="false">M186*(1+IF(N$3&lt;=$O$2,$D186,$D186-($D186-$I$184)*MIN(N$3-$O$2,$Q$2)/$Q$2))</f>
        <v>12237.4242464724</v>
      </c>
      <c r="O186" s="15" t="n">
        <f aca="false">SUMPRODUCT(E186:N186,1/(1+$F$184)^$E$3:$N$3)*$E$2</f>
        <v>21307.1216169755</v>
      </c>
      <c r="P186" s="15" t="n">
        <f aca="false">N186*$E$2*(1+$I$184)/($F$184-$I$184)/(1+$F$184)^$N$3</f>
        <v>33206.1783643702</v>
      </c>
      <c r="Q186" s="15" t="n">
        <f aca="false">O186+P186</f>
        <v>54513.2999813456</v>
      </c>
      <c r="R186" s="15" t="n">
        <f aca="false">Q186-$G$2+$I$2</f>
        <v>49161.7399813456</v>
      </c>
      <c r="S186" s="42" t="n">
        <f aca="false">R186/$K$2</f>
        <v>2276.00648061785</v>
      </c>
      <c r="T186" s="43" t="n">
        <f aca="false">S186-$M$2</f>
        <v>1551.00648061785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2091.25</v>
      </c>
      <c r="F187" s="15" t="n">
        <f aca="false">E187*(1+IF(F$3&lt;=$O$2,$D187,$D187-($D187-$I$184)*MIN(F$3-$O$2,$Q$2)/$Q$2))</f>
        <v>1829.84375</v>
      </c>
      <c r="G187" s="15" t="n">
        <f aca="false">F187*(1+IF(G$3&lt;=$O$2,$D187,$D187-($D187-$I$184)*MIN(G$3-$O$2,$Q$2)/$Q$2))</f>
        <v>1601.11328125</v>
      </c>
      <c r="H187" s="15" t="n">
        <f aca="false">G187*(1+IF(H$3&lt;=$O$2,$D187,$D187-($D187-$I$184)*MIN(H$3-$O$2,$Q$2)/$Q$2))</f>
        <v>1400.97412109375</v>
      </c>
      <c r="I187" s="15" t="n">
        <f aca="false">H187*(1+IF(I$3&lt;=$O$2,$D187,$D187-($D187-$I$184)*MIN(I$3-$O$2,$Q$2)/$Q$2))</f>
        <v>1225.85235595703</v>
      </c>
      <c r="J187" s="15" t="n">
        <f aca="false">I187*(1+IF(J$3&lt;=$O$2,$D187,$D187-($D187-$I$184)*MIN(J$3-$O$2,$Q$2)/$Q$2))</f>
        <v>1107.75373998413</v>
      </c>
      <c r="K187" s="15" t="n">
        <f aca="false">J187*(1+IF(K$3&lt;=$O$2,$D187,$D187-($D187-$I$184)*MIN(K$3-$O$2,$Q$2)/$Q$2))</f>
        <v>1032.780966862</v>
      </c>
      <c r="L187" s="15" t="n">
        <f aca="false">K187*(1+IF(L$3&lt;=$O$2,$D187,$D187-($D187-$I$184)*MIN(L$3-$O$2,$Q$2)/$Q$2))</f>
        <v>992.481853535049</v>
      </c>
      <c r="M187" s="15" t="n">
        <f aca="false">L187*(1+IF(M$3&lt;=$O$2,$D187,$D187-($D187-$I$184)*MIN(M$3-$O$2,$Q$2)/$Q$2))</f>
        <v>982.199741532426</v>
      </c>
      <c r="N187" s="15" t="n">
        <f aca="false">M187*(1+IF(N$3&lt;=$O$2,$D187,$D187-($D187-$I$184)*MIN(N$3-$O$2,$Q$2)/$Q$2))</f>
        <v>1000.17399680247</v>
      </c>
      <c r="O187" s="15" t="n">
        <f aca="false">SUMPRODUCT(E187:N187,1/(1+$F$184)^$E$3:$N$3)*$E$2</f>
        <v>4266.78292337411</v>
      </c>
      <c r="P187" s="15" t="n">
        <f aca="false">N187*$E$2*(1+$I$184)/($F$184-$I$184)/(1+$F$184)^$N$3</f>
        <v>2713.96622886566</v>
      </c>
      <c r="Q187" s="15" t="n">
        <f aca="false">O187+P187</f>
        <v>6980.74915223976</v>
      </c>
      <c r="R187" s="15" t="n">
        <f aca="false">Q187-$G$2+$I$2</f>
        <v>1629.18915223976</v>
      </c>
      <c r="S187" s="42" t="n">
        <f aca="false">R187/$K$2</f>
        <v>75.4254237148037</v>
      </c>
      <c r="T187" s="43" t="n">
        <f aca="false">S187-$M$2</f>
        <v>-649.574576285196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2539.375</v>
      </c>
      <c r="F188" s="15" t="n">
        <f aca="false">E188*(1+IF(F$3&lt;=$O$2,$D188,$D188-($D188-$I$184)*MIN(F$3-$O$2,$Q$2)/$Q$2))</f>
        <v>2698.0859375</v>
      </c>
      <c r="G188" s="15" t="n">
        <f aca="false">F188*(1+IF(G$3&lt;=$O$2,$D188,$D188-($D188-$I$184)*MIN(G$3-$O$2,$Q$2)/$Q$2))</f>
        <v>2866.71630859375</v>
      </c>
      <c r="H188" s="15" t="n">
        <f aca="false">G188*(1+IF(H$3&lt;=$O$2,$D188,$D188-($D188-$I$184)*MIN(H$3-$O$2,$Q$2)/$Q$2))</f>
        <v>3045.88607788086</v>
      </c>
      <c r="I188" s="15" t="n">
        <f aca="false">H188*(1+IF(I$3&lt;=$O$2,$D188,$D188-($D188-$I$184)*MIN(I$3-$O$2,$Q$2)/$Q$2))</f>
        <v>3236.25395774841</v>
      </c>
      <c r="J188" s="15" t="n">
        <f aca="false">I188*(1+IF(J$3&lt;=$O$2,$D188,$D188-($D188-$I$184)*MIN(J$3-$O$2,$Q$2)/$Q$2))</f>
        <v>3409.91134512119</v>
      </c>
      <c r="K188" s="15" t="n">
        <f aca="false">J188*(1+IF(K$3&lt;=$O$2,$D188,$D188-($D188-$I$184)*MIN(K$3-$O$2,$Q$2)/$Q$2))</f>
        <v>3562.74357160953</v>
      </c>
      <c r="L188" s="15" t="n">
        <f aca="false">K188*(1+IF(L$3&lt;=$O$2,$D188,$D188-($D188-$I$184)*MIN(L$3-$O$2,$Q$2)/$Q$2))</f>
        <v>3690.93108531604</v>
      </c>
      <c r="M188" s="15" t="n">
        <f aca="false">L188*(1+IF(M$3&lt;=$O$2,$D188,$D188-($D188-$I$184)*MIN(M$3-$O$2,$Q$2)/$Q$2))</f>
        <v>3791.10295497151</v>
      </c>
      <c r="N188" s="15" t="n">
        <f aca="false">M188*(1+IF(N$3&lt;=$O$2,$D188,$D188-($D188-$I$184)*MIN(N$3-$O$2,$Q$2)/$Q$2))</f>
        <v>3860.48013904749</v>
      </c>
      <c r="O188" s="15" t="n">
        <f aca="false">SUMPRODUCT(E188:N188,1/(1+$F$184)^$E$3:$N$3)*$E$2</f>
        <v>9510.44505833633</v>
      </c>
      <c r="P188" s="15" t="n">
        <f aca="false">N188*$E$2*(1+$I$184)/($F$184-$I$184)/(1+$F$184)^$N$3</f>
        <v>10475.3900402099</v>
      </c>
      <c r="Q188" s="15" t="n">
        <f aca="false">O188+P188</f>
        <v>19985.8350985462</v>
      </c>
      <c r="R188" s="15" t="n">
        <f aca="false">Q188-$G$2+$I$2</f>
        <v>14634.2750985462</v>
      </c>
      <c r="S188" s="42" t="n">
        <f aca="false">R188/$K$2</f>
        <v>677.512736043805</v>
      </c>
      <c r="T188" s="43" t="n">
        <f aca="false">S188-$M$2</f>
        <v>-47.4872639561951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0.0625</v>
      </c>
      <c r="C189" s="25" t="n">
        <f aca="false">IF(T188&gt;0,D188,C188)</f>
        <v>0.25</v>
      </c>
      <c r="D189" s="41" t="n">
        <f aca="false">(B189+C189)/2</f>
        <v>0.15625</v>
      </c>
      <c r="E189" s="15" t="n">
        <f aca="false">$C$2*(1+IF(E$3&lt;=$O$2,$D189,$D189-($D189-$I$184)*MIN(E$3-$O$2,$Q$2)/$Q$2))</f>
        <v>2763.4375</v>
      </c>
      <c r="F189" s="15" t="n">
        <f aca="false">E189*(1+IF(F$3&lt;=$O$2,$D189,$D189-($D189-$I$184)*MIN(F$3-$O$2,$Q$2)/$Q$2))</f>
        <v>3195.224609375</v>
      </c>
      <c r="G189" s="15" t="n">
        <f aca="false">F189*(1+IF(G$3&lt;=$O$2,$D189,$D189-($D189-$I$184)*MIN(G$3-$O$2,$Q$2)/$Q$2))</f>
        <v>3694.47845458984</v>
      </c>
      <c r="H189" s="15" t="n">
        <f aca="false">G189*(1+IF(H$3&lt;=$O$2,$D189,$D189-($D189-$I$184)*MIN(H$3-$O$2,$Q$2)/$Q$2))</f>
        <v>4271.74071311951</v>
      </c>
      <c r="I189" s="15" t="n">
        <f aca="false">H189*(1+IF(I$3&lt;=$O$2,$D189,$D189-($D189-$I$184)*MIN(I$3-$O$2,$Q$2)/$Q$2))</f>
        <v>4939.20019954443</v>
      </c>
      <c r="J189" s="15" t="n">
        <f aca="false">I189*(1+IF(J$3&lt;=$O$2,$D189,$D189-($D189-$I$184)*MIN(J$3-$O$2,$Q$2)/$Q$2))</f>
        <v>5574.67769721782</v>
      </c>
      <c r="K189" s="15" t="n">
        <f aca="false">J189*(1+IF(K$3&lt;=$O$2,$D189,$D189-($D189-$I$184)*MIN(K$3-$O$2,$Q$2)/$Q$2))</f>
        <v>6138.11037207562</v>
      </c>
      <c r="L189" s="15" t="n">
        <f aca="false">K189*(1+IF(L$3&lt;=$O$2,$D189,$D189-($D189-$I$184)*MIN(L$3-$O$2,$Q$2)/$Q$2))</f>
        <v>6589.13872221574</v>
      </c>
      <c r="M189" s="15" t="n">
        <f aca="false">L189*(1+IF(M$3&lt;=$O$2,$D189,$D189-($D189-$I$184)*MIN(M$3-$O$2,$Q$2)/$Q$2))</f>
        <v>6891.51429817822</v>
      </c>
      <c r="N189" s="15" t="n">
        <f aca="false">M189*(1+IF(N$3&lt;=$O$2,$D189,$D189-($D189-$I$184)*MIN(N$3-$O$2,$Q$2)/$Q$2))</f>
        <v>7017.62900983488</v>
      </c>
      <c r="O189" s="15" t="n">
        <f aca="false">SUMPRODUCT(E189:N189,1/(1+$F$184)^$E$3:$N$3)*$E$2</f>
        <v>14258.1894457705</v>
      </c>
      <c r="P189" s="15" t="n">
        <f aca="false">N189*$E$2*(1+$I$184)/($F$184-$I$184)/(1+$F$184)^$N$3</f>
        <v>19042.2948409858</v>
      </c>
      <c r="Q189" s="15" t="n">
        <f aca="false">O189+P189</f>
        <v>33300.4842867563</v>
      </c>
      <c r="R189" s="15" t="n">
        <f aca="false">Q189-$G$2+$I$2</f>
        <v>27948.9242867563</v>
      </c>
      <c r="S189" s="42" t="n">
        <f aca="false">R189/$K$2</f>
        <v>1293.93167994242</v>
      </c>
      <c r="T189" s="43" t="n">
        <f aca="false">S189-$M$2</f>
        <v>568.931679942422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0.0625</v>
      </c>
      <c r="C190" s="25" t="n">
        <f aca="false">IF(T189&gt;0,D189,C189)</f>
        <v>0.15625</v>
      </c>
      <c r="D190" s="41" t="n">
        <f aca="false">(B190+C190)/2</f>
        <v>0.109375</v>
      </c>
      <c r="E190" s="15" t="n">
        <f aca="false">$C$2*(1+IF(E$3&lt;=$O$2,$D190,$D190-($D190-$I$184)*MIN(E$3-$O$2,$Q$2)/$Q$2))</f>
        <v>2651.40625</v>
      </c>
      <c r="F190" s="15" t="n">
        <f aca="false">E190*(1+IF(F$3&lt;=$O$2,$D190,$D190-($D190-$I$184)*MIN(F$3-$O$2,$Q$2)/$Q$2))</f>
        <v>2941.40380859375</v>
      </c>
      <c r="G190" s="15" t="n">
        <f aca="false">F190*(1+IF(G$3&lt;=$O$2,$D190,$D190-($D190-$I$184)*MIN(G$3-$O$2,$Q$2)/$Q$2))</f>
        <v>3263.11985015869</v>
      </c>
      <c r="H190" s="15" t="n">
        <f aca="false">G190*(1+IF(H$3&lt;=$O$2,$D190,$D190-($D190-$I$184)*MIN(H$3-$O$2,$Q$2)/$Q$2))</f>
        <v>3620.0235837698</v>
      </c>
      <c r="I190" s="15" t="n">
        <f aca="false">H190*(1+IF(I$3&lt;=$O$2,$D190,$D190-($D190-$I$184)*MIN(I$3-$O$2,$Q$2)/$Q$2))</f>
        <v>4015.96366324462</v>
      </c>
      <c r="J190" s="15" t="n">
        <f aca="false">I190*(1+IF(J$3&lt;=$O$2,$D190,$D190-($D190-$I$184)*MIN(J$3-$O$2,$Q$2)/$Q$2))</f>
        <v>4382.058910786</v>
      </c>
      <c r="K190" s="15" t="n">
        <f aca="false">J190*(1+IF(K$3&lt;=$O$2,$D190,$D190-($D190-$I$184)*MIN(K$3-$O$2,$Q$2)/$Q$2))</f>
        <v>4701.70819803328</v>
      </c>
      <c r="L190" s="15" t="n">
        <f aca="false">K190*(1+IF(L$3&lt;=$O$2,$D190,$D190-($D190-$I$184)*MIN(L$3-$O$2,$Q$2)/$Q$2))</f>
        <v>4959.03268771165</v>
      </c>
      <c r="M190" s="15" t="n">
        <f aca="false">L190*(1+IF(M$3&lt;=$O$2,$D190,$D190-($D190-$I$184)*MIN(M$3-$O$2,$Q$2)/$Q$2))</f>
        <v>5140.11176630344</v>
      </c>
      <c r="N190" s="15" t="n">
        <f aca="false">M190*(1+IF(N$3&lt;=$O$2,$D190,$D190-($D190-$I$184)*MIN(N$3-$O$2,$Q$2)/$Q$2))</f>
        <v>5234.17581162679</v>
      </c>
      <c r="O190" s="15" t="n">
        <f aca="false">SUMPRODUCT(E190:N190,1/(1+$F$184)^$E$3:$N$3)*$E$2</f>
        <v>11646.5894356766</v>
      </c>
      <c r="P190" s="15" t="n">
        <f aca="false">N190*$E$2*(1+$I$184)/($F$184-$I$184)/(1+$F$184)^$N$3</f>
        <v>14202.9051286224</v>
      </c>
      <c r="Q190" s="15" t="n">
        <f aca="false">O190+P190</f>
        <v>25849.494564299</v>
      </c>
      <c r="R190" s="15" t="n">
        <f aca="false">Q190-$G$2+$I$2</f>
        <v>20497.934564299</v>
      </c>
      <c r="S190" s="42" t="n">
        <f aca="false">R190/$K$2</f>
        <v>948.978452050879</v>
      </c>
      <c r="T190" s="43" t="n">
        <f aca="false">S190-$M$2</f>
        <v>223.978452050879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0.0625</v>
      </c>
      <c r="C191" s="25" t="n">
        <f aca="false">IF(T190&gt;0,D190,C190)</f>
        <v>0.109375</v>
      </c>
      <c r="D191" s="41" t="n">
        <f aca="false">(B191+C191)/2</f>
        <v>0.0859375</v>
      </c>
      <c r="E191" s="15" t="n">
        <f aca="false">$C$2*(1+IF(E$3&lt;=$O$2,$D191,$D191-($D191-$I$184)*MIN(E$3-$O$2,$Q$2)/$Q$2))</f>
        <v>2595.390625</v>
      </c>
      <c r="F191" s="15" t="n">
        <f aca="false">E191*(1+IF(F$3&lt;=$O$2,$D191,$D191-($D191-$I$184)*MIN(F$3-$O$2,$Q$2)/$Q$2))</f>
        <v>2818.43200683594</v>
      </c>
      <c r="G191" s="15" t="n">
        <f aca="false">F191*(1+IF(G$3&lt;=$O$2,$D191,$D191-($D191-$I$184)*MIN(G$3-$O$2,$Q$2)/$Q$2))</f>
        <v>3060.6410074234</v>
      </c>
      <c r="H191" s="15" t="n">
        <f aca="false">G191*(1+IF(H$3&lt;=$O$2,$D191,$D191-($D191-$I$184)*MIN(H$3-$O$2,$Q$2)/$Q$2))</f>
        <v>3323.66484399885</v>
      </c>
      <c r="I191" s="15" t="n">
        <f aca="false">H191*(1+IF(I$3&lt;=$O$2,$D191,$D191-($D191-$I$184)*MIN(I$3-$O$2,$Q$2)/$Q$2))</f>
        <v>3609.29229153</v>
      </c>
      <c r="J191" s="15" t="n">
        <f aca="false">I191*(1+IF(J$3&lt;=$O$2,$D191,$D191-($D191-$I$184)*MIN(J$3-$O$2,$Q$2)/$Q$2))</f>
        <v>3870.64114635969</v>
      </c>
      <c r="K191" s="15" t="n">
        <f aca="false">J191*(1+IF(K$3&lt;=$O$2,$D191,$D191-($D191-$I$184)*MIN(K$3-$O$2,$Q$2)/$Q$2))</f>
        <v>4098.55417366021</v>
      </c>
      <c r="L191" s="15" t="n">
        <f aca="false">K191*(1+IF(L$3&lt;=$O$2,$D191,$D191-($D191-$I$184)*MIN(L$3-$O$2,$Q$2)/$Q$2))</f>
        <v>4284.44409820657</v>
      </c>
      <c r="M191" s="15" t="n">
        <f aca="false">L191*(1+IF(M$3&lt;=$O$2,$D191,$D191-($D191-$I$184)*MIN(M$3-$O$2,$Q$2)/$Q$2))</f>
        <v>4420.80724274224</v>
      </c>
      <c r="N191" s="15" t="n">
        <f aca="false">M191*(1+IF(N$3&lt;=$O$2,$D191,$D191-($D191-$I$184)*MIN(N$3-$O$2,$Q$2)/$Q$2))</f>
        <v>4501.70801528442</v>
      </c>
      <c r="O191" s="15" t="n">
        <f aca="false">SUMPRODUCT(E191:N191,1/(1+$F$184)^$E$3:$N$3)*$E$2</f>
        <v>10524.4934824351</v>
      </c>
      <c r="P191" s="15" t="n">
        <f aca="false">N191*$E$2*(1+$I$184)/($F$184-$I$184)/(1+$F$184)^$N$3</f>
        <v>12215.3580924467</v>
      </c>
      <c r="Q191" s="15" t="n">
        <f aca="false">O191+P191</f>
        <v>22739.8515748818</v>
      </c>
      <c r="R191" s="15" t="n">
        <f aca="false">Q191-$G$2+$I$2</f>
        <v>17388.2915748818</v>
      </c>
      <c r="S191" s="42" t="n">
        <f aca="false">R191/$K$2</f>
        <v>805.013498837118</v>
      </c>
      <c r="T191" s="43" t="n">
        <f aca="false">S191-$M$2</f>
        <v>80.0134988371182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0.0625</v>
      </c>
      <c r="C192" s="25" t="n">
        <f aca="false">IF(T191&gt;0,D191,C191)</f>
        <v>0.0859375</v>
      </c>
      <c r="D192" s="41" t="n">
        <f aca="false">(B192+C192)/2</f>
        <v>0.07421875</v>
      </c>
      <c r="E192" s="15" t="n">
        <f aca="false">$C$2*(1+IF(E$3&lt;=$O$2,$D192,$D192-($D192-$I$184)*MIN(E$3-$O$2,$Q$2)/$Q$2))</f>
        <v>2567.3828125</v>
      </c>
      <c r="F192" s="15" t="n">
        <f aca="false">E192*(1+IF(F$3&lt;=$O$2,$D192,$D192-($D192-$I$184)*MIN(F$3-$O$2,$Q$2)/$Q$2))</f>
        <v>2757.93075561523</v>
      </c>
      <c r="G192" s="15" t="n">
        <f aca="false">F192*(1+IF(G$3&lt;=$O$2,$D192,$D192-($D192-$I$184)*MIN(G$3-$O$2,$Q$2)/$Q$2))</f>
        <v>2962.62092888355</v>
      </c>
      <c r="H192" s="15" t="n">
        <f aca="false">G192*(1+IF(H$3&lt;=$O$2,$D192,$D192-($D192-$I$184)*MIN(H$3-$O$2,$Q$2)/$Q$2))</f>
        <v>3182.50295094913</v>
      </c>
      <c r="I192" s="15" t="n">
        <f aca="false">H192*(1+IF(I$3&lt;=$O$2,$D192,$D192-($D192-$I$184)*MIN(I$3-$O$2,$Q$2)/$Q$2))</f>
        <v>3418.70434183988</v>
      </c>
      <c r="J192" s="15" t="n">
        <f aca="false">I192*(1+IF(J$3&lt;=$O$2,$D192,$D192-($D192-$I$184)*MIN(J$3-$O$2,$Q$2)/$Q$2))</f>
        <v>3634.20237002776</v>
      </c>
      <c r="K192" s="15" t="n">
        <f aca="false">J192*(1+IF(K$3&lt;=$O$2,$D192,$D192-($D192-$I$184)*MIN(K$3-$O$2,$Q$2)/$Q$2))</f>
        <v>3822.64030566666</v>
      </c>
      <c r="L192" s="15" t="n">
        <f aca="false">K192*(1+IF(L$3&lt;=$O$2,$D192,$D192-($D192-$I$184)*MIN(L$3-$O$2,$Q$2)/$Q$2))</f>
        <v>3978.09753029736</v>
      </c>
      <c r="M192" s="15" t="n">
        <f aca="false">L192*(1+IF(M$3&lt;=$O$2,$D192,$D192-($D192-$I$184)*MIN(M$3-$O$2,$Q$2)/$Q$2))</f>
        <v>4095.38676335627</v>
      </c>
      <c r="N192" s="15" t="n">
        <f aca="false">M192*(1+IF(N$3&lt;=$O$2,$D192,$D192-($D192-$I$184)*MIN(N$3-$O$2,$Q$2)/$Q$2))</f>
        <v>4170.33234112569</v>
      </c>
      <c r="O192" s="15" t="n">
        <f aca="false">SUMPRODUCT(E192:N192,1/(1+$F$184)^$E$3:$N$3)*$E$2</f>
        <v>10004.592351947</v>
      </c>
      <c r="P192" s="15" t="n">
        <f aca="false">N192*$E$2*(1+$I$184)/($F$184-$I$184)/(1+$F$184)^$N$3</f>
        <v>11316.1721591895</v>
      </c>
      <c r="Q192" s="15" t="n">
        <f aca="false">O192+P192</f>
        <v>21320.7645111364</v>
      </c>
      <c r="R192" s="15" t="n">
        <f aca="false">Q192-$G$2+$I$2</f>
        <v>15969.2045111364</v>
      </c>
      <c r="S192" s="42" t="n">
        <f aca="false">R192/$K$2</f>
        <v>739.315023663724</v>
      </c>
      <c r="T192" s="43" t="n">
        <f aca="false">S192-$M$2</f>
        <v>14.315023663724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0.0625</v>
      </c>
      <c r="C193" s="25" t="n">
        <f aca="false">IF(T192&gt;0,D192,C192)</f>
        <v>0.07421875</v>
      </c>
      <c r="D193" s="41" t="n">
        <f aca="false">(B193+C193)/2</f>
        <v>0.068359375</v>
      </c>
      <c r="E193" s="15" t="n">
        <f aca="false">$C$2*(1+IF(E$3&lt;=$O$2,$D193,$D193-($D193-$I$184)*MIN(E$3-$O$2,$Q$2)/$Q$2))</f>
        <v>2553.37890625</v>
      </c>
      <c r="F193" s="15" t="n">
        <f aca="false">E193*(1+IF(F$3&lt;=$O$2,$D193,$D193-($D193-$I$184)*MIN(F$3-$O$2,$Q$2)/$Q$2))</f>
        <v>2727.92629241943</v>
      </c>
      <c r="G193" s="15" t="n">
        <f aca="false">F193*(1+IF(G$3&lt;=$O$2,$D193,$D193-($D193-$I$184)*MIN(G$3-$O$2,$Q$2)/$Q$2))</f>
        <v>2914.40562881529</v>
      </c>
      <c r="H193" s="15" t="n">
        <f aca="false">G193*(1+IF(H$3&lt;=$O$2,$D193,$D193-($D193-$I$184)*MIN(H$3-$O$2,$Q$2)/$Q$2))</f>
        <v>3113.63257609759</v>
      </c>
      <c r="I193" s="15" t="n">
        <f aca="false">H193*(1+IF(I$3&lt;=$O$2,$D193,$D193-($D193-$I$184)*MIN(I$3-$O$2,$Q$2)/$Q$2))</f>
        <v>3326.47855297926</v>
      </c>
      <c r="J193" s="15" t="n">
        <f aca="false">I193*(1+IF(J$3&lt;=$O$2,$D193,$D193-($D193-$I$184)*MIN(J$3-$O$2,$Q$2)/$Q$2))</f>
        <v>3520.57026034922</v>
      </c>
      <c r="K193" s="15" t="n">
        <f aca="false">J193*(1+IF(K$3&lt;=$O$2,$D193,$D193-($D193-$I$184)*MIN(K$3-$O$2,$Q$2)/$Q$2))</f>
        <v>3690.73922423961</v>
      </c>
      <c r="L193" s="15" t="n">
        <f aca="false">K193*(1+IF(L$3&lt;=$O$2,$D193,$D193-($D193-$I$184)*MIN(L$3-$O$2,$Q$2)/$Q$2))</f>
        <v>3832.18219158456</v>
      </c>
      <c r="M193" s="15" t="n">
        <f aca="false">L193*(1+IF(M$3&lt;=$O$2,$D193,$D193-($D193-$I$184)*MIN(M$3-$O$2,$Q$2)/$Q$2))</f>
        <v>3940.67845476993</v>
      </c>
      <c r="N193" s="15" t="n">
        <f aca="false">M193*(1+IF(N$3&lt;=$O$2,$D193,$D193-($D193-$I$184)*MIN(N$3-$O$2,$Q$2)/$Q$2))</f>
        <v>4012.79287049222</v>
      </c>
      <c r="O193" s="15" t="n">
        <f aca="false">SUMPRODUCT(E193:N193,1/(1+$F$184)^$E$3:$N$3)*$E$2</f>
        <v>9754.37531159392</v>
      </c>
      <c r="P193" s="15" t="n">
        <f aca="false">N193*$E$2*(1+$I$184)/($F$184-$I$184)/(1+$F$184)^$N$3</f>
        <v>10888.6897367515</v>
      </c>
      <c r="Q193" s="15" t="n">
        <f aca="false">O193+P193</f>
        <v>20643.0650483454</v>
      </c>
      <c r="R193" s="15" t="n">
        <f aca="false">Q193-$G$2+$I$2</f>
        <v>15291.5050483454</v>
      </c>
      <c r="S193" s="42" t="n">
        <f aca="false">R193/$K$2</f>
        <v>707.940048534509</v>
      </c>
      <c r="T193" s="43" t="n">
        <f aca="false">S193-$M$2</f>
        <v>-17.0599514654907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0.068359375</v>
      </c>
      <c r="C194" s="25" t="n">
        <f aca="false">IF(T193&gt;0,D193,C193)</f>
        <v>0.07421875</v>
      </c>
      <c r="D194" s="41" t="n">
        <f aca="false">(B194+C194)/2</f>
        <v>0.0712890625</v>
      </c>
      <c r="E194" s="15" t="n">
        <f aca="false">$C$2*(1+IF(E$3&lt;=$O$2,$D194,$D194-($D194-$I$184)*MIN(E$3-$O$2,$Q$2)/$Q$2))</f>
        <v>2560.380859375</v>
      </c>
      <c r="F194" s="15" t="n">
        <f aca="false">E194*(1+IF(F$3&lt;=$O$2,$D194,$D194-($D194-$I$184)*MIN(F$3-$O$2,$Q$2)/$Q$2))</f>
        <v>2742.90801048279</v>
      </c>
      <c r="G194" s="15" t="n">
        <f aca="false">F194*(1+IF(G$3&lt;=$O$2,$D194,$D194-($D194-$I$184)*MIN(G$3-$O$2,$Q$2)/$Q$2))</f>
        <v>2938.44735107385</v>
      </c>
      <c r="H194" s="15" t="n">
        <f aca="false">G194*(1+IF(H$3&lt;=$O$2,$D194,$D194-($D194-$I$184)*MIN(H$3-$O$2,$Q$2)/$Q$2))</f>
        <v>3147.92650793751</v>
      </c>
      <c r="I194" s="15" t="n">
        <f aca="false">H194*(1+IF(I$3&lt;=$O$2,$D194,$D194-($D194-$I$184)*MIN(I$3-$O$2,$Q$2)/$Q$2))</f>
        <v>3372.33923750727</v>
      </c>
      <c r="J194" s="15" t="n">
        <f aca="false">I194*(1+IF(J$3&lt;=$O$2,$D194,$D194-($D194-$I$184)*MIN(J$3-$O$2,$Q$2)/$Q$2))</f>
        <v>3577.01072125564</v>
      </c>
      <c r="K194" s="15" t="n">
        <f aca="false">J194*(1+IF(K$3&lt;=$O$2,$D194,$D194-($D194-$I$184)*MIN(K$3-$O$2,$Q$2)/$Q$2))</f>
        <v>3756.19548425769</v>
      </c>
      <c r="L194" s="15" t="n">
        <f aca="false">K194*(1+IF(L$3&lt;=$O$2,$D194,$D194-($D194-$I$184)*MIN(L$3-$O$2,$Q$2)/$Q$2))</f>
        <v>3904.54877253062</v>
      </c>
      <c r="M194" s="15" t="n">
        <f aca="false">L194*(1+IF(M$3&lt;=$O$2,$D194,$D194-($D194-$I$184)*MIN(M$3-$O$2,$Q$2)/$Q$2))</f>
        <v>4017.38169085632</v>
      </c>
      <c r="N194" s="15" t="n">
        <f aca="false">M194*(1+IF(N$3&lt;=$O$2,$D194,$D194-($D194-$I$184)*MIN(N$3-$O$2,$Q$2)/$Q$2))</f>
        <v>4090.89977579899</v>
      </c>
      <c r="O194" s="15" t="n">
        <f aca="false">SUMPRODUCT(E194:N194,1/(1+$F$184)^$E$3:$N$3)*$E$2</f>
        <v>9878.68862577715</v>
      </c>
      <c r="P194" s="15" t="n">
        <f aca="false">N194*$E$2*(1+$I$184)/($F$184-$I$184)/(1+$F$184)^$N$3</f>
        <v>11100.632362656</v>
      </c>
      <c r="Q194" s="15" t="n">
        <f aca="false">O194+P194</f>
        <v>20979.3209884332</v>
      </c>
      <c r="R194" s="15" t="n">
        <f aca="false">Q194-$G$2+$I$2</f>
        <v>15627.7609884332</v>
      </c>
      <c r="S194" s="42" t="n">
        <f aca="false">R194/$K$2</f>
        <v>723.507453168203</v>
      </c>
      <c r="T194" s="43" t="n">
        <f aca="false">S194-$M$2</f>
        <v>-1.49254683179709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0.0712890625</v>
      </c>
      <c r="C195" s="25" t="n">
        <f aca="false">IF(T194&gt;0,D194,C194)</f>
        <v>0.07421875</v>
      </c>
      <c r="D195" s="41" t="n">
        <f aca="false">(B195+C195)/2</f>
        <v>0.07275390625</v>
      </c>
      <c r="E195" s="15" t="n">
        <f aca="false">$C$2*(1+IF(E$3&lt;=$O$2,$D195,$D195-($D195-$I$184)*MIN(E$3-$O$2,$Q$2)/$Q$2))</f>
        <v>2563.8818359375</v>
      </c>
      <c r="F195" s="15" t="n">
        <f aca="false">E195*(1+IF(F$3&lt;=$O$2,$D195,$D195-($D195-$I$184)*MIN(F$3-$O$2,$Q$2)/$Q$2))</f>
        <v>2750.41425466537</v>
      </c>
      <c r="G195" s="15" t="n">
        <f aca="false">F195*(1+IF(G$3&lt;=$O$2,$D195,$D195-($D195-$I$184)*MIN(G$3-$O$2,$Q$2)/$Q$2))</f>
        <v>2950.51763549796</v>
      </c>
      <c r="H195" s="15" t="n">
        <f aca="false">G195*(1+IF(H$3&lt;=$O$2,$D195,$D195-($D195-$I$184)*MIN(H$3-$O$2,$Q$2)/$Q$2))</f>
        <v>3165.17931893995</v>
      </c>
      <c r="I195" s="15" t="n">
        <f aca="false">H195*(1+IF(I$3&lt;=$O$2,$D195,$D195-($D195-$I$184)*MIN(I$3-$O$2,$Q$2)/$Q$2))</f>
        <v>3395.45847837455</v>
      </c>
      <c r="J195" s="15" t="n">
        <f aca="false">I195*(1+IF(J$3&lt;=$O$2,$D195,$D195-($D195-$I$184)*MIN(J$3-$O$2,$Q$2)/$Q$2))</f>
        <v>3605.51215065454</v>
      </c>
      <c r="K195" s="15" t="n">
        <f aca="false">J195*(1+IF(K$3&lt;=$O$2,$D195,$D195-($D195-$I$184)*MIN(K$3-$O$2,$Q$2)/$Q$2))</f>
        <v>3789.29355539251</v>
      </c>
      <c r="L195" s="15" t="n">
        <f aca="false">K195*(1+IF(L$3&lt;=$O$2,$D195,$D195-($D195-$I$184)*MIN(L$3-$O$2,$Q$2)/$Q$2))</f>
        <v>3941.17436186382</v>
      </c>
      <c r="M195" s="15" t="n">
        <f aca="false">L195*(1+IF(M$3&lt;=$O$2,$D195,$D195-($D195-$I$184)*MIN(M$3-$O$2,$Q$2)/$Q$2))</f>
        <v>4056.2203205291</v>
      </c>
      <c r="N195" s="15" t="n">
        <f aca="false">M195*(1+IF(N$3&lt;=$O$2,$D195,$D195-($D195-$I$184)*MIN(N$3-$O$2,$Q$2)/$Q$2))</f>
        <v>4130.44915239478</v>
      </c>
      <c r="O195" s="15" t="n">
        <f aca="false">SUMPRODUCT(E195:N195,1/(1+$F$184)^$E$3:$N$3)*$E$2</f>
        <v>9941.44050707817</v>
      </c>
      <c r="P195" s="15" t="n">
        <f aca="false">N195*$E$2*(1+$I$184)/($F$184-$I$184)/(1+$F$184)^$N$3</f>
        <v>11207.9493622949</v>
      </c>
      <c r="Q195" s="15" t="n">
        <f aca="false">O195+P195</f>
        <v>21149.3898693731</v>
      </c>
      <c r="R195" s="15" t="n">
        <f aca="false">Q195-$G$2+$I$2</f>
        <v>15797.8298693731</v>
      </c>
      <c r="S195" s="42" t="n">
        <f aca="false">R195/$K$2</f>
        <v>731.381012470976</v>
      </c>
      <c r="T195" s="43" t="n">
        <f aca="false">S195-$M$2</f>
        <v>6.38101247097632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0.0712890625</v>
      </c>
      <c r="C196" s="25" t="n">
        <f aca="false">IF(T195&gt;0,D195,C195)</f>
        <v>0.07275390625</v>
      </c>
      <c r="D196" s="41" t="n">
        <f aca="false">(B196+C196)/2</f>
        <v>0.072021484375</v>
      </c>
      <c r="E196" s="15" t="n">
        <f aca="false">$C$2*(1+IF(E$3&lt;=$O$2,$D196,$D196-($D196-$I$184)*MIN(E$3-$O$2,$Q$2)/$Q$2))</f>
        <v>2562.13134765625</v>
      </c>
      <c r="F196" s="15" t="n">
        <f aca="false">E196*(1+IF(F$3&lt;=$O$2,$D196,$D196-($D196-$I$184)*MIN(F$3-$O$2,$Q$2)/$Q$2))</f>
        <v>2746.65985047817</v>
      </c>
      <c r="G196" s="15" t="n">
        <f aca="false">F196*(1+IF(G$3&lt;=$O$2,$D196,$D196-($D196-$I$184)*MIN(G$3-$O$2,$Q$2)/$Q$2))</f>
        <v>2944.47836998283</v>
      </c>
      <c r="H196" s="15" t="n">
        <f aca="false">G196*(1+IF(H$3&lt;=$O$2,$D196,$D196-($D196-$I$184)*MIN(H$3-$O$2,$Q$2)/$Q$2))</f>
        <v>3156.54407289907</v>
      </c>
      <c r="I196" s="15" t="n">
        <f aca="false">H196*(1+IF(I$3&lt;=$O$2,$D196,$D196-($D196-$I$184)*MIN(I$3-$O$2,$Q$2)/$Q$2))</f>
        <v>3383.88306252437</v>
      </c>
      <c r="J196" s="15" t="n">
        <f aca="false">I196*(1+IF(J$3&lt;=$O$2,$D196,$D196-($D196-$I$184)*MIN(J$3-$O$2,$Q$2)/$Q$2))</f>
        <v>3591.23789942475</v>
      </c>
      <c r="K196" s="15" t="n">
        <f aca="false">J196*(1+IF(K$3&lt;=$O$2,$D196,$D196-($D196-$I$184)*MIN(K$3-$O$2,$Q$2)/$Q$2))</f>
        <v>3772.71353140473</v>
      </c>
      <c r="L196" s="15" t="n">
        <f aca="false">K196*(1+IF(L$3&lt;=$O$2,$D196,$D196-($D196-$I$184)*MIN(L$3-$O$2,$Q$2)/$Q$2))</f>
        <v>3922.82449744092</v>
      </c>
      <c r="M196" s="15" t="n">
        <f aca="false">L196*(1+IF(M$3&lt;=$O$2,$D196,$D196-($D196-$I$184)*MIN(M$3-$O$2,$Q$2)/$Q$2))</f>
        <v>4036.76017673312</v>
      </c>
      <c r="N196" s="15" t="n">
        <f aca="false">M196*(1+IF(N$3&lt;=$O$2,$D196,$D196-($D196-$I$184)*MIN(N$3-$O$2,$Q$2)/$Q$2))</f>
        <v>4110.63288796734</v>
      </c>
      <c r="O196" s="15" t="n">
        <f aca="false">SUMPRODUCT(E196:N196,1/(1+$F$184)^$E$3:$N$3)*$E$2</f>
        <v>9910.01471899253</v>
      </c>
      <c r="P196" s="15" t="n">
        <f aca="false">N196*$E$2*(1+$I$184)/($F$184-$I$184)/(1+$F$184)^$N$3</f>
        <v>11154.1780458937</v>
      </c>
      <c r="Q196" s="15" t="n">
        <f aca="false">O196+P196</f>
        <v>21064.1927648862</v>
      </c>
      <c r="R196" s="15" t="n">
        <f aca="false">Q196-$G$2+$I$2</f>
        <v>15712.6327648862</v>
      </c>
      <c r="S196" s="42" t="n">
        <f aca="false">R196/$K$2</f>
        <v>727.436702078066</v>
      </c>
      <c r="T196" s="43" t="n">
        <f aca="false">S196-$M$2</f>
        <v>2.43670207806565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0.0712890625</v>
      </c>
      <c r="C197" s="25" t="n">
        <f aca="false">IF(T196&gt;0,D196,C196)</f>
        <v>0.072021484375</v>
      </c>
      <c r="D197" s="41" t="n">
        <f aca="false">(B197+C197)/2</f>
        <v>0.0716552734375</v>
      </c>
      <c r="E197" s="15" t="n">
        <f aca="false">$C$2*(1+IF(E$3&lt;=$O$2,$D197,$D197-($D197-$I$184)*MIN(E$3-$O$2,$Q$2)/$Q$2))</f>
        <v>2561.25610351563</v>
      </c>
      <c r="F197" s="15" t="n">
        <f aca="false">E197*(1+IF(F$3&lt;=$O$2,$D197,$D197-($D197-$I$184)*MIN(F$3-$O$2,$Q$2)/$Q$2))</f>
        <v>2744.7836099565</v>
      </c>
      <c r="G197" s="15" t="n">
        <f aca="false">F197*(1+IF(G$3&lt;=$O$2,$D197,$D197-($D197-$I$184)*MIN(G$3-$O$2,$Q$2)/$Q$2))</f>
        <v>2941.4618300547</v>
      </c>
      <c r="H197" s="15" t="n">
        <f aca="false">G197*(1+IF(H$3&lt;=$O$2,$D197,$D197-($D197-$I$184)*MIN(H$3-$O$2,$Q$2)/$Q$2))</f>
        <v>3152.23308179324</v>
      </c>
      <c r="I197" s="15" t="n">
        <f aca="false">H197*(1+IF(I$3&lt;=$O$2,$D197,$D197-($D197-$I$184)*MIN(I$3-$O$2,$Q$2)/$Q$2))</f>
        <v>3378.10720520787</v>
      </c>
      <c r="J197" s="15" t="n">
        <f aca="false">I197*(1+IF(J$3&lt;=$O$2,$D197,$D197-($D197-$I$184)*MIN(J$3-$O$2,$Q$2)/$Q$2))</f>
        <v>3584.11843397122</v>
      </c>
      <c r="K197" s="15" t="n">
        <f aca="false">J197*(1+IF(K$3&lt;=$O$2,$D197,$D197-($D197-$I$184)*MIN(K$3-$O$2,$Q$2)/$Q$2))</f>
        <v>3764.44677275905</v>
      </c>
      <c r="L197" s="15" t="n">
        <f aca="false">K197*(1+IF(L$3&lt;=$O$2,$D197,$D197-($D197-$I$184)*MIN(L$3-$O$2,$Q$2)/$Q$2))</f>
        <v>3913.67738346112</v>
      </c>
      <c r="M197" s="15" t="n">
        <f aca="false">L197*(1+IF(M$3&lt;=$O$2,$D197,$D197-($D197-$I$184)*MIN(M$3-$O$2,$Q$2)/$Q$2))</f>
        <v>4027.06074496661</v>
      </c>
      <c r="N197" s="15" t="n">
        <f aca="false">M197*(1+IF(N$3&lt;=$O$2,$D197,$D197-($D197-$I$184)*MIN(N$3-$O$2,$Q$2)/$Q$2))</f>
        <v>4100.7559565995</v>
      </c>
      <c r="O197" s="15" t="n">
        <f aca="false">SUMPRODUCT(E197:N197,1/(1+$F$184)^$E$3:$N$3)*$E$2</f>
        <v>9894.33922898576</v>
      </c>
      <c r="P197" s="15" t="n">
        <f aca="false">N197*$E$2*(1+$I$184)/($F$184-$I$184)/(1+$F$184)^$N$3</f>
        <v>11127.377051004</v>
      </c>
      <c r="Q197" s="15" t="n">
        <f aca="false">O197+P197</f>
        <v>21021.7162799897</v>
      </c>
      <c r="R197" s="15" t="n">
        <f aca="false">Q197-$G$2+$I$2</f>
        <v>15670.1562799897</v>
      </c>
      <c r="S197" s="42" t="n">
        <f aca="false">R197/$K$2</f>
        <v>725.470198147672</v>
      </c>
      <c r="T197" s="43" t="n">
        <f aca="false">S197-$M$2</f>
        <v>0.470198147672136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0.0712890625</v>
      </c>
      <c r="C198" s="25" t="n">
        <f aca="false">IF(T197&gt;0,D197,C197)</f>
        <v>0.0716552734375</v>
      </c>
      <c r="D198" s="41" t="n">
        <f aca="false">(B198+C198)/2</f>
        <v>0.07147216796875</v>
      </c>
      <c r="E198" s="15" t="n">
        <f aca="false">$C$2*(1+IF(E$3&lt;=$O$2,$D198,$D198-($D198-$I$184)*MIN(E$3-$O$2,$Q$2)/$Q$2))</f>
        <v>2560.81848144531</v>
      </c>
      <c r="F198" s="15" t="n">
        <f aca="false">E198*(1+IF(F$3&lt;=$O$2,$D198,$D198-($D198-$I$184)*MIN(F$3-$O$2,$Q$2)/$Q$2))</f>
        <v>2743.84573008865</v>
      </c>
      <c r="G198" s="15" t="n">
        <f aca="false">F198*(1+IF(G$3&lt;=$O$2,$D198,$D198-($D198-$I$184)*MIN(G$3-$O$2,$Q$2)/$Q$2))</f>
        <v>2939.95433298988</v>
      </c>
      <c r="H198" s="15" t="n">
        <f aca="false">G198*(1+IF(H$3&lt;=$O$2,$D198,$D198-($D198-$I$184)*MIN(H$3-$O$2,$Q$2)/$Q$2))</f>
        <v>3150.07924289779</v>
      </c>
      <c r="I198" s="15" t="n">
        <f aca="false">H198*(1+IF(I$3&lt;=$O$2,$D198,$D198-($D198-$I$184)*MIN(I$3-$O$2,$Q$2)/$Q$2))</f>
        <v>3375.22223566106</v>
      </c>
      <c r="J198" s="15" t="n">
        <f aca="false">I198*(1+IF(J$3&lt;=$O$2,$D198,$D198-($D198-$I$184)*MIN(J$3-$O$2,$Q$2)/$Q$2))</f>
        <v>3580.5631094908</v>
      </c>
      <c r="K198" s="15" t="n">
        <f aca="false">J198*(1+IF(K$3&lt;=$O$2,$D198,$D198-($D198-$I$184)*MIN(K$3-$O$2,$Q$2)/$Q$2))</f>
        <v>3760.31919624281</v>
      </c>
      <c r="L198" s="15" t="n">
        <f aca="false">K198*(1+IF(L$3&lt;=$O$2,$D198,$D198-($D198-$I$184)*MIN(L$3-$O$2,$Q$2)/$Q$2))</f>
        <v>3909.11076710155</v>
      </c>
      <c r="M198" s="15" t="n">
        <f aca="false">L198*(1+IF(M$3&lt;=$O$2,$D198,$D198-($D198-$I$184)*MIN(M$3-$O$2,$Q$2)/$Q$2))</f>
        <v>4022.21867300286</v>
      </c>
      <c r="N198" s="15" t="n">
        <f aca="false">M198*(1+IF(N$3&lt;=$O$2,$D198,$D198-($D198-$I$184)*MIN(N$3-$O$2,$Q$2)/$Q$2))</f>
        <v>4095.82527471882</v>
      </c>
      <c r="O198" s="15" t="n">
        <f aca="false">SUMPRODUCT(E198:N198,1/(1+$F$184)^$E$3:$N$3)*$E$2</f>
        <v>9886.51081883655</v>
      </c>
      <c r="P198" s="15" t="n">
        <f aca="false">N198*$E$2*(1+$I$184)/($F$184-$I$184)/(1+$F$184)^$N$3</f>
        <v>11113.9976748632</v>
      </c>
      <c r="Q198" s="15" t="n">
        <f aca="false">O198+P198</f>
        <v>21000.5084936997</v>
      </c>
      <c r="R198" s="15" t="n">
        <f aca="false">Q198-$G$2+$I$2</f>
        <v>15648.9484936997</v>
      </c>
      <c r="S198" s="42" t="n">
        <f aca="false">R198/$K$2</f>
        <v>724.488356189802</v>
      </c>
      <c r="T198" s="43" t="n">
        <f aca="false">S198-$M$2</f>
        <v>-0.511643810198052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0.07147216796875</v>
      </c>
      <c r="C199" s="25" t="n">
        <f aca="false">IF(T198&gt;0,D198,C198)</f>
        <v>0.0716552734375</v>
      </c>
      <c r="D199" s="41" t="n">
        <f aca="false">(B199+C199)/2</f>
        <v>0.071563720703125</v>
      </c>
      <c r="E199" s="15" t="n">
        <f aca="false">$C$2*(1+IF(E$3&lt;=$O$2,$D199,$D199-($D199-$I$184)*MIN(E$3-$O$2,$Q$2)/$Q$2))</f>
        <v>2561.03729248047</v>
      </c>
      <c r="F199" s="15" t="n">
        <f aca="false">E199*(1+IF(F$3&lt;=$O$2,$D199,$D199-($D199-$I$184)*MIN(F$3-$O$2,$Q$2)/$Q$2))</f>
        <v>2744.31464998983</v>
      </c>
      <c r="G199" s="15" t="n">
        <f aca="false">F199*(1+IF(G$3&lt;=$O$2,$D199,$D199-($D199-$I$184)*MIN(G$3-$O$2,$Q$2)/$Q$2))</f>
        <v>2940.70801712319</v>
      </c>
      <c r="H199" s="15" t="n">
        <f aca="false">G199*(1+IF(H$3&lt;=$O$2,$D199,$D199-($D199-$I$184)*MIN(H$3-$O$2,$Q$2)/$Q$2))</f>
        <v>3151.15602433004</v>
      </c>
      <c r="I199" s="15" t="n">
        <f aca="false">H199*(1+IF(I$3&lt;=$O$2,$D199,$D199-($D199-$I$184)*MIN(I$3-$O$2,$Q$2)/$Q$2))</f>
        <v>3376.66447394716</v>
      </c>
      <c r="J199" s="15" t="n">
        <f aca="false">I199*(1+IF(J$3&lt;=$O$2,$D199,$D199-($D199-$I$184)*MIN(J$3-$O$2,$Q$2)/$Q$2))</f>
        <v>3582.34040457919</v>
      </c>
      <c r="K199" s="15" t="n">
        <f aca="false">J199*(1+IF(K$3&lt;=$O$2,$D199,$D199-($D199-$I$184)*MIN(K$3-$O$2,$Q$2)/$Q$2))</f>
        <v>3762.3825012468</v>
      </c>
      <c r="L199" s="15" t="n">
        <f aca="false">K199*(1+IF(L$3&lt;=$O$2,$D199,$D199-($D199-$I$184)*MIN(L$3-$O$2,$Q$2)/$Q$2))</f>
        <v>3911.39349730951</v>
      </c>
      <c r="M199" s="15" t="n">
        <f aca="false">L199*(1+IF(M$3&lt;=$O$2,$D199,$D199-($D199-$I$184)*MIN(M$3-$O$2,$Q$2)/$Q$2))</f>
        <v>4024.63907247042</v>
      </c>
      <c r="N199" s="15" t="n">
        <f aca="false">M199*(1+IF(N$3&lt;=$O$2,$D199,$D199-($D199-$I$184)*MIN(N$3-$O$2,$Q$2)/$Q$2))</f>
        <v>4098.28996749663</v>
      </c>
      <c r="O199" s="15" t="n">
        <f aca="false">SUMPRODUCT(E199:N199,1/(1+$F$184)^$E$3:$N$3)*$E$2</f>
        <v>9890.42424648693</v>
      </c>
      <c r="P199" s="15" t="n">
        <f aca="false">N199*$E$2*(1+$I$184)/($F$184-$I$184)/(1+$F$184)^$N$3</f>
        <v>11120.6856041484</v>
      </c>
      <c r="Q199" s="15" t="n">
        <f aca="false">O199+P199</f>
        <v>21011.1098506353</v>
      </c>
      <c r="R199" s="15" t="n">
        <f aca="false">Q199-$G$2+$I$2</f>
        <v>15659.5498506353</v>
      </c>
      <c r="S199" s="42" t="n">
        <f aca="false">R199/$K$2</f>
        <v>724.979159751635</v>
      </c>
      <c r="T199" s="43" t="n">
        <f aca="false">S199-$M$2</f>
        <v>-0.0208402483654027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0.071563720703125</v>
      </c>
      <c r="C200" s="25" t="n">
        <f aca="false">IF(T199&gt;0,D199,C199)</f>
        <v>0.0716552734375</v>
      </c>
      <c r="D200" s="41" t="n">
        <f aca="false">(B200+C200)/2</f>
        <v>0.0716094970703125</v>
      </c>
      <c r="E200" s="15" t="n">
        <f aca="false">$C$2*(1+IF(E$3&lt;=$O$2,$D200,$D200-($D200-$I$184)*MIN(E$3-$O$2,$Q$2)/$Q$2))</f>
        <v>2561.14669799805</v>
      </c>
      <c r="F200" s="15" t="n">
        <f aca="false">E200*(1+IF(F$3&lt;=$O$2,$D200,$D200-($D200-$I$184)*MIN(F$3-$O$2,$Q$2)/$Q$2))</f>
        <v>2744.54912496498</v>
      </c>
      <c r="G200" s="15" t="n">
        <f aca="false">F200*(1+IF(G$3&lt;=$O$2,$D200,$D200-($D200-$I$184)*MIN(G$3-$O$2,$Q$2)/$Q$2))</f>
        <v>2941.08490748849</v>
      </c>
      <c r="H200" s="15" t="n">
        <f aca="false">G200*(1+IF(H$3&lt;=$O$2,$D200,$D200-($D200-$I$184)*MIN(H$3-$O$2,$Q$2)/$Q$2))</f>
        <v>3151.69451855482</v>
      </c>
      <c r="I200" s="15" t="n">
        <f aca="false">H200*(1+IF(I$3&lt;=$O$2,$D200,$D200-($D200-$I$184)*MIN(I$3-$O$2,$Q$2)/$Q$2))</f>
        <v>3377.3857779478</v>
      </c>
      <c r="J200" s="15" t="n">
        <f aca="false">I200*(1+IF(J$3&lt;=$O$2,$D200,$D200-($D200-$I$184)*MIN(J$3-$O$2,$Q$2)/$Q$2))</f>
        <v>3583.2293274721</v>
      </c>
      <c r="K200" s="15" t="n">
        <f aca="false">J200*(1+IF(K$3&lt;=$O$2,$D200,$D200-($D200-$I$184)*MIN(K$3-$O$2,$Q$2)/$Q$2))</f>
        <v>3763.41451616592</v>
      </c>
      <c r="L200" s="15" t="n">
        <f aca="false">K200*(1+IF(L$3&lt;=$O$2,$D200,$D200-($D200-$I$184)*MIN(L$3-$O$2,$Q$2)/$Q$2))</f>
        <v>3912.53529586132</v>
      </c>
      <c r="M200" s="15" t="n">
        <f aca="false">L200*(1+IF(M$3&lt;=$O$2,$D200,$D200-($D200-$I$184)*MIN(M$3-$O$2,$Q$2)/$Q$2))</f>
        <v>4025.84974955403</v>
      </c>
      <c r="N200" s="15" t="n">
        <f aca="false">M200*(1+IF(N$3&lt;=$O$2,$D200,$D200-($D200-$I$184)*MIN(N$3-$O$2,$Q$2)/$Q$2))</f>
        <v>4099.52279997086</v>
      </c>
      <c r="O200" s="15" t="n">
        <f aca="false">SUMPRODUCT(E200:N200,1/(1+$F$184)^$E$3:$N$3)*$E$2</f>
        <v>9892.38154334428</v>
      </c>
      <c r="P200" s="15" t="n">
        <f aca="false">N200*$E$2*(1+$I$184)/($F$184-$I$184)/(1+$F$184)^$N$3</f>
        <v>11124.0308877807</v>
      </c>
      <c r="Q200" s="15" t="n">
        <f aca="false">O200+P200</f>
        <v>21016.4124311249</v>
      </c>
      <c r="R200" s="15" t="n">
        <f aca="false">Q200-$G$2+$I$2</f>
        <v>15664.8524311249</v>
      </c>
      <c r="S200" s="42" t="n">
        <f aca="false">R200/$K$2</f>
        <v>725.224649589117</v>
      </c>
      <c r="T200" s="43" t="n">
        <f aca="false">S200-$M$2</f>
        <v>0.224649589117234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0.071563720703125</v>
      </c>
      <c r="C201" s="25" t="n">
        <f aca="false">IF(T200&gt;0,D200,C200)</f>
        <v>0.0716094970703125</v>
      </c>
      <c r="D201" s="41" t="n">
        <f aca="false">(B201+C201)/2</f>
        <v>0.0715866088867188</v>
      </c>
      <c r="E201" s="15" t="n">
        <f aca="false">$C$2*(1+IF(E$3&lt;=$O$2,$D201,$D201-($D201-$I$184)*MIN(E$3-$O$2,$Q$2)/$Q$2))</f>
        <v>2561.09199523926</v>
      </c>
      <c r="F201" s="15" t="n">
        <f aca="false">E201*(1+IF(F$3&lt;=$O$2,$D201,$D201-($D201-$I$184)*MIN(F$3-$O$2,$Q$2)/$Q$2))</f>
        <v>2744.43188622536</v>
      </c>
      <c r="G201" s="15" t="n">
        <f aca="false">F201*(1+IF(G$3&lt;=$O$2,$D201,$D201-($D201-$I$184)*MIN(G$3-$O$2,$Q$2)/$Q$2))</f>
        <v>2940.89645828081</v>
      </c>
      <c r="H201" s="15" t="n">
        <f aca="false">G201*(1+IF(H$3&lt;=$O$2,$D201,$D201-($D201-$I$184)*MIN(H$3-$O$2,$Q$2)/$Q$2))</f>
        <v>3151.4252628161</v>
      </c>
      <c r="I201" s="15" t="n">
        <f aca="false">H201*(1+IF(I$3&lt;=$O$2,$D201,$D201-($D201-$I$184)*MIN(I$3-$O$2,$Q$2)/$Q$2))</f>
        <v>3377.02511054104</v>
      </c>
      <c r="J201" s="15" t="n">
        <f aca="false">I201*(1+IF(J$3&lt;=$O$2,$D201,$D201-($D201-$I$184)*MIN(J$3-$O$2,$Q$2)/$Q$2))</f>
        <v>3582.78484307676</v>
      </c>
      <c r="K201" s="15" t="n">
        <f aca="false">J201*(1+IF(K$3&lt;=$O$2,$D201,$D201-($D201-$I$184)*MIN(K$3-$O$2,$Q$2)/$Q$2))</f>
        <v>3762.89847850004</v>
      </c>
      <c r="L201" s="15" t="n">
        <f aca="false">K201*(1+IF(L$3&lt;=$O$2,$D201,$D201-($D201-$I$184)*MIN(L$3-$O$2,$Q$2)/$Q$2))</f>
        <v>3911.9643604583</v>
      </c>
      <c r="M201" s="15" t="n">
        <f aca="false">L201*(1+IF(M$3&lt;=$O$2,$D201,$D201-($D201-$I$184)*MIN(M$3-$O$2,$Q$2)/$Q$2))</f>
        <v>4025.24437122559</v>
      </c>
      <c r="N201" s="15" t="n">
        <f aca="false">M201*(1+IF(N$3&lt;=$O$2,$D201,$D201-($D201-$I$184)*MIN(N$3-$O$2,$Q$2)/$Q$2))</f>
        <v>4098.90634321902</v>
      </c>
      <c r="O201" s="15" t="n">
        <f aca="false">SUMPRODUCT(E201:N201,1/(1+$F$184)^$E$3:$N$3)*$E$2</f>
        <v>9891.4028463221</v>
      </c>
      <c r="P201" s="15" t="n">
        <f aca="false">N201*$E$2*(1+$I$184)/($F$184-$I$184)/(1+$F$184)^$N$3</f>
        <v>11122.358136028</v>
      </c>
      <c r="Q201" s="15" t="n">
        <f aca="false">O201+P201</f>
        <v>21013.7609823501</v>
      </c>
      <c r="R201" s="15" t="n">
        <f aca="false">Q201-$G$2+$I$2</f>
        <v>15662.2009823501</v>
      </c>
      <c r="S201" s="42" t="n">
        <f aca="false">R201/$K$2</f>
        <v>725.101897331025</v>
      </c>
      <c r="T201" s="43" t="n">
        <f aca="false">S201-$M$2</f>
        <v>0.101897331024702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0.071563720703125</v>
      </c>
      <c r="C202" s="25" t="n">
        <f aca="false">IF(T201&gt;0,D201,C201)</f>
        <v>0.0715866088867188</v>
      </c>
      <c r="D202" s="41" t="n">
        <f aca="false">(B202+C202)/2</f>
        <v>0.0715751647949219</v>
      </c>
      <c r="E202" s="15" t="n">
        <f aca="false">$C$2*(1+IF(E$3&lt;=$O$2,$D202,$D202-($D202-$I$184)*MIN(E$3-$O$2,$Q$2)/$Q$2))</f>
        <v>2561.06464385986</v>
      </c>
      <c r="F202" s="15" t="n">
        <f aca="false">E202*(1+IF(F$3&lt;=$O$2,$D202,$D202-($D202-$I$184)*MIN(F$3-$O$2,$Q$2)/$Q$2))</f>
        <v>2744.37326779458</v>
      </c>
      <c r="G202" s="15" t="n">
        <f aca="false">F202*(1+IF(G$3&lt;=$O$2,$D202,$D202-($D202-$I$184)*MIN(G$3-$O$2,$Q$2)/$Q$2))</f>
        <v>2940.80223669576</v>
      </c>
      <c r="H202" s="15" t="n">
        <f aca="false">G202*(1+IF(H$3&lt;=$O$2,$D202,$D202-($D202-$I$184)*MIN(H$3-$O$2,$Q$2)/$Q$2))</f>
        <v>3151.29064141653</v>
      </c>
      <c r="I202" s="15" t="n">
        <f aca="false">H202*(1+IF(I$3&lt;=$O$2,$D202,$D202-($D202-$I$184)*MIN(I$3-$O$2,$Q$2)/$Q$2))</f>
        <v>3376.84478839261</v>
      </c>
      <c r="J202" s="15" t="n">
        <f aca="false">I202*(1+IF(J$3&lt;=$O$2,$D202,$D202-($D202-$I$184)*MIN(J$3-$O$2,$Q$2)/$Q$2))</f>
        <v>3582.56261809099</v>
      </c>
      <c r="K202" s="15" t="n">
        <f aca="false">J202*(1+IF(K$3&lt;=$O$2,$D202,$D202-($D202-$I$184)*MIN(K$3-$O$2,$Q$2)/$Q$2))</f>
        <v>3762.64048232221</v>
      </c>
      <c r="L202" s="15" t="n">
        <f aca="false">K202*(1+IF(L$3&lt;=$O$2,$D202,$D202-($D202-$I$184)*MIN(L$3-$O$2,$Q$2)/$Q$2))</f>
        <v>3911.67891985261</v>
      </c>
      <c r="M202" s="15" t="n">
        <f aca="false">L202*(1+IF(M$3&lt;=$O$2,$D202,$D202-($D202-$I$184)*MIN(M$3-$O$2,$Q$2)/$Q$2))</f>
        <v>4024.94171190191</v>
      </c>
      <c r="N202" s="15" t="n">
        <f aca="false">M202*(1+IF(N$3&lt;=$O$2,$D202,$D202-($D202-$I$184)*MIN(N$3-$O$2,$Q$2)/$Q$2))</f>
        <v>4098.59814522971</v>
      </c>
      <c r="O202" s="15" t="n">
        <f aca="false">SUMPRODUCT(E202:N202,1/(1+$F$184)^$E$3:$N$3)*$E$2</f>
        <v>9890.9135342567</v>
      </c>
      <c r="P202" s="15" t="n">
        <f aca="false">N202*$E$2*(1+$I$184)/($F$184-$I$184)/(1+$F$184)^$N$3</f>
        <v>11121.5218426056</v>
      </c>
      <c r="Q202" s="15" t="n">
        <f aca="false">O202+P202</f>
        <v>21012.4353768623</v>
      </c>
      <c r="R202" s="15" t="n">
        <f aca="false">Q202-$G$2+$I$2</f>
        <v>15660.8753768623</v>
      </c>
      <c r="S202" s="42" t="n">
        <f aca="false">R202/$K$2</f>
        <v>725.04052670659</v>
      </c>
      <c r="T202" s="43" t="n">
        <f aca="false">S202-$M$2</f>
        <v>0.0405267065898443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0.071563720703125</v>
      </c>
      <c r="C203" s="25" t="n">
        <f aca="false">IF(T202&gt;0,D202,C202)</f>
        <v>0.0715751647949219</v>
      </c>
      <c r="D203" s="41" t="n">
        <f aca="false">(B203+C203)/2</f>
        <v>0.0715694427490234</v>
      </c>
      <c r="E203" s="15" t="n">
        <f aca="false">$C$2*(1+IF(E$3&lt;=$O$2,$D203,$D203-($D203-$I$184)*MIN(E$3-$O$2,$Q$2)/$Q$2))</f>
        <v>2561.05096817017</v>
      </c>
      <c r="F203" s="15" t="n">
        <f aca="false">E203*(1+IF(F$3&lt;=$O$2,$D203,$D203-($D203-$I$184)*MIN(F$3-$O$2,$Q$2)/$Q$2))</f>
        <v>2744.34395881395</v>
      </c>
      <c r="G203" s="15" t="n">
        <f aca="false">F203*(1+IF(G$3&lt;=$O$2,$D203,$D203-($D203-$I$184)*MIN(G$3-$O$2,$Q$2)/$Q$2))</f>
        <v>2940.75512665792</v>
      </c>
      <c r="H203" s="15" t="n">
        <f aca="false">G203*(1+IF(H$3&lt;=$O$2,$D203,$D203-($D203-$I$184)*MIN(H$3-$O$2,$Q$2)/$Q$2))</f>
        <v>3151.22333233416</v>
      </c>
      <c r="I203" s="15" t="n">
        <f aca="false">H203*(1+IF(I$3&lt;=$O$2,$D203,$D203-($D203-$I$184)*MIN(I$3-$O$2,$Q$2)/$Q$2))</f>
        <v>3376.75463020703</v>
      </c>
      <c r="J203" s="15" t="n">
        <f aca="false">I203*(1+IF(J$3&lt;=$O$2,$D203,$D203-($D203-$I$184)*MIN(J$3-$O$2,$Q$2)/$Q$2))</f>
        <v>3582.45150990087</v>
      </c>
      <c r="K203" s="15" t="n">
        <f aca="false">J203*(1+IF(K$3&lt;=$O$2,$D203,$D203-($D203-$I$184)*MIN(K$3-$O$2,$Q$2)/$Q$2))</f>
        <v>3762.51148989675</v>
      </c>
      <c r="L203" s="15" t="n">
        <f aca="false">K203*(1+IF(L$3&lt;=$O$2,$D203,$D203-($D203-$I$184)*MIN(L$3-$O$2,$Q$2)/$Q$2))</f>
        <v>3911.5362063233</v>
      </c>
      <c r="M203" s="15" t="n">
        <f aca="false">L203*(1+IF(M$3&lt;=$O$2,$D203,$D203-($D203-$I$184)*MIN(M$3-$O$2,$Q$2)/$Q$2))</f>
        <v>4024.79038969971</v>
      </c>
      <c r="N203" s="15" t="n">
        <f aca="false">M203*(1+IF(N$3&lt;=$O$2,$D203,$D203-($D203-$I$184)*MIN(N$3-$O$2,$Q$2)/$Q$2))</f>
        <v>4098.44405383121</v>
      </c>
      <c r="O203" s="15" t="n">
        <f aca="false">SUMPRODUCT(E203:N203,1/(1+$F$184)^$E$3:$N$3)*$E$2</f>
        <v>9890.66888733493</v>
      </c>
      <c r="P203" s="15" t="n">
        <f aca="false">N203*$E$2*(1+$I$184)/($F$184-$I$184)/(1+$F$184)^$N$3</f>
        <v>11121.1037165066</v>
      </c>
      <c r="Q203" s="15" t="n">
        <f aca="false">O203+P203</f>
        <v>21011.7726038415</v>
      </c>
      <c r="R203" s="15" t="n">
        <f aca="false">Q203-$G$2+$I$2</f>
        <v>15660.2126038415</v>
      </c>
      <c r="S203" s="42" t="n">
        <f aca="false">R203/$K$2</f>
        <v>725.009842770439</v>
      </c>
      <c r="T203" s="43" t="n">
        <f aca="false">S203-$M$2</f>
        <v>0.0098427704392634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0.071563720703125</v>
      </c>
      <c r="C204" s="25" t="n">
        <f aca="false">IF(T203&gt;0,D203,C203)</f>
        <v>0.0715694427490234</v>
      </c>
      <c r="D204" s="41" t="n">
        <f aca="false">(B204+C204)/2</f>
        <v>0.0715665817260742</v>
      </c>
      <c r="E204" s="15" t="n">
        <f aca="false">$C$2*(1+IF(E$3&lt;=$O$2,$D204,$D204-($D204-$I$184)*MIN(E$3-$O$2,$Q$2)/$Q$2))</f>
        <v>2561.04413032532</v>
      </c>
      <c r="F204" s="15" t="n">
        <f aca="false">E204*(1+IF(F$3&lt;=$O$2,$D204,$D204-($D204-$I$184)*MIN(F$3-$O$2,$Q$2)/$Q$2))</f>
        <v>2744.32930438233</v>
      </c>
      <c r="G204" s="15" t="n">
        <f aca="false">F204*(1+IF(G$3&lt;=$O$2,$D204,$D204-($D204-$I$184)*MIN(G$3-$O$2,$Q$2)/$Q$2))</f>
        <v>2940.73157182767</v>
      </c>
      <c r="H204" s="15" t="n">
        <f aca="false">G204*(1+IF(H$3&lt;=$O$2,$D204,$D204-($D204-$I$184)*MIN(H$3-$O$2,$Q$2)/$Q$2))</f>
        <v>3151.18967819732</v>
      </c>
      <c r="I204" s="15" t="n">
        <f aca="false">H204*(1+IF(I$3&lt;=$O$2,$D204,$D204-($D204-$I$184)*MIN(I$3-$O$2,$Q$2)/$Q$2))</f>
        <v>3376.70955183639</v>
      </c>
      <c r="J204" s="15" t="n">
        <f aca="false">I204*(1+IF(J$3&lt;=$O$2,$D204,$D204-($D204-$I$184)*MIN(J$3-$O$2,$Q$2)/$Q$2))</f>
        <v>3582.39595688148</v>
      </c>
      <c r="K204" s="15" t="n">
        <f aca="false">J204*(1+IF(K$3&lt;=$O$2,$D204,$D204-($D204-$I$184)*MIN(K$3-$O$2,$Q$2)/$Q$2))</f>
        <v>3762.44699509984</v>
      </c>
      <c r="L204" s="15" t="n">
        <f aca="false">K204*(1+IF(L$3&lt;=$O$2,$D204,$D204-($D204-$I$184)*MIN(L$3-$O$2,$Q$2)/$Q$2))</f>
        <v>3911.46485125197</v>
      </c>
      <c r="M204" s="15" t="n">
        <f aca="false">L204*(1+IF(M$3&lt;=$O$2,$D204,$D204-($D204-$I$184)*MIN(M$3-$O$2,$Q$2)/$Q$2))</f>
        <v>4024.71473046346</v>
      </c>
      <c r="N204" s="15" t="n">
        <f aca="false">M204*(1+IF(N$3&lt;=$O$2,$D204,$D204-($D204-$I$184)*MIN(N$3-$O$2,$Q$2)/$Q$2))</f>
        <v>4098.36701003094</v>
      </c>
      <c r="O204" s="15" t="n">
        <f aca="false">SUMPRODUCT(E204:N204,1/(1+$F$184)^$E$3:$N$3)*$E$2</f>
        <v>9890.54656615172</v>
      </c>
      <c r="P204" s="15" t="n">
        <f aca="false">N204*$E$2*(1+$I$184)/($F$184-$I$184)/(1+$F$184)^$N$3</f>
        <v>11120.8946586099</v>
      </c>
      <c r="Q204" s="15" t="n">
        <f aca="false">O204+P204</f>
        <v>21011.4412247616</v>
      </c>
      <c r="R204" s="15" t="n">
        <f aca="false">Q204-$G$2+$I$2</f>
        <v>15659.8812247616</v>
      </c>
      <c r="S204" s="42" t="n">
        <f aca="false">R204/$K$2</f>
        <v>724.994501146371</v>
      </c>
      <c r="T204" s="43" t="n">
        <f aca="false">S204-$M$2</f>
        <v>-0.00549885362954683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0.0715665817260742</v>
      </c>
      <c r="C205" s="25" t="n">
        <f aca="false">IF(T204&gt;0,D204,C204)</f>
        <v>0.0715694427490234</v>
      </c>
      <c r="D205" s="41" t="n">
        <f aca="false">(B205+C205)/2</f>
        <v>0.0715680122375488</v>
      </c>
      <c r="E205" s="15" t="n">
        <f aca="false">$C$2*(1+IF(E$3&lt;=$O$2,$D205,$D205-($D205-$I$184)*MIN(E$3-$O$2,$Q$2)/$Q$2))</f>
        <v>2561.04754924774</v>
      </c>
      <c r="F205" s="15" t="n">
        <f aca="false">E205*(1+IF(F$3&lt;=$O$2,$D205,$D205-($D205-$I$184)*MIN(F$3-$O$2,$Q$2)/$Q$2))</f>
        <v>2744.33663159325</v>
      </c>
      <c r="G205" s="15" t="n">
        <f aca="false">F205*(1+IF(G$3&lt;=$O$2,$D205,$D205-($D205-$I$184)*MIN(G$3-$O$2,$Q$2)/$Q$2))</f>
        <v>2940.74334922707</v>
      </c>
      <c r="H205" s="15" t="n">
        <f aca="false">G205*(1+IF(H$3&lt;=$O$2,$D205,$D205-($D205-$I$184)*MIN(H$3-$O$2,$Q$2)/$Q$2))</f>
        <v>3151.20650523204</v>
      </c>
      <c r="I205" s="15" t="n">
        <f aca="false">H205*(1+IF(I$3&lt;=$O$2,$D205,$D205-($D205-$I$184)*MIN(I$3-$O$2,$Q$2)/$Q$2))</f>
        <v>3376.73209096153</v>
      </c>
      <c r="J205" s="15" t="n">
        <f aca="false">I205*(1+IF(J$3&lt;=$O$2,$D205,$D205-($D205-$I$184)*MIN(J$3-$O$2,$Q$2)/$Q$2))</f>
        <v>3582.42373330154</v>
      </c>
      <c r="K205" s="15" t="n">
        <f aca="false">J205*(1+IF(K$3&lt;=$O$2,$D205,$D205-($D205-$I$184)*MIN(K$3-$O$2,$Q$2)/$Q$2))</f>
        <v>3762.47924238031</v>
      </c>
      <c r="L205" s="15" t="n">
        <f aca="false">K205*(1+IF(L$3&lt;=$O$2,$D205,$D205-($D205-$I$184)*MIN(L$3-$O$2,$Q$2)/$Q$2))</f>
        <v>3911.50052864653</v>
      </c>
      <c r="M205" s="15" t="n">
        <f aca="false">L205*(1+IF(M$3&lt;=$O$2,$D205,$D205-($D205-$I$184)*MIN(M$3-$O$2,$Q$2)/$Q$2))</f>
        <v>4024.75255992618</v>
      </c>
      <c r="N205" s="15" t="n">
        <f aca="false">M205*(1+IF(N$3&lt;=$O$2,$D205,$D205-($D205-$I$184)*MIN(N$3-$O$2,$Q$2)/$Q$2))</f>
        <v>4098.40553177283</v>
      </c>
      <c r="O205" s="15" t="n">
        <f aca="false">SUMPRODUCT(E205:N205,1/(1+$F$184)^$E$3:$N$3)*$E$2</f>
        <v>9890.60772655352</v>
      </c>
      <c r="P205" s="15" t="n">
        <f aca="false">N205*$E$2*(1+$I$184)/($F$184-$I$184)/(1+$F$184)^$N$3</f>
        <v>11120.9991871288</v>
      </c>
      <c r="Q205" s="15" t="n">
        <f aca="false">O205+P205</f>
        <v>21011.6069136823</v>
      </c>
      <c r="R205" s="15" t="n">
        <f aca="false">Q205-$G$2+$I$2</f>
        <v>15660.0469136823</v>
      </c>
      <c r="S205" s="42" t="n">
        <f aca="false">R205/$K$2</f>
        <v>725.002171929738</v>
      </c>
      <c r="T205" s="43" t="n">
        <f aca="false">S205-$M$2</f>
        <v>0.0021719297378695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0.0715665817260742</v>
      </c>
      <c r="C206" s="25" t="n">
        <f aca="false">IF(T205&gt;0,D205,C205)</f>
        <v>0.0715680122375488</v>
      </c>
      <c r="D206" s="41" t="n">
        <f aca="false">(B206+C206)/2</f>
        <v>0.0715672969818115</v>
      </c>
      <c r="E206" s="15" t="n">
        <f aca="false">$C$2*(1+IF(E$3&lt;=$O$2,$D206,$D206-($D206-$I$184)*MIN(E$3-$O$2,$Q$2)/$Q$2))</f>
        <v>2561.04583978653</v>
      </c>
      <c r="F206" s="15" t="n">
        <f aca="false">E206*(1+IF(F$3&lt;=$O$2,$D206,$D206-($D206-$I$184)*MIN(F$3-$O$2,$Q$2)/$Q$2))</f>
        <v>2744.33296798657</v>
      </c>
      <c r="G206" s="15" t="n">
        <f aca="false">F206*(1+IF(G$3&lt;=$O$2,$D206,$D206-($D206-$I$184)*MIN(G$3-$O$2,$Q$2)/$Q$2))</f>
        <v>2940.73746052344</v>
      </c>
      <c r="H206" s="15" t="n">
        <f aca="false">G206*(1+IF(H$3&lt;=$O$2,$D206,$D206-($D206-$I$184)*MIN(H$3-$O$2,$Q$2)/$Q$2))</f>
        <v>3151.19809170625</v>
      </c>
      <c r="I206" s="15" t="n">
        <f aca="false">H206*(1+IF(I$3&lt;=$O$2,$D206,$D206-($D206-$I$184)*MIN(I$3-$O$2,$Q$2)/$Q$2))</f>
        <v>3376.72082138391</v>
      </c>
      <c r="J206" s="15" t="n">
        <f aca="false">I206*(1+IF(J$3&lt;=$O$2,$D206,$D206-($D206-$I$184)*MIN(J$3-$O$2,$Q$2)/$Q$2))</f>
        <v>3582.4098450691</v>
      </c>
      <c r="K206" s="15" t="n">
        <f aca="false">J206*(1+IF(K$3&lt;=$O$2,$D206,$D206-($D206-$I$184)*MIN(K$3-$O$2,$Q$2)/$Q$2))</f>
        <v>3762.46311871058</v>
      </c>
      <c r="L206" s="15" t="n">
        <f aca="false">K206*(1+IF(L$3&lt;=$O$2,$D206,$D206-($D206-$I$184)*MIN(L$3-$O$2,$Q$2)/$Q$2))</f>
        <v>3911.48268991397</v>
      </c>
      <c r="M206" s="15" t="n">
        <f aca="false">L206*(1+IF(M$3&lt;=$O$2,$D206,$D206-($D206-$I$184)*MIN(M$3-$O$2,$Q$2)/$Q$2))</f>
        <v>4024.73364515597</v>
      </c>
      <c r="N206" s="15" t="n">
        <f aca="false">M206*(1+IF(N$3&lt;=$O$2,$D206,$D206-($D206-$I$184)*MIN(N$3-$O$2,$Q$2)/$Q$2))</f>
        <v>4098.38627086232</v>
      </c>
      <c r="O206" s="15" t="n">
        <f aca="false">SUMPRODUCT(E206:N206,1/(1+$F$184)^$E$3:$N$3)*$E$2</f>
        <v>9890.57714630517</v>
      </c>
      <c r="P206" s="15" t="n">
        <f aca="false">N206*$E$2*(1+$I$184)/($F$184-$I$184)/(1+$F$184)^$N$3</f>
        <v>11120.946922762</v>
      </c>
      <c r="Q206" s="15" t="n">
        <f aca="false">O206+P206</f>
        <v>21011.5240690672</v>
      </c>
      <c r="R206" s="15" t="n">
        <f aca="false">Q206-$G$2+$I$2</f>
        <v>15659.9640690672</v>
      </c>
      <c r="S206" s="42" t="n">
        <f aca="false">R206/$K$2</f>
        <v>724.998336530888</v>
      </c>
      <c r="T206" s="43" t="n">
        <f aca="false">S206-$M$2</f>
        <v>-0.0016634691123727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0.0715672969818115</v>
      </c>
      <c r="C207" s="25" t="n">
        <f aca="false">IF(T206&gt;0,D206,C206)</f>
        <v>0.0715680122375488</v>
      </c>
      <c r="D207" s="41" t="n">
        <f aca="false">(B207+C207)/2</f>
        <v>0.0715676546096802</v>
      </c>
      <c r="E207" s="15" t="n">
        <f aca="false">$C$2*(1+IF(E$3&lt;=$O$2,$D207,$D207-($D207-$I$184)*MIN(E$3-$O$2,$Q$2)/$Q$2))</f>
        <v>2561.04669451714</v>
      </c>
      <c r="F207" s="15" t="n">
        <f aca="false">E207*(1+IF(F$3&lt;=$O$2,$D207,$D207-($D207-$I$184)*MIN(F$3-$O$2,$Q$2)/$Q$2))</f>
        <v>2744.3347997896</v>
      </c>
      <c r="G207" s="15" t="n">
        <f aca="false">F207*(1+IF(G$3&lt;=$O$2,$D207,$D207-($D207-$I$184)*MIN(G$3-$O$2,$Q$2)/$Q$2))</f>
        <v>2940.74040487427</v>
      </c>
      <c r="H207" s="15" t="n">
        <f aca="false">G207*(1+IF(H$3&lt;=$O$2,$D207,$D207-($D207-$I$184)*MIN(H$3-$O$2,$Q$2)/$Q$2))</f>
        <v>3151.20229846704</v>
      </c>
      <c r="I207" s="15" t="n">
        <f aca="false">H207*(1+IF(I$3&lt;=$O$2,$D207,$D207-($D207-$I$184)*MIN(I$3-$O$2,$Q$2)/$Q$2))</f>
        <v>3376.72645616896</v>
      </c>
      <c r="J207" s="15" t="n">
        <f aca="false">I207*(1+IF(J$3&lt;=$O$2,$D207,$D207-($D207-$I$184)*MIN(J$3-$O$2,$Q$2)/$Q$2))</f>
        <v>3582.41678917972</v>
      </c>
      <c r="K207" s="15" t="n">
        <f aca="false">J207*(1+IF(K$3&lt;=$O$2,$D207,$D207-($D207-$I$184)*MIN(K$3-$O$2,$Q$2)/$Q$2))</f>
        <v>3762.47118053807</v>
      </c>
      <c r="L207" s="15" t="n">
        <f aca="false">K207*(1+IF(L$3&lt;=$O$2,$D207,$D207-($D207-$I$184)*MIN(L$3-$O$2,$Q$2)/$Q$2))</f>
        <v>3911.49160927143</v>
      </c>
      <c r="M207" s="15" t="n">
        <f aca="false">L207*(1+IF(M$3&lt;=$O$2,$D207,$D207-($D207-$I$184)*MIN(M$3-$O$2,$Q$2)/$Q$2))</f>
        <v>4024.74310253136</v>
      </c>
      <c r="N207" s="15" t="n">
        <f aca="false">M207*(1+IF(N$3&lt;=$O$2,$D207,$D207-($D207-$I$184)*MIN(N$3-$O$2,$Q$2)/$Q$2))</f>
        <v>4098.39590130769</v>
      </c>
      <c r="O207" s="15" t="n">
        <f aca="false">SUMPRODUCT(E207:N207,1/(1+$F$184)^$E$3:$N$3)*$E$2</f>
        <v>9890.59243641748</v>
      </c>
      <c r="P207" s="15" t="n">
        <f aca="false">N207*$E$2*(1+$I$184)/($F$184-$I$184)/(1+$F$184)^$N$3</f>
        <v>11120.9730549186</v>
      </c>
      <c r="Q207" s="15" t="n">
        <f aca="false">O207+P207</f>
        <v>21011.5654913361</v>
      </c>
      <c r="R207" s="15" t="n">
        <f aca="false">Q207-$G$2+$I$2</f>
        <v>15660.0054913361</v>
      </c>
      <c r="S207" s="42" t="n">
        <f aca="false">R207/$K$2</f>
        <v>725.000254228521</v>
      </c>
      <c r="T207" s="43" t="n">
        <f aca="false">S207-$M$2</f>
        <v>0.000254228521043842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0.0715672969818115</v>
      </c>
      <c r="C208" s="25" t="n">
        <f aca="false">IF(T207&gt;0,D207,C207)</f>
        <v>0.0715676546096802</v>
      </c>
      <c r="D208" s="41" t="n">
        <f aca="false">(B208+C208)/2</f>
        <v>0.0715674757957459</v>
      </c>
      <c r="E208" s="15" t="n">
        <f aca="false">$C$2*(1+IF(E$3&lt;=$O$2,$D208,$D208-($D208-$I$184)*MIN(E$3-$O$2,$Q$2)/$Q$2))</f>
        <v>2561.04626715183</v>
      </c>
      <c r="F208" s="15" t="n">
        <f aca="false">E208*(1+IF(F$3&lt;=$O$2,$D208,$D208-($D208-$I$184)*MIN(F$3-$O$2,$Q$2)/$Q$2))</f>
        <v>2744.33388388801</v>
      </c>
      <c r="G208" s="15" t="n">
        <f aca="false">F208*(1+IF(G$3&lt;=$O$2,$D208,$D208-($D208-$I$184)*MIN(G$3-$O$2,$Q$2)/$Q$2))</f>
        <v>2940.73893269861</v>
      </c>
      <c r="H208" s="15" t="n">
        <f aca="false">G208*(1+IF(H$3&lt;=$O$2,$D208,$D208-($D208-$I$184)*MIN(H$3-$O$2,$Q$2)/$Q$2))</f>
        <v>3151.20019508612</v>
      </c>
      <c r="I208" s="15" t="n">
        <f aca="false">H208*(1+IF(I$3&lt;=$O$2,$D208,$D208-($D208-$I$184)*MIN(I$3-$O$2,$Q$2)/$Q$2))</f>
        <v>3376.7236387755</v>
      </c>
      <c r="J208" s="15" t="n">
        <f aca="false">I208*(1+IF(J$3&lt;=$O$2,$D208,$D208-($D208-$I$184)*MIN(J$3-$O$2,$Q$2)/$Q$2))</f>
        <v>3582.41331712301</v>
      </c>
      <c r="K208" s="15" t="n">
        <f aca="false">J208*(1+IF(K$3&lt;=$O$2,$D208,$D208-($D208-$I$184)*MIN(K$3-$O$2,$Q$2)/$Q$2))</f>
        <v>3762.46714962248</v>
      </c>
      <c r="L208" s="15" t="n">
        <f aca="false">K208*(1+IF(L$3&lt;=$O$2,$D208,$D208-($D208-$I$184)*MIN(L$3-$O$2,$Q$2)/$Q$2))</f>
        <v>3911.48714959049</v>
      </c>
      <c r="M208" s="15" t="n">
        <f aca="false">L208*(1+IF(M$3&lt;=$O$2,$D208,$D208-($D208-$I$184)*MIN(M$3-$O$2,$Q$2)/$Q$2))</f>
        <v>4024.73837384124</v>
      </c>
      <c r="N208" s="15" t="n">
        <f aca="false">M208*(1+IF(N$3&lt;=$O$2,$D208,$D208-($D208-$I$184)*MIN(N$3-$O$2,$Q$2)/$Q$2))</f>
        <v>4098.39108608253</v>
      </c>
      <c r="O208" s="15" t="n">
        <f aca="false">SUMPRODUCT(E208:N208,1/(1+$F$184)^$E$3:$N$3)*$E$2</f>
        <v>9890.58479135836</v>
      </c>
      <c r="P208" s="15" t="n">
        <f aca="false">N208*$E$2*(1+$I$184)/($F$184-$I$184)/(1+$F$184)^$N$3</f>
        <v>11120.9599888336</v>
      </c>
      <c r="Q208" s="15" t="n">
        <f aca="false">O208+P208</f>
        <v>21011.5447801919</v>
      </c>
      <c r="R208" s="15" t="n">
        <f aca="false">Q208-$G$2+$I$2</f>
        <v>15659.9847801919</v>
      </c>
      <c r="S208" s="42" t="n">
        <f aca="false">R208/$K$2</f>
        <v>724.999295379256</v>
      </c>
      <c r="T208" s="43" t="n">
        <f aca="false">S208-$M$2</f>
        <v>-0.000704620743704254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0.0715674757957459</v>
      </c>
      <c r="C209" s="25" t="n">
        <f aca="false">IF(T208&gt;0,D208,C208)</f>
        <v>0.0715676546096802</v>
      </c>
      <c r="D209" s="41" t="n">
        <f aca="false">(B209+C209)/2</f>
        <v>0.071567565202713</v>
      </c>
      <c r="E209" s="15" t="n">
        <f aca="false">$C$2*(1+IF(E$3&lt;=$O$2,$D209,$D209-($D209-$I$184)*MIN(E$3-$O$2,$Q$2)/$Q$2))</f>
        <v>2561.04648083448</v>
      </c>
      <c r="F209" s="15" t="n">
        <f aca="false">E209*(1+IF(F$3&lt;=$O$2,$D209,$D209-($D209-$I$184)*MIN(F$3-$O$2,$Q$2)/$Q$2))</f>
        <v>2744.33434183879</v>
      </c>
      <c r="G209" s="15" t="n">
        <f aca="false">F209*(1+IF(G$3&lt;=$O$2,$D209,$D209-($D209-$I$184)*MIN(G$3-$O$2,$Q$2)/$Q$2))</f>
        <v>2940.73966878638</v>
      </c>
      <c r="H209" s="15" t="n">
        <f aca="false">G209*(1+IF(H$3&lt;=$O$2,$D209,$D209-($D209-$I$184)*MIN(H$3-$O$2,$Q$2)/$Q$2))</f>
        <v>3151.20124677645</v>
      </c>
      <c r="I209" s="15" t="n">
        <f aca="false">H209*(1+IF(I$3&lt;=$O$2,$D209,$D209-($D209-$I$184)*MIN(I$3-$O$2,$Q$2)/$Q$2))</f>
        <v>3376.72504747199</v>
      </c>
      <c r="J209" s="15" t="n">
        <f aca="false">I209*(1+IF(J$3&lt;=$O$2,$D209,$D209-($D209-$I$184)*MIN(J$3-$O$2,$Q$2)/$Q$2))</f>
        <v>3582.41505315101</v>
      </c>
      <c r="K209" s="15" t="n">
        <f aca="false">J209*(1+IF(K$3&lt;=$O$2,$D209,$D209-($D209-$I$184)*MIN(K$3-$O$2,$Q$2)/$Q$2))</f>
        <v>3762.46916507982</v>
      </c>
      <c r="L209" s="15" t="n">
        <f aca="false">K209*(1+IF(L$3&lt;=$O$2,$D209,$D209-($D209-$I$184)*MIN(L$3-$O$2,$Q$2)/$Q$2))</f>
        <v>3911.48937943041</v>
      </c>
      <c r="M209" s="15" t="n">
        <f aca="false">L209*(1+IF(M$3&lt;=$O$2,$D209,$D209-($D209-$I$184)*MIN(M$3-$O$2,$Q$2)/$Q$2))</f>
        <v>4024.74073818569</v>
      </c>
      <c r="N209" s="15" t="n">
        <f aca="false">M209*(1+IF(N$3&lt;=$O$2,$D209,$D209-($D209-$I$184)*MIN(N$3-$O$2,$Q$2)/$Q$2))</f>
        <v>4098.39349369449</v>
      </c>
      <c r="O209" s="15" t="n">
        <f aca="false">SUMPRODUCT(E209:N209,1/(1+$F$184)^$E$3:$N$3)*$E$2</f>
        <v>9890.58861388718</v>
      </c>
      <c r="P209" s="15" t="n">
        <f aca="false">N209*$E$2*(1+$I$184)/($F$184-$I$184)/(1+$F$184)^$N$3</f>
        <v>11120.9665218744</v>
      </c>
      <c r="Q209" s="15" t="n">
        <f aca="false">O209+P209</f>
        <v>21011.5551357616</v>
      </c>
      <c r="R209" s="15" t="n">
        <f aca="false">Q209-$G$2+$I$2</f>
        <v>15659.9951357616</v>
      </c>
      <c r="S209" s="42" t="n">
        <f aca="false">R209/$K$2</f>
        <v>724.999774803777</v>
      </c>
      <c r="T209" s="43" t="n">
        <f aca="false">S209-$M$2</f>
        <v>-0.000225196223027524</v>
      </c>
    </row>
    <row r="211" customFormat="false" ht="15" hidden="false" customHeight="false" outlineLevel="0" collapsed="false">
      <c r="A211" s="38" t="s">
        <v>188</v>
      </c>
      <c r="E211" s="5" t="s">
        <v>11</v>
      </c>
      <c r="F211" s="12" t="n">
        <f aca="false">Sensitivity!$B$11</f>
        <v>0.0919721785729318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162</v>
      </c>
      <c r="B212" s="28" t="s">
        <v>163</v>
      </c>
      <c r="C212" s="28" t="s">
        <v>164</v>
      </c>
      <c r="D212" s="28" t="s">
        <v>165</v>
      </c>
      <c r="E212" s="28" t="s">
        <v>166</v>
      </c>
      <c r="F212" s="28" t="s">
        <v>167</v>
      </c>
      <c r="G212" s="28" t="s">
        <v>168</v>
      </c>
      <c r="H212" s="28" t="s">
        <v>169</v>
      </c>
      <c r="I212" s="28" t="s">
        <v>170</v>
      </c>
      <c r="J212" s="28" t="s">
        <v>171</v>
      </c>
      <c r="K212" s="28" t="s">
        <v>172</v>
      </c>
      <c r="L212" s="28" t="s">
        <v>173</v>
      </c>
      <c r="M212" s="28" t="s">
        <v>174</v>
      </c>
      <c r="N212" s="28" t="s">
        <v>175</v>
      </c>
      <c r="O212" s="28" t="s">
        <v>176</v>
      </c>
      <c r="P212" s="28" t="s">
        <v>177</v>
      </c>
      <c r="Q212" s="28" t="s">
        <v>178</v>
      </c>
      <c r="R212" s="28" t="s">
        <v>179</v>
      </c>
      <c r="S212" s="28" t="s">
        <v>180</v>
      </c>
      <c r="T212" s="28" t="s">
        <v>181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2987.5</v>
      </c>
      <c r="F213" s="15" t="n">
        <f aca="false">E213*(1+IF(F$3&lt;=$O$2,$D213,$D213-($D213-$I$211)*MIN(F$3-$O$2,$Q$2)/$Q$2))</f>
        <v>3734.375</v>
      </c>
      <c r="G213" s="15" t="n">
        <f aca="false">F213*(1+IF(G$3&lt;=$O$2,$D213,$D213-($D213-$I$211)*MIN(G$3-$O$2,$Q$2)/$Q$2))</f>
        <v>4667.96875</v>
      </c>
      <c r="H213" s="15" t="n">
        <f aca="false">G213*(1+IF(H$3&lt;=$O$2,$D213,$D213-($D213-$I$211)*MIN(H$3-$O$2,$Q$2)/$Q$2))</f>
        <v>5834.9609375</v>
      </c>
      <c r="I213" s="15" t="n">
        <f aca="false">H213*(1+IF(I$3&lt;=$O$2,$D213,$D213-($D213-$I$211)*MIN(I$3-$O$2,$Q$2)/$Q$2))</f>
        <v>7293.701171875</v>
      </c>
      <c r="J213" s="15" t="n">
        <f aca="false">I213*(1+IF(J$3&lt;=$O$2,$D213,$D213-($D213-$I$211)*MIN(J$3-$O$2,$Q$2)/$Q$2))</f>
        <v>8786.43005371094</v>
      </c>
      <c r="K213" s="15" t="n">
        <f aca="false">J213*(1+IF(K$3&lt;=$O$2,$D213,$D213-($D213-$I$211)*MIN(K$3-$O$2,$Q$2)/$Q$2))</f>
        <v>10186.2840898682</v>
      </c>
      <c r="L213" s="15" t="n">
        <f aca="false">K213*(1+IF(L$3&lt;=$O$2,$D213,$D213-($D213-$I$211)*MIN(L$3-$O$2,$Q$2)/$Q$2))</f>
        <v>11347.3167504313</v>
      </c>
      <c r="M213" s="15" t="n">
        <f aca="false">L213*(1+IF(M$3&lt;=$O$2,$D213,$D213-($D213-$I$211)*MIN(M$3-$O$2,$Q$2)/$Q$2))</f>
        <v>12126.1965721809</v>
      </c>
      <c r="N213" s="15" t="n">
        <f aca="false">M213*(1+IF(N$3&lt;=$O$2,$D213,$D213-($D213-$I$211)*MIN(N$3-$O$2,$Q$2)/$Q$2))</f>
        <v>12408.7369523128</v>
      </c>
      <c r="O213" s="15" t="n">
        <f aca="false">SUMPRODUCT(E213:N213,1/(1+$F$211)^$E$3:$N$3)*$E$2</f>
        <v>21386.6581743045</v>
      </c>
      <c r="P213" s="15" t="n">
        <f aca="false">N213*$E$2*(1+$I$211)/($F$211-$I$211)/(1+$F$211)^$N$3</f>
        <v>36299.9791770369</v>
      </c>
      <c r="Q213" s="15" t="n">
        <f aca="false">O213+P213</f>
        <v>57686.6373513413</v>
      </c>
      <c r="R213" s="15" t="n">
        <f aca="false">Q213-$G$2+$I$2</f>
        <v>52335.0773513413</v>
      </c>
      <c r="S213" s="42" t="n">
        <f aca="false">R213/$K$2</f>
        <v>2422.92024774728</v>
      </c>
      <c r="T213" s="43" t="n">
        <f aca="false">S213-$M$2</f>
        <v>1697.92024774728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2091.25</v>
      </c>
      <c r="F214" s="15" t="n">
        <f aca="false">E214*(1+IF(F$3&lt;=$O$2,$D214,$D214-($D214-$I$211)*MIN(F$3-$O$2,$Q$2)/$Q$2))</f>
        <v>1829.84375</v>
      </c>
      <c r="G214" s="15" t="n">
        <f aca="false">F214*(1+IF(G$3&lt;=$O$2,$D214,$D214-($D214-$I$211)*MIN(G$3-$O$2,$Q$2)/$Q$2))</f>
        <v>1601.11328125</v>
      </c>
      <c r="H214" s="15" t="n">
        <f aca="false">G214*(1+IF(H$3&lt;=$O$2,$D214,$D214-($D214-$I$211)*MIN(H$3-$O$2,$Q$2)/$Q$2))</f>
        <v>1400.97412109375</v>
      </c>
      <c r="I214" s="15" t="n">
        <f aca="false">H214*(1+IF(I$3&lt;=$O$2,$D214,$D214-($D214-$I$211)*MIN(I$3-$O$2,$Q$2)/$Q$2))</f>
        <v>1225.85235595703</v>
      </c>
      <c r="J214" s="15" t="n">
        <f aca="false">I214*(1+IF(J$3&lt;=$O$2,$D214,$D214-($D214-$I$211)*MIN(J$3-$O$2,$Q$2)/$Q$2))</f>
        <v>1108.97959234009</v>
      </c>
      <c r="K214" s="15" t="n">
        <f aca="false">J214*(1+IF(K$3&lt;=$O$2,$D214,$D214-($D214-$I$211)*MIN(K$3-$O$2,$Q$2)/$Q$2))</f>
        <v>1036.14181271519</v>
      </c>
      <c r="L214" s="15" t="n">
        <f aca="false">K214*(1+IF(L$3&lt;=$O$2,$D214,$D214-($D214-$I$211)*MIN(L$3-$O$2,$Q$2)/$Q$2))</f>
        <v>998.81998462119</v>
      </c>
      <c r="M214" s="15" t="n">
        <f aca="false">L214*(1+IF(M$3&lt;=$O$2,$D214,$D214-($D214-$I$211)*MIN(M$3-$O$2,$Q$2)/$Q$2))</f>
        <v>992.467489518999</v>
      </c>
      <c r="N214" s="15" t="n">
        <f aca="false">M214*(1+IF(N$3&lt;=$O$2,$D214,$D214-($D214-$I$211)*MIN(N$3-$O$2,$Q$2)/$Q$2))</f>
        <v>1015.59198202479</v>
      </c>
      <c r="O214" s="15" t="n">
        <f aca="false">SUMPRODUCT(E214:N214,1/(1+$F$211)^$E$3:$N$3)*$E$2</f>
        <v>4274.69579024849</v>
      </c>
      <c r="P214" s="15" t="n">
        <f aca="false">N214*$E$2*(1+$I$211)/($F$211-$I$211)/(1+$F$211)^$N$3</f>
        <v>2970.9685958807</v>
      </c>
      <c r="Q214" s="15" t="n">
        <f aca="false">O214+P214</f>
        <v>7245.66438612918</v>
      </c>
      <c r="R214" s="15" t="n">
        <f aca="false">Q214-$G$2+$I$2</f>
        <v>1894.10438612918</v>
      </c>
      <c r="S214" s="42" t="n">
        <f aca="false">R214/$K$2</f>
        <v>87.690017876351</v>
      </c>
      <c r="T214" s="43" t="n">
        <f aca="false">S214-$M$2</f>
        <v>-637.309982123649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2539.375</v>
      </c>
      <c r="F215" s="15" t="n">
        <f aca="false">E215*(1+IF(F$3&lt;=$O$2,$D215,$D215-($D215-$I$211)*MIN(F$3-$O$2,$Q$2)/$Q$2))</f>
        <v>2698.0859375</v>
      </c>
      <c r="G215" s="15" t="n">
        <f aca="false">F215*(1+IF(G$3&lt;=$O$2,$D215,$D215-($D215-$I$211)*MIN(G$3-$O$2,$Q$2)/$Q$2))</f>
        <v>2866.71630859375</v>
      </c>
      <c r="H215" s="15" t="n">
        <f aca="false">G215*(1+IF(H$3&lt;=$O$2,$D215,$D215-($D215-$I$211)*MIN(H$3-$O$2,$Q$2)/$Q$2))</f>
        <v>3045.88607788086</v>
      </c>
      <c r="I215" s="15" t="n">
        <f aca="false">H215*(1+IF(I$3&lt;=$O$2,$D215,$D215-($D215-$I$211)*MIN(I$3-$O$2,$Q$2)/$Q$2))</f>
        <v>3236.25395774841</v>
      </c>
      <c r="J215" s="15" t="n">
        <f aca="false">I215*(1+IF(J$3&lt;=$O$2,$D215,$D215-($D215-$I$211)*MIN(J$3-$O$2,$Q$2)/$Q$2))</f>
        <v>3413.14759907894</v>
      </c>
      <c r="K215" s="15" t="n">
        <f aca="false">J215*(1+IF(K$3&lt;=$O$2,$D215,$D215-($D215-$I$211)*MIN(K$3-$O$2,$Q$2)/$Q$2))</f>
        <v>3572.95116966782</v>
      </c>
      <c r="L215" s="15" t="n">
        <f aca="false">K215*(1+IF(L$3&lt;=$O$2,$D215,$D215-($D215-$I$211)*MIN(L$3-$O$2,$Q$2)/$Q$2))</f>
        <v>3712.22480626147</v>
      </c>
      <c r="M215" s="15" t="n">
        <f aca="false">L215*(1+IF(M$3&lt;=$O$2,$D215,$D215-($D215-$I$211)*MIN(M$3-$O$2,$Q$2)/$Q$2))</f>
        <v>3827.82348672845</v>
      </c>
      <c r="N215" s="15" t="n">
        <f aca="false">M215*(1+IF(N$3&lt;=$O$2,$D215,$D215-($D215-$I$211)*MIN(N$3-$O$2,$Q$2)/$Q$2))</f>
        <v>3917.01177396922</v>
      </c>
      <c r="O215" s="15" t="n">
        <f aca="false">SUMPRODUCT(E215:N215,1/(1+$F$211)^$E$3:$N$3)*$E$2</f>
        <v>9537.91218939631</v>
      </c>
      <c r="P215" s="15" t="n">
        <f aca="false">N215*$E$2*(1+$I$211)/($F$211-$I$211)/(1+$F$211)^$N$3</f>
        <v>11458.6558146669</v>
      </c>
      <c r="Q215" s="15" t="n">
        <f aca="false">O215+P215</f>
        <v>20996.5680040633</v>
      </c>
      <c r="R215" s="15" t="n">
        <f aca="false">Q215-$G$2+$I$2</f>
        <v>15645.0080040633</v>
      </c>
      <c r="S215" s="42" t="n">
        <f aca="false">R215/$K$2</f>
        <v>724.30592611404</v>
      </c>
      <c r="T215" s="43" t="n">
        <f aca="false">S215-$M$2</f>
        <v>-0.694073885960506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0.0625</v>
      </c>
      <c r="C216" s="25" t="n">
        <f aca="false">IF(T215&gt;0,D215,C215)</f>
        <v>0.25</v>
      </c>
      <c r="D216" s="41" t="n">
        <f aca="false">(B216+C216)/2</f>
        <v>0.15625</v>
      </c>
      <c r="E216" s="15" t="n">
        <f aca="false">$C$2*(1+IF(E$3&lt;=$O$2,$D216,$D216-($D216-$I$211)*MIN(E$3-$O$2,$Q$2)/$Q$2))</f>
        <v>2763.4375</v>
      </c>
      <c r="F216" s="15" t="n">
        <f aca="false">E216*(1+IF(F$3&lt;=$O$2,$D216,$D216-($D216-$I$211)*MIN(F$3-$O$2,$Q$2)/$Q$2))</f>
        <v>3195.224609375</v>
      </c>
      <c r="G216" s="15" t="n">
        <f aca="false">F216*(1+IF(G$3&lt;=$O$2,$D216,$D216-($D216-$I$211)*MIN(G$3-$O$2,$Q$2)/$Q$2))</f>
        <v>3694.47845458984</v>
      </c>
      <c r="H216" s="15" t="n">
        <f aca="false">G216*(1+IF(H$3&lt;=$O$2,$D216,$D216-($D216-$I$211)*MIN(H$3-$O$2,$Q$2)/$Q$2))</f>
        <v>4271.74071311951</v>
      </c>
      <c r="I216" s="15" t="n">
        <f aca="false">H216*(1+IF(I$3&lt;=$O$2,$D216,$D216-($D216-$I$211)*MIN(I$3-$O$2,$Q$2)/$Q$2))</f>
        <v>4939.20019954443</v>
      </c>
      <c r="J216" s="15" t="n">
        <f aca="false">I216*(1+IF(J$3&lt;=$O$2,$D216,$D216-($D216-$I$211)*MIN(J$3-$O$2,$Q$2)/$Q$2))</f>
        <v>5579.61689741736</v>
      </c>
      <c r="K216" s="15" t="n">
        <f aca="false">J216*(1+IF(K$3&lt;=$O$2,$D216,$D216-($D216-$I$211)*MIN(K$3-$O$2,$Q$2)/$Q$2))</f>
        <v>6154.70801103417</v>
      </c>
      <c r="L216" s="15" t="n">
        <f aca="false">K216*(1+IF(L$3&lt;=$O$2,$D216,$D216-($D216-$I$211)*MIN(L$3-$O$2,$Q$2)/$Q$2))</f>
        <v>6625.42007971806</v>
      </c>
      <c r="M216" s="15" t="n">
        <f aca="false">L216*(1+IF(M$3&lt;=$O$2,$D216,$D216-($D216-$I$211)*MIN(M$3-$O$2,$Q$2)/$Q$2))</f>
        <v>6955.96228749519</v>
      </c>
      <c r="N216" s="15" t="n">
        <f aca="false">M216*(1+IF(N$3&lt;=$O$2,$D216,$D216-($D216-$I$211)*MIN(N$3-$O$2,$Q$2)/$Q$2))</f>
        <v>7118.03620879383</v>
      </c>
      <c r="O216" s="15" t="n">
        <f aca="false">SUMPRODUCT(E216:N216,1/(1+$F$211)^$E$3:$N$3)*$E$2</f>
        <v>14305.8312434886</v>
      </c>
      <c r="P216" s="15" t="n">
        <f aca="false">N216*$E$2*(1+$I$211)/($F$211-$I$211)/(1+$F$211)^$N$3</f>
        <v>20822.7934199582</v>
      </c>
      <c r="Q216" s="15" t="n">
        <f aca="false">O216+P216</f>
        <v>35128.6246634468</v>
      </c>
      <c r="R216" s="15" t="n">
        <f aca="false">Q216-$G$2+$I$2</f>
        <v>29777.0646634468</v>
      </c>
      <c r="S216" s="42" t="n">
        <f aca="false">R216/$K$2</f>
        <v>1378.56780849291</v>
      </c>
      <c r="T216" s="43" t="n">
        <f aca="false">S216-$M$2</f>
        <v>653.567808492908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0.0625</v>
      </c>
      <c r="C217" s="25" t="n">
        <f aca="false">IF(T216&gt;0,D216,C216)</f>
        <v>0.15625</v>
      </c>
      <c r="D217" s="41" t="n">
        <f aca="false">(B217+C217)/2</f>
        <v>0.109375</v>
      </c>
      <c r="E217" s="15" t="n">
        <f aca="false">$C$2*(1+IF(E$3&lt;=$O$2,$D217,$D217-($D217-$I$211)*MIN(E$3-$O$2,$Q$2)/$Q$2))</f>
        <v>2651.40625</v>
      </c>
      <c r="F217" s="15" t="n">
        <f aca="false">E217*(1+IF(F$3&lt;=$O$2,$D217,$D217-($D217-$I$211)*MIN(F$3-$O$2,$Q$2)/$Q$2))</f>
        <v>2941.40380859375</v>
      </c>
      <c r="G217" s="15" t="n">
        <f aca="false">F217*(1+IF(G$3&lt;=$O$2,$D217,$D217-($D217-$I$211)*MIN(G$3-$O$2,$Q$2)/$Q$2))</f>
        <v>3263.11985015869</v>
      </c>
      <c r="H217" s="15" t="n">
        <f aca="false">G217*(1+IF(H$3&lt;=$O$2,$D217,$D217-($D217-$I$211)*MIN(H$3-$O$2,$Q$2)/$Q$2))</f>
        <v>3620.0235837698</v>
      </c>
      <c r="I217" s="15" t="n">
        <f aca="false">H217*(1+IF(I$3&lt;=$O$2,$D217,$D217-($D217-$I$211)*MIN(I$3-$O$2,$Q$2)/$Q$2))</f>
        <v>4015.96366324462</v>
      </c>
      <c r="J217" s="15" t="n">
        <f aca="false">I217*(1+IF(J$3&lt;=$O$2,$D217,$D217-($D217-$I$211)*MIN(J$3-$O$2,$Q$2)/$Q$2))</f>
        <v>4386.07487444924</v>
      </c>
      <c r="K217" s="15" t="n">
        <f aca="false">J217*(1+IF(K$3&lt;=$O$2,$D217,$D217-($D217-$I$211)*MIN(K$3-$O$2,$Q$2)/$Q$2))</f>
        <v>4714.78925591484</v>
      </c>
      <c r="L217" s="15" t="n">
        <f aca="false">K217*(1+IF(L$3&lt;=$O$2,$D217,$D217-($D217-$I$211)*MIN(L$3-$O$2,$Q$2)/$Q$2))</f>
        <v>4986.97403965881</v>
      </c>
      <c r="M217" s="15" t="n">
        <f aca="false">L217*(1+IF(M$3&lt;=$O$2,$D217,$D217-($D217-$I$211)*MIN(M$3-$O$2,$Q$2)/$Q$2))</f>
        <v>5189.02129287558</v>
      </c>
      <c r="N217" s="15" t="n">
        <f aca="false">M217*(1+IF(N$3&lt;=$O$2,$D217,$D217-($D217-$I$211)*MIN(N$3-$O$2,$Q$2)/$Q$2))</f>
        <v>5309.92548899959</v>
      </c>
      <c r="O217" s="15" t="n">
        <f aca="false">SUMPRODUCT(E217:N217,1/(1+$F$211)^$E$3:$N$3)*$E$2</f>
        <v>11682.9506438871</v>
      </c>
      <c r="P217" s="15" t="n">
        <f aca="false">N217*$E$2*(1+$I$211)/($F$211-$I$211)/(1+$F$211)^$N$3</f>
        <v>15533.4249910405</v>
      </c>
      <c r="Q217" s="15" t="n">
        <f aca="false">O217+P217</f>
        <v>27216.3756349275</v>
      </c>
      <c r="R217" s="15" t="n">
        <f aca="false">Q217-$G$2+$I$2</f>
        <v>21864.8156349275</v>
      </c>
      <c r="S217" s="42" t="n">
        <f aca="false">R217/$K$2</f>
        <v>1012.2599830985</v>
      </c>
      <c r="T217" s="43" t="n">
        <f aca="false">S217-$M$2</f>
        <v>287.259983098497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0.0625</v>
      </c>
      <c r="C218" s="25" t="n">
        <f aca="false">IF(T217&gt;0,D217,C217)</f>
        <v>0.109375</v>
      </c>
      <c r="D218" s="41" t="n">
        <f aca="false">(B218+C218)/2</f>
        <v>0.0859375</v>
      </c>
      <c r="E218" s="15" t="n">
        <f aca="false">$C$2*(1+IF(E$3&lt;=$O$2,$D218,$D218-($D218-$I$211)*MIN(E$3-$O$2,$Q$2)/$Q$2))</f>
        <v>2595.390625</v>
      </c>
      <c r="F218" s="15" t="n">
        <f aca="false">E218*(1+IF(F$3&lt;=$O$2,$D218,$D218-($D218-$I$211)*MIN(F$3-$O$2,$Q$2)/$Q$2))</f>
        <v>2818.43200683594</v>
      </c>
      <c r="G218" s="15" t="n">
        <f aca="false">F218*(1+IF(G$3&lt;=$O$2,$D218,$D218-($D218-$I$211)*MIN(G$3-$O$2,$Q$2)/$Q$2))</f>
        <v>3060.6410074234</v>
      </c>
      <c r="H218" s="15" t="n">
        <f aca="false">G218*(1+IF(H$3&lt;=$O$2,$D218,$D218-($D218-$I$211)*MIN(H$3-$O$2,$Q$2)/$Q$2))</f>
        <v>3323.66484399885</v>
      </c>
      <c r="I218" s="15" t="n">
        <f aca="false">H218*(1+IF(I$3&lt;=$O$2,$D218,$D218-($D218-$I$211)*MIN(I$3-$O$2,$Q$2)/$Q$2))</f>
        <v>3609.29229153</v>
      </c>
      <c r="J218" s="15" t="n">
        <f aca="false">I218*(1+IF(J$3&lt;=$O$2,$D218,$D218-($D218-$I$211)*MIN(J$3-$O$2,$Q$2)/$Q$2))</f>
        <v>3874.25043865122</v>
      </c>
      <c r="K218" s="15" t="n">
        <f aca="false">J218*(1+IF(K$3&lt;=$O$2,$D218,$D218-($D218-$I$211)*MIN(K$3-$O$2,$Q$2)/$Q$2))</f>
        <v>4110.1244909824</v>
      </c>
      <c r="L218" s="15" t="n">
        <f aca="false">K218*(1+IF(L$3&lt;=$O$2,$D218,$D218-($D218-$I$211)*MIN(L$3-$O$2,$Q$2)/$Q$2))</f>
        <v>4308.86956074385</v>
      </c>
      <c r="M218" s="15" t="n">
        <f aca="false">L218*(1+IF(M$3&lt;=$O$2,$D218,$D218-($D218-$I$211)*MIN(M$3-$O$2,$Q$2)/$Q$2))</f>
        <v>4463.2455849314</v>
      </c>
      <c r="N218" s="15" t="n">
        <f aca="false">M218*(1+IF(N$3&lt;=$O$2,$D218,$D218-($D218-$I$211)*MIN(N$3-$O$2,$Q$2)/$Q$2))</f>
        <v>4567.23920706031</v>
      </c>
      <c r="O218" s="15" t="n">
        <f aca="false">SUMPRODUCT(E218:N218,1/(1+$F$211)^$E$3:$N$3)*$E$2</f>
        <v>10556.1386783587</v>
      </c>
      <c r="P218" s="15" t="n">
        <f aca="false">N218*$E$2*(1+$I$211)/($F$211-$I$211)/(1+$F$211)^$N$3</f>
        <v>13360.8028560824</v>
      </c>
      <c r="Q218" s="15" t="n">
        <f aca="false">O218+P218</f>
        <v>23916.9415344411</v>
      </c>
      <c r="R218" s="15" t="n">
        <f aca="false">Q218-$G$2+$I$2</f>
        <v>18565.3815344411</v>
      </c>
      <c r="S218" s="42" t="n">
        <f aca="false">R218/$K$2</f>
        <v>859.508404372272</v>
      </c>
      <c r="T218" s="43" t="n">
        <f aca="false">S218-$M$2</f>
        <v>134.508404372272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0.0625</v>
      </c>
      <c r="C219" s="25" t="n">
        <f aca="false">IF(T218&gt;0,D218,C218)</f>
        <v>0.0859375</v>
      </c>
      <c r="D219" s="41" t="n">
        <f aca="false">(B219+C219)/2</f>
        <v>0.07421875</v>
      </c>
      <c r="E219" s="15" t="n">
        <f aca="false">$C$2*(1+IF(E$3&lt;=$O$2,$D219,$D219-($D219-$I$211)*MIN(E$3-$O$2,$Q$2)/$Q$2))</f>
        <v>2567.3828125</v>
      </c>
      <c r="F219" s="15" t="n">
        <f aca="false">E219*(1+IF(F$3&lt;=$O$2,$D219,$D219-($D219-$I$211)*MIN(F$3-$O$2,$Q$2)/$Q$2))</f>
        <v>2757.93075561523</v>
      </c>
      <c r="G219" s="15" t="n">
        <f aca="false">F219*(1+IF(G$3&lt;=$O$2,$D219,$D219-($D219-$I$211)*MIN(G$3-$O$2,$Q$2)/$Q$2))</f>
        <v>2962.62092888355</v>
      </c>
      <c r="H219" s="15" t="n">
        <f aca="false">G219*(1+IF(H$3&lt;=$O$2,$D219,$D219-($D219-$I$211)*MIN(H$3-$O$2,$Q$2)/$Q$2))</f>
        <v>3182.50295094913</v>
      </c>
      <c r="I219" s="15" t="n">
        <f aca="false">H219*(1+IF(I$3&lt;=$O$2,$D219,$D219-($D219-$I$211)*MIN(I$3-$O$2,$Q$2)/$Q$2))</f>
        <v>3418.70434183988</v>
      </c>
      <c r="J219" s="15" t="n">
        <f aca="false">I219*(1+IF(J$3&lt;=$O$2,$D219,$D219-($D219-$I$211)*MIN(J$3-$O$2,$Q$2)/$Q$2))</f>
        <v>3637.6210743696</v>
      </c>
      <c r="K219" s="15" t="n">
        <f aca="false">J219*(1+IF(K$3&lt;=$O$2,$D219,$D219-($D219-$I$211)*MIN(K$3-$O$2,$Q$2)/$Q$2))</f>
        <v>3833.51151625075</v>
      </c>
      <c r="L219" s="15" t="n">
        <f aca="false">K219*(1+IF(L$3&lt;=$O$2,$D219,$D219-($D219-$I$211)*MIN(L$3-$O$2,$Q$2)/$Q$2))</f>
        <v>4000.91138038663</v>
      </c>
      <c r="M219" s="15" t="n">
        <f aca="false">L219*(1+IF(M$3&lt;=$O$2,$D219,$D219-($D219-$I$211)*MIN(M$3-$O$2,$Q$2)/$Q$2))</f>
        <v>4134.87689681965</v>
      </c>
      <c r="N219" s="15" t="n">
        <f aca="false">M219*(1+IF(N$3&lt;=$O$2,$D219,$D219-($D219-$I$211)*MIN(N$3-$O$2,$Q$2)/$Q$2))</f>
        <v>4231.21952851555</v>
      </c>
      <c r="O219" s="15" t="n">
        <f aca="false">SUMPRODUCT(E219:N219,1/(1+$F$211)^$E$3:$N$3)*$E$2</f>
        <v>10034.0846775573</v>
      </c>
      <c r="P219" s="15" t="n">
        <f aca="false">N219*$E$2*(1+$I$211)/($F$211-$I$211)/(1+$F$211)^$N$3</f>
        <v>12377.8255086598</v>
      </c>
      <c r="Q219" s="15" t="n">
        <f aca="false">O219+P219</f>
        <v>22411.9101862171</v>
      </c>
      <c r="R219" s="15" t="n">
        <f aca="false">Q219-$G$2+$I$2</f>
        <v>17060.3501862171</v>
      </c>
      <c r="S219" s="42" t="n">
        <f aca="false">R219/$K$2</f>
        <v>789.83102713968</v>
      </c>
      <c r="T219" s="43" t="n">
        <f aca="false">S219-$M$2</f>
        <v>64.8310271396798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0.0625</v>
      </c>
      <c r="C220" s="25" t="n">
        <f aca="false">IF(T219&gt;0,D219,C219)</f>
        <v>0.07421875</v>
      </c>
      <c r="D220" s="41" t="n">
        <f aca="false">(B220+C220)/2</f>
        <v>0.068359375</v>
      </c>
      <c r="E220" s="15" t="n">
        <f aca="false">$C$2*(1+IF(E$3&lt;=$O$2,$D220,$D220-($D220-$I$211)*MIN(E$3-$O$2,$Q$2)/$Q$2))</f>
        <v>2553.37890625</v>
      </c>
      <c r="F220" s="15" t="n">
        <f aca="false">E220*(1+IF(F$3&lt;=$O$2,$D220,$D220-($D220-$I$211)*MIN(F$3-$O$2,$Q$2)/$Q$2))</f>
        <v>2727.92629241943</v>
      </c>
      <c r="G220" s="15" t="n">
        <f aca="false">F220*(1+IF(G$3&lt;=$O$2,$D220,$D220-($D220-$I$211)*MIN(G$3-$O$2,$Q$2)/$Q$2))</f>
        <v>2914.40562881529</v>
      </c>
      <c r="H220" s="15" t="n">
        <f aca="false">G220*(1+IF(H$3&lt;=$O$2,$D220,$D220-($D220-$I$211)*MIN(H$3-$O$2,$Q$2)/$Q$2))</f>
        <v>3113.63257609759</v>
      </c>
      <c r="I220" s="15" t="n">
        <f aca="false">H220*(1+IF(I$3&lt;=$O$2,$D220,$D220-($D220-$I$211)*MIN(I$3-$O$2,$Q$2)/$Q$2))</f>
        <v>3326.47855297926</v>
      </c>
      <c r="J220" s="15" t="n">
        <f aca="false">I220*(1+IF(J$3&lt;=$O$2,$D220,$D220-($D220-$I$211)*MIN(J$3-$O$2,$Q$2)/$Q$2))</f>
        <v>3523.8967389022</v>
      </c>
      <c r="K220" s="15" t="n">
        <f aca="false">J220*(1+IF(K$3&lt;=$O$2,$D220,$D220-($D220-$I$211)*MIN(K$3-$O$2,$Q$2)/$Q$2))</f>
        <v>3701.2742836903</v>
      </c>
      <c r="L220" s="15" t="n">
        <f aca="false">K220*(1+IF(L$3&lt;=$O$2,$D220,$D220-($D220-$I$211)*MIN(L$3-$O$2,$Q$2)/$Q$2))</f>
        <v>3854.22481687095</v>
      </c>
      <c r="M220" s="15" t="n">
        <f aca="false">L220*(1+IF(M$3&lt;=$O$2,$D220,$D220-($D220-$I$211)*MIN(M$3-$O$2,$Q$2)/$Q$2))</f>
        <v>3978.76204737558</v>
      </c>
      <c r="N220" s="15" t="n">
        <f aca="false">M220*(1+IF(N$3&lt;=$O$2,$D220,$D220-($D220-$I$211)*MIN(N$3-$O$2,$Q$2)/$Q$2))</f>
        <v>4071.46720307943</v>
      </c>
      <c r="O220" s="15" t="n">
        <f aca="false">SUMPRODUCT(E220:N220,1/(1+$F$211)^$E$3:$N$3)*$E$2</f>
        <v>9782.83949057846</v>
      </c>
      <c r="P220" s="15" t="n">
        <f aca="false">N220*$E$2*(1+$I$211)/($F$211-$I$211)/(1+$F$211)^$N$3</f>
        <v>11910.4930066412</v>
      </c>
      <c r="Q220" s="15" t="n">
        <f aca="false">O220+P220</f>
        <v>21693.3324972197</v>
      </c>
      <c r="R220" s="15" t="n">
        <f aca="false">Q220-$G$2+$I$2</f>
        <v>16341.7724972197</v>
      </c>
      <c r="S220" s="42" t="n">
        <f aca="false">R220/$K$2</f>
        <v>756.563541537949</v>
      </c>
      <c r="T220" s="43" t="n">
        <f aca="false">S220-$M$2</f>
        <v>31.5635415379491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0.0625</v>
      </c>
      <c r="C221" s="25" t="n">
        <f aca="false">IF(T220&gt;0,D220,C220)</f>
        <v>0.068359375</v>
      </c>
      <c r="D221" s="41" t="n">
        <f aca="false">(B221+C221)/2</f>
        <v>0.0654296875</v>
      </c>
      <c r="E221" s="15" t="n">
        <f aca="false">$C$2*(1+IF(E$3&lt;=$O$2,$D221,$D221-($D221-$I$211)*MIN(E$3-$O$2,$Q$2)/$Q$2))</f>
        <v>2546.376953125</v>
      </c>
      <c r="F221" s="15" t="n">
        <f aca="false">E221*(1+IF(F$3&lt;=$O$2,$D221,$D221-($D221-$I$211)*MIN(F$3-$O$2,$Q$2)/$Q$2))</f>
        <v>2712.98560142517</v>
      </c>
      <c r="G221" s="15" t="n">
        <f aca="false">F221*(1+IF(G$3&lt;=$O$2,$D221,$D221-($D221-$I$211)*MIN(G$3-$O$2,$Q$2)/$Q$2))</f>
        <v>2890.49540151842</v>
      </c>
      <c r="H221" s="15" t="n">
        <f aca="false">G221*(1+IF(H$3&lt;=$O$2,$D221,$D221-($D221-$I$211)*MIN(H$3-$O$2,$Q$2)/$Q$2))</f>
        <v>3079.61961235996</v>
      </c>
      <c r="I221" s="15" t="n">
        <f aca="false">H221*(1+IF(I$3&lt;=$O$2,$D221,$D221-($D221-$I$211)*MIN(I$3-$O$2,$Q$2)/$Q$2))</f>
        <v>3281.11816121554</v>
      </c>
      <c r="J221" s="15" t="n">
        <f aca="false">I221*(1+IF(J$3&lt;=$O$2,$D221,$D221-($D221-$I$211)*MIN(J$3-$O$2,$Q$2)/$Q$2))</f>
        <v>3468.15420059793</v>
      </c>
      <c r="K221" s="15" t="n">
        <f aca="false">J221*(1+IF(K$3&lt;=$O$2,$D221,$D221-($D221-$I$211)*MIN(K$3-$O$2,$Q$2)/$Q$2))</f>
        <v>3636.62954507566</v>
      </c>
      <c r="L221" s="15" t="n">
        <f aca="false">K221*(1+IF(L$3&lt;=$O$2,$D221,$D221-($D221-$I$211)*MIN(L$3-$O$2,$Q$2)/$Q$2))</f>
        <v>3782.64703999085</v>
      </c>
      <c r="M221" s="15" t="n">
        <f aca="false">L221*(1+IF(M$3&lt;=$O$2,$D221,$D221-($D221-$I$211)*MIN(M$3-$O$2,$Q$2)/$Q$2))</f>
        <v>3902.65506356616</v>
      </c>
      <c r="N221" s="15" t="n">
        <f aca="false">M221*(1+IF(N$3&lt;=$O$2,$D221,$D221-($D221-$I$211)*MIN(N$3-$O$2,$Q$2)/$Q$2))</f>
        <v>3993.58692654725</v>
      </c>
      <c r="O221" s="15" t="n">
        <f aca="false">SUMPRODUCT(E221:N221,1/(1+$F$211)^$E$3:$N$3)*$E$2</f>
        <v>9659.59546400311</v>
      </c>
      <c r="P221" s="15" t="n">
        <f aca="false">N221*$E$2*(1+$I$211)/($F$211-$I$211)/(1+$F$211)^$N$3</f>
        <v>11682.6654342393</v>
      </c>
      <c r="Q221" s="15" t="n">
        <f aca="false">O221+P221</f>
        <v>21342.2608982424</v>
      </c>
      <c r="R221" s="15" t="n">
        <f aca="false">Q221-$G$2+$I$2</f>
        <v>15990.7008982424</v>
      </c>
      <c r="S221" s="42" t="n">
        <f aca="false">R221/$K$2</f>
        <v>740.310226770481</v>
      </c>
      <c r="T221" s="43" t="n">
        <f aca="false">S221-$M$2</f>
        <v>15.3102267704809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0.0625</v>
      </c>
      <c r="C222" s="25" t="n">
        <f aca="false">IF(T221&gt;0,D221,C221)</f>
        <v>0.0654296875</v>
      </c>
      <c r="D222" s="41" t="n">
        <f aca="false">(B222+C222)/2</f>
        <v>0.06396484375</v>
      </c>
      <c r="E222" s="15" t="n">
        <f aca="false">$C$2*(1+IF(E$3&lt;=$O$2,$D222,$D222-($D222-$I$211)*MIN(E$3-$O$2,$Q$2)/$Q$2))</f>
        <v>2542.8759765625</v>
      </c>
      <c r="F222" s="15" t="n">
        <f aca="false">E222*(1+IF(F$3&lt;=$O$2,$D222,$D222-($D222-$I$211)*MIN(F$3-$O$2,$Q$2)/$Q$2))</f>
        <v>2705.53064107895</v>
      </c>
      <c r="G222" s="15" t="n">
        <f aca="false">F222*(1+IF(G$3&lt;=$O$2,$D222,$D222-($D222-$I$211)*MIN(G$3-$O$2,$Q$2)/$Q$2))</f>
        <v>2878.5894857964</v>
      </c>
      <c r="H222" s="15" t="n">
        <f aca="false">G222*(1+IF(H$3&lt;=$O$2,$D222,$D222-($D222-$I$211)*MIN(H$3-$O$2,$Q$2)/$Q$2))</f>
        <v>3062.71801247576</v>
      </c>
      <c r="I222" s="15" t="n">
        <f aca="false">H222*(1+IF(I$3&lt;=$O$2,$D222,$D222-($D222-$I$211)*MIN(I$3-$O$2,$Q$2)/$Q$2))</f>
        <v>3258.62429159408</v>
      </c>
      <c r="J222" s="15" t="n">
        <f aca="false">I222*(1+IF(J$3&lt;=$O$2,$D222,$D222-($D222-$I$211)*MIN(J$3-$O$2,$Q$2)/$Q$2))</f>
        <v>3440.55939571433</v>
      </c>
      <c r="K222" s="15" t="n">
        <f aca="false">J222*(1+IF(K$3&lt;=$O$2,$D222,$D222-($D222-$I$211)*MIN(K$3-$O$2,$Q$2)/$Q$2))</f>
        <v>3604.67031577806</v>
      </c>
      <c r="L222" s="15" t="n">
        <f aca="false">K222*(1+IF(L$3&lt;=$O$2,$D222,$D222-($D222-$I$211)*MIN(L$3-$O$2,$Q$2)/$Q$2))</f>
        <v>3747.29247620024</v>
      </c>
      <c r="M222" s="15" t="n">
        <f aca="false">L222*(1+IF(M$3&lt;=$O$2,$D222,$D222-($D222-$I$211)*MIN(M$3-$O$2,$Q$2)/$Q$2))</f>
        <v>3865.08100350175</v>
      </c>
      <c r="N222" s="15" t="n">
        <f aca="false">M222*(1+IF(N$3&lt;=$O$2,$D222,$D222-($D222-$I$211)*MIN(N$3-$O$2,$Q$2)/$Q$2))</f>
        <v>3955.13739088335</v>
      </c>
      <c r="O222" s="15" t="n">
        <f aca="false">SUMPRODUCT(E222:N222,1/(1+$F$211)^$E$3:$N$3)*$E$2</f>
        <v>9598.55989211765</v>
      </c>
      <c r="P222" s="15" t="n">
        <f aca="false">N222*$E$2*(1+$I$211)/($F$211-$I$211)/(1+$F$211)^$N$3</f>
        <v>11570.1868355446</v>
      </c>
      <c r="Q222" s="15" t="n">
        <f aca="false">O222+P222</f>
        <v>21168.7467276623</v>
      </c>
      <c r="R222" s="15" t="n">
        <f aca="false">Q222-$G$2+$I$2</f>
        <v>15817.1867276623</v>
      </c>
      <c r="S222" s="42" t="n">
        <f aca="false">R222/$K$2</f>
        <v>732.277163317698</v>
      </c>
      <c r="T222" s="43" t="n">
        <f aca="false">S222-$M$2</f>
        <v>7.2771633176983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0.0625</v>
      </c>
      <c r="C223" s="25" t="n">
        <f aca="false">IF(T222&gt;0,D222,C222)</f>
        <v>0.06396484375</v>
      </c>
      <c r="D223" s="41" t="n">
        <f aca="false">(B223+C223)/2</f>
        <v>0.063232421875</v>
      </c>
      <c r="E223" s="15" t="n">
        <f aca="false">$C$2*(1+IF(E$3&lt;=$O$2,$D223,$D223-($D223-$I$211)*MIN(E$3-$O$2,$Q$2)/$Q$2))</f>
        <v>2541.12548828125</v>
      </c>
      <c r="F223" s="15" t="n">
        <f aca="false">E223*(1+IF(F$3&lt;=$O$2,$D223,$D223-($D223-$I$211)*MIN(F$3-$O$2,$Q$2)/$Q$2))</f>
        <v>2701.80700719357</v>
      </c>
      <c r="G223" s="15" t="n">
        <f aca="false">F223*(1+IF(G$3&lt;=$O$2,$D223,$D223-($D223-$I$211)*MIN(G$3-$O$2,$Q$2)/$Q$2))</f>
        <v>2872.64880769726</v>
      </c>
      <c r="H223" s="15" t="n">
        <f aca="false">G223*(1+IF(H$3&lt;=$O$2,$D223,$D223-($D223-$I$211)*MIN(H$3-$O$2,$Q$2)/$Q$2))</f>
        <v>3054.29334900429</v>
      </c>
      <c r="I223" s="15" t="n">
        <f aca="false">H223*(1+IF(I$3&lt;=$O$2,$D223,$D223-($D223-$I$211)*MIN(I$3-$O$2,$Q$2)/$Q$2))</f>
        <v>3247.42371457853</v>
      </c>
      <c r="J223" s="15" t="n">
        <f aca="false">I223*(1+IF(J$3&lt;=$O$2,$D223,$D223-($D223-$I$211)*MIN(J$3-$O$2,$Q$2)/$Q$2))</f>
        <v>3426.83068215016</v>
      </c>
      <c r="K223" s="15" t="n">
        <f aca="false">J223*(1+IF(K$3&lt;=$O$2,$D223,$D223-($D223-$I$211)*MIN(K$3-$O$2,$Q$2)/$Q$2))</f>
        <v>3588.78082614055</v>
      </c>
      <c r="L223" s="15" t="n">
        <f aca="false">K223*(1+IF(L$3&lt;=$O$2,$D223,$D223-($D223-$I$211)*MIN(L$3-$O$2,$Q$2)/$Q$2))</f>
        <v>3729.72290337616</v>
      </c>
      <c r="M223" s="15" t="n">
        <f aca="false">L223*(1+IF(M$3&lt;=$O$2,$D223,$D223-($D223-$I$211)*MIN(M$3-$O$2,$Q$2)/$Q$2))</f>
        <v>3846.41282071572</v>
      </c>
      <c r="N223" s="15" t="n">
        <f aca="false">M223*(1+IF(N$3&lt;=$O$2,$D223,$D223-($D223-$I$211)*MIN(N$3-$O$2,$Q$2)/$Q$2))</f>
        <v>3936.0342394384</v>
      </c>
      <c r="O223" s="15" t="n">
        <f aca="false">SUMPRODUCT(E223:N223,1/(1+$F$211)^$E$3:$N$3)*$E$2</f>
        <v>9568.18770138283</v>
      </c>
      <c r="P223" s="15" t="n">
        <f aca="false">N223*$E$2*(1+$I$211)/($F$211-$I$211)/(1+$F$211)^$N$3</f>
        <v>11514.3033074843</v>
      </c>
      <c r="Q223" s="15" t="n">
        <f aca="false">O223+P223</f>
        <v>21082.4910088672</v>
      </c>
      <c r="R223" s="15" t="n">
        <f aca="false">Q223-$G$2+$I$2</f>
        <v>15730.9310088672</v>
      </c>
      <c r="S223" s="42" t="n">
        <f aca="false">R223/$K$2</f>
        <v>728.28384300311</v>
      </c>
      <c r="T223" s="43" t="n">
        <f aca="false">S223-$M$2</f>
        <v>3.28384300310995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0.0625</v>
      </c>
      <c r="C224" s="25" t="n">
        <f aca="false">IF(T223&gt;0,D223,C223)</f>
        <v>0.063232421875</v>
      </c>
      <c r="D224" s="41" t="n">
        <f aca="false">(B224+C224)/2</f>
        <v>0.0628662109375</v>
      </c>
      <c r="E224" s="15" t="n">
        <f aca="false">$C$2*(1+IF(E$3&lt;=$O$2,$D224,$D224-($D224-$I$211)*MIN(E$3-$O$2,$Q$2)/$Q$2))</f>
        <v>2540.25024414063</v>
      </c>
      <c r="F224" s="15" t="n">
        <f aca="false">E224*(1+IF(F$3&lt;=$O$2,$D224,$D224-($D224-$I$211)*MIN(F$3-$O$2,$Q$2)/$Q$2))</f>
        <v>2699.94615182281</v>
      </c>
      <c r="G224" s="15" t="n">
        <f aca="false">F224*(1+IF(G$3&lt;=$O$2,$D224,$D224-($D224-$I$211)*MIN(G$3-$O$2,$Q$2)/$Q$2))</f>
        <v>2869.68153612319</v>
      </c>
      <c r="H224" s="15" t="n">
        <f aca="false">G224*(1+IF(H$3&lt;=$O$2,$D224,$D224-($D224-$I$211)*MIN(H$3-$O$2,$Q$2)/$Q$2))</f>
        <v>3050.08754089656</v>
      </c>
      <c r="I224" s="15" t="n">
        <f aca="false">H224*(1+IF(I$3&lt;=$O$2,$D224,$D224-($D224-$I$211)*MIN(I$3-$O$2,$Q$2)/$Q$2))</f>
        <v>3241.8349876204</v>
      </c>
      <c r="J224" s="15" t="n">
        <f aca="false">I224*(1+IF(J$3&lt;=$O$2,$D224,$D224-($D224-$I$211)*MIN(J$3-$O$2,$Q$2)/$Q$2))</f>
        <v>3419.98344438776</v>
      </c>
      <c r="K224" s="15" t="n">
        <f aca="false">J224*(1+IF(K$3&lt;=$O$2,$D224,$D224-($D224-$I$211)*MIN(K$3-$O$2,$Q$2)/$Q$2))</f>
        <v>3580.85853046004</v>
      </c>
      <c r="L224" s="15" t="n">
        <f aca="false">K224*(1+IF(L$3&lt;=$O$2,$D224,$D224-($D224-$I$211)*MIN(L$3-$O$2,$Q$2)/$Q$2))</f>
        <v>3720.96493580117</v>
      </c>
      <c r="M224" s="15" t="n">
        <f aca="false">L224*(1+IF(M$3&lt;=$O$2,$D224,$D224-($D224-$I$211)*MIN(M$3-$O$2,$Q$2)/$Q$2))</f>
        <v>3837.10831551353</v>
      </c>
      <c r="N224" s="15" t="n">
        <f aca="false">M224*(1+IF(N$3&lt;=$O$2,$D224,$D224-($D224-$I$211)*MIN(N$3-$O$2,$Q$2)/$Q$2))</f>
        <v>3926.51293926499</v>
      </c>
      <c r="O224" s="15" t="n">
        <f aca="false">SUMPRODUCT(E224:N224,1/(1+$F$211)^$E$3:$N$3)*$E$2</f>
        <v>9553.03787853913</v>
      </c>
      <c r="P224" s="15" t="n">
        <f aca="false">N224*$E$2*(1+$I$211)/($F$211-$I$211)/(1+$F$211)^$N$3</f>
        <v>11486.4501102282</v>
      </c>
      <c r="Q224" s="15" t="n">
        <f aca="false">O224+P224</f>
        <v>21039.4879887673</v>
      </c>
      <c r="R224" s="15" t="n">
        <f aca="false">Q224-$G$2+$I$2</f>
        <v>15687.9279887673</v>
      </c>
      <c r="S224" s="42" t="n">
        <f aca="false">R224/$K$2</f>
        <v>726.29296244293</v>
      </c>
      <c r="T224" s="43" t="n">
        <f aca="false">S224-$M$2</f>
        <v>1.29296244292993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0.0625</v>
      </c>
      <c r="C225" s="25" t="n">
        <f aca="false">IF(T224&gt;0,D224,C224)</f>
        <v>0.0628662109375</v>
      </c>
      <c r="D225" s="41" t="n">
        <f aca="false">(B225+C225)/2</f>
        <v>0.06268310546875</v>
      </c>
      <c r="E225" s="15" t="n">
        <f aca="false">$C$2*(1+IF(E$3&lt;=$O$2,$D225,$D225-($D225-$I$211)*MIN(E$3-$O$2,$Q$2)/$Q$2))</f>
        <v>2539.81262207031</v>
      </c>
      <c r="F225" s="15" t="n">
        <f aca="false">E225*(1+IF(F$3&lt;=$O$2,$D225,$D225-($D225-$I$211)*MIN(F$3-$O$2,$Q$2)/$Q$2))</f>
        <v>2699.01596453041</v>
      </c>
      <c r="G225" s="15" t="n">
        <f aca="false">F225*(1+IF(G$3&lt;=$O$2,$D225,$D225-($D225-$I$211)*MIN(G$3-$O$2,$Q$2)/$Q$2))</f>
        <v>2868.19866689691</v>
      </c>
      <c r="H225" s="15" t="n">
        <f aca="false">G225*(1+IF(H$3&lt;=$O$2,$D225,$D225-($D225-$I$211)*MIN(H$3-$O$2,$Q$2)/$Q$2))</f>
        <v>3047.98626643934</v>
      </c>
      <c r="I225" s="15" t="n">
        <f aca="false">H225*(1+IF(I$3&lt;=$O$2,$D225,$D225-($D225-$I$211)*MIN(I$3-$O$2,$Q$2)/$Q$2))</f>
        <v>3239.04351104585</v>
      </c>
      <c r="J225" s="15" t="n">
        <f aca="false">I225*(1+IF(J$3&lt;=$O$2,$D225,$D225-($D225-$I$211)*MIN(J$3-$O$2,$Q$2)/$Q$2))</f>
        <v>3416.56409862393</v>
      </c>
      <c r="K225" s="15" t="n">
        <f aca="false">J225*(1+IF(K$3&lt;=$O$2,$D225,$D225-($D225-$I$211)*MIN(K$3-$O$2,$Q$2)/$Q$2))</f>
        <v>3576.90298466398</v>
      </c>
      <c r="L225" s="15" t="n">
        <f aca="false">K225*(1+IF(L$3&lt;=$O$2,$D225,$D225-($D225-$I$211)*MIN(L$3-$O$2,$Q$2)/$Q$2))</f>
        <v>3716.59264320526</v>
      </c>
      <c r="M225" s="15" t="n">
        <f aca="false">L225*(1+IF(M$3&lt;=$O$2,$D225,$D225-($D225-$I$211)*MIN(M$3-$O$2,$Q$2)/$Q$2))</f>
        <v>3832.46344380229</v>
      </c>
      <c r="N225" s="15" t="n">
        <f aca="false">M225*(1+IF(N$3&lt;=$O$2,$D225,$D225-($D225-$I$211)*MIN(N$3-$O$2,$Q$2)/$Q$2))</f>
        <v>3921.75984204288</v>
      </c>
      <c r="O225" s="15" t="n">
        <f aca="false">SUMPRODUCT(E225:N225,1/(1+$F$211)^$E$3:$N$3)*$E$2</f>
        <v>9545.4720195017</v>
      </c>
      <c r="P225" s="15" t="n">
        <f aca="false">N225*$E$2*(1+$I$211)/($F$211-$I$211)/(1+$F$211)^$N$3</f>
        <v>11472.5456064215</v>
      </c>
      <c r="Q225" s="15" t="n">
        <f aca="false">O225+P225</f>
        <v>21018.0176259232</v>
      </c>
      <c r="R225" s="15" t="n">
        <f aca="false">Q225-$G$2+$I$2</f>
        <v>15666.4576259232</v>
      </c>
      <c r="S225" s="42" t="n">
        <f aca="false">R225/$K$2</f>
        <v>725.298964163111</v>
      </c>
      <c r="T225" s="43" t="n">
        <f aca="false">S225-$M$2</f>
        <v>0.298964163111236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0.0625</v>
      </c>
      <c r="C226" s="25" t="n">
        <f aca="false">IF(T225&gt;0,D225,C225)</f>
        <v>0.06268310546875</v>
      </c>
      <c r="D226" s="41" t="n">
        <f aca="false">(B226+C226)/2</f>
        <v>0.062591552734375</v>
      </c>
      <c r="E226" s="15" t="n">
        <f aca="false">$C$2*(1+IF(E$3&lt;=$O$2,$D226,$D226-($D226-$I$211)*MIN(E$3-$O$2,$Q$2)/$Q$2))</f>
        <v>2539.59381103516</v>
      </c>
      <c r="F226" s="15" t="n">
        <f aca="false">E226*(1+IF(F$3&lt;=$O$2,$D226,$D226-($D226-$I$211)*MIN(F$3-$O$2,$Q$2)/$Q$2))</f>
        <v>2698.55093098246</v>
      </c>
      <c r="G226" s="15" t="n">
        <f aca="false">F226*(1+IF(G$3&lt;=$O$2,$D226,$D226-($D226-$I$211)*MIN(G$3-$O$2,$Q$2)/$Q$2))</f>
        <v>2867.45742388544</v>
      </c>
      <c r="H226" s="15" t="n">
        <f aca="false">G226*(1+IF(H$3&lt;=$O$2,$D226,$D226-($D226-$I$211)*MIN(H$3-$O$2,$Q$2)/$Q$2))</f>
        <v>3046.93603644614</v>
      </c>
      <c r="I226" s="15" t="n">
        <f aca="false">H226*(1+IF(I$3&lt;=$O$2,$D226,$D226-($D226-$I$211)*MIN(I$3-$O$2,$Q$2)/$Q$2))</f>
        <v>3237.64849404963</v>
      </c>
      <c r="J226" s="15" t="n">
        <f aca="false">I226*(1+IF(J$3&lt;=$O$2,$D226,$D226-($D226-$I$211)*MIN(J$3-$O$2,$Q$2)/$Q$2))</f>
        <v>3414.85549319244</v>
      </c>
      <c r="K226" s="15" t="n">
        <f aca="false">J226*(1+IF(K$3&lt;=$O$2,$D226,$D226-($D226-$I$211)*MIN(K$3-$O$2,$Q$2)/$Q$2))</f>
        <v>3574.92661099845</v>
      </c>
      <c r="L226" s="15" t="n">
        <f aca="false">K226*(1+IF(L$3&lt;=$O$2,$D226,$D226-($D226-$I$211)*MIN(L$3-$O$2,$Q$2)/$Q$2))</f>
        <v>3714.40816801774</v>
      </c>
      <c r="M226" s="15" t="n">
        <f aca="false">L226*(1+IF(M$3&lt;=$O$2,$D226,$D226-($D226-$I$211)*MIN(M$3-$O$2,$Q$2)/$Q$2))</f>
        <v>3830.14285121468</v>
      </c>
      <c r="N226" s="15" t="n">
        <f aca="false">M226*(1+IF(N$3&lt;=$O$2,$D226,$D226-($D226-$I$211)*MIN(N$3-$O$2,$Q$2)/$Q$2))</f>
        <v>3919.38517964799</v>
      </c>
      <c r="O226" s="15" t="n">
        <f aca="false">SUMPRODUCT(E226:N226,1/(1+$F$211)^$E$3:$N$3)*$E$2</f>
        <v>9541.69135111316</v>
      </c>
      <c r="P226" s="15" t="n">
        <f aca="false">N226*$E$2*(1+$I$211)/($F$211-$I$211)/(1+$F$211)^$N$3</f>
        <v>11465.5988723729</v>
      </c>
      <c r="Q226" s="15" t="n">
        <f aca="false">O226+P226</f>
        <v>21007.290223486</v>
      </c>
      <c r="R226" s="15" t="n">
        <f aca="false">Q226-$G$2+$I$2</f>
        <v>15655.730223486</v>
      </c>
      <c r="S226" s="42" t="n">
        <f aca="false">R226/$K$2</f>
        <v>724.802325161391</v>
      </c>
      <c r="T226" s="43" t="n">
        <f aca="false">S226-$M$2</f>
        <v>-0.197674838609032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0.062591552734375</v>
      </c>
      <c r="C227" s="25" t="n">
        <f aca="false">IF(T226&gt;0,D226,C226)</f>
        <v>0.06268310546875</v>
      </c>
      <c r="D227" s="41" t="n">
        <f aca="false">(B227+C227)/2</f>
        <v>0.0626373291015625</v>
      </c>
      <c r="E227" s="15" t="n">
        <f aca="false">$C$2*(1+IF(E$3&lt;=$O$2,$D227,$D227-($D227-$I$211)*MIN(E$3-$O$2,$Q$2)/$Q$2))</f>
        <v>2539.70321655273</v>
      </c>
      <c r="F227" s="15" t="n">
        <f aca="false">E227*(1+IF(F$3&lt;=$O$2,$D227,$D227-($D227-$I$211)*MIN(F$3-$O$2,$Q$2)/$Q$2))</f>
        <v>2698.78344274825</v>
      </c>
      <c r="G227" s="15" t="n">
        <f aca="false">F227*(1+IF(G$3&lt;=$O$2,$D227,$D227-($D227-$I$211)*MIN(G$3-$O$2,$Q$2)/$Q$2))</f>
        <v>2867.82802942551</v>
      </c>
      <c r="H227" s="15" t="n">
        <f aca="false">G227*(1+IF(H$3&lt;=$O$2,$D227,$D227-($D227-$I$211)*MIN(H$3-$O$2,$Q$2)/$Q$2))</f>
        <v>3047.46111751133</v>
      </c>
      <c r="I227" s="15" t="n">
        <f aca="false">H227*(1+IF(I$3&lt;=$O$2,$D227,$D227-($D227-$I$211)*MIN(I$3-$O$2,$Q$2)/$Q$2))</f>
        <v>3238.3459424531</v>
      </c>
      <c r="J227" s="15" t="n">
        <f aca="false">I227*(1+IF(J$3&lt;=$O$2,$D227,$D227-($D227-$I$211)*MIN(J$3-$O$2,$Q$2)/$Q$2))</f>
        <v>3415.70970697865</v>
      </c>
      <c r="K227" s="15" t="n">
        <f aca="false">J227*(1+IF(K$3&lt;=$O$2,$D227,$D227-($D227-$I$211)*MIN(K$3-$O$2,$Q$2)/$Q$2))</f>
        <v>3575.91468126654</v>
      </c>
      <c r="L227" s="15" t="n">
        <f aca="false">K227*(1+IF(L$3&lt;=$O$2,$D227,$D227-($D227-$I$211)*MIN(L$3-$O$2,$Q$2)/$Q$2))</f>
        <v>3715.50026640249</v>
      </c>
      <c r="M227" s="15" t="n">
        <f aca="false">L227*(1+IF(M$3&lt;=$O$2,$D227,$D227-($D227-$I$211)*MIN(M$3-$O$2,$Q$2)/$Q$2))</f>
        <v>3831.30299396095</v>
      </c>
      <c r="N227" s="15" t="n">
        <f aca="false">M227*(1+IF(N$3&lt;=$O$2,$D227,$D227-($D227-$I$211)*MIN(N$3-$O$2,$Q$2)/$Q$2))</f>
        <v>3920.57235372024</v>
      </c>
      <c r="O227" s="15" t="n">
        <f aca="false">SUMPRODUCT(E227:N227,1/(1+$F$211)^$E$3:$N$3)*$E$2</f>
        <v>9543.58149693839</v>
      </c>
      <c r="P227" s="15" t="n">
        <f aca="false">N227*$E$2*(1+$I$211)/($F$211-$I$211)/(1+$F$211)^$N$3</f>
        <v>11469.07177975</v>
      </c>
      <c r="Q227" s="15" t="n">
        <f aca="false">O227+P227</f>
        <v>21012.6532766884</v>
      </c>
      <c r="R227" s="15" t="n">
        <f aca="false">Q227-$G$2+$I$2</f>
        <v>15661.0932766884</v>
      </c>
      <c r="S227" s="42" t="n">
        <f aca="false">R227/$K$2</f>
        <v>725.050614661499</v>
      </c>
      <c r="T227" s="43" t="n">
        <f aca="false">S227-$M$2</f>
        <v>0.0506146614991394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0.062591552734375</v>
      </c>
      <c r="C228" s="25" t="n">
        <f aca="false">IF(T227&gt;0,D227,C227)</f>
        <v>0.0626373291015625</v>
      </c>
      <c r="D228" s="41" t="n">
        <f aca="false">(B228+C228)/2</f>
        <v>0.0626144409179688</v>
      </c>
      <c r="E228" s="15" t="n">
        <f aca="false">$C$2*(1+IF(E$3&lt;=$O$2,$D228,$D228-($D228-$I$211)*MIN(E$3-$O$2,$Q$2)/$Q$2))</f>
        <v>2539.64851379395</v>
      </c>
      <c r="F228" s="15" t="n">
        <f aca="false">E228*(1+IF(F$3&lt;=$O$2,$D228,$D228-($D228-$I$211)*MIN(F$3-$O$2,$Q$2)/$Q$2))</f>
        <v>2698.6671856133</v>
      </c>
      <c r="G228" s="15" t="n">
        <f aca="false">F228*(1+IF(G$3&lt;=$O$2,$D228,$D228-($D228-$I$211)*MIN(G$3-$O$2,$Q$2)/$Q$2))</f>
        <v>2867.64272266415</v>
      </c>
      <c r="H228" s="15" t="n">
        <f aca="false">G228*(1+IF(H$3&lt;=$O$2,$D228,$D228-($D228-$I$211)*MIN(H$3-$O$2,$Q$2)/$Q$2))</f>
        <v>3047.19856849625</v>
      </c>
      <c r="I228" s="15" t="n">
        <f aca="false">H228*(1+IF(I$3&lt;=$O$2,$D228,$D228-($D228-$I$211)*MIN(I$3-$O$2,$Q$2)/$Q$2))</f>
        <v>3237.99720322867</v>
      </c>
      <c r="J228" s="15" t="n">
        <f aca="false">I228*(1+IF(J$3&lt;=$O$2,$D228,$D228-($D228-$I$211)*MIN(J$3-$O$2,$Q$2)/$Q$2))</f>
        <v>3415.28257785501</v>
      </c>
      <c r="K228" s="15" t="n">
        <f aca="false">J228*(1+IF(K$3&lt;=$O$2,$D228,$D228-($D228-$I$211)*MIN(K$3-$O$2,$Q$2)/$Q$2))</f>
        <v>3575.42061699418</v>
      </c>
      <c r="L228" s="15" t="n">
        <f aca="false">K228*(1+IF(L$3&lt;=$O$2,$D228,$D228-($D228-$I$211)*MIN(L$3-$O$2,$Q$2)/$Q$2))</f>
        <v>3714.95418241162</v>
      </c>
      <c r="M228" s="15" t="n">
        <f aca="false">L228*(1+IF(M$3&lt;=$O$2,$D228,$D228-($D228-$I$211)*MIN(M$3-$O$2,$Q$2)/$Q$2))</f>
        <v>3830.72288420529</v>
      </c>
      <c r="N228" s="15" t="n">
        <f aca="false">M228*(1+IF(N$3&lt;=$O$2,$D228,$D228-($D228-$I$211)*MIN(N$3-$O$2,$Q$2)/$Q$2))</f>
        <v>3919.97872740728</v>
      </c>
      <c r="O228" s="15" t="n">
        <f aca="false">SUMPRODUCT(E228:N228,1/(1+$F$211)^$E$3:$N$3)*$E$2</f>
        <v>9542.63637693791</v>
      </c>
      <c r="P228" s="15" t="n">
        <f aca="false">N228*$E$2*(1+$I$211)/($F$211-$I$211)/(1+$F$211)^$N$3</f>
        <v>11467.3352111627</v>
      </c>
      <c r="Q228" s="15" t="n">
        <f aca="false">O228+P228</f>
        <v>21009.9715881006</v>
      </c>
      <c r="R228" s="15" t="n">
        <f aca="false">Q228-$G$2+$I$2</f>
        <v>15658.4115881006</v>
      </c>
      <c r="S228" s="42" t="n">
        <f aca="false">R228/$K$2</f>
        <v>724.926462412064</v>
      </c>
      <c r="T228" s="43" t="n">
        <f aca="false">S228-$M$2</f>
        <v>-0.0735375879356752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0.0626144409179688</v>
      </c>
      <c r="C229" s="25" t="n">
        <f aca="false">IF(T228&gt;0,D228,C228)</f>
        <v>0.0626373291015625</v>
      </c>
      <c r="D229" s="41" t="n">
        <f aca="false">(B229+C229)/2</f>
        <v>0.0626258850097656</v>
      </c>
      <c r="E229" s="15" t="n">
        <f aca="false">$C$2*(1+IF(E$3&lt;=$O$2,$D229,$D229-($D229-$I$211)*MIN(E$3-$O$2,$Q$2)/$Q$2))</f>
        <v>2539.67586517334</v>
      </c>
      <c r="F229" s="15" t="n">
        <f aca="false">E229*(1+IF(F$3&lt;=$O$2,$D229,$D229-($D229-$I$211)*MIN(F$3-$O$2,$Q$2)/$Q$2))</f>
        <v>2698.72531386776</v>
      </c>
      <c r="G229" s="15" t="n">
        <f aca="false">F229*(1+IF(G$3&lt;=$O$2,$D229,$D229-($D229-$I$211)*MIN(G$3-$O$2,$Q$2)/$Q$2))</f>
        <v>2867.73537504699</v>
      </c>
      <c r="H229" s="15" t="n">
        <f aca="false">G229*(1+IF(H$3&lt;=$O$2,$D229,$D229-($D229-$I$211)*MIN(H$3-$O$2,$Q$2)/$Q$2))</f>
        <v>3047.32984088312</v>
      </c>
      <c r="I229" s="15" t="n">
        <f aca="false">H229*(1+IF(I$3&lt;=$O$2,$D229,$D229-($D229-$I$211)*MIN(I$3-$O$2,$Q$2)/$Q$2))</f>
        <v>3238.17156908509</v>
      </c>
      <c r="J229" s="15" t="n">
        <f aca="false">I229*(1+IF(J$3&lt;=$O$2,$D229,$D229-($D229-$I$211)*MIN(J$3-$O$2,$Q$2)/$Q$2))</f>
        <v>3415.49613685896</v>
      </c>
      <c r="K229" s="15" t="n">
        <f aca="false">J229*(1+IF(K$3&lt;=$O$2,$D229,$D229-($D229-$I$211)*MIN(K$3-$O$2,$Q$2)/$Q$2))</f>
        <v>3575.66764184542</v>
      </c>
      <c r="L229" s="15" t="n">
        <f aca="false">K229*(1+IF(L$3&lt;=$O$2,$D229,$D229-($D229-$I$211)*MIN(L$3-$O$2,$Q$2)/$Q$2))</f>
        <v>3715.22721570696</v>
      </c>
      <c r="M229" s="15" t="n">
        <f aca="false">L229*(1+IF(M$3&lt;=$O$2,$D229,$D229-($D229-$I$211)*MIN(M$3-$O$2,$Q$2)/$Q$2))</f>
        <v>3831.01292948695</v>
      </c>
      <c r="N229" s="15" t="n">
        <f aca="false">M229*(1+IF(N$3&lt;=$O$2,$D229,$D229-($D229-$I$211)*MIN(N$3-$O$2,$Q$2)/$Q$2))</f>
        <v>3920.27553074399</v>
      </c>
      <c r="O229" s="15" t="n">
        <f aca="false">SUMPRODUCT(E229:N229,1/(1+$F$211)^$E$3:$N$3)*$E$2</f>
        <v>9543.10892516563</v>
      </c>
      <c r="P229" s="15" t="n">
        <f aca="false">N229*$E$2*(1+$I$211)/($F$211-$I$211)/(1+$F$211)^$N$3</f>
        <v>11468.20346673</v>
      </c>
      <c r="Q229" s="15" t="n">
        <f aca="false">O229+P229</f>
        <v>21011.3123918957</v>
      </c>
      <c r="R229" s="15" t="n">
        <f aca="false">Q229-$G$2+$I$2</f>
        <v>15659.7523918957</v>
      </c>
      <c r="S229" s="42" t="n">
        <f aca="false">R229/$K$2</f>
        <v>724.988536661836</v>
      </c>
      <c r="T229" s="43" t="n">
        <f aca="false">S229-$M$2</f>
        <v>-0.0114633381641625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0.0626258850097656</v>
      </c>
      <c r="C230" s="25" t="n">
        <f aca="false">IF(T229&gt;0,D229,C229)</f>
        <v>0.0626373291015625</v>
      </c>
      <c r="D230" s="41" t="n">
        <f aca="false">(B230+C230)/2</f>
        <v>0.0626316070556641</v>
      </c>
      <c r="E230" s="15" t="n">
        <f aca="false">$C$2*(1+IF(E$3&lt;=$O$2,$D230,$D230-($D230-$I$211)*MIN(E$3-$O$2,$Q$2)/$Q$2))</f>
        <v>2539.68954086304</v>
      </c>
      <c r="F230" s="15" t="n">
        <f aca="false">E230*(1+IF(F$3&lt;=$O$2,$D230,$D230-($D230-$I$211)*MIN(F$3-$O$2,$Q$2)/$Q$2))</f>
        <v>2698.75437822975</v>
      </c>
      <c r="G230" s="15" t="n">
        <f aca="false">F230*(1+IF(G$3&lt;=$O$2,$D230,$D230-($D230-$I$211)*MIN(G$3-$O$2,$Q$2)/$Q$2))</f>
        <v>2867.78170198679</v>
      </c>
      <c r="H230" s="15" t="n">
        <f aca="false">G230*(1+IF(H$3&lt;=$O$2,$D230,$D230-($D230-$I$211)*MIN(H$3-$O$2,$Q$2)/$Q$2))</f>
        <v>3047.39547866705</v>
      </c>
      <c r="I230" s="15" t="n">
        <f aca="false">H230*(1+IF(I$3&lt;=$O$2,$D230,$D230-($D230-$I$211)*MIN(I$3-$O$2,$Q$2)/$Q$2))</f>
        <v>3238.25875483013</v>
      </c>
      <c r="J230" s="15" t="n">
        <f aca="false">I230*(1+IF(J$3&lt;=$O$2,$D230,$D230-($D230-$I$211)*MIN(J$3-$O$2,$Q$2)/$Q$2))</f>
        <v>3415.60292052931</v>
      </c>
      <c r="K230" s="15" t="n">
        <f aca="false">J230*(1+IF(K$3&lt;=$O$2,$D230,$D230-($D230-$I$211)*MIN(K$3-$O$2,$Q$2)/$Q$2))</f>
        <v>3575.7911597347</v>
      </c>
      <c r="L230" s="15" t="n">
        <f aca="false">K230*(1+IF(L$3&lt;=$O$2,$D230,$D230-($D230-$I$211)*MIN(L$3-$O$2,$Q$2)/$Q$2))</f>
        <v>3715.36373887964</v>
      </c>
      <c r="M230" s="15" t="n">
        <f aca="false">L230*(1+IF(M$3&lt;=$O$2,$D230,$D230-($D230-$I$211)*MIN(M$3-$O$2,$Q$2)/$Q$2))</f>
        <v>3831.15795932483</v>
      </c>
      <c r="N230" s="15" t="n">
        <f aca="false">M230*(1+IF(N$3&lt;=$O$2,$D230,$D230-($D230-$I$211)*MIN(N$3-$O$2,$Q$2)/$Q$2))</f>
        <v>3920.4239397771</v>
      </c>
      <c r="O230" s="15" t="n">
        <f aca="false">SUMPRODUCT(E230:N230,1/(1+$F$211)^$E$3:$N$3)*$E$2</f>
        <v>9543.34520810881</v>
      </c>
      <c r="P230" s="15" t="n">
        <f aca="false">N230*$E$2*(1+$I$211)/($F$211-$I$211)/(1+$F$211)^$N$3</f>
        <v>11468.6376160582</v>
      </c>
      <c r="Q230" s="15" t="n">
        <f aca="false">O230+P230</f>
        <v>21011.982824167</v>
      </c>
      <c r="R230" s="15" t="n">
        <f aca="false">Q230-$G$2+$I$2</f>
        <v>15660.422824167</v>
      </c>
      <c r="S230" s="42" t="n">
        <f aca="false">R230/$K$2</f>
        <v>725.019575192918</v>
      </c>
      <c r="T230" s="43" t="n">
        <f aca="false">S230-$M$2</f>
        <v>0.0195751929181824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0.0626258850097656</v>
      </c>
      <c r="C231" s="25" t="n">
        <f aca="false">IF(T230&gt;0,D230,C230)</f>
        <v>0.0626316070556641</v>
      </c>
      <c r="D231" s="41" t="n">
        <f aca="false">(B231+C231)/2</f>
        <v>0.0626287460327148</v>
      </c>
      <c r="E231" s="15" t="n">
        <f aca="false">$C$2*(1+IF(E$3&lt;=$O$2,$D231,$D231-($D231-$I$211)*MIN(E$3-$O$2,$Q$2)/$Q$2))</f>
        <v>2539.68270301819</v>
      </c>
      <c r="F231" s="15" t="n">
        <f aca="false">E231*(1+IF(F$3&lt;=$O$2,$D231,$D231-($D231-$I$211)*MIN(F$3-$O$2,$Q$2)/$Q$2))</f>
        <v>2698.73984602919</v>
      </c>
      <c r="G231" s="15" t="n">
        <f aca="false">F231*(1+IF(G$3&lt;=$O$2,$D231,$D231-($D231-$I$211)*MIN(G$3-$O$2,$Q$2)/$Q$2))</f>
        <v>2867.75853845452</v>
      </c>
      <c r="H231" s="15" t="n">
        <f aca="false">G231*(1+IF(H$3&lt;=$O$2,$D231,$D231-($D231-$I$211)*MIN(H$3-$O$2,$Q$2)/$Q$2))</f>
        <v>3047.36265964254</v>
      </c>
      <c r="I231" s="15" t="n">
        <f aca="false">H231*(1+IF(I$3&lt;=$O$2,$D231,$D231-($D231-$I$211)*MIN(I$3-$O$2,$Q$2)/$Q$2))</f>
        <v>3238.21516172287</v>
      </c>
      <c r="J231" s="15" t="n">
        <f aca="false">I231*(1+IF(J$3&lt;=$O$2,$D231,$D231-($D231-$I$211)*MIN(J$3-$O$2,$Q$2)/$Q$2))</f>
        <v>3415.54952834676</v>
      </c>
      <c r="K231" s="15" t="n">
        <f aca="false">J231*(1+IF(K$3&lt;=$O$2,$D231,$D231-($D231-$I$211)*MIN(K$3-$O$2,$Q$2)/$Q$2))</f>
        <v>3575.72940033475</v>
      </c>
      <c r="L231" s="15" t="n">
        <f aca="false">K231*(1+IF(L$3&lt;=$O$2,$D231,$D231-($D231-$I$211)*MIN(L$3-$O$2,$Q$2)/$Q$2))</f>
        <v>3715.29547674954</v>
      </c>
      <c r="M231" s="15" t="n">
        <f aca="false">L231*(1+IF(M$3&lt;=$O$2,$D231,$D231-($D231-$I$211)*MIN(M$3-$O$2,$Q$2)/$Q$2))</f>
        <v>3831.08544380612</v>
      </c>
      <c r="N231" s="15" t="n">
        <f aca="false">M231*(1+IF(N$3&lt;=$O$2,$D231,$D231-($D231-$I$211)*MIN(N$3-$O$2,$Q$2)/$Q$2))</f>
        <v>3920.3497346468</v>
      </c>
      <c r="O231" s="15" t="n">
        <f aca="false">SUMPRODUCT(E231:N231,1/(1+$F$211)^$E$3:$N$3)*$E$2</f>
        <v>9543.22706590143</v>
      </c>
      <c r="P231" s="15" t="n">
        <f aca="false">N231*$E$2*(1+$I$211)/($F$211-$I$211)/(1+$F$211)^$N$3</f>
        <v>11468.4205395987</v>
      </c>
      <c r="Q231" s="15" t="n">
        <f aca="false">O231+P231</f>
        <v>21011.6476055001</v>
      </c>
      <c r="R231" s="15" t="n">
        <f aca="false">Q231-$G$2+$I$2</f>
        <v>15660.0876055001</v>
      </c>
      <c r="S231" s="42" t="n">
        <f aca="false">R231/$K$2</f>
        <v>725.004055810191</v>
      </c>
      <c r="T231" s="43" t="n">
        <f aca="false">S231-$M$2</f>
        <v>0.00405581019128931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0.0626258850097656</v>
      </c>
      <c r="C232" s="25" t="n">
        <f aca="false">IF(T231&gt;0,D231,C231)</f>
        <v>0.0626287460327148</v>
      </c>
      <c r="D232" s="41" t="n">
        <f aca="false">(B232+C232)/2</f>
        <v>0.0626273155212402</v>
      </c>
      <c r="E232" s="15" t="n">
        <f aca="false">$C$2*(1+IF(E$3&lt;=$O$2,$D232,$D232-($D232-$I$211)*MIN(E$3-$O$2,$Q$2)/$Q$2))</f>
        <v>2539.67928409576</v>
      </c>
      <c r="F232" s="15" t="n">
        <f aca="false">E232*(1+IF(F$3&lt;=$O$2,$D232,$D232-($D232-$I$211)*MIN(F$3-$O$2,$Q$2)/$Q$2))</f>
        <v>2698.73257994359</v>
      </c>
      <c r="G232" s="15" t="n">
        <f aca="false">F232*(1+IF(G$3&lt;=$O$2,$D232,$D232-($D232-$I$211)*MIN(G$3-$O$2,$Q$2)/$Q$2))</f>
        <v>2867.74695673517</v>
      </c>
      <c r="H232" s="15" t="n">
        <f aca="false">G232*(1+IF(H$3&lt;=$O$2,$D232,$D232-($D232-$I$211)*MIN(H$3-$O$2,$Q$2)/$Q$2))</f>
        <v>3047.34625022969</v>
      </c>
      <c r="I232" s="15" t="n">
        <f aca="false">H232*(1+IF(I$3&lt;=$O$2,$D232,$D232-($D232-$I$211)*MIN(I$3-$O$2,$Q$2)/$Q$2))</f>
        <v>3238.1933653453</v>
      </c>
      <c r="J232" s="15" t="n">
        <f aca="false">I232*(1+IF(J$3&lt;=$O$2,$D232,$D232-($D232-$I$211)*MIN(J$3-$O$2,$Q$2)/$Q$2))</f>
        <v>3415.52283251602</v>
      </c>
      <c r="K232" s="15" t="n">
        <f aca="false">J232*(1+IF(K$3&lt;=$O$2,$D232,$D232-($D232-$I$211)*MIN(K$3-$O$2,$Q$2)/$Q$2))</f>
        <v>3575.69852097626</v>
      </c>
      <c r="L232" s="15" t="n">
        <f aca="false">K232*(1+IF(L$3&lt;=$O$2,$D232,$D232-($D232-$I$211)*MIN(L$3-$O$2,$Q$2)/$Q$2))</f>
        <v>3715.26134609231</v>
      </c>
      <c r="M232" s="15" t="n">
        <f aca="false">L232*(1+IF(M$3&lt;=$O$2,$D232,$D232-($D232-$I$211)*MIN(M$3-$O$2,$Q$2)/$Q$2))</f>
        <v>3831.04918649659</v>
      </c>
      <c r="N232" s="15" t="n">
        <f aca="false">M232*(1+IF(N$3&lt;=$O$2,$D232,$D232-($D232-$I$211)*MIN(N$3-$O$2,$Q$2)/$Q$2))</f>
        <v>3920.31263254196</v>
      </c>
      <c r="O232" s="15" t="n">
        <f aca="false">SUMPRODUCT(E232:N232,1/(1+$F$211)^$E$3:$N$3)*$E$2</f>
        <v>9543.16799534959</v>
      </c>
      <c r="P232" s="15" t="n">
        <f aca="false">N232*$E$2*(1+$I$211)/($F$211-$I$211)/(1+$F$211)^$N$3</f>
        <v>11468.3120027155</v>
      </c>
      <c r="Q232" s="15" t="n">
        <f aca="false">O232+P232</f>
        <v>21011.4799980651</v>
      </c>
      <c r="R232" s="15" t="n">
        <f aca="false">Q232-$G$2+$I$2</f>
        <v>15659.9199980651</v>
      </c>
      <c r="S232" s="42" t="n">
        <f aca="false">R232/$K$2</f>
        <v>724.996296206717</v>
      </c>
      <c r="T232" s="43" t="n">
        <f aca="false">S232-$M$2</f>
        <v>-0.0037037932830799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0.0626273155212402</v>
      </c>
      <c r="C233" s="25" t="n">
        <f aca="false">IF(T232&gt;0,D232,C232)</f>
        <v>0.0626287460327148</v>
      </c>
      <c r="D233" s="41" t="n">
        <f aca="false">(B233+C233)/2</f>
        <v>0.0626280307769775</v>
      </c>
      <c r="E233" s="15" t="n">
        <f aca="false">$C$2*(1+IF(E$3&lt;=$O$2,$D233,$D233-($D233-$I$211)*MIN(E$3-$O$2,$Q$2)/$Q$2))</f>
        <v>2539.68099355698</v>
      </c>
      <c r="F233" s="15" t="n">
        <f aca="false">E233*(1+IF(F$3&lt;=$O$2,$D233,$D233-($D233-$I$211)*MIN(F$3-$O$2,$Q$2)/$Q$2))</f>
        <v>2698.73621298517</v>
      </c>
      <c r="G233" s="15" t="n">
        <f aca="false">F233*(1+IF(G$3&lt;=$O$2,$D233,$D233-($D233-$I$211)*MIN(G$3-$O$2,$Q$2)/$Q$2))</f>
        <v>2867.75274759095</v>
      </c>
      <c r="H233" s="15" t="n">
        <f aca="false">G233*(1+IF(H$3&lt;=$O$2,$D233,$D233-($D233-$I$211)*MIN(H$3-$O$2,$Q$2)/$Q$2))</f>
        <v>3047.35445492783</v>
      </c>
      <c r="I233" s="15" t="n">
        <f aca="false">H233*(1+IF(I$3&lt;=$O$2,$D233,$D233-($D233-$I$211)*MIN(I$3-$O$2,$Q$2)/$Q$2))</f>
        <v>3238.20426351941</v>
      </c>
      <c r="J233" s="15" t="n">
        <f aca="false">I233*(1+IF(J$3&lt;=$O$2,$D233,$D233-($D233-$I$211)*MIN(J$3-$O$2,$Q$2)/$Q$2))</f>
        <v>3415.53618040968</v>
      </c>
      <c r="K233" s="15" t="n">
        <f aca="false">J233*(1+IF(K$3&lt;=$O$2,$D233,$D233-($D233-$I$211)*MIN(K$3-$O$2,$Q$2)/$Q$2))</f>
        <v>3575.71396062705</v>
      </c>
      <c r="L233" s="15" t="n">
        <f aca="false">K233*(1+IF(L$3&lt;=$O$2,$D233,$D233-($D233-$I$211)*MIN(L$3-$O$2,$Q$2)/$Q$2))</f>
        <v>3715.27841138694</v>
      </c>
      <c r="M233" s="15" t="n">
        <f aca="false">L233*(1+IF(M$3&lt;=$O$2,$D233,$D233-($D233-$I$211)*MIN(M$3-$O$2,$Q$2)/$Q$2))</f>
        <v>3831.06731511387</v>
      </c>
      <c r="N233" s="15" t="n">
        <f aca="false">M233*(1+IF(N$3&lt;=$O$2,$D233,$D233-($D233-$I$211)*MIN(N$3-$O$2,$Q$2)/$Q$2))</f>
        <v>3920.33118355602</v>
      </c>
      <c r="O233" s="15" t="n">
        <f aca="false">SUMPRODUCT(E233:N233,1/(1+$F$211)^$E$3:$N$3)*$E$2</f>
        <v>9543.19753057952</v>
      </c>
      <c r="P233" s="15" t="n">
        <f aca="false">N233*$E$2*(1+$I$211)/($F$211-$I$211)/(1+$F$211)^$N$3</f>
        <v>11468.3662710449</v>
      </c>
      <c r="Q233" s="15" t="n">
        <f aca="false">O233+P233</f>
        <v>21011.5638016244</v>
      </c>
      <c r="R233" s="15" t="n">
        <f aca="false">Q233-$G$2+$I$2</f>
        <v>15660.0038016244</v>
      </c>
      <c r="S233" s="42" t="n">
        <f aca="false">R233/$K$2</f>
        <v>725.00017600113</v>
      </c>
      <c r="T233" s="43" t="n">
        <f aca="false">S233-$M$2</f>
        <v>0.00017600112994387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0.0626273155212402</v>
      </c>
      <c r="C234" s="25" t="n">
        <f aca="false">IF(T233&gt;0,D233,C233)</f>
        <v>0.0626280307769775</v>
      </c>
      <c r="D234" s="41" t="n">
        <f aca="false">(B234+C234)/2</f>
        <v>0.0626276731491089</v>
      </c>
      <c r="E234" s="15" t="n">
        <f aca="false">$C$2*(1+IF(E$3&lt;=$O$2,$D234,$D234-($D234-$I$211)*MIN(E$3-$O$2,$Q$2)/$Q$2))</f>
        <v>2539.68013882637</v>
      </c>
      <c r="F234" s="15" t="n">
        <f aca="false">E234*(1+IF(F$3&lt;=$O$2,$D234,$D234-($D234-$I$211)*MIN(F$3-$O$2,$Q$2)/$Q$2))</f>
        <v>2698.73439646407</v>
      </c>
      <c r="G234" s="15" t="n">
        <f aca="false">F234*(1+IF(G$3&lt;=$O$2,$D234,$D234-($D234-$I$211)*MIN(G$3-$O$2,$Q$2)/$Q$2))</f>
        <v>2867.74985216208</v>
      </c>
      <c r="H234" s="15" t="n">
        <f aca="false">G234*(1+IF(H$3&lt;=$O$2,$D234,$D234-($D234-$I$211)*MIN(H$3-$O$2,$Q$2)/$Q$2))</f>
        <v>3047.35035257669</v>
      </c>
      <c r="I234" s="15" t="n">
        <f aca="false">H234*(1+IF(I$3&lt;=$O$2,$D234,$D234-($D234-$I$211)*MIN(I$3-$O$2,$Q$2)/$Q$2))</f>
        <v>3238.19881442869</v>
      </c>
      <c r="J234" s="15" t="n">
        <f aca="false">I234*(1+IF(J$3&lt;=$O$2,$D234,$D234-($D234-$I$211)*MIN(J$3-$O$2,$Q$2)/$Q$2))</f>
        <v>3415.52950645742</v>
      </c>
      <c r="K234" s="15" t="n">
        <f aca="false">J234*(1+IF(K$3&lt;=$O$2,$D234,$D234-($D234-$I$211)*MIN(K$3-$O$2,$Q$2)/$Q$2))</f>
        <v>3575.70624079454</v>
      </c>
      <c r="L234" s="15" t="n">
        <f aca="false">K234*(1+IF(L$3&lt;=$O$2,$D234,$D234-($D234-$I$211)*MIN(L$3-$O$2,$Q$2)/$Q$2))</f>
        <v>3715.26987873113</v>
      </c>
      <c r="M234" s="15" t="n">
        <f aca="false">L234*(1+IF(M$3&lt;=$O$2,$D234,$D234-($D234-$I$211)*MIN(M$3-$O$2,$Q$2)/$Q$2))</f>
        <v>3831.05825079586</v>
      </c>
      <c r="N234" s="15" t="n">
        <f aca="false">M234*(1+IF(N$3&lt;=$O$2,$D234,$D234-($D234-$I$211)*MIN(N$3-$O$2,$Q$2)/$Q$2))</f>
        <v>3920.3219080394</v>
      </c>
      <c r="O234" s="15" t="n">
        <f aca="false">SUMPRODUCT(E234:N234,1/(1+$F$211)^$E$3:$N$3)*$E$2</f>
        <v>9543.18276295306</v>
      </c>
      <c r="P234" s="15" t="n">
        <f aca="false">N234*$E$2*(1+$I$211)/($F$211-$I$211)/(1+$F$211)^$N$3</f>
        <v>11468.3391368521</v>
      </c>
      <c r="Q234" s="15" t="n">
        <f aca="false">O234+P234</f>
        <v>21011.5218998052</v>
      </c>
      <c r="R234" s="15" t="n">
        <f aca="false">Q234-$G$2+$I$2</f>
        <v>15659.9618998052</v>
      </c>
      <c r="S234" s="42" t="n">
        <f aca="false">R234/$K$2</f>
        <v>724.998236102093</v>
      </c>
      <c r="T234" s="43" t="n">
        <f aca="false">S234-$M$2</f>
        <v>-0.00176389790726716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0.0626276731491089</v>
      </c>
      <c r="C235" s="25" t="n">
        <f aca="false">IF(T234&gt;0,D234,C234)</f>
        <v>0.0626280307769775</v>
      </c>
      <c r="D235" s="41" t="n">
        <f aca="false">(B235+C235)/2</f>
        <v>0.0626278519630432</v>
      </c>
      <c r="E235" s="15" t="n">
        <f aca="false">$C$2*(1+IF(E$3&lt;=$O$2,$D235,$D235-($D235-$I$211)*MIN(E$3-$O$2,$Q$2)/$Q$2))</f>
        <v>2539.68056619167</v>
      </c>
      <c r="F235" s="15" t="n">
        <f aca="false">E235*(1+IF(F$3&lt;=$O$2,$D235,$D235-($D235-$I$211)*MIN(F$3-$O$2,$Q$2)/$Q$2))</f>
        <v>2698.73530472454</v>
      </c>
      <c r="G235" s="15" t="n">
        <f aca="false">F235*(1+IF(G$3&lt;=$O$2,$D235,$D235-($D235-$I$211)*MIN(G$3-$O$2,$Q$2)/$Q$2))</f>
        <v>2867.75129987627</v>
      </c>
      <c r="H235" s="15" t="n">
        <f aca="false">G235*(1+IF(H$3&lt;=$O$2,$D235,$D235-($D235-$I$211)*MIN(H$3-$O$2,$Q$2)/$Q$2))</f>
        <v>3047.35240375175</v>
      </c>
      <c r="I235" s="15" t="n">
        <f aca="false">H235*(1+IF(I$3&lt;=$O$2,$D235,$D235-($D235-$I$211)*MIN(I$3-$O$2,$Q$2)/$Q$2))</f>
        <v>3238.20153897313</v>
      </c>
      <c r="J235" s="15" t="n">
        <f aca="false">I235*(1+IF(J$3&lt;=$O$2,$D235,$D235-($D235-$I$211)*MIN(J$3-$O$2,$Q$2)/$Q$2))</f>
        <v>3415.5328434322</v>
      </c>
      <c r="K235" s="15" t="n">
        <f aca="false">J235*(1+IF(K$3&lt;=$O$2,$D235,$D235-($D235-$I$211)*MIN(K$3-$O$2,$Q$2)/$Q$2))</f>
        <v>3575.71010070901</v>
      </c>
      <c r="L235" s="15" t="n">
        <f aca="false">K235*(1+IF(L$3&lt;=$O$2,$D235,$D235-($D235-$I$211)*MIN(L$3-$O$2,$Q$2)/$Q$2))</f>
        <v>3715.27414505691</v>
      </c>
      <c r="M235" s="15" t="n">
        <f aca="false">L235*(1+IF(M$3&lt;=$O$2,$D235,$D235-($D235-$I$211)*MIN(M$3-$O$2,$Q$2)/$Q$2))</f>
        <v>3831.06278295252</v>
      </c>
      <c r="N235" s="15" t="n">
        <f aca="false">M235*(1+IF(N$3&lt;=$O$2,$D235,$D235-($D235-$I$211)*MIN(N$3-$O$2,$Q$2)/$Q$2))</f>
        <v>3920.32654579532</v>
      </c>
      <c r="O235" s="15" t="n">
        <f aca="false">SUMPRODUCT(E235:N235,1/(1+$F$211)^$E$3:$N$3)*$E$2</f>
        <v>9543.19014676342</v>
      </c>
      <c r="P235" s="15" t="n">
        <f aca="false">N235*$E$2*(1+$I$211)/($F$211-$I$211)/(1+$F$211)^$N$3</f>
        <v>11468.3527039415</v>
      </c>
      <c r="Q235" s="15" t="n">
        <f aca="false">O235+P235</f>
        <v>21011.5428507049</v>
      </c>
      <c r="R235" s="15" t="n">
        <f aca="false">Q235-$G$2+$I$2</f>
        <v>15659.9828507049</v>
      </c>
      <c r="S235" s="42" t="n">
        <f aca="false">R235/$K$2</f>
        <v>724.999206051154</v>
      </c>
      <c r="T235" s="43" t="n">
        <f aca="false">S235-$M$2</f>
        <v>-0.000793948846421699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0.0626278519630432</v>
      </c>
      <c r="C236" s="25" t="n">
        <f aca="false">IF(T235&gt;0,D235,C235)</f>
        <v>0.0626280307769775</v>
      </c>
      <c r="D236" s="41" t="n">
        <f aca="false">(B236+C236)/2</f>
        <v>0.0626279413700104</v>
      </c>
      <c r="E236" s="15" t="n">
        <f aca="false">$C$2*(1+IF(E$3&lt;=$O$2,$D236,$D236-($D236-$I$211)*MIN(E$3-$O$2,$Q$2)/$Q$2))</f>
        <v>2539.68077987433</v>
      </c>
      <c r="F236" s="15" t="n">
        <f aca="false">E236*(1+IF(F$3&lt;=$O$2,$D236,$D236-($D236-$I$211)*MIN(F$3-$O$2,$Q$2)/$Q$2))</f>
        <v>2698.73575885484</v>
      </c>
      <c r="G236" s="15" t="n">
        <f aca="false">F236*(1+IF(G$3&lt;=$O$2,$D236,$D236-($D236-$I$211)*MIN(G$3-$O$2,$Q$2)/$Q$2))</f>
        <v>2867.75202373355</v>
      </c>
      <c r="H236" s="15" t="n">
        <f aca="false">G236*(1+IF(H$3&lt;=$O$2,$D236,$D236-($D236-$I$211)*MIN(H$3-$O$2,$Q$2)/$Q$2))</f>
        <v>3047.35342933966</v>
      </c>
      <c r="I236" s="15" t="n">
        <f aca="false">H236*(1+IF(I$3&lt;=$O$2,$D236,$D236-($D236-$I$211)*MIN(I$3-$O$2,$Q$2)/$Q$2))</f>
        <v>3238.20290124605</v>
      </c>
      <c r="J236" s="15" t="n">
        <f aca="false">I236*(1+IF(J$3&lt;=$O$2,$D236,$D236-($D236-$I$211)*MIN(J$3-$O$2,$Q$2)/$Q$2))</f>
        <v>3415.5345119206</v>
      </c>
      <c r="K236" s="15" t="n">
        <f aca="false">J236*(1+IF(K$3&lt;=$O$2,$D236,$D236-($D236-$I$211)*MIN(K$3-$O$2,$Q$2)/$Q$2))</f>
        <v>3575.71203066759</v>
      </c>
      <c r="L236" s="15" t="n">
        <f aca="false">K236*(1+IF(L$3&lt;=$O$2,$D236,$D236-($D236-$I$211)*MIN(L$3-$O$2,$Q$2)/$Q$2))</f>
        <v>3715.27627822139</v>
      </c>
      <c r="M236" s="15" t="n">
        <f aca="false">L236*(1+IF(M$3&lt;=$O$2,$D236,$D236-($D236-$I$211)*MIN(M$3-$O$2,$Q$2)/$Q$2))</f>
        <v>3831.06504903261</v>
      </c>
      <c r="N236" s="15" t="n">
        <f aca="false">M236*(1+IF(N$3&lt;=$O$2,$D236,$D236-($D236-$I$211)*MIN(N$3-$O$2,$Q$2)/$Q$2))</f>
        <v>3920.32886467507</v>
      </c>
      <c r="O236" s="15" t="n">
        <f aca="false">SUMPRODUCT(E236:N236,1/(1+$F$211)^$E$3:$N$3)*$E$2</f>
        <v>9543.19383867075</v>
      </c>
      <c r="P236" s="15" t="n">
        <f aca="false">N236*$E$2*(1+$I$211)/($F$211-$I$211)/(1+$F$211)^$N$3</f>
        <v>11468.3594874914</v>
      </c>
      <c r="Q236" s="15" t="n">
        <f aca="false">O236+P236</f>
        <v>21011.5533261622</v>
      </c>
      <c r="R236" s="15" t="n">
        <f aca="false">Q236-$G$2+$I$2</f>
        <v>15659.9933261622</v>
      </c>
      <c r="S236" s="42" t="n">
        <f aca="false">R236/$K$2</f>
        <v>724.999691026027</v>
      </c>
      <c r="T236" s="43" t="n">
        <f aca="false">S236-$M$2</f>
        <v>-0.000308973972778404</v>
      </c>
    </row>
    <row r="238" customFormat="false" ht="15" hidden="false" customHeight="false" outlineLevel="0" collapsed="false">
      <c r="A238" s="38" t="s">
        <v>189</v>
      </c>
      <c r="E238" s="5" t="s">
        <v>11</v>
      </c>
      <c r="F238" s="12" t="n">
        <f aca="false">Sensitivity!$B$11</f>
        <v>0.0919721785729318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162</v>
      </c>
      <c r="B239" s="28" t="s">
        <v>163</v>
      </c>
      <c r="C239" s="28" t="s">
        <v>164</v>
      </c>
      <c r="D239" s="28" t="s">
        <v>165</v>
      </c>
      <c r="E239" s="28" t="s">
        <v>166</v>
      </c>
      <c r="F239" s="28" t="s">
        <v>167</v>
      </c>
      <c r="G239" s="28" t="s">
        <v>168</v>
      </c>
      <c r="H239" s="28" t="s">
        <v>169</v>
      </c>
      <c r="I239" s="28" t="s">
        <v>170</v>
      </c>
      <c r="J239" s="28" t="s">
        <v>171</v>
      </c>
      <c r="K239" s="28" t="s">
        <v>172</v>
      </c>
      <c r="L239" s="28" t="s">
        <v>173</v>
      </c>
      <c r="M239" s="28" t="s">
        <v>174</v>
      </c>
      <c r="N239" s="28" t="s">
        <v>175</v>
      </c>
      <c r="O239" s="28" t="s">
        <v>176</v>
      </c>
      <c r="P239" s="28" t="s">
        <v>177</v>
      </c>
      <c r="Q239" s="28" t="s">
        <v>178</v>
      </c>
      <c r="R239" s="28" t="s">
        <v>179</v>
      </c>
      <c r="S239" s="28" t="s">
        <v>180</v>
      </c>
      <c r="T239" s="28" t="s">
        <v>181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2987.5</v>
      </c>
      <c r="F240" s="15" t="n">
        <f aca="false">E240*(1+IF(F$3&lt;=$O$2,$D240,$D240-($D240-$I$238)*MIN(F$3-$O$2,$Q$2)/$Q$2))</f>
        <v>3734.375</v>
      </c>
      <c r="G240" s="15" t="n">
        <f aca="false">F240*(1+IF(G$3&lt;=$O$2,$D240,$D240-($D240-$I$238)*MIN(G$3-$O$2,$Q$2)/$Q$2))</f>
        <v>4667.96875</v>
      </c>
      <c r="H240" s="15" t="n">
        <f aca="false">G240*(1+IF(H$3&lt;=$O$2,$D240,$D240-($D240-$I$238)*MIN(H$3-$O$2,$Q$2)/$Q$2))</f>
        <v>5834.9609375</v>
      </c>
      <c r="I240" s="15" t="n">
        <f aca="false">H240*(1+IF(I$3&lt;=$O$2,$D240,$D240-($D240-$I$238)*MIN(I$3-$O$2,$Q$2)/$Q$2))</f>
        <v>7293.701171875</v>
      </c>
      <c r="J240" s="15" t="n">
        <f aca="false">I240*(1+IF(J$3&lt;=$O$2,$D240,$D240-($D240-$I$238)*MIN(J$3-$O$2,$Q$2)/$Q$2))</f>
        <v>8793.72375488281</v>
      </c>
      <c r="K240" s="15" t="n">
        <f aca="false">J240*(1+IF(K$3&lt;=$O$2,$D240,$D240-($D240-$I$238)*MIN(K$3-$O$2,$Q$2)/$Q$2))</f>
        <v>10212.3272710205</v>
      </c>
      <c r="L240" s="15" t="n">
        <f aca="false">K240*(1+IF(L$3&lt;=$O$2,$D240,$D240-($D240-$I$238)*MIN(L$3-$O$2,$Q$2)/$Q$2))</f>
        <v>11406.9653151845</v>
      </c>
      <c r="M240" s="15" t="n">
        <f aca="false">L240*(1+IF(M$3&lt;=$O$2,$D240,$D240-($D240-$I$238)*MIN(M$3-$O$2,$Q$2)/$Q$2))</f>
        <v>12235.5672756795</v>
      </c>
      <c r="N240" s="15" t="n">
        <f aca="false">M240*(1+IF(N$3&lt;=$O$2,$D240,$D240-($D240-$I$238)*MIN(N$3-$O$2,$Q$2)/$Q$2))</f>
        <v>12581.8338295812</v>
      </c>
      <c r="O240" s="15" t="n">
        <f aca="false">SUMPRODUCT(E240:N240,1/(1+$F$238)^$E$3:$N$3)*$E$2</f>
        <v>21466.7419735214</v>
      </c>
      <c r="P240" s="15" t="n">
        <f aca="false">N240*$E$2*(1+$I$238)/($F$238-$I$238)/(1+$F$238)^$N$3</f>
        <v>39890.6139038252</v>
      </c>
      <c r="Q240" s="15" t="n">
        <f aca="false">O240+P240</f>
        <v>61357.3558773466</v>
      </c>
      <c r="R240" s="15" t="n">
        <f aca="false">Q240-$G$2+$I$2</f>
        <v>56005.7958773466</v>
      </c>
      <c r="S240" s="42" t="n">
        <f aca="false">R240/$K$2</f>
        <v>2592.86092024753</v>
      </c>
      <c r="T240" s="43" t="n">
        <f aca="false">S240-$M$2</f>
        <v>1867.86092024753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2091.25</v>
      </c>
      <c r="F241" s="15" t="n">
        <f aca="false">E241*(1+IF(F$3&lt;=$O$2,$D241,$D241-($D241-$I$238)*MIN(F$3-$O$2,$Q$2)/$Q$2))</f>
        <v>1829.84375</v>
      </c>
      <c r="G241" s="15" t="n">
        <f aca="false">F241*(1+IF(G$3&lt;=$O$2,$D241,$D241-($D241-$I$238)*MIN(G$3-$O$2,$Q$2)/$Q$2))</f>
        <v>1601.11328125</v>
      </c>
      <c r="H241" s="15" t="n">
        <f aca="false">G241*(1+IF(H$3&lt;=$O$2,$D241,$D241-($D241-$I$238)*MIN(H$3-$O$2,$Q$2)/$Q$2))</f>
        <v>1400.97412109375</v>
      </c>
      <c r="I241" s="15" t="n">
        <f aca="false">H241*(1+IF(I$3&lt;=$O$2,$D241,$D241-($D241-$I$238)*MIN(I$3-$O$2,$Q$2)/$Q$2))</f>
        <v>1225.85235595703</v>
      </c>
      <c r="J241" s="15" t="n">
        <f aca="false">I241*(1+IF(J$3&lt;=$O$2,$D241,$D241-($D241-$I$238)*MIN(J$3-$O$2,$Q$2)/$Q$2))</f>
        <v>1110.20544469604</v>
      </c>
      <c r="K241" s="15" t="n">
        <f aca="false">J241*(1+IF(K$3&lt;=$O$2,$D241,$D241-($D241-$I$238)*MIN(K$3-$O$2,$Q$2)/$Q$2))</f>
        <v>1039.5075619778</v>
      </c>
      <c r="L241" s="15" t="n">
        <f aca="false">K241*(1+IF(L$3&lt;=$O$2,$D241,$D241-($D241-$I$238)*MIN(L$3-$O$2,$Q$2)/$Q$2))</f>
        <v>1005.18302228129</v>
      </c>
      <c r="M241" s="15" t="n">
        <f aca="false">L241*(1+IF(M$3&lt;=$O$2,$D241,$D241-($D241-$I$238)*MIN(M$3-$O$2,$Q$2)/$Q$2))</f>
        <v>1002.81079034871</v>
      </c>
      <c r="N241" s="15" t="n">
        <f aca="false">M241*(1+IF(N$3&lt;=$O$2,$D241,$D241-($D241-$I$238)*MIN(N$3-$O$2,$Q$2)/$Q$2))</f>
        <v>1031.19033571558</v>
      </c>
      <c r="O241" s="15" t="n">
        <f aca="false">SUMPRODUCT(E241:N241,1/(1+$F$238)^$E$3:$N$3)*$E$2</f>
        <v>4282.66734657518</v>
      </c>
      <c r="P241" s="15" t="n">
        <f aca="false">N241*$E$2*(1+$I$238)/($F$238-$I$238)/(1+$F$238)^$N$3</f>
        <v>3269.38156238193</v>
      </c>
      <c r="Q241" s="15" t="n">
        <f aca="false">O241+P241</f>
        <v>7552.04890895711</v>
      </c>
      <c r="R241" s="15" t="n">
        <f aca="false">Q241-$G$2+$I$2</f>
        <v>2200.48890895711</v>
      </c>
      <c r="S241" s="42" t="n">
        <f aca="false">R241/$K$2</f>
        <v>101.874486525792</v>
      </c>
      <c r="T241" s="43" t="n">
        <f aca="false">S241-$M$2</f>
        <v>-623.125513474208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2539.375</v>
      </c>
      <c r="F242" s="15" t="n">
        <f aca="false">E242*(1+IF(F$3&lt;=$O$2,$D242,$D242-($D242-$I$238)*MIN(F$3-$O$2,$Q$2)/$Q$2))</f>
        <v>2698.0859375</v>
      </c>
      <c r="G242" s="15" t="n">
        <f aca="false">F242*(1+IF(G$3&lt;=$O$2,$D242,$D242-($D242-$I$238)*MIN(G$3-$O$2,$Q$2)/$Q$2))</f>
        <v>2866.71630859375</v>
      </c>
      <c r="H242" s="15" t="n">
        <f aca="false">G242*(1+IF(H$3&lt;=$O$2,$D242,$D242-($D242-$I$238)*MIN(H$3-$O$2,$Q$2)/$Q$2))</f>
        <v>3045.88607788086</v>
      </c>
      <c r="I242" s="15" t="n">
        <f aca="false">H242*(1+IF(I$3&lt;=$O$2,$D242,$D242-($D242-$I$238)*MIN(I$3-$O$2,$Q$2)/$Q$2))</f>
        <v>3236.25395774841</v>
      </c>
      <c r="J242" s="15" t="n">
        <f aca="false">I242*(1+IF(J$3&lt;=$O$2,$D242,$D242-($D242-$I$238)*MIN(J$3-$O$2,$Q$2)/$Q$2))</f>
        <v>3416.38385303669</v>
      </c>
      <c r="K242" s="15" t="n">
        <f aca="false">J242*(1+IF(K$3&lt;=$O$2,$D242,$D242-($D242-$I$238)*MIN(K$3-$O$2,$Q$2)/$Q$2))</f>
        <v>3583.17171274194</v>
      </c>
      <c r="L242" s="15" t="n">
        <f aca="false">K242*(1+IF(L$3&lt;=$O$2,$D242,$D242-($D242-$I$238)*MIN(L$3-$O$2,$Q$2)/$Q$2))</f>
        <v>3733.59326124285</v>
      </c>
      <c r="M242" s="15" t="n">
        <f aca="false">L242*(1+IF(M$3&lt;=$O$2,$D242,$D242-($D242-$I$238)*MIN(M$3-$O$2,$Q$2)/$Q$2))</f>
        <v>3864.79172844292</v>
      </c>
      <c r="N242" s="15" t="n">
        <f aca="false">M242*(1+IF(N$3&lt;=$O$2,$D242,$D242-($D242-$I$238)*MIN(N$3-$O$2,$Q$2)/$Q$2))</f>
        <v>3974.16533435786</v>
      </c>
      <c r="O242" s="15" t="n">
        <f aca="false">SUMPRODUCT(E242:N242,1/(1+$F$238)^$E$3:$N$3)*$E$2</f>
        <v>9565.57532008841</v>
      </c>
      <c r="P242" s="15" t="n">
        <f aca="false">N242*$E$2*(1+$I$238)/($F$238-$I$238)/(1+$F$238)^$N$3</f>
        <v>12600.0626848298</v>
      </c>
      <c r="Q242" s="15" t="n">
        <f aca="false">O242+P242</f>
        <v>22165.6380049182</v>
      </c>
      <c r="R242" s="15" t="n">
        <f aca="false">Q242-$G$2+$I$2</f>
        <v>16814.0780049182</v>
      </c>
      <c r="S242" s="42" t="n">
        <f aca="false">R242/$K$2</f>
        <v>778.429537264732</v>
      </c>
      <c r="T242" s="43" t="n">
        <f aca="false">S242-$M$2</f>
        <v>53.4295372647323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41" t="n">
        <f aca="false">(B243+C243)/2</f>
        <v>-0.03125</v>
      </c>
      <c r="E243" s="15" t="n">
        <f aca="false">$C$2*(1+IF(E$3&lt;=$O$2,$D243,$D243-($D243-$I$238)*MIN(E$3-$O$2,$Q$2)/$Q$2))</f>
        <v>2315.3125</v>
      </c>
      <c r="F243" s="15" t="n">
        <f aca="false">E243*(1+IF(F$3&lt;=$O$2,$D243,$D243-($D243-$I$238)*MIN(F$3-$O$2,$Q$2)/$Q$2))</f>
        <v>2242.958984375</v>
      </c>
      <c r="G243" s="15" t="n">
        <f aca="false">F243*(1+IF(G$3&lt;=$O$2,$D243,$D243-($D243-$I$238)*MIN(G$3-$O$2,$Q$2)/$Q$2))</f>
        <v>2172.86651611328</v>
      </c>
      <c r="H243" s="15" t="n">
        <f aca="false">G243*(1+IF(H$3&lt;=$O$2,$D243,$D243-($D243-$I$238)*MIN(H$3-$O$2,$Q$2)/$Q$2))</f>
        <v>2104.96443748474</v>
      </c>
      <c r="I243" s="15" t="n">
        <f aca="false">H243*(1+IF(I$3&lt;=$O$2,$D243,$D243-($D243-$I$238)*MIN(I$3-$O$2,$Q$2)/$Q$2))</f>
        <v>2039.18429881334</v>
      </c>
      <c r="J243" s="15" t="n">
        <f aca="false">I243*(1+IF(J$3&lt;=$O$2,$D243,$D243-($D243-$I$238)*MIN(J$3-$O$2,$Q$2)/$Q$2))</f>
        <v>1999.74647447429</v>
      </c>
      <c r="K243" s="15" t="n">
        <f aca="false">J243*(1+IF(K$3&lt;=$O$2,$D243,$D243-($D243-$I$238)*MIN(K$3-$O$2,$Q$2)/$Q$2))</f>
        <v>1984.88835816895</v>
      </c>
      <c r="L243" s="15" t="n">
        <f aca="false">K243*(1+IF(L$3&lt;=$O$2,$D243,$D243-($D243-$I$238)*MIN(L$3-$O$2,$Q$2)/$Q$2))</f>
        <v>1993.78065801355</v>
      </c>
      <c r="M243" s="15" t="n">
        <f aca="false">L243*(1+IF(M$3&lt;=$O$2,$D243,$D243-($D243-$I$238)*MIN(M$3-$O$2,$Q$2)/$Q$2))</f>
        <v>2026.45872299839</v>
      </c>
      <c r="N243" s="15" t="n">
        <f aca="false">M243*(1+IF(N$3&lt;=$O$2,$D243,$D243-($D243-$I$238)*MIN(N$3-$O$2,$Q$2)/$Q$2))</f>
        <v>2083.80750485924</v>
      </c>
      <c r="O243" s="15" t="n">
        <f aca="false">SUMPRODUCT(E243:N243,1/(1+$F$238)^$E$3:$N$3)*$E$2</f>
        <v>6381.19651960629</v>
      </c>
      <c r="P243" s="15" t="n">
        <f aca="false">N243*$E$2*(1+$I$238)/($F$238-$I$238)/(1+$F$238)^$N$3</f>
        <v>6606.69674644719</v>
      </c>
      <c r="Q243" s="15" t="n">
        <f aca="false">O243+P243</f>
        <v>12987.8932660535</v>
      </c>
      <c r="R243" s="15" t="n">
        <f aca="false">Q243-$G$2+$I$2</f>
        <v>7636.33326605348</v>
      </c>
      <c r="S243" s="42" t="n">
        <f aca="false">R243/$K$2</f>
        <v>353.533947502476</v>
      </c>
      <c r="T243" s="43" t="n">
        <f aca="false">S243-$M$2</f>
        <v>-371.466052497524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41" t="n">
        <f aca="false">(B244+C244)/2</f>
        <v>0.015625</v>
      </c>
      <c r="E244" s="15" t="n">
        <f aca="false">$C$2*(1+IF(E$3&lt;=$O$2,$D244,$D244-($D244-$I$238)*MIN(E$3-$O$2,$Q$2)/$Q$2))</f>
        <v>2427.34375</v>
      </c>
      <c r="F244" s="15" t="n">
        <f aca="false">E244*(1+IF(F$3&lt;=$O$2,$D244,$D244-($D244-$I$238)*MIN(F$3-$O$2,$Q$2)/$Q$2))</f>
        <v>2465.27099609375</v>
      </c>
      <c r="G244" s="15" t="n">
        <f aca="false">F244*(1+IF(G$3&lt;=$O$2,$D244,$D244-($D244-$I$238)*MIN(G$3-$O$2,$Q$2)/$Q$2))</f>
        <v>2503.79085540772</v>
      </c>
      <c r="H244" s="15" t="n">
        <f aca="false">G244*(1+IF(H$3&lt;=$O$2,$D244,$D244-($D244-$I$238)*MIN(H$3-$O$2,$Q$2)/$Q$2))</f>
        <v>2542.91258752346</v>
      </c>
      <c r="I244" s="15" t="n">
        <f aca="false">H244*(1+IF(I$3&lt;=$O$2,$D244,$D244-($D244-$I$238)*MIN(I$3-$O$2,$Q$2)/$Q$2))</f>
        <v>2582.64559670351</v>
      </c>
      <c r="J244" s="15" t="n">
        <f aca="false">I244*(1+IF(J$3&lt;=$O$2,$D244,$D244-($D244-$I$238)*MIN(J$3-$O$2,$Q$2)/$Q$2))</f>
        <v>2629.54644073965</v>
      </c>
      <c r="K244" s="15" t="n">
        <f aca="false">J244*(1+IF(K$3&lt;=$O$2,$D244,$D244-($D244-$I$238)*MIN(K$3-$O$2,$Q$2)/$Q$2))</f>
        <v>2683.96490433076</v>
      </c>
      <c r="L244" s="15" t="n">
        <f aca="false">K244*(1+IF(L$3&lt;=$O$2,$D244,$D244-($D244-$I$238)*MIN(L$3-$O$2,$Q$2)/$Q$2))</f>
        <v>2746.31340905836</v>
      </c>
      <c r="M244" s="15" t="n">
        <f aca="false">L244*(1+IF(M$3&lt;=$O$2,$D244,$D244-($D244-$I$238)*MIN(M$3-$O$2,$Q$2)/$Q$2))</f>
        <v>2817.07217404275</v>
      </c>
      <c r="N244" s="15" t="n">
        <f aca="false">M244*(1+IF(N$3&lt;=$O$2,$D244,$D244-($D244-$I$238)*MIN(N$3-$O$2,$Q$2)/$Q$2))</f>
        <v>2896.79531656816</v>
      </c>
      <c r="O244" s="15" t="n">
        <f aca="false">SUMPRODUCT(E244:N244,1/(1+$F$238)^$E$3:$N$3)*$E$2</f>
        <v>7809.39833340137</v>
      </c>
      <c r="P244" s="15" t="n">
        <f aca="false">N244*$E$2*(1+$I$238)/($F$238-$I$238)/(1+$F$238)^$N$3</f>
        <v>9184.26877169111</v>
      </c>
      <c r="Q244" s="15" t="n">
        <f aca="false">O244+P244</f>
        <v>16993.6671050925</v>
      </c>
      <c r="R244" s="15" t="n">
        <f aca="false">Q244-$G$2+$I$2</f>
        <v>11642.1071050925</v>
      </c>
      <c r="S244" s="42" t="n">
        <f aca="false">R244/$K$2</f>
        <v>538.986440050578</v>
      </c>
      <c r="T244" s="43" t="n">
        <f aca="false">S244-$M$2</f>
        <v>-186.013559949422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0.015625</v>
      </c>
      <c r="C245" s="25" t="n">
        <f aca="false">IF(T244&gt;0,D244,C244)</f>
        <v>0.0625</v>
      </c>
      <c r="D245" s="41" t="n">
        <f aca="false">(B245+C245)/2</f>
        <v>0.0390625</v>
      </c>
      <c r="E245" s="15" t="n">
        <f aca="false">$C$2*(1+IF(E$3&lt;=$O$2,$D245,$D245-($D245-$I$238)*MIN(E$3-$O$2,$Q$2)/$Q$2))</f>
        <v>2483.359375</v>
      </c>
      <c r="F245" s="15" t="n">
        <f aca="false">E245*(1+IF(F$3&lt;=$O$2,$D245,$D245-($D245-$I$238)*MIN(F$3-$O$2,$Q$2)/$Q$2))</f>
        <v>2580.36560058594</v>
      </c>
      <c r="G245" s="15" t="n">
        <f aca="false">F245*(1+IF(G$3&lt;=$O$2,$D245,$D245-($D245-$I$238)*MIN(G$3-$O$2,$Q$2)/$Q$2))</f>
        <v>2681.16113185883</v>
      </c>
      <c r="H245" s="15" t="n">
        <f aca="false">G245*(1+IF(H$3&lt;=$O$2,$D245,$D245-($D245-$I$238)*MIN(H$3-$O$2,$Q$2)/$Q$2))</f>
        <v>2785.89398857206</v>
      </c>
      <c r="I245" s="15" t="n">
        <f aca="false">H245*(1+IF(I$3&lt;=$O$2,$D245,$D245-($D245-$I$238)*MIN(I$3-$O$2,$Q$2)/$Q$2))</f>
        <v>2894.71797250066</v>
      </c>
      <c r="J245" s="15" t="n">
        <f aca="false">I245*(1+IF(J$3&lt;=$O$2,$D245,$D245-($D245-$I$238)*MIN(J$3-$O$2,$Q$2)/$Q$2))</f>
        <v>3001.56201286566</v>
      </c>
      <c r="K245" s="15" t="n">
        <f aca="false">J245*(1+IF(K$3&lt;=$O$2,$D245,$D245-($D245-$I$238)*MIN(K$3-$O$2,$Q$2)/$Q$2))</f>
        <v>3105.88880452783</v>
      </c>
      <c r="L245" s="15" t="n">
        <f aca="false">K245*(1+IF(L$3&lt;=$O$2,$D245,$D245-($D245-$I$238)*MIN(L$3-$O$2,$Q$2)/$Q$2))</f>
        <v>3207.15630899946</v>
      </c>
      <c r="M245" s="15" t="n">
        <f aca="false">L245*(1+IF(M$3&lt;=$O$2,$D245,$D245-($D245-$I$238)*MIN(M$3-$O$2,$Q$2)/$Q$2))</f>
        <v>3304.82223649927</v>
      </c>
      <c r="N245" s="15" t="n">
        <f aca="false">M245*(1+IF(N$3&lt;=$O$2,$D245,$D245-($D245-$I$238)*MIN(N$3-$O$2,$Q$2)/$Q$2))</f>
        <v>3398.3487057922</v>
      </c>
      <c r="O245" s="15" t="n">
        <f aca="false">SUMPRODUCT(E245:N245,1/(1+$F$238)^$E$3:$N$3)*$E$2</f>
        <v>8642.39985516922</v>
      </c>
      <c r="P245" s="15" t="n">
        <f aca="false">N245*$E$2*(1+$I$238)/($F$238-$I$238)/(1+$F$238)^$N$3</f>
        <v>10774.4401944492</v>
      </c>
      <c r="Q245" s="15" t="n">
        <f aca="false">O245+P245</f>
        <v>19416.8400496184</v>
      </c>
      <c r="R245" s="15" t="n">
        <f aca="false">Q245-$G$2+$I$2</f>
        <v>14065.2800496184</v>
      </c>
      <c r="S245" s="42" t="n">
        <f aca="false">R245/$K$2</f>
        <v>651.17037266752</v>
      </c>
      <c r="T245" s="43" t="n">
        <f aca="false">S245-$M$2</f>
        <v>-73.82962733248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0.0390625</v>
      </c>
      <c r="C246" s="25" t="n">
        <f aca="false">IF(T245&gt;0,D245,C245)</f>
        <v>0.0625</v>
      </c>
      <c r="D246" s="41" t="n">
        <f aca="false">(B246+C246)/2</f>
        <v>0.05078125</v>
      </c>
      <c r="E246" s="15" t="n">
        <f aca="false">$C$2*(1+IF(E$3&lt;=$O$2,$D246,$D246-($D246-$I$238)*MIN(E$3-$O$2,$Q$2)/$Q$2))</f>
        <v>2511.3671875</v>
      </c>
      <c r="F246" s="15" t="n">
        <f aca="false">E246*(1+IF(F$3&lt;=$O$2,$D246,$D246-($D246-$I$238)*MIN(F$3-$O$2,$Q$2)/$Q$2))</f>
        <v>2638.89755249023</v>
      </c>
      <c r="G246" s="15" t="n">
        <f aca="false">F246*(1+IF(G$3&lt;=$O$2,$D246,$D246-($D246-$I$238)*MIN(G$3-$O$2,$Q$2)/$Q$2))</f>
        <v>2772.90406882763</v>
      </c>
      <c r="H246" s="15" t="n">
        <f aca="false">G246*(1+IF(H$3&lt;=$O$2,$D246,$D246-($D246-$I$238)*MIN(H$3-$O$2,$Q$2)/$Q$2))</f>
        <v>2913.71560357278</v>
      </c>
      <c r="I246" s="15" t="n">
        <f aca="false">H246*(1+IF(I$3&lt;=$O$2,$D246,$D246-($D246-$I$238)*MIN(I$3-$O$2,$Q$2)/$Q$2))</f>
        <v>3061.67772406671</v>
      </c>
      <c r="J246" s="15" t="n">
        <f aca="false">I246*(1+IF(J$3&lt;=$O$2,$D246,$D246-($D246-$I$238)*MIN(J$3-$O$2,$Q$2)/$Q$2))</f>
        <v>3203.38747752514</v>
      </c>
      <c r="K246" s="15" t="n">
        <f aca="false">J246*(1+IF(K$3&lt;=$O$2,$D246,$D246-($D246-$I$238)*MIN(K$3-$O$2,$Q$2)/$Q$2))</f>
        <v>3337.25303597657</v>
      </c>
      <c r="L246" s="15" t="n">
        <f aca="false">K246*(1+IF(L$3&lt;=$O$2,$D246,$D246-($D246-$I$238)*MIN(L$3-$O$2,$Q$2)/$Q$2))</f>
        <v>3461.70754482073</v>
      </c>
      <c r="M246" s="15" t="n">
        <f aca="false">L246*(1+IF(M$3&lt;=$O$2,$D246,$D246-($D246-$I$238)*MIN(M$3-$O$2,$Q$2)/$Q$2))</f>
        <v>3575.23857088755</v>
      </c>
      <c r="N246" s="15" t="n">
        <f aca="false">M246*(1+IF(N$3&lt;=$O$2,$D246,$D246-($D246-$I$238)*MIN(N$3-$O$2,$Q$2)/$Q$2))</f>
        <v>3676.41782244367</v>
      </c>
      <c r="O246" s="15" t="n">
        <f aca="false">SUMPRODUCT(E246:N246,1/(1+$F$238)^$E$3:$N$3)*$E$2</f>
        <v>9092.16587732098</v>
      </c>
      <c r="P246" s="15" t="n">
        <f aca="false">N246*$E$2*(1+$I$238)/($F$238-$I$238)/(1+$F$238)^$N$3</f>
        <v>11656.0563341285</v>
      </c>
      <c r="Q246" s="15" t="n">
        <f aca="false">O246+P246</f>
        <v>20748.2222114495</v>
      </c>
      <c r="R246" s="15" t="n">
        <f aca="false">Q246-$G$2+$I$2</f>
        <v>15396.6622114495</v>
      </c>
      <c r="S246" s="42" t="n">
        <f aca="false">R246/$K$2</f>
        <v>712.808435715253</v>
      </c>
      <c r="T246" s="43" t="n">
        <f aca="false">S246-$M$2</f>
        <v>-12.191564284747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0.05078125</v>
      </c>
      <c r="C247" s="25" t="n">
        <f aca="false">IF(T246&gt;0,D246,C246)</f>
        <v>0.0625</v>
      </c>
      <c r="D247" s="41" t="n">
        <f aca="false">(B247+C247)/2</f>
        <v>0.056640625</v>
      </c>
      <c r="E247" s="15" t="n">
        <f aca="false">$C$2*(1+IF(E$3&lt;=$O$2,$D247,$D247-($D247-$I$238)*MIN(E$3-$O$2,$Q$2)/$Q$2))</f>
        <v>2525.37109375</v>
      </c>
      <c r="F247" s="15" t="n">
        <f aca="false">E247*(1+IF(F$3&lt;=$O$2,$D247,$D247-($D247-$I$238)*MIN(F$3-$O$2,$Q$2)/$Q$2))</f>
        <v>2668.40969085693</v>
      </c>
      <c r="G247" s="15" t="n">
        <f aca="false">F247*(1+IF(G$3&lt;=$O$2,$D247,$D247-($D247-$I$238)*MIN(G$3-$O$2,$Q$2)/$Q$2))</f>
        <v>2819.55008350313</v>
      </c>
      <c r="H247" s="15" t="n">
        <f aca="false">G247*(1+IF(H$3&lt;=$O$2,$D247,$D247-($D247-$I$238)*MIN(H$3-$O$2,$Q$2)/$Q$2))</f>
        <v>2979.25116245155</v>
      </c>
      <c r="I247" s="15" t="n">
        <f aca="false">H247*(1+IF(I$3&lt;=$O$2,$D247,$D247-($D247-$I$238)*MIN(I$3-$O$2,$Q$2)/$Q$2))</f>
        <v>3147.99781032478</v>
      </c>
      <c r="J247" s="15" t="n">
        <f aca="false">I247*(1+IF(J$3&lt;=$O$2,$D247,$D247-($D247-$I$238)*MIN(J$3-$O$2,$Q$2)/$Q$2))</f>
        <v>3308.45912871156</v>
      </c>
      <c r="K247" s="15" t="n">
        <f aca="false">J247*(1+IF(K$3&lt;=$O$2,$D247,$D247-($D247-$I$238)*MIN(K$3-$O$2,$Q$2)/$Q$2))</f>
        <v>3458.34680175088</v>
      </c>
      <c r="L247" s="15" t="n">
        <f aca="false">K247*(1+IF(L$3&lt;=$O$2,$D247,$D247-($D247-$I$238)*MIN(L$3-$O$2,$Q$2)/$Q$2))</f>
        <v>3595.42270017178</v>
      </c>
      <c r="M247" s="15" t="n">
        <f aca="false">L247*(1+IF(M$3&lt;=$O$2,$D247,$D247-($D247-$I$238)*MIN(M$3-$O$2,$Q$2)/$Q$2))</f>
        <v>3717.55246787905</v>
      </c>
      <c r="N247" s="15" t="n">
        <f aca="false">M247*(1+IF(N$3&lt;=$O$2,$D247,$D247-($D247-$I$238)*MIN(N$3-$O$2,$Q$2)/$Q$2))</f>
        <v>3822.75920272003</v>
      </c>
      <c r="O247" s="15" t="n">
        <f aca="false">SUMPRODUCT(E247:N247,1/(1+$F$238)^$E$3:$N$3)*$E$2</f>
        <v>9325.84387752965</v>
      </c>
      <c r="P247" s="15" t="n">
        <f aca="false">N247*$E$2*(1+$I$238)/($F$238-$I$238)/(1+$F$238)^$N$3</f>
        <v>12120.0306305488</v>
      </c>
      <c r="Q247" s="15" t="n">
        <f aca="false">O247+P247</f>
        <v>21445.8745080784</v>
      </c>
      <c r="R247" s="15" t="n">
        <f aca="false">Q247-$G$2+$I$2</f>
        <v>16094.3145080784</v>
      </c>
      <c r="S247" s="42" t="n">
        <f aca="false">R247/$K$2</f>
        <v>745.107153151779</v>
      </c>
      <c r="T247" s="43" t="n">
        <f aca="false">S247-$M$2</f>
        <v>20.1071531517794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0.05078125</v>
      </c>
      <c r="C248" s="25" t="n">
        <f aca="false">IF(T247&gt;0,D247,C247)</f>
        <v>0.056640625</v>
      </c>
      <c r="D248" s="41" t="n">
        <f aca="false">(B248+C248)/2</f>
        <v>0.0537109375</v>
      </c>
      <c r="E248" s="15" t="n">
        <f aca="false">$C$2*(1+IF(E$3&lt;=$O$2,$D248,$D248-($D248-$I$238)*MIN(E$3-$O$2,$Q$2)/$Q$2))</f>
        <v>2518.369140625</v>
      </c>
      <c r="F248" s="15" t="n">
        <f aca="false">E248*(1+IF(F$3&lt;=$O$2,$D248,$D248-($D248-$I$238)*MIN(F$3-$O$2,$Q$2)/$Q$2))</f>
        <v>2653.63310813904</v>
      </c>
      <c r="G248" s="15" t="n">
        <f aca="false">F248*(1+IF(G$3&lt;=$O$2,$D248,$D248-($D248-$I$238)*MIN(G$3-$O$2,$Q$2)/$Q$2))</f>
        <v>2796.16223015822</v>
      </c>
      <c r="H248" s="15" t="n">
        <f aca="false">G248*(1+IF(H$3&lt;=$O$2,$D248,$D248-($D248-$I$238)*MIN(H$3-$O$2,$Q$2)/$Q$2))</f>
        <v>2946.34672494211</v>
      </c>
      <c r="I248" s="15" t="n">
        <f aca="false">H248*(1+IF(I$3&lt;=$O$2,$D248,$D248-($D248-$I$238)*MIN(I$3-$O$2,$Q$2)/$Q$2))</f>
        <v>3104.59776973881</v>
      </c>
      <c r="J248" s="15" t="n">
        <f aca="false">I248*(1+IF(J$3&lt;=$O$2,$D248,$D248-($D248-$I$238)*MIN(J$3-$O$2,$Q$2)/$Q$2))</f>
        <v>3255.570478534</v>
      </c>
      <c r="K248" s="15" t="n">
        <f aca="false">J248*(1+IF(K$3&lt;=$O$2,$D248,$D248-($D248-$I$238)*MIN(K$3-$O$2,$Q$2)/$Q$2))</f>
        <v>3397.33938185063</v>
      </c>
      <c r="L248" s="15" t="n">
        <f aca="false">K248*(1+IF(L$3&lt;=$O$2,$D248,$D248-($D248-$I$238)*MIN(L$3-$O$2,$Q$2)/$Q$2))</f>
        <v>3528.0159178364</v>
      </c>
      <c r="M248" s="15" t="n">
        <f aca="false">L248*(1+IF(M$3&lt;=$O$2,$D248,$D248-($D248-$I$238)*MIN(M$3-$O$2,$Q$2)/$Q$2))</f>
        <v>3645.7888067086</v>
      </c>
      <c r="N248" s="15" t="n">
        <f aca="false">M248*(1+IF(N$3&lt;=$O$2,$D248,$D248-($D248-$I$238)*MIN(N$3-$O$2,$Q$2)/$Q$2))</f>
        <v>3748.96462993846</v>
      </c>
      <c r="O248" s="15" t="n">
        <f aca="false">SUMPRODUCT(E248:N248,1/(1+$F$238)^$E$3:$N$3)*$E$2</f>
        <v>9208.25722513297</v>
      </c>
      <c r="P248" s="15" t="n">
        <f aca="false">N248*$E$2*(1+$I$238)/($F$238-$I$238)/(1+$F$238)^$N$3</f>
        <v>11886.065466893</v>
      </c>
      <c r="Q248" s="15" t="n">
        <f aca="false">O248+P248</f>
        <v>21094.322692026</v>
      </c>
      <c r="R248" s="15" t="n">
        <f aca="false">Q248-$G$2+$I$2</f>
        <v>15742.762692026</v>
      </c>
      <c r="S248" s="42" t="n">
        <f aca="false">R248/$K$2</f>
        <v>728.831606112315</v>
      </c>
      <c r="T248" s="43" t="n">
        <f aca="false">S248-$M$2</f>
        <v>3.83160611231529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0.05078125</v>
      </c>
      <c r="C249" s="25" t="n">
        <f aca="false">IF(T248&gt;0,D248,C248)</f>
        <v>0.0537109375</v>
      </c>
      <c r="D249" s="41" t="n">
        <f aca="false">(B249+C249)/2</f>
        <v>0.05224609375</v>
      </c>
      <c r="E249" s="15" t="n">
        <f aca="false">$C$2*(1+IF(E$3&lt;=$O$2,$D249,$D249-($D249-$I$238)*MIN(E$3-$O$2,$Q$2)/$Q$2))</f>
        <v>2514.8681640625</v>
      </c>
      <c r="F249" s="15" t="n">
        <f aca="false">E249*(1+IF(F$3&lt;=$O$2,$D249,$D249-($D249-$I$238)*MIN(F$3-$O$2,$Q$2)/$Q$2))</f>
        <v>2646.260201931</v>
      </c>
      <c r="G249" s="15" t="n">
        <f aca="false">F249*(1+IF(G$3&lt;=$O$2,$D249,$D249-($D249-$I$238)*MIN(G$3-$O$2,$Q$2)/$Q$2))</f>
        <v>2784.51696052798</v>
      </c>
      <c r="H249" s="15" t="n">
        <f aca="false">G249*(1+IF(H$3&lt;=$O$2,$D249,$D249-($D249-$I$238)*MIN(H$3-$O$2,$Q$2)/$Q$2))</f>
        <v>2929.99709469619</v>
      </c>
      <c r="I249" s="15" t="n">
        <f aca="false">H249*(1+IF(I$3&lt;=$O$2,$D249,$D249-($D249-$I$238)*MIN(I$3-$O$2,$Q$2)/$Q$2))</f>
        <v>3083.07799759292</v>
      </c>
      <c r="J249" s="15" t="n">
        <f aca="false">I249*(1+IF(J$3&lt;=$O$2,$D249,$D249-($D249-$I$238)*MIN(J$3-$O$2,$Q$2)/$Q$2))</f>
        <v>3229.39124473993</v>
      </c>
      <c r="K249" s="15" t="n">
        <f aca="false">J249*(1+IF(K$3&lt;=$O$2,$D249,$D249-($D249-$I$238)*MIN(K$3-$O$2,$Q$2)/$Q$2))</f>
        <v>3367.18180026726</v>
      </c>
      <c r="L249" s="15" t="n">
        <f aca="false">K249*(1+IF(L$3&lt;=$O$2,$D249,$D249-($D249-$I$238)*MIN(L$3-$O$2,$Q$2)/$Q$2))</f>
        <v>3494.72538563982</v>
      </c>
      <c r="M249" s="15" t="n">
        <f aca="false">L249*(1+IF(M$3&lt;=$O$2,$D249,$D249-($D249-$I$238)*MIN(M$3-$O$2,$Q$2)/$Q$2))</f>
        <v>3610.36311839643</v>
      </c>
      <c r="N249" s="15" t="n">
        <f aca="false">M249*(1+IF(N$3&lt;=$O$2,$D249,$D249-($D249-$I$238)*MIN(N$3-$O$2,$Q$2)/$Q$2))</f>
        <v>3712.53639464705</v>
      </c>
      <c r="O249" s="15" t="n">
        <f aca="false">SUMPRODUCT(E249:N249,1/(1+$F$238)^$E$3:$N$3)*$E$2</f>
        <v>9150.02575639885</v>
      </c>
      <c r="P249" s="15" t="n">
        <f aca="false">N249*$E$2*(1+$I$238)/($F$238-$I$238)/(1+$F$238)^$N$3</f>
        <v>11770.5700082111</v>
      </c>
      <c r="Q249" s="15" t="n">
        <f aca="false">O249+P249</f>
        <v>20920.59576461</v>
      </c>
      <c r="R249" s="15" t="n">
        <f aca="false">Q249-$G$2+$I$2</f>
        <v>15569.03576461</v>
      </c>
      <c r="S249" s="42" t="n">
        <f aca="false">R249/$K$2</f>
        <v>720.788692806017</v>
      </c>
      <c r="T249" s="43" t="n">
        <f aca="false">S249-$M$2</f>
        <v>-4.21130719398309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0.05224609375</v>
      </c>
      <c r="C250" s="25" t="n">
        <f aca="false">IF(T249&gt;0,D249,C249)</f>
        <v>0.0537109375</v>
      </c>
      <c r="D250" s="41" t="n">
        <f aca="false">(B250+C250)/2</f>
        <v>0.052978515625</v>
      </c>
      <c r="E250" s="15" t="n">
        <f aca="false">$C$2*(1+IF(E$3&lt;=$O$2,$D250,$D250-($D250-$I$238)*MIN(E$3-$O$2,$Q$2)/$Q$2))</f>
        <v>2516.61865234375</v>
      </c>
      <c r="F250" s="15" t="n">
        <f aca="false">E250*(1+IF(F$3&lt;=$O$2,$D250,$D250-($D250-$I$238)*MIN(F$3-$O$2,$Q$2)/$Q$2))</f>
        <v>2649.94537293911</v>
      </c>
      <c r="G250" s="15" t="n">
        <f aca="false">F250*(1+IF(G$3&lt;=$O$2,$D250,$D250-($D250-$I$238)*MIN(G$3-$O$2,$Q$2)/$Q$2))</f>
        <v>2790.33554528476</v>
      </c>
      <c r="H250" s="15" t="n">
        <f aca="false">G250*(1+IF(H$3&lt;=$O$2,$D250,$D250-($D250-$I$238)*MIN(H$3-$O$2,$Q$2)/$Q$2))</f>
        <v>2938.16338056962</v>
      </c>
      <c r="I250" s="15" t="n">
        <f aca="false">H250*(1+IF(I$3&lt;=$O$2,$D250,$D250-($D250-$I$238)*MIN(I$3-$O$2,$Q$2)/$Q$2))</f>
        <v>3093.82291513593</v>
      </c>
      <c r="J250" s="15" t="n">
        <f aca="false">I250*(1+IF(J$3&lt;=$O$2,$D250,$D250-($D250-$I$238)*MIN(J$3-$O$2,$Q$2)/$Q$2))</f>
        <v>3242.45886935601</v>
      </c>
      <c r="K250" s="15" t="n">
        <f aca="false">J250*(1+IF(K$3&lt;=$O$2,$D250,$D250-($D250-$I$238)*MIN(K$3-$O$2,$Q$2)/$Q$2))</f>
        <v>3382.23189848128</v>
      </c>
      <c r="L250" s="15" t="n">
        <f aca="false">K250*(1+IF(L$3&lt;=$O$2,$D250,$D250-($D250-$I$238)*MIN(L$3-$O$2,$Q$2)/$Q$2))</f>
        <v>3511.33644630992</v>
      </c>
      <c r="M250" s="15" t="n">
        <f aca="false">L250*(1+IF(M$3&lt;=$O$2,$D250,$D250-($D250-$I$238)*MIN(M$3-$O$2,$Q$2)/$Q$2))</f>
        <v>3628.03818201147</v>
      </c>
      <c r="N250" s="15" t="n">
        <f aca="false">M250*(1+IF(N$3&lt;=$O$2,$D250,$D250-($D250-$I$238)*MIN(N$3-$O$2,$Q$2)/$Q$2))</f>
        <v>3730.71166256239</v>
      </c>
      <c r="O250" s="15" t="n">
        <f aca="false">SUMPRODUCT(E250:N250,1/(1+$F$238)^$E$3:$N$3)*$E$2</f>
        <v>9179.09490273353</v>
      </c>
      <c r="P250" s="15" t="n">
        <f aca="false">N250*$E$2*(1+$I$238)/($F$238-$I$238)/(1+$F$238)^$N$3</f>
        <v>11828.1945647606</v>
      </c>
      <c r="Q250" s="15" t="n">
        <f aca="false">O250+P250</f>
        <v>21007.2894674942</v>
      </c>
      <c r="R250" s="15" t="n">
        <f aca="false">Q250-$G$2+$I$2</f>
        <v>15655.7294674942</v>
      </c>
      <c r="S250" s="42" t="n">
        <f aca="false">R250/$K$2</f>
        <v>724.802290161767</v>
      </c>
      <c r="T250" s="43" t="n">
        <f aca="false">S250-$M$2</f>
        <v>-0.197709838232868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0.052978515625</v>
      </c>
      <c r="C251" s="25" t="n">
        <f aca="false">IF(T250&gt;0,D250,C250)</f>
        <v>0.0537109375</v>
      </c>
      <c r="D251" s="41" t="n">
        <f aca="false">(B251+C251)/2</f>
        <v>0.0533447265625</v>
      </c>
      <c r="E251" s="15" t="n">
        <f aca="false">$C$2*(1+IF(E$3&lt;=$O$2,$D251,$D251-($D251-$I$238)*MIN(E$3-$O$2,$Q$2)/$Q$2))</f>
        <v>2517.49389648438</v>
      </c>
      <c r="F251" s="15" t="n">
        <f aca="false">E251*(1+IF(F$3&lt;=$O$2,$D251,$D251-($D251-$I$238)*MIN(F$3-$O$2,$Q$2)/$Q$2))</f>
        <v>2651.7889200151</v>
      </c>
      <c r="G251" s="15" t="n">
        <f aca="false">F251*(1+IF(G$3&lt;=$O$2,$D251,$D251-($D251-$I$238)*MIN(G$3-$O$2,$Q$2)/$Q$2))</f>
        <v>2793.24787485477</v>
      </c>
      <c r="H251" s="15" t="n">
        <f aca="false">G251*(1+IF(H$3&lt;=$O$2,$D251,$D251-($D251-$I$238)*MIN(H$3-$O$2,$Q$2)/$Q$2))</f>
        <v>2942.25291896018</v>
      </c>
      <c r="I251" s="15" t="n">
        <f aca="false">H251*(1+IF(I$3&lt;=$O$2,$D251,$D251-($D251-$I$238)*MIN(I$3-$O$2,$Q$2)/$Q$2))</f>
        <v>3099.20659639983</v>
      </c>
      <c r="J251" s="15" t="n">
        <f aca="false">I251*(1+IF(J$3&lt;=$O$2,$D251,$D251-($D251-$I$238)*MIN(J$3-$O$2,$Q$2)/$Q$2))</f>
        <v>3249.00916849197</v>
      </c>
      <c r="K251" s="15" t="n">
        <f aca="false">J251*(1+IF(K$3&lt;=$O$2,$D251,$D251-($D251-$I$238)*MIN(K$3-$O$2,$Q$2)/$Q$2))</f>
        <v>3389.77845569465</v>
      </c>
      <c r="L251" s="15" t="n">
        <f aca="false">K251*(1+IF(L$3&lt;=$O$2,$D251,$D251-($D251-$I$238)*MIN(L$3-$O$2,$Q$2)/$Q$2))</f>
        <v>3519.66761580294</v>
      </c>
      <c r="M251" s="15" t="n">
        <f aca="false">L251*(1+IF(M$3&lt;=$O$2,$D251,$D251-($D251-$I$238)*MIN(M$3-$O$2,$Q$2)/$Q$2))</f>
        <v>3636.9040319359</v>
      </c>
      <c r="N251" s="15" t="n">
        <f aca="false">M251*(1+IF(N$3&lt;=$O$2,$D251,$D251-($D251-$I$238)*MIN(N$3-$O$2,$Q$2)/$Q$2))</f>
        <v>3739.82841603969</v>
      </c>
      <c r="O251" s="15" t="n">
        <f aca="false">SUMPRODUCT(E251:N251,1/(1+$F$238)^$E$3:$N$3)*$E$2</f>
        <v>9193.66439946972</v>
      </c>
      <c r="P251" s="15" t="n">
        <f aca="false">N251*$E$2*(1+$I$238)/($F$238-$I$238)/(1+$F$238)^$N$3</f>
        <v>11857.0991662635</v>
      </c>
      <c r="Q251" s="15" t="n">
        <f aca="false">O251+P251</f>
        <v>21050.7635657332</v>
      </c>
      <c r="R251" s="15" t="n">
        <f aca="false">Q251-$G$2+$I$2</f>
        <v>15699.2035657332</v>
      </c>
      <c r="S251" s="42" t="n">
        <f aca="false">R251/$K$2</f>
        <v>726.814979895057</v>
      </c>
      <c r="T251" s="43" t="n">
        <f aca="false">S251-$M$2</f>
        <v>1.81497989505647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0.052978515625</v>
      </c>
      <c r="C252" s="25" t="n">
        <f aca="false">IF(T251&gt;0,D251,C251)</f>
        <v>0.0533447265625</v>
      </c>
      <c r="D252" s="41" t="n">
        <f aca="false">(B252+C252)/2</f>
        <v>0.05316162109375</v>
      </c>
      <c r="E252" s="15" t="n">
        <f aca="false">$C$2*(1+IF(E$3&lt;=$O$2,$D252,$D252-($D252-$I$238)*MIN(E$3-$O$2,$Q$2)/$Q$2))</f>
        <v>2517.05627441406</v>
      </c>
      <c r="F252" s="15" t="n">
        <f aca="false">E252*(1+IF(F$3&lt;=$O$2,$D252,$D252-($D252-$I$238)*MIN(F$3-$O$2,$Q$2)/$Q$2))</f>
        <v>2650.86706634611</v>
      </c>
      <c r="G252" s="15" t="n">
        <f aca="false">F252*(1+IF(G$3&lt;=$O$2,$D252,$D252-($D252-$I$238)*MIN(G$3-$O$2,$Q$2)/$Q$2))</f>
        <v>2791.7914568971</v>
      </c>
      <c r="H252" s="15" t="n">
        <f aca="false">G252*(1+IF(H$3&lt;=$O$2,$D252,$D252-($D252-$I$238)*MIN(H$3-$O$2,$Q$2)/$Q$2))</f>
        <v>2940.20761650143</v>
      </c>
      <c r="I252" s="15" t="n">
        <f aca="false">H252*(1+IF(I$3&lt;=$O$2,$D252,$D252-($D252-$I$238)*MIN(I$3-$O$2,$Q$2)/$Q$2))</f>
        <v>3096.51381974684</v>
      </c>
      <c r="J252" s="15" t="n">
        <f aca="false">I252*(1+IF(J$3&lt;=$O$2,$D252,$D252-($D252-$I$238)*MIN(J$3-$O$2,$Q$2)/$Q$2))</f>
        <v>3245.73264348416</v>
      </c>
      <c r="K252" s="15" t="n">
        <f aca="false">J252*(1+IF(K$3&lt;=$O$2,$D252,$D252-($D252-$I$238)*MIN(K$3-$O$2,$Q$2)/$Q$2))</f>
        <v>3386.00338238711</v>
      </c>
      <c r="L252" s="15" t="n">
        <f aca="false">K252*(1+IF(L$3&lt;=$O$2,$D252,$D252-($D252-$I$238)*MIN(L$3-$O$2,$Q$2)/$Q$2))</f>
        <v>3515.49989135469</v>
      </c>
      <c r="M252" s="15" t="n">
        <f aca="false">L252*(1+IF(M$3&lt;=$O$2,$D252,$D252-($D252-$I$238)*MIN(M$3-$O$2,$Q$2)/$Q$2))</f>
        <v>3632.46874353083</v>
      </c>
      <c r="N252" s="15" t="n">
        <f aca="false">M252*(1+IF(N$3&lt;=$O$2,$D252,$D252-($D252-$I$238)*MIN(N$3-$O$2,$Q$2)/$Q$2))</f>
        <v>3735.26760897275</v>
      </c>
      <c r="O252" s="15" t="n">
        <f aca="false">SUMPRODUCT(E252:N252,1/(1+$F$238)^$E$3:$N$3)*$E$2</f>
        <v>9186.37673716945</v>
      </c>
      <c r="P252" s="15" t="n">
        <f aca="false">N252*$E$2*(1+$I$238)/($F$238-$I$238)/(1+$F$238)^$N$3</f>
        <v>11842.6391601737</v>
      </c>
      <c r="Q252" s="15" t="n">
        <f aca="false">O252+P252</f>
        <v>21029.0158973431</v>
      </c>
      <c r="R252" s="15" t="n">
        <f aca="false">Q252-$G$2+$I$2</f>
        <v>15677.4558973431</v>
      </c>
      <c r="S252" s="42" t="n">
        <f aca="false">R252/$K$2</f>
        <v>725.808143395515</v>
      </c>
      <c r="T252" s="43" t="n">
        <f aca="false">S252-$M$2</f>
        <v>0.808143395514662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0.052978515625</v>
      </c>
      <c r="C253" s="25" t="n">
        <f aca="false">IF(T252&gt;0,D252,C252)</f>
        <v>0.05316162109375</v>
      </c>
      <c r="D253" s="41" t="n">
        <f aca="false">(B253+C253)/2</f>
        <v>0.053070068359375</v>
      </c>
      <c r="E253" s="15" t="n">
        <f aca="false">$C$2*(1+IF(E$3&lt;=$O$2,$D253,$D253-($D253-$I$238)*MIN(E$3-$O$2,$Q$2)/$Q$2))</f>
        <v>2516.83746337891</v>
      </c>
      <c r="F253" s="15" t="n">
        <f aca="false">E253*(1+IF(F$3&lt;=$O$2,$D253,$D253-($D253-$I$238)*MIN(F$3-$O$2,$Q$2)/$Q$2))</f>
        <v>2650.40619960986</v>
      </c>
      <c r="G253" s="15" t="n">
        <f aca="false">F253*(1+IF(G$3&lt;=$O$2,$D253,$D253-($D253-$I$238)*MIN(G$3-$O$2,$Q$2)/$Q$2))</f>
        <v>2791.06343780327</v>
      </c>
      <c r="H253" s="15" t="n">
        <f aca="false">G253*(1+IF(H$3&lt;=$O$2,$D253,$D253-($D253-$I$238)*MIN(H$3-$O$2,$Q$2)/$Q$2))</f>
        <v>2939.18536524284</v>
      </c>
      <c r="I253" s="15" t="n">
        <f aca="false">H253*(1+IF(I$3&lt;=$O$2,$D253,$D253-($D253-$I$238)*MIN(I$3-$O$2,$Q$2)/$Q$2))</f>
        <v>3095.16813349715</v>
      </c>
      <c r="J253" s="15" t="n">
        <f aca="false">I253*(1+IF(J$3&lt;=$O$2,$D253,$D253-($D253-$I$238)*MIN(J$3-$O$2,$Q$2)/$Q$2))</f>
        <v>3244.09541267551</v>
      </c>
      <c r="K253" s="15" t="n">
        <f aca="false">J253*(1+IF(K$3&lt;=$O$2,$D253,$D253-($D253-$I$238)*MIN(K$3-$O$2,$Q$2)/$Q$2))</f>
        <v>3384.11719193601</v>
      </c>
      <c r="L253" s="15" t="n">
        <f aca="false">K253*(1+IF(L$3&lt;=$O$2,$D253,$D253-($D253-$I$238)*MIN(L$3-$O$2,$Q$2)/$Q$2))</f>
        <v>3513.41763413995</v>
      </c>
      <c r="M253" s="15" t="n">
        <f aca="false">L253*(1+IF(M$3&lt;=$O$2,$D253,$D253-($D253-$I$238)*MIN(M$3-$O$2,$Q$2)/$Q$2))</f>
        <v>3630.25287218065</v>
      </c>
      <c r="N253" s="15" t="n">
        <f aca="false">M253*(1+IF(N$3&lt;=$O$2,$D253,$D253-($D253-$I$238)*MIN(N$3-$O$2,$Q$2)/$Q$2))</f>
        <v>3732.98902846336</v>
      </c>
      <c r="O253" s="15" t="n">
        <f aca="false">SUMPRODUCT(E253:N253,1/(1+$F$238)^$E$3:$N$3)*$E$2</f>
        <v>9182.73509174125</v>
      </c>
      <c r="P253" s="15" t="n">
        <f aca="false">N253*$E$2*(1+$I$238)/($F$238-$I$238)/(1+$F$238)^$N$3</f>
        <v>11835.4149370135</v>
      </c>
      <c r="Q253" s="15" t="n">
        <f aca="false">O253+P253</f>
        <v>21018.1500287548</v>
      </c>
      <c r="R253" s="15" t="n">
        <f aca="false">Q253-$G$2+$I$2</f>
        <v>15666.5900287548</v>
      </c>
      <c r="S253" s="42" t="n">
        <f aca="false">R253/$K$2</f>
        <v>725.305093923832</v>
      </c>
      <c r="T253" s="43" t="n">
        <f aca="false">S253-$M$2</f>
        <v>0.305093923832146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0.052978515625</v>
      </c>
      <c r="C254" s="25" t="n">
        <f aca="false">IF(T253&gt;0,D253,C253)</f>
        <v>0.053070068359375</v>
      </c>
      <c r="D254" s="41" t="n">
        <f aca="false">(B254+C254)/2</f>
        <v>0.0530242919921875</v>
      </c>
      <c r="E254" s="15" t="n">
        <f aca="false">$C$2*(1+IF(E$3&lt;=$O$2,$D254,$D254-($D254-$I$238)*MIN(E$3-$O$2,$Q$2)/$Q$2))</f>
        <v>2516.72805786133</v>
      </c>
      <c r="F254" s="15" t="n">
        <f aca="false">E254*(1+IF(F$3&lt;=$O$2,$D254,$D254-($D254-$I$238)*MIN(F$3-$O$2,$Q$2)/$Q$2))</f>
        <v>2650.1757812663</v>
      </c>
      <c r="G254" s="15" t="n">
        <f aca="false">F254*(1+IF(G$3&lt;=$O$2,$D254,$D254-($D254-$I$238)*MIN(G$3-$O$2,$Q$2)/$Q$2))</f>
        <v>2790.69947572279</v>
      </c>
      <c r="H254" s="15" t="n">
        <f aca="false">G254*(1+IF(H$3&lt;=$O$2,$D254,$D254-($D254-$I$238)*MIN(H$3-$O$2,$Q$2)/$Q$2))</f>
        <v>2938.67433958596</v>
      </c>
      <c r="I254" s="15" t="n">
        <f aca="false">H254*(1+IF(I$3&lt;=$O$2,$D254,$D254-($D254-$I$238)*MIN(I$3-$O$2,$Q$2)/$Q$2))</f>
        <v>3094.49546583811</v>
      </c>
      <c r="J254" s="15" t="n">
        <f aca="false">I254*(1+IF(J$3&lt;=$O$2,$D254,$D254-($D254-$I$238)*MIN(J$3-$O$2,$Q$2)/$Q$2))</f>
        <v>3243.27705509403</v>
      </c>
      <c r="K254" s="15" t="n">
        <f aca="false">J254*(1+IF(K$3&lt;=$O$2,$D254,$D254-($D254-$I$238)*MIN(K$3-$O$2,$Q$2)/$Q$2))</f>
        <v>3383.17443310622</v>
      </c>
      <c r="L254" s="15" t="n">
        <f aca="false">K254*(1+IF(L$3&lt;=$O$2,$D254,$D254-($D254-$I$238)*MIN(L$3-$O$2,$Q$2)/$Q$2))</f>
        <v>3512.37690658097</v>
      </c>
      <c r="M254" s="15" t="n">
        <f aca="false">L254*(1+IF(M$3&lt;=$O$2,$D254,$D254-($D254-$I$238)*MIN(M$3-$O$2,$Q$2)/$Q$2))</f>
        <v>3629.1453794822</v>
      </c>
      <c r="N254" s="15" t="n">
        <f aca="false">M254*(1+IF(N$3&lt;=$O$2,$D254,$D254-($D254-$I$238)*MIN(N$3-$O$2,$Q$2)/$Q$2))</f>
        <v>3731.85019372155</v>
      </c>
      <c r="O254" s="15" t="n">
        <f aca="false">SUMPRODUCT(E254:N254,1/(1+$F$238)^$E$3:$N$3)*$E$2</f>
        <v>9180.91481521892</v>
      </c>
      <c r="P254" s="15" t="n">
        <f aca="false">N254*$E$2*(1+$I$238)/($F$238-$I$238)/(1+$F$238)^$N$3</f>
        <v>11831.8042696338</v>
      </c>
      <c r="Q254" s="15" t="n">
        <f aca="false">O254+P254</f>
        <v>21012.7190848527</v>
      </c>
      <c r="R254" s="15" t="n">
        <f aca="false">Q254-$G$2+$I$2</f>
        <v>15661.1590848527</v>
      </c>
      <c r="S254" s="42" t="n">
        <f aca="false">R254/$K$2</f>
        <v>725.053661335772</v>
      </c>
      <c r="T254" s="43" t="n">
        <f aca="false">S254-$M$2</f>
        <v>0.0536613357721762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0.052978515625</v>
      </c>
      <c r="C255" s="25" t="n">
        <f aca="false">IF(T254&gt;0,D254,C254)</f>
        <v>0.0530242919921875</v>
      </c>
      <c r="D255" s="41" t="n">
        <f aca="false">(B255+C255)/2</f>
        <v>0.0530014038085938</v>
      </c>
      <c r="E255" s="15" t="n">
        <f aca="false">$C$2*(1+IF(E$3&lt;=$O$2,$D255,$D255-($D255-$I$238)*MIN(E$3-$O$2,$Q$2)/$Q$2))</f>
        <v>2516.67335510254</v>
      </c>
      <c r="F255" s="15" t="n">
        <f aca="false">E255*(1+IF(F$3&lt;=$O$2,$D255,$D255-($D255-$I$238)*MIN(F$3-$O$2,$Q$2)/$Q$2))</f>
        <v>2650.06057585066</v>
      </c>
      <c r="G255" s="15" t="n">
        <f aca="false">F255*(1+IF(G$3&lt;=$O$2,$D255,$D255-($D255-$I$238)*MIN(G$3-$O$2,$Q$2)/$Q$2))</f>
        <v>2790.51750654855</v>
      </c>
      <c r="H255" s="15" t="n">
        <f aca="false">G255*(1+IF(H$3&lt;=$O$2,$D255,$D255-($D255-$I$238)*MIN(H$3-$O$2,$Q$2)/$Q$2))</f>
        <v>2938.41885174808</v>
      </c>
      <c r="I255" s="15" t="n">
        <f aca="false">H255*(1+IF(I$3&lt;=$O$2,$D255,$D255-($D255-$I$238)*MIN(I$3-$O$2,$Q$2)/$Q$2))</f>
        <v>3094.15917586837</v>
      </c>
      <c r="J255" s="15" t="n">
        <f aca="false">I255*(1+IF(J$3&lt;=$O$2,$D255,$D255-($D255-$I$238)*MIN(J$3-$O$2,$Q$2)/$Q$2))</f>
        <v>3242.86794074639</v>
      </c>
      <c r="K255" s="15" t="n">
        <f aca="false">J255*(1+IF(K$3&lt;=$O$2,$D255,$D255-($D255-$I$238)*MIN(K$3-$O$2,$Q$2)/$Q$2))</f>
        <v>3382.70313777091</v>
      </c>
      <c r="L255" s="15" t="n">
        <f aca="false">K255*(1+IF(L$3&lt;=$O$2,$D255,$D255-($D255-$I$238)*MIN(L$3-$O$2,$Q$2)/$Q$2))</f>
        <v>3511.8566430381</v>
      </c>
      <c r="M255" s="15" t="n">
        <f aca="false">L255*(1+IF(M$3&lt;=$O$2,$D255,$D255-($D255-$I$238)*MIN(M$3-$O$2,$Q$2)/$Q$2))</f>
        <v>3628.59174384759</v>
      </c>
      <c r="N255" s="15" t="n">
        <f aca="false">M255*(1+IF(N$3&lt;=$O$2,$D255,$D255-($D255-$I$238)*MIN(N$3-$O$2,$Q$2)/$Q$2))</f>
        <v>3731.28089019848</v>
      </c>
      <c r="O255" s="15" t="n">
        <f aca="false">SUMPRODUCT(E255:N255,1/(1+$F$238)^$E$3:$N$3)*$E$2</f>
        <v>9180.00481347587</v>
      </c>
      <c r="P255" s="15" t="n">
        <f aca="false">N255*$E$2*(1+$I$238)/($F$238-$I$238)/(1+$F$238)^$N$3</f>
        <v>11829.9992968976</v>
      </c>
      <c r="Q255" s="15" t="n">
        <f aca="false">O255+P255</f>
        <v>21010.0041103735</v>
      </c>
      <c r="R255" s="15" t="n">
        <f aca="false">Q255-$G$2+$I$2</f>
        <v>15658.4441103735</v>
      </c>
      <c r="S255" s="42" t="n">
        <f aca="false">R255/$K$2</f>
        <v>724.927968072847</v>
      </c>
      <c r="T255" s="43" t="n">
        <f aca="false">S255-$M$2</f>
        <v>-0.0720319271526932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0.0530014038085938</v>
      </c>
      <c r="C256" s="25" t="n">
        <f aca="false">IF(T255&gt;0,D255,C255)</f>
        <v>0.0530242919921875</v>
      </c>
      <c r="D256" s="41" t="n">
        <f aca="false">(B256+C256)/2</f>
        <v>0.0530128479003906</v>
      </c>
      <c r="E256" s="15" t="n">
        <f aca="false">$C$2*(1+IF(E$3&lt;=$O$2,$D256,$D256-($D256-$I$238)*MIN(E$3-$O$2,$Q$2)/$Q$2))</f>
        <v>2516.70070648193</v>
      </c>
      <c r="F256" s="15" t="n">
        <f aca="false">E256*(1+IF(F$3&lt;=$O$2,$D256,$D256-($D256-$I$238)*MIN(F$3-$O$2,$Q$2)/$Q$2))</f>
        <v>2650.11817824547</v>
      </c>
      <c r="G256" s="15" t="n">
        <f aca="false">F256*(1+IF(G$3&lt;=$O$2,$D256,$D256-($D256-$I$238)*MIN(G$3-$O$2,$Q$2)/$Q$2))</f>
        <v>2790.60849014685</v>
      </c>
      <c r="H256" s="15" t="n">
        <f aca="false">G256*(1+IF(H$3&lt;=$O$2,$D256,$D256-($D256-$I$238)*MIN(H$3-$O$2,$Q$2)/$Q$2))</f>
        <v>2938.54659358455</v>
      </c>
      <c r="I256" s="15" t="n">
        <f aca="false">H256*(1+IF(I$3&lt;=$O$2,$D256,$D256-($D256-$I$238)*MIN(I$3-$O$2,$Q$2)/$Q$2))</f>
        <v>3094.32731719846</v>
      </c>
      <c r="J256" s="15" t="n">
        <f aca="false">I256*(1+IF(J$3&lt;=$O$2,$D256,$D256-($D256-$I$238)*MIN(J$3-$O$2,$Q$2)/$Q$2))</f>
        <v>3243.07249255033</v>
      </c>
      <c r="K256" s="15" t="n">
        <f aca="false">J256*(1+IF(K$3&lt;=$O$2,$D256,$D256-($D256-$I$238)*MIN(K$3-$O$2,$Q$2)/$Q$2))</f>
        <v>3382.93877843251</v>
      </c>
      <c r="L256" s="15" t="n">
        <f aca="false">K256*(1+IF(L$3&lt;=$O$2,$D256,$D256-($D256-$I$238)*MIN(L$3-$O$2,$Q$2)/$Q$2))</f>
        <v>3512.11676645724</v>
      </c>
      <c r="M256" s="15" t="n">
        <f aca="false">L256*(1+IF(M$3&lt;=$O$2,$D256,$D256-($D256-$I$238)*MIN(M$3-$O$2,$Q$2)/$Q$2))</f>
        <v>3628.86855243956</v>
      </c>
      <c r="N256" s="15" t="n">
        <f aca="false">M256*(1+IF(N$3&lt;=$O$2,$D256,$D256-($D256-$I$238)*MIN(N$3-$O$2,$Q$2)/$Q$2))</f>
        <v>3731.5655324736</v>
      </c>
      <c r="O256" s="15" t="n">
        <f aca="false">SUMPRODUCT(E256:N256,1/(1+$F$238)^$E$3:$N$3)*$E$2</f>
        <v>9180.45980297177</v>
      </c>
      <c r="P256" s="15" t="n">
        <f aca="false">N256*$E$2*(1+$I$238)/($F$238-$I$238)/(1+$F$238)^$N$3</f>
        <v>11830.9017531891</v>
      </c>
      <c r="Q256" s="15" t="n">
        <f aca="false">O256+P256</f>
        <v>21011.3615561609</v>
      </c>
      <c r="R256" s="15" t="n">
        <f aca="false">Q256-$G$2+$I$2</f>
        <v>15659.8015561609</v>
      </c>
      <c r="S256" s="42" t="n">
        <f aca="false">R256/$K$2</f>
        <v>724.990812785225</v>
      </c>
      <c r="T256" s="43" t="n">
        <f aca="false">S256-$M$2</f>
        <v>-0.009187214775352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0.0530128479003906</v>
      </c>
      <c r="C257" s="25" t="n">
        <f aca="false">IF(T256&gt;0,D256,C256)</f>
        <v>0.0530242919921875</v>
      </c>
      <c r="D257" s="41" t="n">
        <f aca="false">(B257+C257)/2</f>
        <v>0.0530185699462891</v>
      </c>
      <c r="E257" s="15" t="n">
        <f aca="false">$C$2*(1+IF(E$3&lt;=$O$2,$D257,$D257-($D257-$I$238)*MIN(E$3-$O$2,$Q$2)/$Q$2))</f>
        <v>2516.71438217163</v>
      </c>
      <c r="F257" s="15" t="n">
        <f aca="false">E257*(1+IF(F$3&lt;=$O$2,$D257,$D257-($D257-$I$238)*MIN(F$3-$O$2,$Q$2)/$Q$2))</f>
        <v>2650.14697967763</v>
      </c>
      <c r="G257" s="15" t="n">
        <f aca="false">F257*(1+IF(G$3&lt;=$O$2,$D257,$D257-($D257-$I$238)*MIN(G$3-$O$2,$Q$2)/$Q$2))</f>
        <v>2790.65398268761</v>
      </c>
      <c r="H257" s="15" t="n">
        <f aca="false">G257*(1+IF(H$3&lt;=$O$2,$D257,$D257-($D257-$I$238)*MIN(H$3-$O$2,$Q$2)/$Q$2))</f>
        <v>2938.61046606463</v>
      </c>
      <c r="I257" s="15" t="n">
        <f aca="false">H257*(1+IF(I$3&lt;=$O$2,$D257,$D257-($D257-$I$238)*MIN(I$3-$O$2,$Q$2)/$Q$2))</f>
        <v>3094.41139060457</v>
      </c>
      <c r="J257" s="15" t="n">
        <f aca="false">I257*(1+IF(J$3&lt;=$O$2,$D257,$D257-($D257-$I$238)*MIN(J$3-$O$2,$Q$2)/$Q$2))</f>
        <v>3243.17477247968</v>
      </c>
      <c r="K257" s="15" t="n">
        <f aca="false">J257*(1+IF(K$3&lt;=$O$2,$D257,$D257-($D257-$I$238)*MIN(K$3-$O$2,$Q$2)/$Q$2))</f>
        <v>3383.05660401781</v>
      </c>
      <c r="L257" s="15" t="n">
        <f aca="false">K257*(1+IF(L$3&lt;=$O$2,$D257,$D257-($D257-$I$238)*MIN(L$3-$O$2,$Q$2)/$Q$2))</f>
        <v>3512.24683443098</v>
      </c>
      <c r="M257" s="15" t="n">
        <f aca="false">L257*(1+IF(M$3&lt;=$O$2,$D257,$D257-($D257-$I$238)*MIN(M$3-$O$2,$Q$2)/$Q$2))</f>
        <v>3629.00696365448</v>
      </c>
      <c r="N257" s="15" t="n">
        <f aca="false">M257*(1+IF(N$3&lt;=$O$2,$D257,$D257-($D257-$I$238)*MIN(N$3-$O$2,$Q$2)/$Q$2))</f>
        <v>3731.7078607259</v>
      </c>
      <c r="O257" s="15" t="n">
        <f aca="false">SUMPRODUCT(E257:N257,1/(1+$F$238)^$E$3:$N$3)*$E$2</f>
        <v>9180.68730625138</v>
      </c>
      <c r="P257" s="15" t="n">
        <f aca="false">N257*$E$2*(1+$I$238)/($F$238-$I$238)/(1+$F$238)^$N$3</f>
        <v>11831.3530038921</v>
      </c>
      <c r="Q257" s="15" t="n">
        <f aca="false">O257+P257</f>
        <v>21012.0403101434</v>
      </c>
      <c r="R257" s="15" t="n">
        <f aca="false">Q257-$G$2+$I$2</f>
        <v>15660.4803101434</v>
      </c>
      <c r="S257" s="42" t="n">
        <f aca="false">R257/$K$2</f>
        <v>725.022236580714</v>
      </c>
      <c r="T257" s="43" t="n">
        <f aca="false">S257-$M$2</f>
        <v>0.0222365807142069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0.0530128479003906</v>
      </c>
      <c r="C258" s="25" t="n">
        <f aca="false">IF(T257&gt;0,D257,C257)</f>
        <v>0.0530185699462891</v>
      </c>
      <c r="D258" s="41" t="n">
        <f aca="false">(B258+C258)/2</f>
        <v>0.0530157089233398</v>
      </c>
      <c r="E258" s="15" t="n">
        <f aca="false">$C$2*(1+IF(E$3&lt;=$O$2,$D258,$D258-($D258-$I$238)*MIN(E$3-$O$2,$Q$2)/$Q$2))</f>
        <v>2516.70754432678</v>
      </c>
      <c r="F258" s="15" t="n">
        <f aca="false">E258*(1+IF(F$3&lt;=$O$2,$D258,$D258-($D258-$I$238)*MIN(F$3-$O$2,$Q$2)/$Q$2))</f>
        <v>2650.13257894198</v>
      </c>
      <c r="G258" s="15" t="n">
        <f aca="false">F258*(1+IF(G$3&lt;=$O$2,$D258,$D258-($D258-$I$238)*MIN(G$3-$O$2,$Q$2)/$Q$2))</f>
        <v>2790.63123635543</v>
      </c>
      <c r="H258" s="15" t="n">
        <f aca="false">G258*(1+IF(H$3&lt;=$O$2,$D258,$D258-($D258-$I$238)*MIN(H$3-$O$2,$Q$2)/$Q$2))</f>
        <v>2938.57852969443</v>
      </c>
      <c r="I258" s="15" t="n">
        <f aca="false">H258*(1+IF(I$3&lt;=$O$2,$D258,$D258-($D258-$I$238)*MIN(I$3-$O$2,$Q$2)/$Q$2))</f>
        <v>3094.36935367309</v>
      </c>
      <c r="J258" s="15" t="n">
        <f aca="false">I258*(1+IF(J$3&lt;=$O$2,$D258,$D258-($D258-$I$238)*MIN(J$3-$O$2,$Q$2)/$Q$2))</f>
        <v>3243.12363217939</v>
      </c>
      <c r="K258" s="15" t="n">
        <f aca="false">J258*(1+IF(K$3&lt;=$O$2,$D258,$D258-($D258-$I$238)*MIN(K$3-$O$2,$Q$2)/$Q$2))</f>
        <v>3382.99769078727</v>
      </c>
      <c r="L258" s="15" t="n">
        <f aca="false">K258*(1+IF(L$3&lt;=$O$2,$D258,$D258-($D258-$I$238)*MIN(L$3-$O$2,$Q$2)/$Q$2))</f>
        <v>3512.18179992209</v>
      </c>
      <c r="M258" s="15" t="n">
        <f aca="false">L258*(1+IF(M$3&lt;=$O$2,$D258,$D258-($D258-$I$238)*MIN(M$3-$O$2,$Q$2)/$Q$2))</f>
        <v>3628.93775747043</v>
      </c>
      <c r="N258" s="15" t="n">
        <f aca="false">M258*(1+IF(N$3&lt;=$O$2,$D258,$D258-($D258-$I$238)*MIN(N$3-$O$2,$Q$2)/$Q$2))</f>
        <v>3731.63669600684</v>
      </c>
      <c r="O258" s="15" t="n">
        <f aca="false">SUMPRODUCT(E258:N258,1/(1+$F$238)^$E$3:$N$3)*$E$2</f>
        <v>9180.57355390059</v>
      </c>
      <c r="P258" s="15" t="n">
        <f aca="false">N258*$E$2*(1+$I$238)/($F$238-$I$238)/(1+$F$238)^$N$3</f>
        <v>11831.1273766608</v>
      </c>
      <c r="Q258" s="15" t="n">
        <f aca="false">O258+P258</f>
        <v>21011.7009305613</v>
      </c>
      <c r="R258" s="15" t="n">
        <f aca="false">Q258-$G$2+$I$2</f>
        <v>15660.1409305613</v>
      </c>
      <c r="S258" s="42" t="n">
        <f aca="false">R258/$K$2</f>
        <v>725.006524563025</v>
      </c>
      <c r="T258" s="43" t="n">
        <f aca="false">S258-$M$2</f>
        <v>0.00652456302498194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0.0530128479003906</v>
      </c>
      <c r="C259" s="25" t="n">
        <f aca="false">IF(T258&gt;0,D258,C258)</f>
        <v>0.0530157089233398</v>
      </c>
      <c r="D259" s="41" t="n">
        <f aca="false">(B259+C259)/2</f>
        <v>0.0530142784118652</v>
      </c>
      <c r="E259" s="15" t="n">
        <f aca="false">$C$2*(1+IF(E$3&lt;=$O$2,$D259,$D259-($D259-$I$238)*MIN(E$3-$O$2,$Q$2)/$Q$2))</f>
        <v>2516.70412540436</v>
      </c>
      <c r="F259" s="15" t="n">
        <f aca="false">E259*(1+IF(F$3&lt;=$O$2,$D259,$D259-($D259-$I$238)*MIN(F$3-$O$2,$Q$2)/$Q$2))</f>
        <v>2650.12537858883</v>
      </c>
      <c r="G259" s="15" t="n">
        <f aca="false">F259*(1+IF(G$3&lt;=$O$2,$D259,$D259-($D259-$I$238)*MIN(G$3-$O$2,$Q$2)/$Q$2))</f>
        <v>2790.61986323569</v>
      </c>
      <c r="H259" s="15" t="n">
        <f aca="false">G259*(1+IF(H$3&lt;=$O$2,$D259,$D259-($D259-$I$238)*MIN(H$3-$O$2,$Q$2)/$Q$2))</f>
        <v>2938.56256160695</v>
      </c>
      <c r="I259" s="15" t="n">
        <f aca="false">H259*(1+IF(I$3&lt;=$O$2,$D259,$D259-($D259-$I$238)*MIN(I$3-$O$2,$Q$2)/$Q$2))</f>
        <v>3094.34833537867</v>
      </c>
      <c r="J259" s="15" t="n">
        <f aca="false">I259*(1+IF(J$3&lt;=$O$2,$D259,$D259-($D259-$I$238)*MIN(J$3-$O$2,$Q$2)/$Q$2))</f>
        <v>3243.09806228095</v>
      </c>
      <c r="K259" s="15" t="n">
        <f aca="false">J259*(1+IF(K$3&lt;=$O$2,$D259,$D259-($D259-$I$238)*MIN(K$3-$O$2,$Q$2)/$Q$2))</f>
        <v>3382.96823450042</v>
      </c>
      <c r="L259" s="15" t="n">
        <f aca="false">K259*(1+IF(L$3&lt;=$O$2,$D259,$D259-($D259-$I$238)*MIN(L$3-$O$2,$Q$2)/$Q$2))</f>
        <v>3512.14928305916</v>
      </c>
      <c r="M259" s="15" t="n">
        <f aca="false">L259*(1+IF(M$3&lt;=$O$2,$D259,$D259-($D259-$I$238)*MIN(M$3-$O$2,$Q$2)/$Q$2))</f>
        <v>3628.90315481084</v>
      </c>
      <c r="N259" s="15" t="n">
        <f aca="false">M259*(1+IF(N$3&lt;=$O$2,$D259,$D259-($D259-$I$238)*MIN(N$3-$O$2,$Q$2)/$Q$2))</f>
        <v>3731.60111409199</v>
      </c>
      <c r="O259" s="15" t="n">
        <f aca="false">SUMPRODUCT(E259:N259,1/(1+$F$238)^$E$3:$N$3)*$E$2</f>
        <v>9180.51667825844</v>
      </c>
      <c r="P259" s="15" t="n">
        <f aca="false">N259*$E$2*(1+$I$238)/($F$238-$I$238)/(1+$F$238)^$N$3</f>
        <v>11831.014564455</v>
      </c>
      <c r="Q259" s="15" t="n">
        <f aca="false">O259+P259</f>
        <v>21011.5312427134</v>
      </c>
      <c r="R259" s="15" t="n">
        <f aca="false">Q259-$G$2+$I$2</f>
        <v>15659.9712427134</v>
      </c>
      <c r="S259" s="42" t="n">
        <f aca="false">R259/$K$2</f>
        <v>724.998668644139</v>
      </c>
      <c r="T259" s="43" t="n">
        <f aca="false">S259-$M$2</f>
        <v>-0.0013313558607706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0.0530142784118652</v>
      </c>
      <c r="C260" s="25" t="n">
        <f aca="false">IF(T259&gt;0,D259,C259)</f>
        <v>0.0530157089233398</v>
      </c>
      <c r="D260" s="41" t="n">
        <f aca="false">(B260+C260)/2</f>
        <v>0.0530149936676025</v>
      </c>
      <c r="E260" s="15" t="n">
        <f aca="false">$C$2*(1+IF(E$3&lt;=$O$2,$D260,$D260-($D260-$I$238)*MIN(E$3-$O$2,$Q$2)/$Q$2))</f>
        <v>2516.70583486557</v>
      </c>
      <c r="F260" s="15" t="n">
        <f aca="false">E260*(1+IF(F$3&lt;=$O$2,$D260,$D260-($D260-$I$238)*MIN(F$3-$O$2,$Q$2)/$Q$2))</f>
        <v>2650.12897876419</v>
      </c>
      <c r="G260" s="15" t="n">
        <f aca="false">F260*(1+IF(G$3&lt;=$O$2,$D260,$D260-($D260-$I$238)*MIN(G$3-$O$2,$Q$2)/$Q$2))</f>
        <v>2790.6255497917</v>
      </c>
      <c r="H260" s="15" t="n">
        <f aca="false">G260*(1+IF(H$3&lt;=$O$2,$D260,$D260-($D260-$I$238)*MIN(H$3-$O$2,$Q$2)/$Q$2))</f>
        <v>2938.57054564256</v>
      </c>
      <c r="I260" s="15" t="n">
        <f aca="false">H260*(1+IF(I$3&lt;=$O$2,$D260,$D260-($D260-$I$238)*MIN(I$3-$O$2,$Q$2)/$Q$2))</f>
        <v>3094.3588445116</v>
      </c>
      <c r="J260" s="15" t="n">
        <f aca="false">I260*(1+IF(J$3&lt;=$O$2,$D260,$D260-($D260-$I$238)*MIN(J$3-$O$2,$Q$2)/$Q$2))</f>
        <v>3243.11084720919</v>
      </c>
      <c r="K260" s="15" t="n">
        <f aca="false">J260*(1+IF(K$3&lt;=$O$2,$D260,$D260-($D260-$I$238)*MIN(K$3-$O$2,$Q$2)/$Q$2))</f>
        <v>3382.98296261648</v>
      </c>
      <c r="L260" s="15" t="n">
        <f aca="false">K260*(1+IF(L$3&lt;=$O$2,$D260,$D260-($D260-$I$238)*MIN(L$3-$O$2,$Q$2)/$Q$2))</f>
        <v>3512.165541458</v>
      </c>
      <c r="M260" s="15" t="n">
        <f aca="false">L260*(1+IF(M$3&lt;=$O$2,$D260,$D260-($D260-$I$238)*MIN(M$3-$O$2,$Q$2)/$Q$2))</f>
        <v>3628.9204561046</v>
      </c>
      <c r="N260" s="15" t="n">
        <f aca="false">M260*(1+IF(N$3&lt;=$O$2,$D260,$D260-($D260-$I$238)*MIN(N$3-$O$2,$Q$2)/$Q$2))</f>
        <v>3731.61890501236</v>
      </c>
      <c r="O260" s="15" t="n">
        <f aca="false">SUMPRODUCT(E260:N260,1/(1+$F$238)^$E$3:$N$3)*$E$2</f>
        <v>9180.54511603508</v>
      </c>
      <c r="P260" s="15" t="n">
        <f aca="false">N260*$E$2*(1+$I$238)/($F$238-$I$238)/(1+$F$238)^$N$3</f>
        <v>11831.0709704404</v>
      </c>
      <c r="Q260" s="15" t="n">
        <f aca="false">O260+P260</f>
        <v>21011.6160864755</v>
      </c>
      <c r="R260" s="15" t="n">
        <f aca="false">Q260-$G$2+$I$2</f>
        <v>15660.0560864755</v>
      </c>
      <c r="S260" s="42" t="n">
        <f aca="false">R260/$K$2</f>
        <v>725.002596596086</v>
      </c>
      <c r="T260" s="43" t="n">
        <f aca="false">S260-$M$2</f>
        <v>0.00259659608559559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0.0530142784118652</v>
      </c>
      <c r="C261" s="25" t="n">
        <f aca="false">IF(T260&gt;0,D260,C260)</f>
        <v>0.0530149936676025</v>
      </c>
      <c r="D261" s="41" t="n">
        <f aca="false">(B261+C261)/2</f>
        <v>0.0530146360397339</v>
      </c>
      <c r="E261" s="15" t="n">
        <f aca="false">$C$2*(1+IF(E$3&lt;=$O$2,$D261,$D261-($D261-$I$238)*MIN(E$3-$O$2,$Q$2)/$Q$2))</f>
        <v>2516.70498013496</v>
      </c>
      <c r="F261" s="15" t="n">
        <f aca="false">E261*(1+IF(F$3&lt;=$O$2,$D261,$D261-($D261-$I$238)*MIN(F$3-$O$2,$Q$2)/$Q$2))</f>
        <v>2650.12717867621</v>
      </c>
      <c r="G261" s="15" t="n">
        <f aca="false">F261*(1+IF(G$3&lt;=$O$2,$D261,$D261-($D261-$I$238)*MIN(G$3-$O$2,$Q$2)/$Q$2))</f>
        <v>2790.62270651273</v>
      </c>
      <c r="H261" s="15" t="n">
        <f aca="false">G261*(1+IF(H$3&lt;=$O$2,$D261,$D261-($D261-$I$238)*MIN(H$3-$O$2,$Q$2)/$Q$2))</f>
        <v>2938.56655362272</v>
      </c>
      <c r="I261" s="15" t="n">
        <f aca="false">H261*(1+IF(I$3&lt;=$O$2,$D261,$D261-($D261-$I$238)*MIN(I$3-$O$2,$Q$2)/$Q$2))</f>
        <v>3094.35358994156</v>
      </c>
      <c r="J261" s="15" t="n">
        <f aca="false">I261*(1+IF(J$3&lt;=$O$2,$D261,$D261-($D261-$I$238)*MIN(J$3-$O$2,$Q$2)/$Q$2))</f>
        <v>3243.10445473983</v>
      </c>
      <c r="K261" s="15" t="n">
        <f aca="false">J261*(1+IF(K$3&lt;=$O$2,$D261,$D261-($D261-$I$238)*MIN(K$3-$O$2,$Q$2)/$Q$2))</f>
        <v>3382.97559855161</v>
      </c>
      <c r="L261" s="15" t="n">
        <f aca="false">K261*(1+IF(L$3&lt;=$O$2,$D261,$D261-($D261-$I$238)*MIN(L$3-$O$2,$Q$2)/$Q$2))</f>
        <v>3512.15741225042</v>
      </c>
      <c r="M261" s="15" t="n">
        <f aca="false">L261*(1+IF(M$3&lt;=$O$2,$D261,$D261-($D261-$I$238)*MIN(M$3-$O$2,$Q$2)/$Q$2))</f>
        <v>3628.91180544871</v>
      </c>
      <c r="N261" s="15" t="n">
        <f aca="false">M261*(1+IF(N$3&lt;=$O$2,$D261,$D261-($D261-$I$238)*MIN(N$3-$O$2,$Q$2)/$Q$2))</f>
        <v>3731.61000954291</v>
      </c>
      <c r="O261" s="15" t="n">
        <f aca="false">SUMPRODUCT(E261:N261,1/(1+$F$238)^$E$3:$N$3)*$E$2</f>
        <v>9180.53089713565</v>
      </c>
      <c r="P261" s="15" t="n">
        <f aca="false">N261*$E$2*(1+$I$238)/($F$238-$I$238)/(1+$F$238)^$N$3</f>
        <v>11831.0427674183</v>
      </c>
      <c r="Q261" s="15" t="n">
        <f aca="false">O261+P261</f>
        <v>21011.5736645539</v>
      </c>
      <c r="R261" s="15" t="n">
        <f aca="false">Q261-$G$2+$I$2</f>
        <v>15660.0136645539</v>
      </c>
      <c r="S261" s="42" t="n">
        <f aca="false">R261/$K$2</f>
        <v>725.000632618238</v>
      </c>
      <c r="T261" s="43" t="n">
        <f aca="false">S261-$M$2</f>
        <v>0.000632618238114446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0.0530142784118652</v>
      </c>
      <c r="C262" s="25" t="n">
        <f aca="false">IF(T261&gt;0,D261,C261)</f>
        <v>0.0530146360397339</v>
      </c>
      <c r="D262" s="41" t="n">
        <f aca="false">(B262+C262)/2</f>
        <v>0.0530144572257996</v>
      </c>
      <c r="E262" s="15" t="n">
        <f aca="false">$C$2*(1+IF(E$3&lt;=$O$2,$D262,$D262-($D262-$I$238)*MIN(E$3-$O$2,$Q$2)/$Q$2))</f>
        <v>2516.70455276966</v>
      </c>
      <c r="F262" s="15" t="n">
        <f aca="false">E262*(1+IF(F$3&lt;=$O$2,$D262,$D262-($D262-$I$238)*MIN(F$3-$O$2,$Q$2)/$Q$2))</f>
        <v>2650.12627863244</v>
      </c>
      <c r="G262" s="15" t="n">
        <f aca="false">F262*(1+IF(G$3&lt;=$O$2,$D262,$D262-($D262-$I$238)*MIN(G$3-$O$2,$Q$2)/$Q$2))</f>
        <v>2790.62128487397</v>
      </c>
      <c r="H262" s="15" t="n">
        <f aca="false">G262*(1+IF(H$3&lt;=$O$2,$D262,$D262-($D262-$I$238)*MIN(H$3-$O$2,$Q$2)/$Q$2))</f>
        <v>2938.56455761433</v>
      </c>
      <c r="I262" s="15" t="n">
        <f aca="false">H262*(1+IF(I$3&lt;=$O$2,$D262,$D262-($D262-$I$238)*MIN(I$3-$O$2,$Q$2)/$Q$2))</f>
        <v>3094.35096265922</v>
      </c>
      <c r="J262" s="15" t="n">
        <f aca="false">I262*(1+IF(J$3&lt;=$O$2,$D262,$D262-($D262-$I$238)*MIN(J$3-$O$2,$Q$2)/$Q$2))</f>
        <v>3243.10125850908</v>
      </c>
      <c r="K262" s="15" t="n">
        <f aca="false">J262*(1+IF(K$3&lt;=$O$2,$D262,$D262-($D262-$I$238)*MIN(K$3-$O$2,$Q$2)/$Q$2))</f>
        <v>3382.9719165243</v>
      </c>
      <c r="L262" s="15" t="n">
        <f aca="false">K262*(1+IF(L$3&lt;=$O$2,$D262,$D262-($D262-$I$238)*MIN(L$3-$O$2,$Q$2)/$Q$2))</f>
        <v>3512.15334765275</v>
      </c>
      <c r="M262" s="15" t="n">
        <f aca="false">L262*(1+IF(M$3&lt;=$O$2,$D262,$D262-($D262-$I$238)*MIN(M$3-$O$2,$Q$2)/$Q$2))</f>
        <v>3628.90748012752</v>
      </c>
      <c r="N262" s="15" t="n">
        <f aca="false">M262*(1+IF(N$3&lt;=$O$2,$D262,$D262-($D262-$I$238)*MIN(N$3-$O$2,$Q$2)/$Q$2))</f>
        <v>3731.60556181513</v>
      </c>
      <c r="O262" s="15" t="n">
        <f aca="false">SUMPRODUCT(E262:N262,1/(1+$F$238)^$E$3:$N$3)*$E$2</f>
        <v>9180.52378769426</v>
      </c>
      <c r="P262" s="15" t="n">
        <f aca="false">N262*$E$2*(1+$I$238)/($F$238-$I$238)/(1+$F$238)^$N$3</f>
        <v>11831.0286659293</v>
      </c>
      <c r="Q262" s="15" t="n">
        <f aca="false">O262+P262</f>
        <v>21011.5524536236</v>
      </c>
      <c r="R262" s="15" t="n">
        <f aca="false">Q262-$G$2+$I$2</f>
        <v>15659.9924536236</v>
      </c>
      <c r="S262" s="42" t="n">
        <f aca="false">R262/$K$2</f>
        <v>724.99965063072</v>
      </c>
      <c r="T262" s="43" t="n">
        <f aca="false">S262-$M$2</f>
        <v>-0.000349369280002065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0.0530144572257996</v>
      </c>
      <c r="C263" s="25" t="n">
        <f aca="false">IF(T262&gt;0,D262,C262)</f>
        <v>0.0530146360397339</v>
      </c>
      <c r="D263" s="41" t="n">
        <f aca="false">(B263+C263)/2</f>
        <v>0.0530145466327667</v>
      </c>
      <c r="E263" s="15" t="n">
        <f aca="false">$C$2*(1+IF(E$3&lt;=$O$2,$D263,$D263-($D263-$I$238)*MIN(E$3-$O$2,$Q$2)/$Q$2))</f>
        <v>2516.70476645231</v>
      </c>
      <c r="F263" s="15" t="n">
        <f aca="false">E263*(1+IF(F$3&lt;=$O$2,$D263,$D263-($D263-$I$238)*MIN(F$3-$O$2,$Q$2)/$Q$2))</f>
        <v>2650.1267286543</v>
      </c>
      <c r="G263" s="15" t="n">
        <f aca="false">F263*(1+IF(G$3&lt;=$O$2,$D263,$D263-($D263-$I$238)*MIN(G$3-$O$2,$Q$2)/$Q$2))</f>
        <v>2790.62199569329</v>
      </c>
      <c r="H263" s="15" t="n">
        <f aca="false">G263*(1+IF(H$3&lt;=$O$2,$D263,$D263-($D263-$I$238)*MIN(H$3-$O$2,$Q$2)/$Q$2))</f>
        <v>2938.5655556184</v>
      </c>
      <c r="I263" s="15" t="n">
        <f aca="false">H263*(1+IF(I$3&lt;=$O$2,$D263,$D263-($D263-$I$238)*MIN(I$3-$O$2,$Q$2)/$Q$2))</f>
        <v>3094.35227630017</v>
      </c>
      <c r="J263" s="15" t="n">
        <f aca="false">I263*(1+IF(J$3&lt;=$O$2,$D263,$D263-($D263-$I$238)*MIN(J$3-$O$2,$Q$2)/$Q$2))</f>
        <v>3243.10285662413</v>
      </c>
      <c r="K263" s="15" t="n">
        <f aca="false">J263*(1+IF(K$3&lt;=$O$2,$D263,$D263-($D263-$I$238)*MIN(K$3-$O$2,$Q$2)/$Q$2))</f>
        <v>3382.97375753753</v>
      </c>
      <c r="L263" s="15" t="n">
        <f aca="false">K263*(1+IF(L$3&lt;=$O$2,$D263,$D263-($D263-$I$238)*MIN(L$3-$O$2,$Q$2)/$Q$2))</f>
        <v>3512.15537995108</v>
      </c>
      <c r="M263" s="15" t="n">
        <f aca="false">L263*(1+IF(M$3&lt;=$O$2,$D263,$D263-($D263-$I$238)*MIN(M$3-$O$2,$Q$2)/$Q$2))</f>
        <v>3628.90964278756</v>
      </c>
      <c r="N263" s="15" t="n">
        <f aca="false">M263*(1+IF(N$3&lt;=$O$2,$D263,$D263-($D263-$I$238)*MIN(N$3-$O$2,$Q$2)/$Q$2))</f>
        <v>3731.60778567844</v>
      </c>
      <c r="O263" s="15" t="n">
        <f aca="false">SUMPRODUCT(E263:N263,1/(1+$F$238)^$E$3:$N$3)*$E$2</f>
        <v>9180.52734241426</v>
      </c>
      <c r="P263" s="15" t="n">
        <f aca="false">N263*$E$2*(1+$I$238)/($F$238-$I$238)/(1+$F$238)^$N$3</f>
        <v>11831.035716672</v>
      </c>
      <c r="Q263" s="15" t="n">
        <f aca="false">O263+P263</f>
        <v>21011.5630590862</v>
      </c>
      <c r="R263" s="15" t="n">
        <f aca="false">Q263-$G$2+$I$2</f>
        <v>15660.0030590862</v>
      </c>
      <c r="S263" s="42" t="n">
        <f aca="false">R263/$K$2</f>
        <v>725.000141624362</v>
      </c>
      <c r="T263" s="43" t="n">
        <f aca="false">S263-$M$2</f>
        <v>0.000141624362072434</v>
      </c>
    </row>
    <row r="265" customFormat="false" ht="15" hidden="false" customHeight="false" outlineLevel="0" collapsed="false">
      <c r="A265" s="38" t="s">
        <v>190</v>
      </c>
      <c r="E265" s="5" t="s">
        <v>11</v>
      </c>
      <c r="F265" s="12" t="n">
        <f aca="false">Sensitivity!$B$11</f>
        <v>0.0919721785729318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162</v>
      </c>
      <c r="B266" s="28" t="s">
        <v>163</v>
      </c>
      <c r="C266" s="28" t="s">
        <v>164</v>
      </c>
      <c r="D266" s="28" t="s">
        <v>165</v>
      </c>
      <c r="E266" s="28" t="s">
        <v>166</v>
      </c>
      <c r="F266" s="28" t="s">
        <v>167</v>
      </c>
      <c r="G266" s="28" t="s">
        <v>168</v>
      </c>
      <c r="H266" s="28" t="s">
        <v>169</v>
      </c>
      <c r="I266" s="28" t="s">
        <v>170</v>
      </c>
      <c r="J266" s="28" t="s">
        <v>171</v>
      </c>
      <c r="K266" s="28" t="s">
        <v>172</v>
      </c>
      <c r="L266" s="28" t="s">
        <v>173</v>
      </c>
      <c r="M266" s="28" t="s">
        <v>174</v>
      </c>
      <c r="N266" s="28" t="s">
        <v>175</v>
      </c>
      <c r="O266" s="28" t="s">
        <v>176</v>
      </c>
      <c r="P266" s="28" t="s">
        <v>177</v>
      </c>
      <c r="Q266" s="28" t="s">
        <v>178</v>
      </c>
      <c r="R266" s="28" t="s">
        <v>179</v>
      </c>
      <c r="S266" s="28" t="s">
        <v>180</v>
      </c>
      <c r="T266" s="28" t="s">
        <v>181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2987.5</v>
      </c>
      <c r="F267" s="15" t="n">
        <f aca="false">E267*(1+IF(F$3&lt;=$O$2,$D267,$D267-($D267-$I$265)*MIN(F$3-$O$2,$Q$2)/$Q$2))</f>
        <v>3734.375</v>
      </c>
      <c r="G267" s="15" t="n">
        <f aca="false">F267*(1+IF(G$3&lt;=$O$2,$D267,$D267-($D267-$I$265)*MIN(G$3-$O$2,$Q$2)/$Q$2))</f>
        <v>4667.96875</v>
      </c>
      <c r="H267" s="15" t="n">
        <f aca="false">G267*(1+IF(H$3&lt;=$O$2,$D267,$D267-($D267-$I$265)*MIN(H$3-$O$2,$Q$2)/$Q$2))</f>
        <v>5834.9609375</v>
      </c>
      <c r="I267" s="15" t="n">
        <f aca="false">H267*(1+IF(I$3&lt;=$O$2,$D267,$D267-($D267-$I$265)*MIN(I$3-$O$2,$Q$2)/$Q$2))</f>
        <v>7293.701171875</v>
      </c>
      <c r="J267" s="15" t="n">
        <f aca="false">I267*(1+IF(J$3&lt;=$O$2,$D267,$D267-($D267-$I$265)*MIN(J$3-$O$2,$Q$2)/$Q$2))</f>
        <v>8801.01745605469</v>
      </c>
      <c r="K267" s="15" t="n">
        <f aca="false">J267*(1+IF(K$3&lt;=$O$2,$D267,$D267-($D267-$I$265)*MIN(K$3-$O$2,$Q$2)/$Q$2))</f>
        <v>10238.3996269775</v>
      </c>
      <c r="L267" s="15" t="n">
        <f aca="false">K267*(1+IF(L$3&lt;=$O$2,$D267,$D267-($D267-$I$265)*MIN(L$3-$O$2,$Q$2)/$Q$2))</f>
        <v>11466.8028142223</v>
      </c>
      <c r="M267" s="15" t="n">
        <f aca="false">L267*(1+IF(M$3&lt;=$O$2,$D267,$D267-($D267-$I$265)*MIN(M$3-$O$2,$Q$2)/$Q$2))</f>
        <v>12345.6185819043</v>
      </c>
      <c r="N267" s="15" t="n">
        <f aca="false">M267*(1+IF(N$3&lt;=$O$2,$D267,$D267-($D267-$I$265)*MIN(N$3-$O$2,$Q$2)/$Q$2))</f>
        <v>12756.7276806817</v>
      </c>
      <c r="O267" s="15" t="n">
        <f aca="false">SUMPRODUCT(E267:N267,1/(1+$F$265)^$E$3:$N$3)*$E$2</f>
        <v>21547.3761353675</v>
      </c>
      <c r="P267" s="15" t="n">
        <f aca="false">N267*$E$2*(1+$I$265)/($F$265-$I$265)/(1+$F$265)^$N$3</f>
        <v>44105.2358197907</v>
      </c>
      <c r="Q267" s="15" t="n">
        <f aca="false">O267+P267</f>
        <v>65652.6119551582</v>
      </c>
      <c r="R267" s="15" t="n">
        <f aca="false">Q267-$G$2+$I$2</f>
        <v>60301.0519551582</v>
      </c>
      <c r="S267" s="42" t="n">
        <f aca="false">R267/$K$2</f>
        <v>2791.71536829436</v>
      </c>
      <c r="T267" s="43" t="n">
        <f aca="false">S267-$M$2</f>
        <v>2066.71536829436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2091.25</v>
      </c>
      <c r="F268" s="15" t="n">
        <f aca="false">E268*(1+IF(F$3&lt;=$O$2,$D268,$D268-($D268-$I$265)*MIN(F$3-$O$2,$Q$2)/$Q$2))</f>
        <v>1829.84375</v>
      </c>
      <c r="G268" s="15" t="n">
        <f aca="false">F268*(1+IF(G$3&lt;=$O$2,$D268,$D268-($D268-$I$265)*MIN(G$3-$O$2,$Q$2)/$Q$2))</f>
        <v>1601.11328125</v>
      </c>
      <c r="H268" s="15" t="n">
        <f aca="false">G268*(1+IF(H$3&lt;=$O$2,$D268,$D268-($D268-$I$265)*MIN(H$3-$O$2,$Q$2)/$Q$2))</f>
        <v>1400.97412109375</v>
      </c>
      <c r="I268" s="15" t="n">
        <f aca="false">H268*(1+IF(I$3&lt;=$O$2,$D268,$D268-($D268-$I$265)*MIN(I$3-$O$2,$Q$2)/$Q$2))</f>
        <v>1225.85235595703</v>
      </c>
      <c r="J268" s="15" t="n">
        <f aca="false">I268*(1+IF(J$3&lt;=$O$2,$D268,$D268-($D268-$I$265)*MIN(J$3-$O$2,$Q$2)/$Q$2))</f>
        <v>1111.431297052</v>
      </c>
      <c r="K268" s="15" t="n">
        <f aca="false">J268*(1+IF(K$3&lt;=$O$2,$D268,$D268-($D268-$I$265)*MIN(K$3-$O$2,$Q$2)/$Q$2))</f>
        <v>1042.87821464983</v>
      </c>
      <c r="L268" s="15" t="n">
        <f aca="false">K268*(1+IF(L$3&lt;=$O$2,$D268,$D268-($D268-$I$265)*MIN(L$3-$O$2,$Q$2)/$Q$2))</f>
        <v>1011.57101064605</v>
      </c>
      <c r="M268" s="15" t="n">
        <f aca="false">L268*(1+IF(M$3&lt;=$O$2,$D268,$D268-($D268-$I$265)*MIN(M$3-$O$2,$Q$2)/$Q$2))</f>
        <v>1013.22998710351</v>
      </c>
      <c r="N268" s="15" t="n">
        <f aca="false">M268*(1+IF(N$3&lt;=$O$2,$D268,$D268-($D268-$I$265)*MIN(N$3-$O$2,$Q$2)/$Q$2))</f>
        <v>1046.97054567405</v>
      </c>
      <c r="O268" s="15" t="n">
        <f aca="false">SUMPRODUCT(E268:N268,1/(1+$F$265)^$E$3:$N$3)*$E$2</f>
        <v>4290.69796831129</v>
      </c>
      <c r="P268" s="15" t="n">
        <f aca="false">N268*$E$2*(1+$I$265)/($F$265-$I$265)/(1+$F$265)^$N$3</f>
        <v>3619.8062676573</v>
      </c>
      <c r="Q268" s="15" t="n">
        <f aca="false">O268+P268</f>
        <v>7910.50423596859</v>
      </c>
      <c r="R268" s="15" t="n">
        <f aca="false">Q268-$G$2+$I$2</f>
        <v>2558.94423596859</v>
      </c>
      <c r="S268" s="42" t="n">
        <f aca="false">R268/$K$2</f>
        <v>118.469640554101</v>
      </c>
      <c r="T268" s="43" t="n">
        <f aca="false">S268-$M$2</f>
        <v>-606.530359445899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2539.375</v>
      </c>
      <c r="F269" s="15" t="n">
        <f aca="false">E269*(1+IF(F$3&lt;=$O$2,$D269,$D269-($D269-$I$265)*MIN(F$3-$O$2,$Q$2)/$Q$2))</f>
        <v>2698.0859375</v>
      </c>
      <c r="G269" s="15" t="n">
        <f aca="false">F269*(1+IF(G$3&lt;=$O$2,$D269,$D269-($D269-$I$265)*MIN(G$3-$O$2,$Q$2)/$Q$2))</f>
        <v>2866.71630859375</v>
      </c>
      <c r="H269" s="15" t="n">
        <f aca="false">G269*(1+IF(H$3&lt;=$O$2,$D269,$D269-($D269-$I$265)*MIN(H$3-$O$2,$Q$2)/$Q$2))</f>
        <v>3045.88607788086</v>
      </c>
      <c r="I269" s="15" t="n">
        <f aca="false">H269*(1+IF(I$3&lt;=$O$2,$D269,$D269-($D269-$I$265)*MIN(I$3-$O$2,$Q$2)/$Q$2))</f>
        <v>3236.25395774841</v>
      </c>
      <c r="J269" s="15" t="n">
        <f aca="false">I269*(1+IF(J$3&lt;=$O$2,$D269,$D269-($D269-$I$265)*MIN(J$3-$O$2,$Q$2)/$Q$2))</f>
        <v>3419.62010699444</v>
      </c>
      <c r="K269" s="15" t="n">
        <f aca="false">J269*(1+IF(K$3&lt;=$O$2,$D269,$D269-($D269-$I$265)*MIN(K$3-$O$2,$Q$2)/$Q$2))</f>
        <v>3593.4052008319</v>
      </c>
      <c r="L269" s="15" t="n">
        <f aca="false">K269*(1+IF(L$3&lt;=$O$2,$D269,$D269-($D269-$I$265)*MIN(L$3-$O$2,$Q$2)/$Q$2))</f>
        <v>3755.03656676531</v>
      </c>
      <c r="M269" s="15" t="n">
        <f aca="false">L269*(1+IF(M$3&lt;=$O$2,$D269,$D269-($D269-$I$265)*MIN(M$3-$O$2,$Q$2)/$Q$2))</f>
        <v>3902.00869798851</v>
      </c>
      <c r="N269" s="15" t="n">
        <f aca="false">M269*(1+IF(N$3&lt;=$O$2,$D269,$D269-($D269-$I$265)*MIN(N$3-$O$2,$Q$2)/$Q$2))</f>
        <v>4031.94558763153</v>
      </c>
      <c r="O269" s="15" t="n">
        <f aca="false">SUMPRODUCT(E269:N269,1/(1+$F$265)^$E$3:$N$3)*$E$2</f>
        <v>9593.4356318113</v>
      </c>
      <c r="P269" s="15" t="n">
        <f aca="false">N269*$E$2*(1+$I$265)/($F$265-$I$265)/(1+$F$265)^$N$3</f>
        <v>13940.0883523093</v>
      </c>
      <c r="Q269" s="15" t="n">
        <f aca="false">O269+P269</f>
        <v>23533.5239841206</v>
      </c>
      <c r="R269" s="15" t="n">
        <f aca="false">Q269-$G$2+$I$2</f>
        <v>18181.9639841206</v>
      </c>
      <c r="S269" s="42" t="n">
        <f aca="false">R269/$K$2</f>
        <v>841.757591857436</v>
      </c>
      <c r="T269" s="43" t="n">
        <f aca="false">S269-$M$2</f>
        <v>116.757591857436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2315.3125</v>
      </c>
      <c r="F270" s="15" t="n">
        <f aca="false">E270*(1+IF(F$3&lt;=$O$2,$D270,$D270-($D270-$I$265)*MIN(F$3-$O$2,$Q$2)/$Q$2))</f>
        <v>2242.958984375</v>
      </c>
      <c r="G270" s="15" t="n">
        <f aca="false">F270*(1+IF(G$3&lt;=$O$2,$D270,$D270-($D270-$I$265)*MIN(G$3-$O$2,$Q$2)/$Q$2))</f>
        <v>2172.86651611328</v>
      </c>
      <c r="H270" s="15" t="n">
        <f aca="false">G270*(1+IF(H$3&lt;=$O$2,$D270,$D270-($D270-$I$265)*MIN(H$3-$O$2,$Q$2)/$Q$2))</f>
        <v>2104.96443748474</v>
      </c>
      <c r="I270" s="15" t="n">
        <f aca="false">H270*(1+IF(I$3&lt;=$O$2,$D270,$D270-($D270-$I$265)*MIN(I$3-$O$2,$Q$2)/$Q$2))</f>
        <v>2039.18429881334</v>
      </c>
      <c r="J270" s="15" t="n">
        <f aca="false">I270*(1+IF(J$3&lt;=$O$2,$D270,$D270-($D270-$I$265)*MIN(J$3-$O$2,$Q$2)/$Q$2))</f>
        <v>2001.78565877311</v>
      </c>
      <c r="K270" s="15" t="n">
        <f aca="false">J270*(1+IF(K$3&lt;=$O$2,$D270,$D270-($D270-$I$265)*MIN(K$3-$O$2,$Q$2)/$Q$2))</f>
        <v>1990.91596264597</v>
      </c>
      <c r="L270" s="15" t="n">
        <f aca="false">K270*(1+IF(L$3&lt;=$O$2,$D270,$D270-($D270-$I$265)*MIN(L$3-$O$2,$Q$2)/$Q$2))</f>
        <v>2005.80801404656</v>
      </c>
      <c r="M270" s="15" t="n">
        <f aca="false">L270*(1+IF(M$3&lt;=$O$2,$D270,$D270-($D270-$I$265)*MIN(M$3-$O$2,$Q$2)/$Q$2))</f>
        <v>2046.70643945297</v>
      </c>
      <c r="N270" s="15" t="n">
        <f aca="false">M270*(1+IF(N$3&lt;=$O$2,$D270,$D270-($D270-$I$265)*MIN(N$3-$O$2,$Q$2)/$Q$2))</f>
        <v>2114.86176388675</v>
      </c>
      <c r="O270" s="15" t="n">
        <f aca="false">SUMPRODUCT(E270:N270,1/(1+$F$265)^$E$3:$N$3)*$E$2</f>
        <v>6396.55894669138</v>
      </c>
      <c r="P270" s="15" t="n">
        <f aca="false">N270*$E$2*(1+$I$265)/($F$265-$I$265)/(1+$F$265)^$N$3</f>
        <v>7311.94387442619</v>
      </c>
      <c r="Q270" s="15" t="n">
        <f aca="false">O270+P270</f>
        <v>13708.5028211176</v>
      </c>
      <c r="R270" s="15" t="n">
        <f aca="false">Q270-$G$2+$I$2</f>
        <v>8356.94282111757</v>
      </c>
      <c r="S270" s="42" t="n">
        <f aca="false">R270/$K$2</f>
        <v>386.895500977665</v>
      </c>
      <c r="T270" s="43" t="n">
        <f aca="false">S270-$M$2</f>
        <v>-338.104499022335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41" t="n">
        <f aca="false">(B271+C271)/2</f>
        <v>0.015625</v>
      </c>
      <c r="E271" s="15" t="n">
        <f aca="false">$C$2*(1+IF(E$3&lt;=$O$2,$D271,$D271-($D271-$I$265)*MIN(E$3-$O$2,$Q$2)/$Q$2))</f>
        <v>2427.34375</v>
      </c>
      <c r="F271" s="15" t="n">
        <f aca="false">E271*(1+IF(F$3&lt;=$O$2,$D271,$D271-($D271-$I$265)*MIN(F$3-$O$2,$Q$2)/$Q$2))</f>
        <v>2465.27099609375</v>
      </c>
      <c r="G271" s="15" t="n">
        <f aca="false">F271*(1+IF(G$3&lt;=$O$2,$D271,$D271-($D271-$I$265)*MIN(G$3-$O$2,$Q$2)/$Q$2))</f>
        <v>2503.79085540772</v>
      </c>
      <c r="H271" s="15" t="n">
        <f aca="false">G271*(1+IF(H$3&lt;=$O$2,$D271,$D271-($D271-$I$265)*MIN(H$3-$O$2,$Q$2)/$Q$2))</f>
        <v>2542.91258752346</v>
      </c>
      <c r="I271" s="15" t="n">
        <f aca="false">H271*(1+IF(I$3&lt;=$O$2,$D271,$D271-($D271-$I$265)*MIN(I$3-$O$2,$Q$2)/$Q$2))</f>
        <v>2582.64559670351</v>
      </c>
      <c r="J271" s="15" t="n">
        <f aca="false">I271*(1+IF(J$3&lt;=$O$2,$D271,$D271-($D271-$I$265)*MIN(J$3-$O$2,$Q$2)/$Q$2))</f>
        <v>2632.12908633635</v>
      </c>
      <c r="K271" s="15" t="n">
        <f aca="false">J271*(1+IF(K$3&lt;=$O$2,$D271,$D271-($D271-$I$265)*MIN(K$3-$O$2,$Q$2)/$Q$2))</f>
        <v>2691.86525595076</v>
      </c>
      <c r="L271" s="15" t="n">
        <f aca="false">K271*(1+IF(L$3&lt;=$O$2,$D271,$D271-($D271-$I$265)*MIN(L$3-$O$2,$Q$2)/$Q$2))</f>
        <v>2762.47288161435</v>
      </c>
      <c r="M271" s="15" t="n">
        <f aca="false">L271*(1+IF(M$3&lt;=$O$2,$D271,$D271-($D271-$I$265)*MIN(M$3-$O$2,$Q$2)/$Q$2))</f>
        <v>2844.6978869356</v>
      </c>
      <c r="N271" s="15" t="n">
        <f aca="false">M271*(1+IF(N$3&lt;=$O$2,$D271,$D271-($D271-$I$265)*MIN(N$3-$O$2,$Q$2)/$Q$2))</f>
        <v>2939.42632657055</v>
      </c>
      <c r="O271" s="15" t="n">
        <f aca="false">SUMPRODUCT(E271:N271,1/(1+$F$265)^$E$3:$N$3)*$E$2</f>
        <v>7830.21278660065</v>
      </c>
      <c r="P271" s="15" t="n">
        <f aca="false">N271*$E$2*(1+$I$265)/($F$265-$I$265)/(1+$F$265)^$N$3</f>
        <v>10162.8015078368</v>
      </c>
      <c r="Q271" s="15" t="n">
        <f aca="false">O271+P271</f>
        <v>17993.0142944374</v>
      </c>
      <c r="R271" s="15" t="n">
        <f aca="false">Q271-$G$2+$I$2</f>
        <v>12641.4542944374</v>
      </c>
      <c r="S271" s="42" t="n">
        <f aca="false">R271/$K$2</f>
        <v>585.252513631362</v>
      </c>
      <c r="T271" s="43" t="n">
        <f aca="false">S271-$M$2</f>
        <v>-139.747486368638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0.015625</v>
      </c>
      <c r="C272" s="25" t="n">
        <f aca="false">IF(T271&gt;0,D271,C271)</f>
        <v>0.0625</v>
      </c>
      <c r="D272" s="41" t="n">
        <f aca="false">(B272+C272)/2</f>
        <v>0.0390625</v>
      </c>
      <c r="E272" s="15" t="n">
        <f aca="false">$C$2*(1+IF(E$3&lt;=$O$2,$D272,$D272-($D272-$I$265)*MIN(E$3-$O$2,$Q$2)/$Q$2))</f>
        <v>2483.359375</v>
      </c>
      <c r="F272" s="15" t="n">
        <f aca="false">E272*(1+IF(F$3&lt;=$O$2,$D272,$D272-($D272-$I$265)*MIN(F$3-$O$2,$Q$2)/$Q$2))</f>
        <v>2580.36560058594</v>
      </c>
      <c r="G272" s="15" t="n">
        <f aca="false">F272*(1+IF(G$3&lt;=$O$2,$D272,$D272-($D272-$I$265)*MIN(G$3-$O$2,$Q$2)/$Q$2))</f>
        <v>2681.16113185883</v>
      </c>
      <c r="H272" s="15" t="n">
        <f aca="false">G272*(1+IF(H$3&lt;=$O$2,$D272,$D272-($D272-$I$265)*MIN(H$3-$O$2,$Q$2)/$Q$2))</f>
        <v>2785.89398857206</v>
      </c>
      <c r="I272" s="15" t="n">
        <f aca="false">H272*(1+IF(I$3&lt;=$O$2,$D272,$D272-($D272-$I$265)*MIN(I$3-$O$2,$Q$2)/$Q$2))</f>
        <v>2894.71797250066</v>
      </c>
      <c r="J272" s="15" t="n">
        <f aca="false">I272*(1+IF(J$3&lt;=$O$2,$D272,$D272-($D272-$I$265)*MIN(J$3-$O$2,$Q$2)/$Q$2))</f>
        <v>3004.45673083816</v>
      </c>
      <c r="K272" s="15" t="n">
        <f aca="false">J272*(1+IF(K$3&lt;=$O$2,$D272,$D272-($D272-$I$265)*MIN(K$3-$O$2,$Q$2)/$Q$2))</f>
        <v>3114.89304912194</v>
      </c>
      <c r="L272" s="15" t="n">
        <f aca="false">K272*(1+IF(L$3&lt;=$O$2,$D272,$D272-($D272-$I$265)*MIN(L$3-$O$2,$Q$2)/$Q$2))</f>
        <v>3225.79881613593</v>
      </c>
      <c r="M272" s="15" t="n">
        <f aca="false">L272*(1+IF(M$3&lt;=$O$2,$D272,$D272-($D272-$I$265)*MIN(M$3-$O$2,$Q$2)/$Q$2))</f>
        <v>3336.93564984885</v>
      </c>
      <c r="N272" s="15" t="n">
        <f aca="false">M272*(1+IF(N$3&lt;=$O$2,$D272,$D272-($D272-$I$265)*MIN(N$3-$O$2,$Q$2)/$Q$2))</f>
        <v>3448.05560698882</v>
      </c>
      <c r="O272" s="15" t="n">
        <f aca="false">SUMPRODUCT(E272:N272,1/(1+$F$265)^$E$3:$N$3)*$E$2</f>
        <v>8666.51599213293</v>
      </c>
      <c r="P272" s="15" t="n">
        <f aca="false">N272*$E$2*(1+$I$265)/($F$265-$I$265)/(1+$F$265)^$N$3</f>
        <v>11921.3413872817</v>
      </c>
      <c r="Q272" s="15" t="n">
        <f aca="false">O272+P272</f>
        <v>20587.8573794146</v>
      </c>
      <c r="R272" s="15" t="n">
        <f aca="false">Q272-$G$2+$I$2</f>
        <v>15236.2973794146</v>
      </c>
      <c r="S272" s="42" t="n">
        <f aca="false">R272/$K$2</f>
        <v>705.384137935863</v>
      </c>
      <c r="T272" s="43" t="n">
        <f aca="false">S272-$M$2</f>
        <v>-19.6158620641368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0.0390625</v>
      </c>
      <c r="C273" s="25" t="n">
        <f aca="false">IF(T272&gt;0,D272,C272)</f>
        <v>0.0625</v>
      </c>
      <c r="D273" s="41" t="n">
        <f aca="false">(B273+C273)/2</f>
        <v>0.05078125</v>
      </c>
      <c r="E273" s="15" t="n">
        <f aca="false">$C$2*(1+IF(E$3&lt;=$O$2,$D273,$D273-($D273-$I$265)*MIN(E$3-$O$2,$Q$2)/$Q$2))</f>
        <v>2511.3671875</v>
      </c>
      <c r="F273" s="15" t="n">
        <f aca="false">E273*(1+IF(F$3&lt;=$O$2,$D273,$D273-($D273-$I$265)*MIN(F$3-$O$2,$Q$2)/$Q$2))</f>
        <v>2638.89755249023</v>
      </c>
      <c r="G273" s="15" t="n">
        <f aca="false">F273*(1+IF(G$3&lt;=$O$2,$D273,$D273-($D273-$I$265)*MIN(G$3-$O$2,$Q$2)/$Q$2))</f>
        <v>2772.90406882763</v>
      </c>
      <c r="H273" s="15" t="n">
        <f aca="false">G273*(1+IF(H$3&lt;=$O$2,$D273,$D273-($D273-$I$265)*MIN(H$3-$O$2,$Q$2)/$Q$2))</f>
        <v>2913.71560357278</v>
      </c>
      <c r="I273" s="15" t="n">
        <f aca="false">H273*(1+IF(I$3&lt;=$O$2,$D273,$D273-($D273-$I$265)*MIN(I$3-$O$2,$Q$2)/$Q$2))</f>
        <v>3061.67772406671</v>
      </c>
      <c r="J273" s="15" t="n">
        <f aca="false">I273*(1+IF(J$3&lt;=$O$2,$D273,$D273-($D273-$I$265)*MIN(J$3-$O$2,$Q$2)/$Q$2))</f>
        <v>3206.44915524921</v>
      </c>
      <c r="K273" s="15" t="n">
        <f aca="false">J273*(1+IF(K$3&lt;=$O$2,$D273,$D273-($D273-$I$265)*MIN(K$3-$O$2,$Q$2)/$Q$2))</f>
        <v>3346.85555569613</v>
      </c>
      <c r="L273" s="15" t="n">
        <f aca="false">K273*(1+IF(L$3&lt;=$O$2,$D273,$D273-($D273-$I$265)*MIN(L$3-$O$2,$Q$2)/$Q$2))</f>
        <v>3481.70873317401</v>
      </c>
      <c r="M273" s="15" t="n">
        <f aca="false">L273*(1+IF(M$3&lt;=$O$2,$D273,$D273-($D273-$I$265)*MIN(M$3-$O$2,$Q$2)/$Q$2))</f>
        <v>3609.82255814707</v>
      </c>
      <c r="N273" s="15" t="n">
        <f aca="false">M273*(1+IF(N$3&lt;=$O$2,$D273,$D273-($D273-$I$265)*MIN(N$3-$O$2,$Q$2)/$Q$2))</f>
        <v>3730.02964933337</v>
      </c>
      <c r="O273" s="15" t="n">
        <f aca="false">SUMPRODUCT(E273:N273,1/(1+$F$265)^$E$3:$N$3)*$E$2</f>
        <v>9118.095821828</v>
      </c>
      <c r="P273" s="15" t="n">
        <f aca="false">N273*$E$2*(1+$I$265)/($F$265-$I$265)/(1+$F$265)^$N$3</f>
        <v>12896.2412161382</v>
      </c>
      <c r="Q273" s="15" t="n">
        <f aca="false">O273+P273</f>
        <v>22014.3370379663</v>
      </c>
      <c r="R273" s="15" t="n">
        <f aca="false">Q273-$G$2+$I$2</f>
        <v>16662.7770379663</v>
      </c>
      <c r="S273" s="42" t="n">
        <f aca="false">R273/$K$2</f>
        <v>771.424862868808</v>
      </c>
      <c r="T273" s="43" t="n">
        <f aca="false">S273-$M$2</f>
        <v>46.4248628688079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0.0390625</v>
      </c>
      <c r="C274" s="25" t="n">
        <f aca="false">IF(T273&gt;0,D273,C273)</f>
        <v>0.05078125</v>
      </c>
      <c r="D274" s="41" t="n">
        <f aca="false">(B274+C274)/2</f>
        <v>0.044921875</v>
      </c>
      <c r="E274" s="15" t="n">
        <f aca="false">$C$2*(1+IF(E$3&lt;=$O$2,$D274,$D274-($D274-$I$265)*MIN(E$3-$O$2,$Q$2)/$Q$2))</f>
        <v>2497.36328125</v>
      </c>
      <c r="F274" s="15" t="n">
        <f aca="false">E274*(1+IF(F$3&lt;=$O$2,$D274,$D274-($D274-$I$265)*MIN(F$3-$O$2,$Q$2)/$Q$2))</f>
        <v>2609.5495223999</v>
      </c>
      <c r="G274" s="15" t="n">
        <f aca="false">F274*(1+IF(G$3&lt;=$O$2,$D274,$D274-($D274-$I$265)*MIN(G$3-$O$2,$Q$2)/$Q$2))</f>
        <v>2726.77537985146</v>
      </c>
      <c r="H274" s="15" t="n">
        <f aca="false">G274*(1+IF(H$3&lt;=$O$2,$D274,$D274-($D274-$I$265)*MIN(H$3-$O$2,$Q$2)/$Q$2))</f>
        <v>2849.26724261823</v>
      </c>
      <c r="I274" s="15" t="n">
        <f aca="false">H274*(1+IF(I$3&lt;=$O$2,$D274,$D274-($D274-$I$265)*MIN(I$3-$O$2,$Q$2)/$Q$2))</f>
        <v>2977.26166953272</v>
      </c>
      <c r="J274" s="15" t="n">
        <f aca="false">I274*(1+IF(J$3&lt;=$O$2,$D274,$D274-($D274-$I$265)*MIN(J$3-$O$2,$Q$2)/$Q$2))</f>
        <v>3104.08557350064</v>
      </c>
      <c r="K274" s="15" t="n">
        <f aca="false">J274*(1+IF(K$3&lt;=$O$2,$D274,$D274-($D274-$I$265)*MIN(K$3-$O$2,$Q$2)/$Q$2))</f>
        <v>3229.09679981292</v>
      </c>
      <c r="L274" s="15" t="n">
        <f aca="false">K274*(1+IF(L$3&lt;=$O$2,$D274,$D274-($D274-$I$265)*MIN(L$3-$O$2,$Q$2)/$Q$2))</f>
        <v>3351.63698699482</v>
      </c>
      <c r="M274" s="15" t="n">
        <f aca="false">L274*(1+IF(M$3&lt;=$O$2,$D274,$D274-($D274-$I$265)*MIN(M$3-$O$2,$Q$2)/$Q$2))</f>
        <v>3471.0369598834</v>
      </c>
      <c r="N274" s="15" t="n">
        <f aca="false">M274*(1+IF(N$3&lt;=$O$2,$D274,$D274-($D274-$I$265)*MIN(N$3-$O$2,$Q$2)/$Q$2))</f>
        <v>3586.62249064752</v>
      </c>
      <c r="O274" s="15" t="n">
        <f aca="false">SUMPRODUCT(E274:N274,1/(1+$F$265)^$E$3:$N$3)*$E$2</f>
        <v>8889.4068437016</v>
      </c>
      <c r="P274" s="15" t="n">
        <f aca="false">N274*$E$2*(1+$I$265)/($F$265-$I$265)/(1+$F$265)^$N$3</f>
        <v>12400.4238944544</v>
      </c>
      <c r="Q274" s="15" t="n">
        <f aca="false">O274+P274</f>
        <v>21289.830738156</v>
      </c>
      <c r="R274" s="15" t="n">
        <f aca="false">Q274-$G$2+$I$2</f>
        <v>15938.270738156</v>
      </c>
      <c r="S274" s="42" t="n">
        <f aca="false">R274/$K$2</f>
        <v>737.88290454426</v>
      </c>
      <c r="T274" s="43" t="n">
        <f aca="false">S274-$M$2</f>
        <v>12.8829045442603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0.0390625</v>
      </c>
      <c r="C275" s="25" t="n">
        <f aca="false">IF(T274&gt;0,D274,C274)</f>
        <v>0.044921875</v>
      </c>
      <c r="D275" s="41" t="n">
        <f aca="false">(B275+C275)/2</f>
        <v>0.0419921875</v>
      </c>
      <c r="E275" s="15" t="n">
        <f aca="false">$C$2*(1+IF(E$3&lt;=$O$2,$D275,$D275-($D275-$I$265)*MIN(E$3-$O$2,$Q$2)/$Q$2))</f>
        <v>2490.361328125</v>
      </c>
      <c r="F275" s="15" t="n">
        <f aca="false">E275*(1+IF(F$3&lt;=$O$2,$D275,$D275-($D275-$I$265)*MIN(F$3-$O$2,$Q$2)/$Q$2))</f>
        <v>2594.93704795837</v>
      </c>
      <c r="G275" s="15" t="n">
        <f aca="false">F275*(1+IF(G$3&lt;=$O$2,$D275,$D275-($D275-$I$265)*MIN(G$3-$O$2,$Q$2)/$Q$2))</f>
        <v>2703.90413102694</v>
      </c>
      <c r="H275" s="15" t="n">
        <f aca="false">G275*(1+IF(H$3&lt;=$O$2,$D275,$D275-($D275-$I$265)*MIN(H$3-$O$2,$Q$2)/$Q$2))</f>
        <v>2817.44698027905</v>
      </c>
      <c r="I275" s="15" t="n">
        <f aca="false">H275*(1+IF(I$3&lt;=$O$2,$D275,$D275-($D275-$I$265)*MIN(I$3-$O$2,$Q$2)/$Q$2))</f>
        <v>2935.75774214623</v>
      </c>
      <c r="J275" s="15" t="n">
        <f aca="false">I275*(1+IF(J$3&lt;=$O$2,$D275,$D275-($D275-$I$265)*MIN(J$3-$O$2,$Q$2)/$Q$2))</f>
        <v>3053.93300035915</v>
      </c>
      <c r="K275" s="15" t="n">
        <f aca="false">J275*(1+IF(K$3&lt;=$O$2,$D275,$D275-($D275-$I$265)*MIN(K$3-$O$2,$Q$2)/$Q$2))</f>
        <v>3171.55618422205</v>
      </c>
      <c r="L275" s="15" t="n">
        <f aca="false">K275*(1+IF(L$3&lt;=$O$2,$D275,$D275-($D275-$I$265)*MIN(L$3-$O$2,$Q$2)/$Q$2))</f>
        <v>3288.19610956466</v>
      </c>
      <c r="M275" s="15" t="n">
        <f aca="false">L275*(1+IF(M$3&lt;=$O$2,$D275,$D275-($D275-$I$265)*MIN(M$3-$O$2,$Q$2)/$Q$2))</f>
        <v>3403.40936343738</v>
      </c>
      <c r="N275" s="15" t="n">
        <f aca="false">M275*(1+IF(N$3&lt;=$O$2,$D275,$D275-($D275-$I$265)*MIN(N$3-$O$2,$Q$2)/$Q$2))</f>
        <v>3516.74289523985</v>
      </c>
      <c r="O275" s="15" t="n">
        <f aca="false">SUMPRODUCT(E275:N275,1/(1+$F$265)^$E$3:$N$3)*$E$2</f>
        <v>8777.24535738963</v>
      </c>
      <c r="P275" s="15" t="n">
        <f aca="false">N275*$E$2*(1+$I$265)/($F$265-$I$265)/(1+$F$265)^$N$3</f>
        <v>12158.8214936198</v>
      </c>
      <c r="Q275" s="15" t="n">
        <f aca="false">O275+P275</f>
        <v>20936.0668510094</v>
      </c>
      <c r="R275" s="15" t="n">
        <f aca="false">Q275-$G$2+$I$2</f>
        <v>15584.5068510094</v>
      </c>
      <c r="S275" s="42" t="n">
        <f aca="false">R275/$K$2</f>
        <v>721.50494680599</v>
      </c>
      <c r="T275" s="43" t="n">
        <f aca="false">S275-$M$2</f>
        <v>-3.49505319400998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0.0419921875</v>
      </c>
      <c r="C276" s="25" t="n">
        <f aca="false">IF(T275&gt;0,D275,C275)</f>
        <v>0.044921875</v>
      </c>
      <c r="D276" s="41" t="n">
        <f aca="false">(B276+C276)/2</f>
        <v>0.04345703125</v>
      </c>
      <c r="E276" s="15" t="n">
        <f aca="false">$C$2*(1+IF(E$3&lt;=$O$2,$D276,$D276-($D276-$I$265)*MIN(E$3-$O$2,$Q$2)/$Q$2))</f>
        <v>2493.8623046875</v>
      </c>
      <c r="F276" s="15" t="n">
        <f aca="false">E276*(1+IF(F$3&lt;=$O$2,$D276,$D276-($D276-$I$265)*MIN(F$3-$O$2,$Q$2)/$Q$2))</f>
        <v>2602.2381567955</v>
      </c>
      <c r="G276" s="15" t="n">
        <f aca="false">F276*(1+IF(G$3&lt;=$O$2,$D276,$D276-($D276-$I$265)*MIN(G$3-$O$2,$Q$2)/$Q$2))</f>
        <v>2715.32370169531</v>
      </c>
      <c r="H276" s="15" t="n">
        <f aca="false">G276*(1+IF(H$3&lt;=$O$2,$D276,$D276-($D276-$I$265)*MIN(H$3-$O$2,$Q$2)/$Q$2))</f>
        <v>2833.32360865375</v>
      </c>
      <c r="I276" s="15" t="n">
        <f aca="false">H276*(1+IF(I$3&lt;=$O$2,$D276,$D276-($D276-$I$265)*MIN(I$3-$O$2,$Q$2)/$Q$2))</f>
        <v>2956.45144125637</v>
      </c>
      <c r="J276" s="15" t="n">
        <f aca="false">I276*(1+IF(J$3&lt;=$O$2,$D276,$D276-($D276-$I$265)*MIN(J$3-$O$2,$Q$2)/$Q$2))</f>
        <v>3078.92428999257</v>
      </c>
      <c r="K276" s="15" t="n">
        <f aca="false">J276*(1+IF(K$3&lt;=$O$2,$D276,$D276-($D276-$I$265)*MIN(K$3-$O$2,$Q$2)/$Q$2))</f>
        <v>3200.21610698723</v>
      </c>
      <c r="L276" s="15" t="n">
        <f aca="false">K276*(1+IF(L$3&lt;=$O$2,$D276,$D276-($D276-$I$265)*MIN(L$3-$O$2,$Q$2)/$Q$2))</f>
        <v>3319.78518135207</v>
      </c>
      <c r="M276" s="15" t="n">
        <f aca="false">L276*(1+IF(M$3&lt;=$O$2,$D276,$D276-($D276-$I$265)*MIN(M$3-$O$2,$Q$2)/$Q$2))</f>
        <v>3437.07786025715</v>
      </c>
      <c r="N276" s="15" t="n">
        <f aca="false">M276*(1+IF(N$3&lt;=$O$2,$D276,$D276-($D276-$I$265)*MIN(N$3-$O$2,$Q$2)/$Q$2))</f>
        <v>3551.53255300371</v>
      </c>
      <c r="O276" s="15" t="n">
        <f aca="false">SUMPRODUCT(E276:N276,1/(1+$F$265)^$E$3:$N$3)*$E$2</f>
        <v>8833.1460043808</v>
      </c>
      <c r="P276" s="15" t="n">
        <f aca="false">N276*$E$2*(1+$I$265)/($F$265-$I$265)/(1+$F$265)^$N$3</f>
        <v>12279.1035987311</v>
      </c>
      <c r="Q276" s="15" t="n">
        <f aca="false">O276+P276</f>
        <v>21112.2496031119</v>
      </c>
      <c r="R276" s="15" t="n">
        <f aca="false">Q276-$G$2+$I$2</f>
        <v>15760.6896031119</v>
      </c>
      <c r="S276" s="42" t="n">
        <f aca="false">R276/$K$2</f>
        <v>729.661555699627</v>
      </c>
      <c r="T276" s="43" t="n">
        <f aca="false">S276-$M$2</f>
        <v>4.661555699627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0.0419921875</v>
      </c>
      <c r="C277" s="25" t="n">
        <f aca="false">IF(T276&gt;0,D276,C276)</f>
        <v>0.04345703125</v>
      </c>
      <c r="D277" s="41" t="n">
        <f aca="false">(B277+C277)/2</f>
        <v>0.042724609375</v>
      </c>
      <c r="E277" s="15" t="n">
        <f aca="false">$C$2*(1+IF(E$3&lt;=$O$2,$D277,$D277-($D277-$I$265)*MIN(E$3-$O$2,$Q$2)/$Q$2))</f>
        <v>2492.11181640625</v>
      </c>
      <c r="F277" s="15" t="n">
        <f aca="false">E277*(1+IF(F$3&lt;=$O$2,$D277,$D277-($D277-$I$265)*MIN(F$3-$O$2,$Q$2)/$Q$2))</f>
        <v>2598.58632028103</v>
      </c>
      <c r="G277" s="15" t="n">
        <f aca="false">F277*(1+IF(G$3&lt;=$O$2,$D277,$D277-($D277-$I$265)*MIN(G$3-$O$2,$Q$2)/$Q$2))</f>
        <v>2709.60990574225</v>
      </c>
      <c r="H277" s="15" t="n">
        <f aca="false">G277*(1+IF(H$3&lt;=$O$2,$D277,$D277-($D277-$I$265)*MIN(H$3-$O$2,$Q$2)/$Q$2))</f>
        <v>2825.37693052372</v>
      </c>
      <c r="I277" s="15" t="n">
        <f aca="false">H277*(1+IF(I$3&lt;=$O$2,$D277,$D277-($D277-$I$265)*MIN(I$3-$O$2,$Q$2)/$Q$2))</f>
        <v>2946.09005621749</v>
      </c>
      <c r="J277" s="15" t="n">
        <f aca="false">I277*(1+IF(J$3&lt;=$O$2,$D277,$D277-($D277-$I$265)*MIN(J$3-$O$2,$Q$2)/$Q$2))</f>
        <v>3066.40745346027</v>
      </c>
      <c r="K277" s="15" t="n">
        <f aca="false">J277*(1+IF(K$3&lt;=$O$2,$D277,$D277-($D277-$I$265)*MIN(K$3-$O$2,$Q$2)/$Q$2))</f>
        <v>3185.85863712056</v>
      </c>
      <c r="L277" s="15" t="n">
        <f aca="false">K277*(1+IF(L$3&lt;=$O$2,$D277,$D277-($D277-$I$265)*MIN(L$3-$O$2,$Q$2)/$Q$2))</f>
        <v>3303.95791900821</v>
      </c>
      <c r="M277" s="15" t="n">
        <f aca="false">L277*(1+IF(M$3&lt;=$O$2,$D277,$D277-($D277-$I$265)*MIN(M$3-$O$2,$Q$2)/$Q$2))</f>
        <v>3420.2074202668</v>
      </c>
      <c r="N277" s="15" t="n">
        <f aca="false">M277*(1+IF(N$3&lt;=$O$2,$D277,$D277-($D277-$I$265)*MIN(N$3-$O$2,$Q$2)/$Q$2))</f>
        <v>3534.10032736169</v>
      </c>
      <c r="O277" s="15" t="n">
        <f aca="false">SUMPRODUCT(E277:N277,1/(1+$F$265)^$E$3:$N$3)*$E$2</f>
        <v>8805.15079241655</v>
      </c>
      <c r="P277" s="15" t="n">
        <f aca="false">N277*$E$2*(1+$I$265)/($F$265-$I$265)/(1+$F$265)^$N$3</f>
        <v>12218.8332502491</v>
      </c>
      <c r="Q277" s="15" t="n">
        <f aca="false">O277+P277</f>
        <v>21023.9840426656</v>
      </c>
      <c r="R277" s="15" t="n">
        <f aca="false">Q277-$G$2+$I$2</f>
        <v>15672.4240426656</v>
      </c>
      <c r="S277" s="42" t="n">
        <f aca="false">R277/$K$2</f>
        <v>725.575187160446</v>
      </c>
      <c r="T277" s="43" t="n">
        <f aca="false">S277-$M$2</f>
        <v>0.575187160446035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0.0419921875</v>
      </c>
      <c r="C278" s="25" t="n">
        <f aca="false">IF(T277&gt;0,D277,C277)</f>
        <v>0.042724609375</v>
      </c>
      <c r="D278" s="41" t="n">
        <f aca="false">(B278+C278)/2</f>
        <v>0.0423583984375</v>
      </c>
      <c r="E278" s="15" t="n">
        <f aca="false">$C$2*(1+IF(E$3&lt;=$O$2,$D278,$D278-($D278-$I$265)*MIN(E$3-$O$2,$Q$2)/$Q$2))</f>
        <v>2491.23657226563</v>
      </c>
      <c r="F278" s="15" t="n">
        <f aca="false">E278*(1+IF(F$3&lt;=$O$2,$D278,$D278-($D278-$I$265)*MIN(F$3-$O$2,$Q$2)/$Q$2))</f>
        <v>2596.76136359572</v>
      </c>
      <c r="G278" s="15" t="n">
        <f aca="false">F278*(1+IF(G$3&lt;=$O$2,$D278,$D278-($D278-$I$265)*MIN(G$3-$O$2,$Q$2)/$Q$2))</f>
        <v>2706.75601608202</v>
      </c>
      <c r="H278" s="15" t="n">
        <f aca="false">G278*(1+IF(H$3&lt;=$O$2,$D278,$D278-($D278-$I$265)*MIN(H$3-$O$2,$Q$2)/$Q$2))</f>
        <v>2821.40986588432</v>
      </c>
      <c r="I278" s="15" t="n">
        <f aca="false">H278*(1+IF(I$3&lt;=$O$2,$D278,$D278-($D278-$I$265)*MIN(I$3-$O$2,$Q$2)/$Q$2))</f>
        <v>2940.92026913894</v>
      </c>
      <c r="J278" s="15" t="n">
        <f aca="false">I278*(1+IF(J$3&lt;=$O$2,$D278,$D278-($D278-$I$265)*MIN(J$3-$O$2,$Q$2)/$Q$2))</f>
        <v>3060.16493615789</v>
      </c>
      <c r="K278" s="15" t="n">
        <f aca="false">J278*(1+IF(K$3&lt;=$O$2,$D278,$D278-($D278-$I$265)*MIN(K$3-$O$2,$Q$2)/$Q$2))</f>
        <v>3178.70054449766</v>
      </c>
      <c r="L278" s="15" t="n">
        <f aca="false">K278*(1+IF(L$3&lt;=$O$2,$D278,$D278-($D278-$I$265)*MIN(L$3-$O$2,$Q$2)/$Q$2))</f>
        <v>3296.06884704766</v>
      </c>
      <c r="M278" s="15" t="n">
        <f aca="false">L278*(1+IF(M$3&lt;=$O$2,$D278,$D278-($D278-$I$265)*MIN(M$3-$O$2,$Q$2)/$Q$2))</f>
        <v>3411.79936063314</v>
      </c>
      <c r="N278" s="15" t="n">
        <f aca="false">M278*(1+IF(N$3&lt;=$O$2,$D278,$D278-($D278-$I$265)*MIN(N$3-$O$2,$Q$2)/$Q$2))</f>
        <v>3525.41227934223</v>
      </c>
      <c r="O278" s="15" t="n">
        <f aca="false">SUMPRODUCT(E278:N278,1/(1+$F$265)^$E$3:$N$3)*$E$2</f>
        <v>8791.18686969361</v>
      </c>
      <c r="P278" s="15" t="n">
        <f aca="false">N278*$E$2*(1+$I$265)/($F$265-$I$265)/(1+$F$265)^$N$3</f>
        <v>12188.7951075291</v>
      </c>
      <c r="Q278" s="15" t="n">
        <f aca="false">O278+P278</f>
        <v>20979.9819772227</v>
      </c>
      <c r="R278" s="15" t="n">
        <f aca="false">Q278-$G$2+$I$2</f>
        <v>15628.4219772227</v>
      </c>
      <c r="S278" s="42" t="n">
        <f aca="false">R278/$K$2</f>
        <v>723.538054501053</v>
      </c>
      <c r="T278" s="43" t="n">
        <f aca="false">S278-$M$2</f>
        <v>-1.46194549894744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0.0423583984375</v>
      </c>
      <c r="C279" s="25" t="n">
        <f aca="false">IF(T278&gt;0,D278,C278)</f>
        <v>0.042724609375</v>
      </c>
      <c r="D279" s="41" t="n">
        <f aca="false">(B279+C279)/2</f>
        <v>0.04254150390625</v>
      </c>
      <c r="E279" s="15" t="n">
        <f aca="false">$C$2*(1+IF(E$3&lt;=$O$2,$D279,$D279-($D279-$I$265)*MIN(E$3-$O$2,$Q$2)/$Q$2))</f>
        <v>2491.67419433594</v>
      </c>
      <c r="F279" s="15" t="n">
        <f aca="false">E279*(1+IF(F$3&lt;=$O$2,$D279,$D279-($D279-$I$265)*MIN(F$3-$O$2,$Q$2)/$Q$2))</f>
        <v>2597.67376180738</v>
      </c>
      <c r="G279" s="15" t="n">
        <f aca="false">F279*(1+IF(G$3&lt;=$O$2,$D279,$D279-($D279-$I$265)*MIN(G$3-$O$2,$Q$2)/$Q$2))</f>
        <v>2708.18271029247</v>
      </c>
      <c r="H279" s="15" t="n">
        <f aca="false">G279*(1+IF(H$3&lt;=$O$2,$D279,$D279-($D279-$I$265)*MIN(H$3-$O$2,$Q$2)/$Q$2))</f>
        <v>2823.39287564122</v>
      </c>
      <c r="I279" s="15" t="n">
        <f aca="false">H279*(1+IF(I$3&lt;=$O$2,$D279,$D279-($D279-$I$265)*MIN(I$3-$O$2,$Q$2)/$Q$2))</f>
        <v>2943.50425468919</v>
      </c>
      <c r="J279" s="15" t="n">
        <f aca="false">I279*(1+IF(J$3&lt;=$O$2,$D279,$D279-($D279-$I$265)*MIN(J$3-$O$2,$Q$2)/$Q$2))</f>
        <v>3063.28487122456</v>
      </c>
      <c r="K279" s="15" t="n">
        <f aca="false">J279*(1+IF(K$3&lt;=$O$2,$D279,$D279-($D279-$I$265)*MIN(K$3-$O$2,$Q$2)/$Q$2))</f>
        <v>3182.27787289836</v>
      </c>
      <c r="L279" s="15" t="n">
        <f aca="false">K279*(1+IF(L$3&lt;=$O$2,$D279,$D279-($D279-$I$265)*MIN(L$3-$O$2,$Q$2)/$Q$2))</f>
        <v>3300.01133942314</v>
      </c>
      <c r="M279" s="15" t="n">
        <f aca="false">L279*(1+IF(M$3&lt;=$O$2,$D279,$D279-($D279-$I$265)*MIN(M$3-$O$2,$Q$2)/$Q$2))</f>
        <v>3416.00113056273</v>
      </c>
      <c r="N279" s="15" t="n">
        <f aca="false">M279*(1+IF(N$3&lt;=$O$2,$D279,$D279-($D279-$I$265)*MIN(N$3-$O$2,$Q$2)/$Q$2))</f>
        <v>3529.75396821046</v>
      </c>
      <c r="O279" s="15" t="n">
        <f aca="false">SUMPRODUCT(E279:N279,1/(1+$F$265)^$E$3:$N$3)*$E$2</f>
        <v>8798.16602764098</v>
      </c>
      <c r="P279" s="15" t="n">
        <f aca="false">N279*$E$2*(1+$I$265)/($F$265-$I$265)/(1+$F$265)^$N$3</f>
        <v>12203.8061053479</v>
      </c>
      <c r="Q279" s="15" t="n">
        <f aca="false">O279+P279</f>
        <v>21001.9721329889</v>
      </c>
      <c r="R279" s="15" t="n">
        <f aca="false">Q279-$G$2+$I$2</f>
        <v>15650.4121329889</v>
      </c>
      <c r="S279" s="42" t="n">
        <f aca="false">R279/$K$2</f>
        <v>724.556117268005</v>
      </c>
      <c r="T279" s="43" t="n">
        <f aca="false">S279-$M$2</f>
        <v>-0.443882731994677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0.04254150390625</v>
      </c>
      <c r="C280" s="25" t="n">
        <f aca="false">IF(T279&gt;0,D279,C279)</f>
        <v>0.042724609375</v>
      </c>
      <c r="D280" s="41" t="n">
        <f aca="false">(B280+C280)/2</f>
        <v>0.042633056640625</v>
      </c>
      <c r="E280" s="15" t="n">
        <f aca="false">$C$2*(1+IF(E$3&lt;=$O$2,$D280,$D280-($D280-$I$265)*MIN(E$3-$O$2,$Q$2)/$Q$2))</f>
        <v>2491.89300537109</v>
      </c>
      <c r="F280" s="15" t="n">
        <f aca="false">E280*(1+IF(F$3&lt;=$O$2,$D280,$D280-($D280-$I$265)*MIN(F$3-$O$2,$Q$2)/$Q$2))</f>
        <v>2598.13002101146</v>
      </c>
      <c r="G280" s="15" t="n">
        <f aca="false">F280*(1+IF(G$3&lt;=$O$2,$D280,$D280-($D280-$I$265)*MIN(G$3-$O$2,$Q$2)/$Q$2))</f>
        <v>2708.89624535695</v>
      </c>
      <c r="H280" s="15" t="n">
        <f aca="false">G280*(1+IF(H$3&lt;=$O$2,$D280,$D280-($D280-$I$265)*MIN(H$3-$O$2,$Q$2)/$Q$2))</f>
        <v>2824.38477241883</v>
      </c>
      <c r="I280" s="15" t="n">
        <f aca="false">H280*(1+IF(I$3&lt;=$O$2,$D280,$D280-($D280-$I$265)*MIN(I$3-$O$2,$Q$2)/$Q$2))</f>
        <v>2944.79692839628</v>
      </c>
      <c r="J280" s="15" t="n">
        <f aca="false">I280*(1+IF(J$3&lt;=$O$2,$D280,$D280-($D280-$I$265)*MIN(J$3-$O$2,$Q$2)/$Q$2))</f>
        <v>3064.84583133416</v>
      </c>
      <c r="K280" s="15" t="n">
        <f aca="false">J280*(1+IF(K$3&lt;=$O$2,$D280,$D280-($D280-$I$265)*MIN(K$3-$O$2,$Q$2)/$Q$2))</f>
        <v>3184.06782536076</v>
      </c>
      <c r="L280" s="15" t="n">
        <f aca="false">K280*(1+IF(L$3&lt;=$O$2,$D280,$D280-($D280-$I$265)*MIN(L$3-$O$2,$Q$2)/$Q$2))</f>
        <v>3301.98411808995</v>
      </c>
      <c r="M280" s="15" t="n">
        <f aca="false">L280*(1+IF(M$3&lt;=$O$2,$D280,$D280-($D280-$I$265)*MIN(M$3-$O$2,$Q$2)/$Q$2))</f>
        <v>3418.10371018246</v>
      </c>
      <c r="N280" s="15" t="n">
        <f aca="false">M280*(1+IF(N$3&lt;=$O$2,$D280,$D280-($D280-$I$265)*MIN(N$3-$O$2,$Q$2)/$Q$2))</f>
        <v>3531.92656373154</v>
      </c>
      <c r="O280" s="15" t="n">
        <f aca="false">SUMPRODUCT(E280:N280,1/(1+$F$265)^$E$3:$N$3)*$E$2</f>
        <v>8801.65770891113</v>
      </c>
      <c r="P280" s="15" t="n">
        <f aca="false">N280*$E$2*(1+$I$265)/($F$265-$I$265)/(1+$F$265)^$N$3</f>
        <v>12211.3176584826</v>
      </c>
      <c r="Q280" s="15" t="n">
        <f aca="false">O280+P280</f>
        <v>21012.9753673937</v>
      </c>
      <c r="R280" s="15" t="n">
        <f aca="false">Q280-$G$2+$I$2</f>
        <v>15661.4153673937</v>
      </c>
      <c r="S280" s="42" t="n">
        <f aca="false">R280/$K$2</f>
        <v>725.065526268228</v>
      </c>
      <c r="T280" s="43" t="n">
        <f aca="false">S280-$M$2</f>
        <v>0.0655262682282682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0.04254150390625</v>
      </c>
      <c r="C281" s="25" t="n">
        <f aca="false">IF(T280&gt;0,D280,C280)</f>
        <v>0.042633056640625</v>
      </c>
      <c r="D281" s="41" t="n">
        <f aca="false">(B281+C281)/2</f>
        <v>0.0425872802734375</v>
      </c>
      <c r="E281" s="15" t="n">
        <f aca="false">$C$2*(1+IF(E$3&lt;=$O$2,$D281,$D281-($D281-$I$265)*MIN(E$3-$O$2,$Q$2)/$Q$2))</f>
        <v>2491.78359985352</v>
      </c>
      <c r="F281" s="15" t="n">
        <f aca="false">E281*(1+IF(F$3&lt;=$O$2,$D281,$D281-($D281-$I$265)*MIN(F$3-$O$2,$Q$2)/$Q$2))</f>
        <v>2597.90188640123</v>
      </c>
      <c r="G281" s="15" t="n">
        <f aca="false">F281*(1+IF(G$3&lt;=$O$2,$D281,$D281-($D281-$I$265)*MIN(G$3-$O$2,$Q$2)/$Q$2))</f>
        <v>2708.53946216029</v>
      </c>
      <c r="H281" s="15" t="n">
        <f aca="false">G281*(1+IF(H$3&lt;=$O$2,$D281,$D281-($D281-$I$265)*MIN(H$3-$O$2,$Q$2)/$Q$2))</f>
        <v>2823.88879136698</v>
      </c>
      <c r="I281" s="15" t="n">
        <f aca="false">H281*(1+IF(I$3&lt;=$O$2,$D281,$D281-($D281-$I$265)*MIN(I$3-$O$2,$Q$2)/$Q$2))</f>
        <v>2944.15053478594</v>
      </c>
      <c r="J281" s="15" t="n">
        <f aca="false">I281*(1+IF(J$3&lt;=$O$2,$D281,$D281-($D281-$I$265)*MIN(J$3-$O$2,$Q$2)/$Q$2))</f>
        <v>3064.06526854131</v>
      </c>
      <c r="K281" s="15" t="n">
        <f aca="false">J281*(1+IF(K$3&lt;=$O$2,$D281,$D281-($D281-$I$265)*MIN(K$3-$O$2,$Q$2)/$Q$2))</f>
        <v>3183.17274173877</v>
      </c>
      <c r="L281" s="15" t="n">
        <f aca="false">K281*(1+IF(L$3&lt;=$O$2,$D281,$D281-($D281-$I$265)*MIN(L$3-$O$2,$Q$2)/$Q$2))</f>
        <v>3300.99760100319</v>
      </c>
      <c r="M281" s="15" t="n">
        <f aca="false">L281*(1+IF(M$3&lt;=$O$2,$D281,$D281-($D281-$I$265)*MIN(M$3-$O$2,$Q$2)/$Q$2))</f>
        <v>3417.05227909709</v>
      </c>
      <c r="N281" s="15" t="n">
        <f aca="false">M281*(1+IF(N$3&lt;=$O$2,$D281,$D281-($D281-$I$265)*MIN(N$3-$O$2,$Q$2)/$Q$2))</f>
        <v>3530.84011999102</v>
      </c>
      <c r="O281" s="15" t="n">
        <f aca="false">SUMPRODUCT(E281:N281,1/(1+$F$265)^$E$3:$N$3)*$E$2</f>
        <v>8799.91169302966</v>
      </c>
      <c r="P281" s="15" t="n">
        <f aca="false">N281*$E$2*(1+$I$265)/($F$265-$I$265)/(1+$F$265)^$N$3</f>
        <v>12207.5613772026</v>
      </c>
      <c r="Q281" s="15" t="n">
        <f aca="false">O281+P281</f>
        <v>21007.4730702323</v>
      </c>
      <c r="R281" s="15" t="n">
        <f aca="false">Q281-$G$2+$I$2</f>
        <v>15655.9130702323</v>
      </c>
      <c r="S281" s="42" t="n">
        <f aca="false">R281/$K$2</f>
        <v>724.810790288533</v>
      </c>
      <c r="T281" s="43" t="n">
        <f aca="false">S281-$M$2</f>
        <v>-0.189209711467356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0.0425872802734375</v>
      </c>
      <c r="C282" s="25" t="n">
        <f aca="false">IF(T281&gt;0,D281,C281)</f>
        <v>0.042633056640625</v>
      </c>
      <c r="D282" s="41" t="n">
        <f aca="false">(B282+C282)/2</f>
        <v>0.0426101684570313</v>
      </c>
      <c r="E282" s="15" t="n">
        <f aca="false">$C$2*(1+IF(E$3&lt;=$O$2,$D282,$D282-($D282-$I$265)*MIN(E$3-$O$2,$Q$2)/$Q$2))</f>
        <v>2491.8383026123</v>
      </c>
      <c r="F282" s="15" t="n">
        <f aca="false">E282*(1+IF(F$3&lt;=$O$2,$D282,$D282-($D282-$I$265)*MIN(F$3-$O$2,$Q$2)/$Q$2))</f>
        <v>2598.0159524543</v>
      </c>
      <c r="G282" s="15" t="n">
        <f aca="false">F282*(1+IF(G$3&lt;=$O$2,$D282,$D282-($D282-$I$265)*MIN(G$3-$O$2,$Q$2)/$Q$2))</f>
        <v>2708.71784984243</v>
      </c>
      <c r="H282" s="15" t="n">
        <f aca="false">G282*(1+IF(H$3&lt;=$O$2,$D282,$D282-($D282-$I$265)*MIN(H$3-$O$2,$Q$2)/$Q$2))</f>
        <v>2824.13677372678</v>
      </c>
      <c r="I282" s="15" t="n">
        <f aca="false">H282*(1+IF(I$3&lt;=$O$2,$D282,$D282-($D282-$I$265)*MIN(I$3-$O$2,$Q$2)/$Q$2))</f>
        <v>2944.47371740098</v>
      </c>
      <c r="J282" s="15" t="n">
        <f aca="false">I282*(1+IF(J$3&lt;=$O$2,$D282,$D282-($D282-$I$265)*MIN(J$3-$O$2,$Q$2)/$Q$2))</f>
        <v>3064.45552925147</v>
      </c>
      <c r="K282" s="15" t="n">
        <f aca="false">J282*(1+IF(K$3&lt;=$O$2,$D282,$D282-($D282-$I$265)*MIN(K$3-$O$2,$Q$2)/$Q$2))</f>
        <v>3183.6202566994</v>
      </c>
      <c r="L282" s="15" t="n">
        <f aca="false">K282*(1+IF(L$3&lt;=$O$2,$D282,$D282-($D282-$I$265)*MIN(L$3-$O$2,$Q$2)/$Q$2))</f>
        <v>3301.49082760472</v>
      </c>
      <c r="M282" s="15" t="n">
        <f aca="false">L282*(1+IF(M$3&lt;=$O$2,$D282,$D282-($D282-$I$265)*MIN(M$3-$O$2,$Q$2)/$Q$2))</f>
        <v>3417.57795931683</v>
      </c>
      <c r="N282" s="15" t="n">
        <f aca="false">M282*(1+IF(N$3&lt;=$O$2,$D282,$D282-($D282-$I$265)*MIN(N$3-$O$2,$Q$2)/$Q$2))</f>
        <v>3531.38330536208</v>
      </c>
      <c r="O282" s="15" t="n">
        <f aca="false">SUMPRODUCT(E282:N282,1/(1+$F$265)^$E$3:$N$3)*$E$2</f>
        <v>8800.78465715467</v>
      </c>
      <c r="P282" s="15" t="n">
        <f aca="false">N282*$E$2*(1+$I$265)/($F$265-$I$265)/(1+$F$265)^$N$3</f>
        <v>12209.4393916499</v>
      </c>
      <c r="Q282" s="15" t="n">
        <f aca="false">O282+P282</f>
        <v>21010.2240488046</v>
      </c>
      <c r="R282" s="15" t="n">
        <f aca="false">Q282-$G$2+$I$2</f>
        <v>15658.6640488046</v>
      </c>
      <c r="S282" s="42" t="n">
        <f aca="false">R282/$K$2</f>
        <v>724.93815040762</v>
      </c>
      <c r="T282" s="43" t="n">
        <f aca="false">S282-$M$2</f>
        <v>-0.0618495923799856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0.0426101684570313</v>
      </c>
      <c r="C283" s="25" t="n">
        <f aca="false">IF(T282&gt;0,D282,C282)</f>
        <v>0.042633056640625</v>
      </c>
      <c r="D283" s="41" t="n">
        <f aca="false">(B283+C283)/2</f>
        <v>0.0426216125488281</v>
      </c>
      <c r="E283" s="15" t="n">
        <f aca="false">$C$2*(1+IF(E$3&lt;=$O$2,$D283,$D283-($D283-$I$265)*MIN(E$3-$O$2,$Q$2)/$Q$2))</f>
        <v>2491.8656539917</v>
      </c>
      <c r="F283" s="15" t="n">
        <f aca="false">E283*(1+IF(F$3&lt;=$O$2,$D283,$D283-($D283-$I$265)*MIN(F$3-$O$2,$Q$2)/$Q$2))</f>
        <v>2598.07298641987</v>
      </c>
      <c r="G283" s="15" t="n">
        <f aca="false">F283*(1+IF(G$3&lt;=$O$2,$D283,$D283-($D283-$I$265)*MIN(G$3-$O$2,$Q$2)/$Q$2))</f>
        <v>2708.80704662063</v>
      </c>
      <c r="H283" s="15" t="n">
        <f aca="false">G283*(1+IF(H$3&lt;=$O$2,$D283,$D283-($D283-$I$265)*MIN(H$3-$O$2,$Q$2)/$Q$2))</f>
        <v>2824.26077103123</v>
      </c>
      <c r="I283" s="15" t="n">
        <f aca="false">H283*(1+IF(I$3&lt;=$O$2,$D283,$D283-($D283-$I$265)*MIN(I$3-$O$2,$Q$2)/$Q$2))</f>
        <v>2944.63531935098</v>
      </c>
      <c r="J283" s="15" t="n">
        <f aca="false">I283*(1+IF(J$3&lt;=$O$2,$D283,$D283-($D283-$I$265)*MIN(J$3-$O$2,$Q$2)/$Q$2))</f>
        <v>3064.65067512103</v>
      </c>
      <c r="K283" s="15" t="n">
        <f aca="false">J283*(1+IF(K$3&lt;=$O$2,$D283,$D283-($D283-$I$265)*MIN(K$3-$O$2,$Q$2)/$Q$2))</f>
        <v>3183.84403431715</v>
      </c>
      <c r="L283" s="15" t="n">
        <f aca="false">K283*(1+IF(L$3&lt;=$O$2,$D283,$D283-($D283-$I$265)*MIN(L$3-$O$2,$Q$2)/$Q$2))</f>
        <v>3301.73746486143</v>
      </c>
      <c r="M283" s="15" t="n">
        <f aca="false">L283*(1+IF(M$3&lt;=$O$2,$D283,$D283-($D283-$I$265)*MIN(M$3-$O$2,$Q$2)/$Q$2))</f>
        <v>3417.8408259184</v>
      </c>
      <c r="N283" s="15" t="n">
        <f aca="false">M283*(1+IF(N$3&lt;=$O$2,$D283,$D283-($D283-$I$265)*MIN(N$3-$O$2,$Q$2)/$Q$2))</f>
        <v>3531.65492542148</v>
      </c>
      <c r="O283" s="15" t="n">
        <f aca="false">SUMPRODUCT(E283:N283,1/(1+$F$265)^$E$3:$N$3)*$E$2</f>
        <v>8801.22117207845</v>
      </c>
      <c r="P283" s="15" t="n">
        <f aca="false">N283*$E$2*(1+$I$265)/($F$265-$I$265)/(1+$F$265)^$N$3</f>
        <v>12210.3784935163</v>
      </c>
      <c r="Q283" s="15" t="n">
        <f aca="false">O283+P283</f>
        <v>21011.5996655947</v>
      </c>
      <c r="R283" s="15" t="n">
        <f aca="false">Q283-$G$2+$I$2</f>
        <v>15660.0396655947</v>
      </c>
      <c r="S283" s="42" t="n">
        <f aca="false">R283/$K$2</f>
        <v>725.001836370126</v>
      </c>
      <c r="T283" s="43" t="n">
        <f aca="false">S283-$M$2</f>
        <v>0.0018363701257158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0.0426101684570313</v>
      </c>
      <c r="C284" s="25" t="n">
        <f aca="false">IF(T283&gt;0,D283,C283)</f>
        <v>0.0426216125488281</v>
      </c>
      <c r="D284" s="41" t="n">
        <f aca="false">(B284+C284)/2</f>
        <v>0.0426158905029297</v>
      </c>
      <c r="E284" s="15" t="n">
        <f aca="false">$C$2*(1+IF(E$3&lt;=$O$2,$D284,$D284-($D284-$I$265)*MIN(E$3-$O$2,$Q$2)/$Q$2))</f>
        <v>2491.851978302</v>
      </c>
      <c r="F284" s="15" t="n">
        <f aca="false">E284*(1+IF(F$3&lt;=$O$2,$D284,$D284-($D284-$I$265)*MIN(F$3-$O$2,$Q$2)/$Q$2))</f>
        <v>2598.04446935883</v>
      </c>
      <c r="G284" s="15" t="n">
        <f aca="false">F284*(1+IF(G$3&lt;=$O$2,$D284,$D284-($D284-$I$265)*MIN(G$3-$O$2,$Q$2)/$Q$2))</f>
        <v>2708.76244798677</v>
      </c>
      <c r="H284" s="15" t="n">
        <f aca="false">G284*(1+IF(H$3&lt;=$O$2,$D284,$D284-($D284-$I$265)*MIN(H$3-$O$2,$Q$2)/$Q$2))</f>
        <v>2824.19877186862</v>
      </c>
      <c r="I284" s="15" t="n">
        <f aca="false">H284*(1+IF(I$3&lt;=$O$2,$D284,$D284-($D284-$I$265)*MIN(I$3-$O$2,$Q$2)/$Q$2))</f>
        <v>2944.55451748908</v>
      </c>
      <c r="J284" s="15" t="n">
        <f aca="false">I284*(1+IF(J$3&lt;=$O$2,$D284,$D284-($D284-$I$265)*MIN(J$3-$O$2,$Q$2)/$Q$2))</f>
        <v>3064.55310089334</v>
      </c>
      <c r="K284" s="15" t="n">
        <f aca="false">J284*(1+IF(K$3&lt;=$O$2,$D284,$D284-($D284-$I$265)*MIN(K$3-$O$2,$Q$2)/$Q$2))</f>
        <v>3183.73214383008</v>
      </c>
      <c r="L284" s="15" t="n">
        <f aca="false">K284*(1+IF(L$3&lt;=$O$2,$D284,$D284-($D284-$I$265)*MIN(L$3-$O$2,$Q$2)/$Q$2))</f>
        <v>3301.61414423666</v>
      </c>
      <c r="M284" s="15" t="n">
        <f aca="false">L284*(1+IF(M$3&lt;=$O$2,$D284,$D284-($D284-$I$265)*MIN(M$3-$O$2,$Q$2)/$Q$2))</f>
        <v>3417.70939040987</v>
      </c>
      <c r="N284" s="15" t="n">
        <f aca="false">M284*(1+IF(N$3&lt;=$O$2,$D284,$D284-($D284-$I$265)*MIN(N$3-$O$2,$Q$2)/$Q$2))</f>
        <v>3531.51911311051</v>
      </c>
      <c r="O284" s="15" t="n">
        <f aca="false">SUMPRODUCT(E284:N284,1/(1+$F$265)^$E$3:$N$3)*$E$2</f>
        <v>8801.00291187801</v>
      </c>
      <c r="P284" s="15" t="n">
        <f aca="false">N284*$E$2*(1+$I$265)/($F$265-$I$265)/(1+$F$265)^$N$3</f>
        <v>12209.9089346958</v>
      </c>
      <c r="Q284" s="15" t="n">
        <f aca="false">O284+P284</f>
        <v>21010.9118465738</v>
      </c>
      <c r="R284" s="15" t="n">
        <f aca="false">Q284-$G$2+$I$2</f>
        <v>15659.3518465738</v>
      </c>
      <c r="S284" s="42" t="n">
        <f aca="false">R284/$K$2</f>
        <v>724.969992896937</v>
      </c>
      <c r="T284" s="43" t="n">
        <f aca="false">S284-$M$2</f>
        <v>-0.0300071030629852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0.0426158905029297</v>
      </c>
      <c r="C285" s="25" t="n">
        <f aca="false">IF(T284&gt;0,D284,C284)</f>
        <v>0.0426216125488281</v>
      </c>
      <c r="D285" s="41" t="n">
        <f aca="false">(B285+C285)/2</f>
        <v>0.0426187515258789</v>
      </c>
      <c r="E285" s="15" t="n">
        <f aca="false">$C$2*(1+IF(E$3&lt;=$O$2,$D285,$D285-($D285-$I$265)*MIN(E$3-$O$2,$Q$2)/$Q$2))</f>
        <v>2491.85881614685</v>
      </c>
      <c r="F285" s="15" t="n">
        <f aca="false">E285*(1+IF(F$3&lt;=$O$2,$D285,$D285-($D285-$I$265)*MIN(F$3-$O$2,$Q$2)/$Q$2))</f>
        <v>2598.05872786978</v>
      </c>
      <c r="G285" s="15" t="n">
        <f aca="false">F285*(1+IF(G$3&lt;=$O$2,$D285,$D285-($D285-$I$265)*MIN(G$3-$O$2,$Q$2)/$Q$2))</f>
        <v>2708.78474724251</v>
      </c>
      <c r="H285" s="15" t="n">
        <f aca="false">G285*(1+IF(H$3&lt;=$O$2,$D285,$D285-($D285-$I$265)*MIN(H$3-$O$2,$Q$2)/$Q$2))</f>
        <v>2824.22977132233</v>
      </c>
      <c r="I285" s="15" t="n">
        <f aca="false">H285*(1+IF(I$3&lt;=$O$2,$D285,$D285-($D285-$I$265)*MIN(I$3-$O$2,$Q$2)/$Q$2))</f>
        <v>2944.5949181983</v>
      </c>
      <c r="J285" s="15" t="n">
        <f aca="false">I285*(1+IF(J$3&lt;=$O$2,$D285,$D285-($D285-$I$265)*MIN(J$3-$O$2,$Q$2)/$Q$2))</f>
        <v>3064.60188768395</v>
      </c>
      <c r="K285" s="15" t="n">
        <f aca="false">J285*(1+IF(K$3&lt;=$O$2,$D285,$D285-($D285-$I$265)*MIN(K$3-$O$2,$Q$2)/$Q$2))</f>
        <v>3183.78808865407</v>
      </c>
      <c r="L285" s="15" t="n">
        <f aca="false">K285*(1+IF(L$3&lt;=$O$2,$D285,$D285-($D285-$I$265)*MIN(L$3-$O$2,$Q$2)/$Q$2))</f>
        <v>3301.67580404993</v>
      </c>
      <c r="M285" s="15" t="n">
        <f aca="false">L285*(1+IF(M$3&lt;=$O$2,$D285,$D285-($D285-$I$265)*MIN(M$3-$O$2,$Q$2)/$Q$2))</f>
        <v>3417.77510761219</v>
      </c>
      <c r="N285" s="15" t="n">
        <f aca="false">M285*(1+IF(N$3&lt;=$O$2,$D285,$D285-($D285-$I$265)*MIN(N$3-$O$2,$Q$2)/$Q$2))</f>
        <v>3531.58701869567</v>
      </c>
      <c r="O285" s="15" t="n">
        <f aca="false">SUMPRODUCT(E285:N285,1/(1+$F$265)^$E$3:$N$3)*$E$2</f>
        <v>8801.11204129359</v>
      </c>
      <c r="P285" s="15" t="n">
        <f aca="false">N285*$E$2*(1+$I$265)/($F$265-$I$265)/(1+$F$265)^$N$3</f>
        <v>12210.1437121342</v>
      </c>
      <c r="Q285" s="15" t="n">
        <f aca="false">O285+P285</f>
        <v>21011.2557534278</v>
      </c>
      <c r="R285" s="15" t="n">
        <f aca="false">Q285-$G$2+$I$2</f>
        <v>15659.6957534278</v>
      </c>
      <c r="S285" s="42" t="n">
        <f aca="false">R285/$K$2</f>
        <v>724.985914510546</v>
      </c>
      <c r="T285" s="43" t="n">
        <f aca="false">S285-$M$2</f>
        <v>-0.0140854894542599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0.0426187515258789</v>
      </c>
      <c r="C286" s="25" t="n">
        <f aca="false">IF(T285&gt;0,D285,C285)</f>
        <v>0.0426216125488281</v>
      </c>
      <c r="D286" s="41" t="n">
        <f aca="false">(B286+C286)/2</f>
        <v>0.0426201820373535</v>
      </c>
      <c r="E286" s="15" t="n">
        <f aca="false">$C$2*(1+IF(E$3&lt;=$O$2,$D286,$D286-($D286-$I$265)*MIN(E$3-$O$2,$Q$2)/$Q$2))</f>
        <v>2491.86223506928</v>
      </c>
      <c r="F286" s="15" t="n">
        <f aca="false">E286*(1+IF(F$3&lt;=$O$2,$D286,$D286-($D286-$I$265)*MIN(F$3-$O$2,$Q$2)/$Q$2))</f>
        <v>2598.06585713993</v>
      </c>
      <c r="G286" s="15" t="n">
        <f aca="false">F286*(1+IF(G$3&lt;=$O$2,$D286,$D286-($D286-$I$265)*MIN(G$3-$O$2,$Q$2)/$Q$2))</f>
        <v>2708.79589691627</v>
      </c>
      <c r="H286" s="15" t="n">
        <f aca="false">G286*(1+IF(H$3&lt;=$O$2,$D286,$D286-($D286-$I$265)*MIN(H$3-$O$2,$Q$2)/$Q$2))</f>
        <v>2824.24527114488</v>
      </c>
      <c r="I286" s="15" t="n">
        <f aca="false">H286*(1+IF(I$3&lt;=$O$2,$D286,$D286-($D286-$I$265)*MIN(I$3-$O$2,$Q$2)/$Q$2))</f>
        <v>2944.61511871921</v>
      </c>
      <c r="J286" s="15" t="n">
        <f aca="false">I286*(1+IF(J$3&lt;=$O$2,$D286,$D286-($D286-$I$265)*MIN(J$3-$O$2,$Q$2)/$Q$2))</f>
        <v>3064.62628132168</v>
      </c>
      <c r="K286" s="15" t="n">
        <f aca="false">J286*(1+IF(K$3&lt;=$O$2,$D286,$D286-($D286-$I$265)*MIN(K$3-$O$2,$Q$2)/$Q$2))</f>
        <v>3183.81606138072</v>
      </c>
      <c r="L286" s="15" t="n">
        <f aca="false">K286*(1+IF(L$3&lt;=$O$2,$D286,$D286-($D286-$I$265)*MIN(L$3-$O$2,$Q$2)/$Q$2))</f>
        <v>3301.70663433091</v>
      </c>
      <c r="M286" s="15" t="n">
        <f aca="false">L286*(1+IF(M$3&lt;=$O$2,$D286,$D286-($D286-$I$265)*MIN(M$3-$O$2,$Q$2)/$Q$2))</f>
        <v>3417.80796662731</v>
      </c>
      <c r="N286" s="15" t="n">
        <f aca="false">M286*(1+IF(N$3&lt;=$O$2,$D286,$D286-($D286-$I$265)*MIN(N$3-$O$2,$Q$2)/$Q$2))</f>
        <v>3531.620971916</v>
      </c>
      <c r="O286" s="15" t="n">
        <f aca="false">SUMPRODUCT(E286:N286,1/(1+$F$265)^$E$3:$N$3)*$E$2</f>
        <v>8801.16660651486</v>
      </c>
      <c r="P286" s="15" t="n">
        <f aca="false">N286*$E$2*(1+$I$265)/($F$265-$I$265)/(1+$F$265)^$N$3</f>
        <v>12210.2611023323</v>
      </c>
      <c r="Q286" s="15" t="n">
        <f aca="false">O286+P286</f>
        <v>21011.4277088471</v>
      </c>
      <c r="R286" s="15" t="n">
        <f aca="false">Q286-$G$2+$I$2</f>
        <v>15659.8677088471</v>
      </c>
      <c r="S286" s="42" t="n">
        <f aca="false">R286/$K$2</f>
        <v>724.993875409589</v>
      </c>
      <c r="T286" s="43" t="n">
        <f aca="false">S286-$M$2</f>
        <v>-0.00612459041076363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0.0426201820373535</v>
      </c>
      <c r="C287" s="25" t="n">
        <f aca="false">IF(T286&gt;0,D286,C286)</f>
        <v>0.0426216125488281</v>
      </c>
      <c r="D287" s="41" t="n">
        <f aca="false">(B287+C287)/2</f>
        <v>0.0426208972930908</v>
      </c>
      <c r="E287" s="15" t="n">
        <f aca="false">$C$2*(1+IF(E$3&lt;=$O$2,$D287,$D287-($D287-$I$265)*MIN(E$3-$O$2,$Q$2)/$Q$2))</f>
        <v>2491.86394453049</v>
      </c>
      <c r="F287" s="15" t="n">
        <f aca="false">E287*(1+IF(F$3&lt;=$O$2,$D287,$D287-($D287-$I$265)*MIN(F$3-$O$2,$Q$2)/$Q$2))</f>
        <v>2598.06942177868</v>
      </c>
      <c r="G287" s="15" t="n">
        <f aca="false">F287*(1+IF(G$3&lt;=$O$2,$D287,$D287-($D287-$I$265)*MIN(G$3-$O$2,$Q$2)/$Q$2))</f>
        <v>2708.80147176463</v>
      </c>
      <c r="H287" s="15" t="n">
        <f aca="false">G287*(1+IF(H$3&lt;=$O$2,$D287,$D287-($D287-$I$265)*MIN(H$3-$O$2,$Q$2)/$Q$2))</f>
        <v>2824.25302108008</v>
      </c>
      <c r="I287" s="15" t="n">
        <f aca="false">H287*(1+IF(I$3&lt;=$O$2,$D287,$D287-($D287-$I$265)*MIN(I$3-$O$2,$Q$2)/$Q$2))</f>
        <v>2944.62521902124</v>
      </c>
      <c r="J287" s="15" t="n">
        <f aca="false">I287*(1+IF(J$3&lt;=$O$2,$D287,$D287-($D287-$I$265)*MIN(J$3-$O$2,$Q$2)/$Q$2))</f>
        <v>3064.63847820116</v>
      </c>
      <c r="K287" s="15" t="n">
        <f aca="false">J287*(1+IF(K$3&lt;=$O$2,$D287,$D287-($D287-$I$265)*MIN(K$3-$O$2,$Q$2)/$Q$2))</f>
        <v>3183.83004782272</v>
      </c>
      <c r="L287" s="15" t="n">
        <f aca="false">K287*(1+IF(L$3&lt;=$O$2,$D287,$D287-($D287-$I$265)*MIN(L$3-$O$2,$Q$2)/$Q$2))</f>
        <v>3301.72204956498</v>
      </c>
      <c r="M287" s="15" t="n">
        <f aca="false">L287*(1+IF(M$3&lt;=$O$2,$D287,$D287-($D287-$I$265)*MIN(M$3-$O$2,$Q$2)/$Q$2))</f>
        <v>3417.82439623836</v>
      </c>
      <c r="N287" s="15" t="n">
        <f aca="false">M287*(1+IF(N$3&lt;=$O$2,$D287,$D287-($D287-$I$265)*MIN(N$3-$O$2,$Q$2)/$Q$2))</f>
        <v>3531.63794863309</v>
      </c>
      <c r="O287" s="15" t="n">
        <f aca="false">SUMPRODUCT(E287:N287,1/(1+$F$265)^$E$3:$N$3)*$E$2</f>
        <v>8801.19388925386</v>
      </c>
      <c r="P287" s="15" t="n">
        <f aca="false">N287*$E$2*(1+$I$265)/($F$265-$I$265)/(1+$F$265)^$N$3</f>
        <v>12210.319797801</v>
      </c>
      <c r="Q287" s="15" t="n">
        <f aca="false">O287+P287</f>
        <v>21011.5136870549</v>
      </c>
      <c r="R287" s="15" t="n">
        <f aca="false">Q287-$G$2+$I$2</f>
        <v>15659.9536870549</v>
      </c>
      <c r="S287" s="42" t="n">
        <f aca="false">R287/$K$2</f>
        <v>724.997855882171</v>
      </c>
      <c r="T287" s="43" t="n">
        <f aca="false">S287-$M$2</f>
        <v>-0.00214411782894786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0.0426208972930908</v>
      </c>
      <c r="C288" s="25" t="n">
        <f aca="false">IF(T287&gt;0,D287,C287)</f>
        <v>0.0426216125488281</v>
      </c>
      <c r="D288" s="41" t="n">
        <f aca="false">(B288+C288)/2</f>
        <v>0.0426212549209595</v>
      </c>
      <c r="E288" s="15" t="n">
        <f aca="false">$C$2*(1+IF(E$3&lt;=$O$2,$D288,$D288-($D288-$I$265)*MIN(E$3-$O$2,$Q$2)/$Q$2))</f>
        <v>2491.86479926109</v>
      </c>
      <c r="F288" s="15" t="n">
        <f aca="false">E288*(1+IF(F$3&lt;=$O$2,$D288,$D288-($D288-$I$265)*MIN(F$3-$O$2,$Q$2)/$Q$2))</f>
        <v>2598.07120409897</v>
      </c>
      <c r="G288" s="15" t="n">
        <f aca="false">F288*(1+IF(G$3&lt;=$O$2,$D288,$D288-($D288-$I$265)*MIN(G$3-$O$2,$Q$2)/$Q$2))</f>
        <v>2708.80425919167</v>
      </c>
      <c r="H288" s="15" t="n">
        <f aca="false">G288*(1+IF(H$3&lt;=$O$2,$D288,$D288-($D288-$I$265)*MIN(H$3-$O$2,$Q$2)/$Q$2))</f>
        <v>2824.25689605366</v>
      </c>
      <c r="I288" s="15" t="n">
        <f aca="false">H288*(1+IF(I$3&lt;=$O$2,$D288,$D288-($D288-$I$265)*MIN(I$3-$O$2,$Q$2)/$Q$2))</f>
        <v>2944.63026918264</v>
      </c>
      <c r="J288" s="15" t="n">
        <f aca="false">I288*(1+IF(J$3&lt;=$O$2,$D288,$D288-($D288-$I$265)*MIN(J$3-$O$2,$Q$2)/$Q$2))</f>
        <v>3064.64457665604</v>
      </c>
      <c r="K288" s="15" t="n">
        <f aca="false">J288*(1+IF(K$3&lt;=$O$2,$D288,$D288-($D288-$I$265)*MIN(K$3-$O$2,$Q$2)/$Q$2))</f>
        <v>3183.83704106338</v>
      </c>
      <c r="L288" s="15" t="n">
        <f aca="false">K288*(1+IF(L$3&lt;=$O$2,$D288,$D288-($D288-$I$265)*MIN(L$3-$O$2,$Q$2)/$Q$2))</f>
        <v>3301.72975720541</v>
      </c>
      <c r="M288" s="15" t="n">
        <f aca="false">L288*(1+IF(M$3&lt;=$O$2,$D288,$D288-($D288-$I$265)*MIN(M$3-$O$2,$Q$2)/$Q$2))</f>
        <v>3417.83261106975</v>
      </c>
      <c r="N288" s="15" t="n">
        <f aca="false">M288*(1+IF(N$3&lt;=$O$2,$D288,$D288-($D288-$I$265)*MIN(N$3-$O$2,$Q$2)/$Q$2))</f>
        <v>3531.64643701838</v>
      </c>
      <c r="O288" s="15" t="n">
        <f aca="false">SUMPRODUCT(E288:N288,1/(1+$F$265)^$E$3:$N$3)*$E$2</f>
        <v>8801.20753065546</v>
      </c>
      <c r="P288" s="15" t="n">
        <f aca="false">N288*$E$2*(1+$I$265)/($F$265-$I$265)/(1+$F$265)^$N$3</f>
        <v>12210.3491456278</v>
      </c>
      <c r="Q288" s="15" t="n">
        <f aca="false">O288+P288</f>
        <v>21011.5566762833</v>
      </c>
      <c r="R288" s="15" t="n">
        <f aca="false">Q288-$G$2+$I$2</f>
        <v>15659.9966762833</v>
      </c>
      <c r="S288" s="42" t="n">
        <f aca="false">R288/$K$2</f>
        <v>724.999846124227</v>
      </c>
      <c r="T288" s="43" t="n">
        <f aca="false">S288-$M$2</f>
        <v>-0.000153875773321488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0.0426212549209595</v>
      </c>
      <c r="C289" s="25" t="n">
        <f aca="false">IF(T288&gt;0,D288,C288)</f>
        <v>0.0426216125488281</v>
      </c>
      <c r="D289" s="41" t="n">
        <f aca="false">(B289+C289)/2</f>
        <v>0.0426214337348938</v>
      </c>
      <c r="E289" s="15" t="n">
        <f aca="false">$C$2*(1+IF(E$3&lt;=$O$2,$D289,$D289-($D289-$I$265)*MIN(E$3-$O$2,$Q$2)/$Q$2))</f>
        <v>2491.8652266264</v>
      </c>
      <c r="F289" s="15" t="n">
        <f aca="false">E289*(1+IF(F$3&lt;=$O$2,$D289,$D289-($D289-$I$265)*MIN(F$3-$O$2,$Q$2)/$Q$2))</f>
        <v>2598.07209525934</v>
      </c>
      <c r="G289" s="15" t="n">
        <f aca="false">F289*(1+IF(G$3&lt;=$O$2,$D289,$D289-($D289-$I$265)*MIN(G$3-$O$2,$Q$2)/$Q$2))</f>
        <v>2708.80565290591</v>
      </c>
      <c r="H289" s="15" t="n">
        <f aca="false">G289*(1+IF(H$3&lt;=$O$2,$D289,$D289-($D289-$I$265)*MIN(H$3-$O$2,$Q$2)/$Q$2))</f>
        <v>2824.25883354195</v>
      </c>
      <c r="I289" s="15" t="n">
        <f aca="false">H289*(1+IF(I$3&lt;=$O$2,$D289,$D289-($D289-$I$265)*MIN(I$3-$O$2,$Q$2)/$Q$2))</f>
        <v>2944.63279426594</v>
      </c>
      <c r="J289" s="15" t="n">
        <f aca="false">I289*(1+IF(J$3&lt;=$O$2,$D289,$D289-($D289-$I$265)*MIN(J$3-$O$2,$Q$2)/$Q$2))</f>
        <v>3064.64762588728</v>
      </c>
      <c r="K289" s="15" t="n">
        <f aca="false">J289*(1+IF(K$3&lt;=$O$2,$D289,$D289-($D289-$I$265)*MIN(K$3-$O$2,$Q$2)/$Q$2))</f>
        <v>3183.84053768863</v>
      </c>
      <c r="L289" s="15" t="n">
        <f aca="false">K289*(1+IF(L$3&lt;=$O$2,$D289,$D289-($D289-$I$265)*MIN(L$3-$O$2,$Q$2)/$Q$2))</f>
        <v>3301.73361103147</v>
      </c>
      <c r="M289" s="15" t="n">
        <f aca="false">L289*(1+IF(M$3&lt;=$O$2,$D289,$D289-($D289-$I$265)*MIN(M$3-$O$2,$Q$2)/$Q$2))</f>
        <v>3417.83671849192</v>
      </c>
      <c r="N289" s="15" t="n">
        <f aca="false">M289*(1+IF(N$3&lt;=$O$2,$D289,$D289-($D289-$I$265)*MIN(N$3-$O$2,$Q$2)/$Q$2))</f>
        <v>3531.6506812177</v>
      </c>
      <c r="O289" s="15" t="n">
        <f aca="false">SUMPRODUCT(E289:N289,1/(1+$F$265)^$E$3:$N$3)*$E$2</f>
        <v>8801.21435136428</v>
      </c>
      <c r="P289" s="15" t="n">
        <f aca="false">N289*$E$2*(1+$I$265)/($F$265-$I$265)/(1+$F$265)^$N$3</f>
        <v>12210.3638195644</v>
      </c>
      <c r="Q289" s="15" t="n">
        <f aca="false">O289+P289</f>
        <v>21011.5781709286</v>
      </c>
      <c r="R289" s="15" t="n">
        <f aca="false">Q289-$G$2+$I$2</f>
        <v>15660.0181709286</v>
      </c>
      <c r="S289" s="42" t="n">
        <f aca="false">R289/$K$2</f>
        <v>725.000841246696</v>
      </c>
      <c r="T289" s="43" t="n">
        <f aca="false">S289-$M$2</f>
        <v>0.000841246695699738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0.0426212549209595</v>
      </c>
      <c r="C290" s="25" t="n">
        <f aca="false">IF(T289&gt;0,D289,C289)</f>
        <v>0.0426214337348938</v>
      </c>
      <c r="D290" s="41" t="n">
        <f aca="false">(B290+C290)/2</f>
        <v>0.0426213443279266</v>
      </c>
      <c r="E290" s="15" t="n">
        <f aca="false">$C$2*(1+IF(E$3&lt;=$O$2,$D290,$D290-($D290-$I$265)*MIN(E$3-$O$2,$Q$2)/$Q$2))</f>
        <v>2491.86501294374</v>
      </c>
      <c r="F290" s="15" t="n">
        <f aca="false">E290*(1+IF(F$3&lt;=$O$2,$D290,$D290-($D290-$I$265)*MIN(F$3-$O$2,$Q$2)/$Q$2))</f>
        <v>2598.07164967913</v>
      </c>
      <c r="G290" s="15" t="n">
        <f aca="false">F290*(1+IF(G$3&lt;=$O$2,$D290,$D290-($D290-$I$265)*MIN(G$3-$O$2,$Q$2)/$Q$2))</f>
        <v>2708.80495604873</v>
      </c>
      <c r="H290" s="15" t="n">
        <f aca="false">G290*(1+IF(H$3&lt;=$O$2,$D290,$D290-($D290-$I$265)*MIN(H$3-$O$2,$Q$2)/$Q$2))</f>
        <v>2824.25786479768</v>
      </c>
      <c r="I290" s="15" t="n">
        <f aca="false">H290*(1+IF(I$3&lt;=$O$2,$D290,$D290-($D290-$I$265)*MIN(I$3-$O$2,$Q$2)/$Q$2))</f>
        <v>2944.63153172408</v>
      </c>
      <c r="J290" s="15" t="n">
        <f aca="false">I290*(1+IF(J$3&lt;=$O$2,$D290,$D290-($D290-$I$265)*MIN(J$3-$O$2,$Q$2)/$Q$2))</f>
        <v>3064.64610127134</v>
      </c>
      <c r="K290" s="15" t="n">
        <f aca="false">J290*(1+IF(K$3&lt;=$O$2,$D290,$D290-($D290-$I$265)*MIN(K$3-$O$2,$Q$2)/$Q$2))</f>
        <v>3183.83878937559</v>
      </c>
      <c r="L290" s="15" t="n">
        <f aca="false">K290*(1+IF(L$3&lt;=$O$2,$D290,$D290-($D290-$I$265)*MIN(L$3-$O$2,$Q$2)/$Q$2))</f>
        <v>3301.73168411795</v>
      </c>
      <c r="M290" s="15" t="n">
        <f aca="false">L290*(1+IF(M$3&lt;=$O$2,$D290,$D290-($D290-$I$265)*MIN(M$3-$O$2,$Q$2)/$Q$2))</f>
        <v>3417.8346647803</v>
      </c>
      <c r="N290" s="15" t="n">
        <f aca="false">M290*(1+IF(N$3&lt;=$O$2,$D290,$D290-($D290-$I$265)*MIN(N$3-$O$2,$Q$2)/$Q$2))</f>
        <v>3531.64855911748</v>
      </c>
      <c r="O290" s="15" t="n">
        <f aca="false">SUMPRODUCT(E290:N290,1/(1+$F$265)^$E$3:$N$3)*$E$2</f>
        <v>8801.2109410092</v>
      </c>
      <c r="P290" s="15" t="n">
        <f aca="false">N290*$E$2*(1+$I$265)/($F$265-$I$265)/(1+$F$265)^$N$3</f>
        <v>12210.3564825942</v>
      </c>
      <c r="Q290" s="15" t="n">
        <f aca="false">O290+P290</f>
        <v>21011.5674236034</v>
      </c>
      <c r="R290" s="15" t="n">
        <f aca="false">Q290-$G$2+$I$2</f>
        <v>15660.0074236034</v>
      </c>
      <c r="S290" s="42" t="n">
        <f aca="false">R290/$K$2</f>
        <v>725.000343685341</v>
      </c>
      <c r="T290" s="43" t="n">
        <f aca="false">S290-$M$2</f>
        <v>0.000343685341363198</v>
      </c>
    </row>
    <row r="292" customFormat="false" ht="15" hidden="false" customHeight="false" outlineLevel="0" collapsed="false">
      <c r="A292" s="38" t="s">
        <v>191</v>
      </c>
      <c r="E292" s="5" t="s">
        <v>11</v>
      </c>
      <c r="F292" s="12" t="n">
        <f aca="false">Sensitivity!$B$11</f>
        <v>0.0919721785729318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162</v>
      </c>
      <c r="B293" s="28" t="s">
        <v>163</v>
      </c>
      <c r="C293" s="28" t="s">
        <v>164</v>
      </c>
      <c r="D293" s="28" t="s">
        <v>165</v>
      </c>
      <c r="E293" s="28" t="s">
        <v>166</v>
      </c>
      <c r="F293" s="28" t="s">
        <v>167</v>
      </c>
      <c r="G293" s="28" t="s">
        <v>168</v>
      </c>
      <c r="H293" s="28" t="s">
        <v>169</v>
      </c>
      <c r="I293" s="28" t="s">
        <v>170</v>
      </c>
      <c r="J293" s="28" t="s">
        <v>171</v>
      </c>
      <c r="K293" s="28" t="s">
        <v>172</v>
      </c>
      <c r="L293" s="28" t="s">
        <v>173</v>
      </c>
      <c r="M293" s="28" t="s">
        <v>174</v>
      </c>
      <c r="N293" s="28" t="s">
        <v>175</v>
      </c>
      <c r="O293" s="28" t="s">
        <v>176</v>
      </c>
      <c r="P293" s="28" t="s">
        <v>177</v>
      </c>
      <c r="Q293" s="28" t="s">
        <v>178</v>
      </c>
      <c r="R293" s="28" t="s">
        <v>179</v>
      </c>
      <c r="S293" s="28" t="s">
        <v>180</v>
      </c>
      <c r="T293" s="28" t="s">
        <v>181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2987.5</v>
      </c>
      <c r="F294" s="15" t="n">
        <f aca="false">E294*(1+IF(F$3&lt;=$O$2,$D294,$D294-($D294-$I$292)*MIN(F$3-$O$2,$Q$2)/$Q$2))</f>
        <v>3734.375</v>
      </c>
      <c r="G294" s="15" t="n">
        <f aca="false">F294*(1+IF(G$3&lt;=$O$2,$D294,$D294-($D294-$I$292)*MIN(G$3-$O$2,$Q$2)/$Q$2))</f>
        <v>4667.96875</v>
      </c>
      <c r="H294" s="15" t="n">
        <f aca="false">G294*(1+IF(H$3&lt;=$O$2,$D294,$D294-($D294-$I$292)*MIN(H$3-$O$2,$Q$2)/$Q$2))</f>
        <v>5834.9609375</v>
      </c>
      <c r="I294" s="15" t="n">
        <f aca="false">H294*(1+IF(I$3&lt;=$O$2,$D294,$D294-($D294-$I$292)*MIN(I$3-$O$2,$Q$2)/$Q$2))</f>
        <v>7293.701171875</v>
      </c>
      <c r="J294" s="15" t="n">
        <f aca="false">I294*(1+IF(J$3&lt;=$O$2,$D294,$D294-($D294-$I$292)*MIN(J$3-$O$2,$Q$2)/$Q$2))</f>
        <v>8808.31115722656</v>
      </c>
      <c r="K294" s="15" t="n">
        <f aca="false">J294*(1+IF(K$3&lt;=$O$2,$D294,$D294-($D294-$I$292)*MIN(K$3-$O$2,$Q$2)/$Q$2))</f>
        <v>10264.5011577393</v>
      </c>
      <c r="L294" s="15" t="n">
        <f aca="false">K294*(1+IF(L$3&lt;=$O$2,$D294,$D294-($D294-$I$292)*MIN(L$3-$O$2,$Q$2)/$Q$2))</f>
        <v>11526.829510118</v>
      </c>
      <c r="M294" s="15" t="n">
        <f aca="false">L294*(1+IF(M$3&lt;=$O$2,$D294,$D294-($D294-$I$292)*MIN(M$3-$O$2,$Q$2)/$Q$2))</f>
        <v>12456.353041814</v>
      </c>
      <c r="N294" s="15" t="n">
        <f aca="false">M294*(1+IF(N$3&lt;=$O$2,$D294,$D294-($D294-$I$292)*MIN(N$3-$O$2,$Q$2)/$Q$2))</f>
        <v>12933.4313633154</v>
      </c>
      <c r="O294" s="15" t="n">
        <f aca="false">SUMPRODUCT(E294:N294,1/(1+$F$292)^$E$3:$N$3)*$E$2</f>
        <v>21628.5637923404</v>
      </c>
      <c r="P294" s="15" t="n">
        <f aca="false">N294*$E$2*(1+$I$292)/($F$292-$I$292)/(1+$F$292)^$N$3</f>
        <v>49118.3807938522</v>
      </c>
      <c r="Q294" s="15" t="n">
        <f aca="false">O294+P294</f>
        <v>70746.9445861926</v>
      </c>
      <c r="R294" s="15" t="n">
        <f aca="false">Q294-$G$2+$I$2</f>
        <v>65395.3845861926</v>
      </c>
      <c r="S294" s="42" t="n">
        <f aca="false">R294/$K$2</f>
        <v>3027.56410121262</v>
      </c>
      <c r="T294" s="43" t="n">
        <f aca="false">S294-$M$2</f>
        <v>2302.56410121262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2091.25</v>
      </c>
      <c r="F295" s="15" t="n">
        <f aca="false">E295*(1+IF(F$3&lt;=$O$2,$D295,$D295-($D295-$I$292)*MIN(F$3-$O$2,$Q$2)/$Q$2))</f>
        <v>1829.84375</v>
      </c>
      <c r="G295" s="15" t="n">
        <f aca="false">F295*(1+IF(G$3&lt;=$O$2,$D295,$D295-($D295-$I$292)*MIN(G$3-$O$2,$Q$2)/$Q$2))</f>
        <v>1601.11328125</v>
      </c>
      <c r="H295" s="15" t="n">
        <f aca="false">G295*(1+IF(H$3&lt;=$O$2,$D295,$D295-($D295-$I$292)*MIN(H$3-$O$2,$Q$2)/$Q$2))</f>
        <v>1400.97412109375</v>
      </c>
      <c r="I295" s="15" t="n">
        <f aca="false">H295*(1+IF(I$3&lt;=$O$2,$D295,$D295-($D295-$I$292)*MIN(I$3-$O$2,$Q$2)/$Q$2))</f>
        <v>1225.85235595703</v>
      </c>
      <c r="J295" s="15" t="n">
        <f aca="false">I295*(1+IF(J$3&lt;=$O$2,$D295,$D295-($D295-$I$292)*MIN(J$3-$O$2,$Q$2)/$Q$2))</f>
        <v>1112.65714940796</v>
      </c>
      <c r="K295" s="15" t="n">
        <f aca="false">J295*(1+IF(K$3&lt;=$O$2,$D295,$D295-($D295-$I$292)*MIN(K$3-$O$2,$Q$2)/$Q$2))</f>
        <v>1046.25377073129</v>
      </c>
      <c r="L295" s="15" t="n">
        <f aca="false">K295*(1+IF(L$3&lt;=$O$2,$D295,$D295-($D295-$I$292)*MIN(L$3-$O$2,$Q$2)/$Q$2))</f>
        <v>1017.98399384613</v>
      </c>
      <c r="M295" s="15" t="n">
        <f aca="false">L295*(1+IF(M$3&lt;=$O$2,$D295,$D295-($D295-$I$292)*MIN(M$3-$O$2,$Q$2)/$Q$2))</f>
        <v>1023.72542357142</v>
      </c>
      <c r="N295" s="15" t="n">
        <f aca="false">M295*(1+IF(N$3&lt;=$O$2,$D295,$D295-($D295-$I$292)*MIN(N$3-$O$2,$Q$2)/$Q$2))</f>
        <v>1062.93410729421</v>
      </c>
      <c r="O295" s="15" t="n">
        <f aca="false">SUMPRODUCT(E295:N295,1/(1+$F$292)^$E$3:$N$3)*$E$2</f>
        <v>4298.78803305627</v>
      </c>
      <c r="P295" s="15" t="n">
        <f aca="false">N295*$E$2*(1+$I$292)/($F$292-$I$292)/(1+$F$292)^$N$3</f>
        <v>4036.7943180909</v>
      </c>
      <c r="Q295" s="15" t="n">
        <f aca="false">O295+P295</f>
        <v>8335.58235114717</v>
      </c>
      <c r="R295" s="15" t="n">
        <f aca="false">Q295-$G$2+$I$2</f>
        <v>2984.02235114717</v>
      </c>
      <c r="S295" s="42" t="n">
        <f aca="false">R295/$K$2</f>
        <v>138.14918292348</v>
      </c>
      <c r="T295" s="43" t="n">
        <f aca="false">S295-$M$2</f>
        <v>-586.85081707652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2539.375</v>
      </c>
      <c r="F296" s="15" t="n">
        <f aca="false">E296*(1+IF(F$3&lt;=$O$2,$D296,$D296-($D296-$I$292)*MIN(F$3-$O$2,$Q$2)/$Q$2))</f>
        <v>2698.0859375</v>
      </c>
      <c r="G296" s="15" t="n">
        <f aca="false">F296*(1+IF(G$3&lt;=$O$2,$D296,$D296-($D296-$I$292)*MIN(G$3-$O$2,$Q$2)/$Q$2))</f>
        <v>2866.71630859375</v>
      </c>
      <c r="H296" s="15" t="n">
        <f aca="false">G296*(1+IF(H$3&lt;=$O$2,$D296,$D296-($D296-$I$292)*MIN(H$3-$O$2,$Q$2)/$Q$2))</f>
        <v>3045.88607788086</v>
      </c>
      <c r="I296" s="15" t="n">
        <f aca="false">H296*(1+IF(I$3&lt;=$O$2,$D296,$D296-($D296-$I$292)*MIN(I$3-$O$2,$Q$2)/$Q$2))</f>
        <v>3236.25395774841</v>
      </c>
      <c r="J296" s="15" t="n">
        <f aca="false">I296*(1+IF(J$3&lt;=$O$2,$D296,$D296-($D296-$I$292)*MIN(J$3-$O$2,$Q$2)/$Q$2))</f>
        <v>3422.85636095219</v>
      </c>
      <c r="K296" s="15" t="n">
        <f aca="false">J296*(1+IF(K$3&lt;=$O$2,$D296,$D296-($D296-$I$292)*MIN(K$3-$O$2,$Q$2)/$Q$2))</f>
        <v>3603.65163393768</v>
      </c>
      <c r="L296" s="15" t="n">
        <f aca="false">K296*(1+IF(L$3&lt;=$O$2,$D296,$D296-($D296-$I$292)*MIN(L$3-$O$2,$Q$2)/$Q$2))</f>
        <v>3776.55483933401</v>
      </c>
      <c r="M296" s="15" t="n">
        <f aca="false">L296*(1+IF(M$3&lt;=$O$2,$D296,$D296-($D296-$I$292)*MIN(M$3-$O$2,$Q$2)/$Q$2))</f>
        <v>3939.47541510288</v>
      </c>
      <c r="N296" s="15" t="n">
        <f aca="false">M296*(1+IF(N$3&lt;=$O$2,$D296,$D296-($D296-$I$292)*MIN(N$3-$O$2,$Q$2)/$Q$2))</f>
        <v>4090.35732350132</v>
      </c>
      <c r="O296" s="15" t="n">
        <f aca="false">SUMPRODUCT(E296:N296,1/(1+$F$292)^$E$3:$N$3)*$E$2</f>
        <v>9621.49431073975</v>
      </c>
      <c r="P296" s="15" t="n">
        <f aca="false">N296*$E$2*(1+$I$292)/($F$292-$I$292)/(1+$F$292)^$N$3</f>
        <v>15534.2942607272</v>
      </c>
      <c r="Q296" s="15" t="n">
        <f aca="false">O296+P296</f>
        <v>25155.7885714669</v>
      </c>
      <c r="R296" s="15" t="n">
        <f aca="false">Q296-$G$2+$I$2</f>
        <v>19804.2285714669</v>
      </c>
      <c r="S296" s="42" t="n">
        <f aca="false">R296/$K$2</f>
        <v>916.86243386421</v>
      </c>
      <c r="T296" s="43" t="n">
        <f aca="false">S296-$M$2</f>
        <v>191.86243386421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2315.3125</v>
      </c>
      <c r="F297" s="15" t="n">
        <f aca="false">E297*(1+IF(F$3&lt;=$O$2,$D297,$D297-($D297-$I$292)*MIN(F$3-$O$2,$Q$2)/$Q$2))</f>
        <v>2242.958984375</v>
      </c>
      <c r="G297" s="15" t="n">
        <f aca="false">F297*(1+IF(G$3&lt;=$O$2,$D297,$D297-($D297-$I$292)*MIN(G$3-$O$2,$Q$2)/$Q$2))</f>
        <v>2172.86651611328</v>
      </c>
      <c r="H297" s="15" t="n">
        <f aca="false">G297*(1+IF(H$3&lt;=$O$2,$D297,$D297-($D297-$I$292)*MIN(H$3-$O$2,$Q$2)/$Q$2))</f>
        <v>2104.96443748474</v>
      </c>
      <c r="I297" s="15" t="n">
        <f aca="false">H297*(1+IF(I$3&lt;=$O$2,$D297,$D297-($D297-$I$292)*MIN(I$3-$O$2,$Q$2)/$Q$2))</f>
        <v>2039.18429881334</v>
      </c>
      <c r="J297" s="15" t="n">
        <f aca="false">I297*(1+IF(J$3&lt;=$O$2,$D297,$D297-($D297-$I$292)*MIN(J$3-$O$2,$Q$2)/$Q$2))</f>
        <v>2003.82484307192</v>
      </c>
      <c r="K297" s="15" t="n">
        <f aca="false">J297*(1+IF(K$3&lt;=$O$2,$D297,$D297-($D297-$I$292)*MIN(K$3-$O$2,$Q$2)/$Q$2))</f>
        <v>1996.95172386018</v>
      </c>
      <c r="L297" s="15" t="n">
        <f aca="false">K297*(1+IF(L$3&lt;=$O$2,$D297,$D297-($D297-$I$292)*MIN(L$3-$O$2,$Q$2)/$Q$2))</f>
        <v>2017.87977792624</v>
      </c>
      <c r="M297" s="15" t="n">
        <f aca="false">L297*(1+IF(M$3&lt;=$O$2,$D297,$D297-($D297-$I$292)*MIN(M$3-$O$2,$Q$2)/$Q$2))</f>
        <v>2067.09586570986</v>
      </c>
      <c r="N297" s="15" t="n">
        <f aca="false">M297*(1+IF(N$3&lt;=$O$2,$D297,$D297-($D297-$I$292)*MIN(N$3-$O$2,$Q$2)/$Q$2))</f>
        <v>2146.26563736655</v>
      </c>
      <c r="O297" s="15" t="n">
        <f aca="false">SUMPRODUCT(E297:N297,1/(1+$F$292)^$E$3:$N$3)*$E$2</f>
        <v>6412.03286783087</v>
      </c>
      <c r="P297" s="15" t="n">
        <f aca="false">N297*$E$2*(1+$I$292)/($F$292-$I$292)/(1+$F$292)^$N$3</f>
        <v>8151.05364535724</v>
      </c>
      <c r="Q297" s="15" t="n">
        <f aca="false">O297+P297</f>
        <v>14563.0865131881</v>
      </c>
      <c r="R297" s="15" t="n">
        <f aca="false">Q297-$G$2+$I$2</f>
        <v>9211.52651318811</v>
      </c>
      <c r="S297" s="42" t="n">
        <f aca="false">R297/$K$2</f>
        <v>426.459560795746</v>
      </c>
      <c r="T297" s="43" t="n">
        <f aca="false">S297-$M$2</f>
        <v>-298.540439204254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-0.03125</v>
      </c>
      <c r="C298" s="25" t="n">
        <f aca="false">IF(T297&gt;0,D297,C297)</f>
        <v>0.0625</v>
      </c>
      <c r="D298" s="41" t="n">
        <f aca="false">(B298+C298)/2</f>
        <v>0.015625</v>
      </c>
      <c r="E298" s="15" t="n">
        <f aca="false">$C$2*(1+IF(E$3&lt;=$O$2,$D298,$D298-($D298-$I$292)*MIN(E$3-$O$2,$Q$2)/$Q$2))</f>
        <v>2427.34375</v>
      </c>
      <c r="F298" s="15" t="n">
        <f aca="false">E298*(1+IF(F$3&lt;=$O$2,$D298,$D298-($D298-$I$292)*MIN(F$3-$O$2,$Q$2)/$Q$2))</f>
        <v>2465.27099609375</v>
      </c>
      <c r="G298" s="15" t="n">
        <f aca="false">F298*(1+IF(G$3&lt;=$O$2,$D298,$D298-($D298-$I$292)*MIN(G$3-$O$2,$Q$2)/$Q$2))</f>
        <v>2503.79085540772</v>
      </c>
      <c r="H298" s="15" t="n">
        <f aca="false">G298*(1+IF(H$3&lt;=$O$2,$D298,$D298-($D298-$I$292)*MIN(H$3-$O$2,$Q$2)/$Q$2))</f>
        <v>2542.91258752346</v>
      </c>
      <c r="I298" s="15" t="n">
        <f aca="false">H298*(1+IF(I$3&lt;=$O$2,$D298,$D298-($D298-$I$292)*MIN(I$3-$O$2,$Q$2)/$Q$2))</f>
        <v>2582.64559670351</v>
      </c>
      <c r="J298" s="15" t="n">
        <f aca="false">I298*(1+IF(J$3&lt;=$O$2,$D298,$D298-($D298-$I$292)*MIN(J$3-$O$2,$Q$2)/$Q$2))</f>
        <v>2634.71173193306</v>
      </c>
      <c r="K298" s="15" t="n">
        <f aca="false">J298*(1+IF(K$3&lt;=$O$2,$D298,$D298-($D298-$I$292)*MIN(K$3-$O$2,$Q$2)/$Q$2))</f>
        <v>2699.77593815314</v>
      </c>
      <c r="L298" s="15" t="n">
        <f aca="false">K298*(1+IF(L$3&lt;=$O$2,$D298,$D298-($D298-$I$292)*MIN(L$3-$O$2,$Q$2)/$Q$2))</f>
        <v>2778.69038882536</v>
      </c>
      <c r="M298" s="15" t="n">
        <f aca="false">L298*(1+IF(M$3&lt;=$O$2,$D298,$D298-($D298-$I$292)*MIN(M$3-$O$2,$Q$2)/$Q$2))</f>
        <v>2872.51286980405</v>
      </c>
      <c r="N298" s="15" t="n">
        <f aca="false">M298*(1+IF(N$3&lt;=$O$2,$D298,$D298-($D298-$I$292)*MIN(N$3-$O$2,$Q$2)/$Q$2))</f>
        <v>2982.53011271754</v>
      </c>
      <c r="O298" s="15" t="n">
        <f aca="false">SUMPRODUCT(E298:N298,1/(1+$F$292)^$E$3:$N$3)*$E$2</f>
        <v>7851.17685364236</v>
      </c>
      <c r="P298" s="15" t="n">
        <f aca="false">N298*$E$2*(1+$I$292)/($F$292-$I$292)/(1+$F$292)^$N$3</f>
        <v>11327.0056252139</v>
      </c>
      <c r="Q298" s="15" t="n">
        <f aca="false">O298+P298</f>
        <v>19178.1824788562</v>
      </c>
      <c r="R298" s="15" t="n">
        <f aca="false">Q298-$G$2+$I$2</f>
        <v>13826.6224788562</v>
      </c>
      <c r="S298" s="42" t="n">
        <f aca="false">R298/$K$2</f>
        <v>640.121411058158</v>
      </c>
      <c r="T298" s="43" t="n">
        <f aca="false">S298-$M$2</f>
        <v>-84.8785889418417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0.015625</v>
      </c>
      <c r="C299" s="25" t="n">
        <f aca="false">IF(T298&gt;0,D298,C298)</f>
        <v>0.0625</v>
      </c>
      <c r="D299" s="41" t="n">
        <f aca="false">(B299+C299)/2</f>
        <v>0.0390625</v>
      </c>
      <c r="E299" s="15" t="n">
        <f aca="false">$C$2*(1+IF(E$3&lt;=$O$2,$D299,$D299-($D299-$I$292)*MIN(E$3-$O$2,$Q$2)/$Q$2))</f>
        <v>2483.359375</v>
      </c>
      <c r="F299" s="15" t="n">
        <f aca="false">E299*(1+IF(F$3&lt;=$O$2,$D299,$D299-($D299-$I$292)*MIN(F$3-$O$2,$Q$2)/$Q$2))</f>
        <v>2580.36560058594</v>
      </c>
      <c r="G299" s="15" t="n">
        <f aca="false">F299*(1+IF(G$3&lt;=$O$2,$D299,$D299-($D299-$I$292)*MIN(G$3-$O$2,$Q$2)/$Q$2))</f>
        <v>2681.16113185883</v>
      </c>
      <c r="H299" s="15" t="n">
        <f aca="false">G299*(1+IF(H$3&lt;=$O$2,$D299,$D299-($D299-$I$292)*MIN(H$3-$O$2,$Q$2)/$Q$2))</f>
        <v>2785.89398857206</v>
      </c>
      <c r="I299" s="15" t="n">
        <f aca="false">H299*(1+IF(I$3&lt;=$O$2,$D299,$D299-($D299-$I$292)*MIN(I$3-$O$2,$Q$2)/$Q$2))</f>
        <v>2894.71797250066</v>
      </c>
      <c r="J299" s="15" t="n">
        <f aca="false">I299*(1+IF(J$3&lt;=$O$2,$D299,$D299-($D299-$I$292)*MIN(J$3-$O$2,$Q$2)/$Q$2))</f>
        <v>3007.35144881066</v>
      </c>
      <c r="K299" s="15" t="n">
        <f aca="false">J299*(1+IF(K$3&lt;=$O$2,$D299,$D299-($D299-$I$292)*MIN(K$3-$O$2,$Q$2)/$Q$2))</f>
        <v>3123.90887258794</v>
      </c>
      <c r="L299" s="15" t="n">
        <f aca="false">K299*(1+IF(L$3&lt;=$O$2,$D299,$D299-($D299-$I$292)*MIN(L$3-$O$2,$Q$2)/$Q$2))</f>
        <v>3244.50737461419</v>
      </c>
      <c r="M299" s="15" t="n">
        <f aca="false">L299*(1+IF(M$3&lt;=$O$2,$D299,$D299-($D299-$I$292)*MIN(M$3-$O$2,$Q$2)/$Q$2))</f>
        <v>3369.26679443655</v>
      </c>
      <c r="N299" s="15" t="n">
        <f aca="false">M299*(1+IF(N$3&lt;=$O$2,$D299,$D299-($D299-$I$292)*MIN(N$3-$O$2,$Q$2)/$Q$2))</f>
        <v>3498.30971266347</v>
      </c>
      <c r="O299" s="15" t="n">
        <f aca="false">SUMPRODUCT(E299:N299,1/(1+$F$292)^$E$3:$N$3)*$E$2</f>
        <v>8690.80465144202</v>
      </c>
      <c r="P299" s="15" t="n">
        <f aca="false">N299*$E$2*(1+$I$292)/($F$292-$I$292)/(1+$F$292)^$N$3</f>
        <v>13285.8252210485</v>
      </c>
      <c r="Q299" s="15" t="n">
        <f aca="false">O299+P299</f>
        <v>21976.6298724905</v>
      </c>
      <c r="R299" s="15" t="n">
        <f aca="false">Q299-$G$2+$I$2</f>
        <v>16625.0698724905</v>
      </c>
      <c r="S299" s="42" t="n">
        <f aca="false">R299/$K$2</f>
        <v>769.67916076345</v>
      </c>
      <c r="T299" s="43" t="n">
        <f aca="false">S299-$M$2</f>
        <v>44.6791607634501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0.015625</v>
      </c>
      <c r="C300" s="25" t="n">
        <f aca="false">IF(T299&gt;0,D299,C299)</f>
        <v>0.0390625</v>
      </c>
      <c r="D300" s="41" t="n">
        <f aca="false">(B300+C300)/2</f>
        <v>0.02734375</v>
      </c>
      <c r="E300" s="15" t="n">
        <f aca="false">$C$2*(1+IF(E$3&lt;=$O$2,$D300,$D300-($D300-$I$292)*MIN(E$3-$O$2,$Q$2)/$Q$2))</f>
        <v>2455.3515625</v>
      </c>
      <c r="F300" s="15" t="n">
        <f aca="false">E300*(1+IF(F$3&lt;=$O$2,$D300,$D300-($D300-$I$292)*MIN(F$3-$O$2,$Q$2)/$Q$2))</f>
        <v>2522.49008178711</v>
      </c>
      <c r="G300" s="15" t="n">
        <f aca="false">F300*(1+IF(G$3&lt;=$O$2,$D300,$D300-($D300-$I$292)*MIN(G$3-$O$2,$Q$2)/$Q$2))</f>
        <v>2591.46441996098</v>
      </c>
      <c r="H300" s="15" t="n">
        <f aca="false">G300*(1+IF(H$3&lt;=$O$2,$D300,$D300-($D300-$I$292)*MIN(H$3-$O$2,$Q$2)/$Q$2))</f>
        <v>2662.32477519428</v>
      </c>
      <c r="I300" s="15" t="n">
        <f aca="false">H300*(1+IF(I$3&lt;=$O$2,$D300,$D300-($D300-$I$292)*MIN(I$3-$O$2,$Q$2)/$Q$2))</f>
        <v>2735.122718266</v>
      </c>
      <c r="J300" s="15" t="n">
        <f aca="false">I300*(1+IF(J$3&lt;=$O$2,$D300,$D300-($D300-$I$292)*MIN(J$3-$O$2,$Q$2)/$Q$2))</f>
        <v>2815.90456774999</v>
      </c>
      <c r="K300" s="15" t="n">
        <f aca="false">J300*(1+IF(K$3&lt;=$O$2,$D300,$D300-($D300-$I$292)*MIN(K$3-$O$2,$Q$2)/$Q$2))</f>
        <v>2905.24266004257</v>
      </c>
      <c r="L300" s="15" t="n">
        <f aca="false">K300*(1+IF(L$3&lt;=$O$2,$D300,$D300-($D300-$I$292)*MIN(L$3-$O$2,$Q$2)/$Q$2))</f>
        <v>3003.78122796456</v>
      </c>
      <c r="M300" s="15" t="n">
        <f aca="false">L300*(1+IF(M$3&lt;=$O$2,$D300,$D300-($D300-$I$292)*MIN(M$3-$O$2,$Q$2)/$Q$2))</f>
        <v>3112.24401337983</v>
      </c>
      <c r="N300" s="15" t="n">
        <f aca="false">M300*(1+IF(N$3&lt;=$O$2,$D300,$D300-($D300-$I$292)*MIN(N$3-$O$2,$Q$2)/$Q$2))</f>
        <v>3231.44295909227</v>
      </c>
      <c r="O300" s="15" t="n">
        <f aca="false">SUMPRODUCT(E300:N300,1/(1+$F$292)^$E$3:$N$3)*$E$2</f>
        <v>8260.15236812991</v>
      </c>
      <c r="P300" s="15" t="n">
        <f aca="false">N300*$E$2*(1+$I$292)/($F$292-$I$292)/(1+$F$292)^$N$3</f>
        <v>12272.3228909315</v>
      </c>
      <c r="Q300" s="15" t="n">
        <f aca="false">O300+P300</f>
        <v>20532.4752590614</v>
      </c>
      <c r="R300" s="15" t="n">
        <f aca="false">Q300-$G$2+$I$2</f>
        <v>15180.9152590614</v>
      </c>
      <c r="S300" s="42" t="n">
        <f aca="false">R300/$K$2</f>
        <v>702.820150882471</v>
      </c>
      <c r="T300" s="43" t="n">
        <f aca="false">S300-$M$2</f>
        <v>-22.1798491175291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0.02734375</v>
      </c>
      <c r="C301" s="25" t="n">
        <f aca="false">IF(T300&gt;0,D300,C300)</f>
        <v>0.0390625</v>
      </c>
      <c r="D301" s="41" t="n">
        <f aca="false">(B301+C301)/2</f>
        <v>0.033203125</v>
      </c>
      <c r="E301" s="15" t="n">
        <f aca="false">$C$2*(1+IF(E$3&lt;=$O$2,$D301,$D301-($D301-$I$292)*MIN(E$3-$O$2,$Q$2)/$Q$2))</f>
        <v>2469.35546875</v>
      </c>
      <c r="F301" s="15" t="n">
        <f aca="false">E301*(1+IF(F$3&lt;=$O$2,$D301,$D301-($D301-$I$292)*MIN(F$3-$O$2,$Q$2)/$Q$2))</f>
        <v>2551.34578704834</v>
      </c>
      <c r="G301" s="15" t="n">
        <f aca="false">F301*(1+IF(G$3&lt;=$O$2,$D301,$D301-($D301-$I$292)*MIN(G$3-$O$2,$Q$2)/$Q$2))</f>
        <v>2636.05844013393</v>
      </c>
      <c r="H301" s="15" t="n">
        <f aca="false">G301*(1+IF(H$3&lt;=$O$2,$D301,$D301-($D301-$I$292)*MIN(H$3-$O$2,$Q$2)/$Q$2))</f>
        <v>2723.583818029</v>
      </c>
      <c r="I301" s="15" t="n">
        <f aca="false">H301*(1+IF(I$3&lt;=$O$2,$D301,$D301-($D301-$I$292)*MIN(I$3-$O$2,$Q$2)/$Q$2))</f>
        <v>2814.015311987</v>
      </c>
      <c r="J301" s="15" t="n">
        <f aca="false">I301*(1+IF(J$3&lt;=$O$2,$D301,$D301-($D301-$I$292)*MIN(J$3-$O$2,$Q$2)/$Q$2))</f>
        <v>2910.31795100147</v>
      </c>
      <c r="K301" s="15" t="n">
        <f aca="false">J301*(1+IF(K$3&lt;=$O$2,$D301,$D301-($D301-$I$292)*MIN(K$3-$O$2,$Q$2)/$Q$2))</f>
        <v>3012.88301244092</v>
      </c>
      <c r="L301" s="15" t="n">
        <f aca="false">K301*(1+IF(L$3&lt;=$O$2,$D301,$D301-($D301-$I$292)*MIN(L$3-$O$2,$Q$2)/$Q$2))</f>
        <v>3122.13391657579</v>
      </c>
      <c r="M301" s="15" t="n">
        <f aca="false">L301*(1+IF(M$3&lt;=$O$2,$D301,$D301-($D301-$I$292)*MIN(M$3-$O$2,$Q$2)/$Q$2))</f>
        <v>3238.52902031944</v>
      </c>
      <c r="N301" s="15" t="n">
        <f aca="false">M301*(1+IF(N$3&lt;=$O$2,$D301,$D301-($D301-$I$292)*MIN(N$3-$O$2,$Q$2)/$Q$2))</f>
        <v>3362.56468179767</v>
      </c>
      <c r="O301" s="15" t="n">
        <f aca="false">SUMPRODUCT(E301:N301,1/(1+$F$292)^$E$3:$N$3)*$E$2</f>
        <v>8472.70265989772</v>
      </c>
      <c r="P301" s="15" t="n">
        <f aca="false">N301*$E$2*(1+$I$292)/($F$292-$I$292)/(1+$F$292)^$N$3</f>
        <v>12770.2948927358</v>
      </c>
      <c r="Q301" s="15" t="n">
        <f aca="false">O301+P301</f>
        <v>21242.9975526336</v>
      </c>
      <c r="R301" s="15" t="n">
        <f aca="false">Q301-$G$2+$I$2</f>
        <v>15891.4375526336</v>
      </c>
      <c r="S301" s="42" t="n">
        <f aca="false">R301/$K$2</f>
        <v>735.714701510813</v>
      </c>
      <c r="T301" s="43" t="n">
        <f aca="false">S301-$M$2</f>
        <v>10.7147015108127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0.02734375</v>
      </c>
      <c r="C302" s="25" t="n">
        <f aca="false">IF(T301&gt;0,D301,C301)</f>
        <v>0.033203125</v>
      </c>
      <c r="D302" s="41" t="n">
        <f aca="false">(B302+C302)/2</f>
        <v>0.0302734375</v>
      </c>
      <c r="E302" s="15" t="n">
        <f aca="false">$C$2*(1+IF(E$3&lt;=$O$2,$D302,$D302-($D302-$I$292)*MIN(E$3-$O$2,$Q$2)/$Q$2))</f>
        <v>2462.353515625</v>
      </c>
      <c r="F302" s="15" t="n">
        <f aca="false">E302*(1+IF(F$3&lt;=$O$2,$D302,$D302-($D302-$I$292)*MIN(F$3-$O$2,$Q$2)/$Q$2))</f>
        <v>2536.89742088318</v>
      </c>
      <c r="G302" s="15" t="n">
        <f aca="false">F302*(1+IF(G$3&lt;=$O$2,$D302,$D302-($D302-$I$292)*MIN(G$3-$O$2,$Q$2)/$Q$2))</f>
        <v>2613.6980263982</v>
      </c>
      <c r="H302" s="15" t="n">
        <f aca="false">G302*(1+IF(H$3&lt;=$O$2,$D302,$D302-($D302-$I$292)*MIN(H$3-$O$2,$Q$2)/$Q$2))</f>
        <v>2692.82365024424</v>
      </c>
      <c r="I302" s="15" t="n">
        <f aca="false">H302*(1+IF(I$3&lt;=$O$2,$D302,$D302-($D302-$I$292)*MIN(I$3-$O$2,$Q$2)/$Q$2))</f>
        <v>2774.34467871843</v>
      </c>
      <c r="J302" s="15" t="n">
        <f aca="false">I302*(1+IF(J$3&lt;=$O$2,$D302,$D302-($D302-$I$292)*MIN(J$3-$O$2,$Q$2)/$Q$2))</f>
        <v>2862.78731914512</v>
      </c>
      <c r="K302" s="15" t="n">
        <f aca="false">J302*(1+IF(K$3&lt;=$O$2,$D302,$D302-($D302-$I$292)*MIN(K$3-$O$2,$Q$2)/$Q$2))</f>
        <v>2958.64506866358</v>
      </c>
      <c r="L302" s="15" t="n">
        <f aca="false">K302*(1+IF(L$3&lt;=$O$2,$D302,$D302-($D302-$I$292)*MIN(L$3-$O$2,$Q$2)/$Q$2))</f>
        <v>3062.46207496982</v>
      </c>
      <c r="M302" s="15" t="n">
        <f aca="false">L302*(1+IF(M$3&lt;=$O$2,$D302,$D302-($D302-$I$292)*MIN(M$3-$O$2,$Q$2)/$Q$2))</f>
        <v>3174.83816379144</v>
      </c>
      <c r="N302" s="15" t="n">
        <f aca="false">M302*(1+IF(N$3&lt;=$O$2,$D302,$D302-($D302-$I$292)*MIN(N$3-$O$2,$Q$2)/$Q$2))</f>
        <v>3296.43446546465</v>
      </c>
      <c r="O302" s="15" t="n">
        <f aca="false">SUMPRODUCT(E302:N302,1/(1+$F$292)^$E$3:$N$3)*$E$2</f>
        <v>8365.74194298723</v>
      </c>
      <c r="P302" s="15" t="n">
        <f aca="false">N302*$E$2*(1+$I$292)/($F$292-$I$292)/(1+$F$292)^$N$3</f>
        <v>12519.1466045067</v>
      </c>
      <c r="Q302" s="15" t="n">
        <f aca="false">O302+P302</f>
        <v>20884.888547494</v>
      </c>
      <c r="R302" s="15" t="n">
        <f aca="false">Q302-$G$2+$I$2</f>
        <v>15533.328547494</v>
      </c>
      <c r="S302" s="42" t="n">
        <f aca="false">R302/$K$2</f>
        <v>719.135580902499</v>
      </c>
      <c r="T302" s="43" t="n">
        <f aca="false">S302-$M$2</f>
        <v>-5.86441909750101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0.0302734375</v>
      </c>
      <c r="C303" s="25" t="n">
        <f aca="false">IF(T302&gt;0,D302,C302)</f>
        <v>0.033203125</v>
      </c>
      <c r="D303" s="41" t="n">
        <f aca="false">(B303+C303)/2</f>
        <v>0.03173828125</v>
      </c>
      <c r="E303" s="15" t="n">
        <f aca="false">$C$2*(1+IF(E$3&lt;=$O$2,$D303,$D303-($D303-$I$292)*MIN(E$3-$O$2,$Q$2)/$Q$2))</f>
        <v>2465.8544921875</v>
      </c>
      <c r="F303" s="15" t="n">
        <f aca="false">E303*(1+IF(F$3&lt;=$O$2,$D303,$D303-($D303-$I$292)*MIN(F$3-$O$2,$Q$2)/$Q$2))</f>
        <v>2544.11647558212</v>
      </c>
      <c r="G303" s="15" t="n">
        <f aca="false">F303*(1+IF(G$3&lt;=$O$2,$D303,$D303-($D303-$I$292)*MIN(G$3-$O$2,$Q$2)/$Q$2))</f>
        <v>2624.86235981691</v>
      </c>
      <c r="H303" s="15" t="n">
        <f aca="false">G303*(1+IF(H$3&lt;=$O$2,$D303,$D303-($D303-$I$292)*MIN(H$3-$O$2,$Q$2)/$Q$2))</f>
        <v>2708.17097963532</v>
      </c>
      <c r="I303" s="15" t="n">
        <f aca="false">H303*(1+IF(I$3&lt;=$O$2,$D303,$D303-($D303-$I$292)*MIN(I$3-$O$2,$Q$2)/$Q$2))</f>
        <v>2794.12367186007</v>
      </c>
      <c r="J303" s="15" t="n">
        <f aca="false">I303*(1+IF(J$3&lt;=$O$2,$D303,$D303-($D303-$I$292)*MIN(J$3-$O$2,$Q$2)/$Q$2))</f>
        <v>2886.47120554234</v>
      </c>
      <c r="K303" s="15" t="n">
        <f aca="false">J303*(1+IF(K$3&lt;=$O$2,$D303,$D303-($D303-$I$292)*MIN(K$3-$O$2,$Q$2)/$Q$2))</f>
        <v>2985.65892537617</v>
      </c>
      <c r="L303" s="15" t="n">
        <f aca="false">K303*(1+IF(L$3&lt;=$O$2,$D303,$D303-($D303-$I$292)*MIN(L$3-$O$2,$Q$2)/$Q$2))</f>
        <v>3092.17324055737</v>
      </c>
      <c r="M303" s="15" t="n">
        <f aca="false">L303*(1+IF(M$3&lt;=$O$2,$D303,$D303-($D303-$I$292)*MIN(M$3-$O$2,$Q$2)/$Q$2))</f>
        <v>3206.54548144456</v>
      </c>
      <c r="N303" s="15" t="n">
        <f aca="false">M303*(1+IF(N$3&lt;=$O$2,$D303,$D303-($D303-$I$292)*MIN(N$3-$O$2,$Q$2)/$Q$2))</f>
        <v>3329.35617338389</v>
      </c>
      <c r="O303" s="15" t="n">
        <f aca="false">SUMPRODUCT(E303:N303,1/(1+$F$292)^$E$3:$N$3)*$E$2</f>
        <v>8419.04986667878</v>
      </c>
      <c r="P303" s="15" t="n">
        <f aca="false">N303*$E$2*(1+$I$292)/($F$292-$I$292)/(1+$F$292)^$N$3</f>
        <v>12644.1761454333</v>
      </c>
      <c r="Q303" s="15" t="n">
        <f aca="false">O303+P303</f>
        <v>21063.2260121121</v>
      </c>
      <c r="R303" s="15" t="n">
        <f aca="false">Q303-$G$2+$I$2</f>
        <v>15711.6660121121</v>
      </c>
      <c r="S303" s="42" t="n">
        <f aca="false">R303/$K$2</f>
        <v>727.391945005191</v>
      </c>
      <c r="T303" s="43" t="n">
        <f aca="false">S303-$M$2</f>
        <v>2.39194500519045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0.0302734375</v>
      </c>
      <c r="C304" s="25" t="n">
        <f aca="false">IF(T303&gt;0,D303,C303)</f>
        <v>0.03173828125</v>
      </c>
      <c r="D304" s="41" t="n">
        <f aca="false">(B304+C304)/2</f>
        <v>0.031005859375</v>
      </c>
      <c r="E304" s="15" t="n">
        <f aca="false">$C$2*(1+IF(E$3&lt;=$O$2,$D304,$D304-($D304-$I$292)*MIN(E$3-$O$2,$Q$2)/$Q$2))</f>
        <v>2464.10400390625</v>
      </c>
      <c r="F304" s="15" t="n">
        <f aca="false">E304*(1+IF(F$3&lt;=$O$2,$D304,$D304-($D304-$I$292)*MIN(F$3-$O$2,$Q$2)/$Q$2))</f>
        <v>2540.50566613674</v>
      </c>
      <c r="G304" s="15" t="n">
        <f aca="false">F304*(1+IF(G$3&lt;=$O$2,$D304,$D304-($D304-$I$292)*MIN(G$3-$O$2,$Q$2)/$Q$2))</f>
        <v>2619.27622756237</v>
      </c>
      <c r="H304" s="15" t="n">
        <f aca="false">G304*(1+IF(H$3&lt;=$O$2,$D304,$D304-($D304-$I$292)*MIN(H$3-$O$2,$Q$2)/$Q$2))</f>
        <v>2700.48913793845</v>
      </c>
      <c r="I304" s="15" t="n">
        <f aca="false">H304*(1+IF(I$3&lt;=$O$2,$D304,$D304-($D304-$I$292)*MIN(I$3-$O$2,$Q$2)/$Q$2))</f>
        <v>2784.22012439308</v>
      </c>
      <c r="J304" s="15" t="n">
        <f aca="false">I304*(1+IF(J$3&lt;=$O$2,$D304,$D304-($D304-$I$292)*MIN(J$3-$O$2,$Q$2)/$Q$2))</f>
        <v>2874.60896066272</v>
      </c>
      <c r="K304" s="15" t="n">
        <f aca="false">J304*(1+IF(K$3&lt;=$O$2,$D304,$D304-($D304-$I$292)*MIN(K$3-$O$2,$Q$2)/$Q$2))</f>
        <v>2972.12580265552</v>
      </c>
      <c r="L304" s="15" t="n">
        <f aca="false">K304*(1+IF(L$3&lt;=$O$2,$D304,$D304-($D304-$I$292)*MIN(L$3-$O$2,$Q$2)/$Q$2))</f>
        <v>3077.28657947332</v>
      </c>
      <c r="M304" s="15" t="n">
        <f aca="false">L304*(1+IF(M$3&lt;=$O$2,$D304,$D304-($D304-$I$292)*MIN(M$3-$O$2,$Q$2)/$Q$2))</f>
        <v>3190.65742325633</v>
      </c>
      <c r="N304" s="15" t="n">
        <f aca="false">M304*(1+IF(N$3&lt;=$O$2,$D304,$D304-($D304-$I$292)*MIN(N$3-$O$2,$Q$2)/$Q$2))</f>
        <v>3312.85960256705</v>
      </c>
      <c r="O304" s="15" t="n">
        <f aca="false">SUMPRODUCT(E304:N304,1/(1+$F$292)^$E$3:$N$3)*$E$2</f>
        <v>8392.35292682362</v>
      </c>
      <c r="P304" s="15" t="n">
        <f aca="false">N304*$E$2*(1+$I$292)/($F$292-$I$292)/(1+$F$292)^$N$3</f>
        <v>12581.5257300554</v>
      </c>
      <c r="Q304" s="15" t="n">
        <f aca="false">O304+P304</f>
        <v>20973.878656879</v>
      </c>
      <c r="R304" s="15" t="n">
        <f aca="false">Q304-$G$2+$I$2</f>
        <v>15622.318656879</v>
      </c>
      <c r="S304" s="42" t="n">
        <f aca="false">R304/$K$2</f>
        <v>723.255493374027</v>
      </c>
      <c r="T304" s="43" t="n">
        <f aca="false">S304-$M$2</f>
        <v>-1.7445066259728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0.031005859375</v>
      </c>
      <c r="C305" s="25" t="n">
        <f aca="false">IF(T304&gt;0,D304,C304)</f>
        <v>0.03173828125</v>
      </c>
      <c r="D305" s="41" t="n">
        <f aca="false">(B305+C305)/2</f>
        <v>0.0313720703125</v>
      </c>
      <c r="E305" s="15" t="n">
        <f aca="false">$C$2*(1+IF(E$3&lt;=$O$2,$D305,$D305-($D305-$I$292)*MIN(E$3-$O$2,$Q$2)/$Q$2))</f>
        <v>2464.97924804688</v>
      </c>
      <c r="F305" s="15" t="n">
        <f aca="false">E305*(1+IF(F$3&lt;=$O$2,$D305,$D305-($D305-$I$292)*MIN(F$3-$O$2,$Q$2)/$Q$2))</f>
        <v>2542.31075033546</v>
      </c>
      <c r="G305" s="15" t="n">
        <f aca="false">F305*(1+IF(G$3&lt;=$O$2,$D305,$D305-($D305-$I$292)*MIN(G$3-$O$2,$Q$2)/$Q$2))</f>
        <v>2622.0683019512</v>
      </c>
      <c r="H305" s="15" t="n">
        <f aca="false">G305*(1+IF(H$3&lt;=$O$2,$D305,$D305-($D305-$I$292)*MIN(H$3-$O$2,$Q$2)/$Q$2))</f>
        <v>2704.32801308419</v>
      </c>
      <c r="I305" s="15" t="n">
        <f aca="false">H305*(1+IF(I$3&lt;=$O$2,$D305,$D305-($D305-$I$292)*MIN(I$3-$O$2,$Q$2)/$Q$2))</f>
        <v>2789.16838165873</v>
      </c>
      <c r="J305" s="15" t="n">
        <f aca="false">I305*(1+IF(J$3&lt;=$O$2,$D305,$D305-($D305-$I$292)*MIN(J$3-$O$2,$Q$2)/$Q$2))</f>
        <v>2880.53500072848</v>
      </c>
      <c r="K305" s="15" t="n">
        <f aca="false">J305*(1+IF(K$3&lt;=$O$2,$D305,$D305-($D305-$I$292)*MIN(K$3-$O$2,$Q$2)/$Q$2))</f>
        <v>2978.88580488792</v>
      </c>
      <c r="L305" s="15" t="n">
        <f aca="false">K305*(1+IF(L$3&lt;=$O$2,$D305,$D305-($D305-$I$292)*MIN(L$3-$O$2,$Q$2)/$Q$2))</f>
        <v>3084.72212665379</v>
      </c>
      <c r="M305" s="15" t="n">
        <f aca="false">L305*(1+IF(M$3&lt;=$O$2,$D305,$D305-($D305-$I$292)*MIN(M$3-$O$2,$Q$2)/$Q$2))</f>
        <v>3198.59283650484</v>
      </c>
      <c r="N305" s="15" t="n">
        <f aca="false">M305*(1+IF(N$3&lt;=$O$2,$D305,$D305-($D305-$I$292)*MIN(N$3-$O$2,$Q$2)/$Q$2))</f>
        <v>3321.09894214298</v>
      </c>
      <c r="O305" s="15" t="n">
        <f aca="false">SUMPRODUCT(E305:N305,1/(1+$F$292)^$E$3:$N$3)*$E$2</f>
        <v>8405.69063594064</v>
      </c>
      <c r="P305" s="15" t="n">
        <f aca="false">N305*$E$2*(1+$I$292)/($F$292-$I$292)/(1+$F$292)^$N$3</f>
        <v>12612.8169634034</v>
      </c>
      <c r="Q305" s="15" t="n">
        <f aca="false">O305+P305</f>
        <v>21018.507599344</v>
      </c>
      <c r="R305" s="15" t="n">
        <f aca="false">Q305-$G$2+$I$2</f>
        <v>15666.947599344</v>
      </c>
      <c r="S305" s="42" t="n">
        <f aca="false">R305/$K$2</f>
        <v>725.32164811778</v>
      </c>
      <c r="T305" s="43" t="n">
        <f aca="false">S305-$M$2</f>
        <v>0.321648117780001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0.031005859375</v>
      </c>
      <c r="C306" s="25" t="n">
        <f aca="false">IF(T305&gt;0,D305,C305)</f>
        <v>0.0313720703125</v>
      </c>
      <c r="D306" s="41" t="n">
        <f aca="false">(B306+C306)/2</f>
        <v>0.03118896484375</v>
      </c>
      <c r="E306" s="15" t="n">
        <f aca="false">$C$2*(1+IF(E$3&lt;=$O$2,$D306,$D306-($D306-$I$292)*MIN(E$3-$O$2,$Q$2)/$Q$2))</f>
        <v>2464.54162597656</v>
      </c>
      <c r="F306" s="15" t="n">
        <f aca="false">E306*(1+IF(F$3&lt;=$O$2,$D306,$D306-($D306-$I$292)*MIN(F$3-$O$2,$Q$2)/$Q$2))</f>
        <v>2541.4081281051</v>
      </c>
      <c r="G306" s="15" t="n">
        <f aca="false">F306*(1+IF(G$3&lt;=$O$2,$D306,$D306-($D306-$I$292)*MIN(G$3-$O$2,$Q$2)/$Q$2))</f>
        <v>2620.67201686619</v>
      </c>
      <c r="H306" s="15" t="n">
        <f aca="false">G306*(1+IF(H$3&lt;=$O$2,$D306,$D306-($D306-$I$292)*MIN(H$3-$O$2,$Q$2)/$Q$2))</f>
        <v>2702.40806426723</v>
      </c>
      <c r="I306" s="15" t="n">
        <f aca="false">H306*(1+IF(I$3&lt;=$O$2,$D306,$D306-($D306-$I$292)*MIN(I$3-$O$2,$Q$2)/$Q$2))</f>
        <v>2786.69337437713</v>
      </c>
      <c r="J306" s="15" t="n">
        <f aca="false">I306*(1+IF(J$3&lt;=$O$2,$D306,$D306-($D306-$I$292)*MIN(J$3-$O$2,$Q$2)/$Q$2))</f>
        <v>2877.57071097187</v>
      </c>
      <c r="K306" s="15" t="n">
        <f aca="false">J306*(1+IF(K$3&lt;=$O$2,$D306,$D306-($D306-$I$292)*MIN(K$3-$O$2,$Q$2)/$Q$2))</f>
        <v>2975.5041653079</v>
      </c>
      <c r="L306" s="15" t="n">
        <f aca="false">K306*(1+IF(L$3&lt;=$O$2,$D306,$D306-($D306-$I$292)*MIN(L$3-$O$2,$Q$2)/$Q$2))</f>
        <v>3081.00240894836</v>
      </c>
      <c r="M306" s="15" t="n">
        <f aca="false">L306*(1+IF(M$3&lt;=$O$2,$D306,$D306-($D306-$I$292)*MIN(M$3-$O$2,$Q$2)/$Q$2))</f>
        <v>3194.62297792178</v>
      </c>
      <c r="N306" s="15" t="n">
        <f aca="false">M306*(1+IF(N$3&lt;=$O$2,$D306,$D306-($D306-$I$292)*MIN(N$3-$O$2,$Q$2)/$Q$2))</f>
        <v>3316.97703797619</v>
      </c>
      <c r="O306" s="15" t="n">
        <f aca="false">SUMPRODUCT(E306:N306,1/(1+$F$292)^$E$3:$N$3)*$E$2</f>
        <v>8399.0190932197</v>
      </c>
      <c r="P306" s="15" t="n">
        <f aca="false">N306*$E$2*(1+$I$292)/($F$292-$I$292)/(1+$F$292)^$N$3</f>
        <v>12597.1628610409</v>
      </c>
      <c r="Q306" s="15" t="n">
        <f aca="false">O306+P306</f>
        <v>20996.1819542606</v>
      </c>
      <c r="R306" s="15" t="n">
        <f aca="false">Q306-$G$2+$I$2</f>
        <v>15644.6219542606</v>
      </c>
      <c r="S306" s="42" t="n">
        <f aca="false">R306/$K$2</f>
        <v>724.288053437989</v>
      </c>
      <c r="T306" s="43" t="n">
        <f aca="false">S306-$M$2</f>
        <v>-0.711946562010894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0.03118896484375</v>
      </c>
      <c r="C307" s="25" t="n">
        <f aca="false">IF(T306&gt;0,D306,C306)</f>
        <v>0.0313720703125</v>
      </c>
      <c r="D307" s="41" t="n">
        <f aca="false">(B307+C307)/2</f>
        <v>0.031280517578125</v>
      </c>
      <c r="E307" s="15" t="n">
        <f aca="false">$C$2*(1+IF(E$3&lt;=$O$2,$D307,$D307-($D307-$I$292)*MIN(E$3-$O$2,$Q$2)/$Q$2))</f>
        <v>2464.76043701172</v>
      </c>
      <c r="F307" s="15" t="n">
        <f aca="false">E307*(1+IF(F$3&lt;=$O$2,$D307,$D307-($D307-$I$292)*MIN(F$3-$O$2,$Q$2)/$Q$2))</f>
        <v>2541.85941918753</v>
      </c>
      <c r="G307" s="15" t="n">
        <f aca="false">F307*(1+IF(G$3&lt;=$O$2,$D307,$D307-($D307-$I$292)*MIN(G$3-$O$2,$Q$2)/$Q$2))</f>
        <v>2621.37009743055</v>
      </c>
      <c r="H307" s="15" t="n">
        <f aca="false">G307*(1+IF(H$3&lt;=$O$2,$D307,$D307-($D307-$I$292)*MIN(H$3-$O$2,$Q$2)/$Q$2))</f>
        <v>2703.367910842</v>
      </c>
      <c r="I307" s="15" t="n">
        <f aca="false">H307*(1+IF(I$3&lt;=$O$2,$D307,$D307-($D307-$I$292)*MIN(I$3-$O$2,$Q$2)/$Q$2))</f>
        <v>2787.93065829723</v>
      </c>
      <c r="J307" s="15" t="n">
        <f aca="false">I307*(1+IF(J$3&lt;=$O$2,$D307,$D307-($D307-$I$292)*MIN(J$3-$O$2,$Q$2)/$Q$2))</f>
        <v>2879.05253831055</v>
      </c>
      <c r="K307" s="15" t="n">
        <f aca="false">J307*(1+IF(K$3&lt;=$O$2,$D307,$D307-($D307-$I$292)*MIN(K$3-$O$2,$Q$2)/$Q$2))</f>
        <v>2977.19457531725</v>
      </c>
      <c r="L307" s="15" t="n">
        <f aca="false">K307*(1+IF(L$3&lt;=$O$2,$D307,$D307-($D307-$I$292)*MIN(L$3-$O$2,$Q$2)/$Q$2))</f>
        <v>3082.86178155673</v>
      </c>
      <c r="M307" s="15" t="n">
        <f aca="false">L307*(1+IF(M$3&lt;=$O$2,$D307,$D307-($D307-$I$292)*MIN(M$3-$O$2,$Q$2)/$Q$2))</f>
        <v>3196.60736897341</v>
      </c>
      <c r="N307" s="15" t="n">
        <f aca="false">M307*(1+IF(N$3&lt;=$O$2,$D307,$D307-($D307-$I$292)*MIN(N$3-$O$2,$Q$2)/$Q$2))</f>
        <v>3319.03743120509</v>
      </c>
      <c r="O307" s="15" t="n">
        <f aca="false">SUMPRODUCT(E307:N307,1/(1+$F$292)^$E$3:$N$3)*$E$2</f>
        <v>8402.35419228464</v>
      </c>
      <c r="P307" s="15" t="n">
        <f aca="false">N307*$E$2*(1+$I$292)/($F$292-$I$292)/(1+$F$292)^$N$3</f>
        <v>12604.9877898134</v>
      </c>
      <c r="Q307" s="15" t="n">
        <f aca="false">O307+P307</f>
        <v>21007.341982098</v>
      </c>
      <c r="R307" s="15" t="n">
        <f aca="false">Q307-$G$2+$I$2</f>
        <v>15655.781982098</v>
      </c>
      <c r="S307" s="42" t="n">
        <f aca="false">R307/$K$2</f>
        <v>724.804721393428</v>
      </c>
      <c r="T307" s="43" t="n">
        <f aca="false">S307-$M$2</f>
        <v>-0.195278606572515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0.031280517578125</v>
      </c>
      <c r="C308" s="25" t="n">
        <f aca="false">IF(T307&gt;0,D307,C307)</f>
        <v>0.0313720703125</v>
      </c>
      <c r="D308" s="41" t="n">
        <f aca="false">(B308+C308)/2</f>
        <v>0.0313262939453125</v>
      </c>
      <c r="E308" s="15" t="n">
        <f aca="false">$C$2*(1+IF(E$3&lt;=$O$2,$D308,$D308-($D308-$I$292)*MIN(E$3-$O$2,$Q$2)/$Q$2))</f>
        <v>2464.8698425293</v>
      </c>
      <c r="F308" s="15" t="n">
        <f aca="false">E308*(1+IF(F$3&lt;=$O$2,$D308,$D308-($D308-$I$292)*MIN(F$3-$O$2,$Q$2)/$Q$2))</f>
        <v>2542.08507975331</v>
      </c>
      <c r="G308" s="15" t="n">
        <f aca="false">F308*(1+IF(G$3&lt;=$O$2,$D308,$D308-($D308-$I$292)*MIN(G$3-$O$2,$Q$2)/$Q$2))</f>
        <v>2621.71918419565</v>
      </c>
      <c r="H308" s="15" t="n">
        <f aca="false">G308*(1+IF(H$3&lt;=$O$2,$D308,$D308-($D308-$I$292)*MIN(H$3-$O$2,$Q$2)/$Q$2))</f>
        <v>2703.84793000183</v>
      </c>
      <c r="I308" s="15" t="n">
        <f aca="false">H308*(1+IF(I$3&lt;=$O$2,$D308,$D308-($D308-$I$292)*MIN(I$3-$O$2,$Q$2)/$Q$2))</f>
        <v>2788.54946504049</v>
      </c>
      <c r="J308" s="15" t="n">
        <f aca="false">I308*(1+IF(J$3&lt;=$O$2,$D308,$D308-($D308-$I$292)*MIN(J$3-$O$2,$Q$2)/$Q$2))</f>
        <v>2879.79369012102</v>
      </c>
      <c r="K308" s="15" t="n">
        <f aca="false">J308*(1+IF(K$3&lt;=$O$2,$D308,$D308-($D308-$I$292)*MIN(K$3-$O$2,$Q$2)/$Q$2))</f>
        <v>2978.04008763683</v>
      </c>
      <c r="L308" s="15" t="n">
        <f aca="false">K308*(1+IF(L$3&lt;=$O$2,$D308,$D308-($D308-$I$292)*MIN(L$3-$O$2,$Q$2)/$Q$2))</f>
        <v>3083.79183251722</v>
      </c>
      <c r="M308" s="15" t="n">
        <f aca="false">L308*(1+IF(M$3&lt;=$O$2,$D308,$D308-($D308-$I$292)*MIN(M$3-$O$2,$Q$2)/$Q$2))</f>
        <v>3197.59996814786</v>
      </c>
      <c r="N308" s="15" t="n">
        <f aca="false">M308*(1+IF(N$3&lt;=$O$2,$D308,$D308-($D308-$I$292)*MIN(N$3-$O$2,$Q$2)/$Q$2))</f>
        <v>3320.06804692793</v>
      </c>
      <c r="O308" s="15" t="n">
        <f aca="false">SUMPRODUCT(E308:N308,1/(1+$F$292)^$E$3:$N$3)*$E$2</f>
        <v>8404.02224600688</v>
      </c>
      <c r="P308" s="15" t="n">
        <f aca="false">N308*$E$2*(1+$I$292)/($F$292-$I$292)/(1+$F$292)^$N$3</f>
        <v>12608.9018458828</v>
      </c>
      <c r="Q308" s="15" t="n">
        <f aca="false">O308+P308</f>
        <v>21012.9240918897</v>
      </c>
      <c r="R308" s="15" t="n">
        <f aca="false">Q308-$G$2+$I$2</f>
        <v>15661.3640918897</v>
      </c>
      <c r="S308" s="42" t="n">
        <f aca="false">R308/$K$2</f>
        <v>725.063152402302</v>
      </c>
      <c r="T308" s="43" t="n">
        <f aca="false">S308-$M$2</f>
        <v>0.0631524023023076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0.031280517578125</v>
      </c>
      <c r="C309" s="25" t="n">
        <f aca="false">IF(T308&gt;0,D308,C308)</f>
        <v>0.0313262939453125</v>
      </c>
      <c r="D309" s="41" t="n">
        <f aca="false">(B309+C309)/2</f>
        <v>0.0313034057617188</v>
      </c>
      <c r="E309" s="15" t="n">
        <f aca="false">$C$2*(1+IF(E$3&lt;=$O$2,$D309,$D309-($D309-$I$292)*MIN(E$3-$O$2,$Q$2)/$Q$2))</f>
        <v>2464.81513977051</v>
      </c>
      <c r="F309" s="15" t="n">
        <f aca="false">E309*(1+IF(F$3&lt;=$O$2,$D309,$D309-($D309-$I$292)*MIN(F$3-$O$2,$Q$2)/$Q$2))</f>
        <v>2541.97224821837</v>
      </c>
      <c r="G309" s="15" t="n">
        <f aca="false">F309*(1+IF(G$3&lt;=$O$2,$D309,$D309-($D309-$I$292)*MIN(G$3-$O$2,$Q$2)/$Q$2))</f>
        <v>2621.54463693938</v>
      </c>
      <c r="H309" s="15" t="n">
        <f aca="false">G309*(1+IF(H$3&lt;=$O$2,$D309,$D309-($D309-$I$292)*MIN(H$3-$O$2,$Q$2)/$Q$2))</f>
        <v>2703.60791243195</v>
      </c>
      <c r="I309" s="15" t="n">
        <f aca="false">H309*(1+IF(I$3&lt;=$O$2,$D309,$D309-($D309-$I$292)*MIN(I$3-$O$2,$Q$2)/$Q$2))</f>
        <v>2788.2400479354</v>
      </c>
      <c r="J309" s="15" t="n">
        <f aca="false">I309*(1+IF(J$3&lt;=$O$2,$D309,$D309-($D309-$I$292)*MIN(J$3-$O$2,$Q$2)/$Q$2))</f>
        <v>2879.42309436786</v>
      </c>
      <c r="K309" s="15" t="n">
        <f aca="false">J309*(1+IF(K$3&lt;=$O$2,$D309,$D309-($D309-$I$292)*MIN(K$3-$O$2,$Q$2)/$Q$2))</f>
        <v>2977.61730586318</v>
      </c>
      <c r="L309" s="15" t="n">
        <f aca="false">K309*(1+IF(L$3&lt;=$O$2,$D309,$D309-($D309-$I$292)*MIN(L$3-$O$2,$Q$2)/$Q$2))</f>
        <v>3083.32677664333</v>
      </c>
      <c r="M309" s="15" t="n">
        <f aca="false">L309*(1+IF(M$3&lt;=$O$2,$D309,$D309-($D309-$I$292)*MIN(M$3-$O$2,$Q$2)/$Q$2))</f>
        <v>3197.10363491673</v>
      </c>
      <c r="N309" s="15" t="n">
        <f aca="false">M309*(1+IF(N$3&lt;=$O$2,$D309,$D309-($D309-$I$292)*MIN(N$3-$O$2,$Q$2)/$Q$2))</f>
        <v>3319.55270413404</v>
      </c>
      <c r="O309" s="15" t="n">
        <f aca="false">SUMPRODUCT(E309:N309,1/(1+$F$292)^$E$3:$N$3)*$E$2</f>
        <v>8403.18817712331</v>
      </c>
      <c r="P309" s="15" t="n">
        <f aca="false">N309*$E$2*(1+$I$292)/($F$292-$I$292)/(1+$F$292)^$N$3</f>
        <v>12606.9446851822</v>
      </c>
      <c r="Q309" s="15" t="n">
        <f aca="false">O309+P309</f>
        <v>21010.1328623055</v>
      </c>
      <c r="R309" s="15" t="n">
        <f aca="false">Q309-$G$2+$I$2</f>
        <v>15658.5728623055</v>
      </c>
      <c r="S309" s="42" t="n">
        <f aca="false">R309/$K$2</f>
        <v>724.933928810438</v>
      </c>
      <c r="T309" s="43" t="n">
        <f aca="false">S309-$M$2</f>
        <v>-0.0660711895618533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0.0313034057617188</v>
      </c>
      <c r="C310" s="25" t="n">
        <f aca="false">IF(T309&gt;0,D309,C309)</f>
        <v>0.0313262939453125</v>
      </c>
      <c r="D310" s="41" t="n">
        <f aca="false">(B310+C310)/2</f>
        <v>0.0313148498535156</v>
      </c>
      <c r="E310" s="15" t="n">
        <f aca="false">$C$2*(1+IF(E$3&lt;=$O$2,$D310,$D310-($D310-$I$292)*MIN(E$3-$O$2,$Q$2)/$Q$2))</f>
        <v>2464.8424911499</v>
      </c>
      <c r="F310" s="15" t="n">
        <f aca="false">E310*(1+IF(F$3&lt;=$O$2,$D310,$D310-($D310-$I$292)*MIN(F$3-$O$2,$Q$2)/$Q$2))</f>
        <v>2542.02866367283</v>
      </c>
      <c r="G310" s="15" t="n">
        <f aca="false">F310*(1+IF(G$3&lt;=$O$2,$D310,$D310-($D310-$I$292)*MIN(G$3-$O$2,$Q$2)/$Q$2))</f>
        <v>2621.63190959907</v>
      </c>
      <c r="H310" s="15" t="n">
        <f aca="false">G310*(1+IF(H$3&lt;=$O$2,$D310,$D310-($D310-$I$292)*MIN(H$3-$O$2,$Q$2)/$Q$2))</f>
        <v>2703.72791921935</v>
      </c>
      <c r="I310" s="15" t="n">
        <f aca="false">H310*(1+IF(I$3&lt;=$O$2,$D310,$D310-($D310-$I$292)*MIN(I$3-$O$2,$Q$2)/$Q$2))</f>
        <v>2788.39475305447</v>
      </c>
      <c r="J310" s="15" t="n">
        <f aca="false">I310*(1+IF(J$3&lt;=$O$2,$D310,$D310-($D310-$I$292)*MIN(J$3-$O$2,$Q$2)/$Q$2))</f>
        <v>2879.60838728225</v>
      </c>
      <c r="K310" s="15" t="n">
        <f aca="false">J310*(1+IF(K$3&lt;=$O$2,$D310,$D310-($D310-$I$292)*MIN(K$3-$O$2,$Q$2)/$Q$2))</f>
        <v>2977.82869034622</v>
      </c>
      <c r="L310" s="15" t="n">
        <f aca="false">K310*(1+IF(L$3&lt;=$O$2,$D310,$D310-($D310-$I$292)*MIN(L$3-$O$2,$Q$2)/$Q$2))</f>
        <v>3083.55929698144</v>
      </c>
      <c r="M310" s="15" t="n">
        <f aca="false">L310*(1+IF(M$3&lt;=$O$2,$D310,$D310-($D310-$I$292)*MIN(M$3-$O$2,$Q$2)/$Q$2))</f>
        <v>3197.35179312083</v>
      </c>
      <c r="N310" s="15" t="n">
        <f aca="false">M310*(1+IF(N$3&lt;=$O$2,$D310,$D310-($D310-$I$292)*MIN(N$3-$O$2,$Q$2)/$Q$2))</f>
        <v>3319.81036679736</v>
      </c>
      <c r="O310" s="15" t="n">
        <f aca="false">SUMPRODUCT(E310:N310,1/(1+$F$292)^$E$3:$N$3)*$E$2</f>
        <v>8403.60520105899</v>
      </c>
      <c r="P310" s="15" t="n">
        <f aca="false">N310*$E$2*(1+$I$292)/($F$292-$I$292)/(1+$F$292)^$N$3</f>
        <v>12607.9232323641</v>
      </c>
      <c r="Q310" s="15" t="n">
        <f aca="false">O310+P310</f>
        <v>21011.5284334231</v>
      </c>
      <c r="R310" s="15" t="n">
        <f aca="false">Q310-$G$2+$I$2</f>
        <v>15659.9684334231</v>
      </c>
      <c r="S310" s="42" t="n">
        <f aca="false">R310/$K$2</f>
        <v>724.998538584401</v>
      </c>
      <c r="T310" s="43" t="n">
        <f aca="false">S310-$M$2</f>
        <v>-0.00146141559878288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0.0313148498535156</v>
      </c>
      <c r="C311" s="25" t="n">
        <f aca="false">IF(T310&gt;0,D310,C310)</f>
        <v>0.0313262939453125</v>
      </c>
      <c r="D311" s="41" t="n">
        <f aca="false">(B311+C311)/2</f>
        <v>0.0313205718994141</v>
      </c>
      <c r="E311" s="15" t="n">
        <f aca="false">$C$2*(1+IF(E$3&lt;=$O$2,$D311,$D311-($D311-$I$292)*MIN(E$3-$O$2,$Q$2)/$Q$2))</f>
        <v>2464.8561668396</v>
      </c>
      <c r="F311" s="15" t="n">
        <f aca="false">E311*(1+IF(F$3&lt;=$O$2,$D311,$D311-($D311-$I$292)*MIN(F$3-$O$2,$Q$2)/$Q$2))</f>
        <v>2542.05687163481</v>
      </c>
      <c r="G311" s="15" t="n">
        <f aca="false">F311*(1+IF(G$3&lt;=$O$2,$D311,$D311-($D311-$I$292)*MIN(G$3-$O$2,$Q$2)/$Q$2))</f>
        <v>2621.67554665525</v>
      </c>
      <c r="H311" s="15" t="n">
        <f aca="false">G311*(1+IF(H$3&lt;=$O$2,$D311,$D311-($D311-$I$292)*MIN(H$3-$O$2,$Q$2)/$Q$2))</f>
        <v>2703.7879241112</v>
      </c>
      <c r="I311" s="15" t="n">
        <f aca="false">H311*(1+IF(I$3&lt;=$O$2,$D311,$D311-($D311-$I$292)*MIN(I$3-$O$2,$Q$2)/$Q$2))</f>
        <v>2788.4721081891</v>
      </c>
      <c r="J311" s="15" t="n">
        <f aca="false">I311*(1+IF(J$3&lt;=$O$2,$D311,$D311-($D311-$I$292)*MIN(J$3-$O$2,$Q$2)/$Q$2))</f>
        <v>2879.70103746106</v>
      </c>
      <c r="K311" s="15" t="n">
        <f aca="false">J311*(1+IF(K$3&lt;=$O$2,$D311,$D311-($D311-$I$292)*MIN(K$3-$O$2,$Q$2)/$Q$2))</f>
        <v>2977.93438739054</v>
      </c>
      <c r="L311" s="15" t="n">
        <f aca="false">K311*(1+IF(L$3&lt;=$O$2,$D311,$D311-($D311-$I$292)*MIN(L$3-$O$2,$Q$2)/$Q$2))</f>
        <v>3083.67556284957</v>
      </c>
      <c r="M311" s="15" t="n">
        <f aca="false">L311*(1+IF(M$3&lt;=$O$2,$D311,$D311-($D311-$I$292)*MIN(M$3-$O$2,$Q$2)/$Q$2))</f>
        <v>3197.47587853142</v>
      </c>
      <c r="N311" s="15" t="n">
        <f aca="false">M311*(1+IF(N$3&lt;=$O$2,$D311,$D311-($D311-$I$292)*MIN(N$3-$O$2,$Q$2)/$Q$2))</f>
        <v>3319.93920467917</v>
      </c>
      <c r="O311" s="15" t="n">
        <f aca="false">SUMPRODUCT(E311:N311,1/(1+$F$292)^$E$3:$N$3)*$E$2</f>
        <v>8403.81372090635</v>
      </c>
      <c r="P311" s="15" t="n">
        <f aca="false">N311*$E$2*(1+$I$292)/($F$292-$I$292)/(1+$F$292)^$N$3</f>
        <v>12608.4125308311</v>
      </c>
      <c r="Q311" s="15" t="n">
        <f aca="false">O311+P311</f>
        <v>21012.2262517375</v>
      </c>
      <c r="R311" s="15" t="n">
        <f aca="false">Q311-$G$2+$I$2</f>
        <v>15660.6662517375</v>
      </c>
      <c r="S311" s="42" t="n">
        <f aca="false">R311/$K$2</f>
        <v>725.030844987846</v>
      </c>
      <c r="T311" s="43" t="n">
        <f aca="false">S311-$M$2</f>
        <v>0.0308449878456258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0.0313148498535156</v>
      </c>
      <c r="C312" s="25" t="n">
        <f aca="false">IF(T311&gt;0,D311,C311)</f>
        <v>0.0313205718994141</v>
      </c>
      <c r="D312" s="41" t="n">
        <f aca="false">(B312+C312)/2</f>
        <v>0.0313177108764648</v>
      </c>
      <c r="E312" s="15" t="n">
        <f aca="false">$C$2*(1+IF(E$3&lt;=$O$2,$D312,$D312-($D312-$I$292)*MIN(E$3-$O$2,$Q$2)/$Q$2))</f>
        <v>2464.84932899475</v>
      </c>
      <c r="F312" s="15" t="n">
        <f aca="false">E312*(1+IF(F$3&lt;=$O$2,$D312,$D312-($D312-$I$292)*MIN(F$3-$O$2,$Q$2)/$Q$2))</f>
        <v>2542.04276763426</v>
      </c>
      <c r="G312" s="15" t="n">
        <f aca="false">F312*(1+IF(G$3&lt;=$O$2,$D312,$D312-($D312-$I$292)*MIN(G$3-$O$2,$Q$2)/$Q$2))</f>
        <v>2621.65372806664</v>
      </c>
      <c r="H312" s="15" t="n">
        <f aca="false">G312*(1+IF(H$3&lt;=$O$2,$D312,$D312-($D312-$I$292)*MIN(H$3-$O$2,$Q$2)/$Q$2))</f>
        <v>2703.75792154043</v>
      </c>
      <c r="I312" s="15" t="n">
        <f aca="false">H312*(1+IF(I$3&lt;=$O$2,$D312,$D312-($D312-$I$292)*MIN(I$3-$O$2,$Q$2)/$Q$2))</f>
        <v>2788.43343040719</v>
      </c>
      <c r="J312" s="15" t="n">
        <f aca="false">I312*(1+IF(J$3&lt;=$O$2,$D312,$D312-($D312-$I$292)*MIN(J$3-$O$2,$Q$2)/$Q$2))</f>
        <v>2879.65471206152</v>
      </c>
      <c r="K312" s="15" t="n">
        <f aca="false">J312*(1+IF(K$3&lt;=$O$2,$D312,$D312-($D312-$I$292)*MIN(K$3-$O$2,$Q$2)/$Q$2))</f>
        <v>2977.88153846813</v>
      </c>
      <c r="L312" s="15" t="n">
        <f aca="false">K312*(1+IF(L$3&lt;=$O$2,$D312,$D312-($D312-$I$292)*MIN(L$3-$O$2,$Q$2)/$Q$2))</f>
        <v>3083.61742944057</v>
      </c>
      <c r="M312" s="15" t="n">
        <f aca="false">L312*(1+IF(M$3&lt;=$O$2,$D312,$D312-($D312-$I$292)*MIN(M$3-$O$2,$Q$2)/$Q$2))</f>
        <v>3197.4138353004</v>
      </c>
      <c r="N312" s="15" t="n">
        <f aca="false">M312*(1+IF(N$3&lt;=$O$2,$D312,$D312-($D312-$I$292)*MIN(N$3-$O$2,$Q$2)/$Q$2))</f>
        <v>3319.87478519241</v>
      </c>
      <c r="O312" s="15" t="n">
        <f aca="false">SUMPRODUCT(E312:N312,1/(1+$F$292)^$E$3:$N$3)*$E$2</f>
        <v>8403.70946032603</v>
      </c>
      <c r="P312" s="15" t="n">
        <f aca="false">N312*$E$2*(1+$I$292)/($F$292-$I$292)/(1+$F$292)^$N$3</f>
        <v>12608.1678795245</v>
      </c>
      <c r="Q312" s="15" t="n">
        <f aca="false">O312+P312</f>
        <v>21011.8773398506</v>
      </c>
      <c r="R312" s="15" t="n">
        <f aca="false">Q312-$G$2+$I$2</f>
        <v>15660.3173398506</v>
      </c>
      <c r="S312" s="42" t="n">
        <f aca="false">R312/$K$2</f>
        <v>725.014691659748</v>
      </c>
      <c r="T312" s="43" t="n">
        <f aca="false">S312-$M$2</f>
        <v>0.0146916597483369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0.0313148498535156</v>
      </c>
      <c r="C313" s="25" t="n">
        <f aca="false">IF(T312&gt;0,D312,C312)</f>
        <v>0.0313177108764648</v>
      </c>
      <c r="D313" s="41" t="n">
        <f aca="false">(B313+C313)/2</f>
        <v>0.0313162803649902</v>
      </c>
      <c r="E313" s="15" t="n">
        <f aca="false">$C$2*(1+IF(E$3&lt;=$O$2,$D313,$D313-($D313-$I$292)*MIN(E$3-$O$2,$Q$2)/$Q$2))</f>
        <v>2464.84591007233</v>
      </c>
      <c r="F313" s="15" t="n">
        <f aca="false">E313*(1+IF(F$3&lt;=$O$2,$D313,$D313-($D313-$I$292)*MIN(F$3-$O$2,$Q$2)/$Q$2))</f>
        <v>2542.03571564865</v>
      </c>
      <c r="G313" s="15" t="n">
        <f aca="false">F313*(1+IF(G$3&lt;=$O$2,$D313,$D313-($D313-$I$292)*MIN(G$3-$O$2,$Q$2)/$Q$2))</f>
        <v>2621.64281881772</v>
      </c>
      <c r="H313" s="15" t="n">
        <f aca="false">G313*(1+IF(H$3&lt;=$O$2,$D313,$D313-($D313-$I$292)*MIN(H$3-$O$2,$Q$2)/$Q$2))</f>
        <v>2703.74292034868</v>
      </c>
      <c r="I313" s="15" t="n">
        <f aca="false">H313*(1+IF(I$3&lt;=$O$2,$D313,$D313-($D313-$I$292)*MIN(I$3-$O$2,$Q$2)/$Q$2))</f>
        <v>2788.41409167718</v>
      </c>
      <c r="J313" s="15" t="n">
        <f aca="false">I313*(1+IF(J$3&lt;=$O$2,$D313,$D313-($D313-$I$292)*MIN(J$3-$O$2,$Q$2)/$Q$2))</f>
        <v>2879.63154959435</v>
      </c>
      <c r="K313" s="15" t="n">
        <f aca="false">J313*(1+IF(K$3&lt;=$O$2,$D313,$D313-($D313-$I$292)*MIN(K$3-$O$2,$Q$2)/$Q$2))</f>
        <v>2977.85511430711</v>
      </c>
      <c r="L313" s="15" t="n">
        <f aca="false">K313*(1+IF(L$3&lt;=$O$2,$D313,$D313-($D313-$I$292)*MIN(L$3-$O$2,$Q$2)/$Q$2))</f>
        <v>3083.58836309228</v>
      </c>
      <c r="M313" s="15" t="n">
        <f aca="false">L313*(1+IF(M$3&lt;=$O$2,$D313,$D313-($D313-$I$292)*MIN(M$3-$O$2,$Q$2)/$Q$2))</f>
        <v>3197.38281407919</v>
      </c>
      <c r="N313" s="15" t="n">
        <f aca="false">M313*(1+IF(N$3&lt;=$O$2,$D313,$D313-($D313-$I$292)*MIN(N$3-$O$2,$Q$2)/$Q$2))</f>
        <v>3319.84257585842</v>
      </c>
      <c r="O313" s="15" t="n">
        <f aca="false">SUMPRODUCT(E313:N313,1/(1+$F$292)^$E$3:$N$3)*$E$2</f>
        <v>8403.65733052835</v>
      </c>
      <c r="P313" s="15" t="n">
        <f aca="false">N313*$E$2*(1+$I$292)/($F$292-$I$292)/(1+$F$292)^$N$3</f>
        <v>12608.0455554261</v>
      </c>
      <c r="Q313" s="15" t="n">
        <f aca="false">O313+P313</f>
        <v>21011.7028859544</v>
      </c>
      <c r="R313" s="15" t="n">
        <f aca="false">Q313-$G$2+$I$2</f>
        <v>15660.1428859544</v>
      </c>
      <c r="S313" s="42" t="n">
        <f aca="false">R313/$K$2</f>
        <v>725.006615090482</v>
      </c>
      <c r="T313" s="43" t="n">
        <f aca="false">S313-$M$2</f>
        <v>0.00661509048154585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0.0313148498535156</v>
      </c>
      <c r="C314" s="25" t="n">
        <f aca="false">IF(T313&gt;0,D313,C313)</f>
        <v>0.0313162803649902</v>
      </c>
      <c r="D314" s="41" t="n">
        <f aca="false">(B314+C314)/2</f>
        <v>0.0313155651092529</v>
      </c>
      <c r="E314" s="15" t="n">
        <f aca="false">$C$2*(1+IF(E$3&lt;=$O$2,$D314,$D314-($D314-$I$292)*MIN(E$3-$O$2,$Q$2)/$Q$2))</f>
        <v>2464.84420061111</v>
      </c>
      <c r="F314" s="15" t="n">
        <f aca="false">E314*(1+IF(F$3&lt;=$O$2,$D314,$D314-($D314-$I$292)*MIN(F$3-$O$2,$Q$2)/$Q$2))</f>
        <v>2542.03218965952</v>
      </c>
      <c r="G314" s="15" t="n">
        <f aca="false">F314*(1+IF(G$3&lt;=$O$2,$D314,$D314-($D314-$I$292)*MIN(G$3-$O$2,$Q$2)/$Q$2))</f>
        <v>2621.63736420462</v>
      </c>
      <c r="H314" s="15" t="n">
        <f aca="false">G314*(1+IF(H$3&lt;=$O$2,$D314,$D314-($D314-$I$292)*MIN(H$3-$O$2,$Q$2)/$Q$2))</f>
        <v>2703.73541977622</v>
      </c>
      <c r="I314" s="15" t="n">
        <f aca="false">H314*(1+IF(I$3&lt;=$O$2,$D314,$D314-($D314-$I$292)*MIN(I$3-$O$2,$Q$2)/$Q$2))</f>
        <v>2788.40442235241</v>
      </c>
      <c r="J314" s="15" t="n">
        <f aca="false">I314*(1+IF(J$3&lt;=$O$2,$D314,$D314-($D314-$I$292)*MIN(J$3-$O$2,$Q$2)/$Q$2))</f>
        <v>2879.61996841892</v>
      </c>
      <c r="K314" s="15" t="n">
        <f aca="false">J314*(1+IF(K$3&lt;=$O$2,$D314,$D314-($D314-$I$292)*MIN(K$3-$O$2,$Q$2)/$Q$2))</f>
        <v>2977.84190230165</v>
      </c>
      <c r="L314" s="15" t="n">
        <f aca="false">K314*(1+IF(L$3&lt;=$O$2,$D314,$D314-($D314-$I$292)*MIN(L$3-$O$2,$Q$2)/$Q$2))</f>
        <v>3083.57383000718</v>
      </c>
      <c r="M314" s="15" t="n">
        <f aca="false">L314*(1+IF(M$3&lt;=$O$2,$D314,$D314-($D314-$I$292)*MIN(M$3-$O$2,$Q$2)/$Q$2))</f>
        <v>3197.36730356715</v>
      </c>
      <c r="N314" s="15" t="n">
        <f aca="false">M314*(1+IF(N$3&lt;=$O$2,$D314,$D314-($D314-$I$292)*MIN(N$3-$O$2,$Q$2)/$Q$2))</f>
        <v>3319.82647129378</v>
      </c>
      <c r="O314" s="15" t="n">
        <f aca="false">SUMPRODUCT(E314:N314,1/(1+$F$292)^$E$3:$N$3)*$E$2</f>
        <v>8403.63126575263</v>
      </c>
      <c r="P314" s="15" t="n">
        <f aca="false">N314*$E$2*(1+$I$292)/($F$292-$I$292)/(1+$F$292)^$N$3</f>
        <v>12607.9843937655</v>
      </c>
      <c r="Q314" s="15" t="n">
        <f aca="false">O314+P314</f>
        <v>21011.6156595181</v>
      </c>
      <c r="R314" s="15" t="n">
        <f aca="false">Q314-$G$2+$I$2</f>
        <v>15660.0556595181</v>
      </c>
      <c r="S314" s="42" t="n">
        <f aca="false">R314/$K$2</f>
        <v>725.002576829543</v>
      </c>
      <c r="T314" s="43" t="n">
        <f aca="false">S314-$M$2</f>
        <v>0.00257682954327265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0.0313148498535156</v>
      </c>
      <c r="C315" s="25" t="n">
        <f aca="false">IF(T314&gt;0,D314,C314)</f>
        <v>0.0313155651092529</v>
      </c>
      <c r="D315" s="41" t="n">
        <f aca="false">(B315+C315)/2</f>
        <v>0.0313152074813843</v>
      </c>
      <c r="E315" s="15" t="n">
        <f aca="false">$C$2*(1+IF(E$3&lt;=$O$2,$D315,$D315-($D315-$I$292)*MIN(E$3-$O$2,$Q$2)/$Q$2))</f>
        <v>2464.84334588051</v>
      </c>
      <c r="F315" s="15" t="n">
        <f aca="false">E315*(1+IF(F$3&lt;=$O$2,$D315,$D315-($D315-$I$292)*MIN(F$3-$O$2,$Q$2)/$Q$2))</f>
        <v>2542.03042666587</v>
      </c>
      <c r="G315" s="15" t="n">
        <f aca="false">F315*(1+IF(G$3&lt;=$O$2,$D315,$D315-($D315-$I$292)*MIN(G$3-$O$2,$Q$2)/$Q$2))</f>
        <v>2621.6346369009</v>
      </c>
      <c r="H315" s="15" t="n">
        <f aca="false">G315*(1+IF(H$3&lt;=$O$2,$D315,$D315-($D315-$I$292)*MIN(H$3-$O$2,$Q$2)/$Q$2))</f>
        <v>2703.73166949583</v>
      </c>
      <c r="I315" s="15" t="n">
        <f aca="false">H315*(1+IF(I$3&lt;=$O$2,$D315,$D315-($D315-$I$292)*MIN(I$3-$O$2,$Q$2)/$Q$2))</f>
        <v>2788.39958770009</v>
      </c>
      <c r="J315" s="15" t="n">
        <f aca="false">I315*(1+IF(J$3&lt;=$O$2,$D315,$D315-($D315-$I$292)*MIN(J$3-$O$2,$Q$2)/$Q$2))</f>
        <v>2879.61417784574</v>
      </c>
      <c r="K315" s="15" t="n">
        <f aca="false">J315*(1+IF(K$3&lt;=$O$2,$D315,$D315-($D315-$I$292)*MIN(K$3-$O$2,$Q$2)/$Q$2))</f>
        <v>2977.83529631768</v>
      </c>
      <c r="L315" s="15" t="n">
        <f aca="false">K315*(1+IF(L$3&lt;=$O$2,$D315,$D315-($D315-$I$292)*MIN(L$3-$O$2,$Q$2)/$Q$2))</f>
        <v>3083.56656348689</v>
      </c>
      <c r="M315" s="15" t="n">
        <f aca="false">L315*(1+IF(M$3&lt;=$O$2,$D315,$D315-($D315-$I$292)*MIN(M$3-$O$2,$Q$2)/$Q$2))</f>
        <v>3197.35954833578</v>
      </c>
      <c r="N315" s="15" t="n">
        <f aca="false">M315*(1+IF(N$3&lt;=$O$2,$D315,$D315-($D315-$I$292)*MIN(N$3-$O$2,$Q$2)/$Q$2))</f>
        <v>3319.81841903704</v>
      </c>
      <c r="O315" s="15" t="n">
        <f aca="false">SUMPRODUCT(E315:N315,1/(1+$F$292)^$E$3:$N$3)*$E$2</f>
        <v>8403.61823339555</v>
      </c>
      <c r="P315" s="15" t="n">
        <f aca="false">N315*$E$2*(1+$I$292)/($F$292-$I$292)/(1+$F$292)^$N$3</f>
        <v>12607.9538130324</v>
      </c>
      <c r="Q315" s="15" t="n">
        <f aca="false">O315+P315</f>
        <v>21011.572046428</v>
      </c>
      <c r="R315" s="15" t="n">
        <f aca="false">Q315-$G$2+$I$2</f>
        <v>15660.012046428</v>
      </c>
      <c r="S315" s="42" t="n">
        <f aca="false">R315/$K$2</f>
        <v>725.000557704998</v>
      </c>
      <c r="T315" s="43" t="n">
        <f aca="false">S315-$M$2</f>
        <v>0.000557704997731889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0.0313148498535156</v>
      </c>
      <c r="C316" s="25" t="n">
        <f aca="false">IF(T315&gt;0,D315,C315)</f>
        <v>0.0313152074813843</v>
      </c>
      <c r="D316" s="41" t="n">
        <f aca="false">(B316+C316)/2</f>
        <v>0.03131502866745</v>
      </c>
      <c r="E316" s="15" t="n">
        <f aca="false">$C$2*(1+IF(E$3&lt;=$O$2,$D316,$D316-($D316-$I$292)*MIN(E$3-$O$2,$Q$2)/$Q$2))</f>
        <v>2464.84291851521</v>
      </c>
      <c r="F316" s="15" t="n">
        <f aca="false">E316*(1+IF(F$3&lt;=$O$2,$D316,$D316-($D316-$I$292)*MIN(F$3-$O$2,$Q$2)/$Q$2))</f>
        <v>2542.02954516927</v>
      </c>
      <c r="G316" s="15" t="n">
        <f aca="false">F316*(1+IF(G$3&lt;=$O$2,$D316,$D316-($D316-$I$292)*MIN(G$3-$O$2,$Q$2)/$Q$2))</f>
        <v>2621.63327324975</v>
      </c>
      <c r="H316" s="15" t="n">
        <f aca="false">G316*(1+IF(H$3&lt;=$O$2,$D316,$D316-($D316-$I$292)*MIN(H$3-$O$2,$Q$2)/$Q$2))</f>
        <v>2703.72979435711</v>
      </c>
      <c r="I316" s="15" t="n">
        <f aca="false">H316*(1+IF(I$3&lt;=$O$2,$D316,$D316-($D316-$I$292)*MIN(I$3-$O$2,$Q$2)/$Q$2))</f>
        <v>2788.39717037644</v>
      </c>
      <c r="J316" s="15" t="n">
        <f aca="false">I316*(1+IF(J$3&lt;=$O$2,$D316,$D316-($D316-$I$292)*MIN(J$3-$O$2,$Q$2)/$Q$2))</f>
        <v>2879.61128256278</v>
      </c>
      <c r="K316" s="15" t="n">
        <f aca="false">J316*(1+IF(K$3&lt;=$O$2,$D316,$D316-($D316-$I$292)*MIN(K$3-$O$2,$Q$2)/$Q$2))</f>
        <v>2977.83199333038</v>
      </c>
      <c r="L316" s="15" t="n">
        <f aca="false">K316*(1+IF(L$3&lt;=$O$2,$D316,$D316-($D316-$I$292)*MIN(L$3-$O$2,$Q$2)/$Q$2))</f>
        <v>3083.56293023231</v>
      </c>
      <c r="M316" s="15" t="n">
        <f aca="false">L316*(1+IF(M$3&lt;=$O$2,$D316,$D316-($D316-$I$292)*MIN(M$3-$O$2,$Q$2)/$Q$2))</f>
        <v>3197.35567072625</v>
      </c>
      <c r="N316" s="15" t="n">
        <f aca="false">M316*(1+IF(N$3&lt;=$O$2,$D316,$D316-($D316-$I$292)*MIN(N$3-$O$2,$Q$2)/$Q$2))</f>
        <v>3319.81439291507</v>
      </c>
      <c r="O316" s="15" t="n">
        <f aca="false">SUMPRODUCT(E316:N316,1/(1+$F$292)^$E$3:$N$3)*$E$2</f>
        <v>8403.6117172247</v>
      </c>
      <c r="P316" s="15" t="n">
        <f aca="false">N316*$E$2*(1+$I$292)/($F$292-$I$292)/(1+$F$292)^$N$3</f>
        <v>12607.9385226901</v>
      </c>
      <c r="Q316" s="15" t="n">
        <f aca="false">O316+P316</f>
        <v>21011.5502399148</v>
      </c>
      <c r="R316" s="15" t="n">
        <f aca="false">Q316-$G$2+$I$2</f>
        <v>15659.9902399148</v>
      </c>
      <c r="S316" s="42" t="n">
        <f aca="false">R316/$K$2</f>
        <v>724.999548144206</v>
      </c>
      <c r="T316" s="43" t="n">
        <f aca="false">S316-$M$2</f>
        <v>-0.000451855794494804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0.03131502866745</v>
      </c>
      <c r="C317" s="25" t="n">
        <f aca="false">IF(T316&gt;0,D316,C316)</f>
        <v>0.0313152074813843</v>
      </c>
      <c r="D317" s="41" t="n">
        <f aca="false">(B317+C317)/2</f>
        <v>0.0313151180744171</v>
      </c>
      <c r="E317" s="15" t="n">
        <f aca="false">$C$2*(1+IF(E$3&lt;=$O$2,$D317,$D317-($D317-$I$292)*MIN(E$3-$O$2,$Q$2)/$Q$2))</f>
        <v>2464.84313219786</v>
      </c>
      <c r="F317" s="15" t="n">
        <f aca="false">E317*(1+IF(F$3&lt;=$O$2,$D317,$D317-($D317-$I$292)*MIN(F$3-$O$2,$Q$2)/$Q$2))</f>
        <v>2542.02998591755</v>
      </c>
      <c r="G317" s="15" t="n">
        <f aca="false">F317*(1+IF(G$3&lt;=$O$2,$D317,$D317-($D317-$I$292)*MIN(G$3-$O$2,$Q$2)/$Q$2))</f>
        <v>2621.63395507527</v>
      </c>
      <c r="H317" s="15" t="n">
        <f aca="false">G317*(1+IF(H$3&lt;=$O$2,$D317,$D317-($D317-$I$292)*MIN(H$3-$O$2,$Q$2)/$Q$2))</f>
        <v>2703.73073192635</v>
      </c>
      <c r="I317" s="15" t="n">
        <f aca="false">H317*(1+IF(I$3&lt;=$O$2,$D317,$D317-($D317-$I$292)*MIN(I$3-$O$2,$Q$2)/$Q$2))</f>
        <v>2788.39837903805</v>
      </c>
      <c r="J317" s="15" t="n">
        <f aca="false">I317*(1+IF(J$3&lt;=$O$2,$D317,$D317-($D317-$I$292)*MIN(J$3-$O$2,$Q$2)/$Q$2))</f>
        <v>2879.61273020396</v>
      </c>
      <c r="K317" s="15" t="n">
        <f aca="false">J317*(1+IF(K$3&lt;=$O$2,$D317,$D317-($D317-$I$292)*MIN(K$3-$O$2,$Q$2)/$Q$2))</f>
        <v>2977.83364482364</v>
      </c>
      <c r="L317" s="15" t="n">
        <f aca="false">K317*(1+IF(L$3&lt;=$O$2,$D317,$D317-($D317-$I$292)*MIN(L$3-$O$2,$Q$2)/$Q$2))</f>
        <v>3083.56474685914</v>
      </c>
      <c r="M317" s="15" t="n">
        <f aca="false">L317*(1+IF(M$3&lt;=$O$2,$D317,$D317-($D317-$I$292)*MIN(M$3-$O$2,$Q$2)/$Q$2))</f>
        <v>3197.3576095305</v>
      </c>
      <c r="N317" s="15" t="n">
        <f aca="false">M317*(1+IF(N$3&lt;=$O$2,$D317,$D317-($D317-$I$292)*MIN(N$3-$O$2,$Q$2)/$Q$2))</f>
        <v>3319.81640597552</v>
      </c>
      <c r="O317" s="15" t="n">
        <f aca="false">SUMPRODUCT(E317:N317,1/(1+$F$292)^$E$3:$N$3)*$E$2</f>
        <v>8403.61497530948</v>
      </c>
      <c r="P317" s="15" t="n">
        <f aca="false">N317*$E$2*(1+$I$292)/($F$292-$I$292)/(1+$F$292)^$N$3</f>
        <v>12607.9461678593</v>
      </c>
      <c r="Q317" s="15" t="n">
        <f aca="false">O317+P317</f>
        <v>21011.5611431687</v>
      </c>
      <c r="R317" s="15" t="n">
        <f aca="false">Q317-$G$2+$I$2</f>
        <v>15660.0011431687</v>
      </c>
      <c r="S317" s="42" t="n">
        <f aca="false">R317/$K$2</f>
        <v>725.000052924479</v>
      </c>
      <c r="T317" s="43" t="n">
        <f aca="false">S317-$M$2</f>
        <v>5.29244784956973E-005</v>
      </c>
    </row>
    <row r="319" customFormat="false" ht="15" hidden="false" customHeight="false" outlineLevel="0" collapsed="false">
      <c r="A319" s="38" t="s">
        <v>192</v>
      </c>
      <c r="E319" s="5" t="s">
        <v>11</v>
      </c>
      <c r="F319" s="12" t="n">
        <f aca="false">Sensitivity!$B$12</f>
        <v>0.0969721785729318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162</v>
      </c>
      <c r="B320" s="28" t="s">
        <v>163</v>
      </c>
      <c r="C320" s="28" t="s">
        <v>164</v>
      </c>
      <c r="D320" s="28" t="s">
        <v>165</v>
      </c>
      <c r="E320" s="28" t="s">
        <v>166</v>
      </c>
      <c r="F320" s="28" t="s">
        <v>167</v>
      </c>
      <c r="G320" s="28" t="s">
        <v>168</v>
      </c>
      <c r="H320" s="28" t="s">
        <v>169</v>
      </c>
      <c r="I320" s="28" t="s">
        <v>170</v>
      </c>
      <c r="J320" s="28" t="s">
        <v>171</v>
      </c>
      <c r="K320" s="28" t="s">
        <v>172</v>
      </c>
      <c r="L320" s="28" t="s">
        <v>173</v>
      </c>
      <c r="M320" s="28" t="s">
        <v>174</v>
      </c>
      <c r="N320" s="28" t="s">
        <v>175</v>
      </c>
      <c r="O320" s="28" t="s">
        <v>176</v>
      </c>
      <c r="P320" s="28" t="s">
        <v>177</v>
      </c>
      <c r="Q320" s="28" t="s">
        <v>178</v>
      </c>
      <c r="R320" s="28" t="s">
        <v>179</v>
      </c>
      <c r="S320" s="28" t="s">
        <v>180</v>
      </c>
      <c r="T320" s="28" t="s">
        <v>181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2987.5</v>
      </c>
      <c r="F321" s="15" t="n">
        <f aca="false">E321*(1+IF(F$3&lt;=$O$2,$D321,$D321-($D321-$I$319)*MIN(F$3-$O$2,$Q$2)/$Q$2))</f>
        <v>3734.375</v>
      </c>
      <c r="G321" s="15" t="n">
        <f aca="false">F321*(1+IF(G$3&lt;=$O$2,$D321,$D321-($D321-$I$319)*MIN(G$3-$O$2,$Q$2)/$Q$2))</f>
        <v>4667.96875</v>
      </c>
      <c r="H321" s="15" t="n">
        <f aca="false">G321*(1+IF(H$3&lt;=$O$2,$D321,$D321-($D321-$I$319)*MIN(H$3-$O$2,$Q$2)/$Q$2))</f>
        <v>5834.9609375</v>
      </c>
      <c r="I321" s="15" t="n">
        <f aca="false">H321*(1+IF(I$3&lt;=$O$2,$D321,$D321-($D321-$I$319)*MIN(I$3-$O$2,$Q$2)/$Q$2))</f>
        <v>7293.701171875</v>
      </c>
      <c r="J321" s="15" t="n">
        <f aca="false">I321*(1+IF(J$3&lt;=$O$2,$D321,$D321-($D321-$I$319)*MIN(J$3-$O$2,$Q$2)/$Q$2))</f>
        <v>8779.13635253906</v>
      </c>
      <c r="K321" s="15" t="n">
        <f aca="false">J321*(1+IF(K$3&lt;=$O$2,$D321,$D321-($D321-$I$319)*MIN(K$3-$O$2,$Q$2)/$Q$2))</f>
        <v>10160.2700835205</v>
      </c>
      <c r="L321" s="15" t="n">
        <f aca="false">K321*(1+IF(L$3&lt;=$O$2,$D321,$D321-($D321-$I$319)*MIN(L$3-$O$2,$Q$2)/$Q$2))</f>
        <v>11287.8568573896</v>
      </c>
      <c r="M321" s="15" t="n">
        <f aca="false">L321*(1+IF(M$3&lt;=$O$2,$D321,$D321-($D321-$I$319)*MIN(M$3-$O$2,$Q$2)/$Q$2))</f>
        <v>12017.5039246513</v>
      </c>
      <c r="N321" s="15" t="n">
        <f aca="false">M321*(1+IF(N$3&lt;=$O$2,$D321,$D321-($D321-$I$319)*MIN(N$3-$O$2,$Q$2)/$Q$2))</f>
        <v>12237.4242464724</v>
      </c>
      <c r="O321" s="15" t="n">
        <f aca="false">SUMPRODUCT(E321:N321,1/(1+$F$319)^$E$3:$N$3)*$E$2</f>
        <v>20725.3930821014</v>
      </c>
      <c r="P321" s="15" t="n">
        <f aca="false">N321*$E$2*(1+$I$319)/($F$319-$I$319)/(1+$F$319)^$N$3</f>
        <v>29707.1395186186</v>
      </c>
      <c r="Q321" s="15" t="n">
        <f aca="false">O321+P321</f>
        <v>50432.53260072</v>
      </c>
      <c r="R321" s="15" t="n">
        <f aca="false">Q321-$G$2+$I$2</f>
        <v>45080.97260072</v>
      </c>
      <c r="S321" s="42" t="n">
        <f aca="false">R321/$K$2</f>
        <v>2087.08206484815</v>
      </c>
      <c r="T321" s="43" t="n">
        <f aca="false">S321-$M$2</f>
        <v>1362.08206484815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2091.25</v>
      </c>
      <c r="F322" s="15" t="n">
        <f aca="false">E322*(1+IF(F$3&lt;=$O$2,$D322,$D322-($D322-$I$319)*MIN(F$3-$O$2,$Q$2)/$Q$2))</f>
        <v>1829.84375</v>
      </c>
      <c r="G322" s="15" t="n">
        <f aca="false">F322*(1+IF(G$3&lt;=$O$2,$D322,$D322-($D322-$I$319)*MIN(G$3-$O$2,$Q$2)/$Q$2))</f>
        <v>1601.11328125</v>
      </c>
      <c r="H322" s="15" t="n">
        <f aca="false">G322*(1+IF(H$3&lt;=$O$2,$D322,$D322-($D322-$I$319)*MIN(H$3-$O$2,$Q$2)/$Q$2))</f>
        <v>1400.97412109375</v>
      </c>
      <c r="I322" s="15" t="n">
        <f aca="false">H322*(1+IF(I$3&lt;=$O$2,$D322,$D322-($D322-$I$319)*MIN(I$3-$O$2,$Q$2)/$Q$2))</f>
        <v>1225.85235595703</v>
      </c>
      <c r="J322" s="15" t="n">
        <f aca="false">I322*(1+IF(J$3&lt;=$O$2,$D322,$D322-($D322-$I$319)*MIN(J$3-$O$2,$Q$2)/$Q$2))</f>
        <v>1107.75373998413</v>
      </c>
      <c r="K322" s="15" t="n">
        <f aca="false">J322*(1+IF(K$3&lt;=$O$2,$D322,$D322-($D322-$I$319)*MIN(K$3-$O$2,$Q$2)/$Q$2))</f>
        <v>1032.780966862</v>
      </c>
      <c r="L322" s="15" t="n">
        <f aca="false">K322*(1+IF(L$3&lt;=$O$2,$D322,$D322-($D322-$I$319)*MIN(L$3-$O$2,$Q$2)/$Q$2))</f>
        <v>992.481853535049</v>
      </c>
      <c r="M322" s="15" t="n">
        <f aca="false">L322*(1+IF(M$3&lt;=$O$2,$D322,$D322-($D322-$I$319)*MIN(M$3-$O$2,$Q$2)/$Q$2))</f>
        <v>982.199741532426</v>
      </c>
      <c r="N322" s="15" t="n">
        <f aca="false">M322*(1+IF(N$3&lt;=$O$2,$D322,$D322-($D322-$I$319)*MIN(N$3-$O$2,$Q$2)/$Q$2))</f>
        <v>1000.17399680247</v>
      </c>
      <c r="O322" s="15" t="n">
        <f aca="false">SUMPRODUCT(E322:N322,1/(1+$F$319)^$E$3:$N$3)*$E$2</f>
        <v>4188.98788562087</v>
      </c>
      <c r="P322" s="15" t="n">
        <f aca="false">N322*$E$2*(1+$I$319)/($F$319-$I$319)/(1+$F$319)^$N$3</f>
        <v>2427.98712110274</v>
      </c>
      <c r="Q322" s="15" t="n">
        <f aca="false">O322+P322</f>
        <v>6616.97500672361</v>
      </c>
      <c r="R322" s="15" t="n">
        <f aca="false">Q322-$G$2+$I$2</f>
        <v>1265.41500672361</v>
      </c>
      <c r="S322" s="42" t="n">
        <f aca="false">R322/$K$2</f>
        <v>58.584028089056</v>
      </c>
      <c r="T322" s="43" t="n">
        <f aca="false">S322-$M$2</f>
        <v>-666.415971910944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2539.375</v>
      </c>
      <c r="F323" s="15" t="n">
        <f aca="false">E323*(1+IF(F$3&lt;=$O$2,$D323,$D323-($D323-$I$319)*MIN(F$3-$O$2,$Q$2)/$Q$2))</f>
        <v>2698.0859375</v>
      </c>
      <c r="G323" s="15" t="n">
        <f aca="false">F323*(1+IF(G$3&lt;=$O$2,$D323,$D323-($D323-$I$319)*MIN(G$3-$O$2,$Q$2)/$Q$2))</f>
        <v>2866.71630859375</v>
      </c>
      <c r="H323" s="15" t="n">
        <f aca="false">G323*(1+IF(H$3&lt;=$O$2,$D323,$D323-($D323-$I$319)*MIN(H$3-$O$2,$Q$2)/$Q$2))</f>
        <v>3045.88607788086</v>
      </c>
      <c r="I323" s="15" t="n">
        <f aca="false">H323*(1+IF(I$3&lt;=$O$2,$D323,$D323-($D323-$I$319)*MIN(I$3-$O$2,$Q$2)/$Q$2))</f>
        <v>3236.25395774841</v>
      </c>
      <c r="J323" s="15" t="n">
        <f aca="false">I323*(1+IF(J$3&lt;=$O$2,$D323,$D323-($D323-$I$319)*MIN(J$3-$O$2,$Q$2)/$Q$2))</f>
        <v>3409.91134512119</v>
      </c>
      <c r="K323" s="15" t="n">
        <f aca="false">J323*(1+IF(K$3&lt;=$O$2,$D323,$D323-($D323-$I$319)*MIN(K$3-$O$2,$Q$2)/$Q$2))</f>
        <v>3562.74357160953</v>
      </c>
      <c r="L323" s="15" t="n">
        <f aca="false">K323*(1+IF(L$3&lt;=$O$2,$D323,$D323-($D323-$I$319)*MIN(L$3-$O$2,$Q$2)/$Q$2))</f>
        <v>3690.93108531604</v>
      </c>
      <c r="M323" s="15" t="n">
        <f aca="false">L323*(1+IF(M$3&lt;=$O$2,$D323,$D323-($D323-$I$319)*MIN(M$3-$O$2,$Q$2)/$Q$2))</f>
        <v>3791.10295497151</v>
      </c>
      <c r="N323" s="15" t="n">
        <f aca="false">M323*(1+IF(N$3&lt;=$O$2,$D323,$D323-($D323-$I$319)*MIN(N$3-$O$2,$Q$2)/$Q$2))</f>
        <v>3860.48013904749</v>
      </c>
      <c r="O323" s="15" t="n">
        <f aca="false">SUMPRODUCT(E323:N323,1/(1+$F$319)^$E$3:$N$3)*$E$2</f>
        <v>9288.88857995607</v>
      </c>
      <c r="P323" s="15" t="n">
        <f aca="false">N323*$E$2*(1+$I$319)/($F$319-$I$319)/(1+$F$319)^$N$3</f>
        <v>9371.56543646014</v>
      </c>
      <c r="Q323" s="15" t="n">
        <f aca="false">O323+P323</f>
        <v>18660.4540164162</v>
      </c>
      <c r="R323" s="15" t="n">
        <f aca="false">Q323-$G$2+$I$2</f>
        <v>13308.8940164162</v>
      </c>
      <c r="S323" s="42" t="n">
        <f aca="false">R323/$K$2</f>
        <v>616.152500760009</v>
      </c>
      <c r="T323" s="43" t="n">
        <f aca="false">S323-$M$2</f>
        <v>-108.847499239991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0.0625</v>
      </c>
      <c r="C324" s="25" t="n">
        <f aca="false">IF(T323&gt;0,D323,C323)</f>
        <v>0.25</v>
      </c>
      <c r="D324" s="41" t="n">
        <f aca="false">(B324+C324)/2</f>
        <v>0.15625</v>
      </c>
      <c r="E324" s="15" t="n">
        <f aca="false">$C$2*(1+IF(E$3&lt;=$O$2,$D324,$D324-($D324-$I$319)*MIN(E$3-$O$2,$Q$2)/$Q$2))</f>
        <v>2763.4375</v>
      </c>
      <c r="F324" s="15" t="n">
        <f aca="false">E324*(1+IF(F$3&lt;=$O$2,$D324,$D324-($D324-$I$319)*MIN(F$3-$O$2,$Q$2)/$Q$2))</f>
        <v>3195.224609375</v>
      </c>
      <c r="G324" s="15" t="n">
        <f aca="false">F324*(1+IF(G$3&lt;=$O$2,$D324,$D324-($D324-$I$319)*MIN(G$3-$O$2,$Q$2)/$Q$2))</f>
        <v>3694.47845458984</v>
      </c>
      <c r="H324" s="15" t="n">
        <f aca="false">G324*(1+IF(H$3&lt;=$O$2,$D324,$D324-($D324-$I$319)*MIN(H$3-$O$2,$Q$2)/$Q$2))</f>
        <v>4271.74071311951</v>
      </c>
      <c r="I324" s="15" t="n">
        <f aca="false">H324*(1+IF(I$3&lt;=$O$2,$D324,$D324-($D324-$I$319)*MIN(I$3-$O$2,$Q$2)/$Q$2))</f>
        <v>4939.20019954443</v>
      </c>
      <c r="J324" s="15" t="n">
        <f aca="false">I324*(1+IF(J$3&lt;=$O$2,$D324,$D324-($D324-$I$319)*MIN(J$3-$O$2,$Q$2)/$Q$2))</f>
        <v>5574.67769721782</v>
      </c>
      <c r="K324" s="15" t="n">
        <f aca="false">J324*(1+IF(K$3&lt;=$O$2,$D324,$D324-($D324-$I$319)*MIN(K$3-$O$2,$Q$2)/$Q$2))</f>
        <v>6138.11037207562</v>
      </c>
      <c r="L324" s="15" t="n">
        <f aca="false">K324*(1+IF(L$3&lt;=$O$2,$D324,$D324-($D324-$I$319)*MIN(L$3-$O$2,$Q$2)/$Q$2))</f>
        <v>6589.13872221574</v>
      </c>
      <c r="M324" s="15" t="n">
        <f aca="false">L324*(1+IF(M$3&lt;=$O$2,$D324,$D324-($D324-$I$319)*MIN(M$3-$O$2,$Q$2)/$Q$2))</f>
        <v>6891.51429817822</v>
      </c>
      <c r="N324" s="15" t="n">
        <f aca="false">M324*(1+IF(N$3&lt;=$O$2,$D324,$D324-($D324-$I$319)*MIN(N$3-$O$2,$Q$2)/$Q$2))</f>
        <v>7017.62900983488</v>
      </c>
      <c r="O324" s="15" t="n">
        <f aca="false">SUMPRODUCT(E324:N324,1/(1+$F$319)^$E$3:$N$3)*$E$2</f>
        <v>13895.3354943525</v>
      </c>
      <c r="P324" s="15" t="n">
        <f aca="false">N324*$E$2*(1+$I$319)/($F$319-$I$319)/(1+$F$319)^$N$3</f>
        <v>17035.7486907562</v>
      </c>
      <c r="Q324" s="15" t="n">
        <f aca="false">O324+P324</f>
        <v>30931.0841851087</v>
      </c>
      <c r="R324" s="15" t="n">
        <f aca="false">Q324-$G$2+$I$2</f>
        <v>25579.5241851087</v>
      </c>
      <c r="S324" s="42" t="n">
        <f aca="false">R324/$K$2</f>
        <v>1184.23723079207</v>
      </c>
      <c r="T324" s="43" t="n">
        <f aca="false">S324-$M$2</f>
        <v>459.237230792067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0.0625</v>
      </c>
      <c r="C325" s="25" t="n">
        <f aca="false">IF(T324&gt;0,D324,C324)</f>
        <v>0.15625</v>
      </c>
      <c r="D325" s="41" t="n">
        <f aca="false">(B325+C325)/2</f>
        <v>0.109375</v>
      </c>
      <c r="E325" s="15" t="n">
        <f aca="false">$C$2*(1+IF(E$3&lt;=$O$2,$D325,$D325-($D325-$I$319)*MIN(E$3-$O$2,$Q$2)/$Q$2))</f>
        <v>2651.40625</v>
      </c>
      <c r="F325" s="15" t="n">
        <f aca="false">E325*(1+IF(F$3&lt;=$O$2,$D325,$D325-($D325-$I$319)*MIN(F$3-$O$2,$Q$2)/$Q$2))</f>
        <v>2941.40380859375</v>
      </c>
      <c r="G325" s="15" t="n">
        <f aca="false">F325*(1+IF(G$3&lt;=$O$2,$D325,$D325-($D325-$I$319)*MIN(G$3-$O$2,$Q$2)/$Q$2))</f>
        <v>3263.11985015869</v>
      </c>
      <c r="H325" s="15" t="n">
        <f aca="false">G325*(1+IF(H$3&lt;=$O$2,$D325,$D325-($D325-$I$319)*MIN(H$3-$O$2,$Q$2)/$Q$2))</f>
        <v>3620.0235837698</v>
      </c>
      <c r="I325" s="15" t="n">
        <f aca="false">H325*(1+IF(I$3&lt;=$O$2,$D325,$D325-($D325-$I$319)*MIN(I$3-$O$2,$Q$2)/$Q$2))</f>
        <v>4015.96366324462</v>
      </c>
      <c r="J325" s="15" t="n">
        <f aca="false">I325*(1+IF(J$3&lt;=$O$2,$D325,$D325-($D325-$I$319)*MIN(J$3-$O$2,$Q$2)/$Q$2))</f>
        <v>4382.058910786</v>
      </c>
      <c r="K325" s="15" t="n">
        <f aca="false">J325*(1+IF(K$3&lt;=$O$2,$D325,$D325-($D325-$I$319)*MIN(K$3-$O$2,$Q$2)/$Q$2))</f>
        <v>4701.70819803328</v>
      </c>
      <c r="L325" s="15" t="n">
        <f aca="false">K325*(1+IF(L$3&lt;=$O$2,$D325,$D325-($D325-$I$319)*MIN(L$3-$O$2,$Q$2)/$Q$2))</f>
        <v>4959.03268771165</v>
      </c>
      <c r="M325" s="15" t="n">
        <f aca="false">L325*(1+IF(M$3&lt;=$O$2,$D325,$D325-($D325-$I$319)*MIN(M$3-$O$2,$Q$2)/$Q$2))</f>
        <v>5140.11176630344</v>
      </c>
      <c r="N325" s="15" t="n">
        <f aca="false">M325*(1+IF(N$3&lt;=$O$2,$D325,$D325-($D325-$I$319)*MIN(N$3-$O$2,$Q$2)/$Q$2))</f>
        <v>5234.17581162679</v>
      </c>
      <c r="O325" s="15" t="n">
        <f aca="false">SUMPRODUCT(E325:N325,1/(1+$F$319)^$E$3:$N$3)*$E$2</f>
        <v>11362.2999125621</v>
      </c>
      <c r="P325" s="15" t="n">
        <f aca="false">N325*$E$2*(1+$I$319)/($F$319-$I$319)/(1+$F$319)^$N$3</f>
        <v>12706.3006045409</v>
      </c>
      <c r="Q325" s="15" t="n">
        <f aca="false">O325+P325</f>
        <v>24068.600517103</v>
      </c>
      <c r="R325" s="15" t="n">
        <f aca="false">Q325-$G$2+$I$2</f>
        <v>18717.040517103</v>
      </c>
      <c r="S325" s="42" t="n">
        <f aca="false">R325/$K$2</f>
        <v>866.529653569582</v>
      </c>
      <c r="T325" s="43" t="n">
        <f aca="false">S325-$M$2</f>
        <v>141.529653569582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0.0625</v>
      </c>
      <c r="C326" s="25" t="n">
        <f aca="false">IF(T325&gt;0,D325,C325)</f>
        <v>0.109375</v>
      </c>
      <c r="D326" s="41" t="n">
        <f aca="false">(B326+C326)/2</f>
        <v>0.0859375</v>
      </c>
      <c r="E326" s="15" t="n">
        <f aca="false">$C$2*(1+IF(E$3&lt;=$O$2,$D326,$D326-($D326-$I$319)*MIN(E$3-$O$2,$Q$2)/$Q$2))</f>
        <v>2595.390625</v>
      </c>
      <c r="F326" s="15" t="n">
        <f aca="false">E326*(1+IF(F$3&lt;=$O$2,$D326,$D326-($D326-$I$319)*MIN(F$3-$O$2,$Q$2)/$Q$2))</f>
        <v>2818.43200683594</v>
      </c>
      <c r="G326" s="15" t="n">
        <f aca="false">F326*(1+IF(G$3&lt;=$O$2,$D326,$D326-($D326-$I$319)*MIN(G$3-$O$2,$Q$2)/$Q$2))</f>
        <v>3060.6410074234</v>
      </c>
      <c r="H326" s="15" t="n">
        <f aca="false">G326*(1+IF(H$3&lt;=$O$2,$D326,$D326-($D326-$I$319)*MIN(H$3-$O$2,$Q$2)/$Q$2))</f>
        <v>3323.66484399885</v>
      </c>
      <c r="I326" s="15" t="n">
        <f aca="false">H326*(1+IF(I$3&lt;=$O$2,$D326,$D326-($D326-$I$319)*MIN(I$3-$O$2,$Q$2)/$Q$2))</f>
        <v>3609.29229153</v>
      </c>
      <c r="J326" s="15" t="n">
        <f aca="false">I326*(1+IF(J$3&lt;=$O$2,$D326,$D326-($D326-$I$319)*MIN(J$3-$O$2,$Q$2)/$Q$2))</f>
        <v>3870.64114635969</v>
      </c>
      <c r="K326" s="15" t="n">
        <f aca="false">J326*(1+IF(K$3&lt;=$O$2,$D326,$D326-($D326-$I$319)*MIN(K$3-$O$2,$Q$2)/$Q$2))</f>
        <v>4098.55417366021</v>
      </c>
      <c r="L326" s="15" t="n">
        <f aca="false">K326*(1+IF(L$3&lt;=$O$2,$D326,$D326-($D326-$I$319)*MIN(L$3-$O$2,$Q$2)/$Q$2))</f>
        <v>4284.44409820657</v>
      </c>
      <c r="M326" s="15" t="n">
        <f aca="false">L326*(1+IF(M$3&lt;=$O$2,$D326,$D326-($D326-$I$319)*MIN(M$3-$O$2,$Q$2)/$Q$2))</f>
        <v>4420.80724274224</v>
      </c>
      <c r="N326" s="15" t="n">
        <f aca="false">M326*(1+IF(N$3&lt;=$O$2,$D326,$D326-($D326-$I$319)*MIN(N$3-$O$2,$Q$2)/$Q$2))</f>
        <v>4501.70801528442</v>
      </c>
      <c r="O326" s="15" t="n">
        <f aca="false">SUMPRODUCT(E326:N326,1/(1+$F$319)^$E$3:$N$3)*$E$2</f>
        <v>10273.3576453207</v>
      </c>
      <c r="P326" s="15" t="n">
        <f aca="false">N326*$E$2*(1+$I$319)/($F$319-$I$319)/(1+$F$319)^$N$3</f>
        <v>10928.1876143739</v>
      </c>
      <c r="Q326" s="15" t="n">
        <f aca="false">O326+P326</f>
        <v>21201.5452596946</v>
      </c>
      <c r="R326" s="15" t="n">
        <f aca="false">Q326-$G$2+$I$2</f>
        <v>15849.9852596946</v>
      </c>
      <c r="S326" s="42" t="n">
        <f aca="false">R326/$K$2</f>
        <v>733.795613874749</v>
      </c>
      <c r="T326" s="43" t="n">
        <f aca="false">S326-$M$2</f>
        <v>8.79561387474882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0.0625</v>
      </c>
      <c r="C327" s="25" t="n">
        <f aca="false">IF(T326&gt;0,D326,C326)</f>
        <v>0.0859375</v>
      </c>
      <c r="D327" s="41" t="n">
        <f aca="false">(B327+C327)/2</f>
        <v>0.07421875</v>
      </c>
      <c r="E327" s="15" t="n">
        <f aca="false">$C$2*(1+IF(E$3&lt;=$O$2,$D327,$D327-($D327-$I$319)*MIN(E$3-$O$2,$Q$2)/$Q$2))</f>
        <v>2567.3828125</v>
      </c>
      <c r="F327" s="15" t="n">
        <f aca="false">E327*(1+IF(F$3&lt;=$O$2,$D327,$D327-($D327-$I$319)*MIN(F$3-$O$2,$Q$2)/$Q$2))</f>
        <v>2757.93075561523</v>
      </c>
      <c r="G327" s="15" t="n">
        <f aca="false">F327*(1+IF(G$3&lt;=$O$2,$D327,$D327-($D327-$I$319)*MIN(G$3-$O$2,$Q$2)/$Q$2))</f>
        <v>2962.62092888355</v>
      </c>
      <c r="H327" s="15" t="n">
        <f aca="false">G327*(1+IF(H$3&lt;=$O$2,$D327,$D327-($D327-$I$319)*MIN(H$3-$O$2,$Q$2)/$Q$2))</f>
        <v>3182.50295094913</v>
      </c>
      <c r="I327" s="15" t="n">
        <f aca="false">H327*(1+IF(I$3&lt;=$O$2,$D327,$D327-($D327-$I$319)*MIN(I$3-$O$2,$Q$2)/$Q$2))</f>
        <v>3418.70434183988</v>
      </c>
      <c r="J327" s="15" t="n">
        <f aca="false">I327*(1+IF(J$3&lt;=$O$2,$D327,$D327-($D327-$I$319)*MIN(J$3-$O$2,$Q$2)/$Q$2))</f>
        <v>3634.20237002776</v>
      </c>
      <c r="K327" s="15" t="n">
        <f aca="false">J327*(1+IF(K$3&lt;=$O$2,$D327,$D327-($D327-$I$319)*MIN(K$3-$O$2,$Q$2)/$Q$2))</f>
        <v>3822.64030566666</v>
      </c>
      <c r="L327" s="15" t="n">
        <f aca="false">K327*(1+IF(L$3&lt;=$O$2,$D327,$D327-($D327-$I$319)*MIN(L$3-$O$2,$Q$2)/$Q$2))</f>
        <v>3978.09753029736</v>
      </c>
      <c r="M327" s="15" t="n">
        <f aca="false">L327*(1+IF(M$3&lt;=$O$2,$D327,$D327-($D327-$I$319)*MIN(M$3-$O$2,$Q$2)/$Q$2))</f>
        <v>4095.38676335627</v>
      </c>
      <c r="N327" s="15" t="n">
        <f aca="false">M327*(1+IF(N$3&lt;=$O$2,$D327,$D327-($D327-$I$319)*MIN(N$3-$O$2,$Q$2)/$Q$2))</f>
        <v>4170.33234112569</v>
      </c>
      <c r="O327" s="15" t="n">
        <f aca="false">SUMPRODUCT(E327:N327,1/(1+$F$319)^$E$3:$N$3)*$E$2</f>
        <v>9768.67075606901</v>
      </c>
      <c r="P327" s="15" t="n">
        <f aca="false">N327*$E$2*(1+$I$319)/($F$319-$I$319)/(1+$F$319)^$N$3</f>
        <v>10123.7517145441</v>
      </c>
      <c r="Q327" s="15" t="n">
        <f aca="false">O327+P327</f>
        <v>19892.4224706131</v>
      </c>
      <c r="R327" s="15" t="n">
        <f aca="false">Q327-$G$2+$I$2</f>
        <v>14540.8624706131</v>
      </c>
      <c r="S327" s="42" t="n">
        <f aca="false">R327/$K$2</f>
        <v>673.188077343198</v>
      </c>
      <c r="T327" s="43" t="n">
        <f aca="false">S327-$M$2</f>
        <v>-51.811922656802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0.07421875</v>
      </c>
      <c r="C328" s="25" t="n">
        <f aca="false">IF(T327&gt;0,D327,C327)</f>
        <v>0.0859375</v>
      </c>
      <c r="D328" s="41" t="n">
        <f aca="false">(B328+C328)/2</f>
        <v>0.080078125</v>
      </c>
      <c r="E328" s="15" t="n">
        <f aca="false">$C$2*(1+IF(E$3&lt;=$O$2,$D328,$D328-($D328-$I$319)*MIN(E$3-$O$2,$Q$2)/$Q$2))</f>
        <v>2581.38671875</v>
      </c>
      <c r="F328" s="15" t="n">
        <f aca="false">E328*(1+IF(F$3&lt;=$O$2,$D328,$D328-($D328-$I$319)*MIN(F$3-$O$2,$Q$2)/$Q$2))</f>
        <v>2788.0993270874</v>
      </c>
      <c r="G328" s="15" t="n">
        <f aca="false">F328*(1+IF(G$3&lt;=$O$2,$D328,$D328-($D328-$I$319)*MIN(G$3-$O$2,$Q$2)/$Q$2))</f>
        <v>3011.36509351432</v>
      </c>
      <c r="H328" s="15" t="n">
        <f aca="false">G328*(1+IF(H$3&lt;=$O$2,$D328,$D328-($D328-$I$319)*MIN(H$3-$O$2,$Q$2)/$Q$2))</f>
        <v>3252.5095638934</v>
      </c>
      <c r="I328" s="15" t="n">
        <f aca="false">H328*(1+IF(I$3&lt;=$O$2,$D328,$D328-($D328-$I$319)*MIN(I$3-$O$2,$Q$2)/$Q$2))</f>
        <v>3512.96443131455</v>
      </c>
      <c r="J328" s="15" t="n">
        <f aca="false">I328*(1+IF(J$3&lt;=$O$2,$D328,$D328-($D328-$I$319)*MIN(J$3-$O$2,$Q$2)/$Q$2))</f>
        <v>3750.87116501425</v>
      </c>
      <c r="K328" s="15" t="n">
        <f aca="false">J328*(1+IF(K$3&lt;=$O$2,$D328,$D328-($D328-$I$319)*MIN(K$3-$O$2,$Q$2)/$Q$2))</f>
        <v>3958.5451799487</v>
      </c>
      <c r="L328" s="15" t="n">
        <f aca="false">K328*(1+IF(L$3&lt;=$O$2,$D328,$D328-($D328-$I$319)*MIN(L$3-$O$2,$Q$2)/$Q$2))</f>
        <v>4128.80715631977</v>
      </c>
      <c r="M328" s="15" t="n">
        <f aca="false">L328*(1+IF(M$3&lt;=$O$2,$D328,$D328-($D328-$I$319)*MIN(M$3-$O$2,$Q$2)/$Q$2))</f>
        <v>4255.37832020122</v>
      </c>
      <c r="N328" s="15" t="n">
        <f aca="false">M328*(1+IF(N$3&lt;=$O$2,$D328,$D328-($D328-$I$319)*MIN(N$3-$O$2,$Q$2)/$Q$2))</f>
        <v>4333.25174346091</v>
      </c>
      <c r="O328" s="15" t="n">
        <f aca="false">SUMPRODUCT(E328:N328,1/(1+$F$319)^$E$3:$N$3)*$E$2</f>
        <v>10017.8271957187</v>
      </c>
      <c r="P328" s="15" t="n">
        <f aca="false">N328*$E$2*(1+$I$319)/($F$319-$I$319)/(1+$F$319)^$N$3</f>
        <v>10519.2491099096</v>
      </c>
      <c r="Q328" s="15" t="n">
        <f aca="false">O328+P328</f>
        <v>20537.0763056282</v>
      </c>
      <c r="R328" s="15" t="n">
        <f aca="false">Q328-$G$2+$I$2</f>
        <v>15185.5163056282</v>
      </c>
      <c r="S328" s="42" t="n">
        <f aca="false">R328/$K$2</f>
        <v>703.033162297602</v>
      </c>
      <c r="T328" s="43" t="n">
        <f aca="false">S328-$M$2</f>
        <v>-21.9668377023976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0.080078125</v>
      </c>
      <c r="C329" s="25" t="n">
        <f aca="false">IF(T328&gt;0,D328,C328)</f>
        <v>0.0859375</v>
      </c>
      <c r="D329" s="41" t="n">
        <f aca="false">(B329+C329)/2</f>
        <v>0.0830078125</v>
      </c>
      <c r="E329" s="15" t="n">
        <f aca="false">$C$2*(1+IF(E$3&lt;=$O$2,$D329,$D329-($D329-$I$319)*MIN(E$3-$O$2,$Q$2)/$Q$2))</f>
        <v>2588.388671875</v>
      </c>
      <c r="F329" s="15" t="n">
        <f aca="false">E329*(1+IF(F$3&lt;=$O$2,$D329,$D329-($D329-$I$319)*MIN(F$3-$O$2,$Q$2)/$Q$2))</f>
        <v>2803.24515342712</v>
      </c>
      <c r="G329" s="15" t="n">
        <f aca="false">F329*(1+IF(G$3&lt;=$O$2,$D329,$D329-($D329-$I$319)*MIN(G$3-$O$2,$Q$2)/$Q$2))</f>
        <v>3035.93640151434</v>
      </c>
      <c r="H329" s="15" t="n">
        <f aca="false">G329*(1+IF(H$3&lt;=$O$2,$D329,$D329-($D329-$I$319)*MIN(H$3-$O$2,$Q$2)/$Q$2))</f>
        <v>3287.94284109316</v>
      </c>
      <c r="I329" s="15" t="n">
        <f aca="false">H329*(1+IF(I$3&lt;=$O$2,$D329,$D329-($D329-$I$319)*MIN(I$3-$O$2,$Q$2)/$Q$2))</f>
        <v>3560.86778395734</v>
      </c>
      <c r="J329" s="15" t="n">
        <f aca="false">I329*(1+IF(J$3&lt;=$O$2,$D329,$D329-($D329-$I$319)*MIN(J$3-$O$2,$Q$2)/$Q$2))</f>
        <v>3810.36443632504</v>
      </c>
      <c r="K329" s="15" t="n">
        <f aca="false">J329*(1+IF(K$3&lt;=$O$2,$D329,$D329-($D329-$I$319)*MIN(K$3-$O$2,$Q$2)/$Q$2))</f>
        <v>4028.03031401123</v>
      </c>
      <c r="L329" s="15" t="n">
        <f aca="false">K329*(1+IF(L$3&lt;=$O$2,$D329,$D329-($D329-$I$319)*MIN(L$3-$O$2,$Q$2)/$Q$2))</f>
        <v>4206.00128087897</v>
      </c>
      <c r="M329" s="15" t="n">
        <f aca="false">L329*(1+IF(M$3&lt;=$O$2,$D329,$D329-($D329-$I$319)*MIN(M$3-$O$2,$Q$2)/$Q$2))</f>
        <v>4337.40333277063</v>
      </c>
      <c r="N329" s="15" t="n">
        <f aca="false">M329*(1+IF(N$3&lt;=$O$2,$D329,$D329-($D329-$I$319)*MIN(N$3-$O$2,$Q$2)/$Q$2))</f>
        <v>4416.77781376034</v>
      </c>
      <c r="O329" s="15" t="n">
        <f aca="false">SUMPRODUCT(E329:N329,1/(1+$F$319)^$E$3:$N$3)*$E$2</f>
        <v>10144.7862631947</v>
      </c>
      <c r="P329" s="15" t="n">
        <f aca="false">N329*$E$2*(1+$I$319)/($F$319-$I$319)/(1+$F$319)^$N$3</f>
        <v>10722.0140524212</v>
      </c>
      <c r="Q329" s="15" t="n">
        <f aca="false">O329+P329</f>
        <v>20866.8003156159</v>
      </c>
      <c r="R329" s="15" t="n">
        <f aca="false">Q329-$G$2+$I$2</f>
        <v>15515.2403156159</v>
      </c>
      <c r="S329" s="42" t="n">
        <f aca="false">R329/$K$2</f>
        <v>718.298162759995</v>
      </c>
      <c r="T329" s="43" t="n">
        <f aca="false">S329-$M$2</f>
        <v>-6.70183724000481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0.0830078125</v>
      </c>
      <c r="C330" s="25" t="n">
        <f aca="false">IF(T329&gt;0,D329,C329)</f>
        <v>0.0859375</v>
      </c>
      <c r="D330" s="41" t="n">
        <f aca="false">(B330+C330)/2</f>
        <v>0.08447265625</v>
      </c>
      <c r="E330" s="15" t="n">
        <f aca="false">$C$2*(1+IF(E$3&lt;=$O$2,$D330,$D330-($D330-$I$319)*MIN(E$3-$O$2,$Q$2)/$Q$2))</f>
        <v>2591.8896484375</v>
      </c>
      <c r="F330" s="15" t="n">
        <f aca="false">E330*(1+IF(F$3&lt;=$O$2,$D330,$D330-($D330-$I$319)*MIN(F$3-$O$2,$Q$2)/$Q$2))</f>
        <v>2810.83345174789</v>
      </c>
      <c r="G330" s="15" t="n">
        <f aca="false">F330*(1+IF(G$3&lt;=$O$2,$D330,$D330-($D330-$I$319)*MIN(G$3-$O$2,$Q$2)/$Q$2))</f>
        <v>3048.2720196934</v>
      </c>
      <c r="H330" s="15" t="n">
        <f aca="false">G330*(1+IF(H$3&lt;=$O$2,$D330,$D330-($D330-$I$319)*MIN(H$3-$O$2,$Q$2)/$Q$2))</f>
        <v>3305.76765416945</v>
      </c>
      <c r="I330" s="15" t="n">
        <f aca="false">H330*(1+IF(I$3&lt;=$O$2,$D330,$D330-($D330-$I$319)*MIN(I$3-$O$2,$Q$2)/$Q$2))</f>
        <v>3585.01462886247</v>
      </c>
      <c r="J330" s="15" t="n">
        <f aca="false">I330*(1+IF(J$3&lt;=$O$2,$D330,$D330-($D330-$I$319)*MIN(J$3-$O$2,$Q$2)/$Q$2))</f>
        <v>3840.40434912021</v>
      </c>
      <c r="K330" s="15" t="n">
        <f aca="false">J330*(1+IF(K$3&lt;=$O$2,$D330,$D330-($D330-$I$319)*MIN(K$3-$O$2,$Q$2)/$Q$2))</f>
        <v>4063.16160282231</v>
      </c>
      <c r="L330" s="15" t="n">
        <f aca="false">K330*(1+IF(L$3&lt;=$O$2,$D330,$D330-($D330-$I$319)*MIN(L$3-$O$2,$Q$2)/$Q$2))</f>
        <v>4245.06553856666</v>
      </c>
      <c r="M330" s="15" t="n">
        <f aca="false">L330*(1+IF(M$3&lt;=$O$2,$D330,$D330-($D330-$I$319)*MIN(M$3-$O$2,$Q$2)/$Q$2))</f>
        <v>4378.93169045089</v>
      </c>
      <c r="N330" s="15" t="n">
        <f aca="false">M330*(1+IF(N$3&lt;=$O$2,$D330,$D330-($D330-$I$319)*MIN(N$3-$O$2,$Q$2)/$Q$2))</f>
        <v>4459.06614038614</v>
      </c>
      <c r="O330" s="15" t="n">
        <f aca="false">SUMPRODUCT(E330:N330,1/(1+$F$319)^$E$3:$N$3)*$E$2</f>
        <v>10208.8692286212</v>
      </c>
      <c r="P330" s="15" t="n">
        <f aca="false">N330*$E$2*(1+$I$319)/($F$319-$I$319)/(1+$F$319)^$N$3</f>
        <v>10824.6717027388</v>
      </c>
      <c r="Q330" s="15" t="n">
        <f aca="false">O330+P330</f>
        <v>21033.5409313599</v>
      </c>
      <c r="R330" s="15" t="n">
        <f aca="false">Q330-$G$2+$I$2</f>
        <v>15681.9809313599</v>
      </c>
      <c r="S330" s="42" t="n">
        <f aca="false">R330/$K$2</f>
        <v>726.017635711109</v>
      </c>
      <c r="T330" s="43" t="n">
        <f aca="false">S330-$M$2</f>
        <v>1.01763571110848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0.0830078125</v>
      </c>
      <c r="C331" s="25" t="n">
        <f aca="false">IF(T330&gt;0,D330,C330)</f>
        <v>0.08447265625</v>
      </c>
      <c r="D331" s="41" t="n">
        <f aca="false">(B331+C331)/2</f>
        <v>0.083740234375</v>
      </c>
      <c r="E331" s="15" t="n">
        <f aca="false">$C$2*(1+IF(E$3&lt;=$O$2,$D331,$D331-($D331-$I$319)*MIN(E$3-$O$2,$Q$2)/$Q$2))</f>
        <v>2590.13916015625</v>
      </c>
      <c r="F331" s="15" t="n">
        <f aca="false">E331*(1+IF(F$3&lt;=$O$2,$D331,$D331-($D331-$I$319)*MIN(F$3-$O$2,$Q$2)/$Q$2))</f>
        <v>2807.0380204916</v>
      </c>
      <c r="G331" s="15" t="n">
        <f aca="false">F331*(1+IF(G$3&lt;=$O$2,$D331,$D331-($D331-$I$319)*MIN(G$3-$O$2,$Q$2)/$Q$2))</f>
        <v>3042.1000422271</v>
      </c>
      <c r="H331" s="15" t="n">
        <f aca="false">G331*(1+IF(H$3&lt;=$O$2,$D331,$D331-($D331-$I$319)*MIN(H$3-$O$2,$Q$2)/$Q$2))</f>
        <v>3296.8462127554</v>
      </c>
      <c r="I331" s="15" t="n">
        <f aca="false">H331*(1+IF(I$3&lt;=$O$2,$D331,$D331-($D331-$I$319)*MIN(I$3-$O$2,$Q$2)/$Q$2))</f>
        <v>3572.92488730987</v>
      </c>
      <c r="J331" s="15" t="n">
        <f aca="false">I331*(1+IF(J$3&lt;=$O$2,$D331,$D331-($D331-$I$319)*MIN(J$3-$O$2,$Q$2)/$Q$2))</f>
        <v>3825.3598463715</v>
      </c>
      <c r="K331" s="15" t="n">
        <f aca="false">J331*(1+IF(K$3&lt;=$O$2,$D331,$D331-($D331-$I$319)*MIN(K$3-$O$2,$Q$2)/$Q$2))</f>
        <v>4045.56339850926</v>
      </c>
      <c r="L331" s="15" t="n">
        <f aca="false">K331*(1+IF(L$3&lt;=$O$2,$D331,$D331-($D331-$I$319)*MIN(L$3-$O$2,$Q$2)/$Q$2))</f>
        <v>4225.49425549292</v>
      </c>
      <c r="M331" s="15" t="n">
        <f aca="false">L331*(1+IF(M$3&lt;=$O$2,$D331,$D331-($D331-$I$319)*MIN(M$3-$O$2,$Q$2)/$Q$2))</f>
        <v>4358.12426725438</v>
      </c>
      <c r="N331" s="15" t="n">
        <f aca="false">M331*(1+IF(N$3&lt;=$O$2,$D331,$D331-($D331-$I$319)*MIN(N$3-$O$2,$Q$2)/$Q$2))</f>
        <v>4437.87794134513</v>
      </c>
      <c r="O331" s="15" t="n">
        <f aca="false">SUMPRODUCT(E331:N331,1/(1+$F$319)^$E$3:$N$3)*$E$2</f>
        <v>10176.7772132603</v>
      </c>
      <c r="P331" s="15" t="n">
        <f aca="false">N331*$E$2*(1+$I$319)/($F$319-$I$319)/(1+$F$319)^$N$3</f>
        <v>10773.2359779995</v>
      </c>
      <c r="Q331" s="15" t="n">
        <f aca="false">O331+P331</f>
        <v>20950.0131912598</v>
      </c>
      <c r="R331" s="15" t="n">
        <f aca="false">Q331-$G$2+$I$2</f>
        <v>15598.4531912598</v>
      </c>
      <c r="S331" s="42" t="n">
        <f aca="false">R331/$K$2</f>
        <v>722.150610706471</v>
      </c>
      <c r="T331" s="43" t="n">
        <f aca="false">S331-$M$2</f>
        <v>-2.84938929352882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0.083740234375</v>
      </c>
      <c r="C332" s="25" t="n">
        <f aca="false">IF(T331&gt;0,D331,C331)</f>
        <v>0.08447265625</v>
      </c>
      <c r="D332" s="41" t="n">
        <f aca="false">(B332+C332)/2</f>
        <v>0.0841064453125</v>
      </c>
      <c r="E332" s="15" t="n">
        <f aca="false">$C$2*(1+IF(E$3&lt;=$O$2,$D332,$D332-($D332-$I$319)*MIN(E$3-$O$2,$Q$2)/$Q$2))</f>
        <v>2591.01440429688</v>
      </c>
      <c r="F332" s="15" t="n">
        <f aca="false">E332*(1+IF(F$3&lt;=$O$2,$D332,$D332-($D332-$I$319)*MIN(F$3-$O$2,$Q$2)/$Q$2))</f>
        <v>2808.93541559577</v>
      </c>
      <c r="G332" s="15" t="n">
        <f aca="false">F332*(1+IF(G$3&lt;=$O$2,$D332,$D332-($D332-$I$319)*MIN(G$3-$O$2,$Q$2)/$Q$2))</f>
        <v>3045.18498851392</v>
      </c>
      <c r="H332" s="15" t="n">
        <f aca="false">G332*(1+IF(H$3&lt;=$O$2,$D332,$D332-($D332-$I$319)*MIN(H$3-$O$2,$Q$2)/$Q$2))</f>
        <v>3301.30467321681</v>
      </c>
      <c r="I332" s="15" t="n">
        <f aca="false">H332*(1+IF(I$3&lt;=$O$2,$D332,$D332-($D332-$I$319)*MIN(I$3-$O$2,$Q$2)/$Q$2))</f>
        <v>3578.96567417462</v>
      </c>
      <c r="J332" s="15" t="n">
        <f aca="false">I332*(1+IF(J$3&lt;=$O$2,$D332,$D332-($D332-$I$319)*MIN(J$3-$O$2,$Q$2)/$Q$2))</f>
        <v>3832.87595314233</v>
      </c>
      <c r="K332" s="15" t="n">
        <f aca="false">J332*(1+IF(K$3&lt;=$O$2,$D332,$D332-($D332-$I$319)*MIN(K$3-$O$2,$Q$2)/$Q$2))</f>
        <v>4054.35434816487</v>
      </c>
      <c r="L332" s="15" t="n">
        <f aca="false">K332*(1+IF(L$3&lt;=$O$2,$D332,$D332-($D332-$I$319)*MIN(L$3-$O$2,$Q$2)/$Q$2))</f>
        <v>4235.27009181229</v>
      </c>
      <c r="M332" s="15" t="n">
        <f aca="false">L332*(1+IF(M$3&lt;=$O$2,$D332,$D332-($D332-$I$319)*MIN(M$3-$O$2,$Q$2)/$Q$2))</f>
        <v>4368.51714842855</v>
      </c>
      <c r="N332" s="15" t="n">
        <f aca="false">M332*(1+IF(N$3&lt;=$O$2,$D332,$D332-($D332-$I$319)*MIN(N$3-$O$2,$Q$2)/$Q$2))</f>
        <v>4448.4610122448</v>
      </c>
      <c r="O332" s="15" t="n">
        <f aca="false">SUMPRODUCT(E332:N332,1/(1+$F$319)^$E$3:$N$3)*$E$2</f>
        <v>10192.8105692133</v>
      </c>
      <c r="P332" s="15" t="n">
        <f aca="false">N332*$E$2*(1+$I$319)/($F$319-$I$319)/(1+$F$319)^$N$3</f>
        <v>10798.9270676781</v>
      </c>
      <c r="Q332" s="15" t="n">
        <f aca="false">O332+P332</f>
        <v>20991.7376368914</v>
      </c>
      <c r="R332" s="15" t="n">
        <f aca="false">Q332-$G$2+$I$2</f>
        <v>15640.1776368914</v>
      </c>
      <c r="S332" s="42" t="n">
        <f aca="false">R332/$K$2</f>
        <v>724.082298004232</v>
      </c>
      <c r="T332" s="43" t="n">
        <f aca="false">S332-$M$2</f>
        <v>-0.917701995767629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0.0841064453125</v>
      </c>
      <c r="C333" s="25" t="n">
        <f aca="false">IF(T332&gt;0,D332,C332)</f>
        <v>0.08447265625</v>
      </c>
      <c r="D333" s="41" t="n">
        <f aca="false">(B333+C333)/2</f>
        <v>0.08428955078125</v>
      </c>
      <c r="E333" s="15" t="n">
        <f aca="false">$C$2*(1+IF(E$3&lt;=$O$2,$D333,$D333-($D333-$I$319)*MIN(E$3-$O$2,$Q$2)/$Q$2))</f>
        <v>2591.45202636719</v>
      </c>
      <c r="F333" s="15" t="n">
        <f aca="false">E333*(1+IF(F$3&lt;=$O$2,$D333,$D333-($D333-$I$319)*MIN(F$3-$O$2,$Q$2)/$Q$2))</f>
        <v>2809.88435354084</v>
      </c>
      <c r="G333" s="15" t="n">
        <f aca="false">F333*(1+IF(G$3&lt;=$O$2,$D333,$D333-($D333-$I$319)*MIN(G$3-$O$2,$Q$2)/$Q$2))</f>
        <v>3046.72824344806</v>
      </c>
      <c r="H333" s="15" t="n">
        <f aca="false">G333*(1+IF(H$3&lt;=$O$2,$D333,$D333-($D333-$I$319)*MIN(H$3-$O$2,$Q$2)/$Q$2))</f>
        <v>3303.53559844084</v>
      </c>
      <c r="I333" s="15" t="n">
        <f aca="false">H333*(1+IF(I$3&lt;=$O$2,$D333,$D333-($D333-$I$319)*MIN(I$3-$O$2,$Q$2)/$Q$2))</f>
        <v>3581.98913002329</v>
      </c>
      <c r="J333" s="15" t="n">
        <f aca="false">I333*(1+IF(J$3&lt;=$O$2,$D333,$D333-($D333-$I$319)*MIN(J$3-$O$2,$Q$2)/$Q$2))</f>
        <v>3836.63861397756</v>
      </c>
      <c r="K333" s="15" t="n">
        <f aca="false">J333*(1+IF(K$3&lt;=$O$2,$D333,$D333-($D333-$I$319)*MIN(K$3-$O$2,$Q$2)/$Q$2))</f>
        <v>4058.75593580118</v>
      </c>
      <c r="L333" s="15" t="n">
        <f aca="false">K333*(1+IF(L$3&lt;=$O$2,$D333,$D333-($D333-$I$319)*MIN(L$3-$O$2,$Q$2)/$Q$2))</f>
        <v>4240.16536180004</v>
      </c>
      <c r="M333" s="15" t="n">
        <f aca="false">L333*(1+IF(M$3&lt;=$O$2,$D333,$D333-($D333-$I$319)*MIN(M$3-$O$2,$Q$2)/$Q$2))</f>
        <v>4373.72170941366</v>
      </c>
      <c r="N333" s="15" t="n">
        <f aca="false">M333*(1+IF(N$3&lt;=$O$2,$D333,$D333-($D333-$I$319)*MIN(N$3-$O$2,$Q$2)/$Q$2))</f>
        <v>4453.76081669593</v>
      </c>
      <c r="O333" s="15" t="n">
        <f aca="false">SUMPRODUCT(E333:N333,1/(1+$F$319)^$E$3:$N$3)*$E$2</f>
        <v>10200.8367336621</v>
      </c>
      <c r="P333" s="15" t="n">
        <f aca="false">N333*$E$2*(1+$I$319)/($F$319-$I$319)/(1+$F$319)^$N$3</f>
        <v>10811.7926860534</v>
      </c>
      <c r="Q333" s="15" t="n">
        <f aca="false">O333+P333</f>
        <v>21012.6294197155</v>
      </c>
      <c r="R333" s="15" t="n">
        <f aca="false">Q333-$G$2+$I$2</f>
        <v>15661.0694197155</v>
      </c>
      <c r="S333" s="42" t="n">
        <f aca="false">R333/$K$2</f>
        <v>725.049510172013</v>
      </c>
      <c r="T333" s="43" t="n">
        <f aca="false">S333-$M$2</f>
        <v>0.0495101720125604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0.0841064453125</v>
      </c>
      <c r="C334" s="25" t="n">
        <f aca="false">IF(T333&gt;0,D333,C333)</f>
        <v>0.08428955078125</v>
      </c>
      <c r="D334" s="41" t="n">
        <f aca="false">(B334+C334)/2</f>
        <v>0.084197998046875</v>
      </c>
      <c r="E334" s="15" t="n">
        <f aca="false">$C$2*(1+IF(E$3&lt;=$O$2,$D334,$D334-($D334-$I$319)*MIN(E$3-$O$2,$Q$2)/$Q$2))</f>
        <v>2591.23321533203</v>
      </c>
      <c r="F334" s="15" t="n">
        <f aca="false">E334*(1+IF(F$3&lt;=$O$2,$D334,$D334-($D334-$I$319)*MIN(F$3-$O$2,$Q$2)/$Q$2))</f>
        <v>2809.40986453556</v>
      </c>
      <c r="G334" s="15" t="n">
        <f aca="false">F334*(1+IF(G$3&lt;=$O$2,$D334,$D334-($D334-$I$319)*MIN(G$3-$O$2,$Q$2)/$Q$2))</f>
        <v>3045.95655082259</v>
      </c>
      <c r="H334" s="15" t="n">
        <f aca="false">G334*(1+IF(H$3&lt;=$O$2,$D334,$D334-($D334-$I$319)*MIN(H$3-$O$2,$Q$2)/$Q$2))</f>
        <v>3302.41999453962</v>
      </c>
      <c r="I334" s="15" t="n">
        <f aca="false">H334*(1+IF(I$3&lt;=$O$2,$D334,$D334-($D334-$I$319)*MIN(I$3-$O$2,$Q$2)/$Q$2))</f>
        <v>3580.47714678983</v>
      </c>
      <c r="J334" s="15" t="n">
        <f aca="false">I334*(1+IF(J$3&lt;=$O$2,$D334,$D334-($D334-$I$319)*MIN(J$3-$O$2,$Q$2)/$Q$2))</f>
        <v>3834.75689939691</v>
      </c>
      <c r="K334" s="15" t="n">
        <f aca="false">J334*(1+IF(K$3&lt;=$O$2,$D334,$D334-($D334-$I$319)*MIN(K$3-$O$2,$Q$2)/$Q$2))</f>
        <v>4056.55463225589</v>
      </c>
      <c r="L334" s="15" t="n">
        <f aca="false">K334*(1+IF(L$3&lt;=$O$2,$D334,$D334-($D334-$I$319)*MIN(L$3-$O$2,$Q$2)/$Q$2))</f>
        <v>4237.71711371955</v>
      </c>
      <c r="M334" s="15" t="n">
        <f aca="false">L334*(1+IF(M$3&lt;=$O$2,$D334,$D334-($D334-$I$319)*MIN(M$3-$O$2,$Q$2)/$Q$2))</f>
        <v>4371.11875171724</v>
      </c>
      <c r="N334" s="15" t="n">
        <f aca="false">M334*(1+IF(N$3&lt;=$O$2,$D334,$D334-($D334-$I$319)*MIN(N$3-$O$2,$Q$2)/$Q$2))</f>
        <v>4451.11022487366</v>
      </c>
      <c r="O334" s="15" t="n">
        <f aca="false">SUMPRODUCT(E334:N334,1/(1+$F$319)^$E$3:$N$3)*$E$2</f>
        <v>10196.8228604144</v>
      </c>
      <c r="P334" s="15" t="n">
        <f aca="false">N334*$E$2*(1+$I$319)/($F$319-$I$319)/(1+$F$319)^$N$3</f>
        <v>10805.3582028251</v>
      </c>
      <c r="Q334" s="15" t="n">
        <f aca="false">O334+P334</f>
        <v>21002.1810632396</v>
      </c>
      <c r="R334" s="15" t="n">
        <f aca="false">Q334-$G$2+$I$2</f>
        <v>15650.6210632396</v>
      </c>
      <c r="S334" s="42" t="n">
        <f aca="false">R334/$K$2</f>
        <v>724.565789964794</v>
      </c>
      <c r="T334" s="43" t="n">
        <f aca="false">S334-$M$2</f>
        <v>-0.434210035205751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0.084197998046875</v>
      </c>
      <c r="C335" s="25" t="n">
        <f aca="false">IF(T334&gt;0,D334,C334)</f>
        <v>0.08428955078125</v>
      </c>
      <c r="D335" s="41" t="n">
        <f aca="false">(B335+C335)/2</f>
        <v>0.0842437744140625</v>
      </c>
      <c r="E335" s="15" t="n">
        <f aca="false">$C$2*(1+IF(E$3&lt;=$O$2,$D335,$D335-($D335-$I$319)*MIN(E$3-$O$2,$Q$2)/$Q$2))</f>
        <v>2591.34262084961</v>
      </c>
      <c r="F335" s="15" t="n">
        <f aca="false">E335*(1+IF(F$3&lt;=$O$2,$D335,$D335-($D335-$I$319)*MIN(F$3-$O$2,$Q$2)/$Q$2))</f>
        <v>2809.64710403001</v>
      </c>
      <c r="G335" s="15" t="n">
        <f aca="false">F335*(1+IF(G$3&lt;=$O$2,$D335,$D335-($D335-$I$319)*MIN(G$3-$O$2,$Q$2)/$Q$2))</f>
        <v>3046.34238084504</v>
      </c>
      <c r="H335" s="15" t="n">
        <f aca="false">G335*(1+IF(H$3&lt;=$O$2,$D335,$D335-($D335-$I$319)*MIN(H$3-$O$2,$Q$2)/$Q$2))</f>
        <v>3302.97776116494</v>
      </c>
      <c r="I335" s="15" t="n">
        <f aca="false">H335*(1+IF(I$3&lt;=$O$2,$D335,$D335-($D335-$I$319)*MIN(I$3-$O$2,$Q$2)/$Q$2))</f>
        <v>3581.23307457119</v>
      </c>
      <c r="J335" s="15" t="n">
        <f aca="false">I335*(1+IF(J$3&lt;=$O$2,$D335,$D335-($D335-$I$319)*MIN(J$3-$O$2,$Q$2)/$Q$2))</f>
        <v>3835.6976606308</v>
      </c>
      <c r="K335" s="15" t="n">
        <f aca="false">J335*(1+IF(K$3&lt;=$O$2,$D335,$D335-($D335-$I$319)*MIN(K$3-$O$2,$Q$2)/$Q$2))</f>
        <v>4057.65515657226</v>
      </c>
      <c r="L335" s="15" t="n">
        <f aca="false">K335*(1+IF(L$3&lt;=$O$2,$D335,$D335-($D335-$I$319)*MIN(L$3-$O$2,$Q$2)/$Q$2))</f>
        <v>4238.94108445556</v>
      </c>
      <c r="M335" s="15" t="n">
        <f aca="false">L335*(1+IF(M$3&lt;=$O$2,$D335,$D335-($D335-$I$319)*MIN(M$3-$O$2,$Q$2)/$Q$2))</f>
        <v>4372.42006122666</v>
      </c>
      <c r="N335" s="15" t="n">
        <f aca="false">M335*(1+IF(N$3&lt;=$O$2,$D335,$D335-($D335-$I$319)*MIN(N$3-$O$2,$Q$2)/$Q$2))</f>
        <v>4452.43534834711</v>
      </c>
      <c r="O335" s="15" t="n">
        <f aca="false">SUMPRODUCT(E335:N335,1/(1+$F$319)^$E$3:$N$3)*$E$2</f>
        <v>10198.8295992461</v>
      </c>
      <c r="P335" s="15" t="n">
        <f aca="false">N335*$E$2*(1+$I$319)/($F$319-$I$319)/(1+$F$319)^$N$3</f>
        <v>10808.5750258356</v>
      </c>
      <c r="Q335" s="15" t="n">
        <f aca="false">O335+P335</f>
        <v>21007.4046250817</v>
      </c>
      <c r="R335" s="15" t="n">
        <f aca="false">Q335-$G$2+$I$2</f>
        <v>15655.8446250817</v>
      </c>
      <c r="S335" s="42" t="n">
        <f aca="false">R335/$K$2</f>
        <v>724.807621531562</v>
      </c>
      <c r="T335" s="43" t="n">
        <f aca="false">S335-$M$2</f>
        <v>-0.192378468437937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0.0842437744140625</v>
      </c>
      <c r="C336" s="25" t="n">
        <f aca="false">IF(T335&gt;0,D335,C335)</f>
        <v>0.08428955078125</v>
      </c>
      <c r="D336" s="41" t="n">
        <f aca="false">(B336+C336)/2</f>
        <v>0.0842666625976563</v>
      </c>
      <c r="E336" s="15" t="n">
        <f aca="false">$C$2*(1+IF(E$3&lt;=$O$2,$D336,$D336-($D336-$I$319)*MIN(E$3-$O$2,$Q$2)/$Q$2))</f>
        <v>2591.3973236084</v>
      </c>
      <c r="F336" s="15" t="n">
        <f aca="false">E336*(1+IF(F$3&lt;=$O$2,$D336,$D336-($D336-$I$319)*MIN(F$3-$O$2,$Q$2)/$Q$2))</f>
        <v>2809.76572753338</v>
      </c>
      <c r="G336" s="15" t="n">
        <f aca="false">F336*(1+IF(G$3&lt;=$O$2,$D336,$D336-($D336-$I$319)*MIN(G$3-$O$2,$Q$2)/$Q$2))</f>
        <v>3046.53530807389</v>
      </c>
      <c r="H336" s="15" t="n">
        <f aca="false">G336*(1+IF(H$3&lt;=$O$2,$D336,$D336-($D336-$I$319)*MIN(H$3-$O$2,$Q$2)/$Q$2))</f>
        <v>3303.2566709712</v>
      </c>
      <c r="I336" s="15" t="n">
        <f aca="false">H336*(1+IF(I$3&lt;=$O$2,$D336,$D336-($D336-$I$319)*MIN(I$3-$O$2,$Q$2)/$Q$2))</f>
        <v>3581.61108633739</v>
      </c>
      <c r="J336" s="15" t="n">
        <f aca="false">I336*(1+IF(J$3&lt;=$O$2,$D336,$D336-($D336-$I$319)*MIN(J$3-$O$2,$Q$2)/$Q$2))</f>
        <v>3836.16811328812</v>
      </c>
      <c r="K336" s="15" t="n">
        <f aca="false">J336*(1+IF(K$3&lt;=$O$2,$D336,$D336-($D336-$I$319)*MIN(K$3-$O$2,$Q$2)/$Q$2))</f>
        <v>4058.20551431959</v>
      </c>
      <c r="L336" s="15" t="n">
        <f aca="false">K336*(1+IF(L$3&lt;=$O$2,$D336,$D336-($D336-$I$319)*MIN(L$3-$O$2,$Q$2)/$Q$2))</f>
        <v>4239.55318479766</v>
      </c>
      <c r="M336" s="15" t="n">
        <f aca="false">L336*(1+IF(M$3&lt;=$O$2,$D336,$D336-($D336-$I$319)*MIN(M$3-$O$2,$Q$2)/$Q$2))</f>
        <v>4373.07084298073</v>
      </c>
      <c r="N336" s="15" t="n">
        <f aca="false">M336*(1+IF(N$3&lt;=$O$2,$D336,$D336-($D336-$I$319)*MIN(N$3-$O$2,$Q$2)/$Q$2))</f>
        <v>4453.09803940728</v>
      </c>
      <c r="O336" s="15" t="n">
        <f aca="false">SUMPRODUCT(E336:N336,1/(1+$F$319)^$E$3:$N$3)*$E$2</f>
        <v>10199.8331170015</v>
      </c>
      <c r="P336" s="15" t="n">
        <f aca="false">N336*$E$2*(1+$I$319)/($F$319-$I$319)/(1+$F$319)^$N$3</f>
        <v>10810.1837512819</v>
      </c>
      <c r="Q336" s="15" t="n">
        <f aca="false">O336+P336</f>
        <v>21010.0168682834</v>
      </c>
      <c r="R336" s="15" t="n">
        <f aca="false">Q336-$G$2+$I$2</f>
        <v>15658.4568682834</v>
      </c>
      <c r="S336" s="42" t="n">
        <f aca="false">R336/$K$2</f>
        <v>724.928558716826</v>
      </c>
      <c r="T336" s="43" t="n">
        <f aca="false">S336-$M$2</f>
        <v>-0.0714412831744085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0.0842666625976563</v>
      </c>
      <c r="C337" s="25" t="n">
        <f aca="false">IF(T336&gt;0,D336,C336)</f>
        <v>0.08428955078125</v>
      </c>
      <c r="D337" s="41" t="n">
        <f aca="false">(B337+C337)/2</f>
        <v>0.0842781066894531</v>
      </c>
      <c r="E337" s="15" t="n">
        <f aca="false">$C$2*(1+IF(E$3&lt;=$O$2,$D337,$D337-($D337-$I$319)*MIN(E$3-$O$2,$Q$2)/$Q$2))</f>
        <v>2591.42467498779</v>
      </c>
      <c r="F337" s="15" t="n">
        <f aca="false">E337*(1+IF(F$3&lt;=$O$2,$D337,$D337-($D337-$I$319)*MIN(F$3-$O$2,$Q$2)/$Q$2))</f>
        <v>2809.8250402241</v>
      </c>
      <c r="G337" s="15" t="n">
        <f aca="false">F337*(1+IF(G$3&lt;=$O$2,$D337,$D337-($D337-$I$319)*MIN(G$3-$O$2,$Q$2)/$Q$2))</f>
        <v>3046.6317747428</v>
      </c>
      <c r="H337" s="15" t="n">
        <f aca="false">G337*(1+IF(H$3&lt;=$O$2,$D337,$D337-($D337-$I$319)*MIN(H$3-$O$2,$Q$2)/$Q$2))</f>
        <v>3303.39613249805</v>
      </c>
      <c r="I337" s="15" t="n">
        <f aca="false">H337*(1+IF(I$3&lt;=$O$2,$D337,$D337-($D337-$I$319)*MIN(I$3-$O$2,$Q$2)/$Q$2))</f>
        <v>3581.80010419025</v>
      </c>
      <c r="J337" s="15" t="n">
        <f aca="false">I337*(1+IF(J$3&lt;=$O$2,$D337,$D337-($D337-$I$319)*MIN(J$3-$O$2,$Q$2)/$Q$2))</f>
        <v>3836.40335762858</v>
      </c>
      <c r="K337" s="15" t="n">
        <f aca="false">J337*(1+IF(K$3&lt;=$O$2,$D337,$D337-($D337-$I$319)*MIN(K$3-$O$2,$Q$2)/$Q$2))</f>
        <v>4058.48071709322</v>
      </c>
      <c r="L337" s="15" t="n">
        <f aca="false">K337*(1+IF(L$3&lt;=$O$2,$D337,$D337-($D337-$I$319)*MIN(L$3-$O$2,$Q$2)/$Q$2))</f>
        <v>4239.85926371581</v>
      </c>
      <c r="M337" s="15" t="n">
        <f aca="false">L337*(1+IF(M$3&lt;=$O$2,$D337,$D337-($D337-$I$319)*MIN(M$3-$O$2,$Q$2)/$Q$2))</f>
        <v>4373.39626561175</v>
      </c>
      <c r="N337" s="15" t="n">
        <f aca="false">M337*(1+IF(N$3&lt;=$O$2,$D337,$D337-($D337-$I$319)*MIN(N$3-$O$2,$Q$2)/$Q$2))</f>
        <v>4453.42941727244</v>
      </c>
      <c r="O337" s="15" t="n">
        <f aca="false">SUMPRODUCT(E337:N337,1/(1+$F$319)^$E$3:$N$3)*$E$2</f>
        <v>10200.3349129681</v>
      </c>
      <c r="P337" s="15" t="n">
        <f aca="false">N337*$E$2*(1+$I$319)/($F$319-$I$319)/(1+$F$319)^$N$3</f>
        <v>10810.9881925005</v>
      </c>
      <c r="Q337" s="15" t="n">
        <f aca="false">O337+P337</f>
        <v>21011.3231054686</v>
      </c>
      <c r="R337" s="15" t="n">
        <f aca="false">Q337-$G$2+$I$2</f>
        <v>15659.7631054686</v>
      </c>
      <c r="S337" s="42" t="n">
        <f aca="false">R337/$K$2</f>
        <v>724.989032660585</v>
      </c>
      <c r="T337" s="43" t="n">
        <f aca="false">S337-$M$2</f>
        <v>-0.0109673394155152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0.0842781066894531</v>
      </c>
      <c r="C338" s="25" t="n">
        <f aca="false">IF(T337&gt;0,D337,C337)</f>
        <v>0.08428955078125</v>
      </c>
      <c r="D338" s="41" t="n">
        <f aca="false">(B338+C338)/2</f>
        <v>0.0842838287353516</v>
      </c>
      <c r="E338" s="15" t="n">
        <f aca="false">$C$2*(1+IF(E$3&lt;=$O$2,$D338,$D338-($D338-$I$319)*MIN(E$3-$O$2,$Q$2)/$Q$2))</f>
        <v>2591.43835067749</v>
      </c>
      <c r="F338" s="15" t="n">
        <f aca="false">E338*(1+IF(F$3&lt;=$O$2,$D338,$D338-($D338-$I$319)*MIN(F$3-$O$2,$Q$2)/$Q$2))</f>
        <v>2809.85469680421</v>
      </c>
      <c r="G338" s="15" t="n">
        <f aca="false">F338*(1+IF(G$3&lt;=$O$2,$D338,$D338-($D338-$I$319)*MIN(G$3-$O$2,$Q$2)/$Q$2))</f>
        <v>3046.68000884088</v>
      </c>
      <c r="H338" s="15" t="n">
        <f aca="false">G338*(1+IF(H$3&lt;=$O$2,$D338,$D338-($D338-$I$319)*MIN(H$3-$O$2,$Q$2)/$Q$2))</f>
        <v>3303.46586491745</v>
      </c>
      <c r="I338" s="15" t="n">
        <f aca="false">H338*(1+IF(I$3&lt;=$O$2,$D338,$D338-($D338-$I$319)*MIN(I$3-$O$2,$Q$2)/$Q$2))</f>
        <v>3581.89461610923</v>
      </c>
      <c r="J338" s="15" t="n">
        <f aca="false">I338*(1+IF(J$3&lt;=$O$2,$D338,$D338-($D338-$I$319)*MIN(J$3-$O$2,$Q$2)/$Q$2))</f>
        <v>3836.52098430197</v>
      </c>
      <c r="K338" s="15" t="n">
        <f aca="false">J338*(1+IF(K$3&lt;=$O$2,$D338,$D338-($D338-$I$319)*MIN(K$3-$O$2,$Q$2)/$Q$2))</f>
        <v>4058.61832445536</v>
      </c>
      <c r="L338" s="15" t="n">
        <f aca="false">K338*(1+IF(L$3&lt;=$O$2,$D338,$D338-($D338-$I$319)*MIN(L$3-$O$2,$Q$2)/$Q$2))</f>
        <v>4240.0123103621</v>
      </c>
      <c r="M338" s="15" t="n">
        <f aca="false">L338*(1+IF(M$3&lt;=$O$2,$D338,$D338-($D338-$I$319)*MIN(M$3-$O$2,$Q$2)/$Q$2))</f>
        <v>4373.55898486627</v>
      </c>
      <c r="N338" s="15" t="n">
        <f aca="false">M338*(1+IF(N$3&lt;=$O$2,$D338,$D338-($D338-$I$319)*MIN(N$3-$O$2,$Q$2)/$Q$2))</f>
        <v>4453.59511428932</v>
      </c>
      <c r="O338" s="15" t="n">
        <f aca="false">SUMPRODUCT(E338:N338,1/(1+$F$319)^$E$3:$N$3)*$E$2</f>
        <v>10200.5858202241</v>
      </c>
      <c r="P338" s="15" t="n">
        <f aca="false">N338*$E$2*(1+$I$319)/($F$319-$I$319)/(1+$F$319)^$N$3</f>
        <v>10811.390432735</v>
      </c>
      <c r="Q338" s="15" t="n">
        <f aca="false">O338+P338</f>
        <v>21011.9762529591</v>
      </c>
      <c r="R338" s="15" t="n">
        <f aca="false">Q338-$G$2+$I$2</f>
        <v>15660.4162529591</v>
      </c>
      <c r="S338" s="42" t="n">
        <f aca="false">R338/$K$2</f>
        <v>725.019270970328</v>
      </c>
      <c r="T338" s="43" t="n">
        <f aca="false">S338-$M$2</f>
        <v>0.0192709703280798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0.0842781066894531</v>
      </c>
      <c r="C339" s="25" t="n">
        <f aca="false">IF(T338&gt;0,D338,C338)</f>
        <v>0.0842838287353516</v>
      </c>
      <c r="D339" s="41" t="n">
        <f aca="false">(B339+C339)/2</f>
        <v>0.0842809677124023</v>
      </c>
      <c r="E339" s="15" t="n">
        <f aca="false">$C$2*(1+IF(E$3&lt;=$O$2,$D339,$D339-($D339-$I$319)*MIN(E$3-$O$2,$Q$2)/$Q$2))</f>
        <v>2591.43151283264</v>
      </c>
      <c r="F339" s="15" t="n">
        <f aca="false">E339*(1+IF(F$3&lt;=$O$2,$D339,$D339-($D339-$I$319)*MIN(F$3-$O$2,$Q$2)/$Q$2))</f>
        <v>2809.83986849459</v>
      </c>
      <c r="G339" s="15" t="n">
        <f aca="false">F339*(1+IF(G$3&lt;=$O$2,$D339,$D339-($D339-$I$319)*MIN(G$3-$O$2,$Q$2)/$Q$2))</f>
        <v>3046.65589172821</v>
      </c>
      <c r="H339" s="15" t="n">
        <f aca="false">G339*(1+IF(H$3&lt;=$O$2,$D339,$D339-($D339-$I$319)*MIN(H$3-$O$2,$Q$2)/$Q$2))</f>
        <v>3303.43099856975</v>
      </c>
      <c r="I339" s="15" t="n">
        <f aca="false">H339*(1+IF(I$3&lt;=$O$2,$D339,$D339-($D339-$I$319)*MIN(I$3-$O$2,$Q$2)/$Q$2))</f>
        <v>3581.84735990036</v>
      </c>
      <c r="J339" s="15" t="n">
        <f aca="false">I339*(1+IF(J$3&lt;=$O$2,$D339,$D339-($D339-$I$319)*MIN(J$3-$O$2,$Q$2)/$Q$2))</f>
        <v>3836.46217059</v>
      </c>
      <c r="K339" s="15" t="n">
        <f aca="false">J339*(1+IF(K$3&lt;=$O$2,$D339,$D339-($D339-$I$319)*MIN(K$3-$O$2,$Q$2)/$Q$2))</f>
        <v>4058.54952027633</v>
      </c>
      <c r="L339" s="15" t="n">
        <f aca="false">K339*(1+IF(L$3&lt;=$O$2,$D339,$D339-($D339-$I$319)*MIN(L$3-$O$2,$Q$2)/$Q$2))</f>
        <v>4239.93578644</v>
      </c>
      <c r="M339" s="15" t="n">
        <f aca="false">L339*(1+IF(M$3&lt;=$O$2,$D339,$D339-($D339-$I$319)*MIN(M$3-$O$2,$Q$2)/$Q$2))</f>
        <v>4373.47762457741</v>
      </c>
      <c r="N339" s="15" t="n">
        <f aca="false">M339*(1+IF(N$3&lt;=$O$2,$D339,$D339-($D339-$I$319)*MIN(N$3-$O$2,$Q$2)/$Q$2))</f>
        <v>4453.51226510718</v>
      </c>
      <c r="O339" s="15" t="n">
        <f aca="false">SUMPRODUCT(E339:N339,1/(1+$F$319)^$E$3:$N$3)*$E$2</f>
        <v>10200.4603658234</v>
      </c>
      <c r="P339" s="15" t="n">
        <f aca="false">N339*$E$2*(1+$I$319)/($F$319-$I$319)/(1+$F$319)^$N$3</f>
        <v>10811.1893109823</v>
      </c>
      <c r="Q339" s="15" t="n">
        <f aca="false">O339+P339</f>
        <v>21011.6496768057</v>
      </c>
      <c r="R339" s="15" t="n">
        <f aca="false">Q339-$G$2+$I$2</f>
        <v>15660.0896768057</v>
      </c>
      <c r="S339" s="42" t="n">
        <f aca="false">R339/$K$2</f>
        <v>725.004151703965</v>
      </c>
      <c r="T339" s="43" t="n">
        <f aca="false">S339-$M$2</f>
        <v>0.00415170396536269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0.0842781066894531</v>
      </c>
      <c r="C340" s="25" t="n">
        <f aca="false">IF(T339&gt;0,D339,C339)</f>
        <v>0.0842809677124023</v>
      </c>
      <c r="D340" s="41" t="n">
        <f aca="false">(B340+C340)/2</f>
        <v>0.0842795372009277</v>
      </c>
      <c r="E340" s="15" t="n">
        <f aca="false">$C$2*(1+IF(E$3&lt;=$O$2,$D340,$D340-($D340-$I$319)*MIN(E$3-$O$2,$Q$2)/$Q$2))</f>
        <v>2591.42809391022</v>
      </c>
      <c r="F340" s="15" t="n">
        <f aca="false">E340*(1+IF(F$3&lt;=$O$2,$D340,$D340-($D340-$I$319)*MIN(F$3-$O$2,$Q$2)/$Q$2))</f>
        <v>2809.83245435445</v>
      </c>
      <c r="G340" s="15" t="n">
        <f aca="false">F340*(1+IF(G$3&lt;=$O$2,$D340,$D340-($D340-$I$319)*MIN(G$3-$O$2,$Q$2)/$Q$2))</f>
        <v>3046.64383321959</v>
      </c>
      <c r="H340" s="15" t="n">
        <f aca="false">G340*(1+IF(H$3&lt;=$O$2,$D340,$D340-($D340-$I$319)*MIN(H$3-$O$2,$Q$2)/$Q$2))</f>
        <v>3303.4135654994</v>
      </c>
      <c r="I340" s="15" t="n">
        <f aca="false">H340*(1+IF(I$3&lt;=$O$2,$D340,$D340-($D340-$I$319)*MIN(I$3-$O$2,$Q$2)/$Q$2))</f>
        <v>3581.82373198296</v>
      </c>
      <c r="J340" s="15" t="n">
        <f aca="false">I340*(1+IF(J$3&lt;=$O$2,$D340,$D340-($D340-$I$319)*MIN(J$3-$O$2,$Q$2)/$Q$2))</f>
        <v>3836.43276401547</v>
      </c>
      <c r="K340" s="15" t="n">
        <f aca="false">J340*(1+IF(K$3&lt;=$O$2,$D340,$D340-($D340-$I$319)*MIN(K$3-$O$2,$Q$2)/$Q$2))</f>
        <v>4058.51511856029</v>
      </c>
      <c r="L340" s="15" t="n">
        <f aca="false">K340*(1+IF(L$3&lt;=$O$2,$D340,$D340-($D340-$I$319)*MIN(L$3-$O$2,$Q$2)/$Q$2))</f>
        <v>4239.89752492817</v>
      </c>
      <c r="M340" s="15" t="n">
        <f aca="false">L340*(1+IF(M$3&lt;=$O$2,$D340,$D340-($D340-$I$319)*MIN(M$3-$O$2,$Q$2)/$Q$2))</f>
        <v>4373.43694492918</v>
      </c>
      <c r="N340" s="15" t="n">
        <f aca="false">M340*(1+IF(N$3&lt;=$O$2,$D340,$D340-($D340-$I$319)*MIN(N$3-$O$2,$Q$2)/$Q$2))</f>
        <v>4453.47084102138</v>
      </c>
      <c r="O340" s="15" t="n">
        <f aca="false">SUMPRODUCT(E340:N340,1/(1+$F$319)^$E$3:$N$3)*$E$2</f>
        <v>10200.3976392025</v>
      </c>
      <c r="P340" s="15" t="n">
        <f aca="false">N340*$E$2*(1+$I$319)/($F$319-$I$319)/(1+$F$319)^$N$3</f>
        <v>10811.0887513326</v>
      </c>
      <c r="Q340" s="15" t="n">
        <f aca="false">O340+P340</f>
        <v>21011.4863905351</v>
      </c>
      <c r="R340" s="15" t="n">
        <f aca="false">Q340-$G$2+$I$2</f>
        <v>15659.9263905351</v>
      </c>
      <c r="S340" s="42" t="n">
        <f aca="false">R340/$K$2</f>
        <v>724.996592154403</v>
      </c>
      <c r="T340" s="43" t="n">
        <f aca="false">S340-$M$2</f>
        <v>-0.00340784559750773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0.0842795372009277</v>
      </c>
      <c r="C341" s="25" t="n">
        <f aca="false">IF(T340&gt;0,D340,C340)</f>
        <v>0.0842809677124023</v>
      </c>
      <c r="D341" s="41" t="n">
        <f aca="false">(B341+C341)/2</f>
        <v>0.084280252456665</v>
      </c>
      <c r="E341" s="15" t="n">
        <f aca="false">$C$2*(1+IF(E$3&lt;=$O$2,$D341,$D341-($D341-$I$319)*MIN(E$3-$O$2,$Q$2)/$Q$2))</f>
        <v>2591.42980337143</v>
      </c>
      <c r="F341" s="15" t="n">
        <f aca="false">E341*(1+IF(F$3&lt;=$O$2,$D341,$D341-($D341-$I$319)*MIN(F$3-$O$2,$Q$2)/$Q$2))</f>
        <v>2809.8361614233</v>
      </c>
      <c r="G341" s="15" t="n">
        <f aca="false">F341*(1+IF(G$3&lt;=$O$2,$D341,$D341-($D341-$I$319)*MIN(G$3-$O$2,$Q$2)/$Q$2))</f>
        <v>3046.64986246992</v>
      </c>
      <c r="H341" s="15" t="n">
        <f aca="false">G341*(1+IF(H$3&lt;=$O$2,$D341,$D341-($D341-$I$319)*MIN(H$3-$O$2,$Q$2)/$Q$2))</f>
        <v>3303.42228202595</v>
      </c>
      <c r="I341" s="15" t="n">
        <f aca="false">H341*(1+IF(I$3&lt;=$O$2,$D341,$D341-($D341-$I$319)*MIN(I$3-$O$2,$Q$2)/$Q$2))</f>
        <v>3581.83554592607</v>
      </c>
      <c r="J341" s="15" t="n">
        <f aca="false">I341*(1+IF(J$3&lt;=$O$2,$D341,$D341-($D341-$I$319)*MIN(J$3-$O$2,$Q$2)/$Q$2))</f>
        <v>3836.44746727928</v>
      </c>
      <c r="K341" s="15" t="n">
        <f aca="false">J341*(1+IF(K$3&lt;=$O$2,$D341,$D341-($D341-$I$319)*MIN(K$3-$O$2,$Q$2)/$Q$2))</f>
        <v>4058.53231938719</v>
      </c>
      <c r="L341" s="15" t="n">
        <f aca="false">K341*(1+IF(L$3&lt;=$O$2,$D341,$D341-($D341-$I$319)*MIN(L$3-$O$2,$Q$2)/$Q$2))</f>
        <v>4239.91665564665</v>
      </c>
      <c r="M341" s="15" t="n">
        <f aca="false">L341*(1+IF(M$3&lt;=$O$2,$D341,$D341-($D341-$I$319)*MIN(M$3-$O$2,$Q$2)/$Q$2))</f>
        <v>4373.45728471194</v>
      </c>
      <c r="N341" s="15" t="n">
        <f aca="false">M341*(1+IF(N$3&lt;=$O$2,$D341,$D341-($D341-$I$319)*MIN(N$3-$O$2,$Q$2)/$Q$2))</f>
        <v>4453.49155302217</v>
      </c>
      <c r="O341" s="15" t="n">
        <f aca="false">SUMPRODUCT(E341:N341,1/(1+$F$319)^$E$3:$N$3)*$E$2</f>
        <v>10200.4290024647</v>
      </c>
      <c r="P341" s="15" t="n">
        <f aca="false">N341*$E$2*(1+$I$319)/($F$319-$I$319)/(1+$F$319)^$N$3</f>
        <v>10811.1390310552</v>
      </c>
      <c r="Q341" s="15" t="n">
        <f aca="false">O341+P341</f>
        <v>21011.5680335199</v>
      </c>
      <c r="R341" s="15" t="n">
        <f aca="false">Q341-$G$2+$I$2</f>
        <v>15660.0080335199</v>
      </c>
      <c r="S341" s="42" t="n">
        <f aca="false">R341/$K$2</f>
        <v>725.000371922216</v>
      </c>
      <c r="T341" s="43" t="n">
        <f aca="false">S341-$M$2</f>
        <v>0.000371922215549603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0.0842795372009277</v>
      </c>
      <c r="C342" s="25" t="n">
        <f aca="false">IF(T341&gt;0,D341,C341)</f>
        <v>0.084280252456665</v>
      </c>
      <c r="D342" s="41" t="n">
        <f aca="false">(B342+C342)/2</f>
        <v>0.0842798948287964</v>
      </c>
      <c r="E342" s="15" t="n">
        <f aca="false">$C$2*(1+IF(E$3&lt;=$O$2,$D342,$D342-($D342-$I$319)*MIN(E$3-$O$2,$Q$2)/$Q$2))</f>
        <v>2591.42894864082</v>
      </c>
      <c r="F342" s="15" t="n">
        <f aca="false">E342*(1+IF(F$3&lt;=$O$2,$D342,$D342-($D342-$I$319)*MIN(F$3-$O$2,$Q$2)/$Q$2))</f>
        <v>2809.83430788857</v>
      </c>
      <c r="G342" s="15" t="n">
        <f aca="false">F342*(1+IF(G$3&lt;=$O$2,$D342,$D342-($D342-$I$319)*MIN(G$3-$O$2,$Q$2)/$Q$2))</f>
        <v>3046.64684784376</v>
      </c>
      <c r="H342" s="15" t="n">
        <f aca="false">G342*(1+IF(H$3&lt;=$O$2,$D342,$D342-($D342-$I$319)*MIN(H$3-$O$2,$Q$2)/$Q$2))</f>
        <v>3303.41792376052</v>
      </c>
      <c r="I342" s="15" t="n">
        <f aca="false">H342*(1+IF(I$3&lt;=$O$2,$D342,$D342-($D342-$I$319)*MIN(I$3-$O$2,$Q$2)/$Q$2))</f>
        <v>3581.82963895062</v>
      </c>
      <c r="J342" s="15" t="n">
        <f aca="false">I342*(1+IF(J$3&lt;=$O$2,$D342,$D342-($D342-$I$319)*MIN(J$3-$O$2,$Q$2)/$Q$2))</f>
        <v>3836.44011564152</v>
      </c>
      <c r="K342" s="15" t="n">
        <f aca="false">J342*(1+IF(K$3&lt;=$O$2,$D342,$D342-($D342-$I$319)*MIN(K$3-$O$2,$Q$2)/$Q$2))</f>
        <v>4058.52371896596</v>
      </c>
      <c r="L342" s="15" t="n">
        <f aca="false">K342*(1+IF(L$3&lt;=$O$2,$D342,$D342-($D342-$I$319)*MIN(L$3-$O$2,$Q$2)/$Q$2))</f>
        <v>4239.90709027805</v>
      </c>
      <c r="M342" s="15" t="n">
        <f aca="false">L342*(1+IF(M$3&lt;=$O$2,$D342,$D342-($D342-$I$319)*MIN(M$3-$O$2,$Q$2)/$Q$2))</f>
        <v>4373.44711481022</v>
      </c>
      <c r="N342" s="15" t="n">
        <f aca="false">M342*(1+IF(N$3&lt;=$O$2,$D342,$D342-($D342-$I$319)*MIN(N$3-$O$2,$Q$2)/$Q$2))</f>
        <v>4453.48119701125</v>
      </c>
      <c r="O342" s="15" t="n">
        <f aca="false">SUMPRODUCT(E342:N342,1/(1+$F$319)^$E$3:$N$3)*$E$2</f>
        <v>10200.4133208215</v>
      </c>
      <c r="P342" s="15" t="n">
        <f aca="false">N342*$E$2*(1+$I$319)/($F$319-$I$319)/(1+$F$319)^$N$3</f>
        <v>10811.1138911683</v>
      </c>
      <c r="Q342" s="15" t="n">
        <f aca="false">O342+P342</f>
        <v>21011.5272119898</v>
      </c>
      <c r="R342" s="15" t="n">
        <f aca="false">Q342-$G$2+$I$2</f>
        <v>15659.9672119898</v>
      </c>
      <c r="S342" s="42" t="n">
        <f aca="false">R342/$K$2</f>
        <v>724.998482036567</v>
      </c>
      <c r="T342" s="43" t="n">
        <f aca="false">S342-$M$2</f>
        <v>-0.00151796343322985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0.0842798948287964</v>
      </c>
      <c r="C343" s="25" t="n">
        <f aca="false">IF(T342&gt;0,D342,C342)</f>
        <v>0.084280252456665</v>
      </c>
      <c r="D343" s="41" t="n">
        <f aca="false">(B343+C343)/2</f>
        <v>0.0842800736427307</v>
      </c>
      <c r="E343" s="15" t="n">
        <f aca="false">$C$2*(1+IF(E$3&lt;=$O$2,$D343,$D343-($D343-$I$319)*MIN(E$3-$O$2,$Q$2)/$Q$2))</f>
        <v>2591.42937600613</v>
      </c>
      <c r="F343" s="15" t="n">
        <f aca="false">E343*(1+IF(F$3&lt;=$O$2,$D343,$D343-($D343-$I$319)*MIN(F$3-$O$2,$Q$2)/$Q$2))</f>
        <v>2809.83523465586</v>
      </c>
      <c r="G343" s="15" t="n">
        <f aca="false">F343*(1+IF(G$3&lt;=$O$2,$D343,$D343-($D343-$I$319)*MIN(G$3-$O$2,$Q$2)/$Q$2))</f>
        <v>3046.64835515659</v>
      </c>
      <c r="H343" s="15" t="n">
        <f aca="false">G343*(1+IF(H$3&lt;=$O$2,$D343,$D343-($D343-$I$319)*MIN(H$3-$O$2,$Q$2)/$Q$2))</f>
        <v>3303.4201028927</v>
      </c>
      <c r="I343" s="15" t="n">
        <f aca="false">H343*(1+IF(I$3&lt;=$O$2,$D343,$D343-($D343-$I$319)*MIN(I$3-$O$2,$Q$2)/$Q$2))</f>
        <v>3581.83259243737</v>
      </c>
      <c r="J343" s="15" t="n">
        <f aca="false">I343*(1+IF(J$3&lt;=$O$2,$D343,$D343-($D343-$I$319)*MIN(J$3-$O$2,$Q$2)/$Q$2))</f>
        <v>3836.44379145893</v>
      </c>
      <c r="K343" s="15" t="n">
        <f aca="false">J343*(1+IF(K$3&lt;=$O$2,$D343,$D343-($D343-$I$319)*MIN(K$3-$O$2,$Q$2)/$Q$2))</f>
        <v>4058.52801917463</v>
      </c>
      <c r="L343" s="15" t="n">
        <f aca="false">K343*(1+IF(L$3&lt;=$O$2,$D343,$D343-($D343-$I$319)*MIN(L$3-$O$2,$Q$2)/$Q$2))</f>
        <v>4239.91187296001</v>
      </c>
      <c r="M343" s="15" t="n">
        <f aca="false">L343*(1+IF(M$3&lt;=$O$2,$D343,$D343-($D343-$I$319)*MIN(M$3-$O$2,$Q$2)/$Q$2))</f>
        <v>4373.4521997585</v>
      </c>
      <c r="N343" s="15" t="n">
        <f aca="false">M343*(1+IF(N$3&lt;=$O$2,$D343,$D343-($D343-$I$319)*MIN(N$3-$O$2,$Q$2)/$Q$2))</f>
        <v>4453.48637501408</v>
      </c>
      <c r="O343" s="15" t="n">
        <f aca="false">SUMPRODUCT(E343:N343,1/(1+$F$319)^$E$3:$N$3)*$E$2</f>
        <v>10200.4211616401</v>
      </c>
      <c r="P343" s="15" t="n">
        <f aca="false">N343*$E$2*(1+$I$319)/($F$319-$I$319)/(1+$F$319)^$N$3</f>
        <v>10811.1264611054</v>
      </c>
      <c r="Q343" s="15" t="n">
        <f aca="false">O343+P343</f>
        <v>21011.5476227455</v>
      </c>
      <c r="R343" s="15" t="n">
        <f aca="false">Q343-$G$2+$I$2</f>
        <v>15659.9876227455</v>
      </c>
      <c r="S343" s="42" t="n">
        <f aca="false">R343/$K$2</f>
        <v>724.999426978956</v>
      </c>
      <c r="T343" s="43" t="n">
        <f aca="false">S343-$M$2</f>
        <v>-0.000573021044033339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0.0842800736427307</v>
      </c>
      <c r="C344" s="25" t="n">
        <f aca="false">IF(T343&gt;0,D343,C343)</f>
        <v>0.084280252456665</v>
      </c>
      <c r="D344" s="41" t="n">
        <f aca="false">(B344+C344)/2</f>
        <v>0.0842801630496979</v>
      </c>
      <c r="E344" s="15" t="n">
        <f aca="false">$C$2*(1+IF(E$3&lt;=$O$2,$D344,$D344-($D344-$I$319)*MIN(E$3-$O$2,$Q$2)/$Q$2))</f>
        <v>2591.42958968878</v>
      </c>
      <c r="F344" s="15" t="n">
        <f aca="false">E344*(1+IF(F$3&lt;=$O$2,$D344,$D344-($D344-$I$319)*MIN(F$3-$O$2,$Q$2)/$Q$2))</f>
        <v>2809.83569803956</v>
      </c>
      <c r="G344" s="15" t="n">
        <f aca="false">F344*(1+IF(G$3&lt;=$O$2,$D344,$D344-($D344-$I$319)*MIN(G$3-$O$2,$Q$2)/$Q$2))</f>
        <v>3046.6491088132</v>
      </c>
      <c r="H344" s="15" t="n">
        <f aca="false">G344*(1+IF(H$3&lt;=$O$2,$D344,$D344-($D344-$I$319)*MIN(H$3-$O$2,$Q$2)/$Q$2))</f>
        <v>3303.42119245919</v>
      </c>
      <c r="I344" s="15" t="n">
        <f aca="false">H344*(1+IF(I$3&lt;=$O$2,$D344,$D344-($D344-$I$319)*MIN(I$3-$O$2,$Q$2)/$Q$2))</f>
        <v>3581.83406918148</v>
      </c>
      <c r="J344" s="15" t="n">
        <f aca="false">I344*(1+IF(J$3&lt;=$O$2,$D344,$D344-($D344-$I$319)*MIN(J$3-$O$2,$Q$2)/$Q$2))</f>
        <v>3836.44562936874</v>
      </c>
      <c r="K344" s="15" t="n">
        <f aca="false">J344*(1+IF(K$3&lt;=$O$2,$D344,$D344-($D344-$I$319)*MIN(K$3-$O$2,$Q$2)/$Q$2))</f>
        <v>4058.53016928042</v>
      </c>
      <c r="L344" s="15" t="n">
        <f aca="false">K344*(1+IF(L$3&lt;=$O$2,$D344,$D344-($D344-$I$319)*MIN(L$3-$O$2,$Q$2)/$Q$2))</f>
        <v>4239.91426430275</v>
      </c>
      <c r="M344" s="15" t="n">
        <f aca="false">L344*(1+IF(M$3&lt;=$O$2,$D344,$D344-($D344-$I$319)*MIN(M$3-$O$2,$Q$2)/$Q$2))</f>
        <v>4373.45474223458</v>
      </c>
      <c r="N344" s="15" t="n">
        <f aca="false">M344*(1+IF(N$3&lt;=$O$2,$D344,$D344-($D344-$I$319)*MIN(N$3-$O$2,$Q$2)/$Q$2))</f>
        <v>4453.48896401747</v>
      </c>
      <c r="O344" s="15" t="n">
        <f aca="false">SUMPRODUCT(E344:N344,1/(1+$F$319)^$E$3:$N$3)*$E$2</f>
        <v>10200.4250820516</v>
      </c>
      <c r="P344" s="15" t="n">
        <f aca="false">N344*$E$2*(1+$I$319)/($F$319-$I$319)/(1+$F$319)^$N$3</f>
        <v>10811.1327460787</v>
      </c>
      <c r="Q344" s="15" t="n">
        <f aca="false">O344+P344</f>
        <v>21011.5578281303</v>
      </c>
      <c r="R344" s="15" t="n">
        <f aca="false">Q344-$G$2+$I$2</f>
        <v>15659.9978281303</v>
      </c>
      <c r="S344" s="42" t="n">
        <f aca="false">R344/$K$2</f>
        <v>724.999899450477</v>
      </c>
      <c r="T344" s="43" t="n">
        <f aca="false">S344-$M$2</f>
        <v>-0.000100549523040172</v>
      </c>
    </row>
    <row r="346" customFormat="false" ht="15" hidden="false" customHeight="false" outlineLevel="0" collapsed="false">
      <c r="A346" s="38" t="s">
        <v>193</v>
      </c>
      <c r="E346" s="5" t="s">
        <v>11</v>
      </c>
      <c r="F346" s="12" t="n">
        <f aca="false">Sensitivity!$B$12</f>
        <v>0.0969721785729318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162</v>
      </c>
      <c r="B347" s="28" t="s">
        <v>163</v>
      </c>
      <c r="C347" s="28" t="s">
        <v>164</v>
      </c>
      <c r="D347" s="28" t="s">
        <v>165</v>
      </c>
      <c r="E347" s="28" t="s">
        <v>166</v>
      </c>
      <c r="F347" s="28" t="s">
        <v>167</v>
      </c>
      <c r="G347" s="28" t="s">
        <v>168</v>
      </c>
      <c r="H347" s="28" t="s">
        <v>169</v>
      </c>
      <c r="I347" s="28" t="s">
        <v>170</v>
      </c>
      <c r="J347" s="28" t="s">
        <v>171</v>
      </c>
      <c r="K347" s="28" t="s">
        <v>172</v>
      </c>
      <c r="L347" s="28" t="s">
        <v>173</v>
      </c>
      <c r="M347" s="28" t="s">
        <v>174</v>
      </c>
      <c r="N347" s="28" t="s">
        <v>175</v>
      </c>
      <c r="O347" s="28" t="s">
        <v>176</v>
      </c>
      <c r="P347" s="28" t="s">
        <v>177</v>
      </c>
      <c r="Q347" s="28" t="s">
        <v>178</v>
      </c>
      <c r="R347" s="28" t="s">
        <v>179</v>
      </c>
      <c r="S347" s="28" t="s">
        <v>180</v>
      </c>
      <c r="T347" s="28" t="s">
        <v>181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2987.5</v>
      </c>
      <c r="F348" s="15" t="n">
        <f aca="false">E348*(1+IF(F$3&lt;=$O$2,$D348,$D348-($D348-$I$346)*MIN(F$3-$O$2,$Q$2)/$Q$2))</f>
        <v>3734.375</v>
      </c>
      <c r="G348" s="15" t="n">
        <f aca="false">F348*(1+IF(G$3&lt;=$O$2,$D348,$D348-($D348-$I$346)*MIN(G$3-$O$2,$Q$2)/$Q$2))</f>
        <v>4667.96875</v>
      </c>
      <c r="H348" s="15" t="n">
        <f aca="false">G348*(1+IF(H$3&lt;=$O$2,$D348,$D348-($D348-$I$346)*MIN(H$3-$O$2,$Q$2)/$Q$2))</f>
        <v>5834.9609375</v>
      </c>
      <c r="I348" s="15" t="n">
        <f aca="false">H348*(1+IF(I$3&lt;=$O$2,$D348,$D348-($D348-$I$346)*MIN(I$3-$O$2,$Q$2)/$Q$2))</f>
        <v>7293.701171875</v>
      </c>
      <c r="J348" s="15" t="n">
        <f aca="false">I348*(1+IF(J$3&lt;=$O$2,$D348,$D348-($D348-$I$346)*MIN(J$3-$O$2,$Q$2)/$Q$2))</f>
        <v>8786.43005371094</v>
      </c>
      <c r="K348" s="15" t="n">
        <f aca="false">J348*(1+IF(K$3&lt;=$O$2,$D348,$D348-($D348-$I$346)*MIN(K$3-$O$2,$Q$2)/$Q$2))</f>
        <v>10186.2840898682</v>
      </c>
      <c r="L348" s="15" t="n">
        <f aca="false">K348*(1+IF(L$3&lt;=$O$2,$D348,$D348-($D348-$I$346)*MIN(L$3-$O$2,$Q$2)/$Q$2))</f>
        <v>11347.3167504313</v>
      </c>
      <c r="M348" s="15" t="n">
        <f aca="false">L348*(1+IF(M$3&lt;=$O$2,$D348,$D348-($D348-$I$346)*MIN(M$3-$O$2,$Q$2)/$Q$2))</f>
        <v>12126.1965721809</v>
      </c>
      <c r="N348" s="15" t="n">
        <f aca="false">M348*(1+IF(N$3&lt;=$O$2,$D348,$D348-($D348-$I$346)*MIN(N$3-$O$2,$Q$2)/$Q$2))</f>
        <v>12408.7369523128</v>
      </c>
      <c r="O348" s="15" t="n">
        <f aca="false">SUMPRODUCT(E348:N348,1/(1+$F$346)^$E$3:$N$3)*$E$2</f>
        <v>20801.725335425</v>
      </c>
      <c r="P348" s="15" t="n">
        <f aca="false">N348*$E$2*(1+$I$346)/($F$346-$I$346)/(1+$F$346)^$N$3</f>
        <v>32325.3541895823</v>
      </c>
      <c r="Q348" s="15" t="n">
        <f aca="false">O348+P348</f>
        <v>53127.0795250073</v>
      </c>
      <c r="R348" s="15" t="n">
        <f aca="false">Q348-$G$2+$I$2</f>
        <v>47775.5195250073</v>
      </c>
      <c r="S348" s="42" t="n">
        <f aca="false">R348/$K$2</f>
        <v>2211.82960763923</v>
      </c>
      <c r="T348" s="43" t="n">
        <f aca="false">S348-$M$2</f>
        <v>1486.82960763923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2091.25</v>
      </c>
      <c r="F349" s="15" t="n">
        <f aca="false">E349*(1+IF(F$3&lt;=$O$2,$D349,$D349-($D349-$I$346)*MIN(F$3-$O$2,$Q$2)/$Q$2))</f>
        <v>1829.84375</v>
      </c>
      <c r="G349" s="15" t="n">
        <f aca="false">F349*(1+IF(G$3&lt;=$O$2,$D349,$D349-($D349-$I$346)*MIN(G$3-$O$2,$Q$2)/$Q$2))</f>
        <v>1601.11328125</v>
      </c>
      <c r="H349" s="15" t="n">
        <f aca="false">G349*(1+IF(H$3&lt;=$O$2,$D349,$D349-($D349-$I$346)*MIN(H$3-$O$2,$Q$2)/$Q$2))</f>
        <v>1400.97412109375</v>
      </c>
      <c r="I349" s="15" t="n">
        <f aca="false">H349*(1+IF(I$3&lt;=$O$2,$D349,$D349-($D349-$I$346)*MIN(I$3-$O$2,$Q$2)/$Q$2))</f>
        <v>1225.85235595703</v>
      </c>
      <c r="J349" s="15" t="n">
        <f aca="false">I349*(1+IF(J$3&lt;=$O$2,$D349,$D349-($D349-$I$346)*MIN(J$3-$O$2,$Q$2)/$Q$2))</f>
        <v>1108.97959234009</v>
      </c>
      <c r="K349" s="15" t="n">
        <f aca="false">J349*(1+IF(K$3&lt;=$O$2,$D349,$D349-($D349-$I$346)*MIN(K$3-$O$2,$Q$2)/$Q$2))</f>
        <v>1036.14181271519</v>
      </c>
      <c r="L349" s="15" t="n">
        <f aca="false">K349*(1+IF(L$3&lt;=$O$2,$D349,$D349-($D349-$I$346)*MIN(L$3-$O$2,$Q$2)/$Q$2))</f>
        <v>998.81998462119</v>
      </c>
      <c r="M349" s="15" t="n">
        <f aca="false">L349*(1+IF(M$3&lt;=$O$2,$D349,$D349-($D349-$I$346)*MIN(M$3-$O$2,$Q$2)/$Q$2))</f>
        <v>992.467489518999</v>
      </c>
      <c r="N349" s="15" t="n">
        <f aca="false">M349*(1+IF(N$3&lt;=$O$2,$D349,$D349-($D349-$I$346)*MIN(N$3-$O$2,$Q$2)/$Q$2))</f>
        <v>1015.59198202479</v>
      </c>
      <c r="O349" s="15" t="n">
        <f aca="false">SUMPRODUCT(E349:N349,1/(1+$F$346)^$E$3:$N$3)*$E$2</f>
        <v>4196.58738526066</v>
      </c>
      <c r="P349" s="15" t="n">
        <f aca="false">N349*$E$2*(1+$I$346)/($F$346-$I$346)/(1+$F$346)^$N$3</f>
        <v>2645.66576414794</v>
      </c>
      <c r="Q349" s="15" t="n">
        <f aca="false">O349+P349</f>
        <v>6842.25314940861</v>
      </c>
      <c r="R349" s="15" t="n">
        <f aca="false">Q349-$G$2+$I$2</f>
        <v>1490.69314940861</v>
      </c>
      <c r="S349" s="42" t="n">
        <f aca="false">R349/$K$2</f>
        <v>69.0135717318799</v>
      </c>
      <c r="T349" s="43" t="n">
        <f aca="false">S349-$M$2</f>
        <v>-655.98642826812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2539.375</v>
      </c>
      <c r="F350" s="15" t="n">
        <f aca="false">E350*(1+IF(F$3&lt;=$O$2,$D350,$D350-($D350-$I$346)*MIN(F$3-$O$2,$Q$2)/$Q$2))</f>
        <v>2698.0859375</v>
      </c>
      <c r="G350" s="15" t="n">
        <f aca="false">F350*(1+IF(G$3&lt;=$O$2,$D350,$D350-($D350-$I$346)*MIN(G$3-$O$2,$Q$2)/$Q$2))</f>
        <v>2866.71630859375</v>
      </c>
      <c r="H350" s="15" t="n">
        <f aca="false">G350*(1+IF(H$3&lt;=$O$2,$D350,$D350-($D350-$I$346)*MIN(H$3-$O$2,$Q$2)/$Q$2))</f>
        <v>3045.88607788086</v>
      </c>
      <c r="I350" s="15" t="n">
        <f aca="false">H350*(1+IF(I$3&lt;=$O$2,$D350,$D350-($D350-$I$346)*MIN(I$3-$O$2,$Q$2)/$Q$2))</f>
        <v>3236.25395774841</v>
      </c>
      <c r="J350" s="15" t="n">
        <f aca="false">I350*(1+IF(J$3&lt;=$O$2,$D350,$D350-($D350-$I$346)*MIN(J$3-$O$2,$Q$2)/$Q$2))</f>
        <v>3413.14759907894</v>
      </c>
      <c r="K350" s="15" t="n">
        <f aca="false">J350*(1+IF(K$3&lt;=$O$2,$D350,$D350-($D350-$I$346)*MIN(K$3-$O$2,$Q$2)/$Q$2))</f>
        <v>3572.95116966782</v>
      </c>
      <c r="L350" s="15" t="n">
        <f aca="false">K350*(1+IF(L$3&lt;=$O$2,$D350,$D350-($D350-$I$346)*MIN(L$3-$O$2,$Q$2)/$Q$2))</f>
        <v>3712.22480626147</v>
      </c>
      <c r="M350" s="15" t="n">
        <f aca="false">L350*(1+IF(M$3&lt;=$O$2,$D350,$D350-($D350-$I$346)*MIN(M$3-$O$2,$Q$2)/$Q$2))</f>
        <v>3827.82348672845</v>
      </c>
      <c r="N350" s="15" t="n">
        <f aca="false">M350*(1+IF(N$3&lt;=$O$2,$D350,$D350-($D350-$I$346)*MIN(N$3-$O$2,$Q$2)/$Q$2))</f>
        <v>3917.01177396922</v>
      </c>
      <c r="O350" s="15" t="n">
        <f aca="false">SUMPRODUCT(E350:N350,1/(1+$F$346)^$E$3:$N$3)*$E$2</f>
        <v>9315.25758550332</v>
      </c>
      <c r="P350" s="15" t="n">
        <f aca="false">N350*$E$2*(1+$I$346)/($F$346-$I$346)/(1+$F$346)^$N$3</f>
        <v>10204.0033119342</v>
      </c>
      <c r="Q350" s="15" t="n">
        <f aca="false">O350+P350</f>
        <v>19519.2608974375</v>
      </c>
      <c r="R350" s="15" t="n">
        <f aca="false">Q350-$G$2+$I$2</f>
        <v>14167.7008974375</v>
      </c>
      <c r="S350" s="42" t="n">
        <f aca="false">R350/$K$2</f>
        <v>655.912078585069</v>
      </c>
      <c r="T350" s="43" t="n">
        <f aca="false">S350-$M$2</f>
        <v>-69.0879214149306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0.0625</v>
      </c>
      <c r="C351" s="25" t="n">
        <f aca="false">IF(T350&gt;0,D350,C350)</f>
        <v>0.25</v>
      </c>
      <c r="D351" s="41" t="n">
        <f aca="false">(B351+C351)/2</f>
        <v>0.15625</v>
      </c>
      <c r="E351" s="15" t="n">
        <f aca="false">$C$2*(1+IF(E$3&lt;=$O$2,$D351,$D351-($D351-$I$346)*MIN(E$3-$O$2,$Q$2)/$Q$2))</f>
        <v>2763.4375</v>
      </c>
      <c r="F351" s="15" t="n">
        <f aca="false">E351*(1+IF(F$3&lt;=$O$2,$D351,$D351-($D351-$I$346)*MIN(F$3-$O$2,$Q$2)/$Q$2))</f>
        <v>3195.224609375</v>
      </c>
      <c r="G351" s="15" t="n">
        <f aca="false">F351*(1+IF(G$3&lt;=$O$2,$D351,$D351-($D351-$I$346)*MIN(G$3-$O$2,$Q$2)/$Q$2))</f>
        <v>3694.47845458984</v>
      </c>
      <c r="H351" s="15" t="n">
        <f aca="false">G351*(1+IF(H$3&lt;=$O$2,$D351,$D351-($D351-$I$346)*MIN(H$3-$O$2,$Q$2)/$Q$2))</f>
        <v>4271.74071311951</v>
      </c>
      <c r="I351" s="15" t="n">
        <f aca="false">H351*(1+IF(I$3&lt;=$O$2,$D351,$D351-($D351-$I$346)*MIN(I$3-$O$2,$Q$2)/$Q$2))</f>
        <v>4939.20019954443</v>
      </c>
      <c r="J351" s="15" t="n">
        <f aca="false">I351*(1+IF(J$3&lt;=$O$2,$D351,$D351-($D351-$I$346)*MIN(J$3-$O$2,$Q$2)/$Q$2))</f>
        <v>5579.61689741736</v>
      </c>
      <c r="K351" s="15" t="n">
        <f aca="false">J351*(1+IF(K$3&lt;=$O$2,$D351,$D351-($D351-$I$346)*MIN(K$3-$O$2,$Q$2)/$Q$2))</f>
        <v>6154.70801103417</v>
      </c>
      <c r="L351" s="15" t="n">
        <f aca="false">K351*(1+IF(L$3&lt;=$O$2,$D351,$D351-($D351-$I$346)*MIN(L$3-$O$2,$Q$2)/$Q$2))</f>
        <v>6625.42007971806</v>
      </c>
      <c r="M351" s="15" t="n">
        <f aca="false">L351*(1+IF(M$3&lt;=$O$2,$D351,$D351-($D351-$I$346)*MIN(M$3-$O$2,$Q$2)/$Q$2))</f>
        <v>6955.96228749519</v>
      </c>
      <c r="N351" s="15" t="n">
        <f aca="false">M351*(1+IF(N$3&lt;=$O$2,$D351,$D351-($D351-$I$346)*MIN(N$3-$O$2,$Q$2)/$Q$2))</f>
        <v>7118.03620879383</v>
      </c>
      <c r="O351" s="15" t="n">
        <f aca="false">SUMPRODUCT(E351:N351,1/(1+$F$346)^$E$3:$N$3)*$E$2</f>
        <v>13941.0649134008</v>
      </c>
      <c r="P351" s="15" t="n">
        <f aca="false">N351*$E$2*(1+$I$346)/($F$346-$I$346)/(1+$F$346)^$N$3</f>
        <v>18542.8253067003</v>
      </c>
      <c r="Q351" s="15" t="n">
        <f aca="false">O351+P351</f>
        <v>32483.8902201011</v>
      </c>
      <c r="R351" s="15" t="n">
        <f aca="false">Q351-$G$2+$I$2</f>
        <v>27132.3302201011</v>
      </c>
      <c r="S351" s="42" t="n">
        <f aca="false">R351/$K$2</f>
        <v>1256.12639907876</v>
      </c>
      <c r="T351" s="43" t="n">
        <f aca="false">S351-$M$2</f>
        <v>531.126399078756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0.0625</v>
      </c>
      <c r="C352" s="25" t="n">
        <f aca="false">IF(T351&gt;0,D351,C351)</f>
        <v>0.15625</v>
      </c>
      <c r="D352" s="41" t="n">
        <f aca="false">(B352+C352)/2</f>
        <v>0.109375</v>
      </c>
      <c r="E352" s="15" t="n">
        <f aca="false">$C$2*(1+IF(E$3&lt;=$O$2,$D352,$D352-($D352-$I$346)*MIN(E$3-$O$2,$Q$2)/$Q$2))</f>
        <v>2651.40625</v>
      </c>
      <c r="F352" s="15" t="n">
        <f aca="false">E352*(1+IF(F$3&lt;=$O$2,$D352,$D352-($D352-$I$346)*MIN(F$3-$O$2,$Q$2)/$Q$2))</f>
        <v>2941.40380859375</v>
      </c>
      <c r="G352" s="15" t="n">
        <f aca="false">F352*(1+IF(G$3&lt;=$O$2,$D352,$D352-($D352-$I$346)*MIN(G$3-$O$2,$Q$2)/$Q$2))</f>
        <v>3263.11985015869</v>
      </c>
      <c r="H352" s="15" t="n">
        <f aca="false">G352*(1+IF(H$3&lt;=$O$2,$D352,$D352-($D352-$I$346)*MIN(H$3-$O$2,$Q$2)/$Q$2))</f>
        <v>3620.0235837698</v>
      </c>
      <c r="I352" s="15" t="n">
        <f aca="false">H352*(1+IF(I$3&lt;=$O$2,$D352,$D352-($D352-$I$346)*MIN(I$3-$O$2,$Q$2)/$Q$2))</f>
        <v>4015.96366324462</v>
      </c>
      <c r="J352" s="15" t="n">
        <f aca="false">I352*(1+IF(J$3&lt;=$O$2,$D352,$D352-($D352-$I$346)*MIN(J$3-$O$2,$Q$2)/$Q$2))</f>
        <v>4386.07487444924</v>
      </c>
      <c r="K352" s="15" t="n">
        <f aca="false">J352*(1+IF(K$3&lt;=$O$2,$D352,$D352-($D352-$I$346)*MIN(K$3-$O$2,$Q$2)/$Q$2))</f>
        <v>4714.78925591484</v>
      </c>
      <c r="L352" s="15" t="n">
        <f aca="false">K352*(1+IF(L$3&lt;=$O$2,$D352,$D352-($D352-$I$346)*MIN(L$3-$O$2,$Q$2)/$Q$2))</f>
        <v>4986.97403965881</v>
      </c>
      <c r="M352" s="15" t="n">
        <f aca="false">L352*(1+IF(M$3&lt;=$O$2,$D352,$D352-($D352-$I$346)*MIN(M$3-$O$2,$Q$2)/$Q$2))</f>
        <v>5189.02129287558</v>
      </c>
      <c r="N352" s="15" t="n">
        <f aca="false">M352*(1+IF(N$3&lt;=$O$2,$D352,$D352-($D352-$I$346)*MIN(N$3-$O$2,$Q$2)/$Q$2))</f>
        <v>5309.92548899959</v>
      </c>
      <c r="O352" s="15" t="n">
        <f aca="false">SUMPRODUCT(E352:N352,1/(1+$F$346)^$E$3:$N$3)*$E$2</f>
        <v>11397.2044112234</v>
      </c>
      <c r="P352" s="15" t="n">
        <f aca="false">N352*$E$2*(1+$I$346)/($F$346-$I$346)/(1+$F$346)^$N$3</f>
        <v>13832.6102658024</v>
      </c>
      <c r="Q352" s="15" t="n">
        <f aca="false">O352+P352</f>
        <v>25229.8146770258</v>
      </c>
      <c r="R352" s="15" t="n">
        <f aca="false">Q352-$G$2+$I$2</f>
        <v>19878.2546770258</v>
      </c>
      <c r="S352" s="42" t="n">
        <f aca="false">R352/$K$2</f>
        <v>920.289568380824</v>
      </c>
      <c r="T352" s="43" t="n">
        <f aca="false">S352-$M$2</f>
        <v>195.289568380824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0.0625</v>
      </c>
      <c r="C353" s="25" t="n">
        <f aca="false">IF(T352&gt;0,D352,C352)</f>
        <v>0.109375</v>
      </c>
      <c r="D353" s="41" t="n">
        <f aca="false">(B353+C353)/2</f>
        <v>0.0859375</v>
      </c>
      <c r="E353" s="15" t="n">
        <f aca="false">$C$2*(1+IF(E$3&lt;=$O$2,$D353,$D353-($D353-$I$346)*MIN(E$3-$O$2,$Q$2)/$Q$2))</f>
        <v>2595.390625</v>
      </c>
      <c r="F353" s="15" t="n">
        <f aca="false">E353*(1+IF(F$3&lt;=$O$2,$D353,$D353-($D353-$I$346)*MIN(F$3-$O$2,$Q$2)/$Q$2))</f>
        <v>2818.43200683594</v>
      </c>
      <c r="G353" s="15" t="n">
        <f aca="false">F353*(1+IF(G$3&lt;=$O$2,$D353,$D353-($D353-$I$346)*MIN(G$3-$O$2,$Q$2)/$Q$2))</f>
        <v>3060.6410074234</v>
      </c>
      <c r="H353" s="15" t="n">
        <f aca="false">G353*(1+IF(H$3&lt;=$O$2,$D353,$D353-($D353-$I$346)*MIN(H$3-$O$2,$Q$2)/$Q$2))</f>
        <v>3323.66484399885</v>
      </c>
      <c r="I353" s="15" t="n">
        <f aca="false">H353*(1+IF(I$3&lt;=$O$2,$D353,$D353-($D353-$I$346)*MIN(I$3-$O$2,$Q$2)/$Q$2))</f>
        <v>3609.29229153</v>
      </c>
      <c r="J353" s="15" t="n">
        <f aca="false">I353*(1+IF(J$3&lt;=$O$2,$D353,$D353-($D353-$I$346)*MIN(J$3-$O$2,$Q$2)/$Q$2))</f>
        <v>3874.25043865122</v>
      </c>
      <c r="K353" s="15" t="n">
        <f aca="false">J353*(1+IF(K$3&lt;=$O$2,$D353,$D353-($D353-$I$346)*MIN(K$3-$O$2,$Q$2)/$Q$2))</f>
        <v>4110.1244909824</v>
      </c>
      <c r="L353" s="15" t="n">
        <f aca="false">K353*(1+IF(L$3&lt;=$O$2,$D353,$D353-($D353-$I$346)*MIN(L$3-$O$2,$Q$2)/$Q$2))</f>
        <v>4308.86956074385</v>
      </c>
      <c r="M353" s="15" t="n">
        <f aca="false">L353*(1+IF(M$3&lt;=$O$2,$D353,$D353-($D353-$I$346)*MIN(M$3-$O$2,$Q$2)/$Q$2))</f>
        <v>4463.2455849314</v>
      </c>
      <c r="N353" s="15" t="n">
        <f aca="false">M353*(1+IF(N$3&lt;=$O$2,$D353,$D353-($D353-$I$346)*MIN(N$3-$O$2,$Q$2)/$Q$2))</f>
        <v>4567.23920706031</v>
      </c>
      <c r="O353" s="15" t="n">
        <f aca="false">SUMPRODUCT(E353:N353,1/(1+$F$346)^$E$3:$N$3)*$E$2</f>
        <v>10303.7363554968</v>
      </c>
      <c r="P353" s="15" t="n">
        <f aca="false">N353*$E$2*(1+$I$346)/($F$346-$I$346)/(1+$F$346)^$N$3</f>
        <v>11897.8769236666</v>
      </c>
      <c r="Q353" s="15" t="n">
        <f aca="false">O353+P353</f>
        <v>22201.6132791635</v>
      </c>
      <c r="R353" s="15" t="n">
        <f aca="false">Q353-$G$2+$I$2</f>
        <v>16850.0532791635</v>
      </c>
      <c r="S353" s="42" t="n">
        <f aca="false">R353/$K$2</f>
        <v>780.095059220531</v>
      </c>
      <c r="T353" s="43" t="n">
        <f aca="false">S353-$M$2</f>
        <v>55.0950592205312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0.0625</v>
      </c>
      <c r="C354" s="25" t="n">
        <f aca="false">IF(T353&gt;0,D353,C353)</f>
        <v>0.0859375</v>
      </c>
      <c r="D354" s="41" t="n">
        <f aca="false">(B354+C354)/2</f>
        <v>0.07421875</v>
      </c>
      <c r="E354" s="15" t="n">
        <f aca="false">$C$2*(1+IF(E$3&lt;=$O$2,$D354,$D354-($D354-$I$346)*MIN(E$3-$O$2,$Q$2)/$Q$2))</f>
        <v>2567.3828125</v>
      </c>
      <c r="F354" s="15" t="n">
        <f aca="false">E354*(1+IF(F$3&lt;=$O$2,$D354,$D354-($D354-$I$346)*MIN(F$3-$O$2,$Q$2)/$Q$2))</f>
        <v>2757.93075561523</v>
      </c>
      <c r="G354" s="15" t="n">
        <f aca="false">F354*(1+IF(G$3&lt;=$O$2,$D354,$D354-($D354-$I$346)*MIN(G$3-$O$2,$Q$2)/$Q$2))</f>
        <v>2962.62092888355</v>
      </c>
      <c r="H354" s="15" t="n">
        <f aca="false">G354*(1+IF(H$3&lt;=$O$2,$D354,$D354-($D354-$I$346)*MIN(H$3-$O$2,$Q$2)/$Q$2))</f>
        <v>3182.50295094913</v>
      </c>
      <c r="I354" s="15" t="n">
        <f aca="false">H354*(1+IF(I$3&lt;=$O$2,$D354,$D354-($D354-$I$346)*MIN(I$3-$O$2,$Q$2)/$Q$2))</f>
        <v>3418.70434183988</v>
      </c>
      <c r="J354" s="15" t="n">
        <f aca="false">I354*(1+IF(J$3&lt;=$O$2,$D354,$D354-($D354-$I$346)*MIN(J$3-$O$2,$Q$2)/$Q$2))</f>
        <v>3637.6210743696</v>
      </c>
      <c r="K354" s="15" t="n">
        <f aca="false">J354*(1+IF(K$3&lt;=$O$2,$D354,$D354-($D354-$I$346)*MIN(K$3-$O$2,$Q$2)/$Q$2))</f>
        <v>3833.51151625075</v>
      </c>
      <c r="L354" s="15" t="n">
        <f aca="false">K354*(1+IF(L$3&lt;=$O$2,$D354,$D354-($D354-$I$346)*MIN(L$3-$O$2,$Q$2)/$Q$2))</f>
        <v>4000.91138038663</v>
      </c>
      <c r="M354" s="15" t="n">
        <f aca="false">L354*(1+IF(M$3&lt;=$O$2,$D354,$D354-($D354-$I$346)*MIN(M$3-$O$2,$Q$2)/$Q$2))</f>
        <v>4134.87689681965</v>
      </c>
      <c r="N354" s="15" t="n">
        <f aca="false">M354*(1+IF(N$3&lt;=$O$2,$D354,$D354-($D354-$I$346)*MIN(N$3-$O$2,$Q$2)/$Q$2))</f>
        <v>4231.21952851555</v>
      </c>
      <c r="O354" s="15" t="n">
        <f aca="false">SUMPRODUCT(E354:N354,1/(1+$F$346)^$E$3:$N$3)*$E$2</f>
        <v>9796.98336936622</v>
      </c>
      <c r="P354" s="15" t="n">
        <f aca="false">N354*$E$2*(1+$I$346)/($F$346-$I$346)/(1+$F$346)^$N$3</f>
        <v>11022.5295643527</v>
      </c>
      <c r="Q354" s="15" t="n">
        <f aca="false">O354+P354</f>
        <v>20819.5129337189</v>
      </c>
      <c r="R354" s="15" t="n">
        <f aca="false">Q354-$G$2+$I$2</f>
        <v>15467.9529337189</v>
      </c>
      <c r="S354" s="42" t="n">
        <f aca="false">R354/$K$2</f>
        <v>716.108932116614</v>
      </c>
      <c r="T354" s="43" t="n">
        <f aca="false">S354-$M$2</f>
        <v>-8.89106788338563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0.07421875</v>
      </c>
      <c r="C355" s="25" t="n">
        <f aca="false">IF(T354&gt;0,D354,C354)</f>
        <v>0.0859375</v>
      </c>
      <c r="D355" s="41" t="n">
        <f aca="false">(B355+C355)/2</f>
        <v>0.080078125</v>
      </c>
      <c r="E355" s="15" t="n">
        <f aca="false">$C$2*(1+IF(E$3&lt;=$O$2,$D355,$D355-($D355-$I$346)*MIN(E$3-$O$2,$Q$2)/$Q$2))</f>
        <v>2581.38671875</v>
      </c>
      <c r="F355" s="15" t="n">
        <f aca="false">E355*(1+IF(F$3&lt;=$O$2,$D355,$D355-($D355-$I$346)*MIN(F$3-$O$2,$Q$2)/$Q$2))</f>
        <v>2788.0993270874</v>
      </c>
      <c r="G355" s="15" t="n">
        <f aca="false">F355*(1+IF(G$3&lt;=$O$2,$D355,$D355-($D355-$I$346)*MIN(G$3-$O$2,$Q$2)/$Q$2))</f>
        <v>3011.36509351432</v>
      </c>
      <c r="H355" s="15" t="n">
        <f aca="false">G355*(1+IF(H$3&lt;=$O$2,$D355,$D355-($D355-$I$346)*MIN(H$3-$O$2,$Q$2)/$Q$2))</f>
        <v>3252.5095638934</v>
      </c>
      <c r="I355" s="15" t="n">
        <f aca="false">H355*(1+IF(I$3&lt;=$O$2,$D355,$D355-($D355-$I$346)*MIN(I$3-$O$2,$Q$2)/$Q$2))</f>
        <v>3512.96443131455</v>
      </c>
      <c r="J355" s="15" t="n">
        <f aca="false">I355*(1+IF(J$3&lt;=$O$2,$D355,$D355-($D355-$I$346)*MIN(J$3-$O$2,$Q$2)/$Q$2))</f>
        <v>3754.38412944557</v>
      </c>
      <c r="K355" s="15" t="n">
        <f aca="false">J355*(1+IF(K$3&lt;=$O$2,$D355,$D355-($D355-$I$346)*MIN(K$3-$O$2,$Q$2)/$Q$2))</f>
        <v>3969.76141450145</v>
      </c>
      <c r="L355" s="15" t="n">
        <f aca="false">K355*(1+IF(L$3&lt;=$O$2,$D355,$D355-($D355-$I$346)*MIN(L$3-$O$2,$Q$2)/$Q$2))</f>
        <v>4152.41509938443</v>
      </c>
      <c r="M355" s="15" t="n">
        <f aca="false">L355*(1+IF(M$3&lt;=$O$2,$D355,$D355-($D355-$I$346)*MIN(M$3-$O$2,$Q$2)/$Q$2))</f>
        <v>4296.31963991304</v>
      </c>
      <c r="N355" s="15" t="n">
        <f aca="false">M355*(1+IF(N$3&lt;=$O$2,$D355,$D355-($D355-$I$346)*MIN(N$3-$O$2,$Q$2)/$Q$2))</f>
        <v>4396.42388752301</v>
      </c>
      <c r="O355" s="15" t="n">
        <f aca="false">SUMPRODUCT(E355:N355,1/(1+$F$346)^$E$3:$N$3)*$E$2</f>
        <v>10047.1571488091</v>
      </c>
      <c r="P355" s="15" t="n">
        <f aca="false">N355*$E$2*(1+$I$346)/($F$346-$I$346)/(1+$F$346)^$N$3</f>
        <v>11452.8948335257</v>
      </c>
      <c r="Q355" s="15" t="n">
        <f aca="false">O355+P355</f>
        <v>21500.0519823348</v>
      </c>
      <c r="R355" s="15" t="n">
        <f aca="false">Q355-$G$2+$I$2</f>
        <v>16148.4919823348</v>
      </c>
      <c r="S355" s="42" t="n">
        <f aca="false">R355/$K$2</f>
        <v>747.615369552536</v>
      </c>
      <c r="T355" s="43" t="n">
        <f aca="false">S355-$M$2</f>
        <v>22.615369552536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0.07421875</v>
      </c>
      <c r="C356" s="25" t="n">
        <f aca="false">IF(T355&gt;0,D355,C355)</f>
        <v>0.080078125</v>
      </c>
      <c r="D356" s="41" t="n">
        <f aca="false">(B356+C356)/2</f>
        <v>0.0771484375</v>
      </c>
      <c r="E356" s="15" t="n">
        <f aca="false">$C$2*(1+IF(E$3&lt;=$O$2,$D356,$D356-($D356-$I$346)*MIN(E$3-$O$2,$Q$2)/$Q$2))</f>
        <v>2574.384765625</v>
      </c>
      <c r="F356" s="15" t="n">
        <f aca="false">E356*(1+IF(F$3&lt;=$O$2,$D356,$D356-($D356-$I$346)*MIN(F$3-$O$2,$Q$2)/$Q$2))</f>
        <v>2772.99452781677</v>
      </c>
      <c r="G356" s="15" t="n">
        <f aca="false">F356*(1+IF(G$3&lt;=$O$2,$D356,$D356-($D356-$I$346)*MIN(G$3-$O$2,$Q$2)/$Q$2))</f>
        <v>2986.92672283389</v>
      </c>
      <c r="H356" s="15" t="n">
        <f aca="false">G356*(1+IF(H$3&lt;=$O$2,$D356,$D356-($D356-$I$346)*MIN(H$3-$O$2,$Q$2)/$Q$2))</f>
        <v>3217.36345242752</v>
      </c>
      <c r="I356" s="15" t="n">
        <f aca="false">H356*(1+IF(I$3&lt;=$O$2,$D356,$D356-($D356-$I$346)*MIN(I$3-$O$2,$Q$2)/$Q$2))</f>
        <v>3465.57801565191</v>
      </c>
      <c r="J356" s="15" t="n">
        <f aca="false">I356*(1+IF(J$3&lt;=$O$2,$D356,$D356-($D356-$I$346)*MIN(J$3-$O$2,$Q$2)/$Q$2))</f>
        <v>3695.61875235836</v>
      </c>
      <c r="K356" s="15" t="n">
        <f aca="false">J356*(1+IF(K$3&lt;=$O$2,$D356,$D356-($D356-$I$346)*MIN(K$3-$O$2,$Q$2)/$Q$2))</f>
        <v>3901.12864653443</v>
      </c>
      <c r="L356" s="15" t="n">
        <f aca="false">K356*(1+IF(L$3&lt;=$O$2,$D356,$D356-($D356-$I$346)*MIN(L$3-$O$2,$Q$2)/$Q$2))</f>
        <v>4076.05281683963</v>
      </c>
      <c r="M356" s="15" t="n">
        <f aca="false">L356*(1+IF(M$3&lt;=$O$2,$D356,$D356-($D356-$I$346)*MIN(M$3-$O$2,$Q$2)/$Q$2))</f>
        <v>4214.92266254285</v>
      </c>
      <c r="N356" s="15" t="n">
        <f aca="false">M356*(1+IF(N$3&lt;=$O$2,$D356,$D356-($D356-$I$346)*MIN(N$3-$O$2,$Q$2)/$Q$2))</f>
        <v>4313.1303605801</v>
      </c>
      <c r="O356" s="15" t="n">
        <f aca="false">SUMPRODUCT(E356:N356,1/(1+$F$346)^$E$3:$N$3)*$E$2</f>
        <v>9921.27898910653</v>
      </c>
      <c r="P356" s="15" t="n">
        <f aca="false">N356*$E$2*(1+$I$346)/($F$346-$I$346)/(1+$F$346)^$N$3</f>
        <v>11235.9112057417</v>
      </c>
      <c r="Q356" s="15" t="n">
        <f aca="false">O356+P356</f>
        <v>21157.1901948483</v>
      </c>
      <c r="R356" s="15" t="n">
        <f aca="false">Q356-$G$2+$I$2</f>
        <v>15805.6301948483</v>
      </c>
      <c r="S356" s="42" t="n">
        <f aca="false">R356/$K$2</f>
        <v>731.742138650383</v>
      </c>
      <c r="T356" s="43" t="n">
        <f aca="false">S356-$M$2</f>
        <v>6.74213865038314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0.07421875</v>
      </c>
      <c r="C357" s="25" t="n">
        <f aca="false">IF(T356&gt;0,D356,C356)</f>
        <v>0.0771484375</v>
      </c>
      <c r="D357" s="41" t="n">
        <f aca="false">(B357+C357)/2</f>
        <v>0.07568359375</v>
      </c>
      <c r="E357" s="15" t="n">
        <f aca="false">$C$2*(1+IF(E$3&lt;=$O$2,$D357,$D357-($D357-$I$346)*MIN(E$3-$O$2,$Q$2)/$Q$2))</f>
        <v>2570.8837890625</v>
      </c>
      <c r="F357" s="15" t="n">
        <f aca="false">E357*(1+IF(F$3&lt;=$O$2,$D357,$D357-($D357-$I$346)*MIN(F$3-$O$2,$Q$2)/$Q$2))</f>
        <v>2765.45751333237</v>
      </c>
      <c r="G357" s="15" t="n">
        <f aca="false">F357*(1+IF(G$3&lt;=$O$2,$D357,$D357-($D357-$I$346)*MIN(G$3-$O$2,$Q$2)/$Q$2))</f>
        <v>2974.7572763043</v>
      </c>
      <c r="H357" s="15" t="n">
        <f aca="false">G357*(1+IF(H$3&lt;=$O$2,$D357,$D357-($D357-$I$346)*MIN(H$3-$O$2,$Q$2)/$Q$2))</f>
        <v>3199.89759750897</v>
      </c>
      <c r="I357" s="15" t="n">
        <f aca="false">H357*(1+IF(I$3&lt;=$O$2,$D357,$D357-($D357-$I$346)*MIN(I$3-$O$2,$Q$2)/$Q$2))</f>
        <v>3442.07734732044</v>
      </c>
      <c r="J357" s="15" t="n">
        <f aca="false">I357*(1+IF(J$3&lt;=$O$2,$D357,$D357-($D357-$I$346)*MIN(J$3-$O$2,$Q$2)/$Q$2))</f>
        <v>3666.5244546475</v>
      </c>
      <c r="K357" s="15" t="n">
        <f aca="false">J357*(1+IF(K$3&lt;=$O$2,$D357,$D357-($D357-$I$346)*MIN(K$3-$O$2,$Q$2)/$Q$2))</f>
        <v>3867.1939109448</v>
      </c>
      <c r="L357" s="15" t="n">
        <f aca="false">K357*(1+IF(L$3&lt;=$O$2,$D357,$D357-($D357-$I$346)*MIN(L$3-$O$2,$Q$2)/$Q$2))</f>
        <v>4038.33053498318</v>
      </c>
      <c r="M357" s="15" t="n">
        <f aca="false">L357*(1+IF(M$3&lt;=$O$2,$D357,$D357-($D357-$I$346)*MIN(M$3-$O$2,$Q$2)/$Q$2))</f>
        <v>4174.73208968284</v>
      </c>
      <c r="N357" s="15" t="n">
        <f aca="false">M357*(1+IF(N$3&lt;=$O$2,$D357,$D357-($D357-$I$346)*MIN(N$3-$O$2,$Q$2)/$Q$2))</f>
        <v>4272.00334737245</v>
      </c>
      <c r="O357" s="15" t="n">
        <f aca="false">SUMPRODUCT(E357:N357,1/(1+$F$346)^$E$3:$N$3)*$E$2</f>
        <v>9858.93452727964</v>
      </c>
      <c r="P357" s="15" t="n">
        <f aca="false">N357*$E$2*(1+$I$346)/($F$346-$I$346)/(1+$F$346)^$N$3</f>
        <v>11128.7733661852</v>
      </c>
      <c r="Q357" s="15" t="n">
        <f aca="false">O357+P357</f>
        <v>20987.7078934648</v>
      </c>
      <c r="R357" s="15" t="n">
        <f aca="false">Q357-$G$2+$I$2</f>
        <v>15636.1478934648</v>
      </c>
      <c r="S357" s="42" t="n">
        <f aca="false">R357/$K$2</f>
        <v>723.895735808555</v>
      </c>
      <c r="T357" s="43" t="n">
        <f aca="false">S357-$M$2</f>
        <v>-1.10426419144471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0.07568359375</v>
      </c>
      <c r="C358" s="25" t="n">
        <f aca="false">IF(T357&gt;0,D357,C357)</f>
        <v>0.0771484375</v>
      </c>
      <c r="D358" s="41" t="n">
        <f aca="false">(B358+C358)/2</f>
        <v>0.076416015625</v>
      </c>
      <c r="E358" s="15" t="n">
        <f aca="false">$C$2*(1+IF(E$3&lt;=$O$2,$D358,$D358-($D358-$I$346)*MIN(E$3-$O$2,$Q$2)/$Q$2))</f>
        <v>2572.63427734375</v>
      </c>
      <c r="F358" s="15" t="n">
        <f aca="false">E358*(1+IF(F$3&lt;=$O$2,$D358,$D358-($D358-$I$346)*MIN(F$3-$O$2,$Q$2)/$Q$2))</f>
        <v>2769.22473847866</v>
      </c>
      <c r="G358" s="15" t="n">
        <f aca="false">F358*(1+IF(G$3&lt;=$O$2,$D358,$D358-($D358-$I$346)*MIN(G$3-$O$2,$Q$2)/$Q$2))</f>
        <v>2980.83785936338</v>
      </c>
      <c r="H358" s="15" t="n">
        <f aca="false">G358*(1+IF(H$3&lt;=$O$2,$D358,$D358-($D358-$I$346)*MIN(H$3-$O$2,$Q$2)/$Q$2))</f>
        <v>3208.62161180009</v>
      </c>
      <c r="I358" s="15" t="n">
        <f aca="false">H358*(1+IF(I$3&lt;=$O$2,$D358,$D358-($D358-$I$346)*MIN(I$3-$O$2,$Q$2)/$Q$2))</f>
        <v>3453.81169102211</v>
      </c>
      <c r="J358" s="15" t="n">
        <f aca="false">I358*(1+IF(J$3&lt;=$O$2,$D358,$D358-($D358-$I$346)*MIN(J$3-$O$2,$Q$2)/$Q$2))</f>
        <v>3681.04767601984</v>
      </c>
      <c r="K358" s="15" t="n">
        <f aca="false">J358*(1+IF(K$3&lt;=$O$2,$D358,$D358-($D358-$I$346)*MIN(K$3-$O$2,$Q$2)/$Q$2))</f>
        <v>3884.12963839661</v>
      </c>
      <c r="L358" s="15" t="n">
        <f aca="false">K358*(1+IF(L$3&lt;=$O$2,$D358,$D358-($D358-$I$346)*MIN(L$3-$O$2,$Q$2)/$Q$2))</f>
        <v>4057.15365519629</v>
      </c>
      <c r="M358" s="15" t="n">
        <f aca="false">L358*(1+IF(M$3&lt;=$O$2,$D358,$D358-($D358-$I$346)*MIN(M$3-$O$2,$Q$2)/$Q$2))</f>
        <v>4194.78530275085</v>
      </c>
      <c r="N358" s="15" t="n">
        <f aca="false">M358*(1+IF(N$3&lt;=$O$2,$D358,$D358-($D358-$I$346)*MIN(N$3-$O$2,$Q$2)/$Q$2))</f>
        <v>4292.52380030494</v>
      </c>
      <c r="O358" s="15" t="n">
        <f aca="false">SUMPRODUCT(E358:N358,1/(1+$F$346)^$E$3:$N$3)*$E$2</f>
        <v>9890.05744997841</v>
      </c>
      <c r="P358" s="15" t="n">
        <f aca="false">N358*$E$2*(1+$I$346)/($F$346-$I$346)/(1+$F$346)^$N$3</f>
        <v>11182.2301290872</v>
      </c>
      <c r="Q358" s="15" t="n">
        <f aca="false">O358+P358</f>
        <v>21072.2875790656</v>
      </c>
      <c r="R358" s="15" t="n">
        <f aca="false">Q358-$G$2+$I$2</f>
        <v>15720.7275790656</v>
      </c>
      <c r="S358" s="42" t="n">
        <f aca="false">R358/$K$2</f>
        <v>727.811461993778</v>
      </c>
      <c r="T358" s="43" t="n">
        <f aca="false">S358-$M$2</f>
        <v>2.81146199377758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0.07568359375</v>
      </c>
      <c r="C359" s="25" t="n">
        <f aca="false">IF(T358&gt;0,D358,C358)</f>
        <v>0.076416015625</v>
      </c>
      <c r="D359" s="41" t="n">
        <f aca="false">(B359+C359)/2</f>
        <v>0.0760498046875</v>
      </c>
      <c r="E359" s="15" t="n">
        <f aca="false">$C$2*(1+IF(E$3&lt;=$O$2,$D359,$D359-($D359-$I$346)*MIN(E$3-$O$2,$Q$2)/$Q$2))</f>
        <v>2571.75903320313</v>
      </c>
      <c r="F359" s="15" t="n">
        <f aca="false">E359*(1+IF(F$3&lt;=$O$2,$D359,$D359-($D359-$I$346)*MIN(F$3-$O$2,$Q$2)/$Q$2))</f>
        <v>2767.34080538154</v>
      </c>
      <c r="G359" s="15" t="n">
        <f aca="false">F359*(1+IF(G$3&lt;=$O$2,$D359,$D359-($D359-$I$346)*MIN(G$3-$O$2,$Q$2)/$Q$2))</f>
        <v>2977.79653313455</v>
      </c>
      <c r="H359" s="15" t="n">
        <f aca="false">G359*(1+IF(H$3&lt;=$O$2,$D359,$D359-($D359-$I$346)*MIN(H$3-$O$2,$Q$2)/$Q$2))</f>
        <v>3204.25737787855</v>
      </c>
      <c r="I359" s="15" t="n">
        <f aca="false">H359*(1+IF(I$3&lt;=$O$2,$D359,$D359-($D359-$I$346)*MIN(I$3-$O$2,$Q$2)/$Q$2))</f>
        <v>3447.94052563469</v>
      </c>
      <c r="J359" s="15" t="n">
        <f aca="false">I359*(1+IF(J$3&lt;=$O$2,$D359,$D359-($D359-$I$346)*MIN(J$3-$O$2,$Q$2)/$Q$2))</f>
        <v>3673.78009132306</v>
      </c>
      <c r="K359" s="15" t="n">
        <f aca="false">J359*(1+IF(K$3&lt;=$O$2,$D359,$D359-($D359-$I$346)*MIN(K$3-$O$2,$Q$2)/$Q$2))</f>
        <v>3875.65387682016</v>
      </c>
      <c r="L359" s="15" t="n">
        <f aca="false">K359*(1+IF(L$3&lt;=$O$2,$D359,$D359-($D359-$I$346)*MIN(L$3-$O$2,$Q$2)/$Q$2))</f>
        <v>4047.73260616551</v>
      </c>
      <c r="M359" s="15" t="n">
        <f aca="false">L359*(1+IF(M$3&lt;=$O$2,$D359,$D359-($D359-$I$346)*MIN(M$3-$O$2,$Q$2)/$Q$2))</f>
        <v>4184.74819676966</v>
      </c>
      <c r="N359" s="15" t="n">
        <f aca="false">M359*(1+IF(N$3&lt;=$O$2,$D359,$D359-($D359-$I$346)*MIN(N$3-$O$2,$Q$2)/$Q$2))</f>
        <v>4282.25282975439</v>
      </c>
      <c r="O359" s="15" t="n">
        <f aca="false">SUMPRODUCT(E359:N359,1/(1+$F$346)^$E$3:$N$3)*$E$2</f>
        <v>9874.48367975765</v>
      </c>
      <c r="P359" s="15" t="n">
        <f aca="false">N359*$E$2*(1+$I$346)/($F$346-$I$346)/(1+$F$346)^$N$3</f>
        <v>11155.4737587819</v>
      </c>
      <c r="Q359" s="15" t="n">
        <f aca="false">O359+P359</f>
        <v>21029.9574385395</v>
      </c>
      <c r="R359" s="15" t="n">
        <f aca="false">Q359-$G$2+$I$2</f>
        <v>15678.3974385395</v>
      </c>
      <c r="S359" s="42" t="n">
        <f aca="false">R359/$K$2</f>
        <v>725.851733265719</v>
      </c>
      <c r="T359" s="43" t="n">
        <f aca="false">S359-$M$2</f>
        <v>0.851733265718849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0.07568359375</v>
      </c>
      <c r="C360" s="25" t="n">
        <f aca="false">IF(T359&gt;0,D359,C359)</f>
        <v>0.0760498046875</v>
      </c>
      <c r="D360" s="41" t="n">
        <f aca="false">(B360+C360)/2</f>
        <v>0.07586669921875</v>
      </c>
      <c r="E360" s="15" t="n">
        <f aca="false">$C$2*(1+IF(E$3&lt;=$O$2,$D360,$D360-($D360-$I$346)*MIN(E$3-$O$2,$Q$2)/$Q$2))</f>
        <v>2571.32141113281</v>
      </c>
      <c r="F360" s="15" t="n">
        <f aca="false">E360*(1+IF(F$3&lt;=$O$2,$D360,$D360-($D360-$I$346)*MIN(F$3-$O$2,$Q$2)/$Q$2))</f>
        <v>2766.39907922596</v>
      </c>
      <c r="G360" s="15" t="n">
        <f aca="false">F360*(1+IF(G$3&lt;=$O$2,$D360,$D360-($D360-$I$346)*MIN(G$3-$O$2,$Q$2)/$Q$2))</f>
        <v>2976.27664608862</v>
      </c>
      <c r="H360" s="15" t="n">
        <f aca="false">G360*(1+IF(H$3&lt;=$O$2,$D360,$D360-($D360-$I$346)*MIN(H$3-$O$2,$Q$2)/$Q$2))</f>
        <v>3202.07693118922</v>
      </c>
      <c r="I360" s="15" t="n">
        <f aca="false">H360*(1+IF(I$3&lt;=$O$2,$D360,$D360-($D360-$I$346)*MIN(I$3-$O$2,$Q$2)/$Q$2))</f>
        <v>3445.00793860305</v>
      </c>
      <c r="J360" s="15" t="n">
        <f aca="false">I360*(1+IF(J$3&lt;=$O$2,$D360,$D360-($D360-$I$346)*MIN(J$3-$O$2,$Q$2)/$Q$2))</f>
        <v>3670.1507804643</v>
      </c>
      <c r="K360" s="15" t="n">
        <f aca="false">J360*(1+IF(K$3&lt;=$O$2,$D360,$D360-($D360-$I$346)*MIN(K$3-$O$2,$Q$2)/$Q$2))</f>
        <v>3871.42192094759</v>
      </c>
      <c r="L360" s="15" t="n">
        <f aca="false">K360*(1+IF(L$3&lt;=$O$2,$D360,$D360-($D360-$I$346)*MIN(L$3-$O$2,$Q$2)/$Q$2))</f>
        <v>4043.0292003726</v>
      </c>
      <c r="M360" s="15" t="n">
        <f aca="false">L360*(1+IF(M$3&lt;=$O$2,$D360,$D360-($D360-$I$346)*MIN(M$3-$O$2,$Q$2)/$Q$2))</f>
        <v>4179.73752072301</v>
      </c>
      <c r="N360" s="15" t="n">
        <f aca="false">M360*(1+IF(N$3&lt;=$O$2,$D360,$D360-($D360-$I$346)*MIN(N$3-$O$2,$Q$2)/$Q$2))</f>
        <v>4277.12540495585</v>
      </c>
      <c r="O360" s="15" t="n">
        <f aca="false">SUMPRODUCT(E360:N360,1/(1+$F$346)^$E$3:$N$3)*$E$2</f>
        <v>9866.70602857104</v>
      </c>
      <c r="P360" s="15" t="n">
        <f aca="false">N360*$E$2*(1+$I$346)/($F$346-$I$346)/(1+$F$346)^$N$3</f>
        <v>11142.1165715572</v>
      </c>
      <c r="Q360" s="15" t="n">
        <f aca="false">O360+P360</f>
        <v>21008.8226001283</v>
      </c>
      <c r="R360" s="15" t="n">
        <f aca="false">Q360-$G$2+$I$2</f>
        <v>15657.2626001283</v>
      </c>
      <c r="S360" s="42" t="n">
        <f aca="false">R360/$K$2</f>
        <v>724.873268524457</v>
      </c>
      <c r="T360" s="43" t="n">
        <f aca="false">S360-$M$2</f>
        <v>-0.126731475542556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0.07586669921875</v>
      </c>
      <c r="C361" s="25" t="n">
        <f aca="false">IF(T360&gt;0,D360,C360)</f>
        <v>0.0760498046875</v>
      </c>
      <c r="D361" s="41" t="n">
        <f aca="false">(B361+C361)/2</f>
        <v>0.075958251953125</v>
      </c>
      <c r="E361" s="15" t="n">
        <f aca="false">$C$2*(1+IF(E$3&lt;=$O$2,$D361,$D361-($D361-$I$346)*MIN(E$3-$O$2,$Q$2)/$Q$2))</f>
        <v>2571.54022216797</v>
      </c>
      <c r="F361" s="15" t="n">
        <f aca="false">E361*(1+IF(F$3&lt;=$O$2,$D361,$D361-($D361-$I$346)*MIN(F$3-$O$2,$Q$2)/$Q$2))</f>
        <v>2766.869922271</v>
      </c>
      <c r="G361" s="15" t="n">
        <f aca="false">F361*(1+IF(G$3&lt;=$O$2,$D361,$D361-($D361-$I$346)*MIN(G$3-$O$2,$Q$2)/$Q$2))</f>
        <v>2977.03652494838</v>
      </c>
      <c r="H361" s="15" t="n">
        <f aca="false">G361*(1+IF(H$3&lt;=$O$2,$D361,$D361-($D361-$I$346)*MIN(H$3-$O$2,$Q$2)/$Q$2))</f>
        <v>3203.16701538407</v>
      </c>
      <c r="I361" s="15" t="n">
        <f aca="false">H361*(1+IF(I$3&lt;=$O$2,$D361,$D361-($D361-$I$346)*MIN(I$3-$O$2,$Q$2)/$Q$2))</f>
        <v>3446.47398258655</v>
      </c>
      <c r="J361" s="15" t="n">
        <f aca="false">I361*(1+IF(J$3&lt;=$O$2,$D361,$D361-($D361-$I$346)*MIN(J$3-$O$2,$Q$2)/$Q$2))</f>
        <v>3671.96506264076</v>
      </c>
      <c r="K361" s="15" t="n">
        <f aca="false">J361*(1+IF(K$3&lt;=$O$2,$D361,$D361-($D361-$I$346)*MIN(K$3-$O$2,$Q$2)/$Q$2))</f>
        <v>3873.53740545926</v>
      </c>
      <c r="L361" s="15" t="n">
        <f aca="false">K361*(1+IF(L$3&lt;=$O$2,$D361,$D361-($D361-$I$346)*MIN(L$3-$O$2,$Q$2)/$Q$2))</f>
        <v>4045.38031046507</v>
      </c>
      <c r="M361" s="15" t="n">
        <f aca="false">L361*(1+IF(M$3&lt;=$O$2,$D361,$D361-($D361-$I$346)*MIN(M$3-$O$2,$Q$2)/$Q$2))</f>
        <v>4182.24220282584</v>
      </c>
      <c r="N361" s="15" t="n">
        <f aca="false">M361*(1+IF(N$3&lt;=$O$2,$D361,$D361-($D361-$I$346)*MIN(N$3-$O$2,$Q$2)/$Q$2))</f>
        <v>4279.68844615169</v>
      </c>
      <c r="O361" s="15" t="n">
        <f aca="false">SUMPRODUCT(E361:N361,1/(1+$F$346)^$E$3:$N$3)*$E$2</f>
        <v>9870.59408514378</v>
      </c>
      <c r="P361" s="15" t="n">
        <f aca="false">N361*$E$2*(1+$I$346)/($F$346-$I$346)/(1+$F$346)^$N$3</f>
        <v>11148.7934166525</v>
      </c>
      <c r="Q361" s="15" t="n">
        <f aca="false">O361+P361</f>
        <v>21019.3875017962</v>
      </c>
      <c r="R361" s="15" t="n">
        <f aca="false">Q361-$G$2+$I$2</f>
        <v>15667.8275017962</v>
      </c>
      <c r="S361" s="42" t="n">
        <f aca="false">R361/$K$2</f>
        <v>725.362384342418</v>
      </c>
      <c r="T361" s="43" t="n">
        <f aca="false">S361-$M$2</f>
        <v>0.362384342417954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0.07586669921875</v>
      </c>
      <c r="C362" s="25" t="n">
        <f aca="false">IF(T361&gt;0,D361,C361)</f>
        <v>0.075958251953125</v>
      </c>
      <c r="D362" s="41" t="n">
        <f aca="false">(B362+C362)/2</f>
        <v>0.0759124755859375</v>
      </c>
      <c r="E362" s="15" t="n">
        <f aca="false">$C$2*(1+IF(E$3&lt;=$O$2,$D362,$D362-($D362-$I$346)*MIN(E$3-$O$2,$Q$2)/$Q$2))</f>
        <v>2571.43081665039</v>
      </c>
      <c r="F362" s="15" t="n">
        <f aca="false">E362*(1+IF(F$3&lt;=$O$2,$D362,$D362-($D362-$I$346)*MIN(F$3-$O$2,$Q$2)/$Q$2))</f>
        <v>2766.63449574029</v>
      </c>
      <c r="G362" s="15" t="n">
        <f aca="false">F362*(1+IF(G$3&lt;=$O$2,$D362,$D362-($D362-$I$346)*MIN(G$3-$O$2,$Q$2)/$Q$2))</f>
        <v>2976.65656935339</v>
      </c>
      <c r="H362" s="15" t="n">
        <f aca="false">G362*(1+IF(H$3&lt;=$O$2,$D362,$D362-($D362-$I$346)*MIN(H$3-$O$2,$Q$2)/$Q$2))</f>
        <v>3202.62193850215</v>
      </c>
      <c r="I362" s="15" t="n">
        <f aca="false">H362*(1+IF(I$3&lt;=$O$2,$D362,$D362-($D362-$I$346)*MIN(I$3-$O$2,$Q$2)/$Q$2))</f>
        <v>3445.74089821968</v>
      </c>
      <c r="J362" s="15" t="n">
        <f aca="false">I362*(1+IF(J$3&lt;=$O$2,$D362,$D362-($D362-$I$346)*MIN(J$3-$O$2,$Q$2)/$Q$2))</f>
        <v>3671.05782825464</v>
      </c>
      <c r="K362" s="15" t="n">
        <f aca="false">J362*(1+IF(K$3&lt;=$O$2,$D362,$D362-($D362-$I$346)*MIN(K$3-$O$2,$Q$2)/$Q$2))</f>
        <v>3872.47953987114</v>
      </c>
      <c r="L362" s="15" t="n">
        <f aca="false">K362*(1+IF(L$3&lt;=$O$2,$D362,$D362-($D362-$I$346)*MIN(L$3-$O$2,$Q$2)/$Q$2))</f>
        <v>4044.20460724954</v>
      </c>
      <c r="M362" s="15" t="n">
        <f aca="false">L362*(1+IF(M$3&lt;=$O$2,$D362,$D362-($D362-$I$346)*MIN(M$3-$O$2,$Q$2)/$Q$2))</f>
        <v>4180.98969783115</v>
      </c>
      <c r="N362" s="15" t="n">
        <f aca="false">M362*(1+IF(N$3&lt;=$O$2,$D362,$D362-($D362-$I$346)*MIN(N$3-$O$2,$Q$2)/$Q$2))</f>
        <v>4278.40675779061</v>
      </c>
      <c r="O362" s="15" t="n">
        <f aca="false">SUMPRODUCT(E362:N362,1/(1+$F$346)^$E$3:$N$3)*$E$2</f>
        <v>9868.64986463773</v>
      </c>
      <c r="P362" s="15" t="n">
        <f aca="false">N362*$E$2*(1+$I$346)/($F$346-$I$346)/(1+$F$346)^$N$3</f>
        <v>11145.4545570738</v>
      </c>
      <c r="Q362" s="15" t="n">
        <f aca="false">O362+P362</f>
        <v>21014.1044217115</v>
      </c>
      <c r="R362" s="15" t="n">
        <f aca="false">Q362-$G$2+$I$2</f>
        <v>15662.5444217115</v>
      </c>
      <c r="S362" s="42" t="n">
        <f aca="false">R362/$K$2</f>
        <v>725.117797301459</v>
      </c>
      <c r="T362" s="43" t="n">
        <f aca="false">S362-$M$2</f>
        <v>0.117797301459177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0.07586669921875</v>
      </c>
      <c r="C363" s="25" t="n">
        <f aca="false">IF(T362&gt;0,D362,C362)</f>
        <v>0.0759124755859375</v>
      </c>
      <c r="D363" s="41" t="n">
        <f aca="false">(B363+C363)/2</f>
        <v>0.0758895874023438</v>
      </c>
      <c r="E363" s="15" t="n">
        <f aca="false">$C$2*(1+IF(E$3&lt;=$O$2,$D363,$D363-($D363-$I$346)*MIN(E$3-$O$2,$Q$2)/$Q$2))</f>
        <v>2571.3761138916</v>
      </c>
      <c r="F363" s="15" t="n">
        <f aca="false">E363*(1+IF(F$3&lt;=$O$2,$D363,$D363-($D363-$I$346)*MIN(F$3-$O$2,$Q$2)/$Q$2))</f>
        <v>2766.51678623108</v>
      </c>
      <c r="G363" s="15" t="n">
        <f aca="false">F363*(1+IF(G$3&lt;=$O$2,$D363,$D363-($D363-$I$346)*MIN(G$3-$O$2,$Q$2)/$Q$2))</f>
        <v>2976.46660367981</v>
      </c>
      <c r="H363" s="15" t="n">
        <f aca="false">G363*(1+IF(H$3&lt;=$O$2,$D363,$D363-($D363-$I$346)*MIN(H$3-$O$2,$Q$2)/$Q$2))</f>
        <v>3202.34942614993</v>
      </c>
      <c r="I363" s="15" t="n">
        <f aca="false">H363*(1+IF(I$3&lt;=$O$2,$D363,$D363-($D363-$I$346)*MIN(I$3-$O$2,$Q$2)/$Q$2))</f>
        <v>3445.37440281858</v>
      </c>
      <c r="J363" s="15" t="n">
        <f aca="false">I363*(1+IF(J$3&lt;=$O$2,$D363,$D363-($D363-$I$346)*MIN(J$3-$O$2,$Q$2)/$Q$2))</f>
        <v>3670.60428103691</v>
      </c>
      <c r="K363" s="15" t="n">
        <f aca="false">J363*(1+IF(K$3&lt;=$O$2,$D363,$D363-($D363-$I$346)*MIN(K$3-$O$2,$Q$2)/$Q$2))</f>
        <v>3871.95069957928</v>
      </c>
      <c r="L363" s="15" t="n">
        <f aca="false">K363*(1+IF(L$3&lt;=$O$2,$D363,$D363-($D363-$I$346)*MIN(L$3-$O$2,$Q$2)/$Q$2))</f>
        <v>4043.61686677271</v>
      </c>
      <c r="M363" s="15" t="n">
        <f aca="false">L363*(1+IF(M$3&lt;=$O$2,$D363,$D363-($D363-$I$346)*MIN(M$3-$O$2,$Q$2)/$Q$2))</f>
        <v>4180.36356829586</v>
      </c>
      <c r="N363" s="15" t="n">
        <f aca="false">M363*(1+IF(N$3&lt;=$O$2,$D363,$D363-($D363-$I$346)*MIN(N$3-$O$2,$Q$2)/$Q$2))</f>
        <v>4277.76603943715</v>
      </c>
      <c r="O363" s="15" t="n">
        <f aca="false">SUMPRODUCT(E363:N363,1/(1+$F$346)^$E$3:$N$3)*$E$2</f>
        <v>9867.6778985539</v>
      </c>
      <c r="P363" s="15" t="n">
        <f aca="false">N363*$E$2*(1+$I$346)/($F$346-$I$346)/(1+$F$346)^$N$3</f>
        <v>11143.78545507</v>
      </c>
      <c r="Q363" s="15" t="n">
        <f aca="false">O363+P363</f>
        <v>21011.4633536239</v>
      </c>
      <c r="R363" s="15" t="n">
        <f aca="false">Q363-$G$2+$I$2</f>
        <v>15659.9033536239</v>
      </c>
      <c r="S363" s="42" t="n">
        <f aca="false">R363/$K$2</f>
        <v>724.995525630737</v>
      </c>
      <c r="T363" s="43" t="n">
        <f aca="false">S363-$M$2</f>
        <v>-0.00447436926287992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0.0758895874023438</v>
      </c>
      <c r="C364" s="25" t="n">
        <f aca="false">IF(T363&gt;0,D363,C363)</f>
        <v>0.0759124755859375</v>
      </c>
      <c r="D364" s="41" t="n">
        <f aca="false">(B364+C364)/2</f>
        <v>0.0759010314941406</v>
      </c>
      <c r="E364" s="15" t="n">
        <f aca="false">$C$2*(1+IF(E$3&lt;=$O$2,$D364,$D364-($D364-$I$346)*MIN(E$3-$O$2,$Q$2)/$Q$2))</f>
        <v>2571.403465271</v>
      </c>
      <c r="F364" s="15" t="n">
        <f aca="false">E364*(1+IF(F$3&lt;=$O$2,$D364,$D364-($D364-$I$346)*MIN(F$3-$O$2,$Q$2)/$Q$2))</f>
        <v>2766.57564067267</v>
      </c>
      <c r="G364" s="15" t="n">
        <f aca="false">F364*(1+IF(G$3&lt;=$O$2,$D364,$D364-($D364-$I$346)*MIN(G$3-$O$2,$Q$2)/$Q$2))</f>
        <v>2976.56158550629</v>
      </c>
      <c r="H364" s="15" t="n">
        <f aca="false">G364*(1+IF(H$3&lt;=$O$2,$D364,$D364-($D364-$I$346)*MIN(H$3-$O$2,$Q$2)/$Q$2))</f>
        <v>3202.48568015205</v>
      </c>
      <c r="I364" s="15" t="n">
        <f aca="false">H364*(1+IF(I$3&lt;=$O$2,$D364,$D364-($D364-$I$346)*MIN(I$3-$O$2,$Q$2)/$Q$2))</f>
        <v>3445.55764662081</v>
      </c>
      <c r="J364" s="15" t="n">
        <f aca="false">I364*(1+IF(J$3&lt;=$O$2,$D364,$D364-($D364-$I$346)*MIN(J$3-$O$2,$Q$2)/$Q$2))</f>
        <v>3670.8310488149</v>
      </c>
      <c r="K364" s="15" t="n">
        <f aca="false">J364*(1+IF(K$3&lt;=$O$2,$D364,$D364-($D364-$I$346)*MIN(K$3-$O$2,$Q$2)/$Q$2))</f>
        <v>3872.21511201731</v>
      </c>
      <c r="L364" s="15" t="n">
        <f aca="false">K364*(1+IF(L$3&lt;=$O$2,$D364,$D364-($D364-$I$346)*MIN(L$3-$O$2,$Q$2)/$Q$2))</f>
        <v>4043.91072775104</v>
      </c>
      <c r="M364" s="15" t="n">
        <f aca="false">L364*(1+IF(M$3&lt;=$O$2,$D364,$D364-($D364-$I$346)*MIN(M$3-$O$2,$Q$2)/$Q$2))</f>
        <v>4180.67662281763</v>
      </c>
      <c r="N364" s="15" t="n">
        <f aca="false">M364*(1+IF(N$3&lt;=$O$2,$D364,$D364-($D364-$I$346)*MIN(N$3-$O$2,$Q$2)/$Q$2))</f>
        <v>4278.08638812928</v>
      </c>
      <c r="O364" s="15" t="n">
        <f aca="false">SUMPRODUCT(E364:N364,1/(1+$F$346)^$E$3:$N$3)*$E$2</f>
        <v>9868.16386958264</v>
      </c>
      <c r="P364" s="15" t="n">
        <f aca="false">N364*$E$2*(1+$I$346)/($F$346-$I$346)/(1+$F$346)^$N$3</f>
        <v>11144.619978759</v>
      </c>
      <c r="Q364" s="15" t="n">
        <f aca="false">O364+P364</f>
        <v>21012.7838483416</v>
      </c>
      <c r="R364" s="15" t="n">
        <f aca="false">Q364-$G$2+$I$2</f>
        <v>15661.2238483416</v>
      </c>
      <c r="S364" s="42" t="n">
        <f aca="false">R364/$K$2</f>
        <v>725.056659645447</v>
      </c>
      <c r="T364" s="43" t="n">
        <f aca="false">S364-$M$2</f>
        <v>0.0566596454465298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0.0758895874023438</v>
      </c>
      <c r="C365" s="25" t="n">
        <f aca="false">IF(T364&gt;0,D364,C364)</f>
        <v>0.0759010314941406</v>
      </c>
      <c r="D365" s="41" t="n">
        <f aca="false">(B365+C365)/2</f>
        <v>0.0758953094482422</v>
      </c>
      <c r="E365" s="15" t="n">
        <f aca="false">$C$2*(1+IF(E$3&lt;=$O$2,$D365,$D365-($D365-$I$346)*MIN(E$3-$O$2,$Q$2)/$Q$2))</f>
        <v>2571.3897895813</v>
      </c>
      <c r="F365" s="15" t="n">
        <f aca="false">E365*(1+IF(F$3&lt;=$O$2,$D365,$D365-($D365-$I$346)*MIN(F$3-$O$2,$Q$2)/$Q$2))</f>
        <v>2766.54621337362</v>
      </c>
      <c r="G365" s="15" t="n">
        <f aca="false">F365*(1+IF(G$3&lt;=$O$2,$D365,$D365-($D365-$I$346)*MIN(G$3-$O$2,$Q$2)/$Q$2))</f>
        <v>2976.51409434048</v>
      </c>
      <c r="H365" s="15" t="n">
        <f aca="false">G365*(1+IF(H$3&lt;=$O$2,$D365,$D365-($D365-$I$346)*MIN(H$3-$O$2,$Q$2)/$Q$2))</f>
        <v>3202.4175526075</v>
      </c>
      <c r="I365" s="15" t="n">
        <f aca="false">H365*(1+IF(I$3&lt;=$O$2,$D365,$D365-($D365-$I$346)*MIN(I$3-$O$2,$Q$2)/$Q$2))</f>
        <v>3445.46602374513</v>
      </c>
      <c r="J365" s="15" t="n">
        <f aca="false">I365*(1+IF(J$3&lt;=$O$2,$D365,$D365-($D365-$I$346)*MIN(J$3-$O$2,$Q$2)/$Q$2))</f>
        <v>3670.71766346821</v>
      </c>
      <c r="K365" s="15" t="n">
        <f aca="false">J365*(1+IF(K$3&lt;=$O$2,$D365,$D365-($D365-$I$346)*MIN(K$3-$O$2,$Q$2)/$Q$2))</f>
        <v>3872.08290387137</v>
      </c>
      <c r="L365" s="15" t="n">
        <f aca="false">K365*(1+IF(L$3&lt;=$O$2,$D365,$D365-($D365-$I$346)*MIN(L$3-$O$2,$Q$2)/$Q$2))</f>
        <v>4043.76379494691</v>
      </c>
      <c r="M365" s="15" t="n">
        <f aca="false">L365*(1+IF(M$3&lt;=$O$2,$D365,$D365-($D365-$I$346)*MIN(M$3-$O$2,$Q$2)/$Q$2))</f>
        <v>4180.52009299534</v>
      </c>
      <c r="N365" s="15" t="n">
        <f aca="false">M365*(1+IF(N$3&lt;=$O$2,$D365,$D365-($D365-$I$346)*MIN(N$3-$O$2,$Q$2)/$Q$2))</f>
        <v>4277.92621116214</v>
      </c>
      <c r="O365" s="15" t="n">
        <f aca="false">SUMPRODUCT(E365:N365,1/(1+$F$346)^$E$3:$N$3)*$E$2</f>
        <v>9867.92088106504</v>
      </c>
      <c r="P365" s="15" t="n">
        <f aca="false">N365*$E$2*(1+$I$346)/($F$346-$I$346)/(1+$F$346)^$N$3</f>
        <v>11144.2027100865</v>
      </c>
      <c r="Q365" s="15" t="n">
        <f aca="false">O365+P365</f>
        <v>21012.1235911515</v>
      </c>
      <c r="R365" s="15" t="n">
        <f aca="false">Q365-$G$2+$I$2</f>
        <v>15660.5635911515</v>
      </c>
      <c r="S365" s="42" t="n">
        <f aca="false">R365/$K$2</f>
        <v>725.026092182941</v>
      </c>
      <c r="T365" s="43" t="n">
        <f aca="false">S365-$M$2</f>
        <v>0.0260921829406016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0.0758895874023438</v>
      </c>
      <c r="C366" s="25" t="n">
        <f aca="false">IF(T365&gt;0,D365,C365)</f>
        <v>0.0758953094482422</v>
      </c>
      <c r="D366" s="41" t="n">
        <f aca="false">(B366+C366)/2</f>
        <v>0.075892448425293</v>
      </c>
      <c r="E366" s="15" t="n">
        <f aca="false">$C$2*(1+IF(E$3&lt;=$O$2,$D366,$D366-($D366-$I$346)*MIN(E$3-$O$2,$Q$2)/$Q$2))</f>
        <v>2571.38295173645</v>
      </c>
      <c r="F366" s="15" t="n">
        <f aca="false">E366*(1+IF(F$3&lt;=$O$2,$D366,$D366-($D366-$I$346)*MIN(F$3-$O$2,$Q$2)/$Q$2))</f>
        <v>2766.53149978279</v>
      </c>
      <c r="G366" s="15" t="n">
        <f aca="false">F366*(1+IF(G$3&lt;=$O$2,$D366,$D366-($D366-$I$346)*MIN(G$3-$O$2,$Q$2)/$Q$2))</f>
        <v>2976.490348947</v>
      </c>
      <c r="H366" s="15" t="n">
        <f aca="false">G366*(1+IF(H$3&lt;=$O$2,$D366,$D366-($D366-$I$346)*MIN(H$3-$O$2,$Q$2)/$Q$2))</f>
        <v>3202.38348924284</v>
      </c>
      <c r="I366" s="15" t="n">
        <f aca="false">H366*(1+IF(I$3&lt;=$O$2,$D366,$D366-($D366-$I$346)*MIN(I$3-$O$2,$Q$2)/$Q$2))</f>
        <v>3445.42021303821</v>
      </c>
      <c r="J366" s="15" t="n">
        <f aca="false">I366*(1+IF(J$3&lt;=$O$2,$D366,$D366-($D366-$I$346)*MIN(J$3-$O$2,$Q$2)/$Q$2))</f>
        <v>3670.66097188814</v>
      </c>
      <c r="K366" s="15" t="n">
        <f aca="false">J366*(1+IF(K$3&lt;=$O$2,$D366,$D366-($D366-$I$346)*MIN(K$3-$O$2,$Q$2)/$Q$2))</f>
        <v>3872.0168012436</v>
      </c>
      <c r="L366" s="15" t="n">
        <f aca="false">K366*(1+IF(L$3&lt;=$O$2,$D366,$D366-($D366-$I$346)*MIN(L$3-$O$2,$Q$2)/$Q$2))</f>
        <v>4043.69033028108</v>
      </c>
      <c r="M366" s="15" t="n">
        <f aca="false">L366*(1+IF(M$3&lt;=$O$2,$D366,$D366-($D366-$I$346)*MIN(M$3-$O$2,$Q$2)/$Q$2))</f>
        <v>4180.44183000526</v>
      </c>
      <c r="N366" s="15" t="n">
        <f aca="false">M366*(1+IF(N$3&lt;=$O$2,$D366,$D366-($D366-$I$346)*MIN(N$3-$O$2,$Q$2)/$Q$2))</f>
        <v>4277.84612464439</v>
      </c>
      <c r="O366" s="15" t="n">
        <f aca="false">SUMPRODUCT(E366:N366,1/(1+$F$346)^$E$3:$N$3)*$E$2</f>
        <v>9867.79938905868</v>
      </c>
      <c r="P366" s="15" t="n">
        <f aca="false">N366*$E$2*(1+$I$346)/($F$346-$I$346)/(1+$F$346)^$N$3</f>
        <v>11143.9940808713</v>
      </c>
      <c r="Q366" s="15" t="n">
        <f aca="false">O366+P366</f>
        <v>21011.7934699299</v>
      </c>
      <c r="R366" s="15" t="n">
        <f aca="false">Q366-$G$2+$I$2</f>
        <v>15660.2334699299</v>
      </c>
      <c r="S366" s="42" t="n">
        <f aca="false">R366/$K$2</f>
        <v>725.010808793053</v>
      </c>
      <c r="T366" s="43" t="n">
        <f aca="false">S366-$M$2</f>
        <v>0.0108087930528882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0.0758895874023438</v>
      </c>
      <c r="C367" s="25" t="n">
        <f aca="false">IF(T366&gt;0,D366,C366)</f>
        <v>0.075892448425293</v>
      </c>
      <c r="D367" s="41" t="n">
        <f aca="false">(B367+C367)/2</f>
        <v>0.0758910179138184</v>
      </c>
      <c r="E367" s="15" t="n">
        <f aca="false">$C$2*(1+IF(E$3&lt;=$O$2,$D367,$D367-($D367-$I$346)*MIN(E$3-$O$2,$Q$2)/$Q$2))</f>
        <v>2571.37953281403</v>
      </c>
      <c r="F367" s="15" t="n">
        <f aca="false">E367*(1+IF(F$3&lt;=$O$2,$D367,$D367-($D367-$I$346)*MIN(F$3-$O$2,$Q$2)/$Q$2))</f>
        <v>2766.52414300204</v>
      </c>
      <c r="G367" s="15" t="n">
        <f aca="false">F367*(1+IF(G$3&lt;=$O$2,$D367,$D367-($D367-$I$346)*MIN(G$3-$O$2,$Q$2)/$Q$2))</f>
        <v>2976.47847629762</v>
      </c>
      <c r="H367" s="15" t="n">
        <f aca="false">G367*(1+IF(H$3&lt;=$O$2,$D367,$D367-($D367-$I$346)*MIN(H$3-$O$2,$Q$2)/$Q$2))</f>
        <v>3202.36645766242</v>
      </c>
      <c r="I367" s="15" t="n">
        <f aca="false">H367*(1+IF(I$3&lt;=$O$2,$D367,$D367-($D367-$I$346)*MIN(I$3-$O$2,$Q$2)/$Q$2))</f>
        <v>3445.39730786749</v>
      </c>
      <c r="J367" s="15" t="n">
        <f aca="false">I367*(1+IF(J$3&lt;=$O$2,$D367,$D367-($D367-$I$346)*MIN(J$3-$O$2,$Q$2)/$Q$2))</f>
        <v>3670.63262637142</v>
      </c>
      <c r="K367" s="15" t="n">
        <f aca="false">J367*(1+IF(K$3&lt;=$O$2,$D367,$D367-($D367-$I$346)*MIN(K$3-$O$2,$Q$2)/$Q$2))</f>
        <v>3871.98375029101</v>
      </c>
      <c r="L367" s="15" t="n">
        <f aca="false">K367*(1+IF(L$3&lt;=$O$2,$D367,$D367-($D367-$I$346)*MIN(L$3-$O$2,$Q$2)/$Q$2))</f>
        <v>4043.65359838221</v>
      </c>
      <c r="M367" s="15" t="n">
        <f aca="false">L367*(1+IF(M$3&lt;=$O$2,$D367,$D367-($D367-$I$346)*MIN(M$3-$O$2,$Q$2)/$Q$2))</f>
        <v>4180.40269899048</v>
      </c>
      <c r="N367" s="15" t="n">
        <f aca="false">M367*(1+IF(N$3&lt;=$O$2,$D367,$D367-($D367-$I$346)*MIN(N$3-$O$2,$Q$2)/$Q$2))</f>
        <v>4277.80608187696</v>
      </c>
      <c r="O367" s="15" t="n">
        <f aca="false">SUMPRODUCT(E367:N367,1/(1+$F$346)^$E$3:$N$3)*$E$2</f>
        <v>9867.73864361859</v>
      </c>
      <c r="P367" s="15" t="n">
        <f aca="false">N367*$E$2*(1+$I$346)/($F$346-$I$346)/(1+$F$346)^$N$3</f>
        <v>11143.8897675439</v>
      </c>
      <c r="Q367" s="15" t="n">
        <f aca="false">O367+P367</f>
        <v>21011.6284111625</v>
      </c>
      <c r="R367" s="15" t="n">
        <f aca="false">Q367-$G$2+$I$2</f>
        <v>15660.0684111625</v>
      </c>
      <c r="S367" s="42" t="n">
        <f aca="false">R367/$K$2</f>
        <v>725.003167183449</v>
      </c>
      <c r="T367" s="43" t="n">
        <f aca="false">S367-$M$2</f>
        <v>0.00316718344845413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0.0758895874023438</v>
      </c>
      <c r="C368" s="25" t="n">
        <f aca="false">IF(T367&gt;0,D367,C367)</f>
        <v>0.0758910179138184</v>
      </c>
      <c r="D368" s="41" t="n">
        <f aca="false">(B368+C368)/2</f>
        <v>0.0758903026580811</v>
      </c>
      <c r="E368" s="15" t="n">
        <f aca="false">$C$2*(1+IF(E$3&lt;=$O$2,$D368,$D368-($D368-$I$346)*MIN(E$3-$O$2,$Q$2)/$Q$2))</f>
        <v>2571.37782335281</v>
      </c>
      <c r="F368" s="15" t="n">
        <f aca="false">E368*(1+IF(F$3&lt;=$O$2,$D368,$D368-($D368-$I$346)*MIN(F$3-$O$2,$Q$2)/$Q$2))</f>
        <v>2766.52046461534</v>
      </c>
      <c r="G368" s="15" t="n">
        <f aca="false">F368*(1+IF(G$3&lt;=$O$2,$D368,$D368-($D368-$I$346)*MIN(G$3-$O$2,$Q$2)/$Q$2))</f>
        <v>2976.47253998477</v>
      </c>
      <c r="H368" s="15" t="n">
        <f aca="false">G368*(1+IF(H$3&lt;=$O$2,$D368,$D368-($D368-$I$346)*MIN(H$3-$O$2,$Q$2)/$Q$2))</f>
        <v>3202.35794189768</v>
      </c>
      <c r="I368" s="15" t="n">
        <f aca="false">H368*(1+IF(I$3&lt;=$O$2,$D368,$D368-($D368-$I$346)*MIN(I$3-$O$2,$Q$2)/$Q$2))</f>
        <v>3445.38585532781</v>
      </c>
      <c r="J368" s="15" t="n">
        <f aca="false">I368*(1+IF(J$3&lt;=$O$2,$D368,$D368-($D368-$I$346)*MIN(J$3-$O$2,$Q$2)/$Q$2))</f>
        <v>3670.61845368139</v>
      </c>
      <c r="K368" s="15" t="n">
        <f aca="false">J368*(1+IF(K$3&lt;=$O$2,$D368,$D368-($D368-$I$346)*MIN(K$3-$O$2,$Q$2)/$Q$2))</f>
        <v>3871.96722490503</v>
      </c>
      <c r="L368" s="15" t="n">
        <f aca="false">K368*(1+IF(L$3&lt;=$O$2,$D368,$D368-($D368-$I$346)*MIN(L$3-$O$2,$Q$2)/$Q$2))</f>
        <v>4043.63523254129</v>
      </c>
      <c r="M368" s="15" t="n">
        <f aca="false">L368*(1+IF(M$3&lt;=$O$2,$D368,$D368-($D368-$I$346)*MIN(M$3-$O$2,$Q$2)/$Q$2))</f>
        <v>4180.38313360315</v>
      </c>
      <c r="N368" s="15" t="n">
        <f aca="false">M368*(1+IF(N$3&lt;=$O$2,$D368,$D368-($D368-$I$346)*MIN(N$3-$O$2,$Q$2)/$Q$2))</f>
        <v>4277.7860606161</v>
      </c>
      <c r="O368" s="15" t="n">
        <f aca="false">SUMPRODUCT(E368:N368,1/(1+$F$346)^$E$3:$N$3)*$E$2</f>
        <v>9867.70827103932</v>
      </c>
      <c r="P368" s="15" t="n">
        <f aca="false">N368*$E$2*(1+$I$346)/($F$346-$I$346)/(1+$F$346)^$N$3</f>
        <v>11143.8376112003</v>
      </c>
      <c r="Q368" s="15" t="n">
        <f aca="false">O368+P368</f>
        <v>21011.5458822396</v>
      </c>
      <c r="R368" s="15" t="n">
        <f aca="false">Q368-$G$2+$I$2</f>
        <v>15659.9858822396</v>
      </c>
      <c r="S368" s="42" t="n">
        <f aca="false">R368/$K$2</f>
        <v>724.999346399981</v>
      </c>
      <c r="T368" s="43" t="n">
        <f aca="false">S368-$M$2</f>
        <v>-0.000653600018608813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0.0758903026580811</v>
      </c>
      <c r="C369" s="25" t="n">
        <f aca="false">IF(T368&gt;0,D368,C368)</f>
        <v>0.0758910179138184</v>
      </c>
      <c r="D369" s="41" t="n">
        <f aca="false">(B369+C369)/2</f>
        <v>0.0758906602859497</v>
      </c>
      <c r="E369" s="15" t="n">
        <f aca="false">$C$2*(1+IF(E$3&lt;=$O$2,$D369,$D369-($D369-$I$346)*MIN(E$3-$O$2,$Q$2)/$Q$2))</f>
        <v>2571.37867808342</v>
      </c>
      <c r="F369" s="15" t="n">
        <f aca="false">E369*(1+IF(F$3&lt;=$O$2,$D369,$D369-($D369-$I$346)*MIN(F$3-$O$2,$Q$2)/$Q$2))</f>
        <v>2766.52230380838</v>
      </c>
      <c r="G369" s="15" t="n">
        <f aca="false">F369*(1+IF(G$3&lt;=$O$2,$D369,$D369-($D369-$I$346)*MIN(G$3-$O$2,$Q$2)/$Q$2))</f>
        <v>2976.47550814021</v>
      </c>
      <c r="H369" s="15" t="n">
        <f aca="false">G369*(1+IF(H$3&lt;=$O$2,$D369,$D369-($D369-$I$346)*MIN(H$3-$O$2,$Q$2)/$Q$2))</f>
        <v>3202.36219977793</v>
      </c>
      <c r="I369" s="15" t="n">
        <f aca="false">H369*(1+IF(I$3&lt;=$O$2,$D369,$D369-($D369-$I$346)*MIN(I$3-$O$2,$Q$2)/$Q$2))</f>
        <v>3445.39158159384</v>
      </c>
      <c r="J369" s="15" t="n">
        <f aca="false">I369*(1+IF(J$3&lt;=$O$2,$D369,$D369-($D369-$I$346)*MIN(J$3-$O$2,$Q$2)/$Q$2))</f>
        <v>3670.62554002071</v>
      </c>
      <c r="K369" s="15" t="n">
        <f aca="false">J369*(1+IF(K$3&lt;=$O$2,$D369,$D369-($D369-$I$346)*MIN(K$3-$O$2,$Q$2)/$Q$2))</f>
        <v>3871.97548759049</v>
      </c>
      <c r="L369" s="15" t="n">
        <f aca="false">K369*(1+IF(L$3&lt;=$O$2,$D369,$D369-($D369-$I$346)*MIN(L$3-$O$2,$Q$2)/$Q$2))</f>
        <v>4043.64441545271</v>
      </c>
      <c r="M369" s="15" t="n">
        <f aca="false">L369*(1+IF(M$3&lt;=$O$2,$D369,$D369-($D369-$I$346)*MIN(M$3-$O$2,$Q$2)/$Q$2))</f>
        <v>4180.39291628681</v>
      </c>
      <c r="N369" s="15" t="n">
        <f aca="false">M369*(1+IF(N$3&lt;=$O$2,$D369,$D369-($D369-$I$346)*MIN(N$3-$O$2,$Q$2)/$Q$2))</f>
        <v>4277.79607123629</v>
      </c>
      <c r="O369" s="15" t="n">
        <f aca="false">SUMPRODUCT(E369:N369,1/(1+$F$346)^$E$3:$N$3)*$E$2</f>
        <v>9867.72345731722</v>
      </c>
      <c r="P369" s="15" t="n">
        <f aca="false">N369*$E$2*(1+$I$346)/($F$346-$I$346)/(1+$F$346)^$N$3</f>
        <v>11143.8636893454</v>
      </c>
      <c r="Q369" s="15" t="n">
        <f aca="false">O369+P369</f>
        <v>21011.5871466626</v>
      </c>
      <c r="R369" s="15" t="n">
        <f aca="false">Q369-$G$2+$I$2</f>
        <v>15660.0271466626</v>
      </c>
      <c r="S369" s="42" t="n">
        <f aca="false">R369/$K$2</f>
        <v>725.001256789937</v>
      </c>
      <c r="T369" s="43" t="n">
        <f aca="false">S369-$M$2</f>
        <v>0.00125678993720157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0.0758903026580811</v>
      </c>
      <c r="C370" s="25" t="n">
        <f aca="false">IF(T369&gt;0,D369,C369)</f>
        <v>0.0758906602859497</v>
      </c>
      <c r="D370" s="41" t="n">
        <f aca="false">(B370+C370)/2</f>
        <v>0.0758904814720154</v>
      </c>
      <c r="E370" s="15" t="n">
        <f aca="false">$C$2*(1+IF(E$3&lt;=$O$2,$D370,$D370-($D370-$I$346)*MIN(E$3-$O$2,$Q$2)/$Q$2))</f>
        <v>2571.37825071812</v>
      </c>
      <c r="F370" s="15" t="n">
        <f aca="false">E370*(1+IF(F$3&lt;=$O$2,$D370,$D370-($D370-$I$346)*MIN(F$3-$O$2,$Q$2)/$Q$2))</f>
        <v>2766.52138421178</v>
      </c>
      <c r="G370" s="15" t="n">
        <f aca="false">F370*(1+IF(G$3&lt;=$O$2,$D370,$D370-($D370-$I$346)*MIN(G$3-$O$2,$Q$2)/$Q$2))</f>
        <v>2976.47402406224</v>
      </c>
      <c r="H370" s="15" t="n">
        <f aca="false">G370*(1+IF(H$3&lt;=$O$2,$D370,$D370-($D370-$I$346)*MIN(H$3-$O$2,$Q$2)/$Q$2))</f>
        <v>3202.36007083727</v>
      </c>
      <c r="I370" s="15" t="n">
        <f aca="false">H370*(1+IF(I$3&lt;=$O$2,$D370,$D370-($D370-$I$346)*MIN(I$3-$O$2,$Q$2)/$Q$2))</f>
        <v>3445.38871845987</v>
      </c>
      <c r="J370" s="15" t="n">
        <f aca="false">I370*(1+IF(J$3&lt;=$O$2,$D370,$D370-($D370-$I$346)*MIN(J$3-$O$2,$Q$2)/$Q$2))</f>
        <v>3670.62199684963</v>
      </c>
      <c r="K370" s="15" t="n">
        <f aca="false">J370*(1+IF(K$3&lt;=$O$2,$D370,$D370-($D370-$I$346)*MIN(K$3-$O$2,$Q$2)/$Q$2))</f>
        <v>3871.97135624588</v>
      </c>
      <c r="L370" s="15" t="n">
        <f aca="false">K370*(1+IF(L$3&lt;=$O$2,$D370,$D370-($D370-$I$346)*MIN(L$3-$O$2,$Q$2)/$Q$2))</f>
        <v>4043.63982399474</v>
      </c>
      <c r="M370" s="15" t="n">
        <f aca="false">L370*(1+IF(M$3&lt;=$O$2,$D370,$D370-($D370-$I$346)*MIN(M$3-$O$2,$Q$2)/$Q$2))</f>
        <v>4180.38802494248</v>
      </c>
      <c r="N370" s="15" t="n">
        <f aca="false">M370*(1+IF(N$3&lt;=$O$2,$D370,$D370-($D370-$I$346)*MIN(N$3-$O$2,$Q$2)/$Q$2))</f>
        <v>4277.79106592364</v>
      </c>
      <c r="O370" s="15" t="n">
        <f aca="false">SUMPRODUCT(E370:N370,1/(1+$F$346)^$E$3:$N$3)*$E$2</f>
        <v>9867.71586417534</v>
      </c>
      <c r="P370" s="15" t="n">
        <f aca="false">N370*$E$2*(1+$I$346)/($F$346-$I$346)/(1+$F$346)^$N$3</f>
        <v>11143.8506502662</v>
      </c>
      <c r="Q370" s="15" t="n">
        <f aca="false">O370+P370</f>
        <v>21011.5665144415</v>
      </c>
      <c r="R370" s="15" t="n">
        <f aca="false">Q370-$G$2+$I$2</f>
        <v>15660.0065144415</v>
      </c>
      <c r="S370" s="42" t="n">
        <f aca="false">R370/$K$2</f>
        <v>725.000301594515</v>
      </c>
      <c r="T370" s="43" t="n">
        <f aca="false">S370-$M$2</f>
        <v>0.000301594514667158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0.0758903026580811</v>
      </c>
      <c r="C371" s="25" t="n">
        <f aca="false">IF(T370&gt;0,D370,C370)</f>
        <v>0.0758904814720154</v>
      </c>
      <c r="D371" s="41" t="n">
        <f aca="false">(B371+C371)/2</f>
        <v>0.0758903920650482</v>
      </c>
      <c r="E371" s="15" t="n">
        <f aca="false">$C$2*(1+IF(E$3&lt;=$O$2,$D371,$D371-($D371-$I$346)*MIN(E$3-$O$2,$Q$2)/$Q$2))</f>
        <v>2571.37803703547</v>
      </c>
      <c r="F371" s="15" t="n">
        <f aca="false">E371*(1+IF(F$3&lt;=$O$2,$D371,$D371-($D371-$I$346)*MIN(F$3-$O$2,$Q$2)/$Q$2))</f>
        <v>2766.52092441354</v>
      </c>
      <c r="G371" s="15" t="n">
        <f aca="false">F371*(1+IF(G$3&lt;=$O$2,$D371,$D371-($D371-$I$346)*MIN(G$3-$O$2,$Q$2)/$Q$2))</f>
        <v>2976.47328202344</v>
      </c>
      <c r="H371" s="15" t="n">
        <f aca="false">G371*(1+IF(H$3&lt;=$O$2,$D371,$D371-($D371-$I$346)*MIN(H$3-$O$2,$Q$2)/$Q$2))</f>
        <v>3202.35900636734</v>
      </c>
      <c r="I371" s="15" t="n">
        <f aca="false">H371*(1+IF(I$3&lt;=$O$2,$D371,$D371-($D371-$I$346)*MIN(I$3-$O$2,$Q$2)/$Q$2))</f>
        <v>3445.3872868936</v>
      </c>
      <c r="J371" s="15" t="n">
        <f aca="false">I371*(1+IF(J$3&lt;=$O$2,$D371,$D371-($D371-$I$346)*MIN(J$3-$O$2,$Q$2)/$Q$2))</f>
        <v>3670.62022526515</v>
      </c>
      <c r="K371" s="15" t="n">
        <f aca="false">J371*(1+IF(K$3&lt;=$O$2,$D371,$D371-($D371-$I$346)*MIN(K$3-$O$2,$Q$2)/$Q$2))</f>
        <v>3871.96929057499</v>
      </c>
      <c r="L371" s="15" t="n">
        <f aca="false">K371*(1+IF(L$3&lt;=$O$2,$D371,$D371-($D371-$I$346)*MIN(L$3-$O$2,$Q$2)/$Q$2))</f>
        <v>4043.63752826745</v>
      </c>
      <c r="M371" s="15" t="n">
        <f aca="false">L371*(1+IF(M$3&lt;=$O$2,$D371,$D371-($D371-$I$346)*MIN(M$3-$O$2,$Q$2)/$Q$2))</f>
        <v>4180.38557927219</v>
      </c>
      <c r="N371" s="15" t="n">
        <f aca="false">M371*(1+IF(N$3&lt;=$O$2,$D371,$D371-($D371-$I$346)*MIN(N$3-$O$2,$Q$2)/$Q$2))</f>
        <v>4277.78856326923</v>
      </c>
      <c r="O371" s="15" t="n">
        <f aca="false">SUMPRODUCT(E371:N371,1/(1+$F$346)^$E$3:$N$3)*$E$2</f>
        <v>9867.7120676066</v>
      </c>
      <c r="P371" s="15" t="n">
        <f aca="false">N371*$E$2*(1+$I$346)/($F$346-$I$346)/(1+$F$346)^$N$3</f>
        <v>11143.8441307316</v>
      </c>
      <c r="Q371" s="15" t="n">
        <f aca="false">O371+P371</f>
        <v>21011.5561983382</v>
      </c>
      <c r="R371" s="15" t="n">
        <f aca="false">Q371-$G$2+$I$2</f>
        <v>15659.9961983382</v>
      </c>
      <c r="S371" s="42" t="n">
        <f aca="false">R371/$K$2</f>
        <v>724.999823997137</v>
      </c>
      <c r="T371" s="43" t="n">
        <f aca="false">S371-$M$2</f>
        <v>-0.000176002863213398</v>
      </c>
    </row>
    <row r="373" customFormat="false" ht="15" hidden="false" customHeight="false" outlineLevel="0" collapsed="false">
      <c r="A373" s="38" t="s">
        <v>194</v>
      </c>
      <c r="E373" s="5" t="s">
        <v>11</v>
      </c>
      <c r="F373" s="12" t="n">
        <f aca="false">Sensitivity!$B$12</f>
        <v>0.0969721785729318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162</v>
      </c>
      <c r="B374" s="28" t="s">
        <v>163</v>
      </c>
      <c r="C374" s="28" t="s">
        <v>164</v>
      </c>
      <c r="D374" s="28" t="s">
        <v>165</v>
      </c>
      <c r="E374" s="28" t="s">
        <v>166</v>
      </c>
      <c r="F374" s="28" t="s">
        <v>167</v>
      </c>
      <c r="G374" s="28" t="s">
        <v>168</v>
      </c>
      <c r="H374" s="28" t="s">
        <v>169</v>
      </c>
      <c r="I374" s="28" t="s">
        <v>170</v>
      </c>
      <c r="J374" s="28" t="s">
        <v>171</v>
      </c>
      <c r="K374" s="28" t="s">
        <v>172</v>
      </c>
      <c r="L374" s="28" t="s">
        <v>173</v>
      </c>
      <c r="M374" s="28" t="s">
        <v>174</v>
      </c>
      <c r="N374" s="28" t="s">
        <v>175</v>
      </c>
      <c r="O374" s="28" t="s">
        <v>176</v>
      </c>
      <c r="P374" s="28" t="s">
        <v>177</v>
      </c>
      <c r="Q374" s="28" t="s">
        <v>178</v>
      </c>
      <c r="R374" s="28" t="s">
        <v>179</v>
      </c>
      <c r="S374" s="28" t="s">
        <v>180</v>
      </c>
      <c r="T374" s="28" t="s">
        <v>181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2987.5</v>
      </c>
      <c r="F375" s="15" t="n">
        <f aca="false">E375*(1+IF(F$3&lt;=$O$2,$D375,$D375-($D375-$I$373)*MIN(F$3-$O$2,$Q$2)/$Q$2))</f>
        <v>3734.375</v>
      </c>
      <c r="G375" s="15" t="n">
        <f aca="false">F375*(1+IF(G$3&lt;=$O$2,$D375,$D375-($D375-$I$373)*MIN(G$3-$O$2,$Q$2)/$Q$2))</f>
        <v>4667.96875</v>
      </c>
      <c r="H375" s="15" t="n">
        <f aca="false">G375*(1+IF(H$3&lt;=$O$2,$D375,$D375-($D375-$I$373)*MIN(H$3-$O$2,$Q$2)/$Q$2))</f>
        <v>5834.9609375</v>
      </c>
      <c r="I375" s="15" t="n">
        <f aca="false">H375*(1+IF(I$3&lt;=$O$2,$D375,$D375-($D375-$I$373)*MIN(I$3-$O$2,$Q$2)/$Q$2))</f>
        <v>7293.701171875</v>
      </c>
      <c r="J375" s="15" t="n">
        <f aca="false">I375*(1+IF(J$3&lt;=$O$2,$D375,$D375-($D375-$I$373)*MIN(J$3-$O$2,$Q$2)/$Q$2))</f>
        <v>8793.72375488281</v>
      </c>
      <c r="K375" s="15" t="n">
        <f aca="false">J375*(1+IF(K$3&lt;=$O$2,$D375,$D375-($D375-$I$373)*MIN(K$3-$O$2,$Q$2)/$Q$2))</f>
        <v>10212.3272710205</v>
      </c>
      <c r="L375" s="15" t="n">
        <f aca="false">K375*(1+IF(L$3&lt;=$O$2,$D375,$D375-($D375-$I$373)*MIN(L$3-$O$2,$Q$2)/$Q$2))</f>
        <v>11406.9653151845</v>
      </c>
      <c r="M375" s="15" t="n">
        <f aca="false">L375*(1+IF(M$3&lt;=$O$2,$D375,$D375-($D375-$I$373)*MIN(M$3-$O$2,$Q$2)/$Q$2))</f>
        <v>12235.5672756795</v>
      </c>
      <c r="N375" s="15" t="n">
        <f aca="false">M375*(1+IF(N$3&lt;=$O$2,$D375,$D375-($D375-$I$373)*MIN(N$3-$O$2,$Q$2)/$Q$2))</f>
        <v>12581.8338295812</v>
      </c>
      <c r="O375" s="15" t="n">
        <f aca="false">SUMPRODUCT(E375:N375,1/(1+$F$373)^$E$3:$N$3)*$E$2</f>
        <v>20878.5815142345</v>
      </c>
      <c r="P375" s="15" t="n">
        <f aca="false">N375*$E$2*(1+$I$373)/($F$373-$I$373)/(1+$F$373)^$N$3</f>
        <v>35334.5209772935</v>
      </c>
      <c r="Q375" s="15" t="n">
        <f aca="false">O375+P375</f>
        <v>56213.102491528</v>
      </c>
      <c r="R375" s="15" t="n">
        <f aca="false">Q375-$G$2+$I$2</f>
        <v>50861.542491528</v>
      </c>
      <c r="S375" s="42" t="n">
        <f aca="false">R375/$K$2</f>
        <v>2354.70104127444</v>
      </c>
      <c r="T375" s="43" t="n">
        <f aca="false">S375-$M$2</f>
        <v>1629.70104127444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2091.25</v>
      </c>
      <c r="F376" s="15" t="n">
        <f aca="false">E376*(1+IF(F$3&lt;=$O$2,$D376,$D376-($D376-$I$373)*MIN(F$3-$O$2,$Q$2)/$Q$2))</f>
        <v>1829.84375</v>
      </c>
      <c r="G376" s="15" t="n">
        <f aca="false">F376*(1+IF(G$3&lt;=$O$2,$D376,$D376-($D376-$I$373)*MIN(G$3-$O$2,$Q$2)/$Q$2))</f>
        <v>1601.11328125</v>
      </c>
      <c r="H376" s="15" t="n">
        <f aca="false">G376*(1+IF(H$3&lt;=$O$2,$D376,$D376-($D376-$I$373)*MIN(H$3-$O$2,$Q$2)/$Q$2))</f>
        <v>1400.97412109375</v>
      </c>
      <c r="I376" s="15" t="n">
        <f aca="false">H376*(1+IF(I$3&lt;=$O$2,$D376,$D376-($D376-$I$373)*MIN(I$3-$O$2,$Q$2)/$Q$2))</f>
        <v>1225.85235595703</v>
      </c>
      <c r="J376" s="15" t="n">
        <f aca="false">I376*(1+IF(J$3&lt;=$O$2,$D376,$D376-($D376-$I$373)*MIN(J$3-$O$2,$Q$2)/$Q$2))</f>
        <v>1110.20544469604</v>
      </c>
      <c r="K376" s="15" t="n">
        <f aca="false">J376*(1+IF(K$3&lt;=$O$2,$D376,$D376-($D376-$I$373)*MIN(K$3-$O$2,$Q$2)/$Q$2))</f>
        <v>1039.5075619778</v>
      </c>
      <c r="L376" s="15" t="n">
        <f aca="false">K376*(1+IF(L$3&lt;=$O$2,$D376,$D376-($D376-$I$373)*MIN(L$3-$O$2,$Q$2)/$Q$2))</f>
        <v>1005.18302228129</v>
      </c>
      <c r="M376" s="15" t="n">
        <f aca="false">L376*(1+IF(M$3&lt;=$O$2,$D376,$D376-($D376-$I$373)*MIN(M$3-$O$2,$Q$2)/$Q$2))</f>
        <v>1002.81079034871</v>
      </c>
      <c r="N376" s="15" t="n">
        <f aca="false">M376*(1+IF(N$3&lt;=$O$2,$D376,$D376-($D376-$I$373)*MIN(N$3-$O$2,$Q$2)/$Q$2))</f>
        <v>1031.19033571558</v>
      </c>
      <c r="O376" s="15" t="n">
        <f aca="false">SUMPRODUCT(E376:N376,1/(1+$F$373)^$E$3:$N$3)*$E$2</f>
        <v>4204.24309199253</v>
      </c>
      <c r="P376" s="15" t="n">
        <f aca="false">N376*$E$2*(1+$I$373)/($F$373-$I$373)/(1+$F$373)^$N$3</f>
        <v>2895.9702569953</v>
      </c>
      <c r="Q376" s="15" t="n">
        <f aca="false">O376+P376</f>
        <v>7100.21334898783</v>
      </c>
      <c r="R376" s="15" t="n">
        <f aca="false">Q376-$G$2+$I$2</f>
        <v>1748.65334898783</v>
      </c>
      <c r="S376" s="42" t="n">
        <f aca="false">R376/$K$2</f>
        <v>80.9561735642513</v>
      </c>
      <c r="T376" s="43" t="n">
        <f aca="false">S376-$M$2</f>
        <v>-644.043826435749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2539.375</v>
      </c>
      <c r="F377" s="15" t="n">
        <f aca="false">E377*(1+IF(F$3&lt;=$O$2,$D377,$D377-($D377-$I$373)*MIN(F$3-$O$2,$Q$2)/$Q$2))</f>
        <v>2698.0859375</v>
      </c>
      <c r="G377" s="15" t="n">
        <f aca="false">F377*(1+IF(G$3&lt;=$O$2,$D377,$D377-($D377-$I$373)*MIN(G$3-$O$2,$Q$2)/$Q$2))</f>
        <v>2866.71630859375</v>
      </c>
      <c r="H377" s="15" t="n">
        <f aca="false">G377*(1+IF(H$3&lt;=$O$2,$D377,$D377-($D377-$I$373)*MIN(H$3-$O$2,$Q$2)/$Q$2))</f>
        <v>3045.88607788086</v>
      </c>
      <c r="I377" s="15" t="n">
        <f aca="false">H377*(1+IF(I$3&lt;=$O$2,$D377,$D377-($D377-$I$373)*MIN(I$3-$O$2,$Q$2)/$Q$2))</f>
        <v>3236.25395774841</v>
      </c>
      <c r="J377" s="15" t="n">
        <f aca="false">I377*(1+IF(J$3&lt;=$O$2,$D377,$D377-($D377-$I$373)*MIN(J$3-$O$2,$Q$2)/$Q$2))</f>
        <v>3416.38385303669</v>
      </c>
      <c r="K377" s="15" t="n">
        <f aca="false">J377*(1+IF(K$3&lt;=$O$2,$D377,$D377-($D377-$I$373)*MIN(K$3-$O$2,$Q$2)/$Q$2))</f>
        <v>3583.17171274194</v>
      </c>
      <c r="L377" s="15" t="n">
        <f aca="false">K377*(1+IF(L$3&lt;=$O$2,$D377,$D377-($D377-$I$373)*MIN(L$3-$O$2,$Q$2)/$Q$2))</f>
        <v>3733.59326124285</v>
      </c>
      <c r="M377" s="15" t="n">
        <f aca="false">L377*(1+IF(M$3&lt;=$O$2,$D377,$D377-($D377-$I$373)*MIN(M$3-$O$2,$Q$2)/$Q$2))</f>
        <v>3864.79172844292</v>
      </c>
      <c r="N377" s="15" t="n">
        <f aca="false">M377*(1+IF(N$3&lt;=$O$2,$D377,$D377-($D377-$I$373)*MIN(N$3-$O$2,$Q$2)/$Q$2))</f>
        <v>3974.16533435786</v>
      </c>
      <c r="O377" s="15" t="n">
        <f aca="false">SUMPRODUCT(E377:N377,1/(1+$F$373)^$E$3:$N$3)*$E$2</f>
        <v>9341.81426736491</v>
      </c>
      <c r="P377" s="15" t="n">
        <f aca="false">N377*$E$2*(1+$I$373)/($F$373-$I$373)/(1+$F$373)^$N$3</f>
        <v>11160.9508022547</v>
      </c>
      <c r="Q377" s="15" t="n">
        <f aca="false">O377+P377</f>
        <v>20502.7650696197</v>
      </c>
      <c r="R377" s="15" t="n">
        <f aca="false">Q377-$G$2+$I$2</f>
        <v>15151.2050696197</v>
      </c>
      <c r="S377" s="42" t="n">
        <f aca="false">R377/$K$2</f>
        <v>701.444679149058</v>
      </c>
      <c r="T377" s="43" t="n">
        <f aca="false">S377-$M$2</f>
        <v>-23.5553208509418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0.0625</v>
      </c>
      <c r="C378" s="25" t="n">
        <f aca="false">IF(T377&gt;0,D377,C377)</f>
        <v>0.25</v>
      </c>
      <c r="D378" s="41" t="n">
        <f aca="false">(B378+C378)/2</f>
        <v>0.15625</v>
      </c>
      <c r="E378" s="15" t="n">
        <f aca="false">$C$2*(1+IF(E$3&lt;=$O$2,$D378,$D378-($D378-$I$373)*MIN(E$3-$O$2,$Q$2)/$Q$2))</f>
        <v>2763.4375</v>
      </c>
      <c r="F378" s="15" t="n">
        <f aca="false">E378*(1+IF(F$3&lt;=$O$2,$D378,$D378-($D378-$I$373)*MIN(F$3-$O$2,$Q$2)/$Q$2))</f>
        <v>3195.224609375</v>
      </c>
      <c r="G378" s="15" t="n">
        <f aca="false">F378*(1+IF(G$3&lt;=$O$2,$D378,$D378-($D378-$I$373)*MIN(G$3-$O$2,$Q$2)/$Q$2))</f>
        <v>3694.47845458984</v>
      </c>
      <c r="H378" s="15" t="n">
        <f aca="false">G378*(1+IF(H$3&lt;=$O$2,$D378,$D378-($D378-$I$373)*MIN(H$3-$O$2,$Q$2)/$Q$2))</f>
        <v>4271.74071311951</v>
      </c>
      <c r="I378" s="15" t="n">
        <f aca="false">H378*(1+IF(I$3&lt;=$O$2,$D378,$D378-($D378-$I$373)*MIN(I$3-$O$2,$Q$2)/$Q$2))</f>
        <v>4939.20019954443</v>
      </c>
      <c r="J378" s="15" t="n">
        <f aca="false">I378*(1+IF(J$3&lt;=$O$2,$D378,$D378-($D378-$I$373)*MIN(J$3-$O$2,$Q$2)/$Q$2))</f>
        <v>5584.55609761691</v>
      </c>
      <c r="K378" s="15" t="n">
        <f aca="false">J378*(1+IF(K$3&lt;=$O$2,$D378,$D378-($D378-$I$373)*MIN(K$3-$O$2,$Q$2)/$Q$2))</f>
        <v>6171.32540679351</v>
      </c>
      <c r="L378" s="15" t="n">
        <f aca="false">K378*(1+IF(L$3&lt;=$O$2,$D378,$D378-($D378-$I$373)*MIN(L$3-$O$2,$Q$2)/$Q$2))</f>
        <v>6661.82235012546</v>
      </c>
      <c r="M378" s="15" t="n">
        <f aca="false">L378*(1+IF(M$3&lt;=$O$2,$D378,$D378-($D378-$I$373)*MIN(M$3-$O$2,$Q$2)/$Q$2))</f>
        <v>7020.82795657372</v>
      </c>
      <c r="N378" s="15" t="n">
        <f aca="false">M378*(1+IF(N$3&lt;=$O$2,$D378,$D378-($D378-$I$373)*MIN(N$3-$O$2,$Q$2)/$Q$2))</f>
        <v>7219.51738774476</v>
      </c>
      <c r="O378" s="15" t="n">
        <f aca="false">SUMPRODUCT(E378:N378,1/(1+$F$373)^$E$3:$N$3)*$E$2</f>
        <v>13987.1138688709</v>
      </c>
      <c r="P378" s="15" t="n">
        <f aca="false">N378*$E$2*(1+$I$373)/($F$373-$I$373)/(1+$F$373)^$N$3</f>
        <v>20275.1198305799</v>
      </c>
      <c r="Q378" s="15" t="n">
        <f aca="false">O378+P378</f>
        <v>34262.2336994507</v>
      </c>
      <c r="R378" s="15" t="n">
        <f aca="false">Q378-$G$2+$I$2</f>
        <v>28910.6736994507</v>
      </c>
      <c r="S378" s="42" t="n">
        <f aca="false">R378/$K$2</f>
        <v>1338.45711571531</v>
      </c>
      <c r="T378" s="43" t="n">
        <f aca="false">S378-$M$2</f>
        <v>613.45711571531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0.0625</v>
      </c>
      <c r="C379" s="25" t="n">
        <f aca="false">IF(T378&gt;0,D378,C378)</f>
        <v>0.15625</v>
      </c>
      <c r="D379" s="41" t="n">
        <f aca="false">(B379+C379)/2</f>
        <v>0.109375</v>
      </c>
      <c r="E379" s="15" t="n">
        <f aca="false">$C$2*(1+IF(E$3&lt;=$O$2,$D379,$D379-($D379-$I$373)*MIN(E$3-$O$2,$Q$2)/$Q$2))</f>
        <v>2651.40625</v>
      </c>
      <c r="F379" s="15" t="n">
        <f aca="false">E379*(1+IF(F$3&lt;=$O$2,$D379,$D379-($D379-$I$373)*MIN(F$3-$O$2,$Q$2)/$Q$2))</f>
        <v>2941.40380859375</v>
      </c>
      <c r="G379" s="15" t="n">
        <f aca="false">F379*(1+IF(G$3&lt;=$O$2,$D379,$D379-($D379-$I$373)*MIN(G$3-$O$2,$Q$2)/$Q$2))</f>
        <v>3263.11985015869</v>
      </c>
      <c r="H379" s="15" t="n">
        <f aca="false">G379*(1+IF(H$3&lt;=$O$2,$D379,$D379-($D379-$I$373)*MIN(H$3-$O$2,$Q$2)/$Q$2))</f>
        <v>3620.0235837698</v>
      </c>
      <c r="I379" s="15" t="n">
        <f aca="false">H379*(1+IF(I$3&lt;=$O$2,$D379,$D379-($D379-$I$373)*MIN(I$3-$O$2,$Q$2)/$Q$2))</f>
        <v>4015.96366324462</v>
      </c>
      <c r="J379" s="15" t="n">
        <f aca="false">I379*(1+IF(J$3&lt;=$O$2,$D379,$D379-($D379-$I$373)*MIN(J$3-$O$2,$Q$2)/$Q$2))</f>
        <v>4390.09083811249</v>
      </c>
      <c r="K379" s="15" t="n">
        <f aca="false">J379*(1+IF(K$3&lt;=$O$2,$D379,$D379-($D379-$I$373)*MIN(K$3-$O$2,$Q$2)/$Q$2))</f>
        <v>4727.88637765105</v>
      </c>
      <c r="L379" s="15" t="n">
        <f aca="false">K379*(1+IF(L$3&lt;=$O$2,$D379,$D379-($D379-$I$373)*MIN(L$3-$O$2,$Q$2)/$Q$2))</f>
        <v>5015.0109173658</v>
      </c>
      <c r="M379" s="15" t="n">
        <f aca="false">L379*(1+IF(M$3&lt;=$O$2,$D379,$D379-($D379-$I$373)*MIN(M$3-$O$2,$Q$2)/$Q$2))</f>
        <v>5238.25412835234</v>
      </c>
      <c r="N379" s="15" t="n">
        <f aca="false">M379*(1+IF(N$3&lt;=$O$2,$D379,$D379-($D379-$I$373)*MIN(N$3-$O$2,$Q$2)/$Q$2))</f>
        <v>5386.49672018471</v>
      </c>
      <c r="O379" s="15" t="n">
        <f aca="false">SUMPRODUCT(E379:N379,1/(1+$F$373)^$E$3:$N$3)*$E$2</f>
        <v>11432.3550444781</v>
      </c>
      <c r="P379" s="15" t="n">
        <f aca="false">N379*$E$2*(1+$I$373)/($F$373-$I$373)/(1+$F$373)^$N$3</f>
        <v>15127.3084616652</v>
      </c>
      <c r="Q379" s="15" t="n">
        <f aca="false">O379+P379</f>
        <v>26559.6635061433</v>
      </c>
      <c r="R379" s="15" t="n">
        <f aca="false">Q379-$G$2+$I$2</f>
        <v>21208.1035061433</v>
      </c>
      <c r="S379" s="42" t="n">
        <f aca="false">R379/$K$2</f>
        <v>981.856643802932</v>
      </c>
      <c r="T379" s="43" t="n">
        <f aca="false">S379-$M$2</f>
        <v>256.856643802932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0.0625</v>
      </c>
      <c r="C380" s="25" t="n">
        <f aca="false">IF(T379&gt;0,D379,C379)</f>
        <v>0.109375</v>
      </c>
      <c r="D380" s="41" t="n">
        <f aca="false">(B380+C380)/2</f>
        <v>0.0859375</v>
      </c>
      <c r="E380" s="15" t="n">
        <f aca="false">$C$2*(1+IF(E$3&lt;=$O$2,$D380,$D380-($D380-$I$373)*MIN(E$3-$O$2,$Q$2)/$Q$2))</f>
        <v>2595.390625</v>
      </c>
      <c r="F380" s="15" t="n">
        <f aca="false">E380*(1+IF(F$3&lt;=$O$2,$D380,$D380-($D380-$I$373)*MIN(F$3-$O$2,$Q$2)/$Q$2))</f>
        <v>2818.43200683594</v>
      </c>
      <c r="G380" s="15" t="n">
        <f aca="false">F380*(1+IF(G$3&lt;=$O$2,$D380,$D380-($D380-$I$373)*MIN(G$3-$O$2,$Q$2)/$Q$2))</f>
        <v>3060.6410074234</v>
      </c>
      <c r="H380" s="15" t="n">
        <f aca="false">G380*(1+IF(H$3&lt;=$O$2,$D380,$D380-($D380-$I$373)*MIN(H$3-$O$2,$Q$2)/$Q$2))</f>
        <v>3323.66484399885</v>
      </c>
      <c r="I380" s="15" t="n">
        <f aca="false">H380*(1+IF(I$3&lt;=$O$2,$D380,$D380-($D380-$I$373)*MIN(I$3-$O$2,$Q$2)/$Q$2))</f>
        <v>3609.29229153</v>
      </c>
      <c r="J380" s="15" t="n">
        <f aca="false">I380*(1+IF(J$3&lt;=$O$2,$D380,$D380-($D380-$I$373)*MIN(J$3-$O$2,$Q$2)/$Q$2))</f>
        <v>3877.85973094275</v>
      </c>
      <c r="K380" s="15" t="n">
        <f aca="false">J380*(1+IF(K$3&lt;=$O$2,$D380,$D380-($D380-$I$373)*MIN(K$3-$O$2,$Q$2)/$Q$2))</f>
        <v>4121.70924547376</v>
      </c>
      <c r="L380" s="15" t="n">
        <f aca="false">K380*(1+IF(L$3&lt;=$O$2,$D380,$D380-($D380-$I$373)*MIN(L$3-$O$2,$Q$2)/$Q$2))</f>
        <v>4333.37962377506</v>
      </c>
      <c r="M380" s="15" t="n">
        <f aca="false">L380*(1+IF(M$3&lt;=$O$2,$D380,$D380-($D380-$I$373)*MIN(M$3-$O$2,$Q$2)/$Q$2))</f>
        <v>4505.96730074096</v>
      </c>
      <c r="N380" s="15" t="n">
        <f aca="false">M380*(1+IF(N$3&lt;=$O$2,$D380,$D380-($D380-$I$373)*MIN(N$3-$O$2,$Q$2)/$Q$2))</f>
        <v>4633.48617535193</v>
      </c>
      <c r="O380" s="15" t="n">
        <f aca="false">SUMPRODUCT(E380:N380,1/(1+$F$373)^$E$3:$N$3)*$E$2</f>
        <v>10334.3302771972</v>
      </c>
      <c r="P380" s="15" t="n">
        <f aca="false">N380*$E$2*(1+$I$373)/($F$373-$I$373)/(1+$F$373)^$N$3</f>
        <v>13012.5716710743</v>
      </c>
      <c r="Q380" s="15" t="n">
        <f aca="false">O380+P380</f>
        <v>23346.9019482714</v>
      </c>
      <c r="R380" s="15" t="n">
        <f aca="false">Q380-$G$2+$I$2</f>
        <v>17995.3419482714</v>
      </c>
      <c r="S380" s="42" t="n">
        <f aca="false">R380/$K$2</f>
        <v>833.117682790344</v>
      </c>
      <c r="T380" s="43" t="n">
        <f aca="false">S380-$M$2</f>
        <v>108.117682790344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0.0625</v>
      </c>
      <c r="C381" s="25" t="n">
        <f aca="false">IF(T380&gt;0,D380,C380)</f>
        <v>0.0859375</v>
      </c>
      <c r="D381" s="41" t="n">
        <f aca="false">(B381+C381)/2</f>
        <v>0.07421875</v>
      </c>
      <c r="E381" s="15" t="n">
        <f aca="false">$C$2*(1+IF(E$3&lt;=$O$2,$D381,$D381-($D381-$I$373)*MIN(E$3-$O$2,$Q$2)/$Q$2))</f>
        <v>2567.3828125</v>
      </c>
      <c r="F381" s="15" t="n">
        <f aca="false">E381*(1+IF(F$3&lt;=$O$2,$D381,$D381-($D381-$I$373)*MIN(F$3-$O$2,$Q$2)/$Q$2))</f>
        <v>2757.93075561523</v>
      </c>
      <c r="G381" s="15" t="n">
        <f aca="false">F381*(1+IF(G$3&lt;=$O$2,$D381,$D381-($D381-$I$373)*MIN(G$3-$O$2,$Q$2)/$Q$2))</f>
        <v>2962.62092888355</v>
      </c>
      <c r="H381" s="15" t="n">
        <f aca="false">G381*(1+IF(H$3&lt;=$O$2,$D381,$D381-($D381-$I$373)*MIN(H$3-$O$2,$Q$2)/$Q$2))</f>
        <v>3182.50295094913</v>
      </c>
      <c r="I381" s="15" t="n">
        <f aca="false">H381*(1+IF(I$3&lt;=$O$2,$D381,$D381-($D381-$I$373)*MIN(I$3-$O$2,$Q$2)/$Q$2))</f>
        <v>3418.70434183988</v>
      </c>
      <c r="J381" s="15" t="n">
        <f aca="false">I381*(1+IF(J$3&lt;=$O$2,$D381,$D381-($D381-$I$373)*MIN(J$3-$O$2,$Q$2)/$Q$2))</f>
        <v>3641.03977871144</v>
      </c>
      <c r="K381" s="15" t="n">
        <f aca="false">J381*(1+IF(K$3&lt;=$O$2,$D381,$D381-($D381-$I$373)*MIN(K$3-$O$2,$Q$2)/$Q$2))</f>
        <v>3844.3964016522</v>
      </c>
      <c r="L381" s="15" t="n">
        <f aca="false">K381*(1+IF(L$3&lt;=$O$2,$D381,$D381-($D381-$I$373)*MIN(L$3-$O$2,$Q$2)/$Q$2))</f>
        <v>4023.8047707263</v>
      </c>
      <c r="M381" s="15" t="n">
        <f aca="false">L381*(1+IF(M$3&lt;=$O$2,$D381,$D381-($D381-$I$373)*MIN(M$3-$O$2,$Q$2)/$Q$2))</f>
        <v>4174.63206280101</v>
      </c>
      <c r="N381" s="15" t="n">
        <f aca="false">M381*(1+IF(N$3&lt;=$O$2,$D381,$D381-($D381-$I$373)*MIN(N$3-$O$2,$Q$2)/$Q$2))</f>
        <v>4292.77415017828</v>
      </c>
      <c r="O381" s="15" t="n">
        <f aca="false">SUMPRODUCT(E381:N381,1/(1+$F$373)^$E$3:$N$3)*$E$2</f>
        <v>9825.49702340705</v>
      </c>
      <c r="P381" s="15" t="n">
        <f aca="false">N381*$E$2*(1+$I$373)/($F$373-$I$373)/(1+$F$373)^$N$3</f>
        <v>12055.724174614</v>
      </c>
      <c r="Q381" s="15" t="n">
        <f aca="false">O381+P381</f>
        <v>21881.221198021</v>
      </c>
      <c r="R381" s="15" t="n">
        <f aca="false">Q381-$G$2+$I$2</f>
        <v>16529.661198021</v>
      </c>
      <c r="S381" s="42" t="n">
        <f aca="false">R381/$K$2</f>
        <v>765.262092500972</v>
      </c>
      <c r="T381" s="43" t="n">
        <f aca="false">S381-$M$2</f>
        <v>40.262092500972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0.0625</v>
      </c>
      <c r="C382" s="25" t="n">
        <f aca="false">IF(T381&gt;0,D381,C381)</f>
        <v>0.07421875</v>
      </c>
      <c r="D382" s="41" t="n">
        <f aca="false">(B382+C382)/2</f>
        <v>0.068359375</v>
      </c>
      <c r="E382" s="15" t="n">
        <f aca="false">$C$2*(1+IF(E$3&lt;=$O$2,$D382,$D382-($D382-$I$373)*MIN(E$3-$O$2,$Q$2)/$Q$2))</f>
        <v>2553.37890625</v>
      </c>
      <c r="F382" s="15" t="n">
        <f aca="false">E382*(1+IF(F$3&lt;=$O$2,$D382,$D382-($D382-$I$373)*MIN(F$3-$O$2,$Q$2)/$Q$2))</f>
        <v>2727.92629241943</v>
      </c>
      <c r="G382" s="15" t="n">
        <f aca="false">F382*(1+IF(G$3&lt;=$O$2,$D382,$D382-($D382-$I$373)*MIN(G$3-$O$2,$Q$2)/$Q$2))</f>
        <v>2914.40562881529</v>
      </c>
      <c r="H382" s="15" t="n">
        <f aca="false">G382*(1+IF(H$3&lt;=$O$2,$D382,$D382-($D382-$I$373)*MIN(H$3-$O$2,$Q$2)/$Q$2))</f>
        <v>3113.63257609759</v>
      </c>
      <c r="I382" s="15" t="n">
        <f aca="false">H382*(1+IF(I$3&lt;=$O$2,$D382,$D382-($D382-$I$373)*MIN(I$3-$O$2,$Q$2)/$Q$2))</f>
        <v>3326.47855297926</v>
      </c>
      <c r="J382" s="15" t="n">
        <f aca="false">I382*(1+IF(J$3&lt;=$O$2,$D382,$D382-($D382-$I$373)*MIN(J$3-$O$2,$Q$2)/$Q$2))</f>
        <v>3527.22321745518</v>
      </c>
      <c r="K382" s="15" t="n">
        <f aca="false">J382*(1+IF(K$3&lt;=$O$2,$D382,$D382-($D382-$I$373)*MIN(K$3-$O$2,$Q$2)/$Q$2))</f>
        <v>3711.8226490552</v>
      </c>
      <c r="L382" s="15" t="n">
        <f aca="false">K382*(1+IF(L$3&lt;=$O$2,$D382,$D382-($D382-$I$373)*MIN(L$3-$O$2,$Q$2)/$Q$2))</f>
        <v>3876.34454819626</v>
      </c>
      <c r="M382" s="15" t="n">
        <f aca="false">L382*(1+IF(M$3&lt;=$O$2,$D382,$D382-($D382-$I$373)*MIN(M$3-$O$2,$Q$2)/$Q$2))</f>
        <v>4017.1018868873</v>
      </c>
      <c r="N382" s="15" t="n">
        <f aca="false">M382*(1+IF(N$3&lt;=$O$2,$D382,$D382-($D382-$I$373)*MIN(N$3-$O$2,$Q$2)/$Q$2))</f>
        <v>4130.78587028621</v>
      </c>
      <c r="O382" s="15" t="n">
        <f aca="false">SUMPRODUCT(E382:N382,1/(1+$F$373)^$E$3:$N$3)*$E$2</f>
        <v>9580.58578289048</v>
      </c>
      <c r="P382" s="15" t="n">
        <f aca="false">N382*$E$2*(1+$I$373)/($F$373-$I$373)/(1+$F$373)^$N$3</f>
        <v>11600.8001665997</v>
      </c>
      <c r="Q382" s="15" t="n">
        <f aca="false">O382+P382</f>
        <v>21181.3859494902</v>
      </c>
      <c r="R382" s="15" t="n">
        <f aca="false">Q382-$G$2+$I$2</f>
        <v>15829.8259494902</v>
      </c>
      <c r="S382" s="42" t="n">
        <f aca="false">R382/$K$2</f>
        <v>732.862312476398</v>
      </c>
      <c r="T382" s="43" t="n">
        <f aca="false">S382-$M$2</f>
        <v>7.86231247639773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0.0625</v>
      </c>
      <c r="C383" s="25" t="n">
        <f aca="false">IF(T382&gt;0,D382,C382)</f>
        <v>0.068359375</v>
      </c>
      <c r="D383" s="41" t="n">
        <f aca="false">(B383+C383)/2</f>
        <v>0.0654296875</v>
      </c>
      <c r="E383" s="15" t="n">
        <f aca="false">$C$2*(1+IF(E$3&lt;=$O$2,$D383,$D383-($D383-$I$373)*MIN(E$3-$O$2,$Q$2)/$Q$2))</f>
        <v>2546.376953125</v>
      </c>
      <c r="F383" s="15" t="n">
        <f aca="false">E383*(1+IF(F$3&lt;=$O$2,$D383,$D383-($D383-$I$373)*MIN(F$3-$O$2,$Q$2)/$Q$2))</f>
        <v>2712.98560142517</v>
      </c>
      <c r="G383" s="15" t="n">
        <f aca="false">F383*(1+IF(G$3&lt;=$O$2,$D383,$D383-($D383-$I$373)*MIN(G$3-$O$2,$Q$2)/$Q$2))</f>
        <v>2890.49540151842</v>
      </c>
      <c r="H383" s="15" t="n">
        <f aca="false">G383*(1+IF(H$3&lt;=$O$2,$D383,$D383-($D383-$I$373)*MIN(H$3-$O$2,$Q$2)/$Q$2))</f>
        <v>3079.61961235996</v>
      </c>
      <c r="I383" s="15" t="n">
        <f aca="false">H383*(1+IF(I$3&lt;=$O$2,$D383,$D383-($D383-$I$373)*MIN(I$3-$O$2,$Q$2)/$Q$2))</f>
        <v>3281.11816121554</v>
      </c>
      <c r="J383" s="15" t="n">
        <f aca="false">I383*(1+IF(J$3&lt;=$O$2,$D383,$D383-($D383-$I$373)*MIN(J$3-$O$2,$Q$2)/$Q$2))</f>
        <v>3471.43531875915</v>
      </c>
      <c r="K383" s="15" t="n">
        <f aca="false">J383*(1+IF(K$3&lt;=$O$2,$D383,$D383-($D383-$I$373)*MIN(K$3-$O$2,$Q$2)/$Q$2))</f>
        <v>3647.01292341722</v>
      </c>
      <c r="L383" s="15" t="n">
        <f aca="false">K383*(1+IF(L$3&lt;=$O$2,$D383,$D383-($D383-$I$373)*MIN(L$3-$O$2,$Q$2)/$Q$2))</f>
        <v>3804.38836921191</v>
      </c>
      <c r="M383" s="15" t="n">
        <f aca="false">L383*(1+IF(M$3&lt;=$O$2,$D383,$D383-($D383-$I$373)*MIN(M$3-$O$2,$Q$2)/$Q$2))</f>
        <v>3940.3037103161</v>
      </c>
      <c r="N383" s="15" t="n">
        <f aca="false">M383*(1+IF(N$3&lt;=$O$2,$D383,$D383-($D383-$I$373)*MIN(N$3-$O$2,$Q$2)/$Q$2))</f>
        <v>4051.81430531804</v>
      </c>
      <c r="O383" s="15" t="n">
        <f aca="false">SUMPRODUCT(E383:N383,1/(1+$F$373)^$E$3:$N$3)*$E$2</f>
        <v>9460.44163759348</v>
      </c>
      <c r="P383" s="15" t="n">
        <f aca="false">N383*$E$2*(1+$I$373)/($F$373-$I$373)/(1+$F$373)^$N$3</f>
        <v>11379.0183137496</v>
      </c>
      <c r="Q383" s="15" t="n">
        <f aca="false">O383+P383</f>
        <v>20839.459951343</v>
      </c>
      <c r="R383" s="15" t="n">
        <f aca="false">Q383-$G$2+$I$2</f>
        <v>15487.899951343</v>
      </c>
      <c r="S383" s="42" t="n">
        <f aca="false">R383/$K$2</f>
        <v>717.03240515477</v>
      </c>
      <c r="T383" s="43" t="n">
        <f aca="false">S383-$M$2</f>
        <v>-7.96759484522977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0.0654296875</v>
      </c>
      <c r="C384" s="25" t="n">
        <f aca="false">IF(T383&gt;0,D383,C383)</f>
        <v>0.068359375</v>
      </c>
      <c r="D384" s="41" t="n">
        <f aca="false">(B384+C384)/2</f>
        <v>0.06689453125</v>
      </c>
      <c r="E384" s="15" t="n">
        <f aca="false">$C$2*(1+IF(E$3&lt;=$O$2,$D384,$D384-($D384-$I$373)*MIN(E$3-$O$2,$Q$2)/$Q$2))</f>
        <v>2549.8779296875</v>
      </c>
      <c r="F384" s="15" t="n">
        <f aca="false">E384*(1+IF(F$3&lt;=$O$2,$D384,$D384-($D384-$I$373)*MIN(F$3-$O$2,$Q$2)/$Q$2))</f>
        <v>2720.45081853867</v>
      </c>
      <c r="G384" s="15" t="n">
        <f aca="false">F384*(1+IF(G$3&lt;=$O$2,$D384,$D384-($D384-$I$373)*MIN(G$3-$O$2,$Q$2)/$Q$2))</f>
        <v>2902.43410083349</v>
      </c>
      <c r="H384" s="15" t="n">
        <f aca="false">G384*(1+IF(H$3&lt;=$O$2,$D384,$D384-($D384-$I$373)*MIN(H$3-$O$2,$Q$2)/$Q$2))</f>
        <v>3096.59106949276</v>
      </c>
      <c r="I384" s="15" t="n">
        <f aca="false">H384*(1+IF(I$3&lt;=$O$2,$D384,$D384-($D384-$I$373)*MIN(I$3-$O$2,$Q$2)/$Q$2))</f>
        <v>3303.73607755941</v>
      </c>
      <c r="J384" s="15" t="n">
        <f aca="false">I384*(1+IF(J$3&lt;=$O$2,$D384,$D384-($D384-$I$373)*MIN(J$3-$O$2,$Q$2)/$Q$2))</f>
        <v>3499.23672478404</v>
      </c>
      <c r="K384" s="15" t="n">
        <f aca="false">J384*(1+IF(K$3&lt;=$O$2,$D384,$D384-($D384-$I$373)*MIN(K$3-$O$2,$Q$2)/$Q$2))</f>
        <v>3679.29596477093</v>
      </c>
      <c r="L384" s="15" t="n">
        <f aca="false">K384*(1+IF(L$3&lt;=$O$2,$D384,$D384-($D384-$I$373)*MIN(L$3-$O$2,$Q$2)/$Q$2))</f>
        <v>3840.22032181008</v>
      </c>
      <c r="M384" s="15" t="n">
        <f aca="false">L384*(1+IF(M$3&lt;=$O$2,$D384,$D384-($D384-$I$373)*MIN(M$3-$O$2,$Q$2)/$Q$2))</f>
        <v>3978.54085756071</v>
      </c>
      <c r="N384" s="15" t="n">
        <f aca="false">M384*(1+IF(N$3&lt;=$O$2,$D384,$D384-($D384-$I$373)*MIN(N$3-$O$2,$Q$2)/$Q$2))</f>
        <v>4091.13356382967</v>
      </c>
      <c r="O384" s="15" t="n">
        <f aca="false">SUMPRODUCT(E384:N384,1/(1+$F$373)^$E$3:$N$3)*$E$2</f>
        <v>9520.32298590973</v>
      </c>
      <c r="P384" s="15" t="n">
        <f aca="false">N384*$E$2*(1+$I$373)/($F$373-$I$373)/(1+$F$373)^$N$3</f>
        <v>11489.4415782362</v>
      </c>
      <c r="Q384" s="15" t="n">
        <f aca="false">O384+P384</f>
        <v>21009.7645641459</v>
      </c>
      <c r="R384" s="15" t="n">
        <f aca="false">Q384-$G$2+$I$2</f>
        <v>15658.2045641459</v>
      </c>
      <c r="S384" s="42" t="n">
        <f aca="false">R384/$K$2</f>
        <v>724.916877969719</v>
      </c>
      <c r="T384" s="43" t="n">
        <f aca="false">S384-$M$2</f>
        <v>-0.0831220302812881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0.06689453125</v>
      </c>
      <c r="C385" s="25" t="n">
        <f aca="false">IF(T384&gt;0,D384,C384)</f>
        <v>0.068359375</v>
      </c>
      <c r="D385" s="41" t="n">
        <f aca="false">(B385+C385)/2</f>
        <v>0.067626953125</v>
      </c>
      <c r="E385" s="15" t="n">
        <f aca="false">$C$2*(1+IF(E$3&lt;=$O$2,$D385,$D385-($D385-$I$373)*MIN(E$3-$O$2,$Q$2)/$Q$2))</f>
        <v>2551.62841796875</v>
      </c>
      <c r="F385" s="15" t="n">
        <f aca="false">E385*(1+IF(F$3&lt;=$O$2,$D385,$D385-($D385-$I$373)*MIN(F$3-$O$2,$Q$2)/$Q$2))</f>
        <v>2724.18727338314</v>
      </c>
      <c r="G385" s="15" t="n">
        <f aca="false">F385*(1+IF(G$3&lt;=$O$2,$D385,$D385-($D385-$I$373)*MIN(G$3-$O$2,$Q$2)/$Q$2))</f>
        <v>2908.41575842394</v>
      </c>
      <c r="H385" s="15" t="n">
        <f aca="false">G385*(1+IF(H$3&lt;=$O$2,$D385,$D385-($D385-$I$373)*MIN(H$3-$O$2,$Q$2)/$Q$2))</f>
        <v>3105.10305458689</v>
      </c>
      <c r="I385" s="15" t="n">
        <f aca="false">H385*(1+IF(I$3&lt;=$O$2,$D385,$D385-($D385-$I$373)*MIN(I$3-$O$2,$Q$2)/$Q$2))</f>
        <v>3315.09171330773</v>
      </c>
      <c r="J385" s="15" t="n">
        <f aca="false">I385*(1+IF(J$3&lt;=$O$2,$D385,$D385-($D385-$I$373)*MIN(J$3-$O$2,$Q$2)/$Q$2))</f>
        <v>3513.20677392581</v>
      </c>
      <c r="K385" s="15" t="n">
        <f aca="false">J385*(1+IF(K$3&lt;=$O$2,$D385,$D385-($D385-$I$373)*MIN(K$3-$O$2,$Q$2)/$Q$2))</f>
        <v>3695.52875649787</v>
      </c>
      <c r="L385" s="15" t="n">
        <f aca="false">K385*(1+IF(L$3&lt;=$O$2,$D385,$D385-($D385-$I$373)*MIN(L$3-$O$2,$Q$2)/$Q$2))</f>
        <v>3858.24577477832</v>
      </c>
      <c r="M385" s="15" t="n">
        <f aca="false">L385*(1+IF(M$3&lt;=$O$2,$D385,$D385-($D385-$I$373)*MIN(M$3-$O$2,$Q$2)/$Q$2))</f>
        <v>3997.78074035043</v>
      </c>
      <c r="N385" s="15" t="n">
        <f aca="false">M385*(1+IF(N$3&lt;=$O$2,$D385,$D385-($D385-$I$373)*MIN(N$3-$O$2,$Q$2)/$Q$2))</f>
        <v>4110.91793530235</v>
      </c>
      <c r="O385" s="15" t="n">
        <f aca="false">SUMPRODUCT(E385:N385,1/(1+$F$373)^$E$3:$N$3)*$E$2</f>
        <v>9550.40656174856</v>
      </c>
      <c r="P385" s="15" t="n">
        <f aca="false">N385*$E$2*(1+$I$373)/($F$373-$I$373)/(1+$F$373)^$N$3</f>
        <v>11545.0035335356</v>
      </c>
      <c r="Q385" s="15" t="n">
        <f aca="false">O385+P385</f>
        <v>21095.4100952842</v>
      </c>
      <c r="R385" s="15" t="n">
        <f aca="false">Q385-$G$2+$I$2</f>
        <v>15743.8500952842</v>
      </c>
      <c r="S385" s="42" t="n">
        <f aca="false">R385/$K$2</f>
        <v>728.881948855748</v>
      </c>
      <c r="T385" s="43" t="n">
        <f aca="false">S385-$M$2</f>
        <v>3.88194885574842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0.06689453125</v>
      </c>
      <c r="C386" s="25" t="n">
        <f aca="false">IF(T385&gt;0,D385,C385)</f>
        <v>0.067626953125</v>
      </c>
      <c r="D386" s="41" t="n">
        <f aca="false">(B386+C386)/2</f>
        <v>0.0672607421875</v>
      </c>
      <c r="E386" s="15" t="n">
        <f aca="false">$C$2*(1+IF(E$3&lt;=$O$2,$D386,$D386-($D386-$I$373)*MIN(E$3-$O$2,$Q$2)/$Q$2))</f>
        <v>2550.75317382813</v>
      </c>
      <c r="F386" s="15" t="n">
        <f aca="false">E386*(1+IF(F$3&lt;=$O$2,$D386,$D386-($D386-$I$373)*MIN(F$3-$O$2,$Q$2)/$Q$2))</f>
        <v>2722.31872543693</v>
      </c>
      <c r="G386" s="15" t="n">
        <f aca="false">F386*(1+IF(G$3&lt;=$O$2,$D386,$D386-($D386-$I$373)*MIN(G$3-$O$2,$Q$2)/$Q$2))</f>
        <v>2905.42390338074</v>
      </c>
      <c r="H386" s="15" t="n">
        <f aca="false">G386*(1+IF(H$3&lt;=$O$2,$D386,$D386-($D386-$I$373)*MIN(H$3-$O$2,$Q$2)/$Q$2))</f>
        <v>3100.84487149144</v>
      </c>
      <c r="I386" s="15" t="n">
        <f aca="false">H386*(1+IF(I$3&lt;=$O$2,$D386,$D386-($D386-$I$373)*MIN(I$3-$O$2,$Q$2)/$Q$2))</f>
        <v>3309.40999895625</v>
      </c>
      <c r="J386" s="15" t="n">
        <f aca="false">I386*(1+IF(J$3&lt;=$O$2,$D386,$D386-($D386-$I$373)*MIN(J$3-$O$2,$Q$2)/$Q$2))</f>
        <v>3506.21595773637</v>
      </c>
      <c r="K386" s="15" t="n">
        <f aca="false">J386*(1+IF(K$3&lt;=$O$2,$D386,$D386-($D386-$I$373)*MIN(K$3-$O$2,$Q$2)/$Q$2))</f>
        <v>3687.40473493015</v>
      </c>
      <c r="L386" s="15" t="n">
        <f aca="false">K386*(1+IF(L$3&lt;=$O$2,$D386,$D386-($D386-$I$373)*MIN(L$3-$O$2,$Q$2)/$Q$2))</f>
        <v>3849.2238990161</v>
      </c>
      <c r="M386" s="15" t="n">
        <f aca="false">L386*(1+IF(M$3&lt;=$O$2,$D386,$D386-($D386-$I$373)*MIN(M$3-$O$2,$Q$2)/$Q$2))</f>
        <v>3988.15065934856</v>
      </c>
      <c r="N386" s="15" t="n">
        <f aca="false">M386*(1+IF(N$3&lt;=$O$2,$D386,$D386-($D386-$I$373)*MIN(N$3-$O$2,$Q$2)/$Q$2))</f>
        <v>4101.01532300813</v>
      </c>
      <c r="O386" s="15" t="n">
        <f aca="false">SUMPRODUCT(E386:N386,1/(1+$F$373)^$E$3:$N$3)*$E$2</f>
        <v>9535.35283589086</v>
      </c>
      <c r="P386" s="15" t="n">
        <f aca="false">N386*$E$2*(1+$I$373)/($F$373-$I$373)/(1+$F$373)^$N$3</f>
        <v>11517.1932741903</v>
      </c>
      <c r="Q386" s="15" t="n">
        <f aca="false">O386+P386</f>
        <v>21052.5461100812</v>
      </c>
      <c r="R386" s="15" t="n">
        <f aca="false">Q386-$G$2+$I$2</f>
        <v>15700.9861100812</v>
      </c>
      <c r="S386" s="42" t="n">
        <f aca="false">R386/$K$2</f>
        <v>726.89750509635</v>
      </c>
      <c r="T386" s="43" t="n">
        <f aca="false">S386-$M$2</f>
        <v>1.8975050963503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0.06689453125</v>
      </c>
      <c r="C387" s="25" t="n">
        <f aca="false">IF(T386&gt;0,D386,C386)</f>
        <v>0.0672607421875</v>
      </c>
      <c r="D387" s="41" t="n">
        <f aca="false">(B387+C387)/2</f>
        <v>0.06707763671875</v>
      </c>
      <c r="E387" s="15" t="n">
        <f aca="false">$C$2*(1+IF(E$3&lt;=$O$2,$D387,$D387-($D387-$I$373)*MIN(E$3-$O$2,$Q$2)/$Q$2))</f>
        <v>2550.31555175781</v>
      </c>
      <c r="F387" s="15" t="n">
        <f aca="false">E387*(1+IF(F$3&lt;=$O$2,$D387,$D387-($D387-$I$373)*MIN(F$3-$O$2,$Q$2)/$Q$2))</f>
        <v>2721.3846918568</v>
      </c>
      <c r="G387" s="15" t="n">
        <f aca="false">F387*(1+IF(G$3&lt;=$O$2,$D387,$D387-($D387-$I$373)*MIN(G$3-$O$2,$Q$2)/$Q$2))</f>
        <v>2903.92874558914</v>
      </c>
      <c r="H387" s="15" t="n">
        <f aca="false">G387*(1+IF(H$3&lt;=$O$2,$D387,$D387-($D387-$I$373)*MIN(H$3-$O$2,$Q$2)/$Q$2))</f>
        <v>3098.7174230429</v>
      </c>
      <c r="I387" s="15" t="n">
        <f aca="false">H387*(1+IF(I$3&lt;=$O$2,$D387,$D387-($D387-$I$373)*MIN(I$3-$O$2,$Q$2)/$Q$2))</f>
        <v>3306.57206463984</v>
      </c>
      <c r="J387" s="15" t="n">
        <f aca="false">I387*(1+IF(J$3&lt;=$O$2,$D387,$D387-($D387-$I$373)*MIN(J$3-$O$2,$Q$2)/$Q$2))</f>
        <v>3502.72489431472</v>
      </c>
      <c r="K387" s="15" t="n">
        <f aca="false">J387*(1+IF(K$3&lt;=$O$2,$D387,$D387-($D387-$I$373)*MIN(K$3-$O$2,$Q$2)/$Q$2))</f>
        <v>3683.3484449103</v>
      </c>
      <c r="L387" s="15" t="n">
        <f aca="false">K387*(1+IF(L$3&lt;=$O$2,$D387,$D387-($D387-$I$373)*MIN(L$3-$O$2,$Q$2)/$Q$2))</f>
        <v>3844.71982506339</v>
      </c>
      <c r="M387" s="15" t="n">
        <f aca="false">L387*(1+IF(M$3&lt;=$O$2,$D387,$D387-($D387-$I$373)*MIN(M$3-$O$2,$Q$2)/$Q$2))</f>
        <v>3983.34322584502</v>
      </c>
      <c r="N387" s="15" t="n">
        <f aca="false">M387*(1+IF(N$3&lt;=$O$2,$D387,$D387-($D387-$I$373)*MIN(N$3-$O$2,$Q$2)/$Q$2))</f>
        <v>4096.07183913643</v>
      </c>
      <c r="O387" s="15" t="n">
        <f aca="false">SUMPRODUCT(E387:N387,1/(1+$F$373)^$E$3:$N$3)*$E$2</f>
        <v>9527.8349286288</v>
      </c>
      <c r="P387" s="15" t="n">
        <f aca="false">N387*$E$2*(1+$I$373)/($F$373-$I$373)/(1+$F$373)^$N$3</f>
        <v>11503.3101124087</v>
      </c>
      <c r="Q387" s="15" t="n">
        <f aca="false">O387+P387</f>
        <v>21031.1450410375</v>
      </c>
      <c r="R387" s="15" t="n">
        <f aca="false">Q387-$G$2+$I$2</f>
        <v>15679.5850410375</v>
      </c>
      <c r="S387" s="42" t="n">
        <f aca="false">R387/$K$2</f>
        <v>725.906714862847</v>
      </c>
      <c r="T387" s="43" t="n">
        <f aca="false">S387-$M$2</f>
        <v>0.906714862846684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0.06689453125</v>
      </c>
      <c r="C388" s="25" t="n">
        <f aca="false">IF(T387&gt;0,D387,C387)</f>
        <v>0.06707763671875</v>
      </c>
      <c r="D388" s="41" t="n">
        <f aca="false">(B388+C388)/2</f>
        <v>0.066986083984375</v>
      </c>
      <c r="E388" s="15" t="n">
        <f aca="false">$C$2*(1+IF(E$3&lt;=$O$2,$D388,$D388-($D388-$I$373)*MIN(E$3-$O$2,$Q$2)/$Q$2))</f>
        <v>2550.09674072266</v>
      </c>
      <c r="F388" s="15" t="n">
        <f aca="false">E388*(1+IF(F$3&lt;=$O$2,$D388,$D388-($D388-$I$373)*MIN(F$3-$O$2,$Q$2)/$Q$2))</f>
        <v>2720.91773516499</v>
      </c>
      <c r="G388" s="15" t="n">
        <f aca="false">F388*(1+IF(G$3&lt;=$O$2,$D388,$D388-($D388-$I$373)*MIN(G$3-$O$2,$Q$2)/$Q$2))</f>
        <v>2903.18135908732</v>
      </c>
      <c r="H388" s="15" t="n">
        <f aca="false">G388*(1+IF(H$3&lt;=$O$2,$D388,$D388-($D388-$I$373)*MIN(H$3-$O$2,$Q$2)/$Q$2))</f>
        <v>3097.65410942902</v>
      </c>
      <c r="I388" s="15" t="n">
        <f aca="false">H388*(1+IF(I$3&lt;=$O$2,$D388,$D388-($D388-$I$373)*MIN(I$3-$O$2,$Q$2)/$Q$2))</f>
        <v>3305.15382775777</v>
      </c>
      <c r="J388" s="15" t="n">
        <f aca="false">I388*(1+IF(J$3&lt;=$O$2,$D388,$D388-($D388-$I$373)*MIN(J$3-$O$2,$Q$2)/$Q$2))</f>
        <v>3500.98044793285</v>
      </c>
      <c r="K388" s="15" t="n">
        <f aca="false">J388*(1+IF(K$3&lt;=$O$2,$D388,$D388-($D388-$I$373)*MIN(K$3-$O$2,$Q$2)/$Q$2))</f>
        <v>3681.32172879118</v>
      </c>
      <c r="L388" s="15" t="n">
        <f aca="false">K388*(1+IF(L$3&lt;=$O$2,$D388,$D388-($D388-$I$373)*MIN(L$3-$O$2,$Q$2)/$Q$2))</f>
        <v>3842.46950234538</v>
      </c>
      <c r="M388" s="15" t="n">
        <f aca="false">L388*(1+IF(M$3&lt;=$O$2,$D388,$D388-($D388-$I$373)*MIN(M$3-$O$2,$Q$2)/$Q$2))</f>
        <v>3980.94140883678</v>
      </c>
      <c r="N388" s="15" t="n">
        <f aca="false">M388*(1+IF(N$3&lt;=$O$2,$D388,$D388-($D388-$I$373)*MIN(N$3-$O$2,$Q$2)/$Q$2))</f>
        <v>4093.60205070686</v>
      </c>
      <c r="O388" s="15" t="n">
        <f aca="false">SUMPRODUCT(E388:N388,1/(1+$F$373)^$E$3:$N$3)*$E$2</f>
        <v>9524.07821197787</v>
      </c>
      <c r="P388" s="15" t="n">
        <f aca="false">N388*$E$2*(1+$I$373)/($F$373-$I$373)/(1+$F$373)^$N$3</f>
        <v>11496.3740176982</v>
      </c>
      <c r="Q388" s="15" t="n">
        <f aca="false">O388+P388</f>
        <v>21020.452229676</v>
      </c>
      <c r="R388" s="15" t="n">
        <f aca="false">Q388-$G$2+$I$2</f>
        <v>15668.892229676</v>
      </c>
      <c r="S388" s="42" t="n">
        <f aca="false">R388/$K$2</f>
        <v>725.411677299817</v>
      </c>
      <c r="T388" s="43" t="n">
        <f aca="false">S388-$M$2</f>
        <v>0.411677299816461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0.06689453125</v>
      </c>
      <c r="C389" s="25" t="n">
        <f aca="false">IF(T388&gt;0,D388,C388)</f>
        <v>0.066986083984375</v>
      </c>
      <c r="D389" s="41" t="n">
        <f aca="false">(B389+C389)/2</f>
        <v>0.0669403076171875</v>
      </c>
      <c r="E389" s="15" t="n">
        <f aca="false">$C$2*(1+IF(E$3&lt;=$O$2,$D389,$D389-($D389-$I$373)*MIN(E$3-$O$2,$Q$2)/$Q$2))</f>
        <v>2549.98733520508</v>
      </c>
      <c r="F389" s="15" t="n">
        <f aca="false">E389*(1+IF(F$3&lt;=$O$2,$D389,$D389-($D389-$I$373)*MIN(F$3-$O$2,$Q$2)/$Q$2))</f>
        <v>2720.68427184364</v>
      </c>
      <c r="G389" s="15" t="n">
        <f aca="false">F389*(1+IF(G$3&lt;=$O$2,$D389,$D389-($D389-$I$373)*MIN(G$3-$O$2,$Q$2)/$Q$2))</f>
        <v>2902.8077139301</v>
      </c>
      <c r="H389" s="15" t="n">
        <f aca="false">G389*(1+IF(H$3&lt;=$O$2,$D389,$D389-($D389-$I$373)*MIN(H$3-$O$2,$Q$2)/$Q$2))</f>
        <v>3097.12255525412</v>
      </c>
      <c r="I389" s="15" t="n">
        <f aca="false">H389*(1+IF(I$3&lt;=$O$2,$D389,$D389-($D389-$I$373)*MIN(I$3-$O$2,$Q$2)/$Q$2))</f>
        <v>3304.44489183096</v>
      </c>
      <c r="J389" s="15" t="n">
        <f aca="false">I389*(1+IF(J$3&lt;=$O$2,$D389,$D389-($D389-$I$373)*MIN(J$3-$O$2,$Q$2)/$Q$2))</f>
        <v>3500.10849596929</v>
      </c>
      <c r="K389" s="15" t="n">
        <f aca="false">J389*(1+IF(K$3&lt;=$O$2,$D389,$D389-($D389-$I$373)*MIN(K$3-$O$2,$Q$2)/$Q$2))</f>
        <v>3680.30872779189</v>
      </c>
      <c r="L389" s="15" t="n">
        <f aca="false">K389*(1+IF(L$3&lt;=$O$2,$D389,$D389-($D389-$I$373)*MIN(L$3-$O$2,$Q$2)/$Q$2))</f>
        <v>3841.34476933564</v>
      </c>
      <c r="M389" s="15" t="n">
        <f aca="false">L389*(1+IF(M$3&lt;=$O$2,$D389,$D389-($D389-$I$373)*MIN(M$3-$O$2,$Q$2)/$Q$2))</f>
        <v>3979.740975018</v>
      </c>
      <c r="N389" s="15" t="n">
        <f aca="false">M389*(1+IF(N$3&lt;=$O$2,$D389,$D389-($D389-$I$373)*MIN(N$3-$O$2,$Q$2)/$Q$2))</f>
        <v>4092.36764461101</v>
      </c>
      <c r="O389" s="15" t="n">
        <f aca="false">SUMPRODUCT(E389:N389,1/(1+$F$373)^$E$3:$N$3)*$E$2</f>
        <v>9522.2004126555</v>
      </c>
      <c r="P389" s="15" t="n">
        <f aca="false">N389*$E$2*(1+$I$373)/($F$373-$I$373)/(1+$F$373)^$N$3</f>
        <v>11492.9073411644</v>
      </c>
      <c r="Q389" s="15" t="n">
        <f aca="false">O389+P389</f>
        <v>21015.1077538199</v>
      </c>
      <c r="R389" s="15" t="n">
        <f aca="false">Q389-$G$2+$I$2</f>
        <v>15663.5477538199</v>
      </c>
      <c r="S389" s="42" t="n">
        <f aca="false">R389/$K$2</f>
        <v>725.164247862034</v>
      </c>
      <c r="T389" s="43" t="n">
        <f aca="false">S389-$M$2</f>
        <v>0.164247862034358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0.06689453125</v>
      </c>
      <c r="C390" s="25" t="n">
        <f aca="false">IF(T389&gt;0,D389,C389)</f>
        <v>0.0669403076171875</v>
      </c>
      <c r="D390" s="41" t="n">
        <f aca="false">(B390+C390)/2</f>
        <v>0.0669174194335938</v>
      </c>
      <c r="E390" s="15" t="n">
        <f aca="false">$C$2*(1+IF(E$3&lt;=$O$2,$D390,$D390-($D390-$I$373)*MIN(E$3-$O$2,$Q$2)/$Q$2))</f>
        <v>2549.93263244629</v>
      </c>
      <c r="F390" s="15" t="n">
        <f aca="false">E390*(1+IF(F$3&lt;=$O$2,$D390,$D390-($D390-$I$373)*MIN(F$3-$O$2,$Q$2)/$Q$2))</f>
        <v>2720.56754393911</v>
      </c>
      <c r="G390" s="15" t="n">
        <f aca="false">F390*(1+IF(G$3&lt;=$O$2,$D390,$D390-($D390-$I$373)*MIN(G$3-$O$2,$Q$2)/$Q$2))</f>
        <v>2902.6209033743</v>
      </c>
      <c r="H390" s="15" t="n">
        <f aca="false">G390*(1+IF(H$3&lt;=$O$2,$D390,$D390-($D390-$I$373)*MIN(H$3-$O$2,$Q$2)/$Q$2))</f>
        <v>3096.85680382212</v>
      </c>
      <c r="I390" s="15" t="n">
        <f aca="false">H390*(1+IF(I$3&lt;=$O$2,$D390,$D390-($D390-$I$373)*MIN(I$3-$O$2,$Q$2)/$Q$2))</f>
        <v>3304.09046948926</v>
      </c>
      <c r="J390" s="15" t="n">
        <f aca="false">I390*(1+IF(J$3&lt;=$O$2,$D390,$D390-($D390-$I$373)*MIN(J$3-$O$2,$Q$2)/$Q$2))</f>
        <v>3499.67258778125</v>
      </c>
      <c r="K390" s="15" t="n">
        <f aca="false">J390*(1+IF(K$3&lt;=$O$2,$D390,$D390-($D390-$I$373)*MIN(K$3-$O$2,$Q$2)/$Q$2))</f>
        <v>3679.80231653702</v>
      </c>
      <c r="L390" s="15" t="n">
        <f aca="false">K390*(1+IF(L$3&lt;=$O$2,$D390,$D390-($D390-$I$373)*MIN(L$3-$O$2,$Q$2)/$Q$2))</f>
        <v>3840.78250989118</v>
      </c>
      <c r="M390" s="15" t="n">
        <f aca="false">L390*(1+IF(M$3&lt;=$O$2,$D390,$D390-($D390-$I$373)*MIN(M$3-$O$2,$Q$2)/$Q$2))</f>
        <v>3979.14087674864</v>
      </c>
      <c r="N390" s="15" t="n">
        <f aca="false">M390*(1+IF(N$3&lt;=$O$2,$D390,$D390-($D390-$I$373)*MIN(N$3-$O$2,$Q$2)/$Q$2))</f>
        <v>4091.75056356063</v>
      </c>
      <c r="O390" s="15" t="n">
        <f aca="false">SUMPRODUCT(E390:N390,1/(1+$F$373)^$E$3:$N$3)*$E$2</f>
        <v>9521.26165271486</v>
      </c>
      <c r="P390" s="15" t="n">
        <f aca="false">N390*$E$2*(1+$I$373)/($F$373-$I$373)/(1+$F$373)^$N$3</f>
        <v>11491.1743455125</v>
      </c>
      <c r="Q390" s="15" t="n">
        <f aca="false">O390+P390</f>
        <v>21012.4359982274</v>
      </c>
      <c r="R390" s="15" t="n">
        <f aca="false">Q390-$G$2+$I$2</f>
        <v>15660.8759982274</v>
      </c>
      <c r="S390" s="42" t="n">
        <f aca="false">R390/$K$2</f>
        <v>725.040555473491</v>
      </c>
      <c r="T390" s="43" t="n">
        <f aca="false">S390-$M$2</f>
        <v>0.0405554734909401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0.06689453125</v>
      </c>
      <c r="C391" s="25" t="n">
        <f aca="false">IF(T390&gt;0,D390,C390)</f>
        <v>0.0669174194335938</v>
      </c>
      <c r="D391" s="41" t="n">
        <f aca="false">(B391+C391)/2</f>
        <v>0.0669059753417969</v>
      </c>
      <c r="E391" s="15" t="n">
        <f aca="false">$C$2*(1+IF(E$3&lt;=$O$2,$D391,$D391-($D391-$I$373)*MIN(E$3-$O$2,$Q$2)/$Q$2))</f>
        <v>2549.90528106689</v>
      </c>
      <c r="F391" s="15" t="n">
        <f aca="false">E391*(1+IF(F$3&lt;=$O$2,$D391,$D391-($D391-$I$373)*MIN(F$3-$O$2,$Q$2)/$Q$2))</f>
        <v>2720.50918092587</v>
      </c>
      <c r="G391" s="15" t="n">
        <f aca="false">F391*(1+IF(G$3&lt;=$O$2,$D391,$D391-($D391-$I$373)*MIN(G$3-$O$2,$Q$2)/$Q$2))</f>
        <v>2902.52750110203</v>
      </c>
      <c r="H391" s="15" t="n">
        <f aca="false">G391*(1+IF(H$3&lt;=$O$2,$D391,$D391-($D391-$I$373)*MIN(H$3-$O$2,$Q$2)/$Q$2))</f>
        <v>3096.72393451965</v>
      </c>
      <c r="I391" s="15" t="n">
        <f aca="false">H391*(1+IF(I$3&lt;=$O$2,$D391,$D391-($D391-$I$373)*MIN(I$3-$O$2,$Q$2)/$Q$2))</f>
        <v>3303.91326972298</v>
      </c>
      <c r="J391" s="15" t="n">
        <f aca="false">I391*(1+IF(J$3&lt;=$O$2,$D391,$D391-($D391-$I$373)*MIN(J$3-$O$2,$Q$2)/$Q$2))</f>
        <v>3499.45465063403</v>
      </c>
      <c r="K391" s="15" t="n">
        <f aca="false">J391*(1+IF(K$3&lt;=$O$2,$D391,$D391-($D391-$I$373)*MIN(K$3-$O$2,$Q$2)/$Q$2))</f>
        <v>3679.54913321824</v>
      </c>
      <c r="L391" s="15" t="n">
        <f aca="false">K391*(1+IF(L$3&lt;=$O$2,$D391,$D391-($D391-$I$373)*MIN(L$3-$O$2,$Q$2)/$Q$2))</f>
        <v>3840.50140693069</v>
      </c>
      <c r="M391" s="15" t="n">
        <f aca="false">L391*(1+IF(M$3&lt;=$O$2,$D391,$D391-($D391-$I$373)*MIN(M$3-$O$2,$Q$2)/$Q$2))</f>
        <v>3978.84085727005</v>
      </c>
      <c r="N391" s="15" t="n">
        <f aca="false">M391*(1+IF(N$3&lt;=$O$2,$D391,$D391-($D391-$I$373)*MIN(N$3-$O$2,$Q$2)/$Q$2))</f>
        <v>4091.4420535308</v>
      </c>
      <c r="O391" s="15" t="n">
        <f aca="false">SUMPRODUCT(E391:N391,1/(1+$F$373)^$E$3:$N$3)*$E$2</f>
        <v>9520.79230767089</v>
      </c>
      <c r="P391" s="15" t="n">
        <f aca="false">N391*$E$2*(1+$I$373)/($F$373-$I$373)/(1+$F$373)^$N$3</f>
        <v>11490.307933329</v>
      </c>
      <c r="Q391" s="15" t="n">
        <f aca="false">O391+P391</f>
        <v>21011.1002409999</v>
      </c>
      <c r="R391" s="15" t="n">
        <f aca="false">Q391-$G$2+$I$2</f>
        <v>15659.5402409999</v>
      </c>
      <c r="S391" s="42" t="n">
        <f aca="false">R391/$K$2</f>
        <v>724.978714861108</v>
      </c>
      <c r="T391" s="43" t="n">
        <f aca="false">S391-$M$2</f>
        <v>-0.0212851388919262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0.0669059753417969</v>
      </c>
      <c r="C392" s="25" t="n">
        <f aca="false">IF(T391&gt;0,D391,C391)</f>
        <v>0.0669174194335938</v>
      </c>
      <c r="D392" s="41" t="n">
        <f aca="false">(B392+C392)/2</f>
        <v>0.0669116973876953</v>
      </c>
      <c r="E392" s="15" t="n">
        <f aca="false">$C$2*(1+IF(E$3&lt;=$O$2,$D392,$D392-($D392-$I$373)*MIN(E$3-$O$2,$Q$2)/$Q$2))</f>
        <v>2549.91895675659</v>
      </c>
      <c r="F392" s="15" t="n">
        <f aca="false">E392*(1+IF(F$3&lt;=$O$2,$D392,$D392-($D392-$I$373)*MIN(F$3-$O$2,$Q$2)/$Q$2))</f>
        <v>2720.53836235424</v>
      </c>
      <c r="G392" s="15" t="n">
        <f aca="false">F392*(1+IF(G$3&lt;=$O$2,$D392,$D392-($D392-$I$373)*MIN(G$3-$O$2,$Q$2)/$Q$2))</f>
        <v>2902.5742019877</v>
      </c>
      <c r="H392" s="15" t="n">
        <f aca="false">G392*(1+IF(H$3&lt;=$O$2,$D392,$D392-($D392-$I$373)*MIN(H$3-$O$2,$Q$2)/$Q$2))</f>
        <v>3096.79036863643</v>
      </c>
      <c r="I392" s="15" t="n">
        <f aca="false">H392*(1+IF(I$3&lt;=$O$2,$D392,$D392-($D392-$I$373)*MIN(I$3-$O$2,$Q$2)/$Q$2))</f>
        <v>3304.00186865576</v>
      </c>
      <c r="J392" s="15" t="n">
        <f aca="false">I392*(1+IF(J$3&lt;=$O$2,$D392,$D392-($D392-$I$373)*MIN(J$3-$O$2,$Q$2)/$Q$2))</f>
        <v>3499.56361779545</v>
      </c>
      <c r="K392" s="15" t="n">
        <f aca="false">J392*(1+IF(K$3&lt;=$O$2,$D392,$D392-($D392-$I$373)*MIN(K$3-$O$2,$Q$2)/$Q$2))</f>
        <v>3679.67572301865</v>
      </c>
      <c r="L392" s="15" t="n">
        <f aca="false">K392*(1+IF(L$3&lt;=$O$2,$D392,$D392-($D392-$I$373)*MIN(L$3-$O$2,$Q$2)/$Q$2))</f>
        <v>3840.64195618089</v>
      </c>
      <c r="M392" s="15" t="n">
        <f aca="false">L392*(1+IF(M$3&lt;=$O$2,$D392,$D392-($D392-$I$373)*MIN(M$3-$O$2,$Q$2)/$Q$2))</f>
        <v>3978.99086453812</v>
      </c>
      <c r="N392" s="15" t="n">
        <f aca="false">M392*(1+IF(N$3&lt;=$O$2,$D392,$D392-($D392-$I$373)*MIN(N$3-$O$2,$Q$2)/$Q$2))</f>
        <v>4091.59630600455</v>
      </c>
      <c r="O392" s="15" t="n">
        <f aca="false">SUMPRODUCT(E392:N392,1/(1+$F$373)^$E$3:$N$3)*$E$2</f>
        <v>9521.02697728246</v>
      </c>
      <c r="P392" s="15" t="n">
        <f aca="false">N392*$E$2*(1+$I$373)/($F$373-$I$373)/(1+$F$373)^$N$3</f>
        <v>11490.7411322843</v>
      </c>
      <c r="Q392" s="15" t="n">
        <f aca="false">O392+P392</f>
        <v>21011.7681095667</v>
      </c>
      <c r="R392" s="15" t="n">
        <f aca="false">Q392-$G$2+$I$2</f>
        <v>15660.2081095667</v>
      </c>
      <c r="S392" s="42" t="n">
        <f aca="false">R392/$K$2</f>
        <v>725.009634702163</v>
      </c>
      <c r="T392" s="43" t="n">
        <f aca="false">S392-$M$2</f>
        <v>0.00963470216265705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0.0669059753417969</v>
      </c>
      <c r="C393" s="25" t="n">
        <f aca="false">IF(T392&gt;0,D392,C392)</f>
        <v>0.0669116973876953</v>
      </c>
      <c r="D393" s="41" t="n">
        <f aca="false">(B393+C393)/2</f>
        <v>0.0669088363647461</v>
      </c>
      <c r="E393" s="15" t="n">
        <f aca="false">$C$2*(1+IF(E$3&lt;=$O$2,$D393,$D393-($D393-$I$373)*MIN(E$3-$O$2,$Q$2)/$Q$2))</f>
        <v>2549.91211891174</v>
      </c>
      <c r="F393" s="15" t="n">
        <f aca="false">E393*(1+IF(F$3&lt;=$O$2,$D393,$D393-($D393-$I$373)*MIN(F$3-$O$2,$Q$2)/$Q$2))</f>
        <v>2720.52377162049</v>
      </c>
      <c r="G393" s="15" t="n">
        <f aca="false">F393*(1+IF(G$3&lt;=$O$2,$D393,$D393-($D393-$I$373)*MIN(G$3-$O$2,$Q$2)/$Q$2))</f>
        <v>2902.55085148225</v>
      </c>
      <c r="H393" s="15" t="n">
        <f aca="false">G393*(1+IF(H$3&lt;=$O$2,$D393,$D393-($D393-$I$373)*MIN(H$3-$O$2,$Q$2)/$Q$2))</f>
        <v>3096.75715144443</v>
      </c>
      <c r="I393" s="15" t="n">
        <f aca="false">H393*(1+IF(I$3&lt;=$O$2,$D393,$D393-($D393-$I$373)*MIN(I$3-$O$2,$Q$2)/$Q$2))</f>
        <v>3303.95756895178</v>
      </c>
      <c r="J393" s="15" t="n">
        <f aca="false">I393*(1+IF(J$3&lt;=$O$2,$D393,$D393-($D393-$I$373)*MIN(J$3-$O$2,$Q$2)/$Q$2))</f>
        <v>3499.5091338617</v>
      </c>
      <c r="K393" s="15" t="n">
        <f aca="false">J393*(1+IF(K$3&lt;=$O$2,$D393,$D393-($D393-$I$373)*MIN(K$3-$O$2,$Q$2)/$Q$2))</f>
        <v>3679.6124276537</v>
      </c>
      <c r="L393" s="15" t="n">
        <f aca="false">K393*(1+IF(L$3&lt;=$O$2,$D393,$D393-($D393-$I$373)*MIN(L$3-$O$2,$Q$2)/$Q$2))</f>
        <v>3840.57168099829</v>
      </c>
      <c r="M393" s="15" t="n">
        <f aca="false">L393*(1+IF(M$3&lt;=$O$2,$D393,$D393-($D393-$I$373)*MIN(M$3-$O$2,$Q$2)/$Q$2))</f>
        <v>3978.91586028629</v>
      </c>
      <c r="N393" s="15" t="n">
        <f aca="false">M393*(1+IF(N$3&lt;=$O$2,$D393,$D393-($D393-$I$373)*MIN(N$3-$O$2,$Q$2)/$Q$2))</f>
        <v>4091.51917913239</v>
      </c>
      <c r="O393" s="15" t="n">
        <f aca="false">SUMPRODUCT(E393:N393,1/(1+$F$373)^$E$3:$N$3)*$E$2</f>
        <v>9520.90964174908</v>
      </c>
      <c r="P393" s="15" t="n">
        <f aca="false">N393*$E$2*(1+$I$373)/($F$373-$I$373)/(1+$F$373)^$N$3</f>
        <v>11490.5245310225</v>
      </c>
      <c r="Q393" s="15" t="n">
        <f aca="false">O393+P393</f>
        <v>21011.4341727716</v>
      </c>
      <c r="R393" s="15" t="n">
        <f aca="false">Q393-$G$2+$I$2</f>
        <v>15659.8741727716</v>
      </c>
      <c r="S393" s="42" t="n">
        <f aca="false">R393/$K$2</f>
        <v>724.994174665353</v>
      </c>
      <c r="T393" s="43" t="n">
        <f aca="false">S393-$M$2</f>
        <v>-0.00582533464705648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0.0669088363647461</v>
      </c>
      <c r="C394" s="25" t="n">
        <f aca="false">IF(T393&gt;0,D393,C393)</f>
        <v>0.0669116973876953</v>
      </c>
      <c r="D394" s="41" t="n">
        <f aca="false">(B394+C394)/2</f>
        <v>0.0669102668762207</v>
      </c>
      <c r="E394" s="15" t="n">
        <f aca="false">$C$2*(1+IF(E$3&lt;=$O$2,$D394,$D394-($D394-$I$373)*MIN(E$3-$O$2,$Q$2)/$Q$2))</f>
        <v>2549.91553783417</v>
      </c>
      <c r="F394" s="15" t="n">
        <f aca="false">E394*(1+IF(F$3&lt;=$O$2,$D394,$D394-($D394-$I$373)*MIN(F$3-$O$2,$Q$2)/$Q$2))</f>
        <v>2720.53106698247</v>
      </c>
      <c r="G394" s="15" t="n">
        <f aca="false">F394*(1+IF(G$3&lt;=$O$2,$D394,$D394-($D394-$I$373)*MIN(G$3-$O$2,$Q$2)/$Q$2))</f>
        <v>2902.56252671932</v>
      </c>
      <c r="H394" s="15" t="n">
        <f aca="false">G394*(1+IF(H$3&lt;=$O$2,$D394,$D394-($D394-$I$373)*MIN(H$3-$O$2,$Q$2)/$Q$2))</f>
        <v>3096.77376000703</v>
      </c>
      <c r="I394" s="15" t="n">
        <f aca="false">H394*(1+IF(I$3&lt;=$O$2,$D394,$D394-($D394-$I$373)*MIN(I$3-$O$2,$Q$2)/$Q$2))</f>
        <v>3303.97971874438</v>
      </c>
      <c r="J394" s="15" t="n">
        <f aca="false">I394*(1+IF(J$3&lt;=$O$2,$D394,$D394-($D394-$I$373)*MIN(J$3-$O$2,$Q$2)/$Q$2))</f>
        <v>3499.53637574031</v>
      </c>
      <c r="K394" s="15" t="n">
        <f aca="false">J394*(1+IF(K$3&lt;=$O$2,$D394,$D394-($D394-$I$373)*MIN(K$3-$O$2,$Q$2)/$Q$2))</f>
        <v>3679.64407521999</v>
      </c>
      <c r="L394" s="15" t="n">
        <f aca="false">K394*(1+IF(L$3&lt;=$O$2,$D394,$D394-($D394-$I$373)*MIN(L$3-$O$2,$Q$2)/$Q$2))</f>
        <v>3840.60681845022</v>
      </c>
      <c r="M394" s="15" t="n">
        <f aca="false">L394*(1+IF(M$3&lt;=$O$2,$D394,$D394-($D394-$I$373)*MIN(M$3-$O$2,$Q$2)/$Q$2))</f>
        <v>3978.95336225776</v>
      </c>
      <c r="N394" s="15" t="n">
        <f aca="false">M394*(1+IF(N$3&lt;=$O$2,$D394,$D394-($D394-$I$373)*MIN(N$3-$O$2,$Q$2)/$Q$2))</f>
        <v>4091.55774240965</v>
      </c>
      <c r="O394" s="15" t="n">
        <f aca="false">SUMPRODUCT(E394:N394,1/(1+$F$373)^$E$3:$N$3)*$E$2</f>
        <v>9520.96830933387</v>
      </c>
      <c r="P394" s="15" t="n">
        <f aca="false">N394*$E$2*(1+$I$373)/($F$373-$I$373)/(1+$F$373)^$N$3</f>
        <v>11490.6328312074</v>
      </c>
      <c r="Q394" s="15" t="n">
        <f aca="false">O394+P394</f>
        <v>21011.6011405412</v>
      </c>
      <c r="R394" s="15" t="n">
        <f aca="false">Q394-$G$2+$I$2</f>
        <v>15660.0411405412</v>
      </c>
      <c r="S394" s="42" t="n">
        <f aca="false">R394/$K$2</f>
        <v>725.001904654687</v>
      </c>
      <c r="T394" s="43" t="n">
        <f aca="false">S394-$M$2</f>
        <v>0.00190465468710954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0.0669088363647461</v>
      </c>
      <c r="C395" s="25" t="n">
        <f aca="false">IF(T394&gt;0,D394,C394)</f>
        <v>0.0669102668762207</v>
      </c>
      <c r="D395" s="41" t="n">
        <f aca="false">(B395+C395)/2</f>
        <v>0.0669095516204834</v>
      </c>
      <c r="E395" s="15" t="n">
        <f aca="false">$C$2*(1+IF(E$3&lt;=$O$2,$D395,$D395-($D395-$I$373)*MIN(E$3-$O$2,$Q$2)/$Q$2))</f>
        <v>2549.91382837296</v>
      </c>
      <c r="F395" s="15" t="n">
        <f aca="false">E395*(1+IF(F$3&lt;=$O$2,$D395,$D395-($D395-$I$373)*MIN(F$3-$O$2,$Q$2)/$Q$2))</f>
        <v>2720.52741930026</v>
      </c>
      <c r="G395" s="15" t="n">
        <f aca="false">F395*(1+IF(G$3&lt;=$O$2,$D395,$D395-($D395-$I$373)*MIN(G$3-$O$2,$Q$2)/$Q$2))</f>
        <v>2902.55668909687</v>
      </c>
      <c r="H395" s="15" t="n">
        <f aca="false">G395*(1+IF(H$3&lt;=$O$2,$D395,$D395-($D395-$I$373)*MIN(H$3-$O$2,$Q$2)/$Q$2))</f>
        <v>3096.76545571738</v>
      </c>
      <c r="I395" s="15" t="n">
        <f aca="false">H395*(1+IF(I$3&lt;=$O$2,$D395,$D395-($D395-$I$373)*MIN(I$3-$O$2,$Q$2)/$Q$2))</f>
        <v>3303.96864383323</v>
      </c>
      <c r="J395" s="15" t="n">
        <f aca="false">I395*(1+IF(J$3&lt;=$O$2,$D395,$D395-($D395-$I$373)*MIN(J$3-$O$2,$Q$2)/$Q$2))</f>
        <v>3499.52275477894</v>
      </c>
      <c r="K395" s="15" t="n">
        <f aca="false">J395*(1+IF(K$3&lt;=$O$2,$D395,$D395-($D395-$I$373)*MIN(K$3-$O$2,$Q$2)/$Q$2))</f>
        <v>3679.6282514078</v>
      </c>
      <c r="L395" s="15" t="n">
        <f aca="false">K395*(1+IF(L$3&lt;=$O$2,$D395,$D395-($D395-$I$373)*MIN(L$3-$O$2,$Q$2)/$Q$2))</f>
        <v>3840.58924968941</v>
      </c>
      <c r="M395" s="15" t="n">
        <f aca="false">L395*(1+IF(M$3&lt;=$O$2,$D395,$D395-($D395-$I$373)*MIN(M$3-$O$2,$Q$2)/$Q$2))</f>
        <v>3978.93461123341</v>
      </c>
      <c r="N395" s="15" t="n">
        <f aca="false">M395*(1+IF(N$3&lt;=$O$2,$D395,$D395-($D395-$I$373)*MIN(N$3-$O$2,$Q$2)/$Q$2))</f>
        <v>4091.53846073132</v>
      </c>
      <c r="O395" s="15" t="n">
        <f aca="false">SUMPRODUCT(E395:N395,1/(1+$F$373)^$E$3:$N$3)*$E$2</f>
        <v>9520.938975496</v>
      </c>
      <c r="P395" s="15" t="n">
        <f aca="false">N395*$E$2*(1+$I$373)/($F$373-$I$373)/(1+$F$373)^$N$3</f>
        <v>11490.5786810035</v>
      </c>
      <c r="Q395" s="15" t="n">
        <f aca="false">O395+P395</f>
        <v>21011.5176564995</v>
      </c>
      <c r="R395" s="15" t="n">
        <f aca="false">Q395-$G$2+$I$2</f>
        <v>15659.9576564995</v>
      </c>
      <c r="S395" s="42" t="n">
        <f aca="false">R395/$K$2</f>
        <v>724.998039652753</v>
      </c>
      <c r="T395" s="43" t="n">
        <f aca="false">S395-$M$2</f>
        <v>-0.00196034724751826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0.0669095516204834</v>
      </c>
      <c r="C396" s="25" t="n">
        <f aca="false">IF(T395&gt;0,D395,C395)</f>
        <v>0.0669102668762207</v>
      </c>
      <c r="D396" s="41" t="n">
        <f aca="false">(B396+C396)/2</f>
        <v>0.0669099092483521</v>
      </c>
      <c r="E396" s="15" t="n">
        <f aca="false">$C$2*(1+IF(E$3&lt;=$O$2,$D396,$D396-($D396-$I$373)*MIN(E$3-$O$2,$Q$2)/$Q$2))</f>
        <v>2549.91468310356</v>
      </c>
      <c r="F396" s="15" t="n">
        <f aca="false">E396*(1+IF(F$3&lt;=$O$2,$D396,$D396-($D396-$I$373)*MIN(F$3-$O$2,$Q$2)/$Q$2))</f>
        <v>2720.52924314106</v>
      </c>
      <c r="G396" s="15" t="n">
        <f aca="false">F396*(1+IF(G$3&lt;=$O$2,$D396,$D396-($D396-$I$373)*MIN(G$3-$O$2,$Q$2)/$Q$2))</f>
        <v>2902.55960790712</v>
      </c>
      <c r="H396" s="15" t="n">
        <f aca="false">G396*(1+IF(H$3&lt;=$O$2,$D396,$D396-($D396-$I$373)*MIN(H$3-$O$2,$Q$2)/$Q$2))</f>
        <v>3096.76960786012</v>
      </c>
      <c r="I396" s="15" t="n">
        <f aca="false">H396*(1+IF(I$3&lt;=$O$2,$D396,$D396-($D396-$I$373)*MIN(I$3-$O$2,$Q$2)/$Q$2))</f>
        <v>3303.97418128509</v>
      </c>
      <c r="J396" s="15" t="n">
        <f aca="false">I396*(1+IF(J$3&lt;=$O$2,$D396,$D396-($D396-$I$373)*MIN(J$3-$O$2,$Q$2)/$Q$2))</f>
        <v>3499.52956525411</v>
      </c>
      <c r="K396" s="15" t="n">
        <f aca="false">J396*(1+IF(K$3&lt;=$O$2,$D396,$D396-($D396-$I$373)*MIN(K$3-$O$2,$Q$2)/$Q$2))</f>
        <v>3679.63616330663</v>
      </c>
      <c r="L396" s="15" t="n">
        <f aca="false">K396*(1+IF(L$3&lt;=$O$2,$D396,$D396-($D396-$I$373)*MIN(L$3-$O$2,$Q$2)/$Q$2))</f>
        <v>3840.5980340611</v>
      </c>
      <c r="M396" s="15" t="n">
        <f aca="false">L396*(1+IF(M$3&lt;=$O$2,$D396,$D396-($D396-$I$373)*MIN(M$3-$O$2,$Q$2)/$Q$2))</f>
        <v>3978.94398673593</v>
      </c>
      <c r="N396" s="15" t="n">
        <f aca="false">M396*(1+IF(N$3&lt;=$O$2,$D396,$D396-($D396-$I$373)*MIN(N$3-$O$2,$Q$2)/$Q$2))</f>
        <v>4091.54810156056</v>
      </c>
      <c r="O396" s="15" t="n">
        <f aca="false">SUMPRODUCT(E396:N396,1/(1+$F$373)^$E$3:$N$3)*$E$2</f>
        <v>9520.95364240357</v>
      </c>
      <c r="P396" s="15" t="n">
        <f aca="false">N396*$E$2*(1+$I$373)/($F$373-$I$373)/(1+$F$373)^$N$3</f>
        <v>11490.6057560775</v>
      </c>
      <c r="Q396" s="15" t="n">
        <f aca="false">O396+P396</f>
        <v>21011.5593984811</v>
      </c>
      <c r="R396" s="15" t="n">
        <f aca="false">Q396-$G$2+$I$2</f>
        <v>15659.9993984811</v>
      </c>
      <c r="S396" s="42" t="n">
        <f aca="false">R396/$K$2</f>
        <v>724.999972151903</v>
      </c>
      <c r="T396" s="43" t="n">
        <f aca="false">S396-$M$2</f>
        <v>-2.78480972610851E-005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0.0669099092483521</v>
      </c>
      <c r="C397" s="25" t="n">
        <f aca="false">IF(T396&gt;0,D396,C396)</f>
        <v>0.0669102668762207</v>
      </c>
      <c r="D397" s="41" t="n">
        <f aca="false">(B397+C397)/2</f>
        <v>0.0669100880622864</v>
      </c>
      <c r="E397" s="15" t="n">
        <f aca="false">$C$2*(1+IF(E$3&lt;=$O$2,$D397,$D397-($D397-$I$373)*MIN(E$3-$O$2,$Q$2)/$Q$2))</f>
        <v>2549.91511046886</v>
      </c>
      <c r="F397" s="15" t="n">
        <f aca="false">E397*(1+IF(F$3&lt;=$O$2,$D397,$D397-($D397-$I$373)*MIN(F$3-$O$2,$Q$2)/$Q$2))</f>
        <v>2720.53015506169</v>
      </c>
      <c r="G397" s="15" t="n">
        <f aca="false">F397*(1+IF(G$3&lt;=$O$2,$D397,$D397-($D397-$I$373)*MIN(G$3-$O$2,$Q$2)/$Q$2))</f>
        <v>2902.56106731297</v>
      </c>
      <c r="H397" s="15" t="n">
        <f aca="false">G397*(1+IF(H$3&lt;=$O$2,$D397,$D397-($D397-$I$373)*MIN(H$3-$O$2,$Q$2)/$Q$2))</f>
        <v>3096.77168393305</v>
      </c>
      <c r="I397" s="15" t="n">
        <f aca="false">H397*(1+IF(I$3&lt;=$O$2,$D397,$D397-($D397-$I$373)*MIN(I$3-$O$2,$Q$2)/$Q$2))</f>
        <v>3303.97695001381</v>
      </c>
      <c r="J397" s="15" t="n">
        <f aca="false">I397*(1+IF(J$3&lt;=$O$2,$D397,$D397-($D397-$I$373)*MIN(J$3-$O$2,$Q$2)/$Q$2))</f>
        <v>3499.53297049583</v>
      </c>
      <c r="K397" s="15" t="n">
        <f aca="false">J397*(1+IF(K$3&lt;=$O$2,$D397,$D397-($D397-$I$373)*MIN(K$3-$O$2,$Q$2)/$Q$2))</f>
        <v>3679.6401192615</v>
      </c>
      <c r="L397" s="15" t="n">
        <f aca="false">K397*(1+IF(L$3&lt;=$O$2,$D397,$D397-($D397-$I$373)*MIN(L$3-$O$2,$Q$2)/$Q$2))</f>
        <v>3840.60242625348</v>
      </c>
      <c r="M397" s="15" t="n">
        <f aca="false">L397*(1+IF(M$3&lt;=$O$2,$D397,$D397-($D397-$I$373)*MIN(M$3-$O$2,$Q$2)/$Q$2))</f>
        <v>3978.94867449443</v>
      </c>
      <c r="N397" s="15" t="n">
        <f aca="false">M397*(1+IF(N$3&lt;=$O$2,$D397,$D397-($D397-$I$373)*MIN(N$3-$O$2,$Q$2)/$Q$2))</f>
        <v>4091.55292198262</v>
      </c>
      <c r="O397" s="15" t="n">
        <f aca="false">SUMPRODUCT(E397:N397,1/(1+$F$373)^$E$3:$N$3)*$E$2</f>
        <v>9520.96097586588</v>
      </c>
      <c r="P397" s="15" t="n">
        <f aca="false">N397*$E$2*(1+$I$373)/($F$373-$I$373)/(1+$F$373)^$N$3</f>
        <v>11490.6192936355</v>
      </c>
      <c r="Q397" s="15" t="n">
        <f aca="false">O397+P397</f>
        <v>21011.5802695014</v>
      </c>
      <c r="R397" s="15" t="n">
        <f aca="false">Q397-$G$2+$I$2</f>
        <v>15660.0202695014</v>
      </c>
      <c r="S397" s="42" t="n">
        <f aca="false">R397/$K$2</f>
        <v>725.000938402841</v>
      </c>
      <c r="T397" s="43" t="n">
        <f aca="false">S397-$M$2</f>
        <v>0.000938402840688468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0.0669099092483521</v>
      </c>
      <c r="C398" s="25" t="n">
        <f aca="false">IF(T397&gt;0,D397,C397)</f>
        <v>0.0669100880622864</v>
      </c>
      <c r="D398" s="41" t="n">
        <f aca="false">(B398+C398)/2</f>
        <v>0.0669099986553192</v>
      </c>
      <c r="E398" s="15" t="n">
        <f aca="false">$C$2*(1+IF(E$3&lt;=$O$2,$D398,$D398-($D398-$I$373)*MIN(E$3-$O$2,$Q$2)/$Q$2))</f>
        <v>2549.91489678621</v>
      </c>
      <c r="F398" s="15" t="n">
        <f aca="false">E398*(1+IF(F$3&lt;=$O$2,$D398,$D398-($D398-$I$373)*MIN(F$3-$O$2,$Q$2)/$Q$2))</f>
        <v>2720.52969910136</v>
      </c>
      <c r="G398" s="15" t="n">
        <f aca="false">F398*(1+IF(G$3&lt;=$O$2,$D398,$D398-($D398-$I$373)*MIN(G$3-$O$2,$Q$2)/$Q$2))</f>
        <v>2902.56033760999</v>
      </c>
      <c r="H398" s="15" t="n">
        <f aca="false">G398*(1+IF(H$3&lt;=$O$2,$D398,$D398-($D398-$I$373)*MIN(H$3-$O$2,$Q$2)/$Q$2))</f>
        <v>3096.77064589645</v>
      </c>
      <c r="I398" s="15" t="n">
        <f aca="false">H398*(1+IF(I$3&lt;=$O$2,$D398,$D398-($D398-$I$373)*MIN(I$3-$O$2,$Q$2)/$Q$2))</f>
        <v>3303.97556564922</v>
      </c>
      <c r="J398" s="15" t="n">
        <f aca="false">I398*(1+IF(J$3&lt;=$O$2,$D398,$D398-($D398-$I$373)*MIN(J$3-$O$2,$Q$2)/$Q$2))</f>
        <v>3499.53126787463</v>
      </c>
      <c r="K398" s="15" t="n">
        <f aca="false">J398*(1+IF(K$3&lt;=$O$2,$D398,$D398-($D398-$I$373)*MIN(K$3-$O$2,$Q$2)/$Q$2))</f>
        <v>3679.63814128361</v>
      </c>
      <c r="L398" s="15" t="n">
        <f aca="false">K398*(1+IF(L$3&lt;=$O$2,$D398,$D398-($D398-$I$373)*MIN(L$3-$O$2,$Q$2)/$Q$2))</f>
        <v>3840.60023015675</v>
      </c>
      <c r="M398" s="15" t="n">
        <f aca="false">L398*(1+IF(M$3&lt;=$O$2,$D398,$D398-($D398-$I$373)*MIN(M$3-$O$2,$Q$2)/$Q$2))</f>
        <v>3978.94633061458</v>
      </c>
      <c r="N398" s="15" t="n">
        <f aca="false">M398*(1+IF(N$3&lt;=$O$2,$D398,$D398-($D398-$I$373)*MIN(N$3-$O$2,$Q$2)/$Q$2))</f>
        <v>4091.55051177097</v>
      </c>
      <c r="O398" s="15" t="n">
        <f aca="false">SUMPRODUCT(E398:N398,1/(1+$F$373)^$E$3:$N$3)*$E$2</f>
        <v>9520.95730913401</v>
      </c>
      <c r="P398" s="15" t="n">
        <f aca="false">N398*$E$2*(1+$I$373)/($F$373-$I$373)/(1+$F$373)^$N$3</f>
        <v>11490.6125248548</v>
      </c>
      <c r="Q398" s="15" t="n">
        <f aca="false">O398+P398</f>
        <v>21011.5698339888</v>
      </c>
      <c r="R398" s="15" t="n">
        <f aca="false">Q398-$G$2+$I$2</f>
        <v>15660.0098339888</v>
      </c>
      <c r="S398" s="42" t="n">
        <f aca="false">R398/$K$2</f>
        <v>725.000455277258</v>
      </c>
      <c r="T398" s="43" t="n">
        <f aca="false">S398-$M$2</f>
        <v>0.000455277258083697</v>
      </c>
    </row>
    <row r="400" customFormat="false" ht="15" hidden="false" customHeight="false" outlineLevel="0" collapsed="false">
      <c r="A400" s="38" t="s">
        <v>195</v>
      </c>
      <c r="E400" s="5" t="s">
        <v>11</v>
      </c>
      <c r="F400" s="12" t="n">
        <f aca="false">Sensitivity!$B$12</f>
        <v>0.0969721785729318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162</v>
      </c>
      <c r="B401" s="28" t="s">
        <v>163</v>
      </c>
      <c r="C401" s="28" t="s">
        <v>164</v>
      </c>
      <c r="D401" s="28" t="s">
        <v>165</v>
      </c>
      <c r="E401" s="28" t="s">
        <v>166</v>
      </c>
      <c r="F401" s="28" t="s">
        <v>167</v>
      </c>
      <c r="G401" s="28" t="s">
        <v>168</v>
      </c>
      <c r="H401" s="28" t="s">
        <v>169</v>
      </c>
      <c r="I401" s="28" t="s">
        <v>170</v>
      </c>
      <c r="J401" s="28" t="s">
        <v>171</v>
      </c>
      <c r="K401" s="28" t="s">
        <v>172</v>
      </c>
      <c r="L401" s="28" t="s">
        <v>173</v>
      </c>
      <c r="M401" s="28" t="s">
        <v>174</v>
      </c>
      <c r="N401" s="28" t="s">
        <v>175</v>
      </c>
      <c r="O401" s="28" t="s">
        <v>176</v>
      </c>
      <c r="P401" s="28" t="s">
        <v>177</v>
      </c>
      <c r="Q401" s="28" t="s">
        <v>178</v>
      </c>
      <c r="R401" s="28" t="s">
        <v>179</v>
      </c>
      <c r="S401" s="28" t="s">
        <v>180</v>
      </c>
      <c r="T401" s="28" t="s">
        <v>181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2987.5</v>
      </c>
      <c r="F402" s="15" t="n">
        <f aca="false">E402*(1+IF(F$3&lt;=$O$2,$D402,$D402-($D402-$I$400)*MIN(F$3-$O$2,$Q$2)/$Q$2))</f>
        <v>3734.375</v>
      </c>
      <c r="G402" s="15" t="n">
        <f aca="false">F402*(1+IF(G$3&lt;=$O$2,$D402,$D402-($D402-$I$400)*MIN(G$3-$O$2,$Q$2)/$Q$2))</f>
        <v>4667.96875</v>
      </c>
      <c r="H402" s="15" t="n">
        <f aca="false">G402*(1+IF(H$3&lt;=$O$2,$D402,$D402-($D402-$I$400)*MIN(H$3-$O$2,$Q$2)/$Q$2))</f>
        <v>5834.9609375</v>
      </c>
      <c r="I402" s="15" t="n">
        <f aca="false">H402*(1+IF(I$3&lt;=$O$2,$D402,$D402-($D402-$I$400)*MIN(I$3-$O$2,$Q$2)/$Q$2))</f>
        <v>7293.701171875</v>
      </c>
      <c r="J402" s="15" t="n">
        <f aca="false">I402*(1+IF(J$3&lt;=$O$2,$D402,$D402-($D402-$I$400)*MIN(J$3-$O$2,$Q$2)/$Q$2))</f>
        <v>8801.01745605469</v>
      </c>
      <c r="K402" s="15" t="n">
        <f aca="false">J402*(1+IF(K$3&lt;=$O$2,$D402,$D402-($D402-$I$400)*MIN(K$3-$O$2,$Q$2)/$Q$2))</f>
        <v>10238.3996269775</v>
      </c>
      <c r="L402" s="15" t="n">
        <f aca="false">K402*(1+IF(L$3&lt;=$O$2,$D402,$D402-($D402-$I$400)*MIN(L$3-$O$2,$Q$2)/$Q$2))</f>
        <v>11466.8028142223</v>
      </c>
      <c r="M402" s="15" t="n">
        <f aca="false">L402*(1+IF(M$3&lt;=$O$2,$D402,$D402-($D402-$I$400)*MIN(M$3-$O$2,$Q$2)/$Q$2))</f>
        <v>12345.6185819043</v>
      </c>
      <c r="N402" s="15" t="n">
        <f aca="false">M402*(1+IF(N$3&lt;=$O$2,$D402,$D402-($D402-$I$400)*MIN(N$3-$O$2,$Q$2)/$Q$2))</f>
        <v>12756.7276806817</v>
      </c>
      <c r="O402" s="15" t="n">
        <f aca="false">SUMPRODUCT(E402:N402,1/(1+$F$400)^$E$3:$N$3)*$E$2</f>
        <v>20955.9646028373</v>
      </c>
      <c r="P402" s="15" t="n">
        <f aca="false">N402*$E$2*(1+$I$400)/($F$400-$I$400)/(1+$F$400)^$N$3</f>
        <v>38826.8588419978</v>
      </c>
      <c r="Q402" s="15" t="n">
        <f aca="false">O402+P402</f>
        <v>59782.8234448351</v>
      </c>
      <c r="R402" s="15" t="n">
        <f aca="false">Q402-$G$2+$I$2</f>
        <v>54431.2634448351</v>
      </c>
      <c r="S402" s="42" t="n">
        <f aca="false">R402/$K$2</f>
        <v>2519.96590022385</v>
      </c>
      <c r="T402" s="43" t="n">
        <f aca="false">S402-$M$2</f>
        <v>1794.96590022385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2091.25</v>
      </c>
      <c r="F403" s="15" t="n">
        <f aca="false">E403*(1+IF(F$3&lt;=$O$2,$D403,$D403-($D403-$I$400)*MIN(F$3-$O$2,$Q$2)/$Q$2))</f>
        <v>1829.84375</v>
      </c>
      <c r="G403" s="15" t="n">
        <f aca="false">F403*(1+IF(G$3&lt;=$O$2,$D403,$D403-($D403-$I$400)*MIN(G$3-$O$2,$Q$2)/$Q$2))</f>
        <v>1601.11328125</v>
      </c>
      <c r="H403" s="15" t="n">
        <f aca="false">G403*(1+IF(H$3&lt;=$O$2,$D403,$D403-($D403-$I$400)*MIN(H$3-$O$2,$Q$2)/$Q$2))</f>
        <v>1400.97412109375</v>
      </c>
      <c r="I403" s="15" t="n">
        <f aca="false">H403*(1+IF(I$3&lt;=$O$2,$D403,$D403-($D403-$I$400)*MIN(I$3-$O$2,$Q$2)/$Q$2))</f>
        <v>1225.85235595703</v>
      </c>
      <c r="J403" s="15" t="n">
        <f aca="false">I403*(1+IF(J$3&lt;=$O$2,$D403,$D403-($D403-$I$400)*MIN(J$3-$O$2,$Q$2)/$Q$2))</f>
        <v>1111.431297052</v>
      </c>
      <c r="K403" s="15" t="n">
        <f aca="false">J403*(1+IF(K$3&lt;=$O$2,$D403,$D403-($D403-$I$400)*MIN(K$3-$O$2,$Q$2)/$Q$2))</f>
        <v>1042.87821464983</v>
      </c>
      <c r="L403" s="15" t="n">
        <f aca="false">K403*(1+IF(L$3&lt;=$O$2,$D403,$D403-($D403-$I$400)*MIN(L$3-$O$2,$Q$2)/$Q$2))</f>
        <v>1011.57101064605</v>
      </c>
      <c r="M403" s="15" t="n">
        <f aca="false">L403*(1+IF(M$3&lt;=$O$2,$D403,$D403-($D403-$I$400)*MIN(M$3-$O$2,$Q$2)/$Q$2))</f>
        <v>1013.22998710351</v>
      </c>
      <c r="N403" s="15" t="n">
        <f aca="false">M403*(1+IF(N$3&lt;=$O$2,$D403,$D403-($D403-$I$400)*MIN(N$3-$O$2,$Q$2)/$Q$2))</f>
        <v>1046.97054567405</v>
      </c>
      <c r="O403" s="15" t="n">
        <f aca="false">SUMPRODUCT(E403:N403,1/(1+$F$400)^$E$3:$N$3)*$E$2</f>
        <v>4211.955365397</v>
      </c>
      <c r="P403" s="15" t="n">
        <f aca="false">N403*$E$2*(1+$I$400)/($F$400-$I$400)/(1+$F$400)^$N$3</f>
        <v>3186.59915035856</v>
      </c>
      <c r="Q403" s="15" t="n">
        <f aca="false">O403+P403</f>
        <v>7398.55451575556</v>
      </c>
      <c r="R403" s="15" t="n">
        <f aca="false">Q403-$G$2+$I$2</f>
        <v>2046.99451575556</v>
      </c>
      <c r="S403" s="42" t="n">
        <f aca="false">R403/$K$2</f>
        <v>94.768264618313</v>
      </c>
      <c r="T403" s="43" t="n">
        <f aca="false">S403-$M$2</f>
        <v>-630.231735381687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2539.375</v>
      </c>
      <c r="F404" s="15" t="n">
        <f aca="false">E404*(1+IF(F$3&lt;=$O$2,$D404,$D404-($D404-$I$400)*MIN(F$3-$O$2,$Q$2)/$Q$2))</f>
        <v>2698.0859375</v>
      </c>
      <c r="G404" s="15" t="n">
        <f aca="false">F404*(1+IF(G$3&lt;=$O$2,$D404,$D404-($D404-$I$400)*MIN(G$3-$O$2,$Q$2)/$Q$2))</f>
        <v>2866.71630859375</v>
      </c>
      <c r="H404" s="15" t="n">
        <f aca="false">G404*(1+IF(H$3&lt;=$O$2,$D404,$D404-($D404-$I$400)*MIN(H$3-$O$2,$Q$2)/$Q$2))</f>
        <v>3045.88607788086</v>
      </c>
      <c r="I404" s="15" t="n">
        <f aca="false">H404*(1+IF(I$3&lt;=$O$2,$D404,$D404-($D404-$I$400)*MIN(I$3-$O$2,$Q$2)/$Q$2))</f>
        <v>3236.25395774841</v>
      </c>
      <c r="J404" s="15" t="n">
        <f aca="false">I404*(1+IF(J$3&lt;=$O$2,$D404,$D404-($D404-$I$400)*MIN(J$3-$O$2,$Q$2)/$Q$2))</f>
        <v>3419.62010699444</v>
      </c>
      <c r="K404" s="15" t="n">
        <f aca="false">J404*(1+IF(K$3&lt;=$O$2,$D404,$D404-($D404-$I$400)*MIN(K$3-$O$2,$Q$2)/$Q$2))</f>
        <v>3593.4052008319</v>
      </c>
      <c r="L404" s="15" t="n">
        <f aca="false">K404*(1+IF(L$3&lt;=$O$2,$D404,$D404-($D404-$I$400)*MIN(L$3-$O$2,$Q$2)/$Q$2))</f>
        <v>3755.03656676531</v>
      </c>
      <c r="M404" s="15" t="n">
        <f aca="false">L404*(1+IF(M$3&lt;=$O$2,$D404,$D404-($D404-$I$400)*MIN(M$3-$O$2,$Q$2)/$Q$2))</f>
        <v>3902.00869798851</v>
      </c>
      <c r="N404" s="15" t="n">
        <f aca="false">M404*(1+IF(N$3&lt;=$O$2,$D404,$D404-($D404-$I$400)*MIN(N$3-$O$2,$Q$2)/$Q$2))</f>
        <v>4031.94558763153</v>
      </c>
      <c r="O404" s="15" t="n">
        <f aca="false">SUMPRODUCT(E404:N404,1/(1+$F$400)^$E$3:$N$3)*$E$2</f>
        <v>9368.5597553762</v>
      </c>
      <c r="P404" s="15" t="n">
        <f aca="false">N404*$E$2*(1+$I$400)/($F$400-$I$400)/(1+$F$400)^$N$3</f>
        <v>12271.7820830067</v>
      </c>
      <c r="Q404" s="15" t="n">
        <f aca="false">O404+P404</f>
        <v>21640.3418383829</v>
      </c>
      <c r="R404" s="15" t="n">
        <f aca="false">Q404-$G$2+$I$2</f>
        <v>16288.7818383829</v>
      </c>
      <c r="S404" s="42" t="n">
        <f aca="false">R404/$K$2</f>
        <v>754.110270295504</v>
      </c>
      <c r="T404" s="43" t="n">
        <f aca="false">S404-$M$2</f>
        <v>29.1102702955035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41" t="n">
        <f aca="false">(B405+C405)/2</f>
        <v>-0.03125</v>
      </c>
      <c r="E405" s="15" t="n">
        <f aca="false">$C$2*(1+IF(E$3&lt;=$O$2,$D405,$D405-($D405-$I$400)*MIN(E$3-$O$2,$Q$2)/$Q$2))</f>
        <v>2315.3125</v>
      </c>
      <c r="F405" s="15" t="n">
        <f aca="false">E405*(1+IF(F$3&lt;=$O$2,$D405,$D405-($D405-$I$400)*MIN(F$3-$O$2,$Q$2)/$Q$2))</f>
        <v>2242.958984375</v>
      </c>
      <c r="G405" s="15" t="n">
        <f aca="false">F405*(1+IF(G$3&lt;=$O$2,$D405,$D405-($D405-$I$400)*MIN(G$3-$O$2,$Q$2)/$Q$2))</f>
        <v>2172.86651611328</v>
      </c>
      <c r="H405" s="15" t="n">
        <f aca="false">G405*(1+IF(H$3&lt;=$O$2,$D405,$D405-($D405-$I$400)*MIN(H$3-$O$2,$Q$2)/$Q$2))</f>
        <v>2104.96443748474</v>
      </c>
      <c r="I405" s="15" t="n">
        <f aca="false">H405*(1+IF(I$3&lt;=$O$2,$D405,$D405-($D405-$I$400)*MIN(I$3-$O$2,$Q$2)/$Q$2))</f>
        <v>2039.18429881334</v>
      </c>
      <c r="J405" s="15" t="n">
        <f aca="false">I405*(1+IF(J$3&lt;=$O$2,$D405,$D405-($D405-$I$400)*MIN(J$3-$O$2,$Q$2)/$Q$2))</f>
        <v>2001.78565877311</v>
      </c>
      <c r="K405" s="15" t="n">
        <f aca="false">J405*(1+IF(K$3&lt;=$O$2,$D405,$D405-($D405-$I$400)*MIN(K$3-$O$2,$Q$2)/$Q$2))</f>
        <v>1990.91596264597</v>
      </c>
      <c r="L405" s="15" t="n">
        <f aca="false">K405*(1+IF(L$3&lt;=$O$2,$D405,$D405-($D405-$I$400)*MIN(L$3-$O$2,$Q$2)/$Q$2))</f>
        <v>2005.80801404656</v>
      </c>
      <c r="M405" s="15" t="n">
        <f aca="false">L405*(1+IF(M$3&lt;=$O$2,$D405,$D405-($D405-$I$400)*MIN(M$3-$O$2,$Q$2)/$Q$2))</f>
        <v>2046.70643945297</v>
      </c>
      <c r="N405" s="15" t="n">
        <f aca="false">M405*(1+IF(N$3&lt;=$O$2,$D405,$D405-($D405-$I$400)*MIN(N$3-$O$2,$Q$2)/$Q$2))</f>
        <v>2114.86176388675</v>
      </c>
      <c r="O405" s="15" t="n">
        <f aca="false">SUMPRODUCT(E405:N405,1/(1+$F$400)^$E$3:$N$3)*$E$2</f>
        <v>6262.22725589062</v>
      </c>
      <c r="P405" s="15" t="n">
        <f aca="false">N405*$E$2*(1+$I$400)/($F$400-$I$400)/(1+$F$400)^$N$3</f>
        <v>6436.87325089794</v>
      </c>
      <c r="Q405" s="15" t="n">
        <f aca="false">O405+P405</f>
        <v>12699.1005067886</v>
      </c>
      <c r="R405" s="15" t="n">
        <f aca="false">Q405-$G$2+$I$2</f>
        <v>7347.54050678856</v>
      </c>
      <c r="S405" s="42" t="n">
        <f aca="false">R405/$K$2</f>
        <v>340.163912351322</v>
      </c>
      <c r="T405" s="43" t="n">
        <f aca="false">S405-$M$2</f>
        <v>-384.836087648678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41" t="n">
        <f aca="false">(B406+C406)/2</f>
        <v>0.015625</v>
      </c>
      <c r="E406" s="15" t="n">
        <f aca="false">$C$2*(1+IF(E$3&lt;=$O$2,$D406,$D406-($D406-$I$400)*MIN(E$3-$O$2,$Q$2)/$Q$2))</f>
        <v>2427.34375</v>
      </c>
      <c r="F406" s="15" t="n">
        <f aca="false">E406*(1+IF(F$3&lt;=$O$2,$D406,$D406-($D406-$I$400)*MIN(F$3-$O$2,$Q$2)/$Q$2))</f>
        <v>2465.27099609375</v>
      </c>
      <c r="G406" s="15" t="n">
        <f aca="false">F406*(1+IF(G$3&lt;=$O$2,$D406,$D406-($D406-$I$400)*MIN(G$3-$O$2,$Q$2)/$Q$2))</f>
        <v>2503.79085540772</v>
      </c>
      <c r="H406" s="15" t="n">
        <f aca="false">G406*(1+IF(H$3&lt;=$O$2,$D406,$D406-($D406-$I$400)*MIN(H$3-$O$2,$Q$2)/$Q$2))</f>
        <v>2542.91258752346</v>
      </c>
      <c r="I406" s="15" t="n">
        <f aca="false">H406*(1+IF(I$3&lt;=$O$2,$D406,$D406-($D406-$I$400)*MIN(I$3-$O$2,$Q$2)/$Q$2))</f>
        <v>2582.64559670351</v>
      </c>
      <c r="J406" s="15" t="n">
        <f aca="false">I406*(1+IF(J$3&lt;=$O$2,$D406,$D406-($D406-$I$400)*MIN(J$3-$O$2,$Q$2)/$Q$2))</f>
        <v>2632.12908633635</v>
      </c>
      <c r="K406" s="15" t="n">
        <f aca="false">J406*(1+IF(K$3&lt;=$O$2,$D406,$D406-($D406-$I$400)*MIN(K$3-$O$2,$Q$2)/$Q$2))</f>
        <v>2691.86525595076</v>
      </c>
      <c r="L406" s="15" t="n">
        <f aca="false">K406*(1+IF(L$3&lt;=$O$2,$D406,$D406-($D406-$I$400)*MIN(L$3-$O$2,$Q$2)/$Q$2))</f>
        <v>2762.47288161435</v>
      </c>
      <c r="M406" s="15" t="n">
        <f aca="false">L406*(1+IF(M$3&lt;=$O$2,$D406,$D406-($D406-$I$400)*MIN(M$3-$O$2,$Q$2)/$Q$2))</f>
        <v>2844.6978869356</v>
      </c>
      <c r="N406" s="15" t="n">
        <f aca="false">M406*(1+IF(N$3&lt;=$O$2,$D406,$D406-($D406-$I$400)*MIN(N$3-$O$2,$Q$2)/$Q$2))</f>
        <v>2939.42632657055</v>
      </c>
      <c r="O406" s="15" t="n">
        <f aca="false">SUMPRODUCT(E406:N406,1/(1+$F$400)^$E$3:$N$3)*$E$2</f>
        <v>7655.96712586012</v>
      </c>
      <c r="P406" s="15" t="n">
        <f aca="false">N406*$E$2*(1+$I$400)/($F$400-$I$400)/(1+$F$400)^$N$3</f>
        <v>8946.54913979539</v>
      </c>
      <c r="Q406" s="15" t="n">
        <f aca="false">O406+P406</f>
        <v>16602.5162656555</v>
      </c>
      <c r="R406" s="15" t="n">
        <f aca="false">Q406-$G$2+$I$2</f>
        <v>11250.9562656555</v>
      </c>
      <c r="S406" s="42" t="n">
        <f aca="false">R406/$K$2</f>
        <v>520.877604891459</v>
      </c>
      <c r="T406" s="43" t="n">
        <f aca="false">S406-$M$2</f>
        <v>-204.122395108541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0.015625</v>
      </c>
      <c r="C407" s="25" t="n">
        <f aca="false">IF(T406&gt;0,D406,C406)</f>
        <v>0.0625</v>
      </c>
      <c r="D407" s="41" t="n">
        <f aca="false">(B407+C407)/2</f>
        <v>0.0390625</v>
      </c>
      <c r="E407" s="15" t="n">
        <f aca="false">$C$2*(1+IF(E$3&lt;=$O$2,$D407,$D407-($D407-$I$400)*MIN(E$3-$O$2,$Q$2)/$Q$2))</f>
        <v>2483.359375</v>
      </c>
      <c r="F407" s="15" t="n">
        <f aca="false">E407*(1+IF(F$3&lt;=$O$2,$D407,$D407-($D407-$I$400)*MIN(F$3-$O$2,$Q$2)/$Q$2))</f>
        <v>2580.36560058594</v>
      </c>
      <c r="G407" s="15" t="n">
        <f aca="false">F407*(1+IF(G$3&lt;=$O$2,$D407,$D407-($D407-$I$400)*MIN(G$3-$O$2,$Q$2)/$Q$2))</f>
        <v>2681.16113185883</v>
      </c>
      <c r="H407" s="15" t="n">
        <f aca="false">G407*(1+IF(H$3&lt;=$O$2,$D407,$D407-($D407-$I$400)*MIN(H$3-$O$2,$Q$2)/$Q$2))</f>
        <v>2785.89398857206</v>
      </c>
      <c r="I407" s="15" t="n">
        <f aca="false">H407*(1+IF(I$3&lt;=$O$2,$D407,$D407-($D407-$I$400)*MIN(I$3-$O$2,$Q$2)/$Q$2))</f>
        <v>2894.71797250066</v>
      </c>
      <c r="J407" s="15" t="n">
        <f aca="false">I407*(1+IF(J$3&lt;=$O$2,$D407,$D407-($D407-$I$400)*MIN(J$3-$O$2,$Q$2)/$Q$2))</f>
        <v>3004.45673083816</v>
      </c>
      <c r="K407" s="15" t="n">
        <f aca="false">J407*(1+IF(K$3&lt;=$O$2,$D407,$D407-($D407-$I$400)*MIN(K$3-$O$2,$Q$2)/$Q$2))</f>
        <v>3114.89304912194</v>
      </c>
      <c r="L407" s="15" t="n">
        <f aca="false">K407*(1+IF(L$3&lt;=$O$2,$D407,$D407-($D407-$I$400)*MIN(L$3-$O$2,$Q$2)/$Q$2))</f>
        <v>3225.79881613593</v>
      </c>
      <c r="M407" s="15" t="n">
        <f aca="false">L407*(1+IF(M$3&lt;=$O$2,$D407,$D407-($D407-$I$400)*MIN(M$3-$O$2,$Q$2)/$Q$2))</f>
        <v>3336.93564984885</v>
      </c>
      <c r="N407" s="15" t="n">
        <f aca="false">M407*(1+IF(N$3&lt;=$O$2,$D407,$D407-($D407-$I$400)*MIN(N$3-$O$2,$Q$2)/$Q$2))</f>
        <v>3448.05560698882</v>
      </c>
      <c r="O407" s="15" t="n">
        <f aca="false">SUMPRODUCT(E407:N407,1/(1+$F$400)^$E$3:$N$3)*$E$2</f>
        <v>8468.43893771609</v>
      </c>
      <c r="P407" s="15" t="n">
        <f aca="false">N407*$E$2*(1+$I$400)/($F$400-$I$400)/(1+$F$400)^$N$3</f>
        <v>10494.6324545794</v>
      </c>
      <c r="Q407" s="15" t="n">
        <f aca="false">O407+P407</f>
        <v>18963.0713922955</v>
      </c>
      <c r="R407" s="15" t="n">
        <f aca="false">Q407-$G$2+$I$2</f>
        <v>13611.5113922955</v>
      </c>
      <c r="S407" s="42" t="n">
        <f aca="false">R407/$K$2</f>
        <v>630.162564458125</v>
      </c>
      <c r="T407" s="43" t="n">
        <f aca="false">S407-$M$2</f>
        <v>-94.8374355418748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0.0390625</v>
      </c>
      <c r="C408" s="25" t="n">
        <f aca="false">IF(T407&gt;0,D407,C407)</f>
        <v>0.0625</v>
      </c>
      <c r="D408" s="41" t="n">
        <f aca="false">(B408+C408)/2</f>
        <v>0.05078125</v>
      </c>
      <c r="E408" s="15" t="n">
        <f aca="false">$C$2*(1+IF(E$3&lt;=$O$2,$D408,$D408-($D408-$I$400)*MIN(E$3-$O$2,$Q$2)/$Q$2))</f>
        <v>2511.3671875</v>
      </c>
      <c r="F408" s="15" t="n">
        <f aca="false">E408*(1+IF(F$3&lt;=$O$2,$D408,$D408-($D408-$I$400)*MIN(F$3-$O$2,$Q$2)/$Q$2))</f>
        <v>2638.89755249023</v>
      </c>
      <c r="G408" s="15" t="n">
        <f aca="false">F408*(1+IF(G$3&lt;=$O$2,$D408,$D408-($D408-$I$400)*MIN(G$3-$O$2,$Q$2)/$Q$2))</f>
        <v>2772.90406882763</v>
      </c>
      <c r="H408" s="15" t="n">
        <f aca="false">G408*(1+IF(H$3&lt;=$O$2,$D408,$D408-($D408-$I$400)*MIN(H$3-$O$2,$Q$2)/$Q$2))</f>
        <v>2913.71560357278</v>
      </c>
      <c r="I408" s="15" t="n">
        <f aca="false">H408*(1+IF(I$3&lt;=$O$2,$D408,$D408-($D408-$I$400)*MIN(I$3-$O$2,$Q$2)/$Q$2))</f>
        <v>3061.67772406671</v>
      </c>
      <c r="J408" s="15" t="n">
        <f aca="false">I408*(1+IF(J$3&lt;=$O$2,$D408,$D408-($D408-$I$400)*MIN(J$3-$O$2,$Q$2)/$Q$2))</f>
        <v>3206.44915524921</v>
      </c>
      <c r="K408" s="15" t="n">
        <f aca="false">J408*(1+IF(K$3&lt;=$O$2,$D408,$D408-($D408-$I$400)*MIN(K$3-$O$2,$Q$2)/$Q$2))</f>
        <v>3346.85555569613</v>
      </c>
      <c r="L408" s="15" t="n">
        <f aca="false">K408*(1+IF(L$3&lt;=$O$2,$D408,$D408-($D408-$I$400)*MIN(L$3-$O$2,$Q$2)/$Q$2))</f>
        <v>3481.70873317401</v>
      </c>
      <c r="M408" s="15" t="n">
        <f aca="false">L408*(1+IF(M$3&lt;=$O$2,$D408,$D408-($D408-$I$400)*MIN(M$3-$O$2,$Q$2)/$Q$2))</f>
        <v>3609.82255814707</v>
      </c>
      <c r="N408" s="15" t="n">
        <f aca="false">M408*(1+IF(N$3&lt;=$O$2,$D408,$D408-($D408-$I$400)*MIN(N$3-$O$2,$Q$2)/$Q$2))</f>
        <v>3730.02964933337</v>
      </c>
      <c r="O408" s="15" t="n">
        <f aca="false">SUMPRODUCT(E408:N408,1/(1+$F$400)^$E$3:$N$3)*$E$2</f>
        <v>8907.00974180714</v>
      </c>
      <c r="P408" s="15" t="n">
        <f aca="false">N408*$E$2*(1+$I$400)/($F$400-$I$400)/(1+$F$400)^$N$3</f>
        <v>11352.8593144189</v>
      </c>
      <c r="Q408" s="15" t="n">
        <f aca="false">O408+P408</f>
        <v>20259.8690562261</v>
      </c>
      <c r="R408" s="15" t="n">
        <f aca="false">Q408-$G$2+$I$2</f>
        <v>14908.3090562261</v>
      </c>
      <c r="S408" s="42" t="n">
        <f aca="false">R408/$K$2</f>
        <v>690.1994933438</v>
      </c>
      <c r="T408" s="43" t="n">
        <f aca="false">S408-$M$2</f>
        <v>-34.8005066562002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0.05078125</v>
      </c>
      <c r="C409" s="25" t="n">
        <f aca="false">IF(T408&gt;0,D408,C408)</f>
        <v>0.0625</v>
      </c>
      <c r="D409" s="41" t="n">
        <f aca="false">(B409+C409)/2</f>
        <v>0.056640625</v>
      </c>
      <c r="E409" s="15" t="n">
        <f aca="false">$C$2*(1+IF(E$3&lt;=$O$2,$D409,$D409-($D409-$I$400)*MIN(E$3-$O$2,$Q$2)/$Q$2))</f>
        <v>2525.37109375</v>
      </c>
      <c r="F409" s="15" t="n">
        <f aca="false">E409*(1+IF(F$3&lt;=$O$2,$D409,$D409-($D409-$I$400)*MIN(F$3-$O$2,$Q$2)/$Q$2))</f>
        <v>2668.40969085693</v>
      </c>
      <c r="G409" s="15" t="n">
        <f aca="false">F409*(1+IF(G$3&lt;=$O$2,$D409,$D409-($D409-$I$400)*MIN(G$3-$O$2,$Q$2)/$Q$2))</f>
        <v>2819.55008350313</v>
      </c>
      <c r="H409" s="15" t="n">
        <f aca="false">G409*(1+IF(H$3&lt;=$O$2,$D409,$D409-($D409-$I$400)*MIN(H$3-$O$2,$Q$2)/$Q$2))</f>
        <v>2979.25116245155</v>
      </c>
      <c r="I409" s="15" t="n">
        <f aca="false">H409*(1+IF(I$3&lt;=$O$2,$D409,$D409-($D409-$I$400)*MIN(I$3-$O$2,$Q$2)/$Q$2))</f>
        <v>3147.99781032478</v>
      </c>
      <c r="J409" s="15" t="n">
        <f aca="false">I409*(1+IF(J$3&lt;=$O$2,$D409,$D409-($D409-$I$400)*MIN(J$3-$O$2,$Q$2)/$Q$2))</f>
        <v>3311.60712652188</v>
      </c>
      <c r="K409" s="15" t="n">
        <f aca="false">J409*(1+IF(K$3&lt;=$O$2,$D409,$D409-($D409-$I$400)*MIN(K$3-$O$2,$Q$2)/$Q$2))</f>
        <v>3468.26063188755</v>
      </c>
      <c r="L409" s="15" t="n">
        <f aca="false">K409*(1+IF(L$3&lt;=$O$2,$D409,$D409-($D409-$I$400)*MIN(L$3-$O$2,$Q$2)/$Q$2))</f>
        <v>3616.13425925386</v>
      </c>
      <c r="M409" s="15" t="n">
        <f aca="false">L409*(1+IF(M$3&lt;=$O$2,$D409,$D409-($D409-$I$400)*MIN(M$3-$O$2,$Q$2)/$Q$2))</f>
        <v>3753.43209682599</v>
      </c>
      <c r="N409" s="15" t="n">
        <f aca="false">M409*(1+IF(N$3&lt;=$O$2,$D409,$D409-($D409-$I$400)*MIN(N$3-$O$2,$Q$2)/$Q$2))</f>
        <v>3878.4213856503</v>
      </c>
      <c r="O409" s="15" t="n">
        <f aca="false">SUMPRODUCT(E409:N409,1/(1+$F$400)^$E$3:$N$3)*$E$2</f>
        <v>9134.84319517971</v>
      </c>
      <c r="P409" s="15" t="n">
        <f aca="false">N409*$E$2*(1+$I$400)/($F$400-$I$400)/(1+$F$400)^$N$3</f>
        <v>11804.5100154072</v>
      </c>
      <c r="Q409" s="15" t="n">
        <f aca="false">O409+P409</f>
        <v>20939.3532105869</v>
      </c>
      <c r="R409" s="15" t="n">
        <f aca="false">Q409-$G$2+$I$2</f>
        <v>15587.7932105869</v>
      </c>
      <c r="S409" s="42" t="n">
        <f aca="false">R409/$K$2</f>
        <v>721.657093082728</v>
      </c>
      <c r="T409" s="43" t="n">
        <f aca="false">S409-$M$2</f>
        <v>-3.3429069172721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0.056640625</v>
      </c>
      <c r="C410" s="25" t="n">
        <f aca="false">IF(T409&gt;0,D409,C409)</f>
        <v>0.0625</v>
      </c>
      <c r="D410" s="41" t="n">
        <f aca="false">(B410+C410)/2</f>
        <v>0.0595703125</v>
      </c>
      <c r="E410" s="15" t="n">
        <f aca="false">$C$2*(1+IF(E$3&lt;=$O$2,$D410,$D410-($D410-$I$400)*MIN(E$3-$O$2,$Q$2)/$Q$2))</f>
        <v>2532.373046875</v>
      </c>
      <c r="F410" s="15" t="n">
        <f aca="false">E410*(1+IF(F$3&lt;=$O$2,$D410,$D410-($D410-$I$400)*MIN(F$3-$O$2,$Q$2)/$Q$2))</f>
        <v>2683.22730064392</v>
      </c>
      <c r="G410" s="15" t="n">
        <f aca="false">F410*(1+IF(G$3&lt;=$O$2,$D410,$D410-($D410-$I$400)*MIN(G$3-$O$2,$Q$2)/$Q$2))</f>
        <v>2843.06798945181</v>
      </c>
      <c r="H410" s="15" t="n">
        <f aca="false">G410*(1+IF(H$3&lt;=$O$2,$D410,$D410-($D410-$I$400)*MIN(H$3-$O$2,$Q$2)/$Q$2))</f>
        <v>3012.4304380422</v>
      </c>
      <c r="I410" s="15" t="n">
        <f aca="false">H410*(1+IF(I$3&lt;=$O$2,$D410,$D410-($D410-$I$400)*MIN(I$3-$O$2,$Q$2)/$Q$2))</f>
        <v>3191.88186062089</v>
      </c>
      <c r="J410" s="15" t="n">
        <f aca="false">I410*(1+IF(J$3&lt;=$O$2,$D410,$D410-($D410-$I$400)*MIN(J$3-$O$2,$Q$2)/$Q$2))</f>
        <v>3365.25291373284</v>
      </c>
      <c r="K410" s="15" t="n">
        <f aca="false">J410*(1+IF(K$3&lt;=$O$2,$D410,$D410-($D410-$I$400)*MIN(K$3-$O$2,$Q$2)/$Q$2))</f>
        <v>3530.35958317132</v>
      </c>
      <c r="L410" s="15" t="n">
        <f aca="false">K410*(1+IF(L$3&lt;=$O$2,$D410,$D410-($D410-$I$400)*MIN(L$3-$O$2,$Q$2)/$Q$2))</f>
        <v>3685.01801708584</v>
      </c>
      <c r="M410" s="15" t="n">
        <f aca="false">L410*(1+IF(M$3&lt;=$O$2,$D410,$D410-($D410-$I$400)*MIN(M$3-$O$2,$Q$2)/$Q$2))</f>
        <v>3827.09043203019</v>
      </c>
      <c r="N410" s="15" t="n">
        <f aca="false">M410*(1+IF(N$3&lt;=$O$2,$D410,$D410-($D410-$I$400)*MIN(N$3-$O$2,$Q$2)/$Q$2))</f>
        <v>3954.53254341679</v>
      </c>
      <c r="O410" s="15" t="n">
        <f aca="false">SUMPRODUCT(E410:N410,1/(1+$F$400)^$E$3:$N$3)*$E$2</f>
        <v>9250.95728466913</v>
      </c>
      <c r="P410" s="15" t="n">
        <f aca="false">N410*$E$2*(1+$I$400)/($F$400-$I$400)/(1+$F$400)^$N$3</f>
        <v>12036.1648137907</v>
      </c>
      <c r="Q410" s="15" t="n">
        <f aca="false">O410+P410</f>
        <v>21287.1220984598</v>
      </c>
      <c r="R410" s="15" t="n">
        <f aca="false">Q410-$G$2+$I$2</f>
        <v>15935.5620984598</v>
      </c>
      <c r="S410" s="42" t="n">
        <f aca="false">R410/$K$2</f>
        <v>737.757504558323</v>
      </c>
      <c r="T410" s="43" t="n">
        <f aca="false">S410-$M$2</f>
        <v>12.7575045583229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0.056640625</v>
      </c>
      <c r="C411" s="25" t="n">
        <f aca="false">IF(T410&gt;0,D410,C410)</f>
        <v>0.0595703125</v>
      </c>
      <c r="D411" s="41" t="n">
        <f aca="false">(B411+C411)/2</f>
        <v>0.05810546875</v>
      </c>
      <c r="E411" s="15" t="n">
        <f aca="false">$C$2*(1+IF(E$3&lt;=$O$2,$D411,$D411-($D411-$I$400)*MIN(E$3-$O$2,$Q$2)/$Q$2))</f>
        <v>2528.8720703125</v>
      </c>
      <c r="F411" s="15" t="n">
        <f aca="false">E411*(1+IF(F$3&lt;=$O$2,$D411,$D411-($D411-$I$400)*MIN(F$3-$O$2,$Q$2)/$Q$2))</f>
        <v>2675.81336736679</v>
      </c>
      <c r="G411" s="15" t="n">
        <f aca="false">F411*(1+IF(G$3&lt;=$O$2,$D411,$D411-($D411-$I$400)*MIN(G$3-$O$2,$Q$2)/$Q$2))</f>
        <v>2831.29275736515</v>
      </c>
      <c r="H411" s="15" t="n">
        <f aca="false">G411*(1+IF(H$3&lt;=$O$2,$D411,$D411-($D411-$I$400)*MIN(H$3-$O$2,$Q$2)/$Q$2))</f>
        <v>2995.80635020034</v>
      </c>
      <c r="I411" s="15" t="n">
        <f aca="false">H411*(1+IF(I$3&lt;=$O$2,$D411,$D411-($D411-$I$400)*MIN(I$3-$O$2,$Q$2)/$Q$2))</f>
        <v>3169.87908246295</v>
      </c>
      <c r="J411" s="15" t="n">
        <f aca="false">I411*(1+IF(J$3&lt;=$O$2,$D411,$D411-($D411-$I$400)*MIN(J$3-$O$2,$Q$2)/$Q$2))</f>
        <v>3338.34032512602</v>
      </c>
      <c r="K411" s="15" t="n">
        <f aca="false">J411*(1+IF(K$3&lt;=$O$2,$D411,$D411-($D411-$I$400)*MIN(K$3-$O$2,$Q$2)/$Q$2))</f>
        <v>3499.19251591979</v>
      </c>
      <c r="L411" s="15" t="n">
        <f aca="false">K411*(1+IF(L$3&lt;=$O$2,$D411,$D411-($D411-$I$400)*MIN(L$3-$O$2,$Q$2)/$Q$2))</f>
        <v>3650.43527094147</v>
      </c>
      <c r="M411" s="15" t="n">
        <f aca="false">L411*(1+IF(M$3&lt;=$O$2,$D411,$D411-($D411-$I$400)*MIN(M$3-$O$2,$Q$2)/$Q$2))</f>
        <v>3790.10491707127</v>
      </c>
      <c r="N411" s="15" t="n">
        <f aca="false">M411*(1+IF(N$3&lt;=$O$2,$D411,$D411-($D411-$I$400)*MIN(N$3-$O$2,$Q$2)/$Q$2))</f>
        <v>3916.31541080974</v>
      </c>
      <c r="O411" s="15" t="n">
        <f aca="false">SUMPRODUCT(E411:N411,1/(1+$F$400)^$E$3:$N$3)*$E$2</f>
        <v>9192.71529969691</v>
      </c>
      <c r="P411" s="15" t="n">
        <f aca="false">N411*$E$2*(1+$I$400)/($F$400-$I$400)/(1+$F$400)^$N$3</f>
        <v>11919.845703575</v>
      </c>
      <c r="Q411" s="15" t="n">
        <f aca="false">O411+P411</f>
        <v>21112.5610032719</v>
      </c>
      <c r="R411" s="15" t="n">
        <f aca="false">Q411-$G$2+$I$2</f>
        <v>15761.0010032719</v>
      </c>
      <c r="S411" s="42" t="n">
        <f aca="false">R411/$K$2</f>
        <v>729.6759723737</v>
      </c>
      <c r="T411" s="43" t="n">
        <f aca="false">S411-$M$2</f>
        <v>4.67597237370035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0.056640625</v>
      </c>
      <c r="C412" s="25" t="n">
        <f aca="false">IF(T411&gt;0,D411,C411)</f>
        <v>0.05810546875</v>
      </c>
      <c r="D412" s="41" t="n">
        <f aca="false">(B412+C412)/2</f>
        <v>0.057373046875</v>
      </c>
      <c r="E412" s="15" t="n">
        <f aca="false">$C$2*(1+IF(E$3&lt;=$O$2,$D412,$D412-($D412-$I$400)*MIN(E$3-$O$2,$Q$2)/$Q$2))</f>
        <v>2527.12158203125</v>
      </c>
      <c r="F412" s="15" t="n">
        <f aca="false">E412*(1+IF(F$3&lt;=$O$2,$D412,$D412-($D412-$I$400)*MIN(F$3-$O$2,$Q$2)/$Q$2))</f>
        <v>2672.11024701595</v>
      </c>
      <c r="G412" s="15" t="n">
        <f aca="false">F412*(1+IF(G$3&lt;=$O$2,$D412,$D412-($D412-$I$400)*MIN(G$3-$O$2,$Q$2)/$Q$2))</f>
        <v>2825.41735347317</v>
      </c>
      <c r="H412" s="15" t="n">
        <f aca="false">G412*(1+IF(H$3&lt;=$O$2,$D412,$D412-($D412-$I$400)*MIN(H$3-$O$2,$Q$2)/$Q$2))</f>
        <v>2987.52015573542</v>
      </c>
      <c r="I412" s="15" t="n">
        <f aca="false">H412*(1+IF(I$3&lt;=$O$2,$D412,$D412-($D412-$I$400)*MIN(I$3-$O$2,$Q$2)/$Q$2))</f>
        <v>3158.92328967044</v>
      </c>
      <c r="J412" s="15" t="n">
        <f aca="false">I412*(1+IF(J$3&lt;=$O$2,$D412,$D412-($D412-$I$400)*MIN(J$3-$O$2,$Q$2)/$Q$2))</f>
        <v>3324.95136195788</v>
      </c>
      <c r="K412" s="15" t="n">
        <f aca="false">J412*(1+IF(K$3&lt;=$O$2,$D412,$D412-($D412-$I$400)*MIN(K$3-$O$2,$Q$2)/$Q$2))</f>
        <v>3483.69726830718</v>
      </c>
      <c r="L412" s="15" t="n">
        <f aca="false">K412*(1+IF(L$3&lt;=$O$2,$D412,$D412-($D412-$I$400)*MIN(L$3-$O$2,$Q$2)/$Q$2))</f>
        <v>3633.24967039711</v>
      </c>
      <c r="M412" s="15" t="n">
        <f aca="false">L412*(1+IF(M$3&lt;=$O$2,$D412,$D412-($D412-$I$400)*MIN(M$3-$O$2,$Q$2)/$Q$2))</f>
        <v>3771.72956234615</v>
      </c>
      <c r="N412" s="15" t="n">
        <f aca="false">M412*(1+IF(N$3&lt;=$O$2,$D412,$D412-($D412-$I$400)*MIN(N$3-$O$2,$Q$2)/$Q$2))</f>
        <v>3897.32815677227</v>
      </c>
      <c r="O412" s="15" t="n">
        <f aca="false">SUMPRODUCT(E412:N412,1/(1+$F$400)^$E$3:$N$3)*$E$2</f>
        <v>9163.73315018212</v>
      </c>
      <c r="P412" s="15" t="n">
        <f aca="false">N412*$E$2*(1+$I$400)/($F$400-$I$400)/(1+$F$400)^$N$3</f>
        <v>11862.0553790684</v>
      </c>
      <c r="Q412" s="15" t="n">
        <f aca="false">O412+P412</f>
        <v>21025.7885292505</v>
      </c>
      <c r="R412" s="15" t="n">
        <f aca="false">Q412-$G$2+$I$2</f>
        <v>15674.2285292505</v>
      </c>
      <c r="S412" s="42" t="n">
        <f aca="false">R412/$K$2</f>
        <v>725.65872820604</v>
      </c>
      <c r="T412" s="43" t="n">
        <f aca="false">S412-$M$2</f>
        <v>0.658728206040337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0.056640625</v>
      </c>
      <c r="C413" s="25" t="n">
        <f aca="false">IF(T412&gt;0,D412,C412)</f>
        <v>0.057373046875</v>
      </c>
      <c r="D413" s="41" t="n">
        <f aca="false">(B413+C413)/2</f>
        <v>0.0570068359375</v>
      </c>
      <c r="E413" s="15" t="n">
        <f aca="false">$C$2*(1+IF(E$3&lt;=$O$2,$D413,$D413-($D413-$I$400)*MIN(E$3-$O$2,$Q$2)/$Q$2))</f>
        <v>2526.24633789063</v>
      </c>
      <c r="F413" s="15" t="n">
        <f aca="false">E413*(1+IF(F$3&lt;=$O$2,$D413,$D413-($D413-$I$400)*MIN(F$3-$O$2,$Q$2)/$Q$2))</f>
        <v>2670.25964841247</v>
      </c>
      <c r="G413" s="15" t="n">
        <f aca="false">F413*(1+IF(G$3&lt;=$O$2,$D413,$D413-($D413-$I$400)*MIN(G$3-$O$2,$Q$2)/$Q$2))</f>
        <v>2822.48270210004</v>
      </c>
      <c r="H413" s="15" t="n">
        <f aca="false">G413*(1+IF(H$3&lt;=$O$2,$D413,$D413-($D413-$I$400)*MIN(H$3-$O$2,$Q$2)/$Q$2))</f>
        <v>2983.38351043509</v>
      </c>
      <c r="I413" s="15" t="n">
        <f aca="false">H413*(1+IF(I$3&lt;=$O$2,$D413,$D413-($D413-$I$400)*MIN(I$3-$O$2,$Q$2)/$Q$2))</f>
        <v>3153.45676475311</v>
      </c>
      <c r="J413" s="15" t="n">
        <f aca="false">I413*(1+IF(J$3&lt;=$O$2,$D413,$D413-($D413-$I$400)*MIN(J$3-$O$2,$Q$2)/$Q$2))</f>
        <v>3318.27366074579</v>
      </c>
      <c r="K413" s="15" t="n">
        <f aca="false">J413*(1+IF(K$3&lt;=$O$2,$D413,$D413-($D413-$I$400)*MIN(K$3-$O$2,$Q$2)/$Q$2))</f>
        <v>3475.97163521124</v>
      </c>
      <c r="L413" s="15" t="n">
        <f aca="false">K413*(1+IF(L$3&lt;=$O$2,$D413,$D413-($D413-$I$400)*MIN(L$3-$O$2,$Q$2)/$Q$2))</f>
        <v>3624.68320637551</v>
      </c>
      <c r="M413" s="15" t="n">
        <f aca="false">L413*(1+IF(M$3&lt;=$O$2,$D413,$D413-($D413-$I$400)*MIN(M$3-$O$2,$Q$2)/$Q$2))</f>
        <v>3762.57111116761</v>
      </c>
      <c r="N413" s="15" t="n">
        <f aca="false">M413*(1+IF(N$3&lt;=$O$2,$D413,$D413-($D413-$I$400)*MIN(N$3-$O$2,$Q$2)/$Q$2))</f>
        <v>3887.86472916949</v>
      </c>
      <c r="O413" s="15" t="n">
        <f aca="false">SUMPRODUCT(E413:N413,1/(1+$F$400)^$E$3:$N$3)*$E$2</f>
        <v>9149.27666555287</v>
      </c>
      <c r="P413" s="15" t="n">
        <f aca="false">N413*$E$2*(1+$I$400)/($F$400-$I$400)/(1+$F$400)^$N$3</f>
        <v>11833.2521328996</v>
      </c>
      <c r="Q413" s="15" t="n">
        <f aca="false">O413+P413</f>
        <v>20982.5287984524</v>
      </c>
      <c r="R413" s="15" t="n">
        <f aca="false">Q413-$G$2+$I$2</f>
        <v>15630.9687984524</v>
      </c>
      <c r="S413" s="42" t="n">
        <f aca="false">R413/$K$2</f>
        <v>723.655962891317</v>
      </c>
      <c r="T413" s="43" t="n">
        <f aca="false">S413-$M$2</f>
        <v>-1.34403710868332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0.0570068359375</v>
      </c>
      <c r="C414" s="25" t="n">
        <f aca="false">IF(T413&gt;0,D413,C413)</f>
        <v>0.057373046875</v>
      </c>
      <c r="D414" s="41" t="n">
        <f aca="false">(B414+C414)/2</f>
        <v>0.05718994140625</v>
      </c>
      <c r="E414" s="15" t="n">
        <f aca="false">$C$2*(1+IF(E$3&lt;=$O$2,$D414,$D414-($D414-$I$400)*MIN(E$3-$O$2,$Q$2)/$Q$2))</f>
        <v>2526.68395996094</v>
      </c>
      <c r="F414" s="15" t="n">
        <f aca="false">E414*(1+IF(F$3&lt;=$O$2,$D414,$D414-($D414-$I$400)*MIN(F$3-$O$2,$Q$2)/$Q$2))</f>
        <v>2671.18486758322</v>
      </c>
      <c r="G414" s="15" t="n">
        <f aca="false">F414*(1+IF(G$3&lt;=$O$2,$D414,$D414-($D414-$I$400)*MIN(G$3-$O$2,$Q$2)/$Q$2))</f>
        <v>2823.94977364556</v>
      </c>
      <c r="H414" s="15" t="n">
        <f aca="false">G414*(1+IF(H$3&lt;=$O$2,$D414,$D414-($D414-$I$400)*MIN(H$3-$O$2,$Q$2)/$Q$2))</f>
        <v>2985.45129573454</v>
      </c>
      <c r="I414" s="15" t="n">
        <f aca="false">H414*(1+IF(I$3&lt;=$O$2,$D414,$D414-($D414-$I$400)*MIN(I$3-$O$2,$Q$2)/$Q$2))</f>
        <v>3156.18908040882</v>
      </c>
      <c r="J414" s="15" t="n">
        <f aca="false">I414*(1+IF(J$3&lt;=$O$2,$D414,$D414-($D414-$I$400)*MIN(J$3-$O$2,$Q$2)/$Q$2))</f>
        <v>3321.61111454484</v>
      </c>
      <c r="K414" s="15" t="n">
        <f aca="false">J414*(1+IF(K$3&lt;=$O$2,$D414,$D414-($D414-$I$400)*MIN(K$3-$O$2,$Q$2)/$Q$2))</f>
        <v>3479.83262159968</v>
      </c>
      <c r="L414" s="15" t="n">
        <f aca="false">K414*(1+IF(L$3&lt;=$O$2,$D414,$D414-($D414-$I$400)*MIN(L$3-$O$2,$Q$2)/$Q$2))</f>
        <v>3628.96424687238</v>
      </c>
      <c r="M414" s="15" t="n">
        <f aca="false">L414*(1+IF(M$3&lt;=$O$2,$D414,$D414-($D414-$I$400)*MIN(M$3-$O$2,$Q$2)/$Q$2))</f>
        <v>3767.14790493786</v>
      </c>
      <c r="N414" s="15" t="n">
        <f aca="false">M414*(1+IF(N$3&lt;=$O$2,$D414,$D414-($D414-$I$400)*MIN(N$3-$O$2,$Q$2)/$Q$2))</f>
        <v>3892.59393017229</v>
      </c>
      <c r="O414" s="15" t="n">
        <f aca="false">SUMPRODUCT(E414:N414,1/(1+$F$400)^$E$3:$N$3)*$E$2</f>
        <v>9156.50202893898</v>
      </c>
      <c r="P414" s="15" t="n">
        <f aca="false">N414*$E$2*(1+$I$400)/($F$400-$I$400)/(1+$F$400)^$N$3</f>
        <v>11847.6461079351</v>
      </c>
      <c r="Q414" s="15" t="n">
        <f aca="false">O414+P414</f>
        <v>21004.1481368741</v>
      </c>
      <c r="R414" s="15" t="n">
        <f aca="false">Q414-$G$2+$I$2</f>
        <v>15652.5881368741</v>
      </c>
      <c r="S414" s="42" t="n">
        <f aca="false">R414/$K$2</f>
        <v>724.656858188616</v>
      </c>
      <c r="T414" s="43" t="n">
        <f aca="false">S414-$M$2</f>
        <v>-0.343141811384271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0.05718994140625</v>
      </c>
      <c r="C415" s="25" t="n">
        <f aca="false">IF(T414&gt;0,D414,C414)</f>
        <v>0.057373046875</v>
      </c>
      <c r="D415" s="41" t="n">
        <f aca="false">(B415+C415)/2</f>
        <v>0.057281494140625</v>
      </c>
      <c r="E415" s="15" t="n">
        <f aca="false">$C$2*(1+IF(E$3&lt;=$O$2,$D415,$D415-($D415-$I$400)*MIN(E$3-$O$2,$Q$2)/$Q$2))</f>
        <v>2526.90277099609</v>
      </c>
      <c r="F415" s="15" t="n">
        <f aca="false">E415*(1+IF(F$3&lt;=$O$2,$D415,$D415-($D415-$I$400)*MIN(F$3-$O$2,$Q$2)/$Q$2))</f>
        <v>2671.64753726684</v>
      </c>
      <c r="G415" s="15" t="n">
        <f aca="false">F415*(1+IF(G$3&lt;=$O$2,$D415,$D415-($D415-$I$400)*MIN(G$3-$O$2,$Q$2)/$Q$2))</f>
        <v>2824.6835000186</v>
      </c>
      <c r="H415" s="15" t="n">
        <f aca="false">G415*(1+IF(H$3&lt;=$O$2,$D415,$D415-($D415-$I$400)*MIN(H$3-$O$2,$Q$2)/$Q$2))</f>
        <v>2986.48559137404</v>
      </c>
      <c r="I415" s="15" t="n">
        <f aca="false">H415*(1+IF(I$3&lt;=$O$2,$D415,$D415-($D415-$I$400)*MIN(I$3-$O$2,$Q$2)/$Q$2))</f>
        <v>3157.55594827739</v>
      </c>
      <c r="J415" s="15" t="n">
        <f aca="false">I415*(1+IF(J$3&lt;=$O$2,$D415,$D415-($D415-$I$400)*MIN(J$3-$O$2,$Q$2)/$Q$2))</f>
        <v>3323.28088893288</v>
      </c>
      <c r="K415" s="15" t="n">
        <f aca="false">J415*(1+IF(K$3&lt;=$O$2,$D415,$D415-($D415-$I$400)*MIN(K$3-$O$2,$Q$2)/$Q$2))</f>
        <v>3481.7644872337</v>
      </c>
      <c r="L415" s="15" t="n">
        <f aca="false">K415*(1+IF(L$3&lt;=$O$2,$D415,$D415-($D415-$I$400)*MIN(L$3-$O$2,$Q$2)/$Q$2))</f>
        <v>3631.10641051843</v>
      </c>
      <c r="M415" s="15" t="n">
        <f aca="false">L415*(1+IF(M$3&lt;=$O$2,$D415,$D415-($D415-$I$400)*MIN(M$3-$O$2,$Q$2)/$Q$2))</f>
        <v>3769.43812541026</v>
      </c>
      <c r="N415" s="15" t="n">
        <f aca="false">M415*(1+IF(N$3&lt;=$O$2,$D415,$D415-($D415-$I$400)*MIN(N$3-$O$2,$Q$2)/$Q$2))</f>
        <v>3894.96041498642</v>
      </c>
      <c r="O415" s="15" t="n">
        <f aca="false">SUMPRODUCT(E415:N415,1/(1+$F$400)^$E$3:$N$3)*$E$2</f>
        <v>9160.11686955995</v>
      </c>
      <c r="P415" s="15" t="n">
        <f aca="false">N415*$E$2*(1+$I$400)/($F$400-$I$400)/(1+$F$400)^$N$3</f>
        <v>11854.8488306184</v>
      </c>
      <c r="Q415" s="15" t="n">
        <f aca="false">O415+P415</f>
        <v>21014.9657001784</v>
      </c>
      <c r="R415" s="15" t="n">
        <f aca="false">Q415-$G$2+$I$2</f>
        <v>15663.4057001784</v>
      </c>
      <c r="S415" s="42" t="n">
        <f aca="false">R415/$K$2</f>
        <v>725.157671304554</v>
      </c>
      <c r="T415" s="43" t="n">
        <f aca="false">S415-$M$2</f>
        <v>0.157671304553674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0.05718994140625</v>
      </c>
      <c r="C416" s="25" t="n">
        <f aca="false">IF(T415&gt;0,D415,C415)</f>
        <v>0.057281494140625</v>
      </c>
      <c r="D416" s="41" t="n">
        <f aca="false">(B416+C416)/2</f>
        <v>0.0572357177734375</v>
      </c>
      <c r="E416" s="15" t="n">
        <f aca="false">$C$2*(1+IF(E$3&lt;=$O$2,$D416,$D416-($D416-$I$400)*MIN(E$3-$O$2,$Q$2)/$Q$2))</f>
        <v>2526.79336547852</v>
      </c>
      <c r="F416" s="15" t="n">
        <f aca="false">E416*(1+IF(F$3&lt;=$O$2,$D416,$D416-($D416-$I$400)*MIN(F$3-$O$2,$Q$2)/$Q$2))</f>
        <v>2671.41619741684</v>
      </c>
      <c r="G416" s="15" t="n">
        <f aca="false">F416*(1+IF(G$3&lt;=$O$2,$D416,$D416-($D416-$I$400)*MIN(G$3-$O$2,$Q$2)/$Q$2))</f>
        <v>2824.31662094758</v>
      </c>
      <c r="H416" s="15" t="n">
        <f aca="false">G416*(1+IF(H$3&lt;=$O$2,$D416,$D416-($D416-$I$400)*MIN(H$3-$O$2,$Q$2)/$Q$2))</f>
        <v>2985.96840996696</v>
      </c>
      <c r="I416" s="15" t="n">
        <f aca="false">H416*(1+IF(I$3&lt;=$O$2,$D416,$D416-($D416-$I$400)*MIN(I$3-$O$2,$Q$2)/$Q$2))</f>
        <v>3156.87245516023</v>
      </c>
      <c r="J416" s="15" t="n">
        <f aca="false">I416*(1+IF(J$3&lt;=$O$2,$D416,$D416-($D416-$I$400)*MIN(J$3-$O$2,$Q$2)/$Q$2))</f>
        <v>3322.44591442383</v>
      </c>
      <c r="K416" s="15" t="n">
        <f aca="false">J416*(1+IF(K$3&lt;=$O$2,$D416,$D416-($D416-$I$400)*MIN(K$3-$O$2,$Q$2)/$Q$2))</f>
        <v>3480.79844000924</v>
      </c>
      <c r="L416" s="15" t="n">
        <f aca="false">K416*(1+IF(L$3&lt;=$O$2,$D416,$D416-($D416-$I$400)*MIN(L$3-$O$2,$Q$2)/$Q$2))</f>
        <v>3630.03519169606</v>
      </c>
      <c r="M416" s="15" t="n">
        <f aca="false">L416*(1+IF(M$3&lt;=$O$2,$D416,$D416-($D416-$I$400)*MIN(M$3-$O$2,$Q$2)/$Q$2))</f>
        <v>3768.29286315076</v>
      </c>
      <c r="N416" s="15" t="n">
        <f aca="false">M416*(1+IF(N$3&lt;=$O$2,$D416,$D416-($D416-$I$400)*MIN(N$3-$O$2,$Q$2)/$Q$2))</f>
        <v>3893.77701549368</v>
      </c>
      <c r="O416" s="15" t="n">
        <f aca="false">SUMPRODUCT(E416:N416,1/(1+$F$400)^$E$3:$N$3)*$E$2</f>
        <v>9158.30926928288</v>
      </c>
      <c r="P416" s="15" t="n">
        <f aca="false">N416*$E$2*(1+$I$400)/($F$400-$I$400)/(1+$F$400)^$N$3</f>
        <v>11851.2469911648</v>
      </c>
      <c r="Q416" s="15" t="n">
        <f aca="false">O416+P416</f>
        <v>21009.5562604477</v>
      </c>
      <c r="R416" s="15" t="n">
        <f aca="false">Q416-$G$2+$I$2</f>
        <v>15657.9962604477</v>
      </c>
      <c r="S416" s="42" t="n">
        <f aca="false">R416/$K$2</f>
        <v>724.907234279987</v>
      </c>
      <c r="T416" s="43" t="n">
        <f aca="false">S416-$M$2</f>
        <v>-0.0927657200128351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0.0572357177734375</v>
      </c>
      <c r="C417" s="25" t="n">
        <f aca="false">IF(T416&gt;0,D416,C416)</f>
        <v>0.057281494140625</v>
      </c>
      <c r="D417" s="41" t="n">
        <f aca="false">(B417+C417)/2</f>
        <v>0.0572586059570313</v>
      </c>
      <c r="E417" s="15" t="n">
        <f aca="false">$C$2*(1+IF(E$3&lt;=$O$2,$D417,$D417-($D417-$I$400)*MIN(E$3-$O$2,$Q$2)/$Q$2))</f>
        <v>2526.8480682373</v>
      </c>
      <c r="F417" s="15" t="n">
        <f aca="false">E417*(1+IF(F$3&lt;=$O$2,$D417,$D417-($D417-$I$400)*MIN(F$3-$O$2,$Q$2)/$Q$2))</f>
        <v>2671.53186608979</v>
      </c>
      <c r="G417" s="15" t="n">
        <f aca="false">F417*(1+IF(G$3&lt;=$O$2,$D417,$D417-($D417-$I$400)*MIN(G$3-$O$2,$Q$2)/$Q$2))</f>
        <v>2824.50005651188</v>
      </c>
      <c r="H417" s="15" t="n">
        <f aca="false">G417*(1+IF(H$3&lt;=$O$2,$D417,$D417-($D417-$I$400)*MIN(H$3-$O$2,$Q$2)/$Q$2))</f>
        <v>2986.2269922733</v>
      </c>
      <c r="I417" s="15" t="n">
        <f aca="false">H417*(1+IF(I$3&lt;=$O$2,$D417,$D417-($D417-$I$400)*MIN(I$3-$O$2,$Q$2)/$Q$2))</f>
        <v>3157.21418692213</v>
      </c>
      <c r="J417" s="15" t="n">
        <f aca="false">I417*(1+IF(J$3&lt;=$O$2,$D417,$D417-($D417-$I$400)*MIN(J$3-$O$2,$Q$2)/$Q$2))</f>
        <v>3322.86337984777</v>
      </c>
      <c r="K417" s="15" t="n">
        <f aca="false">J417*(1+IF(K$3&lt;=$O$2,$D417,$D417-($D417-$I$400)*MIN(K$3-$O$2,$Q$2)/$Q$2))</f>
        <v>3481.2814350168</v>
      </c>
      <c r="L417" s="15" t="n">
        <f aca="false">K417*(1+IF(L$3&lt;=$O$2,$D417,$D417-($D417-$I$400)*MIN(L$3-$O$2,$Q$2)/$Q$2))</f>
        <v>3630.57076685369</v>
      </c>
      <c r="M417" s="15" t="n">
        <f aca="false">L417*(1+IF(M$3&lt;=$O$2,$D417,$D417-($D417-$I$400)*MIN(M$3-$O$2,$Q$2)/$Q$2))</f>
        <v>3768.86545627035</v>
      </c>
      <c r="N417" s="15" t="n">
        <f aca="false">M417*(1+IF(N$3&lt;=$O$2,$D417,$D417-($D417-$I$400)*MIN(N$3-$O$2,$Q$2)/$Q$2))</f>
        <v>3894.36867596416</v>
      </c>
      <c r="O417" s="15" t="n">
        <f aca="false">SUMPRODUCT(E417:N417,1/(1+$F$400)^$E$3:$N$3)*$E$2</f>
        <v>9159.21302442558</v>
      </c>
      <c r="P417" s="15" t="n">
        <f aca="false">N417*$E$2*(1+$I$400)/($F$400-$I$400)/(1+$F$400)^$N$3</f>
        <v>11853.04779135</v>
      </c>
      <c r="Q417" s="15" t="n">
        <f aca="false">O417+P417</f>
        <v>21012.2608157756</v>
      </c>
      <c r="R417" s="15" t="n">
        <f aca="false">Q417-$G$2+$I$2</f>
        <v>15660.7008157756</v>
      </c>
      <c r="S417" s="42" t="n">
        <f aca="false">R417/$K$2</f>
        <v>725.032445174797</v>
      </c>
      <c r="T417" s="43" t="n">
        <f aca="false">S417-$M$2</f>
        <v>0.0324451747967487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0.0572357177734375</v>
      </c>
      <c r="C418" s="25" t="n">
        <f aca="false">IF(T417&gt;0,D417,C417)</f>
        <v>0.0572586059570313</v>
      </c>
      <c r="D418" s="41" t="n">
        <f aca="false">(B418+C418)/2</f>
        <v>0.0572471618652344</v>
      </c>
      <c r="E418" s="15" t="n">
        <f aca="false">$C$2*(1+IF(E$3&lt;=$O$2,$D418,$D418-($D418-$I$400)*MIN(E$3-$O$2,$Q$2)/$Q$2))</f>
        <v>2526.82071685791</v>
      </c>
      <c r="F418" s="15" t="n">
        <f aca="false">E418*(1+IF(F$3&lt;=$O$2,$D418,$D418-($D418-$I$400)*MIN(F$3-$O$2,$Q$2)/$Q$2))</f>
        <v>2671.4740314403</v>
      </c>
      <c r="G418" s="15" t="n">
        <f aca="false">F418*(1+IF(G$3&lt;=$O$2,$D418,$D418-($D418-$I$400)*MIN(G$3-$O$2,$Q$2)/$Q$2))</f>
        <v>2824.40833773694</v>
      </c>
      <c r="H418" s="15" t="n">
        <f aca="false">G418*(1+IF(H$3&lt;=$O$2,$D418,$D418-($D418-$I$400)*MIN(H$3-$O$2,$Q$2)/$Q$2))</f>
        <v>2986.09769902088</v>
      </c>
      <c r="I418" s="15" t="n">
        <f aca="false">H418*(1+IF(I$3&lt;=$O$2,$D418,$D418-($D418-$I$400)*MIN(I$3-$O$2,$Q$2)/$Q$2))</f>
        <v>3157.04331734213</v>
      </c>
      <c r="J418" s="15" t="n">
        <f aca="false">I418*(1+IF(J$3&lt;=$O$2,$D418,$D418-($D418-$I$400)*MIN(J$3-$O$2,$Q$2)/$Q$2))</f>
        <v>3322.65464167838</v>
      </c>
      <c r="K418" s="15" t="n">
        <f aca="false">J418*(1+IF(K$3&lt;=$O$2,$D418,$D418-($D418-$I$400)*MIN(K$3-$O$2,$Q$2)/$Q$2))</f>
        <v>3481.0399303622</v>
      </c>
      <c r="L418" s="15" t="n">
        <f aca="false">K418*(1+IF(L$3&lt;=$O$2,$D418,$D418-($D418-$I$400)*MIN(L$3-$O$2,$Q$2)/$Q$2))</f>
        <v>3630.30297071195</v>
      </c>
      <c r="M418" s="15" t="n">
        <f aca="false">L418*(1+IF(M$3&lt;=$O$2,$D418,$D418-($D418-$I$400)*MIN(M$3-$O$2,$Q$2)/$Q$2))</f>
        <v>3768.57915020856</v>
      </c>
      <c r="N418" s="15" t="n">
        <f aca="false">M418*(1+IF(N$3&lt;=$O$2,$D418,$D418-($D418-$I$400)*MIN(N$3-$O$2,$Q$2)/$Q$2))</f>
        <v>3894.0728359105</v>
      </c>
      <c r="O418" s="15" t="n">
        <f aca="false">SUMPRODUCT(E418:N418,1/(1+$F$400)^$E$3:$N$3)*$E$2</f>
        <v>9158.76113560579</v>
      </c>
      <c r="P418" s="15" t="n">
        <f aca="false">N418*$E$2*(1+$I$400)/($F$400-$I$400)/(1+$F$400)^$N$3</f>
        <v>11852.1473613738</v>
      </c>
      <c r="Q418" s="15" t="n">
        <f aca="false">O418+P418</f>
        <v>21010.9084969795</v>
      </c>
      <c r="R418" s="15" t="n">
        <f aca="false">Q418-$G$2+$I$2</f>
        <v>15659.3484969795</v>
      </c>
      <c r="S418" s="42" t="n">
        <f aca="false">R418/$K$2</f>
        <v>724.969837823127</v>
      </c>
      <c r="T418" s="43" t="n">
        <f aca="false">S418-$M$2</f>
        <v>-0.0301621768729774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0.0572471618652344</v>
      </c>
      <c r="C419" s="25" t="n">
        <f aca="false">IF(T418&gt;0,D418,C418)</f>
        <v>0.0572586059570313</v>
      </c>
      <c r="D419" s="41" t="n">
        <f aca="false">(B419+C419)/2</f>
        <v>0.0572528839111328</v>
      </c>
      <c r="E419" s="15" t="n">
        <f aca="false">$C$2*(1+IF(E$3&lt;=$O$2,$D419,$D419-($D419-$I$400)*MIN(E$3-$O$2,$Q$2)/$Q$2))</f>
        <v>2526.83439254761</v>
      </c>
      <c r="F419" s="15" t="n">
        <f aca="false">E419*(1+IF(F$3&lt;=$O$2,$D419,$D419-($D419-$I$400)*MIN(F$3-$O$2,$Q$2)/$Q$2))</f>
        <v>2671.50294868679</v>
      </c>
      <c r="G419" s="15" t="n">
        <f aca="false">F419*(1+IF(G$3&lt;=$O$2,$D419,$D419-($D419-$I$400)*MIN(G$3-$O$2,$Q$2)/$Q$2))</f>
        <v>2824.45419687621</v>
      </c>
      <c r="H419" s="15" t="n">
        <f aca="false">G419*(1+IF(H$3&lt;=$O$2,$D419,$D419-($D419-$I$400)*MIN(H$3-$O$2,$Q$2)/$Q$2))</f>
        <v>2986.16234512227</v>
      </c>
      <c r="I419" s="15" t="n">
        <f aca="false">H419*(1+IF(I$3&lt;=$O$2,$D419,$D419-($D419-$I$400)*MIN(I$3-$O$2,$Q$2)/$Q$2))</f>
        <v>3157.12875120735</v>
      </c>
      <c r="J419" s="15" t="n">
        <f aca="false">I419*(1+IF(J$3&lt;=$O$2,$D419,$D419-($D419-$I$400)*MIN(J$3-$O$2,$Q$2)/$Q$2))</f>
        <v>3322.75900939869</v>
      </c>
      <c r="K419" s="15" t="n">
        <f aca="false">J419*(1+IF(K$3&lt;=$O$2,$D419,$D419-($D419-$I$400)*MIN(K$3-$O$2,$Q$2)/$Q$2))</f>
        <v>3481.16068090175</v>
      </c>
      <c r="L419" s="15" t="n">
        <f aca="false">K419*(1+IF(L$3&lt;=$O$2,$D419,$D419-($D419-$I$400)*MIN(L$3-$O$2,$Q$2)/$Q$2))</f>
        <v>3630.43686664203</v>
      </c>
      <c r="M419" s="15" t="n">
        <f aca="false">L419*(1+IF(M$3&lt;=$O$2,$D419,$D419-($D419-$I$400)*MIN(M$3-$O$2,$Q$2)/$Q$2))</f>
        <v>3768.72230086389</v>
      </c>
      <c r="N419" s="15" t="n">
        <f aca="false">M419*(1+IF(N$3&lt;=$O$2,$D419,$D419-($D419-$I$400)*MIN(N$3-$O$2,$Q$2)/$Q$2))</f>
        <v>3894.22075348266</v>
      </c>
      <c r="O419" s="15" t="n">
        <f aca="false">SUMPRODUCT(E419:N419,1/(1+$F$400)^$E$3:$N$3)*$E$2</f>
        <v>9158.98707720351</v>
      </c>
      <c r="P419" s="15" t="n">
        <f aca="false">N419*$E$2*(1+$I$400)/($F$400-$I$400)/(1+$F$400)^$N$3</f>
        <v>11852.5975688908</v>
      </c>
      <c r="Q419" s="15" t="n">
        <f aca="false">O419+P419</f>
        <v>21011.5846460943</v>
      </c>
      <c r="R419" s="15" t="n">
        <f aca="false">Q419-$G$2+$I$2</f>
        <v>15660.0246460943</v>
      </c>
      <c r="S419" s="42" t="n">
        <f aca="false">R419/$K$2</f>
        <v>725.001141022883</v>
      </c>
      <c r="T419" s="43" t="n">
        <f aca="false">S419-$M$2</f>
        <v>0.00114102288250706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0.0572471618652344</v>
      </c>
      <c r="C420" s="25" t="n">
        <f aca="false">IF(T419&gt;0,D419,C419)</f>
        <v>0.0572528839111328</v>
      </c>
      <c r="D420" s="41" t="n">
        <f aca="false">(B420+C420)/2</f>
        <v>0.0572500228881836</v>
      </c>
      <c r="E420" s="15" t="n">
        <f aca="false">$C$2*(1+IF(E$3&lt;=$O$2,$D420,$D420-($D420-$I$400)*MIN(E$3-$O$2,$Q$2)/$Q$2))</f>
        <v>2526.82755470276</v>
      </c>
      <c r="F420" s="15" t="n">
        <f aca="false">E420*(1+IF(F$3&lt;=$O$2,$D420,$D420-($D420-$I$400)*MIN(F$3-$O$2,$Q$2)/$Q$2))</f>
        <v>2671.48849004398</v>
      </c>
      <c r="G420" s="15" t="n">
        <f aca="false">F420*(1+IF(G$3&lt;=$O$2,$D420,$D420-($D420-$I$400)*MIN(G$3-$O$2,$Q$2)/$Q$2))</f>
        <v>2824.43126724452</v>
      </c>
      <c r="H420" s="15" t="n">
        <f aca="false">G420*(1+IF(H$3&lt;=$O$2,$D420,$D420-($D420-$I$400)*MIN(H$3-$O$2,$Q$2)/$Q$2))</f>
        <v>2986.13002194037</v>
      </c>
      <c r="I420" s="15" t="n">
        <f aca="false">H420*(1+IF(I$3&lt;=$O$2,$D420,$D420-($D420-$I$400)*MIN(I$3-$O$2,$Q$2)/$Q$2))</f>
        <v>3157.08603404355</v>
      </c>
      <c r="J420" s="15" t="n">
        <f aca="false">I420*(1+IF(J$3&lt;=$O$2,$D420,$D420-($D420-$I$400)*MIN(J$3-$O$2,$Q$2)/$Q$2))</f>
        <v>3322.70682519745</v>
      </c>
      <c r="K420" s="15" t="n">
        <f aca="false">J420*(1+IF(K$3&lt;=$O$2,$D420,$D420-($D420-$I$400)*MIN(K$3-$O$2,$Q$2)/$Q$2))</f>
        <v>3481.10030518504</v>
      </c>
      <c r="L420" s="15" t="n">
        <f aca="false">K420*(1+IF(L$3&lt;=$O$2,$D420,$D420-($D420-$I$400)*MIN(L$3-$O$2,$Q$2)/$Q$2))</f>
        <v>3630.3699181418</v>
      </c>
      <c r="M420" s="15" t="n">
        <f aca="false">L420*(1+IF(M$3&lt;=$O$2,$D420,$D420-($D420-$I$400)*MIN(M$3-$O$2,$Q$2)/$Q$2))</f>
        <v>3768.65072494234</v>
      </c>
      <c r="N420" s="15" t="n">
        <f aca="false">M420*(1+IF(N$3&lt;=$O$2,$D420,$D420-($D420-$I$400)*MIN(N$3-$O$2,$Q$2)/$Q$2))</f>
        <v>3894.14679408292</v>
      </c>
      <c r="O420" s="15" t="n">
        <f aca="false">SUMPRODUCT(E420:N420,1/(1+$F$400)^$E$3:$N$3)*$E$2</f>
        <v>9158.87410570161</v>
      </c>
      <c r="P420" s="15" t="n">
        <f aca="false">N420*$E$2*(1+$I$400)/($F$400-$I$400)/(1+$F$400)^$N$3</f>
        <v>11852.3724632645</v>
      </c>
      <c r="Q420" s="15" t="n">
        <f aca="false">O420+P420</f>
        <v>21011.2465689661</v>
      </c>
      <c r="R420" s="15" t="n">
        <f aca="false">Q420-$G$2+$I$2</f>
        <v>15659.6865689661</v>
      </c>
      <c r="S420" s="42" t="n">
        <f aca="false">R420/$K$2</f>
        <v>724.985489303986</v>
      </c>
      <c r="T420" s="43" t="n">
        <f aca="false">S420-$M$2</f>
        <v>-0.0145106960137582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0.0572500228881836</v>
      </c>
      <c r="C421" s="25" t="n">
        <f aca="false">IF(T420&gt;0,D420,C420)</f>
        <v>0.0572528839111328</v>
      </c>
      <c r="D421" s="41" t="n">
        <f aca="false">(B421+C421)/2</f>
        <v>0.0572514533996582</v>
      </c>
      <c r="E421" s="15" t="n">
        <f aca="false">$C$2*(1+IF(E$3&lt;=$O$2,$D421,$D421-($D421-$I$400)*MIN(E$3-$O$2,$Q$2)/$Q$2))</f>
        <v>2526.83097362518</v>
      </c>
      <c r="F421" s="15" t="n">
        <f aca="false">E421*(1+IF(F$3&lt;=$O$2,$D421,$D421-($D421-$I$400)*MIN(F$3-$O$2,$Q$2)/$Q$2))</f>
        <v>2671.4957193605</v>
      </c>
      <c r="G421" s="15" t="n">
        <f aca="false">F421*(1+IF(G$3&lt;=$O$2,$D421,$D421-($D421-$I$400)*MIN(G$3-$O$2,$Q$2)/$Q$2))</f>
        <v>2824.44273204485</v>
      </c>
      <c r="H421" s="15" t="n">
        <f aca="false">G421*(1+IF(H$3&lt;=$O$2,$D421,$D421-($D421-$I$400)*MIN(H$3-$O$2,$Q$2)/$Q$2))</f>
        <v>2986.14618349852</v>
      </c>
      <c r="I421" s="15" t="n">
        <f aca="false">H421*(1+IF(I$3&lt;=$O$2,$D421,$D421-($D421-$I$400)*MIN(I$3-$O$2,$Q$2)/$Q$2))</f>
        <v>3157.10739256765</v>
      </c>
      <c r="J421" s="15" t="n">
        <f aca="false">I421*(1+IF(J$3&lt;=$O$2,$D421,$D421-($D421-$I$400)*MIN(J$3-$O$2,$Q$2)/$Q$2))</f>
        <v>3322.7329172128</v>
      </c>
      <c r="K421" s="15" t="n">
        <f aca="false">J421*(1+IF(K$3&lt;=$O$2,$D421,$D421-($D421-$I$400)*MIN(K$3-$O$2,$Q$2)/$Q$2))</f>
        <v>3481.13049293166</v>
      </c>
      <c r="L421" s="15" t="n">
        <f aca="false">K421*(1+IF(L$3&lt;=$O$2,$D421,$D421-($D421-$I$400)*MIN(L$3-$O$2,$Q$2)/$Q$2))</f>
        <v>3630.40339225812</v>
      </c>
      <c r="M421" s="15" t="n">
        <f aca="false">L421*(1+IF(M$3&lt;=$O$2,$D421,$D421-($D421-$I$400)*MIN(M$3-$O$2,$Q$2)/$Q$2))</f>
        <v>3768.68651275464</v>
      </c>
      <c r="N421" s="15" t="n">
        <f aca="false">M421*(1+IF(N$3&lt;=$O$2,$D421,$D421-($D421-$I$400)*MIN(N$3-$O$2,$Q$2)/$Q$2))</f>
        <v>3894.18377362937</v>
      </c>
      <c r="O421" s="15" t="n">
        <f aca="false">SUMPRODUCT(E421:N421,1/(1+$F$400)^$E$3:$N$3)*$E$2</f>
        <v>9158.9305912768</v>
      </c>
      <c r="P421" s="15" t="n">
        <f aca="false">N421*$E$2*(1+$I$400)/($F$400-$I$400)/(1+$F$400)^$N$3</f>
        <v>11852.4850156107</v>
      </c>
      <c r="Q421" s="15" t="n">
        <f aca="false">O421+P421</f>
        <v>21011.4156068875</v>
      </c>
      <c r="R421" s="15" t="n">
        <f aca="false">Q421-$G$2+$I$2</f>
        <v>15659.8556068875</v>
      </c>
      <c r="S421" s="42" t="n">
        <f aca="false">R421/$K$2</f>
        <v>724.99331513368</v>
      </c>
      <c r="T421" s="43" t="n">
        <f aca="false">S421-$M$2</f>
        <v>-0.00668486632025633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0.0572514533996582</v>
      </c>
      <c r="C422" s="25" t="n">
        <f aca="false">IF(T421&gt;0,D421,C421)</f>
        <v>0.0572528839111328</v>
      </c>
      <c r="D422" s="41" t="n">
        <f aca="false">(B422+C422)/2</f>
        <v>0.0572521686553955</v>
      </c>
      <c r="E422" s="15" t="n">
        <f aca="false">$C$2*(1+IF(E$3&lt;=$O$2,$D422,$D422-($D422-$I$400)*MIN(E$3-$O$2,$Q$2)/$Q$2))</f>
        <v>2526.8326830864</v>
      </c>
      <c r="F422" s="15" t="n">
        <f aca="false">E422*(1+IF(F$3&lt;=$O$2,$D422,$D422-($D422-$I$400)*MIN(F$3-$O$2,$Q$2)/$Q$2))</f>
        <v>2671.49933402242</v>
      </c>
      <c r="G422" s="15" t="n">
        <f aca="false">F422*(1+IF(G$3&lt;=$O$2,$D422,$D422-($D422-$I$400)*MIN(G$3-$O$2,$Q$2)/$Q$2))</f>
        <v>2824.44846445665</v>
      </c>
      <c r="H422" s="15" t="n">
        <f aca="false">G422*(1+IF(H$3&lt;=$O$2,$D422,$D422-($D422-$I$400)*MIN(H$3-$O$2,$Q$2)/$Q$2))</f>
        <v>2986.1542643022</v>
      </c>
      <c r="I422" s="15" t="n">
        <f aca="false">H422*(1+IF(I$3&lt;=$O$2,$D422,$D422-($D422-$I$400)*MIN(I$3-$O$2,$Q$2)/$Q$2))</f>
        <v>3157.11807187306</v>
      </c>
      <c r="J422" s="15" t="n">
        <f aca="false">I422*(1+IF(J$3&lt;=$O$2,$D422,$D422-($D422-$I$400)*MIN(J$3-$O$2,$Q$2)/$Q$2))</f>
        <v>3322.74596328443</v>
      </c>
      <c r="K422" s="15" t="n">
        <f aca="false">J422*(1+IF(K$3&lt;=$O$2,$D422,$D422-($D422-$I$400)*MIN(K$3-$O$2,$Q$2)/$Q$2))</f>
        <v>3481.14558688877</v>
      </c>
      <c r="L422" s="15" t="n">
        <f aca="false">K422*(1+IF(L$3&lt;=$O$2,$D422,$D422-($D422-$I$400)*MIN(L$3-$O$2,$Q$2)/$Q$2))</f>
        <v>3630.42012941663</v>
      </c>
      <c r="M422" s="15" t="n">
        <f aca="false">L422*(1+IF(M$3&lt;=$O$2,$D422,$D422-($D422-$I$400)*MIN(M$3-$O$2,$Q$2)/$Q$2))</f>
        <v>3768.70440677215</v>
      </c>
      <c r="N422" s="15" t="n">
        <f aca="false">M422*(1+IF(N$3&lt;=$O$2,$D422,$D422-($D422-$I$400)*MIN(N$3-$O$2,$Q$2)/$Q$2))</f>
        <v>3894.20226351766</v>
      </c>
      <c r="O422" s="15" t="n">
        <f aca="false">SUMPRODUCT(E422:N422,1/(1+$F$400)^$E$3:$N$3)*$E$2</f>
        <v>9158.95883419622</v>
      </c>
      <c r="P422" s="15" t="n">
        <f aca="false">N422*$E$2*(1+$I$400)/($F$400-$I$400)/(1+$F$400)^$N$3</f>
        <v>11852.541292134</v>
      </c>
      <c r="Q422" s="15" t="n">
        <f aca="false">O422+P422</f>
        <v>21011.5001263302</v>
      </c>
      <c r="R422" s="15" t="n">
        <f aca="false">Q422-$G$2+$I$2</f>
        <v>15659.9401263302</v>
      </c>
      <c r="S422" s="42" t="n">
        <f aca="false">R422/$K$2</f>
        <v>724.997228070842</v>
      </c>
      <c r="T422" s="43" t="n">
        <f aca="false">S422-$M$2</f>
        <v>-0.00277192915757496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0.0572521686553955</v>
      </c>
      <c r="C423" s="25" t="n">
        <f aca="false">IF(T422&gt;0,D422,C422)</f>
        <v>0.0572528839111328</v>
      </c>
      <c r="D423" s="41" t="n">
        <f aca="false">(B423+C423)/2</f>
        <v>0.0572525262832642</v>
      </c>
      <c r="E423" s="15" t="n">
        <f aca="false">$C$2*(1+IF(E$3&lt;=$O$2,$D423,$D423-($D423-$I$400)*MIN(E$3-$O$2,$Q$2)/$Q$2))</f>
        <v>2526.833537817</v>
      </c>
      <c r="F423" s="15" t="n">
        <f aca="false">E423*(1+IF(F$3&lt;=$O$2,$D423,$D423-($D423-$I$400)*MIN(F$3-$O$2,$Q$2)/$Q$2))</f>
        <v>2671.5011413543</v>
      </c>
      <c r="G423" s="15" t="n">
        <f aca="false">F423*(1+IF(G$3&lt;=$O$2,$D423,$D423-($D423-$I$400)*MIN(G$3-$O$2,$Q$2)/$Q$2))</f>
        <v>2824.45133066546</v>
      </c>
      <c r="H423" s="15" t="n">
        <f aca="false">G423*(1+IF(H$3&lt;=$O$2,$D423,$D423-($D423-$I$400)*MIN(H$3-$O$2,$Q$2)/$Q$2))</f>
        <v>2986.15830471018</v>
      </c>
      <c r="I423" s="15" t="n">
        <f aca="false">H423*(1+IF(I$3&lt;=$O$2,$D423,$D423-($D423-$I$400)*MIN(I$3-$O$2,$Q$2)/$Q$2))</f>
        <v>3157.12341153659</v>
      </c>
      <c r="J423" s="15" t="n">
        <f aca="false">I423*(1+IF(J$3&lt;=$O$2,$D423,$D423-($D423-$I$400)*MIN(J$3-$O$2,$Q$2)/$Q$2))</f>
        <v>3322.75248633623</v>
      </c>
      <c r="K423" s="15" t="n">
        <f aca="false">J423*(1+IF(K$3&lt;=$O$2,$D423,$D423-($D423-$I$400)*MIN(K$3-$O$2,$Q$2)/$Q$2))</f>
        <v>3481.15313388828</v>
      </c>
      <c r="L423" s="15" t="n">
        <f aca="false">K423*(1+IF(L$3&lt;=$O$2,$D423,$D423-($D423-$I$400)*MIN(L$3-$O$2,$Q$2)/$Q$2))</f>
        <v>3630.42849802097</v>
      </c>
      <c r="M423" s="15" t="n">
        <f aca="false">L423*(1+IF(M$3&lt;=$O$2,$D423,$D423-($D423-$I$400)*MIN(M$3-$O$2,$Q$2)/$Q$2))</f>
        <v>3768.71335380874</v>
      </c>
      <c r="N423" s="15" t="n">
        <f aca="false">M423*(1+IF(N$3&lt;=$O$2,$D423,$D423-($D423-$I$400)*MIN(N$3-$O$2,$Q$2)/$Q$2))</f>
        <v>3894.21150849057</v>
      </c>
      <c r="O423" s="15" t="n">
        <f aca="false">SUMPRODUCT(E423:N423,1/(1+$F$400)^$E$3:$N$3)*$E$2</f>
        <v>9158.97295568888</v>
      </c>
      <c r="P423" s="15" t="n">
        <f aca="false">N423*$E$2*(1+$I$400)/($F$400-$I$400)/(1+$F$400)^$N$3</f>
        <v>11852.5694304832</v>
      </c>
      <c r="Q423" s="15" t="n">
        <f aca="false">O423+P423</f>
        <v>21011.5423861721</v>
      </c>
      <c r="R423" s="15" t="n">
        <f aca="false">Q423-$G$2+$I$2</f>
        <v>15659.9823861721</v>
      </c>
      <c r="S423" s="42" t="n">
        <f aca="false">R423/$K$2</f>
        <v>724.999184545003</v>
      </c>
      <c r="T423" s="43" t="n">
        <f aca="false">S423-$M$2</f>
        <v>-0.000815454997336929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0.0572525262832642</v>
      </c>
      <c r="C424" s="25" t="n">
        <f aca="false">IF(T423&gt;0,D423,C423)</f>
        <v>0.0572528839111328</v>
      </c>
      <c r="D424" s="41" t="n">
        <f aca="false">(B424+C424)/2</f>
        <v>0.0572527050971985</v>
      </c>
      <c r="E424" s="15" t="n">
        <f aca="false">$C$2*(1+IF(E$3&lt;=$O$2,$D424,$D424-($D424-$I$400)*MIN(E$3-$O$2,$Q$2)/$Q$2))</f>
        <v>2526.8339651823</v>
      </c>
      <c r="F424" s="15" t="n">
        <f aca="false">E424*(1+IF(F$3&lt;=$O$2,$D424,$D424-($D424-$I$400)*MIN(F$3-$O$2,$Q$2)/$Q$2))</f>
        <v>2671.50204502047</v>
      </c>
      <c r="G424" s="15" t="n">
        <f aca="false">F424*(1+IF(G$3&lt;=$O$2,$D424,$D424-($D424-$I$400)*MIN(G$3-$O$2,$Q$2)/$Q$2))</f>
        <v>2824.45276377059</v>
      </c>
      <c r="H424" s="15" t="n">
        <f aca="false">G424*(1+IF(H$3&lt;=$O$2,$D424,$D424-($D424-$I$400)*MIN(H$3-$O$2,$Q$2)/$Q$2))</f>
        <v>2986.16032491572</v>
      </c>
      <c r="I424" s="15" t="n">
        <f aca="false">H424*(1+IF(I$3&lt;=$O$2,$D424,$D424-($D424-$I$400)*MIN(I$3-$O$2,$Q$2)/$Q$2))</f>
        <v>3157.12608137107</v>
      </c>
      <c r="J424" s="15" t="n">
        <f aca="false">I424*(1+IF(J$3&lt;=$O$2,$D424,$D424-($D424-$I$400)*MIN(J$3-$O$2,$Q$2)/$Q$2))</f>
        <v>3322.75574786613</v>
      </c>
      <c r="K424" s="15" t="n">
        <f aca="false">J424*(1+IF(K$3&lt;=$O$2,$D424,$D424-($D424-$I$400)*MIN(K$3-$O$2,$Q$2)/$Q$2))</f>
        <v>3481.15690739327</v>
      </c>
      <c r="L424" s="15" t="n">
        <f aca="false">K424*(1+IF(L$3&lt;=$O$2,$D424,$D424-($D424-$I$400)*MIN(L$3-$O$2,$Q$2)/$Q$2))</f>
        <v>3630.43268232941</v>
      </c>
      <c r="M424" s="15" t="n">
        <f aca="false">L424*(1+IF(M$3&lt;=$O$2,$D424,$D424-($D424-$I$400)*MIN(M$3-$O$2,$Q$2)/$Q$2))</f>
        <v>3768.71782733399</v>
      </c>
      <c r="N424" s="15" t="n">
        <f aca="false">M424*(1+IF(N$3&lt;=$O$2,$D424,$D424-($D424-$I$400)*MIN(N$3-$O$2,$Q$2)/$Q$2))</f>
        <v>3894.21613098422</v>
      </c>
      <c r="O424" s="15" t="n">
        <f aca="false">SUMPRODUCT(E424:N424,1/(1+$F$400)^$E$3:$N$3)*$E$2</f>
        <v>9158.98001644345</v>
      </c>
      <c r="P424" s="15" t="n">
        <f aca="false">N424*$E$2*(1+$I$400)/($F$400-$I$400)/(1+$F$400)^$N$3</f>
        <v>11852.5834996797</v>
      </c>
      <c r="Q424" s="15" t="n">
        <f aca="false">O424+P424</f>
        <v>21011.5635161231</v>
      </c>
      <c r="R424" s="15" t="n">
        <f aca="false">Q424-$G$2+$I$2</f>
        <v>15660.0035161231</v>
      </c>
      <c r="S424" s="42" t="n">
        <f aca="false">R424/$K$2</f>
        <v>725.000162783478</v>
      </c>
      <c r="T424" s="43" t="n">
        <f aca="false">S424-$M$2</f>
        <v>0.000162783477890116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0.0572525262832642</v>
      </c>
      <c r="C425" s="25" t="n">
        <f aca="false">IF(T424&gt;0,D424,C424)</f>
        <v>0.0572527050971985</v>
      </c>
      <c r="D425" s="41" t="n">
        <f aca="false">(B425+C425)/2</f>
        <v>0.0572526156902313</v>
      </c>
      <c r="E425" s="15" t="n">
        <f aca="false">$C$2*(1+IF(E$3&lt;=$O$2,$D425,$D425-($D425-$I$400)*MIN(E$3-$O$2,$Q$2)/$Q$2))</f>
        <v>2526.83375149965</v>
      </c>
      <c r="F425" s="15" t="n">
        <f aca="false">E425*(1+IF(F$3&lt;=$O$2,$D425,$D425-($D425-$I$400)*MIN(F$3-$O$2,$Q$2)/$Q$2))</f>
        <v>2671.50159318737</v>
      </c>
      <c r="G425" s="15" t="n">
        <f aca="false">F425*(1+IF(G$3&lt;=$O$2,$D425,$D425-($D425-$I$400)*MIN(G$3-$O$2,$Q$2)/$Q$2))</f>
        <v>2824.45204721797</v>
      </c>
      <c r="H425" s="15" t="n">
        <f aca="false">G425*(1+IF(H$3&lt;=$O$2,$D425,$D425-($D425-$I$400)*MIN(H$3-$O$2,$Q$2)/$Q$2))</f>
        <v>2986.15931481282</v>
      </c>
      <c r="I425" s="15" t="n">
        <f aca="false">H425*(1+IF(I$3&lt;=$O$2,$D425,$D425-($D425-$I$400)*MIN(I$3-$O$2,$Q$2)/$Q$2))</f>
        <v>3157.12474645361</v>
      </c>
      <c r="J425" s="15" t="n">
        <f aca="false">I425*(1+IF(J$3&lt;=$O$2,$D425,$D425-($D425-$I$400)*MIN(J$3-$O$2,$Q$2)/$Q$2))</f>
        <v>3322.75411710085</v>
      </c>
      <c r="K425" s="15" t="n">
        <f aca="false">J425*(1+IF(K$3&lt;=$O$2,$D425,$D425-($D425-$I$400)*MIN(K$3-$O$2,$Q$2)/$Q$2))</f>
        <v>3481.15502064034</v>
      </c>
      <c r="L425" s="15" t="n">
        <f aca="false">K425*(1+IF(L$3&lt;=$O$2,$D425,$D425-($D425-$I$400)*MIN(L$3-$O$2,$Q$2)/$Q$2))</f>
        <v>3630.43059017467</v>
      </c>
      <c r="M425" s="15" t="n">
        <f aca="false">L425*(1+IF(M$3&lt;=$O$2,$D425,$D425-($D425-$I$400)*MIN(M$3-$O$2,$Q$2)/$Q$2))</f>
        <v>3768.71559057079</v>
      </c>
      <c r="N425" s="15" t="n">
        <f aca="false">M425*(1+IF(N$3&lt;=$O$2,$D425,$D425-($D425-$I$400)*MIN(N$3-$O$2,$Q$2)/$Q$2))</f>
        <v>3894.21381973679</v>
      </c>
      <c r="O425" s="15" t="n">
        <f aca="false">SUMPRODUCT(E425:N425,1/(1+$F$400)^$E$3:$N$3)*$E$2</f>
        <v>9158.97648606548</v>
      </c>
      <c r="P425" s="15" t="n">
        <f aca="false">N425*$E$2*(1+$I$400)/($F$400-$I$400)/(1+$F$400)^$N$3</f>
        <v>11852.5764650796</v>
      </c>
      <c r="Q425" s="15" t="n">
        <f aca="false">O425+P425</f>
        <v>21011.5529511451</v>
      </c>
      <c r="R425" s="15" t="n">
        <f aca="false">Q425-$G$2+$I$2</f>
        <v>15659.9929511451</v>
      </c>
      <c r="S425" s="42" t="n">
        <f aca="false">R425/$K$2</f>
        <v>724.999673664124</v>
      </c>
      <c r="T425" s="43" t="n">
        <f aca="false">S425-$M$2</f>
        <v>-0.000326335875911354</v>
      </c>
    </row>
    <row r="427" customFormat="false" ht="15" hidden="false" customHeight="false" outlineLevel="0" collapsed="false">
      <c r="A427" s="38" t="s">
        <v>196</v>
      </c>
      <c r="E427" s="5" t="s">
        <v>11</v>
      </c>
      <c r="F427" s="12" t="n">
        <f aca="false">Sensitivity!$B$12</f>
        <v>0.0969721785729318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162</v>
      </c>
      <c r="B428" s="28" t="s">
        <v>163</v>
      </c>
      <c r="C428" s="28" t="s">
        <v>164</v>
      </c>
      <c r="D428" s="28" t="s">
        <v>165</v>
      </c>
      <c r="E428" s="28" t="s">
        <v>166</v>
      </c>
      <c r="F428" s="28" t="s">
        <v>167</v>
      </c>
      <c r="G428" s="28" t="s">
        <v>168</v>
      </c>
      <c r="H428" s="28" t="s">
        <v>169</v>
      </c>
      <c r="I428" s="28" t="s">
        <v>170</v>
      </c>
      <c r="J428" s="28" t="s">
        <v>171</v>
      </c>
      <c r="K428" s="28" t="s">
        <v>172</v>
      </c>
      <c r="L428" s="28" t="s">
        <v>173</v>
      </c>
      <c r="M428" s="28" t="s">
        <v>174</v>
      </c>
      <c r="N428" s="28" t="s">
        <v>175</v>
      </c>
      <c r="O428" s="28" t="s">
        <v>176</v>
      </c>
      <c r="P428" s="28" t="s">
        <v>177</v>
      </c>
      <c r="Q428" s="28" t="s">
        <v>178</v>
      </c>
      <c r="R428" s="28" t="s">
        <v>179</v>
      </c>
      <c r="S428" s="28" t="s">
        <v>180</v>
      </c>
      <c r="T428" s="28" t="s">
        <v>181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2987.5</v>
      </c>
      <c r="F429" s="15" t="n">
        <f aca="false">E429*(1+IF(F$3&lt;=$O$2,$D429,$D429-($D429-$I$427)*MIN(F$3-$O$2,$Q$2)/$Q$2))</f>
        <v>3734.375</v>
      </c>
      <c r="G429" s="15" t="n">
        <f aca="false">F429*(1+IF(G$3&lt;=$O$2,$D429,$D429-($D429-$I$427)*MIN(G$3-$O$2,$Q$2)/$Q$2))</f>
        <v>4667.96875</v>
      </c>
      <c r="H429" s="15" t="n">
        <f aca="false">G429*(1+IF(H$3&lt;=$O$2,$D429,$D429-($D429-$I$427)*MIN(H$3-$O$2,$Q$2)/$Q$2))</f>
        <v>5834.9609375</v>
      </c>
      <c r="I429" s="15" t="n">
        <f aca="false">H429*(1+IF(I$3&lt;=$O$2,$D429,$D429-($D429-$I$427)*MIN(I$3-$O$2,$Q$2)/$Q$2))</f>
        <v>7293.701171875</v>
      </c>
      <c r="J429" s="15" t="n">
        <f aca="false">I429*(1+IF(J$3&lt;=$O$2,$D429,$D429-($D429-$I$427)*MIN(J$3-$O$2,$Q$2)/$Q$2))</f>
        <v>8808.31115722656</v>
      </c>
      <c r="K429" s="15" t="n">
        <f aca="false">J429*(1+IF(K$3&lt;=$O$2,$D429,$D429-($D429-$I$427)*MIN(K$3-$O$2,$Q$2)/$Q$2))</f>
        <v>10264.5011577393</v>
      </c>
      <c r="L429" s="15" t="n">
        <f aca="false">K429*(1+IF(L$3&lt;=$O$2,$D429,$D429-($D429-$I$427)*MIN(L$3-$O$2,$Q$2)/$Q$2))</f>
        <v>11526.829510118</v>
      </c>
      <c r="M429" s="15" t="n">
        <f aca="false">L429*(1+IF(M$3&lt;=$O$2,$D429,$D429-($D429-$I$427)*MIN(M$3-$O$2,$Q$2)/$Q$2))</f>
        <v>12456.353041814</v>
      </c>
      <c r="N429" s="15" t="n">
        <f aca="false">M429*(1+IF(N$3&lt;=$O$2,$D429,$D429-($D429-$I$427)*MIN(N$3-$O$2,$Q$2)/$Q$2))</f>
        <v>12933.4313633154</v>
      </c>
      <c r="O429" s="15" t="n">
        <f aca="false">SUMPRODUCT(E429:N429,1/(1+$F$427)^$E$3:$N$3)*$E$2</f>
        <v>21033.8775967761</v>
      </c>
      <c r="P429" s="15" t="n">
        <f aca="false">N429*$E$2*(1+$I$427)/($F$427-$I$427)/(1+$F$427)^$N$3</f>
        <v>42926.0230744077</v>
      </c>
      <c r="Q429" s="15" t="n">
        <f aca="false">O429+P429</f>
        <v>63959.9006711838</v>
      </c>
      <c r="R429" s="15" t="n">
        <f aca="false">Q429-$G$2+$I$2</f>
        <v>58608.3406711839</v>
      </c>
      <c r="S429" s="42" t="n">
        <f aca="false">R429/$K$2</f>
        <v>2713.3491051474</v>
      </c>
      <c r="T429" s="43" t="n">
        <f aca="false">S429-$M$2</f>
        <v>1988.3491051474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2091.25</v>
      </c>
      <c r="F430" s="15" t="n">
        <f aca="false">E430*(1+IF(F$3&lt;=$O$2,$D430,$D430-($D430-$I$427)*MIN(F$3-$O$2,$Q$2)/$Q$2))</f>
        <v>1829.84375</v>
      </c>
      <c r="G430" s="15" t="n">
        <f aca="false">F430*(1+IF(G$3&lt;=$O$2,$D430,$D430-($D430-$I$427)*MIN(G$3-$O$2,$Q$2)/$Q$2))</f>
        <v>1601.11328125</v>
      </c>
      <c r="H430" s="15" t="n">
        <f aca="false">G430*(1+IF(H$3&lt;=$O$2,$D430,$D430-($D430-$I$427)*MIN(H$3-$O$2,$Q$2)/$Q$2))</f>
        <v>1400.97412109375</v>
      </c>
      <c r="I430" s="15" t="n">
        <f aca="false">H430*(1+IF(I$3&lt;=$O$2,$D430,$D430-($D430-$I$427)*MIN(I$3-$O$2,$Q$2)/$Q$2))</f>
        <v>1225.85235595703</v>
      </c>
      <c r="J430" s="15" t="n">
        <f aca="false">I430*(1+IF(J$3&lt;=$O$2,$D430,$D430-($D430-$I$427)*MIN(J$3-$O$2,$Q$2)/$Q$2))</f>
        <v>1112.65714940796</v>
      </c>
      <c r="K430" s="15" t="n">
        <f aca="false">J430*(1+IF(K$3&lt;=$O$2,$D430,$D430-($D430-$I$427)*MIN(K$3-$O$2,$Q$2)/$Q$2))</f>
        <v>1046.25377073129</v>
      </c>
      <c r="L430" s="15" t="n">
        <f aca="false">K430*(1+IF(L$3&lt;=$O$2,$D430,$D430-($D430-$I$427)*MIN(L$3-$O$2,$Q$2)/$Q$2))</f>
        <v>1017.98399384613</v>
      </c>
      <c r="M430" s="15" t="n">
        <f aca="false">L430*(1+IF(M$3&lt;=$O$2,$D430,$D430-($D430-$I$427)*MIN(M$3-$O$2,$Q$2)/$Q$2))</f>
        <v>1023.72542357142</v>
      </c>
      <c r="N430" s="15" t="n">
        <f aca="false">M430*(1+IF(N$3&lt;=$O$2,$D430,$D430-($D430-$I$427)*MIN(N$3-$O$2,$Q$2)/$Q$2))</f>
        <v>1062.93410729421</v>
      </c>
      <c r="O430" s="15" t="n">
        <f aca="false">SUMPRODUCT(E430:N430,1/(1+$F$427)^$E$3:$N$3)*$E$2</f>
        <v>4219.72456662427</v>
      </c>
      <c r="P430" s="15" t="n">
        <f aca="false">N430*$E$2*(1+$I$427)/($F$427-$I$427)/(1+$F$427)^$N$3</f>
        <v>3527.8753746438</v>
      </c>
      <c r="Q430" s="15" t="n">
        <f aca="false">O430+P430</f>
        <v>7747.59994126806</v>
      </c>
      <c r="R430" s="15" t="n">
        <f aca="false">Q430-$G$2+$I$2</f>
        <v>2396.03994126806</v>
      </c>
      <c r="S430" s="42" t="n">
        <f aca="false">R430/$K$2</f>
        <v>110.927775058707</v>
      </c>
      <c r="T430" s="43" t="n">
        <f aca="false">S430-$M$2</f>
        <v>-614.072224941293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2539.375</v>
      </c>
      <c r="F431" s="15" t="n">
        <f aca="false">E431*(1+IF(F$3&lt;=$O$2,$D431,$D431-($D431-$I$427)*MIN(F$3-$O$2,$Q$2)/$Q$2))</f>
        <v>2698.0859375</v>
      </c>
      <c r="G431" s="15" t="n">
        <f aca="false">F431*(1+IF(G$3&lt;=$O$2,$D431,$D431-($D431-$I$427)*MIN(G$3-$O$2,$Q$2)/$Q$2))</f>
        <v>2866.71630859375</v>
      </c>
      <c r="H431" s="15" t="n">
        <f aca="false">G431*(1+IF(H$3&lt;=$O$2,$D431,$D431-($D431-$I$427)*MIN(H$3-$O$2,$Q$2)/$Q$2))</f>
        <v>3045.88607788086</v>
      </c>
      <c r="I431" s="15" t="n">
        <f aca="false">H431*(1+IF(I$3&lt;=$O$2,$D431,$D431-($D431-$I$427)*MIN(I$3-$O$2,$Q$2)/$Q$2))</f>
        <v>3236.25395774841</v>
      </c>
      <c r="J431" s="15" t="n">
        <f aca="false">I431*(1+IF(J$3&lt;=$O$2,$D431,$D431-($D431-$I$427)*MIN(J$3-$O$2,$Q$2)/$Q$2))</f>
        <v>3422.85636095219</v>
      </c>
      <c r="K431" s="15" t="n">
        <f aca="false">J431*(1+IF(K$3&lt;=$O$2,$D431,$D431-($D431-$I$427)*MIN(K$3-$O$2,$Q$2)/$Q$2))</f>
        <v>3603.65163393768</v>
      </c>
      <c r="L431" s="15" t="n">
        <f aca="false">K431*(1+IF(L$3&lt;=$O$2,$D431,$D431-($D431-$I$427)*MIN(L$3-$O$2,$Q$2)/$Q$2))</f>
        <v>3776.55483933401</v>
      </c>
      <c r="M431" s="15" t="n">
        <f aca="false">L431*(1+IF(M$3&lt;=$O$2,$D431,$D431-($D431-$I$427)*MIN(M$3-$O$2,$Q$2)/$Q$2))</f>
        <v>3939.47541510288</v>
      </c>
      <c r="N431" s="15" t="n">
        <f aca="false">M431*(1+IF(N$3&lt;=$O$2,$D431,$D431-($D431-$I$427)*MIN(N$3-$O$2,$Q$2)/$Q$2))</f>
        <v>4090.35732350132</v>
      </c>
      <c r="O431" s="15" t="n">
        <f aca="false">SUMPRODUCT(E431:N431,1/(1+$F$427)^$E$3:$N$3)*$E$2</f>
        <v>9395.49518393706</v>
      </c>
      <c r="P431" s="15" t="n">
        <f aca="false">N431*$E$2*(1+$I$427)/($F$427-$I$427)/(1+$F$427)^$N$3</f>
        <v>13575.8846912982</v>
      </c>
      <c r="Q431" s="15" t="n">
        <f aca="false">O431+P431</f>
        <v>22971.3798752353</v>
      </c>
      <c r="R431" s="15" t="n">
        <f aca="false">Q431-$G$2+$I$2</f>
        <v>17619.8198752353</v>
      </c>
      <c r="S431" s="42" t="n">
        <f aca="false">R431/$K$2</f>
        <v>815.732401631263</v>
      </c>
      <c r="T431" s="43" t="n">
        <f aca="false">S431-$M$2</f>
        <v>90.7324016312629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2315.3125</v>
      </c>
      <c r="F432" s="15" t="n">
        <f aca="false">E432*(1+IF(F$3&lt;=$O$2,$D432,$D432-($D432-$I$427)*MIN(F$3-$O$2,$Q$2)/$Q$2))</f>
        <v>2242.958984375</v>
      </c>
      <c r="G432" s="15" t="n">
        <f aca="false">F432*(1+IF(G$3&lt;=$O$2,$D432,$D432-($D432-$I$427)*MIN(G$3-$O$2,$Q$2)/$Q$2))</f>
        <v>2172.86651611328</v>
      </c>
      <c r="H432" s="15" t="n">
        <f aca="false">G432*(1+IF(H$3&lt;=$O$2,$D432,$D432-($D432-$I$427)*MIN(H$3-$O$2,$Q$2)/$Q$2))</f>
        <v>2104.96443748474</v>
      </c>
      <c r="I432" s="15" t="n">
        <f aca="false">H432*(1+IF(I$3&lt;=$O$2,$D432,$D432-($D432-$I$427)*MIN(I$3-$O$2,$Q$2)/$Q$2))</f>
        <v>2039.18429881334</v>
      </c>
      <c r="J432" s="15" t="n">
        <f aca="false">I432*(1+IF(J$3&lt;=$O$2,$D432,$D432-($D432-$I$427)*MIN(J$3-$O$2,$Q$2)/$Q$2))</f>
        <v>2003.82484307192</v>
      </c>
      <c r="K432" s="15" t="n">
        <f aca="false">J432*(1+IF(K$3&lt;=$O$2,$D432,$D432-($D432-$I$427)*MIN(K$3-$O$2,$Q$2)/$Q$2))</f>
        <v>1996.95172386018</v>
      </c>
      <c r="L432" s="15" t="n">
        <f aca="false">K432*(1+IF(L$3&lt;=$O$2,$D432,$D432-($D432-$I$427)*MIN(L$3-$O$2,$Q$2)/$Q$2))</f>
        <v>2017.87977792624</v>
      </c>
      <c r="M432" s="15" t="n">
        <f aca="false">L432*(1+IF(M$3&lt;=$O$2,$D432,$D432-($D432-$I$427)*MIN(M$3-$O$2,$Q$2)/$Q$2))</f>
        <v>2067.09586570986</v>
      </c>
      <c r="N432" s="15" t="n">
        <f aca="false">M432*(1+IF(N$3&lt;=$O$2,$D432,$D432-($D432-$I$427)*MIN(N$3-$O$2,$Q$2)/$Q$2))</f>
        <v>2146.26563736655</v>
      </c>
      <c r="O432" s="15" t="n">
        <f aca="false">SUMPRODUCT(E432:N432,1/(1+$F$427)^$E$3:$N$3)*$E$2</f>
        <v>6277.08443524857</v>
      </c>
      <c r="P432" s="15" t="n">
        <f aca="false">N432*$E$2*(1+$I$427)/($F$427-$I$427)/(1+$F$427)^$N$3</f>
        <v>7123.4497393109</v>
      </c>
      <c r="Q432" s="15" t="n">
        <f aca="false">O432+P432</f>
        <v>13400.5341745595</v>
      </c>
      <c r="R432" s="15" t="n">
        <f aca="false">Q432-$G$2+$I$2</f>
        <v>8048.97417455947</v>
      </c>
      <c r="S432" s="42" t="n">
        <f aca="false">R432/$K$2</f>
        <v>372.637693266642</v>
      </c>
      <c r="T432" s="43" t="n">
        <f aca="false">S432-$M$2</f>
        <v>-352.362306733358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41" t="n">
        <f aca="false">(B433+C433)/2</f>
        <v>0.015625</v>
      </c>
      <c r="E433" s="15" t="n">
        <f aca="false">$C$2*(1+IF(E$3&lt;=$O$2,$D433,$D433-($D433-$I$427)*MIN(E$3-$O$2,$Q$2)/$Q$2))</f>
        <v>2427.34375</v>
      </c>
      <c r="F433" s="15" t="n">
        <f aca="false">E433*(1+IF(F$3&lt;=$O$2,$D433,$D433-($D433-$I$427)*MIN(F$3-$O$2,$Q$2)/$Q$2))</f>
        <v>2465.27099609375</v>
      </c>
      <c r="G433" s="15" t="n">
        <f aca="false">F433*(1+IF(G$3&lt;=$O$2,$D433,$D433-($D433-$I$427)*MIN(G$3-$O$2,$Q$2)/$Q$2))</f>
        <v>2503.79085540772</v>
      </c>
      <c r="H433" s="15" t="n">
        <f aca="false">G433*(1+IF(H$3&lt;=$O$2,$D433,$D433-($D433-$I$427)*MIN(H$3-$O$2,$Q$2)/$Q$2))</f>
        <v>2542.91258752346</v>
      </c>
      <c r="I433" s="15" t="n">
        <f aca="false">H433*(1+IF(I$3&lt;=$O$2,$D433,$D433-($D433-$I$427)*MIN(I$3-$O$2,$Q$2)/$Q$2))</f>
        <v>2582.64559670351</v>
      </c>
      <c r="J433" s="15" t="n">
        <f aca="false">I433*(1+IF(J$3&lt;=$O$2,$D433,$D433-($D433-$I$427)*MIN(J$3-$O$2,$Q$2)/$Q$2))</f>
        <v>2634.71173193306</v>
      </c>
      <c r="K433" s="15" t="n">
        <f aca="false">J433*(1+IF(K$3&lt;=$O$2,$D433,$D433-($D433-$I$427)*MIN(K$3-$O$2,$Q$2)/$Q$2))</f>
        <v>2699.77593815314</v>
      </c>
      <c r="L433" s="15" t="n">
        <f aca="false">K433*(1+IF(L$3&lt;=$O$2,$D433,$D433-($D433-$I$427)*MIN(L$3-$O$2,$Q$2)/$Q$2))</f>
        <v>2778.69038882536</v>
      </c>
      <c r="M433" s="15" t="n">
        <f aca="false">L433*(1+IF(M$3&lt;=$O$2,$D433,$D433-($D433-$I$427)*MIN(M$3-$O$2,$Q$2)/$Q$2))</f>
        <v>2872.51286980405</v>
      </c>
      <c r="N433" s="15" t="n">
        <f aca="false">M433*(1+IF(N$3&lt;=$O$2,$D433,$D433-($D433-$I$427)*MIN(N$3-$O$2,$Q$2)/$Q$2))</f>
        <v>2982.53011271754</v>
      </c>
      <c r="O433" s="15" t="n">
        <f aca="false">SUMPRODUCT(E433:N433,1/(1+$F$427)^$E$3:$N$3)*$E$2</f>
        <v>7676.09374510192</v>
      </c>
      <c r="P433" s="15" t="n">
        <f aca="false">N433*$E$2*(1+$I$427)/($F$427-$I$427)/(1+$F$427)^$N$3</f>
        <v>9899.0092298143</v>
      </c>
      <c r="Q433" s="15" t="n">
        <f aca="false">O433+P433</f>
        <v>17575.1029749162</v>
      </c>
      <c r="R433" s="15" t="n">
        <f aca="false">Q433-$G$2+$I$2</f>
        <v>12223.5429749162</v>
      </c>
      <c r="S433" s="42" t="n">
        <f aca="false">R433/$K$2</f>
        <v>565.904767357233</v>
      </c>
      <c r="T433" s="43" t="n">
        <f aca="false">S433-$M$2</f>
        <v>-159.095232642767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0.015625</v>
      </c>
      <c r="C434" s="25" t="n">
        <f aca="false">IF(T433&gt;0,D433,C433)</f>
        <v>0.0625</v>
      </c>
      <c r="D434" s="41" t="n">
        <f aca="false">(B434+C434)/2</f>
        <v>0.0390625</v>
      </c>
      <c r="E434" s="15" t="n">
        <f aca="false">$C$2*(1+IF(E$3&lt;=$O$2,$D434,$D434-($D434-$I$427)*MIN(E$3-$O$2,$Q$2)/$Q$2))</f>
        <v>2483.359375</v>
      </c>
      <c r="F434" s="15" t="n">
        <f aca="false">E434*(1+IF(F$3&lt;=$O$2,$D434,$D434-($D434-$I$427)*MIN(F$3-$O$2,$Q$2)/$Q$2))</f>
        <v>2580.36560058594</v>
      </c>
      <c r="G434" s="15" t="n">
        <f aca="false">F434*(1+IF(G$3&lt;=$O$2,$D434,$D434-($D434-$I$427)*MIN(G$3-$O$2,$Q$2)/$Q$2))</f>
        <v>2681.16113185883</v>
      </c>
      <c r="H434" s="15" t="n">
        <f aca="false">G434*(1+IF(H$3&lt;=$O$2,$D434,$D434-($D434-$I$427)*MIN(H$3-$O$2,$Q$2)/$Q$2))</f>
        <v>2785.89398857206</v>
      </c>
      <c r="I434" s="15" t="n">
        <f aca="false">H434*(1+IF(I$3&lt;=$O$2,$D434,$D434-($D434-$I$427)*MIN(I$3-$O$2,$Q$2)/$Q$2))</f>
        <v>2894.71797250066</v>
      </c>
      <c r="J434" s="15" t="n">
        <f aca="false">I434*(1+IF(J$3&lt;=$O$2,$D434,$D434-($D434-$I$427)*MIN(J$3-$O$2,$Q$2)/$Q$2))</f>
        <v>3007.35144881066</v>
      </c>
      <c r="K434" s="15" t="n">
        <f aca="false">J434*(1+IF(K$3&lt;=$O$2,$D434,$D434-($D434-$I$427)*MIN(K$3-$O$2,$Q$2)/$Q$2))</f>
        <v>3123.90887258794</v>
      </c>
      <c r="L434" s="15" t="n">
        <f aca="false">K434*(1+IF(L$3&lt;=$O$2,$D434,$D434-($D434-$I$427)*MIN(L$3-$O$2,$Q$2)/$Q$2))</f>
        <v>3244.50737461419</v>
      </c>
      <c r="M434" s="15" t="n">
        <f aca="false">L434*(1+IF(M$3&lt;=$O$2,$D434,$D434-($D434-$I$427)*MIN(M$3-$O$2,$Q$2)/$Q$2))</f>
        <v>3369.26679443655</v>
      </c>
      <c r="N434" s="15" t="n">
        <f aca="false">M434*(1+IF(N$3&lt;=$O$2,$D434,$D434-($D434-$I$427)*MIN(N$3-$O$2,$Q$2)/$Q$2))</f>
        <v>3498.30971266347</v>
      </c>
      <c r="O434" s="15" t="n">
        <f aca="false">SUMPRODUCT(E434:N434,1/(1+$F$427)^$E$3:$N$3)*$E$2</f>
        <v>8491.75629219308</v>
      </c>
      <c r="P434" s="15" t="n">
        <f aca="false">N434*$E$2*(1+$I$427)/($F$427-$I$427)/(1+$F$427)^$N$3</f>
        <v>11610.8803015074</v>
      </c>
      <c r="Q434" s="15" t="n">
        <f aca="false">O434+P434</f>
        <v>20102.6365937004</v>
      </c>
      <c r="R434" s="15" t="n">
        <f aca="false">Q434-$G$2+$I$2</f>
        <v>14751.0765937004</v>
      </c>
      <c r="S434" s="42" t="n">
        <f aca="false">R434/$K$2</f>
        <v>682.920212671317</v>
      </c>
      <c r="T434" s="43" t="n">
        <f aca="false">S434-$M$2</f>
        <v>-42.0797873286834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0.0390625</v>
      </c>
      <c r="C435" s="25" t="n">
        <f aca="false">IF(T434&gt;0,D434,C434)</f>
        <v>0.0625</v>
      </c>
      <c r="D435" s="41" t="n">
        <f aca="false">(B435+C435)/2</f>
        <v>0.05078125</v>
      </c>
      <c r="E435" s="15" t="n">
        <f aca="false">$C$2*(1+IF(E$3&lt;=$O$2,$D435,$D435-($D435-$I$427)*MIN(E$3-$O$2,$Q$2)/$Q$2))</f>
        <v>2511.3671875</v>
      </c>
      <c r="F435" s="15" t="n">
        <f aca="false">E435*(1+IF(F$3&lt;=$O$2,$D435,$D435-($D435-$I$427)*MIN(F$3-$O$2,$Q$2)/$Q$2))</f>
        <v>2638.89755249023</v>
      </c>
      <c r="G435" s="15" t="n">
        <f aca="false">F435*(1+IF(G$3&lt;=$O$2,$D435,$D435-($D435-$I$427)*MIN(G$3-$O$2,$Q$2)/$Q$2))</f>
        <v>2772.90406882763</v>
      </c>
      <c r="H435" s="15" t="n">
        <f aca="false">G435*(1+IF(H$3&lt;=$O$2,$D435,$D435-($D435-$I$427)*MIN(H$3-$O$2,$Q$2)/$Q$2))</f>
        <v>2913.71560357278</v>
      </c>
      <c r="I435" s="15" t="n">
        <f aca="false">H435*(1+IF(I$3&lt;=$O$2,$D435,$D435-($D435-$I$427)*MIN(I$3-$O$2,$Q$2)/$Q$2))</f>
        <v>3061.67772406671</v>
      </c>
      <c r="J435" s="15" t="n">
        <f aca="false">I435*(1+IF(J$3&lt;=$O$2,$D435,$D435-($D435-$I$427)*MIN(J$3-$O$2,$Q$2)/$Q$2))</f>
        <v>3209.51083297327</v>
      </c>
      <c r="K435" s="15" t="n">
        <f aca="false">J435*(1+IF(K$3&lt;=$O$2,$D435,$D435-($D435-$I$427)*MIN(K$3-$O$2,$Q$2)/$Q$2))</f>
        <v>3356.47032212658</v>
      </c>
      <c r="L435" s="15" t="n">
        <f aca="false">K435*(1+IF(L$3&lt;=$O$2,$D435,$D435-($D435-$I$427)*MIN(L$3-$O$2,$Q$2)/$Q$2))</f>
        <v>3501.78031354724</v>
      </c>
      <c r="M435" s="15" t="n">
        <f aca="false">L435*(1+IF(M$3&lt;=$O$2,$D435,$D435-($D435-$I$427)*MIN(M$3-$O$2,$Q$2)/$Q$2))</f>
        <v>3644.6398186638</v>
      </c>
      <c r="N435" s="15" t="n">
        <f aca="false">M435*(1+IF(N$3&lt;=$O$2,$D435,$D435-($D435-$I$427)*MIN(N$3-$O$2,$Q$2)/$Q$2))</f>
        <v>3784.22952371862</v>
      </c>
      <c r="O435" s="15" t="n">
        <f aca="false">SUMPRODUCT(E435:N435,1/(1+$F$427)^$E$3:$N$3)*$E$2</f>
        <v>8932.07985126822</v>
      </c>
      <c r="P435" s="15" t="n">
        <f aca="false">N435*$E$2*(1+$I$427)/($F$427-$I$427)/(1+$F$427)^$N$3</f>
        <v>12559.8473669372</v>
      </c>
      <c r="Q435" s="15" t="n">
        <f aca="false">O435+P435</f>
        <v>21491.9272182054</v>
      </c>
      <c r="R435" s="15" t="n">
        <f aca="false">Q435-$G$2+$I$2</f>
        <v>16140.3672182054</v>
      </c>
      <c r="S435" s="42" t="n">
        <f aca="false">R435/$K$2</f>
        <v>747.239223065066</v>
      </c>
      <c r="T435" s="43" t="n">
        <f aca="false">S435-$M$2</f>
        <v>22.239223065066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0.0390625</v>
      </c>
      <c r="C436" s="25" t="n">
        <f aca="false">IF(T435&gt;0,D435,C435)</f>
        <v>0.05078125</v>
      </c>
      <c r="D436" s="41" t="n">
        <f aca="false">(B436+C436)/2</f>
        <v>0.044921875</v>
      </c>
      <c r="E436" s="15" t="n">
        <f aca="false">$C$2*(1+IF(E$3&lt;=$O$2,$D436,$D436-($D436-$I$427)*MIN(E$3-$O$2,$Q$2)/$Q$2))</f>
        <v>2497.36328125</v>
      </c>
      <c r="F436" s="15" t="n">
        <f aca="false">E436*(1+IF(F$3&lt;=$O$2,$D436,$D436-($D436-$I$427)*MIN(F$3-$O$2,$Q$2)/$Q$2))</f>
        <v>2609.5495223999</v>
      </c>
      <c r="G436" s="15" t="n">
        <f aca="false">F436*(1+IF(G$3&lt;=$O$2,$D436,$D436-($D436-$I$427)*MIN(G$3-$O$2,$Q$2)/$Q$2))</f>
        <v>2726.77537985146</v>
      </c>
      <c r="H436" s="15" t="n">
        <f aca="false">G436*(1+IF(H$3&lt;=$O$2,$D436,$D436-($D436-$I$427)*MIN(H$3-$O$2,$Q$2)/$Q$2))</f>
        <v>2849.26724261823</v>
      </c>
      <c r="I436" s="15" t="n">
        <f aca="false">H436*(1+IF(I$3&lt;=$O$2,$D436,$D436-($D436-$I$427)*MIN(I$3-$O$2,$Q$2)/$Q$2))</f>
        <v>2977.26166953272</v>
      </c>
      <c r="J436" s="15" t="n">
        <f aca="false">I436*(1+IF(J$3&lt;=$O$2,$D436,$D436-($D436-$I$427)*MIN(J$3-$O$2,$Q$2)/$Q$2))</f>
        <v>3107.06283517017</v>
      </c>
      <c r="K436" s="15" t="n">
        <f aca="false">J436*(1+IF(K$3&lt;=$O$2,$D436,$D436-($D436-$I$427)*MIN(K$3-$O$2,$Q$2)/$Q$2))</f>
        <v>3238.40809078417</v>
      </c>
      <c r="L436" s="15" t="n">
        <f aca="false">K436*(1+IF(L$3&lt;=$O$2,$D436,$D436-($D436-$I$427)*MIN(L$3-$O$2,$Q$2)/$Q$2))</f>
        <v>3371.01685409167</v>
      </c>
      <c r="M436" s="15" t="n">
        <f aca="false">L436*(1+IF(M$3&lt;=$O$2,$D436,$D436-($D436-$I$427)*MIN(M$3-$O$2,$Q$2)/$Q$2))</f>
        <v>3504.59129004952</v>
      </c>
      <c r="N436" s="15" t="n">
        <f aca="false">M436*(1+IF(N$3&lt;=$O$2,$D436,$D436-($D436-$I$427)*MIN(N$3-$O$2,$Q$2)/$Q$2))</f>
        <v>3638.81713645842</v>
      </c>
      <c r="O436" s="15" t="n">
        <f aca="false">SUMPRODUCT(E436:N436,1/(1+$F$427)^$E$3:$N$3)*$E$2</f>
        <v>8709.10040294996</v>
      </c>
      <c r="P436" s="15" t="n">
        <f aca="false">N436*$E$2*(1+$I$427)/($F$427-$I$427)/(1+$F$427)^$N$3</f>
        <v>12077.2240541062</v>
      </c>
      <c r="Q436" s="15" t="n">
        <f aca="false">O436+P436</f>
        <v>20786.3244570561</v>
      </c>
      <c r="R436" s="15" t="n">
        <f aca="false">Q436-$G$2+$I$2</f>
        <v>15434.7644570561</v>
      </c>
      <c r="S436" s="42" t="n">
        <f aca="false">R436/$K$2</f>
        <v>714.572428567413</v>
      </c>
      <c r="T436" s="43" t="n">
        <f aca="false">S436-$M$2</f>
        <v>-10.4275714325873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0.044921875</v>
      </c>
      <c r="C437" s="25" t="n">
        <f aca="false">IF(T436&gt;0,D436,C436)</f>
        <v>0.05078125</v>
      </c>
      <c r="D437" s="41" t="n">
        <f aca="false">(B437+C437)/2</f>
        <v>0.0478515625</v>
      </c>
      <c r="E437" s="15" t="n">
        <f aca="false">$C$2*(1+IF(E$3&lt;=$O$2,$D437,$D437-($D437-$I$427)*MIN(E$3-$O$2,$Q$2)/$Q$2))</f>
        <v>2504.365234375</v>
      </c>
      <c r="F437" s="15" t="n">
        <f aca="false">E437*(1+IF(F$3&lt;=$O$2,$D437,$D437-($D437-$I$427)*MIN(F$3-$O$2,$Q$2)/$Q$2))</f>
        <v>2624.20302391052</v>
      </c>
      <c r="G437" s="15" t="n">
        <f aca="false">F437*(1+IF(G$3&lt;=$O$2,$D437,$D437-($D437-$I$427)*MIN(G$3-$O$2,$Q$2)/$Q$2))</f>
        <v>2749.77523892187</v>
      </c>
      <c r="H437" s="15" t="n">
        <f aca="false">G437*(1+IF(H$3&lt;=$O$2,$D437,$D437-($D437-$I$427)*MIN(H$3-$O$2,$Q$2)/$Q$2))</f>
        <v>2881.35628062809</v>
      </c>
      <c r="I437" s="15" t="n">
        <f aca="false">H437*(1+IF(I$3&lt;=$O$2,$D437,$D437-($D437-$I$427)*MIN(I$3-$O$2,$Q$2)/$Q$2))</f>
        <v>3019.23368077533</v>
      </c>
      <c r="J437" s="15" t="n">
        <f aca="false">I437*(1+IF(J$3&lt;=$O$2,$D437,$D437-($D437-$I$427)*MIN(J$3-$O$2,$Q$2)/$Q$2))</f>
        <v>3157.94105011225</v>
      </c>
      <c r="K437" s="15" t="n">
        <f aca="false">J437*(1+IF(K$3&lt;=$O$2,$D437,$D437-($D437-$I$427)*MIN(K$3-$O$2,$Q$2)/$Q$2))</f>
        <v>3296.98815511843</v>
      </c>
      <c r="L437" s="15" t="n">
        <f aca="false">K437*(1+IF(L$3&lt;=$O$2,$D437,$D437-($D437-$I$427)*MIN(L$3-$O$2,$Q$2)/$Q$2))</f>
        <v>3435.85935682961</v>
      </c>
      <c r="M437" s="15" t="n">
        <f aca="false">L437*(1+IF(M$3&lt;=$O$2,$D437,$D437-($D437-$I$427)*MIN(M$3-$O$2,$Q$2)/$Q$2))</f>
        <v>3574.01633527378</v>
      </c>
      <c r="N437" s="15" t="n">
        <f aca="false">M437*(1+IF(N$3&lt;=$O$2,$D437,$D437-($D437-$I$427)*MIN(N$3-$O$2,$Q$2)/$Q$2))</f>
        <v>3710.90116091477</v>
      </c>
      <c r="O437" s="15" t="n">
        <f aca="false">SUMPRODUCT(E437:N437,1/(1+$F$427)^$E$3:$N$3)*$E$2</f>
        <v>8819.87722164356</v>
      </c>
      <c r="P437" s="15" t="n">
        <f aca="false">N437*$E$2*(1+$I$427)/($F$427-$I$427)/(1+$F$427)^$N$3</f>
        <v>12316.4707327475</v>
      </c>
      <c r="Q437" s="15" t="n">
        <f aca="false">O437+P437</f>
        <v>21136.3479543911</v>
      </c>
      <c r="R437" s="15" t="n">
        <f aca="false">Q437-$G$2+$I$2</f>
        <v>15784.7879543911</v>
      </c>
      <c r="S437" s="42" t="n">
        <f aca="false">R437/$K$2</f>
        <v>730.777220110699</v>
      </c>
      <c r="T437" s="43" t="n">
        <f aca="false">S437-$M$2</f>
        <v>5.77722011069909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0.044921875</v>
      </c>
      <c r="C438" s="25" t="n">
        <f aca="false">IF(T437&gt;0,D437,C437)</f>
        <v>0.0478515625</v>
      </c>
      <c r="D438" s="41" t="n">
        <f aca="false">(B438+C438)/2</f>
        <v>0.04638671875</v>
      </c>
      <c r="E438" s="15" t="n">
        <f aca="false">$C$2*(1+IF(E$3&lt;=$O$2,$D438,$D438-($D438-$I$427)*MIN(E$3-$O$2,$Q$2)/$Q$2))</f>
        <v>2500.8642578125</v>
      </c>
      <c r="F438" s="15" t="n">
        <f aca="false">E438*(1+IF(F$3&lt;=$O$2,$D438,$D438-($D438-$I$427)*MIN(F$3-$O$2,$Q$2)/$Q$2))</f>
        <v>2616.87114477158</v>
      </c>
      <c r="G438" s="15" t="n">
        <f aca="false">F438*(1+IF(G$3&lt;=$O$2,$D438,$D438-($D438-$I$427)*MIN(G$3-$O$2,$Q$2)/$Q$2))</f>
        <v>2738.25921056909</v>
      </c>
      <c r="H438" s="15" t="n">
        <f aca="false">G438*(1+IF(H$3&lt;=$O$2,$D438,$D438-($D438-$I$427)*MIN(H$3-$O$2,$Q$2)/$Q$2))</f>
        <v>2865.27807043435</v>
      </c>
      <c r="I438" s="15" t="n">
        <f aca="false">H438*(1+IF(I$3&lt;=$O$2,$D438,$D438-($D438-$I$427)*MIN(I$3-$O$2,$Q$2)/$Q$2))</f>
        <v>2998.18891842813</v>
      </c>
      <c r="J438" s="15" t="n">
        <f aca="false">I438*(1+IF(J$3&lt;=$O$2,$D438,$D438-($D438-$I$427)*MIN(J$3-$O$2,$Q$2)/$Q$2))</f>
        <v>3132.41596243809</v>
      </c>
      <c r="K438" s="15" t="n">
        <f aca="false">J438*(1+IF(K$3&lt;=$O$2,$D438,$D438-($D438-$I$427)*MIN(K$3-$O$2,$Q$2)/$Q$2))</f>
        <v>3267.58607393721</v>
      </c>
      <c r="L438" s="15" t="n">
        <f aca="false">K438*(1+IF(L$3&lt;=$O$2,$D438,$D438-($D438-$I$427)*MIN(L$3-$O$2,$Q$2)/$Q$2))</f>
        <v>3403.30424039755</v>
      </c>
      <c r="M438" s="15" t="n">
        <f aca="false">L438*(1+IF(M$3&lt;=$O$2,$D438,$D438-($D438-$I$427)*MIN(M$3-$O$2,$Q$2)/$Q$2))</f>
        <v>3539.15510564733</v>
      </c>
      <c r="N438" s="15" t="n">
        <f aca="false">M438*(1+IF(N$3&lt;=$O$2,$D438,$D438-($D438-$I$427)*MIN(N$3-$O$2,$Q$2)/$Q$2))</f>
        <v>3674.70474619362</v>
      </c>
      <c r="O438" s="15" t="n">
        <f aca="false">SUMPRODUCT(E438:N438,1/(1+$F$427)^$E$3:$N$3)*$E$2</f>
        <v>8764.31165390376</v>
      </c>
      <c r="P438" s="15" t="n">
        <f aca="false">N438*$E$2*(1+$I$427)/($F$427-$I$427)/(1+$F$427)^$N$3</f>
        <v>12196.3349319779</v>
      </c>
      <c r="Q438" s="15" t="n">
        <f aca="false">O438+P438</f>
        <v>20960.6465858817</v>
      </c>
      <c r="R438" s="15" t="n">
        <f aca="false">Q438-$G$2+$I$2</f>
        <v>15609.0865858817</v>
      </c>
      <c r="S438" s="42" t="n">
        <f aca="false">R438/$K$2</f>
        <v>722.642897494523</v>
      </c>
      <c r="T438" s="43" t="n">
        <f aca="false">S438-$M$2</f>
        <v>-2.35710250547743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0.04638671875</v>
      </c>
      <c r="C439" s="25" t="n">
        <f aca="false">IF(T438&gt;0,D438,C438)</f>
        <v>0.0478515625</v>
      </c>
      <c r="D439" s="41" t="n">
        <f aca="false">(B439+C439)/2</f>
        <v>0.047119140625</v>
      </c>
      <c r="E439" s="15" t="n">
        <f aca="false">$C$2*(1+IF(E$3&lt;=$O$2,$D439,$D439-($D439-$I$427)*MIN(E$3-$O$2,$Q$2)/$Q$2))</f>
        <v>2502.61474609375</v>
      </c>
      <c r="F439" s="15" t="n">
        <f aca="false">E439*(1+IF(F$3&lt;=$O$2,$D439,$D439-($D439-$I$427)*MIN(F$3-$O$2,$Q$2)/$Q$2))</f>
        <v>2620.53580224514</v>
      </c>
      <c r="G439" s="15" t="n">
        <f aca="false">F439*(1+IF(G$3&lt;=$O$2,$D439,$D439-($D439-$I$427)*MIN(G$3-$O$2,$Q$2)/$Q$2))</f>
        <v>2744.01319722398</v>
      </c>
      <c r="H439" s="15" t="n">
        <f aca="false">G439*(1+IF(H$3&lt;=$O$2,$D439,$D439-($D439-$I$427)*MIN(H$3-$O$2,$Q$2)/$Q$2))</f>
        <v>2873.30874094083</v>
      </c>
      <c r="I439" s="15" t="n">
        <f aca="false">H439*(1+IF(I$3&lt;=$O$2,$D439,$D439-($D439-$I$427)*MIN(I$3-$O$2,$Q$2)/$Q$2))</f>
        <v>3008.69657956426</v>
      </c>
      <c r="J439" s="15" t="n">
        <f aca="false">I439*(1+IF(J$3&lt;=$O$2,$D439,$D439-($D439-$I$427)*MIN(J$3-$O$2,$Q$2)/$Q$2))</f>
        <v>3145.15695314808</v>
      </c>
      <c r="K439" s="15" t="n">
        <f aca="false">J439*(1+IF(K$3&lt;=$O$2,$D439,$D439-($D439-$I$427)*MIN(K$3-$O$2,$Q$2)/$Q$2))</f>
        <v>3282.25901332816</v>
      </c>
      <c r="L439" s="15" t="n">
        <f aca="false">K439*(1+IF(L$3&lt;=$O$2,$D439,$D439-($D439-$I$427)*MIN(L$3-$O$2,$Q$2)/$Q$2))</f>
        <v>3419.54821506111</v>
      </c>
      <c r="M439" s="15" t="n">
        <f aca="false">L439*(1+IF(M$3&lt;=$O$2,$D439,$D439-($D439-$I$427)*MIN(M$3-$O$2,$Q$2)/$Q$2))</f>
        <v>3556.54840701447</v>
      </c>
      <c r="N439" s="15" t="n">
        <f aca="false">M439*(1+IF(N$3&lt;=$O$2,$D439,$D439-($D439-$I$427)*MIN(N$3-$O$2,$Q$2)/$Q$2))</f>
        <v>3692.76421100312</v>
      </c>
      <c r="O439" s="15" t="n">
        <f aca="false">SUMPRODUCT(E439:N439,1/(1+$F$427)^$E$3:$N$3)*$E$2</f>
        <v>8792.05001511452</v>
      </c>
      <c r="P439" s="15" t="n">
        <f aca="false">N439*$E$2*(1+$I$427)/($F$427-$I$427)/(1+$F$427)^$N$3</f>
        <v>12256.2742459424</v>
      </c>
      <c r="Q439" s="15" t="n">
        <f aca="false">O439+P439</f>
        <v>21048.324261057</v>
      </c>
      <c r="R439" s="15" t="n">
        <f aca="false">Q439-$G$2+$I$2</f>
        <v>15696.764261057</v>
      </c>
      <c r="S439" s="42" t="n">
        <f aca="false">R439/$K$2</f>
        <v>726.702049123008</v>
      </c>
      <c r="T439" s="43" t="n">
        <f aca="false">S439-$M$2</f>
        <v>1.70204912300767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0.04638671875</v>
      </c>
      <c r="C440" s="25" t="n">
        <f aca="false">IF(T439&gt;0,D439,C439)</f>
        <v>0.047119140625</v>
      </c>
      <c r="D440" s="41" t="n">
        <f aca="false">(B440+C440)/2</f>
        <v>0.0467529296875</v>
      </c>
      <c r="E440" s="15" t="n">
        <f aca="false">$C$2*(1+IF(E$3&lt;=$O$2,$D440,$D440-($D440-$I$427)*MIN(E$3-$O$2,$Q$2)/$Q$2))</f>
        <v>2501.73950195313</v>
      </c>
      <c r="F440" s="15" t="n">
        <f aca="false">E440*(1+IF(F$3&lt;=$O$2,$D440,$D440-($D440-$I$427)*MIN(F$3-$O$2,$Q$2)/$Q$2))</f>
        <v>2618.70315298438</v>
      </c>
      <c r="G440" s="15" t="n">
        <f aca="false">F440*(1+IF(G$3&lt;=$O$2,$D440,$D440-($D440-$I$427)*MIN(G$3-$O$2,$Q$2)/$Q$2))</f>
        <v>2741.13519736829</v>
      </c>
      <c r="H440" s="15" t="n">
        <f aca="false">G440*(1+IF(H$3&lt;=$O$2,$D440,$D440-($D440-$I$427)*MIN(H$3-$O$2,$Q$2)/$Q$2))</f>
        <v>2869.29129851479</v>
      </c>
      <c r="I440" s="15" t="n">
        <f aca="false">H440*(1+IF(I$3&lt;=$O$2,$D440,$D440-($D440-$I$427)*MIN(I$3-$O$2,$Q$2)/$Q$2))</f>
        <v>3003.4390728472</v>
      </c>
      <c r="J440" s="15" t="n">
        <f aca="false">I440*(1+IF(J$3&lt;=$O$2,$D440,$D440-($D440-$I$427)*MIN(J$3-$O$2,$Q$2)/$Q$2))</f>
        <v>3138.78107678002</v>
      </c>
      <c r="K440" s="15" t="n">
        <f aca="false">J440*(1+IF(K$3&lt;=$O$2,$D440,$D440-($D440-$I$427)*MIN(K$3-$O$2,$Q$2)/$Q$2))</f>
        <v>3274.91552946859</v>
      </c>
      <c r="L440" s="15" t="n">
        <f aca="false">K440*(1+IF(L$3&lt;=$O$2,$D440,$D440-($D440-$I$427)*MIN(L$3-$O$2,$Q$2)/$Q$2))</f>
        <v>3411.41784652847</v>
      </c>
      <c r="M440" s="15" t="n">
        <f aca="false">L440*(1+IF(M$3&lt;=$O$2,$D440,$D440-($D440-$I$427)*MIN(M$3-$O$2,$Q$2)/$Q$2))</f>
        <v>3547.84244508879</v>
      </c>
      <c r="N440" s="15" t="n">
        <f aca="false">M440*(1+IF(N$3&lt;=$O$2,$D440,$D440-($D440-$I$427)*MIN(N$3-$O$2,$Q$2)/$Q$2))</f>
        <v>3683.72481073569</v>
      </c>
      <c r="O440" s="15" t="n">
        <f aca="false">SUMPRODUCT(E440:N440,1/(1+$F$427)^$E$3:$N$3)*$E$2</f>
        <v>8778.16974550414</v>
      </c>
      <c r="P440" s="15" t="n">
        <f aca="false">N440*$E$2*(1+$I$427)/($F$427-$I$427)/(1+$F$427)^$N$3</f>
        <v>12226.2725013506</v>
      </c>
      <c r="Q440" s="15" t="n">
        <f aca="false">O440+P440</f>
        <v>21004.4422468547</v>
      </c>
      <c r="R440" s="15" t="n">
        <f aca="false">Q440-$G$2+$I$2</f>
        <v>15652.8822468547</v>
      </c>
      <c r="S440" s="42" t="n">
        <f aca="false">R440/$K$2</f>
        <v>724.670474391422</v>
      </c>
      <c r="T440" s="43" t="n">
        <f aca="false">S440-$M$2</f>
        <v>-0.329525608578138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0.0467529296875</v>
      </c>
      <c r="C441" s="25" t="n">
        <f aca="false">IF(T440&gt;0,D440,C440)</f>
        <v>0.047119140625</v>
      </c>
      <c r="D441" s="41" t="n">
        <f aca="false">(B441+C441)/2</f>
        <v>0.04693603515625</v>
      </c>
      <c r="E441" s="15" t="n">
        <f aca="false">$C$2*(1+IF(E$3&lt;=$O$2,$D441,$D441-($D441-$I$427)*MIN(E$3-$O$2,$Q$2)/$Q$2))</f>
        <v>2502.17712402344</v>
      </c>
      <c r="F441" s="15" t="n">
        <f aca="false">E441*(1+IF(F$3&lt;=$O$2,$D441,$D441-($D441-$I$427)*MIN(F$3-$O$2,$Q$2)/$Q$2))</f>
        <v>2619.61939748377</v>
      </c>
      <c r="G441" s="15" t="n">
        <f aca="false">F441*(1+IF(G$3&lt;=$O$2,$D441,$D441-($D441-$I$427)*MIN(G$3-$O$2,$Q$2)/$Q$2))</f>
        <v>2742.57394562006</v>
      </c>
      <c r="H441" s="15" t="n">
        <f aca="false">G441*(1+IF(H$3&lt;=$O$2,$D441,$D441-($D441-$I$427)*MIN(H$3-$O$2,$Q$2)/$Q$2))</f>
        <v>2871.2994927503</v>
      </c>
      <c r="I441" s="15" t="n">
        <f aca="false">H441*(1+IF(I$3&lt;=$O$2,$D441,$D441-($D441-$I$427)*MIN(I$3-$O$2,$Q$2)/$Q$2))</f>
        <v>3006.06690668615</v>
      </c>
      <c r="J441" s="15" t="n">
        <f aca="false">I441*(1+IF(J$3&lt;=$O$2,$D441,$D441-($D441-$I$427)*MIN(J$3-$O$2,$Q$2)/$Q$2))</f>
        <v>3141.96766880277</v>
      </c>
      <c r="K441" s="15" t="n">
        <f aca="false">J441*(1+IF(K$3&lt;=$O$2,$D441,$D441-($D441-$I$427)*MIN(K$3-$O$2,$Q$2)/$Q$2))</f>
        <v>3278.58551646647</v>
      </c>
      <c r="L441" s="15" t="n">
        <f aca="false">K441*(1+IF(L$3&lt;=$O$2,$D441,$D441-($D441-$I$427)*MIN(L$3-$O$2,$Q$2)/$Q$2))</f>
        <v>3415.48093366032</v>
      </c>
      <c r="M441" s="15" t="n">
        <f aca="false">L441*(1+IF(M$3&lt;=$O$2,$D441,$D441-($D441-$I$427)*MIN(M$3-$O$2,$Q$2)/$Q$2))</f>
        <v>3552.19309610323</v>
      </c>
      <c r="N441" s="15" t="n">
        <f aca="false">M441*(1+IF(N$3&lt;=$O$2,$D441,$D441-($D441-$I$427)*MIN(N$3-$O$2,$Q$2)/$Q$2))</f>
        <v>3688.24209168399</v>
      </c>
      <c r="O441" s="15" t="n">
        <f aca="false">SUMPRODUCT(E441:N441,1/(1+$F$427)^$E$3:$N$3)*$E$2</f>
        <v>8785.10710597731</v>
      </c>
      <c r="P441" s="15" t="n">
        <f aca="false">N441*$E$2*(1+$I$427)/($F$427-$I$427)/(1+$F$427)^$N$3</f>
        <v>12241.2653443768</v>
      </c>
      <c r="Q441" s="15" t="n">
        <f aca="false">O441+P441</f>
        <v>21026.3724503541</v>
      </c>
      <c r="R441" s="15" t="n">
        <f aca="false">Q441-$G$2+$I$2</f>
        <v>15674.8124503541</v>
      </c>
      <c r="S441" s="42" t="n">
        <f aca="false">R441/$K$2</f>
        <v>725.685761590466</v>
      </c>
      <c r="T441" s="43" t="n">
        <f aca="false">S441-$M$2</f>
        <v>0.685761590465745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0.0467529296875</v>
      </c>
      <c r="C442" s="25" t="n">
        <f aca="false">IF(T441&gt;0,D441,C441)</f>
        <v>0.04693603515625</v>
      </c>
      <c r="D442" s="41" t="n">
        <f aca="false">(B442+C442)/2</f>
        <v>0.046844482421875</v>
      </c>
      <c r="E442" s="15" t="n">
        <f aca="false">$C$2*(1+IF(E$3&lt;=$O$2,$D442,$D442-($D442-$I$427)*MIN(E$3-$O$2,$Q$2)/$Q$2))</f>
        <v>2501.95831298828</v>
      </c>
      <c r="F442" s="15" t="n">
        <f aca="false">E442*(1+IF(F$3&lt;=$O$2,$D442,$D442-($D442-$I$427)*MIN(F$3-$O$2,$Q$2)/$Q$2))</f>
        <v>2619.16125520133</v>
      </c>
      <c r="G442" s="15" t="n">
        <f aca="false">F442*(1+IF(G$3&lt;=$O$2,$D442,$D442-($D442-$I$427)*MIN(G$3-$O$2,$Q$2)/$Q$2))</f>
        <v>2741.85450858066</v>
      </c>
      <c r="H442" s="15" t="n">
        <f aca="false">G442*(1+IF(H$3&lt;=$O$2,$D442,$D442-($D442-$I$427)*MIN(H$3-$O$2,$Q$2)/$Q$2))</f>
        <v>2870.29526391121</v>
      </c>
      <c r="I442" s="15" t="n">
        <f aca="false">H442*(1+IF(I$3&lt;=$O$2,$D442,$D442-($D442-$I$427)*MIN(I$3-$O$2,$Q$2)/$Q$2))</f>
        <v>3004.75275994708</v>
      </c>
      <c r="J442" s="15" t="n">
        <f aca="false">I442*(1+IF(J$3&lt;=$O$2,$D442,$D442-($D442-$I$427)*MIN(J$3-$O$2,$Q$2)/$Q$2))</f>
        <v>3140.37403636462</v>
      </c>
      <c r="K442" s="15" t="n">
        <f aca="false">J442*(1+IF(K$3&lt;=$O$2,$D442,$D442-($D442-$I$427)*MIN(K$3-$O$2,$Q$2)/$Q$2))</f>
        <v>3276.75008440848</v>
      </c>
      <c r="L442" s="15" t="n">
        <f aca="false">K442*(1+IF(L$3&lt;=$O$2,$D442,$D442-($D442-$I$427)*MIN(L$3-$O$2,$Q$2)/$Q$2))</f>
        <v>3413.44886604017</v>
      </c>
      <c r="M442" s="15" t="n">
        <f aca="false">L442*(1+IF(M$3&lt;=$O$2,$D442,$D442-($D442-$I$427)*MIN(M$3-$O$2,$Q$2)/$Q$2))</f>
        <v>3550.01718837627</v>
      </c>
      <c r="N442" s="15" t="n">
        <f aca="false">M442*(1+IF(N$3&lt;=$O$2,$D442,$D442-($D442-$I$427)*MIN(N$3-$O$2,$Q$2)/$Q$2))</f>
        <v>3685.98284669109</v>
      </c>
      <c r="O442" s="15" t="n">
        <f aca="false">SUMPRODUCT(E442:N442,1/(1+$F$427)^$E$3:$N$3)*$E$2</f>
        <v>8781.63773241792</v>
      </c>
      <c r="P442" s="15" t="n">
        <f aca="false">N442*$E$2*(1+$I$427)/($F$427-$I$427)/(1+$F$427)^$N$3</f>
        <v>12233.7669164676</v>
      </c>
      <c r="Q442" s="15" t="n">
        <f aca="false">O442+P442</f>
        <v>21015.4046488855</v>
      </c>
      <c r="R442" s="15" t="n">
        <f aca="false">Q442-$G$2+$I$2</f>
        <v>15663.8446488855</v>
      </c>
      <c r="S442" s="42" t="n">
        <f aca="false">R442/$K$2</f>
        <v>725.177993003959</v>
      </c>
      <c r="T442" s="43" t="n">
        <f aca="false">S442-$M$2</f>
        <v>0.177993003958704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0.0467529296875</v>
      </c>
      <c r="C443" s="25" t="n">
        <f aca="false">IF(T442&gt;0,D442,C442)</f>
        <v>0.046844482421875</v>
      </c>
      <c r="D443" s="41" t="n">
        <f aca="false">(B443+C443)/2</f>
        <v>0.0467987060546875</v>
      </c>
      <c r="E443" s="15" t="n">
        <f aca="false">$C$2*(1+IF(E$3&lt;=$O$2,$D443,$D443-($D443-$I$427)*MIN(E$3-$O$2,$Q$2)/$Q$2))</f>
        <v>2501.8489074707</v>
      </c>
      <c r="F443" s="15" t="n">
        <f aca="false">E443*(1+IF(F$3&lt;=$O$2,$D443,$D443-($D443-$I$427)*MIN(F$3-$O$2,$Q$2)/$Q$2))</f>
        <v>2618.93219908467</v>
      </c>
      <c r="G443" s="15" t="n">
        <f aca="false">F443*(1+IF(G$3&lt;=$O$2,$D443,$D443-($D443-$I$427)*MIN(G$3-$O$2,$Q$2)/$Q$2))</f>
        <v>2741.49483724679</v>
      </c>
      <c r="H443" s="15" t="n">
        <f aca="false">G443*(1+IF(H$3&lt;=$O$2,$D443,$D443-($D443-$I$427)*MIN(H$3-$O$2,$Q$2)/$Q$2))</f>
        <v>2869.79324828554</v>
      </c>
      <c r="I443" s="15" t="n">
        <f aca="false">H443*(1+IF(I$3&lt;=$O$2,$D443,$D443-($D443-$I$427)*MIN(I$3-$O$2,$Q$2)/$Q$2))</f>
        <v>3004.09585894978</v>
      </c>
      <c r="J443" s="15" t="n">
        <f aca="false">I443*(1+IF(J$3&lt;=$O$2,$D443,$D443-($D443-$I$427)*MIN(J$3-$O$2,$Q$2)/$Q$2))</f>
        <v>3139.57747247981</v>
      </c>
      <c r="K443" s="15" t="n">
        <f aca="false">J443*(1+IF(K$3&lt;=$O$2,$D443,$D443-($D443-$I$427)*MIN(K$3-$O$2,$Q$2)/$Q$2))</f>
        <v>3275.83269732051</v>
      </c>
      <c r="L443" s="15" t="n">
        <f aca="false">K443*(1+IF(L$3&lt;=$O$2,$D443,$D443-($D443-$I$427)*MIN(L$3-$O$2,$Q$2)/$Q$2))</f>
        <v>3412.43322529943</v>
      </c>
      <c r="M443" s="15" t="n">
        <f aca="false">L443*(1+IF(M$3&lt;=$O$2,$D443,$D443-($D443-$I$427)*MIN(M$3-$O$2,$Q$2)/$Q$2))</f>
        <v>3548.92967121101</v>
      </c>
      <c r="N443" s="15" t="n">
        <f aca="false">M443*(1+IF(N$3&lt;=$O$2,$D443,$D443-($D443-$I$427)*MIN(N$3-$O$2,$Q$2)/$Q$2))</f>
        <v>3684.85367761839</v>
      </c>
      <c r="O443" s="15" t="n">
        <f aca="false">SUMPRODUCT(E443:N443,1/(1+$F$427)^$E$3:$N$3)*$E$2</f>
        <v>8779.90356566284</v>
      </c>
      <c r="P443" s="15" t="n">
        <f aca="false">N443*$E$2*(1+$I$427)/($F$427-$I$427)/(1+$F$427)^$N$3</f>
        <v>12230.0192074252</v>
      </c>
      <c r="Q443" s="15" t="n">
        <f aca="false">O443+P443</f>
        <v>21009.922773088</v>
      </c>
      <c r="R443" s="15" t="n">
        <f aca="false">Q443-$G$2+$I$2</f>
        <v>15658.362773088</v>
      </c>
      <c r="S443" s="42" t="n">
        <f aca="false">R443/$K$2</f>
        <v>724.92420245778</v>
      </c>
      <c r="T443" s="43" t="n">
        <f aca="false">S443-$M$2</f>
        <v>-0.0757975422204709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0.0467987060546875</v>
      </c>
      <c r="C444" s="25" t="n">
        <f aca="false">IF(T443&gt;0,D443,C443)</f>
        <v>0.046844482421875</v>
      </c>
      <c r="D444" s="41" t="n">
        <f aca="false">(B444+C444)/2</f>
        <v>0.0468215942382813</v>
      </c>
      <c r="E444" s="15" t="n">
        <f aca="false">$C$2*(1+IF(E$3&lt;=$O$2,$D444,$D444-($D444-$I$427)*MIN(E$3-$O$2,$Q$2)/$Q$2))</f>
        <v>2501.90361022949</v>
      </c>
      <c r="F444" s="15" t="n">
        <f aca="false">E444*(1+IF(F$3&lt;=$O$2,$D444,$D444-($D444-$I$427)*MIN(F$3-$O$2,$Q$2)/$Q$2))</f>
        <v>2619.04672589095</v>
      </c>
      <c r="G444" s="15" t="n">
        <f aca="false">F444*(1+IF(G$3&lt;=$O$2,$D444,$D444-($D444-$I$427)*MIN(G$3-$O$2,$Q$2)/$Q$2))</f>
        <v>2741.67466898171</v>
      </c>
      <c r="H444" s="15" t="n">
        <f aca="false">G444*(1+IF(H$3&lt;=$O$2,$D444,$D444-($D444-$I$427)*MIN(H$3-$O$2,$Q$2)/$Q$2))</f>
        <v>2870.04424786615</v>
      </c>
      <c r="I444" s="15" t="n">
        <f aca="false">H444*(1+IF(I$3&lt;=$O$2,$D444,$D444-($D444-$I$427)*MIN(I$3-$O$2,$Q$2)/$Q$2))</f>
        <v>3004.42429508565</v>
      </c>
      <c r="J444" s="15" t="n">
        <f aca="false">I444*(1+IF(J$3&lt;=$O$2,$D444,$D444-($D444-$I$427)*MIN(J$3-$O$2,$Q$2)/$Q$2))</f>
        <v>3139.97573339732</v>
      </c>
      <c r="K444" s="15" t="n">
        <f aca="false">J444*(1+IF(K$3&lt;=$O$2,$D444,$D444-($D444-$I$427)*MIN(K$3-$O$2,$Q$2)/$Q$2))</f>
        <v>3276.29136345727</v>
      </c>
      <c r="L444" s="15" t="n">
        <f aca="false">K444*(1+IF(L$3&lt;=$O$2,$D444,$D444-($D444-$I$427)*MIN(L$3-$O$2,$Q$2)/$Q$2))</f>
        <v>3412.94101291999</v>
      </c>
      <c r="M444" s="15" t="n">
        <f aca="false">L444*(1+IF(M$3&lt;=$O$2,$D444,$D444-($D444-$I$427)*MIN(M$3-$O$2,$Q$2)/$Q$2))</f>
        <v>3549.47339340908</v>
      </c>
      <c r="N444" s="15" t="n">
        <f aca="false">M444*(1+IF(N$3&lt;=$O$2,$D444,$D444-($D444-$I$427)*MIN(N$3-$O$2,$Q$2)/$Q$2))</f>
        <v>3685.41822437665</v>
      </c>
      <c r="O444" s="15" t="n">
        <f aca="false">SUMPRODUCT(E444:N444,1/(1+$F$427)^$E$3:$N$3)*$E$2</f>
        <v>8780.77060571177</v>
      </c>
      <c r="P444" s="15" t="n">
        <f aca="false">N444*$E$2*(1+$I$427)/($F$427-$I$427)/(1+$F$427)^$N$3</f>
        <v>12231.892936561</v>
      </c>
      <c r="Q444" s="15" t="n">
        <f aca="false">O444+P444</f>
        <v>21012.6635422728</v>
      </c>
      <c r="R444" s="15" t="n">
        <f aca="false">Q444-$G$2+$I$2</f>
        <v>15661.1035422728</v>
      </c>
      <c r="S444" s="42" t="n">
        <f aca="false">R444/$K$2</f>
        <v>725.051089920037</v>
      </c>
      <c r="T444" s="43" t="n">
        <f aca="false">S444-$M$2</f>
        <v>0.0510899200370432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0.0467987060546875</v>
      </c>
      <c r="C445" s="25" t="n">
        <f aca="false">IF(T444&gt;0,D444,C444)</f>
        <v>0.0468215942382813</v>
      </c>
      <c r="D445" s="41" t="n">
        <f aca="false">(B445+C445)/2</f>
        <v>0.0468101501464844</v>
      </c>
      <c r="E445" s="15" t="n">
        <f aca="false">$C$2*(1+IF(E$3&lt;=$O$2,$D445,$D445-($D445-$I$427)*MIN(E$3-$O$2,$Q$2)/$Q$2))</f>
        <v>2501.8762588501</v>
      </c>
      <c r="F445" s="15" t="n">
        <f aca="false">E445*(1+IF(F$3&lt;=$O$2,$D445,$D445-($D445-$I$427)*MIN(F$3-$O$2,$Q$2)/$Q$2))</f>
        <v>2618.9894621748</v>
      </c>
      <c r="G445" s="15" t="n">
        <f aca="false">F445*(1+IF(G$3&lt;=$O$2,$D445,$D445-($D445-$I$427)*MIN(G$3-$O$2,$Q$2)/$Q$2))</f>
        <v>2741.58475213126</v>
      </c>
      <c r="H445" s="15" t="n">
        <f aca="false">G445*(1+IF(H$3&lt;=$O$2,$D445,$D445-($D445-$I$427)*MIN(H$3-$O$2,$Q$2)/$Q$2))</f>
        <v>2869.91874601783</v>
      </c>
      <c r="I445" s="15" t="n">
        <f aca="false">H445*(1+IF(I$3&lt;=$O$2,$D445,$D445-($D445-$I$427)*MIN(I$3-$O$2,$Q$2)/$Q$2))</f>
        <v>3004.26007342714</v>
      </c>
      <c r="J445" s="15" t="n">
        <f aca="false">I445*(1+IF(J$3&lt;=$O$2,$D445,$D445-($D445-$I$427)*MIN(J$3-$O$2,$Q$2)/$Q$2))</f>
        <v>3139.77659768256</v>
      </c>
      <c r="K445" s="15" t="n">
        <f aca="false">J445*(1+IF(K$3&lt;=$O$2,$D445,$D445-($D445-$I$427)*MIN(K$3-$O$2,$Q$2)/$Q$2))</f>
        <v>3276.06202353742</v>
      </c>
      <c r="L445" s="15" t="n">
        <f aca="false">K445*(1+IF(L$3&lt;=$O$2,$D445,$D445-($D445-$I$427)*MIN(L$3-$O$2,$Q$2)/$Q$2))</f>
        <v>3412.6871109227</v>
      </c>
      <c r="M445" s="15" t="n">
        <f aca="false">L445*(1+IF(M$3&lt;=$O$2,$D445,$D445-($D445-$I$427)*MIN(M$3-$O$2,$Q$2)/$Q$2))</f>
        <v>3549.20152321443</v>
      </c>
      <c r="N445" s="15" t="n">
        <f aca="false">M445*(1+IF(N$3&lt;=$O$2,$D445,$D445-($D445-$I$427)*MIN(N$3-$O$2,$Q$2)/$Q$2))</f>
        <v>3685.13594155354</v>
      </c>
      <c r="O445" s="15" t="n">
        <f aca="false">SUMPRODUCT(E445:N445,1/(1+$F$427)^$E$3:$N$3)*$E$2</f>
        <v>8780.33707485566</v>
      </c>
      <c r="P445" s="15" t="n">
        <f aca="false">N445*$E$2*(1+$I$427)/($F$427-$I$427)/(1+$F$427)^$N$3</f>
        <v>12230.9560406486</v>
      </c>
      <c r="Q445" s="15" t="n">
        <f aca="false">O445+P445</f>
        <v>21011.2931155042</v>
      </c>
      <c r="R445" s="15" t="n">
        <f aca="false">Q445-$G$2+$I$2</f>
        <v>15659.7331155042</v>
      </c>
      <c r="S445" s="42" t="n">
        <f aca="false">R445/$K$2</f>
        <v>724.987644236307</v>
      </c>
      <c r="T445" s="43" t="n">
        <f aca="false">S445-$M$2</f>
        <v>-0.0123557636928808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0.0468101501464844</v>
      </c>
      <c r="C446" s="25" t="n">
        <f aca="false">IF(T445&gt;0,D445,C445)</f>
        <v>0.0468215942382813</v>
      </c>
      <c r="D446" s="41" t="n">
        <f aca="false">(B446+C446)/2</f>
        <v>0.0468158721923828</v>
      </c>
      <c r="E446" s="15" t="n">
        <f aca="false">$C$2*(1+IF(E$3&lt;=$O$2,$D446,$D446-($D446-$I$427)*MIN(E$3-$O$2,$Q$2)/$Q$2))</f>
        <v>2501.8899345398</v>
      </c>
      <c r="F446" s="15" t="n">
        <f aca="false">E446*(1+IF(F$3&lt;=$O$2,$D446,$D446-($D446-$I$427)*MIN(F$3-$O$2,$Q$2)/$Q$2))</f>
        <v>2619.01809395462</v>
      </c>
      <c r="G446" s="15" t="n">
        <f aca="false">F446*(1+IF(G$3&lt;=$O$2,$D446,$D446-($D446-$I$427)*MIN(G$3-$O$2,$Q$2)/$Q$2))</f>
        <v>2741.62971031074</v>
      </c>
      <c r="H446" s="15" t="n">
        <f aca="false">G446*(1+IF(H$3&lt;=$O$2,$D446,$D446-($D446-$I$427)*MIN(H$3-$O$2,$Q$2)/$Q$2))</f>
        <v>2869.98149642748</v>
      </c>
      <c r="I446" s="15" t="n">
        <f aca="false">H446*(1+IF(I$3&lt;=$O$2,$D446,$D446-($D446-$I$427)*MIN(I$3-$O$2,$Q$2)/$Q$2))</f>
        <v>3004.34218335874</v>
      </c>
      <c r="J446" s="15" t="n">
        <f aca="false">I446*(1+IF(J$3&lt;=$O$2,$D446,$D446-($D446-$I$427)*MIN(J$3-$O$2,$Q$2)/$Q$2))</f>
        <v>3139.87616422591</v>
      </c>
      <c r="K446" s="15" t="n">
        <f aca="false">J446*(1+IF(K$3&lt;=$O$2,$D446,$D446-($D446-$I$427)*MIN(K$3-$O$2,$Q$2)/$Q$2))</f>
        <v>3276.17669178444</v>
      </c>
      <c r="L446" s="15" t="n">
        <f aca="false">K446*(1+IF(L$3&lt;=$O$2,$D446,$D446-($D446-$I$427)*MIN(L$3-$O$2,$Q$2)/$Q$2))</f>
        <v>3412.81405987454</v>
      </c>
      <c r="M446" s="15" t="n">
        <f aca="false">L446*(1+IF(M$3&lt;=$O$2,$D446,$D446-($D446-$I$427)*MIN(M$3-$O$2,$Q$2)/$Q$2))</f>
        <v>3549.33745603779</v>
      </c>
      <c r="N446" s="15" t="n">
        <f aca="false">M446*(1+IF(N$3&lt;=$O$2,$D446,$D446-($D446-$I$427)*MIN(N$3-$O$2,$Q$2)/$Q$2))</f>
        <v>3685.27708060403</v>
      </c>
      <c r="O446" s="15" t="n">
        <f aca="false">SUMPRODUCT(E446:N446,1/(1+$F$427)^$E$3:$N$3)*$E$2</f>
        <v>8780.55383757574</v>
      </c>
      <c r="P446" s="15" t="n">
        <f aca="false">N446*$E$2*(1+$I$427)/($F$427-$I$427)/(1+$F$427)^$N$3</f>
        <v>12231.4244807684</v>
      </c>
      <c r="Q446" s="15" t="n">
        <f aca="false">O446+P446</f>
        <v>21011.9783183442</v>
      </c>
      <c r="R446" s="15" t="n">
        <f aca="false">Q446-$G$2+$I$2</f>
        <v>15660.4183183442</v>
      </c>
      <c r="S446" s="42" t="n">
        <f aca="false">R446/$K$2</f>
        <v>725.019366590008</v>
      </c>
      <c r="T446" s="43" t="n">
        <f aca="false">S446-$M$2</f>
        <v>0.019366590008417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0.0468101501464844</v>
      </c>
      <c r="C447" s="25" t="n">
        <f aca="false">IF(T446&gt;0,D446,C446)</f>
        <v>0.0468158721923828</v>
      </c>
      <c r="D447" s="41" t="n">
        <f aca="false">(B447+C447)/2</f>
        <v>0.0468130111694336</v>
      </c>
      <c r="E447" s="15" t="n">
        <f aca="false">$C$2*(1+IF(E$3&lt;=$O$2,$D447,$D447-($D447-$I$427)*MIN(E$3-$O$2,$Q$2)/$Q$2))</f>
        <v>2501.88309669495</v>
      </c>
      <c r="F447" s="15" t="n">
        <f aca="false">E447*(1+IF(F$3&lt;=$O$2,$D447,$D447-($D447-$I$427)*MIN(F$3-$O$2,$Q$2)/$Q$2))</f>
        <v>2619.00377804514</v>
      </c>
      <c r="G447" s="15" t="n">
        <f aca="false">F447*(1+IF(G$3&lt;=$O$2,$D447,$D447-($D447-$I$427)*MIN(G$3-$O$2,$Q$2)/$Q$2))</f>
        <v>2741.60723115956</v>
      </c>
      <c r="H447" s="15" t="n">
        <f aca="false">G447*(1+IF(H$3&lt;=$O$2,$D447,$D447-($D447-$I$427)*MIN(H$3-$O$2,$Q$2)/$Q$2))</f>
        <v>2869.95012109403</v>
      </c>
      <c r="I447" s="15" t="n">
        <f aca="false">H447*(1+IF(I$3&lt;=$O$2,$D447,$D447-($D447-$I$427)*MIN(I$3-$O$2,$Q$2)/$Q$2))</f>
        <v>3004.30112816852</v>
      </c>
      <c r="J447" s="15" t="n">
        <f aca="false">I447*(1+IF(J$3&lt;=$O$2,$D447,$D447-($D447-$I$427)*MIN(J$3-$O$2,$Q$2)/$Q$2))</f>
        <v>3139.82638062573</v>
      </c>
      <c r="K447" s="15" t="n">
        <f aca="false">J447*(1+IF(K$3&lt;=$O$2,$D447,$D447-($D447-$I$427)*MIN(K$3-$O$2,$Q$2)/$Q$2))</f>
        <v>3276.11935723271</v>
      </c>
      <c r="L447" s="15" t="n">
        <f aca="false">K447*(1+IF(L$3&lt;=$O$2,$D447,$D447-($D447-$I$427)*MIN(L$3-$O$2,$Q$2)/$Q$2))</f>
        <v>3412.75058488693</v>
      </c>
      <c r="M447" s="15" t="n">
        <f aca="false">L447*(1+IF(M$3&lt;=$O$2,$D447,$D447-($D447-$I$427)*MIN(M$3-$O$2,$Q$2)/$Q$2))</f>
        <v>3549.26948905762</v>
      </c>
      <c r="N447" s="15" t="n">
        <f aca="false">M447*(1+IF(N$3&lt;=$O$2,$D447,$D447-($D447-$I$427)*MIN(N$3-$O$2,$Q$2)/$Q$2))</f>
        <v>3685.20651048853</v>
      </c>
      <c r="O447" s="15" t="n">
        <f aca="false">SUMPRODUCT(E447:N447,1/(1+$F$427)^$E$3:$N$3)*$E$2</f>
        <v>8780.44545553872</v>
      </c>
      <c r="P447" s="15" t="n">
        <f aca="false">N447*$E$2*(1+$I$427)/($F$427-$I$427)/(1+$F$427)^$N$3</f>
        <v>12231.1902587494</v>
      </c>
      <c r="Q447" s="15" t="n">
        <f aca="false">O447+P447</f>
        <v>21011.6357142882</v>
      </c>
      <c r="R447" s="15" t="n">
        <f aca="false">Q447-$G$2+$I$2</f>
        <v>15660.0757142882</v>
      </c>
      <c r="S447" s="42" t="n">
        <f aca="false">R447/$K$2</f>
        <v>725.003505291119</v>
      </c>
      <c r="T447" s="43" t="n">
        <f aca="false">S447-$M$2</f>
        <v>0.00350529111847209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0.0468101501464844</v>
      </c>
      <c r="C448" s="25" t="n">
        <f aca="false">IF(T447&gt;0,D447,C447)</f>
        <v>0.0468130111694336</v>
      </c>
      <c r="D448" s="41" t="n">
        <f aca="false">(B448+C448)/2</f>
        <v>0.046811580657959</v>
      </c>
      <c r="E448" s="15" t="n">
        <f aca="false">$C$2*(1+IF(E$3&lt;=$O$2,$D448,$D448-($D448-$I$427)*MIN(E$3-$O$2,$Q$2)/$Q$2))</f>
        <v>2501.87967777252</v>
      </c>
      <c r="F448" s="15" t="n">
        <f aca="false">E448*(1+IF(F$3&lt;=$O$2,$D448,$D448-($D448-$I$427)*MIN(F$3-$O$2,$Q$2)/$Q$2))</f>
        <v>2618.99662010508</v>
      </c>
      <c r="G448" s="15" t="n">
        <f aca="false">F448*(1+IF(G$3&lt;=$O$2,$D448,$D448-($D448-$I$427)*MIN(G$3-$O$2,$Q$2)/$Q$2))</f>
        <v>2741.59599163005</v>
      </c>
      <c r="H448" s="15" t="n">
        <f aca="false">G448*(1+IF(H$3&lt;=$O$2,$D448,$D448-($D448-$I$427)*MIN(H$3-$O$2,$Q$2)/$Q$2))</f>
        <v>2869.93443352378</v>
      </c>
      <c r="I448" s="15" t="n">
        <f aca="false">H448*(1+IF(I$3&lt;=$O$2,$D448,$D448-($D448-$I$427)*MIN(I$3-$O$2,$Q$2)/$Q$2))</f>
        <v>3004.28060074173</v>
      </c>
      <c r="J448" s="15" t="n">
        <f aca="false">I448*(1+IF(J$3&lt;=$O$2,$D448,$D448-($D448-$I$427)*MIN(J$3-$O$2,$Q$2)/$Q$2))</f>
        <v>3139.80148907202</v>
      </c>
      <c r="K448" s="15" t="n">
        <f aca="false">J448*(1+IF(K$3&lt;=$O$2,$D448,$D448-($D448-$I$427)*MIN(K$3-$O$2,$Q$2)/$Q$2))</f>
        <v>3276.09069027801</v>
      </c>
      <c r="L448" s="15" t="n">
        <f aca="false">K448*(1+IF(L$3&lt;=$O$2,$D448,$D448-($D448-$I$427)*MIN(L$3-$O$2,$Q$2)/$Q$2))</f>
        <v>3412.71884777689</v>
      </c>
      <c r="M448" s="15" t="n">
        <f aca="false">L448*(1+IF(M$3&lt;=$O$2,$D448,$D448-($D448-$I$427)*MIN(M$3-$O$2,$Q$2)/$Q$2))</f>
        <v>3549.23550599391</v>
      </c>
      <c r="N448" s="15" t="n">
        <f aca="false">M448*(1+IF(N$3&lt;=$O$2,$D448,$D448-($D448-$I$427)*MIN(N$3-$O$2,$Q$2)/$Q$2))</f>
        <v>3685.17122587347</v>
      </c>
      <c r="O448" s="15" t="n">
        <f aca="false">SUMPRODUCT(E448:N448,1/(1+$F$427)^$E$3:$N$3)*$E$2</f>
        <v>8780.39126502794</v>
      </c>
      <c r="P448" s="15" t="n">
        <f aca="false">N448*$E$2*(1+$I$427)/($F$427-$I$427)/(1+$F$427)^$N$3</f>
        <v>12231.0731492092</v>
      </c>
      <c r="Q448" s="15" t="n">
        <f aca="false">O448+P448</f>
        <v>21011.4644142372</v>
      </c>
      <c r="R448" s="15" t="n">
        <f aca="false">Q448-$G$2+$I$2</f>
        <v>15659.9044142372</v>
      </c>
      <c r="S448" s="42" t="n">
        <f aca="false">R448/$K$2</f>
        <v>724.995574733203</v>
      </c>
      <c r="T448" s="43" t="n">
        <f aca="false">S448-$M$2</f>
        <v>-0.00442526679694311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0.046811580657959</v>
      </c>
      <c r="C449" s="25" t="n">
        <f aca="false">IF(T448&gt;0,D448,C448)</f>
        <v>0.0468130111694336</v>
      </c>
      <c r="D449" s="41" t="n">
        <f aca="false">(B449+C449)/2</f>
        <v>0.0468122959136963</v>
      </c>
      <c r="E449" s="15" t="n">
        <f aca="false">$C$2*(1+IF(E$3&lt;=$O$2,$D449,$D449-($D449-$I$427)*MIN(E$3-$O$2,$Q$2)/$Q$2))</f>
        <v>2501.88138723373</v>
      </c>
      <c r="F449" s="15" t="n">
        <f aca="false">E449*(1+IF(F$3&lt;=$O$2,$D449,$D449-($D449-$I$427)*MIN(F$3-$O$2,$Q$2)/$Q$2))</f>
        <v>2619.00019907389</v>
      </c>
      <c r="G449" s="15" t="n">
        <f aca="false">F449*(1+IF(G$3&lt;=$O$2,$D449,$D449-($D449-$I$427)*MIN(G$3-$O$2,$Q$2)/$Q$2))</f>
        <v>2741.60161139097</v>
      </c>
      <c r="H449" s="15" t="n">
        <f aca="false">G449*(1+IF(H$3&lt;=$O$2,$D449,$D449-($D449-$I$427)*MIN(H$3-$O$2,$Q$2)/$Q$2))</f>
        <v>2869.94227730087</v>
      </c>
      <c r="I449" s="15" t="n">
        <f aca="false">H449*(1+IF(I$3&lt;=$O$2,$D449,$D449-($D449-$I$427)*MIN(I$3-$O$2,$Q$2)/$Q$2))</f>
        <v>3004.2908644411</v>
      </c>
      <c r="J449" s="15" t="n">
        <f aca="false">I449*(1+IF(J$3&lt;=$O$2,$D449,$D449-($D449-$I$427)*MIN(J$3-$O$2,$Q$2)/$Q$2))</f>
        <v>3139.81393482835</v>
      </c>
      <c r="K449" s="15" t="n">
        <f aca="false">J449*(1+IF(K$3&lt;=$O$2,$D449,$D449-($D449-$I$427)*MIN(K$3-$O$2,$Q$2)/$Q$2))</f>
        <v>3276.10502372859</v>
      </c>
      <c r="L449" s="15" t="n">
        <f aca="false">K449*(1+IF(L$3&lt;=$O$2,$D449,$D449-($D449-$I$427)*MIN(L$3-$O$2,$Q$2)/$Q$2))</f>
        <v>3412.73471629993</v>
      </c>
      <c r="M449" s="15" t="n">
        <f aca="false">L449*(1+IF(M$3&lt;=$O$2,$D449,$D449-($D449-$I$427)*MIN(M$3-$O$2,$Q$2)/$Q$2))</f>
        <v>3549.25249749023</v>
      </c>
      <c r="N449" s="15" t="n">
        <f aca="false">M449*(1+IF(N$3&lt;=$O$2,$D449,$D449-($D449-$I$427)*MIN(N$3-$O$2,$Q$2)/$Q$2))</f>
        <v>3685.18886814411</v>
      </c>
      <c r="O449" s="15" t="n">
        <f aca="false">SUMPRODUCT(E449:N449,1/(1+$F$427)^$E$3:$N$3)*$E$2</f>
        <v>8780.41836024102</v>
      </c>
      <c r="P449" s="15" t="n">
        <f aca="false">N449*$E$2*(1+$I$427)/($F$427-$I$427)/(1+$F$427)^$N$3</f>
        <v>12231.1317038569</v>
      </c>
      <c r="Q449" s="15" t="n">
        <f aca="false">O449+P449</f>
        <v>21011.5500640979</v>
      </c>
      <c r="R449" s="15" t="n">
        <f aca="false">Q449-$G$2+$I$2</f>
        <v>15659.9900640979</v>
      </c>
      <c r="S449" s="42" t="n">
        <f aca="false">R449/$K$2</f>
        <v>724.999540004533</v>
      </c>
      <c r="T449" s="43" t="n">
        <f aca="false">S449-$M$2</f>
        <v>-0.000459995466599139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0.0468122959136963</v>
      </c>
      <c r="C450" s="25" t="n">
        <f aca="false">IF(T449&gt;0,D449,C449)</f>
        <v>0.0468130111694336</v>
      </c>
      <c r="D450" s="41" t="n">
        <f aca="false">(B450+C450)/2</f>
        <v>0.0468126535415649</v>
      </c>
      <c r="E450" s="15" t="n">
        <f aca="false">$C$2*(1+IF(E$3&lt;=$O$2,$D450,$D450-($D450-$I$427)*MIN(E$3-$O$2,$Q$2)/$Q$2))</f>
        <v>2501.88224196434</v>
      </c>
      <c r="F450" s="15" t="n">
        <f aca="false">E450*(1+IF(F$3&lt;=$O$2,$D450,$D450-($D450-$I$427)*MIN(F$3-$O$2,$Q$2)/$Q$2))</f>
        <v>2619.00198855921</v>
      </c>
      <c r="G450" s="15" t="n">
        <f aca="false">F450*(1+IF(G$3&lt;=$O$2,$D450,$D450-($D450-$I$427)*MIN(G$3-$O$2,$Q$2)/$Q$2))</f>
        <v>2741.6044212743</v>
      </c>
      <c r="H450" s="15" t="n">
        <f aca="false">G450*(1+IF(H$3&lt;=$O$2,$D450,$D450-($D450-$I$427)*MIN(H$3-$O$2,$Q$2)/$Q$2))</f>
        <v>2869.94619919544</v>
      </c>
      <c r="I450" s="15" t="n">
        <f aca="false">H450*(1+IF(I$3&lt;=$O$2,$D450,$D450-($D450-$I$427)*MIN(I$3-$O$2,$Q$2)/$Q$2))</f>
        <v>3004.29599630131</v>
      </c>
      <c r="J450" s="15" t="n">
        <f aca="false">I450*(1+IF(J$3&lt;=$O$2,$D450,$D450-($D450-$I$427)*MIN(J$3-$O$2,$Q$2)/$Q$2))</f>
        <v>3139.82015772191</v>
      </c>
      <c r="K450" s="15" t="n">
        <f aca="false">J450*(1+IF(K$3&lt;=$O$2,$D450,$D450-($D450-$I$427)*MIN(K$3-$O$2,$Q$2)/$Q$2))</f>
        <v>3276.11219047396</v>
      </c>
      <c r="L450" s="15" t="n">
        <f aca="false">K450*(1+IF(L$3&lt;=$O$2,$D450,$D450-($D450-$I$427)*MIN(L$3-$O$2,$Q$2)/$Q$2))</f>
        <v>3412.74265058543</v>
      </c>
      <c r="M450" s="15" t="n">
        <f aca="false">L450*(1+IF(M$3&lt;=$O$2,$D450,$D450-($D450-$I$427)*MIN(M$3-$O$2,$Q$2)/$Q$2))</f>
        <v>3549.26099326505</v>
      </c>
      <c r="N450" s="15" t="n">
        <f aca="false">M450*(1+IF(N$3&lt;=$O$2,$D450,$D450-($D450-$I$427)*MIN(N$3-$O$2,$Q$2)/$Q$2))</f>
        <v>3685.1976893071</v>
      </c>
      <c r="O450" s="15" t="n">
        <f aca="false">SUMPRODUCT(E450:N450,1/(1+$F$427)^$E$3:$N$3)*$E$2</f>
        <v>8780.43190787929</v>
      </c>
      <c r="P450" s="15" t="n">
        <f aca="false">N450*$E$2*(1+$I$427)/($F$427-$I$427)/(1+$F$427)^$N$3</f>
        <v>12231.1609812726</v>
      </c>
      <c r="Q450" s="15" t="n">
        <f aca="false">O450+P450</f>
        <v>21011.5928891519</v>
      </c>
      <c r="R450" s="15" t="n">
        <f aca="false">Q450-$G$2+$I$2</f>
        <v>15660.0328891519</v>
      </c>
      <c r="S450" s="42" t="n">
        <f aca="false">R450/$K$2</f>
        <v>725.001522645919</v>
      </c>
      <c r="T450" s="43" t="n">
        <f aca="false">S450-$M$2</f>
        <v>0.00152264591929452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0.0468122959136963</v>
      </c>
      <c r="C451" s="25" t="n">
        <f aca="false">IF(T450&gt;0,D450,C450)</f>
        <v>0.0468126535415649</v>
      </c>
      <c r="D451" s="41" t="n">
        <f aca="false">(B451+C451)/2</f>
        <v>0.0468124747276306</v>
      </c>
      <c r="E451" s="15" t="n">
        <f aca="false">$C$2*(1+IF(E$3&lt;=$O$2,$D451,$D451-($D451-$I$427)*MIN(E$3-$O$2,$Q$2)/$Q$2))</f>
        <v>2501.88181459904</v>
      </c>
      <c r="F451" s="15" t="n">
        <f aca="false">E451*(1+IF(F$3&lt;=$O$2,$D451,$D451-($D451-$I$427)*MIN(F$3-$O$2,$Q$2)/$Q$2))</f>
        <v>2619.00109381647</v>
      </c>
      <c r="G451" s="15" t="n">
        <f aca="false">F451*(1+IF(G$3&lt;=$O$2,$D451,$D451-($D451-$I$427)*MIN(G$3-$O$2,$Q$2)/$Q$2))</f>
        <v>2741.60301633239</v>
      </c>
      <c r="H451" s="15" t="n">
        <f aca="false">G451*(1+IF(H$3&lt;=$O$2,$D451,$D451-($D451-$I$427)*MIN(H$3-$O$2,$Q$2)/$Q$2))</f>
        <v>2869.94423824765</v>
      </c>
      <c r="I451" s="15" t="n">
        <f aca="false">H451*(1+IF(I$3&lt;=$O$2,$D451,$D451-($D451-$I$427)*MIN(I$3-$O$2,$Q$2)/$Q$2))</f>
        <v>3004.29343037033</v>
      </c>
      <c r="J451" s="15" t="n">
        <f aca="false">I451*(1+IF(J$3&lt;=$O$2,$D451,$D451-($D451-$I$427)*MIN(J$3-$O$2,$Q$2)/$Q$2))</f>
        <v>3139.81704627384</v>
      </c>
      <c r="K451" s="15" t="n">
        <f aca="false">J451*(1+IF(K$3&lt;=$O$2,$D451,$D451-($D451-$I$427)*MIN(K$3-$O$2,$Q$2)/$Q$2))</f>
        <v>3276.1086070996</v>
      </c>
      <c r="L451" s="15" t="n">
        <f aca="false">K451*(1+IF(L$3&lt;=$O$2,$D451,$D451-($D451-$I$427)*MIN(L$3-$O$2,$Q$2)/$Q$2))</f>
        <v>3412.73868344068</v>
      </c>
      <c r="M451" s="15" t="n">
        <f aca="false">L451*(1+IF(M$3&lt;=$O$2,$D451,$D451-($D451-$I$427)*MIN(M$3-$O$2,$Q$2)/$Q$2))</f>
        <v>3549.25674537542</v>
      </c>
      <c r="N451" s="15" t="n">
        <f aca="false">M451*(1+IF(N$3&lt;=$O$2,$D451,$D451-($D451-$I$427)*MIN(N$3-$O$2,$Q$2)/$Q$2))</f>
        <v>3685.1932787233</v>
      </c>
      <c r="O451" s="15" t="n">
        <f aca="false">SUMPRODUCT(E451:N451,1/(1+$F$427)^$E$3:$N$3)*$E$2</f>
        <v>8780.42513405751</v>
      </c>
      <c r="P451" s="15" t="n">
        <f aca="false">N451*$E$2*(1+$I$427)/($F$427-$I$427)/(1+$F$427)^$N$3</f>
        <v>12231.1463425571</v>
      </c>
      <c r="Q451" s="15" t="n">
        <f aca="false">O451+P451</f>
        <v>21011.5714766146</v>
      </c>
      <c r="R451" s="15" t="n">
        <f aca="false">Q451-$G$2+$I$2</f>
        <v>15660.0114766146</v>
      </c>
      <c r="S451" s="42" t="n">
        <f aca="false">R451/$K$2</f>
        <v>725.00053132475</v>
      </c>
      <c r="T451" s="43" t="n">
        <f aca="false">S451-$M$2</f>
        <v>0.000531324749545092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0.0468122959136963</v>
      </c>
      <c r="C452" s="25" t="n">
        <f aca="false">IF(T451&gt;0,D451,C451)</f>
        <v>0.0468124747276306</v>
      </c>
      <c r="D452" s="41" t="n">
        <f aca="false">(B452+C452)/2</f>
        <v>0.0468123853206635</v>
      </c>
      <c r="E452" s="15" t="n">
        <f aca="false">$C$2*(1+IF(E$3&lt;=$O$2,$D452,$D452-($D452-$I$427)*MIN(E$3-$O$2,$Q$2)/$Q$2))</f>
        <v>2501.88160091639</v>
      </c>
      <c r="F452" s="15" t="n">
        <f aca="false">E452*(1+IF(F$3&lt;=$O$2,$D452,$D452-($D452-$I$427)*MIN(F$3-$O$2,$Q$2)/$Q$2))</f>
        <v>2619.00064644516</v>
      </c>
      <c r="G452" s="15" t="n">
        <f aca="false">F452*(1+IF(G$3&lt;=$O$2,$D452,$D452-($D452-$I$427)*MIN(G$3-$O$2,$Q$2)/$Q$2))</f>
        <v>2741.60231386162</v>
      </c>
      <c r="H452" s="15" t="n">
        <f aca="false">G452*(1+IF(H$3&lt;=$O$2,$D452,$D452-($D452-$I$427)*MIN(H$3-$O$2,$Q$2)/$Q$2))</f>
        <v>2869.94325777413</v>
      </c>
      <c r="I452" s="15" t="n">
        <f aca="false">H452*(1+IF(I$3&lt;=$O$2,$D452,$D452-($D452-$I$427)*MIN(I$3-$O$2,$Q$2)/$Q$2))</f>
        <v>3004.29214740549</v>
      </c>
      <c r="J452" s="15" t="n">
        <f aca="false">I452*(1+IF(J$3&lt;=$O$2,$D452,$D452-($D452-$I$427)*MIN(J$3-$O$2,$Q$2)/$Q$2))</f>
        <v>3139.81549055077</v>
      </c>
      <c r="K452" s="15" t="n">
        <f aca="false">J452*(1+IF(K$3&lt;=$O$2,$D452,$D452-($D452-$I$427)*MIN(K$3-$O$2,$Q$2)/$Q$2))</f>
        <v>3276.10681541368</v>
      </c>
      <c r="L452" s="15" t="n">
        <f aca="false">K452*(1+IF(L$3&lt;=$O$2,$D452,$D452-($D452-$I$427)*MIN(L$3-$O$2,$Q$2)/$Q$2))</f>
        <v>3412.73669986981</v>
      </c>
      <c r="M452" s="15" t="n">
        <f aca="false">L452*(1+IF(M$3&lt;=$O$2,$D452,$D452-($D452-$I$427)*MIN(M$3-$O$2,$Q$2)/$Q$2))</f>
        <v>3549.25462143227</v>
      </c>
      <c r="N452" s="15" t="n">
        <f aca="false">M452*(1+IF(N$3&lt;=$O$2,$D452,$D452-($D452-$I$427)*MIN(N$3-$O$2,$Q$2)/$Q$2))</f>
        <v>3685.19107343313</v>
      </c>
      <c r="O452" s="15" t="n">
        <f aca="false">SUMPRODUCT(E452:N452,1/(1+$F$427)^$E$3:$N$3)*$E$2</f>
        <v>8780.4217471486</v>
      </c>
      <c r="P452" s="15" t="n">
        <f aca="false">N452*$E$2*(1+$I$427)/($F$427-$I$427)/(1+$F$427)^$N$3</f>
        <v>12231.1390232051</v>
      </c>
      <c r="Q452" s="15" t="n">
        <f aca="false">O452+P452</f>
        <v>21011.5607703537</v>
      </c>
      <c r="R452" s="15" t="n">
        <f aca="false">Q452-$G$2+$I$2</f>
        <v>15660.0007703537</v>
      </c>
      <c r="S452" s="42" t="n">
        <f aca="false">R452/$K$2</f>
        <v>725.000035664522</v>
      </c>
      <c r="T452" s="43" t="n">
        <f aca="false">S452-$M$2</f>
        <v>3.56645222154839E-005</v>
      </c>
    </row>
    <row r="454" customFormat="false" ht="15" hidden="false" customHeight="false" outlineLevel="0" collapsed="false">
      <c r="A454" s="38" t="s">
        <v>197</v>
      </c>
      <c r="E454" s="5" t="s">
        <v>11</v>
      </c>
      <c r="F454" s="12" t="n">
        <f aca="false">Sensitivity!$B$13</f>
        <v>0.101972178572932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162</v>
      </c>
      <c r="B455" s="28" t="s">
        <v>163</v>
      </c>
      <c r="C455" s="28" t="s">
        <v>164</v>
      </c>
      <c r="D455" s="28" t="s">
        <v>165</v>
      </c>
      <c r="E455" s="28" t="s">
        <v>166</v>
      </c>
      <c r="F455" s="28" t="s">
        <v>167</v>
      </c>
      <c r="G455" s="28" t="s">
        <v>168</v>
      </c>
      <c r="H455" s="28" t="s">
        <v>169</v>
      </c>
      <c r="I455" s="28" t="s">
        <v>170</v>
      </c>
      <c r="J455" s="28" t="s">
        <v>171</v>
      </c>
      <c r="K455" s="28" t="s">
        <v>172</v>
      </c>
      <c r="L455" s="28" t="s">
        <v>173</v>
      </c>
      <c r="M455" s="28" t="s">
        <v>174</v>
      </c>
      <c r="N455" s="28" t="s">
        <v>175</v>
      </c>
      <c r="O455" s="28" t="s">
        <v>176</v>
      </c>
      <c r="P455" s="28" t="s">
        <v>177</v>
      </c>
      <c r="Q455" s="28" t="s">
        <v>178</v>
      </c>
      <c r="R455" s="28" t="s">
        <v>179</v>
      </c>
      <c r="S455" s="28" t="s">
        <v>180</v>
      </c>
      <c r="T455" s="28" t="s">
        <v>181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2987.5</v>
      </c>
      <c r="F456" s="15" t="n">
        <f aca="false">E456*(1+IF(F$3&lt;=$O$2,$D456,$D456-($D456-$I$454)*MIN(F$3-$O$2,$Q$2)/$Q$2))</f>
        <v>3734.375</v>
      </c>
      <c r="G456" s="15" t="n">
        <f aca="false">F456*(1+IF(G$3&lt;=$O$2,$D456,$D456-($D456-$I$454)*MIN(G$3-$O$2,$Q$2)/$Q$2))</f>
        <v>4667.96875</v>
      </c>
      <c r="H456" s="15" t="n">
        <f aca="false">G456*(1+IF(H$3&lt;=$O$2,$D456,$D456-($D456-$I$454)*MIN(H$3-$O$2,$Q$2)/$Q$2))</f>
        <v>5834.9609375</v>
      </c>
      <c r="I456" s="15" t="n">
        <f aca="false">H456*(1+IF(I$3&lt;=$O$2,$D456,$D456-($D456-$I$454)*MIN(I$3-$O$2,$Q$2)/$Q$2))</f>
        <v>7293.701171875</v>
      </c>
      <c r="J456" s="15" t="n">
        <f aca="false">I456*(1+IF(J$3&lt;=$O$2,$D456,$D456-($D456-$I$454)*MIN(J$3-$O$2,$Q$2)/$Q$2))</f>
        <v>8779.13635253906</v>
      </c>
      <c r="K456" s="15" t="n">
        <f aca="false">J456*(1+IF(K$3&lt;=$O$2,$D456,$D456-($D456-$I$454)*MIN(K$3-$O$2,$Q$2)/$Q$2))</f>
        <v>10160.2700835205</v>
      </c>
      <c r="L456" s="15" t="n">
        <f aca="false">K456*(1+IF(L$3&lt;=$O$2,$D456,$D456-($D456-$I$454)*MIN(L$3-$O$2,$Q$2)/$Q$2))</f>
        <v>11287.8568573896</v>
      </c>
      <c r="M456" s="15" t="n">
        <f aca="false">L456*(1+IF(M$3&lt;=$O$2,$D456,$D456-($D456-$I$454)*MIN(M$3-$O$2,$Q$2)/$Q$2))</f>
        <v>12017.5039246513</v>
      </c>
      <c r="N456" s="15" t="n">
        <f aca="false">M456*(1+IF(N$3&lt;=$O$2,$D456,$D456-($D456-$I$454)*MIN(N$3-$O$2,$Q$2)/$Q$2))</f>
        <v>12237.4242464724</v>
      </c>
      <c r="O456" s="15" t="n">
        <f aca="false">SUMPRODUCT(E456:N456,1/(1+$F$454)^$E$3:$N$3)*$E$2</f>
        <v>20165.1546192661</v>
      </c>
      <c r="P456" s="15" t="n">
        <f aca="false">N456*$E$2*(1+$I$454)/($F$454-$I$454)/(1+$F$454)^$N$3</f>
        <v>26690.1347605405</v>
      </c>
      <c r="Q456" s="15" t="n">
        <f aca="false">O456+P456</f>
        <v>46855.2893798067</v>
      </c>
      <c r="R456" s="15" t="n">
        <f aca="false">Q456-$G$2+$I$2</f>
        <v>41503.7293798067</v>
      </c>
      <c r="S456" s="42" t="n">
        <f aca="false">R456/$K$2</f>
        <v>1921.46895276883</v>
      </c>
      <c r="T456" s="43" t="n">
        <f aca="false">S456-$M$2</f>
        <v>1196.46895276883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2091.25</v>
      </c>
      <c r="F457" s="15" t="n">
        <f aca="false">E457*(1+IF(F$3&lt;=$O$2,$D457,$D457-($D457-$I$454)*MIN(F$3-$O$2,$Q$2)/$Q$2))</f>
        <v>1829.84375</v>
      </c>
      <c r="G457" s="15" t="n">
        <f aca="false">F457*(1+IF(G$3&lt;=$O$2,$D457,$D457-($D457-$I$454)*MIN(G$3-$O$2,$Q$2)/$Q$2))</f>
        <v>1601.11328125</v>
      </c>
      <c r="H457" s="15" t="n">
        <f aca="false">G457*(1+IF(H$3&lt;=$O$2,$D457,$D457-($D457-$I$454)*MIN(H$3-$O$2,$Q$2)/$Q$2))</f>
        <v>1400.97412109375</v>
      </c>
      <c r="I457" s="15" t="n">
        <f aca="false">H457*(1+IF(I$3&lt;=$O$2,$D457,$D457-($D457-$I$454)*MIN(I$3-$O$2,$Q$2)/$Q$2))</f>
        <v>1225.85235595703</v>
      </c>
      <c r="J457" s="15" t="n">
        <f aca="false">I457*(1+IF(J$3&lt;=$O$2,$D457,$D457-($D457-$I$454)*MIN(J$3-$O$2,$Q$2)/$Q$2))</f>
        <v>1107.75373998413</v>
      </c>
      <c r="K457" s="15" t="n">
        <f aca="false">J457*(1+IF(K$3&lt;=$O$2,$D457,$D457-($D457-$I$454)*MIN(K$3-$O$2,$Q$2)/$Q$2))</f>
        <v>1032.780966862</v>
      </c>
      <c r="L457" s="15" t="n">
        <f aca="false">K457*(1+IF(L$3&lt;=$O$2,$D457,$D457-($D457-$I$454)*MIN(L$3-$O$2,$Q$2)/$Q$2))</f>
        <v>992.481853535049</v>
      </c>
      <c r="M457" s="15" t="n">
        <f aca="false">L457*(1+IF(M$3&lt;=$O$2,$D457,$D457-($D457-$I$454)*MIN(M$3-$O$2,$Q$2)/$Q$2))</f>
        <v>982.199741532426</v>
      </c>
      <c r="N457" s="15" t="n">
        <f aca="false">M457*(1+IF(N$3&lt;=$O$2,$D457,$D457-($D457-$I$454)*MIN(N$3-$O$2,$Q$2)/$Q$2))</f>
        <v>1000.17399680247</v>
      </c>
      <c r="O457" s="15" t="n">
        <f aca="false">SUMPRODUCT(E457:N457,1/(1+$F$454)^$E$3:$N$3)*$E$2</f>
        <v>4113.58292684601</v>
      </c>
      <c r="P457" s="15" t="n">
        <f aca="false">N457*$E$2*(1+$I$454)/($F$454-$I$454)/(1+$F$454)^$N$3</f>
        <v>2181.40502617138</v>
      </c>
      <c r="Q457" s="15" t="n">
        <f aca="false">O457+P457</f>
        <v>6294.98795301739</v>
      </c>
      <c r="R457" s="15" t="n">
        <f aca="false">Q457-$G$2+$I$2</f>
        <v>943.427953017387</v>
      </c>
      <c r="S457" s="42" t="n">
        <f aca="false">R457/$K$2</f>
        <v>43.6772200471012</v>
      </c>
      <c r="T457" s="43" t="n">
        <f aca="false">S457-$M$2</f>
        <v>-681.322779952899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2539.375</v>
      </c>
      <c r="F458" s="15" t="n">
        <f aca="false">E458*(1+IF(F$3&lt;=$O$2,$D458,$D458-($D458-$I$454)*MIN(F$3-$O$2,$Q$2)/$Q$2))</f>
        <v>2698.0859375</v>
      </c>
      <c r="G458" s="15" t="n">
        <f aca="false">F458*(1+IF(G$3&lt;=$O$2,$D458,$D458-($D458-$I$454)*MIN(G$3-$O$2,$Q$2)/$Q$2))</f>
        <v>2866.71630859375</v>
      </c>
      <c r="H458" s="15" t="n">
        <f aca="false">G458*(1+IF(H$3&lt;=$O$2,$D458,$D458-($D458-$I$454)*MIN(H$3-$O$2,$Q$2)/$Q$2))</f>
        <v>3045.88607788086</v>
      </c>
      <c r="I458" s="15" t="n">
        <f aca="false">H458*(1+IF(I$3&lt;=$O$2,$D458,$D458-($D458-$I$454)*MIN(I$3-$O$2,$Q$2)/$Q$2))</f>
        <v>3236.25395774841</v>
      </c>
      <c r="J458" s="15" t="n">
        <f aca="false">I458*(1+IF(J$3&lt;=$O$2,$D458,$D458-($D458-$I$454)*MIN(J$3-$O$2,$Q$2)/$Q$2))</f>
        <v>3409.91134512119</v>
      </c>
      <c r="K458" s="15" t="n">
        <f aca="false">J458*(1+IF(K$3&lt;=$O$2,$D458,$D458-($D458-$I$454)*MIN(K$3-$O$2,$Q$2)/$Q$2))</f>
        <v>3562.74357160953</v>
      </c>
      <c r="L458" s="15" t="n">
        <f aca="false">K458*(1+IF(L$3&lt;=$O$2,$D458,$D458-($D458-$I$454)*MIN(L$3-$O$2,$Q$2)/$Q$2))</f>
        <v>3690.93108531604</v>
      </c>
      <c r="M458" s="15" t="n">
        <f aca="false">L458*(1+IF(M$3&lt;=$O$2,$D458,$D458-($D458-$I$454)*MIN(M$3-$O$2,$Q$2)/$Q$2))</f>
        <v>3791.10295497151</v>
      </c>
      <c r="N458" s="15" t="n">
        <f aca="false">M458*(1+IF(N$3&lt;=$O$2,$D458,$D458-($D458-$I$454)*MIN(N$3-$O$2,$Q$2)/$Q$2))</f>
        <v>3860.48013904749</v>
      </c>
      <c r="O458" s="15" t="n">
        <f aca="false">SUMPRODUCT(E458:N458,1/(1+$F$454)^$E$3:$N$3)*$E$2</f>
        <v>9074.97523891203</v>
      </c>
      <c r="P458" s="15" t="n">
        <f aca="false">N458*$E$2*(1+$I$454)/($F$454-$I$454)/(1+$F$454)^$N$3</f>
        <v>8419.80575947341</v>
      </c>
      <c r="Q458" s="15" t="n">
        <f aca="false">O458+P458</f>
        <v>17494.7809983854</v>
      </c>
      <c r="R458" s="15" t="n">
        <f aca="false">Q458-$G$2+$I$2</f>
        <v>12143.2209983854</v>
      </c>
      <c r="S458" s="42" t="n">
        <f aca="false">R458/$K$2</f>
        <v>562.186157332659</v>
      </c>
      <c r="T458" s="43" t="n">
        <f aca="false">S458-$M$2</f>
        <v>-162.813842667341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41" t="n">
        <f aca="false">(B459+C459)/2</f>
        <v>0.15625</v>
      </c>
      <c r="E459" s="15" t="n">
        <f aca="false">$C$2*(1+IF(E$3&lt;=$O$2,$D459,$D459-($D459-$I$454)*MIN(E$3-$O$2,$Q$2)/$Q$2))</f>
        <v>2763.4375</v>
      </c>
      <c r="F459" s="15" t="n">
        <f aca="false">E459*(1+IF(F$3&lt;=$O$2,$D459,$D459-($D459-$I$454)*MIN(F$3-$O$2,$Q$2)/$Q$2))</f>
        <v>3195.224609375</v>
      </c>
      <c r="G459" s="15" t="n">
        <f aca="false">F459*(1+IF(G$3&lt;=$O$2,$D459,$D459-($D459-$I$454)*MIN(G$3-$O$2,$Q$2)/$Q$2))</f>
        <v>3694.47845458984</v>
      </c>
      <c r="H459" s="15" t="n">
        <f aca="false">G459*(1+IF(H$3&lt;=$O$2,$D459,$D459-($D459-$I$454)*MIN(H$3-$O$2,$Q$2)/$Q$2))</f>
        <v>4271.74071311951</v>
      </c>
      <c r="I459" s="15" t="n">
        <f aca="false">H459*(1+IF(I$3&lt;=$O$2,$D459,$D459-($D459-$I$454)*MIN(I$3-$O$2,$Q$2)/$Q$2))</f>
        <v>4939.20019954443</v>
      </c>
      <c r="J459" s="15" t="n">
        <f aca="false">I459*(1+IF(J$3&lt;=$O$2,$D459,$D459-($D459-$I$454)*MIN(J$3-$O$2,$Q$2)/$Q$2))</f>
        <v>5574.67769721782</v>
      </c>
      <c r="K459" s="15" t="n">
        <f aca="false">J459*(1+IF(K$3&lt;=$O$2,$D459,$D459-($D459-$I$454)*MIN(K$3-$O$2,$Q$2)/$Q$2))</f>
        <v>6138.11037207562</v>
      </c>
      <c r="L459" s="15" t="n">
        <f aca="false">K459*(1+IF(L$3&lt;=$O$2,$D459,$D459-($D459-$I$454)*MIN(L$3-$O$2,$Q$2)/$Q$2))</f>
        <v>6589.13872221574</v>
      </c>
      <c r="M459" s="15" t="n">
        <f aca="false">L459*(1+IF(M$3&lt;=$O$2,$D459,$D459-($D459-$I$454)*MIN(M$3-$O$2,$Q$2)/$Q$2))</f>
        <v>6891.51429817822</v>
      </c>
      <c r="N459" s="15" t="n">
        <f aca="false">M459*(1+IF(N$3&lt;=$O$2,$D459,$D459-($D459-$I$454)*MIN(N$3-$O$2,$Q$2)/$Q$2))</f>
        <v>7017.62900983488</v>
      </c>
      <c r="O459" s="15" t="n">
        <f aca="false">SUMPRODUCT(E459:N459,1/(1+$F$454)^$E$3:$N$3)*$E$2</f>
        <v>13545.4897877816</v>
      </c>
      <c r="P459" s="15" t="n">
        <f aca="false">N459*$E$2*(1+$I$454)/($F$454-$I$454)/(1+$F$454)^$N$3</f>
        <v>15305.628063517</v>
      </c>
      <c r="Q459" s="15" t="n">
        <f aca="false">O459+P459</f>
        <v>28851.1178512986</v>
      </c>
      <c r="R459" s="15" t="n">
        <f aca="false">Q459-$G$2+$I$2</f>
        <v>23499.5578512986</v>
      </c>
      <c r="S459" s="42" t="n">
        <f aca="false">R459/$K$2</f>
        <v>1087.94249311568</v>
      </c>
      <c r="T459" s="43" t="n">
        <f aca="false">S459-$M$2</f>
        <v>362.942493115678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0.0625</v>
      </c>
      <c r="C460" s="25" t="n">
        <f aca="false">IF(T459&gt;0,D459,C459)</f>
        <v>0.15625</v>
      </c>
      <c r="D460" s="41" t="n">
        <f aca="false">(B460+C460)/2</f>
        <v>0.109375</v>
      </c>
      <c r="E460" s="15" t="n">
        <f aca="false">$C$2*(1+IF(E$3&lt;=$O$2,$D460,$D460-($D460-$I$454)*MIN(E$3-$O$2,$Q$2)/$Q$2))</f>
        <v>2651.40625</v>
      </c>
      <c r="F460" s="15" t="n">
        <f aca="false">E460*(1+IF(F$3&lt;=$O$2,$D460,$D460-($D460-$I$454)*MIN(F$3-$O$2,$Q$2)/$Q$2))</f>
        <v>2941.40380859375</v>
      </c>
      <c r="G460" s="15" t="n">
        <f aca="false">F460*(1+IF(G$3&lt;=$O$2,$D460,$D460-($D460-$I$454)*MIN(G$3-$O$2,$Q$2)/$Q$2))</f>
        <v>3263.11985015869</v>
      </c>
      <c r="H460" s="15" t="n">
        <f aca="false">G460*(1+IF(H$3&lt;=$O$2,$D460,$D460-($D460-$I$454)*MIN(H$3-$O$2,$Q$2)/$Q$2))</f>
        <v>3620.0235837698</v>
      </c>
      <c r="I460" s="15" t="n">
        <f aca="false">H460*(1+IF(I$3&lt;=$O$2,$D460,$D460-($D460-$I$454)*MIN(I$3-$O$2,$Q$2)/$Q$2))</f>
        <v>4015.96366324462</v>
      </c>
      <c r="J460" s="15" t="n">
        <f aca="false">I460*(1+IF(J$3&lt;=$O$2,$D460,$D460-($D460-$I$454)*MIN(J$3-$O$2,$Q$2)/$Q$2))</f>
        <v>4382.058910786</v>
      </c>
      <c r="K460" s="15" t="n">
        <f aca="false">J460*(1+IF(K$3&lt;=$O$2,$D460,$D460-($D460-$I$454)*MIN(K$3-$O$2,$Q$2)/$Q$2))</f>
        <v>4701.70819803328</v>
      </c>
      <c r="L460" s="15" t="n">
        <f aca="false">K460*(1+IF(L$3&lt;=$O$2,$D460,$D460-($D460-$I$454)*MIN(L$3-$O$2,$Q$2)/$Q$2))</f>
        <v>4959.03268771165</v>
      </c>
      <c r="M460" s="15" t="n">
        <f aca="false">L460*(1+IF(M$3&lt;=$O$2,$D460,$D460-($D460-$I$454)*MIN(M$3-$O$2,$Q$2)/$Q$2))</f>
        <v>5140.11176630344</v>
      </c>
      <c r="N460" s="15" t="n">
        <f aca="false">M460*(1+IF(N$3&lt;=$O$2,$D460,$D460-($D460-$I$454)*MIN(N$3-$O$2,$Q$2)/$Q$2))</f>
        <v>5234.17581162679</v>
      </c>
      <c r="O460" s="15" t="n">
        <f aca="false">SUMPRODUCT(E460:N460,1/(1+$F$454)^$E$3:$N$3)*$E$2</f>
        <v>11088.0203319786</v>
      </c>
      <c r="P460" s="15" t="n">
        <f aca="false">N460*$E$2*(1+$I$454)/($F$454-$I$454)/(1+$F$454)^$N$3</f>
        <v>11415.8710982788</v>
      </c>
      <c r="Q460" s="15" t="n">
        <f aca="false">O460+P460</f>
        <v>22503.8914302574</v>
      </c>
      <c r="R460" s="15" t="n">
        <f aca="false">Q460-$G$2+$I$2</f>
        <v>17152.3314302574</v>
      </c>
      <c r="S460" s="42" t="n">
        <f aca="false">R460/$K$2</f>
        <v>794.089418067471</v>
      </c>
      <c r="T460" s="43" t="n">
        <f aca="false">S460-$M$2</f>
        <v>69.0894180674708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0.0625</v>
      </c>
      <c r="C461" s="25" t="n">
        <f aca="false">IF(T460&gt;0,D460,C460)</f>
        <v>0.109375</v>
      </c>
      <c r="D461" s="41" t="n">
        <f aca="false">(B461+C461)/2</f>
        <v>0.0859375</v>
      </c>
      <c r="E461" s="15" t="n">
        <f aca="false">$C$2*(1+IF(E$3&lt;=$O$2,$D461,$D461-($D461-$I$454)*MIN(E$3-$O$2,$Q$2)/$Q$2))</f>
        <v>2595.390625</v>
      </c>
      <c r="F461" s="15" t="n">
        <f aca="false">E461*(1+IF(F$3&lt;=$O$2,$D461,$D461-($D461-$I$454)*MIN(F$3-$O$2,$Q$2)/$Q$2))</f>
        <v>2818.43200683594</v>
      </c>
      <c r="G461" s="15" t="n">
        <f aca="false">F461*(1+IF(G$3&lt;=$O$2,$D461,$D461-($D461-$I$454)*MIN(G$3-$O$2,$Q$2)/$Q$2))</f>
        <v>3060.6410074234</v>
      </c>
      <c r="H461" s="15" t="n">
        <f aca="false">G461*(1+IF(H$3&lt;=$O$2,$D461,$D461-($D461-$I$454)*MIN(H$3-$O$2,$Q$2)/$Q$2))</f>
        <v>3323.66484399885</v>
      </c>
      <c r="I461" s="15" t="n">
        <f aca="false">H461*(1+IF(I$3&lt;=$O$2,$D461,$D461-($D461-$I$454)*MIN(I$3-$O$2,$Q$2)/$Q$2))</f>
        <v>3609.29229153</v>
      </c>
      <c r="J461" s="15" t="n">
        <f aca="false">I461*(1+IF(J$3&lt;=$O$2,$D461,$D461-($D461-$I$454)*MIN(J$3-$O$2,$Q$2)/$Q$2))</f>
        <v>3870.64114635969</v>
      </c>
      <c r="K461" s="15" t="n">
        <f aca="false">J461*(1+IF(K$3&lt;=$O$2,$D461,$D461-($D461-$I$454)*MIN(K$3-$O$2,$Q$2)/$Q$2))</f>
        <v>4098.55417366021</v>
      </c>
      <c r="L461" s="15" t="n">
        <f aca="false">K461*(1+IF(L$3&lt;=$O$2,$D461,$D461-($D461-$I$454)*MIN(L$3-$O$2,$Q$2)/$Q$2))</f>
        <v>4284.44409820657</v>
      </c>
      <c r="M461" s="15" t="n">
        <f aca="false">L461*(1+IF(M$3&lt;=$O$2,$D461,$D461-($D461-$I$454)*MIN(M$3-$O$2,$Q$2)/$Q$2))</f>
        <v>4420.80724274224</v>
      </c>
      <c r="N461" s="15" t="n">
        <f aca="false">M461*(1+IF(N$3&lt;=$O$2,$D461,$D461-($D461-$I$454)*MIN(N$3-$O$2,$Q$2)/$Q$2))</f>
        <v>4501.70801528442</v>
      </c>
      <c r="O461" s="15" t="n">
        <f aca="false">SUMPRODUCT(E461:N461,1/(1+$F$454)^$E$3:$N$3)*$E$2</f>
        <v>10030.9773267765</v>
      </c>
      <c r="P461" s="15" t="n">
        <f aca="false">N461*$E$2*(1+$I$454)/($F$454-$I$454)/(1+$F$454)^$N$3</f>
        <v>9818.34013110904</v>
      </c>
      <c r="Q461" s="15" t="n">
        <f aca="false">O461+P461</f>
        <v>19849.3174578855</v>
      </c>
      <c r="R461" s="15" t="n">
        <f aca="false">Q461-$G$2+$I$2</f>
        <v>14497.7574578855</v>
      </c>
      <c r="S461" s="42" t="n">
        <f aca="false">R461/$K$2</f>
        <v>671.192474902108</v>
      </c>
      <c r="T461" s="43" t="n">
        <f aca="false">S461-$M$2</f>
        <v>-53.8075250978924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0.0859375</v>
      </c>
      <c r="C462" s="25" t="n">
        <f aca="false">IF(T461&gt;0,D461,C461)</f>
        <v>0.109375</v>
      </c>
      <c r="D462" s="41" t="n">
        <f aca="false">(B462+C462)/2</f>
        <v>0.09765625</v>
      </c>
      <c r="E462" s="15" t="n">
        <f aca="false">$C$2*(1+IF(E$3&lt;=$O$2,$D462,$D462-($D462-$I$454)*MIN(E$3-$O$2,$Q$2)/$Q$2))</f>
        <v>2623.3984375</v>
      </c>
      <c r="F462" s="15" t="n">
        <f aca="false">E462*(1+IF(F$3&lt;=$O$2,$D462,$D462-($D462-$I$454)*MIN(F$3-$O$2,$Q$2)/$Q$2))</f>
        <v>2879.58969116211</v>
      </c>
      <c r="G462" s="15" t="n">
        <f aca="false">F462*(1+IF(G$3&lt;=$O$2,$D462,$D462-($D462-$I$454)*MIN(G$3-$O$2,$Q$2)/$Q$2))</f>
        <v>3160.79962193966</v>
      </c>
      <c r="H462" s="15" t="n">
        <f aca="false">G462*(1+IF(H$3&lt;=$O$2,$D462,$D462-($D462-$I$454)*MIN(H$3-$O$2,$Q$2)/$Q$2))</f>
        <v>3469.4714600197</v>
      </c>
      <c r="I462" s="15" t="n">
        <f aca="false">H462*(1+IF(I$3&lt;=$O$2,$D462,$D462-($D462-$I$454)*MIN(I$3-$O$2,$Q$2)/$Q$2))</f>
        <v>3808.28703228725</v>
      </c>
      <c r="J462" s="15" t="n">
        <f aca="false">I462*(1+IF(J$3&lt;=$O$2,$D462,$D462-($D462-$I$454)*MIN(J$3-$O$2,$Q$2)/$Q$2))</f>
        <v>4119.74778722287</v>
      </c>
      <c r="K462" s="15" t="n">
        <f aca="false">J462*(1+IF(K$3&lt;=$O$2,$D462,$D462-($D462-$I$454)*MIN(K$3-$O$2,$Q$2)/$Q$2))</f>
        <v>4391.29581293293</v>
      </c>
      <c r="L462" s="15" t="n">
        <f aca="false">K462*(1+IF(L$3&lt;=$O$2,$D462,$D462-($D462-$I$454)*MIN(L$3-$O$2,$Q$2)/$Q$2))</f>
        <v>4611.04723365162</v>
      </c>
      <c r="M462" s="15" t="n">
        <f aca="false">L462*(1+IF(M$3&lt;=$O$2,$D462,$D462-($D462-$I$454)*MIN(M$3-$O$2,$Q$2)/$Q$2))</f>
        <v>4768.61248143454</v>
      </c>
      <c r="N462" s="15" t="n">
        <f aca="false">M462*(1+IF(N$3&lt;=$O$2,$D462,$D462-($D462-$I$454)*MIN(N$3-$O$2,$Q$2)/$Q$2))</f>
        <v>4855.87808984479</v>
      </c>
      <c r="O462" s="15" t="n">
        <f aca="false">SUMPRODUCT(E462:N462,1/(1+$F$454)^$E$3:$N$3)*$E$2</f>
        <v>10546.2711947314</v>
      </c>
      <c r="P462" s="15" t="n">
        <f aca="false">N462*$E$2*(1+$I$454)/($F$454-$I$454)/(1+$F$454)^$N$3</f>
        <v>10590.7941073526</v>
      </c>
      <c r="Q462" s="15" t="n">
        <f aca="false">O462+P462</f>
        <v>21137.065302084</v>
      </c>
      <c r="R462" s="15" t="n">
        <f aca="false">Q462-$G$2+$I$2</f>
        <v>15785.505302084</v>
      </c>
      <c r="S462" s="42" t="n">
        <f aca="false">R462/$K$2</f>
        <v>730.810430652039</v>
      </c>
      <c r="T462" s="43" t="n">
        <f aca="false">S462-$M$2</f>
        <v>5.81043065203869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0.0859375</v>
      </c>
      <c r="C463" s="25" t="n">
        <f aca="false">IF(T462&gt;0,D462,C462)</f>
        <v>0.09765625</v>
      </c>
      <c r="D463" s="41" t="n">
        <f aca="false">(B463+C463)/2</f>
        <v>0.091796875</v>
      </c>
      <c r="E463" s="15" t="n">
        <f aca="false">$C$2*(1+IF(E$3&lt;=$O$2,$D463,$D463-($D463-$I$454)*MIN(E$3-$O$2,$Q$2)/$Q$2))</f>
        <v>2609.39453125</v>
      </c>
      <c r="F463" s="15" t="n">
        <f aca="false">E463*(1+IF(F$3&lt;=$O$2,$D463,$D463-($D463-$I$454)*MIN(F$3-$O$2,$Q$2)/$Q$2))</f>
        <v>2848.92879486084</v>
      </c>
      <c r="G463" s="15" t="n">
        <f aca="false">F463*(1+IF(G$3&lt;=$O$2,$D463,$D463-($D463-$I$454)*MIN(G$3-$O$2,$Q$2)/$Q$2))</f>
        <v>3110.45155532658</v>
      </c>
      <c r="H463" s="15" t="n">
        <f aca="false">G463*(1+IF(H$3&lt;=$O$2,$D463,$D463-($D463-$I$454)*MIN(H$3-$O$2,$Q$2)/$Q$2))</f>
        <v>3395.98128794445</v>
      </c>
      <c r="I463" s="15" t="n">
        <f aca="false">H463*(1+IF(I$3&lt;=$O$2,$D463,$D463-($D463-$I$454)*MIN(I$3-$O$2,$Q$2)/$Q$2))</f>
        <v>3707.72175773623</v>
      </c>
      <c r="J463" s="15" t="n">
        <f aca="false">I463*(1+IF(J$3&lt;=$O$2,$D463,$D463-($D463-$I$454)*MIN(J$3-$O$2,$Q$2)/$Q$2))</f>
        <v>3993.5778359533</v>
      </c>
      <c r="K463" s="15" t="n">
        <f aca="false">J463*(1+IF(K$3&lt;=$O$2,$D463,$D463-($D463-$I$454)*MIN(K$3-$O$2,$Q$2)/$Q$2))</f>
        <v>4242.76960495834</v>
      </c>
      <c r="L463" s="15" t="n">
        <f aca="false">K463*(1+IF(L$3&lt;=$O$2,$D463,$D463-($D463-$I$454)*MIN(L$3-$O$2,$Q$2)/$Q$2))</f>
        <v>4445.14441165285</v>
      </c>
      <c r="M463" s="15" t="n">
        <f aca="false">L463*(1+IF(M$3&lt;=$O$2,$D463,$D463-($D463-$I$454)*MIN(M$3-$O$2,$Q$2)/$Q$2))</f>
        <v>4591.83139902213</v>
      </c>
      <c r="N463" s="15" t="n">
        <f aca="false">M463*(1+IF(N$3&lt;=$O$2,$D463,$D463-($D463-$I$454)*MIN(N$3-$O$2,$Q$2)/$Q$2))</f>
        <v>4675.86191362424</v>
      </c>
      <c r="O463" s="15" t="n">
        <f aca="false">SUMPRODUCT(E463:N463,1/(1+$F$454)^$E$3:$N$3)*$E$2</f>
        <v>10285.3939423035</v>
      </c>
      <c r="P463" s="15" t="n">
        <f aca="false">N463*$E$2*(1+$I$454)/($F$454-$I$454)/(1+$F$454)^$N$3</f>
        <v>10198.1742303561</v>
      </c>
      <c r="Q463" s="15" t="n">
        <f aca="false">O463+P463</f>
        <v>20483.5681726596</v>
      </c>
      <c r="R463" s="15" t="n">
        <f aca="false">Q463-$G$2+$I$2</f>
        <v>15132.0081726596</v>
      </c>
      <c r="S463" s="42" t="n">
        <f aca="false">R463/$K$2</f>
        <v>700.555933919427</v>
      </c>
      <c r="T463" s="43" t="n">
        <f aca="false">S463-$M$2</f>
        <v>-24.4440660805735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0.091796875</v>
      </c>
      <c r="C464" s="25" t="n">
        <f aca="false">IF(T463&gt;0,D463,C463)</f>
        <v>0.09765625</v>
      </c>
      <c r="D464" s="41" t="n">
        <f aca="false">(B464+C464)/2</f>
        <v>0.0947265625</v>
      </c>
      <c r="E464" s="15" t="n">
        <f aca="false">$C$2*(1+IF(E$3&lt;=$O$2,$D464,$D464-($D464-$I$454)*MIN(E$3-$O$2,$Q$2)/$Q$2))</f>
        <v>2616.396484375</v>
      </c>
      <c r="F464" s="15" t="n">
        <f aca="false">E464*(1+IF(F$3&lt;=$O$2,$D464,$D464-($D464-$I$454)*MIN(F$3-$O$2,$Q$2)/$Q$2))</f>
        <v>2864.23872947693</v>
      </c>
      <c r="G464" s="15" t="n">
        <f aca="false">F464*(1+IF(G$3&lt;=$O$2,$D464,$D464-($D464-$I$454)*MIN(G$3-$O$2,$Q$2)/$Q$2))</f>
        <v>3135.55821849965</v>
      </c>
      <c r="H464" s="15" t="n">
        <f aca="false">G464*(1+IF(H$3&lt;=$O$2,$D464,$D464-($D464-$I$454)*MIN(H$3-$O$2,$Q$2)/$Q$2))</f>
        <v>3432.57887005674</v>
      </c>
      <c r="I464" s="15" t="n">
        <f aca="false">H464*(1+IF(I$3&lt;=$O$2,$D464,$D464-($D464-$I$454)*MIN(I$3-$O$2,$Q$2)/$Q$2))</f>
        <v>3757.73526692735</v>
      </c>
      <c r="J464" s="15" t="n">
        <f aca="false">I464*(1+IF(J$3&lt;=$O$2,$D464,$D464-($D464-$I$454)*MIN(J$3-$O$2,$Q$2)/$Q$2))</f>
        <v>4056.25445370114</v>
      </c>
      <c r="K464" s="15" t="n">
        <f aca="false">J464*(1+IF(K$3&lt;=$O$2,$D464,$D464-($D464-$I$454)*MIN(K$3-$O$2,$Q$2)/$Q$2))</f>
        <v>4316.48726091689</v>
      </c>
      <c r="L464" s="15" t="n">
        <f aca="false">K464*(1+IF(L$3&lt;=$O$2,$D464,$D464-($D464-$I$454)*MIN(L$3-$O$2,$Q$2)/$Q$2))</f>
        <v>4527.43669116244</v>
      </c>
      <c r="M464" s="15" t="n">
        <f aca="false">L464*(1+IF(M$3&lt;=$O$2,$D464,$D464-($D464-$I$454)*MIN(M$3-$O$2,$Q$2)/$Q$2))</f>
        <v>4679.49206725909</v>
      </c>
      <c r="N464" s="15" t="n">
        <f aca="false">M464*(1+IF(N$3&lt;=$O$2,$D464,$D464-($D464-$I$454)*MIN(N$3-$O$2,$Q$2)/$Q$2))</f>
        <v>4765.12677208993</v>
      </c>
      <c r="O464" s="15" t="n">
        <f aca="false">SUMPRODUCT(E464:N464,1/(1+$F$454)^$E$3:$N$3)*$E$2</f>
        <v>10415.0155360868</v>
      </c>
      <c r="P464" s="15" t="n">
        <f aca="false">N464*$E$2*(1+$I$454)/($F$454-$I$454)/(1+$F$454)^$N$3</f>
        <v>10392.8631660214</v>
      </c>
      <c r="Q464" s="15" t="n">
        <f aca="false">O464+P464</f>
        <v>20807.8787021082</v>
      </c>
      <c r="R464" s="15" t="n">
        <f aca="false">Q464-$G$2+$I$2</f>
        <v>15456.3187021082</v>
      </c>
      <c r="S464" s="42" t="n">
        <f aca="false">R464/$K$2</f>
        <v>715.570310282785</v>
      </c>
      <c r="T464" s="43" t="n">
        <f aca="false">S464-$M$2</f>
        <v>-9.42968971721507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0.0947265625</v>
      </c>
      <c r="C465" s="25" t="n">
        <f aca="false">IF(T464&gt;0,D464,C464)</f>
        <v>0.09765625</v>
      </c>
      <c r="D465" s="41" t="n">
        <f aca="false">(B465+C465)/2</f>
        <v>0.09619140625</v>
      </c>
      <c r="E465" s="15" t="n">
        <f aca="false">$C$2*(1+IF(E$3&lt;=$O$2,$D465,$D465-($D465-$I$454)*MIN(E$3-$O$2,$Q$2)/$Q$2))</f>
        <v>2619.8974609375</v>
      </c>
      <c r="F465" s="15" t="n">
        <f aca="false">E465*(1+IF(F$3&lt;=$O$2,$D465,$D465-($D465-$I$454)*MIN(F$3-$O$2,$Q$2)/$Q$2))</f>
        <v>2871.90908193588</v>
      </c>
      <c r="G465" s="15" t="n">
        <f aca="false">F465*(1+IF(G$3&lt;=$O$2,$D465,$D465-($D465-$I$454)*MIN(G$3-$O$2,$Q$2)/$Q$2))</f>
        <v>3148.16205514944</v>
      </c>
      <c r="H465" s="15" t="n">
        <f aca="false">G465*(1+IF(H$3&lt;=$O$2,$D465,$D465-($D465-$I$454)*MIN(H$3-$O$2,$Q$2)/$Q$2))</f>
        <v>3450.98819033716</v>
      </c>
      <c r="I465" s="15" t="n">
        <f aca="false">H465*(1+IF(I$3&lt;=$O$2,$D465,$D465-($D465-$I$454)*MIN(I$3-$O$2,$Q$2)/$Q$2))</f>
        <v>3782.94359731783</v>
      </c>
      <c r="J465" s="15" t="n">
        <f aca="false">I465*(1+IF(J$3&lt;=$O$2,$D465,$D465-($D465-$I$454)*MIN(J$3-$O$2,$Q$2)/$Q$2))</f>
        <v>4087.89850239636</v>
      </c>
      <c r="K465" s="15" t="n">
        <f aca="false">J465*(1+IF(K$3&lt;=$O$2,$D465,$D465-($D465-$I$454)*MIN(K$3-$O$2,$Q$2)/$Q$2))</f>
        <v>4353.75434276557</v>
      </c>
      <c r="L465" s="15" t="n">
        <f aca="false">K465*(1+IF(L$3&lt;=$O$2,$D465,$D465-($D465-$I$454)*MIN(L$3-$O$2,$Q$2)/$Q$2))</f>
        <v>4569.0760665282</v>
      </c>
      <c r="M465" s="15" t="n">
        <f aca="false">L465*(1+IF(M$3&lt;=$O$2,$D465,$D465-($D465-$I$454)*MIN(M$3-$O$2,$Q$2)/$Q$2))</f>
        <v>4723.86851056269</v>
      </c>
      <c r="N465" s="15" t="n">
        <f aca="false">M465*(1+IF(N$3&lt;=$O$2,$D465,$D465-($D465-$I$454)*MIN(N$3-$O$2,$Q$2)/$Q$2))</f>
        <v>4810.31530430598</v>
      </c>
      <c r="O465" s="15" t="n">
        <f aca="false">SUMPRODUCT(E465:N465,1/(1+$F$454)^$E$3:$N$3)*$E$2</f>
        <v>10480.4379151949</v>
      </c>
      <c r="P465" s="15" t="n">
        <f aca="false">N465*$E$2*(1+$I$454)/($F$454-$I$454)/(1+$F$454)^$N$3</f>
        <v>10491.4205086603</v>
      </c>
      <c r="Q465" s="15" t="n">
        <f aca="false">O465+P465</f>
        <v>20971.8584238552</v>
      </c>
      <c r="R465" s="15" t="n">
        <f aca="false">Q465-$G$2+$I$2</f>
        <v>15620.2984238552</v>
      </c>
      <c r="S465" s="42" t="n">
        <f aca="false">R465/$K$2</f>
        <v>723.161964067369</v>
      </c>
      <c r="T465" s="43" t="n">
        <f aca="false">S465-$M$2</f>
        <v>-1.83803593263065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0.09619140625</v>
      </c>
      <c r="C466" s="25" t="n">
        <f aca="false">IF(T465&gt;0,D465,C465)</f>
        <v>0.09765625</v>
      </c>
      <c r="D466" s="41" t="n">
        <f aca="false">(B466+C466)/2</f>
        <v>0.096923828125</v>
      </c>
      <c r="E466" s="15" t="n">
        <f aca="false">$C$2*(1+IF(E$3&lt;=$O$2,$D466,$D466-($D466-$I$454)*MIN(E$3-$O$2,$Q$2)/$Q$2))</f>
        <v>2621.64794921875</v>
      </c>
      <c r="F466" s="15" t="n">
        <f aca="false">E466*(1+IF(F$3&lt;=$O$2,$D466,$D466-($D466-$I$454)*MIN(F$3-$O$2,$Q$2)/$Q$2))</f>
        <v>2875.74810445309</v>
      </c>
      <c r="G466" s="15" t="n">
        <f aca="false">F466*(1+IF(G$3&lt;=$O$2,$D466,$D466-($D466-$I$454)*MIN(G$3-$O$2,$Q$2)/$Q$2))</f>
        <v>3154.47661945989</v>
      </c>
      <c r="H466" s="15" t="n">
        <f aca="false">G466*(1+IF(H$3&lt;=$O$2,$D466,$D466-($D466-$I$454)*MIN(H$3-$O$2,$Q$2)/$Q$2))</f>
        <v>3460.22056914875</v>
      </c>
      <c r="I466" s="15" t="n">
        <f aca="false">H466*(1+IF(I$3&lt;=$O$2,$D466,$D466-($D466-$I$454)*MIN(I$3-$O$2,$Q$2)/$Q$2))</f>
        <v>3795.59839286752</v>
      </c>
      <c r="J466" s="15" t="n">
        <f aca="false">I466*(1+IF(J$3&lt;=$O$2,$D466,$D466-($D466-$I$454)*MIN(J$3-$O$2,$Q$2)/$Q$2))</f>
        <v>4103.79742399487</v>
      </c>
      <c r="K466" s="15" t="n">
        <f aca="false">J466*(1+IF(K$3&lt;=$O$2,$D466,$D466-($D466-$I$454)*MIN(K$3-$O$2,$Q$2)/$Q$2))</f>
        <v>4372.49067484837</v>
      </c>
      <c r="L466" s="15" t="n">
        <f aca="false">K466*(1+IF(L$3&lt;=$O$2,$D466,$D466-($D466-$I$454)*MIN(L$3-$O$2,$Q$2)/$Q$2))</f>
        <v>4590.02003631707</v>
      </c>
      <c r="M466" s="15" t="n">
        <f aca="false">L466*(1+IF(M$3&lt;=$O$2,$D466,$D466-($D466-$I$454)*MIN(M$3-$O$2,$Q$2)/$Q$2))</f>
        <v>4746.19439226681</v>
      </c>
      <c r="N466" s="15" t="n">
        <f aca="false">M466*(1+IF(N$3&lt;=$O$2,$D466,$D466-($D466-$I$454)*MIN(N$3-$O$2,$Q$2)/$Q$2))</f>
        <v>4833.04974964529</v>
      </c>
      <c r="O466" s="15" t="n">
        <f aca="false">SUMPRODUCT(E466:N466,1/(1+$F$454)^$E$3:$N$3)*$E$2</f>
        <v>10513.3030427356</v>
      </c>
      <c r="P466" s="15" t="n">
        <f aca="false">N466*$E$2*(1+$I$454)/($F$454-$I$454)/(1+$F$454)^$N$3</f>
        <v>10541.0049144626</v>
      </c>
      <c r="Q466" s="15" t="n">
        <f aca="false">O466+P466</f>
        <v>21054.3079571983</v>
      </c>
      <c r="R466" s="15" t="n">
        <f aca="false">Q466-$G$2+$I$2</f>
        <v>15702.7479571983</v>
      </c>
      <c r="S466" s="42" t="n">
        <f aca="false">R466/$K$2</f>
        <v>726.979072092512</v>
      </c>
      <c r="T466" s="43" t="n">
        <f aca="false">S466-$M$2</f>
        <v>1.97907209251196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0.09619140625</v>
      </c>
      <c r="C467" s="25" t="n">
        <f aca="false">IF(T466&gt;0,D466,C466)</f>
        <v>0.096923828125</v>
      </c>
      <c r="D467" s="41" t="n">
        <f aca="false">(B467+C467)/2</f>
        <v>0.0965576171875</v>
      </c>
      <c r="E467" s="15" t="n">
        <f aca="false">$C$2*(1+IF(E$3&lt;=$O$2,$D467,$D467-($D467-$I$454)*MIN(E$3-$O$2,$Q$2)/$Q$2))</f>
        <v>2620.77270507813</v>
      </c>
      <c r="F467" s="15" t="n">
        <f aca="false">E467*(1+IF(F$3&lt;=$O$2,$D467,$D467-($D467-$I$454)*MIN(F$3-$O$2,$Q$2)/$Q$2))</f>
        <v>2873.82827267051</v>
      </c>
      <c r="G467" s="15" t="n">
        <f aca="false">F467*(1+IF(G$3&lt;=$O$2,$D467,$D467-($D467-$I$454)*MIN(G$3-$O$2,$Q$2)/$Q$2))</f>
        <v>3151.31828288564</v>
      </c>
      <c r="H467" s="15" t="n">
        <f aca="false">G467*(1+IF(H$3&lt;=$O$2,$D467,$D467-($D467-$I$454)*MIN(H$3-$O$2,$Q$2)/$Q$2))</f>
        <v>3455.60206728048</v>
      </c>
      <c r="I467" s="15" t="n">
        <f aca="false">H467*(1+IF(I$3&lt;=$O$2,$D467,$D467-($D467-$I$454)*MIN(I$3-$O$2,$Q$2)/$Q$2))</f>
        <v>3789.26676884528</v>
      </c>
      <c r="J467" s="15" t="n">
        <f aca="false">I467*(1+IF(J$3&lt;=$O$2,$D467,$D467-($D467-$I$454)*MIN(J$3-$O$2,$Q$2)/$Q$2))</f>
        <v>4095.84154128924</v>
      </c>
      <c r="K467" s="15" t="n">
        <f aca="false">J467*(1+IF(K$3&lt;=$O$2,$D467,$D467-($D467-$I$454)*MIN(K$3-$O$2,$Q$2)/$Q$2))</f>
        <v>4363.11392113416</v>
      </c>
      <c r="L467" s="15" t="n">
        <f aca="false">K467*(1+IF(L$3&lt;=$O$2,$D467,$D467-($D467-$I$454)*MIN(L$3-$O$2,$Q$2)/$Q$2))</f>
        <v>4579.53766548514</v>
      </c>
      <c r="M467" s="15" t="n">
        <f aca="false">L467*(1+IF(M$3&lt;=$O$2,$D467,$D467-($D467-$I$454)*MIN(M$3-$O$2,$Q$2)/$Q$2))</f>
        <v>4735.01994586777</v>
      </c>
      <c r="N467" s="15" t="n">
        <f aca="false">M467*(1+IF(N$3&lt;=$O$2,$D467,$D467-($D467-$I$454)*MIN(N$3-$O$2,$Q$2)/$Q$2))</f>
        <v>4821.67081087715</v>
      </c>
      <c r="O467" s="15" t="n">
        <f aca="false">SUMPRODUCT(E467:N467,1/(1+$F$454)^$E$3:$N$3)*$E$2</f>
        <v>10496.8576196472</v>
      </c>
      <c r="P467" s="15" t="n">
        <f aca="false">N467*$E$2*(1+$I$454)/($F$454-$I$454)/(1+$F$454)^$N$3</f>
        <v>10516.1871584515</v>
      </c>
      <c r="Q467" s="15" t="n">
        <f aca="false">O467+P467</f>
        <v>21013.0447780987</v>
      </c>
      <c r="R467" s="15" t="n">
        <f aca="false">Q467-$G$2+$I$2</f>
        <v>15661.4847780987</v>
      </c>
      <c r="S467" s="42" t="n">
        <f aca="false">R467/$K$2</f>
        <v>725.068739726791</v>
      </c>
      <c r="T467" s="43" t="n">
        <f aca="false">S467-$M$2</f>
        <v>0.0687397267910228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0.09619140625</v>
      </c>
      <c r="C468" s="25" t="n">
        <f aca="false">IF(T467&gt;0,D467,C467)</f>
        <v>0.0965576171875</v>
      </c>
      <c r="D468" s="41" t="n">
        <f aca="false">(B468+C468)/2</f>
        <v>0.09637451171875</v>
      </c>
      <c r="E468" s="15" t="n">
        <f aca="false">$C$2*(1+IF(E$3&lt;=$O$2,$D468,$D468-($D468-$I$454)*MIN(E$3-$O$2,$Q$2)/$Q$2))</f>
        <v>2620.33508300781</v>
      </c>
      <c r="F468" s="15" t="n">
        <f aca="false">E468*(1+IF(F$3&lt;=$O$2,$D468,$D468-($D468-$I$454)*MIN(F$3-$O$2,$Q$2)/$Q$2))</f>
        <v>2872.8685971722</v>
      </c>
      <c r="G468" s="15" t="n">
        <f aca="false">F468*(1+IF(G$3&lt;=$O$2,$D468,$D468-($D468-$I$454)*MIN(G$3-$O$2,$Q$2)/$Q$2))</f>
        <v>3149.7399054568</v>
      </c>
      <c r="H468" s="15" t="n">
        <f aca="false">G468*(1+IF(H$3&lt;=$O$2,$D468,$D468-($D468-$I$454)*MIN(H$3-$O$2,$Q$2)/$Q$2))</f>
        <v>3453.29455088626</v>
      </c>
      <c r="I468" s="15" t="n">
        <f aca="false">H468*(1+IF(I$3&lt;=$O$2,$D468,$D468-($D468-$I$454)*MIN(I$3-$O$2,$Q$2)/$Q$2))</f>
        <v>3786.10412704895</v>
      </c>
      <c r="J468" s="15" t="n">
        <f aca="false">I468*(1+IF(J$3&lt;=$O$2,$D468,$D468-($D468-$I$454)*MIN(J$3-$O$2,$Q$2)/$Q$2))</f>
        <v>4091.8684174025</v>
      </c>
      <c r="K468" s="15" t="n">
        <f aca="false">J468*(1+IF(K$3&lt;=$O$2,$D468,$D468-($D468-$I$454)*MIN(K$3-$O$2,$Q$2)/$Q$2))</f>
        <v>4358.43198666461</v>
      </c>
      <c r="L468" s="15" t="n">
        <f aca="false">K468*(1+IF(L$3&lt;=$O$2,$D468,$D468-($D468-$I$454)*MIN(L$3-$O$2,$Q$2)/$Q$2))</f>
        <v>4574.30427170786</v>
      </c>
      <c r="M468" s="15" t="n">
        <f aca="false">L468*(1+IF(M$3&lt;=$O$2,$D468,$D468-($D468-$I$454)*MIN(M$3-$O$2,$Q$2)/$Q$2))</f>
        <v>4729.44135437343</v>
      </c>
      <c r="N468" s="15" t="n">
        <f aca="false">M468*(1+IF(N$3&lt;=$O$2,$D468,$D468-($D468-$I$454)*MIN(N$3-$O$2,$Q$2)/$Q$2))</f>
        <v>4815.99013115846</v>
      </c>
      <c r="O468" s="15" t="n">
        <f aca="false">SUMPRODUCT(E468:N468,1/(1+$F$454)^$E$3:$N$3)*$E$2</f>
        <v>10488.6445549313</v>
      </c>
      <c r="P468" s="15" t="n">
        <f aca="false">N468*$E$2*(1+$I$454)/($F$454-$I$454)/(1+$F$454)^$N$3</f>
        <v>10503.7974509306</v>
      </c>
      <c r="Q468" s="15" t="n">
        <f aca="false">O468+P468</f>
        <v>20992.4420058618</v>
      </c>
      <c r="R468" s="15" t="n">
        <f aca="false">Q468-$G$2+$I$2</f>
        <v>15640.8820058618</v>
      </c>
      <c r="S468" s="42" t="n">
        <f aca="false">R468/$K$2</f>
        <v>724.114907678789</v>
      </c>
      <c r="T468" s="43" t="n">
        <f aca="false">S468-$M$2</f>
        <v>-0.885092321210891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0.09637451171875</v>
      </c>
      <c r="C469" s="25" t="n">
        <f aca="false">IF(T468&gt;0,D468,C468)</f>
        <v>0.0965576171875</v>
      </c>
      <c r="D469" s="41" t="n">
        <f aca="false">(B469+C469)/2</f>
        <v>0.096466064453125</v>
      </c>
      <c r="E469" s="15" t="n">
        <f aca="false">$C$2*(1+IF(E$3&lt;=$O$2,$D469,$D469-($D469-$I$454)*MIN(E$3-$O$2,$Q$2)/$Q$2))</f>
        <v>2620.55389404297</v>
      </c>
      <c r="F469" s="15" t="n">
        <f aca="false">E469*(1+IF(F$3&lt;=$O$2,$D469,$D469-($D469-$I$454)*MIN(F$3-$O$2,$Q$2)/$Q$2))</f>
        <v>2873.34841488861</v>
      </c>
      <c r="G469" s="15" t="n">
        <f aca="false">F469*(1+IF(G$3&lt;=$O$2,$D469,$D469-($D469-$I$454)*MIN(G$3-$O$2,$Q$2)/$Q$2))</f>
        <v>3150.52902827553</v>
      </c>
      <c r="H469" s="15" t="n">
        <f aca="false">G469*(1+IF(H$3&lt;=$O$2,$D469,$D469-($D469-$I$454)*MIN(H$3-$O$2,$Q$2)/$Q$2))</f>
        <v>3454.4481645786</v>
      </c>
      <c r="I469" s="15" t="n">
        <f aca="false">H469*(1+IF(I$3&lt;=$O$2,$D469,$D469-($D469-$I$454)*MIN(I$3-$O$2,$Q$2)/$Q$2))</f>
        <v>3787.68518387282</v>
      </c>
      <c r="J469" s="15" t="n">
        <f aca="false">I469*(1+IF(J$3&lt;=$O$2,$D469,$D469-($D469-$I$454)*MIN(J$3-$O$2,$Q$2)/$Q$2))</f>
        <v>4093.8545781063</v>
      </c>
      <c r="K469" s="15" t="n">
        <f aca="false">J469*(1+IF(K$3&lt;=$O$2,$D469,$D469-($D469-$I$454)*MIN(K$3-$O$2,$Q$2)/$Q$2))</f>
        <v>4360.77241737403</v>
      </c>
      <c r="L469" s="15" t="n">
        <f aca="false">K469*(1+IF(L$3&lt;=$O$2,$D469,$D469-($D469-$I$454)*MIN(L$3-$O$2,$Q$2)/$Q$2))</f>
        <v>4576.92031974872</v>
      </c>
      <c r="M469" s="15" t="n">
        <f aca="false">L469*(1+IF(M$3&lt;=$O$2,$D469,$D469-($D469-$I$454)*MIN(M$3-$O$2,$Q$2)/$Q$2))</f>
        <v>4732.22993134218</v>
      </c>
      <c r="N469" s="15" t="n">
        <f aca="false">M469*(1+IF(N$3&lt;=$O$2,$D469,$D469-($D469-$I$454)*MIN(N$3-$O$2,$Q$2)/$Q$2))</f>
        <v>4818.82973908574</v>
      </c>
      <c r="O469" s="15" t="n">
        <f aca="false">SUMPRODUCT(E469:N469,1/(1+$F$454)^$E$3:$N$3)*$E$2</f>
        <v>10492.7502838745</v>
      </c>
      <c r="P469" s="15" t="n">
        <f aca="false">N469*$E$2*(1+$I$454)/($F$454-$I$454)/(1+$F$454)^$N$3</f>
        <v>10509.9907083285</v>
      </c>
      <c r="Q469" s="15" t="n">
        <f aca="false">O469+P469</f>
        <v>21002.7409922029</v>
      </c>
      <c r="R469" s="15" t="n">
        <f aca="false">Q469-$G$2+$I$2</f>
        <v>15651.1809922029</v>
      </c>
      <c r="S469" s="42" t="n">
        <f aca="false">R469/$K$2</f>
        <v>724.591712601988</v>
      </c>
      <c r="T469" s="43" t="n">
        <f aca="false">S469-$M$2</f>
        <v>-0.40828739801168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0.096466064453125</v>
      </c>
      <c r="C470" s="25" t="n">
        <f aca="false">IF(T469&gt;0,D469,C469)</f>
        <v>0.0965576171875</v>
      </c>
      <c r="D470" s="41" t="n">
        <f aca="false">(B470+C470)/2</f>
        <v>0.0965118408203125</v>
      </c>
      <c r="E470" s="15" t="n">
        <f aca="false">$C$2*(1+IF(E$3&lt;=$O$2,$D470,$D470-($D470-$I$454)*MIN(E$3-$O$2,$Q$2)/$Q$2))</f>
        <v>2620.66329956055</v>
      </c>
      <c r="F470" s="15" t="n">
        <f aca="false">E470*(1+IF(F$3&lt;=$O$2,$D470,$D470-($D470-$I$454)*MIN(F$3-$O$2,$Q$2)/$Q$2))</f>
        <v>2873.58833877137</v>
      </c>
      <c r="G470" s="15" t="n">
        <f aca="false">F470*(1+IF(G$3&lt;=$O$2,$D470,$D470-($D470-$I$454)*MIN(G$3-$O$2,$Q$2)/$Q$2))</f>
        <v>3150.92363910598</v>
      </c>
      <c r="H470" s="15" t="n">
        <f aca="false">G470*(1+IF(H$3&lt;=$O$2,$D470,$D470-($D470-$I$454)*MIN(H$3-$O$2,$Q$2)/$Q$2))</f>
        <v>3455.02507980033</v>
      </c>
      <c r="I470" s="15" t="n">
        <f aca="false">H470*(1+IF(I$3&lt;=$O$2,$D470,$D470-($D470-$I$454)*MIN(I$3-$O$2,$Q$2)/$Q$2))</f>
        <v>3788.47591033221</v>
      </c>
      <c r="J470" s="15" t="n">
        <f aca="false">I470*(1+IF(J$3&lt;=$O$2,$D470,$D470-($D470-$I$454)*MIN(J$3-$O$2,$Q$2)/$Q$2))</f>
        <v>4094.84795937168</v>
      </c>
      <c r="K470" s="15" t="n">
        <f aca="false">J470*(1+IF(K$3&lt;=$O$2,$D470,$D470-($D470-$I$454)*MIN(K$3-$O$2,$Q$2)/$Q$2))</f>
        <v>4361.94303509724</v>
      </c>
      <c r="L470" s="15" t="n">
        <f aca="false">K470*(1+IF(L$3&lt;=$O$2,$D470,$D470-($D470-$I$454)*MIN(L$3-$O$2,$Q$2)/$Q$2))</f>
        <v>4578.22883037084</v>
      </c>
      <c r="M470" s="15" t="n">
        <f aca="false">L470*(1+IF(M$3&lt;=$O$2,$D470,$D470-($D470-$I$454)*MIN(M$3-$O$2,$Q$2)/$Q$2))</f>
        <v>4733.62475887061</v>
      </c>
      <c r="N470" s="15" t="n">
        <f aca="false">M470*(1+IF(N$3&lt;=$O$2,$D470,$D470-($D470-$I$454)*MIN(N$3-$O$2,$Q$2)/$Q$2))</f>
        <v>4820.25009195794</v>
      </c>
      <c r="O470" s="15" t="n">
        <f aca="false">SUMPRODUCT(E470:N470,1/(1+$F$454)^$E$3:$N$3)*$E$2</f>
        <v>10494.8037508706</v>
      </c>
      <c r="P470" s="15" t="n">
        <f aca="false">N470*$E$2*(1+$I$454)/($F$454-$I$454)/(1+$F$454)^$N$3</f>
        <v>10513.0885342111</v>
      </c>
      <c r="Q470" s="15" t="n">
        <f aca="false">O470+P470</f>
        <v>21007.8922850816</v>
      </c>
      <c r="R470" s="15" t="n">
        <f aca="false">Q470-$G$2+$I$2</f>
        <v>15656.3322850816</v>
      </c>
      <c r="S470" s="42" t="n">
        <f aca="false">R470/$K$2</f>
        <v>724.830198383409</v>
      </c>
      <c r="T470" s="43" t="n">
        <f aca="false">S470-$M$2</f>
        <v>-0.16980161659103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0.0965118408203125</v>
      </c>
      <c r="C471" s="25" t="n">
        <f aca="false">IF(T470&gt;0,D470,C470)</f>
        <v>0.0965576171875</v>
      </c>
      <c r="D471" s="41" t="n">
        <f aca="false">(B471+C471)/2</f>
        <v>0.0965347290039063</v>
      </c>
      <c r="E471" s="15" t="n">
        <f aca="false">$C$2*(1+IF(E$3&lt;=$O$2,$D471,$D471-($D471-$I$454)*MIN(E$3-$O$2,$Q$2)/$Q$2))</f>
        <v>2620.71800231934</v>
      </c>
      <c r="F471" s="15" t="n">
        <f aca="false">E471*(1+IF(F$3&lt;=$O$2,$D471,$D471-($D471-$I$454)*MIN(F$3-$O$2,$Q$2)/$Q$2))</f>
        <v>2873.70830446889</v>
      </c>
      <c r="G471" s="15" t="n">
        <f aca="false">F471*(1+IF(G$3&lt;=$O$2,$D471,$D471-($D471-$I$454)*MIN(G$3-$O$2,$Q$2)/$Q$2))</f>
        <v>3151.12095687707</v>
      </c>
      <c r="H471" s="15" t="n">
        <f aca="false">G471*(1+IF(H$3&lt;=$O$2,$D471,$D471-($D471-$I$454)*MIN(H$3-$O$2,$Q$2)/$Q$2))</f>
        <v>3455.31356450773</v>
      </c>
      <c r="I471" s="15" t="n">
        <f aca="false">H471*(1+IF(I$3&lt;=$O$2,$D471,$D471-($D471-$I$454)*MIN(I$3-$O$2,$Q$2)/$Q$2))</f>
        <v>3788.871323081</v>
      </c>
      <c r="J471" s="15" t="n">
        <f aca="false">I471*(1+IF(J$3&lt;=$O$2,$D471,$D471-($D471-$I$454)*MIN(J$3-$O$2,$Q$2)/$Q$2))</f>
        <v>4095.34472524692</v>
      </c>
      <c r="K471" s="15" t="n">
        <f aca="false">J471*(1+IF(K$3&lt;=$O$2,$D471,$D471-($D471-$I$454)*MIN(K$3-$O$2,$Q$2)/$Q$2))</f>
        <v>4362.5284445733</v>
      </c>
      <c r="L471" s="15" t="n">
        <f aca="false">K471*(1+IF(L$3&lt;=$O$2,$D471,$D471-($D471-$I$454)*MIN(L$3-$O$2,$Q$2)/$Q$2))</f>
        <v>4578.8832073622</v>
      </c>
      <c r="M471" s="15" t="n">
        <f aca="false">L471*(1+IF(M$3&lt;=$O$2,$D471,$D471-($D471-$I$454)*MIN(M$3-$O$2,$Q$2)/$Q$2))</f>
        <v>4734.32230743063</v>
      </c>
      <c r="N471" s="15" t="n">
        <f aca="false">M471*(1+IF(N$3&lt;=$O$2,$D471,$D471-($D471-$I$454)*MIN(N$3-$O$2,$Q$2)/$Q$2))</f>
        <v>4820.96040565661</v>
      </c>
      <c r="O471" s="15" t="n">
        <f aca="false">SUMPRODUCT(E471:N471,1/(1+$F$454)^$E$3:$N$3)*$E$2</f>
        <v>10495.8306350318</v>
      </c>
      <c r="P471" s="15" t="n">
        <f aca="false">N471*$E$2*(1+$I$454)/($F$454-$I$454)/(1+$F$454)^$N$3</f>
        <v>10514.6377465255</v>
      </c>
      <c r="Q471" s="15" t="n">
        <f aca="false">O471+P471</f>
        <v>21010.4683815573</v>
      </c>
      <c r="R471" s="15" t="n">
        <f aca="false">Q471-$G$2+$I$2</f>
        <v>15658.9083815573</v>
      </c>
      <c r="S471" s="42" t="n">
        <f aca="false">R471/$K$2</f>
        <v>724.949462109132</v>
      </c>
      <c r="T471" s="43" t="n">
        <f aca="false">S471-$M$2</f>
        <v>-0.0505378908678722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0.0965347290039063</v>
      </c>
      <c r="C472" s="25" t="n">
        <f aca="false">IF(T471&gt;0,D471,C471)</f>
        <v>0.0965576171875</v>
      </c>
      <c r="D472" s="41" t="n">
        <f aca="false">(B472+C472)/2</f>
        <v>0.0965461730957031</v>
      </c>
      <c r="E472" s="15" t="n">
        <f aca="false">$C$2*(1+IF(E$3&lt;=$O$2,$D472,$D472-($D472-$I$454)*MIN(E$3-$O$2,$Q$2)/$Q$2))</f>
        <v>2620.74535369873</v>
      </c>
      <c r="F472" s="15" t="n">
        <f aca="false">E472*(1+IF(F$3&lt;=$O$2,$D472,$D472-($D472-$I$454)*MIN(F$3-$O$2,$Q$2)/$Q$2))</f>
        <v>2873.76828825669</v>
      </c>
      <c r="G472" s="15" t="n">
        <f aca="false">F472*(1+IF(G$3&lt;=$O$2,$D472,$D472-($D472-$I$454)*MIN(G$3-$O$2,$Q$2)/$Q$2))</f>
        <v>3151.21961885166</v>
      </c>
      <c r="H472" s="15" t="n">
        <f aca="false">G472*(1+IF(H$3&lt;=$O$2,$D472,$D472-($D472-$I$454)*MIN(H$3-$O$2,$Q$2)/$Q$2))</f>
        <v>3455.45781363589</v>
      </c>
      <c r="I472" s="15" t="n">
        <f aca="false">H472*(1+IF(I$3&lt;=$O$2,$D472,$D472-($D472-$I$454)*MIN(I$3-$O$2,$Q$2)/$Q$2))</f>
        <v>3789.06904183608</v>
      </c>
      <c r="J472" s="15" t="n">
        <f aca="false">I472*(1+IF(J$3&lt;=$O$2,$D472,$D472-($D472-$I$454)*MIN(J$3-$O$2,$Q$2)/$Q$2))</f>
        <v>4095.59312699694</v>
      </c>
      <c r="K472" s="15" t="n">
        <f aca="false">J472*(1+IF(K$3&lt;=$O$2,$D472,$D472-($D472-$I$454)*MIN(K$3-$O$2,$Q$2)/$Q$2))</f>
        <v>4362.82117446773</v>
      </c>
      <c r="L472" s="15" t="n">
        <f aca="false">K472*(1+IF(L$3&lt;=$O$2,$D472,$D472-($D472-$I$454)*MIN(L$3-$O$2,$Q$2)/$Q$2))</f>
        <v>4579.21042628169</v>
      </c>
      <c r="M472" s="15" t="n">
        <f aca="false">L472*(1+IF(M$3&lt;=$O$2,$D472,$D472-($D472-$I$454)*MIN(M$3-$O$2,$Q$2)/$Q$2))</f>
        <v>4734.67111541394</v>
      </c>
      <c r="N472" s="15" t="n">
        <f aca="false">M472*(1+IF(N$3&lt;=$O$2,$D472,$D472-($D472-$I$454)*MIN(N$3-$O$2,$Q$2)/$Q$2))</f>
        <v>4821.31559682602</v>
      </c>
      <c r="O472" s="15" t="n">
        <f aca="false">SUMPRODUCT(E472:N472,1/(1+$F$454)^$E$3:$N$3)*$E$2</f>
        <v>10496.3441147821</v>
      </c>
      <c r="P472" s="15" t="n">
        <f aca="false">N472*$E$2*(1+$I$454)/($F$454-$I$454)/(1+$F$454)^$N$3</f>
        <v>10515.4124275357</v>
      </c>
      <c r="Q472" s="15" t="n">
        <f aca="false">O472+P472</f>
        <v>21011.7565423178</v>
      </c>
      <c r="R472" s="15" t="n">
        <f aca="false">Q472-$G$2+$I$2</f>
        <v>15660.1965423178</v>
      </c>
      <c r="S472" s="42" t="n">
        <f aca="false">R472/$K$2</f>
        <v>725.00909918138</v>
      </c>
      <c r="T472" s="43" t="n">
        <f aca="false">S472-$M$2</f>
        <v>0.00909918137949717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0.0965347290039063</v>
      </c>
      <c r="C473" s="25" t="n">
        <f aca="false">IF(T472&gt;0,D472,C472)</f>
        <v>0.0965461730957031</v>
      </c>
      <c r="D473" s="41" t="n">
        <f aca="false">(B473+C473)/2</f>
        <v>0.0965404510498047</v>
      </c>
      <c r="E473" s="15" t="n">
        <f aca="false">$C$2*(1+IF(E$3&lt;=$O$2,$D473,$D473-($D473-$I$454)*MIN(E$3-$O$2,$Q$2)/$Q$2))</f>
        <v>2620.73167800903</v>
      </c>
      <c r="F473" s="15" t="n">
        <f aca="false">E473*(1+IF(F$3&lt;=$O$2,$D473,$D473-($D473-$I$454)*MIN(F$3-$O$2,$Q$2)/$Q$2))</f>
        <v>2873.73829628454</v>
      </c>
      <c r="G473" s="15" t="n">
        <f aca="false">F473*(1+IF(G$3&lt;=$O$2,$D473,$D473-($D473-$I$454)*MIN(G$3-$O$2,$Q$2)/$Q$2))</f>
        <v>3151.17028760694</v>
      </c>
      <c r="H473" s="15" t="n">
        <f aca="false">G473*(1+IF(H$3&lt;=$O$2,$D473,$D473-($D473-$I$454)*MIN(H$3-$O$2,$Q$2)/$Q$2))</f>
        <v>3455.38568850726</v>
      </c>
      <c r="I473" s="15" t="n">
        <f aca="false">H473*(1+IF(I$3&lt;=$O$2,$D473,$D473-($D473-$I$454)*MIN(I$3-$O$2,$Q$2)/$Q$2))</f>
        <v>3788.97018142679</v>
      </c>
      <c r="J473" s="15" t="n">
        <f aca="false">I473*(1+IF(J$3&lt;=$O$2,$D473,$D473-($D473-$I$454)*MIN(J$3-$O$2,$Q$2)/$Q$2))</f>
        <v>4095.46892455418</v>
      </c>
      <c r="K473" s="15" t="n">
        <f aca="false">J473*(1+IF(K$3&lt;=$O$2,$D473,$D473-($D473-$I$454)*MIN(K$3-$O$2,$Q$2)/$Q$2))</f>
        <v>4362.67480742406</v>
      </c>
      <c r="L473" s="15" t="n">
        <f aca="false">K473*(1+IF(L$3&lt;=$O$2,$D473,$D473-($D473-$I$454)*MIN(L$3-$O$2,$Q$2)/$Q$2))</f>
        <v>4579.04681428652</v>
      </c>
      <c r="M473" s="15" t="n">
        <f aca="false">L473*(1+IF(M$3&lt;=$O$2,$D473,$D473-($D473-$I$454)*MIN(M$3-$O$2,$Q$2)/$Q$2))</f>
        <v>4734.49670861355</v>
      </c>
      <c r="N473" s="15" t="n">
        <f aca="false">M473*(1+IF(N$3&lt;=$O$2,$D473,$D473-($D473-$I$454)*MIN(N$3-$O$2,$Q$2)/$Q$2))</f>
        <v>4821.13799838118</v>
      </c>
      <c r="O473" s="15" t="n">
        <f aca="false">SUMPRODUCT(E473:N473,1/(1+$F$454)^$E$3:$N$3)*$E$2</f>
        <v>10496.0873717677</v>
      </c>
      <c r="P473" s="15" t="n">
        <f aca="false">N473*$E$2*(1+$I$454)/($F$454-$I$454)/(1+$F$454)^$N$3</f>
        <v>10515.0250807926</v>
      </c>
      <c r="Q473" s="15" t="n">
        <f aca="false">O473+P473</f>
        <v>21011.1124525602</v>
      </c>
      <c r="R473" s="15" t="n">
        <f aca="false">Q473-$G$2+$I$2</f>
        <v>15659.5524525602</v>
      </c>
      <c r="S473" s="42" t="n">
        <f aca="false">R473/$K$2</f>
        <v>724.979280211122</v>
      </c>
      <c r="T473" s="43" t="n">
        <f aca="false">S473-$M$2</f>
        <v>-0.0207197888785231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0.0965404510498047</v>
      </c>
      <c r="C474" s="25" t="n">
        <f aca="false">IF(T473&gt;0,D473,C473)</f>
        <v>0.0965461730957031</v>
      </c>
      <c r="D474" s="41" t="n">
        <f aca="false">(B474+C474)/2</f>
        <v>0.0965433120727539</v>
      </c>
      <c r="E474" s="15" t="n">
        <f aca="false">$C$2*(1+IF(E$3&lt;=$O$2,$D474,$D474-($D474-$I$454)*MIN(E$3-$O$2,$Q$2)/$Q$2))</f>
        <v>2620.73851585388</v>
      </c>
      <c r="F474" s="15" t="n">
        <f aca="false">E474*(1+IF(F$3&lt;=$O$2,$D474,$D474-($D474-$I$454)*MIN(F$3-$O$2,$Q$2)/$Q$2))</f>
        <v>2873.75329225105</v>
      </c>
      <c r="G474" s="15" t="n">
        <f aca="false">F474*(1+IF(G$3&lt;=$O$2,$D474,$D474-($D474-$I$454)*MIN(G$3-$O$2,$Q$2)/$Q$2))</f>
        <v>3151.19495316495</v>
      </c>
      <c r="H474" s="15" t="n">
        <f aca="false">G474*(1+IF(H$3&lt;=$O$2,$D474,$D474-($D474-$I$454)*MIN(H$3-$O$2,$Q$2)/$Q$2))</f>
        <v>3455.42175093044</v>
      </c>
      <c r="I474" s="15" t="n">
        <f aca="false">H474*(1+IF(I$3&lt;=$O$2,$D474,$D474-($D474-$I$454)*MIN(I$3-$O$2,$Q$2)/$Q$2))</f>
        <v>3789.0196113735</v>
      </c>
      <c r="J474" s="15" t="n">
        <f aca="false">I474*(1+IF(J$3&lt;=$O$2,$D474,$D474-($D474-$I$454)*MIN(J$3-$O$2,$Q$2)/$Q$2))</f>
        <v>4095.53102538362</v>
      </c>
      <c r="K474" s="15" t="n">
        <f aca="false">J474*(1+IF(K$3&lt;=$O$2,$D474,$D474-($D474-$I$454)*MIN(K$3-$O$2,$Q$2)/$Q$2))</f>
        <v>4362.74799042178</v>
      </c>
      <c r="L474" s="15" t="n">
        <f aca="false">K474*(1+IF(L$3&lt;=$O$2,$D474,$D474-($D474-$I$454)*MIN(L$3-$O$2,$Q$2)/$Q$2))</f>
        <v>4579.12861965024</v>
      </c>
      <c r="M474" s="15" t="n">
        <f aca="false">L474*(1+IF(M$3&lt;=$O$2,$D474,$D474-($D474-$I$454)*MIN(M$3-$O$2,$Q$2)/$Q$2))</f>
        <v>4734.58391131155</v>
      </c>
      <c r="N474" s="15" t="n">
        <f aca="false">M474*(1+IF(N$3&lt;=$O$2,$D474,$D474-($D474-$I$454)*MIN(N$3-$O$2,$Q$2)/$Q$2))</f>
        <v>4821.22679688855</v>
      </c>
      <c r="O474" s="15" t="n">
        <f aca="false">SUMPRODUCT(E474:N474,1/(1+$F$454)^$E$3:$N$3)*$E$2</f>
        <v>10496.2157424901</v>
      </c>
      <c r="P474" s="15" t="n">
        <f aca="false">N474*$E$2*(1+$I$454)/($F$454-$I$454)/(1+$F$454)^$N$3</f>
        <v>10515.2187526046</v>
      </c>
      <c r="Q474" s="15" t="n">
        <f aca="false">O474+P474</f>
        <v>21011.4344950947</v>
      </c>
      <c r="R474" s="15" t="n">
        <f aca="false">Q474-$G$2+$I$2</f>
        <v>15659.8744950947</v>
      </c>
      <c r="S474" s="42" t="n">
        <f aca="false">R474/$K$2</f>
        <v>724.994189587716</v>
      </c>
      <c r="T474" s="43" t="n">
        <f aca="false">S474-$M$2</f>
        <v>-0.00581041228451795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0.0965433120727539</v>
      </c>
      <c r="C475" s="25" t="n">
        <f aca="false">IF(T474&gt;0,D474,C474)</f>
        <v>0.0965461730957031</v>
      </c>
      <c r="D475" s="41" t="n">
        <f aca="false">(B475+C475)/2</f>
        <v>0.0965447425842285</v>
      </c>
      <c r="E475" s="15" t="n">
        <f aca="false">$C$2*(1+IF(E$3&lt;=$O$2,$D475,$D475-($D475-$I$454)*MIN(E$3-$O$2,$Q$2)/$Q$2))</f>
        <v>2620.74193477631</v>
      </c>
      <c r="F475" s="15" t="n">
        <f aca="false">E475*(1+IF(F$3&lt;=$O$2,$D475,$D475-($D475-$I$454)*MIN(F$3-$O$2,$Q$2)/$Q$2))</f>
        <v>2873.76079024898</v>
      </c>
      <c r="G475" s="15" t="n">
        <f aca="false">F475*(1+IF(G$3&lt;=$O$2,$D475,$D475-($D475-$I$454)*MIN(G$3-$O$2,$Q$2)/$Q$2))</f>
        <v>3151.20728599221</v>
      </c>
      <c r="H475" s="15" t="n">
        <f aca="false">G475*(1+IF(H$3&lt;=$O$2,$D475,$D475-($D475-$I$454)*MIN(H$3-$O$2,$Q$2)/$Q$2))</f>
        <v>3455.43978224788</v>
      </c>
      <c r="I475" s="15" t="n">
        <f aca="false">H475*(1+IF(I$3&lt;=$O$2,$D475,$D475-($D475-$I$454)*MIN(I$3-$O$2,$Q$2)/$Q$2))</f>
        <v>3789.0443265403</v>
      </c>
      <c r="J475" s="15" t="n">
        <f aca="false">I475*(1+IF(J$3&lt;=$O$2,$D475,$D475-($D475-$I$454)*MIN(J$3-$O$2,$Q$2)/$Q$2))</f>
        <v>4095.56207609229</v>
      </c>
      <c r="K475" s="15" t="n">
        <f aca="false">J475*(1+IF(K$3&lt;=$O$2,$D475,$D475-($D475-$I$454)*MIN(K$3-$O$2,$Q$2)/$Q$2))</f>
        <v>4362.78458231372</v>
      </c>
      <c r="L475" s="15" t="n">
        <f aca="false">K475*(1+IF(L$3&lt;=$O$2,$D475,$D475-($D475-$I$454)*MIN(L$3-$O$2,$Q$2)/$Q$2))</f>
        <v>4579.1695228075</v>
      </c>
      <c r="M475" s="15" t="n">
        <f aca="false">L475*(1+IF(M$3&lt;=$O$2,$D475,$D475-($D475-$I$454)*MIN(M$3-$O$2,$Q$2)/$Q$2))</f>
        <v>4734.6275131872</v>
      </c>
      <c r="N475" s="15" t="n">
        <f aca="false">M475*(1+IF(N$3&lt;=$O$2,$D475,$D475-($D475-$I$454)*MIN(N$3-$O$2,$Q$2)/$Q$2))</f>
        <v>4821.27119667852</v>
      </c>
      <c r="O475" s="15" t="n">
        <f aca="false">SUMPRODUCT(E475:N475,1/(1+$F$454)^$E$3:$N$3)*$E$2</f>
        <v>10496.2799284399</v>
      </c>
      <c r="P475" s="15" t="n">
        <f aca="false">N475*$E$2*(1+$I$454)/($F$454-$I$454)/(1+$F$454)^$N$3</f>
        <v>10515.3155896802</v>
      </c>
      <c r="Q475" s="15" t="n">
        <f aca="false">O475+P475</f>
        <v>21011.5955181201</v>
      </c>
      <c r="R475" s="15" t="n">
        <f aca="false">Q475-$G$2+$I$2</f>
        <v>15660.0355181201</v>
      </c>
      <c r="S475" s="42" t="n">
        <f aca="false">R475/$K$2</f>
        <v>725.001644357414</v>
      </c>
      <c r="T475" s="43" t="n">
        <f aca="false">S475-$M$2</f>
        <v>0.00164435741362468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0.0965433120727539</v>
      </c>
      <c r="C476" s="25" t="n">
        <f aca="false">IF(T475&gt;0,D475,C475)</f>
        <v>0.0965447425842285</v>
      </c>
      <c r="D476" s="41" t="n">
        <f aca="false">(B476+C476)/2</f>
        <v>0.0965440273284912</v>
      </c>
      <c r="E476" s="15" t="n">
        <f aca="false">$C$2*(1+IF(E$3&lt;=$O$2,$D476,$D476-($D476-$I$454)*MIN(E$3-$O$2,$Q$2)/$Q$2))</f>
        <v>2620.74022531509</v>
      </c>
      <c r="F476" s="15" t="n">
        <f aca="false">E476*(1+IF(F$3&lt;=$O$2,$D476,$D476-($D476-$I$454)*MIN(F$3-$O$2,$Q$2)/$Q$2))</f>
        <v>2873.75704124879</v>
      </c>
      <c r="G476" s="15" t="n">
        <f aca="false">F476*(1+IF(G$3&lt;=$O$2,$D476,$D476-($D476-$I$454)*MIN(G$3-$O$2,$Q$2)/$Q$2))</f>
        <v>3151.20111957456</v>
      </c>
      <c r="H476" s="15" t="n">
        <f aca="false">G476*(1+IF(H$3&lt;=$O$2,$D476,$D476-($D476-$I$454)*MIN(H$3-$O$2,$Q$2)/$Q$2))</f>
        <v>3455.43076658034</v>
      </c>
      <c r="I476" s="15" t="n">
        <f aca="false">H476*(1+IF(I$3&lt;=$O$2,$D476,$D476-($D476-$I$454)*MIN(I$3-$O$2,$Q$2)/$Q$2))</f>
        <v>3789.03196894078</v>
      </c>
      <c r="J476" s="15" t="n">
        <f aca="false">I476*(1+IF(J$3&lt;=$O$2,$D476,$D476-($D476-$I$454)*MIN(J$3-$O$2,$Q$2)/$Q$2))</f>
        <v>4095.54655071346</v>
      </c>
      <c r="K476" s="15" t="n">
        <f aca="false">J476*(1+IF(K$3&lt;=$O$2,$D476,$D476-($D476-$I$454)*MIN(K$3-$O$2,$Q$2)/$Q$2))</f>
        <v>4362.76628633499</v>
      </c>
      <c r="L476" s="15" t="n">
        <f aca="false">K476*(1+IF(L$3&lt;=$O$2,$D476,$D476-($D476-$I$454)*MIN(L$3-$O$2,$Q$2)/$Q$2))</f>
        <v>4579.14907118925</v>
      </c>
      <c r="M476" s="15" t="n">
        <f aca="false">L476*(1+IF(M$3&lt;=$O$2,$D476,$D476-($D476-$I$454)*MIN(M$3-$O$2,$Q$2)/$Q$2))</f>
        <v>4734.60571220549</v>
      </c>
      <c r="N476" s="15" t="n">
        <f aca="false">M476*(1+IF(N$3&lt;=$O$2,$D476,$D476-($D476-$I$454)*MIN(N$3-$O$2,$Q$2)/$Q$2))</f>
        <v>4821.24899673885</v>
      </c>
      <c r="O476" s="15" t="n">
        <f aca="false">SUMPRODUCT(E476:N476,1/(1+$F$454)^$E$3:$N$3)*$E$2</f>
        <v>10496.2478354159</v>
      </c>
      <c r="P476" s="15" t="n">
        <f aca="false">N476*$E$2*(1+$I$454)/($F$454-$I$454)/(1+$F$454)^$N$3</f>
        <v>10515.2671710449</v>
      </c>
      <c r="Q476" s="15" t="n">
        <f aca="false">O476+P476</f>
        <v>21011.5150064609</v>
      </c>
      <c r="R476" s="15" t="n">
        <f aca="false">Q476-$G$2+$I$2</f>
        <v>15659.9550064609</v>
      </c>
      <c r="S476" s="42" t="n">
        <f aca="false">R476/$K$2</f>
        <v>724.997916965781</v>
      </c>
      <c r="T476" s="43" t="n">
        <f aca="false">S476-$M$2</f>
        <v>-0.00208303421879918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0.0965440273284912</v>
      </c>
      <c r="C477" s="25" t="n">
        <f aca="false">IF(T476&gt;0,D476,C476)</f>
        <v>0.0965447425842285</v>
      </c>
      <c r="D477" s="41" t="n">
        <f aca="false">(B477+C477)/2</f>
        <v>0.0965443849563599</v>
      </c>
      <c r="E477" s="15" t="n">
        <f aca="false">$C$2*(1+IF(E$3&lt;=$O$2,$D477,$D477-($D477-$I$454)*MIN(E$3-$O$2,$Q$2)/$Q$2))</f>
        <v>2620.7410800457</v>
      </c>
      <c r="F477" s="15" t="n">
        <f aca="false">E477*(1+IF(F$3&lt;=$O$2,$D477,$D477-($D477-$I$454)*MIN(F$3-$O$2,$Q$2)/$Q$2))</f>
        <v>2873.75891574858</v>
      </c>
      <c r="G477" s="15" t="n">
        <f aca="false">F477*(1+IF(G$3&lt;=$O$2,$D477,$D477-($D477-$I$454)*MIN(G$3-$O$2,$Q$2)/$Q$2))</f>
        <v>3151.20420278238</v>
      </c>
      <c r="H477" s="15" t="n">
        <f aca="false">G477*(1+IF(H$3&lt;=$O$2,$D477,$D477-($D477-$I$454)*MIN(H$3-$O$2,$Q$2)/$Q$2))</f>
        <v>3455.4352744119</v>
      </c>
      <c r="I477" s="15" t="n">
        <f aca="false">H477*(1+IF(I$3&lt;=$O$2,$D477,$D477-($D477-$I$454)*MIN(I$3-$O$2,$Q$2)/$Q$2))</f>
        <v>3789.03814773651</v>
      </c>
      <c r="J477" s="15" t="n">
        <f aca="false">I477*(1+IF(J$3&lt;=$O$2,$D477,$D477-($D477-$I$454)*MIN(J$3-$O$2,$Q$2)/$Q$2))</f>
        <v>4095.55431339675</v>
      </c>
      <c r="K477" s="15" t="n">
        <f aca="false">J477*(1+IF(K$3&lt;=$O$2,$D477,$D477-($D477-$I$454)*MIN(K$3-$O$2,$Q$2)/$Q$2))</f>
        <v>4362.77543431617</v>
      </c>
      <c r="L477" s="15" t="n">
        <f aca="false">K477*(1+IF(L$3&lt;=$O$2,$D477,$D477-($D477-$I$454)*MIN(L$3-$O$2,$Q$2)/$Q$2))</f>
        <v>4579.15929698847</v>
      </c>
      <c r="M477" s="15" t="n">
        <f aca="false">L477*(1+IF(M$3&lt;=$O$2,$D477,$D477-($D477-$I$454)*MIN(M$3-$O$2,$Q$2)/$Q$2))</f>
        <v>4734.61661268537</v>
      </c>
      <c r="N477" s="15" t="n">
        <f aca="false">M477*(1+IF(N$3&lt;=$O$2,$D477,$D477-($D477-$I$454)*MIN(N$3-$O$2,$Q$2)/$Q$2))</f>
        <v>4821.26009669751</v>
      </c>
      <c r="O477" s="15" t="n">
        <f aca="false">SUMPRODUCT(E477:N477,1/(1+$F$454)^$E$3:$N$3)*$E$2</f>
        <v>10496.2638819156</v>
      </c>
      <c r="P477" s="15" t="n">
        <f aca="false">N477*$E$2*(1+$I$454)/($F$454-$I$454)/(1+$F$454)^$N$3</f>
        <v>10515.2913803382</v>
      </c>
      <c r="Q477" s="15" t="n">
        <f aca="false">O477+P477</f>
        <v>21011.5552622539</v>
      </c>
      <c r="R477" s="15" t="n">
        <f aca="false">Q477-$G$2+$I$2</f>
        <v>15659.9952622539</v>
      </c>
      <c r="S477" s="42" t="n">
        <f aca="false">R477/$K$2</f>
        <v>724.999780659901</v>
      </c>
      <c r="T477" s="43" t="n">
        <f aca="false">S477-$M$2</f>
        <v>-0.000219340098624343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0.0965443849563599</v>
      </c>
      <c r="C478" s="25" t="n">
        <f aca="false">IF(T477&gt;0,D477,C477)</f>
        <v>0.0965447425842285</v>
      </c>
      <c r="D478" s="41" t="n">
        <f aca="false">(B478+C478)/2</f>
        <v>0.0965445637702942</v>
      </c>
      <c r="E478" s="15" t="n">
        <f aca="false">$C$2*(1+IF(E$3&lt;=$O$2,$D478,$D478-($D478-$I$454)*MIN(E$3-$O$2,$Q$2)/$Q$2))</f>
        <v>2620.741507411</v>
      </c>
      <c r="F478" s="15" t="n">
        <f aca="false">E478*(1+IF(F$3&lt;=$O$2,$D478,$D478-($D478-$I$454)*MIN(F$3-$O$2,$Q$2)/$Q$2))</f>
        <v>2873.7598529987</v>
      </c>
      <c r="G478" s="15" t="n">
        <f aca="false">F478*(1+IF(G$3&lt;=$O$2,$D478,$D478-($D478-$I$454)*MIN(G$3-$O$2,$Q$2)/$Q$2))</f>
        <v>3151.20574438705</v>
      </c>
      <c r="H478" s="15" t="n">
        <f aca="false">G478*(1+IF(H$3&lt;=$O$2,$D478,$D478-($D478-$I$454)*MIN(H$3-$O$2,$Q$2)/$Q$2))</f>
        <v>3455.43752832934</v>
      </c>
      <c r="I478" s="15" t="n">
        <f aca="false">H478*(1+IF(I$3&lt;=$O$2,$D478,$D478-($D478-$I$454)*MIN(I$3-$O$2,$Q$2)/$Q$2))</f>
        <v>3789.0412371374</v>
      </c>
      <c r="J478" s="15" t="n">
        <f aca="false">I478*(1+IF(J$3&lt;=$O$2,$D478,$D478-($D478-$I$454)*MIN(J$3-$O$2,$Q$2)/$Q$2))</f>
        <v>4095.55819474299</v>
      </c>
      <c r="K478" s="15" t="n">
        <f aca="false">J478*(1+IF(K$3&lt;=$O$2,$D478,$D478-($D478-$I$454)*MIN(K$3-$O$2,$Q$2)/$Q$2))</f>
        <v>4362.7800083129</v>
      </c>
      <c r="L478" s="15" t="n">
        <f aca="false">K478*(1+IF(L$3&lt;=$O$2,$D478,$D478-($D478-$I$454)*MIN(L$3-$O$2,$Q$2)/$Q$2))</f>
        <v>4579.16440989551</v>
      </c>
      <c r="M478" s="15" t="n">
        <f aca="false">L478*(1+IF(M$3&lt;=$O$2,$D478,$D478-($D478-$I$454)*MIN(M$3-$O$2,$Q$2)/$Q$2))</f>
        <v>4734.62206293354</v>
      </c>
      <c r="N478" s="15" t="n">
        <f aca="false">M478*(1+IF(N$3&lt;=$O$2,$D478,$D478-($D478-$I$454)*MIN(N$3-$O$2,$Q$2)/$Q$2))</f>
        <v>4821.26564668522</v>
      </c>
      <c r="O478" s="15" t="n">
        <f aca="false">SUMPRODUCT(E478:N478,1/(1+$F$454)^$E$3:$N$3)*$E$2</f>
        <v>10496.2719051747</v>
      </c>
      <c r="P478" s="15" t="n">
        <f aca="false">N478*$E$2*(1+$I$454)/($F$454-$I$454)/(1+$F$454)^$N$3</f>
        <v>10515.3034850031</v>
      </c>
      <c r="Q478" s="15" t="n">
        <f aca="false">O478+P478</f>
        <v>21011.5753901778</v>
      </c>
      <c r="R478" s="15" t="n">
        <f aca="false">Q478-$G$2+$I$2</f>
        <v>15660.0153901778</v>
      </c>
      <c r="S478" s="42" t="n">
        <f aca="false">R478/$K$2</f>
        <v>725.000712508234</v>
      </c>
      <c r="T478" s="43" t="n">
        <f aca="false">S478-$M$2</f>
        <v>0.000712508233505105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0.0965443849563599</v>
      </c>
      <c r="C479" s="25" t="n">
        <f aca="false">IF(T478&gt;0,D478,C478)</f>
        <v>0.0965445637702942</v>
      </c>
      <c r="D479" s="41" t="n">
        <f aca="false">(B479+C479)/2</f>
        <v>0.096544474363327</v>
      </c>
      <c r="E479" s="15" t="n">
        <f aca="false">$C$2*(1+IF(E$3&lt;=$O$2,$D479,$D479-($D479-$I$454)*MIN(E$3-$O$2,$Q$2)/$Q$2))</f>
        <v>2620.74129372835</v>
      </c>
      <c r="F479" s="15" t="n">
        <f aca="false">E479*(1+IF(F$3&lt;=$O$2,$D479,$D479-($D479-$I$454)*MIN(F$3-$O$2,$Q$2)/$Q$2))</f>
        <v>2873.75938437362</v>
      </c>
      <c r="G479" s="15" t="n">
        <f aca="false">F479*(1+IF(G$3&lt;=$O$2,$D479,$D479-($D479-$I$454)*MIN(G$3-$O$2,$Q$2)/$Q$2))</f>
        <v>3151.20497358465</v>
      </c>
      <c r="H479" s="15" t="n">
        <f aca="false">G479*(1+IF(H$3&lt;=$O$2,$D479,$D479-($D479-$I$454)*MIN(H$3-$O$2,$Q$2)/$Q$2))</f>
        <v>3455.43640137048</v>
      </c>
      <c r="I479" s="15" t="n">
        <f aca="false">H479*(1+IF(I$3&lt;=$O$2,$D479,$D479-($D479-$I$454)*MIN(I$3-$O$2,$Q$2)/$Q$2))</f>
        <v>3789.0396924367</v>
      </c>
      <c r="J479" s="15" t="n">
        <f aca="false">I479*(1+IF(J$3&lt;=$O$2,$D479,$D479-($D479-$I$454)*MIN(J$3-$O$2,$Q$2)/$Q$2))</f>
        <v>4095.55625406949</v>
      </c>
      <c r="K479" s="15" t="n">
        <f aca="false">J479*(1+IF(K$3&lt;=$O$2,$D479,$D479-($D479-$I$454)*MIN(K$3-$O$2,$Q$2)/$Q$2))</f>
        <v>4362.77772131402</v>
      </c>
      <c r="L479" s="15" t="n">
        <f aca="false">K479*(1+IF(L$3&lt;=$O$2,$D479,$D479-($D479-$I$454)*MIN(L$3-$O$2,$Q$2)/$Q$2))</f>
        <v>4579.16185344137</v>
      </c>
      <c r="M479" s="15" t="n">
        <f aca="false">L479*(1+IF(M$3&lt;=$O$2,$D479,$D479-($D479-$I$454)*MIN(M$3-$O$2,$Q$2)/$Q$2))</f>
        <v>4734.61933780877</v>
      </c>
      <c r="N479" s="15" t="n">
        <f aca="false">M479*(1+IF(N$3&lt;=$O$2,$D479,$D479-($D479-$I$454)*MIN(N$3-$O$2,$Q$2)/$Q$2))</f>
        <v>4821.26287169067</v>
      </c>
      <c r="O479" s="15" t="n">
        <f aca="false">SUMPRODUCT(E479:N479,1/(1+$F$454)^$E$3:$N$3)*$E$2</f>
        <v>10496.2678935444</v>
      </c>
      <c r="P479" s="15" t="n">
        <f aca="false">N479*$E$2*(1+$I$454)/($F$454-$I$454)/(1+$F$454)^$N$3</f>
        <v>10515.2974326692</v>
      </c>
      <c r="Q479" s="15" t="n">
        <f aca="false">O479+P479</f>
        <v>21011.5653262136</v>
      </c>
      <c r="R479" s="15" t="n">
        <f aca="false">Q479-$G$2+$I$2</f>
        <v>15660.0053262136</v>
      </c>
      <c r="S479" s="42" t="n">
        <f aca="false">R479/$K$2</f>
        <v>725.000246583962</v>
      </c>
      <c r="T479" s="43" t="n">
        <f aca="false">S479-$M$2</f>
        <v>0.000246583961484248</v>
      </c>
    </row>
    <row r="481" customFormat="false" ht="15" hidden="false" customHeight="false" outlineLevel="0" collapsed="false">
      <c r="A481" s="38" t="s">
        <v>198</v>
      </c>
      <c r="E481" s="5" t="s">
        <v>11</v>
      </c>
      <c r="F481" s="12" t="n">
        <f aca="false">Sensitivity!$B$13</f>
        <v>0.101972178572932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162</v>
      </c>
      <c r="B482" s="28" t="s">
        <v>163</v>
      </c>
      <c r="C482" s="28" t="s">
        <v>164</v>
      </c>
      <c r="D482" s="28" t="s">
        <v>165</v>
      </c>
      <c r="E482" s="28" t="s">
        <v>166</v>
      </c>
      <c r="F482" s="28" t="s">
        <v>167</v>
      </c>
      <c r="G482" s="28" t="s">
        <v>168</v>
      </c>
      <c r="H482" s="28" t="s">
        <v>169</v>
      </c>
      <c r="I482" s="28" t="s">
        <v>170</v>
      </c>
      <c r="J482" s="28" t="s">
        <v>171</v>
      </c>
      <c r="K482" s="28" t="s">
        <v>172</v>
      </c>
      <c r="L482" s="28" t="s">
        <v>173</v>
      </c>
      <c r="M482" s="28" t="s">
        <v>174</v>
      </c>
      <c r="N482" s="28" t="s">
        <v>175</v>
      </c>
      <c r="O482" s="28" t="s">
        <v>176</v>
      </c>
      <c r="P482" s="28" t="s">
        <v>177</v>
      </c>
      <c r="Q482" s="28" t="s">
        <v>178</v>
      </c>
      <c r="R482" s="28" t="s">
        <v>179</v>
      </c>
      <c r="S482" s="28" t="s">
        <v>180</v>
      </c>
      <c r="T482" s="28" t="s">
        <v>181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2987.5</v>
      </c>
      <c r="F483" s="15" t="n">
        <f aca="false">E483*(1+IF(F$3&lt;=$O$2,$D483,$D483-($D483-$I$481)*MIN(F$3-$O$2,$Q$2)/$Q$2))</f>
        <v>3734.375</v>
      </c>
      <c r="G483" s="15" t="n">
        <f aca="false">F483*(1+IF(G$3&lt;=$O$2,$D483,$D483-($D483-$I$481)*MIN(G$3-$O$2,$Q$2)/$Q$2))</f>
        <v>4667.96875</v>
      </c>
      <c r="H483" s="15" t="n">
        <f aca="false">G483*(1+IF(H$3&lt;=$O$2,$D483,$D483-($D483-$I$481)*MIN(H$3-$O$2,$Q$2)/$Q$2))</f>
        <v>5834.9609375</v>
      </c>
      <c r="I483" s="15" t="n">
        <f aca="false">H483*(1+IF(I$3&lt;=$O$2,$D483,$D483-($D483-$I$481)*MIN(I$3-$O$2,$Q$2)/$Q$2))</f>
        <v>7293.701171875</v>
      </c>
      <c r="J483" s="15" t="n">
        <f aca="false">I483*(1+IF(J$3&lt;=$O$2,$D483,$D483-($D483-$I$481)*MIN(J$3-$O$2,$Q$2)/$Q$2))</f>
        <v>8786.43005371094</v>
      </c>
      <c r="K483" s="15" t="n">
        <f aca="false">J483*(1+IF(K$3&lt;=$O$2,$D483,$D483-($D483-$I$481)*MIN(K$3-$O$2,$Q$2)/$Q$2))</f>
        <v>10186.2840898682</v>
      </c>
      <c r="L483" s="15" t="n">
        <f aca="false">K483*(1+IF(L$3&lt;=$O$2,$D483,$D483-($D483-$I$481)*MIN(L$3-$O$2,$Q$2)/$Q$2))</f>
        <v>11347.3167504313</v>
      </c>
      <c r="M483" s="15" t="n">
        <f aca="false">L483*(1+IF(M$3&lt;=$O$2,$D483,$D483-($D483-$I$481)*MIN(M$3-$O$2,$Q$2)/$Q$2))</f>
        <v>12126.1965721809</v>
      </c>
      <c r="N483" s="15" t="n">
        <f aca="false">M483*(1+IF(N$3&lt;=$O$2,$D483,$D483-($D483-$I$481)*MIN(N$3-$O$2,$Q$2)/$Q$2))</f>
        <v>12408.7369523128</v>
      </c>
      <c r="O483" s="15" t="n">
        <f aca="false">SUMPRODUCT(E483:N483,1/(1+$F$481)^$E$3:$N$3)*$E$2</f>
        <v>20238.427135256</v>
      </c>
      <c r="P483" s="15" t="n">
        <f aca="false">N483*$E$2*(1+$I$481)/($F$481-$I$481)/(1+$F$481)^$N$3</f>
        <v>28925.1392845007</v>
      </c>
      <c r="Q483" s="15" t="n">
        <f aca="false">O483+P483</f>
        <v>49163.5664197567</v>
      </c>
      <c r="R483" s="15" t="n">
        <f aca="false">Q483-$G$2+$I$2</f>
        <v>43812.0064197567</v>
      </c>
      <c r="S483" s="42" t="n">
        <f aca="false">R483/$K$2</f>
        <v>2028.33363054429</v>
      </c>
      <c r="T483" s="43" t="n">
        <f aca="false">S483-$M$2</f>
        <v>1303.33363054429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2091.25</v>
      </c>
      <c r="F484" s="15" t="n">
        <f aca="false">E484*(1+IF(F$3&lt;=$O$2,$D484,$D484-($D484-$I$481)*MIN(F$3-$O$2,$Q$2)/$Q$2))</f>
        <v>1829.84375</v>
      </c>
      <c r="G484" s="15" t="n">
        <f aca="false">F484*(1+IF(G$3&lt;=$O$2,$D484,$D484-($D484-$I$481)*MIN(G$3-$O$2,$Q$2)/$Q$2))</f>
        <v>1601.11328125</v>
      </c>
      <c r="H484" s="15" t="n">
        <f aca="false">G484*(1+IF(H$3&lt;=$O$2,$D484,$D484-($D484-$I$481)*MIN(H$3-$O$2,$Q$2)/$Q$2))</f>
        <v>1400.97412109375</v>
      </c>
      <c r="I484" s="15" t="n">
        <f aca="false">H484*(1+IF(I$3&lt;=$O$2,$D484,$D484-($D484-$I$481)*MIN(I$3-$O$2,$Q$2)/$Q$2))</f>
        <v>1225.85235595703</v>
      </c>
      <c r="J484" s="15" t="n">
        <f aca="false">I484*(1+IF(J$3&lt;=$O$2,$D484,$D484-($D484-$I$481)*MIN(J$3-$O$2,$Q$2)/$Q$2))</f>
        <v>1108.97959234009</v>
      </c>
      <c r="K484" s="15" t="n">
        <f aca="false">J484*(1+IF(K$3&lt;=$O$2,$D484,$D484-($D484-$I$481)*MIN(K$3-$O$2,$Q$2)/$Q$2))</f>
        <v>1036.14181271519</v>
      </c>
      <c r="L484" s="15" t="n">
        <f aca="false">K484*(1+IF(L$3&lt;=$O$2,$D484,$D484-($D484-$I$481)*MIN(L$3-$O$2,$Q$2)/$Q$2))</f>
        <v>998.81998462119</v>
      </c>
      <c r="M484" s="15" t="n">
        <f aca="false">L484*(1+IF(M$3&lt;=$O$2,$D484,$D484-($D484-$I$481)*MIN(M$3-$O$2,$Q$2)/$Q$2))</f>
        <v>992.467489518999</v>
      </c>
      <c r="N484" s="15" t="n">
        <f aca="false">M484*(1+IF(N$3&lt;=$O$2,$D484,$D484-($D484-$I$481)*MIN(N$3-$O$2,$Q$2)/$Q$2))</f>
        <v>1015.59198202479</v>
      </c>
      <c r="O484" s="15" t="n">
        <f aca="false">SUMPRODUCT(E484:N484,1/(1+$F$481)^$E$3:$N$3)*$E$2</f>
        <v>4120.88301880357</v>
      </c>
      <c r="P484" s="15" t="n">
        <f aca="false">N484*$E$2*(1+$I$481)/($F$481-$I$481)/(1+$F$481)^$N$3</f>
        <v>2367.37547497242</v>
      </c>
      <c r="Q484" s="15" t="n">
        <f aca="false">O484+P484</f>
        <v>6488.25849377599</v>
      </c>
      <c r="R484" s="15" t="n">
        <f aca="false">Q484-$G$2+$I$2</f>
        <v>1136.69849377599</v>
      </c>
      <c r="S484" s="42" t="n">
        <f aca="false">R484/$K$2</f>
        <v>52.6249302674069</v>
      </c>
      <c r="T484" s="43" t="n">
        <f aca="false">S484-$M$2</f>
        <v>-672.375069732593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2539.375</v>
      </c>
      <c r="F485" s="15" t="n">
        <f aca="false">E485*(1+IF(F$3&lt;=$O$2,$D485,$D485-($D485-$I$481)*MIN(F$3-$O$2,$Q$2)/$Q$2))</f>
        <v>2698.0859375</v>
      </c>
      <c r="G485" s="15" t="n">
        <f aca="false">F485*(1+IF(G$3&lt;=$O$2,$D485,$D485-($D485-$I$481)*MIN(G$3-$O$2,$Q$2)/$Q$2))</f>
        <v>2866.71630859375</v>
      </c>
      <c r="H485" s="15" t="n">
        <f aca="false">G485*(1+IF(H$3&lt;=$O$2,$D485,$D485-($D485-$I$481)*MIN(H$3-$O$2,$Q$2)/$Q$2))</f>
        <v>3045.88607788086</v>
      </c>
      <c r="I485" s="15" t="n">
        <f aca="false">H485*(1+IF(I$3&lt;=$O$2,$D485,$D485-($D485-$I$481)*MIN(I$3-$O$2,$Q$2)/$Q$2))</f>
        <v>3236.25395774841</v>
      </c>
      <c r="J485" s="15" t="n">
        <f aca="false">I485*(1+IF(J$3&lt;=$O$2,$D485,$D485-($D485-$I$481)*MIN(J$3-$O$2,$Q$2)/$Q$2))</f>
        <v>3413.14759907894</v>
      </c>
      <c r="K485" s="15" t="n">
        <f aca="false">J485*(1+IF(K$3&lt;=$O$2,$D485,$D485-($D485-$I$481)*MIN(K$3-$O$2,$Q$2)/$Q$2))</f>
        <v>3572.95116966782</v>
      </c>
      <c r="L485" s="15" t="n">
        <f aca="false">K485*(1+IF(L$3&lt;=$O$2,$D485,$D485-($D485-$I$481)*MIN(L$3-$O$2,$Q$2)/$Q$2))</f>
        <v>3712.22480626147</v>
      </c>
      <c r="M485" s="15" t="n">
        <f aca="false">L485*(1+IF(M$3&lt;=$O$2,$D485,$D485-($D485-$I$481)*MIN(M$3-$O$2,$Q$2)/$Q$2))</f>
        <v>3827.82348672845</v>
      </c>
      <c r="N485" s="15" t="n">
        <f aca="false">M485*(1+IF(N$3&lt;=$O$2,$D485,$D485-($D485-$I$481)*MIN(N$3-$O$2,$Q$2)/$Q$2))</f>
        <v>3917.01177396922</v>
      </c>
      <c r="O485" s="15" t="n">
        <f aca="false">SUMPRODUCT(E485:N485,1/(1+$F$481)^$E$3:$N$3)*$E$2</f>
        <v>9100.29538172518</v>
      </c>
      <c r="P485" s="15" t="n">
        <f aca="false">N485*$E$2*(1+$I$481)/($F$481-$I$481)/(1+$F$481)^$N$3</f>
        <v>9130.67233002887</v>
      </c>
      <c r="Q485" s="15" t="n">
        <f aca="false">O485+P485</f>
        <v>18230.967711754</v>
      </c>
      <c r="R485" s="15" t="n">
        <f aca="false">Q485-$G$2+$I$2</f>
        <v>12879.407711754</v>
      </c>
      <c r="S485" s="42" t="n">
        <f aca="false">R485/$K$2</f>
        <v>596.268875544169</v>
      </c>
      <c r="T485" s="43" t="n">
        <f aca="false">S485-$M$2</f>
        <v>-128.731124455831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0.0625</v>
      </c>
      <c r="C486" s="25" t="n">
        <f aca="false">IF(T485&gt;0,D485,C485)</f>
        <v>0.25</v>
      </c>
      <c r="D486" s="41" t="n">
        <f aca="false">(B486+C486)/2</f>
        <v>0.15625</v>
      </c>
      <c r="E486" s="15" t="n">
        <f aca="false">$C$2*(1+IF(E$3&lt;=$O$2,$D486,$D486-($D486-$I$481)*MIN(E$3-$O$2,$Q$2)/$Q$2))</f>
        <v>2763.4375</v>
      </c>
      <c r="F486" s="15" t="n">
        <f aca="false">E486*(1+IF(F$3&lt;=$O$2,$D486,$D486-($D486-$I$481)*MIN(F$3-$O$2,$Q$2)/$Q$2))</f>
        <v>3195.224609375</v>
      </c>
      <c r="G486" s="15" t="n">
        <f aca="false">F486*(1+IF(G$3&lt;=$O$2,$D486,$D486-($D486-$I$481)*MIN(G$3-$O$2,$Q$2)/$Q$2))</f>
        <v>3694.47845458984</v>
      </c>
      <c r="H486" s="15" t="n">
        <f aca="false">G486*(1+IF(H$3&lt;=$O$2,$D486,$D486-($D486-$I$481)*MIN(H$3-$O$2,$Q$2)/$Q$2))</f>
        <v>4271.74071311951</v>
      </c>
      <c r="I486" s="15" t="n">
        <f aca="false">H486*(1+IF(I$3&lt;=$O$2,$D486,$D486-($D486-$I$481)*MIN(I$3-$O$2,$Q$2)/$Q$2))</f>
        <v>4939.20019954443</v>
      </c>
      <c r="J486" s="15" t="n">
        <f aca="false">I486*(1+IF(J$3&lt;=$O$2,$D486,$D486-($D486-$I$481)*MIN(J$3-$O$2,$Q$2)/$Q$2))</f>
        <v>5579.61689741736</v>
      </c>
      <c r="K486" s="15" t="n">
        <f aca="false">J486*(1+IF(K$3&lt;=$O$2,$D486,$D486-($D486-$I$481)*MIN(K$3-$O$2,$Q$2)/$Q$2))</f>
        <v>6154.70801103417</v>
      </c>
      <c r="L486" s="15" t="n">
        <f aca="false">K486*(1+IF(L$3&lt;=$O$2,$D486,$D486-($D486-$I$481)*MIN(L$3-$O$2,$Q$2)/$Q$2))</f>
        <v>6625.42007971806</v>
      </c>
      <c r="M486" s="15" t="n">
        <f aca="false">L486*(1+IF(M$3&lt;=$O$2,$D486,$D486-($D486-$I$481)*MIN(M$3-$O$2,$Q$2)/$Q$2))</f>
        <v>6955.96228749519</v>
      </c>
      <c r="N486" s="15" t="n">
        <f aca="false">M486*(1+IF(N$3&lt;=$O$2,$D486,$D486-($D486-$I$481)*MIN(N$3-$O$2,$Q$2)/$Q$2))</f>
        <v>7118.03620879383</v>
      </c>
      <c r="O486" s="15" t="n">
        <f aca="false">SUMPRODUCT(E486:N486,1/(1+$F$481)^$E$3:$N$3)*$E$2</f>
        <v>13589.3928750997</v>
      </c>
      <c r="P486" s="15" t="n">
        <f aca="false">N486*$E$2*(1+$I$481)/($F$481-$I$481)/(1+$F$481)^$N$3</f>
        <v>16592.3566244271</v>
      </c>
      <c r="Q486" s="15" t="n">
        <f aca="false">O486+P486</f>
        <v>30181.7494995269</v>
      </c>
      <c r="R486" s="15" t="n">
        <f aca="false">Q486-$G$2+$I$2</f>
        <v>24830.1894995269</v>
      </c>
      <c r="S486" s="42" t="n">
        <f aca="false">R486/$K$2</f>
        <v>1149.54581016328</v>
      </c>
      <c r="T486" s="43" t="n">
        <f aca="false">S486-$M$2</f>
        <v>424.545810163281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0.0625</v>
      </c>
      <c r="C487" s="25" t="n">
        <f aca="false">IF(T486&gt;0,D486,C486)</f>
        <v>0.15625</v>
      </c>
      <c r="D487" s="41" t="n">
        <f aca="false">(B487+C487)/2</f>
        <v>0.109375</v>
      </c>
      <c r="E487" s="15" t="n">
        <f aca="false">$C$2*(1+IF(E$3&lt;=$O$2,$D487,$D487-($D487-$I$481)*MIN(E$3-$O$2,$Q$2)/$Q$2))</f>
        <v>2651.40625</v>
      </c>
      <c r="F487" s="15" t="n">
        <f aca="false">E487*(1+IF(F$3&lt;=$O$2,$D487,$D487-($D487-$I$481)*MIN(F$3-$O$2,$Q$2)/$Q$2))</f>
        <v>2941.40380859375</v>
      </c>
      <c r="G487" s="15" t="n">
        <f aca="false">F487*(1+IF(G$3&lt;=$O$2,$D487,$D487-($D487-$I$481)*MIN(G$3-$O$2,$Q$2)/$Q$2))</f>
        <v>3263.11985015869</v>
      </c>
      <c r="H487" s="15" t="n">
        <f aca="false">G487*(1+IF(H$3&lt;=$O$2,$D487,$D487-($D487-$I$481)*MIN(H$3-$O$2,$Q$2)/$Q$2))</f>
        <v>3620.0235837698</v>
      </c>
      <c r="I487" s="15" t="n">
        <f aca="false">H487*(1+IF(I$3&lt;=$O$2,$D487,$D487-($D487-$I$481)*MIN(I$3-$O$2,$Q$2)/$Q$2))</f>
        <v>4015.96366324462</v>
      </c>
      <c r="J487" s="15" t="n">
        <f aca="false">I487*(1+IF(J$3&lt;=$O$2,$D487,$D487-($D487-$I$481)*MIN(J$3-$O$2,$Q$2)/$Q$2))</f>
        <v>4386.07487444924</v>
      </c>
      <c r="K487" s="15" t="n">
        <f aca="false">J487*(1+IF(K$3&lt;=$O$2,$D487,$D487-($D487-$I$481)*MIN(K$3-$O$2,$Q$2)/$Q$2))</f>
        <v>4714.78925591484</v>
      </c>
      <c r="L487" s="15" t="n">
        <f aca="false">K487*(1+IF(L$3&lt;=$O$2,$D487,$D487-($D487-$I$481)*MIN(L$3-$O$2,$Q$2)/$Q$2))</f>
        <v>4986.97403965881</v>
      </c>
      <c r="M487" s="15" t="n">
        <f aca="false">L487*(1+IF(M$3&lt;=$O$2,$D487,$D487-($D487-$I$481)*MIN(M$3-$O$2,$Q$2)/$Q$2))</f>
        <v>5189.02129287558</v>
      </c>
      <c r="N487" s="15" t="n">
        <f aca="false">M487*(1+IF(N$3&lt;=$O$2,$D487,$D487-($D487-$I$481)*MIN(N$3-$O$2,$Q$2)/$Q$2))</f>
        <v>5309.92548899959</v>
      </c>
      <c r="O487" s="15" t="n">
        <f aca="false">SUMPRODUCT(E487:N487,1/(1+$F$481)^$E$3:$N$3)*$E$2</f>
        <v>11121.5335701902</v>
      </c>
      <c r="P487" s="15" t="n">
        <f aca="false">N487*$E$2*(1+$I$481)/($F$481-$I$481)/(1+$F$481)^$N$3</f>
        <v>12377.5961203696</v>
      </c>
      <c r="Q487" s="15" t="n">
        <f aca="false">O487+P487</f>
        <v>23499.1296905598</v>
      </c>
      <c r="R487" s="15" t="n">
        <f aca="false">Q487-$G$2+$I$2</f>
        <v>18147.5696905598</v>
      </c>
      <c r="S487" s="42" t="n">
        <f aca="false">R487/$K$2</f>
        <v>840.165263451843</v>
      </c>
      <c r="T487" s="43" t="n">
        <f aca="false">S487-$M$2</f>
        <v>115.165263451843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0.0625</v>
      </c>
      <c r="C488" s="25" t="n">
        <f aca="false">IF(T487&gt;0,D487,C487)</f>
        <v>0.109375</v>
      </c>
      <c r="D488" s="41" t="n">
        <f aca="false">(B488+C488)/2</f>
        <v>0.0859375</v>
      </c>
      <c r="E488" s="15" t="n">
        <f aca="false">$C$2*(1+IF(E$3&lt;=$O$2,$D488,$D488-($D488-$I$481)*MIN(E$3-$O$2,$Q$2)/$Q$2))</f>
        <v>2595.390625</v>
      </c>
      <c r="F488" s="15" t="n">
        <f aca="false">E488*(1+IF(F$3&lt;=$O$2,$D488,$D488-($D488-$I$481)*MIN(F$3-$O$2,$Q$2)/$Q$2))</f>
        <v>2818.43200683594</v>
      </c>
      <c r="G488" s="15" t="n">
        <f aca="false">F488*(1+IF(G$3&lt;=$O$2,$D488,$D488-($D488-$I$481)*MIN(G$3-$O$2,$Q$2)/$Q$2))</f>
        <v>3060.6410074234</v>
      </c>
      <c r="H488" s="15" t="n">
        <f aca="false">G488*(1+IF(H$3&lt;=$O$2,$D488,$D488-($D488-$I$481)*MIN(H$3-$O$2,$Q$2)/$Q$2))</f>
        <v>3323.66484399885</v>
      </c>
      <c r="I488" s="15" t="n">
        <f aca="false">H488*(1+IF(I$3&lt;=$O$2,$D488,$D488-($D488-$I$481)*MIN(I$3-$O$2,$Q$2)/$Q$2))</f>
        <v>3609.29229153</v>
      </c>
      <c r="J488" s="15" t="n">
        <f aca="false">I488*(1+IF(J$3&lt;=$O$2,$D488,$D488-($D488-$I$481)*MIN(J$3-$O$2,$Q$2)/$Q$2))</f>
        <v>3874.25043865122</v>
      </c>
      <c r="K488" s="15" t="n">
        <f aca="false">J488*(1+IF(K$3&lt;=$O$2,$D488,$D488-($D488-$I$481)*MIN(K$3-$O$2,$Q$2)/$Q$2))</f>
        <v>4110.1244909824</v>
      </c>
      <c r="L488" s="15" t="n">
        <f aca="false">K488*(1+IF(L$3&lt;=$O$2,$D488,$D488-($D488-$I$481)*MIN(L$3-$O$2,$Q$2)/$Q$2))</f>
        <v>4308.86956074385</v>
      </c>
      <c r="M488" s="15" t="n">
        <f aca="false">L488*(1+IF(M$3&lt;=$O$2,$D488,$D488-($D488-$I$481)*MIN(M$3-$O$2,$Q$2)/$Q$2))</f>
        <v>4463.2455849314</v>
      </c>
      <c r="N488" s="15" t="n">
        <f aca="false">M488*(1+IF(N$3&lt;=$O$2,$D488,$D488-($D488-$I$481)*MIN(N$3-$O$2,$Q$2)/$Q$2))</f>
        <v>4567.23920706031</v>
      </c>
      <c r="O488" s="15" t="n">
        <f aca="false">SUMPRODUCT(E488:N488,1/(1+$F$481)^$E$3:$N$3)*$E$2</f>
        <v>10060.1464107549</v>
      </c>
      <c r="P488" s="15" t="n">
        <f aca="false">N488*$E$2*(1+$I$481)/($F$481-$I$481)/(1+$F$481)^$N$3</f>
        <v>10646.3720455634</v>
      </c>
      <c r="Q488" s="15" t="n">
        <f aca="false">O488+P488</f>
        <v>20706.5184563182</v>
      </c>
      <c r="R488" s="15" t="n">
        <f aca="false">Q488-$G$2+$I$2</f>
        <v>15354.9584563182</v>
      </c>
      <c r="S488" s="42" t="n">
        <f aca="false">R488/$K$2</f>
        <v>710.87770631103</v>
      </c>
      <c r="T488" s="43" t="n">
        <f aca="false">S488-$M$2</f>
        <v>-14.1222936889703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0.0859375</v>
      </c>
      <c r="C489" s="25" t="n">
        <f aca="false">IF(T488&gt;0,D488,C488)</f>
        <v>0.109375</v>
      </c>
      <c r="D489" s="41" t="n">
        <f aca="false">(B489+C489)/2</f>
        <v>0.09765625</v>
      </c>
      <c r="E489" s="15" t="n">
        <f aca="false">$C$2*(1+IF(E$3&lt;=$O$2,$D489,$D489-($D489-$I$481)*MIN(E$3-$O$2,$Q$2)/$Q$2))</f>
        <v>2623.3984375</v>
      </c>
      <c r="F489" s="15" t="n">
        <f aca="false">E489*(1+IF(F$3&lt;=$O$2,$D489,$D489-($D489-$I$481)*MIN(F$3-$O$2,$Q$2)/$Q$2))</f>
        <v>2879.58969116211</v>
      </c>
      <c r="G489" s="15" t="n">
        <f aca="false">F489*(1+IF(G$3&lt;=$O$2,$D489,$D489-($D489-$I$481)*MIN(G$3-$O$2,$Q$2)/$Q$2))</f>
        <v>3160.79962193966</v>
      </c>
      <c r="H489" s="15" t="n">
        <f aca="false">G489*(1+IF(H$3&lt;=$O$2,$D489,$D489-($D489-$I$481)*MIN(H$3-$O$2,$Q$2)/$Q$2))</f>
        <v>3469.4714600197</v>
      </c>
      <c r="I489" s="15" t="n">
        <f aca="false">H489*(1+IF(I$3&lt;=$O$2,$D489,$D489-($D489-$I$481)*MIN(I$3-$O$2,$Q$2)/$Q$2))</f>
        <v>3808.28703228725</v>
      </c>
      <c r="J489" s="15" t="n">
        <f aca="false">I489*(1+IF(J$3&lt;=$O$2,$D489,$D489-($D489-$I$481)*MIN(J$3-$O$2,$Q$2)/$Q$2))</f>
        <v>4123.55607425515</v>
      </c>
      <c r="K489" s="15" t="n">
        <f aca="false">J489*(1+IF(K$3&lt;=$O$2,$D489,$D489-($D489-$I$481)*MIN(K$3-$O$2,$Q$2)/$Q$2))</f>
        <v>4403.6022305931</v>
      </c>
      <c r="L489" s="15" t="n">
        <f aca="false">K489*(1+IF(L$3&lt;=$O$2,$D489,$D489-($D489-$I$481)*MIN(L$3-$O$2,$Q$2)/$Q$2))</f>
        <v>4637.18030190933</v>
      </c>
      <c r="M489" s="15" t="n">
        <f aca="false">L489*(1+IF(M$3&lt;=$O$2,$D489,$D489-($D489-$I$481)*MIN(M$3-$O$2,$Q$2)/$Q$2))</f>
        <v>4814.18727050859</v>
      </c>
      <c r="N489" s="15" t="n">
        <f aca="false">M489*(1+IF(N$3&lt;=$O$2,$D489,$D489-($D489-$I$481)*MIN(N$3-$O$2,$Q$2)/$Q$2))</f>
        <v>4926.35783391144</v>
      </c>
      <c r="O489" s="15" t="n">
        <f aca="false">SUMPRODUCT(E489:N489,1/(1+$F$481)^$E$3:$N$3)*$E$2</f>
        <v>10577.5472549906</v>
      </c>
      <c r="P489" s="15" t="n">
        <f aca="false">N489*$E$2*(1+$I$481)/($F$481-$I$481)/(1+$F$481)^$N$3</f>
        <v>11483.4883726519</v>
      </c>
      <c r="Q489" s="15" t="n">
        <f aca="false">O489+P489</f>
        <v>22061.0356276425</v>
      </c>
      <c r="R489" s="15" t="n">
        <f aca="false">Q489-$G$2+$I$2</f>
        <v>16709.4756276425</v>
      </c>
      <c r="S489" s="42" t="n">
        <f aca="false">R489/$K$2</f>
        <v>773.586834613078</v>
      </c>
      <c r="T489" s="43" t="n">
        <f aca="false">S489-$M$2</f>
        <v>48.5868346130776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0.0859375</v>
      </c>
      <c r="C490" s="25" t="n">
        <f aca="false">IF(T489&gt;0,D489,C489)</f>
        <v>0.09765625</v>
      </c>
      <c r="D490" s="41" t="n">
        <f aca="false">(B490+C490)/2</f>
        <v>0.091796875</v>
      </c>
      <c r="E490" s="15" t="n">
        <f aca="false">$C$2*(1+IF(E$3&lt;=$O$2,$D490,$D490-($D490-$I$481)*MIN(E$3-$O$2,$Q$2)/$Q$2))</f>
        <v>2609.39453125</v>
      </c>
      <c r="F490" s="15" t="n">
        <f aca="false">E490*(1+IF(F$3&lt;=$O$2,$D490,$D490-($D490-$I$481)*MIN(F$3-$O$2,$Q$2)/$Q$2))</f>
        <v>2848.92879486084</v>
      </c>
      <c r="G490" s="15" t="n">
        <f aca="false">F490*(1+IF(G$3&lt;=$O$2,$D490,$D490-($D490-$I$481)*MIN(G$3-$O$2,$Q$2)/$Q$2))</f>
        <v>3110.45155532658</v>
      </c>
      <c r="H490" s="15" t="n">
        <f aca="false">G490*(1+IF(H$3&lt;=$O$2,$D490,$D490-($D490-$I$481)*MIN(H$3-$O$2,$Q$2)/$Q$2))</f>
        <v>3395.98128794445</v>
      </c>
      <c r="I490" s="15" t="n">
        <f aca="false">H490*(1+IF(I$3&lt;=$O$2,$D490,$D490-($D490-$I$481)*MIN(I$3-$O$2,$Q$2)/$Q$2))</f>
        <v>3707.72175773623</v>
      </c>
      <c r="J490" s="15" t="n">
        <f aca="false">I490*(1+IF(J$3&lt;=$O$2,$D490,$D490-($D490-$I$481)*MIN(J$3-$O$2,$Q$2)/$Q$2))</f>
        <v>3997.28555771103</v>
      </c>
      <c r="K490" s="15" t="n">
        <f aca="false">J490*(1+IF(K$3&lt;=$O$2,$D490,$D490-($D490-$I$481)*MIN(K$3-$O$2,$Q$2)/$Q$2))</f>
        <v>4254.7032527172</v>
      </c>
      <c r="L490" s="15" t="n">
        <f aca="false">K490*(1+IF(L$3&lt;=$O$2,$D490,$D490-($D490-$I$481)*MIN(L$3-$O$2,$Q$2)/$Q$2))</f>
        <v>4470.4113892509</v>
      </c>
      <c r="M490" s="15" t="n">
        <f aca="false">L490*(1+IF(M$3&lt;=$O$2,$D490,$D490-($D490-$I$481)*MIN(M$3-$O$2,$Q$2)/$Q$2))</f>
        <v>4635.81381664606</v>
      </c>
      <c r="N490" s="15" t="n">
        <f aca="false">M490*(1+IF(N$3&lt;=$O$2,$D490,$D490-($D490-$I$481)*MIN(N$3-$O$2,$Q$2)/$Q$2))</f>
        <v>4743.82827857392</v>
      </c>
      <c r="O490" s="15" t="n">
        <f aca="false">SUMPRODUCT(E490:N490,1/(1+$F$481)^$E$3:$N$3)*$E$2</f>
        <v>10315.600649613</v>
      </c>
      <c r="P490" s="15" t="n">
        <f aca="false">N490*$E$2*(1+$I$481)/($F$481-$I$481)/(1+$F$481)^$N$3</f>
        <v>11058.0064858196</v>
      </c>
      <c r="Q490" s="15" t="n">
        <f aca="false">O490+P490</f>
        <v>21373.6071354326</v>
      </c>
      <c r="R490" s="15" t="n">
        <f aca="false">Q490-$G$2+$I$2</f>
        <v>16022.0471354326</v>
      </c>
      <c r="S490" s="42" t="n">
        <f aca="false">R490/$K$2</f>
        <v>741.761441455213</v>
      </c>
      <c r="T490" s="43" t="n">
        <f aca="false">S490-$M$2</f>
        <v>16.7614414552133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0.0859375</v>
      </c>
      <c r="C491" s="25" t="n">
        <f aca="false">IF(T490&gt;0,D490,C490)</f>
        <v>0.091796875</v>
      </c>
      <c r="D491" s="41" t="n">
        <f aca="false">(B491+C491)/2</f>
        <v>0.0888671875</v>
      </c>
      <c r="E491" s="15" t="n">
        <f aca="false">$C$2*(1+IF(E$3&lt;=$O$2,$D491,$D491-($D491-$I$481)*MIN(E$3-$O$2,$Q$2)/$Q$2))</f>
        <v>2602.392578125</v>
      </c>
      <c r="F491" s="15" t="n">
        <f aca="false">E491*(1+IF(F$3&lt;=$O$2,$D491,$D491-($D491-$I$481)*MIN(F$3-$O$2,$Q$2)/$Q$2))</f>
        <v>2833.65988731384</v>
      </c>
      <c r="G491" s="15" t="n">
        <f aca="false">F491*(1+IF(G$3&lt;=$O$2,$D491,$D491-($D491-$I$481)*MIN(G$3-$O$2,$Q$2)/$Q$2))</f>
        <v>3085.47927183099</v>
      </c>
      <c r="H491" s="15" t="n">
        <f aca="false">G491*(1+IF(H$3&lt;=$O$2,$D491,$D491-($D491-$I$481)*MIN(H$3-$O$2,$Q$2)/$Q$2))</f>
        <v>3359.67713680816</v>
      </c>
      <c r="I491" s="15" t="n">
        <f aca="false">H491*(1+IF(I$3&lt;=$O$2,$D491,$D491-($D491-$I$481)*MIN(I$3-$O$2,$Q$2)/$Q$2))</f>
        <v>3658.24219486435</v>
      </c>
      <c r="J491" s="15" t="n">
        <f aca="false">I491*(1+IF(J$3&lt;=$O$2,$D491,$D491-($D491-$I$481)*MIN(J$3-$O$2,$Q$2)/$Q$2))</f>
        <v>3935.36775953356</v>
      </c>
      <c r="K491" s="15" t="n">
        <f aca="false">J491*(1+IF(K$3&lt;=$O$2,$D491,$D491-($D491-$I$481)*MIN(K$3-$O$2,$Q$2)/$Q$2))</f>
        <v>4181.88042579317</v>
      </c>
      <c r="L491" s="15" t="n">
        <f aca="false">K491*(1+IF(L$3&lt;=$O$2,$D491,$D491-($D491-$I$481)*MIN(L$3-$O$2,$Q$2)/$Q$2))</f>
        <v>4388.99589490637</v>
      </c>
      <c r="M491" s="15" t="n">
        <f aca="false">L491*(1+IF(M$3&lt;=$O$2,$D491,$D491-($D491-$I$481)*MIN(M$3-$O$2,$Q$2)/$Q$2))</f>
        <v>4548.8143226133</v>
      </c>
      <c r="N491" s="15" t="n">
        <f aca="false">M491*(1+IF(N$3&lt;=$O$2,$D491,$D491-($D491-$I$481)*MIN(N$3-$O$2,$Q$2)/$Q$2))</f>
        <v>4654.80169633019</v>
      </c>
      <c r="O491" s="15" t="n">
        <f aca="false">SUMPRODUCT(E491:N491,1/(1+$F$481)^$E$3:$N$3)*$E$2</f>
        <v>10187.0714397356</v>
      </c>
      <c r="P491" s="15" t="n">
        <f aca="false">N491*$E$2*(1+$I$481)/($F$481-$I$481)/(1+$F$481)^$N$3</f>
        <v>10850.4828432991</v>
      </c>
      <c r="Q491" s="15" t="n">
        <f aca="false">O491+P491</f>
        <v>21037.5542830346</v>
      </c>
      <c r="R491" s="15" t="n">
        <f aca="false">Q491-$G$2+$I$2</f>
        <v>15685.9942830346</v>
      </c>
      <c r="S491" s="42" t="n">
        <f aca="false">R491/$K$2</f>
        <v>726.20343902938</v>
      </c>
      <c r="T491" s="43" t="n">
        <f aca="false">S491-$M$2</f>
        <v>1.20343902938021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0.0859375</v>
      </c>
      <c r="C492" s="25" t="n">
        <f aca="false">IF(T491&gt;0,D491,C491)</f>
        <v>0.0888671875</v>
      </c>
      <c r="D492" s="41" t="n">
        <f aca="false">(B492+C492)/2</f>
        <v>0.08740234375</v>
      </c>
      <c r="E492" s="15" t="n">
        <f aca="false">$C$2*(1+IF(E$3&lt;=$O$2,$D492,$D492-($D492-$I$481)*MIN(E$3-$O$2,$Q$2)/$Q$2))</f>
        <v>2598.8916015625</v>
      </c>
      <c r="F492" s="15" t="n">
        <f aca="false">E492*(1+IF(F$3&lt;=$O$2,$D492,$D492-($D492-$I$481)*MIN(F$3-$O$2,$Q$2)/$Q$2))</f>
        <v>2826.04081869125</v>
      </c>
      <c r="G492" s="15" t="n">
        <f aca="false">F492*(1+IF(G$3&lt;=$O$2,$D492,$D492-($D492-$I$481)*MIN(G$3-$O$2,$Q$2)/$Q$2))</f>
        <v>3073.04340977804</v>
      </c>
      <c r="H492" s="15" t="n">
        <f aca="false">G492*(1+IF(H$3&lt;=$O$2,$D492,$D492-($D492-$I$481)*MIN(H$3-$O$2,$Q$2)/$Q$2))</f>
        <v>3341.63460623813</v>
      </c>
      <c r="I492" s="15" t="n">
        <f aca="false">H492*(1+IF(I$3&lt;=$O$2,$D492,$D492-($D492-$I$481)*MIN(I$3-$O$2,$Q$2)/$Q$2))</f>
        <v>3633.70130277945</v>
      </c>
      <c r="J492" s="15" t="n">
        <f aca="false">I492*(1+IF(J$3&lt;=$O$2,$D492,$D492-($D492-$I$481)*MIN(J$3-$O$2,$Q$2)/$Q$2))</f>
        <v>3904.70955913069</v>
      </c>
      <c r="K492" s="15" t="n">
        <f aca="false">J492*(1+IF(K$3&lt;=$O$2,$D492,$D492-($D492-$I$481)*MIN(K$3-$O$2,$Q$2)/$Q$2))</f>
        <v>4145.86991250041</v>
      </c>
      <c r="L492" s="15" t="n">
        <f aca="false">K492*(1+IF(L$3&lt;=$O$2,$D492,$D492-($D492-$I$481)*MIN(L$3-$O$2,$Q$2)/$Q$2))</f>
        <v>4348.77267277123</v>
      </c>
      <c r="M492" s="15" t="n">
        <f aca="false">L492*(1+IF(M$3&lt;=$O$2,$D492,$D492-($D492-$I$481)*MIN(M$3-$O$2,$Q$2)/$Q$2))</f>
        <v>4505.85238019892</v>
      </c>
      <c r="N492" s="15" t="n">
        <f aca="false">M492*(1+IF(N$3&lt;=$O$2,$D492,$D492-($D492-$I$481)*MIN(N$3-$O$2,$Q$2)/$Q$2))</f>
        <v>4610.83874065755</v>
      </c>
      <c r="O492" s="15" t="n">
        <f aca="false">SUMPRODUCT(E492:N492,1/(1+$F$481)^$E$3:$N$3)*$E$2</f>
        <v>10123.4095740797</v>
      </c>
      <c r="P492" s="15" t="n">
        <f aca="false">N492*$E$2*(1+$I$481)/($F$481-$I$481)/(1+$F$481)^$N$3</f>
        <v>10748.0038705336</v>
      </c>
      <c r="Q492" s="15" t="n">
        <f aca="false">O492+P492</f>
        <v>20871.4134446133</v>
      </c>
      <c r="R492" s="15" t="n">
        <f aca="false">Q492-$G$2+$I$2</f>
        <v>15519.8534446133</v>
      </c>
      <c r="S492" s="42" t="n">
        <f aca="false">R492/$K$2</f>
        <v>718.511733546912</v>
      </c>
      <c r="T492" s="43" t="n">
        <f aca="false">S492-$M$2</f>
        <v>-6.48826645308839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0.08740234375</v>
      </c>
      <c r="C493" s="25" t="n">
        <f aca="false">IF(T492&gt;0,D492,C492)</f>
        <v>0.0888671875</v>
      </c>
      <c r="D493" s="41" t="n">
        <f aca="false">(B493+C493)/2</f>
        <v>0.088134765625</v>
      </c>
      <c r="E493" s="15" t="n">
        <f aca="false">$C$2*(1+IF(E$3&lt;=$O$2,$D493,$D493-($D493-$I$481)*MIN(E$3-$O$2,$Q$2)/$Q$2))</f>
        <v>2600.64208984375</v>
      </c>
      <c r="F493" s="15" t="n">
        <f aca="false">E493*(1+IF(F$3&lt;=$O$2,$D493,$D493-($D493-$I$481)*MIN(F$3-$O$2,$Q$2)/$Q$2))</f>
        <v>2829.84907090664</v>
      </c>
      <c r="G493" s="15" t="n">
        <f aca="false">F493*(1+IF(G$3&lt;=$O$2,$D493,$D493-($D493-$I$481)*MIN(G$3-$O$2,$Q$2)/$Q$2))</f>
        <v>3079.25715552512</v>
      </c>
      <c r="H493" s="15" t="n">
        <f aca="false">G493*(1+IF(H$3&lt;=$O$2,$D493,$D493-($D493-$I$481)*MIN(H$3-$O$2,$Q$2)/$Q$2))</f>
        <v>3350.64676322643</v>
      </c>
      <c r="I493" s="15" t="n">
        <f aca="false">H493*(1+IF(I$3&lt;=$O$2,$D493,$D493-($D493-$I$481)*MIN(I$3-$O$2,$Q$2)/$Q$2))</f>
        <v>3645.95523039556</v>
      </c>
      <c r="J493" s="15" t="n">
        <f aca="false">I493*(1+IF(J$3&lt;=$O$2,$D493,$D493-($D493-$I$481)*MIN(J$3-$O$2,$Q$2)/$Q$2))</f>
        <v>3920.01370953732</v>
      </c>
      <c r="K493" s="15" t="n">
        <f aca="false">J493*(1+IF(K$3&lt;=$O$2,$D493,$D493-($D493-$I$481)*MIN(K$3-$O$2,$Q$2)/$Q$2))</f>
        <v>4163.84193103233</v>
      </c>
      <c r="L493" s="15" t="n">
        <f aca="false">K493*(1+IF(L$3&lt;=$O$2,$D493,$D493-($D493-$I$481)*MIN(L$3-$O$2,$Q$2)/$Q$2))</f>
        <v>4368.84413430459</v>
      </c>
      <c r="M493" s="15" t="n">
        <f aca="false">L493*(1+IF(M$3&lt;=$O$2,$D493,$D493-($D493-$I$481)*MIN(M$3-$O$2,$Q$2)/$Q$2))</f>
        <v>4527.28879973385</v>
      </c>
      <c r="N493" s="15" t="n">
        <f aca="false">M493*(1+IF(N$3&lt;=$O$2,$D493,$D493-($D493-$I$481)*MIN(N$3-$O$2,$Q$2)/$Q$2))</f>
        <v>4632.77462876765</v>
      </c>
      <c r="O493" s="15" t="n">
        <f aca="false">SUMPRODUCT(E493:N493,1/(1+$F$481)^$E$3:$N$3)*$E$2</f>
        <v>10155.1905231505</v>
      </c>
      <c r="P493" s="15" t="n">
        <f aca="false">N493*$E$2*(1+$I$481)/($F$481-$I$481)/(1+$F$481)^$N$3</f>
        <v>10799.1370858925</v>
      </c>
      <c r="Q493" s="15" t="n">
        <f aca="false">O493+P493</f>
        <v>20954.3276090429</v>
      </c>
      <c r="R493" s="15" t="n">
        <f aca="false">Q493-$G$2+$I$2</f>
        <v>15602.7676090429</v>
      </c>
      <c r="S493" s="42" t="n">
        <f aca="false">R493/$K$2</f>
        <v>722.350352270506</v>
      </c>
      <c r="T493" s="43" t="n">
        <f aca="false">S493-$M$2</f>
        <v>-2.6496477294944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0.088134765625</v>
      </c>
      <c r="C494" s="25" t="n">
        <f aca="false">IF(T493&gt;0,D493,C493)</f>
        <v>0.0888671875</v>
      </c>
      <c r="D494" s="41" t="n">
        <f aca="false">(B494+C494)/2</f>
        <v>0.0885009765625</v>
      </c>
      <c r="E494" s="15" t="n">
        <f aca="false">$C$2*(1+IF(E$3&lt;=$O$2,$D494,$D494-($D494-$I$481)*MIN(E$3-$O$2,$Q$2)/$Q$2))</f>
        <v>2601.51733398438</v>
      </c>
      <c r="F494" s="15" t="n">
        <f aca="false">E494*(1+IF(F$3&lt;=$O$2,$D494,$D494-($D494-$I$481)*MIN(F$3-$O$2,$Q$2)/$Q$2))</f>
        <v>2831.75415858626</v>
      </c>
      <c r="G494" s="15" t="n">
        <f aca="false">F494*(1+IF(G$3&lt;=$O$2,$D494,$D494-($D494-$I$481)*MIN(G$3-$O$2,$Q$2)/$Q$2))</f>
        <v>3082.36716700607</v>
      </c>
      <c r="H494" s="15" t="n">
        <f aca="false">G494*(1+IF(H$3&lt;=$O$2,$D494,$D494-($D494-$I$481)*MIN(H$3-$O$2,$Q$2)/$Q$2))</f>
        <v>3355.15967141029</v>
      </c>
      <c r="I494" s="15" t="n">
        <f aca="false">H494*(1+IF(I$3&lt;=$O$2,$D494,$D494-($D494-$I$481)*MIN(I$3-$O$2,$Q$2)/$Q$2))</f>
        <v>3652.09457885322</v>
      </c>
      <c r="J494" s="15" t="n">
        <f aca="false">I494*(1+IF(J$3&lt;=$O$2,$D494,$D494-($D494-$I$481)*MIN(J$3-$O$2,$Q$2)/$Q$2))</f>
        <v>3927.68448897237</v>
      </c>
      <c r="K494" s="15" t="n">
        <f aca="false">J494*(1+IF(K$3&lt;=$O$2,$D494,$D494-($D494-$I$481)*MIN(K$3-$O$2,$Q$2)/$Q$2))</f>
        <v>4172.85285615166</v>
      </c>
      <c r="L494" s="15" t="n">
        <f aca="false">K494*(1+IF(L$3&lt;=$O$2,$D494,$D494-($D494-$I$481)*MIN(L$3-$O$2,$Q$2)/$Q$2))</f>
        <v>4378.90996020908</v>
      </c>
      <c r="M494" s="15" t="n">
        <f aca="false">L494*(1+IF(M$3&lt;=$O$2,$D494,$D494-($D494-$I$481)*MIN(M$3-$O$2,$Q$2)/$Q$2))</f>
        <v>4538.04040341892</v>
      </c>
      <c r="N494" s="15" t="n">
        <f aca="false">M494*(1+IF(N$3&lt;=$O$2,$D494,$D494-($D494-$I$481)*MIN(N$3-$O$2,$Q$2)/$Q$2))</f>
        <v>4643.77674481859</v>
      </c>
      <c r="O494" s="15" t="n">
        <f aca="false">SUMPRODUCT(E494:N494,1/(1+$F$481)^$E$3:$N$3)*$E$2</f>
        <v>10171.1184672174</v>
      </c>
      <c r="P494" s="15" t="n">
        <f aca="false">N494*$E$2*(1+$I$481)/($F$481-$I$481)/(1+$F$481)^$N$3</f>
        <v>10824.7833495227</v>
      </c>
      <c r="Q494" s="15" t="n">
        <f aca="false">O494+P494</f>
        <v>20995.9018167401</v>
      </c>
      <c r="R494" s="15" t="n">
        <f aca="false">Q494-$G$2+$I$2</f>
        <v>15644.3418167401</v>
      </c>
      <c r="S494" s="42" t="n">
        <f aca="false">R494/$K$2</f>
        <v>724.275084108339</v>
      </c>
      <c r="T494" s="43" t="n">
        <f aca="false">S494-$M$2</f>
        <v>-0.72491589166134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0.0885009765625</v>
      </c>
      <c r="C495" s="25" t="n">
        <f aca="false">IF(T494&gt;0,D494,C494)</f>
        <v>0.0888671875</v>
      </c>
      <c r="D495" s="41" t="n">
        <f aca="false">(B495+C495)/2</f>
        <v>0.08868408203125</v>
      </c>
      <c r="E495" s="15" t="n">
        <f aca="false">$C$2*(1+IF(E$3&lt;=$O$2,$D495,$D495-($D495-$I$481)*MIN(E$3-$O$2,$Q$2)/$Q$2))</f>
        <v>2601.95495605469</v>
      </c>
      <c r="F495" s="15" t="n">
        <f aca="false">E495*(1+IF(F$3&lt;=$O$2,$D495,$D495-($D495-$I$481)*MIN(F$3-$O$2,$Q$2)/$Q$2))</f>
        <v>2832.70694281906</v>
      </c>
      <c r="G495" s="15" t="n">
        <f aca="false">F495*(1+IF(G$3&lt;=$O$2,$D495,$D495-($D495-$I$481)*MIN(G$3-$O$2,$Q$2)/$Q$2))</f>
        <v>3083.92295770652</v>
      </c>
      <c r="H495" s="15" t="n">
        <f aca="false">G495*(1+IF(H$3&lt;=$O$2,$D495,$D495-($D495-$I$481)*MIN(H$3-$O$2,$Q$2)/$Q$2))</f>
        <v>3357.41783426582</v>
      </c>
      <c r="I495" s="15" t="n">
        <f aca="false">H495*(1+IF(I$3&lt;=$O$2,$D495,$D495-($D495-$I$481)*MIN(I$3-$O$2,$Q$2)/$Q$2))</f>
        <v>3655.16735289303</v>
      </c>
      <c r="J495" s="15" t="n">
        <f aca="false">I495*(1+IF(J$3&lt;=$O$2,$D495,$D495-($D495-$I$481)*MIN(J$3-$O$2,$Q$2)/$Q$2))</f>
        <v>3931.52456184704</v>
      </c>
      <c r="K495" s="15" t="n">
        <f aca="false">J495*(1+IF(K$3&lt;=$O$2,$D495,$D495-($D495-$I$481)*MIN(K$3-$O$2,$Q$2)/$Q$2))</f>
        <v>4177.36455881388</v>
      </c>
      <c r="L495" s="15" t="n">
        <f aca="false">K495*(1+IF(L$3&lt;=$O$2,$D495,$D495-($D495-$I$481)*MIN(L$3-$O$2,$Q$2)/$Q$2))</f>
        <v>4383.95041182942</v>
      </c>
      <c r="M495" s="15" t="n">
        <f aca="false">L495*(1+IF(M$3&lt;=$O$2,$D495,$D495-($D495-$I$481)*MIN(M$3-$O$2,$Q$2)/$Q$2))</f>
        <v>4543.42457109464</v>
      </c>
      <c r="N495" s="15" t="n">
        <f aca="false">M495*(1+IF(N$3&lt;=$O$2,$D495,$D495-($D495-$I$481)*MIN(N$3-$O$2,$Q$2)/$Q$2))</f>
        <v>4649.28636360114</v>
      </c>
      <c r="O495" s="15" t="n">
        <f aca="false">SUMPRODUCT(E495:N495,1/(1+$F$481)^$E$3:$N$3)*$E$2</f>
        <v>10179.0918226317</v>
      </c>
      <c r="P495" s="15" t="n">
        <f aca="false">N495*$E$2*(1+$I$481)/($F$481-$I$481)/(1+$F$481)^$N$3</f>
        <v>10837.6264367203</v>
      </c>
      <c r="Q495" s="15" t="n">
        <f aca="false">O495+P495</f>
        <v>21016.718259352</v>
      </c>
      <c r="R495" s="15" t="n">
        <f aca="false">Q495-$G$2+$I$2</f>
        <v>15665.158259352</v>
      </c>
      <c r="S495" s="42" t="n">
        <f aca="false">R495/$K$2</f>
        <v>725.238808303334</v>
      </c>
      <c r="T495" s="43" t="n">
        <f aca="false">S495-$M$2</f>
        <v>0.238808303333713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0.0885009765625</v>
      </c>
      <c r="C496" s="25" t="n">
        <f aca="false">IF(T495&gt;0,D495,C495)</f>
        <v>0.08868408203125</v>
      </c>
      <c r="D496" s="41" t="n">
        <f aca="false">(B496+C496)/2</f>
        <v>0.088592529296875</v>
      </c>
      <c r="E496" s="15" t="n">
        <f aca="false">$C$2*(1+IF(E$3&lt;=$O$2,$D496,$D496-($D496-$I$481)*MIN(E$3-$O$2,$Q$2)/$Q$2))</f>
        <v>2601.73614501953</v>
      </c>
      <c r="F496" s="15" t="n">
        <f aca="false">E496*(1+IF(F$3&lt;=$O$2,$D496,$D496-($D496-$I$481)*MIN(F$3-$O$2,$Q$2)/$Q$2))</f>
        <v>2832.23053066991</v>
      </c>
      <c r="G496" s="15" t="n">
        <f aca="false">F496*(1+IF(G$3&lt;=$O$2,$D496,$D496-($D496-$I$481)*MIN(G$3-$O$2,$Q$2)/$Q$2))</f>
        <v>3083.14499693379</v>
      </c>
      <c r="H496" s="15" t="n">
        <f aca="false">G496*(1+IF(H$3&lt;=$O$2,$D496,$D496-($D496-$I$481)*MIN(H$3-$O$2,$Q$2)/$Q$2))</f>
        <v>3356.28861040116</v>
      </c>
      <c r="I496" s="15" t="n">
        <f aca="false">H496*(1+IF(I$3&lt;=$O$2,$D496,$D496-($D496-$I$481)*MIN(I$3-$O$2,$Q$2)/$Q$2))</f>
        <v>3653.63070744689</v>
      </c>
      <c r="J496" s="15" t="n">
        <f aca="false">I496*(1+IF(J$3&lt;=$O$2,$D496,$D496-($D496-$I$481)*MIN(J$3-$O$2,$Q$2)/$Q$2))</f>
        <v>3929.60413493516</v>
      </c>
      <c r="K496" s="15" t="n">
        <f aca="false">J496*(1+IF(K$3&lt;=$O$2,$D496,$D496-($D496-$I$481)*MIN(K$3-$O$2,$Q$2)/$Q$2))</f>
        <v>4175.10818714237</v>
      </c>
      <c r="L496" s="15" t="n">
        <f aca="false">K496*(1+IF(L$3&lt;=$O$2,$D496,$D496-($D496-$I$481)*MIN(L$3-$O$2,$Q$2)/$Q$2))</f>
        <v>4381.42955735344</v>
      </c>
      <c r="M496" s="15" t="n">
        <f aca="false">L496*(1+IF(M$3&lt;=$O$2,$D496,$D496-($D496-$I$481)*MIN(M$3-$O$2,$Q$2)/$Q$2))</f>
        <v>4540.73178958691</v>
      </c>
      <c r="N496" s="15" t="n">
        <f aca="false">M496*(1+IF(N$3&lt;=$O$2,$D496,$D496-($D496-$I$481)*MIN(N$3-$O$2,$Q$2)/$Q$2))</f>
        <v>4646.53084028428</v>
      </c>
      <c r="O496" s="15" t="n">
        <f aca="false">SUMPRODUCT(E496:N496,1/(1+$F$481)^$E$3:$N$3)*$E$2</f>
        <v>10175.1043624995</v>
      </c>
      <c r="P496" s="15" t="n">
        <f aca="false">N496*$E$2*(1+$I$481)/($F$481-$I$481)/(1+$F$481)^$N$3</f>
        <v>10831.2032289395</v>
      </c>
      <c r="Q496" s="15" t="n">
        <f aca="false">O496+P496</f>
        <v>21006.307591439</v>
      </c>
      <c r="R496" s="15" t="n">
        <f aca="false">Q496-$G$2+$I$2</f>
        <v>15654.747591439</v>
      </c>
      <c r="S496" s="42" t="n">
        <f aca="false">R496/$K$2</f>
        <v>724.756832936992</v>
      </c>
      <c r="T496" s="43" t="n">
        <f aca="false">S496-$M$2</f>
        <v>-0.243167063008514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0.088592529296875</v>
      </c>
      <c r="C497" s="25" t="n">
        <f aca="false">IF(T496&gt;0,D496,C496)</f>
        <v>0.08868408203125</v>
      </c>
      <c r="D497" s="41" t="n">
        <f aca="false">(B497+C497)/2</f>
        <v>0.0886383056640625</v>
      </c>
      <c r="E497" s="15" t="n">
        <f aca="false">$C$2*(1+IF(E$3&lt;=$O$2,$D497,$D497-($D497-$I$481)*MIN(E$3-$O$2,$Q$2)/$Q$2))</f>
        <v>2601.84555053711</v>
      </c>
      <c r="F497" s="15" t="n">
        <f aca="false">E497*(1+IF(F$3&lt;=$O$2,$D497,$D497-($D497-$I$481)*MIN(F$3-$O$2,$Q$2)/$Q$2))</f>
        <v>2832.4687317363</v>
      </c>
      <c r="G497" s="15" t="n">
        <f aca="false">F497*(1+IF(G$3&lt;=$O$2,$D497,$D497-($D497-$I$481)*MIN(G$3-$O$2,$Q$2)/$Q$2))</f>
        <v>3083.53396096384</v>
      </c>
      <c r="H497" s="15" t="n">
        <f aca="false">G497*(1+IF(H$3&lt;=$O$2,$D497,$D497-($D497-$I$481)*MIN(H$3-$O$2,$Q$2)/$Q$2))</f>
        <v>3356.85318672127</v>
      </c>
      <c r="I497" s="15" t="n">
        <f aca="false">H497*(1+IF(I$3&lt;=$O$2,$D497,$D497-($D497-$I$481)*MIN(I$3-$O$2,$Q$2)/$Q$2))</f>
        <v>3654.39896555525</v>
      </c>
      <c r="J497" s="15" t="n">
        <f aca="false">I497*(1+IF(J$3&lt;=$O$2,$D497,$D497-($D497-$I$481)*MIN(J$3-$O$2,$Q$2)/$Q$2))</f>
        <v>3930.5642507566</v>
      </c>
      <c r="K497" s="15" t="n">
        <f aca="false">J497*(1+IF(K$3&lt;=$O$2,$D497,$D497-($D497-$I$481)*MIN(K$3-$O$2,$Q$2)/$Q$2))</f>
        <v>4176.23624286813</v>
      </c>
      <c r="L497" s="15" t="n">
        <f aca="false">K497*(1+IF(L$3&lt;=$O$2,$D497,$D497-($D497-$I$481)*MIN(L$3-$O$2,$Q$2)/$Q$2))</f>
        <v>4382.6898273917</v>
      </c>
      <c r="M497" s="15" t="n">
        <f aca="false">L497*(1+IF(M$3&lt;=$O$2,$D497,$D497-($D497-$I$481)*MIN(M$3-$O$2,$Q$2)/$Q$2))</f>
        <v>4542.0780058845</v>
      </c>
      <c r="N497" s="15" t="n">
        <f aca="false">M497*(1+IF(N$3&lt;=$O$2,$D497,$D497-($D497-$I$481)*MIN(N$3-$O$2,$Q$2)/$Q$2))</f>
        <v>4647.90842342161</v>
      </c>
      <c r="O497" s="15" t="n">
        <f aca="false">SUMPRODUCT(E497:N497,1/(1+$F$481)^$E$3:$N$3)*$E$2</f>
        <v>10177.0978969236</v>
      </c>
      <c r="P497" s="15" t="n">
        <f aca="false">N497*$E$2*(1+$I$481)/($F$481-$I$481)/(1+$F$481)^$N$3</f>
        <v>10834.4144166918</v>
      </c>
      <c r="Q497" s="15" t="n">
        <f aca="false">O497+P497</f>
        <v>21011.5123136154</v>
      </c>
      <c r="R497" s="15" t="n">
        <f aca="false">Q497-$G$2+$I$2</f>
        <v>15659.9523136154</v>
      </c>
      <c r="S497" s="42" t="n">
        <f aca="false">R497/$K$2</f>
        <v>724.997792297011</v>
      </c>
      <c r="T497" s="43" t="n">
        <f aca="false">S497-$M$2</f>
        <v>-0.00220770298938078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0.0886383056640625</v>
      </c>
      <c r="C498" s="25" t="n">
        <f aca="false">IF(T497&gt;0,D497,C497)</f>
        <v>0.08868408203125</v>
      </c>
      <c r="D498" s="41" t="n">
        <f aca="false">(B498+C498)/2</f>
        <v>0.0886611938476563</v>
      </c>
      <c r="E498" s="15" t="n">
        <f aca="false">$C$2*(1+IF(E$3&lt;=$O$2,$D498,$D498-($D498-$I$481)*MIN(E$3-$O$2,$Q$2)/$Q$2))</f>
        <v>2601.9002532959</v>
      </c>
      <c r="F498" s="15" t="n">
        <f aca="false">E498*(1+IF(F$3&lt;=$O$2,$D498,$D498-($D498-$I$481)*MIN(F$3-$O$2,$Q$2)/$Q$2))</f>
        <v>2832.58783602563</v>
      </c>
      <c r="G498" s="15" t="n">
        <f aca="false">F498*(1+IF(G$3&lt;=$O$2,$D498,$D498-($D498-$I$481)*MIN(G$3-$O$2,$Q$2)/$Q$2))</f>
        <v>3083.72845524601</v>
      </c>
      <c r="H498" s="15" t="n">
        <f aca="false">G498*(1+IF(H$3&lt;=$O$2,$D498,$D498-($D498-$I$481)*MIN(H$3-$O$2,$Q$2)/$Q$2))</f>
        <v>3357.13550159011</v>
      </c>
      <c r="I498" s="15" t="n">
        <f aca="false">H498*(1+IF(I$3&lt;=$O$2,$D498,$D498-($D498-$I$481)*MIN(I$3-$O$2,$Q$2)/$Q$2))</f>
        <v>3654.78314306944</v>
      </c>
      <c r="J498" s="15" t="n">
        <f aca="false">I498*(1+IF(J$3&lt;=$O$2,$D498,$D498-($D498-$I$481)*MIN(J$3-$O$2,$Q$2)/$Q$2))</f>
        <v>3931.04438189121</v>
      </c>
      <c r="K498" s="15" t="n">
        <f aca="false">J498*(1+IF(K$3&lt;=$O$2,$D498,$D498-($D498-$I$481)*MIN(K$3-$O$2,$Q$2)/$Q$2))</f>
        <v>4176.80036831039</v>
      </c>
      <c r="L498" s="15" t="n">
        <f aca="false">K498*(1+IF(L$3&lt;=$O$2,$D498,$D498-($D498-$I$481)*MIN(L$3-$O$2,$Q$2)/$Q$2))</f>
        <v>4383.32008030646</v>
      </c>
      <c r="M498" s="15" t="n">
        <f aca="false">L498*(1+IF(M$3&lt;=$O$2,$D498,$D498-($D498-$I$481)*MIN(M$3-$O$2,$Q$2)/$Q$2))</f>
        <v>4542.75124487065</v>
      </c>
      <c r="N498" s="15" t="n">
        <f aca="false">M498*(1+IF(N$3&lt;=$O$2,$D498,$D498-($D498-$I$481)*MIN(N$3-$O$2,$Q$2)/$Q$2))</f>
        <v>4648.59734887614</v>
      </c>
      <c r="O498" s="15" t="n">
        <f aca="false">SUMPRODUCT(E498:N498,1/(1+$F$481)^$E$3:$N$3)*$E$2</f>
        <v>10178.0948108627</v>
      </c>
      <c r="P498" s="15" t="n">
        <f aca="false">N498*$E$2*(1+$I$481)/($F$481-$I$481)/(1+$F$481)^$N$3</f>
        <v>10836.02032266</v>
      </c>
      <c r="Q498" s="15" t="n">
        <f aca="false">O498+P498</f>
        <v>21014.1151335227</v>
      </c>
      <c r="R498" s="15" t="n">
        <f aca="false">Q498-$G$2+$I$2</f>
        <v>15662.5551335227</v>
      </c>
      <c r="S498" s="42" t="n">
        <f aca="false">R498/$K$2</f>
        <v>725.118293218642</v>
      </c>
      <c r="T498" s="43" t="n">
        <f aca="false">S498-$M$2</f>
        <v>0.118293218641497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0.0886383056640625</v>
      </c>
      <c r="C499" s="25" t="n">
        <f aca="false">IF(T498&gt;0,D498,C498)</f>
        <v>0.0886611938476563</v>
      </c>
      <c r="D499" s="41" t="n">
        <f aca="false">(B499+C499)/2</f>
        <v>0.0886497497558594</v>
      </c>
      <c r="E499" s="15" t="n">
        <f aca="false">$C$2*(1+IF(E$3&lt;=$O$2,$D499,$D499-($D499-$I$481)*MIN(E$3-$O$2,$Q$2)/$Q$2))</f>
        <v>2601.8729019165</v>
      </c>
      <c r="F499" s="15" t="n">
        <f aca="false">E499*(1+IF(F$3&lt;=$O$2,$D499,$D499-($D499-$I$481)*MIN(F$3-$O$2,$Q$2)/$Q$2))</f>
        <v>2832.52828356795</v>
      </c>
      <c r="G499" s="15" t="n">
        <f aca="false">F499*(1+IF(G$3&lt;=$O$2,$D499,$D499-($D499-$I$481)*MIN(G$3-$O$2,$Q$2)/$Q$2))</f>
        <v>3083.63120708265</v>
      </c>
      <c r="H499" s="15" t="n">
        <f aca="false">G499*(1+IF(H$3&lt;=$O$2,$D499,$D499-($D499-$I$481)*MIN(H$3-$O$2,$Q$2)/$Q$2))</f>
        <v>3356.99434192988</v>
      </c>
      <c r="I499" s="15" t="n">
        <f aca="false">H499*(1+IF(I$3&lt;=$O$2,$D499,$D499-($D499-$I$481)*MIN(I$3-$O$2,$Q$2)/$Q$2))</f>
        <v>3654.5910502738</v>
      </c>
      <c r="J499" s="15" t="n">
        <f aca="false">I499*(1+IF(J$3&lt;=$O$2,$D499,$D499-($D499-$I$481)*MIN(J$3-$O$2,$Q$2)/$Q$2))</f>
        <v>3930.8043102215</v>
      </c>
      <c r="K499" s="15" t="n">
        <f aca="false">J499*(1+IF(K$3&lt;=$O$2,$D499,$D499-($D499-$I$481)*MIN(K$3-$O$2,$Q$2)/$Q$2))</f>
        <v>4176.518297457</v>
      </c>
      <c r="L499" s="15" t="n">
        <f aca="false">K499*(1+IF(L$3&lt;=$O$2,$D499,$D499-($D499-$I$481)*MIN(L$3-$O$2,$Q$2)/$Q$2))</f>
        <v>4383.00494402358</v>
      </c>
      <c r="M499" s="15" t="n">
        <f aca="false">L499*(1+IF(M$3&lt;=$O$2,$D499,$D499-($D499-$I$481)*MIN(M$3-$O$2,$Q$2)/$Q$2))</f>
        <v>4542.41461447345</v>
      </c>
      <c r="N499" s="15" t="n">
        <f aca="false">M499*(1+IF(N$3&lt;=$O$2,$D499,$D499-($D499-$I$481)*MIN(N$3-$O$2,$Q$2)/$Q$2))</f>
        <v>4648.25287499069</v>
      </c>
      <c r="O499" s="15" t="n">
        <f aca="false">SUMPRODUCT(E499:N499,1/(1+$F$481)^$E$3:$N$3)*$E$2</f>
        <v>10177.596341665</v>
      </c>
      <c r="P499" s="15" t="n">
        <f aca="false">N499*$E$2*(1+$I$481)/($F$481-$I$481)/(1+$F$481)^$N$3</f>
        <v>10835.2173436658</v>
      </c>
      <c r="Q499" s="15" t="n">
        <f aca="false">O499+P499</f>
        <v>21012.8136853308</v>
      </c>
      <c r="R499" s="15" t="n">
        <f aca="false">Q499-$G$2+$I$2</f>
        <v>15661.2536853308</v>
      </c>
      <c r="S499" s="42" t="n">
        <f aca="false">R499/$K$2</f>
        <v>725.058040987536</v>
      </c>
      <c r="T499" s="43" t="n">
        <f aca="false">S499-$M$2</f>
        <v>0.0580409875360601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0.0886383056640625</v>
      </c>
      <c r="C500" s="25" t="n">
        <f aca="false">IF(T499&gt;0,D499,C499)</f>
        <v>0.0886497497558594</v>
      </c>
      <c r="D500" s="41" t="n">
        <f aca="false">(B500+C500)/2</f>
        <v>0.0886440277099609</v>
      </c>
      <c r="E500" s="15" t="n">
        <f aca="false">$C$2*(1+IF(E$3&lt;=$O$2,$D500,$D500-($D500-$I$481)*MIN(E$3-$O$2,$Q$2)/$Q$2))</f>
        <v>2601.85922622681</v>
      </c>
      <c r="F500" s="15" t="n">
        <f aca="false">E500*(1+IF(F$3&lt;=$O$2,$D500,$D500-($D500-$I$481)*MIN(F$3-$O$2,$Q$2)/$Q$2))</f>
        <v>2832.49850757387</v>
      </c>
      <c r="G500" s="15" t="n">
        <f aca="false">F500*(1+IF(G$3&lt;=$O$2,$D500,$D500-($D500-$I$481)*MIN(G$3-$O$2,$Q$2)/$Q$2))</f>
        <v>3083.58258376768</v>
      </c>
      <c r="H500" s="15" t="n">
        <f aca="false">G500*(1+IF(H$3&lt;=$O$2,$D500,$D500-($D500-$I$481)*MIN(H$3-$O$2,$Q$2)/$Q$2))</f>
        <v>3356.92376376913</v>
      </c>
      <c r="I500" s="15" t="n">
        <f aca="false">H500*(1+IF(I$3&lt;=$O$2,$D500,$D500-($D500-$I$481)*MIN(I$3-$O$2,$Q$2)/$Q$2))</f>
        <v>3654.49500690491</v>
      </c>
      <c r="J500" s="15" t="n">
        <f aca="false">I500*(1+IF(J$3&lt;=$O$2,$D500,$D500-($D500-$I$481)*MIN(J$3-$O$2,$Q$2)/$Q$2))</f>
        <v>3930.68427896348</v>
      </c>
      <c r="K500" s="15" t="n">
        <f aca="false">J500*(1+IF(K$3&lt;=$O$2,$D500,$D500-($D500-$I$481)*MIN(K$3-$O$2,$Q$2)/$Q$2))</f>
        <v>4176.37726812954</v>
      </c>
      <c r="L500" s="15" t="n">
        <f aca="false">K500*(1+IF(L$3&lt;=$O$2,$D500,$D500-($D500-$I$481)*MIN(L$3-$O$2,$Q$2)/$Q$2))</f>
        <v>4382.84738325133</v>
      </c>
      <c r="M500" s="15" t="n">
        <f aca="false">L500*(1+IF(M$3&lt;=$O$2,$D500,$D500-($D500-$I$481)*MIN(M$3-$O$2,$Q$2)/$Q$2))</f>
        <v>4542.24630745302</v>
      </c>
      <c r="N500" s="15" t="n">
        <f aca="false">M500*(1+IF(N$3&lt;=$O$2,$D500,$D500-($D500-$I$481)*MIN(N$3-$O$2,$Q$2)/$Q$2))</f>
        <v>4648.08064641668</v>
      </c>
      <c r="O500" s="15" t="n">
        <f aca="false">SUMPRODUCT(E500:N500,1/(1+$F$481)^$E$3:$N$3)*$E$2</f>
        <v>10177.3471162373</v>
      </c>
      <c r="P500" s="15" t="n">
        <f aca="false">N500*$E$2*(1+$I$481)/($F$481-$I$481)/(1+$F$481)^$N$3</f>
        <v>10834.8158736765</v>
      </c>
      <c r="Q500" s="15" t="n">
        <f aca="false">O500+P500</f>
        <v>21012.1629899138</v>
      </c>
      <c r="R500" s="15" t="n">
        <f aca="false">Q500-$G$2+$I$2</f>
        <v>15660.6029899138</v>
      </c>
      <c r="S500" s="42" t="n">
        <f aca="false">R500/$K$2</f>
        <v>725.027916199713</v>
      </c>
      <c r="T500" s="43" t="n">
        <f aca="false">S500-$M$2</f>
        <v>0.0279161997125357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0.0886383056640625</v>
      </c>
      <c r="C501" s="25" t="n">
        <f aca="false">IF(T500&gt;0,D500,C500)</f>
        <v>0.0886440277099609</v>
      </c>
      <c r="D501" s="41" t="n">
        <f aca="false">(B501+C501)/2</f>
        <v>0.0886411666870117</v>
      </c>
      <c r="E501" s="15" t="n">
        <f aca="false">$C$2*(1+IF(E$3&lt;=$O$2,$D501,$D501-($D501-$I$481)*MIN(E$3-$O$2,$Q$2)/$Q$2))</f>
        <v>2601.85238838196</v>
      </c>
      <c r="F501" s="15" t="n">
        <f aca="false">E501*(1+IF(F$3&lt;=$O$2,$D501,$D501-($D501-$I$481)*MIN(F$3-$O$2,$Q$2)/$Q$2))</f>
        <v>2832.48361963552</v>
      </c>
      <c r="G501" s="15" t="n">
        <f aca="false">F501*(1+IF(G$3&lt;=$O$2,$D501,$D501-($D501-$I$481)*MIN(G$3-$O$2,$Q$2)/$Q$2))</f>
        <v>3083.55827230187</v>
      </c>
      <c r="H501" s="15" t="n">
        <f aca="false">G501*(1+IF(H$3&lt;=$O$2,$D501,$D501-($D501-$I$481)*MIN(H$3-$O$2,$Q$2)/$Q$2))</f>
        <v>3356.88847510609</v>
      </c>
      <c r="I501" s="15" t="n">
        <f aca="false">H501*(1+IF(I$3&lt;=$O$2,$D501,$D501-($D501-$I$481)*MIN(I$3-$O$2,$Q$2)/$Q$2))</f>
        <v>3654.44698597768</v>
      </c>
      <c r="J501" s="15" t="n">
        <f aca="false">I501*(1+IF(J$3&lt;=$O$2,$D501,$D501-($D501-$I$481)*MIN(J$3-$O$2,$Q$2)/$Q$2))</f>
        <v>3930.62426447865</v>
      </c>
      <c r="K501" s="15" t="n">
        <f aca="false">J501*(1+IF(K$3&lt;=$O$2,$D501,$D501-($D501-$I$481)*MIN(K$3-$O$2,$Q$2)/$Q$2))</f>
        <v>4176.30675499059</v>
      </c>
      <c r="L501" s="15" t="n">
        <f aca="false">K501*(1+IF(L$3&lt;=$O$2,$D501,$D501-($D501-$I$481)*MIN(L$3-$O$2,$Q$2)/$Q$2))</f>
        <v>4382.76860470744</v>
      </c>
      <c r="M501" s="15" t="n">
        <f aca="false">L501*(1+IF(M$3&lt;=$O$2,$D501,$D501-($D501-$I$481)*MIN(M$3-$O$2,$Q$2)/$Q$2))</f>
        <v>4542.16215598728</v>
      </c>
      <c r="N501" s="15" t="n">
        <f aca="false">M501*(1+IF(N$3&lt;=$O$2,$D501,$D501-($D501-$I$481)*MIN(N$3-$O$2,$Q$2)/$Q$2))</f>
        <v>4647.99453422179</v>
      </c>
      <c r="O501" s="15" t="n">
        <f aca="false">SUMPRODUCT(E501:N501,1/(1+$F$481)^$E$3:$N$3)*$E$2</f>
        <v>10177.2225058162</v>
      </c>
      <c r="P501" s="15" t="n">
        <f aca="false">N501*$E$2*(1+$I$481)/($F$481-$I$481)/(1+$F$481)^$N$3</f>
        <v>10834.6151435586</v>
      </c>
      <c r="Q501" s="15" t="n">
        <f aca="false">O501+P501</f>
        <v>21011.8376493748</v>
      </c>
      <c r="R501" s="15" t="n">
        <f aca="false">Q501-$G$2+$I$2</f>
        <v>15660.2776493748</v>
      </c>
      <c r="S501" s="42" t="n">
        <f aca="false">R501/$K$2</f>
        <v>725.012854137723</v>
      </c>
      <c r="T501" s="43" t="n">
        <f aca="false">S501-$M$2</f>
        <v>0.0128541377229112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0.0886383056640625</v>
      </c>
      <c r="C502" s="25" t="n">
        <f aca="false">IF(T501&gt;0,D501,C501)</f>
        <v>0.0886411666870117</v>
      </c>
      <c r="D502" s="41" t="n">
        <f aca="false">(B502+C502)/2</f>
        <v>0.0886397361755371</v>
      </c>
      <c r="E502" s="15" t="n">
        <f aca="false">$C$2*(1+IF(E$3&lt;=$O$2,$D502,$D502-($D502-$I$481)*MIN(E$3-$O$2,$Q$2)/$Q$2))</f>
        <v>2601.84896945953</v>
      </c>
      <c r="F502" s="15" t="n">
        <f aca="false">E502*(1+IF(F$3&lt;=$O$2,$D502,$D502-($D502-$I$481)*MIN(F$3-$O$2,$Q$2)/$Q$2))</f>
        <v>2832.47617568102</v>
      </c>
      <c r="G502" s="15" t="n">
        <f aca="false">F502*(1+IF(G$3&lt;=$O$2,$D502,$D502-($D502-$I$481)*MIN(G$3-$O$2,$Q$2)/$Q$2))</f>
        <v>3083.54611661688</v>
      </c>
      <c r="H502" s="15" t="n">
        <f aca="false">G502*(1+IF(H$3&lt;=$O$2,$D502,$D502-($D502-$I$481)*MIN(H$3-$O$2,$Q$2)/$Q$2))</f>
        <v>3356.8708308789</v>
      </c>
      <c r="I502" s="15" t="n">
        <f aca="false">H502*(1+IF(I$3&lt;=$O$2,$D502,$D502-($D502-$I$481)*MIN(I$3-$O$2,$Q$2)/$Q$2))</f>
        <v>3654.42297570336</v>
      </c>
      <c r="J502" s="15" t="n">
        <f aca="false">I502*(1+IF(J$3&lt;=$O$2,$D502,$D502-($D502-$I$481)*MIN(J$3-$O$2,$Q$2)/$Q$2))</f>
        <v>3930.59425752228</v>
      </c>
      <c r="K502" s="15" t="n">
        <f aca="false">J502*(1+IF(K$3&lt;=$O$2,$D502,$D502-($D502-$I$481)*MIN(K$3-$O$2,$Q$2)/$Q$2))</f>
        <v>4176.2714988023</v>
      </c>
      <c r="L502" s="15" t="n">
        <f aca="false">K502*(1+IF(L$3&lt;=$O$2,$D502,$D502-($D502-$I$481)*MIN(L$3-$O$2,$Q$2)/$Q$2))</f>
        <v>4382.72921589605</v>
      </c>
      <c r="M502" s="15" t="n">
        <f aca="false">L502*(1+IF(M$3&lt;=$O$2,$D502,$D502-($D502-$I$481)*MIN(M$3-$O$2,$Q$2)/$Q$2))</f>
        <v>4542.12008076552</v>
      </c>
      <c r="N502" s="15" t="n">
        <f aca="false">M502*(1+IF(N$3&lt;=$O$2,$D502,$D502-($D502-$I$481)*MIN(N$3-$O$2,$Q$2)/$Q$2))</f>
        <v>4647.95147864736</v>
      </c>
      <c r="O502" s="15" t="n">
        <f aca="false">SUMPRODUCT(E502:N502,1/(1+$F$481)^$E$3:$N$3)*$E$2</f>
        <v>10177.1602011789</v>
      </c>
      <c r="P502" s="15" t="n">
        <f aca="false">N502*$E$2*(1+$I$481)/($F$481-$I$481)/(1+$F$481)^$N$3</f>
        <v>10834.5147797188</v>
      </c>
      <c r="Q502" s="15" t="n">
        <f aca="false">O502+P502</f>
        <v>21011.6749808977</v>
      </c>
      <c r="R502" s="15" t="n">
        <f aca="false">Q502-$G$2+$I$2</f>
        <v>15660.1149808977</v>
      </c>
      <c r="S502" s="42" t="n">
        <f aca="false">R502/$K$2</f>
        <v>725.005323189707</v>
      </c>
      <c r="T502" s="43" t="n">
        <f aca="false">S502-$M$2</f>
        <v>0.00532318970715551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0.0886383056640625</v>
      </c>
      <c r="C503" s="25" t="n">
        <f aca="false">IF(T502&gt;0,D502,C502)</f>
        <v>0.0886397361755371</v>
      </c>
      <c r="D503" s="41" t="n">
        <f aca="false">(B503+C503)/2</f>
        <v>0.0886390209197998</v>
      </c>
      <c r="E503" s="15" t="n">
        <f aca="false">$C$2*(1+IF(E$3&lt;=$O$2,$D503,$D503-($D503-$I$481)*MIN(E$3-$O$2,$Q$2)/$Q$2))</f>
        <v>2601.84725999832</v>
      </c>
      <c r="F503" s="15" t="n">
        <f aca="false">E503*(1+IF(F$3&lt;=$O$2,$D503,$D503-($D503-$I$481)*MIN(F$3-$O$2,$Q$2)/$Q$2))</f>
        <v>2832.47245370744</v>
      </c>
      <c r="G503" s="15" t="n">
        <f aca="false">F503*(1+IF(G$3&lt;=$O$2,$D503,$D503-($D503-$I$481)*MIN(G$3-$O$2,$Q$2)/$Q$2))</f>
        <v>3083.54003878637</v>
      </c>
      <c r="H503" s="15" t="n">
        <f aca="false">G503*(1+IF(H$3&lt;=$O$2,$D503,$D503-($D503-$I$481)*MIN(H$3-$O$2,$Q$2)/$Q$2))</f>
        <v>3356.86200879139</v>
      </c>
      <c r="I503" s="15" t="n">
        <f aca="false">H503*(1+IF(I$3&lt;=$O$2,$D503,$D503-($D503-$I$481)*MIN(I$3-$O$2,$Q$2)/$Q$2))</f>
        <v>3654.41097061353</v>
      </c>
      <c r="J503" s="15" t="n">
        <f aca="false">I503*(1+IF(J$3&lt;=$O$2,$D503,$D503-($D503-$I$481)*MIN(J$3-$O$2,$Q$2)/$Q$2))</f>
        <v>3930.5792541156</v>
      </c>
      <c r="K503" s="15" t="n">
        <f aca="false">J503*(1+IF(K$3&lt;=$O$2,$D503,$D503-($D503-$I$481)*MIN(K$3-$O$2,$Q$2)/$Q$2))</f>
        <v>4176.25387080345</v>
      </c>
      <c r="L503" s="15" t="n">
        <f aca="false">K503*(1+IF(L$3&lt;=$O$2,$D503,$D503-($D503-$I$481)*MIN(L$3-$O$2,$Q$2)/$Q$2))</f>
        <v>4382.7095216055</v>
      </c>
      <c r="M503" s="15" t="n">
        <f aca="false">L503*(1+IF(M$3&lt;=$O$2,$D503,$D503-($D503-$I$481)*MIN(M$3-$O$2,$Q$2)/$Q$2))</f>
        <v>4542.09904328242</v>
      </c>
      <c r="N503" s="15" t="n">
        <f aca="false">M503*(1+IF(N$3&lt;=$O$2,$D503,$D503-($D503-$I$481)*MIN(N$3-$O$2,$Q$2)/$Q$2))</f>
        <v>4647.9299509909</v>
      </c>
      <c r="O503" s="15" t="n">
        <f aca="false">SUMPRODUCT(E503:N503,1/(1+$F$481)^$E$3:$N$3)*$E$2</f>
        <v>10177.1290490035</v>
      </c>
      <c r="P503" s="15" t="n">
        <f aca="false">N503*$E$2*(1+$I$481)/($F$481-$I$481)/(1+$F$481)^$N$3</f>
        <v>10834.4645981037</v>
      </c>
      <c r="Q503" s="15" t="n">
        <f aca="false">O503+P503</f>
        <v>21011.5936471072</v>
      </c>
      <c r="R503" s="15" t="n">
        <f aca="false">Q503-$G$2+$I$2</f>
        <v>15660.0336471072</v>
      </c>
      <c r="S503" s="42" t="n">
        <f aca="false">R503/$K$2</f>
        <v>725.001557736444</v>
      </c>
      <c r="T503" s="43" t="n">
        <f aca="false">S503-$M$2</f>
        <v>0.00155773644405599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0.0886383056640625</v>
      </c>
      <c r="C504" s="25" t="n">
        <f aca="false">IF(T503&gt;0,D503,C503)</f>
        <v>0.0886390209197998</v>
      </c>
      <c r="D504" s="41" t="n">
        <f aca="false">(B504+C504)/2</f>
        <v>0.0886386632919312</v>
      </c>
      <c r="E504" s="15" t="n">
        <f aca="false">$C$2*(1+IF(E$3&lt;=$O$2,$D504,$D504-($D504-$I$481)*MIN(E$3-$O$2,$Q$2)/$Q$2))</f>
        <v>2601.84640526772</v>
      </c>
      <c r="F504" s="15" t="n">
        <f aca="false">E504*(1+IF(F$3&lt;=$O$2,$D504,$D504-($D504-$I$481)*MIN(F$3-$O$2,$Q$2)/$Q$2))</f>
        <v>2832.47059272156</v>
      </c>
      <c r="G504" s="15" t="n">
        <f aca="false">F504*(1+IF(G$3&lt;=$O$2,$D504,$D504-($D504-$I$481)*MIN(G$3-$O$2,$Q$2)/$Q$2))</f>
        <v>3083.53699987411</v>
      </c>
      <c r="H504" s="15" t="n">
        <f aca="false">G504*(1+IF(H$3&lt;=$O$2,$D504,$D504-($D504-$I$481)*MIN(H$3-$O$2,$Q$2)/$Q$2))</f>
        <v>3356.85759775416</v>
      </c>
      <c r="I504" s="15" t="n">
        <f aca="false">H504*(1+IF(I$3&lt;=$O$2,$D504,$D504-($D504-$I$481)*MIN(I$3-$O$2,$Q$2)/$Q$2))</f>
        <v>3654.40496808045</v>
      </c>
      <c r="J504" s="15" t="n">
        <f aca="false">I504*(1+IF(J$3&lt;=$O$2,$D504,$D504-($D504-$I$481)*MIN(J$3-$O$2,$Q$2)/$Q$2))</f>
        <v>3930.57175243014</v>
      </c>
      <c r="K504" s="15" t="n">
        <f aca="false">J504*(1+IF(K$3&lt;=$O$2,$D504,$D504-($D504-$I$481)*MIN(K$3-$O$2,$Q$2)/$Q$2))</f>
        <v>4176.24505682785</v>
      </c>
      <c r="L504" s="15" t="n">
        <f aca="false">K504*(1+IF(L$3&lt;=$O$2,$D504,$D504-($D504-$I$481)*MIN(L$3-$O$2,$Q$2)/$Q$2))</f>
        <v>4382.699674489</v>
      </c>
      <c r="M504" s="15" t="n">
        <f aca="false">L504*(1+IF(M$3&lt;=$O$2,$D504,$D504-($D504-$I$481)*MIN(M$3-$O$2,$Q$2)/$Q$2))</f>
        <v>4542.08852457281</v>
      </c>
      <c r="N504" s="15" t="n">
        <f aca="false">M504*(1+IF(N$3&lt;=$O$2,$D504,$D504-($D504-$I$481)*MIN(N$3-$O$2,$Q$2)/$Q$2))</f>
        <v>4647.91918719536</v>
      </c>
      <c r="O504" s="15" t="n">
        <f aca="false">SUMPRODUCT(E504:N504,1/(1+$F$481)^$E$3:$N$3)*$E$2</f>
        <v>10177.1134729516</v>
      </c>
      <c r="P504" s="15" t="n">
        <f aca="false">N504*$E$2*(1+$I$481)/($F$481-$I$481)/(1+$F$481)^$N$3</f>
        <v>10834.4395073724</v>
      </c>
      <c r="Q504" s="15" t="n">
        <f aca="false">O504+P504</f>
        <v>21011.552980324</v>
      </c>
      <c r="R504" s="15" t="n">
        <f aca="false">Q504-$G$2+$I$2</f>
        <v>15659.992980324</v>
      </c>
      <c r="S504" s="42" t="n">
        <f aca="false">R504/$K$2</f>
        <v>724.999675014998</v>
      </c>
      <c r="T504" s="43" t="n">
        <f aca="false">S504-$M$2</f>
        <v>-0.000324985001611822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0.0886386632919312</v>
      </c>
      <c r="C505" s="25" t="n">
        <f aca="false">IF(T504&gt;0,D504,C504)</f>
        <v>0.0886390209197998</v>
      </c>
      <c r="D505" s="41" t="n">
        <f aca="false">(B505+C505)/2</f>
        <v>0.0886388421058655</v>
      </c>
      <c r="E505" s="15" t="n">
        <f aca="false">$C$2*(1+IF(E$3&lt;=$O$2,$D505,$D505-($D505-$I$481)*MIN(E$3-$O$2,$Q$2)/$Q$2))</f>
        <v>2601.84683263302</v>
      </c>
      <c r="F505" s="15" t="n">
        <f aca="false">E505*(1+IF(F$3&lt;=$O$2,$D505,$D505-($D505-$I$481)*MIN(F$3-$O$2,$Q$2)/$Q$2))</f>
        <v>2832.47152321442</v>
      </c>
      <c r="G505" s="15" t="n">
        <f aca="false">F505*(1+IF(G$3&lt;=$O$2,$D505,$D505-($D505-$I$481)*MIN(G$3-$O$2,$Q$2)/$Q$2))</f>
        <v>3083.53851932999</v>
      </c>
      <c r="H505" s="15" t="n">
        <f aca="false">G505*(1+IF(H$3&lt;=$O$2,$D505,$D505-($D505-$I$481)*MIN(H$3-$O$2,$Q$2)/$Q$2))</f>
        <v>3356.85980327223</v>
      </c>
      <c r="I505" s="15" t="n">
        <f aca="false">H505*(1+IF(I$3&lt;=$O$2,$D505,$D505-($D505-$I$481)*MIN(I$3-$O$2,$Q$2)/$Q$2))</f>
        <v>3654.40796934601</v>
      </c>
      <c r="J505" s="15" t="n">
        <f aca="false">I505*(1+IF(J$3&lt;=$O$2,$D505,$D505-($D505-$I$481)*MIN(J$3-$O$2,$Q$2)/$Q$2))</f>
        <v>3930.57550327138</v>
      </c>
      <c r="K505" s="15" t="n">
        <f aca="false">J505*(1+IF(K$3&lt;=$O$2,$D505,$D505-($D505-$I$481)*MIN(K$3-$O$2,$Q$2)/$Q$2))</f>
        <v>4176.24946381366</v>
      </c>
      <c r="L505" s="15" t="n">
        <f aca="false">K505*(1+IF(L$3&lt;=$O$2,$D505,$D505-($D505-$I$481)*MIN(L$3-$O$2,$Q$2)/$Q$2))</f>
        <v>4382.70459804485</v>
      </c>
      <c r="M505" s="15" t="n">
        <f aca="false">L505*(1+IF(M$3&lt;=$O$2,$D505,$D505-($D505-$I$481)*MIN(M$3-$O$2,$Q$2)/$Q$2))</f>
        <v>4542.09378392496</v>
      </c>
      <c r="N505" s="15" t="n">
        <f aca="false">M505*(1+IF(N$3&lt;=$O$2,$D505,$D505-($D505-$I$481)*MIN(N$3-$O$2,$Q$2)/$Q$2))</f>
        <v>4647.92456909041</v>
      </c>
      <c r="O505" s="15" t="n">
        <f aca="false">SUMPRODUCT(E505:N505,1/(1+$F$481)^$E$3:$N$3)*$E$2</f>
        <v>10177.1212609745</v>
      </c>
      <c r="P505" s="15" t="n">
        <f aca="false">N505*$E$2*(1+$I$481)/($F$481-$I$481)/(1+$F$481)^$N$3</f>
        <v>10834.4520527317</v>
      </c>
      <c r="Q505" s="15" t="n">
        <f aca="false">O505+P505</f>
        <v>21011.5733137063</v>
      </c>
      <c r="R505" s="15" t="n">
        <f aca="false">Q505-$G$2+$I$2</f>
        <v>15660.0133137063</v>
      </c>
      <c r="S505" s="42" t="n">
        <f aca="false">R505/$K$2</f>
        <v>725.000616375289</v>
      </c>
      <c r="T505" s="43" t="n">
        <f aca="false">S505-$M$2</f>
        <v>0.000616375289268945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0.0886386632919312</v>
      </c>
      <c r="C506" s="25" t="n">
        <f aca="false">IF(T505&gt;0,D505,C505)</f>
        <v>0.0886388421058655</v>
      </c>
      <c r="D506" s="41" t="n">
        <f aca="false">(B506+C506)/2</f>
        <v>0.0886387526988983</v>
      </c>
      <c r="E506" s="15" t="n">
        <f aca="false">$C$2*(1+IF(E$3&lt;=$O$2,$D506,$D506-($D506-$I$481)*MIN(E$3-$O$2,$Q$2)/$Q$2))</f>
        <v>2601.84661895037</v>
      </c>
      <c r="F506" s="15" t="n">
        <f aca="false">E506*(1+IF(F$3&lt;=$O$2,$D506,$D506-($D506-$I$481)*MIN(F$3-$O$2,$Q$2)/$Q$2))</f>
        <v>2832.47105796797</v>
      </c>
      <c r="G506" s="15" t="n">
        <f aca="false">F506*(1+IF(G$3&lt;=$O$2,$D506,$D506-($D506-$I$481)*MIN(G$3-$O$2,$Q$2)/$Q$2))</f>
        <v>3083.53775960198</v>
      </c>
      <c r="H506" s="15" t="n">
        <f aca="false">G506*(1+IF(H$3&lt;=$O$2,$D506,$D506-($D506-$I$481)*MIN(H$3-$O$2,$Q$2)/$Q$2))</f>
        <v>3356.85870051306</v>
      </c>
      <c r="I506" s="15" t="n">
        <f aca="false">H506*(1+IF(I$3&lt;=$O$2,$D506,$D506-($D506-$I$481)*MIN(I$3-$O$2,$Q$2)/$Q$2))</f>
        <v>3654.40646871298</v>
      </c>
      <c r="J506" s="15" t="n">
        <f aca="false">I506*(1+IF(J$3&lt;=$O$2,$D506,$D506-($D506-$I$481)*MIN(J$3-$O$2,$Q$2)/$Q$2))</f>
        <v>3930.57362785039</v>
      </c>
      <c r="K506" s="15" t="n">
        <f aca="false">J506*(1+IF(K$3&lt;=$O$2,$D506,$D506-($D506-$I$481)*MIN(K$3-$O$2,$Q$2)/$Q$2))</f>
        <v>4176.24726032026</v>
      </c>
      <c r="L506" s="15" t="n">
        <f aca="false">K506*(1+IF(L$3&lt;=$O$2,$D506,$D506-($D506-$I$481)*MIN(L$3-$O$2,$Q$2)/$Q$2))</f>
        <v>4382.70213626633</v>
      </c>
      <c r="M506" s="15" t="n">
        <f aca="false">L506*(1+IF(M$3&lt;=$O$2,$D506,$D506-($D506-$I$481)*MIN(M$3-$O$2,$Q$2)/$Q$2))</f>
        <v>4542.09115424822</v>
      </c>
      <c r="N506" s="15" t="n">
        <f aca="false">M506*(1+IF(N$3&lt;=$O$2,$D506,$D506-($D506-$I$481)*MIN(N$3-$O$2,$Q$2)/$Q$2))</f>
        <v>4647.9218781422</v>
      </c>
      <c r="O506" s="15" t="n">
        <f aca="false">SUMPRODUCT(E506:N506,1/(1+$F$481)^$E$3:$N$3)*$E$2</f>
        <v>10177.1173669623</v>
      </c>
      <c r="P506" s="15" t="n">
        <f aca="false">N506*$E$2*(1+$I$481)/($F$481-$I$481)/(1+$F$481)^$N$3</f>
        <v>10834.4457800505</v>
      </c>
      <c r="Q506" s="15" t="n">
        <f aca="false">O506+P506</f>
        <v>21011.5631470128</v>
      </c>
      <c r="R506" s="15" t="n">
        <f aca="false">Q506-$G$2+$I$2</f>
        <v>15660.0031470128</v>
      </c>
      <c r="S506" s="42" t="n">
        <f aca="false">R506/$K$2</f>
        <v>725.000145695036</v>
      </c>
      <c r="T506" s="43" t="n">
        <f aca="false">S506-$M$2</f>
        <v>0.000145695035939752</v>
      </c>
    </row>
    <row r="508" customFormat="false" ht="15" hidden="false" customHeight="false" outlineLevel="0" collapsed="false">
      <c r="A508" s="38" t="s">
        <v>199</v>
      </c>
      <c r="E508" s="5" t="s">
        <v>11</v>
      </c>
      <c r="F508" s="12" t="n">
        <f aca="false">Sensitivity!$B$13</f>
        <v>0.101972178572932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162</v>
      </c>
      <c r="B509" s="28" t="s">
        <v>163</v>
      </c>
      <c r="C509" s="28" t="s">
        <v>164</v>
      </c>
      <c r="D509" s="28" t="s">
        <v>165</v>
      </c>
      <c r="E509" s="28" t="s">
        <v>166</v>
      </c>
      <c r="F509" s="28" t="s">
        <v>167</v>
      </c>
      <c r="G509" s="28" t="s">
        <v>168</v>
      </c>
      <c r="H509" s="28" t="s">
        <v>169</v>
      </c>
      <c r="I509" s="28" t="s">
        <v>170</v>
      </c>
      <c r="J509" s="28" t="s">
        <v>171</v>
      </c>
      <c r="K509" s="28" t="s">
        <v>172</v>
      </c>
      <c r="L509" s="28" t="s">
        <v>173</v>
      </c>
      <c r="M509" s="28" t="s">
        <v>174</v>
      </c>
      <c r="N509" s="28" t="s">
        <v>175</v>
      </c>
      <c r="O509" s="28" t="s">
        <v>176</v>
      </c>
      <c r="P509" s="28" t="s">
        <v>177</v>
      </c>
      <c r="Q509" s="28" t="s">
        <v>178</v>
      </c>
      <c r="R509" s="28" t="s">
        <v>179</v>
      </c>
      <c r="S509" s="28" t="s">
        <v>180</v>
      </c>
      <c r="T509" s="28" t="s">
        <v>181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2987.5</v>
      </c>
      <c r="F510" s="15" t="n">
        <f aca="false">E510*(1+IF(F$3&lt;=$O$2,$D510,$D510-($D510-$I$508)*MIN(F$3-$O$2,$Q$2)/$Q$2))</f>
        <v>3734.375</v>
      </c>
      <c r="G510" s="15" t="n">
        <f aca="false">F510*(1+IF(G$3&lt;=$O$2,$D510,$D510-($D510-$I$508)*MIN(G$3-$O$2,$Q$2)/$Q$2))</f>
        <v>4667.96875</v>
      </c>
      <c r="H510" s="15" t="n">
        <f aca="false">G510*(1+IF(H$3&lt;=$O$2,$D510,$D510-($D510-$I$508)*MIN(H$3-$O$2,$Q$2)/$Q$2))</f>
        <v>5834.9609375</v>
      </c>
      <c r="I510" s="15" t="n">
        <f aca="false">H510*(1+IF(I$3&lt;=$O$2,$D510,$D510-($D510-$I$508)*MIN(I$3-$O$2,$Q$2)/$Q$2))</f>
        <v>7293.701171875</v>
      </c>
      <c r="J510" s="15" t="n">
        <f aca="false">I510*(1+IF(J$3&lt;=$O$2,$D510,$D510-($D510-$I$508)*MIN(J$3-$O$2,$Q$2)/$Q$2))</f>
        <v>8793.72375488281</v>
      </c>
      <c r="K510" s="15" t="n">
        <f aca="false">J510*(1+IF(K$3&lt;=$O$2,$D510,$D510-($D510-$I$508)*MIN(K$3-$O$2,$Q$2)/$Q$2))</f>
        <v>10212.3272710205</v>
      </c>
      <c r="L510" s="15" t="n">
        <f aca="false">K510*(1+IF(L$3&lt;=$O$2,$D510,$D510-($D510-$I$508)*MIN(L$3-$O$2,$Q$2)/$Q$2))</f>
        <v>11406.9653151845</v>
      </c>
      <c r="M510" s="15" t="n">
        <f aca="false">L510*(1+IF(M$3&lt;=$O$2,$D510,$D510-($D510-$I$508)*MIN(M$3-$O$2,$Q$2)/$Q$2))</f>
        <v>12235.5672756795</v>
      </c>
      <c r="N510" s="15" t="n">
        <f aca="false">M510*(1+IF(N$3&lt;=$O$2,$D510,$D510-($D510-$I$508)*MIN(N$3-$O$2,$Q$2)/$Q$2))</f>
        <v>12581.8338295812</v>
      </c>
      <c r="O510" s="15" t="n">
        <f aca="false">SUMPRODUCT(E510:N510,1/(1+$F$508)^$E$3:$N$3)*$E$2</f>
        <v>20312.2013582486</v>
      </c>
      <c r="P510" s="15" t="n">
        <f aca="false">N510*$E$2*(1+$I$508)/($F$508-$I$508)/(1+$F$508)^$N$3</f>
        <v>31472.1455824534</v>
      </c>
      <c r="Q510" s="15" t="n">
        <f aca="false">O510+P510</f>
        <v>51784.346940702</v>
      </c>
      <c r="R510" s="15" t="n">
        <f aca="false">Q510-$G$2+$I$2</f>
        <v>46432.786940702</v>
      </c>
      <c r="S510" s="42" t="n">
        <f aca="false">R510/$K$2</f>
        <v>2149.66606206953</v>
      </c>
      <c r="T510" s="43" t="n">
        <f aca="false">S510-$M$2</f>
        <v>1424.66606206953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2091.25</v>
      </c>
      <c r="F511" s="15" t="n">
        <f aca="false">E511*(1+IF(F$3&lt;=$O$2,$D511,$D511-($D511-$I$508)*MIN(F$3-$O$2,$Q$2)/$Q$2))</f>
        <v>1829.84375</v>
      </c>
      <c r="G511" s="15" t="n">
        <f aca="false">F511*(1+IF(G$3&lt;=$O$2,$D511,$D511-($D511-$I$508)*MIN(G$3-$O$2,$Q$2)/$Q$2))</f>
        <v>1601.11328125</v>
      </c>
      <c r="H511" s="15" t="n">
        <f aca="false">G511*(1+IF(H$3&lt;=$O$2,$D511,$D511-($D511-$I$508)*MIN(H$3-$O$2,$Q$2)/$Q$2))</f>
        <v>1400.97412109375</v>
      </c>
      <c r="I511" s="15" t="n">
        <f aca="false">H511*(1+IF(I$3&lt;=$O$2,$D511,$D511-($D511-$I$508)*MIN(I$3-$O$2,$Q$2)/$Q$2))</f>
        <v>1225.85235595703</v>
      </c>
      <c r="J511" s="15" t="n">
        <f aca="false">I511*(1+IF(J$3&lt;=$O$2,$D511,$D511-($D511-$I$508)*MIN(J$3-$O$2,$Q$2)/$Q$2))</f>
        <v>1110.20544469604</v>
      </c>
      <c r="K511" s="15" t="n">
        <f aca="false">J511*(1+IF(K$3&lt;=$O$2,$D511,$D511-($D511-$I$508)*MIN(K$3-$O$2,$Q$2)/$Q$2))</f>
        <v>1039.5075619778</v>
      </c>
      <c r="L511" s="15" t="n">
        <f aca="false">K511*(1+IF(L$3&lt;=$O$2,$D511,$D511-($D511-$I$508)*MIN(L$3-$O$2,$Q$2)/$Q$2))</f>
        <v>1005.18302228129</v>
      </c>
      <c r="M511" s="15" t="n">
        <f aca="false">L511*(1+IF(M$3&lt;=$O$2,$D511,$D511-($D511-$I$508)*MIN(M$3-$O$2,$Q$2)/$Q$2))</f>
        <v>1002.81079034871</v>
      </c>
      <c r="N511" s="15" t="n">
        <f aca="false">M511*(1+IF(N$3&lt;=$O$2,$D511,$D511-($D511-$I$508)*MIN(N$3-$O$2,$Q$2)/$Q$2))</f>
        <v>1031.19033571558</v>
      </c>
      <c r="O511" s="15" t="n">
        <f aca="false">SUMPRODUCT(E511:N511,1/(1+$F$508)^$E$3:$N$3)*$E$2</f>
        <v>4128.23695171367</v>
      </c>
      <c r="P511" s="15" t="n">
        <f aca="false">N511*$E$2*(1+$I$508)/($F$508-$I$508)/(1+$F$508)^$N$3</f>
        <v>2579.41511614606</v>
      </c>
      <c r="Q511" s="15" t="n">
        <f aca="false">O511+P511</f>
        <v>6707.65206785973</v>
      </c>
      <c r="R511" s="15" t="n">
        <f aca="false">Q511-$G$2+$I$2</f>
        <v>1356.09206785973</v>
      </c>
      <c r="S511" s="42" t="n">
        <f aca="false">R511/$K$2</f>
        <v>62.7820401786912</v>
      </c>
      <c r="T511" s="43" t="n">
        <f aca="false">S511-$M$2</f>
        <v>-662.217959821309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2539.375</v>
      </c>
      <c r="F512" s="15" t="n">
        <f aca="false">E512*(1+IF(F$3&lt;=$O$2,$D512,$D512-($D512-$I$508)*MIN(F$3-$O$2,$Q$2)/$Q$2))</f>
        <v>2698.0859375</v>
      </c>
      <c r="G512" s="15" t="n">
        <f aca="false">F512*(1+IF(G$3&lt;=$O$2,$D512,$D512-($D512-$I$508)*MIN(G$3-$O$2,$Q$2)/$Q$2))</f>
        <v>2866.71630859375</v>
      </c>
      <c r="H512" s="15" t="n">
        <f aca="false">G512*(1+IF(H$3&lt;=$O$2,$D512,$D512-($D512-$I$508)*MIN(H$3-$O$2,$Q$2)/$Q$2))</f>
        <v>3045.88607788086</v>
      </c>
      <c r="I512" s="15" t="n">
        <f aca="false">H512*(1+IF(I$3&lt;=$O$2,$D512,$D512-($D512-$I$508)*MIN(I$3-$O$2,$Q$2)/$Q$2))</f>
        <v>3236.25395774841</v>
      </c>
      <c r="J512" s="15" t="n">
        <f aca="false">I512*(1+IF(J$3&lt;=$O$2,$D512,$D512-($D512-$I$508)*MIN(J$3-$O$2,$Q$2)/$Q$2))</f>
        <v>3416.38385303669</v>
      </c>
      <c r="K512" s="15" t="n">
        <f aca="false">J512*(1+IF(K$3&lt;=$O$2,$D512,$D512-($D512-$I$508)*MIN(K$3-$O$2,$Q$2)/$Q$2))</f>
        <v>3583.17171274194</v>
      </c>
      <c r="L512" s="15" t="n">
        <f aca="false">K512*(1+IF(L$3&lt;=$O$2,$D512,$D512-($D512-$I$508)*MIN(L$3-$O$2,$Q$2)/$Q$2))</f>
        <v>3733.59326124285</v>
      </c>
      <c r="M512" s="15" t="n">
        <f aca="false">L512*(1+IF(M$3&lt;=$O$2,$D512,$D512-($D512-$I$508)*MIN(M$3-$O$2,$Q$2)/$Q$2))</f>
        <v>3864.79172844292</v>
      </c>
      <c r="N512" s="15" t="n">
        <f aca="false">M512*(1+IF(N$3&lt;=$O$2,$D512,$D512-($D512-$I$508)*MIN(N$3-$O$2,$Q$2)/$Q$2))</f>
        <v>3974.16533435786</v>
      </c>
      <c r="O512" s="15" t="n">
        <f aca="false">SUMPRODUCT(E512:N512,1/(1+$F$508)^$E$3:$N$3)*$E$2</f>
        <v>9125.79526844256</v>
      </c>
      <c r="P512" s="15" t="n">
        <f aca="false">N512*$E$2*(1+$I$508)/($F$508-$I$508)/(1+$F$508)^$N$3</f>
        <v>9940.96024997439</v>
      </c>
      <c r="Q512" s="15" t="n">
        <f aca="false">O512+P512</f>
        <v>19066.755518417</v>
      </c>
      <c r="R512" s="15" t="n">
        <f aca="false">Q512-$G$2+$I$2</f>
        <v>13715.195518417</v>
      </c>
      <c r="S512" s="42" t="n">
        <f aca="false">R512/$K$2</f>
        <v>634.962755482266</v>
      </c>
      <c r="T512" s="43" t="n">
        <f aca="false">S512-$M$2</f>
        <v>-90.0372445177336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0.0625</v>
      </c>
      <c r="C513" s="25" t="n">
        <f aca="false">IF(T512&gt;0,D512,C512)</f>
        <v>0.25</v>
      </c>
      <c r="D513" s="41" t="n">
        <f aca="false">(B513+C513)/2</f>
        <v>0.15625</v>
      </c>
      <c r="E513" s="15" t="n">
        <f aca="false">$C$2*(1+IF(E$3&lt;=$O$2,$D513,$D513-($D513-$I$508)*MIN(E$3-$O$2,$Q$2)/$Q$2))</f>
        <v>2763.4375</v>
      </c>
      <c r="F513" s="15" t="n">
        <f aca="false">E513*(1+IF(F$3&lt;=$O$2,$D513,$D513-($D513-$I$508)*MIN(F$3-$O$2,$Q$2)/$Q$2))</f>
        <v>3195.224609375</v>
      </c>
      <c r="G513" s="15" t="n">
        <f aca="false">F513*(1+IF(G$3&lt;=$O$2,$D513,$D513-($D513-$I$508)*MIN(G$3-$O$2,$Q$2)/$Q$2))</f>
        <v>3694.47845458984</v>
      </c>
      <c r="H513" s="15" t="n">
        <f aca="false">G513*(1+IF(H$3&lt;=$O$2,$D513,$D513-($D513-$I$508)*MIN(H$3-$O$2,$Q$2)/$Q$2))</f>
        <v>4271.74071311951</v>
      </c>
      <c r="I513" s="15" t="n">
        <f aca="false">H513*(1+IF(I$3&lt;=$O$2,$D513,$D513-($D513-$I$508)*MIN(I$3-$O$2,$Q$2)/$Q$2))</f>
        <v>4939.20019954443</v>
      </c>
      <c r="J513" s="15" t="n">
        <f aca="false">I513*(1+IF(J$3&lt;=$O$2,$D513,$D513-($D513-$I$508)*MIN(J$3-$O$2,$Q$2)/$Q$2))</f>
        <v>5584.55609761691</v>
      </c>
      <c r="K513" s="15" t="n">
        <f aca="false">J513*(1+IF(K$3&lt;=$O$2,$D513,$D513-($D513-$I$508)*MIN(K$3-$O$2,$Q$2)/$Q$2))</f>
        <v>6171.32540679351</v>
      </c>
      <c r="L513" s="15" t="n">
        <f aca="false">K513*(1+IF(L$3&lt;=$O$2,$D513,$D513-($D513-$I$508)*MIN(L$3-$O$2,$Q$2)/$Q$2))</f>
        <v>6661.82235012546</v>
      </c>
      <c r="M513" s="15" t="n">
        <f aca="false">L513*(1+IF(M$3&lt;=$O$2,$D513,$D513-($D513-$I$508)*MIN(M$3-$O$2,$Q$2)/$Q$2))</f>
        <v>7020.82795657372</v>
      </c>
      <c r="N513" s="15" t="n">
        <f aca="false">M513*(1+IF(N$3&lt;=$O$2,$D513,$D513-($D513-$I$508)*MIN(N$3-$O$2,$Q$2)/$Q$2))</f>
        <v>7219.51738774476</v>
      </c>
      <c r="O513" s="15" t="n">
        <f aca="false">SUMPRODUCT(E513:N513,1/(1+$F$508)^$E$3:$N$3)*$E$2</f>
        <v>13633.6019696355</v>
      </c>
      <c r="P513" s="15" t="n">
        <f aca="false">N513*$E$2*(1+$I$508)/($F$508-$I$508)/(1+$F$508)^$N$3</f>
        <v>18058.87006137</v>
      </c>
      <c r="Q513" s="15" t="n">
        <f aca="false">O513+P513</f>
        <v>31692.4720310055</v>
      </c>
      <c r="R513" s="15" t="n">
        <f aca="false">Q513-$G$2+$I$2</f>
        <v>26340.9120310055</v>
      </c>
      <c r="S513" s="42" t="n">
        <f aca="false">R513/$K$2</f>
        <v>1219.48666810211</v>
      </c>
      <c r="T513" s="43" t="n">
        <f aca="false">S513-$M$2</f>
        <v>494.486668102106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0.0625</v>
      </c>
      <c r="C514" s="25" t="n">
        <f aca="false">IF(T513&gt;0,D513,C513)</f>
        <v>0.15625</v>
      </c>
      <c r="D514" s="41" t="n">
        <f aca="false">(B514+C514)/2</f>
        <v>0.109375</v>
      </c>
      <c r="E514" s="15" t="n">
        <f aca="false">$C$2*(1+IF(E$3&lt;=$O$2,$D514,$D514-($D514-$I$508)*MIN(E$3-$O$2,$Q$2)/$Q$2))</f>
        <v>2651.40625</v>
      </c>
      <c r="F514" s="15" t="n">
        <f aca="false">E514*(1+IF(F$3&lt;=$O$2,$D514,$D514-($D514-$I$508)*MIN(F$3-$O$2,$Q$2)/$Q$2))</f>
        <v>2941.40380859375</v>
      </c>
      <c r="G514" s="15" t="n">
        <f aca="false">F514*(1+IF(G$3&lt;=$O$2,$D514,$D514-($D514-$I$508)*MIN(G$3-$O$2,$Q$2)/$Q$2))</f>
        <v>3263.11985015869</v>
      </c>
      <c r="H514" s="15" t="n">
        <f aca="false">G514*(1+IF(H$3&lt;=$O$2,$D514,$D514-($D514-$I$508)*MIN(H$3-$O$2,$Q$2)/$Q$2))</f>
        <v>3620.0235837698</v>
      </c>
      <c r="I514" s="15" t="n">
        <f aca="false">H514*(1+IF(I$3&lt;=$O$2,$D514,$D514-($D514-$I$508)*MIN(I$3-$O$2,$Q$2)/$Q$2))</f>
        <v>4015.96366324462</v>
      </c>
      <c r="J514" s="15" t="n">
        <f aca="false">I514*(1+IF(J$3&lt;=$O$2,$D514,$D514-($D514-$I$508)*MIN(J$3-$O$2,$Q$2)/$Q$2))</f>
        <v>4390.09083811249</v>
      </c>
      <c r="K514" s="15" t="n">
        <f aca="false">J514*(1+IF(K$3&lt;=$O$2,$D514,$D514-($D514-$I$508)*MIN(K$3-$O$2,$Q$2)/$Q$2))</f>
        <v>4727.88637765105</v>
      </c>
      <c r="L514" s="15" t="n">
        <f aca="false">K514*(1+IF(L$3&lt;=$O$2,$D514,$D514-($D514-$I$508)*MIN(L$3-$O$2,$Q$2)/$Q$2))</f>
        <v>5015.0109173658</v>
      </c>
      <c r="M514" s="15" t="n">
        <f aca="false">L514*(1+IF(M$3&lt;=$O$2,$D514,$D514-($D514-$I$508)*MIN(M$3-$O$2,$Q$2)/$Q$2))</f>
        <v>5238.25412835234</v>
      </c>
      <c r="N514" s="15" t="n">
        <f aca="false">M514*(1+IF(N$3&lt;=$O$2,$D514,$D514-($D514-$I$508)*MIN(N$3-$O$2,$Q$2)/$Q$2))</f>
        <v>5386.49672018471</v>
      </c>
      <c r="O514" s="15" t="n">
        <f aca="false">SUMPRODUCT(E514:N514,1/(1+$F$508)^$E$3:$N$3)*$E$2</f>
        <v>11155.2825304969</v>
      </c>
      <c r="P514" s="15" t="n">
        <f aca="false">N514*$E$2*(1+$I$508)/($F$508-$I$508)/(1+$F$508)^$N$3</f>
        <v>13473.7599664121</v>
      </c>
      <c r="Q514" s="15" t="n">
        <f aca="false">O514+P514</f>
        <v>24629.0424969091</v>
      </c>
      <c r="R514" s="15" t="n">
        <f aca="false">Q514-$G$2+$I$2</f>
        <v>19277.4824969091</v>
      </c>
      <c r="S514" s="42" t="n">
        <f aca="false">R514/$K$2</f>
        <v>892.476041523568</v>
      </c>
      <c r="T514" s="43" t="n">
        <f aca="false">S514-$M$2</f>
        <v>167.476041523567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0.0625</v>
      </c>
      <c r="C515" s="25" t="n">
        <f aca="false">IF(T514&gt;0,D514,C514)</f>
        <v>0.109375</v>
      </c>
      <c r="D515" s="41" t="n">
        <f aca="false">(B515+C515)/2</f>
        <v>0.0859375</v>
      </c>
      <c r="E515" s="15" t="n">
        <f aca="false">$C$2*(1+IF(E$3&lt;=$O$2,$D515,$D515-($D515-$I$508)*MIN(E$3-$O$2,$Q$2)/$Q$2))</f>
        <v>2595.390625</v>
      </c>
      <c r="F515" s="15" t="n">
        <f aca="false">E515*(1+IF(F$3&lt;=$O$2,$D515,$D515-($D515-$I$508)*MIN(F$3-$O$2,$Q$2)/$Q$2))</f>
        <v>2818.43200683594</v>
      </c>
      <c r="G515" s="15" t="n">
        <f aca="false">F515*(1+IF(G$3&lt;=$O$2,$D515,$D515-($D515-$I$508)*MIN(G$3-$O$2,$Q$2)/$Q$2))</f>
        <v>3060.6410074234</v>
      </c>
      <c r="H515" s="15" t="n">
        <f aca="false">G515*(1+IF(H$3&lt;=$O$2,$D515,$D515-($D515-$I$508)*MIN(H$3-$O$2,$Q$2)/$Q$2))</f>
        <v>3323.66484399885</v>
      </c>
      <c r="I515" s="15" t="n">
        <f aca="false">H515*(1+IF(I$3&lt;=$O$2,$D515,$D515-($D515-$I$508)*MIN(I$3-$O$2,$Q$2)/$Q$2))</f>
        <v>3609.29229153</v>
      </c>
      <c r="J515" s="15" t="n">
        <f aca="false">I515*(1+IF(J$3&lt;=$O$2,$D515,$D515-($D515-$I$508)*MIN(J$3-$O$2,$Q$2)/$Q$2))</f>
        <v>3877.85973094275</v>
      </c>
      <c r="K515" s="15" t="n">
        <f aca="false">J515*(1+IF(K$3&lt;=$O$2,$D515,$D515-($D515-$I$508)*MIN(K$3-$O$2,$Q$2)/$Q$2))</f>
        <v>4121.70924547376</v>
      </c>
      <c r="L515" s="15" t="n">
        <f aca="false">K515*(1+IF(L$3&lt;=$O$2,$D515,$D515-($D515-$I$508)*MIN(L$3-$O$2,$Q$2)/$Q$2))</f>
        <v>4333.37962377506</v>
      </c>
      <c r="M515" s="15" t="n">
        <f aca="false">L515*(1+IF(M$3&lt;=$O$2,$D515,$D515-($D515-$I$508)*MIN(M$3-$O$2,$Q$2)/$Q$2))</f>
        <v>4505.96730074096</v>
      </c>
      <c r="N515" s="15" t="n">
        <f aca="false">M515*(1+IF(N$3&lt;=$O$2,$D515,$D515-($D515-$I$508)*MIN(N$3-$O$2,$Q$2)/$Q$2))</f>
        <v>4633.48617535193</v>
      </c>
      <c r="O515" s="15" t="n">
        <f aca="false">SUMPRODUCT(E515:N515,1/(1+$F$508)^$E$3:$N$3)*$E$2</f>
        <v>10089.5216059363</v>
      </c>
      <c r="P515" s="15" t="n">
        <f aca="false">N515*$E$2*(1+$I$508)/($F$508-$I$508)/(1+$F$508)^$N$3</f>
        <v>11590.1825950132</v>
      </c>
      <c r="Q515" s="15" t="n">
        <f aca="false">O515+P515</f>
        <v>21679.7042009496</v>
      </c>
      <c r="R515" s="15" t="n">
        <f aca="false">Q515-$G$2+$I$2</f>
        <v>16328.1442009496</v>
      </c>
      <c r="S515" s="42" t="n">
        <f aca="false">R515/$K$2</f>
        <v>755.932601895814</v>
      </c>
      <c r="T515" s="43" t="n">
        <f aca="false">S515-$M$2</f>
        <v>30.9326018958136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0.0625</v>
      </c>
      <c r="C516" s="25" t="n">
        <f aca="false">IF(T515&gt;0,D515,C515)</f>
        <v>0.0859375</v>
      </c>
      <c r="D516" s="41" t="n">
        <f aca="false">(B516+C516)/2</f>
        <v>0.07421875</v>
      </c>
      <c r="E516" s="15" t="n">
        <f aca="false">$C$2*(1+IF(E$3&lt;=$O$2,$D516,$D516-($D516-$I$508)*MIN(E$3-$O$2,$Q$2)/$Q$2))</f>
        <v>2567.3828125</v>
      </c>
      <c r="F516" s="15" t="n">
        <f aca="false">E516*(1+IF(F$3&lt;=$O$2,$D516,$D516-($D516-$I$508)*MIN(F$3-$O$2,$Q$2)/$Q$2))</f>
        <v>2757.93075561523</v>
      </c>
      <c r="G516" s="15" t="n">
        <f aca="false">F516*(1+IF(G$3&lt;=$O$2,$D516,$D516-($D516-$I$508)*MIN(G$3-$O$2,$Q$2)/$Q$2))</f>
        <v>2962.62092888355</v>
      </c>
      <c r="H516" s="15" t="n">
        <f aca="false">G516*(1+IF(H$3&lt;=$O$2,$D516,$D516-($D516-$I$508)*MIN(H$3-$O$2,$Q$2)/$Q$2))</f>
        <v>3182.50295094913</v>
      </c>
      <c r="I516" s="15" t="n">
        <f aca="false">H516*(1+IF(I$3&lt;=$O$2,$D516,$D516-($D516-$I$508)*MIN(I$3-$O$2,$Q$2)/$Q$2))</f>
        <v>3418.70434183988</v>
      </c>
      <c r="J516" s="15" t="n">
        <f aca="false">I516*(1+IF(J$3&lt;=$O$2,$D516,$D516-($D516-$I$508)*MIN(J$3-$O$2,$Q$2)/$Q$2))</f>
        <v>3641.03977871144</v>
      </c>
      <c r="K516" s="15" t="n">
        <f aca="false">J516*(1+IF(K$3&lt;=$O$2,$D516,$D516-($D516-$I$508)*MIN(K$3-$O$2,$Q$2)/$Q$2))</f>
        <v>3844.3964016522</v>
      </c>
      <c r="L516" s="15" t="n">
        <f aca="false">K516*(1+IF(L$3&lt;=$O$2,$D516,$D516-($D516-$I$508)*MIN(L$3-$O$2,$Q$2)/$Q$2))</f>
        <v>4023.8047707263</v>
      </c>
      <c r="M516" s="15" t="n">
        <f aca="false">L516*(1+IF(M$3&lt;=$O$2,$D516,$D516-($D516-$I$508)*MIN(M$3-$O$2,$Q$2)/$Q$2))</f>
        <v>4174.63206280101</v>
      </c>
      <c r="N516" s="15" t="n">
        <f aca="false">M516*(1+IF(N$3&lt;=$O$2,$D516,$D516-($D516-$I$508)*MIN(N$3-$O$2,$Q$2)/$Q$2))</f>
        <v>4292.77415017828</v>
      </c>
      <c r="O516" s="15" t="n">
        <f aca="false">SUMPRODUCT(E516:N516,1/(1+$F$508)^$E$3:$N$3)*$E$2</f>
        <v>9595.4958788622</v>
      </c>
      <c r="P516" s="15" t="n">
        <f aca="false">N516*$E$2*(1+$I$508)/($F$508-$I$508)/(1+$F$508)^$N$3</f>
        <v>10737.9269856007</v>
      </c>
      <c r="Q516" s="15" t="n">
        <f aca="false">O516+P516</f>
        <v>20333.4228644629</v>
      </c>
      <c r="R516" s="15" t="n">
        <f aca="false">Q516-$G$2+$I$2</f>
        <v>14981.8628644629</v>
      </c>
      <c r="S516" s="42" t="n">
        <f aca="false">R516/$K$2</f>
        <v>693.604762243651</v>
      </c>
      <c r="T516" s="43" t="n">
        <f aca="false">S516-$M$2</f>
        <v>-31.3952377563487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0.07421875</v>
      </c>
      <c r="C517" s="25" t="n">
        <f aca="false">IF(T516&gt;0,D516,C516)</f>
        <v>0.0859375</v>
      </c>
      <c r="D517" s="41" t="n">
        <f aca="false">(B517+C517)/2</f>
        <v>0.080078125</v>
      </c>
      <c r="E517" s="15" t="n">
        <f aca="false">$C$2*(1+IF(E$3&lt;=$O$2,$D517,$D517-($D517-$I$508)*MIN(E$3-$O$2,$Q$2)/$Q$2))</f>
        <v>2581.38671875</v>
      </c>
      <c r="F517" s="15" t="n">
        <f aca="false">E517*(1+IF(F$3&lt;=$O$2,$D517,$D517-($D517-$I$508)*MIN(F$3-$O$2,$Q$2)/$Q$2))</f>
        <v>2788.0993270874</v>
      </c>
      <c r="G517" s="15" t="n">
        <f aca="false">F517*(1+IF(G$3&lt;=$O$2,$D517,$D517-($D517-$I$508)*MIN(G$3-$O$2,$Q$2)/$Q$2))</f>
        <v>3011.36509351432</v>
      </c>
      <c r="H517" s="15" t="n">
        <f aca="false">G517*(1+IF(H$3&lt;=$O$2,$D517,$D517-($D517-$I$508)*MIN(H$3-$O$2,$Q$2)/$Q$2))</f>
        <v>3252.5095638934</v>
      </c>
      <c r="I517" s="15" t="n">
        <f aca="false">H517*(1+IF(I$3&lt;=$O$2,$D517,$D517-($D517-$I$508)*MIN(I$3-$O$2,$Q$2)/$Q$2))</f>
        <v>3512.96443131455</v>
      </c>
      <c r="J517" s="15" t="n">
        <f aca="false">I517*(1+IF(J$3&lt;=$O$2,$D517,$D517-($D517-$I$508)*MIN(J$3-$O$2,$Q$2)/$Q$2))</f>
        <v>3757.89709387688</v>
      </c>
      <c r="K517" s="15" t="n">
        <f aca="false">J517*(1+IF(K$3&lt;=$O$2,$D517,$D517-($D517-$I$508)*MIN(K$3-$O$2,$Q$2)/$Q$2))</f>
        <v>3980.99170091193</v>
      </c>
      <c r="L517" s="15" t="n">
        <f aca="false">K517*(1+IF(L$3&lt;=$O$2,$D517,$D517-($D517-$I$508)*MIN(L$3-$O$2,$Q$2)/$Q$2))</f>
        <v>4176.10508041325</v>
      </c>
      <c r="M517" s="15" t="n">
        <f aca="false">L517*(1+IF(M$3&lt;=$O$2,$D517,$D517-($D517-$I$508)*MIN(M$3-$O$2,$Q$2)/$Q$2))</f>
        <v>4337.5350323623</v>
      </c>
      <c r="N517" s="15" t="n">
        <f aca="false">M517*(1+IF(N$3&lt;=$O$2,$D517,$D517-($D517-$I$508)*MIN(N$3-$O$2,$Q$2)/$Q$2))</f>
        <v>4460.28727377815</v>
      </c>
      <c r="O517" s="15" t="n">
        <f aca="false">SUMPRODUCT(E517:N517,1/(1+$F$508)^$E$3:$N$3)*$E$2</f>
        <v>9839.39601510536</v>
      </c>
      <c r="P517" s="15" t="n">
        <f aca="false">N517*$E$2*(1+$I$508)/($F$508-$I$508)/(1+$F$508)^$N$3</f>
        <v>11156.9435998967</v>
      </c>
      <c r="Q517" s="15" t="n">
        <f aca="false">O517+P517</f>
        <v>20996.3396150021</v>
      </c>
      <c r="R517" s="15" t="n">
        <f aca="false">Q517-$G$2+$I$2</f>
        <v>15644.7796150021</v>
      </c>
      <c r="S517" s="42" t="n">
        <f aca="false">R517/$K$2</f>
        <v>724.295352546392</v>
      </c>
      <c r="T517" s="43" t="n">
        <f aca="false">S517-$M$2</f>
        <v>-0.70464745360789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0.080078125</v>
      </c>
      <c r="C518" s="25" t="n">
        <f aca="false">IF(T517&gt;0,D517,C517)</f>
        <v>0.0859375</v>
      </c>
      <c r="D518" s="41" t="n">
        <f aca="false">(B518+C518)/2</f>
        <v>0.0830078125</v>
      </c>
      <c r="E518" s="15" t="n">
        <f aca="false">$C$2*(1+IF(E$3&lt;=$O$2,$D518,$D518-($D518-$I$508)*MIN(E$3-$O$2,$Q$2)/$Q$2))</f>
        <v>2588.388671875</v>
      </c>
      <c r="F518" s="15" t="n">
        <f aca="false">E518*(1+IF(F$3&lt;=$O$2,$D518,$D518-($D518-$I$508)*MIN(F$3-$O$2,$Q$2)/$Q$2))</f>
        <v>2803.24515342712</v>
      </c>
      <c r="G518" s="15" t="n">
        <f aca="false">F518*(1+IF(G$3&lt;=$O$2,$D518,$D518-($D518-$I$508)*MIN(G$3-$O$2,$Q$2)/$Q$2))</f>
        <v>3035.93640151434</v>
      </c>
      <c r="H518" s="15" t="n">
        <f aca="false">G518*(1+IF(H$3&lt;=$O$2,$D518,$D518-($D518-$I$508)*MIN(H$3-$O$2,$Q$2)/$Q$2))</f>
        <v>3287.94284109316</v>
      </c>
      <c r="I518" s="15" t="n">
        <f aca="false">H518*(1+IF(I$3&lt;=$O$2,$D518,$D518-($D518-$I$508)*MIN(I$3-$O$2,$Q$2)/$Q$2))</f>
        <v>3560.86778395734</v>
      </c>
      <c r="J518" s="15" t="n">
        <f aca="false">I518*(1+IF(J$3&lt;=$O$2,$D518,$D518-($D518-$I$508)*MIN(J$3-$O$2,$Q$2)/$Q$2))</f>
        <v>3817.48617189296</v>
      </c>
      <c r="K518" s="15" t="n">
        <f aca="false">J518*(1+IF(K$3&lt;=$O$2,$D518,$D518-($D518-$I$508)*MIN(K$3-$O$2,$Q$2)/$Q$2))</f>
        <v>4050.82882118549</v>
      </c>
      <c r="L518" s="15" t="n">
        <f aca="false">K518*(1+IF(L$3&lt;=$O$2,$D518,$D518-($D518-$I$508)*MIN(L$3-$O$2,$Q$2)/$Q$2))</f>
        <v>4254.11207027264</v>
      </c>
      <c r="M518" s="15" t="n">
        <f aca="false">L518*(1+IF(M$3&lt;=$O$2,$D518,$D518-($D518-$I$508)*MIN(M$3-$O$2,$Q$2)/$Q$2))</f>
        <v>4421.05007496025</v>
      </c>
      <c r="N518" s="15" t="n">
        <f aca="false">M518*(1+IF(N$3&lt;=$O$2,$D518,$D518-($D518-$I$508)*MIN(N$3-$O$2,$Q$2)/$Q$2))</f>
        <v>4546.16579208162</v>
      </c>
      <c r="O518" s="15" t="n">
        <f aca="false">SUMPRODUCT(E518:N518,1/(1+$F$508)^$E$3:$N$3)*$E$2</f>
        <v>9963.67145547557</v>
      </c>
      <c r="P518" s="15" t="n">
        <f aca="false">N518*$E$2*(1+$I$508)/($F$508-$I$508)/(1+$F$508)^$N$3</f>
        <v>11371.7597600099</v>
      </c>
      <c r="Q518" s="15" t="n">
        <f aca="false">O518+P518</f>
        <v>21335.4312154854</v>
      </c>
      <c r="R518" s="15" t="n">
        <f aca="false">Q518-$G$2+$I$2</f>
        <v>15983.8712154854</v>
      </c>
      <c r="S518" s="42" t="n">
        <f aca="false">R518/$K$2</f>
        <v>739.994037753955</v>
      </c>
      <c r="T518" s="43" t="n">
        <f aca="false">S518-$M$2</f>
        <v>14.9940377539546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0.080078125</v>
      </c>
      <c r="C519" s="25" t="n">
        <f aca="false">IF(T518&gt;0,D518,C518)</f>
        <v>0.0830078125</v>
      </c>
      <c r="D519" s="41" t="n">
        <f aca="false">(B519+C519)/2</f>
        <v>0.08154296875</v>
      </c>
      <c r="E519" s="15" t="n">
        <f aca="false">$C$2*(1+IF(E$3&lt;=$O$2,$D519,$D519-($D519-$I$508)*MIN(E$3-$O$2,$Q$2)/$Q$2))</f>
        <v>2584.8876953125</v>
      </c>
      <c r="F519" s="15" t="n">
        <f aca="false">E519*(1+IF(F$3&lt;=$O$2,$D519,$D519-($D519-$I$508)*MIN(F$3-$O$2,$Q$2)/$Q$2))</f>
        <v>2795.66711187363</v>
      </c>
      <c r="G519" s="15" t="n">
        <f aca="false">F519*(1+IF(G$3&lt;=$O$2,$D519,$D519-($D519-$I$508)*MIN(G$3-$O$2,$Q$2)/$Q$2))</f>
        <v>3023.63410781254</v>
      </c>
      <c r="H519" s="15" t="n">
        <f aca="false">G519*(1+IF(H$3&lt;=$O$2,$D519,$D519-($D519-$I$508)*MIN(H$3-$O$2,$Q$2)/$Q$2))</f>
        <v>3270.19020937733</v>
      </c>
      <c r="I519" s="15" t="n">
        <f aca="false">H519*(1+IF(I$3&lt;=$O$2,$D519,$D519-($D519-$I$508)*MIN(I$3-$O$2,$Q$2)/$Q$2))</f>
        <v>3536.85122742714</v>
      </c>
      <c r="J519" s="15" t="n">
        <f aca="false">I519*(1+IF(J$3&lt;=$O$2,$D519,$D519-($D519-$I$508)*MIN(J$3-$O$2,$Q$2)/$Q$2))</f>
        <v>3787.59408466358</v>
      </c>
      <c r="K519" s="15" t="n">
        <f aca="false">J519*(1+IF(K$3&lt;=$O$2,$D519,$D519-($D519-$I$508)*MIN(K$3-$O$2,$Q$2)/$Q$2))</f>
        <v>4015.78064935201</v>
      </c>
      <c r="L519" s="15" t="n">
        <f aca="false">K519*(1+IF(L$3&lt;=$O$2,$D519,$D519-($D519-$I$508)*MIN(L$3-$O$2,$Q$2)/$Q$2))</f>
        <v>4214.95207517679</v>
      </c>
      <c r="M519" s="15" t="n">
        <f aca="false">L519*(1+IF(M$3&lt;=$O$2,$D519,$D519-($D519-$I$508)*MIN(M$3-$O$2,$Q$2)/$Q$2))</f>
        <v>4379.11853122857</v>
      </c>
      <c r="N519" s="15" t="n">
        <f aca="false">M519*(1+IF(N$3&lt;=$O$2,$D519,$D519-($D519-$I$508)*MIN(N$3-$O$2,$Q$2)/$Q$2))</f>
        <v>4503.04758566234</v>
      </c>
      <c r="O519" s="15" t="n">
        <f aca="false">SUMPRODUCT(E519:N519,1/(1+$F$508)^$E$3:$N$3)*$E$2</f>
        <v>9901.33805050521</v>
      </c>
      <c r="P519" s="15" t="n">
        <f aca="false">N519*$E$2*(1+$I$508)/($F$508-$I$508)/(1+$F$508)^$N$3</f>
        <v>11263.90406202</v>
      </c>
      <c r="Q519" s="15" t="n">
        <f aca="false">O519+P519</f>
        <v>21165.2421125252</v>
      </c>
      <c r="R519" s="15" t="n">
        <f aca="false">Q519-$G$2+$I$2</f>
        <v>15813.6821125252</v>
      </c>
      <c r="S519" s="42" t="n">
        <f aca="false">R519/$K$2</f>
        <v>732.114912616908</v>
      </c>
      <c r="T519" s="43" t="n">
        <f aca="false">S519-$M$2</f>
        <v>7.11491261690776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0.080078125</v>
      </c>
      <c r="C520" s="25" t="n">
        <f aca="false">IF(T519&gt;0,D519,C519)</f>
        <v>0.08154296875</v>
      </c>
      <c r="D520" s="41" t="n">
        <f aca="false">(B520+C520)/2</f>
        <v>0.080810546875</v>
      </c>
      <c r="E520" s="15" t="n">
        <f aca="false">$C$2*(1+IF(E$3&lt;=$O$2,$D520,$D520-($D520-$I$508)*MIN(E$3-$O$2,$Q$2)/$Q$2))</f>
        <v>2583.13720703125</v>
      </c>
      <c r="F520" s="15" t="n">
        <f aca="false">E520*(1+IF(F$3&lt;=$O$2,$D520,$D520-($D520-$I$508)*MIN(F$3-$O$2,$Q$2)/$Q$2))</f>
        <v>2791.88193738461</v>
      </c>
      <c r="G520" s="15" t="n">
        <f aca="false">F520*(1+IF(G$3&lt;=$O$2,$D520,$D520-($D520-$I$508)*MIN(G$3-$O$2,$Q$2)/$Q$2))</f>
        <v>3017.49544355509</v>
      </c>
      <c r="H520" s="15" t="n">
        <f aca="false">G520*(1+IF(H$3&lt;=$O$2,$D520,$D520-($D520-$I$508)*MIN(H$3-$O$2,$Q$2)/$Q$2))</f>
        <v>3261.3409005416</v>
      </c>
      <c r="I520" s="15" t="n">
        <f aca="false">H520*(1+IF(I$3&lt;=$O$2,$D520,$D520-($D520-$I$508)*MIN(I$3-$O$2,$Q$2)/$Q$2))</f>
        <v>3524.89164226017</v>
      </c>
      <c r="J520" s="15" t="n">
        <f aca="false">I520*(1+IF(J$3&lt;=$O$2,$D520,$D520-($D520-$I$508)*MIN(J$3-$O$2,$Q$2)/$Q$2))</f>
        <v>3772.72126598429</v>
      </c>
      <c r="K520" s="15" t="n">
        <f aca="false">J520*(1+IF(K$3&lt;=$O$2,$D520,$D520-($D520-$I$508)*MIN(K$3-$O$2,$Q$2)/$Q$2))</f>
        <v>3998.35387194191</v>
      </c>
      <c r="L520" s="15" t="n">
        <f aca="false">K520*(1+IF(L$3&lt;=$O$2,$D520,$D520-($D520-$I$508)*MIN(L$3-$O$2,$Q$2)/$Q$2))</f>
        <v>4195.48958588405</v>
      </c>
      <c r="M520" s="15" t="n">
        <f aca="false">L520*(1+IF(M$3&lt;=$O$2,$D520,$D520-($D520-$I$508)*MIN(M$3-$O$2,$Q$2)/$Q$2))</f>
        <v>4358.28343167719</v>
      </c>
      <c r="N520" s="15" t="n">
        <f aca="false">M520*(1+IF(N$3&lt;=$O$2,$D520,$D520-($D520-$I$508)*MIN(N$3-$O$2,$Q$2)/$Q$2))</f>
        <v>4481.62285279366</v>
      </c>
      <c r="O520" s="15" t="n">
        <f aca="false">SUMPRODUCT(E520:N520,1/(1+$F$508)^$E$3:$N$3)*$E$2</f>
        <v>9870.31825521276</v>
      </c>
      <c r="P520" s="15" t="n">
        <f aca="false">N520*$E$2*(1+$I$508)/($F$508-$I$508)/(1+$F$508)^$N$3</f>
        <v>11210.3123264239</v>
      </c>
      <c r="Q520" s="15" t="n">
        <f aca="false">O520+P520</f>
        <v>21080.6305816367</v>
      </c>
      <c r="R520" s="15" t="n">
        <f aca="false">Q520-$G$2+$I$2</f>
        <v>15729.0705816367</v>
      </c>
      <c r="S520" s="42" t="n">
        <f aca="false">R520/$K$2</f>
        <v>728.19771211281</v>
      </c>
      <c r="T520" s="43" t="n">
        <f aca="false">S520-$M$2</f>
        <v>3.19771211280988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0.080078125</v>
      </c>
      <c r="C521" s="25" t="n">
        <f aca="false">IF(T520&gt;0,D520,C520)</f>
        <v>0.080810546875</v>
      </c>
      <c r="D521" s="41" t="n">
        <f aca="false">(B521+C521)/2</f>
        <v>0.0804443359375</v>
      </c>
      <c r="E521" s="15" t="n">
        <f aca="false">$C$2*(1+IF(E$3&lt;=$O$2,$D521,$D521-($D521-$I$508)*MIN(E$3-$O$2,$Q$2)/$Q$2))</f>
        <v>2582.26196289063</v>
      </c>
      <c r="F521" s="15" t="n">
        <f aca="false">E521*(1+IF(F$3&lt;=$O$2,$D521,$D521-($D521-$I$508)*MIN(F$3-$O$2,$Q$2)/$Q$2))</f>
        <v>2789.99031171203</v>
      </c>
      <c r="G521" s="15" t="n">
        <f aca="false">F521*(1+IF(G$3&lt;=$O$2,$D521,$D521-($D521-$I$508)*MIN(G$3-$O$2,$Q$2)/$Q$2))</f>
        <v>3014.42922960976</v>
      </c>
      <c r="H521" s="15" t="n">
        <f aca="false">G521*(1+IF(H$3&lt;=$O$2,$D521,$D521-($D521-$I$508)*MIN(H$3-$O$2,$Q$2)/$Q$2))</f>
        <v>3256.92298721631</v>
      </c>
      <c r="I521" s="15" t="n">
        <f aca="false">H521*(1+IF(I$3&lt;=$O$2,$D521,$D521-($D521-$I$508)*MIN(I$3-$O$2,$Q$2)/$Q$2))</f>
        <v>3518.9239941225</v>
      </c>
      <c r="J521" s="15" t="n">
        <f aca="false">I521*(1+IF(J$3&lt;=$O$2,$D521,$D521-($D521-$I$508)*MIN(J$3-$O$2,$Q$2)/$Q$2))</f>
        <v>3765.30310706661</v>
      </c>
      <c r="K521" s="15" t="n">
        <f aca="false">J521*(1+IF(K$3&lt;=$O$2,$D521,$D521-($D521-$I$508)*MIN(K$3-$O$2,$Q$2)/$Q$2))</f>
        <v>3989.66472306943</v>
      </c>
      <c r="L521" s="15" t="n">
        <f aca="false">K521*(1+IF(L$3&lt;=$O$2,$D521,$D521-($D521-$I$508)*MIN(L$3-$O$2,$Q$2)/$Q$2))</f>
        <v>4185.78760177139</v>
      </c>
      <c r="M521" s="15" t="n">
        <f aca="false">L521*(1+IF(M$3&lt;=$O$2,$D521,$D521-($D521-$I$508)*MIN(M$3-$O$2,$Q$2)/$Q$2))</f>
        <v>4347.89841387547</v>
      </c>
      <c r="N521" s="15" t="n">
        <f aca="false">M521*(1+IF(N$3&lt;=$O$2,$D521,$D521-($D521-$I$508)*MIN(N$3-$O$2,$Q$2)/$Q$2))</f>
        <v>4470.94393898815</v>
      </c>
      <c r="O521" s="15" t="n">
        <f aca="false">SUMPRODUCT(E521:N521,1/(1+$F$508)^$E$3:$N$3)*$E$2</f>
        <v>9854.84495867132</v>
      </c>
      <c r="P521" s="15" t="n">
        <f aca="false">N521*$E$2*(1+$I$508)/($F$508-$I$508)/(1+$F$508)^$N$3</f>
        <v>11183.6001368893</v>
      </c>
      <c r="Q521" s="15" t="n">
        <f aca="false">O521+P521</f>
        <v>21038.4450955606</v>
      </c>
      <c r="R521" s="15" t="n">
        <f aca="false">Q521-$G$2+$I$2</f>
        <v>15686.8850955606</v>
      </c>
      <c r="S521" s="42" t="n">
        <f aca="false">R521/$K$2</f>
        <v>726.244680350028</v>
      </c>
      <c r="T521" s="43" t="n">
        <f aca="false">S521-$M$2</f>
        <v>1.24468035002781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0.080078125</v>
      </c>
      <c r="C522" s="25" t="n">
        <f aca="false">IF(T521&gt;0,D521,C521)</f>
        <v>0.0804443359375</v>
      </c>
      <c r="D522" s="41" t="n">
        <f aca="false">(B522+C522)/2</f>
        <v>0.08026123046875</v>
      </c>
      <c r="E522" s="15" t="n">
        <f aca="false">$C$2*(1+IF(E$3&lt;=$O$2,$D522,$D522-($D522-$I$508)*MIN(E$3-$O$2,$Q$2)/$Q$2))</f>
        <v>2581.82434082031</v>
      </c>
      <c r="F522" s="15" t="n">
        <f aca="false">E522*(1+IF(F$3&lt;=$O$2,$D522,$D522-($D522-$I$508)*MIN(F$3-$O$2,$Q$2)/$Q$2))</f>
        <v>2789.04473926872</v>
      </c>
      <c r="G522" s="15" t="n">
        <f aca="false">F522*(1+IF(G$3&lt;=$O$2,$D522,$D522-($D522-$I$508)*MIN(G$3-$O$2,$Q$2)/$Q$2))</f>
        <v>3012.89690187482</v>
      </c>
      <c r="H522" s="15" t="n">
        <f aca="false">G522*(1+IF(H$3&lt;=$O$2,$D522,$D522-($D522-$I$508)*MIN(H$3-$O$2,$Q$2)/$Q$2))</f>
        <v>3254.71571449478</v>
      </c>
      <c r="I522" s="15" t="n">
        <f aca="false">H522*(1+IF(I$3&lt;=$O$2,$D522,$D522-($D522-$I$508)*MIN(I$3-$O$2,$Q$2)/$Q$2))</f>
        <v>3515.94320256611</v>
      </c>
      <c r="J522" s="15" t="n">
        <f aca="false">I522*(1+IF(J$3&lt;=$O$2,$D522,$D522-($D522-$I$508)*MIN(J$3-$O$2,$Q$2)/$Q$2))</f>
        <v>3761.59858324959</v>
      </c>
      <c r="K522" s="15" t="n">
        <f aca="false">J522*(1+IF(K$3&lt;=$O$2,$D522,$D522-($D522-$I$508)*MIN(K$3-$O$2,$Q$2)/$Q$2))</f>
        <v>3985.32619770464</v>
      </c>
      <c r="L522" s="15" t="n">
        <f aca="false">K522*(1+IF(L$3&lt;=$O$2,$D522,$D522-($D522-$I$508)*MIN(L$3-$O$2,$Q$2)/$Q$2))</f>
        <v>4180.94391032052</v>
      </c>
      <c r="M522" s="15" t="n">
        <f aca="false">L522*(1+IF(M$3&lt;=$O$2,$D522,$D522-($D522-$I$508)*MIN(M$3-$O$2,$Q$2)/$Q$2))</f>
        <v>4342.7140210028</v>
      </c>
      <c r="N522" s="15" t="n">
        <f aca="false">M522*(1+IF(N$3&lt;=$O$2,$D522,$D522-($D522-$I$508)*MIN(N$3-$O$2,$Q$2)/$Q$2))</f>
        <v>4465.61282779718</v>
      </c>
      <c r="O522" s="15" t="n">
        <f aca="false">SUMPRODUCT(E522:N522,1/(1+$F$508)^$E$3:$N$3)*$E$2</f>
        <v>9847.11744500271</v>
      </c>
      <c r="P522" s="15" t="n">
        <f aca="false">N522*$E$2*(1+$I$508)/($F$508-$I$508)/(1+$F$508)^$N$3</f>
        <v>11170.2649180499</v>
      </c>
      <c r="Q522" s="15" t="n">
        <f aca="false">O522+P522</f>
        <v>21017.3823630526</v>
      </c>
      <c r="R522" s="15" t="n">
        <f aca="false">Q522-$G$2+$I$2</f>
        <v>15665.8223630526</v>
      </c>
      <c r="S522" s="42" t="n">
        <f aca="false">R522/$K$2</f>
        <v>725.269553845027</v>
      </c>
      <c r="T522" s="43" t="n">
        <f aca="false">S522-$M$2</f>
        <v>0.26955384502719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0.080078125</v>
      </c>
      <c r="C523" s="25" t="n">
        <f aca="false">IF(T522&gt;0,D522,C522)</f>
        <v>0.08026123046875</v>
      </c>
      <c r="D523" s="41" t="n">
        <f aca="false">(B523+C523)/2</f>
        <v>0.080169677734375</v>
      </c>
      <c r="E523" s="15" t="n">
        <f aca="false">$C$2*(1+IF(E$3&lt;=$O$2,$D523,$D523-($D523-$I$508)*MIN(E$3-$O$2,$Q$2)/$Q$2))</f>
        <v>2581.60552978516</v>
      </c>
      <c r="F523" s="15" t="n">
        <f aca="false">E523*(1+IF(F$3&lt;=$O$2,$D523,$D523-($D523-$I$508)*MIN(F$3-$O$2,$Q$2)/$Q$2))</f>
        <v>2788.57201314531</v>
      </c>
      <c r="G523" s="15" t="n">
        <f aca="false">F523*(1+IF(G$3&lt;=$O$2,$D523,$D523-($D523-$I$508)*MIN(G$3-$O$2,$Q$2)/$Q$2))</f>
        <v>3012.13093277827</v>
      </c>
      <c r="H523" s="15" t="n">
        <f aca="false">G523*(1+IF(H$3&lt;=$O$2,$D523,$D523-($D523-$I$508)*MIN(H$3-$O$2,$Q$2)/$Q$2))</f>
        <v>3253.61249895285</v>
      </c>
      <c r="I523" s="15" t="n">
        <f aca="false">H523*(1+IF(I$3&lt;=$O$2,$D523,$D523-($D523-$I$508)*MIN(I$3-$O$2,$Q$2)/$Q$2))</f>
        <v>3514.45356446643</v>
      </c>
      <c r="J523" s="15" t="n">
        <f aca="false">I523*(1+IF(J$3&lt;=$O$2,$D523,$D523-($D523-$I$508)*MIN(J$3-$O$2,$Q$2)/$Q$2))</f>
        <v>3759.74745938187</v>
      </c>
      <c r="K523" s="15" t="n">
        <f aca="false">J523*(1+IF(K$3&lt;=$O$2,$D523,$D523-($D523-$I$508)*MIN(K$3-$O$2,$Q$2)/$Q$2))</f>
        <v>3983.15844593084</v>
      </c>
      <c r="L523" s="15" t="n">
        <f aca="false">K523*(1+IF(L$3&lt;=$O$2,$D523,$D523-($D523-$I$508)*MIN(L$3-$O$2,$Q$2)/$Q$2))</f>
        <v>4178.52388793284</v>
      </c>
      <c r="M523" s="15" t="n">
        <f aca="false">L523*(1+IF(M$3&lt;=$O$2,$D523,$D523-($D523-$I$508)*MIN(M$3-$O$2,$Q$2)/$Q$2))</f>
        <v>4340.12385145583</v>
      </c>
      <c r="N523" s="15" t="n">
        <f aca="false">M523*(1+IF(N$3&lt;=$O$2,$D523,$D523-($D523-$I$508)*MIN(N$3-$O$2,$Q$2)/$Q$2))</f>
        <v>4462.94935645203</v>
      </c>
      <c r="O523" s="15" t="n">
        <f aca="false">SUMPRODUCT(E523:N523,1/(1+$F$508)^$E$3:$N$3)*$E$2</f>
        <v>9843.255969862</v>
      </c>
      <c r="P523" s="15" t="n">
        <f aca="false">N523*$E$2*(1+$I$508)/($F$508-$I$508)/(1+$F$508)^$N$3</f>
        <v>11163.6025221651</v>
      </c>
      <c r="Q523" s="15" t="n">
        <f aca="false">O523+P523</f>
        <v>21006.8584920271</v>
      </c>
      <c r="R523" s="15" t="n">
        <f aca="false">Q523-$G$2+$I$2</f>
        <v>15655.2984920271</v>
      </c>
      <c r="S523" s="42" t="n">
        <f aca="false">R523/$K$2</f>
        <v>724.782337593847</v>
      </c>
      <c r="T523" s="43" t="n">
        <f aca="false">S523-$M$2</f>
        <v>-0.217662406153408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0.080169677734375</v>
      </c>
      <c r="C524" s="25" t="n">
        <f aca="false">IF(T523&gt;0,D523,C523)</f>
        <v>0.08026123046875</v>
      </c>
      <c r="D524" s="41" t="n">
        <f aca="false">(B524+C524)/2</f>
        <v>0.0802154541015625</v>
      </c>
      <c r="E524" s="15" t="n">
        <f aca="false">$C$2*(1+IF(E$3&lt;=$O$2,$D524,$D524-($D524-$I$508)*MIN(E$3-$O$2,$Q$2)/$Q$2))</f>
        <v>2581.71493530273</v>
      </c>
      <c r="F524" s="15" t="n">
        <f aca="false">E524*(1+IF(F$3&lt;=$O$2,$D524,$D524-($D524-$I$508)*MIN(F$3-$O$2,$Q$2)/$Q$2))</f>
        <v>2788.80837119883</v>
      </c>
      <c r="G524" s="15" t="n">
        <f aca="false">F524*(1+IF(G$3&lt;=$O$2,$D524,$D524-($D524-$I$508)*MIN(G$3-$O$2,$Q$2)/$Q$2))</f>
        <v>3012.51390109678</v>
      </c>
      <c r="H524" s="15" t="n">
        <f aca="false">G524*(1+IF(H$3&lt;=$O$2,$D524,$D524-($D524-$I$508)*MIN(H$3-$O$2,$Q$2)/$Q$2))</f>
        <v>3254.16407166053</v>
      </c>
      <c r="I524" s="15" t="n">
        <f aca="false">H524*(1+IF(I$3&lt;=$O$2,$D524,$D524-($D524-$I$508)*MIN(I$3-$O$2,$Q$2)/$Q$2))</f>
        <v>3515.19832038977</v>
      </c>
      <c r="J524" s="15" t="n">
        <f aca="false">I524*(1+IF(J$3&lt;=$O$2,$D524,$D524-($D524-$I$508)*MIN(J$3-$O$2,$Q$2)/$Q$2))</f>
        <v>3760.67292650487</v>
      </c>
      <c r="K524" s="15" t="n">
        <f aca="false">J524*(1+IF(K$3&lt;=$O$2,$D524,$D524-($D524-$I$508)*MIN(K$3-$O$2,$Q$2)/$Q$2))</f>
        <v>3984.24219594913</v>
      </c>
      <c r="L524" s="15" t="n">
        <f aca="false">K524*(1+IF(L$3&lt;=$O$2,$D524,$D524-($D524-$I$508)*MIN(L$3-$O$2,$Q$2)/$Q$2))</f>
        <v>4179.73374723581</v>
      </c>
      <c r="M524" s="15" t="n">
        <f aca="false">L524*(1+IF(M$3&lt;=$O$2,$D524,$D524-($D524-$I$508)*MIN(M$3-$O$2,$Q$2)/$Q$2))</f>
        <v>4341.41876738486</v>
      </c>
      <c r="N524" s="15" t="n">
        <f aca="false">M524*(1+IF(N$3&lt;=$O$2,$D524,$D524-($D524-$I$508)*MIN(N$3-$O$2,$Q$2)/$Q$2))</f>
        <v>4464.28091850185</v>
      </c>
      <c r="O524" s="15" t="n">
        <f aca="false">SUMPRODUCT(E524:N524,1/(1+$F$508)^$E$3:$N$3)*$E$2</f>
        <v>9845.18651734943</v>
      </c>
      <c r="P524" s="15" t="n">
        <f aca="false">N524*$E$2*(1+$I$508)/($F$508-$I$508)/(1+$F$508)^$N$3</f>
        <v>11166.9332858083</v>
      </c>
      <c r="Q524" s="15" t="n">
        <f aca="false">O524+P524</f>
        <v>21012.1198031577</v>
      </c>
      <c r="R524" s="15" t="n">
        <f aca="false">Q524-$G$2+$I$2</f>
        <v>15660.5598031577</v>
      </c>
      <c r="S524" s="42" t="n">
        <f aca="false">R524/$K$2</f>
        <v>725.025916812856</v>
      </c>
      <c r="T524" s="43" t="n">
        <f aca="false">S524-$M$2</f>
        <v>0.0259168128561669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0.080169677734375</v>
      </c>
      <c r="C525" s="25" t="n">
        <f aca="false">IF(T524&gt;0,D524,C524)</f>
        <v>0.0802154541015625</v>
      </c>
      <c r="D525" s="41" t="n">
        <f aca="false">(B525+C525)/2</f>
        <v>0.0801925659179688</v>
      </c>
      <c r="E525" s="15" t="n">
        <f aca="false">$C$2*(1+IF(E$3&lt;=$O$2,$D525,$D525-($D525-$I$508)*MIN(E$3-$O$2,$Q$2)/$Q$2))</f>
        <v>2581.66023254395</v>
      </c>
      <c r="F525" s="15" t="n">
        <f aca="false">E525*(1+IF(F$3&lt;=$O$2,$D525,$D525-($D525-$I$508)*MIN(F$3-$O$2,$Q$2)/$Q$2))</f>
        <v>2788.69019092002</v>
      </c>
      <c r="G525" s="15" t="n">
        <f aca="false">F525*(1+IF(G$3&lt;=$O$2,$D525,$D525-($D525-$I$508)*MIN(G$3-$O$2,$Q$2)/$Q$2))</f>
        <v>3012.32241288017</v>
      </c>
      <c r="H525" s="15" t="n">
        <f aca="false">G525*(1+IF(H$3&lt;=$O$2,$D525,$D525-($D525-$I$508)*MIN(H$3-$O$2,$Q$2)/$Q$2))</f>
        <v>3253.88827654124</v>
      </c>
      <c r="I525" s="15" t="n">
        <f aca="false">H525*(1+IF(I$3&lt;=$O$2,$D525,$D525-($D525-$I$508)*MIN(I$3-$O$2,$Q$2)/$Q$2))</f>
        <v>3514.82592664748</v>
      </c>
      <c r="J525" s="15" t="n">
        <f aca="false">I525*(1+IF(J$3&lt;=$O$2,$D525,$D525-($D525-$I$508)*MIN(J$3-$O$2,$Q$2)/$Q$2))</f>
        <v>3760.21016924259</v>
      </c>
      <c r="K525" s="15" t="n">
        <f aca="false">J525*(1+IF(K$3&lt;=$O$2,$D525,$D525-($D525-$I$508)*MIN(K$3-$O$2,$Q$2)/$Q$2))</f>
        <v>3983.70028947586</v>
      </c>
      <c r="L525" s="15" t="n">
        <f aca="false">K525*(1+IF(L$3&lt;=$O$2,$D525,$D525-($D525-$I$508)*MIN(L$3-$O$2,$Q$2)/$Q$2))</f>
        <v>4179.12877961565</v>
      </c>
      <c r="M525" s="15" t="n">
        <f aca="false">L525*(1+IF(M$3&lt;=$O$2,$D525,$D525-($D525-$I$508)*MIN(M$3-$O$2,$Q$2)/$Q$2))</f>
        <v>4340.77126721395</v>
      </c>
      <c r="N525" s="15" t="n">
        <f aca="false">M525*(1+IF(N$3&lt;=$O$2,$D525,$D525-($D525-$I$508)*MIN(N$3-$O$2,$Q$2)/$Q$2))</f>
        <v>4463.61509407611</v>
      </c>
      <c r="O525" s="15" t="n">
        <f aca="false">SUMPRODUCT(E525:N525,1/(1+$F$508)^$E$3:$N$3)*$E$2</f>
        <v>9844.22119608935</v>
      </c>
      <c r="P525" s="15" t="n">
        <f aca="false">N525*$E$2*(1+$I$508)/($F$508-$I$508)/(1+$F$508)^$N$3</f>
        <v>11165.267795424</v>
      </c>
      <c r="Q525" s="15" t="n">
        <f aca="false">O525+P525</f>
        <v>21009.4889915134</v>
      </c>
      <c r="R525" s="15" t="n">
        <f aca="false">Q525-$G$2+$I$2</f>
        <v>15657.9289915134</v>
      </c>
      <c r="S525" s="42" t="n">
        <f aca="false">R525/$K$2</f>
        <v>724.904119977471</v>
      </c>
      <c r="T525" s="43" t="n">
        <f aca="false">S525-$M$2</f>
        <v>-0.0958800225292862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0.0801925659179688</v>
      </c>
      <c r="C526" s="25" t="n">
        <f aca="false">IF(T525&gt;0,D525,C525)</f>
        <v>0.0802154541015625</v>
      </c>
      <c r="D526" s="41" t="n">
        <f aca="false">(B526+C526)/2</f>
        <v>0.0802040100097656</v>
      </c>
      <c r="E526" s="15" t="n">
        <f aca="false">$C$2*(1+IF(E$3&lt;=$O$2,$D526,$D526-($D526-$I$508)*MIN(E$3-$O$2,$Q$2)/$Q$2))</f>
        <v>2581.68758392334</v>
      </c>
      <c r="F526" s="15" t="n">
        <f aca="false">E526*(1+IF(F$3&lt;=$O$2,$D526,$D526-($D526-$I$508)*MIN(F$3-$O$2,$Q$2)/$Q$2))</f>
        <v>2788.74928074642</v>
      </c>
      <c r="G526" s="15" t="n">
        <f aca="false">F526*(1+IF(G$3&lt;=$O$2,$D526,$D526-($D526-$I$508)*MIN(G$3-$O$2,$Q$2)/$Q$2))</f>
        <v>3012.41815597413</v>
      </c>
      <c r="H526" s="15" t="n">
        <f aca="false">G526*(1+IF(H$3&lt;=$O$2,$D526,$D526-($D526-$I$508)*MIN(H$3-$O$2,$Q$2)/$Q$2))</f>
        <v>3254.02617190948</v>
      </c>
      <c r="I526" s="15" t="n">
        <f aca="false">H526*(1+IF(I$3&lt;=$O$2,$D526,$D526-($D526-$I$508)*MIN(I$3-$O$2,$Q$2)/$Q$2))</f>
        <v>3515.01211957334</v>
      </c>
      <c r="J526" s="15" t="n">
        <f aca="false">I526*(1+IF(J$3&lt;=$O$2,$D526,$D526-($D526-$I$508)*MIN(J$3-$O$2,$Q$2)/$Q$2))</f>
        <v>3760.4415419483</v>
      </c>
      <c r="K526" s="15" t="n">
        <f aca="false">J526*(1+IF(K$3&lt;=$O$2,$D526,$D526-($D526-$I$508)*MIN(K$3-$O$2,$Q$2)/$Q$2))</f>
        <v>3983.97123484609</v>
      </c>
      <c r="L526" s="15" t="n">
        <f aca="false">K526*(1+IF(L$3&lt;=$O$2,$D526,$D526-($D526-$I$508)*MIN(L$3-$O$2,$Q$2)/$Q$2))</f>
        <v>4179.43125393306</v>
      </c>
      <c r="M526" s="15" t="n">
        <f aca="false">L526*(1+IF(M$3&lt;=$O$2,$D526,$D526-($D526-$I$508)*MIN(M$3-$O$2,$Q$2)/$Q$2))</f>
        <v>4341.09500674722</v>
      </c>
      <c r="N526" s="15" t="n">
        <f aca="false">M526*(1+IF(N$3&lt;=$O$2,$D526,$D526-($D526-$I$508)*MIN(N$3-$O$2,$Q$2)/$Q$2))</f>
        <v>4463.94799543816</v>
      </c>
      <c r="O526" s="15" t="n">
        <f aca="false">SUMPRODUCT(E526:N526,1/(1+$F$508)^$E$3:$N$3)*$E$2</f>
        <v>9844.70384483976</v>
      </c>
      <c r="P526" s="15" t="n">
        <f aca="false">N526*$E$2*(1+$I$508)/($F$508-$I$508)/(1+$F$508)^$N$3</f>
        <v>11166.100513474</v>
      </c>
      <c r="Q526" s="15" t="n">
        <f aca="false">O526+P526</f>
        <v>21010.8043583137</v>
      </c>
      <c r="R526" s="15" t="n">
        <f aca="false">Q526-$G$2+$I$2</f>
        <v>15659.2443583137</v>
      </c>
      <c r="S526" s="42" t="n">
        <f aca="false">R526/$K$2</f>
        <v>724.965016588598</v>
      </c>
      <c r="T526" s="43" t="n">
        <f aca="false">S526-$M$2</f>
        <v>-0.0349834114019814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0.0802040100097656</v>
      </c>
      <c r="C527" s="25" t="n">
        <f aca="false">IF(T526&gt;0,D526,C526)</f>
        <v>0.0802154541015625</v>
      </c>
      <c r="D527" s="41" t="n">
        <f aca="false">(B527+C527)/2</f>
        <v>0.0802097320556641</v>
      </c>
      <c r="E527" s="15" t="n">
        <f aca="false">$C$2*(1+IF(E$3&lt;=$O$2,$D527,$D527-($D527-$I$508)*MIN(E$3-$O$2,$Q$2)/$Q$2))</f>
        <v>2581.70125961304</v>
      </c>
      <c r="F527" s="15" t="n">
        <f aca="false">E527*(1+IF(F$3&lt;=$O$2,$D527,$D527-($D527-$I$508)*MIN(F$3-$O$2,$Q$2)/$Q$2))</f>
        <v>2788.77882589437</v>
      </c>
      <c r="G527" s="15" t="n">
        <f aca="false">F527*(1+IF(G$3&lt;=$O$2,$D527,$D527-($D527-$I$508)*MIN(G$3-$O$2,$Q$2)/$Q$2))</f>
        <v>3012.46602828187</v>
      </c>
      <c r="H527" s="15" t="n">
        <f aca="false">G527*(1+IF(H$3&lt;=$O$2,$D527,$D527-($D527-$I$508)*MIN(H$3-$O$2,$Q$2)/$Q$2))</f>
        <v>3254.09512123714</v>
      </c>
      <c r="I527" s="15" t="n">
        <f aca="false">H527*(1+IF(I$3&lt;=$O$2,$D527,$D527-($D527-$I$508)*MIN(I$3-$O$2,$Q$2)/$Q$2))</f>
        <v>3515.10521899522</v>
      </c>
      <c r="J527" s="15" t="n">
        <f aca="false">I527*(1+IF(J$3&lt;=$O$2,$D527,$D527-($D527-$I$508)*MIN(J$3-$O$2,$Q$2)/$Q$2))</f>
        <v>3760.55723274519</v>
      </c>
      <c r="K527" s="15" t="n">
        <f aca="false">J527*(1+IF(K$3&lt;=$O$2,$D527,$D527-($D527-$I$508)*MIN(K$3-$O$2,$Q$2)/$Q$2))</f>
        <v>3984.10671343096</v>
      </c>
      <c r="L527" s="15" t="n">
        <f aca="false">K527*(1+IF(L$3&lt;=$O$2,$D527,$D527-($D527-$I$508)*MIN(L$3-$O$2,$Q$2)/$Q$2))</f>
        <v>4179.5824982112</v>
      </c>
      <c r="M527" s="15" t="n">
        <f aca="false">L527*(1+IF(M$3&lt;=$O$2,$D527,$D527-($D527-$I$508)*MIN(M$3-$O$2,$Q$2)/$Q$2))</f>
        <v>4341.25688442792</v>
      </c>
      <c r="N527" s="15" t="n">
        <f aca="false">M527*(1+IF(N$3&lt;=$O$2,$D527,$D527-($D527-$I$508)*MIN(N$3-$O$2,$Q$2)/$Q$2))</f>
        <v>4464.11445425723</v>
      </c>
      <c r="O527" s="15" t="n">
        <f aca="false">SUMPRODUCT(E527:N527,1/(1+$F$508)^$E$3:$N$3)*$E$2</f>
        <v>9844.94517812462</v>
      </c>
      <c r="P527" s="15" t="n">
        <f aca="false">N527*$E$2*(1+$I$508)/($F$508-$I$508)/(1+$F$508)^$N$3</f>
        <v>11166.5168928554</v>
      </c>
      <c r="Q527" s="15" t="n">
        <f aca="false">O527+P527</f>
        <v>21011.46207098</v>
      </c>
      <c r="R527" s="15" t="n">
        <f aca="false">Q527-$G$2+$I$2</f>
        <v>15659.90207098</v>
      </c>
      <c r="S527" s="42" t="n">
        <f aca="false">R527/$K$2</f>
        <v>724.995466249073</v>
      </c>
      <c r="T527" s="43" t="n">
        <f aca="false">S527-$M$2</f>
        <v>-0.0045337509266119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0.0802097320556641</v>
      </c>
      <c r="C528" s="25" t="n">
        <f aca="false">IF(T527&gt;0,D527,C527)</f>
        <v>0.0802154541015625</v>
      </c>
      <c r="D528" s="41" t="n">
        <f aca="false">(B528+C528)/2</f>
        <v>0.0802125930786133</v>
      </c>
      <c r="E528" s="15" t="n">
        <f aca="false">$C$2*(1+IF(E$3&lt;=$O$2,$D528,$D528-($D528-$I$508)*MIN(E$3-$O$2,$Q$2)/$Q$2))</f>
        <v>2581.70809745789</v>
      </c>
      <c r="F528" s="15" t="n">
        <f aca="false">E528*(1+IF(F$3&lt;=$O$2,$D528,$D528-($D528-$I$508)*MIN(F$3-$O$2,$Q$2)/$Q$2))</f>
        <v>2788.79359852704</v>
      </c>
      <c r="G528" s="15" t="n">
        <f aca="false">F528*(1+IF(G$3&lt;=$O$2,$D528,$D528-($D528-$I$508)*MIN(G$3-$O$2,$Q$2)/$Q$2))</f>
        <v>3012.48996462593</v>
      </c>
      <c r="H528" s="15" t="n">
        <f aca="false">G528*(1+IF(H$3&lt;=$O$2,$D528,$D528-($D528-$I$508)*MIN(H$3-$O$2,$Q$2)/$Q$2))</f>
        <v>3254.12959631187</v>
      </c>
      <c r="I528" s="15" t="n">
        <f aca="false">H528*(1+IF(I$3&lt;=$O$2,$D528,$D528-($D528-$I$508)*MIN(I$3-$O$2,$Q$2)/$Q$2))</f>
        <v>3515.15176944591</v>
      </c>
      <c r="J528" s="15" t="n">
        <f aca="false">I528*(1+IF(J$3&lt;=$O$2,$D528,$D528-($D528-$I$508)*MIN(J$3-$O$2,$Q$2)/$Q$2))</f>
        <v>3760.61507925468</v>
      </c>
      <c r="K528" s="15" t="n">
        <f aca="false">J528*(1+IF(K$3&lt;=$O$2,$D528,$D528-($D528-$I$508)*MIN(K$3-$O$2,$Q$2)/$Q$2))</f>
        <v>3984.17445419837</v>
      </c>
      <c r="L528" s="15" t="n">
        <f aca="false">K528*(1+IF(L$3&lt;=$O$2,$D528,$D528-($D528-$I$508)*MIN(L$3-$O$2,$Q$2)/$Q$2))</f>
        <v>4179.65812213019</v>
      </c>
      <c r="M528" s="15" t="n">
        <f aca="false">L528*(1+IF(M$3&lt;=$O$2,$D528,$D528-($D528-$I$508)*MIN(M$3-$O$2,$Q$2)/$Q$2))</f>
        <v>4341.33782524685</v>
      </c>
      <c r="N528" s="15" t="n">
        <f aca="false">M528*(1+IF(N$3&lt;=$O$2,$D528,$D528-($D528-$I$508)*MIN(N$3-$O$2,$Q$2)/$Q$2))</f>
        <v>4464.19768570133</v>
      </c>
      <c r="O528" s="15" t="n">
        <f aca="false">SUMPRODUCT(E528:N528,1/(1+$F$508)^$E$3:$N$3)*$E$2</f>
        <v>9845.06584699452</v>
      </c>
      <c r="P528" s="15" t="n">
        <f aca="false">N528*$E$2*(1+$I$508)/($F$508-$I$508)/(1+$F$508)^$N$3</f>
        <v>11166.7250876354</v>
      </c>
      <c r="Q528" s="15" t="n">
        <f aca="false">O528+P528</f>
        <v>21011.7909346299</v>
      </c>
      <c r="R528" s="15" t="n">
        <f aca="false">Q528-$G$2+$I$2</f>
        <v>15660.2309346299</v>
      </c>
      <c r="S528" s="42" t="n">
        <f aca="false">R528/$K$2</f>
        <v>725.01069141805</v>
      </c>
      <c r="T528" s="43" t="n">
        <f aca="false">S528-$M$2</f>
        <v>0.0106914180499871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0.0802097320556641</v>
      </c>
      <c r="C529" s="25" t="n">
        <f aca="false">IF(T528&gt;0,D528,C528)</f>
        <v>0.0802125930786133</v>
      </c>
      <c r="D529" s="41" t="n">
        <f aca="false">(B529+C529)/2</f>
        <v>0.0802111625671387</v>
      </c>
      <c r="E529" s="15" t="n">
        <f aca="false">$C$2*(1+IF(E$3&lt;=$O$2,$D529,$D529-($D529-$I$508)*MIN(E$3-$O$2,$Q$2)/$Q$2))</f>
        <v>2581.70467853546</v>
      </c>
      <c r="F529" s="15" t="n">
        <f aca="false">E529*(1+IF(F$3&lt;=$O$2,$D529,$D529-($D529-$I$508)*MIN(F$3-$O$2,$Q$2)/$Q$2))</f>
        <v>2788.78621220581</v>
      </c>
      <c r="G529" s="15" t="n">
        <f aca="false">F529*(1+IF(G$3&lt;=$O$2,$D529,$D529-($D529-$I$508)*MIN(G$3-$O$2,$Q$2)/$Q$2))</f>
        <v>3012.47799643805</v>
      </c>
      <c r="H529" s="15" t="n">
        <f aca="false">G529*(1+IF(H$3&lt;=$O$2,$D529,$D529-($D529-$I$508)*MIN(H$3-$O$2,$Q$2)/$Q$2))</f>
        <v>3254.11235874027</v>
      </c>
      <c r="I529" s="15" t="n">
        <f aca="false">H529*(1+IF(I$3&lt;=$O$2,$D529,$D529-($D529-$I$508)*MIN(I$3-$O$2,$Q$2)/$Q$2))</f>
        <v>3515.12849415892</v>
      </c>
      <c r="J529" s="15" t="n">
        <f aca="false">I529*(1+IF(J$3&lt;=$O$2,$D529,$D529-($D529-$I$508)*MIN(J$3-$O$2,$Q$2)/$Q$2))</f>
        <v>3760.58615590735</v>
      </c>
      <c r="K529" s="15" t="n">
        <f aca="false">J529*(1+IF(K$3&lt;=$O$2,$D529,$D529-($D529-$I$508)*MIN(K$3-$O$2,$Q$2)/$Q$2))</f>
        <v>3984.14058369175</v>
      </c>
      <c r="L529" s="15" t="n">
        <f aca="false">K529*(1+IF(L$3&lt;=$O$2,$D529,$D529-($D529-$I$508)*MIN(L$3-$O$2,$Q$2)/$Q$2))</f>
        <v>4179.62031002237</v>
      </c>
      <c r="M529" s="15" t="n">
        <f aca="false">L529*(1+IF(M$3&lt;=$O$2,$D529,$D529-($D529-$I$508)*MIN(M$3-$O$2,$Q$2)/$Q$2))</f>
        <v>4341.2973546725</v>
      </c>
      <c r="N529" s="15" t="n">
        <f aca="false">M529*(1+IF(N$3&lt;=$O$2,$D529,$D529-($D529-$I$508)*MIN(N$3-$O$2,$Q$2)/$Q$2))</f>
        <v>4464.15606980973</v>
      </c>
      <c r="O529" s="15" t="n">
        <f aca="false">SUMPRODUCT(E529:N529,1/(1+$F$508)^$E$3:$N$3)*$E$2</f>
        <v>9845.00551237394</v>
      </c>
      <c r="P529" s="15" t="n">
        <f aca="false">N529*$E$2*(1+$I$508)/($F$508-$I$508)/(1+$F$508)^$N$3</f>
        <v>11166.6209898213</v>
      </c>
      <c r="Q529" s="15" t="n">
        <f aca="false">O529+P529</f>
        <v>21011.6265021952</v>
      </c>
      <c r="R529" s="15" t="n">
        <f aca="false">Q529-$G$2+$I$2</f>
        <v>15660.0665021952</v>
      </c>
      <c r="S529" s="42" t="n">
        <f aca="false">R529/$K$2</f>
        <v>725.003078805333</v>
      </c>
      <c r="T529" s="43" t="n">
        <f aca="false">S529-$M$2</f>
        <v>0.00307880533318894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0.0802097320556641</v>
      </c>
      <c r="C530" s="25" t="n">
        <f aca="false">IF(T529&gt;0,D529,C529)</f>
        <v>0.0802111625671387</v>
      </c>
      <c r="D530" s="41" t="n">
        <f aca="false">(B530+C530)/2</f>
        <v>0.0802104473114014</v>
      </c>
      <c r="E530" s="15" t="n">
        <f aca="false">$C$2*(1+IF(E$3&lt;=$O$2,$D530,$D530-($D530-$I$508)*MIN(E$3-$O$2,$Q$2)/$Q$2))</f>
        <v>2581.70296907425</v>
      </c>
      <c r="F530" s="15" t="n">
        <f aca="false">E530*(1+IF(F$3&lt;=$O$2,$D530,$D530-($D530-$I$508)*MIN(F$3-$O$2,$Q$2)/$Q$2))</f>
        <v>2788.78251904887</v>
      </c>
      <c r="G530" s="15" t="n">
        <f aca="false">F530*(1+IF(G$3&lt;=$O$2,$D530,$D530-($D530-$I$508)*MIN(G$3-$O$2,$Q$2)/$Q$2))</f>
        <v>3012.47201235599</v>
      </c>
      <c r="H530" s="15" t="n">
        <f aca="false">G530*(1+IF(H$3&lt;=$O$2,$D530,$D530-($D530-$I$508)*MIN(H$3-$O$2,$Q$2)/$Q$2))</f>
        <v>3254.10373998015</v>
      </c>
      <c r="I530" s="15" t="n">
        <f aca="false">H530*(1+IF(I$3&lt;=$O$2,$D530,$D530-($D530-$I$508)*MIN(I$3-$O$2,$Q$2)/$Q$2))</f>
        <v>3515.11685656166</v>
      </c>
      <c r="J530" s="15" t="n">
        <f aca="false">I530*(1+IF(J$3&lt;=$O$2,$D530,$D530-($D530-$I$508)*MIN(J$3-$O$2,$Q$2)/$Q$2))</f>
        <v>3760.57169430312</v>
      </c>
      <c r="K530" s="15" t="n">
        <f aca="false">J530*(1+IF(K$3&lt;=$O$2,$D530,$D530-($D530-$I$508)*MIN(K$3-$O$2,$Q$2)/$Q$2))</f>
        <v>3984.12364853062</v>
      </c>
      <c r="L530" s="15" t="n">
        <f aca="false">K530*(1+IF(L$3&lt;=$O$2,$D530,$D530-($D530-$I$508)*MIN(L$3-$O$2,$Q$2)/$Q$2))</f>
        <v>4179.6014040797</v>
      </c>
      <c r="M530" s="15" t="n">
        <f aca="false">L530*(1+IF(M$3&lt;=$O$2,$D530,$D530-($D530-$I$508)*MIN(M$3-$O$2,$Q$2)/$Q$2))</f>
        <v>4341.27711950899</v>
      </c>
      <c r="N530" s="15" t="n">
        <f aca="false">M530*(1+IF(N$3&lt;=$O$2,$D530,$D530-($D530-$I$508)*MIN(N$3-$O$2,$Q$2)/$Q$2))</f>
        <v>4464.13526199109</v>
      </c>
      <c r="O530" s="15" t="n">
        <f aca="false">SUMPRODUCT(E530:N530,1/(1+$F$508)^$E$3:$N$3)*$E$2</f>
        <v>9844.97534520287</v>
      </c>
      <c r="P530" s="15" t="n">
        <f aca="false">N530*$E$2*(1+$I$508)/($F$508-$I$508)/(1+$F$508)^$N$3</f>
        <v>11166.5689412323</v>
      </c>
      <c r="Q530" s="15" t="n">
        <f aca="false">O530+P530</f>
        <v>21011.5442864352</v>
      </c>
      <c r="R530" s="15" t="n">
        <f aca="false">Q530-$G$2+$I$2</f>
        <v>15659.9842864352</v>
      </c>
      <c r="S530" s="42" t="n">
        <f aca="false">R530/$K$2</f>
        <v>724.999272520146</v>
      </c>
      <c r="T530" s="43" t="n">
        <f aca="false">S530-$M$2</f>
        <v>-0.000727479853821933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0.0802104473114014</v>
      </c>
      <c r="C531" s="25" t="n">
        <f aca="false">IF(T530&gt;0,D530,C530)</f>
        <v>0.0802111625671387</v>
      </c>
      <c r="D531" s="41" t="n">
        <f aca="false">(B531+C531)/2</f>
        <v>0.08021080493927</v>
      </c>
      <c r="E531" s="15" t="n">
        <f aca="false">$C$2*(1+IF(E$3&lt;=$O$2,$D531,$D531-($D531-$I$508)*MIN(E$3-$O$2,$Q$2)/$Q$2))</f>
        <v>2581.70382380486</v>
      </c>
      <c r="F531" s="15" t="n">
        <f aca="false">E531*(1+IF(F$3&lt;=$O$2,$D531,$D531-($D531-$I$508)*MIN(F$3-$O$2,$Q$2)/$Q$2))</f>
        <v>2788.78436562703</v>
      </c>
      <c r="G531" s="15" t="n">
        <f aca="false">F531*(1+IF(G$3&lt;=$O$2,$D531,$D531-($D531-$I$508)*MIN(G$3-$O$2,$Q$2)/$Q$2))</f>
        <v>3012.47500439603</v>
      </c>
      <c r="H531" s="15" t="n">
        <f aca="false">G531*(1+IF(H$3&lt;=$O$2,$D531,$D531-($D531-$I$508)*MIN(H$3-$O$2,$Q$2)/$Q$2))</f>
        <v>3254.10804935807</v>
      </c>
      <c r="I531" s="15" t="n">
        <f aca="false">H531*(1+IF(I$3&lt;=$O$2,$D531,$D531-($D531-$I$508)*MIN(I$3-$O$2,$Q$2)/$Q$2))</f>
        <v>3515.12267535644</v>
      </c>
      <c r="J531" s="15" t="n">
        <f aca="false">I531*(1+IF(J$3&lt;=$O$2,$D531,$D531-($D531-$I$508)*MIN(J$3-$O$2,$Q$2)/$Q$2))</f>
        <v>3760.57892509945</v>
      </c>
      <c r="K531" s="15" t="n">
        <f aca="false">J531*(1+IF(K$3&lt;=$O$2,$D531,$D531-($D531-$I$508)*MIN(K$3-$O$2,$Q$2)/$Q$2))</f>
        <v>3984.1321161035</v>
      </c>
      <c r="L531" s="15" t="n">
        <f aca="false">K531*(1+IF(L$3&lt;=$O$2,$D531,$D531-($D531-$I$508)*MIN(L$3-$O$2,$Q$2)/$Q$2))</f>
        <v>4179.61085704177</v>
      </c>
      <c r="M531" s="15" t="n">
        <f aca="false">L531*(1+IF(M$3&lt;=$O$2,$D531,$D531-($D531-$I$508)*MIN(M$3-$O$2,$Q$2)/$Q$2))</f>
        <v>4341.28723708044</v>
      </c>
      <c r="N531" s="15" t="n">
        <f aca="false">M531*(1+IF(N$3&lt;=$O$2,$D531,$D531-($D531-$I$508)*MIN(N$3-$O$2,$Q$2)/$Q$2))</f>
        <v>4464.14566588981</v>
      </c>
      <c r="O531" s="15" t="n">
        <f aca="false">SUMPRODUCT(E531:N531,1/(1+$F$508)^$E$3:$N$3)*$E$2</f>
        <v>9844.99042877681</v>
      </c>
      <c r="P531" s="15" t="n">
        <f aca="false">N531*$E$2*(1+$I$508)/($F$508-$I$508)/(1+$F$508)^$N$3</f>
        <v>11166.5949655003</v>
      </c>
      <c r="Q531" s="15" t="n">
        <f aca="false">O531+P531</f>
        <v>21011.5853942771</v>
      </c>
      <c r="R531" s="15" t="n">
        <f aca="false">Q531-$G$2+$I$2</f>
        <v>15660.0253942771</v>
      </c>
      <c r="S531" s="42" t="n">
        <f aca="false">R531/$K$2</f>
        <v>725.001175660976</v>
      </c>
      <c r="T531" s="43" t="n">
        <f aca="false">S531-$M$2</f>
        <v>0.00117566097560484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0.0802104473114014</v>
      </c>
      <c r="C532" s="25" t="n">
        <f aca="false">IF(T531&gt;0,D531,C531)</f>
        <v>0.08021080493927</v>
      </c>
      <c r="D532" s="41" t="n">
        <f aca="false">(B532+C532)/2</f>
        <v>0.0802106261253357</v>
      </c>
      <c r="E532" s="15" t="n">
        <f aca="false">$C$2*(1+IF(E$3&lt;=$O$2,$D532,$D532-($D532-$I$508)*MIN(E$3-$O$2,$Q$2)/$Q$2))</f>
        <v>2581.70339643955</v>
      </c>
      <c r="F532" s="15" t="n">
        <f aca="false">E532*(1+IF(F$3&lt;=$O$2,$D532,$D532-($D532-$I$508)*MIN(F$3-$O$2,$Q$2)/$Q$2))</f>
        <v>2788.78344233787</v>
      </c>
      <c r="G532" s="15" t="n">
        <f aca="false">F532*(1+IF(G$3&lt;=$O$2,$D532,$D532-($D532-$I$508)*MIN(G$3-$O$2,$Q$2)/$Q$2))</f>
        <v>3012.47350837576</v>
      </c>
      <c r="H532" s="15" t="n">
        <f aca="false">G532*(1+IF(H$3&lt;=$O$2,$D532,$D532-($D532-$I$508)*MIN(H$3-$O$2,$Q$2)/$Q$2))</f>
        <v>3254.10589466857</v>
      </c>
      <c r="I532" s="15" t="n">
        <f aca="false">H532*(1+IF(I$3&lt;=$O$2,$D532,$D532-($D532-$I$508)*MIN(I$3-$O$2,$Q$2)/$Q$2))</f>
        <v>3515.11976595808</v>
      </c>
      <c r="J532" s="15" t="n">
        <f aca="false">I532*(1+IF(J$3&lt;=$O$2,$D532,$D532-($D532-$I$508)*MIN(J$3-$O$2,$Q$2)/$Q$2))</f>
        <v>3760.57530969984</v>
      </c>
      <c r="K532" s="15" t="n">
        <f aca="false">J532*(1+IF(K$3&lt;=$O$2,$D532,$D532-($D532-$I$508)*MIN(K$3-$O$2,$Q$2)/$Q$2))</f>
        <v>3984.12788231514</v>
      </c>
      <c r="L532" s="15" t="n">
        <f aca="false">K532*(1+IF(L$3&lt;=$O$2,$D532,$D532-($D532-$I$508)*MIN(L$3-$O$2,$Q$2)/$Q$2))</f>
        <v>4179.60613055842</v>
      </c>
      <c r="M532" s="15" t="n">
        <f aca="false">L532*(1+IF(M$3&lt;=$O$2,$D532,$D532-($D532-$I$508)*MIN(M$3-$O$2,$Q$2)/$Q$2))</f>
        <v>4341.28217829213</v>
      </c>
      <c r="N532" s="15" t="n">
        <f aca="false">M532*(1+IF(N$3&lt;=$O$2,$D532,$D532-($D532-$I$508)*MIN(N$3-$O$2,$Q$2)/$Q$2))</f>
        <v>4464.1404639378</v>
      </c>
      <c r="O532" s="15" t="n">
        <f aca="false">SUMPRODUCT(E532:N532,1/(1+$F$508)^$E$3:$N$3)*$E$2</f>
        <v>9844.98288698694</v>
      </c>
      <c r="P532" s="15" t="n">
        <f aca="false">N532*$E$2*(1+$I$508)/($F$508-$I$508)/(1+$F$508)^$N$3</f>
        <v>11166.5819533596</v>
      </c>
      <c r="Q532" s="15" t="n">
        <f aca="false">O532+P532</f>
        <v>21011.5648403466</v>
      </c>
      <c r="R532" s="15" t="n">
        <f aca="false">Q532-$G$2+$I$2</f>
        <v>15660.0048403466</v>
      </c>
      <c r="S532" s="42" t="n">
        <f aca="false">R532/$K$2</f>
        <v>725.00022409012</v>
      </c>
      <c r="T532" s="43" t="n">
        <f aca="false">S532-$M$2</f>
        <v>0.00022409011955915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0.0802104473114014</v>
      </c>
      <c r="C533" s="25" t="n">
        <f aca="false">IF(T532&gt;0,D532,C532)</f>
        <v>0.0802106261253357</v>
      </c>
      <c r="D533" s="41" t="n">
        <f aca="false">(B533+C533)/2</f>
        <v>0.0802105367183685</v>
      </c>
      <c r="E533" s="15" t="n">
        <f aca="false">$C$2*(1+IF(E$3&lt;=$O$2,$D533,$D533-($D533-$I$508)*MIN(E$3-$O$2,$Q$2)/$Q$2))</f>
        <v>2581.7031827569</v>
      </c>
      <c r="F533" s="15" t="n">
        <f aca="false">E533*(1+IF(F$3&lt;=$O$2,$D533,$D533-($D533-$I$508)*MIN(F$3-$O$2,$Q$2)/$Q$2))</f>
        <v>2788.78298069335</v>
      </c>
      <c r="G533" s="15" t="n">
        <f aca="false">F533*(1+IF(G$3&lt;=$O$2,$D533,$D533-($D533-$I$508)*MIN(G$3-$O$2,$Q$2)/$Q$2))</f>
        <v>3012.47276036582</v>
      </c>
      <c r="H533" s="15" t="n">
        <f aca="false">G533*(1+IF(H$3&lt;=$O$2,$D533,$D533-($D533-$I$508)*MIN(H$3-$O$2,$Q$2)/$Q$2))</f>
        <v>3254.10481732422</v>
      </c>
      <c r="I533" s="15" t="n">
        <f aca="false">H533*(1+IF(I$3&lt;=$O$2,$D533,$D533-($D533-$I$508)*MIN(I$3-$O$2,$Q$2)/$Q$2))</f>
        <v>3515.11831125963</v>
      </c>
      <c r="J533" s="15" t="n">
        <f aca="false">I533*(1+IF(J$3&lt;=$O$2,$D533,$D533-($D533-$I$508)*MIN(J$3-$O$2,$Q$2)/$Q$2))</f>
        <v>3760.57350200112</v>
      </c>
      <c r="K533" s="15" t="n">
        <f aca="false">J533*(1+IF(K$3&lt;=$O$2,$D533,$D533-($D533-$I$508)*MIN(K$3-$O$2,$Q$2)/$Q$2))</f>
        <v>3984.1257654224</v>
      </c>
      <c r="L533" s="15" t="n">
        <f aca="false">K533*(1+IF(L$3&lt;=$O$2,$D533,$D533-($D533-$I$508)*MIN(L$3-$O$2,$Q$2)/$Q$2))</f>
        <v>4179.60376731848</v>
      </c>
      <c r="M533" s="15" t="n">
        <f aca="false">L533*(1+IF(M$3&lt;=$O$2,$D533,$D533-($D533-$I$508)*MIN(M$3-$O$2,$Q$2)/$Q$2))</f>
        <v>4341.27964889992</v>
      </c>
      <c r="N533" s="15" t="n">
        <f aca="false">M533*(1+IF(N$3&lt;=$O$2,$D533,$D533-($D533-$I$508)*MIN(N$3-$O$2,$Q$2)/$Q$2))</f>
        <v>4464.13786296378</v>
      </c>
      <c r="O533" s="15" t="n">
        <f aca="false">SUMPRODUCT(E533:N533,1/(1+$F$508)^$E$3:$N$3)*$E$2</f>
        <v>9844.97911609418</v>
      </c>
      <c r="P533" s="15" t="n">
        <f aca="false">N533*$E$2*(1+$I$508)/($F$508-$I$508)/(1+$F$508)^$N$3</f>
        <v>11166.5754472943</v>
      </c>
      <c r="Q533" s="15" t="n">
        <f aca="false">O533+P533</f>
        <v>21011.5545633885</v>
      </c>
      <c r="R533" s="15" t="n">
        <f aca="false">Q533-$G$2+$I$2</f>
        <v>15659.9945633885</v>
      </c>
      <c r="S533" s="42" t="n">
        <f aca="false">R533/$K$2</f>
        <v>724.999748305023</v>
      </c>
      <c r="T533" s="43" t="n">
        <f aca="false">S533-$M$2</f>
        <v>-0.000251694977464467</v>
      </c>
    </row>
    <row r="535" customFormat="false" ht="15" hidden="false" customHeight="false" outlineLevel="0" collapsed="false">
      <c r="A535" s="38" t="s">
        <v>200</v>
      </c>
      <c r="E535" s="5" t="s">
        <v>11</v>
      </c>
      <c r="F535" s="12" t="n">
        <f aca="false">Sensitivity!$B$13</f>
        <v>0.101972178572932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162</v>
      </c>
      <c r="B536" s="28" t="s">
        <v>163</v>
      </c>
      <c r="C536" s="28" t="s">
        <v>164</v>
      </c>
      <c r="D536" s="28" t="s">
        <v>165</v>
      </c>
      <c r="E536" s="28" t="s">
        <v>166</v>
      </c>
      <c r="F536" s="28" t="s">
        <v>167</v>
      </c>
      <c r="G536" s="28" t="s">
        <v>168</v>
      </c>
      <c r="H536" s="28" t="s">
        <v>169</v>
      </c>
      <c r="I536" s="28" t="s">
        <v>170</v>
      </c>
      <c r="J536" s="28" t="s">
        <v>171</v>
      </c>
      <c r="K536" s="28" t="s">
        <v>172</v>
      </c>
      <c r="L536" s="28" t="s">
        <v>173</v>
      </c>
      <c r="M536" s="28" t="s">
        <v>174</v>
      </c>
      <c r="N536" s="28" t="s">
        <v>175</v>
      </c>
      <c r="O536" s="28" t="s">
        <v>176</v>
      </c>
      <c r="P536" s="28" t="s">
        <v>177</v>
      </c>
      <c r="Q536" s="28" t="s">
        <v>178</v>
      </c>
      <c r="R536" s="28" t="s">
        <v>179</v>
      </c>
      <c r="S536" s="28" t="s">
        <v>180</v>
      </c>
      <c r="T536" s="28" t="s">
        <v>181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2987.5</v>
      </c>
      <c r="F537" s="15" t="n">
        <f aca="false">E537*(1+IF(F$3&lt;=$O$2,$D537,$D537-($D537-$I$535)*MIN(F$3-$O$2,$Q$2)/$Q$2))</f>
        <v>3734.375</v>
      </c>
      <c r="G537" s="15" t="n">
        <f aca="false">F537*(1+IF(G$3&lt;=$O$2,$D537,$D537-($D537-$I$535)*MIN(G$3-$O$2,$Q$2)/$Q$2))</f>
        <v>4667.96875</v>
      </c>
      <c r="H537" s="15" t="n">
        <f aca="false">G537*(1+IF(H$3&lt;=$O$2,$D537,$D537-($D537-$I$535)*MIN(H$3-$O$2,$Q$2)/$Q$2))</f>
        <v>5834.9609375</v>
      </c>
      <c r="I537" s="15" t="n">
        <f aca="false">H537*(1+IF(I$3&lt;=$O$2,$D537,$D537-($D537-$I$535)*MIN(I$3-$O$2,$Q$2)/$Q$2))</f>
        <v>7293.701171875</v>
      </c>
      <c r="J537" s="15" t="n">
        <f aca="false">I537*(1+IF(J$3&lt;=$O$2,$D537,$D537-($D537-$I$535)*MIN(J$3-$O$2,$Q$2)/$Q$2))</f>
        <v>8801.01745605469</v>
      </c>
      <c r="K537" s="15" t="n">
        <f aca="false">J537*(1+IF(K$3&lt;=$O$2,$D537,$D537-($D537-$I$535)*MIN(K$3-$O$2,$Q$2)/$Q$2))</f>
        <v>10238.3996269775</v>
      </c>
      <c r="L537" s="15" t="n">
        <f aca="false">K537*(1+IF(L$3&lt;=$O$2,$D537,$D537-($D537-$I$535)*MIN(L$3-$O$2,$Q$2)/$Q$2))</f>
        <v>11466.8028142223</v>
      </c>
      <c r="M537" s="15" t="n">
        <f aca="false">L537*(1+IF(M$3&lt;=$O$2,$D537,$D537-($D537-$I$535)*MIN(M$3-$O$2,$Q$2)/$Q$2))</f>
        <v>12345.6185819043</v>
      </c>
      <c r="N537" s="15" t="n">
        <f aca="false">M537*(1+IF(N$3&lt;=$O$2,$D537,$D537-($D537-$I$535)*MIN(N$3-$O$2,$Q$2)/$Q$2))</f>
        <v>12756.7276806817</v>
      </c>
      <c r="O537" s="15" t="n">
        <f aca="false">SUMPRODUCT(E537:N537,1/(1+$F$535)^$E$3:$N$3)*$E$2</f>
        <v>20386.4801426746</v>
      </c>
      <c r="P537" s="15" t="n">
        <f aca="false">N537*$E$2*(1+$I$535)/($F$535-$I$535)/(1+$F$535)^$N$3</f>
        <v>34399.4082752768</v>
      </c>
      <c r="Q537" s="15" t="n">
        <f aca="false">O537+P537</f>
        <v>54785.8884179514</v>
      </c>
      <c r="R537" s="15" t="n">
        <f aca="false">Q537-$G$2+$I$2</f>
        <v>49434.3284179514</v>
      </c>
      <c r="S537" s="42" t="n">
        <f aca="false">R537/$K$2</f>
        <v>2288.6263156459</v>
      </c>
      <c r="T537" s="43" t="n">
        <f aca="false">S537-$M$2</f>
        <v>1563.6263156459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2091.25</v>
      </c>
      <c r="F538" s="15" t="n">
        <f aca="false">E538*(1+IF(F$3&lt;=$O$2,$D538,$D538-($D538-$I$535)*MIN(F$3-$O$2,$Q$2)/$Q$2))</f>
        <v>1829.84375</v>
      </c>
      <c r="G538" s="15" t="n">
        <f aca="false">F538*(1+IF(G$3&lt;=$O$2,$D538,$D538-($D538-$I$535)*MIN(G$3-$O$2,$Q$2)/$Q$2))</f>
        <v>1601.11328125</v>
      </c>
      <c r="H538" s="15" t="n">
        <f aca="false">G538*(1+IF(H$3&lt;=$O$2,$D538,$D538-($D538-$I$535)*MIN(H$3-$O$2,$Q$2)/$Q$2))</f>
        <v>1400.97412109375</v>
      </c>
      <c r="I538" s="15" t="n">
        <f aca="false">H538*(1+IF(I$3&lt;=$O$2,$D538,$D538-($D538-$I$535)*MIN(I$3-$O$2,$Q$2)/$Q$2))</f>
        <v>1225.85235595703</v>
      </c>
      <c r="J538" s="15" t="n">
        <f aca="false">I538*(1+IF(J$3&lt;=$O$2,$D538,$D538-($D538-$I$535)*MIN(J$3-$O$2,$Q$2)/$Q$2))</f>
        <v>1111.431297052</v>
      </c>
      <c r="K538" s="15" t="n">
        <f aca="false">J538*(1+IF(K$3&lt;=$O$2,$D538,$D538-($D538-$I$535)*MIN(K$3-$O$2,$Q$2)/$Q$2))</f>
        <v>1042.87821464983</v>
      </c>
      <c r="L538" s="15" t="n">
        <f aca="false">K538*(1+IF(L$3&lt;=$O$2,$D538,$D538-($D538-$I$535)*MIN(L$3-$O$2,$Q$2)/$Q$2))</f>
        <v>1011.57101064605</v>
      </c>
      <c r="M538" s="15" t="n">
        <f aca="false">L538*(1+IF(M$3&lt;=$O$2,$D538,$D538-($D538-$I$535)*MIN(M$3-$O$2,$Q$2)/$Q$2))</f>
        <v>1013.22998710351</v>
      </c>
      <c r="N538" s="15" t="n">
        <f aca="false">M538*(1+IF(N$3&lt;=$O$2,$D538,$D538-($D538-$I$535)*MIN(N$3-$O$2,$Q$2)/$Q$2))</f>
        <v>1046.97054567405</v>
      </c>
      <c r="O538" s="15" t="n">
        <f aca="false">SUMPRODUCT(E538:N538,1/(1+$F$535)^$E$3:$N$3)*$E$2</f>
        <v>4135.64506956501</v>
      </c>
      <c r="P538" s="15" t="n">
        <f aca="false">N538*$E$2*(1+$I$535)/($F$535-$I$535)/(1+$F$535)^$N$3</f>
        <v>2823.22929158165</v>
      </c>
      <c r="Q538" s="15" t="n">
        <f aca="false">O538+P538</f>
        <v>6958.87436114666</v>
      </c>
      <c r="R538" s="15" t="n">
        <f aca="false">Q538-$G$2+$I$2</f>
        <v>1607.31436114666</v>
      </c>
      <c r="S538" s="42" t="n">
        <f aca="false">R538/$K$2</f>
        <v>74.4127019049379</v>
      </c>
      <c r="T538" s="43" t="n">
        <f aca="false">S538-$M$2</f>
        <v>-650.587298095062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2539.375</v>
      </c>
      <c r="F539" s="15" t="n">
        <f aca="false">E539*(1+IF(F$3&lt;=$O$2,$D539,$D539-($D539-$I$535)*MIN(F$3-$O$2,$Q$2)/$Q$2))</f>
        <v>2698.0859375</v>
      </c>
      <c r="G539" s="15" t="n">
        <f aca="false">F539*(1+IF(G$3&lt;=$O$2,$D539,$D539-($D539-$I$535)*MIN(G$3-$O$2,$Q$2)/$Q$2))</f>
        <v>2866.71630859375</v>
      </c>
      <c r="H539" s="15" t="n">
        <f aca="false">G539*(1+IF(H$3&lt;=$O$2,$D539,$D539-($D539-$I$535)*MIN(H$3-$O$2,$Q$2)/$Q$2))</f>
        <v>3045.88607788086</v>
      </c>
      <c r="I539" s="15" t="n">
        <f aca="false">H539*(1+IF(I$3&lt;=$O$2,$D539,$D539-($D539-$I$535)*MIN(I$3-$O$2,$Q$2)/$Q$2))</f>
        <v>3236.25395774841</v>
      </c>
      <c r="J539" s="15" t="n">
        <f aca="false">I539*(1+IF(J$3&lt;=$O$2,$D539,$D539-($D539-$I$535)*MIN(J$3-$O$2,$Q$2)/$Q$2))</f>
        <v>3419.62010699444</v>
      </c>
      <c r="K539" s="15" t="n">
        <f aca="false">J539*(1+IF(K$3&lt;=$O$2,$D539,$D539-($D539-$I$535)*MIN(K$3-$O$2,$Q$2)/$Q$2))</f>
        <v>3593.4052008319</v>
      </c>
      <c r="L539" s="15" t="n">
        <f aca="false">K539*(1+IF(L$3&lt;=$O$2,$D539,$D539-($D539-$I$535)*MIN(L$3-$O$2,$Q$2)/$Q$2))</f>
        <v>3755.03656676531</v>
      </c>
      <c r="M539" s="15" t="n">
        <f aca="false">L539*(1+IF(M$3&lt;=$O$2,$D539,$D539-($D539-$I$535)*MIN(M$3-$O$2,$Q$2)/$Q$2))</f>
        <v>3902.00869798851</v>
      </c>
      <c r="N539" s="15" t="n">
        <f aca="false">M539*(1+IF(N$3&lt;=$O$2,$D539,$D539-($D539-$I$535)*MIN(N$3-$O$2,$Q$2)/$Q$2))</f>
        <v>4031.94558763153</v>
      </c>
      <c r="O539" s="15" t="n">
        <f aca="false">SUMPRODUCT(E539:N539,1/(1+$F$535)^$E$3:$N$3)*$E$2</f>
        <v>9151.47597981107</v>
      </c>
      <c r="P539" s="15" t="n">
        <f aca="false">N539*$E$2*(1+$I$535)/($F$535-$I$535)/(1+$F$535)^$N$3</f>
        <v>10872.4232330109</v>
      </c>
      <c r="Q539" s="15" t="n">
        <f aca="false">O539+P539</f>
        <v>20023.899212822</v>
      </c>
      <c r="R539" s="15" t="n">
        <f aca="false">Q539-$G$2+$I$2</f>
        <v>14672.339212822</v>
      </c>
      <c r="S539" s="42" t="n">
        <f aca="false">R539/$K$2</f>
        <v>679.274963556575</v>
      </c>
      <c r="T539" s="43" t="n">
        <f aca="false">S539-$M$2</f>
        <v>-45.7250364434253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0.0625</v>
      </c>
      <c r="C540" s="25" t="n">
        <f aca="false">IF(T539&gt;0,D539,C539)</f>
        <v>0.25</v>
      </c>
      <c r="D540" s="41" t="n">
        <f aca="false">(B540+C540)/2</f>
        <v>0.15625</v>
      </c>
      <c r="E540" s="15" t="n">
        <f aca="false">$C$2*(1+IF(E$3&lt;=$O$2,$D540,$D540-($D540-$I$535)*MIN(E$3-$O$2,$Q$2)/$Q$2))</f>
        <v>2763.4375</v>
      </c>
      <c r="F540" s="15" t="n">
        <f aca="false">E540*(1+IF(F$3&lt;=$O$2,$D540,$D540-($D540-$I$535)*MIN(F$3-$O$2,$Q$2)/$Q$2))</f>
        <v>3195.224609375</v>
      </c>
      <c r="G540" s="15" t="n">
        <f aca="false">F540*(1+IF(G$3&lt;=$O$2,$D540,$D540-($D540-$I$535)*MIN(G$3-$O$2,$Q$2)/$Q$2))</f>
        <v>3694.47845458984</v>
      </c>
      <c r="H540" s="15" t="n">
        <f aca="false">G540*(1+IF(H$3&lt;=$O$2,$D540,$D540-($D540-$I$535)*MIN(H$3-$O$2,$Q$2)/$Q$2))</f>
        <v>4271.74071311951</v>
      </c>
      <c r="I540" s="15" t="n">
        <f aca="false">H540*(1+IF(I$3&lt;=$O$2,$D540,$D540-($D540-$I$535)*MIN(I$3-$O$2,$Q$2)/$Q$2))</f>
        <v>4939.20019954443</v>
      </c>
      <c r="J540" s="15" t="n">
        <f aca="false">I540*(1+IF(J$3&lt;=$O$2,$D540,$D540-($D540-$I$535)*MIN(J$3-$O$2,$Q$2)/$Q$2))</f>
        <v>5589.49529781645</v>
      </c>
      <c r="K540" s="15" t="n">
        <f aca="false">J540*(1+IF(K$3&lt;=$O$2,$D540,$D540-($D540-$I$535)*MIN(K$3-$O$2,$Q$2)/$Q$2))</f>
        <v>6187.96255935366</v>
      </c>
      <c r="L540" s="15" t="n">
        <f aca="false">K540*(1+IF(L$3&lt;=$O$2,$D540,$D540-($D540-$I$535)*MIN(L$3-$O$2,$Q$2)/$Q$2))</f>
        <v>6698.34571124915</v>
      </c>
      <c r="M540" s="15" t="n">
        <f aca="false">L540*(1+IF(M$3&lt;=$O$2,$D540,$D540-($D540-$I$535)*MIN(M$3-$O$2,$Q$2)/$Q$2))</f>
        <v>7086.11294447336</v>
      </c>
      <c r="N540" s="15" t="n">
        <f aca="false">M540*(1+IF(N$3&lt;=$O$2,$D540,$D540-($D540-$I$535)*MIN(N$3-$O$2,$Q$2)/$Q$2))</f>
        <v>7322.08050552432</v>
      </c>
      <c r="O540" s="15" t="n">
        <f aca="false">SUMPRODUCT(E540:N540,1/(1+$F$535)^$E$3:$N$3)*$E$2</f>
        <v>13678.1188600923</v>
      </c>
      <c r="P540" s="15" t="n">
        <f aca="false">N540*$E$2*(1+$I$535)/($F$535-$I$535)/(1+$F$535)^$N$3</f>
        <v>19744.5021198819</v>
      </c>
      <c r="Q540" s="15" t="n">
        <f aca="false">O540+P540</f>
        <v>33422.6209799742</v>
      </c>
      <c r="R540" s="15" t="n">
        <f aca="false">Q540-$G$2+$I$2</f>
        <v>28071.0609799742</v>
      </c>
      <c r="S540" s="42" t="n">
        <f aca="false">R540/$K$2</f>
        <v>1299.58615648029</v>
      </c>
      <c r="T540" s="43" t="n">
        <f aca="false">S540-$M$2</f>
        <v>574.586156480286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0.0625</v>
      </c>
      <c r="C541" s="25" t="n">
        <f aca="false">IF(T540&gt;0,D540,C540)</f>
        <v>0.15625</v>
      </c>
      <c r="D541" s="41" t="n">
        <f aca="false">(B541+C541)/2</f>
        <v>0.109375</v>
      </c>
      <c r="E541" s="15" t="n">
        <f aca="false">$C$2*(1+IF(E$3&lt;=$O$2,$D541,$D541-($D541-$I$535)*MIN(E$3-$O$2,$Q$2)/$Q$2))</f>
        <v>2651.40625</v>
      </c>
      <c r="F541" s="15" t="n">
        <f aca="false">E541*(1+IF(F$3&lt;=$O$2,$D541,$D541-($D541-$I$535)*MIN(F$3-$O$2,$Q$2)/$Q$2))</f>
        <v>2941.40380859375</v>
      </c>
      <c r="G541" s="15" t="n">
        <f aca="false">F541*(1+IF(G$3&lt;=$O$2,$D541,$D541-($D541-$I$535)*MIN(G$3-$O$2,$Q$2)/$Q$2))</f>
        <v>3263.11985015869</v>
      </c>
      <c r="H541" s="15" t="n">
        <f aca="false">G541*(1+IF(H$3&lt;=$O$2,$D541,$D541-($D541-$I$535)*MIN(H$3-$O$2,$Q$2)/$Q$2))</f>
        <v>3620.0235837698</v>
      </c>
      <c r="I541" s="15" t="n">
        <f aca="false">H541*(1+IF(I$3&lt;=$O$2,$D541,$D541-($D541-$I$535)*MIN(I$3-$O$2,$Q$2)/$Q$2))</f>
        <v>4015.96366324462</v>
      </c>
      <c r="J541" s="15" t="n">
        <f aca="false">I541*(1+IF(J$3&lt;=$O$2,$D541,$D541-($D541-$I$535)*MIN(J$3-$O$2,$Q$2)/$Q$2))</f>
        <v>4394.10680177573</v>
      </c>
      <c r="K541" s="15" t="n">
        <f aca="false">J541*(1+IF(K$3&lt;=$O$2,$D541,$D541-($D541-$I$535)*MIN(K$3-$O$2,$Q$2)/$Q$2))</f>
        <v>4740.99956324192</v>
      </c>
      <c r="L541" s="15" t="n">
        <f aca="false">K541*(1+IF(L$3&lt;=$O$2,$D541,$D541-($D541-$I$535)*MIN(L$3-$O$2,$Q$2)/$Q$2))</f>
        <v>5043.14346540733</v>
      </c>
      <c r="M541" s="15" t="n">
        <f aca="false">L541*(1+IF(M$3&lt;=$O$2,$D541,$D541-($D541-$I$535)*MIN(M$3-$O$2,$Q$2)/$Q$2))</f>
        <v>5287.81157063156</v>
      </c>
      <c r="N541" s="15" t="n">
        <f aca="false">M541*(1+IF(N$3&lt;=$O$2,$D541,$D541-($D541-$I$535)*MIN(N$3-$O$2,$Q$2)/$Q$2))</f>
        <v>5463.8956959336</v>
      </c>
      <c r="O541" s="15" t="n">
        <f aca="false">SUMPRODUCT(E541:N541,1/(1+$F$535)^$E$3:$N$3)*$E$2</f>
        <v>11189.268610133</v>
      </c>
      <c r="P541" s="15" t="n">
        <f aca="false">N541*$E$2*(1+$I$535)/($F$535-$I$535)/(1+$F$535)^$N$3</f>
        <v>14733.7768370315</v>
      </c>
      <c r="Q541" s="15" t="n">
        <f aca="false">O541+P541</f>
        <v>25923.0454471645</v>
      </c>
      <c r="R541" s="15" t="n">
        <f aca="false">Q541-$G$2+$I$2</f>
        <v>20571.4854471645</v>
      </c>
      <c r="S541" s="42" t="n">
        <f aca="false">R541/$K$2</f>
        <v>952.383585516877</v>
      </c>
      <c r="T541" s="43" t="n">
        <f aca="false">S541-$M$2</f>
        <v>227.383585516877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0.0625</v>
      </c>
      <c r="C542" s="25" t="n">
        <f aca="false">IF(T541&gt;0,D541,C541)</f>
        <v>0.109375</v>
      </c>
      <c r="D542" s="41" t="n">
        <f aca="false">(B542+C542)/2</f>
        <v>0.0859375</v>
      </c>
      <c r="E542" s="15" t="n">
        <f aca="false">$C$2*(1+IF(E$3&lt;=$O$2,$D542,$D542-($D542-$I$535)*MIN(E$3-$O$2,$Q$2)/$Q$2))</f>
        <v>2595.390625</v>
      </c>
      <c r="F542" s="15" t="n">
        <f aca="false">E542*(1+IF(F$3&lt;=$O$2,$D542,$D542-($D542-$I$535)*MIN(F$3-$O$2,$Q$2)/$Q$2))</f>
        <v>2818.43200683594</v>
      </c>
      <c r="G542" s="15" t="n">
        <f aca="false">F542*(1+IF(G$3&lt;=$O$2,$D542,$D542-($D542-$I$535)*MIN(G$3-$O$2,$Q$2)/$Q$2))</f>
        <v>3060.6410074234</v>
      </c>
      <c r="H542" s="15" t="n">
        <f aca="false">G542*(1+IF(H$3&lt;=$O$2,$D542,$D542-($D542-$I$535)*MIN(H$3-$O$2,$Q$2)/$Q$2))</f>
        <v>3323.66484399885</v>
      </c>
      <c r="I542" s="15" t="n">
        <f aca="false">H542*(1+IF(I$3&lt;=$O$2,$D542,$D542-($D542-$I$535)*MIN(I$3-$O$2,$Q$2)/$Q$2))</f>
        <v>3609.29229153</v>
      </c>
      <c r="J542" s="15" t="n">
        <f aca="false">I542*(1+IF(J$3&lt;=$O$2,$D542,$D542-($D542-$I$535)*MIN(J$3-$O$2,$Q$2)/$Q$2))</f>
        <v>3881.46902323428</v>
      </c>
      <c r="K542" s="15" t="n">
        <f aca="false">J542*(1+IF(K$3&lt;=$O$2,$D542,$D542-($D542-$I$535)*MIN(K$3-$O$2,$Q$2)/$Q$2))</f>
        <v>4133.30843713428</v>
      </c>
      <c r="L542" s="15" t="n">
        <f aca="false">K542*(1+IF(L$3&lt;=$O$2,$D542,$D542-($D542-$I$535)*MIN(L$3-$O$2,$Q$2)/$Q$2))</f>
        <v>4357.97441723471</v>
      </c>
      <c r="M542" s="15" t="n">
        <f aca="false">L542*(1+IF(M$3&lt;=$O$2,$D542,$D542-($D542-$I$535)*MIN(M$3-$O$2,$Q$2)/$Q$2))</f>
        <v>4548.97354100606</v>
      </c>
      <c r="N542" s="15" t="n">
        <f aca="false">M542*(1+IF(N$3&lt;=$O$2,$D542,$D542-($D542-$I$535)*MIN(N$3-$O$2,$Q$2)/$Q$2))</f>
        <v>4700.45435992157</v>
      </c>
      <c r="O542" s="15" t="n">
        <f aca="false">SUMPRODUCT(E542:N542,1/(1+$F$535)^$E$3:$N$3)*$E$2</f>
        <v>10119.1041427402</v>
      </c>
      <c r="P542" s="15" t="n">
        <f aca="false">N542*$E$2*(1+$I$535)/($F$535-$I$535)/(1+$F$535)^$N$3</f>
        <v>12675.1038866423</v>
      </c>
      <c r="Q542" s="15" t="n">
        <f aca="false">O542+P542</f>
        <v>22794.2080293825</v>
      </c>
      <c r="R542" s="15" t="n">
        <f aca="false">Q542-$G$2+$I$2</f>
        <v>17442.6480293825</v>
      </c>
      <c r="S542" s="42" t="n">
        <f aca="false">R542/$K$2</f>
        <v>807.530001360302</v>
      </c>
      <c r="T542" s="43" t="n">
        <f aca="false">S542-$M$2</f>
        <v>82.5300013603024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0.0625</v>
      </c>
      <c r="C543" s="25" t="n">
        <f aca="false">IF(T542&gt;0,D542,C542)</f>
        <v>0.0859375</v>
      </c>
      <c r="D543" s="41" t="n">
        <f aca="false">(B543+C543)/2</f>
        <v>0.07421875</v>
      </c>
      <c r="E543" s="15" t="n">
        <f aca="false">$C$2*(1+IF(E$3&lt;=$O$2,$D543,$D543-($D543-$I$535)*MIN(E$3-$O$2,$Q$2)/$Q$2))</f>
        <v>2567.3828125</v>
      </c>
      <c r="F543" s="15" t="n">
        <f aca="false">E543*(1+IF(F$3&lt;=$O$2,$D543,$D543-($D543-$I$535)*MIN(F$3-$O$2,$Q$2)/$Q$2))</f>
        <v>2757.93075561523</v>
      </c>
      <c r="G543" s="15" t="n">
        <f aca="false">F543*(1+IF(G$3&lt;=$O$2,$D543,$D543-($D543-$I$535)*MIN(G$3-$O$2,$Q$2)/$Q$2))</f>
        <v>2962.62092888355</v>
      </c>
      <c r="H543" s="15" t="n">
        <f aca="false">G543*(1+IF(H$3&lt;=$O$2,$D543,$D543-($D543-$I$535)*MIN(H$3-$O$2,$Q$2)/$Q$2))</f>
        <v>3182.50295094913</v>
      </c>
      <c r="I543" s="15" t="n">
        <f aca="false">H543*(1+IF(I$3&lt;=$O$2,$D543,$D543-($D543-$I$535)*MIN(I$3-$O$2,$Q$2)/$Q$2))</f>
        <v>3418.70434183988</v>
      </c>
      <c r="J543" s="15" t="n">
        <f aca="false">I543*(1+IF(J$3&lt;=$O$2,$D543,$D543-($D543-$I$535)*MIN(J$3-$O$2,$Q$2)/$Q$2))</f>
        <v>3644.45848305328</v>
      </c>
      <c r="K543" s="15" t="n">
        <f aca="false">J543*(1+IF(K$3&lt;=$O$2,$D543,$D543-($D543-$I$535)*MIN(K$3-$O$2,$Q$2)/$Q$2))</f>
        <v>3855.29496187102</v>
      </c>
      <c r="L543" s="15" t="n">
        <f aca="false">K543*(1+IF(L$3&lt;=$O$2,$D543,$D543-($D543-$I$535)*MIN(L$3-$O$2,$Q$2)/$Q$2))</f>
        <v>4046.77782438975</v>
      </c>
      <c r="M543" s="15" t="n">
        <f aca="false">L543*(1+IF(M$3&lt;=$O$2,$D543,$D543-($D543-$I$535)*MIN(M$3-$O$2,$Q$2)/$Q$2))</f>
        <v>4214.65334396227</v>
      </c>
      <c r="N543" s="15" t="n">
        <f aca="false">M543*(1+IF(N$3&lt;=$O$2,$D543,$D543-($D543-$I$535)*MIN(N$3-$O$2,$Q$2)/$Q$2))</f>
        <v>4355.00130031622</v>
      </c>
      <c r="O543" s="15" t="n">
        <f aca="false">SUMPRODUCT(E543:N543,1/(1+$F$535)^$E$3:$N$3)*$E$2</f>
        <v>9623.06795991492</v>
      </c>
      <c r="P543" s="15" t="n">
        <f aca="false">N543*$E$2*(1+$I$535)/($F$535-$I$535)/(1+$F$535)^$N$3</f>
        <v>11743.5655537121</v>
      </c>
      <c r="Q543" s="15" t="n">
        <f aca="false">O543+P543</f>
        <v>21366.633513627</v>
      </c>
      <c r="R543" s="15" t="n">
        <f aca="false">Q543-$G$2+$I$2</f>
        <v>16015.073513627</v>
      </c>
      <c r="S543" s="42" t="n">
        <f aca="false">R543/$K$2</f>
        <v>741.438588593842</v>
      </c>
      <c r="T543" s="43" t="n">
        <f aca="false">S543-$M$2</f>
        <v>16.4385885938415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0.0625</v>
      </c>
      <c r="C544" s="25" t="n">
        <f aca="false">IF(T543&gt;0,D543,C543)</f>
        <v>0.07421875</v>
      </c>
      <c r="D544" s="41" t="n">
        <f aca="false">(B544+C544)/2</f>
        <v>0.068359375</v>
      </c>
      <c r="E544" s="15" t="n">
        <f aca="false">$C$2*(1+IF(E$3&lt;=$O$2,$D544,$D544-($D544-$I$535)*MIN(E$3-$O$2,$Q$2)/$Q$2))</f>
        <v>2553.37890625</v>
      </c>
      <c r="F544" s="15" t="n">
        <f aca="false">E544*(1+IF(F$3&lt;=$O$2,$D544,$D544-($D544-$I$535)*MIN(F$3-$O$2,$Q$2)/$Q$2))</f>
        <v>2727.92629241943</v>
      </c>
      <c r="G544" s="15" t="n">
        <f aca="false">F544*(1+IF(G$3&lt;=$O$2,$D544,$D544-($D544-$I$535)*MIN(G$3-$O$2,$Q$2)/$Q$2))</f>
        <v>2914.40562881529</v>
      </c>
      <c r="H544" s="15" t="n">
        <f aca="false">G544*(1+IF(H$3&lt;=$O$2,$D544,$D544-($D544-$I$535)*MIN(H$3-$O$2,$Q$2)/$Q$2))</f>
        <v>3113.63257609759</v>
      </c>
      <c r="I544" s="15" t="n">
        <f aca="false">H544*(1+IF(I$3&lt;=$O$2,$D544,$D544-($D544-$I$535)*MIN(I$3-$O$2,$Q$2)/$Q$2))</f>
        <v>3326.47855297926</v>
      </c>
      <c r="J544" s="15" t="n">
        <f aca="false">I544*(1+IF(J$3&lt;=$O$2,$D544,$D544-($D544-$I$535)*MIN(J$3-$O$2,$Q$2)/$Q$2))</f>
        <v>3530.54969600816</v>
      </c>
      <c r="K544" s="15" t="n">
        <f aca="false">J544*(1+IF(K$3&lt;=$O$2,$D544,$D544-($D544-$I$535)*MIN(K$3-$O$2,$Q$2)/$Q$2))</f>
        <v>3722.38432033432</v>
      </c>
      <c r="L544" s="15" t="n">
        <f aca="false">K544*(1+IF(L$3&lt;=$O$2,$D544,$D544-($D544-$I$535)*MIN(L$3-$O$2,$Q$2)/$Q$2))</f>
        <v>3898.54150531374</v>
      </c>
      <c r="M544" s="15" t="n">
        <f aca="false">L544*(1+IF(M$3&lt;=$O$2,$D544,$D544-($D544-$I$535)*MIN(M$3-$O$2,$Q$2)/$Q$2))</f>
        <v>4055.69902315826</v>
      </c>
      <c r="N544" s="15" t="n">
        <f aca="false">M544*(1+IF(N$3&lt;=$O$2,$D544,$D544-($D544-$I$535)*MIN(N$3-$O$2,$Q$2)/$Q$2))</f>
        <v>4190.75380062943</v>
      </c>
      <c r="O544" s="15" t="n">
        <f aca="false">SUMPRODUCT(E544:N544,1/(1+$F$535)^$E$3:$N$3)*$E$2</f>
        <v>9384.2881787073</v>
      </c>
      <c r="P544" s="15" t="n">
        <f aca="false">N544*$E$2*(1+$I$535)/($F$535-$I$535)/(1+$F$535)^$N$3</f>
        <v>11300.6606848972</v>
      </c>
      <c r="Q544" s="15" t="n">
        <f aca="false">O544+P544</f>
        <v>20684.9488636045</v>
      </c>
      <c r="R544" s="15" t="n">
        <f aca="false">Q544-$G$2+$I$2</f>
        <v>15333.3888636045</v>
      </c>
      <c r="S544" s="42" t="n">
        <f aca="false">R544/$K$2</f>
        <v>709.879114055764</v>
      </c>
      <c r="T544" s="43" t="n">
        <f aca="false">S544-$M$2</f>
        <v>-15.1208859442362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0.068359375</v>
      </c>
      <c r="C545" s="25" t="n">
        <f aca="false">IF(T544&gt;0,D544,C544)</f>
        <v>0.07421875</v>
      </c>
      <c r="D545" s="41" t="n">
        <f aca="false">(B545+C545)/2</f>
        <v>0.0712890625</v>
      </c>
      <c r="E545" s="15" t="n">
        <f aca="false">$C$2*(1+IF(E$3&lt;=$O$2,$D545,$D545-($D545-$I$535)*MIN(E$3-$O$2,$Q$2)/$Q$2))</f>
        <v>2560.380859375</v>
      </c>
      <c r="F545" s="15" t="n">
        <f aca="false">E545*(1+IF(F$3&lt;=$O$2,$D545,$D545-($D545-$I$535)*MIN(F$3-$O$2,$Q$2)/$Q$2))</f>
        <v>2742.90801048279</v>
      </c>
      <c r="G545" s="15" t="n">
        <f aca="false">F545*(1+IF(G$3&lt;=$O$2,$D545,$D545-($D545-$I$535)*MIN(G$3-$O$2,$Q$2)/$Q$2))</f>
        <v>2938.44735107385</v>
      </c>
      <c r="H545" s="15" t="n">
        <f aca="false">G545*(1+IF(H$3&lt;=$O$2,$D545,$D545-($D545-$I$535)*MIN(H$3-$O$2,$Q$2)/$Q$2))</f>
        <v>3147.92650793751</v>
      </c>
      <c r="I545" s="15" t="n">
        <f aca="false">H545*(1+IF(I$3&lt;=$O$2,$D545,$D545-($D545-$I$535)*MIN(I$3-$O$2,$Q$2)/$Q$2))</f>
        <v>3372.33923750727</v>
      </c>
      <c r="J545" s="15" t="n">
        <f aca="false">I545*(1+IF(J$3&lt;=$O$2,$D545,$D545-($D545-$I$535)*MIN(J$3-$O$2,$Q$2)/$Q$2))</f>
        <v>3587.12773896816</v>
      </c>
      <c r="K545" s="15" t="n">
        <f aca="false">J545*(1+IF(K$3&lt;=$O$2,$D545,$D545-($D545-$I$535)*MIN(K$3-$O$2,$Q$2)/$Q$2))</f>
        <v>3788.34206459848</v>
      </c>
      <c r="L545" s="15" t="n">
        <f aca="false">K545*(1+IF(L$3&lt;=$O$2,$D545,$D545-($D545-$I$535)*MIN(L$3-$O$2,$Q$2)/$Q$2))</f>
        <v>3972.06008073498</v>
      </c>
      <c r="M545" s="15" t="n">
        <f aca="false">L545*(1+IF(M$3&lt;=$O$2,$D545,$D545-($D545-$I$535)*MIN(M$3-$O$2,$Q$2)/$Q$2))</f>
        <v>4134.50864915561</v>
      </c>
      <c r="N545" s="15" t="n">
        <f aca="false">M545*(1+IF(N$3&lt;=$O$2,$D545,$D545-($D545-$I$535)*MIN(N$3-$O$2,$Q$2)/$Q$2))</f>
        <v>4272.1877871725</v>
      </c>
      <c r="O545" s="15" t="n">
        <f aca="false">SUMPRODUCT(E545:N545,1/(1+$F$535)^$E$3:$N$3)*$E$2</f>
        <v>9502.92326972095</v>
      </c>
      <c r="P545" s="15" t="n">
        <f aca="false">N545*$E$2*(1+$I$535)/($F$535-$I$535)/(1+$F$535)^$N$3</f>
        <v>11520.2531243298</v>
      </c>
      <c r="Q545" s="15" t="n">
        <f aca="false">O545+P545</f>
        <v>21023.1763940507</v>
      </c>
      <c r="R545" s="15" t="n">
        <f aca="false">Q545-$G$2+$I$2</f>
        <v>15671.6163940507</v>
      </c>
      <c r="S545" s="42" t="n">
        <f aca="false">R545/$K$2</f>
        <v>725.537796020868</v>
      </c>
      <c r="T545" s="43" t="n">
        <f aca="false">S545-$M$2</f>
        <v>0.537796020867972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0.068359375</v>
      </c>
      <c r="C546" s="25" t="n">
        <f aca="false">IF(T545&gt;0,D545,C545)</f>
        <v>0.0712890625</v>
      </c>
      <c r="D546" s="41" t="n">
        <f aca="false">(B546+C546)/2</f>
        <v>0.06982421875</v>
      </c>
      <c r="E546" s="15" t="n">
        <f aca="false">$C$2*(1+IF(E$3&lt;=$O$2,$D546,$D546-($D546-$I$535)*MIN(E$3-$O$2,$Q$2)/$Q$2))</f>
        <v>2556.8798828125</v>
      </c>
      <c r="F546" s="15" t="n">
        <f aca="false">E546*(1+IF(F$3&lt;=$O$2,$D546,$D546-($D546-$I$535)*MIN(F$3-$O$2,$Q$2)/$Q$2))</f>
        <v>2735.41202306747</v>
      </c>
      <c r="G546" s="15" t="n">
        <f aca="false">F546*(1+IF(G$3&lt;=$O$2,$D546,$D546-($D546-$I$535)*MIN(G$3-$O$2,$Q$2)/$Q$2))</f>
        <v>2926.41003053752</v>
      </c>
      <c r="H546" s="15" t="n">
        <f aca="false">G546*(1+IF(H$3&lt;=$O$2,$D546,$D546-($D546-$I$535)*MIN(H$3-$O$2,$Q$2)/$Q$2))</f>
        <v>3130.74432466196</v>
      </c>
      <c r="I546" s="15" t="n">
        <f aca="false">H546*(1+IF(I$3&lt;=$O$2,$D546,$D546-($D546-$I$535)*MIN(I$3-$O$2,$Q$2)/$Q$2))</f>
        <v>3349.34610123748</v>
      </c>
      <c r="J546" s="15" t="n">
        <f aca="false">I546*(1+IF(J$3&lt;=$O$2,$D546,$D546-($D546-$I$535)*MIN(J$3-$O$2,$Q$2)/$Q$2))</f>
        <v>3558.74512614554</v>
      </c>
      <c r="K546" s="15" t="n">
        <f aca="false">J546*(1+IF(K$3&lt;=$O$2,$D546,$D546-($D546-$I$535)*MIN(K$3-$O$2,$Q$2)/$Q$2))</f>
        <v>3755.23957012388</v>
      </c>
      <c r="L546" s="15" t="n">
        <f aca="false">K546*(1+IF(L$3&lt;=$O$2,$D546,$D546-($D546-$I$535)*MIN(L$3-$O$2,$Q$2)/$Q$2))</f>
        <v>3935.15192441615</v>
      </c>
      <c r="M546" s="15" t="n">
        <f aca="false">L546*(1+IF(M$3&lt;=$O$2,$D546,$D546-($D546-$I$535)*MIN(M$3-$O$2,$Q$2)/$Q$2))</f>
        <v>4094.93815343958</v>
      </c>
      <c r="N546" s="15" t="n">
        <f aca="false">M546*(1+IF(N$3&lt;=$O$2,$D546,$D546-($D546-$I$535)*MIN(N$3-$O$2,$Q$2)/$Q$2))</f>
        <v>4231.29959394912</v>
      </c>
      <c r="O546" s="15" t="n">
        <f aca="false">SUMPRODUCT(E546:N546,1/(1+$F$535)^$E$3:$N$3)*$E$2</f>
        <v>9443.41813791057</v>
      </c>
      <c r="P546" s="15" t="n">
        <f aca="false">N546*$E$2*(1+$I$535)/($F$535-$I$535)/(1+$F$535)^$N$3</f>
        <v>11409.9952519713</v>
      </c>
      <c r="Q546" s="15" t="n">
        <f aca="false">O546+P546</f>
        <v>20853.4133898818</v>
      </c>
      <c r="R546" s="15" t="n">
        <f aca="false">Q546-$G$2+$I$2</f>
        <v>15501.8533898818</v>
      </c>
      <c r="S546" s="42" t="n">
        <f aca="false">R546/$K$2</f>
        <v>717.678397679714</v>
      </c>
      <c r="T546" s="43" t="n">
        <f aca="false">S546-$M$2</f>
        <v>-7.32160232028593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0.06982421875</v>
      </c>
      <c r="C547" s="25" t="n">
        <f aca="false">IF(T546&gt;0,D546,C546)</f>
        <v>0.0712890625</v>
      </c>
      <c r="D547" s="41" t="n">
        <f aca="false">(B547+C547)/2</f>
        <v>0.070556640625</v>
      </c>
      <c r="E547" s="15" t="n">
        <f aca="false">$C$2*(1+IF(E$3&lt;=$O$2,$D547,$D547-($D547-$I$535)*MIN(E$3-$O$2,$Q$2)/$Q$2))</f>
        <v>2558.63037109375</v>
      </c>
      <c r="F547" s="15" t="n">
        <f aca="false">E547*(1+IF(F$3&lt;=$O$2,$D547,$D547-($D547-$I$535)*MIN(F$3-$O$2,$Q$2)/$Q$2))</f>
        <v>2739.15873467922</v>
      </c>
      <c r="G547" s="15" t="n">
        <f aca="false">F547*(1+IF(G$3&lt;=$O$2,$D547,$D547-($D547-$I$535)*MIN(G$3-$O$2,$Q$2)/$Q$2))</f>
        <v>2932.42457313681</v>
      </c>
      <c r="H547" s="15" t="n">
        <f aca="false">G547*(1+IF(H$3&lt;=$O$2,$D547,$D547-($D547-$I$535)*MIN(H$3-$O$2,$Q$2)/$Q$2))</f>
        <v>3139.32659990355</v>
      </c>
      <c r="I547" s="15" t="n">
        <f aca="false">H547*(1+IF(I$3&lt;=$O$2,$D547,$D547-($D547-$I$535)*MIN(I$3-$O$2,$Q$2)/$Q$2))</f>
        <v>3360.82693861744</v>
      </c>
      <c r="J547" s="15" t="n">
        <f aca="false">I547*(1+IF(J$3&lt;=$O$2,$D547,$D547-($D547-$I$535)*MIN(J$3-$O$2,$Q$2)/$Q$2))</f>
        <v>3572.91297283732</v>
      </c>
      <c r="K547" s="15" t="n">
        <f aca="false">J547*(1+IF(K$3&lt;=$O$2,$D547,$D547-($D547-$I$535)*MIN(K$3-$O$2,$Q$2)/$Q$2))</f>
        <v>3771.75981560084</v>
      </c>
      <c r="L547" s="15" t="n">
        <f aca="false">K547*(1+IF(L$3&lt;=$O$2,$D547,$D547-($D547-$I$535)*MIN(L$3-$O$2,$Q$2)/$Q$2))</f>
        <v>3953.56865744981</v>
      </c>
      <c r="M547" s="15" t="n">
        <f aca="false">L547*(1+IF(M$3&lt;=$O$2,$D547,$D547-($D547-$I$535)*MIN(M$3-$O$2,$Q$2)/$Q$2))</f>
        <v>4114.68183107426</v>
      </c>
      <c r="N547" s="15" t="n">
        <f aca="false">M547*(1+IF(N$3&lt;=$O$2,$D547,$D547-($D547-$I$535)*MIN(N$3-$O$2,$Q$2)/$Q$2))</f>
        <v>4251.70073604904</v>
      </c>
      <c r="O547" s="15" t="n">
        <f aca="false">SUMPRODUCT(E547:N547,1/(1+$F$535)^$E$3:$N$3)*$E$2</f>
        <v>9473.12366848763</v>
      </c>
      <c r="P547" s="15" t="n">
        <f aca="false">N547*$E$2*(1+$I$535)/($F$535-$I$535)/(1+$F$535)^$N$3</f>
        <v>11465.0083583057</v>
      </c>
      <c r="Q547" s="15" t="n">
        <f aca="false">O547+P547</f>
        <v>20938.1320267933</v>
      </c>
      <c r="R547" s="15" t="n">
        <f aca="false">Q547-$G$2+$I$2</f>
        <v>15586.5720267933</v>
      </c>
      <c r="S547" s="42" t="n">
        <f aca="false">R547/$K$2</f>
        <v>721.600556795988</v>
      </c>
      <c r="T547" s="43" t="n">
        <f aca="false">S547-$M$2</f>
        <v>-3.39944320401241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0.070556640625</v>
      </c>
      <c r="C548" s="25" t="n">
        <f aca="false">IF(T547&gt;0,D547,C547)</f>
        <v>0.0712890625</v>
      </c>
      <c r="D548" s="41" t="n">
        <f aca="false">(B548+C548)/2</f>
        <v>0.0709228515625</v>
      </c>
      <c r="E548" s="15" t="n">
        <f aca="false">$C$2*(1+IF(E$3&lt;=$O$2,$D548,$D548-($D548-$I$535)*MIN(E$3-$O$2,$Q$2)/$Q$2))</f>
        <v>2559.50561523438</v>
      </c>
      <c r="F548" s="15" t="n">
        <f aca="false">E548*(1+IF(F$3&lt;=$O$2,$D548,$D548-($D548-$I$535)*MIN(F$3-$O$2,$Q$2)/$Q$2))</f>
        <v>2741.03305205703</v>
      </c>
      <c r="G548" s="15" t="n">
        <f aca="false">F548*(1+IF(G$3&lt;=$O$2,$D548,$D548-($D548-$I$535)*MIN(G$3-$O$2,$Q$2)/$Q$2))</f>
        <v>2935.43493233597</v>
      </c>
      <c r="H548" s="15" t="n">
        <f aca="false">G548*(1+IF(H$3&lt;=$O$2,$D548,$D548-($D548-$I$535)*MIN(H$3-$O$2,$Q$2)/$Q$2))</f>
        <v>3143.62434831342</v>
      </c>
      <c r="I548" s="15" t="n">
        <f aca="false">H548*(1+IF(I$3&lt;=$O$2,$D548,$D548-($D548-$I$535)*MIN(I$3-$O$2,$Q$2)/$Q$2))</f>
        <v>3366.57915133711</v>
      </c>
      <c r="J548" s="15" t="n">
        <f aca="false">I548*(1+IF(J$3&lt;=$O$2,$D548,$D548-($D548-$I$535)*MIN(J$3-$O$2,$Q$2)/$Q$2))</f>
        <v>3580.01448322397</v>
      </c>
      <c r="K548" s="15" t="n">
        <f aca="false">J548*(1+IF(K$3&lt;=$O$2,$D548,$D548-($D548-$I$535)*MIN(K$3-$O$2,$Q$2)/$Q$2))</f>
        <v>3780.04317761169</v>
      </c>
      <c r="L548" s="15" t="n">
        <f aca="false">K548*(1+IF(L$3&lt;=$O$2,$D548,$D548-($D548-$I$535)*MIN(L$3-$O$2,$Q$2)/$Q$2))</f>
        <v>3962.80501677461</v>
      </c>
      <c r="M548" s="15" t="n">
        <f aca="false">L548*(1+IF(M$3&lt;=$O$2,$D548,$D548-($D548-$I$535)*MIN(M$3-$O$2,$Q$2)/$Q$2))</f>
        <v>4124.58482881665</v>
      </c>
      <c r="N548" s="15" t="n">
        <f aca="false">M548*(1+IF(N$3&lt;=$O$2,$D548,$D548-($D548-$I$535)*MIN(N$3-$O$2,$Q$2)/$Q$2))</f>
        <v>4261.93350361624</v>
      </c>
      <c r="O548" s="15" t="n">
        <f aca="false">SUMPRODUCT(E548:N548,1/(1+$F$535)^$E$3:$N$3)*$E$2</f>
        <v>9488.01169288919</v>
      </c>
      <c r="P548" s="15" t="n">
        <f aca="false">N548*$E$2*(1+$I$535)/($F$535-$I$535)/(1+$F$535)^$N$3</f>
        <v>11492.6017316332</v>
      </c>
      <c r="Q548" s="15" t="n">
        <f aca="false">O548+P548</f>
        <v>20980.6134245224</v>
      </c>
      <c r="R548" s="15" t="n">
        <f aca="false">Q548-$G$2+$I$2</f>
        <v>15629.0534245224</v>
      </c>
      <c r="S548" s="42" t="n">
        <f aca="false">R548/$K$2</f>
        <v>723.567288172333</v>
      </c>
      <c r="T548" s="43" t="n">
        <f aca="false">S548-$M$2</f>
        <v>-1.43271182766694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0.0709228515625</v>
      </c>
      <c r="C549" s="25" t="n">
        <f aca="false">IF(T548&gt;0,D548,C548)</f>
        <v>0.0712890625</v>
      </c>
      <c r="D549" s="41" t="n">
        <f aca="false">(B549+C549)/2</f>
        <v>0.07110595703125</v>
      </c>
      <c r="E549" s="15" t="n">
        <f aca="false">$C$2*(1+IF(E$3&lt;=$O$2,$D549,$D549-($D549-$I$535)*MIN(E$3-$O$2,$Q$2)/$Q$2))</f>
        <v>2559.94323730469</v>
      </c>
      <c r="F549" s="15" t="n">
        <f aca="false">E549*(1+IF(F$3&lt;=$O$2,$D549,$D549-($D549-$I$535)*MIN(F$3-$O$2,$Q$2)/$Q$2))</f>
        <v>2741.97045113891</v>
      </c>
      <c r="G549" s="15" t="n">
        <f aca="false">F549*(1+IF(G$3&lt;=$O$2,$D549,$D549-($D549-$I$535)*MIN(G$3-$O$2,$Q$2)/$Q$2))</f>
        <v>2936.94088421855</v>
      </c>
      <c r="H549" s="15" t="n">
        <f aca="false">G549*(1+IF(H$3&lt;=$O$2,$D549,$D549-($D549-$I$535)*MIN(H$3-$O$2,$Q$2)/$Q$2))</f>
        <v>3145.77487653512</v>
      </c>
      <c r="I549" s="15" t="n">
        <f aca="false">H549*(1+IF(I$3&lt;=$O$2,$D549,$D549-($D549-$I$535)*MIN(I$3-$O$2,$Q$2)/$Q$2))</f>
        <v>3369.45820973601</v>
      </c>
      <c r="J549" s="15" t="n">
        <f aca="false">I549*(1+IF(J$3&lt;=$O$2,$D549,$D549-($D549-$I$535)*MIN(J$3-$O$2,$Q$2)/$Q$2))</f>
        <v>3583.56964195692</v>
      </c>
      <c r="K549" s="15" t="n">
        <f aca="false">J549*(1+IF(K$3&lt;=$O$2,$D549,$D549-($D549-$I$535)*MIN(K$3-$O$2,$Q$2)/$Q$2))</f>
        <v>3784.19067897547</v>
      </c>
      <c r="L549" s="15" t="n">
        <f aca="false">K549*(1+IF(L$3&lt;=$O$2,$D549,$D549-($D549-$I$535)*MIN(L$3-$O$2,$Q$2)/$Q$2))</f>
        <v>3967.43020866832</v>
      </c>
      <c r="M549" s="15" t="n">
        <f aca="false">L549*(1+IF(M$3&lt;=$O$2,$D549,$D549-($D549-$I$535)*MIN(M$3-$O$2,$Q$2)/$Q$2))</f>
        <v>4129.54413381565</v>
      </c>
      <c r="N549" s="15" t="n">
        <f aca="false">M549*(1+IF(N$3&lt;=$O$2,$D549,$D549-($D549-$I$535)*MIN(N$3-$O$2,$Q$2)/$Q$2))</f>
        <v>4267.05795347172</v>
      </c>
      <c r="O549" s="15" t="n">
        <f aca="false">SUMPRODUCT(E549:N549,1/(1+$F$535)^$E$3:$N$3)*$E$2</f>
        <v>9495.46453507596</v>
      </c>
      <c r="P549" s="15" t="n">
        <f aca="false">N549*$E$2*(1+$I$535)/($F$535-$I$535)/(1+$F$535)^$N$3</f>
        <v>11506.4201690238</v>
      </c>
      <c r="Q549" s="15" t="n">
        <f aca="false">O549+P549</f>
        <v>21001.8847040998</v>
      </c>
      <c r="R549" s="15" t="n">
        <f aca="false">Q549-$G$2+$I$2</f>
        <v>15650.3247040998</v>
      </c>
      <c r="S549" s="42" t="n">
        <f aca="false">R549/$K$2</f>
        <v>724.552069634249</v>
      </c>
      <c r="T549" s="43" t="n">
        <f aca="false">S549-$M$2</f>
        <v>-0.447930365750608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0.07110595703125</v>
      </c>
      <c r="C550" s="25" t="n">
        <f aca="false">IF(T549&gt;0,D549,C549)</f>
        <v>0.0712890625</v>
      </c>
      <c r="D550" s="41" t="n">
        <f aca="false">(B550+C550)/2</f>
        <v>0.071197509765625</v>
      </c>
      <c r="E550" s="15" t="n">
        <f aca="false">$C$2*(1+IF(E$3&lt;=$O$2,$D550,$D550-($D550-$I$535)*MIN(E$3-$O$2,$Q$2)/$Q$2))</f>
        <v>2560.16204833984</v>
      </c>
      <c r="F550" s="15" t="n">
        <f aca="false">E550*(1+IF(F$3&lt;=$O$2,$D550,$D550-($D550-$I$535)*MIN(F$3-$O$2,$Q$2)/$Q$2))</f>
        <v>2742.4392107781</v>
      </c>
      <c r="G550" s="15" t="n">
        <f aca="false">F550*(1+IF(G$3&lt;=$O$2,$D550,$D550-($D550-$I$535)*MIN(G$3-$O$2,$Q$2)/$Q$2))</f>
        <v>2937.69405326911</v>
      </c>
      <c r="H550" s="15" t="n">
        <f aca="false">G550*(1+IF(H$3&lt;=$O$2,$D550,$D550-($D550-$I$535)*MIN(H$3-$O$2,$Q$2)/$Q$2))</f>
        <v>3146.85055431516</v>
      </c>
      <c r="I550" s="15" t="n">
        <f aca="false">H550*(1+IF(I$3&lt;=$O$2,$D550,$D550-($D550-$I$535)*MIN(I$3-$O$2,$Q$2)/$Q$2))</f>
        <v>3370.89847738697</v>
      </c>
      <c r="J550" s="15" t="n">
        <f aca="false">I550*(1+IF(J$3&lt;=$O$2,$D550,$D550-($D550-$I$535)*MIN(J$3-$O$2,$Q$2)/$Q$2))</f>
        <v>3585.34832305652</v>
      </c>
      <c r="K550" s="15" t="n">
        <f aca="false">J550*(1+IF(K$3&lt;=$O$2,$D550,$D550-($D550-$I$535)*MIN(K$3-$O$2,$Q$2)/$Q$2))</f>
        <v>3786.26588606602</v>
      </c>
      <c r="L550" s="15" t="n">
        <f aca="false">K550*(1+IF(L$3&lt;=$O$2,$D550,$D550-($D550-$I$535)*MIN(L$3-$O$2,$Q$2)/$Q$2))</f>
        <v>3969.744559429</v>
      </c>
      <c r="M550" s="15" t="n">
        <f aca="false">L550*(1+IF(M$3&lt;=$O$2,$D550,$D550-($D550-$I$535)*MIN(M$3-$O$2,$Q$2)/$Q$2))</f>
        <v>4132.02573989958</v>
      </c>
      <c r="N550" s="15" t="n">
        <f aca="false">M550*(1+IF(N$3&lt;=$O$2,$D550,$D550-($D550-$I$535)*MIN(N$3-$O$2,$Q$2)/$Q$2))</f>
        <v>4269.62219703824</v>
      </c>
      <c r="O550" s="15" t="n">
        <f aca="false">SUMPRODUCT(E550:N550,1/(1+$F$535)^$E$3:$N$3)*$E$2</f>
        <v>9499.19316556911</v>
      </c>
      <c r="P550" s="15" t="n">
        <f aca="false">N550*$E$2*(1+$I$535)/($F$535-$I$535)/(1+$F$535)^$N$3</f>
        <v>11513.3348311198</v>
      </c>
      <c r="Q550" s="15" t="n">
        <f aca="false">O550+P550</f>
        <v>21012.5279966889</v>
      </c>
      <c r="R550" s="15" t="n">
        <f aca="false">Q550-$G$2+$I$2</f>
        <v>15660.9679966889</v>
      </c>
      <c r="S550" s="42" t="n">
        <f aca="false">R550/$K$2</f>
        <v>725.044814661523</v>
      </c>
      <c r="T550" s="43" t="n">
        <f aca="false">S550-$M$2</f>
        <v>0.0448146615227643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0.07110595703125</v>
      </c>
      <c r="C551" s="25" t="n">
        <f aca="false">IF(T550&gt;0,D550,C550)</f>
        <v>0.071197509765625</v>
      </c>
      <c r="D551" s="41" t="n">
        <f aca="false">(B551+C551)/2</f>
        <v>0.0711517333984375</v>
      </c>
      <c r="E551" s="15" t="n">
        <f aca="false">$C$2*(1+IF(E$3&lt;=$O$2,$D551,$D551-($D551-$I$535)*MIN(E$3-$O$2,$Q$2)/$Q$2))</f>
        <v>2560.05264282227</v>
      </c>
      <c r="F551" s="15" t="n">
        <f aca="false">E551*(1+IF(F$3&lt;=$O$2,$D551,$D551-($D551-$I$535)*MIN(F$3-$O$2,$Q$2)/$Q$2))</f>
        <v>2742.20482595032</v>
      </c>
      <c r="G551" s="15" t="n">
        <f aca="false">F551*(1+IF(G$3&lt;=$O$2,$D551,$D551-($D551-$I$535)*MIN(G$3-$O$2,$Q$2)/$Q$2))</f>
        <v>2937.31745265025</v>
      </c>
      <c r="H551" s="15" t="n">
        <f aca="false">G551*(1+IF(H$3&lt;=$O$2,$D551,$D551-($D551-$I$535)*MIN(H$3-$O$2,$Q$2)/$Q$2))</f>
        <v>3146.31268094779</v>
      </c>
      <c r="I551" s="15" t="n">
        <f aca="false">H551*(1+IF(I$3&lt;=$O$2,$D551,$D551-($D551-$I$535)*MIN(I$3-$O$2,$Q$2)/$Q$2))</f>
        <v>3370.17828201072</v>
      </c>
      <c r="J551" s="15" t="n">
        <f aca="false">I551*(1+IF(J$3&lt;=$O$2,$D551,$D551-($D551-$I$535)*MIN(J$3-$O$2,$Q$2)/$Q$2))</f>
        <v>3584.45889067037</v>
      </c>
      <c r="K551" s="15" t="n">
        <f aca="false">J551*(1+IF(K$3&lt;=$O$2,$D551,$D551-($D551-$I$535)*MIN(K$3-$O$2,$Q$2)/$Q$2))</f>
        <v>3785.22816111408</v>
      </c>
      <c r="L551" s="15" t="n">
        <f aca="false">K551*(1+IF(L$3&lt;=$O$2,$D551,$D551-($D551-$I$535)*MIN(L$3-$O$2,$Q$2)/$Q$2))</f>
        <v>3968.58723776188</v>
      </c>
      <c r="M551" s="15" t="n">
        <f aca="false">L551*(1+IF(M$3&lt;=$O$2,$D551,$D551-($D551-$I$535)*MIN(M$3-$O$2,$Q$2)/$Q$2))</f>
        <v>4130.78477399779</v>
      </c>
      <c r="N551" s="15" t="n">
        <f aca="false">M551*(1+IF(N$3&lt;=$O$2,$D551,$D551-($D551-$I$535)*MIN(N$3-$O$2,$Q$2)/$Q$2))</f>
        <v>4268.33990697192</v>
      </c>
      <c r="O551" s="15" t="n">
        <f aca="false">SUMPRODUCT(E551:N551,1/(1+$F$535)^$E$3:$N$3)*$E$2</f>
        <v>9497.32866614922</v>
      </c>
      <c r="P551" s="15" t="n">
        <f aca="false">N551*$E$2*(1+$I$535)/($F$535-$I$535)/(1+$F$535)^$N$3</f>
        <v>11509.8770462848</v>
      </c>
      <c r="Q551" s="15" t="n">
        <f aca="false">O551+P551</f>
        <v>21007.205712434</v>
      </c>
      <c r="R551" s="15" t="n">
        <f aca="false">Q551-$G$2+$I$2</f>
        <v>15655.645712434</v>
      </c>
      <c r="S551" s="42" t="n">
        <f aca="false">R551/$K$2</f>
        <v>724.798412612684</v>
      </c>
      <c r="T551" s="43" t="n">
        <f aca="false">S551-$M$2</f>
        <v>-0.201587387315612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0.0711517333984375</v>
      </c>
      <c r="C552" s="25" t="n">
        <f aca="false">IF(T551&gt;0,D551,C551)</f>
        <v>0.071197509765625</v>
      </c>
      <c r="D552" s="41" t="n">
        <f aca="false">(B552+C552)/2</f>
        <v>0.0711746215820313</v>
      </c>
      <c r="E552" s="15" t="n">
        <f aca="false">$C$2*(1+IF(E$3&lt;=$O$2,$D552,$D552-($D552-$I$535)*MIN(E$3-$O$2,$Q$2)/$Q$2))</f>
        <v>2560.10734558105</v>
      </c>
      <c r="F552" s="15" t="n">
        <f aca="false">E552*(1+IF(F$3&lt;=$O$2,$D552,$D552-($D552-$I$535)*MIN(F$3-$O$2,$Q$2)/$Q$2))</f>
        <v>2742.32201711216</v>
      </c>
      <c r="G552" s="15" t="n">
        <f aca="false">F552*(1+IF(G$3&lt;=$O$2,$D552,$D552-($D552-$I$535)*MIN(G$3-$O$2,$Q$2)/$Q$2))</f>
        <v>2937.5057489362</v>
      </c>
      <c r="H552" s="15" t="n">
        <f aca="false">G552*(1+IF(H$3&lt;=$O$2,$D552,$D552-($D552-$I$535)*MIN(H$3-$O$2,$Q$2)/$Q$2))</f>
        <v>3146.58160901177</v>
      </c>
      <c r="I552" s="15" t="n">
        <f aca="false">H552*(1+IF(I$3&lt;=$O$2,$D552,$D552-($D552-$I$535)*MIN(I$3-$O$2,$Q$2)/$Q$2))</f>
        <v>3370.53836431016</v>
      </c>
      <c r="J552" s="15" t="n">
        <f aca="false">I552*(1+IF(J$3&lt;=$O$2,$D552,$D552-($D552-$I$535)*MIN(J$3-$O$2,$Q$2)/$Q$2))</f>
        <v>3584.90358390246</v>
      </c>
      <c r="K552" s="15" t="n">
        <f aca="false">J552*(1+IF(K$3&lt;=$O$2,$D552,$D552-($D552-$I$535)*MIN(K$3-$O$2,$Q$2)/$Q$2))</f>
        <v>3785.74699323544</v>
      </c>
      <c r="L552" s="15" t="n">
        <f aca="false">K552*(1+IF(L$3&lt;=$O$2,$D552,$D552-($D552-$I$535)*MIN(L$3-$O$2,$Q$2)/$Q$2))</f>
        <v>3969.16586201982</v>
      </c>
      <c r="M552" s="15" t="n">
        <f aca="false">L552*(1+IF(M$3&lt;=$O$2,$D552,$D552-($D552-$I$535)*MIN(M$3-$O$2,$Q$2)/$Q$2))</f>
        <v>4131.40521622914</v>
      </c>
      <c r="N552" s="15" t="n">
        <f aca="false">M552*(1+IF(N$3&lt;=$O$2,$D552,$D552-($D552-$I$535)*MIN(N$3-$O$2,$Q$2)/$Q$2))</f>
        <v>4268.98100992958</v>
      </c>
      <c r="O552" s="15" t="n">
        <f aca="false">SUMPRODUCT(E552:N552,1/(1+$F$535)^$E$3:$N$3)*$E$2</f>
        <v>9498.26086981158</v>
      </c>
      <c r="P552" s="15" t="n">
        <f aca="false">N552*$E$2*(1+$I$535)/($F$535-$I$535)/(1+$F$535)^$N$3</f>
        <v>11511.6058252427</v>
      </c>
      <c r="Q552" s="15" t="n">
        <f aca="false">O552+P552</f>
        <v>21009.8666950543</v>
      </c>
      <c r="R552" s="15" t="n">
        <f aca="false">Q552-$G$2+$I$2</f>
        <v>15658.3066950543</v>
      </c>
      <c r="S552" s="42" t="n">
        <f aca="false">R552/$K$2</f>
        <v>724.921606252515</v>
      </c>
      <c r="T552" s="43" t="n">
        <f aca="false">S552-$M$2</f>
        <v>-0.0783937474852792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0.0711746215820313</v>
      </c>
      <c r="C553" s="25" t="n">
        <f aca="false">IF(T552&gt;0,D552,C552)</f>
        <v>0.071197509765625</v>
      </c>
      <c r="D553" s="41" t="n">
        <f aca="false">(B553+C553)/2</f>
        <v>0.0711860656738281</v>
      </c>
      <c r="E553" s="15" t="n">
        <f aca="false">$C$2*(1+IF(E$3&lt;=$O$2,$D553,$D553-($D553-$I$535)*MIN(E$3-$O$2,$Q$2)/$Q$2))</f>
        <v>2560.13469696045</v>
      </c>
      <c r="F553" s="15" t="n">
        <f aca="false">E553*(1+IF(F$3&lt;=$O$2,$D553,$D553-($D553-$I$535)*MIN(F$3-$O$2,$Q$2)/$Q$2))</f>
        <v>2742.38061363212</v>
      </c>
      <c r="G553" s="15" t="n">
        <f aca="false">F553*(1+IF(G$3&lt;=$O$2,$D553,$D553-($D553-$I$535)*MIN(G$3-$O$2,$Q$2)/$Q$2))</f>
        <v>2937.59990009677</v>
      </c>
      <c r="H553" s="15" t="n">
        <f aca="false">G553*(1+IF(H$3&lt;=$O$2,$D553,$D553-($D553-$I$535)*MIN(H$3-$O$2,$Q$2)/$Q$2))</f>
        <v>3146.71607950849</v>
      </c>
      <c r="I553" s="15" t="n">
        <f aca="false">H553*(1+IF(I$3&lt;=$O$2,$D553,$D553-($D553-$I$535)*MIN(I$3-$O$2,$Q$2)/$Q$2))</f>
        <v>3370.71841700127</v>
      </c>
      <c r="J553" s="15" t="n">
        <f aca="false">I553*(1+IF(J$3&lt;=$O$2,$D553,$D553-($D553-$I$535)*MIN(J$3-$O$2,$Q$2)/$Q$2))</f>
        <v>3585.12594773901</v>
      </c>
      <c r="K553" s="15" t="n">
        <f aca="false">J553*(1+IF(K$3&lt;=$O$2,$D553,$D553-($D553-$I$535)*MIN(K$3-$O$2,$Q$2)/$Q$2))</f>
        <v>3786.00643206171</v>
      </c>
      <c r="L553" s="15" t="n">
        <f aca="false">K553*(1+IF(L$3&lt;=$O$2,$D553,$D553-($D553-$I$535)*MIN(L$3-$O$2,$Q$2)/$Q$2))</f>
        <v>3969.45520158002</v>
      </c>
      <c r="M553" s="15" t="n">
        <f aca="false">L553*(1+IF(M$3&lt;=$O$2,$D553,$D553-($D553-$I$535)*MIN(M$3-$O$2,$Q$2)/$Q$2))</f>
        <v>4131.71546788391</v>
      </c>
      <c r="N553" s="15" t="n">
        <f aca="false">M553*(1+IF(N$3&lt;=$O$2,$D553,$D553-($D553-$I$535)*MIN(N$3-$O$2,$Q$2)/$Q$2))</f>
        <v>4269.30159296444</v>
      </c>
      <c r="O553" s="15" t="n">
        <f aca="false">SUMPRODUCT(E553:N553,1/(1+$F$535)^$E$3:$N$3)*$E$2</f>
        <v>9498.72700617792</v>
      </c>
      <c r="P553" s="15" t="n">
        <f aca="false">N553*$E$2*(1+$I$535)/($F$535-$I$535)/(1+$F$535)^$N$3</f>
        <v>11512.4702998148</v>
      </c>
      <c r="Q553" s="15" t="n">
        <f aca="false">O553+P553</f>
        <v>21011.1973059927</v>
      </c>
      <c r="R553" s="15" t="n">
        <f aca="false">Q553-$G$2+$I$2</f>
        <v>15659.6373059927</v>
      </c>
      <c r="S553" s="42" t="n">
        <f aca="false">R553/$K$2</f>
        <v>724.983208610773</v>
      </c>
      <c r="T553" s="43" t="n">
        <f aca="false">S553-$M$2</f>
        <v>-0.0167913892266824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0.0711860656738281</v>
      </c>
      <c r="C554" s="25" t="n">
        <f aca="false">IF(T553&gt;0,D553,C553)</f>
        <v>0.071197509765625</v>
      </c>
      <c r="D554" s="41" t="n">
        <f aca="false">(B554+C554)/2</f>
        <v>0.0711917877197266</v>
      </c>
      <c r="E554" s="15" t="n">
        <f aca="false">$C$2*(1+IF(E$3&lt;=$O$2,$D554,$D554-($D554-$I$535)*MIN(E$3-$O$2,$Q$2)/$Q$2))</f>
        <v>2560.14837265015</v>
      </c>
      <c r="F554" s="15" t="n">
        <f aca="false">E554*(1+IF(F$3&lt;=$O$2,$D554,$D554-($D554-$I$535)*MIN(F$3-$O$2,$Q$2)/$Q$2))</f>
        <v>2742.40991212686</v>
      </c>
      <c r="G554" s="15" t="n">
        <f aca="false">F554*(1+IF(G$3&lt;=$O$2,$D554,$D554-($D554-$I$535)*MIN(G$3-$O$2,$Q$2)/$Q$2))</f>
        <v>2937.64697643147</v>
      </c>
      <c r="H554" s="15" t="n">
        <f aca="false">G554*(1+IF(H$3&lt;=$O$2,$D554,$D554-($D554-$I$535)*MIN(H$3-$O$2,$Q$2)/$Q$2))</f>
        <v>3146.78331637307</v>
      </c>
      <c r="I554" s="15" t="n">
        <f aca="false">H554*(1+IF(I$3&lt;=$O$2,$D554,$D554-($D554-$I$535)*MIN(I$3-$O$2,$Q$2)/$Q$2))</f>
        <v>3370.80844623228</v>
      </c>
      <c r="J554" s="15" t="n">
        <f aca="false">I554*(1+IF(J$3&lt;=$O$2,$D554,$D554-($D554-$I$535)*MIN(J$3-$O$2,$Q$2)/$Q$2))</f>
        <v>3585.23713396261</v>
      </c>
      <c r="K554" s="15" t="n">
        <f aca="false">J554*(1+IF(K$3&lt;=$O$2,$D554,$D554-($D554-$I$535)*MIN(K$3-$O$2,$Q$2)/$Q$2))</f>
        <v>3786.13615716656</v>
      </c>
      <c r="L554" s="15" t="n">
        <f aca="false">K554*(1+IF(L$3&lt;=$O$2,$D554,$D554-($D554-$I$535)*MIN(L$3-$O$2,$Q$2)/$Q$2))</f>
        <v>3969.59987821835</v>
      </c>
      <c r="M554" s="15" t="n">
        <f aca="false">L554*(1+IF(M$3&lt;=$O$2,$D554,$D554-($D554-$I$535)*MIN(M$3-$O$2,$Q$2)/$Q$2))</f>
        <v>4131.87060134656</v>
      </c>
      <c r="N554" s="15" t="n">
        <f aca="false">M554*(1+IF(N$3&lt;=$O$2,$D554,$D554-($D554-$I$535)*MIN(N$3-$O$2,$Q$2)/$Q$2))</f>
        <v>4269.4618923714</v>
      </c>
      <c r="O554" s="15" t="n">
        <f aca="false">SUMPRODUCT(E554:N554,1/(1+$F$535)^$E$3:$N$3)*$E$2</f>
        <v>9498.96008299534</v>
      </c>
      <c r="P554" s="15" t="n">
        <f aca="false">N554*$E$2*(1+$I$535)/($F$535-$I$535)/(1+$F$535)^$N$3</f>
        <v>11512.9025583755</v>
      </c>
      <c r="Q554" s="15" t="n">
        <f aca="false">O554+P554</f>
        <v>21011.8626413708</v>
      </c>
      <c r="R554" s="15" t="n">
        <f aca="false">Q554-$G$2+$I$2</f>
        <v>15660.3026413708</v>
      </c>
      <c r="S554" s="42" t="n">
        <f aca="false">R554/$K$2</f>
        <v>725.014011174574</v>
      </c>
      <c r="T554" s="43" t="n">
        <f aca="false">S554-$M$2</f>
        <v>0.014011174574307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0.0711860656738281</v>
      </c>
      <c r="C555" s="25" t="n">
        <f aca="false">IF(T554&gt;0,D554,C554)</f>
        <v>0.0711917877197266</v>
      </c>
      <c r="D555" s="41" t="n">
        <f aca="false">(B555+C555)/2</f>
        <v>0.0711889266967773</v>
      </c>
      <c r="E555" s="15" t="n">
        <f aca="false">$C$2*(1+IF(E$3&lt;=$O$2,$D555,$D555-($D555-$I$535)*MIN(E$3-$O$2,$Q$2)/$Q$2))</f>
        <v>2560.1415348053</v>
      </c>
      <c r="F555" s="15" t="n">
        <f aca="false">E555*(1+IF(F$3&lt;=$O$2,$D555,$D555-($D555-$I$535)*MIN(F$3-$O$2,$Q$2)/$Q$2))</f>
        <v>2742.39526285993</v>
      </c>
      <c r="G555" s="15" t="n">
        <f aca="false">F555*(1+IF(G$3&lt;=$O$2,$D555,$D555-($D555-$I$535)*MIN(G$3-$O$2,$Q$2)/$Q$2))</f>
        <v>2937.62343820125</v>
      </c>
      <c r="H555" s="15" t="n">
        <f aca="false">G555*(1+IF(H$3&lt;=$O$2,$D555,$D555-($D555-$I$535)*MIN(H$3-$O$2,$Q$2)/$Q$2))</f>
        <v>3146.7496978061</v>
      </c>
      <c r="I555" s="15" t="n">
        <f aca="false">H555*(1+IF(I$3&lt;=$O$2,$D555,$D555-($D555-$I$535)*MIN(I$3-$O$2,$Q$2)/$Q$2))</f>
        <v>3370.76343137632</v>
      </c>
      <c r="J555" s="15" t="n">
        <f aca="false">I555*(1+IF(J$3&lt;=$O$2,$D555,$D555-($D555-$I$535)*MIN(J$3-$O$2,$Q$2)/$Q$2))</f>
        <v>3585.18154049203</v>
      </c>
      <c r="K555" s="15" t="n">
        <f aca="false">J555*(1+IF(K$3&lt;=$O$2,$D555,$D555-($D555-$I$535)*MIN(K$3-$O$2,$Q$2)/$Q$2))</f>
        <v>3786.07129413982</v>
      </c>
      <c r="L555" s="15" t="n">
        <f aca="false">K555*(1+IF(L$3&lt;=$O$2,$D555,$D555-($D555-$I$535)*MIN(L$3-$O$2,$Q$2)/$Q$2))</f>
        <v>3969.52753932765</v>
      </c>
      <c r="M555" s="15" t="n">
        <f aca="false">L555*(1+IF(M$3&lt;=$O$2,$D555,$D555-($D555-$I$535)*MIN(M$3-$O$2,$Q$2)/$Q$2))</f>
        <v>4131.79303397894</v>
      </c>
      <c r="N555" s="15" t="n">
        <f aca="false">M555*(1+IF(N$3&lt;=$O$2,$D555,$D555-($D555-$I$535)*MIN(N$3-$O$2,$Q$2)/$Q$2))</f>
        <v>4269.38174201044</v>
      </c>
      <c r="O555" s="15" t="n">
        <f aca="false">SUMPRODUCT(E555:N555,1/(1+$F$535)^$E$3:$N$3)*$E$2</f>
        <v>9498.8435438671</v>
      </c>
      <c r="P555" s="15" t="n">
        <f aca="false">N555*$E$2*(1+$I$535)/($F$535-$I$535)/(1+$F$535)^$N$3</f>
        <v>11512.6864273222</v>
      </c>
      <c r="Q555" s="15" t="n">
        <f aca="false">O555+P555</f>
        <v>21011.5299711893</v>
      </c>
      <c r="R555" s="15" t="n">
        <f aca="false">Q555-$G$2+$I$2</f>
        <v>15659.9699711893</v>
      </c>
      <c r="S555" s="42" t="n">
        <f aca="false">R555/$K$2</f>
        <v>724.998609777282</v>
      </c>
      <c r="T555" s="43" t="n">
        <f aca="false">S555-$M$2</f>
        <v>-0.00139022271821432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0.0711889266967773</v>
      </c>
      <c r="C556" s="25" t="n">
        <f aca="false">IF(T555&gt;0,D555,C555)</f>
        <v>0.0711917877197266</v>
      </c>
      <c r="D556" s="41" t="n">
        <f aca="false">(B556+C556)/2</f>
        <v>0.071190357208252</v>
      </c>
      <c r="E556" s="15" t="n">
        <f aca="false">$C$2*(1+IF(E$3&lt;=$O$2,$D556,$D556-($D556-$I$535)*MIN(E$3-$O$2,$Q$2)/$Q$2))</f>
        <v>2560.14495372772</v>
      </c>
      <c r="F556" s="15" t="n">
        <f aca="false">E556*(1+IF(F$3&lt;=$O$2,$D556,$D556-($D556-$I$535)*MIN(F$3-$O$2,$Q$2)/$Q$2))</f>
        <v>2742.4025874885</v>
      </c>
      <c r="G556" s="15" t="n">
        <f aca="false">F556*(1+IF(G$3&lt;=$O$2,$D556,$D556-($D556-$I$535)*MIN(G$3-$O$2,$Q$2)/$Q$2))</f>
        <v>2937.63520730064</v>
      </c>
      <c r="H556" s="15" t="n">
        <f aca="false">G556*(1+IF(H$3&lt;=$O$2,$D556,$D556-($D556-$I$535)*MIN(H$3-$O$2,$Q$2)/$Q$2))</f>
        <v>3146.76650705591</v>
      </c>
      <c r="I556" s="15" t="n">
        <f aca="false">H556*(1+IF(I$3&lt;=$O$2,$D556,$D556-($D556-$I$535)*MIN(I$3-$O$2,$Q$2)/$Q$2))</f>
        <v>3370.78593874419</v>
      </c>
      <c r="J556" s="15" t="n">
        <f aca="false">I556*(1+IF(J$3&lt;=$O$2,$D556,$D556-($D556-$I$535)*MIN(J$3-$O$2,$Q$2)/$Q$2))</f>
        <v>3585.20933713762</v>
      </c>
      <c r="K556" s="15" t="n">
        <f aca="false">J556*(1+IF(K$3&lt;=$O$2,$D556,$D556-($D556-$I$535)*MIN(K$3-$O$2,$Q$2)/$Q$2))</f>
        <v>3786.10372553461</v>
      </c>
      <c r="L556" s="15" t="n">
        <f aca="false">K556*(1+IF(L$3&lt;=$O$2,$D556,$D556-($D556-$I$535)*MIN(L$3-$O$2,$Q$2)/$Q$2))</f>
        <v>3969.56370863011</v>
      </c>
      <c r="M556" s="15" t="n">
        <f aca="false">L556*(1+IF(M$3&lt;=$O$2,$D556,$D556-($D556-$I$535)*MIN(M$3-$O$2,$Q$2)/$Q$2))</f>
        <v>4131.83181750368</v>
      </c>
      <c r="N556" s="15" t="n">
        <f aca="false">M556*(1+IF(N$3&lt;=$O$2,$D556,$D556-($D556-$I$535)*MIN(N$3-$O$2,$Q$2)/$Q$2))</f>
        <v>4269.42181702655</v>
      </c>
      <c r="O556" s="15" t="n">
        <f aca="false">SUMPRODUCT(E556:N556,1/(1+$F$535)^$E$3:$N$3)*$E$2</f>
        <v>9498.90181325134</v>
      </c>
      <c r="P556" s="15" t="n">
        <f aca="false">N556*$E$2*(1+$I$535)/($F$535-$I$535)/(1+$F$535)^$N$3</f>
        <v>11512.7944924056</v>
      </c>
      <c r="Q556" s="15" t="n">
        <f aca="false">O556+P556</f>
        <v>21011.6963056569</v>
      </c>
      <c r="R556" s="15" t="n">
        <f aca="false">Q556-$G$2+$I$2</f>
        <v>15660.1363056569</v>
      </c>
      <c r="S556" s="42" t="n">
        <f aca="false">R556/$K$2</f>
        <v>725.00631044708</v>
      </c>
      <c r="T556" s="43" t="n">
        <f aca="false">S556-$M$2</f>
        <v>0.00631044708006812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0.0711889266967773</v>
      </c>
      <c r="C557" s="25" t="n">
        <f aca="false">IF(T556&gt;0,D556,C556)</f>
        <v>0.071190357208252</v>
      </c>
      <c r="D557" s="41" t="n">
        <f aca="false">(B557+C557)/2</f>
        <v>0.0711896419525147</v>
      </c>
      <c r="E557" s="15" t="n">
        <f aca="false">$C$2*(1+IF(E$3&lt;=$O$2,$D557,$D557-($D557-$I$535)*MIN(E$3-$O$2,$Q$2)/$Q$2))</f>
        <v>2560.14324426651</v>
      </c>
      <c r="F557" s="15" t="n">
        <f aca="false">E557*(1+IF(F$3&lt;=$O$2,$D557,$D557-($D557-$I$535)*MIN(F$3-$O$2,$Q$2)/$Q$2))</f>
        <v>2742.39892517299</v>
      </c>
      <c r="G557" s="15" t="n">
        <f aca="false">F557*(1+IF(G$3&lt;=$O$2,$D557,$D557-($D557-$I$535)*MIN(G$3-$O$2,$Q$2)/$Q$2))</f>
        <v>2937.62932274702</v>
      </c>
      <c r="H557" s="15" t="n">
        <f aca="false">G557*(1+IF(H$3&lt;=$O$2,$D557,$D557-($D557-$I$535)*MIN(H$3-$O$2,$Q$2)/$Q$2))</f>
        <v>3146.75810242259</v>
      </c>
      <c r="I557" s="15" t="n">
        <f aca="false">H557*(1+IF(I$3&lt;=$O$2,$D557,$D557-($D557-$I$535)*MIN(I$3-$O$2,$Q$2)/$Q$2))</f>
        <v>3370.77468504523</v>
      </c>
      <c r="J557" s="15" t="n">
        <f aca="false">I557*(1+IF(J$3&lt;=$O$2,$D557,$D557-($D557-$I$535)*MIN(J$3-$O$2,$Q$2)/$Q$2))</f>
        <v>3585.1954387924</v>
      </c>
      <c r="K557" s="15" t="n">
        <f aca="false">J557*(1+IF(K$3&lt;=$O$2,$D557,$D557-($D557-$I$535)*MIN(K$3-$O$2,$Q$2)/$Q$2))</f>
        <v>3786.08750980757</v>
      </c>
      <c r="L557" s="15" t="n">
        <f aca="false">K557*(1+IF(L$3&lt;=$O$2,$D557,$D557-($D557-$I$535)*MIN(L$3-$O$2,$Q$2)/$Q$2))</f>
        <v>3969.54562394316</v>
      </c>
      <c r="M557" s="15" t="n">
        <f aca="false">L557*(1+IF(M$3&lt;=$O$2,$D557,$D557-($D557-$I$535)*MIN(M$3-$O$2,$Q$2)/$Q$2))</f>
        <v>4131.81242570154</v>
      </c>
      <c r="N557" s="15" t="n">
        <f aca="false">M557*(1+IF(N$3&lt;=$O$2,$D557,$D557-($D557-$I$535)*MIN(N$3-$O$2,$Q$2)/$Q$2))</f>
        <v>4269.40177947741</v>
      </c>
      <c r="O557" s="15" t="n">
        <f aca="false">SUMPRODUCT(E557:N557,1/(1+$F$535)^$E$3:$N$3)*$E$2</f>
        <v>9498.87267851425</v>
      </c>
      <c r="P557" s="15" t="n">
        <f aca="false">N557*$E$2*(1+$I$535)/($F$535-$I$535)/(1+$F$535)^$N$3</f>
        <v>11512.7404597531</v>
      </c>
      <c r="Q557" s="15" t="n">
        <f aca="false">O557+P557</f>
        <v>21011.6131382673</v>
      </c>
      <c r="R557" s="15" t="n">
        <f aca="false">Q557-$G$2+$I$2</f>
        <v>15660.0531382673</v>
      </c>
      <c r="S557" s="42" t="n">
        <f aca="false">R557/$K$2</f>
        <v>725.002460104969</v>
      </c>
      <c r="T557" s="43" t="n">
        <f aca="false">S557-$M$2</f>
        <v>0.0024601049691455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0.0711889266967773</v>
      </c>
      <c r="C558" s="25" t="n">
        <f aca="false">IF(T557&gt;0,D557,C557)</f>
        <v>0.0711896419525147</v>
      </c>
      <c r="D558" s="41" t="n">
        <f aca="false">(B558+C558)/2</f>
        <v>0.071189284324646</v>
      </c>
      <c r="E558" s="15" t="n">
        <f aca="false">$C$2*(1+IF(E$3&lt;=$O$2,$D558,$D558-($D558-$I$535)*MIN(E$3-$O$2,$Q$2)/$Q$2))</f>
        <v>2560.1423895359</v>
      </c>
      <c r="F558" s="15" t="n">
        <f aca="false">E558*(1+IF(F$3&lt;=$O$2,$D558,$D558-($D558-$I$535)*MIN(F$3-$O$2,$Q$2)/$Q$2))</f>
        <v>2742.39709401615</v>
      </c>
      <c r="G558" s="15" t="n">
        <f aca="false">F558*(1+IF(G$3&lt;=$O$2,$D558,$D558-($D558-$I$535)*MIN(G$3-$O$2,$Q$2)/$Q$2))</f>
        <v>2937.62638047315</v>
      </c>
      <c r="H558" s="15" t="n">
        <f aca="false">G558*(1+IF(H$3&lt;=$O$2,$D558,$D558-($D558-$I$535)*MIN(H$3-$O$2,$Q$2)/$Q$2))</f>
        <v>3146.75390011224</v>
      </c>
      <c r="I558" s="15" t="n">
        <f aca="false">H558*(1+IF(I$3&lt;=$O$2,$D558,$D558-($D558-$I$535)*MIN(I$3-$O$2,$Q$2)/$Q$2))</f>
        <v>3370.76905820702</v>
      </c>
      <c r="J558" s="15" t="n">
        <f aca="false">I558*(1+IF(J$3&lt;=$O$2,$D558,$D558-($D558-$I$535)*MIN(J$3-$O$2,$Q$2)/$Q$2))</f>
        <v>3585.18848963661</v>
      </c>
      <c r="K558" s="15" t="n">
        <f aca="false">J558*(1+IF(K$3&lt;=$O$2,$D558,$D558-($D558-$I$535)*MIN(K$3-$O$2,$Q$2)/$Q$2))</f>
        <v>3786.07940196628</v>
      </c>
      <c r="L558" s="15" t="n">
        <f aca="false">K558*(1+IF(L$3&lt;=$O$2,$D558,$D558-($D558-$I$535)*MIN(L$3-$O$2,$Q$2)/$Q$2))</f>
        <v>3969.53658162647</v>
      </c>
      <c r="M558" s="15" t="n">
        <f aca="false">L558*(1+IF(M$3&lt;=$O$2,$D558,$D558-($D558-$I$535)*MIN(M$3-$O$2,$Q$2)/$Q$2))</f>
        <v>4131.8027298303</v>
      </c>
      <c r="N558" s="15" t="n">
        <f aca="false">M558*(1+IF(N$3&lt;=$O$2,$D558,$D558-($D558-$I$535)*MIN(N$3-$O$2,$Q$2)/$Q$2))</f>
        <v>4269.39176073365</v>
      </c>
      <c r="O558" s="15" t="n">
        <f aca="false">SUMPRODUCT(E558:N558,1/(1+$F$535)^$E$3:$N$3)*$E$2</f>
        <v>9498.85811117943</v>
      </c>
      <c r="P558" s="15" t="n">
        <f aca="false">N558*$E$2*(1+$I$535)/($F$535-$I$535)/(1+$F$535)^$N$3</f>
        <v>11512.7134435099</v>
      </c>
      <c r="Q558" s="15" t="n">
        <f aca="false">O558+P558</f>
        <v>21011.5715546894</v>
      </c>
      <c r="R558" s="15" t="n">
        <f aca="false">Q558-$G$2+$I$2</f>
        <v>15660.0115546894</v>
      </c>
      <c r="S558" s="42" t="n">
        <f aca="false">R558/$K$2</f>
        <v>725.000534939322</v>
      </c>
      <c r="T558" s="43" t="n">
        <f aca="false">S558-$M$2</f>
        <v>0.00053493932227866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0.0711889266967773</v>
      </c>
      <c r="C559" s="25" t="n">
        <f aca="false">IF(T558&gt;0,D558,C558)</f>
        <v>0.071189284324646</v>
      </c>
      <c r="D559" s="41" t="n">
        <f aca="false">(B559+C559)/2</f>
        <v>0.0711891055107117</v>
      </c>
      <c r="E559" s="15" t="n">
        <f aca="false">$C$2*(1+IF(E$3&lt;=$O$2,$D559,$D559-($D559-$I$535)*MIN(E$3-$O$2,$Q$2)/$Q$2))</f>
        <v>2560.1419621706</v>
      </c>
      <c r="F559" s="15" t="n">
        <f aca="false">E559*(1+IF(F$3&lt;=$O$2,$D559,$D559-($D559-$I$535)*MIN(F$3-$O$2,$Q$2)/$Q$2))</f>
        <v>2742.39617843796</v>
      </c>
      <c r="G559" s="15" t="n">
        <f aca="false">F559*(1+IF(G$3&lt;=$O$2,$D559,$D559-($D559-$I$535)*MIN(G$3-$O$2,$Q$2)/$Q$2))</f>
        <v>2937.62490933696</v>
      </c>
      <c r="H559" s="15" t="n">
        <f aca="false">G559*(1+IF(H$3&lt;=$O$2,$D559,$D559-($D559-$I$535)*MIN(H$3-$O$2,$Q$2)/$Q$2))</f>
        <v>3146.75179895864</v>
      </c>
      <c r="I559" s="15" t="n">
        <f aca="false">H559*(1+IF(I$3&lt;=$O$2,$D559,$D559-($D559-$I$535)*MIN(I$3-$O$2,$Q$2)/$Q$2))</f>
        <v>3370.76624479073</v>
      </c>
      <c r="J559" s="15" t="n">
        <f aca="false">I559*(1+IF(J$3&lt;=$O$2,$D559,$D559-($D559-$I$535)*MIN(J$3-$O$2,$Q$2)/$Q$2))</f>
        <v>3585.18501506292</v>
      </c>
      <c r="K559" s="15" t="n">
        <f aca="false">J559*(1+IF(K$3&lt;=$O$2,$D559,$D559-($D559-$I$535)*MIN(K$3-$O$2,$Q$2)/$Q$2))</f>
        <v>3786.0753480512</v>
      </c>
      <c r="L559" s="15" t="n">
        <f aca="false">K559*(1+IF(L$3&lt;=$O$2,$D559,$D559-($D559-$I$535)*MIN(L$3-$O$2,$Q$2)/$Q$2))</f>
        <v>3969.53206047483</v>
      </c>
      <c r="M559" s="15" t="n">
        <f aca="false">L559*(1+IF(M$3&lt;=$O$2,$D559,$D559-($D559-$I$535)*MIN(M$3-$O$2,$Q$2)/$Q$2))</f>
        <v>4131.79788190214</v>
      </c>
      <c r="N559" s="15" t="n">
        <f aca="false">M559*(1+IF(N$3&lt;=$O$2,$D559,$D559-($D559-$I$535)*MIN(N$3-$O$2,$Q$2)/$Q$2))</f>
        <v>4269.38675136948</v>
      </c>
      <c r="O559" s="15" t="n">
        <f aca="false">SUMPRODUCT(E559:N559,1/(1+$F$535)^$E$3:$N$3)*$E$2</f>
        <v>9498.85082752045</v>
      </c>
      <c r="P559" s="15" t="n">
        <f aca="false">N559*$E$2*(1+$I$535)/($F$535-$I$535)/(1+$F$535)^$N$3</f>
        <v>11512.6999354091</v>
      </c>
      <c r="Q559" s="15" t="n">
        <f aca="false">O559+P559</f>
        <v>21011.5507629296</v>
      </c>
      <c r="R559" s="15" t="n">
        <f aca="false">Q559-$G$2+$I$2</f>
        <v>15659.9907629296</v>
      </c>
      <c r="S559" s="42" t="n">
        <f aca="false">R559/$K$2</f>
        <v>724.999572357851</v>
      </c>
      <c r="T559" s="43" t="n">
        <f aca="false">S559-$M$2</f>
        <v>-0.000427642148679297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0.0711891055107117</v>
      </c>
      <c r="C560" s="25" t="n">
        <f aca="false">IF(T559&gt;0,D559,C559)</f>
        <v>0.071189284324646</v>
      </c>
      <c r="D560" s="41" t="n">
        <f aca="false">(B560+C560)/2</f>
        <v>0.0711891949176788</v>
      </c>
      <c r="E560" s="15" t="n">
        <f aca="false">$C$2*(1+IF(E$3&lt;=$O$2,$D560,$D560-($D560-$I$535)*MIN(E$3-$O$2,$Q$2)/$Q$2))</f>
        <v>2560.14217585325</v>
      </c>
      <c r="F560" s="15" t="n">
        <f aca="false">E560*(1+IF(F$3&lt;=$O$2,$D560,$D560-($D560-$I$535)*MIN(F$3-$O$2,$Q$2)/$Q$2))</f>
        <v>2742.39663622704</v>
      </c>
      <c r="G560" s="15" t="n">
        <f aca="false">F560*(1+IF(G$3&lt;=$O$2,$D560,$D560-($D560-$I$535)*MIN(G$3-$O$2,$Q$2)/$Q$2))</f>
        <v>2937.62564490499</v>
      </c>
      <c r="H560" s="15" t="n">
        <f aca="false">G560*(1+IF(H$3&lt;=$O$2,$D560,$D560-($D560-$I$535)*MIN(H$3-$O$2,$Q$2)/$Q$2))</f>
        <v>3146.75284953531</v>
      </c>
      <c r="I560" s="15" t="n">
        <f aca="false">H560*(1+IF(I$3&lt;=$O$2,$D560,$D560-($D560-$I$535)*MIN(I$3-$O$2,$Q$2)/$Q$2))</f>
        <v>3370.76765149864</v>
      </c>
      <c r="J560" s="15" t="n">
        <f aca="false">I560*(1+IF(J$3&lt;=$O$2,$D560,$D560-($D560-$I$535)*MIN(J$3-$O$2,$Q$2)/$Q$2))</f>
        <v>3585.18675234941</v>
      </c>
      <c r="K560" s="15" t="n">
        <f aca="false">J560*(1+IF(K$3&lt;=$O$2,$D560,$D560-($D560-$I$535)*MIN(K$3-$O$2,$Q$2)/$Q$2))</f>
        <v>3786.07737500828</v>
      </c>
      <c r="L560" s="15" t="n">
        <f aca="false">K560*(1+IF(L$3&lt;=$O$2,$D560,$D560-($D560-$I$535)*MIN(L$3-$O$2,$Q$2)/$Q$2))</f>
        <v>3969.53432105009</v>
      </c>
      <c r="M560" s="15" t="n">
        <f aca="false">L560*(1+IF(M$3&lt;=$O$2,$D560,$D560-($D560-$I$535)*MIN(M$3-$O$2,$Q$2)/$Q$2))</f>
        <v>4131.8003058656</v>
      </c>
      <c r="N560" s="15" t="n">
        <f aca="false">M560*(1+IF(N$3&lt;=$O$2,$D560,$D560-($D560-$I$535)*MIN(N$3-$O$2,$Q$2)/$Q$2))</f>
        <v>4269.38925605092</v>
      </c>
      <c r="O560" s="15" t="n">
        <f aca="false">SUMPRODUCT(E560:N560,1/(1+$F$535)^$E$3:$N$3)*$E$2</f>
        <v>9498.85446934924</v>
      </c>
      <c r="P560" s="15" t="n">
        <f aca="false">N560*$E$2*(1+$I$535)/($F$535-$I$535)/(1+$F$535)^$N$3</f>
        <v>11512.7066894578</v>
      </c>
      <c r="Q560" s="15" t="n">
        <f aca="false">O560+P560</f>
        <v>21011.561158807</v>
      </c>
      <c r="R560" s="15" t="n">
        <f aca="false">Q560-$G$2+$I$2</f>
        <v>15660.001158807</v>
      </c>
      <c r="S560" s="42" t="n">
        <f aca="false">R560/$K$2</f>
        <v>725.000053648474</v>
      </c>
      <c r="T560" s="43" t="n">
        <f aca="false">S560-$M$2</f>
        <v>5.3648473794965E-005</v>
      </c>
    </row>
    <row r="562" customFormat="false" ht="15" hidden="false" customHeight="false" outlineLevel="0" collapsed="false">
      <c r="A562" s="38" t="s">
        <v>201</v>
      </c>
      <c r="E562" s="5" t="s">
        <v>11</v>
      </c>
      <c r="F562" s="12" t="n">
        <f aca="false">Sensitivity!$B$13</f>
        <v>0.101972178572932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162</v>
      </c>
      <c r="B563" s="28" t="s">
        <v>163</v>
      </c>
      <c r="C563" s="28" t="s">
        <v>164</v>
      </c>
      <c r="D563" s="28" t="s">
        <v>165</v>
      </c>
      <c r="E563" s="28" t="s">
        <v>166</v>
      </c>
      <c r="F563" s="28" t="s">
        <v>167</v>
      </c>
      <c r="G563" s="28" t="s">
        <v>168</v>
      </c>
      <c r="H563" s="28" t="s">
        <v>169</v>
      </c>
      <c r="I563" s="28" t="s">
        <v>170</v>
      </c>
      <c r="J563" s="28" t="s">
        <v>171</v>
      </c>
      <c r="K563" s="28" t="s">
        <v>172</v>
      </c>
      <c r="L563" s="28" t="s">
        <v>173</v>
      </c>
      <c r="M563" s="28" t="s">
        <v>174</v>
      </c>
      <c r="N563" s="28" t="s">
        <v>175</v>
      </c>
      <c r="O563" s="28" t="s">
        <v>176</v>
      </c>
      <c r="P563" s="28" t="s">
        <v>177</v>
      </c>
      <c r="Q563" s="28" t="s">
        <v>178</v>
      </c>
      <c r="R563" s="28" t="s">
        <v>179</v>
      </c>
      <c r="S563" s="28" t="s">
        <v>180</v>
      </c>
      <c r="T563" s="28" t="s">
        <v>181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2987.5</v>
      </c>
      <c r="F564" s="15" t="n">
        <f aca="false">E564*(1+IF(F$3&lt;=$O$2,$D564,$D564-($D564-$I$562)*MIN(F$3-$O$2,$Q$2)/$Q$2))</f>
        <v>3734.375</v>
      </c>
      <c r="G564" s="15" t="n">
        <f aca="false">F564*(1+IF(G$3&lt;=$O$2,$D564,$D564-($D564-$I$562)*MIN(G$3-$O$2,$Q$2)/$Q$2))</f>
        <v>4667.96875</v>
      </c>
      <c r="H564" s="15" t="n">
        <f aca="false">G564*(1+IF(H$3&lt;=$O$2,$D564,$D564-($D564-$I$562)*MIN(H$3-$O$2,$Q$2)/$Q$2))</f>
        <v>5834.9609375</v>
      </c>
      <c r="I564" s="15" t="n">
        <f aca="false">H564*(1+IF(I$3&lt;=$O$2,$D564,$D564-($D564-$I$562)*MIN(I$3-$O$2,$Q$2)/$Q$2))</f>
        <v>7293.701171875</v>
      </c>
      <c r="J564" s="15" t="n">
        <f aca="false">I564*(1+IF(J$3&lt;=$O$2,$D564,$D564-($D564-$I$562)*MIN(J$3-$O$2,$Q$2)/$Q$2))</f>
        <v>8808.31115722656</v>
      </c>
      <c r="K564" s="15" t="n">
        <f aca="false">J564*(1+IF(K$3&lt;=$O$2,$D564,$D564-($D564-$I$562)*MIN(K$3-$O$2,$Q$2)/$Q$2))</f>
        <v>10264.5011577393</v>
      </c>
      <c r="L564" s="15" t="n">
        <f aca="false">K564*(1+IF(L$3&lt;=$O$2,$D564,$D564-($D564-$I$562)*MIN(L$3-$O$2,$Q$2)/$Q$2))</f>
        <v>11526.829510118</v>
      </c>
      <c r="M564" s="15" t="n">
        <f aca="false">L564*(1+IF(M$3&lt;=$O$2,$D564,$D564-($D564-$I$562)*MIN(M$3-$O$2,$Q$2)/$Q$2))</f>
        <v>12456.353041814</v>
      </c>
      <c r="N564" s="15" t="n">
        <f aca="false">M564*(1+IF(N$3&lt;=$O$2,$D564,$D564-($D564-$I$562)*MIN(N$3-$O$2,$Q$2)/$Q$2))</f>
        <v>12933.4313633154</v>
      </c>
      <c r="O564" s="15" t="n">
        <f aca="false">SUMPRODUCT(E564:N564,1/(1+$F$562)^$E$3:$N$3)*$E$2</f>
        <v>20461.2663537046</v>
      </c>
      <c r="P564" s="15" t="n">
        <f aca="false">N564*$E$2*(1+$I$562)/($F$562-$I$562)/(1+$F$562)^$N$3</f>
        <v>37796.6222521795</v>
      </c>
      <c r="Q564" s="15" t="n">
        <f aca="false">O564+P564</f>
        <v>58257.8886058842</v>
      </c>
      <c r="R564" s="15" t="n">
        <f aca="false">Q564-$G$2+$I$2</f>
        <v>52906.3286058842</v>
      </c>
      <c r="S564" s="42" t="n">
        <f aca="false">R564/$K$2</f>
        <v>2449.36706508723</v>
      </c>
      <c r="T564" s="43" t="n">
        <f aca="false">S564-$M$2</f>
        <v>1724.36706508723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2091.25</v>
      </c>
      <c r="F565" s="15" t="n">
        <f aca="false">E565*(1+IF(F$3&lt;=$O$2,$D565,$D565-($D565-$I$562)*MIN(F$3-$O$2,$Q$2)/$Q$2))</f>
        <v>1829.84375</v>
      </c>
      <c r="G565" s="15" t="n">
        <f aca="false">F565*(1+IF(G$3&lt;=$O$2,$D565,$D565-($D565-$I$562)*MIN(G$3-$O$2,$Q$2)/$Q$2))</f>
        <v>1601.11328125</v>
      </c>
      <c r="H565" s="15" t="n">
        <f aca="false">G565*(1+IF(H$3&lt;=$O$2,$D565,$D565-($D565-$I$562)*MIN(H$3-$O$2,$Q$2)/$Q$2))</f>
        <v>1400.97412109375</v>
      </c>
      <c r="I565" s="15" t="n">
        <f aca="false">H565*(1+IF(I$3&lt;=$O$2,$D565,$D565-($D565-$I$562)*MIN(I$3-$O$2,$Q$2)/$Q$2))</f>
        <v>1225.85235595703</v>
      </c>
      <c r="J565" s="15" t="n">
        <f aca="false">I565*(1+IF(J$3&lt;=$O$2,$D565,$D565-($D565-$I$562)*MIN(J$3-$O$2,$Q$2)/$Q$2))</f>
        <v>1112.65714940796</v>
      </c>
      <c r="K565" s="15" t="n">
        <f aca="false">J565*(1+IF(K$3&lt;=$O$2,$D565,$D565-($D565-$I$562)*MIN(K$3-$O$2,$Q$2)/$Q$2))</f>
        <v>1046.25377073129</v>
      </c>
      <c r="L565" s="15" t="n">
        <f aca="false">K565*(1+IF(L$3&lt;=$O$2,$D565,$D565-($D565-$I$562)*MIN(L$3-$O$2,$Q$2)/$Q$2))</f>
        <v>1017.98399384613</v>
      </c>
      <c r="M565" s="15" t="n">
        <f aca="false">L565*(1+IF(M$3&lt;=$O$2,$D565,$D565-($D565-$I$562)*MIN(M$3-$O$2,$Q$2)/$Q$2))</f>
        <v>1023.72542357142</v>
      </c>
      <c r="N565" s="15" t="n">
        <f aca="false">M565*(1+IF(N$3&lt;=$O$2,$D565,$D565-($D565-$I$562)*MIN(N$3-$O$2,$Q$2)/$Q$2))</f>
        <v>1062.93410729421</v>
      </c>
      <c r="O565" s="15" t="n">
        <f aca="false">SUMPRODUCT(E565:N565,1/(1+$F$562)^$E$3:$N$3)*$E$2</f>
        <v>4143.10771784682</v>
      </c>
      <c r="P565" s="15" t="n">
        <f aca="false">N565*$E$2*(1+$I$562)/($F$562-$I$562)/(1+$F$562)^$N$3</f>
        <v>3106.31554796129</v>
      </c>
      <c r="Q565" s="15" t="n">
        <f aca="false">O565+P565</f>
        <v>7249.42326580811</v>
      </c>
      <c r="R565" s="15" t="n">
        <f aca="false">Q565-$G$2+$I$2</f>
        <v>1897.86326580811</v>
      </c>
      <c r="S565" s="42" t="n">
        <f aca="false">R565/$K$2</f>
        <v>87.8640400837088</v>
      </c>
      <c r="T565" s="43" t="n">
        <f aca="false">S565-$M$2</f>
        <v>-637.135959916291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2539.375</v>
      </c>
      <c r="F566" s="15" t="n">
        <f aca="false">E566*(1+IF(F$3&lt;=$O$2,$D566,$D566-($D566-$I$562)*MIN(F$3-$O$2,$Q$2)/$Q$2))</f>
        <v>2698.0859375</v>
      </c>
      <c r="G566" s="15" t="n">
        <f aca="false">F566*(1+IF(G$3&lt;=$O$2,$D566,$D566-($D566-$I$562)*MIN(G$3-$O$2,$Q$2)/$Q$2))</f>
        <v>2866.71630859375</v>
      </c>
      <c r="H566" s="15" t="n">
        <f aca="false">G566*(1+IF(H$3&lt;=$O$2,$D566,$D566-($D566-$I$562)*MIN(H$3-$O$2,$Q$2)/$Q$2))</f>
        <v>3045.88607788086</v>
      </c>
      <c r="I566" s="15" t="n">
        <f aca="false">H566*(1+IF(I$3&lt;=$O$2,$D566,$D566-($D566-$I$562)*MIN(I$3-$O$2,$Q$2)/$Q$2))</f>
        <v>3236.25395774841</v>
      </c>
      <c r="J566" s="15" t="n">
        <f aca="false">I566*(1+IF(J$3&lt;=$O$2,$D566,$D566-($D566-$I$562)*MIN(J$3-$O$2,$Q$2)/$Q$2))</f>
        <v>3422.85636095219</v>
      </c>
      <c r="K566" s="15" t="n">
        <f aca="false">J566*(1+IF(K$3&lt;=$O$2,$D566,$D566-($D566-$I$562)*MIN(K$3-$O$2,$Q$2)/$Q$2))</f>
        <v>3603.65163393768</v>
      </c>
      <c r="L566" s="15" t="n">
        <f aca="false">K566*(1+IF(L$3&lt;=$O$2,$D566,$D566-($D566-$I$562)*MIN(L$3-$O$2,$Q$2)/$Q$2))</f>
        <v>3776.55483933401</v>
      </c>
      <c r="M566" s="15" t="n">
        <f aca="false">L566*(1+IF(M$3&lt;=$O$2,$D566,$D566-($D566-$I$562)*MIN(M$3-$O$2,$Q$2)/$Q$2))</f>
        <v>3939.47541510288</v>
      </c>
      <c r="N566" s="15" t="n">
        <f aca="false">M566*(1+IF(N$3&lt;=$O$2,$D566,$D566-($D566-$I$562)*MIN(N$3-$O$2,$Q$2)/$Q$2))</f>
        <v>4090.35732350132</v>
      </c>
      <c r="O566" s="15" t="n">
        <f aca="false">SUMPRODUCT(E566:N566,1/(1+$F$562)^$E$3:$N$3)*$E$2</f>
        <v>9177.33860094087</v>
      </c>
      <c r="P566" s="15" t="n">
        <f aca="false">N566*$E$2*(1+$I$562)/($F$562-$I$562)/(1+$F$562)^$N$3</f>
        <v>11953.6483621299</v>
      </c>
      <c r="Q566" s="15" t="n">
        <f aca="false">O566+P566</f>
        <v>21130.9869630708</v>
      </c>
      <c r="R566" s="15" t="n">
        <f aca="false">Q566-$G$2+$I$2</f>
        <v>15779.4269630708</v>
      </c>
      <c r="S566" s="42" t="n">
        <f aca="false">R566/$K$2</f>
        <v>730.529026068093</v>
      </c>
      <c r="T566" s="43" t="n">
        <f aca="false">S566-$M$2</f>
        <v>5.52902606809312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41" t="n">
        <f aca="false">(B567+C567)/2</f>
        <v>-0.03125</v>
      </c>
      <c r="E567" s="15" t="n">
        <f aca="false">$C$2*(1+IF(E$3&lt;=$O$2,$D567,$D567-($D567-$I$562)*MIN(E$3-$O$2,$Q$2)/$Q$2))</f>
        <v>2315.3125</v>
      </c>
      <c r="F567" s="15" t="n">
        <f aca="false">E567*(1+IF(F$3&lt;=$O$2,$D567,$D567-($D567-$I$562)*MIN(F$3-$O$2,$Q$2)/$Q$2))</f>
        <v>2242.958984375</v>
      </c>
      <c r="G567" s="15" t="n">
        <f aca="false">F567*(1+IF(G$3&lt;=$O$2,$D567,$D567-($D567-$I$562)*MIN(G$3-$O$2,$Q$2)/$Q$2))</f>
        <v>2172.86651611328</v>
      </c>
      <c r="H567" s="15" t="n">
        <f aca="false">G567*(1+IF(H$3&lt;=$O$2,$D567,$D567-($D567-$I$562)*MIN(H$3-$O$2,$Q$2)/$Q$2))</f>
        <v>2104.96443748474</v>
      </c>
      <c r="I567" s="15" t="n">
        <f aca="false">H567*(1+IF(I$3&lt;=$O$2,$D567,$D567-($D567-$I$562)*MIN(I$3-$O$2,$Q$2)/$Q$2))</f>
        <v>2039.18429881334</v>
      </c>
      <c r="J567" s="15" t="n">
        <f aca="false">I567*(1+IF(J$3&lt;=$O$2,$D567,$D567-($D567-$I$562)*MIN(J$3-$O$2,$Q$2)/$Q$2))</f>
        <v>2003.82484307192</v>
      </c>
      <c r="K567" s="15" t="n">
        <f aca="false">J567*(1+IF(K$3&lt;=$O$2,$D567,$D567-($D567-$I$562)*MIN(K$3-$O$2,$Q$2)/$Q$2))</f>
        <v>1996.95172386018</v>
      </c>
      <c r="L567" s="15" t="n">
        <f aca="false">K567*(1+IF(L$3&lt;=$O$2,$D567,$D567-($D567-$I$562)*MIN(L$3-$O$2,$Q$2)/$Q$2))</f>
        <v>2017.87977792624</v>
      </c>
      <c r="M567" s="15" t="n">
        <f aca="false">L567*(1+IF(M$3&lt;=$O$2,$D567,$D567-($D567-$I$562)*MIN(M$3-$O$2,$Q$2)/$Q$2))</f>
        <v>2067.09586570986</v>
      </c>
      <c r="N567" s="15" t="n">
        <f aca="false">M567*(1+IF(N$3&lt;=$O$2,$D567,$D567-($D567-$I$562)*MIN(N$3-$O$2,$Q$2)/$Q$2))</f>
        <v>2146.26563736655</v>
      </c>
      <c r="O567" s="15" t="n">
        <f aca="false">SUMPRODUCT(E567:N567,1/(1+$F$562)^$E$3:$N$3)*$E$2</f>
        <v>6146.59323361313</v>
      </c>
      <c r="P567" s="15" t="n">
        <f aca="false">N567*$E$2*(1+$I$562)/($F$562-$I$562)/(1+$F$562)^$N$3</f>
        <v>6272.24046500692</v>
      </c>
      <c r="Q567" s="15" t="n">
        <f aca="false">O567+P567</f>
        <v>12418.8336986201</v>
      </c>
      <c r="R567" s="15" t="n">
        <f aca="false">Q567-$G$2+$I$2</f>
        <v>7067.27369862006</v>
      </c>
      <c r="S567" s="42" t="n">
        <f aca="false">R567/$K$2</f>
        <v>327.188597158336</v>
      </c>
      <c r="T567" s="43" t="n">
        <f aca="false">S567-$M$2</f>
        <v>-397.811402841664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41" t="n">
        <f aca="false">(B568+C568)/2</f>
        <v>0.015625</v>
      </c>
      <c r="E568" s="15" t="n">
        <f aca="false">$C$2*(1+IF(E$3&lt;=$O$2,$D568,$D568-($D568-$I$562)*MIN(E$3-$O$2,$Q$2)/$Q$2))</f>
        <v>2427.34375</v>
      </c>
      <c r="F568" s="15" t="n">
        <f aca="false">E568*(1+IF(F$3&lt;=$O$2,$D568,$D568-($D568-$I$562)*MIN(F$3-$O$2,$Q$2)/$Q$2))</f>
        <v>2465.27099609375</v>
      </c>
      <c r="G568" s="15" t="n">
        <f aca="false">F568*(1+IF(G$3&lt;=$O$2,$D568,$D568-($D568-$I$562)*MIN(G$3-$O$2,$Q$2)/$Q$2))</f>
        <v>2503.79085540772</v>
      </c>
      <c r="H568" s="15" t="n">
        <f aca="false">G568*(1+IF(H$3&lt;=$O$2,$D568,$D568-($D568-$I$562)*MIN(H$3-$O$2,$Q$2)/$Q$2))</f>
        <v>2542.91258752346</v>
      </c>
      <c r="I568" s="15" t="n">
        <f aca="false">H568*(1+IF(I$3&lt;=$O$2,$D568,$D568-($D568-$I$562)*MIN(I$3-$O$2,$Q$2)/$Q$2))</f>
        <v>2582.64559670351</v>
      </c>
      <c r="J568" s="15" t="n">
        <f aca="false">I568*(1+IF(J$3&lt;=$O$2,$D568,$D568-($D568-$I$562)*MIN(J$3-$O$2,$Q$2)/$Q$2))</f>
        <v>2634.71173193306</v>
      </c>
      <c r="K568" s="15" t="n">
        <f aca="false">J568*(1+IF(K$3&lt;=$O$2,$D568,$D568-($D568-$I$562)*MIN(K$3-$O$2,$Q$2)/$Q$2))</f>
        <v>2699.77593815314</v>
      </c>
      <c r="L568" s="15" t="n">
        <f aca="false">K568*(1+IF(L$3&lt;=$O$2,$D568,$D568-($D568-$I$562)*MIN(L$3-$O$2,$Q$2)/$Q$2))</f>
        <v>2778.69038882536</v>
      </c>
      <c r="M568" s="15" t="n">
        <f aca="false">L568*(1+IF(M$3&lt;=$O$2,$D568,$D568-($D568-$I$562)*MIN(M$3-$O$2,$Q$2)/$Q$2))</f>
        <v>2872.51286980405</v>
      </c>
      <c r="N568" s="15" t="n">
        <f aca="false">M568*(1+IF(N$3&lt;=$O$2,$D568,$D568-($D568-$I$562)*MIN(N$3-$O$2,$Q$2)/$Q$2))</f>
        <v>2982.53011271754</v>
      </c>
      <c r="O568" s="15" t="n">
        <f aca="false">SUMPRODUCT(E568:N568,1/(1+$F$562)^$E$3:$N$3)*$E$2</f>
        <v>7506.94804889863</v>
      </c>
      <c r="P568" s="15" t="n">
        <f aca="false">N568*$E$2*(1+$I$562)/($F$562-$I$562)/(1+$F$562)^$N$3</f>
        <v>8716.13733891868</v>
      </c>
      <c r="Q568" s="15" t="n">
        <f aca="false">O568+P568</f>
        <v>16223.0853878173</v>
      </c>
      <c r="R568" s="15" t="n">
        <f aca="false">Q568-$G$2+$I$2</f>
        <v>10871.5253878173</v>
      </c>
      <c r="S568" s="42" t="n">
        <f aca="false">R568/$K$2</f>
        <v>503.311360547098</v>
      </c>
      <c r="T568" s="43" t="n">
        <f aca="false">S568-$M$2</f>
        <v>-221.688639452903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0.015625</v>
      </c>
      <c r="C569" s="25" t="n">
        <f aca="false">IF(T568&gt;0,D568,C568)</f>
        <v>0.0625</v>
      </c>
      <c r="D569" s="41" t="n">
        <f aca="false">(B569+C569)/2</f>
        <v>0.0390625</v>
      </c>
      <c r="E569" s="15" t="n">
        <f aca="false">$C$2*(1+IF(E$3&lt;=$O$2,$D569,$D569-($D569-$I$562)*MIN(E$3-$O$2,$Q$2)/$Q$2))</f>
        <v>2483.359375</v>
      </c>
      <c r="F569" s="15" t="n">
        <f aca="false">E569*(1+IF(F$3&lt;=$O$2,$D569,$D569-($D569-$I$562)*MIN(F$3-$O$2,$Q$2)/$Q$2))</f>
        <v>2580.36560058594</v>
      </c>
      <c r="G569" s="15" t="n">
        <f aca="false">F569*(1+IF(G$3&lt;=$O$2,$D569,$D569-($D569-$I$562)*MIN(G$3-$O$2,$Q$2)/$Q$2))</f>
        <v>2681.16113185883</v>
      </c>
      <c r="H569" s="15" t="n">
        <f aca="false">G569*(1+IF(H$3&lt;=$O$2,$D569,$D569-($D569-$I$562)*MIN(H$3-$O$2,$Q$2)/$Q$2))</f>
        <v>2785.89398857206</v>
      </c>
      <c r="I569" s="15" t="n">
        <f aca="false">H569*(1+IF(I$3&lt;=$O$2,$D569,$D569-($D569-$I$562)*MIN(I$3-$O$2,$Q$2)/$Q$2))</f>
        <v>2894.71797250066</v>
      </c>
      <c r="J569" s="15" t="n">
        <f aca="false">I569*(1+IF(J$3&lt;=$O$2,$D569,$D569-($D569-$I$562)*MIN(J$3-$O$2,$Q$2)/$Q$2))</f>
        <v>3007.35144881066</v>
      </c>
      <c r="K569" s="15" t="n">
        <f aca="false">J569*(1+IF(K$3&lt;=$O$2,$D569,$D569-($D569-$I$562)*MIN(K$3-$O$2,$Q$2)/$Q$2))</f>
        <v>3123.90887258794</v>
      </c>
      <c r="L569" s="15" t="n">
        <f aca="false">K569*(1+IF(L$3&lt;=$O$2,$D569,$D569-($D569-$I$562)*MIN(L$3-$O$2,$Q$2)/$Q$2))</f>
        <v>3244.50737461419</v>
      </c>
      <c r="M569" s="15" t="n">
        <f aca="false">L569*(1+IF(M$3&lt;=$O$2,$D569,$D569-($D569-$I$562)*MIN(M$3-$O$2,$Q$2)/$Q$2))</f>
        <v>3369.26679443655</v>
      </c>
      <c r="N569" s="15" t="n">
        <f aca="false">M569*(1+IF(N$3&lt;=$O$2,$D569,$D569-($D569-$I$562)*MIN(N$3-$O$2,$Q$2)/$Q$2))</f>
        <v>3498.30971266347</v>
      </c>
      <c r="O569" s="15" t="n">
        <f aca="false">SUMPRODUCT(E569:N569,1/(1+$F$562)^$E$3:$N$3)*$E$2</f>
        <v>8299.53883873105</v>
      </c>
      <c r="P569" s="15" t="n">
        <f aca="false">N569*$E$2*(1+$I$562)/($F$562-$I$562)/(1+$F$562)^$N$3</f>
        <v>10223.4501437658</v>
      </c>
      <c r="Q569" s="15" t="n">
        <f aca="false">O569+P569</f>
        <v>18522.9889824968</v>
      </c>
      <c r="R569" s="15" t="n">
        <f aca="false">Q569-$G$2+$I$2</f>
        <v>13171.4289824968</v>
      </c>
      <c r="S569" s="42" t="n">
        <f aca="false">R569/$K$2</f>
        <v>609.788378819297</v>
      </c>
      <c r="T569" s="43" t="n">
        <f aca="false">S569-$M$2</f>
        <v>-115.211621180703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0.0390625</v>
      </c>
      <c r="C570" s="25" t="n">
        <f aca="false">IF(T569&gt;0,D569,C569)</f>
        <v>0.0625</v>
      </c>
      <c r="D570" s="41" t="n">
        <f aca="false">(B570+C570)/2</f>
        <v>0.05078125</v>
      </c>
      <c r="E570" s="15" t="n">
        <f aca="false">$C$2*(1+IF(E$3&lt;=$O$2,$D570,$D570-($D570-$I$562)*MIN(E$3-$O$2,$Q$2)/$Q$2))</f>
        <v>2511.3671875</v>
      </c>
      <c r="F570" s="15" t="n">
        <f aca="false">E570*(1+IF(F$3&lt;=$O$2,$D570,$D570-($D570-$I$562)*MIN(F$3-$O$2,$Q$2)/$Q$2))</f>
        <v>2638.89755249023</v>
      </c>
      <c r="G570" s="15" t="n">
        <f aca="false">F570*(1+IF(G$3&lt;=$O$2,$D570,$D570-($D570-$I$562)*MIN(G$3-$O$2,$Q$2)/$Q$2))</f>
        <v>2772.90406882763</v>
      </c>
      <c r="H570" s="15" t="n">
        <f aca="false">G570*(1+IF(H$3&lt;=$O$2,$D570,$D570-($D570-$I$562)*MIN(H$3-$O$2,$Q$2)/$Q$2))</f>
        <v>2913.71560357278</v>
      </c>
      <c r="I570" s="15" t="n">
        <f aca="false">H570*(1+IF(I$3&lt;=$O$2,$D570,$D570-($D570-$I$562)*MIN(I$3-$O$2,$Q$2)/$Q$2))</f>
        <v>3061.67772406671</v>
      </c>
      <c r="J570" s="15" t="n">
        <f aca="false">I570*(1+IF(J$3&lt;=$O$2,$D570,$D570-($D570-$I$562)*MIN(J$3-$O$2,$Q$2)/$Q$2))</f>
        <v>3209.51083297327</v>
      </c>
      <c r="K570" s="15" t="n">
        <f aca="false">J570*(1+IF(K$3&lt;=$O$2,$D570,$D570-($D570-$I$562)*MIN(K$3-$O$2,$Q$2)/$Q$2))</f>
        <v>3356.47032212658</v>
      </c>
      <c r="L570" s="15" t="n">
        <f aca="false">K570*(1+IF(L$3&lt;=$O$2,$D570,$D570-($D570-$I$562)*MIN(L$3-$O$2,$Q$2)/$Q$2))</f>
        <v>3501.78031354724</v>
      </c>
      <c r="M570" s="15" t="n">
        <f aca="false">L570*(1+IF(M$3&lt;=$O$2,$D570,$D570-($D570-$I$562)*MIN(M$3-$O$2,$Q$2)/$Q$2))</f>
        <v>3644.6398186638</v>
      </c>
      <c r="N570" s="15" t="n">
        <f aca="false">M570*(1+IF(N$3&lt;=$O$2,$D570,$D570-($D570-$I$562)*MIN(N$3-$O$2,$Q$2)/$Q$2))</f>
        <v>3784.22952371862</v>
      </c>
      <c r="O570" s="15" t="n">
        <f aca="false">SUMPRODUCT(E570:N570,1/(1+$F$562)^$E$3:$N$3)*$E$2</f>
        <v>8727.27002863651</v>
      </c>
      <c r="P570" s="15" t="n">
        <f aca="false">N570*$E$2*(1+$I$562)/($F$562-$I$562)/(1+$F$562)^$N$3</f>
        <v>11059.0213691653</v>
      </c>
      <c r="Q570" s="15" t="n">
        <f aca="false">O570+P570</f>
        <v>19786.2913978018</v>
      </c>
      <c r="R570" s="15" t="n">
        <f aca="false">Q570-$G$2+$I$2</f>
        <v>14434.7313978018</v>
      </c>
      <c r="S570" s="42" t="n">
        <f aca="false">R570/$K$2</f>
        <v>668.274601750083</v>
      </c>
      <c r="T570" s="43" t="n">
        <f aca="false">S570-$M$2</f>
        <v>-56.7253982499168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0.05078125</v>
      </c>
      <c r="C571" s="25" t="n">
        <f aca="false">IF(T570&gt;0,D570,C570)</f>
        <v>0.0625</v>
      </c>
      <c r="D571" s="41" t="n">
        <f aca="false">(B571+C571)/2</f>
        <v>0.056640625</v>
      </c>
      <c r="E571" s="15" t="n">
        <f aca="false">$C$2*(1+IF(E$3&lt;=$O$2,$D571,$D571-($D571-$I$562)*MIN(E$3-$O$2,$Q$2)/$Q$2))</f>
        <v>2525.37109375</v>
      </c>
      <c r="F571" s="15" t="n">
        <f aca="false">E571*(1+IF(F$3&lt;=$O$2,$D571,$D571-($D571-$I$562)*MIN(F$3-$O$2,$Q$2)/$Q$2))</f>
        <v>2668.40969085693</v>
      </c>
      <c r="G571" s="15" t="n">
        <f aca="false">F571*(1+IF(G$3&lt;=$O$2,$D571,$D571-($D571-$I$562)*MIN(G$3-$O$2,$Q$2)/$Q$2))</f>
        <v>2819.55008350313</v>
      </c>
      <c r="H571" s="15" t="n">
        <f aca="false">G571*(1+IF(H$3&lt;=$O$2,$D571,$D571-($D571-$I$562)*MIN(H$3-$O$2,$Q$2)/$Q$2))</f>
        <v>2979.25116245155</v>
      </c>
      <c r="I571" s="15" t="n">
        <f aca="false">H571*(1+IF(I$3&lt;=$O$2,$D571,$D571-($D571-$I$562)*MIN(I$3-$O$2,$Q$2)/$Q$2))</f>
        <v>3147.99781032478</v>
      </c>
      <c r="J571" s="15" t="n">
        <f aca="false">I571*(1+IF(J$3&lt;=$O$2,$D571,$D571-($D571-$I$562)*MIN(J$3-$O$2,$Q$2)/$Q$2))</f>
        <v>3314.75512433221</v>
      </c>
      <c r="K571" s="15" t="n">
        <f aca="false">J571*(1+IF(K$3&lt;=$O$2,$D571,$D571-($D571-$I$562)*MIN(K$3-$O$2,$Q$2)/$Q$2))</f>
        <v>3478.18705401546</v>
      </c>
      <c r="L571" s="15" t="n">
        <f aca="false">K571*(1+IF(L$3&lt;=$O$2,$D571,$D571-($D571-$I$562)*MIN(L$3-$O$2,$Q$2)/$Q$2))</f>
        <v>3636.91846795927</v>
      </c>
      <c r="M571" s="15" t="n">
        <f aca="false">L571*(1+IF(M$3&lt;=$O$2,$D571,$D571-($D571-$I$562)*MIN(M$3-$O$2,$Q$2)/$Q$2))</f>
        <v>3789.55311683739</v>
      </c>
      <c r="N571" s="15" t="n">
        <f aca="false">M571*(1+IF(N$3&lt;=$O$2,$D571,$D571-($D571-$I$562)*MIN(N$3-$O$2,$Q$2)/$Q$2))</f>
        <v>3934.69300121226</v>
      </c>
      <c r="O571" s="15" t="n">
        <f aca="false">SUMPRODUCT(E571:N571,1/(1+$F$562)^$E$3:$N$3)*$E$2</f>
        <v>8949.44505582645</v>
      </c>
      <c r="P571" s="15" t="n">
        <f aca="false">N571*$E$2*(1+$I$562)/($F$562-$I$562)/(1+$F$562)^$N$3</f>
        <v>11498.7353987853</v>
      </c>
      <c r="Q571" s="15" t="n">
        <f aca="false">O571+P571</f>
        <v>20448.1804546117</v>
      </c>
      <c r="R571" s="15" t="n">
        <f aca="false">Q571-$G$2+$I$2</f>
        <v>15096.6204546117</v>
      </c>
      <c r="S571" s="42" t="n">
        <f aca="false">R571/$K$2</f>
        <v>698.91761363943</v>
      </c>
      <c r="T571" s="43" t="n">
        <f aca="false">S571-$M$2</f>
        <v>-26.0823863605696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0.056640625</v>
      </c>
      <c r="C572" s="25" t="n">
        <f aca="false">IF(T571&gt;0,D571,C571)</f>
        <v>0.0625</v>
      </c>
      <c r="D572" s="41" t="n">
        <f aca="false">(B572+C572)/2</f>
        <v>0.0595703125</v>
      </c>
      <c r="E572" s="15" t="n">
        <f aca="false">$C$2*(1+IF(E$3&lt;=$O$2,$D572,$D572-($D572-$I$562)*MIN(E$3-$O$2,$Q$2)/$Q$2))</f>
        <v>2532.373046875</v>
      </c>
      <c r="F572" s="15" t="n">
        <f aca="false">E572*(1+IF(F$3&lt;=$O$2,$D572,$D572-($D572-$I$562)*MIN(F$3-$O$2,$Q$2)/$Q$2))</f>
        <v>2683.22730064392</v>
      </c>
      <c r="G572" s="15" t="n">
        <f aca="false">F572*(1+IF(G$3&lt;=$O$2,$D572,$D572-($D572-$I$562)*MIN(G$3-$O$2,$Q$2)/$Q$2))</f>
        <v>2843.06798945181</v>
      </c>
      <c r="H572" s="15" t="n">
        <f aca="false">G572*(1+IF(H$3&lt;=$O$2,$D572,$D572-($D572-$I$562)*MIN(H$3-$O$2,$Q$2)/$Q$2))</f>
        <v>3012.4304380422</v>
      </c>
      <c r="I572" s="15" t="n">
        <f aca="false">H572*(1+IF(I$3&lt;=$O$2,$D572,$D572-($D572-$I$562)*MIN(I$3-$O$2,$Q$2)/$Q$2))</f>
        <v>3191.88186062089</v>
      </c>
      <c r="J572" s="15" t="n">
        <f aca="false">I572*(1+IF(J$3&lt;=$O$2,$D572,$D572-($D572-$I$562)*MIN(J$3-$O$2,$Q$2)/$Q$2))</f>
        <v>3368.44479559346</v>
      </c>
      <c r="K572" s="15" t="n">
        <f aca="false">J572*(1+IF(K$3&lt;=$O$2,$D572,$D572-($D572-$I$562)*MIN(K$3-$O$2,$Q$2)/$Q$2))</f>
        <v>3540.44495532945</v>
      </c>
      <c r="L572" s="15" t="n">
        <f aca="false">K572*(1+IF(L$3&lt;=$O$2,$D572,$D572-($D572-$I$562)*MIN(L$3-$O$2,$Q$2)/$Q$2))</f>
        <v>3706.16654535413</v>
      </c>
      <c r="M572" s="15" t="n">
        <f aca="false">L572*(1+IF(M$3&lt;=$O$2,$D572,$D572-($D572-$I$562)*MIN(M$3-$O$2,$Q$2)/$Q$2))</f>
        <v>3863.87898816054</v>
      </c>
      <c r="N572" s="15" t="n">
        <f aca="false">M572*(1+IF(N$3&lt;=$O$2,$D572,$D572-($D572-$I$562)*MIN(N$3-$O$2,$Q$2)/$Q$2))</f>
        <v>4011.86555340709</v>
      </c>
      <c r="O572" s="15" t="n">
        <f aca="false">SUMPRODUCT(E572:N572,1/(1+$F$562)^$E$3:$N$3)*$E$2</f>
        <v>9062.6684746143</v>
      </c>
      <c r="P572" s="15" t="n">
        <f aca="false">N572*$E$2*(1+$I$562)/($F$562-$I$562)/(1+$F$562)^$N$3</f>
        <v>11724.2642411788</v>
      </c>
      <c r="Q572" s="15" t="n">
        <f aca="false">O572+P572</f>
        <v>20786.9327157931</v>
      </c>
      <c r="R572" s="15" t="n">
        <f aca="false">Q572-$G$2+$I$2</f>
        <v>15435.3727157931</v>
      </c>
      <c r="S572" s="42" t="n">
        <f aca="false">R572/$K$2</f>
        <v>714.600588694123</v>
      </c>
      <c r="T572" s="43" t="n">
        <f aca="false">S572-$M$2</f>
        <v>-10.3994113058772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0.0595703125</v>
      </c>
      <c r="C573" s="25" t="n">
        <f aca="false">IF(T572&gt;0,D572,C572)</f>
        <v>0.0625</v>
      </c>
      <c r="D573" s="41" t="n">
        <f aca="false">(B573+C573)/2</f>
        <v>0.06103515625</v>
      </c>
      <c r="E573" s="15" t="n">
        <f aca="false">$C$2*(1+IF(E$3&lt;=$O$2,$D573,$D573-($D573-$I$562)*MIN(E$3-$O$2,$Q$2)/$Q$2))</f>
        <v>2535.8740234375</v>
      </c>
      <c r="F573" s="15" t="n">
        <f aca="false">E573*(1+IF(F$3&lt;=$O$2,$D573,$D573-($D573-$I$562)*MIN(F$3-$O$2,$Q$2)/$Q$2))</f>
        <v>2690.65149068832</v>
      </c>
      <c r="G573" s="15" t="n">
        <f aca="false">F573*(1+IF(G$3&lt;=$O$2,$D573,$D573-($D573-$I$562)*MIN(G$3-$O$2,$Q$2)/$Q$2))</f>
        <v>2854.87582483678</v>
      </c>
      <c r="H573" s="15" t="n">
        <f aca="false">G573*(1+IF(H$3&lt;=$O$2,$D573,$D573-($D573-$I$562)*MIN(H$3-$O$2,$Q$2)/$Q$2))</f>
        <v>3029.12361688004</v>
      </c>
      <c r="I573" s="15" t="n">
        <f aca="false">H573*(1+IF(I$3&lt;=$O$2,$D573,$D573-($D573-$I$562)*MIN(I$3-$O$2,$Q$2)/$Q$2))</f>
        <v>3214.00665013688</v>
      </c>
      <c r="J573" s="15" t="n">
        <f aca="false">I573*(1+IF(J$3&lt;=$O$2,$D573,$D573-($D573-$I$562)*MIN(J$3-$O$2,$Q$2)/$Q$2))</f>
        <v>3395.55985954064</v>
      </c>
      <c r="K573" s="15" t="n">
        <f aca="false">J573*(1+IF(K$3&lt;=$O$2,$D573,$D573-($D573-$I$562)*MIN(K$3-$O$2,$Q$2)/$Q$2))</f>
        <v>3571.92895253878</v>
      </c>
      <c r="L573" s="15" t="n">
        <f aca="false">K573*(1+IF(L$3&lt;=$O$2,$D573,$D573-($D573-$I$562)*MIN(L$3-$O$2,$Q$2)/$Q$2))</f>
        <v>3741.21717656096</v>
      </c>
      <c r="M573" s="15" t="n">
        <f aca="false">L573*(1+IF(M$3&lt;=$O$2,$D573,$D573-($D573-$I$562)*MIN(M$3-$O$2,$Q$2)/$Q$2))</f>
        <v>3901.51722583811</v>
      </c>
      <c r="N573" s="15" t="n">
        <f aca="false">M573*(1+IF(N$3&lt;=$O$2,$D573,$D573-($D573-$I$562)*MIN(N$3-$O$2,$Q$2)/$Q$2))</f>
        <v>4050.94533558771</v>
      </c>
      <c r="O573" s="15" t="n">
        <f aca="false">SUMPRODUCT(E573:N573,1/(1+$F$562)^$E$3:$N$3)*$E$2</f>
        <v>9119.82162225443</v>
      </c>
      <c r="P573" s="15" t="n">
        <f aca="false">N573*$E$2*(1+$I$562)/($F$562-$I$562)/(1+$F$562)^$N$3</f>
        <v>11838.4708831197</v>
      </c>
      <c r="Q573" s="15" t="n">
        <f aca="false">O573+P573</f>
        <v>20958.2925053742</v>
      </c>
      <c r="R573" s="15" t="n">
        <f aca="false">Q573-$G$2+$I$2</f>
        <v>15606.7325053742</v>
      </c>
      <c r="S573" s="42" t="n">
        <f aca="false">R573/$K$2</f>
        <v>722.533912285841</v>
      </c>
      <c r="T573" s="43" t="n">
        <f aca="false">S573-$M$2</f>
        <v>-2.46608771415913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0.06103515625</v>
      </c>
      <c r="C574" s="25" t="n">
        <f aca="false">IF(T573&gt;0,D573,C573)</f>
        <v>0.0625</v>
      </c>
      <c r="D574" s="41" t="n">
        <f aca="false">(B574+C574)/2</f>
        <v>0.061767578125</v>
      </c>
      <c r="E574" s="15" t="n">
        <f aca="false">$C$2*(1+IF(E$3&lt;=$O$2,$D574,$D574-($D574-$I$562)*MIN(E$3-$O$2,$Q$2)/$Q$2))</f>
        <v>2537.62451171875</v>
      </c>
      <c r="F574" s="15" t="n">
        <f aca="false">E574*(1+IF(F$3&lt;=$O$2,$D574,$D574-($D574-$I$562)*MIN(F$3-$O$2,$Q$2)/$Q$2))</f>
        <v>2694.36743199825</v>
      </c>
      <c r="G574" s="15" t="n">
        <f aca="false">F574*(1+IF(G$3&lt;=$O$2,$D574,$D574-($D574-$I$562)*MIN(G$3-$O$2,$Q$2)/$Q$2))</f>
        <v>2860.79198285166</v>
      </c>
      <c r="H574" s="15" t="n">
        <f aca="false">G574*(1+IF(H$3&lt;=$O$2,$D574,$D574-($D574-$I$562)*MIN(H$3-$O$2,$Q$2)/$Q$2))</f>
        <v>3037.49617515182</v>
      </c>
      <c r="I574" s="15" t="n">
        <f aca="false">H574*(1+IF(I$3&lt;=$O$2,$D574,$D574-($D574-$I$562)*MIN(I$3-$O$2,$Q$2)/$Q$2))</f>
        <v>3225.1149574549</v>
      </c>
      <c r="J574" s="15" t="n">
        <f aca="false">I574*(1+IF(J$3&lt;=$O$2,$D574,$D574-($D574-$I$562)*MIN(J$3-$O$2,$Q$2)/$Q$2))</f>
        <v>3409.18537010637</v>
      </c>
      <c r="K574" s="15" t="n">
        <f aca="false">J574*(1+IF(K$3&lt;=$O$2,$D574,$D574-($D574-$I$562)*MIN(K$3-$O$2,$Q$2)/$Q$2))</f>
        <v>3587.76036419079</v>
      </c>
      <c r="L574" s="15" t="n">
        <f aca="false">K574*(1+IF(L$3&lt;=$O$2,$D574,$D574-($D574-$I$562)*MIN(L$3-$O$2,$Q$2)/$Q$2))</f>
        <v>3758.85000479547</v>
      </c>
      <c r="M574" s="15" t="n">
        <f aca="false">L574*(1+IF(M$3&lt;=$O$2,$D574,$D574-($D574-$I$562)*MIN(M$3-$O$2,$Q$2)/$Q$2))</f>
        <v>3920.45618120867</v>
      </c>
      <c r="N574" s="15" t="n">
        <f aca="false">M574*(1+IF(N$3&lt;=$O$2,$D574,$D574-($D574-$I$562)*MIN(N$3-$O$2,$Q$2)/$Q$2))</f>
        <v>4070.60965294897</v>
      </c>
      <c r="O574" s="15" t="n">
        <f aca="false">SUMPRODUCT(E574:N574,1/(1+$F$562)^$E$3:$N$3)*$E$2</f>
        <v>9148.53449747148</v>
      </c>
      <c r="P574" s="15" t="n">
        <f aca="false">N574*$E$2*(1+$I$562)/($F$562-$I$562)/(1+$F$562)^$N$3</f>
        <v>11895.9378270631</v>
      </c>
      <c r="Q574" s="15" t="n">
        <f aca="false">O574+P574</f>
        <v>21044.4723245345</v>
      </c>
      <c r="R574" s="15" t="n">
        <f aca="false">Q574-$G$2+$I$2</f>
        <v>15692.9123245345</v>
      </c>
      <c r="S574" s="42" t="n">
        <f aca="false">R574/$K$2</f>
        <v>726.523718728451</v>
      </c>
      <c r="T574" s="43" t="n">
        <f aca="false">S574-$M$2</f>
        <v>1.52371872845049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0.06103515625</v>
      </c>
      <c r="C575" s="25" t="n">
        <f aca="false">IF(T574&gt;0,D574,C574)</f>
        <v>0.061767578125</v>
      </c>
      <c r="D575" s="41" t="n">
        <f aca="false">(B575+C575)/2</f>
        <v>0.0614013671875</v>
      </c>
      <c r="E575" s="15" t="n">
        <f aca="false">$C$2*(1+IF(E$3&lt;=$O$2,$D575,$D575-($D575-$I$562)*MIN(E$3-$O$2,$Q$2)/$Q$2))</f>
        <v>2536.74926757813</v>
      </c>
      <c r="F575" s="15" t="n">
        <f aca="false">E575*(1+IF(F$3&lt;=$O$2,$D575,$D575-($D575-$I$562)*MIN(F$3-$O$2,$Q$2)/$Q$2))</f>
        <v>2692.50914081931</v>
      </c>
      <c r="G575" s="15" t="n">
        <f aca="false">F575*(1+IF(G$3&lt;=$O$2,$D575,$D575-($D575-$I$562)*MIN(G$3-$O$2,$Q$2)/$Q$2))</f>
        <v>2857.83288323046</v>
      </c>
      <c r="H575" s="15" t="n">
        <f aca="false">G575*(1+IF(H$3&lt;=$O$2,$D575,$D575-($D575-$I$562)*MIN(H$3-$O$2,$Q$2)/$Q$2))</f>
        <v>3033.3077294542</v>
      </c>
      <c r="I575" s="15" t="n">
        <f aca="false">H575*(1+IF(I$3&lt;=$O$2,$D575,$D575-($D575-$I$562)*MIN(I$3-$O$2,$Q$2)/$Q$2))</f>
        <v>3219.5569711431</v>
      </c>
      <c r="J575" s="15" t="n">
        <f aca="false">I575*(1+IF(J$3&lt;=$O$2,$D575,$D575-($D575-$I$562)*MIN(J$3-$O$2,$Q$2)/$Q$2))</f>
        <v>3402.36693735505</v>
      </c>
      <c r="K575" s="15" t="n">
        <f aca="false">J575*(1+IF(K$3&lt;=$O$2,$D575,$D575-($D575-$I$562)*MIN(K$3-$O$2,$Q$2)/$Q$2))</f>
        <v>3579.83718781161</v>
      </c>
      <c r="L575" s="15" t="n">
        <f aca="false">K575*(1+IF(L$3&lt;=$O$2,$D575,$D575-($D575-$I$562)*MIN(L$3-$O$2,$Q$2)/$Q$2))</f>
        <v>3750.02460544364</v>
      </c>
      <c r="M575" s="15" t="n">
        <f aca="false">L575*(1+IF(M$3&lt;=$O$2,$D575,$D575-($D575-$I$562)*MIN(M$3-$O$2,$Q$2)/$Q$2))</f>
        <v>3910.97668690663</v>
      </c>
      <c r="N575" s="15" t="n">
        <f aca="false">M575*(1+IF(N$3&lt;=$O$2,$D575,$D575-($D575-$I$562)*MIN(N$3-$O$2,$Q$2)/$Q$2))</f>
        <v>4060.76709401516</v>
      </c>
      <c r="O575" s="15" t="n">
        <f aca="false">SUMPRODUCT(E575:N575,1/(1+$F$562)^$E$3:$N$3)*$E$2</f>
        <v>9134.1666732644</v>
      </c>
      <c r="P575" s="15" t="n">
        <f aca="false">N575*$E$2*(1+$I$562)/($F$562-$I$562)/(1+$F$562)^$N$3</f>
        <v>11867.1739614217</v>
      </c>
      <c r="Q575" s="15" t="n">
        <f aca="false">O575+P575</f>
        <v>21001.3406346861</v>
      </c>
      <c r="R575" s="15" t="n">
        <f aca="false">Q575-$G$2+$I$2</f>
        <v>15649.7806346861</v>
      </c>
      <c r="S575" s="42" t="n">
        <f aca="false">R575/$K$2</f>
        <v>724.526881235468</v>
      </c>
      <c r="T575" s="43" t="n">
        <f aca="false">S575-$M$2</f>
        <v>-0.473118764532046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0.0614013671875</v>
      </c>
      <c r="C576" s="25" t="n">
        <f aca="false">IF(T575&gt;0,D575,C575)</f>
        <v>0.061767578125</v>
      </c>
      <c r="D576" s="41" t="n">
        <f aca="false">(B576+C576)/2</f>
        <v>0.06158447265625</v>
      </c>
      <c r="E576" s="15" t="n">
        <f aca="false">$C$2*(1+IF(E$3&lt;=$O$2,$D576,$D576-($D576-$I$562)*MIN(E$3-$O$2,$Q$2)/$Q$2))</f>
        <v>2537.18688964844</v>
      </c>
      <c r="F576" s="15" t="n">
        <f aca="false">E576*(1+IF(F$3&lt;=$O$2,$D576,$D576-($D576-$I$562)*MIN(F$3-$O$2,$Q$2)/$Q$2))</f>
        <v>2693.43820627779</v>
      </c>
      <c r="G576" s="15" t="n">
        <f aca="false">F576*(1+IF(G$3&lt;=$O$2,$D576,$D576-($D576-$I$562)*MIN(G$3-$O$2,$Q$2)/$Q$2))</f>
        <v>2859.3121778436</v>
      </c>
      <c r="H576" s="15" t="n">
        <f aca="false">G576*(1+IF(H$3&lt;=$O$2,$D576,$D576-($D576-$I$562)*MIN(H$3-$O$2,$Q$2)/$Q$2))</f>
        <v>3035.40141047569</v>
      </c>
      <c r="I576" s="15" t="n">
        <f aca="false">H576*(1+IF(I$3&lt;=$O$2,$D576,$D576-($D576-$I$562)*MIN(I$3-$O$2,$Q$2)/$Q$2))</f>
        <v>3222.33500563988</v>
      </c>
      <c r="J576" s="15" t="n">
        <f aca="false">I576*(1+IF(J$3&lt;=$O$2,$D576,$D576-($D576-$I$562)*MIN(J$3-$O$2,$Q$2)/$Q$2))</f>
        <v>3405.77473341836</v>
      </c>
      <c r="K576" s="15" t="n">
        <f aca="false">J576*(1+IF(K$3&lt;=$O$2,$D576,$D576-($D576-$I$562)*MIN(K$3-$O$2,$Q$2)/$Q$2))</f>
        <v>3583.79690690046</v>
      </c>
      <c r="L576" s="15" t="n">
        <f aca="false">K576*(1+IF(L$3&lt;=$O$2,$D576,$D576-($D576-$I$562)*MIN(L$3-$O$2,$Q$2)/$Q$2))</f>
        <v>3754.43505686846</v>
      </c>
      <c r="M576" s="15" t="n">
        <f aca="false">L576*(1+IF(M$3&lt;=$O$2,$D576,$D576-($D576-$I$562)*MIN(M$3-$O$2,$Q$2)/$Q$2))</f>
        <v>3915.71392763079</v>
      </c>
      <c r="N576" s="15" t="n">
        <f aca="false">M576*(1+IF(N$3&lt;=$O$2,$D576,$D576-($D576-$I$562)*MIN(N$3-$O$2,$Q$2)/$Q$2))</f>
        <v>4065.68577105905</v>
      </c>
      <c r="O576" s="15" t="n">
        <f aca="false">SUMPRODUCT(E576:N576,1/(1+$F$562)^$E$3:$N$3)*$E$2</f>
        <v>9141.34773660339</v>
      </c>
      <c r="P576" s="15" t="n">
        <f aca="false">N576*$E$2*(1+$I$562)/($F$562-$I$562)/(1+$F$562)^$N$3</f>
        <v>11881.5482889289</v>
      </c>
      <c r="Q576" s="15" t="n">
        <f aca="false">O576+P576</f>
        <v>21022.8960255323</v>
      </c>
      <c r="R576" s="15" t="n">
        <f aca="false">Q576-$G$2+$I$2</f>
        <v>15671.3360255323</v>
      </c>
      <c r="S576" s="42" t="n">
        <f aca="false">R576/$K$2</f>
        <v>725.524815996866</v>
      </c>
      <c r="T576" s="43" t="n">
        <f aca="false">S576-$M$2</f>
        <v>0.524815996865868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0.0614013671875</v>
      </c>
      <c r="C577" s="25" t="n">
        <f aca="false">IF(T576&gt;0,D576,C576)</f>
        <v>0.06158447265625</v>
      </c>
      <c r="D577" s="41" t="n">
        <f aca="false">(B577+C577)/2</f>
        <v>0.061492919921875</v>
      </c>
      <c r="E577" s="15" t="n">
        <f aca="false">$C$2*(1+IF(E$3&lt;=$O$2,$D577,$D577-($D577-$I$562)*MIN(E$3-$O$2,$Q$2)/$Q$2))</f>
        <v>2536.96807861328</v>
      </c>
      <c r="F577" s="15" t="n">
        <f aca="false">E577*(1+IF(F$3&lt;=$O$2,$D577,$D577-($D577-$I$562)*MIN(F$3-$O$2,$Q$2)/$Q$2))</f>
        <v>2692.9736535158</v>
      </c>
      <c r="G577" s="15" t="n">
        <f aca="false">F577*(1+IF(G$3&lt;=$O$2,$D577,$D577-($D577-$I$562)*MIN(G$3-$O$2,$Q$2)/$Q$2))</f>
        <v>2858.57246674317</v>
      </c>
      <c r="H577" s="15" t="n">
        <f aca="false">G577*(1+IF(H$3&lt;=$O$2,$D577,$D577-($D577-$I$562)*MIN(H$3-$O$2,$Q$2)/$Q$2))</f>
        <v>3034.35443453148</v>
      </c>
      <c r="I577" s="15" t="n">
        <f aca="false">H577*(1+IF(I$3&lt;=$O$2,$D577,$D577-($D577-$I$562)*MIN(I$3-$O$2,$Q$2)/$Q$2))</f>
        <v>3220.94574878871</v>
      </c>
      <c r="J577" s="15" t="n">
        <f aca="false">I577*(1+IF(J$3&lt;=$O$2,$D577,$D577-($D577-$I$562)*MIN(J$3-$O$2,$Q$2)/$Q$2))</f>
        <v>3404.07048042681</v>
      </c>
      <c r="K577" s="15" t="n">
        <f aca="false">J577*(1+IF(K$3&lt;=$O$2,$D577,$D577-($D577-$I$562)*MIN(K$3-$O$2,$Q$2)/$Q$2))</f>
        <v>3581.81658026373</v>
      </c>
      <c r="L577" s="15" t="n">
        <f aca="false">K577*(1+IF(L$3&lt;=$O$2,$D577,$D577-($D577-$I$562)*MIN(L$3-$O$2,$Q$2)/$Q$2))</f>
        <v>3752.22926933619</v>
      </c>
      <c r="M577" s="15" t="n">
        <f aca="false">L577*(1+IF(M$3&lt;=$O$2,$D577,$D577-($D577-$I$562)*MIN(M$3-$O$2,$Q$2)/$Q$2))</f>
        <v>3913.34468094621</v>
      </c>
      <c r="N577" s="15" t="n">
        <f aca="false">M577*(1+IF(N$3&lt;=$O$2,$D577,$D577-($D577-$I$562)*MIN(N$3-$O$2,$Q$2)/$Q$2))</f>
        <v>4063.22578222645</v>
      </c>
      <c r="O577" s="15" t="n">
        <f aca="false">SUMPRODUCT(E577:N577,1/(1+$F$562)^$E$3:$N$3)*$E$2</f>
        <v>9137.75649300723</v>
      </c>
      <c r="P577" s="15" t="n">
        <f aca="false">N577*$E$2*(1+$I$562)/($F$562-$I$562)/(1+$F$562)^$N$3</f>
        <v>11874.3592247094</v>
      </c>
      <c r="Q577" s="15" t="n">
        <f aca="false">O577+P577</f>
        <v>21012.1157177166</v>
      </c>
      <c r="R577" s="15" t="n">
        <f aca="false">Q577-$G$2+$I$2</f>
        <v>15660.5557177166</v>
      </c>
      <c r="S577" s="42" t="n">
        <f aca="false">R577/$K$2</f>
        <v>725.025727672064</v>
      </c>
      <c r="T577" s="43" t="n">
        <f aca="false">S577-$M$2</f>
        <v>0.0257276720642494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0.0614013671875</v>
      </c>
      <c r="C578" s="25" t="n">
        <f aca="false">IF(T577&gt;0,D577,C577)</f>
        <v>0.061492919921875</v>
      </c>
      <c r="D578" s="41" t="n">
        <f aca="false">(B578+C578)/2</f>
        <v>0.0614471435546875</v>
      </c>
      <c r="E578" s="15" t="n">
        <f aca="false">$C$2*(1+IF(E$3&lt;=$O$2,$D578,$D578-($D578-$I$562)*MIN(E$3-$O$2,$Q$2)/$Q$2))</f>
        <v>2536.8586730957</v>
      </c>
      <c r="F578" s="15" t="n">
        <f aca="false">E578*(1+IF(F$3&lt;=$O$2,$D578,$D578-($D578-$I$562)*MIN(F$3-$O$2,$Q$2)/$Q$2))</f>
        <v>2692.74139215937</v>
      </c>
      <c r="G578" s="15" t="n">
        <f aca="false">F578*(1+IF(G$3&lt;=$O$2,$D578,$D578-($D578-$I$562)*MIN(G$3-$O$2,$Q$2)/$Q$2))</f>
        <v>2858.20265903903</v>
      </c>
      <c r="H578" s="15" t="n">
        <f aca="false">G578*(1+IF(H$3&lt;=$O$2,$D578,$D578-($D578-$I$562)*MIN(H$3-$O$2,$Q$2)/$Q$2))</f>
        <v>3033.8310481374</v>
      </c>
      <c r="I578" s="15" t="n">
        <f aca="false">H578*(1+IF(I$3&lt;=$O$2,$D578,$D578-($D578-$I$562)*MIN(I$3-$O$2,$Q$2)/$Q$2))</f>
        <v>3220.25130007296</v>
      </c>
      <c r="J578" s="15" t="n">
        <f aca="false">I578*(1+IF(J$3&lt;=$O$2,$D578,$D578-($D578-$I$562)*MIN(J$3-$O$2,$Q$2)/$Q$2))</f>
        <v>3403.21862016572</v>
      </c>
      <c r="K578" s="15" t="n">
        <f aca="false">J578*(1+IF(K$3&lt;=$O$2,$D578,$D578-($D578-$I$562)*MIN(K$3-$O$2,$Q$2)/$Q$2))</f>
        <v>3580.82676728745</v>
      </c>
      <c r="L578" s="15" t="n">
        <f aca="false">K578*(1+IF(L$3&lt;=$O$2,$D578,$D578-($D578-$I$562)*MIN(L$3-$O$2,$Q$2)/$Q$2))</f>
        <v>3751.1267969653</v>
      </c>
      <c r="M578" s="15" t="n">
        <f aca="false">L578*(1+IF(M$3&lt;=$O$2,$D578,$D578-($D578-$I$562)*MIN(M$3-$O$2,$Q$2)/$Q$2))</f>
        <v>3912.16052738131</v>
      </c>
      <c r="N578" s="15" t="n">
        <f aca="false">M578*(1+IF(N$3&lt;=$O$2,$D578,$D578-($D578-$I$562)*MIN(N$3-$O$2,$Q$2)/$Q$2))</f>
        <v>4061.99627558002</v>
      </c>
      <c r="O578" s="15" t="n">
        <f aca="false">SUMPRODUCT(E578:N578,1/(1+$F$562)^$E$3:$N$3)*$E$2</f>
        <v>9135.9614051872</v>
      </c>
      <c r="P578" s="15" t="n">
        <f aca="false">N578*$E$2*(1+$I$562)/($F$562-$I$562)/(1+$F$562)^$N$3</f>
        <v>11870.7661180568</v>
      </c>
      <c r="Q578" s="15" t="n">
        <f aca="false">O578+P578</f>
        <v>21006.727523244</v>
      </c>
      <c r="R578" s="15" t="n">
        <f aca="false">Q578-$G$2+$I$2</f>
        <v>15655.167523244</v>
      </c>
      <c r="S578" s="42" t="n">
        <f aca="false">R578/$K$2</f>
        <v>724.77627422426</v>
      </c>
      <c r="T578" s="43" t="n">
        <f aca="false">S578-$M$2</f>
        <v>-0.223725775740377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0.0614471435546875</v>
      </c>
      <c r="C579" s="25" t="n">
        <f aca="false">IF(T578&gt;0,D578,C578)</f>
        <v>0.061492919921875</v>
      </c>
      <c r="D579" s="41" t="n">
        <f aca="false">(B579+C579)/2</f>
        <v>0.0614700317382813</v>
      </c>
      <c r="E579" s="15" t="n">
        <f aca="false">$C$2*(1+IF(E$3&lt;=$O$2,$D579,$D579-($D579-$I$562)*MIN(E$3-$O$2,$Q$2)/$Q$2))</f>
        <v>2536.91337585449</v>
      </c>
      <c r="F579" s="15" t="n">
        <f aca="false">E579*(1+IF(F$3&lt;=$O$2,$D579,$D579-($D579-$I$562)*MIN(F$3-$O$2,$Q$2)/$Q$2))</f>
        <v>2692.85752158554</v>
      </c>
      <c r="G579" s="15" t="n">
        <f aca="false">F579*(1+IF(G$3&lt;=$O$2,$D579,$D579-($D579-$I$562)*MIN(G$3-$O$2,$Q$2)/$Q$2))</f>
        <v>2858.38755890407</v>
      </c>
      <c r="H579" s="15" t="n">
        <f aca="false">G579*(1+IF(H$3&lt;=$O$2,$D579,$D579-($D579-$I$562)*MIN(H$3-$O$2,$Q$2)/$Q$2))</f>
        <v>3034.09273287021</v>
      </c>
      <c r="I579" s="15" t="n">
        <f aca="false">H579*(1+IF(I$3&lt;=$O$2,$D579,$D579-($D579-$I$562)*MIN(I$3-$O$2,$Q$2)/$Q$2))</f>
        <v>3220.59850945663</v>
      </c>
      <c r="J579" s="15" t="n">
        <f aca="false">I579*(1+IF(J$3&lt;=$O$2,$D579,$D579-($D579-$I$562)*MIN(J$3-$O$2,$Q$2)/$Q$2))</f>
        <v>3403.64452811312</v>
      </c>
      <c r="K579" s="15" t="n">
        <f aca="false">J579*(1+IF(K$3&lt;=$O$2,$D579,$D579-($D579-$I$562)*MIN(K$3-$O$2,$Q$2)/$Q$2))</f>
        <v>3581.32164458518</v>
      </c>
      <c r="L579" s="15" t="n">
        <f aca="false">K579*(1+IF(L$3&lt;=$O$2,$D579,$D579-($D579-$I$562)*MIN(L$3-$O$2,$Q$2)/$Q$2))</f>
        <v>3751.6779980408</v>
      </c>
      <c r="M579" s="15" t="n">
        <f aca="false">L579*(1+IF(M$3&lt;=$O$2,$D579,$D579-($D579-$I$562)*MIN(M$3-$O$2,$Q$2)/$Q$2))</f>
        <v>3912.75256502305</v>
      </c>
      <c r="N579" s="15" t="n">
        <f aca="false">M579*(1+IF(N$3&lt;=$O$2,$D579,$D579-($D579-$I$562)*MIN(N$3-$O$2,$Q$2)/$Q$2))</f>
        <v>4062.61098826343</v>
      </c>
      <c r="O579" s="15" t="n">
        <f aca="false">SUMPRODUCT(E579:N579,1/(1+$F$562)^$E$3:$N$3)*$E$2</f>
        <v>9136.85890460593</v>
      </c>
      <c r="P579" s="15" t="n">
        <f aca="false">N579*$E$2*(1+$I$562)/($F$562-$I$562)/(1+$F$562)^$N$3</f>
        <v>11872.5625526174</v>
      </c>
      <c r="Q579" s="15" t="n">
        <f aca="false">O579+P579</f>
        <v>21009.4214572234</v>
      </c>
      <c r="R579" s="15" t="n">
        <f aca="false">Q579-$G$2+$I$2</f>
        <v>15657.8614572234</v>
      </c>
      <c r="S579" s="42" t="n">
        <f aca="false">R579/$K$2</f>
        <v>724.900993389971</v>
      </c>
      <c r="T579" s="43" t="n">
        <f aca="false">S579-$M$2</f>
        <v>-0.0990066100292779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0.0614700317382813</v>
      </c>
      <c r="C580" s="25" t="n">
        <f aca="false">IF(T579&gt;0,D579,C579)</f>
        <v>0.061492919921875</v>
      </c>
      <c r="D580" s="41" t="n">
        <f aca="false">(B580+C580)/2</f>
        <v>0.0614814758300781</v>
      </c>
      <c r="E580" s="15" t="n">
        <f aca="false">$C$2*(1+IF(E$3&lt;=$O$2,$D580,$D580-($D580-$I$562)*MIN(E$3-$O$2,$Q$2)/$Q$2))</f>
        <v>2536.94072723389</v>
      </c>
      <c r="F580" s="15" t="n">
        <f aca="false">E580*(1+IF(F$3&lt;=$O$2,$D580,$D580-($D580-$I$562)*MIN(F$3-$O$2,$Q$2)/$Q$2))</f>
        <v>2692.91558723766</v>
      </c>
      <c r="G580" s="15" t="n">
        <f aca="false">F580*(1+IF(G$3&lt;=$O$2,$D580,$D580-($D580-$I$562)*MIN(G$3-$O$2,$Q$2)/$Q$2))</f>
        <v>2858.48001182685</v>
      </c>
      <c r="H580" s="15" t="n">
        <f aca="false">G580*(1+IF(H$3&lt;=$O$2,$D580,$D580-($D580-$I$562)*MIN(H$3-$O$2,$Q$2)/$Q$2))</f>
        <v>3034.22358158474</v>
      </c>
      <c r="I580" s="15" t="n">
        <f aca="false">H580*(1+IF(I$3&lt;=$O$2,$D580,$D580-($D580-$I$562)*MIN(I$3-$O$2,$Q$2)/$Q$2))</f>
        <v>3220.772125379</v>
      </c>
      <c r="J580" s="15" t="n">
        <f aca="false">I580*(1+IF(J$3&lt;=$O$2,$D580,$D580-($D580-$I$562)*MIN(J$3-$O$2,$Q$2)/$Q$2))</f>
        <v>3403.85749872395</v>
      </c>
      <c r="K580" s="15" t="n">
        <f aca="false">J580*(1+IF(K$3&lt;=$O$2,$D580,$D580-($D580-$I$562)*MIN(K$3-$O$2,$Q$2)/$Q$2))</f>
        <v>3581.56910512649</v>
      </c>
      <c r="L580" s="15" t="n">
        <f aca="false">K580*(1+IF(L$3&lt;=$O$2,$D580,$D580-($D580-$I$562)*MIN(L$3-$O$2,$Q$2)/$Q$2))</f>
        <v>3751.95362491053</v>
      </c>
      <c r="M580" s="15" t="n">
        <f aca="false">L580*(1+IF(M$3&lt;=$O$2,$D580,$D580-($D580-$I$562)*MIN(M$3-$O$2,$Q$2)/$Q$2))</f>
        <v>3913.0486131989</v>
      </c>
      <c r="N580" s="15" t="n">
        <f aca="false">M580*(1+IF(N$3&lt;=$O$2,$D580,$D580-($D580-$I$562)*MIN(N$3-$O$2,$Q$2)/$Q$2))</f>
        <v>4062.91837508441</v>
      </c>
      <c r="O580" s="15" t="n">
        <f aca="false">SUMPRODUCT(E580:N580,1/(1+$F$562)^$E$3:$N$3)*$E$2</f>
        <v>9137.30768768324</v>
      </c>
      <c r="P580" s="15" t="n">
        <f aca="false">N580*$E$2*(1+$I$562)/($F$562-$I$562)/(1+$F$562)^$N$3</f>
        <v>11873.4608589703</v>
      </c>
      <c r="Q580" s="15" t="n">
        <f aca="false">O580+P580</f>
        <v>21010.7685466535</v>
      </c>
      <c r="R580" s="15" t="n">
        <f aca="false">Q580-$G$2+$I$2</f>
        <v>15659.2085466535</v>
      </c>
      <c r="S580" s="42" t="n">
        <f aca="false">R580/$K$2</f>
        <v>724.963358641368</v>
      </c>
      <c r="T580" s="43" t="n">
        <f aca="false">S580-$M$2</f>
        <v>-0.036641358632437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0.0614814758300781</v>
      </c>
      <c r="C581" s="25" t="n">
        <f aca="false">IF(T580&gt;0,D580,C580)</f>
        <v>0.061492919921875</v>
      </c>
      <c r="D581" s="41" t="n">
        <f aca="false">(B581+C581)/2</f>
        <v>0.0614871978759766</v>
      </c>
      <c r="E581" s="15" t="n">
        <f aca="false">$C$2*(1+IF(E$3&lt;=$O$2,$D581,$D581-($D581-$I$562)*MIN(E$3-$O$2,$Q$2)/$Q$2))</f>
        <v>2536.95440292358</v>
      </c>
      <c r="F581" s="15" t="n">
        <f aca="false">E581*(1+IF(F$3&lt;=$O$2,$D581,$D581-($D581-$I$562)*MIN(F$3-$O$2,$Q$2)/$Q$2))</f>
        <v>2692.94462029848</v>
      </c>
      <c r="G581" s="15" t="n">
        <f aca="false">F581*(1+IF(G$3&lt;=$O$2,$D581,$D581-($D581-$I$562)*MIN(G$3-$O$2,$Q$2)/$Q$2))</f>
        <v>2858.52623903582</v>
      </c>
      <c r="H581" s="15" t="n">
        <f aca="false">G581*(1+IF(H$3&lt;=$O$2,$D581,$D581-($D581-$I$562)*MIN(H$3-$O$2,$Q$2)/$Q$2))</f>
        <v>3034.28900752908</v>
      </c>
      <c r="I581" s="15" t="n">
        <f aca="false">H581*(1+IF(I$3&lt;=$O$2,$D581,$D581-($D581-$I$562)*MIN(I$3-$O$2,$Q$2)/$Q$2))</f>
        <v>3220.85893614792</v>
      </c>
      <c r="J581" s="15" t="n">
        <f aca="false">I581*(1+IF(J$3&lt;=$O$2,$D581,$D581-($D581-$I$562)*MIN(J$3-$O$2,$Q$2)/$Q$2))</f>
        <v>3403.96398818884</v>
      </c>
      <c r="K581" s="15" t="n">
        <f aca="false">J581*(1+IF(K$3&lt;=$O$2,$D581,$D581-($D581-$I$562)*MIN(K$3-$O$2,$Q$2)/$Q$2))</f>
        <v>3581.69284087058</v>
      </c>
      <c r="L581" s="15" t="n">
        <f aca="false">K581*(1+IF(L$3&lt;=$O$2,$D581,$D581-($D581-$I$562)*MIN(L$3-$O$2,$Q$2)/$Q$2))</f>
        <v>3752.09144492881</v>
      </c>
      <c r="M581" s="15" t="n">
        <f aca="false">L581*(1+IF(M$3&lt;=$O$2,$D581,$D581-($D581-$I$562)*MIN(M$3-$O$2,$Q$2)/$Q$2))</f>
        <v>3913.19664462605</v>
      </c>
      <c r="N581" s="15" t="n">
        <f aca="false">M581*(1+IF(N$3&lt;=$O$2,$D581,$D581-($D581-$I$562)*MIN(N$3-$O$2,$Q$2)/$Q$2))</f>
        <v>4063.07207611523</v>
      </c>
      <c r="O581" s="15" t="n">
        <f aca="false">SUMPRODUCT(E581:N581,1/(1+$F$562)^$E$3:$N$3)*$E$2</f>
        <v>9137.53208756434</v>
      </c>
      <c r="P581" s="15" t="n">
        <f aca="false">N581*$E$2*(1+$I$562)/($F$562-$I$562)/(1+$F$562)^$N$3</f>
        <v>11873.9100344163</v>
      </c>
      <c r="Q581" s="15" t="n">
        <f aca="false">O581+P581</f>
        <v>21011.4421219807</v>
      </c>
      <c r="R581" s="15" t="n">
        <f aca="false">Q581-$G$2+$I$2</f>
        <v>15659.8821219807</v>
      </c>
      <c r="S581" s="42" t="n">
        <f aca="false">R581/$K$2</f>
        <v>724.994542684291</v>
      </c>
      <c r="T581" s="43" t="n">
        <f aca="false">S581-$M$2</f>
        <v>-0.00545731570912267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0.0614871978759766</v>
      </c>
      <c r="C582" s="25" t="n">
        <f aca="false">IF(T581&gt;0,D581,C581)</f>
        <v>0.061492919921875</v>
      </c>
      <c r="D582" s="41" t="n">
        <f aca="false">(B582+C582)/2</f>
        <v>0.0614900588989258</v>
      </c>
      <c r="E582" s="15" t="n">
        <f aca="false">$C$2*(1+IF(E$3&lt;=$O$2,$D582,$D582-($D582-$I$562)*MIN(E$3-$O$2,$Q$2)/$Q$2))</f>
        <v>2536.96124076843</v>
      </c>
      <c r="F582" s="15" t="n">
        <f aca="false">E582*(1+IF(F$3&lt;=$O$2,$D582,$D582-($D582-$I$562)*MIN(F$3-$O$2,$Q$2)/$Q$2))</f>
        <v>2692.95913688758</v>
      </c>
      <c r="G582" s="15" t="n">
        <f aca="false">F582*(1+IF(G$3&lt;=$O$2,$D582,$D582-($D582-$I$562)*MIN(G$3-$O$2,$Q$2)/$Q$2))</f>
        <v>2858.54935282719</v>
      </c>
      <c r="H582" s="15" t="n">
        <f aca="false">G582*(1+IF(H$3&lt;=$O$2,$D582,$D582-($D582-$I$562)*MIN(H$3-$O$2,$Q$2)/$Q$2))</f>
        <v>3034.32172089802</v>
      </c>
      <c r="I582" s="15" t="n">
        <f aca="false">H582*(1+IF(I$3&lt;=$O$2,$D582,$D582-($D582-$I$562)*MIN(I$3-$O$2,$Q$2)/$Q$2))</f>
        <v>3220.90234223433</v>
      </c>
      <c r="J582" s="15" t="n">
        <f aca="false">I582*(1+IF(J$3&lt;=$O$2,$D582,$D582-($D582-$I$562)*MIN(J$3-$O$2,$Q$2)/$Q$2))</f>
        <v>3404.01723396119</v>
      </c>
      <c r="K582" s="15" t="n">
        <f aca="false">J582*(1+IF(K$3&lt;=$O$2,$D582,$D582-($D582-$I$562)*MIN(K$3-$O$2,$Q$2)/$Q$2))</f>
        <v>3581.75471011101</v>
      </c>
      <c r="L582" s="15" t="n">
        <f aca="false">K582*(1+IF(L$3&lt;=$O$2,$D582,$D582-($D582-$I$562)*MIN(L$3-$O$2,$Q$2)/$Q$2))</f>
        <v>3752.16035658386</v>
      </c>
      <c r="M582" s="15" t="n">
        <f aca="false">L582*(1+IF(M$3&lt;=$O$2,$D582,$D582-($D582-$I$562)*MIN(M$3-$O$2,$Q$2)/$Q$2))</f>
        <v>3913.2706621745</v>
      </c>
      <c r="N582" s="15" t="n">
        <f aca="false">M582*(1+IF(N$3&lt;=$O$2,$D582,$D582-($D582-$I$562)*MIN(N$3-$O$2,$Q$2)/$Q$2))</f>
        <v>4063.14892853578</v>
      </c>
      <c r="O582" s="15" t="n">
        <f aca="false">SUMPRODUCT(E582:N582,1/(1+$F$562)^$E$3:$N$3)*$E$2</f>
        <v>9137.64428959055</v>
      </c>
      <c r="P582" s="15" t="n">
        <f aca="false">N582*$E$2*(1+$I$562)/($F$562-$I$562)/(1+$F$562)^$N$3</f>
        <v>11874.134627707</v>
      </c>
      <c r="Q582" s="15" t="n">
        <f aca="false">O582+P582</f>
        <v>21011.7789172975</v>
      </c>
      <c r="R582" s="15" t="n">
        <f aca="false">Q582-$G$2+$I$2</f>
        <v>15660.2189172975</v>
      </c>
      <c r="S582" s="42" t="n">
        <f aca="false">R582/$K$2</f>
        <v>725.01013506007</v>
      </c>
      <c r="T582" s="43" t="n">
        <f aca="false">S582-$M$2</f>
        <v>0.0101350600698424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0.0614871978759766</v>
      </c>
      <c r="C583" s="25" t="n">
        <f aca="false">IF(T582&gt;0,D582,C582)</f>
        <v>0.0614900588989258</v>
      </c>
      <c r="D583" s="41" t="n">
        <f aca="false">(B583+C583)/2</f>
        <v>0.0614886283874512</v>
      </c>
      <c r="E583" s="15" t="n">
        <f aca="false">$C$2*(1+IF(E$3&lt;=$O$2,$D583,$D583-($D583-$I$562)*MIN(E$3-$O$2,$Q$2)/$Q$2))</f>
        <v>2536.95782184601</v>
      </c>
      <c r="F583" s="15" t="n">
        <f aca="false">E583*(1+IF(F$3&lt;=$O$2,$D583,$D583-($D583-$I$562)*MIN(F$3-$O$2,$Q$2)/$Q$2))</f>
        <v>2692.95187858814</v>
      </c>
      <c r="G583" s="15" t="n">
        <f aca="false">F583*(1+IF(G$3&lt;=$O$2,$D583,$D583-($D583-$I$562)*MIN(G$3-$O$2,$Q$2)/$Q$2))</f>
        <v>2858.53779591593</v>
      </c>
      <c r="H583" s="15" t="n">
        <f aca="false">G583*(1+IF(H$3&lt;=$O$2,$D583,$D583-($D583-$I$562)*MIN(H$3-$O$2,$Q$2)/$Q$2))</f>
        <v>3034.30536418049</v>
      </c>
      <c r="I583" s="15" t="n">
        <f aca="false">H583*(1+IF(I$3&lt;=$O$2,$D583,$D583-($D583-$I$562)*MIN(I$3-$O$2,$Q$2)/$Q$2))</f>
        <v>3220.88063913263</v>
      </c>
      <c r="J583" s="15" t="n">
        <f aca="false">I583*(1+IF(J$3&lt;=$O$2,$D583,$D583-($D583-$I$562)*MIN(J$3-$O$2,$Q$2)/$Q$2))</f>
        <v>3403.99061098836</v>
      </c>
      <c r="K583" s="15" t="n">
        <f aca="false">J583*(1+IF(K$3&lt;=$O$2,$D583,$D583-($D583-$I$562)*MIN(K$3-$O$2,$Q$2)/$Q$2))</f>
        <v>3581.72377537676</v>
      </c>
      <c r="L583" s="15" t="n">
        <f aca="false">K583*(1+IF(L$3&lt;=$O$2,$D583,$D583-($D583-$I$562)*MIN(L$3-$O$2,$Q$2)/$Q$2))</f>
        <v>3752.12590061918</v>
      </c>
      <c r="M583" s="15" t="n">
        <f aca="false">L583*(1+IF(M$3&lt;=$O$2,$D583,$D583-($D583-$I$562)*MIN(M$3-$O$2,$Q$2)/$Q$2))</f>
        <v>3913.23365324737</v>
      </c>
      <c r="N583" s="15" t="n">
        <f aca="false">M583*(1+IF(N$3&lt;=$O$2,$D583,$D583-($D583-$I$562)*MIN(N$3-$O$2,$Q$2)/$Q$2))</f>
        <v>4063.11050216674</v>
      </c>
      <c r="O583" s="15" t="n">
        <f aca="false">SUMPRODUCT(E583:N583,1/(1+$F$562)^$E$3:$N$3)*$E$2</f>
        <v>9137.58818840364</v>
      </c>
      <c r="P583" s="15" t="n">
        <f aca="false">N583*$E$2*(1+$I$562)/($F$562-$I$562)/(1+$F$562)^$N$3</f>
        <v>11874.0223305977</v>
      </c>
      <c r="Q583" s="15" t="n">
        <f aca="false">O583+P583</f>
        <v>21011.6105190013</v>
      </c>
      <c r="R583" s="15" t="n">
        <f aca="false">Q583-$G$2+$I$2</f>
        <v>15660.0505190013</v>
      </c>
      <c r="S583" s="42" t="n">
        <f aca="false">R583/$K$2</f>
        <v>725.002338842654</v>
      </c>
      <c r="T583" s="43" t="n">
        <f aca="false">S583-$M$2</f>
        <v>0.00233884265367124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0.0614871978759766</v>
      </c>
      <c r="C584" s="25" t="n">
        <f aca="false">IF(T583&gt;0,D583,C583)</f>
        <v>0.0614886283874512</v>
      </c>
      <c r="D584" s="41" t="n">
        <f aca="false">(B584+C584)/2</f>
        <v>0.0614879131317139</v>
      </c>
      <c r="E584" s="15" t="n">
        <f aca="false">$C$2*(1+IF(E$3&lt;=$O$2,$D584,$D584-($D584-$I$562)*MIN(E$3-$O$2,$Q$2)/$Q$2))</f>
        <v>2536.9561123848</v>
      </c>
      <c r="F584" s="15" t="n">
        <f aca="false">E584*(1+IF(F$3&lt;=$O$2,$D584,$D584-($D584-$I$562)*MIN(F$3-$O$2,$Q$2)/$Q$2))</f>
        <v>2692.94824944208</v>
      </c>
      <c r="G584" s="15" t="n">
        <f aca="false">F584*(1+IF(G$3&lt;=$O$2,$D584,$D584-($D584-$I$562)*MIN(G$3-$O$2,$Q$2)/$Q$2))</f>
        <v>2858.53201747198</v>
      </c>
      <c r="H584" s="15" t="n">
        <f aca="false">G584*(1+IF(H$3&lt;=$O$2,$D584,$D584-($D584-$I$562)*MIN(H$3-$O$2,$Q$2)/$Q$2))</f>
        <v>3034.29718584652</v>
      </c>
      <c r="I584" s="15" t="n">
        <f aca="false">H584*(1+IF(I$3&lt;=$O$2,$D584,$D584-($D584-$I$562)*MIN(I$3-$O$2,$Q$2)/$Q$2))</f>
        <v>3220.86978762565</v>
      </c>
      <c r="J584" s="15" t="n">
        <f aca="false">I584*(1+IF(J$3&lt;=$O$2,$D584,$D584-($D584-$I$562)*MIN(J$3-$O$2,$Q$2)/$Q$2))</f>
        <v>3403.97729956694</v>
      </c>
      <c r="K584" s="15" t="n">
        <f aca="false">J584*(1+IF(K$3&lt;=$O$2,$D584,$D584-($D584-$I$562)*MIN(K$3-$O$2,$Q$2)/$Q$2))</f>
        <v>3581.70830809516</v>
      </c>
      <c r="L584" s="15" t="n">
        <f aca="false">K584*(1+IF(L$3&lt;=$O$2,$D584,$D584-($D584-$I$562)*MIN(L$3-$O$2,$Q$2)/$Q$2))</f>
        <v>3752.1086727397</v>
      </c>
      <c r="M584" s="15" t="n">
        <f aca="false">L584*(1+IF(M$3&lt;=$O$2,$D584,$D584-($D584-$I$562)*MIN(M$3-$O$2,$Q$2)/$Q$2))</f>
        <v>3913.21514889848</v>
      </c>
      <c r="N584" s="15" t="n">
        <f aca="false">M584*(1+IF(N$3&lt;=$O$2,$D584,$D584-($D584-$I$562)*MIN(N$3-$O$2,$Q$2)/$Q$2))</f>
        <v>4063.09128910129</v>
      </c>
      <c r="O584" s="15" t="n">
        <f aca="false">SUMPRODUCT(E584:N584,1/(1+$F$562)^$E$3:$N$3)*$E$2</f>
        <v>9137.56013794053</v>
      </c>
      <c r="P584" s="15" t="n">
        <f aca="false">N584*$E$2*(1+$I$562)/($F$562-$I$562)/(1+$F$562)^$N$3</f>
        <v>11873.966182391</v>
      </c>
      <c r="Q584" s="15" t="n">
        <f aca="false">O584+P584</f>
        <v>21011.5263203316</v>
      </c>
      <c r="R584" s="15" t="n">
        <f aca="false">Q584-$G$2+$I$2</f>
        <v>15659.9663203316</v>
      </c>
      <c r="S584" s="42" t="n">
        <f aca="false">R584/$K$2</f>
        <v>724.998440756091</v>
      </c>
      <c r="T584" s="43" t="n">
        <f aca="false">S584-$M$2</f>
        <v>-0.00155924390946893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0.0614879131317139</v>
      </c>
      <c r="C585" s="25" t="n">
        <f aca="false">IF(T584&gt;0,D584,C584)</f>
        <v>0.0614886283874512</v>
      </c>
      <c r="D585" s="41" t="n">
        <f aca="false">(B585+C585)/2</f>
        <v>0.0614882707595825</v>
      </c>
      <c r="E585" s="15" t="n">
        <f aca="false">$C$2*(1+IF(E$3&lt;=$O$2,$D585,$D585-($D585-$I$562)*MIN(E$3-$O$2,$Q$2)/$Q$2))</f>
        <v>2536.9569671154</v>
      </c>
      <c r="F585" s="15" t="n">
        <f aca="false">E585*(1+IF(F$3&lt;=$O$2,$D585,$D585-($D585-$I$562)*MIN(F$3-$O$2,$Q$2)/$Q$2))</f>
        <v>2692.9500640148</v>
      </c>
      <c r="G585" s="15" t="n">
        <f aca="false">F585*(1+IF(G$3&lt;=$O$2,$D585,$D585-($D585-$I$562)*MIN(G$3-$O$2,$Q$2)/$Q$2))</f>
        <v>2858.53490669298</v>
      </c>
      <c r="H585" s="15" t="n">
        <f aca="false">G585*(1+IF(H$3&lt;=$O$2,$D585,$D585-($D585-$I$562)*MIN(H$3-$O$2,$Q$2)/$Q$2))</f>
        <v>3034.30127501144</v>
      </c>
      <c r="I585" s="15" t="n">
        <f aca="false">H585*(1+IF(I$3&lt;=$O$2,$D585,$D585-($D585-$I$562)*MIN(I$3-$O$2,$Q$2)/$Q$2))</f>
        <v>3220.87521337549</v>
      </c>
      <c r="J585" s="15" t="n">
        <f aca="false">I585*(1+IF(J$3&lt;=$O$2,$D585,$D585-($D585-$I$562)*MIN(J$3-$O$2,$Q$2)/$Q$2))</f>
        <v>3403.98395527223</v>
      </c>
      <c r="K585" s="15" t="n">
        <f aca="false">J585*(1+IF(K$3&lt;=$O$2,$D585,$D585-($D585-$I$562)*MIN(K$3-$O$2,$Q$2)/$Q$2))</f>
        <v>3581.71604172883</v>
      </c>
      <c r="L585" s="15" t="n">
        <f aca="false">K585*(1+IF(L$3&lt;=$O$2,$D585,$D585-($D585-$I$562)*MIN(L$3-$O$2,$Q$2)/$Q$2))</f>
        <v>3752.11728667087</v>
      </c>
      <c r="M585" s="15" t="n">
        <f aca="false">L585*(1+IF(M$3&lt;=$O$2,$D585,$D585-($D585-$I$562)*MIN(M$3-$O$2,$Q$2)/$Q$2))</f>
        <v>3913.22440106337</v>
      </c>
      <c r="N585" s="15" t="n">
        <f aca="false">M585*(1+IF(N$3&lt;=$O$2,$D585,$D585-($D585-$I$562)*MIN(N$3-$O$2,$Q$2)/$Q$2))</f>
        <v>4063.1008956241</v>
      </c>
      <c r="O585" s="15" t="n">
        <f aca="false">SUMPRODUCT(E585:N585,1/(1+$F$562)^$E$3:$N$3)*$E$2</f>
        <v>9137.57416316122</v>
      </c>
      <c r="P585" s="15" t="n">
        <f aca="false">N585*$E$2*(1+$I$562)/($F$562-$I$562)/(1+$F$562)^$N$3</f>
        <v>11873.9942564654</v>
      </c>
      <c r="Q585" s="15" t="n">
        <f aca="false">O585+P585</f>
        <v>21011.5684196266</v>
      </c>
      <c r="R585" s="15" t="n">
        <f aca="false">Q585-$G$2+$I$2</f>
        <v>15660.0084196266</v>
      </c>
      <c r="S585" s="42" t="n">
        <f aca="false">R585/$K$2</f>
        <v>725.000389797527</v>
      </c>
      <c r="T585" s="43" t="n">
        <f aca="false">S585-$M$2</f>
        <v>0.000389797526622715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0.0614879131317139</v>
      </c>
      <c r="C586" s="25" t="n">
        <f aca="false">IF(T585&gt;0,D585,C585)</f>
        <v>0.0614882707595825</v>
      </c>
      <c r="D586" s="41" t="n">
        <f aca="false">(B586+C586)/2</f>
        <v>0.0614880919456482</v>
      </c>
      <c r="E586" s="15" t="n">
        <f aca="false">$C$2*(1+IF(E$3&lt;=$O$2,$D586,$D586-($D586-$I$562)*MIN(E$3-$O$2,$Q$2)/$Q$2))</f>
        <v>2536.9565397501</v>
      </c>
      <c r="F586" s="15" t="n">
        <f aca="false">E586*(1+IF(F$3&lt;=$O$2,$D586,$D586-($D586-$I$562)*MIN(F$3-$O$2,$Q$2)/$Q$2))</f>
        <v>2692.94915672837</v>
      </c>
      <c r="G586" s="15" t="n">
        <f aca="false">F586*(1+IF(G$3&lt;=$O$2,$D586,$D586-($D586-$I$562)*MIN(G$3-$O$2,$Q$2)/$Q$2))</f>
        <v>2858.53346208224</v>
      </c>
      <c r="H586" s="15" t="n">
        <f aca="false">G586*(1+IF(H$3&lt;=$O$2,$D586,$D586-($D586-$I$562)*MIN(H$3-$O$2,$Q$2)/$Q$2))</f>
        <v>3034.29923042846</v>
      </c>
      <c r="I586" s="15" t="n">
        <f aca="false">H586*(1+IF(I$3&lt;=$O$2,$D586,$D586-($D586-$I$562)*MIN(I$3-$O$2,$Q$2)/$Q$2))</f>
        <v>3220.87250049966</v>
      </c>
      <c r="J586" s="15" t="n">
        <f aca="false">I586*(1+IF(J$3&lt;=$O$2,$D586,$D586-($D586-$I$562)*MIN(J$3-$O$2,$Q$2)/$Q$2))</f>
        <v>3403.98062741823</v>
      </c>
      <c r="K586" s="15" t="n">
        <f aca="false">J586*(1+IF(K$3&lt;=$O$2,$D586,$D586-($D586-$I$562)*MIN(K$3-$O$2,$Q$2)/$Q$2))</f>
        <v>3581.71217491022</v>
      </c>
      <c r="L586" s="15" t="n">
        <f aca="false">K586*(1+IF(L$3&lt;=$O$2,$D586,$D586-($D586-$I$562)*MIN(L$3-$O$2,$Q$2)/$Q$2))</f>
        <v>3752.11297970314</v>
      </c>
      <c r="M586" s="15" t="n">
        <f aca="false">L586*(1+IF(M$3&lt;=$O$2,$D586,$D586-($D586-$I$562)*MIN(M$3-$O$2,$Q$2)/$Q$2))</f>
        <v>3913.21977497854</v>
      </c>
      <c r="N586" s="15" t="n">
        <f aca="false">M586*(1+IF(N$3&lt;=$O$2,$D586,$D586-($D586-$I$562)*MIN(N$3-$O$2,$Q$2)/$Q$2))</f>
        <v>4063.09609236021</v>
      </c>
      <c r="O586" s="15" t="n">
        <f aca="false">SUMPRODUCT(E586:N586,1/(1+$F$562)^$E$3:$N$3)*$E$2</f>
        <v>9137.56715054816</v>
      </c>
      <c r="P586" s="15" t="n">
        <f aca="false">N586*$E$2*(1+$I$562)/($F$562-$I$562)/(1+$F$562)^$N$3</f>
        <v>11873.9802194209</v>
      </c>
      <c r="Q586" s="15" t="n">
        <f aca="false">O586+P586</f>
        <v>21011.5473699691</v>
      </c>
      <c r="R586" s="15" t="n">
        <f aca="false">Q586-$G$2+$I$2</f>
        <v>15659.9873699691</v>
      </c>
      <c r="S586" s="42" t="n">
        <f aca="false">R586/$K$2</f>
        <v>724.999415276347</v>
      </c>
      <c r="T586" s="43" t="n">
        <f aca="false">S586-$M$2</f>
        <v>-0.000584723652650609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0.0614880919456482</v>
      </c>
      <c r="C587" s="25" t="n">
        <f aca="false">IF(T586&gt;0,D586,C586)</f>
        <v>0.0614882707595825</v>
      </c>
      <c r="D587" s="41" t="n">
        <f aca="false">(B587+C587)/2</f>
        <v>0.0614881813526154</v>
      </c>
      <c r="E587" s="15" t="n">
        <f aca="false">$C$2*(1+IF(E$3&lt;=$O$2,$D587,$D587-($D587-$I$562)*MIN(E$3-$O$2,$Q$2)/$Q$2))</f>
        <v>2536.95675343275</v>
      </c>
      <c r="F587" s="15" t="n">
        <f aca="false">E587*(1+IF(F$3&lt;=$O$2,$D587,$D587-($D587-$I$562)*MIN(F$3-$O$2,$Q$2)/$Q$2))</f>
        <v>2692.94961037157</v>
      </c>
      <c r="G587" s="15" t="n">
        <f aca="false">F587*(1+IF(G$3&lt;=$O$2,$D587,$D587-($D587-$I$562)*MIN(G$3-$O$2,$Q$2)/$Q$2))</f>
        <v>2858.53418438755</v>
      </c>
      <c r="H587" s="15" t="n">
        <f aca="false">G587*(1+IF(H$3&lt;=$O$2,$D587,$D587-($D587-$I$562)*MIN(H$3-$O$2,$Q$2)/$Q$2))</f>
        <v>3034.30025271982</v>
      </c>
      <c r="I587" s="15" t="n">
        <f aca="false">H587*(1+IF(I$3&lt;=$O$2,$D587,$D587-($D587-$I$562)*MIN(I$3-$O$2,$Q$2)/$Q$2))</f>
        <v>3220.87385693734</v>
      </c>
      <c r="J587" s="15" t="n">
        <f aca="false">I587*(1+IF(J$3&lt;=$O$2,$D587,$D587-($D587-$I$562)*MIN(J$3-$O$2,$Q$2)/$Q$2))</f>
        <v>3403.98229134489</v>
      </c>
      <c r="K587" s="15" t="n">
        <f aca="false">J587*(1+IF(K$3&lt;=$O$2,$D587,$D587-($D587-$I$562)*MIN(K$3-$O$2,$Q$2)/$Q$2))</f>
        <v>3581.71410831908</v>
      </c>
      <c r="L587" s="15" t="n">
        <f aca="false">K587*(1+IF(L$3&lt;=$O$2,$D587,$D587-($D587-$I$562)*MIN(L$3-$O$2,$Q$2)/$Q$2))</f>
        <v>3752.11513318647</v>
      </c>
      <c r="M587" s="15" t="n">
        <f aca="false">L587*(1+IF(M$3&lt;=$O$2,$D587,$D587-($D587-$I$562)*MIN(M$3-$O$2,$Q$2)/$Q$2))</f>
        <v>3913.22208802035</v>
      </c>
      <c r="N587" s="15" t="n">
        <f aca="false">M587*(1+IF(N$3&lt;=$O$2,$D587,$D587-($D587-$I$562)*MIN(N$3-$O$2,$Q$2)/$Q$2))</f>
        <v>4063.09849399153</v>
      </c>
      <c r="O587" s="15" t="n">
        <f aca="false">SUMPRODUCT(E587:N587,1/(1+$F$562)^$E$3:$N$3)*$E$2</f>
        <v>9137.57065685401</v>
      </c>
      <c r="P587" s="15" t="n">
        <f aca="false">N587*$E$2*(1+$I$562)/($F$562-$I$562)/(1+$F$562)^$N$3</f>
        <v>11873.9872379413</v>
      </c>
      <c r="Q587" s="15" t="n">
        <f aca="false">O587+P587</f>
        <v>21011.5578947953</v>
      </c>
      <c r="R587" s="15" t="n">
        <f aca="false">Q587-$G$2+$I$2</f>
        <v>15659.9978947953</v>
      </c>
      <c r="S587" s="42" t="n">
        <f aca="false">R587/$K$2</f>
        <v>724.999902536822</v>
      </c>
      <c r="T587" s="43" t="n">
        <f aca="false">S587-$M$2</f>
        <v>-9.74631783492441E-005</v>
      </c>
    </row>
    <row r="589" customFormat="false" ht="15" hidden="false" customHeight="false" outlineLevel="0" collapsed="false">
      <c r="A589" s="38" t="s">
        <v>202</v>
      </c>
      <c r="E589" s="5" t="s">
        <v>11</v>
      </c>
      <c r="F589" s="12" t="n">
        <f aca="false">Sensitivity!$B$14</f>
        <v>0.106972178572932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162</v>
      </c>
      <c r="B590" s="28" t="s">
        <v>163</v>
      </c>
      <c r="C590" s="28" t="s">
        <v>164</v>
      </c>
      <c r="D590" s="28" t="s">
        <v>165</v>
      </c>
      <c r="E590" s="28" t="s">
        <v>166</v>
      </c>
      <c r="F590" s="28" t="s">
        <v>167</v>
      </c>
      <c r="G590" s="28" t="s">
        <v>168</v>
      </c>
      <c r="H590" s="28" t="s">
        <v>169</v>
      </c>
      <c r="I590" s="28" t="s">
        <v>170</v>
      </c>
      <c r="J590" s="28" t="s">
        <v>171</v>
      </c>
      <c r="K590" s="28" t="s">
        <v>172</v>
      </c>
      <c r="L590" s="28" t="s">
        <v>173</v>
      </c>
      <c r="M590" s="28" t="s">
        <v>174</v>
      </c>
      <c r="N590" s="28" t="s">
        <v>175</v>
      </c>
      <c r="O590" s="28" t="s">
        <v>176</v>
      </c>
      <c r="P590" s="28" t="s">
        <v>177</v>
      </c>
      <c r="Q590" s="28" t="s">
        <v>178</v>
      </c>
      <c r="R590" s="28" t="s">
        <v>179</v>
      </c>
      <c r="S590" s="28" t="s">
        <v>180</v>
      </c>
      <c r="T590" s="28" t="s">
        <v>181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2987.5</v>
      </c>
      <c r="F591" s="15" t="n">
        <f aca="false">E591*(1+IF(F$3&lt;=$O$2,$D591,$D591-($D591-$I$589)*MIN(F$3-$O$2,$Q$2)/$Q$2))</f>
        <v>3734.375</v>
      </c>
      <c r="G591" s="15" t="n">
        <f aca="false">F591*(1+IF(G$3&lt;=$O$2,$D591,$D591-($D591-$I$589)*MIN(G$3-$O$2,$Q$2)/$Q$2))</f>
        <v>4667.96875</v>
      </c>
      <c r="H591" s="15" t="n">
        <f aca="false">G591*(1+IF(H$3&lt;=$O$2,$D591,$D591-($D591-$I$589)*MIN(H$3-$O$2,$Q$2)/$Q$2))</f>
        <v>5834.9609375</v>
      </c>
      <c r="I591" s="15" t="n">
        <f aca="false">H591*(1+IF(I$3&lt;=$O$2,$D591,$D591-($D591-$I$589)*MIN(I$3-$O$2,$Q$2)/$Q$2))</f>
        <v>7293.701171875</v>
      </c>
      <c r="J591" s="15" t="n">
        <f aca="false">I591*(1+IF(J$3&lt;=$O$2,$D591,$D591-($D591-$I$589)*MIN(J$3-$O$2,$Q$2)/$Q$2))</f>
        <v>8779.13635253906</v>
      </c>
      <c r="K591" s="15" t="n">
        <f aca="false">J591*(1+IF(K$3&lt;=$O$2,$D591,$D591-($D591-$I$589)*MIN(K$3-$O$2,$Q$2)/$Q$2))</f>
        <v>10160.2700835205</v>
      </c>
      <c r="L591" s="15" t="n">
        <f aca="false">K591*(1+IF(L$3&lt;=$O$2,$D591,$D591-($D591-$I$589)*MIN(L$3-$O$2,$Q$2)/$Q$2))</f>
        <v>11287.8568573896</v>
      </c>
      <c r="M591" s="15" t="n">
        <f aca="false">L591*(1+IF(M$3&lt;=$O$2,$D591,$D591-($D591-$I$589)*MIN(M$3-$O$2,$Q$2)/$Q$2))</f>
        <v>12017.5039246513</v>
      </c>
      <c r="N591" s="15" t="n">
        <f aca="false">M591*(1+IF(N$3&lt;=$O$2,$D591,$D591-($D591-$I$589)*MIN(N$3-$O$2,$Q$2)/$Q$2))</f>
        <v>12237.4242464724</v>
      </c>
      <c r="O591" s="15" t="n">
        <f aca="false">SUMPRODUCT(E591:N591,1/(1+$F$589)^$E$3:$N$3)*$E$2</f>
        <v>19625.4636052423</v>
      </c>
      <c r="P591" s="15" t="n">
        <f aca="false">N591*$E$2*(1+$I$589)/($F$589-$I$589)/(1+$F$589)^$N$3</f>
        <v>24070.4220840365</v>
      </c>
      <c r="Q591" s="15" t="n">
        <f aca="false">O591+P591</f>
        <v>43695.8856892789</v>
      </c>
      <c r="R591" s="15" t="n">
        <f aca="false">Q591-$G$2+$I$2</f>
        <v>38344.3256892789</v>
      </c>
      <c r="S591" s="42" t="n">
        <f aca="false">R591/$K$2</f>
        <v>1775.20026339254</v>
      </c>
      <c r="T591" s="43" t="n">
        <f aca="false">S591-$M$2</f>
        <v>1050.20026339254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2091.25</v>
      </c>
      <c r="F592" s="15" t="n">
        <f aca="false">E592*(1+IF(F$3&lt;=$O$2,$D592,$D592-($D592-$I$589)*MIN(F$3-$O$2,$Q$2)/$Q$2))</f>
        <v>1829.84375</v>
      </c>
      <c r="G592" s="15" t="n">
        <f aca="false">F592*(1+IF(G$3&lt;=$O$2,$D592,$D592-($D592-$I$589)*MIN(G$3-$O$2,$Q$2)/$Q$2))</f>
        <v>1601.11328125</v>
      </c>
      <c r="H592" s="15" t="n">
        <f aca="false">G592*(1+IF(H$3&lt;=$O$2,$D592,$D592-($D592-$I$589)*MIN(H$3-$O$2,$Q$2)/$Q$2))</f>
        <v>1400.97412109375</v>
      </c>
      <c r="I592" s="15" t="n">
        <f aca="false">H592*(1+IF(I$3&lt;=$O$2,$D592,$D592-($D592-$I$589)*MIN(I$3-$O$2,$Q$2)/$Q$2))</f>
        <v>1225.85235595703</v>
      </c>
      <c r="J592" s="15" t="n">
        <f aca="false">I592*(1+IF(J$3&lt;=$O$2,$D592,$D592-($D592-$I$589)*MIN(J$3-$O$2,$Q$2)/$Q$2))</f>
        <v>1107.75373998413</v>
      </c>
      <c r="K592" s="15" t="n">
        <f aca="false">J592*(1+IF(K$3&lt;=$O$2,$D592,$D592-($D592-$I$589)*MIN(K$3-$O$2,$Q$2)/$Q$2))</f>
        <v>1032.780966862</v>
      </c>
      <c r="L592" s="15" t="n">
        <f aca="false">K592*(1+IF(L$3&lt;=$O$2,$D592,$D592-($D592-$I$589)*MIN(L$3-$O$2,$Q$2)/$Q$2))</f>
        <v>992.481853535049</v>
      </c>
      <c r="M592" s="15" t="n">
        <f aca="false">L592*(1+IF(M$3&lt;=$O$2,$D592,$D592-($D592-$I$589)*MIN(M$3-$O$2,$Q$2)/$Q$2))</f>
        <v>982.199741532426</v>
      </c>
      <c r="N592" s="15" t="n">
        <f aca="false">M592*(1+IF(N$3&lt;=$O$2,$D592,$D592-($D592-$I$589)*MIN(N$3-$O$2,$Q$2)/$Q$2))</f>
        <v>1000.17399680247</v>
      </c>
      <c r="O592" s="15" t="n">
        <f aca="false">SUMPRODUCT(E592:N592,1/(1+$F$589)^$E$3:$N$3)*$E$2</f>
        <v>4040.47302515213</v>
      </c>
      <c r="P592" s="15" t="n">
        <f aca="false">N592*$E$2*(1+$I$589)/($F$589-$I$589)/(1+$F$589)^$N$3</f>
        <v>1967.29391542122</v>
      </c>
      <c r="Q592" s="15" t="n">
        <f aca="false">O592+P592</f>
        <v>6007.76694057335</v>
      </c>
      <c r="R592" s="15" t="n">
        <f aca="false">Q592-$G$2+$I$2</f>
        <v>656.206940573352</v>
      </c>
      <c r="S592" s="42" t="n">
        <f aca="false">R592/$K$2</f>
        <v>30.37995095247</v>
      </c>
      <c r="T592" s="43" t="n">
        <f aca="false">S592-$M$2</f>
        <v>-694.62004904753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2539.375</v>
      </c>
      <c r="F593" s="15" t="n">
        <f aca="false">E593*(1+IF(F$3&lt;=$O$2,$D593,$D593-($D593-$I$589)*MIN(F$3-$O$2,$Q$2)/$Q$2))</f>
        <v>2698.0859375</v>
      </c>
      <c r="G593" s="15" t="n">
        <f aca="false">F593*(1+IF(G$3&lt;=$O$2,$D593,$D593-($D593-$I$589)*MIN(G$3-$O$2,$Q$2)/$Q$2))</f>
        <v>2866.71630859375</v>
      </c>
      <c r="H593" s="15" t="n">
        <f aca="false">G593*(1+IF(H$3&lt;=$O$2,$D593,$D593-($D593-$I$589)*MIN(H$3-$O$2,$Q$2)/$Q$2))</f>
        <v>3045.88607788086</v>
      </c>
      <c r="I593" s="15" t="n">
        <f aca="false">H593*(1+IF(I$3&lt;=$O$2,$D593,$D593-($D593-$I$589)*MIN(I$3-$O$2,$Q$2)/$Q$2))</f>
        <v>3236.25395774841</v>
      </c>
      <c r="J593" s="15" t="n">
        <f aca="false">I593*(1+IF(J$3&lt;=$O$2,$D593,$D593-($D593-$I$589)*MIN(J$3-$O$2,$Q$2)/$Q$2))</f>
        <v>3409.91134512119</v>
      </c>
      <c r="K593" s="15" t="n">
        <f aca="false">J593*(1+IF(K$3&lt;=$O$2,$D593,$D593-($D593-$I$589)*MIN(K$3-$O$2,$Q$2)/$Q$2))</f>
        <v>3562.74357160953</v>
      </c>
      <c r="L593" s="15" t="n">
        <f aca="false">K593*(1+IF(L$3&lt;=$O$2,$D593,$D593-($D593-$I$589)*MIN(L$3-$O$2,$Q$2)/$Q$2))</f>
        <v>3690.93108531604</v>
      </c>
      <c r="M593" s="15" t="n">
        <f aca="false">L593*(1+IF(M$3&lt;=$O$2,$D593,$D593-($D593-$I$589)*MIN(M$3-$O$2,$Q$2)/$Q$2))</f>
        <v>3791.10295497151</v>
      </c>
      <c r="N593" s="15" t="n">
        <f aca="false">M593*(1+IF(N$3&lt;=$O$2,$D593,$D593-($D593-$I$589)*MIN(N$3-$O$2,$Q$2)/$Q$2))</f>
        <v>3860.48013904749</v>
      </c>
      <c r="O593" s="15" t="n">
        <f aca="false">SUMPRODUCT(E593:N593,1/(1+$F$589)^$E$3:$N$3)*$E$2</f>
        <v>8868.38178535723</v>
      </c>
      <c r="P593" s="15" t="n">
        <f aca="false">N593*$E$2*(1+$I$589)/($F$589-$I$589)/(1+$F$589)^$N$3</f>
        <v>7593.3778646842</v>
      </c>
      <c r="Q593" s="15" t="n">
        <f aca="false">O593+P593</f>
        <v>16461.7596500414</v>
      </c>
      <c r="R593" s="15" t="n">
        <f aca="false">Q593-$G$2+$I$2</f>
        <v>11110.1996500414</v>
      </c>
      <c r="S593" s="42" t="n">
        <f aca="false">R593/$K$2</f>
        <v>514.361094909325</v>
      </c>
      <c r="T593" s="43" t="n">
        <f aca="false">S593-$M$2</f>
        <v>-210.638905090675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41" t="n">
        <f aca="false">(B594+C594)/2</f>
        <v>0.15625</v>
      </c>
      <c r="E594" s="15" t="n">
        <f aca="false">$C$2*(1+IF(E$3&lt;=$O$2,$D594,$D594-($D594-$I$589)*MIN(E$3-$O$2,$Q$2)/$Q$2))</f>
        <v>2763.4375</v>
      </c>
      <c r="F594" s="15" t="n">
        <f aca="false">E594*(1+IF(F$3&lt;=$O$2,$D594,$D594-($D594-$I$589)*MIN(F$3-$O$2,$Q$2)/$Q$2))</f>
        <v>3195.224609375</v>
      </c>
      <c r="G594" s="15" t="n">
        <f aca="false">F594*(1+IF(G$3&lt;=$O$2,$D594,$D594-($D594-$I$589)*MIN(G$3-$O$2,$Q$2)/$Q$2))</f>
        <v>3694.47845458984</v>
      </c>
      <c r="H594" s="15" t="n">
        <f aca="false">G594*(1+IF(H$3&lt;=$O$2,$D594,$D594-($D594-$I$589)*MIN(H$3-$O$2,$Q$2)/$Q$2))</f>
        <v>4271.74071311951</v>
      </c>
      <c r="I594" s="15" t="n">
        <f aca="false">H594*(1+IF(I$3&lt;=$O$2,$D594,$D594-($D594-$I$589)*MIN(I$3-$O$2,$Q$2)/$Q$2))</f>
        <v>4939.20019954443</v>
      </c>
      <c r="J594" s="15" t="n">
        <f aca="false">I594*(1+IF(J$3&lt;=$O$2,$D594,$D594-($D594-$I$589)*MIN(J$3-$O$2,$Q$2)/$Q$2))</f>
        <v>5574.67769721782</v>
      </c>
      <c r="K594" s="15" t="n">
        <f aca="false">J594*(1+IF(K$3&lt;=$O$2,$D594,$D594-($D594-$I$589)*MIN(K$3-$O$2,$Q$2)/$Q$2))</f>
        <v>6138.11037207562</v>
      </c>
      <c r="L594" s="15" t="n">
        <f aca="false">K594*(1+IF(L$3&lt;=$O$2,$D594,$D594-($D594-$I$589)*MIN(L$3-$O$2,$Q$2)/$Q$2))</f>
        <v>6589.13872221574</v>
      </c>
      <c r="M594" s="15" t="n">
        <f aca="false">L594*(1+IF(M$3&lt;=$O$2,$D594,$D594-($D594-$I$589)*MIN(M$3-$O$2,$Q$2)/$Q$2))</f>
        <v>6891.51429817822</v>
      </c>
      <c r="N594" s="15" t="n">
        <f aca="false">M594*(1+IF(N$3&lt;=$O$2,$D594,$D594-($D594-$I$589)*MIN(N$3-$O$2,$Q$2)/$Q$2))</f>
        <v>7017.62900983488</v>
      </c>
      <c r="O594" s="15" t="n">
        <f aca="false">SUMPRODUCT(E594:N594,1/(1+$F$589)^$E$3:$N$3)*$E$2</f>
        <v>13208.090839031</v>
      </c>
      <c r="P594" s="15" t="n">
        <f aca="false">N594*$E$2*(1+$I$589)/($F$589-$I$589)/(1+$F$589)^$N$3</f>
        <v>13803.3371152101</v>
      </c>
      <c r="Q594" s="15" t="n">
        <f aca="false">O594+P594</f>
        <v>27011.4279542411</v>
      </c>
      <c r="R594" s="15" t="n">
        <f aca="false">Q594-$G$2+$I$2</f>
        <v>21659.8679542411</v>
      </c>
      <c r="S594" s="42" t="n">
        <f aca="false">R594/$K$2</f>
        <v>1002.7716645482</v>
      </c>
      <c r="T594" s="43" t="n">
        <f aca="false">S594-$M$2</f>
        <v>277.771664548199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41" t="n">
        <f aca="false">(B595+C595)/2</f>
        <v>0.109375</v>
      </c>
      <c r="E595" s="15" t="n">
        <f aca="false">$C$2*(1+IF(E$3&lt;=$O$2,$D595,$D595-($D595-$I$589)*MIN(E$3-$O$2,$Q$2)/$Q$2))</f>
        <v>2651.40625</v>
      </c>
      <c r="F595" s="15" t="n">
        <f aca="false">E595*(1+IF(F$3&lt;=$O$2,$D595,$D595-($D595-$I$589)*MIN(F$3-$O$2,$Q$2)/$Q$2))</f>
        <v>2941.40380859375</v>
      </c>
      <c r="G595" s="15" t="n">
        <f aca="false">F595*(1+IF(G$3&lt;=$O$2,$D595,$D595-($D595-$I$589)*MIN(G$3-$O$2,$Q$2)/$Q$2))</f>
        <v>3263.11985015869</v>
      </c>
      <c r="H595" s="15" t="n">
        <f aca="false">G595*(1+IF(H$3&lt;=$O$2,$D595,$D595-($D595-$I$589)*MIN(H$3-$O$2,$Q$2)/$Q$2))</f>
        <v>3620.0235837698</v>
      </c>
      <c r="I595" s="15" t="n">
        <f aca="false">H595*(1+IF(I$3&lt;=$O$2,$D595,$D595-($D595-$I$589)*MIN(I$3-$O$2,$Q$2)/$Q$2))</f>
        <v>4015.96366324462</v>
      </c>
      <c r="J595" s="15" t="n">
        <f aca="false">I595*(1+IF(J$3&lt;=$O$2,$D595,$D595-($D595-$I$589)*MIN(J$3-$O$2,$Q$2)/$Q$2))</f>
        <v>4382.058910786</v>
      </c>
      <c r="K595" s="15" t="n">
        <f aca="false">J595*(1+IF(K$3&lt;=$O$2,$D595,$D595-($D595-$I$589)*MIN(K$3-$O$2,$Q$2)/$Q$2))</f>
        <v>4701.70819803328</v>
      </c>
      <c r="L595" s="15" t="n">
        <f aca="false">K595*(1+IF(L$3&lt;=$O$2,$D595,$D595-($D595-$I$589)*MIN(L$3-$O$2,$Q$2)/$Q$2))</f>
        <v>4959.03268771165</v>
      </c>
      <c r="M595" s="15" t="n">
        <f aca="false">L595*(1+IF(M$3&lt;=$O$2,$D595,$D595-($D595-$I$589)*MIN(M$3-$O$2,$Q$2)/$Q$2))</f>
        <v>5140.11176630344</v>
      </c>
      <c r="N595" s="15" t="n">
        <f aca="false">M595*(1+IF(N$3&lt;=$O$2,$D595,$D595-($D595-$I$589)*MIN(N$3-$O$2,$Q$2)/$Q$2))</f>
        <v>5234.17581162679</v>
      </c>
      <c r="O595" s="15" t="n">
        <f aca="false">SUMPRODUCT(E595:N595,1/(1+$F$589)^$E$3:$N$3)*$E$2</f>
        <v>10823.3227359757</v>
      </c>
      <c r="P595" s="15" t="n">
        <f aca="false">N595*$E$2*(1+$I$589)/($F$589-$I$589)/(1+$F$589)^$N$3</f>
        <v>10295.3708648476</v>
      </c>
      <c r="Q595" s="15" t="n">
        <f aca="false">O595+P595</f>
        <v>21118.6936008233</v>
      </c>
      <c r="R595" s="15" t="n">
        <f aca="false">Q595-$G$2+$I$2</f>
        <v>15767.1336008233</v>
      </c>
      <c r="S595" s="42" t="n">
        <f aca="false">R595/$K$2</f>
        <v>729.959888927004</v>
      </c>
      <c r="T595" s="43" t="n">
        <f aca="false">S595-$M$2</f>
        <v>4.95988892700404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0.0625</v>
      </c>
      <c r="C596" s="25" t="n">
        <f aca="false">IF(T595&gt;0,D595,C595)</f>
        <v>0.109375</v>
      </c>
      <c r="D596" s="41" t="n">
        <f aca="false">(B596+C596)/2</f>
        <v>0.0859375</v>
      </c>
      <c r="E596" s="15" t="n">
        <f aca="false">$C$2*(1+IF(E$3&lt;=$O$2,$D596,$D596-($D596-$I$589)*MIN(E$3-$O$2,$Q$2)/$Q$2))</f>
        <v>2595.390625</v>
      </c>
      <c r="F596" s="15" t="n">
        <f aca="false">E596*(1+IF(F$3&lt;=$O$2,$D596,$D596-($D596-$I$589)*MIN(F$3-$O$2,$Q$2)/$Q$2))</f>
        <v>2818.43200683594</v>
      </c>
      <c r="G596" s="15" t="n">
        <f aca="false">F596*(1+IF(G$3&lt;=$O$2,$D596,$D596-($D596-$I$589)*MIN(G$3-$O$2,$Q$2)/$Q$2))</f>
        <v>3060.6410074234</v>
      </c>
      <c r="H596" s="15" t="n">
        <f aca="false">G596*(1+IF(H$3&lt;=$O$2,$D596,$D596-($D596-$I$589)*MIN(H$3-$O$2,$Q$2)/$Q$2))</f>
        <v>3323.66484399885</v>
      </c>
      <c r="I596" s="15" t="n">
        <f aca="false">H596*(1+IF(I$3&lt;=$O$2,$D596,$D596-($D596-$I$589)*MIN(I$3-$O$2,$Q$2)/$Q$2))</f>
        <v>3609.29229153</v>
      </c>
      <c r="J596" s="15" t="n">
        <f aca="false">I596*(1+IF(J$3&lt;=$O$2,$D596,$D596-($D596-$I$589)*MIN(J$3-$O$2,$Q$2)/$Q$2))</f>
        <v>3870.64114635969</v>
      </c>
      <c r="K596" s="15" t="n">
        <f aca="false">J596*(1+IF(K$3&lt;=$O$2,$D596,$D596-($D596-$I$589)*MIN(K$3-$O$2,$Q$2)/$Q$2))</f>
        <v>4098.55417366021</v>
      </c>
      <c r="L596" s="15" t="n">
        <f aca="false">K596*(1+IF(L$3&lt;=$O$2,$D596,$D596-($D596-$I$589)*MIN(L$3-$O$2,$Q$2)/$Q$2))</f>
        <v>4284.44409820657</v>
      </c>
      <c r="M596" s="15" t="n">
        <f aca="false">L596*(1+IF(M$3&lt;=$O$2,$D596,$D596-($D596-$I$589)*MIN(M$3-$O$2,$Q$2)/$Q$2))</f>
        <v>4420.80724274224</v>
      </c>
      <c r="N596" s="15" t="n">
        <f aca="false">M596*(1+IF(N$3&lt;=$O$2,$D596,$D596-($D596-$I$589)*MIN(N$3-$O$2,$Q$2)/$Q$2))</f>
        <v>4501.70801528442</v>
      </c>
      <c r="O596" s="15" t="n">
        <f aca="false">SUMPRODUCT(E596:N596,1/(1+$F$589)^$E$3:$N$3)*$E$2</f>
        <v>9796.98015652538</v>
      </c>
      <c r="P596" s="15" t="n">
        <f aca="false">N596*$E$2*(1+$I$589)/($F$589-$I$589)/(1+$F$589)^$N$3</f>
        <v>8854.64210805817</v>
      </c>
      <c r="Q596" s="15" t="n">
        <f aca="false">O596+P596</f>
        <v>18651.6222645836</v>
      </c>
      <c r="R596" s="15" t="n">
        <f aca="false">Q596-$G$2+$I$2</f>
        <v>13300.0622645836</v>
      </c>
      <c r="S596" s="42" t="n">
        <f aca="false">R596/$K$2</f>
        <v>615.74362336035</v>
      </c>
      <c r="T596" s="43" t="n">
        <f aca="false">S596-$M$2</f>
        <v>-109.25637663965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0.0859375</v>
      </c>
      <c r="C597" s="25" t="n">
        <f aca="false">IF(T596&gt;0,D596,C596)</f>
        <v>0.109375</v>
      </c>
      <c r="D597" s="41" t="n">
        <f aca="false">(B597+C597)/2</f>
        <v>0.09765625</v>
      </c>
      <c r="E597" s="15" t="n">
        <f aca="false">$C$2*(1+IF(E$3&lt;=$O$2,$D597,$D597-($D597-$I$589)*MIN(E$3-$O$2,$Q$2)/$Q$2))</f>
        <v>2623.3984375</v>
      </c>
      <c r="F597" s="15" t="n">
        <f aca="false">E597*(1+IF(F$3&lt;=$O$2,$D597,$D597-($D597-$I$589)*MIN(F$3-$O$2,$Q$2)/$Q$2))</f>
        <v>2879.58969116211</v>
      </c>
      <c r="G597" s="15" t="n">
        <f aca="false">F597*(1+IF(G$3&lt;=$O$2,$D597,$D597-($D597-$I$589)*MIN(G$3-$O$2,$Q$2)/$Q$2))</f>
        <v>3160.79962193966</v>
      </c>
      <c r="H597" s="15" t="n">
        <f aca="false">G597*(1+IF(H$3&lt;=$O$2,$D597,$D597-($D597-$I$589)*MIN(H$3-$O$2,$Q$2)/$Q$2))</f>
        <v>3469.4714600197</v>
      </c>
      <c r="I597" s="15" t="n">
        <f aca="false">H597*(1+IF(I$3&lt;=$O$2,$D597,$D597-($D597-$I$589)*MIN(I$3-$O$2,$Q$2)/$Q$2))</f>
        <v>3808.28703228725</v>
      </c>
      <c r="J597" s="15" t="n">
        <f aca="false">I597*(1+IF(J$3&lt;=$O$2,$D597,$D597-($D597-$I$589)*MIN(J$3-$O$2,$Q$2)/$Q$2))</f>
        <v>4119.74778722287</v>
      </c>
      <c r="K597" s="15" t="n">
        <f aca="false">J597*(1+IF(K$3&lt;=$O$2,$D597,$D597-($D597-$I$589)*MIN(K$3-$O$2,$Q$2)/$Q$2))</f>
        <v>4391.29581293293</v>
      </c>
      <c r="L597" s="15" t="n">
        <f aca="false">K597*(1+IF(L$3&lt;=$O$2,$D597,$D597-($D597-$I$589)*MIN(L$3-$O$2,$Q$2)/$Q$2))</f>
        <v>4611.04723365162</v>
      </c>
      <c r="M597" s="15" t="n">
        <f aca="false">L597*(1+IF(M$3&lt;=$O$2,$D597,$D597-($D597-$I$589)*MIN(M$3-$O$2,$Q$2)/$Q$2))</f>
        <v>4768.61248143454</v>
      </c>
      <c r="N597" s="15" t="n">
        <f aca="false">M597*(1+IF(N$3&lt;=$O$2,$D597,$D597-($D597-$I$589)*MIN(N$3-$O$2,$Q$2)/$Q$2))</f>
        <v>4855.87808984479</v>
      </c>
      <c r="O597" s="15" t="n">
        <f aca="false">SUMPRODUCT(E597:N597,1/(1+$F$589)^$E$3:$N$3)*$E$2</f>
        <v>10297.3567810433</v>
      </c>
      <c r="P597" s="15" t="n">
        <f aca="false">N597*$E$2*(1+$I$589)/($F$589-$I$589)/(1+$F$589)^$N$3</f>
        <v>9551.27752842944</v>
      </c>
      <c r="Q597" s="15" t="n">
        <f aca="false">O597+P597</f>
        <v>19848.6343094728</v>
      </c>
      <c r="R597" s="15" t="n">
        <f aca="false">Q597-$G$2+$I$2</f>
        <v>14497.0743094728</v>
      </c>
      <c r="S597" s="42" t="n">
        <f aca="false">R597/$K$2</f>
        <v>671.160847660777</v>
      </c>
      <c r="T597" s="43" t="n">
        <f aca="false">S597-$M$2</f>
        <v>-53.8391523392232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0.09765625</v>
      </c>
      <c r="C598" s="25" t="n">
        <f aca="false">IF(T597&gt;0,D597,C597)</f>
        <v>0.109375</v>
      </c>
      <c r="D598" s="41" t="n">
        <f aca="false">(B598+C598)/2</f>
        <v>0.103515625</v>
      </c>
      <c r="E598" s="15" t="n">
        <f aca="false">$C$2*(1+IF(E$3&lt;=$O$2,$D598,$D598-($D598-$I$589)*MIN(E$3-$O$2,$Q$2)/$Q$2))</f>
        <v>2637.40234375</v>
      </c>
      <c r="F598" s="15" t="n">
        <f aca="false">E598*(1+IF(F$3&lt;=$O$2,$D598,$D598-($D598-$I$589)*MIN(F$3-$O$2,$Q$2)/$Q$2))</f>
        <v>2910.41469573975</v>
      </c>
      <c r="G598" s="15" t="n">
        <f aca="false">F598*(1+IF(G$3&lt;=$O$2,$D598,$D598-($D598-$I$589)*MIN(G$3-$O$2,$Q$2)/$Q$2))</f>
        <v>3211.68809197843</v>
      </c>
      <c r="H598" s="15" t="n">
        <f aca="false">G598*(1+IF(H$3&lt;=$O$2,$D598,$D598-($D598-$I$589)*MIN(H$3-$O$2,$Q$2)/$Q$2))</f>
        <v>3544.14799212464</v>
      </c>
      <c r="I598" s="15" t="n">
        <f aca="false">H598*(1+IF(I$3&lt;=$O$2,$D598,$D598-($D598-$I$589)*MIN(I$3-$O$2,$Q$2)/$Q$2))</f>
        <v>3911.02268662191</v>
      </c>
      <c r="J598" s="15" t="n">
        <f aca="false">I598*(1+IF(J$3&lt;=$O$2,$D598,$D598-($D598-$I$589)*MIN(J$3-$O$2,$Q$2)/$Q$2))</f>
        <v>4249.21859589083</v>
      </c>
      <c r="K598" s="15" t="n">
        <f aca="false">J598*(1+IF(K$3&lt;=$O$2,$D598,$D598-($D598-$I$589)*MIN(K$3-$O$2,$Q$2)/$Q$2))</f>
        <v>4544.2391872419</v>
      </c>
      <c r="L598" s="15" t="n">
        <f aca="false">K598*(1+IF(L$3&lt;=$O$2,$D598,$D598-($D598-$I$589)*MIN(L$3-$O$2,$Q$2)/$Q$2))</f>
        <v>4782.29483736455</v>
      </c>
      <c r="M598" s="15" t="n">
        <f aca="false">L598*(1+IF(M$3&lt;=$O$2,$D598,$D598-($D598-$I$589)*MIN(M$3-$O$2,$Q$2)/$Q$2))</f>
        <v>4951.31608158838</v>
      </c>
      <c r="N598" s="15" t="n">
        <f aca="false">M598*(1+IF(N$3&lt;=$O$2,$D598,$D598-($D598-$I$589)*MIN(N$3-$O$2,$Q$2)/$Q$2))</f>
        <v>5041.92516588145</v>
      </c>
      <c r="O598" s="15" t="n">
        <f aca="false">SUMPRODUCT(E598:N598,1/(1+$F$589)^$E$3:$N$3)*$E$2</f>
        <v>10557.0664321119</v>
      </c>
      <c r="P598" s="15" t="n">
        <f aca="false">N598*$E$2*(1+$I$589)/($F$589-$I$589)/(1+$F$589)^$N$3</f>
        <v>9917.22313573271</v>
      </c>
      <c r="Q598" s="15" t="n">
        <f aca="false">O598+P598</f>
        <v>20474.2895678446</v>
      </c>
      <c r="R598" s="15" t="n">
        <f aca="false">Q598-$G$2+$I$2</f>
        <v>15122.7295678446</v>
      </c>
      <c r="S598" s="42" t="n">
        <f aca="false">R598/$K$2</f>
        <v>700.126368881693</v>
      </c>
      <c r="T598" s="43" t="n">
        <f aca="false">S598-$M$2</f>
        <v>-24.8736311183072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0.103515625</v>
      </c>
      <c r="C599" s="25" t="n">
        <f aca="false">IF(T598&gt;0,D598,C598)</f>
        <v>0.109375</v>
      </c>
      <c r="D599" s="41" t="n">
        <f aca="false">(B599+C599)/2</f>
        <v>0.1064453125</v>
      </c>
      <c r="E599" s="15" t="n">
        <f aca="false">$C$2*(1+IF(E$3&lt;=$O$2,$D599,$D599-($D599-$I$589)*MIN(E$3-$O$2,$Q$2)/$Q$2))</f>
        <v>2644.404296875</v>
      </c>
      <c r="F599" s="15" t="n">
        <f aca="false">E599*(1+IF(F$3&lt;=$O$2,$D599,$D599-($D599-$I$589)*MIN(F$3-$O$2,$Q$2)/$Q$2))</f>
        <v>2925.8887386322</v>
      </c>
      <c r="G599" s="15" t="n">
        <f aca="false">F599*(1+IF(G$3&lt;=$O$2,$D599,$D599-($D599-$I$589)*MIN(G$3-$O$2,$Q$2)/$Q$2))</f>
        <v>3237.33587975614</v>
      </c>
      <c r="H599" s="15" t="n">
        <f aca="false">G599*(1+IF(H$3&lt;=$O$2,$D599,$D599-($D599-$I$589)*MIN(H$3-$O$2,$Q$2)/$Q$2))</f>
        <v>3581.93510914424</v>
      </c>
      <c r="I599" s="15" t="n">
        <f aca="false">H599*(1+IF(I$3&lt;=$O$2,$D599,$D599-($D599-$I$589)*MIN(I$3-$O$2,$Q$2)/$Q$2))</f>
        <v>3963.21531119182</v>
      </c>
      <c r="J599" s="15" t="n">
        <f aca="false">I599*(1+IF(J$3&lt;=$O$2,$D599,$D599-($D599-$I$589)*MIN(J$3-$O$2,$Q$2)/$Q$2))</f>
        <v>4315.21323307446</v>
      </c>
      <c r="K599" s="15" t="n">
        <f aca="false">J599*(1+IF(K$3&lt;=$O$2,$D599,$D599-($D599-$I$589)*MIN(K$3-$O$2,$Q$2)/$Q$2))</f>
        <v>4622.40112659982</v>
      </c>
      <c r="L599" s="15" t="n">
        <f aca="false">K599*(1+IF(L$3&lt;=$O$2,$D599,$D599-($D599-$I$589)*MIN(L$3-$O$2,$Q$2)/$Q$2))</f>
        <v>4869.96826393839</v>
      </c>
      <c r="M599" s="15" t="n">
        <f aca="false">L599*(1+IF(M$3&lt;=$O$2,$D599,$D599-($D599-$I$589)*MIN(M$3-$O$2,$Q$2)/$Q$2))</f>
        <v>5044.94165806645</v>
      </c>
      <c r="N599" s="15" t="n">
        <f aca="false">M599*(1+IF(N$3&lt;=$O$2,$D599,$D599-($D599-$I$589)*MIN(N$3-$O$2,$Q$2)/$Q$2))</f>
        <v>5137.26409040906</v>
      </c>
      <c r="O599" s="15" t="n">
        <f aca="false">SUMPRODUCT(E599:N599,1/(1+$F$589)^$E$3:$N$3)*$E$2</f>
        <v>10689.3667546032</v>
      </c>
      <c r="P599" s="15" t="n">
        <f aca="false">N599*$E$2*(1+$I$589)/($F$589-$I$589)/(1+$F$589)^$N$3</f>
        <v>10104.7501927504</v>
      </c>
      <c r="Q599" s="15" t="n">
        <f aca="false">O599+P599</f>
        <v>20794.1169473536</v>
      </c>
      <c r="R599" s="15" t="n">
        <f aca="false">Q599-$G$2+$I$2</f>
        <v>15442.5569473536</v>
      </c>
      <c r="S599" s="42" t="n">
        <f aca="false">R599/$K$2</f>
        <v>714.933192007109</v>
      </c>
      <c r="T599" s="43" t="n">
        <f aca="false">S599-$M$2</f>
        <v>-10.066807992891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0.1064453125</v>
      </c>
      <c r="C600" s="25" t="n">
        <f aca="false">IF(T599&gt;0,D599,C599)</f>
        <v>0.109375</v>
      </c>
      <c r="D600" s="41" t="n">
        <f aca="false">(B600+C600)/2</f>
        <v>0.10791015625</v>
      </c>
      <c r="E600" s="15" t="n">
        <f aca="false">$C$2*(1+IF(E$3&lt;=$O$2,$D600,$D600-($D600-$I$589)*MIN(E$3-$O$2,$Q$2)/$Q$2))</f>
        <v>2647.9052734375</v>
      </c>
      <c r="F600" s="15" t="n">
        <f aca="false">E600*(1+IF(F$3&lt;=$O$2,$D600,$D600-($D600-$I$589)*MIN(F$3-$O$2,$Q$2)/$Q$2))</f>
        <v>2933.64114522934</v>
      </c>
      <c r="G600" s="15" t="n">
        <f aca="false">F600*(1+IF(G$3&lt;=$O$2,$D600,$D600-($D600-$I$589)*MIN(G$3-$O$2,$Q$2)/$Q$2))</f>
        <v>3250.21081959247</v>
      </c>
      <c r="H600" s="15" t="n">
        <f aca="false">G600*(1+IF(H$3&lt;=$O$2,$D600,$D600-($D600-$I$589)*MIN(H$3-$O$2,$Q$2)/$Q$2))</f>
        <v>3600.94157698013</v>
      </c>
      <c r="I600" s="15" t="n">
        <f aca="false">H600*(1+IF(I$3&lt;=$O$2,$D600,$D600-($D600-$I$589)*MIN(I$3-$O$2,$Q$2)/$Q$2))</f>
        <v>3989.51974519918</v>
      </c>
      <c r="J600" s="15" t="n">
        <f aca="false">I600*(1+IF(J$3&lt;=$O$2,$D600,$D600-($D600-$I$589)*MIN(J$3-$O$2,$Q$2)/$Q$2))</f>
        <v>4348.52914672013</v>
      </c>
      <c r="K600" s="15" t="n">
        <f aca="false">J600*(1+IF(K$3&lt;=$O$2,$D600,$D600-($D600-$I$589)*MIN(K$3-$O$2,$Q$2)/$Q$2))</f>
        <v>4661.91065588227</v>
      </c>
      <c r="L600" s="15" t="n">
        <f aca="false">K600*(1+IF(L$3&lt;=$O$2,$D600,$D600-($D600-$I$589)*MIN(L$3-$O$2,$Q$2)/$Q$2))</f>
        <v>4914.32543780378</v>
      </c>
      <c r="M600" s="15" t="n">
        <f aca="false">L600*(1+IF(M$3&lt;=$O$2,$D600,$D600-($D600-$I$589)*MIN(M$3-$O$2,$Q$2)/$Q$2))</f>
        <v>5092.33228738457</v>
      </c>
      <c r="N600" s="15" t="n">
        <f aca="false">M600*(1+IF(N$3&lt;=$O$2,$D600,$D600-($D600-$I$589)*MIN(N$3-$O$2,$Q$2)/$Q$2))</f>
        <v>5185.52196824371</v>
      </c>
      <c r="O600" s="15" t="n">
        <f aca="false">SUMPRODUCT(E600:N600,1/(1+$F$589)^$E$3:$N$3)*$E$2</f>
        <v>10756.1365902368</v>
      </c>
      <c r="P600" s="15" t="n">
        <f aca="false">N600*$E$2*(1+$I$589)/($F$589-$I$589)/(1+$F$589)^$N$3</f>
        <v>10199.6711062502</v>
      </c>
      <c r="Q600" s="15" t="n">
        <f aca="false">O600+P600</f>
        <v>20955.807696487</v>
      </c>
      <c r="R600" s="15" t="n">
        <f aca="false">Q600-$G$2+$I$2</f>
        <v>15604.247696487</v>
      </c>
      <c r="S600" s="42" t="n">
        <f aca="false">R600/$K$2</f>
        <v>722.418874837362</v>
      </c>
      <c r="T600" s="43" t="n">
        <f aca="false">S600-$M$2</f>
        <v>-2.58112516263805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0.10791015625</v>
      </c>
      <c r="C601" s="25" t="n">
        <f aca="false">IF(T600&gt;0,D600,C600)</f>
        <v>0.109375</v>
      </c>
      <c r="D601" s="41" t="n">
        <f aca="false">(B601+C601)/2</f>
        <v>0.108642578125</v>
      </c>
      <c r="E601" s="15" t="n">
        <f aca="false">$C$2*(1+IF(E$3&lt;=$O$2,$D601,$D601-($D601-$I$589)*MIN(E$3-$O$2,$Q$2)/$Q$2))</f>
        <v>2649.65576171875</v>
      </c>
      <c r="F601" s="15" t="n">
        <f aca="false">E601*(1+IF(F$3&lt;=$O$2,$D601,$D601-($D601-$I$589)*MIN(F$3-$O$2,$Q$2)/$Q$2))</f>
        <v>2937.52119481564</v>
      </c>
      <c r="G601" s="15" t="n">
        <f aca="false">F601*(1+IF(G$3&lt;=$O$2,$D601,$D601-($D601-$I$589)*MIN(G$3-$O$2,$Q$2)/$Q$2))</f>
        <v>3256.66107071724</v>
      </c>
      <c r="H601" s="15" t="n">
        <f aca="false">G601*(1+IF(H$3&lt;=$O$2,$D601,$D601-($D601-$I$589)*MIN(H$3-$O$2,$Q$2)/$Q$2))</f>
        <v>3610.47312551928</v>
      </c>
      <c r="I601" s="15" t="n">
        <f aca="false">H601*(1+IF(I$3&lt;=$O$2,$D601,$D601-($D601-$I$589)*MIN(I$3-$O$2,$Q$2)/$Q$2))</f>
        <v>4002.72423412672</v>
      </c>
      <c r="J601" s="15" t="n">
        <f aca="false">I601*(1+IF(J$3&lt;=$O$2,$D601,$D601-($D601-$I$589)*MIN(J$3-$O$2,$Q$2)/$Q$2))</f>
        <v>4365.26722907878</v>
      </c>
      <c r="K601" s="15" t="n">
        <f aca="false">J601*(1+IF(K$3&lt;=$O$2,$D601,$D601-($D601-$I$589)*MIN(K$3-$O$2,$Q$2)/$Q$2))</f>
        <v>4681.77331677865</v>
      </c>
      <c r="L601" s="15" t="n">
        <f aca="false">K601*(1+IF(L$3&lt;=$O$2,$D601,$D601-($D601-$I$589)*MIN(L$3-$O$2,$Q$2)/$Q$2))</f>
        <v>4936.63515712955</v>
      </c>
      <c r="M601" s="15" t="n">
        <f aca="false">L601*(1+IF(M$3&lt;=$O$2,$D601,$D601-($D601-$I$589)*MIN(M$3-$O$2,$Q$2)/$Q$2))</f>
        <v>5116.17324997654</v>
      </c>
      <c r="N601" s="15" t="n">
        <f aca="false">M601*(1+IF(N$3&lt;=$O$2,$D601,$D601-($D601-$I$589)*MIN(N$3-$O$2,$Q$2)/$Q$2))</f>
        <v>5209.79922045111</v>
      </c>
      <c r="O601" s="15" t="n">
        <f aca="false">SUMPRODUCT(E601:N601,1/(1+$F$589)^$E$3:$N$3)*$E$2</f>
        <v>10789.6774739736</v>
      </c>
      <c r="P601" s="15" t="n">
        <f aca="false">N601*$E$2*(1+$I$589)/($F$589-$I$589)/(1+$F$589)^$N$3</f>
        <v>10247.423288074</v>
      </c>
      <c r="Q601" s="15" t="n">
        <f aca="false">O601+P601</f>
        <v>21037.1007620476</v>
      </c>
      <c r="R601" s="15" t="n">
        <f aca="false">Q601-$G$2+$I$2</f>
        <v>15685.5407620476</v>
      </c>
      <c r="S601" s="42" t="n">
        <f aca="false">R601/$K$2</f>
        <v>726.182442687389</v>
      </c>
      <c r="T601" s="43" t="n">
        <f aca="false">S601-$M$2</f>
        <v>1.18244268738863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0.10791015625</v>
      </c>
      <c r="C602" s="25" t="n">
        <f aca="false">IF(T601&gt;0,D601,C601)</f>
        <v>0.108642578125</v>
      </c>
      <c r="D602" s="41" t="n">
        <f aca="false">(B602+C602)/2</f>
        <v>0.1082763671875</v>
      </c>
      <c r="E602" s="15" t="n">
        <f aca="false">$C$2*(1+IF(E$3&lt;=$O$2,$D602,$D602-($D602-$I$589)*MIN(E$3-$O$2,$Q$2)/$Q$2))</f>
        <v>2648.78051757813</v>
      </c>
      <c r="F602" s="15" t="n">
        <f aca="false">E602*(1+IF(F$3&lt;=$O$2,$D602,$D602-($D602-$I$589)*MIN(F$3-$O$2,$Q$2)/$Q$2))</f>
        <v>2935.58084949851</v>
      </c>
      <c r="G602" s="15" t="n">
        <f aca="false">F602*(1+IF(G$3&lt;=$O$2,$D602,$D602-($D602-$I$589)*MIN(G$3-$O$2,$Q$2)/$Q$2))</f>
        <v>3253.4348794674</v>
      </c>
      <c r="H602" s="15" t="n">
        <f aca="false">G602*(1+IF(H$3&lt;=$O$2,$D602,$D602-($D602-$I$589)*MIN(H$3-$O$2,$Q$2)/$Q$2))</f>
        <v>3605.70498909724</v>
      </c>
      <c r="I602" s="15" t="n">
        <f aca="false">H602*(1+IF(I$3&lt;=$O$2,$D602,$D602-($D602-$I$589)*MIN(I$3-$O$2,$Q$2)/$Q$2))</f>
        <v>3996.11762646653</v>
      </c>
      <c r="J602" s="15" t="n">
        <f aca="false">I602*(1+IF(J$3&lt;=$O$2,$D602,$D602-($D602-$I$589)*MIN(J$3-$O$2,$Q$2)/$Q$2))</f>
        <v>4356.89149653758</v>
      </c>
      <c r="K602" s="15" t="n">
        <f aca="false">J602*(1+IF(K$3&lt;=$O$2,$D602,$D602-($D602-$I$589)*MIN(K$3-$O$2,$Q$2)/$Q$2))</f>
        <v>4671.83297237736</v>
      </c>
      <c r="L602" s="15" t="n">
        <f aca="false">K602*(1+IF(L$3&lt;=$O$2,$D602,$D602-($D602-$I$589)*MIN(L$3-$O$2,$Q$2)/$Q$2))</f>
        <v>4925.46933935638</v>
      </c>
      <c r="M602" s="15" t="n">
        <f aca="false">L602*(1+IF(M$3&lt;=$O$2,$D602,$D602-($D602-$I$589)*MIN(M$3-$O$2,$Q$2)/$Q$2))</f>
        <v>5104.24059583634</v>
      </c>
      <c r="N602" s="15" t="n">
        <f aca="false">M602*(1+IF(N$3&lt;=$O$2,$D602,$D602-($D602-$I$589)*MIN(N$3-$O$2,$Q$2)/$Q$2))</f>
        <v>5197.64819874015</v>
      </c>
      <c r="O602" s="15" t="n">
        <f aca="false">SUMPRODUCT(E602:N602,1/(1+$F$589)^$E$3:$N$3)*$E$2</f>
        <v>10772.8940036477</v>
      </c>
      <c r="P602" s="15" t="n">
        <f aca="false">N602*$E$2*(1+$I$589)/($F$589-$I$589)/(1+$F$589)^$N$3</f>
        <v>10223.5228156017</v>
      </c>
      <c r="Q602" s="15" t="n">
        <f aca="false">O602+P602</f>
        <v>20996.4168192494</v>
      </c>
      <c r="R602" s="15" t="n">
        <f aca="false">Q602-$G$2+$I$2</f>
        <v>15644.8568192494</v>
      </c>
      <c r="S602" s="42" t="n">
        <f aca="false">R602/$K$2</f>
        <v>724.298926817099</v>
      </c>
      <c r="T602" s="43" t="n">
        <f aca="false">S602-$M$2</f>
        <v>-0.701073182900586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0.1082763671875</v>
      </c>
      <c r="C603" s="25" t="n">
        <f aca="false">IF(T602&gt;0,D602,C602)</f>
        <v>0.108642578125</v>
      </c>
      <c r="D603" s="41" t="n">
        <f aca="false">(B603+C603)/2</f>
        <v>0.10845947265625</v>
      </c>
      <c r="E603" s="15" t="n">
        <f aca="false">$C$2*(1+IF(E$3&lt;=$O$2,$D603,$D603-($D603-$I$589)*MIN(E$3-$O$2,$Q$2)/$Q$2))</f>
        <v>2649.21813964844</v>
      </c>
      <c r="F603" s="15" t="n">
        <f aca="false">E603*(1+IF(F$3&lt;=$O$2,$D603,$D603-($D603-$I$589)*MIN(F$3-$O$2,$Q$2)/$Q$2))</f>
        <v>2936.55094202608</v>
      </c>
      <c r="G603" s="15" t="n">
        <f aca="false">F603*(1+IF(G$3&lt;=$O$2,$D603,$D603-($D603-$I$589)*MIN(G$3-$O$2,$Q$2)/$Q$2))</f>
        <v>3255.04770862644</v>
      </c>
      <c r="H603" s="15" t="n">
        <f aca="false">G603*(1+IF(H$3&lt;=$O$2,$D603,$D603-($D603-$I$589)*MIN(H$3-$O$2,$Q$2)/$Q$2))</f>
        <v>3608.088466575</v>
      </c>
      <c r="I603" s="15" t="n">
        <f aca="false">H603*(1+IF(I$3&lt;=$O$2,$D603,$D603-($D603-$I$589)*MIN(I$3-$O$2,$Q$2)/$Q$2))</f>
        <v>3999.41983895682</v>
      </c>
      <c r="J603" s="15" t="n">
        <f aca="false">I603*(1+IF(J$3&lt;=$O$2,$D603,$D603-($D603-$I$589)*MIN(J$3-$O$2,$Q$2)/$Q$2))</f>
        <v>4361.07768889877</v>
      </c>
      <c r="K603" s="15" t="n">
        <f aca="false">J603*(1+IF(K$3&lt;=$O$2,$D603,$D603-($D603-$I$589)*MIN(K$3-$O$2,$Q$2)/$Q$2))</f>
        <v>4676.80088939204</v>
      </c>
      <c r="L603" s="15" t="n">
        <f aca="false">K603*(1+IF(L$3&lt;=$O$2,$D603,$D603-($D603-$I$589)*MIN(L$3-$O$2,$Q$2)/$Q$2))</f>
        <v>4931.04950643026</v>
      </c>
      <c r="M603" s="15" t="n">
        <f aca="false">L603*(1+IF(M$3&lt;=$O$2,$D603,$D603-($D603-$I$589)*MIN(M$3-$O$2,$Q$2)/$Q$2))</f>
        <v>5110.20387702626</v>
      </c>
      <c r="N603" s="15" t="n">
        <f aca="false">M603*(1+IF(N$3&lt;=$O$2,$D603,$D603-($D603-$I$589)*MIN(N$3-$O$2,$Q$2)/$Q$2))</f>
        <v>5203.72060797584</v>
      </c>
      <c r="O603" s="15" t="n">
        <f aca="false">SUMPRODUCT(E603:N603,1/(1+$F$589)^$E$3:$N$3)*$E$2</f>
        <v>10781.2824793449</v>
      </c>
      <c r="P603" s="15" t="n">
        <f aca="false">N603*$E$2*(1+$I$589)/($F$589-$I$589)/(1+$F$589)^$N$3</f>
        <v>10235.4669511016</v>
      </c>
      <c r="Q603" s="15" t="n">
        <f aca="false">O603+P603</f>
        <v>21016.7494304465</v>
      </c>
      <c r="R603" s="15" t="n">
        <f aca="false">Q603-$G$2+$I$2</f>
        <v>15665.1894304465</v>
      </c>
      <c r="S603" s="42" t="n">
        <f aca="false">R603/$K$2</f>
        <v>725.24025140956</v>
      </c>
      <c r="T603" s="43" t="n">
        <f aca="false">S603-$M$2</f>
        <v>0.240251409560187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0.1082763671875</v>
      </c>
      <c r="C604" s="25" t="n">
        <f aca="false">IF(T603&gt;0,D603,C603)</f>
        <v>0.10845947265625</v>
      </c>
      <c r="D604" s="41" t="n">
        <f aca="false">(B604+C604)/2</f>
        <v>0.108367919921875</v>
      </c>
      <c r="E604" s="15" t="n">
        <f aca="false">$C$2*(1+IF(E$3&lt;=$O$2,$D604,$D604-($D604-$I$589)*MIN(E$3-$O$2,$Q$2)/$Q$2))</f>
        <v>2648.99932861328</v>
      </c>
      <c r="F604" s="15" t="n">
        <f aca="false">E604*(1+IF(F$3&lt;=$O$2,$D604,$D604-($D604-$I$589)*MIN(F$3-$O$2,$Q$2)/$Q$2))</f>
        <v>2936.06587572955</v>
      </c>
      <c r="G604" s="15" t="n">
        <f aca="false">F604*(1+IF(G$3&lt;=$O$2,$D604,$D604-($D604-$I$589)*MIN(G$3-$O$2,$Q$2)/$Q$2))</f>
        <v>3254.24122743596</v>
      </c>
      <c r="H604" s="15" t="n">
        <f aca="false">G604*(1+IF(H$3&lt;=$O$2,$D604,$D604-($D604-$I$589)*MIN(H$3-$O$2,$Q$2)/$Q$2))</f>
        <v>3606.8965801772</v>
      </c>
      <c r="I604" s="15" t="n">
        <f aca="false">H604*(1+IF(I$3&lt;=$O$2,$D604,$D604-($D604-$I$589)*MIN(I$3-$O$2,$Q$2)/$Q$2))</f>
        <v>3997.76845994433</v>
      </c>
      <c r="J604" s="15" t="n">
        <f aca="false">I604*(1+IF(J$3&lt;=$O$2,$D604,$D604-($D604-$I$589)*MIN(J$3-$O$2,$Q$2)/$Q$2))</f>
        <v>4358.98417437448</v>
      </c>
      <c r="K604" s="15" t="n">
        <f aca="false">J604*(1+IF(K$3&lt;=$O$2,$D604,$D604-($D604-$I$589)*MIN(K$3-$O$2,$Q$2)/$Q$2))</f>
        <v>4674.3163673005</v>
      </c>
      <c r="L604" s="15" t="n">
        <f aca="false">K604*(1+IF(L$3&lt;=$O$2,$D604,$D604-($D604-$I$589)*MIN(L$3-$O$2,$Q$2)/$Q$2))</f>
        <v>4928.25873772591</v>
      </c>
      <c r="M604" s="15" t="n">
        <f aca="false">L604*(1+IF(M$3&lt;=$O$2,$D604,$D604-($D604-$I$589)*MIN(M$3-$O$2,$Q$2)/$Q$2))</f>
        <v>5107.22147529505</v>
      </c>
      <c r="N604" s="15" t="n">
        <f aca="false">M604*(1+IF(N$3&lt;=$O$2,$D604,$D604-($D604-$I$589)*MIN(N$3-$O$2,$Q$2)/$Q$2))</f>
        <v>5200.68362829295</v>
      </c>
      <c r="O604" s="15" t="n">
        <f aca="false">SUMPRODUCT(E604:N604,1/(1+$F$589)^$E$3:$N$3)*$E$2</f>
        <v>10777.0874269239</v>
      </c>
      <c r="P604" s="15" t="n">
        <f aca="false">N604*$E$2*(1+$I$589)/($F$589-$I$589)/(1+$F$589)^$N$3</f>
        <v>10229.4933588362</v>
      </c>
      <c r="Q604" s="15" t="n">
        <f aca="false">O604+P604</f>
        <v>21006.58078576</v>
      </c>
      <c r="R604" s="15" t="n">
        <f aca="false">Q604-$G$2+$I$2</f>
        <v>15655.02078576</v>
      </c>
      <c r="S604" s="42" t="n">
        <f aca="false">R604/$K$2</f>
        <v>724.769480822224</v>
      </c>
      <c r="T604" s="43" t="n">
        <f aca="false">S604-$M$2</f>
        <v>-0.230519177775932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0.108367919921875</v>
      </c>
      <c r="C605" s="25" t="n">
        <f aca="false">IF(T604&gt;0,D604,C604)</f>
        <v>0.10845947265625</v>
      </c>
      <c r="D605" s="41" t="n">
        <f aca="false">(B605+C605)/2</f>
        <v>0.108413696289063</v>
      </c>
      <c r="E605" s="15" t="n">
        <f aca="false">$C$2*(1+IF(E$3&lt;=$O$2,$D605,$D605-($D605-$I$589)*MIN(E$3-$O$2,$Q$2)/$Q$2))</f>
        <v>2649.10873413086</v>
      </c>
      <c r="F605" s="15" t="n">
        <f aca="false">E605*(1+IF(F$3&lt;=$O$2,$D605,$D605-($D605-$I$589)*MIN(F$3-$O$2,$Q$2)/$Q$2))</f>
        <v>2936.30840386963</v>
      </c>
      <c r="G605" s="15" t="n">
        <f aca="false">F605*(1+IF(G$3&lt;=$O$2,$D605,$D605-($D605-$I$589)*MIN(G$3-$O$2,$Q$2)/$Q$2))</f>
        <v>3254.64445137777</v>
      </c>
      <c r="H605" s="15" t="n">
        <f aca="false">G605*(1+IF(H$3&lt;=$O$2,$D605,$D605-($D605-$I$589)*MIN(H$3-$O$2,$Q$2)/$Q$2))</f>
        <v>3607.49248645832</v>
      </c>
      <c r="I605" s="15" t="n">
        <f aca="false">H605*(1+IF(I$3&lt;=$O$2,$D605,$D605-($D605-$I$589)*MIN(I$3-$O$2,$Q$2)/$Q$2))</f>
        <v>3998.59408125029</v>
      </c>
      <c r="J605" s="15" t="n">
        <f aca="false">I605*(1+IF(J$3&lt;=$O$2,$D605,$D605-($D605-$I$589)*MIN(J$3-$O$2,$Q$2)/$Q$2))</f>
        <v>4360.03082703399</v>
      </c>
      <c r="K605" s="15" t="n">
        <f aca="false">J605*(1+IF(K$3&lt;=$O$2,$D605,$D605-($D605-$I$589)*MIN(K$3-$O$2,$Q$2)/$Q$2))</f>
        <v>4675.55848742369</v>
      </c>
      <c r="L605" s="15" t="n">
        <f aca="false">K605*(1+IF(L$3&lt;=$O$2,$D605,$D605-($D605-$I$589)*MIN(L$3-$O$2,$Q$2)/$Q$2))</f>
        <v>4929.65395075052</v>
      </c>
      <c r="M605" s="15" t="n">
        <f aca="false">L605*(1+IF(M$3&lt;=$O$2,$D605,$D605-($D605-$I$589)*MIN(M$3-$O$2,$Q$2)/$Q$2))</f>
        <v>5108.71248583488</v>
      </c>
      <c r="N605" s="15" t="n">
        <f aca="false">M605*(1+IF(N$3&lt;=$O$2,$D605,$D605-($D605-$I$589)*MIN(N$3-$O$2,$Q$2)/$Q$2))</f>
        <v>5202.20192432566</v>
      </c>
      <c r="O605" s="15" t="n">
        <f aca="false">SUMPRODUCT(E605:N605,1/(1+$F$589)^$E$3:$N$3)*$E$2</f>
        <v>10779.1847494545</v>
      </c>
      <c r="P605" s="15" t="n">
        <f aca="false">N605*$E$2*(1+$I$589)/($F$589-$I$589)/(1+$F$589)^$N$3</f>
        <v>10232.4797737565</v>
      </c>
      <c r="Q605" s="15" t="n">
        <f aca="false">O605+P605</f>
        <v>21011.664523211</v>
      </c>
      <c r="R605" s="15" t="n">
        <f aca="false">Q605-$G$2+$I$2</f>
        <v>15660.104523211</v>
      </c>
      <c r="S605" s="42" t="n">
        <f aca="false">R605/$K$2</f>
        <v>725.004839037546</v>
      </c>
      <c r="T605" s="43" t="n">
        <f aca="false">S605-$M$2</f>
        <v>0.00483903754616222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0.108367919921875</v>
      </c>
      <c r="C606" s="25" t="n">
        <f aca="false">IF(T605&gt;0,D605,C605)</f>
        <v>0.108413696289063</v>
      </c>
      <c r="D606" s="41" t="n">
        <f aca="false">(B606+C606)/2</f>
        <v>0.108390808105469</v>
      </c>
      <c r="E606" s="15" t="n">
        <f aca="false">$C$2*(1+IF(E$3&lt;=$O$2,$D606,$D606-($D606-$I$589)*MIN(E$3-$O$2,$Q$2)/$Q$2))</f>
        <v>2649.05403137207</v>
      </c>
      <c r="F606" s="15" t="n">
        <f aca="false">E606*(1+IF(F$3&lt;=$O$2,$D606,$D606-($D606-$I$589)*MIN(F$3-$O$2,$Q$2)/$Q$2))</f>
        <v>2936.18713854754</v>
      </c>
      <c r="G606" s="15" t="n">
        <f aca="false">F606*(1+IF(G$3&lt;=$O$2,$D606,$D606-($D606-$I$589)*MIN(G$3-$O$2,$Q$2)/$Q$2))</f>
        <v>3254.44283524359</v>
      </c>
      <c r="H606" s="15" t="n">
        <f aca="false">G606*(1+IF(H$3&lt;=$O$2,$D606,$D606-($D606-$I$589)*MIN(H$3-$O$2,$Q$2)/$Q$2))</f>
        <v>3607.1945240887</v>
      </c>
      <c r="I606" s="15" t="n">
        <f aca="false">H606*(1+IF(I$3&lt;=$O$2,$D606,$D606-($D606-$I$589)*MIN(I$3-$O$2,$Q$2)/$Q$2))</f>
        <v>3998.18125354829</v>
      </c>
      <c r="J606" s="15" t="n">
        <f aca="false">I606*(1+IF(J$3&lt;=$O$2,$D606,$D606-($D606-$I$589)*MIN(J$3-$O$2,$Q$2)/$Q$2))</f>
        <v>4359.50747455567</v>
      </c>
      <c r="K606" s="15" t="n">
        <f aca="false">J606*(1+IF(K$3&lt;=$O$2,$D606,$D606-($D606-$I$589)*MIN(K$3-$O$2,$Q$2)/$Q$2))</f>
        <v>4674.93739213477</v>
      </c>
      <c r="L606" s="15" t="n">
        <f aca="false">K606*(1+IF(L$3&lt;=$O$2,$D606,$D606-($D606-$I$589)*MIN(L$3-$O$2,$Q$2)/$Q$2))</f>
        <v>4928.95630141079</v>
      </c>
      <c r="M606" s="15" t="n">
        <f aca="false">L606*(1+IF(M$3&lt;=$O$2,$D606,$D606-($D606-$I$589)*MIN(M$3-$O$2,$Q$2)/$Q$2))</f>
        <v>5107.96693298874</v>
      </c>
      <c r="N606" s="15" t="n">
        <f aca="false">M606*(1+IF(N$3&lt;=$O$2,$D606,$D606-($D606-$I$589)*MIN(N$3-$O$2,$Q$2)/$Q$2))</f>
        <v>5201.44272786243</v>
      </c>
      <c r="O606" s="15" t="n">
        <f aca="false">SUMPRODUCT(E606:N606,1/(1+$F$589)^$E$3:$N$3)*$E$2</f>
        <v>10778.1360372738</v>
      </c>
      <c r="P606" s="15" t="n">
        <f aca="false">N606*$E$2*(1+$I$589)/($F$589-$I$589)/(1+$F$589)^$N$3</f>
        <v>10230.9864710036</v>
      </c>
      <c r="Q606" s="15" t="n">
        <f aca="false">O606+P606</f>
        <v>21009.1225082775</v>
      </c>
      <c r="R606" s="15" t="n">
        <f aca="false">Q606-$G$2+$I$2</f>
        <v>15657.5625082775</v>
      </c>
      <c r="S606" s="42" t="n">
        <f aca="false">R606/$K$2</f>
        <v>724.887153160995</v>
      </c>
      <c r="T606" s="43" t="n">
        <f aca="false">S606-$M$2</f>
        <v>-0.112846839005101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0.108390808105469</v>
      </c>
      <c r="C607" s="25" t="n">
        <f aca="false">IF(T606&gt;0,D606,C606)</f>
        <v>0.108413696289063</v>
      </c>
      <c r="D607" s="41" t="n">
        <f aca="false">(B607+C607)/2</f>
        <v>0.108402252197266</v>
      </c>
      <c r="E607" s="15" t="n">
        <f aca="false">$C$2*(1+IF(E$3&lt;=$O$2,$D607,$D607-($D607-$I$589)*MIN(E$3-$O$2,$Q$2)/$Q$2))</f>
        <v>2649.08138275147</v>
      </c>
      <c r="F607" s="15" t="n">
        <f aca="false">E607*(1+IF(F$3&lt;=$O$2,$D607,$D607-($D607-$I$589)*MIN(F$3-$O$2,$Q$2)/$Q$2))</f>
        <v>2936.24777089557</v>
      </c>
      <c r="G607" s="15" t="n">
        <f aca="false">F607*(1+IF(G$3&lt;=$O$2,$D607,$D607-($D607-$I$589)*MIN(G$3-$O$2,$Q$2)/$Q$2))</f>
        <v>3254.54364226985</v>
      </c>
      <c r="H607" s="15" t="n">
        <f aca="false">G607*(1+IF(H$3&lt;=$O$2,$D607,$D607-($D607-$I$589)*MIN(H$3-$O$2,$Q$2)/$Q$2))</f>
        <v>3607.34350296619</v>
      </c>
      <c r="I607" s="15" t="n">
        <f aca="false">H607*(1+IF(I$3&lt;=$O$2,$D607,$D607-($D607-$I$589)*MIN(I$3-$O$2,$Q$2)/$Q$2))</f>
        <v>3998.3876631369</v>
      </c>
      <c r="J607" s="15" t="n">
        <f aca="false">I607*(1+IF(J$3&lt;=$O$2,$D607,$D607-($D607-$I$589)*MIN(J$3-$O$2,$Q$2)/$Q$2))</f>
        <v>4359.76914425743</v>
      </c>
      <c r="K607" s="15" t="n">
        <f aca="false">J607*(1+IF(K$3&lt;=$O$2,$D607,$D607-($D607-$I$589)*MIN(K$3-$O$2,$Q$2)/$Q$2))</f>
        <v>4675.24793097198</v>
      </c>
      <c r="L607" s="15" t="n">
        <f aca="false">K607*(1+IF(L$3&lt;=$O$2,$D607,$D607-($D607-$I$589)*MIN(L$3-$O$2,$Q$2)/$Q$2))</f>
        <v>4929.30511537324</v>
      </c>
      <c r="M607" s="15" t="n">
        <f aca="false">L607*(1+IF(M$3&lt;=$O$2,$D607,$D607-($D607-$I$589)*MIN(M$3-$O$2,$Q$2)/$Q$2))</f>
        <v>5108.3396975171</v>
      </c>
      <c r="N607" s="15" t="n">
        <f aca="false">M607*(1+IF(N$3&lt;=$O$2,$D607,$D607-($D607-$I$589)*MIN(N$3-$O$2,$Q$2)/$Q$2))</f>
        <v>5201.82231398166</v>
      </c>
      <c r="O607" s="15" t="n">
        <f aca="false">SUMPRODUCT(E607:N607,1/(1+$F$589)^$E$3:$N$3)*$E$2</f>
        <v>10778.6603806348</v>
      </c>
      <c r="P607" s="15" t="n">
        <f aca="false">N607*$E$2*(1+$I$589)/($F$589-$I$589)/(1+$F$589)^$N$3</f>
        <v>10231.7330985556</v>
      </c>
      <c r="Q607" s="15" t="n">
        <f aca="false">O607+P607</f>
        <v>21010.3934791904</v>
      </c>
      <c r="R607" s="15" t="n">
        <f aca="false">Q607-$G$2+$I$2</f>
        <v>15658.8334791904</v>
      </c>
      <c r="S607" s="42" t="n">
        <f aca="false">R607/$K$2</f>
        <v>724.945994406961</v>
      </c>
      <c r="T607" s="43" t="n">
        <f aca="false">S607-$M$2</f>
        <v>-0.0540055930389372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0.108402252197266</v>
      </c>
      <c r="C608" s="25" t="n">
        <f aca="false">IF(T607&gt;0,D607,C607)</f>
        <v>0.108413696289063</v>
      </c>
      <c r="D608" s="41" t="n">
        <f aca="false">(B608+C608)/2</f>
        <v>0.108407974243164</v>
      </c>
      <c r="E608" s="15" t="n">
        <f aca="false">$C$2*(1+IF(E$3&lt;=$O$2,$D608,$D608-($D608-$I$589)*MIN(E$3-$O$2,$Q$2)/$Q$2))</f>
        <v>2649.09505844116</v>
      </c>
      <c r="F608" s="15" t="n">
        <f aca="false">E608*(1+IF(F$3&lt;=$O$2,$D608,$D608-($D608-$I$589)*MIN(F$3-$O$2,$Q$2)/$Q$2))</f>
        <v>2936.27808730435</v>
      </c>
      <c r="G608" s="15" t="n">
        <f aca="false">F608*(1+IF(G$3&lt;=$O$2,$D608,$D608-($D608-$I$589)*MIN(G$3-$O$2,$Q$2)/$Q$2))</f>
        <v>3254.5940465636</v>
      </c>
      <c r="H608" s="15" t="n">
        <f aca="false">G608*(1+IF(H$3&lt;=$O$2,$D608,$D608-($D608-$I$589)*MIN(H$3-$O$2,$Q$2)/$Q$2))</f>
        <v>3607.41799413542</v>
      </c>
      <c r="I608" s="15" t="n">
        <f aca="false">H608*(1+IF(I$3&lt;=$O$2,$D608,$D608-($D608-$I$589)*MIN(I$3-$O$2,$Q$2)/$Q$2))</f>
        <v>3998.49087112798</v>
      </c>
      <c r="J608" s="15" t="n">
        <f aca="false">I608*(1+IF(J$3&lt;=$O$2,$D608,$D608-($D608-$I$589)*MIN(J$3-$O$2,$Q$2)/$Q$2))</f>
        <v>4359.89998401133</v>
      </c>
      <c r="K608" s="15" t="n">
        <f aca="false">J608*(1+IF(K$3&lt;=$O$2,$D608,$D608-($D608-$I$589)*MIN(K$3-$O$2,$Q$2)/$Q$2))</f>
        <v>4675.40320699597</v>
      </c>
      <c r="L608" s="15" t="n">
        <f aca="false">K608*(1+IF(L$3&lt;=$O$2,$D608,$D608-($D608-$I$589)*MIN(L$3-$O$2,$Q$2)/$Q$2))</f>
        <v>4929.47953038496</v>
      </c>
      <c r="M608" s="15" t="n">
        <f aca="false">L608*(1+IF(M$3&lt;=$O$2,$D608,$D608-($D608-$I$589)*MIN(M$3-$O$2,$Q$2)/$Q$2))</f>
        <v>5108.52608870223</v>
      </c>
      <c r="N608" s="15" t="n">
        <f aca="false">M608*(1+IF(N$3&lt;=$O$2,$D608,$D608-($D608-$I$589)*MIN(N$3-$O$2,$Q$2)/$Q$2))</f>
        <v>5202.01211612548</v>
      </c>
      <c r="O608" s="15" t="n">
        <f aca="false">SUMPRODUCT(E608:N608,1/(1+$F$589)^$E$3:$N$3)*$E$2</f>
        <v>10778.9225618622</v>
      </c>
      <c r="P608" s="15" t="n">
        <f aca="false">N608*$E$2*(1+$I$589)/($F$589-$I$589)/(1+$F$589)^$N$3</f>
        <v>10232.1064301997</v>
      </c>
      <c r="Q608" s="15" t="n">
        <f aca="false">O608+P608</f>
        <v>21011.028992062</v>
      </c>
      <c r="R608" s="15" t="n">
        <f aca="false">Q608-$G$2+$I$2</f>
        <v>15659.468992062</v>
      </c>
      <c r="S608" s="42" t="n">
        <f aca="false">R608/$K$2</f>
        <v>724.975416299166</v>
      </c>
      <c r="T608" s="43" t="n">
        <f aca="false">S608-$M$2</f>
        <v>-0.0245837008344552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0.108407974243164</v>
      </c>
      <c r="C609" s="25" t="n">
        <f aca="false">IF(T608&gt;0,D608,C608)</f>
        <v>0.108413696289063</v>
      </c>
      <c r="D609" s="41" t="n">
        <f aca="false">(B609+C609)/2</f>
        <v>0.108410835266113</v>
      </c>
      <c r="E609" s="15" t="n">
        <f aca="false">$C$2*(1+IF(E$3&lt;=$O$2,$D609,$D609-($D609-$I$589)*MIN(E$3-$O$2,$Q$2)/$Q$2))</f>
        <v>2649.10189628601</v>
      </c>
      <c r="F609" s="15" t="n">
        <f aca="false">E609*(1+IF(F$3&lt;=$O$2,$D609,$D609-($D609-$I$589)*MIN(F$3-$O$2,$Q$2)/$Q$2))</f>
        <v>2936.29324556742</v>
      </c>
      <c r="G609" s="15" t="n">
        <f aca="false">F609*(1+IF(G$3&lt;=$O$2,$D609,$D609-($D609-$I$589)*MIN(G$3-$O$2,$Q$2)/$Q$2))</f>
        <v>3254.61924890563</v>
      </c>
      <c r="H609" s="15" t="n">
        <f aca="false">G609*(1+IF(H$3&lt;=$O$2,$D609,$D609-($D609-$I$589)*MIN(H$3-$O$2,$Q$2)/$Q$2))</f>
        <v>3607.45524015266</v>
      </c>
      <c r="I609" s="15" t="n">
        <f aca="false">H609*(1+IF(I$3&lt;=$O$2,$D609,$D609-($D609-$I$589)*MIN(I$3-$O$2,$Q$2)/$Q$2))</f>
        <v>3998.54247592273</v>
      </c>
      <c r="J609" s="15" t="n">
        <f aca="false">I609*(1+IF(J$3&lt;=$O$2,$D609,$D609-($D609-$I$589)*MIN(J$3-$O$2,$Q$2)/$Q$2))</f>
        <v>4359.96540511406</v>
      </c>
      <c r="K609" s="15" t="n">
        <f aca="false">J609*(1+IF(K$3&lt;=$O$2,$D609,$D609-($D609-$I$589)*MIN(K$3-$O$2,$Q$2)/$Q$2))</f>
        <v>4675.48084665936</v>
      </c>
      <c r="L609" s="15" t="n">
        <f aca="false">K609*(1+IF(L$3&lt;=$O$2,$D609,$D609-($D609-$I$589)*MIN(L$3-$O$2,$Q$2)/$Q$2))</f>
        <v>4929.5667398985</v>
      </c>
      <c r="M609" s="15" t="n">
        <f aca="false">L609*(1+IF(M$3&lt;=$O$2,$D609,$D609-($D609-$I$589)*MIN(M$3-$O$2,$Q$2)/$Q$2))</f>
        <v>5108.6192865251</v>
      </c>
      <c r="N609" s="15" t="n">
        <f aca="false">M609*(1+IF(N$3&lt;=$O$2,$D609,$D609-($D609-$I$589)*MIN(N$3-$O$2,$Q$2)/$Q$2))</f>
        <v>5202.10701946851</v>
      </c>
      <c r="O609" s="15" t="n">
        <f aca="false">SUMPRODUCT(E609:N609,1/(1+$F$589)^$E$3:$N$3)*$E$2</f>
        <v>10779.0536548628</v>
      </c>
      <c r="P609" s="15" t="n">
        <f aca="false">N609*$E$2*(1+$I$589)/($F$589-$I$589)/(1+$F$589)^$N$3</f>
        <v>10232.293100489</v>
      </c>
      <c r="Q609" s="15" t="n">
        <f aca="false">O609+P609</f>
        <v>21011.3467553518</v>
      </c>
      <c r="R609" s="15" t="n">
        <f aca="false">Q609-$G$2+$I$2</f>
        <v>15659.7867553518</v>
      </c>
      <c r="S609" s="42" t="n">
        <f aca="false">R609/$K$2</f>
        <v>724.990127562582</v>
      </c>
      <c r="T609" s="43" t="n">
        <f aca="false">S609-$M$2</f>
        <v>-0.00987243741781185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0.108410835266113</v>
      </c>
      <c r="C610" s="25" t="n">
        <f aca="false">IF(T609&gt;0,D609,C609)</f>
        <v>0.108413696289063</v>
      </c>
      <c r="D610" s="41" t="n">
        <f aca="false">(B610+C610)/2</f>
        <v>0.108412265777588</v>
      </c>
      <c r="E610" s="15" t="n">
        <f aca="false">$C$2*(1+IF(E$3&lt;=$O$2,$D610,$D610-($D610-$I$589)*MIN(E$3-$O$2,$Q$2)/$Q$2))</f>
        <v>2649.10531520844</v>
      </c>
      <c r="F610" s="15" t="n">
        <f aca="false">E610*(1+IF(F$3&lt;=$O$2,$D610,$D610-($D610-$I$589)*MIN(F$3-$O$2,$Q$2)/$Q$2))</f>
        <v>2936.30082471363</v>
      </c>
      <c r="G610" s="15" t="n">
        <f aca="false">F610*(1+IF(G$3&lt;=$O$2,$D610,$D610-($D610-$I$589)*MIN(G$3-$O$2,$Q$2)/$Q$2))</f>
        <v>3254.63185012544</v>
      </c>
      <c r="H610" s="15" t="n">
        <f aca="false">G610*(1+IF(H$3&lt;=$O$2,$D610,$D610-($D610-$I$589)*MIN(H$3-$O$2,$Q$2)/$Q$2))</f>
        <v>3607.47386326944</v>
      </c>
      <c r="I610" s="15" t="n">
        <f aca="false">H610*(1+IF(I$3&lt;=$O$2,$D610,$D610-($D610-$I$589)*MIN(I$3-$O$2,$Q$2)/$Q$2))</f>
        <v>3998.56827851991</v>
      </c>
      <c r="J610" s="15" t="n">
        <f aca="false">I610*(1+IF(J$3&lt;=$O$2,$D610,$D610-($D610-$I$589)*MIN(J$3-$O$2,$Q$2)/$Q$2))</f>
        <v>4359.99811597188</v>
      </c>
      <c r="K610" s="15" t="n">
        <f aca="false">J610*(1+IF(K$3&lt;=$O$2,$D610,$D610-($D610-$I$589)*MIN(K$3-$O$2,$Q$2)/$Q$2))</f>
        <v>4675.51966690391</v>
      </c>
      <c r="L610" s="15" t="n">
        <f aca="false">K610*(1+IF(L$3&lt;=$O$2,$D610,$D610-($D610-$I$589)*MIN(L$3-$O$2,$Q$2)/$Q$2))</f>
        <v>4929.6103451572</v>
      </c>
      <c r="M610" s="15" t="n">
        <f aca="false">L610*(1+IF(M$3&lt;=$O$2,$D610,$D610-($D610-$I$589)*MIN(M$3-$O$2,$Q$2)/$Q$2))</f>
        <v>5108.66588599413</v>
      </c>
      <c r="N610" s="15" t="n">
        <f aca="false">M610*(1+IF(N$3&lt;=$O$2,$D610,$D610-($D610-$I$589)*MIN(N$3-$O$2,$Q$2)/$Q$2))</f>
        <v>5202.15447170782</v>
      </c>
      <c r="O610" s="15" t="n">
        <f aca="false">SUMPRODUCT(E610:N610,1/(1+$F$589)^$E$3:$N$3)*$E$2</f>
        <v>10779.1192019598</v>
      </c>
      <c r="P610" s="15" t="n">
        <f aca="false">N610*$E$2*(1+$I$589)/($F$589-$I$589)/(1+$F$589)^$N$3</f>
        <v>10232.3864367505</v>
      </c>
      <c r="Q610" s="15" t="n">
        <f aca="false">O610+P610</f>
        <v>21011.5056387102</v>
      </c>
      <c r="R610" s="15" t="n">
        <f aca="false">Q610-$G$2+$I$2</f>
        <v>15659.9456387102</v>
      </c>
      <c r="S610" s="42" t="n">
        <f aca="false">R610/$K$2</f>
        <v>724.997483273621</v>
      </c>
      <c r="T610" s="43" t="n">
        <f aca="false">S610-$M$2</f>
        <v>-0.00251672637909905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0.108412265777588</v>
      </c>
      <c r="C611" s="25" t="n">
        <f aca="false">IF(T610&gt;0,D610,C610)</f>
        <v>0.108413696289063</v>
      </c>
      <c r="D611" s="41" t="n">
        <f aca="false">(B611+C611)/2</f>
        <v>0.108412981033325</v>
      </c>
      <c r="E611" s="15" t="n">
        <f aca="false">$C$2*(1+IF(E$3&lt;=$O$2,$D611,$D611-($D611-$I$589)*MIN(E$3-$O$2,$Q$2)/$Q$2))</f>
        <v>2649.10702466965</v>
      </c>
      <c r="F611" s="15" t="n">
        <f aca="false">E611*(1+IF(F$3&lt;=$O$2,$D611,$D611-($D611-$I$589)*MIN(F$3-$O$2,$Q$2)/$Q$2))</f>
        <v>2936.30461429041</v>
      </c>
      <c r="G611" s="15" t="n">
        <f aca="false">F611*(1+IF(G$3&lt;=$O$2,$D611,$D611-($D611-$I$589)*MIN(G$3-$O$2,$Q$2)/$Q$2))</f>
        <v>3254.63815074754</v>
      </c>
      <c r="H611" s="15" t="n">
        <f aca="false">G611*(1+IF(H$3&lt;=$O$2,$D611,$D611-($D611-$I$589)*MIN(H$3-$O$2,$Q$2)/$Q$2))</f>
        <v>3607.48317485487</v>
      </c>
      <c r="I611" s="15" t="n">
        <f aca="false">H611*(1+IF(I$3&lt;=$O$2,$D611,$D611-($D611-$I$589)*MIN(I$3-$O$2,$Q$2)/$Q$2))</f>
        <v>3998.58117986845</v>
      </c>
      <c r="J611" s="15" t="n">
        <f aca="false">I611*(1+IF(J$3&lt;=$O$2,$D611,$D611-($D611-$I$589)*MIN(J$3-$O$2,$Q$2)/$Q$2))</f>
        <v>4360.0144714774</v>
      </c>
      <c r="K611" s="15" t="n">
        <f aca="false">J611*(1+IF(K$3&lt;=$O$2,$D611,$D611-($D611-$I$589)*MIN(K$3-$O$2,$Q$2)/$Q$2))</f>
        <v>4675.53907712939</v>
      </c>
      <c r="L611" s="15" t="n">
        <f aca="false">K611*(1+IF(L$3&lt;=$O$2,$D611,$D611-($D611-$I$589)*MIN(L$3-$O$2,$Q$2)/$Q$2))</f>
        <v>4929.63214791203</v>
      </c>
      <c r="M611" s="15" t="n">
        <f aca="false">L611*(1+IF(M$3&lt;=$O$2,$D611,$D611-($D611-$I$589)*MIN(M$3-$O$2,$Q$2)/$Q$2))</f>
        <v>5108.68918586804</v>
      </c>
      <c r="N611" s="15" t="n">
        <f aca="false">M611*(1+IF(N$3&lt;=$O$2,$D611,$D611-($D611-$I$589)*MIN(N$3-$O$2,$Q$2)/$Q$2))</f>
        <v>5202.17819796942</v>
      </c>
      <c r="O611" s="15" t="n">
        <f aca="false">SUMPRODUCT(E611:N611,1/(1+$F$589)^$E$3:$N$3)*$E$2</f>
        <v>10779.1519756574</v>
      </c>
      <c r="P611" s="15" t="n">
        <f aca="false">N611*$E$2*(1+$I$589)/($F$589-$I$589)/(1+$F$589)^$N$3</f>
        <v>10232.4331051604</v>
      </c>
      <c r="Q611" s="15" t="n">
        <f aca="false">O611+P611</f>
        <v>21011.5850808178</v>
      </c>
      <c r="R611" s="15" t="n">
        <f aca="false">Q611-$G$2+$I$2</f>
        <v>15660.0250808178</v>
      </c>
      <c r="S611" s="42" t="n">
        <f aca="false">R611/$K$2</f>
        <v>725.001161148973</v>
      </c>
      <c r="T611" s="43" t="n">
        <f aca="false">S611-$M$2</f>
        <v>0.00116114897286934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0.108412265777588</v>
      </c>
      <c r="C612" s="25" t="n">
        <f aca="false">IF(T611&gt;0,D611,C611)</f>
        <v>0.108412981033325</v>
      </c>
      <c r="D612" s="41" t="n">
        <f aca="false">(B612+C612)/2</f>
        <v>0.108412623405457</v>
      </c>
      <c r="E612" s="15" t="n">
        <f aca="false">$C$2*(1+IF(E$3&lt;=$O$2,$D612,$D612-($D612-$I$589)*MIN(E$3-$O$2,$Q$2)/$Q$2))</f>
        <v>2649.10616993904</v>
      </c>
      <c r="F612" s="15" t="n">
        <f aca="false">E612*(1+IF(F$3&lt;=$O$2,$D612,$D612-($D612-$I$589)*MIN(F$3-$O$2,$Q$2)/$Q$2))</f>
        <v>2936.30271950171</v>
      </c>
      <c r="G612" s="15" t="n">
        <f aca="false">F612*(1+IF(G$3&lt;=$O$2,$D612,$D612-($D612-$I$589)*MIN(G$3-$O$2,$Q$2)/$Q$2))</f>
        <v>3254.63500043547</v>
      </c>
      <c r="H612" s="15" t="n">
        <f aca="false">G612*(1+IF(H$3&lt;=$O$2,$D612,$D612-($D612-$I$589)*MIN(H$3-$O$2,$Q$2)/$Q$2))</f>
        <v>3607.4785190599</v>
      </c>
      <c r="I612" s="15" t="n">
        <f aca="false">H612*(1+IF(I$3&lt;=$O$2,$D612,$D612-($D612-$I$589)*MIN(I$3-$O$2,$Q$2)/$Q$2))</f>
        <v>3998.57472919002</v>
      </c>
      <c r="J612" s="15" t="n">
        <f aca="false">I612*(1+IF(J$3&lt;=$O$2,$D612,$D612-($D612-$I$589)*MIN(J$3-$O$2,$Q$2)/$Q$2))</f>
        <v>4360.00629371825</v>
      </c>
      <c r="K612" s="15" t="n">
        <f aca="false">J612*(1+IF(K$3&lt;=$O$2,$D612,$D612-($D612-$I$589)*MIN(K$3-$O$2,$Q$2)/$Q$2))</f>
        <v>4675.52937200805</v>
      </c>
      <c r="L612" s="15" t="n">
        <f aca="false">K612*(1+IF(L$3&lt;=$O$2,$D612,$D612-($D612-$I$589)*MIN(L$3-$O$2,$Q$2)/$Q$2))</f>
        <v>4929.62124652416</v>
      </c>
      <c r="M612" s="15" t="n">
        <f aca="false">L612*(1+IF(M$3&lt;=$O$2,$D612,$D612-($D612-$I$589)*MIN(M$3-$O$2,$Q$2)/$Q$2))</f>
        <v>5108.67753591947</v>
      </c>
      <c r="N612" s="15" t="n">
        <f aca="false">M612*(1+IF(N$3&lt;=$O$2,$D612,$D612-($D612-$I$589)*MIN(N$3-$O$2,$Q$2)/$Q$2))</f>
        <v>5202.16633482679</v>
      </c>
      <c r="O612" s="15" t="n">
        <f aca="false">SUMPRODUCT(E612:N612,1/(1+$F$589)^$E$3:$N$3)*$E$2</f>
        <v>10779.1355887962</v>
      </c>
      <c r="P612" s="15" t="n">
        <f aca="false">N612*$E$2*(1+$I$589)/($F$589-$I$589)/(1+$F$589)^$N$3</f>
        <v>10232.4097709322</v>
      </c>
      <c r="Q612" s="15" t="n">
        <f aca="false">O612+P612</f>
        <v>21011.5453597283</v>
      </c>
      <c r="R612" s="15" t="n">
        <f aca="false">Q612-$G$2+$I$2</f>
        <v>15659.9853597283</v>
      </c>
      <c r="S612" s="42" t="n">
        <f aca="false">R612/$K$2</f>
        <v>724.999322209644</v>
      </c>
      <c r="T612" s="43" t="n">
        <f aca="false">S612-$M$2</f>
        <v>-0.000677790355780417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0.108412623405457</v>
      </c>
      <c r="C613" s="25" t="n">
        <f aca="false">IF(T612&gt;0,D612,C612)</f>
        <v>0.108412981033325</v>
      </c>
      <c r="D613" s="41" t="n">
        <f aca="false">(B613+C613)/2</f>
        <v>0.108412802219391</v>
      </c>
      <c r="E613" s="15" t="n">
        <f aca="false">$C$2*(1+IF(E$3&lt;=$O$2,$D613,$D613-($D613-$I$589)*MIN(E$3-$O$2,$Q$2)/$Q$2))</f>
        <v>2649.10659730434</v>
      </c>
      <c r="F613" s="15" t="n">
        <f aca="false">E613*(1+IF(F$3&lt;=$O$2,$D613,$D613-($D613-$I$589)*MIN(F$3-$O$2,$Q$2)/$Q$2))</f>
        <v>2936.30366689598</v>
      </c>
      <c r="G613" s="15" t="n">
        <f aca="false">F613*(1+IF(G$3&lt;=$O$2,$D613,$D613-($D613-$I$589)*MIN(G$3-$O$2,$Q$2)/$Q$2))</f>
        <v>3254.63657559125</v>
      </c>
      <c r="H613" s="15" t="n">
        <f aca="false">G613*(1+IF(H$3&lt;=$O$2,$D613,$D613-($D613-$I$589)*MIN(H$3-$O$2,$Q$2)/$Q$2))</f>
        <v>3607.48084695682</v>
      </c>
      <c r="I613" s="15" t="n">
        <f aca="false">H613*(1+IF(I$3&lt;=$O$2,$D613,$D613-($D613-$I$589)*MIN(I$3-$O$2,$Q$2)/$Q$2))</f>
        <v>3998.57795452819</v>
      </c>
      <c r="J613" s="15" t="n">
        <f aca="false">I613*(1+IF(J$3&lt;=$O$2,$D613,$D613-($D613-$I$589)*MIN(J$3-$O$2,$Q$2)/$Q$2))</f>
        <v>4360.01038259623</v>
      </c>
      <c r="K613" s="15" t="n">
        <f aca="false">J613*(1+IF(K$3&lt;=$O$2,$D613,$D613-($D613-$I$589)*MIN(K$3-$O$2,$Q$2)/$Q$2))</f>
        <v>4675.53422456657</v>
      </c>
      <c r="L613" s="15" t="n">
        <f aca="false">K613*(1+IF(L$3&lt;=$O$2,$D613,$D613-($D613-$I$589)*MIN(L$3-$O$2,$Q$2)/$Q$2))</f>
        <v>4929.62669721548</v>
      </c>
      <c r="M613" s="15" t="n">
        <f aca="false">L613*(1+IF(M$3&lt;=$O$2,$D613,$D613-($D613-$I$589)*MIN(M$3-$O$2,$Q$2)/$Q$2))</f>
        <v>5108.68336089085</v>
      </c>
      <c r="N613" s="15" t="n">
        <f aca="false">M613*(1+IF(N$3&lt;=$O$2,$D613,$D613-($D613-$I$589)*MIN(N$3-$O$2,$Q$2)/$Q$2))</f>
        <v>5202.17226639515</v>
      </c>
      <c r="O613" s="15" t="n">
        <f aca="false">SUMPRODUCT(E613:N613,1/(1+$F$589)^$E$3:$N$3)*$E$2</f>
        <v>10779.1437822237</v>
      </c>
      <c r="P613" s="15" t="n">
        <f aca="false">N613*$E$2*(1+$I$589)/($F$589-$I$589)/(1+$F$589)^$N$3</f>
        <v>10232.4214380405</v>
      </c>
      <c r="Q613" s="15" t="n">
        <f aca="false">O613+P613</f>
        <v>21011.5652202641</v>
      </c>
      <c r="R613" s="15" t="n">
        <f aca="false">Q613-$G$2+$I$2</f>
        <v>15660.0052202641</v>
      </c>
      <c r="S613" s="42" t="n">
        <f aca="false">R613/$K$2</f>
        <v>725.000241678895</v>
      </c>
      <c r="T613" s="43" t="n">
        <f aca="false">S613-$M$2</f>
        <v>0.000241678895122277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0.108412623405457</v>
      </c>
      <c r="C614" s="25" t="n">
        <f aca="false">IF(T613&gt;0,D613,C613)</f>
        <v>0.108412802219391</v>
      </c>
      <c r="D614" s="41" t="n">
        <f aca="false">(B614+C614)/2</f>
        <v>0.108412712812424</v>
      </c>
      <c r="E614" s="15" t="n">
        <f aca="false">$C$2*(1+IF(E$3&lt;=$O$2,$D614,$D614-($D614-$I$589)*MIN(E$3-$O$2,$Q$2)/$Q$2))</f>
        <v>2649.10638362169</v>
      </c>
      <c r="F614" s="15" t="n">
        <f aca="false">E614*(1+IF(F$3&lt;=$O$2,$D614,$D614-($D614-$I$589)*MIN(F$3-$O$2,$Q$2)/$Q$2))</f>
        <v>2936.30319319883</v>
      </c>
      <c r="G614" s="15" t="n">
        <f aca="false">F614*(1+IF(G$3&lt;=$O$2,$D614,$D614-($D614-$I$589)*MIN(G$3-$O$2,$Q$2)/$Q$2))</f>
        <v>3254.6357880133</v>
      </c>
      <c r="H614" s="15" t="n">
        <f aca="false">G614*(1+IF(H$3&lt;=$O$2,$D614,$D614-($D614-$I$589)*MIN(H$3-$O$2,$Q$2)/$Q$2))</f>
        <v>3607.47968300822</v>
      </c>
      <c r="I614" s="15" t="n">
        <f aca="false">H614*(1+IF(I$3&lt;=$O$2,$D614,$D614-($D614-$I$589)*MIN(I$3-$O$2,$Q$2)/$Q$2))</f>
        <v>3998.57634185884</v>
      </c>
      <c r="J614" s="15" t="n">
        <f aca="false">I614*(1+IF(J$3&lt;=$O$2,$D614,$D614-($D614-$I$589)*MIN(J$3-$O$2,$Q$2)/$Q$2))</f>
        <v>4360.00833815684</v>
      </c>
      <c r="K614" s="15" t="n">
        <f aca="false">J614*(1+IF(K$3&lt;=$O$2,$D614,$D614-($D614-$I$589)*MIN(K$3-$O$2,$Q$2)/$Q$2))</f>
        <v>4675.53179828677</v>
      </c>
      <c r="L614" s="15" t="n">
        <f aca="false">K614*(1+IF(L$3&lt;=$O$2,$D614,$D614-($D614-$I$589)*MIN(L$3-$O$2,$Q$2)/$Q$2))</f>
        <v>4929.62397186917</v>
      </c>
      <c r="M614" s="15" t="n">
        <f aca="false">L614*(1+IF(M$3&lt;=$O$2,$D614,$D614-($D614-$I$589)*MIN(M$3-$O$2,$Q$2)/$Q$2))</f>
        <v>5108.68044840443</v>
      </c>
      <c r="N614" s="15" t="n">
        <f aca="false">M614*(1+IF(N$3&lt;=$O$2,$D614,$D614-($D614-$I$589)*MIN(N$3-$O$2,$Q$2)/$Q$2))</f>
        <v>5202.16930061023</v>
      </c>
      <c r="O614" s="15" t="n">
        <f aca="false">SUMPRODUCT(E614:N614,1/(1+$F$589)^$E$3:$N$3)*$E$2</f>
        <v>10779.1396855091</v>
      </c>
      <c r="P614" s="15" t="n">
        <f aca="false">N614*$E$2*(1+$I$589)/($F$589-$I$589)/(1+$F$589)^$N$3</f>
        <v>10232.4156044849</v>
      </c>
      <c r="Q614" s="15" t="n">
        <f aca="false">O614+P614</f>
        <v>21011.555289994</v>
      </c>
      <c r="R614" s="15" t="n">
        <f aca="false">Q614-$G$2+$I$2</f>
        <v>15659.995289994</v>
      </c>
      <c r="S614" s="42" t="n">
        <f aca="false">R614/$K$2</f>
        <v>724.999781944166</v>
      </c>
      <c r="T614" s="43" t="n">
        <f aca="false">S614-$M$2</f>
        <v>-0.000218055833670405</v>
      </c>
    </row>
    <row r="616" customFormat="false" ht="15" hidden="false" customHeight="false" outlineLevel="0" collapsed="false">
      <c r="A616" s="38" t="s">
        <v>203</v>
      </c>
      <c r="E616" s="5" t="s">
        <v>11</v>
      </c>
      <c r="F616" s="12" t="n">
        <f aca="false">Sensitivity!$B$14</f>
        <v>0.106972178572932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162</v>
      </c>
      <c r="B617" s="28" t="s">
        <v>163</v>
      </c>
      <c r="C617" s="28" t="s">
        <v>164</v>
      </c>
      <c r="D617" s="28" t="s">
        <v>165</v>
      </c>
      <c r="E617" s="28" t="s">
        <v>166</v>
      </c>
      <c r="F617" s="28" t="s">
        <v>167</v>
      </c>
      <c r="G617" s="28" t="s">
        <v>168</v>
      </c>
      <c r="H617" s="28" t="s">
        <v>169</v>
      </c>
      <c r="I617" s="28" t="s">
        <v>170</v>
      </c>
      <c r="J617" s="28" t="s">
        <v>171</v>
      </c>
      <c r="K617" s="28" t="s">
        <v>172</v>
      </c>
      <c r="L617" s="28" t="s">
        <v>173</v>
      </c>
      <c r="M617" s="28" t="s">
        <v>174</v>
      </c>
      <c r="N617" s="28" t="s">
        <v>175</v>
      </c>
      <c r="O617" s="28" t="s">
        <v>176</v>
      </c>
      <c r="P617" s="28" t="s">
        <v>177</v>
      </c>
      <c r="Q617" s="28" t="s">
        <v>178</v>
      </c>
      <c r="R617" s="28" t="s">
        <v>179</v>
      </c>
      <c r="S617" s="28" t="s">
        <v>180</v>
      </c>
      <c r="T617" s="28" t="s">
        <v>181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2987.5</v>
      </c>
      <c r="F618" s="15" t="n">
        <f aca="false">E618*(1+IF(F$3&lt;=$O$2,$D618,$D618-($D618-$I$616)*MIN(F$3-$O$2,$Q$2)/$Q$2))</f>
        <v>3734.375</v>
      </c>
      <c r="G618" s="15" t="n">
        <f aca="false">F618*(1+IF(G$3&lt;=$O$2,$D618,$D618-($D618-$I$616)*MIN(G$3-$O$2,$Q$2)/$Q$2))</f>
        <v>4667.96875</v>
      </c>
      <c r="H618" s="15" t="n">
        <f aca="false">G618*(1+IF(H$3&lt;=$O$2,$D618,$D618-($D618-$I$616)*MIN(H$3-$O$2,$Q$2)/$Q$2))</f>
        <v>5834.9609375</v>
      </c>
      <c r="I618" s="15" t="n">
        <f aca="false">H618*(1+IF(I$3&lt;=$O$2,$D618,$D618-($D618-$I$616)*MIN(I$3-$O$2,$Q$2)/$Q$2))</f>
        <v>7293.701171875</v>
      </c>
      <c r="J618" s="15" t="n">
        <f aca="false">I618*(1+IF(J$3&lt;=$O$2,$D618,$D618-($D618-$I$616)*MIN(J$3-$O$2,$Q$2)/$Q$2))</f>
        <v>8786.43005371094</v>
      </c>
      <c r="K618" s="15" t="n">
        <f aca="false">J618*(1+IF(K$3&lt;=$O$2,$D618,$D618-($D618-$I$616)*MIN(K$3-$O$2,$Q$2)/$Q$2))</f>
        <v>10186.2840898682</v>
      </c>
      <c r="L618" s="15" t="n">
        <f aca="false">K618*(1+IF(L$3&lt;=$O$2,$D618,$D618-($D618-$I$616)*MIN(L$3-$O$2,$Q$2)/$Q$2))</f>
        <v>11347.3167504313</v>
      </c>
      <c r="M618" s="15" t="n">
        <f aca="false">L618*(1+IF(M$3&lt;=$O$2,$D618,$D618-($D618-$I$616)*MIN(M$3-$O$2,$Q$2)/$Q$2))</f>
        <v>12126.1965721809</v>
      </c>
      <c r="N618" s="15" t="n">
        <f aca="false">M618*(1+IF(N$3&lt;=$O$2,$D618,$D618-($D618-$I$616)*MIN(N$3-$O$2,$Q$2)/$Q$2))</f>
        <v>12408.7369523128</v>
      </c>
      <c r="O618" s="15" t="n">
        <f aca="false">SUMPRODUCT(E618:N618,1/(1+$F$616)^$E$3:$N$3)*$E$2</f>
        <v>19695.8137541371</v>
      </c>
      <c r="P618" s="15" t="n">
        <f aca="false">N618*$E$2*(1+$I$616)/($F$616-$I$616)/(1+$F$616)^$N$3</f>
        <v>25992.9038260675</v>
      </c>
      <c r="Q618" s="15" t="n">
        <f aca="false">O618+P618</f>
        <v>45688.7175802046</v>
      </c>
      <c r="R618" s="15" t="n">
        <f aca="false">Q618-$G$2+$I$2</f>
        <v>40337.1575802046</v>
      </c>
      <c r="S618" s="42" t="n">
        <f aca="false">R618/$K$2</f>
        <v>1867.46099908355</v>
      </c>
      <c r="T618" s="43" t="n">
        <f aca="false">S618-$M$2</f>
        <v>1142.46099908355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2091.25</v>
      </c>
      <c r="F619" s="15" t="n">
        <f aca="false">E619*(1+IF(F$3&lt;=$O$2,$D619,$D619-($D619-$I$616)*MIN(F$3-$O$2,$Q$2)/$Q$2))</f>
        <v>1829.84375</v>
      </c>
      <c r="G619" s="15" t="n">
        <f aca="false">F619*(1+IF(G$3&lt;=$O$2,$D619,$D619-($D619-$I$616)*MIN(G$3-$O$2,$Q$2)/$Q$2))</f>
        <v>1601.11328125</v>
      </c>
      <c r="H619" s="15" t="n">
        <f aca="false">G619*(1+IF(H$3&lt;=$O$2,$D619,$D619-($D619-$I$616)*MIN(H$3-$O$2,$Q$2)/$Q$2))</f>
        <v>1400.97412109375</v>
      </c>
      <c r="I619" s="15" t="n">
        <f aca="false">H619*(1+IF(I$3&lt;=$O$2,$D619,$D619-($D619-$I$616)*MIN(I$3-$O$2,$Q$2)/$Q$2))</f>
        <v>1225.85235595703</v>
      </c>
      <c r="J619" s="15" t="n">
        <f aca="false">I619*(1+IF(J$3&lt;=$O$2,$D619,$D619-($D619-$I$616)*MIN(J$3-$O$2,$Q$2)/$Q$2))</f>
        <v>1108.97959234009</v>
      </c>
      <c r="K619" s="15" t="n">
        <f aca="false">J619*(1+IF(K$3&lt;=$O$2,$D619,$D619-($D619-$I$616)*MIN(K$3-$O$2,$Q$2)/$Q$2))</f>
        <v>1036.14181271519</v>
      </c>
      <c r="L619" s="15" t="n">
        <f aca="false">K619*(1+IF(L$3&lt;=$O$2,$D619,$D619-($D619-$I$616)*MIN(L$3-$O$2,$Q$2)/$Q$2))</f>
        <v>998.81998462119</v>
      </c>
      <c r="M619" s="15" t="n">
        <f aca="false">L619*(1+IF(M$3&lt;=$O$2,$D619,$D619-($D619-$I$616)*MIN(M$3-$O$2,$Q$2)/$Q$2))</f>
        <v>992.467489518999</v>
      </c>
      <c r="N619" s="15" t="n">
        <f aca="false">M619*(1+IF(N$3&lt;=$O$2,$D619,$D619-($D619-$I$616)*MIN(N$3-$O$2,$Q$2)/$Q$2))</f>
        <v>1015.59198202479</v>
      </c>
      <c r="O619" s="15" t="n">
        <f aca="false">SUMPRODUCT(E619:N619,1/(1+$F$616)^$E$3:$N$3)*$E$2</f>
        <v>4047.48698077705</v>
      </c>
      <c r="P619" s="15" t="n">
        <f aca="false">N619*$E$2*(1+$I$616)/($F$616-$I$616)/(1+$F$616)^$N$3</f>
        <v>2127.38692235518</v>
      </c>
      <c r="Q619" s="15" t="n">
        <f aca="false">O619+P619</f>
        <v>6174.87390313224</v>
      </c>
      <c r="R619" s="15" t="n">
        <f aca="false">Q619-$G$2+$I$2</f>
        <v>823.313903132236</v>
      </c>
      <c r="S619" s="42" t="n">
        <f aca="false">R619/$K$2</f>
        <v>38.1163844042702</v>
      </c>
      <c r="T619" s="43" t="n">
        <f aca="false">S619-$M$2</f>
        <v>-686.88361559573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2539.375</v>
      </c>
      <c r="F620" s="15" t="n">
        <f aca="false">E620*(1+IF(F$3&lt;=$O$2,$D620,$D620-($D620-$I$616)*MIN(F$3-$O$2,$Q$2)/$Q$2))</f>
        <v>2698.0859375</v>
      </c>
      <c r="G620" s="15" t="n">
        <f aca="false">F620*(1+IF(G$3&lt;=$O$2,$D620,$D620-($D620-$I$616)*MIN(G$3-$O$2,$Q$2)/$Q$2))</f>
        <v>2866.71630859375</v>
      </c>
      <c r="H620" s="15" t="n">
        <f aca="false">G620*(1+IF(H$3&lt;=$O$2,$D620,$D620-($D620-$I$616)*MIN(H$3-$O$2,$Q$2)/$Q$2))</f>
        <v>3045.88607788086</v>
      </c>
      <c r="I620" s="15" t="n">
        <f aca="false">H620*(1+IF(I$3&lt;=$O$2,$D620,$D620-($D620-$I$616)*MIN(I$3-$O$2,$Q$2)/$Q$2))</f>
        <v>3236.25395774841</v>
      </c>
      <c r="J620" s="15" t="n">
        <f aca="false">I620*(1+IF(J$3&lt;=$O$2,$D620,$D620-($D620-$I$616)*MIN(J$3-$O$2,$Q$2)/$Q$2))</f>
        <v>3413.14759907894</v>
      </c>
      <c r="K620" s="15" t="n">
        <f aca="false">J620*(1+IF(K$3&lt;=$O$2,$D620,$D620-($D620-$I$616)*MIN(K$3-$O$2,$Q$2)/$Q$2))</f>
        <v>3572.95116966782</v>
      </c>
      <c r="L620" s="15" t="n">
        <f aca="false">K620*(1+IF(L$3&lt;=$O$2,$D620,$D620-($D620-$I$616)*MIN(L$3-$O$2,$Q$2)/$Q$2))</f>
        <v>3712.22480626147</v>
      </c>
      <c r="M620" s="15" t="n">
        <f aca="false">L620*(1+IF(M$3&lt;=$O$2,$D620,$D620-($D620-$I$616)*MIN(M$3-$O$2,$Q$2)/$Q$2))</f>
        <v>3827.82348672845</v>
      </c>
      <c r="N620" s="15" t="n">
        <f aca="false">M620*(1+IF(N$3&lt;=$O$2,$D620,$D620-($D620-$I$616)*MIN(N$3-$O$2,$Q$2)/$Q$2))</f>
        <v>3917.01177396922</v>
      </c>
      <c r="O620" s="15" t="n">
        <f aca="false">SUMPRODUCT(E620:N620,1/(1+$F$616)^$E$3:$N$3)*$E$2</f>
        <v>8892.69988655983</v>
      </c>
      <c r="P620" s="15" t="n">
        <f aca="false">N620*$E$2*(1+$I$616)/($F$616-$I$616)/(1+$F$616)^$N$3</f>
        <v>8205.06637521877</v>
      </c>
      <c r="Q620" s="15" t="n">
        <f aca="false">O620+P620</f>
        <v>17097.7662617786</v>
      </c>
      <c r="R620" s="15" t="n">
        <f aca="false">Q620-$G$2+$I$2</f>
        <v>11746.2062617786</v>
      </c>
      <c r="S620" s="42" t="n">
        <f aca="false">R620/$K$2</f>
        <v>543.805845452713</v>
      </c>
      <c r="T620" s="43" t="n">
        <f aca="false">S620-$M$2</f>
        <v>-181.194154547287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41" t="n">
        <f aca="false">(B621+C621)/2</f>
        <v>0.15625</v>
      </c>
      <c r="E621" s="15" t="n">
        <f aca="false">$C$2*(1+IF(E$3&lt;=$O$2,$D621,$D621-($D621-$I$616)*MIN(E$3-$O$2,$Q$2)/$Q$2))</f>
        <v>2763.4375</v>
      </c>
      <c r="F621" s="15" t="n">
        <f aca="false">E621*(1+IF(F$3&lt;=$O$2,$D621,$D621-($D621-$I$616)*MIN(F$3-$O$2,$Q$2)/$Q$2))</f>
        <v>3195.224609375</v>
      </c>
      <c r="G621" s="15" t="n">
        <f aca="false">F621*(1+IF(G$3&lt;=$O$2,$D621,$D621-($D621-$I$616)*MIN(G$3-$O$2,$Q$2)/$Q$2))</f>
        <v>3694.47845458984</v>
      </c>
      <c r="H621" s="15" t="n">
        <f aca="false">G621*(1+IF(H$3&lt;=$O$2,$D621,$D621-($D621-$I$616)*MIN(H$3-$O$2,$Q$2)/$Q$2))</f>
        <v>4271.74071311951</v>
      </c>
      <c r="I621" s="15" t="n">
        <f aca="false">H621*(1+IF(I$3&lt;=$O$2,$D621,$D621-($D621-$I$616)*MIN(I$3-$O$2,$Q$2)/$Q$2))</f>
        <v>4939.20019954443</v>
      </c>
      <c r="J621" s="15" t="n">
        <f aca="false">I621*(1+IF(J$3&lt;=$O$2,$D621,$D621-($D621-$I$616)*MIN(J$3-$O$2,$Q$2)/$Q$2))</f>
        <v>5579.61689741736</v>
      </c>
      <c r="K621" s="15" t="n">
        <f aca="false">J621*(1+IF(K$3&lt;=$O$2,$D621,$D621-($D621-$I$616)*MIN(K$3-$O$2,$Q$2)/$Q$2))</f>
        <v>6154.70801103417</v>
      </c>
      <c r="L621" s="15" t="n">
        <f aca="false">K621*(1+IF(L$3&lt;=$O$2,$D621,$D621-($D621-$I$616)*MIN(L$3-$O$2,$Q$2)/$Q$2))</f>
        <v>6625.42007971806</v>
      </c>
      <c r="M621" s="15" t="n">
        <f aca="false">L621*(1+IF(M$3&lt;=$O$2,$D621,$D621-($D621-$I$616)*MIN(M$3-$O$2,$Q$2)/$Q$2))</f>
        <v>6955.96228749519</v>
      </c>
      <c r="N621" s="15" t="n">
        <f aca="false">M621*(1+IF(N$3&lt;=$O$2,$D621,$D621-($D621-$I$616)*MIN(N$3-$O$2,$Q$2)/$Q$2))</f>
        <v>7118.03620879383</v>
      </c>
      <c r="O621" s="15" t="n">
        <f aca="false">SUMPRODUCT(E621:N621,1/(1+$F$616)^$E$3:$N$3)*$E$2</f>
        <v>13250.2493670285</v>
      </c>
      <c r="P621" s="15" t="n">
        <f aca="false">N621*$E$2*(1+$I$616)/($F$616-$I$616)/(1+$F$616)^$N$3</f>
        <v>14910.335460948</v>
      </c>
      <c r="Q621" s="15" t="n">
        <f aca="false">O621+P621</f>
        <v>28160.5848279764</v>
      </c>
      <c r="R621" s="15" t="n">
        <f aca="false">Q621-$G$2+$I$2</f>
        <v>22809.0248279764</v>
      </c>
      <c r="S621" s="42" t="n">
        <f aca="false">R621/$K$2</f>
        <v>1055.97337166557</v>
      </c>
      <c r="T621" s="43" t="n">
        <f aca="false">S621-$M$2</f>
        <v>330.973371665574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41" t="n">
        <f aca="false">(B622+C622)/2</f>
        <v>0.109375</v>
      </c>
      <c r="E622" s="15" t="n">
        <f aca="false">$C$2*(1+IF(E$3&lt;=$O$2,$D622,$D622-($D622-$I$616)*MIN(E$3-$O$2,$Q$2)/$Q$2))</f>
        <v>2651.40625</v>
      </c>
      <c r="F622" s="15" t="n">
        <f aca="false">E622*(1+IF(F$3&lt;=$O$2,$D622,$D622-($D622-$I$616)*MIN(F$3-$O$2,$Q$2)/$Q$2))</f>
        <v>2941.40380859375</v>
      </c>
      <c r="G622" s="15" t="n">
        <f aca="false">F622*(1+IF(G$3&lt;=$O$2,$D622,$D622-($D622-$I$616)*MIN(G$3-$O$2,$Q$2)/$Q$2))</f>
        <v>3263.11985015869</v>
      </c>
      <c r="H622" s="15" t="n">
        <f aca="false">G622*(1+IF(H$3&lt;=$O$2,$D622,$D622-($D622-$I$616)*MIN(H$3-$O$2,$Q$2)/$Q$2))</f>
        <v>3620.0235837698</v>
      </c>
      <c r="I622" s="15" t="n">
        <f aca="false">H622*(1+IF(I$3&lt;=$O$2,$D622,$D622-($D622-$I$616)*MIN(I$3-$O$2,$Q$2)/$Q$2))</f>
        <v>4015.96366324462</v>
      </c>
      <c r="J622" s="15" t="n">
        <f aca="false">I622*(1+IF(J$3&lt;=$O$2,$D622,$D622-($D622-$I$616)*MIN(J$3-$O$2,$Q$2)/$Q$2))</f>
        <v>4386.07487444924</v>
      </c>
      <c r="K622" s="15" t="n">
        <f aca="false">J622*(1+IF(K$3&lt;=$O$2,$D622,$D622-($D622-$I$616)*MIN(K$3-$O$2,$Q$2)/$Q$2))</f>
        <v>4714.78925591484</v>
      </c>
      <c r="L622" s="15" t="n">
        <f aca="false">K622*(1+IF(L$3&lt;=$O$2,$D622,$D622-($D622-$I$616)*MIN(L$3-$O$2,$Q$2)/$Q$2))</f>
        <v>4986.97403965881</v>
      </c>
      <c r="M622" s="15" t="n">
        <f aca="false">L622*(1+IF(M$3&lt;=$O$2,$D622,$D622-($D622-$I$616)*MIN(M$3-$O$2,$Q$2)/$Q$2))</f>
        <v>5189.02129287558</v>
      </c>
      <c r="N622" s="15" t="n">
        <f aca="false">M622*(1+IF(N$3&lt;=$O$2,$D622,$D622-($D622-$I$616)*MIN(N$3-$O$2,$Q$2)/$Q$2))</f>
        <v>5309.92548899959</v>
      </c>
      <c r="O622" s="15" t="n">
        <f aca="false">SUMPRODUCT(E622:N622,1/(1+$F$616)^$E$3:$N$3)*$E$2</f>
        <v>10855.5069151423</v>
      </c>
      <c r="P622" s="15" t="n">
        <f aca="false">N622*$E$2*(1+$I$616)/($F$616-$I$616)/(1+$F$616)^$N$3</f>
        <v>11122.8389391739</v>
      </c>
      <c r="Q622" s="15" t="n">
        <f aca="false">O622+P622</f>
        <v>21978.3458543162</v>
      </c>
      <c r="R622" s="15" t="n">
        <f aca="false">Q622-$G$2+$I$2</f>
        <v>16626.7858543162</v>
      </c>
      <c r="S622" s="42" t="n">
        <f aca="false">R622/$K$2</f>
        <v>769.758604366491</v>
      </c>
      <c r="T622" s="43" t="n">
        <f aca="false">S622-$M$2</f>
        <v>44.7586043664909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0.0625</v>
      </c>
      <c r="C623" s="25" t="n">
        <f aca="false">IF(T622&gt;0,D622,C622)</f>
        <v>0.109375</v>
      </c>
      <c r="D623" s="41" t="n">
        <f aca="false">(B623+C623)/2</f>
        <v>0.0859375</v>
      </c>
      <c r="E623" s="15" t="n">
        <f aca="false">$C$2*(1+IF(E$3&lt;=$O$2,$D623,$D623-($D623-$I$616)*MIN(E$3-$O$2,$Q$2)/$Q$2))</f>
        <v>2595.390625</v>
      </c>
      <c r="F623" s="15" t="n">
        <f aca="false">E623*(1+IF(F$3&lt;=$O$2,$D623,$D623-($D623-$I$616)*MIN(F$3-$O$2,$Q$2)/$Q$2))</f>
        <v>2818.43200683594</v>
      </c>
      <c r="G623" s="15" t="n">
        <f aca="false">F623*(1+IF(G$3&lt;=$O$2,$D623,$D623-($D623-$I$616)*MIN(G$3-$O$2,$Q$2)/$Q$2))</f>
        <v>3060.6410074234</v>
      </c>
      <c r="H623" s="15" t="n">
        <f aca="false">G623*(1+IF(H$3&lt;=$O$2,$D623,$D623-($D623-$I$616)*MIN(H$3-$O$2,$Q$2)/$Q$2))</f>
        <v>3323.66484399885</v>
      </c>
      <c r="I623" s="15" t="n">
        <f aca="false">H623*(1+IF(I$3&lt;=$O$2,$D623,$D623-($D623-$I$616)*MIN(I$3-$O$2,$Q$2)/$Q$2))</f>
        <v>3609.29229153</v>
      </c>
      <c r="J623" s="15" t="n">
        <f aca="false">I623*(1+IF(J$3&lt;=$O$2,$D623,$D623-($D623-$I$616)*MIN(J$3-$O$2,$Q$2)/$Q$2))</f>
        <v>3874.25043865122</v>
      </c>
      <c r="K623" s="15" t="n">
        <f aca="false">J623*(1+IF(K$3&lt;=$O$2,$D623,$D623-($D623-$I$616)*MIN(K$3-$O$2,$Q$2)/$Q$2))</f>
        <v>4110.1244909824</v>
      </c>
      <c r="L623" s="15" t="n">
        <f aca="false">K623*(1+IF(L$3&lt;=$O$2,$D623,$D623-($D623-$I$616)*MIN(L$3-$O$2,$Q$2)/$Q$2))</f>
        <v>4308.86956074385</v>
      </c>
      <c r="M623" s="15" t="n">
        <f aca="false">L623*(1+IF(M$3&lt;=$O$2,$D623,$D623-($D623-$I$616)*MIN(M$3-$O$2,$Q$2)/$Q$2))</f>
        <v>4463.2455849314</v>
      </c>
      <c r="N623" s="15" t="n">
        <f aca="false">M623*(1+IF(N$3&lt;=$O$2,$D623,$D623-($D623-$I$616)*MIN(N$3-$O$2,$Q$2)/$Q$2))</f>
        <v>4567.23920706031</v>
      </c>
      <c r="O623" s="15" t="n">
        <f aca="false">SUMPRODUCT(E623:N623,1/(1+$F$616)^$E$3:$N$3)*$E$2</f>
        <v>9824.99365401161</v>
      </c>
      <c r="P623" s="15" t="n">
        <f aca="false">N623*$E$2*(1+$I$616)/($F$616-$I$616)/(1+$F$616)^$N$3</f>
        <v>9567.11468024446</v>
      </c>
      <c r="Q623" s="15" t="n">
        <f aca="false">O623+P623</f>
        <v>19392.1083342561</v>
      </c>
      <c r="R623" s="15" t="n">
        <f aca="false">Q623-$G$2+$I$2</f>
        <v>14040.5483342561</v>
      </c>
      <c r="S623" s="42" t="n">
        <f aca="false">R623/$K$2</f>
        <v>650.025385845189</v>
      </c>
      <c r="T623" s="43" t="n">
        <f aca="false">S623-$M$2</f>
        <v>-74.9746141548114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0.0859375</v>
      </c>
      <c r="C624" s="25" t="n">
        <f aca="false">IF(T623&gt;0,D623,C623)</f>
        <v>0.109375</v>
      </c>
      <c r="D624" s="41" t="n">
        <f aca="false">(B624+C624)/2</f>
        <v>0.09765625</v>
      </c>
      <c r="E624" s="15" t="n">
        <f aca="false">$C$2*(1+IF(E$3&lt;=$O$2,$D624,$D624-($D624-$I$616)*MIN(E$3-$O$2,$Q$2)/$Q$2))</f>
        <v>2623.3984375</v>
      </c>
      <c r="F624" s="15" t="n">
        <f aca="false">E624*(1+IF(F$3&lt;=$O$2,$D624,$D624-($D624-$I$616)*MIN(F$3-$O$2,$Q$2)/$Q$2))</f>
        <v>2879.58969116211</v>
      </c>
      <c r="G624" s="15" t="n">
        <f aca="false">F624*(1+IF(G$3&lt;=$O$2,$D624,$D624-($D624-$I$616)*MIN(G$3-$O$2,$Q$2)/$Q$2))</f>
        <v>3160.79962193966</v>
      </c>
      <c r="H624" s="15" t="n">
        <f aca="false">G624*(1+IF(H$3&lt;=$O$2,$D624,$D624-($D624-$I$616)*MIN(H$3-$O$2,$Q$2)/$Q$2))</f>
        <v>3469.4714600197</v>
      </c>
      <c r="I624" s="15" t="n">
        <f aca="false">H624*(1+IF(I$3&lt;=$O$2,$D624,$D624-($D624-$I$616)*MIN(I$3-$O$2,$Q$2)/$Q$2))</f>
        <v>3808.28703228725</v>
      </c>
      <c r="J624" s="15" t="n">
        <f aca="false">I624*(1+IF(J$3&lt;=$O$2,$D624,$D624-($D624-$I$616)*MIN(J$3-$O$2,$Q$2)/$Q$2))</f>
        <v>4123.55607425515</v>
      </c>
      <c r="K624" s="15" t="n">
        <f aca="false">J624*(1+IF(K$3&lt;=$O$2,$D624,$D624-($D624-$I$616)*MIN(K$3-$O$2,$Q$2)/$Q$2))</f>
        <v>4403.6022305931</v>
      </c>
      <c r="L624" s="15" t="n">
        <f aca="false">K624*(1+IF(L$3&lt;=$O$2,$D624,$D624-($D624-$I$616)*MIN(L$3-$O$2,$Q$2)/$Q$2))</f>
        <v>4637.18030190933</v>
      </c>
      <c r="M624" s="15" t="n">
        <f aca="false">L624*(1+IF(M$3&lt;=$O$2,$D624,$D624-($D624-$I$616)*MIN(M$3-$O$2,$Q$2)/$Q$2))</f>
        <v>4814.18727050859</v>
      </c>
      <c r="N624" s="15" t="n">
        <f aca="false">M624*(1+IF(N$3&lt;=$O$2,$D624,$D624-($D624-$I$616)*MIN(N$3-$O$2,$Q$2)/$Q$2))</f>
        <v>4926.35783391144</v>
      </c>
      <c r="O624" s="15" t="n">
        <f aca="false">SUMPRODUCT(E624:N624,1/(1+$F$616)^$E$3:$N$3)*$E$2</f>
        <v>10327.3931394079</v>
      </c>
      <c r="P624" s="15" t="n">
        <f aca="false">N624*$E$2*(1+$I$616)/($F$616-$I$616)/(1+$F$616)^$N$3</f>
        <v>10319.3698022415</v>
      </c>
      <c r="Q624" s="15" t="n">
        <f aca="false">O624+P624</f>
        <v>20646.7629416494</v>
      </c>
      <c r="R624" s="15" t="n">
        <f aca="false">Q624-$G$2+$I$2</f>
        <v>15295.2029416494</v>
      </c>
      <c r="S624" s="42" t="n">
        <f aca="false">R624/$K$2</f>
        <v>708.111247298582</v>
      </c>
      <c r="T624" s="43" t="n">
        <f aca="false">S624-$M$2</f>
        <v>-16.8887527014183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0.09765625</v>
      </c>
      <c r="C625" s="25" t="n">
        <f aca="false">IF(T624&gt;0,D624,C624)</f>
        <v>0.109375</v>
      </c>
      <c r="D625" s="41" t="n">
        <f aca="false">(B625+C625)/2</f>
        <v>0.103515625</v>
      </c>
      <c r="E625" s="15" t="n">
        <f aca="false">$C$2*(1+IF(E$3&lt;=$O$2,$D625,$D625-($D625-$I$616)*MIN(E$3-$O$2,$Q$2)/$Q$2))</f>
        <v>2637.40234375</v>
      </c>
      <c r="F625" s="15" t="n">
        <f aca="false">E625*(1+IF(F$3&lt;=$O$2,$D625,$D625-($D625-$I$616)*MIN(F$3-$O$2,$Q$2)/$Q$2))</f>
        <v>2910.41469573975</v>
      </c>
      <c r="G625" s="15" t="n">
        <f aca="false">F625*(1+IF(G$3&lt;=$O$2,$D625,$D625-($D625-$I$616)*MIN(G$3-$O$2,$Q$2)/$Q$2))</f>
        <v>3211.68809197843</v>
      </c>
      <c r="H625" s="15" t="n">
        <f aca="false">G625*(1+IF(H$3&lt;=$O$2,$D625,$D625-($D625-$I$616)*MIN(H$3-$O$2,$Q$2)/$Q$2))</f>
        <v>3544.14799212464</v>
      </c>
      <c r="I625" s="15" t="n">
        <f aca="false">H625*(1+IF(I$3&lt;=$O$2,$D625,$D625-($D625-$I$616)*MIN(I$3-$O$2,$Q$2)/$Q$2))</f>
        <v>3911.02268662191</v>
      </c>
      <c r="J625" s="15" t="n">
        <f aca="false">I625*(1+IF(J$3&lt;=$O$2,$D625,$D625-($D625-$I$616)*MIN(J$3-$O$2,$Q$2)/$Q$2))</f>
        <v>4253.12961857745</v>
      </c>
      <c r="K625" s="15" t="n">
        <f aca="false">J625*(1+IF(K$3&lt;=$O$2,$D625,$D625-($D625-$I$616)*MIN(K$3-$O$2,$Q$2)/$Q$2))</f>
        <v>4556.92800902642</v>
      </c>
      <c r="L625" s="15" t="n">
        <f aca="false">K625*(1+IF(L$3&lt;=$O$2,$D625,$D625-($D625-$I$616)*MIN(L$3-$O$2,$Q$2)/$Q$2))</f>
        <v>4809.31916296636</v>
      </c>
      <c r="M625" s="15" t="n">
        <f aca="false">L625*(1+IF(M$3&lt;=$O$2,$D625,$D625-($D625-$I$616)*MIN(M$3-$O$2,$Q$2)/$Q$2))</f>
        <v>4998.53280795984</v>
      </c>
      <c r="N625" s="15" t="n">
        <f aca="false">M625*(1+IF(N$3&lt;=$O$2,$D625,$D625-($D625-$I$616)*MIN(N$3-$O$2,$Q$2)/$Q$2))</f>
        <v>5114.99862238531</v>
      </c>
      <c r="O625" s="15" t="n">
        <f aca="false">SUMPRODUCT(E625:N625,1/(1+$F$616)^$E$3:$N$3)*$E$2</f>
        <v>10588.1606830359</v>
      </c>
      <c r="P625" s="15" t="n">
        <f aca="false">N625*$E$2*(1+$I$616)/($F$616-$I$616)/(1+$F$616)^$N$3</f>
        <v>10714.5205650724</v>
      </c>
      <c r="Q625" s="15" t="n">
        <f aca="false">O625+P625</f>
        <v>21302.6812481083</v>
      </c>
      <c r="R625" s="15" t="n">
        <f aca="false">Q625-$G$2+$I$2</f>
        <v>15951.1212481083</v>
      </c>
      <c r="S625" s="42" t="n">
        <f aca="false">R625/$K$2</f>
        <v>738.47783556057</v>
      </c>
      <c r="T625" s="43" t="n">
        <f aca="false">S625-$M$2</f>
        <v>13.4778355605703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0.09765625</v>
      </c>
      <c r="C626" s="25" t="n">
        <f aca="false">IF(T625&gt;0,D625,C625)</f>
        <v>0.103515625</v>
      </c>
      <c r="D626" s="41" t="n">
        <f aca="false">(B626+C626)/2</f>
        <v>0.1005859375</v>
      </c>
      <c r="E626" s="15" t="n">
        <f aca="false">$C$2*(1+IF(E$3&lt;=$O$2,$D626,$D626-($D626-$I$616)*MIN(E$3-$O$2,$Q$2)/$Q$2))</f>
        <v>2630.400390625</v>
      </c>
      <c r="F626" s="15" t="n">
        <f aca="false">E626*(1+IF(F$3&lt;=$O$2,$D626,$D626-($D626-$I$616)*MIN(F$3-$O$2,$Q$2)/$Q$2))</f>
        <v>2894.98167991638</v>
      </c>
      <c r="G626" s="15" t="n">
        <f aca="false">F626*(1+IF(G$3&lt;=$O$2,$D626,$D626-($D626-$I$616)*MIN(G$3-$O$2,$Q$2)/$Q$2))</f>
        <v>3186.1761262361</v>
      </c>
      <c r="H626" s="15" t="n">
        <f aca="false">G626*(1+IF(H$3&lt;=$O$2,$D626,$D626-($D626-$I$616)*MIN(H$3-$O$2,$Q$2)/$Q$2))</f>
        <v>3506.66063893367</v>
      </c>
      <c r="I626" s="15" t="n">
        <f aca="false">H626*(1+IF(I$3&lt;=$O$2,$D626,$D626-($D626-$I$616)*MIN(I$3-$O$2,$Q$2)/$Q$2))</f>
        <v>3859.38138679516</v>
      </c>
      <c r="J626" s="15" t="n">
        <f aca="false">I626*(1+IF(J$3&lt;=$O$2,$D626,$D626-($D626-$I$616)*MIN(J$3-$O$2,$Q$2)/$Q$2))</f>
        <v>4187.9257000263</v>
      </c>
      <c r="K626" s="15" t="n">
        <f aca="false">J626*(1+IF(K$3&lt;=$O$2,$D626,$D626-($D626-$I$616)*MIN(K$3-$O$2,$Q$2)/$Q$2))</f>
        <v>4479.70502718104</v>
      </c>
      <c r="L626" s="15" t="n">
        <f aca="false">K626*(1+IF(L$3&lt;=$O$2,$D626,$D626-($D626-$I$616)*MIN(L$3-$O$2,$Q$2)/$Q$2))</f>
        <v>4722.56943541402</v>
      </c>
      <c r="M626" s="15" t="n">
        <f aca="false">L626*(1+IF(M$3&lt;=$O$2,$D626,$D626-($D626-$I$616)*MIN(M$3-$O$2,$Q$2)/$Q$2))</f>
        <v>4905.60294450413</v>
      </c>
      <c r="N626" s="15" t="n">
        <f aca="false">M626*(1+IF(N$3&lt;=$O$2,$D626,$D626-($D626-$I$616)*MIN(N$3-$O$2,$Q$2)/$Q$2))</f>
        <v>5019.90349311108</v>
      </c>
      <c r="O626" s="15" t="n">
        <f aca="false">SUMPRODUCT(E626:N626,1/(1+$F$616)^$E$3:$N$3)*$E$2</f>
        <v>10456.9640757521</v>
      </c>
      <c r="P626" s="15" t="n">
        <f aca="false">N626*$E$2*(1+$I$616)/($F$616-$I$616)/(1+$F$616)^$N$3</f>
        <v>10515.3223260371</v>
      </c>
      <c r="Q626" s="15" t="n">
        <f aca="false">O626+P626</f>
        <v>20972.2864017893</v>
      </c>
      <c r="R626" s="15" t="n">
        <f aca="false">Q626-$G$2+$I$2</f>
        <v>15620.7264017893</v>
      </c>
      <c r="S626" s="42" t="n">
        <f aca="false">R626/$K$2</f>
        <v>723.181777860614</v>
      </c>
      <c r="T626" s="43" t="n">
        <f aca="false">S626-$M$2</f>
        <v>-1.81822213938631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0.1005859375</v>
      </c>
      <c r="C627" s="25" t="n">
        <f aca="false">IF(T626&gt;0,D626,C626)</f>
        <v>0.103515625</v>
      </c>
      <c r="D627" s="41" t="n">
        <f aca="false">(B627+C627)/2</f>
        <v>0.10205078125</v>
      </c>
      <c r="E627" s="15" t="n">
        <f aca="false">$C$2*(1+IF(E$3&lt;=$O$2,$D627,$D627-($D627-$I$616)*MIN(E$3-$O$2,$Q$2)/$Q$2))</f>
        <v>2633.9013671875</v>
      </c>
      <c r="F627" s="15" t="n">
        <f aca="false">E627*(1+IF(F$3&lt;=$O$2,$D627,$D627-($D627-$I$616)*MIN(F$3-$O$2,$Q$2)/$Q$2))</f>
        <v>2902.69305944443</v>
      </c>
      <c r="G627" s="15" t="n">
        <f aca="false">F627*(1+IF(G$3&lt;=$O$2,$D627,$D627-($D627-$I$616)*MIN(G$3-$O$2,$Q$2)/$Q$2))</f>
        <v>3198.91515388968</v>
      </c>
      <c r="H627" s="15" t="n">
        <f aca="false">G627*(1+IF(H$3&lt;=$O$2,$D627,$D627-($D627-$I$616)*MIN(H$3-$O$2,$Q$2)/$Q$2))</f>
        <v>3525.36694449659</v>
      </c>
      <c r="I627" s="15" t="n">
        <f aca="false">H627*(1+IF(I$3&lt;=$O$2,$D627,$D627-($D627-$I$616)*MIN(I$3-$O$2,$Q$2)/$Q$2))</f>
        <v>3885.13339537539</v>
      </c>
      <c r="J627" s="15" t="n">
        <f aca="false">I627*(1+IF(J$3&lt;=$O$2,$D627,$D627-($D627-$I$616)*MIN(J$3-$O$2,$Q$2)/$Q$2))</f>
        <v>4220.42283560466</v>
      </c>
      <c r="K627" s="15" t="n">
        <f aca="false">J627*(1+IF(K$3&lt;=$O$2,$D627,$D627-($D627-$I$616)*MIN(K$3-$O$2,$Q$2)/$Q$2))</f>
        <v>4518.17564497978</v>
      </c>
      <c r="L627" s="15" t="n">
        <f aca="false">K627*(1+IF(L$3&lt;=$O$2,$D627,$D627-($D627-$I$616)*MIN(L$3-$O$2,$Q$2)/$Q$2))</f>
        <v>4765.77308225456</v>
      </c>
      <c r="M627" s="15" t="n">
        <f aca="false">L627*(1+IF(M$3&lt;=$O$2,$D627,$D627-($D627-$I$616)*MIN(M$3-$O$2,$Q$2)/$Q$2))</f>
        <v>4951.87726576864</v>
      </c>
      <c r="N627" s="15" t="n">
        <f aca="false">M627*(1+IF(N$3&lt;=$O$2,$D627,$D627-($D627-$I$616)*MIN(N$3-$O$2,$Q$2)/$Q$2))</f>
        <v>5067.25600606105</v>
      </c>
      <c r="O627" s="15" t="n">
        <f aca="false">SUMPRODUCT(E627:N627,1/(1+$F$616)^$E$3:$N$3)*$E$2</f>
        <v>10522.3579904172</v>
      </c>
      <c r="P627" s="15" t="n">
        <f aca="false">N627*$E$2*(1+$I$616)/($F$616-$I$616)/(1+$F$616)^$N$3</f>
        <v>10614.5128657159</v>
      </c>
      <c r="Q627" s="15" t="n">
        <f aca="false">O627+P627</f>
        <v>21136.8708561331</v>
      </c>
      <c r="R627" s="15" t="n">
        <f aca="false">Q627-$G$2+$I$2</f>
        <v>15785.3108561331</v>
      </c>
      <c r="S627" s="42" t="n">
        <f aca="false">R627/$K$2</f>
        <v>730.801428524682</v>
      </c>
      <c r="T627" s="43" t="n">
        <f aca="false">S627-$M$2</f>
        <v>5.80142852468157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0.1005859375</v>
      </c>
      <c r="C628" s="25" t="n">
        <f aca="false">IF(T627&gt;0,D627,C627)</f>
        <v>0.10205078125</v>
      </c>
      <c r="D628" s="41" t="n">
        <f aca="false">(B628+C628)/2</f>
        <v>0.101318359375</v>
      </c>
      <c r="E628" s="15" t="n">
        <f aca="false">$C$2*(1+IF(E$3&lt;=$O$2,$D628,$D628-($D628-$I$616)*MIN(E$3-$O$2,$Q$2)/$Q$2))</f>
        <v>2632.15087890625</v>
      </c>
      <c r="F628" s="15" t="n">
        <f aca="false">E628*(1+IF(F$3&lt;=$O$2,$D628,$D628-($D628-$I$616)*MIN(F$3-$O$2,$Q$2)/$Q$2))</f>
        <v>2898.8360875845</v>
      </c>
      <c r="G628" s="15" t="n">
        <f aca="false">F628*(1+IF(G$3&lt;=$O$2,$D628,$D628-($D628-$I$616)*MIN(G$3-$O$2,$Q$2)/$Q$2))</f>
        <v>3192.5414040756</v>
      </c>
      <c r="H628" s="15" t="n">
        <f aca="false">G628*(1+IF(H$3&lt;=$O$2,$D628,$D628-($D628-$I$616)*MIN(H$3-$O$2,$Q$2)/$Q$2))</f>
        <v>3516.0044613733</v>
      </c>
      <c r="I628" s="15" t="n">
        <f aca="false">H628*(1+IF(I$3&lt;=$O$2,$D628,$D628-($D628-$I$616)*MIN(I$3-$O$2,$Q$2)/$Q$2))</f>
        <v>3872.24026495482</v>
      </c>
      <c r="J628" s="15" t="n">
        <f aca="false">I628*(1+IF(J$3&lt;=$O$2,$D628,$D628-($D628-$I$616)*MIN(J$3-$O$2,$Q$2)/$Q$2))</f>
        <v>4204.14812919034</v>
      </c>
      <c r="K628" s="15" t="n">
        <f aca="false">J628*(1+IF(K$3&lt;=$O$2,$D628,$D628-($D628-$I$616)*MIN(K$3-$O$2,$Q$2)/$Q$2))</f>
        <v>4498.90522436582</v>
      </c>
      <c r="L628" s="15" t="n">
        <f aca="false">K628*(1+IF(L$3&lt;=$O$2,$D628,$D628-($D628-$I$616)*MIN(L$3-$O$2,$Q$2)/$Q$2))</f>
        <v>4744.128597929</v>
      </c>
      <c r="M628" s="15" t="n">
        <f aca="false">L628*(1+IF(M$3&lt;=$O$2,$D628,$D628-($D628-$I$616)*MIN(M$3-$O$2,$Q$2)/$Q$2))</f>
        <v>4928.69262023563</v>
      </c>
      <c r="N628" s="15" t="n">
        <f aca="false">M628*(1+IF(N$3&lt;=$O$2,$D628,$D628-($D628-$I$616)*MIN(N$3-$O$2,$Q$2)/$Q$2))</f>
        <v>5043.53115828712</v>
      </c>
      <c r="O628" s="15" t="n">
        <f aca="false">SUMPRODUCT(E628:N628,1/(1+$F$616)^$E$3:$N$3)*$E$2</f>
        <v>10489.6100838185</v>
      </c>
      <c r="P628" s="15" t="n">
        <f aca="false">N628*$E$2*(1+$I$616)/($F$616-$I$616)/(1+$F$616)^$N$3</f>
        <v>10564.8158104196</v>
      </c>
      <c r="Q628" s="15" t="n">
        <f aca="false">O628+P628</f>
        <v>21054.4258942382</v>
      </c>
      <c r="R628" s="15" t="n">
        <f aca="false">Q628-$G$2+$I$2</f>
        <v>15702.8658942382</v>
      </c>
      <c r="S628" s="42" t="n">
        <f aca="false">R628/$K$2</f>
        <v>726.984532140656</v>
      </c>
      <c r="T628" s="43" t="n">
        <f aca="false">S628-$M$2</f>
        <v>1.98453214065603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0.1005859375</v>
      </c>
      <c r="C629" s="25" t="n">
        <f aca="false">IF(T628&gt;0,D628,C628)</f>
        <v>0.101318359375</v>
      </c>
      <c r="D629" s="41" t="n">
        <f aca="false">(B629+C629)/2</f>
        <v>0.1009521484375</v>
      </c>
      <c r="E629" s="15" t="n">
        <f aca="false">$C$2*(1+IF(E$3&lt;=$O$2,$D629,$D629-($D629-$I$616)*MIN(E$3-$O$2,$Q$2)/$Q$2))</f>
        <v>2631.27563476563</v>
      </c>
      <c r="F629" s="15" t="n">
        <f aca="false">E629*(1+IF(F$3&lt;=$O$2,$D629,$D629-($D629-$I$616)*MIN(F$3-$O$2,$Q$2)/$Q$2))</f>
        <v>2896.90856322646</v>
      </c>
      <c r="G629" s="15" t="n">
        <f aca="false">F629*(1+IF(G$3&lt;=$O$2,$D629,$D629-($D629-$I$616)*MIN(G$3-$O$2,$Q$2)/$Q$2))</f>
        <v>3189.35770651116</v>
      </c>
      <c r="H629" s="15" t="n">
        <f aca="false">G629*(1+IF(H$3&lt;=$O$2,$D629,$D629-($D629-$I$616)*MIN(H$3-$O$2,$Q$2)/$Q$2))</f>
        <v>3511.33021911916</v>
      </c>
      <c r="I629" s="15" t="n">
        <f aca="false">H629*(1+IF(I$3&lt;=$O$2,$D629,$D629-($D629-$I$616)*MIN(I$3-$O$2,$Q$2)/$Q$2))</f>
        <v>3865.80654861276</v>
      </c>
      <c r="J629" s="15" t="n">
        <f aca="false">I629*(1+IF(J$3&lt;=$O$2,$D629,$D629-($D629-$I$616)*MIN(J$3-$O$2,$Q$2)/$Q$2))</f>
        <v>4196.03038835027</v>
      </c>
      <c r="K629" s="15" t="n">
        <f aca="false">J629*(1+IF(K$3&lt;=$O$2,$D629,$D629-($D629-$I$616)*MIN(K$3-$O$2,$Q$2)/$Q$2))</f>
        <v>4489.29636113749</v>
      </c>
      <c r="L629" s="15" t="n">
        <f aca="false">K629*(1+IF(L$3&lt;=$O$2,$D629,$D629-($D629-$I$616)*MIN(L$3-$O$2,$Q$2)/$Q$2))</f>
        <v>4733.33836931799</v>
      </c>
      <c r="M629" s="15" t="n">
        <f aca="false">L629*(1+IF(M$3&lt;=$O$2,$D629,$D629-($D629-$I$616)*MIN(M$3-$O$2,$Q$2)/$Q$2))</f>
        <v>4917.13593205493</v>
      </c>
      <c r="N629" s="15" t="n">
        <f aca="false">M629*(1+IF(N$3&lt;=$O$2,$D629,$D629-($D629-$I$616)*MIN(N$3-$O$2,$Q$2)/$Q$2))</f>
        <v>5031.70519927181</v>
      </c>
      <c r="O629" s="15" t="n">
        <f aca="false">SUMPRODUCT(E629:N629,1/(1+$F$616)^$E$3:$N$3)*$E$2</f>
        <v>10473.2743609253</v>
      </c>
      <c r="P629" s="15" t="n">
        <f aca="false">N629*$E$2*(1+$I$616)/($F$616-$I$616)/(1+$F$616)^$N$3</f>
        <v>10540.043666686</v>
      </c>
      <c r="Q629" s="15" t="n">
        <f aca="false">O629+P629</f>
        <v>21013.3180276113</v>
      </c>
      <c r="R629" s="15" t="n">
        <f aca="false">Q629-$G$2+$I$2</f>
        <v>15661.7580276113</v>
      </c>
      <c r="S629" s="42" t="n">
        <f aca="false">R629/$K$2</f>
        <v>725.08139016719</v>
      </c>
      <c r="T629" s="43" t="n">
        <f aca="false">S629-$M$2</f>
        <v>0.0813901671897384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0.1005859375</v>
      </c>
      <c r="C630" s="25" t="n">
        <f aca="false">IF(T629&gt;0,D629,C629)</f>
        <v>0.1009521484375</v>
      </c>
      <c r="D630" s="41" t="n">
        <f aca="false">(B630+C630)/2</f>
        <v>0.10076904296875</v>
      </c>
      <c r="E630" s="15" t="n">
        <f aca="false">$C$2*(1+IF(E$3&lt;=$O$2,$D630,$D630-($D630-$I$616)*MIN(E$3-$O$2,$Q$2)/$Q$2))</f>
        <v>2630.83801269531</v>
      </c>
      <c r="F630" s="15" t="n">
        <f aca="false">E630*(1+IF(F$3&lt;=$O$2,$D630,$D630-($D630-$I$616)*MIN(F$3-$O$2,$Q$2)/$Q$2))</f>
        <v>2895.94504144043</v>
      </c>
      <c r="G630" s="15" t="n">
        <f aca="false">F630*(1+IF(G$3&lt;=$O$2,$D630,$D630-($D630-$I$616)*MIN(G$3-$O$2,$Q$2)/$Q$2))</f>
        <v>3187.76665175648</v>
      </c>
      <c r="H630" s="15" t="n">
        <f aca="false">G630*(1+IF(H$3&lt;=$O$2,$D630,$D630-($D630-$I$616)*MIN(H$3-$O$2,$Q$2)/$Q$2))</f>
        <v>3508.99484646167</v>
      </c>
      <c r="I630" s="15" t="n">
        <f aca="false">H630*(1+IF(I$3&lt;=$O$2,$D630,$D630-($D630-$I$616)*MIN(I$3-$O$2,$Q$2)/$Q$2))</f>
        <v>3862.59289892189</v>
      </c>
      <c r="J630" s="15" t="n">
        <f aca="false">I630*(1+IF(J$3&lt;=$O$2,$D630,$D630-($D630-$I$616)*MIN(J$3-$O$2,$Q$2)/$Q$2))</f>
        <v>4191.97641367267</v>
      </c>
      <c r="K630" s="15" t="n">
        <f aca="false">J630*(1+IF(K$3&lt;=$O$2,$D630,$D630-($D630-$I$616)*MIN(K$3-$O$2,$Q$2)/$Q$2))</f>
        <v>4484.49850466012</v>
      </c>
      <c r="L630" s="15" t="n">
        <f aca="false">K630*(1+IF(L$3&lt;=$O$2,$D630,$D630-($D630-$I$616)*MIN(L$3-$O$2,$Q$2)/$Q$2))</f>
        <v>4727.95124275902</v>
      </c>
      <c r="M630" s="15" t="n">
        <f aca="false">L630*(1+IF(M$3&lt;=$O$2,$D630,$D630-($D630-$I$616)*MIN(M$3-$O$2,$Q$2)/$Q$2))</f>
        <v>4911.3664783112</v>
      </c>
      <c r="N630" s="15" t="n">
        <f aca="false">M630*(1+IF(N$3&lt;=$O$2,$D630,$D630-($D630-$I$616)*MIN(N$3-$O$2,$Q$2)/$Q$2))</f>
        <v>5025.80131725585</v>
      </c>
      <c r="O630" s="15" t="n">
        <f aca="false">SUMPRODUCT(E630:N630,1/(1+$F$616)^$E$3:$N$3)*$E$2</f>
        <v>10465.1160409283</v>
      </c>
      <c r="P630" s="15" t="n">
        <f aca="false">N630*$E$2*(1+$I$616)/($F$616-$I$616)/(1+$F$616)^$N$3</f>
        <v>10527.6766515714</v>
      </c>
      <c r="Q630" s="15" t="n">
        <f aca="false">O630+P630</f>
        <v>20992.7926924997</v>
      </c>
      <c r="R630" s="15" t="n">
        <f aca="false">Q630-$G$2+$I$2</f>
        <v>15641.2326924997</v>
      </c>
      <c r="S630" s="42" t="n">
        <f aca="false">R630/$K$2</f>
        <v>724.131143171282</v>
      </c>
      <c r="T630" s="43" t="n">
        <f aca="false">S630-$M$2</f>
        <v>-0.868856828718208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0.10076904296875</v>
      </c>
      <c r="C631" s="25" t="n">
        <f aca="false">IF(T630&gt;0,D630,C630)</f>
        <v>0.1009521484375</v>
      </c>
      <c r="D631" s="41" t="n">
        <f aca="false">(B631+C631)/2</f>
        <v>0.100860595703125</v>
      </c>
      <c r="E631" s="15" t="n">
        <f aca="false">$C$2*(1+IF(E$3&lt;=$O$2,$D631,$D631-($D631-$I$616)*MIN(E$3-$O$2,$Q$2)/$Q$2))</f>
        <v>2631.05682373047</v>
      </c>
      <c r="F631" s="15" t="n">
        <f aca="false">E631*(1+IF(F$3&lt;=$O$2,$D631,$D631-($D631-$I$616)*MIN(F$3-$O$2,$Q$2)/$Q$2))</f>
        <v>2896.4267823007</v>
      </c>
      <c r="G631" s="15" t="n">
        <f aca="false">F631*(1+IF(G$3&lt;=$O$2,$D631,$D631-($D631-$I$616)*MIN(G$3-$O$2,$Q$2)/$Q$2))</f>
        <v>3188.56211297403</v>
      </c>
      <c r="H631" s="15" t="n">
        <f aca="false">G631*(1+IF(H$3&lt;=$O$2,$D631,$D631-($D631-$I$616)*MIN(H$3-$O$2,$Q$2)/$Q$2))</f>
        <v>3510.16238712501</v>
      </c>
      <c r="I631" s="15" t="n">
        <f aca="false">H631*(1+IF(I$3&lt;=$O$2,$D631,$D631-($D631-$I$616)*MIN(I$3-$O$2,$Q$2)/$Q$2))</f>
        <v>3864.19945650514</v>
      </c>
      <c r="J631" s="15" t="n">
        <f aca="false">I631*(1+IF(J$3&lt;=$O$2,$D631,$D631-($D631-$I$616)*MIN(J$3-$O$2,$Q$2)/$Q$2))</f>
        <v>4194.00299325149</v>
      </c>
      <c r="K631" s="15" t="n">
        <f aca="false">J631*(1+IF(K$3&lt;=$O$2,$D631,$D631-($D631-$I$616)*MIN(K$3-$O$2,$Q$2)/$Q$2))</f>
        <v>4486.89688531661</v>
      </c>
      <c r="L631" s="15" t="n">
        <f aca="false">K631*(1+IF(L$3&lt;=$O$2,$D631,$D631-($D631-$I$616)*MIN(L$3-$O$2,$Q$2)/$Q$2))</f>
        <v>4730.64414085795</v>
      </c>
      <c r="M631" s="15" t="n">
        <f aca="false">L631*(1+IF(M$3&lt;=$O$2,$D631,$D631-($D631-$I$616)*MIN(M$3-$O$2,$Q$2)/$Q$2))</f>
        <v>4914.25046486483</v>
      </c>
      <c r="N631" s="15" t="n">
        <f aca="false">M631*(1+IF(N$3&lt;=$O$2,$D631,$D631-($D631-$I$616)*MIN(N$3-$O$2,$Q$2)/$Q$2))</f>
        <v>5028.75250069618</v>
      </c>
      <c r="O631" s="15" t="n">
        <f aca="false">SUMPRODUCT(E631:N631,1/(1+$F$616)^$E$3:$N$3)*$E$2</f>
        <v>10469.1944062862</v>
      </c>
      <c r="P631" s="15" t="n">
        <f aca="false">N631*$E$2*(1+$I$616)/($F$616-$I$616)/(1+$F$616)^$N$3</f>
        <v>10533.858572232</v>
      </c>
      <c r="Q631" s="15" t="n">
        <f aca="false">O631+P631</f>
        <v>21003.0529785183</v>
      </c>
      <c r="R631" s="15" t="n">
        <f aca="false">Q631-$G$2+$I$2</f>
        <v>15651.4929785183</v>
      </c>
      <c r="S631" s="42" t="n">
        <f aca="false">R631/$K$2</f>
        <v>724.606156412883</v>
      </c>
      <c r="T631" s="43" t="n">
        <f aca="false">S631-$M$2</f>
        <v>-0.393843587116635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0.100860595703125</v>
      </c>
      <c r="C632" s="25" t="n">
        <f aca="false">IF(T631&gt;0,D631,C631)</f>
        <v>0.1009521484375</v>
      </c>
      <c r="D632" s="41" t="n">
        <f aca="false">(B632+C632)/2</f>
        <v>0.100906372070313</v>
      </c>
      <c r="E632" s="15" t="n">
        <f aca="false">$C$2*(1+IF(E$3&lt;=$O$2,$D632,$D632-($D632-$I$616)*MIN(E$3-$O$2,$Q$2)/$Q$2))</f>
        <v>2631.16622924805</v>
      </c>
      <c r="F632" s="15" t="n">
        <f aca="false">E632*(1+IF(F$3&lt;=$O$2,$D632,$D632-($D632-$I$616)*MIN(F$3-$O$2,$Q$2)/$Q$2))</f>
        <v>2896.66766775539</v>
      </c>
      <c r="G632" s="15" t="n">
        <f aca="false">F632*(1+IF(G$3&lt;=$O$2,$D632,$D632-($D632-$I$616)*MIN(G$3-$O$2,$Q$2)/$Q$2))</f>
        <v>3188.95989320196</v>
      </c>
      <c r="H632" s="15" t="n">
        <f aca="false">G632*(1+IF(H$3&lt;=$O$2,$D632,$D632-($D632-$I$616)*MIN(H$3-$O$2,$Q$2)/$Q$2))</f>
        <v>3510.7462667027</v>
      </c>
      <c r="I632" s="15" t="n">
        <f aca="false">H632*(1+IF(I$3&lt;=$O$2,$D632,$D632-($D632-$I$616)*MIN(I$3-$O$2,$Q$2)/$Q$2))</f>
        <v>3865.00293573507</v>
      </c>
      <c r="J632" s="15" t="n">
        <f aca="false">I632*(1+IF(J$3&lt;=$O$2,$D632,$D632-($D632-$I$616)*MIN(J$3-$O$2,$Q$2)/$Q$2))</f>
        <v>4195.0165888445</v>
      </c>
      <c r="K632" s="15" t="n">
        <f aca="false">J632*(1+IF(K$3&lt;=$O$2,$D632,$D632-($D632-$I$616)*MIN(K$3-$O$2,$Q$2)/$Q$2))</f>
        <v>4488.09648630557</v>
      </c>
      <c r="L632" s="15" t="n">
        <f aca="false">K632*(1+IF(L$3&lt;=$O$2,$D632,$D632-($D632-$I$616)*MIN(L$3-$O$2,$Q$2)/$Q$2))</f>
        <v>4731.99108875797</v>
      </c>
      <c r="M632" s="15" t="n">
        <f aca="false">L632*(1+IF(M$3&lt;=$O$2,$D632,$D632-($D632-$I$616)*MIN(M$3-$O$2,$Q$2)/$Q$2))</f>
        <v>4915.69301333954</v>
      </c>
      <c r="N632" s="15" t="n">
        <f aca="false">M632*(1+IF(N$3&lt;=$O$2,$D632,$D632-($D632-$I$616)*MIN(N$3-$O$2,$Q$2)/$Q$2))</f>
        <v>5030.22866055035</v>
      </c>
      <c r="O632" s="15" t="n">
        <f aca="false">SUMPRODUCT(E632:N632,1/(1+$F$616)^$E$3:$N$3)*$E$2</f>
        <v>10471.2341849096</v>
      </c>
      <c r="P632" s="15" t="n">
        <f aca="false">N632*$E$2*(1+$I$616)/($F$616-$I$616)/(1+$F$616)^$N$3</f>
        <v>10536.9507226474</v>
      </c>
      <c r="Q632" s="15" t="n">
        <f aca="false">O632+P632</f>
        <v>21008.1849075571</v>
      </c>
      <c r="R632" s="15" t="n">
        <f aca="false">Q632-$G$2+$I$2</f>
        <v>15656.6249075571</v>
      </c>
      <c r="S632" s="42" t="n">
        <f aca="false">R632/$K$2</f>
        <v>724.843745720234</v>
      </c>
      <c r="T632" s="43" t="n">
        <f aca="false">S632-$M$2</f>
        <v>-0.156254279765562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0.100906372070313</v>
      </c>
      <c r="C633" s="25" t="n">
        <f aca="false">IF(T632&gt;0,D632,C632)</f>
        <v>0.1009521484375</v>
      </c>
      <c r="D633" s="41" t="n">
        <f aca="false">(B633+C633)/2</f>
        <v>0.100929260253906</v>
      </c>
      <c r="E633" s="15" t="n">
        <f aca="false">$C$2*(1+IF(E$3&lt;=$O$2,$D633,$D633-($D633-$I$616)*MIN(E$3-$O$2,$Q$2)/$Q$2))</f>
        <v>2631.22093200684</v>
      </c>
      <c r="F633" s="15" t="n">
        <f aca="false">E633*(1+IF(F$3&lt;=$O$2,$D633,$D633-($D633-$I$616)*MIN(F$3-$O$2,$Q$2)/$Q$2))</f>
        <v>2896.78811423888</v>
      </c>
      <c r="G633" s="15" t="n">
        <f aca="false">F633*(1+IF(G$3&lt;=$O$2,$D633,$D633-($D633-$I$616)*MIN(G$3-$O$2,$Q$2)/$Q$2))</f>
        <v>3189.15879572132</v>
      </c>
      <c r="H633" s="15" t="n">
        <f aca="false">G633*(1+IF(H$3&lt;=$O$2,$D633,$D633-($D633-$I$616)*MIN(H$3-$O$2,$Q$2)/$Q$2))</f>
        <v>3511.03823380571</v>
      </c>
      <c r="I633" s="15" t="n">
        <f aca="false">H633*(1+IF(I$3&lt;=$O$2,$D633,$D633-($D633-$I$616)*MIN(I$3-$O$2,$Q$2)/$Q$2))</f>
        <v>3865.4047254669</v>
      </c>
      <c r="J633" s="15" t="n">
        <f aca="false">I633*(1+IF(J$3&lt;=$O$2,$D633,$D633-($D633-$I$616)*MIN(J$3-$O$2,$Q$2)/$Q$2))</f>
        <v>4195.52346310624</v>
      </c>
      <c r="K633" s="15" t="n">
        <f aca="false">J633*(1+IF(K$3&lt;=$O$2,$D633,$D633-($D633-$I$616)*MIN(K$3-$O$2,$Q$2)/$Q$2))</f>
        <v>4488.69638948792</v>
      </c>
      <c r="L633" s="15" t="n">
        <f aca="false">K633*(1+IF(L$3&lt;=$O$2,$D633,$D633-($D633-$I$616)*MIN(L$3-$O$2,$Q$2)/$Q$2))</f>
        <v>4732.66468745112</v>
      </c>
      <c r="M633" s="15" t="n">
        <f aca="false">L633*(1+IF(M$3&lt;=$O$2,$D633,$D633-($D633-$I$616)*MIN(M$3-$O$2,$Q$2)/$Q$2))</f>
        <v>4916.41442641205</v>
      </c>
      <c r="N633" s="15" t="n">
        <f aca="false">M633*(1+IF(N$3&lt;=$O$2,$D633,$D633-($D633-$I$616)*MIN(N$3-$O$2,$Q$2)/$Q$2))</f>
        <v>5030.96688254745</v>
      </c>
      <c r="O633" s="15" t="n">
        <f aca="false">SUMPRODUCT(E633:N633,1/(1+$F$616)^$E$3:$N$3)*$E$2</f>
        <v>10472.254223239</v>
      </c>
      <c r="P633" s="15" t="n">
        <f aca="false">N633*$E$2*(1+$I$616)/($F$616-$I$616)/(1+$F$616)^$N$3</f>
        <v>10538.4970954529</v>
      </c>
      <c r="Q633" s="15" t="n">
        <f aca="false">O633+P633</f>
        <v>21010.7513186918</v>
      </c>
      <c r="R633" s="15" t="n">
        <f aca="false">Q633-$G$2+$I$2</f>
        <v>15659.1913186918</v>
      </c>
      <c r="S633" s="42" t="n">
        <f aca="false">R633/$K$2</f>
        <v>724.962561050547</v>
      </c>
      <c r="T633" s="43" t="n">
        <f aca="false">S633-$M$2</f>
        <v>-0.037438949453076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0.100929260253906</v>
      </c>
      <c r="C634" s="25" t="n">
        <f aca="false">IF(T633&gt;0,D633,C633)</f>
        <v>0.1009521484375</v>
      </c>
      <c r="D634" s="41" t="n">
        <f aca="false">(B634+C634)/2</f>
        <v>0.100940704345703</v>
      </c>
      <c r="E634" s="15" t="n">
        <f aca="false">$C$2*(1+IF(E$3&lt;=$O$2,$D634,$D634-($D634-$I$616)*MIN(E$3-$O$2,$Q$2)/$Q$2))</f>
        <v>2631.24828338623</v>
      </c>
      <c r="F634" s="15" t="n">
        <f aca="false">E634*(1+IF(F$3&lt;=$O$2,$D634,$D634-($D634-$I$616)*MIN(F$3-$O$2,$Q$2)/$Q$2))</f>
        <v>2896.84833841966</v>
      </c>
      <c r="G634" s="15" t="n">
        <f aca="false">F634*(1+IF(G$3&lt;=$O$2,$D634,$D634-($D634-$I$616)*MIN(G$3-$O$2,$Q$2)/$Q$2))</f>
        <v>3189.25825008242</v>
      </c>
      <c r="H634" s="15" t="n">
        <f aca="false">G634*(1+IF(H$3&lt;=$O$2,$D634,$D634-($D634-$I$616)*MIN(H$3-$O$2,$Q$2)/$Q$2))</f>
        <v>3511.18422418608</v>
      </c>
      <c r="I634" s="15" t="n">
        <f aca="false">H634*(1+IF(I$3&lt;=$O$2,$D634,$D634-($D634-$I$616)*MIN(I$3-$O$2,$Q$2)/$Q$2))</f>
        <v>3865.60563286295</v>
      </c>
      <c r="J634" s="15" t="n">
        <f aca="false">I634*(1+IF(J$3&lt;=$O$2,$D634,$D634-($D634-$I$616)*MIN(J$3-$O$2,$Q$2)/$Q$2))</f>
        <v>4195.77691935521</v>
      </c>
      <c r="K634" s="15" t="n">
        <f aca="false">J634*(1+IF(K$3&lt;=$O$2,$D634,$D634-($D634-$I$616)*MIN(K$3-$O$2,$Q$2)/$Q$2))</f>
        <v>4488.9963667539</v>
      </c>
      <c r="L634" s="15" t="n">
        <f aca="false">K634*(1+IF(L$3&lt;=$O$2,$D634,$D634-($D634-$I$616)*MIN(L$3-$O$2,$Q$2)/$Q$2))</f>
        <v>4733.00151798729</v>
      </c>
      <c r="M634" s="15" t="n">
        <f aca="false">L634*(1+IF(M$3&lt;=$O$2,$D634,$D634-($D634-$I$616)*MIN(M$3-$O$2,$Q$2)/$Q$2))</f>
        <v>4916.77516766156</v>
      </c>
      <c r="N634" s="15" t="n">
        <f aca="false">M634*(1+IF(N$3&lt;=$O$2,$D634,$D634-($D634-$I$616)*MIN(N$3-$O$2,$Q$2)/$Q$2))</f>
        <v>5031.33602906808</v>
      </c>
      <c r="O634" s="15" t="n">
        <f aca="false">SUMPRODUCT(E634:N634,1/(1+$F$616)^$E$3:$N$3)*$E$2</f>
        <v>10472.764279662</v>
      </c>
      <c r="P634" s="15" t="n">
        <f aca="false">N634*$E$2*(1+$I$616)/($F$616-$I$616)/(1+$F$616)^$N$3</f>
        <v>10539.2703562646</v>
      </c>
      <c r="Q634" s="15" t="n">
        <f aca="false">O634+P634</f>
        <v>21012.0346359265</v>
      </c>
      <c r="R634" s="15" t="n">
        <f aca="false">Q634-$G$2+$I$2</f>
        <v>15660.4746359265</v>
      </c>
      <c r="S634" s="42" t="n">
        <f aca="false">R634/$K$2</f>
        <v>725.021973885488</v>
      </c>
      <c r="T634" s="43" t="n">
        <f aca="false">S634-$M$2</f>
        <v>0.0219738854880234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0.100929260253906</v>
      </c>
      <c r="C635" s="25" t="n">
        <f aca="false">IF(T634&gt;0,D634,C634)</f>
        <v>0.100940704345703</v>
      </c>
      <c r="D635" s="41" t="n">
        <f aca="false">(B635+C635)/2</f>
        <v>0.100934982299805</v>
      </c>
      <c r="E635" s="15" t="n">
        <f aca="false">$C$2*(1+IF(E$3&lt;=$O$2,$D635,$D635-($D635-$I$616)*MIN(E$3-$O$2,$Q$2)/$Q$2))</f>
        <v>2631.23460769653</v>
      </c>
      <c r="F635" s="15" t="n">
        <f aca="false">E635*(1+IF(F$3&lt;=$O$2,$D635,$D635-($D635-$I$616)*MIN(F$3-$O$2,$Q$2)/$Q$2))</f>
        <v>2896.81822625102</v>
      </c>
      <c r="G635" s="15" t="n">
        <f aca="false">F635*(1+IF(G$3&lt;=$O$2,$D635,$D635-($D635-$I$616)*MIN(G$3-$O$2,$Q$2)/$Q$2))</f>
        <v>3189.20852264341</v>
      </c>
      <c r="H635" s="15" t="n">
        <f aca="false">G635*(1+IF(H$3&lt;=$O$2,$D635,$D635-($D635-$I$616)*MIN(H$3-$O$2,$Q$2)/$Q$2))</f>
        <v>3511.11122842681</v>
      </c>
      <c r="I635" s="15" t="n">
        <f aca="false">H635*(1+IF(I$3&lt;=$O$2,$D635,$D635-($D635-$I$616)*MIN(I$3-$O$2,$Q$2)/$Q$2))</f>
        <v>3865.50517812072</v>
      </c>
      <c r="J635" s="15" t="n">
        <f aca="false">I635*(1+IF(J$3&lt;=$O$2,$D635,$D635-($D635-$I$616)*MIN(J$3-$O$2,$Q$2)/$Q$2))</f>
        <v>4195.6501896375</v>
      </c>
      <c r="K635" s="15" t="n">
        <f aca="false">J635*(1+IF(K$3&lt;=$O$2,$D635,$D635-($D635-$I$616)*MIN(K$3-$O$2,$Q$2)/$Q$2))</f>
        <v>4488.84637598126</v>
      </c>
      <c r="L635" s="15" t="n">
        <f aca="false">K635*(1+IF(L$3&lt;=$O$2,$D635,$D635-($D635-$I$616)*MIN(L$3-$O$2,$Q$2)/$Q$2))</f>
        <v>4732.83310011996</v>
      </c>
      <c r="M635" s="15" t="n">
        <f aca="false">L635*(1+IF(M$3&lt;=$O$2,$D635,$D635-($D635-$I$616)*MIN(M$3-$O$2,$Q$2)/$Q$2))</f>
        <v>4916.5947941439</v>
      </c>
      <c r="N635" s="15" t="n">
        <f aca="false">M635*(1+IF(N$3&lt;=$O$2,$D635,$D635-($D635-$I$616)*MIN(N$3-$O$2,$Q$2)/$Q$2))</f>
        <v>5031.15145284746</v>
      </c>
      <c r="O635" s="15" t="n">
        <f aca="false">SUMPRODUCT(E635:N635,1/(1+$F$616)^$E$3:$N$3)*$E$2</f>
        <v>10472.5092483455</v>
      </c>
      <c r="P635" s="15" t="n">
        <f aca="false">N635*$E$2*(1+$I$616)/($F$616-$I$616)/(1+$F$616)^$N$3</f>
        <v>10538.8837196577</v>
      </c>
      <c r="Q635" s="15" t="n">
        <f aca="false">O635+P635</f>
        <v>21011.3929680032</v>
      </c>
      <c r="R635" s="15" t="n">
        <f aca="false">Q635-$G$2+$I$2</f>
        <v>15659.8329680032</v>
      </c>
      <c r="S635" s="42" t="n">
        <f aca="false">R635/$K$2</f>
        <v>724.992267037184</v>
      </c>
      <c r="T635" s="43" t="n">
        <f aca="false">S635-$M$2</f>
        <v>-0.00773296281647617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0.100934982299805</v>
      </c>
      <c r="C636" s="25" t="n">
        <f aca="false">IF(T635&gt;0,D635,C635)</f>
        <v>0.100940704345703</v>
      </c>
      <c r="D636" s="41" t="n">
        <f aca="false">(B636+C636)/2</f>
        <v>0.100937843322754</v>
      </c>
      <c r="E636" s="15" t="n">
        <f aca="false">$C$2*(1+IF(E$3&lt;=$O$2,$D636,$D636-($D636-$I$616)*MIN(E$3-$O$2,$Q$2)/$Q$2))</f>
        <v>2631.24144554138</v>
      </c>
      <c r="F636" s="15" t="n">
        <f aca="false">E636*(1+IF(F$3&lt;=$O$2,$D636,$D636-($D636-$I$616)*MIN(F$3-$O$2,$Q$2)/$Q$2))</f>
        <v>2896.83328231577</v>
      </c>
      <c r="G636" s="15" t="n">
        <f aca="false">F636*(1+IF(G$3&lt;=$O$2,$D636,$D636-($D636-$I$616)*MIN(G$3-$O$2,$Q$2)/$Q$2))</f>
        <v>3189.2333862983</v>
      </c>
      <c r="H636" s="15" t="n">
        <f aca="false">G636*(1+IF(H$3&lt;=$O$2,$D636,$D636-($D636-$I$616)*MIN(H$3-$O$2,$Q$2)/$Q$2))</f>
        <v>3511.14772616418</v>
      </c>
      <c r="I636" s="15" t="n">
        <f aca="false">H636*(1+IF(I$3&lt;=$O$2,$D636,$D636-($D636-$I$616)*MIN(I$3-$O$2,$Q$2)/$Q$2))</f>
        <v>3865.55540523078</v>
      </c>
      <c r="J636" s="15" t="n">
        <f aca="false">I636*(1+IF(J$3&lt;=$O$2,$D636,$D636-($D636-$I$616)*MIN(J$3-$O$2,$Q$2)/$Q$2))</f>
        <v>4195.71355409804</v>
      </c>
      <c r="K636" s="15" t="n">
        <f aca="false">J636*(1+IF(K$3&lt;=$O$2,$D636,$D636-($D636-$I$616)*MIN(K$3-$O$2,$Q$2)/$Q$2))</f>
        <v>4488.92137083266</v>
      </c>
      <c r="L636" s="15" t="n">
        <f aca="false">K636*(1+IF(L$3&lt;=$O$2,$D636,$D636-($D636-$I$616)*MIN(L$3-$O$2,$Q$2)/$Q$2))</f>
        <v>4732.91730840381</v>
      </c>
      <c r="M636" s="15" t="n">
        <f aca="false">L636*(1+IF(M$3&lt;=$O$2,$D636,$D636-($D636-$I$616)*MIN(M$3-$O$2,$Q$2)/$Q$2))</f>
        <v>4916.6849801795</v>
      </c>
      <c r="N636" s="15" t="n">
        <f aca="false">M636*(1+IF(N$3&lt;=$O$2,$D636,$D636-($D636-$I$616)*MIN(N$3-$O$2,$Q$2)/$Q$2))</f>
        <v>5031.24374021768</v>
      </c>
      <c r="O636" s="15" t="n">
        <f aca="false">SUMPRODUCT(E636:N636,1/(1+$F$616)^$E$3:$N$3)*$E$2</f>
        <v>10472.6367632275</v>
      </c>
      <c r="P636" s="15" t="n">
        <f aca="false">N636*$E$2*(1+$I$616)/($F$616-$I$616)/(1+$F$616)^$N$3</f>
        <v>10539.0770364109</v>
      </c>
      <c r="Q636" s="15" t="n">
        <f aca="false">O636+P636</f>
        <v>21011.7137996383</v>
      </c>
      <c r="R636" s="15" t="n">
        <f aca="false">Q636-$G$2+$I$2</f>
        <v>15660.1537996383</v>
      </c>
      <c r="S636" s="42" t="n">
        <f aca="false">R636/$K$2</f>
        <v>725.007120353626</v>
      </c>
      <c r="T636" s="43" t="n">
        <f aca="false">S636-$M$2</f>
        <v>0.00712035362573715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0.100934982299805</v>
      </c>
      <c r="C637" s="25" t="n">
        <f aca="false">IF(T636&gt;0,D636,C636)</f>
        <v>0.100937843322754</v>
      </c>
      <c r="D637" s="41" t="n">
        <f aca="false">(B637+C637)/2</f>
        <v>0.100936412811279</v>
      </c>
      <c r="E637" s="15" t="n">
        <f aca="false">$C$2*(1+IF(E$3&lt;=$O$2,$D637,$D637-($D637-$I$616)*MIN(E$3-$O$2,$Q$2)/$Q$2))</f>
        <v>2631.23802661896</v>
      </c>
      <c r="F637" s="15" t="n">
        <f aca="false">E637*(1+IF(F$3&lt;=$O$2,$D637,$D637-($D637-$I$616)*MIN(F$3-$O$2,$Q$2)/$Q$2))</f>
        <v>2896.8257542785</v>
      </c>
      <c r="G637" s="15" t="n">
        <f aca="false">F637*(1+IF(G$3&lt;=$O$2,$D637,$D637-($D637-$I$616)*MIN(G$3-$O$2,$Q$2)/$Q$2))</f>
        <v>3189.22095445471</v>
      </c>
      <c r="H637" s="15" t="n">
        <f aca="false">G637*(1+IF(H$3&lt;=$O$2,$D637,$D637-($D637-$I$616)*MIN(H$3-$O$2,$Q$2)/$Q$2))</f>
        <v>3511.12947725993</v>
      </c>
      <c r="I637" s="15" t="n">
        <f aca="false">H637*(1+IF(I$3&lt;=$O$2,$D637,$D637-($D637-$I$616)*MIN(I$3-$O$2,$Q$2)/$Q$2))</f>
        <v>3865.53029161049</v>
      </c>
      <c r="J637" s="15" t="n">
        <f aca="false">I637*(1+IF(J$3&lt;=$O$2,$D637,$D637-($D637-$I$616)*MIN(J$3-$O$2,$Q$2)/$Q$2))</f>
        <v>4195.68187176819</v>
      </c>
      <c r="K637" s="15" t="n">
        <f aca="false">J637*(1+IF(K$3&lt;=$O$2,$D637,$D637-($D637-$I$616)*MIN(K$3-$O$2,$Q$2)/$Q$2))</f>
        <v>4488.88387327323</v>
      </c>
      <c r="L637" s="15" t="n">
        <f aca="false">K637*(1+IF(L$3&lt;=$O$2,$D637,$D637-($D637-$I$616)*MIN(L$3-$O$2,$Q$2)/$Q$2))</f>
        <v>4732.87520409943</v>
      </c>
      <c r="M637" s="15" t="n">
        <f aca="false">L637*(1+IF(M$3&lt;=$O$2,$D637,$D637-($D637-$I$616)*MIN(M$3-$O$2,$Q$2)/$Q$2))</f>
        <v>4916.63988698089</v>
      </c>
      <c r="N637" s="15" t="n">
        <f aca="false">M637*(1+IF(N$3&lt;=$O$2,$D637,$D637-($D637-$I$616)*MIN(N$3-$O$2,$Q$2)/$Q$2))</f>
        <v>5031.19759634755</v>
      </c>
      <c r="O637" s="15" t="n">
        <f aca="false">SUMPRODUCT(E637:N637,1/(1+$F$616)^$E$3:$N$3)*$E$2</f>
        <v>10472.5730055924</v>
      </c>
      <c r="P637" s="15" t="n">
        <f aca="false">N637*$E$2*(1+$I$616)/($F$616-$I$616)/(1+$F$616)^$N$3</f>
        <v>10538.9803776467</v>
      </c>
      <c r="Q637" s="15" t="n">
        <f aca="false">O637+P637</f>
        <v>21011.5533832391</v>
      </c>
      <c r="R637" s="15" t="n">
        <f aca="false">Q637-$G$2+$I$2</f>
        <v>15659.9933832391</v>
      </c>
      <c r="S637" s="42" t="n">
        <f aca="false">R637/$K$2</f>
        <v>724.999693668477</v>
      </c>
      <c r="T637" s="43" t="n">
        <f aca="false">S637-$M$2</f>
        <v>-0.000306331522779146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0.100936412811279</v>
      </c>
      <c r="C638" s="25" t="n">
        <f aca="false">IF(T637&gt;0,D637,C637)</f>
        <v>0.100937843322754</v>
      </c>
      <c r="D638" s="41" t="n">
        <f aca="false">(B638+C638)/2</f>
        <v>0.100937128067017</v>
      </c>
      <c r="E638" s="15" t="n">
        <f aca="false">$C$2*(1+IF(E$3&lt;=$O$2,$D638,$D638-($D638-$I$616)*MIN(E$3-$O$2,$Q$2)/$Q$2))</f>
        <v>2631.23973608017</v>
      </c>
      <c r="F638" s="15" t="n">
        <f aca="false">E638*(1+IF(F$3&lt;=$O$2,$D638,$D638-($D638-$I$616)*MIN(F$3-$O$2,$Q$2)/$Q$2))</f>
        <v>2896.82951829592</v>
      </c>
      <c r="G638" s="15" t="n">
        <f aca="false">F638*(1+IF(G$3&lt;=$O$2,$D638,$D638-($D638-$I$616)*MIN(G$3-$O$2,$Q$2)/$Q$2))</f>
        <v>3189.22717037247</v>
      </c>
      <c r="H638" s="15" t="n">
        <f aca="false">G638*(1+IF(H$3&lt;=$O$2,$D638,$D638-($D638-$I$616)*MIN(H$3-$O$2,$Q$2)/$Q$2))</f>
        <v>3511.13860170316</v>
      </c>
      <c r="I638" s="15" t="n">
        <f aca="false">H638*(1+IF(I$3&lt;=$O$2,$D638,$D638-($D638-$I$616)*MIN(I$3-$O$2,$Q$2)/$Q$2))</f>
        <v>3865.54284840432</v>
      </c>
      <c r="J638" s="15" t="n">
        <f aca="false">I638*(1+IF(J$3&lt;=$O$2,$D638,$D638-($D638-$I$616)*MIN(J$3-$O$2,$Q$2)/$Q$2))</f>
        <v>4195.69771290822</v>
      </c>
      <c r="K638" s="15" t="n">
        <f aca="false">J638*(1+IF(K$3&lt;=$O$2,$D638,$D638-($D638-$I$616)*MIN(K$3-$O$2,$Q$2)/$Q$2))</f>
        <v>4488.90262201951</v>
      </c>
      <c r="L638" s="15" t="n">
        <f aca="false">K638*(1+IF(L$3&lt;=$O$2,$D638,$D638-($D638-$I$616)*MIN(L$3-$O$2,$Q$2)/$Q$2))</f>
        <v>4732.89625621101</v>
      </c>
      <c r="M638" s="15" t="n">
        <f aca="false">L638*(1+IF(M$3&lt;=$O$2,$D638,$D638-($D638-$I$616)*MIN(M$3-$O$2,$Q$2)/$Q$2))</f>
        <v>4916.66243353499</v>
      </c>
      <c r="N638" s="15" t="n">
        <f aca="false">M638*(1+IF(N$3&lt;=$O$2,$D638,$D638-($D638-$I$616)*MIN(N$3-$O$2,$Q$2)/$Q$2))</f>
        <v>5031.22066823636</v>
      </c>
      <c r="O638" s="15" t="n">
        <f aca="false">SUMPRODUCT(E638:N638,1/(1+$F$616)^$E$3:$N$3)*$E$2</f>
        <v>10472.6048843614</v>
      </c>
      <c r="P638" s="15" t="n">
        <f aca="false">N638*$E$2*(1+$I$616)/($F$616-$I$616)/(1+$F$616)^$N$3</f>
        <v>10539.0287069319</v>
      </c>
      <c r="Q638" s="15" t="n">
        <f aca="false">O638+P638</f>
        <v>21011.6335912933</v>
      </c>
      <c r="R638" s="15" t="n">
        <f aca="false">Q638-$G$2+$I$2</f>
        <v>15660.0735912933</v>
      </c>
      <c r="S638" s="42" t="n">
        <f aca="false">R638/$K$2</f>
        <v>725.00340700432</v>
      </c>
      <c r="T638" s="43" t="n">
        <f aca="false">S638-$M$2</f>
        <v>0.00340700431991081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0.100936412811279</v>
      </c>
      <c r="C639" s="25" t="n">
        <f aca="false">IF(T638&gt;0,D638,C638)</f>
        <v>0.100937128067017</v>
      </c>
      <c r="D639" s="41" t="n">
        <f aca="false">(B639+C639)/2</f>
        <v>0.100936770439148</v>
      </c>
      <c r="E639" s="15" t="n">
        <f aca="false">$C$2*(1+IF(E$3&lt;=$O$2,$D639,$D639-($D639-$I$616)*MIN(E$3-$O$2,$Q$2)/$Q$2))</f>
        <v>2631.23888134956</v>
      </c>
      <c r="F639" s="15" t="n">
        <f aca="false">E639*(1+IF(F$3&lt;=$O$2,$D639,$D639-($D639-$I$616)*MIN(F$3-$O$2,$Q$2)/$Q$2))</f>
        <v>2896.82763628691</v>
      </c>
      <c r="G639" s="15" t="n">
        <f aca="false">F639*(1+IF(G$3&lt;=$O$2,$D639,$D639-($D639-$I$616)*MIN(G$3-$O$2,$Q$2)/$Q$2))</f>
        <v>3189.22406241258</v>
      </c>
      <c r="H639" s="15" t="n">
        <f aca="false">G639*(1+IF(H$3&lt;=$O$2,$D639,$D639-($D639-$I$616)*MIN(H$3-$O$2,$Q$2)/$Q$2))</f>
        <v>3511.13403947932</v>
      </c>
      <c r="I639" s="15" t="n">
        <f aca="false">H639*(1+IF(I$3&lt;=$O$2,$D639,$D639-($D639-$I$616)*MIN(I$3-$O$2,$Q$2)/$Q$2))</f>
        <v>3865.53657000332</v>
      </c>
      <c r="J639" s="15" t="n">
        <f aca="false">I639*(1+IF(J$3&lt;=$O$2,$D639,$D639-($D639-$I$616)*MIN(J$3-$O$2,$Q$2)/$Q$2))</f>
        <v>4195.68979233199</v>
      </c>
      <c r="K639" s="15" t="n">
        <f aca="false">J639*(1+IF(K$3&lt;=$O$2,$D639,$D639-($D639-$I$616)*MIN(K$3-$O$2,$Q$2)/$Q$2))</f>
        <v>4488.89324763801</v>
      </c>
      <c r="L639" s="15" t="n">
        <f aca="false">K639*(1+IF(L$3&lt;=$O$2,$D639,$D639-($D639-$I$616)*MIN(L$3-$O$2,$Q$2)/$Q$2))</f>
        <v>4732.88573014506</v>
      </c>
      <c r="M639" s="15" t="n">
        <f aca="false">L639*(1+IF(M$3&lt;=$O$2,$D639,$D639-($D639-$I$616)*MIN(M$3-$O$2,$Q$2)/$Q$2))</f>
        <v>4916.65116024664</v>
      </c>
      <c r="N639" s="15" t="n">
        <f aca="false">M639*(1+IF(N$3&lt;=$O$2,$D639,$D639-($D639-$I$616)*MIN(N$3-$O$2,$Q$2)/$Q$2))</f>
        <v>5031.20913228039</v>
      </c>
      <c r="O639" s="15" t="n">
        <f aca="false">SUMPRODUCT(E639:N639,1/(1+$F$616)^$E$3:$N$3)*$E$2</f>
        <v>10472.5889449648</v>
      </c>
      <c r="P639" s="15" t="n">
        <f aca="false">N639*$E$2*(1+$I$616)/($F$616-$I$616)/(1+$F$616)^$N$3</f>
        <v>10539.0045422651</v>
      </c>
      <c r="Q639" s="15" t="n">
        <f aca="false">O639+P639</f>
        <v>21011.5934872299</v>
      </c>
      <c r="R639" s="15" t="n">
        <f aca="false">Q639-$G$2+$I$2</f>
        <v>15660.0334872299</v>
      </c>
      <c r="S639" s="42" t="n">
        <f aca="false">R639/$K$2</f>
        <v>725.001550334716</v>
      </c>
      <c r="T639" s="43" t="n">
        <f aca="false">S639-$M$2</f>
        <v>0.00155033471571642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0.100936412811279</v>
      </c>
      <c r="C640" s="25" t="n">
        <f aca="false">IF(T639&gt;0,D639,C639)</f>
        <v>0.100936770439148</v>
      </c>
      <c r="D640" s="41" t="n">
        <f aca="false">(B640+C640)/2</f>
        <v>0.100936591625214</v>
      </c>
      <c r="E640" s="15" t="n">
        <f aca="false">$C$2*(1+IF(E$3&lt;=$O$2,$D640,$D640-($D640-$I$616)*MIN(E$3-$O$2,$Q$2)/$Q$2))</f>
        <v>2631.23845398426</v>
      </c>
      <c r="F640" s="15" t="n">
        <f aca="false">E640*(1+IF(F$3&lt;=$O$2,$D640,$D640-($D640-$I$616)*MIN(F$3-$O$2,$Q$2)/$Q$2))</f>
        <v>2896.82669528263</v>
      </c>
      <c r="G640" s="15" t="n">
        <f aca="false">F640*(1+IF(G$3&lt;=$O$2,$D640,$D640-($D640-$I$616)*MIN(G$3-$O$2,$Q$2)/$Q$2))</f>
        <v>3189.22250843339</v>
      </c>
      <c r="H640" s="15" t="n">
        <f aca="false">G640*(1+IF(H$3&lt;=$O$2,$D640,$D640-($D640-$I$616)*MIN(H$3-$O$2,$Q$2)/$Q$2))</f>
        <v>3511.13175836907</v>
      </c>
      <c r="I640" s="15" t="n">
        <f aca="false">H640*(1+IF(I$3&lt;=$O$2,$D640,$D640-($D640-$I$616)*MIN(I$3-$O$2,$Q$2)/$Q$2))</f>
        <v>3865.53343080589</v>
      </c>
      <c r="J640" s="15" t="n">
        <f aca="false">I640*(1+IF(J$3&lt;=$O$2,$D640,$D640-($D640-$I$616)*MIN(J$3-$O$2,$Q$2)/$Q$2))</f>
        <v>4195.68583204853</v>
      </c>
      <c r="K640" s="15" t="n">
        <f aca="false">J640*(1+IF(K$3&lt;=$O$2,$D640,$D640-($D640-$I$616)*MIN(K$3-$O$2,$Q$2)/$Q$2))</f>
        <v>4488.88856045353</v>
      </c>
      <c r="L640" s="15" t="n">
        <f aca="false">K640*(1+IF(L$3&lt;=$O$2,$D640,$D640-($D640-$I$616)*MIN(L$3-$O$2,$Q$2)/$Q$2))</f>
        <v>4732.88046711971</v>
      </c>
      <c r="M640" s="15" t="n">
        <f aca="false">L640*(1+IF(M$3&lt;=$O$2,$D640,$D640-($D640-$I$616)*MIN(M$3-$O$2,$Q$2)/$Q$2))</f>
        <v>4916.64552361094</v>
      </c>
      <c r="N640" s="15" t="n">
        <f aca="false">M640*(1+IF(N$3&lt;=$O$2,$D640,$D640-($D640-$I$616)*MIN(N$3-$O$2,$Q$2)/$Q$2))</f>
        <v>5031.20336431108</v>
      </c>
      <c r="O640" s="15" t="n">
        <f aca="false">SUMPRODUCT(E640:N640,1/(1+$F$616)^$E$3:$N$3)*$E$2</f>
        <v>10472.5809752756</v>
      </c>
      <c r="P640" s="15" t="n">
        <f aca="false">N640*$E$2*(1+$I$616)/($F$616-$I$616)/(1+$F$616)^$N$3</f>
        <v>10538.9924599498</v>
      </c>
      <c r="Q640" s="15" t="n">
        <f aca="false">O640+P640</f>
        <v>21011.5734352254</v>
      </c>
      <c r="R640" s="15" t="n">
        <f aca="false">Q640-$G$2+$I$2</f>
        <v>15660.0134352254</v>
      </c>
      <c r="S640" s="42" t="n">
        <f aca="false">R640/$K$2</f>
        <v>725.000622001176</v>
      </c>
      <c r="T640" s="43" t="n">
        <f aca="false">S640-$M$2</f>
        <v>0.000622001175884179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0.100936412811279</v>
      </c>
      <c r="C641" s="25" t="n">
        <f aca="false">IF(T640&gt;0,D640,C640)</f>
        <v>0.100936591625214</v>
      </c>
      <c r="D641" s="41" t="n">
        <f aca="false">(B641+C641)/2</f>
        <v>0.100936502218246</v>
      </c>
      <c r="E641" s="15" t="n">
        <f aca="false">$C$2*(1+IF(E$3&lt;=$O$2,$D641,$D641-($D641-$I$616)*MIN(E$3-$O$2,$Q$2)/$Q$2))</f>
        <v>2631.23824030161</v>
      </c>
      <c r="F641" s="15" t="n">
        <f aca="false">E641*(1+IF(F$3&lt;=$O$2,$D641,$D641-($D641-$I$616)*MIN(F$3-$O$2,$Q$2)/$Q$2))</f>
        <v>2896.82622478055</v>
      </c>
      <c r="G641" s="15" t="n">
        <f aca="false">F641*(1+IF(G$3&lt;=$O$2,$D641,$D641-($D641-$I$616)*MIN(G$3-$O$2,$Q$2)/$Q$2))</f>
        <v>3189.22173144398</v>
      </c>
      <c r="H641" s="15" t="n">
        <f aca="false">G641*(1+IF(H$3&lt;=$O$2,$D641,$D641-($D641-$I$616)*MIN(H$3-$O$2,$Q$2)/$Q$2))</f>
        <v>3511.13061781436</v>
      </c>
      <c r="I641" s="15" t="n">
        <f aca="false">H641*(1+IF(I$3&lt;=$O$2,$D641,$D641-($D641-$I$616)*MIN(I$3-$O$2,$Q$2)/$Q$2))</f>
        <v>3865.53186120793</v>
      </c>
      <c r="J641" s="15" t="n">
        <f aca="false">I641*(1+IF(J$3&lt;=$O$2,$D641,$D641-($D641-$I$616)*MIN(J$3-$O$2,$Q$2)/$Q$2))</f>
        <v>4195.68385190797</v>
      </c>
      <c r="K641" s="15" t="n">
        <f aca="false">J641*(1+IF(K$3&lt;=$O$2,$D641,$D641-($D641-$I$616)*MIN(K$3-$O$2,$Q$2)/$Q$2))</f>
        <v>4488.88621686286</v>
      </c>
      <c r="L641" s="15" t="n">
        <f aca="false">K641*(1+IF(L$3&lt;=$O$2,$D641,$D641-($D641-$I$616)*MIN(L$3-$O$2,$Q$2)/$Q$2))</f>
        <v>4732.87783560894</v>
      </c>
      <c r="M641" s="15" t="n">
        <f aca="false">L641*(1+IF(M$3&lt;=$O$2,$D641,$D641-($D641-$I$616)*MIN(M$3-$O$2,$Q$2)/$Q$2))</f>
        <v>4916.64270529521</v>
      </c>
      <c r="N641" s="15" t="n">
        <f aca="false">M641*(1+IF(N$3&lt;=$O$2,$D641,$D641-($D641-$I$616)*MIN(N$3-$O$2,$Q$2)/$Q$2))</f>
        <v>5031.20048032859</v>
      </c>
      <c r="O641" s="15" t="n">
        <f aca="false">SUMPRODUCT(E641:N641,1/(1+$F$616)^$E$3:$N$3)*$E$2</f>
        <v>10472.5769904332</v>
      </c>
      <c r="P641" s="15" t="n">
        <f aca="false">N641*$E$2*(1+$I$616)/($F$616-$I$616)/(1+$F$616)^$N$3</f>
        <v>10538.9864187968</v>
      </c>
      <c r="Q641" s="15" t="n">
        <f aca="false">O641+P641</f>
        <v>21011.56340923</v>
      </c>
      <c r="R641" s="15" t="n">
        <f aca="false">Q641-$G$2+$I$2</f>
        <v>15660.00340923</v>
      </c>
      <c r="S641" s="42" t="n">
        <f aca="false">R641/$K$2</f>
        <v>725.000157834721</v>
      </c>
      <c r="T641" s="43" t="n">
        <f aca="false">S641-$M$2</f>
        <v>0.000157834721335348</v>
      </c>
    </row>
    <row r="643" customFormat="false" ht="15" hidden="false" customHeight="false" outlineLevel="0" collapsed="false">
      <c r="A643" s="38" t="s">
        <v>204</v>
      </c>
      <c r="E643" s="5" t="s">
        <v>11</v>
      </c>
      <c r="F643" s="12" t="n">
        <f aca="false">Sensitivity!$B$14</f>
        <v>0.106972178572932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162</v>
      </c>
      <c r="B644" s="28" t="s">
        <v>163</v>
      </c>
      <c r="C644" s="28" t="s">
        <v>164</v>
      </c>
      <c r="D644" s="28" t="s">
        <v>165</v>
      </c>
      <c r="E644" s="28" t="s">
        <v>166</v>
      </c>
      <c r="F644" s="28" t="s">
        <v>167</v>
      </c>
      <c r="G644" s="28" t="s">
        <v>168</v>
      </c>
      <c r="H644" s="28" t="s">
        <v>169</v>
      </c>
      <c r="I644" s="28" t="s">
        <v>170</v>
      </c>
      <c r="J644" s="28" t="s">
        <v>171</v>
      </c>
      <c r="K644" s="28" t="s">
        <v>172</v>
      </c>
      <c r="L644" s="28" t="s">
        <v>173</v>
      </c>
      <c r="M644" s="28" t="s">
        <v>174</v>
      </c>
      <c r="N644" s="28" t="s">
        <v>175</v>
      </c>
      <c r="O644" s="28" t="s">
        <v>176</v>
      </c>
      <c r="P644" s="28" t="s">
        <v>177</v>
      </c>
      <c r="Q644" s="28" t="s">
        <v>178</v>
      </c>
      <c r="R644" s="28" t="s">
        <v>179</v>
      </c>
      <c r="S644" s="28" t="s">
        <v>180</v>
      </c>
      <c r="T644" s="28" t="s">
        <v>181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2987.5</v>
      </c>
      <c r="F645" s="15" t="n">
        <f aca="false">E645*(1+IF(F$3&lt;=$O$2,$D645,$D645-($D645-$I$643)*MIN(F$3-$O$2,$Q$2)/$Q$2))</f>
        <v>3734.375</v>
      </c>
      <c r="G645" s="15" t="n">
        <f aca="false">F645*(1+IF(G$3&lt;=$O$2,$D645,$D645-($D645-$I$643)*MIN(G$3-$O$2,$Q$2)/$Q$2))</f>
        <v>4667.96875</v>
      </c>
      <c r="H645" s="15" t="n">
        <f aca="false">G645*(1+IF(H$3&lt;=$O$2,$D645,$D645-($D645-$I$643)*MIN(H$3-$O$2,$Q$2)/$Q$2))</f>
        <v>5834.9609375</v>
      </c>
      <c r="I645" s="15" t="n">
        <f aca="false">H645*(1+IF(I$3&lt;=$O$2,$D645,$D645-($D645-$I$643)*MIN(I$3-$O$2,$Q$2)/$Q$2))</f>
        <v>7293.701171875</v>
      </c>
      <c r="J645" s="15" t="n">
        <f aca="false">I645*(1+IF(J$3&lt;=$O$2,$D645,$D645-($D645-$I$643)*MIN(J$3-$O$2,$Q$2)/$Q$2))</f>
        <v>8793.72375488281</v>
      </c>
      <c r="K645" s="15" t="n">
        <f aca="false">J645*(1+IF(K$3&lt;=$O$2,$D645,$D645-($D645-$I$643)*MIN(K$3-$O$2,$Q$2)/$Q$2))</f>
        <v>10212.3272710205</v>
      </c>
      <c r="L645" s="15" t="n">
        <f aca="false">K645*(1+IF(L$3&lt;=$O$2,$D645,$D645-($D645-$I$643)*MIN(L$3-$O$2,$Q$2)/$Q$2))</f>
        <v>11406.9653151845</v>
      </c>
      <c r="M645" s="15" t="n">
        <f aca="false">L645*(1+IF(M$3&lt;=$O$2,$D645,$D645-($D645-$I$643)*MIN(M$3-$O$2,$Q$2)/$Q$2))</f>
        <v>12235.5672756795</v>
      </c>
      <c r="N645" s="15" t="n">
        <f aca="false">M645*(1+IF(N$3&lt;=$O$2,$D645,$D645-($D645-$I$643)*MIN(N$3-$O$2,$Q$2)/$Q$2))</f>
        <v>12581.8338295812</v>
      </c>
      <c r="O645" s="15" t="n">
        <f aca="false">SUMPRODUCT(E645:N645,1/(1+$F$643)^$E$3:$N$3)*$E$2</f>
        <v>19766.6444329444</v>
      </c>
      <c r="P645" s="15" t="n">
        <f aca="false">N645*$E$2*(1+$I$643)/($F$643-$I$643)/(1+$F$643)^$N$3</f>
        <v>28167.4757158816</v>
      </c>
      <c r="Q645" s="15" t="n">
        <f aca="false">O645+P645</f>
        <v>47934.120148826</v>
      </c>
      <c r="R645" s="15" t="n">
        <f aca="false">Q645-$G$2+$I$2</f>
        <v>42582.560148826</v>
      </c>
      <c r="S645" s="42" t="n">
        <f aca="false">R645/$K$2</f>
        <v>1971.41482170491</v>
      </c>
      <c r="T645" s="43" t="n">
        <f aca="false">S645-$M$2</f>
        <v>1246.41482170491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2091.25</v>
      </c>
      <c r="F646" s="15" t="n">
        <f aca="false">E646*(1+IF(F$3&lt;=$O$2,$D646,$D646-($D646-$I$643)*MIN(F$3-$O$2,$Q$2)/$Q$2))</f>
        <v>1829.84375</v>
      </c>
      <c r="G646" s="15" t="n">
        <f aca="false">F646*(1+IF(G$3&lt;=$O$2,$D646,$D646-($D646-$I$643)*MIN(G$3-$O$2,$Q$2)/$Q$2))</f>
        <v>1601.11328125</v>
      </c>
      <c r="H646" s="15" t="n">
        <f aca="false">G646*(1+IF(H$3&lt;=$O$2,$D646,$D646-($D646-$I$643)*MIN(H$3-$O$2,$Q$2)/$Q$2))</f>
        <v>1400.97412109375</v>
      </c>
      <c r="I646" s="15" t="n">
        <f aca="false">H646*(1+IF(I$3&lt;=$O$2,$D646,$D646-($D646-$I$643)*MIN(I$3-$O$2,$Q$2)/$Q$2))</f>
        <v>1225.85235595703</v>
      </c>
      <c r="J646" s="15" t="n">
        <f aca="false">I646*(1+IF(J$3&lt;=$O$2,$D646,$D646-($D646-$I$643)*MIN(J$3-$O$2,$Q$2)/$Q$2))</f>
        <v>1110.20544469604</v>
      </c>
      <c r="K646" s="15" t="n">
        <f aca="false">J646*(1+IF(K$3&lt;=$O$2,$D646,$D646-($D646-$I$643)*MIN(K$3-$O$2,$Q$2)/$Q$2))</f>
        <v>1039.5075619778</v>
      </c>
      <c r="L646" s="15" t="n">
        <f aca="false">K646*(1+IF(L$3&lt;=$O$2,$D646,$D646-($D646-$I$643)*MIN(L$3-$O$2,$Q$2)/$Q$2))</f>
        <v>1005.18302228129</v>
      </c>
      <c r="M646" s="15" t="n">
        <f aca="false">L646*(1+IF(M$3&lt;=$O$2,$D646,$D646-($D646-$I$643)*MIN(M$3-$O$2,$Q$2)/$Q$2))</f>
        <v>1002.81079034871</v>
      </c>
      <c r="N646" s="15" t="n">
        <f aca="false">M646*(1+IF(N$3&lt;=$O$2,$D646,$D646-($D646-$I$643)*MIN(N$3-$O$2,$Q$2)/$Q$2))</f>
        <v>1031.19033571558</v>
      </c>
      <c r="O646" s="15" t="n">
        <f aca="false">SUMPRODUCT(E646:N646,1/(1+$F$643)^$E$3:$N$3)*$E$2</f>
        <v>4054.55252147959</v>
      </c>
      <c r="P646" s="15" t="n">
        <f aca="false">N646*$E$2*(1+$I$643)/($F$643-$I$643)/(1+$F$643)^$N$3</f>
        <v>2308.568777266</v>
      </c>
      <c r="Q646" s="15" t="n">
        <f aca="false">O646+P646</f>
        <v>6363.1212987456</v>
      </c>
      <c r="R646" s="15" t="n">
        <f aca="false">Q646-$G$2+$I$2</f>
        <v>1011.56129874559</v>
      </c>
      <c r="S646" s="42" t="n">
        <f aca="false">R646/$K$2</f>
        <v>46.8315416085923</v>
      </c>
      <c r="T646" s="43" t="n">
        <f aca="false">S646-$M$2</f>
        <v>-678.168458391408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2539.375</v>
      </c>
      <c r="F647" s="15" t="n">
        <f aca="false">E647*(1+IF(F$3&lt;=$O$2,$D647,$D647-($D647-$I$643)*MIN(F$3-$O$2,$Q$2)/$Q$2))</f>
        <v>2698.0859375</v>
      </c>
      <c r="G647" s="15" t="n">
        <f aca="false">F647*(1+IF(G$3&lt;=$O$2,$D647,$D647-($D647-$I$643)*MIN(G$3-$O$2,$Q$2)/$Q$2))</f>
        <v>2866.71630859375</v>
      </c>
      <c r="H647" s="15" t="n">
        <f aca="false">G647*(1+IF(H$3&lt;=$O$2,$D647,$D647-($D647-$I$643)*MIN(H$3-$O$2,$Q$2)/$Q$2))</f>
        <v>3045.88607788086</v>
      </c>
      <c r="I647" s="15" t="n">
        <f aca="false">H647*(1+IF(I$3&lt;=$O$2,$D647,$D647-($D647-$I$643)*MIN(I$3-$O$2,$Q$2)/$Q$2))</f>
        <v>3236.25395774841</v>
      </c>
      <c r="J647" s="15" t="n">
        <f aca="false">I647*(1+IF(J$3&lt;=$O$2,$D647,$D647-($D647-$I$643)*MIN(J$3-$O$2,$Q$2)/$Q$2))</f>
        <v>3416.38385303669</v>
      </c>
      <c r="K647" s="15" t="n">
        <f aca="false">J647*(1+IF(K$3&lt;=$O$2,$D647,$D647-($D647-$I$643)*MIN(K$3-$O$2,$Q$2)/$Q$2))</f>
        <v>3583.17171274194</v>
      </c>
      <c r="L647" s="15" t="n">
        <f aca="false">K647*(1+IF(L$3&lt;=$O$2,$D647,$D647-($D647-$I$643)*MIN(L$3-$O$2,$Q$2)/$Q$2))</f>
        <v>3733.59326124285</v>
      </c>
      <c r="M647" s="15" t="n">
        <f aca="false">L647*(1+IF(M$3&lt;=$O$2,$D647,$D647-($D647-$I$643)*MIN(M$3-$O$2,$Q$2)/$Q$2))</f>
        <v>3864.79172844292</v>
      </c>
      <c r="N647" s="15" t="n">
        <f aca="false">M647*(1+IF(N$3&lt;=$O$2,$D647,$D647-($D647-$I$643)*MIN(N$3-$O$2,$Q$2)/$Q$2))</f>
        <v>3974.16533435786</v>
      </c>
      <c r="O647" s="15" t="n">
        <f aca="false">SUMPRODUCT(E647:N647,1/(1+$F$643)^$E$3:$N$3)*$E$2</f>
        <v>8917.19017008069</v>
      </c>
      <c r="P647" s="15" t="n">
        <f aca="false">N647*$E$2*(1+$I$643)/($F$643-$I$643)/(1+$F$643)^$N$3</f>
        <v>8897.12954905154</v>
      </c>
      <c r="Q647" s="15" t="n">
        <f aca="false">O647+P647</f>
        <v>17814.3197191322</v>
      </c>
      <c r="R647" s="15" t="n">
        <f aca="false">Q647-$G$2+$I$2</f>
        <v>12462.7597191322</v>
      </c>
      <c r="S647" s="42" t="n">
        <f aca="false">R647/$K$2</f>
        <v>576.979616626492</v>
      </c>
      <c r="T647" s="43" t="n">
        <f aca="false">S647-$M$2</f>
        <v>-148.020383373508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0.0625</v>
      </c>
      <c r="C648" s="25" t="n">
        <f aca="false">IF(T647&gt;0,D647,C647)</f>
        <v>0.25</v>
      </c>
      <c r="D648" s="41" t="n">
        <f aca="false">(B648+C648)/2</f>
        <v>0.15625</v>
      </c>
      <c r="E648" s="15" t="n">
        <f aca="false">$C$2*(1+IF(E$3&lt;=$O$2,$D648,$D648-($D648-$I$643)*MIN(E$3-$O$2,$Q$2)/$Q$2))</f>
        <v>2763.4375</v>
      </c>
      <c r="F648" s="15" t="n">
        <f aca="false">E648*(1+IF(F$3&lt;=$O$2,$D648,$D648-($D648-$I$643)*MIN(F$3-$O$2,$Q$2)/$Q$2))</f>
        <v>3195.224609375</v>
      </c>
      <c r="G648" s="15" t="n">
        <f aca="false">F648*(1+IF(G$3&lt;=$O$2,$D648,$D648-($D648-$I$643)*MIN(G$3-$O$2,$Q$2)/$Q$2))</f>
        <v>3694.47845458984</v>
      </c>
      <c r="H648" s="15" t="n">
        <f aca="false">G648*(1+IF(H$3&lt;=$O$2,$D648,$D648-($D648-$I$643)*MIN(H$3-$O$2,$Q$2)/$Q$2))</f>
        <v>4271.74071311951</v>
      </c>
      <c r="I648" s="15" t="n">
        <f aca="false">H648*(1+IF(I$3&lt;=$O$2,$D648,$D648-($D648-$I$643)*MIN(I$3-$O$2,$Q$2)/$Q$2))</f>
        <v>4939.20019954443</v>
      </c>
      <c r="J648" s="15" t="n">
        <f aca="false">I648*(1+IF(J$3&lt;=$O$2,$D648,$D648-($D648-$I$643)*MIN(J$3-$O$2,$Q$2)/$Q$2))</f>
        <v>5584.55609761691</v>
      </c>
      <c r="K648" s="15" t="n">
        <f aca="false">J648*(1+IF(K$3&lt;=$O$2,$D648,$D648-($D648-$I$643)*MIN(K$3-$O$2,$Q$2)/$Q$2))</f>
        <v>6171.32540679351</v>
      </c>
      <c r="L648" s="15" t="n">
        <f aca="false">K648*(1+IF(L$3&lt;=$O$2,$D648,$D648-($D648-$I$643)*MIN(L$3-$O$2,$Q$2)/$Q$2))</f>
        <v>6661.82235012546</v>
      </c>
      <c r="M648" s="15" t="n">
        <f aca="false">L648*(1+IF(M$3&lt;=$O$2,$D648,$D648-($D648-$I$643)*MIN(M$3-$O$2,$Q$2)/$Q$2))</f>
        <v>7020.82795657372</v>
      </c>
      <c r="N648" s="15" t="n">
        <f aca="false">M648*(1+IF(N$3&lt;=$O$2,$D648,$D648-($D648-$I$643)*MIN(N$3-$O$2,$Q$2)/$Q$2))</f>
        <v>7219.51738774476</v>
      </c>
      <c r="O648" s="15" t="n">
        <f aca="false">SUMPRODUCT(E648:N648,1/(1+$F$643)^$E$3:$N$3)*$E$2</f>
        <v>13292.7010063668</v>
      </c>
      <c r="P648" s="15" t="n">
        <f aca="false">N648*$E$2*(1+$I$643)/($F$643-$I$643)/(1+$F$643)^$N$3</f>
        <v>16162.6344342249</v>
      </c>
      <c r="Q648" s="15" t="n">
        <f aca="false">O648+P648</f>
        <v>29455.3354405917</v>
      </c>
      <c r="R648" s="15" t="n">
        <f aca="false">Q648-$G$2+$I$2</f>
        <v>24103.7754405917</v>
      </c>
      <c r="S648" s="42" t="n">
        <f aca="false">R648/$K$2</f>
        <v>1115.91552965702</v>
      </c>
      <c r="T648" s="43" t="n">
        <f aca="false">S648-$M$2</f>
        <v>390.915529657025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0.0625</v>
      </c>
      <c r="C649" s="25" t="n">
        <f aca="false">IF(T648&gt;0,D648,C648)</f>
        <v>0.15625</v>
      </c>
      <c r="D649" s="41" t="n">
        <f aca="false">(B649+C649)/2</f>
        <v>0.109375</v>
      </c>
      <c r="E649" s="15" t="n">
        <f aca="false">$C$2*(1+IF(E$3&lt;=$O$2,$D649,$D649-($D649-$I$643)*MIN(E$3-$O$2,$Q$2)/$Q$2))</f>
        <v>2651.40625</v>
      </c>
      <c r="F649" s="15" t="n">
        <f aca="false">E649*(1+IF(F$3&lt;=$O$2,$D649,$D649-($D649-$I$643)*MIN(F$3-$O$2,$Q$2)/$Q$2))</f>
        <v>2941.40380859375</v>
      </c>
      <c r="G649" s="15" t="n">
        <f aca="false">F649*(1+IF(G$3&lt;=$O$2,$D649,$D649-($D649-$I$643)*MIN(G$3-$O$2,$Q$2)/$Q$2))</f>
        <v>3263.11985015869</v>
      </c>
      <c r="H649" s="15" t="n">
        <f aca="false">G649*(1+IF(H$3&lt;=$O$2,$D649,$D649-($D649-$I$643)*MIN(H$3-$O$2,$Q$2)/$Q$2))</f>
        <v>3620.0235837698</v>
      </c>
      <c r="I649" s="15" t="n">
        <f aca="false">H649*(1+IF(I$3&lt;=$O$2,$D649,$D649-($D649-$I$643)*MIN(I$3-$O$2,$Q$2)/$Q$2))</f>
        <v>4015.96366324462</v>
      </c>
      <c r="J649" s="15" t="n">
        <f aca="false">I649*(1+IF(J$3&lt;=$O$2,$D649,$D649-($D649-$I$643)*MIN(J$3-$O$2,$Q$2)/$Q$2))</f>
        <v>4390.09083811249</v>
      </c>
      <c r="K649" s="15" t="n">
        <f aca="false">J649*(1+IF(K$3&lt;=$O$2,$D649,$D649-($D649-$I$643)*MIN(K$3-$O$2,$Q$2)/$Q$2))</f>
        <v>4727.88637765105</v>
      </c>
      <c r="L649" s="15" t="n">
        <f aca="false">K649*(1+IF(L$3&lt;=$O$2,$D649,$D649-($D649-$I$643)*MIN(L$3-$O$2,$Q$2)/$Q$2))</f>
        <v>5015.0109173658</v>
      </c>
      <c r="M649" s="15" t="n">
        <f aca="false">L649*(1+IF(M$3&lt;=$O$2,$D649,$D649-($D649-$I$643)*MIN(M$3-$O$2,$Q$2)/$Q$2))</f>
        <v>5238.25412835234</v>
      </c>
      <c r="N649" s="15" t="n">
        <f aca="false">M649*(1+IF(N$3&lt;=$O$2,$D649,$D649-($D649-$I$643)*MIN(N$3-$O$2,$Q$2)/$Q$2))</f>
        <v>5386.49672018471</v>
      </c>
      <c r="O649" s="15" t="n">
        <f aca="false">SUMPRODUCT(E649:N649,1/(1+$F$643)^$E$3:$N$3)*$E$2</f>
        <v>10887.9168910088</v>
      </c>
      <c r="P649" s="15" t="n">
        <f aca="false">N649*$E$2*(1+$I$643)/($F$643-$I$643)/(1+$F$643)^$N$3</f>
        <v>12058.9746784574</v>
      </c>
      <c r="Q649" s="15" t="n">
        <f aca="false">O649+P649</f>
        <v>22946.8915694662</v>
      </c>
      <c r="R649" s="15" t="n">
        <f aca="false">Q649-$G$2+$I$2</f>
        <v>17595.3315694662</v>
      </c>
      <c r="S649" s="42" t="n">
        <f aca="false">R649/$K$2</f>
        <v>814.598683771582</v>
      </c>
      <c r="T649" s="43" t="n">
        <f aca="false">S649-$M$2</f>
        <v>89.5986837715821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0.0625</v>
      </c>
      <c r="C650" s="25" t="n">
        <f aca="false">IF(T649&gt;0,D649,C649)</f>
        <v>0.109375</v>
      </c>
      <c r="D650" s="41" t="n">
        <f aca="false">(B650+C650)/2</f>
        <v>0.0859375</v>
      </c>
      <c r="E650" s="15" t="n">
        <f aca="false">$C$2*(1+IF(E$3&lt;=$O$2,$D650,$D650-($D650-$I$643)*MIN(E$3-$O$2,$Q$2)/$Q$2))</f>
        <v>2595.390625</v>
      </c>
      <c r="F650" s="15" t="n">
        <f aca="false">E650*(1+IF(F$3&lt;=$O$2,$D650,$D650-($D650-$I$643)*MIN(F$3-$O$2,$Q$2)/$Q$2))</f>
        <v>2818.43200683594</v>
      </c>
      <c r="G650" s="15" t="n">
        <f aca="false">F650*(1+IF(G$3&lt;=$O$2,$D650,$D650-($D650-$I$643)*MIN(G$3-$O$2,$Q$2)/$Q$2))</f>
        <v>3060.6410074234</v>
      </c>
      <c r="H650" s="15" t="n">
        <f aca="false">G650*(1+IF(H$3&lt;=$O$2,$D650,$D650-($D650-$I$643)*MIN(H$3-$O$2,$Q$2)/$Q$2))</f>
        <v>3323.66484399885</v>
      </c>
      <c r="I650" s="15" t="n">
        <f aca="false">H650*(1+IF(I$3&lt;=$O$2,$D650,$D650-($D650-$I$643)*MIN(I$3-$O$2,$Q$2)/$Q$2))</f>
        <v>3609.29229153</v>
      </c>
      <c r="J650" s="15" t="n">
        <f aca="false">I650*(1+IF(J$3&lt;=$O$2,$D650,$D650-($D650-$I$643)*MIN(J$3-$O$2,$Q$2)/$Q$2))</f>
        <v>3877.85973094275</v>
      </c>
      <c r="K650" s="15" t="n">
        <f aca="false">J650*(1+IF(K$3&lt;=$O$2,$D650,$D650-($D650-$I$643)*MIN(K$3-$O$2,$Q$2)/$Q$2))</f>
        <v>4121.70924547376</v>
      </c>
      <c r="L650" s="15" t="n">
        <f aca="false">K650*(1+IF(L$3&lt;=$O$2,$D650,$D650-($D650-$I$643)*MIN(L$3-$O$2,$Q$2)/$Q$2))</f>
        <v>4333.37962377506</v>
      </c>
      <c r="M650" s="15" t="n">
        <f aca="false">L650*(1+IF(M$3&lt;=$O$2,$D650,$D650-($D650-$I$643)*MIN(M$3-$O$2,$Q$2)/$Q$2))</f>
        <v>4505.96730074096</v>
      </c>
      <c r="N650" s="15" t="n">
        <f aca="false">M650*(1+IF(N$3&lt;=$O$2,$D650,$D650-($D650-$I$643)*MIN(N$3-$O$2,$Q$2)/$Q$2))</f>
        <v>4633.48617535193</v>
      </c>
      <c r="O650" s="15" t="n">
        <f aca="false">SUMPRODUCT(E650:N650,1/(1+$F$643)^$E$3:$N$3)*$E$2</f>
        <v>9853.20458795148</v>
      </c>
      <c r="P650" s="15" t="n">
        <f aca="false">N650*$E$2*(1+$I$643)/($F$643-$I$643)/(1+$F$643)^$N$3</f>
        <v>10373.1785916014</v>
      </c>
      <c r="Q650" s="15" t="n">
        <f aca="false">O650+P650</f>
        <v>20226.3831795529</v>
      </c>
      <c r="R650" s="15" t="n">
        <f aca="false">Q650-$G$2+$I$2</f>
        <v>14874.8231795529</v>
      </c>
      <c r="S650" s="42" t="n">
        <f aca="false">R650/$K$2</f>
        <v>688.649221275598</v>
      </c>
      <c r="T650" s="43" t="n">
        <f aca="false">S650-$M$2</f>
        <v>-36.3507787244023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0.0859375</v>
      </c>
      <c r="C651" s="25" t="n">
        <f aca="false">IF(T650&gt;0,D650,C650)</f>
        <v>0.109375</v>
      </c>
      <c r="D651" s="41" t="n">
        <f aca="false">(B651+C651)/2</f>
        <v>0.09765625</v>
      </c>
      <c r="E651" s="15" t="n">
        <f aca="false">$C$2*(1+IF(E$3&lt;=$O$2,$D651,$D651-($D651-$I$643)*MIN(E$3-$O$2,$Q$2)/$Q$2))</f>
        <v>2623.3984375</v>
      </c>
      <c r="F651" s="15" t="n">
        <f aca="false">E651*(1+IF(F$3&lt;=$O$2,$D651,$D651-($D651-$I$643)*MIN(F$3-$O$2,$Q$2)/$Q$2))</f>
        <v>2879.58969116211</v>
      </c>
      <c r="G651" s="15" t="n">
        <f aca="false">F651*(1+IF(G$3&lt;=$O$2,$D651,$D651-($D651-$I$643)*MIN(G$3-$O$2,$Q$2)/$Q$2))</f>
        <v>3160.79962193966</v>
      </c>
      <c r="H651" s="15" t="n">
        <f aca="false">G651*(1+IF(H$3&lt;=$O$2,$D651,$D651-($D651-$I$643)*MIN(H$3-$O$2,$Q$2)/$Q$2))</f>
        <v>3469.4714600197</v>
      </c>
      <c r="I651" s="15" t="n">
        <f aca="false">H651*(1+IF(I$3&lt;=$O$2,$D651,$D651-($D651-$I$643)*MIN(I$3-$O$2,$Q$2)/$Q$2))</f>
        <v>3808.28703228725</v>
      </c>
      <c r="J651" s="15" t="n">
        <f aca="false">I651*(1+IF(J$3&lt;=$O$2,$D651,$D651-($D651-$I$643)*MIN(J$3-$O$2,$Q$2)/$Q$2))</f>
        <v>4127.36436128744</v>
      </c>
      <c r="K651" s="15" t="n">
        <f aca="false">J651*(1+IF(K$3&lt;=$O$2,$D651,$D651-($D651-$I$643)*MIN(K$3-$O$2,$Q$2)/$Q$2))</f>
        <v>4415.9238814014</v>
      </c>
      <c r="L651" s="15" t="n">
        <f aca="false">K651*(1+IF(L$3&lt;=$O$2,$D651,$D651-($D651-$I$643)*MIN(L$3-$O$2,$Q$2)/$Q$2))</f>
        <v>4663.40329552484</v>
      </c>
      <c r="M651" s="15" t="n">
        <f aca="false">L651*(1+IF(M$3&lt;=$O$2,$D651,$D651-($D651-$I$643)*MIN(M$3-$O$2,$Q$2)/$Q$2))</f>
        <v>4860.06484175124</v>
      </c>
      <c r="N651" s="15" t="n">
        <f aca="false">M651*(1+IF(N$3&lt;=$O$2,$D651,$D651-($D651-$I$643)*MIN(N$3-$O$2,$Q$2)/$Q$2))</f>
        <v>4997.6046767728</v>
      </c>
      <c r="O651" s="15" t="n">
        <f aca="false">SUMPRODUCT(E651:N651,1/(1+$F$643)^$E$3:$N$3)*$E$2</f>
        <v>10357.6407071075</v>
      </c>
      <c r="P651" s="15" t="n">
        <f aca="false">N651*$E$2*(1+$I$643)/($F$643-$I$643)/(1+$F$643)^$N$3</f>
        <v>11188.345854609</v>
      </c>
      <c r="Q651" s="15" t="n">
        <f aca="false">O651+P651</f>
        <v>21545.9865617164</v>
      </c>
      <c r="R651" s="15" t="n">
        <f aca="false">Q651-$G$2+$I$2</f>
        <v>16194.4265617164</v>
      </c>
      <c r="S651" s="42" t="n">
        <f aca="false">R651/$K$2</f>
        <v>749.741970449835</v>
      </c>
      <c r="T651" s="43" t="n">
        <f aca="false">S651-$M$2</f>
        <v>24.7419704498354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0.0859375</v>
      </c>
      <c r="C652" s="25" t="n">
        <f aca="false">IF(T651&gt;0,D651,C651)</f>
        <v>0.09765625</v>
      </c>
      <c r="D652" s="41" t="n">
        <f aca="false">(B652+C652)/2</f>
        <v>0.091796875</v>
      </c>
      <c r="E652" s="15" t="n">
        <f aca="false">$C$2*(1+IF(E$3&lt;=$O$2,$D652,$D652-($D652-$I$643)*MIN(E$3-$O$2,$Q$2)/$Q$2))</f>
        <v>2609.39453125</v>
      </c>
      <c r="F652" s="15" t="n">
        <f aca="false">E652*(1+IF(F$3&lt;=$O$2,$D652,$D652-($D652-$I$643)*MIN(F$3-$O$2,$Q$2)/$Q$2))</f>
        <v>2848.92879486084</v>
      </c>
      <c r="G652" s="15" t="n">
        <f aca="false">F652*(1+IF(G$3&lt;=$O$2,$D652,$D652-($D652-$I$643)*MIN(G$3-$O$2,$Q$2)/$Q$2))</f>
        <v>3110.45155532658</v>
      </c>
      <c r="H652" s="15" t="n">
        <f aca="false">G652*(1+IF(H$3&lt;=$O$2,$D652,$D652-($D652-$I$643)*MIN(H$3-$O$2,$Q$2)/$Q$2))</f>
        <v>3395.98128794445</v>
      </c>
      <c r="I652" s="15" t="n">
        <f aca="false">H652*(1+IF(I$3&lt;=$O$2,$D652,$D652-($D652-$I$643)*MIN(I$3-$O$2,$Q$2)/$Q$2))</f>
        <v>3707.72175773623</v>
      </c>
      <c r="J652" s="15" t="n">
        <f aca="false">I652*(1+IF(J$3&lt;=$O$2,$D652,$D652-($D652-$I$643)*MIN(J$3-$O$2,$Q$2)/$Q$2))</f>
        <v>4000.99327946877</v>
      </c>
      <c r="K652" s="15" t="n">
        <f aca="false">J652*(1+IF(K$3&lt;=$O$2,$D652,$D652-($D652-$I$643)*MIN(K$3-$O$2,$Q$2)/$Q$2))</f>
        <v>4266.6517313631</v>
      </c>
      <c r="L652" s="15" t="n">
        <f aca="false">K652*(1+IF(L$3&lt;=$O$2,$D652,$D652-($D652-$I$643)*MIN(L$3-$O$2,$Q$2)/$Q$2))</f>
        <v>4495.76559602263</v>
      </c>
      <c r="M652" s="15" t="n">
        <f aca="false">L652*(1+IF(M$3&lt;=$O$2,$D652,$D652-($D652-$I$643)*MIN(M$3-$O$2,$Q$2)/$Q$2))</f>
        <v>4680.08917560606</v>
      </c>
      <c r="N652" s="15" t="n">
        <f aca="false">M652*(1+IF(N$3&lt;=$O$2,$D652,$D652-($D652-$I$643)*MIN(N$3-$O$2,$Q$2)/$Q$2))</f>
        <v>4812.53569927571</v>
      </c>
      <c r="O652" s="15" t="n">
        <f aca="false">SUMPRODUCT(E652:N652,1/(1+$F$643)^$E$3:$N$3)*$E$2</f>
        <v>10102.2673398952</v>
      </c>
      <c r="P652" s="15" t="n">
        <f aca="false">N652*$E$2*(1+$I$643)/($F$643-$I$643)/(1+$F$643)^$N$3</f>
        <v>10774.0242223239</v>
      </c>
      <c r="Q652" s="15" t="n">
        <f aca="false">O652+P652</f>
        <v>20876.2915622191</v>
      </c>
      <c r="R652" s="15" t="n">
        <f aca="false">Q652-$G$2+$I$2</f>
        <v>15524.7315622191</v>
      </c>
      <c r="S652" s="42" t="n">
        <f aca="false">R652/$K$2</f>
        <v>718.737572324959</v>
      </c>
      <c r="T652" s="43" t="n">
        <f aca="false">S652-$M$2</f>
        <v>-6.26242767504152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0.091796875</v>
      </c>
      <c r="C653" s="25" t="n">
        <f aca="false">IF(T652&gt;0,D652,C652)</f>
        <v>0.09765625</v>
      </c>
      <c r="D653" s="41" t="n">
        <f aca="false">(B653+C653)/2</f>
        <v>0.0947265625</v>
      </c>
      <c r="E653" s="15" t="n">
        <f aca="false">$C$2*(1+IF(E$3&lt;=$O$2,$D653,$D653-($D653-$I$643)*MIN(E$3-$O$2,$Q$2)/$Q$2))</f>
        <v>2616.396484375</v>
      </c>
      <c r="F653" s="15" t="n">
        <f aca="false">E653*(1+IF(F$3&lt;=$O$2,$D653,$D653-($D653-$I$643)*MIN(F$3-$O$2,$Q$2)/$Q$2))</f>
        <v>2864.23872947693</v>
      </c>
      <c r="G653" s="15" t="n">
        <f aca="false">F653*(1+IF(G$3&lt;=$O$2,$D653,$D653-($D653-$I$643)*MIN(G$3-$O$2,$Q$2)/$Q$2))</f>
        <v>3135.55821849965</v>
      </c>
      <c r="H653" s="15" t="n">
        <f aca="false">G653*(1+IF(H$3&lt;=$O$2,$D653,$D653-($D653-$I$643)*MIN(H$3-$O$2,$Q$2)/$Q$2))</f>
        <v>3432.57887005674</v>
      </c>
      <c r="I653" s="15" t="n">
        <f aca="false">H653*(1+IF(I$3&lt;=$O$2,$D653,$D653-($D653-$I$643)*MIN(I$3-$O$2,$Q$2)/$Q$2))</f>
        <v>3757.73526692735</v>
      </c>
      <c r="J653" s="15" t="n">
        <f aca="false">I653*(1+IF(J$3&lt;=$O$2,$D653,$D653-($D653-$I$643)*MIN(J$3-$O$2,$Q$2)/$Q$2))</f>
        <v>4063.769924235</v>
      </c>
      <c r="K653" s="15" t="n">
        <f aca="false">J653*(1+IF(K$3&lt;=$O$2,$D653,$D653-($D653-$I$643)*MIN(K$3-$O$2,$Q$2)/$Q$2))</f>
        <v>4340.73997320554</v>
      </c>
      <c r="L653" s="15" t="n">
        <f aca="false">K653*(1+IF(L$3&lt;=$O$2,$D653,$D653-($D653-$I$643)*MIN(L$3-$O$2,$Q$2)/$Q$2))</f>
        <v>4578.91908849781</v>
      </c>
      <c r="M653" s="15" t="n">
        <f aca="false">L653*(1+IF(M$3&lt;=$O$2,$D653,$D653-($D653-$I$643)*MIN(M$3-$O$2,$Q$2)/$Q$2))</f>
        <v>4769.33486970521</v>
      </c>
      <c r="N653" s="15" t="n">
        <f aca="false">M653*(1+IF(N$3&lt;=$O$2,$D653,$D653-($D653-$I$643)*MIN(N$3-$O$2,$Q$2)/$Q$2))</f>
        <v>4904.30704651786</v>
      </c>
      <c r="O653" s="15" t="n">
        <f aca="false">SUMPRODUCT(E653:N653,1/(1+$F$643)^$E$3:$N$3)*$E$2</f>
        <v>10229.1559768494</v>
      </c>
      <c r="P653" s="15" t="n">
        <f aca="false">N653*$E$2*(1+$I$643)/($F$643-$I$643)/(1+$F$643)^$N$3</f>
        <v>10979.4765617737</v>
      </c>
      <c r="Q653" s="15" t="n">
        <f aca="false">O653+P653</f>
        <v>21208.6325386232</v>
      </c>
      <c r="R653" s="15" t="n">
        <f aca="false">Q653-$G$2+$I$2</f>
        <v>15857.0725386232</v>
      </c>
      <c r="S653" s="42" t="n">
        <f aca="false">R653/$K$2</f>
        <v>734.123728639962</v>
      </c>
      <c r="T653" s="43" t="n">
        <f aca="false">S653-$M$2</f>
        <v>9.12372863996222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0.091796875</v>
      </c>
      <c r="C654" s="25" t="n">
        <f aca="false">IF(T653&gt;0,D653,C653)</f>
        <v>0.0947265625</v>
      </c>
      <c r="D654" s="41" t="n">
        <f aca="false">(B654+C654)/2</f>
        <v>0.09326171875</v>
      </c>
      <c r="E654" s="15" t="n">
        <f aca="false">$C$2*(1+IF(E$3&lt;=$O$2,$D654,$D654-($D654-$I$643)*MIN(E$3-$O$2,$Q$2)/$Q$2))</f>
        <v>2612.8955078125</v>
      </c>
      <c r="F654" s="15" t="n">
        <f aca="false">E654*(1+IF(F$3&lt;=$O$2,$D654,$D654-($D654-$I$643)*MIN(F$3-$O$2,$Q$2)/$Q$2))</f>
        <v>2856.57863378525</v>
      </c>
      <c r="G654" s="15" t="n">
        <f aca="false">F654*(1+IF(G$3&lt;=$O$2,$D654,$D654-($D654-$I$643)*MIN(G$3-$O$2,$Q$2)/$Q$2))</f>
        <v>3122.98806691659</v>
      </c>
      <c r="H654" s="15" t="n">
        <f aca="false">G654*(1+IF(H$3&lt;=$O$2,$D654,$D654-($D654-$I$643)*MIN(H$3-$O$2,$Q$2)/$Q$2))</f>
        <v>3414.24330167297</v>
      </c>
      <c r="I654" s="15" t="n">
        <f aca="false">H654*(1+IF(I$3&lt;=$O$2,$D654,$D654-($D654-$I$643)*MIN(I$3-$O$2,$Q$2)/$Q$2))</f>
        <v>3732.66150021766</v>
      </c>
      <c r="J654" s="15" t="n">
        <f aca="false">I654*(1+IF(J$3&lt;=$O$2,$D654,$D654-($D654-$I$643)*MIN(J$3-$O$2,$Q$2)/$Q$2))</f>
        <v>4032.2799059267</v>
      </c>
      <c r="K654" s="15" t="n">
        <f aca="false">J654*(1+IF(K$3&lt;=$O$2,$D654,$D654-($D654-$I$643)*MIN(K$3-$O$2,$Q$2)/$Q$2))</f>
        <v>4303.55972716648</v>
      </c>
      <c r="L654" s="15" t="n">
        <f aca="false">K654*(1+IF(L$3&lt;=$O$2,$D654,$D654-($D654-$I$643)*MIN(L$3-$O$2,$Q$2)/$Q$2))</f>
        <v>4537.17712209329</v>
      </c>
      <c r="M654" s="15" t="n">
        <f aca="false">L654*(1+IF(M$3&lt;=$O$2,$D654,$D654-($D654-$I$643)*MIN(M$3-$O$2,$Q$2)/$Q$2))</f>
        <v>4724.52779947341</v>
      </c>
      <c r="N654" s="15" t="n">
        <f aca="false">M654*(1+IF(N$3&lt;=$O$2,$D654,$D654-($D654-$I$643)*MIN(N$3-$O$2,$Q$2)/$Q$2))</f>
        <v>4858.2319361985</v>
      </c>
      <c r="O654" s="15" t="n">
        <f aca="false">SUMPRODUCT(E654:N654,1/(1+$F$643)^$E$3:$N$3)*$E$2</f>
        <v>10165.5133064732</v>
      </c>
      <c r="P654" s="15" t="n">
        <f aca="false">N654*$E$2*(1+$I$643)/($F$643-$I$643)/(1+$F$643)^$N$3</f>
        <v>10876.326292218</v>
      </c>
      <c r="Q654" s="15" t="n">
        <f aca="false">O654+P654</f>
        <v>21041.8395986912</v>
      </c>
      <c r="R654" s="15" t="n">
        <f aca="false">Q654-$G$2+$I$2</f>
        <v>15690.2795986912</v>
      </c>
      <c r="S654" s="42" t="n">
        <f aca="false">R654/$K$2</f>
        <v>726.401833272739</v>
      </c>
      <c r="T654" s="43" t="n">
        <f aca="false">S654-$M$2</f>
        <v>1.40183327273905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0.091796875</v>
      </c>
      <c r="C655" s="25" t="n">
        <f aca="false">IF(T654&gt;0,D654,C654)</f>
        <v>0.09326171875</v>
      </c>
      <c r="D655" s="41" t="n">
        <f aca="false">(B655+C655)/2</f>
        <v>0.092529296875</v>
      </c>
      <c r="E655" s="15" t="n">
        <f aca="false">$C$2*(1+IF(E$3&lt;=$O$2,$D655,$D655-($D655-$I$643)*MIN(E$3-$O$2,$Q$2)/$Q$2))</f>
        <v>2611.14501953125</v>
      </c>
      <c r="F655" s="15" t="n">
        <f aca="false">E655*(1+IF(F$3&lt;=$O$2,$D655,$D655-($D655-$I$643)*MIN(F$3-$O$2,$Q$2)/$Q$2))</f>
        <v>2852.75243222713</v>
      </c>
      <c r="G655" s="15" t="n">
        <f aca="false">F655*(1+IF(G$3&lt;=$O$2,$D655,$D655-($D655-$I$643)*MIN(G$3-$O$2,$Q$2)/$Q$2))</f>
        <v>3116.71560893956</v>
      </c>
      <c r="H655" s="15" t="n">
        <f aca="false">G655*(1+IF(H$3&lt;=$O$2,$D655,$D655-($D655-$I$643)*MIN(H$3-$O$2,$Q$2)/$Q$2))</f>
        <v>3405.10311279407</v>
      </c>
      <c r="I655" s="15" t="n">
        <f aca="false">H655*(1+IF(I$3&lt;=$O$2,$D655,$D655-($D655-$I$643)*MIN(I$3-$O$2,$Q$2)/$Q$2))</f>
        <v>3720.17490960778</v>
      </c>
      <c r="J655" s="15" t="n">
        <f aca="false">I655*(1+IF(J$3&lt;=$O$2,$D655,$D655-($D655-$I$643)*MIN(J$3-$O$2,$Q$2)/$Q$2))</f>
        <v>4016.61123450658</v>
      </c>
      <c r="K655" s="15" t="n">
        <f aca="false">J655*(1+IF(K$3&lt;=$O$2,$D655,$D655-($D655-$I$643)*MIN(K$3-$O$2,$Q$2)/$Q$2))</f>
        <v>4285.07180169067</v>
      </c>
      <c r="L655" s="15" t="n">
        <f aca="false">K655*(1+IF(L$3&lt;=$O$2,$D655,$D655-($D655-$I$643)*MIN(L$3-$O$2,$Q$2)/$Q$2))</f>
        <v>4516.43019323111</v>
      </c>
      <c r="M655" s="15" t="n">
        <f aca="false">L655*(1+IF(M$3&lt;=$O$2,$D655,$D655-($D655-$I$643)*MIN(M$3-$O$2,$Q$2)/$Q$2))</f>
        <v>4702.2625948388</v>
      </c>
      <c r="N655" s="15" t="n">
        <f aca="false">M655*(1+IF(N$3&lt;=$O$2,$D655,$D655-($D655-$I$643)*MIN(N$3-$O$2,$Q$2)/$Q$2))</f>
        <v>4835.33662627274</v>
      </c>
      <c r="O655" s="15" t="n">
        <f aca="false">SUMPRODUCT(E655:N655,1/(1+$F$643)^$E$3:$N$3)*$E$2</f>
        <v>10133.8408795391</v>
      </c>
      <c r="P655" s="15" t="n">
        <f aca="false">N655*$E$2*(1+$I$643)/($F$643-$I$643)/(1+$F$643)^$N$3</f>
        <v>10825.069607773</v>
      </c>
      <c r="Q655" s="15" t="n">
        <f aca="false">O655+P655</f>
        <v>20958.9104873121</v>
      </c>
      <c r="R655" s="15" t="n">
        <f aca="false">Q655-$G$2+$I$2</f>
        <v>15607.3504873121</v>
      </c>
      <c r="S655" s="42" t="n">
        <f aca="false">R655/$K$2</f>
        <v>722.562522560747</v>
      </c>
      <c r="T655" s="43" t="n">
        <f aca="false">S655-$M$2</f>
        <v>-2.4374774392528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0.092529296875</v>
      </c>
      <c r="C656" s="25" t="n">
        <f aca="false">IF(T655&gt;0,D655,C655)</f>
        <v>0.09326171875</v>
      </c>
      <c r="D656" s="41" t="n">
        <f aca="false">(B656+C656)/2</f>
        <v>0.0928955078125</v>
      </c>
      <c r="E656" s="15" t="n">
        <f aca="false">$C$2*(1+IF(E$3&lt;=$O$2,$D656,$D656-($D656-$I$643)*MIN(E$3-$O$2,$Q$2)/$Q$2))</f>
        <v>2612.02026367188</v>
      </c>
      <c r="F656" s="15" t="n">
        <f aca="false">E656*(1+IF(F$3&lt;=$O$2,$D656,$D656-($D656-$I$643)*MIN(F$3-$O$2,$Q$2)/$Q$2))</f>
        <v>2854.66521248221</v>
      </c>
      <c r="G656" s="15" t="n">
        <f aca="false">F656*(1+IF(G$3&lt;=$O$2,$D656,$D656-($D656-$I$643)*MIN(G$3-$O$2,$Q$2)/$Q$2))</f>
        <v>3119.85078703043</v>
      </c>
      <c r="H656" s="15" t="n">
        <f aca="false">G656*(1+IF(H$3&lt;=$O$2,$D656,$D656-($D656-$I$643)*MIN(H$3-$O$2,$Q$2)/$Q$2))</f>
        <v>3409.67091019085</v>
      </c>
      <c r="I656" s="15" t="n">
        <f aca="false">H656*(1+IF(I$3&lt;=$O$2,$D656,$D656-($D656-$I$643)*MIN(I$3-$O$2,$Q$2)/$Q$2))</f>
        <v>3726.41402086653</v>
      </c>
      <c r="J656" s="15" t="n">
        <f aca="false">I656*(1+IF(J$3&lt;=$O$2,$D656,$D656-($D656-$I$643)*MIN(J$3-$O$2,$Q$2)/$Q$2))</f>
        <v>4024.43922245505</v>
      </c>
      <c r="K656" s="15" t="n">
        <f aca="false">J656*(1+IF(K$3&lt;=$O$2,$D656,$D656-($D656-$I$643)*MIN(K$3-$O$2,$Q$2)/$Q$2))</f>
        <v>4294.30726959155</v>
      </c>
      <c r="L656" s="15" t="n">
        <f aca="false">K656*(1+IF(L$3&lt;=$O$2,$D656,$D656-($D656-$I$643)*MIN(L$3-$O$2,$Q$2)/$Q$2))</f>
        <v>4526.79334883386</v>
      </c>
      <c r="M656" s="15" t="n">
        <f aca="false">L656*(1+IF(M$3&lt;=$O$2,$D656,$D656-($D656-$I$643)*MIN(M$3-$O$2,$Q$2)/$Q$2))</f>
        <v>4713.38370363189</v>
      </c>
      <c r="N656" s="15" t="n">
        <f aca="false">M656*(1+IF(N$3&lt;=$O$2,$D656,$D656-($D656-$I$643)*MIN(N$3-$O$2,$Q$2)/$Q$2))</f>
        <v>4846.77246244467</v>
      </c>
      <c r="O656" s="15" t="n">
        <f aca="false">SUMPRODUCT(E656:N656,1/(1+$F$643)^$E$3:$N$3)*$E$2</f>
        <v>10149.6647140822</v>
      </c>
      <c r="P656" s="15" t="n">
        <f aca="false">N656*$E$2*(1+$I$643)/($F$643-$I$643)/(1+$F$643)^$N$3</f>
        <v>10850.6714907757</v>
      </c>
      <c r="Q656" s="15" t="n">
        <f aca="false">O656+P656</f>
        <v>21000.3362048579</v>
      </c>
      <c r="R656" s="15" t="n">
        <f aca="false">Q656-$G$2+$I$2</f>
        <v>15648.7762048579</v>
      </c>
      <c r="S656" s="42" t="n">
        <f aca="false">R656/$K$2</f>
        <v>724.480379854531</v>
      </c>
      <c r="T656" s="43" t="n">
        <f aca="false">S656-$M$2</f>
        <v>-0.519620145468593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0.0928955078125</v>
      </c>
      <c r="C657" s="25" t="n">
        <f aca="false">IF(T656&gt;0,D656,C656)</f>
        <v>0.09326171875</v>
      </c>
      <c r="D657" s="41" t="n">
        <f aca="false">(B657+C657)/2</f>
        <v>0.09307861328125</v>
      </c>
      <c r="E657" s="15" t="n">
        <f aca="false">$C$2*(1+IF(E$3&lt;=$O$2,$D657,$D657-($D657-$I$643)*MIN(E$3-$O$2,$Q$2)/$Q$2))</f>
        <v>2612.45788574219</v>
      </c>
      <c r="F657" s="15" t="n">
        <f aca="false">E657*(1+IF(F$3&lt;=$O$2,$D657,$D657-($D657-$I$643)*MIN(F$3-$O$2,$Q$2)/$Q$2))</f>
        <v>2855.62184300274</v>
      </c>
      <c r="G657" s="15" t="n">
        <f aca="false">F657*(1+IF(G$3&lt;=$O$2,$D657,$D657-($D657-$I$643)*MIN(G$3-$O$2,$Q$2)/$Q$2))</f>
        <v>3121.41916420508</v>
      </c>
      <c r="H657" s="15" t="n">
        <f aca="false">G657*(1+IF(H$3&lt;=$O$2,$D657,$D657-($D657-$I$643)*MIN(H$3-$O$2,$Q$2)/$Q$2))</f>
        <v>3411.95653147881</v>
      </c>
      <c r="I657" s="15" t="n">
        <f aca="false">H657*(1+IF(I$3&lt;=$O$2,$D657,$D657-($D657-$I$643)*MIN(I$3-$O$2,$Q$2)/$Q$2))</f>
        <v>3729.53671400476</v>
      </c>
      <c r="J657" s="15" t="n">
        <f aca="false">I657*(1+IF(J$3&lt;=$O$2,$D657,$D657-($D657-$I$643)*MIN(J$3-$O$2,$Q$2)/$Q$2))</f>
        <v>4028.35797622288</v>
      </c>
      <c r="K657" s="15" t="n">
        <f aca="false">J657*(1+IF(K$3&lt;=$O$2,$D657,$D657-($D657-$I$643)*MIN(K$3-$O$2,$Q$2)/$Q$2))</f>
        <v>4298.9313730501</v>
      </c>
      <c r="L657" s="15" t="n">
        <f aca="false">K657*(1+IF(L$3&lt;=$O$2,$D657,$D657-($D657-$I$643)*MIN(L$3-$O$2,$Q$2)/$Q$2))</f>
        <v>4531.98265608239</v>
      </c>
      <c r="M657" s="15" t="n">
        <f aca="false">L657*(1+IF(M$3&lt;=$O$2,$D657,$D657-($D657-$I$643)*MIN(M$3-$O$2,$Q$2)/$Q$2))</f>
        <v>4718.95287562466</v>
      </c>
      <c r="N657" s="15" t="n">
        <f aca="false">M657*(1+IF(N$3&lt;=$O$2,$D657,$D657-($D657-$I$643)*MIN(N$3-$O$2,$Q$2)/$Q$2))</f>
        <v>4852.49924200484</v>
      </c>
      <c r="O657" s="15" t="n">
        <f aca="false">SUMPRODUCT(E657:N657,1/(1+$F$643)^$E$3:$N$3)*$E$2</f>
        <v>10157.5859132926</v>
      </c>
      <c r="P657" s="15" t="n">
        <f aca="false">N657*$E$2*(1+$I$643)/($F$643-$I$643)/(1+$F$643)^$N$3</f>
        <v>10863.4922708286</v>
      </c>
      <c r="Q657" s="15" t="n">
        <f aca="false">O657+P657</f>
        <v>21021.0781841212</v>
      </c>
      <c r="R657" s="15" t="n">
        <f aca="false">Q657-$G$2+$I$2</f>
        <v>15669.5181841212</v>
      </c>
      <c r="S657" s="42" t="n">
        <f aca="false">R657/$K$2</f>
        <v>725.440656672278</v>
      </c>
      <c r="T657" s="43" t="n">
        <f aca="false">S657-$M$2</f>
        <v>0.440656672278124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0.0928955078125</v>
      </c>
      <c r="C658" s="25" t="n">
        <f aca="false">IF(T657&gt;0,D657,C657)</f>
        <v>0.09307861328125</v>
      </c>
      <c r="D658" s="41" t="n">
        <f aca="false">(B658+C658)/2</f>
        <v>0.092987060546875</v>
      </c>
      <c r="E658" s="15" t="n">
        <f aca="false">$C$2*(1+IF(E$3&lt;=$O$2,$D658,$D658-($D658-$I$643)*MIN(E$3-$O$2,$Q$2)/$Q$2))</f>
        <v>2612.23907470703</v>
      </c>
      <c r="F658" s="15" t="n">
        <f aca="false">E658*(1+IF(F$3&lt;=$O$2,$D658,$D658-($D658-$I$643)*MIN(F$3-$O$2,$Q$2)/$Q$2))</f>
        <v>2855.14350770973</v>
      </c>
      <c r="G658" s="15" t="n">
        <f aca="false">F658*(1+IF(G$3&lt;=$O$2,$D658,$D658-($D658-$I$643)*MIN(G$3-$O$2,$Q$2)/$Q$2))</f>
        <v>3120.63490993115</v>
      </c>
      <c r="H658" s="15" t="n">
        <f aca="false">G658*(1+IF(H$3&lt;=$O$2,$D658,$D658-($D658-$I$643)*MIN(H$3-$O$2,$Q$2)/$Q$2))</f>
        <v>3410.81357724561</v>
      </c>
      <c r="I658" s="15" t="n">
        <f aca="false">H658*(1+IF(I$3&lt;=$O$2,$D658,$D658-($D658-$I$643)*MIN(I$3-$O$2,$Q$2)/$Q$2))</f>
        <v>3727.97510586705</v>
      </c>
      <c r="J658" s="15" t="n">
        <f aca="false">I658*(1+IF(J$3&lt;=$O$2,$D658,$D658-($D658-$I$643)*MIN(J$3-$O$2,$Q$2)/$Q$2))</f>
        <v>4026.39820247546</v>
      </c>
      <c r="K658" s="15" t="n">
        <f aca="false">J658*(1+IF(K$3&lt;=$O$2,$D658,$D658-($D658-$I$643)*MIN(K$3-$O$2,$Q$2)/$Q$2))</f>
        <v>4296.61879019113</v>
      </c>
      <c r="L658" s="15" t="n">
        <f aca="false">K658*(1+IF(L$3&lt;=$O$2,$D658,$D658-($D658-$I$643)*MIN(L$3-$O$2,$Q$2)/$Q$2))</f>
        <v>4529.38735788471</v>
      </c>
      <c r="M658" s="15" t="n">
        <f aca="false">L658*(1+IF(M$3&lt;=$O$2,$D658,$D658-($D658-$I$643)*MIN(M$3-$O$2,$Q$2)/$Q$2))</f>
        <v>4716.1675709648</v>
      </c>
      <c r="N658" s="15" t="n">
        <f aca="false">M658*(1+IF(N$3&lt;=$O$2,$D658,$D658-($D658-$I$643)*MIN(N$3-$O$2,$Q$2)/$Q$2))</f>
        <v>4849.6351132231</v>
      </c>
      <c r="O658" s="15" t="n">
        <f aca="false">SUMPRODUCT(E658:N658,1/(1+$F$643)^$E$3:$N$3)*$E$2</f>
        <v>10153.624539723</v>
      </c>
      <c r="P658" s="15" t="n">
        <f aca="false">N658*$E$2*(1+$I$643)/($F$643-$I$643)/(1+$F$643)^$N$3</f>
        <v>10857.0802263683</v>
      </c>
      <c r="Q658" s="15" t="n">
        <f aca="false">O658+P658</f>
        <v>21010.7047660913</v>
      </c>
      <c r="R658" s="15" t="n">
        <f aca="false">Q658-$G$2+$I$2</f>
        <v>15659.1447660913</v>
      </c>
      <c r="S658" s="42" t="n">
        <f aca="false">R658/$K$2</f>
        <v>724.960405837562</v>
      </c>
      <c r="T658" s="43" t="n">
        <f aca="false">S658-$M$2</f>
        <v>-0.0395941624378793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0.092987060546875</v>
      </c>
      <c r="C659" s="25" t="n">
        <f aca="false">IF(T658&gt;0,D658,C658)</f>
        <v>0.09307861328125</v>
      </c>
      <c r="D659" s="41" t="n">
        <f aca="false">(B659+C659)/2</f>
        <v>0.0930328369140625</v>
      </c>
      <c r="E659" s="15" t="n">
        <f aca="false">$C$2*(1+IF(E$3&lt;=$O$2,$D659,$D659-($D659-$I$643)*MIN(E$3-$O$2,$Q$2)/$Q$2))</f>
        <v>2612.34848022461</v>
      </c>
      <c r="F659" s="15" t="n">
        <f aca="false">E659*(1+IF(F$3&lt;=$O$2,$D659,$D659-($D659-$I$643)*MIN(F$3-$O$2,$Q$2)/$Q$2))</f>
        <v>2855.38267034804</v>
      </c>
      <c r="G659" s="15" t="n">
        <f aca="false">F659*(1+IF(G$3&lt;=$O$2,$D659,$D659-($D659-$I$643)*MIN(G$3-$O$2,$Q$2)/$Q$2))</f>
        <v>3121.02702064577</v>
      </c>
      <c r="H659" s="15" t="n">
        <f aca="false">G659*(1+IF(H$3&lt;=$O$2,$D659,$D659-($D659-$I$643)*MIN(H$3-$O$2,$Q$2)/$Q$2))</f>
        <v>3411.3850184619</v>
      </c>
      <c r="I659" s="15" t="n">
        <f aca="false">H659*(1+IF(I$3&lt;=$O$2,$D659,$D659-($D659-$I$643)*MIN(I$3-$O$2,$Q$2)/$Q$2))</f>
        <v>3728.75584453554</v>
      </c>
      <c r="J659" s="15" t="n">
        <f aca="false">I659*(1+IF(J$3&lt;=$O$2,$D659,$D659-($D659-$I$643)*MIN(J$3-$O$2,$Q$2)/$Q$2))</f>
        <v>4027.37799011723</v>
      </c>
      <c r="K659" s="15" t="n">
        <f aca="false">J659*(1+IF(K$3&lt;=$O$2,$D659,$D659-($D659-$I$643)*MIN(K$3-$O$2,$Q$2)/$Q$2))</f>
        <v>4297.77494881288</v>
      </c>
      <c r="L659" s="15" t="n">
        <f aca="false">K659*(1+IF(L$3&lt;=$O$2,$D659,$D659-($D659-$I$643)*MIN(L$3-$O$2,$Q$2)/$Q$2))</f>
        <v>4530.68484580622</v>
      </c>
      <c r="M659" s="15" t="n">
        <f aca="false">L659*(1+IF(M$3&lt;=$O$2,$D659,$D659-($D659-$I$643)*MIN(M$3-$O$2,$Q$2)/$Q$2))</f>
        <v>4717.56004358906</v>
      </c>
      <c r="N659" s="15" t="n">
        <f aca="false">M659*(1+IF(N$3&lt;=$O$2,$D659,$D659-($D659-$I$643)*MIN(N$3-$O$2,$Q$2)/$Q$2))</f>
        <v>4851.06699282263</v>
      </c>
      <c r="O659" s="15" t="n">
        <f aca="false">SUMPRODUCT(E659:N659,1/(1+$F$643)^$E$3:$N$3)*$E$2</f>
        <v>10155.6050329815</v>
      </c>
      <c r="P659" s="15" t="n">
        <f aca="false">N659*$E$2*(1+$I$643)/($F$643-$I$643)/(1+$F$643)^$N$3</f>
        <v>10860.2858348984</v>
      </c>
      <c r="Q659" s="15" t="n">
        <f aca="false">O659+P659</f>
        <v>21015.8908678799</v>
      </c>
      <c r="R659" s="15" t="n">
        <f aca="false">Q659-$G$2+$I$2</f>
        <v>15664.3308678799</v>
      </c>
      <c r="S659" s="42" t="n">
        <f aca="false">R659/$K$2</f>
        <v>725.200503142586</v>
      </c>
      <c r="T659" s="43" t="n">
        <f aca="false">S659-$M$2</f>
        <v>0.200503142586285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0.092987060546875</v>
      </c>
      <c r="C660" s="25" t="n">
        <f aca="false">IF(T659&gt;0,D659,C659)</f>
        <v>0.0930328369140625</v>
      </c>
      <c r="D660" s="41" t="n">
        <f aca="false">(B660+C660)/2</f>
        <v>0.0930099487304688</v>
      </c>
      <c r="E660" s="15" t="n">
        <f aca="false">$C$2*(1+IF(E$3&lt;=$O$2,$D660,$D660-($D660-$I$643)*MIN(E$3-$O$2,$Q$2)/$Q$2))</f>
        <v>2612.29377746582</v>
      </c>
      <c r="F660" s="15" t="n">
        <f aca="false">E660*(1+IF(F$3&lt;=$O$2,$D660,$D660-($D660-$I$643)*MIN(F$3-$O$2,$Q$2)/$Q$2))</f>
        <v>2855.26308777684</v>
      </c>
      <c r="G660" s="15" t="n">
        <f aca="false">F660*(1+IF(G$3&lt;=$O$2,$D660,$D660-($D660-$I$643)*MIN(G$3-$O$2,$Q$2)/$Q$2))</f>
        <v>3120.83096118296</v>
      </c>
      <c r="H660" s="15" t="n">
        <f aca="false">G660*(1+IF(H$3&lt;=$O$2,$D660,$D660-($D660-$I$643)*MIN(H$3-$O$2,$Q$2)/$Q$2))</f>
        <v>3411.09928887905</v>
      </c>
      <c r="I660" s="15" t="n">
        <f aca="false">H660*(1+IF(I$3&lt;=$O$2,$D660,$D660-($D660-$I$643)*MIN(I$3-$O$2,$Q$2)/$Q$2))</f>
        <v>3728.36545885223</v>
      </c>
      <c r="J660" s="15" t="n">
        <f aca="false">I660*(1+IF(J$3&lt;=$O$2,$D660,$D660-($D660-$I$643)*MIN(J$3-$O$2,$Q$2)/$Q$2))</f>
        <v>4026.88807149037</v>
      </c>
      <c r="K660" s="15" t="n">
        <f aca="false">J660*(1+IF(K$3&lt;=$O$2,$D660,$D660-($D660-$I$643)*MIN(K$3-$O$2,$Q$2)/$Q$2))</f>
        <v>4297.19683630323</v>
      </c>
      <c r="L660" s="15" t="n">
        <f aca="false">K660*(1+IF(L$3&lt;=$O$2,$D660,$D660-($D660-$I$643)*MIN(L$3-$O$2,$Q$2)/$Q$2))</f>
        <v>4530.03606155538</v>
      </c>
      <c r="M660" s="15" t="n">
        <f aca="false">L660*(1+IF(M$3&lt;=$O$2,$D660,$D660-($D660-$I$643)*MIN(M$3-$O$2,$Q$2)/$Q$2))</f>
        <v>4716.86376235548</v>
      </c>
      <c r="N660" s="15" t="n">
        <f aca="false">M660*(1+IF(N$3&lt;=$O$2,$D660,$D660-($D660-$I$643)*MIN(N$3-$O$2,$Q$2)/$Q$2))</f>
        <v>4850.35100683014</v>
      </c>
      <c r="O660" s="15" t="n">
        <f aca="false">SUMPRODUCT(E660:N660,1/(1+$F$643)^$E$3:$N$3)*$E$2</f>
        <v>10154.6147379751</v>
      </c>
      <c r="P660" s="15" t="n">
        <f aca="false">N660*$E$2*(1+$I$643)/($F$643-$I$643)/(1+$F$643)^$N$3</f>
        <v>10858.6829272198</v>
      </c>
      <c r="Q660" s="15" t="n">
        <f aca="false">O660+P660</f>
        <v>21013.2976651949</v>
      </c>
      <c r="R660" s="15" t="n">
        <f aca="false">Q660-$G$2+$I$2</f>
        <v>15661.7376651949</v>
      </c>
      <c r="S660" s="42" t="n">
        <f aca="false">R660/$K$2</f>
        <v>725.080447462725</v>
      </c>
      <c r="T660" s="43" t="n">
        <f aca="false">S660-$M$2</f>
        <v>0.0804474627248055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0.092987060546875</v>
      </c>
      <c r="C661" s="25" t="n">
        <f aca="false">IF(T660&gt;0,D660,C660)</f>
        <v>0.0930099487304688</v>
      </c>
      <c r="D661" s="41" t="n">
        <f aca="false">(B661+C661)/2</f>
        <v>0.0929985046386719</v>
      </c>
      <c r="E661" s="15" t="n">
        <f aca="false">$C$2*(1+IF(E$3&lt;=$O$2,$D661,$D661-($D661-$I$643)*MIN(E$3-$O$2,$Q$2)/$Q$2))</f>
        <v>2612.26642608643</v>
      </c>
      <c r="F661" s="15" t="n">
        <f aca="false">E661*(1+IF(F$3&lt;=$O$2,$D661,$D661-($D661-$I$643)*MIN(F$3-$O$2,$Q$2)/$Q$2))</f>
        <v>2855.20329743027</v>
      </c>
      <c r="G661" s="15" t="n">
        <f aca="false">F661*(1+IF(G$3&lt;=$O$2,$D661,$D661-($D661-$I$643)*MIN(G$3-$O$2,$Q$2)/$Q$2))</f>
        <v>3120.73293453069</v>
      </c>
      <c r="H661" s="15" t="n">
        <f aca="false">G661*(1+IF(H$3&lt;=$O$2,$D661,$D661-($D661-$I$643)*MIN(H$3-$O$2,$Q$2)/$Q$2))</f>
        <v>3410.9564308187</v>
      </c>
      <c r="I661" s="15" t="n">
        <f aca="false">H661*(1+IF(I$3&lt;=$O$2,$D661,$D661-($D661-$I$643)*MIN(I$3-$O$2,$Q$2)/$Q$2))</f>
        <v>3728.1702782725</v>
      </c>
      <c r="J661" s="15" t="n">
        <f aca="false">I661*(1+IF(J$3&lt;=$O$2,$D661,$D661-($D661-$I$643)*MIN(J$3-$O$2,$Q$2)/$Q$2))</f>
        <v>4026.64313078167</v>
      </c>
      <c r="K661" s="15" t="n">
        <f aca="false">J661*(1+IF(K$3&lt;=$O$2,$D661,$D661-($D661-$I$643)*MIN(K$3-$O$2,$Q$2)/$Q$2))</f>
        <v>4296.90780494788</v>
      </c>
      <c r="L661" s="15" t="n">
        <f aca="false">K661*(1+IF(L$3&lt;=$O$2,$D661,$D661-($D661-$I$643)*MIN(L$3-$O$2,$Q$2)/$Q$2))</f>
        <v>4529.71169964806</v>
      </c>
      <c r="M661" s="15" t="n">
        <f aca="false">L661*(1+IF(M$3&lt;=$O$2,$D661,$D661-($D661-$I$643)*MIN(M$3-$O$2,$Q$2)/$Q$2))</f>
        <v>4716.5156554304</v>
      </c>
      <c r="N661" s="15" t="n">
        <f aca="false">M661*(1+IF(N$3&lt;=$O$2,$D661,$D661-($D661-$I$643)*MIN(N$3-$O$2,$Q$2)/$Q$2))</f>
        <v>4849.99304847908</v>
      </c>
      <c r="O661" s="15" t="n">
        <f aca="false">SUMPRODUCT(E661:N661,1/(1+$F$643)^$E$3:$N$3)*$E$2</f>
        <v>10154.1196267553</v>
      </c>
      <c r="P661" s="15" t="n">
        <f aca="false">N661*$E$2*(1+$I$643)/($F$643-$I$643)/(1+$F$643)^$N$3</f>
        <v>10857.8815509421</v>
      </c>
      <c r="Q661" s="15" t="n">
        <f aca="false">O661+P661</f>
        <v>21012.0011776974</v>
      </c>
      <c r="R661" s="15" t="n">
        <f aca="false">Q661-$G$2+$I$2</f>
        <v>15660.4411776974</v>
      </c>
      <c r="S661" s="42" t="n">
        <f aca="false">R661/$K$2</f>
        <v>725.020424893398</v>
      </c>
      <c r="T661" s="43" t="n">
        <f aca="false">S661-$M$2</f>
        <v>0.020424893398058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0.092987060546875</v>
      </c>
      <c r="C662" s="25" t="n">
        <f aca="false">IF(T661&gt;0,D661,C661)</f>
        <v>0.0929985046386719</v>
      </c>
      <c r="D662" s="41" t="n">
        <f aca="false">(B662+C662)/2</f>
        <v>0.0929927825927734</v>
      </c>
      <c r="E662" s="15" t="n">
        <f aca="false">$C$2*(1+IF(E$3&lt;=$O$2,$D662,$D662-($D662-$I$643)*MIN(E$3-$O$2,$Q$2)/$Q$2))</f>
        <v>2612.25275039673</v>
      </c>
      <c r="F662" s="15" t="n">
        <f aca="false">E662*(1+IF(F$3&lt;=$O$2,$D662,$D662-($D662-$I$643)*MIN(F$3-$O$2,$Q$2)/$Q$2))</f>
        <v>2855.17340249175</v>
      </c>
      <c r="G662" s="15" t="n">
        <f aca="false">F662*(1+IF(G$3&lt;=$O$2,$D662,$D662-($D662-$I$643)*MIN(G$3-$O$2,$Q$2)/$Q$2))</f>
        <v>3120.68392197433</v>
      </c>
      <c r="H662" s="15" t="n">
        <f aca="false">G662*(1+IF(H$3&lt;=$O$2,$D662,$D662-($D662-$I$643)*MIN(H$3-$O$2,$Q$2)/$Q$2))</f>
        <v>3410.88500347125</v>
      </c>
      <c r="I662" s="15" t="n">
        <f aca="false">H662*(1+IF(I$3&lt;=$O$2,$D662,$D662-($D662-$I$643)*MIN(I$3-$O$2,$Q$2)/$Q$2))</f>
        <v>3728.07269104801</v>
      </c>
      <c r="J662" s="15" t="n">
        <f aca="false">I662*(1+IF(J$3&lt;=$O$2,$D662,$D662-($D662-$I$643)*MIN(J$3-$O$2,$Q$2)/$Q$2))</f>
        <v>4026.52066507828</v>
      </c>
      <c r="K662" s="15" t="n">
        <f aca="false">J662*(1+IF(K$3&lt;=$O$2,$D662,$D662-($D662-$I$643)*MIN(K$3-$O$2,$Q$2)/$Q$2))</f>
        <v>4296.76329549473</v>
      </c>
      <c r="L662" s="15" t="n">
        <f aca="false">K662*(1+IF(L$3&lt;=$O$2,$D662,$D662-($D662-$I$643)*MIN(L$3-$O$2,$Q$2)/$Q$2))</f>
        <v>4529.54952624845</v>
      </c>
      <c r="M662" s="15" t="n">
        <f aca="false">L662*(1+IF(M$3&lt;=$O$2,$D662,$D662-($D662-$I$643)*MIN(M$3-$O$2,$Q$2)/$Q$2))</f>
        <v>4716.34161039024</v>
      </c>
      <c r="N662" s="15" t="n">
        <f aca="false">M662*(1+IF(N$3&lt;=$O$2,$D662,$D662-($D662-$I$643)*MIN(N$3-$O$2,$Q$2)/$Q$2))</f>
        <v>4849.81407796428</v>
      </c>
      <c r="O662" s="15" t="n">
        <f aca="false">SUMPRODUCT(E662:N662,1/(1+$F$643)^$E$3:$N$3)*$E$2</f>
        <v>10153.8720802158</v>
      </c>
      <c r="P662" s="15" t="n">
        <f aca="false">N662*$E$2*(1+$I$643)/($F$643-$I$643)/(1+$F$643)^$N$3</f>
        <v>10857.4808821924</v>
      </c>
      <c r="Q662" s="15" t="n">
        <f aca="false">O662+P662</f>
        <v>21011.3529624082</v>
      </c>
      <c r="R662" s="15" t="n">
        <f aca="false">Q662-$G$2+$I$2</f>
        <v>15659.7929624082</v>
      </c>
      <c r="S662" s="42" t="n">
        <f aca="false">R662/$K$2</f>
        <v>724.990414926305</v>
      </c>
      <c r="T662" s="43" t="n">
        <f aca="false">S662-$M$2</f>
        <v>-0.00958507369512063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0.0929927825927734</v>
      </c>
      <c r="C663" s="25" t="n">
        <f aca="false">IF(T662&gt;0,D662,C662)</f>
        <v>0.0929985046386719</v>
      </c>
      <c r="D663" s="41" t="n">
        <f aca="false">(B663+C663)/2</f>
        <v>0.0929956436157227</v>
      </c>
      <c r="E663" s="15" t="n">
        <f aca="false">$C$2*(1+IF(E$3&lt;=$O$2,$D663,$D663-($D663-$I$643)*MIN(E$3-$O$2,$Q$2)/$Q$2))</f>
        <v>2612.25958824158</v>
      </c>
      <c r="F663" s="15" t="n">
        <f aca="false">E663*(1+IF(F$3&lt;=$O$2,$D663,$D663-($D663-$I$643)*MIN(F$3-$O$2,$Q$2)/$Q$2))</f>
        <v>2855.18834994145</v>
      </c>
      <c r="G663" s="15" t="n">
        <f aca="false">F663*(1+IF(G$3&lt;=$O$2,$D663,$D663-($D663-$I$643)*MIN(G$3-$O$2,$Q$2)/$Q$2))</f>
        <v>3120.70842818836</v>
      </c>
      <c r="H663" s="15" t="n">
        <f aca="false">G663*(1+IF(H$3&lt;=$O$2,$D663,$D663-($D663-$I$643)*MIN(H$3-$O$2,$Q$2)/$Q$2))</f>
        <v>3410.92071700475</v>
      </c>
      <c r="I663" s="15" t="n">
        <f aca="false">H663*(1+IF(I$3&lt;=$O$2,$D663,$D663-($D663-$I$643)*MIN(I$3-$O$2,$Q$2)/$Q$2))</f>
        <v>3728.12148440481</v>
      </c>
      <c r="J663" s="15" t="n">
        <f aca="false">I663*(1+IF(J$3&lt;=$O$2,$D663,$D663-($D663-$I$643)*MIN(J$3-$O$2,$Q$2)/$Q$2))</f>
        <v>4026.5818975424</v>
      </c>
      <c r="K663" s="15" t="n">
        <f aca="false">J663*(1+IF(K$3&lt;=$O$2,$D663,$D663-($D663-$I$643)*MIN(K$3-$O$2,$Q$2)/$Q$2))</f>
        <v>4296.83554970261</v>
      </c>
      <c r="L663" s="15" t="n">
        <f aca="false">K663*(1+IF(L$3&lt;=$O$2,$D663,$D663-($D663-$I$643)*MIN(L$3-$O$2,$Q$2)/$Q$2))</f>
        <v>4529.63061231876</v>
      </c>
      <c r="M663" s="15" t="n">
        <f aca="false">L663*(1+IF(M$3&lt;=$O$2,$D663,$D663-($D663-$I$643)*MIN(M$3-$O$2,$Q$2)/$Q$2))</f>
        <v>4716.42863220847</v>
      </c>
      <c r="N663" s="15" t="n">
        <f aca="false">M663*(1+IF(N$3&lt;=$O$2,$D663,$D663-($D663-$I$643)*MIN(N$3-$O$2,$Q$2)/$Q$2))</f>
        <v>4849.90356249997</v>
      </c>
      <c r="O663" s="15" t="n">
        <f aca="false">SUMPRODUCT(E663:N663,1/(1+$F$643)^$E$3:$N$3)*$E$2</f>
        <v>10153.9958527297</v>
      </c>
      <c r="P663" s="15" t="n">
        <f aca="false">N663*$E$2*(1+$I$643)/($F$643-$I$643)/(1+$F$643)^$N$3</f>
        <v>10857.6812149515</v>
      </c>
      <c r="Q663" s="15" t="n">
        <f aca="false">O663+P663</f>
        <v>21011.6770676812</v>
      </c>
      <c r="R663" s="15" t="n">
        <f aca="false">Q663-$G$2+$I$2</f>
        <v>15660.1170676812</v>
      </c>
      <c r="S663" s="42" t="n">
        <f aca="false">R663/$K$2</f>
        <v>725.005419800056</v>
      </c>
      <c r="T663" s="43" t="n">
        <f aca="false">S663-$M$2</f>
        <v>0.00541980005630194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0.0929927825927734</v>
      </c>
      <c r="C664" s="25" t="n">
        <f aca="false">IF(T663&gt;0,D663,C663)</f>
        <v>0.0929956436157227</v>
      </c>
      <c r="D664" s="41" t="n">
        <f aca="false">(B664+C664)/2</f>
        <v>0.0929942131042481</v>
      </c>
      <c r="E664" s="15" t="n">
        <f aca="false">$C$2*(1+IF(E$3&lt;=$O$2,$D664,$D664-($D664-$I$643)*MIN(E$3-$O$2,$Q$2)/$Q$2))</f>
        <v>2612.25616931915</v>
      </c>
      <c r="F664" s="15" t="n">
        <f aca="false">E664*(1+IF(F$3&lt;=$O$2,$D664,$D664-($D664-$I$643)*MIN(F$3-$O$2,$Q$2)/$Q$2))</f>
        <v>2855.18087621171</v>
      </c>
      <c r="G664" s="15" t="n">
        <f aca="false">F664*(1+IF(G$3&lt;=$O$2,$D664,$D664-($D664-$I$643)*MIN(G$3-$O$2,$Q$2)/$Q$2))</f>
        <v>3120.69617506531</v>
      </c>
      <c r="H664" s="15" t="n">
        <f aca="false">G664*(1+IF(H$3&lt;=$O$2,$D664,$D664-($D664-$I$643)*MIN(H$3-$O$2,$Q$2)/$Q$2))</f>
        <v>3410.90286020295</v>
      </c>
      <c r="I664" s="15" t="n">
        <f aca="false">H664*(1+IF(I$3&lt;=$O$2,$D664,$D664-($D664-$I$643)*MIN(I$3-$O$2,$Q$2)/$Q$2))</f>
        <v>3728.09708766255</v>
      </c>
      <c r="J664" s="15" t="n">
        <f aca="false">I664*(1+IF(J$3&lt;=$O$2,$D664,$D664-($D664-$I$643)*MIN(J$3-$O$2,$Q$2)/$Q$2))</f>
        <v>4026.55128121345</v>
      </c>
      <c r="K664" s="15" t="n">
        <f aca="false">J664*(1+IF(K$3&lt;=$O$2,$D664,$D664-($D664-$I$643)*MIN(K$3-$O$2,$Q$2)/$Q$2))</f>
        <v>4296.799422469</v>
      </c>
      <c r="L664" s="15" t="n">
        <f aca="false">K664*(1+IF(L$3&lt;=$O$2,$D664,$D664-($D664-$I$643)*MIN(L$3-$O$2,$Q$2)/$Q$2))</f>
        <v>4529.59006912624</v>
      </c>
      <c r="M664" s="15" t="n">
        <f aca="false">L664*(1+IF(M$3&lt;=$O$2,$D664,$D664-($D664-$I$643)*MIN(M$3-$O$2,$Q$2)/$Q$2))</f>
        <v>4716.3851211239</v>
      </c>
      <c r="N664" s="15" t="n">
        <f aca="false">M664*(1+IF(N$3&lt;=$O$2,$D664,$D664-($D664-$I$643)*MIN(N$3-$O$2,$Q$2)/$Q$2))</f>
        <v>4849.8588200517</v>
      </c>
      <c r="O664" s="15" t="n">
        <f aca="false">SUMPRODUCT(E664:N664,1/(1+$F$643)^$E$3:$N$3)*$E$2</f>
        <v>10153.9339662838</v>
      </c>
      <c r="P664" s="15" t="n">
        <f aca="false">N664*$E$2*(1+$I$643)/($F$643-$I$643)/(1+$F$643)^$N$3</f>
        <v>10857.581048168</v>
      </c>
      <c r="Q664" s="15" t="n">
        <f aca="false">O664+P664</f>
        <v>21011.5150144518</v>
      </c>
      <c r="R664" s="15" t="n">
        <f aca="false">Q664-$G$2+$I$2</f>
        <v>15659.9550144518</v>
      </c>
      <c r="S664" s="42" t="n">
        <f aca="false">R664/$K$2</f>
        <v>724.997917335732</v>
      </c>
      <c r="T664" s="43" t="n">
        <f aca="false">S664-$M$2</f>
        <v>-0.00208266426795944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0.0929942131042481</v>
      </c>
      <c r="C665" s="25" t="n">
        <f aca="false">IF(T664&gt;0,D664,C664)</f>
        <v>0.0929956436157227</v>
      </c>
      <c r="D665" s="41" t="n">
        <f aca="false">(B665+C665)/2</f>
        <v>0.0929949283599854</v>
      </c>
      <c r="E665" s="15" t="n">
        <f aca="false">$C$2*(1+IF(E$3&lt;=$O$2,$D665,$D665-($D665-$I$643)*MIN(E$3-$O$2,$Q$2)/$Q$2))</f>
        <v>2612.25787878037</v>
      </c>
      <c r="F665" s="15" t="n">
        <f aca="false">E665*(1+IF(F$3&lt;=$O$2,$D665,$D665-($D665-$I$643)*MIN(F$3-$O$2,$Q$2)/$Q$2))</f>
        <v>2855.18461307535</v>
      </c>
      <c r="G665" s="15" t="n">
        <f aca="false">F665*(1+IF(G$3&lt;=$O$2,$D665,$D665-($D665-$I$643)*MIN(G$3-$O$2,$Q$2)/$Q$2))</f>
        <v>3120.70230162283</v>
      </c>
      <c r="H665" s="15" t="n">
        <f aca="false">G665*(1+IF(H$3&lt;=$O$2,$D665,$D665-($D665-$I$643)*MIN(H$3-$O$2,$Q$2)/$Q$2))</f>
        <v>3410.91178859508</v>
      </c>
      <c r="I665" s="15" t="n">
        <f aca="false">H665*(1+IF(I$3&lt;=$O$2,$D665,$D665-($D665-$I$643)*MIN(I$3-$O$2,$Q$2)/$Q$2))</f>
        <v>3728.10928601771</v>
      </c>
      <c r="J665" s="15" t="n">
        <f aca="false">I665*(1+IF(J$3&lt;=$O$2,$D665,$D665-($D665-$I$643)*MIN(J$3-$O$2,$Q$2)/$Q$2))</f>
        <v>4026.5665893537</v>
      </c>
      <c r="K665" s="15" t="n">
        <f aca="false">J665*(1+IF(K$3&lt;=$O$2,$D665,$D665-($D665-$I$643)*MIN(K$3-$O$2,$Q$2)/$Q$2))</f>
        <v>4296.81748605338</v>
      </c>
      <c r="L665" s="15" t="n">
        <f aca="false">K665*(1+IF(L$3&lt;=$O$2,$D665,$D665-($D665-$I$643)*MIN(L$3-$O$2,$Q$2)/$Q$2))</f>
        <v>4529.61034068316</v>
      </c>
      <c r="M665" s="15" t="n">
        <f aca="false">L665*(1+IF(M$3&lt;=$O$2,$D665,$D665-($D665-$I$643)*MIN(M$3-$O$2,$Q$2)/$Q$2))</f>
        <v>4716.40687662232</v>
      </c>
      <c r="N665" s="15" t="n">
        <f aca="false">M665*(1+IF(N$3&lt;=$O$2,$D665,$D665-($D665-$I$643)*MIN(N$3-$O$2,$Q$2)/$Q$2))</f>
        <v>4849.88119123073</v>
      </c>
      <c r="O665" s="15" t="n">
        <f aca="false">SUMPRODUCT(E665:N665,1/(1+$F$643)^$E$3:$N$3)*$E$2</f>
        <v>10153.9649094595</v>
      </c>
      <c r="P665" s="15" t="n">
        <f aca="false">N665*$E$2*(1+$I$643)/($F$643-$I$643)/(1+$F$643)^$N$3</f>
        <v>10857.6311314588</v>
      </c>
      <c r="Q665" s="15" t="n">
        <f aca="false">O665+P665</f>
        <v>21011.5960409183</v>
      </c>
      <c r="R665" s="15" t="n">
        <f aca="false">Q665-$G$2+$I$2</f>
        <v>15660.0360409183</v>
      </c>
      <c r="S665" s="42" t="n">
        <f aca="false">R665/$K$2</f>
        <v>725.001668561032</v>
      </c>
      <c r="T665" s="43" t="n">
        <f aca="false">S665-$M$2</f>
        <v>0.00166856103203372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0.0929942131042481</v>
      </c>
      <c r="C666" s="25" t="n">
        <f aca="false">IF(T665&gt;0,D665,C665)</f>
        <v>0.0929949283599854</v>
      </c>
      <c r="D666" s="41" t="n">
        <f aca="false">(B666+C666)/2</f>
        <v>0.0929945707321167</v>
      </c>
      <c r="E666" s="15" t="n">
        <f aca="false">$C$2*(1+IF(E$3&lt;=$O$2,$D666,$D666-($D666-$I$643)*MIN(E$3-$O$2,$Q$2)/$Q$2))</f>
        <v>2612.25702404976</v>
      </c>
      <c r="F666" s="15" t="n">
        <f aca="false">E666*(1+IF(F$3&lt;=$O$2,$D666,$D666-($D666-$I$643)*MIN(F$3-$O$2,$Q$2)/$Q$2))</f>
        <v>2855.18274464322</v>
      </c>
      <c r="G666" s="15" t="n">
        <f aca="false">F666*(1+IF(G$3&lt;=$O$2,$D666,$D666-($D666-$I$643)*MIN(G$3-$O$2,$Q$2)/$Q$2))</f>
        <v>3120.69923834307</v>
      </c>
      <c r="H666" s="15" t="n">
        <f aca="false">G666*(1+IF(H$3&lt;=$O$2,$D666,$D666-($D666-$I$643)*MIN(H$3-$O$2,$Q$2)/$Q$2))</f>
        <v>3410.90732439682</v>
      </c>
      <c r="I666" s="15" t="n">
        <f aca="false">H666*(1+IF(I$3&lt;=$O$2,$D666,$D666-($D666-$I$643)*MIN(I$3-$O$2,$Q$2)/$Q$2))</f>
        <v>3728.10318683614</v>
      </c>
      <c r="J666" s="15" t="n">
        <f aca="false">I666*(1+IF(J$3&lt;=$O$2,$D666,$D666-($D666-$I$643)*MIN(J$3-$O$2,$Q$2)/$Q$2))</f>
        <v>4026.55893527752</v>
      </c>
      <c r="K666" s="15" t="n">
        <f aca="false">J666*(1+IF(K$3&lt;=$O$2,$D666,$D666-($D666-$I$643)*MIN(K$3-$O$2,$Q$2)/$Q$2))</f>
        <v>4296.80845425309</v>
      </c>
      <c r="L666" s="15" t="n">
        <f aca="false">K666*(1+IF(L$3&lt;=$O$2,$D666,$D666-($D666-$I$643)*MIN(L$3-$O$2,$Q$2)/$Q$2))</f>
        <v>4529.60020489486</v>
      </c>
      <c r="M666" s="15" t="n">
        <f aca="false">L666*(1+IF(M$3&lt;=$O$2,$D666,$D666-($D666-$I$643)*MIN(M$3-$O$2,$Q$2)/$Q$2))</f>
        <v>4716.39599886214</v>
      </c>
      <c r="N666" s="15" t="n">
        <f aca="false">M666*(1+IF(N$3&lt;=$O$2,$D666,$D666-($D666-$I$643)*MIN(N$3-$O$2,$Q$2)/$Q$2))</f>
        <v>4849.87000562994</v>
      </c>
      <c r="O666" s="15" t="n">
        <f aca="false">SUMPRODUCT(E666:N666,1/(1+$F$643)^$E$3:$N$3)*$E$2</f>
        <v>10153.9494378598</v>
      </c>
      <c r="P666" s="15" t="n">
        <f aca="false">N666*$E$2*(1+$I$643)/($F$643-$I$643)/(1+$F$643)^$N$3</f>
        <v>10857.6060897882</v>
      </c>
      <c r="Q666" s="15" t="n">
        <f aca="false">O666+P666</f>
        <v>21011.555527648</v>
      </c>
      <c r="R666" s="15" t="n">
        <f aca="false">Q666-$G$2+$I$2</f>
        <v>15659.995527648</v>
      </c>
      <c r="S666" s="42" t="n">
        <f aca="false">R666/$K$2</f>
        <v>724.999792946667</v>
      </c>
      <c r="T666" s="43" t="n">
        <f aca="false">S666-$M$2</f>
        <v>-0.000207053333269869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0.0929945707321167</v>
      </c>
      <c r="C667" s="25" t="n">
        <f aca="false">IF(T666&gt;0,D666,C666)</f>
        <v>0.0929949283599854</v>
      </c>
      <c r="D667" s="41" t="n">
        <f aca="false">(B667+C667)/2</f>
        <v>0.092994749546051</v>
      </c>
      <c r="E667" s="15" t="n">
        <f aca="false">$C$2*(1+IF(E$3&lt;=$O$2,$D667,$D667-($D667-$I$643)*MIN(E$3-$O$2,$Q$2)/$Q$2))</f>
        <v>2612.25745141506</v>
      </c>
      <c r="F667" s="15" t="n">
        <f aca="false">E667*(1+IF(F$3&lt;=$O$2,$D667,$D667-($D667-$I$643)*MIN(F$3-$O$2,$Q$2)/$Q$2))</f>
        <v>2855.18367885921</v>
      </c>
      <c r="G667" s="15" t="n">
        <f aca="false">F667*(1+IF(G$3&lt;=$O$2,$D667,$D667-($D667-$I$643)*MIN(G$3-$O$2,$Q$2)/$Q$2))</f>
        <v>3120.7007699827</v>
      </c>
      <c r="H667" s="15" t="n">
        <f aca="false">G667*(1+IF(H$3&lt;=$O$2,$D667,$D667-($D667-$I$643)*MIN(H$3-$O$2,$Q$2)/$Q$2))</f>
        <v>3410.90955649541</v>
      </c>
      <c r="I667" s="15" t="n">
        <f aca="false">H667*(1+IF(I$3&lt;=$O$2,$D667,$D667-($D667-$I$643)*MIN(I$3-$O$2,$Q$2)/$Q$2))</f>
        <v>3728.10623642593</v>
      </c>
      <c r="J667" s="15" t="n">
        <f aca="false">I667*(1+IF(J$3&lt;=$O$2,$D667,$D667-($D667-$I$643)*MIN(J$3-$O$2,$Q$2)/$Q$2))</f>
        <v>4026.5627623141</v>
      </c>
      <c r="K667" s="15" t="n">
        <f aca="false">J667*(1+IF(K$3&lt;=$O$2,$D667,$D667-($D667-$I$643)*MIN(K$3-$O$2,$Q$2)/$Q$2))</f>
        <v>4296.81297015121</v>
      </c>
      <c r="L667" s="15" t="n">
        <f aca="false">K667*(1+IF(L$3&lt;=$O$2,$D667,$D667-($D667-$I$643)*MIN(L$3-$O$2,$Q$2)/$Q$2))</f>
        <v>4529.60527278655</v>
      </c>
      <c r="M667" s="15" t="n">
        <f aca="false">L667*(1+IF(M$3&lt;=$O$2,$D667,$D667-($D667-$I$643)*MIN(M$3-$O$2,$Q$2)/$Q$2))</f>
        <v>4716.40143773949</v>
      </c>
      <c r="N667" s="15" t="n">
        <f aca="false">M667*(1+IF(N$3&lt;=$O$2,$D667,$D667-($D667-$I$643)*MIN(N$3-$O$2,$Q$2)/$Q$2))</f>
        <v>4849.87559842751</v>
      </c>
      <c r="O667" s="15" t="n">
        <f aca="false">SUMPRODUCT(E667:N667,1/(1+$F$643)^$E$3:$N$3)*$E$2</f>
        <v>10153.9571736567</v>
      </c>
      <c r="P667" s="15" t="n">
        <f aca="false">N667*$E$2*(1+$I$643)/($F$643-$I$643)/(1+$F$643)^$N$3</f>
        <v>10857.6186106172</v>
      </c>
      <c r="Q667" s="15" t="n">
        <f aca="false">O667+P667</f>
        <v>21011.5757842739</v>
      </c>
      <c r="R667" s="15" t="n">
        <f aca="false">Q667-$G$2+$I$2</f>
        <v>15660.0157842739</v>
      </c>
      <c r="S667" s="42" t="n">
        <f aca="false">R667/$K$2</f>
        <v>725.00073075342</v>
      </c>
      <c r="T667" s="43" t="n">
        <f aca="false">S667-$M$2</f>
        <v>0.000730753420157271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0.0929945707321167</v>
      </c>
      <c r="C668" s="25" t="n">
        <f aca="false">IF(T667&gt;0,D667,C667)</f>
        <v>0.092994749546051</v>
      </c>
      <c r="D668" s="41" t="n">
        <f aca="false">(B668+C668)/2</f>
        <v>0.0929946601390839</v>
      </c>
      <c r="E668" s="15" t="n">
        <f aca="false">$C$2*(1+IF(E$3&lt;=$O$2,$D668,$D668-($D668-$I$643)*MIN(E$3-$O$2,$Q$2)/$Q$2))</f>
        <v>2612.25723773241</v>
      </c>
      <c r="F668" s="15" t="n">
        <f aca="false">E668*(1+IF(F$3&lt;=$O$2,$D668,$D668-($D668-$I$643)*MIN(F$3-$O$2,$Q$2)/$Q$2))</f>
        <v>2855.1832117512</v>
      </c>
      <c r="G668" s="15" t="n">
        <f aca="false">F668*(1+IF(G$3&lt;=$O$2,$D668,$D668-($D668-$I$643)*MIN(G$3-$O$2,$Q$2)/$Q$2))</f>
        <v>3120.70000416282</v>
      </c>
      <c r="H668" s="15" t="n">
        <f aca="false">G668*(1+IF(H$3&lt;=$O$2,$D668,$D668-($D668-$I$643)*MIN(H$3-$O$2,$Q$2)/$Q$2))</f>
        <v>3410.90844044598</v>
      </c>
      <c r="I668" s="15" t="n">
        <f aca="false">H668*(1+IF(I$3&lt;=$O$2,$D668,$D668-($D668-$I$643)*MIN(I$3-$O$2,$Q$2)/$Q$2))</f>
        <v>3728.10471163078</v>
      </c>
      <c r="J668" s="15" t="n">
        <f aca="false">I668*(1+IF(J$3&lt;=$O$2,$D668,$D668-($D668-$I$643)*MIN(J$3-$O$2,$Q$2)/$Q$2))</f>
        <v>4026.56084879543</v>
      </c>
      <c r="K668" s="15" t="n">
        <f aca="false">J668*(1+IF(K$3&lt;=$O$2,$D668,$D668-($D668-$I$643)*MIN(K$3-$O$2,$Q$2)/$Q$2))</f>
        <v>4296.81071220164</v>
      </c>
      <c r="L668" s="15" t="n">
        <f aca="false">K668*(1+IF(L$3&lt;=$O$2,$D668,$D668-($D668-$I$643)*MIN(L$3-$O$2,$Q$2)/$Q$2))</f>
        <v>4529.60273884009</v>
      </c>
      <c r="M668" s="15" t="n">
        <f aca="false">L668*(1+IF(M$3&lt;=$O$2,$D668,$D668-($D668-$I$643)*MIN(M$3-$O$2,$Q$2)/$Q$2))</f>
        <v>4716.39871830013</v>
      </c>
      <c r="N668" s="15" t="n">
        <f aca="false">M668*(1+IF(N$3&lt;=$O$2,$D668,$D668-($D668-$I$643)*MIN(N$3-$O$2,$Q$2)/$Q$2))</f>
        <v>4849.87280202802</v>
      </c>
      <c r="O668" s="15" t="n">
        <f aca="false">SUMPRODUCT(E668:N668,1/(1+$F$643)^$E$3:$N$3)*$E$2</f>
        <v>10153.9533057575</v>
      </c>
      <c r="P668" s="15" t="n">
        <f aca="false">N668*$E$2*(1+$I$643)/($F$643-$I$643)/(1+$F$643)^$N$3</f>
        <v>10857.6123502011</v>
      </c>
      <c r="Q668" s="15" t="n">
        <f aca="false">O668+P668</f>
        <v>21011.5656559586</v>
      </c>
      <c r="R668" s="15" t="n">
        <f aca="false">Q668-$G$2+$I$2</f>
        <v>15660.0056559586</v>
      </c>
      <c r="S668" s="42" t="n">
        <f aca="false">R668/$K$2</f>
        <v>725.000261849937</v>
      </c>
      <c r="T668" s="43" t="n">
        <f aca="false">S668-$M$2</f>
        <v>0.000261849936464387</v>
      </c>
    </row>
    <row r="670" customFormat="false" ht="15" hidden="false" customHeight="false" outlineLevel="0" collapsed="false">
      <c r="A670" s="38" t="s">
        <v>205</v>
      </c>
      <c r="E670" s="5" t="s">
        <v>11</v>
      </c>
      <c r="F670" s="12" t="n">
        <f aca="false">Sensitivity!$B$14</f>
        <v>0.106972178572932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162</v>
      </c>
      <c r="B671" s="28" t="s">
        <v>163</v>
      </c>
      <c r="C671" s="28" t="s">
        <v>164</v>
      </c>
      <c r="D671" s="28" t="s">
        <v>165</v>
      </c>
      <c r="E671" s="28" t="s">
        <v>166</v>
      </c>
      <c r="F671" s="28" t="s">
        <v>167</v>
      </c>
      <c r="G671" s="28" t="s">
        <v>168</v>
      </c>
      <c r="H671" s="28" t="s">
        <v>169</v>
      </c>
      <c r="I671" s="28" t="s">
        <v>170</v>
      </c>
      <c r="J671" s="28" t="s">
        <v>171</v>
      </c>
      <c r="K671" s="28" t="s">
        <v>172</v>
      </c>
      <c r="L671" s="28" t="s">
        <v>173</v>
      </c>
      <c r="M671" s="28" t="s">
        <v>174</v>
      </c>
      <c r="N671" s="28" t="s">
        <v>175</v>
      </c>
      <c r="O671" s="28" t="s">
        <v>176</v>
      </c>
      <c r="P671" s="28" t="s">
        <v>177</v>
      </c>
      <c r="Q671" s="28" t="s">
        <v>178</v>
      </c>
      <c r="R671" s="28" t="s">
        <v>179</v>
      </c>
      <c r="S671" s="28" t="s">
        <v>180</v>
      </c>
      <c r="T671" s="28" t="s">
        <v>181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2987.5</v>
      </c>
      <c r="F672" s="15" t="n">
        <f aca="false">E672*(1+IF(F$3&lt;=$O$2,$D672,$D672-($D672-$I$670)*MIN(F$3-$O$2,$Q$2)/$Q$2))</f>
        <v>3734.375</v>
      </c>
      <c r="G672" s="15" t="n">
        <f aca="false">F672*(1+IF(G$3&lt;=$O$2,$D672,$D672-($D672-$I$670)*MIN(G$3-$O$2,$Q$2)/$Q$2))</f>
        <v>4667.96875</v>
      </c>
      <c r="H672" s="15" t="n">
        <f aca="false">G672*(1+IF(H$3&lt;=$O$2,$D672,$D672-($D672-$I$670)*MIN(H$3-$O$2,$Q$2)/$Q$2))</f>
        <v>5834.9609375</v>
      </c>
      <c r="I672" s="15" t="n">
        <f aca="false">H672*(1+IF(I$3&lt;=$O$2,$D672,$D672-($D672-$I$670)*MIN(I$3-$O$2,$Q$2)/$Q$2))</f>
        <v>7293.701171875</v>
      </c>
      <c r="J672" s="15" t="n">
        <f aca="false">I672*(1+IF(J$3&lt;=$O$2,$D672,$D672-($D672-$I$670)*MIN(J$3-$O$2,$Q$2)/$Q$2))</f>
        <v>8801.01745605469</v>
      </c>
      <c r="K672" s="15" t="n">
        <f aca="false">J672*(1+IF(K$3&lt;=$O$2,$D672,$D672-($D672-$I$670)*MIN(K$3-$O$2,$Q$2)/$Q$2))</f>
        <v>10238.3996269775</v>
      </c>
      <c r="L672" s="15" t="n">
        <f aca="false">K672*(1+IF(L$3&lt;=$O$2,$D672,$D672-($D672-$I$670)*MIN(L$3-$O$2,$Q$2)/$Q$2))</f>
        <v>11466.8028142223</v>
      </c>
      <c r="M672" s="15" t="n">
        <f aca="false">L672*(1+IF(M$3&lt;=$O$2,$D672,$D672-($D672-$I$670)*MIN(M$3-$O$2,$Q$2)/$Q$2))</f>
        <v>12345.6185819043</v>
      </c>
      <c r="N672" s="15" t="n">
        <f aca="false">M672*(1+IF(N$3&lt;=$O$2,$D672,$D672-($D672-$I$670)*MIN(N$3-$O$2,$Q$2)/$Q$2))</f>
        <v>12756.7276806817</v>
      </c>
      <c r="O672" s="15" t="n">
        <f aca="false">SUMPRODUCT(E672:N672,1/(1+$F$670)^$E$3:$N$3)*$E$2</f>
        <v>19837.9583724324</v>
      </c>
      <c r="P672" s="15" t="n">
        <f aca="false">N672*$E$2*(1+$I$670)/($F$670-$I$670)/(1+$F$670)^$N$3</f>
        <v>30645.5574614097</v>
      </c>
      <c r="Q672" s="15" t="n">
        <f aca="false">O672+P672</f>
        <v>50483.5158338421</v>
      </c>
      <c r="R672" s="15" t="n">
        <f aca="false">Q672-$G$2+$I$2</f>
        <v>45131.9558338421</v>
      </c>
      <c r="S672" s="42" t="n">
        <f aca="false">R672/$K$2</f>
        <v>2089.44239971491</v>
      </c>
      <c r="T672" s="43" t="n">
        <f aca="false">S672-$M$2</f>
        <v>1364.44239971491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2091.25</v>
      </c>
      <c r="F673" s="15" t="n">
        <f aca="false">E673*(1+IF(F$3&lt;=$O$2,$D673,$D673-($D673-$I$670)*MIN(F$3-$O$2,$Q$2)/$Q$2))</f>
        <v>1829.84375</v>
      </c>
      <c r="G673" s="15" t="n">
        <f aca="false">F673*(1+IF(G$3&lt;=$O$2,$D673,$D673-($D673-$I$670)*MIN(G$3-$O$2,$Q$2)/$Q$2))</f>
        <v>1601.11328125</v>
      </c>
      <c r="H673" s="15" t="n">
        <f aca="false">G673*(1+IF(H$3&lt;=$O$2,$D673,$D673-($D673-$I$670)*MIN(H$3-$O$2,$Q$2)/$Q$2))</f>
        <v>1400.97412109375</v>
      </c>
      <c r="I673" s="15" t="n">
        <f aca="false">H673*(1+IF(I$3&lt;=$O$2,$D673,$D673-($D673-$I$670)*MIN(I$3-$O$2,$Q$2)/$Q$2))</f>
        <v>1225.85235595703</v>
      </c>
      <c r="J673" s="15" t="n">
        <f aca="false">I673*(1+IF(J$3&lt;=$O$2,$D673,$D673-($D673-$I$670)*MIN(J$3-$O$2,$Q$2)/$Q$2))</f>
        <v>1111.431297052</v>
      </c>
      <c r="K673" s="15" t="n">
        <f aca="false">J673*(1+IF(K$3&lt;=$O$2,$D673,$D673-($D673-$I$670)*MIN(K$3-$O$2,$Q$2)/$Q$2))</f>
        <v>1042.87821464983</v>
      </c>
      <c r="L673" s="15" t="n">
        <f aca="false">K673*(1+IF(L$3&lt;=$O$2,$D673,$D673-($D673-$I$670)*MIN(L$3-$O$2,$Q$2)/$Q$2))</f>
        <v>1011.57101064605</v>
      </c>
      <c r="M673" s="15" t="n">
        <f aca="false">L673*(1+IF(M$3&lt;=$O$2,$D673,$D673-($D673-$I$670)*MIN(M$3-$O$2,$Q$2)/$Q$2))</f>
        <v>1013.22998710351</v>
      </c>
      <c r="N673" s="15" t="n">
        <f aca="false">M673*(1+IF(N$3&lt;=$O$2,$D673,$D673-($D673-$I$670)*MIN(N$3-$O$2,$Q$2)/$Q$2))</f>
        <v>1046.97054567405</v>
      </c>
      <c r="O673" s="15" t="n">
        <f aca="false">SUMPRODUCT(E673:N673,1/(1+$F$670)^$E$3:$N$3)*$E$2</f>
        <v>4061.66997640043</v>
      </c>
      <c r="P673" s="15" t="n">
        <f aca="false">N673*$E$2*(1+$I$670)/($F$670-$I$670)/(1+$F$670)^$N$3</f>
        <v>2515.1431323917</v>
      </c>
      <c r="Q673" s="15" t="n">
        <f aca="false">O673+P673</f>
        <v>6576.81310879212</v>
      </c>
      <c r="R673" s="15" t="n">
        <f aca="false">Q673-$G$2+$I$2</f>
        <v>1225.25310879212</v>
      </c>
      <c r="S673" s="42" t="n">
        <f aca="false">R673/$K$2</f>
        <v>56.7246809625983</v>
      </c>
      <c r="T673" s="43" t="n">
        <f aca="false">S673-$M$2</f>
        <v>-668.275319037402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2539.375</v>
      </c>
      <c r="F674" s="15" t="n">
        <f aca="false">E674*(1+IF(F$3&lt;=$O$2,$D674,$D674-($D674-$I$670)*MIN(F$3-$O$2,$Q$2)/$Q$2))</f>
        <v>2698.0859375</v>
      </c>
      <c r="G674" s="15" t="n">
        <f aca="false">F674*(1+IF(G$3&lt;=$O$2,$D674,$D674-($D674-$I$670)*MIN(G$3-$O$2,$Q$2)/$Q$2))</f>
        <v>2866.71630859375</v>
      </c>
      <c r="H674" s="15" t="n">
        <f aca="false">G674*(1+IF(H$3&lt;=$O$2,$D674,$D674-($D674-$I$670)*MIN(H$3-$O$2,$Q$2)/$Q$2))</f>
        <v>3045.88607788086</v>
      </c>
      <c r="I674" s="15" t="n">
        <f aca="false">H674*(1+IF(I$3&lt;=$O$2,$D674,$D674-($D674-$I$670)*MIN(I$3-$O$2,$Q$2)/$Q$2))</f>
        <v>3236.25395774841</v>
      </c>
      <c r="J674" s="15" t="n">
        <f aca="false">I674*(1+IF(J$3&lt;=$O$2,$D674,$D674-($D674-$I$670)*MIN(J$3-$O$2,$Q$2)/$Q$2))</f>
        <v>3419.62010699444</v>
      </c>
      <c r="K674" s="15" t="n">
        <f aca="false">J674*(1+IF(K$3&lt;=$O$2,$D674,$D674-($D674-$I$670)*MIN(K$3-$O$2,$Q$2)/$Q$2))</f>
        <v>3593.4052008319</v>
      </c>
      <c r="L674" s="15" t="n">
        <f aca="false">K674*(1+IF(L$3&lt;=$O$2,$D674,$D674-($D674-$I$670)*MIN(L$3-$O$2,$Q$2)/$Q$2))</f>
        <v>3755.03656676531</v>
      </c>
      <c r="M674" s="15" t="n">
        <f aca="false">L674*(1+IF(M$3&lt;=$O$2,$D674,$D674-($D674-$I$670)*MIN(M$3-$O$2,$Q$2)/$Q$2))</f>
        <v>3902.00869798851</v>
      </c>
      <c r="N674" s="15" t="n">
        <f aca="false">M674*(1+IF(N$3&lt;=$O$2,$D674,$D674-($D674-$I$670)*MIN(N$3-$O$2,$Q$2)/$Q$2))</f>
        <v>4031.94558763153</v>
      </c>
      <c r="O674" s="15" t="n">
        <f aca="false">SUMPRODUCT(E674:N674,1/(1+$F$670)^$E$3:$N$3)*$E$2</f>
        <v>8941.85366992369</v>
      </c>
      <c r="P674" s="15" t="n">
        <f aca="false">N674*$E$2*(1+$I$670)/($F$670-$I$670)/(1+$F$670)^$N$3</f>
        <v>9685.96518479857</v>
      </c>
      <c r="Q674" s="15" t="n">
        <f aca="false">O674+P674</f>
        <v>18627.8188547223</v>
      </c>
      <c r="R674" s="15" t="n">
        <f aca="false">Q674-$G$2+$I$2</f>
        <v>13276.2588547223</v>
      </c>
      <c r="S674" s="42" t="n">
        <f aca="false">R674/$K$2</f>
        <v>614.641613644549</v>
      </c>
      <c r="T674" s="43" t="n">
        <f aca="false">S674-$M$2</f>
        <v>-110.358386355451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0.0625</v>
      </c>
      <c r="C675" s="25" t="n">
        <f aca="false">IF(T674&gt;0,D674,C674)</f>
        <v>0.25</v>
      </c>
      <c r="D675" s="41" t="n">
        <f aca="false">(B675+C675)/2</f>
        <v>0.15625</v>
      </c>
      <c r="E675" s="15" t="n">
        <f aca="false">$C$2*(1+IF(E$3&lt;=$O$2,$D675,$D675-($D675-$I$670)*MIN(E$3-$O$2,$Q$2)/$Q$2))</f>
        <v>2763.4375</v>
      </c>
      <c r="F675" s="15" t="n">
        <f aca="false">E675*(1+IF(F$3&lt;=$O$2,$D675,$D675-($D675-$I$670)*MIN(F$3-$O$2,$Q$2)/$Q$2))</f>
        <v>3195.224609375</v>
      </c>
      <c r="G675" s="15" t="n">
        <f aca="false">F675*(1+IF(G$3&lt;=$O$2,$D675,$D675-($D675-$I$670)*MIN(G$3-$O$2,$Q$2)/$Q$2))</f>
        <v>3694.47845458984</v>
      </c>
      <c r="H675" s="15" t="n">
        <f aca="false">G675*(1+IF(H$3&lt;=$O$2,$D675,$D675-($D675-$I$670)*MIN(H$3-$O$2,$Q$2)/$Q$2))</f>
        <v>4271.74071311951</v>
      </c>
      <c r="I675" s="15" t="n">
        <f aca="false">H675*(1+IF(I$3&lt;=$O$2,$D675,$D675-($D675-$I$670)*MIN(I$3-$O$2,$Q$2)/$Q$2))</f>
        <v>4939.20019954443</v>
      </c>
      <c r="J675" s="15" t="n">
        <f aca="false">I675*(1+IF(J$3&lt;=$O$2,$D675,$D675-($D675-$I$670)*MIN(J$3-$O$2,$Q$2)/$Q$2))</f>
        <v>5589.49529781645</v>
      </c>
      <c r="K675" s="15" t="n">
        <f aca="false">J675*(1+IF(K$3&lt;=$O$2,$D675,$D675-($D675-$I$670)*MIN(K$3-$O$2,$Q$2)/$Q$2))</f>
        <v>6187.96255935366</v>
      </c>
      <c r="L675" s="15" t="n">
        <f aca="false">K675*(1+IF(L$3&lt;=$O$2,$D675,$D675-($D675-$I$670)*MIN(L$3-$O$2,$Q$2)/$Q$2))</f>
        <v>6698.34571124915</v>
      </c>
      <c r="M675" s="15" t="n">
        <f aca="false">L675*(1+IF(M$3&lt;=$O$2,$D675,$D675-($D675-$I$670)*MIN(M$3-$O$2,$Q$2)/$Q$2))</f>
        <v>7086.11294447336</v>
      </c>
      <c r="N675" s="15" t="n">
        <f aca="false">M675*(1+IF(N$3&lt;=$O$2,$D675,$D675-($D675-$I$670)*MIN(N$3-$O$2,$Q$2)/$Q$2))</f>
        <v>7322.08050552432</v>
      </c>
      <c r="O675" s="15" t="n">
        <f aca="false">SUMPRODUCT(E675:N675,1/(1+$F$670)^$E$3:$N$3)*$E$2</f>
        <v>13335.4474683194</v>
      </c>
      <c r="P675" s="15" t="n">
        <f aca="false">N675*$E$2*(1+$I$670)/($F$670-$I$670)/(1+$F$670)^$N$3</f>
        <v>17589.8744949239</v>
      </c>
      <c r="Q675" s="15" t="n">
        <f aca="false">O675+P675</f>
        <v>30925.3219632433</v>
      </c>
      <c r="R675" s="15" t="n">
        <f aca="false">Q675-$G$2+$I$2</f>
        <v>25573.7619632433</v>
      </c>
      <c r="S675" s="42" t="n">
        <f aca="false">R675/$K$2</f>
        <v>1183.97046126127</v>
      </c>
      <c r="T675" s="43" t="n">
        <f aca="false">S675-$M$2</f>
        <v>458.970461261265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0.0625</v>
      </c>
      <c r="C676" s="25" t="n">
        <f aca="false">IF(T675&gt;0,D675,C675)</f>
        <v>0.15625</v>
      </c>
      <c r="D676" s="41" t="n">
        <f aca="false">(B676+C676)/2</f>
        <v>0.109375</v>
      </c>
      <c r="E676" s="15" t="n">
        <f aca="false">$C$2*(1+IF(E$3&lt;=$O$2,$D676,$D676-($D676-$I$670)*MIN(E$3-$O$2,$Q$2)/$Q$2))</f>
        <v>2651.40625</v>
      </c>
      <c r="F676" s="15" t="n">
        <f aca="false">E676*(1+IF(F$3&lt;=$O$2,$D676,$D676-($D676-$I$670)*MIN(F$3-$O$2,$Q$2)/$Q$2))</f>
        <v>2941.40380859375</v>
      </c>
      <c r="G676" s="15" t="n">
        <f aca="false">F676*(1+IF(G$3&lt;=$O$2,$D676,$D676-($D676-$I$670)*MIN(G$3-$O$2,$Q$2)/$Q$2))</f>
        <v>3263.11985015869</v>
      </c>
      <c r="H676" s="15" t="n">
        <f aca="false">G676*(1+IF(H$3&lt;=$O$2,$D676,$D676-($D676-$I$670)*MIN(H$3-$O$2,$Q$2)/$Q$2))</f>
        <v>3620.0235837698</v>
      </c>
      <c r="I676" s="15" t="n">
        <f aca="false">H676*(1+IF(I$3&lt;=$O$2,$D676,$D676-($D676-$I$670)*MIN(I$3-$O$2,$Q$2)/$Q$2))</f>
        <v>4015.96366324462</v>
      </c>
      <c r="J676" s="15" t="n">
        <f aca="false">I676*(1+IF(J$3&lt;=$O$2,$D676,$D676-($D676-$I$670)*MIN(J$3-$O$2,$Q$2)/$Q$2))</f>
        <v>4394.10680177573</v>
      </c>
      <c r="K676" s="15" t="n">
        <f aca="false">J676*(1+IF(K$3&lt;=$O$2,$D676,$D676-($D676-$I$670)*MIN(K$3-$O$2,$Q$2)/$Q$2))</f>
        <v>4740.99956324192</v>
      </c>
      <c r="L676" s="15" t="n">
        <f aca="false">K676*(1+IF(L$3&lt;=$O$2,$D676,$D676-($D676-$I$670)*MIN(L$3-$O$2,$Q$2)/$Q$2))</f>
        <v>5043.14346540733</v>
      </c>
      <c r="M676" s="15" t="n">
        <f aca="false">L676*(1+IF(M$3&lt;=$O$2,$D676,$D676-($D676-$I$670)*MIN(M$3-$O$2,$Q$2)/$Q$2))</f>
        <v>5287.81157063156</v>
      </c>
      <c r="N676" s="15" t="n">
        <f aca="false">M676*(1+IF(N$3&lt;=$O$2,$D676,$D676-($D676-$I$670)*MIN(N$3-$O$2,$Q$2)/$Q$2))</f>
        <v>5463.8956959336</v>
      </c>
      <c r="O676" s="15" t="n">
        <f aca="false">SUMPRODUCT(E676:N676,1/(1+$F$670)^$E$3:$N$3)*$E$2</f>
        <v>10920.5540003512</v>
      </c>
      <c r="P676" s="15" t="n">
        <f aca="false">N676*$E$2*(1+$I$670)/($F$670-$I$670)/(1+$F$670)^$N$3</f>
        <v>13125.9468497123</v>
      </c>
      <c r="Q676" s="15" t="n">
        <f aca="false">O676+P676</f>
        <v>24046.5008500635</v>
      </c>
      <c r="R676" s="15" t="n">
        <f aca="false">Q676-$G$2+$I$2</f>
        <v>18694.9408500635</v>
      </c>
      <c r="S676" s="42" t="n">
        <f aca="false">R676/$K$2</f>
        <v>865.506520836274</v>
      </c>
      <c r="T676" s="43" t="n">
        <f aca="false">S676-$M$2</f>
        <v>140.506520836273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0.0625</v>
      </c>
      <c r="C677" s="25" t="n">
        <f aca="false">IF(T676&gt;0,D676,C676)</f>
        <v>0.109375</v>
      </c>
      <c r="D677" s="41" t="n">
        <f aca="false">(B677+C677)/2</f>
        <v>0.0859375</v>
      </c>
      <c r="E677" s="15" t="n">
        <f aca="false">$C$2*(1+IF(E$3&lt;=$O$2,$D677,$D677-($D677-$I$670)*MIN(E$3-$O$2,$Q$2)/$Q$2))</f>
        <v>2595.390625</v>
      </c>
      <c r="F677" s="15" t="n">
        <f aca="false">E677*(1+IF(F$3&lt;=$O$2,$D677,$D677-($D677-$I$670)*MIN(F$3-$O$2,$Q$2)/$Q$2))</f>
        <v>2818.43200683594</v>
      </c>
      <c r="G677" s="15" t="n">
        <f aca="false">F677*(1+IF(G$3&lt;=$O$2,$D677,$D677-($D677-$I$670)*MIN(G$3-$O$2,$Q$2)/$Q$2))</f>
        <v>3060.6410074234</v>
      </c>
      <c r="H677" s="15" t="n">
        <f aca="false">G677*(1+IF(H$3&lt;=$O$2,$D677,$D677-($D677-$I$670)*MIN(H$3-$O$2,$Q$2)/$Q$2))</f>
        <v>3323.66484399885</v>
      </c>
      <c r="I677" s="15" t="n">
        <f aca="false">H677*(1+IF(I$3&lt;=$O$2,$D677,$D677-($D677-$I$670)*MIN(I$3-$O$2,$Q$2)/$Q$2))</f>
        <v>3609.29229153</v>
      </c>
      <c r="J677" s="15" t="n">
        <f aca="false">I677*(1+IF(J$3&lt;=$O$2,$D677,$D677-($D677-$I$670)*MIN(J$3-$O$2,$Q$2)/$Q$2))</f>
        <v>3881.46902323428</v>
      </c>
      <c r="K677" s="15" t="n">
        <f aca="false">J677*(1+IF(K$3&lt;=$O$2,$D677,$D677-($D677-$I$670)*MIN(K$3-$O$2,$Q$2)/$Q$2))</f>
        <v>4133.30843713428</v>
      </c>
      <c r="L677" s="15" t="n">
        <f aca="false">K677*(1+IF(L$3&lt;=$O$2,$D677,$D677-($D677-$I$670)*MIN(L$3-$O$2,$Q$2)/$Q$2))</f>
        <v>4357.97441723471</v>
      </c>
      <c r="M677" s="15" t="n">
        <f aca="false">L677*(1+IF(M$3&lt;=$O$2,$D677,$D677-($D677-$I$670)*MIN(M$3-$O$2,$Q$2)/$Q$2))</f>
        <v>4548.97354100606</v>
      </c>
      <c r="N677" s="15" t="n">
        <f aca="false">M677*(1+IF(N$3&lt;=$O$2,$D677,$D677-($D677-$I$670)*MIN(N$3-$O$2,$Q$2)/$Q$2))</f>
        <v>4700.45435992157</v>
      </c>
      <c r="O677" s="15" t="n">
        <f aca="false">SUMPRODUCT(E677:N677,1/(1+$F$670)^$E$3:$N$3)*$E$2</f>
        <v>9881.61413553595</v>
      </c>
      <c r="P677" s="15" t="n">
        <f aca="false">N677*$E$2*(1+$I$670)/($F$670-$I$670)/(1+$F$670)^$N$3</f>
        <v>11291.9275058172</v>
      </c>
      <c r="Q677" s="15" t="n">
        <f aca="false">O677+P677</f>
        <v>21173.5416413532</v>
      </c>
      <c r="R677" s="15" t="n">
        <f aca="false">Q677-$G$2+$I$2</f>
        <v>15821.9816413532</v>
      </c>
      <c r="S677" s="42" t="n">
        <f aca="false">R677/$K$2</f>
        <v>732.499150062648</v>
      </c>
      <c r="T677" s="43" t="n">
        <f aca="false">S677-$M$2</f>
        <v>7.4991500626478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0.0625</v>
      </c>
      <c r="C678" s="25" t="n">
        <f aca="false">IF(T677&gt;0,D677,C677)</f>
        <v>0.0859375</v>
      </c>
      <c r="D678" s="41" t="n">
        <f aca="false">(B678+C678)/2</f>
        <v>0.07421875</v>
      </c>
      <c r="E678" s="15" t="n">
        <f aca="false">$C$2*(1+IF(E$3&lt;=$O$2,$D678,$D678-($D678-$I$670)*MIN(E$3-$O$2,$Q$2)/$Q$2))</f>
        <v>2567.3828125</v>
      </c>
      <c r="F678" s="15" t="n">
        <f aca="false">E678*(1+IF(F$3&lt;=$O$2,$D678,$D678-($D678-$I$670)*MIN(F$3-$O$2,$Q$2)/$Q$2))</f>
        <v>2757.93075561523</v>
      </c>
      <c r="G678" s="15" t="n">
        <f aca="false">F678*(1+IF(G$3&lt;=$O$2,$D678,$D678-($D678-$I$670)*MIN(G$3-$O$2,$Q$2)/$Q$2))</f>
        <v>2962.62092888355</v>
      </c>
      <c r="H678" s="15" t="n">
        <f aca="false">G678*(1+IF(H$3&lt;=$O$2,$D678,$D678-($D678-$I$670)*MIN(H$3-$O$2,$Q$2)/$Q$2))</f>
        <v>3182.50295094913</v>
      </c>
      <c r="I678" s="15" t="n">
        <f aca="false">H678*(1+IF(I$3&lt;=$O$2,$D678,$D678-($D678-$I$670)*MIN(I$3-$O$2,$Q$2)/$Q$2))</f>
        <v>3418.70434183988</v>
      </c>
      <c r="J678" s="15" t="n">
        <f aca="false">I678*(1+IF(J$3&lt;=$O$2,$D678,$D678-($D678-$I$670)*MIN(J$3-$O$2,$Q$2)/$Q$2))</f>
        <v>3644.45848305328</v>
      </c>
      <c r="K678" s="15" t="n">
        <f aca="false">J678*(1+IF(K$3&lt;=$O$2,$D678,$D678-($D678-$I$670)*MIN(K$3-$O$2,$Q$2)/$Q$2))</f>
        <v>3855.29496187102</v>
      </c>
      <c r="L678" s="15" t="n">
        <f aca="false">K678*(1+IF(L$3&lt;=$O$2,$D678,$D678-($D678-$I$670)*MIN(L$3-$O$2,$Q$2)/$Q$2))</f>
        <v>4046.77782438975</v>
      </c>
      <c r="M678" s="15" t="n">
        <f aca="false">L678*(1+IF(M$3&lt;=$O$2,$D678,$D678-($D678-$I$670)*MIN(M$3-$O$2,$Q$2)/$Q$2))</f>
        <v>4214.65334396227</v>
      </c>
      <c r="N678" s="15" t="n">
        <f aca="false">M678*(1+IF(N$3&lt;=$O$2,$D678,$D678-($D678-$I$670)*MIN(N$3-$O$2,$Q$2)/$Q$2))</f>
        <v>4355.00130031622</v>
      </c>
      <c r="O678" s="15" t="n">
        <f aca="false">SUMPRODUCT(E678:N678,1/(1+$F$670)^$E$3:$N$3)*$E$2</f>
        <v>9399.91059012187</v>
      </c>
      <c r="P678" s="15" t="n">
        <f aca="false">N678*$E$2*(1+$I$670)/($F$670-$I$670)/(1+$F$670)^$N$3</f>
        <v>10462.0437101172</v>
      </c>
      <c r="Q678" s="15" t="n">
        <f aca="false">O678+P678</f>
        <v>19861.9543002391</v>
      </c>
      <c r="R678" s="15" t="n">
        <f aca="false">Q678-$G$2+$I$2</f>
        <v>14510.3943002391</v>
      </c>
      <c r="S678" s="42" t="n">
        <f aca="false">R678/$K$2</f>
        <v>671.777513899959</v>
      </c>
      <c r="T678" s="43" t="n">
        <f aca="false">S678-$M$2</f>
        <v>-53.2224861000414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0.07421875</v>
      </c>
      <c r="C679" s="25" t="n">
        <f aca="false">IF(T678&gt;0,D678,C678)</f>
        <v>0.0859375</v>
      </c>
      <c r="D679" s="41" t="n">
        <f aca="false">(B679+C679)/2</f>
        <v>0.080078125</v>
      </c>
      <c r="E679" s="15" t="n">
        <f aca="false">$C$2*(1+IF(E$3&lt;=$O$2,$D679,$D679-($D679-$I$670)*MIN(E$3-$O$2,$Q$2)/$Q$2))</f>
        <v>2581.38671875</v>
      </c>
      <c r="F679" s="15" t="n">
        <f aca="false">E679*(1+IF(F$3&lt;=$O$2,$D679,$D679-($D679-$I$670)*MIN(F$3-$O$2,$Q$2)/$Q$2))</f>
        <v>2788.0993270874</v>
      </c>
      <c r="G679" s="15" t="n">
        <f aca="false">F679*(1+IF(G$3&lt;=$O$2,$D679,$D679-($D679-$I$670)*MIN(G$3-$O$2,$Q$2)/$Q$2))</f>
        <v>3011.36509351432</v>
      </c>
      <c r="H679" s="15" t="n">
        <f aca="false">G679*(1+IF(H$3&lt;=$O$2,$D679,$D679-($D679-$I$670)*MIN(H$3-$O$2,$Q$2)/$Q$2))</f>
        <v>3252.5095638934</v>
      </c>
      <c r="I679" s="15" t="n">
        <f aca="false">H679*(1+IF(I$3&lt;=$O$2,$D679,$D679-($D679-$I$670)*MIN(I$3-$O$2,$Q$2)/$Q$2))</f>
        <v>3512.96443131455</v>
      </c>
      <c r="J679" s="15" t="n">
        <f aca="false">I679*(1+IF(J$3&lt;=$O$2,$D679,$D679-($D679-$I$670)*MIN(J$3-$O$2,$Q$2)/$Q$2))</f>
        <v>3761.41005830819</v>
      </c>
      <c r="K679" s="15" t="n">
        <f aca="false">J679*(1+IF(K$3&lt;=$O$2,$D679,$D679-($D679-$I$670)*MIN(K$3-$O$2,$Q$2)/$Q$2))</f>
        <v>3992.23603918014</v>
      </c>
      <c r="L679" s="15" t="n">
        <f aca="false">K679*(1+IF(L$3&lt;=$O$2,$D679,$D679-($D679-$I$670)*MIN(L$3-$O$2,$Q$2)/$Q$2))</f>
        <v>4199.87722587294</v>
      </c>
      <c r="M679" s="15" t="n">
        <f aca="false">L679*(1+IF(M$3&lt;=$O$2,$D679,$D679-($D679-$I$670)*MIN(M$3-$O$2,$Q$2)/$Q$2))</f>
        <v>4379.02561386582</v>
      </c>
      <c r="N679" s="15" t="n">
        <f aca="false">M679*(1+IF(N$3&lt;=$O$2,$D679,$D679-($D679-$I$670)*MIN(N$3-$O$2,$Q$2)/$Q$2))</f>
        <v>4524.84716680755</v>
      </c>
      <c r="O679" s="15" t="n">
        <f aca="false">SUMPRODUCT(E679:N679,1/(1+$F$670)^$E$3:$N$3)*$E$2</f>
        <v>9637.73659459522</v>
      </c>
      <c r="P679" s="15" t="n">
        <f aca="false">N679*$E$2*(1+$I$670)/($F$670-$I$670)/(1+$F$670)^$N$3</f>
        <v>10870.0653745622</v>
      </c>
      <c r="Q679" s="15" t="n">
        <f aca="false">O679+P679</f>
        <v>20507.8019691574</v>
      </c>
      <c r="R679" s="15" t="n">
        <f aca="false">Q679-$G$2+$I$2</f>
        <v>15156.2419691574</v>
      </c>
      <c r="S679" s="42" t="n">
        <f aca="false">R679/$K$2</f>
        <v>701.677868942474</v>
      </c>
      <c r="T679" s="43" t="n">
        <f aca="false">S679-$M$2</f>
        <v>-23.3221310575258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0.080078125</v>
      </c>
      <c r="C680" s="25" t="n">
        <f aca="false">IF(T679&gt;0,D679,C679)</f>
        <v>0.0859375</v>
      </c>
      <c r="D680" s="41" t="n">
        <f aca="false">(B680+C680)/2</f>
        <v>0.0830078125</v>
      </c>
      <c r="E680" s="15" t="n">
        <f aca="false">$C$2*(1+IF(E$3&lt;=$O$2,$D680,$D680-($D680-$I$670)*MIN(E$3-$O$2,$Q$2)/$Q$2))</f>
        <v>2588.388671875</v>
      </c>
      <c r="F680" s="15" t="n">
        <f aca="false">E680*(1+IF(F$3&lt;=$O$2,$D680,$D680-($D680-$I$670)*MIN(F$3-$O$2,$Q$2)/$Q$2))</f>
        <v>2803.24515342712</v>
      </c>
      <c r="G680" s="15" t="n">
        <f aca="false">F680*(1+IF(G$3&lt;=$O$2,$D680,$D680-($D680-$I$670)*MIN(G$3-$O$2,$Q$2)/$Q$2))</f>
        <v>3035.93640151434</v>
      </c>
      <c r="H680" s="15" t="n">
        <f aca="false">G680*(1+IF(H$3&lt;=$O$2,$D680,$D680-($D680-$I$670)*MIN(H$3-$O$2,$Q$2)/$Q$2))</f>
        <v>3287.94284109316</v>
      </c>
      <c r="I680" s="15" t="n">
        <f aca="false">H680*(1+IF(I$3&lt;=$O$2,$D680,$D680-($D680-$I$670)*MIN(I$3-$O$2,$Q$2)/$Q$2))</f>
        <v>3560.86778395734</v>
      </c>
      <c r="J680" s="15" t="n">
        <f aca="false">I680*(1+IF(J$3&lt;=$O$2,$D680,$D680-($D680-$I$670)*MIN(J$3-$O$2,$Q$2)/$Q$2))</f>
        <v>3821.04703967692</v>
      </c>
      <c r="K680" s="15" t="n">
        <f aca="false">J680*(1+IF(K$3&lt;=$O$2,$D680,$D680-($D680-$I$670)*MIN(K$3-$O$2,$Q$2)/$Q$2))</f>
        <v>4062.24943997932</v>
      </c>
      <c r="L680" s="15" t="n">
        <f aca="false">K680*(1+IF(L$3&lt;=$O$2,$D680,$D680-($D680-$I$670)*MIN(L$3-$O$2,$Q$2)/$Q$2))</f>
        <v>4278.29255972692</v>
      </c>
      <c r="M680" s="15" t="n">
        <f aca="false">L680*(1+IF(M$3&lt;=$O$2,$D680,$D680-($D680-$I$670)*MIN(M$3-$O$2,$Q$2)/$Q$2))</f>
        <v>4463.29261484164</v>
      </c>
      <c r="N680" s="15" t="n">
        <f aca="false">M680*(1+IF(N$3&lt;=$O$2,$D680,$D680-($D680-$I$670)*MIN(N$3-$O$2,$Q$2)/$Q$2))</f>
        <v>4611.92025891587</v>
      </c>
      <c r="O680" s="15" t="n">
        <f aca="false">SUMPRODUCT(E680:N680,1/(1+$F$670)^$E$3:$N$3)*$E$2</f>
        <v>9758.91002331692</v>
      </c>
      <c r="P680" s="15" t="n">
        <f aca="false">N680*$E$2*(1+$I$670)/($F$670-$I$670)/(1+$F$670)^$N$3</f>
        <v>11079.2415453124</v>
      </c>
      <c r="Q680" s="15" t="n">
        <f aca="false">O680+P680</f>
        <v>20838.1515686293</v>
      </c>
      <c r="R680" s="15" t="n">
        <f aca="false">Q680-$G$2+$I$2</f>
        <v>15486.5915686293</v>
      </c>
      <c r="S680" s="42" t="n">
        <f aca="false">R680/$K$2</f>
        <v>716.971831880987</v>
      </c>
      <c r="T680" s="43" t="n">
        <f aca="false">S680-$M$2</f>
        <v>-8.02816811901266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0.0830078125</v>
      </c>
      <c r="C681" s="25" t="n">
        <f aca="false">IF(T680&gt;0,D680,C680)</f>
        <v>0.0859375</v>
      </c>
      <c r="D681" s="41" t="n">
        <f aca="false">(B681+C681)/2</f>
        <v>0.08447265625</v>
      </c>
      <c r="E681" s="15" t="n">
        <f aca="false">$C$2*(1+IF(E$3&lt;=$O$2,$D681,$D681-($D681-$I$670)*MIN(E$3-$O$2,$Q$2)/$Q$2))</f>
        <v>2591.8896484375</v>
      </c>
      <c r="F681" s="15" t="n">
        <f aca="false">E681*(1+IF(F$3&lt;=$O$2,$D681,$D681-($D681-$I$670)*MIN(F$3-$O$2,$Q$2)/$Q$2))</f>
        <v>2810.83345174789</v>
      </c>
      <c r="G681" s="15" t="n">
        <f aca="false">F681*(1+IF(G$3&lt;=$O$2,$D681,$D681-($D681-$I$670)*MIN(G$3-$O$2,$Q$2)/$Q$2))</f>
        <v>3048.2720196934</v>
      </c>
      <c r="H681" s="15" t="n">
        <f aca="false">G681*(1+IF(H$3&lt;=$O$2,$D681,$D681-($D681-$I$670)*MIN(H$3-$O$2,$Q$2)/$Q$2))</f>
        <v>3305.76765416945</v>
      </c>
      <c r="I681" s="15" t="n">
        <f aca="false">H681*(1+IF(I$3&lt;=$O$2,$D681,$D681-($D681-$I$670)*MIN(I$3-$O$2,$Q$2)/$Q$2))</f>
        <v>3585.01462886247</v>
      </c>
      <c r="J681" s="15" t="n">
        <f aca="false">I681*(1+IF(J$3&lt;=$O$2,$D681,$D681-($D681-$I$670)*MIN(J$3-$O$2,$Q$2)/$Q$2))</f>
        <v>3851.15939300679</v>
      </c>
      <c r="K681" s="15" t="n">
        <f aca="false">J681*(1+IF(K$3&lt;=$O$2,$D681,$D681-($D681-$I$670)*MIN(K$3-$O$2,$Q$2)/$Q$2))</f>
        <v>4097.6474342633</v>
      </c>
      <c r="L681" s="15" t="n">
        <f aca="false">K681*(1+IF(L$3&lt;=$O$2,$D681,$D681-($D681-$I$670)*MIN(L$3-$O$2,$Q$2)/$Q$2))</f>
        <v>4317.97409525917</v>
      </c>
      <c r="M681" s="15" t="n">
        <f aca="false">L681*(1+IF(M$3&lt;=$O$2,$D681,$D681-($D681-$I$670)*MIN(M$3-$O$2,$Q$2)/$Q$2))</f>
        <v>4505.95507344592</v>
      </c>
      <c r="N681" s="15" t="n">
        <f aca="false">M681*(1+IF(N$3&lt;=$O$2,$D681,$D681-($D681-$I$670)*MIN(N$3-$O$2,$Q$2)/$Q$2))</f>
        <v>4656.00337739167</v>
      </c>
      <c r="O681" s="15" t="n">
        <f aca="false">SUMPRODUCT(E681:N681,1/(1+$F$670)^$E$3:$N$3)*$E$2</f>
        <v>9820.06962157957</v>
      </c>
      <c r="P681" s="15" t="n">
        <f aca="false">N681*$E$2*(1+$I$670)/($F$670-$I$670)/(1+$F$670)^$N$3</f>
        <v>11185.142664639</v>
      </c>
      <c r="Q681" s="15" t="n">
        <f aca="false">O681+P681</f>
        <v>21005.2122862185</v>
      </c>
      <c r="R681" s="15" t="n">
        <f aca="false">Q681-$G$2+$I$2</f>
        <v>15653.6522862185</v>
      </c>
      <c r="S681" s="42" t="n">
        <f aca="false">R681/$K$2</f>
        <v>724.706124361969</v>
      </c>
      <c r="T681" s="43" t="n">
        <f aca="false">S681-$M$2</f>
        <v>-0.293875638030954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0.08447265625</v>
      </c>
      <c r="C682" s="25" t="n">
        <f aca="false">IF(T681&gt;0,D681,C681)</f>
        <v>0.0859375</v>
      </c>
      <c r="D682" s="41" t="n">
        <f aca="false">(B682+C682)/2</f>
        <v>0.085205078125</v>
      </c>
      <c r="E682" s="15" t="n">
        <f aca="false">$C$2*(1+IF(E$3&lt;=$O$2,$D682,$D682-($D682-$I$670)*MIN(E$3-$O$2,$Q$2)/$Q$2))</f>
        <v>2593.64013671875</v>
      </c>
      <c r="F682" s="15" t="n">
        <f aca="false">E682*(1+IF(F$3&lt;=$O$2,$D682,$D682-($D682-$I$670)*MIN(F$3-$O$2,$Q$2)/$Q$2))</f>
        <v>2814.63144719601</v>
      </c>
      <c r="G682" s="15" t="n">
        <f aca="false">F682*(1+IF(G$3&lt;=$O$2,$D682,$D682-($D682-$I$670)*MIN(G$3-$O$2,$Q$2)/$Q$2))</f>
        <v>3054.45233954742</v>
      </c>
      <c r="H682" s="15" t="n">
        <f aca="false">G682*(1+IF(H$3&lt;=$O$2,$D682,$D682-($D682-$I$670)*MIN(H$3-$O$2,$Q$2)/$Q$2))</f>
        <v>3314.70718976765</v>
      </c>
      <c r="I682" s="15" t="n">
        <f aca="false">H682*(1+IF(I$3&lt;=$O$2,$D682,$D682-($D682-$I$670)*MIN(I$3-$O$2,$Q$2)/$Q$2))</f>
        <v>3597.1370748333</v>
      </c>
      <c r="J682" s="15" t="n">
        <f aca="false">I682*(1+IF(J$3&lt;=$O$2,$D682,$D682-($D682-$I$670)*MIN(J$3-$O$2,$Q$2)/$Q$2))</f>
        <v>3866.2894841417</v>
      </c>
      <c r="K682" s="15" t="n">
        <f aca="false">J682*(1+IF(K$3&lt;=$O$2,$D682,$D682-($D682-$I$670)*MIN(K$3-$O$2,$Q$2)/$Q$2))</f>
        <v>4115.44495860056</v>
      </c>
      <c r="L682" s="15" t="n">
        <f aca="false">K682*(1+IF(L$3&lt;=$O$2,$D682,$D682-($D682-$I$670)*MIN(L$3-$O$2,$Q$2)/$Q$2))</f>
        <v>4337.93427256008</v>
      </c>
      <c r="M682" s="15" t="n">
        <f aca="false">L682*(1+IF(M$3&lt;=$O$2,$D682,$D682-($D682-$I$670)*MIN(M$3-$O$2,$Q$2)/$Q$2))</f>
        <v>4527.4196473</v>
      </c>
      <c r="N682" s="15" t="n">
        <f aca="false">M682*(1+IF(N$3&lt;=$O$2,$D682,$D682-($D682-$I$670)*MIN(N$3-$O$2,$Q$2)/$Q$2))</f>
        <v>4678.18272155509</v>
      </c>
      <c r="O682" s="15" t="n">
        <f aca="false">SUMPRODUCT(E682:N682,1/(1+$F$670)^$E$3:$N$3)*$E$2</f>
        <v>9850.79362316912</v>
      </c>
      <c r="P682" s="15" t="n">
        <f aca="false">N682*$E$2*(1+$I$670)/($F$670-$I$670)/(1+$F$670)^$N$3</f>
        <v>11238.4242257909</v>
      </c>
      <c r="Q682" s="15" t="n">
        <f aca="false">O682+P682</f>
        <v>21089.21784896</v>
      </c>
      <c r="R682" s="15" t="n">
        <f aca="false">Q682-$G$2+$I$2</f>
        <v>15737.65784896</v>
      </c>
      <c r="S682" s="42" t="n">
        <f aca="false">R682/$K$2</f>
        <v>728.595270785186</v>
      </c>
      <c r="T682" s="43" t="n">
        <f aca="false">S682-$M$2</f>
        <v>3.59527078518556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0.08447265625</v>
      </c>
      <c r="C683" s="25" t="n">
        <f aca="false">IF(T682&gt;0,D682,C682)</f>
        <v>0.085205078125</v>
      </c>
      <c r="D683" s="41" t="n">
        <f aca="false">(B683+C683)/2</f>
        <v>0.0848388671875</v>
      </c>
      <c r="E683" s="15" t="n">
        <f aca="false">$C$2*(1+IF(E$3&lt;=$O$2,$D683,$D683-($D683-$I$670)*MIN(E$3-$O$2,$Q$2)/$Q$2))</f>
        <v>2592.76489257813</v>
      </c>
      <c r="F683" s="15" t="n">
        <f aca="false">E683*(1+IF(F$3&lt;=$O$2,$D683,$D683-($D683-$I$670)*MIN(F$3-$O$2,$Q$2)/$Q$2))</f>
        <v>2812.73212894797</v>
      </c>
      <c r="G683" s="15" t="n">
        <f aca="false">F683*(1+IF(G$3&lt;=$O$2,$D683,$D683-($D683-$I$670)*MIN(G$3-$O$2,$Q$2)/$Q$2))</f>
        <v>3051.3611364698</v>
      </c>
      <c r="H683" s="15" t="n">
        <f aca="false">G683*(1+IF(H$3&lt;=$O$2,$D683,$D683-($D683-$I$670)*MIN(H$3-$O$2,$Q$2)/$Q$2))</f>
        <v>3310.23515866787</v>
      </c>
      <c r="I683" s="15" t="n">
        <f aca="false">H683*(1+IF(I$3&lt;=$O$2,$D683,$D683-($D683-$I$670)*MIN(I$3-$O$2,$Q$2)/$Q$2))</f>
        <v>3591.07175965348</v>
      </c>
      <c r="J683" s="15" t="n">
        <f aca="false">I683*(1+IF(J$3&lt;=$O$2,$D683,$D683-($D683-$I$670)*MIN(J$3-$O$2,$Q$2)/$Q$2))</f>
        <v>3858.71826563519</v>
      </c>
      <c r="K683" s="15" t="n">
        <f aca="false">J683*(1+IF(K$3&lt;=$O$2,$D683,$D683-($D683-$I$670)*MIN(K$3-$O$2,$Q$2)/$Q$2))</f>
        <v>4106.53796480478</v>
      </c>
      <c r="L683" s="15" t="n">
        <f aca="false">K683*(1+IF(L$3&lt;=$O$2,$D683,$D683-($D683-$I$670)*MIN(L$3-$O$2,$Q$2)/$Q$2))</f>
        <v>4327.94420494018</v>
      </c>
      <c r="M683" s="15" t="n">
        <f aca="false">L683*(1+IF(M$3&lt;=$O$2,$D683,$D683-($D683-$I$670)*MIN(M$3-$O$2,$Q$2)/$Q$2))</f>
        <v>4516.67621527935</v>
      </c>
      <c r="N683" s="15" t="n">
        <f aca="false">M683*(1+IF(N$3&lt;=$O$2,$D683,$D683-($D683-$I$670)*MIN(N$3-$O$2,$Q$2)/$Q$2))</f>
        <v>4667.08153324815</v>
      </c>
      <c r="O683" s="15" t="n">
        <f aca="false">SUMPRODUCT(E683:N683,1/(1+$F$670)^$E$3:$N$3)*$E$2</f>
        <v>9835.41957617106</v>
      </c>
      <c r="P683" s="15" t="n">
        <f aca="false">N683*$E$2*(1+$I$670)/($F$670-$I$670)/(1+$F$670)^$N$3</f>
        <v>11211.7557797234</v>
      </c>
      <c r="Q683" s="15" t="n">
        <f aca="false">O683+P683</f>
        <v>21047.1753558944</v>
      </c>
      <c r="R683" s="15" t="n">
        <f aca="false">Q683-$G$2+$I$2</f>
        <v>15695.6153558944</v>
      </c>
      <c r="S683" s="42" t="n">
        <f aca="false">R683/$K$2</f>
        <v>726.648859069186</v>
      </c>
      <c r="T683" s="43" t="n">
        <f aca="false">S683-$M$2</f>
        <v>1.6488590691863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0.08447265625</v>
      </c>
      <c r="C684" s="25" t="n">
        <f aca="false">IF(T683&gt;0,D683,C683)</f>
        <v>0.0848388671875</v>
      </c>
      <c r="D684" s="41" t="n">
        <f aca="false">(B684+C684)/2</f>
        <v>0.08465576171875</v>
      </c>
      <c r="E684" s="15" t="n">
        <f aca="false">$C$2*(1+IF(E$3&lt;=$O$2,$D684,$D684-($D684-$I$670)*MIN(E$3-$O$2,$Q$2)/$Q$2))</f>
        <v>2592.32727050781</v>
      </c>
      <c r="F684" s="15" t="n">
        <f aca="false">E684*(1+IF(F$3&lt;=$O$2,$D684,$D684-($D684-$I$670)*MIN(F$3-$O$2,$Q$2)/$Q$2))</f>
        <v>2811.78271021694</v>
      </c>
      <c r="G684" s="15" t="n">
        <f aca="false">F684*(1+IF(G$3&lt;=$O$2,$D684,$D684-($D684-$I$670)*MIN(G$3-$O$2,$Q$2)/$Q$2))</f>
        <v>3049.81631733797</v>
      </c>
      <c r="H684" s="15" t="n">
        <f aca="false">G684*(1+IF(H$3&lt;=$O$2,$D684,$D684-($D684-$I$670)*MIN(H$3-$O$2,$Q$2)/$Q$2))</f>
        <v>3308.00084078448</v>
      </c>
      <c r="I684" s="15" t="n">
        <f aca="false">H684*(1+IF(I$3&lt;=$O$2,$D684,$D684-($D684-$I$670)*MIN(I$3-$O$2,$Q$2)/$Q$2))</f>
        <v>3588.04217172736</v>
      </c>
      <c r="J684" s="15" t="n">
        <f aca="false">I684*(1+IF(J$3&lt;=$O$2,$D684,$D684-($D684-$I$670)*MIN(J$3-$O$2,$Q$2)/$Q$2))</f>
        <v>3854.93728709233</v>
      </c>
      <c r="K684" s="15" t="n">
        <f aca="false">J684*(1+IF(K$3&lt;=$O$2,$D684,$D684-($D684-$I$670)*MIN(K$3-$O$2,$Q$2)/$Q$2))</f>
        <v>4102.09064320648</v>
      </c>
      <c r="L684" s="15" t="n">
        <f aca="false">K684*(1+IF(L$3&lt;=$O$2,$D684,$D684-($D684-$I$670)*MIN(L$3-$O$2,$Q$2)/$Q$2))</f>
        <v>4322.95665747375</v>
      </c>
      <c r="M684" s="15" t="n">
        <f aca="false">L684*(1+IF(M$3&lt;=$O$2,$D684,$D684-($D684-$I$670)*MIN(M$3-$O$2,$Q$2)/$Q$2))</f>
        <v>4511.31286057197</v>
      </c>
      <c r="N684" s="15" t="n">
        <f aca="false">M684*(1+IF(N$3&lt;=$O$2,$D684,$D684-($D684-$I$670)*MIN(N$3-$O$2,$Q$2)/$Q$2))</f>
        <v>4661.53957882902</v>
      </c>
      <c r="O684" s="15" t="n">
        <f aca="false">SUMPRODUCT(E684:N684,1/(1+$F$670)^$E$3:$N$3)*$E$2</f>
        <v>9827.74158952753</v>
      </c>
      <c r="P684" s="15" t="n">
        <f aca="false">N684*$E$2*(1+$I$670)/($F$670-$I$670)/(1+$F$670)^$N$3</f>
        <v>11198.4423119712</v>
      </c>
      <c r="Q684" s="15" t="n">
        <f aca="false">O684+P684</f>
        <v>21026.1839014987</v>
      </c>
      <c r="R684" s="15" t="n">
        <f aca="false">Q684-$G$2+$I$2</f>
        <v>15674.6239014987</v>
      </c>
      <c r="S684" s="42" t="n">
        <f aca="false">R684/$K$2</f>
        <v>725.677032476792</v>
      </c>
      <c r="T684" s="43" t="n">
        <f aca="false">S684-$M$2</f>
        <v>0.677032476792192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0.08447265625</v>
      </c>
      <c r="C685" s="25" t="n">
        <f aca="false">IF(T684&gt;0,D684,C684)</f>
        <v>0.08465576171875</v>
      </c>
      <c r="D685" s="41" t="n">
        <f aca="false">(B685+C685)/2</f>
        <v>0.084564208984375</v>
      </c>
      <c r="E685" s="15" t="n">
        <f aca="false">$C$2*(1+IF(E$3&lt;=$O$2,$D685,$D685-($D685-$I$670)*MIN(E$3-$O$2,$Q$2)/$Q$2))</f>
        <v>2592.10845947266</v>
      </c>
      <c r="F685" s="15" t="n">
        <f aca="false">E685*(1+IF(F$3&lt;=$O$2,$D685,$D685-($D685-$I$670)*MIN(F$3-$O$2,$Q$2)/$Q$2))</f>
        <v>2811.30806094967</v>
      </c>
      <c r="G685" s="15" t="n">
        <f aca="false">F685*(1+IF(G$3&lt;=$O$2,$D685,$D685-($D685-$I$670)*MIN(G$3-$O$2,$Q$2)/$Q$2))</f>
        <v>3049.04410333527</v>
      </c>
      <c r="H685" s="15" t="n">
        <f aca="false">G685*(1+IF(H$3&lt;=$O$2,$D685,$D685-($D685-$I$670)*MIN(H$3-$O$2,$Q$2)/$Q$2))</f>
        <v>3306.88410609229</v>
      </c>
      <c r="I685" s="15" t="n">
        <f aca="false">H685*(1+IF(I$3&lt;=$O$2,$D685,$D685-($D685-$I$670)*MIN(I$3-$O$2,$Q$2)/$Q$2))</f>
        <v>3586.52814472699</v>
      </c>
      <c r="J685" s="15" t="n">
        <f aca="false">I685*(1+IF(J$3&lt;=$O$2,$D685,$D685-($D685-$I$670)*MIN(J$3-$O$2,$Q$2)/$Q$2))</f>
        <v>3853.0479546181</v>
      </c>
      <c r="K685" s="15" t="n">
        <f aca="false">J685*(1+IF(K$3&lt;=$O$2,$D685,$D685-($D685-$I$670)*MIN(K$3-$O$2,$Q$2)/$Q$2))</f>
        <v>4099.8685248503</v>
      </c>
      <c r="L685" s="15" t="n">
        <f aca="false">K685*(1+IF(L$3&lt;=$O$2,$D685,$D685-($D685-$I$670)*MIN(L$3-$O$2,$Q$2)/$Q$2))</f>
        <v>4320.46475347437</v>
      </c>
      <c r="M685" s="15" t="n">
        <f aca="false">L685*(1+IF(M$3&lt;=$O$2,$D685,$D685-($D685-$I$670)*MIN(M$3-$O$2,$Q$2)/$Q$2))</f>
        <v>4508.63327137141</v>
      </c>
      <c r="N685" s="15" t="n">
        <f aca="false">M685*(1+IF(N$3&lt;=$O$2,$D685,$D685-($D685-$I$670)*MIN(N$3-$O$2,$Q$2)/$Q$2))</f>
        <v>4658.77075930808</v>
      </c>
      <c r="O685" s="15" t="n">
        <f aca="false">SUMPRODUCT(E685:N685,1/(1+$F$670)^$E$3:$N$3)*$E$2</f>
        <v>9823.90485349182</v>
      </c>
      <c r="P685" s="15" t="n">
        <f aca="false">N685*$E$2*(1+$I$670)/($F$670-$I$670)/(1+$F$670)^$N$3</f>
        <v>11191.7907615224</v>
      </c>
      <c r="Q685" s="15" t="n">
        <f aca="false">O685+P685</f>
        <v>21015.6956150143</v>
      </c>
      <c r="R685" s="15" t="n">
        <f aca="false">Q685-$G$2+$I$2</f>
        <v>15664.1356150143</v>
      </c>
      <c r="S685" s="42" t="n">
        <f aca="false">R685/$K$2</f>
        <v>725.191463658068</v>
      </c>
      <c r="T685" s="43" t="n">
        <f aca="false">S685-$M$2</f>
        <v>0.191463658067505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0.08447265625</v>
      </c>
      <c r="C686" s="25" t="n">
        <f aca="false">IF(T685&gt;0,D685,C685)</f>
        <v>0.084564208984375</v>
      </c>
      <c r="D686" s="41" t="n">
        <f aca="false">(B686+C686)/2</f>
        <v>0.0845184326171875</v>
      </c>
      <c r="E686" s="15" t="n">
        <f aca="false">$C$2*(1+IF(E$3&lt;=$O$2,$D686,$D686-($D686-$I$670)*MIN(E$3-$O$2,$Q$2)/$Q$2))</f>
        <v>2591.99905395508</v>
      </c>
      <c r="F686" s="15" t="n">
        <f aca="false">E686*(1+IF(F$3&lt;=$O$2,$D686,$D686-($D686-$I$670)*MIN(F$3-$O$2,$Q$2)/$Q$2))</f>
        <v>2811.07075134059</v>
      </c>
      <c r="G686" s="15" t="n">
        <f aca="false">F686*(1+IF(G$3&lt;=$O$2,$D686,$D686-($D686-$I$670)*MIN(G$3-$O$2,$Q$2)/$Q$2))</f>
        <v>3048.65804521992</v>
      </c>
      <c r="H686" s="15" t="n">
        <f aca="false">G686*(1+IF(H$3&lt;=$O$2,$D686,$D686-($D686-$I$670)*MIN(H$3-$O$2,$Q$2)/$Q$2))</f>
        <v>3306.32584478769</v>
      </c>
      <c r="I686" s="15" t="n">
        <f aca="false">H686*(1+IF(I$3&lt;=$O$2,$D686,$D686-($D686-$I$670)*MIN(I$3-$O$2,$Q$2)/$Q$2))</f>
        <v>3585.77132291084</v>
      </c>
      <c r="J686" s="15" t="n">
        <f aca="false">I686*(1+IF(J$3&lt;=$O$2,$D686,$D686-($D686-$I$670)*MIN(J$3-$O$2,$Q$2)/$Q$2))</f>
        <v>3852.10357747029</v>
      </c>
      <c r="K686" s="15" t="n">
        <f aca="false">J686*(1+IF(K$3&lt;=$O$2,$D686,$D686-($D686-$I$670)*MIN(K$3-$O$2,$Q$2)/$Q$2))</f>
        <v>4098.75785111031</v>
      </c>
      <c r="L686" s="15" t="n">
        <f aca="false">K686*(1+IF(L$3&lt;=$O$2,$D686,$D686-($D686-$I$670)*MIN(L$3-$O$2,$Q$2)/$Q$2))</f>
        <v>4319.21926867679</v>
      </c>
      <c r="M686" s="15" t="n">
        <f aca="false">L686*(1+IF(M$3&lt;=$O$2,$D686,$D686-($D686-$I$670)*MIN(M$3-$O$2,$Q$2)/$Q$2))</f>
        <v>4507.29399853804</v>
      </c>
      <c r="N686" s="15" t="n">
        <f aca="false">M686*(1+IF(N$3&lt;=$O$2,$D686,$D686-($D686-$I$670)*MIN(N$3-$O$2,$Q$2)/$Q$2))</f>
        <v>4657.38688868936</v>
      </c>
      <c r="O686" s="15" t="n">
        <f aca="false">SUMPRODUCT(E686:N686,1/(1+$F$670)^$E$3:$N$3)*$E$2</f>
        <v>9821.98704955466</v>
      </c>
      <c r="P686" s="15" t="n">
        <f aca="false">N686*$E$2*(1+$I$670)/($F$670-$I$670)/(1+$F$670)^$N$3</f>
        <v>11188.4662814812</v>
      </c>
      <c r="Q686" s="15" t="n">
        <f aca="false">O686+P686</f>
        <v>21010.4533310359</v>
      </c>
      <c r="R686" s="15" t="n">
        <f aca="false">Q686-$G$2+$I$2</f>
        <v>15658.8933310359</v>
      </c>
      <c r="S686" s="42" t="n">
        <f aca="false">R686/$K$2</f>
        <v>724.948765325736</v>
      </c>
      <c r="T686" s="43" t="n">
        <f aca="false">S686-$M$2</f>
        <v>-0.0512346742636964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0.0845184326171875</v>
      </c>
      <c r="C687" s="25" t="n">
        <f aca="false">IF(T686&gt;0,D686,C686)</f>
        <v>0.084564208984375</v>
      </c>
      <c r="D687" s="41" t="n">
        <f aca="false">(B687+C687)/2</f>
        <v>0.0845413208007813</v>
      </c>
      <c r="E687" s="15" t="n">
        <f aca="false">$C$2*(1+IF(E$3&lt;=$O$2,$D687,$D687-($D687-$I$670)*MIN(E$3-$O$2,$Q$2)/$Q$2))</f>
        <v>2592.05375671387</v>
      </c>
      <c r="F687" s="15" t="n">
        <f aca="false">E687*(1+IF(F$3&lt;=$O$2,$D687,$D687-($D687-$I$670)*MIN(F$3-$O$2,$Q$2)/$Q$2))</f>
        <v>2811.18940489308</v>
      </c>
      <c r="G687" s="15" t="n">
        <f aca="false">F687*(1+IF(G$3&lt;=$O$2,$D687,$D687-($D687-$I$670)*MIN(G$3-$O$2,$Q$2)/$Q$2))</f>
        <v>3048.85107020391</v>
      </c>
      <c r="H687" s="15" t="n">
        <f aca="false">G687*(1+IF(H$3&lt;=$O$2,$D687,$D687-($D687-$I$670)*MIN(H$3-$O$2,$Q$2)/$Q$2))</f>
        <v>3306.60496660382</v>
      </c>
      <c r="I687" s="15" t="n">
        <f aca="false">H687*(1+IF(I$3&lt;=$O$2,$D687,$D687-($D687-$I$670)*MIN(I$3-$O$2,$Q$2)/$Q$2))</f>
        <v>3586.14971784693</v>
      </c>
      <c r="J687" s="15" t="n">
        <f aca="false">I687*(1+IF(J$3&lt;=$O$2,$D687,$D687-($D687-$I$670)*MIN(J$3-$O$2,$Q$2)/$Q$2))</f>
        <v>3852.5757419567</v>
      </c>
      <c r="K687" s="15" t="n">
        <f aca="false">J687*(1+IF(K$3&lt;=$O$2,$D687,$D687-($D687-$I$670)*MIN(K$3-$O$2,$Q$2)/$Q$2))</f>
        <v>4099.3131558656</v>
      </c>
      <c r="L687" s="15" t="n">
        <f aca="false">K687*(1+IF(L$3&lt;=$O$2,$D687,$D687-($D687-$I$670)*MIN(L$3-$O$2,$Q$2)/$Q$2))</f>
        <v>4319.84197214895</v>
      </c>
      <c r="M687" s="15" t="n">
        <f aca="false">L687*(1+IF(M$3&lt;=$O$2,$D687,$D687-($D687-$I$670)*MIN(M$3-$O$2,$Q$2)/$Q$2))</f>
        <v>4507.96359148223</v>
      </c>
      <c r="N687" s="15" t="n">
        <f aca="false">M687*(1+IF(N$3&lt;=$O$2,$D687,$D687-($D687-$I$670)*MIN(N$3-$O$2,$Q$2)/$Q$2))</f>
        <v>4658.07877907859</v>
      </c>
      <c r="O687" s="15" t="n">
        <f aca="false">SUMPRODUCT(E687:N687,1/(1+$F$670)^$E$3:$N$3)*$E$2</f>
        <v>9822.94590452368</v>
      </c>
      <c r="P687" s="15" t="n">
        <f aca="false">N687*$E$2*(1+$I$670)/($F$670-$I$670)/(1+$F$670)^$N$3</f>
        <v>11190.12841359</v>
      </c>
      <c r="Q687" s="15" t="n">
        <f aca="false">O687+P687</f>
        <v>21013.0743181136</v>
      </c>
      <c r="R687" s="15" t="n">
        <f aca="false">Q687-$G$2+$I$2</f>
        <v>15661.5143181136</v>
      </c>
      <c r="S687" s="42" t="n">
        <f aca="false">R687/$K$2</f>
        <v>725.070107320076</v>
      </c>
      <c r="T687" s="43" t="n">
        <f aca="false">S687-$M$2</f>
        <v>0.0701073200756355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0.0845184326171875</v>
      </c>
      <c r="C688" s="25" t="n">
        <f aca="false">IF(T687&gt;0,D687,C687)</f>
        <v>0.0845413208007813</v>
      </c>
      <c r="D688" s="41" t="n">
        <f aca="false">(B688+C688)/2</f>
        <v>0.0845298767089844</v>
      </c>
      <c r="E688" s="15" t="n">
        <f aca="false">$C$2*(1+IF(E$3&lt;=$O$2,$D688,$D688-($D688-$I$670)*MIN(E$3-$O$2,$Q$2)/$Q$2))</f>
        <v>2592.02640533447</v>
      </c>
      <c r="F688" s="15" t="n">
        <f aca="false">E688*(1+IF(F$3&lt;=$O$2,$D688,$D688-($D688-$I$670)*MIN(F$3-$O$2,$Q$2)/$Q$2))</f>
        <v>2811.13007780383</v>
      </c>
      <c r="G688" s="15" t="n">
        <f aca="false">F688*(1+IF(G$3&lt;=$O$2,$D688,$D688-($D688-$I$670)*MIN(G$3-$O$2,$Q$2)/$Q$2))</f>
        <v>3048.7545566935</v>
      </c>
      <c r="H688" s="15" t="n">
        <f aca="false">G688*(1+IF(H$3&lt;=$O$2,$D688,$D688-($D688-$I$670)*MIN(H$3-$O$2,$Q$2)/$Q$2))</f>
        <v>3306.46540348676</v>
      </c>
      <c r="I688" s="15" t="n">
        <f aca="false">H688*(1+IF(I$3&lt;=$O$2,$D688,$D688-($D688-$I$670)*MIN(I$3-$O$2,$Q$2)/$Q$2))</f>
        <v>3585.96051638602</v>
      </c>
      <c r="J688" s="15" t="n">
        <f aca="false">I688*(1+IF(J$3&lt;=$O$2,$D688,$D688-($D688-$I$670)*MIN(J$3-$O$2,$Q$2)/$Q$2))</f>
        <v>3852.33965369186</v>
      </c>
      <c r="K688" s="15" t="n">
        <f aca="false">J688*(1+IF(K$3&lt;=$O$2,$D688,$D688-($D688-$I$670)*MIN(K$3-$O$2,$Q$2)/$Q$2))</f>
        <v>4099.03549545966</v>
      </c>
      <c r="L688" s="15" t="n">
        <f aca="false">K688*(1+IF(L$3&lt;=$O$2,$D688,$D688-($D688-$I$670)*MIN(L$3-$O$2,$Q$2)/$Q$2))</f>
        <v>4319.53061068173</v>
      </c>
      <c r="M688" s="15" t="n">
        <f aca="false">L688*(1+IF(M$3&lt;=$O$2,$D688,$D688-($D688-$I$670)*MIN(M$3-$O$2,$Q$2)/$Q$2))</f>
        <v>4507.62878414261</v>
      </c>
      <c r="N688" s="15" t="n">
        <f aca="false">M688*(1+IF(N$3&lt;=$O$2,$D688,$D688-($D688-$I$670)*MIN(N$3-$O$2,$Q$2)/$Q$2))</f>
        <v>4657.73282265456</v>
      </c>
      <c r="O688" s="15" t="n">
        <f aca="false">SUMPRODUCT(E688:N688,1/(1+$F$670)^$E$3:$N$3)*$E$2</f>
        <v>9822.46646528982</v>
      </c>
      <c r="P688" s="15" t="n">
        <f aca="false">N688*$E$2*(1+$I$670)/($F$670-$I$670)/(1+$F$670)^$N$3</f>
        <v>11189.2973205591</v>
      </c>
      <c r="Q688" s="15" t="n">
        <f aca="false">O688+P688</f>
        <v>21011.7637858489</v>
      </c>
      <c r="R688" s="15" t="n">
        <f aca="false">Q688-$G$2+$I$2</f>
        <v>15660.2037858489</v>
      </c>
      <c r="S688" s="42" t="n">
        <f aca="false">R688/$K$2</f>
        <v>725.009434530044</v>
      </c>
      <c r="T688" s="43" t="n">
        <f aca="false">S688-$M$2</f>
        <v>0.0094345300437908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0.0845184326171875</v>
      </c>
      <c r="C689" s="25" t="n">
        <f aca="false">IF(T688&gt;0,D688,C688)</f>
        <v>0.0845298767089844</v>
      </c>
      <c r="D689" s="41" t="n">
        <f aca="false">(B689+C689)/2</f>
        <v>0.0845241546630859</v>
      </c>
      <c r="E689" s="15" t="n">
        <f aca="false">$C$2*(1+IF(E$3&lt;=$O$2,$D689,$D689-($D689-$I$670)*MIN(E$3-$O$2,$Q$2)/$Q$2))</f>
        <v>2592.01272964478</v>
      </c>
      <c r="F689" s="15" t="n">
        <f aca="false">E689*(1+IF(F$3&lt;=$O$2,$D689,$D689-($D689-$I$670)*MIN(F$3-$O$2,$Q$2)/$Q$2))</f>
        <v>2811.10041449396</v>
      </c>
      <c r="G689" s="15" t="n">
        <f aca="false">F689*(1+IF(G$3&lt;=$O$2,$D689,$D689-($D689-$I$670)*MIN(G$3-$O$2,$Q$2)/$Q$2))</f>
        <v>3048.70630070211</v>
      </c>
      <c r="H689" s="15" t="n">
        <f aca="false">G689*(1+IF(H$3&lt;=$O$2,$D689,$D689-($D689-$I$670)*MIN(H$3-$O$2,$Q$2)/$Q$2))</f>
        <v>3306.39562358498</v>
      </c>
      <c r="I689" s="15" t="n">
        <f aca="false">H689*(1+IF(I$3&lt;=$O$2,$D689,$D689-($D689-$I$670)*MIN(I$3-$O$2,$Q$2)/$Q$2))</f>
        <v>3585.86591865023</v>
      </c>
      <c r="J689" s="15" t="n">
        <f aca="false">I689*(1+IF(J$3&lt;=$O$2,$D689,$D689-($D689-$I$670)*MIN(J$3-$O$2,$Q$2)/$Q$2))</f>
        <v>3852.2216140757</v>
      </c>
      <c r="K689" s="15" t="n">
        <f aca="false">J689*(1+IF(K$3&lt;=$O$2,$D689,$D689-($D689-$I$670)*MIN(K$3-$O$2,$Q$2)/$Q$2))</f>
        <v>4098.89667127796</v>
      </c>
      <c r="L689" s="15" t="n">
        <f aca="false">K689*(1+IF(L$3&lt;=$O$2,$D689,$D689-($D689-$I$670)*MIN(L$3-$O$2,$Q$2)/$Q$2))</f>
        <v>4319.37493724654</v>
      </c>
      <c r="M689" s="15" t="n">
        <f aca="false">L689*(1+IF(M$3&lt;=$O$2,$D689,$D689-($D689-$I$670)*MIN(M$3-$O$2,$Q$2)/$Q$2))</f>
        <v>4507.46138862352</v>
      </c>
      <c r="N689" s="15" t="n">
        <f aca="false">M689*(1+IF(N$3&lt;=$O$2,$D689,$D689-($D689-$I$670)*MIN(N$3-$O$2,$Q$2)/$Q$2))</f>
        <v>4657.55985286469</v>
      </c>
      <c r="O689" s="15" t="n">
        <f aca="false">SUMPRODUCT(E689:N689,1/(1+$F$670)^$E$3:$N$3)*$E$2</f>
        <v>9822.22675448497</v>
      </c>
      <c r="P689" s="15" t="n">
        <f aca="false">N689*$E$2*(1+$I$670)/($F$670-$I$670)/(1+$F$670)^$N$3</f>
        <v>11188.8817942763</v>
      </c>
      <c r="Q689" s="15" t="n">
        <f aca="false">O689+P689</f>
        <v>21011.1085487612</v>
      </c>
      <c r="R689" s="15" t="n">
        <f aca="false">Q689-$G$2+$I$2</f>
        <v>15659.5485487612</v>
      </c>
      <c r="S689" s="42" t="n">
        <f aca="false">R689/$K$2</f>
        <v>724.979099479687</v>
      </c>
      <c r="T689" s="43" t="n">
        <f aca="false">S689-$M$2</f>
        <v>-0.0209005203134893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0.0845241546630859</v>
      </c>
      <c r="C690" s="25" t="n">
        <f aca="false">IF(T689&gt;0,D689,C689)</f>
        <v>0.0845298767089844</v>
      </c>
      <c r="D690" s="41" t="n">
        <f aca="false">(B690+C690)/2</f>
        <v>0.0845270156860352</v>
      </c>
      <c r="E690" s="15" t="n">
        <f aca="false">$C$2*(1+IF(E$3&lt;=$O$2,$D690,$D690-($D690-$I$670)*MIN(E$3-$O$2,$Q$2)/$Q$2))</f>
        <v>2592.01956748962</v>
      </c>
      <c r="F690" s="15" t="n">
        <f aca="false">E690*(1+IF(F$3&lt;=$O$2,$D690,$D690-($D690-$I$670)*MIN(F$3-$O$2,$Q$2)/$Q$2))</f>
        <v>2811.11524612933</v>
      </c>
      <c r="G690" s="15" t="n">
        <f aca="false">F690*(1+IF(G$3&lt;=$O$2,$D690,$D690-($D690-$I$670)*MIN(G$3-$O$2,$Q$2)/$Q$2))</f>
        <v>3048.73042863416</v>
      </c>
      <c r="H690" s="15" t="n">
        <f aca="false">G690*(1+IF(H$3&lt;=$O$2,$D690,$D690-($D690-$I$670)*MIN(H$3-$O$2,$Q$2)/$Q$2))</f>
        <v>3306.43051339781</v>
      </c>
      <c r="I690" s="15" t="n">
        <f aca="false">H690*(1+IF(I$3&lt;=$O$2,$D690,$D690-($D690-$I$670)*MIN(I$3-$O$2,$Q$2)/$Q$2))</f>
        <v>3585.91321726857</v>
      </c>
      <c r="J690" s="15" t="n">
        <f aca="false">I690*(1+IF(J$3&lt;=$O$2,$D690,$D690-($D690-$I$670)*MIN(J$3-$O$2,$Q$2)/$Q$2))</f>
        <v>3852.28063350744</v>
      </c>
      <c r="K690" s="15" t="n">
        <f aca="false">J690*(1+IF(K$3&lt;=$O$2,$D690,$D690-($D690-$I$670)*MIN(K$3-$O$2,$Q$2)/$Q$2))</f>
        <v>4098.96608286705</v>
      </c>
      <c r="L690" s="15" t="n">
        <f aca="false">K690*(1+IF(L$3&lt;=$O$2,$D690,$D690-($D690-$I$670)*MIN(L$3-$O$2,$Q$2)/$Q$2))</f>
        <v>4319.45277335595</v>
      </c>
      <c r="M690" s="15" t="n">
        <f aca="false">L690*(1+IF(M$3&lt;=$O$2,$D690,$D690-($D690-$I$670)*MIN(M$3-$O$2,$Q$2)/$Q$2))</f>
        <v>4507.54508570386</v>
      </c>
      <c r="N690" s="15" t="n">
        <f aca="false">M690*(1+IF(N$3&lt;=$O$2,$D690,$D690-($D690-$I$670)*MIN(N$3-$O$2,$Q$2)/$Q$2))</f>
        <v>4657.6463370578</v>
      </c>
      <c r="O690" s="15" t="n">
        <f aca="false">SUMPRODUCT(E690:N690,1/(1+$F$670)^$E$3:$N$3)*$E$2</f>
        <v>9822.34660915307</v>
      </c>
      <c r="P690" s="15" t="n">
        <f aca="false">N690*$E$2*(1+$I$670)/($F$670-$I$670)/(1+$F$670)^$N$3</f>
        <v>11189.0895557317</v>
      </c>
      <c r="Q690" s="15" t="n">
        <f aca="false">O690+P690</f>
        <v>21011.4361648848</v>
      </c>
      <c r="R690" s="15" t="n">
        <f aca="false">Q690-$G$2+$I$2</f>
        <v>15659.8761648848</v>
      </c>
      <c r="S690" s="42" t="n">
        <f aca="false">R690/$K$2</f>
        <v>724.994266892813</v>
      </c>
      <c r="T690" s="43" t="n">
        <f aca="false">S690-$M$2</f>
        <v>-0.00573310718709763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0.0845270156860352</v>
      </c>
      <c r="C691" s="25" t="n">
        <f aca="false">IF(T690&gt;0,D690,C690)</f>
        <v>0.0845298767089844</v>
      </c>
      <c r="D691" s="41" t="n">
        <f aca="false">(B691+C691)/2</f>
        <v>0.0845284461975098</v>
      </c>
      <c r="E691" s="15" t="n">
        <f aca="false">$C$2*(1+IF(E$3&lt;=$O$2,$D691,$D691-($D691-$I$670)*MIN(E$3-$O$2,$Q$2)/$Q$2))</f>
        <v>2592.02298641205</v>
      </c>
      <c r="F691" s="15" t="n">
        <f aca="false">E691*(1+IF(F$3&lt;=$O$2,$D691,$D691-($D691-$I$670)*MIN(F$3-$O$2,$Q$2)/$Q$2))</f>
        <v>2811.12266196169</v>
      </c>
      <c r="G691" s="15" t="n">
        <f aca="false">F691*(1+IF(G$3&lt;=$O$2,$D691,$D691-($D691-$I$670)*MIN(G$3-$O$2,$Q$2)/$Q$2))</f>
        <v>3048.74249264792</v>
      </c>
      <c r="H691" s="15" t="n">
        <f aca="false">G691*(1+IF(H$3&lt;=$O$2,$D691,$D691-($D691-$I$670)*MIN(H$3-$O$2,$Q$2)/$Q$2))</f>
        <v>3306.44795840777</v>
      </c>
      <c r="I691" s="15" t="n">
        <f aca="false">H691*(1+IF(I$3&lt;=$O$2,$D691,$D691-($D691-$I$670)*MIN(I$3-$O$2,$Q$2)/$Q$2))</f>
        <v>3585.93686676491</v>
      </c>
      <c r="J691" s="15" t="n">
        <f aca="false">I691*(1+IF(J$3&lt;=$O$2,$D691,$D691-($D691-$I$670)*MIN(J$3-$O$2,$Q$2)/$Q$2))</f>
        <v>3852.31014350556</v>
      </c>
      <c r="K691" s="15" t="n">
        <f aca="false">J691*(1+IF(K$3&lt;=$O$2,$D691,$D691-($D691-$I$670)*MIN(K$3-$O$2,$Q$2)/$Q$2))</f>
        <v>4099.00078903792</v>
      </c>
      <c r="L691" s="15" t="n">
        <f aca="false">K691*(1+IF(L$3&lt;=$O$2,$D691,$D691-($D691-$I$670)*MIN(L$3-$O$2,$Q$2)/$Q$2))</f>
        <v>4319.49169186679</v>
      </c>
      <c r="M691" s="15" t="n">
        <f aca="false">L691*(1+IF(M$3&lt;=$O$2,$D691,$D691-($D691-$I$670)*MIN(M$3-$O$2,$Q$2)/$Q$2))</f>
        <v>4507.58693475343</v>
      </c>
      <c r="N691" s="15" t="n">
        <f aca="false">M691*(1+IF(N$3&lt;=$O$2,$D691,$D691-($D691-$I$670)*MIN(N$3-$O$2,$Q$2)/$Q$2))</f>
        <v>4657.68957968072</v>
      </c>
      <c r="O691" s="15" t="n">
        <f aca="false">SUMPRODUCT(E691:N691,1/(1+$F$670)^$E$3:$N$3)*$E$2</f>
        <v>9822.40653703786</v>
      </c>
      <c r="P691" s="15" t="n">
        <f aca="false">N691*$E$2*(1+$I$670)/($F$670-$I$670)/(1+$F$670)^$N$3</f>
        <v>11189.1934377239</v>
      </c>
      <c r="Q691" s="15" t="n">
        <f aca="false">O691+P691</f>
        <v>21011.5999747618</v>
      </c>
      <c r="R691" s="15" t="n">
        <f aca="false">Q691-$G$2+$I$2</f>
        <v>15660.0399747618</v>
      </c>
      <c r="S691" s="42" t="n">
        <f aca="false">R691/$K$2</f>
        <v>725.001850683415</v>
      </c>
      <c r="T691" s="43" t="n">
        <f aca="false">S691-$M$2</f>
        <v>0.0018506834147729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0.0845270156860352</v>
      </c>
      <c r="C692" s="25" t="n">
        <f aca="false">IF(T691&gt;0,D691,C691)</f>
        <v>0.0845284461975098</v>
      </c>
      <c r="D692" s="41" t="n">
        <f aca="false">(B692+C692)/2</f>
        <v>0.0845277309417725</v>
      </c>
      <c r="E692" s="15" t="n">
        <f aca="false">$C$2*(1+IF(E$3&lt;=$O$2,$D692,$D692-($D692-$I$670)*MIN(E$3-$O$2,$Q$2)/$Q$2))</f>
        <v>2592.02127695084</v>
      </c>
      <c r="F692" s="15" t="n">
        <f aca="false">E692*(1+IF(F$3&lt;=$O$2,$D692,$D692-($D692-$I$670)*MIN(F$3-$O$2,$Q$2)/$Q$2))</f>
        <v>2811.11895404429</v>
      </c>
      <c r="G692" s="15" t="n">
        <f aca="false">F692*(1+IF(G$3&lt;=$O$2,$D692,$D692-($D692-$I$670)*MIN(G$3-$O$2,$Q$2)/$Q$2))</f>
        <v>3048.73646063706</v>
      </c>
      <c r="H692" s="15" t="n">
        <f aca="false">G692*(1+IF(H$3&lt;=$O$2,$D692,$D692-($D692-$I$670)*MIN(H$3-$O$2,$Q$2)/$Q$2))</f>
        <v>3306.43923589416</v>
      </c>
      <c r="I692" s="15" t="n">
        <f aca="false">H692*(1+IF(I$3&lt;=$O$2,$D692,$D692-($D692-$I$670)*MIN(I$3-$O$2,$Q$2)/$Q$2))</f>
        <v>3585.92504200114</v>
      </c>
      <c r="J692" s="15" t="n">
        <f aca="false">I692*(1+IF(J$3&lt;=$O$2,$D692,$D692-($D692-$I$670)*MIN(J$3-$O$2,$Q$2)/$Q$2))</f>
        <v>3852.29538848298</v>
      </c>
      <c r="K692" s="15" t="n">
        <f aca="false">J692*(1+IF(K$3&lt;=$O$2,$D692,$D692-($D692-$I$670)*MIN(K$3-$O$2,$Q$2)/$Q$2))</f>
        <v>4098.98343592112</v>
      </c>
      <c r="L692" s="15" t="n">
        <f aca="false">K692*(1+IF(L$3&lt;=$O$2,$D692,$D692-($D692-$I$670)*MIN(L$3-$O$2,$Q$2)/$Q$2))</f>
        <v>4319.47223257336</v>
      </c>
      <c r="M692" s="15" t="n">
        <f aca="false">L692*(1+IF(M$3&lt;=$O$2,$D692,$D692-($D692-$I$670)*MIN(M$3-$O$2,$Q$2)/$Q$2))</f>
        <v>4507.56601018619</v>
      </c>
      <c r="N692" s="15" t="n">
        <f aca="false">M692*(1+IF(N$3&lt;=$O$2,$D692,$D692-($D692-$I$670)*MIN(N$3-$O$2,$Q$2)/$Q$2))</f>
        <v>4657.66795832539</v>
      </c>
      <c r="O692" s="15" t="n">
        <f aca="false">SUMPRODUCT(E692:N692,1/(1+$F$670)^$E$3:$N$3)*$E$2</f>
        <v>9822.37657304957</v>
      </c>
      <c r="P692" s="15" t="n">
        <f aca="false">N692*$E$2*(1+$I$670)/($F$670-$I$670)/(1+$F$670)^$N$3</f>
        <v>11189.1414966224</v>
      </c>
      <c r="Q692" s="15" t="n">
        <f aca="false">O692+P692</f>
        <v>21011.518069672</v>
      </c>
      <c r="R692" s="15" t="n">
        <f aca="false">Q692-$G$2+$I$2</f>
        <v>15659.958069672</v>
      </c>
      <c r="S692" s="42" t="n">
        <f aca="false">R692/$K$2</f>
        <v>724.998058781111</v>
      </c>
      <c r="T692" s="43" t="n">
        <f aca="false">S692-$M$2</f>
        <v>-0.00194121888932841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0.0845277309417725</v>
      </c>
      <c r="C693" s="25" t="n">
        <f aca="false">IF(T692&gt;0,D692,C692)</f>
        <v>0.0845284461975098</v>
      </c>
      <c r="D693" s="41" t="n">
        <f aca="false">(B693+C693)/2</f>
        <v>0.0845280885696411</v>
      </c>
      <c r="E693" s="15" t="n">
        <f aca="false">$C$2*(1+IF(E$3&lt;=$O$2,$D693,$D693-($D693-$I$670)*MIN(E$3-$O$2,$Q$2)/$Q$2))</f>
        <v>2592.02213168144</v>
      </c>
      <c r="F693" s="15" t="n">
        <f aca="false">E693*(1+IF(F$3&lt;=$O$2,$D693,$D693-($D693-$I$670)*MIN(F$3-$O$2,$Q$2)/$Q$2))</f>
        <v>2811.12080800268</v>
      </c>
      <c r="G693" s="15" t="n">
        <f aca="false">F693*(1+IF(G$3&lt;=$O$2,$D693,$D693-($D693-$I$670)*MIN(G$3-$O$2,$Q$2)/$Q$2))</f>
        <v>3048.73947664149</v>
      </c>
      <c r="H693" s="15" t="n">
        <f aca="false">G693*(1+IF(H$3&lt;=$O$2,$D693,$D693-($D693-$I$670)*MIN(H$3-$O$2,$Q$2)/$Q$2))</f>
        <v>3306.44359714881</v>
      </c>
      <c r="I693" s="15" t="n">
        <f aca="false">H693*(1+IF(I$3&lt;=$O$2,$D693,$D693-($D693-$I$670)*MIN(I$3-$O$2,$Q$2)/$Q$2))</f>
        <v>3585.93095437912</v>
      </c>
      <c r="J693" s="15" t="n">
        <f aca="false">I693*(1+IF(J$3&lt;=$O$2,$D693,$D693-($D693-$I$670)*MIN(J$3-$O$2,$Q$2)/$Q$2))</f>
        <v>3852.30276598839</v>
      </c>
      <c r="K693" s="15" t="n">
        <f aca="false">J693*(1+IF(K$3&lt;=$O$2,$D693,$D693-($D693-$I$670)*MIN(K$3-$O$2,$Q$2)/$Q$2))</f>
        <v>4098.99211247168</v>
      </c>
      <c r="L693" s="15" t="n">
        <f aca="false">K693*(1+IF(L$3&lt;=$O$2,$D693,$D693-($D693-$I$670)*MIN(L$3-$O$2,$Q$2)/$Q$2))</f>
        <v>4319.48196221057</v>
      </c>
      <c r="M693" s="15" t="n">
        <f aca="false">L693*(1+IF(M$3&lt;=$O$2,$D693,$D693-($D693-$I$670)*MIN(M$3-$O$2,$Q$2)/$Q$2))</f>
        <v>4507.5764724592</v>
      </c>
      <c r="N693" s="15" t="n">
        <f aca="false">M693*(1+IF(N$3&lt;=$O$2,$D693,$D693-($D693-$I$670)*MIN(N$3-$O$2,$Q$2)/$Q$2))</f>
        <v>4657.67876899209</v>
      </c>
      <c r="O693" s="15" t="n">
        <f aca="false">SUMPRODUCT(E693:N693,1/(1+$F$670)^$E$3:$N$3)*$E$2</f>
        <v>9822.39155503224</v>
      </c>
      <c r="P693" s="15" t="n">
        <f aca="false">N693*$E$2*(1+$I$670)/($F$670-$I$670)/(1+$F$670)^$N$3</f>
        <v>11189.1674671468</v>
      </c>
      <c r="Q693" s="15" t="n">
        <f aca="false">O693+P693</f>
        <v>21011.5590221791</v>
      </c>
      <c r="R693" s="15" t="n">
        <f aca="false">Q693-$G$2+$I$2</f>
        <v>15659.9990221791</v>
      </c>
      <c r="S693" s="42" t="n">
        <f aca="false">R693/$K$2</f>
        <v>724.999954730512</v>
      </c>
      <c r="T693" s="43" t="n">
        <f aca="false">S693-$M$2</f>
        <v>-4.52694878276816E-005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0.0845280885696411</v>
      </c>
      <c r="C694" s="25" t="n">
        <f aca="false">IF(T693&gt;0,D693,C693)</f>
        <v>0.0845284461975098</v>
      </c>
      <c r="D694" s="41" t="n">
        <f aca="false">(B694+C694)/2</f>
        <v>0.0845282673835754</v>
      </c>
      <c r="E694" s="15" t="n">
        <f aca="false">$C$2*(1+IF(E$3&lt;=$O$2,$D694,$D694-($D694-$I$670)*MIN(E$3-$O$2,$Q$2)/$Q$2))</f>
        <v>2592.02255904675</v>
      </c>
      <c r="F694" s="15" t="n">
        <f aca="false">E694*(1+IF(F$3&lt;=$O$2,$D694,$D694-($D694-$I$670)*MIN(F$3-$O$2,$Q$2)/$Q$2))</f>
        <v>2811.12173498211</v>
      </c>
      <c r="G694" s="15" t="n">
        <f aca="false">F694*(1+IF(G$3&lt;=$O$2,$D694,$D694-($D694-$I$670)*MIN(G$3-$O$2,$Q$2)/$Q$2))</f>
        <v>3048.74098464446</v>
      </c>
      <c r="H694" s="15" t="n">
        <f aca="false">G694*(1+IF(H$3&lt;=$O$2,$D694,$D694-($D694-$I$670)*MIN(H$3-$O$2,$Q$2)/$Q$2))</f>
        <v>3306.44577777775</v>
      </c>
      <c r="I694" s="15" t="n">
        <f aca="false">H694*(1+IF(I$3&lt;=$O$2,$D694,$D694-($D694-$I$670)*MIN(I$3-$O$2,$Q$2)/$Q$2))</f>
        <v>3585.93391057104</v>
      </c>
      <c r="J694" s="15" t="n">
        <f aca="false">I694*(1+IF(J$3&lt;=$O$2,$D694,$D694-($D694-$I$670)*MIN(J$3-$O$2,$Q$2)/$Q$2))</f>
        <v>3852.30645474551</v>
      </c>
      <c r="K694" s="15" t="n">
        <f aca="false">J694*(1+IF(K$3&lt;=$O$2,$D694,$D694-($D694-$I$670)*MIN(K$3-$O$2,$Q$2)/$Q$2))</f>
        <v>4098.99645075284</v>
      </c>
      <c r="L694" s="15" t="n">
        <f aca="false">K694*(1+IF(L$3&lt;=$O$2,$D694,$D694-($D694-$I$670)*MIN(L$3-$O$2,$Q$2)/$Q$2))</f>
        <v>4319.4868270363</v>
      </c>
      <c r="M694" s="15" t="n">
        <f aca="false">L694*(1+IF(M$3&lt;=$O$2,$D694,$D694-($D694-$I$670)*MIN(M$3-$O$2,$Q$2)/$Q$2))</f>
        <v>4507.58170360366</v>
      </c>
      <c r="N694" s="15" t="n">
        <f aca="false">M694*(1+IF(N$3&lt;=$O$2,$D694,$D694-($D694-$I$670)*MIN(N$3-$O$2,$Q$2)/$Q$2))</f>
        <v>4657.68417433366</v>
      </c>
      <c r="O694" s="15" t="n">
        <f aca="false">SUMPRODUCT(E694:N694,1/(1+$F$670)^$E$3:$N$3)*$E$2</f>
        <v>9822.39904603218</v>
      </c>
      <c r="P694" s="15" t="n">
        <f aca="false">N694*$E$2*(1+$I$670)/($F$670-$I$670)/(1+$F$670)^$N$3</f>
        <v>11189.1804524288</v>
      </c>
      <c r="Q694" s="15" t="n">
        <f aca="false">O694+P694</f>
        <v>21011.579498461</v>
      </c>
      <c r="R694" s="15" t="n">
        <f aca="false">Q694-$G$2+$I$2</f>
        <v>15660.019498461</v>
      </c>
      <c r="S694" s="42" t="n">
        <f aca="false">R694/$K$2</f>
        <v>725.000902706526</v>
      </c>
      <c r="T694" s="43" t="n">
        <f aca="false">S694-$M$2</f>
        <v>0.000902706525721442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0.0845280885696411</v>
      </c>
      <c r="C695" s="25" t="n">
        <f aca="false">IF(T694&gt;0,D694,C694)</f>
        <v>0.0845282673835754</v>
      </c>
      <c r="D695" s="41" t="n">
        <f aca="false">(B695+C695)/2</f>
        <v>0.0845281779766083</v>
      </c>
      <c r="E695" s="15" t="n">
        <f aca="false">$C$2*(1+IF(E$3&lt;=$O$2,$D695,$D695-($D695-$I$670)*MIN(E$3-$O$2,$Q$2)/$Q$2))</f>
        <v>2592.02234536409</v>
      </c>
      <c r="F695" s="15" t="n">
        <f aca="false">E695*(1+IF(F$3&lt;=$O$2,$D695,$D695-($D695-$I$670)*MIN(F$3-$O$2,$Q$2)/$Q$2))</f>
        <v>2811.12127149238</v>
      </c>
      <c r="G695" s="15" t="n">
        <f aca="false">F695*(1+IF(G$3&lt;=$O$2,$D695,$D695-($D695-$I$670)*MIN(G$3-$O$2,$Q$2)/$Q$2))</f>
        <v>3048.74023064291</v>
      </c>
      <c r="H695" s="15" t="n">
        <f aca="false">G695*(1+IF(H$3&lt;=$O$2,$D695,$D695-($D695-$I$670)*MIN(H$3-$O$2,$Q$2)/$Q$2))</f>
        <v>3306.44468746314</v>
      </c>
      <c r="I695" s="15" t="n">
        <f aca="false">H695*(1+IF(I$3&lt;=$O$2,$D695,$D695-($D695-$I$670)*MIN(I$3-$O$2,$Q$2)/$Q$2))</f>
        <v>3585.93243247484</v>
      </c>
      <c r="J695" s="15" t="n">
        <f aca="false">I695*(1+IF(J$3&lt;=$O$2,$D695,$D695-($D695-$I$670)*MIN(J$3-$O$2,$Q$2)/$Q$2))</f>
        <v>3852.30461036658</v>
      </c>
      <c r="K695" s="15" t="n">
        <f aca="false">J695*(1+IF(K$3&lt;=$O$2,$D695,$D695-($D695-$I$670)*MIN(K$3-$O$2,$Q$2)/$Q$2))</f>
        <v>4098.99428161177</v>
      </c>
      <c r="L695" s="15" t="n">
        <f aca="false">K695*(1+IF(L$3&lt;=$O$2,$D695,$D695-($D695-$I$670)*MIN(L$3-$O$2,$Q$2)/$Q$2))</f>
        <v>4319.48439462284</v>
      </c>
      <c r="M695" s="15" t="n">
        <f aca="false">L695*(1+IF(M$3&lt;=$O$2,$D695,$D695-($D695-$I$670)*MIN(M$3-$O$2,$Q$2)/$Q$2))</f>
        <v>4507.57908803077</v>
      </c>
      <c r="N695" s="15" t="n">
        <f aca="false">M695*(1+IF(N$3&lt;=$O$2,$D695,$D695-($D695-$I$670)*MIN(N$3-$O$2,$Q$2)/$Q$2))</f>
        <v>4657.68147166219</v>
      </c>
      <c r="O695" s="15" t="n">
        <f aca="false">SUMPRODUCT(E695:N695,1/(1+$F$670)^$E$3:$N$3)*$E$2</f>
        <v>9822.3953005315</v>
      </c>
      <c r="P695" s="15" t="n">
        <f aca="false">N695*$E$2*(1+$I$670)/($F$670-$I$670)/(1+$F$670)^$N$3</f>
        <v>11189.1739597862</v>
      </c>
      <c r="Q695" s="15" t="n">
        <f aca="false">O695+P695</f>
        <v>21011.5692603177</v>
      </c>
      <c r="R695" s="15" t="n">
        <f aca="false">Q695-$G$2+$I$2</f>
        <v>15660.0092603177</v>
      </c>
      <c r="S695" s="42" t="n">
        <f aca="false">R695/$K$2</f>
        <v>725.00042871841</v>
      </c>
      <c r="T695" s="43" t="n">
        <f aca="false">S695-$M$2</f>
        <v>0.000428718409693829</v>
      </c>
    </row>
    <row r="697" customFormat="false" ht="15" hidden="false" customHeight="false" outlineLevel="0" collapsed="false">
      <c r="A697" s="38" t="s">
        <v>206</v>
      </c>
      <c r="E697" s="5" t="s">
        <v>11</v>
      </c>
      <c r="F697" s="12" t="n">
        <f aca="false">Sensitivity!$B$14</f>
        <v>0.106972178572932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162</v>
      </c>
      <c r="B698" s="28" t="s">
        <v>163</v>
      </c>
      <c r="C698" s="28" t="s">
        <v>164</v>
      </c>
      <c r="D698" s="28" t="s">
        <v>165</v>
      </c>
      <c r="E698" s="28" t="s">
        <v>166</v>
      </c>
      <c r="F698" s="28" t="s">
        <v>167</v>
      </c>
      <c r="G698" s="28" t="s">
        <v>168</v>
      </c>
      <c r="H698" s="28" t="s">
        <v>169</v>
      </c>
      <c r="I698" s="28" t="s">
        <v>170</v>
      </c>
      <c r="J698" s="28" t="s">
        <v>171</v>
      </c>
      <c r="K698" s="28" t="s">
        <v>172</v>
      </c>
      <c r="L698" s="28" t="s">
        <v>173</v>
      </c>
      <c r="M698" s="28" t="s">
        <v>174</v>
      </c>
      <c r="N698" s="28" t="s">
        <v>175</v>
      </c>
      <c r="O698" s="28" t="s">
        <v>176</v>
      </c>
      <c r="P698" s="28" t="s">
        <v>177</v>
      </c>
      <c r="Q698" s="28" t="s">
        <v>178</v>
      </c>
      <c r="R698" s="28" t="s">
        <v>179</v>
      </c>
      <c r="S698" s="28" t="s">
        <v>180</v>
      </c>
      <c r="T698" s="28" t="s">
        <v>181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2987.5</v>
      </c>
      <c r="F699" s="15" t="n">
        <f aca="false">E699*(1+IF(F$3&lt;=$O$2,$D699,$D699-($D699-$I$697)*MIN(F$3-$O$2,$Q$2)/$Q$2))</f>
        <v>3734.375</v>
      </c>
      <c r="G699" s="15" t="n">
        <f aca="false">F699*(1+IF(G$3&lt;=$O$2,$D699,$D699-($D699-$I$697)*MIN(G$3-$O$2,$Q$2)/$Q$2))</f>
        <v>4667.96875</v>
      </c>
      <c r="H699" s="15" t="n">
        <f aca="false">G699*(1+IF(H$3&lt;=$O$2,$D699,$D699-($D699-$I$697)*MIN(H$3-$O$2,$Q$2)/$Q$2))</f>
        <v>5834.9609375</v>
      </c>
      <c r="I699" s="15" t="n">
        <f aca="false">H699*(1+IF(I$3&lt;=$O$2,$D699,$D699-($D699-$I$697)*MIN(I$3-$O$2,$Q$2)/$Q$2))</f>
        <v>7293.701171875</v>
      </c>
      <c r="J699" s="15" t="n">
        <f aca="false">I699*(1+IF(J$3&lt;=$O$2,$D699,$D699-($D699-$I$697)*MIN(J$3-$O$2,$Q$2)/$Q$2))</f>
        <v>8808.31115722656</v>
      </c>
      <c r="K699" s="15" t="n">
        <f aca="false">J699*(1+IF(K$3&lt;=$O$2,$D699,$D699-($D699-$I$697)*MIN(K$3-$O$2,$Q$2)/$Q$2))</f>
        <v>10264.5011577393</v>
      </c>
      <c r="L699" s="15" t="n">
        <f aca="false">K699*(1+IF(L$3&lt;=$O$2,$D699,$D699-($D699-$I$697)*MIN(L$3-$O$2,$Q$2)/$Q$2))</f>
        <v>11526.829510118</v>
      </c>
      <c r="M699" s="15" t="n">
        <f aca="false">L699*(1+IF(M$3&lt;=$O$2,$D699,$D699-($D699-$I$697)*MIN(M$3-$O$2,$Q$2)/$Q$2))</f>
        <v>12456.353041814</v>
      </c>
      <c r="N699" s="15" t="n">
        <f aca="false">M699*(1+IF(N$3&lt;=$O$2,$D699,$D699-($D699-$I$697)*MIN(N$3-$O$2,$Q$2)/$Q$2))</f>
        <v>12933.4313633154</v>
      </c>
      <c r="O699" s="15" t="n">
        <f aca="false">SUMPRODUCT(E699:N699,1/(1+$F$697)^$E$3:$N$3)*$E$2</f>
        <v>19909.7583136371</v>
      </c>
      <c r="P699" s="15" t="n">
        <f aca="false">N699*$E$2*(1+$I$697)/($F$697-$I$697)/(1+$F$697)^$N$3</f>
        <v>33493.5449642873</v>
      </c>
      <c r="Q699" s="15" t="n">
        <f aca="false">O699+P699</f>
        <v>53403.3032779245</v>
      </c>
      <c r="R699" s="15" t="n">
        <f aca="false">Q699-$G$2+$I$2</f>
        <v>48051.7432779245</v>
      </c>
      <c r="S699" s="42" t="n">
        <f aca="false">R699/$K$2</f>
        <v>2224.61774434836</v>
      </c>
      <c r="T699" s="43" t="n">
        <f aca="false">S699-$M$2</f>
        <v>1499.61774434836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2091.25</v>
      </c>
      <c r="F700" s="15" t="n">
        <f aca="false">E700*(1+IF(F$3&lt;=$O$2,$D700,$D700-($D700-$I$697)*MIN(F$3-$O$2,$Q$2)/$Q$2))</f>
        <v>1829.84375</v>
      </c>
      <c r="G700" s="15" t="n">
        <f aca="false">F700*(1+IF(G$3&lt;=$O$2,$D700,$D700-($D700-$I$697)*MIN(G$3-$O$2,$Q$2)/$Q$2))</f>
        <v>1601.11328125</v>
      </c>
      <c r="H700" s="15" t="n">
        <f aca="false">G700*(1+IF(H$3&lt;=$O$2,$D700,$D700-($D700-$I$697)*MIN(H$3-$O$2,$Q$2)/$Q$2))</f>
        <v>1400.97412109375</v>
      </c>
      <c r="I700" s="15" t="n">
        <f aca="false">H700*(1+IF(I$3&lt;=$O$2,$D700,$D700-($D700-$I$697)*MIN(I$3-$O$2,$Q$2)/$Q$2))</f>
        <v>1225.85235595703</v>
      </c>
      <c r="J700" s="15" t="n">
        <f aca="false">I700*(1+IF(J$3&lt;=$O$2,$D700,$D700-($D700-$I$697)*MIN(J$3-$O$2,$Q$2)/$Q$2))</f>
        <v>1112.65714940796</v>
      </c>
      <c r="K700" s="15" t="n">
        <f aca="false">J700*(1+IF(K$3&lt;=$O$2,$D700,$D700-($D700-$I$697)*MIN(K$3-$O$2,$Q$2)/$Q$2))</f>
        <v>1046.25377073129</v>
      </c>
      <c r="L700" s="15" t="n">
        <f aca="false">K700*(1+IF(L$3&lt;=$O$2,$D700,$D700-($D700-$I$697)*MIN(L$3-$O$2,$Q$2)/$Q$2))</f>
        <v>1017.98399384613</v>
      </c>
      <c r="M700" s="15" t="n">
        <f aca="false">L700*(1+IF(M$3&lt;=$O$2,$D700,$D700-($D700-$I$697)*MIN(M$3-$O$2,$Q$2)/$Q$2))</f>
        <v>1023.72542357142</v>
      </c>
      <c r="N700" s="15" t="n">
        <f aca="false">M700*(1+IF(N$3&lt;=$O$2,$D700,$D700-($D700-$I$697)*MIN(N$3-$O$2,$Q$2)/$Q$2))</f>
        <v>1062.93410729421</v>
      </c>
      <c r="O700" s="15" t="n">
        <f aca="false">SUMPRODUCT(E700:N700,1/(1+$F$697)^$E$3:$N$3)*$E$2</f>
        <v>4068.83967611493</v>
      </c>
      <c r="P700" s="15" t="n">
        <f aca="false">N700*$E$2*(1+$I$697)/($F$697-$I$697)/(1+$F$697)^$N$3</f>
        <v>2752.66712418745</v>
      </c>
      <c r="Q700" s="15" t="n">
        <f aca="false">O700+P700</f>
        <v>6821.50680030238</v>
      </c>
      <c r="R700" s="15" t="n">
        <f aca="false">Q700-$G$2+$I$2</f>
        <v>1469.94680030238</v>
      </c>
      <c r="S700" s="42" t="n">
        <f aca="false">R700/$K$2</f>
        <v>68.0530926065919</v>
      </c>
      <c r="T700" s="43" t="n">
        <f aca="false">S700-$M$2</f>
        <v>-656.946907393408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2539.375</v>
      </c>
      <c r="F701" s="15" t="n">
        <f aca="false">E701*(1+IF(F$3&lt;=$O$2,$D701,$D701-($D701-$I$697)*MIN(F$3-$O$2,$Q$2)/$Q$2))</f>
        <v>2698.0859375</v>
      </c>
      <c r="G701" s="15" t="n">
        <f aca="false">F701*(1+IF(G$3&lt;=$O$2,$D701,$D701-($D701-$I$697)*MIN(G$3-$O$2,$Q$2)/$Q$2))</f>
        <v>2866.71630859375</v>
      </c>
      <c r="H701" s="15" t="n">
        <f aca="false">G701*(1+IF(H$3&lt;=$O$2,$D701,$D701-($D701-$I$697)*MIN(H$3-$O$2,$Q$2)/$Q$2))</f>
        <v>3045.88607788086</v>
      </c>
      <c r="I701" s="15" t="n">
        <f aca="false">H701*(1+IF(I$3&lt;=$O$2,$D701,$D701-($D701-$I$697)*MIN(I$3-$O$2,$Q$2)/$Q$2))</f>
        <v>3236.25395774841</v>
      </c>
      <c r="J701" s="15" t="n">
        <f aca="false">I701*(1+IF(J$3&lt;=$O$2,$D701,$D701-($D701-$I$697)*MIN(J$3-$O$2,$Q$2)/$Q$2))</f>
        <v>3422.85636095219</v>
      </c>
      <c r="K701" s="15" t="n">
        <f aca="false">J701*(1+IF(K$3&lt;=$O$2,$D701,$D701-($D701-$I$697)*MIN(K$3-$O$2,$Q$2)/$Q$2))</f>
        <v>3603.65163393768</v>
      </c>
      <c r="L701" s="15" t="n">
        <f aca="false">K701*(1+IF(L$3&lt;=$O$2,$D701,$D701-($D701-$I$697)*MIN(L$3-$O$2,$Q$2)/$Q$2))</f>
        <v>3776.55483933401</v>
      </c>
      <c r="M701" s="15" t="n">
        <f aca="false">L701*(1+IF(M$3&lt;=$O$2,$D701,$D701-($D701-$I$697)*MIN(M$3-$O$2,$Q$2)/$Q$2))</f>
        <v>3939.47541510288</v>
      </c>
      <c r="N701" s="15" t="n">
        <f aca="false">M701*(1+IF(N$3&lt;=$O$2,$D701,$D701-($D701-$I$697)*MIN(N$3-$O$2,$Q$2)/$Q$2))</f>
        <v>4090.35732350132</v>
      </c>
      <c r="O701" s="15" t="n">
        <f aca="false">SUMPRODUCT(E701:N701,1/(1+$F$697)^$E$3:$N$3)*$E$2</f>
        <v>8966.69142426446</v>
      </c>
      <c r="P701" s="15" t="n">
        <f aca="false">N701*$E$2*(1+$I$697)/($F$697-$I$697)/(1+$F$697)^$N$3</f>
        <v>10592.7470511255</v>
      </c>
      <c r="Q701" s="15" t="n">
        <f aca="false">O701+P701</f>
        <v>19559.43847539</v>
      </c>
      <c r="R701" s="15" t="n">
        <f aca="false">Q701-$G$2+$I$2</f>
        <v>14207.87847539</v>
      </c>
      <c r="S701" s="42" t="n">
        <f aca="false">R701/$K$2</f>
        <v>657.772151638424</v>
      </c>
      <c r="T701" s="43" t="n">
        <f aca="false">S701-$M$2</f>
        <v>-67.2278483615761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0.0625</v>
      </c>
      <c r="C702" s="25" t="n">
        <f aca="false">IF(T701&gt;0,D701,C701)</f>
        <v>0.25</v>
      </c>
      <c r="D702" s="41" t="n">
        <f aca="false">(B702+C702)/2</f>
        <v>0.15625</v>
      </c>
      <c r="E702" s="15" t="n">
        <f aca="false">$C$2*(1+IF(E$3&lt;=$O$2,$D702,$D702-($D702-$I$697)*MIN(E$3-$O$2,$Q$2)/$Q$2))</f>
        <v>2763.4375</v>
      </c>
      <c r="F702" s="15" t="n">
        <f aca="false">E702*(1+IF(F$3&lt;=$O$2,$D702,$D702-($D702-$I$697)*MIN(F$3-$O$2,$Q$2)/$Q$2))</f>
        <v>3195.224609375</v>
      </c>
      <c r="G702" s="15" t="n">
        <f aca="false">F702*(1+IF(G$3&lt;=$O$2,$D702,$D702-($D702-$I$697)*MIN(G$3-$O$2,$Q$2)/$Q$2))</f>
        <v>3694.47845458984</v>
      </c>
      <c r="H702" s="15" t="n">
        <f aca="false">G702*(1+IF(H$3&lt;=$O$2,$D702,$D702-($D702-$I$697)*MIN(H$3-$O$2,$Q$2)/$Q$2))</f>
        <v>4271.74071311951</v>
      </c>
      <c r="I702" s="15" t="n">
        <f aca="false">H702*(1+IF(I$3&lt;=$O$2,$D702,$D702-($D702-$I$697)*MIN(I$3-$O$2,$Q$2)/$Q$2))</f>
        <v>4939.20019954443</v>
      </c>
      <c r="J702" s="15" t="n">
        <f aca="false">I702*(1+IF(J$3&lt;=$O$2,$D702,$D702-($D702-$I$697)*MIN(J$3-$O$2,$Q$2)/$Q$2))</f>
        <v>5594.43449801599</v>
      </c>
      <c r="K702" s="15" t="n">
        <f aca="false">J702*(1+IF(K$3&lt;=$O$2,$D702,$D702-($D702-$I$697)*MIN(K$3-$O$2,$Q$2)/$Q$2))</f>
        <v>6204.6194687146</v>
      </c>
      <c r="L702" s="15" t="n">
        <f aca="false">K702*(1+IF(L$3&lt;=$O$2,$D702,$D702-($D702-$I$697)*MIN(L$3-$O$2,$Q$2)/$Q$2))</f>
        <v>6734.99034090032</v>
      </c>
      <c r="M702" s="15" t="n">
        <f aca="false">L702*(1+IF(M$3&lt;=$O$2,$D702,$D702-($D702-$I$697)*MIN(M$3-$O$2,$Q$2)/$Q$2))</f>
        <v>7151.81889309864</v>
      </c>
      <c r="N702" s="15" t="n">
        <f aca="false">M702*(1+IF(N$3&lt;=$O$2,$D702,$D702-($D702-$I$697)*MIN(N$3-$O$2,$Q$2)/$Q$2))</f>
        <v>7425.73355670432</v>
      </c>
      <c r="O702" s="15" t="n">
        <f aca="false">SUMPRODUCT(E702:N702,1/(1+$F$697)^$E$3:$N$3)*$E$2</f>
        <v>13378.4904708197</v>
      </c>
      <c r="P702" s="15" t="n">
        <f aca="false">N702*$E$2*(1+$I$697)/($F$697-$I$697)/(1+$F$697)^$N$3</f>
        <v>19230.3290432074</v>
      </c>
      <c r="Q702" s="15" t="n">
        <f aca="false">O702+P702</f>
        <v>32608.8195140271</v>
      </c>
      <c r="R702" s="15" t="n">
        <f aca="false">Q702-$G$2+$I$2</f>
        <v>27257.2595140271</v>
      </c>
      <c r="S702" s="42" t="n">
        <f aca="false">R702/$K$2</f>
        <v>1261.91016268644</v>
      </c>
      <c r="T702" s="43" t="n">
        <f aca="false">S702-$M$2</f>
        <v>536.910162686439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0.0625</v>
      </c>
      <c r="C703" s="25" t="n">
        <f aca="false">IF(T702&gt;0,D702,C702)</f>
        <v>0.15625</v>
      </c>
      <c r="D703" s="41" t="n">
        <f aca="false">(B703+C703)/2</f>
        <v>0.109375</v>
      </c>
      <c r="E703" s="15" t="n">
        <f aca="false">$C$2*(1+IF(E$3&lt;=$O$2,$D703,$D703-($D703-$I$697)*MIN(E$3-$O$2,$Q$2)/$Q$2))</f>
        <v>2651.40625</v>
      </c>
      <c r="F703" s="15" t="n">
        <f aca="false">E703*(1+IF(F$3&lt;=$O$2,$D703,$D703-($D703-$I$697)*MIN(F$3-$O$2,$Q$2)/$Q$2))</f>
        <v>2941.40380859375</v>
      </c>
      <c r="G703" s="15" t="n">
        <f aca="false">F703*(1+IF(G$3&lt;=$O$2,$D703,$D703-($D703-$I$697)*MIN(G$3-$O$2,$Q$2)/$Q$2))</f>
        <v>3263.11985015869</v>
      </c>
      <c r="H703" s="15" t="n">
        <f aca="false">G703*(1+IF(H$3&lt;=$O$2,$D703,$D703-($D703-$I$697)*MIN(H$3-$O$2,$Q$2)/$Q$2))</f>
        <v>3620.0235837698</v>
      </c>
      <c r="I703" s="15" t="n">
        <f aca="false">H703*(1+IF(I$3&lt;=$O$2,$D703,$D703-($D703-$I$697)*MIN(I$3-$O$2,$Q$2)/$Q$2))</f>
        <v>4015.96366324462</v>
      </c>
      <c r="J703" s="15" t="n">
        <f aca="false">I703*(1+IF(J$3&lt;=$O$2,$D703,$D703-($D703-$I$697)*MIN(J$3-$O$2,$Q$2)/$Q$2))</f>
        <v>4398.12276543898</v>
      </c>
      <c r="K703" s="15" t="n">
        <f aca="false">J703*(1+IF(K$3&lt;=$O$2,$D703,$D703-($D703-$I$697)*MIN(K$3-$O$2,$Q$2)/$Q$2))</f>
        <v>4754.12881268744</v>
      </c>
      <c r="L703" s="15" t="n">
        <f aca="false">K703*(1+IF(L$3&lt;=$O$2,$D703,$D703-($D703-$I$697)*MIN(L$3-$O$2,$Q$2)/$Q$2))</f>
        <v>5071.37182835807</v>
      </c>
      <c r="M703" s="15" t="n">
        <f aca="false">L703*(1+IF(M$3&lt;=$O$2,$D703,$D703-($D703-$I$697)*MIN(M$3-$O$2,$Q$2)/$Q$2))</f>
        <v>5337.69491992429</v>
      </c>
      <c r="N703" s="15" t="n">
        <f aca="false">M703*(1+IF(N$3&lt;=$O$2,$D703,$D703-($D703-$I$697)*MIN(N$3-$O$2,$Q$2)/$Q$2))</f>
        <v>5542.12863535739</v>
      </c>
      <c r="O703" s="15" t="n">
        <f aca="false">SUMPRODUCT(E703:N703,1/(1+$F$697)^$E$3:$N$3)*$E$2</f>
        <v>10953.4195852417</v>
      </c>
      <c r="P703" s="15" t="n">
        <f aca="false">N703*$E$2*(1+$I$697)/($F$697-$I$697)/(1+$F$697)^$N$3</f>
        <v>14352.3810063831</v>
      </c>
      <c r="Q703" s="15" t="n">
        <f aca="false">O703+P703</f>
        <v>25305.8005916247</v>
      </c>
      <c r="R703" s="15" t="n">
        <f aca="false">Q703-$G$2+$I$2</f>
        <v>19954.2405916247</v>
      </c>
      <c r="S703" s="42" t="n">
        <f aca="false">R703/$K$2</f>
        <v>923.80743479744</v>
      </c>
      <c r="T703" s="43" t="n">
        <f aca="false">S703-$M$2</f>
        <v>198.80743479744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0.0625</v>
      </c>
      <c r="C704" s="25" t="n">
        <f aca="false">IF(T703&gt;0,D703,C703)</f>
        <v>0.109375</v>
      </c>
      <c r="D704" s="41" t="n">
        <f aca="false">(B704+C704)/2</f>
        <v>0.0859375</v>
      </c>
      <c r="E704" s="15" t="n">
        <f aca="false">$C$2*(1+IF(E$3&lt;=$O$2,$D704,$D704-($D704-$I$697)*MIN(E$3-$O$2,$Q$2)/$Q$2))</f>
        <v>2595.390625</v>
      </c>
      <c r="F704" s="15" t="n">
        <f aca="false">E704*(1+IF(F$3&lt;=$O$2,$D704,$D704-($D704-$I$697)*MIN(F$3-$O$2,$Q$2)/$Q$2))</f>
        <v>2818.43200683594</v>
      </c>
      <c r="G704" s="15" t="n">
        <f aca="false">F704*(1+IF(G$3&lt;=$O$2,$D704,$D704-($D704-$I$697)*MIN(G$3-$O$2,$Q$2)/$Q$2))</f>
        <v>3060.6410074234</v>
      </c>
      <c r="H704" s="15" t="n">
        <f aca="false">G704*(1+IF(H$3&lt;=$O$2,$D704,$D704-($D704-$I$697)*MIN(H$3-$O$2,$Q$2)/$Q$2))</f>
        <v>3323.66484399885</v>
      </c>
      <c r="I704" s="15" t="n">
        <f aca="false">H704*(1+IF(I$3&lt;=$O$2,$D704,$D704-($D704-$I$697)*MIN(I$3-$O$2,$Q$2)/$Q$2))</f>
        <v>3609.29229153</v>
      </c>
      <c r="J704" s="15" t="n">
        <f aca="false">I704*(1+IF(J$3&lt;=$O$2,$D704,$D704-($D704-$I$697)*MIN(J$3-$O$2,$Q$2)/$Q$2))</f>
        <v>3885.07831552581</v>
      </c>
      <c r="K704" s="15" t="n">
        <f aca="false">J704*(1+IF(K$3&lt;=$O$2,$D704,$D704-($D704-$I$697)*MIN(K$3-$O$2,$Q$2)/$Q$2))</f>
        <v>4144.92206596396</v>
      </c>
      <c r="L704" s="15" t="n">
        <f aca="false">K704*(1+IF(L$3&lt;=$O$2,$D704,$D704-($D704-$I$697)*MIN(L$3-$O$2,$Q$2)/$Q$2))</f>
        <v>4382.65407105733</v>
      </c>
      <c r="M704" s="15" t="n">
        <f aca="false">L704*(1+IF(M$3&lt;=$O$2,$D704,$D704-($D704-$I$697)*MIN(M$3-$O$2,$Q$2)/$Q$2))</f>
        <v>4592.26545864082</v>
      </c>
      <c r="N704" s="15" t="n">
        <f aca="false">M704*(1+IF(N$3&lt;=$O$2,$D704,$D704-($D704-$I$697)*MIN(N$3-$O$2,$Q$2)/$Q$2))</f>
        <v>4768.14922570676</v>
      </c>
      <c r="O704" s="15" t="n">
        <f aca="false">SUMPRODUCT(E704:N704,1/(1+$F$697)^$E$3:$N$3)*$E$2</f>
        <v>9910.22347866217</v>
      </c>
      <c r="P704" s="15" t="n">
        <f aca="false">N704*$E$2*(1+$I$697)/($F$697-$I$697)/(1+$F$697)^$N$3</f>
        <v>12348.0162380281</v>
      </c>
      <c r="Q704" s="15" t="n">
        <f aca="false">O704+P704</f>
        <v>22258.2397166903</v>
      </c>
      <c r="R704" s="15" t="n">
        <f aca="false">Q704-$G$2+$I$2</f>
        <v>16906.6797166903</v>
      </c>
      <c r="S704" s="42" t="n">
        <f aca="false">R704/$K$2</f>
        <v>782.716653550477</v>
      </c>
      <c r="T704" s="43" t="n">
        <f aca="false">S704-$M$2</f>
        <v>57.7166535504774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0.0625</v>
      </c>
      <c r="C705" s="25" t="n">
        <f aca="false">IF(T704&gt;0,D704,C704)</f>
        <v>0.0859375</v>
      </c>
      <c r="D705" s="41" t="n">
        <f aca="false">(B705+C705)/2</f>
        <v>0.07421875</v>
      </c>
      <c r="E705" s="15" t="n">
        <f aca="false">$C$2*(1+IF(E$3&lt;=$O$2,$D705,$D705-($D705-$I$697)*MIN(E$3-$O$2,$Q$2)/$Q$2))</f>
        <v>2567.3828125</v>
      </c>
      <c r="F705" s="15" t="n">
        <f aca="false">E705*(1+IF(F$3&lt;=$O$2,$D705,$D705-($D705-$I$697)*MIN(F$3-$O$2,$Q$2)/$Q$2))</f>
        <v>2757.93075561523</v>
      </c>
      <c r="G705" s="15" t="n">
        <f aca="false">F705*(1+IF(G$3&lt;=$O$2,$D705,$D705-($D705-$I$697)*MIN(G$3-$O$2,$Q$2)/$Q$2))</f>
        <v>2962.62092888355</v>
      </c>
      <c r="H705" s="15" t="n">
        <f aca="false">G705*(1+IF(H$3&lt;=$O$2,$D705,$D705-($D705-$I$697)*MIN(H$3-$O$2,$Q$2)/$Q$2))</f>
        <v>3182.50295094913</v>
      </c>
      <c r="I705" s="15" t="n">
        <f aca="false">H705*(1+IF(I$3&lt;=$O$2,$D705,$D705-($D705-$I$697)*MIN(I$3-$O$2,$Q$2)/$Q$2))</f>
        <v>3418.70434183988</v>
      </c>
      <c r="J705" s="15" t="n">
        <f aca="false">I705*(1+IF(J$3&lt;=$O$2,$D705,$D705-($D705-$I$697)*MIN(J$3-$O$2,$Q$2)/$Q$2))</f>
        <v>3647.87718739512</v>
      </c>
      <c r="K705" s="15" t="n">
        <f aca="false">J705*(1+IF(K$3&lt;=$O$2,$D705,$D705-($D705-$I$697)*MIN(K$3-$O$2,$Q$2)/$Q$2))</f>
        <v>3866.2071969072</v>
      </c>
      <c r="L705" s="15" t="n">
        <f aca="false">K705*(1+IF(L$3&lt;=$O$2,$D705,$D705-($D705-$I$697)*MIN(L$3-$O$2,$Q$2)/$Q$2))</f>
        <v>4069.83066445031</v>
      </c>
      <c r="M705" s="15" t="n">
        <f aca="false">L705*(1+IF(M$3&lt;=$O$2,$D705,$D705-($D705-$I$697)*MIN(M$3-$O$2,$Q$2)/$Q$2))</f>
        <v>4254.94182493451</v>
      </c>
      <c r="N705" s="15" t="n">
        <f aca="false">M705*(1+IF(N$3&lt;=$O$2,$D705,$D705-($D705-$I$697)*MIN(N$3-$O$2,$Q$2)/$Q$2))</f>
        <v>4417.9060968295</v>
      </c>
      <c r="O705" s="15" t="n">
        <f aca="false">SUMPRODUCT(E705:N705,1/(1+$F$697)^$E$3:$N$3)*$E$2</f>
        <v>9426.57661882001</v>
      </c>
      <c r="P705" s="15" t="n">
        <f aca="false">N705*$E$2*(1+$I$697)/($F$697-$I$697)/(1+$F$697)^$N$3</f>
        <v>11440.9960006334</v>
      </c>
      <c r="Q705" s="15" t="n">
        <f aca="false">O705+P705</f>
        <v>20867.5726194534</v>
      </c>
      <c r="R705" s="15" t="n">
        <f aca="false">Q705-$G$2+$I$2</f>
        <v>15516.0126194534</v>
      </c>
      <c r="S705" s="42" t="n">
        <f aca="false">R705/$K$2</f>
        <v>718.333917567286</v>
      </c>
      <c r="T705" s="43" t="n">
        <f aca="false">S705-$M$2</f>
        <v>-6.66608243271401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0.07421875</v>
      </c>
      <c r="C706" s="25" t="n">
        <f aca="false">IF(T705&gt;0,D705,C705)</f>
        <v>0.0859375</v>
      </c>
      <c r="D706" s="41" t="n">
        <f aca="false">(B706+C706)/2</f>
        <v>0.080078125</v>
      </c>
      <c r="E706" s="15" t="n">
        <f aca="false">$C$2*(1+IF(E$3&lt;=$O$2,$D706,$D706-($D706-$I$697)*MIN(E$3-$O$2,$Q$2)/$Q$2))</f>
        <v>2581.38671875</v>
      </c>
      <c r="F706" s="15" t="n">
        <f aca="false">E706*(1+IF(F$3&lt;=$O$2,$D706,$D706-($D706-$I$697)*MIN(F$3-$O$2,$Q$2)/$Q$2))</f>
        <v>2788.0993270874</v>
      </c>
      <c r="G706" s="15" t="n">
        <f aca="false">F706*(1+IF(G$3&lt;=$O$2,$D706,$D706-($D706-$I$697)*MIN(G$3-$O$2,$Q$2)/$Q$2))</f>
        <v>3011.36509351432</v>
      </c>
      <c r="H706" s="15" t="n">
        <f aca="false">G706*(1+IF(H$3&lt;=$O$2,$D706,$D706-($D706-$I$697)*MIN(H$3-$O$2,$Q$2)/$Q$2))</f>
        <v>3252.5095638934</v>
      </c>
      <c r="I706" s="15" t="n">
        <f aca="false">H706*(1+IF(I$3&lt;=$O$2,$D706,$D706-($D706-$I$697)*MIN(I$3-$O$2,$Q$2)/$Q$2))</f>
        <v>3512.96443131455</v>
      </c>
      <c r="J706" s="15" t="n">
        <f aca="false">I706*(1+IF(J$3&lt;=$O$2,$D706,$D706-($D706-$I$697)*MIN(J$3-$O$2,$Q$2)/$Q$2))</f>
        <v>3764.92302273951</v>
      </c>
      <c r="K706" s="15" t="n">
        <f aca="false">J706*(1+IF(K$3&lt;=$O$2,$D706,$D706-($D706-$I$697)*MIN(K$3-$O$2,$Q$2)/$Q$2))</f>
        <v>4003.49442930607</v>
      </c>
      <c r="L706" s="15" t="n">
        <f aca="false">K706*(1+IF(L$3&lt;=$O$2,$D706,$D706-($D706-$I$697)*MIN(L$3-$O$2,$Q$2)/$Q$2))</f>
        <v>4223.73166223023</v>
      </c>
      <c r="M706" s="15" t="n">
        <f aca="false">L706*(1+IF(M$3&lt;=$O$2,$D706,$D706-($D706-$I$697)*MIN(M$3-$O$2,$Q$2)/$Q$2))</f>
        <v>4420.79250276387</v>
      </c>
      <c r="N706" s="15" t="n">
        <f aca="false">M706*(1+IF(N$3&lt;=$O$2,$D706,$D706-($D706-$I$697)*MIN(N$3-$O$2,$Q$2)/$Q$2))</f>
        <v>4590.10885561973</v>
      </c>
      <c r="O706" s="15" t="n">
        <f aca="false">SUMPRODUCT(E706:N706,1/(1+$F$697)^$E$3:$N$3)*$E$2</f>
        <v>9665.35952784166</v>
      </c>
      <c r="P706" s="15" t="n">
        <f aca="false">N706*$E$2*(1+$I$697)/($F$697-$I$697)/(1+$F$697)^$N$3</f>
        <v>11886.9473249567</v>
      </c>
      <c r="Q706" s="15" t="n">
        <f aca="false">O706+P706</f>
        <v>21552.3068527983</v>
      </c>
      <c r="R706" s="15" t="n">
        <f aca="false">Q706-$G$2+$I$2</f>
        <v>16200.7468527983</v>
      </c>
      <c r="S706" s="42" t="n">
        <f aca="false">R706/$K$2</f>
        <v>750.034576518441</v>
      </c>
      <c r="T706" s="43" t="n">
        <f aca="false">S706-$M$2</f>
        <v>25.0345765184405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0.07421875</v>
      </c>
      <c r="C707" s="25" t="n">
        <f aca="false">IF(T706&gt;0,D706,C706)</f>
        <v>0.080078125</v>
      </c>
      <c r="D707" s="41" t="n">
        <f aca="false">(B707+C707)/2</f>
        <v>0.0771484375</v>
      </c>
      <c r="E707" s="15" t="n">
        <f aca="false">$C$2*(1+IF(E$3&lt;=$O$2,$D707,$D707-($D707-$I$697)*MIN(E$3-$O$2,$Q$2)/$Q$2))</f>
        <v>2574.384765625</v>
      </c>
      <c r="F707" s="15" t="n">
        <f aca="false">E707*(1+IF(F$3&lt;=$O$2,$D707,$D707-($D707-$I$697)*MIN(F$3-$O$2,$Q$2)/$Q$2))</f>
        <v>2772.99452781677</v>
      </c>
      <c r="G707" s="15" t="n">
        <f aca="false">F707*(1+IF(G$3&lt;=$O$2,$D707,$D707-($D707-$I$697)*MIN(G$3-$O$2,$Q$2)/$Q$2))</f>
        <v>2986.92672283389</v>
      </c>
      <c r="H707" s="15" t="n">
        <f aca="false">G707*(1+IF(H$3&lt;=$O$2,$D707,$D707-($D707-$I$697)*MIN(H$3-$O$2,$Q$2)/$Q$2))</f>
        <v>3217.36345242752</v>
      </c>
      <c r="I707" s="15" t="n">
        <f aca="false">H707*(1+IF(I$3&lt;=$O$2,$D707,$D707-($D707-$I$697)*MIN(I$3-$O$2,$Q$2)/$Q$2))</f>
        <v>3465.57801565191</v>
      </c>
      <c r="J707" s="15" t="n">
        <f aca="false">I707*(1+IF(J$3&lt;=$O$2,$D707,$D707-($D707-$I$697)*MIN(J$3-$O$2,$Q$2)/$Q$2))</f>
        <v>3706.01548640532</v>
      </c>
      <c r="K707" s="15" t="n">
        <f aca="false">J707*(1+IF(K$3&lt;=$O$2,$D707,$D707-($D707-$I$697)*MIN(K$3-$O$2,$Q$2)/$Q$2))</f>
        <v>3934.33962613323</v>
      </c>
      <c r="L707" s="15" t="n">
        <f aca="false">K707*(1+IF(L$3&lt;=$O$2,$D707,$D707-($D707-$I$697)*MIN(L$3-$O$2,$Q$2)/$Q$2))</f>
        <v>4146.16201264198</v>
      </c>
      <c r="M707" s="15" t="n">
        <f aca="false">L707*(1+IF(M$3&lt;=$O$2,$D707,$D707-($D707-$I$697)*MIN(M$3-$O$2,$Q$2)/$Q$2))</f>
        <v>4337.17440088876</v>
      </c>
      <c r="N707" s="15" t="n">
        <f aca="false">M707*(1+IF(N$3&lt;=$O$2,$D707,$D707-($D707-$I$697)*MIN(N$3-$O$2,$Q$2)/$Q$2))</f>
        <v>4503.2881804428</v>
      </c>
      <c r="O707" s="15" t="n">
        <f aca="false">SUMPRODUCT(E707:N707,1/(1+$F$697)^$E$3:$N$3)*$E$2</f>
        <v>9545.21684470702</v>
      </c>
      <c r="P707" s="15" t="n">
        <f aca="false">N707*$E$2*(1+$I$697)/($F$697-$I$697)/(1+$F$697)^$N$3</f>
        <v>11662.1089115317</v>
      </c>
      <c r="Q707" s="15" t="n">
        <f aca="false">O707+P707</f>
        <v>21207.3257562387</v>
      </c>
      <c r="R707" s="15" t="n">
        <f aca="false">Q707-$G$2+$I$2</f>
        <v>15855.7657562387</v>
      </c>
      <c r="S707" s="42" t="n">
        <f aca="false">R707/$K$2</f>
        <v>734.063229455497</v>
      </c>
      <c r="T707" s="43" t="n">
        <f aca="false">S707-$M$2</f>
        <v>9.06322945549709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0.07421875</v>
      </c>
      <c r="C708" s="25" t="n">
        <f aca="false">IF(T707&gt;0,D707,C707)</f>
        <v>0.0771484375</v>
      </c>
      <c r="D708" s="41" t="n">
        <f aca="false">(B708+C708)/2</f>
        <v>0.07568359375</v>
      </c>
      <c r="E708" s="15" t="n">
        <f aca="false">$C$2*(1+IF(E$3&lt;=$O$2,$D708,$D708-($D708-$I$697)*MIN(E$3-$O$2,$Q$2)/$Q$2))</f>
        <v>2570.8837890625</v>
      </c>
      <c r="F708" s="15" t="n">
        <f aca="false">E708*(1+IF(F$3&lt;=$O$2,$D708,$D708-($D708-$I$697)*MIN(F$3-$O$2,$Q$2)/$Q$2))</f>
        <v>2765.45751333237</v>
      </c>
      <c r="G708" s="15" t="n">
        <f aca="false">F708*(1+IF(G$3&lt;=$O$2,$D708,$D708-($D708-$I$697)*MIN(G$3-$O$2,$Q$2)/$Q$2))</f>
        <v>2974.7572763043</v>
      </c>
      <c r="H708" s="15" t="n">
        <f aca="false">G708*(1+IF(H$3&lt;=$O$2,$D708,$D708-($D708-$I$697)*MIN(H$3-$O$2,$Q$2)/$Q$2))</f>
        <v>3199.89759750897</v>
      </c>
      <c r="I708" s="15" t="n">
        <f aca="false">H708*(1+IF(I$3&lt;=$O$2,$D708,$D708-($D708-$I$697)*MIN(I$3-$O$2,$Q$2)/$Q$2))</f>
        <v>3442.07734732044</v>
      </c>
      <c r="J708" s="15" t="n">
        <f aca="false">I708*(1+IF(J$3&lt;=$O$2,$D708,$D708-($D708-$I$697)*MIN(J$3-$O$2,$Q$2)/$Q$2))</f>
        <v>3676.85068668946</v>
      </c>
      <c r="K708" s="15" t="n">
        <f aca="false">J708*(1+IF(K$3&lt;=$O$2,$D708,$D708-($D708-$I$697)*MIN(K$3-$O$2,$Q$2)/$Q$2))</f>
        <v>3900.14640340003</v>
      </c>
      <c r="L708" s="15" t="n">
        <f aca="false">K708*(1+IF(L$3&lt;=$O$2,$D708,$D708-($D708-$I$697)*MIN(L$3-$O$2,$Q$2)/$Q$2))</f>
        <v>4107.84260613434</v>
      </c>
      <c r="M708" s="15" t="n">
        <f aca="false">L708*(1+IF(M$3&lt;=$O$2,$D708,$D708-($D708-$I$697)*MIN(M$3-$O$2,$Q$2)/$Q$2))</f>
        <v>4295.88616178462</v>
      </c>
      <c r="N708" s="15" t="n">
        <f aca="false">M708*(1+IF(N$3&lt;=$O$2,$D708,$D708-($D708-$I$697)*MIN(N$3-$O$2,$Q$2)/$Q$2))</f>
        <v>4460.41860178097</v>
      </c>
      <c r="O708" s="15" t="n">
        <f aca="false">SUMPRODUCT(E708:N708,1/(1+$F$697)^$E$3:$N$3)*$E$2</f>
        <v>9485.71002738838</v>
      </c>
      <c r="P708" s="15" t="n">
        <f aca="false">N708*$E$2*(1+$I$697)/($F$697-$I$697)/(1+$F$697)^$N$3</f>
        <v>11551.0901014283</v>
      </c>
      <c r="Q708" s="15" t="n">
        <f aca="false">O708+P708</f>
        <v>21036.8001288166</v>
      </c>
      <c r="R708" s="15" t="n">
        <f aca="false">Q708-$G$2+$I$2</f>
        <v>15685.2401288166</v>
      </c>
      <c r="S708" s="42" t="n">
        <f aca="false">R708/$K$2</f>
        <v>726.168524482252</v>
      </c>
      <c r="T708" s="43" t="n">
        <f aca="false">S708-$M$2</f>
        <v>1.16852448225188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0.07421875</v>
      </c>
      <c r="C709" s="25" t="n">
        <f aca="false">IF(T708&gt;0,D708,C708)</f>
        <v>0.07568359375</v>
      </c>
      <c r="D709" s="41" t="n">
        <f aca="false">(B709+C709)/2</f>
        <v>0.074951171875</v>
      </c>
      <c r="E709" s="15" t="n">
        <f aca="false">$C$2*(1+IF(E$3&lt;=$O$2,$D709,$D709-($D709-$I$697)*MIN(E$3-$O$2,$Q$2)/$Q$2))</f>
        <v>2569.13330078125</v>
      </c>
      <c r="F709" s="15" t="n">
        <f aca="false">E709*(1+IF(F$3&lt;=$O$2,$D709,$D709-($D709-$I$697)*MIN(F$3-$O$2,$Q$2)/$Q$2))</f>
        <v>2761.69285237789</v>
      </c>
      <c r="G709" s="15" t="n">
        <f aca="false">F709*(1+IF(G$3&lt;=$O$2,$D709,$D709-($D709-$I$697)*MIN(G$3-$O$2,$Q$2)/$Q$2))</f>
        <v>2968.68496802243</v>
      </c>
      <c r="H709" s="15" t="n">
        <f aca="false">G709*(1+IF(H$3&lt;=$O$2,$D709,$D709-($D709-$I$697)*MIN(H$3-$O$2,$Q$2)/$Q$2))</f>
        <v>3191.1913853034</v>
      </c>
      <c r="I709" s="15" t="n">
        <f aca="false">H709*(1+IF(I$3&lt;=$O$2,$D709,$D709-($D709-$I$697)*MIN(I$3-$O$2,$Q$2)/$Q$2))</f>
        <v>3430.3749193093</v>
      </c>
      <c r="J709" s="15" t="n">
        <f aca="false">I709*(1+IF(J$3&lt;=$O$2,$D709,$D709-($D709-$I$697)*MIN(J$3-$O$2,$Q$2)/$Q$2))</f>
        <v>3662.34008732948</v>
      </c>
      <c r="K709" s="15" t="n">
        <f aca="false">J709*(1+IF(K$3&lt;=$O$2,$D709,$D709-($D709-$I$697)*MIN(K$3-$O$2,$Q$2)/$Q$2))</f>
        <v>3883.14514627745</v>
      </c>
      <c r="L709" s="15" t="n">
        <f aca="false">K709*(1+IF(L$3&lt;=$O$2,$D709,$D709-($D709-$I$697)*MIN(L$3-$O$2,$Q$2)/$Q$2))</f>
        <v>4088.79833344859</v>
      </c>
      <c r="M709" s="15" t="n">
        <f aca="false">L709*(1+IF(M$3&lt;=$O$2,$D709,$D709-($D709-$I$697)*MIN(M$3-$O$2,$Q$2)/$Q$2))</f>
        <v>4275.37115971596</v>
      </c>
      <c r="N709" s="15" t="n">
        <f aca="false">M709*(1+IF(N$3&lt;=$O$2,$D709,$D709-($D709-$I$697)*MIN(N$3-$O$2,$Q$2)/$Q$2))</f>
        <v>4439.11787513308</v>
      </c>
      <c r="O709" s="15" t="n">
        <f aca="false">SUMPRODUCT(E709:N709,1/(1+$F$697)^$E$3:$N$3)*$E$2</f>
        <v>9456.09678424197</v>
      </c>
      <c r="P709" s="15" t="n">
        <f aca="false">N709*$E$2*(1+$I$697)/($F$697-$I$697)/(1+$F$697)^$N$3</f>
        <v>11495.9278768251</v>
      </c>
      <c r="Q709" s="15" t="n">
        <f aca="false">O709+P709</f>
        <v>20952.024661067</v>
      </c>
      <c r="R709" s="15" t="n">
        <f aca="false">Q709-$G$2+$I$2</f>
        <v>15600.464661067</v>
      </c>
      <c r="S709" s="42" t="n">
        <f aca="false">R709/$K$2</f>
        <v>722.243734308659</v>
      </c>
      <c r="T709" s="43" t="n">
        <f aca="false">S709-$M$2</f>
        <v>-2.7562656913409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0.074951171875</v>
      </c>
      <c r="C710" s="25" t="n">
        <f aca="false">IF(T709&gt;0,D709,C709)</f>
        <v>0.07568359375</v>
      </c>
      <c r="D710" s="41" t="n">
        <f aca="false">(B710+C710)/2</f>
        <v>0.0753173828125</v>
      </c>
      <c r="E710" s="15" t="n">
        <f aca="false">$C$2*(1+IF(E$3&lt;=$O$2,$D710,$D710-($D710-$I$697)*MIN(E$3-$O$2,$Q$2)/$Q$2))</f>
        <v>2570.00854492188</v>
      </c>
      <c r="F710" s="15" t="n">
        <f aca="false">E710*(1+IF(F$3&lt;=$O$2,$D710,$D710-($D710-$I$697)*MIN(F$3-$O$2,$Q$2)/$Q$2))</f>
        <v>2763.57486233115</v>
      </c>
      <c r="G710" s="15" t="n">
        <f aca="false">F710*(1+IF(G$3&lt;=$O$2,$D710,$D710-($D710-$I$697)*MIN(G$3-$O$2,$Q$2)/$Q$2))</f>
        <v>2971.72008816835</v>
      </c>
      <c r="H710" s="15" t="n">
        <f aca="false">G710*(1+IF(H$3&lt;=$O$2,$D710,$D710-($D710-$I$697)*MIN(H$3-$O$2,$Q$2)/$Q$2))</f>
        <v>3195.54226766052</v>
      </c>
      <c r="I710" s="15" t="n">
        <f aca="false">H710*(1+IF(I$3&lt;=$O$2,$D710,$D710-($D710-$I$697)*MIN(I$3-$O$2,$Q$2)/$Q$2))</f>
        <v>3436.22214792743</v>
      </c>
      <c r="J710" s="15" t="n">
        <f aca="false">I710*(1+IF(J$3&lt;=$O$2,$D710,$D710-($D710-$I$697)*MIN(J$3-$O$2,$Q$2)/$Q$2))</f>
        <v>3669.58941673595</v>
      </c>
      <c r="K710" s="15" t="n">
        <f aca="false">J710*(1+IF(K$3&lt;=$O$2,$D710,$D710-($D710-$I$697)*MIN(K$3-$O$2,$Q$2)/$Q$2))</f>
        <v>3891.63784911935</v>
      </c>
      <c r="L710" s="15" t="n">
        <f aca="false">K710*(1+IF(L$3&lt;=$O$2,$D710,$D710-($D710-$I$697)*MIN(L$3-$O$2,$Q$2)/$Q$2))</f>
        <v>4098.310877952</v>
      </c>
      <c r="M710" s="15" t="n">
        <f aca="false">L710*(1+IF(M$3&lt;=$O$2,$D710,$D710-($D710-$I$697)*MIN(M$3-$O$2,$Q$2)/$Q$2))</f>
        <v>4285.61793310832</v>
      </c>
      <c r="N710" s="15" t="n">
        <f aca="false">M710*(1+IF(N$3&lt;=$O$2,$D710,$D710-($D710-$I$697)*MIN(N$3-$O$2,$Q$2)/$Q$2))</f>
        <v>4449.75709994637</v>
      </c>
      <c r="O710" s="15" t="n">
        <f aca="false">SUMPRODUCT(E710:N710,1/(1+$F$697)^$E$3:$N$3)*$E$2</f>
        <v>9470.8917539731</v>
      </c>
      <c r="P710" s="15" t="n">
        <f aca="false">N710*$E$2*(1+$I$697)/($F$697-$I$697)/(1+$F$697)^$N$3</f>
        <v>11523.4801438653</v>
      </c>
      <c r="Q710" s="15" t="n">
        <f aca="false">O710+P710</f>
        <v>20994.3718978384</v>
      </c>
      <c r="R710" s="15" t="n">
        <f aca="false">Q710-$G$2+$I$2</f>
        <v>15642.8118978384</v>
      </c>
      <c r="S710" s="42" t="n">
        <f aca="false">R710/$K$2</f>
        <v>724.204254529558</v>
      </c>
      <c r="T710" s="43" t="n">
        <f aca="false">S710-$M$2</f>
        <v>-0.795745470442512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0.0753173828125</v>
      </c>
      <c r="C711" s="25" t="n">
        <f aca="false">IF(T710&gt;0,D710,C710)</f>
        <v>0.07568359375</v>
      </c>
      <c r="D711" s="41" t="n">
        <f aca="false">(B711+C711)/2</f>
        <v>0.07550048828125</v>
      </c>
      <c r="E711" s="15" t="n">
        <f aca="false">$C$2*(1+IF(E$3&lt;=$O$2,$D711,$D711-($D711-$I$697)*MIN(E$3-$O$2,$Q$2)/$Q$2))</f>
        <v>2570.44616699219</v>
      </c>
      <c r="F711" s="15" t="n">
        <f aca="false">E711*(1+IF(F$3&lt;=$O$2,$D711,$D711-($D711-$I$697)*MIN(F$3-$O$2,$Q$2)/$Q$2))</f>
        <v>2764.51610770077</v>
      </c>
      <c r="G711" s="15" t="n">
        <f aca="false">F711*(1+IF(G$3&lt;=$O$2,$D711,$D711-($D711-$I$697)*MIN(G$3-$O$2,$Q$2)/$Q$2))</f>
        <v>2973.23842369355</v>
      </c>
      <c r="H711" s="15" t="n">
        <f aca="false">G711*(1+IF(H$3&lt;=$O$2,$D711,$D711-($D711-$I$697)*MIN(H$3-$O$2,$Q$2)/$Q$2))</f>
        <v>3197.71937645899</v>
      </c>
      <c r="I711" s="15" t="n">
        <f aca="false">H711*(1+IF(I$3&lt;=$O$2,$D711,$D711-($D711-$I$697)*MIN(I$3-$O$2,$Q$2)/$Q$2))</f>
        <v>3439.14875076806</v>
      </c>
      <c r="J711" s="15" t="n">
        <f aca="false">I711*(1+IF(J$3&lt;=$O$2,$D711,$D711-($D711-$I$697)*MIN(J$3-$O$2,$Q$2)/$Q$2))</f>
        <v>3673.21855816281</v>
      </c>
      <c r="K711" s="15" t="n">
        <f aca="false">J711*(1+IF(K$3&lt;=$O$2,$D711,$D711-($D711-$I$697)*MIN(K$3-$O$2,$Q$2)/$Q$2))</f>
        <v>3895.89014329689</v>
      </c>
      <c r="L711" s="15" t="n">
        <f aca="false">K711*(1+IF(L$3&lt;=$O$2,$D711,$D711-($D711-$I$697)*MIN(L$3-$O$2,$Q$2)/$Q$2))</f>
        <v>4103.07434203347</v>
      </c>
      <c r="M711" s="15" t="n">
        <f aca="false">L711*(1+IF(M$3&lt;=$O$2,$D711,$D711-($D711-$I$697)*MIN(M$3-$O$2,$Q$2)/$Q$2))</f>
        <v>4290.74936312893</v>
      </c>
      <c r="N711" s="15" t="n">
        <f aca="false">M711*(1+IF(N$3&lt;=$O$2,$D711,$D711-($D711-$I$697)*MIN(N$3-$O$2,$Q$2)/$Q$2))</f>
        <v>4455.08506373677</v>
      </c>
      <c r="O711" s="15" t="n">
        <f aca="false">SUMPRODUCT(E711:N711,1/(1+$F$697)^$E$3:$N$3)*$E$2</f>
        <v>9478.29797557701</v>
      </c>
      <c r="P711" s="15" t="n">
        <f aca="false">N711*$E$2*(1+$I$697)/($F$697-$I$697)/(1+$F$697)^$N$3</f>
        <v>11537.2779048592</v>
      </c>
      <c r="Q711" s="15" t="n">
        <f aca="false">O711+P711</f>
        <v>21015.5758804362</v>
      </c>
      <c r="R711" s="15" t="n">
        <f aca="false">Q711-$G$2+$I$2</f>
        <v>15664.0158804362</v>
      </c>
      <c r="S711" s="42" t="n">
        <f aca="false">R711/$K$2</f>
        <v>725.185920390566</v>
      </c>
      <c r="T711" s="43" t="n">
        <f aca="false">S711-$M$2</f>
        <v>0.185920390566366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0.0753173828125</v>
      </c>
      <c r="C712" s="25" t="n">
        <f aca="false">IF(T711&gt;0,D711,C711)</f>
        <v>0.07550048828125</v>
      </c>
      <c r="D712" s="41" t="n">
        <f aca="false">(B712+C712)/2</f>
        <v>0.075408935546875</v>
      </c>
      <c r="E712" s="15" t="n">
        <f aca="false">$C$2*(1+IF(E$3&lt;=$O$2,$D712,$D712-($D712-$I$697)*MIN(E$3-$O$2,$Q$2)/$Q$2))</f>
        <v>2570.22735595703</v>
      </c>
      <c r="F712" s="15" t="n">
        <f aca="false">E712*(1+IF(F$3&lt;=$O$2,$D712,$D712-($D712-$I$697)*MIN(F$3-$O$2,$Q$2)/$Q$2))</f>
        <v>2764.04546498321</v>
      </c>
      <c r="G712" s="15" t="n">
        <f aca="false">F712*(1+IF(G$3&lt;=$O$2,$D712,$D712-($D712-$I$697)*MIN(G$3-$O$2,$Q$2)/$Q$2))</f>
        <v>2972.47919130076</v>
      </c>
      <c r="H712" s="15" t="n">
        <f aca="false">G712*(1+IF(H$3&lt;=$O$2,$D712,$D712-($D712-$I$697)*MIN(H$3-$O$2,$Q$2)/$Q$2))</f>
        <v>3196.63068305199</v>
      </c>
      <c r="I712" s="15" t="n">
        <f aca="false">H712*(1+IF(I$3&lt;=$O$2,$D712,$D712-($D712-$I$697)*MIN(I$3-$O$2,$Q$2)/$Q$2))</f>
        <v>3437.68520019742</v>
      </c>
      <c r="J712" s="15" t="n">
        <f aca="false">I712*(1+IF(J$3&lt;=$O$2,$D712,$D712-($D712-$I$697)*MIN(J$3-$O$2,$Q$2)/$Q$2))</f>
        <v>3671.40361418464</v>
      </c>
      <c r="K712" s="15" t="n">
        <f aca="false">J712*(1+IF(K$3&lt;=$O$2,$D712,$D712-($D712-$I$697)*MIN(K$3-$O$2,$Q$2)/$Q$2))</f>
        <v>3893.76350065911</v>
      </c>
      <c r="L712" s="15" t="n">
        <f aca="false">K712*(1+IF(L$3&lt;=$O$2,$D712,$D712-($D712-$I$697)*MIN(L$3-$O$2,$Q$2)/$Q$2))</f>
        <v>4100.69201024665</v>
      </c>
      <c r="M712" s="15" t="n">
        <f aca="false">L712*(1+IF(M$3&lt;=$O$2,$D712,$D712-($D712-$I$697)*MIN(M$3-$O$2,$Q$2)/$Q$2))</f>
        <v>4288.18297734026</v>
      </c>
      <c r="N712" s="15" t="n">
        <f aca="false">M712*(1+IF(N$3&lt;=$O$2,$D712,$D712-($D712-$I$697)*MIN(N$3-$O$2,$Q$2)/$Q$2))</f>
        <v>4452.4203853724</v>
      </c>
      <c r="O712" s="15" t="n">
        <f aca="false">SUMPRODUCT(E712:N712,1/(1+$F$697)^$E$3:$N$3)*$E$2</f>
        <v>9474.59413626713</v>
      </c>
      <c r="P712" s="15" t="n">
        <f aca="false">N712*$E$2*(1+$I$697)/($F$697-$I$697)/(1+$F$697)^$N$3</f>
        <v>11530.3772207248</v>
      </c>
      <c r="Q712" s="15" t="n">
        <f aca="false">O712+P712</f>
        <v>21004.9713569919</v>
      </c>
      <c r="R712" s="15" t="n">
        <f aca="false">Q712-$G$2+$I$2</f>
        <v>15653.4113569919</v>
      </c>
      <c r="S712" s="42" t="n">
        <f aca="false">R712/$K$2</f>
        <v>724.694970231108</v>
      </c>
      <c r="T712" s="43" t="n">
        <f aca="false">S712-$M$2</f>
        <v>-0.305029768892041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0.075408935546875</v>
      </c>
      <c r="C713" s="25" t="n">
        <f aca="false">IF(T712&gt;0,D712,C712)</f>
        <v>0.07550048828125</v>
      </c>
      <c r="D713" s="41" t="n">
        <f aca="false">(B713+C713)/2</f>
        <v>0.0754547119140625</v>
      </c>
      <c r="E713" s="15" t="n">
        <f aca="false">$C$2*(1+IF(E$3&lt;=$O$2,$D713,$D713-($D713-$I$697)*MIN(E$3-$O$2,$Q$2)/$Q$2))</f>
        <v>2570.33676147461</v>
      </c>
      <c r="F713" s="15" t="n">
        <f aca="false">E713*(1+IF(F$3&lt;=$O$2,$D713,$D713-($D713-$I$697)*MIN(F$3-$O$2,$Q$2)/$Q$2))</f>
        <v>2764.2807813338</v>
      </c>
      <c r="G713" s="15" t="n">
        <f aca="false">F713*(1+IF(G$3&lt;=$O$2,$D713,$D713-($D713-$I$697)*MIN(G$3-$O$2,$Q$2)/$Q$2))</f>
        <v>2972.85879133892</v>
      </c>
      <c r="H713" s="15" t="n">
        <f aca="false">G713*(1+IF(H$3&lt;=$O$2,$D713,$D713-($D713-$I$697)*MIN(H$3-$O$2,$Q$2)/$Q$2))</f>
        <v>3197.17499500059</v>
      </c>
      <c r="I713" s="15" t="n">
        <f aca="false">H713*(1+IF(I$3&lt;=$O$2,$D713,$D713-($D713-$I$697)*MIN(I$3-$O$2,$Q$2)/$Q$2))</f>
        <v>3438.4169131872</v>
      </c>
      <c r="J713" s="15" t="n">
        <f aca="false">I713*(1+IF(J$3&lt;=$O$2,$D713,$D713-($D713-$I$697)*MIN(J$3-$O$2,$Q$2)/$Q$2))</f>
        <v>3672.3109928422</v>
      </c>
      <c r="K713" s="15" t="n">
        <f aca="false">J713*(1+IF(K$3&lt;=$O$2,$D713,$D713-($D713-$I$697)*MIN(K$3-$O$2,$Q$2)/$Q$2))</f>
        <v>3894.82669806679</v>
      </c>
      <c r="L713" s="15" t="n">
        <f aca="false">K713*(1+IF(L$3&lt;=$O$2,$D713,$D713-($D713-$I$697)*MIN(L$3-$O$2,$Q$2)/$Q$2))</f>
        <v>4101.8830261715</v>
      </c>
      <c r="M713" s="15" t="n">
        <f aca="false">L713*(1+IF(M$3&lt;=$O$2,$D713,$D713-($D713-$I$697)*MIN(M$3-$O$2,$Q$2)/$Q$2))</f>
        <v>4289.46600250239</v>
      </c>
      <c r="N713" s="15" t="n">
        <f aca="false">M713*(1+IF(N$3&lt;=$O$2,$D713,$D713-($D713-$I$697)*MIN(N$3-$O$2,$Q$2)/$Q$2))</f>
        <v>4453.75255039823</v>
      </c>
      <c r="O713" s="15" t="n">
        <f aca="false">SUMPRODUCT(E713:N713,1/(1+$F$697)^$E$3:$N$3)*$E$2</f>
        <v>9476.4458737616</v>
      </c>
      <c r="P713" s="15" t="n">
        <f aca="false">N713*$E$2*(1+$I$697)/($F$697-$I$697)/(1+$F$697)^$N$3</f>
        <v>11533.8271117815</v>
      </c>
      <c r="Q713" s="15" t="n">
        <f aca="false">O713+P713</f>
        <v>21010.2729855431</v>
      </c>
      <c r="R713" s="15" t="n">
        <f aca="false">Q713-$G$2+$I$2</f>
        <v>15658.7129855431</v>
      </c>
      <c r="S713" s="42" t="n">
        <f aca="false">R713/$K$2</f>
        <v>724.940415997365</v>
      </c>
      <c r="T713" s="43" t="n">
        <f aca="false">S713-$M$2</f>
        <v>-0.0595840026351198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0.0754547119140625</v>
      </c>
      <c r="C714" s="25" t="n">
        <f aca="false">IF(T713&gt;0,D713,C713)</f>
        <v>0.07550048828125</v>
      </c>
      <c r="D714" s="41" t="n">
        <f aca="false">(B714+C714)/2</f>
        <v>0.0754776000976563</v>
      </c>
      <c r="E714" s="15" t="n">
        <f aca="false">$C$2*(1+IF(E$3&lt;=$O$2,$D714,$D714-($D714-$I$697)*MIN(E$3-$O$2,$Q$2)/$Q$2))</f>
        <v>2570.3914642334</v>
      </c>
      <c r="F714" s="15" t="n">
        <f aca="false">E714*(1+IF(F$3&lt;=$O$2,$D714,$D714-($D714-$I$697)*MIN(F$3-$O$2,$Q$2)/$Q$2))</f>
        <v>2764.39844326524</v>
      </c>
      <c r="G714" s="15" t="n">
        <f aca="false">F714*(1+IF(G$3&lt;=$O$2,$D714,$D714-($D714-$I$697)*MIN(G$3-$O$2,$Q$2)/$Q$2))</f>
        <v>2973.04860347659</v>
      </c>
      <c r="H714" s="15" t="n">
        <f aca="false">G714*(1+IF(H$3&lt;=$O$2,$D714,$D714-($D714-$I$697)*MIN(H$3-$O$2,$Q$2)/$Q$2))</f>
        <v>3197.4471770407</v>
      </c>
      <c r="I714" s="15" t="n">
        <f aca="false">H714*(1+IF(I$3&lt;=$O$2,$D714,$D714-($D714-$I$697)*MIN(I$3-$O$2,$Q$2)/$Q$2))</f>
        <v>3438.78281640275</v>
      </c>
      <c r="J714" s="15" t="n">
        <f aca="false">I714*(1+IF(J$3&lt;=$O$2,$D714,$D714-($D714-$I$697)*MIN(J$3-$O$2,$Q$2)/$Q$2))</f>
        <v>3672.76475216771</v>
      </c>
      <c r="K714" s="15" t="n">
        <f aca="false">J714*(1+IF(K$3&lt;=$O$2,$D714,$D714-($D714-$I$697)*MIN(K$3-$O$2,$Q$2)/$Q$2))</f>
        <v>3895.35838970105</v>
      </c>
      <c r="L714" s="15" t="n">
        <f aca="false">K714*(1+IF(L$3&lt;=$O$2,$D714,$D714-($D714-$I$697)*MIN(L$3-$O$2,$Q$2)/$Q$2))</f>
        <v>4102.47864660634</v>
      </c>
      <c r="M714" s="15" t="n">
        <f aca="false">L714*(1+IF(M$3&lt;=$O$2,$D714,$D714-($D714-$I$697)*MIN(M$3-$O$2,$Q$2)/$Q$2))</f>
        <v>4290.1076408779</v>
      </c>
      <c r="N714" s="15" t="n">
        <f aca="false">M714*(1+IF(N$3&lt;=$O$2,$D714,$D714-($D714-$I$697)*MIN(N$3-$O$2,$Q$2)/$Q$2))</f>
        <v>4454.41876352353</v>
      </c>
      <c r="O714" s="15" t="n">
        <f aca="false">SUMPRODUCT(E714:N714,1/(1+$F$697)^$E$3:$N$3)*$E$2</f>
        <v>9477.371879125</v>
      </c>
      <c r="P714" s="15" t="n">
        <f aca="false">N714*$E$2*(1+$I$697)/($F$697-$I$697)/(1+$F$697)^$N$3</f>
        <v>11535.5523955551</v>
      </c>
      <c r="Q714" s="15" t="n">
        <f aca="false">O714+P714</f>
        <v>21012.9242746801</v>
      </c>
      <c r="R714" s="15" t="n">
        <f aca="false">Q714-$G$2+$I$2</f>
        <v>15661.3642746801</v>
      </c>
      <c r="S714" s="42" t="n">
        <f aca="false">R714/$K$2</f>
        <v>725.063160864818</v>
      </c>
      <c r="T714" s="43" t="n">
        <f aca="false">S714-$M$2</f>
        <v>0.0631608648184283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0.0754547119140625</v>
      </c>
      <c r="C715" s="25" t="n">
        <f aca="false">IF(T714&gt;0,D714,C714)</f>
        <v>0.0754776000976563</v>
      </c>
      <c r="D715" s="41" t="n">
        <f aca="false">(B715+C715)/2</f>
        <v>0.0754661560058594</v>
      </c>
      <c r="E715" s="15" t="n">
        <f aca="false">$C$2*(1+IF(E$3&lt;=$O$2,$D715,$D715-($D715-$I$697)*MIN(E$3-$O$2,$Q$2)/$Q$2))</f>
        <v>2570.364112854</v>
      </c>
      <c r="F715" s="15" t="n">
        <f aca="false">E715*(1+IF(F$3&lt;=$O$2,$D715,$D715-($D715-$I$697)*MIN(F$3-$O$2,$Q$2)/$Q$2))</f>
        <v>2764.33961198651</v>
      </c>
      <c r="G715" s="15" t="n">
        <f aca="false">F715*(1+IF(G$3&lt;=$O$2,$D715,$D715-($D715-$I$697)*MIN(G$3-$O$2,$Q$2)/$Q$2))</f>
        <v>2972.95369639786</v>
      </c>
      <c r="H715" s="15" t="n">
        <f aca="false">G715*(1+IF(H$3&lt;=$O$2,$D715,$D715-($D715-$I$697)*MIN(H$3-$O$2,$Q$2)/$Q$2))</f>
        <v>3197.31108384841</v>
      </c>
      <c r="I715" s="15" t="n">
        <f aca="false">H715*(1+IF(I$3&lt;=$O$2,$D715,$D715-($D715-$I$697)*MIN(I$3-$O$2,$Q$2)/$Q$2))</f>
        <v>3438.59986090138</v>
      </c>
      <c r="J715" s="15" t="n">
        <f aca="false">I715*(1+IF(J$3&lt;=$O$2,$D715,$D715-($D715-$I$697)*MIN(J$3-$O$2,$Q$2)/$Q$2))</f>
        <v>3672.53786667149</v>
      </c>
      <c r="K715" s="15" t="n">
        <f aca="false">J715*(1+IF(K$3&lt;=$O$2,$D715,$D715-($D715-$I$697)*MIN(K$3-$O$2,$Q$2)/$Q$2))</f>
        <v>3895.0925361391</v>
      </c>
      <c r="L715" s="15" t="n">
        <f aca="false">K715*(1+IF(L$3&lt;=$O$2,$D715,$D715-($D715-$I$697)*MIN(L$3-$O$2,$Q$2)/$Q$2))</f>
        <v>4102.18082701539</v>
      </c>
      <c r="M715" s="15" t="n">
        <f aca="false">L715*(1+IF(M$3&lt;=$O$2,$D715,$D715-($D715-$I$697)*MIN(M$3-$O$2,$Q$2)/$Q$2))</f>
        <v>4289.78681120629</v>
      </c>
      <c r="N715" s="15" t="n">
        <f aca="false">M715*(1+IF(N$3&lt;=$O$2,$D715,$D715-($D715-$I$697)*MIN(N$3-$O$2,$Q$2)/$Q$2))</f>
        <v>4454.0856460755</v>
      </c>
      <c r="O715" s="15" t="n">
        <f aca="false">SUMPRODUCT(E715:N715,1/(1+$F$697)^$E$3:$N$3)*$E$2</f>
        <v>9476.90886505774</v>
      </c>
      <c r="P715" s="15" t="n">
        <f aca="false">N715*$E$2*(1+$I$697)/($F$697-$I$697)/(1+$F$697)^$N$3</f>
        <v>11534.6897254785</v>
      </c>
      <c r="Q715" s="15" t="n">
        <f aca="false">O715+P715</f>
        <v>21011.5985905363</v>
      </c>
      <c r="R715" s="15" t="n">
        <f aca="false">Q715-$G$2+$I$2</f>
        <v>15660.0385905363</v>
      </c>
      <c r="S715" s="42" t="n">
        <f aca="false">R715/$K$2</f>
        <v>725.001786598902</v>
      </c>
      <c r="T715" s="43" t="n">
        <f aca="false">S715-$M$2</f>
        <v>0.00178659890229937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0.0754547119140625</v>
      </c>
      <c r="C716" s="25" t="n">
        <f aca="false">IF(T715&gt;0,D715,C715)</f>
        <v>0.0754661560058594</v>
      </c>
      <c r="D716" s="41" t="n">
        <f aca="false">(B716+C716)/2</f>
        <v>0.0754604339599609</v>
      </c>
      <c r="E716" s="15" t="n">
        <f aca="false">$C$2*(1+IF(E$3&lt;=$O$2,$D716,$D716-($D716-$I$697)*MIN(E$3-$O$2,$Q$2)/$Q$2))</f>
        <v>2570.35043716431</v>
      </c>
      <c r="F716" s="15" t="n">
        <f aca="false">E716*(1+IF(F$3&lt;=$O$2,$D716,$D716-($D716-$I$697)*MIN(F$3-$O$2,$Q$2)/$Q$2))</f>
        <v>2764.3101965819</v>
      </c>
      <c r="G716" s="15" t="n">
        <f aca="false">F716*(1+IF(G$3&lt;=$O$2,$D716,$D716-($D716-$I$697)*MIN(G$3-$O$2,$Q$2)/$Q$2))</f>
        <v>2972.90624361592</v>
      </c>
      <c r="H716" s="15" t="n">
        <f aca="false">G716*(1+IF(H$3&lt;=$O$2,$D716,$D716-($D716-$I$697)*MIN(H$3-$O$2,$Q$2)/$Q$2))</f>
        <v>3197.24303888145</v>
      </c>
      <c r="I716" s="15" t="n">
        <f aca="false">H716*(1+IF(I$3&lt;=$O$2,$D716,$D716-($D716-$I$697)*MIN(I$3-$O$2,$Q$2)/$Q$2))</f>
        <v>3438.50838607091</v>
      </c>
      <c r="J716" s="15" t="n">
        <f aca="false">I716*(1+IF(J$3&lt;=$O$2,$D716,$D716-($D716-$I$697)*MIN(J$3-$O$2,$Q$2)/$Q$2))</f>
        <v>3672.42442829851</v>
      </c>
      <c r="K716" s="15" t="n">
        <f aca="false">J716*(1+IF(K$3&lt;=$O$2,$D716,$D716-($D716-$I$697)*MIN(K$3-$O$2,$Q$2)/$Q$2))</f>
        <v>3894.95961516679</v>
      </c>
      <c r="L716" s="15" t="n">
        <f aca="false">K716*(1+IF(L$3&lt;=$O$2,$D716,$D716-($D716-$I$697)*MIN(L$3-$O$2,$Q$2)/$Q$2))</f>
        <v>4102.03192425012</v>
      </c>
      <c r="M716" s="15" t="n">
        <f aca="false">L716*(1+IF(M$3&lt;=$O$2,$D716,$D716-($D716-$I$697)*MIN(M$3-$O$2,$Q$2)/$Q$2))</f>
        <v>4289.62640423345</v>
      </c>
      <c r="N716" s="15" t="n">
        <f aca="false">M716*(1+IF(N$3&lt;=$O$2,$D716,$D716-($D716-$I$697)*MIN(N$3-$O$2,$Q$2)/$Q$2))</f>
        <v>4453.91909551559</v>
      </c>
      <c r="O716" s="15" t="n">
        <f aca="false">SUMPRODUCT(E716:N716,1/(1+$F$697)^$E$3:$N$3)*$E$2</f>
        <v>9476.67736656335</v>
      </c>
      <c r="P716" s="15" t="n">
        <f aca="false">N716*$E$2*(1+$I$697)/($F$697-$I$697)/(1+$F$697)^$N$3</f>
        <v>11534.2584115828</v>
      </c>
      <c r="Q716" s="15" t="n">
        <f aca="false">O716+P716</f>
        <v>21010.9357781461</v>
      </c>
      <c r="R716" s="15" t="n">
        <f aca="false">Q716-$G$2+$I$2</f>
        <v>15659.3757781461</v>
      </c>
      <c r="S716" s="42" t="n">
        <f aca="false">R716/$K$2</f>
        <v>724.971100840098</v>
      </c>
      <c r="T716" s="43" t="n">
        <f aca="false">S716-$M$2</f>
        <v>-0.0288991599018118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0.0754604339599609</v>
      </c>
      <c r="C717" s="25" t="n">
        <f aca="false">IF(T716&gt;0,D716,C716)</f>
        <v>0.0754661560058594</v>
      </c>
      <c r="D717" s="41" t="n">
        <f aca="false">(B717+C717)/2</f>
        <v>0.0754632949829102</v>
      </c>
      <c r="E717" s="15" t="n">
        <f aca="false">$C$2*(1+IF(E$3&lt;=$O$2,$D717,$D717-($D717-$I$697)*MIN(E$3-$O$2,$Q$2)/$Q$2))</f>
        <v>2570.35727500916</v>
      </c>
      <c r="F717" s="15" t="n">
        <f aca="false">E717*(1+IF(F$3&lt;=$O$2,$D717,$D717-($D717-$I$697)*MIN(F$3-$O$2,$Q$2)/$Q$2))</f>
        <v>2764.32490426464</v>
      </c>
      <c r="G717" s="15" t="n">
        <f aca="false">F717*(1+IF(G$3&lt;=$O$2,$D717,$D717-($D717-$I$697)*MIN(G$3-$O$2,$Q$2)/$Q$2))</f>
        <v>2972.92996994377</v>
      </c>
      <c r="H717" s="15" t="n">
        <f aca="false">G717*(1+IF(H$3&lt;=$O$2,$D717,$D717-($D717-$I$697)*MIN(H$3-$O$2,$Q$2)/$Q$2))</f>
        <v>3197.27706122917</v>
      </c>
      <c r="I717" s="15" t="n">
        <f aca="false">H717*(1+IF(I$3&lt;=$O$2,$D717,$D717-($D717-$I$697)*MIN(I$3-$O$2,$Q$2)/$Q$2))</f>
        <v>3438.5541232428</v>
      </c>
      <c r="J717" s="15" t="n">
        <f aca="false">I717*(1+IF(J$3&lt;=$O$2,$D717,$D717-($D717-$I$697)*MIN(J$3-$O$2,$Q$2)/$Q$2))</f>
        <v>3672.48114712042</v>
      </c>
      <c r="K717" s="15" t="n">
        <f aca="false">J717*(1+IF(K$3&lt;=$O$2,$D717,$D717-($D717-$I$697)*MIN(K$3-$O$2,$Q$2)/$Q$2))</f>
        <v>3895.0260751689</v>
      </c>
      <c r="L717" s="15" t="n">
        <f aca="false">K717*(1+IF(L$3&lt;=$O$2,$D717,$D717-($D717-$I$697)*MIN(L$3-$O$2,$Q$2)/$Q$2))</f>
        <v>4102.10637504692</v>
      </c>
      <c r="M717" s="15" t="n">
        <f aca="false">L717*(1+IF(M$3&lt;=$O$2,$D717,$D717-($D717-$I$697)*MIN(M$3-$O$2,$Q$2)/$Q$2))</f>
        <v>4289.70660706464</v>
      </c>
      <c r="N717" s="15" t="n">
        <f aca="false">M717*(1+IF(N$3&lt;=$O$2,$D717,$D717-($D717-$I$697)*MIN(N$3-$O$2,$Q$2)/$Q$2))</f>
        <v>4454.00237011522</v>
      </c>
      <c r="O717" s="15" t="n">
        <f aca="false">SUMPRODUCT(E717:N717,1/(1+$F$697)^$E$3:$N$3)*$E$2</f>
        <v>9476.79311509896</v>
      </c>
      <c r="P717" s="15" t="n">
        <f aca="false">N717*$E$2*(1+$I$697)/($F$697-$I$697)/(1+$F$697)^$N$3</f>
        <v>11534.4740667688</v>
      </c>
      <c r="Q717" s="15" t="n">
        <f aca="false">O717+P717</f>
        <v>21011.2671818678</v>
      </c>
      <c r="R717" s="15" t="n">
        <f aca="false">Q717-$G$2+$I$2</f>
        <v>15659.7071818678</v>
      </c>
      <c r="S717" s="42" t="n">
        <f aca="false">R717/$K$2</f>
        <v>724.98644360499</v>
      </c>
      <c r="T717" s="43" t="n">
        <f aca="false">S717-$M$2</f>
        <v>-0.0135563950098003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0.0754632949829102</v>
      </c>
      <c r="C718" s="25" t="n">
        <f aca="false">IF(T717&gt;0,D717,C717)</f>
        <v>0.0754661560058594</v>
      </c>
      <c r="D718" s="41" t="n">
        <f aca="false">(B718+C718)/2</f>
        <v>0.0754647254943848</v>
      </c>
      <c r="E718" s="15" t="n">
        <f aca="false">$C$2*(1+IF(E$3&lt;=$O$2,$D718,$D718-($D718-$I$697)*MIN(E$3-$O$2,$Q$2)/$Q$2))</f>
        <v>2570.36069393158</v>
      </c>
      <c r="F718" s="15" t="n">
        <f aca="false">E718*(1+IF(F$3&lt;=$O$2,$D718,$D718-($D718-$I$697)*MIN(F$3-$O$2,$Q$2)/$Q$2))</f>
        <v>2764.33225812068</v>
      </c>
      <c r="G718" s="15" t="n">
        <f aca="false">F718*(1+IF(G$3&lt;=$O$2,$D718,$D718-($D718-$I$697)*MIN(G$3-$O$2,$Q$2)/$Q$2))</f>
        <v>2972.94183315503</v>
      </c>
      <c r="H718" s="15" t="n">
        <f aca="false">G718*(1+IF(H$3&lt;=$O$2,$D718,$D718-($D718-$I$697)*MIN(H$3-$O$2,$Q$2)/$Q$2))</f>
        <v>3197.29407250485</v>
      </c>
      <c r="I718" s="15" t="n">
        <f aca="false">H718*(1+IF(I$3&lt;=$O$2,$D718,$D718-($D718-$I$697)*MIN(I$3-$O$2,$Q$2)/$Q$2))</f>
        <v>3438.57699201125</v>
      </c>
      <c r="J718" s="15" t="n">
        <f aca="false">I718*(1+IF(J$3&lt;=$O$2,$D718,$D718-($D718-$I$697)*MIN(J$3-$O$2,$Q$2)/$Q$2))</f>
        <v>3672.50950680481</v>
      </c>
      <c r="K718" s="15" t="n">
        <f aca="false">J718*(1+IF(K$3&lt;=$O$2,$D718,$D718-($D718-$I$697)*MIN(K$3-$O$2,$Q$2)/$Q$2))</f>
        <v>3895.05930553298</v>
      </c>
      <c r="L718" s="15" t="n">
        <f aca="false">K718*(1+IF(L$3&lt;=$O$2,$D718,$D718-($D718-$I$697)*MIN(L$3-$O$2,$Q$2)/$Q$2))</f>
        <v>4102.14360088469</v>
      </c>
      <c r="M718" s="15" t="n">
        <f aca="false">L718*(1+IF(M$3&lt;=$O$2,$D718,$D718-($D718-$I$697)*MIN(M$3-$O$2,$Q$2)/$Q$2))</f>
        <v>4289.74670897166</v>
      </c>
      <c r="N718" s="15" t="n">
        <f aca="false">M718*(1+IF(N$3&lt;=$O$2,$D718,$D718-($D718-$I$697)*MIN(N$3-$O$2,$Q$2)/$Q$2))</f>
        <v>4454.04400792527</v>
      </c>
      <c r="O718" s="15" t="n">
        <f aca="false">SUMPRODUCT(E718:N718,1/(1+$F$697)^$E$3:$N$3)*$E$2</f>
        <v>9476.85098990045</v>
      </c>
      <c r="P718" s="15" t="n">
        <f aca="false">N718*$E$2*(1+$I$697)/($F$697-$I$697)/(1+$F$697)^$N$3</f>
        <v>11534.5818956832</v>
      </c>
      <c r="Q718" s="15" t="n">
        <f aca="false">O718+P718</f>
        <v>21011.4328855837</v>
      </c>
      <c r="R718" s="15" t="n">
        <f aca="false">Q718-$G$2+$I$2</f>
        <v>15659.8728855837</v>
      </c>
      <c r="S718" s="42" t="n">
        <f aca="false">R718/$K$2</f>
        <v>724.994115073318</v>
      </c>
      <c r="T718" s="43" t="n">
        <f aca="false">S718-$M$2</f>
        <v>-0.0058849266819152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0.0754647254943848</v>
      </c>
      <c r="C719" s="25" t="n">
        <f aca="false">IF(T718&gt;0,D718,C718)</f>
        <v>0.0754661560058594</v>
      </c>
      <c r="D719" s="41" t="n">
        <f aca="false">(B719+C719)/2</f>
        <v>0.0754654407501221</v>
      </c>
      <c r="E719" s="15" t="n">
        <f aca="false">$C$2*(1+IF(E$3&lt;=$O$2,$D719,$D719-($D719-$I$697)*MIN(E$3-$O$2,$Q$2)/$Q$2))</f>
        <v>2570.36240339279</v>
      </c>
      <c r="F719" s="15" t="n">
        <f aca="false">E719*(1+IF(F$3&lt;=$O$2,$D719,$D719-($D719-$I$697)*MIN(F$3-$O$2,$Q$2)/$Q$2))</f>
        <v>2764.33593505237</v>
      </c>
      <c r="G719" s="15" t="n">
        <f aca="false">F719*(1+IF(G$3&lt;=$O$2,$D719,$D719-($D719-$I$697)*MIN(G$3-$O$2,$Q$2)/$Q$2))</f>
        <v>2972.9477647725</v>
      </c>
      <c r="H719" s="15" t="n">
        <f aca="false">G719*(1+IF(H$3&lt;=$O$2,$D719,$D719-($D719-$I$697)*MIN(H$3-$O$2,$Q$2)/$Q$2))</f>
        <v>3197.30257816815</v>
      </c>
      <c r="I719" s="15" t="n">
        <f aca="false">H719*(1+IF(I$3&lt;=$O$2,$D719,$D719-($D719-$I$697)*MIN(I$3-$O$2,$Q$2)/$Q$2))</f>
        <v>3438.58842644111</v>
      </c>
      <c r="J719" s="15" t="n">
        <f aca="false">I719*(1+IF(J$3&lt;=$O$2,$D719,$D719-($D719-$I$697)*MIN(J$3-$O$2,$Q$2)/$Q$2))</f>
        <v>3672.52368671536</v>
      </c>
      <c r="K719" s="15" t="n">
        <f aca="false">J719*(1+IF(K$3&lt;=$O$2,$D719,$D719-($D719-$I$697)*MIN(K$3-$O$2,$Q$2)/$Q$2))</f>
        <v>3895.07592080579</v>
      </c>
      <c r="L719" s="15" t="n">
        <f aca="false">K719*(1+IF(L$3&lt;=$O$2,$D719,$D719-($D719-$I$697)*MIN(L$3-$O$2,$Q$2)/$Q$2))</f>
        <v>4102.16221391342</v>
      </c>
      <c r="M719" s="15" t="n">
        <f aca="false">L719*(1+IF(M$3&lt;=$O$2,$D719,$D719-($D719-$I$697)*MIN(M$3-$O$2,$Q$2)/$Q$2))</f>
        <v>4289.76676004802</v>
      </c>
      <c r="N719" s="15" t="n">
        <f aca="false">M719*(1+IF(N$3&lt;=$O$2,$D719,$D719-($D719-$I$697)*MIN(N$3-$O$2,$Q$2)/$Q$2))</f>
        <v>4454.06482695786</v>
      </c>
      <c r="O719" s="15" t="n">
        <f aca="false">SUMPRODUCT(E719:N719,1/(1+$F$697)^$E$3:$N$3)*$E$2</f>
        <v>9476.87992743462</v>
      </c>
      <c r="P719" s="15" t="n">
        <f aca="false">N719*$E$2*(1+$I$697)/($F$697-$I$697)/(1+$F$697)^$N$3</f>
        <v>11534.6358104708</v>
      </c>
      <c r="Q719" s="15" t="n">
        <f aca="false">O719+P719</f>
        <v>21011.5157379054</v>
      </c>
      <c r="R719" s="15" t="n">
        <f aca="false">Q719-$G$2+$I$2</f>
        <v>15659.9557379054</v>
      </c>
      <c r="S719" s="42" t="n">
        <f aca="false">R719/$K$2</f>
        <v>724.997950828953</v>
      </c>
      <c r="T719" s="43" t="n">
        <f aca="false">S719-$M$2</f>
        <v>-0.00204917104667857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0.0754654407501221</v>
      </c>
      <c r="C720" s="25" t="n">
        <f aca="false">IF(T719&gt;0,D719,C719)</f>
        <v>0.0754661560058594</v>
      </c>
      <c r="D720" s="41" t="n">
        <f aca="false">(B720+C720)/2</f>
        <v>0.0754657983779907</v>
      </c>
      <c r="E720" s="15" t="n">
        <f aca="false">$C$2*(1+IF(E$3&lt;=$O$2,$D720,$D720-($D720-$I$697)*MIN(E$3-$O$2,$Q$2)/$Q$2))</f>
        <v>2570.3632581234</v>
      </c>
      <c r="F720" s="15" t="n">
        <f aca="false">E720*(1+IF(F$3&lt;=$O$2,$D720,$D720-($D720-$I$697)*MIN(F$3-$O$2,$Q$2)/$Q$2))</f>
        <v>2764.33777351913</v>
      </c>
      <c r="G720" s="15" t="n">
        <f aca="false">F720*(1+IF(G$3&lt;=$O$2,$D720,$D720-($D720-$I$697)*MIN(G$3-$O$2,$Q$2)/$Q$2))</f>
        <v>2972.95073058419</v>
      </c>
      <c r="H720" s="15" t="n">
        <f aca="false">G720*(1+IF(H$3&lt;=$O$2,$D720,$D720-($D720-$I$697)*MIN(H$3-$O$2,$Q$2)/$Q$2))</f>
        <v>3197.30683100616</v>
      </c>
      <c r="I720" s="15" t="n">
        <f aca="false">H720*(1+IF(I$3&lt;=$O$2,$D720,$D720-($D720-$I$697)*MIN(I$3-$O$2,$Q$2)/$Q$2))</f>
        <v>3438.59414366744</v>
      </c>
      <c r="J720" s="15" t="n">
        <f aca="false">I720*(1+IF(J$3&lt;=$O$2,$D720,$D720-($D720-$I$697)*MIN(J$3-$O$2,$Q$2)/$Q$2))</f>
        <v>3672.53077668773</v>
      </c>
      <c r="K720" s="15" t="n">
        <f aca="false">J720*(1+IF(K$3&lt;=$O$2,$D720,$D720-($D720-$I$697)*MIN(K$3-$O$2,$Q$2)/$Q$2))</f>
        <v>3895.08422846488</v>
      </c>
      <c r="L720" s="15" t="n">
        <f aca="false">K720*(1+IF(L$3&lt;=$O$2,$D720,$D720-($D720-$I$697)*MIN(L$3-$O$2,$Q$2)/$Q$2))</f>
        <v>4102.17152045525</v>
      </c>
      <c r="M720" s="15" t="n">
        <f aca="false">L720*(1+IF(M$3&lt;=$O$2,$D720,$D720-($D720-$I$697)*MIN(M$3-$O$2,$Q$2)/$Q$2))</f>
        <v>4289.77678561692</v>
      </c>
      <c r="N720" s="15" t="n">
        <f aca="false">M720*(1+IF(N$3&lt;=$O$2,$D720,$D720-($D720-$I$697)*MIN(N$3-$O$2,$Q$2)/$Q$2))</f>
        <v>4454.07523650605</v>
      </c>
      <c r="O720" s="15" t="n">
        <f aca="false">SUMPRODUCT(E720:N720,1/(1+$F$697)^$E$3:$N$3)*$E$2</f>
        <v>9476.89439623506</v>
      </c>
      <c r="P720" s="15" t="n">
        <f aca="false">N720*$E$2*(1+$I$697)/($F$697-$I$697)/(1+$F$697)^$N$3</f>
        <v>11534.6627679471</v>
      </c>
      <c r="Q720" s="15" t="n">
        <f aca="false">O720+P720</f>
        <v>21011.5571641822</v>
      </c>
      <c r="R720" s="15" t="n">
        <f aca="false">Q720-$G$2+$I$2</f>
        <v>15659.9971641822</v>
      </c>
      <c r="S720" s="42" t="n">
        <f aca="false">R720/$K$2</f>
        <v>724.999868712138</v>
      </c>
      <c r="T720" s="43" t="n">
        <f aca="false">S720-$M$2</f>
        <v>-0.000131287861677265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0.0754657983779907</v>
      </c>
      <c r="C721" s="25" t="n">
        <f aca="false">IF(T720&gt;0,D720,C720)</f>
        <v>0.0754661560058594</v>
      </c>
      <c r="D721" s="41" t="n">
        <f aca="false">(B721+C721)/2</f>
        <v>0.0754659771919251</v>
      </c>
      <c r="E721" s="15" t="n">
        <f aca="false">$C$2*(1+IF(E$3&lt;=$O$2,$D721,$D721-($D721-$I$697)*MIN(E$3-$O$2,$Q$2)/$Q$2))</f>
        <v>2570.3636854887</v>
      </c>
      <c r="F721" s="15" t="n">
        <f aca="false">E721*(1+IF(F$3&lt;=$O$2,$D721,$D721-($D721-$I$697)*MIN(F$3-$O$2,$Q$2)/$Q$2))</f>
        <v>2764.33869275274</v>
      </c>
      <c r="G721" s="15" t="n">
        <f aca="false">F721*(1+IF(G$3&lt;=$O$2,$D721,$D721-($D721-$I$697)*MIN(G$3-$O$2,$Q$2)/$Q$2))</f>
        <v>2972.95221349078</v>
      </c>
      <c r="H721" s="15" t="n">
        <f aca="false">G721*(1+IF(H$3&lt;=$O$2,$D721,$D721-($D721-$I$697)*MIN(H$3-$O$2,$Q$2)/$Q$2))</f>
        <v>3197.30895742676</v>
      </c>
      <c r="I721" s="15" t="n">
        <f aca="false">H721*(1+IF(I$3&lt;=$O$2,$D721,$D721-($D721-$I$697)*MIN(I$3-$O$2,$Q$2)/$Q$2))</f>
        <v>3438.59700228346</v>
      </c>
      <c r="J721" s="15" t="n">
        <f aca="false">I721*(1+IF(J$3&lt;=$O$2,$D721,$D721-($D721-$I$697)*MIN(J$3-$O$2,$Q$2)/$Q$2))</f>
        <v>3672.53432167819</v>
      </c>
      <c r="K721" s="15" t="n">
        <f aca="false">J721*(1+IF(K$3&lt;=$O$2,$D721,$D721-($D721-$I$697)*MIN(K$3-$O$2,$Q$2)/$Q$2))</f>
        <v>3895.0883823001</v>
      </c>
      <c r="L721" s="15" t="n">
        <f aca="false">K721*(1+IF(L$3&lt;=$O$2,$D721,$D721-($D721-$I$697)*MIN(L$3-$O$2,$Q$2)/$Q$2))</f>
        <v>4102.17617373303</v>
      </c>
      <c r="M721" s="15" t="n">
        <f aca="false">L721*(1+IF(M$3&lt;=$O$2,$D721,$D721-($D721-$I$697)*MIN(M$3-$O$2,$Q$2)/$Q$2))</f>
        <v>4289.78179840905</v>
      </c>
      <c r="N721" s="15" t="n">
        <f aca="false">M721*(1+IF(N$3&lt;=$O$2,$D721,$D721-($D721-$I$697)*MIN(N$3-$O$2,$Q$2)/$Q$2))</f>
        <v>4454.08044128811</v>
      </c>
      <c r="O721" s="15" t="n">
        <f aca="false">SUMPRODUCT(E721:N721,1/(1+$F$697)^$E$3:$N$3)*$E$2</f>
        <v>9476.90163064362</v>
      </c>
      <c r="P721" s="15" t="n">
        <f aca="false">N721*$E$2*(1+$I$697)/($F$697-$I$697)/(1+$F$697)^$N$3</f>
        <v>11534.676246706</v>
      </c>
      <c r="Q721" s="15" t="n">
        <f aca="false">O721+P721</f>
        <v>21011.5778773496</v>
      </c>
      <c r="R721" s="15" t="n">
        <f aca="false">Q721-$G$2+$I$2</f>
        <v>15660.0178773496</v>
      </c>
      <c r="S721" s="42" t="n">
        <f aca="false">R721/$K$2</f>
        <v>725.000827655073</v>
      </c>
      <c r="T721" s="43" t="n">
        <f aca="false">S721-$M$2</f>
        <v>0.000827655072953348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0.0754657983779907</v>
      </c>
      <c r="C722" s="25" t="n">
        <f aca="false">IF(T721&gt;0,D721,C721)</f>
        <v>0.0754659771919251</v>
      </c>
      <c r="D722" s="41" t="n">
        <f aca="false">(B722+C722)/2</f>
        <v>0.0754658877849579</v>
      </c>
      <c r="E722" s="15" t="n">
        <f aca="false">$C$2*(1+IF(E$3&lt;=$O$2,$D722,$D722-($D722-$I$697)*MIN(E$3-$O$2,$Q$2)/$Q$2))</f>
        <v>2570.36347180605</v>
      </c>
      <c r="F722" s="15" t="n">
        <f aca="false">E722*(1+IF(F$3&lt;=$O$2,$D722,$D722-($D722-$I$697)*MIN(F$3-$O$2,$Q$2)/$Q$2))</f>
        <v>2764.33823313592</v>
      </c>
      <c r="G722" s="15" t="n">
        <f aca="false">F722*(1+IF(G$3&lt;=$O$2,$D722,$D722-($D722-$I$697)*MIN(G$3-$O$2,$Q$2)/$Q$2))</f>
        <v>2972.95147203742</v>
      </c>
      <c r="H722" s="15" t="n">
        <f aca="false">G722*(1+IF(H$3&lt;=$O$2,$D722,$D722-($D722-$I$697)*MIN(H$3-$O$2,$Q$2)/$Q$2))</f>
        <v>3197.30789421633</v>
      </c>
      <c r="I722" s="15" t="n">
        <f aca="false">H722*(1+IF(I$3&lt;=$O$2,$D722,$D722-($D722-$I$697)*MIN(I$3-$O$2,$Q$2)/$Q$2))</f>
        <v>3438.59557297521</v>
      </c>
      <c r="J722" s="15" t="n">
        <f aca="false">I722*(1+IF(J$3&lt;=$O$2,$D722,$D722-($D722-$I$697)*MIN(J$3-$O$2,$Q$2)/$Q$2))</f>
        <v>3672.53254918261</v>
      </c>
      <c r="K722" s="15" t="n">
        <f aca="false">J722*(1+IF(K$3&lt;=$O$2,$D722,$D722-($D722-$I$697)*MIN(K$3-$O$2,$Q$2)/$Q$2))</f>
        <v>3895.08630538201</v>
      </c>
      <c r="L722" s="15" t="n">
        <f aca="false">K722*(1+IF(L$3&lt;=$O$2,$D722,$D722-($D722-$I$697)*MIN(L$3-$O$2,$Q$2)/$Q$2))</f>
        <v>4102.17384709357</v>
      </c>
      <c r="M722" s="15" t="n">
        <f aca="false">L722*(1+IF(M$3&lt;=$O$2,$D722,$D722-($D722-$I$697)*MIN(M$3-$O$2,$Q$2)/$Q$2))</f>
        <v>4289.77929201235</v>
      </c>
      <c r="N722" s="15" t="n">
        <f aca="false">M722*(1+IF(N$3&lt;=$O$2,$D722,$D722-($D722-$I$697)*MIN(N$3-$O$2,$Q$2)/$Q$2))</f>
        <v>4454.07783889642</v>
      </c>
      <c r="O722" s="15" t="n">
        <f aca="false">SUMPRODUCT(E722:N722,1/(1+$F$697)^$E$3:$N$3)*$E$2</f>
        <v>9476.89801343865</v>
      </c>
      <c r="P722" s="15" t="n">
        <f aca="false">N722*$E$2*(1+$I$697)/($F$697-$I$697)/(1+$F$697)^$N$3</f>
        <v>11534.6695073248</v>
      </c>
      <c r="Q722" s="15" t="n">
        <f aca="false">O722+P722</f>
        <v>21011.5675207635</v>
      </c>
      <c r="R722" s="15" t="n">
        <f aca="false">Q722-$G$2+$I$2</f>
        <v>15660.0075207635</v>
      </c>
      <c r="S722" s="42" t="n">
        <f aca="false">R722/$K$2</f>
        <v>725.000348183494</v>
      </c>
      <c r="T722" s="43" t="n">
        <f aca="false">S722-$M$2</f>
        <v>0.000348183493997567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207</v>
      </c>
    </row>
    <row r="3" customFormat="false" ht="15" hidden="false" customHeight="false" outlineLevel="0" collapsed="false">
      <c r="B3" s="2" t="s">
        <v>208</v>
      </c>
    </row>
    <row r="5" customFormat="false" ht="15" hidden="false" customHeight="false" outlineLevel="0" collapsed="false">
      <c r="B5" s="3" t="s">
        <v>209</v>
      </c>
    </row>
    <row r="6" customFormat="false" ht="15" hidden="false" customHeight="false" outlineLevel="0" collapsed="false">
      <c r="B6" s="28" t="s">
        <v>158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210</v>
      </c>
      <c r="C7" s="23" t="n">
        <f aca="false">IF(C$6&lt;=Inputs!$C$46,Solver!$W$7,Solver!$W$7-(Solver!$W$7-Inputs!$C$37)*MIN(C$6-Inputs!$C$46,Inputs!$C$47)/Inputs!$C$47)</f>
        <v>0.0669099144010943</v>
      </c>
      <c r="D7" s="23" t="n">
        <f aca="false">IF(D$6&lt;=Inputs!$C$46,Solver!$W$7,Solver!$W$7-(Solver!$W$7-Inputs!$C$37)*MIN(D$6-Inputs!$C$46,Inputs!$C$47)/Inputs!$C$47)</f>
        <v>0.0669099144010943</v>
      </c>
      <c r="E7" s="23" t="n">
        <f aca="false">IF(E$6&lt;=Inputs!$C$46,Solver!$W$7,Solver!$W$7-(Solver!$W$7-Inputs!$C$37)*MIN(E$6-Inputs!$C$46,Inputs!$C$47)/Inputs!$C$47)</f>
        <v>0.0669099144010943</v>
      </c>
      <c r="F7" s="23" t="n">
        <f aca="false">IF(F$6&lt;=Inputs!$C$46,Solver!$W$7,Solver!$W$7-(Solver!$W$7-Inputs!$C$37)*MIN(F$6-Inputs!$C$46,Inputs!$C$47)/Inputs!$C$47)</f>
        <v>0.0669099144010943</v>
      </c>
      <c r="G7" s="23" t="n">
        <f aca="false">IF(G$6&lt;=Inputs!$C$46,Solver!$W$7,Solver!$W$7-(Solver!$W$7-Inputs!$C$37)*MIN(G$6-Inputs!$C$46,Inputs!$C$47)/Inputs!$C$47)</f>
        <v>0.0669099144010943</v>
      </c>
      <c r="H7" s="23" t="n">
        <f aca="false">IF(H$6&lt;=Inputs!$C$46,Solver!$W$7,Solver!$W$7-(Solver!$W$7-Inputs!$C$37)*MIN(H$6-Inputs!$C$46,Inputs!$C$47)/Inputs!$C$47)</f>
        <v>0.0591879315208754</v>
      </c>
      <c r="I7" s="23" t="n">
        <f aca="false">IF(I$6&lt;=Inputs!$C$46,Solver!$W$7,Solver!$W$7-(Solver!$W$7-Inputs!$C$37)*MIN(I$6-Inputs!$C$46,Inputs!$C$47)/Inputs!$C$47)</f>
        <v>0.0514659486406566</v>
      </c>
      <c r="J7" s="23" t="n">
        <f aca="false">IF(J$6&lt;=Inputs!$C$46,Solver!$W$7,Solver!$W$7-(Solver!$W$7-Inputs!$C$37)*MIN(J$6-Inputs!$C$46,Inputs!$C$47)/Inputs!$C$47)</f>
        <v>0.0437439657604377</v>
      </c>
      <c r="K7" s="23" t="n">
        <f aca="false">IF(K$6&lt;=Inputs!$C$46,Solver!$W$7,Solver!$W$7-(Solver!$W$7-Inputs!$C$37)*MIN(K$6-Inputs!$C$46,Inputs!$C$47)/Inputs!$C$47)</f>
        <v>0.0360219828802189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103</v>
      </c>
      <c r="C8" s="15" t="n">
        <f aca="false">Inputs!$C$12*(1+C7)</f>
        <v>2549.91469541862</v>
      </c>
      <c r="D8" s="15" t="n">
        <f aca="false">C8*(1+D7)</f>
        <v>2720.52926941917</v>
      </c>
      <c r="E8" s="15" t="n">
        <f aca="false">D8*(1+E7)</f>
        <v>2902.55964996168</v>
      </c>
      <c r="F8" s="15" t="n">
        <f aca="false">E8*(1+F7)</f>
        <v>3096.76966768468</v>
      </c>
      <c r="G8" s="15" t="n">
        <f aca="false">F8*(1+G7)</f>
        <v>3303.97426106937</v>
      </c>
      <c r="H8" s="15" t="n">
        <f aca="false">G8*(1+H7)</f>
        <v>3499.52966338028</v>
      </c>
      <c r="I8" s="15" t="n">
        <f aca="false">H8*(1+I7)</f>
        <v>3679.63627730226</v>
      </c>
      <c r="J8" s="15" t="n">
        <f aca="false">I8*(1+J7)</f>
        <v>3840.59816062744</v>
      </c>
      <c r="K8" s="15" t="n">
        <f aca="false">J8*(1+K7)</f>
        <v>3978.94412181936</v>
      </c>
      <c r="L8" s="15" t="n">
        <f aca="false">K8*(1+L7)</f>
        <v>4091.54824046684</v>
      </c>
    </row>
    <row r="9" customFormat="false" ht="15" hidden="false" customHeight="false" outlineLevel="0" collapsed="false">
      <c r="B9" s="5" t="s">
        <v>58</v>
      </c>
      <c r="C9" s="15" t="n">
        <f aca="false">C8*Inputs!$C$23</f>
        <v>1206.69645138593</v>
      </c>
      <c r="D9" s="15" t="n">
        <f aca="false">D8*Inputs!$C$23</f>
        <v>1287.43640765626</v>
      </c>
      <c r="E9" s="15" t="n">
        <f aca="false">E8*Inputs!$C$23</f>
        <v>1373.57866748939</v>
      </c>
      <c r="F9" s="15" t="n">
        <f aca="false">F8*Inputs!$C$23</f>
        <v>1465.48469855428</v>
      </c>
      <c r="G9" s="15" t="n">
        <f aca="false">G8*Inputs!$C$23</f>
        <v>1563.54015429066</v>
      </c>
      <c r="H9" s="15" t="n">
        <f aca="false">H8*Inputs!$C$23</f>
        <v>1656.08286187295</v>
      </c>
      <c r="I9" s="15" t="n">
        <f aca="false">I8*Inputs!$C$23</f>
        <v>1741.31473738678</v>
      </c>
      <c r="J9" s="15" t="n">
        <f aca="false">J8*Inputs!$C$23</f>
        <v>1817.48674963717</v>
      </c>
      <c r="K9" s="15" t="n">
        <f aca="false">K8*Inputs!$C$23</f>
        <v>1882.95622621763</v>
      </c>
      <c r="L9" s="15" t="n">
        <f aca="false">L8*Inputs!$C$23</f>
        <v>1936.24388741959</v>
      </c>
    </row>
    <row r="10" customFormat="false" ht="15" hidden="false" customHeight="false" outlineLevel="0" collapsed="false">
      <c r="B10" s="5" t="s">
        <v>211</v>
      </c>
      <c r="C10" s="45" t="n">
        <f aca="false">1/(1+WACC!$C$33)^C$6</f>
        <v>0.911600147690998</v>
      </c>
      <c r="D10" s="45" t="n">
        <f aca="false">1/(1+WACC!$C$33)^D$6</f>
        <v>0.831014829270249</v>
      </c>
      <c r="E10" s="45" t="n">
        <f aca="false">1/(1+WACC!$C$33)^E$6</f>
        <v>0.757553241096168</v>
      </c>
      <c r="F10" s="45" t="n">
        <f aca="false">1/(1+WACC!$C$33)^F$6</f>
        <v>0.69058564646706</v>
      </c>
      <c r="G10" s="45" t="n">
        <f aca="false">1/(1+WACC!$C$33)^G$6</f>
        <v>0.629537977312655</v>
      </c>
      <c r="H10" s="45" t="n">
        <f aca="false">1/(1+WACC!$C$33)^H$6</f>
        <v>0.573886913095308</v>
      </c>
      <c r="I10" s="45" t="n">
        <f aca="false">1/(1+WACC!$C$33)^I$6</f>
        <v>0.523155394735614</v>
      </c>
      <c r="J10" s="45" t="n">
        <f aca="false">1/(1+WACC!$C$33)^J$6</f>
        <v>0.476908535106328</v>
      </c>
      <c r="K10" s="45" t="n">
        <f aca="false">1/(1+WACC!$C$33)^K$6</f>
        <v>0.434749891038026</v>
      </c>
      <c r="L10" s="45" t="n">
        <f aca="false">1/(1+WACC!$C$33)^L$6</f>
        <v>0.396318064878909</v>
      </c>
    </row>
    <row r="11" customFormat="false" ht="15" hidden="false" customHeight="false" outlineLevel="0" collapsed="false">
      <c r="B11" s="5" t="s">
        <v>212</v>
      </c>
      <c r="C11" s="15" t="n">
        <f aca="false">C9*C10</f>
        <v>1100.02466330161</v>
      </c>
      <c r="D11" s="15" t="n">
        <f aca="false">D9*D10</f>
        <v>1069.87874650477</v>
      </c>
      <c r="E11" s="15" t="n">
        <f aca="false">E9*E10</f>
        <v>1040.55897145715</v>
      </c>
      <c r="F11" s="15" t="n">
        <f aca="false">F9*F10</f>
        <v>1012.04269793869</v>
      </c>
      <c r="G11" s="15" t="n">
        <f aca="false">G9*G10</f>
        <v>984.307906179259</v>
      </c>
      <c r="H11" s="15" t="n">
        <f aca="false">H9*H10</f>
        <v>950.404281430314</v>
      </c>
      <c r="I11" s="15" t="n">
        <f aca="false">I9*I10</f>
        <v>910.978198796522</v>
      </c>
      <c r="J11" s="15" t="n">
        <f aca="false">J9*J10</f>
        <v>866.774943344625</v>
      </c>
      <c r="K11" s="15" t="n">
        <f aca="false">K9*K10</f>
        <v>818.615014177485</v>
      </c>
      <c r="L11" s="15" t="n">
        <f aca="false">L9*L10</f>
        <v>767.368430595747</v>
      </c>
    </row>
    <row r="13" customFormat="false" ht="15" hidden="false" customHeight="false" outlineLevel="0" collapsed="false">
      <c r="B13" s="5" t="s">
        <v>213</v>
      </c>
      <c r="C13" s="15" t="n">
        <f aca="false">SUM(C11:L11)</f>
        <v>9520.95385372617</v>
      </c>
    </row>
    <row r="14" customFormat="false" ht="15" hidden="false" customHeight="false" outlineLevel="0" collapsed="false">
      <c r="B14" s="5" t="s">
        <v>214</v>
      </c>
      <c r="C14" s="15" t="n">
        <f aca="false">L9*(1+Inputs!$C$37)/(WACC!$C$33-Inputs!$C$37)</f>
        <v>28993.3948625064</v>
      </c>
    </row>
    <row r="15" customFormat="false" ht="15" hidden="false" customHeight="false" outlineLevel="0" collapsed="false">
      <c r="B15" s="5" t="s">
        <v>215</v>
      </c>
      <c r="C15" s="15" t="n">
        <f aca="false">C14*L10</f>
        <v>11490.6061461786</v>
      </c>
    </row>
    <row r="16" customFormat="false" ht="15" hidden="false" customHeight="false" outlineLevel="0" collapsed="false">
      <c r="B16" s="7" t="s">
        <v>216</v>
      </c>
      <c r="C16" s="15" t="n">
        <f aca="false">C13+C15</f>
        <v>21011.5599999048</v>
      </c>
    </row>
    <row r="17" customFormat="false" ht="15" hidden="false" customHeight="false" outlineLevel="0" collapsed="false">
      <c r="B17" s="5" t="s">
        <v>217</v>
      </c>
      <c r="C17" s="16" t="n">
        <f aca="false">-Inputs!$C$27</f>
        <v>-5600</v>
      </c>
    </row>
    <row r="18" customFormat="false" ht="15" hidden="false" customHeight="false" outlineLevel="0" collapsed="false">
      <c r="B18" s="5" t="s">
        <v>218</v>
      </c>
      <c r="C18" s="16" t="n">
        <f aca="false">Inputs!$C$28</f>
        <v>248.44</v>
      </c>
    </row>
    <row r="19" customFormat="false" ht="15" hidden="false" customHeight="false" outlineLevel="0" collapsed="false">
      <c r="B19" s="5" t="s">
        <v>219</v>
      </c>
      <c r="C19" s="15" t="n">
        <f aca="false">SUM(C16:C18)</f>
        <v>15659.9999999048</v>
      </c>
    </row>
    <row r="20" customFormat="false" ht="15" hidden="false" customHeight="false" outlineLevel="0" collapsed="false">
      <c r="B20" s="5" t="s">
        <v>220</v>
      </c>
      <c r="C20" s="36" t="n">
        <f aca="false">Inputs!$C$7</f>
        <v>21.6</v>
      </c>
    </row>
    <row r="21" customFormat="false" ht="15" hidden="false" customHeight="false" outlineLevel="0" collapsed="false">
      <c r="B21" s="7" t="s">
        <v>221</v>
      </c>
      <c r="C21" s="46" t="n">
        <f aca="false">C19/C20</f>
        <v>724.999999995593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725</v>
      </c>
    </row>
    <row r="23" customFormat="false" ht="15" hidden="false" customHeight="false" outlineLevel="0" collapsed="false">
      <c r="B23" s="5" t="s">
        <v>222</v>
      </c>
      <c r="C23" s="23" t="n">
        <f aca="false">C21/C22-1</f>
        <v>-6.07935923824243E-012</v>
      </c>
    </row>
    <row r="24" customFormat="false" ht="15" hidden="false" customHeight="false" outlineLevel="0" collapsed="false">
      <c r="B24" s="5" t="s">
        <v>223</v>
      </c>
      <c r="C24" s="23" t="n">
        <f aca="false">C15/C16</f>
        <v>0.546870681959392</v>
      </c>
    </row>
    <row r="25" customFormat="false" ht="15" hidden="false" customHeight="false" outlineLevel="0" collapsed="false">
      <c r="B25" s="3" t="s">
        <v>224</v>
      </c>
    </row>
    <row r="26" customFormat="false" ht="15" hidden="false" customHeight="false" outlineLevel="0" collapsed="false">
      <c r="B26" s="28" t="s">
        <v>158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210</v>
      </c>
      <c r="C27" s="23" t="n">
        <f aca="false">IF(C$26&lt;=Inputs!$C$46,Inputs!$C$45,Inputs!$C$45-(Inputs!$C$45-Inputs!$C$37)*MIN(C$26-Inputs!$C$46,Inputs!$C$47)/Inputs!$C$47)</f>
        <v>0.142784732400847</v>
      </c>
      <c r="D27" s="23" t="n">
        <f aca="false">IF(D$26&lt;=Inputs!$C$46,Inputs!$C$45,Inputs!$C$45-(Inputs!$C$45-Inputs!$C$37)*MIN(D$26-Inputs!$C$46,Inputs!$C$47)/Inputs!$C$47)</f>
        <v>0.142784732400847</v>
      </c>
      <c r="E27" s="23" t="n">
        <f aca="false">IF(E$26&lt;=Inputs!$C$46,Inputs!$C$45,Inputs!$C$45-(Inputs!$C$45-Inputs!$C$37)*MIN(E$26-Inputs!$C$46,Inputs!$C$47)/Inputs!$C$47)</f>
        <v>0.142784732400847</v>
      </c>
      <c r="F27" s="23" t="n">
        <f aca="false">IF(F$26&lt;=Inputs!$C$46,Inputs!$C$45,Inputs!$C$45-(Inputs!$C$45-Inputs!$C$37)*MIN(F$26-Inputs!$C$46,Inputs!$C$47)/Inputs!$C$47)</f>
        <v>0.142784732400847</v>
      </c>
      <c r="G27" s="23" t="n">
        <f aca="false">IF(G$26&lt;=Inputs!$C$46,Inputs!$C$45,Inputs!$C$45-(Inputs!$C$45-Inputs!$C$37)*MIN(G$26-Inputs!$C$46,Inputs!$C$47)/Inputs!$C$47)</f>
        <v>0.142784732400847</v>
      </c>
      <c r="H27" s="23" t="n">
        <f aca="false">IF(H$26&lt;=Inputs!$C$46,Inputs!$C$45,Inputs!$C$45-(Inputs!$C$45-Inputs!$C$37)*MIN(H$26-Inputs!$C$46,Inputs!$C$47)/Inputs!$C$47)</f>
        <v>0.119887785920677</v>
      </c>
      <c r="I27" s="23" t="n">
        <f aca="false">IF(I$26&lt;=Inputs!$C$46,Inputs!$C$45,Inputs!$C$45-(Inputs!$C$45-Inputs!$C$37)*MIN(I$26-Inputs!$C$46,Inputs!$C$47)/Inputs!$C$47)</f>
        <v>0.0969908394405081</v>
      </c>
      <c r="J27" s="23" t="n">
        <f aca="false">IF(J$26&lt;=Inputs!$C$46,Inputs!$C$45,Inputs!$C$45-(Inputs!$C$45-Inputs!$C$37)*MIN(J$26-Inputs!$C$46,Inputs!$C$47)/Inputs!$C$47)</f>
        <v>0.0740938929603387</v>
      </c>
      <c r="K27" s="23" t="n">
        <f aca="false">IF(K$26&lt;=Inputs!$C$46,Inputs!$C$45,Inputs!$C$45-(Inputs!$C$45-Inputs!$C$37)*MIN(K$26-Inputs!$C$46,Inputs!$C$47)/Inputs!$C$47)</f>
        <v>0.0511969464801694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103</v>
      </c>
      <c r="C28" s="15" t="n">
        <f aca="false">Inputs!$C$12*(1+C27)</f>
        <v>2731.25551043802</v>
      </c>
      <c r="D28" s="15" t="n">
        <f aca="false">C28*(1+D27)</f>
        <v>3121.23709761426</v>
      </c>
      <c r="E28" s="15" t="n">
        <f aca="false">D28*(1+E27)</f>
        <v>3566.9021013567</v>
      </c>
      <c r="F28" s="15" t="n">
        <f aca="false">E28*(1+F27)</f>
        <v>4076.20126339894</v>
      </c>
      <c r="G28" s="15" t="n">
        <f aca="false">F28*(1+G27)</f>
        <v>4658.22057000535</v>
      </c>
      <c r="H28" s="15" t="n">
        <f aca="false">G28*(1+H27)</f>
        <v>5216.68432047345</v>
      </c>
      <c r="I28" s="15" t="n">
        <f aca="false">H28*(1+I27)</f>
        <v>5722.6549118123</v>
      </c>
      <c r="J28" s="15" t="n">
        <f aca="false">I28*(1+J27)</f>
        <v>6146.66869229708</v>
      </c>
      <c r="K28" s="15" t="n">
        <f aca="false">J28*(1+K27)</f>
        <v>6461.35936036795</v>
      </c>
      <c r="L28" s="15" t="n">
        <f aca="false">K28*(1+L27)</f>
        <v>6644.21583026636</v>
      </c>
    </row>
    <row r="29" customFormat="false" ht="15" hidden="false" customHeight="false" outlineLevel="0" collapsed="false">
      <c r="B29" s="5" t="s">
        <v>58</v>
      </c>
      <c r="C29" s="15" t="n">
        <f aca="false">C28*Inputs!$C$23</f>
        <v>1292.51238804001</v>
      </c>
      <c r="D29" s="15" t="n">
        <f aca="false">D28*Inputs!$C$23</f>
        <v>1477.06342349108</v>
      </c>
      <c r="E29" s="15" t="n">
        <f aca="false">E28*Inputs!$C$23</f>
        <v>1687.96552915333</v>
      </c>
      <c r="F29" s="15" t="n">
        <f aca="false">F28*Inputs!$C$23</f>
        <v>1928.98123553534</v>
      </c>
      <c r="G29" s="15" t="n">
        <f aca="false">G28*Inputs!$C$23</f>
        <v>2204.41030505751</v>
      </c>
      <c r="H29" s="15" t="n">
        <f aca="false">H28*Inputs!$C$23</f>
        <v>2468.69217579158</v>
      </c>
      <c r="I29" s="15" t="n">
        <f aca="false">I28*Inputs!$C$23</f>
        <v>2708.13270224182</v>
      </c>
      <c r="J29" s="15" t="n">
        <f aca="false">J28*Inputs!$C$23</f>
        <v>2908.78879680412</v>
      </c>
      <c r="K29" s="15" t="n">
        <f aca="false">K28*Inputs!$C$23</f>
        <v>3057.70990115622</v>
      </c>
      <c r="L29" s="15" t="n">
        <f aca="false">L28*Inputs!$C$23</f>
        <v>3144.24309135894</v>
      </c>
    </row>
    <row r="30" customFormat="false" ht="15" hidden="false" customHeight="false" outlineLevel="0" collapsed="false">
      <c r="B30" s="5" t="s">
        <v>211</v>
      </c>
      <c r="C30" s="45" t="n">
        <f aca="false">1/(1+WACC!$C$33)^C$26</f>
        <v>0.911600147690998</v>
      </c>
      <c r="D30" s="45" t="n">
        <f aca="false">1/(1+WACC!$C$33)^D$26</f>
        <v>0.831014829270249</v>
      </c>
      <c r="E30" s="45" t="n">
        <f aca="false">1/(1+WACC!$C$33)^E$26</f>
        <v>0.757553241096168</v>
      </c>
      <c r="F30" s="45" t="n">
        <f aca="false">1/(1+WACC!$C$33)^F$26</f>
        <v>0.69058564646706</v>
      </c>
      <c r="G30" s="45" t="n">
        <f aca="false">1/(1+WACC!$C$33)^G$26</f>
        <v>0.629537977312655</v>
      </c>
      <c r="H30" s="45" t="n">
        <f aca="false">1/(1+WACC!$C$33)^H$26</f>
        <v>0.573886913095308</v>
      </c>
      <c r="I30" s="45" t="n">
        <f aca="false">1/(1+WACC!$C$33)^I$26</f>
        <v>0.523155394735614</v>
      </c>
      <c r="J30" s="45" t="n">
        <f aca="false">1/(1+WACC!$C$33)^J$26</f>
        <v>0.476908535106328</v>
      </c>
      <c r="K30" s="45" t="n">
        <f aca="false">1/(1+WACC!$C$33)^K$26</f>
        <v>0.434749891038026</v>
      </c>
      <c r="L30" s="45" t="n">
        <f aca="false">1/(1+WACC!$C$33)^L$26</f>
        <v>0.396318064878909</v>
      </c>
    </row>
    <row r="31" customFormat="false" ht="15" hidden="false" customHeight="false" outlineLevel="0" collapsed="false">
      <c r="B31" s="5" t="s">
        <v>212</v>
      </c>
      <c r="C31" s="15" t="n">
        <f aca="false">C29*C30</f>
        <v>1178.25448382971</v>
      </c>
      <c r="D31" s="15" t="n">
        <f aca="false">D29*D30</f>
        <v>1227.46160869377</v>
      </c>
      <c r="E31" s="15" t="n">
        <f aca="false">E29*E30</f>
        <v>1278.72375746871</v>
      </c>
      <c r="F31" s="15" t="n">
        <f aca="false">F29*F30</f>
        <v>1332.126753565</v>
      </c>
      <c r="G31" s="15" t="n">
        <f aca="false">G29*G30</f>
        <v>1387.76000461308</v>
      </c>
      <c r="H31" s="15" t="n">
        <f aca="false">H29*H30</f>
        <v>1416.75013214757</v>
      </c>
      <c r="I31" s="15" t="n">
        <f aca="false">I29*I30</f>
        <v>1416.77423283774</v>
      </c>
      <c r="J31" s="15" t="n">
        <f aca="false">J29*J30</f>
        <v>1387.22620401755</v>
      </c>
      <c r="K31" s="15" t="n">
        <f aca="false">K29*K30</f>
        <v>1329.33904635356</v>
      </c>
      <c r="L31" s="15" t="n">
        <f aca="false">L29*L30</f>
        <v>1246.12033747625</v>
      </c>
    </row>
    <row r="33" customFormat="false" ht="15" hidden="false" customHeight="false" outlineLevel="0" collapsed="false">
      <c r="B33" s="5" t="s">
        <v>213</v>
      </c>
      <c r="C33" s="15" t="n">
        <f aca="false">SUM(C31:L31)</f>
        <v>13200.536561003</v>
      </c>
    </row>
    <row r="34" customFormat="false" ht="15" hidden="false" customHeight="false" outlineLevel="0" collapsed="false">
      <c r="B34" s="5" t="s">
        <v>214</v>
      </c>
      <c r="C34" s="15" t="n">
        <f aca="false">L29*(1+Inputs!$C$37)/(WACC!$C$33-Inputs!$C$37)</f>
        <v>47082.0241622394</v>
      </c>
    </row>
    <row r="35" customFormat="false" ht="15" hidden="false" customHeight="false" outlineLevel="0" collapsed="false">
      <c r="B35" s="5" t="s">
        <v>215</v>
      </c>
      <c r="C35" s="15" t="n">
        <f aca="false">C34*L30</f>
        <v>18659.4567065608</v>
      </c>
    </row>
    <row r="36" customFormat="false" ht="15" hidden="false" customHeight="false" outlineLevel="0" collapsed="false">
      <c r="B36" s="7" t="s">
        <v>216</v>
      </c>
      <c r="C36" s="15" t="n">
        <f aca="false">C33+C35</f>
        <v>31859.9932675637</v>
      </c>
    </row>
    <row r="37" customFormat="false" ht="15" hidden="false" customHeight="false" outlineLevel="0" collapsed="false">
      <c r="B37" s="5" t="s">
        <v>217</v>
      </c>
      <c r="C37" s="16" t="n">
        <f aca="false">-Inputs!$C$27</f>
        <v>-5600</v>
      </c>
    </row>
    <row r="38" customFormat="false" ht="15" hidden="false" customHeight="false" outlineLevel="0" collapsed="false">
      <c r="B38" s="5" t="s">
        <v>218</v>
      </c>
      <c r="C38" s="16" t="n">
        <f aca="false">Inputs!$C$28</f>
        <v>248.44</v>
      </c>
    </row>
    <row r="39" customFormat="false" ht="15" hidden="false" customHeight="false" outlineLevel="0" collapsed="false">
      <c r="B39" s="5" t="s">
        <v>219</v>
      </c>
      <c r="C39" s="15" t="n">
        <f aca="false">SUM(C36:C38)</f>
        <v>26508.4332675637</v>
      </c>
    </row>
    <row r="40" customFormat="false" ht="15" hidden="false" customHeight="false" outlineLevel="0" collapsed="false">
      <c r="B40" s="5" t="s">
        <v>220</v>
      </c>
      <c r="C40" s="36" t="n">
        <f aca="false">Inputs!$C$7</f>
        <v>21.6</v>
      </c>
    </row>
    <row r="41" customFormat="false" ht="15" hidden="false" customHeight="false" outlineLevel="0" collapsed="false">
      <c r="B41" s="7" t="s">
        <v>221</v>
      </c>
      <c r="C41" s="46" t="n">
        <f aca="false">C39/C40</f>
        <v>1227.24228090573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725</v>
      </c>
    </row>
    <row r="43" customFormat="false" ht="15" hidden="false" customHeight="false" outlineLevel="0" collapsed="false">
      <c r="B43" s="5" t="s">
        <v>222</v>
      </c>
      <c r="C43" s="23" t="n">
        <f aca="false">C41/C42-1</f>
        <v>0.692747973663072</v>
      </c>
    </row>
    <row r="44" customFormat="false" ht="15" hidden="false" customHeight="false" outlineLevel="0" collapsed="false">
      <c r="B44" s="5" t="s">
        <v>223</v>
      </c>
      <c r="C44" s="23" t="n">
        <f aca="false">C35/C36</f>
        <v>0.585670453532636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225</v>
      </c>
    </row>
    <row r="3" customFormat="false" ht="15" hidden="false" customHeight="false" outlineLevel="0" collapsed="false">
      <c r="B3" s="2" t="s">
        <v>226</v>
      </c>
    </row>
    <row r="5" customFormat="false" ht="15" hidden="false" customHeight="false" outlineLevel="0" collapsed="false">
      <c r="B5" s="5" t="s">
        <v>227</v>
      </c>
      <c r="C5" s="24" t="n">
        <v>0.005</v>
      </c>
      <c r="D5" s="5" t="s">
        <v>228</v>
      </c>
      <c r="F5" s="24" t="n">
        <v>0.005</v>
      </c>
    </row>
    <row r="6" customFormat="false" ht="15" hidden="false" customHeight="false" outlineLevel="0" collapsed="false">
      <c r="B6" s="5" t="s">
        <v>229</v>
      </c>
      <c r="C6" s="24" t="n">
        <v>0.02</v>
      </c>
    </row>
    <row r="8" customFormat="false" ht="15" hidden="false" customHeight="false" outlineLevel="0" collapsed="false">
      <c r="B8" s="3" t="s">
        <v>230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WACC!$C$33+(0-2)*$C$5</f>
        <v>0.0869721785729318</v>
      </c>
      <c r="C10" s="9" t="n">
        <f aca="false">Solver!$D$74</f>
        <v>0.058343380689621</v>
      </c>
      <c r="D10" s="9" t="n">
        <f aca="false">Solver!$D$101</f>
        <v>0.0487737953662872</v>
      </c>
      <c r="E10" s="9" t="n">
        <f aca="false">Solver!$D$128</f>
        <v>0.0384276211261749</v>
      </c>
      <c r="F10" s="9" t="n">
        <f aca="false">Solver!$D$155</f>
        <v>0.0271723568439484</v>
      </c>
      <c r="G10" s="9" t="n">
        <f aca="false">Solver!$D$182</f>
        <v>0.014837771654129</v>
      </c>
      <c r="I10" s="19" t="s">
        <v>231</v>
      </c>
    </row>
    <row r="11" customFormat="false" ht="15" hidden="false" customHeight="false" outlineLevel="0" collapsed="false">
      <c r="B11" s="47" t="n">
        <f aca="false">WACC!$C$33+(1-2)*$C$5</f>
        <v>0.0919721785729318</v>
      </c>
      <c r="C11" s="9" t="n">
        <f aca="false">Solver!$D$209</f>
        <v>0.071567565202713</v>
      </c>
      <c r="D11" s="9" t="n">
        <f aca="false">Solver!$D$236</f>
        <v>0.0626279413700104</v>
      </c>
      <c r="E11" s="9" t="n">
        <f aca="false">Solver!$D$263</f>
        <v>0.0530145466327667</v>
      </c>
      <c r="F11" s="9" t="n">
        <f aca="false">Solver!$D$290</f>
        <v>0.0426213443279266</v>
      </c>
      <c r="G11" s="9" t="n">
        <f aca="false">Solver!$D$317</f>
        <v>0.0313151180744171</v>
      </c>
    </row>
    <row r="12" customFormat="false" ht="15" hidden="false" customHeight="false" outlineLevel="0" collapsed="false">
      <c r="B12" s="47" t="n">
        <f aca="false">WACC!$C$33+(2-2)*$C$5</f>
        <v>0.0969721785729318</v>
      </c>
      <c r="C12" s="9" t="n">
        <f aca="false">Solver!$D$344</f>
        <v>0.0842801630496979</v>
      </c>
      <c r="D12" s="9" t="n">
        <f aca="false">Solver!$D$371</f>
        <v>0.0758903920650482</v>
      </c>
      <c r="E12" s="8" t="n">
        <f aca="false">Solver!$D$398</f>
        <v>0.0669099986553192</v>
      </c>
      <c r="F12" s="9" t="n">
        <f aca="false">Solver!$D$425</f>
        <v>0.0572526156902313</v>
      </c>
      <c r="G12" s="9" t="n">
        <f aca="false">Solver!$D$452</f>
        <v>0.0468123853206635</v>
      </c>
    </row>
    <row r="13" customFormat="false" ht="15" hidden="false" customHeight="false" outlineLevel="0" collapsed="false">
      <c r="B13" s="47" t="n">
        <f aca="false">WACC!$C$33+(3-2)*$C$5</f>
        <v>0.101972178572932</v>
      </c>
      <c r="C13" s="9" t="n">
        <f aca="false">Solver!$D$479</f>
        <v>0.096544474363327</v>
      </c>
      <c r="D13" s="9" t="n">
        <f aca="false">Solver!$D$506</f>
        <v>0.0886387526988983</v>
      </c>
      <c r="E13" s="9" t="n">
        <f aca="false">Solver!$D$533</f>
        <v>0.0802105367183685</v>
      </c>
      <c r="F13" s="9" t="n">
        <f aca="false">Solver!$D$560</f>
        <v>0.0711891949176788</v>
      </c>
      <c r="G13" s="9" t="n">
        <f aca="false">Solver!$D$587</f>
        <v>0.0614881813526154</v>
      </c>
    </row>
    <row r="14" customFormat="false" ht="15" hidden="false" customHeight="false" outlineLevel="0" collapsed="false">
      <c r="B14" s="47" t="n">
        <f aca="false">WACC!$C$33+(4-2)*$C$5</f>
        <v>0.106972178572932</v>
      </c>
      <c r="C14" s="9" t="n">
        <f aca="false">Solver!$D$614</f>
        <v>0.108412712812424</v>
      </c>
      <c r="D14" s="9" t="n">
        <f aca="false">Solver!$D$641</f>
        <v>0.100936502218246</v>
      </c>
      <c r="E14" s="9" t="n">
        <f aca="false">Solver!$D$668</f>
        <v>0.0929946601390839</v>
      </c>
      <c r="F14" s="9" t="n">
        <f aca="false">Solver!$D$695</f>
        <v>0.0845281779766083</v>
      </c>
      <c r="G14" s="9" t="n">
        <f aca="false">Solver!$D$722</f>
        <v>0.0754658877849579</v>
      </c>
    </row>
    <row r="17" customFormat="false" ht="15" hidden="false" customHeight="false" outlineLevel="0" collapsed="false">
      <c r="B17" s="3" t="s">
        <v>232</v>
      </c>
    </row>
    <row r="18" customFormat="false" ht="15" hidden="false" customHeight="false" outlineLevel="0" collapsed="false">
      <c r="C18" s="48" t="n">
        <f aca="false">Inputs!$C$45+(0-2)*$C$6</f>
        <v>0.102784732400847</v>
      </c>
      <c r="D18" s="48" t="n">
        <f aca="false">Inputs!$C$45+(1-2)*$C$6</f>
        <v>0.122784732400847</v>
      </c>
      <c r="E18" s="48" t="n">
        <f aca="false">Inputs!$C$45+(2-2)*$C$6</f>
        <v>0.142784732400847</v>
      </c>
      <c r="F18" s="48" t="n">
        <f aca="false">Inputs!$C$45+(3-2)*$C$6</f>
        <v>0.162784732400847</v>
      </c>
      <c r="G18" s="48" t="n">
        <f aca="false">Inputs!$C$45+(4-2)*$C$6</f>
        <v>0.182784732400847</v>
      </c>
    </row>
    <row r="19" customFormat="false" ht="15" hidden="false" customHeight="false" outlineLevel="0" collapsed="false">
      <c r="B19" s="47" t="n">
        <f aca="false">WACC!$C$33+(0-2)*$C$5</f>
        <v>0.0869721785729318</v>
      </c>
      <c r="C19" s="42" t="n">
        <f aca="false">(SUMPRODUCT($C28:$L28,1/(1+$B19)^$C$27:$L$27)*Inputs!$C$23+$L28*Inputs!$C$23*(1+Inputs!$C$37)/($B19-Inputs!$C$37)/(1+$B19)^$L$27-Inputs!$C$27+Inputs!$C$28)/Inputs!$C$7</f>
        <v>1154.18037196422</v>
      </c>
      <c r="D19" s="42" t="n">
        <f aca="false">(SUMPRODUCT($C29:$L29,1/(1+$B19)^$C$27:$L$27)*Inputs!$C$23+$L29*Inputs!$C$23*(1+Inputs!$C$37)/($B19-Inputs!$C$37)/(1+$B19)^$L$27-Inputs!$C$27+Inputs!$C$28)/Inputs!$C$7</f>
        <v>1319.95258889363</v>
      </c>
      <c r="E19" s="42" t="n">
        <f aca="false">(SUMPRODUCT($C30:$L30,1/(1+$B19)^$C$27:$L$27)*Inputs!$C$23+$L30*Inputs!$C$23*(1+Inputs!$C$37)/($B19-Inputs!$C$37)/(1+$B19)^$L$27-Inputs!$C$27+Inputs!$C$28)/Inputs!$C$7</f>
        <v>1503.70630035079</v>
      </c>
      <c r="F19" s="42" t="n">
        <f aca="false">(SUMPRODUCT($C31:$L31,1/(1+$B19)^$C$27:$L$27)*Inputs!$C$23+$L31*Inputs!$C$23*(1+Inputs!$C$37)/($B19-Inputs!$C$37)/(1+$B19)^$L$27-Inputs!$C$27+Inputs!$C$28)/Inputs!$C$7</f>
        <v>1707.13752774691</v>
      </c>
      <c r="G19" s="42" t="n">
        <f aca="false">(SUMPRODUCT($C32:$L32,1/(1+$B19)^$C$27:$L$27)*Inputs!$C$23+$L32*Inputs!$C$23*(1+Inputs!$C$37)/($B19-Inputs!$C$37)/(1+$B19)^$L$27-Inputs!$C$27+Inputs!$C$28)/Inputs!$C$7</f>
        <v>1932.07602280085</v>
      </c>
      <c r="I19" s="19" t="s">
        <v>233</v>
      </c>
    </row>
    <row r="20" customFormat="false" ht="15" hidden="false" customHeight="false" outlineLevel="0" collapsed="false">
      <c r="B20" s="47" t="n">
        <f aca="false">WACC!$C$33+(1-2)*$C$5</f>
        <v>0.0919721785729318</v>
      </c>
      <c r="C20" s="42" t="n">
        <f aca="false">(SUMPRODUCT($C28:$L28,1/(1+$B20)^$C$27:$L$27)*Inputs!$C$23+$L28*Inputs!$C$23*(1+Inputs!$C$37)/($B20-Inputs!$C$37)/(1+$B20)^$L$27-Inputs!$C$27+Inputs!$C$28)/Inputs!$C$7</f>
        <v>1037.62638779397</v>
      </c>
      <c r="D20" s="42" t="n">
        <f aca="false">(SUMPRODUCT($C29:$L29,1/(1+$B20)^$C$27:$L$27)*Inputs!$C$23+$L29*Inputs!$C$23*(1+Inputs!$C$37)/($B20-Inputs!$C$37)/(1+$B20)^$L$27-Inputs!$C$27+Inputs!$C$28)/Inputs!$C$7</f>
        <v>1187.94274331194</v>
      </c>
      <c r="E20" s="42" t="n">
        <f aca="false">(SUMPRODUCT($C30:$L30,1/(1+$B20)^$C$27:$L$27)*Inputs!$C$23+$L30*Inputs!$C$23*(1+Inputs!$C$37)/($B20-Inputs!$C$37)/(1+$B20)^$L$27-Inputs!$C$27+Inputs!$C$28)/Inputs!$C$7</f>
        <v>1354.46506103472</v>
      </c>
      <c r="F20" s="42" t="n">
        <f aca="false">(SUMPRODUCT($C31:$L31,1/(1+$B20)^$C$27:$L$27)*Inputs!$C$23+$L31*Inputs!$C$23*(1+Inputs!$C$37)/($B20-Inputs!$C$37)/(1+$B20)^$L$27-Inputs!$C$27+Inputs!$C$28)/Inputs!$C$7</f>
        <v>1538.7163346786</v>
      </c>
      <c r="G20" s="42" t="n">
        <f aca="false">(SUMPRODUCT($C32:$L32,1/(1+$B20)^$C$27:$L$27)*Inputs!$C$23+$L32*Inputs!$C$23*(1+Inputs!$C$37)/($B20-Inputs!$C$37)/(1+$B20)^$L$27-Inputs!$C$27+Inputs!$C$28)/Inputs!$C$7</f>
        <v>1742.33933261831</v>
      </c>
    </row>
    <row r="21" customFormat="false" ht="15" hidden="false" customHeight="false" outlineLevel="0" collapsed="false">
      <c r="B21" s="47" t="n">
        <f aca="false">WACC!$C$33+(2-2)*$C$5</f>
        <v>0.0969721785729318</v>
      </c>
      <c r="C21" s="42" t="n">
        <f aca="false">(SUMPRODUCT($C28:$L28,1/(1+$B21)^$C$27:$L$27)*Inputs!$C$23+$L28*Inputs!$C$23*(1+Inputs!$C$37)/($B21-Inputs!$C$37)/(1+$B21)^$L$27-Inputs!$C$27+Inputs!$C$28)/Inputs!$C$7</f>
        <v>938.200062881716</v>
      </c>
      <c r="D21" s="42" t="n">
        <f aca="false">(SUMPRODUCT($C29:$L29,1/(1+$B21)^$C$27:$L$27)*Inputs!$C$23+$L29*Inputs!$C$23*(1+Inputs!$C$37)/($B21-Inputs!$C$37)/(1+$B21)^$L$27-Inputs!$C$27+Inputs!$C$28)/Inputs!$C$7</f>
        <v>1075.37173053162</v>
      </c>
      <c r="E21" s="46" t="n">
        <f aca="false">(SUMPRODUCT($C30:$L30,1/(1+$B21)^$C$27:$L$27)*Inputs!$C$23+$L30*Inputs!$C$23*(1+Inputs!$C$37)/($B21-Inputs!$C$37)/(1+$B21)^$L$27-Inputs!$C$27+Inputs!$C$28)/Inputs!$C$7</f>
        <v>1227.24228090573</v>
      </c>
      <c r="F21" s="42" t="n">
        <f aca="false">(SUMPRODUCT($C31:$L31,1/(1+$B21)^$C$27:$L$27)*Inputs!$C$23+$L31*Inputs!$C$23*(1+Inputs!$C$37)/($B21-Inputs!$C$37)/(1+$B21)^$L$27-Inputs!$C$27+Inputs!$C$28)/Inputs!$C$7</f>
        <v>1395.18804654915</v>
      </c>
      <c r="G21" s="42" t="n">
        <f aca="false">(SUMPRODUCT($C32:$L32,1/(1+$B21)^$C$27:$L$27)*Inputs!$C$23+$L32*Inputs!$C$23*(1+Inputs!$C$37)/($B21-Inputs!$C$37)/(1+$B21)^$L$27-Inputs!$C$27+Inputs!$C$28)/Inputs!$C$7</f>
        <v>1580.69331871439</v>
      </c>
    </row>
    <row r="22" customFormat="false" ht="15" hidden="false" customHeight="false" outlineLevel="0" collapsed="false">
      <c r="B22" s="47" t="n">
        <f aca="false">WACC!$C$33+(3-2)*$C$5</f>
        <v>0.101972178572932</v>
      </c>
      <c r="C22" s="42" t="n">
        <f aca="false">(SUMPRODUCT($C28:$L28,1/(1+$B22)^$C$27:$L$27)*Inputs!$C$23+$L28*Inputs!$C$23*(1+Inputs!$C$37)/($B22-Inputs!$C$37)/(1+$B22)^$L$27-Inputs!$C$27+Inputs!$C$28)/Inputs!$C$7</f>
        <v>852.409364912376</v>
      </c>
      <c r="D22" s="42" t="n">
        <f aca="false">(SUMPRODUCT($C29:$L29,1/(1+$B22)^$C$27:$L$27)*Inputs!$C$23+$L29*Inputs!$C$23*(1+Inputs!$C$37)/($B22-Inputs!$C$37)/(1+$B22)^$L$27-Inputs!$C$27+Inputs!$C$28)/Inputs!$C$7</f>
        <v>978.275056750898</v>
      </c>
      <c r="E22" s="42" t="n">
        <f aca="false">(SUMPRODUCT($C30:$L30,1/(1+$B22)^$C$27:$L$27)*Inputs!$C$23+$L30*Inputs!$C$23*(1+Inputs!$C$37)/($B22-Inputs!$C$37)/(1+$B22)^$L$27-Inputs!$C$27+Inputs!$C$28)/Inputs!$C$7</f>
        <v>1117.54601866223</v>
      </c>
      <c r="F22" s="42" t="n">
        <f aca="false">(SUMPRODUCT($C31:$L31,1/(1+$B22)^$C$27:$L$27)*Inputs!$C$23+$L31*Inputs!$C$23*(1+Inputs!$C$37)/($B22-Inputs!$C$37)/(1+$B22)^$L$27-Inputs!$C$27+Inputs!$C$28)/Inputs!$C$7</f>
        <v>1271.47287957242</v>
      </c>
      <c r="G22" s="42" t="n">
        <f aca="false">(SUMPRODUCT($C32:$L32,1/(1+$B22)^$C$27:$L$27)*Inputs!$C$23+$L32*Inputs!$C$23*(1+Inputs!$C$37)/($B22-Inputs!$C$37)/(1+$B22)^$L$27-Inputs!$C$27+Inputs!$C$28)/Inputs!$C$7</f>
        <v>1441.4041113289</v>
      </c>
    </row>
    <row r="23" customFormat="false" ht="15" hidden="false" customHeight="false" outlineLevel="0" collapsed="false">
      <c r="B23" s="47" t="n">
        <f aca="false">WACC!$C$33+(4-2)*$C$5</f>
        <v>0.106972178572932</v>
      </c>
      <c r="C23" s="42" t="n">
        <f aca="false">(SUMPRODUCT($C28:$L28,1/(1+$B23)^$C$27:$L$27)*Inputs!$C$23+$L28*Inputs!$C$23*(1+Inputs!$C$37)/($B23-Inputs!$C$37)/(1+$B23)^$L$27-Inputs!$C$27+Inputs!$C$28)/Inputs!$C$7</f>
        <v>777.650178146491</v>
      </c>
      <c r="D23" s="42" t="n">
        <f aca="false">(SUMPRODUCT($C29:$L29,1/(1+$B23)^$C$27:$L$27)*Inputs!$C$23+$L29*Inputs!$C$23*(1+Inputs!$C$37)/($B23-Inputs!$C$37)/(1+$B23)^$L$27-Inputs!$C$27+Inputs!$C$28)/Inputs!$C$7</f>
        <v>893.696323925254</v>
      </c>
      <c r="E23" s="42" t="n">
        <f aca="false">(SUMPRODUCT($C30:$L30,1/(1+$B23)^$C$27:$L$27)*Inputs!$C$23+$L30*Inputs!$C$23*(1+Inputs!$C$37)/($B23-Inputs!$C$37)/(1+$B23)^$L$27-Inputs!$C$27+Inputs!$C$28)/Inputs!$C$7</f>
        <v>1022.02659905781</v>
      </c>
      <c r="F23" s="42" t="n">
        <f aca="false">(SUMPRODUCT($C31:$L31,1/(1+$B23)^$C$27:$L$27)*Inputs!$C$23+$L31*Inputs!$C$23*(1+Inputs!$C$37)/($B23-Inputs!$C$37)/(1+$B23)^$L$27-Inputs!$C$27+Inputs!$C$28)/Inputs!$C$7</f>
        <v>1163.78285411158</v>
      </c>
      <c r="G23" s="42" t="n">
        <f aca="false">(SUMPRODUCT($C32:$L32,1/(1+$B23)^$C$27:$L$27)*Inputs!$C$23+$L32*Inputs!$C$23*(1+Inputs!$C$37)/($B23-Inputs!$C$37)/(1+$B23)^$L$27-Inputs!$C$27+Inputs!$C$28)/Inputs!$C$7</f>
        <v>1320.19603931786</v>
      </c>
    </row>
    <row r="26" customFormat="false" ht="15" hidden="false" customHeight="false" outlineLevel="0" collapsed="false">
      <c r="B26" s="19" t="s">
        <v>234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0.102784732400847</v>
      </c>
      <c r="C28" s="15" t="n">
        <f aca="false">Inputs!$C$12*(1+IF(C$27&lt;=Inputs!$C$46,$B28,$B28-($B28-Inputs!$C$37)*MIN(C$27-Inputs!$C$46,Inputs!$C$47)/Inputs!$C$47))</f>
        <v>2635.65551043802</v>
      </c>
      <c r="D28" s="15" t="n">
        <f aca="false">C28*(1+IF(D$27&lt;=Inputs!$C$46,$B28,$B28-($B28-Inputs!$C$37)*MIN(D$27-Inputs!$C$46,Inputs!$C$47)/Inputs!$C$47))</f>
        <v>2906.56065677921</v>
      </c>
      <c r="E28" s="15" t="n">
        <f aca="false">D28*(1+IF(E$27&lt;=Inputs!$C$46,$B28,$B28-($B28-Inputs!$C$37)*MIN(E$27-Inputs!$C$46,Inputs!$C$47)/Inputs!$C$47))</f>
        <v>3205.3107160931</v>
      </c>
      <c r="F28" s="15" t="n">
        <f aca="false">E28*(1+IF(F$27&lt;=Inputs!$C$46,$B28,$B28-($B28-Inputs!$C$37)*MIN(F$27-Inputs!$C$46,Inputs!$C$47)/Inputs!$C$47))</f>
        <v>3534.76772030829</v>
      </c>
      <c r="G28" s="15" t="n">
        <f aca="false">F28*(1+IF(G$27&lt;=Inputs!$C$46,$B28,$B28-($B28-Inputs!$C$37)*MIN(G$27-Inputs!$C$46,Inputs!$C$47)/Inputs!$C$47))</f>
        <v>3898.08787453933</v>
      </c>
      <c r="H28" s="15" t="n">
        <f aca="false">G28*(1+IF(H$27&lt;=Inputs!$C$46,$B28,$B28-($B28-Inputs!$C$37)*MIN(H$27-Inputs!$C$46,Inputs!$C$47)/Inputs!$C$47))</f>
        <v>4240.68218715683</v>
      </c>
      <c r="I28" s="15" t="n">
        <f aca="false">H28*(1+IF(I$27&lt;=Inputs!$C$46,$B28,$B28-($B28-Inputs!$C$37)*MIN(I$27-Inputs!$C$46,Inputs!$C$47)/Inputs!$C$47))</f>
        <v>4550.21313979782</v>
      </c>
      <c r="J28" s="15" t="n">
        <f aca="false">I28*(1+IF(J$27&lt;=Inputs!$C$46,$B28,$B28-($B28-Inputs!$C$37)*MIN(J$27-Inputs!$C$46,Inputs!$C$47)/Inputs!$C$47))</f>
        <v>4814.55273488796</v>
      </c>
      <c r="K28" s="15" t="n">
        <f aca="false">J28*(1+IF(K$27&lt;=Inputs!$C$46,$B28,$B28-($B28-Inputs!$C$37)*MIN(K$27-Inputs!$C$46,Inputs!$C$47)/Inputs!$C$47))</f>
        <v>5022.52671170287</v>
      </c>
      <c r="L28" s="15" t="n">
        <f aca="false">K28*(1+IF(L$27&lt;=Inputs!$C$46,$B28,$B28-($B28-Inputs!$C$37)*MIN(L$27-Inputs!$C$46,Inputs!$C$47)/Inputs!$C$47))</f>
        <v>5164.66421764406</v>
      </c>
    </row>
    <row r="29" customFormat="false" ht="15" hidden="false" customHeight="false" outlineLevel="0" collapsed="false">
      <c r="B29" s="23" t="n">
        <f aca="false">D$18</f>
        <v>0.122784732400847</v>
      </c>
      <c r="C29" s="15" t="n">
        <f aca="false">Inputs!$C$12*(1+IF(C$27&lt;=Inputs!$C$46,$B29,$B29-($B29-Inputs!$C$37)*MIN(C$27-Inputs!$C$46,Inputs!$C$47)/Inputs!$C$47))</f>
        <v>2683.45551043802</v>
      </c>
      <c r="D29" s="15" t="n">
        <f aca="false">C29*(1+IF(D$27&lt;=Inputs!$C$46,$B29,$B29-($B29-Inputs!$C$37)*MIN(D$27-Inputs!$C$46,Inputs!$C$47)/Inputs!$C$47))</f>
        <v>3012.94287719673</v>
      </c>
      <c r="E29" s="15" t="n">
        <f aca="false">D29*(1+IF(E$27&lt;=Inputs!$C$46,$B29,$B29-($B29-Inputs!$C$37)*MIN(E$27-Inputs!$C$46,Inputs!$C$47)/Inputs!$C$47))</f>
        <v>3382.88626211237</v>
      </c>
      <c r="F29" s="15" t="n">
        <f aca="false">E29*(1+IF(F$27&lt;=Inputs!$C$46,$B29,$B29-($B29-Inputs!$C$37)*MIN(F$27-Inputs!$C$46,Inputs!$C$47)/Inputs!$C$47))</f>
        <v>3798.25304654834</v>
      </c>
      <c r="G29" s="15" t="n">
        <f aca="false">F29*(1+IF(G$27&lt;=Inputs!$C$46,$B29,$B29-($B29-Inputs!$C$37)*MIN(G$27-Inputs!$C$46,Inputs!$C$47)/Inputs!$C$47))</f>
        <v>4264.62053045948</v>
      </c>
      <c r="H29" s="15" t="n">
        <f aca="false">G29*(1+IF(H$27&lt;=Inputs!$C$46,$B29,$B29-($B29-Inputs!$C$37)*MIN(H$27-Inputs!$C$46,Inputs!$C$47)/Inputs!$C$47))</f>
        <v>4707.66251516078</v>
      </c>
      <c r="I29" s="15" t="n">
        <f aca="false">H29*(1+IF(I$27&lt;=Inputs!$C$46,$B29,$B29-($B29-Inputs!$C$37)*MIN(I$27-Inputs!$C$46,Inputs!$C$47)/Inputs!$C$47))</f>
        <v>5107.77070412691</v>
      </c>
      <c r="J29" s="15" t="n">
        <f aca="false">I29*(1+IF(J$27&lt;=Inputs!$C$46,$B29,$B29-($B29-Inputs!$C$37)*MIN(J$27-Inputs!$C$46,Inputs!$C$47)/Inputs!$C$47))</f>
        <v>5445.36315431143</v>
      </c>
      <c r="K29" s="15" t="n">
        <f aca="false">J29*(1+IF(K$27&lt;=Inputs!$C$46,$B29,$B29-($B29-Inputs!$C$37)*MIN(K$27-Inputs!$C$46,Inputs!$C$47)/Inputs!$C$47))</f>
        <v>5702.36766767055</v>
      </c>
      <c r="L29" s="15" t="n">
        <f aca="false">K29*(1+IF(L$27&lt;=Inputs!$C$46,$B29,$B29-($B29-Inputs!$C$37)*MIN(L$27-Inputs!$C$46,Inputs!$C$47)/Inputs!$C$47))</f>
        <v>5863.74467266563</v>
      </c>
    </row>
    <row r="30" customFormat="false" ht="15" hidden="false" customHeight="false" outlineLevel="0" collapsed="false">
      <c r="B30" s="23" t="n">
        <f aca="false">E$18</f>
        <v>0.142784732400847</v>
      </c>
      <c r="C30" s="15" t="n">
        <f aca="false">Inputs!$C$12*(1+IF(C$27&lt;=Inputs!$C$46,$B30,$B30-($B30-Inputs!$C$37)*MIN(C$27-Inputs!$C$46,Inputs!$C$47)/Inputs!$C$47))</f>
        <v>2731.25551043802</v>
      </c>
      <c r="D30" s="15" t="n">
        <f aca="false">C30*(1+IF(D$27&lt;=Inputs!$C$46,$B30,$B30-($B30-Inputs!$C$37)*MIN(D$27-Inputs!$C$46,Inputs!$C$47)/Inputs!$C$47))</f>
        <v>3121.23709761426</v>
      </c>
      <c r="E30" s="15" t="n">
        <f aca="false">D30*(1+IF(E$27&lt;=Inputs!$C$46,$B30,$B30-($B30-Inputs!$C$37)*MIN(E$27-Inputs!$C$46,Inputs!$C$47)/Inputs!$C$47))</f>
        <v>3566.9021013567</v>
      </c>
      <c r="F30" s="15" t="n">
        <f aca="false">E30*(1+IF(F$27&lt;=Inputs!$C$46,$B30,$B30-($B30-Inputs!$C$37)*MIN(F$27-Inputs!$C$46,Inputs!$C$47)/Inputs!$C$47))</f>
        <v>4076.20126339894</v>
      </c>
      <c r="G30" s="15" t="n">
        <f aca="false">F30*(1+IF(G$27&lt;=Inputs!$C$46,$B30,$B30-($B30-Inputs!$C$37)*MIN(G$27-Inputs!$C$46,Inputs!$C$47)/Inputs!$C$47))</f>
        <v>4658.22057000535</v>
      </c>
      <c r="H30" s="15" t="n">
        <f aca="false">G30*(1+IF(H$27&lt;=Inputs!$C$46,$B30,$B30-($B30-Inputs!$C$37)*MIN(H$27-Inputs!$C$46,Inputs!$C$47)/Inputs!$C$47))</f>
        <v>5216.68432047345</v>
      </c>
      <c r="I30" s="15" t="n">
        <f aca="false">H30*(1+IF(I$27&lt;=Inputs!$C$46,$B30,$B30-($B30-Inputs!$C$37)*MIN(I$27-Inputs!$C$46,Inputs!$C$47)/Inputs!$C$47))</f>
        <v>5722.6549118123</v>
      </c>
      <c r="J30" s="15" t="n">
        <f aca="false">I30*(1+IF(J$27&lt;=Inputs!$C$46,$B30,$B30-($B30-Inputs!$C$37)*MIN(J$27-Inputs!$C$46,Inputs!$C$47)/Inputs!$C$47))</f>
        <v>6146.66869229708</v>
      </c>
      <c r="K30" s="15" t="n">
        <f aca="false">J30*(1+IF(K$27&lt;=Inputs!$C$46,$B30,$B30-($B30-Inputs!$C$37)*MIN(K$27-Inputs!$C$46,Inputs!$C$47)/Inputs!$C$47))</f>
        <v>6461.35936036795</v>
      </c>
      <c r="L30" s="15" t="n">
        <f aca="false">K30*(1+IF(L$27&lt;=Inputs!$C$46,$B30,$B30-($B30-Inputs!$C$37)*MIN(L$27-Inputs!$C$46,Inputs!$C$47)/Inputs!$C$47))</f>
        <v>6644.21583026636</v>
      </c>
    </row>
    <row r="31" customFormat="false" ht="15" hidden="false" customHeight="false" outlineLevel="0" collapsed="false">
      <c r="B31" s="23" t="n">
        <f aca="false">F$18</f>
        <v>0.162784732400847</v>
      </c>
      <c r="C31" s="15" t="n">
        <f aca="false">Inputs!$C$12*(1+IF(C$27&lt;=Inputs!$C$46,$B31,$B31-($B31-Inputs!$C$37)*MIN(C$27-Inputs!$C$46,Inputs!$C$47)/Inputs!$C$47))</f>
        <v>2779.05551043802</v>
      </c>
      <c r="D31" s="15" t="n">
        <f aca="false">C31*(1+IF(D$27&lt;=Inputs!$C$46,$B31,$B31-($B31-Inputs!$C$37)*MIN(D$27-Inputs!$C$46,Inputs!$C$47)/Inputs!$C$47))</f>
        <v>3231.44331803178</v>
      </c>
      <c r="E31" s="15" t="n">
        <f aca="false">D31*(1+IF(E$27&lt;=Inputs!$C$46,$B31,$B31-($B31-Inputs!$C$37)*MIN(E$27-Inputs!$C$46,Inputs!$C$47)/Inputs!$C$47))</f>
        <v>3757.47295382608</v>
      </c>
      <c r="F31" s="15" t="n">
        <f aca="false">E31*(1+IF(F$27&lt;=Inputs!$C$46,$B31,$B31-($B31-Inputs!$C$37)*MIN(F$27-Inputs!$C$46,Inputs!$C$47)/Inputs!$C$47))</f>
        <v>4369.13218311808</v>
      </c>
      <c r="G31" s="15" t="n">
        <f aca="false">F31*(1+IF(G$27&lt;=Inputs!$C$46,$B31,$B31-($B31-Inputs!$C$37)*MIN(G$27-Inputs!$C$46,Inputs!$C$47)/Inputs!$C$47))</f>
        <v>5080.36019637089</v>
      </c>
      <c r="H31" s="15" t="n">
        <f aca="false">G31*(1+IF(H$27&lt;=Inputs!$C$46,$B31,$B31-($B31-Inputs!$C$37)*MIN(H$27-Inputs!$C$46,Inputs!$C$47)/Inputs!$C$47))</f>
        <v>5770.71909513527</v>
      </c>
      <c r="I31" s="15" t="n">
        <f aca="false">H31*(1+IF(I$27&lt;=Inputs!$C$46,$B31,$B31-($B31-Inputs!$C$37)*MIN(I$27-Inputs!$C$46,Inputs!$C$47)/Inputs!$C$47))</f>
        <v>6399.67461348943</v>
      </c>
      <c r="J31" s="15" t="n">
        <f aca="false">I31*(1+IF(J$27&lt;=Inputs!$C$46,$B31,$B31-($B31-Inputs!$C$37)*MIN(J$27-Inputs!$C$46,Inputs!$C$47)/Inputs!$C$47))</f>
        <v>6925.04881619023</v>
      </c>
      <c r="K31" s="15" t="n">
        <f aca="false">J31*(1+IF(K$27&lt;=Inputs!$C$46,$B31,$B31-($B31-Inputs!$C$37)*MIN(K$27-Inputs!$C$46,Inputs!$C$47)/Inputs!$C$47))</f>
        <v>7307.29036507004</v>
      </c>
      <c r="L31" s="15" t="n">
        <f aca="false">K31*(1+IF(L$27&lt;=Inputs!$C$46,$B31,$B31-($B31-Inputs!$C$37)*MIN(L$27-Inputs!$C$46,Inputs!$C$47)/Inputs!$C$47))</f>
        <v>7514.08668240152</v>
      </c>
    </row>
    <row r="32" customFormat="false" ht="15" hidden="false" customHeight="false" outlineLevel="0" collapsed="false">
      <c r="B32" s="23" t="n">
        <f aca="false">G$18</f>
        <v>0.182784732400847</v>
      </c>
      <c r="C32" s="15" t="n">
        <f aca="false">Inputs!$C$12*(1+IF(C$27&lt;=Inputs!$C$46,$B32,$B32-($B32-Inputs!$C$37)*MIN(C$27-Inputs!$C$46,Inputs!$C$47)/Inputs!$C$47))</f>
        <v>2826.85551043802</v>
      </c>
      <c r="D32" s="15" t="n">
        <f aca="false">C32*(1+IF(D$27&lt;=Inputs!$C$46,$B32,$B32-($B32-Inputs!$C$37)*MIN(D$27-Inputs!$C$46,Inputs!$C$47)/Inputs!$C$47))</f>
        <v>3343.5615384493</v>
      </c>
      <c r="E32" s="15" t="n">
        <f aca="false">D32*(1+IF(E$27&lt;=Inputs!$C$46,$B32,$B32-($B32-Inputs!$C$37)*MIN(E$27-Inputs!$C$46,Inputs!$C$47)/Inputs!$C$47))</f>
        <v>3954.71353952052</v>
      </c>
      <c r="F32" s="15" t="n">
        <f aca="false">E32*(1+IF(F$27&lt;=Inputs!$C$46,$B32,$B32-($B32-Inputs!$C$37)*MIN(F$27-Inputs!$C$46,Inputs!$C$47)/Inputs!$C$47))</f>
        <v>4677.57479556378</v>
      </c>
      <c r="G32" s="15" t="n">
        <f aca="false">F32*(1+IF(G$27&lt;=Inputs!$C$46,$B32,$B32-($B32-Inputs!$C$37)*MIN(G$27-Inputs!$C$46,Inputs!$C$47)/Inputs!$C$47))</f>
        <v>5532.56405285585</v>
      </c>
      <c r="H32" s="15" t="n">
        <f aca="false">G32*(1+IF(H$27&lt;=Inputs!$C$46,$B32,$B32-($B32-Inputs!$C$37)*MIN(H$27-Inputs!$C$46,Inputs!$C$47)/Inputs!$C$47))</f>
        <v>6372.89295730846</v>
      </c>
      <c r="I32" s="15" t="n">
        <f aca="false">H32*(1+IF(I$27&lt;=Inputs!$C$46,$B32,$B32-($B32-Inputs!$C$37)*MIN(I$27-Inputs!$C$46,Inputs!$C$47)/Inputs!$C$47))</f>
        <v>7143.95462587771</v>
      </c>
      <c r="J32" s="15" t="n">
        <f aca="false">I32*(1+IF(J$27&lt;=Inputs!$C$46,$B32,$B32-($B32-Inputs!$C$37)*MIN(J$27-Inputs!$C$46,Inputs!$C$47)/Inputs!$C$47))</f>
        <v>7787.58130925505</v>
      </c>
      <c r="K32" s="15" t="n">
        <f aca="false">J32*(1+IF(K$27&lt;=Inputs!$C$46,$B32,$B32-($B32-Inputs!$C$37)*MIN(K$27-Inputs!$C$46,Inputs!$C$47)/Inputs!$C$47))</f>
        <v>8248.58234322899</v>
      </c>
      <c r="L32" s="15" t="n">
        <f aca="false">K32*(1+IF(L$27&lt;=Inputs!$C$46,$B32,$B32-($B32-Inputs!$C$37)*MIN(L$27-Inputs!$C$46,Inputs!$C$47)/Inputs!$C$47))</f>
        <v>8482.01722354237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235</v>
      </c>
    </row>
    <row r="3" customFormat="false" ht="15" hidden="false" customHeight="false" outlineLevel="0" collapsed="false">
      <c r="B3" s="2" t="s">
        <v>236</v>
      </c>
    </row>
    <row r="5" customFormat="false" ht="15" hidden="false" customHeight="false" outlineLevel="0" collapsed="false">
      <c r="B5" s="28" t="s">
        <v>237</v>
      </c>
      <c r="C5" s="28" t="s">
        <v>238</v>
      </c>
      <c r="D5" s="28" t="s">
        <v>239</v>
      </c>
      <c r="E5" s="28" t="s">
        <v>240</v>
      </c>
      <c r="F5" s="28" t="s">
        <v>241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0.473230125523013</v>
      </c>
      <c r="D6" s="24" t="n">
        <v>0.47323013</v>
      </c>
      <c r="E6" s="49" t="n">
        <f aca="false">C6-D6</f>
        <v>-4.47698750294379E-009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131</v>
      </c>
      <c r="C7" s="50" t="n">
        <f aca="false">WACC!$C$10</f>
        <v>1.08492606217581</v>
      </c>
      <c r="D7" s="51" t="n">
        <v>1.08492606</v>
      </c>
      <c r="E7" s="49" t="n">
        <f aca="false">C7-D7</f>
        <v>2.17581019867907E-009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WACC!$C$33</f>
        <v>0.0969721785729318</v>
      </c>
      <c r="D8" s="24" t="n">
        <v>0.09697218</v>
      </c>
      <c r="E8" s="49" t="n">
        <f aca="false">C8-D8</f>
        <v>-1.42706819972194E-009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242</v>
      </c>
      <c r="C10" s="12" t="n">
        <f aca="false">Inputs!$C$43</f>
        <v>0.142784732400847</v>
      </c>
      <c r="D10" s="24" t="n">
        <v>0.14278473</v>
      </c>
      <c r="E10" s="49" t="n">
        <f aca="false">C10-D10</f>
        <v>2.40084688241105E-009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243</v>
      </c>
      <c r="C11" s="12" t="n">
        <f aca="false">Solver!$W$7</f>
        <v>0.0669099144010943</v>
      </c>
      <c r="D11" s="24" t="n">
        <v>0.06690991</v>
      </c>
      <c r="E11" s="49" t="n">
        <f aca="false">C11-D11</f>
        <v>4.40109428068158E-009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244</v>
      </c>
      <c r="C12" s="12" t="n">
        <f aca="false">Sensitivity!$E$14</f>
        <v>0.0929946601390839</v>
      </c>
      <c r="D12" s="24" t="n">
        <v>0.09299462</v>
      </c>
      <c r="E12" s="49" t="n">
        <f aca="false">C12-D12</f>
        <v>4.01390838622451E-008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245</v>
      </c>
      <c r="C13" s="6" t="n">
        <f aca="false">DCF!$C$41</f>
        <v>1227.24228090573</v>
      </c>
      <c r="D13" s="20" t="n">
        <v>1227.24228091</v>
      </c>
      <c r="E13" s="49" t="n">
        <f aca="false">C13-D13</f>
        <v>-4.27257873525377E-009</v>
      </c>
      <c r="F13" s="5" t="str">
        <f aca="false">IF(ABS(E13)&lt;=0.122724228090573,"Pass","Check")</f>
        <v>Pass</v>
      </c>
    </row>
    <row r="14" customFormat="false" ht="15" hidden="false" customHeight="false" outlineLevel="0" collapsed="false">
      <c r="B14" s="5" t="s">
        <v>246</v>
      </c>
      <c r="C14" s="6" t="n">
        <f aca="false">DCF!$C$21-DCF!$C$22</f>
        <v>-4.40752501162933E-009</v>
      </c>
      <c r="D14" s="20" t="n">
        <v>0</v>
      </c>
      <c r="E14" s="49" t="n">
        <f aca="false">C14-D14</f>
        <v>-4.40752501162933E-009</v>
      </c>
      <c r="F14" s="5" t="str">
        <f aca="false">IF(ABS(E14)&lt;=0.01,"Pass","Check")</f>
        <v>Pass</v>
      </c>
      <c r="G14" s="19" t="s">
        <v>247</v>
      </c>
    </row>
    <row r="16" customFormat="false" ht="15" hidden="false" customHeight="false" outlineLevel="0" collapsed="false">
      <c r="B16" s="38" t="s">
        <v>248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2026-10-14T16:48:51Z</dcterms:created>
  <dc:creator>openpyxl</dc:creator>
  <dc:description/>
  <dc:language>en-US</dc:language>
  <cp:lastModifiedBy/>
  <dcterms:modified xsi:type="dcterms:W3CDTF">2026-10-14T16:48:52Z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