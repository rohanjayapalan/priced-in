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<sst xmlns="http://schemas.openxmlformats.org/spreadsheetml/2006/main" count="845" uniqueCount="254">
  <si>
    <t xml:space="preserve">Priced In: Intercontinental Exchange (ICE)</t>
  </si>
  <si>
    <t xml:space="preserve">Reverse DCF, model v1.0. Inputs as of the Oct 13, 2026 close; model locked Oct 14, 2026 (commit 0735af0).</t>
  </si>
  <si>
    <t xml:space="preserve">Exchanges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</si>
  <si>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</si>
  <si>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</si>
  <si>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</si>
  <si>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</si>
  <si>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</si>
  <si>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</si>
  <si>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</si>
  <si>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</si>
  <si>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</si>
  <si>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</si>
  <si>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</si>
  <si>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</si>
  <si>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</si>
  <si>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</si>
  <si>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History not comparable</t>
  </si>
  <si>
    <t xml:space="preserve">Black Knight joined in September 2023, so past growth includes an acquisition.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</si>
  <si>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</si>
  <si>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</si>
  <si>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</si>
  <si>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</si>
  <si>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</si>
  <si>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</si>
  <si>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</si>
  <si>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</si>
  <si>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</si>
  <si>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</si>
  <si>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</si>
  <si>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</si>
  <si>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</si>
  <si>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Intercontinental Exchange (ICE):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</si>
  <si>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</si>
  <si>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</si>
  <si>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</si>
  <si>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</si>
  <si>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</si>
  <si>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</si>
  <si>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</si>
  <si>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</si>
  <si>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</si>
  <si>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</si>
  <si>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</si>
  <si>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</si>
  <si>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</si>
  <si>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</si>
  <si>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</si>
  <si>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</si>
  <si>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</si>
  <si>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</si>
  <si>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</si>
  <si>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</si>
  <si>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</si>
  <si>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</si>
  <si>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</si>
  <si>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</si>
  <si>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</si>
  <si>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</si>
  <si>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</si>
  <si>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</si>
  <si>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</si>
  <si>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</si>
  <si>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</si>
  <si>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</si>
  <si>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</si>
  <si>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</si>
  <si>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</si>
  <si>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</si>
  <si>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</si>
  <si>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</si>
  <si>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</si>
  <si>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</si>
  <si>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</si>
  <si>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</si>
  <si>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</si>
  <si>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</si>
  <si>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</si>
  <si>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</si>
  <si>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</si>
  <si>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</si>
  <si>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</si>
  <si>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</si>
  <si>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n/a</t>
  </si>
  <si>
    <t xml:space="preserve">Not used: past growth isn't comparable (see Cover).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</si>
  <si>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</si>
  <si>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</si>
  <si>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</si>
  <si>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</si>
  <si>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</si>
  <si>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</si>
  <si>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</si>
  <si>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</si>
  <si>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</si>
  <si>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</si>
  <si>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</si>
  <si>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</si>
  <si>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Intercontinental Exchange (ICE):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</si>
  <si>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</si>
  <si>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</si>
  <si>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</si>
  <si>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</si>
  <si>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</si>
  <si>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</si>
  <si>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</si>
  <si>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</si>
  <si>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</si>
  <si>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</si>
  <si>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net revenue</t>
  </si>
  <si>
    <t xml:space="preserve">History window</t>
  </si>
  <si>
    <t xml:space="preserve">Not used for this company: Black Knight joined in September 2023, so past growth includes an acquisition.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</si>
  <si>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</si>
  <si>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</si>
  <si>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</si>
  <si>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</si>
  <si>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</si>
  <si>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</si>
  <si>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</si>
  <si>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</si>
  <si>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</si>
  <si>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</si>
  <si>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Intercontinental Exchange (ICE):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</si>
  <si>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</si>
  <si>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</si>
  <si>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</si>
  <si>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</si>
  <si>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</si>
  <si>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</si>
  <si>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</si>
  <si>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</si>
  <si>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</si>
  <si>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</si>
  <si>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</si>
  <si>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</si>
  <si>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</si>
  <si>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</si>
  <si>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</si>
  <si>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</si>
  <si>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</si>
  <si>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</si>
  <si>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</si>
  <si>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</si>
  <si>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</si>
  <si>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</si>
  <si>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</si>
  <si>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</si>
  <si>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</si>
  <si>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</si>
  <si>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</si>
  <si>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</si>
  <si>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</si>
  <si>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</si>
  <si>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</si>
  <si>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</si>
  <si>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</si>
  <si>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</si>
  <si>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</si>
  <si>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</si>
  <si>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</si>
  <si>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</si>
  <si>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</si>
  <si>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</si>
  <si>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</si>
  <si>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</si>
  <si>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</si>
  <si>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</si>
  <si>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</si>
  <si>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</si>
  <si>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</si>
  <si>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</si>
  <si>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</si>
  <si>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</si>
  <si>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</si>
  <si>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</si>
  <si>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</si>
  <si>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</si>
  <si>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</si>
  <si>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</si>
  <si>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</si>
  <si>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</si>
  <si>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</si>
  <si>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</si>
  <si>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</si>
  <si>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</si>
  <si>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</si>
  <si>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</si>
  <si>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</si>
  <si>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</si>
  <si>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</si>
  <si>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</si>
  <si>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</si>
  <si>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</si>
  <si>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</si>
  <si>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</si>
  <si>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</si>
  <si>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</si>
  <si>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</si>
  <si>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</si>
  <si>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</si>
  <si>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</si>
  <si>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</si>
  <si>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</si>
  <si>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</si>
  <si>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</si>
  <si>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</si>
  <si>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</si>
  <si>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</si>
  <si>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</si>
  <si>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</si>
  <si>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</si>
  <si>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</si>
  <si>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</si>
  <si>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Intercontinental Exchange (ICE):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</si>
  <si>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</si>
  <si>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</si>
  <si>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</si>
  <si>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</si>
  <si>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</si>
  <si>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</si>
  <si>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</si>
  <si>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</si>
  <si>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</si>
  <si>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</si>
  <si>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</si>
  <si>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</si>
  <si>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</si>
  <si>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</si>
  <si>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</si>
  <si>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</si>
  <si>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</si>
  <si>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Intercontinental Exchange (ICE):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</si>
  <si>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</si>
  <si>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</si>
  <si>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</si>
  <si>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</si>
  <si>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</si>
  <si>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</si>
  <si>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</si>
  <si>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$155.81.</t>
  </si>
  <si>
    <t xml:space="preserve">Helper: revenue paths for each growth view (years 1 to 10)</t>
  </si>
  <si>
    <t xml:space="preserve">Intercontinental Exchange (ICE):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</si>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</sst>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;\(0.00\);\-"/>
    <numFmt numFmtId="172" formatCode="0.0\x"/>
    <numFmt numFmtId="173" formatCode="0.0000%"/>
    <numFmt numFmtId="174" formatCode="#,##0.0000;\(#,##0.0000\);\-"/>
    <numFmt numFmtId="175" formatCode="0.0000"/>
    <numFmt numFmtId="176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155.809686670586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0.0229197011617543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0.0812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-0.0582802988382457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WACC!$C$37</f>
        <v>0.0770172026214128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0.495265151515152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0.0812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233.357705277935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0.497709868137417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10560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0.0812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155.809686670586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561.39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87470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10560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5" t="n">
        <f aca="false">C11</f>
        <v>10560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5080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C13</f>
        <v>5080</v>
      </c>
      <c r="E14" s="19" t="s">
        <v>45</v>
      </c>
    </row>
    <row r="15" customFormat="false" ht="15" hidden="false" customHeight="false" outlineLevel="0" collapsed="false">
      <c r="B15" s="5" t="s">
        <v>49</v>
      </c>
      <c r="C15" s="14" t="n">
        <v>0</v>
      </c>
      <c r="E15" s="19" t="s">
        <v>50</v>
      </c>
    </row>
    <row r="16" customFormat="false" ht="15" hidden="false" customHeight="false" outlineLevel="0" collapsed="false">
      <c r="B16" s="5" t="s">
        <v>51</v>
      </c>
      <c r="C16" s="15" t="n">
        <f aca="false">C14-C15</f>
        <v>5080</v>
      </c>
    </row>
    <row r="17" customFormat="false" ht="15" hidden="false" customHeight="false" outlineLevel="0" collapsed="false">
      <c r="B17" s="5" t="s">
        <v>52</v>
      </c>
      <c r="C17" s="14" t="n">
        <v>5530</v>
      </c>
      <c r="E17" s="19" t="s">
        <v>53</v>
      </c>
    </row>
    <row r="18" customFormat="false" ht="15" hidden="false" customHeight="false" outlineLevel="0" collapsed="false">
      <c r="B18" s="5" t="s">
        <v>54</v>
      </c>
      <c r="C18" s="14" t="n">
        <v>5330</v>
      </c>
      <c r="E18" s="19" t="s">
        <v>53</v>
      </c>
    </row>
    <row r="19" customFormat="false" ht="15" hidden="false" customHeight="false" outlineLevel="0" collapsed="false">
      <c r="B19" s="5" t="s">
        <v>55</v>
      </c>
      <c r="C19" s="15" t="n">
        <f aca="false">MAX(0,C17-C18)</f>
        <v>200</v>
      </c>
      <c r="E19" s="19" t="s">
        <v>56</v>
      </c>
    </row>
    <row r="20" customFormat="false" ht="15" hidden="false" customHeight="false" outlineLevel="0" collapsed="false">
      <c r="B20" s="5" t="s">
        <v>57</v>
      </c>
      <c r="C20" s="22" t="n">
        <v>0.25</v>
      </c>
      <c r="E20" s="19" t="s">
        <v>58</v>
      </c>
    </row>
    <row r="21" customFormat="false" ht="15" hidden="false" customHeight="false" outlineLevel="0" collapsed="false">
      <c r="B21" s="5" t="s">
        <v>59</v>
      </c>
      <c r="C21" s="15" t="n">
        <f aca="false">C19*(1-C20)</f>
        <v>150</v>
      </c>
    </row>
    <row r="22" customFormat="false" ht="15" hidden="false" customHeight="false" outlineLevel="0" collapsed="false">
      <c r="B22" s="5" t="s">
        <v>60</v>
      </c>
      <c r="C22" s="15" t="n">
        <f aca="false">C16+C21</f>
        <v>5230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0.495265151515152</v>
      </c>
      <c r="E23" s="19" t="s">
        <v>61</v>
      </c>
    </row>
    <row r="24" customFormat="false" ht="15" hidden="false" customHeight="false" outlineLevel="0" collapsed="false">
      <c r="B24" s="5" t="s">
        <v>62</v>
      </c>
      <c r="C24" s="14" t="n">
        <v>6710</v>
      </c>
      <c r="E24" s="19" t="s">
        <v>53</v>
      </c>
    </row>
    <row r="26" customFormat="false" ht="15" hidden="false" customHeight="false" outlineLevel="0" collapsed="false">
      <c r="B26" s="3" t="s">
        <v>63</v>
      </c>
    </row>
    <row r="27" customFormat="false" ht="15" hidden="false" customHeight="false" outlineLevel="0" collapsed="false">
      <c r="B27" s="5" t="s">
        <v>64</v>
      </c>
      <c r="C27" s="14" t="n">
        <v>20530</v>
      </c>
      <c r="E27" s="19" t="s">
        <v>65</v>
      </c>
    </row>
    <row r="28" customFormat="false" ht="15" hidden="false" customHeight="false" outlineLevel="0" collapsed="false">
      <c r="B28" s="5" t="s">
        <v>66</v>
      </c>
      <c r="C28" s="14" t="n">
        <v>1070</v>
      </c>
      <c r="E28" s="19" t="s">
        <v>65</v>
      </c>
    </row>
    <row r="29" customFormat="false" ht="15" hidden="false" customHeight="false" outlineLevel="0" collapsed="false">
      <c r="B29" s="5" t="s">
        <v>67</v>
      </c>
      <c r="C29" s="15" t="n">
        <f aca="false">C27-C28</f>
        <v>19460</v>
      </c>
    </row>
    <row r="31" customFormat="false" ht="15" hidden="false" customHeight="false" outlineLevel="0" collapsed="false">
      <c r="B31" s="3" t="s">
        <v>68</v>
      </c>
    </row>
    <row r="32" customFormat="false" ht="15" hidden="false" customHeight="false" outlineLevel="0" collapsed="false">
      <c r="B32" s="5" t="s">
        <v>69</v>
      </c>
      <c r="C32" s="24" t="n">
        <v>0.0521</v>
      </c>
      <c r="E32" s="19" t="s">
        <v>70</v>
      </c>
    </row>
    <row r="33" customFormat="false" ht="15" hidden="false" customHeight="false" outlineLevel="0" collapsed="false">
      <c r="B33" s="5" t="s">
        <v>71</v>
      </c>
      <c r="C33" s="24" t="n">
        <v>0.0288</v>
      </c>
      <c r="E33" s="19" t="s">
        <v>72</v>
      </c>
    </row>
    <row r="34" customFormat="false" ht="15" hidden="false" customHeight="false" outlineLevel="0" collapsed="false">
      <c r="B34" s="5" t="s">
        <v>73</v>
      </c>
      <c r="C34" s="25" t="n">
        <f aca="false">C32-C33</f>
        <v>0.0233</v>
      </c>
      <c r="E34" s="19" t="s">
        <v>74</v>
      </c>
    </row>
    <row r="35" customFormat="false" ht="15" hidden="false" customHeight="false" outlineLevel="0" collapsed="false">
      <c r="B35" s="5" t="s">
        <v>75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76</v>
      </c>
      <c r="C36" s="24" t="n">
        <v>0.005</v>
      </c>
      <c r="E36" s="19" t="s">
        <v>77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78</v>
      </c>
    </row>
    <row r="38" customFormat="false" ht="15" hidden="false" customHeight="false" outlineLevel="0" collapsed="false">
      <c r="B38" s="5" t="s">
        <v>79</v>
      </c>
      <c r="C38" s="24" t="n">
        <v>0.0423</v>
      </c>
      <c r="E38" s="19" t="s">
        <v>80</v>
      </c>
    </row>
    <row r="40" customFormat="false" ht="15" hidden="false" customHeight="false" outlineLevel="0" collapsed="false">
      <c r="B40" s="3" t="s">
        <v>81</v>
      </c>
    </row>
    <row r="41" customFormat="false" ht="15" hidden="false" customHeight="false" outlineLevel="0" collapsed="false">
      <c r="B41" s="5" t="s">
        <v>82</v>
      </c>
      <c r="C41" s="5" t="s">
        <v>83</v>
      </c>
      <c r="E41" s="19" t="s">
        <v>84</v>
      </c>
    </row>
    <row r="42" customFormat="false" ht="15" hidden="false" customHeight="false" outlineLevel="0" collapsed="false">
      <c r="B42" s="5" t="s">
        <v>85</v>
      </c>
      <c r="C42" s="22" t="n">
        <v>0.0812</v>
      </c>
      <c r="E42" s="19" t="s">
        <v>86</v>
      </c>
    </row>
    <row r="43" customFormat="false" ht="15" hidden="false" customHeight="false" outlineLevel="0" collapsed="false">
      <c r="B43" s="5" t="s">
        <v>87</v>
      </c>
      <c r="C43" s="23" t="n">
        <f aca="false">AVERAGE(C41:C42)</f>
        <v>0.0812</v>
      </c>
      <c r="E43" s="19" t="s">
        <v>88</v>
      </c>
    </row>
    <row r="44" customFormat="false" ht="15" hidden="false" customHeight="false" outlineLevel="0" collapsed="false">
      <c r="B44" s="5" t="s">
        <v>89</v>
      </c>
      <c r="C44" s="22" t="n">
        <v>0.03</v>
      </c>
      <c r="E44" s="19" t="s">
        <v>90</v>
      </c>
    </row>
    <row r="45" customFormat="false" ht="15" hidden="false" customHeight="false" outlineLevel="0" collapsed="false">
      <c r="B45" s="5" t="s">
        <v>91</v>
      </c>
      <c r="C45" s="26" t="n">
        <v>0.0812</v>
      </c>
      <c r="E45" s="19" t="s">
        <v>92</v>
      </c>
    </row>
    <row r="46" customFormat="false" ht="15" hidden="false" customHeight="false" outlineLevel="0" collapsed="false">
      <c r="B46" s="5" t="s">
        <v>93</v>
      </c>
      <c r="C46" s="27" t="n">
        <v>5</v>
      </c>
      <c r="E46" s="19" t="s">
        <v>94</v>
      </c>
    </row>
    <row r="47" customFormat="false" ht="15" hidden="false" customHeight="false" outlineLevel="0" collapsed="false">
      <c r="B47" s="5" t="s">
        <v>95</v>
      </c>
      <c r="C47" s="27" t="n">
        <v>5</v>
      </c>
      <c r="E47" s="1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97</v>
      </c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</row>
    <row r="6" customFormat="false" ht="15" hidden="false" customHeight="false" outlineLevel="0" collapsed="false">
      <c r="B6" s="5" t="s">
        <v>106</v>
      </c>
      <c r="C6" s="14" t="n">
        <v>7146</v>
      </c>
      <c r="D6" s="14" t="n">
        <v>7292</v>
      </c>
      <c r="E6" s="14" t="n">
        <v>7988</v>
      </c>
      <c r="F6" s="14" t="n">
        <v>9279</v>
      </c>
      <c r="G6" s="14" t="n">
        <v>9931</v>
      </c>
      <c r="H6" s="14" t="n">
        <v>10558</v>
      </c>
    </row>
    <row r="7" customFormat="false" ht="15" hidden="false" customHeight="false" outlineLevel="0" collapsed="false">
      <c r="B7" s="5" t="s">
        <v>107</v>
      </c>
      <c r="D7" s="23" t="n">
        <f aca="false">D6/C6-1</f>
        <v>0.0204310103554437</v>
      </c>
      <c r="E7" s="23" t="n">
        <f aca="false">E6/D6-1</f>
        <v>0.0954470652770159</v>
      </c>
      <c r="F7" s="23" t="n">
        <f aca="false">F6/E6-1</f>
        <v>0.161617426139209</v>
      </c>
      <c r="G7" s="23" t="n">
        <f aca="false">G6/F6-1</f>
        <v>0.0702661924776378</v>
      </c>
    </row>
    <row r="8" customFormat="false" ht="15" hidden="false" customHeight="false" outlineLevel="0" collapsed="false">
      <c r="B8" s="19" t="s">
        <v>108</v>
      </c>
    </row>
    <row r="10" customFormat="false" ht="15" hidden="false" customHeight="false" outlineLevel="0" collapsed="false">
      <c r="B10" s="3" t="s">
        <v>109</v>
      </c>
    </row>
    <row r="11" customFormat="false" ht="15" hidden="false" customHeight="false" outlineLevel="0" collapsed="false">
      <c r="B11" s="19" t="s">
        <v>110</v>
      </c>
    </row>
    <row r="15" customFormat="false" ht="15" hidden="false" customHeight="false" outlineLevel="0" collapsed="false">
      <c r="B15" s="3" t="s">
        <v>111</v>
      </c>
    </row>
    <row r="16" customFormat="false" ht="15" hidden="false" customHeight="false" outlineLevel="0" collapsed="false">
      <c r="B16" s="28" t="s">
        <v>99</v>
      </c>
      <c r="C16" s="28" t="s">
        <v>112</v>
      </c>
      <c r="D16" s="28" t="s">
        <v>113</v>
      </c>
      <c r="E16" s="28" t="s">
        <v>114</v>
      </c>
      <c r="F16" s="28" t="s">
        <v>115</v>
      </c>
      <c r="G16" s="28" t="s">
        <v>116</v>
      </c>
    </row>
    <row r="17" customFormat="false" ht="15" hidden="false" customHeight="false" outlineLevel="0" collapsed="false">
      <c r="B17" s="5" t="s">
        <v>117</v>
      </c>
      <c r="C17" s="22" t="n">
        <v>0.3211</v>
      </c>
      <c r="D17" s="22" t="n">
        <v>0.3455</v>
      </c>
      <c r="E17" s="22" t="n">
        <v>0.3385</v>
      </c>
      <c r="F17" s="22" t="n">
        <v>0.3574</v>
      </c>
      <c r="G17" s="22" t="n">
        <v>0.3393</v>
      </c>
      <c r="I17" s="19" t="s">
        <v>118</v>
      </c>
    </row>
    <row r="18" customFormat="false" ht="15" hidden="false" customHeight="false" outlineLevel="0" collapsed="false">
      <c r="B18" s="5" t="s">
        <v>119</v>
      </c>
      <c r="C18" s="23" t="n">
        <f aca="false">C17+(Inputs!$C$23-Inputs!$C$16/Inputs!$C$12)</f>
        <v>0.335304545454545</v>
      </c>
      <c r="D18" s="23" t="n">
        <f aca="false">D17+(Inputs!$C$23-Inputs!$C$16/Inputs!$C$12)</f>
        <v>0.359704545454545</v>
      </c>
      <c r="E18" s="23" t="n">
        <f aca="false">E17+(Inputs!$C$23-Inputs!$C$16/Inputs!$C$12)</f>
        <v>0.352704545454545</v>
      </c>
      <c r="F18" s="23" t="n">
        <f aca="false">F17+(Inputs!$C$23-Inputs!$C$16/Inputs!$C$12)</f>
        <v>0.371604545454545</v>
      </c>
      <c r="G18" s="23" t="n">
        <f aca="false">G17+(Inputs!$C$23-Inputs!$C$16/Inputs!$C$12)</f>
        <v>0.353504545454545</v>
      </c>
    </row>
    <row r="19" customFormat="false" ht="15" hidden="false" customHeight="false" outlineLevel="0" collapsed="false">
      <c r="B19" s="5" t="s">
        <v>120</v>
      </c>
      <c r="C19" s="23" t="n">
        <f aca="false">MIN(C18:G18)</f>
        <v>0.335304545454545</v>
      </c>
      <c r="D19" s="23" t="n">
        <f aca="false">MAX(C18:G18)</f>
        <v>0.371604545454545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121</v>
      </c>
    </row>
    <row r="3" customFormat="false" ht="15" hidden="false" customHeight="false" outlineLevel="0" collapsed="false">
      <c r="B3" s="2" t="s">
        <v>122</v>
      </c>
    </row>
    <row r="5" customFormat="false" ht="15" hidden="false" customHeight="false" outlineLevel="0" collapsed="false">
      <c r="B5" s="28" t="s">
        <v>123</v>
      </c>
      <c r="C5" s="28" t="s">
        <v>124</v>
      </c>
      <c r="D5" s="28" t="s">
        <v>125</v>
      </c>
      <c r="E5" s="28" t="s">
        <v>126</v>
      </c>
      <c r="F5" s="28" t="s">
        <v>57</v>
      </c>
      <c r="G5" s="28" t="s">
        <v>127</v>
      </c>
    </row>
    <row r="6" customFormat="false" ht="15" hidden="false" customHeight="false" outlineLevel="0" collapsed="false">
      <c r="B6" s="7" t="s">
        <v>128</v>
      </c>
      <c r="C6" s="29" t="n">
        <v>0.937184629651022</v>
      </c>
      <c r="D6" s="14" t="n">
        <v>20530</v>
      </c>
      <c r="E6" s="14" t="n">
        <v>87470</v>
      </c>
      <c r="F6" s="22" t="n">
        <v>0.25</v>
      </c>
      <c r="G6" s="30" t="n">
        <f aca="false">C6/(1+(1-F6)*D6/E6)</f>
        <v>0.796904168523342</v>
      </c>
      <c r="H6" s="19" t="s">
        <v>129</v>
      </c>
    </row>
    <row r="7" customFormat="false" ht="15" hidden="false" customHeight="false" outlineLevel="0" collapsed="false">
      <c r="B7" s="5" t="s">
        <v>130</v>
      </c>
      <c r="C7" s="29" t="n">
        <v>0.239866317804515</v>
      </c>
      <c r="D7" s="14" t="n">
        <v>3870</v>
      </c>
      <c r="E7" s="14" t="n">
        <v>99970</v>
      </c>
      <c r="F7" s="22" t="n">
        <v>0.25</v>
      </c>
      <c r="G7" s="30" t="n">
        <f aca="false">C7/(1+(1-F7)*D7/E7)</f>
        <v>0.233098600606745</v>
      </c>
    </row>
    <row r="8" customFormat="false" ht="15" hidden="false" customHeight="false" outlineLevel="0" collapsed="false">
      <c r="B8" s="5" t="s">
        <v>131</v>
      </c>
      <c r="C8" s="29" t="n">
        <v>0.991894933766176</v>
      </c>
      <c r="D8" s="14" t="n">
        <v>9320</v>
      </c>
      <c r="E8" s="14" t="n">
        <v>52250</v>
      </c>
      <c r="F8" s="22" t="n">
        <v>0.25</v>
      </c>
      <c r="G8" s="30" t="n">
        <f aca="false">C8/(1+(1-F8)*D8/E8)</f>
        <v>0.874856689555751</v>
      </c>
    </row>
    <row r="9" customFormat="false" ht="15" hidden="false" customHeight="false" outlineLevel="0" collapsed="false">
      <c r="B9" s="5" t="s">
        <v>132</v>
      </c>
      <c r="C9" s="29" t="n">
        <v>0.41</v>
      </c>
      <c r="D9" s="14" t="n">
        <v>1580</v>
      </c>
      <c r="E9" s="14" t="n">
        <v>30520</v>
      </c>
      <c r="F9" s="22" t="n">
        <v>0.25</v>
      </c>
      <c r="G9" s="30" t="n">
        <f aca="false">C9/(1+(1-F9)*D9/E9)</f>
        <v>0.394675918624823</v>
      </c>
    </row>
    <row r="10" customFormat="false" ht="15" hidden="false" customHeight="false" outlineLevel="0" collapsed="false">
      <c r="B10" s="5" t="s">
        <v>133</v>
      </c>
      <c r="C10" s="29" t="n">
        <v>0.0712282477450855</v>
      </c>
      <c r="D10" s="14" t="n">
        <v>2070</v>
      </c>
      <c r="E10" s="14" t="n">
        <v>15010</v>
      </c>
      <c r="F10" s="22" t="n">
        <v>0.265</v>
      </c>
      <c r="G10" s="30" t="n">
        <f aca="false">C10/(1+(1-F10)*D10/E10)</f>
        <v>0.0646728507574189</v>
      </c>
    </row>
    <row r="11" customFormat="false" ht="15" hidden="false" customHeight="false" outlineLevel="0" collapsed="false">
      <c r="B11" s="5" t="s">
        <v>134</v>
      </c>
      <c r="C11" s="29" t="n">
        <v>0.611799852675033</v>
      </c>
      <c r="D11" s="14" t="n">
        <v>150.34</v>
      </c>
      <c r="E11" s="14" t="n">
        <v>25740</v>
      </c>
      <c r="F11" s="22" t="n">
        <v>0.25</v>
      </c>
      <c r="G11" s="30" t="n">
        <f aca="false">C11/(1+(1-F11)*D11/E11)</f>
        <v>0.609131529999621</v>
      </c>
    </row>
    <row r="12" customFormat="false" ht="15" hidden="false" customHeight="false" outlineLevel="0" collapsed="false">
      <c r="B12" s="5" t="s">
        <v>135</v>
      </c>
      <c r="C12" s="29" t="n">
        <v>0.798396426820285</v>
      </c>
      <c r="D12" s="14" t="n">
        <v>178.91</v>
      </c>
      <c r="E12" s="14" t="n">
        <v>5790</v>
      </c>
      <c r="F12" s="22" t="n">
        <v>0.25</v>
      </c>
      <c r="G12" s="30" t="n">
        <f aca="false">C12/(1+(1-F12)*D12/E12)</f>
        <v>0.780312779238224</v>
      </c>
    </row>
    <row r="14" customFormat="false" ht="15" hidden="false" customHeight="false" outlineLevel="0" collapsed="false">
      <c r="B14" s="5" t="s">
        <v>136</v>
      </c>
      <c r="C14" s="30" t="n">
        <f aca="false">MEDIAN(G6:G12)</f>
        <v>0.609131529999621</v>
      </c>
    </row>
    <row r="15" customFormat="false" ht="15" hidden="false" customHeight="false" outlineLevel="0" collapsed="false">
      <c r="B15" s="5" t="s">
        <v>125</v>
      </c>
      <c r="C15" s="16" t="n">
        <f aca="false">Inputs!$C$27</f>
        <v>20530</v>
      </c>
    </row>
    <row r="16" customFormat="false" ht="15" hidden="false" customHeight="false" outlineLevel="0" collapsed="false">
      <c r="B16" s="5" t="s">
        <v>39</v>
      </c>
      <c r="C16" s="16" t="n">
        <f aca="false">Inputs!$C$8</f>
        <v>87470</v>
      </c>
    </row>
    <row r="17" customFormat="false" ht="15" hidden="false" customHeight="false" outlineLevel="0" collapsed="false">
      <c r="B17" s="5" t="s">
        <v>57</v>
      </c>
      <c r="C17" s="9" t="n">
        <f aca="false">Inputs!$C$20</f>
        <v>0.25</v>
      </c>
    </row>
    <row r="18" customFormat="false" ht="15" hidden="false" customHeight="false" outlineLevel="0" collapsed="false">
      <c r="B18" s="5" t="s">
        <v>137</v>
      </c>
      <c r="C18" s="30" t="n">
        <f aca="false">WACC!$C$14*(1+(1-WACC!$C$17)*WACC!$C$15/WACC!$C$16)</f>
        <v>0.716358038896033</v>
      </c>
      <c r="H18" s="19" t="s">
        <v>138</v>
      </c>
    </row>
    <row r="19" customFormat="false" ht="15" hidden="false" customHeight="false" outlineLevel="0" collapsed="false">
      <c r="B19" s="5" t="s">
        <v>139</v>
      </c>
      <c r="C19" s="12" t="n">
        <f aca="false">Inputs!$C$35</f>
        <v>0.0521</v>
      </c>
    </row>
    <row r="20" customFormat="false" ht="15" hidden="false" customHeight="false" outlineLevel="0" collapsed="false">
      <c r="B20" s="5" t="s">
        <v>79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140</v>
      </c>
      <c r="C21" s="25" t="n">
        <f aca="false">WACC!$C$19+WACC!$C$18*WACC!$C$20</f>
        <v>0.0824019450453022</v>
      </c>
      <c r="H21" s="19" t="s">
        <v>141</v>
      </c>
    </row>
    <row r="23" customFormat="false" ht="15" hidden="false" customHeight="false" outlineLevel="0" collapsed="false">
      <c r="B23" s="3" t="s">
        <v>142</v>
      </c>
    </row>
    <row r="24" customFormat="false" ht="15" hidden="false" customHeight="false" outlineLevel="0" collapsed="false">
      <c r="B24" s="28" t="s">
        <v>143</v>
      </c>
      <c r="C24" s="28" t="s">
        <v>144</v>
      </c>
    </row>
    <row r="25" customFormat="false" ht="15" hidden="false" customHeight="false" outlineLevel="0" collapsed="false">
      <c r="B25" s="31" t="n">
        <v>1</v>
      </c>
      <c r="C25" s="24" t="n">
        <v>0.01</v>
      </c>
      <c r="H25" s="19" t="s">
        <v>145</v>
      </c>
    </row>
    <row r="26" customFormat="false" ht="15" hidden="false" customHeight="false" outlineLevel="0" collapsed="false">
      <c r="B26" s="31" t="n">
        <v>2</v>
      </c>
      <c r="C26" s="24" t="n">
        <v>0.0125</v>
      </c>
    </row>
    <row r="27" customFormat="false" ht="15" hidden="false" customHeight="false" outlineLevel="0" collapsed="false">
      <c r="B27" s="31" t="n">
        <v>3</v>
      </c>
      <c r="C27" s="24" t="n">
        <v>0.016</v>
      </c>
    </row>
    <row r="28" customFormat="false" ht="15" hidden="false" customHeight="false" outlineLevel="0" collapsed="false">
      <c r="B28" s="31" t="n">
        <v>4</v>
      </c>
      <c r="C28" s="24" t="n">
        <v>0.02</v>
      </c>
    </row>
    <row r="29" customFormat="false" ht="15" hidden="false" customHeight="false" outlineLevel="0" collapsed="false">
      <c r="B29" s="31" t="n">
        <v>99</v>
      </c>
      <c r="C29" s="24" t="n">
        <v>0.0275</v>
      </c>
    </row>
    <row r="31" customFormat="false" ht="15" hidden="false" customHeight="false" outlineLevel="0" collapsed="false">
      <c r="B31" s="5" t="s">
        <v>146</v>
      </c>
      <c r="C31" s="32" t="n">
        <f aca="false">Inputs!$C$27/Inputs!$C$24</f>
        <v>3.05961251862891</v>
      </c>
    </row>
    <row r="32" customFormat="false" ht="15" hidden="false" customHeight="false" outlineLevel="0" collapsed="false">
      <c r="B32" s="5" t="s">
        <v>147</v>
      </c>
      <c r="C32" s="25" t="n">
        <f aca="false">INDEX(C25:C29,COUNTIF(B25:B29,"&lt;="&amp;WACC!$C$31)+1)</f>
        <v>0.02</v>
      </c>
      <c r="H32" s="19" t="s">
        <v>148</v>
      </c>
    </row>
    <row r="33" customFormat="false" ht="15" hidden="false" customHeight="false" outlineLevel="0" collapsed="false">
      <c r="B33" s="5" t="s">
        <v>149</v>
      </c>
      <c r="C33" s="25" t="n">
        <f aca="false">WACC!$C$19+WACC!$C$32</f>
        <v>0.0721</v>
      </c>
    </row>
    <row r="34" customFormat="false" ht="15" hidden="false" customHeight="false" outlineLevel="0" collapsed="false">
      <c r="B34" s="5" t="s">
        <v>150</v>
      </c>
      <c r="C34" s="25" t="n">
        <f aca="false">WACC!$C$33*(1-WACC!$C$17)</f>
        <v>0.054075</v>
      </c>
    </row>
    <row r="35" customFormat="false" ht="15" hidden="false" customHeight="false" outlineLevel="0" collapsed="false">
      <c r="B35" s="5" t="s">
        <v>151</v>
      </c>
      <c r="C35" s="23" t="n">
        <f aca="false">WACC!$C$15/(WACC!$C$15+WACC!$C$16)</f>
        <v>0.190092592592593</v>
      </c>
      <c r="H35" s="19" t="s">
        <v>152</v>
      </c>
    </row>
    <row r="36" customFormat="false" ht="15" hidden="false" customHeight="false" outlineLevel="0" collapsed="false">
      <c r="B36" s="5" t="s">
        <v>153</v>
      </c>
      <c r="C36" s="23" t="n">
        <f aca="false">1-WACC!$C$35</f>
        <v>0.809907407407407</v>
      </c>
    </row>
    <row r="37" customFormat="false" ht="15" hidden="false" customHeight="false" outlineLevel="0" collapsed="false">
      <c r="B37" s="5" t="s">
        <v>11</v>
      </c>
      <c r="C37" s="33" t="n">
        <f aca="false">WACC!$C$36*WACC!$C$21+WACC!$C$35*WACC!$C$34</f>
        <v>0.0770172026214128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154</v>
      </c>
    </row>
    <row r="2" customFormat="false" ht="15" hidden="false" customHeight="false" outlineLevel="0" collapsed="false">
      <c r="B2" s="5" t="s">
        <v>155</v>
      </c>
      <c r="C2" s="16" t="n">
        <f aca="false">Inputs!$C$12</f>
        <v>10560</v>
      </c>
      <c r="D2" s="5" t="s">
        <v>156</v>
      </c>
      <c r="E2" s="9" t="n">
        <f aca="false">Inputs!$C$23</f>
        <v>0.495265151515152</v>
      </c>
      <c r="F2" s="5" t="s">
        <v>157</v>
      </c>
      <c r="G2" s="16" t="n">
        <f aca="false">Inputs!$C$27</f>
        <v>20530</v>
      </c>
      <c r="H2" s="5" t="s">
        <v>158</v>
      </c>
      <c r="I2" s="16" t="n">
        <f aca="false">Inputs!$C$28</f>
        <v>1070</v>
      </c>
      <c r="J2" s="5" t="s">
        <v>159</v>
      </c>
      <c r="K2" s="34" t="n">
        <f aca="false">Inputs!$C$7</f>
        <v>561.39</v>
      </c>
      <c r="L2" s="5" t="s">
        <v>160</v>
      </c>
      <c r="M2" s="6" t="n">
        <f aca="false">Inputs!$C$6</f>
        <v>155.809686670586</v>
      </c>
      <c r="N2" s="5" t="s">
        <v>161</v>
      </c>
      <c r="O2" s="35" t="n">
        <f aca="false">Inputs!$C$46</f>
        <v>5</v>
      </c>
      <c r="P2" s="5" t="s">
        <v>162</v>
      </c>
      <c r="Q2" s="35" t="n">
        <f aca="false">Inputs!$C$47</f>
        <v>5</v>
      </c>
    </row>
    <row r="3" customFormat="false" ht="15" hidden="false" customHeight="false" outlineLevel="0" collapsed="false">
      <c r="D3" s="36" t="s">
        <v>163</v>
      </c>
      <c r="E3" s="37" t="n">
        <v>1</v>
      </c>
      <c r="F3" s="37" t="n">
        <v>2</v>
      </c>
      <c r="G3" s="37" t="n">
        <v>3</v>
      </c>
      <c r="H3" s="37" t="n">
        <v>4</v>
      </c>
      <c r="I3" s="37" t="n">
        <v>5</v>
      </c>
      <c r="J3" s="37" t="n">
        <v>6</v>
      </c>
      <c r="K3" s="37" t="n">
        <v>7</v>
      </c>
      <c r="L3" s="37" t="n">
        <v>8</v>
      </c>
      <c r="M3" s="37" t="n">
        <v>9</v>
      </c>
      <c r="N3" s="37" t="n">
        <v>10</v>
      </c>
    </row>
    <row r="4" customFormat="false" ht="15" hidden="false" customHeight="false" outlineLevel="0" collapsed="false">
      <c r="A4" s="19" t="s">
        <v>164</v>
      </c>
    </row>
    <row r="6" customFormat="false" ht="15" hidden="false" customHeight="false" outlineLevel="0" collapsed="false">
      <c r="A6" s="36" t="s">
        <v>165</v>
      </c>
      <c r="E6" s="5" t="s">
        <v>11</v>
      </c>
      <c r="F6" s="12" t="n">
        <f aca="false">WACC!$C$37</f>
        <v>0.0770172026214128</v>
      </c>
      <c r="G6" s="5" t="s">
        <v>12</v>
      </c>
      <c r="I6" s="12" t="n">
        <f aca="false">Inputs!$C$37</f>
        <v>0.0283</v>
      </c>
      <c r="W6" s="36" t="s">
        <v>166</v>
      </c>
    </row>
    <row r="7" customFormat="false" ht="23.85" hidden="false" customHeight="false" outlineLevel="0" collapsed="false">
      <c r="A7" s="36" t="s">
        <v>167</v>
      </c>
      <c r="B7" s="28" t="s">
        <v>168</v>
      </c>
      <c r="C7" s="28" t="s">
        <v>169</v>
      </c>
      <c r="D7" s="28" t="s">
        <v>170</v>
      </c>
      <c r="E7" s="28" t="s">
        <v>171</v>
      </c>
      <c r="F7" s="28" t="s">
        <v>172</v>
      </c>
      <c r="G7" s="28" t="s">
        <v>173</v>
      </c>
      <c r="H7" s="28" t="s">
        <v>174</v>
      </c>
      <c r="I7" s="28" t="s">
        <v>175</v>
      </c>
      <c r="J7" s="28" t="s">
        <v>176</v>
      </c>
      <c r="K7" s="28" t="s">
        <v>177</v>
      </c>
      <c r="L7" s="28" t="s">
        <v>178</v>
      </c>
      <c r="M7" s="28" t="s">
        <v>179</v>
      </c>
      <c r="N7" s="28" t="s">
        <v>180</v>
      </c>
      <c r="O7" s="28" t="s">
        <v>181</v>
      </c>
      <c r="P7" s="28" t="s">
        <v>182</v>
      </c>
      <c r="Q7" s="28" t="s">
        <v>183</v>
      </c>
      <c r="R7" s="28" t="s">
        <v>184</v>
      </c>
      <c r="S7" s="28" t="s">
        <v>185</v>
      </c>
      <c r="T7" s="28" t="s">
        <v>186</v>
      </c>
      <c r="W7" s="38" t="n">
        <f aca="false">$D$47</f>
        <v>0.0229197011617543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39" t="n">
        <f aca="false">(B8+C8)/2</f>
        <v>0.25</v>
      </c>
      <c r="E8" s="15" t="n">
        <f aca="false">$C$2*(1+IF(E$3&lt;=$O$2,$D8,$D8-($D8-$I$6)*MIN(E$3-$O$2,$Q$2)/$Q$2))</f>
        <v>13200</v>
      </c>
      <c r="F8" s="15" t="n">
        <f aca="false">E8*(1+IF(F$3&lt;=$O$2,$D8,$D8-($D8-$I$6)*MIN(F$3-$O$2,$Q$2)/$Q$2))</f>
        <v>16500</v>
      </c>
      <c r="G8" s="15" t="n">
        <f aca="false">F8*(1+IF(G$3&lt;=$O$2,$D8,$D8-($D8-$I$6)*MIN(G$3-$O$2,$Q$2)/$Q$2))</f>
        <v>20625</v>
      </c>
      <c r="H8" s="15" t="n">
        <f aca="false">G8*(1+IF(H$3&lt;=$O$2,$D8,$D8-($D8-$I$6)*MIN(H$3-$O$2,$Q$2)/$Q$2))</f>
        <v>25781.25</v>
      </c>
      <c r="I8" s="15" t="n">
        <f aca="false">H8*(1+IF(I$3&lt;=$O$2,$D8,$D8-($D8-$I$6)*MIN(I$3-$O$2,$Q$2)/$Q$2))</f>
        <v>32226.5625</v>
      </c>
      <c r="J8" s="15" t="n">
        <f aca="false">I8*(1+IF(J$3&lt;=$O$2,$D8,$D8-($D8-$I$6)*MIN(J$3-$O$2,$Q$2)/$Q$2))</f>
        <v>38854.27734375</v>
      </c>
      <c r="K8" s="15" t="n">
        <f aca="false">J8*(1+IF(K$3&lt;=$O$2,$D8,$D8-($D8-$I$6)*MIN(K$3-$O$2,$Q$2)/$Q$2))</f>
        <v>45122.2493648437</v>
      </c>
      <c r="L8" s="15" t="n">
        <f aca="false">K8*(1+IF(L$3&lt;=$O$2,$D8,$D8-($D8-$I$6)*MIN(L$3-$O$2,$Q$2)/$Q$2))</f>
        <v>50400.6500955432</v>
      </c>
      <c r="M8" s="15" t="n">
        <f aca="false">L8*(1+IF(M$3&lt;=$O$2,$D8,$D8-($D8-$I$6)*MIN(M$3-$O$2,$Q$2)/$Q$2))</f>
        <v>54061.7533184834</v>
      </c>
      <c r="N8" s="15" t="n">
        <f aca="false">M8*(1+IF(N$3&lt;=$O$2,$D8,$D8-($D8-$I$6)*MIN(N$3-$O$2,$Q$2)/$Q$2))</f>
        <v>55591.7009373965</v>
      </c>
      <c r="O8" s="15" t="n">
        <f aca="false">SUMPRODUCT(E8:N8,1/(1+$F$6)^$E$3:$N$3)*$E$2</f>
        <v>108048.662924273</v>
      </c>
      <c r="P8" s="15" t="n">
        <f aca="false">N8*$E$2*(1+$I$6)/($F$6-$I$6)/(1+$F$6)^$N$3</f>
        <v>276731.64512762</v>
      </c>
      <c r="Q8" s="15" t="n">
        <f aca="false">O8+P8</f>
        <v>384780.308051892</v>
      </c>
      <c r="R8" s="15" t="n">
        <f aca="false">Q8-$G$2+$I$2</f>
        <v>365320.308051892</v>
      </c>
      <c r="S8" s="40" t="n">
        <f aca="false">R8/$K$2</f>
        <v>650.74245720781</v>
      </c>
      <c r="T8" s="41" t="n">
        <f aca="false">S8-$M$2</f>
        <v>494.932770537224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39" t="n">
        <f aca="false">(B9+C9)/2</f>
        <v>-0.125</v>
      </c>
      <c r="E9" s="15" t="n">
        <f aca="false">$C$2*(1+IF(E$3&lt;=$O$2,$D9,$D9-($D9-$I$6)*MIN(E$3-$O$2,$Q$2)/$Q$2))</f>
        <v>9240</v>
      </c>
      <c r="F9" s="15" t="n">
        <f aca="false">E9*(1+IF(F$3&lt;=$O$2,$D9,$D9-($D9-$I$6)*MIN(F$3-$O$2,$Q$2)/$Q$2))</f>
        <v>8085</v>
      </c>
      <c r="G9" s="15" t="n">
        <f aca="false">F9*(1+IF(G$3&lt;=$O$2,$D9,$D9-($D9-$I$6)*MIN(G$3-$O$2,$Q$2)/$Q$2))</f>
        <v>7074.375</v>
      </c>
      <c r="H9" s="15" t="n">
        <f aca="false">G9*(1+IF(H$3&lt;=$O$2,$D9,$D9-($D9-$I$6)*MIN(H$3-$O$2,$Q$2)/$Q$2))</f>
        <v>6190.078125</v>
      </c>
      <c r="I9" s="15" t="n">
        <f aca="false">H9*(1+IF(I$3&lt;=$O$2,$D9,$D9-($D9-$I$6)*MIN(I$3-$O$2,$Q$2)/$Q$2))</f>
        <v>5416.318359375</v>
      </c>
      <c r="J9" s="15" t="n">
        <f aca="false">I9*(1+IF(J$3&lt;=$O$2,$D9,$D9-($D9-$I$6)*MIN(J$3-$O$2,$Q$2)/$Q$2))</f>
        <v>4905.34288535156</v>
      </c>
      <c r="K9" s="15" t="n">
        <f aca="false">J9*(1+IF(K$3&lt;=$O$2,$D9,$D9-($D9-$I$6)*MIN(K$3-$O$2,$Q$2)/$Q$2))</f>
        <v>4592.97065041238</v>
      </c>
      <c r="L9" s="15" t="n">
        <f aca="false">K9*(1+IF(L$3&lt;=$O$2,$D9,$D9-($D9-$I$6)*MIN(L$3-$O$2,$Q$2)/$Q$2))</f>
        <v>4441.31075953576</v>
      </c>
      <c r="M9" s="15" t="n">
        <f aca="false">L9*(1+IF(M$3&lt;=$O$2,$D9,$D9-($D9-$I$6)*MIN(M$3-$O$2,$Q$2)/$Q$2))</f>
        <v>4430.82926614325</v>
      </c>
      <c r="N9" s="15" t="n">
        <f aca="false">M9*(1+IF(N$3&lt;=$O$2,$D9,$D9-($D9-$I$6)*MIN(N$3-$O$2,$Q$2)/$Q$2))</f>
        <v>4556.22173437511</v>
      </c>
      <c r="O9" s="15" t="n">
        <f aca="false">SUMPRODUCT(E9:N9,1/(1+$F$6)^$E$3:$N$3)*$E$2</f>
        <v>20959.8443445791</v>
      </c>
      <c r="P9" s="15" t="n">
        <f aca="false">N9*$E$2*(1+$I$6)/($F$6-$I$6)/(1+$F$6)^$N$3</f>
        <v>22680.5568971477</v>
      </c>
      <c r="Q9" s="15" t="n">
        <f aca="false">O9+P9</f>
        <v>43640.4012417267</v>
      </c>
      <c r="R9" s="15" t="n">
        <f aca="false">Q9-$G$2+$I$2</f>
        <v>24180.4012417267</v>
      </c>
      <c r="S9" s="40" t="n">
        <f aca="false">R9/$K$2</f>
        <v>43.0723761408766</v>
      </c>
      <c r="T9" s="41" t="n">
        <f aca="false">S9-$M$2</f>
        <v>-112.737310529709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39" t="n">
        <f aca="false">(B10+C10)/2</f>
        <v>0.0625</v>
      </c>
      <c r="E10" s="15" t="n">
        <f aca="false">$C$2*(1+IF(E$3&lt;=$O$2,$D10,$D10-($D10-$I$6)*MIN(E$3-$O$2,$Q$2)/$Q$2))</f>
        <v>11220</v>
      </c>
      <c r="F10" s="15" t="n">
        <f aca="false">E10*(1+IF(F$3&lt;=$O$2,$D10,$D10-($D10-$I$6)*MIN(F$3-$O$2,$Q$2)/$Q$2))</f>
        <v>11921.25</v>
      </c>
      <c r="G10" s="15" t="n">
        <f aca="false">F10*(1+IF(G$3&lt;=$O$2,$D10,$D10-($D10-$I$6)*MIN(G$3-$O$2,$Q$2)/$Q$2))</f>
        <v>12666.328125</v>
      </c>
      <c r="H10" s="15" t="n">
        <f aca="false">G10*(1+IF(H$3&lt;=$O$2,$D10,$D10-($D10-$I$6)*MIN(H$3-$O$2,$Q$2)/$Q$2))</f>
        <v>13457.9736328125</v>
      </c>
      <c r="I10" s="15" t="n">
        <f aca="false">H10*(1+IF(I$3&lt;=$O$2,$D10,$D10-($D10-$I$6)*MIN(I$3-$O$2,$Q$2)/$Q$2))</f>
        <v>14299.0969848633</v>
      </c>
      <c r="J10" s="15" t="n">
        <f aca="false">I10*(1+IF(J$3&lt;=$O$2,$D10,$D10-($D10-$I$6)*MIN(J$3-$O$2,$Q$2)/$Q$2))</f>
        <v>15094.9847230408</v>
      </c>
      <c r="K10" s="15" t="n">
        <f aca="false">J10*(1+IF(K$3&lt;=$O$2,$D10,$D10-($D10-$I$6)*MIN(K$3-$O$2,$Q$2)/$Q$2))</f>
        <v>15831.9218772196</v>
      </c>
      <c r="L10" s="15" t="n">
        <f aca="false">K10*(1+IF(L$3&lt;=$O$2,$D10,$D10-($D10-$I$6)*MIN(L$3-$O$2,$Q$2)/$Q$2))</f>
        <v>16496.5459576253</v>
      </c>
      <c r="M10" s="15" t="n">
        <f aca="false">L10*(1+IF(M$3&lt;=$O$2,$D10,$D10-($D10-$I$6)*MIN(M$3-$O$2,$Q$2)/$Q$2))</f>
        <v>17076.2345825763</v>
      </c>
      <c r="N10" s="15" t="n">
        <f aca="false">M10*(1+IF(N$3&lt;=$O$2,$D10,$D10-($D10-$I$6)*MIN(N$3-$O$2,$Q$2)/$Q$2))</f>
        <v>17559.4920212632</v>
      </c>
      <c r="O10" s="15" t="n">
        <f aca="false">SUMPRODUCT(E10:N10,1/(1+$F$6)^$E$3:$N$3)*$E$2</f>
        <v>47557.329627937</v>
      </c>
      <c r="P10" s="15" t="n">
        <f aca="false">N10*$E$2*(1+$I$6)/($F$6-$I$6)/(1+$F$6)^$N$3</f>
        <v>87409.9376833537</v>
      </c>
      <c r="Q10" s="15" t="n">
        <f aca="false">O10+P10</f>
        <v>134967.267311291</v>
      </c>
      <c r="R10" s="15" t="n">
        <f aca="false">Q10-$G$2+$I$2</f>
        <v>115507.267311291</v>
      </c>
      <c r="S10" s="40" t="n">
        <f aca="false">R10/$K$2</f>
        <v>205.752270812253</v>
      </c>
      <c r="T10" s="41" t="n">
        <f aca="false">S10-$M$2</f>
        <v>49.9425841416675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39" t="n">
        <f aca="false">(B11+C11)/2</f>
        <v>-0.03125</v>
      </c>
      <c r="E11" s="15" t="n">
        <f aca="false">$C$2*(1+IF(E$3&lt;=$O$2,$D11,$D11-($D11-$I$6)*MIN(E$3-$O$2,$Q$2)/$Q$2))</f>
        <v>10230</v>
      </c>
      <c r="F11" s="15" t="n">
        <f aca="false">E11*(1+IF(F$3&lt;=$O$2,$D11,$D11-($D11-$I$6)*MIN(F$3-$O$2,$Q$2)/$Q$2))</f>
        <v>9910.3125</v>
      </c>
      <c r="G11" s="15" t="n">
        <f aca="false">F11*(1+IF(G$3&lt;=$O$2,$D11,$D11-($D11-$I$6)*MIN(G$3-$O$2,$Q$2)/$Q$2))</f>
        <v>9600.615234375</v>
      </c>
      <c r="H11" s="15" t="n">
        <f aca="false">G11*(1+IF(H$3&lt;=$O$2,$D11,$D11-($D11-$I$6)*MIN(H$3-$O$2,$Q$2)/$Q$2))</f>
        <v>9300.59600830078</v>
      </c>
      <c r="I11" s="15" t="n">
        <f aca="false">H11*(1+IF(I$3&lt;=$O$2,$D11,$D11-($D11-$I$6)*MIN(I$3-$O$2,$Q$2)/$Q$2))</f>
        <v>9009.95238304138</v>
      </c>
      <c r="J11" s="15" t="n">
        <f aca="false">I11*(1+IF(J$3&lt;=$O$2,$D11,$D11-($D11-$I$6)*MIN(J$3-$O$2,$Q$2)/$Q$2))</f>
        <v>8835.69990395336</v>
      </c>
      <c r="K11" s="15" t="n">
        <f aca="false">J11*(1+IF(K$3&lt;=$O$2,$D11,$D11-($D11-$I$6)*MIN(K$3-$O$2,$Q$2)/$Q$2))</f>
        <v>8770.05065366699</v>
      </c>
      <c r="L11" s="15" t="n">
        <f aca="false">K11*(1+IF(L$3&lt;=$O$2,$D11,$D11-($D11-$I$6)*MIN(L$3-$O$2,$Q$2)/$Q$2))</f>
        <v>8809.34048059542</v>
      </c>
      <c r="M11" s="15" t="n">
        <f aca="false">L11*(1+IF(M$3&lt;=$O$2,$D11,$D11-($D11-$I$6)*MIN(M$3-$O$2,$Q$2)/$Q$2))</f>
        <v>8953.72557107238</v>
      </c>
      <c r="N11" s="15" t="n">
        <f aca="false">M11*(1+IF(N$3&lt;=$O$2,$D11,$D11-($D11-$I$6)*MIN(N$3-$O$2,$Q$2)/$Q$2))</f>
        <v>9207.11600473372</v>
      </c>
      <c r="O11" s="15" t="n">
        <f aca="false">SUMPRODUCT(E11:N11,1/(1+$F$6)^$E$3:$N$3)*$E$2</f>
        <v>31487.5179131591</v>
      </c>
      <c r="P11" s="15" t="n">
        <f aca="false">N11*$E$2*(1+$I$6)/($F$6-$I$6)/(1+$F$6)^$N$3</f>
        <v>45832.387135268</v>
      </c>
      <c r="Q11" s="15" t="n">
        <f aca="false">O11+P11</f>
        <v>77319.9050484271</v>
      </c>
      <c r="R11" s="15" t="n">
        <f aca="false">Q11-$G$2+$I$2</f>
        <v>57859.9050484271</v>
      </c>
      <c r="S11" s="40" t="n">
        <f aca="false">R11/$K$2</f>
        <v>103.065435879562</v>
      </c>
      <c r="T11" s="41" t="n">
        <f aca="false">S11-$M$2</f>
        <v>-52.7442507910239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39" t="n">
        <f aca="false">(B12+C12)/2</f>
        <v>0.015625</v>
      </c>
      <c r="E12" s="15" t="n">
        <f aca="false">$C$2*(1+IF(E$3&lt;=$O$2,$D12,$D12-($D12-$I$6)*MIN(E$3-$O$2,$Q$2)/$Q$2))</f>
        <v>10725</v>
      </c>
      <c r="F12" s="15" t="n">
        <f aca="false">E12*(1+IF(F$3&lt;=$O$2,$D12,$D12-($D12-$I$6)*MIN(F$3-$O$2,$Q$2)/$Q$2))</f>
        <v>10892.578125</v>
      </c>
      <c r="G12" s="15" t="n">
        <f aca="false">F12*(1+IF(G$3&lt;=$O$2,$D12,$D12-($D12-$I$6)*MIN(G$3-$O$2,$Q$2)/$Q$2))</f>
        <v>11062.7746582031</v>
      </c>
      <c r="H12" s="15" t="n">
        <f aca="false">G12*(1+IF(H$3&lt;=$O$2,$D12,$D12-($D12-$I$6)*MIN(H$3-$O$2,$Q$2)/$Q$2))</f>
        <v>11235.6305122375</v>
      </c>
      <c r="I12" s="15" t="n">
        <f aca="false">H12*(1+IF(I$3&lt;=$O$2,$D12,$D12-($D12-$I$6)*MIN(I$3-$O$2,$Q$2)/$Q$2))</f>
        <v>11411.1872389913</v>
      </c>
      <c r="J12" s="15" t="n">
        <f aca="false">I12*(1+IF(J$3&lt;=$O$2,$D12,$D12-($D12-$I$6)*MIN(J$3-$O$2,$Q$2)/$Q$2))</f>
        <v>11618.4143992513</v>
      </c>
      <c r="K12" s="15" t="n">
        <f aca="false">J12*(1+IF(K$3&lt;=$O$2,$D12,$D12-($D12-$I$6)*MIN(K$3-$O$2,$Q$2)/$Q$2))</f>
        <v>11858.8574852438</v>
      </c>
      <c r="L12" s="15" t="n">
        <f aca="false">K12*(1+IF(L$3&lt;=$O$2,$D12,$D12-($D12-$I$6)*MIN(L$3-$O$2,$Q$2)/$Q$2))</f>
        <v>12134.3387446261</v>
      </c>
      <c r="M12" s="15" t="n">
        <f aca="false">L12*(1+IF(M$3&lt;=$O$2,$D12,$D12-($D12-$I$6)*MIN(M$3-$O$2,$Q$2)/$Q$2))</f>
        <v>12446.9799823814</v>
      </c>
      <c r="N12" s="15" t="n">
        <f aca="false">M12*(1+IF(N$3&lt;=$O$2,$D12,$D12-($D12-$I$6)*MIN(N$3-$O$2,$Q$2)/$Q$2))</f>
        <v>12799.2295158827</v>
      </c>
      <c r="O12" s="15" t="n">
        <f aca="false">SUMPRODUCT(E12:N12,1/(1+$F$6)^$E$3:$N$3)*$E$2</f>
        <v>38684.20719402</v>
      </c>
      <c r="P12" s="15" t="n">
        <f aca="false">N12*$E$2*(1+$I$6)/($F$6-$I$6)/(1+$F$6)^$N$3</f>
        <v>63713.6799301197</v>
      </c>
      <c r="Q12" s="15" t="n">
        <f aca="false">O12+P12</f>
        <v>102397.88712414</v>
      </c>
      <c r="R12" s="15" t="n">
        <f aca="false">Q12-$G$2+$I$2</f>
        <v>82937.8871241398</v>
      </c>
      <c r="S12" s="40" t="n">
        <f aca="false">R12/$K$2</f>
        <v>147.736666353408</v>
      </c>
      <c r="T12" s="41" t="n">
        <f aca="false">S12-$M$2</f>
        <v>-8.07302031717742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39" t="n">
        <f aca="false">(B13+C13)/2</f>
        <v>0.0390625</v>
      </c>
      <c r="E13" s="15" t="n">
        <f aca="false">$C$2*(1+IF(E$3&lt;=$O$2,$D13,$D13-($D13-$I$6)*MIN(E$3-$O$2,$Q$2)/$Q$2))</f>
        <v>10972.5</v>
      </c>
      <c r="F13" s="15" t="n">
        <f aca="false">E13*(1+IF(F$3&lt;=$O$2,$D13,$D13-($D13-$I$6)*MIN(F$3-$O$2,$Q$2)/$Q$2))</f>
        <v>11401.11328125</v>
      </c>
      <c r="G13" s="15" t="n">
        <f aca="false">F13*(1+IF(G$3&lt;=$O$2,$D13,$D13-($D13-$I$6)*MIN(G$3-$O$2,$Q$2)/$Q$2))</f>
        <v>11846.4692687988</v>
      </c>
      <c r="H13" s="15" t="n">
        <f aca="false">G13*(1+IF(H$3&lt;=$O$2,$D13,$D13-($D13-$I$6)*MIN(H$3-$O$2,$Q$2)/$Q$2))</f>
        <v>12309.2219746113</v>
      </c>
      <c r="I13" s="15" t="n">
        <f aca="false">H13*(1+IF(I$3&lt;=$O$2,$D13,$D13-($D13-$I$6)*MIN(I$3-$O$2,$Q$2)/$Q$2))</f>
        <v>12790.0509579945</v>
      </c>
      <c r="J13" s="15" t="n">
        <f aca="false">I13*(1+IF(J$3&lt;=$O$2,$D13,$D13-($D13-$I$6)*MIN(J$3-$O$2,$Q$2)/$Q$2))</f>
        <v>13262.1317388541</v>
      </c>
      <c r="K13" s="15" t="n">
        <f aca="false">J13*(1+IF(K$3&lt;=$O$2,$D13,$D13-($D13-$I$6)*MIN(K$3-$O$2,$Q$2)/$Q$2))</f>
        <v>13723.0902827673</v>
      </c>
      <c r="L13" s="15" t="n">
        <f aca="false">K13*(1+IF(L$3&lt;=$O$2,$D13,$D13-($D13-$I$6)*MIN(L$3-$O$2,$Q$2)/$Q$2))</f>
        <v>14170.531641437</v>
      </c>
      <c r="M13" s="15" t="n">
        <f aca="false">L13*(1+IF(M$3&lt;=$O$2,$D13,$D13-($D13-$I$6)*MIN(M$3-$O$2,$Q$2)/$Q$2))</f>
        <v>14602.0597562478</v>
      </c>
      <c r="N13" s="15" t="n">
        <f aca="false">M13*(1+IF(N$3&lt;=$O$2,$D13,$D13-($D13-$I$6)*MIN(N$3-$O$2,$Q$2)/$Q$2))</f>
        <v>15015.2980473496</v>
      </c>
      <c r="O13" s="15" t="n">
        <f aca="false">SUMPRODUCT(E13:N13,1/(1+$F$6)^$E$3:$N$3)*$E$2</f>
        <v>42890.1438752568</v>
      </c>
      <c r="P13" s="15" t="n">
        <f aca="false">N13*$E$2*(1+$I$6)/($F$6-$I$6)/(1+$F$6)^$N$3</f>
        <v>74745.115919441</v>
      </c>
      <c r="Q13" s="15" t="n">
        <f aca="false">O13+P13</f>
        <v>117635.259794698</v>
      </c>
      <c r="R13" s="15" t="n">
        <f aca="false">Q13-$G$2+$I$2</f>
        <v>98175.2597946979</v>
      </c>
      <c r="S13" s="40" t="n">
        <f aca="false">R13/$K$2</f>
        <v>174.878889532585</v>
      </c>
      <c r="T13" s="41" t="n">
        <f aca="false">S13-$M$2</f>
        <v>19.0692028619995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0.015625</v>
      </c>
      <c r="C14" s="25" t="n">
        <f aca="false">IF(T13&gt;0,D13,C13)</f>
        <v>0.0390625</v>
      </c>
      <c r="D14" s="39" t="n">
        <f aca="false">(B14+C14)/2</f>
        <v>0.02734375</v>
      </c>
      <c r="E14" s="15" t="n">
        <f aca="false">$C$2*(1+IF(E$3&lt;=$O$2,$D14,$D14-($D14-$I$6)*MIN(E$3-$O$2,$Q$2)/$Q$2))</f>
        <v>10848.75</v>
      </c>
      <c r="F14" s="15" t="n">
        <f aca="false">E14*(1+IF(F$3&lt;=$O$2,$D14,$D14-($D14-$I$6)*MIN(F$3-$O$2,$Q$2)/$Q$2))</f>
        <v>11145.3955078125</v>
      </c>
      <c r="G14" s="15" t="n">
        <f aca="false">F14*(1+IF(G$3&lt;=$O$2,$D14,$D14-($D14-$I$6)*MIN(G$3-$O$2,$Q$2)/$Q$2))</f>
        <v>11450.1524162292</v>
      </c>
      <c r="H14" s="15" t="n">
        <f aca="false">G14*(1+IF(H$3&lt;=$O$2,$D14,$D14-($D14-$I$6)*MIN(H$3-$O$2,$Q$2)/$Q$2))</f>
        <v>11763.2425213605</v>
      </c>
      <c r="I14" s="15" t="n">
        <f aca="false">H14*(1+IF(I$3&lt;=$O$2,$D14,$D14-($D14-$I$6)*MIN(I$3-$O$2,$Q$2)/$Q$2))</f>
        <v>12084.893684054</v>
      </c>
      <c r="J14" s="15" t="n">
        <f aca="false">I14*(1+IF(J$3&lt;=$O$2,$D14,$D14-($D14-$I$6)*MIN(J$3-$O$2,$Q$2)/$Q$2))</f>
        <v>12417.6512316444</v>
      </c>
      <c r="K14" s="15" t="n">
        <f aca="false">J14*(1+IF(K$3&lt;=$O$2,$D14,$D14-($D14-$I$6)*MIN(K$3-$O$2,$Q$2)/$Q$2))</f>
        <v>12761.9461341058</v>
      </c>
      <c r="L14" s="15" t="n">
        <f aca="false">K14*(1+IF(L$3&lt;=$O$2,$D14,$D14-($D14-$I$6)*MIN(L$3-$O$2,$Q$2)/$Q$2))</f>
        <v>13118.2277653047</v>
      </c>
      <c r="M14" s="15" t="n">
        <f aca="false">L14*(1+IF(M$3&lt;=$O$2,$D14,$D14-($D14-$I$6)*MIN(M$3-$O$2,$Q$2)/$Q$2))</f>
        <v>13486.9647500027</v>
      </c>
      <c r="N14" s="15" t="n">
        <f aca="false">M14*(1+IF(N$3&lt;=$O$2,$D14,$D14-($D14-$I$6)*MIN(N$3-$O$2,$Q$2)/$Q$2))</f>
        <v>13868.6458524278</v>
      </c>
      <c r="O14" s="15" t="n">
        <f aca="false">SUMPRODUCT(E14:N14,1/(1+$F$6)^$E$3:$N$3)*$E$2</f>
        <v>40732.2944033315</v>
      </c>
      <c r="P14" s="15" t="n">
        <f aca="false">N14*$E$2*(1+$I$6)/($F$6-$I$6)/(1+$F$6)^$N$3</f>
        <v>69037.1605423018</v>
      </c>
      <c r="Q14" s="15" t="n">
        <f aca="false">O14+P14</f>
        <v>109769.454945633</v>
      </c>
      <c r="R14" s="15" t="n">
        <f aca="false">Q14-$G$2+$I$2</f>
        <v>90309.4549456333</v>
      </c>
      <c r="S14" s="40" t="n">
        <f aca="false">R14/$K$2</f>
        <v>160.867587498233</v>
      </c>
      <c r="T14" s="41" t="n">
        <f aca="false">S14-$M$2</f>
        <v>5.05790082764793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0.015625</v>
      </c>
      <c r="C15" s="25" t="n">
        <f aca="false">IF(T14&gt;0,D14,C14)</f>
        <v>0.02734375</v>
      </c>
      <c r="D15" s="39" t="n">
        <f aca="false">(B15+C15)/2</f>
        <v>0.021484375</v>
      </c>
      <c r="E15" s="15" t="n">
        <f aca="false">$C$2*(1+IF(E$3&lt;=$O$2,$D15,$D15-($D15-$I$6)*MIN(E$3-$O$2,$Q$2)/$Q$2))</f>
        <v>10786.875</v>
      </c>
      <c r="F15" s="15" t="n">
        <f aca="false">E15*(1+IF(F$3&lt;=$O$2,$D15,$D15-($D15-$I$6)*MIN(F$3-$O$2,$Q$2)/$Q$2))</f>
        <v>11018.6242675781</v>
      </c>
      <c r="G15" s="15" t="n">
        <f aca="false">F15*(1+IF(G$3&lt;=$O$2,$D15,$D15-($D15-$I$6)*MIN(G$3-$O$2,$Q$2)/$Q$2))</f>
        <v>11255.3525233269</v>
      </c>
      <c r="H15" s="15" t="n">
        <f aca="false">G15*(1+IF(H$3&lt;=$O$2,$D15,$D15-($D15-$I$6)*MIN(H$3-$O$2,$Q$2)/$Q$2))</f>
        <v>11497.1667376952</v>
      </c>
      <c r="I15" s="15" t="n">
        <f aca="false">H15*(1+IF(I$3&lt;=$O$2,$D15,$D15-($D15-$I$6)*MIN(I$3-$O$2,$Q$2)/$Q$2))</f>
        <v>11744.1761793254</v>
      </c>
      <c r="J15" s="15" t="n">
        <f aca="false">I15*(1+IF(J$3&lt;=$O$2,$D15,$D15-($D15-$I$6)*MIN(J$3-$O$2,$Q$2)/$Q$2))</f>
        <v>12012.5012445825</v>
      </c>
      <c r="K15" s="15" t="n">
        <f aca="false">J15*(1+IF(K$3&lt;=$O$2,$D15,$D15-($D15-$I$6)*MIN(K$3-$O$2,$Q$2)/$Q$2))</f>
        <v>12303.3314075272</v>
      </c>
      <c r="L15" s="15" t="n">
        <f aca="false">K15*(1+IF(L$3&lt;=$O$2,$D15,$D15-($D15-$I$6)*MIN(L$3-$O$2,$Q$2)/$Q$2))</f>
        <v>12617.9737291104</v>
      </c>
      <c r="M15" s="15" t="n">
        <f aca="false">L15*(1+IF(M$3&lt;=$O$2,$D15,$D15-($D15-$I$6)*MIN(M$3-$O$2,$Q$2)/$Q$2))</f>
        <v>12957.8625102047</v>
      </c>
      <c r="N15" s="15" t="n">
        <f aca="false">M15*(1+IF(N$3&lt;=$O$2,$D15,$D15-($D15-$I$6)*MIN(N$3-$O$2,$Q$2)/$Q$2))</f>
        <v>13324.5700192435</v>
      </c>
      <c r="O15" s="15" t="n">
        <f aca="false">SUMPRODUCT(E15:N15,1/(1+$F$6)^$E$3:$N$3)*$E$2</f>
        <v>39694.8646440855</v>
      </c>
      <c r="P15" s="15" t="n">
        <f aca="false">N15*$E$2*(1+$I$6)/($F$6-$I$6)/(1+$F$6)^$N$3</f>
        <v>66328.7886477126</v>
      </c>
      <c r="Q15" s="15" t="n">
        <f aca="false">O15+P15</f>
        <v>106023.653291798</v>
      </c>
      <c r="R15" s="15" t="n">
        <f aca="false">Q15-$G$2+$I$2</f>
        <v>86563.6532917981</v>
      </c>
      <c r="S15" s="40" t="n">
        <f aca="false">R15/$K$2</f>
        <v>154.195217748442</v>
      </c>
      <c r="T15" s="41" t="n">
        <f aca="false">S15-$M$2</f>
        <v>-1.61446892214315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0.021484375</v>
      </c>
      <c r="C16" s="25" t="n">
        <f aca="false">IF(T15&gt;0,D15,C15)</f>
        <v>0.02734375</v>
      </c>
      <c r="D16" s="39" t="n">
        <f aca="false">(B16+C16)/2</f>
        <v>0.0244140625</v>
      </c>
      <c r="E16" s="15" t="n">
        <f aca="false">$C$2*(1+IF(E$3&lt;=$O$2,$D16,$D16-($D16-$I$6)*MIN(E$3-$O$2,$Q$2)/$Q$2))</f>
        <v>10817.8125</v>
      </c>
      <c r="F16" s="15" t="n">
        <f aca="false">E16*(1+IF(F$3&lt;=$O$2,$D16,$D16-($D16-$I$6)*MIN(F$3-$O$2,$Q$2)/$Q$2))</f>
        <v>11081.9192504883</v>
      </c>
      <c r="G16" s="15" t="n">
        <f aca="false">F16*(1+IF(G$3&lt;=$O$2,$D16,$D16-($D16-$I$6)*MIN(G$3-$O$2,$Q$2)/$Q$2))</f>
        <v>11352.4739196897</v>
      </c>
      <c r="H16" s="15" t="n">
        <f aca="false">G16*(1+IF(H$3&lt;=$O$2,$D16,$D16-($D16-$I$6)*MIN(H$3-$O$2,$Q$2)/$Q$2))</f>
        <v>11629.6339274946</v>
      </c>
      <c r="I16" s="15" t="n">
        <f aca="false">H16*(1+IF(I$3&lt;=$O$2,$D16,$D16-($D16-$I$6)*MIN(I$3-$O$2,$Q$2)/$Q$2))</f>
        <v>11913.5605370526</v>
      </c>
      <c r="J16" s="15" t="n">
        <f aca="false">I16*(1+IF(J$3&lt;=$O$2,$D16,$D16-($D16-$I$6)*MIN(J$3-$O$2,$Q$2)/$Q$2))</f>
        <v>12213.6780189316</v>
      </c>
      <c r="K16" s="15" t="n">
        <f aca="false">J16*(1+IF(K$3&lt;=$O$2,$D16,$D16-($D16-$I$6)*MIN(K$3-$O$2,$Q$2)/$Q$2))</f>
        <v>12530.8481532113</v>
      </c>
      <c r="L16" s="15" t="n">
        <f aca="false">K16*(1+IF(L$3&lt;=$O$2,$D16,$D16-($D16-$I$6)*MIN(L$3-$O$2,$Q$2)/$Q$2))</f>
        <v>12865.9935188491</v>
      </c>
      <c r="M16" s="15" t="n">
        <f aca="false">L16*(1+IF(M$3&lt;=$O$2,$D16,$D16-($D16-$I$6)*MIN(M$3-$O$2,$Q$2)/$Q$2))</f>
        <v>13220.1018460946</v>
      </c>
      <c r="N16" s="15" t="n">
        <f aca="false">M16*(1+IF(N$3&lt;=$O$2,$D16,$D16-($D16-$I$6)*MIN(N$3-$O$2,$Q$2)/$Q$2))</f>
        <v>13594.230728339</v>
      </c>
      <c r="O16" s="15" t="n">
        <f aca="false">SUMPRODUCT(E16:N16,1/(1+$F$6)^$E$3:$N$3)*$E$2</f>
        <v>40210.1917751917</v>
      </c>
      <c r="P16" s="15" t="n">
        <f aca="false">N16*$E$2*(1+$I$6)/($F$6-$I$6)/(1+$F$6)^$N$3</f>
        <v>67671.1410203863</v>
      </c>
      <c r="Q16" s="15" t="n">
        <f aca="false">O16+P16</f>
        <v>107881.332795578</v>
      </c>
      <c r="R16" s="15" t="n">
        <f aca="false">Q16-$G$2+$I$2</f>
        <v>88421.332795578</v>
      </c>
      <c r="S16" s="40" t="n">
        <f aca="false">R16/$K$2</f>
        <v>157.504288989077</v>
      </c>
      <c r="T16" s="41" t="n">
        <f aca="false">S16-$M$2</f>
        <v>1.69460231849152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0.021484375</v>
      </c>
      <c r="C17" s="25" t="n">
        <f aca="false">IF(T16&gt;0,D16,C16)</f>
        <v>0.0244140625</v>
      </c>
      <c r="D17" s="39" t="n">
        <f aca="false">(B17+C17)/2</f>
        <v>0.02294921875</v>
      </c>
      <c r="E17" s="15" t="n">
        <f aca="false">$C$2*(1+IF(E$3&lt;=$O$2,$D17,$D17-($D17-$I$6)*MIN(E$3-$O$2,$Q$2)/$Q$2))</f>
        <v>10802.34375</v>
      </c>
      <c r="F17" s="15" t="n">
        <f aca="false">E17*(1+IF(F$3&lt;=$O$2,$D17,$D17-($D17-$I$6)*MIN(F$3-$O$2,$Q$2)/$Q$2))</f>
        <v>11050.2490997314</v>
      </c>
      <c r="G17" s="15" t="n">
        <f aca="false">F17*(1+IF(G$3&lt;=$O$2,$D17,$D17-($D17-$I$6)*MIN(G$3-$O$2,$Q$2)/$Q$2))</f>
        <v>11303.8436835632</v>
      </c>
      <c r="H17" s="15" t="n">
        <f aca="false">G17*(1+IF(H$3&lt;=$O$2,$D17,$D17-($D17-$I$6)*MIN(H$3-$O$2,$Q$2)/$Q$2))</f>
        <v>11563.2580649731</v>
      </c>
      <c r="I17" s="15" t="n">
        <f aca="false">H17*(1+IF(I$3&lt;=$O$2,$D17,$D17-($D17-$I$6)*MIN(I$3-$O$2,$Q$2)/$Q$2))</f>
        <v>11828.6258037688</v>
      </c>
      <c r="J17" s="15" t="n">
        <f aca="false">I17*(1+IF(J$3&lt;=$O$2,$D17,$D17-($D17-$I$6)*MIN(J$3-$O$2,$Q$2)/$Q$2))</f>
        <v>12112.7420026842</v>
      </c>
      <c r="K17" s="15" t="n">
        <f aca="false">J17*(1+IF(K$3&lt;=$O$2,$D17,$D17-($D17-$I$6)*MIN(K$3-$O$2,$Q$2)/$Q$2))</f>
        <v>12416.6450216838</v>
      </c>
      <c r="L17" s="15" t="n">
        <f aca="false">K17*(1+IF(L$3&lt;=$O$2,$D17,$D17-($D17-$I$6)*MIN(L$3-$O$2,$Q$2)/$Q$2))</f>
        <v>12741.4605752494</v>
      </c>
      <c r="M17" s="15" t="n">
        <f aca="false">L17*(1+IF(M$3&lt;=$O$2,$D17,$D17-($D17-$I$6)*MIN(M$3-$O$2,$Q$2)/$Q$2))</f>
        <v>13088.4085558603</v>
      </c>
      <c r="N17" s="15" t="n">
        <f aca="false">M17*(1+IF(N$3&lt;=$O$2,$D17,$D17-($D17-$I$6)*MIN(N$3-$O$2,$Q$2)/$Q$2))</f>
        <v>13458.8105179911</v>
      </c>
      <c r="O17" s="15" t="n">
        <f aca="false">SUMPRODUCT(E17:N17,1/(1+$F$6)^$E$3:$N$3)*$E$2</f>
        <v>39951.686458167</v>
      </c>
      <c r="P17" s="15" t="n">
        <f aca="false">N17*$E$2*(1+$I$6)/($F$6-$I$6)/(1+$F$6)^$N$3</f>
        <v>66997.0285726433</v>
      </c>
      <c r="Q17" s="15" t="n">
        <f aca="false">O17+P17</f>
        <v>106948.71503081</v>
      </c>
      <c r="R17" s="15" t="n">
        <f aca="false">Q17-$G$2+$I$2</f>
        <v>87488.7150308103</v>
      </c>
      <c r="S17" s="40" t="n">
        <f aca="false">R17/$K$2</f>
        <v>155.843023621387</v>
      </c>
      <c r="T17" s="41" t="n">
        <f aca="false">S17-$M$2</f>
        <v>0.0333369508011856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0.021484375</v>
      </c>
      <c r="C18" s="25" t="n">
        <f aca="false">IF(T17&gt;0,D17,C17)</f>
        <v>0.02294921875</v>
      </c>
      <c r="D18" s="39" t="n">
        <f aca="false">(B18+C18)/2</f>
        <v>0.022216796875</v>
      </c>
      <c r="E18" s="15" t="n">
        <f aca="false">$C$2*(1+IF(E$3&lt;=$O$2,$D18,$D18-($D18-$I$6)*MIN(E$3-$O$2,$Q$2)/$Q$2))</f>
        <v>10794.609375</v>
      </c>
      <c r="F18" s="15" t="n">
        <f aca="false">E18*(1+IF(F$3&lt;=$O$2,$D18,$D18-($D18-$I$6)*MIN(F$3-$O$2,$Q$2)/$Q$2))</f>
        <v>11034.4310188293</v>
      </c>
      <c r="G18" s="15" t="n">
        <f aca="false">F18*(1+IF(G$3&lt;=$O$2,$D18,$D18-($D18-$I$6)*MIN(G$3-$O$2,$Q$2)/$Q$2))</f>
        <v>11279.5807314059</v>
      </c>
      <c r="H18" s="15" t="n">
        <f aca="false">G18*(1+IF(H$3&lt;=$O$2,$D18,$D18-($D18-$I$6)*MIN(H$3-$O$2,$Q$2)/$Q$2))</f>
        <v>11530.1768853507</v>
      </c>
      <c r="I18" s="15" t="n">
        <f aca="false">H18*(1+IF(I$3&lt;=$O$2,$D18,$D18-($D18-$I$6)*MIN(I$3-$O$2,$Q$2)/$Q$2))</f>
        <v>11786.3404831453</v>
      </c>
      <c r="J18" s="15" t="n">
        <f aca="false">I18*(1+IF(J$3&lt;=$O$2,$D18,$D18-($D18-$I$6)*MIN(J$3-$O$2,$Q$2)/$Q$2))</f>
        <v>12062.5349562109</v>
      </c>
      <c r="K18" s="15" t="n">
        <f aca="false">J18*(1+IF(K$3&lt;=$O$2,$D18,$D18-($D18-$I$6)*MIN(K$3-$O$2,$Q$2)/$Q$2))</f>
        <v>12359.877385267</v>
      </c>
      <c r="L18" s="15" t="n">
        <f aca="false">K18*(1+IF(L$3&lt;=$O$2,$D18,$D18-($D18-$I$6)*MIN(L$3-$O$2,$Q$2)/$Q$2))</f>
        <v>12679.5868573762</v>
      </c>
      <c r="M18" s="15" t="n">
        <f aca="false">L18*(1+IF(M$3&lt;=$O$2,$D18,$D18-($D18-$I$6)*MIN(M$3-$O$2,$Q$2)/$Q$2))</f>
        <v>13022.992664961</v>
      </c>
      <c r="N18" s="15" t="n">
        <f aca="false">M18*(1+IF(N$3&lt;=$O$2,$D18,$D18-($D18-$I$6)*MIN(N$3-$O$2,$Q$2)/$Q$2))</f>
        <v>13391.5433573794</v>
      </c>
      <c r="O18" s="15" t="n">
        <f aca="false">SUMPRODUCT(E18:N18,1/(1+$F$6)^$E$3:$N$3)*$E$2</f>
        <v>39823.0657584415</v>
      </c>
      <c r="P18" s="15" t="n">
        <f aca="false">N18*$E$2*(1+$I$6)/($F$6-$I$6)/(1+$F$6)^$N$3</f>
        <v>66662.1772961892</v>
      </c>
      <c r="Q18" s="15" t="n">
        <f aca="false">O18+P18</f>
        <v>106485.243054631</v>
      </c>
      <c r="R18" s="15" t="n">
        <f aca="false">Q18-$G$2+$I$2</f>
        <v>87025.2430546307</v>
      </c>
      <c r="S18" s="40" t="n">
        <f aca="false">R18/$K$2</f>
        <v>155.017444298314</v>
      </c>
      <c r="T18" s="41" t="n">
        <f aca="false">S18-$M$2</f>
        <v>-0.792242372271147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0.022216796875</v>
      </c>
      <c r="C19" s="25" t="n">
        <f aca="false">IF(T18&gt;0,D18,C18)</f>
        <v>0.02294921875</v>
      </c>
      <c r="D19" s="39" t="n">
        <f aca="false">(B19+C19)/2</f>
        <v>0.0225830078125</v>
      </c>
      <c r="E19" s="15" t="n">
        <f aca="false">$C$2*(1+IF(E$3&lt;=$O$2,$D19,$D19-($D19-$I$6)*MIN(E$3-$O$2,$Q$2)/$Q$2))</f>
        <v>10798.4765625</v>
      </c>
      <c r="F19" s="15" t="n">
        <f aca="false">E19*(1+IF(F$3&lt;=$O$2,$D19,$D19-($D19-$I$6)*MIN(F$3-$O$2,$Q$2)/$Q$2))</f>
        <v>11042.338643074</v>
      </c>
      <c r="G19" s="15" t="n">
        <f aca="false">F19*(1+IF(G$3&lt;=$O$2,$D19,$D19-($D19-$I$6)*MIN(G$3-$O$2,$Q$2)/$Q$2))</f>
        <v>11291.7078629188</v>
      </c>
      <c r="H19" s="15" t="n">
        <f aca="false">G19*(1+IF(H$3&lt;=$O$2,$D19,$D19-($D19-$I$6)*MIN(H$3-$O$2,$Q$2)/$Q$2))</f>
        <v>11546.7085898036</v>
      </c>
      <c r="I19" s="15" t="n">
        <f aca="false">H19*(1+IF(I$3&lt;=$O$2,$D19,$D19-($D19-$I$6)*MIN(I$3-$O$2,$Q$2)/$Q$2))</f>
        <v>11807.4680000958</v>
      </c>
      <c r="J19" s="15" t="n">
        <f aca="false">I19*(1+IF(J$3&lt;=$O$2,$D19,$D19-($D19-$I$6)*MIN(J$3-$O$2,$Q$2)/$Q$2))</f>
        <v>12087.61678265</v>
      </c>
      <c r="K19" s="15" t="n">
        <f aca="false">J19*(1+IF(K$3&lt;=$O$2,$D19,$D19-($D19-$I$6)*MIN(K$3-$O$2,$Q$2)/$Q$2))</f>
        <v>12388.2334511718</v>
      </c>
      <c r="L19" s="15" t="n">
        <f aca="false">K19*(1+IF(L$3&lt;=$O$2,$D19,$D19-($D19-$I$6)*MIN(L$3-$O$2,$Q$2)/$Q$2))</f>
        <v>12710.4910842971</v>
      </c>
      <c r="M19" s="15" t="n">
        <f aca="false">L19*(1+IF(M$3&lt;=$O$2,$D19,$D19-($D19-$I$6)*MIN(M$3-$O$2,$Q$2)/$Q$2))</f>
        <v>13055.664826337</v>
      </c>
      <c r="N19" s="15" t="n">
        <f aca="false">M19*(1+IF(N$3&lt;=$O$2,$D19,$D19-($D19-$I$6)*MIN(N$3-$O$2,$Q$2)/$Q$2))</f>
        <v>13425.1401409224</v>
      </c>
      <c r="O19" s="15" t="n">
        <f aca="false">SUMPRODUCT(E19:N19,1/(1+$F$6)^$E$3:$N$3)*$E$2</f>
        <v>39887.3235796198</v>
      </c>
      <c r="P19" s="15" t="n">
        <f aca="false">N19*$E$2*(1+$I$6)/($F$6-$I$6)/(1+$F$6)^$N$3</f>
        <v>66829.4197626736</v>
      </c>
      <c r="Q19" s="15" t="n">
        <f aca="false">O19+P19</f>
        <v>106716.743342293</v>
      </c>
      <c r="R19" s="15" t="n">
        <f aca="false">Q19-$G$2+$I$2</f>
        <v>87256.7433422934</v>
      </c>
      <c r="S19" s="40" t="n">
        <f aca="false">R19/$K$2</f>
        <v>155.429814108362</v>
      </c>
      <c r="T19" s="41" t="n">
        <f aca="false">S19-$M$2</f>
        <v>-0.379872562223369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0.0225830078125</v>
      </c>
      <c r="C20" s="25" t="n">
        <f aca="false">IF(T19&gt;0,D19,C19)</f>
        <v>0.02294921875</v>
      </c>
      <c r="D20" s="39" t="n">
        <f aca="false">(B20+C20)/2</f>
        <v>0.02276611328125</v>
      </c>
      <c r="E20" s="15" t="n">
        <f aca="false">$C$2*(1+IF(E$3&lt;=$O$2,$D20,$D20-($D20-$I$6)*MIN(E$3-$O$2,$Q$2)/$Q$2))</f>
        <v>10800.41015625</v>
      </c>
      <c r="F20" s="15" t="n">
        <f aca="false">E20*(1+IF(F$3&lt;=$O$2,$D20,$D20-($D20-$I$6)*MIN(F$3-$O$2,$Q$2)/$Q$2))</f>
        <v>11046.2935173512</v>
      </c>
      <c r="G20" s="15" t="n">
        <f aca="false">F20*(1+IF(G$3&lt;=$O$2,$D20,$D20-($D20-$I$6)*MIN(G$3-$O$2,$Q$2)/$Q$2))</f>
        <v>11297.7746869051</v>
      </c>
      <c r="H20" s="15" t="n">
        <f aca="false">G20*(1+IF(H$3&lt;=$O$2,$D20,$D20-($D20-$I$6)*MIN(H$3-$O$2,$Q$2)/$Q$2))</f>
        <v>11554.9811052532</v>
      </c>
      <c r="I20" s="15" t="n">
        <f aca="false">H20*(1+IF(I$3&lt;=$O$2,$D20,$D20-($D20-$I$6)*MIN(I$3-$O$2,$Q$2)/$Q$2))</f>
        <v>11818.0431140581</v>
      </c>
      <c r="J20" s="15" t="n">
        <f aca="false">I20*(1+IF(J$3&lt;=$O$2,$D20,$D20-($D20-$I$6)*MIN(J$3-$O$2,$Q$2)/$Q$2))</f>
        <v>12100.1739647216</v>
      </c>
      <c r="K20" s="15" t="n">
        <f aca="false">J20*(1+IF(K$3&lt;=$O$2,$D20,$D20-($D20-$I$6)*MIN(K$3-$O$2,$Q$2)/$Q$2))</f>
        <v>12402.4322927244</v>
      </c>
      <c r="L20" s="15" t="n">
        <f aca="false">K20*(1+IF(L$3&lt;=$O$2,$D20,$D20-($D20-$I$6)*MIN(L$3-$O$2,$Q$2)/$Q$2))</f>
        <v>12725.9676644706</v>
      </c>
      <c r="M20" s="15" t="n">
        <f aca="false">L20*(1+IF(M$3&lt;=$O$2,$D20,$D20-($D20-$I$6)*MIN(M$3-$O$2,$Q$2)/$Q$2))</f>
        <v>13072.0277366868</v>
      </c>
      <c r="N20" s="15" t="n">
        <f aca="false">M20*(1+IF(N$3&lt;=$O$2,$D20,$D20-($D20-$I$6)*MIN(N$3-$O$2,$Q$2)/$Q$2))</f>
        <v>13441.966121635</v>
      </c>
      <c r="O20" s="15" t="n">
        <f aca="false">SUMPRODUCT(E20:N20,1/(1+$F$6)^$E$3:$N$3)*$E$2</f>
        <v>39919.4918766463</v>
      </c>
      <c r="P20" s="15" t="n">
        <f aca="false">N20*$E$2*(1+$I$6)/($F$6-$I$6)/(1+$F$6)^$N$3</f>
        <v>66913.1783317581</v>
      </c>
      <c r="Q20" s="15" t="n">
        <f aca="false">O20+P20</f>
        <v>106832.670208404</v>
      </c>
      <c r="R20" s="15" t="n">
        <f aca="false">Q20-$G$2+$I$2</f>
        <v>87372.6702084045</v>
      </c>
      <c r="S20" s="40" t="n">
        <f aca="false">R20/$K$2</f>
        <v>155.636313807521</v>
      </c>
      <c r="T20" s="41" t="n">
        <f aca="false">S20-$M$2</f>
        <v>-0.173372863064031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0.02276611328125</v>
      </c>
      <c r="C21" s="25" t="n">
        <f aca="false">IF(T20&gt;0,D20,C20)</f>
        <v>0.02294921875</v>
      </c>
      <c r="D21" s="39" t="n">
        <f aca="false">(B21+C21)/2</f>
        <v>0.022857666015625</v>
      </c>
      <c r="E21" s="15" t="n">
        <f aca="false">$C$2*(1+IF(E$3&lt;=$O$2,$D21,$D21-($D21-$I$6)*MIN(E$3-$O$2,$Q$2)/$Q$2))</f>
        <v>10801.376953125</v>
      </c>
      <c r="F21" s="15" t="n">
        <f aca="false">E21*(1+IF(F$3&lt;=$O$2,$D21,$D21-($D21-$I$6)*MIN(F$3-$O$2,$Q$2)/$Q$2))</f>
        <v>11048.2712200284</v>
      </c>
      <c r="G21" s="15" t="n">
        <f aca="false">F21*(1+IF(G$3&lt;=$O$2,$D21,$D21-($D21-$I$6)*MIN(G$3-$O$2,$Q$2)/$Q$2))</f>
        <v>11300.8089136259</v>
      </c>
      <c r="H21" s="15" t="n">
        <f aca="false">G21*(1+IF(H$3&lt;=$O$2,$D21,$D21-($D21-$I$6)*MIN(H$3-$O$2,$Q$2)/$Q$2))</f>
        <v>11559.1190294799</v>
      </c>
      <c r="I21" s="15" t="n">
        <f aca="false">H21*(1+IF(I$3&lt;=$O$2,$D21,$D21-($D21-$I$6)*MIN(I$3-$O$2,$Q$2)/$Q$2))</f>
        <v>11823.3335116906</v>
      </c>
      <c r="J21" s="15" t="n">
        <f aca="false">I21*(1+IF(J$3&lt;=$O$2,$D21,$D21-($D21-$I$6)*MIN(J$3-$O$2,$Q$2)/$Q$2))</f>
        <v>12106.456626248</v>
      </c>
      <c r="K21" s="15" t="n">
        <f aca="false">J21*(1+IF(K$3&lt;=$O$2,$D21,$D21-($D21-$I$6)*MIN(K$3-$O$2,$Q$2)/$Q$2))</f>
        <v>12409.5369205744</v>
      </c>
      <c r="L21" s="15" t="n">
        <f aca="false">K21*(1+IF(L$3&lt;=$O$2,$D21,$D21-($D21-$I$6)*MIN(L$3-$O$2,$Q$2)/$Q$2))</f>
        <v>12733.7120776214</v>
      </c>
      <c r="M21" s="15" t="n">
        <f aca="false">L21*(1+IF(M$3&lt;=$O$2,$D21,$D21-($D21-$I$6)*MIN(M$3-$O$2,$Q$2)/$Q$2))</f>
        <v>13080.2159066206</v>
      </c>
      <c r="N21" s="15" t="n">
        <f aca="false">M21*(1+IF(N$3&lt;=$O$2,$D21,$D21-($D21-$I$6)*MIN(N$3-$O$2,$Q$2)/$Q$2))</f>
        <v>13450.386016778</v>
      </c>
      <c r="O21" s="15" t="n">
        <f aca="false">SUMPRODUCT(E21:N21,1/(1+$F$6)^$E$3:$N$3)*$E$2</f>
        <v>39935.5858805847</v>
      </c>
      <c r="P21" s="15" t="n">
        <f aca="false">N21*$E$2*(1+$I$6)/($F$6-$I$6)/(1+$F$6)^$N$3</f>
        <v>66955.0919878514</v>
      </c>
      <c r="Q21" s="15" t="n">
        <f aca="false">O21+P21</f>
        <v>106890.677868436</v>
      </c>
      <c r="R21" s="15" t="n">
        <f aca="false">Q21-$G$2+$I$2</f>
        <v>87430.6778684361</v>
      </c>
      <c r="S21" s="40" t="n">
        <f aca="false">R21/$K$2</f>
        <v>155.739642438298</v>
      </c>
      <c r="T21" s="41" t="n">
        <f aca="false">S21-$M$2</f>
        <v>-0.0700442322876143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0.022857666015625</v>
      </c>
      <c r="C22" s="25" t="n">
        <f aca="false">IF(T21&gt;0,D21,C21)</f>
        <v>0.02294921875</v>
      </c>
      <c r="D22" s="39" t="n">
        <f aca="false">(B22+C22)/2</f>
        <v>0.0229034423828125</v>
      </c>
      <c r="E22" s="15" t="n">
        <f aca="false">$C$2*(1+IF(E$3&lt;=$O$2,$D22,$D22-($D22-$I$6)*MIN(E$3-$O$2,$Q$2)/$Q$2))</f>
        <v>10801.8603515625</v>
      </c>
      <c r="F22" s="15" t="n">
        <f aca="false">E22*(1+IF(F$3&lt;=$O$2,$D22,$D22-($D22-$I$6)*MIN(F$3-$O$2,$Q$2)/$Q$2))</f>
        <v>11049.2601377517</v>
      </c>
      <c r="G22" s="15" t="n">
        <f aca="false">F22*(1+IF(G$3&lt;=$O$2,$D22,$D22-($D22-$I$6)*MIN(G$3-$O$2,$Q$2)/$Q$2))</f>
        <v>11302.3262306894</v>
      </c>
      <c r="H22" s="15" t="n">
        <f aca="false">G22*(1+IF(H$3&lt;=$O$2,$D22,$D22-($D22-$I$6)*MIN(H$3-$O$2,$Q$2)/$Q$2))</f>
        <v>11561.1884083057</v>
      </c>
      <c r="I22" s="15" t="n">
        <f aca="false">H22*(1+IF(I$3&lt;=$O$2,$D22,$D22-($D22-$I$6)*MIN(I$3-$O$2,$Q$2)/$Q$2))</f>
        <v>11825.9794208922</v>
      </c>
      <c r="J22" s="15" t="n">
        <f aca="false">I22*(1+IF(J$3&lt;=$O$2,$D22,$D22-($D22-$I$6)*MIN(J$3-$O$2,$Q$2)/$Q$2))</f>
        <v>12109.5989750439</v>
      </c>
      <c r="K22" s="15" t="n">
        <f aca="false">J22*(1+IF(K$3&lt;=$O$2,$D22,$D22-($D22-$I$6)*MIN(K$3-$O$2,$Q$2)/$Q$2))</f>
        <v>12413.0905368837</v>
      </c>
      <c r="L22" s="15" t="n">
        <f aca="false">K22*(1+IF(L$3&lt;=$O$2,$D22,$D22-($D22-$I$6)*MIN(L$3-$O$2,$Q$2)/$Q$2))</f>
        <v>12737.5858157616</v>
      </c>
      <c r="M22" s="15" t="n">
        <f aca="false">L22*(1+IF(M$3&lt;=$O$2,$D22,$D22-($D22-$I$6)*MIN(M$3-$O$2,$Q$2)/$Q$2))</f>
        <v>13084.311671196</v>
      </c>
      <c r="N22" s="15" t="n">
        <f aca="false">M22*(1+IF(N$3&lt;=$O$2,$D22,$D22-($D22-$I$6)*MIN(N$3-$O$2,$Q$2)/$Q$2))</f>
        <v>13454.5976914908</v>
      </c>
      <c r="O22" s="15" t="n">
        <f aca="false">SUMPRODUCT(E22:N22,1/(1+$F$6)^$E$3:$N$3)*$E$2</f>
        <v>39943.6353475128</v>
      </c>
      <c r="P22" s="15" t="n">
        <f aca="false">N22*$E$2*(1+$I$6)/($F$6-$I$6)/(1+$F$6)^$N$3</f>
        <v>66976.057413488</v>
      </c>
      <c r="Q22" s="15" t="n">
        <f aca="false">O22+P22</f>
        <v>106919.692761001</v>
      </c>
      <c r="R22" s="15" t="n">
        <f aca="false">Q22-$G$2+$I$2</f>
        <v>87459.6927610007</v>
      </c>
      <c r="S22" s="40" t="n">
        <f aca="false">R22/$K$2</f>
        <v>155.791326459326</v>
      </c>
      <c r="T22" s="41" t="n">
        <f aca="false">S22-$M$2</f>
        <v>-0.018360211260017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0.0229034423828125</v>
      </c>
      <c r="C23" s="25" t="n">
        <f aca="false">IF(T22&gt;0,D22,C22)</f>
        <v>0.02294921875</v>
      </c>
      <c r="D23" s="39" t="n">
        <f aca="false">(B23+C23)/2</f>
        <v>0.0229263305664063</v>
      </c>
      <c r="E23" s="15" t="n">
        <f aca="false">$C$2*(1+IF(E$3&lt;=$O$2,$D23,$D23-($D23-$I$6)*MIN(E$3-$O$2,$Q$2)/$Q$2))</f>
        <v>10802.1020507813</v>
      </c>
      <c r="F23" s="15" t="n">
        <f aca="false">E23*(1+IF(F$3&lt;=$O$2,$D23,$D23-($D23-$I$6)*MIN(F$3-$O$2,$Q$2)/$Q$2))</f>
        <v>11049.7546132095</v>
      </c>
      <c r="G23" s="15" t="n">
        <f aca="false">F23*(1+IF(G$3&lt;=$O$2,$D23,$D23-($D23-$I$6)*MIN(G$3-$O$2,$Q$2)/$Q$2))</f>
        <v>11303.0849401496</v>
      </c>
      <c r="H23" s="15" t="n">
        <f aca="false">G23*(1+IF(H$3&lt;=$O$2,$D23,$D23-($D23-$I$6)*MIN(H$3-$O$2,$Q$2)/$Q$2))</f>
        <v>11562.2232019077</v>
      </c>
      <c r="I23" s="15" t="n">
        <f aca="false">H23*(1+IF(I$3&lt;=$O$2,$D23,$D23-($D23-$I$6)*MIN(I$3-$O$2,$Q$2)/$Q$2))</f>
        <v>11827.3025531172</v>
      </c>
      <c r="J23" s="15" t="n">
        <f aca="false">I23*(1+IF(J$3&lt;=$O$2,$D23,$D23-($D23-$I$6)*MIN(J$3-$O$2,$Q$2)/$Q$2))</f>
        <v>12111.1704040012</v>
      </c>
      <c r="K23" s="15" t="n">
        <f aca="false">J23*(1+IF(K$3&lt;=$O$2,$D23,$D23-($D23-$I$6)*MIN(K$3-$O$2,$Q$2)/$Q$2))</f>
        <v>12414.8676707114</v>
      </c>
      <c r="L23" s="15" t="n">
        <f aca="false">K23*(1+IF(L$3&lt;=$O$2,$D23,$D23-($D23-$I$6)*MIN(L$3-$O$2,$Q$2)/$Q$2))</f>
        <v>12739.5230678228</v>
      </c>
      <c r="M23" s="15" t="n">
        <f aca="false">L23*(1+IF(M$3&lt;=$O$2,$D23,$D23-($D23-$I$6)*MIN(M$3-$O$2,$Q$2)/$Q$2))</f>
        <v>13086.3599735006</v>
      </c>
      <c r="N23" s="15" t="n">
        <f aca="false">M23*(1+IF(N$3&lt;=$O$2,$D23,$D23-($D23-$I$6)*MIN(N$3-$O$2,$Q$2)/$Q$2))</f>
        <v>13456.7039607506</v>
      </c>
      <c r="O23" s="15" t="n">
        <f aca="false">SUMPRODUCT(E23:N23,1/(1+$F$6)^$E$3:$N$3)*$E$2</f>
        <v>39947.6606973544</v>
      </c>
      <c r="P23" s="15" t="n">
        <f aca="false">N23*$E$2*(1+$I$6)/($F$6-$I$6)/(1+$F$6)^$N$3</f>
        <v>66986.5422762918</v>
      </c>
      <c r="Q23" s="15" t="n">
        <f aca="false">O23+P23</f>
        <v>106934.202973646</v>
      </c>
      <c r="R23" s="15" t="n">
        <f aca="false">Q23-$G$2+$I$2</f>
        <v>87474.2029736462</v>
      </c>
      <c r="S23" s="40" t="n">
        <f aca="false">R23/$K$2</f>
        <v>155.817173397542</v>
      </c>
      <c r="T23" s="41" t="n">
        <f aca="false">S23-$M$2</f>
        <v>0.00748672695661412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0.0229034423828125</v>
      </c>
      <c r="C24" s="25" t="n">
        <f aca="false">IF(T23&gt;0,D23,C23)</f>
        <v>0.0229263305664063</v>
      </c>
      <c r="D24" s="39" t="n">
        <f aca="false">(B24+C24)/2</f>
        <v>0.0229148864746094</v>
      </c>
      <c r="E24" s="15" t="n">
        <f aca="false">$C$2*(1+IF(E$3&lt;=$O$2,$D24,$D24-($D24-$I$6)*MIN(E$3-$O$2,$Q$2)/$Q$2))</f>
        <v>10801.9812011719</v>
      </c>
      <c r="F24" s="15" t="n">
        <f aca="false">E24*(1+IF(F$3&lt;=$O$2,$D24,$D24-($D24-$I$6)*MIN(F$3-$O$2,$Q$2)/$Q$2))</f>
        <v>11049.5073740976</v>
      </c>
      <c r="G24" s="15" t="n">
        <f aca="false">F24*(1+IF(G$3&lt;=$O$2,$D24,$D24-($D24-$I$6)*MIN(G$3-$O$2,$Q$2)/$Q$2))</f>
        <v>11302.7055811754</v>
      </c>
      <c r="H24" s="15" t="n">
        <f aca="false">G24*(1+IF(H$3&lt;=$O$2,$D24,$D24-($D24-$I$6)*MIN(H$3-$O$2,$Q$2)/$Q$2))</f>
        <v>11561.705796424</v>
      </c>
      <c r="I24" s="15" t="n">
        <f aca="false">H24*(1+IF(I$3&lt;=$O$2,$D24,$D24-($D24-$I$6)*MIN(I$3-$O$2,$Q$2)/$Q$2))</f>
        <v>11826.6409722019</v>
      </c>
      <c r="J24" s="15" t="n">
        <f aca="false">I24*(1+IF(J$3&lt;=$O$2,$D24,$D24-($D24-$I$6)*MIN(J$3-$O$2,$Q$2)/$Q$2))</f>
        <v>12110.3846683077</v>
      </c>
      <c r="K24" s="15" t="n">
        <f aca="false">J24*(1+IF(K$3&lt;=$O$2,$D24,$D24-($D24-$I$6)*MIN(K$3-$O$2,$Q$2)/$Q$2))</f>
        <v>12413.9790766558</v>
      </c>
      <c r="L24" s="15" t="n">
        <f aca="false">K24*(1+IF(L$3&lt;=$O$2,$D24,$D24-($D24-$I$6)*MIN(L$3-$O$2,$Q$2)/$Q$2))</f>
        <v>12738.5544098733</v>
      </c>
      <c r="M24" s="15" t="n">
        <f aca="false">L24*(1+IF(M$3&lt;=$O$2,$D24,$D24-($D24-$I$6)*MIN(M$3-$O$2,$Q$2)/$Q$2))</f>
        <v>13085.3357873434</v>
      </c>
      <c r="N24" s="15" t="n">
        <f aca="false">M24*(1+IF(N$3&lt;=$O$2,$D24,$D24-($D24-$I$6)*MIN(N$3-$O$2,$Q$2)/$Q$2))</f>
        <v>13455.6507901252</v>
      </c>
      <c r="O24" s="15" t="n">
        <f aca="false">SUMPRODUCT(E24:N24,1/(1+$F$6)^$E$3:$N$3)*$E$2</f>
        <v>39945.6479710647</v>
      </c>
      <c r="P24" s="15" t="n">
        <f aca="false">N24*$E$2*(1+$I$6)/($F$6-$I$6)/(1+$F$6)^$N$3</f>
        <v>66981.2996657069</v>
      </c>
      <c r="Q24" s="15" t="n">
        <f aca="false">O24+P24</f>
        <v>106926.947636772</v>
      </c>
      <c r="R24" s="15" t="n">
        <f aca="false">Q24-$G$2+$I$2</f>
        <v>87466.9476367716</v>
      </c>
      <c r="S24" s="40" t="n">
        <f aca="false">R24/$K$2</f>
        <v>155.804249517753</v>
      </c>
      <c r="T24" s="41" t="n">
        <f aca="false">S24-$M$2</f>
        <v>-0.0054371528320587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0.0229148864746094</v>
      </c>
      <c r="C25" s="25" t="n">
        <f aca="false">IF(T24&gt;0,D24,C24)</f>
        <v>0.0229263305664063</v>
      </c>
      <c r="D25" s="39" t="n">
        <f aca="false">(B25+C25)/2</f>
        <v>0.0229206085205078</v>
      </c>
      <c r="E25" s="15" t="n">
        <f aca="false">$C$2*(1+IF(E$3&lt;=$O$2,$D25,$D25-($D25-$I$6)*MIN(E$3-$O$2,$Q$2)/$Q$2))</f>
        <v>10802.0416259766</v>
      </c>
      <c r="F25" s="15" t="n">
        <f aca="false">E25*(1+IF(F$3&lt;=$O$2,$D25,$D25-($D25-$I$6)*MIN(F$3-$O$2,$Q$2)/$Q$2))</f>
        <v>11049.6309933078</v>
      </c>
      <c r="G25" s="15" t="n">
        <f aca="false">F25*(1+IF(G$3&lt;=$O$2,$D25,$D25-($D25-$I$6)*MIN(G$3-$O$2,$Q$2)/$Q$2))</f>
        <v>11302.8952596015</v>
      </c>
      <c r="H25" s="15" t="n">
        <f aca="false">G25*(1+IF(H$3&lt;=$O$2,$D25,$D25-($D25-$I$6)*MIN(H$3-$O$2,$Q$2)/$Q$2))</f>
        <v>11561.9644969951</v>
      </c>
      <c r="I25" s="15" t="n">
        <f aca="false">H25*(1+IF(I$3&lt;=$O$2,$D25,$D25-($D25-$I$6)*MIN(I$3-$O$2,$Q$2)/$Q$2))</f>
        <v>11826.9717589587</v>
      </c>
      <c r="J25" s="15" t="n">
        <f aca="false">I25*(1+IF(J$3&lt;=$O$2,$D25,$D25-($D25-$I$6)*MIN(J$3-$O$2,$Q$2)/$Q$2))</f>
        <v>12110.7775308506</v>
      </c>
      <c r="K25" s="15" t="n">
        <f aca="false">J25*(1+IF(K$3&lt;=$O$2,$D25,$D25-($D25-$I$6)*MIN(K$3-$O$2,$Q$2)/$Q$2))</f>
        <v>12414.423366898</v>
      </c>
      <c r="L25" s="15" t="n">
        <f aca="false">K25*(1+IF(L$3&lt;=$O$2,$D25,$D25-($D25-$I$6)*MIN(L$3-$O$2,$Q$2)/$Q$2))</f>
        <v>12739.0387308681</v>
      </c>
      <c r="M25" s="15" t="n">
        <f aca="false">L25*(1+IF(M$3&lt;=$O$2,$D25,$D25-($D25-$I$6)*MIN(M$3-$O$2,$Q$2)/$Q$2))</f>
        <v>13085.8478716705</v>
      </c>
      <c r="N25" s="15" t="n">
        <f aca="false">M25*(1+IF(N$3&lt;=$O$2,$D25,$D25-($D25-$I$6)*MIN(N$3-$O$2,$Q$2)/$Q$2))</f>
        <v>13456.1773664388</v>
      </c>
      <c r="O25" s="15" t="n">
        <f aca="false">SUMPRODUCT(E25:N25,1/(1+$F$6)^$E$3:$N$3)*$E$2</f>
        <v>39946.654321367</v>
      </c>
      <c r="P25" s="15" t="n">
        <f aca="false">N25*$E$2*(1+$I$6)/($F$6-$I$6)/(1+$F$6)^$N$3</f>
        <v>66983.9209262023</v>
      </c>
      <c r="Q25" s="15" t="n">
        <f aca="false">O25+P25</f>
        <v>106930.575247569</v>
      </c>
      <c r="R25" s="15" t="n">
        <f aca="false">Q25-$G$2+$I$2</f>
        <v>87470.5752475693</v>
      </c>
      <c r="S25" s="40" t="n">
        <f aca="false">R25/$K$2</f>
        <v>155.810711354975</v>
      </c>
      <c r="T25" s="41" t="n">
        <f aca="false">S25-$M$2</f>
        <v>0.00102468438930714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0.0229148864746094</v>
      </c>
      <c r="C26" s="25" t="n">
        <f aca="false">IF(T25&gt;0,D25,C25)</f>
        <v>0.0229206085205078</v>
      </c>
      <c r="D26" s="39" t="n">
        <f aca="false">(B26+C26)/2</f>
        <v>0.0229177474975586</v>
      </c>
      <c r="E26" s="15" t="n">
        <f aca="false">$C$2*(1+IF(E$3&lt;=$O$2,$D26,$D26-($D26-$I$6)*MIN(E$3-$O$2,$Q$2)/$Q$2))</f>
        <v>10802.0114135742</v>
      </c>
      <c r="F26" s="15" t="n">
        <f aca="false">E26*(1+IF(F$3&lt;=$O$2,$D26,$D26-($D26-$I$6)*MIN(F$3-$O$2,$Q$2)/$Q$2))</f>
        <v>11049.5691836163</v>
      </c>
      <c r="G26" s="15" t="n">
        <f aca="false">F26*(1+IF(G$3&lt;=$O$2,$D26,$D26-($D26-$I$6)*MIN(G$3-$O$2,$Q$2)/$Q$2))</f>
        <v>11302.8004201232</v>
      </c>
      <c r="H26" s="15" t="n">
        <f aca="false">G26*(1+IF(H$3&lt;=$O$2,$D26,$D26-($D26-$I$6)*MIN(H$3-$O$2,$Q$2)/$Q$2))</f>
        <v>11561.8351461669</v>
      </c>
      <c r="I26" s="15" t="n">
        <f aca="false">H26*(1+IF(I$3&lt;=$O$2,$D26,$D26-($D26-$I$6)*MIN(I$3-$O$2,$Q$2)/$Q$2))</f>
        <v>11826.8063646551</v>
      </c>
      <c r="J26" s="15" t="n">
        <f aca="false">I26*(1+IF(J$3&lt;=$O$2,$D26,$D26-($D26-$I$6)*MIN(J$3-$O$2,$Q$2)/$Q$2))</f>
        <v>12110.5810982532</v>
      </c>
      <c r="K26" s="15" t="n">
        <f aca="false">J26*(1+IF(K$3&lt;=$O$2,$D26,$D26-($D26-$I$6)*MIN(K$3-$O$2,$Q$2)/$Q$2))</f>
        <v>12414.2012200805</v>
      </c>
      <c r="L26" s="15" t="n">
        <f aca="false">K26*(1+IF(L$3&lt;=$O$2,$D26,$D26-($D26-$I$6)*MIN(L$3-$O$2,$Q$2)/$Q$2))</f>
        <v>12738.7965683758</v>
      </c>
      <c r="M26" s="15" t="n">
        <f aca="false">L26*(1+IF(M$3&lt;=$O$2,$D26,$D26-($D26-$I$6)*MIN(M$3-$O$2,$Q$2)/$Q$2))</f>
        <v>13085.5918273192</v>
      </c>
      <c r="N26" s="15" t="n">
        <f aca="false">M26*(1+IF(N$3&lt;=$O$2,$D26,$D26-($D26-$I$6)*MIN(N$3-$O$2,$Q$2)/$Q$2))</f>
        <v>13455.9140760323</v>
      </c>
      <c r="O26" s="15" t="n">
        <f aca="false">SUMPRODUCT(E26:N26,1/(1+$F$6)^$E$3:$N$3)*$E$2</f>
        <v>39946.1511430053</v>
      </c>
      <c r="P26" s="15" t="n">
        <f aca="false">N26*$E$2*(1+$I$6)/($F$6-$I$6)/(1+$F$6)^$N$3</f>
        <v>66982.6102847555</v>
      </c>
      <c r="Q26" s="15" t="n">
        <f aca="false">O26+P26</f>
        <v>106928.761427761</v>
      </c>
      <c r="R26" s="15" t="n">
        <f aca="false">Q26-$G$2+$I$2</f>
        <v>87468.7614277608</v>
      </c>
      <c r="S26" s="40" t="n">
        <f aca="false">R26/$K$2</f>
        <v>155.807480410696</v>
      </c>
      <c r="T26" s="41" t="n">
        <f aca="false">S26-$M$2</f>
        <v>-0.00220625988924894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0.0229177474975586</v>
      </c>
      <c r="C27" s="25" t="n">
        <f aca="false">IF(T26&gt;0,D26,C26)</f>
        <v>0.0229206085205078</v>
      </c>
      <c r="D27" s="39" t="n">
        <f aca="false">(B27+C27)/2</f>
        <v>0.0229191780090332</v>
      </c>
      <c r="E27" s="15" t="n">
        <f aca="false">$C$2*(1+IF(E$3&lt;=$O$2,$D27,$D27-($D27-$I$6)*MIN(E$3-$O$2,$Q$2)/$Q$2))</f>
        <v>10802.0265197754</v>
      </c>
      <c r="F27" s="15" t="n">
        <f aca="false">E27*(1+IF(F$3&lt;=$O$2,$D27,$D27-($D27-$I$6)*MIN(F$3-$O$2,$Q$2)/$Q$2))</f>
        <v>11049.6000884404</v>
      </c>
      <c r="G27" s="15" t="n">
        <f aca="false">F27*(1+IF(G$3&lt;=$O$2,$D27,$D27-($D27-$I$6)*MIN(G$3-$O$2,$Q$2)/$Q$2))</f>
        <v>11302.847839796</v>
      </c>
      <c r="H27" s="15" t="n">
        <f aca="false">G27*(1+IF(H$3&lt;=$O$2,$D27,$D27-($D27-$I$6)*MIN(H$3-$O$2,$Q$2)/$Q$2))</f>
        <v>11561.8998214453</v>
      </c>
      <c r="I27" s="15" t="n">
        <f aca="false">H27*(1+IF(I$3&lt;=$O$2,$D27,$D27-($D27-$I$6)*MIN(I$3-$O$2,$Q$2)/$Q$2))</f>
        <v>11826.8890615756</v>
      </c>
      <c r="J27" s="15" t="n">
        <f aca="false">I27*(1+IF(J$3&lt;=$O$2,$D27,$D27-($D27-$I$6)*MIN(J$3-$O$2,$Q$2)/$Q$2))</f>
        <v>12110.6793142204</v>
      </c>
      <c r="K27" s="15" t="n">
        <f aca="false">J27*(1+IF(K$3&lt;=$O$2,$D27,$D27-($D27-$I$6)*MIN(K$3-$O$2,$Q$2)/$Q$2))</f>
        <v>12414.3122930652</v>
      </c>
      <c r="L27" s="15" t="n">
        <f aca="false">K27*(1+IF(L$3&lt;=$O$2,$D27,$D27-($D27-$I$6)*MIN(L$3-$O$2,$Q$2)/$Q$2))</f>
        <v>12738.9176491232</v>
      </c>
      <c r="M27" s="15" t="n">
        <f aca="false">L27*(1+IF(M$3&lt;=$O$2,$D27,$D27-($D27-$I$6)*MIN(M$3-$O$2,$Q$2)/$Q$2))</f>
        <v>13085.7198489479</v>
      </c>
      <c r="N27" s="15" t="n">
        <f aca="false">M27*(1+IF(N$3&lt;=$O$2,$D27,$D27-($D27-$I$6)*MIN(N$3-$O$2,$Q$2)/$Q$2))</f>
        <v>13456.0457206731</v>
      </c>
      <c r="O27" s="15" t="n">
        <f aca="false">SUMPRODUCT(E27:N27,1/(1+$F$6)^$E$3:$N$3)*$E$2</f>
        <v>39946.4027313835</v>
      </c>
      <c r="P27" s="15" t="n">
        <f aca="false">N27*$E$2*(1+$I$6)/($F$6-$I$6)/(1+$F$6)^$N$3</f>
        <v>66983.2656026791</v>
      </c>
      <c r="Q27" s="15" t="n">
        <f aca="false">O27+P27</f>
        <v>106929.668334063</v>
      </c>
      <c r="R27" s="15" t="n">
        <f aca="false">Q27-$G$2+$I$2</f>
        <v>87469.6683340626</v>
      </c>
      <c r="S27" s="40" t="n">
        <f aca="false">R27/$K$2</f>
        <v>155.809095876419</v>
      </c>
      <c r="T27" s="41" t="n">
        <f aca="false">S27-$M$2</f>
        <v>-0.000590794166981823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0.0229191780090332</v>
      </c>
      <c r="C28" s="25" t="n">
        <f aca="false">IF(T27&gt;0,D27,C27)</f>
        <v>0.0229206085205078</v>
      </c>
      <c r="D28" s="39" t="n">
        <f aca="false">(B28+C28)/2</f>
        <v>0.0229198932647705</v>
      </c>
      <c r="E28" s="15" t="n">
        <f aca="false">$C$2*(1+IF(E$3&lt;=$O$2,$D28,$D28-($D28-$I$6)*MIN(E$3-$O$2,$Q$2)/$Q$2))</f>
        <v>10802.034072876</v>
      </c>
      <c r="F28" s="15" t="n">
        <f aca="false">E28*(1+IF(F$3&lt;=$O$2,$D28,$D28-($D28-$I$6)*MIN(F$3-$O$2,$Q$2)/$Q$2))</f>
        <v>11049.6155408687</v>
      </c>
      <c r="G28" s="15" t="n">
        <f aca="false">F28*(1+IF(G$3&lt;=$O$2,$D28,$D28-($D28-$I$6)*MIN(G$3-$O$2,$Q$2)/$Q$2))</f>
        <v>11302.8715496822</v>
      </c>
      <c r="H28" s="15" t="n">
        <f aca="false">G28*(1+IF(H$3&lt;=$O$2,$D28,$D28-($D28-$I$6)*MIN(H$3-$O$2,$Q$2)/$Q$2))</f>
        <v>11561.9321591863</v>
      </c>
      <c r="I28" s="15" t="n">
        <f aca="false">H28*(1+IF(I$3&lt;=$O$2,$D28,$D28-($D28-$I$6)*MIN(I$3-$O$2,$Q$2)/$Q$2))</f>
        <v>11826.9304102094</v>
      </c>
      <c r="J28" s="15" t="n">
        <f aca="false">I28*(1+IF(J$3&lt;=$O$2,$D28,$D28-($D28-$I$6)*MIN(J$3-$O$2,$Q$2)/$Q$2))</f>
        <v>12110.7284224526</v>
      </c>
      <c r="K28" s="15" t="n">
        <f aca="false">J28*(1+IF(K$3&lt;=$O$2,$D28,$D28-($D28-$I$6)*MIN(K$3-$O$2,$Q$2)/$Q$2))</f>
        <v>12414.3678298755</v>
      </c>
      <c r="L28" s="15" t="n">
        <f aca="false">K28*(1+IF(L$3&lt;=$O$2,$D28,$D28-($D28-$I$6)*MIN(L$3-$O$2,$Q$2)/$Q$2))</f>
        <v>12738.978189871</v>
      </c>
      <c r="M28" s="15" t="n">
        <f aca="false">L28*(1+IF(M$3&lt;=$O$2,$D28,$D28-($D28-$I$6)*MIN(M$3-$O$2,$Q$2)/$Q$2))</f>
        <v>13085.7838601725</v>
      </c>
      <c r="N28" s="15" t="n">
        <f aca="false">M28*(1+IF(N$3&lt;=$O$2,$D28,$D28-($D28-$I$6)*MIN(N$3-$O$2,$Q$2)/$Q$2))</f>
        <v>13456.1115434153</v>
      </c>
      <c r="O28" s="15" t="n">
        <f aca="false">SUMPRODUCT(E28:N28,1/(1+$F$6)^$E$3:$N$3)*$E$2</f>
        <v>39946.5285261746</v>
      </c>
      <c r="P28" s="15" t="n">
        <f aca="false">N28*$E$2*(1+$I$6)/($F$6-$I$6)/(1+$F$6)^$N$3</f>
        <v>66983.5932637407</v>
      </c>
      <c r="Q28" s="15" t="n">
        <f aca="false">O28+P28</f>
        <v>106930.121789915</v>
      </c>
      <c r="R28" s="15" t="n">
        <f aca="false">Q28-$G$2+$I$2</f>
        <v>87470.1217899153</v>
      </c>
      <c r="S28" s="40" t="n">
        <f aca="false">R28/$K$2</f>
        <v>155.809903614092</v>
      </c>
      <c r="T28" s="41" t="n">
        <f aca="false">S28-$M$2</f>
        <v>0.000216943506870848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0.0229191780090332</v>
      </c>
      <c r="C29" s="25" t="n">
        <f aca="false">IF(T28&gt;0,D28,C28)</f>
        <v>0.0229198932647705</v>
      </c>
      <c r="D29" s="39" t="n">
        <f aca="false">(B29+C29)/2</f>
        <v>0.0229195356369019</v>
      </c>
      <c r="E29" s="15" t="n">
        <f aca="false">$C$2*(1+IF(E$3&lt;=$O$2,$D29,$D29-($D29-$I$6)*MIN(E$3-$O$2,$Q$2)/$Q$2))</f>
        <v>10802.0302963257</v>
      </c>
      <c r="F29" s="15" t="n">
        <f aca="false">E29*(1+IF(F$3&lt;=$O$2,$D29,$D29-($D29-$I$6)*MIN(F$3-$O$2,$Q$2)/$Q$2))</f>
        <v>11049.6078146532</v>
      </c>
      <c r="G29" s="15" t="n">
        <f aca="false">F29*(1+IF(G$3&lt;=$O$2,$D29,$D29-($D29-$I$6)*MIN(G$3-$O$2,$Q$2)/$Q$2))</f>
        <v>11302.8596947349</v>
      </c>
      <c r="H29" s="15" t="n">
        <f aca="false">G29*(1+IF(H$3&lt;=$O$2,$D29,$D29-($D29-$I$6)*MIN(H$3-$O$2,$Q$2)/$Q$2))</f>
        <v>11561.9159903073</v>
      </c>
      <c r="I29" s="15" t="n">
        <f aca="false">H29*(1+IF(I$3&lt;=$O$2,$D29,$D29-($D29-$I$6)*MIN(I$3-$O$2,$Q$2)/$Q$2))</f>
        <v>11826.909735878</v>
      </c>
      <c r="J29" s="15" t="n">
        <f aca="false">I29*(1+IF(J$3&lt;=$O$2,$D29,$D29-($D29-$I$6)*MIN(J$3-$O$2,$Q$2)/$Q$2))</f>
        <v>12110.7038683158</v>
      </c>
      <c r="K29" s="15" t="n">
        <f aca="false">J29*(1+IF(K$3&lt;=$O$2,$D29,$D29-($D29-$I$6)*MIN(K$3-$O$2,$Q$2)/$Q$2))</f>
        <v>12414.3400614438</v>
      </c>
      <c r="L29" s="15" t="n">
        <f aca="false">K29*(1+IF(L$3&lt;=$O$2,$D29,$D29-($D29-$I$6)*MIN(L$3-$O$2,$Q$2)/$Q$2))</f>
        <v>12738.9479194659</v>
      </c>
      <c r="M29" s="15" t="n">
        <f aca="false">L29*(1+IF(M$3&lt;=$O$2,$D29,$D29-($D29-$I$6)*MIN(M$3-$O$2,$Q$2)/$Q$2))</f>
        <v>13085.751854526</v>
      </c>
      <c r="N29" s="15" t="n">
        <f aca="false">M29*(1+IF(N$3&lt;=$O$2,$D29,$D29-($D29-$I$6)*MIN(N$3-$O$2,$Q$2)/$Q$2))</f>
        <v>13456.0786320091</v>
      </c>
      <c r="O29" s="15" t="n">
        <f aca="false">SUMPRODUCT(E29:N29,1/(1+$F$6)^$E$3:$N$3)*$E$2</f>
        <v>39946.4656287289</v>
      </c>
      <c r="P29" s="15" t="n">
        <f aca="false">N29*$E$2*(1+$I$6)/($F$6-$I$6)/(1+$F$6)^$N$3</f>
        <v>66983.429433035</v>
      </c>
      <c r="Q29" s="15" t="n">
        <f aca="false">O29+P29</f>
        <v>106929.895061764</v>
      </c>
      <c r="R29" s="15" t="n">
        <f aca="false">Q29-$G$2+$I$2</f>
        <v>87469.8950617638</v>
      </c>
      <c r="S29" s="40" t="n">
        <f aca="false">R29/$K$2</f>
        <v>155.809499744854</v>
      </c>
      <c r="T29" s="41" t="n">
        <f aca="false">S29-$M$2</f>
        <v>-0.000186925731100018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0.0229195356369019</v>
      </c>
      <c r="C30" s="25" t="n">
        <f aca="false">IF(T29&gt;0,D29,C29)</f>
        <v>0.0229198932647705</v>
      </c>
      <c r="D30" s="39" t="n">
        <f aca="false">(B30+C30)/2</f>
        <v>0.0229197144508362</v>
      </c>
      <c r="E30" s="15" t="n">
        <f aca="false">$C$2*(1+IF(E$3&lt;=$O$2,$D30,$D30-($D30-$I$6)*MIN(E$3-$O$2,$Q$2)/$Q$2))</f>
        <v>10802.0321846008</v>
      </c>
      <c r="F30" s="15" t="n">
        <f aca="false">E30*(1+IF(F$3&lt;=$O$2,$D30,$D30-($D30-$I$6)*MIN(F$3-$O$2,$Q$2)/$Q$2))</f>
        <v>11049.6116777606</v>
      </c>
      <c r="G30" s="15" t="n">
        <f aca="false">F30*(1+IF(G$3&lt;=$O$2,$D30,$D30-($D30-$I$6)*MIN(G$3-$O$2,$Q$2)/$Q$2))</f>
        <v>11302.8656222075</v>
      </c>
      <c r="H30" s="15" t="n">
        <f aca="false">G30*(1+IF(H$3&lt;=$O$2,$D30,$D30-($D30-$I$6)*MIN(H$3-$O$2,$Q$2)/$Q$2))</f>
        <v>11561.9240747447</v>
      </c>
      <c r="I30" s="15" t="n">
        <f aca="false">H30*(1+IF(I$3&lt;=$O$2,$D30,$D30-($D30-$I$6)*MIN(I$3-$O$2,$Q$2)/$Q$2))</f>
        <v>11826.9200730401</v>
      </c>
      <c r="J30" s="15" t="n">
        <f aca="false">I30*(1+IF(J$3&lt;=$O$2,$D30,$D30-($D30-$I$6)*MIN(J$3-$O$2,$Q$2)/$Q$2))</f>
        <v>12110.716145379</v>
      </c>
      <c r="K30" s="15" t="n">
        <f aca="false">J30*(1+IF(K$3&lt;=$O$2,$D30,$D30-($D30-$I$6)*MIN(K$3-$O$2,$Q$2)/$Q$2))</f>
        <v>12414.3539456531</v>
      </c>
      <c r="L30" s="15" t="n">
        <f aca="false">K30*(1+IF(L$3&lt;=$O$2,$D30,$D30-($D30-$I$6)*MIN(L$3-$O$2,$Q$2)/$Q$2))</f>
        <v>12738.9630546607</v>
      </c>
      <c r="M30" s="15" t="n">
        <f aca="false">L30*(1+IF(M$3&lt;=$O$2,$D30,$D30-($D30-$I$6)*MIN(M$3-$O$2,$Q$2)/$Q$2))</f>
        <v>13085.7678573407</v>
      </c>
      <c r="N30" s="15" t="n">
        <f aca="false">M30*(1+IF(N$3&lt;=$O$2,$D30,$D30-($D30-$I$6)*MIN(N$3-$O$2,$Q$2)/$Q$2))</f>
        <v>13456.0950877034</v>
      </c>
      <c r="O30" s="15" t="n">
        <f aca="false">SUMPRODUCT(E30:N30,1/(1+$F$6)^$E$3:$N$3)*$E$2</f>
        <v>39946.4970774392</v>
      </c>
      <c r="P30" s="15" t="n">
        <f aca="false">N30*$E$2*(1+$I$6)/($F$6-$I$6)/(1+$F$6)^$N$3</f>
        <v>66983.5113483441</v>
      </c>
      <c r="Q30" s="15" t="n">
        <f aca="false">O30+P30</f>
        <v>106930.008425783</v>
      </c>
      <c r="R30" s="15" t="n">
        <f aca="false">Q30-$G$2+$I$2</f>
        <v>87470.0084257833</v>
      </c>
      <c r="S30" s="40" t="n">
        <f aca="false">R30/$K$2</f>
        <v>155.809701679373</v>
      </c>
      <c r="T30" s="41" t="n">
        <f aca="false">S30-$M$2</f>
        <v>1.5008787613624E-005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0.0229195356369019</v>
      </c>
      <c r="C31" s="25" t="n">
        <f aca="false">IF(T30&gt;0,D30,C30)</f>
        <v>0.0229197144508362</v>
      </c>
      <c r="D31" s="39" t="n">
        <f aca="false">(B31+C31)/2</f>
        <v>0.022919625043869</v>
      </c>
      <c r="E31" s="15" t="n">
        <f aca="false">$C$2*(1+IF(E$3&lt;=$O$2,$D31,$D31-($D31-$I$6)*MIN(E$3-$O$2,$Q$2)/$Q$2))</f>
        <v>10802.0312404633</v>
      </c>
      <c r="F31" s="15" t="n">
        <f aca="false">E31*(1+IF(F$3&lt;=$O$2,$D31,$D31-($D31-$I$6)*MIN(F$3-$O$2,$Q$2)/$Q$2))</f>
        <v>11049.6097462068</v>
      </c>
      <c r="G31" s="15" t="n">
        <f aca="false">F31*(1+IF(G$3&lt;=$O$2,$D31,$D31-($D31-$I$6)*MIN(G$3-$O$2,$Q$2)/$Q$2))</f>
        <v>11302.862658471</v>
      </c>
      <c r="H31" s="15" t="n">
        <f aca="false">G31*(1+IF(H$3&lt;=$O$2,$D31,$D31-($D31-$I$6)*MIN(H$3-$O$2,$Q$2)/$Q$2))</f>
        <v>11561.9200325255</v>
      </c>
      <c r="I31" s="15" t="n">
        <f aca="false">H31*(1+IF(I$3&lt;=$O$2,$D31,$D31-($D31-$I$6)*MIN(I$3-$O$2,$Q$2)/$Q$2))</f>
        <v>11826.9149044582</v>
      </c>
      <c r="J31" s="15" t="n">
        <f aca="false">I31*(1+IF(J$3&lt;=$O$2,$D31,$D31-($D31-$I$6)*MIN(J$3-$O$2,$Q$2)/$Q$2))</f>
        <v>12110.7100068461</v>
      </c>
      <c r="K31" s="15" t="n">
        <f aca="false">J31*(1+IF(K$3&lt;=$O$2,$D31,$D31-($D31-$I$6)*MIN(K$3-$O$2,$Q$2)/$Q$2))</f>
        <v>12414.3470035468</v>
      </c>
      <c r="L31" s="15" t="n">
        <f aca="false">K31*(1+IF(L$3&lt;=$O$2,$D31,$D31-($D31-$I$6)*MIN(L$3-$O$2,$Q$2)/$Q$2))</f>
        <v>12738.9554870613</v>
      </c>
      <c r="M31" s="15" t="n">
        <f aca="false">L31*(1+IF(M$3&lt;=$O$2,$D31,$D31-($D31-$I$6)*MIN(M$3-$O$2,$Q$2)/$Q$2))</f>
        <v>13085.7598559312</v>
      </c>
      <c r="N31" s="15" t="n">
        <f aca="false">M31*(1+IF(N$3&lt;=$O$2,$D31,$D31-($D31-$I$6)*MIN(N$3-$O$2,$Q$2)/$Q$2))</f>
        <v>13456.0868598541</v>
      </c>
      <c r="O31" s="15" t="n">
        <f aca="false">SUMPRODUCT(E31:N31,1/(1+$F$6)^$E$3:$N$3)*$E$2</f>
        <v>39946.4813530809</v>
      </c>
      <c r="P31" s="15" t="n">
        <f aca="false">N31*$E$2*(1+$I$6)/($F$6-$I$6)/(1+$F$6)^$N$3</f>
        <v>66983.4703906786</v>
      </c>
      <c r="Q31" s="15" t="n">
        <f aca="false">O31+P31</f>
        <v>106929.951743759</v>
      </c>
      <c r="R31" s="15" t="n">
        <f aca="false">Q31-$G$2+$I$2</f>
        <v>87469.9517437595</v>
      </c>
      <c r="S31" s="40" t="n">
        <f aca="false">R31/$K$2</f>
        <v>155.809600712089</v>
      </c>
      <c r="T31" s="41" t="n">
        <f aca="false">S31-$M$2</f>
        <v>-8.59584968395666E-005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0.022919625043869</v>
      </c>
      <c r="C32" s="25" t="n">
        <f aca="false">IF(T31&gt;0,D31,C31)</f>
        <v>0.0229197144508362</v>
      </c>
      <c r="D32" s="39" t="n">
        <f aca="false">(B32+C32)/2</f>
        <v>0.0229196697473526</v>
      </c>
      <c r="E32" s="15" t="n">
        <f aca="false">$C$2*(1+IF(E$3&lt;=$O$2,$D32,$D32-($D32-$I$6)*MIN(E$3-$O$2,$Q$2)/$Q$2))</f>
        <v>10802.031712532</v>
      </c>
      <c r="F32" s="15" t="n">
        <f aca="false">E32*(1+IF(F$3&lt;=$O$2,$D32,$D32-($D32-$I$6)*MIN(F$3-$O$2,$Q$2)/$Q$2))</f>
        <v>11049.6107119837</v>
      </c>
      <c r="G32" s="15" t="n">
        <f aca="false">F32*(1+IF(G$3&lt;=$O$2,$D32,$D32-($D32-$I$6)*MIN(G$3-$O$2,$Q$2)/$Q$2))</f>
        <v>11302.8641403392</v>
      </c>
      <c r="H32" s="15" t="n">
        <f aca="false">G32*(1+IF(H$3&lt;=$O$2,$D32,$D32-($D32-$I$6)*MIN(H$3-$O$2,$Q$2)/$Q$2))</f>
        <v>11561.922053635</v>
      </c>
      <c r="I32" s="15" t="n">
        <f aca="false">H32*(1+IF(I$3&lt;=$O$2,$D32,$D32-($D32-$I$6)*MIN(I$3-$O$2,$Q$2)/$Q$2))</f>
        <v>11826.9174887489</v>
      </c>
      <c r="J32" s="15" t="n">
        <f aca="false">I32*(1+IF(J$3&lt;=$O$2,$D32,$D32-($D32-$I$6)*MIN(J$3-$O$2,$Q$2)/$Q$2))</f>
        <v>12110.7130761123</v>
      </c>
      <c r="K32" s="15" t="n">
        <f aca="false">J32*(1+IF(K$3&lt;=$O$2,$D32,$D32-($D32-$I$6)*MIN(K$3-$O$2,$Q$2)/$Q$2))</f>
        <v>12414.3504745995</v>
      </c>
      <c r="L32" s="15" t="n">
        <f aca="false">K32*(1+IF(L$3&lt;=$O$2,$D32,$D32-($D32-$I$6)*MIN(L$3-$O$2,$Q$2)/$Q$2))</f>
        <v>12738.9592708605</v>
      </c>
      <c r="M32" s="15" t="n">
        <f aca="false">L32*(1+IF(M$3&lt;=$O$2,$D32,$D32-($D32-$I$6)*MIN(M$3-$O$2,$Q$2)/$Q$2))</f>
        <v>13085.7638566354</v>
      </c>
      <c r="N32" s="15" t="n">
        <f aca="false">M32*(1+IF(N$3&lt;=$O$2,$D32,$D32-($D32-$I$6)*MIN(N$3-$O$2,$Q$2)/$Q$2))</f>
        <v>13456.0909737782</v>
      </c>
      <c r="O32" s="15" t="n">
        <f aca="false">SUMPRODUCT(E32:N32,1/(1+$F$6)^$E$3:$N$3)*$E$2</f>
        <v>39946.4892152593</v>
      </c>
      <c r="P32" s="15" t="n">
        <f aca="false">N32*$E$2*(1+$I$6)/($F$6-$I$6)/(1+$F$6)^$N$3</f>
        <v>66983.4908695086</v>
      </c>
      <c r="Q32" s="15" t="n">
        <f aca="false">O32+P32</f>
        <v>106929.980084768</v>
      </c>
      <c r="R32" s="15" t="n">
        <f aca="false">Q32-$G$2+$I$2</f>
        <v>87469.9800847679</v>
      </c>
      <c r="S32" s="40" t="n">
        <f aca="false">R32/$K$2</f>
        <v>155.809651195725</v>
      </c>
      <c r="T32" s="41" t="n">
        <f aca="false">S32-$M$2</f>
        <v>-3.54748608515365E-005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0.0229196697473526</v>
      </c>
      <c r="C33" s="25" t="n">
        <f aca="false">IF(T32&gt;0,D32,C32)</f>
        <v>0.0229197144508362</v>
      </c>
      <c r="D33" s="39" t="n">
        <f aca="false">(B33+C33)/2</f>
        <v>0.0229196920990944</v>
      </c>
      <c r="E33" s="15" t="n">
        <f aca="false">$C$2*(1+IF(E$3&lt;=$O$2,$D33,$D33-($D33-$I$6)*MIN(E$3-$O$2,$Q$2)/$Q$2))</f>
        <v>10802.0319485664</v>
      </c>
      <c r="F33" s="15" t="n">
        <f aca="false">E33*(1+IF(F$3&lt;=$O$2,$D33,$D33-($D33-$I$6)*MIN(F$3-$O$2,$Q$2)/$Q$2))</f>
        <v>11049.6111948722</v>
      </c>
      <c r="G33" s="15" t="n">
        <f aca="false">F33*(1+IF(G$3&lt;=$O$2,$D33,$D33-($D33-$I$6)*MIN(G$3-$O$2,$Q$2)/$Q$2))</f>
        <v>11302.8648812733</v>
      </c>
      <c r="H33" s="15" t="n">
        <f aca="false">G33*(1+IF(H$3&lt;=$O$2,$D33,$D33-($D33-$I$6)*MIN(H$3-$O$2,$Q$2)/$Q$2))</f>
        <v>11561.9230641898</v>
      </c>
      <c r="I33" s="15" t="n">
        <f aca="false">H33*(1+IF(I$3&lt;=$O$2,$D33,$D33-($D33-$I$6)*MIN(I$3-$O$2,$Q$2)/$Q$2))</f>
        <v>11826.9187808944</v>
      </c>
      <c r="J33" s="15" t="n">
        <f aca="false">I33*(1+IF(J$3&lt;=$O$2,$D33,$D33-($D33-$I$6)*MIN(J$3-$O$2,$Q$2)/$Q$2))</f>
        <v>12110.7146107456</v>
      </c>
      <c r="K33" s="15" t="n">
        <f aca="false">J33*(1+IF(K$3&lt;=$O$2,$D33,$D33-($D33-$I$6)*MIN(K$3-$O$2,$Q$2)/$Q$2))</f>
        <v>12414.3522101262</v>
      </c>
      <c r="L33" s="15" t="n">
        <f aca="false">K33*(1+IF(L$3&lt;=$O$2,$D33,$D33-($D33-$I$6)*MIN(L$3-$O$2,$Q$2)/$Q$2))</f>
        <v>12738.9611627605</v>
      </c>
      <c r="M33" s="15" t="n">
        <f aca="false">L33*(1+IF(M$3&lt;=$O$2,$D33,$D33-($D33-$I$6)*MIN(M$3-$O$2,$Q$2)/$Q$2))</f>
        <v>13085.7658569879</v>
      </c>
      <c r="N33" s="15" t="n">
        <f aca="false">M33*(1+IF(N$3&lt;=$O$2,$D33,$D33-($D33-$I$6)*MIN(N$3-$O$2,$Q$2)/$Q$2))</f>
        <v>13456.0930307407</v>
      </c>
      <c r="O33" s="15" t="n">
        <f aca="false">SUMPRODUCT(E33:N33,1/(1+$F$6)^$E$3:$N$3)*$E$2</f>
        <v>39946.493146349</v>
      </c>
      <c r="P33" s="15" t="n">
        <f aca="false">N33*$E$2*(1+$I$6)/($F$6-$I$6)/(1+$F$6)^$N$3</f>
        <v>66983.5011089257</v>
      </c>
      <c r="Q33" s="15" t="n">
        <f aca="false">O33+P33</f>
        <v>106929.994255275</v>
      </c>
      <c r="R33" s="15" t="n">
        <f aca="false">Q33-$G$2+$I$2</f>
        <v>87469.9942552747</v>
      </c>
      <c r="S33" s="40" t="n">
        <f aca="false">R33/$K$2</f>
        <v>155.809676437547</v>
      </c>
      <c r="T33" s="41" t="n">
        <f aca="false">S33-$M$2</f>
        <v>-1.0233038210572E-005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0.0229196920990944</v>
      </c>
      <c r="C34" s="25" t="n">
        <f aca="false">IF(T33&gt;0,D33,C33)</f>
        <v>0.0229197144508362</v>
      </c>
      <c r="D34" s="39" t="n">
        <f aca="false">(B34+C34)/2</f>
        <v>0.0229197032749653</v>
      </c>
      <c r="E34" s="15" t="n">
        <f aca="false">$C$2*(1+IF(E$3&lt;=$O$2,$D34,$D34-($D34-$I$6)*MIN(E$3-$O$2,$Q$2)/$Q$2))</f>
        <v>10802.0320665836</v>
      </c>
      <c r="F34" s="15" t="n">
        <f aca="false">E34*(1+IF(F$3&lt;=$O$2,$D34,$D34-($D34-$I$6)*MIN(F$3-$O$2,$Q$2)/$Q$2))</f>
        <v>11049.6114363164</v>
      </c>
      <c r="G34" s="15" t="n">
        <f aca="false">F34*(1+IF(G$3&lt;=$O$2,$D34,$D34-($D34-$I$6)*MIN(G$3-$O$2,$Q$2)/$Q$2))</f>
        <v>11302.8652517404</v>
      </c>
      <c r="H34" s="15" t="n">
        <f aca="false">G34*(1+IF(H$3&lt;=$O$2,$D34,$D34-($D34-$I$6)*MIN(H$3-$O$2,$Q$2)/$Q$2))</f>
        <v>11561.9235694672</v>
      </c>
      <c r="I34" s="15" t="n">
        <f aca="false">H34*(1+IF(I$3&lt;=$O$2,$D34,$D34-($D34-$I$6)*MIN(I$3-$O$2,$Q$2)/$Q$2))</f>
        <v>11826.9194269673</v>
      </c>
      <c r="J34" s="15" t="n">
        <f aca="false">I34*(1+IF(J$3&lt;=$O$2,$D34,$D34-($D34-$I$6)*MIN(J$3-$O$2,$Q$2)/$Q$2))</f>
        <v>12110.7153780623</v>
      </c>
      <c r="K34" s="15" t="n">
        <f aca="false">J34*(1+IF(K$3&lt;=$O$2,$D34,$D34-($D34-$I$6)*MIN(K$3-$O$2,$Q$2)/$Q$2))</f>
        <v>12414.3530778896</v>
      </c>
      <c r="L34" s="15" t="n">
        <f aca="false">K34*(1+IF(L$3&lt;=$O$2,$D34,$D34-($D34-$I$6)*MIN(L$3-$O$2,$Q$2)/$Q$2))</f>
        <v>12738.9621087105</v>
      </c>
      <c r="M34" s="15" t="n">
        <f aca="false">L34*(1+IF(M$3&lt;=$O$2,$D34,$D34-($D34-$I$6)*MIN(M$3-$O$2,$Q$2)/$Q$2))</f>
        <v>13085.7668571643</v>
      </c>
      <c r="N34" s="15" t="n">
        <f aca="false">M34*(1+IF(N$3&lt;=$O$2,$D34,$D34-($D34-$I$6)*MIN(N$3-$O$2,$Q$2)/$Q$2))</f>
        <v>13456.094059222</v>
      </c>
      <c r="O34" s="15" t="n">
        <f aca="false">SUMPRODUCT(E34:N34,1/(1+$F$6)^$E$3:$N$3)*$E$2</f>
        <v>39946.4951118941</v>
      </c>
      <c r="P34" s="15" t="n">
        <f aca="false">N34*$E$2*(1+$I$6)/($F$6-$I$6)/(1+$F$6)^$N$3</f>
        <v>66983.5062286347</v>
      </c>
      <c r="Q34" s="15" t="n">
        <f aca="false">O34+P34</f>
        <v>106930.001340529</v>
      </c>
      <c r="R34" s="15" t="n">
        <f aca="false">Q34-$G$2+$I$2</f>
        <v>87470.0013405288</v>
      </c>
      <c r="S34" s="40" t="n">
        <f aca="false">R34/$K$2</f>
        <v>155.80968905846</v>
      </c>
      <c r="T34" s="41" t="n">
        <f aca="false">S34-$M$2</f>
        <v>2.3878743604655E-006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0.0229196920990944</v>
      </c>
      <c r="C35" s="25" t="n">
        <f aca="false">IF(T34&gt;0,D34,C34)</f>
        <v>0.0229197032749653</v>
      </c>
      <c r="D35" s="39" t="n">
        <f aca="false">(B35+C35)/2</f>
        <v>0.0229196976870298</v>
      </c>
      <c r="E35" s="15" t="n">
        <f aca="false">$C$2*(1+IF(E$3&lt;=$O$2,$D35,$D35-($D35-$I$6)*MIN(E$3-$O$2,$Q$2)/$Q$2))</f>
        <v>10802.032007575</v>
      </c>
      <c r="F35" s="15" t="n">
        <f aca="false">E35*(1+IF(F$3&lt;=$O$2,$D35,$D35-($D35-$I$6)*MIN(F$3-$O$2,$Q$2)/$Q$2))</f>
        <v>11049.6113155943</v>
      </c>
      <c r="G35" s="15" t="n">
        <f aca="false">F35*(1+IF(G$3&lt;=$O$2,$D35,$D35-($D35-$I$6)*MIN(G$3-$O$2,$Q$2)/$Q$2))</f>
        <v>11302.8650665069</v>
      </c>
      <c r="H35" s="15" t="n">
        <f aca="false">G35*(1+IF(H$3&lt;=$O$2,$D35,$D35-($D35-$I$6)*MIN(H$3-$O$2,$Q$2)/$Q$2))</f>
        <v>11561.9233168285</v>
      </c>
      <c r="I35" s="15" t="n">
        <f aca="false">H35*(1+IF(I$3&lt;=$O$2,$D35,$D35-($D35-$I$6)*MIN(I$3-$O$2,$Q$2)/$Q$2))</f>
        <v>11826.9191039308</v>
      </c>
      <c r="J35" s="15" t="n">
        <f aca="false">I35*(1+IF(J$3&lt;=$O$2,$D35,$D35-($D35-$I$6)*MIN(J$3-$O$2,$Q$2)/$Q$2))</f>
        <v>12110.7149944039</v>
      </c>
      <c r="K35" s="15" t="n">
        <f aca="false">J35*(1+IF(K$3&lt;=$O$2,$D35,$D35-($D35-$I$6)*MIN(K$3-$O$2,$Q$2)/$Q$2))</f>
        <v>12414.3526440079</v>
      </c>
      <c r="L35" s="15" t="n">
        <f aca="false">K35*(1+IF(L$3&lt;=$O$2,$D35,$D35-($D35-$I$6)*MIN(L$3-$O$2,$Q$2)/$Q$2))</f>
        <v>12738.9616357355</v>
      </c>
      <c r="M35" s="15" t="n">
        <f aca="false">L35*(1+IF(M$3&lt;=$O$2,$D35,$D35-($D35-$I$6)*MIN(M$3-$O$2,$Q$2)/$Q$2))</f>
        <v>13085.7663570761</v>
      </c>
      <c r="N35" s="15" t="n">
        <f aca="false">M35*(1+IF(N$3&lt;=$O$2,$D35,$D35-($D35-$I$6)*MIN(N$3-$O$2,$Q$2)/$Q$2))</f>
        <v>13456.0935449813</v>
      </c>
      <c r="O35" s="15" t="n">
        <f aca="false">SUMPRODUCT(E35:N35,1/(1+$F$6)^$E$3:$N$3)*$E$2</f>
        <v>39946.4941291215</v>
      </c>
      <c r="P35" s="15" t="n">
        <f aca="false">N35*$E$2*(1+$I$6)/($F$6-$I$6)/(1+$F$6)^$N$3</f>
        <v>66983.5036687802</v>
      </c>
      <c r="Q35" s="15" t="n">
        <f aca="false">O35+P35</f>
        <v>106929.997797902</v>
      </c>
      <c r="R35" s="15" t="n">
        <f aca="false">Q35-$G$2+$I$2</f>
        <v>87469.9977979017</v>
      </c>
      <c r="S35" s="40" t="n">
        <f aca="false">R35/$K$2</f>
        <v>155.809682748004</v>
      </c>
      <c r="T35" s="41" t="n">
        <f aca="false">S35-$M$2</f>
        <v>-3.92258201031837E-006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0.0229196976870298</v>
      </c>
      <c r="C36" s="25" t="n">
        <f aca="false">IF(T35&gt;0,D35,C35)</f>
        <v>0.0229197032749653</v>
      </c>
      <c r="D36" s="39" t="n">
        <f aca="false">(B36+C36)/2</f>
        <v>0.0229197004809976</v>
      </c>
      <c r="E36" s="15" t="n">
        <f aca="false">$C$2*(1+IF(E$3&lt;=$O$2,$D36,$D36-($D36-$I$6)*MIN(E$3-$O$2,$Q$2)/$Q$2))</f>
        <v>10802.0320370793</v>
      </c>
      <c r="F36" s="15" t="n">
        <f aca="false">E36*(1+IF(F$3&lt;=$O$2,$D36,$D36-($D36-$I$6)*MIN(F$3-$O$2,$Q$2)/$Q$2))</f>
        <v>11049.6113759553</v>
      </c>
      <c r="G36" s="15" t="n">
        <f aca="false">F36*(1+IF(G$3&lt;=$O$2,$D36,$D36-($D36-$I$6)*MIN(G$3-$O$2,$Q$2)/$Q$2))</f>
        <v>11302.8651591237</v>
      </c>
      <c r="H36" s="15" t="n">
        <f aca="false">G36*(1+IF(H$3&lt;=$O$2,$D36,$D36-($D36-$I$6)*MIN(H$3-$O$2,$Q$2)/$Q$2))</f>
        <v>11561.9234431479</v>
      </c>
      <c r="I36" s="15" t="n">
        <f aca="false">H36*(1+IF(I$3&lt;=$O$2,$D36,$D36-($D36-$I$6)*MIN(I$3-$O$2,$Q$2)/$Q$2))</f>
        <v>11826.919265449</v>
      </c>
      <c r="J36" s="15" t="n">
        <f aca="false">I36*(1+IF(J$3&lt;=$O$2,$D36,$D36-($D36-$I$6)*MIN(J$3-$O$2,$Q$2)/$Q$2))</f>
        <v>12110.7151862331</v>
      </c>
      <c r="K36" s="15" t="n">
        <f aca="false">J36*(1+IF(K$3&lt;=$O$2,$D36,$D36-($D36-$I$6)*MIN(K$3-$O$2,$Q$2)/$Q$2))</f>
        <v>12414.3528609487</v>
      </c>
      <c r="L36" s="15" t="n">
        <f aca="false">K36*(1+IF(L$3&lt;=$O$2,$D36,$D36-($D36-$I$6)*MIN(L$3-$O$2,$Q$2)/$Q$2))</f>
        <v>12738.961872223</v>
      </c>
      <c r="M36" s="15" t="n">
        <f aca="false">L36*(1+IF(M$3&lt;=$O$2,$D36,$D36-($D36-$I$6)*MIN(M$3-$O$2,$Q$2)/$Q$2))</f>
        <v>13085.7666071202</v>
      </c>
      <c r="N36" s="15" t="n">
        <f aca="false">M36*(1+IF(N$3&lt;=$O$2,$D36,$D36-($D36-$I$6)*MIN(N$3-$O$2,$Q$2)/$Q$2))</f>
        <v>13456.0938021017</v>
      </c>
      <c r="O36" s="15" t="n">
        <f aca="false">SUMPRODUCT(E36:N36,1/(1+$F$6)^$E$3:$N$3)*$E$2</f>
        <v>39946.4946205078</v>
      </c>
      <c r="P36" s="15" t="n">
        <f aca="false">N36*$E$2*(1+$I$6)/($F$6-$I$6)/(1+$F$6)^$N$3</f>
        <v>66983.5049487074</v>
      </c>
      <c r="Q36" s="15" t="n">
        <f aca="false">O36+P36</f>
        <v>106929.999569215</v>
      </c>
      <c r="R36" s="15" t="n">
        <f aca="false">Q36-$G$2+$I$2</f>
        <v>87469.9995692152</v>
      </c>
      <c r="S36" s="40" t="n">
        <f aca="false">R36/$K$2</f>
        <v>155.809685903232</v>
      </c>
      <c r="T36" s="41" t="n">
        <f aca="false">S36-$M$2</f>
        <v>-7.67353867558995E-007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0.0229197004809976</v>
      </c>
      <c r="C37" s="25" t="n">
        <f aca="false">IF(T36&gt;0,D36,C36)</f>
        <v>0.0229197032749653</v>
      </c>
      <c r="D37" s="39" t="n">
        <f aca="false">(B37+C37)/2</f>
        <v>0.0229197018779814</v>
      </c>
      <c r="E37" s="15" t="n">
        <f aca="false">$C$2*(1+IF(E$3&lt;=$O$2,$D37,$D37-($D37-$I$6)*MIN(E$3-$O$2,$Q$2)/$Q$2))</f>
        <v>10802.0320518315</v>
      </c>
      <c r="F37" s="15" t="n">
        <f aca="false">E37*(1+IF(F$3&lt;=$O$2,$D37,$D37-($D37-$I$6)*MIN(F$3-$O$2,$Q$2)/$Q$2))</f>
        <v>11049.6114061359</v>
      </c>
      <c r="G37" s="15" t="n">
        <f aca="false">F37*(1+IF(G$3&lt;=$O$2,$D37,$D37-($D37-$I$6)*MIN(G$3-$O$2,$Q$2)/$Q$2))</f>
        <v>11302.865205432</v>
      </c>
      <c r="H37" s="15" t="n">
        <f aca="false">G37*(1+IF(H$3&lt;=$O$2,$D37,$D37-($D37-$I$6)*MIN(H$3-$O$2,$Q$2)/$Q$2))</f>
        <v>11561.9235063076</v>
      </c>
      <c r="I37" s="15" t="n">
        <f aca="false">H37*(1+IF(I$3&lt;=$O$2,$D37,$D37-($D37-$I$6)*MIN(I$3-$O$2,$Q$2)/$Q$2))</f>
        <v>11826.9193462081</v>
      </c>
      <c r="J37" s="15" t="n">
        <f aca="false">I37*(1+IF(J$3&lt;=$O$2,$D37,$D37-($D37-$I$6)*MIN(J$3-$O$2,$Q$2)/$Q$2))</f>
        <v>12110.7152821477</v>
      </c>
      <c r="K37" s="15" t="n">
        <f aca="false">J37*(1+IF(K$3&lt;=$O$2,$D37,$D37-($D37-$I$6)*MIN(K$3-$O$2,$Q$2)/$Q$2))</f>
        <v>12414.3529694192</v>
      </c>
      <c r="L37" s="15" t="n">
        <f aca="false">K37*(1+IF(L$3&lt;=$O$2,$D37,$D37-($D37-$I$6)*MIN(L$3-$O$2,$Q$2)/$Q$2))</f>
        <v>12738.9619904668</v>
      </c>
      <c r="M37" s="15" t="n">
        <f aca="false">L37*(1+IF(M$3&lt;=$O$2,$D37,$D37-($D37-$I$6)*MIN(M$3-$O$2,$Q$2)/$Q$2))</f>
        <v>13085.7667321422</v>
      </c>
      <c r="N37" s="15" t="n">
        <f aca="false">M37*(1+IF(N$3&lt;=$O$2,$D37,$D37-($D37-$I$6)*MIN(N$3-$O$2,$Q$2)/$Q$2))</f>
        <v>13456.0939306618</v>
      </c>
      <c r="O37" s="15" t="n">
        <f aca="false">SUMPRODUCT(E37:N37,1/(1+$F$6)^$E$3:$N$3)*$E$2</f>
        <v>39946.4948662009</v>
      </c>
      <c r="P37" s="15" t="n">
        <f aca="false">N37*$E$2*(1+$I$6)/($F$6-$I$6)/(1+$F$6)^$N$3</f>
        <v>66983.5055886711</v>
      </c>
      <c r="Q37" s="15" t="n">
        <f aca="false">O37+P37</f>
        <v>106930.000454872</v>
      </c>
      <c r="R37" s="15" t="n">
        <f aca="false">Q37-$G$2+$I$2</f>
        <v>87470.000454872</v>
      </c>
      <c r="S37" s="40" t="n">
        <f aca="false">R37/$K$2</f>
        <v>155.809687480846</v>
      </c>
      <c r="T37" s="41" t="n">
        <f aca="false">S37-$M$2</f>
        <v>8.10260246453254E-007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0.0229197004809976</v>
      </c>
      <c r="C38" s="25" t="n">
        <f aca="false">IF(T37&gt;0,D37,C37)</f>
        <v>0.0229197018779814</v>
      </c>
      <c r="D38" s="39" t="n">
        <f aca="false">(B38+C38)/2</f>
        <v>0.0229197011794895</v>
      </c>
      <c r="E38" s="15" t="n">
        <f aca="false">$C$2*(1+IF(E$3&lt;=$O$2,$D38,$D38-($D38-$I$6)*MIN(E$3-$O$2,$Q$2)/$Q$2))</f>
        <v>10802.0320444554</v>
      </c>
      <c r="F38" s="15" t="n">
        <f aca="false">E38*(1+IF(F$3&lt;=$O$2,$D38,$D38-($D38-$I$6)*MIN(F$3-$O$2,$Q$2)/$Q$2))</f>
        <v>11049.6113910456</v>
      </c>
      <c r="G38" s="15" t="n">
        <f aca="false">F38*(1+IF(G$3&lt;=$O$2,$D38,$D38-($D38-$I$6)*MIN(G$3-$O$2,$Q$2)/$Q$2))</f>
        <v>11302.8651822778</v>
      </c>
      <c r="H38" s="15" t="n">
        <f aca="false">G38*(1+IF(H$3&lt;=$O$2,$D38,$D38-($D38-$I$6)*MIN(H$3-$O$2,$Q$2)/$Q$2))</f>
        <v>11561.9234747277</v>
      </c>
      <c r="I38" s="15" t="n">
        <f aca="false">H38*(1+IF(I$3&lt;=$O$2,$D38,$D38-($D38-$I$6)*MIN(I$3-$O$2,$Q$2)/$Q$2))</f>
        <v>11826.9193058286</v>
      </c>
      <c r="J38" s="15" t="n">
        <f aca="false">I38*(1+IF(J$3&lt;=$O$2,$D38,$D38-($D38-$I$6)*MIN(J$3-$O$2,$Q$2)/$Q$2))</f>
        <v>12110.7152341904</v>
      </c>
      <c r="K38" s="15" t="n">
        <f aca="false">J38*(1+IF(K$3&lt;=$O$2,$D38,$D38-($D38-$I$6)*MIN(K$3-$O$2,$Q$2)/$Q$2))</f>
        <v>12414.352915184</v>
      </c>
      <c r="L38" s="15" t="n">
        <f aca="false">K38*(1+IF(L$3&lt;=$O$2,$D38,$D38-($D38-$I$6)*MIN(L$3-$O$2,$Q$2)/$Q$2))</f>
        <v>12738.9619313449</v>
      </c>
      <c r="M38" s="15" t="n">
        <f aca="false">L38*(1+IF(M$3&lt;=$O$2,$D38,$D38-($D38-$I$6)*MIN(M$3-$O$2,$Q$2)/$Q$2))</f>
        <v>13085.7666696312</v>
      </c>
      <c r="N38" s="15" t="n">
        <f aca="false">M38*(1+IF(N$3&lt;=$O$2,$D38,$D38-($D38-$I$6)*MIN(N$3-$O$2,$Q$2)/$Q$2))</f>
        <v>13456.0938663818</v>
      </c>
      <c r="O38" s="15" t="n">
        <f aca="false">SUMPRODUCT(E38:N38,1/(1+$F$6)^$E$3:$N$3)*$E$2</f>
        <v>39946.4947433544</v>
      </c>
      <c r="P38" s="15" t="n">
        <f aca="false">N38*$E$2*(1+$I$6)/($F$6-$I$6)/(1+$F$6)^$N$3</f>
        <v>66983.5052686892</v>
      </c>
      <c r="Q38" s="15" t="n">
        <f aca="false">O38+P38</f>
        <v>106930.000012044</v>
      </c>
      <c r="R38" s="15" t="n">
        <f aca="false">Q38-$G$2+$I$2</f>
        <v>87470.0000120436</v>
      </c>
      <c r="S38" s="40" t="n">
        <f aca="false">R38/$K$2</f>
        <v>155.809686692039</v>
      </c>
      <c r="T38" s="41" t="n">
        <f aca="false">S38-$M$2</f>
        <v>2.14531610254198E-008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0.0229197004809976</v>
      </c>
      <c r="C39" s="25" t="n">
        <f aca="false">IF(T38&gt;0,D38,C38)</f>
        <v>0.0229197011794895</v>
      </c>
      <c r="D39" s="39" t="n">
        <f aca="false">(B39+C39)/2</f>
        <v>0.0229197008302435</v>
      </c>
      <c r="E39" s="15" t="n">
        <f aca="false">$C$2*(1+IF(E$3&lt;=$O$2,$D39,$D39-($D39-$I$6)*MIN(E$3-$O$2,$Q$2)/$Q$2))</f>
        <v>10802.0320407674</v>
      </c>
      <c r="F39" s="15" t="n">
        <f aca="false">E39*(1+IF(F$3&lt;=$O$2,$D39,$D39-($D39-$I$6)*MIN(F$3-$O$2,$Q$2)/$Q$2))</f>
        <v>11049.6113835005</v>
      </c>
      <c r="G39" s="15" t="n">
        <f aca="false">F39*(1+IF(G$3&lt;=$O$2,$D39,$D39-($D39-$I$6)*MIN(G$3-$O$2,$Q$2)/$Q$2))</f>
        <v>11302.8651707007</v>
      </c>
      <c r="H39" s="15" t="n">
        <f aca="false">G39*(1+IF(H$3&lt;=$O$2,$D39,$D39-($D39-$I$6)*MIN(H$3-$O$2,$Q$2)/$Q$2))</f>
        <v>11561.9234589378</v>
      </c>
      <c r="I39" s="15" t="n">
        <f aca="false">H39*(1+IF(I$3&lt;=$O$2,$D39,$D39-($D39-$I$6)*MIN(I$3-$O$2,$Q$2)/$Q$2))</f>
        <v>11826.9192856388</v>
      </c>
      <c r="J39" s="15" t="n">
        <f aca="false">I39*(1+IF(J$3&lt;=$O$2,$D39,$D39-($D39-$I$6)*MIN(J$3-$O$2,$Q$2)/$Q$2))</f>
        <v>12110.7152102118</v>
      </c>
      <c r="K39" s="15" t="n">
        <f aca="false">J39*(1+IF(K$3&lt;=$O$2,$D39,$D39-($D39-$I$6)*MIN(K$3-$O$2,$Q$2)/$Q$2))</f>
        <v>12414.3528880664</v>
      </c>
      <c r="L39" s="15" t="n">
        <f aca="false">K39*(1+IF(L$3&lt;=$O$2,$D39,$D39-($D39-$I$6)*MIN(L$3-$O$2,$Q$2)/$Q$2))</f>
        <v>12738.9619017839</v>
      </c>
      <c r="M39" s="15" t="n">
        <f aca="false">L39*(1+IF(M$3&lt;=$O$2,$D39,$D39-($D39-$I$6)*MIN(M$3-$O$2,$Q$2)/$Q$2))</f>
        <v>13085.7666383757</v>
      </c>
      <c r="N39" s="15" t="n">
        <f aca="false">M39*(1+IF(N$3&lt;=$O$2,$D39,$D39-($D39-$I$6)*MIN(N$3-$O$2,$Q$2)/$Q$2))</f>
        <v>13456.0938342417</v>
      </c>
      <c r="O39" s="15" t="n">
        <f aca="false">SUMPRODUCT(E39:N39,1/(1+$F$6)^$E$3:$N$3)*$E$2</f>
        <v>39946.4946819311</v>
      </c>
      <c r="P39" s="15" t="n">
        <f aca="false">N39*$E$2*(1+$I$6)/($F$6-$I$6)/(1+$F$6)^$N$3</f>
        <v>66983.5051086983</v>
      </c>
      <c r="Q39" s="15" t="n">
        <f aca="false">O39+P39</f>
        <v>106929.999790629</v>
      </c>
      <c r="R39" s="15" t="n">
        <f aca="false">Q39-$G$2+$I$2</f>
        <v>87469.9997906294</v>
      </c>
      <c r="S39" s="40" t="n">
        <f aca="false">R39/$K$2</f>
        <v>155.809686297635</v>
      </c>
      <c r="T39" s="41" t="n">
        <f aca="false">S39-$M$2</f>
        <v>-3.72950353266788E-007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0.0229197008302435</v>
      </c>
      <c r="C40" s="25" t="n">
        <f aca="false">IF(T39&gt;0,D39,C39)</f>
        <v>0.0229197011794895</v>
      </c>
      <c r="D40" s="39" t="n">
        <f aca="false">(B40+C40)/2</f>
        <v>0.0229197010048665</v>
      </c>
      <c r="E40" s="15" t="n">
        <f aca="false">$C$2*(1+IF(E$3&lt;=$O$2,$D40,$D40-($D40-$I$6)*MIN(E$3-$O$2,$Q$2)/$Q$2))</f>
        <v>10802.0320426114</v>
      </c>
      <c r="F40" s="15" t="n">
        <f aca="false">E40*(1+IF(F$3&lt;=$O$2,$D40,$D40-($D40-$I$6)*MIN(F$3-$O$2,$Q$2)/$Q$2))</f>
        <v>11049.611387273</v>
      </c>
      <c r="G40" s="15" t="n">
        <f aca="false">F40*(1+IF(G$3&lt;=$O$2,$D40,$D40-($D40-$I$6)*MIN(G$3-$O$2,$Q$2)/$Q$2))</f>
        <v>11302.8651764893</v>
      </c>
      <c r="H40" s="15" t="n">
        <f aca="false">G40*(1+IF(H$3&lt;=$O$2,$D40,$D40-($D40-$I$6)*MIN(H$3-$O$2,$Q$2)/$Q$2))</f>
        <v>11561.9234668327</v>
      </c>
      <c r="I40" s="15" t="n">
        <f aca="false">H40*(1+IF(I$3&lt;=$O$2,$D40,$D40-($D40-$I$6)*MIN(I$3-$O$2,$Q$2)/$Q$2))</f>
        <v>11826.9192957337</v>
      </c>
      <c r="J40" s="15" t="n">
        <f aca="false">I40*(1+IF(J$3&lt;=$O$2,$D40,$D40-($D40-$I$6)*MIN(J$3-$O$2,$Q$2)/$Q$2))</f>
        <v>12110.7152222011</v>
      </c>
      <c r="K40" s="15" t="n">
        <f aca="false">J40*(1+IF(K$3&lt;=$O$2,$D40,$D40-($D40-$I$6)*MIN(K$3-$O$2,$Q$2)/$Q$2))</f>
        <v>12414.3529016252</v>
      </c>
      <c r="L40" s="15" t="n">
        <f aca="false">K40*(1+IF(L$3&lt;=$O$2,$D40,$D40-($D40-$I$6)*MIN(L$3-$O$2,$Q$2)/$Q$2))</f>
        <v>12738.9619165644</v>
      </c>
      <c r="M40" s="15" t="n">
        <f aca="false">L40*(1+IF(M$3&lt;=$O$2,$D40,$D40-($D40-$I$6)*MIN(M$3-$O$2,$Q$2)/$Q$2))</f>
        <v>13085.7666540034</v>
      </c>
      <c r="N40" s="15" t="n">
        <f aca="false">M40*(1+IF(N$3&lt;=$O$2,$D40,$D40-($D40-$I$6)*MIN(N$3-$O$2,$Q$2)/$Q$2))</f>
        <v>13456.0938503117</v>
      </c>
      <c r="O40" s="15" t="n">
        <f aca="false">SUMPRODUCT(E40:N40,1/(1+$F$6)^$E$3:$N$3)*$E$2</f>
        <v>39946.4947126427</v>
      </c>
      <c r="P40" s="15" t="n">
        <f aca="false">N40*$E$2*(1+$I$6)/($F$6-$I$6)/(1+$F$6)^$N$3</f>
        <v>66983.5051886938</v>
      </c>
      <c r="Q40" s="15" t="n">
        <f aca="false">O40+P40</f>
        <v>106929.999901336</v>
      </c>
      <c r="R40" s="15" t="n">
        <f aca="false">Q40-$G$2+$I$2</f>
        <v>87469.9999013365</v>
      </c>
      <c r="S40" s="40" t="n">
        <f aca="false">R40/$K$2</f>
        <v>155.809686494837</v>
      </c>
      <c r="T40" s="41" t="n">
        <f aca="false">S40-$M$2</f>
        <v>-1.75748624542393E-007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0.0229197010048665</v>
      </c>
      <c r="C41" s="25" t="n">
        <f aca="false">IF(T40&gt;0,D40,C40)</f>
        <v>0.0229197011794895</v>
      </c>
      <c r="D41" s="39" t="n">
        <f aca="false">(B41+C41)/2</f>
        <v>0.022919701092178</v>
      </c>
      <c r="E41" s="15" t="n">
        <f aca="false">$C$2*(1+IF(E$3&lt;=$O$2,$D41,$D41-($D41-$I$6)*MIN(E$3-$O$2,$Q$2)/$Q$2))</f>
        <v>10802.0320435334</v>
      </c>
      <c r="F41" s="15" t="n">
        <f aca="false">E41*(1+IF(F$3&lt;=$O$2,$D41,$D41-($D41-$I$6)*MIN(F$3-$O$2,$Q$2)/$Q$2))</f>
        <v>11049.6113891593</v>
      </c>
      <c r="G41" s="15" t="n">
        <f aca="false">F41*(1+IF(G$3&lt;=$O$2,$D41,$D41-($D41-$I$6)*MIN(G$3-$O$2,$Q$2)/$Q$2))</f>
        <v>11302.8651793836</v>
      </c>
      <c r="H41" s="15" t="n">
        <f aca="false">G41*(1+IF(H$3&lt;=$O$2,$D41,$D41-($D41-$I$6)*MIN(H$3-$O$2,$Q$2)/$Q$2))</f>
        <v>11561.9234707802</v>
      </c>
      <c r="I41" s="15" t="n">
        <f aca="false">H41*(1+IF(I$3&lt;=$O$2,$D41,$D41-($D41-$I$6)*MIN(I$3-$O$2,$Q$2)/$Q$2))</f>
        <v>11826.9193007812</v>
      </c>
      <c r="J41" s="15" t="n">
        <f aca="false">I41*(1+IF(J$3&lt;=$O$2,$D41,$D41-($D41-$I$6)*MIN(J$3-$O$2,$Q$2)/$Q$2))</f>
        <v>12110.7152281957</v>
      </c>
      <c r="K41" s="15" t="n">
        <f aca="false">J41*(1+IF(K$3&lt;=$O$2,$D41,$D41-($D41-$I$6)*MIN(K$3-$O$2,$Q$2)/$Q$2))</f>
        <v>12414.3529084046</v>
      </c>
      <c r="L41" s="15" t="n">
        <f aca="false">K41*(1+IF(L$3&lt;=$O$2,$D41,$D41-($D41-$I$6)*MIN(L$3-$O$2,$Q$2)/$Q$2))</f>
        <v>12738.9619239546</v>
      </c>
      <c r="M41" s="15" t="n">
        <f aca="false">L41*(1+IF(M$3&lt;=$O$2,$D41,$D41-($D41-$I$6)*MIN(M$3-$O$2,$Q$2)/$Q$2))</f>
        <v>13085.7666618173</v>
      </c>
      <c r="N41" s="15" t="n">
        <f aca="false">M41*(1+IF(N$3&lt;=$O$2,$D41,$D41-($D41-$I$6)*MIN(N$3-$O$2,$Q$2)/$Q$2))</f>
        <v>13456.0938583467</v>
      </c>
      <c r="O41" s="15" t="n">
        <f aca="false">SUMPRODUCT(E41:N41,1/(1+$F$6)^$E$3:$N$3)*$E$2</f>
        <v>39946.4947279985</v>
      </c>
      <c r="P41" s="15" t="n">
        <f aca="false">N41*$E$2*(1+$I$6)/($F$6-$I$6)/(1+$F$6)^$N$3</f>
        <v>66983.5052286915</v>
      </c>
      <c r="Q41" s="15" t="n">
        <f aca="false">O41+P41</f>
        <v>106929.99995669</v>
      </c>
      <c r="R41" s="15" t="n">
        <f aca="false">Q41-$G$2+$I$2</f>
        <v>87469.9999566901</v>
      </c>
      <c r="S41" s="40" t="n">
        <f aca="false">R41/$K$2</f>
        <v>155.809686593438</v>
      </c>
      <c r="T41" s="41" t="n">
        <f aca="false">S41-$M$2</f>
        <v>-7.71476607042132E-008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0.022919701092178</v>
      </c>
      <c r="C42" s="25" t="n">
        <f aca="false">IF(T41&gt;0,D41,C41)</f>
        <v>0.0229197011794895</v>
      </c>
      <c r="D42" s="39" t="n">
        <f aca="false">(B42+C42)/2</f>
        <v>0.0229197011358337</v>
      </c>
      <c r="E42" s="15" t="n">
        <f aca="false">$C$2*(1+IF(E$3&lt;=$O$2,$D42,$D42-($D42-$I$6)*MIN(E$3-$O$2,$Q$2)/$Q$2))</f>
        <v>10802.0320439944</v>
      </c>
      <c r="F42" s="15" t="n">
        <f aca="false">E42*(1+IF(F$3&lt;=$O$2,$D42,$D42-($D42-$I$6)*MIN(F$3-$O$2,$Q$2)/$Q$2))</f>
        <v>11049.6113901025</v>
      </c>
      <c r="G42" s="15" t="n">
        <f aca="false">F42*(1+IF(G$3&lt;=$O$2,$D42,$D42-($D42-$I$6)*MIN(G$3-$O$2,$Q$2)/$Q$2))</f>
        <v>11302.8651808307</v>
      </c>
      <c r="H42" s="15" t="n">
        <f aca="false">G42*(1+IF(H$3&lt;=$O$2,$D42,$D42-($D42-$I$6)*MIN(H$3-$O$2,$Q$2)/$Q$2))</f>
        <v>11561.923472754</v>
      </c>
      <c r="I42" s="15" t="n">
        <f aca="false">H42*(1+IF(I$3&lt;=$O$2,$D42,$D42-($D42-$I$6)*MIN(I$3-$O$2,$Q$2)/$Q$2))</f>
        <v>11826.9193033049</v>
      </c>
      <c r="J42" s="15" t="n">
        <f aca="false">I42*(1+IF(J$3&lt;=$O$2,$D42,$D42-($D42-$I$6)*MIN(J$3-$O$2,$Q$2)/$Q$2))</f>
        <v>12110.7152311931</v>
      </c>
      <c r="K42" s="15" t="n">
        <f aca="false">J42*(1+IF(K$3&lt;=$O$2,$D42,$D42-($D42-$I$6)*MIN(K$3-$O$2,$Q$2)/$Q$2))</f>
        <v>12414.3529117943</v>
      </c>
      <c r="L42" s="15" t="n">
        <f aca="false">K42*(1+IF(L$3&lt;=$O$2,$D42,$D42-($D42-$I$6)*MIN(L$3-$O$2,$Q$2)/$Q$2))</f>
        <v>12738.9619276498</v>
      </c>
      <c r="M42" s="15" t="n">
        <f aca="false">L42*(1+IF(M$3&lt;=$O$2,$D42,$D42-($D42-$I$6)*MIN(M$3-$O$2,$Q$2)/$Q$2))</f>
        <v>13085.7666657243</v>
      </c>
      <c r="N42" s="15" t="n">
        <f aca="false">M42*(1+IF(N$3&lt;=$O$2,$D42,$D42-($D42-$I$6)*MIN(N$3-$O$2,$Q$2)/$Q$2))</f>
        <v>13456.0938623642</v>
      </c>
      <c r="O42" s="15" t="n">
        <f aca="false">SUMPRODUCT(E42:N42,1/(1+$F$6)^$E$3:$N$3)*$E$2</f>
        <v>39946.4947356764</v>
      </c>
      <c r="P42" s="15" t="n">
        <f aca="false">N42*$E$2*(1+$I$6)/($F$6-$I$6)/(1+$F$6)^$N$3</f>
        <v>66983.5052486904</v>
      </c>
      <c r="Q42" s="15" t="n">
        <f aca="false">O42+P42</f>
        <v>106929.999984367</v>
      </c>
      <c r="R42" s="15" t="n">
        <f aca="false">Q42-$G$2+$I$2</f>
        <v>87469.9999843668</v>
      </c>
      <c r="S42" s="40" t="n">
        <f aca="false">R42/$K$2</f>
        <v>155.809686642738</v>
      </c>
      <c r="T42" s="41" t="n">
        <f aca="false">S42-$M$2</f>
        <v>-2.78473066828155E-008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0.0229197011358337</v>
      </c>
      <c r="C43" s="25" t="n">
        <f aca="false">IF(T42&gt;0,D42,C42)</f>
        <v>0.0229197011794895</v>
      </c>
      <c r="D43" s="39" t="n">
        <f aca="false">(B43+C43)/2</f>
        <v>0.0229197011576616</v>
      </c>
      <c r="E43" s="15" t="n">
        <f aca="false">$C$2*(1+IF(E$3&lt;=$O$2,$D43,$D43-($D43-$I$6)*MIN(E$3-$O$2,$Q$2)/$Q$2))</f>
        <v>10802.0320442249</v>
      </c>
      <c r="F43" s="15" t="n">
        <f aca="false">E43*(1+IF(F$3&lt;=$O$2,$D43,$D43-($D43-$I$6)*MIN(F$3-$O$2,$Q$2)/$Q$2))</f>
        <v>11049.611390574</v>
      </c>
      <c r="G43" s="15" t="n">
        <f aca="false">F43*(1+IF(G$3&lt;=$O$2,$D43,$D43-($D43-$I$6)*MIN(G$3-$O$2,$Q$2)/$Q$2))</f>
        <v>11302.8651815543</v>
      </c>
      <c r="H43" s="15" t="n">
        <f aca="false">G43*(1+IF(H$3&lt;=$O$2,$D43,$D43-($D43-$I$6)*MIN(H$3-$O$2,$Q$2)/$Q$2))</f>
        <v>11561.9234737408</v>
      </c>
      <c r="I43" s="15" t="n">
        <f aca="false">H43*(1+IF(I$3&lt;=$O$2,$D43,$D43-($D43-$I$6)*MIN(I$3-$O$2,$Q$2)/$Q$2))</f>
        <v>11826.9193045667</v>
      </c>
      <c r="J43" s="15" t="n">
        <f aca="false">I43*(1+IF(J$3&lt;=$O$2,$D43,$D43-($D43-$I$6)*MIN(J$3-$O$2,$Q$2)/$Q$2))</f>
        <v>12110.7152326917</v>
      </c>
      <c r="K43" s="15" t="n">
        <f aca="false">J43*(1+IF(K$3&lt;=$O$2,$D43,$D43-($D43-$I$6)*MIN(K$3-$O$2,$Q$2)/$Q$2))</f>
        <v>12414.3529134891</v>
      </c>
      <c r="L43" s="15" t="n">
        <f aca="false">K43*(1+IF(L$3&lt;=$O$2,$D43,$D43-($D43-$I$6)*MIN(L$3-$O$2,$Q$2)/$Q$2))</f>
        <v>12738.9619294973</v>
      </c>
      <c r="M43" s="15" t="n">
        <f aca="false">L43*(1+IF(M$3&lt;=$O$2,$D43,$D43-($D43-$I$6)*MIN(M$3-$O$2,$Q$2)/$Q$2))</f>
        <v>13085.7666676777</v>
      </c>
      <c r="N43" s="15" t="n">
        <f aca="false">M43*(1+IF(N$3&lt;=$O$2,$D43,$D43-($D43-$I$6)*MIN(N$3-$O$2,$Q$2)/$Q$2))</f>
        <v>13456.093864373</v>
      </c>
      <c r="O43" s="15" t="n">
        <f aca="false">SUMPRODUCT(E43:N43,1/(1+$F$6)^$E$3:$N$3)*$E$2</f>
        <v>39946.4947395154</v>
      </c>
      <c r="P43" s="15" t="n">
        <f aca="false">N43*$E$2*(1+$I$6)/($F$6-$I$6)/(1+$F$6)^$N$3</f>
        <v>66983.5052586898</v>
      </c>
      <c r="Q43" s="15" t="n">
        <f aca="false">O43+P43</f>
        <v>106929.999998205</v>
      </c>
      <c r="R43" s="15" t="n">
        <f aca="false">Q43-$G$2+$I$2</f>
        <v>87469.9999982052</v>
      </c>
      <c r="S43" s="40" t="n">
        <f aca="false">R43/$K$2</f>
        <v>155.809686667388</v>
      </c>
      <c r="T43" s="41" t="n">
        <f aca="false">S43-$M$2</f>
        <v>-3.19704440698843E-009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0.0229197011576616</v>
      </c>
      <c r="C44" s="25" t="n">
        <f aca="false">IF(T43&gt;0,D43,C43)</f>
        <v>0.0229197011794895</v>
      </c>
      <c r="D44" s="39" t="n">
        <f aca="false">(B44+C44)/2</f>
        <v>0.0229197011685756</v>
      </c>
      <c r="E44" s="15" t="n">
        <f aca="false">$C$2*(1+IF(E$3&lt;=$O$2,$D44,$D44-($D44-$I$6)*MIN(E$3-$O$2,$Q$2)/$Q$2))</f>
        <v>10802.0320443402</v>
      </c>
      <c r="F44" s="15" t="n">
        <f aca="false">E44*(1+IF(F$3&lt;=$O$2,$D44,$D44-($D44-$I$6)*MIN(F$3-$O$2,$Q$2)/$Q$2))</f>
        <v>11049.6113908098</v>
      </c>
      <c r="G44" s="15" t="n">
        <f aca="false">F44*(1+IF(G$3&lt;=$O$2,$D44,$D44-($D44-$I$6)*MIN(G$3-$O$2,$Q$2)/$Q$2))</f>
        <v>11302.8651819161</v>
      </c>
      <c r="H44" s="15" t="n">
        <f aca="false">G44*(1+IF(H$3&lt;=$O$2,$D44,$D44-($D44-$I$6)*MIN(H$3-$O$2,$Q$2)/$Q$2))</f>
        <v>11561.9234742343</v>
      </c>
      <c r="I44" s="15" t="n">
        <f aca="false">H44*(1+IF(I$3&lt;=$O$2,$D44,$D44-($D44-$I$6)*MIN(I$3-$O$2,$Q$2)/$Q$2))</f>
        <v>11826.9193051977</v>
      </c>
      <c r="J44" s="15" t="n">
        <f aca="false">I44*(1+IF(J$3&lt;=$O$2,$D44,$D44-($D44-$I$6)*MIN(J$3-$O$2,$Q$2)/$Q$2))</f>
        <v>12110.7152334411</v>
      </c>
      <c r="K44" s="15" t="n">
        <f aca="false">J44*(1+IF(K$3&lt;=$O$2,$D44,$D44-($D44-$I$6)*MIN(K$3-$O$2,$Q$2)/$Q$2))</f>
        <v>12414.3529143365</v>
      </c>
      <c r="L44" s="15" t="n">
        <f aca="false">K44*(1+IF(L$3&lt;=$O$2,$D44,$D44-($D44-$I$6)*MIN(L$3-$O$2,$Q$2)/$Q$2))</f>
        <v>12738.9619304211</v>
      </c>
      <c r="M44" s="15" t="n">
        <f aca="false">L44*(1+IF(M$3&lt;=$O$2,$D44,$D44-($D44-$I$6)*MIN(M$3-$O$2,$Q$2)/$Q$2))</f>
        <v>13085.7666686545</v>
      </c>
      <c r="N44" s="15" t="n">
        <f aca="false">M44*(1+IF(N$3&lt;=$O$2,$D44,$D44-($D44-$I$6)*MIN(N$3-$O$2,$Q$2)/$Q$2))</f>
        <v>13456.0938653774</v>
      </c>
      <c r="O44" s="15" t="n">
        <f aca="false">SUMPRODUCT(E44:N44,1/(1+$F$6)^$E$3:$N$3)*$E$2</f>
        <v>39946.4947414349</v>
      </c>
      <c r="P44" s="15" t="n">
        <f aca="false">N44*$E$2*(1+$I$6)/($F$6-$I$6)/(1+$F$6)^$N$3</f>
        <v>66983.5052636895</v>
      </c>
      <c r="Q44" s="15" t="n">
        <f aca="false">O44+P44</f>
        <v>106930.000005124</v>
      </c>
      <c r="R44" s="15" t="n">
        <f aca="false">Q44-$G$2+$I$2</f>
        <v>87470.0000051244</v>
      </c>
      <c r="S44" s="40" t="n">
        <f aca="false">R44/$K$2</f>
        <v>155.809686679714</v>
      </c>
      <c r="T44" s="41" t="n">
        <f aca="false">S44-$M$2</f>
        <v>9.12811515263456E-009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0.0229197011576616</v>
      </c>
      <c r="C45" s="25" t="n">
        <f aca="false">IF(T44&gt;0,D44,C44)</f>
        <v>0.0229197011685756</v>
      </c>
      <c r="D45" s="39" t="n">
        <f aca="false">(B45+C45)/2</f>
        <v>0.0229197011631186</v>
      </c>
      <c r="E45" s="15" t="n">
        <f aca="false">$C$2*(1+IF(E$3&lt;=$O$2,$D45,$D45-($D45-$I$6)*MIN(E$3-$O$2,$Q$2)/$Q$2))</f>
        <v>10802.0320442825</v>
      </c>
      <c r="F45" s="15" t="n">
        <f aca="false">E45*(1+IF(F$3&lt;=$O$2,$D45,$D45-($D45-$I$6)*MIN(F$3-$O$2,$Q$2)/$Q$2))</f>
        <v>11049.6113906919</v>
      </c>
      <c r="G45" s="15" t="n">
        <f aca="false">F45*(1+IF(G$3&lt;=$O$2,$D45,$D45-($D45-$I$6)*MIN(G$3-$O$2,$Q$2)/$Q$2))</f>
        <v>11302.8651817352</v>
      </c>
      <c r="H45" s="15" t="n">
        <f aca="false">G45*(1+IF(H$3&lt;=$O$2,$D45,$D45-($D45-$I$6)*MIN(H$3-$O$2,$Q$2)/$Q$2))</f>
        <v>11561.9234739876</v>
      </c>
      <c r="I45" s="15" t="n">
        <f aca="false">H45*(1+IF(I$3&lt;=$O$2,$D45,$D45-($D45-$I$6)*MIN(I$3-$O$2,$Q$2)/$Q$2))</f>
        <v>11826.9193048822</v>
      </c>
      <c r="J45" s="15" t="n">
        <f aca="false">I45*(1+IF(J$3&lt;=$O$2,$D45,$D45-($D45-$I$6)*MIN(J$3-$O$2,$Q$2)/$Q$2))</f>
        <v>12110.7152330664</v>
      </c>
      <c r="K45" s="15" t="n">
        <f aca="false">J45*(1+IF(K$3&lt;=$O$2,$D45,$D45-($D45-$I$6)*MIN(K$3-$O$2,$Q$2)/$Q$2))</f>
        <v>12414.3529139128</v>
      </c>
      <c r="L45" s="15" t="n">
        <f aca="false">K45*(1+IF(L$3&lt;=$O$2,$D45,$D45-($D45-$I$6)*MIN(L$3-$O$2,$Q$2)/$Q$2))</f>
        <v>12738.9619299592</v>
      </c>
      <c r="M45" s="15" t="n">
        <f aca="false">L45*(1+IF(M$3&lt;=$O$2,$D45,$D45-($D45-$I$6)*MIN(M$3-$O$2,$Q$2)/$Q$2))</f>
        <v>13085.7666681661</v>
      </c>
      <c r="N45" s="15" t="n">
        <f aca="false">M45*(1+IF(N$3&lt;=$O$2,$D45,$D45-($D45-$I$6)*MIN(N$3-$O$2,$Q$2)/$Q$2))</f>
        <v>13456.0938648752</v>
      </c>
      <c r="O45" s="15" t="n">
        <f aca="false">SUMPRODUCT(E45:N45,1/(1+$F$6)^$E$3:$N$3)*$E$2</f>
        <v>39946.4947404751</v>
      </c>
      <c r="P45" s="15" t="n">
        <f aca="false">N45*$E$2*(1+$I$6)/($F$6-$I$6)/(1+$F$6)^$N$3</f>
        <v>66983.5052611896</v>
      </c>
      <c r="Q45" s="15" t="n">
        <f aca="false">O45+P45</f>
        <v>106930.000001665</v>
      </c>
      <c r="R45" s="15" t="n">
        <f aca="false">Q45-$G$2+$I$2</f>
        <v>87470.0000016648</v>
      </c>
      <c r="S45" s="40" t="n">
        <f aca="false">R45/$K$2</f>
        <v>155.809686673551</v>
      </c>
      <c r="T45" s="41" t="n">
        <f aca="false">S45-$M$2</f>
        <v>2.96543589684006E-009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0.0229197011576616</v>
      </c>
      <c r="C46" s="25" t="n">
        <f aca="false">IF(T45&gt;0,D45,C45)</f>
        <v>0.0229197011631186</v>
      </c>
      <c r="D46" s="39" t="n">
        <f aca="false">(B46+C46)/2</f>
        <v>0.0229197011603901</v>
      </c>
      <c r="E46" s="15" t="n">
        <f aca="false">$C$2*(1+IF(E$3&lt;=$O$2,$D46,$D46-($D46-$I$6)*MIN(E$3-$O$2,$Q$2)/$Q$2))</f>
        <v>10802.0320442537</v>
      </c>
      <c r="F46" s="15" t="n">
        <f aca="false">E46*(1+IF(F$3&lt;=$O$2,$D46,$D46-($D46-$I$6)*MIN(F$3-$O$2,$Q$2)/$Q$2))</f>
        <v>11049.611390633</v>
      </c>
      <c r="G46" s="15" t="n">
        <f aca="false">F46*(1+IF(G$3&lt;=$O$2,$D46,$D46-($D46-$I$6)*MIN(G$3-$O$2,$Q$2)/$Q$2))</f>
        <v>11302.8651816447</v>
      </c>
      <c r="H46" s="15" t="n">
        <f aca="false">G46*(1+IF(H$3&lt;=$O$2,$D46,$D46-($D46-$I$6)*MIN(H$3-$O$2,$Q$2)/$Q$2))</f>
        <v>11561.9234738642</v>
      </c>
      <c r="I46" s="15" t="n">
        <f aca="false">H46*(1+IF(I$3&lt;=$O$2,$D46,$D46-($D46-$I$6)*MIN(I$3-$O$2,$Q$2)/$Q$2))</f>
        <v>11826.9193047245</v>
      </c>
      <c r="J46" s="15" t="n">
        <f aca="false">I46*(1+IF(J$3&lt;=$O$2,$D46,$D46-($D46-$I$6)*MIN(J$3-$O$2,$Q$2)/$Q$2))</f>
        <v>12110.7152328791</v>
      </c>
      <c r="K46" s="15" t="n">
        <f aca="false">J46*(1+IF(K$3&lt;=$O$2,$D46,$D46-($D46-$I$6)*MIN(K$3-$O$2,$Q$2)/$Q$2))</f>
        <v>12414.352913701</v>
      </c>
      <c r="L46" s="15" t="n">
        <f aca="false">K46*(1+IF(L$3&lt;=$O$2,$D46,$D46-($D46-$I$6)*MIN(L$3-$O$2,$Q$2)/$Q$2))</f>
        <v>12738.9619297283</v>
      </c>
      <c r="M46" s="15" t="n">
        <f aca="false">L46*(1+IF(M$3&lt;=$O$2,$D46,$D46-($D46-$I$6)*MIN(M$3-$O$2,$Q$2)/$Q$2))</f>
        <v>13085.7666679219</v>
      </c>
      <c r="N46" s="15" t="n">
        <f aca="false">M46*(1+IF(N$3&lt;=$O$2,$D46,$D46-($D46-$I$6)*MIN(N$3-$O$2,$Q$2)/$Q$2))</f>
        <v>13456.0938646241</v>
      </c>
      <c r="O46" s="15" t="n">
        <f aca="false">SUMPRODUCT(E46:N46,1/(1+$F$6)^$E$3:$N$3)*$E$2</f>
        <v>39946.4947399953</v>
      </c>
      <c r="P46" s="15" t="n">
        <f aca="false">N46*$E$2*(1+$I$6)/($F$6-$I$6)/(1+$F$6)^$N$3</f>
        <v>66983.5052599398</v>
      </c>
      <c r="Q46" s="15" t="n">
        <f aca="false">O46+P46</f>
        <v>106929.999999935</v>
      </c>
      <c r="R46" s="15" t="n">
        <f aca="false">Q46-$G$2+$I$2</f>
        <v>87469.999999935</v>
      </c>
      <c r="S46" s="40" t="n">
        <f aca="false">R46/$K$2</f>
        <v>155.80968667047</v>
      </c>
      <c r="T46" s="41" t="n">
        <f aca="false">S46-$M$2</f>
        <v>-1.15761622510036E-010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0.0229197011603901</v>
      </c>
      <c r="C47" s="25" t="n">
        <f aca="false">IF(T46&gt;0,D46,C46)</f>
        <v>0.0229197011631186</v>
      </c>
      <c r="D47" s="39" t="n">
        <f aca="false">(B47+C47)/2</f>
        <v>0.0229197011617543</v>
      </c>
      <c r="E47" s="15" t="n">
        <f aca="false">$C$2*(1+IF(E$3&lt;=$O$2,$D47,$D47-($D47-$I$6)*MIN(E$3-$O$2,$Q$2)/$Q$2))</f>
        <v>10802.0320442681</v>
      </c>
      <c r="F47" s="15" t="n">
        <f aca="false">E47*(1+IF(F$3&lt;=$O$2,$D47,$D47-($D47-$I$6)*MIN(F$3-$O$2,$Q$2)/$Q$2))</f>
        <v>11049.6113906624</v>
      </c>
      <c r="G47" s="15" t="n">
        <f aca="false">F47*(1+IF(G$3&lt;=$O$2,$D47,$D47-($D47-$I$6)*MIN(G$3-$O$2,$Q$2)/$Q$2))</f>
        <v>11302.8651816899</v>
      </c>
      <c r="H47" s="15" t="n">
        <f aca="false">G47*(1+IF(H$3&lt;=$O$2,$D47,$D47-($D47-$I$6)*MIN(H$3-$O$2,$Q$2)/$Q$2))</f>
        <v>11561.9234739259</v>
      </c>
      <c r="I47" s="15" t="n">
        <f aca="false">H47*(1+IF(I$3&lt;=$O$2,$D47,$D47-($D47-$I$6)*MIN(I$3-$O$2,$Q$2)/$Q$2))</f>
        <v>11826.9193048033</v>
      </c>
      <c r="J47" s="15" t="n">
        <f aca="false">I47*(1+IF(J$3&lt;=$O$2,$D47,$D47-($D47-$I$6)*MIN(J$3-$O$2,$Q$2)/$Q$2))</f>
        <v>12110.7152329727</v>
      </c>
      <c r="K47" s="15" t="n">
        <f aca="false">J47*(1+IF(K$3&lt;=$O$2,$D47,$D47-($D47-$I$6)*MIN(K$3-$O$2,$Q$2)/$Q$2))</f>
        <v>12414.3529138069</v>
      </c>
      <c r="L47" s="15" t="n">
        <f aca="false">K47*(1+IF(L$3&lt;=$O$2,$D47,$D47-($D47-$I$6)*MIN(L$3-$O$2,$Q$2)/$Q$2))</f>
        <v>12738.9619298437</v>
      </c>
      <c r="M47" s="15" t="n">
        <f aca="false">L47*(1+IF(M$3&lt;=$O$2,$D47,$D47-($D47-$I$6)*MIN(M$3-$O$2,$Q$2)/$Q$2))</f>
        <v>13085.766668044</v>
      </c>
      <c r="N47" s="15" t="n">
        <f aca="false">M47*(1+IF(N$3&lt;=$O$2,$D47,$D47-($D47-$I$6)*MIN(N$3-$O$2,$Q$2)/$Q$2))</f>
        <v>13456.0938647496</v>
      </c>
      <c r="O47" s="15" t="n">
        <f aca="false">SUMPRODUCT(E47:N47,1/(1+$F$6)^$E$3:$N$3)*$E$2</f>
        <v>39946.4947402352</v>
      </c>
      <c r="P47" s="15" t="n">
        <f aca="false">N47*$E$2*(1+$I$6)/($F$6-$I$6)/(1+$F$6)^$N$3</f>
        <v>66983.5052605647</v>
      </c>
      <c r="Q47" s="15" t="n">
        <f aca="false">O47+P47</f>
        <v>106930.0000008</v>
      </c>
      <c r="R47" s="15" t="n">
        <f aca="false">Q47-$G$2+$I$2</f>
        <v>87470.0000007999</v>
      </c>
      <c r="S47" s="40" t="n">
        <f aca="false">R47/$K$2</f>
        <v>155.80968667201</v>
      </c>
      <c r="T47" s="41" t="n">
        <f aca="false">S47-$M$2</f>
        <v>1.42480871545558E-009</v>
      </c>
    </row>
    <row r="49" customFormat="false" ht="15" hidden="false" customHeight="false" outlineLevel="0" collapsed="false">
      <c r="A49" s="36" t="s">
        <v>187</v>
      </c>
      <c r="E49" s="5" t="s">
        <v>11</v>
      </c>
      <c r="F49" s="12" t="n">
        <f aca="false">Sensitivity!$B$10</f>
        <v>0.0670172026214128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6" t="s">
        <v>167</v>
      </c>
      <c r="B50" s="28" t="s">
        <v>168</v>
      </c>
      <c r="C50" s="28" t="s">
        <v>169</v>
      </c>
      <c r="D50" s="28" t="s">
        <v>170</v>
      </c>
      <c r="E50" s="28" t="s">
        <v>171</v>
      </c>
      <c r="F50" s="28" t="s">
        <v>172</v>
      </c>
      <c r="G50" s="28" t="s">
        <v>173</v>
      </c>
      <c r="H50" s="28" t="s">
        <v>174</v>
      </c>
      <c r="I50" s="28" t="s">
        <v>175</v>
      </c>
      <c r="J50" s="28" t="s">
        <v>176</v>
      </c>
      <c r="K50" s="28" t="s">
        <v>177</v>
      </c>
      <c r="L50" s="28" t="s">
        <v>178</v>
      </c>
      <c r="M50" s="28" t="s">
        <v>179</v>
      </c>
      <c r="N50" s="28" t="s">
        <v>180</v>
      </c>
      <c r="O50" s="28" t="s">
        <v>181</v>
      </c>
      <c r="P50" s="28" t="s">
        <v>182</v>
      </c>
      <c r="Q50" s="28" t="s">
        <v>183</v>
      </c>
      <c r="R50" s="28" t="s">
        <v>184</v>
      </c>
      <c r="S50" s="28" t="s">
        <v>185</v>
      </c>
      <c r="T50" s="28" t="s">
        <v>186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39" t="n">
        <f aca="false">(B51+C51)/2</f>
        <v>0.25</v>
      </c>
      <c r="E51" s="15" t="n">
        <f aca="false">$C$2*(1+IF(E$3&lt;=$O$2,$D51,$D51-($D51-$I$49)*MIN(E$3-$O$2,$Q$2)/$Q$2))</f>
        <v>13200</v>
      </c>
      <c r="F51" s="15" t="n">
        <f aca="false">E51*(1+IF(F$3&lt;=$O$2,$D51,$D51-($D51-$I$49)*MIN(F$3-$O$2,$Q$2)/$Q$2))</f>
        <v>16500</v>
      </c>
      <c r="G51" s="15" t="n">
        <f aca="false">F51*(1+IF(G$3&lt;=$O$2,$D51,$D51-($D51-$I$49)*MIN(G$3-$O$2,$Q$2)/$Q$2))</f>
        <v>20625</v>
      </c>
      <c r="H51" s="15" t="n">
        <f aca="false">G51*(1+IF(H$3&lt;=$O$2,$D51,$D51-($D51-$I$49)*MIN(H$3-$O$2,$Q$2)/$Q$2))</f>
        <v>25781.25</v>
      </c>
      <c r="I51" s="15" t="n">
        <f aca="false">H51*(1+IF(I$3&lt;=$O$2,$D51,$D51-($D51-$I$49)*MIN(I$3-$O$2,$Q$2)/$Q$2))</f>
        <v>32226.5625</v>
      </c>
      <c r="J51" s="15" t="n">
        <f aca="false">I51*(1+IF(J$3&lt;=$O$2,$D51,$D51-($D51-$I$49)*MIN(J$3-$O$2,$Q$2)/$Q$2))</f>
        <v>38789.82421875</v>
      </c>
      <c r="K51" s="15" t="n">
        <f aca="false">J51*(1+IF(K$3&lt;=$O$2,$D51,$D51-($D51-$I$49)*MIN(K$3-$O$2,$Q$2)/$Q$2))</f>
        <v>44892.2393648437</v>
      </c>
      <c r="L51" s="15" t="n">
        <f aca="false">K51*(1+IF(L$3&lt;=$O$2,$D51,$D51-($D51-$I$49)*MIN(L$3-$O$2,$Q$2)/$Q$2))</f>
        <v>49874.3800895541</v>
      </c>
      <c r="M51" s="15" t="n">
        <f aca="false">L51*(1+IF(M$3&lt;=$O$2,$D51,$D51-($D51-$I$49)*MIN(M$3-$O$2,$Q$2)/$Q$2))</f>
        <v>53098.2600185429</v>
      </c>
      <c r="N51" s="15" t="n">
        <f aca="false">M51*(1+IF(N$3&lt;=$O$2,$D51,$D51-($D51-$I$49)*MIN(N$3-$O$2,$Q$2)/$Q$2))</f>
        <v>54069.9581768822</v>
      </c>
      <c r="O51" s="15" t="n">
        <f aca="false">SUMPRODUCT(E51:N51,1/(1+$F$49)^$E$3:$N$3)*$E$2</f>
        <v>113607.256174443</v>
      </c>
      <c r="P51" s="15" t="n">
        <f aca="false">N51*$E$2*(1+$I$49)/($F$49-$I$49)/(1+$F$49)^$N$3</f>
        <v>292599.104616174</v>
      </c>
      <c r="Q51" s="15" t="n">
        <f aca="false">O51+P51</f>
        <v>406206.360790618</v>
      </c>
      <c r="R51" s="15" t="n">
        <f aca="false">Q51-$G$2+$I$2</f>
        <v>386746.360790618</v>
      </c>
      <c r="S51" s="40" t="n">
        <f aca="false">R51/$K$2</f>
        <v>688.908532019839</v>
      </c>
      <c r="T51" s="41" t="n">
        <f aca="false">S51-$M$2</f>
        <v>533.098845349254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39" t="n">
        <f aca="false">(B52+C52)/2</f>
        <v>-0.125</v>
      </c>
      <c r="E52" s="15" t="n">
        <f aca="false">$C$2*(1+IF(E$3&lt;=$O$2,$D52,$D52-($D52-$I$49)*MIN(E$3-$O$2,$Q$2)/$Q$2))</f>
        <v>9240</v>
      </c>
      <c r="F52" s="15" t="n">
        <f aca="false">E52*(1+IF(F$3&lt;=$O$2,$D52,$D52-($D52-$I$49)*MIN(F$3-$O$2,$Q$2)/$Q$2))</f>
        <v>8085</v>
      </c>
      <c r="G52" s="15" t="n">
        <f aca="false">F52*(1+IF(G$3&lt;=$O$2,$D52,$D52-($D52-$I$49)*MIN(G$3-$O$2,$Q$2)/$Q$2))</f>
        <v>7074.375</v>
      </c>
      <c r="H52" s="15" t="n">
        <f aca="false">G52*(1+IF(H$3&lt;=$O$2,$D52,$D52-($D52-$I$49)*MIN(H$3-$O$2,$Q$2)/$Q$2))</f>
        <v>6190.078125</v>
      </c>
      <c r="I52" s="15" t="n">
        <f aca="false">H52*(1+IF(I$3&lt;=$O$2,$D52,$D52-($D52-$I$49)*MIN(I$3-$O$2,$Q$2)/$Q$2))</f>
        <v>5416.318359375</v>
      </c>
      <c r="J52" s="15" t="n">
        <f aca="false">I52*(1+IF(J$3&lt;=$O$2,$D52,$D52-($D52-$I$49)*MIN(J$3-$O$2,$Q$2)/$Q$2))</f>
        <v>4894.51024863281</v>
      </c>
      <c r="K52" s="15" t="n">
        <f aca="false">J52*(1+IF(K$3&lt;=$O$2,$D52,$D52-($D52-$I$49)*MIN(K$3-$O$2,$Q$2)/$Q$2))</f>
        <v>4563.24979500534</v>
      </c>
      <c r="L52" s="15" t="n">
        <f aca="false">K52*(1+IF(L$3&lt;=$O$2,$D52,$D52-($D52-$I$49)*MIN(L$3-$O$2,$Q$2)/$Q$2))</f>
        <v>4385.19178800424</v>
      </c>
      <c r="M52" s="15" t="n">
        <f aca="false">L52*(1+IF(M$3&lt;=$O$2,$D52,$D52-($D52-$I$49)*MIN(M$3-$O$2,$Q$2)/$Q$2))</f>
        <v>4339.76120108051</v>
      </c>
      <c r="N52" s="15" t="n">
        <f aca="false">M52*(1+IF(N$3&lt;=$O$2,$D52,$D52-($D52-$I$49)*MIN(N$3-$O$2,$Q$2)/$Q$2))</f>
        <v>4419.17883106029</v>
      </c>
      <c r="O52" s="15" t="n">
        <f aca="false">SUMPRODUCT(E52:N52,1/(1+$F$49)^$E$3:$N$3)*$E$2</f>
        <v>21707.788235292</v>
      </c>
      <c r="P52" s="15" t="n">
        <f aca="false">N52*$E$2*(1+$I$49)/($F$49-$I$49)/(1+$F$49)^$N$3</f>
        <v>23914.3474991597</v>
      </c>
      <c r="Q52" s="15" t="n">
        <f aca="false">O52+P52</f>
        <v>45622.1357344516</v>
      </c>
      <c r="R52" s="15" t="n">
        <f aca="false">Q52-$G$2+$I$2</f>
        <v>26162.1357344516</v>
      </c>
      <c r="S52" s="40" t="n">
        <f aca="false">R52/$K$2</f>
        <v>46.6024256478591</v>
      </c>
      <c r="T52" s="41" t="n">
        <f aca="false">S52-$M$2</f>
        <v>-109.207261022726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39" t="n">
        <f aca="false">(B53+C53)/2</f>
        <v>0.0625</v>
      </c>
      <c r="E53" s="15" t="n">
        <f aca="false">$C$2*(1+IF(E$3&lt;=$O$2,$D53,$D53-($D53-$I$49)*MIN(E$3-$O$2,$Q$2)/$Q$2))</f>
        <v>11220</v>
      </c>
      <c r="F53" s="15" t="n">
        <f aca="false">E53*(1+IF(F$3&lt;=$O$2,$D53,$D53-($D53-$I$49)*MIN(F$3-$O$2,$Q$2)/$Q$2))</f>
        <v>11921.25</v>
      </c>
      <c r="G53" s="15" t="n">
        <f aca="false">F53*(1+IF(G$3&lt;=$O$2,$D53,$D53-($D53-$I$49)*MIN(G$3-$O$2,$Q$2)/$Q$2))</f>
        <v>12666.328125</v>
      </c>
      <c r="H53" s="15" t="n">
        <f aca="false">G53*(1+IF(H$3&lt;=$O$2,$D53,$D53-($D53-$I$49)*MIN(H$3-$O$2,$Q$2)/$Q$2))</f>
        <v>13457.9736328125</v>
      </c>
      <c r="I53" s="15" t="n">
        <f aca="false">H53*(1+IF(I$3&lt;=$O$2,$D53,$D53-($D53-$I$49)*MIN(I$3-$O$2,$Q$2)/$Q$2))</f>
        <v>14299.0969848633</v>
      </c>
      <c r="J53" s="15" t="n">
        <f aca="false">I53*(1+IF(J$3&lt;=$O$2,$D53,$D53-($D53-$I$49)*MIN(J$3-$O$2,$Q$2)/$Q$2))</f>
        <v>15066.386529071</v>
      </c>
      <c r="K53" s="15" t="n">
        <f aca="false">J53*(1+IF(K$3&lt;=$O$2,$D53,$D53-($D53-$I$49)*MIN(K$3-$O$2,$Q$2)/$Q$2))</f>
        <v>15741.661973304</v>
      </c>
      <c r="L53" s="15" t="n">
        <f aca="false">K53*(1+IF(L$3&lt;=$O$2,$D53,$D53-($D53-$I$49)*MIN(L$3-$O$2,$Q$2)/$Q$2))</f>
        <v>16308.0469711035</v>
      </c>
      <c r="M53" s="15" t="n">
        <f aca="false">L53*(1+IF(M$3&lt;=$O$2,$D53,$D53-($D53-$I$49)*MIN(M$3-$O$2,$Q$2)/$Q$2))</f>
        <v>16750.6473658992</v>
      </c>
      <c r="N53" s="15" t="n">
        <f aca="false">M53*(1+IF(N$3&lt;=$O$2,$D53,$D53-($D53-$I$49)*MIN(N$3-$O$2,$Q$2)/$Q$2))</f>
        <v>17057.1842126952</v>
      </c>
      <c r="O53" s="15" t="n">
        <f aca="false">SUMPRODUCT(E53:N53,1/(1+$F$49)^$E$3:$N$3)*$E$2</f>
        <v>49677.0748317298</v>
      </c>
      <c r="P53" s="15" t="n">
        <f aca="false">N53*$E$2*(1+$I$49)/($F$49-$I$49)/(1+$F$49)^$N$3</f>
        <v>92304.8028182429</v>
      </c>
      <c r="Q53" s="15" t="n">
        <f aca="false">O53+P53</f>
        <v>141981.877649973</v>
      </c>
      <c r="R53" s="15" t="n">
        <f aca="false">Q53-$G$2+$I$2</f>
        <v>122521.877649973</v>
      </c>
      <c r="S53" s="40" t="n">
        <f aca="false">R53/$K$2</f>
        <v>218.24734614078</v>
      </c>
      <c r="T53" s="41" t="n">
        <f aca="false">S53-$M$2</f>
        <v>62.4376594701949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39" t="n">
        <f aca="false">(B54+C54)/2</f>
        <v>-0.03125</v>
      </c>
      <c r="E54" s="15" t="n">
        <f aca="false">$C$2*(1+IF(E$3&lt;=$O$2,$D54,$D54-($D54-$I$49)*MIN(E$3-$O$2,$Q$2)/$Q$2))</f>
        <v>10230</v>
      </c>
      <c r="F54" s="15" t="n">
        <f aca="false">E54*(1+IF(F$3&lt;=$O$2,$D54,$D54-($D54-$I$49)*MIN(F$3-$O$2,$Q$2)/$Q$2))</f>
        <v>9910.3125</v>
      </c>
      <c r="G54" s="15" t="n">
        <f aca="false">F54*(1+IF(G$3&lt;=$O$2,$D54,$D54-($D54-$I$49)*MIN(G$3-$O$2,$Q$2)/$Q$2))</f>
        <v>9600.615234375</v>
      </c>
      <c r="H54" s="15" t="n">
        <f aca="false">G54*(1+IF(H$3&lt;=$O$2,$D54,$D54-($D54-$I$49)*MIN(H$3-$O$2,$Q$2)/$Q$2))</f>
        <v>9300.59600830078</v>
      </c>
      <c r="I54" s="15" t="n">
        <f aca="false">H54*(1+IF(I$3&lt;=$O$2,$D54,$D54-($D54-$I$49)*MIN(I$3-$O$2,$Q$2)/$Q$2))</f>
        <v>9009.95238304138</v>
      </c>
      <c r="J54" s="15" t="n">
        <f aca="false">I54*(1+IF(J$3&lt;=$O$2,$D54,$D54-($D54-$I$49)*MIN(J$3-$O$2,$Q$2)/$Q$2))</f>
        <v>8817.67999918728</v>
      </c>
      <c r="K54" s="15" t="n">
        <f aca="false">J54*(1+IF(K$3&lt;=$O$2,$D54,$D54-($D54-$I$49)*MIN(K$3-$O$2,$Q$2)/$Q$2))</f>
        <v>8716.89391679657</v>
      </c>
      <c r="L54" s="15" t="n">
        <f aca="false">K54*(1+IF(L$3&lt;=$O$2,$D54,$D54-($D54-$I$49)*MIN(L$3-$O$2,$Q$2)/$Q$2))</f>
        <v>8703.64423804304</v>
      </c>
      <c r="M54" s="15" t="n">
        <f aca="false">L54*(1+IF(M$3&lt;=$O$2,$D54,$D54-($D54-$I$49)*MIN(M$3-$O$2,$Q$2)/$Q$2))</f>
        <v>8776.66781320022</v>
      </c>
      <c r="N54" s="15" t="n">
        <f aca="false">M54*(1+IF(N$3&lt;=$O$2,$D54,$D54-($D54-$I$49)*MIN(N$3-$O$2,$Q$2)/$Q$2))</f>
        <v>8937.28083418178</v>
      </c>
      <c r="O54" s="15" t="n">
        <f aca="false">SUMPRODUCT(E54:N54,1/(1+$F$49)^$E$3:$N$3)*$E$2</f>
        <v>32757.7439758045</v>
      </c>
      <c r="P54" s="15" t="n">
        <f aca="false">N54*$E$2*(1+$I$49)/($F$49-$I$49)/(1+$F$49)^$N$3</f>
        <v>48364.0168766202</v>
      </c>
      <c r="Q54" s="15" t="n">
        <f aca="false">O54+P54</f>
        <v>81121.7608524248</v>
      </c>
      <c r="R54" s="15" t="n">
        <f aca="false">Q54-$G$2+$I$2</f>
        <v>61661.7608524248</v>
      </c>
      <c r="S54" s="40" t="n">
        <f aca="false">R54/$K$2</f>
        <v>109.837654486943</v>
      </c>
      <c r="T54" s="41" t="n">
        <f aca="false">S54-$M$2</f>
        <v>-45.9720321836428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39" t="n">
        <f aca="false">(B55+C55)/2</f>
        <v>0.015625</v>
      </c>
      <c r="E55" s="15" t="n">
        <f aca="false">$C$2*(1+IF(E$3&lt;=$O$2,$D55,$D55-($D55-$I$49)*MIN(E$3-$O$2,$Q$2)/$Q$2))</f>
        <v>10725</v>
      </c>
      <c r="F55" s="15" t="n">
        <f aca="false">E55*(1+IF(F$3&lt;=$O$2,$D55,$D55-($D55-$I$49)*MIN(F$3-$O$2,$Q$2)/$Q$2))</f>
        <v>10892.578125</v>
      </c>
      <c r="G55" s="15" t="n">
        <f aca="false">F55*(1+IF(G$3&lt;=$O$2,$D55,$D55-($D55-$I$49)*MIN(G$3-$O$2,$Q$2)/$Q$2))</f>
        <v>11062.7746582031</v>
      </c>
      <c r="H55" s="15" t="n">
        <f aca="false">G55*(1+IF(H$3&lt;=$O$2,$D55,$D55-($D55-$I$49)*MIN(H$3-$O$2,$Q$2)/$Q$2))</f>
        <v>11235.6305122375</v>
      </c>
      <c r="I55" s="15" t="n">
        <f aca="false">H55*(1+IF(I$3&lt;=$O$2,$D55,$D55-($D55-$I$49)*MIN(I$3-$O$2,$Q$2)/$Q$2))</f>
        <v>11411.1872389913</v>
      </c>
      <c r="J55" s="15" t="n">
        <f aca="false">I55*(1+IF(J$3&lt;=$O$2,$D55,$D55-($D55-$I$49)*MIN(J$3-$O$2,$Q$2)/$Q$2))</f>
        <v>11595.5920247734</v>
      </c>
      <c r="K55" s="15" t="n">
        <f aca="false">J55*(1+IF(K$3&lt;=$O$2,$D55,$D55-($D55-$I$49)*MIN(K$3-$O$2,$Q$2)/$Q$2))</f>
        <v>11789.1804336269</v>
      </c>
      <c r="L55" s="15" t="n">
        <f aca="false">K55*(1+IF(L$3&lt;=$O$2,$D55,$D55-($D55-$I$49)*MIN(L$3-$O$2,$Q$2)/$Q$2))</f>
        <v>11992.3080124983</v>
      </c>
      <c r="M55" s="15" t="n">
        <f aca="false">L55*(1+IF(M$3&lt;=$O$2,$D55,$D55-($D55-$I$49)*MIN(M$3-$O$2,$Q$2)/$Q$2))</f>
        <v>12205.3513643404</v>
      </c>
      <c r="N55" s="15" t="n">
        <f aca="false">M55*(1+IF(N$3&lt;=$O$2,$D55,$D55-($D55-$I$49)*MIN(N$3-$O$2,$Q$2)/$Q$2))</f>
        <v>12428.7092943078</v>
      </c>
      <c r="O55" s="15" t="n">
        <f aca="false">SUMPRODUCT(E55:N55,1/(1+$F$49)^$E$3:$N$3)*$E$2</f>
        <v>40329.0070327731</v>
      </c>
      <c r="P55" s="15" t="n">
        <f aca="false">N55*$E$2*(1+$I$49)/($F$49-$I$49)/(1+$F$49)^$N$3</f>
        <v>67257.8513775148</v>
      </c>
      <c r="Q55" s="15" t="n">
        <f aca="false">O55+P55</f>
        <v>107586.858410288</v>
      </c>
      <c r="R55" s="15" t="n">
        <f aca="false">Q55-$G$2+$I$2</f>
        <v>88126.8584102879</v>
      </c>
      <c r="S55" s="40" t="n">
        <f aca="false">R55/$K$2</f>
        <v>156.979743868412</v>
      </c>
      <c r="T55" s="41" t="n">
        <f aca="false">S55-$M$2</f>
        <v>1.17005719782657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-0.03125</v>
      </c>
      <c r="C56" s="25" t="n">
        <f aca="false">IF(T55&gt;0,D55,C55)</f>
        <v>0.015625</v>
      </c>
      <c r="D56" s="39" t="n">
        <f aca="false">(B56+C56)/2</f>
        <v>-0.0078125</v>
      </c>
      <c r="E56" s="15" t="n">
        <f aca="false">$C$2*(1+IF(E$3&lt;=$O$2,$D56,$D56-($D56-$I$49)*MIN(E$3-$O$2,$Q$2)/$Q$2))</f>
        <v>10477.5</v>
      </c>
      <c r="F56" s="15" t="n">
        <f aca="false">E56*(1+IF(F$3&lt;=$O$2,$D56,$D56-($D56-$I$49)*MIN(F$3-$O$2,$Q$2)/$Q$2))</f>
        <v>10395.64453125</v>
      </c>
      <c r="G56" s="15" t="n">
        <f aca="false">F56*(1+IF(G$3&lt;=$O$2,$D56,$D56-($D56-$I$49)*MIN(G$3-$O$2,$Q$2)/$Q$2))</f>
        <v>10314.4285583496</v>
      </c>
      <c r="H56" s="15" t="n">
        <f aca="false">G56*(1+IF(H$3&lt;=$O$2,$D56,$D56-($D56-$I$49)*MIN(H$3-$O$2,$Q$2)/$Q$2))</f>
        <v>10233.8470852375</v>
      </c>
      <c r="I56" s="15" t="n">
        <f aca="false">H56*(1+IF(I$3&lt;=$O$2,$D56,$D56-($D56-$I$49)*MIN(I$3-$O$2,$Q$2)/$Q$2))</f>
        <v>10153.8951548841</v>
      </c>
      <c r="J56" s="15" t="n">
        <f aca="false">I56*(1+IF(J$3&lt;=$O$2,$D56,$D56-($D56-$I$49)*MIN(J$3-$O$2,$Q$2)/$Q$2))</f>
        <v>10127.5965664329</v>
      </c>
      <c r="K56" s="15" t="n">
        <f aca="false">J56*(1+IF(K$3&lt;=$O$2,$D56,$D56-($D56-$I$49)*MIN(K$3-$O$2,$Q$2)/$Q$2))</f>
        <v>10154.2574643941</v>
      </c>
      <c r="L56" s="15" t="n">
        <f aca="false">K56*(1+IF(L$3&lt;=$O$2,$D56,$D56-($D56-$I$49)*MIN(L$3-$O$2,$Q$2)/$Q$2))</f>
        <v>10234.0191567769</v>
      </c>
      <c r="M56" s="15" t="n">
        <f aca="false">L56*(1+IF(M$3&lt;=$O$2,$D56,$D56-($D56-$I$49)*MIN(M$3-$O$2,$Q$2)/$Q$2))</f>
        <v>10367.8545422996</v>
      </c>
      <c r="N56" s="15" t="n">
        <f aca="false">M56*(1+IF(N$3&lt;=$O$2,$D56,$D56-($D56-$I$49)*MIN(N$3-$O$2,$Q$2)/$Q$2))</f>
        <v>10557.5862804237</v>
      </c>
      <c r="O56" s="15" t="n">
        <f aca="false">SUMPRODUCT(E56:N56,1/(1+$F$49)^$E$3:$N$3)*$E$2</f>
        <v>36342.7556543326</v>
      </c>
      <c r="P56" s="15" t="n">
        <f aca="false">N56*$E$2*(1+$I$49)/($F$49-$I$49)/(1+$F$49)^$N$3</f>
        <v>57132.2855929405</v>
      </c>
      <c r="Q56" s="15" t="n">
        <f aca="false">O56+P56</f>
        <v>93475.0412472732</v>
      </c>
      <c r="R56" s="15" t="n">
        <f aca="false">Q56-$G$2+$I$2</f>
        <v>74015.0412472732</v>
      </c>
      <c r="S56" s="40" t="n">
        <f aca="false">R56/$K$2</f>
        <v>131.842464681012</v>
      </c>
      <c r="T56" s="41" t="n">
        <f aca="false">S56-$M$2</f>
        <v>-23.9672219895738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-0.0078125</v>
      </c>
      <c r="C57" s="25" t="n">
        <f aca="false">IF(T56&gt;0,D56,C56)</f>
        <v>0.015625</v>
      </c>
      <c r="D57" s="39" t="n">
        <f aca="false">(B57+C57)/2</f>
        <v>0.00390625</v>
      </c>
      <c r="E57" s="15" t="n">
        <f aca="false">$C$2*(1+IF(E$3&lt;=$O$2,$D57,$D57-($D57-$I$49)*MIN(E$3-$O$2,$Q$2)/$Q$2))</f>
        <v>10601.25</v>
      </c>
      <c r="F57" s="15" t="n">
        <f aca="false">E57*(1+IF(F$3&lt;=$O$2,$D57,$D57-($D57-$I$49)*MIN(F$3-$O$2,$Q$2)/$Q$2))</f>
        <v>10642.6611328125</v>
      </c>
      <c r="G57" s="15" t="n">
        <f aca="false">F57*(1+IF(G$3&lt;=$O$2,$D57,$D57-($D57-$I$49)*MIN(G$3-$O$2,$Q$2)/$Q$2))</f>
        <v>10684.2340278625</v>
      </c>
      <c r="H57" s="15" t="n">
        <f aca="false">G57*(1+IF(H$3&lt;=$O$2,$D57,$D57-($D57-$I$49)*MIN(H$3-$O$2,$Q$2)/$Q$2))</f>
        <v>10725.9693170339</v>
      </c>
      <c r="I57" s="15" t="n">
        <f aca="false">H57*(1+IF(I$3&lt;=$O$2,$D57,$D57-($D57-$I$49)*MIN(I$3-$O$2,$Q$2)/$Q$2))</f>
        <v>10767.8676346786</v>
      </c>
      <c r="J57" s="15" t="n">
        <f aca="false">I57*(1+IF(J$3&lt;=$O$2,$D57,$D57-($D57-$I$49)*MIN(J$3-$O$2,$Q$2)/$Q$2))</f>
        <v>10840.9276165798</v>
      </c>
      <c r="K57" s="15" t="n">
        <f aca="false">J57*(1+IF(K$3&lt;=$O$2,$D57,$D57-($D57-$I$49)*MIN(K$3-$O$2,$Q$2)/$Q$2))</f>
        <v>10945.6916308346</v>
      </c>
      <c r="L57" s="15" t="n">
        <f aca="false">K57*(1+IF(L$3&lt;=$O$2,$D57,$D57-($D57-$I$49)*MIN(L$3-$O$2,$Q$2)/$Q$2))</f>
        <v>11082.9779681143</v>
      </c>
      <c r="M57" s="15" t="n">
        <f aca="false">L57*(1+IF(M$3&lt;=$O$2,$D57,$D57-($D57-$I$49)*MIN(M$3-$O$2,$Q$2)/$Q$2))</f>
        <v>11253.8913421051</v>
      </c>
      <c r="N57" s="15" t="n">
        <f aca="false">M57*(1+IF(N$3&lt;=$O$2,$D57,$D57-($D57-$I$49)*MIN(N$3-$O$2,$Q$2)/$Q$2))</f>
        <v>11459.8375536656</v>
      </c>
      <c r="O57" s="15" t="n">
        <f aca="false">SUMPRODUCT(E57:N57,1/(1+$F$49)^$E$3:$N$3)*$E$2</f>
        <v>38283.1857659677</v>
      </c>
      <c r="P57" s="15" t="n">
        <f aca="false">N57*$E$2*(1+$I$49)/($F$49-$I$49)/(1+$F$49)^$N$3</f>
        <v>62014.8104476066</v>
      </c>
      <c r="Q57" s="15" t="n">
        <f aca="false">O57+P57</f>
        <v>100297.996213574</v>
      </c>
      <c r="R57" s="15" t="n">
        <f aca="false">Q57-$G$2+$I$2</f>
        <v>80837.9962135743</v>
      </c>
      <c r="S57" s="40" t="n">
        <f aca="false">R57/$K$2</f>
        <v>143.996145662684</v>
      </c>
      <c r="T57" s="41" t="n">
        <f aca="false">S57-$M$2</f>
        <v>-11.8135410079013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0.00390625</v>
      </c>
      <c r="C58" s="25" t="n">
        <f aca="false">IF(T57&gt;0,D57,C57)</f>
        <v>0.015625</v>
      </c>
      <c r="D58" s="39" t="n">
        <f aca="false">(B58+C58)/2</f>
        <v>0.009765625</v>
      </c>
      <c r="E58" s="15" t="n">
        <f aca="false">$C$2*(1+IF(E$3&lt;=$O$2,$D58,$D58-($D58-$I$49)*MIN(E$3-$O$2,$Q$2)/$Q$2))</f>
        <v>10663.125</v>
      </c>
      <c r="F58" s="15" t="n">
        <f aca="false">E58*(1+IF(F$3&lt;=$O$2,$D58,$D58-($D58-$I$49)*MIN(F$3-$O$2,$Q$2)/$Q$2))</f>
        <v>10767.2570800781</v>
      </c>
      <c r="G58" s="15" t="n">
        <f aca="false">F58*(1+IF(G$3&lt;=$O$2,$D58,$D58-($D58-$I$49)*MIN(G$3-$O$2,$Q$2)/$Q$2))</f>
        <v>10872.4060750008</v>
      </c>
      <c r="H58" s="15" t="n">
        <f aca="false">G58*(1+IF(H$3&lt;=$O$2,$D58,$D58-($D58-$I$49)*MIN(H$3-$O$2,$Q$2)/$Q$2))</f>
        <v>10978.5819155769</v>
      </c>
      <c r="I58" s="15" t="n">
        <f aca="false">H58*(1+IF(I$3&lt;=$O$2,$D58,$D58-($D58-$I$49)*MIN(I$3-$O$2,$Q$2)/$Q$2))</f>
        <v>11085.7946295962</v>
      </c>
      <c r="J58" s="15" t="n">
        <f aca="false">I58*(1+IF(J$3&lt;=$O$2,$D58,$D58-($D58-$I$49)*MIN(J$3-$O$2,$Q$2)/$Q$2))</f>
        <v>11212.9764084843</v>
      </c>
      <c r="K58" s="15" t="n">
        <f aca="false">J58*(1+IF(K$3&lt;=$O$2,$D58,$D58-($D58-$I$49)*MIN(K$3-$O$2,$Q$2)/$Q$2))</f>
        <v>11360.7564294379</v>
      </c>
      <c r="L58" s="15" t="n">
        <f aca="false">K58*(1+IF(L$3&lt;=$O$2,$D58,$D58-($D58-$I$49)*MIN(L$3-$O$2,$Q$2)/$Q$2))</f>
        <v>11529.8754898356</v>
      </c>
      <c r="M58" s="15" t="n">
        <f aca="false">L58*(1+IF(M$3&lt;=$O$2,$D58,$D58-($D58-$I$49)*MIN(M$3-$O$2,$Q$2)/$Q$2))</f>
        <v>11721.1921550729</v>
      </c>
      <c r="N58" s="15" t="n">
        <f aca="false">M58*(1+IF(N$3&lt;=$O$2,$D58,$D58-($D58-$I$49)*MIN(N$3-$O$2,$Q$2)/$Q$2))</f>
        <v>11935.6899715107</v>
      </c>
      <c r="O58" s="15" t="n">
        <f aca="false">SUMPRODUCT(E58:N58,1/(1+$F$49)^$E$3:$N$3)*$E$2</f>
        <v>39292.5926925104</v>
      </c>
      <c r="P58" s="15" t="n">
        <f aca="false">N58*$E$2*(1+$I$49)/($F$49-$I$49)/(1+$F$49)^$N$3</f>
        <v>64589.8816347421</v>
      </c>
      <c r="Q58" s="15" t="n">
        <f aca="false">O58+P58</f>
        <v>103882.474327252</v>
      </c>
      <c r="R58" s="15" t="n">
        <f aca="false">Q58-$G$2+$I$2</f>
        <v>84422.4743272525</v>
      </c>
      <c r="S58" s="40" t="n">
        <f aca="false">R58/$K$2</f>
        <v>150.381150941863</v>
      </c>
      <c r="T58" s="41" t="n">
        <f aca="false">S58-$M$2</f>
        <v>-5.42853572872249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0.009765625</v>
      </c>
      <c r="C59" s="25" t="n">
        <f aca="false">IF(T58&gt;0,D58,C58)</f>
        <v>0.015625</v>
      </c>
      <c r="D59" s="39" t="n">
        <f aca="false">(B59+C59)/2</f>
        <v>0.0126953125</v>
      </c>
      <c r="E59" s="15" t="n">
        <f aca="false">$C$2*(1+IF(E$3&lt;=$O$2,$D59,$D59-($D59-$I$49)*MIN(E$3-$O$2,$Q$2)/$Q$2))</f>
        <v>10694.0625</v>
      </c>
      <c r="F59" s="15" t="n">
        <f aca="false">E59*(1+IF(F$3&lt;=$O$2,$D59,$D59-($D59-$I$49)*MIN(F$3-$O$2,$Q$2)/$Q$2))</f>
        <v>10829.826965332</v>
      </c>
      <c r="G59" s="15" t="n">
        <f aca="false">F59*(1+IF(G$3&lt;=$O$2,$D59,$D59-($D59-$I$49)*MIN(G$3-$O$2,$Q$2)/$Q$2))</f>
        <v>10967.3150029778</v>
      </c>
      <c r="H59" s="15" t="n">
        <f aca="false">G59*(1+IF(H$3&lt;=$O$2,$D59,$D59-($D59-$I$49)*MIN(H$3-$O$2,$Q$2)/$Q$2))</f>
        <v>11106.5484942266</v>
      </c>
      <c r="I59" s="15" t="n">
        <f aca="false">H59*(1+IF(I$3&lt;=$O$2,$D59,$D59-($D59-$I$49)*MIN(I$3-$O$2,$Q$2)/$Q$2))</f>
        <v>11247.5495981572</v>
      </c>
      <c r="J59" s="15" t="n">
        <f aca="false">I59*(1+IF(J$3&lt;=$O$2,$D59,$D59-($D59-$I$49)*MIN(J$3-$O$2,$Q$2)/$Q$2))</f>
        <v>11402.9485552927</v>
      </c>
      <c r="K59" s="15" t="n">
        <f aca="false">J59*(1+IF(K$3&lt;=$O$2,$D59,$D59-($D59-$I$49)*MIN(K$3-$O$2,$Q$2)/$Q$2))</f>
        <v>11573.276535916</v>
      </c>
      <c r="L59" s="15" t="n">
        <f aca="false">K59*(1+IF(L$3&lt;=$O$2,$D59,$D59-($D59-$I$49)*MIN(L$3-$O$2,$Q$2)/$Q$2))</f>
        <v>11759.1216571893</v>
      </c>
      <c r="M59" s="15" t="n">
        <f aca="false">L59*(1+IF(M$3&lt;=$O$2,$D59,$D59-($D59-$I$49)*MIN(M$3-$O$2,$Q$2)/$Q$2))</f>
        <v>11961.1323430833</v>
      </c>
      <c r="N59" s="15" t="n">
        <f aca="false">M59*(1+IF(N$3&lt;=$O$2,$D59,$D59-($D59-$I$49)*MIN(N$3-$O$2,$Q$2)/$Q$2))</f>
        <v>12180.0210649617</v>
      </c>
      <c r="O59" s="15" t="n">
        <f aca="false">SUMPRODUCT(E59:N59,1/(1+$F$49)^$E$3:$N$3)*$E$2</f>
        <v>39807.3819239047</v>
      </c>
      <c r="P59" s="15" t="n">
        <f aca="false">N59*$E$2*(1+$I$49)/($F$49-$I$49)/(1+$F$49)^$N$3</f>
        <v>65912.0772047808</v>
      </c>
      <c r="Q59" s="15" t="n">
        <f aca="false">O59+P59</f>
        <v>105719.459128685</v>
      </c>
      <c r="R59" s="15" t="n">
        <f aca="false">Q59-$G$2+$I$2</f>
        <v>86259.4591286854</v>
      </c>
      <c r="S59" s="40" t="n">
        <f aca="false">R59/$K$2</f>
        <v>153.653358856918</v>
      </c>
      <c r="T59" s="41" t="n">
        <f aca="false">S59-$M$2</f>
        <v>-2.15632781366708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0.0126953125</v>
      </c>
      <c r="C60" s="25" t="n">
        <f aca="false">IF(T59&gt;0,D59,C59)</f>
        <v>0.015625</v>
      </c>
      <c r="D60" s="39" t="n">
        <f aca="false">(B60+C60)/2</f>
        <v>0.01416015625</v>
      </c>
      <c r="E60" s="15" t="n">
        <f aca="false">$C$2*(1+IF(E$3&lt;=$O$2,$D60,$D60-($D60-$I$49)*MIN(E$3-$O$2,$Q$2)/$Q$2))</f>
        <v>10709.53125</v>
      </c>
      <c r="F60" s="15" t="n">
        <f aca="false">E60*(1+IF(F$3&lt;=$O$2,$D60,$D60-($D60-$I$49)*MIN(F$3-$O$2,$Q$2)/$Q$2))</f>
        <v>10861.1798858643</v>
      </c>
      <c r="G60" s="15" t="n">
        <f aca="false">F60*(1+IF(G$3&lt;=$O$2,$D60,$D60-($D60-$I$49)*MIN(G$3-$O$2,$Q$2)/$Q$2))</f>
        <v>11014.9758901075</v>
      </c>
      <c r="H60" s="15" t="n">
        <f aca="false">G60*(1+IF(H$3&lt;=$O$2,$D60,$D60-($D60-$I$49)*MIN(H$3-$O$2,$Q$2)/$Q$2))</f>
        <v>11170.9496698014</v>
      </c>
      <c r="I60" s="15" t="n">
        <f aca="false">H60*(1+IF(I$3&lt;=$O$2,$D60,$D60-($D60-$I$49)*MIN(I$3-$O$2,$Q$2)/$Q$2))</f>
        <v>11329.1320625866</v>
      </c>
      <c r="J60" s="15" t="n">
        <f aca="false">I60*(1+IF(J$3&lt;=$O$2,$D60,$D60-($D60-$I$49)*MIN(J$3-$O$2,$Q$2)/$Q$2))</f>
        <v>11498.9345100822</v>
      </c>
      <c r="K60" s="15" t="n">
        <f aca="false">J60*(1+IF(K$3&lt;=$O$2,$D60,$D60-($D60-$I$49)*MIN(K$3-$O$2,$Q$2)/$Q$2))</f>
        <v>11680.8027363188</v>
      </c>
      <c r="L60" s="15" t="n">
        <f aca="false">K60*(1+IF(L$3&lt;=$O$2,$D60,$D60-($D60-$I$49)*MIN(L$3-$O$2,$Q$2)/$Q$2))</f>
        <v>11875.2187471122</v>
      </c>
      <c r="M60" s="15" t="n">
        <f aca="false">L60*(1+IF(M$3&lt;=$O$2,$D60,$D60-($D60-$I$49)*MIN(M$3-$O$2,$Q$2)/$Q$2))</f>
        <v>12082.7029401623</v>
      </c>
      <c r="N60" s="15" t="n">
        <f aca="false">M60*(1+IF(N$3&lt;=$O$2,$D60,$D60-($D60-$I$49)*MIN(N$3-$O$2,$Q$2)/$Q$2))</f>
        <v>12303.8164039673</v>
      </c>
      <c r="O60" s="15" t="n">
        <f aca="false">SUMPRODUCT(E60:N60,1/(1+$F$49)^$E$3:$N$3)*$E$2</f>
        <v>40067.3346924004</v>
      </c>
      <c r="P60" s="15" t="n">
        <f aca="false">N60*$E$2*(1+$I$49)/($F$49-$I$49)/(1+$F$49)^$N$3</f>
        <v>66581.9945964349</v>
      </c>
      <c r="Q60" s="15" t="n">
        <f aca="false">O60+P60</f>
        <v>106649.329288835</v>
      </c>
      <c r="R60" s="15" t="n">
        <f aca="false">Q60-$G$2+$I$2</f>
        <v>87189.3292888353</v>
      </c>
      <c r="S60" s="40" t="n">
        <f aca="false">R60/$K$2</f>
        <v>155.309729936115</v>
      </c>
      <c r="T60" s="41" t="n">
        <f aca="false">S60-$M$2</f>
        <v>-0.499956734470999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0.01416015625</v>
      </c>
      <c r="C61" s="25" t="n">
        <f aca="false">IF(T60&gt;0,D60,C60)</f>
        <v>0.015625</v>
      </c>
      <c r="D61" s="39" t="n">
        <f aca="false">(B61+C61)/2</f>
        <v>0.014892578125</v>
      </c>
      <c r="E61" s="15" t="n">
        <f aca="false">$C$2*(1+IF(E$3&lt;=$O$2,$D61,$D61-($D61-$I$49)*MIN(E$3-$O$2,$Q$2)/$Q$2))</f>
        <v>10717.265625</v>
      </c>
      <c r="F61" s="15" t="n">
        <f aca="false">E61*(1+IF(F$3&lt;=$O$2,$D61,$D61-($D61-$I$49)*MIN(F$3-$O$2,$Q$2)/$Q$2))</f>
        <v>10876.8733406067</v>
      </c>
      <c r="G61" s="15" t="n">
        <f aca="false">F61*(1+IF(G$3&lt;=$O$2,$D61,$D61-($D61-$I$49)*MIN(G$3-$O$2,$Q$2)/$Q$2))</f>
        <v>11038.8580265874</v>
      </c>
      <c r="H61" s="15" t="n">
        <f aca="false">G61*(1+IF(H$3&lt;=$O$2,$D61,$D61-($D61-$I$49)*MIN(H$3-$O$2,$Q$2)/$Q$2))</f>
        <v>11203.2550821591</v>
      </c>
      <c r="I61" s="15" t="n">
        <f aca="false">H61*(1+IF(I$3&lt;=$O$2,$D61,$D61-($D61-$I$49)*MIN(I$3-$O$2,$Q$2)/$Q$2))</f>
        <v>11370.1004337245</v>
      </c>
      <c r="J61" s="15" t="n">
        <f aca="false">I61*(1+IF(J$3&lt;=$O$2,$D61,$D61-($D61-$I$49)*MIN(J$3-$O$2,$Q$2)/$Q$2))</f>
        <v>11547.1790885106</v>
      </c>
      <c r="K61" s="15" t="n">
        <f aca="false">J61*(1+IF(K$3&lt;=$O$2,$D61,$D61-($D61-$I$49)*MIN(K$3-$O$2,$Q$2)/$Q$2))</f>
        <v>11734.8847994579</v>
      </c>
      <c r="L61" s="15" t="n">
        <f aca="false">K61*(1+IF(L$3&lt;=$O$2,$D61,$D61-($D61-$I$49)*MIN(L$3-$O$2,$Q$2)/$Q$2))</f>
        <v>11933.6389100215</v>
      </c>
      <c r="M61" s="15" t="n">
        <f aca="false">L61*(1+IF(M$3&lt;=$O$2,$D61,$D61-($D61-$I$49)*MIN(M$3-$O$2,$Q$2)/$Q$2))</f>
        <v>12143.8919136208</v>
      </c>
      <c r="N61" s="15" t="n">
        <f aca="false">M61*(1+IF(N$3&lt;=$O$2,$D61,$D61-($D61-$I$49)*MIN(N$3-$O$2,$Q$2)/$Q$2))</f>
        <v>12366.1251356401</v>
      </c>
      <c r="O61" s="15" t="n">
        <f aca="false">SUMPRODUCT(E61:N61,1/(1+$F$49)^$E$3:$N$3)*$E$2</f>
        <v>40197.9552503151</v>
      </c>
      <c r="P61" s="15" t="n">
        <f aca="false">N61*$E$2*(1+$I$49)/($F$49-$I$49)/(1+$F$49)^$N$3</f>
        <v>66919.1777515905</v>
      </c>
      <c r="Q61" s="15" t="n">
        <f aca="false">O61+P61</f>
        <v>107117.133001906</v>
      </c>
      <c r="R61" s="15" t="n">
        <f aca="false">Q61-$G$2+$I$2</f>
        <v>87657.1330019056</v>
      </c>
      <c r="S61" s="40" t="n">
        <f aca="false">R61/$K$2</f>
        <v>156.143025351192</v>
      </c>
      <c r="T61" s="41" t="n">
        <f aca="false">S61-$M$2</f>
        <v>0.333338680606346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0.01416015625</v>
      </c>
      <c r="C62" s="25" t="n">
        <f aca="false">IF(T61&gt;0,D61,C61)</f>
        <v>0.014892578125</v>
      </c>
      <c r="D62" s="39" t="n">
        <f aca="false">(B62+C62)/2</f>
        <v>0.0145263671875</v>
      </c>
      <c r="E62" s="15" t="n">
        <f aca="false">$C$2*(1+IF(E$3&lt;=$O$2,$D62,$D62-($D62-$I$49)*MIN(E$3-$O$2,$Q$2)/$Q$2))</f>
        <v>10713.3984375</v>
      </c>
      <c r="F62" s="15" t="n">
        <f aca="false">E62*(1+IF(F$3&lt;=$O$2,$D62,$D62-($D62-$I$49)*MIN(F$3-$O$2,$Q$2)/$Q$2))</f>
        <v>10869.0251970291</v>
      </c>
      <c r="G62" s="15" t="n">
        <f aca="false">F62*(1+IF(G$3&lt;=$O$2,$D62,$D62-($D62-$I$49)*MIN(G$3-$O$2,$Q$2)/$Q$2))</f>
        <v>11026.9126480113</v>
      </c>
      <c r="H62" s="15" t="n">
        <f aca="false">G62*(1+IF(H$3&lt;=$O$2,$D62,$D62-($D62-$I$49)*MIN(H$3-$O$2,$Q$2)/$Q$2))</f>
        <v>11187.0936300809</v>
      </c>
      <c r="I62" s="15" t="n">
        <f aca="false">H62*(1+IF(I$3&lt;=$O$2,$D62,$D62-($D62-$I$49)*MIN(I$3-$O$2,$Q$2)/$Q$2))</f>
        <v>11349.6014599123</v>
      </c>
      <c r="J62" s="15" t="n">
        <f aca="false">I62*(1+IF(J$3&lt;=$O$2,$D62,$D62-($D62-$I$49)*MIN(J$3-$O$2,$Q$2)/$Q$2))</f>
        <v>11523.0357838464</v>
      </c>
      <c r="K62" s="15" t="n">
        <f aca="false">J62*(1+IF(K$3&lt;=$O$2,$D62,$D62-($D62-$I$49)*MIN(K$3-$O$2,$Q$2)/$Q$2))</f>
        <v>11707.8171151307</v>
      </c>
      <c r="L62" s="15" t="n">
        <f aca="false">K62*(1+IF(L$3&lt;=$O$2,$D62,$D62-($D62-$I$49)*MIN(L$3-$O$2,$Q$2)/$Q$2))</f>
        <v>11904.3977672062</v>
      </c>
      <c r="M62" s="15" t="n">
        <f aca="false">L62*(1+IF(M$3&lt;=$O$2,$D62,$D62-($D62-$I$49)*MIN(M$3-$O$2,$Q$2)/$Q$2))</f>
        <v>12113.2636811406</v>
      </c>
      <c r="N62" s="15" t="n">
        <f aca="false">M62*(1+IF(N$3&lt;=$O$2,$D62,$D62-($D62-$I$49)*MIN(N$3-$O$2,$Q$2)/$Q$2))</f>
        <v>12334.9364065055</v>
      </c>
      <c r="O62" s="15" t="n">
        <f aca="false">SUMPRODUCT(E62:N62,1/(1+$F$49)^$E$3:$N$3)*$E$2</f>
        <v>40132.5911516534</v>
      </c>
      <c r="P62" s="15" t="n">
        <f aca="false">N62*$E$2*(1+$I$49)/($F$49-$I$49)/(1+$F$49)^$N$3</f>
        <v>66750.4002173257</v>
      </c>
      <c r="Q62" s="15" t="n">
        <f aca="false">O62+P62</f>
        <v>106882.991368979</v>
      </c>
      <c r="R62" s="15" t="n">
        <f aca="false">Q62-$G$2+$I$2</f>
        <v>87422.991368979</v>
      </c>
      <c r="S62" s="40" t="n">
        <f aca="false">R62/$K$2</f>
        <v>155.725950531679</v>
      </c>
      <c r="T62" s="41" t="n">
        <f aca="false">S62-$M$2</f>
        <v>-0.0837361389069145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0.0145263671875</v>
      </c>
      <c r="C63" s="25" t="n">
        <f aca="false">IF(T62&gt;0,D62,C62)</f>
        <v>0.014892578125</v>
      </c>
      <c r="D63" s="39" t="n">
        <f aca="false">(B63+C63)/2</f>
        <v>0.01470947265625</v>
      </c>
      <c r="E63" s="15" t="n">
        <f aca="false">$C$2*(1+IF(E$3&lt;=$O$2,$D63,$D63-($D63-$I$49)*MIN(E$3-$O$2,$Q$2)/$Q$2))</f>
        <v>10715.33203125</v>
      </c>
      <c r="F63" s="15" t="n">
        <f aca="false">E63*(1+IF(F$3&lt;=$O$2,$D63,$D63-($D63-$I$49)*MIN(F$3-$O$2,$Q$2)/$Q$2))</f>
        <v>10872.9489147663</v>
      </c>
      <c r="G63" s="15" t="n">
        <f aca="false">F63*(1+IF(G$3&lt;=$O$2,$D63,$D63-($D63-$I$49)*MIN(G$3-$O$2,$Q$2)/$Q$2))</f>
        <v>11032.8842595209</v>
      </c>
      <c r="H63" s="15" t="n">
        <f aca="false">G63*(1+IF(H$3&lt;=$O$2,$D63,$D63-($D63-$I$49)*MIN(H$3-$O$2,$Q$2)/$Q$2))</f>
        <v>11195.1721688559</v>
      </c>
      <c r="I63" s="15" t="n">
        <f aca="false">H63*(1+IF(I$3&lt;=$O$2,$D63,$D63-($D63-$I$49)*MIN(I$3-$O$2,$Q$2)/$Q$2))</f>
        <v>11359.8472477557</v>
      </c>
      <c r="J63" s="15" t="n">
        <f aca="false">I63*(1+IF(J$3&lt;=$O$2,$D63,$D63-($D63-$I$49)*MIN(J$3-$O$2,$Q$2)/$Q$2))</f>
        <v>11535.1021786585</v>
      </c>
      <c r="K63" s="15" t="n">
        <f aca="false">J63*(1+IF(K$3&lt;=$O$2,$D63,$D63-($D63-$I$49)*MIN(K$3-$O$2,$Q$2)/$Q$2))</f>
        <v>11721.3442886567</v>
      </c>
      <c r="L63" s="15" t="n">
        <f aca="false">K63*(1+IF(L$3&lt;=$O$2,$D63,$D63-($D63-$I$49)*MIN(L$3-$O$2,$Q$2)/$Q$2))</f>
        <v>11919.0105662695</v>
      </c>
      <c r="M63" s="15" t="n">
        <f aca="false">L63*(1+IF(M$3&lt;=$O$2,$D63,$D63-($D63-$I$49)*MIN(M$3-$O$2,$Q$2)/$Q$2))</f>
        <v>12128.5693529625</v>
      </c>
      <c r="N63" s="15" t="n">
        <f aca="false">M63*(1+IF(N$3&lt;=$O$2,$D63,$D63-($D63-$I$49)*MIN(N$3-$O$2,$Q$2)/$Q$2))</f>
        <v>12350.5221721217</v>
      </c>
      <c r="O63" s="15" t="n">
        <f aca="false">SUMPRODUCT(E63:N63,1/(1+$F$49)^$E$3:$N$3)*$E$2</f>
        <v>40165.2597356465</v>
      </c>
      <c r="P63" s="15" t="n">
        <f aca="false">N63*$E$2*(1+$I$49)/($F$49-$I$49)/(1+$F$49)^$N$3</f>
        <v>66834.74245131</v>
      </c>
      <c r="Q63" s="15" t="n">
        <f aca="false">O63+P63</f>
        <v>107000.002186956</v>
      </c>
      <c r="R63" s="15" t="n">
        <f aca="false">Q63-$G$2+$I$2</f>
        <v>87540.0021869565</v>
      </c>
      <c r="S63" s="40" t="n">
        <f aca="false">R63/$K$2</f>
        <v>155.934381066561</v>
      </c>
      <c r="T63" s="41" t="n">
        <f aca="false">S63-$M$2</f>
        <v>0.124694395975126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0.0145263671875</v>
      </c>
      <c r="C64" s="25" t="n">
        <f aca="false">IF(T63&gt;0,D63,C63)</f>
        <v>0.01470947265625</v>
      </c>
      <c r="D64" s="39" t="n">
        <f aca="false">(B64+C64)/2</f>
        <v>0.014617919921875</v>
      </c>
      <c r="E64" s="15" t="n">
        <f aca="false">$C$2*(1+IF(E$3&lt;=$O$2,$D64,$D64-($D64-$I$49)*MIN(E$3-$O$2,$Q$2)/$Q$2))</f>
        <v>10714.365234375</v>
      </c>
      <c r="F64" s="15" t="n">
        <f aca="false">E64*(1+IF(F$3&lt;=$O$2,$D64,$D64-($D64-$I$49)*MIN(F$3-$O$2,$Q$2)/$Q$2))</f>
        <v>10870.9869673848</v>
      </c>
      <c r="G64" s="15" t="n">
        <f aca="false">F64*(1+IF(G$3&lt;=$O$2,$D64,$D64-($D64-$I$49)*MIN(G$3-$O$2,$Q$2)/$Q$2))</f>
        <v>11029.8981843458</v>
      </c>
      <c r="H64" s="15" t="n">
        <f aca="false">G64*(1+IF(H$3&lt;=$O$2,$D64,$D64-($D64-$I$49)*MIN(H$3-$O$2,$Q$2)/$Q$2))</f>
        <v>11191.132352751</v>
      </c>
      <c r="I64" s="15" t="n">
        <f aca="false">H64*(1+IF(I$3&lt;=$O$2,$D64,$D64-($D64-$I$49)*MIN(I$3-$O$2,$Q$2)/$Q$2))</f>
        <v>11354.7234293186</v>
      </c>
      <c r="J64" s="15" t="n">
        <f aca="false">I64*(1+IF(J$3&lt;=$O$2,$D64,$D64-($D64-$I$49)*MIN(J$3-$O$2,$Q$2)/$Q$2))</f>
        <v>11529.0676673298</v>
      </c>
      <c r="K64" s="15" t="n">
        <f aca="false">J64*(1+IF(K$3&lt;=$O$2,$D64,$D64-($D64-$I$49)*MIN(K$3-$O$2,$Q$2)/$Q$2))</f>
        <v>11714.5790354156</v>
      </c>
      <c r="L64" s="15" t="n">
        <f aca="false">K64*(1+IF(L$3&lt;=$O$2,$D64,$D64-($D64-$I$49)*MIN(L$3-$O$2,$Q$2)/$Q$2))</f>
        <v>11911.7022245277</v>
      </c>
      <c r="M64" s="15" t="n">
        <f aca="false">L64*(1+IF(M$3&lt;=$O$2,$D64,$D64-($D64-$I$49)*MIN(M$3-$O$2,$Q$2)/$Q$2))</f>
        <v>12120.9144069451</v>
      </c>
      <c r="N64" s="15" t="n">
        <f aca="false">M64*(1+IF(N$3&lt;=$O$2,$D64,$D64-($D64-$I$49)*MIN(N$3-$O$2,$Q$2)/$Q$2))</f>
        <v>12342.7271405922</v>
      </c>
      <c r="O64" s="15" t="n">
        <f aca="false">SUMPRODUCT(E64:N64,1/(1+$F$49)^$E$3:$N$3)*$E$2</f>
        <v>40148.9220786175</v>
      </c>
      <c r="P64" s="15" t="n">
        <f aca="false">N64*$E$2*(1+$I$49)/($F$49-$I$49)/(1+$F$49)^$N$3</f>
        <v>66792.5597065306</v>
      </c>
      <c r="Q64" s="15" t="n">
        <f aca="false">O64+P64</f>
        <v>106941.481785148</v>
      </c>
      <c r="R64" s="15" t="n">
        <f aca="false">Q64-$G$2+$I$2</f>
        <v>87481.4817851481</v>
      </c>
      <c r="S64" s="40" t="n">
        <f aca="false">R64/$K$2</f>
        <v>155.830139092517</v>
      </c>
      <c r="T64" s="41" t="n">
        <f aca="false">S64-$M$2</f>
        <v>0.0204524219313953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0.0145263671875</v>
      </c>
      <c r="C65" s="25" t="n">
        <f aca="false">IF(T64&gt;0,D64,C64)</f>
        <v>0.014617919921875</v>
      </c>
      <c r="D65" s="39" t="n">
        <f aca="false">(B65+C65)/2</f>
        <v>0.0145721435546875</v>
      </c>
      <c r="E65" s="15" t="n">
        <f aca="false">$C$2*(1+IF(E$3&lt;=$O$2,$D65,$D65-($D65-$I$49)*MIN(E$3-$O$2,$Q$2)/$Q$2))</f>
        <v>10713.8818359375</v>
      </c>
      <c r="F65" s="15" t="n">
        <f aca="false">E65*(1+IF(F$3&lt;=$O$2,$D65,$D65-($D65-$I$49)*MIN(F$3-$O$2,$Q$2)/$Q$2))</f>
        <v>10870.0060600787</v>
      </c>
      <c r="G65" s="15" t="n">
        <f aca="false">F65*(1+IF(G$3&lt;=$O$2,$D65,$D65-($D65-$I$49)*MIN(G$3-$O$2,$Q$2)/$Q$2))</f>
        <v>11028.4053488265</v>
      </c>
      <c r="H65" s="15" t="n">
        <f aca="false">G65*(1+IF(H$3&lt;=$O$2,$D65,$D65-($D65-$I$49)*MIN(H$3-$O$2,$Q$2)/$Q$2))</f>
        <v>11189.1128547489</v>
      </c>
      <c r="I65" s="15" t="n">
        <f aca="false">H65*(1+IF(I$3&lt;=$O$2,$D65,$D65-($D65-$I$49)*MIN(I$3-$O$2,$Q$2)/$Q$2))</f>
        <v>11352.1622135179</v>
      </c>
      <c r="J65" s="15" t="n">
        <f aca="false">I65*(1+IF(J$3&lt;=$O$2,$D65,$D65-($D65-$I$49)*MIN(J$3-$O$2,$Q$2)/$Q$2))</f>
        <v>11526.0513971646</v>
      </c>
      <c r="K65" s="15" t="n">
        <f aca="false">J65*(1+IF(K$3&lt;=$O$2,$D65,$D65-($D65-$I$49)*MIN(K$3-$O$2,$Q$2)/$Q$2))</f>
        <v>11711.1976587387</v>
      </c>
      <c r="L65" s="15" t="n">
        <f aca="false">K65*(1+IF(L$3&lt;=$O$2,$D65,$D65-($D65-$I$49)*MIN(L$3-$O$2,$Q$2)/$Q$2))</f>
        <v>11908.0495104239</v>
      </c>
      <c r="M65" s="15" t="n">
        <f aca="false">L65*(1+IF(M$3&lt;=$O$2,$D65,$D65-($D65-$I$49)*MIN(M$3-$O$2,$Q$2)/$Q$2))</f>
        <v>12117.0885166409</v>
      </c>
      <c r="N65" s="15" t="n">
        <f aca="false">M65*(1+IF(N$3&lt;=$O$2,$D65,$D65-($D65-$I$49)*MIN(N$3-$O$2,$Q$2)/$Q$2))</f>
        <v>12338.8312364954</v>
      </c>
      <c r="O65" s="15" t="n">
        <f aca="false">SUMPRODUCT(E65:N65,1/(1+$F$49)^$E$3:$N$3)*$E$2</f>
        <v>40140.75577404</v>
      </c>
      <c r="P65" s="15" t="n">
        <f aca="false">N65*$E$2*(1+$I$49)/($F$49-$I$49)/(1+$F$49)^$N$3</f>
        <v>66771.4770556685</v>
      </c>
      <c r="Q65" s="15" t="n">
        <f aca="false">O65+P65</f>
        <v>106912.232829709</v>
      </c>
      <c r="R65" s="15" t="n">
        <f aca="false">Q65-$G$2+$I$2</f>
        <v>87452.2328297086</v>
      </c>
      <c r="S65" s="40" t="n">
        <f aca="false">R65/$K$2</f>
        <v>155.778038136961</v>
      </c>
      <c r="T65" s="41" t="n">
        <f aca="false">S65-$M$2</f>
        <v>-0.0316485336244341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0.0145721435546875</v>
      </c>
      <c r="C66" s="25" t="n">
        <f aca="false">IF(T65&gt;0,D65,C65)</f>
        <v>0.014617919921875</v>
      </c>
      <c r="D66" s="39" t="n">
        <f aca="false">(B66+C66)/2</f>
        <v>0.0145950317382813</v>
      </c>
      <c r="E66" s="15" t="n">
        <f aca="false">$C$2*(1+IF(E$3&lt;=$O$2,$D66,$D66-($D66-$I$49)*MIN(E$3-$O$2,$Q$2)/$Q$2))</f>
        <v>10714.1235351563</v>
      </c>
      <c r="F66" s="15" t="n">
        <f aca="false">E66*(1+IF(F$3&lt;=$O$2,$D66,$D66-($D66-$I$49)*MIN(F$3-$O$2,$Q$2)/$Q$2))</f>
        <v>10870.4965081997</v>
      </c>
      <c r="G66" s="15" t="n">
        <f aca="false">F66*(1+IF(G$3&lt;=$O$2,$D66,$D66-($D66-$I$49)*MIN(G$3-$O$2,$Q$2)/$Q$2))</f>
        <v>11029.1517497478</v>
      </c>
      <c r="H66" s="15" t="n">
        <f aca="false">G66*(1+IF(H$3&lt;=$O$2,$D66,$D66-($D66-$I$49)*MIN(H$3-$O$2,$Q$2)/$Q$2))</f>
        <v>11190.1225695817</v>
      </c>
      <c r="I66" s="15" t="n">
        <f aca="false">H66*(1+IF(I$3&lt;=$O$2,$D66,$D66-($D66-$I$49)*MIN(I$3-$O$2,$Q$2)/$Q$2))</f>
        <v>11353.44276364</v>
      </c>
      <c r="J66" s="15" t="n">
        <f aca="false">I66*(1+IF(J$3&lt;=$O$2,$D66,$D66-($D66-$I$49)*MIN(J$3-$O$2,$Q$2)/$Q$2))</f>
        <v>11527.5594501342</v>
      </c>
      <c r="K66" s="15" t="n">
        <f aca="false">J66*(1+IF(K$3&lt;=$O$2,$D66,$D66-($D66-$I$49)*MIN(K$3-$O$2,$Q$2)/$Q$2))</f>
        <v>11712.8882429329</v>
      </c>
      <c r="L66" s="15" t="n">
        <f aca="false">K66*(1+IF(L$3&lt;=$O$2,$D66,$D66-($D66-$I$49)*MIN(L$3-$O$2,$Q$2)/$Q$2))</f>
        <v>11909.8757461013</v>
      </c>
      <c r="M66" s="15" t="n">
        <f aca="false">L66*(1+IF(M$3&lt;=$O$2,$D66,$D66-($D66-$I$49)*MIN(M$3-$O$2,$Q$2)/$Q$2))</f>
        <v>12119.0013299269</v>
      </c>
      <c r="N66" s="15" t="n">
        <f aca="false">M66*(1+IF(N$3&lt;=$O$2,$D66,$D66-($D66-$I$49)*MIN(N$3-$O$2,$Q$2)/$Q$2))</f>
        <v>12340.7790542646</v>
      </c>
      <c r="O66" s="15" t="n">
        <f aca="false">SUMPRODUCT(E66:N66,1/(1+$F$49)^$E$3:$N$3)*$E$2</f>
        <v>40144.8387160346</v>
      </c>
      <c r="P66" s="15" t="n">
        <f aca="false">N66*$E$2*(1+$I$49)/($F$49-$I$49)/(1+$F$49)^$N$3</f>
        <v>66782.0176544488</v>
      </c>
      <c r="Q66" s="15" t="n">
        <f aca="false">O66+P66</f>
        <v>106926.856370483</v>
      </c>
      <c r="R66" s="15" t="n">
        <f aca="false">Q66-$G$2+$I$2</f>
        <v>87466.8563704834</v>
      </c>
      <c r="S66" s="40" t="n">
        <f aca="false">R66/$K$2</f>
        <v>155.804086945766</v>
      </c>
      <c r="T66" s="41" t="n">
        <f aca="false">S66-$M$2</f>
        <v>-0.00559972481991622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0.0145950317382813</v>
      </c>
      <c r="C67" s="25" t="n">
        <f aca="false">IF(T66&gt;0,D66,C66)</f>
        <v>0.014617919921875</v>
      </c>
      <c r="D67" s="39" t="n">
        <f aca="false">(B67+C67)/2</f>
        <v>0.0146064758300781</v>
      </c>
      <c r="E67" s="15" t="n">
        <f aca="false">$C$2*(1+IF(E$3&lt;=$O$2,$D67,$D67-($D67-$I$49)*MIN(E$3-$O$2,$Q$2)/$Q$2))</f>
        <v>10714.2443847656</v>
      </c>
      <c r="F67" s="15" t="n">
        <f aca="false">E67*(1+IF(F$3&lt;=$O$2,$D67,$D67-($D67-$I$49)*MIN(F$3-$O$2,$Q$2)/$Q$2))</f>
        <v>10870.7417364093</v>
      </c>
      <c r="G67" s="15" t="n">
        <f aca="false">F67*(1+IF(G$3&lt;=$O$2,$D67,$D67-($D67-$I$49)*MIN(G$3-$O$2,$Q$2)/$Q$2))</f>
        <v>11029.5249628371</v>
      </c>
      <c r="H67" s="15" t="n">
        <f aca="false">G67*(1+IF(H$3&lt;=$O$2,$D67,$D67-($D67-$I$49)*MIN(H$3-$O$2,$Q$2)/$Q$2))</f>
        <v>11190.6274526241</v>
      </c>
      <c r="I67" s="15" t="n">
        <f aca="false">H67*(1+IF(I$3&lt;=$O$2,$D67,$D67-($D67-$I$49)*MIN(I$3-$O$2,$Q$2)/$Q$2))</f>
        <v>11354.0830820342</v>
      </c>
      <c r="J67" s="15" t="n">
        <f aca="false">I67*(1+IF(J$3&lt;=$O$2,$D67,$D67-($D67-$I$49)*MIN(J$3-$O$2,$Q$2)/$Q$2))</f>
        <v>11528.3135382028</v>
      </c>
      <c r="K67" s="15" t="n">
        <f aca="false">J67*(1+IF(K$3&lt;=$O$2,$D67,$D67-($D67-$I$49)*MIN(K$3-$O$2,$Q$2)/$Q$2))</f>
        <v>11713.7336131369</v>
      </c>
      <c r="L67" s="15" t="n">
        <f aca="false">K67*(1+IF(L$3&lt;=$O$2,$D67,$D67-($D67-$I$49)*MIN(L$3-$O$2,$Q$2)/$Q$2))</f>
        <v>11910.7889549692</v>
      </c>
      <c r="M67" s="15" t="n">
        <f aca="false">L67*(1+IF(M$3&lt;=$O$2,$D67,$D67-($D67-$I$49)*MIN(M$3-$O$2,$Q$2)/$Q$2))</f>
        <v>12119.9578354675</v>
      </c>
      <c r="N67" s="15" t="n">
        <f aca="false">M67*(1+IF(N$3&lt;=$O$2,$D67,$D67-($D67-$I$49)*MIN(N$3-$O$2,$Q$2)/$Q$2))</f>
        <v>12341.7530638566</v>
      </c>
      <c r="O67" s="15" t="n">
        <f aca="false">SUMPRODUCT(E67:N67,1/(1+$F$49)^$E$3:$N$3)*$E$2</f>
        <v>40146.88034475</v>
      </c>
      <c r="P67" s="15" t="n">
        <f aca="false">N67*$E$2*(1+$I$49)/($F$49-$I$49)/(1+$F$49)^$N$3</f>
        <v>66787.2884988162</v>
      </c>
      <c r="Q67" s="15" t="n">
        <f aca="false">O67+P67</f>
        <v>106934.168843566</v>
      </c>
      <c r="R67" s="15" t="n">
        <f aca="false">Q67-$G$2+$I$2</f>
        <v>87474.1688435662</v>
      </c>
      <c r="S67" s="40" t="n">
        <f aca="false">R67/$K$2</f>
        <v>155.817112601874</v>
      </c>
      <c r="T67" s="41" t="n">
        <f aca="false">S67-$M$2</f>
        <v>0.00742593128870794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0.0145950317382813</v>
      </c>
      <c r="C68" s="25" t="n">
        <f aca="false">IF(T67&gt;0,D67,C67)</f>
        <v>0.0146064758300781</v>
      </c>
      <c r="D68" s="39" t="n">
        <f aca="false">(B68+C68)/2</f>
        <v>0.0146007537841797</v>
      </c>
      <c r="E68" s="15" t="n">
        <f aca="false">$C$2*(1+IF(E$3&lt;=$O$2,$D68,$D68-($D68-$I$49)*MIN(E$3-$O$2,$Q$2)/$Q$2))</f>
        <v>10714.1839599609</v>
      </c>
      <c r="F68" s="15" t="n">
        <f aca="false">E68*(1+IF(F$3&lt;=$O$2,$D68,$D68-($D68-$I$49)*MIN(F$3-$O$2,$Q$2)/$Q$2))</f>
        <v>10870.6191219587</v>
      </c>
      <c r="G68" s="15" t="n">
        <f aca="false">F68*(1+IF(G$3&lt;=$O$2,$D68,$D68-($D68-$I$49)*MIN(G$3-$O$2,$Q$2)/$Q$2))</f>
        <v>11029.3383552401</v>
      </c>
      <c r="H68" s="15" t="n">
        <f aca="false">G68*(1+IF(H$3&lt;=$O$2,$D68,$D68-($D68-$I$49)*MIN(H$3-$O$2,$Q$2)/$Q$2))</f>
        <v>11190.3750089673</v>
      </c>
      <c r="I68" s="15" t="n">
        <f aca="false">H68*(1+IF(I$3&lt;=$O$2,$D68,$D68-($D68-$I$49)*MIN(I$3-$O$2,$Q$2)/$Q$2))</f>
        <v>11353.7629192259</v>
      </c>
      <c r="J68" s="15" t="n">
        <f aca="false">I68*(1+IF(J$3&lt;=$O$2,$D68,$D68-($D68-$I$49)*MIN(J$3-$O$2,$Q$2)/$Q$2))</f>
        <v>11527.9364890363</v>
      </c>
      <c r="K68" s="15" t="n">
        <f aca="false">J68*(1+IF(K$3&lt;=$O$2,$D68,$D68-($D68-$I$49)*MIN(K$3-$O$2,$Q$2)/$Q$2))</f>
        <v>11713.3109215257</v>
      </c>
      <c r="L68" s="15" t="n">
        <f aca="false">K68*(1+IF(L$3&lt;=$O$2,$D68,$D68-($D68-$I$49)*MIN(L$3-$O$2,$Q$2)/$Q$2))</f>
        <v>11910.3323429492</v>
      </c>
      <c r="M68" s="15" t="n">
        <f aca="false">L68*(1+IF(M$3&lt;=$O$2,$D68,$D68-($D68-$I$49)*MIN(M$3-$O$2,$Q$2)/$Q$2))</f>
        <v>12119.4795744554</v>
      </c>
      <c r="N68" s="15" t="n">
        <f aca="false">M68*(1+IF(N$3&lt;=$O$2,$D68,$D68-($D68-$I$49)*MIN(N$3-$O$2,$Q$2)/$Q$2))</f>
        <v>12341.2660506679</v>
      </c>
      <c r="O68" s="15" t="n">
        <f aca="false">SUMPRODUCT(E68:N68,1/(1+$F$49)^$E$3:$N$3)*$E$2</f>
        <v>40145.8595172486</v>
      </c>
      <c r="P68" s="15" t="n">
        <f aca="false">N68*$E$2*(1+$I$49)/($F$49-$I$49)/(1+$F$49)^$N$3</f>
        <v>66784.6530312155</v>
      </c>
      <c r="Q68" s="15" t="n">
        <f aca="false">O68+P68</f>
        <v>106930.512548464</v>
      </c>
      <c r="R68" s="15" t="n">
        <f aca="false">Q68-$G$2+$I$2</f>
        <v>87470.512548464</v>
      </c>
      <c r="S68" s="40" t="n">
        <f aca="false">R68/$K$2</f>
        <v>155.810599669506</v>
      </c>
      <c r="T68" s="41" t="n">
        <f aca="false">S68-$M$2</f>
        <v>0.000912998920597374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0.0145950317382813</v>
      </c>
      <c r="C69" s="25" t="n">
        <f aca="false">IF(T68&gt;0,D68,C68)</f>
        <v>0.0146007537841797</v>
      </c>
      <c r="D69" s="39" t="n">
        <f aca="false">(B69+C69)/2</f>
        <v>0.0145978927612305</v>
      </c>
      <c r="E69" s="15" t="n">
        <f aca="false">$C$2*(1+IF(E$3&lt;=$O$2,$D69,$D69-($D69-$I$49)*MIN(E$3-$O$2,$Q$2)/$Q$2))</f>
        <v>10714.1537475586</v>
      </c>
      <c r="F69" s="15" t="n">
        <f aca="false">E69*(1+IF(F$3&lt;=$O$2,$D69,$D69-($D69-$I$49)*MIN(F$3-$O$2,$Q$2)/$Q$2))</f>
        <v>10870.5578149928</v>
      </c>
      <c r="G69" s="15" t="n">
        <f aca="false">F69*(1+IF(G$3&lt;=$O$2,$D69,$D69-($D69-$I$49)*MIN(G$3-$O$2,$Q$2)/$Q$2))</f>
        <v>11029.2450522308</v>
      </c>
      <c r="H69" s="15" t="n">
        <f aca="false">G69*(1+IF(H$3&lt;=$O$2,$D69,$D69-($D69-$I$49)*MIN(H$3-$O$2,$Q$2)/$Q$2))</f>
        <v>11190.2487887406</v>
      </c>
      <c r="I69" s="15" t="n">
        <f aca="false">H69*(1+IF(I$3&lt;=$O$2,$D69,$D69-($D69-$I$49)*MIN(I$3-$O$2,$Q$2)/$Q$2))</f>
        <v>11353.6028405301</v>
      </c>
      <c r="J69" s="15" t="n">
        <f aca="false">I69*(1+IF(J$3&lt;=$O$2,$D69,$D69-($D69-$I$49)*MIN(J$3-$O$2,$Q$2)/$Q$2))</f>
        <v>11527.7479683022</v>
      </c>
      <c r="K69" s="15" t="n">
        <f aca="false">J69*(1+IF(K$3&lt;=$O$2,$D69,$D69-($D69-$I$49)*MIN(K$3-$O$2,$Q$2)/$Q$2))</f>
        <v>11713.099580602</v>
      </c>
      <c r="L69" s="15" t="n">
        <f aca="false">K69*(1+IF(L$3&lt;=$O$2,$D69,$D69-($D69-$I$49)*MIN(L$3-$O$2,$Q$2)/$Q$2))</f>
        <v>11910.1040426287</v>
      </c>
      <c r="M69" s="15" t="n">
        <f aca="false">L69*(1+IF(M$3&lt;=$O$2,$D69,$D69-($D69-$I$49)*MIN(M$3-$O$2,$Q$2)/$Q$2))</f>
        <v>12119.2404501307</v>
      </c>
      <c r="N69" s="15" t="n">
        <f aca="false">M69*(1+IF(N$3&lt;=$O$2,$D69,$D69-($D69-$I$49)*MIN(N$3-$O$2,$Q$2)/$Q$2))</f>
        <v>12341.0225503681</v>
      </c>
      <c r="O69" s="15" t="n">
        <f aca="false">SUMPRODUCT(E69:N69,1/(1+$F$49)^$E$3:$N$3)*$E$2</f>
        <v>40145.3491133557</v>
      </c>
      <c r="P69" s="15" t="n">
        <f aca="false">N69*$E$2*(1+$I$49)/($F$49-$I$49)/(1+$F$49)^$N$3</f>
        <v>66783.335331478</v>
      </c>
      <c r="Q69" s="15" t="n">
        <f aca="false">O69+P69</f>
        <v>106928.684444834</v>
      </c>
      <c r="R69" s="15" t="n">
        <f aca="false">Q69-$G$2+$I$2</f>
        <v>87468.6844448337</v>
      </c>
      <c r="S69" s="40" t="n">
        <f aca="false">R69/$K$2</f>
        <v>155.807343281558</v>
      </c>
      <c r="T69" s="41" t="n">
        <f aca="false">S69-$M$2</f>
        <v>-0.00234338902771469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0.0145978927612305</v>
      </c>
      <c r="C70" s="25" t="n">
        <f aca="false">IF(T69&gt;0,D69,C69)</f>
        <v>0.0146007537841797</v>
      </c>
      <c r="D70" s="39" t="n">
        <f aca="false">(B70+C70)/2</f>
        <v>0.0145993232727051</v>
      </c>
      <c r="E70" s="15" t="n">
        <f aca="false">$C$2*(1+IF(E$3&lt;=$O$2,$D70,$D70-($D70-$I$49)*MIN(E$3-$O$2,$Q$2)/$Q$2))</f>
        <v>10714.1688537598</v>
      </c>
      <c r="F70" s="15" t="n">
        <f aca="false">E70*(1+IF(F$3&lt;=$O$2,$D70,$D70-($D70-$I$49)*MIN(F$3-$O$2,$Q$2)/$Q$2))</f>
        <v>10870.5884684542</v>
      </c>
      <c r="G70" s="15" t="n">
        <f aca="false">F70*(1+IF(G$3&lt;=$O$2,$D70,$D70-($D70-$I$49)*MIN(G$3-$O$2,$Q$2)/$Q$2))</f>
        <v>11029.2917036697</v>
      </c>
      <c r="H70" s="15" t="n">
        <f aca="false">G70*(1+IF(H$3&lt;=$O$2,$D70,$D70-($D70-$I$49)*MIN(H$3-$O$2,$Q$2)/$Q$2))</f>
        <v>11190.3118987205</v>
      </c>
      <c r="I70" s="15" t="n">
        <f aca="false">H70*(1+IF(I$3&lt;=$O$2,$D70,$D70-($D70-$I$49)*MIN(I$3-$O$2,$Q$2)/$Q$2))</f>
        <v>11353.6828796523</v>
      </c>
      <c r="J70" s="15" t="n">
        <f aca="false">I70*(1+IF(J$3&lt;=$O$2,$D70,$D70-($D70-$I$49)*MIN(J$3-$O$2,$Q$2)/$Q$2))</f>
        <v>11527.8422283485</v>
      </c>
      <c r="K70" s="15" t="n">
        <f aca="false">J70*(1+IF(K$3&lt;=$O$2,$D70,$D70-($D70-$I$49)*MIN(K$3-$O$2,$Q$2)/$Q$2))</f>
        <v>11713.205250657</v>
      </c>
      <c r="L70" s="15" t="n">
        <f aca="false">K70*(1+IF(L$3&lt;=$O$2,$D70,$D70-($D70-$I$49)*MIN(L$3-$O$2,$Q$2)/$Q$2))</f>
        <v>11910.2181923148</v>
      </c>
      <c r="M70" s="15" t="n">
        <f aca="false">L70*(1+IF(M$3&lt;=$O$2,$D70,$D70-($D70-$I$49)*MIN(M$3-$O$2,$Q$2)/$Q$2))</f>
        <v>12119.3600117779</v>
      </c>
      <c r="N70" s="15" t="n">
        <f aca="false">M70*(1+IF(N$3&lt;=$O$2,$D70,$D70-($D70-$I$49)*MIN(N$3-$O$2,$Q$2)/$Q$2))</f>
        <v>12341.1442999935</v>
      </c>
      <c r="O70" s="15" t="n">
        <f aca="false">SUMPRODUCT(E70:N70,1/(1+$F$49)^$E$3:$N$3)*$E$2</f>
        <v>40145.6043144807</v>
      </c>
      <c r="P70" s="15" t="n">
        <f aca="false">N70*$E$2*(1+$I$49)/($F$49-$I$49)/(1+$F$49)^$N$3</f>
        <v>66783.9941785082</v>
      </c>
      <c r="Q70" s="15" t="n">
        <f aca="false">O70+P70</f>
        <v>106929.598492989</v>
      </c>
      <c r="R70" s="15" t="n">
        <f aca="false">Q70-$G$2+$I$2</f>
        <v>87469.5984929889</v>
      </c>
      <c r="S70" s="40" t="n">
        <f aca="false">R70/$K$2</f>
        <v>155.808971469012</v>
      </c>
      <c r="T70" s="41" t="n">
        <f aca="false">S70-$M$2</f>
        <v>-0.000715201573086688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0.0145993232727051</v>
      </c>
      <c r="C71" s="25" t="n">
        <f aca="false">IF(T70&gt;0,D70,C70)</f>
        <v>0.0146007537841797</v>
      </c>
      <c r="D71" s="39" t="n">
        <f aca="false">(B71+C71)/2</f>
        <v>0.0146000385284424</v>
      </c>
      <c r="E71" s="15" t="n">
        <f aca="false">$C$2*(1+IF(E$3&lt;=$O$2,$D71,$D71-($D71-$I$49)*MIN(E$3-$O$2,$Q$2)/$Q$2))</f>
        <v>10714.1764068604</v>
      </c>
      <c r="F71" s="15" t="n">
        <f aca="false">E71*(1+IF(F$3&lt;=$O$2,$D71,$D71-($D71-$I$49)*MIN(F$3-$O$2,$Q$2)/$Q$2))</f>
        <v>10870.603795201</v>
      </c>
      <c r="G71" s="15" t="n">
        <f aca="false">F71*(1+IF(G$3&lt;=$O$2,$D71,$D71-($D71-$I$49)*MIN(G$3-$O$2,$Q$2)/$Q$2))</f>
        <v>11029.3150294384</v>
      </c>
      <c r="H71" s="15" t="n">
        <f aca="false">G71*(1+IF(H$3&lt;=$O$2,$D71,$D71-($D71-$I$49)*MIN(H$3-$O$2,$Q$2)/$Q$2))</f>
        <v>11190.3434538105</v>
      </c>
      <c r="I71" s="15" t="n">
        <f aca="false">H71*(1+IF(I$3&lt;=$O$2,$D71,$D71-($D71-$I$49)*MIN(I$3-$O$2,$Q$2)/$Q$2))</f>
        <v>11353.7228993827</v>
      </c>
      <c r="J71" s="15" t="n">
        <f aca="false">I71*(1+IF(J$3&lt;=$O$2,$D71,$D71-($D71-$I$49)*MIN(J$3-$O$2,$Q$2)/$Q$2))</f>
        <v>11527.8893586122</v>
      </c>
      <c r="K71" s="15" t="n">
        <f aca="false">J71*(1+IF(K$3&lt;=$O$2,$D71,$D71-($D71-$I$49)*MIN(K$3-$O$2,$Q$2)/$Q$2))</f>
        <v>11713.2580859897</v>
      </c>
      <c r="L71" s="15" t="n">
        <f aca="false">K71*(1+IF(L$3&lt;=$O$2,$D71,$D71-($D71-$I$49)*MIN(L$3-$O$2,$Q$2)/$Q$2))</f>
        <v>11910.2752675134</v>
      </c>
      <c r="M71" s="15" t="n">
        <f aca="false">L71*(1+IF(M$3&lt;=$O$2,$D71,$D71-($D71-$I$49)*MIN(M$3-$O$2,$Q$2)/$Q$2))</f>
        <v>12119.4197929879</v>
      </c>
      <c r="N71" s="15" t="n">
        <f aca="false">M71*(1+IF(N$3&lt;=$O$2,$D71,$D71-($D71-$I$49)*MIN(N$3-$O$2,$Q$2)/$Q$2))</f>
        <v>12341.2051751995</v>
      </c>
      <c r="O71" s="15" t="n">
        <f aca="false">SUMPRODUCT(E71:N71,1/(1+$F$49)^$E$3:$N$3)*$E$2</f>
        <v>40145.7319156592</v>
      </c>
      <c r="P71" s="15" t="n">
        <f aca="false">N71*$E$2*(1+$I$49)/($F$49-$I$49)/(1+$F$49)^$N$3</f>
        <v>66784.3236041522</v>
      </c>
      <c r="Q71" s="15" t="n">
        <f aca="false">O71+P71</f>
        <v>106930.055519811</v>
      </c>
      <c r="R71" s="15" t="n">
        <f aca="false">Q71-$G$2+$I$2</f>
        <v>87470.0555198114</v>
      </c>
      <c r="S71" s="40" t="n">
        <f aca="false">R71/$K$2</f>
        <v>155.809785567629</v>
      </c>
      <c r="T71" s="41" t="n">
        <f aca="false">S71-$M$2</f>
        <v>9.88970438413617E-005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0.0145993232727051</v>
      </c>
      <c r="C72" s="25" t="n">
        <f aca="false">IF(T71&gt;0,D71,C71)</f>
        <v>0.0146000385284424</v>
      </c>
      <c r="D72" s="39" t="n">
        <f aca="false">(B72+C72)/2</f>
        <v>0.0145996809005737</v>
      </c>
      <c r="E72" s="15" t="n">
        <f aca="false">$C$2*(1+IF(E$3&lt;=$O$2,$D72,$D72-($D72-$I$49)*MIN(E$3-$O$2,$Q$2)/$Q$2))</f>
        <v>10714.1726303101</v>
      </c>
      <c r="F72" s="15" t="n">
        <f aca="false">E72*(1+IF(F$3&lt;=$O$2,$D72,$D72-($D72-$I$49)*MIN(F$3-$O$2,$Q$2)/$Q$2))</f>
        <v>10870.5961318262</v>
      </c>
      <c r="G72" s="15" t="n">
        <f aca="false">F72*(1+IF(G$3&lt;=$O$2,$D72,$D72-($D72-$I$49)*MIN(G$3-$O$2,$Q$2)/$Q$2))</f>
        <v>11029.3033665499</v>
      </c>
      <c r="H72" s="15" t="n">
        <f aca="false">G72*(1+IF(H$3&lt;=$O$2,$D72,$D72-($D72-$I$49)*MIN(H$3-$O$2,$Q$2)/$Q$2))</f>
        <v>11190.3276762572</v>
      </c>
      <c r="I72" s="15" t="n">
        <f aca="false">H72*(1+IF(I$3&lt;=$O$2,$D72,$D72-($D72-$I$49)*MIN(I$3-$O$2,$Q$2)/$Q$2))</f>
        <v>11353.7028895034</v>
      </c>
      <c r="J72" s="15" t="n">
        <f aca="false">I72*(1+IF(J$3&lt;=$O$2,$D72,$D72-($D72-$I$49)*MIN(J$3-$O$2,$Q$2)/$Q$2))</f>
        <v>11527.8657934603</v>
      </c>
      <c r="K72" s="15" t="n">
        <f aca="false">J72*(1+IF(K$3&lt;=$O$2,$D72,$D72-($D72-$I$49)*MIN(K$3-$O$2,$Q$2)/$Q$2))</f>
        <v>11713.2316682979</v>
      </c>
      <c r="L72" s="15" t="n">
        <f aca="false">K72*(1+IF(L$3&lt;=$O$2,$D72,$D72-($D72-$I$49)*MIN(L$3-$O$2,$Q$2)/$Q$2))</f>
        <v>11910.2467298845</v>
      </c>
      <c r="M72" s="15" t="n">
        <f aca="false">L72*(1+IF(M$3&lt;=$O$2,$D72,$D72-($D72-$I$49)*MIN(M$3-$O$2,$Q$2)/$Q$2))</f>
        <v>12119.3899023507</v>
      </c>
      <c r="N72" s="15" t="n">
        <f aca="false">M72*(1+IF(N$3&lt;=$O$2,$D72,$D72-($D72-$I$49)*MIN(N$3-$O$2,$Q$2)/$Q$2))</f>
        <v>12341.1747375637</v>
      </c>
      <c r="O72" s="15" t="n">
        <f aca="false">SUMPRODUCT(E72:N72,1/(1+$F$49)^$E$3:$N$3)*$E$2</f>
        <v>40145.6681150186</v>
      </c>
      <c r="P72" s="15" t="n">
        <f aca="false">N72*$E$2*(1+$I$49)/($F$49-$I$49)/(1+$F$49)^$N$3</f>
        <v>66784.1588911528</v>
      </c>
      <c r="Q72" s="15" t="n">
        <f aca="false">O72+P72</f>
        <v>106929.827006171</v>
      </c>
      <c r="R72" s="15" t="n">
        <f aca="false">Q72-$G$2+$I$2</f>
        <v>87469.8270061714</v>
      </c>
      <c r="S72" s="40" t="n">
        <f aca="false">R72/$K$2</f>
        <v>155.809378517913</v>
      </c>
      <c r="T72" s="41" t="n">
        <f aca="false">S72-$M$2</f>
        <v>-0.000308152672175766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0.0145996809005737</v>
      </c>
      <c r="C73" s="25" t="n">
        <f aca="false">IF(T72&gt;0,D72,C72)</f>
        <v>0.0146000385284424</v>
      </c>
      <c r="D73" s="39" t="n">
        <f aca="false">(B73+C73)/2</f>
        <v>0.0145998597145081</v>
      </c>
      <c r="E73" s="15" t="n">
        <f aca="false">$C$2*(1+IF(E$3&lt;=$O$2,$D73,$D73-($D73-$I$49)*MIN(E$3-$O$2,$Q$2)/$Q$2))</f>
        <v>10714.1745185852</v>
      </c>
      <c r="F73" s="15" t="n">
        <f aca="false">E73*(1+IF(F$3&lt;=$O$2,$D73,$D73-($D73-$I$49)*MIN(F$3-$O$2,$Q$2)/$Q$2))</f>
        <v>10870.5999635133</v>
      </c>
      <c r="G73" s="15" t="n">
        <f aca="false">F73*(1+IF(G$3&lt;=$O$2,$D73,$D73-($D73-$I$49)*MIN(G$3-$O$2,$Q$2)/$Q$2))</f>
        <v>11029.3091979931</v>
      </c>
      <c r="H73" s="15" t="n">
        <f aca="false">G73*(1+IF(H$3&lt;=$O$2,$D73,$D73-($D73-$I$49)*MIN(H$3-$O$2,$Q$2)/$Q$2))</f>
        <v>11190.3355650318</v>
      </c>
      <c r="I73" s="15" t="n">
        <f aca="false">H73*(1+IF(I$3&lt;=$O$2,$D73,$D73-($D73-$I$49)*MIN(I$3-$O$2,$Q$2)/$Q$2))</f>
        <v>11353.7128944395</v>
      </c>
      <c r="J73" s="15" t="n">
        <f aca="false">I73*(1+IF(J$3&lt;=$O$2,$D73,$D73-($D73-$I$49)*MIN(J$3-$O$2,$Q$2)/$Q$2))</f>
        <v>11527.8775760313</v>
      </c>
      <c r="K73" s="15" t="n">
        <f aca="false">J73*(1+IF(K$3&lt;=$O$2,$D73,$D73-($D73-$I$49)*MIN(K$3-$O$2,$Q$2)/$Q$2))</f>
        <v>11713.2448771374</v>
      </c>
      <c r="L73" s="15" t="n">
        <f aca="false">K73*(1+IF(L$3&lt;=$O$2,$D73,$D73-($D73-$I$49)*MIN(L$3-$O$2,$Q$2)/$Q$2))</f>
        <v>11910.2609986916</v>
      </c>
      <c r="M73" s="15" t="n">
        <f aca="false">L73*(1+IF(M$3&lt;=$O$2,$D73,$D73-($D73-$I$49)*MIN(M$3-$O$2,$Q$2)/$Q$2))</f>
        <v>12119.4048476612</v>
      </c>
      <c r="N73" s="15" t="n">
        <f aca="false">M73*(1+IF(N$3&lt;=$O$2,$D73,$D73-($D73-$I$49)*MIN(N$3-$O$2,$Q$2)/$Q$2))</f>
        <v>12341.1899563734</v>
      </c>
      <c r="O73" s="15" t="n">
        <f aca="false">SUMPRODUCT(E73:N73,1/(1+$F$49)^$E$3:$N$3)*$E$2</f>
        <v>40145.7000153261</v>
      </c>
      <c r="P73" s="15" t="n">
        <f aca="false">N73*$E$2*(1+$I$49)/($F$49-$I$49)/(1+$F$49)^$N$3</f>
        <v>66784.2412476082</v>
      </c>
      <c r="Q73" s="15" t="n">
        <f aca="false">O73+P73</f>
        <v>106929.941262934</v>
      </c>
      <c r="R73" s="15" t="n">
        <f aca="false">Q73-$G$2+$I$2</f>
        <v>87469.9412629342</v>
      </c>
      <c r="S73" s="40" t="n">
        <f aca="false">R73/$K$2</f>
        <v>155.80958204267</v>
      </c>
      <c r="T73" s="41" t="n">
        <f aca="false">S73-$M$2</f>
        <v>-0.000104627915987976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0.0145998597145081</v>
      </c>
      <c r="C74" s="25" t="n">
        <f aca="false">IF(T73&gt;0,D73,C73)</f>
        <v>0.0146000385284424</v>
      </c>
      <c r="D74" s="39" t="n">
        <f aca="false">(B74+C74)/2</f>
        <v>0.0145999491214752</v>
      </c>
      <c r="E74" s="15" t="n">
        <f aca="false">$C$2*(1+IF(E$3&lt;=$O$2,$D74,$D74-($D74-$I$49)*MIN(E$3-$O$2,$Q$2)/$Q$2))</f>
        <v>10714.1754627228</v>
      </c>
      <c r="F74" s="15" t="n">
        <f aca="false">E74*(1+IF(F$3&lt;=$O$2,$D74,$D74-($D74-$I$49)*MIN(F$3-$O$2,$Q$2)/$Q$2))</f>
        <v>10870.6018793571</v>
      </c>
      <c r="G74" s="15" t="n">
        <f aca="false">F74*(1+IF(G$3&lt;=$O$2,$D74,$D74-($D74-$I$49)*MIN(G$3-$O$2,$Q$2)/$Q$2))</f>
        <v>11029.3121137155</v>
      </c>
      <c r="H74" s="15" t="n">
        <f aca="false">G74*(1+IF(H$3&lt;=$O$2,$D74,$D74-($D74-$I$49)*MIN(H$3-$O$2,$Q$2)/$Q$2))</f>
        <v>11190.3395094206</v>
      </c>
      <c r="I74" s="15" t="n">
        <f aca="false">H74*(1+IF(I$3&lt;=$O$2,$D74,$D74-($D74-$I$49)*MIN(I$3-$O$2,$Q$2)/$Q$2))</f>
        <v>11353.7178969102</v>
      </c>
      <c r="J74" s="15" t="n">
        <f aca="false">I74*(1+IF(J$3&lt;=$O$2,$D74,$D74-($D74-$I$49)*MIN(J$3-$O$2,$Q$2)/$Q$2))</f>
        <v>11527.8834673205</v>
      </c>
      <c r="K74" s="15" t="n">
        <f aca="false">J74*(1+IF(K$3&lt;=$O$2,$D74,$D74-($D74-$I$49)*MIN(K$3-$O$2,$Q$2)/$Q$2))</f>
        <v>11713.251481562</v>
      </c>
      <c r="L74" s="15" t="n">
        <f aca="false">K74*(1+IF(L$3&lt;=$O$2,$D74,$D74-($D74-$I$49)*MIN(L$3-$O$2,$Q$2)/$Q$2))</f>
        <v>11910.2681331007</v>
      </c>
      <c r="M74" s="15" t="n">
        <f aca="false">L74*(1+IF(M$3&lt;=$O$2,$D74,$D74-($D74-$I$49)*MIN(M$3-$O$2,$Q$2)/$Q$2))</f>
        <v>12119.4123203225</v>
      </c>
      <c r="N74" s="15" t="n">
        <f aca="false">M74*(1+IF(N$3&lt;=$O$2,$D74,$D74-($D74-$I$49)*MIN(N$3-$O$2,$Q$2)/$Q$2))</f>
        <v>12341.1975657844</v>
      </c>
      <c r="O74" s="15" t="n">
        <f aca="false">SUMPRODUCT(E74:N74,1/(1+$F$49)^$E$3:$N$3)*$E$2</f>
        <v>40145.7159654895</v>
      </c>
      <c r="P74" s="15" t="n">
        <f aca="false">N74*$E$2*(1+$I$49)/($F$49-$I$49)/(1+$F$49)^$N$3</f>
        <v>66784.2824258691</v>
      </c>
      <c r="Q74" s="15" t="n">
        <f aca="false">O74+P74</f>
        <v>106929.998391359</v>
      </c>
      <c r="R74" s="15" t="n">
        <f aca="false">Q74-$G$2+$I$2</f>
        <v>87469.9983913585</v>
      </c>
      <c r="S74" s="40" t="n">
        <f aca="false">R74/$K$2</f>
        <v>155.809683805124</v>
      </c>
      <c r="T74" s="41" t="n">
        <f aca="false">S74-$M$2</f>
        <v>-2.8654615675805E-006</v>
      </c>
    </row>
    <row r="76" customFormat="false" ht="15" hidden="false" customHeight="false" outlineLevel="0" collapsed="false">
      <c r="A76" s="36" t="s">
        <v>188</v>
      </c>
      <c r="E76" s="5" t="s">
        <v>11</v>
      </c>
      <c r="F76" s="12" t="n">
        <f aca="false">Sensitivity!$B$10</f>
        <v>0.0670172026214128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6" t="s">
        <v>167</v>
      </c>
      <c r="B77" s="28" t="s">
        <v>168</v>
      </c>
      <c r="C77" s="28" t="s">
        <v>169</v>
      </c>
      <c r="D77" s="28" t="s">
        <v>170</v>
      </c>
      <c r="E77" s="28" t="s">
        <v>171</v>
      </c>
      <c r="F77" s="28" t="s">
        <v>172</v>
      </c>
      <c r="G77" s="28" t="s">
        <v>173</v>
      </c>
      <c r="H77" s="28" t="s">
        <v>174</v>
      </c>
      <c r="I77" s="28" t="s">
        <v>175</v>
      </c>
      <c r="J77" s="28" t="s">
        <v>176</v>
      </c>
      <c r="K77" s="28" t="s">
        <v>177</v>
      </c>
      <c r="L77" s="28" t="s">
        <v>178</v>
      </c>
      <c r="M77" s="28" t="s">
        <v>179</v>
      </c>
      <c r="N77" s="28" t="s">
        <v>180</v>
      </c>
      <c r="O77" s="28" t="s">
        <v>181</v>
      </c>
      <c r="P77" s="28" t="s">
        <v>182</v>
      </c>
      <c r="Q77" s="28" t="s">
        <v>183</v>
      </c>
      <c r="R77" s="28" t="s">
        <v>184</v>
      </c>
      <c r="S77" s="28" t="s">
        <v>185</v>
      </c>
      <c r="T77" s="28" t="s">
        <v>186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39" t="n">
        <f aca="false">(B78+C78)/2</f>
        <v>0.25</v>
      </c>
      <c r="E78" s="15" t="n">
        <f aca="false">$C$2*(1+IF(E$3&lt;=$O$2,$D78,$D78-($D78-$I$76)*MIN(E$3-$O$2,$Q$2)/$Q$2))</f>
        <v>13200</v>
      </c>
      <c r="F78" s="15" t="n">
        <f aca="false">E78*(1+IF(F$3&lt;=$O$2,$D78,$D78-($D78-$I$76)*MIN(F$3-$O$2,$Q$2)/$Q$2))</f>
        <v>16500</v>
      </c>
      <c r="G78" s="15" t="n">
        <f aca="false">F78*(1+IF(G$3&lt;=$O$2,$D78,$D78-($D78-$I$76)*MIN(G$3-$O$2,$Q$2)/$Q$2))</f>
        <v>20625</v>
      </c>
      <c r="H78" s="15" t="n">
        <f aca="false">G78*(1+IF(H$3&lt;=$O$2,$D78,$D78-($D78-$I$76)*MIN(H$3-$O$2,$Q$2)/$Q$2))</f>
        <v>25781.25</v>
      </c>
      <c r="I78" s="15" t="n">
        <f aca="false">H78*(1+IF(I$3&lt;=$O$2,$D78,$D78-($D78-$I$76)*MIN(I$3-$O$2,$Q$2)/$Q$2))</f>
        <v>32226.5625</v>
      </c>
      <c r="J78" s="15" t="n">
        <f aca="false">I78*(1+IF(J$3&lt;=$O$2,$D78,$D78-($D78-$I$76)*MIN(J$3-$O$2,$Q$2)/$Q$2))</f>
        <v>38822.05078125</v>
      </c>
      <c r="K78" s="15" t="n">
        <f aca="false">J78*(1+IF(K$3&lt;=$O$2,$D78,$D78-($D78-$I$76)*MIN(K$3-$O$2,$Q$2)/$Q$2))</f>
        <v>45007.1799117188</v>
      </c>
      <c r="L78" s="15" t="n">
        <f aca="false">K78*(1+IF(L$3&lt;=$O$2,$D78,$D78-($D78-$I$76)*MIN(L$3-$O$2,$Q$2)/$Q$2))</f>
        <v>50137.0982780565</v>
      </c>
      <c r="M78" s="15" t="n">
        <f aca="false">L78*(1+IF(M$3&lt;=$O$2,$D78,$D78-($D78-$I$76)*MIN(M$3-$O$2,$Q$2)/$Q$2))</f>
        <v>53578.5087038623</v>
      </c>
      <c r="N78" s="15" t="n">
        <f aca="false">M78*(1+IF(N$3&lt;=$O$2,$D78,$D78-($D78-$I$76)*MIN(N$3-$O$2,$Q$2)/$Q$2))</f>
        <v>54826.8879566622</v>
      </c>
      <c r="O78" s="15" t="n">
        <f aca="false">SUMPRODUCT(E78:N78,1/(1+$F$76)^$E$3:$N$3)*$E$2</f>
        <v>114060.291509223</v>
      </c>
      <c r="P78" s="15" t="n">
        <f aca="false">N78*$E$2*(1+$I$76)/($F$76-$I$76)/(1+$F$76)^$N$3</f>
        <v>332252.12197751</v>
      </c>
      <c r="Q78" s="15" t="n">
        <f aca="false">O78+P78</f>
        <v>446312.413486733</v>
      </c>
      <c r="R78" s="15" t="n">
        <f aca="false">Q78-$G$2+$I$2</f>
        <v>426852.413486733</v>
      </c>
      <c r="S78" s="40" t="n">
        <f aca="false">R78/$K$2</f>
        <v>760.349157424843</v>
      </c>
      <c r="T78" s="41" t="n">
        <f aca="false">S78-$M$2</f>
        <v>604.539470754258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39" t="n">
        <f aca="false">(B79+C79)/2</f>
        <v>-0.125</v>
      </c>
      <c r="E79" s="15" t="n">
        <f aca="false">$C$2*(1+IF(E$3&lt;=$O$2,$D79,$D79-($D79-$I$76)*MIN(E$3-$O$2,$Q$2)/$Q$2))</f>
        <v>9240</v>
      </c>
      <c r="F79" s="15" t="n">
        <f aca="false">E79*(1+IF(F$3&lt;=$O$2,$D79,$D79-($D79-$I$76)*MIN(F$3-$O$2,$Q$2)/$Q$2))</f>
        <v>8085</v>
      </c>
      <c r="G79" s="15" t="n">
        <f aca="false">F79*(1+IF(G$3&lt;=$O$2,$D79,$D79-($D79-$I$76)*MIN(G$3-$O$2,$Q$2)/$Q$2))</f>
        <v>7074.375</v>
      </c>
      <c r="H79" s="15" t="n">
        <f aca="false">G79*(1+IF(H$3&lt;=$O$2,$D79,$D79-($D79-$I$76)*MIN(H$3-$O$2,$Q$2)/$Q$2))</f>
        <v>6190.078125</v>
      </c>
      <c r="I79" s="15" t="n">
        <f aca="false">H79*(1+IF(I$3&lt;=$O$2,$D79,$D79-($D79-$I$76)*MIN(I$3-$O$2,$Q$2)/$Q$2))</f>
        <v>5416.318359375</v>
      </c>
      <c r="J79" s="15" t="n">
        <f aca="false">I79*(1+IF(J$3&lt;=$O$2,$D79,$D79-($D79-$I$76)*MIN(J$3-$O$2,$Q$2)/$Q$2))</f>
        <v>4899.92656699219</v>
      </c>
      <c r="K79" s="15" t="n">
        <f aca="false">J79*(1+IF(K$3&lt;=$O$2,$D79,$D79-($D79-$I$76)*MIN(K$3-$O$2,$Q$2)/$Q$2))</f>
        <v>4578.09939007214</v>
      </c>
      <c r="L79" s="15" t="n">
        <f aca="false">K79*(1+IF(L$3&lt;=$O$2,$D79,$D79-($D79-$I$76)*MIN(L$3-$O$2,$Q$2)/$Q$2))</f>
        <v>4413.19625004174</v>
      </c>
      <c r="M79" s="15" t="n">
        <f aca="false">L79*(1+IF(M$3&lt;=$O$2,$D79,$D79-($D79-$I$76)*MIN(M$3-$O$2,$Q$2)/$Q$2))</f>
        <v>4385.12832189148</v>
      </c>
      <c r="N79" s="15" t="n">
        <f aca="false">M79*(1+IF(N$3&lt;=$O$2,$D79,$D79-($D79-$I$76)*MIN(N$3-$O$2,$Q$2)/$Q$2))</f>
        <v>4487.30181179155</v>
      </c>
      <c r="O79" s="15" t="n">
        <f aca="false">SUMPRODUCT(E79:N79,1/(1+$F$76)^$E$3:$N$3)*$E$2</f>
        <v>21752.6999863705</v>
      </c>
      <c r="P79" s="15" t="n">
        <f aca="false">N79*$E$2*(1+$I$76)/($F$76-$I$76)/(1+$F$76)^$N$3</f>
        <v>27193.1456350351</v>
      </c>
      <c r="Q79" s="15" t="n">
        <f aca="false">O79+P79</f>
        <v>48945.8456214056</v>
      </c>
      <c r="R79" s="15" t="n">
        <f aca="false">Q79-$G$2+$I$2</f>
        <v>29485.8456214056</v>
      </c>
      <c r="S79" s="40" t="n">
        <f aca="false">R79/$K$2</f>
        <v>52.5229263460439</v>
      </c>
      <c r="T79" s="41" t="n">
        <f aca="false">S79-$M$2</f>
        <v>-103.286760324542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39" t="n">
        <f aca="false">(B80+C80)/2</f>
        <v>0.0625</v>
      </c>
      <c r="E80" s="15" t="n">
        <f aca="false">$C$2*(1+IF(E$3&lt;=$O$2,$D80,$D80-($D80-$I$76)*MIN(E$3-$O$2,$Q$2)/$Q$2))</f>
        <v>11220</v>
      </c>
      <c r="F80" s="15" t="n">
        <f aca="false">E80*(1+IF(F$3&lt;=$O$2,$D80,$D80-($D80-$I$76)*MIN(F$3-$O$2,$Q$2)/$Q$2))</f>
        <v>11921.25</v>
      </c>
      <c r="G80" s="15" t="n">
        <f aca="false">F80*(1+IF(G$3&lt;=$O$2,$D80,$D80-($D80-$I$76)*MIN(G$3-$O$2,$Q$2)/$Q$2))</f>
        <v>12666.328125</v>
      </c>
      <c r="H80" s="15" t="n">
        <f aca="false">G80*(1+IF(H$3&lt;=$O$2,$D80,$D80-($D80-$I$76)*MIN(H$3-$O$2,$Q$2)/$Q$2))</f>
        <v>13457.9736328125</v>
      </c>
      <c r="I80" s="15" t="n">
        <f aca="false">H80*(1+IF(I$3&lt;=$O$2,$D80,$D80-($D80-$I$76)*MIN(I$3-$O$2,$Q$2)/$Q$2))</f>
        <v>14299.0969848633</v>
      </c>
      <c r="J80" s="15" t="n">
        <f aca="false">I80*(1+IF(J$3&lt;=$O$2,$D80,$D80-($D80-$I$76)*MIN(J$3-$O$2,$Q$2)/$Q$2))</f>
        <v>15080.6856260559</v>
      </c>
      <c r="K80" s="15" t="n">
        <f aca="false">J80*(1+IF(K$3&lt;=$O$2,$D80,$D80-($D80-$I$76)*MIN(K$3-$O$2,$Q$2)/$Q$2))</f>
        <v>15786.7633270678</v>
      </c>
      <c r="L80" s="15" t="n">
        <f aca="false">K80*(1+IF(L$3&lt;=$O$2,$D80,$D80-($D80-$I$76)*MIN(L$3-$O$2,$Q$2)/$Q$2))</f>
        <v>16402.131361557</v>
      </c>
      <c r="M80" s="15" t="n">
        <f aca="false">L80*(1+IF(M$3&lt;=$O$2,$D80,$D80-($D80-$I$76)*MIN(M$3-$O$2,$Q$2)/$Q$2))</f>
        <v>16912.8937321558</v>
      </c>
      <c r="N80" s="15" t="n">
        <f aca="false">M80*(1+IF(N$3&lt;=$O$2,$D80,$D80-($D80-$I$76)*MIN(N$3-$O$2,$Q$2)/$Q$2))</f>
        <v>17306.9641561151</v>
      </c>
      <c r="O80" s="15" t="n">
        <f aca="false">SUMPRODUCT(E80:N80,1/(1+$F$76)^$E$3:$N$3)*$E$2</f>
        <v>49833.2771500945</v>
      </c>
      <c r="P80" s="15" t="n">
        <f aca="false">N80*$E$2*(1+$I$76)/($F$76-$I$76)/(1+$F$76)^$N$3</f>
        <v>104880.575574583</v>
      </c>
      <c r="Q80" s="15" t="n">
        <f aca="false">O80+P80</f>
        <v>154713.852724678</v>
      </c>
      <c r="R80" s="15" t="n">
        <f aca="false">Q80-$G$2+$I$2</f>
        <v>135253.852724678</v>
      </c>
      <c r="S80" s="40" t="n">
        <f aca="false">R80/$K$2</f>
        <v>240.926722465092</v>
      </c>
      <c r="T80" s="41" t="n">
        <f aca="false">S80-$M$2</f>
        <v>85.1170357945065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39" t="n">
        <f aca="false">(B81+C81)/2</f>
        <v>-0.03125</v>
      </c>
      <c r="E81" s="15" t="n">
        <f aca="false">$C$2*(1+IF(E$3&lt;=$O$2,$D81,$D81-($D81-$I$76)*MIN(E$3-$O$2,$Q$2)/$Q$2))</f>
        <v>10230</v>
      </c>
      <c r="F81" s="15" t="n">
        <f aca="false">E81*(1+IF(F$3&lt;=$O$2,$D81,$D81-($D81-$I$76)*MIN(F$3-$O$2,$Q$2)/$Q$2))</f>
        <v>9910.3125</v>
      </c>
      <c r="G81" s="15" t="n">
        <f aca="false">F81*(1+IF(G$3&lt;=$O$2,$D81,$D81-($D81-$I$76)*MIN(G$3-$O$2,$Q$2)/$Q$2))</f>
        <v>9600.615234375</v>
      </c>
      <c r="H81" s="15" t="n">
        <f aca="false">G81*(1+IF(H$3&lt;=$O$2,$D81,$D81-($D81-$I$76)*MIN(H$3-$O$2,$Q$2)/$Q$2))</f>
        <v>9300.59600830078</v>
      </c>
      <c r="I81" s="15" t="n">
        <f aca="false">H81*(1+IF(I$3&lt;=$O$2,$D81,$D81-($D81-$I$76)*MIN(I$3-$O$2,$Q$2)/$Q$2))</f>
        <v>9009.95238304138</v>
      </c>
      <c r="J81" s="15" t="n">
        <f aca="false">I81*(1+IF(J$3&lt;=$O$2,$D81,$D81-($D81-$I$76)*MIN(J$3-$O$2,$Q$2)/$Q$2))</f>
        <v>8826.68995157032</v>
      </c>
      <c r="K81" s="15" t="n">
        <f aca="false">J81*(1+IF(K$3&lt;=$O$2,$D81,$D81-($D81-$I$76)*MIN(K$3-$O$2,$Q$2)/$Q$2))</f>
        <v>8743.45426532701</v>
      </c>
      <c r="L81" s="15" t="n">
        <f aca="false">K81*(1+IF(L$3&lt;=$O$2,$D81,$D81-($D81-$I$76)*MIN(L$3-$O$2,$Q$2)/$Q$2))</f>
        <v>8756.3945776397</v>
      </c>
      <c r="M81" s="15" t="n">
        <f aca="false">L81*(1+IF(M$3&lt;=$O$2,$D81,$D81-($D81-$I$76)*MIN(M$3-$O$2,$Q$2)/$Q$2))</f>
        <v>8864.88630645665</v>
      </c>
      <c r="N81" s="15" t="n">
        <f aca="false">M81*(1+IF(N$3&lt;=$O$2,$D81,$D81-($D81-$I$76)*MIN(N$3-$O$2,$Q$2)/$Q$2))</f>
        <v>9071.43815739709</v>
      </c>
      <c r="O81" s="15" t="n">
        <f aca="false">SUMPRODUCT(E81:N81,1/(1+$F$76)^$E$3:$N$3)*$E$2</f>
        <v>32843.7724010073</v>
      </c>
      <c r="P81" s="15" t="n">
        <f aca="false">N81*$E$2*(1+$I$76)/($F$76-$I$76)/(1+$F$76)^$N$3</f>
        <v>54973.1106307793</v>
      </c>
      <c r="Q81" s="15" t="n">
        <f aca="false">O81+P81</f>
        <v>87816.8830317867</v>
      </c>
      <c r="R81" s="15" t="n">
        <f aca="false">Q81-$G$2+$I$2</f>
        <v>68356.8830317867</v>
      </c>
      <c r="S81" s="40" t="n">
        <f aca="false">R81/$K$2</f>
        <v>121.763627837665</v>
      </c>
      <c r="T81" s="41" t="n">
        <f aca="false">S81-$M$2</f>
        <v>-34.0460588329207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39" t="n">
        <f aca="false">(B82+C82)/2</f>
        <v>0.015625</v>
      </c>
      <c r="E82" s="15" t="n">
        <f aca="false">$C$2*(1+IF(E$3&lt;=$O$2,$D82,$D82-($D82-$I$76)*MIN(E$3-$O$2,$Q$2)/$Q$2))</f>
        <v>10725</v>
      </c>
      <c r="F82" s="15" t="n">
        <f aca="false">E82*(1+IF(F$3&lt;=$O$2,$D82,$D82-($D82-$I$76)*MIN(F$3-$O$2,$Q$2)/$Q$2))</f>
        <v>10892.578125</v>
      </c>
      <c r="G82" s="15" t="n">
        <f aca="false">F82*(1+IF(G$3&lt;=$O$2,$D82,$D82-($D82-$I$76)*MIN(G$3-$O$2,$Q$2)/$Q$2))</f>
        <v>11062.7746582031</v>
      </c>
      <c r="H82" s="15" t="n">
        <f aca="false">G82*(1+IF(H$3&lt;=$O$2,$D82,$D82-($D82-$I$76)*MIN(H$3-$O$2,$Q$2)/$Q$2))</f>
        <v>11235.6305122375</v>
      </c>
      <c r="I82" s="15" t="n">
        <f aca="false">H82*(1+IF(I$3&lt;=$O$2,$D82,$D82-($D82-$I$76)*MIN(I$3-$O$2,$Q$2)/$Q$2))</f>
        <v>11411.1872389913</v>
      </c>
      <c r="J82" s="15" t="n">
        <f aca="false">I82*(1+IF(J$3&lt;=$O$2,$D82,$D82-($D82-$I$76)*MIN(J$3-$O$2,$Q$2)/$Q$2))</f>
        <v>11607.0032120124</v>
      </c>
      <c r="K82" s="15" t="n">
        <f aca="false">J82*(1+IF(K$3&lt;=$O$2,$D82,$D82-($D82-$I$76)*MIN(K$3-$O$2,$Q$2)/$Q$2))</f>
        <v>11823.9961370609</v>
      </c>
      <c r="L82" s="15" t="n">
        <f aca="false">K82*(1+IF(L$3&lt;=$O$2,$D82,$D82-($D82-$I$76)*MIN(L$3-$O$2,$Q$2)/$Q$2))</f>
        <v>12063.1955789137</v>
      </c>
      <c r="M82" s="15" t="n">
        <f aca="false">L82*(1+IF(M$3&lt;=$O$2,$D82,$D82-($D82-$I$76)*MIN(M$3-$O$2,$Q$2)/$Q$2))</f>
        <v>12325.7510306887</v>
      </c>
      <c r="N82" s="15" t="n">
        <f aca="false">M82*(1+IF(N$3&lt;=$O$2,$D82,$D82-($D82-$I$76)*MIN(N$3-$O$2,$Q$2)/$Q$2))</f>
        <v>12612.9410297038</v>
      </c>
      <c r="O82" s="15" t="n">
        <f aca="false">SUMPRODUCT(E82:N82,1/(1+$F$76)^$E$3:$N$3)*$E$2</f>
        <v>40445.637714436</v>
      </c>
      <c r="P82" s="15" t="n">
        <f aca="false">N82*$E$2*(1+$I$76)/($F$76-$I$76)/(1+$F$76)^$N$3</f>
        <v>76434.6943202172</v>
      </c>
      <c r="Q82" s="15" t="n">
        <f aca="false">O82+P82</f>
        <v>116880.332034653</v>
      </c>
      <c r="R82" s="15" t="n">
        <f aca="false">Q82-$G$2+$I$2</f>
        <v>97420.3320346532</v>
      </c>
      <c r="S82" s="40" t="n">
        <f aca="false">R82/$K$2</f>
        <v>173.53414210202</v>
      </c>
      <c r="T82" s="41" t="n">
        <f aca="false">S82-$M$2</f>
        <v>17.7244554314348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-0.03125</v>
      </c>
      <c r="C83" s="25" t="n">
        <f aca="false">IF(T82&gt;0,D82,C82)</f>
        <v>0.015625</v>
      </c>
      <c r="D83" s="39" t="n">
        <f aca="false">(B83+C83)/2</f>
        <v>-0.0078125</v>
      </c>
      <c r="E83" s="15" t="n">
        <f aca="false">$C$2*(1+IF(E$3&lt;=$O$2,$D83,$D83-($D83-$I$76)*MIN(E$3-$O$2,$Q$2)/$Q$2))</f>
        <v>10477.5</v>
      </c>
      <c r="F83" s="15" t="n">
        <f aca="false">E83*(1+IF(F$3&lt;=$O$2,$D83,$D83-($D83-$I$76)*MIN(F$3-$O$2,$Q$2)/$Q$2))</f>
        <v>10395.64453125</v>
      </c>
      <c r="G83" s="15" t="n">
        <f aca="false">F83*(1+IF(G$3&lt;=$O$2,$D83,$D83-($D83-$I$76)*MIN(G$3-$O$2,$Q$2)/$Q$2))</f>
        <v>10314.4285583496</v>
      </c>
      <c r="H83" s="15" t="n">
        <f aca="false">G83*(1+IF(H$3&lt;=$O$2,$D83,$D83-($D83-$I$76)*MIN(H$3-$O$2,$Q$2)/$Q$2))</f>
        <v>10233.8470852375</v>
      </c>
      <c r="I83" s="15" t="n">
        <f aca="false">H83*(1+IF(I$3&lt;=$O$2,$D83,$D83-($D83-$I$76)*MIN(I$3-$O$2,$Q$2)/$Q$2))</f>
        <v>10153.8951548841</v>
      </c>
      <c r="J83" s="15" t="n">
        <f aca="false">I83*(1+IF(J$3&lt;=$O$2,$D83,$D83-($D83-$I$76)*MIN(J$3-$O$2,$Q$2)/$Q$2))</f>
        <v>10137.7504615878</v>
      </c>
      <c r="K83" s="15" t="n">
        <f aca="false">J83*(1+IF(K$3&lt;=$O$2,$D83,$D83-($D83-$I$76)*MIN(K$3-$O$2,$Q$2)/$Q$2))</f>
        <v>10184.7135906011</v>
      </c>
      <c r="L83" s="15" t="n">
        <f aca="false">K83*(1+IF(L$3&lt;=$O$2,$D83,$D83-($D83-$I$76)*MIN(L$3-$O$2,$Q$2)/$Q$2))</f>
        <v>10295.2686566271</v>
      </c>
      <c r="M83" s="15" t="n">
        <f aca="false">L83*(1+IF(M$3&lt;=$O$2,$D83,$D83-($D83-$I$76)*MIN(M$3-$O$2,$Q$2)/$Q$2))</f>
        <v>10471.0861071107</v>
      </c>
      <c r="N83" s="15" t="n">
        <f aca="false">M83*(1+IF(N$3&lt;=$O$2,$D83,$D83-($D83-$I$76)*MIN(N$3-$O$2,$Q$2)/$Q$2))</f>
        <v>10715.0624134063</v>
      </c>
      <c r="O83" s="15" t="n">
        <f aca="false">SUMPRODUCT(E83:N83,1/(1+$F$76)^$E$3:$N$3)*$E$2</f>
        <v>36443.0828591453</v>
      </c>
      <c r="P83" s="15" t="n">
        <f aca="false">N83*$E$2*(1+$I$76)/($F$76-$I$76)/(1+$F$76)^$N$3</f>
        <v>64933.5090255311</v>
      </c>
      <c r="Q83" s="15" t="n">
        <f aca="false">O83+P83</f>
        <v>101376.591884676</v>
      </c>
      <c r="R83" s="15" t="n">
        <f aca="false">Q83-$G$2+$I$2</f>
        <v>81916.5918846764</v>
      </c>
      <c r="S83" s="40" t="n">
        <f aca="false">R83/$K$2</f>
        <v>145.91744043299</v>
      </c>
      <c r="T83" s="41" t="n">
        <f aca="false">S83-$M$2</f>
        <v>-9.8922462375952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-0.0078125</v>
      </c>
      <c r="C84" s="25" t="n">
        <f aca="false">IF(T83&gt;0,D83,C83)</f>
        <v>0.015625</v>
      </c>
      <c r="D84" s="39" t="n">
        <f aca="false">(B84+C84)/2</f>
        <v>0.00390625</v>
      </c>
      <c r="E84" s="15" t="n">
        <f aca="false">$C$2*(1+IF(E$3&lt;=$O$2,$D84,$D84-($D84-$I$76)*MIN(E$3-$O$2,$Q$2)/$Q$2))</f>
        <v>10601.25</v>
      </c>
      <c r="F84" s="15" t="n">
        <f aca="false">E84*(1+IF(F$3&lt;=$O$2,$D84,$D84-($D84-$I$76)*MIN(F$3-$O$2,$Q$2)/$Q$2))</f>
        <v>10642.6611328125</v>
      </c>
      <c r="G84" s="15" t="n">
        <f aca="false">F84*(1+IF(G$3&lt;=$O$2,$D84,$D84-($D84-$I$76)*MIN(G$3-$O$2,$Q$2)/$Q$2))</f>
        <v>10684.2340278625</v>
      </c>
      <c r="H84" s="15" t="n">
        <f aca="false">G84*(1+IF(H$3&lt;=$O$2,$D84,$D84-($D84-$I$76)*MIN(H$3-$O$2,$Q$2)/$Q$2))</f>
        <v>10725.9693170339</v>
      </c>
      <c r="I84" s="15" t="n">
        <f aca="false">H84*(1+IF(I$3&lt;=$O$2,$D84,$D84-($D84-$I$76)*MIN(I$3-$O$2,$Q$2)/$Q$2))</f>
        <v>10767.8676346786</v>
      </c>
      <c r="J84" s="15" t="n">
        <f aca="false">I84*(1+IF(J$3&lt;=$O$2,$D84,$D84-($D84-$I$76)*MIN(J$3-$O$2,$Q$2)/$Q$2))</f>
        <v>10851.6954842145</v>
      </c>
      <c r="K84" s="15" t="n">
        <f aca="false">J84*(1+IF(K$3&lt;=$O$2,$D84,$D84-($D84-$I$76)*MIN(K$3-$O$2,$Q$2)/$Q$2))</f>
        <v>10978.2669474185</v>
      </c>
      <c r="L84" s="15" t="n">
        <f aca="false">K84*(1+IF(L$3&lt;=$O$2,$D84,$D84-($D84-$I$76)*MIN(L$3-$O$2,$Q$2)/$Q$2))</f>
        <v>11148.8966614488</v>
      </c>
      <c r="M84" s="15" t="n">
        <f aca="false">L84*(1+IF(M$3&lt;=$O$2,$D84,$D84-($D84-$I$76)*MIN(M$3-$O$2,$Q$2)/$Q$2))</f>
        <v>11365.4221707349</v>
      </c>
      <c r="N84" s="15" t="n">
        <f aca="false">M84*(1+IF(N$3&lt;=$O$2,$D84,$D84-($D84-$I$76)*MIN(N$3-$O$2,$Q$2)/$Q$2))</f>
        <v>11630.2365073131</v>
      </c>
      <c r="O84" s="15" t="n">
        <f aca="false">SUMPRODUCT(E84:N84,1/(1+$F$76)^$E$3:$N$3)*$E$2</f>
        <v>38391.4000962124</v>
      </c>
      <c r="P84" s="15" t="n">
        <f aca="false">N84*$E$2*(1+$I$76)/($F$76-$I$76)/(1+$F$76)^$N$3</f>
        <v>70479.4837472718</v>
      </c>
      <c r="Q84" s="15" t="n">
        <f aca="false">O84+P84</f>
        <v>108870.883843484</v>
      </c>
      <c r="R84" s="15" t="n">
        <f aca="false">Q84-$G$2+$I$2</f>
        <v>89410.8838434842</v>
      </c>
      <c r="S84" s="40" t="n">
        <f aca="false">R84/$K$2</f>
        <v>159.266969207653</v>
      </c>
      <c r="T84" s="41" t="n">
        <f aca="false">S84-$M$2</f>
        <v>3.45728253706727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-0.0078125</v>
      </c>
      <c r="C85" s="25" t="n">
        <f aca="false">IF(T84&gt;0,D84,C84)</f>
        <v>0.00390625</v>
      </c>
      <c r="D85" s="39" t="n">
        <f aca="false">(B85+C85)/2</f>
        <v>-0.001953125</v>
      </c>
      <c r="E85" s="15" t="n">
        <f aca="false">$C$2*(1+IF(E$3&lt;=$O$2,$D85,$D85-($D85-$I$76)*MIN(E$3-$O$2,$Q$2)/$Q$2))</f>
        <v>10539.375</v>
      </c>
      <c r="F85" s="15" t="n">
        <f aca="false">E85*(1+IF(F$3&lt;=$O$2,$D85,$D85-($D85-$I$76)*MIN(F$3-$O$2,$Q$2)/$Q$2))</f>
        <v>10518.7902832031</v>
      </c>
      <c r="G85" s="15" t="n">
        <f aca="false">F85*(1+IF(G$3&lt;=$O$2,$D85,$D85-($D85-$I$76)*MIN(G$3-$O$2,$Q$2)/$Q$2))</f>
        <v>10498.2457709312</v>
      </c>
      <c r="H85" s="15" t="n">
        <f aca="false">G85*(1+IF(H$3&lt;=$O$2,$D85,$D85-($D85-$I$76)*MIN(H$3-$O$2,$Q$2)/$Q$2))</f>
        <v>10477.7413846599</v>
      </c>
      <c r="I85" s="15" t="n">
        <f aca="false">H85*(1+IF(I$3&lt;=$O$2,$D85,$D85-($D85-$I$76)*MIN(I$3-$O$2,$Q$2)/$Q$2))</f>
        <v>10457.277046018</v>
      </c>
      <c r="J85" s="15" t="n">
        <f aca="false">I85*(1+IF(J$3&lt;=$O$2,$D85,$D85-($D85-$I$76)*MIN(J$3-$O$2,$Q$2)/$Q$2))</f>
        <v>10489.668461668</v>
      </c>
      <c r="K85" s="15" t="n">
        <f aca="false">J85*(1+IF(K$3&lt;=$O$2,$D85,$D85-($D85-$I$76)*MIN(K$3-$O$2,$Q$2)/$Q$2))</f>
        <v>10575.1395915022</v>
      </c>
      <c r="L85" s="15" t="n">
        <f aca="false">K85*(1+IF(L$3&lt;=$O$2,$D85,$D85-($D85-$I$76)*MIN(L$3-$O$2,$Q$2)/$Q$2))</f>
        <v>10714.7182151856</v>
      </c>
      <c r="M85" s="15" t="n">
        <f aca="false">L85*(1+IF(M$3&lt;=$O$2,$D85,$D85-($D85-$I$76)*MIN(M$3-$O$2,$Q$2)/$Q$2))</f>
        <v>10910.2551259138</v>
      </c>
      <c r="N85" s="15" t="n">
        <f aca="false">M85*(1+IF(N$3&lt;=$O$2,$D85,$D85-($D85-$I$76)*MIN(N$3-$O$2,$Q$2)/$Q$2))</f>
        <v>11164.4640703476</v>
      </c>
      <c r="O85" s="15" t="n">
        <f aca="false">SUMPRODUCT(E85:N85,1/(1+$F$76)^$E$3:$N$3)*$E$2</f>
        <v>37404.3294867052</v>
      </c>
      <c r="P85" s="15" t="n">
        <f aca="false">N85*$E$2*(1+$I$76)/($F$76-$I$76)/(1+$F$76)^$N$3</f>
        <v>67656.8927466167</v>
      </c>
      <c r="Q85" s="15" t="n">
        <f aca="false">O85+P85</f>
        <v>105061.222233322</v>
      </c>
      <c r="R85" s="15" t="n">
        <f aca="false">Q85-$G$2+$I$2</f>
        <v>85601.2222333219</v>
      </c>
      <c r="S85" s="40" t="n">
        <f aca="false">R85/$K$2</f>
        <v>152.480846173466</v>
      </c>
      <c r="T85" s="41" t="n">
        <f aca="false">S85-$M$2</f>
        <v>-3.32884049711987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-0.001953125</v>
      </c>
      <c r="C86" s="25" t="n">
        <f aca="false">IF(T85&gt;0,D85,C85)</f>
        <v>0.00390625</v>
      </c>
      <c r="D86" s="39" t="n">
        <f aca="false">(B86+C86)/2</f>
        <v>0.0009765625</v>
      </c>
      <c r="E86" s="15" t="n">
        <f aca="false">$C$2*(1+IF(E$3&lt;=$O$2,$D86,$D86-($D86-$I$76)*MIN(E$3-$O$2,$Q$2)/$Q$2))</f>
        <v>10570.3125</v>
      </c>
      <c r="F86" s="15" t="n">
        <f aca="false">E86*(1+IF(F$3&lt;=$O$2,$D86,$D86-($D86-$I$76)*MIN(F$3-$O$2,$Q$2)/$Q$2))</f>
        <v>10580.6350708008</v>
      </c>
      <c r="G86" s="15" t="n">
        <f aca="false">F86*(1+IF(G$3&lt;=$O$2,$D86,$D86-($D86-$I$76)*MIN(G$3-$O$2,$Q$2)/$Q$2))</f>
        <v>10590.9677222371</v>
      </c>
      <c r="H86" s="15" t="n">
        <f aca="false">G86*(1+IF(H$3&lt;=$O$2,$D86,$D86-($D86-$I$76)*MIN(H$3-$O$2,$Q$2)/$Q$2))</f>
        <v>10601.3104641534</v>
      </c>
      <c r="I86" s="15" t="n">
        <f aca="false">H86*(1+IF(I$3&lt;=$O$2,$D86,$D86-($D86-$I$76)*MIN(I$3-$O$2,$Q$2)/$Q$2))</f>
        <v>10611.6633064035</v>
      </c>
      <c r="J86" s="15" t="n">
        <f aca="false">I86*(1+IF(J$3&lt;=$O$2,$D86,$D86-($D86-$I$76)*MIN(J$3-$O$2,$Q$2)/$Q$2))</f>
        <v>10669.4040193695</v>
      </c>
      <c r="K86" s="15" t="n">
        <f aca="false">J86*(1+IF(K$3&lt;=$O$2,$D86,$D86-($D86-$I$76)*MIN(K$3-$O$2,$Q$2)/$Q$2))</f>
        <v>10775.0944687476</v>
      </c>
      <c r="L86" s="15" t="n">
        <f aca="false">K86*(1+IF(L$3&lt;=$O$2,$D86,$D86-($D86-$I$76)*MIN(L$3-$O$2,$Q$2)/$Q$2))</f>
        <v>10929.9393106975</v>
      </c>
      <c r="M86" s="15" t="n">
        <f aca="false">L86*(1+IF(M$3&lt;=$O$2,$D86,$D86-($D86-$I$76)*MIN(M$3-$O$2,$Q$2)/$Q$2))</f>
        <v>11135.8081332206</v>
      </c>
      <c r="N86" s="15" t="n">
        <f aca="false">M86*(1+IF(N$3&lt;=$O$2,$D86,$D86-($D86-$I$76)*MIN(N$3-$O$2,$Q$2)/$Q$2))</f>
        <v>11395.2724627246</v>
      </c>
      <c r="O86" s="15" t="n">
        <f aca="false">SUMPRODUCT(E86:N86,1/(1+$F$76)^$E$3:$N$3)*$E$2</f>
        <v>37894.5963428652</v>
      </c>
      <c r="P86" s="15" t="n">
        <f aca="false">N86*$E$2*(1+$I$76)/($F$76-$I$76)/(1+$F$76)^$N$3</f>
        <v>69055.5965759875</v>
      </c>
      <c r="Q86" s="15" t="n">
        <f aca="false">O86+P86</f>
        <v>106950.192918853</v>
      </c>
      <c r="R86" s="15" t="n">
        <f aca="false">Q86-$G$2+$I$2</f>
        <v>87490.1929188527</v>
      </c>
      <c r="S86" s="40" t="n">
        <f aca="false">R86/$K$2</f>
        <v>155.845656172808</v>
      </c>
      <c r="T86" s="41" t="n">
        <f aca="false">S86-$M$2</f>
        <v>0.0359695022225708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-0.001953125</v>
      </c>
      <c r="C87" s="25" t="n">
        <f aca="false">IF(T86&gt;0,D86,C86)</f>
        <v>0.0009765625</v>
      </c>
      <c r="D87" s="39" t="n">
        <f aca="false">(B87+C87)/2</f>
        <v>-0.00048828125</v>
      </c>
      <c r="E87" s="15" t="n">
        <f aca="false">$C$2*(1+IF(E$3&lt;=$O$2,$D87,$D87-($D87-$I$76)*MIN(E$3-$O$2,$Q$2)/$Q$2))</f>
        <v>10554.84375</v>
      </c>
      <c r="F87" s="15" t="n">
        <f aca="false">E87*(1+IF(F$3&lt;=$O$2,$D87,$D87-($D87-$I$76)*MIN(F$3-$O$2,$Q$2)/$Q$2))</f>
        <v>10549.6900177002</v>
      </c>
      <c r="G87" s="15" t="n">
        <f aca="false">F87*(1+IF(G$3&lt;=$O$2,$D87,$D87-($D87-$I$76)*MIN(G$3-$O$2,$Q$2)/$Q$2))</f>
        <v>10544.5388018712</v>
      </c>
      <c r="H87" s="15" t="n">
        <f aca="false">G87*(1+IF(H$3&lt;=$O$2,$D87,$D87-($D87-$I$76)*MIN(H$3-$O$2,$Q$2)/$Q$2))</f>
        <v>10539.3901012844</v>
      </c>
      <c r="I87" s="15" t="n">
        <f aca="false">H87*(1+IF(I$3&lt;=$O$2,$D87,$D87-($D87-$I$76)*MIN(I$3-$O$2,$Q$2)/$Q$2))</f>
        <v>10534.2439147115</v>
      </c>
      <c r="J87" s="15" t="n">
        <f aca="false">I87*(1+IF(J$3&lt;=$O$2,$D87,$D87-($D87-$I$76)*MIN(J$3-$O$2,$Q$2)/$Q$2))</f>
        <v>10579.2185523249</v>
      </c>
      <c r="K87" s="15" t="n">
        <f aca="false">J87*(1+IF(K$3&lt;=$O$2,$D87,$D87-($D87-$I$76)*MIN(K$3-$O$2,$Q$2)/$Q$2))</f>
        <v>10674.7174887973</v>
      </c>
      <c r="L87" s="15" t="n">
        <f aca="false">K87*(1+IF(L$3&lt;=$O$2,$D87,$D87-($D87-$I$76)*MIN(L$3-$O$2,$Q$2)/$Q$2))</f>
        <v>10821.8651335311</v>
      </c>
      <c r="M87" s="15" t="n">
        <f aca="false">L87*(1+IF(M$3&lt;=$O$2,$D87,$D87-($D87-$I$76)*MIN(M$3-$O$2,$Q$2)/$Q$2))</f>
        <v>11022.5278768532</v>
      </c>
      <c r="N87" s="15" t="n">
        <f aca="false">M87*(1+IF(N$3&lt;=$O$2,$D87,$D87-($D87-$I$76)*MIN(N$3-$O$2,$Q$2)/$Q$2))</f>
        <v>11279.3527763839</v>
      </c>
      <c r="O87" s="15" t="n">
        <f aca="false">SUMPRODUCT(E87:N87,1/(1+$F$76)^$E$3:$N$3)*$E$2</f>
        <v>37648.6508934153</v>
      </c>
      <c r="P87" s="15" t="n">
        <f aca="false">N87*$E$2*(1+$I$76)/($F$76-$I$76)/(1+$F$76)^$N$3</f>
        <v>68353.1207798761</v>
      </c>
      <c r="Q87" s="15" t="n">
        <f aca="false">O87+P87</f>
        <v>106001.771673291</v>
      </c>
      <c r="R87" s="15" t="n">
        <f aca="false">Q87-$G$2+$I$2</f>
        <v>86541.7716732913</v>
      </c>
      <c r="S87" s="40" t="n">
        <f aca="false">R87/$K$2</f>
        <v>154.156240177579</v>
      </c>
      <c r="T87" s="41" t="n">
        <f aca="false">S87-$M$2</f>
        <v>-1.65344649300604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-0.00048828125</v>
      </c>
      <c r="C88" s="25" t="n">
        <f aca="false">IF(T87&gt;0,D87,C87)</f>
        <v>0.0009765625</v>
      </c>
      <c r="D88" s="39" t="n">
        <f aca="false">(B88+C88)/2</f>
        <v>0.000244140625</v>
      </c>
      <c r="E88" s="15" t="n">
        <f aca="false">$C$2*(1+IF(E$3&lt;=$O$2,$D88,$D88-($D88-$I$76)*MIN(E$3-$O$2,$Q$2)/$Q$2))</f>
        <v>10562.578125</v>
      </c>
      <c r="F88" s="15" t="n">
        <f aca="false">E88*(1+IF(F$3&lt;=$O$2,$D88,$D88-($D88-$I$76)*MIN(F$3-$O$2,$Q$2)/$Q$2))</f>
        <v>10565.156879425</v>
      </c>
      <c r="G88" s="15" t="n">
        <f aca="false">F88*(1+IF(G$3&lt;=$O$2,$D88,$D88-($D88-$I$76)*MIN(G$3-$O$2,$Q$2)/$Q$2))</f>
        <v>10567.7362634288</v>
      </c>
      <c r="H88" s="15" t="n">
        <f aca="false">G88*(1+IF(H$3&lt;=$O$2,$D88,$D88-($D88-$I$76)*MIN(H$3-$O$2,$Q$2)/$Q$2))</f>
        <v>10570.316277165</v>
      </c>
      <c r="I88" s="15" t="n">
        <f aca="false">H88*(1+IF(I$3&lt;=$O$2,$D88,$D88-($D88-$I$76)*MIN(I$3-$O$2,$Q$2)/$Q$2))</f>
        <v>10572.8969207874</v>
      </c>
      <c r="J88" s="15" t="n">
        <f aca="false">I88*(1+IF(J$3&lt;=$O$2,$D88,$D88-($D88-$I$76)*MIN(J$3-$O$2,$Q$2)/$Q$2))</f>
        <v>10624.2316393681</v>
      </c>
      <c r="K88" s="15" t="n">
        <f aca="false">J88*(1+IF(K$3&lt;=$O$2,$D88,$D88-($D88-$I$76)*MIN(K$3-$O$2,$Q$2)/$Q$2))</f>
        <v>10724.8057621785</v>
      </c>
      <c r="L88" s="15" t="n">
        <f aca="false">K88*(1+IF(L$3&lt;=$O$2,$D88,$D88-($D88-$I$76)*MIN(L$3-$O$2,$Q$2)/$Q$2))</f>
        <v>10875.7858910465</v>
      </c>
      <c r="M88" s="15" t="n">
        <f aca="false">L88*(1+IF(M$3&lt;=$O$2,$D88,$D88-($D88-$I$76)*MIN(M$3-$O$2,$Q$2)/$Q$2))</f>
        <v>11079.0415842886</v>
      </c>
      <c r="N88" s="15" t="n">
        <f aca="false">M88*(1+IF(N$3&lt;=$O$2,$D88,$D88-($D88-$I$76)*MIN(N$3-$O$2,$Q$2)/$Q$2))</f>
        <v>11337.1832532025</v>
      </c>
      <c r="O88" s="15" t="n">
        <f aca="false">SUMPRODUCT(E88:N88,1/(1+$F$76)^$E$3:$N$3)*$E$2</f>
        <v>37771.4199786125</v>
      </c>
      <c r="P88" s="15" t="n">
        <f aca="false">N88*$E$2*(1+$I$76)/($F$76-$I$76)/(1+$F$76)^$N$3</f>
        <v>68703.5747150536</v>
      </c>
      <c r="Q88" s="15" t="n">
        <f aca="false">O88+P88</f>
        <v>106474.994693666</v>
      </c>
      <c r="R88" s="15" t="n">
        <f aca="false">Q88-$G$2+$I$2</f>
        <v>87014.9946936661</v>
      </c>
      <c r="S88" s="40" t="n">
        <f aca="false">R88/$K$2</f>
        <v>154.999188966077</v>
      </c>
      <c r="T88" s="41" t="n">
        <f aca="false">S88-$M$2</f>
        <v>-0.81049770450835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0.000244140625</v>
      </c>
      <c r="C89" s="25" t="n">
        <f aca="false">IF(T88&gt;0,D88,C88)</f>
        <v>0.0009765625</v>
      </c>
      <c r="D89" s="39" t="n">
        <f aca="false">(B89+C89)/2</f>
        <v>0.0006103515625</v>
      </c>
      <c r="E89" s="15" t="n">
        <f aca="false">$C$2*(1+IF(E$3&lt;=$O$2,$D89,$D89-($D89-$I$76)*MIN(E$3-$O$2,$Q$2)/$Q$2))</f>
        <v>10566.4453125</v>
      </c>
      <c r="F89" s="15" t="n">
        <f aca="false">E89*(1+IF(F$3&lt;=$O$2,$D89,$D89-($D89-$I$76)*MIN(F$3-$O$2,$Q$2)/$Q$2))</f>
        <v>10572.8945589066</v>
      </c>
      <c r="G89" s="15" t="n">
        <f aca="false">F89*(1+IF(G$3&lt;=$O$2,$D89,$D89-($D89-$I$76)*MIN(G$3-$O$2,$Q$2)/$Q$2))</f>
        <v>10579.3477416207</v>
      </c>
      <c r="H89" s="15" t="n">
        <f aca="false">G89*(1+IF(H$3&lt;=$O$2,$D89,$D89-($D89-$I$76)*MIN(H$3-$O$2,$Q$2)/$Q$2))</f>
        <v>10585.8048630451</v>
      </c>
      <c r="I89" s="15" t="n">
        <f aca="false">H89*(1+IF(I$3&lt;=$O$2,$D89,$D89-($D89-$I$76)*MIN(I$3-$O$2,$Q$2)/$Q$2))</f>
        <v>10592.2659255835</v>
      </c>
      <c r="J89" s="15" t="n">
        <f aca="false">I89*(1+IF(J$3&lt;=$O$2,$D89,$D89-($D89-$I$76)*MIN(J$3-$O$2,$Q$2)/$Q$2))</f>
        <v>10646.7978896432</v>
      </c>
      <c r="K89" s="15" t="n">
        <f aca="false">J89*(1+IF(K$3&lt;=$O$2,$D89,$D89-($D89-$I$76)*MIN(K$3-$O$2,$Q$2)/$Q$2))</f>
        <v>10749.9250198113</v>
      </c>
      <c r="L89" s="15" t="n">
        <f aca="false">K89*(1+IF(L$3&lt;=$O$2,$D89,$D89-($D89-$I$76)*MIN(L$3-$O$2,$Q$2)/$Q$2))</f>
        <v>10902.8334650013</v>
      </c>
      <c r="M89" s="15" t="n">
        <f aca="false">L89*(1+IF(M$3&lt;=$O$2,$D89,$D89-($D89-$I$76)*MIN(M$3-$O$2,$Q$2)/$Q$2))</f>
        <v>11107.3931930771</v>
      </c>
      <c r="N89" s="15" t="n">
        <f aca="false">M89*(1+IF(N$3&lt;=$O$2,$D89,$D89-($D89-$I$76)*MIN(N$3-$O$2,$Q$2)/$Q$2))</f>
        <v>11366.1954544758</v>
      </c>
      <c r="O89" s="15" t="n">
        <f aca="false">SUMPRODUCT(E89:N89,1/(1+$F$76)^$E$3:$N$3)*$E$2</f>
        <v>37832.957171395</v>
      </c>
      <c r="P89" s="15" t="n">
        <f aca="false">N89*$E$2*(1+$I$76)/($F$76-$I$76)/(1+$F$76)^$N$3</f>
        <v>68879.3892796867</v>
      </c>
      <c r="Q89" s="15" t="n">
        <f aca="false">O89+P89</f>
        <v>106712.346451082</v>
      </c>
      <c r="R89" s="15" t="n">
        <f aca="false">Q89-$G$2+$I$2</f>
        <v>87252.3464510817</v>
      </c>
      <c r="S89" s="40" t="n">
        <f aca="false">R89/$K$2</f>
        <v>155.42198195743</v>
      </c>
      <c r="T89" s="41" t="n">
        <f aca="false">S89-$M$2</f>
        <v>-0.387704713155415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0.0006103515625</v>
      </c>
      <c r="C90" s="25" t="n">
        <f aca="false">IF(T89&gt;0,D89,C89)</f>
        <v>0.0009765625</v>
      </c>
      <c r="D90" s="39" t="n">
        <f aca="false">(B90+C90)/2</f>
        <v>0.00079345703125</v>
      </c>
      <c r="E90" s="15" t="n">
        <f aca="false">$C$2*(1+IF(E$3&lt;=$O$2,$D90,$D90-($D90-$I$76)*MIN(E$3-$O$2,$Q$2)/$Q$2))</f>
        <v>10568.37890625</v>
      </c>
      <c r="F90" s="15" t="n">
        <f aca="false">E90*(1+IF(F$3&lt;=$O$2,$D90,$D90-($D90-$I$76)*MIN(F$3-$O$2,$Q$2)/$Q$2))</f>
        <v>10576.7644608021</v>
      </c>
      <c r="G90" s="15" t="n">
        <f aca="false">F90*(1+IF(G$3&lt;=$O$2,$D90,$D90-($D90-$I$76)*MIN(G$3-$O$2,$Q$2)/$Q$2))</f>
        <v>10585.1566689314</v>
      </c>
      <c r="H90" s="15" t="n">
        <f aca="false">G90*(1+IF(H$3&lt;=$O$2,$D90,$D90-($D90-$I$76)*MIN(H$3-$O$2,$Q$2)/$Q$2))</f>
        <v>10593.5555359172</v>
      </c>
      <c r="I90" s="15" t="n">
        <f aca="false">H90*(1+IF(I$3&lt;=$O$2,$D90,$D90-($D90-$I$76)*MIN(I$3-$O$2,$Q$2)/$Q$2))</f>
        <v>10601.9610670431</v>
      </c>
      <c r="J90" s="15" t="n">
        <f aca="false">I90*(1+IF(J$3&lt;=$O$2,$D90,$D90-($D90-$I$76)*MIN(J$3-$O$2,$Q$2)/$Q$2))</f>
        <v>10658.0959660585</v>
      </c>
      <c r="K90" s="15" t="n">
        <f aca="false">J90*(1+IF(K$3&lt;=$O$2,$D90,$D90-($D90-$I$76)*MIN(K$3-$O$2,$Q$2)/$Q$2))</f>
        <v>10762.5034651726</v>
      </c>
      <c r="L90" s="15" t="n">
        <f aca="false">K90*(1+IF(L$3&lt;=$O$2,$D90,$D90-($D90-$I$76)*MIN(L$3-$O$2,$Q$2)/$Q$2))</f>
        <v>10916.379097235</v>
      </c>
      <c r="M90" s="15" t="n">
        <f aca="false">L90*(1+IF(M$3&lt;=$O$2,$D90,$D90-($D90-$I$76)*MIN(M$3-$O$2,$Q$2)/$Q$2))</f>
        <v>11121.5927391576</v>
      </c>
      <c r="N90" s="15" t="n">
        <f aca="false">M90*(1+IF(N$3&lt;=$O$2,$D90,$D90-($D90-$I$76)*MIN(N$3-$O$2,$Q$2)/$Q$2))</f>
        <v>11380.7258499799</v>
      </c>
      <c r="O90" s="15" t="n">
        <f aca="false">SUMPRODUCT(E90:N90,1/(1+$F$76)^$E$3:$N$3)*$E$2</f>
        <v>37863.7639998495</v>
      </c>
      <c r="P90" s="15" t="n">
        <f aca="false">N90*$E$2*(1+$I$76)/($F$76-$I$76)/(1+$F$76)^$N$3</f>
        <v>68967.4437894236</v>
      </c>
      <c r="Q90" s="15" t="n">
        <f aca="false">O90+P90</f>
        <v>106831.207789273</v>
      </c>
      <c r="R90" s="15" t="n">
        <f aca="false">Q90-$G$2+$I$2</f>
        <v>87371.2077892732</v>
      </c>
      <c r="S90" s="40" t="n">
        <f aca="false">R90/$K$2</f>
        <v>155.633708810761</v>
      </c>
      <c r="T90" s="41" t="n">
        <f aca="false">S90-$M$2</f>
        <v>-0.175977859824457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0.00079345703125</v>
      </c>
      <c r="C91" s="25" t="n">
        <f aca="false">IF(T90&gt;0,D90,C90)</f>
        <v>0.0009765625</v>
      </c>
      <c r="D91" s="39" t="n">
        <f aca="false">(B91+C91)/2</f>
        <v>0.000885009765625</v>
      </c>
      <c r="E91" s="15" t="n">
        <f aca="false">$C$2*(1+IF(E$3&lt;=$O$2,$D91,$D91-($D91-$I$76)*MIN(E$3-$O$2,$Q$2)/$Q$2))</f>
        <v>10569.345703125</v>
      </c>
      <c r="F91" s="15" t="n">
        <f aca="false">E91*(1+IF(F$3&lt;=$O$2,$D91,$D91-($D91-$I$76)*MIN(F$3-$O$2,$Q$2)/$Q$2))</f>
        <v>10578.6996772885</v>
      </c>
      <c r="G91" s="15" t="n">
        <f aca="false">F91*(1+IF(G$3&lt;=$O$2,$D91,$D91-($D91-$I$76)*MIN(G$3-$O$2,$Q$2)/$Q$2))</f>
        <v>10588.0619298105</v>
      </c>
      <c r="H91" s="15" t="n">
        <f aca="false">G91*(1+IF(H$3&lt;=$O$2,$D91,$D91-($D91-$I$76)*MIN(H$3-$O$2,$Q$2)/$Q$2))</f>
        <v>10597.4324680175</v>
      </c>
      <c r="I91" s="15" t="n">
        <f aca="false">H91*(1+IF(I$3&lt;=$O$2,$D91,$D91-($D91-$I$76)*MIN(I$3-$O$2,$Q$2)/$Q$2))</f>
        <v>10606.8112992422</v>
      </c>
      <c r="J91" s="15" t="n">
        <f aca="false">I91*(1+IF(J$3&lt;=$O$2,$D91,$D91-($D91-$I$76)*MIN(J$3-$O$2,$Q$2)/$Q$2))</f>
        <v>10663.7487451623</v>
      </c>
      <c r="K91" s="15" t="n">
        <f aca="false">J91*(1+IF(K$3&lt;=$O$2,$D91,$D91-($D91-$I$76)*MIN(K$3-$O$2,$Q$2)/$Q$2))</f>
        <v>10768.7973965338</v>
      </c>
      <c r="L91" s="15" t="n">
        <f aca="false">K91*(1+IF(L$3&lt;=$O$2,$D91,$D91-($D91-$I$76)*MIN(L$3-$O$2,$Q$2)/$Q$2))</f>
        <v>10923.1573804813</v>
      </c>
      <c r="M91" s="15" t="n">
        <f aca="false">L91*(1+IF(M$3&lt;=$O$2,$D91,$D91-($D91-$I$76)*MIN(M$3-$O$2,$Q$2)/$Q$2))</f>
        <v>11128.6984542441</v>
      </c>
      <c r="N91" s="15" t="n">
        <f aca="false">M91*(1+IF(N$3&lt;=$O$2,$D91,$D91-($D91-$I$76)*MIN(N$3-$O$2,$Q$2)/$Q$2))</f>
        <v>11387.997128228</v>
      </c>
      <c r="O91" s="15" t="n">
        <f aca="false">SUMPRODUCT(E91:N91,1/(1+$F$76)^$E$3:$N$3)*$E$2</f>
        <v>37879.1769807934</v>
      </c>
      <c r="P91" s="15" t="n">
        <f aca="false">N91*$E$2*(1+$I$76)/($F$76-$I$76)/(1+$F$76)^$N$3</f>
        <v>69011.5078922288</v>
      </c>
      <c r="Q91" s="15" t="n">
        <f aca="false">O91+P91</f>
        <v>106890.684873022</v>
      </c>
      <c r="R91" s="15" t="n">
        <f aca="false">Q91-$G$2+$I$2</f>
        <v>87430.6848730222</v>
      </c>
      <c r="S91" s="40" t="n">
        <f aca="false">R91/$K$2</f>
        <v>155.739654915517</v>
      </c>
      <c r="T91" s="41" t="n">
        <f aca="false">S91-$M$2</f>
        <v>-0.0700317550683565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0.000885009765625</v>
      </c>
      <c r="C92" s="25" t="n">
        <f aca="false">IF(T91&gt;0,D91,C91)</f>
        <v>0.0009765625</v>
      </c>
      <c r="D92" s="39" t="n">
        <f aca="false">(B92+C92)/2</f>
        <v>0.0009307861328125</v>
      </c>
      <c r="E92" s="15" t="n">
        <f aca="false">$C$2*(1+IF(E$3&lt;=$O$2,$D92,$D92-($D92-$I$76)*MIN(E$3-$O$2,$Q$2)/$Q$2))</f>
        <v>10569.8291015625</v>
      </c>
      <c r="F92" s="15" t="n">
        <f aca="false">E92*(1+IF(F$3&lt;=$O$2,$D92,$D92-($D92-$I$76)*MIN(F$3-$O$2,$Q$2)/$Q$2))</f>
        <v>10579.6673519164</v>
      </c>
      <c r="G92" s="15" t="n">
        <f aca="false">F92*(1+IF(G$3&lt;=$O$2,$D92,$D92-($D92-$I$76)*MIN(G$3-$O$2,$Q$2)/$Q$2))</f>
        <v>10589.5147595774</v>
      </c>
      <c r="H92" s="15" t="n">
        <f aca="false">G92*(1+IF(H$3&lt;=$O$2,$D92,$D92-($D92-$I$76)*MIN(H$3-$O$2,$Q$2)/$Q$2))</f>
        <v>10599.3713330688</v>
      </c>
      <c r="I92" s="15" t="n">
        <f aca="false">H92*(1+IF(I$3&lt;=$O$2,$D92,$D92-($D92-$I$76)*MIN(I$3-$O$2,$Q$2)/$Q$2))</f>
        <v>10609.2370809221</v>
      </c>
      <c r="J92" s="15" t="n">
        <f aca="false">I92*(1+IF(J$3&lt;=$O$2,$D92,$D92-($D92-$I$76)*MIN(J$3-$O$2,$Q$2)/$Q$2))</f>
        <v>10666.576070323</v>
      </c>
      <c r="K92" s="15" t="n">
        <f aca="false">J92*(1+IF(K$3&lt;=$O$2,$D92,$D92-($D92-$I$76)*MIN(K$3-$O$2,$Q$2)/$Q$2))</f>
        <v>10771.9455399529</v>
      </c>
      <c r="L92" s="15" t="n">
        <f aca="false">K92*(1+IF(L$3&lt;=$O$2,$D92,$D92-($D92-$I$76)*MIN(L$3-$O$2,$Q$2)/$Q$2))</f>
        <v>10926.5478896142</v>
      </c>
      <c r="M92" s="15" t="n">
        <f aca="false">L92*(1+IF(M$3&lt;=$O$2,$D92,$D92-($D92-$I$76)*MIN(M$3-$O$2,$Q$2)/$Q$2))</f>
        <v>11132.2527981277</v>
      </c>
      <c r="N92" s="15" t="n">
        <f aca="false">M92*(1+IF(N$3&lt;=$O$2,$D92,$D92-($D92-$I$76)*MIN(N$3-$O$2,$Q$2)/$Q$2))</f>
        <v>11391.634288324</v>
      </c>
      <c r="O92" s="15" t="n">
        <f aca="false">SUMPRODUCT(E92:N92,1/(1+$F$76)^$E$3:$N$3)*$E$2</f>
        <v>37886.8858640328</v>
      </c>
      <c r="P92" s="15" t="n">
        <f aca="false">N92*$E$2*(1+$I$76)/($F$76-$I$76)/(1+$F$76)^$N$3</f>
        <v>69033.5491607545</v>
      </c>
      <c r="Q92" s="15" t="n">
        <f aca="false">O92+P92</f>
        <v>106920.435024787</v>
      </c>
      <c r="R92" s="15" t="n">
        <f aca="false">Q92-$G$2+$I$2</f>
        <v>87460.4350247873</v>
      </c>
      <c r="S92" s="40" t="n">
        <f aca="false">R92/$K$2</f>
        <v>155.792648648511</v>
      </c>
      <c r="T92" s="41" t="n">
        <f aca="false">S92-$M$2</f>
        <v>-0.0170380220750133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0.0009307861328125</v>
      </c>
      <c r="C93" s="25" t="n">
        <f aca="false">IF(T92&gt;0,D92,C92)</f>
        <v>0.0009765625</v>
      </c>
      <c r="D93" s="39" t="n">
        <f aca="false">(B93+C93)/2</f>
        <v>0.00095367431640625</v>
      </c>
      <c r="E93" s="15" t="n">
        <f aca="false">$C$2*(1+IF(E$3&lt;=$O$2,$D93,$D93-($D93-$I$76)*MIN(E$3-$O$2,$Q$2)/$Q$2))</f>
        <v>10570.0708007813</v>
      </c>
      <c r="F93" s="15" t="n">
        <f aca="false">E93*(1+IF(F$3&lt;=$O$2,$D93,$D93-($D93-$I$76)*MIN(F$3-$O$2,$Q$2)/$Q$2))</f>
        <v>10580.1512058266</v>
      </c>
      <c r="G93" s="15" t="n">
        <f aca="false">F93*(1+IF(G$3&lt;=$O$2,$D93,$D93-($D93-$I$76)*MIN(G$3-$O$2,$Q$2)/$Q$2))</f>
        <v>10590.2412242952</v>
      </c>
      <c r="H93" s="15" t="n">
        <f aca="false">G93*(1+IF(H$3&lt;=$O$2,$D93,$D93-($D93-$I$76)*MIN(H$3-$O$2,$Q$2)/$Q$2))</f>
        <v>10600.3408653554</v>
      </c>
      <c r="I93" s="15" t="n">
        <f aca="false">H93*(1+IF(I$3&lt;=$O$2,$D93,$D93-($D93-$I$76)*MIN(I$3-$O$2,$Q$2)/$Q$2))</f>
        <v>10610.4501381838</v>
      </c>
      <c r="J93" s="15" t="n">
        <f aca="false">I93*(1+IF(J$3&lt;=$O$2,$D93,$D93-($D93-$I$76)*MIN(J$3-$O$2,$Q$2)/$Q$2))</f>
        <v>10667.9899668536</v>
      </c>
      <c r="K93" s="15" t="n">
        <f aca="false">J93*(1+IF(K$3&lt;=$O$2,$D93,$D93-($D93-$I$76)*MIN(K$3-$O$2,$Q$2)/$Q$2))</f>
        <v>10773.5199061681</v>
      </c>
      <c r="L93" s="15" t="n">
        <f aca="false">K93*(1+IF(L$3&lt;=$O$2,$D93,$D93-($D93-$I$76)*MIN(L$3-$O$2,$Q$2)/$Q$2))</f>
        <v>10928.2434861491</v>
      </c>
      <c r="M93" s="15" t="n">
        <f aca="false">L93*(1+IF(M$3&lt;=$O$2,$D93,$D93-($D93-$I$76)*MIN(M$3-$O$2,$Q$2)/$Q$2))</f>
        <v>11134.0303417581</v>
      </c>
      <c r="N93" s="15" t="n">
        <f aca="false">M93*(1+IF(N$3&lt;=$O$2,$D93,$D93-($D93-$I$76)*MIN(N$3-$O$2,$Q$2)/$Q$2))</f>
        <v>11393.4532487211</v>
      </c>
      <c r="O93" s="15" t="n">
        <f aca="false">SUMPRODUCT(E93:N93,1/(1+$F$76)^$E$3:$N$3)*$E$2</f>
        <v>37890.7409039804</v>
      </c>
      <c r="P93" s="15" t="n">
        <f aca="false">N93*$E$2*(1+$I$76)/($F$76-$I$76)/(1+$F$76)^$N$3</f>
        <v>69044.5720999408</v>
      </c>
      <c r="Q93" s="15" t="n">
        <f aca="false">O93+P93</f>
        <v>106935.313003921</v>
      </c>
      <c r="R93" s="15" t="n">
        <f aca="false">Q93-$G$2+$I$2</f>
        <v>87475.3130039212</v>
      </c>
      <c r="S93" s="40" t="n">
        <f aca="false">R93/$K$2</f>
        <v>155.819150686548</v>
      </c>
      <c r="T93" s="41" t="n">
        <f aca="false">S93-$M$2</f>
        <v>0.00946401596252144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0.0009307861328125</v>
      </c>
      <c r="C94" s="25" t="n">
        <f aca="false">IF(T93&gt;0,D93,C93)</f>
        <v>0.00095367431640625</v>
      </c>
      <c r="D94" s="39" t="n">
        <f aca="false">(B94+C94)/2</f>
        <v>0.000942230224609375</v>
      </c>
      <c r="E94" s="15" t="n">
        <f aca="false">$C$2*(1+IF(E$3&lt;=$O$2,$D94,$D94-($D94-$I$76)*MIN(E$3-$O$2,$Q$2)/$Q$2))</f>
        <v>10569.9499511719</v>
      </c>
      <c r="F94" s="15" t="n">
        <f aca="false">E94*(1+IF(F$3&lt;=$O$2,$D94,$D94-($D94-$I$76)*MIN(F$3-$O$2,$Q$2)/$Q$2))</f>
        <v>10579.9092774885</v>
      </c>
      <c r="G94" s="15" t="n">
        <f aca="false">F94*(1+IF(G$3&lt;=$O$2,$D94,$D94-($D94-$I$76)*MIN(G$3-$O$2,$Q$2)/$Q$2))</f>
        <v>10589.8779877834</v>
      </c>
      <c r="H94" s="15" t="n">
        <f aca="false">G94*(1+IF(H$3&lt;=$O$2,$D94,$D94-($D94-$I$76)*MIN(H$3-$O$2,$Q$2)/$Q$2))</f>
        <v>10599.8560908984</v>
      </c>
      <c r="I94" s="15" t="n">
        <f aca="false">H94*(1+IF(I$3&lt;=$O$2,$D94,$D94-($D94-$I$76)*MIN(I$3-$O$2,$Q$2)/$Q$2))</f>
        <v>10609.8435956837</v>
      </c>
      <c r="J94" s="15" t="n">
        <f aca="false">I94*(1+IF(J$3&lt;=$O$2,$D94,$D94-($D94-$I$76)*MIN(J$3-$O$2,$Q$2)/$Q$2))</f>
        <v>10667.282999091</v>
      </c>
      <c r="K94" s="15" t="n">
        <f aca="false">J94*(1+IF(K$3&lt;=$O$2,$D94,$D94-($D94-$I$76)*MIN(K$3-$O$2,$Q$2)/$Q$2))</f>
        <v>10772.7326985162</v>
      </c>
      <c r="L94" s="15" t="n">
        <f aca="false">K94*(1+IF(L$3&lt;=$O$2,$D94,$D94-($D94-$I$76)*MIN(L$3-$O$2,$Q$2)/$Q$2))</f>
        <v>10927.3956593816</v>
      </c>
      <c r="M94" s="15" t="n">
        <f aca="false">L94*(1+IF(M$3&lt;=$O$2,$D94,$D94-($D94-$I$76)*MIN(M$3-$O$2,$Q$2)/$Q$2))</f>
        <v>11133.1415389658</v>
      </c>
      <c r="N94" s="15" t="n">
        <f aca="false">M94*(1+IF(N$3&lt;=$O$2,$D94,$D94-($D94-$I$76)*MIN(N$3-$O$2,$Q$2)/$Q$2))</f>
        <v>11392.5437368237</v>
      </c>
      <c r="O94" s="15" t="n">
        <f aca="false">SUMPRODUCT(E94:N94,1/(1+$F$76)^$E$3:$N$3)*$E$2</f>
        <v>37888.8133341419</v>
      </c>
      <c r="P94" s="15" t="n">
        <f aca="false">N94*$E$2*(1+$I$76)/($F$76-$I$76)/(1+$F$76)^$N$3</f>
        <v>69039.0604382515</v>
      </c>
      <c r="Q94" s="15" t="n">
        <f aca="false">O94+P94</f>
        <v>106927.873772393</v>
      </c>
      <c r="R94" s="15" t="n">
        <f aca="false">Q94-$G$2+$I$2</f>
        <v>87467.8737723935</v>
      </c>
      <c r="S94" s="40" t="n">
        <f aca="false">R94/$K$2</f>
        <v>155.805899236526</v>
      </c>
      <c r="T94" s="41" t="n">
        <f aca="false">S94-$M$2</f>
        <v>-0.0037874340592623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0.000942230224609375</v>
      </c>
      <c r="C95" s="25" t="n">
        <f aca="false">IF(T94&gt;0,D94,C94)</f>
        <v>0.00095367431640625</v>
      </c>
      <c r="D95" s="39" t="n">
        <f aca="false">(B95+C95)/2</f>
        <v>0.000947952270507813</v>
      </c>
      <c r="E95" s="15" t="n">
        <f aca="false">$C$2*(1+IF(E$3&lt;=$O$2,$D95,$D95-($D95-$I$76)*MIN(E$3-$O$2,$Q$2)/$Q$2))</f>
        <v>10570.0103759766</v>
      </c>
      <c r="F95" s="15" t="n">
        <f aca="false">E95*(1+IF(F$3&lt;=$O$2,$D95,$D95-($D95-$I$76)*MIN(F$3-$O$2,$Q$2)/$Q$2))</f>
        <v>10580.0302413118</v>
      </c>
      <c r="G95" s="15" t="n">
        <f aca="false">F95*(1+IF(G$3&lt;=$O$2,$D95,$D95-($D95-$I$76)*MIN(G$3-$O$2,$Q$2)/$Q$2))</f>
        <v>10590.0596050011</v>
      </c>
      <c r="H95" s="15" t="n">
        <f aca="false">G95*(1+IF(H$3&lt;=$O$2,$D95,$D95-($D95-$I$76)*MIN(H$3-$O$2,$Q$2)/$Q$2))</f>
        <v>10600.0984760484</v>
      </c>
      <c r="I95" s="15" t="n">
        <f aca="false">H95*(1+IF(I$3&lt;=$O$2,$D95,$D95-($D95-$I$76)*MIN(I$3-$O$2,$Q$2)/$Q$2))</f>
        <v>10610.1468634664</v>
      </c>
      <c r="J95" s="15" t="n">
        <f aca="false">I95*(1+IF(J$3&lt;=$O$2,$D95,$D95-($D95-$I$76)*MIN(J$3-$O$2,$Q$2)/$Q$2))</f>
        <v>10667.6364780979</v>
      </c>
      <c r="K95" s="15" t="n">
        <f aca="false">J95*(1+IF(K$3&lt;=$O$2,$D95,$D95-($D95-$I$76)*MIN(K$3-$O$2,$Q$2)/$Q$2))</f>
        <v>10773.126296206</v>
      </c>
      <c r="L95" s="15" t="n">
        <f aca="false">K95*(1+IF(L$3&lt;=$O$2,$D95,$D95-($D95-$I$76)*MIN(L$3-$O$2,$Q$2)/$Q$2))</f>
        <v>10927.8195656401</v>
      </c>
      <c r="M95" s="15" t="n">
        <f aca="false">L95*(1+IF(M$3&lt;=$O$2,$D95,$D95-($D95-$I$76)*MIN(M$3-$O$2,$Q$2)/$Q$2))</f>
        <v>11133.5859326174</v>
      </c>
      <c r="N95" s="15" t="n">
        <f aca="false">M95*(1+IF(N$3&lt;=$O$2,$D95,$D95-($D95-$I$76)*MIN(N$3-$O$2,$Q$2)/$Q$2))</f>
        <v>11392.9984848474</v>
      </c>
      <c r="O95" s="15" t="n">
        <f aca="false">SUMPRODUCT(E95:N95,1/(1+$F$76)^$E$3:$N$3)*$E$2</f>
        <v>37889.7771065947</v>
      </c>
      <c r="P95" s="15" t="n">
        <f aca="false">N95*$E$2*(1+$I$76)/($F$76-$I$76)/(1+$F$76)^$N$3</f>
        <v>69041.8162210707</v>
      </c>
      <c r="Q95" s="15" t="n">
        <f aca="false">O95+P95</f>
        <v>106931.593327665</v>
      </c>
      <c r="R95" s="15" t="n">
        <f aca="false">Q95-$G$2+$I$2</f>
        <v>87471.5933276654</v>
      </c>
      <c r="S95" s="40" t="n">
        <f aca="false">R95/$K$2</f>
        <v>155.812524853783</v>
      </c>
      <c r="T95" s="41" t="n">
        <f aca="false">S95-$M$2</f>
        <v>0.00283818319775264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0.000942230224609375</v>
      </c>
      <c r="C96" s="25" t="n">
        <f aca="false">IF(T95&gt;0,D95,C95)</f>
        <v>0.000947952270507813</v>
      </c>
      <c r="D96" s="39" t="n">
        <f aca="false">(B96+C96)/2</f>
        <v>0.000945091247558594</v>
      </c>
      <c r="E96" s="15" t="n">
        <f aca="false">$C$2*(1+IF(E$3&lt;=$O$2,$D96,$D96-($D96-$I$76)*MIN(E$3-$O$2,$Q$2)/$Q$2))</f>
        <v>10569.9801635742</v>
      </c>
      <c r="F96" s="15" t="n">
        <f aca="false">E96*(1+IF(F$3&lt;=$O$2,$D96,$D96-($D96-$I$76)*MIN(F$3-$O$2,$Q$2)/$Q$2))</f>
        <v>10579.9697593137</v>
      </c>
      <c r="G96" s="15" t="n">
        <f aca="false">F96*(1+IF(G$3&lt;=$O$2,$D96,$D96-($D96-$I$76)*MIN(G$3-$O$2,$Q$2)/$Q$2))</f>
        <v>10589.9687961326</v>
      </c>
      <c r="H96" s="15" t="n">
        <f aca="false">G96*(1+IF(H$3&lt;=$O$2,$D96,$D96-($D96-$I$76)*MIN(H$3-$O$2,$Q$2)/$Q$2))</f>
        <v>10599.9772829538</v>
      </c>
      <c r="I96" s="15" t="n">
        <f aca="false">H96*(1+IF(I$3&lt;=$O$2,$D96,$D96-($D96-$I$76)*MIN(I$3-$O$2,$Q$2)/$Q$2))</f>
        <v>10609.9952287082</v>
      </c>
      <c r="J96" s="15" t="n">
        <f aca="false">I96*(1+IF(J$3&lt;=$O$2,$D96,$D96-($D96-$I$76)*MIN(J$3-$O$2,$Q$2)/$Q$2))</f>
        <v>10667.4597373758</v>
      </c>
      <c r="K96" s="15" t="n">
        <f aca="false">J96*(1+IF(K$3&lt;=$O$2,$D96,$D96-($D96-$I$76)*MIN(K$3-$O$2,$Q$2)/$Q$2))</f>
        <v>10772.9294958271</v>
      </c>
      <c r="L96" s="15" t="n">
        <f aca="false">K96*(1+IF(L$3&lt;=$O$2,$D96,$D96-($D96-$I$76)*MIN(L$3-$O$2,$Q$2)/$Q$2))</f>
        <v>10927.6076107296</v>
      </c>
      <c r="M96" s="15" t="n">
        <f aca="false">L96*(1+IF(M$3&lt;=$O$2,$D96,$D96-($D96-$I$76)*MIN(M$3-$O$2,$Q$2)/$Q$2))</f>
        <v>11133.3637338555</v>
      </c>
      <c r="N96" s="15" t="n">
        <f aca="false">M96*(1+IF(N$3&lt;=$O$2,$D96,$D96-($D96-$I$76)*MIN(N$3-$O$2,$Q$2)/$Q$2))</f>
        <v>11392.7711088543</v>
      </c>
      <c r="O96" s="15" t="n">
        <f aca="false">SUMPRODUCT(E96:N96,1/(1+$F$76)^$E$3:$N$3)*$E$2</f>
        <v>37889.2952172517</v>
      </c>
      <c r="P96" s="15" t="n">
        <f aca="false">N96*$E$2*(1+$I$76)/($F$76-$I$76)/(1+$F$76)^$N$3</f>
        <v>69040.4383176549</v>
      </c>
      <c r="Q96" s="15" t="n">
        <f aca="false">O96+P96</f>
        <v>106929.733534907</v>
      </c>
      <c r="R96" s="15" t="n">
        <f aca="false">Q96-$G$2+$I$2</f>
        <v>87469.7335349066</v>
      </c>
      <c r="S96" s="40" t="n">
        <f aca="false">R96/$K$2</f>
        <v>155.809212018217</v>
      </c>
      <c r="T96" s="41" t="n">
        <f aca="false">S96-$M$2</f>
        <v>-0.000474652368865236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0.000945091247558594</v>
      </c>
      <c r="C97" s="25" t="n">
        <f aca="false">IF(T96&gt;0,D96,C96)</f>
        <v>0.000947952270507813</v>
      </c>
      <c r="D97" s="39" t="n">
        <f aca="false">(B97+C97)/2</f>
        <v>0.000946521759033203</v>
      </c>
      <c r="E97" s="15" t="n">
        <f aca="false">$C$2*(1+IF(E$3&lt;=$O$2,$D97,$D97-($D97-$I$76)*MIN(E$3-$O$2,$Q$2)/$Q$2))</f>
        <v>10569.9952697754</v>
      </c>
      <c r="F97" s="15" t="n">
        <f aca="false">E97*(1+IF(F$3&lt;=$O$2,$D97,$D97-($D97-$I$76)*MIN(F$3-$O$2,$Q$2)/$Q$2))</f>
        <v>10580.0000002911</v>
      </c>
      <c r="G97" s="15" t="n">
        <f aca="false">F97*(1+IF(G$3&lt;=$O$2,$D97,$D97-($D97-$I$76)*MIN(G$3-$O$2,$Q$2)/$Q$2))</f>
        <v>10590.014200502</v>
      </c>
      <c r="H97" s="15" t="n">
        <f aca="false">G97*(1+IF(H$3&lt;=$O$2,$D97,$D97-($D97-$I$76)*MIN(H$3-$O$2,$Q$2)/$Q$2))</f>
        <v>10600.0378793712</v>
      </c>
      <c r="I97" s="15" t="n">
        <f aca="false">H97*(1+IF(I$3&lt;=$O$2,$D97,$D97-($D97-$I$76)*MIN(I$3-$O$2,$Q$2)/$Q$2))</f>
        <v>10610.0710458706</v>
      </c>
      <c r="J97" s="15" t="n">
        <f aca="false">I97*(1+IF(J$3&lt;=$O$2,$D97,$D97-($D97-$I$76)*MIN(J$3-$O$2,$Q$2)/$Q$2))</f>
        <v>10667.5481074322</v>
      </c>
      <c r="K97" s="15" t="n">
        <f aca="false">J97*(1+IF(K$3&lt;=$O$2,$D97,$D97-($D97-$I$76)*MIN(K$3-$O$2,$Q$2)/$Q$2))</f>
        <v>10773.027895633</v>
      </c>
      <c r="L97" s="15" t="n">
        <f aca="false">K97*(1+IF(L$3&lt;=$O$2,$D97,$D97-($D97-$I$76)*MIN(L$3-$O$2,$Q$2)/$Q$2))</f>
        <v>10927.7135877395</v>
      </c>
      <c r="M97" s="15" t="n">
        <f aca="false">L97*(1+IF(M$3&lt;=$O$2,$D97,$D97-($D97-$I$76)*MIN(M$3-$O$2,$Q$2)/$Q$2))</f>
        <v>11133.4748327524</v>
      </c>
      <c r="N97" s="15" t="n">
        <f aca="false">M97*(1+IF(N$3&lt;=$O$2,$D97,$D97-($D97-$I$76)*MIN(N$3-$O$2,$Q$2)/$Q$2))</f>
        <v>11392.8847963556</v>
      </c>
      <c r="O97" s="15" t="n">
        <f aca="false">SUMPRODUCT(E97:N97,1/(1+$F$76)^$E$3:$N$3)*$E$2</f>
        <v>37889.5361611441</v>
      </c>
      <c r="P97" s="15" t="n">
        <f aca="false">N97*$E$2*(1+$I$76)/($F$76-$I$76)/(1+$F$76)^$N$3</f>
        <v>69041.1272663613</v>
      </c>
      <c r="Q97" s="15" t="n">
        <f aca="false">O97+P97</f>
        <v>106930.663427505</v>
      </c>
      <c r="R97" s="15" t="n">
        <f aca="false">Q97-$G$2+$I$2</f>
        <v>87470.6634275053</v>
      </c>
      <c r="S97" s="40" t="n">
        <f aca="false">R97/$K$2</f>
        <v>155.810868429265</v>
      </c>
      <c r="T97" s="41" t="n">
        <f aca="false">S97-$M$2</f>
        <v>0.00118175867987702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0.000945091247558594</v>
      </c>
      <c r="C98" s="25" t="n">
        <f aca="false">IF(T97&gt;0,D97,C97)</f>
        <v>0.000946521759033203</v>
      </c>
      <c r="D98" s="39" t="n">
        <f aca="false">(B98+C98)/2</f>
        <v>0.000945806503295898</v>
      </c>
      <c r="E98" s="15" t="n">
        <f aca="false">$C$2*(1+IF(E$3&lt;=$O$2,$D98,$D98-($D98-$I$76)*MIN(E$3-$O$2,$Q$2)/$Q$2))</f>
        <v>10569.9877166748</v>
      </c>
      <c r="F98" s="15" t="n">
        <f aca="false">E98*(1+IF(F$3&lt;=$O$2,$D98,$D98-($D98-$I$76)*MIN(F$3-$O$2,$Q$2)/$Q$2))</f>
        <v>10579.984879797</v>
      </c>
      <c r="G98" s="15" t="n">
        <f aca="false">F98*(1+IF(G$3&lt;=$O$2,$D98,$D98-($D98-$I$76)*MIN(G$3-$O$2,$Q$2)/$Q$2))</f>
        <v>10589.9914983011</v>
      </c>
      <c r="H98" s="15" t="n">
        <f aca="false">G98*(1+IF(H$3&lt;=$O$2,$D98,$D98-($D98-$I$76)*MIN(H$3-$O$2,$Q$2)/$Q$2))</f>
        <v>10600.00758113</v>
      </c>
      <c r="I98" s="15" t="n">
        <f aca="false">H98*(1+IF(I$3&lt;=$O$2,$D98,$D98-($D98-$I$76)*MIN(I$3-$O$2,$Q$2)/$Q$2))</f>
        <v>10610.0331372352</v>
      </c>
      <c r="J98" s="15" t="n">
        <f aca="false">I98*(1+IF(J$3&lt;=$O$2,$D98,$D98-($D98-$I$76)*MIN(J$3-$O$2,$Q$2)/$Q$2))</f>
        <v>10667.5039223279</v>
      </c>
      <c r="K98" s="15" t="n">
        <f aca="false">J98*(1+IF(K$3&lt;=$O$2,$D98,$D98-($D98-$I$76)*MIN(K$3-$O$2,$Q$2)/$Q$2))</f>
        <v>10772.9786956342</v>
      </c>
      <c r="L98" s="15" t="n">
        <f aca="false">K98*(1+IF(L$3&lt;=$O$2,$D98,$D98-($D98-$I$76)*MIN(L$3-$O$2,$Q$2)/$Q$2))</f>
        <v>10927.6605991232</v>
      </c>
      <c r="M98" s="15" t="n">
        <f aca="false">L98*(1+IF(M$3&lt;=$O$2,$D98,$D98-($D98-$I$76)*MIN(M$3-$O$2,$Q$2)/$Q$2))</f>
        <v>11133.419283183</v>
      </c>
      <c r="N98" s="15" t="n">
        <f aca="false">M98*(1+IF(N$3&lt;=$O$2,$D98,$D98-($D98-$I$76)*MIN(N$3-$O$2,$Q$2)/$Q$2))</f>
        <v>11392.8279524811</v>
      </c>
      <c r="O98" s="15" t="n">
        <f aca="false">SUMPRODUCT(E98:N98,1/(1+$F$76)^$E$3:$N$3)*$E$2</f>
        <v>37889.4156890031</v>
      </c>
      <c r="P98" s="15" t="n">
        <f aca="false">N98*$E$2*(1+$I$76)/($F$76-$I$76)/(1+$F$76)^$N$3</f>
        <v>69040.7827912577</v>
      </c>
      <c r="Q98" s="15" t="n">
        <f aca="false">O98+P98</f>
        <v>106930.198480261</v>
      </c>
      <c r="R98" s="15" t="n">
        <f aca="false">Q98-$G$2+$I$2</f>
        <v>87470.1984802608</v>
      </c>
      <c r="S98" s="40" t="n">
        <f aca="false">R98/$K$2</f>
        <v>155.810040222057</v>
      </c>
      <c r="T98" s="41" t="n">
        <f aca="false">S98-$M$2</f>
        <v>0.00035355147187488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0.000945091247558594</v>
      </c>
      <c r="C99" s="25" t="n">
        <f aca="false">IF(T98&gt;0,D98,C98)</f>
        <v>0.000945806503295898</v>
      </c>
      <c r="D99" s="39" t="n">
        <f aca="false">(B99+C99)/2</f>
        <v>0.000945448875427246</v>
      </c>
      <c r="E99" s="15" t="n">
        <f aca="false">$C$2*(1+IF(E$3&lt;=$O$2,$D99,$D99-($D99-$I$76)*MIN(E$3-$O$2,$Q$2)/$Q$2))</f>
        <v>10569.9839401245</v>
      </c>
      <c r="F99" s="15" t="n">
        <f aca="false">E99*(1+IF(F$3&lt;=$O$2,$D99,$D99-($D99-$I$76)*MIN(F$3-$O$2,$Q$2)/$Q$2))</f>
        <v>10579.977319554</v>
      </c>
      <c r="G99" s="15" t="n">
        <f aca="false">F99*(1+IF(G$3&lt;=$O$2,$D99,$D99-($D99-$I$76)*MIN(G$3-$O$2,$Q$2)/$Q$2))</f>
        <v>10589.9801472128</v>
      </c>
      <c r="H99" s="15" t="n">
        <f aca="false">G99*(1+IF(H$3&lt;=$O$2,$D99,$D99-($D99-$I$76)*MIN(H$3-$O$2,$Q$2)/$Q$2))</f>
        <v>10599.9924320338</v>
      </c>
      <c r="I99" s="15" t="n">
        <f aca="false">H99*(1+IF(I$3&lt;=$O$2,$D99,$D99-($D99-$I$76)*MIN(I$3-$O$2,$Q$2)/$Q$2))</f>
        <v>10610.0141829582</v>
      </c>
      <c r="J99" s="15" t="n">
        <f aca="false">I99*(1+IF(J$3&lt;=$O$2,$D99,$D99-($D99-$I$76)*MIN(J$3-$O$2,$Q$2)/$Q$2))</f>
        <v>10667.4818298328</v>
      </c>
      <c r="K99" s="15" t="n">
        <f aca="false">J99*(1+IF(K$3&lt;=$O$2,$D99,$D99-($D99-$I$76)*MIN(K$3-$O$2,$Q$2)/$Q$2))</f>
        <v>10772.9540957066</v>
      </c>
      <c r="L99" s="15" t="n">
        <f aca="false">K99*(1+IF(L$3&lt;=$O$2,$D99,$D99-($D99-$I$76)*MIN(L$3-$O$2,$Q$2)/$Q$2))</f>
        <v>10927.6341048985</v>
      </c>
      <c r="M99" s="15" t="n">
        <f aca="false">L99*(1+IF(M$3&lt;=$O$2,$D99,$D99-($D99-$I$76)*MIN(M$3-$O$2,$Q$2)/$Q$2))</f>
        <v>11133.391508489</v>
      </c>
      <c r="N99" s="15" t="n">
        <f aca="false">M99*(1+IF(N$3&lt;=$O$2,$D99,$D99-($D99-$I$76)*MIN(N$3-$O$2,$Q$2)/$Q$2))</f>
        <v>11392.7995306368</v>
      </c>
      <c r="O99" s="15" t="n">
        <f aca="false">SUMPRODUCT(E99:N99,1/(1+$F$76)^$E$3:$N$3)*$E$2</f>
        <v>37889.3554530787</v>
      </c>
      <c r="P99" s="15" t="n">
        <f aca="false">N99*$E$2*(1+$I$76)/($F$76-$I$76)/(1+$F$76)^$N$3</f>
        <v>69040.6105542687</v>
      </c>
      <c r="Q99" s="15" t="n">
        <f aca="false">O99+P99</f>
        <v>106929.966007347</v>
      </c>
      <c r="R99" s="15" t="n">
        <f aca="false">Q99-$G$2+$I$2</f>
        <v>87469.9660073474</v>
      </c>
      <c r="S99" s="40" t="n">
        <f aca="false">R99/$K$2</f>
        <v>155.809626119716</v>
      </c>
      <c r="T99" s="41" t="n">
        <f aca="false">S99-$M$2</f>
        <v>-6.05508694206947E-005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0.000945448875427246</v>
      </c>
      <c r="C100" s="25" t="n">
        <f aca="false">IF(T99&gt;0,D99,C99)</f>
        <v>0.000945806503295898</v>
      </c>
      <c r="D100" s="39" t="n">
        <f aca="false">(B100+C100)/2</f>
        <v>0.000945627689361572</v>
      </c>
      <c r="E100" s="15" t="n">
        <f aca="false">$C$2*(1+IF(E$3&lt;=$O$2,$D100,$D100-($D100-$I$76)*MIN(E$3-$O$2,$Q$2)/$Q$2))</f>
        <v>10569.9858283997</v>
      </c>
      <c r="F100" s="15" t="n">
        <f aca="false">E100*(1+IF(F$3&lt;=$O$2,$D100,$D100-($D100-$I$76)*MIN(F$3-$O$2,$Q$2)/$Q$2))</f>
        <v>10579.9810996752</v>
      </c>
      <c r="G100" s="15" t="n">
        <f aca="false">F100*(1+IF(G$3&lt;=$O$2,$D100,$D100-($D100-$I$76)*MIN(G$3-$O$2,$Q$2)/$Q$2))</f>
        <v>10589.9858227559</v>
      </c>
      <c r="H100" s="15" t="n">
        <f aca="false">G100*(1+IF(H$3&lt;=$O$2,$D100,$D100-($D100-$I$76)*MIN(H$3-$O$2,$Q$2)/$Q$2))</f>
        <v>10600.0000065799</v>
      </c>
      <c r="I100" s="15" t="n">
        <f aca="false">H100*(1+IF(I$3&lt;=$O$2,$D100,$D100-($D100-$I$76)*MIN(I$3-$O$2,$Q$2)/$Q$2))</f>
        <v>10610.0236600933</v>
      </c>
      <c r="J100" s="15" t="n">
        <f aca="false">I100*(1+IF(J$3&lt;=$O$2,$D100,$D100-($D100-$I$76)*MIN(J$3-$O$2,$Q$2)/$Q$2))</f>
        <v>10667.4928760756</v>
      </c>
      <c r="K100" s="15" t="n">
        <f aca="false">J100*(1+IF(K$3&lt;=$O$2,$D100,$D100-($D100-$I$76)*MIN(K$3-$O$2,$Q$2)/$Q$2))</f>
        <v>10772.9663956644</v>
      </c>
      <c r="L100" s="15" t="n">
        <f aca="false">K100*(1+IF(L$3&lt;=$O$2,$D100,$D100-($D100-$I$76)*MIN(L$3-$O$2,$Q$2)/$Q$2))</f>
        <v>10927.6473520039</v>
      </c>
      <c r="M100" s="15" t="n">
        <f aca="false">L100*(1+IF(M$3&lt;=$O$2,$D100,$D100-($D100-$I$76)*MIN(M$3-$O$2,$Q$2)/$Q$2))</f>
        <v>11133.4053958284</v>
      </c>
      <c r="N100" s="15" t="n">
        <f aca="false">M100*(1+IF(N$3&lt;=$O$2,$D100,$D100-($D100-$I$76)*MIN(N$3-$O$2,$Q$2)/$Q$2))</f>
        <v>11392.8137415512</v>
      </c>
      <c r="O100" s="15" t="n">
        <f aca="false">SUMPRODUCT(E100:N100,1/(1+$F$76)^$E$3:$N$3)*$E$2</f>
        <v>37889.3855710287</v>
      </c>
      <c r="P100" s="15" t="n">
        <f aca="false">N100*$E$2*(1+$I$76)/($F$76-$I$76)/(1+$F$76)^$N$3</f>
        <v>69040.6966727163</v>
      </c>
      <c r="Q100" s="15" t="n">
        <f aca="false">O100+P100</f>
        <v>106930.082243745</v>
      </c>
      <c r="R100" s="15" t="n">
        <f aca="false">Q100-$G$2+$I$2</f>
        <v>87470.0822437451</v>
      </c>
      <c r="S100" s="40" t="n">
        <f aca="false">R100/$K$2</f>
        <v>155.809833170782</v>
      </c>
      <c r="T100" s="41" t="n">
        <f aca="false">S100-$M$2</f>
        <v>0.000146500196052557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0.000945448875427246</v>
      </c>
      <c r="C101" s="25" t="n">
        <f aca="false">IF(T100&gt;0,D100,C100)</f>
        <v>0.000945627689361572</v>
      </c>
      <c r="D101" s="39" t="n">
        <f aca="false">(B101+C101)/2</f>
        <v>0.000945538282394409</v>
      </c>
      <c r="E101" s="15" t="n">
        <f aca="false">$C$2*(1+IF(E$3&lt;=$O$2,$D101,$D101-($D101-$I$76)*MIN(E$3-$O$2,$Q$2)/$Q$2))</f>
        <v>10569.9848842621</v>
      </c>
      <c r="F101" s="15" t="n">
        <f aca="false">E101*(1+IF(F$3&lt;=$O$2,$D101,$D101-($D101-$I$76)*MIN(F$3-$O$2,$Q$2)/$Q$2))</f>
        <v>10579.9792096145</v>
      </c>
      <c r="G101" s="15" t="n">
        <f aca="false">F101*(1+IF(G$3&lt;=$O$2,$D101,$D101-($D101-$I$76)*MIN(G$3-$O$2,$Q$2)/$Q$2))</f>
        <v>10589.9829849841</v>
      </c>
      <c r="H101" s="15" t="n">
        <f aca="false">G101*(1+IF(H$3&lt;=$O$2,$D101,$D101-($D101-$I$76)*MIN(H$3-$O$2,$Q$2)/$Q$2))</f>
        <v>10599.9962193063</v>
      </c>
      <c r="I101" s="15" t="n">
        <f aca="false">H101*(1+IF(I$3&lt;=$O$2,$D101,$D101-($D101-$I$76)*MIN(I$3-$O$2,$Q$2)/$Q$2))</f>
        <v>10610.0189215249</v>
      </c>
      <c r="J101" s="15" t="n">
        <f aca="false">I101*(1+IF(J$3&lt;=$O$2,$D101,$D101-($D101-$I$76)*MIN(J$3-$O$2,$Q$2)/$Q$2))</f>
        <v>10667.487352953</v>
      </c>
      <c r="K101" s="15" t="n">
        <f aca="false">J101*(1+IF(K$3&lt;=$O$2,$D101,$D101-($D101-$I$76)*MIN(K$3-$O$2,$Q$2)/$Q$2))</f>
        <v>10772.960245684</v>
      </c>
      <c r="L101" s="15" t="n">
        <f aca="false">K101*(1+IF(L$3&lt;=$O$2,$D101,$D101-($D101-$I$76)*MIN(L$3-$O$2,$Q$2)/$Q$2))</f>
        <v>10927.6407284495</v>
      </c>
      <c r="M101" s="15" t="n">
        <f aca="false">L101*(1+IF(M$3&lt;=$O$2,$D101,$D101-($D101-$I$76)*MIN(M$3-$O$2,$Q$2)/$Q$2))</f>
        <v>11133.3984521568</v>
      </c>
      <c r="N101" s="15" t="n">
        <f aca="false">M101*(1+IF(N$3&lt;=$O$2,$D101,$D101-($D101-$I$76)*MIN(N$3-$O$2,$Q$2)/$Q$2))</f>
        <v>11392.806636092</v>
      </c>
      <c r="O101" s="15" t="n">
        <f aca="false">SUMPRODUCT(E101:N101,1/(1+$F$76)^$E$3:$N$3)*$E$2</f>
        <v>37889.3705120507</v>
      </c>
      <c r="P101" s="15" t="n">
        <f aca="false">N101*$E$2*(1+$I$76)/($F$76-$I$76)/(1+$F$76)^$N$3</f>
        <v>69040.6536134808</v>
      </c>
      <c r="Q101" s="15" t="n">
        <f aca="false">O101+P101</f>
        <v>106930.024125531</v>
      </c>
      <c r="R101" s="15" t="n">
        <f aca="false">Q101-$G$2+$I$2</f>
        <v>87470.0241255315</v>
      </c>
      <c r="S101" s="40" t="n">
        <f aca="false">R101/$K$2</f>
        <v>155.809729645223</v>
      </c>
      <c r="T101" s="41" t="n">
        <f aca="false">S101-$M$2</f>
        <v>4.29746370116391E-005</v>
      </c>
    </row>
    <row r="103" customFormat="false" ht="15" hidden="false" customHeight="false" outlineLevel="0" collapsed="false">
      <c r="A103" s="36" t="s">
        <v>189</v>
      </c>
      <c r="E103" s="5" t="s">
        <v>11</v>
      </c>
      <c r="F103" s="12" t="n">
        <f aca="false">Sensitivity!$B$10</f>
        <v>0.0670172026214128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6" t="s">
        <v>167</v>
      </c>
      <c r="B104" s="28" t="s">
        <v>168</v>
      </c>
      <c r="C104" s="28" t="s">
        <v>169</v>
      </c>
      <c r="D104" s="28" t="s">
        <v>170</v>
      </c>
      <c r="E104" s="28" t="s">
        <v>171</v>
      </c>
      <c r="F104" s="28" t="s">
        <v>172</v>
      </c>
      <c r="G104" s="28" t="s">
        <v>173</v>
      </c>
      <c r="H104" s="28" t="s">
        <v>174</v>
      </c>
      <c r="I104" s="28" t="s">
        <v>175</v>
      </c>
      <c r="J104" s="28" t="s">
        <v>176</v>
      </c>
      <c r="K104" s="28" t="s">
        <v>177</v>
      </c>
      <c r="L104" s="28" t="s">
        <v>178</v>
      </c>
      <c r="M104" s="28" t="s">
        <v>179</v>
      </c>
      <c r="N104" s="28" t="s">
        <v>180</v>
      </c>
      <c r="O104" s="28" t="s">
        <v>181</v>
      </c>
      <c r="P104" s="28" t="s">
        <v>182</v>
      </c>
      <c r="Q104" s="28" t="s">
        <v>183</v>
      </c>
      <c r="R104" s="28" t="s">
        <v>184</v>
      </c>
      <c r="S104" s="28" t="s">
        <v>185</v>
      </c>
      <c r="T104" s="28" t="s">
        <v>186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39" t="n">
        <f aca="false">(B105+C105)/2</f>
        <v>0.25</v>
      </c>
      <c r="E105" s="15" t="n">
        <f aca="false">$C$2*(1+IF(E$3&lt;=$O$2,$D105,$D105-($D105-$I$103)*MIN(E$3-$O$2,$Q$2)/$Q$2))</f>
        <v>13200</v>
      </c>
      <c r="F105" s="15" t="n">
        <f aca="false">E105*(1+IF(F$3&lt;=$O$2,$D105,$D105-($D105-$I$103)*MIN(F$3-$O$2,$Q$2)/$Q$2))</f>
        <v>16500</v>
      </c>
      <c r="G105" s="15" t="n">
        <f aca="false">F105*(1+IF(G$3&lt;=$O$2,$D105,$D105-($D105-$I$103)*MIN(G$3-$O$2,$Q$2)/$Q$2))</f>
        <v>20625</v>
      </c>
      <c r="H105" s="15" t="n">
        <f aca="false">G105*(1+IF(H$3&lt;=$O$2,$D105,$D105-($D105-$I$103)*MIN(H$3-$O$2,$Q$2)/$Q$2))</f>
        <v>25781.25</v>
      </c>
      <c r="I105" s="15" t="n">
        <f aca="false">H105*(1+IF(I$3&lt;=$O$2,$D105,$D105-($D105-$I$103)*MIN(I$3-$O$2,$Q$2)/$Q$2))</f>
        <v>32226.5625</v>
      </c>
      <c r="J105" s="15" t="n">
        <f aca="false">I105*(1+IF(J$3&lt;=$O$2,$D105,$D105-($D105-$I$103)*MIN(J$3-$O$2,$Q$2)/$Q$2))</f>
        <v>38854.27734375</v>
      </c>
      <c r="K105" s="15" t="n">
        <f aca="false">J105*(1+IF(K$3&lt;=$O$2,$D105,$D105-($D105-$I$103)*MIN(K$3-$O$2,$Q$2)/$Q$2))</f>
        <v>45122.2493648437</v>
      </c>
      <c r="L105" s="15" t="n">
        <f aca="false">K105*(1+IF(L$3&lt;=$O$2,$D105,$D105-($D105-$I$103)*MIN(L$3-$O$2,$Q$2)/$Q$2))</f>
        <v>50400.6500955432</v>
      </c>
      <c r="M105" s="15" t="n">
        <f aca="false">L105*(1+IF(M$3&lt;=$O$2,$D105,$D105-($D105-$I$103)*MIN(M$3-$O$2,$Q$2)/$Q$2))</f>
        <v>54061.7533184834</v>
      </c>
      <c r="N105" s="15" t="n">
        <f aca="false">M105*(1+IF(N$3&lt;=$O$2,$D105,$D105-($D105-$I$103)*MIN(N$3-$O$2,$Q$2)/$Q$2))</f>
        <v>55591.7009373965</v>
      </c>
      <c r="O105" s="15" t="n">
        <f aca="false">SUMPRODUCT(E105:N105,1/(1+$F$103)^$E$3:$N$3)*$E$2</f>
        <v>114516.481638249</v>
      </c>
      <c r="P105" s="15" t="n">
        <f aca="false">N105*$E$2*(1+$I$103)/($F$103-$I$103)/(1+$F$103)^$N$3</f>
        <v>382251.664352242</v>
      </c>
      <c r="Q105" s="15" t="n">
        <f aca="false">O105+P105</f>
        <v>496768.14599049</v>
      </c>
      <c r="R105" s="15" t="n">
        <f aca="false">Q105-$G$2+$I$2</f>
        <v>477308.14599049</v>
      </c>
      <c r="S105" s="40" t="n">
        <f aca="false">R105/$K$2</f>
        <v>850.225593598907</v>
      </c>
      <c r="T105" s="41" t="n">
        <f aca="false">S105-$M$2</f>
        <v>694.415906928321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39" t="n">
        <f aca="false">(B106+C106)/2</f>
        <v>-0.125</v>
      </c>
      <c r="E106" s="15" t="n">
        <f aca="false">$C$2*(1+IF(E$3&lt;=$O$2,$D106,$D106-($D106-$I$103)*MIN(E$3-$O$2,$Q$2)/$Q$2))</f>
        <v>9240</v>
      </c>
      <c r="F106" s="15" t="n">
        <f aca="false">E106*(1+IF(F$3&lt;=$O$2,$D106,$D106-($D106-$I$103)*MIN(F$3-$O$2,$Q$2)/$Q$2))</f>
        <v>8085</v>
      </c>
      <c r="G106" s="15" t="n">
        <f aca="false">F106*(1+IF(G$3&lt;=$O$2,$D106,$D106-($D106-$I$103)*MIN(G$3-$O$2,$Q$2)/$Q$2))</f>
        <v>7074.375</v>
      </c>
      <c r="H106" s="15" t="n">
        <f aca="false">G106*(1+IF(H$3&lt;=$O$2,$D106,$D106-($D106-$I$103)*MIN(H$3-$O$2,$Q$2)/$Q$2))</f>
        <v>6190.078125</v>
      </c>
      <c r="I106" s="15" t="n">
        <f aca="false">H106*(1+IF(I$3&lt;=$O$2,$D106,$D106-($D106-$I$103)*MIN(I$3-$O$2,$Q$2)/$Q$2))</f>
        <v>5416.318359375</v>
      </c>
      <c r="J106" s="15" t="n">
        <f aca="false">I106*(1+IF(J$3&lt;=$O$2,$D106,$D106-($D106-$I$103)*MIN(J$3-$O$2,$Q$2)/$Q$2))</f>
        <v>4905.34288535156</v>
      </c>
      <c r="K106" s="15" t="n">
        <f aca="false">J106*(1+IF(K$3&lt;=$O$2,$D106,$D106-($D106-$I$103)*MIN(K$3-$O$2,$Q$2)/$Q$2))</f>
        <v>4592.97065041238</v>
      </c>
      <c r="L106" s="15" t="n">
        <f aca="false">K106*(1+IF(L$3&lt;=$O$2,$D106,$D106-($D106-$I$103)*MIN(L$3-$O$2,$Q$2)/$Q$2))</f>
        <v>4441.31075953576</v>
      </c>
      <c r="M106" s="15" t="n">
        <f aca="false">L106*(1+IF(M$3&lt;=$O$2,$D106,$D106-($D106-$I$103)*MIN(M$3-$O$2,$Q$2)/$Q$2))</f>
        <v>4430.82926614325</v>
      </c>
      <c r="N106" s="15" t="n">
        <f aca="false">M106*(1+IF(N$3&lt;=$O$2,$D106,$D106-($D106-$I$103)*MIN(N$3-$O$2,$Q$2)/$Q$2))</f>
        <v>4556.22173437511</v>
      </c>
      <c r="O106" s="15" t="n">
        <f aca="false">SUMPRODUCT(E106:N106,1/(1+$F$103)^$E$3:$N$3)*$E$2</f>
        <v>21797.9495302598</v>
      </c>
      <c r="P106" s="15" t="n">
        <f aca="false">N106*$E$2*(1+$I$103)/($F$103-$I$103)/(1+$F$103)^$N$3</f>
        <v>31328.8370701957</v>
      </c>
      <c r="Q106" s="15" t="n">
        <f aca="false">O106+P106</f>
        <v>53126.7866004556</v>
      </c>
      <c r="R106" s="15" t="n">
        <f aca="false">Q106-$G$2+$I$2</f>
        <v>33666.7866004556</v>
      </c>
      <c r="S106" s="40" t="n">
        <f aca="false">R106/$K$2</f>
        <v>59.970406669972</v>
      </c>
      <c r="T106" s="41" t="n">
        <f aca="false">S106-$M$2</f>
        <v>-95.8392800006136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39" t="n">
        <f aca="false">(B107+C107)/2</f>
        <v>0.0625</v>
      </c>
      <c r="E107" s="15" t="n">
        <f aca="false">$C$2*(1+IF(E$3&lt;=$O$2,$D107,$D107-($D107-$I$103)*MIN(E$3-$O$2,$Q$2)/$Q$2))</f>
        <v>11220</v>
      </c>
      <c r="F107" s="15" t="n">
        <f aca="false">E107*(1+IF(F$3&lt;=$O$2,$D107,$D107-($D107-$I$103)*MIN(F$3-$O$2,$Q$2)/$Q$2))</f>
        <v>11921.25</v>
      </c>
      <c r="G107" s="15" t="n">
        <f aca="false">F107*(1+IF(G$3&lt;=$O$2,$D107,$D107-($D107-$I$103)*MIN(G$3-$O$2,$Q$2)/$Q$2))</f>
        <v>12666.328125</v>
      </c>
      <c r="H107" s="15" t="n">
        <f aca="false">G107*(1+IF(H$3&lt;=$O$2,$D107,$D107-($D107-$I$103)*MIN(H$3-$O$2,$Q$2)/$Q$2))</f>
        <v>13457.9736328125</v>
      </c>
      <c r="I107" s="15" t="n">
        <f aca="false">H107*(1+IF(I$3&lt;=$O$2,$D107,$D107-($D107-$I$103)*MIN(I$3-$O$2,$Q$2)/$Q$2))</f>
        <v>14299.0969848633</v>
      </c>
      <c r="J107" s="15" t="n">
        <f aca="false">I107*(1+IF(J$3&lt;=$O$2,$D107,$D107-($D107-$I$103)*MIN(J$3-$O$2,$Q$2)/$Q$2))</f>
        <v>15094.9847230408</v>
      </c>
      <c r="K107" s="15" t="n">
        <f aca="false">J107*(1+IF(K$3&lt;=$O$2,$D107,$D107-($D107-$I$103)*MIN(K$3-$O$2,$Q$2)/$Q$2))</f>
        <v>15831.9218772196</v>
      </c>
      <c r="L107" s="15" t="n">
        <f aca="false">K107*(1+IF(L$3&lt;=$O$2,$D107,$D107-($D107-$I$103)*MIN(L$3-$O$2,$Q$2)/$Q$2))</f>
        <v>16496.5459576253</v>
      </c>
      <c r="M107" s="15" t="n">
        <f aca="false">L107*(1+IF(M$3&lt;=$O$2,$D107,$D107-($D107-$I$103)*MIN(M$3-$O$2,$Q$2)/$Q$2))</f>
        <v>17076.2345825763</v>
      </c>
      <c r="N107" s="15" t="n">
        <f aca="false">M107*(1+IF(N$3&lt;=$O$2,$D107,$D107-($D107-$I$103)*MIN(N$3-$O$2,$Q$2)/$Q$2))</f>
        <v>17559.4920212632</v>
      </c>
      <c r="O107" s="15" t="n">
        <f aca="false">SUMPRODUCT(E107:N107,1/(1+$F$103)^$E$3:$N$3)*$E$2</f>
        <v>49990.6085575475</v>
      </c>
      <c r="P107" s="15" t="n">
        <f aca="false">N107*$E$2*(1+$I$103)/($F$103-$I$103)/(1+$F$103)^$N$3</f>
        <v>120740.05538824</v>
      </c>
      <c r="Q107" s="15" t="n">
        <f aca="false">O107+P107</f>
        <v>170730.663945788</v>
      </c>
      <c r="R107" s="15" t="n">
        <f aca="false">Q107-$G$2+$I$2</f>
        <v>151270.663945788</v>
      </c>
      <c r="S107" s="40" t="n">
        <f aca="false">R107/$K$2</f>
        <v>269.457353971015</v>
      </c>
      <c r="T107" s="41" t="n">
        <f aca="false">S107-$M$2</f>
        <v>113.647667300429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39" t="n">
        <f aca="false">(B108+C108)/2</f>
        <v>-0.03125</v>
      </c>
      <c r="E108" s="15" t="n">
        <f aca="false">$C$2*(1+IF(E$3&lt;=$O$2,$D108,$D108-($D108-$I$103)*MIN(E$3-$O$2,$Q$2)/$Q$2))</f>
        <v>10230</v>
      </c>
      <c r="F108" s="15" t="n">
        <f aca="false">E108*(1+IF(F$3&lt;=$O$2,$D108,$D108-($D108-$I$103)*MIN(F$3-$O$2,$Q$2)/$Q$2))</f>
        <v>9910.3125</v>
      </c>
      <c r="G108" s="15" t="n">
        <f aca="false">F108*(1+IF(G$3&lt;=$O$2,$D108,$D108-($D108-$I$103)*MIN(G$3-$O$2,$Q$2)/$Q$2))</f>
        <v>9600.615234375</v>
      </c>
      <c r="H108" s="15" t="n">
        <f aca="false">G108*(1+IF(H$3&lt;=$O$2,$D108,$D108-($D108-$I$103)*MIN(H$3-$O$2,$Q$2)/$Q$2))</f>
        <v>9300.59600830078</v>
      </c>
      <c r="I108" s="15" t="n">
        <f aca="false">H108*(1+IF(I$3&lt;=$O$2,$D108,$D108-($D108-$I$103)*MIN(I$3-$O$2,$Q$2)/$Q$2))</f>
        <v>9009.95238304138</v>
      </c>
      <c r="J108" s="15" t="n">
        <f aca="false">I108*(1+IF(J$3&lt;=$O$2,$D108,$D108-($D108-$I$103)*MIN(J$3-$O$2,$Q$2)/$Q$2))</f>
        <v>8835.69990395336</v>
      </c>
      <c r="K108" s="15" t="n">
        <f aca="false">J108*(1+IF(K$3&lt;=$O$2,$D108,$D108-($D108-$I$103)*MIN(K$3-$O$2,$Q$2)/$Q$2))</f>
        <v>8770.05065366699</v>
      </c>
      <c r="L108" s="15" t="n">
        <f aca="false">K108*(1+IF(L$3&lt;=$O$2,$D108,$D108-($D108-$I$103)*MIN(L$3-$O$2,$Q$2)/$Q$2))</f>
        <v>8809.34048059542</v>
      </c>
      <c r="M108" s="15" t="n">
        <f aca="false">L108*(1+IF(M$3&lt;=$O$2,$D108,$D108-($D108-$I$103)*MIN(M$3-$O$2,$Q$2)/$Q$2))</f>
        <v>8953.72557107238</v>
      </c>
      <c r="N108" s="15" t="n">
        <f aca="false">M108*(1+IF(N$3&lt;=$O$2,$D108,$D108-($D108-$I$103)*MIN(N$3-$O$2,$Q$2)/$Q$2))</f>
        <v>9207.11600473372</v>
      </c>
      <c r="O108" s="15" t="n">
        <f aca="false">SUMPRODUCT(E108:N108,1/(1+$F$103)^$E$3:$N$3)*$E$2</f>
        <v>32930.4349463491</v>
      </c>
      <c r="P108" s="15" t="n">
        <f aca="false">N108*$E$2*(1+$I$103)/($F$103-$I$103)/(1+$F$103)^$N$3</f>
        <v>63308.6478259942</v>
      </c>
      <c r="Q108" s="15" t="n">
        <f aca="false">O108+P108</f>
        <v>96239.0827723434</v>
      </c>
      <c r="R108" s="15" t="n">
        <f aca="false">Q108-$G$2+$I$2</f>
        <v>76779.0827723434</v>
      </c>
      <c r="S108" s="40" t="n">
        <f aca="false">R108/$K$2</f>
        <v>136.766032120885</v>
      </c>
      <c r="T108" s="41" t="n">
        <f aca="false">S108-$M$2</f>
        <v>-19.043654549701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39" t="n">
        <f aca="false">(B109+C109)/2</f>
        <v>0.015625</v>
      </c>
      <c r="E109" s="15" t="n">
        <f aca="false">$C$2*(1+IF(E$3&lt;=$O$2,$D109,$D109-($D109-$I$103)*MIN(E$3-$O$2,$Q$2)/$Q$2))</f>
        <v>10725</v>
      </c>
      <c r="F109" s="15" t="n">
        <f aca="false">E109*(1+IF(F$3&lt;=$O$2,$D109,$D109-($D109-$I$103)*MIN(F$3-$O$2,$Q$2)/$Q$2))</f>
        <v>10892.578125</v>
      </c>
      <c r="G109" s="15" t="n">
        <f aca="false">F109*(1+IF(G$3&lt;=$O$2,$D109,$D109-($D109-$I$103)*MIN(G$3-$O$2,$Q$2)/$Q$2))</f>
        <v>11062.7746582031</v>
      </c>
      <c r="H109" s="15" t="n">
        <f aca="false">G109*(1+IF(H$3&lt;=$O$2,$D109,$D109-($D109-$I$103)*MIN(H$3-$O$2,$Q$2)/$Q$2))</f>
        <v>11235.6305122375</v>
      </c>
      <c r="I109" s="15" t="n">
        <f aca="false">H109*(1+IF(I$3&lt;=$O$2,$D109,$D109-($D109-$I$103)*MIN(I$3-$O$2,$Q$2)/$Q$2))</f>
        <v>11411.1872389913</v>
      </c>
      <c r="J109" s="15" t="n">
        <f aca="false">I109*(1+IF(J$3&lt;=$O$2,$D109,$D109-($D109-$I$103)*MIN(J$3-$O$2,$Q$2)/$Q$2))</f>
        <v>11618.4143992513</v>
      </c>
      <c r="K109" s="15" t="n">
        <f aca="false">J109*(1+IF(K$3&lt;=$O$2,$D109,$D109-($D109-$I$103)*MIN(K$3-$O$2,$Q$2)/$Q$2))</f>
        <v>11858.8574852438</v>
      </c>
      <c r="L109" s="15" t="n">
        <f aca="false">K109*(1+IF(L$3&lt;=$O$2,$D109,$D109-($D109-$I$103)*MIN(L$3-$O$2,$Q$2)/$Q$2))</f>
        <v>12134.3387446261</v>
      </c>
      <c r="M109" s="15" t="n">
        <f aca="false">L109*(1+IF(M$3&lt;=$O$2,$D109,$D109-($D109-$I$103)*MIN(M$3-$O$2,$Q$2)/$Q$2))</f>
        <v>12446.9799823814</v>
      </c>
      <c r="N109" s="15" t="n">
        <f aca="false">M109*(1+IF(N$3&lt;=$O$2,$D109,$D109-($D109-$I$103)*MIN(N$3-$O$2,$Q$2)/$Q$2))</f>
        <v>12799.2295158827</v>
      </c>
      <c r="O109" s="15" t="n">
        <f aca="false">SUMPRODUCT(E109:N109,1/(1+$F$103)^$E$3:$N$3)*$E$2</f>
        <v>40563.1196606036</v>
      </c>
      <c r="P109" s="15" t="n">
        <f aca="false">N109*$E$2*(1+$I$103)/($F$103-$I$103)/(1+$F$103)^$N$3</f>
        <v>88008.2224931765</v>
      </c>
      <c r="Q109" s="15" t="n">
        <f aca="false">O109+P109</f>
        <v>128571.34215378</v>
      </c>
      <c r="R109" s="15" t="n">
        <f aca="false">Q109-$G$2+$I$2</f>
        <v>109111.34215378</v>
      </c>
      <c r="S109" s="40" t="n">
        <f aca="false">R109/$K$2</f>
        <v>194.359254980994</v>
      </c>
      <c r="T109" s="41" t="n">
        <f aca="false">S109-$M$2</f>
        <v>38.5495683104082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-0.03125</v>
      </c>
      <c r="C110" s="25" t="n">
        <f aca="false">IF(T109&gt;0,D109,C109)</f>
        <v>0.015625</v>
      </c>
      <c r="D110" s="39" t="n">
        <f aca="false">(B110+C110)/2</f>
        <v>-0.0078125</v>
      </c>
      <c r="E110" s="15" t="n">
        <f aca="false">$C$2*(1+IF(E$3&lt;=$O$2,$D110,$D110-($D110-$I$103)*MIN(E$3-$O$2,$Q$2)/$Q$2))</f>
        <v>10477.5</v>
      </c>
      <c r="F110" s="15" t="n">
        <f aca="false">E110*(1+IF(F$3&lt;=$O$2,$D110,$D110-($D110-$I$103)*MIN(F$3-$O$2,$Q$2)/$Q$2))</f>
        <v>10395.64453125</v>
      </c>
      <c r="G110" s="15" t="n">
        <f aca="false">F110*(1+IF(G$3&lt;=$O$2,$D110,$D110-($D110-$I$103)*MIN(G$3-$O$2,$Q$2)/$Q$2))</f>
        <v>10314.4285583496</v>
      </c>
      <c r="H110" s="15" t="n">
        <f aca="false">G110*(1+IF(H$3&lt;=$O$2,$D110,$D110-($D110-$I$103)*MIN(H$3-$O$2,$Q$2)/$Q$2))</f>
        <v>10233.8470852375</v>
      </c>
      <c r="I110" s="15" t="n">
        <f aca="false">H110*(1+IF(I$3&lt;=$O$2,$D110,$D110-($D110-$I$103)*MIN(I$3-$O$2,$Q$2)/$Q$2))</f>
        <v>10153.8951548841</v>
      </c>
      <c r="J110" s="15" t="n">
        <f aca="false">I110*(1+IF(J$3&lt;=$O$2,$D110,$D110-($D110-$I$103)*MIN(J$3-$O$2,$Q$2)/$Q$2))</f>
        <v>10147.9043567427</v>
      </c>
      <c r="K110" s="15" t="n">
        <f aca="false">J110*(1+IF(K$3&lt;=$O$2,$D110,$D110-($D110-$I$103)*MIN(K$3-$O$2,$Q$2)/$Q$2))</f>
        <v>10215.2103323888</v>
      </c>
      <c r="L110" s="15" t="n">
        <f aca="false">K110*(1+IF(L$3&lt;=$O$2,$D110,$D110-($D110-$I$103)*MIN(L$3-$O$2,$Q$2)/$Q$2))</f>
        <v>10356.742071544</v>
      </c>
      <c r="M110" s="15" t="n">
        <f aca="false">L110*(1+IF(M$3&lt;=$O$2,$D110,$D110-($D110-$I$103)*MIN(M$3-$O$2,$Q$2)/$Q$2))</f>
        <v>10575.036302557</v>
      </c>
      <c r="N110" s="15" t="n">
        <f aca="false">M110*(1+IF(N$3&lt;=$O$2,$D110,$D110-($D110-$I$103)*MIN(N$3-$O$2,$Q$2)/$Q$2))</f>
        <v>10874.3098299194</v>
      </c>
      <c r="O110" s="15" t="n">
        <f aca="false">SUMPRODUCT(E110:N110,1/(1+$F$103)^$E$3:$N$3)*$E$2</f>
        <v>36544.1459336536</v>
      </c>
      <c r="P110" s="15" t="n">
        <f aca="false">N110*$E$2*(1+$I$103)/($F$103-$I$103)/(1+$F$103)^$N$3</f>
        <v>74772.3663978125</v>
      </c>
      <c r="Q110" s="15" t="n">
        <f aca="false">O110+P110</f>
        <v>111316.512331466</v>
      </c>
      <c r="R110" s="15" t="n">
        <f aca="false">Q110-$G$2+$I$2</f>
        <v>91856.5123314661</v>
      </c>
      <c r="S110" s="40" t="n">
        <f aca="false">R110/$K$2</f>
        <v>163.623349777278</v>
      </c>
      <c r="T110" s="41" t="n">
        <f aca="false">S110-$M$2</f>
        <v>7.81366310669256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-0.03125</v>
      </c>
      <c r="C111" s="25" t="n">
        <f aca="false">IF(T110&gt;0,D110,C110)</f>
        <v>-0.0078125</v>
      </c>
      <c r="D111" s="39" t="n">
        <f aca="false">(B111+C111)/2</f>
        <v>-0.01953125</v>
      </c>
      <c r="E111" s="15" t="n">
        <f aca="false">$C$2*(1+IF(E$3&lt;=$O$2,$D111,$D111-($D111-$I$103)*MIN(E$3-$O$2,$Q$2)/$Q$2))</f>
        <v>10353.75</v>
      </c>
      <c r="F111" s="15" t="n">
        <f aca="false">E111*(1+IF(F$3&lt;=$O$2,$D111,$D111-($D111-$I$103)*MIN(F$3-$O$2,$Q$2)/$Q$2))</f>
        <v>10151.5283203125</v>
      </c>
      <c r="G111" s="15" t="n">
        <f aca="false">F111*(1+IF(G$3&lt;=$O$2,$D111,$D111-($D111-$I$103)*MIN(G$3-$O$2,$Q$2)/$Q$2))</f>
        <v>9953.2562828064</v>
      </c>
      <c r="H111" s="15" t="n">
        <f aca="false">G111*(1+IF(H$3&lt;=$O$2,$D111,$D111-($D111-$I$103)*MIN(H$3-$O$2,$Q$2)/$Q$2))</f>
        <v>9758.85674603283</v>
      </c>
      <c r="I111" s="15" t="n">
        <f aca="false">H111*(1+IF(I$3&lt;=$O$2,$D111,$D111-($D111-$I$103)*MIN(I$3-$O$2,$Q$2)/$Q$2))</f>
        <v>9568.25407521188</v>
      </c>
      <c r="J111" s="15" t="n">
        <f aca="false">I111*(1+IF(J$3&lt;=$O$2,$D111,$D111-($D111-$I$103)*MIN(J$3-$O$2,$Q$2)/$Q$2))</f>
        <v>9472.90642335239</v>
      </c>
      <c r="K111" s="15" t="n">
        <f aca="false">J111*(1+IF(K$3&lt;=$O$2,$D111,$D111-($D111-$I$103)*MIN(K$3-$O$2,$Q$2)/$Q$2))</f>
        <v>9469.12910191608</v>
      </c>
      <c r="L111" s="15" t="n">
        <f aca="false">K111*(1+IF(L$3&lt;=$O$2,$D111,$D111-($D111-$I$103)*MIN(L$3-$O$2,$Q$2)/$Q$2))</f>
        <v>9555.9373429579</v>
      </c>
      <c r="M111" s="15" t="n">
        <f aca="false">L111*(1+IF(M$3&lt;=$O$2,$D111,$D111-($D111-$I$103)*MIN(M$3-$O$2,$Q$2)/$Q$2))</f>
        <v>9734.95588415653</v>
      </c>
      <c r="N111" s="15" t="n">
        <f aca="false">M111*(1+IF(N$3&lt;=$O$2,$D111,$D111-($D111-$I$103)*MIN(N$3-$O$2,$Q$2)/$Q$2))</f>
        <v>10010.4551356782</v>
      </c>
      <c r="O111" s="15" t="n">
        <f aca="false">SUMPRODUCT(E111:N111,1/(1+$F$103)^$E$3:$N$3)*$E$2</f>
        <v>34689.1457878165</v>
      </c>
      <c r="P111" s="15" t="n">
        <f aca="false">N111*$E$2*(1+$I$103)/($F$103-$I$103)/(1+$F$103)^$N$3</f>
        <v>68832.4529023779</v>
      </c>
      <c r="Q111" s="15" t="n">
        <f aca="false">O111+P111</f>
        <v>103521.598690194</v>
      </c>
      <c r="R111" s="15" t="n">
        <f aca="false">Q111-$G$2+$I$2</f>
        <v>84061.5986901945</v>
      </c>
      <c r="S111" s="40" t="n">
        <f aca="false">R111/$K$2</f>
        <v>149.738325745372</v>
      </c>
      <c r="T111" s="41" t="n">
        <f aca="false">S111-$M$2</f>
        <v>-6.07136092521336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-0.01953125</v>
      </c>
      <c r="C112" s="25" t="n">
        <f aca="false">IF(T111&gt;0,D111,C111)</f>
        <v>-0.0078125</v>
      </c>
      <c r="D112" s="39" t="n">
        <f aca="false">(B112+C112)/2</f>
        <v>-0.013671875</v>
      </c>
      <c r="E112" s="15" t="n">
        <f aca="false">$C$2*(1+IF(E$3&lt;=$O$2,$D112,$D112-($D112-$I$103)*MIN(E$3-$O$2,$Q$2)/$Q$2))</f>
        <v>10415.625</v>
      </c>
      <c r="F112" s="15" t="n">
        <f aca="false">E112*(1+IF(F$3&lt;=$O$2,$D112,$D112-($D112-$I$103)*MIN(F$3-$O$2,$Q$2)/$Q$2))</f>
        <v>10273.2238769531</v>
      </c>
      <c r="G112" s="15" t="n">
        <f aca="false">F112*(1+IF(G$3&lt;=$O$2,$D112,$D112-($D112-$I$103)*MIN(G$3-$O$2,$Q$2)/$Q$2))</f>
        <v>10132.7696442604</v>
      </c>
      <c r="H112" s="15" t="n">
        <f aca="false">G112*(1+IF(H$3&lt;=$O$2,$D112,$D112-($D112-$I$103)*MIN(H$3-$O$2,$Q$2)/$Q$2))</f>
        <v>9994.23568428028</v>
      </c>
      <c r="I112" s="15" t="n">
        <f aca="false">H112*(1+IF(I$3&lt;=$O$2,$D112,$D112-($D112-$I$103)*MIN(I$3-$O$2,$Q$2)/$Q$2))</f>
        <v>9857.59574328426</v>
      </c>
      <c r="J112" s="15" t="n">
        <f aca="false">I112*(1+IF(J$3&lt;=$O$2,$D112,$D112-($D112-$I$103)*MIN(J$3-$O$2,$Q$2)/$Q$2))</f>
        <v>9805.57228174908</v>
      </c>
      <c r="K112" s="15" t="n">
        <f aca="false">J112*(1+IF(K$3&lt;=$O$2,$D112,$D112-($D112-$I$103)*MIN(K$3-$O$2,$Q$2)/$Q$2))</f>
        <v>9836.13502485476</v>
      </c>
      <c r="L112" s="15" t="n">
        <f aca="false">K112*(1+IF(L$3&lt;=$O$2,$D112,$D112-($D112-$I$103)*MIN(L$3-$O$2,$Q$2)/$Q$2))</f>
        <v>9949.36123415962</v>
      </c>
      <c r="M112" s="15" t="n">
        <f aca="false">L112*(1+IF(M$3&lt;=$O$2,$D112,$D112-($D112-$I$103)*MIN(M$3-$O$2,$Q$2)/$Q$2))</f>
        <v>10147.4094878763</v>
      </c>
      <c r="N112" s="15" t="n">
        <f aca="false">M112*(1+IF(N$3&lt;=$O$2,$D112,$D112-($D112-$I$103)*MIN(N$3-$O$2,$Q$2)/$Q$2))</f>
        <v>10434.5811763832</v>
      </c>
      <c r="O112" s="15" t="n">
        <f aca="false">SUMPRODUCT(E112:N112,1/(1+$F$103)^$E$3:$N$3)*$E$2</f>
        <v>35604.304137441</v>
      </c>
      <c r="P112" s="15" t="n">
        <f aca="false">N112*$E$2*(1+$I$103)/($F$103-$I$103)/(1+$F$103)^$N$3</f>
        <v>71748.7674281236</v>
      </c>
      <c r="Q112" s="15" t="n">
        <f aca="false">O112+P112</f>
        <v>107353.071565565</v>
      </c>
      <c r="R112" s="15" t="n">
        <f aca="false">Q112-$G$2+$I$2</f>
        <v>87893.0715655647</v>
      </c>
      <c r="S112" s="40" t="n">
        <f aca="false">R112/$K$2</f>
        <v>156.563301030593</v>
      </c>
      <c r="T112" s="41" t="n">
        <f aca="false">S112-$M$2</f>
        <v>0.753614360007617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-0.01953125</v>
      </c>
      <c r="C113" s="25" t="n">
        <f aca="false">IF(T112&gt;0,D112,C112)</f>
        <v>-0.013671875</v>
      </c>
      <c r="D113" s="39" t="n">
        <f aca="false">(B113+C113)/2</f>
        <v>-0.0166015625</v>
      </c>
      <c r="E113" s="15" t="n">
        <f aca="false">$C$2*(1+IF(E$3&lt;=$O$2,$D113,$D113-($D113-$I$103)*MIN(E$3-$O$2,$Q$2)/$Q$2))</f>
        <v>10384.6875</v>
      </c>
      <c r="F113" s="15" t="n">
        <f aca="false">E113*(1+IF(F$3&lt;=$O$2,$D113,$D113-($D113-$I$103)*MIN(F$3-$O$2,$Q$2)/$Q$2))</f>
        <v>10212.2854614258</v>
      </c>
      <c r="G113" s="15" t="n">
        <f aca="false">F113*(1+IF(G$3&lt;=$O$2,$D113,$D113-($D113-$I$103)*MIN(G$3-$O$2,$Q$2)/$Q$2))</f>
        <v>10042.7455660701</v>
      </c>
      <c r="H113" s="15" t="n">
        <f aca="false">G113*(1+IF(H$3&lt;=$O$2,$D113,$D113-($D113-$I$103)*MIN(H$3-$O$2,$Q$2)/$Q$2))</f>
        <v>9876.02029788337</v>
      </c>
      <c r="I113" s="15" t="n">
        <f aca="false">H113*(1+IF(I$3&lt;=$O$2,$D113,$D113-($D113-$I$103)*MIN(I$3-$O$2,$Q$2)/$Q$2))</f>
        <v>9712.06292965679</v>
      </c>
      <c r="J113" s="15" t="n">
        <f aca="false">I113*(1+IF(J$3&lt;=$O$2,$D113,$D113-($D113-$I$103)*MIN(J$3-$O$2,$Q$2)/$Q$2))</f>
        <v>9638.04487005414</v>
      </c>
      <c r="K113" s="15" t="n">
        <f aca="false">J113*(1+IF(K$3&lt;=$O$2,$D113,$D113-($D113-$I$103)*MIN(K$3-$O$2,$Q$2)/$Q$2))</f>
        <v>9651.14357541035</v>
      </c>
      <c r="L113" s="15" t="n">
        <f aca="false">K113*(1+IF(L$3&lt;=$O$2,$D113,$D113-($D113-$I$103)*MIN(L$3-$O$2,$Q$2)/$Q$2))</f>
        <v>9750.93036801536</v>
      </c>
      <c r="M113" s="15" t="n">
        <f aca="false">L113*(1+IF(M$3&lt;=$O$2,$D113,$D113-($D113-$I$103)*MIN(M$3-$O$2,$Q$2)/$Q$2))</f>
        <v>9939.31529555967</v>
      </c>
      <c r="N113" s="15" t="n">
        <f aca="false">M113*(1+IF(N$3&lt;=$O$2,$D113,$D113-($D113-$I$103)*MIN(N$3-$O$2,$Q$2)/$Q$2))</f>
        <v>10220.597918424</v>
      </c>
      <c r="O113" s="15" t="n">
        <f aca="false">SUMPRODUCT(E113:N113,1/(1+$F$103)^$E$3:$N$3)*$E$2</f>
        <v>35143.6782529613</v>
      </c>
      <c r="P113" s="15" t="n">
        <f aca="false">N113*$E$2*(1+$I$103)/($F$103-$I$103)/(1+$F$103)^$N$3</f>
        <v>70277.4065033961</v>
      </c>
      <c r="Q113" s="15" t="n">
        <f aca="false">O113+P113</f>
        <v>105421.084756357</v>
      </c>
      <c r="R113" s="15" t="n">
        <f aca="false">Q113-$G$2+$I$2</f>
        <v>85961.0847563574</v>
      </c>
      <c r="S113" s="40" t="n">
        <f aca="false">R113/$K$2</f>
        <v>153.121866717179</v>
      </c>
      <c r="T113" s="41" t="n">
        <f aca="false">S113-$M$2</f>
        <v>-2.68781995340606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-0.0166015625</v>
      </c>
      <c r="C114" s="25" t="n">
        <f aca="false">IF(T113&gt;0,D113,C113)</f>
        <v>-0.013671875</v>
      </c>
      <c r="D114" s="39" t="n">
        <f aca="false">(B114+C114)/2</f>
        <v>-0.01513671875</v>
      </c>
      <c r="E114" s="15" t="n">
        <f aca="false">$C$2*(1+IF(E$3&lt;=$O$2,$D114,$D114-($D114-$I$103)*MIN(E$3-$O$2,$Q$2)/$Q$2))</f>
        <v>10400.15625</v>
      </c>
      <c r="F114" s="15" t="n">
        <f aca="false">E114*(1+IF(F$3&lt;=$O$2,$D114,$D114-($D114-$I$103)*MIN(F$3-$O$2,$Q$2)/$Q$2))</f>
        <v>10242.7320098877</v>
      </c>
      <c r="G114" s="15" t="n">
        <f aca="false">F114*(1+IF(G$3&lt;=$O$2,$D114,$D114-($D114-$I$103)*MIN(G$3-$O$2,$Q$2)/$Q$2))</f>
        <v>10087.6906562224</v>
      </c>
      <c r="H114" s="15" t="n">
        <f aca="false">G114*(1+IF(H$3&lt;=$O$2,$D114,$D114-($D114-$I$103)*MIN(H$3-$O$2,$Q$2)/$Q$2))</f>
        <v>9934.99611992216</v>
      </c>
      <c r="I114" s="15" t="n">
        <f aca="false">H114*(1+IF(I$3&lt;=$O$2,$D114,$D114-($D114-$I$103)*MIN(I$3-$O$2,$Q$2)/$Q$2))</f>
        <v>9784.61287787256</v>
      </c>
      <c r="J114" s="15" t="n">
        <f aca="false">I114*(1+IF(J$3&lt;=$O$2,$D114,$D114-($D114-$I$103)*MIN(J$3-$O$2,$Q$2)/$Q$2))</f>
        <v>9721.50824019333</v>
      </c>
      <c r="K114" s="15" t="n">
        <f aca="false">J114*(1+IF(K$3&lt;=$O$2,$D114,$D114-($D114-$I$103)*MIN(K$3-$O$2,$Q$2)/$Q$2))</f>
        <v>9743.26467183775</v>
      </c>
      <c r="L114" s="15" t="n">
        <f aca="false">K114*(1+IF(L$3&lt;=$O$2,$D114,$D114-($D114-$I$103)*MIN(L$3-$O$2,$Q$2)/$Q$2))</f>
        <v>9849.71288314779</v>
      </c>
      <c r="M114" s="15" t="n">
        <f aca="false">L114*(1+IF(M$3&lt;=$O$2,$D114,$D114-($D114-$I$103)*MIN(M$3-$O$2,$Q$2)/$Q$2))</f>
        <v>10042.8919160862</v>
      </c>
      <c r="N114" s="15" t="n">
        <f aca="false">M114*(1+IF(N$3&lt;=$O$2,$D114,$D114-($D114-$I$103)*MIN(N$3-$O$2,$Q$2)/$Q$2))</f>
        <v>10327.1057573114</v>
      </c>
      <c r="O114" s="15" t="n">
        <f aca="false">SUMPRODUCT(E114:N114,1/(1+$F$103)^$E$3:$N$3)*$E$2</f>
        <v>35373.2247108516</v>
      </c>
      <c r="P114" s="15" t="n">
        <f aca="false">N114*$E$2*(1+$I$103)/($F$103-$I$103)/(1+$F$103)^$N$3</f>
        <v>71009.7603978579</v>
      </c>
      <c r="Q114" s="15" t="n">
        <f aca="false">O114+P114</f>
        <v>106382.98510871</v>
      </c>
      <c r="R114" s="15" t="n">
        <f aca="false">Q114-$G$2+$I$2</f>
        <v>86922.9851087095</v>
      </c>
      <c r="S114" s="40" t="n">
        <f aca="false">R114/$K$2</f>
        <v>154.835292949125</v>
      </c>
      <c r="T114" s="41" t="n">
        <f aca="false">S114-$M$2</f>
        <v>-0.974393721460046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-0.01513671875</v>
      </c>
      <c r="C115" s="25" t="n">
        <f aca="false">IF(T114&gt;0,D114,C114)</f>
        <v>-0.013671875</v>
      </c>
      <c r="D115" s="39" t="n">
        <f aca="false">(B115+C115)/2</f>
        <v>-0.014404296875</v>
      </c>
      <c r="E115" s="15" t="n">
        <f aca="false">$C$2*(1+IF(E$3&lt;=$O$2,$D115,$D115-($D115-$I$103)*MIN(E$3-$O$2,$Q$2)/$Q$2))</f>
        <v>10407.890625</v>
      </c>
      <c r="F115" s="15" t="n">
        <f aca="false">E115*(1+IF(F$3&lt;=$O$2,$D115,$D115-($D115-$I$103)*MIN(F$3-$O$2,$Q$2)/$Q$2))</f>
        <v>10257.972278595</v>
      </c>
      <c r="G115" s="15" t="n">
        <f aca="false">F115*(1+IF(G$3&lt;=$O$2,$D115,$D115-($D115-$I$103)*MIN(G$3-$O$2,$Q$2)/$Q$2))</f>
        <v>10110.2134005586</v>
      </c>
      <c r="H115" s="15" t="n">
        <f aca="false">G115*(1+IF(H$3&lt;=$O$2,$D115,$D115-($D115-$I$103)*MIN(H$3-$O$2,$Q$2)/$Q$2))</f>
        <v>9964.58288526732</v>
      </c>
      <c r="I115" s="15" t="n">
        <f aca="false">H115*(1+IF(I$3&lt;=$O$2,$D115,$D115-($D115-$I$103)*MIN(I$3-$O$2,$Q$2)/$Q$2))</f>
        <v>9821.05007515239</v>
      </c>
      <c r="J115" s="15" t="n">
        <f aca="false">I115*(1+IF(J$3&lt;=$O$2,$D115,$D115-($D115-$I$103)*MIN(J$3-$O$2,$Q$2)/$Q$2))</f>
        <v>9763.46496185236</v>
      </c>
      <c r="K115" s="15" t="n">
        <f aca="false">J115*(1+IF(K$3&lt;=$O$2,$D115,$D115-($D115-$I$103)*MIN(K$3-$O$2,$Q$2)/$Q$2))</f>
        <v>9789.60587651702</v>
      </c>
      <c r="L115" s="15" t="n">
        <f aca="false">K115*(1+IF(L$3&lt;=$O$2,$D115,$D115-($D115-$I$103)*MIN(L$3-$O$2,$Q$2)/$Q$2))</f>
        <v>9899.42842856644</v>
      </c>
      <c r="M115" s="15" t="n">
        <f aca="false">L115*(1+IF(M$3&lt;=$O$2,$D115,$D115-($D115-$I$103)*MIN(M$3-$O$2,$Q$2)/$Q$2))</f>
        <v>10095.0326269936</v>
      </c>
      <c r="N115" s="15" t="n">
        <f aca="false">M115*(1+IF(N$3&lt;=$O$2,$D115,$D115-($D115-$I$103)*MIN(N$3-$O$2,$Q$2)/$Q$2))</f>
        <v>10380.7220503375</v>
      </c>
      <c r="O115" s="15" t="n">
        <f aca="false">SUMPRODUCT(E115:N115,1/(1+$F$103)^$E$3:$N$3)*$E$2</f>
        <v>35488.5721992982</v>
      </c>
      <c r="P115" s="15" t="n">
        <f aca="false">N115*$E$2*(1+$I$103)/($F$103-$I$103)/(1+$F$103)^$N$3</f>
        <v>71378.4290462362</v>
      </c>
      <c r="Q115" s="15" t="n">
        <f aca="false">O115+P115</f>
        <v>106867.001245534</v>
      </c>
      <c r="R115" s="15" t="n">
        <f aca="false">Q115-$G$2+$I$2</f>
        <v>87407.0012455343</v>
      </c>
      <c r="S115" s="40" t="n">
        <f aca="false">R115/$K$2</f>
        <v>155.697467438918</v>
      </c>
      <c r="T115" s="41" t="n">
        <f aca="false">S115-$M$2</f>
        <v>-0.112219231667268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-0.014404296875</v>
      </c>
      <c r="C116" s="25" t="n">
        <f aca="false">IF(T115&gt;0,D115,C115)</f>
        <v>-0.013671875</v>
      </c>
      <c r="D116" s="39" t="n">
        <f aca="false">(B116+C116)/2</f>
        <v>-0.0140380859375</v>
      </c>
      <c r="E116" s="15" t="n">
        <f aca="false">$C$2*(1+IF(E$3&lt;=$O$2,$D116,$D116-($D116-$I$103)*MIN(E$3-$O$2,$Q$2)/$Q$2))</f>
        <v>10411.7578125</v>
      </c>
      <c r="F116" s="15" t="n">
        <f aca="false">E116*(1+IF(F$3&lt;=$O$2,$D116,$D116-($D116-$I$103)*MIN(F$3-$O$2,$Q$2)/$Q$2))</f>
        <v>10265.5966615677</v>
      </c>
      <c r="G116" s="15" t="n">
        <f aca="false">F116*(1+IF(G$3&lt;=$O$2,$D116,$D116-($D116-$I$103)*MIN(G$3-$O$2,$Q$2)/$Q$2))</f>
        <v>10121.4873334329</v>
      </c>
      <c r="H116" s="15" t="n">
        <f aca="false">G116*(1+IF(H$3&lt;=$O$2,$D116,$D116-($D116-$I$103)*MIN(H$3-$O$2,$Q$2)/$Q$2))</f>
        <v>9979.40102443084</v>
      </c>
      <c r="I116" s="15" t="n">
        <f aca="false">H116*(1+IF(I$3&lt;=$O$2,$D116,$D116-($D116-$I$103)*MIN(I$3-$O$2,$Q$2)/$Q$2))</f>
        <v>9839.3093352451</v>
      </c>
      <c r="J116" s="15" t="n">
        <f aca="false">I116*(1+IF(J$3&lt;=$O$2,$D116,$D116-($D116-$I$103)*MIN(J$3-$O$2,$Q$2)/$Q$2))</f>
        <v>9784.49977007154</v>
      </c>
      <c r="K116" s="15" t="n">
        <f aca="false">J116*(1+IF(K$3&lt;=$O$2,$D116,$D116-($D116-$I$103)*MIN(K$3-$O$2,$Q$2)/$Q$2))</f>
        <v>9812.84691829212</v>
      </c>
      <c r="L116" s="15" t="n">
        <f aca="false">K116*(1+IF(L$3&lt;=$O$2,$D116,$D116-($D116-$I$103)*MIN(L$3-$O$2,$Q$2)/$Q$2))</f>
        <v>9924.36762363251</v>
      </c>
      <c r="M116" s="15" t="n">
        <f aca="false">L116*(1+IF(M$3&lt;=$O$2,$D116,$D116-($D116-$I$103)*MIN(M$3-$O$2,$Q$2)/$Q$2))</f>
        <v>10121.1914815164</v>
      </c>
      <c r="N116" s="15" t="n">
        <f aca="false">M116*(1+IF(N$3&lt;=$O$2,$D116,$D116-($D116-$I$103)*MIN(N$3-$O$2,$Q$2)/$Q$2))</f>
        <v>10407.6212004433</v>
      </c>
      <c r="O116" s="15" t="n">
        <f aca="false">SUMPRODUCT(E116:N116,1/(1+$F$103)^$E$3:$N$3)*$E$2</f>
        <v>35546.390036506</v>
      </c>
      <c r="P116" s="15" t="n">
        <f aca="false">N116*$E$2*(1+$I$103)/($F$103-$I$103)/(1+$F$103)^$N$3</f>
        <v>71563.3891162503</v>
      </c>
      <c r="Q116" s="15" t="n">
        <f aca="false">O116+P116</f>
        <v>107109.779152756</v>
      </c>
      <c r="R116" s="15" t="n">
        <f aca="false">Q116-$G$2+$I$2</f>
        <v>87649.7791527563</v>
      </c>
      <c r="S116" s="40" t="n">
        <f aca="false">R116/$K$2</f>
        <v>156.129925992191</v>
      </c>
      <c r="T116" s="41" t="n">
        <f aca="false">S116-$M$2</f>
        <v>0.320239321605783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-0.014404296875</v>
      </c>
      <c r="C117" s="25" t="n">
        <f aca="false">IF(T116&gt;0,D116,C116)</f>
        <v>-0.0140380859375</v>
      </c>
      <c r="D117" s="39" t="n">
        <f aca="false">(B117+C117)/2</f>
        <v>-0.01422119140625</v>
      </c>
      <c r="E117" s="15" t="n">
        <f aca="false">$C$2*(1+IF(E$3&lt;=$O$2,$D117,$D117-($D117-$I$103)*MIN(E$3-$O$2,$Q$2)/$Q$2))</f>
        <v>10409.82421875</v>
      </c>
      <c r="F117" s="15" t="n">
        <f aca="false">E117*(1+IF(F$3&lt;=$O$2,$D117,$D117-($D117-$I$103)*MIN(F$3-$O$2,$Q$2)/$Q$2))</f>
        <v>10261.7841160297</v>
      </c>
      <c r="G117" s="15" t="n">
        <f aca="false">F117*(1+IF(G$3&lt;=$O$2,$D117,$D117-($D117-$I$103)*MIN(G$3-$O$2,$Q$2)/$Q$2))</f>
        <v>10115.8493199461</v>
      </c>
      <c r="H117" s="15" t="n">
        <f aca="false">G117*(1+IF(H$3&lt;=$O$2,$D117,$D117-($D117-$I$103)*MIN(H$3-$O$2,$Q$2)/$Q$2))</f>
        <v>9971.98989053033</v>
      </c>
      <c r="I117" s="15" t="n">
        <f aca="false">H117*(1+IF(I$3&lt;=$O$2,$D117,$D117-($D117-$I$103)*MIN(I$3-$O$2,$Q$2)/$Q$2))</f>
        <v>9830.17631359591</v>
      </c>
      <c r="J117" s="15" t="n">
        <f aca="false">I117*(1+IF(J$3&lt;=$O$2,$D117,$D117-($D117-$I$103)*MIN(J$3-$O$2,$Q$2)/$Q$2))</f>
        <v>9773.97765640059</v>
      </c>
      <c r="K117" s="15" t="n">
        <f aca="false">J117*(1+IF(K$3&lt;=$O$2,$D117,$D117-($D117-$I$103)*MIN(K$3-$O$2,$Q$2)/$Q$2))</f>
        <v>9801.2205192398</v>
      </c>
      <c r="L117" s="15" t="n">
        <f aca="false">K117*(1+IF(L$3&lt;=$O$2,$D117,$D117-($D117-$I$103)*MIN(L$3-$O$2,$Q$2)/$Q$2))</f>
        <v>9911.8912304489</v>
      </c>
      <c r="M117" s="15" t="n">
        <f aca="false">L117*(1+IF(M$3&lt;=$O$2,$D117,$D117-($D117-$I$103)*MIN(M$3-$O$2,$Q$2)/$Q$2))</f>
        <v>10108.104667429</v>
      </c>
      <c r="N117" s="15" t="n">
        <f aca="false">M117*(1+IF(N$3&lt;=$O$2,$D117,$D117-($D117-$I$103)*MIN(N$3-$O$2,$Q$2)/$Q$2))</f>
        <v>10394.1640295173</v>
      </c>
      <c r="O117" s="15" t="n">
        <f aca="false">SUMPRODUCT(E117:N117,1/(1+$F$103)^$E$3:$N$3)*$E$2</f>
        <v>35517.4690944007</v>
      </c>
      <c r="P117" s="15" t="n">
        <f aca="false">N117*$E$2*(1+$I$103)/($F$103-$I$103)/(1+$F$103)^$N$3</f>
        <v>71470.8568515921</v>
      </c>
      <c r="Q117" s="15" t="n">
        <f aca="false">O117+P117</f>
        <v>106988.325945993</v>
      </c>
      <c r="R117" s="15" t="n">
        <f aca="false">Q117-$G$2+$I$2</f>
        <v>87528.3259459928</v>
      </c>
      <c r="S117" s="40" t="n">
        <f aca="false">R117/$K$2</f>
        <v>155.913582261873</v>
      </c>
      <c r="T117" s="41" t="n">
        <f aca="false">S117-$M$2</f>
        <v>0.103895591287312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-0.014404296875</v>
      </c>
      <c r="C118" s="25" t="n">
        <f aca="false">IF(T117&gt;0,D117,C117)</f>
        <v>-0.01422119140625</v>
      </c>
      <c r="D118" s="39" t="n">
        <f aca="false">(B118+C118)/2</f>
        <v>-0.014312744140625</v>
      </c>
      <c r="E118" s="15" t="n">
        <f aca="false">$C$2*(1+IF(E$3&lt;=$O$2,$D118,$D118-($D118-$I$103)*MIN(E$3-$O$2,$Q$2)/$Q$2))</f>
        <v>10408.857421875</v>
      </c>
      <c r="F118" s="15" t="n">
        <f aca="false">E118*(1+IF(F$3&lt;=$O$2,$D118,$D118-($D118-$I$103)*MIN(F$3-$O$2,$Q$2)/$Q$2))</f>
        <v>10259.8781087995</v>
      </c>
      <c r="G118" s="15" t="n">
        <f aca="false">F118*(1+IF(G$3&lt;=$O$2,$D118,$D118-($D118-$I$103)*MIN(G$3-$O$2,$Q$2)/$Q$2))</f>
        <v>10113.0310985142</v>
      </c>
      <c r="H118" s="15" t="n">
        <f aca="false">G118*(1+IF(H$3&lt;=$O$2,$D118,$D118-($D118-$I$103)*MIN(H$3-$O$2,$Q$2)/$Q$2))</f>
        <v>9968.28587191499</v>
      </c>
      <c r="I118" s="15" t="n">
        <f aca="false">H118*(1+IF(I$3&lt;=$O$2,$D118,$D118-($D118-$I$103)*MIN(I$3-$O$2,$Q$2)/$Q$2))</f>
        <v>9825.61234670967</v>
      </c>
      <c r="J118" s="15" t="n">
        <f aca="false">I118*(1+IF(J$3&lt;=$O$2,$D118,$D118-($D118-$I$103)*MIN(J$3-$O$2,$Q$2)/$Q$2))</f>
        <v>9768.72013215731</v>
      </c>
      <c r="K118" s="15" t="n">
        <f aca="false">J118*(1+IF(K$3&lt;=$O$2,$D118,$D118-($D118-$I$103)*MIN(K$3-$O$2,$Q$2)/$Q$2))</f>
        <v>9795.41172895356</v>
      </c>
      <c r="L118" s="15" t="n">
        <f aca="false">K118*(1+IF(L$3&lt;=$O$2,$D118,$D118-($D118-$I$103)*MIN(L$3-$O$2,$Q$2)/$Q$2))</f>
        <v>9905.65813137976</v>
      </c>
      <c r="M118" s="15" t="n">
        <f aca="false">L118*(1+IF(M$3&lt;=$O$2,$D118,$D118-($D118-$I$103)*MIN(M$3-$O$2,$Q$2)/$Q$2))</f>
        <v>10101.5668013984</v>
      </c>
      <c r="N118" s="15" t="n">
        <f aca="false">M118*(1+IF(N$3&lt;=$O$2,$D118,$D118-($D118-$I$103)*MIN(N$3-$O$2,$Q$2)/$Q$2))</f>
        <v>10387.441141878</v>
      </c>
      <c r="O118" s="15" t="n">
        <f aca="false">SUMPRODUCT(E118:N118,1/(1+$F$103)^$E$3:$N$3)*$E$2</f>
        <v>35503.0176421565</v>
      </c>
      <c r="P118" s="15" t="n">
        <f aca="false">N118*$E$2*(1+$I$103)/($F$103-$I$103)/(1+$F$103)^$N$3</f>
        <v>71424.6298978195</v>
      </c>
      <c r="Q118" s="15" t="n">
        <f aca="false">O118+P118</f>
        <v>106927.647539976</v>
      </c>
      <c r="R118" s="15" t="n">
        <f aca="false">Q118-$G$2+$I$2</f>
        <v>87467.6475399759</v>
      </c>
      <c r="S118" s="40" t="n">
        <f aca="false">R118/$K$2</f>
        <v>155.805496250336</v>
      </c>
      <c r="T118" s="41" t="n">
        <f aca="false">S118-$M$2</f>
        <v>-0.00419042024986993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-0.014312744140625</v>
      </c>
      <c r="C119" s="25" t="n">
        <f aca="false">IF(T118&gt;0,D118,C118)</f>
        <v>-0.01422119140625</v>
      </c>
      <c r="D119" s="39" t="n">
        <f aca="false">(B119+C119)/2</f>
        <v>-0.0142669677734375</v>
      </c>
      <c r="E119" s="15" t="n">
        <f aca="false">$C$2*(1+IF(E$3&lt;=$O$2,$D119,$D119-($D119-$I$103)*MIN(E$3-$O$2,$Q$2)/$Q$2))</f>
        <v>10409.3408203125</v>
      </c>
      <c r="F119" s="15" t="n">
        <f aca="false">E119*(1+IF(F$3&lt;=$O$2,$D119,$D119-($D119-$I$103)*MIN(F$3-$O$2,$Q$2)/$Q$2))</f>
        <v>10260.8310902864</v>
      </c>
      <c r="G119" s="15" t="n">
        <f aca="false">F119*(1+IF(G$3&lt;=$O$2,$D119,$D119-($D119-$I$103)*MIN(G$3-$O$2,$Q$2)/$Q$2))</f>
        <v>10114.4401437926</v>
      </c>
      <c r="H119" s="15" t="n">
        <f aca="false">G119*(1+IF(H$3&lt;=$O$2,$D119,$D119-($D119-$I$103)*MIN(H$3-$O$2,$Q$2)/$Q$2))</f>
        <v>9970.13775221472</v>
      </c>
      <c r="I119" s="15" t="n">
        <f aca="false">H119*(1+IF(I$3&lt;=$O$2,$D119,$D119-($D119-$I$103)*MIN(I$3-$O$2,$Q$2)/$Q$2))</f>
        <v>9827.89411820714</v>
      </c>
      <c r="J119" s="15" t="n">
        <f aca="false">I119*(1+IF(J$3&lt;=$O$2,$D119,$D119-($D119-$I$103)*MIN(J$3-$O$2,$Q$2)/$Q$2))</f>
        <v>9771.34859998402</v>
      </c>
      <c r="K119" s="15" t="n">
        <f aca="false">J119*(1+IF(K$3&lt;=$O$2,$D119,$D119-($D119-$I$103)*MIN(K$3-$O$2,$Q$2)/$Q$2))</f>
        <v>9798.31575678844</v>
      </c>
      <c r="L119" s="15" t="n">
        <f aca="false">K119*(1+IF(L$3&lt;=$O$2,$D119,$D119-($D119-$I$103)*MIN(L$3-$O$2,$Q$2)/$Q$2))</f>
        <v>9908.77425628429</v>
      </c>
      <c r="M119" s="15" t="n">
        <f aca="false">L119*(1+IF(M$3&lt;=$O$2,$D119,$D119-($D119-$I$103)*MIN(M$3-$O$2,$Q$2)/$Q$2))</f>
        <v>10104.8352728488</v>
      </c>
      <c r="N119" s="15" t="n">
        <f aca="false">M119*(1+IF(N$3&lt;=$O$2,$D119,$D119-($D119-$I$103)*MIN(N$3-$O$2,$Q$2)/$Q$2))</f>
        <v>10390.8021110704</v>
      </c>
      <c r="O119" s="15" t="n">
        <f aca="false">SUMPRODUCT(E119:N119,1/(1+$F$103)^$E$3:$N$3)*$E$2</f>
        <v>35510.2426169576</v>
      </c>
      <c r="P119" s="15" t="n">
        <f aca="false">N119*$E$2*(1+$I$103)/($F$103-$I$103)/(1+$F$103)^$N$3</f>
        <v>71447.7401111426</v>
      </c>
      <c r="Q119" s="15" t="n">
        <f aca="false">O119+P119</f>
        <v>106957.9827281</v>
      </c>
      <c r="R119" s="15" t="n">
        <f aca="false">Q119-$G$2+$I$2</f>
        <v>87497.9827281002</v>
      </c>
      <c r="S119" s="40" t="n">
        <f aca="false">R119/$K$2</f>
        <v>155.85953210442</v>
      </c>
      <c r="T119" s="41" t="n">
        <f aca="false">S119-$M$2</f>
        <v>0.0498454338341503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-0.014312744140625</v>
      </c>
      <c r="C120" s="25" t="n">
        <f aca="false">IF(T119&gt;0,D119,C119)</f>
        <v>-0.0142669677734375</v>
      </c>
      <c r="D120" s="39" t="n">
        <f aca="false">(B120+C120)/2</f>
        <v>-0.0142898559570313</v>
      </c>
      <c r="E120" s="15" t="n">
        <f aca="false">$C$2*(1+IF(E$3&lt;=$O$2,$D120,$D120-($D120-$I$103)*MIN(E$3-$O$2,$Q$2)/$Q$2))</f>
        <v>10409.0991210938</v>
      </c>
      <c r="F120" s="15" t="n">
        <f aca="false">E120*(1+IF(F$3&lt;=$O$2,$D120,$D120-($D120-$I$103)*MIN(F$3-$O$2,$Q$2)/$Q$2))</f>
        <v>10260.3545940109</v>
      </c>
      <c r="G120" s="15" t="n">
        <f aca="false">F120*(1+IF(G$3&lt;=$O$2,$D120,$D120-($D120-$I$103)*MIN(G$3-$O$2,$Q$2)/$Q$2))</f>
        <v>10113.7356047944</v>
      </c>
      <c r="H120" s="15" t="n">
        <f aca="false">G120*(1+IF(H$3&lt;=$O$2,$D120,$D120-($D120-$I$103)*MIN(H$3-$O$2,$Q$2)/$Q$2))</f>
        <v>9969.21177981437</v>
      </c>
      <c r="I120" s="15" t="n">
        <f aca="false">H120*(1+IF(I$3&lt;=$O$2,$D120,$D120-($D120-$I$103)*MIN(I$3-$O$2,$Q$2)/$Q$2))</f>
        <v>9826.75317947569</v>
      </c>
      <c r="J120" s="15" t="n">
        <f aca="false">I120*(1+IF(J$3&lt;=$O$2,$D120,$D120-($D120-$I$103)*MIN(J$3-$O$2,$Q$2)/$Q$2))</f>
        <v>9770.03429250351</v>
      </c>
      <c r="K120" s="15" t="n">
        <f aca="false">J120*(1+IF(K$3&lt;=$O$2,$D120,$D120-($D120-$I$103)*MIN(K$3-$O$2,$Q$2)/$Q$2))</f>
        <v>9796.86365105357</v>
      </c>
      <c r="L120" s="15" t="n">
        <f aca="false">K120*(1+IF(L$3&lt;=$O$2,$D120,$D120-($D120-$I$103)*MIN(L$3-$O$2,$Q$2)/$Q$2))</f>
        <v>9907.21608768677</v>
      </c>
      <c r="M120" s="15" t="n">
        <f aca="false">L120*(1+IF(M$3&lt;=$O$2,$D120,$D120-($D120-$I$103)*MIN(M$3-$O$2,$Q$2)/$Q$2))</f>
        <v>10103.2009217464</v>
      </c>
      <c r="N120" s="15" t="n">
        <f aca="false">M120*(1+IF(N$3&lt;=$O$2,$D120,$D120-($D120-$I$103)*MIN(N$3-$O$2,$Q$2)/$Q$2))</f>
        <v>10389.1215078318</v>
      </c>
      <c r="O120" s="15" t="n">
        <f aca="false">SUMPRODUCT(E120:N120,1/(1+$F$103)^$E$3:$N$3)*$E$2</f>
        <v>35506.6299417452</v>
      </c>
      <c r="P120" s="15" t="n">
        <f aca="false">N120*$E$2*(1+$I$103)/($F$103-$I$103)/(1+$F$103)^$N$3</f>
        <v>71436.1841886889</v>
      </c>
      <c r="Q120" s="15" t="n">
        <f aca="false">O120+P120</f>
        <v>106942.814130434</v>
      </c>
      <c r="R120" s="15" t="n">
        <f aca="false">Q120-$G$2+$I$2</f>
        <v>87482.8141304342</v>
      </c>
      <c r="S120" s="40" t="n">
        <f aca="false">R120/$K$2</f>
        <v>155.832512389665</v>
      </c>
      <c r="T120" s="41" t="n">
        <f aca="false">S120-$M$2</f>
        <v>0.0228257190797478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-0.014312744140625</v>
      </c>
      <c r="C121" s="25" t="n">
        <f aca="false">IF(T120&gt;0,D120,C120)</f>
        <v>-0.0142898559570313</v>
      </c>
      <c r="D121" s="39" t="n">
        <f aca="false">(B121+C121)/2</f>
        <v>-0.0143013000488281</v>
      </c>
      <c r="E121" s="15" t="n">
        <f aca="false">$C$2*(1+IF(E$3&lt;=$O$2,$D121,$D121-($D121-$I$103)*MIN(E$3-$O$2,$Q$2)/$Q$2))</f>
        <v>10408.9782714844</v>
      </c>
      <c r="F121" s="15" t="n">
        <f aca="false">E121*(1+IF(F$3&lt;=$O$2,$D121,$D121-($D121-$I$103)*MIN(F$3-$O$2,$Q$2)/$Q$2))</f>
        <v>10260.1163500221</v>
      </c>
      <c r="G121" s="15" t="n">
        <f aca="false">F121*(1+IF(G$3&lt;=$O$2,$D121,$D121-($D121-$I$103)*MIN(G$3-$O$2,$Q$2)/$Q$2))</f>
        <v>10113.3833475646</v>
      </c>
      <c r="H121" s="15" t="n">
        <f aca="false">G121*(1+IF(H$3&lt;=$O$2,$D121,$D121-($D121-$I$103)*MIN(H$3-$O$2,$Q$2)/$Q$2))</f>
        <v>9968.74881780225</v>
      </c>
      <c r="I121" s="15" t="n">
        <f aca="false">H121*(1+IF(I$3&lt;=$O$2,$D121,$D121-($D121-$I$103)*MIN(I$3-$O$2,$Q$2)/$Q$2))</f>
        <v>9826.18274984746</v>
      </c>
      <c r="J121" s="15" t="n">
        <f aca="false">I121*(1+IF(J$3&lt;=$O$2,$D121,$D121-($D121-$I$103)*MIN(J$3-$O$2,$Q$2)/$Q$2))</f>
        <v>9769.37719393945</v>
      </c>
      <c r="K121" s="15" t="n">
        <f aca="false">J121*(1+IF(K$3&lt;=$O$2,$D121,$D121-($D121-$I$103)*MIN(K$3-$O$2,$Q$2)/$Q$2))</f>
        <v>9796.13766705041</v>
      </c>
      <c r="L121" s="15" t="n">
        <f aca="false">K121*(1+IF(L$3&lt;=$O$2,$D121,$D121-($D121-$I$103)*MIN(L$3-$O$2,$Q$2)/$Q$2))</f>
        <v>9906.43708299849</v>
      </c>
      <c r="M121" s="15" t="n">
        <f aca="false">L121*(1+IF(M$3&lt;=$O$2,$D121,$D121-($D121-$I$103)*MIN(M$3-$O$2,$Q$2)/$Q$2))</f>
        <v>10102.3838327298</v>
      </c>
      <c r="N121" s="15" t="n">
        <f aca="false">M121*(1+IF(N$3&lt;=$O$2,$D121,$D121-($D121-$I$103)*MIN(N$3-$O$2,$Q$2)/$Q$2))</f>
        <v>10388.2812951961</v>
      </c>
      <c r="O121" s="15" t="n">
        <f aca="false">SUMPRODUCT(E121:N121,1/(1+$F$103)^$E$3:$N$3)*$E$2</f>
        <v>35504.8237450002</v>
      </c>
      <c r="P121" s="15" t="n">
        <f aca="false">N121*$E$2*(1+$I$103)/($F$103-$I$103)/(1+$F$103)^$N$3</f>
        <v>71430.4068393185</v>
      </c>
      <c r="Q121" s="15" t="n">
        <f aca="false">O121+P121</f>
        <v>106935.230584319</v>
      </c>
      <c r="R121" s="15" t="n">
        <f aca="false">Q121-$G$2+$I$2</f>
        <v>87475.2305843188</v>
      </c>
      <c r="S121" s="40" t="n">
        <f aca="false">R121/$K$2</f>
        <v>155.819003873098</v>
      </c>
      <c r="T121" s="41" t="n">
        <f aca="false">S121-$M$2</f>
        <v>0.00931720251296042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-0.014312744140625</v>
      </c>
      <c r="C122" s="25" t="n">
        <f aca="false">IF(T121&gt;0,D121,C121)</f>
        <v>-0.0143013000488281</v>
      </c>
      <c r="D122" s="39" t="n">
        <f aca="false">(B122+C122)/2</f>
        <v>-0.0143070220947266</v>
      </c>
      <c r="E122" s="15" t="n">
        <f aca="false">$C$2*(1+IF(E$3&lt;=$O$2,$D122,$D122-($D122-$I$103)*MIN(E$3-$O$2,$Q$2)/$Q$2))</f>
        <v>10408.9178466797</v>
      </c>
      <c r="F122" s="15" t="n">
        <f aca="false">E122*(1+IF(F$3&lt;=$O$2,$D122,$D122-($D122-$I$103)*MIN(F$3-$O$2,$Q$2)/$Q$2))</f>
        <v>10259.997229065</v>
      </c>
      <c r="G122" s="15" t="n">
        <f aca="false">F122*(1+IF(G$3&lt;=$O$2,$D122,$D122-($D122-$I$103)*MIN(G$3-$O$2,$Q$2)/$Q$2))</f>
        <v>10113.207222017</v>
      </c>
      <c r="H122" s="15" t="n">
        <f aca="false">G122*(1+IF(H$3&lt;=$O$2,$D122,$D122-($D122-$I$103)*MIN(H$3-$O$2,$Q$2)/$Q$2))</f>
        <v>9968.51734284304</v>
      </c>
      <c r="I122" s="15" t="n">
        <f aca="false">H122*(1+IF(I$3&lt;=$O$2,$D122,$D122-($D122-$I$103)*MIN(I$3-$O$2,$Q$2)/$Q$2))</f>
        <v>9825.89754496731</v>
      </c>
      <c r="J122" s="15" t="n">
        <f aca="false">I122*(1+IF(J$3&lt;=$O$2,$D122,$D122-($D122-$I$103)*MIN(J$3-$O$2,$Q$2)/$Q$2))</f>
        <v>9769.04865845074</v>
      </c>
      <c r="K122" s="15" t="n">
        <f aca="false">J122*(1+IF(K$3&lt;=$O$2,$D122,$D122-($D122-$I$103)*MIN(K$3-$O$2,$Q$2)/$Q$2))</f>
        <v>9795.77469226385</v>
      </c>
      <c r="L122" s="15" t="n">
        <f aca="false">K122*(1+IF(L$3&lt;=$O$2,$D122,$D122-($D122-$I$103)*MIN(L$3-$O$2,$Q$2)/$Q$2))</f>
        <v>9906.04760055562</v>
      </c>
      <c r="M122" s="15" t="n">
        <f aca="false">L122*(1+IF(M$3&lt;=$O$2,$D122,$D122-($D122-$I$103)*MIN(M$3-$O$2,$Q$2)/$Q$2))</f>
        <v>10101.9753098537</v>
      </c>
      <c r="N122" s="15" t="n">
        <f aca="false">M122*(1+IF(N$3&lt;=$O$2,$D122,$D122-($D122-$I$103)*MIN(N$3-$O$2,$Q$2)/$Q$2))</f>
        <v>10387.8612111225</v>
      </c>
      <c r="O122" s="15" t="n">
        <f aca="false">SUMPRODUCT(E122:N122,1/(1+$F$103)^$E$3:$N$3)*$E$2</f>
        <v>35503.920681841</v>
      </c>
      <c r="P122" s="15" t="n">
        <f aca="false">N122*$E$2*(1+$I$103)/($F$103-$I$103)/(1+$F$103)^$N$3</f>
        <v>71427.5183175866</v>
      </c>
      <c r="Q122" s="15" t="n">
        <f aca="false">O122+P122</f>
        <v>106931.438999428</v>
      </c>
      <c r="R122" s="15" t="n">
        <f aca="false">Q122-$G$2+$I$2</f>
        <v>87471.4389994276</v>
      </c>
      <c r="S122" s="40" t="n">
        <f aca="false">R122/$K$2</f>
        <v>155.812249949995</v>
      </c>
      <c r="T122" s="41" t="n">
        <f aca="false">S122-$M$2</f>
        <v>0.00256327940928713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-0.014312744140625</v>
      </c>
      <c r="C123" s="25" t="n">
        <f aca="false">IF(T122&gt;0,D122,C122)</f>
        <v>-0.0143070220947266</v>
      </c>
      <c r="D123" s="39" t="n">
        <f aca="false">(B123+C123)/2</f>
        <v>-0.0143098831176758</v>
      </c>
      <c r="E123" s="15" t="n">
        <f aca="false">$C$2*(1+IF(E$3&lt;=$O$2,$D123,$D123-($D123-$I$103)*MIN(E$3-$O$2,$Q$2)/$Q$2))</f>
        <v>10408.8876342773</v>
      </c>
      <c r="F123" s="15" t="n">
        <f aca="false">E123*(1+IF(F$3&lt;=$O$2,$D123,$D123-($D123-$I$103)*MIN(F$3-$O$2,$Q$2)/$Q$2))</f>
        <v>10259.9376688458</v>
      </c>
      <c r="G123" s="15" t="n">
        <f aca="false">F123*(1+IF(G$3&lt;=$O$2,$D123,$D123-($D123-$I$103)*MIN(G$3-$O$2,$Q$2)/$Q$2))</f>
        <v>10113.11916001</v>
      </c>
      <c r="H123" s="15" t="n">
        <f aca="false">G123*(1+IF(H$3&lt;=$O$2,$D123,$D123-($D123-$I$103)*MIN(H$3-$O$2,$Q$2)/$Q$2))</f>
        <v>9968.40160687512</v>
      </c>
      <c r="I123" s="15" t="n">
        <f aca="false">H123*(1+IF(I$3&lt;=$O$2,$D123,$D123-($D123-$I$103)*MIN(I$3-$O$2,$Q$2)/$Q$2))</f>
        <v>9825.75494501069</v>
      </c>
      <c r="J123" s="15" t="n">
        <f aca="false">I123*(1+IF(J$3&lt;=$O$2,$D123,$D123-($D123-$I$103)*MIN(J$3-$O$2,$Q$2)/$Q$2))</f>
        <v>9768.88439415463</v>
      </c>
      <c r="K123" s="15" t="n">
        <f aca="false">J123*(1+IF(K$3&lt;=$O$2,$D123,$D123-($D123-$I$103)*MIN(K$3-$O$2,$Q$2)/$Q$2))</f>
        <v>9795.59320917419</v>
      </c>
      <c r="L123" s="15" t="n">
        <f aca="false">K123*(1+IF(L$3&lt;=$O$2,$D123,$D123-($D123-$I$103)*MIN(L$3-$O$2,$Q$2)/$Q$2))</f>
        <v>9905.85286430934</v>
      </c>
      <c r="M123" s="15" t="n">
        <f aca="false">L123*(1+IF(M$3&lt;=$O$2,$D123,$D123-($D123-$I$103)*MIN(M$3-$O$2,$Q$2)/$Q$2))</f>
        <v>10101.7710538235</v>
      </c>
      <c r="N123" s="15" t="n">
        <f aca="false">M123*(1+IF(N$3&lt;=$O$2,$D123,$D123-($D123-$I$103)*MIN(N$3-$O$2,$Q$2)/$Q$2))</f>
        <v>10387.6511746467</v>
      </c>
      <c r="O123" s="15" t="n">
        <f aca="false">SUMPRODUCT(E123:N123,1/(1+$F$103)^$E$3:$N$3)*$E$2</f>
        <v>35503.4691590644</v>
      </c>
      <c r="P123" s="15" t="n">
        <f aca="false">N123*$E$2*(1+$I$103)/($F$103-$I$103)/(1+$F$103)^$N$3</f>
        <v>71426.0740949577</v>
      </c>
      <c r="Q123" s="15" t="n">
        <f aca="false">O123+P123</f>
        <v>106929.543254022</v>
      </c>
      <c r="R123" s="15" t="n">
        <f aca="false">Q123-$G$2+$I$2</f>
        <v>87469.5432540221</v>
      </c>
      <c r="S123" s="40" t="n">
        <f aca="false">R123/$K$2</f>
        <v>155.808873072235</v>
      </c>
      <c r="T123" s="41" t="n">
        <f aca="false">S123-$M$2</f>
        <v>-0.000813598350362099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-0.0143098831176758</v>
      </c>
      <c r="C124" s="25" t="n">
        <f aca="false">IF(T123&gt;0,D123,C123)</f>
        <v>-0.0143070220947266</v>
      </c>
      <c r="D124" s="39" t="n">
        <f aca="false">(B124+C124)/2</f>
        <v>-0.0143084526062012</v>
      </c>
      <c r="E124" s="15" t="n">
        <f aca="false">$C$2*(1+IF(E$3&lt;=$O$2,$D124,$D124-($D124-$I$103)*MIN(E$3-$O$2,$Q$2)/$Q$2))</f>
        <v>10408.9027404785</v>
      </c>
      <c r="F124" s="15" t="n">
        <f aca="false">E124*(1+IF(F$3&lt;=$O$2,$D124,$D124-($D124-$I$103)*MIN(F$3-$O$2,$Q$2)/$Q$2))</f>
        <v>10259.9674489338</v>
      </c>
      <c r="G124" s="15" t="n">
        <f aca="false">F124*(1+IF(G$3&lt;=$O$2,$D124,$D124-($D124-$I$103)*MIN(G$3-$O$2,$Q$2)/$Q$2))</f>
        <v>10113.1631909496</v>
      </c>
      <c r="H124" s="15" t="n">
        <f aca="false">G124*(1+IF(H$3&lt;=$O$2,$D124,$D124-($D124-$I$103)*MIN(H$3-$O$2,$Q$2)/$Q$2))</f>
        <v>9968.45947473311</v>
      </c>
      <c r="I124" s="15" t="n">
        <f aca="false">H124*(1+IF(I$3&lt;=$O$2,$D124,$D124-($D124-$I$103)*MIN(I$3-$O$2,$Q$2)/$Q$2))</f>
        <v>9825.82624478205</v>
      </c>
      <c r="J124" s="15" t="n">
        <f aca="false">I124*(1+IF(J$3&lt;=$O$2,$D124,$D124-($D124-$I$103)*MIN(J$3-$O$2,$Q$2)/$Q$2))</f>
        <v>9768.96652601533</v>
      </c>
      <c r="K124" s="15" t="n">
        <f aca="false">J124*(1+IF(K$3&lt;=$O$2,$D124,$D124-($D124-$I$103)*MIN(K$3-$O$2,$Q$2)/$Q$2))</f>
        <v>9795.68395036039</v>
      </c>
      <c r="L124" s="15" t="n">
        <f aca="false">K124*(1+IF(L$3&lt;=$O$2,$D124,$D124-($D124-$I$103)*MIN(L$3-$O$2,$Q$2)/$Q$2))</f>
        <v>9905.95023201789</v>
      </c>
      <c r="M124" s="15" t="n">
        <f aca="false">L124*(1+IF(M$3&lt;=$O$2,$D124,$D124-($D124-$I$103)*MIN(M$3-$O$2,$Q$2)/$Q$2))</f>
        <v>10101.8731813879</v>
      </c>
      <c r="N124" s="15" t="n">
        <f aca="false">M124*(1+IF(N$3&lt;=$O$2,$D124,$D124-($D124-$I$103)*MIN(N$3-$O$2,$Q$2)/$Q$2))</f>
        <v>10387.7561924212</v>
      </c>
      <c r="O124" s="15" t="n">
        <f aca="false">SUMPRODUCT(E124:N124,1/(1+$F$103)^$E$3:$N$3)*$E$2</f>
        <v>35503.6949197191</v>
      </c>
      <c r="P124" s="15" t="n">
        <f aca="false">N124*$E$2*(1+$I$103)/($F$103-$I$103)/(1+$F$103)^$N$3</f>
        <v>71426.7962030858</v>
      </c>
      <c r="Q124" s="15" t="n">
        <f aca="false">O124+P124</f>
        <v>106930.491122805</v>
      </c>
      <c r="R124" s="15" t="n">
        <f aca="false">Q124-$G$2+$I$2</f>
        <v>87470.4911228049</v>
      </c>
      <c r="S124" s="40" t="n">
        <f aca="false">R124/$K$2</f>
        <v>155.810561504132</v>
      </c>
      <c r="T124" s="41" t="n">
        <f aca="false">S124-$M$2</f>
        <v>0.000874833546873788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-0.0143098831176758</v>
      </c>
      <c r="C125" s="25" t="n">
        <f aca="false">IF(T124&gt;0,D124,C124)</f>
        <v>-0.0143084526062012</v>
      </c>
      <c r="D125" s="39" t="n">
        <f aca="false">(B125+C125)/2</f>
        <v>-0.0143091678619385</v>
      </c>
      <c r="E125" s="15" t="n">
        <f aca="false">$C$2*(1+IF(E$3&lt;=$O$2,$D125,$D125-($D125-$I$103)*MIN(E$3-$O$2,$Q$2)/$Q$2))</f>
        <v>10408.8951873779</v>
      </c>
      <c r="F125" s="15" t="n">
        <f aca="false">E125*(1+IF(F$3&lt;=$O$2,$D125,$D125-($D125-$I$103)*MIN(F$3-$O$2,$Q$2)/$Q$2))</f>
        <v>10259.9525588844</v>
      </c>
      <c r="G125" s="15" t="n">
        <f aca="false">F125*(1+IF(G$3&lt;=$O$2,$D125,$D125-($D125-$I$103)*MIN(G$3-$O$2,$Q$2)/$Q$2))</f>
        <v>10113.1411754638</v>
      </c>
      <c r="H125" s="15" t="n">
        <f aca="false">G125*(1+IF(H$3&lt;=$O$2,$D125,$D125-($D125-$I$103)*MIN(H$3-$O$2,$Q$2)/$Q$2))</f>
        <v>9968.43054077262</v>
      </c>
      <c r="I125" s="15" t="n">
        <f aca="false">H125*(1+IF(I$3&lt;=$O$2,$D125,$D125-($D125-$I$103)*MIN(I$3-$O$2,$Q$2)/$Q$2))</f>
        <v>9825.79059484463</v>
      </c>
      <c r="J125" s="15" t="n">
        <f aca="false">I125*(1+IF(J$3&lt;=$O$2,$D125,$D125-($D125-$I$103)*MIN(J$3-$O$2,$Q$2)/$Q$2))</f>
        <v>9768.92546001314</v>
      </c>
      <c r="K125" s="15" t="n">
        <f aca="false">J125*(1+IF(K$3&lt;=$O$2,$D125,$D125-($D125-$I$103)*MIN(K$3-$O$2,$Q$2)/$Q$2))</f>
        <v>9795.63857967763</v>
      </c>
      <c r="L125" s="15" t="n">
        <f aca="false">K125*(1+IF(L$3&lt;=$O$2,$D125,$D125-($D125-$I$103)*MIN(L$3-$O$2,$Q$2)/$Q$2))</f>
        <v>9905.90154805997</v>
      </c>
      <c r="M125" s="15" t="n">
        <f aca="false">L125*(1+IF(M$3&lt;=$O$2,$D125,$D125-($D125-$I$103)*MIN(M$3-$O$2,$Q$2)/$Q$2))</f>
        <v>10101.822117493</v>
      </c>
      <c r="N125" s="15" t="n">
        <f aca="false">M125*(1+IF(N$3&lt;=$O$2,$D125,$D125-($D125-$I$103)*MIN(N$3-$O$2,$Q$2)/$Q$2))</f>
        <v>10387.7036834181</v>
      </c>
      <c r="O125" s="15" t="n">
        <f aca="false">SUMPRODUCT(E125:N125,1/(1+$F$103)^$E$3:$N$3)*$E$2</f>
        <v>35503.5820392084</v>
      </c>
      <c r="P125" s="15" t="n">
        <f aca="false">N125*$E$2*(1+$I$103)/($F$103-$I$103)/(1+$F$103)^$N$3</f>
        <v>71426.4351482251</v>
      </c>
      <c r="Q125" s="15" t="n">
        <f aca="false">O125+P125</f>
        <v>106930.017187433</v>
      </c>
      <c r="R125" s="15" t="n">
        <f aca="false">Q125-$G$2+$I$2</f>
        <v>87470.0171874335</v>
      </c>
      <c r="S125" s="40" t="n">
        <f aca="false">R125/$K$2</f>
        <v>155.809717286438</v>
      </c>
      <c r="T125" s="41" t="n">
        <f aca="false">S125-$M$2</f>
        <v>3.06158525518185E-005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-0.0143098831176758</v>
      </c>
      <c r="C126" s="25" t="n">
        <f aca="false">IF(T125&gt;0,D125,C125)</f>
        <v>-0.0143091678619385</v>
      </c>
      <c r="D126" s="39" t="n">
        <f aca="false">(B126+C126)/2</f>
        <v>-0.0143095254898071</v>
      </c>
      <c r="E126" s="15" t="n">
        <f aca="false">$C$2*(1+IF(E$3&lt;=$O$2,$D126,$D126-($D126-$I$103)*MIN(E$3-$O$2,$Q$2)/$Q$2))</f>
        <v>10408.8914108276</v>
      </c>
      <c r="F126" s="15" t="n">
        <f aca="false">E126*(1+IF(F$3&lt;=$O$2,$D126,$D126-($D126-$I$103)*MIN(F$3-$O$2,$Q$2)/$Q$2))</f>
        <v>10259.9451138638</v>
      </c>
      <c r="G126" s="15" t="n">
        <f aca="false">F126*(1+IF(G$3&lt;=$O$2,$D126,$D126-($D126-$I$103)*MIN(G$3-$O$2,$Q$2)/$Q$2))</f>
        <v>10113.1301677329</v>
      </c>
      <c r="H126" s="15" t="n">
        <f aca="false">G126*(1+IF(H$3&lt;=$O$2,$D126,$D126-($D126-$I$103)*MIN(H$3-$O$2,$Q$2)/$Q$2))</f>
        <v>9968.416073816</v>
      </c>
      <c r="I126" s="15" t="n">
        <f aca="false">H126*(1+IF(I$3&lt;=$O$2,$D126,$D126-($D126-$I$103)*MIN(I$3-$O$2,$Q$2)/$Q$2))</f>
        <v>9825.77276991472</v>
      </c>
      <c r="J126" s="15" t="n">
        <f aca="false">I126*(1+IF(J$3&lt;=$O$2,$D126,$D126-($D126-$I$103)*MIN(J$3-$O$2,$Q$2)/$Q$2))</f>
        <v>9768.90492706592</v>
      </c>
      <c r="K126" s="15" t="n">
        <f aca="false">J126*(1+IF(K$3&lt;=$O$2,$D126,$D126-($D126-$I$103)*MIN(K$3-$O$2,$Q$2)/$Q$2))</f>
        <v>9795.6158944035</v>
      </c>
      <c r="L126" s="15" t="n">
        <f aca="false">K126*(1+IF(L$3&lt;=$O$2,$D126,$D126-($D126-$I$103)*MIN(L$3-$O$2,$Q$2)/$Q$2))</f>
        <v>9905.87720615874</v>
      </c>
      <c r="M126" s="15" t="n">
        <f aca="false">L126*(1+IF(M$3&lt;=$O$2,$D126,$D126-($D126-$I$103)*MIN(M$3-$O$2,$Q$2)/$Q$2))</f>
        <v>10101.7965856301</v>
      </c>
      <c r="N126" s="15" t="n">
        <f aca="false">M126*(1+IF(N$3&lt;=$O$2,$D126,$D126-($D126-$I$103)*MIN(N$3-$O$2,$Q$2)/$Q$2))</f>
        <v>10387.6774290034</v>
      </c>
      <c r="O126" s="15" t="n">
        <f aca="false">SUMPRODUCT(E126:N126,1/(1+$F$103)^$E$3:$N$3)*$E$2</f>
        <v>35503.5255990905</v>
      </c>
      <c r="P126" s="15" t="n">
        <f aca="false">N126*$E$2*(1+$I$103)/($F$103-$I$103)/(1+$F$103)^$N$3</f>
        <v>71426.2546213923</v>
      </c>
      <c r="Q126" s="15" t="n">
        <f aca="false">O126+P126</f>
        <v>106929.780220483</v>
      </c>
      <c r="R126" s="15" t="n">
        <f aca="false">Q126-$G$2+$I$2</f>
        <v>87469.7802204828</v>
      </c>
      <c r="S126" s="40" t="n">
        <f aca="false">R126/$K$2</f>
        <v>155.8092951789</v>
      </c>
      <c r="T126" s="41" t="n">
        <f aca="false">S126-$M$2</f>
        <v>-0.000391491685292067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-0.0143095254898071</v>
      </c>
      <c r="C127" s="25" t="n">
        <f aca="false">IF(T126&gt;0,D126,C126)</f>
        <v>-0.0143091678619385</v>
      </c>
      <c r="D127" s="39" t="n">
        <f aca="false">(B127+C127)/2</f>
        <v>-0.0143093466758728</v>
      </c>
      <c r="E127" s="15" t="n">
        <f aca="false">$C$2*(1+IF(E$3&lt;=$O$2,$D127,$D127-($D127-$I$103)*MIN(E$3-$O$2,$Q$2)/$Q$2))</f>
        <v>10408.8932991028</v>
      </c>
      <c r="F127" s="15" t="n">
        <f aca="false">E127*(1+IF(F$3&lt;=$O$2,$D127,$D127-($D127-$I$103)*MIN(F$3-$O$2,$Q$2)/$Q$2))</f>
        <v>10259.9488363738</v>
      </c>
      <c r="G127" s="15" t="n">
        <f aca="false">F127*(1+IF(G$3&lt;=$O$2,$D127,$D127-($D127-$I$103)*MIN(G$3-$O$2,$Q$2)/$Q$2))</f>
        <v>10113.1356715974</v>
      </c>
      <c r="H127" s="15" t="n">
        <f aca="false">G127*(1+IF(H$3&lt;=$O$2,$D127,$D127-($D127-$I$103)*MIN(H$3-$O$2,$Q$2)/$Q$2))</f>
        <v>9968.42330729234</v>
      </c>
      <c r="I127" s="15" t="n">
        <f aca="false">H127*(1+IF(I$3&lt;=$O$2,$D127,$D127-($D127-$I$103)*MIN(I$3-$O$2,$Q$2)/$Q$2))</f>
        <v>9825.78168237644</v>
      </c>
      <c r="J127" s="15" t="n">
        <f aca="false">I127*(1+IF(J$3&lt;=$O$2,$D127,$D127-($D127-$I$103)*MIN(J$3-$O$2,$Q$2)/$Q$2))</f>
        <v>9768.91519353504</v>
      </c>
      <c r="K127" s="15" t="n">
        <f aca="false">J127*(1+IF(K$3&lt;=$O$2,$D127,$D127-($D127-$I$103)*MIN(K$3-$O$2,$Q$2)/$Q$2))</f>
        <v>9795.62723703496</v>
      </c>
      <c r="L127" s="15" t="n">
        <f aca="false">K127*(1+IF(L$3&lt;=$O$2,$D127,$D127-($D127-$I$103)*MIN(L$3-$O$2,$Q$2)/$Q$2))</f>
        <v>9905.88937710287</v>
      </c>
      <c r="M127" s="15" t="n">
        <f aca="false">L127*(1+IF(M$3&lt;=$O$2,$D127,$D127-($D127-$I$103)*MIN(M$3-$O$2,$Q$2)/$Q$2))</f>
        <v>10101.8093515545</v>
      </c>
      <c r="N127" s="15" t="n">
        <f aca="false">M127*(1+IF(N$3&lt;=$O$2,$D127,$D127-($D127-$I$103)*MIN(N$3-$O$2,$Q$2)/$Q$2))</f>
        <v>10387.6905562035</v>
      </c>
      <c r="O127" s="15" t="n">
        <f aca="false">SUMPRODUCT(E127:N127,1/(1+$F$103)^$E$3:$N$3)*$E$2</f>
        <v>35503.553819138</v>
      </c>
      <c r="P127" s="15" t="n">
        <f aca="false">N127*$E$2*(1+$I$103)/($F$103-$I$103)/(1+$F$103)^$N$3</f>
        <v>71426.3448847589</v>
      </c>
      <c r="Q127" s="15" t="n">
        <f aca="false">O127+P127</f>
        <v>106929.898703897</v>
      </c>
      <c r="R127" s="15" t="n">
        <f aca="false">Q127-$G$2+$I$2</f>
        <v>87469.8987038969</v>
      </c>
      <c r="S127" s="40" t="n">
        <f aca="false">R127/$K$2</f>
        <v>155.80950623256</v>
      </c>
      <c r="T127" s="41" t="n">
        <f aca="false">S127-$M$2</f>
        <v>-0.000180438025410012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-0.0143093466758728</v>
      </c>
      <c r="C128" s="25" t="n">
        <f aca="false">IF(T127&gt;0,D127,C127)</f>
        <v>-0.0143091678619385</v>
      </c>
      <c r="D128" s="39" t="n">
        <f aca="false">(B128+C128)/2</f>
        <v>-0.0143092572689056</v>
      </c>
      <c r="E128" s="15" t="n">
        <f aca="false">$C$2*(1+IF(E$3&lt;=$O$2,$D128,$D128-($D128-$I$103)*MIN(E$3-$O$2,$Q$2)/$Q$2))</f>
        <v>10408.8942432404</v>
      </c>
      <c r="F128" s="15" t="n">
        <f aca="false">E128*(1+IF(F$3&lt;=$O$2,$D128,$D128-($D128-$I$103)*MIN(F$3-$O$2,$Q$2)/$Q$2))</f>
        <v>10259.950697629</v>
      </c>
      <c r="G128" s="15" t="n">
        <f aca="false">F128*(1+IF(G$3&lt;=$O$2,$D128,$D128-($D128-$I$103)*MIN(G$3-$O$2,$Q$2)/$Q$2))</f>
        <v>10113.1384235303</v>
      </c>
      <c r="H128" s="15" t="n">
        <f aca="false">G128*(1+IF(H$3&lt;=$O$2,$D128,$D128-($D128-$I$103)*MIN(H$3-$O$2,$Q$2)/$Q$2))</f>
        <v>9968.42692403199</v>
      </c>
      <c r="I128" s="15" t="n">
        <f aca="false">H128*(1+IF(I$3&lt;=$O$2,$D128,$D128-($D128-$I$103)*MIN(I$3-$O$2,$Q$2)/$Q$2))</f>
        <v>9825.78613860973</v>
      </c>
      <c r="J128" s="15" t="n">
        <f aca="false">I128*(1+IF(J$3&lt;=$O$2,$D128,$D128-($D128-$I$103)*MIN(J$3-$O$2,$Q$2)/$Q$2))</f>
        <v>9768.92032677297</v>
      </c>
      <c r="K128" s="15" t="n">
        <f aca="false">J128*(1+IF(K$3&lt;=$O$2,$D128,$D128-($D128-$I$103)*MIN(K$3-$O$2,$Q$2)/$Q$2))</f>
        <v>9795.6329083549</v>
      </c>
      <c r="L128" s="15" t="n">
        <f aca="false">K128*(1+IF(L$3&lt;=$O$2,$D128,$D128-($D128-$I$103)*MIN(L$3-$O$2,$Q$2)/$Q$2))</f>
        <v>9905.8954625798</v>
      </c>
      <c r="M128" s="15" t="n">
        <f aca="false">L128*(1+IF(M$3&lt;=$O$2,$D128,$D128-($D128-$I$103)*MIN(M$3-$O$2,$Q$2)/$Q$2))</f>
        <v>10101.815734522</v>
      </c>
      <c r="N128" s="15" t="n">
        <f aca="false">M128*(1+IF(N$3&lt;=$O$2,$D128,$D128-($D128-$I$103)*MIN(N$3-$O$2,$Q$2)/$Q$2))</f>
        <v>10387.697119809</v>
      </c>
      <c r="O128" s="15" t="n">
        <f aca="false">SUMPRODUCT(E128:N128,1/(1+$F$103)^$E$3:$N$3)*$E$2</f>
        <v>35503.5679291703</v>
      </c>
      <c r="P128" s="15" t="n">
        <f aca="false">N128*$E$2*(1+$I$103)/($F$103-$I$103)/(1+$F$103)^$N$3</f>
        <v>71426.3900164796</v>
      </c>
      <c r="Q128" s="15" t="n">
        <f aca="false">O128+P128</f>
        <v>106929.95794565</v>
      </c>
      <c r="R128" s="15" t="n">
        <f aca="false">Q128-$G$2+$I$2</f>
        <v>87469.9579456499</v>
      </c>
      <c r="S128" s="40" t="n">
        <f aca="false">R128/$K$2</f>
        <v>155.809611759472</v>
      </c>
      <c r="T128" s="41" t="n">
        <f aca="false">S128-$M$2</f>
        <v>-7.49111137281489E-005</v>
      </c>
    </row>
    <row r="130" customFormat="false" ht="15" hidden="false" customHeight="false" outlineLevel="0" collapsed="false">
      <c r="A130" s="36" t="s">
        <v>190</v>
      </c>
      <c r="E130" s="5" t="s">
        <v>11</v>
      </c>
      <c r="F130" s="12" t="n">
        <f aca="false">Sensitivity!$B$10</f>
        <v>0.0670172026214128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6" t="s">
        <v>167</v>
      </c>
      <c r="B131" s="28" t="s">
        <v>168</v>
      </c>
      <c r="C131" s="28" t="s">
        <v>169</v>
      </c>
      <c r="D131" s="28" t="s">
        <v>170</v>
      </c>
      <c r="E131" s="28" t="s">
        <v>171</v>
      </c>
      <c r="F131" s="28" t="s">
        <v>172</v>
      </c>
      <c r="G131" s="28" t="s">
        <v>173</v>
      </c>
      <c r="H131" s="28" t="s">
        <v>174</v>
      </c>
      <c r="I131" s="28" t="s">
        <v>175</v>
      </c>
      <c r="J131" s="28" t="s">
        <v>176</v>
      </c>
      <c r="K131" s="28" t="s">
        <v>177</v>
      </c>
      <c r="L131" s="28" t="s">
        <v>178</v>
      </c>
      <c r="M131" s="28" t="s">
        <v>179</v>
      </c>
      <c r="N131" s="28" t="s">
        <v>180</v>
      </c>
      <c r="O131" s="28" t="s">
        <v>181</v>
      </c>
      <c r="P131" s="28" t="s">
        <v>182</v>
      </c>
      <c r="Q131" s="28" t="s">
        <v>183</v>
      </c>
      <c r="R131" s="28" t="s">
        <v>184</v>
      </c>
      <c r="S131" s="28" t="s">
        <v>185</v>
      </c>
      <c r="T131" s="28" t="s">
        <v>186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39" t="n">
        <f aca="false">(B132+C132)/2</f>
        <v>0.25</v>
      </c>
      <c r="E132" s="15" t="n">
        <f aca="false">$C$2*(1+IF(E$3&lt;=$O$2,$D132,$D132-($D132-$I$130)*MIN(E$3-$O$2,$Q$2)/$Q$2))</f>
        <v>13200</v>
      </c>
      <c r="F132" s="15" t="n">
        <f aca="false">E132*(1+IF(F$3&lt;=$O$2,$D132,$D132-($D132-$I$130)*MIN(F$3-$O$2,$Q$2)/$Q$2))</f>
        <v>16500</v>
      </c>
      <c r="G132" s="15" t="n">
        <f aca="false">F132*(1+IF(G$3&lt;=$O$2,$D132,$D132-($D132-$I$130)*MIN(G$3-$O$2,$Q$2)/$Q$2))</f>
        <v>20625</v>
      </c>
      <c r="H132" s="15" t="n">
        <f aca="false">G132*(1+IF(H$3&lt;=$O$2,$D132,$D132-($D132-$I$130)*MIN(H$3-$O$2,$Q$2)/$Q$2))</f>
        <v>25781.25</v>
      </c>
      <c r="I132" s="15" t="n">
        <f aca="false">H132*(1+IF(I$3&lt;=$O$2,$D132,$D132-($D132-$I$130)*MIN(I$3-$O$2,$Q$2)/$Q$2))</f>
        <v>32226.5625</v>
      </c>
      <c r="J132" s="15" t="n">
        <f aca="false">I132*(1+IF(J$3&lt;=$O$2,$D132,$D132-($D132-$I$130)*MIN(J$3-$O$2,$Q$2)/$Q$2))</f>
        <v>38886.50390625</v>
      </c>
      <c r="K132" s="15" t="n">
        <f aca="false">J132*(1+IF(K$3&lt;=$O$2,$D132,$D132-($D132-$I$130)*MIN(K$3-$O$2,$Q$2)/$Q$2))</f>
        <v>45237.4477242188</v>
      </c>
      <c r="L132" s="15" t="n">
        <f aca="false">K132*(1+IF(L$3&lt;=$O$2,$D132,$D132-($D132-$I$130)*MIN(L$3-$O$2,$Q$2)/$Q$2))</f>
        <v>50665.0367021705</v>
      </c>
      <c r="M132" s="15" t="n">
        <f aca="false">L132*(1+IF(M$3&lt;=$O$2,$D132,$D132-($D132-$I$130)*MIN(M$3-$O$2,$Q$2)/$Q$2))</f>
        <v>54548.0051150249</v>
      </c>
      <c r="N132" s="15" t="n">
        <f aca="false">M132*(1+IF(N$3&lt;=$O$2,$D132,$D132-($D132-$I$130)*MIN(N$3-$O$2,$Q$2)/$Q$2))</f>
        <v>56364.4536853552</v>
      </c>
      <c r="O132" s="15" t="n">
        <f aca="false">SUMPRODUCT(E132:N132,1/(1+$F$130)^$E$3:$N$3)*$E$2</f>
        <v>114975.844656691</v>
      </c>
      <c r="P132" s="15" t="n">
        <f aca="false">N132*$E$2*(1+$I$130)/($F$130-$I$130)/(1+$F$130)^$N$3</f>
        <v>447202.017070518</v>
      </c>
      <c r="Q132" s="15" t="n">
        <f aca="false">O132+P132</f>
        <v>562177.861727209</v>
      </c>
      <c r="R132" s="15" t="n">
        <f aca="false">Q132-$G$2+$I$2</f>
        <v>542717.861727209</v>
      </c>
      <c r="S132" s="40" t="n">
        <f aca="false">R132/$K$2</f>
        <v>966.739453369688</v>
      </c>
      <c r="T132" s="41" t="n">
        <f aca="false">S132-$M$2</f>
        <v>810.929766699102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39" t="n">
        <f aca="false">(B133+C133)/2</f>
        <v>-0.125</v>
      </c>
      <c r="E133" s="15" t="n">
        <f aca="false">$C$2*(1+IF(E$3&lt;=$O$2,$D133,$D133-($D133-$I$130)*MIN(E$3-$O$2,$Q$2)/$Q$2))</f>
        <v>9240</v>
      </c>
      <c r="F133" s="15" t="n">
        <f aca="false">E133*(1+IF(F$3&lt;=$O$2,$D133,$D133-($D133-$I$130)*MIN(F$3-$O$2,$Q$2)/$Q$2))</f>
        <v>8085</v>
      </c>
      <c r="G133" s="15" t="n">
        <f aca="false">F133*(1+IF(G$3&lt;=$O$2,$D133,$D133-($D133-$I$130)*MIN(G$3-$O$2,$Q$2)/$Q$2))</f>
        <v>7074.375</v>
      </c>
      <c r="H133" s="15" t="n">
        <f aca="false">G133*(1+IF(H$3&lt;=$O$2,$D133,$D133-($D133-$I$130)*MIN(H$3-$O$2,$Q$2)/$Q$2))</f>
        <v>6190.078125</v>
      </c>
      <c r="I133" s="15" t="n">
        <f aca="false">H133*(1+IF(I$3&lt;=$O$2,$D133,$D133-($D133-$I$130)*MIN(I$3-$O$2,$Q$2)/$Q$2))</f>
        <v>5416.318359375</v>
      </c>
      <c r="J133" s="15" t="n">
        <f aca="false">I133*(1+IF(J$3&lt;=$O$2,$D133,$D133-($D133-$I$130)*MIN(J$3-$O$2,$Q$2)/$Q$2))</f>
        <v>4910.75920371094</v>
      </c>
      <c r="K133" s="15" t="n">
        <f aca="false">J133*(1+IF(K$3&lt;=$O$2,$D133,$D133-($D133-$I$130)*MIN(K$3-$O$2,$Q$2)/$Q$2))</f>
        <v>4607.86357602605</v>
      </c>
      <c r="L133" s="15" t="n">
        <f aca="false">K133*(1+IF(L$3&lt;=$O$2,$D133,$D133-($D133-$I$130)*MIN(L$3-$O$2,$Q$2)/$Q$2))</f>
        <v>4469.53551147375</v>
      </c>
      <c r="M133" s="15" t="n">
        <f aca="false">L133*(1+IF(M$3&lt;=$O$2,$D133,$D133-($D133-$I$130)*MIN(M$3-$O$2,$Q$2)/$Q$2))</f>
        <v>4476.86554971256</v>
      </c>
      <c r="N133" s="15" t="n">
        <f aca="false">M133*(1+IF(N$3&lt;=$O$2,$D133,$D133-($D133-$I$130)*MIN(N$3-$O$2,$Q$2)/$Q$2))</f>
        <v>4625.94517251799</v>
      </c>
      <c r="O133" s="15" t="n">
        <f aca="false">SUMPRODUCT(E133:N133,1/(1+$F$130)^$E$3:$N$3)*$E$2</f>
        <v>21843.5390450875</v>
      </c>
      <c r="P133" s="15" t="n">
        <f aca="false">N133*$E$2*(1+$I$130)/($F$130-$I$130)/(1+$F$130)^$N$3</f>
        <v>36702.7776682803</v>
      </c>
      <c r="Q133" s="15" t="n">
        <f aca="false">O133+P133</f>
        <v>58546.3167133678</v>
      </c>
      <c r="R133" s="15" t="n">
        <f aca="false">Q133-$G$2+$I$2</f>
        <v>39086.3167133678</v>
      </c>
      <c r="S133" s="40" t="n">
        <f aca="false">R133/$K$2</f>
        <v>69.6241769774449</v>
      </c>
      <c r="T133" s="41" t="n">
        <f aca="false">S133-$M$2</f>
        <v>-86.1855096931406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39" t="n">
        <f aca="false">(B134+C134)/2</f>
        <v>0.0625</v>
      </c>
      <c r="E134" s="15" t="n">
        <f aca="false">$C$2*(1+IF(E$3&lt;=$O$2,$D134,$D134-($D134-$I$130)*MIN(E$3-$O$2,$Q$2)/$Q$2))</f>
        <v>11220</v>
      </c>
      <c r="F134" s="15" t="n">
        <f aca="false">E134*(1+IF(F$3&lt;=$O$2,$D134,$D134-($D134-$I$130)*MIN(F$3-$O$2,$Q$2)/$Q$2))</f>
        <v>11921.25</v>
      </c>
      <c r="G134" s="15" t="n">
        <f aca="false">F134*(1+IF(G$3&lt;=$O$2,$D134,$D134-($D134-$I$130)*MIN(G$3-$O$2,$Q$2)/$Q$2))</f>
        <v>12666.328125</v>
      </c>
      <c r="H134" s="15" t="n">
        <f aca="false">G134*(1+IF(H$3&lt;=$O$2,$D134,$D134-($D134-$I$130)*MIN(H$3-$O$2,$Q$2)/$Q$2))</f>
        <v>13457.9736328125</v>
      </c>
      <c r="I134" s="15" t="n">
        <f aca="false">H134*(1+IF(I$3&lt;=$O$2,$D134,$D134-($D134-$I$130)*MIN(I$3-$O$2,$Q$2)/$Q$2))</f>
        <v>14299.0969848633</v>
      </c>
      <c r="J134" s="15" t="n">
        <f aca="false">I134*(1+IF(J$3&lt;=$O$2,$D134,$D134-($D134-$I$130)*MIN(J$3-$O$2,$Q$2)/$Q$2))</f>
        <v>15109.2838200256</v>
      </c>
      <c r="K134" s="15" t="n">
        <f aca="false">J134*(1+IF(K$3&lt;=$O$2,$D134,$D134-($D134-$I$130)*MIN(K$3-$O$2,$Q$2)/$Q$2))</f>
        <v>15877.1376237593</v>
      </c>
      <c r="L134" s="15" t="n">
        <f aca="false">K134*(1+IF(L$3&lt;=$O$2,$D134,$D134-($D134-$I$130)*MIN(L$3-$O$2,$Q$2)/$Q$2))</f>
        <v>16591.291274076</v>
      </c>
      <c r="M134" s="15" t="n">
        <f aca="false">L134*(1+IF(M$3&lt;=$O$2,$D134,$D134-($D134-$I$130)*MIN(M$3-$O$2,$Q$2)/$Q$2))</f>
        <v>17240.6744145434</v>
      </c>
      <c r="N134" s="15" t="n">
        <f aca="false">M134*(1+IF(N$3&lt;=$O$2,$D134,$D134-($D134-$I$130)*MIN(N$3-$O$2,$Q$2)/$Q$2))</f>
        <v>17814.7888725477</v>
      </c>
      <c r="O134" s="15" t="n">
        <f aca="false">SUMPRODUCT(E134:N134,1/(1+$F$130)^$E$3:$N$3)*$E$2</f>
        <v>50149.0759016707</v>
      </c>
      <c r="P134" s="15" t="n">
        <f aca="false">N134*$E$2*(1+$I$130)/($F$130-$I$130)/(1+$F$130)^$N$3</f>
        <v>141344.57085244</v>
      </c>
      <c r="Q134" s="15" t="n">
        <f aca="false">O134+P134</f>
        <v>191493.64675411</v>
      </c>
      <c r="R134" s="15" t="n">
        <f aca="false">Q134-$G$2+$I$2</f>
        <v>172033.64675411</v>
      </c>
      <c r="S134" s="40" t="n">
        <f aca="false">R134/$K$2</f>
        <v>306.442307048772</v>
      </c>
      <c r="T134" s="41" t="n">
        <f aca="false">S134-$M$2</f>
        <v>150.632620378187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39" t="n">
        <f aca="false">(B135+C135)/2</f>
        <v>-0.03125</v>
      </c>
      <c r="E135" s="15" t="n">
        <f aca="false">$C$2*(1+IF(E$3&lt;=$O$2,$D135,$D135-($D135-$I$130)*MIN(E$3-$O$2,$Q$2)/$Q$2))</f>
        <v>10230</v>
      </c>
      <c r="F135" s="15" t="n">
        <f aca="false">E135*(1+IF(F$3&lt;=$O$2,$D135,$D135-($D135-$I$130)*MIN(F$3-$O$2,$Q$2)/$Q$2))</f>
        <v>9910.3125</v>
      </c>
      <c r="G135" s="15" t="n">
        <f aca="false">F135*(1+IF(G$3&lt;=$O$2,$D135,$D135-($D135-$I$130)*MIN(G$3-$O$2,$Q$2)/$Q$2))</f>
        <v>9600.615234375</v>
      </c>
      <c r="H135" s="15" t="n">
        <f aca="false">G135*(1+IF(H$3&lt;=$O$2,$D135,$D135-($D135-$I$130)*MIN(H$3-$O$2,$Q$2)/$Q$2))</f>
        <v>9300.59600830078</v>
      </c>
      <c r="I135" s="15" t="n">
        <f aca="false">H135*(1+IF(I$3&lt;=$O$2,$D135,$D135-($D135-$I$130)*MIN(I$3-$O$2,$Q$2)/$Q$2))</f>
        <v>9009.95238304138</v>
      </c>
      <c r="J135" s="15" t="n">
        <f aca="false">I135*(1+IF(J$3&lt;=$O$2,$D135,$D135-($D135-$I$130)*MIN(J$3-$O$2,$Q$2)/$Q$2))</f>
        <v>8844.7098563364</v>
      </c>
      <c r="K135" s="15" t="n">
        <f aca="false">J135*(1+IF(K$3&lt;=$O$2,$D135,$D135-($D135-$I$130)*MIN(K$3-$O$2,$Q$2)/$Q$2))</f>
        <v>8796.6830818165</v>
      </c>
      <c r="L135" s="15" t="n">
        <f aca="false">K135*(1+IF(L$3&lt;=$O$2,$D135,$D135-($D135-$I$130)*MIN(L$3-$O$2,$Q$2)/$Q$2))</f>
        <v>8862.48227126848</v>
      </c>
      <c r="M135" s="15" t="n">
        <f aca="false">L135*(1+IF(M$3&lt;=$O$2,$D135,$D135-($D135-$I$130)*MIN(M$3-$O$2,$Q$2)/$Q$2))</f>
        <v>9043.18828477965</v>
      </c>
      <c r="N135" s="15" t="n">
        <f aca="false">M135*(1+IF(N$3&lt;=$O$2,$D135,$D135-($D135-$I$130)*MIN(N$3-$O$2,$Q$2)/$Q$2))</f>
        <v>9344.32645466281</v>
      </c>
      <c r="O135" s="15" t="n">
        <f aca="false">SUMPRODUCT(E135:N135,1/(1+$F$130)^$E$3:$N$3)*$E$2</f>
        <v>33017.7355742035</v>
      </c>
      <c r="P135" s="15" t="n">
        <f aca="false">N135*$E$2*(1+$I$130)/($F$130-$I$130)/(1+$F$130)^$N$3</f>
        <v>74138.9539942683</v>
      </c>
      <c r="Q135" s="15" t="n">
        <f aca="false">O135+P135</f>
        <v>107156.689568472</v>
      </c>
      <c r="R135" s="15" t="n">
        <f aca="false">Q135-$G$2+$I$2</f>
        <v>87696.6895684717</v>
      </c>
      <c r="S135" s="40" t="n">
        <f aca="false">R135/$K$2</f>
        <v>156.213487180876</v>
      </c>
      <c r="T135" s="41" t="n">
        <f aca="false">S135-$M$2</f>
        <v>0.40380051029004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-0.125</v>
      </c>
      <c r="C136" s="25" t="n">
        <f aca="false">IF(T135&gt;0,D135,C135)</f>
        <v>-0.03125</v>
      </c>
      <c r="D136" s="39" t="n">
        <f aca="false">(B136+C136)/2</f>
        <v>-0.078125</v>
      </c>
      <c r="E136" s="15" t="n">
        <f aca="false">$C$2*(1+IF(E$3&lt;=$O$2,$D136,$D136-($D136-$I$130)*MIN(E$3-$O$2,$Q$2)/$Q$2))</f>
        <v>9735</v>
      </c>
      <c r="F136" s="15" t="n">
        <f aca="false">E136*(1+IF(F$3&lt;=$O$2,$D136,$D136-($D136-$I$130)*MIN(F$3-$O$2,$Q$2)/$Q$2))</f>
        <v>8974.453125</v>
      </c>
      <c r="G136" s="15" t="n">
        <f aca="false">F136*(1+IF(G$3&lt;=$O$2,$D136,$D136-($D136-$I$130)*MIN(G$3-$O$2,$Q$2)/$Q$2))</f>
        <v>8273.32397460938</v>
      </c>
      <c r="H136" s="15" t="n">
        <f aca="false">G136*(1+IF(H$3&lt;=$O$2,$D136,$D136-($D136-$I$130)*MIN(H$3-$O$2,$Q$2)/$Q$2))</f>
        <v>7626.97053909302</v>
      </c>
      <c r="I136" s="15" t="n">
        <f aca="false">H136*(1+IF(I$3&lt;=$O$2,$D136,$D136-($D136-$I$130)*MIN(I$3-$O$2,$Q$2)/$Q$2))</f>
        <v>7031.11346572638</v>
      </c>
      <c r="J136" s="15" t="n">
        <f aca="false">I136*(1+IF(J$3&lt;=$O$2,$D136,$D136-($D136-$I$130)*MIN(J$3-$O$2,$Q$2)/$Q$2))</f>
        <v>6638.49608980022</v>
      </c>
      <c r="K136" s="15" t="n">
        <f aca="false">J136*(1+IF(K$3&lt;=$O$2,$D136,$D136-($D136-$I$130)*MIN(K$3-$O$2,$Q$2)/$Q$2))</f>
        <v>6415.74135350697</v>
      </c>
      <c r="L136" s="15" t="n">
        <f aca="false">K136*(1+IF(L$3&lt;=$O$2,$D136,$D136-($D136-$I$130)*MIN(L$3-$O$2,$Q$2)/$Q$2))</f>
        <v>6343.43594845295</v>
      </c>
      <c r="M136" s="15" t="n">
        <f aca="false">L136*(1+IF(M$3&lt;=$O$2,$D136,$D136-($D136-$I$130)*MIN(M$3-$O$2,$Q$2)/$Q$2))</f>
        <v>6413.30889542515</v>
      </c>
      <c r="N136" s="15" t="n">
        <f aca="false">M136*(1+IF(N$3&lt;=$O$2,$D136,$D136-($D136-$I$130)*MIN(N$3-$O$2,$Q$2)/$Q$2))</f>
        <v>6626.87208164281</v>
      </c>
      <c r="O136" s="15" t="n">
        <f aca="false">SUMPRODUCT(E136:N136,1/(1+$F$130)^$E$3:$N$3)*$E$2</f>
        <v>26829.9615548229</v>
      </c>
      <c r="P136" s="15" t="n">
        <f aca="false">N136*$E$2*(1+$I$130)/($F$130-$I$130)/(1+$F$130)^$N$3</f>
        <v>52578.3604383443</v>
      </c>
      <c r="Q136" s="15" t="n">
        <f aca="false">O136+P136</f>
        <v>79408.3219931672</v>
      </c>
      <c r="R136" s="15" t="n">
        <f aca="false">Q136-$G$2+$I$2</f>
        <v>59948.3219931672</v>
      </c>
      <c r="S136" s="40" t="n">
        <f aca="false">R136/$K$2</f>
        <v>106.785518076858</v>
      </c>
      <c r="T136" s="41" t="n">
        <f aca="false">S136-$M$2</f>
        <v>-49.0241685937277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-0.078125</v>
      </c>
      <c r="C137" s="25" t="n">
        <f aca="false">IF(T136&gt;0,D136,C136)</f>
        <v>-0.03125</v>
      </c>
      <c r="D137" s="39" t="n">
        <f aca="false">(B137+C137)/2</f>
        <v>-0.0546875</v>
      </c>
      <c r="E137" s="15" t="n">
        <f aca="false">$C$2*(1+IF(E$3&lt;=$O$2,$D137,$D137-($D137-$I$130)*MIN(E$3-$O$2,$Q$2)/$Q$2))</f>
        <v>9982.5</v>
      </c>
      <c r="F137" s="15" t="n">
        <f aca="false">E137*(1+IF(F$3&lt;=$O$2,$D137,$D137-($D137-$I$130)*MIN(F$3-$O$2,$Q$2)/$Q$2))</f>
        <v>9436.58203125</v>
      </c>
      <c r="G137" s="15" t="n">
        <f aca="false">F137*(1+IF(G$3&lt;=$O$2,$D137,$D137-($D137-$I$130)*MIN(G$3-$O$2,$Q$2)/$Q$2))</f>
        <v>8920.51895141602</v>
      </c>
      <c r="H137" s="15" t="n">
        <f aca="false">G137*(1+IF(H$3&lt;=$O$2,$D137,$D137-($D137-$I$130)*MIN(H$3-$O$2,$Q$2)/$Q$2))</f>
        <v>8432.67807126045</v>
      </c>
      <c r="I137" s="15" t="n">
        <f aca="false">H137*(1+IF(I$3&lt;=$O$2,$D137,$D137-($D137-$I$130)*MIN(I$3-$O$2,$Q$2)/$Q$2))</f>
        <v>7971.5159892384</v>
      </c>
      <c r="J137" s="15" t="n">
        <f aca="false">I137*(1+IF(J$3&lt;=$O$2,$D137,$D137-($D137-$I$130)*MIN(J$3-$O$2,$Q$2)/$Q$2))</f>
        <v>7675.85246119754</v>
      </c>
      <c r="K137" s="15" t="n">
        <f aca="false">J137*(1+IF(K$3&lt;=$O$2,$D137,$D137-($D137-$I$130)*MIN(K$3-$O$2,$Q$2)/$Q$2))</f>
        <v>7526.23090709765</v>
      </c>
      <c r="L137" s="15" t="n">
        <f aca="false">K137*(1+IF(L$3&lt;=$O$2,$D137,$D137-($D137-$I$130)*MIN(L$3-$O$2,$Q$2)/$Q$2))</f>
        <v>7511.9686995287</v>
      </c>
      <c r="M137" s="15" t="n">
        <f aca="false">L137*(1+IF(M$3&lt;=$O$2,$D137,$D137-($D137-$I$130)*MIN(M$3-$O$2,$Q$2)/$Q$2))</f>
        <v>7629.92538803305</v>
      </c>
      <c r="N137" s="15" t="n">
        <f aca="false">M137*(1+IF(N$3&lt;=$O$2,$D137,$D137-($D137-$I$130)*MIN(N$3-$O$2,$Q$2)/$Q$2))</f>
        <v>7884.00190345455</v>
      </c>
      <c r="O137" s="15" t="n">
        <f aca="false">SUMPRODUCT(E137:N137,1/(1+$F$130)^$E$3:$N$3)*$E$2</f>
        <v>29757.676988204</v>
      </c>
      <c r="P137" s="15" t="n">
        <f aca="false">N137*$E$2*(1+$I$130)/($F$130-$I$130)/(1+$F$130)^$N$3</f>
        <v>62552.5721138809</v>
      </c>
      <c r="Q137" s="15" t="n">
        <f aca="false">O137+P137</f>
        <v>92310.2491020849</v>
      </c>
      <c r="R137" s="15" t="n">
        <f aca="false">Q137-$G$2+$I$2</f>
        <v>72850.2491020849</v>
      </c>
      <c r="S137" s="40" t="n">
        <f aca="false">R137/$K$2</f>
        <v>129.767628746656</v>
      </c>
      <c r="T137" s="41" t="n">
        <f aca="false">S137-$M$2</f>
        <v>-26.04205792393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-0.0546875</v>
      </c>
      <c r="C138" s="25" t="n">
        <f aca="false">IF(T137&gt;0,D137,C137)</f>
        <v>-0.03125</v>
      </c>
      <c r="D138" s="39" t="n">
        <f aca="false">(B138+C138)/2</f>
        <v>-0.04296875</v>
      </c>
      <c r="E138" s="15" t="n">
        <f aca="false">$C$2*(1+IF(E$3&lt;=$O$2,$D138,$D138-($D138-$I$130)*MIN(E$3-$O$2,$Q$2)/$Q$2))</f>
        <v>10106.25</v>
      </c>
      <c r="F138" s="15" t="n">
        <f aca="false">E138*(1+IF(F$3&lt;=$O$2,$D138,$D138-($D138-$I$130)*MIN(F$3-$O$2,$Q$2)/$Q$2))</f>
        <v>9671.9970703125</v>
      </c>
      <c r="G138" s="15" t="n">
        <f aca="false">F138*(1+IF(G$3&lt;=$O$2,$D138,$D138-($D138-$I$130)*MIN(G$3-$O$2,$Q$2)/$Q$2))</f>
        <v>9256.40344619751</v>
      </c>
      <c r="H138" s="15" t="n">
        <f aca="false">G138*(1+IF(H$3&lt;=$O$2,$D138,$D138-($D138-$I$130)*MIN(H$3-$O$2,$Q$2)/$Q$2))</f>
        <v>8858.66736061871</v>
      </c>
      <c r="I138" s="15" t="n">
        <f aca="false">H138*(1+IF(I$3&lt;=$O$2,$D138,$D138-($D138-$I$130)*MIN(I$3-$O$2,$Q$2)/$Q$2))</f>
        <v>8478.02149746713</v>
      </c>
      <c r="J138" s="15" t="n">
        <f aca="false">I138*(1+IF(J$3&lt;=$O$2,$D138,$D138-($D138-$I$130)*MIN(J$3-$O$2,$Q$2)/$Q$2))</f>
        <v>8243.05313166482</v>
      </c>
      <c r="K138" s="15" t="n">
        <f aca="false">J138*(1+IF(K$3&lt;=$O$2,$D138,$D138-($D138-$I$130)*MIN(K$3-$O$2,$Q$2)/$Q$2))</f>
        <v>8140.33438582787</v>
      </c>
      <c r="L138" s="15" t="n">
        <f aca="false">K138*(1+IF(L$3&lt;=$O$2,$D138,$D138-($D138-$I$130)*MIN(L$3-$O$2,$Q$2)/$Q$2))</f>
        <v>8163.06626960029</v>
      </c>
      <c r="M138" s="15" t="n">
        <f aca="false">L138*(1+IF(M$3&lt;=$O$2,$D138,$D138-($D138-$I$130)*MIN(M$3-$O$2,$Q$2)/$Q$2))</f>
        <v>8310.37900426806</v>
      </c>
      <c r="N138" s="15" t="n">
        <f aca="false">M138*(1+IF(N$3&lt;=$O$2,$D138,$D138-($D138-$I$130)*MIN(N$3-$O$2,$Q$2)/$Q$2))</f>
        <v>8587.11462511019</v>
      </c>
      <c r="O138" s="15" t="n">
        <f aca="false">SUMPRODUCT(E138:N138,1/(1+$F$130)^$E$3:$N$3)*$E$2</f>
        <v>31344.0002691276</v>
      </c>
      <c r="P138" s="15" t="n">
        <f aca="false">N138*$E$2*(1+$I$130)/($F$130-$I$130)/(1+$F$130)^$N$3</f>
        <v>68131.1488017277</v>
      </c>
      <c r="Q138" s="15" t="n">
        <f aca="false">O138+P138</f>
        <v>99475.1490708554</v>
      </c>
      <c r="R138" s="15" t="n">
        <f aca="false">Q138-$G$2+$I$2</f>
        <v>80015.1490708554</v>
      </c>
      <c r="S138" s="40" t="n">
        <f aca="false">R138/$K$2</f>
        <v>142.530413920546</v>
      </c>
      <c r="T138" s="41" t="n">
        <f aca="false">S138-$M$2</f>
        <v>-13.2792727500395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-0.04296875</v>
      </c>
      <c r="C139" s="25" t="n">
        <f aca="false">IF(T138&gt;0,D138,C138)</f>
        <v>-0.03125</v>
      </c>
      <c r="D139" s="39" t="n">
        <f aca="false">(B139+C139)/2</f>
        <v>-0.037109375</v>
      </c>
      <c r="E139" s="15" t="n">
        <f aca="false">$C$2*(1+IF(E$3&lt;=$O$2,$D139,$D139-($D139-$I$130)*MIN(E$3-$O$2,$Q$2)/$Q$2))</f>
        <v>10168.125</v>
      </c>
      <c r="F139" s="15" t="n">
        <f aca="false">E139*(1+IF(F$3&lt;=$O$2,$D139,$D139-($D139-$I$130)*MIN(F$3-$O$2,$Q$2)/$Q$2))</f>
        <v>9790.79223632813</v>
      </c>
      <c r="G139" s="15" t="n">
        <f aca="false">F139*(1+IF(G$3&lt;=$O$2,$D139,$D139-($D139-$I$130)*MIN(G$3-$O$2,$Q$2)/$Q$2))</f>
        <v>9427.46205568314</v>
      </c>
      <c r="H139" s="15" t="n">
        <f aca="false">G139*(1+IF(H$3&lt;=$O$2,$D139,$D139-($D139-$I$130)*MIN(H$3-$O$2,$Q$2)/$Q$2))</f>
        <v>9077.61483096052</v>
      </c>
      <c r="I139" s="15" t="n">
        <f aca="false">H139*(1+IF(I$3&lt;=$O$2,$D139,$D139-($D139-$I$130)*MIN(I$3-$O$2,$Q$2)/$Q$2))</f>
        <v>8740.75021809284</v>
      </c>
      <c r="J139" s="15" t="n">
        <f aca="false">I139*(1+IF(J$3&lt;=$O$2,$D139,$D139-($D139-$I$130)*MIN(J$3-$O$2,$Q$2)/$Q$2))</f>
        <v>8539.47259244571</v>
      </c>
      <c r="K139" s="15" t="n">
        <f aca="false">J139*(1+IF(K$3&lt;=$O$2,$D139,$D139-($D139-$I$130)*MIN(K$3-$O$2,$Q$2)/$Q$2))</f>
        <v>8463.08167293591</v>
      </c>
      <c r="L139" s="15" t="n">
        <f aca="false">K139*(1+IF(L$3&lt;=$O$2,$D139,$D139-($D139-$I$130)*MIN(L$3-$O$2,$Q$2)/$Q$2))</f>
        <v>8506.55017617853</v>
      </c>
      <c r="M139" s="15" t="n">
        <f aca="false">L139*(1+IF(M$3&lt;=$O$2,$D139,$D139-($D139-$I$130)*MIN(M$3-$O$2,$Q$2)/$Q$2))</f>
        <v>8670.0301207831</v>
      </c>
      <c r="N139" s="15" t="n">
        <f aca="false">M139*(1+IF(N$3&lt;=$O$2,$D139,$D139-($D139-$I$130)*MIN(N$3-$O$2,$Q$2)/$Q$2))</f>
        <v>8958.74212380518</v>
      </c>
      <c r="O139" s="15" t="n">
        <f aca="false">SUMPRODUCT(E139:N139,1/(1+$F$130)^$E$3:$N$3)*$E$2</f>
        <v>32169.6602740368</v>
      </c>
      <c r="P139" s="15" t="n">
        <f aca="false">N139*$E$2*(1+$I$130)/($F$130-$I$130)/(1+$F$130)^$N$3</f>
        <v>71079.6838472905</v>
      </c>
      <c r="Q139" s="15" t="n">
        <f aca="false">O139+P139</f>
        <v>103249.344121327</v>
      </c>
      <c r="R139" s="15" t="n">
        <f aca="false">Q139-$G$2+$I$2</f>
        <v>83789.3441213273</v>
      </c>
      <c r="S139" s="40" t="n">
        <f aca="false">R139/$K$2</f>
        <v>149.253360625104</v>
      </c>
      <c r="T139" s="41" t="n">
        <f aca="false">S139-$M$2</f>
        <v>-6.55632604548129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-0.037109375</v>
      </c>
      <c r="C140" s="25" t="n">
        <f aca="false">IF(T139&gt;0,D139,C139)</f>
        <v>-0.03125</v>
      </c>
      <c r="D140" s="39" t="n">
        <f aca="false">(B140+C140)/2</f>
        <v>-0.0341796875</v>
      </c>
      <c r="E140" s="15" t="n">
        <f aca="false">$C$2*(1+IF(E$3&lt;=$O$2,$D140,$D140-($D140-$I$130)*MIN(E$3-$O$2,$Q$2)/$Q$2))</f>
        <v>10199.0625</v>
      </c>
      <c r="F140" s="15" t="n">
        <f aca="false">E140*(1+IF(F$3&lt;=$O$2,$D140,$D140-($D140-$I$130)*MIN(F$3-$O$2,$Q$2)/$Q$2))</f>
        <v>9850.46173095703</v>
      </c>
      <c r="G140" s="15" t="n">
        <f aca="false">F140*(1+IF(G$3&lt;=$O$2,$D140,$D140-($D140-$I$130)*MIN(G$3-$O$2,$Q$2)/$Q$2))</f>
        <v>9513.77602726221</v>
      </c>
      <c r="H140" s="15" t="n">
        <f aca="false">G140*(1+IF(H$3&lt;=$O$2,$D140,$D140-($D140-$I$130)*MIN(H$3-$O$2,$Q$2)/$Q$2))</f>
        <v>9188.5981357054</v>
      </c>
      <c r="I140" s="15" t="n">
        <f aca="false">H140*(1+IF(I$3&lt;=$O$2,$D140,$D140-($D140-$I$130)*MIN(I$3-$O$2,$Q$2)/$Q$2))</f>
        <v>8874.5347228639</v>
      </c>
      <c r="J140" s="15" t="n">
        <f aca="false">I140*(1+IF(J$3&lt;=$O$2,$D140,$D140-($D140-$I$130)*MIN(J$3-$O$2,$Q$2)/$Q$2))</f>
        <v>8690.97606528987</v>
      </c>
      <c r="K140" s="15" t="n">
        <f aca="false">J140*(1+IF(K$3&lt;=$O$2,$D140,$D140-($D140-$I$130)*MIN(K$3-$O$2,$Q$2)/$Q$2))</f>
        <v>8628.50695889058</v>
      </c>
      <c r="L140" s="15" t="n">
        <f aca="false">K140*(1+IF(L$3&lt;=$O$2,$D140,$D140-($D140-$I$130)*MIN(L$3-$O$2,$Q$2)/$Q$2))</f>
        <v>8682.93665935063</v>
      </c>
      <c r="M140" s="15" t="n">
        <f aca="false">L140*(1+IF(M$3&lt;=$O$2,$D140,$D140-($D140-$I$130)*MIN(M$3-$O$2,$Q$2)/$Q$2))</f>
        <v>8854.89407963595</v>
      </c>
      <c r="N140" s="15" t="n">
        <f aca="false">M140*(1+IF(N$3&lt;=$O$2,$D140,$D140-($D140-$I$130)*MIN(N$3-$O$2,$Q$2)/$Q$2))</f>
        <v>9149.76205248783</v>
      </c>
      <c r="O140" s="15" t="n">
        <f aca="false">SUMPRODUCT(E140:N140,1/(1+$F$130)^$E$3:$N$3)*$E$2</f>
        <v>32590.8601781267</v>
      </c>
      <c r="P140" s="15" t="n">
        <f aca="false">N140*$E$2*(1+$I$130)/($F$130-$I$130)/(1+$F$130)^$N$3</f>
        <v>72595.2577918977</v>
      </c>
      <c r="Q140" s="15" t="n">
        <f aca="false">O140+P140</f>
        <v>105186.117970024</v>
      </c>
      <c r="R140" s="15" t="n">
        <f aca="false">Q140-$G$2+$I$2</f>
        <v>85726.1179700244</v>
      </c>
      <c r="S140" s="40" t="n">
        <f aca="false">R140/$K$2</f>
        <v>152.703322057793</v>
      </c>
      <c r="T140" s="41" t="n">
        <f aca="false">S140-$M$2</f>
        <v>-3.10636461279245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-0.0341796875</v>
      </c>
      <c r="C141" s="25" t="n">
        <f aca="false">IF(T140&gt;0,D140,C140)</f>
        <v>-0.03125</v>
      </c>
      <c r="D141" s="39" t="n">
        <f aca="false">(B141+C141)/2</f>
        <v>-0.03271484375</v>
      </c>
      <c r="E141" s="15" t="n">
        <f aca="false">$C$2*(1+IF(E$3&lt;=$O$2,$D141,$D141-($D141-$I$130)*MIN(E$3-$O$2,$Q$2)/$Q$2))</f>
        <v>10214.53125</v>
      </c>
      <c r="F141" s="15" t="n">
        <f aca="false">E141*(1+IF(F$3&lt;=$O$2,$D141,$D141-($D141-$I$130)*MIN(F$3-$O$2,$Q$2)/$Q$2))</f>
        <v>9880.36445617676</v>
      </c>
      <c r="G141" s="15" t="n">
        <f aca="false">F141*(1+IF(G$3&lt;=$O$2,$D141,$D141-($D141-$I$130)*MIN(G$3-$O$2,$Q$2)/$Q$2))</f>
        <v>9557.12987679988</v>
      </c>
      <c r="H141" s="15" t="n">
        <f aca="false">G141*(1+IF(H$3&lt;=$O$2,$D141,$D141-($D141-$I$130)*MIN(H$3-$O$2,$Q$2)/$Q$2))</f>
        <v>9244.46986618192</v>
      </c>
      <c r="I141" s="15" t="n">
        <f aca="false">H141*(1+IF(I$3&lt;=$O$2,$D141,$D141-($D141-$I$130)*MIN(I$3-$O$2,$Q$2)/$Q$2))</f>
        <v>8942.03847895819</v>
      </c>
      <c r="J141" s="15" t="n">
        <f aca="false">I141*(1+IF(J$3&lt;=$O$2,$D141,$D141-($D141-$I$130)*MIN(J$3-$O$2,$Q$2)/$Q$2))</f>
        <v>8767.56254191157</v>
      </c>
      <c r="K141" s="15" t="n">
        <f aca="false">J141*(1+IF(K$3&lt;=$O$2,$D141,$D141-($D141-$I$130)*MIN(K$3-$O$2,$Q$2)/$Q$2))</f>
        <v>8712.24881179364</v>
      </c>
      <c r="L141" s="15" t="n">
        <f aca="false">K141*(1+IF(L$3&lt;=$O$2,$D141,$D141-($D141-$I$130)*MIN(L$3-$O$2,$Q$2)/$Q$2))</f>
        <v>8772.31159961769</v>
      </c>
      <c r="M141" s="15" t="n">
        <f aca="false">L141*(1+IF(M$3&lt;=$O$2,$D141,$D141-($D141-$I$130)*MIN(M$3-$O$2,$Q$2)/$Q$2))</f>
        <v>8948.60901996995</v>
      </c>
      <c r="N141" s="15" t="n">
        <f aca="false">M141*(1+IF(N$3&lt;=$O$2,$D141,$D141-($D141-$I$130)*MIN(N$3-$O$2,$Q$2)/$Q$2))</f>
        <v>9246.59770033495</v>
      </c>
      <c r="O141" s="15" t="n">
        <f aca="false">SUMPRODUCT(E141:N141,1/(1+$F$130)^$E$3:$N$3)*$E$2</f>
        <v>32803.5839166184</v>
      </c>
      <c r="P141" s="15" t="n">
        <f aca="false">N141*$E$2*(1+$I$130)/($F$130-$I$130)/(1+$F$130)^$N$3</f>
        <v>73363.5628886402</v>
      </c>
      <c r="Q141" s="15" t="n">
        <f aca="false">O141+P141</f>
        <v>106167.146805259</v>
      </c>
      <c r="R141" s="15" t="n">
        <f aca="false">Q141-$G$2+$I$2</f>
        <v>86707.1468052585</v>
      </c>
      <c r="S141" s="40" t="n">
        <f aca="false">R141/$K$2</f>
        <v>154.450821719764</v>
      </c>
      <c r="T141" s="41" t="n">
        <f aca="false">S141-$M$2</f>
        <v>-1.3588649508211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-0.03271484375</v>
      </c>
      <c r="C142" s="25" t="n">
        <f aca="false">IF(T141&gt;0,D141,C141)</f>
        <v>-0.03125</v>
      </c>
      <c r="D142" s="39" t="n">
        <f aca="false">(B142+C142)/2</f>
        <v>-0.031982421875</v>
      </c>
      <c r="E142" s="15" t="n">
        <f aca="false">$C$2*(1+IF(E$3&lt;=$O$2,$D142,$D142-($D142-$I$130)*MIN(E$3-$O$2,$Q$2)/$Q$2))</f>
        <v>10222.265625</v>
      </c>
      <c r="F142" s="15" t="n">
        <f aca="false">E142*(1+IF(F$3&lt;=$O$2,$D142,$D142-($D142-$I$130)*MIN(F$3-$O$2,$Q$2)/$Q$2))</f>
        <v>9895.33281326294</v>
      </c>
      <c r="G142" s="15" t="n">
        <f aca="false">F142*(1+IF(G$3&lt;=$O$2,$D142,$D142-($D142-$I$130)*MIN(G$3-$O$2,$Q$2)/$Q$2))</f>
        <v>9578.85610463563</v>
      </c>
      <c r="H142" s="15" t="n">
        <f aca="false">G142*(1+IF(H$3&lt;=$O$2,$D142,$D142-($D142-$I$130)*MIN(H$3-$O$2,$Q$2)/$Q$2))</f>
        <v>9272.50108761726</v>
      </c>
      <c r="I142" s="15" t="n">
        <f aca="false">H142*(1+IF(I$3&lt;=$O$2,$D142,$D142-($D142-$I$130)*MIN(I$3-$O$2,$Q$2)/$Q$2))</f>
        <v>8975.94404599669</v>
      </c>
      <c r="J142" s="15" t="n">
        <f aca="false">I142*(1+IF(J$3&lt;=$O$2,$D142,$D142-($D142-$I$130)*MIN(J$3-$O$2,$Q$2)/$Q$2))</f>
        <v>8806.06588997866</v>
      </c>
      <c r="K142" s="15" t="n">
        <f aca="false">J142*(1+IF(K$3&lt;=$O$2,$D142,$D142-($D142-$I$130)*MIN(K$3-$O$2,$Q$2)/$Q$2))</f>
        <v>8754.37909902177</v>
      </c>
      <c r="L142" s="15" t="n">
        <f aca="false">K142*(1+IF(L$3&lt;=$O$2,$D142,$D142-($D142-$I$130)*MIN(L$3-$O$2,$Q$2)/$Q$2))</f>
        <v>8817.29709518078</v>
      </c>
      <c r="M142" s="15" t="n">
        <f aca="false">L142*(1+IF(M$3&lt;=$O$2,$D142,$D142-($D142-$I$130)*MIN(M$3-$O$2,$Q$2)/$Q$2))</f>
        <v>8995.79018669734</v>
      </c>
      <c r="N142" s="15" t="n">
        <f aca="false">M142*(1+IF(N$3&lt;=$O$2,$D142,$D142-($D142-$I$130)*MIN(N$3-$O$2,$Q$2)/$Q$2))</f>
        <v>9295.34999991436</v>
      </c>
      <c r="O142" s="15" t="n">
        <f aca="false">SUMPRODUCT(E142:N142,1/(1+$F$130)^$E$3:$N$3)*$E$2</f>
        <v>32910.4806873876</v>
      </c>
      <c r="P142" s="15" t="n">
        <f aca="false">N142*$E$2*(1+$I$130)/($F$130-$I$130)/(1+$F$130)^$N$3</f>
        <v>73750.36920509</v>
      </c>
      <c r="Q142" s="15" t="n">
        <f aca="false">O142+P142</f>
        <v>106660.849892478</v>
      </c>
      <c r="R142" s="15" t="n">
        <f aca="false">Q142-$G$2+$I$2</f>
        <v>87200.8498924776</v>
      </c>
      <c r="S142" s="40" t="n">
        <f aca="false">R142/$K$2</f>
        <v>155.330251505153</v>
      </c>
      <c r="T142" s="41" t="n">
        <f aca="false">S142-$M$2</f>
        <v>-0.47943516543296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-0.031982421875</v>
      </c>
      <c r="C143" s="25" t="n">
        <f aca="false">IF(T142&gt;0,D142,C142)</f>
        <v>-0.03125</v>
      </c>
      <c r="D143" s="39" t="n">
        <f aca="false">(B143+C143)/2</f>
        <v>-0.0316162109375</v>
      </c>
      <c r="E143" s="15" t="n">
        <f aca="false">$C$2*(1+IF(E$3&lt;=$O$2,$D143,$D143-($D143-$I$130)*MIN(E$3-$O$2,$Q$2)/$Q$2))</f>
        <v>10226.1328125</v>
      </c>
      <c r="F143" s="15" t="n">
        <f aca="false">E143*(1+IF(F$3&lt;=$O$2,$D143,$D143-($D143-$I$130)*MIN(F$3-$O$2,$Q$2)/$Q$2))</f>
        <v>9902.82124042511</v>
      </c>
      <c r="G143" s="15" t="n">
        <f aca="false">F143*(1+IF(G$3&lt;=$O$2,$D143,$D143-($D143-$I$130)*MIN(G$3-$O$2,$Q$2)/$Q$2))</f>
        <v>9589.73155521147</v>
      </c>
      <c r="H143" s="15" t="n">
        <f aca="false">G143*(1+IF(H$3&lt;=$O$2,$D143,$D143-($D143-$I$130)*MIN(H$3-$O$2,$Q$2)/$Q$2))</f>
        <v>9286.54057952791</v>
      </c>
      <c r="I143" s="15" t="n">
        <f aca="false">H143*(1+IF(I$3&lt;=$O$2,$D143,$D143-($D143-$I$130)*MIN(I$3-$O$2,$Q$2)/$Q$2))</f>
        <v>8992.9353536859</v>
      </c>
      <c r="J143" s="15" t="n">
        <f aca="false">I143*(1+IF(J$3&lt;=$O$2,$D143,$D143-($D143-$I$130)*MIN(J$3-$O$2,$Q$2)/$Q$2))</f>
        <v>8825.3702702699</v>
      </c>
      <c r="K143" s="15" t="n">
        <f aca="false">J143*(1+IF(K$3&lt;=$O$2,$D143,$D143-($D143-$I$130)*MIN(K$3-$O$2,$Q$2)/$Q$2))</f>
        <v>8775.50934143006</v>
      </c>
      <c r="L143" s="15" t="n">
        <f aca="false">K143*(1+IF(L$3&lt;=$O$2,$D143,$D143-($D143-$I$130)*MIN(L$3-$O$2,$Q$2)/$Q$2))</f>
        <v>8839.86467630277</v>
      </c>
      <c r="M143" s="15" t="n">
        <f aca="false">L143*(1+IF(M$3&lt;=$O$2,$D143,$D143-($D143-$I$130)*MIN(M$3-$O$2,$Q$2)/$Q$2))</f>
        <v>9019.46206602649</v>
      </c>
      <c r="N143" s="15" t="n">
        <f aca="false">M143*(1+IF(N$3&lt;=$O$2,$D143,$D143-($D143-$I$130)*MIN(N$3-$O$2,$Q$2)/$Q$2))</f>
        <v>9319.81015282517</v>
      </c>
      <c r="O143" s="15" t="n">
        <f aca="false">SUMPRODUCT(E143:N143,1/(1+$F$130)^$E$3:$N$3)*$E$2</f>
        <v>32964.0632950998</v>
      </c>
      <c r="P143" s="15" t="n">
        <f aca="false">N143*$E$2*(1+$I$130)/($F$130-$I$130)/(1+$F$130)^$N$3</f>
        <v>73944.438853678</v>
      </c>
      <c r="Q143" s="15" t="n">
        <f aca="false">O143+P143</f>
        <v>106908.502148778</v>
      </c>
      <c r="R143" s="15" t="n">
        <f aca="false">Q143-$G$2+$I$2</f>
        <v>87448.5021487777</v>
      </c>
      <c r="S143" s="40" t="n">
        <f aca="false">R143/$K$2</f>
        <v>155.771392701647</v>
      </c>
      <c r="T143" s="41" t="n">
        <f aca="false">S143-$M$2</f>
        <v>-0.0382939689382908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-0.0316162109375</v>
      </c>
      <c r="C144" s="25" t="n">
        <f aca="false">IF(T143&gt;0,D143,C143)</f>
        <v>-0.03125</v>
      </c>
      <c r="D144" s="39" t="n">
        <f aca="false">(B144+C144)/2</f>
        <v>-0.03143310546875</v>
      </c>
      <c r="E144" s="15" t="n">
        <f aca="false">$C$2*(1+IF(E$3&lt;=$O$2,$D144,$D144-($D144-$I$130)*MIN(E$3-$O$2,$Q$2)/$Q$2))</f>
        <v>10228.06640625</v>
      </c>
      <c r="F144" s="15" t="n">
        <f aca="false">E144*(1+IF(F$3&lt;=$O$2,$D144,$D144-($D144-$I$130)*MIN(F$3-$O$2,$Q$2)/$Q$2))</f>
        <v>9906.56651616097</v>
      </c>
      <c r="G144" s="15" t="n">
        <f aca="false">F144*(1+IF(G$3&lt;=$O$2,$D144,$D144-($D144-$I$130)*MIN(G$3-$O$2,$Q$2)/$Q$2))</f>
        <v>9595.17236602529</v>
      </c>
      <c r="H144" s="15" t="n">
        <f aca="false">G144*(1+IF(H$3&lt;=$O$2,$D144,$D144-($D144-$I$130)*MIN(H$3-$O$2,$Q$2)/$Q$2))</f>
        <v>9293.56630105318</v>
      </c>
      <c r="I144" s="15" t="n">
        <f aca="false">H144*(1+IF(I$3&lt;=$O$2,$D144,$D144-($D144-$I$130)*MIN(I$3-$O$2,$Q$2)/$Q$2))</f>
        <v>9001.44065133136</v>
      </c>
      <c r="J144" s="15" t="n">
        <f aca="false">I144*(1+IF(J$3&lt;=$O$2,$D144,$D144-($D144-$I$130)*MIN(J$3-$O$2,$Q$2)/$Q$2))</f>
        <v>8835.03565937803</v>
      </c>
      <c r="K144" s="15" t="n">
        <f aca="false">J144*(1+IF(K$3&lt;=$O$2,$D144,$D144-($D144-$I$130)*MIN(K$3-$O$2,$Q$2)/$Q$2))</f>
        <v>8786.09076974011</v>
      </c>
      <c r="L144" s="15" t="n">
        <f aca="false">K144*(1+IF(L$3&lt;=$O$2,$D144,$D144-($D144-$I$130)*MIN(L$3-$O$2,$Q$2)/$Q$2))</f>
        <v>8851.16721619021</v>
      </c>
      <c r="M144" s="15" t="n">
        <f aca="false">L144*(1+IF(M$3&lt;=$O$2,$D144,$D144-($D144-$I$130)*MIN(M$3-$O$2,$Q$2)/$Q$2))</f>
        <v>9031.31837630391</v>
      </c>
      <c r="N144" s="15" t="n">
        <f aca="false">M144*(1+IF(N$3&lt;=$O$2,$D144,$D144-($D144-$I$130)*MIN(N$3-$O$2,$Q$2)/$Q$2))</f>
        <v>9332.06127823483</v>
      </c>
      <c r="O144" s="15" t="n">
        <f aca="false">SUMPRODUCT(E144:N144,1/(1+$F$130)^$E$3:$N$3)*$E$2</f>
        <v>32990.8882168181</v>
      </c>
      <c r="P144" s="15" t="n">
        <f aca="false">N144*$E$2*(1+$I$130)/($F$130-$I$130)/(1+$F$130)^$N$3</f>
        <v>74041.6406827806</v>
      </c>
      <c r="Q144" s="15" t="n">
        <f aca="false">O144+P144</f>
        <v>107032.528899599</v>
      </c>
      <c r="R144" s="15" t="n">
        <f aca="false">Q144-$G$2+$I$2</f>
        <v>87572.5288995987</v>
      </c>
      <c r="S144" s="40" t="n">
        <f aca="false">R144/$K$2</f>
        <v>155.992320667626</v>
      </c>
      <c r="T144" s="41" t="n">
        <f aca="false">S144-$M$2</f>
        <v>0.182633997040682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-0.0316162109375</v>
      </c>
      <c r="C145" s="25" t="n">
        <f aca="false">IF(T144&gt;0,D144,C144)</f>
        <v>-0.03143310546875</v>
      </c>
      <c r="D145" s="39" t="n">
        <f aca="false">(B145+C145)/2</f>
        <v>-0.031524658203125</v>
      </c>
      <c r="E145" s="15" t="n">
        <f aca="false">$C$2*(1+IF(E$3&lt;=$O$2,$D145,$D145-($D145-$I$130)*MIN(E$3-$O$2,$Q$2)/$Q$2))</f>
        <v>10227.099609375</v>
      </c>
      <c r="F145" s="15" t="n">
        <f aca="false">E145*(1+IF(F$3&lt;=$O$2,$D145,$D145-($D145-$I$130)*MIN(F$3-$O$2,$Q$2)/$Q$2))</f>
        <v>9904.69378978014</v>
      </c>
      <c r="G145" s="15" t="n">
        <f aca="false">F145*(1+IF(G$3&lt;=$O$2,$D145,$D145-($D145-$I$130)*MIN(G$3-$O$2,$Q$2)/$Q$2))</f>
        <v>9592.45170345071</v>
      </c>
      <c r="H145" s="15" t="n">
        <f aca="false">G145*(1+IF(H$3&lt;=$O$2,$D145,$D145-($D145-$I$130)*MIN(H$3-$O$2,$Q$2)/$Q$2))</f>
        <v>9290.05294216944</v>
      </c>
      <c r="I145" s="15" t="n">
        <f aca="false">H145*(1+IF(I$3&lt;=$O$2,$D145,$D145-($D145-$I$130)*MIN(I$3-$O$2,$Q$2)/$Q$2))</f>
        <v>8997.18719847861</v>
      </c>
      <c r="J145" s="15" t="n">
        <f aca="false">I145*(1+IF(J$3&lt;=$O$2,$D145,$D145-($D145-$I$130)*MIN(J$3-$O$2,$Q$2)/$Q$2))</f>
        <v>8830.20186424322</v>
      </c>
      <c r="K145" s="15" t="n">
        <f aca="false">J145*(1+IF(K$3&lt;=$O$2,$D145,$D145-($D145-$I$130)*MIN(K$3-$O$2,$Q$2)/$Q$2))</f>
        <v>8780.79869569402</v>
      </c>
      <c r="L145" s="15" t="n">
        <f aca="false">K145*(1+IF(L$3&lt;=$O$2,$D145,$D145-($D145-$I$130)*MIN(L$3-$O$2,$Q$2)/$Q$2))</f>
        <v>8845.51438258111</v>
      </c>
      <c r="M145" s="15" t="n">
        <f aca="false">L145*(1+IF(M$3&lt;=$O$2,$D145,$D145-($D145-$I$130)*MIN(M$3-$O$2,$Q$2)/$Q$2))</f>
        <v>9025.38852222473</v>
      </c>
      <c r="N145" s="15" t="n">
        <f aca="false">M145*(1+IF(N$3&lt;=$O$2,$D145,$D145-($D145-$I$130)*MIN(N$3-$O$2,$Q$2)/$Q$2))</f>
        <v>9325.93396001482</v>
      </c>
      <c r="O145" s="15" t="n">
        <f aca="false">SUMPRODUCT(E145:N145,1/(1+$F$130)^$E$3:$N$3)*$E$2</f>
        <v>32977.4729526147</v>
      </c>
      <c r="P145" s="15" t="n">
        <f aca="false">N145*$E$2*(1+$I$130)/($F$130-$I$130)/(1+$F$130)^$N$3</f>
        <v>73993.0258397711</v>
      </c>
      <c r="Q145" s="15" t="n">
        <f aca="false">O145+P145</f>
        <v>106970.498792386</v>
      </c>
      <c r="R145" s="15" t="n">
        <f aca="false">Q145-$G$2+$I$2</f>
        <v>87510.4987923859</v>
      </c>
      <c r="S145" s="40" t="n">
        <f aca="false">R145/$K$2</f>
        <v>155.881826880397</v>
      </c>
      <c r="T145" s="41" t="n">
        <f aca="false">S145-$M$2</f>
        <v>0.0721402098111525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-0.0316162109375</v>
      </c>
      <c r="C146" s="25" t="n">
        <f aca="false">IF(T145&gt;0,D145,C145)</f>
        <v>-0.031524658203125</v>
      </c>
      <c r="D146" s="39" t="n">
        <f aca="false">(B146+C146)/2</f>
        <v>-0.0315704345703125</v>
      </c>
      <c r="E146" s="15" t="n">
        <f aca="false">$C$2*(1+IF(E$3&lt;=$O$2,$D146,$D146-($D146-$I$130)*MIN(E$3-$O$2,$Q$2)/$Q$2))</f>
        <v>10226.6162109375</v>
      </c>
      <c r="F146" s="15" t="n">
        <f aca="false">E146*(1+IF(F$3&lt;=$O$2,$D146,$D146-($D146-$I$130)*MIN(F$3-$O$2,$Q$2)/$Q$2))</f>
        <v>9903.7574929744</v>
      </c>
      <c r="G146" s="15" t="n">
        <f aca="false">F146*(1+IF(G$3&lt;=$O$2,$D146,$D146-($D146-$I$130)*MIN(G$3-$O$2,$Q$2)/$Q$2))</f>
        <v>9591.09156504221</v>
      </c>
      <c r="H146" s="15" t="n">
        <f aca="false">G146*(1+IF(H$3&lt;=$O$2,$D146,$D146-($D146-$I$130)*MIN(H$3-$O$2,$Q$2)/$Q$2))</f>
        <v>9288.29663633017</v>
      </c>
      <c r="I146" s="15" t="n">
        <f aca="false">H146*(1+IF(I$3&lt;=$O$2,$D146,$D146-($D146-$I$130)*MIN(I$3-$O$2,$Q$2)/$Q$2))</f>
        <v>8995.06107510326</v>
      </c>
      <c r="J146" s="15" t="n">
        <f aca="false">I146*(1+IF(J$3&lt;=$O$2,$D146,$D146-($D146-$I$130)*MIN(J$3-$O$2,$Q$2)/$Q$2))</f>
        <v>8827.78579216143</v>
      </c>
      <c r="K146" s="15" t="n">
        <f aca="false">J146*(1+IF(K$3&lt;=$O$2,$D146,$D146-($D146-$I$130)*MIN(K$3-$O$2,$Q$2)/$Q$2))</f>
        <v>8778.15367866172</v>
      </c>
      <c r="L146" s="15" t="n">
        <f aca="false">K146*(1+IF(L$3&lt;=$O$2,$D146,$D146-($D146-$I$130)*MIN(L$3-$O$2,$Q$2)/$Q$2))</f>
        <v>8842.68913861725</v>
      </c>
      <c r="M146" s="15" t="n">
        <f aca="false">L146*(1+IF(M$3&lt;=$O$2,$D146,$D146-($D146-$I$130)*MIN(M$3-$O$2,$Q$2)/$Q$2))</f>
        <v>9022.42486949475</v>
      </c>
      <c r="N146" s="15" t="n">
        <f aca="false">M146*(1+IF(N$3&lt;=$O$2,$D146,$D146-($D146-$I$130)*MIN(N$3-$O$2,$Q$2)/$Q$2))</f>
        <v>9322.87161764892</v>
      </c>
      <c r="O146" s="15" t="n">
        <f aca="false">SUMPRODUCT(E146:N146,1/(1+$F$130)^$E$3:$N$3)*$E$2</f>
        <v>32970.7674231604</v>
      </c>
      <c r="P146" s="15" t="n">
        <f aca="false">N146*$E$2*(1+$I$130)/($F$130-$I$130)/(1+$F$130)^$N$3</f>
        <v>73968.7288654647</v>
      </c>
      <c r="Q146" s="15" t="n">
        <f aca="false">O146+P146</f>
        <v>106939.496288625</v>
      </c>
      <c r="R146" s="15" t="n">
        <f aca="false">Q146-$G$2+$I$2</f>
        <v>87479.4962886252</v>
      </c>
      <c r="S146" s="40" t="n">
        <f aca="false">R146/$K$2</f>
        <v>155.826602341732</v>
      </c>
      <c r="T146" s="41" t="n">
        <f aca="false">S146-$M$2</f>
        <v>0.0169156711469043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-0.0316162109375</v>
      </c>
      <c r="C147" s="25" t="n">
        <f aca="false">IF(T146&gt;0,D146,C146)</f>
        <v>-0.0315704345703125</v>
      </c>
      <c r="D147" s="39" t="n">
        <f aca="false">(B147+C147)/2</f>
        <v>-0.0315933227539063</v>
      </c>
      <c r="E147" s="15" t="n">
        <f aca="false">$C$2*(1+IF(E$3&lt;=$O$2,$D147,$D147-($D147-$I$130)*MIN(E$3-$O$2,$Q$2)/$Q$2))</f>
        <v>10226.3745117188</v>
      </c>
      <c r="F147" s="15" t="n">
        <f aca="false">E147*(1+IF(F$3&lt;=$O$2,$D147,$D147-($D147-$I$130)*MIN(F$3-$O$2,$Q$2)/$Q$2))</f>
        <v>9903.2893611677</v>
      </c>
      <c r="G147" s="15" t="n">
        <f aca="false">F147*(1+IF(G$3&lt;=$O$2,$D147,$D147-($D147-$I$130)*MIN(G$3-$O$2,$Q$2)/$Q$2))</f>
        <v>9590.411544055</v>
      </c>
      <c r="H147" s="15" t="n">
        <f aca="false">G147*(1+IF(H$3&lt;=$O$2,$D147,$D147-($D147-$I$130)*MIN(H$3-$O$2,$Q$2)/$Q$2))</f>
        <v>9287.41857680088</v>
      </c>
      <c r="I147" s="15" t="n">
        <f aca="false">H147*(1+IF(I$3&lt;=$O$2,$D147,$D147-($D147-$I$130)*MIN(I$3-$O$2,$Q$2)/$Q$2))</f>
        <v>8993.99816415339</v>
      </c>
      <c r="J147" s="15" t="n">
        <f aca="false">I147*(1+IF(J$3&lt;=$O$2,$D147,$D147-($D147-$I$130)*MIN(J$3-$O$2,$Q$2)/$Q$2))</f>
        <v>8826.57796244814</v>
      </c>
      <c r="K147" s="15" t="n">
        <f aca="false">J147*(1+IF(K$3&lt;=$O$2,$D147,$D147-($D147-$I$130)*MIN(K$3-$O$2,$Q$2)/$Q$2))</f>
        <v>8776.83142507987</v>
      </c>
      <c r="L147" s="15" t="n">
        <f aca="false">K147*(1+IF(L$3&lt;=$O$2,$D147,$D147-($D147-$I$130)*MIN(L$3-$O$2,$Q$2)/$Q$2))</f>
        <v>8841.27680976529</v>
      </c>
      <c r="M147" s="15" t="n">
        <f aca="false">L147*(1+IF(M$3&lt;=$O$2,$D147,$D147-($D147-$I$130)*MIN(M$3-$O$2,$Q$2)/$Q$2))</f>
        <v>9020.94336161593</v>
      </c>
      <c r="N147" s="15" t="n">
        <f aca="false">M147*(1+IF(N$3&lt;=$O$2,$D147,$D147-($D147-$I$130)*MIN(N$3-$O$2,$Q$2)/$Q$2))</f>
        <v>9321.34077555774</v>
      </c>
      <c r="O147" s="15" t="n">
        <f aca="false">SUMPRODUCT(E147:N147,1/(1+$F$130)^$E$3:$N$3)*$E$2</f>
        <v>32967.4151839733</v>
      </c>
      <c r="P147" s="15" t="n">
        <f aca="false">N147*$E$2*(1+$I$130)/($F$130-$I$130)/(1+$F$130)^$N$3</f>
        <v>73956.5829893632</v>
      </c>
      <c r="Q147" s="15" t="n">
        <f aca="false">O147+P147</f>
        <v>106923.998173336</v>
      </c>
      <c r="R147" s="15" t="n">
        <f aca="false">Q147-$G$2+$I$2</f>
        <v>87463.9981733365</v>
      </c>
      <c r="S147" s="40" t="n">
        <f aca="false">R147/$K$2</f>
        <v>155.798995659589</v>
      </c>
      <c r="T147" s="41" t="n">
        <f aca="false">S147-$M$2</f>
        <v>-0.0106910109968226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-0.0315933227539063</v>
      </c>
      <c r="C148" s="25" t="n">
        <f aca="false">IF(T147&gt;0,D147,C147)</f>
        <v>-0.0315704345703125</v>
      </c>
      <c r="D148" s="39" t="n">
        <f aca="false">(B148+C148)/2</f>
        <v>-0.0315818786621094</v>
      </c>
      <c r="E148" s="15" t="n">
        <f aca="false">$C$2*(1+IF(E$3&lt;=$O$2,$D148,$D148-($D148-$I$130)*MIN(E$3-$O$2,$Q$2)/$Q$2))</f>
        <v>10226.4953613281</v>
      </c>
      <c r="F148" s="15" t="n">
        <f aca="false">E148*(1+IF(F$3&lt;=$O$2,$D148,$D148-($D148-$I$130)*MIN(F$3-$O$2,$Q$2)/$Q$2))</f>
        <v>9903.52342568804</v>
      </c>
      <c r="G148" s="15" t="n">
        <f aca="false">F148*(1+IF(G$3&lt;=$O$2,$D148,$D148-($D148-$I$130)*MIN(G$3-$O$2,$Q$2)/$Q$2))</f>
        <v>9590.7515505306</v>
      </c>
      <c r="H148" s="15" t="n">
        <f aca="false">G148*(1+IF(H$3&lt;=$O$2,$D148,$D148-($D148-$I$130)*MIN(H$3-$O$2,$Q$2)/$Q$2))</f>
        <v>9287.8575987833</v>
      </c>
      <c r="I148" s="15" t="n">
        <f aca="false">H148*(1+IF(I$3&lt;=$O$2,$D148,$D148-($D148-$I$130)*MIN(I$3-$O$2,$Q$2)/$Q$2))</f>
        <v>8994.52960706758</v>
      </c>
      <c r="J148" s="15" t="n">
        <f aca="false">I148*(1+IF(J$3&lt;=$O$2,$D148,$D148-($D148-$I$130)*MIN(J$3-$O$2,$Q$2)/$Q$2))</f>
        <v>8827.18186011212</v>
      </c>
      <c r="K148" s="15" t="n">
        <f aca="false">J148*(1+IF(K$3&lt;=$O$2,$D148,$D148-($D148-$I$130)*MIN(K$3-$O$2,$Q$2)/$Q$2))</f>
        <v>8777.49253062816</v>
      </c>
      <c r="L148" s="15" t="n">
        <f aca="false">K148*(1+IF(L$3&lt;=$O$2,$D148,$D148-($D148-$I$130)*MIN(L$3-$O$2,$Q$2)/$Q$2))</f>
        <v>8841.98294976616</v>
      </c>
      <c r="M148" s="15" t="n">
        <f aca="false">L148*(1+IF(M$3&lt;=$O$2,$D148,$D148-($D148-$I$130)*MIN(M$3-$O$2,$Q$2)/$Q$2))</f>
        <v>9021.68408901754</v>
      </c>
      <c r="N148" s="15" t="n">
        <f aca="false">M148*(1+IF(N$3&lt;=$O$2,$D148,$D148-($D148-$I$130)*MIN(N$3-$O$2,$Q$2)/$Q$2))</f>
        <v>9322.10616918182</v>
      </c>
      <c r="O148" s="15" t="n">
        <f aca="false">SUMPRODUCT(E148:N148,1/(1+$F$130)^$E$3:$N$3)*$E$2</f>
        <v>32969.0912597755</v>
      </c>
      <c r="P148" s="15" t="n">
        <f aca="false">N148*$E$2*(1+$I$130)/($F$130-$I$130)/(1+$F$130)^$N$3</f>
        <v>73962.6557098486</v>
      </c>
      <c r="Q148" s="15" t="n">
        <f aca="false">O148+P148</f>
        <v>106931.746969624</v>
      </c>
      <c r="R148" s="15" t="n">
        <f aca="false">Q148-$G$2+$I$2</f>
        <v>87471.746969624</v>
      </c>
      <c r="S148" s="40" t="n">
        <f aca="false">R148/$K$2</f>
        <v>155.812798535108</v>
      </c>
      <c r="T148" s="41" t="n">
        <f aca="false">S148-$M$2</f>
        <v>0.0031118645220829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-0.0315933227539063</v>
      </c>
      <c r="C149" s="25" t="n">
        <f aca="false">IF(T148&gt;0,D148,C148)</f>
        <v>-0.0315818786621094</v>
      </c>
      <c r="D149" s="39" t="n">
        <f aca="false">(B149+C149)/2</f>
        <v>-0.0315876007080078</v>
      </c>
      <c r="E149" s="15" t="n">
        <f aca="false">$C$2*(1+IF(E$3&lt;=$O$2,$D149,$D149-($D149-$I$130)*MIN(E$3-$O$2,$Q$2)/$Q$2))</f>
        <v>10226.4349365234</v>
      </c>
      <c r="F149" s="15" t="n">
        <f aca="false">E149*(1+IF(F$3&lt;=$O$2,$D149,$D149-($D149-$I$130)*MIN(F$3-$O$2,$Q$2)/$Q$2))</f>
        <v>9903.40639308211</v>
      </c>
      <c r="G149" s="15" t="n">
        <f aca="false">F149*(1+IF(G$3&lt;=$O$2,$D149,$D149-($D149-$I$130)*MIN(G$3-$O$2,$Q$2)/$Q$2))</f>
        <v>9590.5815462883</v>
      </c>
      <c r="H149" s="15" t="n">
        <f aca="false">G149*(1+IF(H$3&lt;=$O$2,$D149,$D149-($D149-$I$130)*MIN(H$3-$O$2,$Q$2)/$Q$2))</f>
        <v>9287.63808584656</v>
      </c>
      <c r="I149" s="15" t="n">
        <f aca="false">H149*(1+IF(I$3&lt;=$O$2,$D149,$D149-($D149-$I$130)*MIN(I$3-$O$2,$Q$2)/$Q$2))</f>
        <v>8994.26388247035</v>
      </c>
      <c r="J149" s="15" t="n">
        <f aca="false">I149*(1+IF(J$3&lt;=$O$2,$D149,$D149-($D149-$I$130)*MIN(J$3-$O$2,$Q$2)/$Q$2))</f>
        <v>8826.87990698206</v>
      </c>
      <c r="K149" s="15" t="n">
        <f aca="false">J149*(1+IF(K$3&lt;=$O$2,$D149,$D149-($D149-$I$130)*MIN(K$3-$O$2,$Q$2)/$Q$2))</f>
        <v>8777.16197254349</v>
      </c>
      <c r="L149" s="15" t="n">
        <f aca="false">K149*(1+IF(L$3&lt;=$O$2,$D149,$D149-($D149-$I$130)*MIN(L$3-$O$2,$Q$2)/$Q$2))</f>
        <v>8841.62987365963</v>
      </c>
      <c r="M149" s="15" t="n">
        <f aca="false">L149*(1+IF(M$3&lt;=$O$2,$D149,$D149-($D149-$I$130)*MIN(M$3-$O$2,$Q$2)/$Q$2))</f>
        <v>9021.31371868249</v>
      </c>
      <c r="N149" s="15" t="n">
        <f aca="false">M149*(1+IF(N$3&lt;=$O$2,$D149,$D149-($D149-$I$130)*MIN(N$3-$O$2,$Q$2)/$Q$2))</f>
        <v>9321.72346551462</v>
      </c>
      <c r="O149" s="15" t="n">
        <f aca="false">SUMPRODUCT(E149:N149,1/(1+$F$130)^$E$3:$N$3)*$E$2</f>
        <v>32968.2532109268</v>
      </c>
      <c r="P149" s="15" t="n">
        <f aca="false">N149*$E$2*(1+$I$130)/($F$130-$I$130)/(1+$F$130)^$N$3</f>
        <v>73959.6192952162</v>
      </c>
      <c r="Q149" s="15" t="n">
        <f aca="false">O149+P149</f>
        <v>106927.872506143</v>
      </c>
      <c r="R149" s="15" t="n">
        <f aca="false">Q149-$G$2+$I$2</f>
        <v>87467.872506143</v>
      </c>
      <c r="S149" s="40" t="n">
        <f aca="false">R149/$K$2</f>
        <v>155.805896980963</v>
      </c>
      <c r="T149" s="41" t="n">
        <f aca="false">S149-$M$2</f>
        <v>-0.00378968962212412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-0.0315876007080078</v>
      </c>
      <c r="C150" s="25" t="n">
        <f aca="false">IF(T149&gt;0,D149,C149)</f>
        <v>-0.0315818786621094</v>
      </c>
      <c r="D150" s="39" t="n">
        <f aca="false">(B150+C150)/2</f>
        <v>-0.0315847396850586</v>
      </c>
      <c r="E150" s="15" t="n">
        <f aca="false">$C$2*(1+IF(E$3&lt;=$O$2,$D150,$D150-($D150-$I$130)*MIN(E$3-$O$2,$Q$2)/$Q$2))</f>
        <v>10226.4651489258</v>
      </c>
      <c r="F150" s="15" t="n">
        <f aca="false">E150*(1+IF(F$3&lt;=$O$2,$D150,$D150-($D150-$I$130)*MIN(F$3-$O$2,$Q$2)/$Q$2))</f>
        <v>9903.46490929864</v>
      </c>
      <c r="G150" s="15" t="n">
        <f aca="false">F150*(1+IF(G$3&lt;=$O$2,$D150,$D150-($D150-$I$130)*MIN(G$3-$O$2,$Q$2)/$Q$2))</f>
        <v>9590.66654815833</v>
      </c>
      <c r="H150" s="15" t="n">
        <f aca="false">G150*(1+IF(H$3&lt;=$O$2,$D150,$D150-($D150-$I$130)*MIN(H$3-$O$2,$Q$2)/$Q$2))</f>
        <v>9287.74784182855</v>
      </c>
      <c r="I150" s="15" t="n">
        <f aca="false">H150*(1+IF(I$3&lt;=$O$2,$D150,$D150-($D150-$I$130)*MIN(I$3-$O$2,$Q$2)/$Q$2))</f>
        <v>8994.39674398393</v>
      </c>
      <c r="J150" s="15" t="n">
        <f aca="false">I150*(1+IF(J$3&lt;=$O$2,$D150,$D150-($D150-$I$130)*MIN(J$3-$O$2,$Q$2)/$Q$2))</f>
        <v>8827.03088247256</v>
      </c>
      <c r="K150" s="15" t="n">
        <f aca="false">J150*(1+IF(K$3&lt;=$O$2,$D150,$D150-($D150-$I$130)*MIN(K$3-$O$2,$Q$2)/$Q$2))</f>
        <v>8777.32725025818</v>
      </c>
      <c r="L150" s="15" t="n">
        <f aca="false">K150*(1+IF(L$3&lt;=$O$2,$D150,$D150-($D150-$I$130)*MIN(L$3-$O$2,$Q$2)/$Q$2))</f>
        <v>8841.80641018635</v>
      </c>
      <c r="M150" s="15" t="n">
        <f aca="false">L150*(1+IF(M$3&lt;=$O$2,$D150,$D150-($D150-$I$130)*MIN(M$3-$O$2,$Q$2)/$Q$2))</f>
        <v>9021.49890219143</v>
      </c>
      <c r="N150" s="15" t="n">
        <f aca="false">M150*(1+IF(N$3&lt;=$O$2,$D150,$D150-($D150-$I$130)*MIN(N$3-$O$2,$Q$2)/$Q$2))</f>
        <v>9321.9148156344</v>
      </c>
      <c r="O150" s="15" t="n">
        <f aca="false">SUMPRODUCT(E150:N150,1/(1+$F$130)^$E$3:$N$3)*$E$2</f>
        <v>32968.6722326142</v>
      </c>
      <c r="P150" s="15" t="n">
        <f aca="false">N150*$E$2*(1+$I$130)/($F$130-$I$130)/(1+$F$130)^$N$3</f>
        <v>73961.1374889348</v>
      </c>
      <c r="Q150" s="15" t="n">
        <f aca="false">O150+P150</f>
        <v>106929.809721549</v>
      </c>
      <c r="R150" s="15" t="n">
        <f aca="false">Q150-$G$2+$I$2</f>
        <v>87469.809721549</v>
      </c>
      <c r="S150" s="40" t="n">
        <f aca="false">R150/$K$2</f>
        <v>155.809347728939</v>
      </c>
      <c r="T150" s="41" t="n">
        <f aca="false">S150-$M$2</f>
        <v>-0.000338941646646163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-0.0315847396850586</v>
      </c>
      <c r="C151" s="25" t="n">
        <f aca="false">IF(T150&gt;0,D150,C150)</f>
        <v>-0.0315818786621094</v>
      </c>
      <c r="D151" s="39" t="n">
        <f aca="false">(B151+C151)/2</f>
        <v>-0.031583309173584</v>
      </c>
      <c r="E151" s="15" t="n">
        <f aca="false">$C$2*(1+IF(E$3&lt;=$O$2,$D151,$D151-($D151-$I$130)*MIN(E$3-$O$2,$Q$2)/$Q$2))</f>
        <v>10226.480255127</v>
      </c>
      <c r="F151" s="15" t="n">
        <f aca="false">E151*(1+IF(F$3&lt;=$O$2,$D151,$D151-($D151-$I$130)*MIN(F$3-$O$2,$Q$2)/$Q$2))</f>
        <v>9903.49416747173</v>
      </c>
      <c r="G151" s="15" t="n">
        <f aca="false">F151*(1+IF(G$3&lt;=$O$2,$D151,$D151-($D151-$I$130)*MIN(G$3-$O$2,$Q$2)/$Q$2))</f>
        <v>9590.70904928168</v>
      </c>
      <c r="H151" s="15" t="n">
        <f aca="false">G151*(1+IF(H$3&lt;=$O$2,$D151,$D151-($D151-$I$130)*MIN(H$3-$O$2,$Q$2)/$Q$2))</f>
        <v>9287.80272018433</v>
      </c>
      <c r="I151" s="15" t="n">
        <f aca="false">H151*(1+IF(I$3&lt;=$O$2,$D151,$D151-($D151-$I$130)*MIN(I$3-$O$2,$Q$2)/$Q$2))</f>
        <v>8994.46317532949</v>
      </c>
      <c r="J151" s="15" t="n">
        <f aca="false">I151*(1+IF(J$3&lt;=$O$2,$D151,$D151-($D151-$I$130)*MIN(J$3-$O$2,$Q$2)/$Q$2))</f>
        <v>8827.10637102371</v>
      </c>
      <c r="K151" s="15" t="n">
        <f aca="false">J151*(1+IF(K$3&lt;=$O$2,$D151,$D151-($D151-$I$130)*MIN(K$3-$O$2,$Q$2)/$Q$2))</f>
        <v>8777.40989011125</v>
      </c>
      <c r="L151" s="15" t="n">
        <f aca="false">K151*(1+IF(L$3&lt;=$O$2,$D151,$D151-($D151-$I$130)*MIN(L$3-$O$2,$Q$2)/$Q$2))</f>
        <v>8841.89467959461</v>
      </c>
      <c r="M151" s="15" t="n">
        <f aca="false">L151*(1+IF(M$3&lt;=$O$2,$D151,$D151-($D151-$I$130)*MIN(M$3-$O$2,$Q$2)/$Q$2))</f>
        <v>9021.59149518983</v>
      </c>
      <c r="N151" s="15" t="n">
        <f aca="false">M151*(1+IF(N$3&lt;=$O$2,$D151,$D151-($D151-$I$130)*MIN(N$3-$O$2,$Q$2)/$Q$2))</f>
        <v>9322.01049197965</v>
      </c>
      <c r="O151" s="15" t="n">
        <f aca="false">SUMPRODUCT(E151:N151,1/(1+$F$130)^$E$3:$N$3)*$E$2</f>
        <v>32968.8817455106</v>
      </c>
      <c r="P151" s="15" t="n">
        <f aca="false">N151*$E$2*(1+$I$130)/($F$130-$I$130)/(1+$F$130)^$N$3</f>
        <v>73961.8965959922</v>
      </c>
      <c r="Q151" s="15" t="n">
        <f aca="false">O151+P151</f>
        <v>106930.778341503</v>
      </c>
      <c r="R151" s="15" t="n">
        <f aca="false">Q151-$G$2+$I$2</f>
        <v>87470.7783415028</v>
      </c>
      <c r="S151" s="40" t="n">
        <f aca="false">R151/$K$2</f>
        <v>155.811073124749</v>
      </c>
      <c r="T151" s="41" t="n">
        <f aca="false">S151-$M$2</f>
        <v>0.00138645416348027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-0.0315847396850586</v>
      </c>
      <c r="C152" s="25" t="n">
        <f aca="false">IF(T151&gt;0,D151,C151)</f>
        <v>-0.031583309173584</v>
      </c>
      <c r="D152" s="39" t="n">
        <f aca="false">(B152+C152)/2</f>
        <v>-0.0315840244293213</v>
      </c>
      <c r="E152" s="15" t="n">
        <f aca="false">$C$2*(1+IF(E$3&lt;=$O$2,$D152,$D152-($D152-$I$130)*MIN(E$3-$O$2,$Q$2)/$Q$2))</f>
        <v>10226.4727020264</v>
      </c>
      <c r="F152" s="15" t="n">
        <f aca="false">E152*(1+IF(F$3&lt;=$O$2,$D152,$D152-($D152-$I$130)*MIN(F$3-$O$2,$Q$2)/$Q$2))</f>
        <v>9903.47953837978</v>
      </c>
      <c r="G152" s="15" t="n">
        <f aca="false">F152*(1+IF(G$3&lt;=$O$2,$D152,$D152-($D152-$I$130)*MIN(G$3-$O$2,$Q$2)/$Q$2))</f>
        <v>9590.68779870431</v>
      </c>
      <c r="H152" s="15" t="n">
        <f aca="false">G152*(1+IF(H$3&lt;=$O$2,$D152,$D152-($D152-$I$130)*MIN(H$3-$O$2,$Q$2)/$Q$2))</f>
        <v>9287.77528097604</v>
      </c>
      <c r="I152" s="15" t="n">
        <f aca="false">H152*(1+IF(I$3&lt;=$O$2,$D152,$D152-($D152-$I$130)*MIN(I$3-$O$2,$Q$2)/$Q$2))</f>
        <v>8994.42995960764</v>
      </c>
      <c r="J152" s="15" t="n">
        <f aca="false">I152*(1+IF(J$3&lt;=$O$2,$D152,$D152-($D152-$I$130)*MIN(J$3-$O$2,$Q$2)/$Q$2))</f>
        <v>8827.06862668098</v>
      </c>
      <c r="K152" s="15" t="n">
        <f aca="false">J152*(1+IF(K$3&lt;=$O$2,$D152,$D152-($D152-$I$130)*MIN(K$3-$O$2,$Q$2)/$Q$2))</f>
        <v>8777.36857010174</v>
      </c>
      <c r="L152" s="15" t="n">
        <f aca="false">K152*(1+IF(L$3&lt;=$O$2,$D152,$D152-($D152-$I$130)*MIN(L$3-$O$2,$Q$2)/$Q$2))</f>
        <v>8841.85054479507</v>
      </c>
      <c r="M152" s="15" t="n">
        <f aca="false">L152*(1+IF(M$3&lt;=$O$2,$D152,$D152-($D152-$I$130)*MIN(M$3-$O$2,$Q$2)/$Q$2))</f>
        <v>9021.54519858697</v>
      </c>
      <c r="N152" s="15" t="n">
        <f aca="false">M152*(1+IF(N$3&lt;=$O$2,$D152,$D152-($D152-$I$130)*MIN(N$3-$O$2,$Q$2)/$Q$2))</f>
        <v>9321.96265369991</v>
      </c>
      <c r="O152" s="15" t="n">
        <f aca="false">SUMPRODUCT(E152:N152,1/(1+$F$130)^$E$3:$N$3)*$E$2</f>
        <v>32968.7769888914</v>
      </c>
      <c r="P152" s="15" t="n">
        <f aca="false">N152*$E$2*(1+$I$130)/($F$130-$I$130)/(1+$F$130)^$N$3</f>
        <v>73961.5170416136</v>
      </c>
      <c r="Q152" s="15" t="n">
        <f aca="false">O152+P152</f>
        <v>106930.294030505</v>
      </c>
      <c r="R152" s="15" t="n">
        <f aca="false">Q152-$G$2+$I$2</f>
        <v>87470.294030505</v>
      </c>
      <c r="S152" s="40" t="n">
        <f aca="false">R152/$K$2</f>
        <v>155.810210425025</v>
      </c>
      <c r="T152" s="41" t="n">
        <f aca="false">S152-$M$2</f>
        <v>0.000523754439882396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-0.0315847396850586</v>
      </c>
      <c r="C153" s="25" t="n">
        <f aca="false">IF(T152&gt;0,D152,C152)</f>
        <v>-0.0315840244293213</v>
      </c>
      <c r="D153" s="39" t="n">
        <f aca="false">(B153+C153)/2</f>
        <v>-0.0315843820571899</v>
      </c>
      <c r="E153" s="15" t="n">
        <f aca="false">$C$2*(1+IF(E$3&lt;=$O$2,$D153,$D153-($D153-$I$130)*MIN(E$3-$O$2,$Q$2)/$Q$2))</f>
        <v>10226.4689254761</v>
      </c>
      <c r="F153" s="15" t="n">
        <f aca="false">E153*(1+IF(F$3&lt;=$O$2,$D153,$D153-($D153-$I$130)*MIN(F$3-$O$2,$Q$2)/$Q$2))</f>
        <v>9903.47222383786</v>
      </c>
      <c r="G153" s="15" t="n">
        <f aca="false">F153*(1+IF(G$3&lt;=$O$2,$D153,$D153-($D153-$I$130)*MIN(G$3-$O$2,$Q$2)/$Q$2))</f>
        <v>9590.67717342739</v>
      </c>
      <c r="H153" s="15" t="n">
        <f aca="false">G153*(1+IF(H$3&lt;=$O$2,$D153,$D153-($D153-$I$130)*MIN(H$3-$O$2,$Q$2)/$Q$2))</f>
        <v>9287.76156139469</v>
      </c>
      <c r="I153" s="15" t="n">
        <f aca="false">H153*(1+IF(I$3&lt;=$O$2,$D153,$D153-($D153-$I$130)*MIN(I$3-$O$2,$Q$2)/$Q$2))</f>
        <v>8994.41335178352</v>
      </c>
      <c r="J153" s="15" t="n">
        <f aca="false">I153*(1+IF(J$3&lt;=$O$2,$D153,$D153-($D153-$I$130)*MIN(J$3-$O$2,$Q$2)/$Q$2))</f>
        <v>8827.04975455998</v>
      </c>
      <c r="K153" s="15" t="n">
        <f aca="false">J153*(1+IF(K$3&lt;=$O$2,$D153,$D153-($D153-$I$130)*MIN(K$3-$O$2,$Q$2)/$Q$2))</f>
        <v>8777.34791015921</v>
      </c>
      <c r="L153" s="15" t="n">
        <f aca="false">K153*(1+IF(L$3&lt;=$O$2,$D153,$D153-($D153-$I$130)*MIN(L$3-$O$2,$Q$2)/$Q$2))</f>
        <v>8841.82847746685</v>
      </c>
      <c r="M153" s="15" t="n">
        <f aca="false">L153*(1+IF(M$3&lt;=$O$2,$D153,$D153-($D153-$I$130)*MIN(M$3-$O$2,$Q$2)/$Q$2))</f>
        <v>9021.52205036328</v>
      </c>
      <c r="N153" s="15" t="n">
        <f aca="false">M153*(1+IF(N$3&lt;=$O$2,$D153,$D153-($D153-$I$130)*MIN(N$3-$O$2,$Q$2)/$Q$2))</f>
        <v>9321.93873464038</v>
      </c>
      <c r="O153" s="15" t="n">
        <f aca="false">SUMPRODUCT(E153:N153,1/(1+$F$130)^$E$3:$N$3)*$E$2</f>
        <v>32968.72461071</v>
      </c>
      <c r="P153" s="15" t="n">
        <f aca="false">N153*$E$2*(1+$I$130)/($F$130-$I$130)/(1+$F$130)^$N$3</f>
        <v>73961.3272650617</v>
      </c>
      <c r="Q153" s="15" t="n">
        <f aca="false">O153+P153</f>
        <v>106930.051875772</v>
      </c>
      <c r="R153" s="15" t="n">
        <f aca="false">Q153-$G$2+$I$2</f>
        <v>87470.0518757718</v>
      </c>
      <c r="S153" s="40" t="n">
        <f aca="false">R153/$K$2</f>
        <v>155.809779076528</v>
      </c>
      <c r="T153" s="41" t="n">
        <f aca="false">S153-$M$2</f>
        <v>9.24059419844525E-005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-0.0315847396850586</v>
      </c>
      <c r="C154" s="25" t="n">
        <f aca="false">IF(T153&gt;0,D153,C153)</f>
        <v>-0.0315843820571899</v>
      </c>
      <c r="D154" s="39" t="n">
        <f aca="false">(B154+C154)/2</f>
        <v>-0.0315845608711243</v>
      </c>
      <c r="E154" s="15" t="n">
        <f aca="false">$C$2*(1+IF(E$3&lt;=$O$2,$D154,$D154-($D154-$I$130)*MIN(E$3-$O$2,$Q$2)/$Q$2))</f>
        <v>10226.4670372009</v>
      </c>
      <c r="F154" s="15" t="n">
        <f aca="false">E154*(1+IF(F$3&lt;=$O$2,$D154,$D154-($D154-$I$130)*MIN(F$3-$O$2,$Q$2)/$Q$2))</f>
        <v>9903.46856656791</v>
      </c>
      <c r="G154" s="15" t="n">
        <f aca="false">F154*(1+IF(G$3&lt;=$O$2,$D154,$D154-($D154-$I$130)*MIN(G$3-$O$2,$Q$2)/$Q$2))</f>
        <v>9590.67186079188</v>
      </c>
      <c r="H154" s="15" t="n">
        <f aca="false">G154*(1+IF(H$3&lt;=$O$2,$D154,$D154-($D154-$I$130)*MIN(H$3-$O$2,$Q$2)/$Q$2))</f>
        <v>9287.75470160972</v>
      </c>
      <c r="I154" s="15" t="n">
        <f aca="false">H154*(1+IF(I$3&lt;=$O$2,$D154,$D154-($D154-$I$130)*MIN(I$3-$O$2,$Q$2)/$Q$2))</f>
        <v>8994.40504788066</v>
      </c>
      <c r="J154" s="15" t="n">
        <f aca="false">I154*(1+IF(J$3&lt;=$O$2,$D154,$D154-($D154-$I$130)*MIN(J$3-$O$2,$Q$2)/$Q$2))</f>
        <v>8827.04031851207</v>
      </c>
      <c r="K154" s="15" t="n">
        <f aca="false">J154*(1+IF(K$3&lt;=$O$2,$D154,$D154-($D154-$I$130)*MIN(K$3-$O$2,$Q$2)/$Q$2))</f>
        <v>8777.33758020351</v>
      </c>
      <c r="L154" s="15" t="n">
        <f aca="false">K154*(1+IF(L$3&lt;=$O$2,$D154,$D154-($D154-$I$130)*MIN(L$3-$O$2,$Q$2)/$Q$2))</f>
        <v>8841.81744382064</v>
      </c>
      <c r="M154" s="15" t="n">
        <f aca="false">L154*(1+IF(M$3&lt;=$O$2,$D154,$D154-($D154-$I$130)*MIN(M$3-$O$2,$Q$2)/$Q$2))</f>
        <v>9021.51047627087</v>
      </c>
      <c r="N154" s="15" t="n">
        <f aca="false">M154*(1+IF(N$3&lt;=$O$2,$D154,$D154-($D154-$I$130)*MIN(N$3-$O$2,$Q$2)/$Q$2))</f>
        <v>9321.9267751307</v>
      </c>
      <c r="O154" s="15" t="n">
        <f aca="false">SUMPRODUCT(E154:N154,1/(1+$F$130)^$E$3:$N$3)*$E$2</f>
        <v>32968.6984216514</v>
      </c>
      <c r="P154" s="15" t="n">
        <f aca="false">N154*$E$2*(1+$I$130)/($F$130-$I$130)/(1+$F$130)^$N$3</f>
        <v>73961.2323769452</v>
      </c>
      <c r="Q154" s="15" t="n">
        <f aca="false">O154+P154</f>
        <v>106929.930798597</v>
      </c>
      <c r="R154" s="15" t="n">
        <f aca="false">Q154-$G$2+$I$2</f>
        <v>87469.9307985966</v>
      </c>
      <c r="S154" s="40" t="n">
        <f aca="false">R154/$K$2</f>
        <v>155.80956340262</v>
      </c>
      <c r="T154" s="41" t="n">
        <f aca="false">S154-$M$2</f>
        <v>-0.000123267965960849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-0.0315845608711243</v>
      </c>
      <c r="C155" s="25" t="n">
        <f aca="false">IF(T154&gt;0,D154,C154)</f>
        <v>-0.0315843820571899</v>
      </c>
      <c r="D155" s="39" t="n">
        <f aca="false">(B155+C155)/2</f>
        <v>-0.0315844714641571</v>
      </c>
      <c r="E155" s="15" t="n">
        <f aca="false">$C$2*(1+IF(E$3&lt;=$O$2,$D155,$D155-($D155-$I$130)*MIN(E$3-$O$2,$Q$2)/$Q$2))</f>
        <v>10226.4679813385</v>
      </c>
      <c r="F155" s="15" t="n">
        <f aca="false">E155*(1+IF(F$3&lt;=$O$2,$D155,$D155-($D155-$I$130)*MIN(F$3-$O$2,$Q$2)/$Q$2))</f>
        <v>9903.4703952028</v>
      </c>
      <c r="G155" s="15" t="n">
        <f aca="false">F155*(1+IF(G$3&lt;=$O$2,$D155,$D155-($D155-$I$130)*MIN(G$3-$O$2,$Q$2)/$Q$2))</f>
        <v>9590.67451710939</v>
      </c>
      <c r="H155" s="15" t="n">
        <f aca="false">G155*(1+IF(H$3&lt;=$O$2,$D155,$D155-($D155-$I$130)*MIN(H$3-$O$2,$Q$2)/$Q$2))</f>
        <v>9287.75813150173</v>
      </c>
      <c r="I155" s="15" t="n">
        <f aca="false">H155*(1+IF(I$3&lt;=$O$2,$D155,$D155-($D155-$I$130)*MIN(I$3-$O$2,$Q$2)/$Q$2))</f>
        <v>8994.40919983132</v>
      </c>
      <c r="J155" s="15" t="n">
        <f aca="false">I155*(1+IF(J$3&lt;=$O$2,$D155,$D155-($D155-$I$130)*MIN(J$3-$O$2,$Q$2)/$Q$2))</f>
        <v>8827.04503653498</v>
      </c>
      <c r="K155" s="15" t="n">
        <f aca="false">J155*(1+IF(K$3&lt;=$O$2,$D155,$D155-($D155-$I$130)*MIN(K$3-$O$2,$Q$2)/$Q$2))</f>
        <v>8777.34274518006</v>
      </c>
      <c r="L155" s="15" t="n">
        <f aca="false">K155*(1+IF(L$3&lt;=$O$2,$D155,$D155-($D155-$I$130)*MIN(L$3-$O$2,$Q$2)/$Q$2))</f>
        <v>8841.82296064226</v>
      </c>
      <c r="M155" s="15" t="n">
        <f aca="false">L155*(1+IF(M$3&lt;=$O$2,$D155,$D155-($D155-$I$130)*MIN(M$3-$O$2,$Q$2)/$Q$2))</f>
        <v>9021.51626331546</v>
      </c>
      <c r="N155" s="15" t="n">
        <f aca="false">M155*(1+IF(N$3&lt;=$O$2,$D155,$D155-($D155-$I$130)*MIN(N$3-$O$2,$Q$2)/$Q$2))</f>
        <v>9321.93275488387</v>
      </c>
      <c r="O155" s="15" t="n">
        <f aca="false">SUMPRODUCT(E155:N155,1/(1+$F$130)^$E$3:$N$3)*$E$2</f>
        <v>32968.7115161781</v>
      </c>
      <c r="P155" s="15" t="n">
        <f aca="false">N155*$E$2*(1+$I$130)/($F$130-$I$130)/(1+$F$130)^$N$3</f>
        <v>73961.2798209902</v>
      </c>
      <c r="Q155" s="15" t="n">
        <f aca="false">O155+P155</f>
        <v>106929.991337168</v>
      </c>
      <c r="R155" s="15" t="n">
        <f aca="false">Q155-$G$2+$I$2</f>
        <v>87469.9913371682</v>
      </c>
      <c r="S155" s="40" t="n">
        <f aca="false">R155/$K$2</f>
        <v>155.809671239545</v>
      </c>
      <c r="T155" s="41" t="n">
        <f aca="false">S155-$M$2</f>
        <v>-1.5431040395697E-005</v>
      </c>
    </row>
    <row r="157" customFormat="false" ht="15" hidden="false" customHeight="false" outlineLevel="0" collapsed="false">
      <c r="A157" s="36" t="s">
        <v>191</v>
      </c>
      <c r="E157" s="5" t="s">
        <v>11</v>
      </c>
      <c r="F157" s="12" t="n">
        <f aca="false">Sensitivity!$B$10</f>
        <v>0.0670172026214128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6" t="s">
        <v>167</v>
      </c>
      <c r="B158" s="28" t="s">
        <v>168</v>
      </c>
      <c r="C158" s="28" t="s">
        <v>169</v>
      </c>
      <c r="D158" s="28" t="s">
        <v>170</v>
      </c>
      <c r="E158" s="28" t="s">
        <v>171</v>
      </c>
      <c r="F158" s="28" t="s">
        <v>172</v>
      </c>
      <c r="G158" s="28" t="s">
        <v>173</v>
      </c>
      <c r="H158" s="28" t="s">
        <v>174</v>
      </c>
      <c r="I158" s="28" t="s">
        <v>175</v>
      </c>
      <c r="J158" s="28" t="s">
        <v>176</v>
      </c>
      <c r="K158" s="28" t="s">
        <v>177</v>
      </c>
      <c r="L158" s="28" t="s">
        <v>178</v>
      </c>
      <c r="M158" s="28" t="s">
        <v>179</v>
      </c>
      <c r="N158" s="28" t="s">
        <v>180</v>
      </c>
      <c r="O158" s="28" t="s">
        <v>181</v>
      </c>
      <c r="P158" s="28" t="s">
        <v>182</v>
      </c>
      <c r="Q158" s="28" t="s">
        <v>183</v>
      </c>
      <c r="R158" s="28" t="s">
        <v>184</v>
      </c>
      <c r="S158" s="28" t="s">
        <v>185</v>
      </c>
      <c r="T158" s="28" t="s">
        <v>186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39" t="n">
        <f aca="false">(B159+C159)/2</f>
        <v>0.25</v>
      </c>
      <c r="E159" s="15" t="n">
        <f aca="false">$C$2*(1+IF(E$3&lt;=$O$2,$D159,$D159-($D159-$I$157)*MIN(E$3-$O$2,$Q$2)/$Q$2))</f>
        <v>13200</v>
      </c>
      <c r="F159" s="15" t="n">
        <f aca="false">E159*(1+IF(F$3&lt;=$O$2,$D159,$D159-($D159-$I$157)*MIN(F$3-$O$2,$Q$2)/$Q$2))</f>
        <v>16500</v>
      </c>
      <c r="G159" s="15" t="n">
        <f aca="false">F159*(1+IF(G$3&lt;=$O$2,$D159,$D159-($D159-$I$157)*MIN(G$3-$O$2,$Q$2)/$Q$2))</f>
        <v>20625</v>
      </c>
      <c r="H159" s="15" t="n">
        <f aca="false">G159*(1+IF(H$3&lt;=$O$2,$D159,$D159-($D159-$I$157)*MIN(H$3-$O$2,$Q$2)/$Q$2))</f>
        <v>25781.25</v>
      </c>
      <c r="I159" s="15" t="n">
        <f aca="false">H159*(1+IF(I$3&lt;=$O$2,$D159,$D159-($D159-$I$157)*MIN(I$3-$O$2,$Q$2)/$Q$2))</f>
        <v>32226.5625</v>
      </c>
      <c r="J159" s="15" t="n">
        <f aca="false">I159*(1+IF(J$3&lt;=$O$2,$D159,$D159-($D159-$I$157)*MIN(J$3-$O$2,$Q$2)/$Q$2))</f>
        <v>38918.73046875</v>
      </c>
      <c r="K159" s="15" t="n">
        <f aca="false">J159*(1+IF(K$3&lt;=$O$2,$D159,$D159-($D159-$I$157)*MIN(K$3-$O$2,$Q$2)/$Q$2))</f>
        <v>45352.7749898438</v>
      </c>
      <c r="L159" s="15" t="n">
        <f aca="false">K159*(1+IF(L$3&lt;=$O$2,$D159,$D159-($D159-$I$157)*MIN(L$3-$O$2,$Q$2)/$Q$2))</f>
        <v>50930.2592580947</v>
      </c>
      <c r="M159" s="15" t="n">
        <f aca="false">L159*(1+IF(M$3&lt;=$O$2,$D159,$D159-($D159-$I$157)*MIN(M$3-$O$2,$Q$2)/$Q$2))</f>
        <v>55037.2753646675</v>
      </c>
      <c r="N159" s="15" t="n">
        <f aca="false">M159*(1+IF(N$3&lt;=$O$2,$D159,$D159-($D159-$I$157)*MIN(N$3-$O$2,$Q$2)/$Q$2))</f>
        <v>57145.2030111343</v>
      </c>
      <c r="O159" s="15" t="n">
        <f aca="false">SUMPRODUCT(E159:N159,1/(1+$F$157)^$E$3:$N$3)*$E$2</f>
        <v>115438.398728103</v>
      </c>
      <c r="P159" s="15" t="n">
        <f aca="false">N159*$E$2*(1+$I$157)/($F$157-$I$157)/(1+$F$157)^$N$3</f>
        <v>534914.117112675</v>
      </c>
      <c r="Q159" s="15" t="n">
        <f aca="false">O159+P159</f>
        <v>650352.515840778</v>
      </c>
      <c r="R159" s="15" t="n">
        <f aca="false">Q159-$G$2+$I$2</f>
        <v>630892.515840778</v>
      </c>
      <c r="S159" s="40" t="n">
        <f aca="false">R159/$K$2</f>
        <v>1123.80433538321</v>
      </c>
      <c r="T159" s="41" t="n">
        <f aca="false">S159-$M$2</f>
        <v>967.994648712621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39" t="n">
        <f aca="false">(B160+C160)/2</f>
        <v>-0.125</v>
      </c>
      <c r="E160" s="15" t="n">
        <f aca="false">$C$2*(1+IF(E$3&lt;=$O$2,$D160,$D160-($D160-$I$157)*MIN(E$3-$O$2,$Q$2)/$Q$2))</f>
        <v>9240</v>
      </c>
      <c r="F160" s="15" t="n">
        <f aca="false">E160*(1+IF(F$3&lt;=$O$2,$D160,$D160-($D160-$I$157)*MIN(F$3-$O$2,$Q$2)/$Q$2))</f>
        <v>8085</v>
      </c>
      <c r="G160" s="15" t="n">
        <f aca="false">F160*(1+IF(G$3&lt;=$O$2,$D160,$D160-($D160-$I$157)*MIN(G$3-$O$2,$Q$2)/$Q$2))</f>
        <v>7074.375</v>
      </c>
      <c r="H160" s="15" t="n">
        <f aca="false">G160*(1+IF(H$3&lt;=$O$2,$D160,$D160-($D160-$I$157)*MIN(H$3-$O$2,$Q$2)/$Q$2))</f>
        <v>6190.078125</v>
      </c>
      <c r="I160" s="15" t="n">
        <f aca="false">H160*(1+IF(I$3&lt;=$O$2,$D160,$D160-($D160-$I$157)*MIN(I$3-$O$2,$Q$2)/$Q$2))</f>
        <v>5416.318359375</v>
      </c>
      <c r="J160" s="15" t="n">
        <f aca="false">I160*(1+IF(J$3&lt;=$O$2,$D160,$D160-($D160-$I$157)*MIN(J$3-$O$2,$Q$2)/$Q$2))</f>
        <v>4916.17552207031</v>
      </c>
      <c r="K160" s="15" t="n">
        <f aca="false">J160*(1+IF(K$3&lt;=$O$2,$D160,$D160-($D160-$I$157)*MIN(K$3-$O$2,$Q$2)/$Q$2))</f>
        <v>4622.77816691316</v>
      </c>
      <c r="L160" s="15" t="n">
        <f aca="false">K160*(1+IF(L$3&lt;=$O$2,$D160,$D160-($D160-$I$157)*MIN(L$3-$O$2,$Q$2)/$Q$2))</f>
        <v>4497.87070084316</v>
      </c>
      <c r="M160" s="15" t="n">
        <f aca="false">L160*(1+IF(M$3&lt;=$O$2,$D160,$D160-($D160-$I$157)*MIN(M$3-$O$2,$Q$2)/$Q$2))</f>
        <v>4523.23869159592</v>
      </c>
      <c r="N160" s="15" t="n">
        <f aca="false">M160*(1+IF(N$3&lt;=$O$2,$D160,$D160-($D160-$I$157)*MIN(N$3-$O$2,$Q$2)/$Q$2))</f>
        <v>4696.47873348404</v>
      </c>
      <c r="O160" s="15" t="n">
        <f aca="false">SUMPRODUCT(E160:N160,1/(1+$F$157)^$E$3:$N$3)*$E$2</f>
        <v>21889.4707185307</v>
      </c>
      <c r="P160" s="15" t="n">
        <f aca="false">N160*$E$2*(1+$I$157)/($F$157-$I$157)/(1+$F$157)^$N$3</f>
        <v>43961.9188118133</v>
      </c>
      <c r="Q160" s="15" t="n">
        <f aca="false">O160+P160</f>
        <v>65851.389530344</v>
      </c>
      <c r="R160" s="15" t="n">
        <f aca="false">Q160-$G$2+$I$2</f>
        <v>46391.389530344</v>
      </c>
      <c r="S160" s="40" t="n">
        <f aca="false">R160/$K$2</f>
        <v>82.636651045341</v>
      </c>
      <c r="T160" s="41" t="n">
        <f aca="false">S160-$M$2</f>
        <v>-73.1730356252445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39" t="n">
        <f aca="false">(B161+C161)/2</f>
        <v>0.0625</v>
      </c>
      <c r="E161" s="15" t="n">
        <f aca="false">$C$2*(1+IF(E$3&lt;=$O$2,$D161,$D161-($D161-$I$157)*MIN(E$3-$O$2,$Q$2)/$Q$2))</f>
        <v>11220</v>
      </c>
      <c r="F161" s="15" t="n">
        <f aca="false">E161*(1+IF(F$3&lt;=$O$2,$D161,$D161-($D161-$I$157)*MIN(F$3-$O$2,$Q$2)/$Q$2))</f>
        <v>11921.25</v>
      </c>
      <c r="G161" s="15" t="n">
        <f aca="false">F161*(1+IF(G$3&lt;=$O$2,$D161,$D161-($D161-$I$157)*MIN(G$3-$O$2,$Q$2)/$Q$2))</f>
        <v>12666.328125</v>
      </c>
      <c r="H161" s="15" t="n">
        <f aca="false">G161*(1+IF(H$3&lt;=$O$2,$D161,$D161-($D161-$I$157)*MIN(H$3-$O$2,$Q$2)/$Q$2))</f>
        <v>13457.9736328125</v>
      </c>
      <c r="I161" s="15" t="n">
        <f aca="false">H161*(1+IF(I$3&lt;=$O$2,$D161,$D161-($D161-$I$157)*MIN(I$3-$O$2,$Q$2)/$Q$2))</f>
        <v>14299.0969848633</v>
      </c>
      <c r="J161" s="15" t="n">
        <f aca="false">I161*(1+IF(J$3&lt;=$O$2,$D161,$D161-($D161-$I$157)*MIN(J$3-$O$2,$Q$2)/$Q$2))</f>
        <v>15123.5829170105</v>
      </c>
      <c r="K161" s="15" t="n">
        <f aca="false">J161*(1+IF(K$3&lt;=$O$2,$D161,$D161-($D161-$I$157)*MIN(K$3-$O$2,$Q$2)/$Q$2))</f>
        <v>15922.410566687</v>
      </c>
      <c r="L161" s="15" t="n">
        <f aca="false">K161*(1+IF(L$3&lt;=$O$2,$D161,$D161-($D161-$I$157)*MIN(L$3-$O$2,$Q$2)/$Q$2))</f>
        <v>16686.3678256766</v>
      </c>
      <c r="M161" s="15" t="n">
        <f aca="false">L161*(1+IF(M$3&lt;=$O$2,$D161,$D161-($D161-$I$157)*MIN(M$3-$O$2,$Q$2)/$Q$2))</f>
        <v>17406.2177336763</v>
      </c>
      <c r="N161" s="15" t="n">
        <f aca="false">M161*(1+IF(N$3&lt;=$O$2,$D161,$D161-($D161-$I$157)*MIN(N$3-$O$2,$Q$2)/$Q$2))</f>
        <v>18072.8758728761</v>
      </c>
      <c r="O161" s="15" t="n">
        <f aca="false">SUMPRODUCT(E161:N161,1/(1+$F$157)^$E$3:$N$3)*$E$2</f>
        <v>50308.6860578221</v>
      </c>
      <c r="P161" s="15" t="n">
        <f aca="false">N161*$E$2*(1+$I$157)/($F$157-$I$157)/(1+$F$157)^$N$3</f>
        <v>169173.192706007</v>
      </c>
      <c r="Q161" s="15" t="n">
        <f aca="false">O161+P161</f>
        <v>219481.878763829</v>
      </c>
      <c r="R161" s="15" t="n">
        <f aca="false">Q161-$G$2+$I$2</f>
        <v>200021.878763829</v>
      </c>
      <c r="S161" s="40" t="n">
        <f aca="false">R161/$K$2</f>
        <v>356.297544957746</v>
      </c>
      <c r="T161" s="41" t="n">
        <f aca="false">S161-$M$2</f>
        <v>200.487858287161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39" t="n">
        <f aca="false">(B162+C162)/2</f>
        <v>-0.03125</v>
      </c>
      <c r="E162" s="15" t="n">
        <f aca="false">$C$2*(1+IF(E$3&lt;=$O$2,$D162,$D162-($D162-$I$157)*MIN(E$3-$O$2,$Q$2)/$Q$2))</f>
        <v>10230</v>
      </c>
      <c r="F162" s="15" t="n">
        <f aca="false">E162*(1+IF(F$3&lt;=$O$2,$D162,$D162-($D162-$I$157)*MIN(F$3-$O$2,$Q$2)/$Q$2))</f>
        <v>9910.3125</v>
      </c>
      <c r="G162" s="15" t="n">
        <f aca="false">F162*(1+IF(G$3&lt;=$O$2,$D162,$D162-($D162-$I$157)*MIN(G$3-$O$2,$Q$2)/$Q$2))</f>
        <v>9600.615234375</v>
      </c>
      <c r="H162" s="15" t="n">
        <f aca="false">G162*(1+IF(H$3&lt;=$O$2,$D162,$D162-($D162-$I$157)*MIN(H$3-$O$2,$Q$2)/$Q$2))</f>
        <v>9300.59600830078</v>
      </c>
      <c r="I162" s="15" t="n">
        <f aca="false">H162*(1+IF(I$3&lt;=$O$2,$D162,$D162-($D162-$I$157)*MIN(I$3-$O$2,$Q$2)/$Q$2))</f>
        <v>9009.95238304138</v>
      </c>
      <c r="J162" s="15" t="n">
        <f aca="false">I162*(1+IF(J$3&lt;=$O$2,$D162,$D162-($D162-$I$157)*MIN(J$3-$O$2,$Q$2)/$Q$2))</f>
        <v>8853.71980871945</v>
      </c>
      <c r="K162" s="15" t="n">
        <f aca="false">J162*(1+IF(K$3&lt;=$O$2,$D162,$D162-($D162-$I$157)*MIN(K$3-$O$2,$Q$2)/$Q$2))</f>
        <v>8823.35154977554</v>
      </c>
      <c r="L162" s="15" t="n">
        <f aca="false">K162*(1+IF(L$3&lt;=$O$2,$D162,$D162-($D162-$I$157)*MIN(L$3-$O$2,$Q$2)/$Q$2))</f>
        <v>8915.82027401718</v>
      </c>
      <c r="M162" s="15" t="n">
        <f aca="false">L162*(1+IF(M$3&lt;=$O$2,$D162,$D162-($D162-$I$157)*MIN(M$3-$O$2,$Q$2)/$Q$2))</f>
        <v>9133.27713050046</v>
      </c>
      <c r="N162" s="15" t="n">
        <f aca="false">M162*(1+IF(N$3&lt;=$O$2,$D162,$D162-($D162-$I$157)*MIN(N$3-$O$2,$Q$2)/$Q$2))</f>
        <v>9483.08164459863</v>
      </c>
      <c r="O162" s="15" t="n">
        <f aca="false">SUMPRODUCT(E162:N162,1/(1+$F$157)^$E$3:$N$3)*$E$2</f>
        <v>33105.6782636375</v>
      </c>
      <c r="P162" s="15" t="n">
        <f aca="false">N162*$E$2*(1+$I$157)/($F$157-$I$157)/(1+$F$157)^$N$3</f>
        <v>88767.4551517393</v>
      </c>
      <c r="Q162" s="15" t="n">
        <f aca="false">O162+P162</f>
        <v>121873.133415377</v>
      </c>
      <c r="R162" s="15" t="n">
        <f aca="false">Q162-$G$2+$I$2</f>
        <v>102413.133415377</v>
      </c>
      <c r="S162" s="40" t="n">
        <f aca="false">R162/$K$2</f>
        <v>182.427783564682</v>
      </c>
      <c r="T162" s="41" t="n">
        <f aca="false">S162-$M$2</f>
        <v>26.6180968940963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39" t="n">
        <f aca="false">(B163+C163)/2</f>
        <v>-0.078125</v>
      </c>
      <c r="E163" s="15" t="n">
        <f aca="false">$C$2*(1+IF(E$3&lt;=$O$2,$D163,$D163-($D163-$I$157)*MIN(E$3-$O$2,$Q$2)/$Q$2))</f>
        <v>9735</v>
      </c>
      <c r="F163" s="15" t="n">
        <f aca="false">E163*(1+IF(F$3&lt;=$O$2,$D163,$D163-($D163-$I$157)*MIN(F$3-$O$2,$Q$2)/$Q$2))</f>
        <v>8974.453125</v>
      </c>
      <c r="G163" s="15" t="n">
        <f aca="false">F163*(1+IF(G$3&lt;=$O$2,$D163,$D163-($D163-$I$157)*MIN(G$3-$O$2,$Q$2)/$Q$2))</f>
        <v>8273.32397460938</v>
      </c>
      <c r="H163" s="15" t="n">
        <f aca="false">G163*(1+IF(H$3&lt;=$O$2,$D163,$D163-($D163-$I$157)*MIN(H$3-$O$2,$Q$2)/$Q$2))</f>
        <v>7626.97053909302</v>
      </c>
      <c r="I163" s="15" t="n">
        <f aca="false">H163*(1+IF(I$3&lt;=$O$2,$D163,$D163-($D163-$I$157)*MIN(I$3-$O$2,$Q$2)/$Q$2))</f>
        <v>7031.11346572638</v>
      </c>
      <c r="J163" s="15" t="n">
        <f aca="false">I163*(1+IF(J$3&lt;=$O$2,$D163,$D163-($D163-$I$157)*MIN(J$3-$O$2,$Q$2)/$Q$2))</f>
        <v>6645.52720326594</v>
      </c>
      <c r="K163" s="15" t="n">
        <f aca="false">J163*(1+IF(K$3&lt;=$O$2,$D163,$D163-($D163-$I$157)*MIN(K$3-$O$2,$Q$2)/$Q$2))</f>
        <v>6435.82759236688</v>
      </c>
      <c r="L163" s="15" t="n">
        <f aca="false">K163*(1+IF(L$3&lt;=$O$2,$D163,$D163-($D163-$I$157)*MIN(L$3-$O$2,$Q$2)/$Q$2))</f>
        <v>6382.60329817801</v>
      </c>
      <c r="M163" s="15" t="n">
        <f aca="false">L163*(1+IF(M$3&lt;=$O$2,$D163,$D163-($D163-$I$157)*MIN(M$3-$O$2,$Q$2)/$Q$2))</f>
        <v>6478.43808670015</v>
      </c>
      <c r="N163" s="15" t="n">
        <f aca="false">M163*(1+IF(N$3&lt;=$O$2,$D163,$D163-($D163-$I$157)*MIN(N$3-$O$2,$Q$2)/$Q$2))</f>
        <v>6726.56226542077</v>
      </c>
      <c r="O163" s="15" t="n">
        <f aca="false">SUMPRODUCT(E163:N163,1/(1+$F$157)^$E$3:$N$3)*$E$2</f>
        <v>26893.9843305535</v>
      </c>
      <c r="P163" s="15" t="n">
        <f aca="false">N163*$E$2*(1+$I$157)/($F$157-$I$157)/(1+$F$157)^$N$3</f>
        <v>62964.744647244</v>
      </c>
      <c r="Q163" s="15" t="n">
        <f aca="false">O163+P163</f>
        <v>89858.7289777975</v>
      </c>
      <c r="R163" s="15" t="n">
        <f aca="false">Q163-$G$2+$I$2</f>
        <v>70398.7289777975</v>
      </c>
      <c r="S163" s="40" t="n">
        <f aca="false">R163/$K$2</f>
        <v>125.400753447332</v>
      </c>
      <c r="T163" s="41" t="n">
        <f aca="false">S163-$M$2</f>
        <v>-30.4089332232539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-0.078125</v>
      </c>
      <c r="C164" s="25" t="n">
        <f aca="false">IF(T163&gt;0,D163,C163)</f>
        <v>-0.03125</v>
      </c>
      <c r="D164" s="39" t="n">
        <f aca="false">(B164+C164)/2</f>
        <v>-0.0546875</v>
      </c>
      <c r="E164" s="15" t="n">
        <f aca="false">$C$2*(1+IF(E$3&lt;=$O$2,$D164,$D164-($D164-$I$157)*MIN(E$3-$O$2,$Q$2)/$Q$2))</f>
        <v>9982.5</v>
      </c>
      <c r="F164" s="15" t="n">
        <f aca="false">E164*(1+IF(F$3&lt;=$O$2,$D164,$D164-($D164-$I$157)*MIN(F$3-$O$2,$Q$2)/$Q$2))</f>
        <v>9436.58203125</v>
      </c>
      <c r="G164" s="15" t="n">
        <f aca="false">F164*(1+IF(G$3&lt;=$O$2,$D164,$D164-($D164-$I$157)*MIN(G$3-$O$2,$Q$2)/$Q$2))</f>
        <v>8920.51895141602</v>
      </c>
      <c r="H164" s="15" t="n">
        <f aca="false">G164*(1+IF(H$3&lt;=$O$2,$D164,$D164-($D164-$I$157)*MIN(H$3-$O$2,$Q$2)/$Q$2))</f>
        <v>8432.67807126045</v>
      </c>
      <c r="I164" s="15" t="n">
        <f aca="false">H164*(1+IF(I$3&lt;=$O$2,$D164,$D164-($D164-$I$157)*MIN(I$3-$O$2,$Q$2)/$Q$2))</f>
        <v>7971.5159892384</v>
      </c>
      <c r="J164" s="15" t="n">
        <f aca="false">I164*(1+IF(J$3&lt;=$O$2,$D164,$D164-($D164-$I$157)*MIN(J$3-$O$2,$Q$2)/$Q$2))</f>
        <v>7683.82397718678</v>
      </c>
      <c r="K164" s="15" t="n">
        <f aca="false">J164*(1+IF(K$3&lt;=$O$2,$D164,$D164-($D164-$I$157)*MIN(K$3-$O$2,$Q$2)/$Q$2))</f>
        <v>7549.41468626584</v>
      </c>
      <c r="L164" s="15" t="n">
        <f aca="false">K164*(1+IF(L$3&lt;=$O$2,$D164,$D164-($D164-$I$157)*MIN(L$3-$O$2,$Q$2)/$Q$2))</f>
        <v>7557.75678949417</v>
      </c>
      <c r="M164" s="15" t="n">
        <f aca="false">L164*(1+IF(M$3&lt;=$O$2,$D164,$D164-($D164-$I$157)*MIN(M$3-$O$2,$Q$2)/$Q$2))</f>
        <v>7706.66349263917</v>
      </c>
      <c r="N164" s="15" t="n">
        <f aca="false">M164*(1+IF(N$3&lt;=$O$2,$D164,$D164-($D164-$I$157)*MIN(N$3-$O$2,$Q$2)/$Q$2))</f>
        <v>8001.82870440726</v>
      </c>
      <c r="O164" s="15" t="n">
        <f aca="false">SUMPRODUCT(E164:N164,1/(1+$F$157)^$E$3:$N$3)*$E$2</f>
        <v>29832.8434751973</v>
      </c>
      <c r="P164" s="15" t="n">
        <f aca="false">N164*$E$2*(1+$I$157)/($F$157-$I$157)/(1+$F$157)^$N$3</f>
        <v>74902.0199625661</v>
      </c>
      <c r="Q164" s="15" t="n">
        <f aca="false">O164+P164</f>
        <v>104734.863437763</v>
      </c>
      <c r="R164" s="15" t="n">
        <f aca="false">Q164-$G$2+$I$2</f>
        <v>85274.8634377634</v>
      </c>
      <c r="S164" s="40" t="n">
        <f aca="false">R164/$K$2</f>
        <v>151.899505580369</v>
      </c>
      <c r="T164" s="41" t="n">
        <f aca="false">S164-$M$2</f>
        <v>-3.91018109021641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-0.0546875</v>
      </c>
      <c r="C165" s="25" t="n">
        <f aca="false">IF(T164&gt;0,D164,C164)</f>
        <v>-0.03125</v>
      </c>
      <c r="D165" s="39" t="n">
        <f aca="false">(B165+C165)/2</f>
        <v>-0.04296875</v>
      </c>
      <c r="E165" s="15" t="n">
        <f aca="false">$C$2*(1+IF(E$3&lt;=$O$2,$D165,$D165-($D165-$I$157)*MIN(E$3-$O$2,$Q$2)/$Q$2))</f>
        <v>10106.25</v>
      </c>
      <c r="F165" s="15" t="n">
        <f aca="false">E165*(1+IF(F$3&lt;=$O$2,$D165,$D165-($D165-$I$157)*MIN(F$3-$O$2,$Q$2)/$Q$2))</f>
        <v>9671.9970703125</v>
      </c>
      <c r="G165" s="15" t="n">
        <f aca="false">F165*(1+IF(G$3&lt;=$O$2,$D165,$D165-($D165-$I$157)*MIN(G$3-$O$2,$Q$2)/$Q$2))</f>
        <v>9256.40344619751</v>
      </c>
      <c r="H165" s="15" t="n">
        <f aca="false">G165*(1+IF(H$3&lt;=$O$2,$D165,$D165-($D165-$I$157)*MIN(H$3-$O$2,$Q$2)/$Q$2))</f>
        <v>8858.66736061871</v>
      </c>
      <c r="I165" s="15" t="n">
        <f aca="false">H165*(1+IF(I$3&lt;=$O$2,$D165,$D165-($D165-$I$157)*MIN(I$3-$O$2,$Q$2)/$Q$2))</f>
        <v>8478.02149746713</v>
      </c>
      <c r="J165" s="15" t="n">
        <f aca="false">I165*(1+IF(J$3&lt;=$O$2,$D165,$D165-($D165-$I$157)*MIN(J$3-$O$2,$Q$2)/$Q$2))</f>
        <v>8251.53115316229</v>
      </c>
      <c r="K165" s="15" t="n">
        <f aca="false">J165*(1+IF(K$3&lt;=$O$2,$D165,$D165-($D165-$I$157)*MIN(K$3-$O$2,$Q$2)/$Q$2))</f>
        <v>8165.20982288627</v>
      </c>
      <c r="L165" s="15" t="n">
        <f aca="false">K165*(1+IF(L$3&lt;=$O$2,$D165,$D165-($D165-$I$157)*MIN(L$3-$O$2,$Q$2)/$Q$2))</f>
        <v>8212.50680078534</v>
      </c>
      <c r="M165" s="15" t="n">
        <f aca="false">L165*(1+IF(M$3&lt;=$O$2,$D165,$D165-($D165-$I$157)*MIN(M$3-$O$2,$Q$2)/$Q$2))</f>
        <v>8393.56177884216</v>
      </c>
      <c r="N165" s="15" t="n">
        <f aca="false">M165*(1+IF(N$3&lt;=$O$2,$D165,$D165-($D165-$I$157)*MIN(N$3-$O$2,$Q$2)/$Q$2))</f>
        <v>8715.03519497181</v>
      </c>
      <c r="O165" s="15" t="n">
        <f aca="false">SUMPRODUCT(E165:N165,1/(1+$F$157)^$E$3:$N$3)*$E$2</f>
        <v>31425.3389058845</v>
      </c>
      <c r="P165" s="15" t="n">
        <f aca="false">N165*$E$2*(1+$I$157)/($F$157-$I$157)/(1+$F$157)^$N$3</f>
        <v>81578.0697465705</v>
      </c>
      <c r="Q165" s="15" t="n">
        <f aca="false">O165+P165</f>
        <v>113003.408652455</v>
      </c>
      <c r="R165" s="15" t="n">
        <f aca="false">Q165-$G$2+$I$2</f>
        <v>93543.4086524549</v>
      </c>
      <c r="S165" s="40" t="n">
        <f aca="false">R165/$K$2</f>
        <v>166.628206153396</v>
      </c>
      <c r="T165" s="41" t="n">
        <f aca="false">S165-$M$2</f>
        <v>10.8185194828104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-0.0546875</v>
      </c>
      <c r="C166" s="25" t="n">
        <f aca="false">IF(T165&gt;0,D165,C165)</f>
        <v>-0.04296875</v>
      </c>
      <c r="D166" s="39" t="n">
        <f aca="false">(B166+C166)/2</f>
        <v>-0.048828125</v>
      </c>
      <c r="E166" s="15" t="n">
        <f aca="false">$C$2*(1+IF(E$3&lt;=$O$2,$D166,$D166-($D166-$I$157)*MIN(E$3-$O$2,$Q$2)/$Q$2))</f>
        <v>10044.375</v>
      </c>
      <c r="F166" s="15" t="n">
        <f aca="false">E166*(1+IF(F$3&lt;=$O$2,$D166,$D166-($D166-$I$157)*MIN(F$3-$O$2,$Q$2)/$Q$2))</f>
        <v>9553.92700195313</v>
      </c>
      <c r="G166" s="15" t="n">
        <f aca="false">F166*(1+IF(G$3&lt;=$O$2,$D166,$D166-($D166-$I$157)*MIN(G$3-$O$2,$Q$2)/$Q$2))</f>
        <v>9087.42666006088</v>
      </c>
      <c r="H166" s="15" t="n">
        <f aca="false">G166*(1+IF(H$3&lt;=$O$2,$D166,$D166-($D166-$I$157)*MIN(H$3-$O$2,$Q$2)/$Q$2))</f>
        <v>8643.7046551751</v>
      </c>
      <c r="I166" s="15" t="n">
        <f aca="false">H166*(1+IF(I$3&lt;=$O$2,$D166,$D166-($D166-$I$157)*MIN(I$3-$O$2,$Q$2)/$Q$2))</f>
        <v>8221.64876380913</v>
      </c>
      <c r="J166" s="15" t="n">
        <f aca="false">I166*(1+IF(J$3&lt;=$O$2,$D166,$D166-($D166-$I$157)*MIN(J$3-$O$2,$Q$2)/$Q$2))</f>
        <v>7963.46843850361</v>
      </c>
      <c r="K166" s="15" t="n">
        <f aca="false">J166*(1+IF(K$3&lt;=$O$2,$D166,$D166-($D166-$I$157)*MIN(K$3-$O$2,$Q$2)/$Q$2))</f>
        <v>7852.1640355722</v>
      </c>
      <c r="L166" s="15" t="n">
        <f aca="false">K166*(1+IF(L$3&lt;=$O$2,$D166,$D166-($D166-$I$157)*MIN(L$3-$O$2,$Q$2)/$Q$2))</f>
        <v>7879.24418628988</v>
      </c>
      <c r="M166" s="15" t="n">
        <f aca="false">L166*(1+IF(M$3&lt;=$O$2,$D166,$D166-($D166-$I$157)*MIN(M$3-$O$2,$Q$2)/$Q$2))</f>
        <v>8043.71848415106</v>
      </c>
      <c r="N166" s="15" t="n">
        <f aca="false">M166*(1+IF(N$3&lt;=$O$2,$D166,$D166-($D166-$I$157)*MIN(N$3-$O$2,$Q$2)/$Q$2))</f>
        <v>8351.79290209405</v>
      </c>
      <c r="O166" s="15" t="n">
        <f aca="false">SUMPRODUCT(E166:N166,1/(1+$F$157)^$E$3:$N$3)*$E$2</f>
        <v>30618.3902444253</v>
      </c>
      <c r="P166" s="15" t="n">
        <f aca="false">N166*$E$2*(1+$I$157)/($F$157-$I$157)/(1+$F$157)^$N$3</f>
        <v>78177.8993008581</v>
      </c>
      <c r="Q166" s="15" t="n">
        <f aca="false">O166+P166</f>
        <v>108796.289545283</v>
      </c>
      <c r="R166" s="15" t="n">
        <f aca="false">Q166-$G$2+$I$2</f>
        <v>89336.2895452834</v>
      </c>
      <c r="S166" s="40" t="n">
        <f aca="false">R166/$K$2</f>
        <v>159.134094916695</v>
      </c>
      <c r="T166" s="41" t="n">
        <f aca="false">S166-$M$2</f>
        <v>3.32440824610953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-0.0546875</v>
      </c>
      <c r="C167" s="25" t="n">
        <f aca="false">IF(T166&gt;0,D166,C166)</f>
        <v>-0.048828125</v>
      </c>
      <c r="D167" s="39" t="n">
        <f aca="false">(B167+C167)/2</f>
        <v>-0.0517578125</v>
      </c>
      <c r="E167" s="15" t="n">
        <f aca="false">$C$2*(1+IF(E$3&lt;=$O$2,$D167,$D167-($D167-$I$157)*MIN(E$3-$O$2,$Q$2)/$Q$2))</f>
        <v>10013.4375</v>
      </c>
      <c r="F167" s="15" t="n">
        <f aca="false">E167*(1+IF(F$3&lt;=$O$2,$D167,$D167-($D167-$I$157)*MIN(F$3-$O$2,$Q$2)/$Q$2))</f>
        <v>9495.16387939453</v>
      </c>
      <c r="G167" s="15" t="n">
        <f aca="false">F167*(1+IF(G$3&lt;=$O$2,$D167,$D167-($D167-$I$157)*MIN(G$3-$O$2,$Q$2)/$Q$2))</f>
        <v>9003.71496766806</v>
      </c>
      <c r="H167" s="15" t="n">
        <f aca="false">G167*(1+IF(H$3&lt;=$O$2,$D167,$D167-($D167-$I$157)*MIN(H$3-$O$2,$Q$2)/$Q$2))</f>
        <v>8537.70237656805</v>
      </c>
      <c r="I167" s="15" t="n">
        <f aca="false">H167*(1+IF(I$3&lt;=$O$2,$D167,$D167-($D167-$I$157)*MIN(I$3-$O$2,$Q$2)/$Q$2))</f>
        <v>8095.80957778084</v>
      </c>
      <c r="J167" s="15" t="n">
        <f aca="false">I167*(1+IF(J$3&lt;=$O$2,$D167,$D167-($D167-$I$157)*MIN(J$3-$O$2,$Q$2)/$Q$2))</f>
        <v>7822.60636381665</v>
      </c>
      <c r="K167" s="15" t="n">
        <f aca="false">J167*(1+IF(K$3&lt;=$O$2,$D167,$D167-($D167-$I$157)*MIN(K$3-$O$2,$Q$2)/$Q$2))</f>
        <v>7699.52009724648</v>
      </c>
      <c r="L167" s="15" t="n">
        <f aca="false">K167*(1+IF(L$3&lt;=$O$2,$D167,$D167-($D167-$I$157)*MIN(L$3-$O$2,$Q$2)/$Q$2))</f>
        <v>7717.0509420679</v>
      </c>
      <c r="M167" s="15" t="n">
        <f aca="false">L167*(1+IF(M$3&lt;=$O$2,$D167,$D167-($D167-$I$157)*MIN(M$3-$O$2,$Q$2)/$Q$2))</f>
        <v>7873.61784779036</v>
      </c>
      <c r="N167" s="15" t="n">
        <f aca="false">M167*(1+IF(N$3&lt;=$O$2,$D167,$D167-($D167-$I$157)*MIN(N$3-$O$2,$Q$2)/$Q$2))</f>
        <v>8175.17741136073</v>
      </c>
      <c r="O167" s="15" t="n">
        <f aca="false">SUMPRODUCT(E167:N167,1/(1+$F$157)^$E$3:$N$3)*$E$2</f>
        <v>30222.9758841349</v>
      </c>
      <c r="P167" s="15" t="n">
        <f aca="false">N167*$E$2*(1+$I$157)/($F$157-$I$157)/(1+$F$157)^$N$3</f>
        <v>76524.6700827271</v>
      </c>
      <c r="Q167" s="15" t="n">
        <f aca="false">O167+P167</f>
        <v>106747.645966862</v>
      </c>
      <c r="R167" s="15" t="n">
        <f aca="false">Q167-$G$2+$I$2</f>
        <v>87287.645966862</v>
      </c>
      <c r="S167" s="40" t="n">
        <f aca="false">R167/$K$2</f>
        <v>155.484860732934</v>
      </c>
      <c r="T167" s="41" t="n">
        <f aca="false">S167-$M$2</f>
        <v>-0.324825937651212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-0.0517578125</v>
      </c>
      <c r="C168" s="25" t="n">
        <f aca="false">IF(T167&gt;0,D167,C167)</f>
        <v>-0.048828125</v>
      </c>
      <c r="D168" s="39" t="n">
        <f aca="false">(B168+C168)/2</f>
        <v>-0.05029296875</v>
      </c>
      <c r="E168" s="15" t="n">
        <f aca="false">$C$2*(1+IF(E$3&lt;=$O$2,$D168,$D168-($D168-$I$157)*MIN(E$3-$O$2,$Q$2)/$Q$2))</f>
        <v>10028.90625</v>
      </c>
      <c r="F168" s="15" t="n">
        <f aca="false">E168*(1+IF(F$3&lt;=$O$2,$D168,$D168-($D168-$I$157)*MIN(F$3-$O$2,$Q$2)/$Q$2))</f>
        <v>9524.52278137207</v>
      </c>
      <c r="G168" s="15" t="n">
        <f aca="false">F168*(1+IF(G$3&lt;=$O$2,$D168,$D168-($D168-$I$157)*MIN(G$3-$O$2,$Q$2)/$Q$2))</f>
        <v>9045.50625476986</v>
      </c>
      <c r="H168" s="15" t="n">
        <f aca="false">G168*(1+IF(H$3&lt;=$O$2,$D168,$D168-($D168-$I$157)*MIN(H$3-$O$2,$Q$2)/$Q$2))</f>
        <v>8590.58089137079</v>
      </c>
      <c r="I168" s="15" t="n">
        <f aca="false">H168*(1+IF(I$3&lt;=$O$2,$D168,$D168-($D168-$I$157)*MIN(I$3-$O$2,$Q$2)/$Q$2))</f>
        <v>8158.53507505673</v>
      </c>
      <c r="J168" s="15" t="n">
        <f aca="false">I168*(1+IF(J$3&lt;=$O$2,$D168,$D168-($D168-$I$157)*MIN(J$3-$O$2,$Q$2)/$Q$2))</f>
        <v>7892.77589407118</v>
      </c>
      <c r="K168" s="15" t="n">
        <f aca="false">J168*(1+IF(K$3&lt;=$O$2,$D168,$D168-($D168-$I$157)*MIN(K$3-$O$2,$Q$2)/$Q$2))</f>
        <v>7775.52254193359</v>
      </c>
      <c r="L168" s="15" t="n">
        <f aca="false">K168*(1+IF(L$3&lt;=$O$2,$D168,$D168-($D168-$I$157)*MIN(L$3-$O$2,$Q$2)/$Q$2))</f>
        <v>7797.78240506067</v>
      </c>
      <c r="M168" s="15" t="n">
        <f aca="false">L168*(1+IF(M$3&lt;=$O$2,$D168,$D168-($D168-$I$157)*MIN(M$3-$O$2,$Q$2)/$Q$2))</f>
        <v>7958.27173258832</v>
      </c>
      <c r="N168" s="15" t="n">
        <f aca="false">M168*(1+IF(N$3&lt;=$O$2,$D168,$D168-($D168-$I$157)*MIN(N$3-$O$2,$Q$2)/$Q$2))</f>
        <v>8263.07353994646</v>
      </c>
      <c r="O168" s="15" t="n">
        <f aca="false">SUMPRODUCT(E168:N168,1/(1+$F$157)^$E$3:$N$3)*$E$2</f>
        <v>30420.0185678456</v>
      </c>
      <c r="P168" s="15" t="n">
        <f aca="false">N168*$E$2*(1+$I$157)/($F$157-$I$157)/(1+$F$157)^$N$3</f>
        <v>77347.4317064962</v>
      </c>
      <c r="Q168" s="15" t="n">
        <f aca="false">O168+P168</f>
        <v>107767.450274342</v>
      </c>
      <c r="R168" s="15" t="n">
        <f aca="false">Q168-$G$2+$I$2</f>
        <v>88307.4502743418</v>
      </c>
      <c r="S168" s="40" t="n">
        <f aca="false">R168/$K$2</f>
        <v>157.301430866852</v>
      </c>
      <c r="T168" s="41" t="n">
        <f aca="false">S168-$M$2</f>
        <v>1.4917441962661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-0.0517578125</v>
      </c>
      <c r="C169" s="25" t="n">
        <f aca="false">IF(T168&gt;0,D168,C168)</f>
        <v>-0.05029296875</v>
      </c>
      <c r="D169" s="39" t="n">
        <f aca="false">(B169+C169)/2</f>
        <v>-0.051025390625</v>
      </c>
      <c r="E169" s="15" t="n">
        <f aca="false">$C$2*(1+IF(E$3&lt;=$O$2,$D169,$D169-($D169-$I$157)*MIN(E$3-$O$2,$Q$2)/$Q$2))</f>
        <v>10021.171875</v>
      </c>
      <c r="F169" s="15" t="n">
        <f aca="false">E169*(1+IF(F$3&lt;=$O$2,$D169,$D169-($D169-$I$157)*MIN(F$3-$O$2,$Q$2)/$Q$2))</f>
        <v>9509.83766555786</v>
      </c>
      <c r="G169" s="15" t="n">
        <f aca="false">F169*(1+IF(G$3&lt;=$O$2,$D169,$D169-($D169-$I$157)*MIN(G$3-$O$2,$Q$2)/$Q$2))</f>
        <v>9024.59448389243</v>
      </c>
      <c r="H169" s="15" t="n">
        <f aca="false">G169*(1+IF(H$3&lt;=$O$2,$D169,$D169-($D169-$I$157)*MIN(H$3-$O$2,$Q$2)/$Q$2))</f>
        <v>8564.1110251196</v>
      </c>
      <c r="I169" s="15" t="n">
        <f aca="false">H169*(1+IF(I$3&lt;=$O$2,$D169,$D169-($D169-$I$157)*MIN(I$3-$O$2,$Q$2)/$Q$2))</f>
        <v>8127.12391470701</v>
      </c>
      <c r="J169" s="15" t="n">
        <f aca="false">I169*(1+IF(J$3&lt;=$O$2,$D169,$D169-($D169-$I$157)*MIN(J$3-$O$2,$Q$2)/$Q$2))</f>
        <v>7857.6259459691</v>
      </c>
      <c r="K169" s="15" t="n">
        <f aca="false">J169*(1+IF(K$3&lt;=$O$2,$D169,$D169-($D169-$I$157)*MIN(K$3-$O$2,$Q$2)/$Q$2))</f>
        <v>7737.44171549442</v>
      </c>
      <c r="L169" s="15" t="n">
        <f aca="false">K169*(1+IF(L$3&lt;=$O$2,$D169,$D169-($D169-$I$157)*MIN(L$3-$O$2,$Q$2)/$Q$2))</f>
        <v>7757.32573172797</v>
      </c>
      <c r="M169" s="15" t="n">
        <f aca="false">L169*(1+IF(M$3&lt;=$O$2,$D169,$D169-($D169-$I$157)*MIN(M$3-$O$2,$Q$2)/$Q$2))</f>
        <v>7915.84607701476</v>
      </c>
      <c r="N169" s="15" t="n">
        <f aca="false">M169*(1+IF(N$3&lt;=$O$2,$D169,$D169-($D169-$I$157)*MIN(N$3-$O$2,$Q$2)/$Q$2))</f>
        <v>8219.02298176443</v>
      </c>
      <c r="O169" s="15" t="n">
        <f aca="false">SUMPRODUCT(E169:N169,1/(1+$F$157)^$E$3:$N$3)*$E$2</f>
        <v>30321.3316353171</v>
      </c>
      <c r="P169" s="15" t="n">
        <f aca="false">N169*$E$2*(1+$I$157)/($F$157-$I$157)/(1+$F$157)^$N$3</f>
        <v>76935.0914890037</v>
      </c>
      <c r="Q169" s="15" t="n">
        <f aca="false">O169+P169</f>
        <v>107256.423124321</v>
      </c>
      <c r="R169" s="15" t="n">
        <f aca="false">Q169-$G$2+$I$2</f>
        <v>87796.4231243209</v>
      </c>
      <c r="S169" s="40" t="n">
        <f aca="false">R169/$K$2</f>
        <v>156.391141852047</v>
      </c>
      <c r="T169" s="41" t="n">
        <f aca="false">S169-$M$2</f>
        <v>0.581455181461848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-0.0517578125</v>
      </c>
      <c r="C170" s="25" t="n">
        <f aca="false">IF(T169&gt;0,D169,C169)</f>
        <v>-0.051025390625</v>
      </c>
      <c r="D170" s="39" t="n">
        <f aca="false">(B170+C170)/2</f>
        <v>-0.0513916015625</v>
      </c>
      <c r="E170" s="15" t="n">
        <f aca="false">$C$2*(1+IF(E$3&lt;=$O$2,$D170,$D170-($D170-$I$157)*MIN(E$3-$O$2,$Q$2)/$Q$2))</f>
        <v>10017.3046875</v>
      </c>
      <c r="F170" s="15" t="n">
        <f aca="false">E170*(1+IF(F$3&lt;=$O$2,$D170,$D170-($D170-$I$157)*MIN(F$3-$O$2,$Q$2)/$Q$2))</f>
        <v>9502.49935626984</v>
      </c>
      <c r="G170" s="15" t="n">
        <f aca="false">F170*(1+IF(G$3&lt;=$O$2,$D170,$D170-($D170-$I$157)*MIN(G$3-$O$2,$Q$2)/$Q$2))</f>
        <v>9014.1506955045</v>
      </c>
      <c r="H170" s="15" t="n">
        <f aca="false">G170*(1+IF(H$3&lt;=$O$2,$D170,$D170-($D170-$I$157)*MIN(H$3-$O$2,$Q$2)/$Q$2))</f>
        <v>8550.89905453681</v>
      </c>
      <c r="I170" s="15" t="n">
        <f aca="false">H170*(1+IF(I$3&lt;=$O$2,$D170,$D170-($D170-$I$157)*MIN(I$3-$O$2,$Q$2)/$Q$2))</f>
        <v>8111.45465732489</v>
      </c>
      <c r="J170" s="15" t="n">
        <f aca="false">I170*(1+IF(J$3&lt;=$O$2,$D170,$D170-($D170-$I$157)*MIN(J$3-$O$2,$Q$2)/$Q$2))</f>
        <v>7840.09988332678</v>
      </c>
      <c r="K170" s="15" t="n">
        <f aca="false">J170*(1+IF(K$3&lt;=$O$2,$D170,$D170-($D170-$I$157)*MIN(K$3-$O$2,$Q$2)/$Q$2))</f>
        <v>7718.46103989087</v>
      </c>
      <c r="L170" s="15" t="n">
        <f aca="false">K170*(1+IF(L$3&lt;=$O$2,$D170,$D170-($D170-$I$157)*MIN(L$3-$O$2,$Q$2)/$Q$2))</f>
        <v>7737.16564481246</v>
      </c>
      <c r="M170" s="15" t="n">
        <f aca="false">L170*(1+IF(M$3&lt;=$O$2,$D170,$D170-($D170-$I$157)*MIN(M$3-$O$2,$Q$2)/$Q$2))</f>
        <v>7894.70733336126</v>
      </c>
      <c r="N170" s="15" t="n">
        <f aca="false">M170*(1+IF(N$3&lt;=$O$2,$D170,$D170-($D170-$I$157)*MIN(N$3-$O$2,$Q$2)/$Q$2))</f>
        <v>8197.074624229</v>
      </c>
      <c r="O170" s="15" t="n">
        <f aca="false">SUMPRODUCT(E170:N170,1/(1+$F$157)^$E$3:$N$3)*$E$2</f>
        <v>30272.1124285731</v>
      </c>
      <c r="P170" s="15" t="n">
        <f aca="false">N170*$E$2*(1+$I$157)/($F$157-$I$157)/(1+$F$157)^$N$3</f>
        <v>76729.6414131531</v>
      </c>
      <c r="Q170" s="15" t="n">
        <f aca="false">O170+P170</f>
        <v>107001.753841726</v>
      </c>
      <c r="R170" s="15" t="n">
        <f aca="false">Q170-$G$2+$I$2</f>
        <v>87541.7538417262</v>
      </c>
      <c r="S170" s="40" t="n">
        <f aca="false">R170/$K$2</f>
        <v>155.937501276699</v>
      </c>
      <c r="T170" s="41" t="n">
        <f aca="false">S170-$M$2</f>
        <v>0.127814606113759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-0.0517578125</v>
      </c>
      <c r="C171" s="25" t="n">
        <f aca="false">IF(T170&gt;0,D170,C170)</f>
        <v>-0.0513916015625</v>
      </c>
      <c r="D171" s="39" t="n">
        <f aca="false">(B171+C171)/2</f>
        <v>-0.05157470703125</v>
      </c>
      <c r="E171" s="15" t="n">
        <f aca="false">$C$2*(1+IF(E$3&lt;=$O$2,$D171,$D171-($D171-$I$157)*MIN(E$3-$O$2,$Q$2)/$Q$2))</f>
        <v>10015.37109375</v>
      </c>
      <c r="F171" s="15" t="n">
        <f aca="false">E171*(1+IF(F$3&lt;=$O$2,$D171,$D171-($D171-$I$157)*MIN(F$3-$O$2,$Q$2)/$Q$2))</f>
        <v>9498.83126378059</v>
      </c>
      <c r="G171" s="15" t="n">
        <f aca="false">F171*(1+IF(G$3&lt;=$O$2,$D171,$D171-($D171-$I$157)*MIN(G$3-$O$2,$Q$2)/$Q$2))</f>
        <v>9008.93182421183</v>
      </c>
      <c r="H171" s="15" t="n">
        <f aca="false">G171*(1+IF(H$3&lt;=$O$2,$D171,$D171-($D171-$I$157)*MIN(H$3-$O$2,$Q$2)/$Q$2))</f>
        <v>8544.2988047136</v>
      </c>
      <c r="I171" s="15" t="n">
        <f aca="false">H171*(1+IF(I$3&lt;=$O$2,$D171,$D171-($D171-$I$157)*MIN(I$3-$O$2,$Q$2)/$Q$2))</f>
        <v>8103.62909707304</v>
      </c>
      <c r="J171" s="15" t="n">
        <f aca="false">I171*(1+IF(J$3&lt;=$O$2,$D171,$D171-($D171-$I$157)*MIN(J$3-$O$2,$Q$2)/$Q$2))</f>
        <v>7831.34905869945</v>
      </c>
      <c r="K171" s="15" t="n">
        <f aca="false">J171*(1+IF(K$3&lt;=$O$2,$D171,$D171-($D171-$I$157)*MIN(K$3-$O$2,$Q$2)/$Q$2))</f>
        <v>7708.9856062616</v>
      </c>
      <c r="L171" s="15" t="n">
        <f aca="false">K171*(1+IF(L$3&lt;=$O$2,$D171,$D171-($D171-$I$157)*MIN(L$3-$O$2,$Q$2)/$Q$2))</f>
        <v>7727.10262583307</v>
      </c>
      <c r="M171" s="15" t="n">
        <f aca="false">L171*(1+IF(M$3&lt;=$O$2,$D171,$D171-($D171-$I$157)*MIN(M$3-$O$2,$Q$2)/$Q$2))</f>
        <v>7884.15643946304</v>
      </c>
      <c r="N171" s="15" t="n">
        <f aca="false">M171*(1+IF(N$3&lt;=$O$2,$D171,$D171-($D171-$I$157)*MIN(N$3-$O$2,$Q$2)/$Q$2))</f>
        <v>8186.11963109448</v>
      </c>
      <c r="O171" s="15" t="n">
        <f aca="false">SUMPRODUCT(E171:N171,1/(1+$F$157)^$E$3:$N$3)*$E$2</f>
        <v>30247.5338318699</v>
      </c>
      <c r="P171" s="15" t="n">
        <f aca="false">N171*$E$2*(1+$I$157)/($F$157-$I$157)/(1+$F$157)^$N$3</f>
        <v>76627.0959645109</v>
      </c>
      <c r="Q171" s="15" t="n">
        <f aca="false">O171+P171</f>
        <v>106874.629796381</v>
      </c>
      <c r="R171" s="15" t="n">
        <f aca="false">Q171-$G$2+$I$2</f>
        <v>87414.6297963809</v>
      </c>
      <c r="S171" s="40" t="n">
        <f aca="false">R171/$K$2</f>
        <v>155.711056122091</v>
      </c>
      <c r="T171" s="41" t="n">
        <f aca="false">S171-$M$2</f>
        <v>-0.0986305484941568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-0.05157470703125</v>
      </c>
      <c r="C172" s="25" t="n">
        <f aca="false">IF(T171&gt;0,D171,C171)</f>
        <v>-0.0513916015625</v>
      </c>
      <c r="D172" s="39" t="n">
        <f aca="false">(B172+C172)/2</f>
        <v>-0.051483154296875</v>
      </c>
      <c r="E172" s="15" t="n">
        <f aca="false">$C$2*(1+IF(E$3&lt;=$O$2,$D172,$D172-($D172-$I$157)*MIN(E$3-$O$2,$Q$2)/$Q$2))</f>
        <v>10016.337890625</v>
      </c>
      <c r="F172" s="15" t="n">
        <f aca="false">E172*(1+IF(F$3&lt;=$O$2,$D172,$D172-($D172-$I$157)*MIN(F$3-$O$2,$Q$2)/$Q$2))</f>
        <v>9500.66522151232</v>
      </c>
      <c r="G172" s="15" t="n">
        <f aca="false">F172*(1+IF(G$3&lt;=$O$2,$D172,$D172-($D172-$I$157)*MIN(G$3-$O$2,$Q$2)/$Q$2))</f>
        <v>9011.54100799025</v>
      </c>
      <c r="H172" s="15" t="n">
        <f aca="false">G172*(1+IF(H$3&lt;=$O$2,$D172,$D172-($D172-$I$157)*MIN(H$3-$O$2,$Q$2)/$Q$2))</f>
        <v>8547.59845182327</v>
      </c>
      <c r="I172" s="15" t="n">
        <f aca="false">H172*(1+IF(I$3&lt;=$O$2,$D172,$D172-($D172-$I$157)*MIN(I$3-$O$2,$Q$2)/$Q$2))</f>
        <v>8107.54112186032</v>
      </c>
      <c r="J172" s="15" t="n">
        <f aca="false">I172*(1+IF(J$3&lt;=$O$2,$D172,$D172-($D172-$I$157)*MIN(J$3-$O$2,$Q$2)/$Q$2))</f>
        <v>7835.72345441778</v>
      </c>
      <c r="K172" s="15" t="n">
        <f aca="false">J172*(1+IF(K$3&lt;=$O$2,$D172,$D172-($D172-$I$157)*MIN(K$3-$O$2,$Q$2)/$Q$2))</f>
        <v>7713.7220819606</v>
      </c>
      <c r="L172" s="15" t="n">
        <f aca="false">K172*(1+IF(L$3&lt;=$O$2,$D172,$D172-($D172-$I$157)*MIN(L$3-$O$2,$Q$2)/$Q$2))</f>
        <v>7732.13271774454</v>
      </c>
      <c r="M172" s="15" t="n">
        <f aca="false">L172*(1+IF(M$3&lt;=$O$2,$D172,$D172-($D172-$I$157)*MIN(M$3-$O$2,$Q$2)/$Q$2))</f>
        <v>7889.43034786592</v>
      </c>
      <c r="N172" s="15" t="n">
        <f aca="false">M172*(1+IF(N$3&lt;=$O$2,$D172,$D172-($D172-$I$157)*MIN(N$3-$O$2,$Q$2)/$Q$2))</f>
        <v>8191.59553018918</v>
      </c>
      <c r="O172" s="15" t="n">
        <f aca="false">SUMPRODUCT(E172:N172,1/(1+$F$157)^$E$3:$N$3)*$E$2</f>
        <v>30259.8205480629</v>
      </c>
      <c r="P172" s="15" t="n">
        <f aca="false">N172*$E$2*(1+$I$157)/($F$157-$I$157)/(1+$F$157)^$N$3</f>
        <v>76678.35373551</v>
      </c>
      <c r="Q172" s="15" t="n">
        <f aca="false">O172+P172</f>
        <v>106938.174283573</v>
      </c>
      <c r="R172" s="15" t="n">
        <f aca="false">Q172-$G$2+$I$2</f>
        <v>87478.174283573</v>
      </c>
      <c r="S172" s="40" t="n">
        <f aca="false">R172/$K$2</f>
        <v>155.824247463569</v>
      </c>
      <c r="T172" s="41" t="n">
        <f aca="false">S172-$M$2</f>
        <v>0.0145607929834171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-0.05157470703125</v>
      </c>
      <c r="C173" s="25" t="n">
        <f aca="false">IF(T172&gt;0,D172,C172)</f>
        <v>-0.051483154296875</v>
      </c>
      <c r="D173" s="39" t="n">
        <f aca="false">(B173+C173)/2</f>
        <v>-0.0515289306640625</v>
      </c>
      <c r="E173" s="15" t="n">
        <f aca="false">$C$2*(1+IF(E$3&lt;=$O$2,$D173,$D173-($D173-$I$157)*MIN(E$3-$O$2,$Q$2)/$Q$2))</f>
        <v>10015.8544921875</v>
      </c>
      <c r="F173" s="15" t="n">
        <f aca="false">E173*(1+IF(F$3&lt;=$O$2,$D173,$D173-($D173-$I$157)*MIN(F$3-$O$2,$Q$2)/$Q$2))</f>
        <v>9499.74822051823</v>
      </c>
      <c r="G173" s="15" t="n">
        <f aca="false">F173*(1+IF(G$3&lt;=$O$2,$D173,$D173-($D173-$I$157)*MIN(G$3-$O$2,$Q$2)/$Q$2))</f>
        <v>9010.2363531371</v>
      </c>
      <c r="H173" s="15" t="n">
        <f aca="false">G173*(1+IF(H$3&lt;=$O$2,$D173,$D173-($D173-$I$157)*MIN(H$3-$O$2,$Q$2)/$Q$2))</f>
        <v>8545.94850882948</v>
      </c>
      <c r="I173" s="15" t="n">
        <f aca="false">H173*(1+IF(I$3&lt;=$O$2,$D173,$D173-($D173-$I$157)*MIN(I$3-$O$2,$Q$2)/$Q$2))</f>
        <v>8105.58492065936</v>
      </c>
      <c r="J173" s="15" t="n">
        <f aca="false">I173*(1+IF(J$3&lt;=$O$2,$D173,$D173-($D173-$I$157)*MIN(J$3-$O$2,$Q$2)/$Q$2))</f>
        <v>7833.53600245695</v>
      </c>
      <c r="K173" s="15" t="n">
        <f aca="false">J173*(1+IF(K$3&lt;=$O$2,$D173,$D173-($D173-$I$157)*MIN(K$3-$O$2,$Q$2)/$Q$2))</f>
        <v>7711.35353389956</v>
      </c>
      <c r="L173" s="15" t="n">
        <f aca="false">K173*(1+IF(L$3&lt;=$O$2,$D173,$D173-($D173-$I$157)*MIN(L$3-$O$2,$Q$2)/$Q$2))</f>
        <v>7729.61731747882</v>
      </c>
      <c r="M173" s="15" t="n">
        <f aca="false">L173*(1+IF(M$3&lt;=$O$2,$D173,$D173-($D173-$I$157)*MIN(M$3-$O$2,$Q$2)/$Q$2))</f>
        <v>7886.79300912395</v>
      </c>
      <c r="N173" s="15" t="n">
        <f aca="false">M173*(1+IF(N$3&lt;=$O$2,$D173,$D173-($D173-$I$157)*MIN(N$3-$O$2,$Q$2)/$Q$2))</f>
        <v>8188.8571813734</v>
      </c>
      <c r="O173" s="15" t="n">
        <f aca="false">SUMPRODUCT(E173:N173,1/(1+$F$157)^$E$3:$N$3)*$E$2</f>
        <v>30253.6765445565</v>
      </c>
      <c r="P173" s="15" t="n">
        <f aca="false">N173*$E$2*(1+$I$157)/($F$157-$I$157)/(1+$F$157)^$N$3</f>
        <v>76652.7211126133</v>
      </c>
      <c r="Q173" s="15" t="n">
        <f aca="false">O173+P173</f>
        <v>106906.39765717</v>
      </c>
      <c r="R173" s="15" t="n">
        <f aca="false">Q173-$G$2+$I$2</f>
        <v>87446.3976571698</v>
      </c>
      <c r="S173" s="40" t="n">
        <f aca="false">R173/$K$2</f>
        <v>155.767643985767</v>
      </c>
      <c r="T173" s="41" t="n">
        <f aca="false">S173-$M$2</f>
        <v>-0.0420426848183979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-0.0515289306640625</v>
      </c>
      <c r="C174" s="25" t="n">
        <f aca="false">IF(T173&gt;0,D173,C173)</f>
        <v>-0.051483154296875</v>
      </c>
      <c r="D174" s="39" t="n">
        <f aca="false">(B174+C174)/2</f>
        <v>-0.0515060424804688</v>
      </c>
      <c r="E174" s="15" t="n">
        <f aca="false">$C$2*(1+IF(E$3&lt;=$O$2,$D174,$D174-($D174-$I$157)*MIN(E$3-$O$2,$Q$2)/$Q$2))</f>
        <v>10016.0961914063</v>
      </c>
      <c r="F174" s="15" t="n">
        <f aca="false">E174*(1+IF(F$3&lt;=$O$2,$D174,$D174-($D174-$I$157)*MIN(F$3-$O$2,$Q$2)/$Q$2))</f>
        <v>9500.20671548322</v>
      </c>
      <c r="G174" s="15" t="n">
        <f aca="false">F174*(1+IF(G$3&lt;=$O$2,$D174,$D174-($D174-$I$157)*MIN(G$3-$O$2,$Q$2)/$Q$2))</f>
        <v>9010.88866482231</v>
      </c>
      <c r="H174" s="15" t="n">
        <f aca="false">G174*(1+IF(H$3&lt;=$O$2,$D174,$D174-($D174-$I$157)*MIN(H$3-$O$2,$Q$2)/$Q$2))</f>
        <v>8546.77345046519</v>
      </c>
      <c r="I174" s="15" t="n">
        <f aca="false">H174*(1+IF(I$3&lt;=$O$2,$D174,$D174-($D174-$I$157)*MIN(I$3-$O$2,$Q$2)/$Q$2))</f>
        <v>8106.56297405459</v>
      </c>
      <c r="J174" s="15" t="n">
        <f aca="false">I174*(1+IF(J$3&lt;=$O$2,$D174,$D174-($D174-$I$157)*MIN(J$3-$O$2,$Q$2)/$Q$2))</f>
        <v>7834.62966490605</v>
      </c>
      <c r="K174" s="15" t="n">
        <f aca="false">J174*(1+IF(K$3&lt;=$O$2,$D174,$D174-($D174-$I$157)*MIN(K$3-$O$2,$Q$2)/$Q$2))</f>
        <v>7712.53773036877</v>
      </c>
      <c r="L174" s="15" t="n">
        <f aca="false">K174*(1+IF(L$3&lt;=$O$2,$D174,$D174-($D174-$I$157)*MIN(L$3-$O$2,$Q$2)/$Q$2))</f>
        <v>7730.87492902361</v>
      </c>
      <c r="M174" s="15" t="n">
        <f aca="false">L174*(1+IF(M$3&lt;=$O$2,$D174,$D174-($D174-$I$157)*MIN(M$3-$O$2,$Q$2)/$Q$2))</f>
        <v>7888.1115823478</v>
      </c>
      <c r="N174" s="15" t="n">
        <f aca="false">M174*(1+IF(N$3&lt;=$O$2,$D174,$D174-($D174-$I$157)*MIN(N$3-$O$2,$Q$2)/$Q$2))</f>
        <v>8190.22625595172</v>
      </c>
      <c r="O174" s="15" t="n">
        <f aca="false">SUMPRODUCT(E174:N174,1/(1+$F$157)^$E$3:$N$3)*$E$2</f>
        <v>30256.748384941</v>
      </c>
      <c r="P174" s="15" t="n">
        <f aca="false">N174*$E$2*(1+$I$157)/($F$157-$I$157)/(1+$F$157)^$N$3</f>
        <v>76665.5364895957</v>
      </c>
      <c r="Q174" s="15" t="n">
        <f aca="false">O174+P174</f>
        <v>106922.284874537</v>
      </c>
      <c r="R174" s="15" t="n">
        <f aca="false">Q174-$G$2+$I$2</f>
        <v>87462.2848745367</v>
      </c>
      <c r="S174" s="40" t="n">
        <f aca="false">R174/$K$2</f>
        <v>155.795943772666</v>
      </c>
      <c r="T174" s="41" t="n">
        <f aca="false">S174-$M$2</f>
        <v>-0.0137428979199683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-0.0515060424804688</v>
      </c>
      <c r="C175" s="25" t="n">
        <f aca="false">IF(T174&gt;0,D174,C174)</f>
        <v>-0.051483154296875</v>
      </c>
      <c r="D175" s="39" t="n">
        <f aca="false">(B175+C175)/2</f>
        <v>-0.0514945983886719</v>
      </c>
      <c r="E175" s="15" t="n">
        <f aca="false">$C$2*(1+IF(E$3&lt;=$O$2,$D175,$D175-($D175-$I$157)*MIN(E$3-$O$2,$Q$2)/$Q$2))</f>
        <v>10016.2170410156</v>
      </c>
      <c r="F175" s="15" t="n">
        <f aca="false">E175*(1+IF(F$3&lt;=$O$2,$D175,$D175-($D175-$I$157)*MIN(F$3-$O$2,$Q$2)/$Q$2))</f>
        <v>9500.43596711475</v>
      </c>
      <c r="G175" s="15" t="n">
        <f aca="false">F175*(1+IF(G$3&lt;=$O$2,$D175,$D175-($D175-$I$157)*MIN(G$3-$O$2,$Q$2)/$Q$2))</f>
        <v>9011.21483247089</v>
      </c>
      <c r="H175" s="15" t="n">
        <f aca="false">G175*(1+IF(H$3&lt;=$O$2,$D175,$D175-($D175-$I$157)*MIN(H$3-$O$2,$Q$2)/$Q$2))</f>
        <v>8547.18594367876</v>
      </c>
      <c r="I175" s="15" t="n">
        <f aca="false">H175*(1+IF(I$3&lt;=$O$2,$D175,$D175-($D175-$I$157)*MIN(I$3-$O$2,$Q$2)/$Q$2))</f>
        <v>8107.05203615572</v>
      </c>
      <c r="J175" s="15" t="n">
        <f aca="false">I175*(1+IF(J$3&lt;=$O$2,$D175,$D175-($D175-$I$157)*MIN(J$3-$O$2,$Q$2)/$Q$2))</f>
        <v>7835.17654377835</v>
      </c>
      <c r="K175" s="15" t="n">
        <f aca="false">J175*(1+IF(K$3&lt;=$O$2,$D175,$D175-($D175-$I$157)*MIN(K$3-$O$2,$Q$2)/$Q$2))</f>
        <v>7713.12988677331</v>
      </c>
      <c r="L175" s="15" t="n">
        <f aca="false">K175*(1+IF(L$3&lt;=$O$2,$D175,$D175-($D175-$I$157)*MIN(L$3-$O$2,$Q$2)/$Q$2))</f>
        <v>7731.50380123574</v>
      </c>
      <c r="M175" s="15" t="n">
        <f aca="false">L175*(1+IF(M$3&lt;=$O$2,$D175,$D175-($D175-$I$157)*MIN(M$3-$O$2,$Q$2)/$Q$2))</f>
        <v>7888.77094106858</v>
      </c>
      <c r="N175" s="15" t="n">
        <f aca="false">M175*(1+IF(N$3&lt;=$O$2,$D175,$D175-($D175-$I$157)*MIN(N$3-$O$2,$Q$2)/$Q$2))</f>
        <v>8190.9108681115</v>
      </c>
      <c r="O175" s="15" t="n">
        <f aca="false">SUMPRODUCT(E175:N175,1/(1+$F$157)^$E$3:$N$3)*$E$2</f>
        <v>30258.2844261578</v>
      </c>
      <c r="P175" s="15" t="n">
        <f aca="false">N175*$E$2*(1+$I$157)/($F$157-$I$157)/(1+$F$157)^$N$3</f>
        <v>76671.9448789218</v>
      </c>
      <c r="Q175" s="15" t="n">
        <f aca="false">O175+P175</f>
        <v>106930.22930508</v>
      </c>
      <c r="R175" s="15" t="n">
        <f aca="false">Q175-$G$2+$I$2</f>
        <v>87470.2293050796</v>
      </c>
      <c r="S175" s="40" t="n">
        <f aca="false">R175/$K$2</f>
        <v>155.810095130087</v>
      </c>
      <c r="T175" s="41" t="n">
        <f aca="false">S175-$M$2</f>
        <v>0.000408459501585412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-0.0515060424804688</v>
      </c>
      <c r="C176" s="25" t="n">
        <f aca="false">IF(T175&gt;0,D175,C175)</f>
        <v>-0.0514945983886719</v>
      </c>
      <c r="D176" s="39" t="n">
        <f aca="false">(B176+C176)/2</f>
        <v>-0.0515003204345703</v>
      </c>
      <c r="E176" s="15" t="n">
        <f aca="false">$C$2*(1+IF(E$3&lt;=$O$2,$D176,$D176-($D176-$I$157)*MIN(E$3-$O$2,$Q$2)/$Q$2))</f>
        <v>10016.1566162109</v>
      </c>
      <c r="F176" s="15" t="n">
        <f aca="false">E176*(1+IF(F$3&lt;=$O$2,$D176,$D176-($D176-$I$157)*MIN(F$3-$O$2,$Q$2)/$Q$2))</f>
        <v>9500.32134095323</v>
      </c>
      <c r="G176" s="15" t="n">
        <f aca="false">F176*(1+IF(G$3&lt;=$O$2,$D176,$D176-($D176-$I$157)*MIN(G$3-$O$2,$Q$2)/$Q$2))</f>
        <v>9011.05174766275</v>
      </c>
      <c r="H176" s="15" t="n">
        <f aca="false">G176*(1+IF(H$3&lt;=$O$2,$D176,$D176-($D176-$I$157)*MIN(H$3-$O$2,$Q$2)/$Q$2))</f>
        <v>8546.97969520563</v>
      </c>
      <c r="I176" s="15" t="n">
        <f aca="false">H176*(1+IF(I$3&lt;=$O$2,$D176,$D176-($D176-$I$157)*MIN(I$3-$O$2,$Q$2)/$Q$2))</f>
        <v>8106.80750215477</v>
      </c>
      <c r="J176" s="15" t="n">
        <f aca="false">I176*(1+IF(J$3&lt;=$O$2,$D176,$D176-($D176-$I$157)*MIN(J$3-$O$2,$Q$2)/$Q$2))</f>
        <v>7834.9031003714</v>
      </c>
      <c r="K176" s="15" t="n">
        <f aca="false">J176*(1+IF(K$3&lt;=$O$2,$D176,$D176-($D176-$I$157)*MIN(K$3-$O$2,$Q$2)/$Q$2))</f>
        <v>7712.83380372333</v>
      </c>
      <c r="L176" s="15" t="n">
        <f aca="false">K176*(1+IF(L$3&lt;=$O$2,$D176,$D176-($D176-$I$157)*MIN(L$3-$O$2,$Q$2)/$Q$2))</f>
        <v>7731.18935959275</v>
      </c>
      <c r="M176" s="15" t="n">
        <f aca="false">L176*(1+IF(M$3&lt;=$O$2,$D176,$D176-($D176-$I$157)*MIN(M$3-$O$2,$Q$2)/$Q$2))</f>
        <v>7888.4412556988</v>
      </c>
      <c r="N176" s="15" t="n">
        <f aca="false">M176*(1+IF(N$3&lt;=$O$2,$D176,$D176-($D176-$I$157)*MIN(N$3-$O$2,$Q$2)/$Q$2))</f>
        <v>8190.56855579207</v>
      </c>
      <c r="O176" s="15" t="n">
        <f aca="false">SUMPRODUCT(E176:N176,1/(1+$F$157)^$E$3:$N$3)*$E$2</f>
        <v>30257.5163954636</v>
      </c>
      <c r="P176" s="15" t="n">
        <f aca="false">N176*$E$2*(1+$I$157)/($F$157-$I$157)/(1+$F$157)^$N$3</f>
        <v>76668.7406258528</v>
      </c>
      <c r="Q176" s="15" t="n">
        <f aca="false">O176+P176</f>
        <v>106926.257021316</v>
      </c>
      <c r="R176" s="15" t="n">
        <f aca="false">Q176-$G$2+$I$2</f>
        <v>87466.2570213164</v>
      </c>
      <c r="S176" s="40" t="n">
        <f aca="false">R176/$K$2</f>
        <v>155.803019329373</v>
      </c>
      <c r="T176" s="41" t="n">
        <f aca="false">S176-$M$2</f>
        <v>-0.00666734121301715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-0.0515003204345703</v>
      </c>
      <c r="C177" s="25" t="n">
        <f aca="false">IF(T176&gt;0,D176,C176)</f>
        <v>-0.0514945983886719</v>
      </c>
      <c r="D177" s="39" t="n">
        <f aca="false">(B177+C177)/2</f>
        <v>-0.0514974594116211</v>
      </c>
      <c r="E177" s="15" t="n">
        <f aca="false">$C$2*(1+IF(E$3&lt;=$O$2,$D177,$D177-($D177-$I$157)*MIN(E$3-$O$2,$Q$2)/$Q$2))</f>
        <v>10016.1868286133</v>
      </c>
      <c r="F177" s="15" t="n">
        <f aca="false">E177*(1+IF(F$3&lt;=$O$2,$D177,$D177-($D177-$I$157)*MIN(F$3-$O$2,$Q$2)/$Q$2))</f>
        <v>9500.37865394756</v>
      </c>
      <c r="G177" s="15" t="n">
        <f aca="false">F177*(1+IF(G$3&lt;=$O$2,$D177,$D177-($D177-$I$157)*MIN(G$3-$O$2,$Q$2)/$Q$2))</f>
        <v>9011.13328982086</v>
      </c>
      <c r="H177" s="15" t="n">
        <f aca="false">G177*(1+IF(H$3&lt;=$O$2,$D177,$D177-($D177-$I$157)*MIN(H$3-$O$2,$Q$2)/$Q$2))</f>
        <v>8547.0828189756</v>
      </c>
      <c r="I177" s="15" t="n">
        <f aca="false">H177*(1+IF(I$3&lt;=$O$2,$D177,$D177-($D177-$I$157)*MIN(I$3-$O$2,$Q$2)/$Q$2))</f>
        <v>8106.92976841764</v>
      </c>
      <c r="J177" s="15" t="n">
        <f aca="false">I177*(1+IF(J$3&lt;=$O$2,$D177,$D177-($D177-$I$157)*MIN(J$3-$O$2,$Q$2)/$Q$2))</f>
        <v>7835.03982108216</v>
      </c>
      <c r="K177" s="15" t="n">
        <f aca="false">J177*(1+IF(K$3&lt;=$O$2,$D177,$D177-($D177-$I$157)*MIN(K$3-$O$2,$Q$2)/$Q$2))</f>
        <v>7712.98184403637</v>
      </c>
      <c r="L177" s="15" t="n">
        <f aca="false">K177*(1+IF(L$3&lt;=$O$2,$D177,$D177-($D177-$I$157)*MIN(L$3-$O$2,$Q$2)/$Q$2))</f>
        <v>7731.34657902999</v>
      </c>
      <c r="M177" s="15" t="n">
        <f aca="false">L177*(1+IF(M$3&lt;=$O$2,$D177,$D177-($D177-$I$157)*MIN(M$3-$O$2,$Q$2)/$Q$2))</f>
        <v>7888.60609688132</v>
      </c>
      <c r="N177" s="15" t="n">
        <f aca="false">M177*(1+IF(N$3&lt;=$O$2,$D177,$D177-($D177-$I$157)*MIN(N$3-$O$2,$Q$2)/$Q$2))</f>
        <v>8190.73971039187</v>
      </c>
      <c r="O177" s="15" t="n">
        <f aca="false">SUMPRODUCT(E177:N177,1/(1+$F$157)^$E$3:$N$3)*$E$2</f>
        <v>30257.9004082892</v>
      </c>
      <c r="P177" s="15" t="n">
        <f aca="false">N177*$E$2*(1+$I$157)/($F$157-$I$157)/(1+$F$157)^$N$3</f>
        <v>76670.3427377856</v>
      </c>
      <c r="Q177" s="15" t="n">
        <f aca="false">O177+P177</f>
        <v>106928.243146075</v>
      </c>
      <c r="R177" s="15" t="n">
        <f aca="false">Q177-$G$2+$I$2</f>
        <v>87468.2431460748</v>
      </c>
      <c r="S177" s="40" t="n">
        <f aca="false">R177/$K$2</f>
        <v>155.806557199228</v>
      </c>
      <c r="T177" s="41" t="n">
        <f aca="false">S177-$M$2</f>
        <v>-0.00312947135716968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-0.0514974594116211</v>
      </c>
      <c r="C178" s="25" t="n">
        <f aca="false">IF(T177&gt;0,D177,C177)</f>
        <v>-0.0514945983886719</v>
      </c>
      <c r="D178" s="39" t="n">
        <f aca="false">(B178+C178)/2</f>
        <v>-0.0514960289001465</v>
      </c>
      <c r="E178" s="15" t="n">
        <f aca="false">$C$2*(1+IF(E$3&lt;=$O$2,$D178,$D178-($D178-$I$157)*MIN(E$3-$O$2,$Q$2)/$Q$2))</f>
        <v>10016.2019348145</v>
      </c>
      <c r="F178" s="15" t="n">
        <f aca="false">E178*(1+IF(F$3&lt;=$O$2,$D178,$D178-($D178-$I$157)*MIN(F$3-$O$2,$Q$2)/$Q$2))</f>
        <v>9500.40731050955</v>
      </c>
      <c r="G178" s="15" t="n">
        <f aca="false">F178*(1+IF(G$3&lt;=$O$2,$D178,$D178-($D178-$I$157)*MIN(G$3-$O$2,$Q$2)/$Q$2))</f>
        <v>9011.17406108438</v>
      </c>
      <c r="H178" s="15" t="n">
        <f aca="false">G178*(1+IF(H$3&lt;=$O$2,$D178,$D178-($D178-$I$157)*MIN(H$3-$O$2,$Q$2)/$Q$2))</f>
        <v>8547.13438121053</v>
      </c>
      <c r="I178" s="15" t="n">
        <f aca="false">H178*(1+IF(I$3&lt;=$O$2,$D178,$D178-($D178-$I$157)*MIN(I$3-$O$2,$Q$2)/$Q$2))</f>
        <v>8106.99090210228</v>
      </c>
      <c r="J178" s="15" t="n">
        <f aca="false">I178*(1+IF(J$3&lt;=$O$2,$D178,$D178-($D178-$I$157)*MIN(J$3-$O$2,$Q$2)/$Q$2))</f>
        <v>7835.10818218208</v>
      </c>
      <c r="K178" s="15" t="n">
        <f aca="false">J178*(1+IF(K$3&lt;=$O$2,$D178,$D178-($D178-$I$157)*MIN(K$3-$O$2,$Q$2)/$Q$2))</f>
        <v>7713.05586510185</v>
      </c>
      <c r="L178" s="15" t="n">
        <f aca="false">K178*(1+IF(L$3&lt;=$O$2,$D178,$D178-($D178-$I$157)*MIN(L$3-$O$2,$Q$2)/$Q$2))</f>
        <v>7731.4251897868</v>
      </c>
      <c r="M178" s="15" t="n">
        <f aca="false">L178*(1+IF(M$3&lt;=$O$2,$D178,$D178-($D178-$I$157)*MIN(M$3-$O$2,$Q$2)/$Q$2))</f>
        <v>7888.68851859935</v>
      </c>
      <c r="N178" s="15" t="n">
        <f aca="false">M178*(1+IF(N$3&lt;=$O$2,$D178,$D178-($D178-$I$157)*MIN(N$3-$O$2,$Q$2)/$Q$2))</f>
        <v>8190.82528886171</v>
      </c>
      <c r="O178" s="15" t="n">
        <f aca="false">SUMPRODUCT(E178:N178,1/(1+$F$157)^$E$3:$N$3)*$E$2</f>
        <v>30258.0924165931</v>
      </c>
      <c r="P178" s="15" t="n">
        <f aca="false">N178*$E$2*(1+$I$157)/($F$157-$I$157)/(1+$F$157)^$N$3</f>
        <v>76671.1438047032</v>
      </c>
      <c r="Q178" s="15" t="n">
        <f aca="false">O178+P178</f>
        <v>106929.236221296</v>
      </c>
      <c r="R178" s="15" t="n">
        <f aca="false">Q178-$G$2+$I$2</f>
        <v>87469.2362212964</v>
      </c>
      <c r="S178" s="40" t="n">
        <f aca="false">R178/$K$2</f>
        <v>155.808326157032</v>
      </c>
      <c r="T178" s="41" t="n">
        <f aca="false">S178-$M$2</f>
        <v>-0.00136051355320888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-0.0514960289001465</v>
      </c>
      <c r="C179" s="25" t="n">
        <f aca="false">IF(T178&gt;0,D178,C178)</f>
        <v>-0.0514945983886719</v>
      </c>
      <c r="D179" s="39" t="n">
        <f aca="false">(B179+C179)/2</f>
        <v>-0.0514953136444092</v>
      </c>
      <c r="E179" s="15" t="n">
        <f aca="false">$C$2*(1+IF(E$3&lt;=$O$2,$D179,$D179-($D179-$I$157)*MIN(E$3-$O$2,$Q$2)/$Q$2))</f>
        <v>10016.209487915</v>
      </c>
      <c r="F179" s="15" t="n">
        <f aca="false">E179*(1+IF(F$3&lt;=$O$2,$D179,$D179-($D179-$I$157)*MIN(F$3-$O$2,$Q$2)/$Q$2))</f>
        <v>9500.42163880675</v>
      </c>
      <c r="G179" s="15" t="n">
        <f aca="false">F179*(1+IF(G$3&lt;=$O$2,$D179,$D179-($D179-$I$157)*MIN(G$3-$O$2,$Q$2)/$Q$2))</f>
        <v>9011.19444676226</v>
      </c>
      <c r="H179" s="15" t="n">
        <f aca="false">G179*(1+IF(H$3&lt;=$O$2,$D179,$D179-($D179-$I$157)*MIN(H$3-$O$2,$Q$2)/$Q$2))</f>
        <v>8547.16016241548</v>
      </c>
      <c r="I179" s="15" t="n">
        <f aca="false">H179*(1+IF(I$3&lt;=$O$2,$D179,$D179-($D179-$I$157)*MIN(I$3-$O$2,$Q$2)/$Q$2))</f>
        <v>8107.0214690829</v>
      </c>
      <c r="J179" s="15" t="n">
        <f aca="false">I179*(1+IF(J$3&lt;=$O$2,$D179,$D179-($D179-$I$157)*MIN(J$3-$O$2,$Q$2)/$Q$2))</f>
        <v>7835.14236291816</v>
      </c>
      <c r="K179" s="15" t="n">
        <f aca="false">J179*(1+IF(K$3&lt;=$O$2,$D179,$D179-($D179-$I$157)*MIN(K$3-$O$2,$Q$2)/$Q$2))</f>
        <v>7713.09287586183</v>
      </c>
      <c r="L179" s="15" t="n">
        <f aca="false">K179*(1+IF(L$3&lt;=$O$2,$D179,$D179-($D179-$I$157)*MIN(L$3-$O$2,$Q$2)/$Q$2))</f>
        <v>7731.46449542475</v>
      </c>
      <c r="M179" s="15" t="n">
        <f aca="false">L179*(1+IF(M$3&lt;=$O$2,$D179,$D179-($D179-$I$157)*MIN(M$3-$O$2,$Q$2)/$Q$2))</f>
        <v>7888.72972974006</v>
      </c>
      <c r="N179" s="15" t="n">
        <f aca="false">M179*(1+IF(N$3&lt;=$O$2,$D179,$D179-($D179-$I$157)*MIN(N$3-$O$2,$Q$2)/$Q$2))</f>
        <v>8190.86807838911</v>
      </c>
      <c r="O179" s="15" t="n">
        <f aca="false">SUMPRODUCT(E179:N179,1/(1+$F$157)^$E$3:$N$3)*$E$2</f>
        <v>30258.1884212179</v>
      </c>
      <c r="P179" s="15" t="n">
        <f aca="false">N179*$E$2*(1+$I$157)/($F$157-$I$157)/(1+$F$157)^$N$3</f>
        <v>76671.5443408999</v>
      </c>
      <c r="Q179" s="15" t="n">
        <f aca="false">O179+P179</f>
        <v>106929.732762118</v>
      </c>
      <c r="R179" s="15" t="n">
        <f aca="false">Q179-$G$2+$I$2</f>
        <v>87469.7327621177</v>
      </c>
      <c r="S179" s="40" t="n">
        <f aca="false">R179/$K$2</f>
        <v>155.809210641653</v>
      </c>
      <c r="T179" s="41" t="n">
        <f aca="false">S179-$M$2</f>
        <v>-0.000476028932240524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-0.0514953136444092</v>
      </c>
      <c r="C180" s="25" t="n">
        <f aca="false">IF(T179&gt;0,D179,C179)</f>
        <v>-0.0514945983886719</v>
      </c>
      <c r="D180" s="39" t="n">
        <f aca="false">(B180+C180)/2</f>
        <v>-0.0514949560165405</v>
      </c>
      <c r="E180" s="15" t="n">
        <f aca="false">$C$2*(1+IF(E$3&lt;=$O$2,$D180,$D180-($D180-$I$157)*MIN(E$3-$O$2,$Q$2)/$Q$2))</f>
        <v>10016.2132644653</v>
      </c>
      <c r="F180" s="15" t="n">
        <f aca="false">E180*(1+IF(F$3&lt;=$O$2,$D180,$D180-($D180-$I$157)*MIN(F$3-$O$2,$Q$2)/$Q$2))</f>
        <v>9500.4288029594</v>
      </c>
      <c r="G180" s="15" t="n">
        <f aca="false">F180*(1+IF(G$3&lt;=$O$2,$D180,$D180-($D180-$I$157)*MIN(G$3-$O$2,$Q$2)/$Q$2))</f>
        <v>9011.20463961273</v>
      </c>
      <c r="H180" s="15" t="n">
        <f aca="false">G180*(1+IF(H$3&lt;=$O$2,$D180,$D180-($D180-$I$157)*MIN(H$3-$O$2,$Q$2)/$Q$2))</f>
        <v>8547.17305303983</v>
      </c>
      <c r="I180" s="15" t="n">
        <f aca="false">H180*(1+IF(I$3&lt;=$O$2,$D180,$D180-($D180-$I$157)*MIN(I$3-$O$2,$Q$2)/$Q$2))</f>
        <v>8107.03675260778</v>
      </c>
      <c r="J180" s="15" t="n">
        <f aca="false">I180*(1+IF(J$3&lt;=$O$2,$D180,$D180-($D180-$I$157)*MIN(J$3-$O$2,$Q$2)/$Q$2))</f>
        <v>7835.15945333274</v>
      </c>
      <c r="K180" s="15" t="n">
        <f aca="false">J180*(1+IF(K$3&lt;=$O$2,$D180,$D180-($D180-$I$157)*MIN(K$3-$O$2,$Q$2)/$Q$2))</f>
        <v>7713.11138129863</v>
      </c>
      <c r="L180" s="15" t="n">
        <f aca="false">K180*(1+IF(L$3&lt;=$O$2,$D180,$D180-($D180-$I$157)*MIN(L$3-$O$2,$Q$2)/$Q$2))</f>
        <v>7731.48414830861</v>
      </c>
      <c r="M180" s="15" t="n">
        <f aca="false">L180*(1+IF(M$3&lt;=$O$2,$D180,$D180-($D180-$I$157)*MIN(M$3-$O$2,$Q$2)/$Q$2))</f>
        <v>7888.75033538084</v>
      </c>
      <c r="N180" s="15" t="n">
        <f aca="false">M180*(1+IF(N$3&lt;=$O$2,$D180,$D180-($D180-$I$157)*MIN(N$3-$O$2,$Q$2)/$Q$2))</f>
        <v>8190.88947322593</v>
      </c>
      <c r="O180" s="15" t="n">
        <f aca="false">SUMPRODUCT(E180:N180,1/(1+$F$157)^$E$3:$N$3)*$E$2</f>
        <v>30258.2364236484</v>
      </c>
      <c r="P180" s="15" t="n">
        <f aca="false">N180*$E$2*(1+$I$157)/($F$157-$I$157)/(1+$F$157)^$N$3</f>
        <v>76671.7446096827</v>
      </c>
      <c r="Q180" s="15" t="n">
        <f aca="false">O180+P180</f>
        <v>106929.981033331</v>
      </c>
      <c r="R180" s="15" t="n">
        <f aca="false">Q180-$G$2+$I$2</f>
        <v>87469.9810333311</v>
      </c>
      <c r="S180" s="40" t="n">
        <f aca="false">R180/$K$2</f>
        <v>155.809652885394</v>
      </c>
      <c r="T180" s="41" t="n">
        <f aca="false">S180-$M$2</f>
        <v>-3.37851919312016E-005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-0.0514949560165405</v>
      </c>
      <c r="C181" s="25" t="n">
        <f aca="false">IF(T180&gt;0,D180,C180)</f>
        <v>-0.0514945983886719</v>
      </c>
      <c r="D181" s="39" t="n">
        <f aca="false">(B181+C181)/2</f>
        <v>-0.0514947772026062</v>
      </c>
      <c r="E181" s="15" t="n">
        <f aca="false">$C$2*(1+IF(E$3&lt;=$O$2,$D181,$D181-($D181-$I$157)*MIN(E$3-$O$2,$Q$2)/$Q$2))</f>
        <v>10016.2151527405</v>
      </c>
      <c r="F181" s="15" t="n">
        <f aca="false">E181*(1+IF(F$3&lt;=$O$2,$D181,$D181-($D181-$I$157)*MIN(F$3-$O$2,$Q$2)/$Q$2))</f>
        <v>9500.43238503674</v>
      </c>
      <c r="G181" s="15" t="n">
        <f aca="false">F181*(1+IF(G$3&lt;=$O$2,$D181,$D181-($D181-$I$157)*MIN(G$3-$O$2,$Q$2)/$Q$2))</f>
        <v>9011.20973604085</v>
      </c>
      <c r="H181" s="15" t="n">
        <f aca="false">G181*(1+IF(H$3&lt;=$O$2,$D181,$D181-($D181-$I$157)*MIN(H$3-$O$2,$Q$2)/$Q$2))</f>
        <v>8547.17949835747</v>
      </c>
      <c r="I181" s="15" t="n">
        <f aca="false">H181*(1+IF(I$3&lt;=$O$2,$D181,$D181-($D181-$I$157)*MIN(I$3-$O$2,$Q$2)/$Q$2))</f>
        <v>8107.04439437887</v>
      </c>
      <c r="J181" s="15" t="n">
        <f aca="false">I181*(1+IF(J$3&lt;=$O$2,$D181,$D181-($D181-$I$157)*MIN(J$3-$O$2,$Q$2)/$Q$2))</f>
        <v>7835.16799855167</v>
      </c>
      <c r="K181" s="15" t="n">
        <f aca="false">J181*(1+IF(K$3&lt;=$O$2,$D181,$D181-($D181-$I$157)*MIN(K$3-$O$2,$Q$2)/$Q$2))</f>
        <v>7713.12063403124</v>
      </c>
      <c r="L181" s="15" t="n">
        <f aca="false">K181*(1+IF(L$3&lt;=$O$2,$D181,$D181-($D181-$I$157)*MIN(L$3-$O$2,$Q$2)/$Q$2))</f>
        <v>7731.49397476677</v>
      </c>
      <c r="M181" s="15" t="n">
        <f aca="false">L181*(1+IF(M$3&lt;=$O$2,$D181,$D181-($D181-$I$157)*MIN(M$3-$O$2,$Q$2)/$Q$2))</f>
        <v>7888.76063821884</v>
      </c>
      <c r="N181" s="15" t="n">
        <f aca="false">M181*(1+IF(N$3&lt;=$O$2,$D181,$D181-($D181-$I$157)*MIN(N$3-$O$2,$Q$2)/$Q$2))</f>
        <v>8190.90017066262</v>
      </c>
      <c r="O181" s="15" t="n">
        <f aca="false">SUMPRODUCT(E181:N181,1/(1+$F$157)^$E$3:$N$3)*$E$2</f>
        <v>30258.2604248933</v>
      </c>
      <c r="P181" s="15" t="n">
        <f aca="false">N181*$E$2*(1+$I$157)/($F$157-$I$157)/(1+$F$157)^$N$3</f>
        <v>76671.8447442452</v>
      </c>
      <c r="Q181" s="15" t="n">
        <f aca="false">O181+P181</f>
        <v>106930.105169138</v>
      </c>
      <c r="R181" s="15" t="n">
        <f aca="false">Q181-$G$2+$I$2</f>
        <v>87470.1051691384</v>
      </c>
      <c r="S181" s="40" t="n">
        <f aca="false">R181/$K$2</f>
        <v>155.809874007621</v>
      </c>
      <c r="T181" s="41" t="n">
        <f aca="false">S181-$M$2</f>
        <v>0.000187337035640667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-0.0514949560165405</v>
      </c>
      <c r="C182" s="25" t="n">
        <f aca="false">IF(T181&gt;0,D181,C181)</f>
        <v>-0.0514947772026062</v>
      </c>
      <c r="D182" s="39" t="n">
        <f aca="false">(B182+C182)/2</f>
        <v>-0.0514948666095734</v>
      </c>
      <c r="E182" s="15" t="n">
        <f aca="false">$C$2*(1+IF(E$3&lt;=$O$2,$D182,$D182-($D182-$I$157)*MIN(E$3-$O$2,$Q$2)/$Q$2))</f>
        <v>10016.2142086029</v>
      </c>
      <c r="F182" s="15" t="n">
        <f aca="false">E182*(1+IF(F$3&lt;=$O$2,$D182,$D182-($D182-$I$157)*MIN(F$3-$O$2,$Q$2)/$Q$2))</f>
        <v>9500.43059399799</v>
      </c>
      <c r="G182" s="15" t="n">
        <f aca="false">F182*(1+IF(G$3&lt;=$O$2,$D182,$D182-($D182-$I$157)*MIN(G$3-$O$2,$Q$2)/$Q$2))</f>
        <v>9011.20718782655</v>
      </c>
      <c r="H182" s="15" t="n">
        <f aca="false">G182*(1+IF(H$3&lt;=$O$2,$D182,$D182-($D182-$I$157)*MIN(H$3-$O$2,$Q$2)/$Q$2))</f>
        <v>8547.17627569819</v>
      </c>
      <c r="I182" s="15" t="n">
        <f aca="false">H182*(1+IF(I$3&lt;=$O$2,$D182,$D182-($D182-$I$157)*MIN(I$3-$O$2,$Q$2)/$Q$2))</f>
        <v>8107.04057349261</v>
      </c>
      <c r="J182" s="15" t="n">
        <f aca="false">I182*(1+IF(J$3&lt;=$O$2,$D182,$D182-($D182-$I$157)*MIN(J$3-$O$2,$Q$2)/$Q$2))</f>
        <v>7835.16372594124</v>
      </c>
      <c r="K182" s="15" t="n">
        <f aca="false">J182*(1+IF(K$3&lt;=$O$2,$D182,$D182-($D182-$I$157)*MIN(K$3-$O$2,$Q$2)/$Q$2))</f>
        <v>7713.11600766375</v>
      </c>
      <c r="L182" s="15" t="n">
        <f aca="false">K182*(1+IF(L$3&lt;=$O$2,$D182,$D182-($D182-$I$157)*MIN(L$3-$O$2,$Q$2)/$Q$2))</f>
        <v>7731.48906153634</v>
      </c>
      <c r="M182" s="15" t="n">
        <f aca="false">L182*(1+IF(M$3&lt;=$O$2,$D182,$D182-($D182-$I$157)*MIN(M$3-$O$2,$Q$2)/$Q$2))</f>
        <v>7888.75548679838</v>
      </c>
      <c r="N182" s="15" t="n">
        <f aca="false">M182*(1+IF(N$3&lt;=$O$2,$D182,$D182-($D182-$I$157)*MIN(N$3-$O$2,$Q$2)/$Q$2))</f>
        <v>8190.89482194275</v>
      </c>
      <c r="O182" s="15" t="n">
        <f aca="false">SUMPRODUCT(E182:N182,1/(1+$F$157)^$E$3:$N$3)*$E$2</f>
        <v>30258.2484242684</v>
      </c>
      <c r="P182" s="15" t="n">
        <f aca="false">N182*$E$2*(1+$I$157)/($F$157-$I$157)/(1+$F$157)^$N$3</f>
        <v>76671.7946769497</v>
      </c>
      <c r="Q182" s="15" t="n">
        <f aca="false">O182+P182</f>
        <v>106930.043101218</v>
      </c>
      <c r="R182" s="15" t="n">
        <f aca="false">Q182-$G$2+$I$2</f>
        <v>87470.0431012181</v>
      </c>
      <c r="S182" s="40" t="n">
        <f aca="false">R182/$K$2</f>
        <v>155.809763446478</v>
      </c>
      <c r="T182" s="41" t="n">
        <f aca="false">S182-$M$2</f>
        <v>7.67758920972028E-005</v>
      </c>
    </row>
    <row r="184" customFormat="false" ht="15" hidden="false" customHeight="false" outlineLevel="0" collapsed="false">
      <c r="A184" s="36" t="s">
        <v>192</v>
      </c>
      <c r="E184" s="5" t="s">
        <v>11</v>
      </c>
      <c r="F184" s="12" t="n">
        <f aca="false">Sensitivity!$B$11</f>
        <v>0.0720172026214128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6" t="s">
        <v>167</v>
      </c>
      <c r="B185" s="28" t="s">
        <v>168</v>
      </c>
      <c r="C185" s="28" t="s">
        <v>169</v>
      </c>
      <c r="D185" s="28" t="s">
        <v>170</v>
      </c>
      <c r="E185" s="28" t="s">
        <v>171</v>
      </c>
      <c r="F185" s="28" t="s">
        <v>172</v>
      </c>
      <c r="G185" s="28" t="s">
        <v>173</v>
      </c>
      <c r="H185" s="28" t="s">
        <v>174</v>
      </c>
      <c r="I185" s="28" t="s">
        <v>175</v>
      </c>
      <c r="J185" s="28" t="s">
        <v>176</v>
      </c>
      <c r="K185" s="28" t="s">
        <v>177</v>
      </c>
      <c r="L185" s="28" t="s">
        <v>178</v>
      </c>
      <c r="M185" s="28" t="s">
        <v>179</v>
      </c>
      <c r="N185" s="28" t="s">
        <v>180</v>
      </c>
      <c r="O185" s="28" t="s">
        <v>181</v>
      </c>
      <c r="P185" s="28" t="s">
        <v>182</v>
      </c>
      <c r="Q185" s="28" t="s">
        <v>183</v>
      </c>
      <c r="R185" s="28" t="s">
        <v>184</v>
      </c>
      <c r="S185" s="28" t="s">
        <v>185</v>
      </c>
      <c r="T185" s="28" t="s">
        <v>186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39" t="n">
        <f aca="false">(B186+C186)/2</f>
        <v>0.25</v>
      </c>
      <c r="E186" s="15" t="n">
        <f aca="false">$C$2*(1+IF(E$3&lt;=$O$2,$D186,$D186-($D186-$I$184)*MIN(E$3-$O$2,$Q$2)/$Q$2))</f>
        <v>13200</v>
      </c>
      <c r="F186" s="15" t="n">
        <f aca="false">E186*(1+IF(F$3&lt;=$O$2,$D186,$D186-($D186-$I$184)*MIN(F$3-$O$2,$Q$2)/$Q$2))</f>
        <v>16500</v>
      </c>
      <c r="G186" s="15" t="n">
        <f aca="false">F186*(1+IF(G$3&lt;=$O$2,$D186,$D186-($D186-$I$184)*MIN(G$3-$O$2,$Q$2)/$Q$2))</f>
        <v>20625</v>
      </c>
      <c r="H186" s="15" t="n">
        <f aca="false">G186*(1+IF(H$3&lt;=$O$2,$D186,$D186-($D186-$I$184)*MIN(H$3-$O$2,$Q$2)/$Q$2))</f>
        <v>25781.25</v>
      </c>
      <c r="I186" s="15" t="n">
        <f aca="false">H186*(1+IF(I$3&lt;=$O$2,$D186,$D186-($D186-$I$184)*MIN(I$3-$O$2,$Q$2)/$Q$2))</f>
        <v>32226.5625</v>
      </c>
      <c r="J186" s="15" t="n">
        <f aca="false">I186*(1+IF(J$3&lt;=$O$2,$D186,$D186-($D186-$I$184)*MIN(J$3-$O$2,$Q$2)/$Q$2))</f>
        <v>38789.82421875</v>
      </c>
      <c r="K186" s="15" t="n">
        <f aca="false">J186*(1+IF(K$3&lt;=$O$2,$D186,$D186-($D186-$I$184)*MIN(K$3-$O$2,$Q$2)/$Q$2))</f>
        <v>44892.2393648437</v>
      </c>
      <c r="L186" s="15" t="n">
        <f aca="false">K186*(1+IF(L$3&lt;=$O$2,$D186,$D186-($D186-$I$184)*MIN(L$3-$O$2,$Q$2)/$Q$2))</f>
        <v>49874.3800895541</v>
      </c>
      <c r="M186" s="15" t="n">
        <f aca="false">L186*(1+IF(M$3&lt;=$O$2,$D186,$D186-($D186-$I$184)*MIN(M$3-$O$2,$Q$2)/$Q$2))</f>
        <v>53098.2600185429</v>
      </c>
      <c r="N186" s="15" t="n">
        <f aca="false">M186*(1+IF(N$3&lt;=$O$2,$D186,$D186-($D186-$I$184)*MIN(N$3-$O$2,$Q$2)/$Q$2))</f>
        <v>54069.9581768822</v>
      </c>
      <c r="O186" s="15" t="n">
        <f aca="false">SUMPRODUCT(E186:N186,1/(1+$F$184)^$E$3:$N$3)*$E$2</f>
        <v>110347.640102144</v>
      </c>
      <c r="P186" s="15" t="n">
        <f aca="false">N186*$E$2*(1+$I$184)/($F$184-$I$184)/(1+$F$184)^$N$3</f>
        <v>253243.67929981</v>
      </c>
      <c r="Q186" s="15" t="n">
        <f aca="false">O186+P186</f>
        <v>363591.319401954</v>
      </c>
      <c r="R186" s="15" t="n">
        <f aca="false">Q186-$G$2+$I$2</f>
        <v>344131.319401954</v>
      </c>
      <c r="S186" s="40" t="n">
        <f aca="false">R186/$K$2</f>
        <v>612.998662965058</v>
      </c>
      <c r="T186" s="41" t="n">
        <f aca="false">S186-$M$2</f>
        <v>457.188976294473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39" t="n">
        <f aca="false">(B187+C187)/2</f>
        <v>-0.125</v>
      </c>
      <c r="E187" s="15" t="n">
        <f aca="false">$C$2*(1+IF(E$3&lt;=$O$2,$D187,$D187-($D187-$I$184)*MIN(E$3-$O$2,$Q$2)/$Q$2))</f>
        <v>9240</v>
      </c>
      <c r="F187" s="15" t="n">
        <f aca="false">E187*(1+IF(F$3&lt;=$O$2,$D187,$D187-($D187-$I$184)*MIN(F$3-$O$2,$Q$2)/$Q$2))</f>
        <v>8085</v>
      </c>
      <c r="G187" s="15" t="n">
        <f aca="false">F187*(1+IF(G$3&lt;=$O$2,$D187,$D187-($D187-$I$184)*MIN(G$3-$O$2,$Q$2)/$Q$2))</f>
        <v>7074.375</v>
      </c>
      <c r="H187" s="15" t="n">
        <f aca="false">G187*(1+IF(H$3&lt;=$O$2,$D187,$D187-($D187-$I$184)*MIN(H$3-$O$2,$Q$2)/$Q$2))</f>
        <v>6190.078125</v>
      </c>
      <c r="I187" s="15" t="n">
        <f aca="false">H187*(1+IF(I$3&lt;=$O$2,$D187,$D187-($D187-$I$184)*MIN(I$3-$O$2,$Q$2)/$Q$2))</f>
        <v>5416.318359375</v>
      </c>
      <c r="J187" s="15" t="n">
        <f aca="false">I187*(1+IF(J$3&lt;=$O$2,$D187,$D187-($D187-$I$184)*MIN(J$3-$O$2,$Q$2)/$Q$2))</f>
        <v>4894.51024863281</v>
      </c>
      <c r="K187" s="15" t="n">
        <f aca="false">J187*(1+IF(K$3&lt;=$O$2,$D187,$D187-($D187-$I$184)*MIN(K$3-$O$2,$Q$2)/$Q$2))</f>
        <v>4563.24979500534</v>
      </c>
      <c r="L187" s="15" t="n">
        <f aca="false">K187*(1+IF(L$3&lt;=$O$2,$D187,$D187-($D187-$I$184)*MIN(L$3-$O$2,$Q$2)/$Q$2))</f>
        <v>4385.19178800424</v>
      </c>
      <c r="M187" s="15" t="n">
        <f aca="false">L187*(1+IF(M$3&lt;=$O$2,$D187,$D187-($D187-$I$184)*MIN(M$3-$O$2,$Q$2)/$Q$2))</f>
        <v>4339.76120108051</v>
      </c>
      <c r="N187" s="15" t="n">
        <f aca="false">M187*(1+IF(N$3&lt;=$O$2,$D187,$D187-($D187-$I$184)*MIN(N$3-$O$2,$Q$2)/$Q$2))</f>
        <v>4419.17883106029</v>
      </c>
      <c r="O187" s="15" t="n">
        <f aca="false">SUMPRODUCT(E187:N187,1/(1+$F$184)^$E$3:$N$3)*$E$2</f>
        <v>21285.5194639669</v>
      </c>
      <c r="P187" s="15" t="n">
        <f aca="false">N187*$E$2*(1+$I$184)/($F$184-$I$184)/(1+$F$184)^$N$3</f>
        <v>20697.7986371003</v>
      </c>
      <c r="Q187" s="15" t="n">
        <f aca="false">O187+P187</f>
        <v>41983.3181010672</v>
      </c>
      <c r="R187" s="15" t="n">
        <f aca="false">Q187-$G$2+$I$2</f>
        <v>22523.3181010672</v>
      </c>
      <c r="S187" s="40" t="n">
        <f aca="false">R187/$K$2</f>
        <v>40.1206257700835</v>
      </c>
      <c r="T187" s="41" t="n">
        <f aca="false">S187-$M$2</f>
        <v>-115.689060900502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39" t="n">
        <f aca="false">(B188+C188)/2</f>
        <v>0.0625</v>
      </c>
      <c r="E188" s="15" t="n">
        <f aca="false">$C$2*(1+IF(E$3&lt;=$O$2,$D188,$D188-($D188-$I$184)*MIN(E$3-$O$2,$Q$2)/$Q$2))</f>
        <v>11220</v>
      </c>
      <c r="F188" s="15" t="n">
        <f aca="false">E188*(1+IF(F$3&lt;=$O$2,$D188,$D188-($D188-$I$184)*MIN(F$3-$O$2,$Q$2)/$Q$2))</f>
        <v>11921.25</v>
      </c>
      <c r="G188" s="15" t="n">
        <f aca="false">F188*(1+IF(G$3&lt;=$O$2,$D188,$D188-($D188-$I$184)*MIN(G$3-$O$2,$Q$2)/$Q$2))</f>
        <v>12666.328125</v>
      </c>
      <c r="H188" s="15" t="n">
        <f aca="false">G188*(1+IF(H$3&lt;=$O$2,$D188,$D188-($D188-$I$184)*MIN(H$3-$O$2,$Q$2)/$Q$2))</f>
        <v>13457.9736328125</v>
      </c>
      <c r="I188" s="15" t="n">
        <f aca="false">H188*(1+IF(I$3&lt;=$O$2,$D188,$D188-($D188-$I$184)*MIN(I$3-$O$2,$Q$2)/$Q$2))</f>
        <v>14299.0969848633</v>
      </c>
      <c r="J188" s="15" t="n">
        <f aca="false">I188*(1+IF(J$3&lt;=$O$2,$D188,$D188-($D188-$I$184)*MIN(J$3-$O$2,$Q$2)/$Q$2))</f>
        <v>15066.386529071</v>
      </c>
      <c r="K188" s="15" t="n">
        <f aca="false">J188*(1+IF(K$3&lt;=$O$2,$D188,$D188-($D188-$I$184)*MIN(K$3-$O$2,$Q$2)/$Q$2))</f>
        <v>15741.661973304</v>
      </c>
      <c r="L188" s="15" t="n">
        <f aca="false">K188*(1+IF(L$3&lt;=$O$2,$D188,$D188-($D188-$I$184)*MIN(L$3-$O$2,$Q$2)/$Q$2))</f>
        <v>16308.0469711035</v>
      </c>
      <c r="M188" s="15" t="n">
        <f aca="false">L188*(1+IF(M$3&lt;=$O$2,$D188,$D188-($D188-$I$184)*MIN(M$3-$O$2,$Q$2)/$Q$2))</f>
        <v>16750.6473658992</v>
      </c>
      <c r="N188" s="15" t="n">
        <f aca="false">M188*(1+IF(N$3&lt;=$O$2,$D188,$D188-($D188-$I$184)*MIN(N$3-$O$2,$Q$2)/$Q$2))</f>
        <v>17057.1842126952</v>
      </c>
      <c r="O188" s="15" t="n">
        <f aca="false">SUMPRODUCT(E188:N188,1/(1+$F$184)^$E$3:$N$3)*$E$2</f>
        <v>48450.9808955508</v>
      </c>
      <c r="P188" s="15" t="n">
        <f aca="false">N188*$E$2*(1+$I$184)/($F$184-$I$184)/(1+$F$184)^$N$3</f>
        <v>79889.5400360128</v>
      </c>
      <c r="Q188" s="15" t="n">
        <f aca="false">O188+P188</f>
        <v>128340.520931564</v>
      </c>
      <c r="R188" s="15" t="n">
        <f aca="false">Q188-$G$2+$I$2</f>
        <v>108880.520931564</v>
      </c>
      <c r="S188" s="40" t="n">
        <f aca="false">R188/$K$2</f>
        <v>193.948094785379</v>
      </c>
      <c r="T188" s="41" t="n">
        <f aca="false">S188-$M$2</f>
        <v>38.138408114793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39" t="n">
        <f aca="false">(B189+C189)/2</f>
        <v>-0.03125</v>
      </c>
      <c r="E189" s="15" t="n">
        <f aca="false">$C$2*(1+IF(E$3&lt;=$O$2,$D189,$D189-($D189-$I$184)*MIN(E$3-$O$2,$Q$2)/$Q$2))</f>
        <v>10230</v>
      </c>
      <c r="F189" s="15" t="n">
        <f aca="false">E189*(1+IF(F$3&lt;=$O$2,$D189,$D189-($D189-$I$184)*MIN(F$3-$O$2,$Q$2)/$Q$2))</f>
        <v>9910.3125</v>
      </c>
      <c r="G189" s="15" t="n">
        <f aca="false">F189*(1+IF(G$3&lt;=$O$2,$D189,$D189-($D189-$I$184)*MIN(G$3-$O$2,$Q$2)/$Q$2))</f>
        <v>9600.615234375</v>
      </c>
      <c r="H189" s="15" t="n">
        <f aca="false">G189*(1+IF(H$3&lt;=$O$2,$D189,$D189-($D189-$I$184)*MIN(H$3-$O$2,$Q$2)/$Q$2))</f>
        <v>9300.59600830078</v>
      </c>
      <c r="I189" s="15" t="n">
        <f aca="false">H189*(1+IF(I$3&lt;=$O$2,$D189,$D189-($D189-$I$184)*MIN(I$3-$O$2,$Q$2)/$Q$2))</f>
        <v>9009.95238304138</v>
      </c>
      <c r="J189" s="15" t="n">
        <f aca="false">I189*(1+IF(J$3&lt;=$O$2,$D189,$D189-($D189-$I$184)*MIN(J$3-$O$2,$Q$2)/$Q$2))</f>
        <v>8817.67999918728</v>
      </c>
      <c r="K189" s="15" t="n">
        <f aca="false">J189*(1+IF(K$3&lt;=$O$2,$D189,$D189-($D189-$I$184)*MIN(K$3-$O$2,$Q$2)/$Q$2))</f>
        <v>8716.89391679657</v>
      </c>
      <c r="L189" s="15" t="n">
        <f aca="false">K189*(1+IF(L$3&lt;=$O$2,$D189,$D189-($D189-$I$184)*MIN(L$3-$O$2,$Q$2)/$Q$2))</f>
        <v>8703.64423804304</v>
      </c>
      <c r="M189" s="15" t="n">
        <f aca="false">L189*(1+IF(M$3&lt;=$O$2,$D189,$D189-($D189-$I$184)*MIN(M$3-$O$2,$Q$2)/$Q$2))</f>
        <v>8776.66781320022</v>
      </c>
      <c r="N189" s="15" t="n">
        <f aca="false">M189*(1+IF(N$3&lt;=$O$2,$D189,$D189-($D189-$I$184)*MIN(N$3-$O$2,$Q$2)/$Q$2))</f>
        <v>8937.28083418178</v>
      </c>
      <c r="O189" s="15" t="n">
        <f aca="false">SUMPRODUCT(E189:N189,1/(1+$F$184)^$E$3:$N$3)*$E$2</f>
        <v>32030.7206256728</v>
      </c>
      <c r="P189" s="15" t="n">
        <f aca="false">N189*$E$2*(1+$I$184)/($F$184-$I$184)/(1+$F$184)^$N$3</f>
        <v>41858.9168125445</v>
      </c>
      <c r="Q189" s="15" t="n">
        <f aca="false">O189+P189</f>
        <v>73889.6374382173</v>
      </c>
      <c r="R189" s="15" t="n">
        <f aca="false">Q189-$G$2+$I$2</f>
        <v>54429.6374382173</v>
      </c>
      <c r="S189" s="40" t="n">
        <f aca="false">R189/$K$2</f>
        <v>96.9551246695119</v>
      </c>
      <c r="T189" s="41" t="n">
        <f aca="false">S189-$M$2</f>
        <v>-58.8545620010736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39" t="n">
        <f aca="false">(B190+C190)/2</f>
        <v>0.015625</v>
      </c>
      <c r="E190" s="15" t="n">
        <f aca="false">$C$2*(1+IF(E$3&lt;=$O$2,$D190,$D190-($D190-$I$184)*MIN(E$3-$O$2,$Q$2)/$Q$2))</f>
        <v>10725</v>
      </c>
      <c r="F190" s="15" t="n">
        <f aca="false">E190*(1+IF(F$3&lt;=$O$2,$D190,$D190-($D190-$I$184)*MIN(F$3-$O$2,$Q$2)/$Q$2))</f>
        <v>10892.578125</v>
      </c>
      <c r="G190" s="15" t="n">
        <f aca="false">F190*(1+IF(G$3&lt;=$O$2,$D190,$D190-($D190-$I$184)*MIN(G$3-$O$2,$Q$2)/$Q$2))</f>
        <v>11062.7746582031</v>
      </c>
      <c r="H190" s="15" t="n">
        <f aca="false">G190*(1+IF(H$3&lt;=$O$2,$D190,$D190-($D190-$I$184)*MIN(H$3-$O$2,$Q$2)/$Q$2))</f>
        <v>11235.6305122375</v>
      </c>
      <c r="I190" s="15" t="n">
        <f aca="false">H190*(1+IF(I$3&lt;=$O$2,$D190,$D190-($D190-$I$184)*MIN(I$3-$O$2,$Q$2)/$Q$2))</f>
        <v>11411.1872389913</v>
      </c>
      <c r="J190" s="15" t="n">
        <f aca="false">I190*(1+IF(J$3&lt;=$O$2,$D190,$D190-($D190-$I$184)*MIN(J$3-$O$2,$Q$2)/$Q$2))</f>
        <v>11595.5920247734</v>
      </c>
      <c r="K190" s="15" t="n">
        <f aca="false">J190*(1+IF(K$3&lt;=$O$2,$D190,$D190-($D190-$I$184)*MIN(K$3-$O$2,$Q$2)/$Q$2))</f>
        <v>11789.1804336269</v>
      </c>
      <c r="L190" s="15" t="n">
        <f aca="false">K190*(1+IF(L$3&lt;=$O$2,$D190,$D190-($D190-$I$184)*MIN(L$3-$O$2,$Q$2)/$Q$2))</f>
        <v>11992.3080124983</v>
      </c>
      <c r="M190" s="15" t="n">
        <f aca="false">L190*(1+IF(M$3&lt;=$O$2,$D190,$D190-($D190-$I$184)*MIN(M$3-$O$2,$Q$2)/$Q$2))</f>
        <v>12205.3513643404</v>
      </c>
      <c r="N190" s="15" t="n">
        <f aca="false">M190*(1+IF(N$3&lt;=$O$2,$D190,$D190-($D190-$I$184)*MIN(N$3-$O$2,$Q$2)/$Q$2))</f>
        <v>12428.7092943078</v>
      </c>
      <c r="O190" s="15" t="n">
        <f aca="false">SUMPRODUCT(E190:N190,1/(1+$F$184)^$E$3:$N$3)*$E$2</f>
        <v>39382.2799343243</v>
      </c>
      <c r="P190" s="15" t="n">
        <f aca="false">N190*$E$2*(1+$I$184)/($F$184-$I$184)/(1+$F$184)^$N$3</f>
        <v>58211.4759612294</v>
      </c>
      <c r="Q190" s="15" t="n">
        <f aca="false">O190+P190</f>
        <v>97593.7558955537</v>
      </c>
      <c r="R190" s="15" t="n">
        <f aca="false">Q190-$G$2+$I$2</f>
        <v>78133.7558955537</v>
      </c>
      <c r="S190" s="40" t="n">
        <f aca="false">R190/$K$2</f>
        <v>139.179101686089</v>
      </c>
      <c r="T190" s="41" t="n">
        <f aca="false">S190-$M$2</f>
        <v>-16.6305849844961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39" t="n">
        <f aca="false">(B191+C191)/2</f>
        <v>0.0390625</v>
      </c>
      <c r="E191" s="15" t="n">
        <f aca="false">$C$2*(1+IF(E$3&lt;=$O$2,$D191,$D191-($D191-$I$184)*MIN(E$3-$O$2,$Q$2)/$Q$2))</f>
        <v>10972.5</v>
      </c>
      <c r="F191" s="15" t="n">
        <f aca="false">E191*(1+IF(F$3&lt;=$O$2,$D191,$D191-($D191-$I$184)*MIN(F$3-$O$2,$Q$2)/$Q$2))</f>
        <v>11401.11328125</v>
      </c>
      <c r="G191" s="15" t="n">
        <f aca="false">F191*(1+IF(G$3&lt;=$O$2,$D191,$D191-($D191-$I$184)*MIN(G$3-$O$2,$Q$2)/$Q$2))</f>
        <v>11846.4692687988</v>
      </c>
      <c r="H191" s="15" t="n">
        <f aca="false">G191*(1+IF(H$3&lt;=$O$2,$D191,$D191-($D191-$I$184)*MIN(H$3-$O$2,$Q$2)/$Q$2))</f>
        <v>12309.2219746113</v>
      </c>
      <c r="I191" s="15" t="n">
        <f aca="false">H191*(1+IF(I$3&lt;=$O$2,$D191,$D191-($D191-$I$184)*MIN(I$3-$O$2,$Q$2)/$Q$2))</f>
        <v>12790.0509579945</v>
      </c>
      <c r="J191" s="15" t="n">
        <f aca="false">I191*(1+IF(J$3&lt;=$O$2,$D191,$D191-($D191-$I$184)*MIN(J$3-$O$2,$Q$2)/$Q$2))</f>
        <v>13236.5516369381</v>
      </c>
      <c r="K191" s="15" t="n">
        <f aca="false">J191*(1+IF(K$3&lt;=$O$2,$D191,$D191-($D191-$I$184)*MIN(K$3-$O$2,$Q$2)/$Q$2))</f>
        <v>13643.6748739112</v>
      </c>
      <c r="L191" s="15" t="n">
        <f aca="false">K191*(1+IF(L$3&lt;=$O$2,$D191,$D191-($D191-$I$184)*MIN(L$3-$O$2,$Q$2)/$Q$2))</f>
        <v>14006.6648439317</v>
      </c>
      <c r="M191" s="15" t="n">
        <f aca="false">L191*(1+IF(M$3&lt;=$O$2,$D191,$D191-($D191-$I$184)*MIN(M$3-$O$2,$Q$2)/$Q$2))</f>
        <v>14321.14948634</v>
      </c>
      <c r="N191" s="15" t="n">
        <f aca="false">M191*(1+IF(N$3&lt;=$O$2,$D191,$D191-($D191-$I$184)*MIN(N$3-$O$2,$Q$2)/$Q$2))</f>
        <v>14583.2265219401</v>
      </c>
      <c r="O191" s="15" t="n">
        <f aca="false">SUMPRODUCT(E191:N191,1/(1+$F$184)^$E$3:$N$3)*$E$2</f>
        <v>43680.3712391844</v>
      </c>
      <c r="P191" s="15" t="n">
        <f aca="false">N191*$E$2*(1+$I$184)/($F$184-$I$184)/(1+$F$184)^$N$3</f>
        <v>68302.4375272715</v>
      </c>
      <c r="Q191" s="15" t="n">
        <f aca="false">O191+P191</f>
        <v>111982.808766456</v>
      </c>
      <c r="R191" s="15" t="n">
        <f aca="false">Q191-$G$2+$I$2</f>
        <v>92522.8087664559</v>
      </c>
      <c r="S191" s="40" t="n">
        <f aca="false">R191/$K$2</f>
        <v>164.810218861141</v>
      </c>
      <c r="T191" s="41" t="n">
        <f aca="false">S191-$M$2</f>
        <v>9.00053219055536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0.015625</v>
      </c>
      <c r="C192" s="25" t="n">
        <f aca="false">IF(T191&gt;0,D191,C191)</f>
        <v>0.0390625</v>
      </c>
      <c r="D192" s="39" t="n">
        <f aca="false">(B192+C192)/2</f>
        <v>0.02734375</v>
      </c>
      <c r="E192" s="15" t="n">
        <f aca="false">$C$2*(1+IF(E$3&lt;=$O$2,$D192,$D192-($D192-$I$184)*MIN(E$3-$O$2,$Q$2)/$Q$2))</f>
        <v>10848.75</v>
      </c>
      <c r="F192" s="15" t="n">
        <f aca="false">E192*(1+IF(F$3&lt;=$O$2,$D192,$D192-($D192-$I$184)*MIN(F$3-$O$2,$Q$2)/$Q$2))</f>
        <v>11145.3955078125</v>
      </c>
      <c r="G192" s="15" t="n">
        <f aca="false">F192*(1+IF(G$3&lt;=$O$2,$D192,$D192-($D192-$I$184)*MIN(G$3-$O$2,$Q$2)/$Q$2))</f>
        <v>11450.1524162292</v>
      </c>
      <c r="H192" s="15" t="n">
        <f aca="false">G192*(1+IF(H$3&lt;=$O$2,$D192,$D192-($D192-$I$184)*MIN(H$3-$O$2,$Q$2)/$Q$2))</f>
        <v>11763.2425213605</v>
      </c>
      <c r="I192" s="15" t="n">
        <f aca="false">H192*(1+IF(I$3&lt;=$O$2,$D192,$D192-($D192-$I$184)*MIN(I$3-$O$2,$Q$2)/$Q$2))</f>
        <v>12084.893684054</v>
      </c>
      <c r="J192" s="15" t="n">
        <f aca="false">I192*(1+IF(J$3&lt;=$O$2,$D192,$D192-($D192-$I$184)*MIN(J$3-$O$2,$Q$2)/$Q$2))</f>
        <v>12393.4814442763</v>
      </c>
      <c r="K192" s="15" t="n">
        <f aca="false">J192*(1+IF(K$3&lt;=$O$2,$D192,$D192-($D192-$I$184)*MIN(K$3-$O$2,$Q$2)/$Q$2))</f>
        <v>12687.5322833935</v>
      </c>
      <c r="L192" s="15" t="n">
        <f aca="false">K192*(1+IF(L$3&lt;=$O$2,$D192,$D192-($D192-$I$184)*MIN(L$3-$O$2,$Q$2)/$Q$2))</f>
        <v>12965.6112722148</v>
      </c>
      <c r="M192" s="15" t="n">
        <f aca="false">L192*(1+IF(M$3&lt;=$O$2,$D192,$D192-($D192-$I$184)*MIN(M$3-$O$2,$Q$2)/$Q$2))</f>
        <v>13226.333507885</v>
      </c>
      <c r="N192" s="15" t="n">
        <f aca="false">M192*(1+IF(N$3&lt;=$O$2,$D192,$D192-($D192-$I$184)*MIN(N$3-$O$2,$Q$2)/$Q$2))</f>
        <v>13468.3754110793</v>
      </c>
      <c r="O192" s="15" t="n">
        <f aca="false">SUMPRODUCT(E192:N192,1/(1+$F$184)^$E$3:$N$3)*$E$2</f>
        <v>41475.1079206739</v>
      </c>
      <c r="P192" s="15" t="n">
        <f aca="false">N192*$E$2*(1+$I$184)/($F$184-$I$184)/(1+$F$184)^$N$3</f>
        <v>63080.8873965636</v>
      </c>
      <c r="Q192" s="15" t="n">
        <f aca="false">O192+P192</f>
        <v>104555.995317238</v>
      </c>
      <c r="R192" s="15" t="n">
        <f aca="false">Q192-$G$2+$I$2</f>
        <v>85095.9953172375</v>
      </c>
      <c r="S192" s="40" t="n">
        <f aca="false">R192/$K$2</f>
        <v>151.580889073973</v>
      </c>
      <c r="T192" s="41" t="n">
        <f aca="false">S192-$M$2</f>
        <v>-4.22879759661285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0.02734375</v>
      </c>
      <c r="C193" s="25" t="n">
        <f aca="false">IF(T192&gt;0,D192,C192)</f>
        <v>0.0390625</v>
      </c>
      <c r="D193" s="39" t="n">
        <f aca="false">(B193+C193)/2</f>
        <v>0.033203125</v>
      </c>
      <c r="E193" s="15" t="n">
        <f aca="false">$C$2*(1+IF(E$3&lt;=$O$2,$D193,$D193-($D193-$I$184)*MIN(E$3-$O$2,$Q$2)/$Q$2))</f>
        <v>10910.625</v>
      </c>
      <c r="F193" s="15" t="n">
        <f aca="false">E193*(1+IF(F$3&lt;=$O$2,$D193,$D193-($D193-$I$184)*MIN(F$3-$O$2,$Q$2)/$Q$2))</f>
        <v>11272.8918457031</v>
      </c>
      <c r="G193" s="15" t="n">
        <f aca="false">F193*(1+IF(G$3&lt;=$O$2,$D193,$D193-($D193-$I$184)*MIN(G$3-$O$2,$Q$2)/$Q$2))</f>
        <v>11647.1870827675</v>
      </c>
      <c r="H193" s="15" t="n">
        <f aca="false">G193*(1+IF(H$3&lt;=$O$2,$D193,$D193-($D193-$I$184)*MIN(H$3-$O$2,$Q$2)/$Q$2))</f>
        <v>12033.910091375</v>
      </c>
      <c r="I193" s="15" t="n">
        <f aca="false">H193*(1+IF(I$3&lt;=$O$2,$D193,$D193-($D193-$I$184)*MIN(I$3-$O$2,$Q$2)/$Q$2))</f>
        <v>12433.4735123777</v>
      </c>
      <c r="J193" s="15" t="n">
        <f aca="false">I193*(1+IF(J$3&lt;=$O$2,$D193,$D193-($D193-$I$184)*MIN(J$3-$O$2,$Q$2)/$Q$2))</f>
        <v>12809.2441656055</v>
      </c>
      <c r="K193" s="15" t="n">
        <f aca="false">J193*(1+IF(K$3&lt;=$O$2,$D193,$D193-($D193-$I$184)*MIN(K$3-$O$2,$Q$2)/$Q$2))</f>
        <v>13158.1919940094</v>
      </c>
      <c r="L193" s="15" t="n">
        <f aca="false">K193*(1+IF(L$3&lt;=$O$2,$D193,$D193-($D193-$I$184)*MIN(L$3-$O$2,$Q$2)/$Q$2))</f>
        <v>13477.4261795241</v>
      </c>
      <c r="M193" s="15" t="n">
        <f aca="false">L193*(1+IF(M$3&lt;=$O$2,$D193,$D193-($D193-$I$184)*MIN(M$3-$O$2,$Q$2)/$Q$2))</f>
        <v>13764.2342320157</v>
      </c>
      <c r="N193" s="15" t="n">
        <f aca="false">M193*(1+IF(N$3&lt;=$O$2,$D193,$D193-($D193-$I$184)*MIN(N$3-$O$2,$Q$2)/$Q$2))</f>
        <v>14016.1197184616</v>
      </c>
      <c r="O193" s="15" t="n">
        <f aca="false">SUMPRODUCT(E193:N193,1/(1+$F$184)^$E$3:$N$3)*$E$2</f>
        <v>42563.3386928012</v>
      </c>
      <c r="P193" s="15" t="n">
        <f aca="false">N193*$E$2*(1+$I$184)/($F$184-$I$184)/(1+$F$184)^$N$3</f>
        <v>65646.3190779282</v>
      </c>
      <c r="Q193" s="15" t="n">
        <f aca="false">O193+P193</f>
        <v>108209.657770729</v>
      </c>
      <c r="R193" s="15" t="n">
        <f aca="false">Q193-$G$2+$I$2</f>
        <v>88749.6577707294</v>
      </c>
      <c r="S193" s="40" t="n">
        <f aca="false">R193/$K$2</f>
        <v>158.089131923849</v>
      </c>
      <c r="T193" s="41" t="n">
        <f aca="false">S193-$M$2</f>
        <v>2.27944525326313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0.02734375</v>
      </c>
      <c r="C194" s="25" t="n">
        <f aca="false">IF(T193&gt;0,D193,C193)</f>
        <v>0.033203125</v>
      </c>
      <c r="D194" s="39" t="n">
        <f aca="false">(B194+C194)/2</f>
        <v>0.0302734375</v>
      </c>
      <c r="E194" s="15" t="n">
        <f aca="false">$C$2*(1+IF(E$3&lt;=$O$2,$D194,$D194-($D194-$I$184)*MIN(E$3-$O$2,$Q$2)/$Q$2))</f>
        <v>10879.6875</v>
      </c>
      <c r="F194" s="15" t="n">
        <f aca="false">E194*(1+IF(F$3&lt;=$O$2,$D194,$D194-($D194-$I$184)*MIN(F$3-$O$2,$Q$2)/$Q$2))</f>
        <v>11209.0530395508</v>
      </c>
      <c r="G194" s="15" t="n">
        <f aca="false">F194*(1+IF(G$3&lt;=$O$2,$D194,$D194-($D194-$I$184)*MIN(G$3-$O$2,$Q$2)/$Q$2))</f>
        <v>11548.3896061778</v>
      </c>
      <c r="H194" s="15" t="n">
        <f aca="false">G194*(1+IF(H$3&lt;=$O$2,$D194,$D194-($D194-$I$184)*MIN(H$3-$O$2,$Q$2)/$Q$2))</f>
        <v>11897.9990571461</v>
      </c>
      <c r="I194" s="15" t="n">
        <f aca="false">H194*(1+IF(I$3&lt;=$O$2,$D194,$D194-($D194-$I$184)*MIN(I$3-$O$2,$Q$2)/$Q$2))</f>
        <v>12258.1923879777</v>
      </c>
      <c r="J194" s="15" t="n">
        <f aca="false">I194*(1+IF(J$3&lt;=$O$2,$D194,$D194-($D194-$I$184)*MIN(J$3-$O$2,$Q$2)/$Q$2))</f>
        <v>12599.935469014</v>
      </c>
      <c r="K194" s="15" t="n">
        <f aca="false">J194*(1+IF(K$3&lt;=$O$2,$D194,$D194-($D194-$I$184)*MIN(K$3-$O$2,$Q$2)/$Q$2))</f>
        <v>12921.0330120023</v>
      </c>
      <c r="L194" s="15" t="n">
        <f aca="false">K194*(1+IF(L$3&lt;=$O$2,$D194,$D194-($D194-$I$184)*MIN(L$3-$O$2,$Q$2)/$Q$2))</f>
        <v>13219.3715886038</v>
      </c>
      <c r="M194" s="15" t="n">
        <f aca="false">L194*(1+IF(M$3&lt;=$O$2,$D194,$D194-($D194-$I$184)*MIN(M$3-$O$2,$Q$2)/$Q$2))</f>
        <v>13492.9423525763</v>
      </c>
      <c r="N194" s="15" t="n">
        <f aca="false">M194*(1+IF(N$3&lt;=$O$2,$D194,$D194-($D194-$I$184)*MIN(N$3-$O$2,$Q$2)/$Q$2))</f>
        <v>13739.8631976285</v>
      </c>
      <c r="O194" s="15" t="n">
        <f aca="false">SUMPRODUCT(E194:N194,1/(1+$F$184)^$E$3:$N$3)*$E$2</f>
        <v>42015.6669712405</v>
      </c>
      <c r="P194" s="15" t="n">
        <f aca="false">N194*$E$2*(1+$I$184)/($F$184-$I$184)/(1+$F$184)^$N$3</f>
        <v>64352.435743721</v>
      </c>
      <c r="Q194" s="15" t="n">
        <f aca="false">O194+P194</f>
        <v>106368.102714962</v>
      </c>
      <c r="R194" s="15" t="n">
        <f aca="false">Q194-$G$2+$I$2</f>
        <v>86908.1027149615</v>
      </c>
      <c r="S194" s="40" t="n">
        <f aca="false">R194/$K$2</f>
        <v>154.808783047367</v>
      </c>
      <c r="T194" s="41" t="n">
        <f aca="false">S194-$M$2</f>
        <v>-1.00090362321819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0.0302734375</v>
      </c>
      <c r="C195" s="25" t="n">
        <f aca="false">IF(T194&gt;0,D194,C194)</f>
        <v>0.033203125</v>
      </c>
      <c r="D195" s="39" t="n">
        <f aca="false">(B195+C195)/2</f>
        <v>0.03173828125</v>
      </c>
      <c r="E195" s="15" t="n">
        <f aca="false">$C$2*(1+IF(E$3&lt;=$O$2,$D195,$D195-($D195-$I$184)*MIN(E$3-$O$2,$Q$2)/$Q$2))</f>
        <v>10895.15625</v>
      </c>
      <c r="F195" s="15" t="n">
        <f aca="false">E195*(1+IF(F$3&lt;=$O$2,$D195,$D195-($D195-$I$184)*MIN(F$3-$O$2,$Q$2)/$Q$2))</f>
        <v>11240.9497833252</v>
      </c>
      <c r="G195" s="15" t="n">
        <f aca="false">F195*(1+IF(G$3&lt;=$O$2,$D195,$D195-($D195-$I$184)*MIN(G$3-$O$2,$Q$2)/$Q$2))</f>
        <v>11597.7182090655</v>
      </c>
      <c r="H195" s="15" t="n">
        <f aca="false">G195*(1+IF(H$3&lt;=$O$2,$D195,$D195-($D195-$I$184)*MIN(H$3-$O$2,$Q$2)/$Q$2))</f>
        <v>11965.8098514431</v>
      </c>
      <c r="I195" s="15" t="n">
        <f aca="false">H195*(1+IF(I$3&lt;=$O$2,$D195,$D195-($D195-$I$184)*MIN(I$3-$O$2,$Q$2)/$Q$2))</f>
        <v>12345.5840898922</v>
      </c>
      <c r="J195" s="15" t="n">
        <f aca="false">I195*(1+IF(J$3&lt;=$O$2,$D195,$D195-($D195-$I$184)*MIN(J$3-$O$2,$Q$2)/$Q$2))</f>
        <v>12704.2310236936</v>
      </c>
      <c r="K195" s="15" t="n">
        <f aca="false">J195*(1+IF(K$3&lt;=$O$2,$D195,$D195-($D195-$I$184)*MIN(K$3-$O$2,$Q$2)/$Q$2))</f>
        <v>13039.152269164</v>
      </c>
      <c r="L195" s="15" t="n">
        <f aca="false">K195*(1+IF(L$3&lt;=$O$2,$D195,$D195-($D195-$I$184)*MIN(L$3-$O$2,$Q$2)/$Q$2))</f>
        <v>13347.8582738716</v>
      </c>
      <c r="M195" s="15" t="n">
        <f aca="false">L195*(1+IF(M$3&lt;=$O$2,$D195,$D195-($D195-$I$184)*MIN(M$3-$O$2,$Q$2)/$Q$2))</f>
        <v>13627.9985349973</v>
      </c>
      <c r="N195" s="15" t="n">
        <f aca="false">M195*(1+IF(N$3&lt;=$O$2,$D195,$D195-($D195-$I$184)*MIN(N$3-$O$2,$Q$2)/$Q$2))</f>
        <v>13877.3909081878</v>
      </c>
      <c r="O195" s="15" t="n">
        <f aca="false">SUMPRODUCT(E195:N195,1/(1+$F$184)^$E$3:$N$3)*$E$2</f>
        <v>42288.6082988015</v>
      </c>
      <c r="P195" s="15" t="n">
        <f aca="false">N195*$E$2*(1+$I$184)/($F$184-$I$184)/(1+$F$184)^$N$3</f>
        <v>64996.5646574844</v>
      </c>
      <c r="Q195" s="15" t="n">
        <f aca="false">O195+P195</f>
        <v>107285.172956286</v>
      </c>
      <c r="R195" s="15" t="n">
        <f aca="false">Q195-$G$2+$I$2</f>
        <v>87825.172956286</v>
      </c>
      <c r="S195" s="40" t="n">
        <f aca="false">R195/$K$2</f>
        <v>156.442353722521</v>
      </c>
      <c r="T195" s="41" t="n">
        <f aca="false">S195-$M$2</f>
        <v>0.632667051935329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0.0302734375</v>
      </c>
      <c r="C196" s="25" t="n">
        <f aca="false">IF(T195&gt;0,D195,C195)</f>
        <v>0.03173828125</v>
      </c>
      <c r="D196" s="39" t="n">
        <f aca="false">(B196+C196)/2</f>
        <v>0.031005859375</v>
      </c>
      <c r="E196" s="15" t="n">
        <f aca="false">$C$2*(1+IF(E$3&lt;=$O$2,$D196,$D196-($D196-$I$184)*MIN(E$3-$O$2,$Q$2)/$Q$2))</f>
        <v>10887.421875</v>
      </c>
      <c r="F196" s="15" t="n">
        <f aca="false">E196*(1+IF(F$3&lt;=$O$2,$D196,$D196-($D196-$I$184)*MIN(F$3-$O$2,$Q$2)/$Q$2))</f>
        <v>11224.9957466125</v>
      </c>
      <c r="G196" s="15" t="n">
        <f aca="false">F196*(1+IF(G$3&lt;=$O$2,$D196,$D196-($D196-$I$184)*MIN(G$3-$O$2,$Q$2)/$Q$2))</f>
        <v>11573.036386217</v>
      </c>
      <c r="H196" s="15" t="n">
        <f aca="false">G196*(1+IF(H$3&lt;=$O$2,$D196,$D196-($D196-$I$184)*MIN(H$3-$O$2,$Q$2)/$Q$2))</f>
        <v>11931.8683249498</v>
      </c>
      <c r="I196" s="15" t="n">
        <f aca="false">H196*(1+IF(I$3&lt;=$O$2,$D196,$D196-($D196-$I$184)*MIN(I$3-$O$2,$Q$2)/$Q$2))</f>
        <v>12301.8261563142</v>
      </c>
      <c r="J196" s="15" t="n">
        <f aca="false">I196*(1+IF(J$3&lt;=$O$2,$D196,$D196-($D196-$I$184)*MIN(J$3-$O$2,$Q$2)/$Q$2))</f>
        <v>12651.993793533</v>
      </c>
      <c r="K196" s="15" t="n">
        <f aca="false">J196*(1+IF(K$3&lt;=$O$2,$D196,$D196-($D196-$I$184)*MIN(K$3-$O$2,$Q$2)/$Q$2))</f>
        <v>12979.9779523271</v>
      </c>
      <c r="L196" s="15" t="n">
        <f aca="false">K196*(1+IF(L$3&lt;=$O$2,$D196,$D196-($D196-$I$184)*MIN(L$3-$O$2,$Q$2)/$Q$2))</f>
        <v>13283.4802586758</v>
      </c>
      <c r="M196" s="15" t="n">
        <f aca="false">L196*(1+IF(M$3&lt;=$O$2,$D196,$D196-($D196-$I$184)*MIN(M$3-$O$2,$Q$2)/$Q$2))</f>
        <v>13560.323553845</v>
      </c>
      <c r="N196" s="15" t="n">
        <f aca="false">M196*(1+IF(N$3&lt;=$O$2,$D196,$D196-($D196-$I$184)*MIN(N$3-$O$2,$Q$2)/$Q$2))</f>
        <v>13808.4774748804</v>
      </c>
      <c r="O196" s="15" t="n">
        <f aca="false">SUMPRODUCT(E196:N196,1/(1+$F$184)^$E$3:$N$3)*$E$2</f>
        <v>42151.9146851509</v>
      </c>
      <c r="P196" s="15" t="n">
        <f aca="false">N196*$E$2*(1+$I$184)/($F$184-$I$184)/(1+$F$184)^$N$3</f>
        <v>64673.7996324618</v>
      </c>
      <c r="Q196" s="15" t="n">
        <f aca="false">O196+P196</f>
        <v>106825.714317613</v>
      </c>
      <c r="R196" s="15" t="n">
        <f aca="false">Q196-$G$2+$I$2</f>
        <v>87365.7143176126</v>
      </c>
      <c r="S196" s="40" t="n">
        <f aca="false">R196/$K$2</f>
        <v>155.623923328903</v>
      </c>
      <c r="T196" s="41" t="n">
        <f aca="false">S196-$M$2</f>
        <v>-0.185763341682872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0.031005859375</v>
      </c>
      <c r="C197" s="25" t="n">
        <f aca="false">IF(T196&gt;0,D196,C196)</f>
        <v>0.03173828125</v>
      </c>
      <c r="D197" s="39" t="n">
        <f aca="false">(B197+C197)/2</f>
        <v>0.0313720703125</v>
      </c>
      <c r="E197" s="15" t="n">
        <f aca="false">$C$2*(1+IF(E$3&lt;=$O$2,$D197,$D197-($D197-$I$184)*MIN(E$3-$O$2,$Q$2)/$Q$2))</f>
        <v>10891.2890625</v>
      </c>
      <c r="F197" s="15" t="n">
        <f aca="false">E197*(1+IF(F$3&lt;=$O$2,$D197,$D197-($D197-$I$184)*MIN(F$3-$O$2,$Q$2)/$Q$2))</f>
        <v>11232.9713487625</v>
      </c>
      <c r="G197" s="15" t="n">
        <f aca="false">F197*(1+IF(G$3&lt;=$O$2,$D197,$D197-($D197-$I$184)*MIN(G$3-$O$2,$Q$2)/$Q$2))</f>
        <v>11585.3729157342</v>
      </c>
      <c r="H197" s="15" t="n">
        <f aca="false">G197*(1+IF(H$3&lt;=$O$2,$D197,$D197-($D197-$I$184)*MIN(H$3-$O$2,$Q$2)/$Q$2))</f>
        <v>11948.8300494431</v>
      </c>
      <c r="I197" s="15" t="n">
        <f aca="false">H197*(1+IF(I$3&lt;=$O$2,$D197,$D197-($D197-$I$184)*MIN(I$3-$O$2,$Q$2)/$Q$2))</f>
        <v>12323.6895859064</v>
      </c>
      <c r="J197" s="15" t="n">
        <f aca="false">I197*(1+IF(J$3&lt;=$O$2,$D197,$D197-($D197-$I$184)*MIN(J$3-$O$2,$Q$2)/$Q$2))</f>
        <v>12678.0900147496</v>
      </c>
      <c r="K197" s="15" t="n">
        <f aca="false">J197*(1+IF(K$3&lt;=$O$2,$D197,$D197-($D197-$I$184)*MIN(K$3-$O$2,$Q$2)/$Q$2))</f>
        <v>13009.5363924801</v>
      </c>
      <c r="L197" s="15" t="n">
        <f aca="false">K197*(1+IF(L$3&lt;=$O$2,$D197,$D197-($D197-$I$184)*MIN(L$3-$O$2,$Q$2)/$Q$2))</f>
        <v>13315.6355382447</v>
      </c>
      <c r="M197" s="15" t="n">
        <f aca="false">L197*(1+IF(M$3&lt;=$O$2,$D197,$D197-($D197-$I$184)*MIN(M$3-$O$2,$Q$2)/$Q$2))</f>
        <v>13594.1242533969</v>
      </c>
      <c r="N197" s="15" t="n">
        <f aca="false">M197*(1+IF(N$3&lt;=$O$2,$D197,$D197-($D197-$I$184)*MIN(N$3-$O$2,$Q$2)/$Q$2))</f>
        <v>13842.896727234</v>
      </c>
      <c r="O197" s="15" t="n">
        <f aca="false">SUMPRODUCT(E197:N197,1/(1+$F$184)^$E$3:$N$3)*$E$2</f>
        <v>42220.2056692213</v>
      </c>
      <c r="P197" s="15" t="n">
        <f aca="false">N197*$E$2*(1+$I$184)/($F$184-$I$184)/(1+$F$184)^$N$3</f>
        <v>64835.0066760528</v>
      </c>
      <c r="Q197" s="15" t="n">
        <f aca="false">O197+P197</f>
        <v>107055.212345274</v>
      </c>
      <c r="R197" s="15" t="n">
        <f aca="false">Q197-$G$2+$I$2</f>
        <v>87595.2123452741</v>
      </c>
      <c r="S197" s="40" t="n">
        <f aca="false">R197/$K$2</f>
        <v>156.032726527502</v>
      </c>
      <c r="T197" s="41" t="n">
        <f aca="false">S197-$M$2</f>
        <v>0.223039856916131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0.031005859375</v>
      </c>
      <c r="C198" s="25" t="n">
        <f aca="false">IF(T197&gt;0,D197,C197)</f>
        <v>0.0313720703125</v>
      </c>
      <c r="D198" s="39" t="n">
        <f aca="false">(B198+C198)/2</f>
        <v>0.03118896484375</v>
      </c>
      <c r="E198" s="15" t="n">
        <f aca="false">$C$2*(1+IF(E$3&lt;=$O$2,$D198,$D198-($D198-$I$184)*MIN(E$3-$O$2,$Q$2)/$Q$2))</f>
        <v>10889.35546875</v>
      </c>
      <c r="F198" s="15" t="n">
        <f aca="false">E198*(1+IF(F$3&lt;=$O$2,$D198,$D198-($D198-$I$184)*MIN(F$3-$O$2,$Q$2)/$Q$2))</f>
        <v>11228.9831936359</v>
      </c>
      <c r="G198" s="15" t="n">
        <f aca="false">F198*(1+IF(G$3&lt;=$O$2,$D198,$D198-($D198-$I$184)*MIN(G$3-$O$2,$Q$2)/$Q$2))</f>
        <v>11579.2035556933</v>
      </c>
      <c r="H198" s="15" t="n">
        <f aca="false">G198*(1+IF(H$3&lt;=$O$2,$D198,$D198-($D198-$I$184)*MIN(H$3-$O$2,$Q$2)/$Q$2))</f>
        <v>11940.3469283105</v>
      </c>
      <c r="I198" s="15" t="n">
        <f aca="false">H198*(1+IF(I$3&lt;=$O$2,$D198,$D198-($D198-$I$184)*MIN(I$3-$O$2,$Q$2)/$Q$2))</f>
        <v>12312.7539888797</v>
      </c>
      <c r="J198" s="15" t="n">
        <f aca="false">I198*(1+IF(J$3&lt;=$O$2,$D198,$D198-($D198-$I$184)*MIN(J$3-$O$2,$Q$2)/$Q$2))</f>
        <v>12665.0363095101</v>
      </c>
      <c r="K198" s="15" t="n">
        <f aca="false">J198*(1+IF(K$3&lt;=$O$2,$D198,$D198-($D198-$I$184)*MIN(K$3-$O$2,$Q$2)/$Q$2))</f>
        <v>12994.749998617</v>
      </c>
      <c r="L198" s="15" t="n">
        <f aca="false">K198*(1+IF(L$3&lt;=$O$2,$D198,$D198-($D198-$I$184)*MIN(L$3-$O$2,$Q$2)/$Q$2))</f>
        <v>13299.5494739459</v>
      </c>
      <c r="M198" s="15" t="n">
        <f aca="false">L198*(1+IF(M$3&lt;=$O$2,$D198,$D198-($D198-$I$184)*MIN(M$3-$O$2,$Q$2)/$Q$2))</f>
        <v>13577.2147144406</v>
      </c>
      <c r="N198" s="15" t="n">
        <f aca="false">M198*(1+IF(N$3&lt;=$O$2,$D198,$D198-($D198-$I$184)*MIN(N$3-$O$2,$Q$2)/$Q$2))</f>
        <v>13825.6777437149</v>
      </c>
      <c r="O198" s="15" t="n">
        <f aca="false">SUMPRODUCT(E198:N198,1/(1+$F$184)^$E$3:$N$3)*$E$2</f>
        <v>42186.0462321672</v>
      </c>
      <c r="P198" s="15" t="n">
        <f aca="false">N198*$E$2*(1+$I$184)/($F$184-$I$184)/(1+$F$184)^$N$3</f>
        <v>64754.3593279277</v>
      </c>
      <c r="Q198" s="15" t="n">
        <f aca="false">O198+P198</f>
        <v>106940.405560095</v>
      </c>
      <c r="R198" s="15" t="n">
        <f aca="false">Q198-$G$2+$I$2</f>
        <v>87480.4055600949</v>
      </c>
      <c r="S198" s="40" t="n">
        <f aca="false">R198/$K$2</f>
        <v>155.828222020511</v>
      </c>
      <c r="T198" s="41" t="n">
        <f aca="false">S198-$M$2</f>
        <v>0.0185353499258838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0.031005859375</v>
      </c>
      <c r="C199" s="25" t="n">
        <f aca="false">IF(T198&gt;0,D198,C198)</f>
        <v>0.03118896484375</v>
      </c>
      <c r="D199" s="39" t="n">
        <f aca="false">(B199+C199)/2</f>
        <v>0.031097412109375</v>
      </c>
      <c r="E199" s="15" t="n">
        <f aca="false">$C$2*(1+IF(E$3&lt;=$O$2,$D199,$D199-($D199-$I$184)*MIN(E$3-$O$2,$Q$2)/$Q$2))</f>
        <v>10888.388671875</v>
      </c>
      <c r="F199" s="15" t="n">
        <f aca="false">E199*(1+IF(F$3&lt;=$O$2,$D199,$D199-($D199-$I$184)*MIN(F$3-$O$2,$Q$2)/$Q$2))</f>
        <v>11226.9893816113</v>
      </c>
      <c r="G199" s="15" t="n">
        <f aca="false">F199*(1+IF(G$3&lt;=$O$2,$D199,$D199-($D199-$I$184)*MIN(G$3-$O$2,$Q$2)/$Q$2))</f>
        <v>11576.1196971589</v>
      </c>
      <c r="H199" s="15" t="n">
        <f aca="false">G199*(1+IF(H$3&lt;=$O$2,$D199,$D199-($D199-$I$184)*MIN(H$3-$O$2,$Q$2)/$Q$2))</f>
        <v>11936.1070620089</v>
      </c>
      <c r="I199" s="15" t="n">
        <f aca="false">H199*(1+IF(I$3&lt;=$O$2,$D199,$D199-($D199-$I$184)*MIN(I$3-$O$2,$Q$2)/$Q$2))</f>
        <v>12307.2891022978</v>
      </c>
      <c r="J199" s="15" t="n">
        <f aca="false">I199*(1+IF(J$3&lt;=$O$2,$D199,$D199-($D199-$I$184)*MIN(J$3-$O$2,$Q$2)/$Q$2))</f>
        <v>12658.5136533429</v>
      </c>
      <c r="K199" s="15" t="n">
        <f aca="false">J199*(1+IF(K$3&lt;=$O$2,$D199,$D199-($D199-$I$184)*MIN(K$3-$O$2,$Q$2)/$Q$2))</f>
        <v>12987.3621827475</v>
      </c>
      <c r="L199" s="15" t="n">
        <f aca="false">K199*(1+IF(L$3&lt;=$O$2,$D199,$D199-($D199-$I$184)*MIN(L$3-$O$2,$Q$2)/$Q$2))</f>
        <v>13291.5127611183</v>
      </c>
      <c r="M199" s="15" t="n">
        <f aca="false">L199*(1+IF(M$3&lt;=$O$2,$D199,$D199-($D199-$I$184)*MIN(M$3-$O$2,$Q$2)/$Q$2))</f>
        <v>13568.766837919</v>
      </c>
      <c r="N199" s="15" t="n">
        <f aca="false">M199*(1+IF(N$3&lt;=$O$2,$D199,$D199-($D199-$I$184)*MIN(N$3-$O$2,$Q$2)/$Q$2))</f>
        <v>13817.0752710529</v>
      </c>
      <c r="O199" s="15" t="n">
        <f aca="false">SUMPRODUCT(E199:N199,1/(1+$F$184)^$E$3:$N$3)*$E$2</f>
        <v>42168.9769737372</v>
      </c>
      <c r="P199" s="15" t="n">
        <f aca="false">N199*$E$2*(1+$I$184)/($F$184-$I$184)/(1+$F$184)^$N$3</f>
        <v>64714.0685287214</v>
      </c>
      <c r="Q199" s="15" t="n">
        <f aca="false">O199+P199</f>
        <v>106883.045502459</v>
      </c>
      <c r="R199" s="15" t="n">
        <f aca="false">Q199-$G$2+$I$2</f>
        <v>87423.0455024587</v>
      </c>
      <c r="S199" s="40" t="n">
        <f aca="false">R199/$K$2</f>
        <v>155.726046959259</v>
      </c>
      <c r="T199" s="41" t="n">
        <f aca="false">S199-$M$2</f>
        <v>-0.0836397113260432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0.031097412109375</v>
      </c>
      <c r="C200" s="25" t="n">
        <f aca="false">IF(T199&gt;0,D199,C199)</f>
        <v>0.03118896484375</v>
      </c>
      <c r="D200" s="39" t="n">
        <f aca="false">(B200+C200)/2</f>
        <v>0.0311431884765625</v>
      </c>
      <c r="E200" s="15" t="n">
        <f aca="false">$C$2*(1+IF(E$3&lt;=$O$2,$D200,$D200-($D200-$I$184)*MIN(E$3-$O$2,$Q$2)/$Q$2))</f>
        <v>10888.8720703125</v>
      </c>
      <c r="F200" s="15" t="n">
        <f aca="false">E200*(1+IF(F$3&lt;=$O$2,$D200,$D200-($D200-$I$184)*MIN(F$3-$O$2,$Q$2)/$Q$2))</f>
        <v>11227.9862654954</v>
      </c>
      <c r="G200" s="15" t="n">
        <f aca="false">F200*(1+IF(G$3&lt;=$O$2,$D200,$D200-($D200-$I$184)*MIN(G$3-$O$2,$Q$2)/$Q$2))</f>
        <v>11577.661557974</v>
      </c>
      <c r="H200" s="15" t="n">
        <f aca="false">G200*(1+IF(H$3&lt;=$O$2,$D200,$D200-($D200-$I$184)*MIN(H$3-$O$2,$Q$2)/$Q$2))</f>
        <v>11938.2268539918</v>
      </c>
      <c r="I200" s="15" t="n">
        <f aca="false">H200*(1+IF(I$3&lt;=$O$2,$D200,$D200-($D200-$I$184)*MIN(I$3-$O$2,$Q$2)/$Q$2))</f>
        <v>12310.0213029817</v>
      </c>
      <c r="J200" s="15" t="n">
        <f aca="false">I200*(1+IF(J$3&lt;=$O$2,$D200,$D200-($D200-$I$184)*MIN(J$3-$O$2,$Q$2)/$Q$2))</f>
        <v>12661.774631822</v>
      </c>
      <c r="K200" s="15" t="n">
        <f aca="false">J200*(1+IF(K$3&lt;=$O$2,$D200,$D200-($D200-$I$184)*MIN(K$3-$O$2,$Q$2)/$Q$2))</f>
        <v>12991.0556424109</v>
      </c>
      <c r="L200" s="15" t="n">
        <f aca="false">K200*(1+IF(L$3&lt;=$O$2,$D200,$D200-($D200-$I$184)*MIN(L$3-$O$2,$Q$2)/$Q$2))</f>
        <v>13295.530591117</v>
      </c>
      <c r="M200" s="15" t="n">
        <f aca="false">L200*(1+IF(M$3&lt;=$O$2,$D200,$D200-($D200-$I$184)*MIN(M$3-$O$2,$Q$2)/$Q$2))</f>
        <v>13572.99020199</v>
      </c>
      <c r="N200" s="15" t="n">
        <f aca="false">M200*(1+IF(N$3&lt;=$O$2,$D200,$D200-($D200-$I$184)*MIN(N$3-$O$2,$Q$2)/$Q$2))</f>
        <v>13821.3759226864</v>
      </c>
      <c r="O200" s="15" t="n">
        <f aca="false">SUMPRODUCT(E200:N200,1/(1+$F$184)^$E$3:$N$3)*$E$2</f>
        <v>42177.5107315552</v>
      </c>
      <c r="P200" s="15" t="n">
        <f aca="false">N200*$E$2*(1+$I$184)/($F$184-$I$184)/(1+$F$184)^$N$3</f>
        <v>64734.2111898178</v>
      </c>
      <c r="Q200" s="15" t="n">
        <f aca="false">O200+P200</f>
        <v>106911.721921373</v>
      </c>
      <c r="R200" s="15" t="n">
        <f aca="false">Q200-$G$2+$I$2</f>
        <v>87451.721921373</v>
      </c>
      <c r="S200" s="40" t="n">
        <f aca="false">R200/$K$2</f>
        <v>155.77712805959</v>
      </c>
      <c r="T200" s="41" t="n">
        <f aca="false">S200-$M$2</f>
        <v>-0.0325586109960057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0.0311431884765625</v>
      </c>
      <c r="C201" s="25" t="n">
        <f aca="false">IF(T200&gt;0,D200,C200)</f>
        <v>0.03118896484375</v>
      </c>
      <c r="D201" s="39" t="n">
        <f aca="false">(B201+C201)/2</f>
        <v>0.0311660766601563</v>
      </c>
      <c r="E201" s="15" t="n">
        <f aca="false">$C$2*(1+IF(E$3&lt;=$O$2,$D201,$D201-($D201-$I$184)*MIN(E$3-$O$2,$Q$2)/$Q$2))</f>
        <v>10889.1137695313</v>
      </c>
      <c r="F201" s="15" t="n">
        <f aca="false">E201*(1+IF(F$3&lt;=$O$2,$D201,$D201-($D201-$I$184)*MIN(F$3-$O$2,$Q$2)/$Q$2))</f>
        <v>11228.4847240336</v>
      </c>
      <c r="G201" s="15" t="n">
        <f aca="false">F201*(1+IF(G$3&lt;=$O$2,$D201,$D201-($D201-$I$184)*MIN(G$3-$O$2,$Q$2)/$Q$2))</f>
        <v>11578.4325397203</v>
      </c>
      <c r="H201" s="15" t="n">
        <f aca="false">G201*(1+IF(H$3&lt;=$O$2,$D201,$D201-($D201-$I$184)*MIN(H$3-$O$2,$Q$2)/$Q$2))</f>
        <v>11939.2868558576</v>
      </c>
      <c r="I201" s="15" t="n">
        <f aca="false">H201*(1+IF(I$3&lt;=$O$2,$D201,$D201-($D201-$I$184)*MIN(I$3-$O$2,$Q$2)/$Q$2))</f>
        <v>12311.3875852749</v>
      </c>
      <c r="J201" s="15" t="n">
        <f aca="false">I201*(1+IF(J$3&lt;=$O$2,$D201,$D201-($D201-$I$184)*MIN(J$3-$O$2,$Q$2)/$Q$2))</f>
        <v>12663.4053832574</v>
      </c>
      <c r="K201" s="15" t="n">
        <f aca="false">J201*(1+IF(K$3&lt;=$O$2,$D201,$D201-($D201-$I$184)*MIN(K$3-$O$2,$Q$2)/$Q$2))</f>
        <v>12992.9027084348</v>
      </c>
      <c r="L201" s="15" t="n">
        <f aca="false">K201*(1+IF(L$3&lt;=$O$2,$D201,$D201-($D201-$I$184)*MIN(L$3-$O$2,$Q$2)/$Q$2))</f>
        <v>13297.5399009131</v>
      </c>
      <c r="M201" s="15" t="n">
        <f aca="false">L201*(1+IF(M$3&lt;=$O$2,$D201,$D201-($D201-$I$184)*MIN(M$3-$O$2,$Q$2)/$Q$2))</f>
        <v>13575.1023146511</v>
      </c>
      <c r="N201" s="15" t="n">
        <f aca="false">M201*(1+IF(N$3&lt;=$O$2,$D201,$D201-($D201-$I$184)*MIN(N$3-$O$2,$Q$2)/$Q$2))</f>
        <v>13823.5266870092</v>
      </c>
      <c r="O201" s="15" t="n">
        <f aca="false">SUMPRODUCT(E201:N201,1/(1+$F$184)^$E$3:$N$3)*$E$2</f>
        <v>42181.7782639911</v>
      </c>
      <c r="P201" s="15" t="n">
        <f aca="false">N201*$E$2*(1+$I$184)/($F$184-$I$184)/(1+$F$184)^$N$3</f>
        <v>64744.2845741662</v>
      </c>
      <c r="Q201" s="15" t="n">
        <f aca="false">O201+P201</f>
        <v>106926.062838157</v>
      </c>
      <c r="R201" s="15" t="n">
        <f aca="false">Q201-$G$2+$I$2</f>
        <v>87466.0628381573</v>
      </c>
      <c r="S201" s="40" t="n">
        <f aca="false">R201/$K$2</f>
        <v>155.802673432297</v>
      </c>
      <c r="T201" s="41" t="n">
        <f aca="false">S201-$M$2</f>
        <v>-0.00701323828832301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0.0311660766601563</v>
      </c>
      <c r="C202" s="25" t="n">
        <f aca="false">IF(T201&gt;0,D201,C201)</f>
        <v>0.03118896484375</v>
      </c>
      <c r="D202" s="39" t="n">
        <f aca="false">(B202+C202)/2</f>
        <v>0.0311775207519531</v>
      </c>
      <c r="E202" s="15" t="n">
        <f aca="false">$C$2*(1+IF(E$3&lt;=$O$2,$D202,$D202-($D202-$I$184)*MIN(E$3-$O$2,$Q$2)/$Q$2))</f>
        <v>10889.2346191406</v>
      </c>
      <c r="F202" s="15" t="n">
        <f aca="false">E202*(1+IF(F$3&lt;=$O$2,$D202,$D202-($D202-$I$184)*MIN(F$3-$O$2,$Q$2)/$Q$2))</f>
        <v>11228.7339574518</v>
      </c>
      <c r="G202" s="15" t="n">
        <f aca="false">F202*(1+IF(G$3&lt;=$O$2,$D202,$D202-($D202-$I$184)*MIN(G$3-$O$2,$Q$2)/$Q$2))</f>
        <v>11578.8180434284</v>
      </c>
      <c r="H202" s="15" t="n">
        <f aca="false">G202*(1+IF(H$3&lt;=$O$2,$D202,$D202-($D202-$I$184)*MIN(H$3-$O$2,$Q$2)/$Q$2))</f>
        <v>11939.8168832605</v>
      </c>
      <c r="I202" s="15" t="n">
        <f aca="false">H202*(1+IF(I$3&lt;=$O$2,$D202,$D202-($D202-$I$184)*MIN(I$3-$O$2,$Q$2)/$Q$2))</f>
        <v>12312.0707719128</v>
      </c>
      <c r="J202" s="15" t="n">
        <f aca="false">I202*(1+IF(J$3&lt;=$O$2,$D202,$D202-($D202-$I$184)*MIN(J$3-$O$2,$Q$2)/$Q$2))</f>
        <v>12664.2208245307</v>
      </c>
      <c r="K202" s="15" t="n">
        <f aca="false">J202*(1+IF(K$3&lt;=$O$2,$D202,$D202-($D202-$I$184)*MIN(K$3-$O$2,$Q$2)/$Q$2))</f>
        <v>12993.8263255047</v>
      </c>
      <c r="L202" s="15" t="n">
        <f aca="false">K202*(1+IF(L$3&lt;=$O$2,$D202,$D202-($D202-$I$184)*MIN(L$3-$O$2,$Q$2)/$Q$2))</f>
        <v>13298.5446545231</v>
      </c>
      <c r="M202" s="15" t="n">
        <f aca="false">L202*(1+IF(M$3&lt;=$O$2,$D202,$D202-($D202-$I$184)*MIN(M$3-$O$2,$Q$2)/$Q$2))</f>
        <v>13576.1584786527</v>
      </c>
      <c r="N202" s="15" t="n">
        <f aca="false">M202*(1+IF(N$3&lt;=$O$2,$D202,$D202-($D202-$I$184)*MIN(N$3-$O$2,$Q$2)/$Q$2))</f>
        <v>13824.6021788121</v>
      </c>
      <c r="O202" s="15" t="n">
        <f aca="false">SUMPRODUCT(E202:N202,1/(1+$F$184)^$E$3:$N$3)*$E$2</f>
        <v>42183.912193609</v>
      </c>
      <c r="P202" s="15" t="n">
        <f aca="false">N202*$E$2*(1+$I$184)/($F$184-$I$184)/(1+$F$184)^$N$3</f>
        <v>64749.3217798604</v>
      </c>
      <c r="Q202" s="15" t="n">
        <f aca="false">O202+P202</f>
        <v>106933.233973469</v>
      </c>
      <c r="R202" s="15" t="n">
        <f aca="false">Q202-$G$2+$I$2</f>
        <v>87473.2339734694</v>
      </c>
      <c r="S202" s="40" t="n">
        <f aca="false">R202/$K$2</f>
        <v>155.815447324444</v>
      </c>
      <c r="T202" s="41" t="n">
        <f aca="false">S202-$M$2</f>
        <v>0.00576065385808988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0.0311660766601563</v>
      </c>
      <c r="C203" s="25" t="n">
        <f aca="false">IF(T202&gt;0,D202,C202)</f>
        <v>0.0311775207519531</v>
      </c>
      <c r="D203" s="39" t="n">
        <f aca="false">(B203+C203)/2</f>
        <v>0.0311717987060547</v>
      </c>
      <c r="E203" s="15" t="n">
        <f aca="false">$C$2*(1+IF(E$3&lt;=$O$2,$D203,$D203-($D203-$I$184)*MIN(E$3-$O$2,$Q$2)/$Q$2))</f>
        <v>10889.1741943359</v>
      </c>
      <c r="F203" s="15" t="n">
        <f aca="false">E203*(1+IF(F$3&lt;=$O$2,$D203,$D203-($D203-$I$184)*MIN(F$3-$O$2,$Q$2)/$Q$2))</f>
        <v>11228.6093403969</v>
      </c>
      <c r="G203" s="15" t="n">
        <f aca="false">F203*(1+IF(G$3&lt;=$O$2,$D203,$D203-($D203-$I$184)*MIN(G$3-$O$2,$Q$2)/$Q$2))</f>
        <v>11578.6252905047</v>
      </c>
      <c r="H203" s="15" t="n">
        <f aca="false">G203*(1+IF(H$3&lt;=$O$2,$D203,$D203-($D203-$I$184)*MIN(H$3-$O$2,$Q$2)/$Q$2))</f>
        <v>11939.5518673532</v>
      </c>
      <c r="I203" s="15" t="n">
        <f aca="false">H203*(1+IF(I$3&lt;=$O$2,$D203,$D203-($D203-$I$184)*MIN(I$3-$O$2,$Q$2)/$Q$2))</f>
        <v>12311.7291748028</v>
      </c>
      <c r="J203" s="15" t="n">
        <f aca="false">I203*(1+IF(J$3&lt;=$O$2,$D203,$D203-($D203-$I$184)*MIN(J$3-$O$2,$Q$2)/$Q$2))</f>
        <v>12663.8130984309</v>
      </c>
      <c r="K203" s="15" t="n">
        <f aca="false">J203*(1+IF(K$3&lt;=$O$2,$D203,$D203-($D203-$I$184)*MIN(K$3-$O$2,$Q$2)/$Q$2))</f>
        <v>12993.3645099647</v>
      </c>
      <c r="L203" s="15" t="n">
        <f aca="false">K203*(1+IF(L$3&lt;=$O$2,$D203,$D203-($D203-$I$184)*MIN(L$3-$O$2,$Q$2)/$Q$2))</f>
        <v>13298.0422694917</v>
      </c>
      <c r="M203" s="15" t="n">
        <f aca="false">L203*(1+IF(M$3&lt;=$O$2,$D203,$D203-($D203-$I$184)*MIN(M$3-$O$2,$Q$2)/$Q$2))</f>
        <v>13575.6303876789</v>
      </c>
      <c r="N203" s="15" t="n">
        <f aca="false">M203*(1+IF(N$3&lt;=$O$2,$D203,$D203-($D203-$I$184)*MIN(N$3-$O$2,$Q$2)/$Q$2))</f>
        <v>13824.0644237734</v>
      </c>
      <c r="O203" s="15" t="n">
        <f aca="false">SUMPRODUCT(E203:N203,1/(1+$F$184)^$E$3:$N$3)*$E$2</f>
        <v>42182.8452151828</v>
      </c>
      <c r="P203" s="15" t="n">
        <f aca="false">N203*$E$2*(1+$I$184)/($F$184-$I$184)/(1+$F$184)^$N$3</f>
        <v>64746.8031342179</v>
      </c>
      <c r="Q203" s="15" t="n">
        <f aca="false">O203+P203</f>
        <v>106929.648349401</v>
      </c>
      <c r="R203" s="15" t="n">
        <f aca="false">Q203-$G$2+$I$2</f>
        <v>87469.6483494007</v>
      </c>
      <c r="S203" s="40" t="n">
        <f aca="false">R203/$K$2</f>
        <v>155.809060277883</v>
      </c>
      <c r="T203" s="41" t="n">
        <f aca="false">S203-$M$2</f>
        <v>-0.000626392702486101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0.0311717987060547</v>
      </c>
      <c r="C204" s="25" t="n">
        <f aca="false">IF(T203&gt;0,D203,C203)</f>
        <v>0.0311775207519531</v>
      </c>
      <c r="D204" s="39" t="n">
        <f aca="false">(B204+C204)/2</f>
        <v>0.0311746597290039</v>
      </c>
      <c r="E204" s="15" t="n">
        <f aca="false">$C$2*(1+IF(E$3&lt;=$O$2,$D204,$D204-($D204-$I$184)*MIN(E$3-$O$2,$Q$2)/$Q$2))</f>
        <v>10889.2044067383</v>
      </c>
      <c r="F204" s="15" t="n">
        <f aca="false">E204*(1+IF(F$3&lt;=$O$2,$D204,$D204-($D204-$I$184)*MIN(F$3-$O$2,$Q$2)/$Q$2))</f>
        <v>11228.6716488379</v>
      </c>
      <c r="G204" s="15" t="n">
        <f aca="false">F204*(1+IF(G$3&lt;=$O$2,$D204,$D204-($D204-$I$184)*MIN(G$3-$O$2,$Q$2)/$Q$2))</f>
        <v>11578.7216666992</v>
      </c>
      <c r="H204" s="15" t="n">
        <f aca="false">G204*(1+IF(H$3&lt;=$O$2,$D204,$D204-($D204-$I$184)*MIN(H$3-$O$2,$Q$2)/$Q$2))</f>
        <v>11939.6843747553</v>
      </c>
      <c r="I204" s="15" t="n">
        <f aca="false">H204*(1+IF(I$3&lt;=$O$2,$D204,$D204-($D204-$I$184)*MIN(I$3-$O$2,$Q$2)/$Q$2))</f>
        <v>12311.89997241</v>
      </c>
      <c r="J204" s="15" t="n">
        <f aca="false">I204*(1+IF(J$3&lt;=$O$2,$D204,$D204-($D204-$I$184)*MIN(J$3-$O$2,$Q$2)/$Q$2))</f>
        <v>12664.016960115</v>
      </c>
      <c r="K204" s="15" t="n">
        <f aca="false">J204*(1+IF(K$3&lt;=$O$2,$D204,$D204-($D204-$I$184)*MIN(K$3-$O$2,$Q$2)/$Q$2))</f>
        <v>12993.5954159834</v>
      </c>
      <c r="L204" s="15" t="n">
        <f aca="false">K204*(1+IF(L$3&lt;=$O$2,$D204,$D204-($D204-$I$184)*MIN(L$3-$O$2,$Q$2)/$Q$2))</f>
        <v>13298.2934599507</v>
      </c>
      <c r="M204" s="15" t="n">
        <f aca="false">L204*(1+IF(M$3&lt;=$O$2,$D204,$D204-($D204-$I$184)*MIN(M$3-$O$2,$Q$2)/$Q$2))</f>
        <v>13575.8944309225</v>
      </c>
      <c r="N204" s="15" t="n">
        <f aca="false">M204*(1+IF(N$3&lt;=$O$2,$D204,$D204-($D204-$I$184)*MIN(N$3-$O$2,$Q$2)/$Q$2))</f>
        <v>13824.3332990084</v>
      </c>
      <c r="O204" s="15" t="n">
        <f aca="false">SUMPRODUCT(E204:N204,1/(1+$F$184)^$E$3:$N$3)*$E$2</f>
        <v>42183.3787009916</v>
      </c>
      <c r="P204" s="15" t="n">
        <f aca="false">N204*$E$2*(1+$I$184)/($F$184-$I$184)/(1+$F$184)^$N$3</f>
        <v>64748.0624463401</v>
      </c>
      <c r="Q204" s="15" t="n">
        <f aca="false">O204+P204</f>
        <v>106931.441147332</v>
      </c>
      <c r="R204" s="15" t="n">
        <f aca="false">Q204-$G$2+$I$2</f>
        <v>87471.4411473317</v>
      </c>
      <c r="S204" s="40" t="n">
        <f aca="false">R204/$K$2</f>
        <v>155.812253776041</v>
      </c>
      <c r="T204" s="41" t="n">
        <f aca="false">S204-$M$2</f>
        <v>0.00256710545556871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0.0311717987060547</v>
      </c>
      <c r="C205" s="25" t="n">
        <f aca="false">IF(T204&gt;0,D204,C204)</f>
        <v>0.0311746597290039</v>
      </c>
      <c r="D205" s="39" t="n">
        <f aca="false">(B205+C205)/2</f>
        <v>0.0311732292175293</v>
      </c>
      <c r="E205" s="15" t="n">
        <f aca="false">$C$2*(1+IF(E$3&lt;=$O$2,$D205,$D205-($D205-$I$184)*MIN(E$3-$O$2,$Q$2)/$Q$2))</f>
        <v>10889.1893005371</v>
      </c>
      <c r="F205" s="15" t="n">
        <f aca="false">E205*(1+IF(F$3&lt;=$O$2,$D205,$D205-($D205-$I$184)*MIN(F$3-$O$2,$Q$2)/$Q$2))</f>
        <v>11228.6404945958</v>
      </c>
      <c r="G205" s="15" t="n">
        <f aca="false">F205*(1+IF(G$3&lt;=$O$2,$D205,$D205-($D205-$I$184)*MIN(G$3-$O$2,$Q$2)/$Q$2))</f>
        <v>11578.6734785351</v>
      </c>
      <c r="H205" s="15" t="n">
        <f aca="false">G205*(1+IF(H$3&lt;=$O$2,$D205,$D205-($D205-$I$184)*MIN(H$3-$O$2,$Q$2)/$Q$2))</f>
        <v>11939.6181209164</v>
      </c>
      <c r="I205" s="15" t="n">
        <f aca="false">H205*(1+IF(I$3&lt;=$O$2,$D205,$D205-($D205-$I$184)*MIN(I$3-$O$2,$Q$2)/$Q$2))</f>
        <v>12311.8145733695</v>
      </c>
      <c r="J205" s="15" t="n">
        <f aca="false">I205*(1+IF(J$3&lt;=$O$2,$D205,$D205-($D205-$I$184)*MIN(J$3-$O$2,$Q$2)/$Q$2))</f>
        <v>12663.9150289315</v>
      </c>
      <c r="K205" s="15" t="n">
        <f aca="false">J205*(1+IF(K$3&lt;=$O$2,$D205,$D205-($D205-$I$184)*MIN(K$3-$O$2,$Q$2)/$Q$2))</f>
        <v>12993.4799625362</v>
      </c>
      <c r="L205" s="15" t="n">
        <f aca="false">K205*(1+IF(L$3&lt;=$O$2,$D205,$D205-($D205-$I$184)*MIN(L$3-$O$2,$Q$2)/$Q$2))</f>
        <v>13298.1678642071</v>
      </c>
      <c r="M205" s="15" t="n">
        <f aca="false">L205*(1+IF(M$3&lt;=$O$2,$D205,$D205-($D205-$I$184)*MIN(M$3-$O$2,$Q$2)/$Q$2))</f>
        <v>13575.7624087399</v>
      </c>
      <c r="N205" s="15" t="n">
        <f aca="false">M205*(1+IF(N$3&lt;=$O$2,$D205,$D205-($D205-$I$184)*MIN(N$3-$O$2,$Q$2)/$Q$2))</f>
        <v>13824.1988608198</v>
      </c>
      <c r="O205" s="15" t="n">
        <f aca="false">SUMPRODUCT(E205:N205,1/(1+$F$184)^$E$3:$N$3)*$E$2</f>
        <v>42183.1119572361</v>
      </c>
      <c r="P205" s="15" t="n">
        <f aca="false">N205*$E$2*(1+$I$184)/($F$184-$I$184)/(1+$F$184)^$N$3</f>
        <v>64747.4327876043</v>
      </c>
      <c r="Q205" s="15" t="n">
        <f aca="false">O205+P205</f>
        <v>106930.54474484</v>
      </c>
      <c r="R205" s="15" t="n">
        <f aca="false">Q205-$G$2+$I$2</f>
        <v>87470.5447448404</v>
      </c>
      <c r="S205" s="40" t="n">
        <f aca="false">R205/$K$2</f>
        <v>155.810657020682</v>
      </c>
      <c r="T205" s="41" t="n">
        <f aca="false">S205-$M$2</f>
        <v>0.000970350096025641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0.0311717987060547</v>
      </c>
      <c r="C206" s="25" t="n">
        <f aca="false">IF(T205&gt;0,D205,C205)</f>
        <v>0.0311732292175293</v>
      </c>
      <c r="D206" s="39" t="n">
        <f aca="false">(B206+C206)/2</f>
        <v>0.031172513961792</v>
      </c>
      <c r="E206" s="15" t="n">
        <f aca="false">$C$2*(1+IF(E$3&lt;=$O$2,$D206,$D206-($D206-$I$184)*MIN(E$3-$O$2,$Q$2)/$Q$2))</f>
        <v>10889.1817474365</v>
      </c>
      <c r="F206" s="15" t="n">
        <f aca="false">E206*(1+IF(F$3&lt;=$O$2,$D206,$D206-($D206-$I$184)*MIN(F$3-$O$2,$Q$2)/$Q$2))</f>
        <v>11228.624917491</v>
      </c>
      <c r="G206" s="15" t="n">
        <f aca="false">F206*(1+IF(G$3&lt;=$O$2,$D206,$D206-($D206-$I$184)*MIN(G$3-$O$2,$Q$2)/$Q$2))</f>
        <v>11578.6493845032</v>
      </c>
      <c r="H206" s="15" t="n">
        <f aca="false">G206*(1+IF(H$3&lt;=$O$2,$D206,$D206-($D206-$I$184)*MIN(H$3-$O$2,$Q$2)/$Q$2))</f>
        <v>11939.5849941003</v>
      </c>
      <c r="I206" s="15" t="n">
        <f aca="false">H206*(1+IF(I$3&lt;=$O$2,$D206,$D206-($D206-$I$184)*MIN(I$3-$O$2,$Q$2)/$Q$2))</f>
        <v>12311.7718740269</v>
      </c>
      <c r="J206" s="15" t="n">
        <f aca="false">I206*(1+IF(J$3&lt;=$O$2,$D206,$D206-($D206-$I$184)*MIN(J$3-$O$2,$Q$2)/$Q$2))</f>
        <v>12663.8640635958</v>
      </c>
      <c r="K206" s="15" t="n">
        <f aca="false">J206*(1+IF(K$3&lt;=$O$2,$D206,$D206-($D206-$I$184)*MIN(K$3-$O$2,$Q$2)/$Q$2))</f>
        <v>12993.422236141</v>
      </c>
      <c r="L206" s="15" t="n">
        <f aca="false">K206*(1+IF(L$3&lt;=$O$2,$D206,$D206-($D206-$I$184)*MIN(L$3-$O$2,$Q$2)/$Q$2))</f>
        <v>13298.1050667208</v>
      </c>
      <c r="M206" s="15" t="n">
        <f aca="false">L206*(1+IF(M$3&lt;=$O$2,$D206,$D206-($D206-$I$184)*MIN(M$3-$O$2,$Q$2)/$Q$2))</f>
        <v>13575.6963980692</v>
      </c>
      <c r="N206" s="15" t="n">
        <f aca="false">M206*(1+IF(N$3&lt;=$O$2,$D206,$D206-($D206-$I$184)*MIN(N$3-$O$2,$Q$2)/$Q$2))</f>
        <v>13824.1316421538</v>
      </c>
      <c r="O206" s="15" t="n">
        <f aca="false">SUMPRODUCT(E206:N206,1/(1+$F$184)^$E$3:$N$3)*$E$2</f>
        <v>42182.9785859967</v>
      </c>
      <c r="P206" s="15" t="n">
        <f aca="false">N206*$E$2*(1+$I$184)/($F$184-$I$184)/(1+$F$184)^$N$3</f>
        <v>64747.1179602424</v>
      </c>
      <c r="Q206" s="15" t="n">
        <f aca="false">O206+P206</f>
        <v>106930.096546239</v>
      </c>
      <c r="R206" s="15" t="n">
        <f aca="false">Q206-$G$2+$I$2</f>
        <v>87470.0965462391</v>
      </c>
      <c r="S206" s="40" t="n">
        <f aca="false">R206/$K$2</f>
        <v>155.809858647712</v>
      </c>
      <c r="T206" s="41" t="n">
        <f aca="false">S206-$M$2</f>
        <v>0.000171977126626643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0.0311717987060547</v>
      </c>
      <c r="C207" s="25" t="n">
        <f aca="false">IF(T206&gt;0,D206,C206)</f>
        <v>0.031172513961792</v>
      </c>
      <c r="D207" s="39" t="n">
        <f aca="false">(B207+C207)/2</f>
        <v>0.0311721563339233</v>
      </c>
      <c r="E207" s="15" t="n">
        <f aca="false">$C$2*(1+IF(E$3&lt;=$O$2,$D207,$D207-($D207-$I$184)*MIN(E$3-$O$2,$Q$2)/$Q$2))</f>
        <v>10889.1779708862</v>
      </c>
      <c r="F207" s="15" t="n">
        <f aca="false">E207*(1+IF(F$3&lt;=$O$2,$D207,$D207-($D207-$I$184)*MIN(F$3-$O$2,$Q$2)/$Q$2))</f>
        <v>11228.6171289426</v>
      </c>
      <c r="G207" s="15" t="n">
        <f aca="false">F207*(1+IF(G$3&lt;=$O$2,$D207,$D207-($D207-$I$184)*MIN(G$3-$O$2,$Q$2)/$Q$2))</f>
        <v>11578.6373374998</v>
      </c>
      <c r="H207" s="15" t="n">
        <f aca="false">G207*(1+IF(H$3&lt;=$O$2,$D207,$D207-($D207-$I$184)*MIN(H$3-$O$2,$Q$2)/$Q$2))</f>
        <v>11939.5684307181</v>
      </c>
      <c r="I207" s="15" t="n">
        <f aca="false">H207*(1+IF(I$3&lt;=$O$2,$D207,$D207-($D207-$I$184)*MIN(I$3-$O$2,$Q$2)/$Q$2))</f>
        <v>12311.7505244</v>
      </c>
      <c r="J207" s="15" t="n">
        <f aca="false">I207*(1+IF(J$3&lt;=$O$2,$D207,$D207-($D207-$I$184)*MIN(J$3-$O$2,$Q$2)/$Q$2))</f>
        <v>12663.838580992</v>
      </c>
      <c r="K207" s="15" t="n">
        <f aca="false">J207*(1+IF(K$3&lt;=$O$2,$D207,$D207-($D207-$I$184)*MIN(K$3-$O$2,$Q$2)/$Q$2))</f>
        <v>12993.3933730255</v>
      </c>
      <c r="L207" s="15" t="n">
        <f aca="false">K207*(1+IF(L$3&lt;=$O$2,$D207,$D207-($D207-$I$184)*MIN(L$3-$O$2,$Q$2)/$Q$2))</f>
        <v>13298.0736680741</v>
      </c>
      <c r="M207" s="15" t="n">
        <f aca="false">L207*(1+IF(M$3&lt;=$O$2,$D207,$D207-($D207-$I$184)*MIN(M$3-$O$2,$Q$2)/$Q$2))</f>
        <v>13575.663392839</v>
      </c>
      <c r="N207" s="15" t="n">
        <f aca="false">M207*(1+IF(N$3&lt;=$O$2,$D207,$D207-($D207-$I$184)*MIN(N$3-$O$2,$Q$2)/$Q$2))</f>
        <v>13824.0980329279</v>
      </c>
      <c r="O207" s="15" t="n">
        <f aca="false">SUMPRODUCT(E207:N207,1/(1+$F$184)^$E$3:$N$3)*$E$2</f>
        <v>42182.9119005366</v>
      </c>
      <c r="P207" s="15" t="n">
        <f aca="false">N207*$E$2*(1+$I$184)/($F$184-$I$184)/(1+$F$184)^$N$3</f>
        <v>64746.960547063</v>
      </c>
      <c r="Q207" s="15" t="n">
        <f aca="false">O207+P207</f>
        <v>106929.8724476</v>
      </c>
      <c r="R207" s="15" t="n">
        <f aca="false">Q207-$G$2+$I$2</f>
        <v>87469.8724475996</v>
      </c>
      <c r="S207" s="40" t="n">
        <f aca="false">R207/$K$2</f>
        <v>155.809459462405</v>
      </c>
      <c r="T207" s="41" t="n">
        <f aca="false">S207-$M$2</f>
        <v>-0.000227208180461957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0.0311721563339233</v>
      </c>
      <c r="C208" s="25" t="n">
        <f aca="false">IF(T207&gt;0,D207,C207)</f>
        <v>0.031172513961792</v>
      </c>
      <c r="D208" s="39" t="n">
        <f aca="false">(B208+C208)/2</f>
        <v>0.0311723351478577</v>
      </c>
      <c r="E208" s="15" t="n">
        <f aca="false">$C$2*(1+IF(E$3&lt;=$O$2,$D208,$D208-($D208-$I$184)*MIN(E$3-$O$2,$Q$2)/$Q$2))</f>
        <v>10889.1798591614</v>
      </c>
      <c r="F208" s="15" t="n">
        <f aca="false">E208*(1+IF(F$3&lt;=$O$2,$D208,$D208-($D208-$I$184)*MIN(F$3-$O$2,$Q$2)/$Q$2))</f>
        <v>11228.6210232165</v>
      </c>
      <c r="G208" s="15" t="n">
        <f aca="false">F208*(1+IF(G$3&lt;=$O$2,$D208,$D208-($D208-$I$184)*MIN(G$3-$O$2,$Q$2)/$Q$2))</f>
        <v>11578.6433610004</v>
      </c>
      <c r="H208" s="15" t="n">
        <f aca="false">G208*(1+IF(H$3&lt;=$O$2,$D208,$D208-($D208-$I$184)*MIN(H$3-$O$2,$Q$2)/$Q$2))</f>
        <v>11939.5767124071</v>
      </c>
      <c r="I208" s="15" t="n">
        <f aca="false">H208*(1+IF(I$3&lt;=$O$2,$D208,$D208-($D208-$I$184)*MIN(I$3-$O$2,$Q$2)/$Q$2))</f>
        <v>12311.7611992098</v>
      </c>
      <c r="J208" s="15" t="n">
        <f aca="false">I208*(1+IF(J$3&lt;=$O$2,$D208,$D208-($D208-$I$184)*MIN(J$3-$O$2,$Q$2)/$Q$2))</f>
        <v>12663.8513222886</v>
      </c>
      <c r="K208" s="15" t="n">
        <f aca="false">J208*(1+IF(K$3&lt;=$O$2,$D208,$D208-($D208-$I$184)*MIN(K$3-$O$2,$Q$2)/$Q$2))</f>
        <v>12993.4078045764</v>
      </c>
      <c r="L208" s="15" t="n">
        <f aca="false">K208*(1+IF(L$3&lt;=$O$2,$D208,$D208-($D208-$I$184)*MIN(L$3-$O$2,$Q$2)/$Q$2))</f>
        <v>13298.0893673894</v>
      </c>
      <c r="M208" s="15" t="n">
        <f aca="false">L208*(1+IF(M$3&lt;=$O$2,$D208,$D208-($D208-$I$184)*MIN(M$3-$O$2,$Q$2)/$Q$2))</f>
        <v>13575.6798954453</v>
      </c>
      <c r="N208" s="15" t="n">
        <f aca="false">M208*(1+IF(N$3&lt;=$O$2,$D208,$D208-($D208-$I$184)*MIN(N$3-$O$2,$Q$2)/$Q$2))</f>
        <v>13824.114837532</v>
      </c>
      <c r="O208" s="15" t="n">
        <f aca="false">SUMPRODUCT(E208:N208,1/(1+$F$184)^$E$3:$N$3)*$E$2</f>
        <v>42182.9452432534</v>
      </c>
      <c r="P208" s="15" t="n">
        <f aca="false">N208*$E$2*(1+$I$184)/($F$184-$I$184)/(1+$F$184)^$N$3</f>
        <v>64747.0392536109</v>
      </c>
      <c r="Q208" s="15" t="n">
        <f aca="false">O208+P208</f>
        <v>106929.984496864</v>
      </c>
      <c r="R208" s="15" t="n">
        <f aca="false">Q208-$G$2+$I$2</f>
        <v>87469.9844968643</v>
      </c>
      <c r="S208" s="40" t="n">
        <f aca="false">R208/$K$2</f>
        <v>155.809659054961</v>
      </c>
      <c r="T208" s="41" t="n">
        <f aca="false">S208-$M$2</f>
        <v>-2.76156250151871E-005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0.0311723351478577</v>
      </c>
      <c r="C209" s="25" t="n">
        <f aca="false">IF(T208&gt;0,D208,C208)</f>
        <v>0.031172513961792</v>
      </c>
      <c r="D209" s="39" t="n">
        <f aca="false">(B209+C209)/2</f>
        <v>0.0311724245548248</v>
      </c>
      <c r="E209" s="15" t="n">
        <f aca="false">$C$2*(1+IF(E$3&lt;=$O$2,$D209,$D209-($D209-$I$184)*MIN(E$3-$O$2,$Q$2)/$Q$2))</f>
        <v>10889.180803299</v>
      </c>
      <c r="F209" s="15" t="n">
        <f aca="false">E209*(1+IF(F$3&lt;=$O$2,$D209,$D209-($D209-$I$184)*MIN(F$3-$O$2,$Q$2)/$Q$2))</f>
        <v>11228.6229703536</v>
      </c>
      <c r="G209" s="15" t="n">
        <f aca="false">F209*(1+IF(G$3&lt;=$O$2,$D209,$D209-($D209-$I$184)*MIN(G$3-$O$2,$Q$2)/$Q$2))</f>
        <v>11578.6463727516</v>
      </c>
      <c r="H209" s="15" t="n">
        <f aca="false">G209*(1+IF(H$3&lt;=$O$2,$D209,$D209-($D209-$I$184)*MIN(H$3-$O$2,$Q$2)/$Q$2))</f>
        <v>11939.5808532531</v>
      </c>
      <c r="I209" s="15" t="n">
        <f aca="false">H209*(1+IF(I$3&lt;=$O$2,$D209,$D209-($D209-$I$184)*MIN(I$3-$O$2,$Q$2)/$Q$2))</f>
        <v>12311.7665366174</v>
      </c>
      <c r="J209" s="15" t="n">
        <f aca="false">I209*(1+IF(J$3&lt;=$O$2,$D209,$D209-($D209-$I$184)*MIN(J$3-$O$2,$Q$2)/$Q$2))</f>
        <v>12663.8576929409</v>
      </c>
      <c r="K209" s="15" t="n">
        <f aca="false">J209*(1+IF(K$3&lt;=$O$2,$D209,$D209-($D209-$I$184)*MIN(K$3-$O$2,$Q$2)/$Q$2))</f>
        <v>12993.415020357</v>
      </c>
      <c r="L209" s="15" t="n">
        <f aca="false">K209*(1+IF(L$3&lt;=$O$2,$D209,$D209-($D209-$I$184)*MIN(L$3-$O$2,$Q$2)/$Q$2))</f>
        <v>13298.0972170531</v>
      </c>
      <c r="M209" s="15" t="n">
        <f aca="false">L209*(1+IF(M$3&lt;=$O$2,$D209,$D209-($D209-$I$184)*MIN(M$3-$O$2,$Q$2)/$Q$2))</f>
        <v>13575.688146755</v>
      </c>
      <c r="N209" s="15" t="n">
        <f aca="false">M209*(1+IF(N$3&lt;=$O$2,$D209,$D209-($D209-$I$184)*MIN(N$3-$O$2,$Q$2)/$Q$2))</f>
        <v>13824.1232398407</v>
      </c>
      <c r="O209" s="15" t="n">
        <f aca="false">SUMPRODUCT(E209:N209,1/(1+$F$184)^$E$3:$N$3)*$E$2</f>
        <v>42182.9619146217</v>
      </c>
      <c r="P209" s="15" t="n">
        <f aca="false">N209*$E$2*(1+$I$184)/($F$184-$I$184)/(1+$F$184)^$N$3</f>
        <v>64747.0786069162</v>
      </c>
      <c r="Q209" s="15" t="n">
        <f aca="false">O209+P209</f>
        <v>106930.040521538</v>
      </c>
      <c r="R209" s="15" t="n">
        <f aca="false">Q209-$G$2+$I$2</f>
        <v>87470.0405215379</v>
      </c>
      <c r="S209" s="40" t="n">
        <f aca="false">R209/$K$2</f>
        <v>155.809758851312</v>
      </c>
      <c r="T209" s="41" t="n">
        <f aca="false">S209-$M$2</f>
        <v>7.21807262777929E-005</v>
      </c>
    </row>
    <row r="211" customFormat="false" ht="15" hidden="false" customHeight="false" outlineLevel="0" collapsed="false">
      <c r="A211" s="36" t="s">
        <v>193</v>
      </c>
      <c r="E211" s="5" t="s">
        <v>11</v>
      </c>
      <c r="F211" s="12" t="n">
        <f aca="false">Sensitivity!$B$11</f>
        <v>0.0720172026214128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6" t="s">
        <v>167</v>
      </c>
      <c r="B212" s="28" t="s">
        <v>168</v>
      </c>
      <c r="C212" s="28" t="s">
        <v>169</v>
      </c>
      <c r="D212" s="28" t="s">
        <v>170</v>
      </c>
      <c r="E212" s="28" t="s">
        <v>171</v>
      </c>
      <c r="F212" s="28" t="s">
        <v>172</v>
      </c>
      <c r="G212" s="28" t="s">
        <v>173</v>
      </c>
      <c r="H212" s="28" t="s">
        <v>174</v>
      </c>
      <c r="I212" s="28" t="s">
        <v>175</v>
      </c>
      <c r="J212" s="28" t="s">
        <v>176</v>
      </c>
      <c r="K212" s="28" t="s">
        <v>177</v>
      </c>
      <c r="L212" s="28" t="s">
        <v>178</v>
      </c>
      <c r="M212" s="28" t="s">
        <v>179</v>
      </c>
      <c r="N212" s="28" t="s">
        <v>180</v>
      </c>
      <c r="O212" s="28" t="s">
        <v>181</v>
      </c>
      <c r="P212" s="28" t="s">
        <v>182</v>
      </c>
      <c r="Q212" s="28" t="s">
        <v>183</v>
      </c>
      <c r="R212" s="28" t="s">
        <v>184</v>
      </c>
      <c r="S212" s="28" t="s">
        <v>185</v>
      </c>
      <c r="T212" s="28" t="s">
        <v>186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39" t="n">
        <f aca="false">(B213+C213)/2</f>
        <v>0.25</v>
      </c>
      <c r="E213" s="15" t="n">
        <f aca="false">$C$2*(1+IF(E$3&lt;=$O$2,$D213,$D213-($D213-$I$211)*MIN(E$3-$O$2,$Q$2)/$Q$2))</f>
        <v>13200</v>
      </c>
      <c r="F213" s="15" t="n">
        <f aca="false">E213*(1+IF(F$3&lt;=$O$2,$D213,$D213-($D213-$I$211)*MIN(F$3-$O$2,$Q$2)/$Q$2))</f>
        <v>16500</v>
      </c>
      <c r="G213" s="15" t="n">
        <f aca="false">F213*(1+IF(G$3&lt;=$O$2,$D213,$D213-($D213-$I$211)*MIN(G$3-$O$2,$Q$2)/$Q$2))</f>
        <v>20625</v>
      </c>
      <c r="H213" s="15" t="n">
        <f aca="false">G213*(1+IF(H$3&lt;=$O$2,$D213,$D213-($D213-$I$211)*MIN(H$3-$O$2,$Q$2)/$Q$2))</f>
        <v>25781.25</v>
      </c>
      <c r="I213" s="15" t="n">
        <f aca="false">H213*(1+IF(I$3&lt;=$O$2,$D213,$D213-($D213-$I$211)*MIN(I$3-$O$2,$Q$2)/$Q$2))</f>
        <v>32226.5625</v>
      </c>
      <c r="J213" s="15" t="n">
        <f aca="false">I213*(1+IF(J$3&lt;=$O$2,$D213,$D213-($D213-$I$211)*MIN(J$3-$O$2,$Q$2)/$Q$2))</f>
        <v>38822.05078125</v>
      </c>
      <c r="K213" s="15" t="n">
        <f aca="false">J213*(1+IF(K$3&lt;=$O$2,$D213,$D213-($D213-$I$211)*MIN(K$3-$O$2,$Q$2)/$Q$2))</f>
        <v>45007.1799117188</v>
      </c>
      <c r="L213" s="15" t="n">
        <f aca="false">K213*(1+IF(L$3&lt;=$O$2,$D213,$D213-($D213-$I$211)*MIN(L$3-$O$2,$Q$2)/$Q$2))</f>
        <v>50137.0982780565</v>
      </c>
      <c r="M213" s="15" t="n">
        <f aca="false">L213*(1+IF(M$3&lt;=$O$2,$D213,$D213-($D213-$I$211)*MIN(M$3-$O$2,$Q$2)/$Q$2))</f>
        <v>53578.5087038623</v>
      </c>
      <c r="N213" s="15" t="n">
        <f aca="false">M213*(1+IF(N$3&lt;=$O$2,$D213,$D213-($D213-$I$211)*MIN(N$3-$O$2,$Q$2)/$Q$2))</f>
        <v>54826.8879566622</v>
      </c>
      <c r="O213" s="15" t="n">
        <f aca="false">SUMPRODUCT(E213:N213,1/(1+$F$211)^$E$3:$N$3)*$E$2</f>
        <v>110781.95298849</v>
      </c>
      <c r="P213" s="15" t="n">
        <f aca="false">N213*$E$2*(1+$I$211)/($F$211-$I$211)/(1+$F$211)^$N$3</f>
        <v>284534.185406476</v>
      </c>
      <c r="Q213" s="15" t="n">
        <f aca="false">O213+P213</f>
        <v>395316.138394967</v>
      </c>
      <c r="R213" s="15" t="n">
        <f aca="false">Q213-$G$2+$I$2</f>
        <v>375856.138394967</v>
      </c>
      <c r="S213" s="40" t="n">
        <f aca="false">R213/$K$2</f>
        <v>669.509856596959</v>
      </c>
      <c r="T213" s="41" t="n">
        <f aca="false">S213-$M$2</f>
        <v>513.700169926373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39" t="n">
        <f aca="false">(B214+C214)/2</f>
        <v>-0.125</v>
      </c>
      <c r="E214" s="15" t="n">
        <f aca="false">$C$2*(1+IF(E$3&lt;=$O$2,$D214,$D214-($D214-$I$211)*MIN(E$3-$O$2,$Q$2)/$Q$2))</f>
        <v>9240</v>
      </c>
      <c r="F214" s="15" t="n">
        <f aca="false">E214*(1+IF(F$3&lt;=$O$2,$D214,$D214-($D214-$I$211)*MIN(F$3-$O$2,$Q$2)/$Q$2))</f>
        <v>8085</v>
      </c>
      <c r="G214" s="15" t="n">
        <f aca="false">F214*(1+IF(G$3&lt;=$O$2,$D214,$D214-($D214-$I$211)*MIN(G$3-$O$2,$Q$2)/$Q$2))</f>
        <v>7074.375</v>
      </c>
      <c r="H214" s="15" t="n">
        <f aca="false">G214*(1+IF(H$3&lt;=$O$2,$D214,$D214-($D214-$I$211)*MIN(H$3-$O$2,$Q$2)/$Q$2))</f>
        <v>6190.078125</v>
      </c>
      <c r="I214" s="15" t="n">
        <f aca="false">H214*(1+IF(I$3&lt;=$O$2,$D214,$D214-($D214-$I$211)*MIN(I$3-$O$2,$Q$2)/$Q$2))</f>
        <v>5416.318359375</v>
      </c>
      <c r="J214" s="15" t="n">
        <f aca="false">I214*(1+IF(J$3&lt;=$O$2,$D214,$D214-($D214-$I$211)*MIN(J$3-$O$2,$Q$2)/$Q$2))</f>
        <v>4899.92656699219</v>
      </c>
      <c r="K214" s="15" t="n">
        <f aca="false">J214*(1+IF(K$3&lt;=$O$2,$D214,$D214-($D214-$I$211)*MIN(K$3-$O$2,$Q$2)/$Q$2))</f>
        <v>4578.09939007214</v>
      </c>
      <c r="L214" s="15" t="n">
        <f aca="false">K214*(1+IF(L$3&lt;=$O$2,$D214,$D214-($D214-$I$211)*MIN(L$3-$O$2,$Q$2)/$Q$2))</f>
        <v>4413.19625004174</v>
      </c>
      <c r="M214" s="15" t="n">
        <f aca="false">L214*(1+IF(M$3&lt;=$O$2,$D214,$D214-($D214-$I$211)*MIN(M$3-$O$2,$Q$2)/$Q$2))</f>
        <v>4385.12832189148</v>
      </c>
      <c r="N214" s="15" t="n">
        <f aca="false">M214*(1+IF(N$3&lt;=$O$2,$D214,$D214-($D214-$I$211)*MIN(N$3-$O$2,$Q$2)/$Q$2))</f>
        <v>4487.30181179155</v>
      </c>
      <c r="O214" s="15" t="n">
        <f aca="false">SUMPRODUCT(E214:N214,1/(1+$F$211)^$E$3:$N$3)*$E$2</f>
        <v>21328.6056459549</v>
      </c>
      <c r="P214" s="15" t="n">
        <f aca="false">N214*$E$2*(1+$I$211)/($F$211-$I$211)/(1+$F$211)^$N$3</f>
        <v>23287.6753227422</v>
      </c>
      <c r="Q214" s="15" t="n">
        <f aca="false">O214+P214</f>
        <v>44616.2809686971</v>
      </c>
      <c r="R214" s="15" t="n">
        <f aca="false">Q214-$G$2+$I$2</f>
        <v>25156.2809686971</v>
      </c>
      <c r="S214" s="40" t="n">
        <f aca="false">R214/$K$2</f>
        <v>44.8107037330503</v>
      </c>
      <c r="T214" s="41" t="n">
        <f aca="false">S214-$M$2</f>
        <v>-110.998982937535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39" t="n">
        <f aca="false">(B215+C215)/2</f>
        <v>0.0625</v>
      </c>
      <c r="E215" s="15" t="n">
        <f aca="false">$C$2*(1+IF(E$3&lt;=$O$2,$D215,$D215-($D215-$I$211)*MIN(E$3-$O$2,$Q$2)/$Q$2))</f>
        <v>11220</v>
      </c>
      <c r="F215" s="15" t="n">
        <f aca="false">E215*(1+IF(F$3&lt;=$O$2,$D215,$D215-($D215-$I$211)*MIN(F$3-$O$2,$Q$2)/$Q$2))</f>
        <v>11921.25</v>
      </c>
      <c r="G215" s="15" t="n">
        <f aca="false">F215*(1+IF(G$3&lt;=$O$2,$D215,$D215-($D215-$I$211)*MIN(G$3-$O$2,$Q$2)/$Q$2))</f>
        <v>12666.328125</v>
      </c>
      <c r="H215" s="15" t="n">
        <f aca="false">G215*(1+IF(H$3&lt;=$O$2,$D215,$D215-($D215-$I$211)*MIN(H$3-$O$2,$Q$2)/$Q$2))</f>
        <v>13457.9736328125</v>
      </c>
      <c r="I215" s="15" t="n">
        <f aca="false">H215*(1+IF(I$3&lt;=$O$2,$D215,$D215-($D215-$I$211)*MIN(I$3-$O$2,$Q$2)/$Q$2))</f>
        <v>14299.0969848633</v>
      </c>
      <c r="J215" s="15" t="n">
        <f aca="false">I215*(1+IF(J$3&lt;=$O$2,$D215,$D215-($D215-$I$211)*MIN(J$3-$O$2,$Q$2)/$Q$2))</f>
        <v>15080.6856260559</v>
      </c>
      <c r="K215" s="15" t="n">
        <f aca="false">J215*(1+IF(K$3&lt;=$O$2,$D215,$D215-($D215-$I$211)*MIN(K$3-$O$2,$Q$2)/$Q$2))</f>
        <v>15786.7633270678</v>
      </c>
      <c r="L215" s="15" t="n">
        <f aca="false">K215*(1+IF(L$3&lt;=$O$2,$D215,$D215-($D215-$I$211)*MIN(L$3-$O$2,$Q$2)/$Q$2))</f>
        <v>16402.131361557</v>
      </c>
      <c r="M215" s="15" t="n">
        <f aca="false">L215*(1+IF(M$3&lt;=$O$2,$D215,$D215-($D215-$I$211)*MIN(M$3-$O$2,$Q$2)/$Q$2))</f>
        <v>16912.8937321558</v>
      </c>
      <c r="N215" s="15" t="n">
        <f aca="false">M215*(1+IF(N$3&lt;=$O$2,$D215,$D215-($D215-$I$211)*MIN(N$3-$O$2,$Q$2)/$Q$2))</f>
        <v>17306.9641561151</v>
      </c>
      <c r="O215" s="15" t="n">
        <f aca="false">SUMPRODUCT(E215:N215,1/(1+$F$211)^$E$3:$N$3)*$E$2</f>
        <v>48600.7754812137</v>
      </c>
      <c r="P215" s="15" t="n">
        <f aca="false">N215*$E$2*(1+$I$211)/($F$211-$I$211)/(1+$F$211)^$N$3</f>
        <v>89817.6630399264</v>
      </c>
      <c r="Q215" s="15" t="n">
        <f aca="false">O215+P215</f>
        <v>138418.43852114</v>
      </c>
      <c r="R215" s="15" t="n">
        <f aca="false">Q215-$G$2+$I$2</f>
        <v>118958.43852114</v>
      </c>
      <c r="S215" s="40" t="n">
        <f aca="false">R215/$K$2</f>
        <v>211.899817455138</v>
      </c>
      <c r="T215" s="41" t="n">
        <f aca="false">S215-$M$2</f>
        <v>56.0901307845527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39" t="n">
        <f aca="false">(B216+C216)/2</f>
        <v>-0.03125</v>
      </c>
      <c r="E216" s="15" t="n">
        <f aca="false">$C$2*(1+IF(E$3&lt;=$O$2,$D216,$D216-($D216-$I$211)*MIN(E$3-$O$2,$Q$2)/$Q$2))</f>
        <v>10230</v>
      </c>
      <c r="F216" s="15" t="n">
        <f aca="false">E216*(1+IF(F$3&lt;=$O$2,$D216,$D216-($D216-$I$211)*MIN(F$3-$O$2,$Q$2)/$Q$2))</f>
        <v>9910.3125</v>
      </c>
      <c r="G216" s="15" t="n">
        <f aca="false">F216*(1+IF(G$3&lt;=$O$2,$D216,$D216-($D216-$I$211)*MIN(G$3-$O$2,$Q$2)/$Q$2))</f>
        <v>9600.615234375</v>
      </c>
      <c r="H216" s="15" t="n">
        <f aca="false">G216*(1+IF(H$3&lt;=$O$2,$D216,$D216-($D216-$I$211)*MIN(H$3-$O$2,$Q$2)/$Q$2))</f>
        <v>9300.59600830078</v>
      </c>
      <c r="I216" s="15" t="n">
        <f aca="false">H216*(1+IF(I$3&lt;=$O$2,$D216,$D216-($D216-$I$211)*MIN(I$3-$O$2,$Q$2)/$Q$2))</f>
        <v>9009.95238304138</v>
      </c>
      <c r="J216" s="15" t="n">
        <f aca="false">I216*(1+IF(J$3&lt;=$O$2,$D216,$D216-($D216-$I$211)*MIN(J$3-$O$2,$Q$2)/$Q$2))</f>
        <v>8826.68995157032</v>
      </c>
      <c r="K216" s="15" t="n">
        <f aca="false">J216*(1+IF(K$3&lt;=$O$2,$D216,$D216-($D216-$I$211)*MIN(K$3-$O$2,$Q$2)/$Q$2))</f>
        <v>8743.45426532701</v>
      </c>
      <c r="L216" s="15" t="n">
        <f aca="false">K216*(1+IF(L$3&lt;=$O$2,$D216,$D216-($D216-$I$211)*MIN(L$3-$O$2,$Q$2)/$Q$2))</f>
        <v>8756.3945776397</v>
      </c>
      <c r="M216" s="15" t="n">
        <f aca="false">L216*(1+IF(M$3&lt;=$O$2,$D216,$D216-($D216-$I$211)*MIN(M$3-$O$2,$Q$2)/$Q$2))</f>
        <v>8864.88630645665</v>
      </c>
      <c r="N216" s="15" t="n">
        <f aca="false">M216*(1+IF(N$3&lt;=$O$2,$D216,$D216-($D216-$I$211)*MIN(N$3-$O$2,$Q$2)/$Q$2))</f>
        <v>9071.43815739709</v>
      </c>
      <c r="O216" s="15" t="n">
        <f aca="false">SUMPRODUCT(E216:N216,1/(1+$F$211)^$E$3:$N$3)*$E$2</f>
        <v>32113.2352063563</v>
      </c>
      <c r="P216" s="15" t="n">
        <f aca="false">N216*$E$2*(1+$I$211)/($F$211-$I$211)/(1+$F$211)^$N$3</f>
        <v>47077.8912095186</v>
      </c>
      <c r="Q216" s="15" t="n">
        <f aca="false">O216+P216</f>
        <v>79191.1264158748</v>
      </c>
      <c r="R216" s="15" t="n">
        <f aca="false">Q216-$G$2+$I$2</f>
        <v>59731.1264158748</v>
      </c>
      <c r="S216" s="40" t="n">
        <f aca="false">R216/$K$2</f>
        <v>106.398629145291</v>
      </c>
      <c r="T216" s="41" t="n">
        <f aca="false">S216-$M$2</f>
        <v>-49.4110575252946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39" t="n">
        <f aca="false">(B217+C217)/2</f>
        <v>0.015625</v>
      </c>
      <c r="E217" s="15" t="n">
        <f aca="false">$C$2*(1+IF(E$3&lt;=$O$2,$D217,$D217-($D217-$I$211)*MIN(E$3-$O$2,$Q$2)/$Q$2))</f>
        <v>10725</v>
      </c>
      <c r="F217" s="15" t="n">
        <f aca="false">E217*(1+IF(F$3&lt;=$O$2,$D217,$D217-($D217-$I$211)*MIN(F$3-$O$2,$Q$2)/$Q$2))</f>
        <v>10892.578125</v>
      </c>
      <c r="G217" s="15" t="n">
        <f aca="false">F217*(1+IF(G$3&lt;=$O$2,$D217,$D217-($D217-$I$211)*MIN(G$3-$O$2,$Q$2)/$Q$2))</f>
        <v>11062.7746582031</v>
      </c>
      <c r="H217" s="15" t="n">
        <f aca="false">G217*(1+IF(H$3&lt;=$O$2,$D217,$D217-($D217-$I$211)*MIN(H$3-$O$2,$Q$2)/$Q$2))</f>
        <v>11235.6305122375</v>
      </c>
      <c r="I217" s="15" t="n">
        <f aca="false">H217*(1+IF(I$3&lt;=$O$2,$D217,$D217-($D217-$I$211)*MIN(I$3-$O$2,$Q$2)/$Q$2))</f>
        <v>11411.1872389913</v>
      </c>
      <c r="J217" s="15" t="n">
        <f aca="false">I217*(1+IF(J$3&lt;=$O$2,$D217,$D217-($D217-$I$211)*MIN(J$3-$O$2,$Q$2)/$Q$2))</f>
        <v>11607.0032120124</v>
      </c>
      <c r="K217" s="15" t="n">
        <f aca="false">J217*(1+IF(K$3&lt;=$O$2,$D217,$D217-($D217-$I$211)*MIN(K$3-$O$2,$Q$2)/$Q$2))</f>
        <v>11823.9961370609</v>
      </c>
      <c r="L217" s="15" t="n">
        <f aca="false">K217*(1+IF(L$3&lt;=$O$2,$D217,$D217-($D217-$I$211)*MIN(L$3-$O$2,$Q$2)/$Q$2))</f>
        <v>12063.1955789137</v>
      </c>
      <c r="M217" s="15" t="n">
        <f aca="false">L217*(1+IF(M$3&lt;=$O$2,$D217,$D217-($D217-$I$211)*MIN(M$3-$O$2,$Q$2)/$Q$2))</f>
        <v>12325.7510306887</v>
      </c>
      <c r="N217" s="15" t="n">
        <f aca="false">M217*(1+IF(N$3&lt;=$O$2,$D217,$D217-($D217-$I$211)*MIN(N$3-$O$2,$Q$2)/$Q$2))</f>
        <v>12612.9410297038</v>
      </c>
      <c r="O217" s="15" t="n">
        <f aca="false">SUMPRODUCT(E217:N217,1/(1+$F$211)^$E$3:$N$3)*$E$2</f>
        <v>39494.1362324518</v>
      </c>
      <c r="P217" s="15" t="n">
        <f aca="false">N217*$E$2*(1+$I$211)/($F$211-$I$211)/(1+$F$211)^$N$3</f>
        <v>65457.1695607355</v>
      </c>
      <c r="Q217" s="15" t="n">
        <f aca="false">O217+P217</f>
        <v>104951.305793187</v>
      </c>
      <c r="R217" s="15" t="n">
        <f aca="false">Q217-$G$2+$I$2</f>
        <v>85491.3057931872</v>
      </c>
      <c r="S217" s="40" t="n">
        <f aca="false">R217/$K$2</f>
        <v>152.285052803198</v>
      </c>
      <c r="T217" s="41" t="n">
        <f aca="false">S217-$M$2</f>
        <v>-3.52463386738768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39" t="n">
        <f aca="false">(B218+C218)/2</f>
        <v>0.0390625</v>
      </c>
      <c r="E218" s="15" t="n">
        <f aca="false">$C$2*(1+IF(E$3&lt;=$O$2,$D218,$D218-($D218-$I$211)*MIN(E$3-$O$2,$Q$2)/$Q$2))</f>
        <v>10972.5</v>
      </c>
      <c r="F218" s="15" t="n">
        <f aca="false">E218*(1+IF(F$3&lt;=$O$2,$D218,$D218-($D218-$I$211)*MIN(F$3-$O$2,$Q$2)/$Q$2))</f>
        <v>11401.11328125</v>
      </c>
      <c r="G218" s="15" t="n">
        <f aca="false">F218*(1+IF(G$3&lt;=$O$2,$D218,$D218-($D218-$I$211)*MIN(G$3-$O$2,$Q$2)/$Q$2))</f>
        <v>11846.4692687988</v>
      </c>
      <c r="H218" s="15" t="n">
        <f aca="false">G218*(1+IF(H$3&lt;=$O$2,$D218,$D218-($D218-$I$211)*MIN(H$3-$O$2,$Q$2)/$Q$2))</f>
        <v>12309.2219746113</v>
      </c>
      <c r="I218" s="15" t="n">
        <f aca="false">H218*(1+IF(I$3&lt;=$O$2,$D218,$D218-($D218-$I$211)*MIN(I$3-$O$2,$Q$2)/$Q$2))</f>
        <v>12790.0509579945</v>
      </c>
      <c r="J218" s="15" t="n">
        <f aca="false">I218*(1+IF(J$3&lt;=$O$2,$D218,$D218-($D218-$I$211)*MIN(J$3-$O$2,$Q$2)/$Q$2))</f>
        <v>13249.3416878961</v>
      </c>
      <c r="K218" s="15" t="n">
        <f aca="false">J218*(1+IF(K$3&lt;=$O$2,$D218,$D218-($D218-$I$211)*MIN(K$3-$O$2,$Q$2)/$Q$2))</f>
        <v>13683.3569982374</v>
      </c>
      <c r="L218" s="15" t="n">
        <f aca="false">K218*(1+IF(L$3&lt;=$O$2,$D218,$D218-($D218-$I$211)*MIN(L$3-$O$2,$Q$2)/$Q$2))</f>
        <v>14088.4527821702</v>
      </c>
      <c r="M218" s="15" t="n">
        <f aca="false">L218*(1+IF(M$3&lt;=$O$2,$D218,$D218-($D218-$I$211)*MIN(M$3-$O$2,$Q$2)/$Q$2))</f>
        <v>14461.1275793906</v>
      </c>
      <c r="N218" s="15" t="n">
        <f aca="false">M218*(1+IF(N$3&lt;=$O$2,$D218,$D218-($D218-$I$211)*MIN(N$3-$O$2,$Q$2)/$Q$2))</f>
        <v>14798.0718519904</v>
      </c>
      <c r="O218" s="15" t="n">
        <f aca="false">SUMPRODUCT(E218:N218,1/(1+$F$211)^$E$3:$N$3)*$E$2</f>
        <v>43810.0030890788</v>
      </c>
      <c r="P218" s="15" t="n">
        <f aca="false">N218*$E$2*(1+$I$211)/($F$211-$I$211)/(1+$F$211)^$N$3</f>
        <v>76797.306520859</v>
      </c>
      <c r="Q218" s="15" t="n">
        <f aca="false">O218+P218</f>
        <v>120607.309609938</v>
      </c>
      <c r="R218" s="15" t="n">
        <f aca="false">Q218-$G$2+$I$2</f>
        <v>101147.309609938</v>
      </c>
      <c r="S218" s="40" t="n">
        <f aca="false">R218/$K$2</f>
        <v>180.172980655049</v>
      </c>
      <c r="T218" s="41" t="n">
        <f aca="false">S218-$M$2</f>
        <v>24.3632939844632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0.015625</v>
      </c>
      <c r="C219" s="25" t="n">
        <f aca="false">IF(T218&gt;0,D218,C218)</f>
        <v>0.0390625</v>
      </c>
      <c r="D219" s="39" t="n">
        <f aca="false">(B219+C219)/2</f>
        <v>0.02734375</v>
      </c>
      <c r="E219" s="15" t="n">
        <f aca="false">$C$2*(1+IF(E$3&lt;=$O$2,$D219,$D219-($D219-$I$211)*MIN(E$3-$O$2,$Q$2)/$Q$2))</f>
        <v>10848.75</v>
      </c>
      <c r="F219" s="15" t="n">
        <f aca="false">E219*(1+IF(F$3&lt;=$O$2,$D219,$D219-($D219-$I$211)*MIN(F$3-$O$2,$Q$2)/$Q$2))</f>
        <v>11145.3955078125</v>
      </c>
      <c r="G219" s="15" t="n">
        <f aca="false">F219*(1+IF(G$3&lt;=$O$2,$D219,$D219-($D219-$I$211)*MIN(G$3-$O$2,$Q$2)/$Q$2))</f>
        <v>11450.1524162292</v>
      </c>
      <c r="H219" s="15" t="n">
        <f aca="false">G219*(1+IF(H$3&lt;=$O$2,$D219,$D219-($D219-$I$211)*MIN(H$3-$O$2,$Q$2)/$Q$2))</f>
        <v>11763.2425213605</v>
      </c>
      <c r="I219" s="15" t="n">
        <f aca="false">H219*(1+IF(I$3&lt;=$O$2,$D219,$D219-($D219-$I$211)*MIN(I$3-$O$2,$Q$2)/$Q$2))</f>
        <v>12084.893684054</v>
      </c>
      <c r="J219" s="15" t="n">
        <f aca="false">I219*(1+IF(J$3&lt;=$O$2,$D219,$D219-($D219-$I$211)*MIN(J$3-$O$2,$Q$2)/$Q$2))</f>
        <v>12405.5663379603</v>
      </c>
      <c r="K219" s="15" t="n">
        <f aca="false">J219*(1+IF(K$3&lt;=$O$2,$D219,$D219-($D219-$I$211)*MIN(K$3-$O$2,$Q$2)/$Q$2))</f>
        <v>12724.7150389623</v>
      </c>
      <c r="L219" s="15" t="n">
        <f aca="false">K219*(1+IF(L$3&lt;=$O$2,$D219,$D219-($D219-$I$211)*MIN(L$3-$O$2,$Q$2)/$Q$2))</f>
        <v>13041.7831259456</v>
      </c>
      <c r="M219" s="15" t="n">
        <f aca="false">L219*(1+IF(M$3&lt;=$O$2,$D219,$D219-($D219-$I$211)*MIN(M$3-$O$2,$Q$2)/$Q$2))</f>
        <v>13356.2042148833</v>
      </c>
      <c r="N219" s="15" t="n">
        <f aca="false">M219*(1+IF(N$3&lt;=$O$2,$D219,$D219-($D219-$I$211)*MIN(N$3-$O$2,$Q$2)/$Q$2))</f>
        <v>13667.4037730901</v>
      </c>
      <c r="O219" s="15" t="n">
        <f aca="false">SUMPRODUCT(E219:N219,1/(1+$F$211)^$E$3:$N$3)*$E$2</f>
        <v>41595.5693004732</v>
      </c>
      <c r="P219" s="15" t="n">
        <f aca="false">N219*$E$2*(1+$I$211)/($F$211-$I$211)/(1+$F$211)^$N$3</f>
        <v>70929.4972618454</v>
      </c>
      <c r="Q219" s="15" t="n">
        <f aca="false">O219+P219</f>
        <v>112525.066562319</v>
      </c>
      <c r="R219" s="15" t="n">
        <f aca="false">Q219-$G$2+$I$2</f>
        <v>93065.0665623186</v>
      </c>
      <c r="S219" s="40" t="n">
        <f aca="false">R219/$K$2</f>
        <v>165.77613880247</v>
      </c>
      <c r="T219" s="41" t="n">
        <f aca="false">S219-$M$2</f>
        <v>9.96645213188447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0.015625</v>
      </c>
      <c r="C220" s="25" t="n">
        <f aca="false">IF(T219&gt;0,D219,C219)</f>
        <v>0.02734375</v>
      </c>
      <c r="D220" s="39" t="n">
        <f aca="false">(B220+C220)/2</f>
        <v>0.021484375</v>
      </c>
      <c r="E220" s="15" t="n">
        <f aca="false">$C$2*(1+IF(E$3&lt;=$O$2,$D220,$D220-($D220-$I$211)*MIN(E$3-$O$2,$Q$2)/$Q$2))</f>
        <v>10786.875</v>
      </c>
      <c r="F220" s="15" t="n">
        <f aca="false">E220*(1+IF(F$3&lt;=$O$2,$D220,$D220-($D220-$I$211)*MIN(F$3-$O$2,$Q$2)/$Q$2))</f>
        <v>11018.6242675781</v>
      </c>
      <c r="G220" s="15" t="n">
        <f aca="false">F220*(1+IF(G$3&lt;=$O$2,$D220,$D220-($D220-$I$211)*MIN(G$3-$O$2,$Q$2)/$Q$2))</f>
        <v>11255.3525233269</v>
      </c>
      <c r="H220" s="15" t="n">
        <f aca="false">G220*(1+IF(H$3&lt;=$O$2,$D220,$D220-($D220-$I$211)*MIN(H$3-$O$2,$Q$2)/$Q$2))</f>
        <v>11497.1667376952</v>
      </c>
      <c r="I220" s="15" t="n">
        <f aca="false">H220*(1+IF(I$3&lt;=$O$2,$D220,$D220-($D220-$I$211)*MIN(I$3-$O$2,$Q$2)/$Q$2))</f>
        <v>11744.1761793254</v>
      </c>
      <c r="J220" s="15" t="n">
        <f aca="false">I220*(1+IF(J$3&lt;=$O$2,$D220,$D220-($D220-$I$211)*MIN(J$3-$O$2,$Q$2)/$Q$2))</f>
        <v>12000.7570684032</v>
      </c>
      <c r="K220" s="15" t="n">
        <f aca="false">J220*(1+IF(K$3&lt;=$O$2,$D220,$D220-($D220-$I$211)*MIN(K$3-$O$2,$Q$2)/$Q$2))</f>
        <v>12267.3013833656</v>
      </c>
      <c r="L220" s="15" t="n">
        <f aca="false">K220*(1+IF(L$3&lt;=$O$2,$D220,$D220-($D220-$I$211)*MIN(L$3-$O$2,$Q$2)/$Q$2))</f>
        <v>12544.2203779684</v>
      </c>
      <c r="M220" s="15" t="n">
        <f aca="false">L220*(1+IF(M$3&lt;=$O$2,$D220,$D220-($D220-$I$211)*MIN(M$3-$O$2,$Q$2)/$Q$2))</f>
        <v>12831.9455927503</v>
      </c>
      <c r="N220" s="15" t="n">
        <f aca="false">M220*(1+IF(N$3&lt;=$O$2,$D220,$D220-($D220-$I$211)*MIN(N$3-$O$2,$Q$2)/$Q$2))</f>
        <v>13130.9299250614</v>
      </c>
      <c r="O220" s="15" t="n">
        <f aca="false">SUMPRODUCT(E220:N220,1/(1+$F$211)^$E$3:$N$3)*$E$2</f>
        <v>40531.0723591074</v>
      </c>
      <c r="P220" s="15" t="n">
        <f aca="false">N220*$E$2*(1+$I$211)/($F$211-$I$211)/(1+$F$211)^$N$3</f>
        <v>68145.3678861023</v>
      </c>
      <c r="Q220" s="15" t="n">
        <f aca="false">O220+P220</f>
        <v>108676.44024521</v>
      </c>
      <c r="R220" s="15" t="n">
        <f aca="false">Q220-$G$2+$I$2</f>
        <v>89216.4402452097</v>
      </c>
      <c r="S220" s="40" t="n">
        <f aca="false">R220/$K$2</f>
        <v>158.920608213915</v>
      </c>
      <c r="T220" s="41" t="n">
        <f aca="false">S220-$M$2</f>
        <v>3.11092154332943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0.015625</v>
      </c>
      <c r="C221" s="25" t="n">
        <f aca="false">IF(T220&gt;0,D220,C220)</f>
        <v>0.021484375</v>
      </c>
      <c r="D221" s="39" t="n">
        <f aca="false">(B221+C221)/2</f>
        <v>0.0185546875</v>
      </c>
      <c r="E221" s="15" t="n">
        <f aca="false">$C$2*(1+IF(E$3&lt;=$O$2,$D221,$D221-($D221-$I$211)*MIN(E$3-$O$2,$Q$2)/$Q$2))</f>
        <v>10755.9375</v>
      </c>
      <c r="F221" s="15" t="n">
        <f aca="false">E221*(1+IF(F$3&lt;=$O$2,$D221,$D221-($D221-$I$211)*MIN(F$3-$O$2,$Q$2)/$Q$2))</f>
        <v>10955.510559082</v>
      </c>
      <c r="G221" s="15" t="n">
        <f aca="false">F221*(1+IF(G$3&lt;=$O$2,$D221,$D221-($D221-$I$211)*MIN(G$3-$O$2,$Q$2)/$Q$2))</f>
        <v>11158.7866339087</v>
      </c>
      <c r="H221" s="15" t="n">
        <f aca="false">G221*(1+IF(H$3&lt;=$O$2,$D221,$D221-($D221-$I$211)*MIN(H$3-$O$2,$Q$2)/$Q$2))</f>
        <v>11365.8344327801</v>
      </c>
      <c r="I221" s="15" t="n">
        <f aca="false">H221*(1+IF(I$3&lt;=$O$2,$D221,$D221-($D221-$I$211)*MIN(I$3-$O$2,$Q$2)/$Q$2))</f>
        <v>11576.7239388571</v>
      </c>
      <c r="J221" s="15" t="n">
        <f aca="false">I221*(1+IF(J$3&lt;=$O$2,$D221,$D221-($D221-$I$211)*MIN(J$3-$O$2,$Q$2)/$Q$2))</f>
        <v>11802.5134683796</v>
      </c>
      <c r="K221" s="15" t="n">
        <f aca="false">J221*(1+IF(K$3&lt;=$O$2,$D221,$D221-($D221-$I$211)*MIN(K$3-$O$2,$Q$2)/$Q$2))</f>
        <v>12043.9080633771</v>
      </c>
      <c r="L221" s="15" t="n">
        <f aca="false">K221*(1+IF(L$3&lt;=$O$2,$D221,$D221-($D221-$I$211)*MIN(L$3-$O$2,$Q$2)/$Q$2))</f>
        <v>12301.6702782609</v>
      </c>
      <c r="M221" s="15" t="n">
        <f aca="false">L221*(1+IF(M$3&lt;=$O$2,$D221,$D221-($D221-$I$211)*MIN(M$3-$O$2,$Q$2)/$Q$2))</f>
        <v>12576.624141796</v>
      </c>
      <c r="N221" s="15" t="n">
        <f aca="false">M221*(1+IF(N$3&lt;=$O$2,$D221,$D221-($D221-$I$211)*MIN(N$3-$O$2,$Q$2)/$Q$2))</f>
        <v>12869.6594842998</v>
      </c>
      <c r="O221" s="15" t="n">
        <f aca="false">SUMPRODUCT(E221:N221,1/(1+$F$211)^$E$3:$N$3)*$E$2</f>
        <v>40009.2014776033</v>
      </c>
      <c r="P221" s="15" t="n">
        <f aca="false">N221*$E$2*(1+$I$211)/($F$211-$I$211)/(1+$F$211)^$N$3</f>
        <v>66789.457040102</v>
      </c>
      <c r="Q221" s="15" t="n">
        <f aca="false">O221+P221</f>
        <v>106798.658517705</v>
      </c>
      <c r="R221" s="15" t="n">
        <f aca="false">Q221-$G$2+$I$2</f>
        <v>87338.6585177053</v>
      </c>
      <c r="S221" s="40" t="n">
        <f aca="false">R221/$K$2</f>
        <v>155.575729025642</v>
      </c>
      <c r="T221" s="41" t="n">
        <f aca="false">S221-$M$2</f>
        <v>-0.233957644943359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0.0185546875</v>
      </c>
      <c r="C222" s="25" t="n">
        <f aca="false">IF(T221&gt;0,D221,C221)</f>
        <v>0.021484375</v>
      </c>
      <c r="D222" s="39" t="n">
        <f aca="false">(B222+C222)/2</f>
        <v>0.02001953125</v>
      </c>
      <c r="E222" s="15" t="n">
        <f aca="false">$C$2*(1+IF(E$3&lt;=$O$2,$D222,$D222-($D222-$I$211)*MIN(E$3-$O$2,$Q$2)/$Q$2))</f>
        <v>10771.40625</v>
      </c>
      <c r="F222" s="15" t="n">
        <f aca="false">E222*(1+IF(F$3&lt;=$O$2,$D222,$D222-($D222-$I$211)*MIN(F$3-$O$2,$Q$2)/$Q$2))</f>
        <v>10987.0447540283</v>
      </c>
      <c r="G222" s="15" t="n">
        <f aca="false">F222*(1+IF(G$3&lt;=$O$2,$D222,$D222-($D222-$I$211)*MIN(G$3-$O$2,$Q$2)/$Q$2))</f>
        <v>11207.0002398267</v>
      </c>
      <c r="H222" s="15" t="n">
        <f aca="false">G222*(1+IF(H$3&lt;=$O$2,$D222,$D222-($D222-$I$211)*MIN(H$3-$O$2,$Q$2)/$Q$2))</f>
        <v>11431.3591313467</v>
      </c>
      <c r="I222" s="15" t="n">
        <f aca="false">H222*(1+IF(I$3&lt;=$O$2,$D222,$D222-($D222-$I$211)*MIN(I$3-$O$2,$Q$2)/$Q$2))</f>
        <v>11660.2095827067</v>
      </c>
      <c r="J222" s="15" t="n">
        <f aca="false">I222*(1+IF(J$3&lt;=$O$2,$D222,$D222-($D222-$I$211)*MIN(J$3-$O$2,$Q$2)/$Q$2))</f>
        <v>11901.2917034601</v>
      </c>
      <c r="K222" s="15" t="n">
        <f aca="false">J222*(1+IF(K$3&lt;=$O$2,$D222,$D222-($D222-$I$211)*MIN(K$3-$O$2,$Q$2)/$Q$2))</f>
        <v>12155.16671084</v>
      </c>
      <c r="L222" s="15" t="n">
        <f aca="false">K222*(1+IF(L$3&lt;=$O$2,$D222,$D222-($D222-$I$211)*MIN(L$3-$O$2,$Q$2)/$Q$2))</f>
        <v>12422.4322373842</v>
      </c>
      <c r="M222" s="15" t="n">
        <f aca="false">L222*(1+IF(M$3&lt;=$O$2,$D222,$D222-($D222-$I$211)*MIN(M$3-$O$2,$Q$2)/$Q$2))</f>
        <v>12703.7246283645</v>
      </c>
      <c r="N222" s="15" t="n">
        <f aca="false">M222*(1+IF(N$3&lt;=$O$2,$D222,$D222-($D222-$I$211)*MIN(N$3-$O$2,$Q$2)/$Q$2))</f>
        <v>12999.7214122054</v>
      </c>
      <c r="O222" s="15" t="n">
        <f aca="false">SUMPRODUCT(E222:N222,1/(1+$F$211)^$E$3:$N$3)*$E$2</f>
        <v>40269.2809637331</v>
      </c>
      <c r="P222" s="15" t="n">
        <f aca="false">N222*$E$2*(1+$I$211)/($F$211-$I$211)/(1+$F$211)^$N$3</f>
        <v>67464.4372567117</v>
      </c>
      <c r="Q222" s="15" t="n">
        <f aca="false">O222+P222</f>
        <v>107733.718220445</v>
      </c>
      <c r="R222" s="15" t="n">
        <f aca="false">Q222-$G$2+$I$2</f>
        <v>88273.7182204448</v>
      </c>
      <c r="S222" s="40" t="n">
        <f aca="false">R222/$K$2</f>
        <v>157.241344200012</v>
      </c>
      <c r="T222" s="41" t="n">
        <f aca="false">S222-$M$2</f>
        <v>1.43165752942662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0.0185546875</v>
      </c>
      <c r="C223" s="25" t="n">
        <f aca="false">IF(T222&gt;0,D222,C222)</f>
        <v>0.02001953125</v>
      </c>
      <c r="D223" s="39" t="n">
        <f aca="false">(B223+C223)/2</f>
        <v>0.019287109375</v>
      </c>
      <c r="E223" s="15" t="n">
        <f aca="false">$C$2*(1+IF(E$3&lt;=$O$2,$D223,$D223-($D223-$I$211)*MIN(E$3-$O$2,$Q$2)/$Q$2))</f>
        <v>10763.671875</v>
      </c>
      <c r="F223" s="15" t="n">
        <f aca="false">E223*(1+IF(F$3&lt;=$O$2,$D223,$D223-($D223-$I$211)*MIN(F$3-$O$2,$Q$2)/$Q$2))</f>
        <v>10971.2719917297</v>
      </c>
      <c r="G223" s="15" t="n">
        <f aca="false">F223*(1+IF(G$3&lt;=$O$2,$D223,$D223-($D223-$I$211)*MIN(G$3-$O$2,$Q$2)/$Q$2))</f>
        <v>11182.8761146171</v>
      </c>
      <c r="H223" s="15" t="n">
        <f aca="false">G223*(1+IF(H$3&lt;=$O$2,$D223,$D223-($D223-$I$211)*MIN(H$3-$O$2,$Q$2)/$Q$2))</f>
        <v>11398.5614693668</v>
      </c>
      <c r="I223" s="15" t="n">
        <f aca="false">H223*(1+IF(I$3&lt;=$O$2,$D223,$D223-($D223-$I$211)*MIN(I$3-$O$2,$Q$2)/$Q$2))</f>
        <v>11618.4067711441</v>
      </c>
      <c r="J223" s="15" t="n">
        <f aca="false">I223*(1+IF(J$3&lt;=$O$2,$D223,$D223-($D223-$I$211)*MIN(J$3-$O$2,$Q$2)/$Q$2))</f>
        <v>11851.8169324243</v>
      </c>
      <c r="K223" s="15" t="n">
        <f aca="false">J223*(1+IF(K$3&lt;=$O$2,$D223,$D223-($D223-$I$211)*MIN(K$3-$O$2,$Q$2)/$Q$2))</f>
        <v>12099.4282399154</v>
      </c>
      <c r="L223" s="15" t="n">
        <f aca="false">K223*(1+IF(L$3&lt;=$O$2,$D223,$D223-($D223-$I$211)*MIN(L$3-$O$2,$Q$2)/$Q$2))</f>
        <v>12361.9234450447</v>
      </c>
      <c r="M223" s="15" t="n">
        <f aca="false">L223*(1+IF(M$3&lt;=$O$2,$D223,$D223-($D223-$I$211)*MIN(M$3-$O$2,$Q$2)/$Q$2))</f>
        <v>12640.0348519743</v>
      </c>
      <c r="N223" s="15" t="n">
        <f aca="false">M223*(1+IF(N$3&lt;=$O$2,$D223,$D223-($D223-$I$211)*MIN(N$3-$O$2,$Q$2)/$Q$2))</f>
        <v>12934.5476640253</v>
      </c>
      <c r="O223" s="15" t="n">
        <f aca="false">SUMPRODUCT(E223:N223,1/(1+$F$211)^$E$3:$N$3)*$E$2</f>
        <v>40139.0278904729</v>
      </c>
      <c r="P223" s="15" t="n">
        <f aca="false">N223*$E$2*(1+$I$211)/($F$211-$I$211)/(1+$F$211)^$N$3</f>
        <v>67126.2061434854</v>
      </c>
      <c r="Q223" s="15" t="n">
        <f aca="false">O223+P223</f>
        <v>107265.234033958</v>
      </c>
      <c r="R223" s="15" t="n">
        <f aca="false">Q223-$G$2+$I$2</f>
        <v>87805.2340339582</v>
      </c>
      <c r="S223" s="40" t="n">
        <f aca="false">R223/$K$2</f>
        <v>156.406836662495</v>
      </c>
      <c r="T223" s="41" t="n">
        <f aca="false">S223-$M$2</f>
        <v>0.597149991909816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0.0185546875</v>
      </c>
      <c r="C224" s="25" t="n">
        <f aca="false">IF(T223&gt;0,D223,C223)</f>
        <v>0.019287109375</v>
      </c>
      <c r="D224" s="39" t="n">
        <f aca="false">(B224+C224)/2</f>
        <v>0.0189208984375</v>
      </c>
      <c r="E224" s="15" t="n">
        <f aca="false">$C$2*(1+IF(E$3&lt;=$O$2,$D224,$D224-($D224-$I$211)*MIN(E$3-$O$2,$Q$2)/$Q$2))</f>
        <v>10759.8046875</v>
      </c>
      <c r="F224" s="15" t="n">
        <f aca="false">E224*(1+IF(F$3&lt;=$O$2,$D224,$D224-($D224-$I$211)*MIN(F$3-$O$2,$Q$2)/$Q$2))</f>
        <v>10963.3898591995</v>
      </c>
      <c r="G224" s="15" t="n">
        <f aca="false">F224*(1+IF(G$3&lt;=$O$2,$D224,$D224-($D224-$I$211)*MIN(G$3-$O$2,$Q$2)/$Q$2))</f>
        <v>11170.8270452562</v>
      </c>
      <c r="H224" s="15" t="n">
        <f aca="false">G224*(1+IF(H$3&lt;=$O$2,$D224,$D224-($D224-$I$211)*MIN(H$3-$O$2,$Q$2)/$Q$2))</f>
        <v>11382.1891292423</v>
      </c>
      <c r="I224" s="15" t="n">
        <f aca="false">H224*(1+IF(I$3&lt;=$O$2,$D224,$D224-($D224-$I$211)*MIN(I$3-$O$2,$Q$2)/$Q$2))</f>
        <v>11597.5503737531</v>
      </c>
      <c r="J224" s="15" t="n">
        <f aca="false">I224*(1+IF(J$3&lt;=$O$2,$D224,$D224-($D224-$I$211)*MIN(J$3-$O$2,$Q$2)/$Q$2))</f>
        <v>11827.1438166913</v>
      </c>
      <c r="K224" s="15" t="n">
        <f aca="false">J224*(1+IF(K$3&lt;=$O$2,$D224,$D224-($D224-$I$211)*MIN(K$3-$O$2,$Q$2)/$Q$2))</f>
        <v>12071.6409092396</v>
      </c>
      <c r="L224" s="15" t="n">
        <f aca="false">K224*(1+IF(L$3&lt;=$O$2,$D224,$D224-($D224-$I$211)*MIN(L$3-$O$2,$Q$2)/$Q$2))</f>
        <v>12331.7649657979</v>
      </c>
      <c r="M224" s="15" t="n">
        <f aca="false">L224*(1+IF(M$3&lt;=$O$2,$D224,$D224-($D224-$I$211)*MIN(M$3-$O$2,$Q$2)/$Q$2))</f>
        <v>12608.294679255</v>
      </c>
      <c r="N224" s="15" t="n">
        <f aca="false">M224*(1+IF(N$3&lt;=$O$2,$D224,$D224-($D224-$I$211)*MIN(N$3-$O$2,$Q$2)/$Q$2))</f>
        <v>12902.0679452816</v>
      </c>
      <c r="O224" s="15" t="n">
        <f aca="false">SUMPRODUCT(E224:N224,1/(1+$F$211)^$E$3:$N$3)*$E$2</f>
        <v>40074.0614336039</v>
      </c>
      <c r="P224" s="15" t="n">
        <f aca="false">N224*$E$2*(1+$I$211)/($F$211-$I$211)/(1+$F$211)^$N$3</f>
        <v>66957.6466891848</v>
      </c>
      <c r="Q224" s="15" t="n">
        <f aca="false">O224+P224</f>
        <v>107031.708122789</v>
      </c>
      <c r="R224" s="15" t="n">
        <f aca="false">Q224-$G$2+$I$2</f>
        <v>87571.7081227886</v>
      </c>
      <c r="S224" s="40" t="n">
        <f aca="false">R224/$K$2</f>
        <v>155.990858623753</v>
      </c>
      <c r="T224" s="41" t="n">
        <f aca="false">S224-$M$2</f>
        <v>0.181171953167365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0.0185546875</v>
      </c>
      <c r="C225" s="25" t="n">
        <f aca="false">IF(T224&gt;0,D224,C224)</f>
        <v>0.0189208984375</v>
      </c>
      <c r="D225" s="39" t="n">
        <f aca="false">(B225+C225)/2</f>
        <v>0.01873779296875</v>
      </c>
      <c r="E225" s="15" t="n">
        <f aca="false">$C$2*(1+IF(E$3&lt;=$O$2,$D225,$D225-($D225-$I$211)*MIN(E$3-$O$2,$Q$2)/$Q$2))</f>
        <v>10757.87109375</v>
      </c>
      <c r="F225" s="15" t="n">
        <f aca="false">E225*(1+IF(F$3&lt;=$O$2,$D225,$D225-($D225-$I$211)*MIN(F$3-$O$2,$Q$2)/$Q$2))</f>
        <v>10959.4498550892</v>
      </c>
      <c r="G225" s="15" t="n">
        <f aca="false">F225*(1+IF(G$3&lt;=$O$2,$D225,$D225-($D225-$I$211)*MIN(G$3-$O$2,$Q$2)/$Q$2))</f>
        <v>11164.8057575252</v>
      </c>
      <c r="H225" s="15" t="n">
        <f aca="false">G225*(1+IF(H$3&lt;=$O$2,$D225,$D225-($D225-$I$211)*MIN(H$3-$O$2,$Q$2)/$Q$2))</f>
        <v>11374.0095763461</v>
      </c>
      <c r="I225" s="15" t="n">
        <f aca="false">H225*(1+IF(I$3&lt;=$O$2,$D225,$D225-($D225-$I$211)*MIN(I$3-$O$2,$Q$2)/$Q$2))</f>
        <v>11587.1334130122</v>
      </c>
      <c r="J225" s="15" t="n">
        <f aca="false">I225*(1+IF(J$3&lt;=$O$2,$D225,$D225-($D225-$I$211)*MIN(J$3-$O$2,$Q$2)/$Q$2))</f>
        <v>11814.8233003123</v>
      </c>
      <c r="K225" s="15" t="n">
        <f aca="false">J225*(1+IF(K$3&lt;=$O$2,$D225,$D225-($D225-$I$211)*MIN(K$3-$O$2,$Q$2)/$Q$2))</f>
        <v>12057.7676812494</v>
      </c>
      <c r="L225" s="15" t="n">
        <f aca="false">K225*(1+IF(L$3&lt;=$O$2,$D225,$D225-($D225-$I$211)*MIN(L$3-$O$2,$Q$2)/$Q$2))</f>
        <v>12316.7096552239</v>
      </c>
      <c r="M225" s="15" t="n">
        <f aca="false">L225*(1+IF(M$3&lt;=$O$2,$D225,$D225-($D225-$I$211)*MIN(M$3-$O$2,$Q$2)/$Q$2))</f>
        <v>12592.4507143124</v>
      </c>
      <c r="N225" s="15" t="n">
        <f aca="false">M225*(1+IF(N$3&lt;=$O$2,$D225,$D225-($D225-$I$211)*MIN(N$3-$O$2,$Q$2)/$Q$2))</f>
        <v>12885.8548159559</v>
      </c>
      <c r="O225" s="15" t="n">
        <f aca="false">SUMPRODUCT(E225:N225,1/(1+$F$211)^$E$3:$N$3)*$E$2</f>
        <v>40041.6181532473</v>
      </c>
      <c r="P225" s="15" t="n">
        <f aca="false">N225*$E$2*(1+$I$211)/($F$211-$I$211)/(1+$F$211)^$N$3</f>
        <v>66873.5056825088</v>
      </c>
      <c r="Q225" s="15" t="n">
        <f aca="false">O225+P225</f>
        <v>106915.123835756</v>
      </c>
      <c r="R225" s="15" t="n">
        <f aca="false">Q225-$G$2+$I$2</f>
        <v>87455.1238357561</v>
      </c>
      <c r="S225" s="40" t="n">
        <f aca="false">R225/$K$2</f>
        <v>155.783187865399</v>
      </c>
      <c r="T225" s="41" t="n">
        <f aca="false">S225-$M$2</f>
        <v>-0.0264988051869466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0.01873779296875</v>
      </c>
      <c r="C226" s="25" t="n">
        <f aca="false">IF(T225&gt;0,D225,C225)</f>
        <v>0.0189208984375</v>
      </c>
      <c r="D226" s="39" t="n">
        <f aca="false">(B226+C226)/2</f>
        <v>0.018829345703125</v>
      </c>
      <c r="E226" s="15" t="n">
        <f aca="false">$C$2*(1+IF(E$3&lt;=$O$2,$D226,$D226-($D226-$I$211)*MIN(E$3-$O$2,$Q$2)/$Q$2))</f>
        <v>10758.837890625</v>
      </c>
      <c r="F226" s="15" t="n">
        <f aca="false">E226*(1+IF(F$3&lt;=$O$2,$D226,$D226-($D226-$I$211)*MIN(F$3-$O$2,$Q$2)/$Q$2))</f>
        <v>10961.4197686315</v>
      </c>
      <c r="G226" s="15" t="n">
        <f aca="false">F226*(1+IF(G$3&lt;=$O$2,$D226,$D226-($D226-$I$211)*MIN(G$3-$O$2,$Q$2)/$Q$2))</f>
        <v>11167.8161308521</v>
      </c>
      <c r="H226" s="15" t="n">
        <f aca="false">G226*(1+IF(H$3&lt;=$O$2,$D226,$D226-($D226-$I$211)*MIN(H$3-$O$2,$Q$2)/$Q$2))</f>
        <v>11378.0988015288</v>
      </c>
      <c r="I226" s="15" t="n">
        <f aca="false">H226*(1+IF(I$3&lt;=$O$2,$D226,$D226-($D226-$I$211)*MIN(I$3-$O$2,$Q$2)/$Q$2))</f>
        <v>11592.3409573071</v>
      </c>
      <c r="J226" s="15" t="n">
        <f aca="false">I226*(1+IF(J$3&lt;=$O$2,$D226,$D226-($D226-$I$211)*MIN(J$3-$O$2,$Q$2)/$Q$2))</f>
        <v>11820.9822224831</v>
      </c>
      <c r="K226" s="15" t="n">
        <f aca="false">J226*(1+IF(K$3&lt;=$O$2,$D226,$D226-($D226-$I$211)*MIN(K$3-$O$2,$Q$2)/$Q$2))</f>
        <v>12064.7025932872</v>
      </c>
      <c r="L226" s="15" t="n">
        <f aca="false">K226*(1+IF(L$3&lt;=$O$2,$D226,$D226-($D226-$I$211)*MIN(L$3-$O$2,$Q$2)/$Q$2))</f>
        <v>12324.2353179151</v>
      </c>
      <c r="M226" s="15" t="n">
        <f aca="false">L226*(1+IF(M$3&lt;=$O$2,$D226,$D226-($D226-$I$211)*MIN(M$3-$O$2,$Q$2)/$Q$2))</f>
        <v>12600.3705217066</v>
      </c>
      <c r="N226" s="15" t="n">
        <f aca="false">M226*(1+IF(N$3&lt;=$O$2,$D226,$D226-($D226-$I$211)*MIN(N$3-$O$2,$Q$2)/$Q$2))</f>
        <v>12893.9591548624</v>
      </c>
      <c r="O226" s="15" t="n">
        <f aca="false">SUMPRODUCT(E226:N226,1/(1+$F$211)^$E$3:$N$3)*$E$2</f>
        <v>40057.8364665555</v>
      </c>
      <c r="P226" s="15" t="n">
        <f aca="false">N226*$E$2*(1+$I$211)/($F$211-$I$211)/(1+$F$211)^$N$3</f>
        <v>66915.5646348761</v>
      </c>
      <c r="Q226" s="15" t="n">
        <f aca="false">O226+P226</f>
        <v>106973.401101432</v>
      </c>
      <c r="R226" s="15" t="n">
        <f aca="false">Q226-$G$2+$I$2</f>
        <v>87513.4011014316</v>
      </c>
      <c r="S226" s="40" t="n">
        <f aca="false">R226/$K$2</f>
        <v>155.886996742784</v>
      </c>
      <c r="T226" s="41" t="n">
        <f aca="false">S226-$M$2</f>
        <v>0.0773100721986282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0.01873779296875</v>
      </c>
      <c r="C227" s="25" t="n">
        <f aca="false">IF(T226&gt;0,D226,C226)</f>
        <v>0.018829345703125</v>
      </c>
      <c r="D227" s="39" t="n">
        <f aca="false">(B227+C227)/2</f>
        <v>0.0187835693359375</v>
      </c>
      <c r="E227" s="15" t="n">
        <f aca="false">$C$2*(1+IF(E$3&lt;=$O$2,$D227,$D227-($D227-$I$211)*MIN(E$3-$O$2,$Q$2)/$Q$2))</f>
        <v>10758.3544921875</v>
      </c>
      <c r="F227" s="15" t="n">
        <f aca="false">E227*(1+IF(F$3&lt;=$O$2,$D227,$D227-($D227-$I$211)*MIN(F$3-$O$2,$Q$2)/$Q$2))</f>
        <v>10960.4347897321</v>
      </c>
      <c r="G227" s="15" t="n">
        <f aca="false">F227*(1+IF(G$3&lt;=$O$2,$D227,$D227-($D227-$I$211)*MIN(G$3-$O$2,$Q$2)/$Q$2))</f>
        <v>11166.3108765571</v>
      </c>
      <c r="H227" s="15" t="n">
        <f aca="false">G227*(1+IF(H$3&lt;=$O$2,$D227,$D227-($D227-$I$211)*MIN(H$3-$O$2,$Q$2)/$Q$2))</f>
        <v>11376.0540511335</v>
      </c>
      <c r="I227" s="15" t="n">
        <f aca="false">H227*(1+IF(I$3&lt;=$O$2,$D227,$D227-($D227-$I$211)*MIN(I$3-$O$2,$Q$2)/$Q$2))</f>
        <v>11589.7369511723</v>
      </c>
      <c r="J227" s="15" t="n">
        <f aca="false">I227*(1+IF(J$3&lt;=$O$2,$D227,$D227-($D227-$I$211)*MIN(J$3-$O$2,$Q$2)/$Q$2))</f>
        <v>11817.9024274509</v>
      </c>
      <c r="K227" s="15" t="n">
        <f aca="false">J227*(1+IF(K$3&lt;=$O$2,$D227,$D227-($D227-$I$211)*MIN(K$3-$O$2,$Q$2)/$Q$2))</f>
        <v>12061.2347118656</v>
      </c>
      <c r="L227" s="15" t="n">
        <f aca="false">K227*(1+IF(L$3&lt;=$O$2,$D227,$D227-($D227-$I$211)*MIN(L$3-$O$2,$Q$2)/$Q$2))</f>
        <v>12320.4719885324</v>
      </c>
      <c r="M227" s="15" t="n">
        <f aca="false">L227*(1+IF(M$3&lt;=$O$2,$D227,$D227-($D227-$I$211)*MIN(M$3-$O$2,$Q$2)/$Q$2))</f>
        <v>12596.4100743682</v>
      </c>
      <c r="N227" s="15" t="n">
        <f aca="false">M227*(1+IF(N$3&lt;=$O$2,$D227,$D227-($D227-$I$211)*MIN(N$3-$O$2,$Q$2)/$Q$2))</f>
        <v>12889.906429101</v>
      </c>
      <c r="O227" s="15" t="n">
        <f aca="false">SUMPRODUCT(E227:N227,1/(1+$F$211)^$E$3:$N$3)*$E$2</f>
        <v>40049.7264783441</v>
      </c>
      <c r="P227" s="15" t="n">
        <f aca="false">N227*$E$2*(1+$I$211)/($F$211-$I$211)/(1+$F$211)^$N$3</f>
        <v>66894.5322716296</v>
      </c>
      <c r="Q227" s="15" t="n">
        <f aca="false">O227+P227</f>
        <v>106944.258749974</v>
      </c>
      <c r="R227" s="15" t="n">
        <f aca="false">Q227-$G$2+$I$2</f>
        <v>87484.2587499736</v>
      </c>
      <c r="S227" s="40" t="n">
        <f aca="false">R227/$K$2</f>
        <v>155.83508568014</v>
      </c>
      <c r="T227" s="41" t="n">
        <f aca="false">S227-$M$2</f>
        <v>0.0253990095541781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0.01873779296875</v>
      </c>
      <c r="C228" s="25" t="n">
        <f aca="false">IF(T227&gt;0,D227,C227)</f>
        <v>0.0187835693359375</v>
      </c>
      <c r="D228" s="39" t="n">
        <f aca="false">(B228+C228)/2</f>
        <v>0.0187606811523438</v>
      </c>
      <c r="E228" s="15" t="n">
        <f aca="false">$C$2*(1+IF(E$3&lt;=$O$2,$D228,$D228-($D228-$I$211)*MIN(E$3-$O$2,$Q$2)/$Q$2))</f>
        <v>10758.1127929688</v>
      </c>
      <c r="F228" s="15" t="n">
        <f aca="false">E228*(1+IF(F$3&lt;=$O$2,$D228,$D228-($D228-$I$211)*MIN(F$3-$O$2,$Q$2)/$Q$2))</f>
        <v>10959.9423168786</v>
      </c>
      <c r="G228" s="15" t="n">
        <f aca="false">F228*(1+IF(G$3&lt;=$O$2,$D228,$D228-($D228-$I$211)*MIN(G$3-$O$2,$Q$2)/$Q$2))</f>
        <v>11165.5583001336</v>
      </c>
      <c r="H228" s="15" t="n">
        <f aca="false">G228*(1+IF(H$3&lt;=$O$2,$D228,$D228-($D228-$I$211)*MIN(H$3-$O$2,$Q$2)/$Q$2))</f>
        <v>11375.0317792903</v>
      </c>
      <c r="I228" s="15" t="n">
        <f aca="false">H228*(1+IF(I$3&lt;=$O$2,$D228,$D228-($D228-$I$211)*MIN(I$3-$O$2,$Q$2)/$Q$2))</f>
        <v>11588.4351235994</v>
      </c>
      <c r="J228" s="15" t="n">
        <f aca="false">I228*(1+IF(J$3&lt;=$O$2,$D228,$D228-($D228-$I$211)*MIN(J$3-$O$2,$Q$2)/$Q$2))</f>
        <v>11816.3627804021</v>
      </c>
      <c r="K228" s="15" t="n">
        <f aca="false">J228*(1+IF(K$3&lt;=$O$2,$D228,$D228-($D228-$I$211)*MIN(K$3-$O$2,$Q$2)/$Q$2))</f>
        <v>12059.5010902176</v>
      </c>
      <c r="L228" s="15" t="n">
        <f aca="false">K228*(1+IF(L$3&lt;=$O$2,$D228,$D228-($D228-$I$211)*MIN(L$3-$O$2,$Q$2)/$Q$2))</f>
        <v>12318.5906973828</v>
      </c>
      <c r="M228" s="15" t="n">
        <f aca="false">L228*(1+IF(M$3&lt;=$O$2,$D228,$D228-($D228-$I$211)*MIN(M$3-$O$2,$Q$2)/$Q$2))</f>
        <v>12594.430258446</v>
      </c>
      <c r="N228" s="15" t="n">
        <f aca="false">M228*(1+IF(N$3&lt;=$O$2,$D228,$D228-($D228-$I$211)*MIN(N$3-$O$2,$Q$2)/$Q$2))</f>
        <v>12887.8804834678</v>
      </c>
      <c r="O228" s="15" t="n">
        <f aca="false">SUMPRODUCT(E228:N228,1/(1+$F$211)^$E$3:$N$3)*$E$2</f>
        <v>40045.6721079263</v>
      </c>
      <c r="P228" s="15" t="n">
        <f aca="false">N228*$E$2*(1+$I$211)/($F$211-$I$211)/(1+$F$211)^$N$3</f>
        <v>66884.0182553884</v>
      </c>
      <c r="Q228" s="15" t="n">
        <f aca="false">O228+P228</f>
        <v>106929.690363315</v>
      </c>
      <c r="R228" s="15" t="n">
        <f aca="false">Q228-$G$2+$I$2</f>
        <v>87469.6903633147</v>
      </c>
      <c r="S228" s="40" t="n">
        <f aca="false">R228/$K$2</f>
        <v>155.809135116968</v>
      </c>
      <c r="T228" s="41" t="n">
        <f aca="false">S228-$M$2</f>
        <v>-0.00055155361738457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0.0187606811523438</v>
      </c>
      <c r="C229" s="25" t="n">
        <f aca="false">IF(T228&gt;0,D228,C228)</f>
        <v>0.0187835693359375</v>
      </c>
      <c r="D229" s="39" t="n">
        <f aca="false">(B229+C229)/2</f>
        <v>0.0187721252441406</v>
      </c>
      <c r="E229" s="15" t="n">
        <f aca="false">$C$2*(1+IF(E$3&lt;=$O$2,$D229,$D229-($D229-$I$211)*MIN(E$3-$O$2,$Q$2)/$Q$2))</f>
        <v>10758.2336425781</v>
      </c>
      <c r="F229" s="15" t="n">
        <f aca="false">E229*(1+IF(F$3&lt;=$O$2,$D229,$D229-($D229-$I$211)*MIN(F$3-$O$2,$Q$2)/$Q$2))</f>
        <v>10960.1885519223</v>
      </c>
      <c r="G229" s="15" t="n">
        <f aca="false">F229*(1+IF(G$3&lt;=$O$2,$D229,$D229-($D229-$I$211)*MIN(G$3-$O$2,$Q$2)/$Q$2))</f>
        <v>11165.9345841184</v>
      </c>
      <c r="H229" s="15" t="n">
        <f aca="false">G229*(1+IF(H$3&lt;=$O$2,$D229,$D229-($D229-$I$211)*MIN(H$3-$O$2,$Q$2)/$Q$2))</f>
        <v>11375.5429065994</v>
      </c>
      <c r="I229" s="15" t="n">
        <f aca="false">H229*(1+IF(I$3&lt;=$O$2,$D229,$D229-($D229-$I$211)*MIN(I$3-$O$2,$Q$2)/$Q$2))</f>
        <v>11589.0860227621</v>
      </c>
      <c r="J229" s="15" t="n">
        <f aca="false">I229*(1+IF(J$3&lt;=$O$2,$D229,$D229-($D229-$I$211)*MIN(J$3-$O$2,$Q$2)/$Q$2))</f>
        <v>11817.1325830557</v>
      </c>
      <c r="K229" s="15" t="n">
        <f aca="false">J229*(1+IF(K$3&lt;=$O$2,$D229,$D229-($D229-$I$211)*MIN(K$3-$O$2,$Q$2)/$Q$2))</f>
        <v>12060.3678744553</v>
      </c>
      <c r="L229" s="15" t="n">
        <f aca="false">K229*(1+IF(L$3&lt;=$O$2,$D229,$D229-($D229-$I$211)*MIN(L$3-$O$2,$Q$2)/$Q$2))</f>
        <v>12319.531311832</v>
      </c>
      <c r="M229" s="15" t="n">
        <f aca="false">L229*(1+IF(M$3&lt;=$O$2,$D229,$D229-($D229-$I$211)*MIN(M$3-$O$2,$Q$2)/$Q$2))</f>
        <v>12595.4201324315</v>
      </c>
      <c r="N229" s="15" t="n">
        <f aca="false">M229*(1+IF(N$3&lt;=$O$2,$D229,$D229-($D229-$I$211)*MIN(N$3-$O$2,$Q$2)/$Q$2))</f>
        <v>12888.8934215172</v>
      </c>
      <c r="O229" s="15" t="n">
        <f aca="false">SUMPRODUCT(E229:N229,1/(1+$F$211)^$E$3:$N$3)*$E$2</f>
        <v>40047.6992411654</v>
      </c>
      <c r="P229" s="15" t="n">
        <f aca="false">N229*$E$2*(1+$I$211)/($F$211-$I$211)/(1+$F$211)^$N$3</f>
        <v>66889.2750830781</v>
      </c>
      <c r="Q229" s="15" t="n">
        <f aca="false">O229+P229</f>
        <v>106936.974324244</v>
      </c>
      <c r="R229" s="15" t="n">
        <f aca="false">Q229-$G$2+$I$2</f>
        <v>87476.9743242435</v>
      </c>
      <c r="S229" s="40" t="n">
        <f aca="false">R229/$K$2</f>
        <v>155.82210998458</v>
      </c>
      <c r="T229" s="41" t="n">
        <f aca="false">S229-$M$2</f>
        <v>0.0124233139947876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0.0187606811523438</v>
      </c>
      <c r="C230" s="25" t="n">
        <f aca="false">IF(T229&gt;0,D229,C229)</f>
        <v>0.0187721252441406</v>
      </c>
      <c r="D230" s="39" t="n">
        <f aca="false">(B230+C230)/2</f>
        <v>0.0187664031982422</v>
      </c>
      <c r="E230" s="15" t="n">
        <f aca="false">$C$2*(1+IF(E$3&lt;=$O$2,$D230,$D230-($D230-$I$211)*MIN(E$3-$O$2,$Q$2)/$Q$2))</f>
        <v>10758.1732177734</v>
      </c>
      <c r="F230" s="15" t="n">
        <f aca="false">E230*(1+IF(F$3&lt;=$O$2,$D230,$D230-($D230-$I$211)*MIN(F$3-$O$2,$Q$2)/$Q$2))</f>
        <v>10960.0654340547</v>
      </c>
      <c r="G230" s="15" t="n">
        <f aca="false">F230*(1+IF(G$3&lt;=$O$2,$D230,$D230-($D230-$I$211)*MIN(G$3-$O$2,$Q$2)/$Q$2))</f>
        <v>11165.7464410693</v>
      </c>
      <c r="H230" s="15" t="n">
        <f aca="false">G230*(1+IF(H$3&lt;=$O$2,$D230,$D230-($D230-$I$211)*MIN(H$3-$O$2,$Q$2)/$Q$2))</f>
        <v>11375.2873407917</v>
      </c>
      <c r="I230" s="15" t="n">
        <f aca="false">H230*(1+IF(I$3&lt;=$O$2,$D230,$D230-($D230-$I$211)*MIN(I$3-$O$2,$Q$2)/$Q$2))</f>
        <v>11588.7605695249</v>
      </c>
      <c r="J230" s="15" t="n">
        <f aca="false">I230*(1+IF(J$3&lt;=$O$2,$D230,$D230-($D230-$I$211)*MIN(J$3-$O$2,$Q$2)/$Q$2))</f>
        <v>11816.7476765114</v>
      </c>
      <c r="K230" s="15" t="n">
        <f aca="false">J230*(1+IF(K$3&lt;=$O$2,$D230,$D230-($D230-$I$211)*MIN(K$3-$O$2,$Q$2)/$Q$2))</f>
        <v>12059.93447569</v>
      </c>
      <c r="L230" s="15" t="n">
        <f aca="false">K230*(1+IF(L$3&lt;=$O$2,$D230,$D230-($D230-$I$211)*MIN(L$3-$O$2,$Q$2)/$Q$2))</f>
        <v>12319.0609968262</v>
      </c>
      <c r="M230" s="15" t="n">
        <f aca="false">L230*(1+IF(M$3&lt;=$O$2,$D230,$D230-($D230-$I$211)*MIN(M$3-$O$2,$Q$2)/$Q$2))</f>
        <v>12594.9251869451</v>
      </c>
      <c r="N230" s="15" t="n">
        <f aca="false">M230*(1+IF(N$3&lt;=$O$2,$D230,$D230-($D230-$I$211)*MIN(N$3-$O$2,$Q$2)/$Q$2))</f>
        <v>12888.3869438009</v>
      </c>
      <c r="O230" s="15" t="n">
        <f aca="false">SUMPRODUCT(E230:N230,1/(1+$F$211)^$E$3:$N$3)*$E$2</f>
        <v>40046.6856615537</v>
      </c>
      <c r="P230" s="15" t="n">
        <f aca="false">N230*$E$2*(1+$I$211)/($F$211-$I$211)/(1+$F$211)^$N$3</f>
        <v>66886.6466241269</v>
      </c>
      <c r="Q230" s="15" t="n">
        <f aca="false">O230+P230</f>
        <v>106933.332285681</v>
      </c>
      <c r="R230" s="15" t="n">
        <f aca="false">Q230-$G$2+$I$2</f>
        <v>87473.3322856806</v>
      </c>
      <c r="S230" s="40" t="n">
        <f aca="false">R230/$K$2</f>
        <v>155.815622447284</v>
      </c>
      <c r="T230" s="41" t="n">
        <f aca="false">S230-$M$2</f>
        <v>0.00593577669826573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0.0187606811523438</v>
      </c>
      <c r="C231" s="25" t="n">
        <f aca="false">IF(T230&gt;0,D230,C230)</f>
        <v>0.0187664031982422</v>
      </c>
      <c r="D231" s="39" t="n">
        <f aca="false">(B231+C231)/2</f>
        <v>0.018763542175293</v>
      </c>
      <c r="E231" s="15" t="n">
        <f aca="false">$C$2*(1+IF(E$3&lt;=$O$2,$D231,$D231-($D231-$I$211)*MIN(E$3-$O$2,$Q$2)/$Q$2))</f>
        <v>10758.1430053711</v>
      </c>
      <c r="F231" s="15" t="n">
        <f aca="false">E231*(1+IF(F$3&lt;=$O$2,$D231,$D231-($D231-$I$211)*MIN(F$3-$O$2,$Q$2)/$Q$2))</f>
        <v>10960.0038753802</v>
      </c>
      <c r="G231" s="15" t="n">
        <f aca="false">F231*(1+IF(G$3&lt;=$O$2,$D231,$D231-($D231-$I$211)*MIN(G$3-$O$2,$Q$2)/$Q$2))</f>
        <v>11165.6523703373</v>
      </c>
      <c r="H231" s="15" t="n">
        <f aca="false">G231*(1+IF(H$3&lt;=$O$2,$D231,$D231-($D231-$I$211)*MIN(H$3-$O$2,$Q$2)/$Q$2))</f>
        <v>11375.1595595028</v>
      </c>
      <c r="I231" s="15" t="n">
        <f aca="false">H231*(1+IF(I$3&lt;=$O$2,$D231,$D231-($D231-$I$211)*MIN(I$3-$O$2,$Q$2)/$Q$2))</f>
        <v>11588.5978456482</v>
      </c>
      <c r="J231" s="15" t="n">
        <f aca="false">I231*(1+IF(J$3&lt;=$O$2,$D231,$D231-($D231-$I$211)*MIN(J$3-$O$2,$Q$2)/$Q$2))</f>
        <v>11816.5552271524</v>
      </c>
      <c r="K231" s="15" t="n">
        <f aca="false">J231*(1+IF(K$3&lt;=$O$2,$D231,$D231-($D231-$I$211)*MIN(K$3-$O$2,$Q$2)/$Q$2))</f>
        <v>12059.7177812922</v>
      </c>
      <c r="L231" s="15" t="n">
        <f aca="false">K231*(1+IF(L$3&lt;=$O$2,$D231,$D231-($D231-$I$211)*MIN(L$3-$O$2,$Q$2)/$Q$2))</f>
        <v>12318.8258451593</v>
      </c>
      <c r="M231" s="15" t="n">
        <f aca="false">L231*(1+IF(M$3&lt;=$O$2,$D231,$D231-($D231-$I$211)*MIN(M$3-$O$2,$Q$2)/$Q$2))</f>
        <v>12594.6777205722</v>
      </c>
      <c r="N231" s="15" t="n">
        <f aca="false">M231*(1+IF(N$3&lt;=$O$2,$D231,$D231-($D231-$I$211)*MIN(N$3-$O$2,$Q$2)/$Q$2))</f>
        <v>12888.1337114615</v>
      </c>
      <c r="O231" s="15" t="n">
        <f aca="false">SUMPRODUCT(E231:N231,1/(1+$F$211)^$E$3:$N$3)*$E$2</f>
        <v>40046.1788814921</v>
      </c>
      <c r="P231" s="15" t="n">
        <f aca="false">N231*$E$2*(1+$I$211)/($F$211-$I$211)/(1+$F$211)^$N$3</f>
        <v>66885.3324284813</v>
      </c>
      <c r="Q231" s="15" t="n">
        <f aca="false">O231+P231</f>
        <v>106931.511309973</v>
      </c>
      <c r="R231" s="15" t="n">
        <f aca="false">Q231-$G$2+$I$2</f>
        <v>87471.5113099733</v>
      </c>
      <c r="S231" s="40" t="n">
        <f aca="false">R231/$K$2</f>
        <v>155.812378756254</v>
      </c>
      <c r="T231" s="41" t="n">
        <f aca="false">S231-$M$2</f>
        <v>0.00269208566828638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0.0187606811523438</v>
      </c>
      <c r="C232" s="25" t="n">
        <f aca="false">IF(T231&gt;0,D231,C231)</f>
        <v>0.018763542175293</v>
      </c>
      <c r="D232" s="39" t="n">
        <f aca="false">(B232+C232)/2</f>
        <v>0.0187621116638184</v>
      </c>
      <c r="E232" s="15" t="n">
        <f aca="false">$C$2*(1+IF(E$3&lt;=$O$2,$D232,$D232-($D232-$I$211)*MIN(E$3-$O$2,$Q$2)/$Q$2))</f>
        <v>10758.1278991699</v>
      </c>
      <c r="F232" s="15" t="n">
        <f aca="false">E232*(1+IF(F$3&lt;=$O$2,$D232,$D232-($D232-$I$211)*MIN(F$3-$O$2,$Q$2)/$Q$2))</f>
        <v>10959.9730961078</v>
      </c>
      <c r="G232" s="15" t="n">
        <f aca="false">F232*(1+IF(G$3&lt;=$O$2,$D232,$D232-($D232-$I$211)*MIN(G$3-$O$2,$Q$2)/$Q$2))</f>
        <v>11165.6053351694</v>
      </c>
      <c r="H232" s="15" t="n">
        <f aca="false">G232*(1+IF(H$3&lt;=$O$2,$D232,$D232-($D232-$I$211)*MIN(H$3-$O$2,$Q$2)/$Q$2))</f>
        <v>11375.095669262</v>
      </c>
      <c r="I232" s="15" t="n">
        <f aca="false">H232*(1+IF(I$3&lt;=$O$2,$D232,$D232-($D232-$I$211)*MIN(I$3-$O$2,$Q$2)/$Q$2))</f>
        <v>11588.5164843953</v>
      </c>
      <c r="J232" s="15" t="n">
        <f aca="false">I232*(1+IF(J$3&lt;=$O$2,$D232,$D232-($D232-$I$211)*MIN(J$3-$O$2,$Q$2)/$Q$2))</f>
        <v>11816.4590034512</v>
      </c>
      <c r="K232" s="15" t="n">
        <f aca="false">J232*(1+IF(K$3&lt;=$O$2,$D232,$D232-($D232-$I$211)*MIN(K$3-$O$2,$Q$2)/$Q$2))</f>
        <v>12059.6094353395</v>
      </c>
      <c r="L232" s="15" t="n">
        <f aca="false">K232*(1+IF(L$3&lt;=$O$2,$D232,$D232-($D232-$I$211)*MIN(L$3-$O$2,$Q$2)/$Q$2))</f>
        <v>12318.7082707847</v>
      </c>
      <c r="M232" s="15" t="n">
        <f aca="false">L232*(1+IF(M$3&lt;=$O$2,$D232,$D232-($D232-$I$211)*MIN(M$3-$O$2,$Q$2)/$Q$2))</f>
        <v>12594.5539889782</v>
      </c>
      <c r="N232" s="15" t="n">
        <f aca="false">M232*(1+IF(N$3&lt;=$O$2,$D232,$D232-($D232-$I$211)*MIN(N$3-$O$2,$Q$2)/$Q$2))</f>
        <v>12888.0070969214</v>
      </c>
      <c r="O232" s="15" t="n">
        <f aca="false">SUMPRODUCT(E232:N232,1/(1+$F$211)^$E$3:$N$3)*$E$2</f>
        <v>40045.9254938972</v>
      </c>
      <c r="P232" s="15" t="n">
        <f aca="false">N232*$E$2*(1+$I$211)/($F$211-$I$211)/(1+$F$211)^$N$3</f>
        <v>66884.6753391157</v>
      </c>
      <c r="Q232" s="15" t="n">
        <f aca="false">O232+P232</f>
        <v>106930.600833013</v>
      </c>
      <c r="R232" s="15" t="n">
        <f aca="false">Q232-$G$2+$I$2</f>
        <v>87470.6008330129</v>
      </c>
      <c r="S232" s="40" t="n">
        <f aca="false">R232/$K$2</f>
        <v>155.810756930143</v>
      </c>
      <c r="T232" s="41" t="n">
        <f aca="false">S232-$M$2</f>
        <v>0.00107025955733775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0.0187606811523438</v>
      </c>
      <c r="C233" s="25" t="n">
        <f aca="false">IF(T232&gt;0,D232,C232)</f>
        <v>0.0187621116638184</v>
      </c>
      <c r="D233" s="39" t="n">
        <f aca="false">(B233+C233)/2</f>
        <v>0.0187613964080811</v>
      </c>
      <c r="E233" s="15" t="n">
        <f aca="false">$C$2*(1+IF(E$3&lt;=$O$2,$D233,$D233-($D233-$I$211)*MIN(E$3-$O$2,$Q$2)/$Q$2))</f>
        <v>10758.1203460693</v>
      </c>
      <c r="F233" s="15" t="n">
        <f aca="false">E233*(1+IF(F$3&lt;=$O$2,$D233,$D233-($D233-$I$211)*MIN(F$3-$O$2,$Q$2)/$Q$2))</f>
        <v>10959.9577064878</v>
      </c>
      <c r="G233" s="15" t="n">
        <f aca="false">F233*(1+IF(G$3&lt;=$O$2,$D233,$D233-($D233-$I$211)*MIN(G$3-$O$2,$Q$2)/$Q$2))</f>
        <v>11165.581817635</v>
      </c>
      <c r="H233" s="15" t="n">
        <f aca="false">G233*(1+IF(H$3&lt;=$O$2,$D233,$D233-($D233-$I$211)*MIN(H$3-$O$2,$Q$2)/$Q$2))</f>
        <v>11375.0637242425</v>
      </c>
      <c r="I233" s="15" t="n">
        <f aca="false">H233*(1+IF(I$3&lt;=$O$2,$D233,$D233-($D233-$I$211)*MIN(I$3-$O$2,$Q$2)/$Q$2))</f>
        <v>11588.4758039402</v>
      </c>
      <c r="J233" s="15" t="n">
        <f aca="false">I233*(1+IF(J$3&lt;=$O$2,$D233,$D233-($D233-$I$211)*MIN(J$3-$O$2,$Q$2)/$Q$2))</f>
        <v>11816.4108918451</v>
      </c>
      <c r="K233" s="15" t="n">
        <f aca="false">J233*(1+IF(K$3&lt;=$O$2,$D233,$D233-($D233-$I$211)*MIN(K$3-$O$2,$Q$2)/$Q$2))</f>
        <v>12059.5552626747</v>
      </c>
      <c r="L233" s="15" t="n">
        <f aca="false">K233*(1+IF(L$3&lt;=$O$2,$D233,$D233-($D233-$I$211)*MIN(L$3-$O$2,$Q$2)/$Q$2))</f>
        <v>12318.6494839622</v>
      </c>
      <c r="M233" s="15" t="n">
        <f aca="false">L233*(1+IF(M$3&lt;=$O$2,$D233,$D233-($D233-$I$211)*MIN(M$3-$O$2,$Q$2)/$Q$2))</f>
        <v>12594.4921235794</v>
      </c>
      <c r="N233" s="15" t="n">
        <f aca="false">M233*(1+IF(N$3&lt;=$O$2,$D233,$D233-($D233-$I$211)*MIN(N$3-$O$2,$Q$2)/$Q$2))</f>
        <v>12887.9437900588</v>
      </c>
      <c r="O233" s="15" t="n">
        <f aca="false">SUMPRODUCT(E233:N233,1/(1+$F$211)^$E$3:$N$3)*$E$2</f>
        <v>40045.7988007088</v>
      </c>
      <c r="P233" s="15" t="n">
        <f aca="false">N233*$E$2*(1+$I$211)/($F$211-$I$211)/(1+$F$211)^$N$3</f>
        <v>66884.3467965473</v>
      </c>
      <c r="Q233" s="15" t="n">
        <f aca="false">O233+P233</f>
        <v>106930.145597256</v>
      </c>
      <c r="R233" s="15" t="n">
        <f aca="false">Q233-$G$2+$I$2</f>
        <v>87470.1455972561</v>
      </c>
      <c r="S233" s="40" t="n">
        <f aca="false">R233/$K$2</f>
        <v>155.809946021939</v>
      </c>
      <c r="T233" s="41" t="n">
        <f aca="false">S233-$M$2</f>
        <v>0.00025935135306554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0.0187606811523438</v>
      </c>
      <c r="C234" s="25" t="n">
        <f aca="false">IF(T233&gt;0,D233,C233)</f>
        <v>0.0187613964080811</v>
      </c>
      <c r="D234" s="39" t="n">
        <f aca="false">(B234+C234)/2</f>
        <v>0.0187610387802124</v>
      </c>
      <c r="E234" s="15" t="n">
        <f aca="false">$C$2*(1+IF(E$3&lt;=$O$2,$D234,$D234-($D234-$I$211)*MIN(E$3-$O$2,$Q$2)/$Q$2))</f>
        <v>10758.116569519</v>
      </c>
      <c r="F234" s="15" t="n">
        <f aca="false">E234*(1+IF(F$3&lt;=$O$2,$D234,$D234-($D234-$I$211)*MIN(F$3-$O$2,$Q$2)/$Q$2))</f>
        <v>10959.9500116818</v>
      </c>
      <c r="G234" s="15" t="n">
        <f aca="false">F234*(1+IF(G$3&lt;=$O$2,$D234,$D234-($D234-$I$211)*MIN(G$3-$O$2,$Q$2)/$Q$2))</f>
        <v>11165.5700588802</v>
      </c>
      <c r="H234" s="15" t="n">
        <f aca="false">G234*(1+IF(H$3&lt;=$O$2,$D234,$D234-($D234-$I$211)*MIN(H$3-$O$2,$Q$2)/$Q$2))</f>
        <v>11375.047751758</v>
      </c>
      <c r="I234" s="15" t="n">
        <f aca="false">H234*(1+IF(I$3&lt;=$O$2,$D234,$D234-($D234-$I$211)*MIN(I$3-$O$2,$Q$2)/$Q$2))</f>
        <v>11588.4554637555</v>
      </c>
      <c r="J234" s="15" t="n">
        <f aca="false">I234*(1+IF(J$3&lt;=$O$2,$D234,$D234-($D234-$I$211)*MIN(J$3-$O$2,$Q$2)/$Q$2))</f>
        <v>11816.3868361032</v>
      </c>
      <c r="K234" s="15" t="n">
        <f aca="false">J234*(1+IF(K$3&lt;=$O$2,$D234,$D234-($D234-$I$211)*MIN(K$3-$O$2,$Q$2)/$Q$2))</f>
        <v>12059.5281764202</v>
      </c>
      <c r="L234" s="15" t="n">
        <f aca="false">K234*(1+IF(L$3&lt;=$O$2,$D234,$D234-($D234-$I$211)*MIN(L$3-$O$2,$Q$2)/$Q$2))</f>
        <v>12318.6200906421</v>
      </c>
      <c r="M234" s="15" t="n">
        <f aca="false">L234*(1+IF(M$3&lt;=$O$2,$D234,$D234-($D234-$I$211)*MIN(M$3-$O$2,$Q$2)/$Q$2))</f>
        <v>12594.4611909795</v>
      </c>
      <c r="N234" s="15" t="n">
        <f aca="false">M234*(1+IF(N$3&lt;=$O$2,$D234,$D234-($D234-$I$211)*MIN(N$3-$O$2,$Q$2)/$Q$2))</f>
        <v>12887.9121367294</v>
      </c>
      <c r="O234" s="15" t="n">
        <f aca="false">SUMPRODUCT(E234:N234,1/(1+$F$211)^$E$3:$N$3)*$E$2</f>
        <v>40045.7354542668</v>
      </c>
      <c r="P234" s="15" t="n">
        <f aca="false">N234*$E$2*(1+$I$211)/($F$211-$I$211)/(1+$F$211)^$N$3</f>
        <v>66884.1825257917</v>
      </c>
      <c r="Q234" s="15" t="n">
        <f aca="false">O234+P234</f>
        <v>106929.917980058</v>
      </c>
      <c r="R234" s="15" t="n">
        <f aca="false">Q234-$G$2+$I$2</f>
        <v>87469.9179800585</v>
      </c>
      <c r="S234" s="40" t="n">
        <f aca="false">R234/$K$2</f>
        <v>155.809540569049</v>
      </c>
      <c r="T234" s="41" t="n">
        <f aca="false">S234-$M$2</f>
        <v>-0.000146101536387278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0.0187610387802124</v>
      </c>
      <c r="C235" s="25" t="n">
        <f aca="false">IF(T234&gt;0,D234,C234)</f>
        <v>0.0187613964080811</v>
      </c>
      <c r="D235" s="39" t="n">
        <f aca="false">(B235+C235)/2</f>
        <v>0.0187612175941467</v>
      </c>
      <c r="E235" s="15" t="n">
        <f aca="false">$C$2*(1+IF(E$3&lt;=$O$2,$D235,$D235-($D235-$I$211)*MIN(E$3-$O$2,$Q$2)/$Q$2))</f>
        <v>10758.1184577942</v>
      </c>
      <c r="F235" s="15" t="n">
        <f aca="false">E235*(1+IF(F$3&lt;=$O$2,$D235,$D235-($D235-$I$211)*MIN(F$3-$O$2,$Q$2)/$Q$2))</f>
        <v>10959.9538590845</v>
      </c>
      <c r="G235" s="15" t="n">
        <f aca="false">F235*(1+IF(G$3&lt;=$O$2,$D235,$D235-($D235-$I$211)*MIN(G$3-$O$2,$Q$2)/$Q$2))</f>
        <v>11165.5759382566</v>
      </c>
      <c r="H235" s="15" t="n">
        <f aca="false">G235*(1+IF(H$3&lt;=$O$2,$D235,$D235-($D235-$I$211)*MIN(H$3-$O$2,$Q$2)/$Q$2))</f>
        <v>11375.0557379982</v>
      </c>
      <c r="I235" s="15" t="n">
        <f aca="false">H235*(1+IF(I$3&lt;=$O$2,$D235,$D235-($D235-$I$211)*MIN(I$3-$O$2,$Q$2)/$Q$2))</f>
        <v>11588.4656338443</v>
      </c>
      <c r="J235" s="15" t="n">
        <f aca="false">I235*(1+IF(J$3&lt;=$O$2,$D235,$D235-($D235-$I$211)*MIN(J$3-$O$2,$Q$2)/$Q$2))</f>
        <v>11816.3988639691</v>
      </c>
      <c r="K235" s="15" t="n">
        <f aca="false">J235*(1+IF(K$3&lt;=$O$2,$D235,$D235-($D235-$I$211)*MIN(K$3-$O$2,$Q$2)/$Q$2))</f>
        <v>12059.541719541</v>
      </c>
      <c r="L235" s="15" t="n">
        <f aca="false">K235*(1+IF(L$3&lt;=$O$2,$D235,$D235-($D235-$I$211)*MIN(L$3-$O$2,$Q$2)/$Q$2))</f>
        <v>12318.6347872946</v>
      </c>
      <c r="M235" s="15" t="n">
        <f aca="false">L235*(1+IF(M$3&lt;=$O$2,$D235,$D235-($D235-$I$211)*MIN(M$3-$O$2,$Q$2)/$Q$2))</f>
        <v>12594.4766572712</v>
      </c>
      <c r="N235" s="15" t="n">
        <f aca="false">M235*(1+IF(N$3&lt;=$O$2,$D235,$D235-($D235-$I$211)*MIN(N$3-$O$2,$Q$2)/$Q$2))</f>
        <v>12887.9279633856</v>
      </c>
      <c r="O235" s="15" t="n">
        <f aca="false">SUMPRODUCT(E235:N235,1/(1+$F$211)^$E$3:$N$3)*$E$2</f>
        <v>40045.7671274751</v>
      </c>
      <c r="P235" s="15" t="n">
        <f aca="false">N235*$E$2*(1+$I$211)/($F$211-$I$211)/(1+$F$211)^$N$3</f>
        <v>66884.2646611254</v>
      </c>
      <c r="Q235" s="15" t="n">
        <f aca="false">O235+P235</f>
        <v>106930.031788601</v>
      </c>
      <c r="R235" s="15" t="n">
        <f aca="false">Q235-$G$2+$I$2</f>
        <v>87470.0317886005</v>
      </c>
      <c r="S235" s="40" t="n">
        <f aca="false">R235/$K$2</f>
        <v>155.809743295393</v>
      </c>
      <c r="T235" s="41" t="n">
        <f aca="false">S235-$M$2</f>
        <v>5.66248072289E-005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0.0187610387802124</v>
      </c>
      <c r="C236" s="25" t="n">
        <f aca="false">IF(T235&gt;0,D235,C235)</f>
        <v>0.0187612175941467</v>
      </c>
      <c r="D236" s="39" t="n">
        <f aca="false">(B236+C236)/2</f>
        <v>0.0187611281871796</v>
      </c>
      <c r="E236" s="15" t="n">
        <f aca="false">$C$2*(1+IF(E$3&lt;=$O$2,$D236,$D236-($D236-$I$211)*MIN(E$3-$O$2,$Q$2)/$Q$2))</f>
        <v>10758.1175136566</v>
      </c>
      <c r="F236" s="15" t="n">
        <f aca="false">E236*(1+IF(F$3&lt;=$O$2,$D236,$D236-($D236-$I$211)*MIN(F$3-$O$2,$Q$2)/$Q$2))</f>
        <v>10959.9519353831</v>
      </c>
      <c r="G236" s="15" t="n">
        <f aca="false">F236*(1+IF(G$3&lt;=$O$2,$D236,$D236-($D236-$I$211)*MIN(G$3-$O$2,$Q$2)/$Q$2))</f>
        <v>11165.5729985681</v>
      </c>
      <c r="H236" s="15" t="n">
        <f aca="false">G236*(1+IF(H$3&lt;=$O$2,$D236,$D236-($D236-$I$211)*MIN(H$3-$O$2,$Q$2)/$Q$2))</f>
        <v>11375.0517448776</v>
      </c>
      <c r="I236" s="15" t="n">
        <f aca="false">H236*(1+IF(I$3&lt;=$O$2,$D236,$D236-($D236-$I$211)*MIN(I$3-$O$2,$Q$2)/$Q$2))</f>
        <v>11588.460548799</v>
      </c>
      <c r="J236" s="15" t="n">
        <f aca="false">I236*(1+IF(J$3&lt;=$O$2,$D236,$D236-($D236-$I$211)*MIN(J$3-$O$2,$Q$2)/$Q$2))</f>
        <v>11816.3928500349</v>
      </c>
      <c r="K236" s="15" t="n">
        <f aca="false">J236*(1+IF(K$3&lt;=$O$2,$D236,$D236-($D236-$I$211)*MIN(K$3-$O$2,$Q$2)/$Q$2))</f>
        <v>12059.534947979</v>
      </c>
      <c r="L236" s="15" t="n">
        <f aca="false">K236*(1+IF(L$3&lt;=$O$2,$D236,$D236-($D236-$I$211)*MIN(L$3-$O$2,$Q$2)/$Q$2))</f>
        <v>12318.6274389664</v>
      </c>
      <c r="M236" s="15" t="n">
        <f aca="false">L236*(1+IF(M$3&lt;=$O$2,$D236,$D236-($D236-$I$211)*MIN(M$3-$O$2,$Q$2)/$Q$2))</f>
        <v>12594.4689241233</v>
      </c>
      <c r="N236" s="15" t="n">
        <f aca="false">M236*(1+IF(N$3&lt;=$O$2,$D236,$D236-($D236-$I$211)*MIN(N$3-$O$2,$Q$2)/$Q$2))</f>
        <v>12887.9200500553</v>
      </c>
      <c r="O236" s="15" t="n">
        <f aca="false">SUMPRODUCT(E236:N236,1/(1+$F$211)^$E$3:$N$3)*$E$2</f>
        <v>40045.7512908678</v>
      </c>
      <c r="P236" s="15" t="n">
        <f aca="false">N236*$E$2*(1+$I$211)/($F$211-$I$211)/(1+$F$211)^$N$3</f>
        <v>66884.2235934475</v>
      </c>
      <c r="Q236" s="15" t="n">
        <f aca="false">O236+P236</f>
        <v>106929.974884315</v>
      </c>
      <c r="R236" s="15" t="n">
        <f aca="false">Q236-$G$2+$I$2</f>
        <v>87469.9748843153</v>
      </c>
      <c r="S236" s="40" t="n">
        <f aca="false">R236/$K$2</f>
        <v>155.809641932196</v>
      </c>
      <c r="T236" s="41" t="n">
        <f aca="false">S236-$M$2</f>
        <v>-4.47383899029319E-005</v>
      </c>
    </row>
    <row r="238" customFormat="false" ht="15" hidden="false" customHeight="false" outlineLevel="0" collapsed="false">
      <c r="A238" s="36" t="s">
        <v>194</v>
      </c>
      <c r="E238" s="5" t="s">
        <v>11</v>
      </c>
      <c r="F238" s="12" t="n">
        <f aca="false">Sensitivity!$B$11</f>
        <v>0.0720172026214128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6" t="s">
        <v>167</v>
      </c>
      <c r="B239" s="28" t="s">
        <v>168</v>
      </c>
      <c r="C239" s="28" t="s">
        <v>169</v>
      </c>
      <c r="D239" s="28" t="s">
        <v>170</v>
      </c>
      <c r="E239" s="28" t="s">
        <v>171</v>
      </c>
      <c r="F239" s="28" t="s">
        <v>172</v>
      </c>
      <c r="G239" s="28" t="s">
        <v>173</v>
      </c>
      <c r="H239" s="28" t="s">
        <v>174</v>
      </c>
      <c r="I239" s="28" t="s">
        <v>175</v>
      </c>
      <c r="J239" s="28" t="s">
        <v>176</v>
      </c>
      <c r="K239" s="28" t="s">
        <v>177</v>
      </c>
      <c r="L239" s="28" t="s">
        <v>178</v>
      </c>
      <c r="M239" s="28" t="s">
        <v>179</v>
      </c>
      <c r="N239" s="28" t="s">
        <v>180</v>
      </c>
      <c r="O239" s="28" t="s">
        <v>181</v>
      </c>
      <c r="P239" s="28" t="s">
        <v>182</v>
      </c>
      <c r="Q239" s="28" t="s">
        <v>183</v>
      </c>
      <c r="R239" s="28" t="s">
        <v>184</v>
      </c>
      <c r="S239" s="28" t="s">
        <v>185</v>
      </c>
      <c r="T239" s="28" t="s">
        <v>186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39" t="n">
        <f aca="false">(B240+C240)/2</f>
        <v>0.25</v>
      </c>
      <c r="E240" s="15" t="n">
        <f aca="false">$C$2*(1+IF(E$3&lt;=$O$2,$D240,$D240-($D240-$I$238)*MIN(E$3-$O$2,$Q$2)/$Q$2))</f>
        <v>13200</v>
      </c>
      <c r="F240" s="15" t="n">
        <f aca="false">E240*(1+IF(F$3&lt;=$O$2,$D240,$D240-($D240-$I$238)*MIN(F$3-$O$2,$Q$2)/$Q$2))</f>
        <v>16500</v>
      </c>
      <c r="G240" s="15" t="n">
        <f aca="false">F240*(1+IF(G$3&lt;=$O$2,$D240,$D240-($D240-$I$238)*MIN(G$3-$O$2,$Q$2)/$Q$2))</f>
        <v>20625</v>
      </c>
      <c r="H240" s="15" t="n">
        <f aca="false">G240*(1+IF(H$3&lt;=$O$2,$D240,$D240-($D240-$I$238)*MIN(H$3-$O$2,$Q$2)/$Q$2))</f>
        <v>25781.25</v>
      </c>
      <c r="I240" s="15" t="n">
        <f aca="false">H240*(1+IF(I$3&lt;=$O$2,$D240,$D240-($D240-$I$238)*MIN(I$3-$O$2,$Q$2)/$Q$2))</f>
        <v>32226.5625</v>
      </c>
      <c r="J240" s="15" t="n">
        <f aca="false">I240*(1+IF(J$3&lt;=$O$2,$D240,$D240-($D240-$I$238)*MIN(J$3-$O$2,$Q$2)/$Q$2))</f>
        <v>38854.27734375</v>
      </c>
      <c r="K240" s="15" t="n">
        <f aca="false">J240*(1+IF(K$3&lt;=$O$2,$D240,$D240-($D240-$I$238)*MIN(K$3-$O$2,$Q$2)/$Q$2))</f>
        <v>45122.2493648437</v>
      </c>
      <c r="L240" s="15" t="n">
        <f aca="false">K240*(1+IF(L$3&lt;=$O$2,$D240,$D240-($D240-$I$238)*MIN(L$3-$O$2,$Q$2)/$Q$2))</f>
        <v>50400.6500955432</v>
      </c>
      <c r="M240" s="15" t="n">
        <f aca="false">L240*(1+IF(M$3&lt;=$O$2,$D240,$D240-($D240-$I$238)*MIN(M$3-$O$2,$Q$2)/$Q$2))</f>
        <v>54061.7533184834</v>
      </c>
      <c r="N240" s="15" t="n">
        <f aca="false">M240*(1+IF(N$3&lt;=$O$2,$D240,$D240-($D240-$I$238)*MIN(N$3-$O$2,$Q$2)/$Q$2))</f>
        <v>55591.7009373965</v>
      </c>
      <c r="O240" s="15" t="n">
        <f aca="false">SUMPRODUCT(E240:N240,1/(1+$F$238)^$E$3:$N$3)*$E$2</f>
        <v>111219.283026712</v>
      </c>
      <c r="P240" s="15" t="n">
        <f aca="false">N240*$E$2*(1+$I$238)/($F$238-$I$238)/(1+$F$238)^$N$3</f>
        <v>323070.764289826</v>
      </c>
      <c r="Q240" s="15" t="n">
        <f aca="false">O240+P240</f>
        <v>434290.047316537</v>
      </c>
      <c r="R240" s="15" t="n">
        <f aca="false">Q240-$G$2+$I$2</f>
        <v>414830.047316537</v>
      </c>
      <c r="S240" s="40" t="n">
        <f aca="false">R240/$K$2</f>
        <v>738.933802377202</v>
      </c>
      <c r="T240" s="41" t="n">
        <f aca="false">S240-$M$2</f>
        <v>583.124115706616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39" t="n">
        <f aca="false">(B241+C241)/2</f>
        <v>-0.125</v>
      </c>
      <c r="E241" s="15" t="n">
        <f aca="false">$C$2*(1+IF(E$3&lt;=$O$2,$D241,$D241-($D241-$I$238)*MIN(E$3-$O$2,$Q$2)/$Q$2))</f>
        <v>9240</v>
      </c>
      <c r="F241" s="15" t="n">
        <f aca="false">E241*(1+IF(F$3&lt;=$O$2,$D241,$D241-($D241-$I$238)*MIN(F$3-$O$2,$Q$2)/$Q$2))</f>
        <v>8085</v>
      </c>
      <c r="G241" s="15" t="n">
        <f aca="false">F241*(1+IF(G$3&lt;=$O$2,$D241,$D241-($D241-$I$238)*MIN(G$3-$O$2,$Q$2)/$Q$2))</f>
        <v>7074.375</v>
      </c>
      <c r="H241" s="15" t="n">
        <f aca="false">G241*(1+IF(H$3&lt;=$O$2,$D241,$D241-($D241-$I$238)*MIN(H$3-$O$2,$Q$2)/$Q$2))</f>
        <v>6190.078125</v>
      </c>
      <c r="I241" s="15" t="n">
        <f aca="false">H241*(1+IF(I$3&lt;=$O$2,$D241,$D241-($D241-$I$238)*MIN(I$3-$O$2,$Q$2)/$Q$2))</f>
        <v>5416.318359375</v>
      </c>
      <c r="J241" s="15" t="n">
        <f aca="false">I241*(1+IF(J$3&lt;=$O$2,$D241,$D241-($D241-$I$238)*MIN(J$3-$O$2,$Q$2)/$Q$2))</f>
        <v>4905.34288535156</v>
      </c>
      <c r="K241" s="15" t="n">
        <f aca="false">J241*(1+IF(K$3&lt;=$O$2,$D241,$D241-($D241-$I$238)*MIN(K$3-$O$2,$Q$2)/$Q$2))</f>
        <v>4592.97065041238</v>
      </c>
      <c r="L241" s="15" t="n">
        <f aca="false">K241*(1+IF(L$3&lt;=$O$2,$D241,$D241-($D241-$I$238)*MIN(L$3-$O$2,$Q$2)/$Q$2))</f>
        <v>4441.31075953576</v>
      </c>
      <c r="M241" s="15" t="n">
        <f aca="false">L241*(1+IF(M$3&lt;=$O$2,$D241,$D241-($D241-$I$238)*MIN(M$3-$O$2,$Q$2)/$Q$2))</f>
        <v>4430.82926614325</v>
      </c>
      <c r="N241" s="15" t="n">
        <f aca="false">M241*(1+IF(N$3&lt;=$O$2,$D241,$D241-($D241-$I$238)*MIN(N$3-$O$2,$Q$2)/$Q$2))</f>
        <v>4556.22173437511</v>
      </c>
      <c r="O241" s="15" t="n">
        <f aca="false">SUMPRODUCT(E241:N241,1/(1+$F$238)^$E$3:$N$3)*$E$2</f>
        <v>21372.014987368</v>
      </c>
      <c r="P241" s="15" t="n">
        <f aca="false">N241*$E$2*(1+$I$238)/($F$238-$I$238)/(1+$F$238)^$N$3</f>
        <v>26478.4493580458</v>
      </c>
      <c r="Q241" s="15" t="n">
        <f aca="false">O241+P241</f>
        <v>47850.4643454138</v>
      </c>
      <c r="R241" s="15" t="n">
        <f aca="false">Q241-$G$2+$I$2</f>
        <v>28390.4643454138</v>
      </c>
      <c r="S241" s="40" t="n">
        <f aca="false">R241/$K$2</f>
        <v>50.5717314975575</v>
      </c>
      <c r="T241" s="41" t="n">
        <f aca="false">S241-$M$2</f>
        <v>-105.237955173028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39" t="n">
        <f aca="false">(B242+C242)/2</f>
        <v>0.0625</v>
      </c>
      <c r="E242" s="15" t="n">
        <f aca="false">$C$2*(1+IF(E$3&lt;=$O$2,$D242,$D242-($D242-$I$238)*MIN(E$3-$O$2,$Q$2)/$Q$2))</f>
        <v>11220</v>
      </c>
      <c r="F242" s="15" t="n">
        <f aca="false">E242*(1+IF(F$3&lt;=$O$2,$D242,$D242-($D242-$I$238)*MIN(F$3-$O$2,$Q$2)/$Q$2))</f>
        <v>11921.25</v>
      </c>
      <c r="G242" s="15" t="n">
        <f aca="false">F242*(1+IF(G$3&lt;=$O$2,$D242,$D242-($D242-$I$238)*MIN(G$3-$O$2,$Q$2)/$Q$2))</f>
        <v>12666.328125</v>
      </c>
      <c r="H242" s="15" t="n">
        <f aca="false">G242*(1+IF(H$3&lt;=$O$2,$D242,$D242-($D242-$I$238)*MIN(H$3-$O$2,$Q$2)/$Q$2))</f>
        <v>13457.9736328125</v>
      </c>
      <c r="I242" s="15" t="n">
        <f aca="false">H242*(1+IF(I$3&lt;=$O$2,$D242,$D242-($D242-$I$238)*MIN(I$3-$O$2,$Q$2)/$Q$2))</f>
        <v>14299.0969848633</v>
      </c>
      <c r="J242" s="15" t="n">
        <f aca="false">I242*(1+IF(J$3&lt;=$O$2,$D242,$D242-($D242-$I$238)*MIN(J$3-$O$2,$Q$2)/$Q$2))</f>
        <v>15094.9847230408</v>
      </c>
      <c r="K242" s="15" t="n">
        <f aca="false">J242*(1+IF(K$3&lt;=$O$2,$D242,$D242-($D242-$I$238)*MIN(K$3-$O$2,$Q$2)/$Q$2))</f>
        <v>15831.9218772196</v>
      </c>
      <c r="L242" s="15" t="n">
        <f aca="false">K242*(1+IF(L$3&lt;=$O$2,$D242,$D242-($D242-$I$238)*MIN(L$3-$O$2,$Q$2)/$Q$2))</f>
        <v>16496.5459576253</v>
      </c>
      <c r="M242" s="15" t="n">
        <f aca="false">L242*(1+IF(M$3&lt;=$O$2,$D242,$D242-($D242-$I$238)*MIN(M$3-$O$2,$Q$2)/$Q$2))</f>
        <v>17076.2345825763</v>
      </c>
      <c r="N242" s="15" t="n">
        <f aca="false">M242*(1+IF(N$3&lt;=$O$2,$D242,$D242-($D242-$I$238)*MIN(N$3-$O$2,$Q$2)/$Q$2))</f>
        <v>17559.4920212632</v>
      </c>
      <c r="O242" s="15" t="n">
        <f aca="false">SUMPRODUCT(E242:N242,1/(1+$F$238)^$E$3:$N$3)*$E$2</f>
        <v>48751.6500528245</v>
      </c>
      <c r="P242" s="15" t="n">
        <f aca="false">N242*$E$2*(1+$I$238)/($F$238-$I$238)/(1+$F$238)^$N$3</f>
        <v>102046.859732518</v>
      </c>
      <c r="Q242" s="15" t="n">
        <f aca="false">O242+P242</f>
        <v>150798.509785342</v>
      </c>
      <c r="R242" s="15" t="n">
        <f aca="false">Q242-$G$2+$I$2</f>
        <v>131338.509785342</v>
      </c>
      <c r="S242" s="40" t="n">
        <f aca="false">R242/$K$2</f>
        <v>233.952350033564</v>
      </c>
      <c r="T242" s="41" t="n">
        <f aca="false">S242-$M$2</f>
        <v>78.1426633629783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39" t="n">
        <f aca="false">(B243+C243)/2</f>
        <v>-0.03125</v>
      </c>
      <c r="E243" s="15" t="n">
        <f aca="false">$C$2*(1+IF(E$3&lt;=$O$2,$D243,$D243-($D243-$I$238)*MIN(E$3-$O$2,$Q$2)/$Q$2))</f>
        <v>10230</v>
      </c>
      <c r="F243" s="15" t="n">
        <f aca="false">E243*(1+IF(F$3&lt;=$O$2,$D243,$D243-($D243-$I$238)*MIN(F$3-$O$2,$Q$2)/$Q$2))</f>
        <v>9910.3125</v>
      </c>
      <c r="G243" s="15" t="n">
        <f aca="false">F243*(1+IF(G$3&lt;=$O$2,$D243,$D243-($D243-$I$238)*MIN(G$3-$O$2,$Q$2)/$Q$2))</f>
        <v>9600.615234375</v>
      </c>
      <c r="H243" s="15" t="n">
        <f aca="false">G243*(1+IF(H$3&lt;=$O$2,$D243,$D243-($D243-$I$238)*MIN(H$3-$O$2,$Q$2)/$Q$2))</f>
        <v>9300.59600830078</v>
      </c>
      <c r="I243" s="15" t="n">
        <f aca="false">H243*(1+IF(I$3&lt;=$O$2,$D243,$D243-($D243-$I$238)*MIN(I$3-$O$2,$Q$2)/$Q$2))</f>
        <v>9009.95238304138</v>
      </c>
      <c r="J243" s="15" t="n">
        <f aca="false">I243*(1+IF(J$3&lt;=$O$2,$D243,$D243-($D243-$I$238)*MIN(J$3-$O$2,$Q$2)/$Q$2))</f>
        <v>8835.69990395336</v>
      </c>
      <c r="K243" s="15" t="n">
        <f aca="false">J243*(1+IF(K$3&lt;=$O$2,$D243,$D243-($D243-$I$238)*MIN(K$3-$O$2,$Q$2)/$Q$2))</f>
        <v>8770.05065366699</v>
      </c>
      <c r="L243" s="15" t="n">
        <f aca="false">K243*(1+IF(L$3&lt;=$O$2,$D243,$D243-($D243-$I$238)*MIN(L$3-$O$2,$Q$2)/$Q$2))</f>
        <v>8809.34048059542</v>
      </c>
      <c r="M243" s="15" t="n">
        <f aca="false">L243*(1+IF(M$3&lt;=$O$2,$D243,$D243-($D243-$I$238)*MIN(M$3-$O$2,$Q$2)/$Q$2))</f>
        <v>8953.72557107238</v>
      </c>
      <c r="N243" s="15" t="n">
        <f aca="false">M243*(1+IF(N$3&lt;=$O$2,$D243,$D243-($D243-$I$238)*MIN(N$3-$O$2,$Q$2)/$Q$2))</f>
        <v>9207.11600473372</v>
      </c>
      <c r="O243" s="15" t="n">
        <f aca="false">SUMPRODUCT(E243:N243,1/(1+$F$238)^$E$3:$N$3)*$E$2</f>
        <v>32196.3563806713</v>
      </c>
      <c r="P243" s="15" t="n">
        <f aca="false">N243*$E$2*(1+$I$238)/($F$238-$I$238)/(1+$F$238)^$N$3</f>
        <v>53507.0874680402</v>
      </c>
      <c r="Q243" s="15" t="n">
        <f aca="false">O243+P243</f>
        <v>85703.4438487115</v>
      </c>
      <c r="R243" s="15" t="n">
        <f aca="false">Q243-$G$2+$I$2</f>
        <v>66243.4438487115</v>
      </c>
      <c r="S243" s="40" t="n">
        <f aca="false">R243/$K$2</f>
        <v>117.998973705822</v>
      </c>
      <c r="T243" s="41" t="n">
        <f aca="false">S243-$M$2</f>
        <v>-37.8107129647634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39" t="n">
        <f aca="false">(B244+C244)/2</f>
        <v>0.015625</v>
      </c>
      <c r="E244" s="15" t="n">
        <f aca="false">$C$2*(1+IF(E$3&lt;=$O$2,$D244,$D244-($D244-$I$238)*MIN(E$3-$O$2,$Q$2)/$Q$2))</f>
        <v>10725</v>
      </c>
      <c r="F244" s="15" t="n">
        <f aca="false">E244*(1+IF(F$3&lt;=$O$2,$D244,$D244-($D244-$I$238)*MIN(F$3-$O$2,$Q$2)/$Q$2))</f>
        <v>10892.578125</v>
      </c>
      <c r="G244" s="15" t="n">
        <f aca="false">F244*(1+IF(G$3&lt;=$O$2,$D244,$D244-($D244-$I$238)*MIN(G$3-$O$2,$Q$2)/$Q$2))</f>
        <v>11062.7746582031</v>
      </c>
      <c r="H244" s="15" t="n">
        <f aca="false">G244*(1+IF(H$3&lt;=$O$2,$D244,$D244-($D244-$I$238)*MIN(H$3-$O$2,$Q$2)/$Q$2))</f>
        <v>11235.6305122375</v>
      </c>
      <c r="I244" s="15" t="n">
        <f aca="false">H244*(1+IF(I$3&lt;=$O$2,$D244,$D244-($D244-$I$238)*MIN(I$3-$O$2,$Q$2)/$Q$2))</f>
        <v>11411.1872389913</v>
      </c>
      <c r="J244" s="15" t="n">
        <f aca="false">I244*(1+IF(J$3&lt;=$O$2,$D244,$D244-($D244-$I$238)*MIN(J$3-$O$2,$Q$2)/$Q$2))</f>
        <v>11618.4143992513</v>
      </c>
      <c r="K244" s="15" t="n">
        <f aca="false">J244*(1+IF(K$3&lt;=$O$2,$D244,$D244-($D244-$I$238)*MIN(K$3-$O$2,$Q$2)/$Q$2))</f>
        <v>11858.8574852438</v>
      </c>
      <c r="L244" s="15" t="n">
        <f aca="false">K244*(1+IF(L$3&lt;=$O$2,$D244,$D244-($D244-$I$238)*MIN(L$3-$O$2,$Q$2)/$Q$2))</f>
        <v>12134.3387446261</v>
      </c>
      <c r="M244" s="15" t="n">
        <f aca="false">L244*(1+IF(M$3&lt;=$O$2,$D244,$D244-($D244-$I$238)*MIN(M$3-$O$2,$Q$2)/$Q$2))</f>
        <v>12446.9799823814</v>
      </c>
      <c r="N244" s="15" t="n">
        <f aca="false">M244*(1+IF(N$3&lt;=$O$2,$D244,$D244-($D244-$I$238)*MIN(N$3-$O$2,$Q$2)/$Q$2))</f>
        <v>12799.2295158827</v>
      </c>
      <c r="O244" s="15" t="n">
        <f aca="false">SUMPRODUCT(E244:N244,1/(1+$F$238)^$E$3:$N$3)*$E$2</f>
        <v>39606.8068076303</v>
      </c>
      <c r="P244" s="15" t="n">
        <f aca="false">N244*$E$2*(1+$I$238)/($F$238-$I$238)/(1+$F$238)^$N$3</f>
        <v>74382.6289228629</v>
      </c>
      <c r="Q244" s="15" t="n">
        <f aca="false">O244+P244</f>
        <v>113989.435730493</v>
      </c>
      <c r="R244" s="15" t="n">
        <f aca="false">Q244-$G$2+$I$2</f>
        <v>94529.4357304932</v>
      </c>
      <c r="S244" s="40" t="n">
        <f aca="false">R244/$K$2</f>
        <v>168.384609149599</v>
      </c>
      <c r="T244" s="41" t="n">
        <f aca="false">S244-$M$2</f>
        <v>12.5749224790132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-0.03125</v>
      </c>
      <c r="C245" s="25" t="n">
        <f aca="false">IF(T244&gt;0,D244,C244)</f>
        <v>0.015625</v>
      </c>
      <c r="D245" s="39" t="n">
        <f aca="false">(B245+C245)/2</f>
        <v>-0.0078125</v>
      </c>
      <c r="E245" s="15" t="n">
        <f aca="false">$C$2*(1+IF(E$3&lt;=$O$2,$D245,$D245-($D245-$I$238)*MIN(E$3-$O$2,$Q$2)/$Q$2))</f>
        <v>10477.5</v>
      </c>
      <c r="F245" s="15" t="n">
        <f aca="false">E245*(1+IF(F$3&lt;=$O$2,$D245,$D245-($D245-$I$238)*MIN(F$3-$O$2,$Q$2)/$Q$2))</f>
        <v>10395.64453125</v>
      </c>
      <c r="G245" s="15" t="n">
        <f aca="false">F245*(1+IF(G$3&lt;=$O$2,$D245,$D245-($D245-$I$238)*MIN(G$3-$O$2,$Q$2)/$Q$2))</f>
        <v>10314.4285583496</v>
      </c>
      <c r="H245" s="15" t="n">
        <f aca="false">G245*(1+IF(H$3&lt;=$O$2,$D245,$D245-($D245-$I$238)*MIN(H$3-$O$2,$Q$2)/$Q$2))</f>
        <v>10233.8470852375</v>
      </c>
      <c r="I245" s="15" t="n">
        <f aca="false">H245*(1+IF(I$3&lt;=$O$2,$D245,$D245-($D245-$I$238)*MIN(I$3-$O$2,$Q$2)/$Q$2))</f>
        <v>10153.8951548841</v>
      </c>
      <c r="J245" s="15" t="n">
        <f aca="false">I245*(1+IF(J$3&lt;=$O$2,$D245,$D245-($D245-$I$238)*MIN(J$3-$O$2,$Q$2)/$Q$2))</f>
        <v>10147.9043567427</v>
      </c>
      <c r="K245" s="15" t="n">
        <f aca="false">J245*(1+IF(K$3&lt;=$O$2,$D245,$D245-($D245-$I$238)*MIN(K$3-$O$2,$Q$2)/$Q$2))</f>
        <v>10215.2103323888</v>
      </c>
      <c r="L245" s="15" t="n">
        <f aca="false">K245*(1+IF(L$3&lt;=$O$2,$D245,$D245-($D245-$I$238)*MIN(L$3-$O$2,$Q$2)/$Q$2))</f>
        <v>10356.742071544</v>
      </c>
      <c r="M245" s="15" t="n">
        <f aca="false">L245*(1+IF(M$3&lt;=$O$2,$D245,$D245-($D245-$I$238)*MIN(M$3-$O$2,$Q$2)/$Q$2))</f>
        <v>10575.036302557</v>
      </c>
      <c r="N245" s="15" t="n">
        <f aca="false">M245*(1+IF(N$3&lt;=$O$2,$D245,$D245-($D245-$I$238)*MIN(N$3-$O$2,$Q$2)/$Q$2))</f>
        <v>10874.3098299194</v>
      </c>
      <c r="O245" s="15" t="n">
        <f aca="false">SUMPRODUCT(E245:N245,1/(1+$F$238)^$E$3:$N$3)*$E$2</f>
        <v>35705.7183653092</v>
      </c>
      <c r="P245" s="15" t="n">
        <f aca="false">N245*$E$2*(1+$I$238)/($F$238-$I$238)/(1+$F$238)^$N$3</f>
        <v>63195.9722159375</v>
      </c>
      <c r="Q245" s="15" t="n">
        <f aca="false">O245+P245</f>
        <v>98901.6905812468</v>
      </c>
      <c r="R245" s="15" t="n">
        <f aca="false">Q245-$G$2+$I$2</f>
        <v>79441.6905812468</v>
      </c>
      <c r="S245" s="40" t="n">
        <f aca="false">R245/$K$2</f>
        <v>141.508916406147</v>
      </c>
      <c r="T245" s="41" t="n">
        <f aca="false">S245-$M$2</f>
        <v>-14.3007702644387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-0.0078125</v>
      </c>
      <c r="C246" s="25" t="n">
        <f aca="false">IF(T245&gt;0,D245,C245)</f>
        <v>0.015625</v>
      </c>
      <c r="D246" s="39" t="n">
        <f aca="false">(B246+C246)/2</f>
        <v>0.00390625</v>
      </c>
      <c r="E246" s="15" t="n">
        <f aca="false">$C$2*(1+IF(E$3&lt;=$O$2,$D246,$D246-($D246-$I$238)*MIN(E$3-$O$2,$Q$2)/$Q$2))</f>
        <v>10601.25</v>
      </c>
      <c r="F246" s="15" t="n">
        <f aca="false">E246*(1+IF(F$3&lt;=$O$2,$D246,$D246-($D246-$I$238)*MIN(F$3-$O$2,$Q$2)/$Q$2))</f>
        <v>10642.6611328125</v>
      </c>
      <c r="G246" s="15" t="n">
        <f aca="false">F246*(1+IF(G$3&lt;=$O$2,$D246,$D246-($D246-$I$238)*MIN(G$3-$O$2,$Q$2)/$Q$2))</f>
        <v>10684.2340278625</v>
      </c>
      <c r="H246" s="15" t="n">
        <f aca="false">G246*(1+IF(H$3&lt;=$O$2,$D246,$D246-($D246-$I$238)*MIN(H$3-$O$2,$Q$2)/$Q$2))</f>
        <v>10725.9693170339</v>
      </c>
      <c r="I246" s="15" t="n">
        <f aca="false">H246*(1+IF(I$3&lt;=$O$2,$D246,$D246-($D246-$I$238)*MIN(I$3-$O$2,$Q$2)/$Q$2))</f>
        <v>10767.8676346786</v>
      </c>
      <c r="J246" s="15" t="n">
        <f aca="false">I246*(1+IF(J$3&lt;=$O$2,$D246,$D246-($D246-$I$238)*MIN(J$3-$O$2,$Q$2)/$Q$2))</f>
        <v>10862.4633518492</v>
      </c>
      <c r="K246" s="15" t="n">
        <f aca="false">J246*(1+IF(K$3&lt;=$O$2,$D246,$D246-($D246-$I$238)*MIN(K$3-$O$2,$Q$2)/$Q$2))</f>
        <v>11010.885335473</v>
      </c>
      <c r="L246" s="15" t="n">
        <f aca="false">K246*(1+IF(L$3&lt;=$O$2,$D246,$D246-($D246-$I$238)*MIN(L$3-$O$2,$Q$2)/$Q$2))</f>
        <v>11215.054676806</v>
      </c>
      <c r="M246" s="15" t="n">
        <f aca="false">L246*(1+IF(M$3&lt;=$O$2,$D246,$D246-($D246-$I$238)*MIN(M$3-$O$2,$Q$2)/$Q$2))</f>
        <v>11477.7252761552</v>
      </c>
      <c r="N246" s="15" t="n">
        <f aca="false">M246*(1+IF(N$3&lt;=$O$2,$D246,$D246-($D246-$I$238)*MIN(N$3-$O$2,$Q$2)/$Q$2))</f>
        <v>11802.5449014704</v>
      </c>
      <c r="O246" s="15" t="n">
        <f aca="false">SUMPRODUCT(E246:N246,1/(1+$F$238)^$E$3:$N$3)*$E$2</f>
        <v>37604.8204082547</v>
      </c>
      <c r="P246" s="15" t="n">
        <f aca="false">N246*$E$2*(1+$I$238)/($F$238-$I$238)/(1+$F$238)^$N$3</f>
        <v>68590.4035600029</v>
      </c>
      <c r="Q246" s="15" t="n">
        <f aca="false">O246+P246</f>
        <v>106195.223968258</v>
      </c>
      <c r="R246" s="15" t="n">
        <f aca="false">Q246-$G$2+$I$2</f>
        <v>86735.2239682576</v>
      </c>
      <c r="S246" s="40" t="n">
        <f aca="false">R246/$K$2</f>
        <v>154.50083536981</v>
      </c>
      <c r="T246" s="41" t="n">
        <f aca="false">S246-$M$2</f>
        <v>-1.3088513007755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0.00390625</v>
      </c>
      <c r="C247" s="25" t="n">
        <f aca="false">IF(T246&gt;0,D246,C246)</f>
        <v>0.015625</v>
      </c>
      <c r="D247" s="39" t="n">
        <f aca="false">(B247+C247)/2</f>
        <v>0.009765625</v>
      </c>
      <c r="E247" s="15" t="n">
        <f aca="false">$C$2*(1+IF(E$3&lt;=$O$2,$D247,$D247-($D247-$I$238)*MIN(E$3-$O$2,$Q$2)/$Q$2))</f>
        <v>10663.125</v>
      </c>
      <c r="F247" s="15" t="n">
        <f aca="false">E247*(1+IF(F$3&lt;=$O$2,$D247,$D247-($D247-$I$238)*MIN(F$3-$O$2,$Q$2)/$Q$2))</f>
        <v>10767.2570800781</v>
      </c>
      <c r="G247" s="15" t="n">
        <f aca="false">F247*(1+IF(G$3&lt;=$O$2,$D247,$D247-($D247-$I$238)*MIN(G$3-$O$2,$Q$2)/$Q$2))</f>
        <v>10872.4060750008</v>
      </c>
      <c r="H247" s="15" t="n">
        <f aca="false">G247*(1+IF(H$3&lt;=$O$2,$D247,$D247-($D247-$I$238)*MIN(H$3-$O$2,$Q$2)/$Q$2))</f>
        <v>10978.5819155769</v>
      </c>
      <c r="I247" s="15" t="n">
        <f aca="false">H247*(1+IF(I$3&lt;=$O$2,$D247,$D247-($D247-$I$238)*MIN(I$3-$O$2,$Q$2)/$Q$2))</f>
        <v>11085.7946295962</v>
      </c>
      <c r="J247" s="15" t="n">
        <f aca="false">I247*(1+IF(J$3&lt;=$O$2,$D247,$D247-($D247-$I$238)*MIN(J$3-$O$2,$Q$2)/$Q$2))</f>
        <v>11235.1479977435</v>
      </c>
      <c r="K247" s="15" t="n">
        <f aca="false">J247*(1+IF(K$3&lt;=$O$2,$D247,$D247-($D247-$I$238)*MIN(K$3-$O$2,$Q$2)/$Q$2))</f>
        <v>11428.1608183772</v>
      </c>
      <c r="L247" s="15" t="n">
        <f aca="false">K247*(1+IF(L$3&lt;=$O$2,$D247,$D247-($D247-$I$238)*MIN(L$3-$O$2,$Q$2)/$Q$2))</f>
        <v>11666.8522422701</v>
      </c>
      <c r="M247" s="15" t="n">
        <f aca="false">L247*(1+IF(M$3&lt;=$O$2,$D247,$D247-($D247-$I$238)*MIN(M$3-$O$2,$Q$2)/$Q$2))</f>
        <v>11953.7765978207</v>
      </c>
      <c r="N247" s="15" t="n">
        <f aca="false">M247*(1+IF(N$3&lt;=$O$2,$D247,$D247-($D247-$I$238)*MIN(N$3-$O$2,$Q$2)/$Q$2))</f>
        <v>12292.0684755391</v>
      </c>
      <c r="O247" s="15" t="n">
        <f aca="false">SUMPRODUCT(E247:N247,1/(1+$F$238)^$E$3:$N$3)*$E$2</f>
        <v>38592.6316081027</v>
      </c>
      <c r="P247" s="15" t="n">
        <f aca="false">N247*$E$2*(1+$I$238)/($F$238-$I$238)/(1+$F$238)^$N$3</f>
        <v>71435.2662381633</v>
      </c>
      <c r="Q247" s="15" t="n">
        <f aca="false">O247+P247</f>
        <v>110027.897846266</v>
      </c>
      <c r="R247" s="15" t="n">
        <f aca="false">Q247-$G$2+$I$2</f>
        <v>90567.897846266</v>
      </c>
      <c r="S247" s="40" t="n">
        <f aca="false">R247/$K$2</f>
        <v>161.327949992458</v>
      </c>
      <c r="T247" s="41" t="n">
        <f aca="false">S247-$M$2</f>
        <v>5.51826332187247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0.00390625</v>
      </c>
      <c r="C248" s="25" t="n">
        <f aca="false">IF(T247&gt;0,D247,C247)</f>
        <v>0.009765625</v>
      </c>
      <c r="D248" s="39" t="n">
        <f aca="false">(B248+C248)/2</f>
        <v>0.0068359375</v>
      </c>
      <c r="E248" s="15" t="n">
        <f aca="false">$C$2*(1+IF(E$3&lt;=$O$2,$D248,$D248-($D248-$I$238)*MIN(E$3-$O$2,$Q$2)/$Q$2))</f>
        <v>10632.1875</v>
      </c>
      <c r="F248" s="15" t="n">
        <f aca="false">E248*(1+IF(F$3&lt;=$O$2,$D248,$D248-($D248-$I$238)*MIN(F$3-$O$2,$Q$2)/$Q$2))</f>
        <v>10704.8684692383</v>
      </c>
      <c r="G248" s="15" t="n">
        <f aca="false">F248*(1+IF(G$3&lt;=$O$2,$D248,$D248-($D248-$I$238)*MIN(G$3-$O$2,$Q$2)/$Q$2))</f>
        <v>10778.0462810397</v>
      </c>
      <c r="H248" s="15" t="n">
        <f aca="false">G248*(1+IF(H$3&lt;=$O$2,$D248,$D248-($D248-$I$238)*MIN(H$3-$O$2,$Q$2)/$Q$2))</f>
        <v>10851.724331789</v>
      </c>
      <c r="I248" s="15" t="n">
        <f aca="false">H248*(1+IF(I$3&lt;=$O$2,$D248,$D248-($D248-$I$238)*MIN(I$3-$O$2,$Q$2)/$Q$2))</f>
        <v>10925.9060410883</v>
      </c>
      <c r="J248" s="15" t="n">
        <f aca="false">I248*(1+IF(J$3&lt;=$O$2,$D248,$D248-($D248-$I$238)*MIN(J$3-$O$2,$Q$2)/$Q$2))</f>
        <v>11047.4977179431</v>
      </c>
      <c r="K248" s="15" t="n">
        <f aca="false">J248*(1+IF(K$3&lt;=$O$2,$D248,$D248-($D248-$I$238)*MIN(K$3-$O$2,$Q$2)/$Q$2))</f>
        <v>11217.867394469</v>
      </c>
      <c r="L248" s="15" t="n">
        <f aca="false">K248*(1+IF(L$3&lt;=$O$2,$D248,$D248-($D248-$I$238)*MIN(L$3-$O$2,$Q$2)/$Q$2))</f>
        <v>11439.0206389838</v>
      </c>
      <c r="M248" s="15" t="n">
        <f aca="false">L248*(1+IF(M$3&lt;=$O$2,$D248,$D248-($D248-$I$238)*MIN(M$3-$O$2,$Q$2)/$Q$2))</f>
        <v>11713.6393522803</v>
      </c>
      <c r="N248" s="15" t="n">
        <f aca="false">M248*(1+IF(N$3&lt;=$O$2,$D248,$D248-($D248-$I$238)*MIN(N$3-$O$2,$Q$2)/$Q$2))</f>
        <v>12045.1353459498</v>
      </c>
      <c r="O248" s="15" t="n">
        <f aca="false">SUMPRODUCT(E248:N248,1/(1+$F$238)^$E$3:$N$3)*$E$2</f>
        <v>38095.4712342251</v>
      </c>
      <c r="P248" s="15" t="n">
        <f aca="false">N248*$E$2*(1+$I$238)/($F$238-$I$238)/(1+$F$238)^$N$3</f>
        <v>70000.2161576717</v>
      </c>
      <c r="Q248" s="15" t="n">
        <f aca="false">O248+P248</f>
        <v>108095.687391897</v>
      </c>
      <c r="R248" s="15" t="n">
        <f aca="false">Q248-$G$2+$I$2</f>
        <v>88635.6873918968</v>
      </c>
      <c r="S248" s="40" t="n">
        <f aca="false">R248/$K$2</f>
        <v>157.886117301514</v>
      </c>
      <c r="T248" s="41" t="n">
        <f aca="false">S248-$M$2</f>
        <v>2.07643063092823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0.00390625</v>
      </c>
      <c r="C249" s="25" t="n">
        <f aca="false">IF(T248&gt;0,D248,C248)</f>
        <v>0.0068359375</v>
      </c>
      <c r="D249" s="39" t="n">
        <f aca="false">(B249+C249)/2</f>
        <v>0.00537109375</v>
      </c>
      <c r="E249" s="15" t="n">
        <f aca="false">$C$2*(1+IF(E$3&lt;=$O$2,$D249,$D249-($D249-$I$238)*MIN(E$3-$O$2,$Q$2)/$Q$2))</f>
        <v>10616.71875</v>
      </c>
      <c r="F249" s="15" t="n">
        <f aca="false">E249*(1+IF(F$3&lt;=$O$2,$D249,$D249-($D249-$I$238)*MIN(F$3-$O$2,$Q$2)/$Q$2))</f>
        <v>10673.7421417236</v>
      </c>
      <c r="G249" s="15" t="n">
        <f aca="false">F249*(1+IF(G$3&lt;=$O$2,$D249,$D249-($D249-$I$238)*MIN(G$3-$O$2,$Q$2)/$Q$2))</f>
        <v>10731.0718114302</v>
      </c>
      <c r="H249" s="15" t="n">
        <f aca="false">G249*(1+IF(H$3&lt;=$O$2,$D249,$D249-($D249-$I$238)*MIN(H$3-$O$2,$Q$2)/$Q$2))</f>
        <v>10788.7094041673</v>
      </c>
      <c r="I249" s="15" t="n">
        <f aca="false">H249*(1+IF(I$3&lt;=$O$2,$D249,$D249-($D249-$I$238)*MIN(I$3-$O$2,$Q$2)/$Q$2))</f>
        <v>10846.6565738186</v>
      </c>
      <c r="J249" s="15" t="n">
        <f aca="false">I249*(1+IF(J$3&lt;=$O$2,$D249,$D249-($D249-$I$238)*MIN(J$3-$O$2,$Q$2)/$Q$2))</f>
        <v>10954.6553774921</v>
      </c>
      <c r="K249" s="15" t="n">
        <f aca="false">J249*(1+IF(K$3&lt;=$O$2,$D249,$D249-($D249-$I$238)*MIN(K$3-$O$2,$Q$2)/$Q$2))</f>
        <v>11113.9651649841</v>
      </c>
      <c r="L249" s="15" t="n">
        <f aca="false">K249*(1+IF(L$3&lt;=$O$2,$D249,$D249-($D249-$I$238)*MIN(L$3-$O$2,$Q$2)/$Q$2))</f>
        <v>11326.5579530197</v>
      </c>
      <c r="M249" s="15" t="n">
        <f aca="false">L249*(1+IF(M$3&lt;=$O$2,$D249,$D249-($D249-$I$238)*MIN(M$3-$O$2,$Q$2)/$Q$2))</f>
        <v>11595.1584260022</v>
      </c>
      <c r="N249" s="15" t="n">
        <f aca="false">M249*(1+IF(N$3&lt;=$O$2,$D249,$D249-($D249-$I$238)*MIN(N$3-$O$2,$Q$2)/$Q$2))</f>
        <v>11923.301409458</v>
      </c>
      <c r="O249" s="15" t="n">
        <f aca="false">SUMPRODUCT(E249:N249,1/(1+$F$238)^$E$3:$N$3)*$E$2</f>
        <v>37849.3371705114</v>
      </c>
      <c r="P249" s="15" t="n">
        <f aca="false">N249*$E$2*(1+$I$238)/($F$238-$I$238)/(1+$F$238)^$N$3</f>
        <v>69292.1791248931</v>
      </c>
      <c r="Q249" s="15" t="n">
        <f aca="false">O249+P249</f>
        <v>107141.516295405</v>
      </c>
      <c r="R249" s="15" t="n">
        <f aca="false">Q249-$G$2+$I$2</f>
        <v>87681.5162954045</v>
      </c>
      <c r="S249" s="40" t="n">
        <f aca="false">R249/$K$2</f>
        <v>156.186459137862</v>
      </c>
      <c r="T249" s="41" t="n">
        <f aca="false">S249-$M$2</f>
        <v>0.376772467276766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0.00390625</v>
      </c>
      <c r="C250" s="25" t="n">
        <f aca="false">IF(T249&gt;0,D249,C249)</f>
        <v>0.00537109375</v>
      </c>
      <c r="D250" s="39" t="n">
        <f aca="false">(B250+C250)/2</f>
        <v>0.004638671875</v>
      </c>
      <c r="E250" s="15" t="n">
        <f aca="false">$C$2*(1+IF(E$3&lt;=$O$2,$D250,$D250-($D250-$I$238)*MIN(E$3-$O$2,$Q$2)/$Q$2))</f>
        <v>10608.984375</v>
      </c>
      <c r="F250" s="15" t="n">
        <f aca="false">E250*(1+IF(F$3&lt;=$O$2,$D250,$D250-($D250-$I$238)*MIN(F$3-$O$2,$Q$2)/$Q$2))</f>
        <v>10658.1959724426</v>
      </c>
      <c r="G250" s="15" t="n">
        <f aca="false">F250*(1+IF(G$3&lt;=$O$2,$D250,$D250-($D250-$I$238)*MIN(G$3-$O$2,$Q$2)/$Q$2))</f>
        <v>10707.6358463382</v>
      </c>
      <c r="H250" s="15" t="n">
        <f aca="false">G250*(1+IF(H$3&lt;=$O$2,$D250,$D250-($D250-$I$238)*MIN(H$3-$O$2,$Q$2)/$Q$2))</f>
        <v>10757.3050555864</v>
      </c>
      <c r="I250" s="15" t="n">
        <f aca="false">H250*(1+IF(I$3&lt;=$O$2,$D250,$D250-($D250-$I$238)*MIN(I$3-$O$2,$Q$2)/$Q$2))</f>
        <v>10807.2046639985</v>
      </c>
      <c r="J250" s="15" t="n">
        <f aca="false">I250*(1+IF(J$3&lt;=$O$2,$D250,$D250-($D250-$I$238)*MIN(J$3-$O$2,$Q$2)/$Q$2))</f>
        <v>10908.4783034546</v>
      </c>
      <c r="K250" s="15" t="n">
        <f aca="false">J250*(1+IF(K$3&lt;=$O$2,$D250,$D250-($D250-$I$238)*MIN(K$3-$O$2,$Q$2)/$Q$2))</f>
        <v>11062.3227887528</v>
      </c>
      <c r="L250" s="15" t="n">
        <f aca="false">K250*(1+IF(L$3&lt;=$O$2,$D250,$D250-($D250-$I$238)*MIN(L$3-$O$2,$Q$2)/$Q$2))</f>
        <v>11270.6868239428</v>
      </c>
      <c r="M250" s="15" t="n">
        <f aca="false">L250*(1+IF(M$3&lt;=$O$2,$D250,$D250-($D250-$I$238)*MIN(M$3-$O$2,$Q$2)/$Q$2))</f>
        <v>11536.3113772333</v>
      </c>
      <c r="N250" s="15" t="n">
        <f aca="false">M250*(1+IF(N$3&lt;=$O$2,$D250,$D250-($D250-$I$238)*MIN(N$3-$O$2,$Q$2)/$Q$2))</f>
        <v>11862.788989209</v>
      </c>
      <c r="O250" s="15" t="n">
        <f aca="false">SUMPRODUCT(E250:N250,1/(1+$F$238)^$E$3:$N$3)*$E$2</f>
        <v>37726.8772540665</v>
      </c>
      <c r="P250" s="15" t="n">
        <f aca="false">N250*$E$2*(1+$I$238)/($F$238-$I$238)/(1+$F$238)^$N$3</f>
        <v>68940.5116362351</v>
      </c>
      <c r="Q250" s="15" t="n">
        <f aca="false">O250+P250</f>
        <v>106667.388890302</v>
      </c>
      <c r="R250" s="15" t="n">
        <f aca="false">Q250-$G$2+$I$2</f>
        <v>87207.3888903016</v>
      </c>
      <c r="S250" s="40" t="n">
        <f aca="false">R250/$K$2</f>
        <v>155.341899375303</v>
      </c>
      <c r="T250" s="41" t="n">
        <f aca="false">S250-$M$2</f>
        <v>-0.467787295282051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0.004638671875</v>
      </c>
      <c r="C251" s="25" t="n">
        <f aca="false">IF(T250&gt;0,D250,C250)</f>
        <v>0.00537109375</v>
      </c>
      <c r="D251" s="39" t="n">
        <f aca="false">(B251+C251)/2</f>
        <v>0.0050048828125</v>
      </c>
      <c r="E251" s="15" t="n">
        <f aca="false">$C$2*(1+IF(E$3&lt;=$O$2,$D251,$D251-($D251-$I$238)*MIN(E$3-$O$2,$Q$2)/$Q$2))</f>
        <v>10612.8515625</v>
      </c>
      <c r="F251" s="15" t="n">
        <f aca="false">E251*(1+IF(F$3&lt;=$O$2,$D251,$D251-($D251-$I$238)*MIN(F$3-$O$2,$Q$2)/$Q$2))</f>
        <v>10665.9676408768</v>
      </c>
      <c r="G251" s="15" t="n">
        <f aca="false">F251*(1+IF(G$3&lt;=$O$2,$D251,$D251-($D251-$I$238)*MIN(G$3-$O$2,$Q$2)/$Q$2))</f>
        <v>10719.3495590013</v>
      </c>
      <c r="H251" s="15" t="n">
        <f aca="false">G251*(1+IF(H$3&lt;=$O$2,$D251,$D251-($D251-$I$238)*MIN(H$3-$O$2,$Q$2)/$Q$2))</f>
        <v>10772.9986473703</v>
      </c>
      <c r="I251" s="15" t="n">
        <f aca="false">H251*(1+IF(I$3&lt;=$O$2,$D251,$D251-($D251-$I$238)*MIN(I$3-$O$2,$Q$2)/$Q$2))</f>
        <v>10826.9162431396</v>
      </c>
      <c r="J251" s="15" t="n">
        <f aca="false">I251*(1+IF(J$3&lt;=$O$2,$D251,$D251-($D251-$I$238)*MIN(J$3-$O$2,$Q$2)/$Q$2))</f>
        <v>10931.5465466899</v>
      </c>
      <c r="K251" s="15" t="n">
        <f aca="false">J251*(1+IF(K$3&lt;=$O$2,$D251,$D251-($D251-$I$238)*MIN(K$3-$O$2,$Q$2)/$Q$2))</f>
        <v>11088.1183192538</v>
      </c>
      <c r="L251" s="15" t="n">
        <f aca="false">K251*(1+IF(L$3&lt;=$O$2,$D251,$D251-($D251-$I$238)*MIN(L$3-$O$2,$Q$2)/$Q$2))</f>
        <v>11298.5924614343</v>
      </c>
      <c r="M251" s="15" t="n">
        <f aca="false">L251*(1+IF(M$3&lt;=$O$2,$D251,$D251-($D251-$I$238)*MIN(M$3-$O$2,$Q$2)/$Q$2))</f>
        <v>11565.7022210043</v>
      </c>
      <c r="N251" s="15" t="n">
        <f aca="false">M251*(1+IF(N$3&lt;=$O$2,$D251,$D251-($D251-$I$238)*MIN(N$3-$O$2,$Q$2)/$Q$2))</f>
        <v>11893.0115938587</v>
      </c>
      <c r="O251" s="15" t="n">
        <f aca="false">SUMPRODUCT(E251:N251,1/(1+$F$238)^$E$3:$N$3)*$E$2</f>
        <v>37788.0567501718</v>
      </c>
      <c r="P251" s="15" t="n">
        <f aca="false">N251*$E$2*(1+$I$238)/($F$238-$I$238)/(1+$F$238)^$N$3</f>
        <v>69116.1500825926</v>
      </c>
      <c r="Q251" s="15" t="n">
        <f aca="false">O251+P251</f>
        <v>106904.206832764</v>
      </c>
      <c r="R251" s="15" t="n">
        <f aca="false">Q251-$G$2+$I$2</f>
        <v>87444.2068327644</v>
      </c>
      <c r="S251" s="40" t="n">
        <f aca="false">R251/$K$2</f>
        <v>155.763741485891</v>
      </c>
      <c r="T251" s="41" t="n">
        <f aca="false">S251-$M$2</f>
        <v>-0.0459451846944035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0.0050048828125</v>
      </c>
      <c r="C252" s="25" t="n">
        <f aca="false">IF(T251&gt;0,D251,C251)</f>
        <v>0.00537109375</v>
      </c>
      <c r="D252" s="39" t="n">
        <f aca="false">(B252+C252)/2</f>
        <v>0.00518798828125</v>
      </c>
      <c r="E252" s="15" t="n">
        <f aca="false">$C$2*(1+IF(E$3&lt;=$O$2,$D252,$D252-($D252-$I$238)*MIN(E$3-$O$2,$Q$2)/$Q$2))</f>
        <v>10614.78515625</v>
      </c>
      <c r="F252" s="15" t="n">
        <f aca="false">E252*(1+IF(F$3&lt;=$O$2,$D252,$D252-($D252-$I$238)*MIN(F$3-$O$2,$Q$2)/$Q$2))</f>
        <v>10669.8545372486</v>
      </c>
      <c r="G252" s="15" t="n">
        <f aca="false">F252*(1+IF(G$3&lt;=$O$2,$D252,$D252-($D252-$I$238)*MIN(G$3-$O$2,$Q$2)/$Q$2))</f>
        <v>10725.2096175505</v>
      </c>
      <c r="H252" s="15" t="n">
        <f aca="false">G252*(1+IF(H$3&lt;=$O$2,$D252,$D252-($D252-$I$238)*MIN(H$3-$O$2,$Q$2)/$Q$2))</f>
        <v>10780.8518793603</v>
      </c>
      <c r="I252" s="15" t="n">
        <f aca="false">H252*(1+IF(I$3&lt;=$O$2,$D252,$D252-($D252-$I$238)*MIN(I$3-$O$2,$Q$2)/$Q$2))</f>
        <v>10836.7828125723</v>
      </c>
      <c r="J252" s="15" t="n">
        <f aca="false">I252*(1+IF(J$3&lt;=$O$2,$D252,$D252-($D252-$I$238)*MIN(J$3-$O$2,$Q$2)/$Q$2))</f>
        <v>10943.0958850819</v>
      </c>
      <c r="K252" s="15" t="n">
        <f aca="false">J252*(1+IF(K$3&lt;=$O$2,$D252,$D252-($D252-$I$238)*MIN(K$3-$O$2,$Q$2)/$Q$2))</f>
        <v>11101.0353224285</v>
      </c>
      <c r="L252" s="15" t="n">
        <f aca="false">K252*(1+IF(L$3&lt;=$O$2,$D252,$D252-($D252-$I$238)*MIN(L$3-$O$2,$Q$2)/$Q$2))</f>
        <v>11312.5677186683</v>
      </c>
      <c r="M252" s="15" t="n">
        <f aca="false">L252*(1+IF(M$3&lt;=$O$2,$D252,$D252-($D252-$I$238)*MIN(M$3-$O$2,$Q$2)/$Q$2))</f>
        <v>11580.4221455701</v>
      </c>
      <c r="N252" s="15" t="n">
        <f aca="false">M252*(1+IF(N$3&lt;=$O$2,$D252,$D252-($D252-$I$238)*MIN(N$3-$O$2,$Q$2)/$Q$2))</f>
        <v>11908.1480922897</v>
      </c>
      <c r="O252" s="15" t="n">
        <f aca="false">SUMPRODUCT(E252:N252,1/(1+$F$238)^$E$3:$N$3)*$E$2</f>
        <v>37818.6843350147</v>
      </c>
      <c r="P252" s="15" t="n">
        <f aca="false">N252*$E$2*(1+$I$238)/($F$238-$I$238)/(1+$F$238)^$N$3</f>
        <v>69204.1157327579</v>
      </c>
      <c r="Q252" s="15" t="n">
        <f aca="false">O252+P252</f>
        <v>107022.800067773</v>
      </c>
      <c r="R252" s="15" t="n">
        <f aca="false">Q252-$G$2+$I$2</f>
        <v>87562.8000677727</v>
      </c>
      <c r="S252" s="40" t="n">
        <f aca="false">R252/$K$2</f>
        <v>155.974990768935</v>
      </c>
      <c r="T252" s="41" t="n">
        <f aca="false">S252-$M$2</f>
        <v>0.165304098349907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0.0050048828125</v>
      </c>
      <c r="C253" s="25" t="n">
        <f aca="false">IF(T252&gt;0,D252,C252)</f>
        <v>0.00518798828125</v>
      </c>
      <c r="D253" s="39" t="n">
        <f aca="false">(B253+C253)/2</f>
        <v>0.005096435546875</v>
      </c>
      <c r="E253" s="15" t="n">
        <f aca="false">$C$2*(1+IF(E$3&lt;=$O$2,$D253,$D253-($D253-$I$238)*MIN(E$3-$O$2,$Q$2)/$Q$2))</f>
        <v>10613.818359375</v>
      </c>
      <c r="F253" s="15" t="n">
        <f aca="false">E253*(1+IF(F$3&lt;=$O$2,$D253,$D253-($D253-$I$238)*MIN(F$3-$O$2,$Q$2)/$Q$2))</f>
        <v>10667.9110005498</v>
      </c>
      <c r="G253" s="15" t="n">
        <f aca="false">F253*(1+IF(G$3&lt;=$O$2,$D253,$D253-($D253-$I$238)*MIN(G$3-$O$2,$Q$2)/$Q$2))</f>
        <v>10722.2793213839</v>
      </c>
      <c r="H253" s="15" t="n">
        <f aca="false">G253*(1+IF(H$3&lt;=$O$2,$D253,$D253-($D253-$I$238)*MIN(H$3-$O$2,$Q$2)/$Q$2))</f>
        <v>10776.9247268609</v>
      </c>
      <c r="I253" s="15" t="n">
        <f aca="false">H253*(1+IF(I$3&lt;=$O$2,$D253,$D253-($D253-$I$238)*MIN(I$3-$O$2,$Q$2)/$Q$2))</f>
        <v>10831.8486291249</v>
      </c>
      <c r="J253" s="15" t="n">
        <f aca="false">I253*(1+IF(J$3&lt;=$O$2,$D253,$D253-($D253-$I$238)*MIN(J$3-$O$2,$Q$2)/$Q$2))</f>
        <v>10937.3199470792</v>
      </c>
      <c r="K253" s="15" t="n">
        <f aca="false">J253*(1+IF(K$3&lt;=$O$2,$D253,$D253-($D253-$I$238)*MIN(K$3-$O$2,$Q$2)/$Q$2))</f>
        <v>11094.5752165796</v>
      </c>
      <c r="L253" s="15" t="n">
        <f aca="false">K253*(1+IF(L$3&lt;=$O$2,$D253,$D253-($D253-$I$238)*MIN(L$3-$O$2,$Q$2)/$Q$2))</f>
        <v>11305.5782187617</v>
      </c>
      <c r="M253" s="15" t="n">
        <f aca="false">L253*(1+IF(M$3&lt;=$O$2,$D253,$D253-($D253-$I$238)*MIN(M$3-$O$2,$Q$2)/$Q$2))</f>
        <v>11573.0601397769</v>
      </c>
      <c r="N253" s="15" t="n">
        <f aca="false">M253*(1+IF(N$3&lt;=$O$2,$D253,$D253-($D253-$I$238)*MIN(N$3-$O$2,$Q$2)/$Q$2))</f>
        <v>11900.5777417325</v>
      </c>
      <c r="O253" s="15" t="n">
        <f aca="false">SUMPRODUCT(E253:N253,1/(1+$F$238)^$E$3:$N$3)*$E$2</f>
        <v>37803.3673874867</v>
      </c>
      <c r="P253" s="15" t="n">
        <f aca="false">N253*$E$2*(1+$I$238)/($F$238-$I$238)/(1+$F$238)^$N$3</f>
        <v>69160.1206957435</v>
      </c>
      <c r="Q253" s="15" t="n">
        <f aca="false">O253+P253</f>
        <v>106963.48808323</v>
      </c>
      <c r="R253" s="15" t="n">
        <f aca="false">Q253-$G$2+$I$2</f>
        <v>87503.4880832302</v>
      </c>
      <c r="S253" s="40" t="n">
        <f aca="false">R253/$K$2</f>
        <v>155.869338754218</v>
      </c>
      <c r="T253" s="41" t="n">
        <f aca="false">S253-$M$2</f>
        <v>0.0596520836320735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0.0050048828125</v>
      </c>
      <c r="C254" s="25" t="n">
        <f aca="false">IF(T253&gt;0,D253,C253)</f>
        <v>0.005096435546875</v>
      </c>
      <c r="D254" s="39" t="n">
        <f aca="false">(B254+C254)/2</f>
        <v>0.0050506591796875</v>
      </c>
      <c r="E254" s="15" t="n">
        <f aca="false">$C$2*(1+IF(E$3&lt;=$O$2,$D254,$D254-($D254-$I$238)*MIN(E$3-$O$2,$Q$2)/$Q$2))</f>
        <v>10613.3349609375</v>
      </c>
      <c r="F254" s="15" t="n">
        <f aca="false">E254*(1+IF(F$3&lt;=$O$2,$D254,$D254-($D254-$I$238)*MIN(F$3-$O$2,$Q$2)/$Q$2))</f>
        <v>10666.9392985851</v>
      </c>
      <c r="G254" s="15" t="n">
        <f aca="false">F254*(1+IF(G$3&lt;=$O$2,$D254,$D254-($D254-$I$238)*MIN(G$3-$O$2,$Q$2)/$Q$2))</f>
        <v>10720.8143734726</v>
      </c>
      <c r="H254" s="15" t="n">
        <f aca="false">G254*(1+IF(H$3&lt;=$O$2,$D254,$D254-($D254-$I$238)*MIN(H$3-$O$2,$Q$2)/$Q$2))</f>
        <v>10774.9615530017</v>
      </c>
      <c r="I254" s="15" t="n">
        <f aca="false">H254*(1+IF(I$3&lt;=$O$2,$D254,$D254-($D254-$I$238)*MIN(I$3-$O$2,$Q$2)/$Q$2))</f>
        <v>10829.3822114802</v>
      </c>
      <c r="J254" s="15" t="n">
        <f aca="false">I254*(1+IF(J$3&lt;=$O$2,$D254,$D254-($D254-$I$238)*MIN(J$3-$O$2,$Q$2)/$Q$2))</f>
        <v>10934.4329297386</v>
      </c>
      <c r="K254" s="15" t="n">
        <f aca="false">J254*(1+IF(K$3&lt;=$O$2,$D254,$D254-($D254-$I$238)*MIN(K$3-$O$2,$Q$2)/$Q$2))</f>
        <v>11091.346366934</v>
      </c>
      <c r="L254" s="15" t="n">
        <f aca="false">K254*(1+IF(L$3&lt;=$O$2,$D254,$D254-($D254-$I$238)*MIN(L$3-$O$2,$Q$2)/$Q$2))</f>
        <v>11302.0848723818</v>
      </c>
      <c r="M254" s="15" t="n">
        <f aca="false">L254*(1+IF(M$3&lt;=$O$2,$D254,$D254-($D254-$I$238)*MIN(M$3-$O$2,$Q$2)/$Q$2))</f>
        <v>11569.3806696346</v>
      </c>
      <c r="N254" s="15" t="n">
        <f aca="false">M254*(1+IF(N$3&lt;=$O$2,$D254,$D254-($D254-$I$238)*MIN(N$3-$O$2,$Q$2)/$Q$2))</f>
        <v>11896.7941425852</v>
      </c>
      <c r="O254" s="15" t="n">
        <f aca="false">SUMPRODUCT(E254:N254,1/(1+$F$238)^$E$3:$N$3)*$E$2</f>
        <v>37795.7112802057</v>
      </c>
      <c r="P254" s="15" t="n">
        <f aca="false">N254*$E$2*(1+$I$238)/($F$238-$I$238)/(1+$F$238)^$N$3</f>
        <v>69138.1323369116</v>
      </c>
      <c r="Q254" s="15" t="n">
        <f aca="false">O254+P254</f>
        <v>106933.843617117</v>
      </c>
      <c r="R254" s="15" t="n">
        <f aca="false">Q254-$G$2+$I$2</f>
        <v>87473.8436171174</v>
      </c>
      <c r="S254" s="40" t="n">
        <f aca="false">R254/$K$2</f>
        <v>155.816533278322</v>
      </c>
      <c r="T254" s="41" t="n">
        <f aca="false">S254-$M$2</f>
        <v>0.00684660773683277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0.0050048828125</v>
      </c>
      <c r="C255" s="25" t="n">
        <f aca="false">IF(T254&gt;0,D254,C254)</f>
        <v>0.0050506591796875</v>
      </c>
      <c r="D255" s="39" t="n">
        <f aca="false">(B255+C255)/2</f>
        <v>0.00502777099609375</v>
      </c>
      <c r="E255" s="15" t="n">
        <f aca="false">$C$2*(1+IF(E$3&lt;=$O$2,$D255,$D255-($D255-$I$238)*MIN(E$3-$O$2,$Q$2)/$Q$2))</f>
        <v>10613.0932617188</v>
      </c>
      <c r="F255" s="15" t="n">
        <f aca="false">E255*(1+IF(F$3&lt;=$O$2,$D255,$D255-($D255-$I$238)*MIN(F$3-$O$2,$Q$2)/$Q$2))</f>
        <v>10666.4534641989</v>
      </c>
      <c r="G255" s="15" t="n">
        <f aca="false">F255*(1+IF(G$3&lt;=$O$2,$D255,$D255-($D255-$I$238)*MIN(G$3-$O$2,$Q$2)/$Q$2))</f>
        <v>10720.0819495573</v>
      </c>
      <c r="H255" s="15" t="n">
        <f aca="false">G255*(1+IF(H$3&lt;=$O$2,$D255,$D255-($D255-$I$238)*MIN(H$3-$O$2,$Q$2)/$Q$2))</f>
        <v>10773.9800666591</v>
      </c>
      <c r="I255" s="15" t="n">
        <f aca="false">H255*(1+IF(I$3&lt;=$O$2,$D255,$D255-($D255-$I$238)*MIN(I$3-$O$2,$Q$2)/$Q$2))</f>
        <v>10828.1491711507</v>
      </c>
      <c r="J255" s="15" t="n">
        <f aca="false">I255*(1+IF(J$3&lt;=$O$2,$D255,$D255-($D255-$I$238)*MIN(J$3-$O$2,$Q$2)/$Q$2))</f>
        <v>10932.9896589347</v>
      </c>
      <c r="K255" s="15" t="n">
        <f aca="false">J255*(1+IF(K$3&lt;=$O$2,$D255,$D255-($D255-$I$238)*MIN(K$3-$O$2,$Q$2)/$Q$2))</f>
        <v>11089.7322428585</v>
      </c>
      <c r="L255" s="15" t="n">
        <f aca="false">K255*(1+IF(L$3&lt;=$O$2,$D255,$D255-($D255-$I$238)*MIN(L$3-$O$2,$Q$2)/$Q$2))</f>
        <v>11300.3385499923</v>
      </c>
      <c r="M255" s="15" t="n">
        <f aca="false">L255*(1+IF(M$3&lt;=$O$2,$D255,$D255-($D255-$I$238)*MIN(M$3-$O$2,$Q$2)/$Q$2))</f>
        <v>11567.5413176456</v>
      </c>
      <c r="N255" s="15" t="n">
        <f aca="false">M255*(1+IF(N$3&lt;=$O$2,$D255,$D255-($D255-$I$238)*MIN(N$3-$O$2,$Q$2)/$Q$2))</f>
        <v>11894.902736935</v>
      </c>
      <c r="O255" s="15" t="n">
        <f aca="false">SUMPRODUCT(E255:N255,1/(1+$F$238)^$E$3:$N$3)*$E$2</f>
        <v>37791.883818052</v>
      </c>
      <c r="P255" s="15" t="n">
        <f aca="false">N255*$E$2*(1+$I$238)/($F$238-$I$238)/(1+$F$238)^$N$3</f>
        <v>69127.1404467788</v>
      </c>
      <c r="Q255" s="15" t="n">
        <f aca="false">O255+P255</f>
        <v>106919.024264831</v>
      </c>
      <c r="R255" s="15" t="n">
        <f aca="false">Q255-$G$2+$I$2</f>
        <v>87459.0242648308</v>
      </c>
      <c r="S255" s="40" t="n">
        <f aca="false">R255/$K$2</f>
        <v>155.79013567187</v>
      </c>
      <c r="T255" s="41" t="n">
        <f aca="false">S255-$M$2</f>
        <v>-0.019550998715971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0.00502777099609375</v>
      </c>
      <c r="C256" s="25" t="n">
        <f aca="false">IF(T255&gt;0,D255,C255)</f>
        <v>0.0050506591796875</v>
      </c>
      <c r="D256" s="39" t="n">
        <f aca="false">(B256+C256)/2</f>
        <v>0.00503921508789063</v>
      </c>
      <c r="E256" s="15" t="n">
        <f aca="false">$C$2*(1+IF(E$3&lt;=$O$2,$D256,$D256-($D256-$I$238)*MIN(E$3-$O$2,$Q$2)/$Q$2))</f>
        <v>10613.2141113281</v>
      </c>
      <c r="F256" s="15" t="n">
        <f aca="false">E256*(1+IF(F$3&lt;=$O$2,$D256,$D256-($D256-$I$238)*MIN(F$3-$O$2,$Q$2)/$Q$2))</f>
        <v>10666.6963800089</v>
      </c>
      <c r="G256" s="15" t="n">
        <f aca="false">F256*(1+IF(G$3&lt;=$O$2,$D256,$D256-($D256-$I$238)*MIN(G$3-$O$2,$Q$2)/$Q$2))</f>
        <v>10720.448157345</v>
      </c>
      <c r="H256" s="15" t="n">
        <f aca="false">G256*(1+IF(H$3&lt;=$O$2,$D256,$D256-($D256-$I$238)*MIN(H$3-$O$2,$Q$2)/$Q$2))</f>
        <v>10774.4708014485</v>
      </c>
      <c r="I256" s="15" t="n">
        <f aca="false">H256*(1+IF(I$3&lt;=$O$2,$D256,$D256-($D256-$I$238)*MIN(I$3-$O$2,$Q$2)/$Q$2))</f>
        <v>10828.7656772752</v>
      </c>
      <c r="J256" s="15" t="n">
        <f aca="false">I256*(1+IF(J$3&lt;=$O$2,$D256,$D256-($D256-$I$238)*MIN(J$3-$O$2,$Q$2)/$Q$2))</f>
        <v>10933.7112745159</v>
      </c>
      <c r="K256" s="15" t="n">
        <f aca="false">J256*(1+IF(K$3&lt;=$O$2,$D256,$D256-($D256-$I$238)*MIN(K$3-$O$2,$Q$2)/$Q$2))</f>
        <v>11090.5392798361</v>
      </c>
      <c r="L256" s="15" t="n">
        <f aca="false">K256*(1+IF(L$3&lt;=$O$2,$D256,$D256-($D256-$I$238)*MIN(L$3-$O$2,$Q$2)/$Q$2))</f>
        <v>11301.2116819564</v>
      </c>
      <c r="M256" s="15" t="n">
        <f aca="false">L256*(1+IF(M$3&lt;=$O$2,$D256,$D256-($D256-$I$238)*MIN(M$3-$O$2,$Q$2)/$Q$2))</f>
        <v>11568.4609617198</v>
      </c>
      <c r="N256" s="15" t="n">
        <f aca="false">M256*(1+IF(N$3&lt;=$O$2,$D256,$D256-($D256-$I$238)*MIN(N$3-$O$2,$Q$2)/$Q$2))</f>
        <v>11895.8484069364</v>
      </c>
      <c r="O256" s="15" t="n">
        <f aca="false">SUMPRODUCT(E256:N256,1/(1+$F$238)^$E$3:$N$3)*$E$2</f>
        <v>37793.7974998423</v>
      </c>
      <c r="P256" s="15" t="n">
        <f aca="false">N256*$E$2*(1+$I$238)/($F$238-$I$238)/(1+$F$238)^$N$3</f>
        <v>69132.6362010905</v>
      </c>
      <c r="Q256" s="15" t="n">
        <f aca="false">O256+P256</f>
        <v>106926.433700933</v>
      </c>
      <c r="R256" s="15" t="n">
        <f aca="false">Q256-$G$2+$I$2</f>
        <v>87466.4337009328</v>
      </c>
      <c r="S256" s="40" t="n">
        <f aca="false">R256/$K$2</f>
        <v>155.803334047512</v>
      </c>
      <c r="T256" s="41" t="n">
        <f aca="false">S256-$M$2</f>
        <v>-0.00635262307335438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0.00503921508789063</v>
      </c>
      <c r="C257" s="25" t="n">
        <f aca="false">IF(T256&gt;0,D256,C256)</f>
        <v>0.0050506591796875</v>
      </c>
      <c r="D257" s="39" t="n">
        <f aca="false">(B257+C257)/2</f>
        <v>0.00504493713378906</v>
      </c>
      <c r="E257" s="15" t="n">
        <f aca="false">$C$2*(1+IF(E$3&lt;=$O$2,$D257,$D257-($D257-$I$238)*MIN(E$3-$O$2,$Q$2)/$Q$2))</f>
        <v>10613.2745361328</v>
      </c>
      <c r="F257" s="15" t="n">
        <f aca="false">E257*(1+IF(F$3&lt;=$O$2,$D257,$D257-($D257-$I$238)*MIN(F$3-$O$2,$Q$2)/$Q$2))</f>
        <v>10666.8178389512</v>
      </c>
      <c r="G257" s="15" t="n">
        <f aca="false">F257*(1+IF(G$3&lt;=$O$2,$D257,$D257-($D257-$I$238)*MIN(G$3-$O$2,$Q$2)/$Q$2))</f>
        <v>10720.6312643663</v>
      </c>
      <c r="H257" s="15" t="n">
        <f aca="false">G257*(1+IF(H$3&lt;=$O$2,$D257,$D257-($D257-$I$238)*MIN(H$3-$O$2,$Q$2)/$Q$2))</f>
        <v>10774.7161751296</v>
      </c>
      <c r="I257" s="15" t="n">
        <f aca="false">H257*(1+IF(I$3&lt;=$O$2,$D257,$D257-($D257-$I$238)*MIN(I$3-$O$2,$Q$2)/$Q$2))</f>
        <v>10829.0739408675</v>
      </c>
      <c r="J257" s="15" t="n">
        <f aca="false">I257*(1+IF(J$3&lt;=$O$2,$D257,$D257-($D257-$I$238)*MIN(J$3-$O$2,$Q$2)/$Q$2))</f>
        <v>10934.0720971719</v>
      </c>
      <c r="K257" s="15" t="n">
        <f aca="false">J257*(1+IF(K$3&lt;=$O$2,$D257,$D257-($D257-$I$238)*MIN(K$3-$O$2,$Q$2)/$Q$2))</f>
        <v>11090.9428171198</v>
      </c>
      <c r="L257" s="15" t="n">
        <f aca="false">K257*(1+IF(L$3&lt;=$O$2,$D257,$D257-($D257-$I$238)*MIN(L$3-$O$2,$Q$2)/$Q$2))</f>
        <v>11301.6482698613</v>
      </c>
      <c r="M257" s="15" t="n">
        <f aca="false">L257*(1+IF(M$3&lt;=$O$2,$D257,$D257-($D257-$I$238)*MIN(M$3-$O$2,$Q$2)/$Q$2))</f>
        <v>11568.9208076968</v>
      </c>
      <c r="N257" s="15" t="n">
        <f aca="false">M257*(1+IF(N$3&lt;=$O$2,$D257,$D257-($D257-$I$238)*MIN(N$3-$O$2,$Q$2)/$Q$2))</f>
        <v>11896.3212665547</v>
      </c>
      <c r="O257" s="15" t="n">
        <f aca="false">SUMPRODUCT(E257:N257,1/(1+$F$238)^$E$3:$N$3)*$E$2</f>
        <v>37794.7543777021</v>
      </c>
      <c r="P257" s="15" t="n">
        <f aca="false">N257*$E$2*(1+$I$238)/($F$238-$I$238)/(1+$F$238)^$N$3</f>
        <v>69135.384221311</v>
      </c>
      <c r="Q257" s="15" t="n">
        <f aca="false">O257+P257</f>
        <v>106930.138599013</v>
      </c>
      <c r="R257" s="15" t="n">
        <f aca="false">Q257-$G$2+$I$2</f>
        <v>87470.1385990131</v>
      </c>
      <c r="S257" s="40" t="n">
        <f aca="false">R257/$K$2</f>
        <v>155.809933556018</v>
      </c>
      <c r="T257" s="41" t="n">
        <f aca="false">S257-$M$2</f>
        <v>0.000246885432716226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0.00503921508789063</v>
      </c>
      <c r="C258" s="25" t="n">
        <f aca="false">IF(T257&gt;0,D257,C257)</f>
        <v>0.00504493713378906</v>
      </c>
      <c r="D258" s="39" t="n">
        <f aca="false">(B258+C258)/2</f>
        <v>0.00504207611083984</v>
      </c>
      <c r="E258" s="15" t="n">
        <f aca="false">$C$2*(1+IF(E$3&lt;=$O$2,$D258,$D258-($D258-$I$238)*MIN(E$3-$O$2,$Q$2)/$Q$2))</f>
        <v>10613.2443237305</v>
      </c>
      <c r="F258" s="15" t="n">
        <f aca="false">E258*(1+IF(F$3&lt;=$O$2,$D258,$D258-($D258-$I$238)*MIN(F$3-$O$2,$Q$2)/$Q$2))</f>
        <v>10666.7571093937</v>
      </c>
      <c r="G258" s="15" t="n">
        <f aca="false">F258*(1+IF(G$3&lt;=$O$2,$D258,$D258-($D258-$I$238)*MIN(G$3-$O$2,$Q$2)/$Q$2))</f>
        <v>10720.5397105951</v>
      </c>
      <c r="H258" s="15" t="n">
        <f aca="false">G258*(1+IF(H$3&lt;=$O$2,$D258,$D258-($D258-$I$238)*MIN(H$3-$O$2,$Q$2)/$Q$2))</f>
        <v>10774.5934877652</v>
      </c>
      <c r="I258" s="15" t="n">
        <f aca="false">H258*(1+IF(I$3&lt;=$O$2,$D258,$D258-($D258-$I$238)*MIN(I$3-$O$2,$Q$2)/$Q$2))</f>
        <v>10828.9198081938</v>
      </c>
      <c r="J258" s="15" t="n">
        <f aca="false">I258*(1+IF(J$3&lt;=$O$2,$D258,$D258-($D258-$I$238)*MIN(J$3-$O$2,$Q$2)/$Q$2))</f>
        <v>10933.8916846051</v>
      </c>
      <c r="K258" s="15" t="n">
        <f aca="false">J258*(1+IF(K$3&lt;=$O$2,$D258,$D258-($D258-$I$238)*MIN(K$3-$O$2,$Q$2)/$Q$2))</f>
        <v>11090.7410469117</v>
      </c>
      <c r="L258" s="15" t="n">
        <f aca="false">K258*(1+IF(L$3&lt;=$O$2,$D258,$D258-($D258-$I$238)*MIN(L$3-$O$2,$Q$2)/$Q$2))</f>
        <v>11301.4299740819</v>
      </c>
      <c r="M258" s="15" t="n">
        <f aca="false">L258*(1+IF(M$3&lt;=$O$2,$D258,$D258-($D258-$I$238)*MIN(M$3-$O$2,$Q$2)/$Q$2))</f>
        <v>11568.6908827133</v>
      </c>
      <c r="N258" s="15" t="n">
        <f aca="false">M258*(1+IF(N$3&lt;=$O$2,$D258,$D258-($D258-$I$238)*MIN(N$3-$O$2,$Q$2)/$Q$2))</f>
        <v>11896.084834694</v>
      </c>
      <c r="O258" s="15" t="n">
        <f aca="false">SUMPRODUCT(E258:N258,1/(1+$F$238)^$E$3:$N$3)*$E$2</f>
        <v>37794.2759356917</v>
      </c>
      <c r="P258" s="15" t="n">
        <f aca="false">N258*$E$2*(1+$I$238)/($F$238-$I$238)/(1+$F$238)^$N$3</f>
        <v>69134.0101992784</v>
      </c>
      <c r="Q258" s="15" t="n">
        <f aca="false">O258+P258</f>
        <v>106928.28613497</v>
      </c>
      <c r="R258" s="15" t="n">
        <f aca="false">Q258-$G$2+$I$2</f>
        <v>87468.2861349701</v>
      </c>
      <c r="S258" s="40" t="n">
        <f aca="false">R258/$K$2</f>
        <v>155.806633775041</v>
      </c>
      <c r="T258" s="41" t="n">
        <f aca="false">S258-$M$2</f>
        <v>-0.00305289554472665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0.00504207611083984</v>
      </c>
      <c r="C259" s="25" t="n">
        <f aca="false">IF(T258&gt;0,D258,C258)</f>
        <v>0.00504493713378906</v>
      </c>
      <c r="D259" s="39" t="n">
        <f aca="false">(B259+C259)/2</f>
        <v>0.00504350662231445</v>
      </c>
      <c r="E259" s="15" t="n">
        <f aca="false">$C$2*(1+IF(E$3&lt;=$O$2,$D259,$D259-($D259-$I$238)*MIN(E$3-$O$2,$Q$2)/$Q$2))</f>
        <v>10613.2594299316</v>
      </c>
      <c r="F259" s="15" t="n">
        <f aca="false">E259*(1+IF(F$3&lt;=$O$2,$D259,$D259-($D259-$I$238)*MIN(F$3-$O$2,$Q$2)/$Q$2))</f>
        <v>10666.7874741508</v>
      </c>
      <c r="G259" s="15" t="n">
        <f aca="false">F259*(1+IF(G$3&lt;=$O$2,$D259,$D259-($D259-$I$238)*MIN(G$3-$O$2,$Q$2)/$Q$2))</f>
        <v>10720.5854874155</v>
      </c>
      <c r="H259" s="15" t="n">
        <f aca="false">G259*(1+IF(H$3&lt;=$O$2,$D259,$D259-($D259-$I$238)*MIN(H$3-$O$2,$Q$2)/$Q$2))</f>
        <v>10774.6548313164</v>
      </c>
      <c r="I259" s="15" t="n">
        <f aca="false">H259*(1+IF(I$3&lt;=$O$2,$D259,$D259-($D259-$I$238)*MIN(I$3-$O$2,$Q$2)/$Q$2))</f>
        <v>10828.9968743113</v>
      </c>
      <c r="J259" s="15" t="n">
        <f aca="false">I259*(1+IF(J$3&lt;=$O$2,$D259,$D259-($D259-$I$238)*MIN(J$3-$O$2,$Q$2)/$Q$2))</f>
        <v>10933.9818905788</v>
      </c>
      <c r="K259" s="15" t="n">
        <f aca="false">J259*(1+IF(K$3&lt;=$O$2,$D259,$D259-($D259-$I$238)*MIN(K$3-$O$2,$Q$2)/$Q$2))</f>
        <v>11090.8419316242</v>
      </c>
      <c r="L259" s="15" t="n">
        <f aca="false">K259*(1+IF(L$3&lt;=$O$2,$D259,$D259-($D259-$I$238)*MIN(L$3-$O$2,$Q$2)/$Q$2))</f>
        <v>11301.5391215148</v>
      </c>
      <c r="M259" s="15" t="n">
        <f aca="false">L259*(1+IF(M$3&lt;=$O$2,$D259,$D259-($D259-$I$238)*MIN(M$3-$O$2,$Q$2)/$Q$2))</f>
        <v>11568.8058447063</v>
      </c>
      <c r="N259" s="15" t="n">
        <f aca="false">M259*(1+IF(N$3&lt;=$O$2,$D259,$D259-($D259-$I$238)*MIN(N$3-$O$2,$Q$2)/$Q$2))</f>
        <v>11896.2030501115</v>
      </c>
      <c r="O259" s="15" t="n">
        <f aca="false">SUMPRODUCT(E259:N259,1/(1+$F$238)^$E$3:$N$3)*$E$2</f>
        <v>37794.5151559268</v>
      </c>
      <c r="P259" s="15" t="n">
        <f aca="false">N259*$E$2*(1+$I$238)/($F$238-$I$238)/(1+$F$238)^$N$3</f>
        <v>69134.6972073141</v>
      </c>
      <c r="Q259" s="15" t="n">
        <f aca="false">O259+P259</f>
        <v>106929.212363241</v>
      </c>
      <c r="R259" s="15" t="n">
        <f aca="false">Q259-$G$2+$I$2</f>
        <v>87469.2123632409</v>
      </c>
      <c r="S259" s="40" t="n">
        <f aca="false">R259/$K$2</f>
        <v>155.808283658848</v>
      </c>
      <c r="T259" s="41" t="n">
        <f aca="false">S259-$M$2</f>
        <v>-0.00140301173712487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0.00504350662231445</v>
      </c>
      <c r="C260" s="25" t="n">
        <f aca="false">IF(T259&gt;0,D259,C259)</f>
        <v>0.00504493713378906</v>
      </c>
      <c r="D260" s="39" t="n">
        <f aca="false">(B260+C260)/2</f>
        <v>0.00504422187805176</v>
      </c>
      <c r="E260" s="15" t="n">
        <f aca="false">$C$2*(1+IF(E$3&lt;=$O$2,$D260,$D260-($D260-$I$238)*MIN(E$3-$O$2,$Q$2)/$Q$2))</f>
        <v>10613.2669830322</v>
      </c>
      <c r="F260" s="15" t="n">
        <f aca="false">E260*(1+IF(F$3&lt;=$O$2,$D260,$D260-($D260-$I$238)*MIN(F$3-$O$2,$Q$2)/$Q$2))</f>
        <v>10666.8026565456</v>
      </c>
      <c r="G260" s="15" t="n">
        <f aca="false">F260*(1+IF(G$3&lt;=$O$2,$D260,$D260-($D260-$I$238)*MIN(G$3-$O$2,$Q$2)/$Q$2))</f>
        <v>10720.6083758747</v>
      </c>
      <c r="H260" s="15" t="n">
        <f aca="false">G260*(1+IF(H$3&lt;=$O$2,$D260,$D260-($D260-$I$238)*MIN(H$3-$O$2,$Q$2)/$Q$2))</f>
        <v>10774.6855031903</v>
      </c>
      <c r="I260" s="15" t="n">
        <f aca="false">H260*(1+IF(I$3&lt;=$O$2,$D260,$D260-($D260-$I$238)*MIN(I$3-$O$2,$Q$2)/$Q$2))</f>
        <v>10829.0354075346</v>
      </c>
      <c r="J260" s="15" t="n">
        <f aca="false">I260*(1+IF(J$3&lt;=$O$2,$D260,$D260-($D260-$I$238)*MIN(J$3-$O$2,$Q$2)/$Q$2))</f>
        <v>10934.0269937979</v>
      </c>
      <c r="K260" s="15" t="n">
        <f aca="false">J260*(1+IF(K$3&lt;=$O$2,$D260,$D260-($D260-$I$238)*MIN(K$3-$O$2,$Q$2)/$Q$2))</f>
        <v>11090.8923742741</v>
      </c>
      <c r="L260" s="15" t="n">
        <f aca="false">K260*(1+IF(L$3&lt;=$O$2,$D260,$D260-($D260-$I$238)*MIN(L$3-$O$2,$Q$2)/$Q$2))</f>
        <v>11301.5936955739</v>
      </c>
      <c r="M260" s="15" t="n">
        <f aca="false">L260*(1+IF(M$3&lt;=$O$2,$D260,$D260-($D260-$I$238)*MIN(M$3-$O$2,$Q$2)/$Q$2))</f>
        <v>11568.8633260769</v>
      </c>
      <c r="N260" s="15" t="n">
        <f aca="false">M260*(1+IF(N$3&lt;=$O$2,$D260,$D260-($D260-$I$238)*MIN(N$3-$O$2,$Q$2)/$Q$2))</f>
        <v>11896.2621582048</v>
      </c>
      <c r="O260" s="15" t="n">
        <f aca="false">SUMPRODUCT(E260:N260,1/(1+$F$238)^$E$3:$N$3)*$E$2</f>
        <v>37794.6347666219</v>
      </c>
      <c r="P260" s="15" t="n">
        <f aca="false">N260*$E$2*(1+$I$238)/($F$238-$I$238)/(1+$F$238)^$N$3</f>
        <v>69135.0407135674</v>
      </c>
      <c r="Q260" s="15" t="n">
        <f aca="false">O260+P260</f>
        <v>106929.675480189</v>
      </c>
      <c r="R260" s="15" t="n">
        <f aca="false">Q260-$G$2+$I$2</f>
        <v>87469.6754801893</v>
      </c>
      <c r="S260" s="40" t="n">
        <f aca="false">R260/$K$2</f>
        <v>155.809108605763</v>
      </c>
      <c r="T260" s="41" t="n">
        <f aca="false">S260-$M$2</f>
        <v>-0.000578064822491342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0.00504422187805176</v>
      </c>
      <c r="C261" s="25" t="n">
        <f aca="false">IF(T260&gt;0,D260,C260)</f>
        <v>0.00504493713378906</v>
      </c>
      <c r="D261" s="39" t="n">
        <f aca="false">(B261+C261)/2</f>
        <v>0.00504457950592041</v>
      </c>
      <c r="E261" s="15" t="n">
        <f aca="false">$C$2*(1+IF(E$3&lt;=$O$2,$D261,$D261-($D261-$I$238)*MIN(E$3-$O$2,$Q$2)/$Q$2))</f>
        <v>10613.2707595825</v>
      </c>
      <c r="F261" s="15" t="n">
        <f aca="false">E261*(1+IF(F$3&lt;=$O$2,$D261,$D261-($D261-$I$238)*MIN(F$3-$O$2,$Q$2)/$Q$2))</f>
        <v>10666.8102477471</v>
      </c>
      <c r="G261" s="15" t="n">
        <f aca="false">F261*(1+IF(G$3&lt;=$O$2,$D261,$D261-($D261-$I$238)*MIN(G$3-$O$2,$Q$2)/$Q$2))</f>
        <v>10720.6198201164</v>
      </c>
      <c r="H261" s="15" t="n">
        <f aca="false">G261*(1+IF(H$3&lt;=$O$2,$D261,$D261-($D261-$I$238)*MIN(H$3-$O$2,$Q$2)/$Q$2))</f>
        <v>10774.7008391517</v>
      </c>
      <c r="I261" s="15" t="n">
        <f aca="false">H261*(1+IF(I$3&lt;=$O$2,$D261,$D261-($D261-$I$238)*MIN(I$3-$O$2,$Q$2)/$Q$2))</f>
        <v>10829.0546741874</v>
      </c>
      <c r="J261" s="15" t="n">
        <f aca="false">I261*(1+IF(J$3&lt;=$O$2,$D261,$D261-($D261-$I$238)*MIN(J$3-$O$2,$Q$2)/$Q$2))</f>
        <v>10934.0495454656</v>
      </c>
      <c r="K261" s="15" t="n">
        <f aca="false">J261*(1+IF(K$3&lt;=$O$2,$D261,$D261-($D261-$I$238)*MIN(K$3-$O$2,$Q$2)/$Q$2))</f>
        <v>11090.9175956725</v>
      </c>
      <c r="L261" s="15" t="n">
        <f aca="false">K261*(1+IF(L$3&lt;=$O$2,$D261,$D261-($D261-$I$238)*MIN(L$3-$O$2,$Q$2)/$Q$2))</f>
        <v>11301.620982689</v>
      </c>
      <c r="M261" s="15" t="n">
        <f aca="false">L261*(1+IF(M$3&lt;=$O$2,$D261,$D261-($D261-$I$238)*MIN(M$3-$O$2,$Q$2)/$Q$2))</f>
        <v>11568.8920668557</v>
      </c>
      <c r="N261" s="15" t="n">
        <f aca="false">M261*(1+IF(N$3&lt;=$O$2,$D261,$D261-($D261-$I$238)*MIN(N$3-$O$2,$Q$2)/$Q$2))</f>
        <v>11896.2917123477</v>
      </c>
      <c r="O261" s="15" t="n">
        <f aca="false">SUMPRODUCT(E261:N261,1/(1+$F$238)^$E$3:$N$3)*$E$2</f>
        <v>37794.6945721139</v>
      </c>
      <c r="P261" s="15" t="n">
        <f aca="false">N261*$E$2*(1+$I$238)/($F$238-$I$238)/(1+$F$238)^$N$3</f>
        <v>69135.2124672529</v>
      </c>
      <c r="Q261" s="15" t="n">
        <f aca="false">O261+P261</f>
        <v>106929.907039367</v>
      </c>
      <c r="R261" s="15" t="n">
        <f aca="false">Q261-$G$2+$I$2</f>
        <v>87469.9070393667</v>
      </c>
      <c r="S261" s="40" t="n">
        <f aca="false">R261/$K$2</f>
        <v>155.809521080473</v>
      </c>
      <c r="T261" s="41" t="n">
        <f aca="false">S261-$M$2</f>
        <v>-0.000165590112516156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0.00504457950592041</v>
      </c>
      <c r="C262" s="25" t="n">
        <f aca="false">IF(T261&gt;0,D261,C261)</f>
        <v>0.00504493713378906</v>
      </c>
      <c r="D262" s="39" t="n">
        <f aca="false">(B262+C262)/2</f>
        <v>0.00504475831985474</v>
      </c>
      <c r="E262" s="15" t="n">
        <f aca="false">$C$2*(1+IF(E$3&lt;=$O$2,$D262,$D262-($D262-$I$238)*MIN(E$3-$O$2,$Q$2)/$Q$2))</f>
        <v>10613.2726478577</v>
      </c>
      <c r="F262" s="15" t="n">
        <f aca="false">E262*(1+IF(F$3&lt;=$O$2,$D262,$D262-($D262-$I$238)*MIN(F$3-$O$2,$Q$2)/$Q$2))</f>
        <v>10666.8140433488</v>
      </c>
      <c r="G262" s="15" t="n">
        <f aca="false">F262*(1+IF(G$3&lt;=$O$2,$D262,$D262-($D262-$I$238)*MIN(G$3-$O$2,$Q$2)/$Q$2))</f>
        <v>10720.6255422404</v>
      </c>
      <c r="H262" s="15" t="n">
        <f aca="false">G262*(1+IF(H$3&lt;=$O$2,$D262,$D262-($D262-$I$238)*MIN(H$3-$O$2,$Q$2)/$Q$2))</f>
        <v>10774.7085071386</v>
      </c>
      <c r="I262" s="15" t="n">
        <f aca="false">H262*(1+IF(I$3&lt;=$O$2,$D262,$D262-($D262-$I$238)*MIN(I$3-$O$2,$Q$2)/$Q$2))</f>
        <v>10829.064307524</v>
      </c>
      <c r="J262" s="15" t="n">
        <f aca="false">I262*(1+IF(J$3&lt;=$O$2,$D262,$D262-($D262-$I$238)*MIN(J$3-$O$2,$Q$2)/$Q$2))</f>
        <v>10934.0608213139</v>
      </c>
      <c r="K262" s="15" t="n">
        <f aca="false">J262*(1+IF(K$3&lt;=$O$2,$D262,$D262-($D262-$I$238)*MIN(K$3-$O$2,$Q$2)/$Q$2))</f>
        <v>11090.9302063901</v>
      </c>
      <c r="L262" s="15" t="n">
        <f aca="false">K262*(1+IF(L$3&lt;=$O$2,$D262,$D262-($D262-$I$238)*MIN(L$3-$O$2,$Q$2)/$Q$2))</f>
        <v>11301.634626268</v>
      </c>
      <c r="M262" s="15" t="n">
        <f aca="false">L262*(1+IF(M$3&lt;=$O$2,$D262,$D262-($D262-$I$238)*MIN(M$3-$O$2,$Q$2)/$Q$2))</f>
        <v>11568.9064372685</v>
      </c>
      <c r="N262" s="15" t="n">
        <f aca="false">M262*(1+IF(N$3&lt;=$O$2,$D262,$D262-($D262-$I$238)*MIN(N$3-$O$2,$Q$2)/$Q$2))</f>
        <v>11896.3064894432</v>
      </c>
      <c r="O262" s="15" t="n">
        <f aca="false">SUMPRODUCT(E262:N262,1/(1+$F$238)^$E$3:$N$3)*$E$2</f>
        <v>37794.7244748959</v>
      </c>
      <c r="P262" s="15" t="n">
        <f aca="false">N262*$E$2*(1+$I$238)/($F$238-$I$238)/(1+$F$238)^$N$3</f>
        <v>69135.2983442354</v>
      </c>
      <c r="Q262" s="15" t="n">
        <f aca="false">O262+P262</f>
        <v>106930.022819131</v>
      </c>
      <c r="R262" s="15" t="n">
        <f aca="false">Q262-$G$2+$I$2</f>
        <v>87470.0228191313</v>
      </c>
      <c r="S262" s="40" t="n">
        <f aca="false">R262/$K$2</f>
        <v>155.809727318141</v>
      </c>
      <c r="T262" s="41" t="n">
        <f aca="false">S262-$M$2</f>
        <v>4.06475557497288E-005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0.00504457950592041</v>
      </c>
      <c r="C263" s="25" t="n">
        <f aca="false">IF(T262&gt;0,D262,C262)</f>
        <v>0.00504475831985474</v>
      </c>
      <c r="D263" s="39" t="n">
        <f aca="false">(B263+C263)/2</f>
        <v>0.00504466891288757</v>
      </c>
      <c r="E263" s="15" t="n">
        <f aca="false">$C$2*(1+IF(E$3&lt;=$O$2,$D263,$D263-($D263-$I$238)*MIN(E$3-$O$2,$Q$2)/$Q$2))</f>
        <v>10613.2717037201</v>
      </c>
      <c r="F263" s="15" t="n">
        <f aca="false">E263*(1+IF(F$3&lt;=$O$2,$D263,$D263-($D263-$I$238)*MIN(F$3-$O$2,$Q$2)/$Q$2))</f>
        <v>10666.8121455479</v>
      </c>
      <c r="G263" s="15" t="n">
        <f aca="false">F263*(1+IF(G$3&lt;=$O$2,$D263,$D263-($D263-$I$238)*MIN(G$3-$O$2,$Q$2)/$Q$2))</f>
        <v>10720.6226811781</v>
      </c>
      <c r="H263" s="15" t="n">
        <f aca="false">G263*(1+IF(H$3&lt;=$O$2,$D263,$D263-($D263-$I$238)*MIN(H$3-$O$2,$Q$2)/$Q$2))</f>
        <v>10774.7046731447</v>
      </c>
      <c r="I263" s="15" t="n">
        <f aca="false">H263*(1+IF(I$3&lt;=$O$2,$D263,$D263-($D263-$I$238)*MIN(I$3-$O$2,$Q$2)/$Q$2))</f>
        <v>10829.0594908548</v>
      </c>
      <c r="J263" s="15" t="n">
        <f aca="false">I263*(1+IF(J$3&lt;=$O$2,$D263,$D263-($D263-$I$238)*MIN(J$3-$O$2,$Q$2)/$Q$2))</f>
        <v>10934.0551833885</v>
      </c>
      <c r="K263" s="15" t="n">
        <f aca="false">J263*(1+IF(K$3&lt;=$O$2,$D263,$D263-($D263-$I$238)*MIN(K$3-$O$2,$Q$2)/$Q$2))</f>
        <v>11090.9239010297</v>
      </c>
      <c r="L263" s="15" t="n">
        <f aca="false">K263*(1+IF(L$3&lt;=$O$2,$D263,$D263-($D263-$I$238)*MIN(L$3-$O$2,$Q$2)/$Q$2))</f>
        <v>11301.6278044767</v>
      </c>
      <c r="M263" s="15" t="n">
        <f aca="false">L263*(1+IF(M$3&lt;=$O$2,$D263,$D263-($D263-$I$238)*MIN(M$3-$O$2,$Q$2)/$Q$2))</f>
        <v>11568.8992520601</v>
      </c>
      <c r="N263" s="15" t="n">
        <f aca="false">M263*(1+IF(N$3&lt;=$O$2,$D263,$D263-($D263-$I$238)*MIN(N$3-$O$2,$Q$2)/$Q$2))</f>
        <v>11896.2991008934</v>
      </c>
      <c r="O263" s="15" t="n">
        <f aca="false">SUMPRODUCT(E263:N263,1/(1+$F$238)^$E$3:$N$3)*$E$2</f>
        <v>37794.7095235019</v>
      </c>
      <c r="P263" s="15" t="n">
        <f aca="false">N263*$E$2*(1+$I$238)/($F$238-$I$238)/(1+$F$238)^$N$3</f>
        <v>69135.2554057325</v>
      </c>
      <c r="Q263" s="15" t="n">
        <f aca="false">O263+P263</f>
        <v>106929.964929234</v>
      </c>
      <c r="R263" s="15" t="n">
        <f aca="false">Q263-$G$2+$I$2</f>
        <v>87469.9649292344</v>
      </c>
      <c r="S263" s="40" t="n">
        <f aca="false">R263/$K$2</f>
        <v>155.809624199281</v>
      </c>
      <c r="T263" s="41" t="n">
        <f aca="false">S263-$M$2</f>
        <v>-6.24713044601322E-005</v>
      </c>
    </row>
    <row r="265" customFormat="false" ht="15" hidden="false" customHeight="false" outlineLevel="0" collapsed="false">
      <c r="A265" s="36" t="s">
        <v>195</v>
      </c>
      <c r="E265" s="5" t="s">
        <v>11</v>
      </c>
      <c r="F265" s="12" t="n">
        <f aca="false">Sensitivity!$B$11</f>
        <v>0.0720172026214128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6" t="s">
        <v>167</v>
      </c>
      <c r="B266" s="28" t="s">
        <v>168</v>
      </c>
      <c r="C266" s="28" t="s">
        <v>169</v>
      </c>
      <c r="D266" s="28" t="s">
        <v>170</v>
      </c>
      <c r="E266" s="28" t="s">
        <v>171</v>
      </c>
      <c r="F266" s="28" t="s">
        <v>172</v>
      </c>
      <c r="G266" s="28" t="s">
        <v>173</v>
      </c>
      <c r="H266" s="28" t="s">
        <v>174</v>
      </c>
      <c r="I266" s="28" t="s">
        <v>175</v>
      </c>
      <c r="J266" s="28" t="s">
        <v>176</v>
      </c>
      <c r="K266" s="28" t="s">
        <v>177</v>
      </c>
      <c r="L266" s="28" t="s">
        <v>178</v>
      </c>
      <c r="M266" s="28" t="s">
        <v>179</v>
      </c>
      <c r="N266" s="28" t="s">
        <v>180</v>
      </c>
      <c r="O266" s="28" t="s">
        <v>181</v>
      </c>
      <c r="P266" s="28" t="s">
        <v>182</v>
      </c>
      <c r="Q266" s="28" t="s">
        <v>183</v>
      </c>
      <c r="R266" s="28" t="s">
        <v>184</v>
      </c>
      <c r="S266" s="28" t="s">
        <v>185</v>
      </c>
      <c r="T266" s="28" t="s">
        <v>186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39" t="n">
        <f aca="false">(B267+C267)/2</f>
        <v>0.25</v>
      </c>
      <c r="E267" s="15" t="n">
        <f aca="false">$C$2*(1+IF(E$3&lt;=$O$2,$D267,$D267-($D267-$I$265)*MIN(E$3-$O$2,$Q$2)/$Q$2))</f>
        <v>13200</v>
      </c>
      <c r="F267" s="15" t="n">
        <f aca="false">E267*(1+IF(F$3&lt;=$O$2,$D267,$D267-($D267-$I$265)*MIN(F$3-$O$2,$Q$2)/$Q$2))</f>
        <v>16500</v>
      </c>
      <c r="G267" s="15" t="n">
        <f aca="false">F267*(1+IF(G$3&lt;=$O$2,$D267,$D267-($D267-$I$265)*MIN(G$3-$O$2,$Q$2)/$Q$2))</f>
        <v>20625</v>
      </c>
      <c r="H267" s="15" t="n">
        <f aca="false">G267*(1+IF(H$3&lt;=$O$2,$D267,$D267-($D267-$I$265)*MIN(H$3-$O$2,$Q$2)/$Q$2))</f>
        <v>25781.25</v>
      </c>
      <c r="I267" s="15" t="n">
        <f aca="false">H267*(1+IF(I$3&lt;=$O$2,$D267,$D267-($D267-$I$265)*MIN(I$3-$O$2,$Q$2)/$Q$2))</f>
        <v>32226.5625</v>
      </c>
      <c r="J267" s="15" t="n">
        <f aca="false">I267*(1+IF(J$3&lt;=$O$2,$D267,$D267-($D267-$I$265)*MIN(J$3-$O$2,$Q$2)/$Q$2))</f>
        <v>38886.50390625</v>
      </c>
      <c r="K267" s="15" t="n">
        <f aca="false">J267*(1+IF(K$3&lt;=$O$2,$D267,$D267-($D267-$I$265)*MIN(K$3-$O$2,$Q$2)/$Q$2))</f>
        <v>45237.4477242188</v>
      </c>
      <c r="L267" s="15" t="n">
        <f aca="false">K267*(1+IF(L$3&lt;=$O$2,$D267,$D267-($D267-$I$265)*MIN(L$3-$O$2,$Q$2)/$Q$2))</f>
        <v>50665.0367021705</v>
      </c>
      <c r="M267" s="15" t="n">
        <f aca="false">L267*(1+IF(M$3&lt;=$O$2,$D267,$D267-($D267-$I$265)*MIN(M$3-$O$2,$Q$2)/$Q$2))</f>
        <v>54548.0051150249</v>
      </c>
      <c r="N267" s="15" t="n">
        <f aca="false">M267*(1+IF(N$3&lt;=$O$2,$D267,$D267-($D267-$I$265)*MIN(N$3-$O$2,$Q$2)/$Q$2))</f>
        <v>56364.4536853552</v>
      </c>
      <c r="O267" s="15" t="n">
        <f aca="false">SUMPRODUCT(E267:N267,1/(1+$F$265)^$E$3:$N$3)*$E$2</f>
        <v>111659.647502462</v>
      </c>
      <c r="P267" s="15" t="n">
        <f aca="false">N267*$E$2*(1+$I$265)/($F$265-$I$265)/(1+$F$265)^$N$3</f>
        <v>371661.850988282</v>
      </c>
      <c r="Q267" s="15" t="n">
        <f aca="false">O267+P267</f>
        <v>483321.498490744</v>
      </c>
      <c r="R267" s="15" t="n">
        <f aca="false">Q267-$G$2+$I$2</f>
        <v>463861.498490744</v>
      </c>
      <c r="S267" s="40" t="n">
        <f aca="false">R267/$K$2</f>
        <v>826.273176384945</v>
      </c>
      <c r="T267" s="41" t="n">
        <f aca="false">S267-$M$2</f>
        <v>670.463489714359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39" t="n">
        <f aca="false">(B268+C268)/2</f>
        <v>-0.125</v>
      </c>
      <c r="E268" s="15" t="n">
        <f aca="false">$C$2*(1+IF(E$3&lt;=$O$2,$D268,$D268-($D268-$I$265)*MIN(E$3-$O$2,$Q$2)/$Q$2))</f>
        <v>9240</v>
      </c>
      <c r="F268" s="15" t="n">
        <f aca="false">E268*(1+IF(F$3&lt;=$O$2,$D268,$D268-($D268-$I$265)*MIN(F$3-$O$2,$Q$2)/$Q$2))</f>
        <v>8085</v>
      </c>
      <c r="G268" s="15" t="n">
        <f aca="false">F268*(1+IF(G$3&lt;=$O$2,$D268,$D268-($D268-$I$265)*MIN(G$3-$O$2,$Q$2)/$Q$2))</f>
        <v>7074.375</v>
      </c>
      <c r="H268" s="15" t="n">
        <f aca="false">G268*(1+IF(H$3&lt;=$O$2,$D268,$D268-($D268-$I$265)*MIN(H$3-$O$2,$Q$2)/$Q$2))</f>
        <v>6190.078125</v>
      </c>
      <c r="I268" s="15" t="n">
        <f aca="false">H268*(1+IF(I$3&lt;=$O$2,$D268,$D268-($D268-$I$265)*MIN(I$3-$O$2,$Q$2)/$Q$2))</f>
        <v>5416.318359375</v>
      </c>
      <c r="J268" s="15" t="n">
        <f aca="false">I268*(1+IF(J$3&lt;=$O$2,$D268,$D268-($D268-$I$265)*MIN(J$3-$O$2,$Q$2)/$Q$2))</f>
        <v>4910.75920371094</v>
      </c>
      <c r="K268" s="15" t="n">
        <f aca="false">J268*(1+IF(K$3&lt;=$O$2,$D268,$D268-($D268-$I$265)*MIN(K$3-$O$2,$Q$2)/$Q$2))</f>
        <v>4607.86357602605</v>
      </c>
      <c r="L268" s="15" t="n">
        <f aca="false">K268*(1+IF(L$3&lt;=$O$2,$D268,$D268-($D268-$I$265)*MIN(L$3-$O$2,$Q$2)/$Q$2))</f>
        <v>4469.53551147375</v>
      </c>
      <c r="M268" s="15" t="n">
        <f aca="false">L268*(1+IF(M$3&lt;=$O$2,$D268,$D268-($D268-$I$265)*MIN(M$3-$O$2,$Q$2)/$Q$2))</f>
        <v>4476.86554971256</v>
      </c>
      <c r="N268" s="15" t="n">
        <f aca="false">M268*(1+IF(N$3&lt;=$O$2,$D268,$D268-($D268-$I$265)*MIN(N$3-$O$2,$Q$2)/$Q$2))</f>
        <v>4625.94517251799</v>
      </c>
      <c r="O268" s="15" t="n">
        <f aca="false">SUMPRODUCT(E268:N268,1/(1+$F$265)^$E$3:$N$3)*$E$2</f>
        <v>21415.7495692373</v>
      </c>
      <c r="P268" s="15" t="n">
        <f aca="false">N268*$E$2*(1+$I$265)/($F$265-$I$265)/(1+$F$265)^$N$3</f>
        <v>30503.0428394812</v>
      </c>
      <c r="Q268" s="15" t="n">
        <f aca="false">O268+P268</f>
        <v>51918.7924087185</v>
      </c>
      <c r="R268" s="15" t="n">
        <f aca="false">Q268-$G$2+$I$2</f>
        <v>32458.7924087185</v>
      </c>
      <c r="S268" s="40" t="n">
        <f aca="false">R268/$K$2</f>
        <v>57.8186152384589</v>
      </c>
      <c r="T268" s="41" t="n">
        <f aca="false">S268-$M$2</f>
        <v>-97.9910714321266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39" t="n">
        <f aca="false">(B269+C269)/2</f>
        <v>0.0625</v>
      </c>
      <c r="E269" s="15" t="n">
        <f aca="false">$C$2*(1+IF(E$3&lt;=$O$2,$D269,$D269-($D269-$I$265)*MIN(E$3-$O$2,$Q$2)/$Q$2))</f>
        <v>11220</v>
      </c>
      <c r="F269" s="15" t="n">
        <f aca="false">E269*(1+IF(F$3&lt;=$O$2,$D269,$D269-($D269-$I$265)*MIN(F$3-$O$2,$Q$2)/$Q$2))</f>
        <v>11921.25</v>
      </c>
      <c r="G269" s="15" t="n">
        <f aca="false">F269*(1+IF(G$3&lt;=$O$2,$D269,$D269-($D269-$I$265)*MIN(G$3-$O$2,$Q$2)/$Q$2))</f>
        <v>12666.328125</v>
      </c>
      <c r="H269" s="15" t="n">
        <f aca="false">G269*(1+IF(H$3&lt;=$O$2,$D269,$D269-($D269-$I$265)*MIN(H$3-$O$2,$Q$2)/$Q$2))</f>
        <v>13457.9736328125</v>
      </c>
      <c r="I269" s="15" t="n">
        <f aca="false">H269*(1+IF(I$3&lt;=$O$2,$D269,$D269-($D269-$I$265)*MIN(I$3-$O$2,$Q$2)/$Q$2))</f>
        <v>14299.0969848633</v>
      </c>
      <c r="J269" s="15" t="n">
        <f aca="false">I269*(1+IF(J$3&lt;=$O$2,$D269,$D269-($D269-$I$265)*MIN(J$3-$O$2,$Q$2)/$Q$2))</f>
        <v>15109.2838200256</v>
      </c>
      <c r="K269" s="15" t="n">
        <f aca="false">J269*(1+IF(K$3&lt;=$O$2,$D269,$D269-($D269-$I$265)*MIN(K$3-$O$2,$Q$2)/$Q$2))</f>
        <v>15877.1376237593</v>
      </c>
      <c r="L269" s="15" t="n">
        <f aca="false">K269*(1+IF(L$3&lt;=$O$2,$D269,$D269-($D269-$I$265)*MIN(L$3-$O$2,$Q$2)/$Q$2))</f>
        <v>16591.291274076</v>
      </c>
      <c r="M269" s="15" t="n">
        <f aca="false">L269*(1+IF(M$3&lt;=$O$2,$D269,$D269-($D269-$I$265)*MIN(M$3-$O$2,$Q$2)/$Q$2))</f>
        <v>17240.6744145434</v>
      </c>
      <c r="N269" s="15" t="n">
        <f aca="false">M269*(1+IF(N$3&lt;=$O$2,$D269,$D269-($D269-$I$265)*MIN(N$3-$O$2,$Q$2)/$Q$2))</f>
        <v>17814.7888725477</v>
      </c>
      <c r="O269" s="15" t="n">
        <f aca="false">SUMPRODUCT(E269:N269,1/(1+$F$265)^$E$3:$N$3)*$E$2</f>
        <v>48903.6111521235</v>
      </c>
      <c r="P269" s="15" t="n">
        <f aca="false">N269*$E$2*(1+$I$265)/($F$265-$I$265)/(1+$F$265)^$N$3</f>
        <v>117469.024791716</v>
      </c>
      <c r="Q269" s="15" t="n">
        <f aca="false">O269+P269</f>
        <v>166372.635943839</v>
      </c>
      <c r="R269" s="15" t="n">
        <f aca="false">Q269-$G$2+$I$2</f>
        <v>146912.635943839</v>
      </c>
      <c r="S269" s="40" t="n">
        <f aca="false">R269/$K$2</f>
        <v>261.694429797181</v>
      </c>
      <c r="T269" s="41" t="n">
        <f aca="false">S269-$M$2</f>
        <v>105.884743126595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39" t="n">
        <f aca="false">(B270+C270)/2</f>
        <v>-0.03125</v>
      </c>
      <c r="E270" s="15" t="n">
        <f aca="false">$C$2*(1+IF(E$3&lt;=$O$2,$D270,$D270-($D270-$I$265)*MIN(E$3-$O$2,$Q$2)/$Q$2))</f>
        <v>10230</v>
      </c>
      <c r="F270" s="15" t="n">
        <f aca="false">E270*(1+IF(F$3&lt;=$O$2,$D270,$D270-($D270-$I$265)*MIN(F$3-$O$2,$Q$2)/$Q$2))</f>
        <v>9910.3125</v>
      </c>
      <c r="G270" s="15" t="n">
        <f aca="false">F270*(1+IF(G$3&lt;=$O$2,$D270,$D270-($D270-$I$265)*MIN(G$3-$O$2,$Q$2)/$Q$2))</f>
        <v>9600.615234375</v>
      </c>
      <c r="H270" s="15" t="n">
        <f aca="false">G270*(1+IF(H$3&lt;=$O$2,$D270,$D270-($D270-$I$265)*MIN(H$3-$O$2,$Q$2)/$Q$2))</f>
        <v>9300.59600830078</v>
      </c>
      <c r="I270" s="15" t="n">
        <f aca="false">H270*(1+IF(I$3&lt;=$O$2,$D270,$D270-($D270-$I$265)*MIN(I$3-$O$2,$Q$2)/$Q$2))</f>
        <v>9009.95238304138</v>
      </c>
      <c r="J270" s="15" t="n">
        <f aca="false">I270*(1+IF(J$3&lt;=$O$2,$D270,$D270-($D270-$I$265)*MIN(J$3-$O$2,$Q$2)/$Q$2))</f>
        <v>8844.7098563364</v>
      </c>
      <c r="K270" s="15" t="n">
        <f aca="false">J270*(1+IF(K$3&lt;=$O$2,$D270,$D270-($D270-$I$265)*MIN(K$3-$O$2,$Q$2)/$Q$2))</f>
        <v>8796.6830818165</v>
      </c>
      <c r="L270" s="15" t="n">
        <f aca="false">K270*(1+IF(L$3&lt;=$O$2,$D270,$D270-($D270-$I$265)*MIN(L$3-$O$2,$Q$2)/$Q$2))</f>
        <v>8862.48227126848</v>
      </c>
      <c r="M270" s="15" t="n">
        <f aca="false">L270*(1+IF(M$3&lt;=$O$2,$D270,$D270-($D270-$I$265)*MIN(M$3-$O$2,$Q$2)/$Q$2))</f>
        <v>9043.18828477965</v>
      </c>
      <c r="N270" s="15" t="n">
        <f aca="false">M270*(1+IF(N$3&lt;=$O$2,$D270,$D270-($D270-$I$265)*MIN(N$3-$O$2,$Q$2)/$Q$2))</f>
        <v>9344.32645466281</v>
      </c>
      <c r="O270" s="15" t="n">
        <f aca="false">SUMPRODUCT(E270:N270,1/(1+$F$265)^$E$3:$N$3)*$E$2</f>
        <v>32280.0879341781</v>
      </c>
      <c r="P270" s="15" t="n">
        <f aca="false">N270*$E$2*(1+$I$265)/($F$265-$I$265)/(1+$F$265)^$N$3</f>
        <v>61615.600601148</v>
      </c>
      <c r="Q270" s="15" t="n">
        <f aca="false">O270+P270</f>
        <v>93895.6885353261</v>
      </c>
      <c r="R270" s="15" t="n">
        <f aca="false">Q270-$G$2+$I$2</f>
        <v>74435.6885353261</v>
      </c>
      <c r="S270" s="40" t="n">
        <f aca="false">R270/$K$2</f>
        <v>132.591760692791</v>
      </c>
      <c r="T270" s="41" t="n">
        <f aca="false">S270-$M$2</f>
        <v>-23.2179259777943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39" t="n">
        <f aca="false">(B271+C271)/2</f>
        <v>0.015625</v>
      </c>
      <c r="E271" s="15" t="n">
        <f aca="false">$C$2*(1+IF(E$3&lt;=$O$2,$D271,$D271-($D271-$I$265)*MIN(E$3-$O$2,$Q$2)/$Q$2))</f>
        <v>10725</v>
      </c>
      <c r="F271" s="15" t="n">
        <f aca="false">E271*(1+IF(F$3&lt;=$O$2,$D271,$D271-($D271-$I$265)*MIN(F$3-$O$2,$Q$2)/$Q$2))</f>
        <v>10892.578125</v>
      </c>
      <c r="G271" s="15" t="n">
        <f aca="false">F271*(1+IF(G$3&lt;=$O$2,$D271,$D271-($D271-$I$265)*MIN(G$3-$O$2,$Q$2)/$Q$2))</f>
        <v>11062.7746582031</v>
      </c>
      <c r="H271" s="15" t="n">
        <f aca="false">G271*(1+IF(H$3&lt;=$O$2,$D271,$D271-($D271-$I$265)*MIN(H$3-$O$2,$Q$2)/$Q$2))</f>
        <v>11235.6305122375</v>
      </c>
      <c r="I271" s="15" t="n">
        <f aca="false">H271*(1+IF(I$3&lt;=$O$2,$D271,$D271-($D271-$I$265)*MIN(I$3-$O$2,$Q$2)/$Q$2))</f>
        <v>11411.1872389913</v>
      </c>
      <c r="J271" s="15" t="n">
        <f aca="false">I271*(1+IF(J$3&lt;=$O$2,$D271,$D271-($D271-$I$265)*MIN(J$3-$O$2,$Q$2)/$Q$2))</f>
        <v>11629.8255864903</v>
      </c>
      <c r="K271" s="15" t="n">
        <f aca="false">J271*(1+IF(K$3&lt;=$O$2,$D271,$D271-($D271-$I$265)*MIN(K$3-$O$2,$Q$2)/$Q$2))</f>
        <v>11893.7644781757</v>
      </c>
      <c r="L271" s="15" t="n">
        <f aca="false">K271*(1+IF(L$3&lt;=$O$2,$D271,$D271-($D271-$I$265)*MIN(L$3-$O$2,$Q$2)/$Q$2))</f>
        <v>12205.7379204383</v>
      </c>
      <c r="M271" s="15" t="n">
        <f aca="false">L271*(1+IF(M$3&lt;=$O$2,$D271,$D271-($D271-$I$265)*MIN(M$3-$O$2,$Q$2)/$Q$2))</f>
        <v>12569.0417096401</v>
      </c>
      <c r="N271" s="15" t="n">
        <f aca="false">M271*(1+IF(N$3&lt;=$O$2,$D271,$D271-($D271-$I$265)*MIN(N$3-$O$2,$Q$2)/$Q$2))</f>
        <v>12987.5907985711</v>
      </c>
      <c r="O271" s="15" t="n">
        <f aca="false">SUMPRODUCT(E271:N271,1/(1+$F$265)^$E$3:$N$3)*$E$2</f>
        <v>39720.296665354</v>
      </c>
      <c r="P271" s="15" t="n">
        <f aca="false">N271*$E$2*(1+$I$265)/($F$265-$I$265)/(1+$F$265)^$N$3</f>
        <v>85638.9394461477</v>
      </c>
      <c r="Q271" s="15" t="n">
        <f aca="false">O271+P271</f>
        <v>125359.236111502</v>
      </c>
      <c r="R271" s="15" t="n">
        <f aca="false">Q271-$G$2+$I$2</f>
        <v>105899.236111502</v>
      </c>
      <c r="S271" s="40" t="n">
        <f aca="false">R271/$K$2</f>
        <v>188.637553414742</v>
      </c>
      <c r="T271" s="41" t="n">
        <f aca="false">S271-$M$2</f>
        <v>32.827866744156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-0.03125</v>
      </c>
      <c r="C272" s="25" t="n">
        <f aca="false">IF(T271&gt;0,D271,C271)</f>
        <v>0.015625</v>
      </c>
      <c r="D272" s="39" t="n">
        <f aca="false">(B272+C272)/2</f>
        <v>-0.0078125</v>
      </c>
      <c r="E272" s="15" t="n">
        <f aca="false">$C$2*(1+IF(E$3&lt;=$O$2,$D272,$D272-($D272-$I$265)*MIN(E$3-$O$2,$Q$2)/$Q$2))</f>
        <v>10477.5</v>
      </c>
      <c r="F272" s="15" t="n">
        <f aca="false">E272*(1+IF(F$3&lt;=$O$2,$D272,$D272-($D272-$I$265)*MIN(F$3-$O$2,$Q$2)/$Q$2))</f>
        <v>10395.64453125</v>
      </c>
      <c r="G272" s="15" t="n">
        <f aca="false">F272*(1+IF(G$3&lt;=$O$2,$D272,$D272-($D272-$I$265)*MIN(G$3-$O$2,$Q$2)/$Q$2))</f>
        <v>10314.4285583496</v>
      </c>
      <c r="H272" s="15" t="n">
        <f aca="false">G272*(1+IF(H$3&lt;=$O$2,$D272,$D272-($D272-$I$265)*MIN(H$3-$O$2,$Q$2)/$Q$2))</f>
        <v>10233.8470852375</v>
      </c>
      <c r="I272" s="15" t="n">
        <f aca="false">H272*(1+IF(I$3&lt;=$O$2,$D272,$D272-($D272-$I$265)*MIN(I$3-$O$2,$Q$2)/$Q$2))</f>
        <v>10153.8951548841</v>
      </c>
      <c r="J272" s="15" t="n">
        <f aca="false">I272*(1+IF(J$3&lt;=$O$2,$D272,$D272-($D272-$I$265)*MIN(J$3-$O$2,$Q$2)/$Q$2))</f>
        <v>10158.0582518976</v>
      </c>
      <c r="K272" s="15" t="n">
        <f aca="false">J272*(1+IF(K$3&lt;=$O$2,$D272,$D272-($D272-$I$265)*MIN(K$3-$O$2,$Q$2)/$Q$2))</f>
        <v>10245.7476897571</v>
      </c>
      <c r="L272" s="15" t="n">
        <f aca="false">K272*(1+IF(L$3&lt;=$O$2,$D272,$D272-($D272-$I$265)*MIN(L$3-$O$2,$Q$2)/$Q$2))</f>
        <v>10418.439767068</v>
      </c>
      <c r="M272" s="15" t="n">
        <f aca="false">L272*(1+IF(M$3&lt;=$O$2,$D272,$D272-($D272-$I$265)*MIN(M$3-$O$2,$Q$2)/$Q$2))</f>
        <v>10679.7081903266</v>
      </c>
      <c r="N272" s="15" t="n">
        <f aca="false">M272*(1+IF(N$3&lt;=$O$2,$D272,$D272-($D272-$I$265)*MIN(N$3-$O$2,$Q$2)/$Q$2))</f>
        <v>11035.3424730645</v>
      </c>
      <c r="O272" s="15" t="n">
        <f aca="false">SUMPRODUCT(E272:N272,1/(1+$F$265)^$E$3:$N$3)*$E$2</f>
        <v>35803.3552577791</v>
      </c>
      <c r="P272" s="15" t="n">
        <f aca="false">N272*$E$2*(1+$I$265)/($F$265-$I$265)/(1+$F$265)^$N$3</f>
        <v>72765.9995202684</v>
      </c>
      <c r="Q272" s="15" t="n">
        <f aca="false">O272+P272</f>
        <v>108569.354778048</v>
      </c>
      <c r="R272" s="15" t="n">
        <f aca="false">Q272-$G$2+$I$2</f>
        <v>89109.3547780476</v>
      </c>
      <c r="S272" s="40" t="n">
        <f aca="false">R272/$K$2</f>
        <v>158.729857635597</v>
      </c>
      <c r="T272" s="41" t="n">
        <f aca="false">S272-$M$2</f>
        <v>2.92017096501107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-0.03125</v>
      </c>
      <c r="C273" s="25" t="n">
        <f aca="false">IF(T272&gt;0,D272,C272)</f>
        <v>-0.0078125</v>
      </c>
      <c r="D273" s="39" t="n">
        <f aca="false">(B273+C273)/2</f>
        <v>-0.01953125</v>
      </c>
      <c r="E273" s="15" t="n">
        <f aca="false">$C$2*(1+IF(E$3&lt;=$O$2,$D273,$D273-($D273-$I$265)*MIN(E$3-$O$2,$Q$2)/$Q$2))</f>
        <v>10353.75</v>
      </c>
      <c r="F273" s="15" t="n">
        <f aca="false">E273*(1+IF(F$3&lt;=$O$2,$D273,$D273-($D273-$I$265)*MIN(F$3-$O$2,$Q$2)/$Q$2))</f>
        <v>10151.5283203125</v>
      </c>
      <c r="G273" s="15" t="n">
        <f aca="false">F273*(1+IF(G$3&lt;=$O$2,$D273,$D273-($D273-$I$265)*MIN(G$3-$O$2,$Q$2)/$Q$2))</f>
        <v>9953.2562828064</v>
      </c>
      <c r="H273" s="15" t="n">
        <f aca="false">G273*(1+IF(H$3&lt;=$O$2,$D273,$D273-($D273-$I$265)*MIN(H$3-$O$2,$Q$2)/$Q$2))</f>
        <v>9758.85674603283</v>
      </c>
      <c r="I273" s="15" t="n">
        <f aca="false">H273*(1+IF(I$3&lt;=$O$2,$D273,$D273-($D273-$I$265)*MIN(I$3-$O$2,$Q$2)/$Q$2))</f>
        <v>9568.25407521188</v>
      </c>
      <c r="J273" s="15" t="n">
        <f aca="false">I273*(1+IF(J$3&lt;=$O$2,$D273,$D273-($D273-$I$265)*MIN(J$3-$O$2,$Q$2)/$Q$2))</f>
        <v>9482.47467742761</v>
      </c>
      <c r="K273" s="15" t="n">
        <f aca="false">J273*(1+IF(K$3&lt;=$O$2,$D273,$D273-($D273-$I$265)*MIN(K$3-$O$2,$Q$2)/$Q$2))</f>
        <v>9497.65849000484</v>
      </c>
      <c r="L273" s="15" t="n">
        <f aca="false">K273*(1+IF(L$3&lt;=$O$2,$D273,$D273-($D273-$I$265)*MIN(L$3-$O$2,$Q$2)/$Q$2))</f>
        <v>9613.22124968197</v>
      </c>
      <c r="M273" s="15" t="n">
        <f aca="false">L273*(1+IF(M$3&lt;=$O$2,$D273,$D273-($D273-$I$265)*MIN(M$3-$O$2,$Q$2)/$Q$2))</f>
        <v>9831.76581826693</v>
      </c>
      <c r="N273" s="15" t="n">
        <f aca="false">M273*(1+IF(N$3&lt;=$O$2,$D273,$D273-($D273-$I$265)*MIN(N$3-$O$2,$Q$2)/$Q$2))</f>
        <v>10159.1636200152</v>
      </c>
      <c r="O273" s="15" t="n">
        <f aca="false">SUMPRODUCT(E273:N273,1/(1+$F$265)^$E$3:$N$3)*$E$2</f>
        <v>33994.9485424648</v>
      </c>
      <c r="P273" s="15" t="n">
        <f aca="false">N273*$E$2*(1+$I$265)/($F$265-$I$265)/(1+$F$265)^$N$3</f>
        <v>66988.5594311847</v>
      </c>
      <c r="Q273" s="15" t="n">
        <f aca="false">O273+P273</f>
        <v>100983.507973649</v>
      </c>
      <c r="R273" s="15" t="n">
        <f aca="false">Q273-$G$2+$I$2</f>
        <v>81523.5079736494</v>
      </c>
      <c r="S273" s="40" t="n">
        <f aca="false">R273/$K$2</f>
        <v>145.21724286797</v>
      </c>
      <c r="T273" s="41" t="n">
        <f aca="false">S273-$M$2</f>
        <v>-10.5924438026159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-0.01953125</v>
      </c>
      <c r="C274" s="25" t="n">
        <f aca="false">IF(T273&gt;0,D273,C273)</f>
        <v>-0.0078125</v>
      </c>
      <c r="D274" s="39" t="n">
        <f aca="false">(B274+C274)/2</f>
        <v>-0.013671875</v>
      </c>
      <c r="E274" s="15" t="n">
        <f aca="false">$C$2*(1+IF(E$3&lt;=$O$2,$D274,$D274-($D274-$I$265)*MIN(E$3-$O$2,$Q$2)/$Q$2))</f>
        <v>10415.625</v>
      </c>
      <c r="F274" s="15" t="n">
        <f aca="false">E274*(1+IF(F$3&lt;=$O$2,$D274,$D274-($D274-$I$265)*MIN(F$3-$O$2,$Q$2)/$Q$2))</f>
        <v>10273.2238769531</v>
      </c>
      <c r="G274" s="15" t="n">
        <f aca="false">F274*(1+IF(G$3&lt;=$O$2,$D274,$D274-($D274-$I$265)*MIN(G$3-$O$2,$Q$2)/$Q$2))</f>
        <v>10132.7696442604</v>
      </c>
      <c r="H274" s="15" t="n">
        <f aca="false">G274*(1+IF(H$3&lt;=$O$2,$D274,$D274-($D274-$I$265)*MIN(H$3-$O$2,$Q$2)/$Q$2))</f>
        <v>9994.23568428028</v>
      </c>
      <c r="I274" s="15" t="n">
        <f aca="false">H274*(1+IF(I$3&lt;=$O$2,$D274,$D274-($D274-$I$265)*MIN(I$3-$O$2,$Q$2)/$Q$2))</f>
        <v>9857.59574328426</v>
      </c>
      <c r="J274" s="15" t="n">
        <f aca="false">I274*(1+IF(J$3&lt;=$O$2,$D274,$D274-($D274-$I$265)*MIN(J$3-$O$2,$Q$2)/$Q$2))</f>
        <v>9815.42987749237</v>
      </c>
      <c r="K274" s="15" t="n">
        <f aca="false">J274*(1+IF(K$3&lt;=$O$2,$D274,$D274-($D274-$I$265)*MIN(K$3-$O$2,$Q$2)/$Q$2))</f>
        <v>9865.65420524676</v>
      </c>
      <c r="L274" s="15" t="n">
        <f aca="false">K274*(1+IF(L$3&lt;=$O$2,$D274,$D274-($D274-$I$265)*MIN(L$3-$O$2,$Q$2)/$Q$2))</f>
        <v>10008.8171798326</v>
      </c>
      <c r="M274" s="15" t="n">
        <f aca="false">L274*(1+IF(M$3&lt;=$O$2,$D274,$D274-($D274-$I$265)*MIN(M$3-$O$2,$Q$2)/$Q$2))</f>
        <v>10248.0842100273</v>
      </c>
      <c r="N274" s="15" t="n">
        <f aca="false">M274*(1+IF(N$3&lt;=$O$2,$D274,$D274-($D274-$I$265)*MIN(N$3-$O$2,$Q$2)/$Q$2))</f>
        <v>10589.3454142212</v>
      </c>
      <c r="O274" s="15" t="n">
        <f aca="false">SUMPRODUCT(E274:N274,1/(1+$F$265)^$E$3:$N$3)*$E$2</f>
        <v>34887.1624226558</v>
      </c>
      <c r="P274" s="15" t="n">
        <f aca="false">N274*$E$2*(1+$I$265)/($F$265-$I$265)/(1+$F$265)^$N$3</f>
        <v>69825.1372997216</v>
      </c>
      <c r="Q274" s="15" t="n">
        <f aca="false">O274+P274</f>
        <v>104712.299722377</v>
      </c>
      <c r="R274" s="15" t="n">
        <f aca="false">Q274-$G$2+$I$2</f>
        <v>85252.2997223774</v>
      </c>
      <c r="S274" s="40" t="n">
        <f aca="false">R274/$K$2</f>
        <v>151.859312995204</v>
      </c>
      <c r="T274" s="41" t="n">
        <f aca="false">S274-$M$2</f>
        <v>-3.95037367538188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-0.013671875</v>
      </c>
      <c r="C275" s="25" t="n">
        <f aca="false">IF(T274&gt;0,D274,C274)</f>
        <v>-0.0078125</v>
      </c>
      <c r="D275" s="39" t="n">
        <f aca="false">(B275+C275)/2</f>
        <v>-0.0107421875</v>
      </c>
      <c r="E275" s="15" t="n">
        <f aca="false">$C$2*(1+IF(E$3&lt;=$O$2,$D275,$D275-($D275-$I$265)*MIN(E$3-$O$2,$Q$2)/$Q$2))</f>
        <v>10446.5625</v>
      </c>
      <c r="F275" s="15" t="n">
        <f aca="false">E275*(1+IF(F$3&lt;=$O$2,$D275,$D275-($D275-$I$265)*MIN(F$3-$O$2,$Q$2)/$Q$2))</f>
        <v>10334.3435668945</v>
      </c>
      <c r="G275" s="15" t="n">
        <f aca="false">F275*(1+IF(G$3&lt;=$O$2,$D275,$D275-($D275-$I$265)*MIN(G$3-$O$2,$Q$2)/$Q$2))</f>
        <v>10223.3301106095</v>
      </c>
      <c r="H275" s="15" t="n">
        <f aca="false">G275*(1+IF(H$3&lt;=$O$2,$D275,$D275-($D275-$I$265)*MIN(H$3-$O$2,$Q$2)/$Q$2))</f>
        <v>10113.509181687</v>
      </c>
      <c r="I275" s="15" t="n">
        <f aca="false">H275*(1+IF(I$3&lt;=$O$2,$D275,$D275-($D275-$I$265)*MIN(I$3-$O$2,$Q$2)/$Q$2))</f>
        <v>10004.8679697743</v>
      </c>
      <c r="J275" s="15" t="n">
        <f aca="false">I275*(1+IF(J$3&lt;=$O$2,$D275,$D275-($D275-$I$265)*MIN(J$3-$O$2,$Q$2)/$Q$2))</f>
        <v>9985.52105633776</v>
      </c>
      <c r="K275" s="15" t="n">
        <f aca="false">J275*(1+IF(K$3&lt;=$O$2,$D275,$D275-($D275-$I$265)*MIN(K$3-$O$2,$Q$2)/$Q$2))</f>
        <v>10054.1683931248</v>
      </c>
      <c r="L275" s="15" t="n">
        <f aca="false">K275*(1+IF(L$3&lt;=$O$2,$D275,$D275-($D275-$I$265)*MIN(L$3-$O$2,$Q$2)/$Q$2))</f>
        <v>10211.8491728052</v>
      </c>
      <c r="M275" s="15" t="n">
        <f aca="false">L275*(1+IF(M$3&lt;=$O$2,$D275,$D275-($D275-$I$265)*MIN(M$3-$O$2,$Q$2)/$Q$2))</f>
        <v>10461.9533150615</v>
      </c>
      <c r="N275" s="15" t="n">
        <f aca="false">M275*(1+IF(N$3&lt;=$O$2,$D275,$D275-($D275-$I$265)*MIN(N$3-$O$2,$Q$2)/$Q$2))</f>
        <v>10810.3363604531</v>
      </c>
      <c r="O275" s="15" t="n">
        <f aca="false">SUMPRODUCT(E275:N275,1/(1+$F$265)^$E$3:$N$3)*$E$2</f>
        <v>35342.2237286339</v>
      </c>
      <c r="P275" s="15" t="n">
        <f aca="false">N275*$E$2*(1+$I$265)/($F$265-$I$265)/(1+$F$265)^$N$3</f>
        <v>71282.3305972329</v>
      </c>
      <c r="Q275" s="15" t="n">
        <f aca="false">O275+P275</f>
        <v>106624.554325867</v>
      </c>
      <c r="R275" s="15" t="n">
        <f aca="false">Q275-$G$2+$I$2</f>
        <v>87164.5543258668</v>
      </c>
      <c r="S275" s="40" t="n">
        <f aca="false">R275/$K$2</f>
        <v>155.265598471414</v>
      </c>
      <c r="T275" s="41" t="n">
        <f aca="false">S275-$M$2</f>
        <v>-0.544088199171995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-0.0107421875</v>
      </c>
      <c r="C276" s="25" t="n">
        <f aca="false">IF(T275&gt;0,D275,C275)</f>
        <v>-0.0078125</v>
      </c>
      <c r="D276" s="39" t="n">
        <f aca="false">(B276+C276)/2</f>
        <v>-0.00927734375</v>
      </c>
      <c r="E276" s="15" t="n">
        <f aca="false">$C$2*(1+IF(E$3&lt;=$O$2,$D276,$D276-($D276-$I$265)*MIN(E$3-$O$2,$Q$2)/$Q$2))</f>
        <v>10462.03125</v>
      </c>
      <c r="F276" s="15" t="n">
        <f aca="false">E276*(1+IF(F$3&lt;=$O$2,$D276,$D276-($D276-$I$265)*MIN(F$3-$O$2,$Q$2)/$Q$2))</f>
        <v>10364.9713897705</v>
      </c>
      <c r="G276" s="15" t="n">
        <f aca="false">F276*(1+IF(G$3&lt;=$O$2,$D276,$D276-($D276-$I$265)*MIN(G$3-$O$2,$Q$2)/$Q$2))</f>
        <v>10268.8119872287</v>
      </c>
      <c r="H276" s="15" t="n">
        <f aca="false">G276*(1+IF(H$3&lt;=$O$2,$D276,$D276-($D276-$I$265)*MIN(H$3-$O$2,$Q$2)/$Q$2))</f>
        <v>10173.5446885191</v>
      </c>
      <c r="I276" s="15" t="n">
        <f aca="false">H276*(1+IF(I$3&lt;=$O$2,$D276,$D276-($D276-$I$265)*MIN(I$3-$O$2,$Q$2)/$Q$2))</f>
        <v>10079.1612172877</v>
      </c>
      <c r="J276" s="15" t="n">
        <f aca="false">I276*(1+IF(J$3&lt;=$O$2,$D276,$D276-($D276-$I$265)*MIN(J$3-$O$2,$Q$2)/$Q$2))</f>
        <v>10071.4821563353</v>
      </c>
      <c r="K276" s="15" t="n">
        <f aca="false">J276*(1+IF(K$3&lt;=$O$2,$D276,$D276-($D276-$I$265)*MIN(K$3-$O$2,$Q$2)/$Q$2))</f>
        <v>10149.5723374358</v>
      </c>
      <c r="L276" s="15" t="n">
        <f aca="false">K276*(1+IF(L$3&lt;=$O$2,$D276,$D276-($D276-$I$265)*MIN(L$3-$O$2,$Q$2)/$Q$2))</f>
        <v>10314.6963641419</v>
      </c>
      <c r="M276" s="15" t="n">
        <f aca="false">L276*(1+IF(M$3&lt;=$O$2,$D276,$D276-($D276-$I$265)*MIN(M$3-$O$2,$Q$2)/$Q$2))</f>
        <v>10570.3412785132</v>
      </c>
      <c r="N276" s="15" t="n">
        <f aca="false">M276*(1+IF(N$3&lt;=$O$2,$D276,$D276-($D276-$I$265)*MIN(N$3-$O$2,$Q$2)/$Q$2))</f>
        <v>10922.3336430877</v>
      </c>
      <c r="O276" s="15" t="n">
        <f aca="false">SUMPRODUCT(E276:N276,1/(1+$F$265)^$E$3:$N$3)*$E$2</f>
        <v>35572.0259522078</v>
      </c>
      <c r="P276" s="15" t="n">
        <f aca="false">N276*$E$2*(1+$I$265)/($F$265-$I$265)/(1+$F$265)^$N$3</f>
        <v>72020.8300352299</v>
      </c>
      <c r="Q276" s="15" t="n">
        <f aca="false">O276+P276</f>
        <v>107592.855987438</v>
      </c>
      <c r="R276" s="15" t="n">
        <f aca="false">Q276-$G$2+$I$2</f>
        <v>88132.8559874377</v>
      </c>
      <c r="S276" s="40" t="n">
        <f aca="false">R276/$K$2</f>
        <v>156.990427309781</v>
      </c>
      <c r="T276" s="41" t="n">
        <f aca="false">S276-$M$2</f>
        <v>1.18074063919499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-0.0107421875</v>
      </c>
      <c r="C277" s="25" t="n">
        <f aca="false">IF(T276&gt;0,D276,C276)</f>
        <v>-0.00927734375</v>
      </c>
      <c r="D277" s="39" t="n">
        <f aca="false">(B277+C277)/2</f>
        <v>-0.010009765625</v>
      </c>
      <c r="E277" s="15" t="n">
        <f aca="false">$C$2*(1+IF(E$3&lt;=$O$2,$D277,$D277-($D277-$I$265)*MIN(E$3-$O$2,$Q$2)/$Q$2))</f>
        <v>10454.296875</v>
      </c>
      <c r="F277" s="15" t="n">
        <f aca="false">E277*(1+IF(F$3&lt;=$O$2,$D277,$D277-($D277-$I$265)*MIN(F$3-$O$2,$Q$2)/$Q$2))</f>
        <v>10349.6518135071</v>
      </c>
      <c r="G277" s="15" t="n">
        <f aca="false">F277*(1+IF(G$3&lt;=$O$2,$D277,$D277-($D277-$I$265)*MIN(G$3-$O$2,$Q$2)/$Q$2))</f>
        <v>10246.0542245535</v>
      </c>
      <c r="H277" s="15" t="n">
        <f aca="false">G277*(1+IF(H$3&lt;=$O$2,$D277,$D277-($D277-$I$265)*MIN(H$3-$O$2,$Q$2)/$Q$2))</f>
        <v>10143.4936231847</v>
      </c>
      <c r="I277" s="15" t="n">
        <f aca="false">H277*(1+IF(I$3&lt;=$O$2,$D277,$D277-($D277-$I$265)*MIN(I$3-$O$2,$Q$2)/$Q$2))</f>
        <v>10041.9596293979</v>
      </c>
      <c r="J277" s="15" t="n">
        <f aca="false">I277*(1+IF(J$3&lt;=$O$2,$D277,$D277-($D277-$I$265)*MIN(J$3-$O$2,$Q$2)/$Q$2))</f>
        <v>10028.4249506849</v>
      </c>
      <c r="K277" s="15" t="n">
        <f aca="false">J277*(1+IF(K$3&lt;=$O$2,$D277,$D277-($D277-$I$265)*MIN(K$3-$O$2,$Q$2)/$Q$2))</f>
        <v>10101.7742610215</v>
      </c>
      <c r="L277" s="15" t="n">
        <f aca="false">K277*(1+IF(L$3&lt;=$O$2,$D277,$D277-($D277-$I$265)*MIN(L$3-$O$2,$Q$2)/$Q$2))</f>
        <v>10263.1611536569</v>
      </c>
      <c r="M277" s="15" t="n">
        <f aca="false">L277*(1+IF(M$3&lt;=$O$2,$D277,$D277-($D277-$I$265)*MIN(M$3-$O$2,$Q$2)/$Q$2))</f>
        <v>10516.0253992464</v>
      </c>
      <c r="N277" s="15" t="n">
        <f aca="false">M277*(1+IF(N$3&lt;=$O$2,$D277,$D277-($D277-$I$265)*MIN(N$3-$O$2,$Q$2)/$Q$2))</f>
        <v>10866.2090450413</v>
      </c>
      <c r="O277" s="15" t="n">
        <f aca="false">SUMPRODUCT(E277:N277,1/(1+$F$265)^$E$3:$N$3)*$E$2</f>
        <v>35456.9345525944</v>
      </c>
      <c r="P277" s="15" t="n">
        <f aca="false">N277*$E$2*(1+$I$265)/($F$265-$I$265)/(1+$F$265)^$N$3</f>
        <v>71650.7497695303</v>
      </c>
      <c r="Q277" s="15" t="n">
        <f aca="false">O277+P277</f>
        <v>107107.684322125</v>
      </c>
      <c r="R277" s="15" t="n">
        <f aca="false">Q277-$G$2+$I$2</f>
        <v>87647.6843221247</v>
      </c>
      <c r="S277" s="40" t="n">
        <f aca="false">R277/$K$2</f>
        <v>156.126194485339</v>
      </c>
      <c r="T277" s="41" t="n">
        <f aca="false">S277-$M$2</f>
        <v>0.316507814753834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-0.0107421875</v>
      </c>
      <c r="C278" s="25" t="n">
        <f aca="false">IF(T277&gt;0,D277,C277)</f>
        <v>-0.010009765625</v>
      </c>
      <c r="D278" s="39" t="n">
        <f aca="false">(B278+C278)/2</f>
        <v>-0.0103759765625</v>
      </c>
      <c r="E278" s="15" t="n">
        <f aca="false">$C$2*(1+IF(E$3&lt;=$O$2,$D278,$D278-($D278-$I$265)*MIN(E$3-$O$2,$Q$2)/$Q$2))</f>
        <v>10450.4296875</v>
      </c>
      <c r="F278" s="15" t="n">
        <f aca="false">E278*(1+IF(F$3&lt;=$O$2,$D278,$D278-($D278-$I$265)*MIN(F$3-$O$2,$Q$2)/$Q$2))</f>
        <v>10341.9962739944</v>
      </c>
      <c r="G278" s="15" t="n">
        <f aca="false">F278*(1+IF(G$3&lt;=$O$2,$D278,$D278-($D278-$I$265)*MIN(G$3-$O$2,$Q$2)/$Q$2))</f>
        <v>10234.687963046</v>
      </c>
      <c r="H278" s="15" t="n">
        <f aca="false">G278*(1+IF(H$3&lt;=$O$2,$D278,$D278-($D278-$I$265)*MIN(H$3-$O$2,$Q$2)/$Q$2))</f>
        <v>10128.493080617</v>
      </c>
      <c r="I278" s="15" t="n">
        <f aca="false">H278*(1+IF(I$3&lt;=$O$2,$D278,$D278-($D278-$I$265)*MIN(I$3-$O$2,$Q$2)/$Q$2))</f>
        <v>10023.400073799</v>
      </c>
      <c r="J278" s="15" t="n">
        <f aca="false">I278*(1+IF(J$3&lt;=$O$2,$D278,$D278-($D278-$I$265)*MIN(J$3-$O$2,$Q$2)/$Q$2))</f>
        <v>10006.9538668967</v>
      </c>
      <c r="K278" s="15" t="n">
        <f aca="false">J278*(1+IF(K$3&lt;=$O$2,$D278,$D278-($D278-$I$265)*MIN(K$3-$O$2,$Q$2)/$Q$2))</f>
        <v>10077.9473411328</v>
      </c>
      <c r="L278" s="15" t="n">
        <f aca="false">K278*(1+IF(L$3&lt;=$O$2,$D278,$D278-($D278-$I$265)*MIN(L$3-$O$2,$Q$2)/$Q$2))</f>
        <v>10237.4773108447</v>
      </c>
      <c r="M278" s="15" t="n">
        <f aca="false">L278*(1+IF(M$3&lt;=$O$2,$D278,$D278-($D278-$I$265)*MIN(M$3-$O$2,$Q$2)/$Q$2))</f>
        <v>10488.9589414784</v>
      </c>
      <c r="N278" s="15" t="n">
        <f aca="false">M278*(1+IF(N$3&lt;=$O$2,$D278,$D278-($D278-$I$265)*MIN(N$3-$O$2,$Q$2)/$Q$2))</f>
        <v>10838.2412742296</v>
      </c>
      <c r="O278" s="15" t="n">
        <f aca="false">SUMPRODUCT(E278:N278,1/(1+$F$265)^$E$3:$N$3)*$E$2</f>
        <v>35399.531643157</v>
      </c>
      <c r="P278" s="15" t="n">
        <f aca="false">N278*$E$2*(1+$I$265)/($F$265-$I$265)/(1+$F$265)^$N$3</f>
        <v>71466.3329467234</v>
      </c>
      <c r="Q278" s="15" t="n">
        <f aca="false">O278+P278</f>
        <v>106865.86458988</v>
      </c>
      <c r="R278" s="15" t="n">
        <f aca="false">Q278-$G$2+$I$2</f>
        <v>87405.8645898804</v>
      </c>
      <c r="S278" s="40" t="n">
        <f aca="false">R278/$K$2</f>
        <v>155.695442722315</v>
      </c>
      <c r="T278" s="41" t="n">
        <f aca="false">S278-$M$2</f>
        <v>-0.114243948270598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-0.0103759765625</v>
      </c>
      <c r="C279" s="25" t="n">
        <f aca="false">IF(T278&gt;0,D278,C278)</f>
        <v>-0.010009765625</v>
      </c>
      <c r="D279" s="39" t="n">
        <f aca="false">(B279+C279)/2</f>
        <v>-0.01019287109375</v>
      </c>
      <c r="E279" s="15" t="n">
        <f aca="false">$C$2*(1+IF(E$3&lt;=$O$2,$D279,$D279-($D279-$I$265)*MIN(E$3-$O$2,$Q$2)/$Q$2))</f>
        <v>10452.36328125</v>
      </c>
      <c r="F279" s="15" t="n">
        <f aca="false">E279*(1+IF(F$3&lt;=$O$2,$D279,$D279-($D279-$I$265)*MIN(F$3-$O$2,$Q$2)/$Q$2))</f>
        <v>10345.8236896992</v>
      </c>
      <c r="G279" s="15" t="n">
        <f aca="false">F279*(1+IF(G$3&lt;=$O$2,$D279,$D279-($D279-$I$265)*MIN(G$3-$O$2,$Q$2)/$Q$2))</f>
        <v>10240.3700424714</v>
      </c>
      <c r="H279" s="15" t="n">
        <f aca="false">G279*(1+IF(H$3&lt;=$O$2,$D279,$D279-($D279-$I$265)*MIN(H$3-$O$2,$Q$2)/$Q$2))</f>
        <v>10135.9912706762</v>
      </c>
      <c r="I279" s="15" t="n">
        <f aca="false">H279*(1+IF(I$3&lt;=$O$2,$D279,$D279-($D279-$I$265)*MIN(I$3-$O$2,$Q$2)/$Q$2))</f>
        <v>10032.6764182468</v>
      </c>
      <c r="J279" s="15" t="n">
        <f aca="false">I279*(1+IF(J$3&lt;=$O$2,$D279,$D279-($D279-$I$265)*MIN(J$3-$O$2,$Q$2)/$Q$2))</f>
        <v>10017.6846212271</v>
      </c>
      <c r="K279" s="15" t="n">
        <f aca="false">J279*(1+IF(K$3&lt;=$O$2,$D279,$D279-($D279-$I$265)*MIN(K$3-$O$2,$Q$2)/$Q$2))</f>
        <v>10089.8547995807</v>
      </c>
      <c r="L279" s="15" t="n">
        <f aca="false">K279*(1+IF(L$3&lt;=$O$2,$D279,$D279-($D279-$I$265)*MIN(L$3-$O$2,$Q$2)/$Q$2))</f>
        <v>10250.3122627456</v>
      </c>
      <c r="M279" s="15" t="n">
        <f aca="false">L279*(1+IF(M$3&lt;=$O$2,$D279,$D279-($D279-$I$265)*MIN(M$3-$O$2,$Q$2)/$Q$2))</f>
        <v>10502.4845591122</v>
      </c>
      <c r="N279" s="15" t="n">
        <f aca="false">M279*(1+IF(N$3&lt;=$O$2,$D279,$D279-($D279-$I$265)*MIN(N$3-$O$2,$Q$2)/$Q$2))</f>
        <v>10852.2172949306</v>
      </c>
      <c r="O279" s="15" t="n">
        <f aca="false">SUMPRODUCT(E279:N279,1/(1+$F$265)^$E$3:$N$3)*$E$2</f>
        <v>35428.2212142069</v>
      </c>
      <c r="P279" s="15" t="n">
        <f aca="false">N279*$E$2*(1+$I$265)/($F$265-$I$265)/(1+$F$265)^$N$3</f>
        <v>71558.4894990105</v>
      </c>
      <c r="Q279" s="15" t="n">
        <f aca="false">O279+P279</f>
        <v>106986.710713217</v>
      </c>
      <c r="R279" s="15" t="n">
        <f aca="false">Q279-$G$2+$I$2</f>
        <v>87526.7107132174</v>
      </c>
      <c r="S279" s="40" t="n">
        <f aca="false">R279/$K$2</f>
        <v>155.910705059259</v>
      </c>
      <c r="T279" s="41" t="n">
        <f aca="false">S279-$M$2</f>
        <v>0.101018388673509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-0.0103759765625</v>
      </c>
      <c r="C280" s="25" t="n">
        <f aca="false">IF(T279&gt;0,D279,C279)</f>
        <v>-0.01019287109375</v>
      </c>
      <c r="D280" s="39" t="n">
        <f aca="false">(B280+C280)/2</f>
        <v>-0.010284423828125</v>
      </c>
      <c r="E280" s="15" t="n">
        <f aca="false">$C$2*(1+IF(E$3&lt;=$O$2,$D280,$D280-($D280-$I$265)*MIN(E$3-$O$2,$Q$2)/$Q$2))</f>
        <v>10451.396484375</v>
      </c>
      <c r="F280" s="15" t="n">
        <f aca="false">E280*(1+IF(F$3&lt;=$O$2,$D280,$D280-($D280-$I$265)*MIN(F$3-$O$2,$Q$2)/$Q$2))</f>
        <v>10343.9098933339</v>
      </c>
      <c r="G280" s="15" t="n">
        <f aca="false">F280*(1+IF(G$3&lt;=$O$2,$D280,$D280-($D280-$I$265)*MIN(G$3-$O$2,$Q$2)/$Q$2))</f>
        <v>10237.5287399509</v>
      </c>
      <c r="H280" s="15" t="n">
        <f aca="false">G280*(1+IF(H$3&lt;=$O$2,$D280,$D280-($D280-$I$265)*MIN(H$3-$O$2,$Q$2)/$Q$2))</f>
        <v>10132.2416554367</v>
      </c>
      <c r="I280" s="15" t="n">
        <f aca="false">H280*(1+IF(I$3&lt;=$O$2,$D280,$D280-($D280-$I$265)*MIN(I$3-$O$2,$Q$2)/$Q$2))</f>
        <v>10028.0373879232</v>
      </c>
      <c r="J280" s="15" t="n">
        <f aca="false">I280*(1+IF(J$3&lt;=$O$2,$D280,$D280-($D280-$I$265)*MIN(J$3-$O$2,$Q$2)/$Q$2))</f>
        <v>10012.3180475974</v>
      </c>
      <c r="K280" s="15" t="n">
        <f aca="false">J280*(1+IF(K$3&lt;=$O$2,$D280,$D280-($D280-$I$265)*MIN(K$3-$O$2,$Q$2)/$Q$2))</f>
        <v>10083.8995706093</v>
      </c>
      <c r="L280" s="15" t="n">
        <f aca="false">K280*(1+IF(L$3&lt;=$O$2,$D280,$D280-($D280-$I$265)*MIN(L$3-$O$2,$Q$2)/$Q$2))</f>
        <v>10243.8930452203</v>
      </c>
      <c r="M280" s="15" t="n">
        <f aca="false">L280*(1+IF(M$3&lt;=$O$2,$D280,$D280-($D280-$I$265)*MIN(M$3-$O$2,$Q$2)/$Q$2))</f>
        <v>10495.7198483996</v>
      </c>
      <c r="N280" s="15" t="n">
        <f aca="false">M280*(1+IF(N$3&lt;=$O$2,$D280,$D280-($D280-$I$265)*MIN(N$3-$O$2,$Q$2)/$Q$2))</f>
        <v>10845.2273193513</v>
      </c>
      <c r="O280" s="15" t="n">
        <f aca="false">SUMPRODUCT(E280:N280,1/(1+$F$265)^$E$3:$N$3)*$E$2</f>
        <v>35413.8734589283</v>
      </c>
      <c r="P280" s="15" t="n">
        <f aca="false">N280*$E$2*(1+$I$265)/($F$265-$I$265)/(1+$F$265)^$N$3</f>
        <v>71512.398264335</v>
      </c>
      <c r="Q280" s="15" t="n">
        <f aca="false">O280+P280</f>
        <v>106926.271723263</v>
      </c>
      <c r="R280" s="15" t="n">
        <f aca="false">Q280-$G$2+$I$2</f>
        <v>87466.2717232633</v>
      </c>
      <c r="S280" s="40" t="n">
        <f aca="false">R280/$K$2</f>
        <v>155.803045517845</v>
      </c>
      <c r="T280" s="41" t="n">
        <f aca="false">S280-$M$2</f>
        <v>-0.00664115274005894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-0.010284423828125</v>
      </c>
      <c r="C281" s="25" t="n">
        <f aca="false">IF(T280&gt;0,D280,C280)</f>
        <v>-0.01019287109375</v>
      </c>
      <c r="D281" s="39" t="n">
        <f aca="false">(B281+C281)/2</f>
        <v>-0.0102386474609375</v>
      </c>
      <c r="E281" s="15" t="n">
        <f aca="false">$C$2*(1+IF(E$3&lt;=$O$2,$D281,$D281-($D281-$I$265)*MIN(E$3-$O$2,$Q$2)/$Q$2))</f>
        <v>10451.8798828125</v>
      </c>
      <c r="F281" s="15" t="n">
        <f aca="false">E281*(1+IF(F$3&lt;=$O$2,$D281,$D281-($D281-$I$265)*MIN(F$3-$O$2,$Q$2)/$Q$2))</f>
        <v>10344.8667693883</v>
      </c>
      <c r="G281" s="15" t="n">
        <f aca="false">F281*(1+IF(G$3&lt;=$O$2,$D281,$D281-($D281-$I$265)*MIN(G$3-$O$2,$Q$2)/$Q$2))</f>
        <v>10238.9493255062</v>
      </c>
      <c r="H281" s="15" t="n">
        <f aca="false">G281*(1+IF(H$3&lt;=$O$2,$D281,$D281-($D281-$I$265)*MIN(H$3-$O$2,$Q$2)/$Q$2))</f>
        <v>10134.1163329919</v>
      </c>
      <c r="I281" s="15" t="n">
        <f aca="false">H281*(1+IF(I$3&lt;=$O$2,$D281,$D281-($D281-$I$265)*MIN(I$3-$O$2,$Q$2)/$Q$2))</f>
        <v>10030.3566885303</v>
      </c>
      <c r="J281" s="15" t="n">
        <f aca="false">I281*(1+IF(J$3&lt;=$O$2,$D281,$D281-($D281-$I$265)*MIN(J$3-$O$2,$Q$2)/$Q$2))</f>
        <v>10015.0010352428</v>
      </c>
      <c r="K281" s="15" t="n">
        <f aca="false">J281*(1+IF(K$3&lt;=$O$2,$D281,$D281-($D281-$I$265)*MIN(K$3-$O$2,$Q$2)/$Q$2))</f>
        <v>10086.8768100798</v>
      </c>
      <c r="L281" s="15" t="n">
        <f aca="false">K281*(1+IF(L$3&lt;=$O$2,$D281,$D281-($D281-$I$265)*MIN(L$3-$O$2,$Q$2)/$Q$2))</f>
        <v>10247.1022184891</v>
      </c>
      <c r="M281" s="15" t="n">
        <f aca="false">L281*(1+IF(M$3&lt;=$O$2,$D281,$D281-($D281-$I$265)*MIN(M$3-$O$2,$Q$2)/$Q$2))</f>
        <v>10499.1017281674</v>
      </c>
      <c r="N281" s="15" t="n">
        <f aca="false">M281*(1+IF(N$3&lt;=$O$2,$D281,$D281-($D281-$I$265)*MIN(N$3-$O$2,$Q$2)/$Q$2))</f>
        <v>10848.7218157153</v>
      </c>
      <c r="O281" s="15" t="n">
        <f aca="false">SUMPRODUCT(E281:N281,1/(1+$F$265)^$E$3:$N$3)*$E$2</f>
        <v>35421.0465939838</v>
      </c>
      <c r="P281" s="15" t="n">
        <f aca="false">N281*$E$2*(1+$I$265)/($F$265-$I$265)/(1+$F$265)^$N$3</f>
        <v>71535.4406412591</v>
      </c>
      <c r="Q281" s="15" t="n">
        <f aca="false">O281+P281</f>
        <v>106956.487235243</v>
      </c>
      <c r="R281" s="15" t="n">
        <f aca="false">Q281-$G$2+$I$2</f>
        <v>87496.4872352428</v>
      </c>
      <c r="S281" s="40" t="n">
        <f aca="false">R281/$K$2</f>
        <v>155.856868193667</v>
      </c>
      <c r="T281" s="41" t="n">
        <f aca="false">S281-$M$2</f>
        <v>0.0471815230816901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-0.010284423828125</v>
      </c>
      <c r="C282" s="25" t="n">
        <f aca="false">IF(T281&gt;0,D281,C281)</f>
        <v>-0.0102386474609375</v>
      </c>
      <c r="D282" s="39" t="n">
        <f aca="false">(B282+C282)/2</f>
        <v>-0.0102615356445313</v>
      </c>
      <c r="E282" s="15" t="n">
        <f aca="false">$C$2*(1+IF(E$3&lt;=$O$2,$D282,$D282-($D282-$I$265)*MIN(E$3-$O$2,$Q$2)/$Q$2))</f>
        <v>10451.6381835938</v>
      </c>
      <c r="F282" s="15" t="n">
        <f aca="false">E282*(1+IF(F$3&lt;=$O$2,$D282,$D282-($D282-$I$265)*MIN(F$3-$O$2,$Q$2)/$Q$2))</f>
        <v>10344.3883258291</v>
      </c>
      <c r="G282" s="15" t="n">
        <f aca="false">F282*(1+IF(G$3&lt;=$O$2,$D282,$D282-($D282-$I$265)*MIN(G$3-$O$2,$Q$2)/$Q$2))</f>
        <v>10238.2390163027</v>
      </c>
      <c r="H282" s="15" t="n">
        <f aca="false">G282*(1+IF(H$3&lt;=$O$2,$D282,$D282-($D282-$I$265)*MIN(H$3-$O$2,$Q$2)/$Q$2))</f>
        <v>10133.1789616997</v>
      </c>
      <c r="I282" s="15" t="n">
        <f aca="false">H282*(1+IF(I$3&lt;=$O$2,$D282,$D282-($D282-$I$265)*MIN(I$3-$O$2,$Q$2)/$Q$2))</f>
        <v>10029.1969845918</v>
      </c>
      <c r="J282" s="15" t="n">
        <f aca="false">I282*(1+IF(J$3&lt;=$O$2,$D282,$D282-($D282-$I$265)*MIN(J$3-$O$2,$Q$2)/$Q$2))</f>
        <v>10013.6594666344</v>
      </c>
      <c r="K282" s="15" t="n">
        <f aca="false">J282*(1+IF(K$3&lt;=$O$2,$D282,$D282-($D282-$I$265)*MIN(K$3-$O$2,$Q$2)/$Q$2))</f>
        <v>10085.3880966006</v>
      </c>
      <c r="L282" s="15" t="n">
        <f aca="false">K282*(1+IF(L$3&lt;=$O$2,$D282,$D282-($D282-$I$265)*MIN(L$3-$O$2,$Q$2)/$Q$2))</f>
        <v>10245.4975229938</v>
      </c>
      <c r="M282" s="15" t="n">
        <f aca="false">L282*(1+IF(M$3&lt;=$O$2,$D282,$D282-($D282-$I$265)*MIN(M$3-$O$2,$Q$2)/$Q$2))</f>
        <v>10497.4106694007</v>
      </c>
      <c r="N282" s="15" t="n">
        <f aca="false">M282*(1+IF(N$3&lt;=$O$2,$D282,$D282-($D282-$I$265)*MIN(N$3-$O$2,$Q$2)/$Q$2))</f>
        <v>10846.9744446917</v>
      </c>
      <c r="O282" s="15" t="n">
        <f aca="false">SUMPRODUCT(E282:N282,1/(1+$F$265)^$E$3:$N$3)*$E$2</f>
        <v>35417.4598408283</v>
      </c>
      <c r="P282" s="15" t="n">
        <f aca="false">N282*$E$2*(1+$I$265)/($F$265-$I$265)/(1+$F$265)^$N$3</f>
        <v>71523.9186427912</v>
      </c>
      <c r="Q282" s="15" t="n">
        <f aca="false">O282+P282</f>
        <v>106941.378483619</v>
      </c>
      <c r="R282" s="15" t="n">
        <f aca="false">Q282-$G$2+$I$2</f>
        <v>87481.3784836195</v>
      </c>
      <c r="S282" s="40" t="n">
        <f aca="false">R282/$K$2</f>
        <v>155.829955082241</v>
      </c>
      <c r="T282" s="41" t="n">
        <f aca="false">S282-$M$2</f>
        <v>0.0202684116558771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-0.010284423828125</v>
      </c>
      <c r="C283" s="25" t="n">
        <f aca="false">IF(T282&gt;0,D282,C282)</f>
        <v>-0.0102615356445313</v>
      </c>
      <c r="D283" s="39" t="n">
        <f aca="false">(B283+C283)/2</f>
        <v>-0.0102729797363281</v>
      </c>
      <c r="E283" s="15" t="n">
        <f aca="false">$C$2*(1+IF(E$3&lt;=$O$2,$D283,$D283-($D283-$I$265)*MIN(E$3-$O$2,$Q$2)/$Q$2))</f>
        <v>10451.5173339844</v>
      </c>
      <c r="F283" s="15" t="n">
        <f aca="false">E283*(1+IF(F$3&lt;=$O$2,$D283,$D283-($D283-$I$265)*MIN(F$3-$O$2,$Q$2)/$Q$2))</f>
        <v>10344.1491081985</v>
      </c>
      <c r="G283" s="15" t="n">
        <f aca="false">F283*(1+IF(G$3&lt;=$O$2,$D283,$D283-($D283-$I$265)*MIN(G$3-$O$2,$Q$2)/$Q$2))</f>
        <v>10237.8838740204</v>
      </c>
      <c r="H283" s="15" t="n">
        <f aca="false">G283*(1+IF(H$3&lt;=$O$2,$D283,$D283-($D283-$I$265)*MIN(H$3-$O$2,$Q$2)/$Q$2))</f>
        <v>10132.7103004397</v>
      </c>
      <c r="I283" s="15" t="n">
        <f aca="false">H283*(1+IF(I$3&lt;=$O$2,$D283,$D283-($D283-$I$265)*MIN(I$3-$O$2,$Q$2)/$Q$2))</f>
        <v>10028.6171728492</v>
      </c>
      <c r="J283" s="15" t="n">
        <f aca="false">I283*(1+IF(J$3&lt;=$O$2,$D283,$D283-($D283-$I$265)*MIN(J$3-$O$2,$Q$2)/$Q$2))</f>
        <v>10012.9887384203</v>
      </c>
      <c r="K283" s="15" t="n">
        <f aca="false">J283*(1+IF(K$3&lt;=$O$2,$D283,$D283-($D283-$I$265)*MIN(K$3-$O$2,$Q$2)/$Q$2))</f>
        <v>10084.6438101702</v>
      </c>
      <c r="L283" s="15" t="n">
        <f aca="false">K283*(1+IF(L$3&lt;=$O$2,$D283,$D283-($D283-$I$265)*MIN(L$3-$O$2,$Q$2)/$Q$2))</f>
        <v>10244.6952568934</v>
      </c>
      <c r="M283" s="15" t="n">
        <f aca="false">L283*(1+IF(M$3&lt;=$O$2,$D283,$D283-($D283-$I$265)*MIN(M$3-$O$2,$Q$2)/$Q$2))</f>
        <v>10496.5652291812</v>
      </c>
      <c r="N283" s="15" t="n">
        <f aca="false">M283*(1+IF(N$3&lt;=$O$2,$D283,$D283-($D283-$I$265)*MIN(N$3-$O$2,$Q$2)/$Q$2))</f>
        <v>10846.100851313</v>
      </c>
      <c r="O283" s="15" t="n">
        <f aca="false">SUMPRODUCT(E283:N283,1/(1+$F$265)^$E$3:$N$3)*$E$2</f>
        <v>35415.6666034736</v>
      </c>
      <c r="P283" s="15" t="n">
        <f aca="false">N283*$E$2*(1+$I$265)/($F$265-$I$265)/(1+$F$265)^$N$3</f>
        <v>71518.1582510739</v>
      </c>
      <c r="Q283" s="15" t="n">
        <f aca="false">O283+P283</f>
        <v>106933.824854547</v>
      </c>
      <c r="R283" s="15" t="n">
        <f aca="false">Q283-$G$2+$I$2</f>
        <v>87473.8248545475</v>
      </c>
      <c r="S283" s="40" t="n">
        <f aca="false">R283/$K$2</f>
        <v>155.81649985669</v>
      </c>
      <c r="T283" s="41" t="n">
        <f aca="false">S283-$M$2</f>
        <v>0.00681318610494941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-0.010284423828125</v>
      </c>
      <c r="C284" s="25" t="n">
        <f aca="false">IF(T283&gt;0,D283,C283)</f>
        <v>-0.0102729797363281</v>
      </c>
      <c r="D284" s="39" t="n">
        <f aca="false">(B284+C284)/2</f>
        <v>-0.0102787017822266</v>
      </c>
      <c r="E284" s="15" t="n">
        <f aca="false">$C$2*(1+IF(E$3&lt;=$O$2,$D284,$D284-($D284-$I$265)*MIN(E$3-$O$2,$Q$2)/$Q$2))</f>
        <v>10451.4569091797</v>
      </c>
      <c r="F284" s="15" t="n">
        <f aca="false">E284*(1+IF(F$3&lt;=$O$2,$D284,$D284-($D284-$I$265)*MIN(F$3-$O$2,$Q$2)/$Q$2))</f>
        <v>10344.0295004204</v>
      </c>
      <c r="G284" s="15" t="n">
        <f aca="false">F284*(1+IF(G$3&lt;=$O$2,$D284,$D284-($D284-$I$265)*MIN(G$3-$O$2,$Q$2)/$Q$2))</f>
        <v>10237.7063059591</v>
      </c>
      <c r="H284" s="15" t="n">
        <f aca="false">G284*(1+IF(H$3&lt;=$O$2,$D284,$D284-($D284-$I$265)*MIN(H$3-$O$2,$Q$2)/$Q$2))</f>
        <v>10132.4759759061</v>
      </c>
      <c r="I284" s="15" t="n">
        <f aca="false">H284*(1+IF(I$3&lt;=$O$2,$D284,$D284-($D284-$I$265)*MIN(I$3-$O$2,$Q$2)/$Q$2))</f>
        <v>10028.3272770342</v>
      </c>
      <c r="J284" s="15" t="n">
        <f aca="false">I284*(1+IF(J$3&lt;=$O$2,$D284,$D284-($D284-$I$265)*MIN(J$3-$O$2,$Q$2)/$Q$2))</f>
        <v>10012.6533883351</v>
      </c>
      <c r="K284" s="15" t="n">
        <f aca="false">J284*(1+IF(K$3&lt;=$O$2,$D284,$D284-($D284-$I$265)*MIN(K$3-$O$2,$Q$2)/$Q$2))</f>
        <v>10084.2716845312</v>
      </c>
      <c r="L284" s="15" t="n">
        <f aca="false">K284*(1+IF(L$3&lt;=$O$2,$D284,$D284-($D284-$I$265)*MIN(L$3-$O$2,$Q$2)/$Q$2))</f>
        <v>10244.2941442536</v>
      </c>
      <c r="M284" s="15" t="n">
        <f aca="false">L284*(1+IF(M$3&lt;=$O$2,$D284,$D284-($D284-$I$265)*MIN(M$3-$O$2,$Q$2)/$Q$2))</f>
        <v>10496.1425313609</v>
      </c>
      <c r="N284" s="15" t="n">
        <f aca="false">M284*(1+IF(N$3&lt;=$O$2,$D284,$D284-($D284-$I$265)*MIN(N$3-$O$2,$Q$2)/$Q$2))</f>
        <v>10845.6640776552</v>
      </c>
      <c r="O284" s="15" t="n">
        <f aca="false">SUMPRODUCT(E284:N284,1/(1+$F$265)^$E$3:$N$3)*$E$2</f>
        <v>35414.7700196001</v>
      </c>
      <c r="P284" s="15" t="n">
        <f aca="false">N284*$E$2*(1+$I$265)/($F$265-$I$265)/(1+$F$265)^$N$3</f>
        <v>71515.2782070836</v>
      </c>
      <c r="Q284" s="15" t="n">
        <f aca="false">O284+P284</f>
        <v>106930.048226684</v>
      </c>
      <c r="R284" s="15" t="n">
        <f aca="false">Q284-$G$2+$I$2</f>
        <v>87470.0482266837</v>
      </c>
      <c r="S284" s="40" t="n">
        <f aca="false">R284/$K$2</f>
        <v>155.809772576433</v>
      </c>
      <c r="T284" s="41" t="n">
        <f aca="false">S284-$M$2</f>
        <v>8.59058474134145E-005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-0.010284423828125</v>
      </c>
      <c r="C285" s="25" t="n">
        <f aca="false">IF(T284&gt;0,D284,C284)</f>
        <v>-0.0102787017822266</v>
      </c>
      <c r="D285" s="39" t="n">
        <f aca="false">(B285+C285)/2</f>
        <v>-0.0102815628051758</v>
      </c>
      <c r="E285" s="15" t="n">
        <f aca="false">$C$2*(1+IF(E$3&lt;=$O$2,$D285,$D285-($D285-$I$265)*MIN(E$3-$O$2,$Q$2)/$Q$2))</f>
        <v>10451.4266967773</v>
      </c>
      <c r="F285" s="15" t="n">
        <f aca="false">E285*(1+IF(F$3&lt;=$O$2,$D285,$D285-($D285-$I$265)*MIN(F$3-$O$2,$Q$2)/$Q$2))</f>
        <v>10343.9696967907</v>
      </c>
      <c r="G285" s="15" t="n">
        <f aca="false">F285*(1+IF(G$3&lt;=$O$2,$D285,$D285-($D285-$I$265)*MIN(G$3-$O$2,$Q$2)/$Q$2))</f>
        <v>10237.6175226983</v>
      </c>
      <c r="H285" s="15" t="n">
        <f aca="false">G285*(1+IF(H$3&lt;=$O$2,$D285,$D285-($D285-$I$265)*MIN(H$3-$O$2,$Q$2)/$Q$2))</f>
        <v>10132.3588151634</v>
      </c>
      <c r="I285" s="15" t="n">
        <f aca="false">H285*(1+IF(I$3&lt;=$O$2,$D285,$D285-($D285-$I$265)*MIN(I$3-$O$2,$Q$2)/$Q$2))</f>
        <v>10028.1823316407</v>
      </c>
      <c r="J285" s="15" t="n">
        <f aca="false">I285*(1+IF(J$3&lt;=$O$2,$D285,$D285-($D285-$I$265)*MIN(J$3-$O$2,$Q$2)/$Q$2))</f>
        <v>10012.4857167978</v>
      </c>
      <c r="K285" s="15" t="n">
        <f aca="false">J285*(1+IF(K$3&lt;=$O$2,$D285,$D285-($D285-$I$265)*MIN(K$3-$O$2,$Q$2)/$Q$2))</f>
        <v>10084.0856261056</v>
      </c>
      <c r="L285" s="15" t="n">
        <f aca="false">K285*(1+IF(L$3&lt;=$O$2,$D285,$D285-($D285-$I$265)*MIN(L$3-$O$2,$Q$2)/$Q$2))</f>
        <v>10244.0935930362</v>
      </c>
      <c r="M285" s="15" t="n">
        <f aca="false">L285*(1+IF(M$3&lt;=$O$2,$D285,$D285-($D285-$I$265)*MIN(M$3-$O$2,$Q$2)/$Q$2))</f>
        <v>10495.9311880229</v>
      </c>
      <c r="N285" s="15" t="n">
        <f aca="false">M285*(1+IF(N$3&lt;=$O$2,$D285,$D285-($D285-$I$265)*MIN(N$3-$O$2,$Q$2)/$Q$2))</f>
        <v>10845.4456965841</v>
      </c>
      <c r="O285" s="15" t="n">
        <f aca="false">SUMPRODUCT(E285:N285,1/(1+$F$265)^$E$3:$N$3)*$E$2</f>
        <v>35414.321736364</v>
      </c>
      <c r="P285" s="15" t="n">
        <f aca="false">N285*$E$2*(1+$I$265)/($F$265-$I$265)/(1+$F$265)^$N$3</f>
        <v>71513.8382230543</v>
      </c>
      <c r="Q285" s="15" t="n">
        <f aca="false">O285+P285</f>
        <v>106928.159959418</v>
      </c>
      <c r="R285" s="15" t="n">
        <f aca="false">Q285-$G$2+$I$2</f>
        <v>87468.1599594183</v>
      </c>
      <c r="S285" s="40" t="n">
        <f aca="false">R285/$K$2</f>
        <v>155.806409019431</v>
      </c>
      <c r="T285" s="41" t="n">
        <f aca="false">S285-$M$2</f>
        <v>-0.00327765115463308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-0.0102815628051758</v>
      </c>
      <c r="C286" s="25" t="n">
        <f aca="false">IF(T285&gt;0,D285,C285)</f>
        <v>-0.0102787017822266</v>
      </c>
      <c r="D286" s="39" t="n">
        <f aca="false">(B286+C286)/2</f>
        <v>-0.0102801322937012</v>
      </c>
      <c r="E286" s="15" t="n">
        <f aca="false">$C$2*(1+IF(E$3&lt;=$O$2,$D286,$D286-($D286-$I$265)*MIN(E$3-$O$2,$Q$2)/$Q$2))</f>
        <v>10451.4418029785</v>
      </c>
      <c r="F286" s="15" t="n">
        <f aca="false">E286*(1+IF(F$3&lt;=$O$2,$D286,$D286-($D286-$I$265)*MIN(F$3-$O$2,$Q$2)/$Q$2))</f>
        <v>10343.999598584</v>
      </c>
      <c r="G286" s="15" t="n">
        <f aca="false">F286*(1+IF(G$3&lt;=$O$2,$D286,$D286-($D286-$I$265)*MIN(G$3-$O$2,$Q$2)/$Q$2))</f>
        <v>10237.6619142645</v>
      </c>
      <c r="H286" s="15" t="n">
        <f aca="false">G286*(1+IF(H$3&lt;=$O$2,$D286,$D286-($D286-$I$265)*MIN(H$3-$O$2,$Q$2)/$Q$2))</f>
        <v>10132.4173954077</v>
      </c>
      <c r="I286" s="15" t="n">
        <f aca="false">H286*(1+IF(I$3&lt;=$O$2,$D286,$D286-($D286-$I$265)*MIN(I$3-$O$2,$Q$2)/$Q$2))</f>
        <v>10028.2548041279</v>
      </c>
      <c r="J286" s="15" t="n">
        <f aca="false">I286*(1+IF(J$3&lt;=$O$2,$D286,$D286-($D286-$I$265)*MIN(J$3-$O$2,$Q$2)/$Q$2))</f>
        <v>10012.5695522743</v>
      </c>
      <c r="K286" s="15" t="n">
        <f aca="false">J286*(1+IF(K$3&lt;=$O$2,$D286,$D286-($D286-$I$265)*MIN(K$3-$O$2,$Q$2)/$Q$2))</f>
        <v>10084.1786549523</v>
      </c>
      <c r="L286" s="15" t="n">
        <f aca="false">K286*(1+IF(L$3&lt;=$O$2,$D286,$D286-($D286-$I$265)*MIN(L$3-$O$2,$Q$2)/$Q$2))</f>
        <v>10244.1938682197</v>
      </c>
      <c r="M286" s="15" t="n">
        <f aca="false">L286*(1+IF(M$3&lt;=$O$2,$D286,$D286-($D286-$I$265)*MIN(M$3-$O$2,$Q$2)/$Q$2))</f>
        <v>10496.0368592276</v>
      </c>
      <c r="N286" s="15" t="n">
        <f aca="false">M286*(1+IF(N$3&lt;=$O$2,$D286,$D286-($D286-$I$265)*MIN(N$3-$O$2,$Q$2)/$Q$2))</f>
        <v>10845.5548866398</v>
      </c>
      <c r="O286" s="15" t="n">
        <f aca="false">SUMPRODUCT(E286:N286,1/(1+$F$265)^$E$3:$N$3)*$E$2</f>
        <v>35414.545877257</v>
      </c>
      <c r="P286" s="15" t="n">
        <f aca="false">N286*$E$2*(1+$I$265)/($F$265-$I$265)/(1+$F$265)^$N$3</f>
        <v>71514.5582119052</v>
      </c>
      <c r="Q286" s="15" t="n">
        <f aca="false">O286+P286</f>
        <v>106929.104089162</v>
      </c>
      <c r="R286" s="15" t="n">
        <f aca="false">Q286-$G$2+$I$2</f>
        <v>87469.1040891622</v>
      </c>
      <c r="S286" s="40" t="n">
        <f aca="false">R286/$K$2</f>
        <v>155.808090791005</v>
      </c>
      <c r="T286" s="41" t="n">
        <f aca="false">S286-$M$2</f>
        <v>-0.00159587958066254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-0.0102801322937012</v>
      </c>
      <c r="C287" s="25" t="n">
        <f aca="false">IF(T286&gt;0,D286,C286)</f>
        <v>-0.0102787017822266</v>
      </c>
      <c r="D287" s="39" t="n">
        <f aca="false">(B287+C287)/2</f>
        <v>-0.0102794170379639</v>
      </c>
      <c r="E287" s="15" t="n">
        <f aca="false">$C$2*(1+IF(E$3&lt;=$O$2,$D287,$D287-($D287-$I$265)*MIN(E$3-$O$2,$Q$2)/$Q$2))</f>
        <v>10451.4493560791</v>
      </c>
      <c r="F287" s="15" t="n">
        <f aca="false">E287*(1+IF(F$3&lt;=$O$2,$D287,$D287-($D287-$I$265)*MIN(F$3-$O$2,$Q$2)/$Q$2))</f>
        <v>10344.0145494968</v>
      </c>
      <c r="G287" s="15" t="n">
        <f aca="false">F287*(1+IF(G$3&lt;=$O$2,$D287,$D287-($D287-$I$265)*MIN(G$3-$O$2,$Q$2)/$Q$2))</f>
        <v>10237.6841100958</v>
      </c>
      <c r="H287" s="15" t="n">
        <f aca="false">G287*(1+IF(H$3&lt;=$O$2,$D287,$D287-($D287-$I$265)*MIN(H$3-$O$2,$Q$2)/$Q$2))</f>
        <v>10132.4466856252</v>
      </c>
      <c r="I287" s="15" t="n">
        <f aca="false">H287*(1+IF(I$3&lt;=$O$2,$D287,$D287-($D287-$I$265)*MIN(I$3-$O$2,$Q$2)/$Q$2))</f>
        <v>10028.2910405287</v>
      </c>
      <c r="J287" s="15" t="n">
        <f aca="false">I287*(1+IF(J$3&lt;=$O$2,$D287,$D287-($D287-$I$265)*MIN(J$3-$O$2,$Q$2)/$Q$2))</f>
        <v>10012.6114702317</v>
      </c>
      <c r="K287" s="15" t="n">
        <f aca="false">J287*(1+IF(K$3&lt;=$O$2,$D287,$D287-($D287-$I$265)*MIN(K$3-$O$2,$Q$2)/$Q$2))</f>
        <v>10084.2251696502</v>
      </c>
      <c r="L287" s="15" t="n">
        <f aca="false">K287*(1+IF(L$3&lt;=$O$2,$D287,$D287-($D287-$I$265)*MIN(L$3-$O$2,$Q$2)/$Q$2))</f>
        <v>10244.2440061304</v>
      </c>
      <c r="M287" s="15" t="n">
        <f aca="false">L287*(1+IF(M$3&lt;=$O$2,$D287,$D287-($D287-$I$265)*MIN(M$3-$O$2,$Q$2)/$Q$2))</f>
        <v>10496.0896951781</v>
      </c>
      <c r="N287" s="15" t="n">
        <f aca="false">M287*(1+IF(N$3&lt;=$O$2,$D287,$D287-($D287-$I$265)*MIN(N$3-$O$2,$Q$2)/$Q$2))</f>
        <v>10845.6094820276</v>
      </c>
      <c r="O287" s="15" t="n">
        <f aca="false">SUMPRODUCT(E287:N287,1/(1+$F$265)^$E$3:$N$3)*$E$2</f>
        <v>35414.6579482473</v>
      </c>
      <c r="P287" s="15" t="n">
        <f aca="false">N287*$E$2*(1+$I$265)/($F$265-$I$265)/(1+$F$265)^$N$3</f>
        <v>71514.9182087035</v>
      </c>
      <c r="Q287" s="15" t="n">
        <f aca="false">O287+P287</f>
        <v>106929.576156951</v>
      </c>
      <c r="R287" s="15" t="n">
        <f aca="false">Q287-$G$2+$I$2</f>
        <v>87469.5761569507</v>
      </c>
      <c r="S287" s="40" t="n">
        <f aca="false">R287/$K$2</f>
        <v>155.808931681987</v>
      </c>
      <c r="T287" s="41" t="n">
        <f aca="false">S287-$M$2</f>
        <v>-0.000754988598430373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-0.0102794170379639</v>
      </c>
      <c r="C288" s="25" t="n">
        <f aca="false">IF(T287&gt;0,D287,C287)</f>
        <v>-0.0102787017822266</v>
      </c>
      <c r="D288" s="39" t="n">
        <f aca="false">(B288+C288)/2</f>
        <v>-0.0102790594100952</v>
      </c>
      <c r="E288" s="15" t="n">
        <f aca="false">$C$2*(1+IF(E$3&lt;=$O$2,$D288,$D288-($D288-$I$265)*MIN(E$3-$O$2,$Q$2)/$Q$2))</f>
        <v>10451.4531326294</v>
      </c>
      <c r="F288" s="15" t="n">
        <f aca="false">E288*(1+IF(F$3&lt;=$O$2,$D288,$D288-($D288-$I$265)*MIN(F$3-$O$2,$Q$2)/$Q$2))</f>
        <v>10344.0220249573</v>
      </c>
      <c r="G288" s="15" t="n">
        <f aca="false">F288*(1+IF(G$3&lt;=$O$2,$D288,$D288-($D288-$I$265)*MIN(G$3-$O$2,$Q$2)/$Q$2))</f>
        <v>10237.6952080234</v>
      </c>
      <c r="H288" s="15" t="n">
        <f aca="false">G288*(1+IF(H$3&lt;=$O$2,$D288,$D288-($D288-$I$265)*MIN(H$3-$O$2,$Q$2)/$Q$2))</f>
        <v>10132.4613307577</v>
      </c>
      <c r="I288" s="15" t="n">
        <f aca="false">H288*(1+IF(I$3&lt;=$O$2,$D288,$D288-($D288-$I$265)*MIN(I$3-$O$2,$Q$2)/$Q$2))</f>
        <v>10028.3091587683</v>
      </c>
      <c r="J288" s="15" t="n">
        <f aca="false">I288*(1+IF(J$3&lt;=$O$2,$D288,$D288-($D288-$I$265)*MIN(J$3-$O$2,$Q$2)/$Q$2))</f>
        <v>10012.6324292651</v>
      </c>
      <c r="K288" s="15" t="n">
        <f aca="false">J288*(1+IF(K$3&lt;=$O$2,$D288,$D288-($D288-$I$265)*MIN(K$3-$O$2,$Q$2)/$Q$2))</f>
        <v>10084.2484270678</v>
      </c>
      <c r="L288" s="15" t="n">
        <f aca="false">K288*(1+IF(L$3&lt;=$O$2,$D288,$D288-($D288-$I$265)*MIN(L$3-$O$2,$Q$2)/$Q$2))</f>
        <v>10244.2690751654</v>
      </c>
      <c r="M288" s="15" t="n">
        <f aca="false">L288*(1+IF(M$3&lt;=$O$2,$D288,$D288-($D288-$I$265)*MIN(M$3-$O$2,$Q$2)/$Q$2))</f>
        <v>10496.1161132405</v>
      </c>
      <c r="N288" s="15" t="n">
        <f aca="false">M288*(1+IF(N$3&lt;=$O$2,$D288,$D288-($D288-$I$265)*MIN(N$3-$O$2,$Q$2)/$Q$2))</f>
        <v>10845.6367798114</v>
      </c>
      <c r="O288" s="15" t="n">
        <f aca="false">SUMPRODUCT(E288:N288,1/(1+$F$265)^$E$3:$N$3)*$E$2</f>
        <v>35414.7139838783</v>
      </c>
      <c r="P288" s="15" t="n">
        <f aca="false">N288*$E$2*(1+$I$265)/($F$265-$I$265)/(1+$F$265)^$N$3</f>
        <v>71515.0982076958</v>
      </c>
      <c r="Q288" s="15" t="n">
        <f aca="false">O288+P288</f>
        <v>106929.812191574</v>
      </c>
      <c r="R288" s="15" t="n">
        <f aca="false">Q288-$G$2+$I$2</f>
        <v>87469.8121915741</v>
      </c>
      <c r="S288" s="40" t="n">
        <f aca="false">R288/$K$2</f>
        <v>155.809352128777</v>
      </c>
      <c r="T288" s="41" t="n">
        <f aca="false">S288-$M$2</f>
        <v>-0.000334541808484801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-0.0102790594100952</v>
      </c>
      <c r="C289" s="25" t="n">
        <f aca="false">IF(T288&gt;0,D288,C288)</f>
        <v>-0.0102787017822266</v>
      </c>
      <c r="D289" s="39" t="n">
        <f aca="false">(B289+C289)/2</f>
        <v>-0.0102788805961609</v>
      </c>
      <c r="E289" s="15" t="n">
        <f aca="false">$C$2*(1+IF(E$3&lt;=$O$2,$D289,$D289-($D289-$I$265)*MIN(E$3-$O$2,$Q$2)/$Q$2))</f>
        <v>10451.4550209045</v>
      </c>
      <c r="F289" s="15" t="n">
        <f aca="false">E289*(1+IF(F$3&lt;=$O$2,$D289,$D289-($D289-$I$265)*MIN(F$3-$O$2,$Q$2)/$Q$2))</f>
        <v>10344.0257626885</v>
      </c>
      <c r="G289" s="15" t="n">
        <f aca="false">F289*(1+IF(G$3&lt;=$O$2,$D289,$D289-($D289-$I$265)*MIN(G$3-$O$2,$Q$2)/$Q$2))</f>
        <v>10237.7007569902</v>
      </c>
      <c r="H289" s="15" t="n">
        <f aca="false">G289*(1+IF(H$3&lt;=$O$2,$D289,$D289-($D289-$I$265)*MIN(H$3-$O$2,$Q$2)/$Q$2))</f>
        <v>10132.4686533299</v>
      </c>
      <c r="I289" s="15" t="n">
        <f aca="false">H289*(1+IF(I$3&lt;=$O$2,$D289,$D289-($D289-$I$265)*MIN(I$3-$O$2,$Q$2)/$Q$2))</f>
        <v>10028.318217898</v>
      </c>
      <c r="J289" s="15" t="n">
        <f aca="false">I289*(1+IF(J$3&lt;=$O$2,$D289,$D289-($D289-$I$265)*MIN(J$3-$O$2,$Q$2)/$Q$2))</f>
        <v>10012.6429087955</v>
      </c>
      <c r="K289" s="15" t="n">
        <f aca="false">J289*(1+IF(K$3&lt;=$O$2,$D289,$D289-($D289-$I$265)*MIN(K$3-$O$2,$Q$2)/$Q$2))</f>
        <v>10084.2600557938</v>
      </c>
      <c r="L289" s="15" t="n">
        <f aca="false">K289*(1+IF(L$3&lt;=$O$2,$D289,$D289-($D289-$I$265)*MIN(L$3-$O$2,$Q$2)/$Q$2))</f>
        <v>10244.2816097029</v>
      </c>
      <c r="M289" s="15" t="n">
        <f aca="false">L289*(1+IF(M$3&lt;=$O$2,$D289,$D289-($D289-$I$265)*MIN(M$3-$O$2,$Q$2)/$Q$2))</f>
        <v>10496.1293222934</v>
      </c>
      <c r="N289" s="15" t="n">
        <f aca="false">M289*(1+IF(N$3&lt;=$O$2,$D289,$D289-($D289-$I$265)*MIN(N$3-$O$2,$Q$2)/$Q$2))</f>
        <v>10845.6504287258</v>
      </c>
      <c r="O289" s="15" t="n">
        <f aca="false">SUMPRODUCT(E289:N289,1/(1+$F$265)^$E$3:$N$3)*$E$2</f>
        <v>35414.7420017279</v>
      </c>
      <c r="P289" s="15" t="n">
        <f aca="false">N289*$E$2*(1+$I$265)/($F$265-$I$265)/(1+$F$265)^$N$3</f>
        <v>71515.1882073403</v>
      </c>
      <c r="Q289" s="15" t="n">
        <f aca="false">O289+P289</f>
        <v>106929.930209068</v>
      </c>
      <c r="R289" s="15" t="n">
        <f aca="false">Q289-$G$2+$I$2</f>
        <v>87469.9302090682</v>
      </c>
      <c r="S289" s="40" t="n">
        <f aca="false">R289/$K$2</f>
        <v>155.809562352497</v>
      </c>
      <c r="T289" s="41" t="n">
        <f aca="false">S289-$M$2</f>
        <v>-0.00012431808872293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-0.0102788805961609</v>
      </c>
      <c r="C290" s="25" t="n">
        <f aca="false">IF(T289&gt;0,D289,C289)</f>
        <v>-0.0102787017822266</v>
      </c>
      <c r="D290" s="39" t="n">
        <f aca="false">(B290+C290)/2</f>
        <v>-0.0102787911891937</v>
      </c>
      <c r="E290" s="15" t="n">
        <f aca="false">$C$2*(1+IF(E$3&lt;=$O$2,$D290,$D290-($D290-$I$265)*MIN(E$3-$O$2,$Q$2)/$Q$2))</f>
        <v>10451.4559650421</v>
      </c>
      <c r="F290" s="15" t="n">
        <f aca="false">E290*(1+IF(F$3&lt;=$O$2,$D290,$D290-($D290-$I$265)*MIN(F$3-$O$2,$Q$2)/$Q$2))</f>
        <v>10344.0276315544</v>
      </c>
      <c r="G290" s="15" t="n">
        <f aca="false">F290*(1+IF(G$3&lt;=$O$2,$D290,$D290-($D290-$I$265)*MIN(G$3-$O$2,$Q$2)/$Q$2))</f>
        <v>10237.7035314744</v>
      </c>
      <c r="H290" s="15" t="n">
        <f aca="false">G290*(1+IF(H$3&lt;=$O$2,$D290,$D290-($D290-$I$265)*MIN(H$3-$O$2,$Q$2)/$Q$2))</f>
        <v>10132.4723146175</v>
      </c>
      <c r="I290" s="15" t="n">
        <f aca="false">H290*(1+IF(I$3&lt;=$O$2,$D290,$D290-($D290-$I$265)*MIN(I$3-$O$2,$Q$2)/$Q$2))</f>
        <v>10028.3227474653</v>
      </c>
      <c r="J290" s="15" t="n">
        <f aca="false">I290*(1+IF(J$3&lt;=$O$2,$D290,$D290-($D290-$I$265)*MIN(J$3-$O$2,$Q$2)/$Q$2))</f>
        <v>10012.6481485641</v>
      </c>
      <c r="K290" s="15" t="n">
        <f aca="false">J290*(1+IF(K$3&lt;=$O$2,$D290,$D290-($D290-$I$265)*MIN(K$3-$O$2,$Q$2)/$Q$2))</f>
        <v>10084.265870161</v>
      </c>
      <c r="L290" s="15" t="n">
        <f aca="false">K290*(1+IF(L$3&lt;=$O$2,$D290,$D290-($D290-$I$265)*MIN(L$3-$O$2,$Q$2)/$Q$2))</f>
        <v>10244.2878769766</v>
      </c>
      <c r="M290" s="15" t="n">
        <f aca="false">L290*(1+IF(M$3&lt;=$O$2,$D290,$D290-($D290-$I$265)*MIN(M$3-$O$2,$Q$2)/$Q$2))</f>
        <v>10496.1359268254</v>
      </c>
      <c r="N290" s="15" t="n">
        <f aca="false">M290*(1+IF(N$3&lt;=$O$2,$D290,$D290-($D290-$I$265)*MIN(N$3-$O$2,$Q$2)/$Q$2))</f>
        <v>10845.6572531886</v>
      </c>
      <c r="O290" s="15" t="n">
        <f aca="false">SUMPRODUCT(E290:N290,1/(1+$F$265)^$E$3:$N$3)*$E$2</f>
        <v>35414.7560106611</v>
      </c>
      <c r="P290" s="15" t="n">
        <f aca="false">N290*$E$2*(1+$I$265)/($F$265-$I$265)/(1+$F$265)^$N$3</f>
        <v>71515.2332071996</v>
      </c>
      <c r="Q290" s="15" t="n">
        <f aca="false">O290+P290</f>
        <v>106929.989217861</v>
      </c>
      <c r="R290" s="15" t="n">
        <f aca="false">Q290-$G$2+$I$2</f>
        <v>87469.9892178607</v>
      </c>
      <c r="S290" s="40" t="n">
        <f aca="false">R290/$K$2</f>
        <v>155.809667464438</v>
      </c>
      <c r="T290" s="41" t="n">
        <f aca="false">S290-$M$2</f>
        <v>-1.92061476980143E-005</v>
      </c>
    </row>
    <row r="292" customFormat="false" ht="15" hidden="false" customHeight="false" outlineLevel="0" collapsed="false">
      <c r="A292" s="36" t="s">
        <v>196</v>
      </c>
      <c r="E292" s="5" t="s">
        <v>11</v>
      </c>
      <c r="F292" s="12" t="n">
        <f aca="false">Sensitivity!$B$11</f>
        <v>0.0720172026214128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6" t="s">
        <v>167</v>
      </c>
      <c r="B293" s="28" t="s">
        <v>168</v>
      </c>
      <c r="C293" s="28" t="s">
        <v>169</v>
      </c>
      <c r="D293" s="28" t="s">
        <v>170</v>
      </c>
      <c r="E293" s="28" t="s">
        <v>171</v>
      </c>
      <c r="F293" s="28" t="s">
        <v>172</v>
      </c>
      <c r="G293" s="28" t="s">
        <v>173</v>
      </c>
      <c r="H293" s="28" t="s">
        <v>174</v>
      </c>
      <c r="I293" s="28" t="s">
        <v>175</v>
      </c>
      <c r="J293" s="28" t="s">
        <v>176</v>
      </c>
      <c r="K293" s="28" t="s">
        <v>177</v>
      </c>
      <c r="L293" s="28" t="s">
        <v>178</v>
      </c>
      <c r="M293" s="28" t="s">
        <v>179</v>
      </c>
      <c r="N293" s="28" t="s">
        <v>180</v>
      </c>
      <c r="O293" s="28" t="s">
        <v>181</v>
      </c>
      <c r="P293" s="28" t="s">
        <v>182</v>
      </c>
      <c r="Q293" s="28" t="s">
        <v>183</v>
      </c>
      <c r="R293" s="28" t="s">
        <v>184</v>
      </c>
      <c r="S293" s="28" t="s">
        <v>185</v>
      </c>
      <c r="T293" s="28" t="s">
        <v>186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39" t="n">
        <f aca="false">(B294+C294)/2</f>
        <v>0.25</v>
      </c>
      <c r="E294" s="15" t="n">
        <f aca="false">$C$2*(1+IF(E$3&lt;=$O$2,$D294,$D294-($D294-$I$292)*MIN(E$3-$O$2,$Q$2)/$Q$2))</f>
        <v>13200</v>
      </c>
      <c r="F294" s="15" t="n">
        <f aca="false">E294*(1+IF(F$3&lt;=$O$2,$D294,$D294-($D294-$I$292)*MIN(F$3-$O$2,$Q$2)/$Q$2))</f>
        <v>16500</v>
      </c>
      <c r="G294" s="15" t="n">
        <f aca="false">F294*(1+IF(G$3&lt;=$O$2,$D294,$D294-($D294-$I$292)*MIN(G$3-$O$2,$Q$2)/$Q$2))</f>
        <v>20625</v>
      </c>
      <c r="H294" s="15" t="n">
        <f aca="false">G294*(1+IF(H$3&lt;=$O$2,$D294,$D294-($D294-$I$292)*MIN(H$3-$O$2,$Q$2)/$Q$2))</f>
        <v>25781.25</v>
      </c>
      <c r="I294" s="15" t="n">
        <f aca="false">H294*(1+IF(I$3&lt;=$O$2,$D294,$D294-($D294-$I$292)*MIN(I$3-$O$2,$Q$2)/$Q$2))</f>
        <v>32226.5625</v>
      </c>
      <c r="J294" s="15" t="n">
        <f aca="false">I294*(1+IF(J$3&lt;=$O$2,$D294,$D294-($D294-$I$292)*MIN(J$3-$O$2,$Q$2)/$Q$2))</f>
        <v>38918.73046875</v>
      </c>
      <c r="K294" s="15" t="n">
        <f aca="false">J294*(1+IF(K$3&lt;=$O$2,$D294,$D294-($D294-$I$292)*MIN(K$3-$O$2,$Q$2)/$Q$2))</f>
        <v>45352.7749898438</v>
      </c>
      <c r="L294" s="15" t="n">
        <f aca="false">K294*(1+IF(L$3&lt;=$O$2,$D294,$D294-($D294-$I$292)*MIN(L$3-$O$2,$Q$2)/$Q$2))</f>
        <v>50930.2592580947</v>
      </c>
      <c r="M294" s="15" t="n">
        <f aca="false">L294*(1+IF(M$3&lt;=$O$2,$D294,$D294-($D294-$I$292)*MIN(M$3-$O$2,$Q$2)/$Q$2))</f>
        <v>55037.2753646675</v>
      </c>
      <c r="N294" s="15" t="n">
        <f aca="false">M294*(1+IF(N$3&lt;=$O$2,$D294,$D294-($D294-$I$292)*MIN(N$3-$O$2,$Q$2)/$Q$2))</f>
        <v>57145.2030111343</v>
      </c>
      <c r="O294" s="15" t="n">
        <f aca="false">SUMPRODUCT(E294:N294,1/(1+$F$292)^$E$3:$N$3)*$E$2</f>
        <v>112103.063766679</v>
      </c>
      <c r="P294" s="15" t="n">
        <f aca="false">N294*$E$2*(1+$I$292)/($F$292-$I$292)/(1+$F$292)^$N$3</f>
        <v>434781.767345693</v>
      </c>
      <c r="Q294" s="15" t="n">
        <f aca="false">O294+P294</f>
        <v>546884.831112372</v>
      </c>
      <c r="R294" s="15" t="n">
        <f aca="false">Q294-$G$2+$I$2</f>
        <v>527424.831112372</v>
      </c>
      <c r="S294" s="40" t="n">
        <f aca="false">R294/$K$2</f>
        <v>939.498087091632</v>
      </c>
      <c r="T294" s="41" t="n">
        <f aca="false">S294-$M$2</f>
        <v>783.688400421047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39" t="n">
        <f aca="false">(B295+C295)/2</f>
        <v>-0.125</v>
      </c>
      <c r="E295" s="15" t="n">
        <f aca="false">$C$2*(1+IF(E$3&lt;=$O$2,$D295,$D295-($D295-$I$292)*MIN(E$3-$O$2,$Q$2)/$Q$2))</f>
        <v>9240</v>
      </c>
      <c r="F295" s="15" t="n">
        <f aca="false">E295*(1+IF(F$3&lt;=$O$2,$D295,$D295-($D295-$I$292)*MIN(F$3-$O$2,$Q$2)/$Q$2))</f>
        <v>8085</v>
      </c>
      <c r="G295" s="15" t="n">
        <f aca="false">F295*(1+IF(G$3&lt;=$O$2,$D295,$D295-($D295-$I$292)*MIN(G$3-$O$2,$Q$2)/$Q$2))</f>
        <v>7074.375</v>
      </c>
      <c r="H295" s="15" t="n">
        <f aca="false">G295*(1+IF(H$3&lt;=$O$2,$D295,$D295-($D295-$I$292)*MIN(H$3-$O$2,$Q$2)/$Q$2))</f>
        <v>6190.078125</v>
      </c>
      <c r="I295" s="15" t="n">
        <f aca="false">H295*(1+IF(I$3&lt;=$O$2,$D295,$D295-($D295-$I$292)*MIN(I$3-$O$2,$Q$2)/$Q$2))</f>
        <v>5416.318359375</v>
      </c>
      <c r="J295" s="15" t="n">
        <f aca="false">I295*(1+IF(J$3&lt;=$O$2,$D295,$D295-($D295-$I$292)*MIN(J$3-$O$2,$Q$2)/$Q$2))</f>
        <v>4916.17552207031</v>
      </c>
      <c r="K295" s="15" t="n">
        <f aca="false">J295*(1+IF(K$3&lt;=$O$2,$D295,$D295-($D295-$I$292)*MIN(K$3-$O$2,$Q$2)/$Q$2))</f>
        <v>4622.77816691316</v>
      </c>
      <c r="L295" s="15" t="n">
        <f aca="false">K295*(1+IF(L$3&lt;=$O$2,$D295,$D295-($D295-$I$292)*MIN(L$3-$O$2,$Q$2)/$Q$2))</f>
        <v>4497.87070084316</v>
      </c>
      <c r="M295" s="15" t="n">
        <f aca="false">L295*(1+IF(M$3&lt;=$O$2,$D295,$D295-($D295-$I$292)*MIN(M$3-$O$2,$Q$2)/$Q$2))</f>
        <v>4523.23869159592</v>
      </c>
      <c r="N295" s="15" t="n">
        <f aca="false">M295*(1+IF(N$3&lt;=$O$2,$D295,$D295-($D295-$I$292)*MIN(N$3-$O$2,$Q$2)/$Q$2))</f>
        <v>4696.47873348404</v>
      </c>
      <c r="O295" s="15" t="n">
        <f aca="false">SUMPRODUCT(E295:N295,1/(1+$F$292)^$E$3:$N$3)*$E$2</f>
        <v>21459.8114817112</v>
      </c>
      <c r="P295" s="15" t="n">
        <f aca="false">N295*$E$2*(1+$I$292)/($F$292-$I$292)/(1+$F$292)^$N$3</f>
        <v>35732.5412536866</v>
      </c>
      <c r="Q295" s="15" t="n">
        <f aca="false">O295+P295</f>
        <v>57192.3527353978</v>
      </c>
      <c r="R295" s="15" t="n">
        <f aca="false">Q295-$G$2+$I$2</f>
        <v>37732.3527353978</v>
      </c>
      <c r="S295" s="40" t="n">
        <f aca="false">R295/$K$2</f>
        <v>67.2123706075951</v>
      </c>
      <c r="T295" s="41" t="n">
        <f aca="false">S295-$M$2</f>
        <v>-88.5973160629904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39" t="n">
        <f aca="false">(B296+C296)/2</f>
        <v>0.0625</v>
      </c>
      <c r="E296" s="15" t="n">
        <f aca="false">$C$2*(1+IF(E$3&lt;=$O$2,$D296,$D296-($D296-$I$292)*MIN(E$3-$O$2,$Q$2)/$Q$2))</f>
        <v>11220</v>
      </c>
      <c r="F296" s="15" t="n">
        <f aca="false">E296*(1+IF(F$3&lt;=$O$2,$D296,$D296-($D296-$I$292)*MIN(F$3-$O$2,$Q$2)/$Q$2))</f>
        <v>11921.25</v>
      </c>
      <c r="G296" s="15" t="n">
        <f aca="false">F296*(1+IF(G$3&lt;=$O$2,$D296,$D296-($D296-$I$292)*MIN(G$3-$O$2,$Q$2)/$Q$2))</f>
        <v>12666.328125</v>
      </c>
      <c r="H296" s="15" t="n">
        <f aca="false">G296*(1+IF(H$3&lt;=$O$2,$D296,$D296-($D296-$I$292)*MIN(H$3-$O$2,$Q$2)/$Q$2))</f>
        <v>13457.9736328125</v>
      </c>
      <c r="I296" s="15" t="n">
        <f aca="false">H296*(1+IF(I$3&lt;=$O$2,$D296,$D296-($D296-$I$292)*MIN(I$3-$O$2,$Q$2)/$Q$2))</f>
        <v>14299.0969848633</v>
      </c>
      <c r="J296" s="15" t="n">
        <f aca="false">I296*(1+IF(J$3&lt;=$O$2,$D296,$D296-($D296-$I$292)*MIN(J$3-$O$2,$Q$2)/$Q$2))</f>
        <v>15123.5829170105</v>
      </c>
      <c r="K296" s="15" t="n">
        <f aca="false">J296*(1+IF(K$3&lt;=$O$2,$D296,$D296-($D296-$I$292)*MIN(K$3-$O$2,$Q$2)/$Q$2))</f>
        <v>15922.410566687</v>
      </c>
      <c r="L296" s="15" t="n">
        <f aca="false">K296*(1+IF(L$3&lt;=$O$2,$D296,$D296-($D296-$I$292)*MIN(L$3-$O$2,$Q$2)/$Q$2))</f>
        <v>16686.3678256766</v>
      </c>
      <c r="M296" s="15" t="n">
        <f aca="false">L296*(1+IF(M$3&lt;=$O$2,$D296,$D296-($D296-$I$292)*MIN(M$3-$O$2,$Q$2)/$Q$2))</f>
        <v>17406.2177336763</v>
      </c>
      <c r="N296" s="15" t="n">
        <f aca="false">M296*(1+IF(N$3&lt;=$O$2,$D296,$D296-($D296-$I$292)*MIN(N$3-$O$2,$Q$2)/$Q$2))</f>
        <v>18072.8758728761</v>
      </c>
      <c r="O296" s="15" t="n">
        <f aca="false">SUMPRODUCT(E296:N296,1/(1+$F$292)^$E$3:$N$3)*$E$2</f>
        <v>49056.6653473686</v>
      </c>
      <c r="P296" s="15" t="n">
        <f aca="false">N296*$E$2*(1+$I$292)/($F$292-$I$292)/(1+$F$292)^$N$3</f>
        <v>137505.101023045</v>
      </c>
      <c r="Q296" s="15" t="n">
        <f aca="false">O296+P296</f>
        <v>186561.766370413</v>
      </c>
      <c r="R296" s="15" t="n">
        <f aca="false">Q296-$G$2+$I$2</f>
        <v>167101.766370413</v>
      </c>
      <c r="S296" s="40" t="n">
        <f aca="false">R296/$K$2</f>
        <v>297.657183723282</v>
      </c>
      <c r="T296" s="41" t="n">
        <f aca="false">S296-$M$2</f>
        <v>141.847497052696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39" t="n">
        <f aca="false">(B297+C297)/2</f>
        <v>-0.03125</v>
      </c>
      <c r="E297" s="15" t="n">
        <f aca="false">$C$2*(1+IF(E$3&lt;=$O$2,$D297,$D297-($D297-$I$292)*MIN(E$3-$O$2,$Q$2)/$Q$2))</f>
        <v>10230</v>
      </c>
      <c r="F297" s="15" t="n">
        <f aca="false">E297*(1+IF(F$3&lt;=$O$2,$D297,$D297-($D297-$I$292)*MIN(F$3-$O$2,$Q$2)/$Q$2))</f>
        <v>9910.3125</v>
      </c>
      <c r="G297" s="15" t="n">
        <f aca="false">F297*(1+IF(G$3&lt;=$O$2,$D297,$D297-($D297-$I$292)*MIN(G$3-$O$2,$Q$2)/$Q$2))</f>
        <v>9600.615234375</v>
      </c>
      <c r="H297" s="15" t="n">
        <f aca="false">G297*(1+IF(H$3&lt;=$O$2,$D297,$D297-($D297-$I$292)*MIN(H$3-$O$2,$Q$2)/$Q$2))</f>
        <v>9300.59600830078</v>
      </c>
      <c r="I297" s="15" t="n">
        <f aca="false">H297*(1+IF(I$3&lt;=$O$2,$D297,$D297-($D297-$I$292)*MIN(I$3-$O$2,$Q$2)/$Q$2))</f>
        <v>9009.95238304138</v>
      </c>
      <c r="J297" s="15" t="n">
        <f aca="false">I297*(1+IF(J$3&lt;=$O$2,$D297,$D297-($D297-$I$292)*MIN(J$3-$O$2,$Q$2)/$Q$2))</f>
        <v>8853.71980871945</v>
      </c>
      <c r="K297" s="15" t="n">
        <f aca="false">J297*(1+IF(K$3&lt;=$O$2,$D297,$D297-($D297-$I$292)*MIN(K$3-$O$2,$Q$2)/$Q$2))</f>
        <v>8823.35154977554</v>
      </c>
      <c r="L297" s="15" t="n">
        <f aca="false">K297*(1+IF(L$3&lt;=$O$2,$D297,$D297-($D297-$I$292)*MIN(L$3-$O$2,$Q$2)/$Q$2))</f>
        <v>8915.82027401718</v>
      </c>
      <c r="M297" s="15" t="n">
        <f aca="false">L297*(1+IF(M$3&lt;=$O$2,$D297,$D297-($D297-$I$292)*MIN(M$3-$O$2,$Q$2)/$Q$2))</f>
        <v>9133.27713050046</v>
      </c>
      <c r="N297" s="15" t="n">
        <f aca="false">M297*(1+IF(N$3&lt;=$O$2,$D297,$D297-($D297-$I$292)*MIN(N$3-$O$2,$Q$2)/$Q$2))</f>
        <v>9483.08164459863</v>
      </c>
      <c r="O297" s="15" t="n">
        <f aca="false">SUMPRODUCT(E297:N297,1/(1+$F$292)^$E$3:$N$3)*$E$2</f>
        <v>32364.4336683746</v>
      </c>
      <c r="P297" s="15" t="n">
        <f aca="false">N297*$E$2*(1+$I$292)/($F$292-$I$292)/(1+$F$292)^$N$3</f>
        <v>72150.7804691628</v>
      </c>
      <c r="Q297" s="15" t="n">
        <f aca="false">O297+P297</f>
        <v>104515.214137537</v>
      </c>
      <c r="R297" s="15" t="n">
        <f aca="false">Q297-$G$2+$I$2</f>
        <v>85055.2141375375</v>
      </c>
      <c r="S297" s="40" t="n">
        <f aca="false">R297/$K$2</f>
        <v>151.508245849654</v>
      </c>
      <c r="T297" s="41" t="n">
        <f aca="false">S297-$M$2</f>
        <v>-4.30144082093113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39" t="n">
        <f aca="false">(B298+C298)/2</f>
        <v>0.015625</v>
      </c>
      <c r="E298" s="15" t="n">
        <f aca="false">$C$2*(1+IF(E$3&lt;=$O$2,$D298,$D298-($D298-$I$292)*MIN(E$3-$O$2,$Q$2)/$Q$2))</f>
        <v>10725</v>
      </c>
      <c r="F298" s="15" t="n">
        <f aca="false">E298*(1+IF(F$3&lt;=$O$2,$D298,$D298-($D298-$I$292)*MIN(F$3-$O$2,$Q$2)/$Q$2))</f>
        <v>10892.578125</v>
      </c>
      <c r="G298" s="15" t="n">
        <f aca="false">F298*(1+IF(G$3&lt;=$O$2,$D298,$D298-($D298-$I$292)*MIN(G$3-$O$2,$Q$2)/$Q$2))</f>
        <v>11062.7746582031</v>
      </c>
      <c r="H298" s="15" t="n">
        <f aca="false">G298*(1+IF(H$3&lt;=$O$2,$D298,$D298-($D298-$I$292)*MIN(H$3-$O$2,$Q$2)/$Q$2))</f>
        <v>11235.6305122375</v>
      </c>
      <c r="I298" s="15" t="n">
        <f aca="false">H298*(1+IF(I$3&lt;=$O$2,$D298,$D298-($D298-$I$292)*MIN(I$3-$O$2,$Q$2)/$Q$2))</f>
        <v>11411.1872389913</v>
      </c>
      <c r="J298" s="15" t="n">
        <f aca="false">I298*(1+IF(J$3&lt;=$O$2,$D298,$D298-($D298-$I$292)*MIN(J$3-$O$2,$Q$2)/$Q$2))</f>
        <v>11641.2367737293</v>
      </c>
      <c r="K298" s="15" t="n">
        <f aca="false">J298*(1+IF(K$3&lt;=$O$2,$D298,$D298-($D298-$I$292)*MIN(K$3-$O$2,$Q$2)/$Q$2))</f>
        <v>11928.7171158566</v>
      </c>
      <c r="L298" s="15" t="n">
        <f aca="false">K298*(1+IF(L$3&lt;=$O$2,$D298,$D298-($D298-$I$292)*MIN(L$3-$O$2,$Q$2)/$Q$2))</f>
        <v>12277.3935171531</v>
      </c>
      <c r="M298" s="15" t="n">
        <f aca="false">L298*(1+IF(M$3&lt;=$O$2,$D298,$D298-($D298-$I$292)*MIN(M$3-$O$2,$Q$2)/$Q$2))</f>
        <v>12691.9397092597</v>
      </c>
      <c r="N298" s="15" t="n">
        <f aca="false">M298*(1+IF(N$3&lt;=$O$2,$D298,$D298-($D298-$I$292)*MIN(N$3-$O$2,$Q$2)/$Q$2))</f>
        <v>13178.0410001244</v>
      </c>
      <c r="O298" s="15" t="n">
        <f aca="false">SUMPRODUCT(E298:N298,1/(1+$F$292)^$E$3:$N$3)*$E$2</f>
        <v>39834.6108317908</v>
      </c>
      <c r="P298" s="15" t="n">
        <f aca="false">N298*$E$2*(1+$I$292)/($F$292-$I$292)/(1+$F$292)^$N$3</f>
        <v>100263.393150808</v>
      </c>
      <c r="Q298" s="15" t="n">
        <f aca="false">O298+P298</f>
        <v>140098.003982599</v>
      </c>
      <c r="R298" s="15" t="n">
        <f aca="false">Q298-$G$2+$I$2</f>
        <v>120638.003982599</v>
      </c>
      <c r="S298" s="40" t="n">
        <f aca="false">R298/$K$2</f>
        <v>214.8916154235</v>
      </c>
      <c r="T298" s="41" t="n">
        <f aca="false">S298-$M$2</f>
        <v>59.0819287529143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39" t="n">
        <f aca="false">(B299+C299)/2</f>
        <v>-0.0078125</v>
      </c>
      <c r="E299" s="15" t="n">
        <f aca="false">$C$2*(1+IF(E$3&lt;=$O$2,$D299,$D299-($D299-$I$292)*MIN(E$3-$O$2,$Q$2)/$Q$2))</f>
        <v>10477.5</v>
      </c>
      <c r="F299" s="15" t="n">
        <f aca="false">E299*(1+IF(F$3&lt;=$O$2,$D299,$D299-($D299-$I$292)*MIN(F$3-$O$2,$Q$2)/$Q$2))</f>
        <v>10395.64453125</v>
      </c>
      <c r="G299" s="15" t="n">
        <f aca="false">F299*(1+IF(G$3&lt;=$O$2,$D299,$D299-($D299-$I$292)*MIN(G$3-$O$2,$Q$2)/$Q$2))</f>
        <v>10314.4285583496</v>
      </c>
      <c r="H299" s="15" t="n">
        <f aca="false">G299*(1+IF(H$3&lt;=$O$2,$D299,$D299-($D299-$I$292)*MIN(H$3-$O$2,$Q$2)/$Q$2))</f>
        <v>10233.8470852375</v>
      </c>
      <c r="I299" s="15" t="n">
        <f aca="false">H299*(1+IF(I$3&lt;=$O$2,$D299,$D299-($D299-$I$292)*MIN(I$3-$O$2,$Q$2)/$Q$2))</f>
        <v>10153.8951548841</v>
      </c>
      <c r="J299" s="15" t="n">
        <f aca="false">I299*(1+IF(J$3&lt;=$O$2,$D299,$D299-($D299-$I$292)*MIN(J$3-$O$2,$Q$2)/$Q$2))</f>
        <v>10168.2121470525</v>
      </c>
      <c r="K299" s="15" t="n">
        <f aca="false">J299*(1+IF(K$3&lt;=$O$2,$D299,$D299-($D299-$I$292)*MIN(K$3-$O$2,$Q$2)/$Q$2))</f>
        <v>10276.325662706</v>
      </c>
      <c r="L299" s="15" t="n">
        <f aca="false">K299*(1+IF(L$3&lt;=$O$2,$D299,$D299-($D299-$I$292)*MIN(L$3-$O$2,$Q$2)/$Q$2))</f>
        <v>10480.362108739</v>
      </c>
      <c r="M299" s="15" t="n">
        <f aca="false">L299*(1+IF(M$3&lt;=$O$2,$D299,$D299-($D299-$I$292)*MIN(M$3-$O$2,$Q$2)/$Q$2))</f>
        <v>10785.1048379559</v>
      </c>
      <c r="N299" s="15" t="n">
        <f aca="false">M299*(1+IF(N$3&lt;=$O$2,$D299,$D299-($D299-$I$292)*MIN(N$3-$O$2,$Q$2)/$Q$2))</f>
        <v>11198.1743532496</v>
      </c>
      <c r="O299" s="15" t="n">
        <f aca="false">SUMPRODUCT(E299:N299,1/(1+$F$292)^$E$3:$N$3)*$E$2</f>
        <v>35901.7047987804</v>
      </c>
      <c r="P299" s="15" t="n">
        <f aca="false">N299*$E$2*(1+$I$292)/($F$292-$I$292)/(1+$F$292)^$N$3</f>
        <v>85199.8379531951</v>
      </c>
      <c r="Q299" s="15" t="n">
        <f aca="false">O299+P299</f>
        <v>121101.542751976</v>
      </c>
      <c r="R299" s="15" t="n">
        <f aca="false">Q299-$G$2+$I$2</f>
        <v>101641.542751976</v>
      </c>
      <c r="S299" s="40" t="n">
        <f aca="false">R299/$K$2</f>
        <v>181.053354623302</v>
      </c>
      <c r="T299" s="41" t="n">
        <f aca="false">S299-$M$2</f>
        <v>25.2436679527165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-0.03125</v>
      </c>
      <c r="C300" s="25" t="n">
        <f aca="false">IF(T299&gt;0,D299,C299)</f>
        <v>-0.0078125</v>
      </c>
      <c r="D300" s="39" t="n">
        <f aca="false">(B300+C300)/2</f>
        <v>-0.01953125</v>
      </c>
      <c r="E300" s="15" t="n">
        <f aca="false">$C$2*(1+IF(E$3&lt;=$O$2,$D300,$D300-($D300-$I$292)*MIN(E$3-$O$2,$Q$2)/$Q$2))</f>
        <v>10353.75</v>
      </c>
      <c r="F300" s="15" t="n">
        <f aca="false">E300*(1+IF(F$3&lt;=$O$2,$D300,$D300-($D300-$I$292)*MIN(F$3-$O$2,$Q$2)/$Q$2))</f>
        <v>10151.5283203125</v>
      </c>
      <c r="G300" s="15" t="n">
        <f aca="false">F300*(1+IF(G$3&lt;=$O$2,$D300,$D300-($D300-$I$292)*MIN(G$3-$O$2,$Q$2)/$Q$2))</f>
        <v>9953.2562828064</v>
      </c>
      <c r="H300" s="15" t="n">
        <f aca="false">G300*(1+IF(H$3&lt;=$O$2,$D300,$D300-($D300-$I$292)*MIN(H$3-$O$2,$Q$2)/$Q$2))</f>
        <v>9758.85674603283</v>
      </c>
      <c r="I300" s="15" t="n">
        <f aca="false">H300*(1+IF(I$3&lt;=$O$2,$D300,$D300-($D300-$I$292)*MIN(I$3-$O$2,$Q$2)/$Q$2))</f>
        <v>9568.25407521188</v>
      </c>
      <c r="J300" s="15" t="n">
        <f aca="false">I300*(1+IF(J$3&lt;=$O$2,$D300,$D300-($D300-$I$292)*MIN(J$3-$O$2,$Q$2)/$Q$2))</f>
        <v>9492.04293150282</v>
      </c>
      <c r="K300" s="15" t="n">
        <f aca="false">J300*(1+IF(K$3&lt;=$O$2,$D300,$D300-($D300-$I$292)*MIN(K$3-$O$2,$Q$2)/$Q$2))</f>
        <v>9526.22615110989</v>
      </c>
      <c r="L300" s="15" t="n">
        <f aca="false">K300*(1+IF(L$3&lt;=$O$2,$D300,$D300-($D300-$I$292)*MIN(L$3-$O$2,$Q$2)/$Q$2))</f>
        <v>9670.71518625685</v>
      </c>
      <c r="M300" s="15" t="n">
        <f aca="false">L300*(1+IF(M$3&lt;=$O$2,$D300,$D300-($D300-$I$292)*MIN(M$3-$O$2,$Q$2)/$Q$2))</f>
        <v>9929.24966836744</v>
      </c>
      <c r="N300" s="15" t="n">
        <f aca="false">M300*(1+IF(N$3&lt;=$O$2,$D300,$D300-($D300-$I$292)*MIN(N$3-$O$2,$Q$2)/$Q$2))</f>
        <v>10309.5399306659</v>
      </c>
      <c r="O300" s="15" t="n">
        <f aca="false">SUMPRODUCT(E300:N300,1/(1+$F$292)^$E$3:$N$3)*$E$2</f>
        <v>34086.0644696089</v>
      </c>
      <c r="P300" s="15" t="n">
        <f aca="false">N300*$E$2*(1+$I$292)/($F$292-$I$292)/(1+$F$292)^$N$3</f>
        <v>78438.7797292899</v>
      </c>
      <c r="Q300" s="15" t="n">
        <f aca="false">O300+P300</f>
        <v>112524.844198899</v>
      </c>
      <c r="R300" s="15" t="n">
        <f aca="false">Q300-$G$2+$I$2</f>
        <v>93064.8441988989</v>
      </c>
      <c r="S300" s="40" t="n">
        <f aca="false">R300/$K$2</f>
        <v>165.775742708097</v>
      </c>
      <c r="T300" s="41" t="n">
        <f aca="false">S300-$M$2</f>
        <v>9.96605603751198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-0.03125</v>
      </c>
      <c r="C301" s="25" t="n">
        <f aca="false">IF(T300&gt;0,D300,C300)</f>
        <v>-0.01953125</v>
      </c>
      <c r="D301" s="39" t="n">
        <f aca="false">(B301+C301)/2</f>
        <v>-0.025390625</v>
      </c>
      <c r="E301" s="15" t="n">
        <f aca="false">$C$2*(1+IF(E$3&lt;=$O$2,$D301,$D301-($D301-$I$292)*MIN(E$3-$O$2,$Q$2)/$Q$2))</f>
        <v>10291.875</v>
      </c>
      <c r="F301" s="15" t="n">
        <f aca="false">E301*(1+IF(F$3&lt;=$O$2,$D301,$D301-($D301-$I$292)*MIN(F$3-$O$2,$Q$2)/$Q$2))</f>
        <v>10030.5578613281</v>
      </c>
      <c r="G301" s="15" t="n">
        <f aca="false">F301*(1+IF(G$3&lt;=$O$2,$D301,$D301-($D301-$I$292)*MIN(G$3-$O$2,$Q$2)/$Q$2))</f>
        <v>9775.87572813034</v>
      </c>
      <c r="H301" s="15" t="n">
        <f aca="false">G301*(1+IF(H$3&lt;=$O$2,$D301,$D301-($D301-$I$292)*MIN(H$3-$O$2,$Q$2)/$Q$2))</f>
        <v>9527.66013347078</v>
      </c>
      <c r="I301" s="15" t="n">
        <f aca="false">H301*(1+IF(I$3&lt;=$O$2,$D301,$D301-($D301-$I$292)*MIN(I$3-$O$2,$Q$2)/$Q$2))</f>
        <v>9285.74688789438</v>
      </c>
      <c r="J301" s="15" t="n">
        <f aca="false">I301*(1+IF(J$3&lt;=$O$2,$D301,$D301-($D301-$I$292)*MIN(J$3-$O$2,$Q$2)/$Q$2))</f>
        <v>9168.25897539529</v>
      </c>
      <c r="K301" s="15" t="n">
        <f aca="false">J301*(1+IF(K$3&lt;=$O$2,$D301,$D301-($D301-$I$292)*MIN(K$3-$O$2,$Q$2)/$Q$2))</f>
        <v>9169.04400757006</v>
      </c>
      <c r="L301" s="15" t="n">
        <f aca="false">K301*(1+IF(L$3&lt;=$O$2,$D301,$D301-($D301-$I$292)*MIN(L$3-$O$2,$Q$2)/$Q$2))</f>
        <v>9286.62553566214</v>
      </c>
      <c r="M301" s="15" t="n">
        <f aca="false">L301*(1+IF(M$3&lt;=$O$2,$D301,$D301-($D301-$I$292)*MIN(M$3-$O$2,$Q$2)/$Q$2))</f>
        <v>9524.00909677654</v>
      </c>
      <c r="N301" s="15" t="n">
        <f aca="false">M301*(1+IF(N$3&lt;=$O$2,$D301,$D301-($D301-$I$292)*MIN(N$3-$O$2,$Q$2)/$Q$2))</f>
        <v>9888.77864518308</v>
      </c>
      <c r="O301" s="15" t="n">
        <f aca="false">SUMPRODUCT(E301:N301,1/(1+$F$292)^$E$3:$N$3)*$E$2</f>
        <v>33213.792459032</v>
      </c>
      <c r="P301" s="15" t="n">
        <f aca="false">N301*$E$2*(1+$I$292)/($F$292-$I$292)/(1+$F$292)^$N$3</f>
        <v>75237.4727832418</v>
      </c>
      <c r="Q301" s="15" t="n">
        <f aca="false">O301+P301</f>
        <v>108451.265242274</v>
      </c>
      <c r="R301" s="15" t="n">
        <f aca="false">Q301-$G$2+$I$2</f>
        <v>88991.2652422739</v>
      </c>
      <c r="S301" s="40" t="n">
        <f aca="false">R301/$K$2</f>
        <v>158.519505588404</v>
      </c>
      <c r="T301" s="41" t="n">
        <f aca="false">S301-$M$2</f>
        <v>2.70981891781801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-0.03125</v>
      </c>
      <c r="C302" s="25" t="n">
        <f aca="false">IF(T301&gt;0,D301,C301)</f>
        <v>-0.025390625</v>
      </c>
      <c r="D302" s="39" t="n">
        <f aca="false">(B302+C302)/2</f>
        <v>-0.0283203125</v>
      </c>
      <c r="E302" s="15" t="n">
        <f aca="false">$C$2*(1+IF(E$3&lt;=$O$2,$D302,$D302-($D302-$I$292)*MIN(E$3-$O$2,$Q$2)/$Q$2))</f>
        <v>10260.9375</v>
      </c>
      <c r="F302" s="15" t="n">
        <f aca="false">E302*(1+IF(F$3&lt;=$O$2,$D302,$D302-($D302-$I$292)*MIN(F$3-$O$2,$Q$2)/$Q$2))</f>
        <v>9970.34454345703</v>
      </c>
      <c r="G302" s="15" t="n">
        <f aca="false">F302*(1+IF(G$3&lt;=$O$2,$D302,$D302-($D302-$I$292)*MIN(G$3-$O$2,$Q$2)/$Q$2))</f>
        <v>9687.98127025366</v>
      </c>
      <c r="H302" s="15" t="n">
        <f aca="false">G302*(1+IF(H$3&lt;=$O$2,$D302,$D302-($D302-$I$292)*MIN(H$3-$O$2,$Q$2)/$Q$2))</f>
        <v>9413.61461318593</v>
      </c>
      <c r="I302" s="15" t="n">
        <f aca="false">H302*(1+IF(I$3&lt;=$O$2,$D302,$D302-($D302-$I$292)*MIN(I$3-$O$2,$Q$2)/$Q$2))</f>
        <v>9147.01810558594</v>
      </c>
      <c r="J302" s="15" t="n">
        <f aca="false">I302*(1+IF(J$3&lt;=$O$2,$D302,$D302-($D302-$I$292)*MIN(J$3-$O$2,$Q$2)/$Q$2))</f>
        <v>9009.84713532004</v>
      </c>
      <c r="K302" s="15" t="n">
        <f aca="false">J302*(1+IF(K$3&lt;=$O$2,$D302,$D302-($D302-$I$292)*MIN(K$3-$O$2,$Q$2)/$Q$2))</f>
        <v>8994.78098156345</v>
      </c>
      <c r="L302" s="15" t="n">
        <f aca="false">K302*(1+IF(L$3&lt;=$O$2,$D302,$D302-($D302-$I$292)*MIN(L$3-$O$2,$Q$2)/$Q$2))</f>
        <v>9099.58704521301</v>
      </c>
      <c r="M302" s="15" t="n">
        <f aca="false">L302*(1+IF(M$3&lt;=$O$2,$D302,$D302-($D302-$I$292)*MIN(M$3-$O$2,$Q$2)/$Q$2))</f>
        <v>9326.85776253006</v>
      </c>
      <c r="N302" s="15" t="n">
        <f aca="false">M302*(1+IF(N$3&lt;=$O$2,$D302,$D302-($D302-$I$292)*MIN(N$3-$O$2,$Q$2)/$Q$2))</f>
        <v>9684.07641483496</v>
      </c>
      <c r="O302" s="15" t="n">
        <f aca="false">SUMPRODUCT(E302:N302,1/(1+$F$292)^$E$3:$N$3)*$E$2</f>
        <v>32786.285027255</v>
      </c>
      <c r="P302" s="15" t="n">
        <f aca="false">N302*$E$2*(1+$I$292)/($F$292-$I$292)/(1+$F$292)^$N$3</f>
        <v>73680.0227646809</v>
      </c>
      <c r="Q302" s="15" t="n">
        <f aca="false">O302+P302</f>
        <v>106466.307791936</v>
      </c>
      <c r="R302" s="15" t="n">
        <f aca="false">Q302-$G$2+$I$2</f>
        <v>87006.3077919359</v>
      </c>
      <c r="S302" s="40" t="n">
        <f aca="false">R302/$K$2</f>
        <v>154.983715050029</v>
      </c>
      <c r="T302" s="41" t="n">
        <f aca="false">S302-$M$2</f>
        <v>-0.825971620556345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-0.0283203125</v>
      </c>
      <c r="C303" s="25" t="n">
        <f aca="false">IF(T302&gt;0,D302,C302)</f>
        <v>-0.025390625</v>
      </c>
      <c r="D303" s="39" t="n">
        <f aca="false">(B303+C303)/2</f>
        <v>-0.02685546875</v>
      </c>
      <c r="E303" s="15" t="n">
        <f aca="false">$C$2*(1+IF(E$3&lt;=$O$2,$D303,$D303-($D303-$I$292)*MIN(E$3-$O$2,$Q$2)/$Q$2))</f>
        <v>10276.40625</v>
      </c>
      <c r="F303" s="15" t="n">
        <f aca="false">E303*(1+IF(F$3&lt;=$O$2,$D303,$D303-($D303-$I$292)*MIN(F$3-$O$2,$Q$2)/$Q$2))</f>
        <v>10000.4285430908</v>
      </c>
      <c r="G303" s="15" t="n">
        <f aca="false">F303*(1+IF(G$3&lt;=$O$2,$D303,$D303-($D303-$I$292)*MIN(G$3-$O$2,$Q$2)/$Q$2))</f>
        <v>9731.86234686524</v>
      </c>
      <c r="H303" s="15" t="n">
        <f aca="false">G303*(1+IF(H$3&lt;=$O$2,$D303,$D303-($D303-$I$292)*MIN(H$3-$O$2,$Q$2)/$Q$2))</f>
        <v>9470.5086217297</v>
      </c>
      <c r="I303" s="15" t="n">
        <f aca="false">H303*(1+IF(I$3&lt;=$O$2,$D303,$D303-($D303-$I$292)*MIN(I$3-$O$2,$Q$2)/$Q$2))</f>
        <v>9216.17367339223</v>
      </c>
      <c r="J303" s="15" t="n">
        <f aca="false">I303*(1+IF(J$3&lt;=$O$2,$D303,$D303-($D303-$I$292)*MIN(J$3-$O$2,$Q$2)/$Q$2))</f>
        <v>9088.76583246613</v>
      </c>
      <c r="K303" s="15" t="n">
        <f aca="false">J303*(1+IF(K$3&lt;=$O$2,$D303,$D303-($D303-$I$292)*MIN(K$3-$O$2,$Q$2)/$Q$2))</f>
        <v>9081.55588494559</v>
      </c>
      <c r="L303" s="15" t="n">
        <f aca="false">K303*(1+IF(L$3&lt;=$O$2,$D303,$D303-($D303-$I$292)*MIN(L$3-$O$2,$Q$2)/$Q$2))</f>
        <v>9192.69426307383</v>
      </c>
      <c r="M303" s="15" t="n">
        <f aca="false">L303*(1+IF(M$3&lt;=$O$2,$D303,$D303-($D303-$I$292)*MIN(M$3-$O$2,$Q$2)/$Q$2))</f>
        <v>9424.98359259235</v>
      </c>
      <c r="N303" s="15" t="n">
        <f aca="false">M303*(1+IF(N$3&lt;=$O$2,$D303,$D303-($D303-$I$292)*MIN(N$3-$O$2,$Q$2)/$Q$2))</f>
        <v>9785.96046418864</v>
      </c>
      <c r="O303" s="15" t="n">
        <f aca="false">SUMPRODUCT(E303:N303,1/(1+$F$292)^$E$3:$N$3)*$E$2</f>
        <v>32999.3272506978</v>
      </c>
      <c r="P303" s="15" t="n">
        <f aca="false">N303*$E$2*(1+$I$292)/($F$292-$I$292)/(1+$F$292)^$N$3</f>
        <v>74455.1941650467</v>
      </c>
      <c r="Q303" s="15" t="n">
        <f aca="false">O303+P303</f>
        <v>107454.521415745</v>
      </c>
      <c r="R303" s="15" t="n">
        <f aca="false">Q303-$G$2+$I$2</f>
        <v>87994.5214157445</v>
      </c>
      <c r="S303" s="40" t="n">
        <f aca="false">R303/$K$2</f>
        <v>156.744012924606</v>
      </c>
      <c r="T303" s="41" t="n">
        <f aca="false">S303-$M$2</f>
        <v>0.934326254020391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-0.0283203125</v>
      </c>
      <c r="C304" s="25" t="n">
        <f aca="false">IF(T303&gt;0,D303,C303)</f>
        <v>-0.02685546875</v>
      </c>
      <c r="D304" s="39" t="n">
        <f aca="false">(B304+C304)/2</f>
        <v>-0.027587890625</v>
      </c>
      <c r="E304" s="15" t="n">
        <f aca="false">$C$2*(1+IF(E$3&lt;=$O$2,$D304,$D304-($D304-$I$292)*MIN(E$3-$O$2,$Q$2)/$Q$2))</f>
        <v>10268.671875</v>
      </c>
      <c r="F304" s="15" t="n">
        <f aca="false">E304*(1+IF(F$3&lt;=$O$2,$D304,$D304-($D304-$I$292)*MIN(F$3-$O$2,$Q$2)/$Q$2))</f>
        <v>9985.38087844849</v>
      </c>
      <c r="G304" s="15" t="n">
        <f aca="false">F304*(1+IF(G$3&lt;=$O$2,$D304,$D304-($D304-$I$292)*MIN(G$3-$O$2,$Q$2)/$Q$2))</f>
        <v>9709.90528292488</v>
      </c>
      <c r="H304" s="15" t="n">
        <f aca="false">G304*(1+IF(H$3&lt;=$O$2,$D304,$D304-($D304-$I$292)*MIN(H$3-$O$2,$Q$2)/$Q$2))</f>
        <v>9442.02947800044</v>
      </c>
      <c r="I304" s="15" t="n">
        <f aca="false">H304*(1+IF(I$3&lt;=$O$2,$D304,$D304-($D304-$I$292)*MIN(I$3-$O$2,$Q$2)/$Q$2))</f>
        <v>9181.54380148334</v>
      </c>
      <c r="J304" s="15" t="n">
        <f aca="false">I304*(1+IF(J$3&lt;=$O$2,$D304,$D304-($D304-$I$292)*MIN(J$3-$O$2,$Q$2)/$Q$2))</f>
        <v>9049.23488607153</v>
      </c>
      <c r="K304" s="15" t="n">
        <f aca="false">J304*(1+IF(K$3&lt;=$O$2,$D304,$D304-($D304-$I$292)*MIN(K$3-$O$2,$Q$2)/$Q$2))</f>
        <v>9038.07958316002</v>
      </c>
      <c r="L304" s="15" t="n">
        <f aca="false">K304*(1+IF(L$3&lt;=$O$2,$D304,$D304-($D304-$I$292)*MIN(L$3-$O$2,$Q$2)/$Q$2))</f>
        <v>9146.03803158093</v>
      </c>
      <c r="M304" s="15" t="n">
        <f aca="false">L304*(1+IF(M$3&lt;=$O$2,$D304,$D304-($D304-$I$292)*MIN(M$3-$O$2,$Q$2)/$Q$2))</f>
        <v>9375.8086574951</v>
      </c>
      <c r="N304" s="15" t="n">
        <f aca="false">M304*(1+IF(N$3&lt;=$O$2,$D304,$D304-($D304-$I$292)*MIN(N$3-$O$2,$Q$2)/$Q$2))</f>
        <v>9734.90212907716</v>
      </c>
      <c r="O304" s="15" t="n">
        <f aca="false">SUMPRODUCT(E304:N304,1/(1+$F$292)^$E$3:$N$3)*$E$2</f>
        <v>32892.6288282201</v>
      </c>
      <c r="P304" s="15" t="n">
        <f aca="false">N304*$E$2*(1+$I$292)/($F$292-$I$292)/(1+$F$292)^$N$3</f>
        <v>74066.7235322068</v>
      </c>
      <c r="Q304" s="15" t="n">
        <f aca="false">O304+P304</f>
        <v>106959.352360427</v>
      </c>
      <c r="R304" s="15" t="n">
        <f aca="false">Q304-$G$2+$I$2</f>
        <v>87499.352360427</v>
      </c>
      <c r="S304" s="40" t="n">
        <f aca="false">R304/$K$2</f>
        <v>155.861971820707</v>
      </c>
      <c r="T304" s="41" t="n">
        <f aca="false">S304-$M$2</f>
        <v>0.0522851501219748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-0.0283203125</v>
      </c>
      <c r="C305" s="25" t="n">
        <f aca="false">IF(T304&gt;0,D304,C304)</f>
        <v>-0.027587890625</v>
      </c>
      <c r="D305" s="39" t="n">
        <f aca="false">(B305+C305)/2</f>
        <v>-0.0279541015625</v>
      </c>
      <c r="E305" s="15" t="n">
        <f aca="false">$C$2*(1+IF(E$3&lt;=$O$2,$D305,$D305-($D305-$I$292)*MIN(E$3-$O$2,$Q$2)/$Q$2))</f>
        <v>10264.8046875</v>
      </c>
      <c r="F305" s="15" t="n">
        <f aca="false">E305*(1+IF(F$3&lt;=$O$2,$D305,$D305-($D305-$I$292)*MIN(F$3-$O$2,$Q$2)/$Q$2))</f>
        <v>9977.8612947464</v>
      </c>
      <c r="G305" s="15" t="n">
        <f aca="false">F305*(1+IF(G$3&lt;=$O$2,$D305,$D305-($D305-$I$292)*MIN(G$3-$O$2,$Q$2)/$Q$2))</f>
        <v>9698.93914673652</v>
      </c>
      <c r="H305" s="15" t="n">
        <f aca="false">G305*(1+IF(H$3&lt;=$O$2,$D305,$D305-($D305-$I$292)*MIN(H$3-$O$2,$Q$2)/$Q$2))</f>
        <v>9427.81401678014</v>
      </c>
      <c r="I305" s="15" t="n">
        <f aca="false">H305*(1+IF(I$3&lt;=$O$2,$D305,$D305-($D305-$I$292)*MIN(I$3-$O$2,$Q$2)/$Q$2))</f>
        <v>9164.26794624271</v>
      </c>
      <c r="J305" s="15" t="n">
        <f aca="false">I305*(1+IF(J$3&lt;=$O$2,$D305,$D305-($D305-$I$292)*MIN(J$3-$O$2,$Q$2)/$Q$2))</f>
        <v>9029.52313717874</v>
      </c>
      <c r="K305" s="15" t="n">
        <f aca="false">J305*(1+IF(K$3&lt;=$O$2,$D305,$D305-($D305-$I$292)*MIN(K$3-$O$2,$Q$2)/$Q$2))</f>
        <v>9016.40810753774</v>
      </c>
      <c r="L305" s="15" t="n">
        <f aca="false">K305*(1+IF(L$3&lt;=$O$2,$D305,$D305-($D305-$I$292)*MIN(L$3-$O$2,$Q$2)/$Q$2))</f>
        <v>9122.78693066213</v>
      </c>
      <c r="M305" s="15" t="n">
        <f aca="false">L305*(1+IF(M$3&lt;=$O$2,$D305,$D305-($D305-$I$292)*MIN(M$3-$O$2,$Q$2)/$Q$2))</f>
        <v>9351.30525973907</v>
      </c>
      <c r="N305" s="15" t="n">
        <f aca="false">M305*(1+IF(N$3&lt;=$O$2,$D305,$D305-($D305-$I$292)*MIN(N$3-$O$2,$Q$2)/$Q$2))</f>
        <v>9709.46025118707</v>
      </c>
      <c r="O305" s="15" t="n">
        <f aca="false">SUMPRODUCT(E305:N305,1/(1+$F$292)^$E$3:$N$3)*$E$2</f>
        <v>32839.4126701729</v>
      </c>
      <c r="P305" s="15" t="n">
        <f aca="false">N305*$E$2*(1+$I$292)/($F$292-$I$292)/(1+$F$292)^$N$3</f>
        <v>73873.1523477368</v>
      </c>
      <c r="Q305" s="15" t="n">
        <f aca="false">O305+P305</f>
        <v>106712.56501791</v>
      </c>
      <c r="R305" s="15" t="n">
        <f aca="false">Q305-$G$2+$I$2</f>
        <v>87252.5650179097</v>
      </c>
      <c r="S305" s="40" t="n">
        <f aca="false">R305/$K$2</f>
        <v>155.422371288961</v>
      </c>
      <c r="T305" s="41" t="n">
        <f aca="false">S305-$M$2</f>
        <v>-0.387315381624688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-0.0279541015625</v>
      </c>
      <c r="C306" s="25" t="n">
        <f aca="false">IF(T305&gt;0,D305,C305)</f>
        <v>-0.027587890625</v>
      </c>
      <c r="D306" s="39" t="n">
        <f aca="false">(B306+C306)/2</f>
        <v>-0.02777099609375</v>
      </c>
      <c r="E306" s="15" t="n">
        <f aca="false">$C$2*(1+IF(E$3&lt;=$O$2,$D306,$D306-($D306-$I$292)*MIN(E$3-$O$2,$Q$2)/$Q$2))</f>
        <v>10266.73828125</v>
      </c>
      <c r="F306" s="15" t="n">
        <f aca="false">E306*(1+IF(F$3&lt;=$O$2,$D306,$D306-($D306-$I$292)*MIN(F$3-$O$2,$Q$2)/$Q$2))</f>
        <v>9981.62073254585</v>
      </c>
      <c r="G306" s="15" t="n">
        <f aca="false">F306*(1+IF(G$3&lt;=$O$2,$D306,$D306-($D306-$I$292)*MIN(G$3-$O$2,$Q$2)/$Q$2))</f>
        <v>9704.42118217303</v>
      </c>
      <c r="H306" s="15" t="n">
        <f aca="false">G306*(1+IF(H$3&lt;=$O$2,$D306,$D306-($D306-$I$292)*MIN(H$3-$O$2,$Q$2)/$Q$2))</f>
        <v>9434.9197394308</v>
      </c>
      <c r="I306" s="15" t="n">
        <f aca="false">H306*(1+IF(I$3&lt;=$O$2,$D306,$D306-($D306-$I$292)*MIN(I$3-$O$2,$Q$2)/$Q$2))</f>
        <v>9172.90262020222</v>
      </c>
      <c r="J306" s="15" t="n">
        <f aca="false">I306*(1+IF(J$3&lt;=$O$2,$D306,$D306-($D306-$I$292)*MIN(J$3-$O$2,$Q$2)/$Q$2))</f>
        <v>9039.37454000578</v>
      </c>
      <c r="K306" s="15" t="n">
        <f aca="false">J306*(1+IF(K$3&lt;=$O$2,$D306,$D306-($D306-$I$292)*MIN(K$3-$O$2,$Q$2)/$Q$2))</f>
        <v>9027.2382969344</v>
      </c>
      <c r="L306" s="15" t="n">
        <f aca="false">K306*(1+IF(L$3&lt;=$O$2,$D306,$D306-($D306-$I$292)*MIN(L$3-$O$2,$Q$2)/$Q$2))</f>
        <v>9134.40607320535</v>
      </c>
      <c r="M306" s="15" t="n">
        <f aca="false">L306*(1+IF(M$3&lt;=$O$2,$D306,$D306-($D306-$I$292)*MIN(M$3-$O$2,$Q$2)/$Q$2))</f>
        <v>9363.54996421282</v>
      </c>
      <c r="N306" s="15" t="n">
        <f aca="false">M306*(1+IF(N$3&lt;=$O$2,$D306,$D306-($D306-$I$292)*MIN(N$3-$O$2,$Q$2)/$Q$2))</f>
        <v>9722.17392784217</v>
      </c>
      <c r="O306" s="15" t="n">
        <f aca="false">SUMPRODUCT(E306:N306,1/(1+$F$292)^$E$3:$N$3)*$E$2</f>
        <v>32866.0096760474</v>
      </c>
      <c r="P306" s="15" t="n">
        <f aca="false">N306*$E$2*(1+$I$292)/($F$292-$I$292)/(1+$F$292)^$N$3</f>
        <v>73969.8826857931</v>
      </c>
      <c r="Q306" s="15" t="n">
        <f aca="false">O306+P306</f>
        <v>106835.892361841</v>
      </c>
      <c r="R306" s="15" t="n">
        <f aca="false">Q306-$G$2+$I$2</f>
        <v>87375.8923618405</v>
      </c>
      <c r="S306" s="40" t="n">
        <f aca="false">R306/$K$2</f>
        <v>155.642053406439</v>
      </c>
      <c r="T306" s="41" t="n">
        <f aca="false">S306-$M$2</f>
        <v>-0.167633264146986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-0.02777099609375</v>
      </c>
      <c r="C307" s="25" t="n">
        <f aca="false">IF(T306&gt;0,D306,C306)</f>
        <v>-0.027587890625</v>
      </c>
      <c r="D307" s="39" t="n">
        <f aca="false">(B307+C307)/2</f>
        <v>-0.027679443359375</v>
      </c>
      <c r="E307" s="15" t="n">
        <f aca="false">$C$2*(1+IF(E$3&lt;=$O$2,$D307,$D307-($D307-$I$292)*MIN(E$3-$O$2,$Q$2)/$Q$2))</f>
        <v>10267.705078125</v>
      </c>
      <c r="F307" s="15" t="n">
        <f aca="false">E307*(1+IF(F$3&lt;=$O$2,$D307,$D307-($D307-$I$292)*MIN(F$3-$O$2,$Q$2)/$Q$2))</f>
        <v>9983.50071698427</v>
      </c>
      <c r="G307" s="15" t="n">
        <f aca="false">F307*(1+IF(G$3&lt;=$O$2,$D307,$D307-($D307-$I$292)*MIN(G$3-$O$2,$Q$2)/$Q$2))</f>
        <v>9707.16297436023</v>
      </c>
      <c r="H307" s="15" t="n">
        <f aca="false">G307*(1+IF(H$3&lt;=$O$2,$D307,$D307-($D307-$I$292)*MIN(H$3-$O$2,$Q$2)/$Q$2))</f>
        <v>9438.4741066312</v>
      </c>
      <c r="I307" s="15" t="n">
        <f aca="false">H307*(1+IF(I$3&lt;=$O$2,$D307,$D307-($D307-$I$292)*MIN(I$3-$O$2,$Q$2)/$Q$2))</f>
        <v>9177.22239719778</v>
      </c>
      <c r="J307" s="15" t="n">
        <f aca="false">I307*(1+IF(J$3&lt;=$O$2,$D307,$D307-($D307-$I$292)*MIN(J$3-$O$2,$Q$2)/$Q$2))</f>
        <v>9044.30359472861</v>
      </c>
      <c r="K307" s="15" t="n">
        <f aca="false">J307*(1+IF(K$3&lt;=$O$2,$D307,$D307-($D307-$I$292)*MIN(K$3-$O$2,$Q$2)/$Q$2))</f>
        <v>9032.65755235468</v>
      </c>
      <c r="L307" s="15" t="n">
        <f aca="false">K307*(1+IF(L$3&lt;=$O$2,$D307,$D307-($D307-$I$292)*MIN(L$3-$O$2,$Q$2)/$Q$2))</f>
        <v>9140.22044966578</v>
      </c>
      <c r="M307" s="15" t="n">
        <f aca="false">L307*(1+IF(M$3&lt;=$O$2,$D307,$D307-($D307-$I$292)*MIN(M$3-$O$2,$Q$2)/$Q$2))</f>
        <v>9369.67756139779</v>
      </c>
      <c r="N307" s="15" t="n">
        <f aca="false">M307*(1+IF(N$3&lt;=$O$2,$D307,$D307-($D307-$I$292)*MIN(N$3-$O$2,$Q$2)/$Q$2))</f>
        <v>9728.53621199933</v>
      </c>
      <c r="O307" s="15" t="n">
        <f aca="false">SUMPRODUCT(E307:N307,1/(1+$F$292)^$E$3:$N$3)*$E$2</f>
        <v>32879.3164827511</v>
      </c>
      <c r="P307" s="15" t="n">
        <f aca="false">N307*$E$2*(1+$I$292)/($F$292-$I$292)/(1+$F$292)^$N$3</f>
        <v>74018.2892887002</v>
      </c>
      <c r="Q307" s="15" t="n">
        <f aca="false">O307+P307</f>
        <v>106897.605771451</v>
      </c>
      <c r="R307" s="15" t="n">
        <f aca="false">Q307-$G$2+$I$2</f>
        <v>87437.6057714513</v>
      </c>
      <c r="S307" s="40" t="n">
        <f aca="false">R307/$K$2</f>
        <v>155.75198306249</v>
      </c>
      <c r="T307" s="41" t="n">
        <f aca="false">S307-$M$2</f>
        <v>-0.0577036080954088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-0.027679443359375</v>
      </c>
      <c r="C308" s="25" t="n">
        <f aca="false">IF(T307&gt;0,D307,C307)</f>
        <v>-0.027587890625</v>
      </c>
      <c r="D308" s="39" t="n">
        <f aca="false">(B308+C308)/2</f>
        <v>-0.0276336669921875</v>
      </c>
      <c r="E308" s="15" t="n">
        <f aca="false">$C$2*(1+IF(E$3&lt;=$O$2,$D308,$D308-($D308-$I$292)*MIN(E$3-$O$2,$Q$2)/$Q$2))</f>
        <v>10268.1884765625</v>
      </c>
      <c r="F308" s="15" t="n">
        <f aca="false">E308*(1+IF(F$3&lt;=$O$2,$D308,$D308-($D308-$I$292)*MIN(F$3-$O$2,$Q$2)/$Q$2))</f>
        <v>9984.44077558816</v>
      </c>
      <c r="G308" s="15" t="n">
        <f aca="false">F308*(1+IF(G$3&lt;=$O$2,$D308,$D308-($D308-$I$292)*MIN(G$3-$O$2,$Q$2)/$Q$2))</f>
        <v>9708.53406409233</v>
      </c>
      <c r="H308" s="15" t="n">
        <f aca="false">G308*(1+IF(H$3&lt;=$O$2,$D308,$D308-($D308-$I$292)*MIN(H$3-$O$2,$Q$2)/$Q$2))</f>
        <v>9440.2516667829</v>
      </c>
      <c r="I308" s="15" t="n">
        <f aca="false">H308*(1+IF(I$3&lt;=$O$2,$D308,$D308-($D308-$I$292)*MIN(I$3-$O$2,$Q$2)/$Q$2))</f>
        <v>9179.38289590058</v>
      </c>
      <c r="J308" s="15" t="n">
        <f aca="false">I308*(1+IF(J$3&lt;=$O$2,$D308,$D308-($D308-$I$292)*MIN(J$3-$O$2,$Q$2)/$Q$2))</f>
        <v>9046.7689607719</v>
      </c>
      <c r="K308" s="15" t="n">
        <f aca="false">J308*(1+IF(K$3&lt;=$O$2,$D308,$D308-($D308-$I$292)*MIN(K$3-$O$2,$Q$2)/$Q$2))</f>
        <v>9035.36822076058</v>
      </c>
      <c r="L308" s="15" t="n">
        <f aca="false">K308*(1+IF(L$3&lt;=$O$2,$D308,$D308-($D308-$I$292)*MIN(L$3-$O$2,$Q$2)/$Q$2))</f>
        <v>9143.12883984795</v>
      </c>
      <c r="M308" s="15" t="n">
        <f aca="false">L308*(1+IF(M$3&lt;=$O$2,$D308,$D308-($D308-$I$292)*MIN(M$3-$O$2,$Q$2)/$Q$2))</f>
        <v>9372.74267197548</v>
      </c>
      <c r="N308" s="15" t="n">
        <f aca="false">M308*(1+IF(N$3&lt;=$O$2,$D308,$D308-($D308-$I$292)*MIN(N$3-$O$2,$Q$2)/$Q$2))</f>
        <v>9731.71871631215</v>
      </c>
      <c r="O308" s="15" t="n">
        <f aca="false">SUMPRODUCT(E308:N308,1/(1+$F$292)^$E$3:$N$3)*$E$2</f>
        <v>32885.971963003</v>
      </c>
      <c r="P308" s="15" t="n">
        <f aca="false">N308*$E$2*(1+$I$292)/($F$292-$I$292)/(1+$F$292)^$N$3</f>
        <v>74042.5029545339</v>
      </c>
      <c r="Q308" s="15" t="n">
        <f aca="false">O308+P308</f>
        <v>106928.474917537</v>
      </c>
      <c r="R308" s="15" t="n">
        <f aca="false">Q308-$G$2+$I$2</f>
        <v>87468.4749175369</v>
      </c>
      <c r="S308" s="40" t="n">
        <f aca="false">R308/$K$2</f>
        <v>155.806970052079</v>
      </c>
      <c r="T308" s="41" t="n">
        <f aca="false">S308-$M$2</f>
        <v>-0.00271661850604232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-0.0276336669921875</v>
      </c>
      <c r="C309" s="25" t="n">
        <f aca="false">IF(T308&gt;0,D308,C308)</f>
        <v>-0.027587890625</v>
      </c>
      <c r="D309" s="39" t="n">
        <f aca="false">(B309+C309)/2</f>
        <v>-0.0276107788085938</v>
      </c>
      <c r="E309" s="15" t="n">
        <f aca="false">$C$2*(1+IF(E$3&lt;=$O$2,$D309,$D309-($D309-$I$292)*MIN(E$3-$O$2,$Q$2)/$Q$2))</f>
        <v>10268.4301757813</v>
      </c>
      <c r="F309" s="15" t="n">
        <f aca="false">E309*(1+IF(F$3&lt;=$O$2,$D309,$D309-($D309-$I$292)*MIN(F$3-$O$2,$Q$2)/$Q$2))</f>
        <v>9984.91082148626</v>
      </c>
      <c r="G309" s="15" t="n">
        <f aca="false">F309*(1+IF(G$3&lt;=$O$2,$D309,$D309-($D309-$I$292)*MIN(G$3-$O$2,$Q$2)/$Q$2))</f>
        <v>9709.21965737067</v>
      </c>
      <c r="H309" s="15" t="n">
        <f aca="false">G309*(1+IF(H$3&lt;=$O$2,$D309,$D309-($D309-$I$292)*MIN(H$3-$O$2,$Q$2)/$Q$2))</f>
        <v>9441.14054100696</v>
      </c>
      <c r="I309" s="15" t="n">
        <f aca="false">H309*(1+IF(I$3&lt;=$O$2,$D309,$D309-($D309-$I$292)*MIN(I$3-$O$2,$Q$2)/$Q$2))</f>
        <v>9180.46329782837</v>
      </c>
      <c r="J309" s="15" t="n">
        <f aca="false">I309*(1+IF(J$3&lt;=$O$2,$D309,$D309-($D309-$I$292)*MIN(J$3-$O$2,$Q$2)/$Q$2))</f>
        <v>9048.00185350834</v>
      </c>
      <c r="K309" s="15" t="n">
        <f aca="false">J309*(1+IF(K$3&lt;=$O$2,$D309,$D309-($D309-$I$292)*MIN(K$3-$O$2,$Q$2)/$Q$2))</f>
        <v>9036.7238152019</v>
      </c>
      <c r="L309" s="15" t="n">
        <f aca="false">K309*(1+IF(L$3&lt;=$O$2,$D309,$D309-($D309-$I$292)*MIN(L$3-$O$2,$Q$2)/$Q$2))</f>
        <v>9144.58333550889</v>
      </c>
      <c r="M309" s="15" t="n">
        <f aca="false">L309*(1+IF(M$3&lt;=$O$2,$D309,$D309-($D309-$I$292)*MIN(M$3-$O$2,$Q$2)/$Q$2))</f>
        <v>9374.27555535418</v>
      </c>
      <c r="N309" s="15" t="n">
        <f aca="false">M309*(1+IF(N$3&lt;=$O$2,$D309,$D309-($D309-$I$292)*MIN(N$3-$O$2,$Q$2)/$Q$2))</f>
        <v>9733.31030912425</v>
      </c>
      <c r="O309" s="15" t="n">
        <f aca="false">SUMPRODUCT(E309:N309,1/(1+$F$292)^$E$3:$N$3)*$E$2</f>
        <v>32889.3002224738</v>
      </c>
      <c r="P309" s="15" t="n">
        <f aca="false">N309*$E$2*(1+$I$292)/($F$292-$I$292)/(1+$F$292)^$N$3</f>
        <v>74054.6123792849</v>
      </c>
      <c r="Q309" s="15" t="n">
        <f aca="false">O309+P309</f>
        <v>106943.912601759</v>
      </c>
      <c r="R309" s="15" t="n">
        <f aca="false">Q309-$G$2+$I$2</f>
        <v>87483.9126017586</v>
      </c>
      <c r="S309" s="40" t="n">
        <f aca="false">R309/$K$2</f>
        <v>155.834469088795</v>
      </c>
      <c r="T309" s="41" t="n">
        <f aca="false">S309-$M$2</f>
        <v>0.0247824182095258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-0.0276336669921875</v>
      </c>
      <c r="C310" s="25" t="n">
        <f aca="false">IF(T309&gt;0,D309,C309)</f>
        <v>-0.0276107788085938</v>
      </c>
      <c r="D310" s="39" t="n">
        <f aca="false">(B310+C310)/2</f>
        <v>-0.0276222229003906</v>
      </c>
      <c r="E310" s="15" t="n">
        <f aca="false">$C$2*(1+IF(E$3&lt;=$O$2,$D310,$D310-($D310-$I$292)*MIN(E$3-$O$2,$Q$2)/$Q$2))</f>
        <v>10268.3093261719</v>
      </c>
      <c r="F310" s="15" t="n">
        <f aca="false">E310*(1+IF(F$3&lt;=$O$2,$D310,$D310-($D310-$I$292)*MIN(F$3-$O$2,$Q$2)/$Q$2))</f>
        <v>9984.6757971542</v>
      </c>
      <c r="G310" s="15" t="n">
        <f aca="false">F310*(1+IF(G$3&lt;=$O$2,$D310,$D310-($D310-$I$292)*MIN(G$3-$O$2,$Q$2)/$Q$2))</f>
        <v>9708.87685669707</v>
      </c>
      <c r="H310" s="15" t="n">
        <f aca="false">G310*(1+IF(H$3&lt;=$O$2,$D310,$D310-($D310-$I$292)*MIN(H$3-$O$2,$Q$2)/$Q$2))</f>
        <v>9440.69609604894</v>
      </c>
      <c r="I310" s="15" t="n">
        <f aca="false">H310*(1+IF(I$3&lt;=$O$2,$D310,$D310-($D310-$I$292)*MIN(I$3-$O$2,$Q$2)/$Q$2))</f>
        <v>9179.92308414902</v>
      </c>
      <c r="J310" s="15" t="n">
        <f aca="false">I310*(1+IF(J$3&lt;=$O$2,$D310,$D310-($D310-$I$292)*MIN(J$3-$O$2,$Q$2)/$Q$2))</f>
        <v>9047.38538966256</v>
      </c>
      <c r="K310" s="15" t="n">
        <f aca="false">J310*(1+IF(K$3&lt;=$O$2,$D310,$D310-($D310-$I$292)*MIN(K$3-$O$2,$Q$2)/$Q$2))</f>
        <v>9036.04599629279</v>
      </c>
      <c r="L310" s="15" t="n">
        <f aca="false">K310*(1+IF(L$3&lt;=$O$2,$D310,$D310-($D310-$I$292)*MIN(L$3-$O$2,$Q$2)/$Q$2))</f>
        <v>9143.85606262849</v>
      </c>
      <c r="M310" s="15" t="n">
        <f aca="false">L310*(1+IF(M$3&lt;=$O$2,$D310,$D310-($D310-$I$292)*MIN(M$3-$O$2,$Q$2)/$Q$2))</f>
        <v>9373.50908632122</v>
      </c>
      <c r="N310" s="15" t="n">
        <f aca="false">M310*(1+IF(N$3&lt;=$O$2,$D310,$D310-($D310-$I$292)*MIN(N$3-$O$2,$Q$2)/$Q$2))</f>
        <v>9732.51448432733</v>
      </c>
      <c r="O310" s="15" t="n">
        <f aca="false">SUMPRODUCT(E310:N310,1/(1+$F$292)^$E$3:$N$3)*$E$2</f>
        <v>32887.6360494561</v>
      </c>
      <c r="P310" s="15" t="n">
        <f aca="false">N310*$E$2*(1+$I$292)/($F$292-$I$292)/(1+$F$292)^$N$3</f>
        <v>74048.5574509012</v>
      </c>
      <c r="Q310" s="15" t="n">
        <f aca="false">O310+P310</f>
        <v>106936.193500357</v>
      </c>
      <c r="R310" s="15" t="n">
        <f aca="false">Q310-$G$2+$I$2</f>
        <v>87476.1935003572</v>
      </c>
      <c r="S310" s="40" t="n">
        <f aca="false">R310/$K$2</f>
        <v>155.820719108565</v>
      </c>
      <c r="T310" s="41" t="n">
        <f aca="false">S310-$M$2</f>
        <v>0.0110324379793951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-0.0276336669921875</v>
      </c>
      <c r="C311" s="25" t="n">
        <f aca="false">IF(T310&gt;0,D310,C310)</f>
        <v>-0.0276222229003906</v>
      </c>
      <c r="D311" s="39" t="n">
        <f aca="false">(B311+C311)/2</f>
        <v>-0.0276279449462891</v>
      </c>
      <c r="E311" s="15" t="n">
        <f aca="false">$C$2*(1+IF(E$3&lt;=$O$2,$D311,$D311-($D311-$I$292)*MIN(E$3-$O$2,$Q$2)/$Q$2))</f>
        <v>10268.2489013672</v>
      </c>
      <c r="F311" s="15" t="n">
        <f aca="false">E311*(1+IF(F$3&lt;=$O$2,$D311,$D311-($D311-$I$292)*MIN(F$3-$O$2,$Q$2)/$Q$2))</f>
        <v>9984.55828602542</v>
      </c>
      <c r="G311" s="15" t="n">
        <f aca="false">F311*(1+IF(G$3&lt;=$O$2,$D311,$D311-($D311-$I$292)*MIN(G$3-$O$2,$Q$2)/$Q$2))</f>
        <v>9708.7054593861</v>
      </c>
      <c r="H311" s="15" t="n">
        <f aca="false">G311*(1+IF(H$3&lt;=$O$2,$D311,$D311-($D311-$I$292)*MIN(H$3-$O$2,$Q$2)/$Q$2))</f>
        <v>9440.47387945444</v>
      </c>
      <c r="I311" s="15" t="n">
        <f aca="false">H311*(1+IF(I$3&lt;=$O$2,$D311,$D311-($D311-$I$292)*MIN(I$3-$O$2,$Q$2)/$Q$2))</f>
        <v>9179.652986846</v>
      </c>
      <c r="J311" s="15" t="n">
        <f aca="false">I311*(1+IF(J$3&lt;=$O$2,$D311,$D311-($D311-$I$292)*MIN(J$3-$O$2,$Q$2)/$Q$2))</f>
        <v>9047.07717084794</v>
      </c>
      <c r="K311" s="15" t="n">
        <f aca="false">J311*(1+IF(K$3&lt;=$O$2,$D311,$D311-($D311-$I$292)*MIN(K$3-$O$2,$Q$2)/$Q$2))</f>
        <v>9035.70710310472</v>
      </c>
      <c r="L311" s="15" t="n">
        <f aca="false">K311*(1+IF(L$3&lt;=$O$2,$D311,$D311-($D311-$I$292)*MIN(L$3-$O$2,$Q$2)/$Q$2))</f>
        <v>9143.49244497592</v>
      </c>
      <c r="M311" s="15" t="n">
        <f aca="false">L311*(1+IF(M$3&lt;=$O$2,$D311,$D311-($D311-$I$292)*MIN(M$3-$O$2,$Q$2)/$Q$2))</f>
        <v>9373.12587231266</v>
      </c>
      <c r="N311" s="15" t="n">
        <f aca="false">M311*(1+IF(N$3&lt;=$O$2,$D311,$D311-($D311-$I$292)*MIN(N$3-$O$2,$Q$2)/$Q$2))</f>
        <v>9732.11659322224</v>
      </c>
      <c r="O311" s="15" t="n">
        <f aca="false">SUMPRODUCT(E311:N311,1/(1+$F$292)^$E$3:$N$3)*$E$2</f>
        <v>32886.8039954092</v>
      </c>
      <c r="P311" s="15" t="n">
        <f aca="false">N311*$E$2*(1+$I$292)/($F$292-$I$292)/(1+$F$292)^$N$3</f>
        <v>74045.5301487172</v>
      </c>
      <c r="Q311" s="15" t="n">
        <f aca="false">O311+P311</f>
        <v>106932.334144126</v>
      </c>
      <c r="R311" s="15" t="n">
        <f aca="false">Q311-$G$2+$I$2</f>
        <v>87472.3341441264</v>
      </c>
      <c r="S311" s="40" t="n">
        <f aca="false">R311/$K$2</f>
        <v>155.813844464858</v>
      </c>
      <c r="T311" s="41" t="n">
        <f aca="false">S311-$M$2</f>
        <v>0.00415779427203233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-0.0276336669921875</v>
      </c>
      <c r="C312" s="25" t="n">
        <f aca="false">IF(T311&gt;0,D311,C311)</f>
        <v>-0.0276279449462891</v>
      </c>
      <c r="D312" s="39" t="n">
        <f aca="false">(B312+C312)/2</f>
        <v>-0.0276308059692383</v>
      </c>
      <c r="E312" s="15" t="n">
        <f aca="false">$C$2*(1+IF(E$3&lt;=$O$2,$D312,$D312-($D312-$I$292)*MIN(E$3-$O$2,$Q$2)/$Q$2))</f>
        <v>10268.2186889648</v>
      </c>
      <c r="F312" s="15" t="n">
        <f aca="false">E312*(1+IF(F$3&lt;=$O$2,$D312,$D312-($D312-$I$292)*MIN(F$3-$O$2,$Q$2)/$Q$2))</f>
        <v>9984.49953072035</v>
      </c>
      <c r="G312" s="15" t="n">
        <f aca="false">F312*(1+IF(G$3&lt;=$O$2,$D312,$D312-($D312-$I$292)*MIN(G$3-$O$2,$Q$2)/$Q$2))</f>
        <v>9708.61976148707</v>
      </c>
      <c r="H312" s="15" t="n">
        <f aca="false">G312*(1+IF(H$3&lt;=$O$2,$D312,$D312-($D312-$I$292)*MIN(H$3-$O$2,$Q$2)/$Q$2))</f>
        <v>9440.3627726283</v>
      </c>
      <c r="I312" s="15" t="n">
        <f aca="false">H312*(1+IF(I$3&lt;=$O$2,$D312,$D312-($D312-$I$292)*MIN(I$3-$O$2,$Q$2)/$Q$2))</f>
        <v>9179.51794057859</v>
      </c>
      <c r="J312" s="15" t="n">
        <f aca="false">I312*(1+IF(J$3&lt;=$O$2,$D312,$D312-($D312-$I$292)*MIN(J$3-$O$2,$Q$2)/$Q$2))</f>
        <v>9046.92306471761</v>
      </c>
      <c r="K312" s="15" t="n">
        <f aca="false">J312*(1+IF(K$3&lt;=$O$2,$D312,$D312-($D312-$I$292)*MIN(K$3-$O$2,$Q$2)/$Q$2))</f>
        <v>9035.53766057718</v>
      </c>
      <c r="L312" s="15" t="n">
        <f aca="false">K312*(1+IF(L$3&lt;=$O$2,$D312,$D312-($D312-$I$292)*MIN(L$3-$O$2,$Q$2)/$Q$2))</f>
        <v>9143.31064084638</v>
      </c>
      <c r="M312" s="15" t="n">
        <f aca="false">L312*(1+IF(M$3&lt;=$O$2,$D312,$D312-($D312-$I$292)*MIN(M$3-$O$2,$Q$2)/$Q$2))</f>
        <v>9372.93427043517</v>
      </c>
      <c r="N312" s="15" t="n">
        <f aca="false">M312*(1+IF(N$3&lt;=$O$2,$D312,$D312-($D312-$I$292)*MIN(N$3-$O$2,$Q$2)/$Q$2))</f>
        <v>9731.91765299284</v>
      </c>
      <c r="O312" s="15" t="n">
        <f aca="false">SUMPRODUCT(E312:N312,1/(1+$F$292)^$E$3:$N$3)*$E$2</f>
        <v>32886.387976501</v>
      </c>
      <c r="P312" s="15" t="n">
        <f aca="false">N312*$E$2*(1+$I$292)/($F$292-$I$292)/(1+$F$292)^$N$3</f>
        <v>74044.0165381256</v>
      </c>
      <c r="Q312" s="15" t="n">
        <f aca="false">O312+P312</f>
        <v>106930.404514627</v>
      </c>
      <c r="R312" s="15" t="n">
        <f aca="false">Q312-$G$2+$I$2</f>
        <v>87470.4045146267</v>
      </c>
      <c r="S312" s="40" t="n">
        <f aca="false">R312/$K$2</f>
        <v>155.810407229603</v>
      </c>
      <c r="T312" s="41" t="n">
        <f aca="false">S312-$M$2</f>
        <v>0.000720559017253208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-0.0276336669921875</v>
      </c>
      <c r="C313" s="25" t="n">
        <f aca="false">IF(T312&gt;0,D312,C312)</f>
        <v>-0.0276308059692383</v>
      </c>
      <c r="D313" s="39" t="n">
        <f aca="false">(B313+C313)/2</f>
        <v>-0.0276322364807129</v>
      </c>
      <c r="E313" s="15" t="n">
        <f aca="false">$C$2*(1+IF(E$3&lt;=$O$2,$D313,$D313-($D313-$I$292)*MIN(E$3-$O$2,$Q$2)/$Q$2))</f>
        <v>10268.2035827637</v>
      </c>
      <c r="F313" s="15" t="n">
        <f aca="false">E313*(1+IF(F$3&lt;=$O$2,$D313,$D313-($D313-$I$292)*MIN(F$3-$O$2,$Q$2)/$Q$2))</f>
        <v>9984.47015313264</v>
      </c>
      <c r="G313" s="15" t="n">
        <f aca="false">F313*(1+IF(G$3&lt;=$O$2,$D313,$D313-($D313-$I$292)*MIN(G$3-$O$2,$Q$2)/$Q$2))</f>
        <v>9708.57691272666</v>
      </c>
      <c r="H313" s="15" t="n">
        <f aca="false">G313*(1+IF(H$3&lt;=$O$2,$D313,$D313-($D313-$I$292)*MIN(H$3-$O$2,$Q$2)/$Q$2))</f>
        <v>9440.30721958301</v>
      </c>
      <c r="I313" s="15" t="n">
        <f aca="false">H313*(1+IF(I$3&lt;=$O$2,$D313,$D313-($D313-$I$292)*MIN(I$3-$O$2,$Q$2)/$Q$2))</f>
        <v>9179.45041804091</v>
      </c>
      <c r="J313" s="15" t="n">
        <f aca="false">I313*(1+IF(J$3&lt;=$O$2,$D313,$D313-($D313-$I$292)*MIN(J$3-$O$2,$Q$2)/$Q$2))</f>
        <v>9046.84601247168</v>
      </c>
      <c r="K313" s="15" t="n">
        <f aca="false">J313*(1+IF(K$3&lt;=$O$2,$D313,$D313-($D313-$I$292)*MIN(K$3-$O$2,$Q$2)/$Q$2))</f>
        <v>9035.45294033002</v>
      </c>
      <c r="L313" s="15" t="n">
        <f aca="false">K313*(1+IF(L$3&lt;=$O$2,$D313,$D313-($D313-$I$292)*MIN(L$3-$O$2,$Q$2)/$Q$2))</f>
        <v>9143.21973995578</v>
      </c>
      <c r="M313" s="15" t="n">
        <f aca="false">L313*(1+IF(M$3&lt;=$O$2,$D313,$D313-($D313-$I$292)*MIN(M$3-$O$2,$Q$2)/$Q$2))</f>
        <v>9372.83847077811</v>
      </c>
      <c r="N313" s="15" t="n">
        <f aca="false">M313*(1+IF(N$3&lt;=$O$2,$D313,$D313-($D313-$I$292)*MIN(N$3-$O$2,$Q$2)/$Q$2))</f>
        <v>9731.81818420891</v>
      </c>
      <c r="O313" s="15" t="n">
        <f aca="false">SUMPRODUCT(E313:N313,1/(1+$F$292)^$E$3:$N$3)*$E$2</f>
        <v>32886.1799690758</v>
      </c>
      <c r="P313" s="15" t="n">
        <f aca="false">N313*$E$2*(1+$I$292)/($F$292-$I$292)/(1+$F$292)^$N$3</f>
        <v>74043.2597429548</v>
      </c>
      <c r="Q313" s="15" t="n">
        <f aca="false">O313+P313</f>
        <v>106929.439712031</v>
      </c>
      <c r="R313" s="15" t="n">
        <f aca="false">Q313-$G$2+$I$2</f>
        <v>87469.4397120306</v>
      </c>
      <c r="S313" s="40" t="n">
        <f aca="false">R313/$K$2</f>
        <v>155.808688633625</v>
      </c>
      <c r="T313" s="41" t="n">
        <f aca="false">S313-$M$2</f>
        <v>-0.000998036960822901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-0.0276322364807129</v>
      </c>
      <c r="C314" s="25" t="n">
        <f aca="false">IF(T313&gt;0,D313,C313)</f>
        <v>-0.0276308059692383</v>
      </c>
      <c r="D314" s="39" t="n">
        <f aca="false">(B314+C314)/2</f>
        <v>-0.0276315212249756</v>
      </c>
      <c r="E314" s="15" t="n">
        <f aca="false">$C$2*(1+IF(E$3&lt;=$O$2,$D314,$D314-($D314-$I$292)*MIN(E$3-$O$2,$Q$2)/$Q$2))</f>
        <v>10268.2111358643</v>
      </c>
      <c r="F314" s="15" t="n">
        <f aca="false">E314*(1+IF(F$3&lt;=$O$2,$D314,$D314-($D314-$I$292)*MIN(F$3-$O$2,$Q$2)/$Q$2))</f>
        <v>9984.48484192109</v>
      </c>
      <c r="G314" s="15" t="n">
        <f aca="false">F314*(1+IF(G$3&lt;=$O$2,$D314,$D314-($D314-$I$292)*MIN(G$3-$O$2,$Q$2)/$Q$2))</f>
        <v>9708.5983370911</v>
      </c>
      <c r="H314" s="15" t="n">
        <f aca="false">G314*(1+IF(H$3&lt;=$O$2,$D314,$D314-($D314-$I$292)*MIN(H$3-$O$2,$Q$2)/$Q$2))</f>
        <v>9440.33499607501</v>
      </c>
      <c r="I314" s="15" t="n">
        <f aca="false">H314*(1+IF(I$3&lt;=$O$2,$D314,$D314-($D314-$I$292)*MIN(I$3-$O$2,$Q$2)/$Q$2))</f>
        <v>9179.48417926008</v>
      </c>
      <c r="J314" s="15" t="n">
        <f aca="false">I314*(1+IF(J$3&lt;=$O$2,$D314,$D314-($D314-$I$292)*MIN(J$3-$O$2,$Q$2)/$Q$2))</f>
        <v>9046.88453852637</v>
      </c>
      <c r="K314" s="15" t="n">
        <f aca="false">J314*(1+IF(K$3&lt;=$O$2,$D314,$D314-($D314-$I$292)*MIN(K$3-$O$2,$Q$2)/$Q$2))</f>
        <v>9035.49530036888</v>
      </c>
      <c r="L314" s="15" t="n">
        <f aca="false">K314*(1+IF(L$3&lt;=$O$2,$D314,$D314-($D314-$I$292)*MIN(L$3-$O$2,$Q$2)/$Q$2))</f>
        <v>9143.26519030323</v>
      </c>
      <c r="M314" s="15" t="n">
        <f aca="false">L314*(1+IF(M$3&lt;=$O$2,$D314,$D314-($D314-$I$292)*MIN(M$3-$O$2,$Q$2)/$Q$2))</f>
        <v>9372.88637049983</v>
      </c>
      <c r="N314" s="15" t="n">
        <f aca="false">M314*(1+IF(N$3&lt;=$O$2,$D314,$D314-($D314-$I$292)*MIN(N$3-$O$2,$Q$2)/$Q$2))</f>
        <v>9731.86791848998</v>
      </c>
      <c r="O314" s="15" t="n">
        <f aca="false">SUMPRODUCT(E314:N314,1/(1+$F$292)^$E$3:$N$3)*$E$2</f>
        <v>32886.2839726193</v>
      </c>
      <c r="P314" s="15" t="n">
        <f aca="false">N314*$E$2*(1+$I$292)/($F$292-$I$292)/(1+$F$292)^$N$3</f>
        <v>74043.6381396965</v>
      </c>
      <c r="Q314" s="15" t="n">
        <f aca="false">O314+P314</f>
        <v>106929.922112316</v>
      </c>
      <c r="R314" s="15" t="n">
        <f aca="false">Q314-$G$2+$I$2</f>
        <v>87469.9221123158</v>
      </c>
      <c r="S314" s="40" t="n">
        <f aca="false">R314/$K$2</f>
        <v>155.80954792981</v>
      </c>
      <c r="T314" s="41" t="n">
        <f aca="false">S314-$M$2</f>
        <v>-0.000138740775867063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-0.0276315212249756</v>
      </c>
      <c r="C315" s="25" t="n">
        <f aca="false">IF(T314&gt;0,D314,C314)</f>
        <v>-0.0276308059692383</v>
      </c>
      <c r="D315" s="39" t="n">
        <f aca="false">(B315+C315)/2</f>
        <v>-0.0276311635971069</v>
      </c>
      <c r="E315" s="15" t="n">
        <f aca="false">$C$2*(1+IF(E$3&lt;=$O$2,$D315,$D315-($D315-$I$292)*MIN(E$3-$O$2,$Q$2)/$Q$2))</f>
        <v>10268.2149124146</v>
      </c>
      <c r="F315" s="15" t="n">
        <f aca="false">E315*(1+IF(F$3&lt;=$O$2,$D315,$D315-($D315-$I$292)*MIN(F$3-$O$2,$Q$2)/$Q$2))</f>
        <v>9984.49218631937</v>
      </c>
      <c r="G315" s="15" t="n">
        <f aca="false">F315*(1+IF(G$3&lt;=$O$2,$D315,$D315-($D315-$I$292)*MIN(G$3-$O$2,$Q$2)/$Q$2))</f>
        <v>9708.60904928514</v>
      </c>
      <c r="H315" s="15" t="n">
        <f aca="false">G315*(1+IF(H$3&lt;=$O$2,$D315,$D315-($D315-$I$292)*MIN(H$3-$O$2,$Q$2)/$Q$2))</f>
        <v>9440.34888434399</v>
      </c>
      <c r="I315" s="15" t="n">
        <f aca="false">H315*(1+IF(I$3&lt;=$O$2,$D315,$D315-($D315-$I$292)*MIN(I$3-$O$2,$Q$2)/$Q$2))</f>
        <v>9179.50105990692</v>
      </c>
      <c r="J315" s="15" t="n">
        <f aca="false">I315*(1+IF(J$3&lt;=$O$2,$D315,$D315-($D315-$I$292)*MIN(J$3-$O$2,$Q$2)/$Q$2))</f>
        <v>9046.90380160492</v>
      </c>
      <c r="K315" s="15" t="n">
        <f aca="false">J315*(1+IF(K$3&lt;=$O$2,$D315,$D315-($D315-$I$292)*MIN(K$3-$O$2,$Q$2)/$Q$2))</f>
        <v>9035.51648045185</v>
      </c>
      <c r="L315" s="15" t="n">
        <f aca="false">K315*(1+IF(L$3&lt;=$O$2,$D315,$D315-($D315-$I$292)*MIN(L$3-$O$2,$Q$2)/$Q$2))</f>
        <v>9143.28791555035</v>
      </c>
      <c r="M315" s="15" t="n">
        <f aca="false">L315*(1+IF(M$3&lt;=$O$2,$D315,$D315-($D315-$I$292)*MIN(M$3-$O$2,$Q$2)/$Q$2))</f>
        <v>9372.9103204408</v>
      </c>
      <c r="N315" s="15" t="n">
        <f aca="false">M315*(1+IF(N$3&lt;=$O$2,$D315,$D315-($D315-$I$292)*MIN(N$3-$O$2,$Q$2)/$Q$2))</f>
        <v>9731.89278571368</v>
      </c>
      <c r="O315" s="15" t="n">
        <f aca="false">SUMPRODUCT(E315:N315,1/(1+$F$292)^$E$3:$N$3)*$E$2</f>
        <v>32886.3359745179</v>
      </c>
      <c r="P315" s="15" t="n">
        <f aca="false">N315*$E$2*(1+$I$292)/($F$292-$I$292)/(1+$F$292)^$N$3</f>
        <v>74043.8273387001</v>
      </c>
      <c r="Q315" s="15" t="n">
        <f aca="false">O315+P315</f>
        <v>106930.163313218</v>
      </c>
      <c r="R315" s="15" t="n">
        <f aca="false">Q315-$G$2+$I$2</f>
        <v>87470.1633132181</v>
      </c>
      <c r="S315" s="40" t="n">
        <f aca="false">R315/$K$2</f>
        <v>155.809977579255</v>
      </c>
      <c r="T315" s="41" t="n">
        <f aca="false">S315-$M$2</f>
        <v>0.000290908669654755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-0.0276315212249756</v>
      </c>
      <c r="C316" s="25" t="n">
        <f aca="false">IF(T315&gt;0,D315,C315)</f>
        <v>-0.0276311635971069</v>
      </c>
      <c r="D316" s="39" t="n">
        <f aca="false">(B316+C316)/2</f>
        <v>-0.0276313424110413</v>
      </c>
      <c r="E316" s="15" t="n">
        <f aca="false">$C$2*(1+IF(E$3&lt;=$O$2,$D316,$D316-($D316-$I$292)*MIN(E$3-$O$2,$Q$2)/$Q$2))</f>
        <v>10268.2130241394</v>
      </c>
      <c r="F316" s="15" t="n">
        <f aca="false">E316*(1+IF(F$3&lt;=$O$2,$D316,$D316-($D316-$I$292)*MIN(F$3-$O$2,$Q$2)/$Q$2))</f>
        <v>9984.4885141199</v>
      </c>
      <c r="G316" s="15" t="n">
        <f aca="false">F316*(1+IF(G$3&lt;=$O$2,$D316,$D316-($D316-$I$292)*MIN(G$3-$O$2,$Q$2)/$Q$2))</f>
        <v>9708.60369318714</v>
      </c>
      <c r="H316" s="15" t="n">
        <f aca="false">G316*(1+IF(H$3&lt;=$O$2,$D316,$D316-($D316-$I$292)*MIN(H$3-$O$2,$Q$2)/$Q$2))</f>
        <v>9440.34194020759</v>
      </c>
      <c r="I316" s="15" t="n">
        <f aca="false">H316*(1+IF(I$3&lt;=$O$2,$D316,$D316-($D316-$I$292)*MIN(I$3-$O$2,$Q$2)/$Q$2))</f>
        <v>9179.4926195804</v>
      </c>
      <c r="J316" s="15" t="n">
        <f aca="false">I316*(1+IF(J$3&lt;=$O$2,$D316,$D316-($D316-$I$292)*MIN(J$3-$O$2,$Q$2)/$Q$2))</f>
        <v>9046.89417006138</v>
      </c>
      <c r="K316" s="15" t="n">
        <f aca="false">J316*(1+IF(K$3&lt;=$O$2,$D316,$D316-($D316-$I$292)*MIN(K$3-$O$2,$Q$2)/$Q$2))</f>
        <v>9035.50589040507</v>
      </c>
      <c r="L316" s="15" t="n">
        <f aca="false">K316*(1+IF(L$3&lt;=$O$2,$D316,$D316-($D316-$I$292)*MIN(L$3-$O$2,$Q$2)/$Q$2))</f>
        <v>9143.27655292068</v>
      </c>
      <c r="M316" s="15" t="n">
        <f aca="false">L316*(1+IF(M$3&lt;=$O$2,$D316,$D316-($D316-$I$292)*MIN(M$3-$O$2,$Q$2)/$Q$2))</f>
        <v>9372.89834546365</v>
      </c>
      <c r="N316" s="15" t="n">
        <f aca="false">M316*(1+IF(N$3&lt;=$O$2,$D316,$D316-($D316-$I$292)*MIN(N$3-$O$2,$Q$2)/$Q$2))</f>
        <v>9731.8803520949</v>
      </c>
      <c r="O316" s="15" t="n">
        <f aca="false">SUMPRODUCT(E316:N316,1/(1+$F$292)^$E$3:$N$3)*$E$2</f>
        <v>32886.3099735581</v>
      </c>
      <c r="P316" s="15" t="n">
        <f aca="false">N316*$E$2*(1+$I$292)/($F$292-$I$292)/(1+$F$292)^$N$3</f>
        <v>74043.7327391456</v>
      </c>
      <c r="Q316" s="15" t="n">
        <f aca="false">O316+P316</f>
        <v>106930.042712704</v>
      </c>
      <c r="R316" s="15" t="n">
        <f aca="false">Q316-$G$2+$I$2</f>
        <v>87470.0427127037</v>
      </c>
      <c r="S316" s="40" t="n">
        <f aca="false">R316/$K$2</f>
        <v>155.80976275442</v>
      </c>
      <c r="T316" s="41" t="n">
        <f aca="false">S316-$M$2</f>
        <v>7.60838342159786E-005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-0.0276315212249756</v>
      </c>
      <c r="C317" s="25" t="n">
        <f aca="false">IF(T316&gt;0,D316,C316)</f>
        <v>-0.0276313424110413</v>
      </c>
      <c r="D317" s="39" t="n">
        <f aca="false">(B317+C317)/2</f>
        <v>-0.0276314318180084</v>
      </c>
      <c r="E317" s="15" t="n">
        <f aca="false">$C$2*(1+IF(E$3&lt;=$O$2,$D317,$D317-($D317-$I$292)*MIN(E$3-$O$2,$Q$2)/$Q$2))</f>
        <v>10268.2120800018</v>
      </c>
      <c r="F317" s="15" t="n">
        <f aca="false">E317*(1+IF(F$3&lt;=$O$2,$D317,$D317-($D317-$I$292)*MIN(F$3-$O$2,$Q$2)/$Q$2))</f>
        <v>9984.48667802041</v>
      </c>
      <c r="G317" s="15" t="n">
        <f aca="false">F317*(1+IF(G$3&lt;=$O$2,$D317,$D317-($D317-$I$292)*MIN(G$3-$O$2,$Q$2)/$Q$2))</f>
        <v>9708.60101513888</v>
      </c>
      <c r="H317" s="15" t="n">
        <f aca="false">G317*(1+IF(H$3&lt;=$O$2,$D317,$D317-($D317-$I$292)*MIN(H$3-$O$2,$Q$2)/$Q$2))</f>
        <v>9440.33846814082</v>
      </c>
      <c r="I317" s="15" t="n">
        <f aca="false">H317*(1+IF(I$3&lt;=$O$2,$D317,$D317-($D317-$I$292)*MIN(I$3-$O$2,$Q$2)/$Q$2))</f>
        <v>9179.48839941946</v>
      </c>
      <c r="J317" s="15" t="n">
        <f aca="false">I317*(1+IF(J$3&lt;=$O$2,$D317,$D317-($D317-$I$292)*MIN(J$3-$O$2,$Q$2)/$Q$2))</f>
        <v>9046.88935429281</v>
      </c>
      <c r="K317" s="15" t="n">
        <f aca="false">J317*(1+IF(K$3&lt;=$O$2,$D317,$D317-($D317-$I$292)*MIN(K$3-$O$2,$Q$2)/$Q$2))</f>
        <v>9035.50059538565</v>
      </c>
      <c r="L317" s="15" t="n">
        <f aca="false">K317*(1+IF(L$3&lt;=$O$2,$D317,$D317-($D317-$I$292)*MIN(L$3-$O$2,$Q$2)/$Q$2))</f>
        <v>9143.27087161043</v>
      </c>
      <c r="M317" s="15" t="n">
        <f aca="false">L317*(1+IF(M$3&lt;=$O$2,$D317,$D317-($D317-$I$292)*MIN(M$3-$O$2,$Q$2)/$Q$2))</f>
        <v>9372.89235798007</v>
      </c>
      <c r="N317" s="15" t="n">
        <f aca="false">M317*(1+IF(N$3&lt;=$O$2,$D317,$D317-($D317-$I$292)*MIN(N$3-$O$2,$Q$2)/$Q$2))</f>
        <v>9731.87413529071</v>
      </c>
      <c r="O317" s="15" t="n">
        <f aca="false">SUMPRODUCT(E317:N317,1/(1+$F$292)^$E$3:$N$3)*$E$2</f>
        <v>32886.2969730861</v>
      </c>
      <c r="P317" s="15" t="n">
        <f aca="false">N317*$E$2*(1+$I$292)/($F$292-$I$292)/(1+$F$292)^$N$3</f>
        <v>74043.6854394079</v>
      </c>
      <c r="Q317" s="15" t="n">
        <f aca="false">O317+P317</f>
        <v>106929.982412494</v>
      </c>
      <c r="R317" s="15" t="n">
        <f aca="false">Q317-$G$2+$I$2</f>
        <v>87469.9824124939</v>
      </c>
      <c r="S317" s="40" t="n">
        <f aca="false">R317/$K$2</f>
        <v>155.809655342087</v>
      </c>
      <c r="T317" s="41" t="n">
        <f aca="false">S317-$M$2</f>
        <v>-3.13284990056673E-005</v>
      </c>
    </row>
    <row r="319" customFormat="false" ht="15" hidden="false" customHeight="false" outlineLevel="0" collapsed="false">
      <c r="A319" s="36" t="s">
        <v>197</v>
      </c>
      <c r="E319" s="5" t="s">
        <v>11</v>
      </c>
      <c r="F319" s="12" t="n">
        <f aca="false">Sensitivity!$B$12</f>
        <v>0.0770172026214128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6" t="s">
        <v>167</v>
      </c>
      <c r="B320" s="28" t="s">
        <v>168</v>
      </c>
      <c r="C320" s="28" t="s">
        <v>169</v>
      </c>
      <c r="D320" s="28" t="s">
        <v>170</v>
      </c>
      <c r="E320" s="28" t="s">
        <v>171</v>
      </c>
      <c r="F320" s="28" t="s">
        <v>172</v>
      </c>
      <c r="G320" s="28" t="s">
        <v>173</v>
      </c>
      <c r="H320" s="28" t="s">
        <v>174</v>
      </c>
      <c r="I320" s="28" t="s">
        <v>175</v>
      </c>
      <c r="J320" s="28" t="s">
        <v>176</v>
      </c>
      <c r="K320" s="28" t="s">
        <v>177</v>
      </c>
      <c r="L320" s="28" t="s">
        <v>178</v>
      </c>
      <c r="M320" s="28" t="s">
        <v>179</v>
      </c>
      <c r="N320" s="28" t="s">
        <v>180</v>
      </c>
      <c r="O320" s="28" t="s">
        <v>181</v>
      </c>
      <c r="P320" s="28" t="s">
        <v>182</v>
      </c>
      <c r="Q320" s="28" t="s">
        <v>183</v>
      </c>
      <c r="R320" s="28" t="s">
        <v>184</v>
      </c>
      <c r="S320" s="28" t="s">
        <v>185</v>
      </c>
      <c r="T320" s="28" t="s">
        <v>186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39" t="n">
        <f aca="false">(B321+C321)/2</f>
        <v>0.25</v>
      </c>
      <c r="E321" s="15" t="n">
        <f aca="false">$C$2*(1+IF(E$3&lt;=$O$2,$D321,$D321-($D321-$I$319)*MIN(E$3-$O$2,$Q$2)/$Q$2))</f>
        <v>13200</v>
      </c>
      <c r="F321" s="15" t="n">
        <f aca="false">E321*(1+IF(F$3&lt;=$O$2,$D321,$D321-($D321-$I$319)*MIN(F$3-$O$2,$Q$2)/$Q$2))</f>
        <v>16500</v>
      </c>
      <c r="G321" s="15" t="n">
        <f aca="false">F321*(1+IF(G$3&lt;=$O$2,$D321,$D321-($D321-$I$319)*MIN(G$3-$O$2,$Q$2)/$Q$2))</f>
        <v>20625</v>
      </c>
      <c r="H321" s="15" t="n">
        <f aca="false">G321*(1+IF(H$3&lt;=$O$2,$D321,$D321-($D321-$I$319)*MIN(H$3-$O$2,$Q$2)/$Q$2))</f>
        <v>25781.25</v>
      </c>
      <c r="I321" s="15" t="n">
        <f aca="false">H321*(1+IF(I$3&lt;=$O$2,$D321,$D321-($D321-$I$319)*MIN(I$3-$O$2,$Q$2)/$Q$2))</f>
        <v>32226.5625</v>
      </c>
      <c r="J321" s="15" t="n">
        <f aca="false">I321*(1+IF(J$3&lt;=$O$2,$D321,$D321-($D321-$I$319)*MIN(J$3-$O$2,$Q$2)/$Q$2))</f>
        <v>38789.82421875</v>
      </c>
      <c r="K321" s="15" t="n">
        <f aca="false">J321*(1+IF(K$3&lt;=$O$2,$D321,$D321-($D321-$I$319)*MIN(K$3-$O$2,$Q$2)/$Q$2))</f>
        <v>44892.2393648437</v>
      </c>
      <c r="L321" s="15" t="n">
        <f aca="false">K321*(1+IF(L$3&lt;=$O$2,$D321,$D321-($D321-$I$319)*MIN(L$3-$O$2,$Q$2)/$Q$2))</f>
        <v>49874.3800895541</v>
      </c>
      <c r="M321" s="15" t="n">
        <f aca="false">L321*(1+IF(M$3&lt;=$O$2,$D321,$D321-($D321-$I$319)*MIN(M$3-$O$2,$Q$2)/$Q$2))</f>
        <v>53098.2600185429</v>
      </c>
      <c r="N321" s="15" t="n">
        <f aca="false">M321*(1+IF(N$3&lt;=$O$2,$D321,$D321-($D321-$I$319)*MIN(N$3-$O$2,$Q$2)/$Q$2))</f>
        <v>54069.9581768822</v>
      </c>
      <c r="O321" s="15" t="n">
        <f aca="false">SUMPRODUCT(E321:N321,1/(1+$F$319)^$E$3:$N$3)*$E$2</f>
        <v>107212.864233544</v>
      </c>
      <c r="P321" s="15" t="n">
        <f aca="false">N321*$E$2*(1+$I$319)/($F$319-$I$319)/(1+$F$319)^$N$3</f>
        <v>221145.338866271</v>
      </c>
      <c r="Q321" s="15" t="n">
        <f aca="false">O321+P321</f>
        <v>328358.203099815</v>
      </c>
      <c r="R321" s="15" t="n">
        <f aca="false">Q321-$G$2+$I$2</f>
        <v>308898.203099815</v>
      </c>
      <c r="S321" s="40" t="n">
        <f aca="false">R321/$K$2</f>
        <v>550.238164377376</v>
      </c>
      <c r="T321" s="41" t="n">
        <f aca="false">S321-$M$2</f>
        <v>394.42847770679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39" t="n">
        <f aca="false">(B322+C322)/2</f>
        <v>-0.125</v>
      </c>
      <c r="E322" s="15" t="n">
        <f aca="false">$C$2*(1+IF(E$3&lt;=$O$2,$D322,$D322-($D322-$I$319)*MIN(E$3-$O$2,$Q$2)/$Q$2))</f>
        <v>9240</v>
      </c>
      <c r="F322" s="15" t="n">
        <f aca="false">E322*(1+IF(F$3&lt;=$O$2,$D322,$D322-($D322-$I$319)*MIN(F$3-$O$2,$Q$2)/$Q$2))</f>
        <v>8085</v>
      </c>
      <c r="G322" s="15" t="n">
        <f aca="false">F322*(1+IF(G$3&lt;=$O$2,$D322,$D322-($D322-$I$319)*MIN(G$3-$O$2,$Q$2)/$Q$2))</f>
        <v>7074.375</v>
      </c>
      <c r="H322" s="15" t="n">
        <f aca="false">G322*(1+IF(H$3&lt;=$O$2,$D322,$D322-($D322-$I$319)*MIN(H$3-$O$2,$Q$2)/$Q$2))</f>
        <v>6190.078125</v>
      </c>
      <c r="I322" s="15" t="n">
        <f aca="false">H322*(1+IF(I$3&lt;=$O$2,$D322,$D322-($D322-$I$319)*MIN(I$3-$O$2,$Q$2)/$Q$2))</f>
        <v>5416.318359375</v>
      </c>
      <c r="J322" s="15" t="n">
        <f aca="false">I322*(1+IF(J$3&lt;=$O$2,$D322,$D322-($D322-$I$319)*MIN(J$3-$O$2,$Q$2)/$Q$2))</f>
        <v>4894.51024863281</v>
      </c>
      <c r="K322" s="15" t="n">
        <f aca="false">J322*(1+IF(K$3&lt;=$O$2,$D322,$D322-($D322-$I$319)*MIN(K$3-$O$2,$Q$2)/$Q$2))</f>
        <v>4563.24979500534</v>
      </c>
      <c r="L322" s="15" t="n">
        <f aca="false">K322*(1+IF(L$3&lt;=$O$2,$D322,$D322-($D322-$I$319)*MIN(L$3-$O$2,$Q$2)/$Q$2))</f>
        <v>4385.19178800424</v>
      </c>
      <c r="M322" s="15" t="n">
        <f aca="false">L322*(1+IF(M$3&lt;=$O$2,$D322,$D322-($D322-$I$319)*MIN(M$3-$O$2,$Q$2)/$Q$2))</f>
        <v>4339.76120108051</v>
      </c>
      <c r="N322" s="15" t="n">
        <f aca="false">M322*(1+IF(N$3&lt;=$O$2,$D322,$D322-($D322-$I$319)*MIN(N$3-$O$2,$Q$2)/$Q$2))</f>
        <v>4419.17883106029</v>
      </c>
      <c r="O322" s="15" t="n">
        <f aca="false">SUMPRODUCT(E322:N322,1/(1+$F$319)^$E$3:$N$3)*$E$2</f>
        <v>20876.8470963775</v>
      </c>
      <c r="P322" s="15" t="n">
        <f aca="false">N322*$E$2*(1+$I$319)/($F$319-$I$319)/(1+$F$319)^$N$3</f>
        <v>18074.3768454276</v>
      </c>
      <c r="Q322" s="15" t="n">
        <f aca="false">O322+P322</f>
        <v>38951.2239418051</v>
      </c>
      <c r="R322" s="15" t="n">
        <f aca="false">Q322-$G$2+$I$2</f>
        <v>19491.2239418051</v>
      </c>
      <c r="S322" s="40" t="n">
        <f aca="false">R322/$K$2</f>
        <v>34.719578086188</v>
      </c>
      <c r="T322" s="41" t="n">
        <f aca="false">S322-$M$2</f>
        <v>-121.090108584398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39" t="n">
        <f aca="false">(B323+C323)/2</f>
        <v>0.0625</v>
      </c>
      <c r="E323" s="15" t="n">
        <f aca="false">$C$2*(1+IF(E$3&lt;=$O$2,$D323,$D323-($D323-$I$319)*MIN(E$3-$O$2,$Q$2)/$Q$2))</f>
        <v>11220</v>
      </c>
      <c r="F323" s="15" t="n">
        <f aca="false">E323*(1+IF(F$3&lt;=$O$2,$D323,$D323-($D323-$I$319)*MIN(F$3-$O$2,$Q$2)/$Q$2))</f>
        <v>11921.25</v>
      </c>
      <c r="G323" s="15" t="n">
        <f aca="false">F323*(1+IF(G$3&lt;=$O$2,$D323,$D323-($D323-$I$319)*MIN(G$3-$O$2,$Q$2)/$Q$2))</f>
        <v>12666.328125</v>
      </c>
      <c r="H323" s="15" t="n">
        <f aca="false">G323*(1+IF(H$3&lt;=$O$2,$D323,$D323-($D323-$I$319)*MIN(H$3-$O$2,$Q$2)/$Q$2))</f>
        <v>13457.9736328125</v>
      </c>
      <c r="I323" s="15" t="n">
        <f aca="false">H323*(1+IF(I$3&lt;=$O$2,$D323,$D323-($D323-$I$319)*MIN(I$3-$O$2,$Q$2)/$Q$2))</f>
        <v>14299.0969848633</v>
      </c>
      <c r="J323" s="15" t="n">
        <f aca="false">I323*(1+IF(J$3&lt;=$O$2,$D323,$D323-($D323-$I$319)*MIN(J$3-$O$2,$Q$2)/$Q$2))</f>
        <v>15066.386529071</v>
      </c>
      <c r="K323" s="15" t="n">
        <f aca="false">J323*(1+IF(K$3&lt;=$O$2,$D323,$D323-($D323-$I$319)*MIN(K$3-$O$2,$Q$2)/$Q$2))</f>
        <v>15741.661973304</v>
      </c>
      <c r="L323" s="15" t="n">
        <f aca="false">K323*(1+IF(L$3&lt;=$O$2,$D323,$D323-($D323-$I$319)*MIN(L$3-$O$2,$Q$2)/$Q$2))</f>
        <v>16308.0469711035</v>
      </c>
      <c r="M323" s="15" t="n">
        <f aca="false">L323*(1+IF(M$3&lt;=$O$2,$D323,$D323-($D323-$I$319)*MIN(M$3-$O$2,$Q$2)/$Q$2))</f>
        <v>16750.6473658992</v>
      </c>
      <c r="N323" s="15" t="n">
        <f aca="false">M323*(1+IF(N$3&lt;=$O$2,$D323,$D323-($D323-$I$319)*MIN(N$3-$O$2,$Q$2)/$Q$2))</f>
        <v>17057.1842126952</v>
      </c>
      <c r="O323" s="15" t="n">
        <f aca="false">SUMPRODUCT(E323:N323,1/(1+$F$319)^$E$3:$N$3)*$E$2</f>
        <v>47268.9332538823</v>
      </c>
      <c r="P323" s="15" t="n">
        <f aca="false">N323*$E$2*(1+$I$319)/($F$319-$I$319)/(1+$F$319)^$N$3</f>
        <v>69763.6341881556</v>
      </c>
      <c r="Q323" s="15" t="n">
        <f aca="false">O323+P323</f>
        <v>117032.567442038</v>
      </c>
      <c r="R323" s="15" t="n">
        <f aca="false">Q323-$G$2+$I$2</f>
        <v>97572.5674420379</v>
      </c>
      <c r="S323" s="40" t="n">
        <f aca="false">R323/$K$2</f>
        <v>173.805317946593</v>
      </c>
      <c r="T323" s="41" t="n">
        <f aca="false">S323-$M$2</f>
        <v>17.9956312760077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39" t="n">
        <f aca="false">(B324+C324)/2</f>
        <v>-0.03125</v>
      </c>
      <c r="E324" s="15" t="n">
        <f aca="false">$C$2*(1+IF(E$3&lt;=$O$2,$D324,$D324-($D324-$I$319)*MIN(E$3-$O$2,$Q$2)/$Q$2))</f>
        <v>10230</v>
      </c>
      <c r="F324" s="15" t="n">
        <f aca="false">E324*(1+IF(F$3&lt;=$O$2,$D324,$D324-($D324-$I$319)*MIN(F$3-$O$2,$Q$2)/$Q$2))</f>
        <v>9910.3125</v>
      </c>
      <c r="G324" s="15" t="n">
        <f aca="false">F324*(1+IF(G$3&lt;=$O$2,$D324,$D324-($D324-$I$319)*MIN(G$3-$O$2,$Q$2)/$Q$2))</f>
        <v>9600.615234375</v>
      </c>
      <c r="H324" s="15" t="n">
        <f aca="false">G324*(1+IF(H$3&lt;=$O$2,$D324,$D324-($D324-$I$319)*MIN(H$3-$O$2,$Q$2)/$Q$2))</f>
        <v>9300.59600830078</v>
      </c>
      <c r="I324" s="15" t="n">
        <f aca="false">H324*(1+IF(I$3&lt;=$O$2,$D324,$D324-($D324-$I$319)*MIN(I$3-$O$2,$Q$2)/$Q$2))</f>
        <v>9009.95238304138</v>
      </c>
      <c r="J324" s="15" t="n">
        <f aca="false">I324*(1+IF(J$3&lt;=$O$2,$D324,$D324-($D324-$I$319)*MIN(J$3-$O$2,$Q$2)/$Q$2))</f>
        <v>8817.67999918728</v>
      </c>
      <c r="K324" s="15" t="n">
        <f aca="false">J324*(1+IF(K$3&lt;=$O$2,$D324,$D324-($D324-$I$319)*MIN(K$3-$O$2,$Q$2)/$Q$2))</f>
        <v>8716.89391679657</v>
      </c>
      <c r="L324" s="15" t="n">
        <f aca="false">K324*(1+IF(L$3&lt;=$O$2,$D324,$D324-($D324-$I$319)*MIN(L$3-$O$2,$Q$2)/$Q$2))</f>
        <v>8703.64423804304</v>
      </c>
      <c r="M324" s="15" t="n">
        <f aca="false">L324*(1+IF(M$3&lt;=$O$2,$D324,$D324-($D324-$I$319)*MIN(M$3-$O$2,$Q$2)/$Q$2))</f>
        <v>8776.66781320022</v>
      </c>
      <c r="N324" s="15" t="n">
        <f aca="false">M324*(1+IF(N$3&lt;=$O$2,$D324,$D324-($D324-$I$319)*MIN(N$3-$O$2,$Q$2)/$Q$2))</f>
        <v>8937.28083418178</v>
      </c>
      <c r="O324" s="15" t="n">
        <f aca="false">SUMPRODUCT(E324:N324,1/(1+$F$319)^$E$3:$N$3)*$E$2</f>
        <v>31328.6138565325</v>
      </c>
      <c r="P324" s="15" t="n">
        <f aca="false">N324*$E$2*(1+$I$319)/($F$319-$I$319)/(1+$F$319)^$N$3</f>
        <v>36553.3480191074</v>
      </c>
      <c r="Q324" s="15" t="n">
        <f aca="false">O324+P324</f>
        <v>67881.9618756399</v>
      </c>
      <c r="R324" s="15" t="n">
        <f aca="false">Q324-$G$2+$I$2</f>
        <v>48421.9618756399</v>
      </c>
      <c r="S324" s="40" t="n">
        <f aca="false">R324/$K$2</f>
        <v>86.2536950705212</v>
      </c>
      <c r="T324" s="41" t="n">
        <f aca="false">S324-$M$2</f>
        <v>-69.5559916000643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39" t="n">
        <f aca="false">(B325+C325)/2</f>
        <v>0.015625</v>
      </c>
      <c r="E325" s="15" t="n">
        <f aca="false">$C$2*(1+IF(E$3&lt;=$O$2,$D325,$D325-($D325-$I$319)*MIN(E$3-$O$2,$Q$2)/$Q$2))</f>
        <v>10725</v>
      </c>
      <c r="F325" s="15" t="n">
        <f aca="false">E325*(1+IF(F$3&lt;=$O$2,$D325,$D325-($D325-$I$319)*MIN(F$3-$O$2,$Q$2)/$Q$2))</f>
        <v>10892.578125</v>
      </c>
      <c r="G325" s="15" t="n">
        <f aca="false">F325*(1+IF(G$3&lt;=$O$2,$D325,$D325-($D325-$I$319)*MIN(G$3-$O$2,$Q$2)/$Q$2))</f>
        <v>11062.7746582031</v>
      </c>
      <c r="H325" s="15" t="n">
        <f aca="false">G325*(1+IF(H$3&lt;=$O$2,$D325,$D325-($D325-$I$319)*MIN(H$3-$O$2,$Q$2)/$Q$2))</f>
        <v>11235.6305122375</v>
      </c>
      <c r="I325" s="15" t="n">
        <f aca="false">H325*(1+IF(I$3&lt;=$O$2,$D325,$D325-($D325-$I$319)*MIN(I$3-$O$2,$Q$2)/$Q$2))</f>
        <v>11411.1872389913</v>
      </c>
      <c r="J325" s="15" t="n">
        <f aca="false">I325*(1+IF(J$3&lt;=$O$2,$D325,$D325-($D325-$I$319)*MIN(J$3-$O$2,$Q$2)/$Q$2))</f>
        <v>11595.5920247734</v>
      </c>
      <c r="K325" s="15" t="n">
        <f aca="false">J325*(1+IF(K$3&lt;=$O$2,$D325,$D325-($D325-$I$319)*MIN(K$3-$O$2,$Q$2)/$Q$2))</f>
        <v>11789.1804336269</v>
      </c>
      <c r="L325" s="15" t="n">
        <f aca="false">K325*(1+IF(L$3&lt;=$O$2,$D325,$D325-($D325-$I$319)*MIN(L$3-$O$2,$Q$2)/$Q$2))</f>
        <v>11992.3080124983</v>
      </c>
      <c r="M325" s="15" t="n">
        <f aca="false">L325*(1+IF(M$3&lt;=$O$2,$D325,$D325-($D325-$I$319)*MIN(M$3-$O$2,$Q$2)/$Q$2))</f>
        <v>12205.3513643404</v>
      </c>
      <c r="N325" s="15" t="n">
        <f aca="false">M325*(1+IF(N$3&lt;=$O$2,$D325,$D325-($D325-$I$319)*MIN(N$3-$O$2,$Q$2)/$Q$2))</f>
        <v>12428.7092943078</v>
      </c>
      <c r="O325" s="15" t="n">
        <f aca="false">SUMPRODUCT(E325:N325,1/(1+$F$319)^$E$3:$N$3)*$E$2</f>
        <v>38468.8258011688</v>
      </c>
      <c r="P325" s="15" t="n">
        <f aca="false">N325*$E$2*(1+$I$319)/($F$319-$I$319)/(1+$F$319)^$N$3</f>
        <v>50833.2394038215</v>
      </c>
      <c r="Q325" s="15" t="n">
        <f aca="false">O325+P325</f>
        <v>89302.0652049904</v>
      </c>
      <c r="R325" s="15" t="n">
        <f aca="false">Q325-$G$2+$I$2</f>
        <v>69842.0652049904</v>
      </c>
      <c r="S325" s="40" t="n">
        <f aca="false">R325/$K$2</f>
        <v>124.409172242096</v>
      </c>
      <c r="T325" s="41" t="n">
        <f aca="false">S325-$M$2</f>
        <v>-31.4005144284893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0.015625</v>
      </c>
      <c r="C326" s="25" t="n">
        <f aca="false">IF(T325&gt;0,D325,C325)</f>
        <v>0.0625</v>
      </c>
      <c r="D326" s="39" t="n">
        <f aca="false">(B326+C326)/2</f>
        <v>0.0390625</v>
      </c>
      <c r="E326" s="15" t="n">
        <f aca="false">$C$2*(1+IF(E$3&lt;=$O$2,$D326,$D326-($D326-$I$319)*MIN(E$3-$O$2,$Q$2)/$Q$2))</f>
        <v>10972.5</v>
      </c>
      <c r="F326" s="15" t="n">
        <f aca="false">E326*(1+IF(F$3&lt;=$O$2,$D326,$D326-($D326-$I$319)*MIN(F$3-$O$2,$Q$2)/$Q$2))</f>
        <v>11401.11328125</v>
      </c>
      <c r="G326" s="15" t="n">
        <f aca="false">F326*(1+IF(G$3&lt;=$O$2,$D326,$D326-($D326-$I$319)*MIN(G$3-$O$2,$Q$2)/$Q$2))</f>
        <v>11846.4692687988</v>
      </c>
      <c r="H326" s="15" t="n">
        <f aca="false">G326*(1+IF(H$3&lt;=$O$2,$D326,$D326-($D326-$I$319)*MIN(H$3-$O$2,$Q$2)/$Q$2))</f>
        <v>12309.2219746113</v>
      </c>
      <c r="I326" s="15" t="n">
        <f aca="false">H326*(1+IF(I$3&lt;=$O$2,$D326,$D326-($D326-$I$319)*MIN(I$3-$O$2,$Q$2)/$Q$2))</f>
        <v>12790.0509579945</v>
      </c>
      <c r="J326" s="15" t="n">
        <f aca="false">I326*(1+IF(J$3&lt;=$O$2,$D326,$D326-($D326-$I$319)*MIN(J$3-$O$2,$Q$2)/$Q$2))</f>
        <v>13236.5516369381</v>
      </c>
      <c r="K326" s="15" t="n">
        <f aca="false">J326*(1+IF(K$3&lt;=$O$2,$D326,$D326-($D326-$I$319)*MIN(K$3-$O$2,$Q$2)/$Q$2))</f>
        <v>13643.6748739112</v>
      </c>
      <c r="L326" s="15" t="n">
        <f aca="false">K326*(1+IF(L$3&lt;=$O$2,$D326,$D326-($D326-$I$319)*MIN(L$3-$O$2,$Q$2)/$Q$2))</f>
        <v>14006.6648439317</v>
      </c>
      <c r="M326" s="15" t="n">
        <f aca="false">L326*(1+IF(M$3&lt;=$O$2,$D326,$D326-($D326-$I$319)*MIN(M$3-$O$2,$Q$2)/$Q$2))</f>
        <v>14321.14948634</v>
      </c>
      <c r="N326" s="15" t="n">
        <f aca="false">M326*(1+IF(N$3&lt;=$O$2,$D326,$D326-($D326-$I$319)*MIN(N$3-$O$2,$Q$2)/$Q$2))</f>
        <v>14583.2265219401</v>
      </c>
      <c r="O326" s="15" t="n">
        <f aca="false">SUMPRODUCT(E326:N326,1/(1+$F$319)^$E$3:$N$3)*$E$2</f>
        <v>42640.5510319078</v>
      </c>
      <c r="P326" s="15" t="n">
        <f aca="false">N326*$E$2*(1+$I$319)/($F$319-$I$319)/(1+$F$319)^$N$3</f>
        <v>59645.1833827548</v>
      </c>
      <c r="Q326" s="15" t="n">
        <f aca="false">O326+P326</f>
        <v>102285.734414663</v>
      </c>
      <c r="R326" s="15" t="n">
        <f aca="false">Q326-$G$2+$I$2</f>
        <v>82825.7344146627</v>
      </c>
      <c r="S326" s="40" t="n">
        <f aca="false">R326/$K$2</f>
        <v>147.536889532522</v>
      </c>
      <c r="T326" s="41" t="n">
        <f aca="false">S326-$M$2</f>
        <v>-8.27279713806325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0.0390625</v>
      </c>
      <c r="C327" s="25" t="n">
        <f aca="false">IF(T326&gt;0,D326,C326)</f>
        <v>0.0625</v>
      </c>
      <c r="D327" s="39" t="n">
        <f aca="false">(B327+C327)/2</f>
        <v>0.05078125</v>
      </c>
      <c r="E327" s="15" t="n">
        <f aca="false">$C$2*(1+IF(E$3&lt;=$O$2,$D327,$D327-($D327-$I$319)*MIN(E$3-$O$2,$Q$2)/$Q$2))</f>
        <v>11096.25</v>
      </c>
      <c r="F327" s="15" t="n">
        <f aca="false">E327*(1+IF(F$3&lt;=$O$2,$D327,$D327-($D327-$I$319)*MIN(F$3-$O$2,$Q$2)/$Q$2))</f>
        <v>11659.7314453125</v>
      </c>
      <c r="G327" s="15" t="n">
        <f aca="false">F327*(1+IF(G$3&lt;=$O$2,$D327,$D327-($D327-$I$319)*MIN(G$3-$O$2,$Q$2)/$Q$2))</f>
        <v>12251.8271827698</v>
      </c>
      <c r="H327" s="15" t="n">
        <f aca="false">G327*(1+IF(H$3&lt;=$O$2,$D327,$D327-($D327-$I$319)*MIN(H$3-$O$2,$Q$2)/$Q$2))</f>
        <v>12873.9902818948</v>
      </c>
      <c r="I327" s="15" t="n">
        <f aca="false">H327*(1+IF(I$3&lt;=$O$2,$D327,$D327-($D327-$I$319)*MIN(I$3-$O$2,$Q$2)/$Q$2))</f>
        <v>13527.7476008973</v>
      </c>
      <c r="J327" s="15" t="n">
        <f aca="false">I327*(1+IF(J$3&lt;=$O$2,$D327,$D327-($D327-$I$319)*MIN(J$3-$O$2,$Q$2)/$Q$2))</f>
        <v>14126.823903403</v>
      </c>
      <c r="K327" s="15" t="n">
        <f aca="false">J327*(1+IF(K$3&lt;=$O$2,$D327,$D327-($D327-$I$319)*MIN(K$3-$O$2,$Q$2)/$Q$2))</f>
        <v>14660.6589201827</v>
      </c>
      <c r="L327" s="15" t="n">
        <f aca="false">K327*(1+IF(L$3&lt;=$O$2,$D327,$D327-($D327-$I$319)*MIN(L$3-$O$2,$Q$2)/$Q$2))</f>
        <v>15119.4275894425</v>
      </c>
      <c r="M327" s="15" t="n">
        <f aca="false">L327*(1+IF(M$3&lt;=$O$2,$D327,$D327-($D327-$I$319)*MIN(M$3-$O$2,$Q$2)/$Q$2))</f>
        <v>15494.3326958073</v>
      </c>
      <c r="N327" s="15" t="n">
        <f aca="false">M327*(1+IF(N$3&lt;=$O$2,$D327,$D327-($D327-$I$319)*MIN(N$3-$O$2,$Q$2)/$Q$2))</f>
        <v>15777.8789841405</v>
      </c>
      <c r="O327" s="15" t="n">
        <f aca="false">SUMPRODUCT(E327:N327,1/(1+$F$319)^$E$3:$N$3)*$E$2</f>
        <v>44894.8565749265</v>
      </c>
      <c r="P327" s="15" t="n">
        <f aca="false">N327*$E$2*(1+$I$319)/($F$319-$I$319)/(1+$F$319)^$N$3</f>
        <v>64531.2944967395</v>
      </c>
      <c r="Q327" s="15" t="n">
        <f aca="false">O327+P327</f>
        <v>109426.151071666</v>
      </c>
      <c r="R327" s="15" t="n">
        <f aca="false">Q327-$G$2+$I$2</f>
        <v>89966.151071666</v>
      </c>
      <c r="S327" s="40" t="n">
        <f aca="false">R327/$K$2</f>
        <v>160.256062757915</v>
      </c>
      <c r="T327" s="41" t="n">
        <f aca="false">S327-$M$2</f>
        <v>4.44637608732958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0.0390625</v>
      </c>
      <c r="C328" s="25" t="n">
        <f aca="false">IF(T327&gt;0,D327,C327)</f>
        <v>0.05078125</v>
      </c>
      <c r="D328" s="39" t="n">
        <f aca="false">(B328+C328)/2</f>
        <v>0.044921875</v>
      </c>
      <c r="E328" s="15" t="n">
        <f aca="false">$C$2*(1+IF(E$3&lt;=$O$2,$D328,$D328-($D328-$I$319)*MIN(E$3-$O$2,$Q$2)/$Q$2))</f>
        <v>11034.375</v>
      </c>
      <c r="F328" s="15" t="n">
        <f aca="false">E328*(1+IF(F$3&lt;=$O$2,$D328,$D328-($D328-$I$319)*MIN(F$3-$O$2,$Q$2)/$Q$2))</f>
        <v>11530.0598144531</v>
      </c>
      <c r="G328" s="15" t="n">
        <f aca="false">F328*(1+IF(G$3&lt;=$O$2,$D328,$D328-($D328-$I$319)*MIN(G$3-$O$2,$Q$2)/$Q$2))</f>
        <v>12048.0117201805</v>
      </c>
      <c r="H328" s="15" t="n">
        <f aca="false">G328*(1+IF(H$3&lt;=$O$2,$D328,$D328-($D328-$I$319)*MIN(H$3-$O$2,$Q$2)/$Q$2))</f>
        <v>12589.230996673</v>
      </c>
      <c r="I328" s="15" t="n">
        <f aca="false">H328*(1+IF(I$3&lt;=$O$2,$D328,$D328-($D328-$I$319)*MIN(I$3-$O$2,$Q$2)/$Q$2))</f>
        <v>13154.7628578517</v>
      </c>
      <c r="J328" s="15" t="n">
        <f aca="false">I328*(1+IF(J$3&lt;=$O$2,$D328,$D328-($D328-$I$319)*MIN(J$3-$O$2,$Q$2)/$Q$2))</f>
        <v>13675.6585801154</v>
      </c>
      <c r="K328" s="15" t="n">
        <f aca="false">J328*(1+IF(K$3&lt;=$O$2,$D328,$D328-($D328-$I$319)*MIN(K$3-$O$2,$Q$2)/$Q$2))</f>
        <v>14144.3661360891</v>
      </c>
      <c r="L328" s="15" t="n">
        <f aca="false">K328*(1+IF(L$3&lt;=$O$2,$D328,$D328-($D328-$I$319)*MIN(L$3-$O$2,$Q$2)/$Q$2))</f>
        <v>14553.8278552712</v>
      </c>
      <c r="M328" s="15" t="n">
        <f aca="false">L328*(1+IF(M$3&lt;=$O$2,$D328,$D328-($D328-$I$319)*MIN(M$3-$O$2,$Q$2)/$Q$2))</f>
        <v>14897.6529422095</v>
      </c>
      <c r="N328" s="15" t="n">
        <f aca="false">M328*(1+IF(N$3&lt;=$O$2,$D328,$D328-($D328-$I$319)*MIN(N$3-$O$2,$Q$2)/$Q$2))</f>
        <v>15170.279991052</v>
      </c>
      <c r="O328" s="15" t="n">
        <f aca="false">SUMPRODUCT(E328:N328,1/(1+$F$319)^$E$3:$N$3)*$E$2</f>
        <v>43753.092099455</v>
      </c>
      <c r="P328" s="15" t="n">
        <f aca="false">N328*$E$2*(1+$I$319)/($F$319-$I$319)/(1+$F$319)^$N$3</f>
        <v>62046.2234933219</v>
      </c>
      <c r="Q328" s="15" t="n">
        <f aca="false">O328+P328</f>
        <v>105799.315592777</v>
      </c>
      <c r="R328" s="15" t="n">
        <f aca="false">Q328-$G$2+$I$2</f>
        <v>86339.3155927769</v>
      </c>
      <c r="S328" s="40" t="n">
        <f aca="false">R328/$K$2</f>
        <v>153.795606606418</v>
      </c>
      <c r="T328" s="41" t="n">
        <f aca="false">S328-$M$2</f>
        <v>-2.01408006416773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0.044921875</v>
      </c>
      <c r="C329" s="25" t="n">
        <f aca="false">IF(T328&gt;0,D328,C328)</f>
        <v>0.05078125</v>
      </c>
      <c r="D329" s="39" t="n">
        <f aca="false">(B329+C329)/2</f>
        <v>0.0478515625</v>
      </c>
      <c r="E329" s="15" t="n">
        <f aca="false">$C$2*(1+IF(E$3&lt;=$O$2,$D329,$D329-($D329-$I$319)*MIN(E$3-$O$2,$Q$2)/$Q$2))</f>
        <v>11065.3125</v>
      </c>
      <c r="F329" s="15" t="n">
        <f aca="false">E329*(1+IF(F$3&lt;=$O$2,$D329,$D329-($D329-$I$319)*MIN(F$3-$O$2,$Q$2)/$Q$2))</f>
        <v>11594.8049926758</v>
      </c>
      <c r="G329" s="15" t="n">
        <f aca="false">F329*(1+IF(G$3&lt;=$O$2,$D329,$D329-($D329-$I$319)*MIN(G$3-$O$2,$Q$2)/$Q$2))</f>
        <v>12149.6345284581</v>
      </c>
      <c r="H329" s="15" t="n">
        <f aca="false">G329*(1+IF(H$3&lt;=$O$2,$D329,$D329-($D329-$I$319)*MIN(H$3-$O$2,$Q$2)/$Q$2))</f>
        <v>12731.0135244488</v>
      </c>
      <c r="I329" s="15" t="n">
        <f aca="false">H329*(1+IF(I$3&lt;=$O$2,$D329,$D329-($D329-$I$319)*MIN(I$3-$O$2,$Q$2)/$Q$2))</f>
        <v>13340.2124138023</v>
      </c>
      <c r="J329" s="15" t="n">
        <f aca="false">I329*(1+IF(J$3&lt;=$O$2,$D329,$D329-($D329-$I$319)*MIN(J$3-$O$2,$Q$2)/$Q$2))</f>
        <v>13899.7175977027</v>
      </c>
      <c r="K329" s="15" t="n">
        <f aca="false">J329*(1+IF(K$3&lt;=$O$2,$D329,$D329-($D329-$I$319)*MIN(K$3-$O$2,$Q$2)/$Q$2))</f>
        <v>14400.5374537332</v>
      </c>
      <c r="L329" s="15" t="n">
        <f aca="false">K329*(1+IF(L$3&lt;=$O$2,$D329,$D329-($D329-$I$319)*MIN(L$3-$O$2,$Q$2)/$Q$2))</f>
        <v>14834.2906421755</v>
      </c>
      <c r="M329" s="15" t="n">
        <f aca="false">L329*(1+IF(M$3&lt;=$O$2,$D329,$D329-($D329-$I$319)*MIN(M$3-$O$2,$Q$2)/$Q$2))</f>
        <v>15193.4334543384</v>
      </c>
      <c r="N329" s="15" t="n">
        <f aca="false">M329*(1+IF(N$3&lt;=$O$2,$D329,$D329-($D329-$I$319)*MIN(N$3-$O$2,$Q$2)/$Q$2))</f>
        <v>15471.4732865528</v>
      </c>
      <c r="O329" s="15" t="n">
        <f aca="false">SUMPRODUCT(E329:N329,1/(1+$F$319)^$E$3:$N$3)*$E$2</f>
        <v>44320.2770398888</v>
      </c>
      <c r="P329" s="15" t="n">
        <f aca="false">N329*$E$2*(1+$I$319)/($F$319-$I$319)/(1+$F$319)^$N$3</f>
        <v>63278.0996708451</v>
      </c>
      <c r="Q329" s="15" t="n">
        <f aca="false">O329+P329</f>
        <v>107598.376710734</v>
      </c>
      <c r="R329" s="15" t="n">
        <f aca="false">Q329-$G$2+$I$2</f>
        <v>88138.3767107338</v>
      </c>
      <c r="S329" s="40" t="n">
        <f aca="false">R329/$K$2</f>
        <v>157.000261334783</v>
      </c>
      <c r="T329" s="41" t="n">
        <f aca="false">S329-$M$2</f>
        <v>1.1905746641975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0.044921875</v>
      </c>
      <c r="C330" s="25" t="n">
        <f aca="false">IF(T329&gt;0,D329,C329)</f>
        <v>0.0478515625</v>
      </c>
      <c r="D330" s="39" t="n">
        <f aca="false">(B330+C330)/2</f>
        <v>0.04638671875</v>
      </c>
      <c r="E330" s="15" t="n">
        <f aca="false">$C$2*(1+IF(E$3&lt;=$O$2,$D330,$D330-($D330-$I$319)*MIN(E$3-$O$2,$Q$2)/$Q$2))</f>
        <v>11049.84375</v>
      </c>
      <c r="F330" s="15" t="n">
        <f aca="false">E330*(1+IF(F$3&lt;=$O$2,$D330,$D330-($D330-$I$319)*MIN(F$3-$O$2,$Q$2)/$Q$2))</f>
        <v>11562.4097442627</v>
      </c>
      <c r="G330" s="15" t="n">
        <f aca="false">F330*(1+IF(G$3&lt;=$O$2,$D330,$D330-($D330-$I$319)*MIN(G$3-$O$2,$Q$2)/$Q$2))</f>
        <v>12098.7519931421</v>
      </c>
      <c r="H330" s="15" t="n">
        <f aca="false">G330*(1+IF(H$3&lt;=$O$2,$D330,$D330-($D330-$I$319)*MIN(H$3-$O$2,$Q$2)/$Q$2))</f>
        <v>12659.973399074</v>
      </c>
      <c r="I330" s="15" t="n">
        <f aca="false">H330*(1+IF(I$3&lt;=$O$2,$D330,$D330-($D330-$I$319)*MIN(I$3-$O$2,$Q$2)/$Q$2))</f>
        <v>13247.2280245193</v>
      </c>
      <c r="J330" s="15" t="n">
        <f aca="false">I330*(1+IF(J$3&lt;=$O$2,$D330,$D330-($D330-$I$319)*MIN(J$3-$O$2,$Q$2)/$Q$2))</f>
        <v>13787.3092315614</v>
      </c>
      <c r="K330" s="15" t="n">
        <f aca="false">J330*(1+IF(K$3&lt;=$O$2,$D330,$D330-($D330-$I$319)*MIN(K$3-$O$2,$Q$2)/$Q$2))</f>
        <v>14271.9611565227</v>
      </c>
      <c r="L330" s="15" t="n">
        <f aca="false">K330*(1+IF(L$3&lt;=$O$2,$D330,$D330-($D330-$I$319)*MIN(L$3-$O$2,$Q$2)/$Q$2))</f>
        <v>14693.4790692927</v>
      </c>
      <c r="M330" s="15" t="n">
        <f aca="false">L330*(1+IF(M$3&lt;=$O$2,$D330,$D330-($D330-$I$319)*MIN(M$3-$O$2,$Q$2)/$Q$2))</f>
        <v>15044.9080590764</v>
      </c>
      <c r="N330" s="15" t="n">
        <f aca="false">M330*(1+IF(N$3&lt;=$O$2,$D330,$D330-($D330-$I$319)*MIN(N$3-$O$2,$Q$2)/$Q$2))</f>
        <v>15320.2298765575</v>
      </c>
      <c r="O330" s="15" t="n">
        <f aca="false">SUMPRODUCT(E330:N330,1/(1+$F$319)^$E$3:$N$3)*$E$2</f>
        <v>44035.7658282652</v>
      </c>
      <c r="P330" s="15" t="n">
        <f aca="false">N330*$E$2*(1+$I$319)/($F$319-$I$319)/(1+$F$319)^$N$3</f>
        <v>62659.5163339525</v>
      </c>
      <c r="Q330" s="15" t="n">
        <f aca="false">O330+P330</f>
        <v>106695.282162218</v>
      </c>
      <c r="R330" s="15" t="n">
        <f aca="false">Q330-$G$2+$I$2</f>
        <v>87235.2821622177</v>
      </c>
      <c r="S330" s="40" t="n">
        <f aca="false">R330/$K$2</f>
        <v>155.391585461475</v>
      </c>
      <c r="T330" s="41" t="n">
        <f aca="false">S330-$M$2</f>
        <v>-0.418101209110091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0.04638671875</v>
      </c>
      <c r="C331" s="25" t="n">
        <f aca="false">IF(T330&gt;0,D330,C330)</f>
        <v>0.0478515625</v>
      </c>
      <c r="D331" s="39" t="n">
        <f aca="false">(B331+C331)/2</f>
        <v>0.047119140625</v>
      </c>
      <c r="E331" s="15" t="n">
        <f aca="false">$C$2*(1+IF(E$3&lt;=$O$2,$D331,$D331-($D331-$I$319)*MIN(E$3-$O$2,$Q$2)/$Q$2))</f>
        <v>11057.578125</v>
      </c>
      <c r="F331" s="15" t="n">
        <f aca="false">E331*(1+IF(F$3&lt;=$O$2,$D331,$D331-($D331-$I$319)*MIN(F$3-$O$2,$Q$2)/$Q$2))</f>
        <v>11578.6017036438</v>
      </c>
      <c r="G331" s="15" t="n">
        <f aca="false">F331*(1+IF(G$3&lt;=$O$2,$D331,$D331-($D331-$I$319)*MIN(G$3-$O$2,$Q$2)/$Q$2))</f>
        <v>12124.1754655587</v>
      </c>
      <c r="H331" s="15" t="n">
        <f aca="false">G331*(1+IF(H$3&lt;=$O$2,$D331,$D331-($D331-$I$319)*MIN(H$3-$O$2,$Q$2)/$Q$2))</f>
        <v>12695.4561942825</v>
      </c>
      <c r="I331" s="15" t="n">
        <f aca="false">H331*(1+IF(I$3&lt;=$O$2,$D331,$D331-($D331-$I$319)*MIN(I$3-$O$2,$Q$2)/$Q$2))</f>
        <v>13293.6551799994</v>
      </c>
      <c r="J331" s="15" t="n">
        <f aca="false">I331*(1+IF(J$3&lt;=$O$2,$D331,$D331-($D331-$I$319)*MIN(J$3-$O$2,$Q$2)/$Q$2))</f>
        <v>13843.4184442355</v>
      </c>
      <c r="K331" s="15" t="n">
        <f aca="false">J331*(1+IF(K$3&lt;=$O$2,$D331,$D331-($D331-$I$319)*MIN(K$3-$O$2,$Q$2)/$Q$2))</f>
        <v>14336.1262554901</v>
      </c>
      <c r="L331" s="15" t="n">
        <f aca="false">K331*(1+IF(L$3&lt;=$O$2,$D331,$D331-($D331-$I$319)*MIN(L$3-$O$2,$Q$2)/$Q$2))</f>
        <v>14763.7393013955</v>
      </c>
      <c r="M331" s="15" t="n">
        <f aca="false">L331*(1+IF(M$3&lt;=$O$2,$D331,$D331-($D331-$I$319)*MIN(M$3-$O$2,$Q$2)/$Q$2))</f>
        <v>15119.0113864266</v>
      </c>
      <c r="N331" s="15" t="n">
        <f aca="false">M331*(1+IF(N$3&lt;=$O$2,$D331,$D331-($D331-$I$319)*MIN(N$3-$O$2,$Q$2)/$Q$2))</f>
        <v>15395.6892947982</v>
      </c>
      <c r="O331" s="15" t="n">
        <f aca="false">SUMPRODUCT(E331:N331,1/(1+$F$319)^$E$3:$N$3)*$E$2</f>
        <v>44177.7910531529</v>
      </c>
      <c r="P331" s="15" t="n">
        <f aca="false">N331*$E$2*(1+$I$319)/($F$319-$I$319)/(1+$F$319)^$N$3</f>
        <v>62968.1442519341</v>
      </c>
      <c r="Q331" s="15" t="n">
        <f aca="false">O331+P331</f>
        <v>107145.935305087</v>
      </c>
      <c r="R331" s="15" t="n">
        <f aca="false">Q331-$G$2+$I$2</f>
        <v>87685.9353050871</v>
      </c>
      <c r="S331" s="40" t="n">
        <f aca="false">R331/$K$2</f>
        <v>156.194330688269</v>
      </c>
      <c r="T331" s="41" t="n">
        <f aca="false">S331-$M$2</f>
        <v>0.384644017683002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0.04638671875</v>
      </c>
      <c r="C332" s="25" t="n">
        <f aca="false">IF(T331&gt;0,D331,C331)</f>
        <v>0.047119140625</v>
      </c>
      <c r="D332" s="39" t="n">
        <f aca="false">(B332+C332)/2</f>
        <v>0.0467529296875</v>
      </c>
      <c r="E332" s="15" t="n">
        <f aca="false">$C$2*(1+IF(E$3&lt;=$O$2,$D332,$D332-($D332-$I$319)*MIN(E$3-$O$2,$Q$2)/$Q$2))</f>
        <v>11053.7109375</v>
      </c>
      <c r="F332" s="15" t="n">
        <f aca="false">E332*(1+IF(F$3&lt;=$O$2,$D332,$D332-($D332-$I$319)*MIN(F$3-$O$2,$Q$2)/$Q$2))</f>
        <v>11570.5043077469</v>
      </c>
      <c r="G332" s="15" t="n">
        <f aca="false">F332*(1+IF(G$3&lt;=$O$2,$D332,$D332-($D332-$I$319)*MIN(G$3-$O$2,$Q$2)/$Q$2))</f>
        <v>12111.4592820959</v>
      </c>
      <c r="H332" s="15" t="n">
        <f aca="false">G332*(1+IF(H$3&lt;=$O$2,$D332,$D332-($D332-$I$319)*MIN(H$3-$O$2,$Q$2)/$Q$2))</f>
        <v>12677.7054863247</v>
      </c>
      <c r="I332" s="15" t="n">
        <f aca="false">H332*(1+IF(I$3&lt;=$O$2,$D332,$D332-($D332-$I$319)*MIN(I$3-$O$2,$Q$2)/$Q$2))</f>
        <v>13270.4253595257</v>
      </c>
      <c r="J332" s="15" t="n">
        <f aca="false">I332*(1+IF(J$3&lt;=$O$2,$D332,$D332-($D332-$I$319)*MIN(J$3-$O$2,$Q$2)/$Q$2))</f>
        <v>13815.3401273473</v>
      </c>
      <c r="K332" s="15" t="n">
        <f aca="false">J332*(1+IF(K$3&lt;=$O$2,$D332,$D332-($D332-$I$319)*MIN(K$3-$O$2,$Q$2)/$Q$2))</f>
        <v>14304.0129924291</v>
      </c>
      <c r="L332" s="15" t="n">
        <f aca="false">K332*(1+IF(L$3&lt;=$O$2,$D332,$D332-($D332-$I$319)*MIN(L$3-$O$2,$Q$2)/$Q$2))</f>
        <v>14728.5728605596</v>
      </c>
      <c r="M332" s="15" t="n">
        <f aca="false">L332*(1+IF(M$3&lt;=$O$2,$D332,$D332-($D332-$I$319)*MIN(M$3-$O$2,$Q$2)/$Q$2))</f>
        <v>15081.9199535076</v>
      </c>
      <c r="N332" s="15" t="n">
        <f aca="false">M332*(1+IF(N$3&lt;=$O$2,$D332,$D332-($D332-$I$319)*MIN(N$3-$O$2,$Q$2)/$Q$2))</f>
        <v>15357.9190886568</v>
      </c>
      <c r="O332" s="15" t="n">
        <f aca="false">SUMPRODUCT(E332:N332,1/(1+$F$319)^$E$3:$N$3)*$E$2</f>
        <v>44106.7209325675</v>
      </c>
      <c r="P332" s="15" t="n">
        <f aca="false">N332*$E$2*(1+$I$319)/($F$319-$I$319)/(1+$F$319)^$N$3</f>
        <v>62813.664660719</v>
      </c>
      <c r="Q332" s="15" t="n">
        <f aca="false">O332+P332</f>
        <v>106920.385593287</v>
      </c>
      <c r="R332" s="15" t="n">
        <f aca="false">Q332-$G$2+$I$2</f>
        <v>87460.3855932866</v>
      </c>
      <c r="S332" s="40" t="n">
        <f aca="false">R332/$K$2</f>
        <v>155.792560596531</v>
      </c>
      <c r="T332" s="41" t="n">
        <f aca="false">S332-$M$2</f>
        <v>-0.0171260740544597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0.0467529296875</v>
      </c>
      <c r="C333" s="25" t="n">
        <f aca="false">IF(T332&gt;0,D332,C332)</f>
        <v>0.047119140625</v>
      </c>
      <c r="D333" s="39" t="n">
        <f aca="false">(B333+C333)/2</f>
        <v>0.04693603515625</v>
      </c>
      <c r="E333" s="15" t="n">
        <f aca="false">$C$2*(1+IF(E$3&lt;=$O$2,$D333,$D333-($D333-$I$319)*MIN(E$3-$O$2,$Q$2)/$Q$2))</f>
        <v>11055.64453125</v>
      </c>
      <c r="F333" s="15" t="n">
        <f aca="false">E333*(1+IF(F$3&lt;=$O$2,$D333,$D333-($D333-$I$319)*MIN(F$3-$O$2,$Q$2)/$Q$2))</f>
        <v>11574.5526516438</v>
      </c>
      <c r="G333" s="15" t="n">
        <f aca="false">F333*(1+IF(G$3&lt;=$O$2,$D333,$D333-($D333-$I$319)*MIN(G$3-$O$2,$Q$2)/$Q$2))</f>
        <v>12117.8162618192</v>
      </c>
      <c r="H333" s="15" t="n">
        <f aca="false">G333*(1+IF(H$3&lt;=$O$2,$D333,$D333-($D333-$I$319)*MIN(H$3-$O$2,$Q$2)/$Q$2))</f>
        <v>12686.5785119009</v>
      </c>
      <c r="I333" s="15" t="n">
        <f aca="false">H333*(1+IF(I$3&lt;=$O$2,$D333,$D333-($D333-$I$319)*MIN(I$3-$O$2,$Q$2)/$Q$2))</f>
        <v>13282.036206948</v>
      </c>
      <c r="J333" s="15" t="n">
        <f aca="false">I333*(1+IF(J$3&lt;=$O$2,$D333,$D333-($D333-$I$319)*MIN(J$3-$O$2,$Q$2)/$Q$2))</f>
        <v>13829.3733541501</v>
      </c>
      <c r="K333" s="15" t="n">
        <f aca="false">J333*(1+IF(K$3&lt;=$O$2,$D333,$D333-($D333-$I$319)*MIN(K$3-$O$2,$Q$2)/$Q$2))</f>
        <v>14320.0619394661</v>
      </c>
      <c r="L333" s="15" t="n">
        <f aca="false">K333*(1+IF(L$3&lt;=$O$2,$D333,$D333-($D333-$I$319)*MIN(L$3-$O$2,$Q$2)/$Q$2))</f>
        <v>14746.1469918136</v>
      </c>
      <c r="M333" s="15" t="n">
        <f aca="false">L333*(1+IF(M$3&lt;=$O$2,$D333,$D333-($D333-$I$319)*MIN(M$3-$O$2,$Q$2)/$Q$2))</f>
        <v>15100.4557184992</v>
      </c>
      <c r="N333" s="15" t="n">
        <f aca="false">M333*(1+IF(N$3&lt;=$O$2,$D333,$D333-($D333-$I$319)*MIN(N$3-$O$2,$Q$2)/$Q$2))</f>
        <v>15376.7940581477</v>
      </c>
      <c r="O333" s="15" t="n">
        <f aca="false">SUMPRODUCT(E333:N333,1/(1+$F$319)^$E$3:$N$3)*$E$2</f>
        <v>44142.2416049476</v>
      </c>
      <c r="P333" s="15" t="n">
        <f aca="false">N333*$E$2*(1+$I$319)/($F$319-$I$319)/(1+$F$319)^$N$3</f>
        <v>62890.8630101333</v>
      </c>
      <c r="Q333" s="15" t="n">
        <f aca="false">O333+P333</f>
        <v>107033.104615081</v>
      </c>
      <c r="R333" s="15" t="n">
        <f aca="false">Q333-$G$2+$I$2</f>
        <v>87573.1046150809</v>
      </c>
      <c r="S333" s="40" t="n">
        <f aca="false">R333/$K$2</f>
        <v>155.993346185506</v>
      </c>
      <c r="T333" s="41" t="n">
        <f aca="false">S333-$M$2</f>
        <v>0.183659514919981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0.0467529296875</v>
      </c>
      <c r="C334" s="25" t="n">
        <f aca="false">IF(T333&gt;0,D333,C333)</f>
        <v>0.04693603515625</v>
      </c>
      <c r="D334" s="39" t="n">
        <f aca="false">(B334+C334)/2</f>
        <v>0.046844482421875</v>
      </c>
      <c r="E334" s="15" t="n">
        <f aca="false">$C$2*(1+IF(E$3&lt;=$O$2,$D334,$D334-($D334-$I$319)*MIN(E$3-$O$2,$Q$2)/$Q$2))</f>
        <v>11054.677734375</v>
      </c>
      <c r="F334" s="15" t="n">
        <f aca="false">E334*(1+IF(F$3&lt;=$O$2,$D334,$D334-($D334-$I$319)*MIN(F$3-$O$2,$Q$2)/$Q$2))</f>
        <v>11572.5283911824</v>
      </c>
      <c r="G334" s="15" t="n">
        <f aca="false">F334*(1+IF(G$3&lt;=$O$2,$D334,$D334-($D334-$I$319)*MIN(G$3-$O$2,$Q$2)/$Q$2))</f>
        <v>12114.6374939798</v>
      </c>
      <c r="H334" s="15" t="n">
        <f aca="false">G334*(1+IF(H$3&lt;=$O$2,$D334,$D334-($D334-$I$319)*MIN(H$3-$O$2,$Q$2)/$Q$2))</f>
        <v>12682.1414171139</v>
      </c>
      <c r="I334" s="15" t="n">
        <f aca="false">H334*(1+IF(I$3&lt;=$O$2,$D334,$D334-($D334-$I$319)*MIN(I$3-$O$2,$Q$2)/$Q$2))</f>
        <v>13276.2297677997</v>
      </c>
      <c r="J334" s="15" t="n">
        <f aca="false">I334*(1+IF(J$3&lt;=$O$2,$D334,$D334-($D334-$I$319)*MIN(J$3-$O$2,$Q$2)/$Q$2))</f>
        <v>13822.355258339</v>
      </c>
      <c r="K334" s="15" t="n">
        <f aca="false">J334*(1+IF(K$3&lt;=$O$2,$D334,$D334-($D334-$I$319)*MIN(K$3-$O$2,$Q$2)/$Q$2))</f>
        <v>14312.0355455869</v>
      </c>
      <c r="L334" s="15" t="n">
        <f aca="false">K334*(1+IF(L$3&lt;=$O$2,$D334,$D334-($D334-$I$319)*MIN(L$3-$O$2,$Q$2)/$Q$2))</f>
        <v>14737.3576548921</v>
      </c>
      <c r="M334" s="15" t="n">
        <f aca="false">L334*(1+IF(M$3&lt;=$O$2,$D334,$D334-($D334-$I$319)*MIN(M$3-$O$2,$Q$2)/$Q$2))</f>
        <v>15091.1853492816</v>
      </c>
      <c r="N334" s="15" t="n">
        <f aca="false">M334*(1+IF(N$3&lt;=$O$2,$D334,$D334-($D334-$I$319)*MIN(N$3-$O$2,$Q$2)/$Q$2))</f>
        <v>15367.3540411734</v>
      </c>
      <c r="O334" s="15" t="n">
        <f aca="false">SUMPRODUCT(E334:N334,1/(1+$F$319)^$E$3:$N$3)*$E$2</f>
        <v>44124.4776731396</v>
      </c>
      <c r="P334" s="15" t="n">
        <f aca="false">N334*$E$2*(1+$I$319)/($F$319-$I$319)/(1+$F$319)^$N$3</f>
        <v>62852.2534786473</v>
      </c>
      <c r="Q334" s="15" t="n">
        <f aca="false">O334+P334</f>
        <v>106976.731151787</v>
      </c>
      <c r="R334" s="15" t="n">
        <f aca="false">Q334-$G$2+$I$2</f>
        <v>87516.7311517869</v>
      </c>
      <c r="S334" s="40" t="n">
        <f aca="false">R334/$K$2</f>
        <v>155.892928537713</v>
      </c>
      <c r="T334" s="41" t="n">
        <f aca="false">S334-$M$2</f>
        <v>0.0832418671278958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0.0467529296875</v>
      </c>
      <c r="C335" s="25" t="n">
        <f aca="false">IF(T334&gt;0,D334,C334)</f>
        <v>0.046844482421875</v>
      </c>
      <c r="D335" s="39" t="n">
        <f aca="false">(B335+C335)/2</f>
        <v>0.0467987060546875</v>
      </c>
      <c r="E335" s="15" t="n">
        <f aca="false">$C$2*(1+IF(E$3&lt;=$O$2,$D335,$D335-($D335-$I$319)*MIN(E$3-$O$2,$Q$2)/$Q$2))</f>
        <v>11054.1943359375</v>
      </c>
      <c r="F335" s="15" t="n">
        <f aca="false">E335*(1+IF(F$3&lt;=$O$2,$D335,$D335-($D335-$I$319)*MIN(F$3-$O$2,$Q$2)/$Q$2))</f>
        <v>11571.5163273364</v>
      </c>
      <c r="G335" s="15" t="n">
        <f aca="false">F335*(1+IF(G$3&lt;=$O$2,$D335,$D335-($D335-$I$319)*MIN(G$3-$O$2,$Q$2)/$Q$2))</f>
        <v>12113.0483185465</v>
      </c>
      <c r="H335" s="15" t="n">
        <f aca="false">G335*(1+IF(H$3&lt;=$O$2,$D335,$D335-($D335-$I$319)*MIN(H$3-$O$2,$Q$2)/$Q$2))</f>
        <v>12679.9233062323</v>
      </c>
      <c r="I335" s="15" t="n">
        <f aca="false">H335*(1+IF(I$3&lt;=$O$2,$D335,$D335-($D335-$I$319)*MIN(I$3-$O$2,$Q$2)/$Q$2))</f>
        <v>13273.3273098367</v>
      </c>
      <c r="J335" s="15" t="n">
        <f aca="false">I335*(1+IF(J$3&lt;=$O$2,$D335,$D335-($D335-$I$319)*MIN(J$3-$O$2,$Q$2)/$Q$2))</f>
        <v>13818.8473223033</v>
      </c>
      <c r="K335" s="15" t="n">
        <f aca="false">J335*(1+IF(K$3&lt;=$O$2,$D335,$D335-($D335-$I$319)*MIN(K$3-$O$2,$Q$2)/$Q$2))</f>
        <v>14308.0237890132</v>
      </c>
      <c r="L335" s="15" t="n">
        <f aca="false">K335*(1+IF(L$3&lt;=$O$2,$D335,$D335-($D335-$I$319)*MIN(L$3-$O$2,$Q$2)/$Q$2))</f>
        <v>14732.9646900267</v>
      </c>
      <c r="M335" s="15" t="n">
        <f aca="false">L335*(1+IF(M$3&lt;=$O$2,$D335,$D335-($D335-$I$319)*MIN(M$3-$O$2,$Q$2)/$Q$2))</f>
        <v>15086.5520298573</v>
      </c>
      <c r="N335" s="15" t="n">
        <f aca="false">M335*(1+IF(N$3&lt;=$O$2,$D335,$D335-($D335-$I$319)*MIN(N$3-$O$2,$Q$2)/$Q$2))</f>
        <v>15362.6359320036</v>
      </c>
      <c r="O335" s="15" t="n">
        <f aca="false">SUMPRODUCT(E335:N335,1/(1+$F$319)^$E$3:$N$3)*$E$2</f>
        <v>44115.5984041191</v>
      </c>
      <c r="P335" s="15" t="n">
        <f aca="false">N335*$E$2*(1+$I$319)/($F$319-$I$319)/(1+$F$319)^$N$3</f>
        <v>62832.9564810844</v>
      </c>
      <c r="Q335" s="15" t="n">
        <f aca="false">O335+P335</f>
        <v>106948.554885204</v>
      </c>
      <c r="R335" s="15" t="n">
        <f aca="false">Q335-$G$2+$I$2</f>
        <v>87488.5548852035</v>
      </c>
      <c r="S335" s="40" t="n">
        <f aca="false">R335/$K$2</f>
        <v>155.84273835516</v>
      </c>
      <c r="T335" s="41" t="n">
        <f aca="false">S335-$M$2</f>
        <v>0.0330516845749003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0.0467529296875</v>
      </c>
      <c r="C336" s="25" t="n">
        <f aca="false">IF(T335&gt;0,D335,C335)</f>
        <v>0.0467987060546875</v>
      </c>
      <c r="D336" s="39" t="n">
        <f aca="false">(B336+C336)/2</f>
        <v>0.0467758178710938</v>
      </c>
      <c r="E336" s="15" t="n">
        <f aca="false">$C$2*(1+IF(E$3&lt;=$O$2,$D336,$D336-($D336-$I$319)*MIN(E$3-$O$2,$Q$2)/$Q$2))</f>
        <v>11053.9526367188</v>
      </c>
      <c r="F336" s="15" t="n">
        <f aca="false">E336*(1+IF(F$3&lt;=$O$2,$D336,$D336-($D336-$I$319)*MIN(F$3-$O$2,$Q$2)/$Q$2))</f>
        <v>11571.0103120096</v>
      </c>
      <c r="G336" s="15" t="n">
        <f aca="false">F336*(1+IF(G$3&lt;=$O$2,$D336,$D336-($D336-$I$319)*MIN(G$3-$O$2,$Q$2)/$Q$2))</f>
        <v>12112.2537829487</v>
      </c>
      <c r="H336" s="15" t="n">
        <f aca="false">G336*(1+IF(H$3&lt;=$O$2,$D336,$D336-($D336-$I$319)*MIN(H$3-$O$2,$Q$2)/$Q$2))</f>
        <v>12678.8143599084</v>
      </c>
      <c r="I336" s="15" t="n">
        <f aca="false">H336*(1+IF(I$3&lt;=$O$2,$D336,$D336-($D336-$I$319)*MIN(I$3-$O$2,$Q$2)/$Q$2))</f>
        <v>13271.8762712289</v>
      </c>
      <c r="J336" s="15" t="n">
        <f aca="false">I336*(1+IF(J$3&lt;=$O$2,$D336,$D336-($D336-$I$319)*MIN(J$3-$O$2,$Q$2)/$Q$2))</f>
        <v>13817.0936321981</v>
      </c>
      <c r="K336" s="15" t="n">
        <f aca="false">J336*(1+IF(K$3&lt;=$O$2,$D336,$D336-($D336-$I$319)*MIN(K$3-$O$2,$Q$2)/$Q$2))</f>
        <v>14306.0182707343</v>
      </c>
      <c r="L336" s="15" t="n">
        <f aca="false">K336*(1+IF(L$3&lt;=$O$2,$D336,$D336-($D336-$I$319)*MIN(L$3-$O$2,$Q$2)/$Q$2))</f>
        <v>14730.768633384</v>
      </c>
      <c r="M336" s="15" t="n">
        <f aca="false">L336*(1+IF(M$3&lt;=$O$2,$D336,$D336-($D336-$I$319)*MIN(M$3-$O$2,$Q$2)/$Q$2))</f>
        <v>15084.235836316</v>
      </c>
      <c r="N336" s="15" t="n">
        <f aca="false">M336*(1+IF(N$3&lt;=$O$2,$D336,$D336-($D336-$I$319)*MIN(N$3-$O$2,$Q$2)/$Q$2))</f>
        <v>15360.2773521206</v>
      </c>
      <c r="O336" s="15" t="n">
        <f aca="false">SUMPRODUCT(E336:N336,1/(1+$F$319)^$E$3:$N$3)*$E$2</f>
        <v>44111.1594436809</v>
      </c>
      <c r="P336" s="15" t="n">
        <f aca="false">N336*$E$2*(1+$I$319)/($F$319-$I$319)/(1+$F$319)^$N$3</f>
        <v>62823.3099238266</v>
      </c>
      <c r="Q336" s="15" t="n">
        <f aca="false">O336+P336</f>
        <v>106934.469367507</v>
      </c>
      <c r="R336" s="15" t="n">
        <f aca="false">Q336-$G$2+$I$2</f>
        <v>87474.4693675075</v>
      </c>
      <c r="S336" s="40" t="n">
        <f aca="false">R336/$K$2</f>
        <v>155.817647923026</v>
      </c>
      <c r="T336" s="41" t="n">
        <f aca="false">S336-$M$2</f>
        <v>0.00796125244031032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0.0467529296875</v>
      </c>
      <c r="C337" s="25" t="n">
        <f aca="false">IF(T336&gt;0,D336,C336)</f>
        <v>0.0467758178710938</v>
      </c>
      <c r="D337" s="39" t="n">
        <f aca="false">(B337+C337)/2</f>
        <v>0.0467643737792969</v>
      </c>
      <c r="E337" s="15" t="n">
        <f aca="false">$C$2*(1+IF(E$3&lt;=$O$2,$D337,$D337-($D337-$I$319)*MIN(E$3-$O$2,$Q$2)/$Q$2))</f>
        <v>11053.8317871094</v>
      </c>
      <c r="F337" s="15" t="n">
        <f aca="false">E337*(1+IF(F$3&lt;=$O$2,$D337,$D337-($D337-$I$319)*MIN(F$3-$O$2,$Q$2)/$Q$2))</f>
        <v>11570.7573084952</v>
      </c>
      <c r="G337" s="15" t="n">
        <f aca="false">F337*(1+IF(G$3&lt;=$O$2,$D337,$D337-($D337-$I$319)*MIN(G$3-$O$2,$Q$2)/$Q$2))</f>
        <v>12111.8565281792</v>
      </c>
      <c r="H337" s="15" t="n">
        <f aca="false">G337*(1+IF(H$3&lt;=$O$2,$D337,$D337-($D337-$I$319)*MIN(H$3-$O$2,$Q$2)/$Q$2))</f>
        <v>12678.2599140242</v>
      </c>
      <c r="I337" s="15" t="n">
        <f aca="false">H337*(1+IF(I$3&lt;=$O$2,$D337,$D337-($D337-$I$319)*MIN(I$3-$O$2,$Q$2)/$Q$2))</f>
        <v>13271.1507995147</v>
      </c>
      <c r="J337" s="15" t="n">
        <f aca="false">I337*(1+IF(J$3&lt;=$O$2,$D337,$D337-($D337-$I$319)*MIN(J$3-$O$2,$Q$2)/$Q$2))</f>
        <v>13816.2168566169</v>
      </c>
      <c r="K337" s="15" t="n">
        <f aca="false">J337*(1+IF(K$3&lt;=$O$2,$D337,$D337-($D337-$I$319)*MIN(K$3-$O$2,$Q$2)/$Q$2))</f>
        <v>14305.0156015865</v>
      </c>
      <c r="L337" s="15" t="n">
        <f aca="false">K337*(1+IF(L$3&lt;=$O$2,$D337,$D337-($D337-$I$319)*MIN(L$3-$O$2,$Q$2)/$Q$2))</f>
        <v>14729.6707114964</v>
      </c>
      <c r="M337" s="15" t="n">
        <f aca="false">L337*(1+IF(M$3&lt;=$O$2,$D337,$D337-($D337-$I$319)*MIN(M$3-$O$2,$Q$2)/$Q$2))</f>
        <v>15083.0778560724</v>
      </c>
      <c r="N337" s="15" t="n">
        <f aca="false">M337*(1+IF(N$3&lt;=$O$2,$D337,$D337-($D337-$I$319)*MIN(N$3-$O$2,$Q$2)/$Q$2))</f>
        <v>15359.0981808386</v>
      </c>
      <c r="O337" s="15" t="n">
        <f aca="false">SUMPRODUCT(E337:N337,1/(1+$F$319)^$E$3:$N$3)*$E$2</f>
        <v>44108.9401319613</v>
      </c>
      <c r="P337" s="15" t="n">
        <f aca="false">N337*$E$2*(1+$I$319)/($F$319-$I$319)/(1+$F$319)^$N$3</f>
        <v>62818.4871305133</v>
      </c>
      <c r="Q337" s="15" t="n">
        <f aca="false">O337+P337</f>
        <v>106927.427262475</v>
      </c>
      <c r="R337" s="15" t="n">
        <f aca="false">Q337-$G$2+$I$2</f>
        <v>87467.4272624746</v>
      </c>
      <c r="S337" s="40" t="n">
        <f aca="false">R337/$K$2</f>
        <v>155.805103871595</v>
      </c>
      <c r="T337" s="41" t="n">
        <f aca="false">S337-$M$2</f>
        <v>-0.00458279899075365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0.0467643737792969</v>
      </c>
      <c r="C338" s="25" t="n">
        <f aca="false">IF(T337&gt;0,D337,C337)</f>
        <v>0.0467758178710938</v>
      </c>
      <c r="D338" s="39" t="n">
        <f aca="false">(B338+C338)/2</f>
        <v>0.0467700958251953</v>
      </c>
      <c r="E338" s="15" t="n">
        <f aca="false">$C$2*(1+IF(E$3&lt;=$O$2,$D338,$D338-($D338-$I$319)*MIN(E$3-$O$2,$Q$2)/$Q$2))</f>
        <v>11053.8922119141</v>
      </c>
      <c r="F338" s="15" t="n">
        <f aca="false">E338*(1+IF(F$3&lt;=$O$2,$D338,$D338-($D338-$I$319)*MIN(F$3-$O$2,$Q$2)/$Q$2))</f>
        <v>11570.8838099067</v>
      </c>
      <c r="G338" s="15" t="n">
        <f aca="false">F338*(1+IF(G$3&lt;=$O$2,$D338,$D338-($D338-$I$319)*MIN(G$3-$O$2,$Q$2)/$Q$2))</f>
        <v>12112.0551544782</v>
      </c>
      <c r="H338" s="15" t="n">
        <f aca="false">G338*(1+IF(H$3&lt;=$O$2,$D338,$D338-($D338-$I$319)*MIN(H$3-$O$2,$Q$2)/$Q$2))</f>
        <v>12678.5371346932</v>
      </c>
      <c r="I338" s="15" t="n">
        <f aca="false">H338*(1+IF(I$3&lt;=$O$2,$D338,$D338-($D338-$I$319)*MIN(I$3-$O$2,$Q$2)/$Q$2))</f>
        <v>13271.5135314061</v>
      </c>
      <c r="J338" s="15" t="n">
        <f aca="false">I338*(1+IF(J$3&lt;=$O$2,$D338,$D338-($D338-$I$319)*MIN(J$3-$O$2,$Q$2)/$Q$2))</f>
        <v>13816.6552386184</v>
      </c>
      <c r="K338" s="15" t="n">
        <f aca="false">J338*(1+IF(K$3&lt;=$O$2,$D338,$D338-($D338-$I$319)*MIN(K$3-$O$2,$Q$2)/$Q$2))</f>
        <v>14305.5169286614</v>
      </c>
      <c r="L338" s="15" t="n">
        <f aca="false">K338*(1+IF(L$3&lt;=$O$2,$D338,$D338-($D338-$I$319)*MIN(L$3-$O$2,$Q$2)/$Q$2))</f>
        <v>14730.2196635711</v>
      </c>
      <c r="M338" s="15" t="n">
        <f aca="false">L338*(1+IF(M$3&lt;=$O$2,$D338,$D338-($D338-$I$319)*MIN(M$3-$O$2,$Q$2)/$Q$2))</f>
        <v>15083.6568364841</v>
      </c>
      <c r="N338" s="15" t="n">
        <f aca="false">M338*(1+IF(N$3&lt;=$O$2,$D338,$D338-($D338-$I$319)*MIN(N$3-$O$2,$Q$2)/$Q$2))</f>
        <v>15359.6877565917</v>
      </c>
      <c r="O338" s="15" t="n">
        <f aca="false">SUMPRODUCT(E338:N338,1/(1+$F$319)^$E$3:$N$3)*$E$2</f>
        <v>44110.04977378</v>
      </c>
      <c r="P338" s="15" t="n">
        <f aca="false">N338*$E$2*(1+$I$319)/($F$319-$I$319)/(1+$F$319)^$N$3</f>
        <v>62820.8984867289</v>
      </c>
      <c r="Q338" s="15" t="n">
        <f aca="false">O338+P338</f>
        <v>106930.948260509</v>
      </c>
      <c r="R338" s="15" t="n">
        <f aca="false">Q338-$G$2+$I$2</f>
        <v>87470.9482605089</v>
      </c>
      <c r="S338" s="40" t="n">
        <f aca="false">R338/$K$2</f>
        <v>155.811375800262</v>
      </c>
      <c r="T338" s="41" t="n">
        <f aca="false">S338-$M$2</f>
        <v>0.00168912967620827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0.0467643737792969</v>
      </c>
      <c r="C339" s="25" t="n">
        <f aca="false">IF(T338&gt;0,D338,C338)</f>
        <v>0.0467700958251953</v>
      </c>
      <c r="D339" s="39" t="n">
        <f aca="false">(B339+C339)/2</f>
        <v>0.0467672348022461</v>
      </c>
      <c r="E339" s="15" t="n">
        <f aca="false">$C$2*(1+IF(E$3&lt;=$O$2,$D339,$D339-($D339-$I$319)*MIN(E$3-$O$2,$Q$2)/$Q$2))</f>
        <v>11053.8619995117</v>
      </c>
      <c r="F339" s="15" t="n">
        <f aca="false">E339*(1+IF(F$3&lt;=$O$2,$D339,$D339-($D339-$I$319)*MIN(F$3-$O$2,$Q$2)/$Q$2))</f>
        <v>11570.8205591145</v>
      </c>
      <c r="G339" s="15" t="n">
        <f aca="false">F339*(1+IF(G$3&lt;=$O$2,$D339,$D339-($D339-$I$319)*MIN(G$3-$O$2,$Q$2)/$Q$2))</f>
        <v>12111.9558410573</v>
      </c>
      <c r="H339" s="15" t="n">
        <f aca="false">G339*(1+IF(H$3&lt;=$O$2,$D339,$D339-($D339-$I$319)*MIN(H$3-$O$2,$Q$2)/$Q$2))</f>
        <v>12678.3985237904</v>
      </c>
      <c r="I339" s="15" t="n">
        <f aca="false">H339*(1+IF(I$3&lt;=$O$2,$D339,$D339-($D339-$I$319)*MIN(I$3-$O$2,$Q$2)/$Q$2))</f>
        <v>13271.332164469</v>
      </c>
      <c r="J339" s="15" t="n">
        <f aca="false">I339*(1+IF(J$3&lt;=$O$2,$D339,$D339-($D339-$I$319)*MIN(J$3-$O$2,$Q$2)/$Q$2))</f>
        <v>13816.4360461704</v>
      </c>
      <c r="K339" s="15" t="n">
        <f aca="false">J339*(1+IF(K$3&lt;=$O$2,$D339,$D339-($D339-$I$319)*MIN(K$3-$O$2,$Q$2)/$Q$2))</f>
        <v>14305.2662632493</v>
      </c>
      <c r="L339" s="15" t="n">
        <f aca="false">K339*(1+IF(L$3&lt;=$O$2,$D339,$D339-($D339-$I$319)*MIN(L$3-$O$2,$Q$2)/$Q$2))</f>
        <v>14729.9451853165</v>
      </c>
      <c r="M339" s="15" t="n">
        <f aca="false">L339*(1+IF(M$3&lt;=$O$2,$D339,$D339-($D339-$I$319)*MIN(M$3-$O$2,$Q$2)/$Q$2))</f>
        <v>15083.3673438508</v>
      </c>
      <c r="N339" s="15" t="n">
        <f aca="false">M339*(1+IF(N$3&lt;=$O$2,$D339,$D339-($D339-$I$319)*MIN(N$3-$O$2,$Q$2)/$Q$2))</f>
        <v>15359.3929662432</v>
      </c>
      <c r="O339" s="15" t="n">
        <f aca="false">SUMPRODUCT(E339:N339,1/(1+$F$319)^$E$3:$N$3)*$E$2</f>
        <v>44109.4949493604</v>
      </c>
      <c r="P339" s="15" t="n">
        <f aca="false">N339*$E$2*(1+$I$319)/($F$319-$I$319)/(1+$F$319)^$N$3</f>
        <v>62819.692798511</v>
      </c>
      <c r="Q339" s="15" t="n">
        <f aca="false">O339+P339</f>
        <v>106929.187747871</v>
      </c>
      <c r="R339" s="15" t="n">
        <f aca="false">Q339-$G$2+$I$2</f>
        <v>87469.1877478714</v>
      </c>
      <c r="S339" s="40" t="n">
        <f aca="false">R339/$K$2</f>
        <v>155.808239811666</v>
      </c>
      <c r="T339" s="41" t="n">
        <f aca="false">S339-$M$2</f>
        <v>-0.00144685891913809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0.0467672348022461</v>
      </c>
      <c r="C340" s="25" t="n">
        <f aca="false">IF(T339&gt;0,D339,C339)</f>
        <v>0.0467700958251953</v>
      </c>
      <c r="D340" s="39" t="n">
        <f aca="false">(B340+C340)/2</f>
        <v>0.0467686653137207</v>
      </c>
      <c r="E340" s="15" t="n">
        <f aca="false">$C$2*(1+IF(E$3&lt;=$O$2,$D340,$D340-($D340-$I$319)*MIN(E$3-$O$2,$Q$2)/$Q$2))</f>
        <v>11053.8771057129</v>
      </c>
      <c r="F340" s="15" t="n">
        <f aca="false">E340*(1+IF(F$3&lt;=$O$2,$D340,$D340-($D340-$I$319)*MIN(F$3-$O$2,$Q$2)/$Q$2))</f>
        <v>11570.852184489</v>
      </c>
      <c r="G340" s="15" t="n">
        <f aca="false">F340*(1+IF(G$3&lt;=$O$2,$D340,$D340-($D340-$I$319)*MIN(G$3-$O$2,$Q$2)/$Q$2))</f>
        <v>12112.0054976999</v>
      </c>
      <c r="H340" s="15" t="n">
        <f aca="false">G340*(1+IF(H$3&lt;=$O$2,$D340,$D340-($D340-$I$319)*MIN(H$3-$O$2,$Q$2)/$Q$2))</f>
        <v>12678.4678290997</v>
      </c>
      <c r="I340" s="15" t="n">
        <f aca="false">H340*(1+IF(I$3&lt;=$O$2,$D340,$D340-($D340-$I$319)*MIN(I$3-$O$2,$Q$2)/$Q$2))</f>
        <v>13271.4228476897</v>
      </c>
      <c r="J340" s="15" t="n">
        <f aca="false">I340*(1+IF(J$3&lt;=$O$2,$D340,$D340-($D340-$I$319)*MIN(J$3-$O$2,$Q$2)/$Q$2))</f>
        <v>13816.5456420326</v>
      </c>
      <c r="K340" s="15" t="n">
        <f aca="false">J340*(1+IF(K$3&lt;=$O$2,$D340,$D340-($D340-$I$319)*MIN(K$3-$O$2,$Q$2)/$Q$2))</f>
        <v>14305.3915954867</v>
      </c>
      <c r="L340" s="15" t="n">
        <f aca="false">K340*(1+IF(L$3&lt;=$O$2,$D340,$D340-($D340-$I$319)*MIN(L$3-$O$2,$Q$2)/$Q$2))</f>
        <v>14730.0824238895</v>
      </c>
      <c r="M340" s="15" t="n">
        <f aca="false">L340*(1+IF(M$3&lt;=$O$2,$D340,$D340-($D340-$I$319)*MIN(M$3-$O$2,$Q$2)/$Q$2))</f>
        <v>15083.5120895605</v>
      </c>
      <c r="N340" s="15" t="n">
        <f aca="false">M340*(1+IF(N$3&lt;=$O$2,$D340,$D340-($D340-$I$319)*MIN(N$3-$O$2,$Q$2)/$Q$2))</f>
        <v>15359.5403607995</v>
      </c>
      <c r="O340" s="15" t="n">
        <f aca="false">SUMPRODUCT(E340:N340,1/(1+$F$319)^$E$3:$N$3)*$E$2</f>
        <v>44109.7723606927</v>
      </c>
      <c r="P340" s="15" t="n">
        <f aca="false">N340*$E$2*(1+$I$319)/($F$319-$I$319)/(1+$F$319)^$N$3</f>
        <v>62820.2956400924</v>
      </c>
      <c r="Q340" s="15" t="n">
        <f aca="false">O340+P340</f>
        <v>106930.068000785</v>
      </c>
      <c r="R340" s="15" t="n">
        <f aca="false">Q340-$G$2+$I$2</f>
        <v>87470.0680007851</v>
      </c>
      <c r="S340" s="40" t="n">
        <f aca="false">R340/$K$2</f>
        <v>155.809807799899</v>
      </c>
      <c r="T340" s="41" t="n">
        <f aca="false">S340-$M$2</f>
        <v>0.000121129313072288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0.0467672348022461</v>
      </c>
      <c r="C341" s="25" t="n">
        <f aca="false">IF(T340&gt;0,D340,C340)</f>
        <v>0.0467686653137207</v>
      </c>
      <c r="D341" s="39" t="n">
        <f aca="false">(B341+C341)/2</f>
        <v>0.0467679500579834</v>
      </c>
      <c r="E341" s="15" t="n">
        <f aca="false">$C$2*(1+IF(E$3&lt;=$O$2,$D341,$D341-($D341-$I$319)*MIN(E$3-$O$2,$Q$2)/$Q$2))</f>
        <v>11053.8695526123</v>
      </c>
      <c r="F341" s="15" t="n">
        <f aca="false">E341*(1+IF(F$3&lt;=$O$2,$D341,$D341-($D341-$I$319)*MIN(F$3-$O$2,$Q$2)/$Q$2))</f>
        <v>11570.8363717963</v>
      </c>
      <c r="G341" s="15" t="n">
        <f aca="false">F341*(1+IF(G$3&lt;=$O$2,$D341,$D341-($D341-$I$319)*MIN(G$3-$O$2,$Q$2)/$Q$2))</f>
        <v>12111.9806693616</v>
      </c>
      <c r="H341" s="15" t="n">
        <f aca="false">G341*(1+IF(H$3&lt;=$O$2,$D341,$D341-($D341-$I$319)*MIN(H$3-$O$2,$Q$2)/$Q$2))</f>
        <v>12678.4331764096</v>
      </c>
      <c r="I341" s="15" t="n">
        <f aca="false">H341*(1+IF(I$3&lt;=$O$2,$D341,$D341-($D341-$I$319)*MIN(I$3-$O$2,$Q$2)/$Q$2))</f>
        <v>13271.3775060174</v>
      </c>
      <c r="J341" s="15" t="n">
        <f aca="false">I341*(1+IF(J$3&lt;=$O$2,$D341,$D341-($D341-$I$319)*MIN(J$3-$O$2,$Q$2)/$Q$2))</f>
        <v>13816.4908440111</v>
      </c>
      <c r="K341" s="15" t="n">
        <f aca="false">J341*(1+IF(K$3&lt;=$O$2,$D341,$D341-($D341-$I$319)*MIN(K$3-$O$2,$Q$2)/$Q$2))</f>
        <v>14305.3289292508</v>
      </c>
      <c r="L341" s="15" t="n">
        <f aca="false">K341*(1+IF(L$3&lt;=$O$2,$D341,$D341-($D341-$I$319)*MIN(L$3-$O$2,$Q$2)/$Q$2))</f>
        <v>14730.0138044645</v>
      </c>
      <c r="M341" s="15" t="n">
        <f aca="false">L341*(1+IF(M$3&lt;=$O$2,$D341,$D341-($D341-$I$319)*MIN(M$3-$O$2,$Q$2)/$Q$2))</f>
        <v>15083.4397165539</v>
      </c>
      <c r="N341" s="15" t="n">
        <f aca="false">M341*(1+IF(N$3&lt;=$O$2,$D341,$D341-($D341-$I$319)*MIN(N$3-$O$2,$Q$2)/$Q$2))</f>
        <v>15359.4666633669</v>
      </c>
      <c r="O341" s="15" t="n">
        <f aca="false">SUMPRODUCT(E341:N341,1/(1+$F$319)^$E$3:$N$3)*$E$2</f>
        <v>44109.6336548072</v>
      </c>
      <c r="P341" s="15" t="n">
        <f aca="false">N341*$E$2*(1+$I$319)/($F$319-$I$319)/(1+$F$319)^$N$3</f>
        <v>62819.9942186698</v>
      </c>
      <c r="Q341" s="15" t="n">
        <f aca="false">O341+P341</f>
        <v>106929.627873477</v>
      </c>
      <c r="R341" s="15" t="n">
        <f aca="false">Q341-$G$2+$I$2</f>
        <v>87469.627873477</v>
      </c>
      <c r="S341" s="40" t="n">
        <f aca="false">R341/$K$2</f>
        <v>155.809023804266</v>
      </c>
      <c r="T341" s="41" t="n">
        <f aca="false">S341-$M$2</f>
        <v>-0.000662866319345312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0.0467679500579834</v>
      </c>
      <c r="C342" s="25" t="n">
        <f aca="false">IF(T341&gt;0,D341,C341)</f>
        <v>0.0467686653137207</v>
      </c>
      <c r="D342" s="39" t="n">
        <f aca="false">(B342+C342)/2</f>
        <v>0.0467683076858521</v>
      </c>
      <c r="E342" s="15" t="n">
        <f aca="false">$C$2*(1+IF(E$3&lt;=$O$2,$D342,$D342-($D342-$I$319)*MIN(E$3-$O$2,$Q$2)/$Q$2))</f>
        <v>11053.8733291626</v>
      </c>
      <c r="F342" s="15" t="n">
        <f aca="false">E342*(1+IF(F$3&lt;=$O$2,$D342,$D342-($D342-$I$319)*MIN(F$3-$O$2,$Q$2)/$Q$2))</f>
        <v>11570.8442781413</v>
      </c>
      <c r="G342" s="15" t="n">
        <f aca="false">F342*(1+IF(G$3&lt;=$O$2,$D342,$D342-($D342-$I$319)*MIN(G$3-$O$2,$Q$2)/$Q$2))</f>
        <v>12111.9930835265</v>
      </c>
      <c r="H342" s="15" t="n">
        <f aca="false">G342*(1+IF(H$3&lt;=$O$2,$D342,$D342-($D342-$I$319)*MIN(H$3-$O$2,$Q$2)/$Q$2))</f>
        <v>12678.4505027458</v>
      </c>
      <c r="I342" s="15" t="n">
        <f aca="false">H342*(1+IF(I$3&lt;=$O$2,$D342,$D342-($D342-$I$319)*MIN(I$3-$O$2,$Q$2)/$Q$2))</f>
        <v>13271.400176838</v>
      </c>
      <c r="J342" s="15" t="n">
        <f aca="false">I342*(1+IF(J$3&lt;=$O$2,$D342,$D342-($D342-$I$319)*MIN(J$3-$O$2,$Q$2)/$Q$2))</f>
        <v>13816.5182429992</v>
      </c>
      <c r="K342" s="15" t="n">
        <f aca="false">J342*(1+IF(K$3&lt;=$O$2,$D342,$D342-($D342-$I$319)*MIN(K$3-$O$2,$Q$2)/$Q$2))</f>
        <v>14305.3602623394</v>
      </c>
      <c r="L342" s="15" t="n">
        <f aca="false">K342*(1+IF(L$3&lt;=$O$2,$D342,$D342-($D342-$I$319)*MIN(L$3-$O$2,$Q$2)/$Q$2))</f>
        <v>14730.0481141423</v>
      </c>
      <c r="M342" s="15" t="n">
        <f aca="false">L342*(1+IF(M$3&lt;=$O$2,$D342,$D342-($D342-$I$319)*MIN(M$3-$O$2,$Q$2)/$Q$2))</f>
        <v>15083.4759030193</v>
      </c>
      <c r="N342" s="15" t="n">
        <f aca="false">M342*(1+IF(N$3&lt;=$O$2,$D342,$D342-($D342-$I$319)*MIN(N$3-$O$2,$Q$2)/$Q$2))</f>
        <v>15359.5035120446</v>
      </c>
      <c r="O342" s="15" t="n">
        <f aca="false">SUMPRODUCT(E342:N342,1/(1+$F$319)^$E$3:$N$3)*$E$2</f>
        <v>44109.7030076951</v>
      </c>
      <c r="P342" s="15" t="n">
        <f aca="false">N342*$E$2*(1+$I$319)/($F$319-$I$319)/(1+$F$319)^$N$3</f>
        <v>62820.1449292231</v>
      </c>
      <c r="Q342" s="15" t="n">
        <f aca="false">O342+P342</f>
        <v>106929.847936918</v>
      </c>
      <c r="R342" s="15" t="n">
        <f aca="false">Q342-$G$2+$I$2</f>
        <v>87469.8479369182</v>
      </c>
      <c r="S342" s="40" t="n">
        <f aca="false">R342/$K$2</f>
        <v>155.809415801703</v>
      </c>
      <c r="T342" s="41" t="n">
        <f aca="false">S342-$M$2</f>
        <v>-0.000270868882239483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0.0467683076858521</v>
      </c>
      <c r="C343" s="25" t="n">
        <f aca="false">IF(T342&gt;0,D342,C342)</f>
        <v>0.0467686653137207</v>
      </c>
      <c r="D343" s="39" t="n">
        <f aca="false">(B343+C343)/2</f>
        <v>0.0467684864997864</v>
      </c>
      <c r="E343" s="15" t="n">
        <f aca="false">$C$2*(1+IF(E$3&lt;=$O$2,$D343,$D343-($D343-$I$319)*MIN(E$3-$O$2,$Q$2)/$Q$2))</f>
        <v>11053.8752174377</v>
      </c>
      <c r="F343" s="15" t="n">
        <f aca="false">E343*(1+IF(F$3&lt;=$O$2,$D343,$D343-($D343-$I$319)*MIN(F$3-$O$2,$Q$2)/$Q$2))</f>
        <v>11570.8482313148</v>
      </c>
      <c r="G343" s="15" t="n">
        <f aca="false">F343*(1+IF(G$3&lt;=$O$2,$D343,$D343-($D343-$I$319)*MIN(G$3-$O$2,$Q$2)/$Q$2))</f>
        <v>12111.9992906121</v>
      </c>
      <c r="H343" s="15" t="n">
        <f aca="false">G343*(1+IF(H$3&lt;=$O$2,$D343,$D343-($D343-$I$319)*MIN(H$3-$O$2,$Q$2)/$Q$2))</f>
        <v>12678.4591659205</v>
      </c>
      <c r="I343" s="15" t="n">
        <f aca="false">H343*(1+IF(I$3&lt;=$O$2,$D343,$D343-($D343-$I$319)*MIN(I$3-$O$2,$Q$2)/$Q$2))</f>
        <v>13271.41151226</v>
      </c>
      <c r="J343" s="15" t="n">
        <f aca="false">I343*(1+IF(J$3&lt;=$O$2,$D343,$D343-($D343-$I$319)*MIN(J$3-$O$2,$Q$2)/$Q$2))</f>
        <v>13816.5319425103</v>
      </c>
      <c r="K343" s="15" t="n">
        <f aca="false">J343*(1+IF(K$3&lt;=$O$2,$D343,$D343-($D343-$I$319)*MIN(K$3-$O$2,$Q$2)/$Q$2))</f>
        <v>14305.3759289057</v>
      </c>
      <c r="L343" s="15" t="n">
        <f aca="false">K343*(1+IF(L$3&lt;=$O$2,$D343,$D343-($D343-$I$319)*MIN(L$3-$O$2,$Q$2)/$Q$2))</f>
        <v>14730.0652690073</v>
      </c>
      <c r="M343" s="15" t="n">
        <f aca="false">L343*(1+IF(M$3&lt;=$O$2,$D343,$D343-($D343-$I$319)*MIN(M$3-$O$2,$Q$2)/$Q$2))</f>
        <v>15083.4939962804</v>
      </c>
      <c r="N343" s="15" t="n">
        <f aca="false">M343*(1+IF(N$3&lt;=$O$2,$D343,$D343-($D343-$I$319)*MIN(N$3-$O$2,$Q$2)/$Q$2))</f>
        <v>15359.5219364124</v>
      </c>
      <c r="O343" s="15" t="n">
        <f aca="false">SUMPRODUCT(E343:N343,1/(1+$F$319)^$E$3:$N$3)*$E$2</f>
        <v>44109.7376841802</v>
      </c>
      <c r="P343" s="15" t="n">
        <f aca="false">N343*$E$2*(1+$I$319)/($F$319-$I$319)/(1+$F$319)^$N$3</f>
        <v>62820.2202846183</v>
      </c>
      <c r="Q343" s="15" t="n">
        <f aca="false">O343+P343</f>
        <v>106929.957968798</v>
      </c>
      <c r="R343" s="15" t="n">
        <f aca="false">Q343-$G$2+$I$2</f>
        <v>87469.9579687984</v>
      </c>
      <c r="S343" s="40" t="n">
        <f aca="false">R343/$K$2</f>
        <v>155.809611800706</v>
      </c>
      <c r="T343" s="41" t="n">
        <f aca="false">S343-$M$2</f>
        <v>-7.48698793699987E-005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0.0467684864997864</v>
      </c>
      <c r="C344" s="25" t="n">
        <f aca="false">IF(T343&gt;0,D343,C343)</f>
        <v>0.0467686653137207</v>
      </c>
      <c r="D344" s="39" t="n">
        <f aca="false">(B344+C344)/2</f>
        <v>0.0467685759067535</v>
      </c>
      <c r="E344" s="15" t="n">
        <f aca="false">$C$2*(1+IF(E$3&lt;=$O$2,$D344,$D344-($D344-$I$319)*MIN(E$3-$O$2,$Q$2)/$Q$2))</f>
        <v>11053.8761615753</v>
      </c>
      <c r="F344" s="15" t="n">
        <f aca="false">E344*(1+IF(F$3&lt;=$O$2,$D344,$D344-($D344-$I$319)*MIN(F$3-$O$2,$Q$2)/$Q$2))</f>
        <v>11570.8502079018</v>
      </c>
      <c r="G344" s="15" t="n">
        <f aca="false">F344*(1+IF(G$3&lt;=$O$2,$D344,$D344-($D344-$I$319)*MIN(G$3-$O$2,$Q$2)/$Q$2))</f>
        <v>12112.0023941557</v>
      </c>
      <c r="H344" s="15" t="n">
        <f aca="false">G344*(1+IF(H$3&lt;=$O$2,$D344,$D344-($D344-$I$319)*MIN(H$3-$O$2,$Q$2)/$Q$2))</f>
        <v>12678.4634975096</v>
      </c>
      <c r="I344" s="15" t="n">
        <f aca="false">H344*(1+IF(I$3&lt;=$O$2,$D344,$D344-($D344-$I$319)*MIN(I$3-$O$2,$Q$2)/$Q$2))</f>
        <v>13271.4171799739</v>
      </c>
      <c r="J344" s="15" t="n">
        <f aca="false">I344*(1+IF(J$3&lt;=$O$2,$D344,$D344-($D344-$I$319)*MIN(J$3-$O$2,$Q$2)/$Q$2))</f>
        <v>13816.53879227</v>
      </c>
      <c r="K344" s="15" t="n">
        <f aca="false">J344*(1+IF(K$3&lt;=$O$2,$D344,$D344-($D344-$I$319)*MIN(K$3-$O$2,$Q$2)/$Q$2))</f>
        <v>14305.3837621944</v>
      </c>
      <c r="L344" s="15" t="n">
        <f aca="false">K344*(1+IF(L$3&lt;=$O$2,$D344,$D344-($D344-$I$319)*MIN(L$3-$O$2,$Q$2)/$Q$2))</f>
        <v>14730.0738464462</v>
      </c>
      <c r="M344" s="15" t="n">
        <f aca="false">L344*(1+IF(M$3&lt;=$O$2,$D344,$D344-($D344-$I$319)*MIN(M$3-$O$2,$Q$2)/$Q$2))</f>
        <v>15083.5030429181</v>
      </c>
      <c r="N344" s="15" t="n">
        <f aca="false">M344*(1+IF(N$3&lt;=$O$2,$D344,$D344-($D344-$I$319)*MIN(N$3-$O$2,$Q$2)/$Q$2))</f>
        <v>15359.5311486035</v>
      </c>
      <c r="O344" s="15" t="n">
        <f aca="false">SUMPRODUCT(E344:N344,1/(1+$F$319)^$E$3:$N$3)*$E$2</f>
        <v>44109.755022433</v>
      </c>
      <c r="P344" s="15" t="n">
        <f aca="false">N344*$E$2*(1+$I$319)/($F$319-$I$319)/(1+$F$319)^$N$3</f>
        <v>62820.2579623455</v>
      </c>
      <c r="Q344" s="15" t="n">
        <f aca="false">O344+P344</f>
        <v>106930.012984778</v>
      </c>
      <c r="R344" s="15" t="n">
        <f aca="false">Q344-$G$2+$I$2</f>
        <v>87470.0129847784</v>
      </c>
      <c r="S344" s="40" t="n">
        <f aca="false">R344/$K$2</f>
        <v>155.809709800279</v>
      </c>
      <c r="T344" s="41" t="n">
        <f aca="false">S344-$M$2</f>
        <v>2.31296931758607E-005</v>
      </c>
    </row>
    <row r="346" customFormat="false" ht="15" hidden="false" customHeight="false" outlineLevel="0" collapsed="false">
      <c r="A346" s="36" t="s">
        <v>198</v>
      </c>
      <c r="E346" s="5" t="s">
        <v>11</v>
      </c>
      <c r="F346" s="12" t="n">
        <f aca="false">Sensitivity!$B$12</f>
        <v>0.0770172026214128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6" t="s">
        <v>167</v>
      </c>
      <c r="B347" s="28" t="s">
        <v>168</v>
      </c>
      <c r="C347" s="28" t="s">
        <v>169</v>
      </c>
      <c r="D347" s="28" t="s">
        <v>170</v>
      </c>
      <c r="E347" s="28" t="s">
        <v>171</v>
      </c>
      <c r="F347" s="28" t="s">
        <v>172</v>
      </c>
      <c r="G347" s="28" t="s">
        <v>173</v>
      </c>
      <c r="H347" s="28" t="s">
        <v>174</v>
      </c>
      <c r="I347" s="28" t="s">
        <v>175</v>
      </c>
      <c r="J347" s="28" t="s">
        <v>176</v>
      </c>
      <c r="K347" s="28" t="s">
        <v>177</v>
      </c>
      <c r="L347" s="28" t="s">
        <v>178</v>
      </c>
      <c r="M347" s="28" t="s">
        <v>179</v>
      </c>
      <c r="N347" s="28" t="s">
        <v>180</v>
      </c>
      <c r="O347" s="28" t="s">
        <v>181</v>
      </c>
      <c r="P347" s="28" t="s">
        <v>182</v>
      </c>
      <c r="Q347" s="28" t="s">
        <v>183</v>
      </c>
      <c r="R347" s="28" t="s">
        <v>184</v>
      </c>
      <c r="S347" s="28" t="s">
        <v>185</v>
      </c>
      <c r="T347" s="28" t="s">
        <v>186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39" t="n">
        <f aca="false">(B348+C348)/2</f>
        <v>0.25</v>
      </c>
      <c r="E348" s="15" t="n">
        <f aca="false">$C$2*(1+IF(E$3&lt;=$O$2,$D348,$D348-($D348-$I$346)*MIN(E$3-$O$2,$Q$2)/$Q$2))</f>
        <v>13200</v>
      </c>
      <c r="F348" s="15" t="n">
        <f aca="false">E348*(1+IF(F$3&lt;=$O$2,$D348,$D348-($D348-$I$346)*MIN(F$3-$O$2,$Q$2)/$Q$2))</f>
        <v>16500</v>
      </c>
      <c r="G348" s="15" t="n">
        <f aca="false">F348*(1+IF(G$3&lt;=$O$2,$D348,$D348-($D348-$I$346)*MIN(G$3-$O$2,$Q$2)/$Q$2))</f>
        <v>20625</v>
      </c>
      <c r="H348" s="15" t="n">
        <f aca="false">G348*(1+IF(H$3&lt;=$O$2,$D348,$D348-($D348-$I$346)*MIN(H$3-$O$2,$Q$2)/$Q$2))</f>
        <v>25781.25</v>
      </c>
      <c r="I348" s="15" t="n">
        <f aca="false">H348*(1+IF(I$3&lt;=$O$2,$D348,$D348-($D348-$I$346)*MIN(I$3-$O$2,$Q$2)/$Q$2))</f>
        <v>32226.5625</v>
      </c>
      <c r="J348" s="15" t="n">
        <f aca="false">I348*(1+IF(J$3&lt;=$O$2,$D348,$D348-($D348-$I$346)*MIN(J$3-$O$2,$Q$2)/$Q$2))</f>
        <v>38822.05078125</v>
      </c>
      <c r="K348" s="15" t="n">
        <f aca="false">J348*(1+IF(K$3&lt;=$O$2,$D348,$D348-($D348-$I$346)*MIN(K$3-$O$2,$Q$2)/$Q$2))</f>
        <v>45007.1799117188</v>
      </c>
      <c r="L348" s="15" t="n">
        <f aca="false">K348*(1+IF(L$3&lt;=$O$2,$D348,$D348-($D348-$I$346)*MIN(L$3-$O$2,$Q$2)/$Q$2))</f>
        <v>50137.0982780565</v>
      </c>
      <c r="M348" s="15" t="n">
        <f aca="false">L348*(1+IF(M$3&lt;=$O$2,$D348,$D348-($D348-$I$346)*MIN(M$3-$O$2,$Q$2)/$Q$2))</f>
        <v>53578.5087038623</v>
      </c>
      <c r="N348" s="15" t="n">
        <f aca="false">M348*(1+IF(N$3&lt;=$O$2,$D348,$D348-($D348-$I$346)*MIN(N$3-$O$2,$Q$2)/$Q$2))</f>
        <v>54826.8879566622</v>
      </c>
      <c r="O348" s="15" t="n">
        <f aca="false">SUMPRODUCT(E348:N348,1/(1+$F$346)^$E$3:$N$3)*$E$2</f>
        <v>107629.32050686</v>
      </c>
      <c r="P348" s="15" t="n">
        <f aca="false">N348*$E$2*(1+$I$346)/($F$346-$I$346)/(1+$F$346)^$N$3</f>
        <v>246317.093286667</v>
      </c>
      <c r="Q348" s="15" t="n">
        <f aca="false">O348+P348</f>
        <v>353946.413793528</v>
      </c>
      <c r="R348" s="15" t="n">
        <f aca="false">Q348-$G$2+$I$2</f>
        <v>334486.413793528</v>
      </c>
      <c r="S348" s="40" t="n">
        <f aca="false">R348/$K$2</f>
        <v>595.818261446637</v>
      </c>
      <c r="T348" s="41" t="n">
        <f aca="false">S348-$M$2</f>
        <v>440.008574776052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39" t="n">
        <f aca="false">(B349+C349)/2</f>
        <v>-0.125</v>
      </c>
      <c r="E349" s="15" t="n">
        <f aca="false">$C$2*(1+IF(E$3&lt;=$O$2,$D349,$D349-($D349-$I$346)*MIN(E$3-$O$2,$Q$2)/$Q$2))</f>
        <v>9240</v>
      </c>
      <c r="F349" s="15" t="n">
        <f aca="false">E349*(1+IF(F$3&lt;=$O$2,$D349,$D349-($D349-$I$346)*MIN(F$3-$O$2,$Q$2)/$Q$2))</f>
        <v>8085</v>
      </c>
      <c r="G349" s="15" t="n">
        <f aca="false">F349*(1+IF(G$3&lt;=$O$2,$D349,$D349-($D349-$I$346)*MIN(G$3-$O$2,$Q$2)/$Q$2))</f>
        <v>7074.375</v>
      </c>
      <c r="H349" s="15" t="n">
        <f aca="false">G349*(1+IF(H$3&lt;=$O$2,$D349,$D349-($D349-$I$346)*MIN(H$3-$O$2,$Q$2)/$Q$2))</f>
        <v>6190.078125</v>
      </c>
      <c r="I349" s="15" t="n">
        <f aca="false">H349*(1+IF(I$3&lt;=$O$2,$D349,$D349-($D349-$I$346)*MIN(I$3-$O$2,$Q$2)/$Q$2))</f>
        <v>5416.318359375</v>
      </c>
      <c r="J349" s="15" t="n">
        <f aca="false">I349*(1+IF(J$3&lt;=$O$2,$D349,$D349-($D349-$I$346)*MIN(J$3-$O$2,$Q$2)/$Q$2))</f>
        <v>4899.92656699219</v>
      </c>
      <c r="K349" s="15" t="n">
        <f aca="false">J349*(1+IF(K$3&lt;=$O$2,$D349,$D349-($D349-$I$346)*MIN(K$3-$O$2,$Q$2)/$Q$2))</f>
        <v>4578.09939007214</v>
      </c>
      <c r="L349" s="15" t="n">
        <f aca="false">K349*(1+IF(L$3&lt;=$O$2,$D349,$D349-($D349-$I$346)*MIN(L$3-$O$2,$Q$2)/$Q$2))</f>
        <v>4413.19625004174</v>
      </c>
      <c r="M349" s="15" t="n">
        <f aca="false">L349*(1+IF(M$3&lt;=$O$2,$D349,$D349-($D349-$I$346)*MIN(M$3-$O$2,$Q$2)/$Q$2))</f>
        <v>4385.12832189148</v>
      </c>
      <c r="N349" s="15" t="n">
        <f aca="false">M349*(1+IF(N$3&lt;=$O$2,$D349,$D349-($D349-$I$346)*MIN(N$3-$O$2,$Q$2)/$Q$2))</f>
        <v>4487.30181179155</v>
      </c>
      <c r="O349" s="15" t="n">
        <f aca="false">SUMPRODUCT(E349:N349,1/(1+$F$346)^$E$3:$N$3)*$E$2</f>
        <v>20918.1911067402</v>
      </c>
      <c r="P349" s="15" t="n">
        <f aca="false">N349*$E$2*(1+$I$346)/($F$346-$I$346)/(1+$F$346)^$N$3</f>
        <v>20159.8007870549</v>
      </c>
      <c r="Q349" s="15" t="n">
        <f aca="false">O349+P349</f>
        <v>41077.9918937951</v>
      </c>
      <c r="R349" s="15" t="n">
        <f aca="false">Q349-$G$2+$I$2</f>
        <v>21617.9918937951</v>
      </c>
      <c r="S349" s="40" t="n">
        <f aca="false">R349/$K$2</f>
        <v>38.5079746589628</v>
      </c>
      <c r="T349" s="41" t="n">
        <f aca="false">S349-$M$2</f>
        <v>-117.301712011623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39" t="n">
        <f aca="false">(B350+C350)/2</f>
        <v>0.0625</v>
      </c>
      <c r="E350" s="15" t="n">
        <f aca="false">$C$2*(1+IF(E$3&lt;=$O$2,$D350,$D350-($D350-$I$346)*MIN(E$3-$O$2,$Q$2)/$Q$2))</f>
        <v>11220</v>
      </c>
      <c r="F350" s="15" t="n">
        <f aca="false">E350*(1+IF(F$3&lt;=$O$2,$D350,$D350-($D350-$I$346)*MIN(F$3-$O$2,$Q$2)/$Q$2))</f>
        <v>11921.25</v>
      </c>
      <c r="G350" s="15" t="n">
        <f aca="false">F350*(1+IF(G$3&lt;=$O$2,$D350,$D350-($D350-$I$346)*MIN(G$3-$O$2,$Q$2)/$Q$2))</f>
        <v>12666.328125</v>
      </c>
      <c r="H350" s="15" t="n">
        <f aca="false">G350*(1+IF(H$3&lt;=$O$2,$D350,$D350-($D350-$I$346)*MIN(H$3-$O$2,$Q$2)/$Q$2))</f>
        <v>13457.9736328125</v>
      </c>
      <c r="I350" s="15" t="n">
        <f aca="false">H350*(1+IF(I$3&lt;=$O$2,$D350,$D350-($D350-$I$346)*MIN(I$3-$O$2,$Q$2)/$Q$2))</f>
        <v>14299.0969848633</v>
      </c>
      <c r="J350" s="15" t="n">
        <f aca="false">I350*(1+IF(J$3&lt;=$O$2,$D350,$D350-($D350-$I$346)*MIN(J$3-$O$2,$Q$2)/$Q$2))</f>
        <v>15080.6856260559</v>
      </c>
      <c r="K350" s="15" t="n">
        <f aca="false">J350*(1+IF(K$3&lt;=$O$2,$D350,$D350-($D350-$I$346)*MIN(K$3-$O$2,$Q$2)/$Q$2))</f>
        <v>15786.7633270678</v>
      </c>
      <c r="L350" s="15" t="n">
        <f aca="false">K350*(1+IF(L$3&lt;=$O$2,$D350,$D350-($D350-$I$346)*MIN(L$3-$O$2,$Q$2)/$Q$2))</f>
        <v>16402.131361557</v>
      </c>
      <c r="M350" s="15" t="n">
        <f aca="false">L350*(1+IF(M$3&lt;=$O$2,$D350,$D350-($D350-$I$346)*MIN(M$3-$O$2,$Q$2)/$Q$2))</f>
        <v>16912.8937321558</v>
      </c>
      <c r="N350" s="15" t="n">
        <f aca="false">M350*(1+IF(N$3&lt;=$O$2,$D350,$D350-($D350-$I$346)*MIN(N$3-$O$2,$Q$2)/$Q$2))</f>
        <v>17306.9641561151</v>
      </c>
      <c r="O350" s="15" t="n">
        <f aca="false">SUMPRODUCT(E350:N350,1/(1+$F$346)^$E$3:$N$3)*$E$2</f>
        <v>47412.6148190689</v>
      </c>
      <c r="P350" s="15" t="n">
        <f aca="false">N350*$E$2*(1+$I$346)/($F$346-$I$346)/(1+$F$346)^$N$3</f>
        <v>77753.8405594073</v>
      </c>
      <c r="Q350" s="15" t="n">
        <f aca="false">O350+P350</f>
        <v>125166.455378476</v>
      </c>
      <c r="R350" s="15" t="n">
        <f aca="false">Q350-$G$2+$I$2</f>
        <v>105706.455378476</v>
      </c>
      <c r="S350" s="40" t="n">
        <f aca="false">R350/$K$2</f>
        <v>188.294154471003</v>
      </c>
      <c r="T350" s="41" t="n">
        <f aca="false">S350-$M$2</f>
        <v>32.4844678004172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39" t="n">
        <f aca="false">(B351+C351)/2</f>
        <v>-0.03125</v>
      </c>
      <c r="E351" s="15" t="n">
        <f aca="false">$C$2*(1+IF(E$3&lt;=$O$2,$D351,$D351-($D351-$I$346)*MIN(E$3-$O$2,$Q$2)/$Q$2))</f>
        <v>10230</v>
      </c>
      <c r="F351" s="15" t="n">
        <f aca="false">E351*(1+IF(F$3&lt;=$O$2,$D351,$D351-($D351-$I$346)*MIN(F$3-$O$2,$Q$2)/$Q$2))</f>
        <v>9910.3125</v>
      </c>
      <c r="G351" s="15" t="n">
        <f aca="false">F351*(1+IF(G$3&lt;=$O$2,$D351,$D351-($D351-$I$346)*MIN(G$3-$O$2,$Q$2)/$Q$2))</f>
        <v>9600.615234375</v>
      </c>
      <c r="H351" s="15" t="n">
        <f aca="false">G351*(1+IF(H$3&lt;=$O$2,$D351,$D351-($D351-$I$346)*MIN(H$3-$O$2,$Q$2)/$Q$2))</f>
        <v>9300.59600830078</v>
      </c>
      <c r="I351" s="15" t="n">
        <f aca="false">H351*(1+IF(I$3&lt;=$O$2,$D351,$D351-($D351-$I$346)*MIN(I$3-$O$2,$Q$2)/$Q$2))</f>
        <v>9009.95238304138</v>
      </c>
      <c r="J351" s="15" t="n">
        <f aca="false">I351*(1+IF(J$3&lt;=$O$2,$D351,$D351-($D351-$I$346)*MIN(J$3-$O$2,$Q$2)/$Q$2))</f>
        <v>8826.68995157032</v>
      </c>
      <c r="K351" s="15" t="n">
        <f aca="false">J351*(1+IF(K$3&lt;=$O$2,$D351,$D351-($D351-$I$346)*MIN(K$3-$O$2,$Q$2)/$Q$2))</f>
        <v>8743.45426532701</v>
      </c>
      <c r="L351" s="15" t="n">
        <f aca="false">K351*(1+IF(L$3&lt;=$O$2,$D351,$D351-($D351-$I$346)*MIN(L$3-$O$2,$Q$2)/$Q$2))</f>
        <v>8756.3945776397</v>
      </c>
      <c r="M351" s="15" t="n">
        <f aca="false">L351*(1+IF(M$3&lt;=$O$2,$D351,$D351-($D351-$I$346)*MIN(M$3-$O$2,$Q$2)/$Q$2))</f>
        <v>8864.88630645665</v>
      </c>
      <c r="N351" s="15" t="n">
        <f aca="false">M351*(1+IF(N$3&lt;=$O$2,$D351,$D351-($D351-$I$346)*MIN(N$3-$O$2,$Q$2)/$Q$2))</f>
        <v>9071.43815739709</v>
      </c>
      <c r="O351" s="15" t="n">
        <f aca="false">SUMPRODUCT(E351:N351,1/(1+$F$346)^$E$3:$N$3)*$E$2</f>
        <v>31407.7756905036</v>
      </c>
      <c r="P351" s="15" t="n">
        <f aca="false">N351*$E$2*(1+$I$346)/($F$346-$I$346)/(1+$F$346)^$N$3</f>
        <v>40754.6436089174</v>
      </c>
      <c r="Q351" s="15" t="n">
        <f aca="false">O351+P351</f>
        <v>72162.419299421</v>
      </c>
      <c r="R351" s="15" t="n">
        <f aca="false">Q351-$G$2+$I$2</f>
        <v>52702.419299421</v>
      </c>
      <c r="S351" s="40" t="n">
        <f aca="false">R351/$K$2</f>
        <v>93.8784433271362</v>
      </c>
      <c r="T351" s="41" t="n">
        <f aca="false">S351-$M$2</f>
        <v>-61.9312433434493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39" t="n">
        <f aca="false">(B352+C352)/2</f>
        <v>0.015625</v>
      </c>
      <c r="E352" s="15" t="n">
        <f aca="false">$C$2*(1+IF(E$3&lt;=$O$2,$D352,$D352-($D352-$I$346)*MIN(E$3-$O$2,$Q$2)/$Q$2))</f>
        <v>10725</v>
      </c>
      <c r="F352" s="15" t="n">
        <f aca="false">E352*(1+IF(F$3&lt;=$O$2,$D352,$D352-($D352-$I$346)*MIN(F$3-$O$2,$Q$2)/$Q$2))</f>
        <v>10892.578125</v>
      </c>
      <c r="G352" s="15" t="n">
        <f aca="false">F352*(1+IF(G$3&lt;=$O$2,$D352,$D352-($D352-$I$346)*MIN(G$3-$O$2,$Q$2)/$Q$2))</f>
        <v>11062.7746582031</v>
      </c>
      <c r="H352" s="15" t="n">
        <f aca="false">G352*(1+IF(H$3&lt;=$O$2,$D352,$D352-($D352-$I$346)*MIN(H$3-$O$2,$Q$2)/$Q$2))</f>
        <v>11235.6305122375</v>
      </c>
      <c r="I352" s="15" t="n">
        <f aca="false">H352*(1+IF(I$3&lt;=$O$2,$D352,$D352-($D352-$I$346)*MIN(I$3-$O$2,$Q$2)/$Q$2))</f>
        <v>11411.1872389913</v>
      </c>
      <c r="J352" s="15" t="n">
        <f aca="false">I352*(1+IF(J$3&lt;=$O$2,$D352,$D352-($D352-$I$346)*MIN(J$3-$O$2,$Q$2)/$Q$2))</f>
        <v>11607.0032120124</v>
      </c>
      <c r="K352" s="15" t="n">
        <f aca="false">J352*(1+IF(K$3&lt;=$O$2,$D352,$D352-($D352-$I$346)*MIN(K$3-$O$2,$Q$2)/$Q$2))</f>
        <v>11823.9961370609</v>
      </c>
      <c r="L352" s="15" t="n">
        <f aca="false">K352*(1+IF(L$3&lt;=$O$2,$D352,$D352-($D352-$I$346)*MIN(L$3-$O$2,$Q$2)/$Q$2))</f>
        <v>12063.1955789137</v>
      </c>
      <c r="M352" s="15" t="n">
        <f aca="false">L352*(1+IF(M$3&lt;=$O$2,$D352,$D352-($D352-$I$346)*MIN(M$3-$O$2,$Q$2)/$Q$2))</f>
        <v>12325.7510306887</v>
      </c>
      <c r="N352" s="15" t="n">
        <f aca="false">M352*(1+IF(N$3&lt;=$O$2,$D352,$D352-($D352-$I$346)*MIN(N$3-$O$2,$Q$2)/$Q$2))</f>
        <v>12612.9410297038</v>
      </c>
      <c r="O352" s="15" t="n">
        <f aca="false">SUMPRODUCT(E352:N352,1/(1+$F$346)^$E$3:$N$3)*$E$2</f>
        <v>38576.1269642465</v>
      </c>
      <c r="P352" s="15" t="n">
        <f aca="false">N352*$E$2*(1+$I$346)/($F$346-$I$346)/(1+$F$346)^$N$3</f>
        <v>56665.3167454722</v>
      </c>
      <c r="Q352" s="15" t="n">
        <f aca="false">O352+P352</f>
        <v>95241.4437097187</v>
      </c>
      <c r="R352" s="15" t="n">
        <f aca="false">Q352-$G$2+$I$2</f>
        <v>75781.4437097187</v>
      </c>
      <c r="S352" s="40" t="n">
        <f aca="false">R352/$K$2</f>
        <v>134.98894477942</v>
      </c>
      <c r="T352" s="41" t="n">
        <f aca="false">S352-$M$2</f>
        <v>-20.8207418911654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39" t="n">
        <f aca="false">(B353+C353)/2</f>
        <v>0.0390625</v>
      </c>
      <c r="E353" s="15" t="n">
        <f aca="false">$C$2*(1+IF(E$3&lt;=$O$2,$D353,$D353-($D353-$I$346)*MIN(E$3-$O$2,$Q$2)/$Q$2))</f>
        <v>10972.5</v>
      </c>
      <c r="F353" s="15" t="n">
        <f aca="false">E353*(1+IF(F$3&lt;=$O$2,$D353,$D353-($D353-$I$346)*MIN(F$3-$O$2,$Q$2)/$Q$2))</f>
        <v>11401.11328125</v>
      </c>
      <c r="G353" s="15" t="n">
        <f aca="false">F353*(1+IF(G$3&lt;=$O$2,$D353,$D353-($D353-$I$346)*MIN(G$3-$O$2,$Q$2)/$Q$2))</f>
        <v>11846.4692687988</v>
      </c>
      <c r="H353" s="15" t="n">
        <f aca="false">G353*(1+IF(H$3&lt;=$O$2,$D353,$D353-($D353-$I$346)*MIN(H$3-$O$2,$Q$2)/$Q$2))</f>
        <v>12309.2219746113</v>
      </c>
      <c r="I353" s="15" t="n">
        <f aca="false">H353*(1+IF(I$3&lt;=$O$2,$D353,$D353-($D353-$I$346)*MIN(I$3-$O$2,$Q$2)/$Q$2))</f>
        <v>12790.0509579945</v>
      </c>
      <c r="J353" s="15" t="n">
        <f aca="false">I353*(1+IF(J$3&lt;=$O$2,$D353,$D353-($D353-$I$346)*MIN(J$3-$O$2,$Q$2)/$Q$2))</f>
        <v>13249.3416878961</v>
      </c>
      <c r="K353" s="15" t="n">
        <f aca="false">J353*(1+IF(K$3&lt;=$O$2,$D353,$D353-($D353-$I$346)*MIN(K$3-$O$2,$Q$2)/$Q$2))</f>
        <v>13683.3569982374</v>
      </c>
      <c r="L353" s="15" t="n">
        <f aca="false">K353*(1+IF(L$3&lt;=$O$2,$D353,$D353-($D353-$I$346)*MIN(L$3-$O$2,$Q$2)/$Q$2))</f>
        <v>14088.4527821702</v>
      </c>
      <c r="M353" s="15" t="n">
        <f aca="false">L353*(1+IF(M$3&lt;=$O$2,$D353,$D353-($D353-$I$346)*MIN(M$3-$O$2,$Q$2)/$Q$2))</f>
        <v>14461.1275793906</v>
      </c>
      <c r="N353" s="15" t="n">
        <f aca="false">M353*(1+IF(N$3&lt;=$O$2,$D353,$D353-($D353-$I$346)*MIN(N$3-$O$2,$Q$2)/$Q$2))</f>
        <v>14798.0718519904</v>
      </c>
      <c r="O353" s="15" t="n">
        <f aca="false">SUMPRODUCT(E353:N353,1/(1+$F$346)^$E$3:$N$3)*$E$2</f>
        <v>42764.8982079055</v>
      </c>
      <c r="P353" s="15" t="n">
        <f aca="false">N353*$E$2*(1+$I$346)/($F$346-$I$346)/(1+$F$346)^$N$3</f>
        <v>66482.3078725663</v>
      </c>
      <c r="Q353" s="15" t="n">
        <f aca="false">O353+P353</f>
        <v>109247.206080472</v>
      </c>
      <c r="R353" s="15" t="n">
        <f aca="false">Q353-$G$2+$I$2</f>
        <v>89787.2060804718</v>
      </c>
      <c r="S353" s="40" t="n">
        <f aca="false">R353/$K$2</f>
        <v>159.937309322346</v>
      </c>
      <c r="T353" s="41" t="n">
        <f aca="false">S353-$M$2</f>
        <v>4.12762265176045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0.015625</v>
      </c>
      <c r="C354" s="25" t="n">
        <f aca="false">IF(T353&gt;0,D353,C353)</f>
        <v>0.0390625</v>
      </c>
      <c r="D354" s="39" t="n">
        <f aca="false">(B354+C354)/2</f>
        <v>0.02734375</v>
      </c>
      <c r="E354" s="15" t="n">
        <f aca="false">$C$2*(1+IF(E$3&lt;=$O$2,$D354,$D354-($D354-$I$346)*MIN(E$3-$O$2,$Q$2)/$Q$2))</f>
        <v>10848.75</v>
      </c>
      <c r="F354" s="15" t="n">
        <f aca="false">E354*(1+IF(F$3&lt;=$O$2,$D354,$D354-($D354-$I$346)*MIN(F$3-$O$2,$Q$2)/$Q$2))</f>
        <v>11145.3955078125</v>
      </c>
      <c r="G354" s="15" t="n">
        <f aca="false">F354*(1+IF(G$3&lt;=$O$2,$D354,$D354-($D354-$I$346)*MIN(G$3-$O$2,$Q$2)/$Q$2))</f>
        <v>11450.1524162292</v>
      </c>
      <c r="H354" s="15" t="n">
        <f aca="false">G354*(1+IF(H$3&lt;=$O$2,$D354,$D354-($D354-$I$346)*MIN(H$3-$O$2,$Q$2)/$Q$2))</f>
        <v>11763.2425213605</v>
      </c>
      <c r="I354" s="15" t="n">
        <f aca="false">H354*(1+IF(I$3&lt;=$O$2,$D354,$D354-($D354-$I$346)*MIN(I$3-$O$2,$Q$2)/$Q$2))</f>
        <v>12084.893684054</v>
      </c>
      <c r="J354" s="15" t="n">
        <f aca="false">I354*(1+IF(J$3&lt;=$O$2,$D354,$D354-($D354-$I$346)*MIN(J$3-$O$2,$Q$2)/$Q$2))</f>
        <v>12405.5663379603</v>
      </c>
      <c r="K354" s="15" t="n">
        <f aca="false">J354*(1+IF(K$3&lt;=$O$2,$D354,$D354-($D354-$I$346)*MIN(K$3-$O$2,$Q$2)/$Q$2))</f>
        <v>12724.7150389623</v>
      </c>
      <c r="L354" s="15" t="n">
        <f aca="false">K354*(1+IF(L$3&lt;=$O$2,$D354,$D354-($D354-$I$346)*MIN(L$3-$O$2,$Q$2)/$Q$2))</f>
        <v>13041.7831259456</v>
      </c>
      <c r="M354" s="15" t="n">
        <f aca="false">L354*(1+IF(M$3&lt;=$O$2,$D354,$D354-($D354-$I$346)*MIN(M$3-$O$2,$Q$2)/$Q$2))</f>
        <v>13356.2042148833</v>
      </c>
      <c r="N354" s="15" t="n">
        <f aca="false">M354*(1+IF(N$3&lt;=$O$2,$D354,$D354-($D354-$I$346)*MIN(N$3-$O$2,$Q$2)/$Q$2))</f>
        <v>13667.4037730901</v>
      </c>
      <c r="O354" s="15" t="n">
        <f aca="false">SUMPRODUCT(E354:N354,1/(1+$F$346)^$E$3:$N$3)*$E$2</f>
        <v>40615.9042741385</v>
      </c>
      <c r="P354" s="15" t="n">
        <f aca="false">N354*$E$2*(1+$I$346)/($F$346-$I$346)/(1+$F$346)^$N$3</f>
        <v>61402.6310014865</v>
      </c>
      <c r="Q354" s="15" t="n">
        <f aca="false">O354+P354</f>
        <v>102018.535275625</v>
      </c>
      <c r="R354" s="15" t="n">
        <f aca="false">Q354-$G$2+$I$2</f>
        <v>82558.5352756249</v>
      </c>
      <c r="S354" s="40" t="n">
        <f aca="false">R354/$K$2</f>
        <v>147.060929613326</v>
      </c>
      <c r="T354" s="41" t="n">
        <f aca="false">S354-$M$2</f>
        <v>-8.74875705725978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0.02734375</v>
      </c>
      <c r="C355" s="25" t="n">
        <f aca="false">IF(T354&gt;0,D354,C354)</f>
        <v>0.0390625</v>
      </c>
      <c r="D355" s="39" t="n">
        <f aca="false">(B355+C355)/2</f>
        <v>0.033203125</v>
      </c>
      <c r="E355" s="15" t="n">
        <f aca="false">$C$2*(1+IF(E$3&lt;=$O$2,$D355,$D355-($D355-$I$346)*MIN(E$3-$O$2,$Q$2)/$Q$2))</f>
        <v>10910.625</v>
      </c>
      <c r="F355" s="15" t="n">
        <f aca="false">E355*(1+IF(F$3&lt;=$O$2,$D355,$D355-($D355-$I$346)*MIN(F$3-$O$2,$Q$2)/$Q$2))</f>
        <v>11272.8918457031</v>
      </c>
      <c r="G355" s="15" t="n">
        <f aca="false">F355*(1+IF(G$3&lt;=$O$2,$D355,$D355-($D355-$I$346)*MIN(G$3-$O$2,$Q$2)/$Q$2))</f>
        <v>11647.1870827675</v>
      </c>
      <c r="H355" s="15" t="n">
        <f aca="false">G355*(1+IF(H$3&lt;=$O$2,$D355,$D355-($D355-$I$346)*MIN(H$3-$O$2,$Q$2)/$Q$2))</f>
        <v>12033.910091375</v>
      </c>
      <c r="I355" s="15" t="n">
        <f aca="false">H355*(1+IF(I$3&lt;=$O$2,$D355,$D355-($D355-$I$346)*MIN(I$3-$O$2,$Q$2)/$Q$2))</f>
        <v>12433.4735123777</v>
      </c>
      <c r="J355" s="15" t="n">
        <f aca="false">I355*(1+IF(J$3&lt;=$O$2,$D355,$D355-($D355-$I$346)*MIN(J$3-$O$2,$Q$2)/$Q$2))</f>
        <v>12821.6776391179</v>
      </c>
      <c r="K355" s="15" t="n">
        <f aca="false">J355*(1+IF(K$3&lt;=$O$2,$D355,$D355-($D355-$I$346)*MIN(K$3-$O$2,$Q$2)/$Q$2))</f>
        <v>13196.6075339313</v>
      </c>
      <c r="L355" s="15" t="n">
        <f aca="false">K355*(1+IF(L$3&lt;=$O$2,$D355,$D355-($D355-$I$346)*MIN(L$3-$O$2,$Q$2)/$Q$2))</f>
        <v>13556.3635510657</v>
      </c>
      <c r="M355" s="15" t="n">
        <f aca="false">L355*(1+IF(M$3&lt;=$O$2,$D355,$D355-($D355-$I$346)*MIN(M$3-$O$2,$Q$2)/$Q$2))</f>
        <v>13899.0768943638</v>
      </c>
      <c r="N355" s="15" t="n">
        <f aca="false">M355*(1+IF(N$3&lt;=$O$2,$D355,$D355-($D355-$I$346)*MIN(N$3-$O$2,$Q$2)/$Q$2))</f>
        <v>14222.9253860025</v>
      </c>
      <c r="O355" s="15" t="n">
        <f aca="false">SUMPRODUCT(E355:N355,1/(1+$F$346)^$E$3:$N$3)*$E$2</f>
        <v>41676.4132978141</v>
      </c>
      <c r="P355" s="15" t="n">
        <f aca="false">N355*$E$2*(1+$I$346)/($F$346-$I$346)/(1+$F$346)^$N$3</f>
        <v>63898.3858044707</v>
      </c>
      <c r="Q355" s="15" t="n">
        <f aca="false">O355+P355</f>
        <v>105574.799102285</v>
      </c>
      <c r="R355" s="15" t="n">
        <f aca="false">Q355-$G$2+$I$2</f>
        <v>86114.7991022848</v>
      </c>
      <c r="S355" s="40" t="n">
        <f aca="false">R355/$K$2</f>
        <v>153.395676984422</v>
      </c>
      <c r="T355" s="41" t="n">
        <f aca="false">S355-$M$2</f>
        <v>-2.41400968616333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0.033203125</v>
      </c>
      <c r="C356" s="25" t="n">
        <f aca="false">IF(T355&gt;0,D355,C355)</f>
        <v>0.0390625</v>
      </c>
      <c r="D356" s="39" t="n">
        <f aca="false">(B356+C356)/2</f>
        <v>0.0361328125</v>
      </c>
      <c r="E356" s="15" t="n">
        <f aca="false">$C$2*(1+IF(E$3&lt;=$O$2,$D356,$D356-($D356-$I$346)*MIN(E$3-$O$2,$Q$2)/$Q$2))</f>
        <v>10941.5625</v>
      </c>
      <c r="F356" s="15" t="n">
        <f aca="false">E356*(1+IF(F$3&lt;=$O$2,$D356,$D356-($D356-$I$346)*MIN(F$3-$O$2,$Q$2)/$Q$2))</f>
        <v>11336.9119262695</v>
      </c>
      <c r="G356" s="15" t="n">
        <f aca="false">F356*(1+IF(G$3&lt;=$O$2,$D356,$D356-($D356-$I$346)*MIN(G$3-$O$2,$Q$2)/$Q$2))</f>
        <v>11746.5464392304</v>
      </c>
      <c r="H356" s="15" t="n">
        <f aca="false">G356*(1+IF(H$3&lt;=$O$2,$D356,$D356-($D356-$I$346)*MIN(H$3-$O$2,$Q$2)/$Q$2))</f>
        <v>12170.9821992417</v>
      </c>
      <c r="I356" s="15" t="n">
        <f aca="false">H356*(1+IF(I$3&lt;=$O$2,$D356,$D356-($D356-$I$346)*MIN(I$3-$O$2,$Q$2)/$Q$2))</f>
        <v>12610.7540169877</v>
      </c>
      <c r="J356" s="15" t="n">
        <f aca="false">I356*(1+IF(J$3&lt;=$O$2,$D356,$D356-($D356-$I$346)*MIN(J$3-$O$2,$Q$2)/$Q$2))</f>
        <v>13034.0497390105</v>
      </c>
      <c r="K356" s="15" t="n">
        <f aca="false">J356*(1+IF(K$3&lt;=$O$2,$D356,$D356-($D356-$I$346)*MIN(K$3-$O$2,$Q$2)/$Q$2))</f>
        <v>13438.1012077792</v>
      </c>
      <c r="L356" s="15" t="n">
        <f aca="false">K356*(1+IF(L$3&lt;=$O$2,$D356,$D356-($D356-$I$346)*MIN(L$3-$O$2,$Q$2)/$Q$2))</f>
        <v>13820.1884191827</v>
      </c>
      <c r="M356" s="15" t="n">
        <f aca="false">L356*(1+IF(M$3&lt;=$O$2,$D356,$D356-($D356-$I$346)*MIN(M$3-$O$2,$Q$2)/$Q$2))</f>
        <v>14177.6691866892</v>
      </c>
      <c r="N356" s="15" t="n">
        <f aca="false">M356*(1+IF(N$3&lt;=$O$2,$D356,$D356-($D356-$I$346)*MIN(N$3-$O$2,$Q$2)/$Q$2))</f>
        <v>14508.0088787391</v>
      </c>
      <c r="O356" s="15" t="n">
        <f aca="false">SUMPRODUCT(E356:N356,1/(1+$F$346)^$E$3:$N$3)*$E$2</f>
        <v>42217.1159987071</v>
      </c>
      <c r="P356" s="15" t="n">
        <f aca="false">N356*$E$2*(1+$I$346)/($F$346-$I$346)/(1+$F$346)^$N$3</f>
        <v>65179.1613489516</v>
      </c>
      <c r="Q356" s="15" t="n">
        <f aca="false">O356+P356</f>
        <v>107396.277347659</v>
      </c>
      <c r="R356" s="15" t="n">
        <f aca="false">Q356-$G$2+$I$2</f>
        <v>87936.2773476587</v>
      </c>
      <c r="S356" s="40" t="n">
        <f aca="false">R356/$K$2</f>
        <v>156.64026318185</v>
      </c>
      <c r="T356" s="41" t="n">
        <f aca="false">S356-$M$2</f>
        <v>0.830576511264354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0.033203125</v>
      </c>
      <c r="C357" s="25" t="n">
        <f aca="false">IF(T356&gt;0,D356,C356)</f>
        <v>0.0361328125</v>
      </c>
      <c r="D357" s="39" t="n">
        <f aca="false">(B357+C357)/2</f>
        <v>0.03466796875</v>
      </c>
      <c r="E357" s="15" t="n">
        <f aca="false">$C$2*(1+IF(E$3&lt;=$O$2,$D357,$D357-($D357-$I$346)*MIN(E$3-$O$2,$Q$2)/$Q$2))</f>
        <v>10926.09375</v>
      </c>
      <c r="F357" s="15" t="n">
        <f aca="false">E357*(1+IF(F$3&lt;=$O$2,$D357,$D357-($D357-$I$346)*MIN(F$3-$O$2,$Q$2)/$Q$2))</f>
        <v>11304.8792266846</v>
      </c>
      <c r="G357" s="15" t="n">
        <f aca="false">F357*(1+IF(G$3&lt;=$O$2,$D357,$D357-($D357-$I$346)*MIN(G$3-$O$2,$Q$2)/$Q$2))</f>
        <v>11696.7964264378</v>
      </c>
      <c r="H357" s="15" t="n">
        <f aca="false">G357*(1+IF(H$3&lt;=$O$2,$D357,$D357-($D357-$I$346)*MIN(H$3-$O$2,$Q$2)/$Q$2))</f>
        <v>12102.3005994247</v>
      </c>
      <c r="I357" s="15" t="n">
        <f aca="false">H357*(1+IF(I$3&lt;=$O$2,$D357,$D357-($D357-$I$346)*MIN(I$3-$O$2,$Q$2)/$Q$2))</f>
        <v>12521.8627784086</v>
      </c>
      <c r="J357" s="15" t="n">
        <f aca="false">I357*(1+IF(J$3&lt;=$O$2,$D357,$D357-($D357-$I$346)*MIN(J$3-$O$2,$Q$2)/$Q$2))</f>
        <v>12927.5006969509</v>
      </c>
      <c r="K357" s="15" t="n">
        <f aca="false">J357*(1+IF(K$3&lt;=$O$2,$D357,$D357-($D357-$I$346)*MIN(K$3-$O$2,$Q$2)/$Q$2))</f>
        <v>13316.887117553</v>
      </c>
      <c r="L357" s="15" t="n">
        <f aca="false">K357*(1+IF(L$3&lt;=$O$2,$D357,$D357-($D357-$I$346)*MIN(L$3-$O$2,$Q$2)/$Q$2))</f>
        <v>13687.7249700318</v>
      </c>
      <c r="M357" s="15" t="n">
        <f aca="false">L357*(1+IF(M$3&lt;=$O$2,$D357,$D357-($D357-$I$346)*MIN(M$3-$O$2,$Q$2)/$Q$2))</f>
        <v>14037.7692877772</v>
      </c>
      <c r="N357" s="15" t="n">
        <f aca="false">M357*(1+IF(N$3&lt;=$O$2,$D357,$D357-($D357-$I$346)*MIN(N$3-$O$2,$Q$2)/$Q$2))</f>
        <v>14364.8493121824</v>
      </c>
      <c r="O357" s="15" t="n">
        <f aca="false">SUMPRODUCT(E357:N357,1/(1+$F$346)^$E$3:$N$3)*$E$2</f>
        <v>41945.8850912201</v>
      </c>
      <c r="P357" s="15" t="n">
        <f aca="false">N357*$E$2*(1+$I$346)/($F$346-$I$346)/(1+$F$346)^$N$3</f>
        <v>64535.9979372638</v>
      </c>
      <c r="Q357" s="15" t="n">
        <f aca="false">O357+P357</f>
        <v>106481.883028484</v>
      </c>
      <c r="R357" s="15" t="n">
        <f aca="false">Q357-$G$2+$I$2</f>
        <v>87021.8830284839</v>
      </c>
      <c r="S357" s="40" t="n">
        <f aca="false">R357/$K$2</f>
        <v>155.011459107722</v>
      </c>
      <c r="T357" s="41" t="n">
        <f aca="false">S357-$M$2</f>
        <v>-0.798227562863787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0.03466796875</v>
      </c>
      <c r="C358" s="25" t="n">
        <f aca="false">IF(T357&gt;0,D357,C357)</f>
        <v>0.0361328125</v>
      </c>
      <c r="D358" s="39" t="n">
        <f aca="false">(B358+C358)/2</f>
        <v>0.035400390625</v>
      </c>
      <c r="E358" s="15" t="n">
        <f aca="false">$C$2*(1+IF(E$3&lt;=$O$2,$D358,$D358-($D358-$I$346)*MIN(E$3-$O$2,$Q$2)/$Q$2))</f>
        <v>10933.828125</v>
      </c>
      <c r="F358" s="15" t="n">
        <f aca="false">E358*(1+IF(F$3&lt;=$O$2,$D358,$D358-($D358-$I$346)*MIN(F$3-$O$2,$Q$2)/$Q$2))</f>
        <v>11320.8899116516</v>
      </c>
      <c r="G358" s="15" t="n">
        <f aca="false">F358*(1+IF(G$3&lt;=$O$2,$D358,$D358-($D358-$I$346)*MIN(G$3-$O$2,$Q$2)/$Q$2))</f>
        <v>11721.6538367467</v>
      </c>
      <c r="H358" s="15" t="n">
        <f aca="false">G358*(1+IF(H$3&lt;=$O$2,$D358,$D358-($D358-$I$346)*MIN(H$3-$O$2,$Q$2)/$Q$2))</f>
        <v>12136.6049613386</v>
      </c>
      <c r="I358" s="15" t="n">
        <f aca="false">H358*(1+IF(I$3&lt;=$O$2,$D358,$D358-($D358-$I$346)*MIN(I$3-$O$2,$Q$2)/$Q$2))</f>
        <v>12566.2455178313</v>
      </c>
      <c r="J358" s="15" t="n">
        <f aca="false">I358*(1+IF(J$3&lt;=$O$2,$D358,$D358-($D358-$I$346)*MIN(J$3-$O$2,$Q$2)/$Q$2))</f>
        <v>12980.6842219611</v>
      </c>
      <c r="K358" s="15" t="n">
        <f aca="false">J358*(1+IF(K$3&lt;=$O$2,$D358,$D358-($D358-$I$346)*MIN(K$3-$O$2,$Q$2)/$Q$2))</f>
        <v>13377.3769741321</v>
      </c>
      <c r="L358" s="15" t="n">
        <f aca="false">K358*(1+IF(L$3&lt;=$O$2,$D358,$D358-($D358-$I$346)*MIN(L$3-$O$2,$Q$2)/$Q$2))</f>
        <v>13753.8184523993</v>
      </c>
      <c r="M358" s="15" t="n">
        <f aca="false">L358*(1+IF(M$3&lt;=$O$2,$D358,$D358-($D358-$I$346)*MIN(M$3-$O$2,$Q$2)/$Q$2))</f>
        <v>14107.5677375121</v>
      </c>
      <c r="N358" s="15" t="n">
        <f aca="false">M358*(1+IF(N$3&lt;=$O$2,$D358,$D358-($D358-$I$346)*MIN(N$3-$O$2,$Q$2)/$Q$2))</f>
        <v>14436.2740657961</v>
      </c>
      <c r="O358" s="15" t="n">
        <f aca="false">SUMPRODUCT(E358:N358,1/(1+$F$346)^$E$3:$N$3)*$E$2</f>
        <v>42081.2799852428</v>
      </c>
      <c r="P358" s="15" t="n">
        <f aca="false">N358*$E$2*(1+$I$346)/($F$346-$I$346)/(1+$F$346)^$N$3</f>
        <v>64856.8831517001</v>
      </c>
      <c r="Q358" s="15" t="n">
        <f aca="false">O358+P358</f>
        <v>106938.163136943</v>
      </c>
      <c r="R358" s="15" t="n">
        <f aca="false">Q358-$G$2+$I$2</f>
        <v>87478.1631369429</v>
      </c>
      <c r="S358" s="40" t="n">
        <f aca="false">R358/$K$2</f>
        <v>155.824227608156</v>
      </c>
      <c r="T358" s="41" t="n">
        <f aca="false">S358-$M$2</f>
        <v>0.0145409375708425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0.03466796875</v>
      </c>
      <c r="C359" s="25" t="n">
        <f aca="false">IF(T358&gt;0,D358,C358)</f>
        <v>0.035400390625</v>
      </c>
      <c r="D359" s="39" t="n">
        <f aca="false">(B359+C359)/2</f>
        <v>0.0350341796875</v>
      </c>
      <c r="E359" s="15" t="n">
        <f aca="false">$C$2*(1+IF(E$3&lt;=$O$2,$D359,$D359-($D359-$I$346)*MIN(E$3-$O$2,$Q$2)/$Q$2))</f>
        <v>10929.9609375</v>
      </c>
      <c r="F359" s="15" t="n">
        <f aca="false">E359*(1+IF(F$3&lt;=$O$2,$D359,$D359-($D359-$I$346)*MIN(F$3-$O$2,$Q$2)/$Q$2))</f>
        <v>11312.8831529617</v>
      </c>
      <c r="G359" s="15" t="n">
        <f aca="false">F359*(1+IF(G$3&lt;=$O$2,$D359,$D359-($D359-$I$346)*MIN(G$3-$O$2,$Q$2)/$Q$2))</f>
        <v>11709.2207341263</v>
      </c>
      <c r="H359" s="15" t="n">
        <f aca="false">G359*(1+IF(H$3&lt;=$O$2,$D359,$D359-($D359-$I$346)*MIN(H$3-$O$2,$Q$2)/$Q$2))</f>
        <v>12119.4436773263</v>
      </c>
      <c r="I359" s="15" t="n">
        <f aca="false">H359*(1+IF(I$3&lt;=$O$2,$D359,$D359-($D359-$I$346)*MIN(I$3-$O$2,$Q$2)/$Q$2))</f>
        <v>12544.0384448302</v>
      </c>
      <c r="J359" s="15" t="n">
        <f aca="false">I359*(1+IF(J$3&lt;=$O$2,$D359,$D359-($D359-$I$346)*MIN(J$3-$O$2,$Q$2)/$Q$2))</f>
        <v>12954.0697414896</v>
      </c>
      <c r="K359" s="15" t="n">
        <f aca="false">J359*(1+IF(K$3&lt;=$O$2,$D359,$D359-($D359-$I$346)*MIN(K$3-$O$2,$Q$2)/$Q$2))</f>
        <v>13347.102795685</v>
      </c>
      <c r="L359" s="15" t="n">
        <f aca="false">K359*(1+IF(L$3&lt;=$O$2,$D359,$D359-($D359-$I$346)*MIN(L$3-$O$2,$Q$2)/$Q$2))</f>
        <v>13720.7372118293</v>
      </c>
      <c r="M359" s="15" t="n">
        <f aca="false">L359*(1+IF(M$3&lt;=$O$2,$D359,$D359-($D359-$I$346)*MIN(M$3-$O$2,$Q$2)/$Q$2))</f>
        <v>14072.6307080426</v>
      </c>
      <c r="N359" s="15" t="n">
        <f aca="false">M359*(1+IF(N$3&lt;=$O$2,$D359,$D359-($D359-$I$346)*MIN(N$3-$O$2,$Q$2)/$Q$2))</f>
        <v>14400.52300354</v>
      </c>
      <c r="O359" s="15" t="n">
        <f aca="false">SUMPRODUCT(E359:N359,1/(1+$F$346)^$E$3:$N$3)*$E$2</f>
        <v>42013.5274822477</v>
      </c>
      <c r="P359" s="15" t="n">
        <f aca="false">N359*$E$2*(1+$I$346)/($F$346-$I$346)/(1+$F$346)^$N$3</f>
        <v>64696.266744951</v>
      </c>
      <c r="Q359" s="15" t="n">
        <f aca="false">O359+P359</f>
        <v>106709.794227199</v>
      </c>
      <c r="R359" s="15" t="n">
        <f aca="false">Q359-$G$2+$I$2</f>
        <v>87249.7942271987</v>
      </c>
      <c r="S359" s="40" t="n">
        <f aca="false">R359/$K$2</f>
        <v>155.417435699244</v>
      </c>
      <c r="T359" s="41" t="n">
        <f aca="false">S359-$M$2</f>
        <v>-0.392250971341298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0.0350341796875</v>
      </c>
      <c r="C360" s="25" t="n">
        <f aca="false">IF(T359&gt;0,D359,C359)</f>
        <v>0.035400390625</v>
      </c>
      <c r="D360" s="39" t="n">
        <f aca="false">(B360+C360)/2</f>
        <v>0.03521728515625</v>
      </c>
      <c r="E360" s="15" t="n">
        <f aca="false">$C$2*(1+IF(E$3&lt;=$O$2,$D360,$D360-($D360-$I$346)*MIN(E$3-$O$2,$Q$2)/$Q$2))</f>
        <v>10931.89453125</v>
      </c>
      <c r="F360" s="15" t="n">
        <f aca="false">E360*(1+IF(F$3&lt;=$O$2,$D360,$D360-($D360-$I$346)*MIN(F$3-$O$2,$Q$2)/$Q$2))</f>
        <v>11316.8861782551</v>
      </c>
      <c r="G360" s="15" t="n">
        <f aca="false">F360*(1+IF(G$3&lt;=$O$2,$D360,$D360-($D360-$I$346)*MIN(G$3-$O$2,$Q$2)/$Q$2))</f>
        <v>11715.4361858755</v>
      </c>
      <c r="H360" s="15" t="n">
        <f aca="false">G360*(1+IF(H$3&lt;=$O$2,$D360,$D360-($D360-$I$346)*MIN(H$3-$O$2,$Q$2)/$Q$2))</f>
        <v>12128.0220427633</v>
      </c>
      <c r="I360" s="15" t="n">
        <f aca="false">H360*(1+IF(I$3&lt;=$O$2,$D360,$D360-($D360-$I$346)*MIN(I$3-$O$2,$Q$2)/$Q$2))</f>
        <v>12555.1380534246</v>
      </c>
      <c r="J360" s="15" t="n">
        <f aca="false">I360*(1+IF(J$3&lt;=$O$2,$D360,$D360-($D360-$I$346)*MIN(J$3-$O$2,$Q$2)/$Q$2))</f>
        <v>12967.3712983564</v>
      </c>
      <c r="K360" s="15" t="n">
        <f aca="false">J360*(1+IF(K$3&lt;=$O$2,$D360,$D360-($D360-$I$346)*MIN(K$3-$O$2,$Q$2)/$Q$2))</f>
        <v>13362.2325665018</v>
      </c>
      <c r="L360" s="15" t="n">
        <f aca="false">K360*(1+IF(L$3&lt;=$O$2,$D360,$D360-($D360-$I$346)*MIN(L$3-$O$2,$Q$2)/$Q$2))</f>
        <v>13737.269199629</v>
      </c>
      <c r="M360" s="15" t="n">
        <f aca="false">L360*(1+IF(M$3&lt;=$O$2,$D360,$D360-($D360-$I$346)*MIN(M$3-$O$2,$Q$2)/$Q$2))</f>
        <v>14090.0897628443</v>
      </c>
      <c r="N360" s="15" t="n">
        <f aca="false">M360*(1+IF(N$3&lt;=$O$2,$D360,$D360-($D360-$I$346)*MIN(N$3-$O$2,$Q$2)/$Q$2))</f>
        <v>14418.3888543186</v>
      </c>
      <c r="O360" s="15" t="n">
        <f aca="false">SUMPRODUCT(E360:N360,1/(1+$F$346)^$E$3:$N$3)*$E$2</f>
        <v>42047.3899592647</v>
      </c>
      <c r="P360" s="15" t="n">
        <f aca="false">N360*$E$2*(1+$I$346)/($F$346-$I$346)/(1+$F$346)^$N$3</f>
        <v>64776.531458067</v>
      </c>
      <c r="Q360" s="15" t="n">
        <f aca="false">O360+P360</f>
        <v>106823.921417332</v>
      </c>
      <c r="R360" s="15" t="n">
        <f aca="false">Q360-$G$2+$I$2</f>
        <v>87363.9214173317</v>
      </c>
      <c r="S360" s="40" t="n">
        <f aca="false">R360/$K$2</f>
        <v>155.620729648429</v>
      </c>
      <c r="T360" s="41" t="n">
        <f aca="false">S360-$M$2</f>
        <v>-0.188957022156302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0.03521728515625</v>
      </c>
      <c r="C361" s="25" t="n">
        <f aca="false">IF(T360&gt;0,D360,C360)</f>
        <v>0.035400390625</v>
      </c>
      <c r="D361" s="39" t="n">
        <f aca="false">(B361+C361)/2</f>
        <v>0.035308837890625</v>
      </c>
      <c r="E361" s="15" t="n">
        <f aca="false">$C$2*(1+IF(E$3&lt;=$O$2,$D361,$D361-($D361-$I$346)*MIN(E$3-$O$2,$Q$2)/$Q$2))</f>
        <v>10932.861328125</v>
      </c>
      <c r="F361" s="15" t="n">
        <f aca="false">E361*(1+IF(F$3&lt;=$O$2,$D361,$D361-($D361-$I$346)*MIN(F$3-$O$2,$Q$2)/$Q$2))</f>
        <v>11318.8879564404</v>
      </c>
      <c r="G361" s="15" t="n">
        <f aca="false">F361*(1+IF(G$3&lt;=$O$2,$D361,$D361-($D361-$I$346)*MIN(G$3-$O$2,$Q$2)/$Q$2))</f>
        <v>11718.5447363966</v>
      </c>
      <c r="H361" s="15" t="n">
        <f aca="false">G361*(1+IF(H$3&lt;=$O$2,$D361,$D361-($D361-$I$346)*MIN(H$3-$O$2,$Q$2)/$Q$2))</f>
        <v>12132.312932808</v>
      </c>
      <c r="I361" s="15" t="n">
        <f aca="false">H361*(1+IF(I$3&lt;=$O$2,$D361,$D361-($D361-$I$346)*MIN(I$3-$O$2,$Q$2)/$Q$2))</f>
        <v>12560.6908033909</v>
      </c>
      <c r="J361" s="15" t="n">
        <f aca="false">I361*(1+IF(J$3&lt;=$O$2,$D361,$D361-($D361-$I$346)*MIN(J$3-$O$2,$Q$2)/$Q$2))</f>
        <v>12974.0263388316</v>
      </c>
      <c r="K361" s="15" t="n">
        <f aca="false">J361*(1+IF(K$3&lt;=$O$2,$D361,$D361-($D361-$I$346)*MIN(K$3-$O$2,$Q$2)/$Q$2))</f>
        <v>13369.8029399814</v>
      </c>
      <c r="L361" s="15" t="n">
        <f aca="false">K361*(1+IF(L$3&lt;=$O$2,$D361,$D361-($D361-$I$346)*MIN(L$3-$O$2,$Q$2)/$Q$2))</f>
        <v>13745.5416669373</v>
      </c>
      <c r="M361" s="15" t="n">
        <f aca="false">L361*(1+IF(M$3&lt;=$O$2,$D361,$D361-($D361-$I$346)*MIN(M$3-$O$2,$Q$2)/$Q$2))</f>
        <v>14098.8263840964</v>
      </c>
      <c r="N361" s="15" t="n">
        <f aca="false">M361*(1+IF(N$3&lt;=$O$2,$D361,$D361-($D361-$I$346)*MIN(N$3-$O$2,$Q$2)/$Q$2))</f>
        <v>14427.3290388458</v>
      </c>
      <c r="O361" s="15" t="n">
        <f aca="false">SUMPRODUCT(E361:N361,1/(1+$F$346)^$E$3:$N$3)*$E$2</f>
        <v>42064.3315273223</v>
      </c>
      <c r="P361" s="15" t="n">
        <f aca="false">N361*$E$2*(1+$I$346)/($F$346-$I$346)/(1+$F$346)^$N$3</f>
        <v>64816.6964272685</v>
      </c>
      <c r="Q361" s="15" t="n">
        <f aca="false">O361+P361</f>
        <v>106881.027954591</v>
      </c>
      <c r="R361" s="15" t="n">
        <f aca="false">Q361-$G$2+$I$2</f>
        <v>87421.0279545907</v>
      </c>
      <c r="S361" s="40" t="n">
        <f aca="false">R361/$K$2</f>
        <v>155.722453115643</v>
      </c>
      <c r="T361" s="41" t="n">
        <f aca="false">S361-$M$2</f>
        <v>-0.0872335549426566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0.035308837890625</v>
      </c>
      <c r="C362" s="25" t="n">
        <f aca="false">IF(T361&gt;0,D361,C361)</f>
        <v>0.035400390625</v>
      </c>
      <c r="D362" s="39" t="n">
        <f aca="false">(B362+C362)/2</f>
        <v>0.0353546142578125</v>
      </c>
      <c r="E362" s="15" t="n">
        <f aca="false">$C$2*(1+IF(E$3&lt;=$O$2,$D362,$D362-($D362-$I$346)*MIN(E$3-$O$2,$Q$2)/$Q$2))</f>
        <v>10933.3447265625</v>
      </c>
      <c r="F362" s="15" t="n">
        <f aca="false">E362*(1+IF(F$3&lt;=$O$2,$D362,$D362-($D362-$I$346)*MIN(F$3-$O$2,$Q$2)/$Q$2))</f>
        <v>11319.8889119178</v>
      </c>
      <c r="G362" s="15" t="n">
        <f aca="false">F362*(1+IF(G$3&lt;=$O$2,$D362,$D362-($D362-$I$346)*MIN(G$3-$O$2,$Q$2)/$Q$2))</f>
        <v>11720.0992178399</v>
      </c>
      <c r="H362" s="15" t="n">
        <f aca="false">G362*(1+IF(H$3&lt;=$O$2,$D362,$D362-($D362-$I$346)*MIN(H$3-$O$2,$Q$2)/$Q$2))</f>
        <v>12134.45880475</v>
      </c>
      <c r="I362" s="15" t="n">
        <f aca="false">H362*(1+IF(I$3&lt;=$O$2,$D362,$D362-($D362-$I$346)*MIN(I$3-$O$2,$Q$2)/$Q$2))</f>
        <v>12563.4679150192</v>
      </c>
      <c r="J362" s="15" t="n">
        <f aca="false">I362*(1+IF(J$3&lt;=$O$2,$D362,$D362-($D362-$I$346)*MIN(J$3-$O$2,$Q$2)/$Q$2))</f>
        <v>12977.3549250039</v>
      </c>
      <c r="K362" s="15" t="n">
        <f aca="false">J362*(1+IF(K$3&lt;=$O$2,$D362,$D362-($D362-$I$346)*MIN(K$3-$O$2,$Q$2)/$Q$2))</f>
        <v>13373.5894993811</v>
      </c>
      <c r="L362" s="15" t="n">
        <f aca="false">K362*(1+IF(L$3&lt;=$O$2,$D362,$D362-($D362-$I$346)*MIN(L$3-$O$2,$Q$2)/$Q$2))</f>
        <v>13749.6795197796</v>
      </c>
      <c r="M362" s="15" t="n">
        <f aca="false">L362*(1+IF(M$3&lt;=$O$2,$D362,$D362-($D362-$I$346)*MIN(M$3-$O$2,$Q$2)/$Q$2))</f>
        <v>14103.1964691464</v>
      </c>
      <c r="N362" s="15" t="n">
        <f aca="false">M362*(1+IF(N$3&lt;=$O$2,$D362,$D362-($D362-$I$346)*MIN(N$3-$O$2,$Q$2)/$Q$2))</f>
        <v>14431.8009468775</v>
      </c>
      <c r="O362" s="15" t="n">
        <f aca="false">SUMPRODUCT(E362:N362,1/(1+$F$346)^$E$3:$N$3)*$E$2</f>
        <v>42072.8048948857</v>
      </c>
      <c r="P362" s="15" t="n">
        <f aca="false">N362*$E$2*(1+$I$346)/($F$346-$I$346)/(1+$F$346)^$N$3</f>
        <v>64836.787069449</v>
      </c>
      <c r="Q362" s="15" t="n">
        <f aca="false">O362+P362</f>
        <v>106909.591964335</v>
      </c>
      <c r="R362" s="15" t="n">
        <f aca="false">Q362-$G$2+$I$2</f>
        <v>87449.5919643347</v>
      </c>
      <c r="S362" s="40" t="n">
        <f aca="false">R362/$K$2</f>
        <v>155.77333398232</v>
      </c>
      <c r="T362" s="41" t="n">
        <f aca="false">S362-$M$2</f>
        <v>-0.0363526882654242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0.0353546142578125</v>
      </c>
      <c r="C363" s="25" t="n">
        <f aca="false">IF(T362&gt;0,D362,C362)</f>
        <v>0.035400390625</v>
      </c>
      <c r="D363" s="39" t="n">
        <f aca="false">(B363+C363)/2</f>
        <v>0.0353775024414063</v>
      </c>
      <c r="E363" s="15" t="n">
        <f aca="false">$C$2*(1+IF(E$3&lt;=$O$2,$D363,$D363-($D363-$I$346)*MIN(E$3-$O$2,$Q$2)/$Q$2))</f>
        <v>10933.5864257813</v>
      </c>
      <c r="F363" s="15" t="n">
        <f aca="false">E363*(1+IF(F$3&lt;=$O$2,$D363,$D363-($D363-$I$346)*MIN(F$3-$O$2,$Q$2)/$Q$2))</f>
        <v>11320.3894062527</v>
      </c>
      <c r="G363" s="15" t="n">
        <f aca="false">F363*(1+IF(G$3&lt;=$O$2,$D363,$D363-($D363-$I$346)*MIN(G$3-$O$2,$Q$2)/$Q$2))</f>
        <v>11720.87651011</v>
      </c>
      <c r="H363" s="15" t="n">
        <f aca="false">G363*(1+IF(H$3&lt;=$O$2,$D363,$D363-($D363-$I$346)*MIN(H$3-$O$2,$Q$2)/$Q$2))</f>
        <v>12135.5318474619</v>
      </c>
      <c r="I363" s="15" t="n">
        <f aca="false">H363*(1+IF(I$3&lt;=$O$2,$D363,$D363-($D363-$I$346)*MIN(I$3-$O$2,$Q$2)/$Q$2))</f>
        <v>12564.8566550232</v>
      </c>
      <c r="J363" s="15" t="n">
        <f aca="false">I363*(1+IF(J$3&lt;=$O$2,$D363,$D363-($D363-$I$346)*MIN(J$3-$O$2,$Q$2)/$Q$2))</f>
        <v>12979.0194846268</v>
      </c>
      <c r="K363" s="15" t="n">
        <f aca="false">J363*(1+IF(K$3&lt;=$O$2,$D363,$D363-($D363-$I$346)*MIN(K$3-$O$2,$Q$2)/$Q$2))</f>
        <v>13375.4831223262</v>
      </c>
      <c r="L363" s="15" t="n">
        <f aca="false">K363*(1+IF(L$3&lt;=$O$2,$D363,$D363-($D363-$I$346)*MIN(L$3-$O$2,$Q$2)/$Q$2))</f>
        <v>13751.7488511024</v>
      </c>
      <c r="M363" s="15" t="n">
        <f aca="false">L363*(1+IF(M$3&lt;=$O$2,$D363,$D363-($D363-$I$346)*MIN(M$3-$O$2,$Q$2)/$Q$2))</f>
        <v>14105.3819553976</v>
      </c>
      <c r="N363" s="15" t="n">
        <f aca="false">M363*(1+IF(N$3&lt;=$O$2,$D363,$D363-($D363-$I$346)*MIN(N$3-$O$2,$Q$2)/$Q$2))</f>
        <v>14434.0373549584</v>
      </c>
      <c r="O363" s="15" t="n">
        <f aca="false">SUMPRODUCT(E363:N363,1/(1+$F$346)^$E$3:$N$3)*$E$2</f>
        <v>42077.0422246946</v>
      </c>
      <c r="P363" s="15" t="n">
        <f aca="false">N363*$E$2*(1+$I$346)/($F$346-$I$346)/(1+$F$346)^$N$3</f>
        <v>64846.8344304867</v>
      </c>
      <c r="Q363" s="15" t="n">
        <f aca="false">O363+P363</f>
        <v>106923.876655181</v>
      </c>
      <c r="R363" s="15" t="n">
        <f aca="false">Q363-$G$2+$I$2</f>
        <v>87463.8766551813</v>
      </c>
      <c r="S363" s="40" t="n">
        <f aca="false">R363/$K$2</f>
        <v>155.798779200166</v>
      </c>
      <c r="T363" s="41" t="n">
        <f aca="false">S363-$M$2</f>
        <v>-0.0109074704193404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0.0353775024414063</v>
      </c>
      <c r="C364" s="25" t="n">
        <f aca="false">IF(T363&gt;0,D363,C363)</f>
        <v>0.035400390625</v>
      </c>
      <c r="D364" s="39" t="n">
        <f aca="false">(B364+C364)/2</f>
        <v>0.0353889465332031</v>
      </c>
      <c r="E364" s="15" t="n">
        <f aca="false">$C$2*(1+IF(E$3&lt;=$O$2,$D364,$D364-($D364-$I$346)*MIN(E$3-$O$2,$Q$2)/$Q$2))</f>
        <v>10933.7072753906</v>
      </c>
      <c r="F364" s="15" t="n">
        <f aca="false">E364*(1+IF(F$3&lt;=$O$2,$D364,$D364-($D364-$I$346)*MIN(F$3-$O$2,$Q$2)/$Q$2))</f>
        <v>11320.6396575691</v>
      </c>
      <c r="G364" s="15" t="n">
        <f aca="false">F364*(1+IF(G$3&lt;=$O$2,$D364,$D364-($D364-$I$346)*MIN(G$3-$O$2,$Q$2)/$Q$2))</f>
        <v>11721.2651691325</v>
      </c>
      <c r="H364" s="15" t="n">
        <f aca="false">G364*(1+IF(H$3&lt;=$O$2,$D364,$D364-($D364-$I$346)*MIN(H$3-$O$2,$Q$2)/$Q$2))</f>
        <v>12136.0683955044</v>
      </c>
      <c r="I364" s="15" t="n">
        <f aca="false">H364*(1+IF(I$3&lt;=$O$2,$D364,$D364-($D364-$I$346)*MIN(I$3-$O$2,$Q$2)/$Q$2))</f>
        <v>12565.5510710762</v>
      </c>
      <c r="J364" s="15" t="n">
        <f aca="false">I364*(1+IF(J$3&lt;=$O$2,$D364,$D364-($D364-$I$346)*MIN(J$3-$O$2,$Q$2)/$Q$2))</f>
        <v>12979.8518310791</v>
      </c>
      <c r="K364" s="15" t="n">
        <f aca="false">J364*(1+IF(K$3&lt;=$O$2,$D364,$D364-($D364-$I$346)*MIN(K$3-$O$2,$Q$2)/$Q$2))</f>
        <v>13376.4300196201</v>
      </c>
      <c r="L364" s="15" t="n">
        <f aca="false">K364*(1+IF(L$3&lt;=$O$2,$D364,$D364-($D364-$I$346)*MIN(L$3-$O$2,$Q$2)/$Q$2))</f>
        <v>13752.7836180022</v>
      </c>
      <c r="M364" s="15" t="n">
        <f aca="false">L364*(1+IF(M$3&lt;=$O$2,$D364,$D364-($D364-$I$346)*MIN(M$3-$O$2,$Q$2)/$Q$2))</f>
        <v>14106.4748094698</v>
      </c>
      <c r="N364" s="15" t="n">
        <f aca="false">M364*(1+IF(N$3&lt;=$O$2,$D364,$D364-($D364-$I$346)*MIN(N$3-$O$2,$Q$2)/$Q$2))</f>
        <v>14435.1556725304</v>
      </c>
      <c r="O364" s="15" t="n">
        <f aca="false">SUMPRODUCT(E364:N364,1/(1+$F$346)^$E$3:$N$3)*$E$2</f>
        <v>42079.1610511237</v>
      </c>
      <c r="P364" s="15" t="n">
        <f aca="false">N364*$E$2*(1+$I$346)/($F$346-$I$346)/(1+$F$346)^$N$3</f>
        <v>64851.8586210616</v>
      </c>
      <c r="Q364" s="15" t="n">
        <f aca="false">O364+P364</f>
        <v>106931.019672185</v>
      </c>
      <c r="R364" s="15" t="n">
        <f aca="false">Q364-$G$2+$I$2</f>
        <v>87471.0196721853</v>
      </c>
      <c r="S364" s="40" t="n">
        <f aca="false">R364/$K$2</f>
        <v>155.811503005371</v>
      </c>
      <c r="T364" s="41" t="n">
        <f aca="false">S364-$M$2</f>
        <v>0.00181633478561594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0.0353775024414063</v>
      </c>
      <c r="C365" s="25" t="n">
        <f aca="false">IF(T364&gt;0,D364,C364)</f>
        <v>0.0353889465332031</v>
      </c>
      <c r="D365" s="39" t="n">
        <f aca="false">(B365+C365)/2</f>
        <v>0.0353832244873047</v>
      </c>
      <c r="E365" s="15" t="n">
        <f aca="false">$C$2*(1+IF(E$3&lt;=$O$2,$D365,$D365-($D365-$I$346)*MIN(E$3-$O$2,$Q$2)/$Q$2))</f>
        <v>10933.6468505859</v>
      </c>
      <c r="F365" s="15" t="n">
        <f aca="false">E365*(1+IF(F$3&lt;=$O$2,$D365,$D365-($D365-$I$346)*MIN(F$3-$O$2,$Q$2)/$Q$2))</f>
        <v>11320.5145315651</v>
      </c>
      <c r="G365" s="15" t="n">
        <f aca="false">F365*(1+IF(G$3&lt;=$O$2,$D365,$D365-($D365-$I$346)*MIN(G$3-$O$2,$Q$2)/$Q$2))</f>
        <v>11721.0708385473</v>
      </c>
      <c r="H365" s="15" t="n">
        <f aca="false">G365*(1+IF(H$3&lt;=$O$2,$D365,$D365-($D365-$I$346)*MIN(H$3-$O$2,$Q$2)/$Q$2))</f>
        <v>12135.8001192592</v>
      </c>
      <c r="I365" s="15" t="n">
        <f aca="false">H365*(1+IF(I$3&lt;=$O$2,$D365,$D365-($D365-$I$346)*MIN(I$3-$O$2,$Q$2)/$Q$2))</f>
        <v>12565.203859212</v>
      </c>
      <c r="J365" s="15" t="n">
        <f aca="false">I365*(1+IF(J$3&lt;=$O$2,$D365,$D365-($D365-$I$346)*MIN(J$3-$O$2,$Q$2)/$Q$2))</f>
        <v>12979.4356522993</v>
      </c>
      <c r="K365" s="15" t="n">
        <f aca="false">J365*(1+IF(K$3&lt;=$O$2,$D365,$D365-($D365-$I$346)*MIN(K$3-$O$2,$Q$2)/$Q$2))</f>
        <v>13375.9565638211</v>
      </c>
      <c r="L365" s="15" t="n">
        <f aca="false">K365*(1+IF(L$3&lt;=$O$2,$D365,$D365-($D365-$I$346)*MIN(L$3-$O$2,$Q$2)/$Q$2))</f>
        <v>13752.2662261153</v>
      </c>
      <c r="M365" s="15" t="n">
        <f aca="false">L365*(1+IF(M$3&lt;=$O$2,$D365,$D365-($D365-$I$346)*MIN(M$3-$O$2,$Q$2)/$Q$2))</f>
        <v>14105.9283731877</v>
      </c>
      <c r="N365" s="15" t="n">
        <f aca="false">M365*(1+IF(N$3&lt;=$O$2,$D365,$D365-($D365-$I$346)*MIN(N$3-$O$2,$Q$2)/$Q$2))</f>
        <v>14434.596504283</v>
      </c>
      <c r="O365" s="15" t="n">
        <f aca="false">SUMPRODUCT(E365:N365,1/(1+$F$346)^$E$3:$N$3)*$E$2</f>
        <v>42078.1016244482</v>
      </c>
      <c r="P365" s="15" t="n">
        <f aca="false">N365*$E$2*(1+$I$346)/($F$346-$I$346)/(1+$F$346)^$N$3</f>
        <v>64849.3464832674</v>
      </c>
      <c r="Q365" s="15" t="n">
        <f aca="false">O365+P365</f>
        <v>106927.448107716</v>
      </c>
      <c r="R365" s="15" t="n">
        <f aca="false">Q365-$G$2+$I$2</f>
        <v>87467.4481077156</v>
      </c>
      <c r="S365" s="40" t="n">
        <f aca="false">R365/$K$2</f>
        <v>155.805141003074</v>
      </c>
      <c r="T365" s="41" t="n">
        <f aca="false">S365-$M$2</f>
        <v>-0.00454566751164975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0.0353832244873047</v>
      </c>
      <c r="C366" s="25" t="n">
        <f aca="false">IF(T365&gt;0,D365,C365)</f>
        <v>0.0353889465332031</v>
      </c>
      <c r="D366" s="39" t="n">
        <f aca="false">(B366+C366)/2</f>
        <v>0.0353860855102539</v>
      </c>
      <c r="E366" s="15" t="n">
        <f aca="false">$C$2*(1+IF(E$3&lt;=$O$2,$D366,$D366-($D366-$I$346)*MIN(E$3-$O$2,$Q$2)/$Q$2))</f>
        <v>10933.6770629883</v>
      </c>
      <c r="F366" s="15" t="n">
        <f aca="false">E366*(1+IF(F$3&lt;=$O$2,$D366,$D366-($D366-$I$346)*MIN(F$3-$O$2,$Q$2)/$Q$2))</f>
        <v>11320.5770944807</v>
      </c>
      <c r="G366" s="15" t="n">
        <f aca="false">F366*(1+IF(G$3&lt;=$O$2,$D366,$D366-($D366-$I$346)*MIN(G$3-$O$2,$Q$2)/$Q$2))</f>
        <v>11721.1680035714</v>
      </c>
      <c r="H366" s="15" t="n">
        <f aca="false">G366*(1+IF(H$3&lt;=$O$2,$D366,$D366-($D366-$I$346)*MIN(H$3-$O$2,$Q$2)/$Q$2))</f>
        <v>12135.9342568258</v>
      </c>
      <c r="I366" s="15" t="n">
        <f aca="false">H366*(1+IF(I$3&lt;=$O$2,$D366,$D366-($D366-$I$346)*MIN(I$3-$O$2,$Q$2)/$Q$2))</f>
        <v>12565.3774641847</v>
      </c>
      <c r="J366" s="15" t="n">
        <f aca="false">I366*(1+IF(J$3&lt;=$O$2,$D366,$D366-($D366-$I$346)*MIN(J$3-$O$2,$Q$2)/$Q$2))</f>
        <v>12979.6437403008</v>
      </c>
      <c r="K366" s="15" t="n">
        <f aca="false">J366*(1+IF(K$3&lt;=$O$2,$D366,$D366-($D366-$I$346)*MIN(K$3-$O$2,$Q$2)/$Q$2))</f>
        <v>13376.1932899325</v>
      </c>
      <c r="L366" s="15" t="n">
        <f aca="false">K366*(1+IF(L$3&lt;=$O$2,$D366,$D366-($D366-$I$346)*MIN(L$3-$O$2,$Q$2)/$Q$2))</f>
        <v>13752.5249199495</v>
      </c>
      <c r="M366" s="15" t="n">
        <f aca="false">L366*(1+IF(M$3&lt;=$O$2,$D366,$D366-($D366-$I$346)*MIN(M$3-$O$2,$Q$2)/$Q$2))</f>
        <v>14106.2015890172</v>
      </c>
      <c r="N366" s="15" t="n">
        <f aca="false">M366*(1+IF(N$3&lt;=$O$2,$D366,$D366-($D366-$I$346)*MIN(N$3-$O$2,$Q$2)/$Q$2))</f>
        <v>14434.8760860413</v>
      </c>
      <c r="O366" s="15" t="n">
        <f aca="false">SUMPRODUCT(E366:N366,1/(1+$F$346)^$E$3:$N$3)*$E$2</f>
        <v>42078.6313344207</v>
      </c>
      <c r="P366" s="15" t="n">
        <f aca="false">N366*$E$2*(1+$I$346)/($F$346-$I$346)/(1+$F$346)^$N$3</f>
        <v>64850.6025415377</v>
      </c>
      <c r="Q366" s="15" t="n">
        <f aca="false">O366+P366</f>
        <v>106929.233875958</v>
      </c>
      <c r="R366" s="15" t="n">
        <f aca="false">Q366-$G$2+$I$2</f>
        <v>87469.2338759584</v>
      </c>
      <c r="S366" s="40" t="n">
        <f aca="false">R366/$K$2</f>
        <v>155.808321979298</v>
      </c>
      <c r="T366" s="41" t="n">
        <f aca="false">S366-$M$2</f>
        <v>-0.0013646912870513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0.0353860855102539</v>
      </c>
      <c r="C367" s="25" t="n">
        <f aca="false">IF(T366&gt;0,D366,C366)</f>
        <v>0.0353889465332031</v>
      </c>
      <c r="D367" s="39" t="n">
        <f aca="false">(B367+C367)/2</f>
        <v>0.0353875160217285</v>
      </c>
      <c r="E367" s="15" t="n">
        <f aca="false">$C$2*(1+IF(E$3&lt;=$O$2,$D367,$D367-($D367-$I$346)*MIN(E$3-$O$2,$Q$2)/$Q$2))</f>
        <v>10933.6921691895</v>
      </c>
      <c r="F367" s="15" t="n">
        <f aca="false">E367*(1+IF(F$3&lt;=$O$2,$D367,$D367-($D367-$I$346)*MIN(F$3-$O$2,$Q$2)/$Q$2))</f>
        <v>11320.6083760033</v>
      </c>
      <c r="G367" s="15" t="n">
        <f aca="false">F367*(1+IF(G$3&lt;=$O$2,$D367,$D367-($D367-$I$346)*MIN(G$3-$O$2,$Q$2)/$Q$2))</f>
        <v>11721.2165862848</v>
      </c>
      <c r="H367" s="15" t="n">
        <f aca="false">G367*(1+IF(H$3&lt;=$O$2,$D367,$D367-($D367-$I$346)*MIN(H$3-$O$2,$Q$2)/$Q$2))</f>
        <v>12136.0013260261</v>
      </c>
      <c r="I367" s="15" t="n">
        <f aca="false">H367*(1+IF(I$3&lt;=$O$2,$D367,$D367-($D367-$I$346)*MIN(I$3-$O$2,$Q$2)/$Q$2))</f>
        <v>12565.4642673906</v>
      </c>
      <c r="J367" s="15" t="n">
        <f aca="false">I367*(1+IF(J$3&lt;=$O$2,$D367,$D367-($D367-$I$346)*MIN(J$3-$O$2,$Q$2)/$Q$2))</f>
        <v>12979.7477853428</v>
      </c>
      <c r="K367" s="15" t="n">
        <f aca="false">J367*(1+IF(K$3&lt;=$O$2,$D367,$D367-($D367-$I$346)*MIN(K$3-$O$2,$Q$2)/$Q$2))</f>
        <v>13376.3116543293</v>
      </c>
      <c r="L367" s="15" t="n">
        <f aca="false">K367*(1+IF(L$3&lt;=$O$2,$D367,$D367-($D367-$I$346)*MIN(L$3-$O$2,$Q$2)/$Q$2))</f>
        <v>13752.6542684485</v>
      </c>
      <c r="M367" s="15" t="n">
        <f aca="false">L367*(1+IF(M$3&lt;=$O$2,$D367,$D367-($D367-$I$346)*MIN(M$3-$O$2,$Q$2)/$Q$2))</f>
        <v>14106.3381986656</v>
      </c>
      <c r="N367" s="15" t="n">
        <f aca="false">M367*(1+IF(N$3&lt;=$O$2,$D367,$D367-($D367-$I$346)*MIN(N$3-$O$2,$Q$2)/$Q$2))</f>
        <v>14435.0158786945</v>
      </c>
      <c r="O367" s="15" t="n">
        <f aca="false">SUMPRODUCT(E367:N367,1/(1+$F$346)^$E$3:$N$3)*$E$2</f>
        <v>42078.8961919309</v>
      </c>
      <c r="P367" s="15" t="n">
        <f aca="false">N367*$E$2*(1+$I$346)/($F$346-$I$346)/(1+$F$346)^$N$3</f>
        <v>64851.2305786429</v>
      </c>
      <c r="Q367" s="15" t="n">
        <f aca="false">O367+P367</f>
        <v>106930.126770574</v>
      </c>
      <c r="R367" s="15" t="n">
        <f aca="false">Q367-$G$2+$I$2</f>
        <v>87470.1267705738</v>
      </c>
      <c r="S367" s="40" t="n">
        <f aca="false">R367/$K$2</f>
        <v>155.809912486104</v>
      </c>
      <c r="T367" s="41" t="n">
        <f aca="false">S367-$M$2</f>
        <v>0.00022581551823464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0.0353860855102539</v>
      </c>
      <c r="C368" s="25" t="n">
        <f aca="false">IF(T367&gt;0,D367,C367)</f>
        <v>0.0353875160217285</v>
      </c>
      <c r="D368" s="39" t="n">
        <f aca="false">(B368+C368)/2</f>
        <v>0.0353868007659912</v>
      </c>
      <c r="E368" s="15" t="n">
        <f aca="false">$C$2*(1+IF(E$3&lt;=$O$2,$D368,$D368-($D368-$I$346)*MIN(E$3-$O$2,$Q$2)/$Q$2))</f>
        <v>10933.6846160889</v>
      </c>
      <c r="F368" s="15" t="n">
        <f aca="false">E368*(1+IF(F$3&lt;=$O$2,$D368,$D368-($D368-$I$346)*MIN(F$3-$O$2,$Q$2)/$Q$2))</f>
        <v>11320.5927352366</v>
      </c>
      <c r="G368" s="15" t="n">
        <f aca="false">F368*(1+IF(G$3&lt;=$O$2,$D368,$D368-($D368-$I$346)*MIN(G$3-$O$2,$Q$2)/$Q$2))</f>
        <v>11721.1922949113</v>
      </c>
      <c r="H368" s="15" t="n">
        <f aca="false">G368*(1+IF(H$3&lt;=$O$2,$D368,$D368-($D368-$I$346)*MIN(H$3-$O$2,$Q$2)/$Q$2))</f>
        <v>12135.9677913912</v>
      </c>
      <c r="I368" s="15" t="n">
        <f aca="false">H368*(1+IF(I$3&lt;=$O$2,$D368,$D368-($D368-$I$346)*MIN(I$3-$O$2,$Q$2)/$Q$2))</f>
        <v>12565.4208657277</v>
      </c>
      <c r="J368" s="15" t="n">
        <f aca="false">I368*(1+IF(J$3&lt;=$O$2,$D368,$D368-($D368-$I$346)*MIN(J$3-$O$2,$Q$2)/$Q$2))</f>
        <v>12979.695762735</v>
      </c>
      <c r="K368" s="15" t="n">
        <f aca="false">J368*(1+IF(K$3&lt;=$O$2,$D368,$D368-($D368-$I$346)*MIN(K$3-$O$2,$Q$2)/$Q$2))</f>
        <v>13376.2524720192</v>
      </c>
      <c r="L368" s="15" t="n">
        <f aca="false">K368*(1+IF(L$3&lt;=$O$2,$D368,$D368-($D368-$I$346)*MIN(L$3-$O$2,$Q$2)/$Q$2))</f>
        <v>13752.5895940672</v>
      </c>
      <c r="M368" s="15" t="n">
        <f aca="false">L368*(1+IF(M$3&lt;=$O$2,$D368,$D368-($D368-$I$346)*MIN(M$3-$O$2,$Q$2)/$Q$2))</f>
        <v>14106.2698936969</v>
      </c>
      <c r="N368" s="15" t="n">
        <f aca="false">M368*(1+IF(N$3&lt;=$O$2,$D368,$D368-($D368-$I$346)*MIN(N$3-$O$2,$Q$2)/$Q$2))</f>
        <v>14434.9459822201</v>
      </c>
      <c r="O368" s="15" t="n">
        <f aca="false">SUMPRODUCT(E368:N368,1/(1+$F$346)^$E$3:$N$3)*$E$2</f>
        <v>42078.7637629654</v>
      </c>
      <c r="P368" s="15" t="n">
        <f aca="false">N368*$E$2*(1+$I$346)/($F$346-$I$346)/(1+$F$346)^$N$3</f>
        <v>64850.9165594261</v>
      </c>
      <c r="Q368" s="15" t="n">
        <f aca="false">O368+P368</f>
        <v>106929.680322392</v>
      </c>
      <c r="R368" s="15" t="n">
        <f aca="false">Q368-$G$2+$I$2</f>
        <v>87469.6803223916</v>
      </c>
      <c r="S368" s="40" t="n">
        <f aca="false">R368/$K$2</f>
        <v>155.809117231143</v>
      </c>
      <c r="T368" s="41" t="n">
        <f aca="false">S368-$M$2</f>
        <v>-0.000569439442159592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0.0353868007659912</v>
      </c>
      <c r="C369" s="25" t="n">
        <f aca="false">IF(T368&gt;0,D368,C368)</f>
        <v>0.0353875160217285</v>
      </c>
      <c r="D369" s="39" t="n">
        <f aca="false">(B369+C369)/2</f>
        <v>0.0353871583938599</v>
      </c>
      <c r="E369" s="15" t="n">
        <f aca="false">$C$2*(1+IF(E$3&lt;=$O$2,$D369,$D369-($D369-$I$346)*MIN(E$3-$O$2,$Q$2)/$Q$2))</f>
        <v>10933.6883926392</v>
      </c>
      <c r="F369" s="15" t="n">
        <f aca="false">E369*(1+IF(F$3&lt;=$O$2,$D369,$D369-($D369-$I$346)*MIN(F$3-$O$2,$Q$2)/$Q$2))</f>
        <v>11320.6005556186</v>
      </c>
      <c r="G369" s="15" t="n">
        <f aca="false">F369*(1+IF(G$3&lt;=$O$2,$D369,$D369-($D369-$I$346)*MIN(G$3-$O$2,$Q$2)/$Q$2))</f>
        <v>11721.2044405939</v>
      </c>
      <c r="H369" s="15" t="n">
        <f aca="false">G369*(1+IF(H$3&lt;=$O$2,$D369,$D369-($D369-$I$346)*MIN(H$3-$O$2,$Q$2)/$Q$2))</f>
        <v>12135.9845587</v>
      </c>
      <c r="I369" s="15" t="n">
        <f aca="false">H369*(1+IF(I$3&lt;=$O$2,$D369,$D369-($D369-$I$346)*MIN(I$3-$O$2,$Q$2)/$Q$2))</f>
        <v>12565.4425665441</v>
      </c>
      <c r="J369" s="15" t="n">
        <f aca="false">I369*(1+IF(J$3&lt;=$O$2,$D369,$D369-($D369-$I$346)*MIN(J$3-$O$2,$Q$2)/$Q$2))</f>
        <v>12979.7217740172</v>
      </c>
      <c r="K369" s="15" t="n">
        <f aca="false">J369*(1+IF(K$3&lt;=$O$2,$D369,$D369-($D369-$I$346)*MIN(K$3-$O$2,$Q$2)/$Q$2))</f>
        <v>13376.2820631463</v>
      </c>
      <c r="L369" s="15" t="n">
        <f aca="false">K369*(1+IF(L$3&lt;=$O$2,$D369,$D369-($D369-$I$346)*MIN(L$3-$O$2,$Q$2)/$Q$2))</f>
        <v>13752.6219312249</v>
      </c>
      <c r="M369" s="15" t="n">
        <f aca="false">L369*(1+IF(M$3&lt;=$O$2,$D369,$D369-($D369-$I$346)*MIN(M$3-$O$2,$Q$2)/$Q$2))</f>
        <v>14106.3040461452</v>
      </c>
      <c r="N369" s="15" t="n">
        <f aca="false">M369*(1+IF(N$3&lt;=$O$2,$D369,$D369-($D369-$I$346)*MIN(N$3-$O$2,$Q$2)/$Q$2))</f>
        <v>14434.9809304203</v>
      </c>
      <c r="O369" s="15" t="n">
        <f aca="false">SUMPRODUCT(E369:N369,1/(1+$F$346)^$E$3:$N$3)*$E$2</f>
        <v>42078.8299773956</v>
      </c>
      <c r="P369" s="15" t="n">
        <f aca="false">N369*$E$2*(1+$I$346)/($F$346-$I$346)/(1+$F$346)^$N$3</f>
        <v>64851.0735688685</v>
      </c>
      <c r="Q369" s="15" t="n">
        <f aca="false">O369+P369</f>
        <v>106929.903546264</v>
      </c>
      <c r="R369" s="15" t="n">
        <f aca="false">Q369-$G$2+$I$2</f>
        <v>87469.9035462641</v>
      </c>
      <c r="S369" s="40" t="n">
        <f aca="false">R369/$K$2</f>
        <v>155.809514858234</v>
      </c>
      <c r="T369" s="41" t="n">
        <f aca="false">S369-$M$2</f>
        <v>-0.000171812351368317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0.0353871583938599</v>
      </c>
      <c r="C370" s="25" t="n">
        <f aca="false">IF(T369&gt;0,D369,C369)</f>
        <v>0.0353875160217285</v>
      </c>
      <c r="D370" s="39" t="n">
        <f aca="false">(B370+C370)/2</f>
        <v>0.0353873372077942</v>
      </c>
      <c r="E370" s="15" t="n">
        <f aca="false">$C$2*(1+IF(E$3&lt;=$O$2,$D370,$D370-($D370-$I$346)*MIN(E$3-$O$2,$Q$2)/$Q$2))</f>
        <v>10933.6902809143</v>
      </c>
      <c r="F370" s="15" t="n">
        <f aca="false">E370*(1+IF(F$3&lt;=$O$2,$D370,$D370-($D370-$I$346)*MIN(F$3-$O$2,$Q$2)/$Q$2))</f>
        <v>11320.6044658106</v>
      </c>
      <c r="G370" s="15" t="n">
        <f aca="false">F370*(1+IF(G$3&lt;=$O$2,$D370,$D370-($D370-$I$346)*MIN(G$3-$O$2,$Q$2)/$Q$2))</f>
        <v>11721.2105134383</v>
      </c>
      <c r="H370" s="15" t="n">
        <f aca="false">G370*(1+IF(H$3&lt;=$O$2,$D370,$D370-($D370-$I$346)*MIN(H$3-$O$2,$Q$2)/$Q$2))</f>
        <v>12135.9929423609</v>
      </c>
      <c r="I370" s="15" t="n">
        <f aca="false">H370*(1+IF(I$3&lt;=$O$2,$D370,$D370-($D370-$I$346)*MIN(I$3-$O$2,$Q$2)/$Q$2))</f>
        <v>12565.4534169636</v>
      </c>
      <c r="J370" s="15" t="n">
        <f aca="false">I370*(1+IF(J$3&lt;=$O$2,$D370,$D370-($D370-$I$346)*MIN(J$3-$O$2,$Q$2)/$Q$2))</f>
        <v>12979.7347796746</v>
      </c>
      <c r="K370" s="15" t="n">
        <f aca="false">J370*(1+IF(K$3&lt;=$O$2,$D370,$D370-($D370-$I$346)*MIN(K$3-$O$2,$Q$2)/$Q$2))</f>
        <v>13376.2968587308</v>
      </c>
      <c r="L370" s="15" t="n">
        <f aca="false">K370*(1+IF(L$3&lt;=$O$2,$D370,$D370-($D370-$I$346)*MIN(L$3-$O$2,$Q$2)/$Q$2))</f>
        <v>13752.6380998285</v>
      </c>
      <c r="M370" s="15" t="n">
        <f aca="false">L370*(1+IF(M$3&lt;=$O$2,$D370,$D370-($D370-$I$346)*MIN(M$3-$O$2,$Q$2)/$Q$2))</f>
        <v>14106.3211223963</v>
      </c>
      <c r="N370" s="15" t="n">
        <f aca="false">M370*(1+IF(N$3&lt;=$O$2,$D370,$D370-($D370-$I$346)*MIN(N$3-$O$2,$Q$2)/$Q$2))</f>
        <v>14434.9984045482</v>
      </c>
      <c r="O370" s="15" t="n">
        <f aca="false">SUMPRODUCT(E370:N370,1/(1+$F$346)^$E$3:$N$3)*$E$2</f>
        <v>42078.8630846501</v>
      </c>
      <c r="P370" s="15" t="n">
        <f aca="false">N370*$E$2*(1+$I$346)/($F$346-$I$346)/(1+$F$346)^$N$3</f>
        <v>64851.1520737142</v>
      </c>
      <c r="Q370" s="15" t="n">
        <f aca="false">O370+P370</f>
        <v>106930.015158364</v>
      </c>
      <c r="R370" s="15" t="n">
        <f aca="false">Q370-$G$2+$I$2</f>
        <v>87470.0151583643</v>
      </c>
      <c r="S370" s="40" t="n">
        <f aca="false">R370/$K$2</f>
        <v>155.809713672072</v>
      </c>
      <c r="T370" s="41" t="n">
        <f aca="false">S370-$M$2</f>
        <v>2.7001486074596E-005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0.0353871583938599</v>
      </c>
      <c r="C371" s="25" t="n">
        <f aca="false">IF(T370&gt;0,D370,C370)</f>
        <v>0.0353873372077942</v>
      </c>
      <c r="D371" s="39" t="n">
        <f aca="false">(B371+C371)/2</f>
        <v>0.035387247800827</v>
      </c>
      <c r="E371" s="15" t="n">
        <f aca="false">$C$2*(1+IF(E$3&lt;=$O$2,$D371,$D371-($D371-$I$346)*MIN(E$3-$O$2,$Q$2)/$Q$2))</f>
        <v>10933.6893367767</v>
      </c>
      <c r="F371" s="15" t="n">
        <f aca="false">E371*(1+IF(F$3&lt;=$O$2,$D371,$D371-($D371-$I$346)*MIN(F$3-$O$2,$Q$2)/$Q$2))</f>
        <v>11320.6025107145</v>
      </c>
      <c r="G371" s="15" t="n">
        <f aca="false">F371*(1+IF(G$3&lt;=$O$2,$D371,$D371-($D371-$I$346)*MIN(G$3-$O$2,$Q$2)/$Q$2))</f>
        <v>11721.2074770158</v>
      </c>
      <c r="H371" s="15" t="n">
        <f aca="false">G371*(1+IF(H$3&lt;=$O$2,$D371,$D371-($D371-$I$346)*MIN(H$3-$O$2,$Q$2)/$Q$2))</f>
        <v>12135.9887505299</v>
      </c>
      <c r="I371" s="15" t="n">
        <f aca="false">H371*(1+IF(I$3&lt;=$O$2,$D371,$D371-($D371-$I$346)*MIN(I$3-$O$2,$Q$2)/$Q$2))</f>
        <v>12565.4479917529</v>
      </c>
      <c r="J371" s="15" t="n">
        <f aca="false">I371*(1+IF(J$3&lt;=$O$2,$D371,$D371-($D371-$I$346)*MIN(J$3-$O$2,$Q$2)/$Q$2))</f>
        <v>12979.7282768446</v>
      </c>
      <c r="K371" s="15" t="n">
        <f aca="false">J371*(1+IF(K$3&lt;=$O$2,$D371,$D371-($D371-$I$346)*MIN(K$3-$O$2,$Q$2)/$Q$2))</f>
        <v>13376.2894609368</v>
      </c>
      <c r="L371" s="15" t="n">
        <f aca="false">K371*(1+IF(L$3&lt;=$O$2,$D371,$D371-($D371-$I$346)*MIN(L$3-$O$2,$Q$2)/$Q$2))</f>
        <v>13752.6300155246</v>
      </c>
      <c r="M371" s="15" t="n">
        <f aca="false">L371*(1+IF(M$3&lt;=$O$2,$D371,$D371-($D371-$I$346)*MIN(M$3-$O$2,$Q$2)/$Q$2))</f>
        <v>14106.3125842685</v>
      </c>
      <c r="N371" s="15" t="n">
        <f aca="false">M371*(1+IF(N$3&lt;=$O$2,$D371,$D371-($D371-$I$346)*MIN(N$3-$O$2,$Q$2)/$Q$2))</f>
        <v>14434.9896674819</v>
      </c>
      <c r="O371" s="15" t="n">
        <f aca="false">SUMPRODUCT(E371:N371,1/(1+$F$346)^$E$3:$N$3)*$E$2</f>
        <v>42078.8465310195</v>
      </c>
      <c r="P371" s="15" t="n">
        <f aca="false">N371*$E$2*(1+$I$346)/($F$346-$I$346)/(1+$F$346)^$N$3</f>
        <v>64851.1128212809</v>
      </c>
      <c r="Q371" s="15" t="n">
        <f aca="false">O371+P371</f>
        <v>106929.9593523</v>
      </c>
      <c r="R371" s="15" t="n">
        <f aca="false">Q371-$G$2+$I$2</f>
        <v>87469.9593523005</v>
      </c>
      <c r="S371" s="40" t="n">
        <f aca="false">R371/$K$2</f>
        <v>155.809614265129</v>
      </c>
      <c r="T371" s="41" t="n">
        <f aca="false">S371-$M$2</f>
        <v>-7.24054570184762E-005</v>
      </c>
    </row>
    <row r="373" customFormat="false" ht="15" hidden="false" customHeight="false" outlineLevel="0" collapsed="false">
      <c r="A373" s="36" t="s">
        <v>199</v>
      </c>
      <c r="E373" s="5" t="s">
        <v>11</v>
      </c>
      <c r="F373" s="12" t="n">
        <f aca="false">Sensitivity!$B$12</f>
        <v>0.0770172026214128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6" t="s">
        <v>167</v>
      </c>
      <c r="B374" s="28" t="s">
        <v>168</v>
      </c>
      <c r="C374" s="28" t="s">
        <v>169</v>
      </c>
      <c r="D374" s="28" t="s">
        <v>170</v>
      </c>
      <c r="E374" s="28" t="s">
        <v>171</v>
      </c>
      <c r="F374" s="28" t="s">
        <v>172</v>
      </c>
      <c r="G374" s="28" t="s">
        <v>173</v>
      </c>
      <c r="H374" s="28" t="s">
        <v>174</v>
      </c>
      <c r="I374" s="28" t="s">
        <v>175</v>
      </c>
      <c r="J374" s="28" t="s">
        <v>176</v>
      </c>
      <c r="K374" s="28" t="s">
        <v>177</v>
      </c>
      <c r="L374" s="28" t="s">
        <v>178</v>
      </c>
      <c r="M374" s="28" t="s">
        <v>179</v>
      </c>
      <c r="N374" s="28" t="s">
        <v>180</v>
      </c>
      <c r="O374" s="28" t="s">
        <v>181</v>
      </c>
      <c r="P374" s="28" t="s">
        <v>182</v>
      </c>
      <c r="Q374" s="28" t="s">
        <v>183</v>
      </c>
      <c r="R374" s="28" t="s">
        <v>184</v>
      </c>
      <c r="S374" s="28" t="s">
        <v>185</v>
      </c>
      <c r="T374" s="28" t="s">
        <v>186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39" t="n">
        <f aca="false">(B375+C375)/2</f>
        <v>0.25</v>
      </c>
      <c r="E375" s="15" t="n">
        <f aca="false">$C$2*(1+IF(E$3&lt;=$O$2,$D375,$D375-($D375-$I$373)*MIN(E$3-$O$2,$Q$2)/$Q$2))</f>
        <v>13200</v>
      </c>
      <c r="F375" s="15" t="n">
        <f aca="false">E375*(1+IF(F$3&lt;=$O$2,$D375,$D375-($D375-$I$373)*MIN(F$3-$O$2,$Q$2)/$Q$2))</f>
        <v>16500</v>
      </c>
      <c r="G375" s="15" t="n">
        <f aca="false">F375*(1+IF(G$3&lt;=$O$2,$D375,$D375-($D375-$I$373)*MIN(G$3-$O$2,$Q$2)/$Q$2))</f>
        <v>20625</v>
      </c>
      <c r="H375" s="15" t="n">
        <f aca="false">G375*(1+IF(H$3&lt;=$O$2,$D375,$D375-($D375-$I$373)*MIN(H$3-$O$2,$Q$2)/$Q$2))</f>
        <v>25781.25</v>
      </c>
      <c r="I375" s="15" t="n">
        <f aca="false">H375*(1+IF(I$3&lt;=$O$2,$D375,$D375-($D375-$I$373)*MIN(I$3-$O$2,$Q$2)/$Q$2))</f>
        <v>32226.5625</v>
      </c>
      <c r="J375" s="15" t="n">
        <f aca="false">I375*(1+IF(J$3&lt;=$O$2,$D375,$D375-($D375-$I$373)*MIN(J$3-$O$2,$Q$2)/$Q$2))</f>
        <v>38854.27734375</v>
      </c>
      <c r="K375" s="15" t="n">
        <f aca="false">J375*(1+IF(K$3&lt;=$O$2,$D375,$D375-($D375-$I$373)*MIN(K$3-$O$2,$Q$2)/$Q$2))</f>
        <v>45122.2493648437</v>
      </c>
      <c r="L375" s="15" t="n">
        <f aca="false">K375*(1+IF(L$3&lt;=$O$2,$D375,$D375-($D375-$I$373)*MIN(L$3-$O$2,$Q$2)/$Q$2))</f>
        <v>50400.6500955432</v>
      </c>
      <c r="M375" s="15" t="n">
        <f aca="false">L375*(1+IF(M$3&lt;=$O$2,$D375,$D375-($D375-$I$373)*MIN(M$3-$O$2,$Q$2)/$Q$2))</f>
        <v>54061.7533184834</v>
      </c>
      <c r="N375" s="15" t="n">
        <f aca="false">M375*(1+IF(N$3&lt;=$O$2,$D375,$D375-($D375-$I$373)*MIN(N$3-$O$2,$Q$2)/$Q$2))</f>
        <v>55591.7009373965</v>
      </c>
      <c r="O375" s="15" t="n">
        <f aca="false">SUMPRODUCT(E375:N375,1/(1+$F$373)^$E$3:$N$3)*$E$2</f>
        <v>108048.662924273</v>
      </c>
      <c r="P375" s="15" t="n">
        <f aca="false">N375*$E$2*(1+$I$373)/($F$373-$I$373)/(1+$F$373)^$N$3</f>
        <v>276731.64512762</v>
      </c>
      <c r="Q375" s="15" t="n">
        <f aca="false">O375+P375</f>
        <v>384780.308051892</v>
      </c>
      <c r="R375" s="15" t="n">
        <f aca="false">Q375-$G$2+$I$2</f>
        <v>365320.308051892</v>
      </c>
      <c r="S375" s="40" t="n">
        <f aca="false">R375/$K$2</f>
        <v>650.74245720781</v>
      </c>
      <c r="T375" s="41" t="n">
        <f aca="false">S375-$M$2</f>
        <v>494.932770537224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39" t="n">
        <f aca="false">(B376+C376)/2</f>
        <v>-0.125</v>
      </c>
      <c r="E376" s="15" t="n">
        <f aca="false">$C$2*(1+IF(E$3&lt;=$O$2,$D376,$D376-($D376-$I$373)*MIN(E$3-$O$2,$Q$2)/$Q$2))</f>
        <v>9240</v>
      </c>
      <c r="F376" s="15" t="n">
        <f aca="false">E376*(1+IF(F$3&lt;=$O$2,$D376,$D376-($D376-$I$373)*MIN(F$3-$O$2,$Q$2)/$Q$2))</f>
        <v>8085</v>
      </c>
      <c r="G376" s="15" t="n">
        <f aca="false">F376*(1+IF(G$3&lt;=$O$2,$D376,$D376-($D376-$I$373)*MIN(G$3-$O$2,$Q$2)/$Q$2))</f>
        <v>7074.375</v>
      </c>
      <c r="H376" s="15" t="n">
        <f aca="false">G376*(1+IF(H$3&lt;=$O$2,$D376,$D376-($D376-$I$373)*MIN(H$3-$O$2,$Q$2)/$Q$2))</f>
        <v>6190.078125</v>
      </c>
      <c r="I376" s="15" t="n">
        <f aca="false">H376*(1+IF(I$3&lt;=$O$2,$D376,$D376-($D376-$I$373)*MIN(I$3-$O$2,$Q$2)/$Q$2))</f>
        <v>5416.318359375</v>
      </c>
      <c r="J376" s="15" t="n">
        <f aca="false">I376*(1+IF(J$3&lt;=$O$2,$D376,$D376-($D376-$I$373)*MIN(J$3-$O$2,$Q$2)/$Q$2))</f>
        <v>4905.34288535156</v>
      </c>
      <c r="K376" s="15" t="n">
        <f aca="false">J376*(1+IF(K$3&lt;=$O$2,$D376,$D376-($D376-$I$373)*MIN(K$3-$O$2,$Q$2)/$Q$2))</f>
        <v>4592.97065041238</v>
      </c>
      <c r="L376" s="15" t="n">
        <f aca="false">K376*(1+IF(L$3&lt;=$O$2,$D376,$D376-($D376-$I$373)*MIN(L$3-$O$2,$Q$2)/$Q$2))</f>
        <v>4441.31075953576</v>
      </c>
      <c r="M376" s="15" t="n">
        <f aca="false">L376*(1+IF(M$3&lt;=$O$2,$D376,$D376-($D376-$I$373)*MIN(M$3-$O$2,$Q$2)/$Q$2))</f>
        <v>4430.82926614325</v>
      </c>
      <c r="N376" s="15" t="n">
        <f aca="false">M376*(1+IF(N$3&lt;=$O$2,$D376,$D376-($D376-$I$373)*MIN(N$3-$O$2,$Q$2)/$Q$2))</f>
        <v>4556.22173437511</v>
      </c>
      <c r="O376" s="15" t="n">
        <f aca="false">SUMPRODUCT(E376:N376,1/(1+$F$373)^$E$3:$N$3)*$E$2</f>
        <v>20959.8443445791</v>
      </c>
      <c r="P376" s="15" t="n">
        <f aca="false">N376*$E$2*(1+$I$373)/($F$373-$I$373)/(1+$F$373)^$N$3</f>
        <v>22680.5568971477</v>
      </c>
      <c r="Q376" s="15" t="n">
        <f aca="false">O376+P376</f>
        <v>43640.4012417267</v>
      </c>
      <c r="R376" s="15" t="n">
        <f aca="false">Q376-$G$2+$I$2</f>
        <v>24180.4012417267</v>
      </c>
      <c r="S376" s="40" t="n">
        <f aca="false">R376/$K$2</f>
        <v>43.0723761408766</v>
      </c>
      <c r="T376" s="41" t="n">
        <f aca="false">S376-$M$2</f>
        <v>-112.737310529709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39" t="n">
        <f aca="false">(B377+C377)/2</f>
        <v>0.0625</v>
      </c>
      <c r="E377" s="15" t="n">
        <f aca="false">$C$2*(1+IF(E$3&lt;=$O$2,$D377,$D377-($D377-$I$373)*MIN(E$3-$O$2,$Q$2)/$Q$2))</f>
        <v>11220</v>
      </c>
      <c r="F377" s="15" t="n">
        <f aca="false">E377*(1+IF(F$3&lt;=$O$2,$D377,$D377-($D377-$I$373)*MIN(F$3-$O$2,$Q$2)/$Q$2))</f>
        <v>11921.25</v>
      </c>
      <c r="G377" s="15" t="n">
        <f aca="false">F377*(1+IF(G$3&lt;=$O$2,$D377,$D377-($D377-$I$373)*MIN(G$3-$O$2,$Q$2)/$Q$2))</f>
        <v>12666.328125</v>
      </c>
      <c r="H377" s="15" t="n">
        <f aca="false">G377*(1+IF(H$3&lt;=$O$2,$D377,$D377-($D377-$I$373)*MIN(H$3-$O$2,$Q$2)/$Q$2))</f>
        <v>13457.9736328125</v>
      </c>
      <c r="I377" s="15" t="n">
        <f aca="false">H377*(1+IF(I$3&lt;=$O$2,$D377,$D377-($D377-$I$373)*MIN(I$3-$O$2,$Q$2)/$Q$2))</f>
        <v>14299.0969848633</v>
      </c>
      <c r="J377" s="15" t="n">
        <f aca="false">I377*(1+IF(J$3&lt;=$O$2,$D377,$D377-($D377-$I$373)*MIN(J$3-$O$2,$Q$2)/$Q$2))</f>
        <v>15094.9847230408</v>
      </c>
      <c r="K377" s="15" t="n">
        <f aca="false">J377*(1+IF(K$3&lt;=$O$2,$D377,$D377-($D377-$I$373)*MIN(K$3-$O$2,$Q$2)/$Q$2))</f>
        <v>15831.9218772196</v>
      </c>
      <c r="L377" s="15" t="n">
        <f aca="false">K377*(1+IF(L$3&lt;=$O$2,$D377,$D377-($D377-$I$373)*MIN(L$3-$O$2,$Q$2)/$Q$2))</f>
        <v>16496.5459576253</v>
      </c>
      <c r="M377" s="15" t="n">
        <f aca="false">L377*(1+IF(M$3&lt;=$O$2,$D377,$D377-($D377-$I$373)*MIN(M$3-$O$2,$Q$2)/$Q$2))</f>
        <v>17076.2345825763</v>
      </c>
      <c r="N377" s="15" t="n">
        <f aca="false">M377*(1+IF(N$3&lt;=$O$2,$D377,$D377-($D377-$I$373)*MIN(N$3-$O$2,$Q$2)/$Q$2))</f>
        <v>17559.4920212632</v>
      </c>
      <c r="O377" s="15" t="n">
        <f aca="false">SUMPRODUCT(E377:N377,1/(1+$F$373)^$E$3:$N$3)*$E$2</f>
        <v>47557.329627937</v>
      </c>
      <c r="P377" s="15" t="n">
        <f aca="false">N377*$E$2*(1+$I$373)/($F$373-$I$373)/(1+$F$373)^$N$3</f>
        <v>87409.9376833537</v>
      </c>
      <c r="Q377" s="15" t="n">
        <f aca="false">O377+P377</f>
        <v>134967.267311291</v>
      </c>
      <c r="R377" s="15" t="n">
        <f aca="false">Q377-$G$2+$I$2</f>
        <v>115507.267311291</v>
      </c>
      <c r="S377" s="40" t="n">
        <f aca="false">R377/$K$2</f>
        <v>205.752270812253</v>
      </c>
      <c r="T377" s="41" t="n">
        <f aca="false">S377-$M$2</f>
        <v>49.9425841416675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39" t="n">
        <f aca="false">(B378+C378)/2</f>
        <v>-0.03125</v>
      </c>
      <c r="E378" s="15" t="n">
        <f aca="false">$C$2*(1+IF(E$3&lt;=$O$2,$D378,$D378-($D378-$I$373)*MIN(E$3-$O$2,$Q$2)/$Q$2))</f>
        <v>10230</v>
      </c>
      <c r="F378" s="15" t="n">
        <f aca="false">E378*(1+IF(F$3&lt;=$O$2,$D378,$D378-($D378-$I$373)*MIN(F$3-$O$2,$Q$2)/$Q$2))</f>
        <v>9910.3125</v>
      </c>
      <c r="G378" s="15" t="n">
        <f aca="false">F378*(1+IF(G$3&lt;=$O$2,$D378,$D378-($D378-$I$373)*MIN(G$3-$O$2,$Q$2)/$Q$2))</f>
        <v>9600.615234375</v>
      </c>
      <c r="H378" s="15" t="n">
        <f aca="false">G378*(1+IF(H$3&lt;=$O$2,$D378,$D378-($D378-$I$373)*MIN(H$3-$O$2,$Q$2)/$Q$2))</f>
        <v>9300.59600830078</v>
      </c>
      <c r="I378" s="15" t="n">
        <f aca="false">H378*(1+IF(I$3&lt;=$O$2,$D378,$D378-($D378-$I$373)*MIN(I$3-$O$2,$Q$2)/$Q$2))</f>
        <v>9009.95238304138</v>
      </c>
      <c r="J378" s="15" t="n">
        <f aca="false">I378*(1+IF(J$3&lt;=$O$2,$D378,$D378-($D378-$I$373)*MIN(J$3-$O$2,$Q$2)/$Q$2))</f>
        <v>8835.69990395336</v>
      </c>
      <c r="K378" s="15" t="n">
        <f aca="false">J378*(1+IF(K$3&lt;=$O$2,$D378,$D378-($D378-$I$373)*MIN(K$3-$O$2,$Q$2)/$Q$2))</f>
        <v>8770.05065366699</v>
      </c>
      <c r="L378" s="15" t="n">
        <f aca="false">K378*(1+IF(L$3&lt;=$O$2,$D378,$D378-($D378-$I$373)*MIN(L$3-$O$2,$Q$2)/$Q$2))</f>
        <v>8809.34048059542</v>
      </c>
      <c r="M378" s="15" t="n">
        <f aca="false">L378*(1+IF(M$3&lt;=$O$2,$D378,$D378-($D378-$I$373)*MIN(M$3-$O$2,$Q$2)/$Q$2))</f>
        <v>8953.72557107238</v>
      </c>
      <c r="N378" s="15" t="n">
        <f aca="false">M378*(1+IF(N$3&lt;=$O$2,$D378,$D378-($D378-$I$373)*MIN(N$3-$O$2,$Q$2)/$Q$2))</f>
        <v>9207.11600473372</v>
      </c>
      <c r="O378" s="15" t="n">
        <f aca="false">SUMPRODUCT(E378:N378,1/(1+$F$373)^$E$3:$N$3)*$E$2</f>
        <v>31487.5179131591</v>
      </c>
      <c r="P378" s="15" t="n">
        <f aca="false">N378*$E$2*(1+$I$373)/($F$373-$I$373)/(1+$F$373)^$N$3</f>
        <v>45832.387135268</v>
      </c>
      <c r="Q378" s="15" t="n">
        <f aca="false">O378+P378</f>
        <v>77319.9050484271</v>
      </c>
      <c r="R378" s="15" t="n">
        <f aca="false">Q378-$G$2+$I$2</f>
        <v>57859.9050484271</v>
      </c>
      <c r="S378" s="40" t="n">
        <f aca="false">R378/$K$2</f>
        <v>103.065435879562</v>
      </c>
      <c r="T378" s="41" t="n">
        <f aca="false">S378-$M$2</f>
        <v>-52.7442507910239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39" t="n">
        <f aca="false">(B379+C379)/2</f>
        <v>0.015625</v>
      </c>
      <c r="E379" s="15" t="n">
        <f aca="false">$C$2*(1+IF(E$3&lt;=$O$2,$D379,$D379-($D379-$I$373)*MIN(E$3-$O$2,$Q$2)/$Q$2))</f>
        <v>10725</v>
      </c>
      <c r="F379" s="15" t="n">
        <f aca="false">E379*(1+IF(F$3&lt;=$O$2,$D379,$D379-($D379-$I$373)*MIN(F$3-$O$2,$Q$2)/$Q$2))</f>
        <v>10892.578125</v>
      </c>
      <c r="G379" s="15" t="n">
        <f aca="false">F379*(1+IF(G$3&lt;=$O$2,$D379,$D379-($D379-$I$373)*MIN(G$3-$O$2,$Q$2)/$Q$2))</f>
        <v>11062.7746582031</v>
      </c>
      <c r="H379" s="15" t="n">
        <f aca="false">G379*(1+IF(H$3&lt;=$O$2,$D379,$D379-($D379-$I$373)*MIN(H$3-$O$2,$Q$2)/$Q$2))</f>
        <v>11235.6305122375</v>
      </c>
      <c r="I379" s="15" t="n">
        <f aca="false">H379*(1+IF(I$3&lt;=$O$2,$D379,$D379-($D379-$I$373)*MIN(I$3-$O$2,$Q$2)/$Q$2))</f>
        <v>11411.1872389913</v>
      </c>
      <c r="J379" s="15" t="n">
        <f aca="false">I379*(1+IF(J$3&lt;=$O$2,$D379,$D379-($D379-$I$373)*MIN(J$3-$O$2,$Q$2)/$Q$2))</f>
        <v>11618.4143992513</v>
      </c>
      <c r="K379" s="15" t="n">
        <f aca="false">J379*(1+IF(K$3&lt;=$O$2,$D379,$D379-($D379-$I$373)*MIN(K$3-$O$2,$Q$2)/$Q$2))</f>
        <v>11858.8574852438</v>
      </c>
      <c r="L379" s="15" t="n">
        <f aca="false">K379*(1+IF(L$3&lt;=$O$2,$D379,$D379-($D379-$I$373)*MIN(L$3-$O$2,$Q$2)/$Q$2))</f>
        <v>12134.3387446261</v>
      </c>
      <c r="M379" s="15" t="n">
        <f aca="false">L379*(1+IF(M$3&lt;=$O$2,$D379,$D379-($D379-$I$373)*MIN(M$3-$O$2,$Q$2)/$Q$2))</f>
        <v>12446.9799823814</v>
      </c>
      <c r="N379" s="15" t="n">
        <f aca="false">M379*(1+IF(N$3&lt;=$O$2,$D379,$D379-($D379-$I$373)*MIN(N$3-$O$2,$Q$2)/$Q$2))</f>
        <v>12799.2295158827</v>
      </c>
      <c r="O379" s="15" t="n">
        <f aca="false">SUMPRODUCT(E379:N379,1/(1+$F$373)^$E$3:$N$3)*$E$2</f>
        <v>38684.20719402</v>
      </c>
      <c r="P379" s="15" t="n">
        <f aca="false">N379*$E$2*(1+$I$373)/($F$373-$I$373)/(1+$F$373)^$N$3</f>
        <v>63713.6799301197</v>
      </c>
      <c r="Q379" s="15" t="n">
        <f aca="false">O379+P379</f>
        <v>102397.88712414</v>
      </c>
      <c r="R379" s="15" t="n">
        <f aca="false">Q379-$G$2+$I$2</f>
        <v>82937.8871241398</v>
      </c>
      <c r="S379" s="40" t="n">
        <f aca="false">R379/$K$2</f>
        <v>147.736666353408</v>
      </c>
      <c r="T379" s="41" t="n">
        <f aca="false">S379-$M$2</f>
        <v>-8.07302031717742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39" t="n">
        <f aca="false">(B380+C380)/2</f>
        <v>0.0390625</v>
      </c>
      <c r="E380" s="15" t="n">
        <f aca="false">$C$2*(1+IF(E$3&lt;=$O$2,$D380,$D380-($D380-$I$373)*MIN(E$3-$O$2,$Q$2)/$Q$2))</f>
        <v>10972.5</v>
      </c>
      <c r="F380" s="15" t="n">
        <f aca="false">E380*(1+IF(F$3&lt;=$O$2,$D380,$D380-($D380-$I$373)*MIN(F$3-$O$2,$Q$2)/$Q$2))</f>
        <v>11401.11328125</v>
      </c>
      <c r="G380" s="15" t="n">
        <f aca="false">F380*(1+IF(G$3&lt;=$O$2,$D380,$D380-($D380-$I$373)*MIN(G$3-$O$2,$Q$2)/$Q$2))</f>
        <v>11846.4692687988</v>
      </c>
      <c r="H380" s="15" t="n">
        <f aca="false">G380*(1+IF(H$3&lt;=$O$2,$D380,$D380-($D380-$I$373)*MIN(H$3-$O$2,$Q$2)/$Q$2))</f>
        <v>12309.2219746113</v>
      </c>
      <c r="I380" s="15" t="n">
        <f aca="false">H380*(1+IF(I$3&lt;=$O$2,$D380,$D380-($D380-$I$373)*MIN(I$3-$O$2,$Q$2)/$Q$2))</f>
        <v>12790.0509579945</v>
      </c>
      <c r="J380" s="15" t="n">
        <f aca="false">I380*(1+IF(J$3&lt;=$O$2,$D380,$D380-($D380-$I$373)*MIN(J$3-$O$2,$Q$2)/$Q$2))</f>
        <v>13262.1317388541</v>
      </c>
      <c r="K380" s="15" t="n">
        <f aca="false">J380*(1+IF(K$3&lt;=$O$2,$D380,$D380-($D380-$I$373)*MIN(K$3-$O$2,$Q$2)/$Q$2))</f>
        <v>13723.0902827673</v>
      </c>
      <c r="L380" s="15" t="n">
        <f aca="false">K380*(1+IF(L$3&lt;=$O$2,$D380,$D380-($D380-$I$373)*MIN(L$3-$O$2,$Q$2)/$Q$2))</f>
        <v>14170.531641437</v>
      </c>
      <c r="M380" s="15" t="n">
        <f aca="false">L380*(1+IF(M$3&lt;=$O$2,$D380,$D380-($D380-$I$373)*MIN(M$3-$O$2,$Q$2)/$Q$2))</f>
        <v>14602.0597562478</v>
      </c>
      <c r="N380" s="15" t="n">
        <f aca="false">M380*(1+IF(N$3&lt;=$O$2,$D380,$D380-($D380-$I$373)*MIN(N$3-$O$2,$Q$2)/$Q$2))</f>
        <v>15015.2980473496</v>
      </c>
      <c r="O380" s="15" t="n">
        <f aca="false">SUMPRODUCT(E380:N380,1/(1+$F$373)^$E$3:$N$3)*$E$2</f>
        <v>42890.1438752568</v>
      </c>
      <c r="P380" s="15" t="n">
        <f aca="false">N380*$E$2*(1+$I$373)/($F$373-$I$373)/(1+$F$373)^$N$3</f>
        <v>74745.115919441</v>
      </c>
      <c r="Q380" s="15" t="n">
        <f aca="false">O380+P380</f>
        <v>117635.259794698</v>
      </c>
      <c r="R380" s="15" t="n">
        <f aca="false">Q380-$G$2+$I$2</f>
        <v>98175.2597946979</v>
      </c>
      <c r="S380" s="40" t="n">
        <f aca="false">R380/$K$2</f>
        <v>174.878889532585</v>
      </c>
      <c r="T380" s="41" t="n">
        <f aca="false">S380-$M$2</f>
        <v>19.0692028619995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0.015625</v>
      </c>
      <c r="C381" s="25" t="n">
        <f aca="false">IF(T380&gt;0,D380,C380)</f>
        <v>0.0390625</v>
      </c>
      <c r="D381" s="39" t="n">
        <f aca="false">(B381+C381)/2</f>
        <v>0.02734375</v>
      </c>
      <c r="E381" s="15" t="n">
        <f aca="false">$C$2*(1+IF(E$3&lt;=$O$2,$D381,$D381-($D381-$I$373)*MIN(E$3-$O$2,$Q$2)/$Q$2))</f>
        <v>10848.75</v>
      </c>
      <c r="F381" s="15" t="n">
        <f aca="false">E381*(1+IF(F$3&lt;=$O$2,$D381,$D381-($D381-$I$373)*MIN(F$3-$O$2,$Q$2)/$Q$2))</f>
        <v>11145.3955078125</v>
      </c>
      <c r="G381" s="15" t="n">
        <f aca="false">F381*(1+IF(G$3&lt;=$O$2,$D381,$D381-($D381-$I$373)*MIN(G$3-$O$2,$Q$2)/$Q$2))</f>
        <v>11450.1524162292</v>
      </c>
      <c r="H381" s="15" t="n">
        <f aca="false">G381*(1+IF(H$3&lt;=$O$2,$D381,$D381-($D381-$I$373)*MIN(H$3-$O$2,$Q$2)/$Q$2))</f>
        <v>11763.2425213605</v>
      </c>
      <c r="I381" s="15" t="n">
        <f aca="false">H381*(1+IF(I$3&lt;=$O$2,$D381,$D381-($D381-$I$373)*MIN(I$3-$O$2,$Q$2)/$Q$2))</f>
        <v>12084.893684054</v>
      </c>
      <c r="J381" s="15" t="n">
        <f aca="false">I381*(1+IF(J$3&lt;=$O$2,$D381,$D381-($D381-$I$373)*MIN(J$3-$O$2,$Q$2)/$Q$2))</f>
        <v>12417.6512316444</v>
      </c>
      <c r="K381" s="15" t="n">
        <f aca="false">J381*(1+IF(K$3&lt;=$O$2,$D381,$D381-($D381-$I$373)*MIN(K$3-$O$2,$Q$2)/$Q$2))</f>
        <v>12761.9461341058</v>
      </c>
      <c r="L381" s="15" t="n">
        <f aca="false">K381*(1+IF(L$3&lt;=$O$2,$D381,$D381-($D381-$I$373)*MIN(L$3-$O$2,$Q$2)/$Q$2))</f>
        <v>13118.2277653047</v>
      </c>
      <c r="M381" s="15" t="n">
        <f aca="false">L381*(1+IF(M$3&lt;=$O$2,$D381,$D381-($D381-$I$373)*MIN(M$3-$O$2,$Q$2)/$Q$2))</f>
        <v>13486.9647500027</v>
      </c>
      <c r="N381" s="15" t="n">
        <f aca="false">M381*(1+IF(N$3&lt;=$O$2,$D381,$D381-($D381-$I$373)*MIN(N$3-$O$2,$Q$2)/$Q$2))</f>
        <v>13868.6458524278</v>
      </c>
      <c r="O381" s="15" t="n">
        <f aca="false">SUMPRODUCT(E381:N381,1/(1+$F$373)^$E$3:$N$3)*$E$2</f>
        <v>40732.2944033315</v>
      </c>
      <c r="P381" s="15" t="n">
        <f aca="false">N381*$E$2*(1+$I$373)/($F$373-$I$373)/(1+$F$373)^$N$3</f>
        <v>69037.1605423018</v>
      </c>
      <c r="Q381" s="15" t="n">
        <f aca="false">O381+P381</f>
        <v>109769.454945633</v>
      </c>
      <c r="R381" s="15" t="n">
        <f aca="false">Q381-$G$2+$I$2</f>
        <v>90309.4549456333</v>
      </c>
      <c r="S381" s="40" t="n">
        <f aca="false">R381/$K$2</f>
        <v>160.867587498233</v>
      </c>
      <c r="T381" s="41" t="n">
        <f aca="false">S381-$M$2</f>
        <v>5.05790082764793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0.015625</v>
      </c>
      <c r="C382" s="25" t="n">
        <f aca="false">IF(T381&gt;0,D381,C381)</f>
        <v>0.02734375</v>
      </c>
      <c r="D382" s="39" t="n">
        <f aca="false">(B382+C382)/2</f>
        <v>0.021484375</v>
      </c>
      <c r="E382" s="15" t="n">
        <f aca="false">$C$2*(1+IF(E$3&lt;=$O$2,$D382,$D382-($D382-$I$373)*MIN(E$3-$O$2,$Q$2)/$Q$2))</f>
        <v>10786.875</v>
      </c>
      <c r="F382" s="15" t="n">
        <f aca="false">E382*(1+IF(F$3&lt;=$O$2,$D382,$D382-($D382-$I$373)*MIN(F$3-$O$2,$Q$2)/$Q$2))</f>
        <v>11018.6242675781</v>
      </c>
      <c r="G382" s="15" t="n">
        <f aca="false">F382*(1+IF(G$3&lt;=$O$2,$D382,$D382-($D382-$I$373)*MIN(G$3-$O$2,$Q$2)/$Q$2))</f>
        <v>11255.3525233269</v>
      </c>
      <c r="H382" s="15" t="n">
        <f aca="false">G382*(1+IF(H$3&lt;=$O$2,$D382,$D382-($D382-$I$373)*MIN(H$3-$O$2,$Q$2)/$Q$2))</f>
        <v>11497.1667376952</v>
      </c>
      <c r="I382" s="15" t="n">
        <f aca="false">H382*(1+IF(I$3&lt;=$O$2,$D382,$D382-($D382-$I$373)*MIN(I$3-$O$2,$Q$2)/$Q$2))</f>
        <v>11744.1761793254</v>
      </c>
      <c r="J382" s="15" t="n">
        <f aca="false">I382*(1+IF(J$3&lt;=$O$2,$D382,$D382-($D382-$I$373)*MIN(J$3-$O$2,$Q$2)/$Q$2))</f>
        <v>12012.5012445825</v>
      </c>
      <c r="K382" s="15" t="n">
        <f aca="false">J382*(1+IF(K$3&lt;=$O$2,$D382,$D382-($D382-$I$373)*MIN(K$3-$O$2,$Q$2)/$Q$2))</f>
        <v>12303.3314075272</v>
      </c>
      <c r="L382" s="15" t="n">
        <f aca="false">K382*(1+IF(L$3&lt;=$O$2,$D382,$D382-($D382-$I$373)*MIN(L$3-$O$2,$Q$2)/$Q$2))</f>
        <v>12617.9737291104</v>
      </c>
      <c r="M382" s="15" t="n">
        <f aca="false">L382*(1+IF(M$3&lt;=$O$2,$D382,$D382-($D382-$I$373)*MIN(M$3-$O$2,$Q$2)/$Q$2))</f>
        <v>12957.8625102047</v>
      </c>
      <c r="N382" s="15" t="n">
        <f aca="false">M382*(1+IF(N$3&lt;=$O$2,$D382,$D382-($D382-$I$373)*MIN(N$3-$O$2,$Q$2)/$Q$2))</f>
        <v>13324.5700192435</v>
      </c>
      <c r="O382" s="15" t="n">
        <f aca="false">SUMPRODUCT(E382:N382,1/(1+$F$373)^$E$3:$N$3)*$E$2</f>
        <v>39694.8646440855</v>
      </c>
      <c r="P382" s="15" t="n">
        <f aca="false">N382*$E$2*(1+$I$373)/($F$373-$I$373)/(1+$F$373)^$N$3</f>
        <v>66328.7886477126</v>
      </c>
      <c r="Q382" s="15" t="n">
        <f aca="false">O382+P382</f>
        <v>106023.653291798</v>
      </c>
      <c r="R382" s="15" t="n">
        <f aca="false">Q382-$G$2+$I$2</f>
        <v>86563.6532917981</v>
      </c>
      <c r="S382" s="40" t="n">
        <f aca="false">R382/$K$2</f>
        <v>154.195217748442</v>
      </c>
      <c r="T382" s="41" t="n">
        <f aca="false">S382-$M$2</f>
        <v>-1.61446892214315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0.021484375</v>
      </c>
      <c r="C383" s="25" t="n">
        <f aca="false">IF(T382&gt;0,D382,C382)</f>
        <v>0.02734375</v>
      </c>
      <c r="D383" s="39" t="n">
        <f aca="false">(B383+C383)/2</f>
        <v>0.0244140625</v>
      </c>
      <c r="E383" s="15" t="n">
        <f aca="false">$C$2*(1+IF(E$3&lt;=$O$2,$D383,$D383-($D383-$I$373)*MIN(E$3-$O$2,$Q$2)/$Q$2))</f>
        <v>10817.8125</v>
      </c>
      <c r="F383" s="15" t="n">
        <f aca="false">E383*(1+IF(F$3&lt;=$O$2,$D383,$D383-($D383-$I$373)*MIN(F$3-$O$2,$Q$2)/$Q$2))</f>
        <v>11081.9192504883</v>
      </c>
      <c r="G383" s="15" t="n">
        <f aca="false">F383*(1+IF(G$3&lt;=$O$2,$D383,$D383-($D383-$I$373)*MIN(G$3-$O$2,$Q$2)/$Q$2))</f>
        <v>11352.4739196897</v>
      </c>
      <c r="H383" s="15" t="n">
        <f aca="false">G383*(1+IF(H$3&lt;=$O$2,$D383,$D383-($D383-$I$373)*MIN(H$3-$O$2,$Q$2)/$Q$2))</f>
        <v>11629.6339274946</v>
      </c>
      <c r="I383" s="15" t="n">
        <f aca="false">H383*(1+IF(I$3&lt;=$O$2,$D383,$D383-($D383-$I$373)*MIN(I$3-$O$2,$Q$2)/$Q$2))</f>
        <v>11913.5605370526</v>
      </c>
      <c r="J383" s="15" t="n">
        <f aca="false">I383*(1+IF(J$3&lt;=$O$2,$D383,$D383-($D383-$I$373)*MIN(J$3-$O$2,$Q$2)/$Q$2))</f>
        <v>12213.6780189316</v>
      </c>
      <c r="K383" s="15" t="n">
        <f aca="false">J383*(1+IF(K$3&lt;=$O$2,$D383,$D383-($D383-$I$373)*MIN(K$3-$O$2,$Q$2)/$Q$2))</f>
        <v>12530.8481532113</v>
      </c>
      <c r="L383" s="15" t="n">
        <f aca="false">K383*(1+IF(L$3&lt;=$O$2,$D383,$D383-($D383-$I$373)*MIN(L$3-$O$2,$Q$2)/$Q$2))</f>
        <v>12865.9935188491</v>
      </c>
      <c r="M383" s="15" t="n">
        <f aca="false">L383*(1+IF(M$3&lt;=$O$2,$D383,$D383-($D383-$I$373)*MIN(M$3-$O$2,$Q$2)/$Q$2))</f>
        <v>13220.1018460946</v>
      </c>
      <c r="N383" s="15" t="n">
        <f aca="false">M383*(1+IF(N$3&lt;=$O$2,$D383,$D383-($D383-$I$373)*MIN(N$3-$O$2,$Q$2)/$Q$2))</f>
        <v>13594.230728339</v>
      </c>
      <c r="O383" s="15" t="n">
        <f aca="false">SUMPRODUCT(E383:N383,1/(1+$F$373)^$E$3:$N$3)*$E$2</f>
        <v>40210.1917751917</v>
      </c>
      <c r="P383" s="15" t="n">
        <f aca="false">N383*$E$2*(1+$I$373)/($F$373-$I$373)/(1+$F$373)^$N$3</f>
        <v>67671.1410203863</v>
      </c>
      <c r="Q383" s="15" t="n">
        <f aca="false">O383+P383</f>
        <v>107881.332795578</v>
      </c>
      <c r="R383" s="15" t="n">
        <f aca="false">Q383-$G$2+$I$2</f>
        <v>88421.332795578</v>
      </c>
      <c r="S383" s="40" t="n">
        <f aca="false">R383/$K$2</f>
        <v>157.504288989077</v>
      </c>
      <c r="T383" s="41" t="n">
        <f aca="false">S383-$M$2</f>
        <v>1.69460231849152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0.021484375</v>
      </c>
      <c r="C384" s="25" t="n">
        <f aca="false">IF(T383&gt;0,D383,C383)</f>
        <v>0.0244140625</v>
      </c>
      <c r="D384" s="39" t="n">
        <f aca="false">(B384+C384)/2</f>
        <v>0.02294921875</v>
      </c>
      <c r="E384" s="15" t="n">
        <f aca="false">$C$2*(1+IF(E$3&lt;=$O$2,$D384,$D384-($D384-$I$373)*MIN(E$3-$O$2,$Q$2)/$Q$2))</f>
        <v>10802.34375</v>
      </c>
      <c r="F384" s="15" t="n">
        <f aca="false">E384*(1+IF(F$3&lt;=$O$2,$D384,$D384-($D384-$I$373)*MIN(F$3-$O$2,$Q$2)/$Q$2))</f>
        <v>11050.2490997314</v>
      </c>
      <c r="G384" s="15" t="n">
        <f aca="false">F384*(1+IF(G$3&lt;=$O$2,$D384,$D384-($D384-$I$373)*MIN(G$3-$O$2,$Q$2)/$Q$2))</f>
        <v>11303.8436835632</v>
      </c>
      <c r="H384" s="15" t="n">
        <f aca="false">G384*(1+IF(H$3&lt;=$O$2,$D384,$D384-($D384-$I$373)*MIN(H$3-$O$2,$Q$2)/$Q$2))</f>
        <v>11563.2580649731</v>
      </c>
      <c r="I384" s="15" t="n">
        <f aca="false">H384*(1+IF(I$3&lt;=$O$2,$D384,$D384-($D384-$I$373)*MIN(I$3-$O$2,$Q$2)/$Q$2))</f>
        <v>11828.6258037688</v>
      </c>
      <c r="J384" s="15" t="n">
        <f aca="false">I384*(1+IF(J$3&lt;=$O$2,$D384,$D384-($D384-$I$373)*MIN(J$3-$O$2,$Q$2)/$Q$2))</f>
        <v>12112.7420026842</v>
      </c>
      <c r="K384" s="15" t="n">
        <f aca="false">J384*(1+IF(K$3&lt;=$O$2,$D384,$D384-($D384-$I$373)*MIN(K$3-$O$2,$Q$2)/$Q$2))</f>
        <v>12416.6450216838</v>
      </c>
      <c r="L384" s="15" t="n">
        <f aca="false">K384*(1+IF(L$3&lt;=$O$2,$D384,$D384-($D384-$I$373)*MIN(L$3-$O$2,$Q$2)/$Q$2))</f>
        <v>12741.4605752494</v>
      </c>
      <c r="M384" s="15" t="n">
        <f aca="false">L384*(1+IF(M$3&lt;=$O$2,$D384,$D384-($D384-$I$373)*MIN(M$3-$O$2,$Q$2)/$Q$2))</f>
        <v>13088.4085558603</v>
      </c>
      <c r="N384" s="15" t="n">
        <f aca="false">M384*(1+IF(N$3&lt;=$O$2,$D384,$D384-($D384-$I$373)*MIN(N$3-$O$2,$Q$2)/$Q$2))</f>
        <v>13458.8105179911</v>
      </c>
      <c r="O384" s="15" t="n">
        <f aca="false">SUMPRODUCT(E384:N384,1/(1+$F$373)^$E$3:$N$3)*$E$2</f>
        <v>39951.686458167</v>
      </c>
      <c r="P384" s="15" t="n">
        <f aca="false">N384*$E$2*(1+$I$373)/($F$373-$I$373)/(1+$F$373)^$N$3</f>
        <v>66997.0285726433</v>
      </c>
      <c r="Q384" s="15" t="n">
        <f aca="false">O384+P384</f>
        <v>106948.71503081</v>
      </c>
      <c r="R384" s="15" t="n">
        <f aca="false">Q384-$G$2+$I$2</f>
        <v>87488.7150308103</v>
      </c>
      <c r="S384" s="40" t="n">
        <f aca="false">R384/$K$2</f>
        <v>155.843023621387</v>
      </c>
      <c r="T384" s="41" t="n">
        <f aca="false">S384-$M$2</f>
        <v>0.0333369508011856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0.021484375</v>
      </c>
      <c r="C385" s="25" t="n">
        <f aca="false">IF(T384&gt;0,D384,C384)</f>
        <v>0.02294921875</v>
      </c>
      <c r="D385" s="39" t="n">
        <f aca="false">(B385+C385)/2</f>
        <v>0.022216796875</v>
      </c>
      <c r="E385" s="15" t="n">
        <f aca="false">$C$2*(1+IF(E$3&lt;=$O$2,$D385,$D385-($D385-$I$373)*MIN(E$3-$O$2,$Q$2)/$Q$2))</f>
        <v>10794.609375</v>
      </c>
      <c r="F385" s="15" t="n">
        <f aca="false">E385*(1+IF(F$3&lt;=$O$2,$D385,$D385-($D385-$I$373)*MIN(F$3-$O$2,$Q$2)/$Q$2))</f>
        <v>11034.4310188293</v>
      </c>
      <c r="G385" s="15" t="n">
        <f aca="false">F385*(1+IF(G$3&lt;=$O$2,$D385,$D385-($D385-$I$373)*MIN(G$3-$O$2,$Q$2)/$Q$2))</f>
        <v>11279.5807314059</v>
      </c>
      <c r="H385" s="15" t="n">
        <f aca="false">G385*(1+IF(H$3&lt;=$O$2,$D385,$D385-($D385-$I$373)*MIN(H$3-$O$2,$Q$2)/$Q$2))</f>
        <v>11530.1768853507</v>
      </c>
      <c r="I385" s="15" t="n">
        <f aca="false">H385*(1+IF(I$3&lt;=$O$2,$D385,$D385-($D385-$I$373)*MIN(I$3-$O$2,$Q$2)/$Q$2))</f>
        <v>11786.3404831453</v>
      </c>
      <c r="J385" s="15" t="n">
        <f aca="false">I385*(1+IF(J$3&lt;=$O$2,$D385,$D385-($D385-$I$373)*MIN(J$3-$O$2,$Q$2)/$Q$2))</f>
        <v>12062.5349562109</v>
      </c>
      <c r="K385" s="15" t="n">
        <f aca="false">J385*(1+IF(K$3&lt;=$O$2,$D385,$D385-($D385-$I$373)*MIN(K$3-$O$2,$Q$2)/$Q$2))</f>
        <v>12359.877385267</v>
      </c>
      <c r="L385" s="15" t="n">
        <f aca="false">K385*(1+IF(L$3&lt;=$O$2,$D385,$D385-($D385-$I$373)*MIN(L$3-$O$2,$Q$2)/$Q$2))</f>
        <v>12679.5868573762</v>
      </c>
      <c r="M385" s="15" t="n">
        <f aca="false">L385*(1+IF(M$3&lt;=$O$2,$D385,$D385-($D385-$I$373)*MIN(M$3-$O$2,$Q$2)/$Q$2))</f>
        <v>13022.992664961</v>
      </c>
      <c r="N385" s="15" t="n">
        <f aca="false">M385*(1+IF(N$3&lt;=$O$2,$D385,$D385-($D385-$I$373)*MIN(N$3-$O$2,$Q$2)/$Q$2))</f>
        <v>13391.5433573794</v>
      </c>
      <c r="O385" s="15" t="n">
        <f aca="false">SUMPRODUCT(E385:N385,1/(1+$F$373)^$E$3:$N$3)*$E$2</f>
        <v>39823.0657584415</v>
      </c>
      <c r="P385" s="15" t="n">
        <f aca="false">N385*$E$2*(1+$I$373)/($F$373-$I$373)/(1+$F$373)^$N$3</f>
        <v>66662.1772961892</v>
      </c>
      <c r="Q385" s="15" t="n">
        <f aca="false">O385+P385</f>
        <v>106485.243054631</v>
      </c>
      <c r="R385" s="15" t="n">
        <f aca="false">Q385-$G$2+$I$2</f>
        <v>87025.2430546307</v>
      </c>
      <c r="S385" s="40" t="n">
        <f aca="false">R385/$K$2</f>
        <v>155.017444298314</v>
      </c>
      <c r="T385" s="41" t="n">
        <f aca="false">S385-$M$2</f>
        <v>-0.792242372271147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0.022216796875</v>
      </c>
      <c r="C386" s="25" t="n">
        <f aca="false">IF(T385&gt;0,D385,C385)</f>
        <v>0.02294921875</v>
      </c>
      <c r="D386" s="39" t="n">
        <f aca="false">(B386+C386)/2</f>
        <v>0.0225830078125</v>
      </c>
      <c r="E386" s="15" t="n">
        <f aca="false">$C$2*(1+IF(E$3&lt;=$O$2,$D386,$D386-($D386-$I$373)*MIN(E$3-$O$2,$Q$2)/$Q$2))</f>
        <v>10798.4765625</v>
      </c>
      <c r="F386" s="15" t="n">
        <f aca="false">E386*(1+IF(F$3&lt;=$O$2,$D386,$D386-($D386-$I$373)*MIN(F$3-$O$2,$Q$2)/$Q$2))</f>
        <v>11042.338643074</v>
      </c>
      <c r="G386" s="15" t="n">
        <f aca="false">F386*(1+IF(G$3&lt;=$O$2,$D386,$D386-($D386-$I$373)*MIN(G$3-$O$2,$Q$2)/$Q$2))</f>
        <v>11291.7078629188</v>
      </c>
      <c r="H386" s="15" t="n">
        <f aca="false">G386*(1+IF(H$3&lt;=$O$2,$D386,$D386-($D386-$I$373)*MIN(H$3-$O$2,$Q$2)/$Q$2))</f>
        <v>11546.7085898036</v>
      </c>
      <c r="I386" s="15" t="n">
        <f aca="false">H386*(1+IF(I$3&lt;=$O$2,$D386,$D386-($D386-$I$373)*MIN(I$3-$O$2,$Q$2)/$Q$2))</f>
        <v>11807.4680000958</v>
      </c>
      <c r="J386" s="15" t="n">
        <f aca="false">I386*(1+IF(J$3&lt;=$O$2,$D386,$D386-($D386-$I$373)*MIN(J$3-$O$2,$Q$2)/$Q$2))</f>
        <v>12087.61678265</v>
      </c>
      <c r="K386" s="15" t="n">
        <f aca="false">J386*(1+IF(K$3&lt;=$O$2,$D386,$D386-($D386-$I$373)*MIN(K$3-$O$2,$Q$2)/$Q$2))</f>
        <v>12388.2334511718</v>
      </c>
      <c r="L386" s="15" t="n">
        <f aca="false">K386*(1+IF(L$3&lt;=$O$2,$D386,$D386-($D386-$I$373)*MIN(L$3-$O$2,$Q$2)/$Q$2))</f>
        <v>12710.4910842971</v>
      </c>
      <c r="M386" s="15" t="n">
        <f aca="false">L386*(1+IF(M$3&lt;=$O$2,$D386,$D386-($D386-$I$373)*MIN(M$3-$O$2,$Q$2)/$Q$2))</f>
        <v>13055.664826337</v>
      </c>
      <c r="N386" s="15" t="n">
        <f aca="false">M386*(1+IF(N$3&lt;=$O$2,$D386,$D386-($D386-$I$373)*MIN(N$3-$O$2,$Q$2)/$Q$2))</f>
        <v>13425.1401409224</v>
      </c>
      <c r="O386" s="15" t="n">
        <f aca="false">SUMPRODUCT(E386:N386,1/(1+$F$373)^$E$3:$N$3)*$E$2</f>
        <v>39887.3235796198</v>
      </c>
      <c r="P386" s="15" t="n">
        <f aca="false">N386*$E$2*(1+$I$373)/($F$373-$I$373)/(1+$F$373)^$N$3</f>
        <v>66829.4197626736</v>
      </c>
      <c r="Q386" s="15" t="n">
        <f aca="false">O386+P386</f>
        <v>106716.743342293</v>
      </c>
      <c r="R386" s="15" t="n">
        <f aca="false">Q386-$G$2+$I$2</f>
        <v>87256.7433422934</v>
      </c>
      <c r="S386" s="40" t="n">
        <f aca="false">R386/$K$2</f>
        <v>155.429814108362</v>
      </c>
      <c r="T386" s="41" t="n">
        <f aca="false">S386-$M$2</f>
        <v>-0.379872562223369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0.0225830078125</v>
      </c>
      <c r="C387" s="25" t="n">
        <f aca="false">IF(T386&gt;0,D386,C386)</f>
        <v>0.02294921875</v>
      </c>
      <c r="D387" s="39" t="n">
        <f aca="false">(B387+C387)/2</f>
        <v>0.02276611328125</v>
      </c>
      <c r="E387" s="15" t="n">
        <f aca="false">$C$2*(1+IF(E$3&lt;=$O$2,$D387,$D387-($D387-$I$373)*MIN(E$3-$O$2,$Q$2)/$Q$2))</f>
        <v>10800.41015625</v>
      </c>
      <c r="F387" s="15" t="n">
        <f aca="false">E387*(1+IF(F$3&lt;=$O$2,$D387,$D387-($D387-$I$373)*MIN(F$3-$O$2,$Q$2)/$Q$2))</f>
        <v>11046.2935173512</v>
      </c>
      <c r="G387" s="15" t="n">
        <f aca="false">F387*(1+IF(G$3&lt;=$O$2,$D387,$D387-($D387-$I$373)*MIN(G$3-$O$2,$Q$2)/$Q$2))</f>
        <v>11297.7746869051</v>
      </c>
      <c r="H387" s="15" t="n">
        <f aca="false">G387*(1+IF(H$3&lt;=$O$2,$D387,$D387-($D387-$I$373)*MIN(H$3-$O$2,$Q$2)/$Q$2))</f>
        <v>11554.9811052532</v>
      </c>
      <c r="I387" s="15" t="n">
        <f aca="false">H387*(1+IF(I$3&lt;=$O$2,$D387,$D387-($D387-$I$373)*MIN(I$3-$O$2,$Q$2)/$Q$2))</f>
        <v>11818.0431140581</v>
      </c>
      <c r="J387" s="15" t="n">
        <f aca="false">I387*(1+IF(J$3&lt;=$O$2,$D387,$D387-($D387-$I$373)*MIN(J$3-$O$2,$Q$2)/$Q$2))</f>
        <v>12100.1739647216</v>
      </c>
      <c r="K387" s="15" t="n">
        <f aca="false">J387*(1+IF(K$3&lt;=$O$2,$D387,$D387-($D387-$I$373)*MIN(K$3-$O$2,$Q$2)/$Q$2))</f>
        <v>12402.4322927244</v>
      </c>
      <c r="L387" s="15" t="n">
        <f aca="false">K387*(1+IF(L$3&lt;=$O$2,$D387,$D387-($D387-$I$373)*MIN(L$3-$O$2,$Q$2)/$Q$2))</f>
        <v>12725.9676644706</v>
      </c>
      <c r="M387" s="15" t="n">
        <f aca="false">L387*(1+IF(M$3&lt;=$O$2,$D387,$D387-($D387-$I$373)*MIN(M$3-$O$2,$Q$2)/$Q$2))</f>
        <v>13072.0277366868</v>
      </c>
      <c r="N387" s="15" t="n">
        <f aca="false">M387*(1+IF(N$3&lt;=$O$2,$D387,$D387-($D387-$I$373)*MIN(N$3-$O$2,$Q$2)/$Q$2))</f>
        <v>13441.966121635</v>
      </c>
      <c r="O387" s="15" t="n">
        <f aca="false">SUMPRODUCT(E387:N387,1/(1+$F$373)^$E$3:$N$3)*$E$2</f>
        <v>39919.4918766463</v>
      </c>
      <c r="P387" s="15" t="n">
        <f aca="false">N387*$E$2*(1+$I$373)/($F$373-$I$373)/(1+$F$373)^$N$3</f>
        <v>66913.1783317581</v>
      </c>
      <c r="Q387" s="15" t="n">
        <f aca="false">O387+P387</f>
        <v>106832.670208404</v>
      </c>
      <c r="R387" s="15" t="n">
        <f aca="false">Q387-$G$2+$I$2</f>
        <v>87372.6702084045</v>
      </c>
      <c r="S387" s="40" t="n">
        <f aca="false">R387/$K$2</f>
        <v>155.636313807521</v>
      </c>
      <c r="T387" s="41" t="n">
        <f aca="false">S387-$M$2</f>
        <v>-0.173372863064031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0.02276611328125</v>
      </c>
      <c r="C388" s="25" t="n">
        <f aca="false">IF(T387&gt;0,D387,C387)</f>
        <v>0.02294921875</v>
      </c>
      <c r="D388" s="39" t="n">
        <f aca="false">(B388+C388)/2</f>
        <v>0.022857666015625</v>
      </c>
      <c r="E388" s="15" t="n">
        <f aca="false">$C$2*(1+IF(E$3&lt;=$O$2,$D388,$D388-($D388-$I$373)*MIN(E$3-$O$2,$Q$2)/$Q$2))</f>
        <v>10801.376953125</v>
      </c>
      <c r="F388" s="15" t="n">
        <f aca="false">E388*(1+IF(F$3&lt;=$O$2,$D388,$D388-($D388-$I$373)*MIN(F$3-$O$2,$Q$2)/$Q$2))</f>
        <v>11048.2712200284</v>
      </c>
      <c r="G388" s="15" t="n">
        <f aca="false">F388*(1+IF(G$3&lt;=$O$2,$D388,$D388-($D388-$I$373)*MIN(G$3-$O$2,$Q$2)/$Q$2))</f>
        <v>11300.8089136259</v>
      </c>
      <c r="H388" s="15" t="n">
        <f aca="false">G388*(1+IF(H$3&lt;=$O$2,$D388,$D388-($D388-$I$373)*MIN(H$3-$O$2,$Q$2)/$Q$2))</f>
        <v>11559.1190294799</v>
      </c>
      <c r="I388" s="15" t="n">
        <f aca="false">H388*(1+IF(I$3&lt;=$O$2,$D388,$D388-($D388-$I$373)*MIN(I$3-$O$2,$Q$2)/$Q$2))</f>
        <v>11823.3335116906</v>
      </c>
      <c r="J388" s="15" t="n">
        <f aca="false">I388*(1+IF(J$3&lt;=$O$2,$D388,$D388-($D388-$I$373)*MIN(J$3-$O$2,$Q$2)/$Q$2))</f>
        <v>12106.456626248</v>
      </c>
      <c r="K388" s="15" t="n">
        <f aca="false">J388*(1+IF(K$3&lt;=$O$2,$D388,$D388-($D388-$I$373)*MIN(K$3-$O$2,$Q$2)/$Q$2))</f>
        <v>12409.5369205744</v>
      </c>
      <c r="L388" s="15" t="n">
        <f aca="false">K388*(1+IF(L$3&lt;=$O$2,$D388,$D388-($D388-$I$373)*MIN(L$3-$O$2,$Q$2)/$Q$2))</f>
        <v>12733.7120776214</v>
      </c>
      <c r="M388" s="15" t="n">
        <f aca="false">L388*(1+IF(M$3&lt;=$O$2,$D388,$D388-($D388-$I$373)*MIN(M$3-$O$2,$Q$2)/$Q$2))</f>
        <v>13080.2159066206</v>
      </c>
      <c r="N388" s="15" t="n">
        <f aca="false">M388*(1+IF(N$3&lt;=$O$2,$D388,$D388-($D388-$I$373)*MIN(N$3-$O$2,$Q$2)/$Q$2))</f>
        <v>13450.386016778</v>
      </c>
      <c r="O388" s="15" t="n">
        <f aca="false">SUMPRODUCT(E388:N388,1/(1+$F$373)^$E$3:$N$3)*$E$2</f>
        <v>39935.5858805847</v>
      </c>
      <c r="P388" s="15" t="n">
        <f aca="false">N388*$E$2*(1+$I$373)/($F$373-$I$373)/(1+$F$373)^$N$3</f>
        <v>66955.0919878514</v>
      </c>
      <c r="Q388" s="15" t="n">
        <f aca="false">O388+P388</f>
        <v>106890.677868436</v>
      </c>
      <c r="R388" s="15" t="n">
        <f aca="false">Q388-$G$2+$I$2</f>
        <v>87430.6778684361</v>
      </c>
      <c r="S388" s="40" t="n">
        <f aca="false">R388/$K$2</f>
        <v>155.739642438298</v>
      </c>
      <c r="T388" s="41" t="n">
        <f aca="false">S388-$M$2</f>
        <v>-0.0700442322876143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0.022857666015625</v>
      </c>
      <c r="C389" s="25" t="n">
        <f aca="false">IF(T388&gt;0,D388,C388)</f>
        <v>0.02294921875</v>
      </c>
      <c r="D389" s="39" t="n">
        <f aca="false">(B389+C389)/2</f>
        <v>0.0229034423828125</v>
      </c>
      <c r="E389" s="15" t="n">
        <f aca="false">$C$2*(1+IF(E$3&lt;=$O$2,$D389,$D389-($D389-$I$373)*MIN(E$3-$O$2,$Q$2)/$Q$2))</f>
        <v>10801.8603515625</v>
      </c>
      <c r="F389" s="15" t="n">
        <f aca="false">E389*(1+IF(F$3&lt;=$O$2,$D389,$D389-($D389-$I$373)*MIN(F$3-$O$2,$Q$2)/$Q$2))</f>
        <v>11049.2601377517</v>
      </c>
      <c r="G389" s="15" t="n">
        <f aca="false">F389*(1+IF(G$3&lt;=$O$2,$D389,$D389-($D389-$I$373)*MIN(G$3-$O$2,$Q$2)/$Q$2))</f>
        <v>11302.3262306894</v>
      </c>
      <c r="H389" s="15" t="n">
        <f aca="false">G389*(1+IF(H$3&lt;=$O$2,$D389,$D389-($D389-$I$373)*MIN(H$3-$O$2,$Q$2)/$Q$2))</f>
        <v>11561.1884083057</v>
      </c>
      <c r="I389" s="15" t="n">
        <f aca="false">H389*(1+IF(I$3&lt;=$O$2,$D389,$D389-($D389-$I$373)*MIN(I$3-$O$2,$Q$2)/$Q$2))</f>
        <v>11825.9794208922</v>
      </c>
      <c r="J389" s="15" t="n">
        <f aca="false">I389*(1+IF(J$3&lt;=$O$2,$D389,$D389-($D389-$I$373)*MIN(J$3-$O$2,$Q$2)/$Q$2))</f>
        <v>12109.5989750439</v>
      </c>
      <c r="K389" s="15" t="n">
        <f aca="false">J389*(1+IF(K$3&lt;=$O$2,$D389,$D389-($D389-$I$373)*MIN(K$3-$O$2,$Q$2)/$Q$2))</f>
        <v>12413.0905368837</v>
      </c>
      <c r="L389" s="15" t="n">
        <f aca="false">K389*(1+IF(L$3&lt;=$O$2,$D389,$D389-($D389-$I$373)*MIN(L$3-$O$2,$Q$2)/$Q$2))</f>
        <v>12737.5858157616</v>
      </c>
      <c r="M389" s="15" t="n">
        <f aca="false">L389*(1+IF(M$3&lt;=$O$2,$D389,$D389-($D389-$I$373)*MIN(M$3-$O$2,$Q$2)/$Q$2))</f>
        <v>13084.311671196</v>
      </c>
      <c r="N389" s="15" t="n">
        <f aca="false">M389*(1+IF(N$3&lt;=$O$2,$D389,$D389-($D389-$I$373)*MIN(N$3-$O$2,$Q$2)/$Q$2))</f>
        <v>13454.5976914908</v>
      </c>
      <c r="O389" s="15" t="n">
        <f aca="false">SUMPRODUCT(E389:N389,1/(1+$F$373)^$E$3:$N$3)*$E$2</f>
        <v>39943.6353475128</v>
      </c>
      <c r="P389" s="15" t="n">
        <f aca="false">N389*$E$2*(1+$I$373)/($F$373-$I$373)/(1+$F$373)^$N$3</f>
        <v>66976.057413488</v>
      </c>
      <c r="Q389" s="15" t="n">
        <f aca="false">O389+P389</f>
        <v>106919.692761001</v>
      </c>
      <c r="R389" s="15" t="n">
        <f aca="false">Q389-$G$2+$I$2</f>
        <v>87459.6927610007</v>
      </c>
      <c r="S389" s="40" t="n">
        <f aca="false">R389/$K$2</f>
        <v>155.791326459326</v>
      </c>
      <c r="T389" s="41" t="n">
        <f aca="false">S389-$M$2</f>
        <v>-0.018360211260017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0.0229034423828125</v>
      </c>
      <c r="C390" s="25" t="n">
        <f aca="false">IF(T389&gt;0,D389,C389)</f>
        <v>0.02294921875</v>
      </c>
      <c r="D390" s="39" t="n">
        <f aca="false">(B390+C390)/2</f>
        <v>0.0229263305664063</v>
      </c>
      <c r="E390" s="15" t="n">
        <f aca="false">$C$2*(1+IF(E$3&lt;=$O$2,$D390,$D390-($D390-$I$373)*MIN(E$3-$O$2,$Q$2)/$Q$2))</f>
        <v>10802.1020507813</v>
      </c>
      <c r="F390" s="15" t="n">
        <f aca="false">E390*(1+IF(F$3&lt;=$O$2,$D390,$D390-($D390-$I$373)*MIN(F$3-$O$2,$Q$2)/$Q$2))</f>
        <v>11049.7546132095</v>
      </c>
      <c r="G390" s="15" t="n">
        <f aca="false">F390*(1+IF(G$3&lt;=$O$2,$D390,$D390-($D390-$I$373)*MIN(G$3-$O$2,$Q$2)/$Q$2))</f>
        <v>11303.0849401496</v>
      </c>
      <c r="H390" s="15" t="n">
        <f aca="false">G390*(1+IF(H$3&lt;=$O$2,$D390,$D390-($D390-$I$373)*MIN(H$3-$O$2,$Q$2)/$Q$2))</f>
        <v>11562.2232019077</v>
      </c>
      <c r="I390" s="15" t="n">
        <f aca="false">H390*(1+IF(I$3&lt;=$O$2,$D390,$D390-($D390-$I$373)*MIN(I$3-$O$2,$Q$2)/$Q$2))</f>
        <v>11827.3025531172</v>
      </c>
      <c r="J390" s="15" t="n">
        <f aca="false">I390*(1+IF(J$3&lt;=$O$2,$D390,$D390-($D390-$I$373)*MIN(J$3-$O$2,$Q$2)/$Q$2))</f>
        <v>12111.1704040012</v>
      </c>
      <c r="K390" s="15" t="n">
        <f aca="false">J390*(1+IF(K$3&lt;=$O$2,$D390,$D390-($D390-$I$373)*MIN(K$3-$O$2,$Q$2)/$Q$2))</f>
        <v>12414.8676707114</v>
      </c>
      <c r="L390" s="15" t="n">
        <f aca="false">K390*(1+IF(L$3&lt;=$O$2,$D390,$D390-($D390-$I$373)*MIN(L$3-$O$2,$Q$2)/$Q$2))</f>
        <v>12739.5230678228</v>
      </c>
      <c r="M390" s="15" t="n">
        <f aca="false">L390*(1+IF(M$3&lt;=$O$2,$D390,$D390-($D390-$I$373)*MIN(M$3-$O$2,$Q$2)/$Q$2))</f>
        <v>13086.3599735006</v>
      </c>
      <c r="N390" s="15" t="n">
        <f aca="false">M390*(1+IF(N$3&lt;=$O$2,$D390,$D390-($D390-$I$373)*MIN(N$3-$O$2,$Q$2)/$Q$2))</f>
        <v>13456.7039607506</v>
      </c>
      <c r="O390" s="15" t="n">
        <f aca="false">SUMPRODUCT(E390:N390,1/(1+$F$373)^$E$3:$N$3)*$E$2</f>
        <v>39947.6606973544</v>
      </c>
      <c r="P390" s="15" t="n">
        <f aca="false">N390*$E$2*(1+$I$373)/($F$373-$I$373)/(1+$F$373)^$N$3</f>
        <v>66986.5422762918</v>
      </c>
      <c r="Q390" s="15" t="n">
        <f aca="false">O390+P390</f>
        <v>106934.202973646</v>
      </c>
      <c r="R390" s="15" t="n">
        <f aca="false">Q390-$G$2+$I$2</f>
        <v>87474.2029736462</v>
      </c>
      <c r="S390" s="40" t="n">
        <f aca="false">R390/$K$2</f>
        <v>155.817173397542</v>
      </c>
      <c r="T390" s="41" t="n">
        <f aca="false">S390-$M$2</f>
        <v>0.00748672695661412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0.0229034423828125</v>
      </c>
      <c r="C391" s="25" t="n">
        <f aca="false">IF(T390&gt;0,D390,C390)</f>
        <v>0.0229263305664063</v>
      </c>
      <c r="D391" s="39" t="n">
        <f aca="false">(B391+C391)/2</f>
        <v>0.0229148864746094</v>
      </c>
      <c r="E391" s="15" t="n">
        <f aca="false">$C$2*(1+IF(E$3&lt;=$O$2,$D391,$D391-($D391-$I$373)*MIN(E$3-$O$2,$Q$2)/$Q$2))</f>
        <v>10801.9812011719</v>
      </c>
      <c r="F391" s="15" t="n">
        <f aca="false">E391*(1+IF(F$3&lt;=$O$2,$D391,$D391-($D391-$I$373)*MIN(F$3-$O$2,$Q$2)/$Q$2))</f>
        <v>11049.5073740976</v>
      </c>
      <c r="G391" s="15" t="n">
        <f aca="false">F391*(1+IF(G$3&lt;=$O$2,$D391,$D391-($D391-$I$373)*MIN(G$3-$O$2,$Q$2)/$Q$2))</f>
        <v>11302.7055811754</v>
      </c>
      <c r="H391" s="15" t="n">
        <f aca="false">G391*(1+IF(H$3&lt;=$O$2,$D391,$D391-($D391-$I$373)*MIN(H$3-$O$2,$Q$2)/$Q$2))</f>
        <v>11561.705796424</v>
      </c>
      <c r="I391" s="15" t="n">
        <f aca="false">H391*(1+IF(I$3&lt;=$O$2,$D391,$D391-($D391-$I$373)*MIN(I$3-$O$2,$Q$2)/$Q$2))</f>
        <v>11826.6409722019</v>
      </c>
      <c r="J391" s="15" t="n">
        <f aca="false">I391*(1+IF(J$3&lt;=$O$2,$D391,$D391-($D391-$I$373)*MIN(J$3-$O$2,$Q$2)/$Q$2))</f>
        <v>12110.3846683077</v>
      </c>
      <c r="K391" s="15" t="n">
        <f aca="false">J391*(1+IF(K$3&lt;=$O$2,$D391,$D391-($D391-$I$373)*MIN(K$3-$O$2,$Q$2)/$Q$2))</f>
        <v>12413.9790766558</v>
      </c>
      <c r="L391" s="15" t="n">
        <f aca="false">K391*(1+IF(L$3&lt;=$O$2,$D391,$D391-($D391-$I$373)*MIN(L$3-$O$2,$Q$2)/$Q$2))</f>
        <v>12738.5544098733</v>
      </c>
      <c r="M391" s="15" t="n">
        <f aca="false">L391*(1+IF(M$3&lt;=$O$2,$D391,$D391-($D391-$I$373)*MIN(M$3-$O$2,$Q$2)/$Q$2))</f>
        <v>13085.3357873434</v>
      </c>
      <c r="N391" s="15" t="n">
        <f aca="false">M391*(1+IF(N$3&lt;=$O$2,$D391,$D391-($D391-$I$373)*MIN(N$3-$O$2,$Q$2)/$Q$2))</f>
        <v>13455.6507901252</v>
      </c>
      <c r="O391" s="15" t="n">
        <f aca="false">SUMPRODUCT(E391:N391,1/(1+$F$373)^$E$3:$N$3)*$E$2</f>
        <v>39945.6479710647</v>
      </c>
      <c r="P391" s="15" t="n">
        <f aca="false">N391*$E$2*(1+$I$373)/($F$373-$I$373)/(1+$F$373)^$N$3</f>
        <v>66981.2996657069</v>
      </c>
      <c r="Q391" s="15" t="n">
        <f aca="false">O391+P391</f>
        <v>106926.947636772</v>
      </c>
      <c r="R391" s="15" t="n">
        <f aca="false">Q391-$G$2+$I$2</f>
        <v>87466.9476367716</v>
      </c>
      <c r="S391" s="40" t="n">
        <f aca="false">R391/$K$2</f>
        <v>155.804249517753</v>
      </c>
      <c r="T391" s="41" t="n">
        <f aca="false">S391-$M$2</f>
        <v>-0.0054371528320587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0.0229148864746094</v>
      </c>
      <c r="C392" s="25" t="n">
        <f aca="false">IF(T391&gt;0,D391,C391)</f>
        <v>0.0229263305664063</v>
      </c>
      <c r="D392" s="39" t="n">
        <f aca="false">(B392+C392)/2</f>
        <v>0.0229206085205078</v>
      </c>
      <c r="E392" s="15" t="n">
        <f aca="false">$C$2*(1+IF(E$3&lt;=$O$2,$D392,$D392-($D392-$I$373)*MIN(E$3-$O$2,$Q$2)/$Q$2))</f>
        <v>10802.0416259766</v>
      </c>
      <c r="F392" s="15" t="n">
        <f aca="false">E392*(1+IF(F$3&lt;=$O$2,$D392,$D392-($D392-$I$373)*MIN(F$3-$O$2,$Q$2)/$Q$2))</f>
        <v>11049.6309933078</v>
      </c>
      <c r="G392" s="15" t="n">
        <f aca="false">F392*(1+IF(G$3&lt;=$O$2,$D392,$D392-($D392-$I$373)*MIN(G$3-$O$2,$Q$2)/$Q$2))</f>
        <v>11302.8952596015</v>
      </c>
      <c r="H392" s="15" t="n">
        <f aca="false">G392*(1+IF(H$3&lt;=$O$2,$D392,$D392-($D392-$I$373)*MIN(H$3-$O$2,$Q$2)/$Q$2))</f>
        <v>11561.9644969951</v>
      </c>
      <c r="I392" s="15" t="n">
        <f aca="false">H392*(1+IF(I$3&lt;=$O$2,$D392,$D392-($D392-$I$373)*MIN(I$3-$O$2,$Q$2)/$Q$2))</f>
        <v>11826.9717589587</v>
      </c>
      <c r="J392" s="15" t="n">
        <f aca="false">I392*(1+IF(J$3&lt;=$O$2,$D392,$D392-($D392-$I$373)*MIN(J$3-$O$2,$Q$2)/$Q$2))</f>
        <v>12110.7775308506</v>
      </c>
      <c r="K392" s="15" t="n">
        <f aca="false">J392*(1+IF(K$3&lt;=$O$2,$D392,$D392-($D392-$I$373)*MIN(K$3-$O$2,$Q$2)/$Q$2))</f>
        <v>12414.423366898</v>
      </c>
      <c r="L392" s="15" t="n">
        <f aca="false">K392*(1+IF(L$3&lt;=$O$2,$D392,$D392-($D392-$I$373)*MIN(L$3-$O$2,$Q$2)/$Q$2))</f>
        <v>12739.0387308681</v>
      </c>
      <c r="M392" s="15" t="n">
        <f aca="false">L392*(1+IF(M$3&lt;=$O$2,$D392,$D392-($D392-$I$373)*MIN(M$3-$O$2,$Q$2)/$Q$2))</f>
        <v>13085.8478716705</v>
      </c>
      <c r="N392" s="15" t="n">
        <f aca="false">M392*(1+IF(N$3&lt;=$O$2,$D392,$D392-($D392-$I$373)*MIN(N$3-$O$2,$Q$2)/$Q$2))</f>
        <v>13456.1773664388</v>
      </c>
      <c r="O392" s="15" t="n">
        <f aca="false">SUMPRODUCT(E392:N392,1/(1+$F$373)^$E$3:$N$3)*$E$2</f>
        <v>39946.654321367</v>
      </c>
      <c r="P392" s="15" t="n">
        <f aca="false">N392*$E$2*(1+$I$373)/($F$373-$I$373)/(1+$F$373)^$N$3</f>
        <v>66983.9209262023</v>
      </c>
      <c r="Q392" s="15" t="n">
        <f aca="false">O392+P392</f>
        <v>106930.575247569</v>
      </c>
      <c r="R392" s="15" t="n">
        <f aca="false">Q392-$G$2+$I$2</f>
        <v>87470.5752475693</v>
      </c>
      <c r="S392" s="40" t="n">
        <f aca="false">R392/$K$2</f>
        <v>155.810711354975</v>
      </c>
      <c r="T392" s="41" t="n">
        <f aca="false">S392-$M$2</f>
        <v>0.00102468438930714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0.0229148864746094</v>
      </c>
      <c r="C393" s="25" t="n">
        <f aca="false">IF(T392&gt;0,D392,C392)</f>
        <v>0.0229206085205078</v>
      </c>
      <c r="D393" s="39" t="n">
        <f aca="false">(B393+C393)/2</f>
        <v>0.0229177474975586</v>
      </c>
      <c r="E393" s="15" t="n">
        <f aca="false">$C$2*(1+IF(E$3&lt;=$O$2,$D393,$D393-($D393-$I$373)*MIN(E$3-$O$2,$Q$2)/$Q$2))</f>
        <v>10802.0114135742</v>
      </c>
      <c r="F393" s="15" t="n">
        <f aca="false">E393*(1+IF(F$3&lt;=$O$2,$D393,$D393-($D393-$I$373)*MIN(F$3-$O$2,$Q$2)/$Q$2))</f>
        <v>11049.5691836163</v>
      </c>
      <c r="G393" s="15" t="n">
        <f aca="false">F393*(1+IF(G$3&lt;=$O$2,$D393,$D393-($D393-$I$373)*MIN(G$3-$O$2,$Q$2)/$Q$2))</f>
        <v>11302.8004201232</v>
      </c>
      <c r="H393" s="15" t="n">
        <f aca="false">G393*(1+IF(H$3&lt;=$O$2,$D393,$D393-($D393-$I$373)*MIN(H$3-$O$2,$Q$2)/$Q$2))</f>
        <v>11561.8351461669</v>
      </c>
      <c r="I393" s="15" t="n">
        <f aca="false">H393*(1+IF(I$3&lt;=$O$2,$D393,$D393-($D393-$I$373)*MIN(I$3-$O$2,$Q$2)/$Q$2))</f>
        <v>11826.8063646551</v>
      </c>
      <c r="J393" s="15" t="n">
        <f aca="false">I393*(1+IF(J$3&lt;=$O$2,$D393,$D393-($D393-$I$373)*MIN(J$3-$O$2,$Q$2)/$Q$2))</f>
        <v>12110.5810982532</v>
      </c>
      <c r="K393" s="15" t="n">
        <f aca="false">J393*(1+IF(K$3&lt;=$O$2,$D393,$D393-($D393-$I$373)*MIN(K$3-$O$2,$Q$2)/$Q$2))</f>
        <v>12414.2012200805</v>
      </c>
      <c r="L393" s="15" t="n">
        <f aca="false">K393*(1+IF(L$3&lt;=$O$2,$D393,$D393-($D393-$I$373)*MIN(L$3-$O$2,$Q$2)/$Q$2))</f>
        <v>12738.7965683758</v>
      </c>
      <c r="M393" s="15" t="n">
        <f aca="false">L393*(1+IF(M$3&lt;=$O$2,$D393,$D393-($D393-$I$373)*MIN(M$3-$O$2,$Q$2)/$Q$2))</f>
        <v>13085.5918273192</v>
      </c>
      <c r="N393" s="15" t="n">
        <f aca="false">M393*(1+IF(N$3&lt;=$O$2,$D393,$D393-($D393-$I$373)*MIN(N$3-$O$2,$Q$2)/$Q$2))</f>
        <v>13455.9140760323</v>
      </c>
      <c r="O393" s="15" t="n">
        <f aca="false">SUMPRODUCT(E393:N393,1/(1+$F$373)^$E$3:$N$3)*$E$2</f>
        <v>39946.1511430053</v>
      </c>
      <c r="P393" s="15" t="n">
        <f aca="false">N393*$E$2*(1+$I$373)/($F$373-$I$373)/(1+$F$373)^$N$3</f>
        <v>66982.6102847555</v>
      </c>
      <c r="Q393" s="15" t="n">
        <f aca="false">O393+P393</f>
        <v>106928.761427761</v>
      </c>
      <c r="R393" s="15" t="n">
        <f aca="false">Q393-$G$2+$I$2</f>
        <v>87468.7614277608</v>
      </c>
      <c r="S393" s="40" t="n">
        <f aca="false">R393/$K$2</f>
        <v>155.807480410696</v>
      </c>
      <c r="T393" s="41" t="n">
        <f aca="false">S393-$M$2</f>
        <v>-0.00220625988924894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0.0229177474975586</v>
      </c>
      <c r="C394" s="25" t="n">
        <f aca="false">IF(T393&gt;0,D393,C393)</f>
        <v>0.0229206085205078</v>
      </c>
      <c r="D394" s="39" t="n">
        <f aca="false">(B394+C394)/2</f>
        <v>0.0229191780090332</v>
      </c>
      <c r="E394" s="15" t="n">
        <f aca="false">$C$2*(1+IF(E$3&lt;=$O$2,$D394,$D394-($D394-$I$373)*MIN(E$3-$O$2,$Q$2)/$Q$2))</f>
        <v>10802.0265197754</v>
      </c>
      <c r="F394" s="15" t="n">
        <f aca="false">E394*(1+IF(F$3&lt;=$O$2,$D394,$D394-($D394-$I$373)*MIN(F$3-$O$2,$Q$2)/$Q$2))</f>
        <v>11049.6000884404</v>
      </c>
      <c r="G394" s="15" t="n">
        <f aca="false">F394*(1+IF(G$3&lt;=$O$2,$D394,$D394-($D394-$I$373)*MIN(G$3-$O$2,$Q$2)/$Q$2))</f>
        <v>11302.847839796</v>
      </c>
      <c r="H394" s="15" t="n">
        <f aca="false">G394*(1+IF(H$3&lt;=$O$2,$D394,$D394-($D394-$I$373)*MIN(H$3-$O$2,$Q$2)/$Q$2))</f>
        <v>11561.8998214453</v>
      </c>
      <c r="I394" s="15" t="n">
        <f aca="false">H394*(1+IF(I$3&lt;=$O$2,$D394,$D394-($D394-$I$373)*MIN(I$3-$O$2,$Q$2)/$Q$2))</f>
        <v>11826.8890615756</v>
      </c>
      <c r="J394" s="15" t="n">
        <f aca="false">I394*(1+IF(J$3&lt;=$O$2,$D394,$D394-($D394-$I$373)*MIN(J$3-$O$2,$Q$2)/$Q$2))</f>
        <v>12110.6793142204</v>
      </c>
      <c r="K394" s="15" t="n">
        <f aca="false">J394*(1+IF(K$3&lt;=$O$2,$D394,$D394-($D394-$I$373)*MIN(K$3-$O$2,$Q$2)/$Q$2))</f>
        <v>12414.3122930652</v>
      </c>
      <c r="L394" s="15" t="n">
        <f aca="false">K394*(1+IF(L$3&lt;=$O$2,$D394,$D394-($D394-$I$373)*MIN(L$3-$O$2,$Q$2)/$Q$2))</f>
        <v>12738.9176491232</v>
      </c>
      <c r="M394" s="15" t="n">
        <f aca="false">L394*(1+IF(M$3&lt;=$O$2,$D394,$D394-($D394-$I$373)*MIN(M$3-$O$2,$Q$2)/$Q$2))</f>
        <v>13085.7198489479</v>
      </c>
      <c r="N394" s="15" t="n">
        <f aca="false">M394*(1+IF(N$3&lt;=$O$2,$D394,$D394-($D394-$I$373)*MIN(N$3-$O$2,$Q$2)/$Q$2))</f>
        <v>13456.0457206731</v>
      </c>
      <c r="O394" s="15" t="n">
        <f aca="false">SUMPRODUCT(E394:N394,1/(1+$F$373)^$E$3:$N$3)*$E$2</f>
        <v>39946.4027313835</v>
      </c>
      <c r="P394" s="15" t="n">
        <f aca="false">N394*$E$2*(1+$I$373)/($F$373-$I$373)/(1+$F$373)^$N$3</f>
        <v>66983.2656026791</v>
      </c>
      <c r="Q394" s="15" t="n">
        <f aca="false">O394+P394</f>
        <v>106929.668334063</v>
      </c>
      <c r="R394" s="15" t="n">
        <f aca="false">Q394-$G$2+$I$2</f>
        <v>87469.6683340626</v>
      </c>
      <c r="S394" s="40" t="n">
        <f aca="false">R394/$K$2</f>
        <v>155.809095876419</v>
      </c>
      <c r="T394" s="41" t="n">
        <f aca="false">S394-$M$2</f>
        <v>-0.000590794166981823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0.0229191780090332</v>
      </c>
      <c r="C395" s="25" t="n">
        <f aca="false">IF(T394&gt;0,D394,C394)</f>
        <v>0.0229206085205078</v>
      </c>
      <c r="D395" s="39" t="n">
        <f aca="false">(B395+C395)/2</f>
        <v>0.0229198932647705</v>
      </c>
      <c r="E395" s="15" t="n">
        <f aca="false">$C$2*(1+IF(E$3&lt;=$O$2,$D395,$D395-($D395-$I$373)*MIN(E$3-$O$2,$Q$2)/$Q$2))</f>
        <v>10802.034072876</v>
      </c>
      <c r="F395" s="15" t="n">
        <f aca="false">E395*(1+IF(F$3&lt;=$O$2,$D395,$D395-($D395-$I$373)*MIN(F$3-$O$2,$Q$2)/$Q$2))</f>
        <v>11049.6155408687</v>
      </c>
      <c r="G395" s="15" t="n">
        <f aca="false">F395*(1+IF(G$3&lt;=$O$2,$D395,$D395-($D395-$I$373)*MIN(G$3-$O$2,$Q$2)/$Q$2))</f>
        <v>11302.8715496822</v>
      </c>
      <c r="H395" s="15" t="n">
        <f aca="false">G395*(1+IF(H$3&lt;=$O$2,$D395,$D395-($D395-$I$373)*MIN(H$3-$O$2,$Q$2)/$Q$2))</f>
        <v>11561.9321591863</v>
      </c>
      <c r="I395" s="15" t="n">
        <f aca="false">H395*(1+IF(I$3&lt;=$O$2,$D395,$D395-($D395-$I$373)*MIN(I$3-$O$2,$Q$2)/$Q$2))</f>
        <v>11826.9304102094</v>
      </c>
      <c r="J395" s="15" t="n">
        <f aca="false">I395*(1+IF(J$3&lt;=$O$2,$D395,$D395-($D395-$I$373)*MIN(J$3-$O$2,$Q$2)/$Q$2))</f>
        <v>12110.7284224526</v>
      </c>
      <c r="K395" s="15" t="n">
        <f aca="false">J395*(1+IF(K$3&lt;=$O$2,$D395,$D395-($D395-$I$373)*MIN(K$3-$O$2,$Q$2)/$Q$2))</f>
        <v>12414.3678298755</v>
      </c>
      <c r="L395" s="15" t="n">
        <f aca="false">K395*(1+IF(L$3&lt;=$O$2,$D395,$D395-($D395-$I$373)*MIN(L$3-$O$2,$Q$2)/$Q$2))</f>
        <v>12738.978189871</v>
      </c>
      <c r="M395" s="15" t="n">
        <f aca="false">L395*(1+IF(M$3&lt;=$O$2,$D395,$D395-($D395-$I$373)*MIN(M$3-$O$2,$Q$2)/$Q$2))</f>
        <v>13085.7838601725</v>
      </c>
      <c r="N395" s="15" t="n">
        <f aca="false">M395*(1+IF(N$3&lt;=$O$2,$D395,$D395-($D395-$I$373)*MIN(N$3-$O$2,$Q$2)/$Q$2))</f>
        <v>13456.1115434153</v>
      </c>
      <c r="O395" s="15" t="n">
        <f aca="false">SUMPRODUCT(E395:N395,1/(1+$F$373)^$E$3:$N$3)*$E$2</f>
        <v>39946.5285261746</v>
      </c>
      <c r="P395" s="15" t="n">
        <f aca="false">N395*$E$2*(1+$I$373)/($F$373-$I$373)/(1+$F$373)^$N$3</f>
        <v>66983.5932637407</v>
      </c>
      <c r="Q395" s="15" t="n">
        <f aca="false">O395+P395</f>
        <v>106930.121789915</v>
      </c>
      <c r="R395" s="15" t="n">
        <f aca="false">Q395-$G$2+$I$2</f>
        <v>87470.1217899153</v>
      </c>
      <c r="S395" s="40" t="n">
        <f aca="false">R395/$K$2</f>
        <v>155.809903614092</v>
      </c>
      <c r="T395" s="41" t="n">
        <f aca="false">S395-$M$2</f>
        <v>0.000216943506870848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0.0229191780090332</v>
      </c>
      <c r="C396" s="25" t="n">
        <f aca="false">IF(T395&gt;0,D395,C395)</f>
        <v>0.0229198932647705</v>
      </c>
      <c r="D396" s="39" t="n">
        <f aca="false">(B396+C396)/2</f>
        <v>0.0229195356369019</v>
      </c>
      <c r="E396" s="15" t="n">
        <f aca="false">$C$2*(1+IF(E$3&lt;=$O$2,$D396,$D396-($D396-$I$373)*MIN(E$3-$O$2,$Q$2)/$Q$2))</f>
        <v>10802.0302963257</v>
      </c>
      <c r="F396" s="15" t="n">
        <f aca="false">E396*(1+IF(F$3&lt;=$O$2,$D396,$D396-($D396-$I$373)*MIN(F$3-$O$2,$Q$2)/$Q$2))</f>
        <v>11049.6078146532</v>
      </c>
      <c r="G396" s="15" t="n">
        <f aca="false">F396*(1+IF(G$3&lt;=$O$2,$D396,$D396-($D396-$I$373)*MIN(G$3-$O$2,$Q$2)/$Q$2))</f>
        <v>11302.8596947349</v>
      </c>
      <c r="H396" s="15" t="n">
        <f aca="false">G396*(1+IF(H$3&lt;=$O$2,$D396,$D396-($D396-$I$373)*MIN(H$3-$O$2,$Q$2)/$Q$2))</f>
        <v>11561.9159903073</v>
      </c>
      <c r="I396" s="15" t="n">
        <f aca="false">H396*(1+IF(I$3&lt;=$O$2,$D396,$D396-($D396-$I$373)*MIN(I$3-$O$2,$Q$2)/$Q$2))</f>
        <v>11826.909735878</v>
      </c>
      <c r="J396" s="15" t="n">
        <f aca="false">I396*(1+IF(J$3&lt;=$O$2,$D396,$D396-($D396-$I$373)*MIN(J$3-$O$2,$Q$2)/$Q$2))</f>
        <v>12110.7038683158</v>
      </c>
      <c r="K396" s="15" t="n">
        <f aca="false">J396*(1+IF(K$3&lt;=$O$2,$D396,$D396-($D396-$I$373)*MIN(K$3-$O$2,$Q$2)/$Q$2))</f>
        <v>12414.3400614438</v>
      </c>
      <c r="L396" s="15" t="n">
        <f aca="false">K396*(1+IF(L$3&lt;=$O$2,$D396,$D396-($D396-$I$373)*MIN(L$3-$O$2,$Q$2)/$Q$2))</f>
        <v>12738.9479194659</v>
      </c>
      <c r="M396" s="15" t="n">
        <f aca="false">L396*(1+IF(M$3&lt;=$O$2,$D396,$D396-($D396-$I$373)*MIN(M$3-$O$2,$Q$2)/$Q$2))</f>
        <v>13085.751854526</v>
      </c>
      <c r="N396" s="15" t="n">
        <f aca="false">M396*(1+IF(N$3&lt;=$O$2,$D396,$D396-($D396-$I$373)*MIN(N$3-$O$2,$Q$2)/$Q$2))</f>
        <v>13456.0786320091</v>
      </c>
      <c r="O396" s="15" t="n">
        <f aca="false">SUMPRODUCT(E396:N396,1/(1+$F$373)^$E$3:$N$3)*$E$2</f>
        <v>39946.4656287289</v>
      </c>
      <c r="P396" s="15" t="n">
        <f aca="false">N396*$E$2*(1+$I$373)/($F$373-$I$373)/(1+$F$373)^$N$3</f>
        <v>66983.429433035</v>
      </c>
      <c r="Q396" s="15" t="n">
        <f aca="false">O396+P396</f>
        <v>106929.895061764</v>
      </c>
      <c r="R396" s="15" t="n">
        <f aca="false">Q396-$G$2+$I$2</f>
        <v>87469.8950617638</v>
      </c>
      <c r="S396" s="40" t="n">
        <f aca="false">R396/$K$2</f>
        <v>155.809499744854</v>
      </c>
      <c r="T396" s="41" t="n">
        <f aca="false">S396-$M$2</f>
        <v>-0.000186925731100018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0.0229195356369019</v>
      </c>
      <c r="C397" s="25" t="n">
        <f aca="false">IF(T396&gt;0,D396,C396)</f>
        <v>0.0229198932647705</v>
      </c>
      <c r="D397" s="39" t="n">
        <f aca="false">(B397+C397)/2</f>
        <v>0.0229197144508362</v>
      </c>
      <c r="E397" s="15" t="n">
        <f aca="false">$C$2*(1+IF(E$3&lt;=$O$2,$D397,$D397-($D397-$I$373)*MIN(E$3-$O$2,$Q$2)/$Q$2))</f>
        <v>10802.0321846008</v>
      </c>
      <c r="F397" s="15" t="n">
        <f aca="false">E397*(1+IF(F$3&lt;=$O$2,$D397,$D397-($D397-$I$373)*MIN(F$3-$O$2,$Q$2)/$Q$2))</f>
        <v>11049.6116777606</v>
      </c>
      <c r="G397" s="15" t="n">
        <f aca="false">F397*(1+IF(G$3&lt;=$O$2,$D397,$D397-($D397-$I$373)*MIN(G$3-$O$2,$Q$2)/$Q$2))</f>
        <v>11302.8656222075</v>
      </c>
      <c r="H397" s="15" t="n">
        <f aca="false">G397*(1+IF(H$3&lt;=$O$2,$D397,$D397-($D397-$I$373)*MIN(H$3-$O$2,$Q$2)/$Q$2))</f>
        <v>11561.9240747447</v>
      </c>
      <c r="I397" s="15" t="n">
        <f aca="false">H397*(1+IF(I$3&lt;=$O$2,$D397,$D397-($D397-$I$373)*MIN(I$3-$O$2,$Q$2)/$Q$2))</f>
        <v>11826.9200730401</v>
      </c>
      <c r="J397" s="15" t="n">
        <f aca="false">I397*(1+IF(J$3&lt;=$O$2,$D397,$D397-($D397-$I$373)*MIN(J$3-$O$2,$Q$2)/$Q$2))</f>
        <v>12110.716145379</v>
      </c>
      <c r="K397" s="15" t="n">
        <f aca="false">J397*(1+IF(K$3&lt;=$O$2,$D397,$D397-($D397-$I$373)*MIN(K$3-$O$2,$Q$2)/$Q$2))</f>
        <v>12414.3539456531</v>
      </c>
      <c r="L397" s="15" t="n">
        <f aca="false">K397*(1+IF(L$3&lt;=$O$2,$D397,$D397-($D397-$I$373)*MIN(L$3-$O$2,$Q$2)/$Q$2))</f>
        <v>12738.9630546607</v>
      </c>
      <c r="M397" s="15" t="n">
        <f aca="false">L397*(1+IF(M$3&lt;=$O$2,$D397,$D397-($D397-$I$373)*MIN(M$3-$O$2,$Q$2)/$Q$2))</f>
        <v>13085.7678573407</v>
      </c>
      <c r="N397" s="15" t="n">
        <f aca="false">M397*(1+IF(N$3&lt;=$O$2,$D397,$D397-($D397-$I$373)*MIN(N$3-$O$2,$Q$2)/$Q$2))</f>
        <v>13456.0950877034</v>
      </c>
      <c r="O397" s="15" t="n">
        <f aca="false">SUMPRODUCT(E397:N397,1/(1+$F$373)^$E$3:$N$3)*$E$2</f>
        <v>39946.4970774392</v>
      </c>
      <c r="P397" s="15" t="n">
        <f aca="false">N397*$E$2*(1+$I$373)/($F$373-$I$373)/(1+$F$373)^$N$3</f>
        <v>66983.5113483441</v>
      </c>
      <c r="Q397" s="15" t="n">
        <f aca="false">O397+P397</f>
        <v>106930.008425783</v>
      </c>
      <c r="R397" s="15" t="n">
        <f aca="false">Q397-$G$2+$I$2</f>
        <v>87470.0084257833</v>
      </c>
      <c r="S397" s="40" t="n">
        <f aca="false">R397/$K$2</f>
        <v>155.809701679373</v>
      </c>
      <c r="T397" s="41" t="n">
        <f aca="false">S397-$M$2</f>
        <v>1.5008787613624E-005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0.0229195356369019</v>
      </c>
      <c r="C398" s="25" t="n">
        <f aca="false">IF(T397&gt;0,D397,C397)</f>
        <v>0.0229197144508362</v>
      </c>
      <c r="D398" s="39" t="n">
        <f aca="false">(B398+C398)/2</f>
        <v>0.022919625043869</v>
      </c>
      <c r="E398" s="15" t="n">
        <f aca="false">$C$2*(1+IF(E$3&lt;=$O$2,$D398,$D398-($D398-$I$373)*MIN(E$3-$O$2,$Q$2)/$Q$2))</f>
        <v>10802.0312404633</v>
      </c>
      <c r="F398" s="15" t="n">
        <f aca="false">E398*(1+IF(F$3&lt;=$O$2,$D398,$D398-($D398-$I$373)*MIN(F$3-$O$2,$Q$2)/$Q$2))</f>
        <v>11049.6097462068</v>
      </c>
      <c r="G398" s="15" t="n">
        <f aca="false">F398*(1+IF(G$3&lt;=$O$2,$D398,$D398-($D398-$I$373)*MIN(G$3-$O$2,$Q$2)/$Q$2))</f>
        <v>11302.862658471</v>
      </c>
      <c r="H398" s="15" t="n">
        <f aca="false">G398*(1+IF(H$3&lt;=$O$2,$D398,$D398-($D398-$I$373)*MIN(H$3-$O$2,$Q$2)/$Q$2))</f>
        <v>11561.9200325255</v>
      </c>
      <c r="I398" s="15" t="n">
        <f aca="false">H398*(1+IF(I$3&lt;=$O$2,$D398,$D398-($D398-$I$373)*MIN(I$3-$O$2,$Q$2)/$Q$2))</f>
        <v>11826.9149044582</v>
      </c>
      <c r="J398" s="15" t="n">
        <f aca="false">I398*(1+IF(J$3&lt;=$O$2,$D398,$D398-($D398-$I$373)*MIN(J$3-$O$2,$Q$2)/$Q$2))</f>
        <v>12110.7100068461</v>
      </c>
      <c r="K398" s="15" t="n">
        <f aca="false">J398*(1+IF(K$3&lt;=$O$2,$D398,$D398-($D398-$I$373)*MIN(K$3-$O$2,$Q$2)/$Q$2))</f>
        <v>12414.3470035468</v>
      </c>
      <c r="L398" s="15" t="n">
        <f aca="false">K398*(1+IF(L$3&lt;=$O$2,$D398,$D398-($D398-$I$373)*MIN(L$3-$O$2,$Q$2)/$Q$2))</f>
        <v>12738.9554870613</v>
      </c>
      <c r="M398" s="15" t="n">
        <f aca="false">L398*(1+IF(M$3&lt;=$O$2,$D398,$D398-($D398-$I$373)*MIN(M$3-$O$2,$Q$2)/$Q$2))</f>
        <v>13085.7598559312</v>
      </c>
      <c r="N398" s="15" t="n">
        <f aca="false">M398*(1+IF(N$3&lt;=$O$2,$D398,$D398-($D398-$I$373)*MIN(N$3-$O$2,$Q$2)/$Q$2))</f>
        <v>13456.0868598541</v>
      </c>
      <c r="O398" s="15" t="n">
        <f aca="false">SUMPRODUCT(E398:N398,1/(1+$F$373)^$E$3:$N$3)*$E$2</f>
        <v>39946.4813530809</v>
      </c>
      <c r="P398" s="15" t="n">
        <f aca="false">N398*$E$2*(1+$I$373)/($F$373-$I$373)/(1+$F$373)^$N$3</f>
        <v>66983.4703906786</v>
      </c>
      <c r="Q398" s="15" t="n">
        <f aca="false">O398+P398</f>
        <v>106929.951743759</v>
      </c>
      <c r="R398" s="15" t="n">
        <f aca="false">Q398-$G$2+$I$2</f>
        <v>87469.9517437595</v>
      </c>
      <c r="S398" s="40" t="n">
        <f aca="false">R398/$K$2</f>
        <v>155.809600712089</v>
      </c>
      <c r="T398" s="41" t="n">
        <f aca="false">S398-$M$2</f>
        <v>-8.59584968395666E-005</v>
      </c>
    </row>
    <row r="400" customFormat="false" ht="15" hidden="false" customHeight="false" outlineLevel="0" collapsed="false">
      <c r="A400" s="36" t="s">
        <v>200</v>
      </c>
      <c r="E400" s="5" t="s">
        <v>11</v>
      </c>
      <c r="F400" s="12" t="n">
        <f aca="false">Sensitivity!$B$12</f>
        <v>0.0770172026214128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6" t="s">
        <v>167</v>
      </c>
      <c r="B401" s="28" t="s">
        <v>168</v>
      </c>
      <c r="C401" s="28" t="s">
        <v>169</v>
      </c>
      <c r="D401" s="28" t="s">
        <v>170</v>
      </c>
      <c r="E401" s="28" t="s">
        <v>171</v>
      </c>
      <c r="F401" s="28" t="s">
        <v>172</v>
      </c>
      <c r="G401" s="28" t="s">
        <v>173</v>
      </c>
      <c r="H401" s="28" t="s">
        <v>174</v>
      </c>
      <c r="I401" s="28" t="s">
        <v>175</v>
      </c>
      <c r="J401" s="28" t="s">
        <v>176</v>
      </c>
      <c r="K401" s="28" t="s">
        <v>177</v>
      </c>
      <c r="L401" s="28" t="s">
        <v>178</v>
      </c>
      <c r="M401" s="28" t="s">
        <v>179</v>
      </c>
      <c r="N401" s="28" t="s">
        <v>180</v>
      </c>
      <c r="O401" s="28" t="s">
        <v>181</v>
      </c>
      <c r="P401" s="28" t="s">
        <v>182</v>
      </c>
      <c r="Q401" s="28" t="s">
        <v>183</v>
      </c>
      <c r="R401" s="28" t="s">
        <v>184</v>
      </c>
      <c r="S401" s="28" t="s">
        <v>185</v>
      </c>
      <c r="T401" s="28" t="s">
        <v>186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39" t="n">
        <f aca="false">(B402+C402)/2</f>
        <v>0.25</v>
      </c>
      <c r="E402" s="15" t="n">
        <f aca="false">$C$2*(1+IF(E$3&lt;=$O$2,$D402,$D402-($D402-$I$400)*MIN(E$3-$O$2,$Q$2)/$Q$2))</f>
        <v>13200</v>
      </c>
      <c r="F402" s="15" t="n">
        <f aca="false">E402*(1+IF(F$3&lt;=$O$2,$D402,$D402-($D402-$I$400)*MIN(F$3-$O$2,$Q$2)/$Q$2))</f>
        <v>16500</v>
      </c>
      <c r="G402" s="15" t="n">
        <f aca="false">F402*(1+IF(G$3&lt;=$O$2,$D402,$D402-($D402-$I$400)*MIN(G$3-$O$2,$Q$2)/$Q$2))</f>
        <v>20625</v>
      </c>
      <c r="H402" s="15" t="n">
        <f aca="false">G402*(1+IF(H$3&lt;=$O$2,$D402,$D402-($D402-$I$400)*MIN(H$3-$O$2,$Q$2)/$Q$2))</f>
        <v>25781.25</v>
      </c>
      <c r="I402" s="15" t="n">
        <f aca="false">H402*(1+IF(I$3&lt;=$O$2,$D402,$D402-($D402-$I$400)*MIN(I$3-$O$2,$Q$2)/$Q$2))</f>
        <v>32226.5625</v>
      </c>
      <c r="J402" s="15" t="n">
        <f aca="false">I402*(1+IF(J$3&lt;=$O$2,$D402,$D402-($D402-$I$400)*MIN(J$3-$O$2,$Q$2)/$Q$2))</f>
        <v>38886.50390625</v>
      </c>
      <c r="K402" s="15" t="n">
        <f aca="false">J402*(1+IF(K$3&lt;=$O$2,$D402,$D402-($D402-$I$400)*MIN(K$3-$O$2,$Q$2)/$Q$2))</f>
        <v>45237.4477242188</v>
      </c>
      <c r="L402" s="15" t="n">
        <f aca="false">K402*(1+IF(L$3&lt;=$O$2,$D402,$D402-($D402-$I$400)*MIN(L$3-$O$2,$Q$2)/$Q$2))</f>
        <v>50665.0367021705</v>
      </c>
      <c r="M402" s="15" t="n">
        <f aca="false">L402*(1+IF(M$3&lt;=$O$2,$D402,$D402-($D402-$I$400)*MIN(M$3-$O$2,$Q$2)/$Q$2))</f>
        <v>54548.0051150249</v>
      </c>
      <c r="N402" s="15" t="n">
        <f aca="false">M402*(1+IF(N$3&lt;=$O$2,$D402,$D402-($D402-$I$400)*MIN(N$3-$O$2,$Q$2)/$Q$2))</f>
        <v>56364.4536853552</v>
      </c>
      <c r="O402" s="15" t="n">
        <f aca="false">SUMPRODUCT(E402:N402,1/(1+$F$400)^$E$3:$N$3)*$E$2</f>
        <v>108470.908001726</v>
      </c>
      <c r="P402" s="15" t="n">
        <f aca="false">N402*$E$2*(1+$I$400)/($F$400-$I$400)/(1+$F$400)^$N$3</f>
        <v>314188.826685059</v>
      </c>
      <c r="Q402" s="15" t="n">
        <f aca="false">O402+P402</f>
        <v>422659.734686785</v>
      </c>
      <c r="R402" s="15" t="n">
        <f aca="false">Q402-$G$2+$I$2</f>
        <v>403199.734686785</v>
      </c>
      <c r="S402" s="40" t="n">
        <f aca="false">R402/$K$2</f>
        <v>718.216809502815</v>
      </c>
      <c r="T402" s="41" t="n">
        <f aca="false">S402-$M$2</f>
        <v>562.40712283223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39" t="n">
        <f aca="false">(B403+C403)/2</f>
        <v>-0.125</v>
      </c>
      <c r="E403" s="15" t="n">
        <f aca="false">$C$2*(1+IF(E$3&lt;=$O$2,$D403,$D403-($D403-$I$400)*MIN(E$3-$O$2,$Q$2)/$Q$2))</f>
        <v>9240</v>
      </c>
      <c r="F403" s="15" t="n">
        <f aca="false">E403*(1+IF(F$3&lt;=$O$2,$D403,$D403-($D403-$I$400)*MIN(F$3-$O$2,$Q$2)/$Q$2))</f>
        <v>8085</v>
      </c>
      <c r="G403" s="15" t="n">
        <f aca="false">F403*(1+IF(G$3&lt;=$O$2,$D403,$D403-($D403-$I$400)*MIN(G$3-$O$2,$Q$2)/$Q$2))</f>
        <v>7074.375</v>
      </c>
      <c r="H403" s="15" t="n">
        <f aca="false">G403*(1+IF(H$3&lt;=$O$2,$D403,$D403-($D403-$I$400)*MIN(H$3-$O$2,$Q$2)/$Q$2))</f>
        <v>6190.078125</v>
      </c>
      <c r="I403" s="15" t="n">
        <f aca="false">H403*(1+IF(I$3&lt;=$O$2,$D403,$D403-($D403-$I$400)*MIN(I$3-$O$2,$Q$2)/$Q$2))</f>
        <v>5416.318359375</v>
      </c>
      <c r="J403" s="15" t="n">
        <f aca="false">I403*(1+IF(J$3&lt;=$O$2,$D403,$D403-($D403-$I$400)*MIN(J$3-$O$2,$Q$2)/$Q$2))</f>
        <v>4910.75920371094</v>
      </c>
      <c r="K403" s="15" t="n">
        <f aca="false">J403*(1+IF(K$3&lt;=$O$2,$D403,$D403-($D403-$I$400)*MIN(K$3-$O$2,$Q$2)/$Q$2))</f>
        <v>4607.86357602605</v>
      </c>
      <c r="L403" s="15" t="n">
        <f aca="false">K403*(1+IF(L$3&lt;=$O$2,$D403,$D403-($D403-$I$400)*MIN(L$3-$O$2,$Q$2)/$Q$2))</f>
        <v>4469.53551147375</v>
      </c>
      <c r="M403" s="15" t="n">
        <f aca="false">L403*(1+IF(M$3&lt;=$O$2,$D403,$D403-($D403-$I$400)*MIN(M$3-$O$2,$Q$2)/$Q$2))</f>
        <v>4476.86554971256</v>
      </c>
      <c r="N403" s="15" t="n">
        <f aca="false">M403*(1+IF(N$3&lt;=$O$2,$D403,$D403-($D403-$I$400)*MIN(N$3-$O$2,$Q$2)/$Q$2))</f>
        <v>4625.94517251799</v>
      </c>
      <c r="O403" s="15" t="n">
        <f aca="false">SUMPRODUCT(E403:N403,1/(1+$F$400)^$E$3:$N$3)*$E$2</f>
        <v>21001.8087985896</v>
      </c>
      <c r="P403" s="15" t="n">
        <f aca="false">N403*$E$2*(1+$I$400)/($F$400-$I$400)/(1+$F$400)^$N$3</f>
        <v>25786.1150251949</v>
      </c>
      <c r="Q403" s="15" t="n">
        <f aca="false">O403+P403</f>
        <v>46787.9238237845</v>
      </c>
      <c r="R403" s="15" t="n">
        <f aca="false">Q403-$G$2+$I$2</f>
        <v>27327.9238237845</v>
      </c>
      <c r="S403" s="40" t="n">
        <f aca="false">R403/$K$2</f>
        <v>48.6790356504115</v>
      </c>
      <c r="T403" s="41" t="n">
        <f aca="false">S403-$M$2</f>
        <v>-107.130651020174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39" t="n">
        <f aca="false">(B404+C404)/2</f>
        <v>0.0625</v>
      </c>
      <c r="E404" s="15" t="n">
        <f aca="false">$C$2*(1+IF(E$3&lt;=$O$2,$D404,$D404-($D404-$I$400)*MIN(E$3-$O$2,$Q$2)/$Q$2))</f>
        <v>11220</v>
      </c>
      <c r="F404" s="15" t="n">
        <f aca="false">E404*(1+IF(F$3&lt;=$O$2,$D404,$D404-($D404-$I$400)*MIN(F$3-$O$2,$Q$2)/$Q$2))</f>
        <v>11921.25</v>
      </c>
      <c r="G404" s="15" t="n">
        <f aca="false">F404*(1+IF(G$3&lt;=$O$2,$D404,$D404-($D404-$I$400)*MIN(G$3-$O$2,$Q$2)/$Q$2))</f>
        <v>12666.328125</v>
      </c>
      <c r="H404" s="15" t="n">
        <f aca="false">G404*(1+IF(H$3&lt;=$O$2,$D404,$D404-($D404-$I$400)*MIN(H$3-$O$2,$Q$2)/$Q$2))</f>
        <v>13457.9736328125</v>
      </c>
      <c r="I404" s="15" t="n">
        <f aca="false">H404*(1+IF(I$3&lt;=$O$2,$D404,$D404-($D404-$I$400)*MIN(I$3-$O$2,$Q$2)/$Q$2))</f>
        <v>14299.0969848633</v>
      </c>
      <c r="J404" s="15" t="n">
        <f aca="false">I404*(1+IF(J$3&lt;=$O$2,$D404,$D404-($D404-$I$400)*MIN(J$3-$O$2,$Q$2)/$Q$2))</f>
        <v>15109.2838200256</v>
      </c>
      <c r="K404" s="15" t="n">
        <f aca="false">J404*(1+IF(K$3&lt;=$O$2,$D404,$D404-($D404-$I$400)*MIN(K$3-$O$2,$Q$2)/$Q$2))</f>
        <v>15877.1376237593</v>
      </c>
      <c r="L404" s="15" t="n">
        <f aca="false">K404*(1+IF(L$3&lt;=$O$2,$D404,$D404-($D404-$I$400)*MIN(L$3-$O$2,$Q$2)/$Q$2))</f>
        <v>16591.291274076</v>
      </c>
      <c r="M404" s="15" t="n">
        <f aca="false">L404*(1+IF(M$3&lt;=$O$2,$D404,$D404-($D404-$I$400)*MIN(M$3-$O$2,$Q$2)/$Q$2))</f>
        <v>17240.6744145434</v>
      </c>
      <c r="N404" s="15" t="n">
        <f aca="false">M404*(1+IF(N$3&lt;=$O$2,$D404,$D404-($D404-$I$400)*MIN(N$3-$O$2,$Q$2)/$Q$2))</f>
        <v>17814.7888725477</v>
      </c>
      <c r="O404" s="15" t="n">
        <f aca="false">SUMPRODUCT(E404:N404,1/(1+$F$400)^$E$3:$N$3)*$E$2</f>
        <v>47703.0839314039</v>
      </c>
      <c r="P404" s="15" t="n">
        <f aca="false">N404*$E$2*(1+$I$400)/($F$400-$I$400)/(1+$F$400)^$N$3</f>
        <v>99303.8563764539</v>
      </c>
      <c r="Q404" s="15" t="n">
        <f aca="false">O404+P404</f>
        <v>147006.940307858</v>
      </c>
      <c r="R404" s="15" t="n">
        <f aca="false">Q404-$G$2+$I$2</f>
        <v>127546.940307858</v>
      </c>
      <c r="S404" s="40" t="n">
        <f aca="false">R404/$K$2</f>
        <v>227.198454386181</v>
      </c>
      <c r="T404" s="41" t="n">
        <f aca="false">S404-$M$2</f>
        <v>71.388767715595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39" t="n">
        <f aca="false">(B405+C405)/2</f>
        <v>-0.03125</v>
      </c>
      <c r="E405" s="15" t="n">
        <f aca="false">$C$2*(1+IF(E$3&lt;=$O$2,$D405,$D405-($D405-$I$400)*MIN(E$3-$O$2,$Q$2)/$Q$2))</f>
        <v>10230</v>
      </c>
      <c r="F405" s="15" t="n">
        <f aca="false">E405*(1+IF(F$3&lt;=$O$2,$D405,$D405-($D405-$I$400)*MIN(F$3-$O$2,$Q$2)/$Q$2))</f>
        <v>9910.3125</v>
      </c>
      <c r="G405" s="15" t="n">
        <f aca="false">F405*(1+IF(G$3&lt;=$O$2,$D405,$D405-($D405-$I$400)*MIN(G$3-$O$2,$Q$2)/$Q$2))</f>
        <v>9600.615234375</v>
      </c>
      <c r="H405" s="15" t="n">
        <f aca="false">G405*(1+IF(H$3&lt;=$O$2,$D405,$D405-($D405-$I$400)*MIN(H$3-$O$2,$Q$2)/$Q$2))</f>
        <v>9300.59600830078</v>
      </c>
      <c r="I405" s="15" t="n">
        <f aca="false">H405*(1+IF(I$3&lt;=$O$2,$D405,$D405-($D405-$I$400)*MIN(I$3-$O$2,$Q$2)/$Q$2))</f>
        <v>9009.95238304138</v>
      </c>
      <c r="J405" s="15" t="n">
        <f aca="false">I405*(1+IF(J$3&lt;=$O$2,$D405,$D405-($D405-$I$400)*MIN(J$3-$O$2,$Q$2)/$Q$2))</f>
        <v>8844.7098563364</v>
      </c>
      <c r="K405" s="15" t="n">
        <f aca="false">J405*(1+IF(K$3&lt;=$O$2,$D405,$D405-($D405-$I$400)*MIN(K$3-$O$2,$Q$2)/$Q$2))</f>
        <v>8796.6830818165</v>
      </c>
      <c r="L405" s="15" t="n">
        <f aca="false">K405*(1+IF(L$3&lt;=$O$2,$D405,$D405-($D405-$I$400)*MIN(L$3-$O$2,$Q$2)/$Q$2))</f>
        <v>8862.48227126848</v>
      </c>
      <c r="M405" s="15" t="n">
        <f aca="false">L405*(1+IF(M$3&lt;=$O$2,$D405,$D405-($D405-$I$400)*MIN(M$3-$O$2,$Q$2)/$Q$2))</f>
        <v>9043.18828477965</v>
      </c>
      <c r="N405" s="15" t="n">
        <f aca="false">M405*(1+IF(N$3&lt;=$O$2,$D405,$D405-($D405-$I$400)*MIN(N$3-$O$2,$Q$2)/$Q$2))</f>
        <v>9344.32645466281</v>
      </c>
      <c r="O405" s="15" t="n">
        <f aca="false">SUMPRODUCT(E405:N405,1/(1+$F$400)^$E$3:$N$3)*$E$2</f>
        <v>31567.8441419223</v>
      </c>
      <c r="P405" s="15" t="n">
        <f aca="false">N405*$E$2*(1+$I$400)/($F$400-$I$400)/(1+$F$400)^$N$3</f>
        <v>52087.4908384942</v>
      </c>
      <c r="Q405" s="15" t="n">
        <f aca="false">O405+P405</f>
        <v>83655.3349804165</v>
      </c>
      <c r="R405" s="15" t="n">
        <f aca="false">Q405-$G$2+$I$2</f>
        <v>64195.3349804165</v>
      </c>
      <c r="S405" s="40" t="n">
        <f aca="false">R405/$K$2</f>
        <v>114.350691997393</v>
      </c>
      <c r="T405" s="41" t="n">
        <f aca="false">S405-$M$2</f>
        <v>-41.4589946731925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39" t="n">
        <f aca="false">(B406+C406)/2</f>
        <v>0.015625</v>
      </c>
      <c r="E406" s="15" t="n">
        <f aca="false">$C$2*(1+IF(E$3&lt;=$O$2,$D406,$D406-($D406-$I$400)*MIN(E$3-$O$2,$Q$2)/$Q$2))</f>
        <v>10725</v>
      </c>
      <c r="F406" s="15" t="n">
        <f aca="false">E406*(1+IF(F$3&lt;=$O$2,$D406,$D406-($D406-$I$400)*MIN(F$3-$O$2,$Q$2)/$Q$2))</f>
        <v>10892.578125</v>
      </c>
      <c r="G406" s="15" t="n">
        <f aca="false">F406*(1+IF(G$3&lt;=$O$2,$D406,$D406-($D406-$I$400)*MIN(G$3-$O$2,$Q$2)/$Q$2))</f>
        <v>11062.7746582031</v>
      </c>
      <c r="H406" s="15" t="n">
        <f aca="false">G406*(1+IF(H$3&lt;=$O$2,$D406,$D406-($D406-$I$400)*MIN(H$3-$O$2,$Q$2)/$Q$2))</f>
        <v>11235.6305122375</v>
      </c>
      <c r="I406" s="15" t="n">
        <f aca="false">H406*(1+IF(I$3&lt;=$O$2,$D406,$D406-($D406-$I$400)*MIN(I$3-$O$2,$Q$2)/$Q$2))</f>
        <v>11411.1872389913</v>
      </c>
      <c r="J406" s="15" t="n">
        <f aca="false">I406*(1+IF(J$3&lt;=$O$2,$D406,$D406-($D406-$I$400)*MIN(J$3-$O$2,$Q$2)/$Q$2))</f>
        <v>11629.8255864903</v>
      </c>
      <c r="K406" s="15" t="n">
        <f aca="false">J406*(1+IF(K$3&lt;=$O$2,$D406,$D406-($D406-$I$400)*MIN(K$3-$O$2,$Q$2)/$Q$2))</f>
        <v>11893.7644781757</v>
      </c>
      <c r="L406" s="15" t="n">
        <f aca="false">K406*(1+IF(L$3&lt;=$O$2,$D406,$D406-($D406-$I$400)*MIN(L$3-$O$2,$Q$2)/$Q$2))</f>
        <v>12205.7379204383</v>
      </c>
      <c r="M406" s="15" t="n">
        <f aca="false">L406*(1+IF(M$3&lt;=$O$2,$D406,$D406-($D406-$I$400)*MIN(M$3-$O$2,$Q$2)/$Q$2))</f>
        <v>12569.0417096401</v>
      </c>
      <c r="N406" s="15" t="n">
        <f aca="false">M406*(1+IF(N$3&lt;=$O$2,$D406,$D406-($D406-$I$400)*MIN(N$3-$O$2,$Q$2)/$Q$2))</f>
        <v>12987.5907985711</v>
      </c>
      <c r="O406" s="15" t="n">
        <f aca="false">SUMPRODUCT(E406:N406,1/(1+$F$400)^$E$3:$N$3)*$E$2</f>
        <v>38793.0712735577</v>
      </c>
      <c r="P406" s="15" t="n">
        <f aca="false">N406*$E$2*(1+$I$400)/($F$400-$I$400)/(1+$F$400)^$N$3</f>
        <v>72395.909969211</v>
      </c>
      <c r="Q406" s="15" t="n">
        <f aca="false">O406+P406</f>
        <v>111188.981242769</v>
      </c>
      <c r="R406" s="15" t="n">
        <f aca="false">Q406-$G$2+$I$2</f>
        <v>91728.9812427687</v>
      </c>
      <c r="S406" s="40" t="n">
        <f aca="false">R406/$K$2</f>
        <v>163.396179559252</v>
      </c>
      <c r="T406" s="41" t="n">
        <f aca="false">S406-$M$2</f>
        <v>7.58649288866687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-0.03125</v>
      </c>
      <c r="C407" s="25" t="n">
        <f aca="false">IF(T406&gt;0,D406,C406)</f>
        <v>0.015625</v>
      </c>
      <c r="D407" s="39" t="n">
        <f aca="false">(B407+C407)/2</f>
        <v>-0.0078125</v>
      </c>
      <c r="E407" s="15" t="n">
        <f aca="false">$C$2*(1+IF(E$3&lt;=$O$2,$D407,$D407-($D407-$I$400)*MIN(E$3-$O$2,$Q$2)/$Q$2))</f>
        <v>10477.5</v>
      </c>
      <c r="F407" s="15" t="n">
        <f aca="false">E407*(1+IF(F$3&lt;=$O$2,$D407,$D407-($D407-$I$400)*MIN(F$3-$O$2,$Q$2)/$Q$2))</f>
        <v>10395.64453125</v>
      </c>
      <c r="G407" s="15" t="n">
        <f aca="false">F407*(1+IF(G$3&lt;=$O$2,$D407,$D407-($D407-$I$400)*MIN(G$3-$O$2,$Q$2)/$Q$2))</f>
        <v>10314.4285583496</v>
      </c>
      <c r="H407" s="15" t="n">
        <f aca="false">G407*(1+IF(H$3&lt;=$O$2,$D407,$D407-($D407-$I$400)*MIN(H$3-$O$2,$Q$2)/$Q$2))</f>
        <v>10233.8470852375</v>
      </c>
      <c r="I407" s="15" t="n">
        <f aca="false">H407*(1+IF(I$3&lt;=$O$2,$D407,$D407-($D407-$I$400)*MIN(I$3-$O$2,$Q$2)/$Q$2))</f>
        <v>10153.8951548841</v>
      </c>
      <c r="J407" s="15" t="n">
        <f aca="false">I407*(1+IF(J$3&lt;=$O$2,$D407,$D407-($D407-$I$400)*MIN(J$3-$O$2,$Q$2)/$Q$2))</f>
        <v>10158.0582518976</v>
      </c>
      <c r="K407" s="15" t="n">
        <f aca="false">J407*(1+IF(K$3&lt;=$O$2,$D407,$D407-($D407-$I$400)*MIN(K$3-$O$2,$Q$2)/$Q$2))</f>
        <v>10245.7476897571</v>
      </c>
      <c r="L407" s="15" t="n">
        <f aca="false">K407*(1+IF(L$3&lt;=$O$2,$D407,$D407-($D407-$I$400)*MIN(L$3-$O$2,$Q$2)/$Q$2))</f>
        <v>10418.439767068</v>
      </c>
      <c r="M407" s="15" t="n">
        <f aca="false">L407*(1+IF(M$3&lt;=$O$2,$D407,$D407-($D407-$I$400)*MIN(M$3-$O$2,$Q$2)/$Q$2))</f>
        <v>10679.7081903266</v>
      </c>
      <c r="N407" s="15" t="n">
        <f aca="false">M407*(1+IF(N$3&lt;=$O$2,$D407,$D407-($D407-$I$400)*MIN(N$3-$O$2,$Q$2)/$Q$2))</f>
        <v>11035.3424730645</v>
      </c>
      <c r="O407" s="15" t="n">
        <f aca="false">SUMPRODUCT(E407:N407,1/(1+$F$400)^$E$3:$N$3)*$E$2</f>
        <v>34990.1555830098</v>
      </c>
      <c r="P407" s="15" t="n">
        <f aca="false">N407*$E$2*(1+$I$400)/($F$400-$I$400)/(1+$F$400)^$N$3</f>
        <v>61513.6149998875</v>
      </c>
      <c r="Q407" s="15" t="n">
        <f aca="false">O407+P407</f>
        <v>96503.7705828973</v>
      </c>
      <c r="R407" s="15" t="n">
        <f aca="false">Q407-$G$2+$I$2</f>
        <v>77043.7705828973</v>
      </c>
      <c r="S407" s="40" t="n">
        <f aca="false">R407/$K$2</f>
        <v>137.237518628578</v>
      </c>
      <c r="T407" s="41" t="n">
        <f aca="false">S407-$M$2</f>
        <v>-18.5721680420077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-0.0078125</v>
      </c>
      <c r="C408" s="25" t="n">
        <f aca="false">IF(T407&gt;0,D407,C407)</f>
        <v>0.015625</v>
      </c>
      <c r="D408" s="39" t="n">
        <f aca="false">(B408+C408)/2</f>
        <v>0.00390625</v>
      </c>
      <c r="E408" s="15" t="n">
        <f aca="false">$C$2*(1+IF(E$3&lt;=$O$2,$D408,$D408-($D408-$I$400)*MIN(E$3-$O$2,$Q$2)/$Q$2))</f>
        <v>10601.25</v>
      </c>
      <c r="F408" s="15" t="n">
        <f aca="false">E408*(1+IF(F$3&lt;=$O$2,$D408,$D408-($D408-$I$400)*MIN(F$3-$O$2,$Q$2)/$Q$2))</f>
        <v>10642.6611328125</v>
      </c>
      <c r="G408" s="15" t="n">
        <f aca="false">F408*(1+IF(G$3&lt;=$O$2,$D408,$D408-($D408-$I$400)*MIN(G$3-$O$2,$Q$2)/$Q$2))</f>
        <v>10684.2340278625</v>
      </c>
      <c r="H408" s="15" t="n">
        <f aca="false">G408*(1+IF(H$3&lt;=$O$2,$D408,$D408-($D408-$I$400)*MIN(H$3-$O$2,$Q$2)/$Q$2))</f>
        <v>10725.9693170339</v>
      </c>
      <c r="I408" s="15" t="n">
        <f aca="false">H408*(1+IF(I$3&lt;=$O$2,$D408,$D408-($D408-$I$400)*MIN(I$3-$O$2,$Q$2)/$Q$2))</f>
        <v>10767.8676346786</v>
      </c>
      <c r="J408" s="15" t="n">
        <f aca="false">I408*(1+IF(J$3&lt;=$O$2,$D408,$D408-($D408-$I$400)*MIN(J$3-$O$2,$Q$2)/$Q$2))</f>
        <v>10873.2312194839</v>
      </c>
      <c r="K408" s="15" t="n">
        <f aca="false">J408*(1+IF(K$3&lt;=$O$2,$D408,$D408-($D408-$I$400)*MIN(K$3-$O$2,$Q$2)/$Q$2))</f>
        <v>11043.5467949981</v>
      </c>
      <c r="L408" s="15" t="n">
        <f aca="false">K408*(1+IF(L$3&lt;=$O$2,$D408,$D408-($D408-$I$400)*MIN(L$3-$O$2,$Q$2)/$Q$2))</f>
        <v>11281.4524018293</v>
      </c>
      <c r="M408" s="15" t="n">
        <f aca="false">L408*(1+IF(M$3&lt;=$O$2,$D408,$D408-($D408-$I$400)*MIN(M$3-$O$2,$Q$2)/$Q$2))</f>
        <v>11590.803928503</v>
      </c>
      <c r="N408" s="15" t="n">
        <f aca="false">M408*(1+IF(N$3&lt;=$O$2,$D408,$D408-($D408-$I$400)*MIN(N$3-$O$2,$Q$2)/$Q$2))</f>
        <v>11976.7776993221</v>
      </c>
      <c r="O408" s="15" t="n">
        <f aca="false">SUMPRODUCT(E408:N408,1/(1+$F$400)^$E$3:$N$3)*$E$2</f>
        <v>36841.6369853402</v>
      </c>
      <c r="P408" s="15" t="n">
        <f aca="false">N408*$E$2*(1+$I$400)/($F$400-$I$400)/(1+$F$400)^$N$3</f>
        <v>66761.3981291104</v>
      </c>
      <c r="Q408" s="15" t="n">
        <f aca="false">O408+P408</f>
        <v>103603.035114451</v>
      </c>
      <c r="R408" s="15" t="n">
        <f aca="false">Q408-$G$2+$I$2</f>
        <v>84143.0351144506</v>
      </c>
      <c r="S408" s="40" t="n">
        <f aca="false">R408/$K$2</f>
        <v>149.883387866636</v>
      </c>
      <c r="T408" s="41" t="n">
        <f aca="false">S408-$M$2</f>
        <v>-5.92629880394986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0.00390625</v>
      </c>
      <c r="C409" s="25" t="n">
        <f aca="false">IF(T408&gt;0,D408,C408)</f>
        <v>0.015625</v>
      </c>
      <c r="D409" s="39" t="n">
        <f aca="false">(B409+C409)/2</f>
        <v>0.009765625</v>
      </c>
      <c r="E409" s="15" t="n">
        <f aca="false">$C$2*(1+IF(E$3&lt;=$O$2,$D409,$D409-($D409-$I$400)*MIN(E$3-$O$2,$Q$2)/$Q$2))</f>
        <v>10663.125</v>
      </c>
      <c r="F409" s="15" t="n">
        <f aca="false">E409*(1+IF(F$3&lt;=$O$2,$D409,$D409-($D409-$I$400)*MIN(F$3-$O$2,$Q$2)/$Q$2))</f>
        <v>10767.2570800781</v>
      </c>
      <c r="G409" s="15" t="n">
        <f aca="false">F409*(1+IF(G$3&lt;=$O$2,$D409,$D409-($D409-$I$400)*MIN(G$3-$O$2,$Q$2)/$Q$2))</f>
        <v>10872.4060750008</v>
      </c>
      <c r="H409" s="15" t="n">
        <f aca="false">G409*(1+IF(H$3&lt;=$O$2,$D409,$D409-($D409-$I$400)*MIN(H$3-$O$2,$Q$2)/$Q$2))</f>
        <v>10978.5819155769</v>
      </c>
      <c r="I409" s="15" t="n">
        <f aca="false">H409*(1+IF(I$3&lt;=$O$2,$D409,$D409-($D409-$I$400)*MIN(I$3-$O$2,$Q$2)/$Q$2))</f>
        <v>11085.7946295962</v>
      </c>
      <c r="J409" s="15" t="n">
        <f aca="false">I409*(1+IF(J$3&lt;=$O$2,$D409,$D409-($D409-$I$400)*MIN(J$3-$O$2,$Q$2)/$Q$2))</f>
        <v>11246.2337923731</v>
      </c>
      <c r="K409" s="15" t="n">
        <f aca="false">J409*(1+IF(K$3&lt;=$O$2,$D409,$D409-($D409-$I$400)*MIN(K$3-$O$2,$Q$2)/$Q$2))</f>
        <v>11461.9295276147</v>
      </c>
      <c r="L409" s="15" t="n">
        <f aca="false">K409*(1+IF(L$3&lt;=$O$2,$D409,$D409-($D409-$I$400)*MIN(L$3-$O$2,$Q$2)/$Q$2))</f>
        <v>11735.7120417937</v>
      </c>
      <c r="M409" s="15" t="n">
        <f aca="false">L409*(1+IF(M$3&lt;=$O$2,$D409,$D409-($D409-$I$400)*MIN(M$3-$O$2,$Q$2)/$Q$2))</f>
        <v>12071.2727231687</v>
      </c>
      <c r="N409" s="15" t="n">
        <f aca="false">M409*(1+IF(N$3&lt;=$O$2,$D409,$D409-($D409-$I$400)*MIN(N$3-$O$2,$Q$2)/$Q$2))</f>
        <v>12473.2461048502</v>
      </c>
      <c r="O409" s="15" t="n">
        <f aca="false">SUMPRODUCT(E409:N409,1/(1+$F$400)^$E$3:$N$3)*$E$2</f>
        <v>37804.54837779</v>
      </c>
      <c r="P409" s="15" t="n">
        <f aca="false">N409*$E$2*(1+$I$400)/($F$400-$I$400)/(1+$F$400)^$N$3</f>
        <v>69528.8307150772</v>
      </c>
      <c r="Q409" s="15" t="n">
        <f aca="false">O409+P409</f>
        <v>107333.379092867</v>
      </c>
      <c r="R409" s="15" t="n">
        <f aca="false">Q409-$G$2+$I$2</f>
        <v>87873.3790928672</v>
      </c>
      <c r="S409" s="40" t="n">
        <f aca="false">R409/$K$2</f>
        <v>156.528222969535</v>
      </c>
      <c r="T409" s="41" t="n">
        <f aca="false">S409-$M$2</f>
        <v>0.718536298949402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0.00390625</v>
      </c>
      <c r="C410" s="25" t="n">
        <f aca="false">IF(T409&gt;0,D409,C409)</f>
        <v>0.009765625</v>
      </c>
      <c r="D410" s="39" t="n">
        <f aca="false">(B410+C410)/2</f>
        <v>0.0068359375</v>
      </c>
      <c r="E410" s="15" t="n">
        <f aca="false">$C$2*(1+IF(E$3&lt;=$O$2,$D410,$D410-($D410-$I$400)*MIN(E$3-$O$2,$Q$2)/$Q$2))</f>
        <v>10632.1875</v>
      </c>
      <c r="F410" s="15" t="n">
        <f aca="false">E410*(1+IF(F$3&lt;=$O$2,$D410,$D410-($D410-$I$400)*MIN(F$3-$O$2,$Q$2)/$Q$2))</f>
        <v>10704.8684692383</v>
      </c>
      <c r="G410" s="15" t="n">
        <f aca="false">F410*(1+IF(G$3&lt;=$O$2,$D410,$D410-($D410-$I$400)*MIN(G$3-$O$2,$Q$2)/$Q$2))</f>
        <v>10778.0462810397</v>
      </c>
      <c r="H410" s="15" t="n">
        <f aca="false">G410*(1+IF(H$3&lt;=$O$2,$D410,$D410-($D410-$I$400)*MIN(H$3-$O$2,$Q$2)/$Q$2))</f>
        <v>10851.724331789</v>
      </c>
      <c r="I410" s="15" t="n">
        <f aca="false">H410*(1+IF(I$3&lt;=$O$2,$D410,$D410-($D410-$I$400)*MIN(I$3-$O$2,$Q$2)/$Q$2))</f>
        <v>10925.9060410883</v>
      </c>
      <c r="J410" s="15" t="n">
        <f aca="false">I410*(1+IF(J$3&lt;=$O$2,$D410,$D410-($D410-$I$400)*MIN(J$3-$O$2,$Q$2)/$Q$2))</f>
        <v>11058.4236239842</v>
      </c>
      <c r="K410" s="15" t="n">
        <f aca="false">J410*(1+IF(K$3&lt;=$O$2,$D410,$D410-($D410-$I$400)*MIN(K$3-$O$2,$Q$2)/$Q$2))</f>
        <v>11251.0786423009</v>
      </c>
      <c r="L410" s="15" t="n">
        <f aca="false">K410*(1+IF(L$3&lt;=$O$2,$D410,$D410-($D410-$I$400)*MIN(L$3-$O$2,$Q$2)/$Q$2))</f>
        <v>11506.6398617366</v>
      </c>
      <c r="M410" s="15" t="n">
        <f aca="false">L410*(1+IF(M$3&lt;=$O$2,$D410,$D410-($D410-$I$400)*MIN(M$3-$O$2,$Q$2)/$Q$2))</f>
        <v>11828.9084818393</v>
      </c>
      <c r="N410" s="15" t="n">
        <f aca="false">M410*(1+IF(N$3&lt;=$O$2,$D410,$D410-($D410-$I$400)*MIN(N$3-$O$2,$Q$2)/$Q$2))</f>
        <v>12222.8111342845</v>
      </c>
      <c r="O410" s="15" t="n">
        <f aca="false">SUMPRODUCT(E410:N410,1/(1+$F$400)^$E$3:$N$3)*$E$2</f>
        <v>37319.9307253922</v>
      </c>
      <c r="P410" s="15" t="n">
        <f aca="false">N410*$E$2*(1+$I$400)/($F$400-$I$400)/(1+$F$400)^$N$3</f>
        <v>68132.8468206501</v>
      </c>
      <c r="Q410" s="15" t="n">
        <f aca="false">O410+P410</f>
        <v>105452.777546042</v>
      </c>
      <c r="R410" s="15" t="n">
        <f aca="false">Q410-$G$2+$I$2</f>
        <v>85992.7775460423</v>
      </c>
      <c r="S410" s="40" t="n">
        <f aca="false">R410/$K$2</f>
        <v>153.178320857234</v>
      </c>
      <c r="T410" s="41" t="n">
        <f aca="false">S410-$M$2</f>
        <v>-2.63136581335201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0.0068359375</v>
      </c>
      <c r="C411" s="25" t="n">
        <f aca="false">IF(T410&gt;0,D410,C410)</f>
        <v>0.009765625</v>
      </c>
      <c r="D411" s="39" t="n">
        <f aca="false">(B411+C411)/2</f>
        <v>0.00830078125</v>
      </c>
      <c r="E411" s="15" t="n">
        <f aca="false">$C$2*(1+IF(E$3&lt;=$O$2,$D411,$D411-($D411-$I$400)*MIN(E$3-$O$2,$Q$2)/$Q$2))</f>
        <v>10647.65625</v>
      </c>
      <c r="F411" s="15" t="n">
        <f aca="false">E411*(1+IF(F$3&lt;=$O$2,$D411,$D411-($D411-$I$400)*MIN(F$3-$O$2,$Q$2)/$Q$2))</f>
        <v>10736.0401153564</v>
      </c>
      <c r="G411" s="15" t="n">
        <f aca="false">F411*(1+IF(G$3&lt;=$O$2,$D411,$D411-($D411-$I$400)*MIN(G$3-$O$2,$Q$2)/$Q$2))</f>
        <v>10825.1576358452</v>
      </c>
      <c r="H411" s="15" t="n">
        <f aca="false">G411*(1+IF(H$3&lt;=$O$2,$D411,$D411-($D411-$I$400)*MIN(H$3-$O$2,$Q$2)/$Q$2))</f>
        <v>10915.0149013772</v>
      </c>
      <c r="I411" s="15" t="n">
        <f aca="false">H411*(1+IF(I$3&lt;=$O$2,$D411,$D411-($D411-$I$400)*MIN(I$3-$O$2,$Q$2)/$Q$2))</f>
        <v>11005.618052414</v>
      </c>
      <c r="J411" s="15" t="n">
        <f aca="false">I411*(1+IF(J$3&lt;=$O$2,$D411,$D411-($D411-$I$400)*MIN(J$3-$O$2,$Q$2)/$Q$2))</f>
        <v>11151.9996510224</v>
      </c>
      <c r="K411" s="15" t="n">
        <f aca="false">J411*(1+IF(K$3&lt;=$O$2,$D411,$D411-($D411-$I$400)*MIN(K$3-$O$2,$Q$2)/$Q$2))</f>
        <v>11356.0864721359</v>
      </c>
      <c r="L411" s="15" t="n">
        <f aca="false">K411*(1+IF(L$3&lt;=$O$2,$D411,$D411-($D411-$I$400)*MIN(L$3-$O$2,$Q$2)/$Q$2))</f>
        <v>11620.6868357137</v>
      </c>
      <c r="M411" s="15" t="n">
        <f aca="false">L411*(1+IF(M$3&lt;=$O$2,$D411,$D411-($D411-$I$400)*MIN(M$3-$O$2,$Q$2)/$Q$2))</f>
        <v>11949.5540888967</v>
      </c>
      <c r="N411" s="15" t="n">
        <f aca="false">M411*(1+IF(N$3&lt;=$O$2,$D411,$D411-($D411-$I$400)*MIN(N$3-$O$2,$Q$2)/$Q$2))</f>
        <v>12347.474240057</v>
      </c>
      <c r="O411" s="15" t="n">
        <f aca="false">SUMPRODUCT(E411:N411,1/(1+$F$400)^$E$3:$N$3)*$E$2</f>
        <v>37561.4441605674</v>
      </c>
      <c r="P411" s="15" t="n">
        <f aca="false">N411*$E$2*(1+$I$400)/($F$400-$I$400)/(1+$F$400)^$N$3</f>
        <v>68827.7485250508</v>
      </c>
      <c r="Q411" s="15" t="n">
        <f aca="false">O411+P411</f>
        <v>106389.192685618</v>
      </c>
      <c r="R411" s="15" t="n">
        <f aca="false">Q411-$G$2+$I$2</f>
        <v>86929.1926856182</v>
      </c>
      <c r="S411" s="40" t="n">
        <f aca="false">R411/$K$2</f>
        <v>154.846350461565</v>
      </c>
      <c r="T411" s="41" t="n">
        <f aca="false">S411-$M$2</f>
        <v>-0.963336209020042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0.00830078125</v>
      </c>
      <c r="C412" s="25" t="n">
        <f aca="false">IF(T411&gt;0,D411,C411)</f>
        <v>0.009765625</v>
      </c>
      <c r="D412" s="39" t="n">
        <f aca="false">(B412+C412)/2</f>
        <v>0.009033203125</v>
      </c>
      <c r="E412" s="15" t="n">
        <f aca="false">$C$2*(1+IF(E$3&lt;=$O$2,$D412,$D412-($D412-$I$400)*MIN(E$3-$O$2,$Q$2)/$Q$2))</f>
        <v>10655.390625</v>
      </c>
      <c r="F412" s="15" t="n">
        <f aca="false">E412*(1+IF(F$3&lt;=$O$2,$D412,$D412-($D412-$I$400)*MIN(F$3-$O$2,$Q$2)/$Q$2))</f>
        <v>10751.6429328918</v>
      </c>
      <c r="G412" s="15" t="n">
        <f aca="false">F412*(1+IF(G$3&lt;=$O$2,$D412,$D412-($D412-$I$400)*MIN(G$3-$O$2,$Q$2)/$Q$2))</f>
        <v>10848.7647074321</v>
      </c>
      <c r="H412" s="15" t="n">
        <f aca="false">G412*(1+IF(H$3&lt;=$O$2,$D412,$D412-($D412-$I$400)*MIN(H$3-$O$2,$Q$2)/$Q$2))</f>
        <v>10946.7638026897</v>
      </c>
      <c r="I412" s="15" t="n">
        <f aca="false">H412*(1+IF(I$3&lt;=$O$2,$D412,$D412-($D412-$I$400)*MIN(I$3-$O$2,$Q$2)/$Q$2))</f>
        <v>11045.6481436808</v>
      </c>
      <c r="J412" s="15" t="n">
        <f aca="false">I412*(1+IF(J$3&lt;=$O$2,$D412,$D412-($D412-$I$400)*MIN(J$3-$O$2,$Q$2)/$Q$2))</f>
        <v>11199.034226981</v>
      </c>
      <c r="K412" s="15" t="n">
        <f aca="false">J412*(1+IF(K$3&lt;=$O$2,$D412,$D412-($D412-$I$400)*MIN(K$3-$O$2,$Q$2)/$Q$2))</f>
        <v>11408.9032534701</v>
      </c>
      <c r="L412" s="15" t="n">
        <f aca="false">K412*(1+IF(L$3&lt;=$O$2,$D412,$D412-($D412-$I$400)*MIN(L$3-$O$2,$Q$2)/$Q$2))</f>
        <v>11678.0767166833</v>
      </c>
      <c r="M412" s="15" t="n">
        <f aca="false">L412*(1+IF(M$3&lt;=$O$2,$D412,$D412-($D412-$I$400)*MIN(M$3-$O$2,$Q$2)/$Q$2))</f>
        <v>12010.2787682339</v>
      </c>
      <c r="N412" s="15" t="n">
        <f aca="false">M412*(1+IF(N$3&lt;=$O$2,$D412,$D412-($D412-$I$400)*MIN(N$3-$O$2,$Q$2)/$Q$2))</f>
        <v>12410.2210512161</v>
      </c>
      <c r="O412" s="15" t="n">
        <f aca="false">SUMPRODUCT(E412:N412,1/(1+$F$400)^$E$3:$N$3)*$E$2</f>
        <v>37682.7968057786</v>
      </c>
      <c r="P412" s="15" t="n">
        <f aca="false">N412*$E$2*(1+$I$400)/($F$400-$I$400)/(1+$F$400)^$N$3</f>
        <v>69177.514125306</v>
      </c>
      <c r="Q412" s="15" t="n">
        <f aca="false">O412+P412</f>
        <v>106860.310931085</v>
      </c>
      <c r="R412" s="15" t="n">
        <f aca="false">Q412-$G$2+$I$2</f>
        <v>87400.3109310847</v>
      </c>
      <c r="S412" s="40" t="n">
        <f aca="false">R412/$K$2</f>
        <v>155.685550029542</v>
      </c>
      <c r="T412" s="41" t="n">
        <f aca="false">S412-$M$2</f>
        <v>-0.124136641043378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0.009033203125</v>
      </c>
      <c r="C413" s="25" t="n">
        <f aca="false">IF(T412&gt;0,D412,C412)</f>
        <v>0.009765625</v>
      </c>
      <c r="D413" s="39" t="n">
        <f aca="false">(B413+C413)/2</f>
        <v>0.0093994140625</v>
      </c>
      <c r="E413" s="15" t="n">
        <f aca="false">$C$2*(1+IF(E$3&lt;=$O$2,$D413,$D413-($D413-$I$400)*MIN(E$3-$O$2,$Q$2)/$Q$2))</f>
        <v>10659.2578125</v>
      </c>
      <c r="F413" s="15" t="n">
        <f aca="false">E413*(1+IF(F$3&lt;=$O$2,$D413,$D413-($D413-$I$400)*MIN(F$3-$O$2,$Q$2)/$Q$2))</f>
        <v>10759.4485902786</v>
      </c>
      <c r="G413" s="15" t="n">
        <f aca="false">F413*(1+IF(G$3&lt;=$O$2,$D413,$D413-($D413-$I$400)*MIN(G$3-$O$2,$Q$2)/$Q$2))</f>
        <v>10860.5811026628</v>
      </c>
      <c r="H413" s="15" t="n">
        <f aca="false">G413*(1+IF(H$3&lt;=$O$2,$D413,$D413-($D413-$I$400)*MIN(H$3-$O$2,$Q$2)/$Q$2))</f>
        <v>10962.6642014061</v>
      </c>
      <c r="I413" s="15" t="n">
        <f aca="false">H413*(1+IF(I$3&lt;=$O$2,$D413,$D413-($D413-$I$400)*MIN(I$3-$O$2,$Q$2)/$Q$2))</f>
        <v>11065.7068214633</v>
      </c>
      <c r="J413" s="15" t="n">
        <f aca="false">I413*(1+IF(J$3&lt;=$O$2,$D413,$D413-($D413-$I$400)*MIN(J$3-$O$2,$Q$2)/$Q$2))</f>
        <v>11222.6133571416</v>
      </c>
      <c r="K413" s="15" t="n">
        <f aca="false">J413*(1+IF(K$3&lt;=$O$2,$D413,$D413-($D413-$I$400)*MIN(K$3-$O$2,$Q$2)/$Q$2))</f>
        <v>11435.390160943</v>
      </c>
      <c r="L413" s="15" t="n">
        <f aca="false">K413*(1+IF(L$3&lt;=$O$2,$D413,$D413-($D413-$I$400)*MIN(L$3-$O$2,$Q$2)/$Q$2))</f>
        <v>11706.8636431942</v>
      </c>
      <c r="M413" s="15" t="n">
        <f aca="false">L413*(1+IF(M$3&lt;=$O$2,$D413,$D413-($D413-$I$400)*MIN(M$3-$O$2,$Q$2)/$Q$2))</f>
        <v>12040.7420224</v>
      </c>
      <c r="N413" s="15" t="n">
        <f aca="false">M413*(1+IF(N$3&lt;=$O$2,$D413,$D413-($D413-$I$400)*MIN(N$3-$O$2,$Q$2)/$Q$2))</f>
        <v>12441.6987317459</v>
      </c>
      <c r="O413" s="15" t="n">
        <f aca="false">SUMPRODUCT(E413:N413,1/(1+$F$400)^$E$3:$N$3)*$E$2</f>
        <v>37743.6226487971</v>
      </c>
      <c r="P413" s="15" t="n">
        <f aca="false">N413*$E$2*(1+$I$400)/($F$400-$I$400)/(1+$F$400)^$N$3</f>
        <v>69352.9781787258</v>
      </c>
      <c r="Q413" s="15" t="n">
        <f aca="false">O413+P413</f>
        <v>107096.600827523</v>
      </c>
      <c r="R413" s="15" t="n">
        <f aca="false">Q413-$G$2+$I$2</f>
        <v>87636.6008275229</v>
      </c>
      <c r="S413" s="40" t="n">
        <f aca="false">R413/$K$2</f>
        <v>156.106451535515</v>
      </c>
      <c r="T413" s="41" t="n">
        <f aca="false">S413-$M$2</f>
        <v>0.29676486492977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0.009033203125</v>
      </c>
      <c r="C414" s="25" t="n">
        <f aca="false">IF(T413&gt;0,D413,C413)</f>
        <v>0.0093994140625</v>
      </c>
      <c r="D414" s="39" t="n">
        <f aca="false">(B414+C414)/2</f>
        <v>0.00921630859375</v>
      </c>
      <c r="E414" s="15" t="n">
        <f aca="false">$C$2*(1+IF(E$3&lt;=$O$2,$D414,$D414-($D414-$I$400)*MIN(E$3-$O$2,$Q$2)/$Q$2))</f>
        <v>10657.32421875</v>
      </c>
      <c r="F414" s="15" t="n">
        <f aca="false">E414*(1+IF(F$3&lt;=$O$2,$D414,$D414-($D414-$I$400)*MIN(F$3-$O$2,$Q$2)/$Q$2))</f>
        <v>10755.5454075336</v>
      </c>
      <c r="G414" s="15" t="n">
        <f aca="false">F414*(1+IF(G$3&lt;=$O$2,$D414,$D414-($D414-$I$400)*MIN(G$3-$O$2,$Q$2)/$Q$2))</f>
        <v>10854.6718331036</v>
      </c>
      <c r="H414" s="15" t="n">
        <f aca="false">G414*(1+IF(H$3&lt;=$O$2,$D414,$D414-($D414-$I$400)*MIN(H$3-$O$2,$Q$2)/$Q$2))</f>
        <v>10954.7118384013</v>
      </c>
      <c r="I414" s="15" t="n">
        <f aca="false">H414*(1+IF(I$3&lt;=$O$2,$D414,$D414-($D414-$I$400)*MIN(I$3-$O$2,$Q$2)/$Q$2))</f>
        <v>11055.6738432596</v>
      </c>
      <c r="J414" s="15" t="n">
        <f aca="false">I414*(1+IF(J$3&lt;=$O$2,$D414,$D414-($D414-$I$400)*MIN(J$3-$O$2,$Q$2)/$Q$2))</f>
        <v>11210.8186325368</v>
      </c>
      <c r="K414" s="15" t="n">
        <f aca="false">J414*(1+IF(K$3&lt;=$O$2,$D414,$D414-($D414-$I$400)*MIN(K$3-$O$2,$Q$2)/$Q$2))</f>
        <v>11422.1401551858</v>
      </c>
      <c r="L414" s="15" t="n">
        <f aca="false">K414*(1+IF(L$3&lt;=$O$2,$D414,$D414-($D414-$I$400)*MIN(L$3-$O$2,$Q$2)/$Q$2))</f>
        <v>11692.4625028749</v>
      </c>
      <c r="M414" s="15" t="n">
        <f aca="false">L414*(1+IF(M$3&lt;=$O$2,$D414,$D414-($D414-$I$400)*MIN(M$3-$O$2,$Q$2)/$Q$2))</f>
        <v>12025.501972481</v>
      </c>
      <c r="N414" s="15" t="n">
        <f aca="false">M414*(1+IF(N$3&lt;=$O$2,$D414,$D414-($D414-$I$400)*MIN(N$3-$O$2,$Q$2)/$Q$2))</f>
        <v>12425.9511881646</v>
      </c>
      <c r="O414" s="15" t="n">
        <f aca="false">SUMPRODUCT(E414:N414,1/(1+$F$400)^$E$3:$N$3)*$E$2</f>
        <v>37713.1972511914</v>
      </c>
      <c r="P414" s="15" t="n">
        <f aca="false">N414*$E$2*(1+$I$400)/($F$400-$I$400)/(1+$F$400)^$N$3</f>
        <v>69265.1976376671</v>
      </c>
      <c r="Q414" s="15" t="n">
        <f aca="false">O414+P414</f>
        <v>106978.394888858</v>
      </c>
      <c r="R414" s="15" t="n">
        <f aca="false">Q414-$G$2+$I$2</f>
        <v>87518.3948888584</v>
      </c>
      <c r="S414" s="40" t="n">
        <f aca="false">R414/$K$2</f>
        <v>155.895892140684</v>
      </c>
      <c r="T414" s="41" t="n">
        <f aca="false">S414-$M$2</f>
        <v>0.0862054700982355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0.009033203125</v>
      </c>
      <c r="C415" s="25" t="n">
        <f aca="false">IF(T414&gt;0,D414,C414)</f>
        <v>0.00921630859375</v>
      </c>
      <c r="D415" s="39" t="n">
        <f aca="false">(B415+C415)/2</f>
        <v>0.009124755859375</v>
      </c>
      <c r="E415" s="15" t="n">
        <f aca="false">$C$2*(1+IF(E$3&lt;=$O$2,$D415,$D415-($D415-$I$400)*MIN(E$3-$O$2,$Q$2)/$Q$2))</f>
        <v>10656.357421875</v>
      </c>
      <c r="F415" s="15" t="n">
        <f aca="false">E415*(1+IF(F$3&lt;=$O$2,$D415,$D415-($D415-$I$400)*MIN(F$3-$O$2,$Q$2)/$Q$2))</f>
        <v>10753.5940816998</v>
      </c>
      <c r="G415" s="15" t="n">
        <f aca="false">F415*(1+IF(G$3&lt;=$O$2,$D415,$D415-($D415-$I$400)*MIN(G$3-$O$2,$Q$2)/$Q$2))</f>
        <v>10851.7180023062</v>
      </c>
      <c r="H415" s="15" t="n">
        <f aca="false">G415*(1+IF(H$3&lt;=$O$2,$D415,$D415-($D415-$I$400)*MIN(H$3-$O$2,$Q$2)/$Q$2))</f>
        <v>10950.737279732</v>
      </c>
      <c r="I415" s="15" t="n">
        <f aca="false">H415*(1+IF(I$3&lt;=$O$2,$D415,$D415-($D415-$I$400)*MIN(I$3-$O$2,$Q$2)/$Q$2))</f>
        <v>11050.6600838897</v>
      </c>
      <c r="J415" s="15" t="n">
        <f aca="false">I415*(1+IF(J$3&lt;=$O$2,$D415,$D415-($D415-$I$400)*MIN(J$3-$O$2,$Q$2)/$Q$2))</f>
        <v>11204.9251403288</v>
      </c>
      <c r="K415" s="15" t="n">
        <f aca="false">J415*(1+IF(K$3&lt;=$O$2,$D415,$D415-($D415-$I$400)*MIN(K$3-$O$2,$Q$2)/$Q$2))</f>
        <v>11415.5200669948</v>
      </c>
      <c r="L415" s="15" t="n">
        <f aca="false">K415*(1+IF(L$3&lt;=$O$2,$D415,$D415-($D415-$I$400)*MIN(L$3-$O$2,$Q$2)/$Q$2))</f>
        <v>11685.267691381</v>
      </c>
      <c r="M415" s="15" t="n">
        <f aca="false">L415*(1+IF(M$3&lt;=$O$2,$D415,$D415-($D415-$I$400)*MIN(M$3-$O$2,$Q$2)/$Q$2))</f>
        <v>12017.8882656465</v>
      </c>
      <c r="N415" s="15" t="n">
        <f aca="false">M415*(1+IF(N$3&lt;=$O$2,$D415,$D415-($D415-$I$400)*MIN(N$3-$O$2,$Q$2)/$Q$2))</f>
        <v>12418.0839448925</v>
      </c>
      <c r="O415" s="15" t="n">
        <f aca="false">SUMPRODUCT(E415:N415,1/(1+$F$400)^$E$3:$N$3)*$E$2</f>
        <v>37697.9939106664</v>
      </c>
      <c r="P415" s="15" t="n">
        <f aca="false">N415*$E$2*(1+$I$400)/($F$400-$I$400)/(1+$F$400)^$N$3</f>
        <v>69221.3437586476</v>
      </c>
      <c r="Q415" s="15" t="n">
        <f aca="false">O415+P415</f>
        <v>106919.337669314</v>
      </c>
      <c r="R415" s="15" t="n">
        <f aca="false">Q415-$G$2+$I$2</f>
        <v>87459.337669314</v>
      </c>
      <c r="S415" s="40" t="n">
        <f aca="false">R415/$K$2</f>
        <v>155.790693937038</v>
      </c>
      <c r="T415" s="41" t="n">
        <f aca="false">S415-$M$2</f>
        <v>-0.0189927335470657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0.009124755859375</v>
      </c>
      <c r="C416" s="25" t="n">
        <f aca="false">IF(T415&gt;0,D415,C415)</f>
        <v>0.00921630859375</v>
      </c>
      <c r="D416" s="39" t="n">
        <f aca="false">(B416+C416)/2</f>
        <v>0.0091705322265625</v>
      </c>
      <c r="E416" s="15" t="n">
        <f aca="false">$C$2*(1+IF(E$3&lt;=$O$2,$D416,$D416-($D416-$I$400)*MIN(E$3-$O$2,$Q$2)/$Q$2))</f>
        <v>10656.8408203125</v>
      </c>
      <c r="F416" s="15" t="n">
        <f aca="false">E416*(1+IF(F$3&lt;=$O$2,$D416,$D416-($D416-$I$400)*MIN(F$3-$O$2,$Q$2)/$Q$2))</f>
        <v>10754.5697224885</v>
      </c>
      <c r="G416" s="15" t="n">
        <f aca="false">F416*(1+IF(G$3&lt;=$O$2,$D416,$D416-($D416-$I$400)*MIN(G$3-$O$2,$Q$2)/$Q$2))</f>
        <v>10853.1948507114</v>
      </c>
      <c r="H416" s="15" t="n">
        <f aca="false">G416*(1+IF(H$3&lt;=$O$2,$D416,$D416-($D416-$I$400)*MIN(H$3-$O$2,$Q$2)/$Q$2))</f>
        <v>10952.724423851</v>
      </c>
      <c r="I416" s="15" t="n">
        <f aca="false">H416*(1+IF(I$3&lt;=$O$2,$D416,$D416-($D416-$I$400)*MIN(I$3-$O$2,$Q$2)/$Q$2))</f>
        <v>11053.1667361486</v>
      </c>
      <c r="J416" s="15" t="n">
        <f aca="false">I416*(1+IF(J$3&lt;=$O$2,$D416,$D416-($D416-$I$400)*MIN(J$3-$O$2,$Q$2)/$Q$2))</f>
        <v>11207.8715640189</v>
      </c>
      <c r="K416" s="15" t="n">
        <f aca="false">J416*(1+IF(K$3&lt;=$O$2,$D416,$D416-($D416-$I$400)*MIN(K$3-$O$2,$Q$2)/$Q$2))</f>
        <v>11418.829701673</v>
      </c>
      <c r="L416" s="15" t="n">
        <f aca="false">K416*(1+IF(L$3&lt;=$O$2,$D416,$D416-($D416-$I$400)*MIN(L$3-$O$2,$Q$2)/$Q$2))</f>
        <v>11688.86461742</v>
      </c>
      <c r="M416" s="15" t="n">
        <f aca="false">L416*(1+IF(M$3&lt;=$O$2,$D416,$D416-($D416-$I$400)*MIN(M$3-$O$2,$Q$2)/$Q$2))</f>
        <v>12021.6945927613</v>
      </c>
      <c r="N416" s="15" t="n">
        <f aca="false">M416*(1+IF(N$3&lt;=$O$2,$D416,$D416-($D416-$I$400)*MIN(N$3-$O$2,$Q$2)/$Q$2))</f>
        <v>12422.0170227002</v>
      </c>
      <c r="O416" s="15" t="n">
        <f aca="false">SUMPRODUCT(E416:N416,1/(1+$F$400)^$E$3:$N$3)*$E$2</f>
        <v>37705.5948013236</v>
      </c>
      <c r="P416" s="15" t="n">
        <f aca="false">N416*$E$2*(1+$I$400)/($F$400-$I$400)/(1+$F$400)^$N$3</f>
        <v>69243.2676667292</v>
      </c>
      <c r="Q416" s="15" t="n">
        <f aca="false">O416+P416</f>
        <v>106948.862468053</v>
      </c>
      <c r="R416" s="15" t="n">
        <f aca="false">Q416-$G$2+$I$2</f>
        <v>87488.8624680528</v>
      </c>
      <c r="S416" s="40" t="n">
        <f aca="false">R416/$K$2</f>
        <v>155.843286250294</v>
      </c>
      <c r="T416" s="41" t="n">
        <f aca="false">S416-$M$2</f>
        <v>0.0335995797089481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0.009124755859375</v>
      </c>
      <c r="C417" s="25" t="n">
        <f aca="false">IF(T416&gt;0,D416,C416)</f>
        <v>0.0091705322265625</v>
      </c>
      <c r="D417" s="39" t="n">
        <f aca="false">(B417+C417)/2</f>
        <v>0.00914764404296875</v>
      </c>
      <c r="E417" s="15" t="n">
        <f aca="false">$C$2*(1+IF(E$3&lt;=$O$2,$D417,$D417-($D417-$I$400)*MIN(E$3-$O$2,$Q$2)/$Q$2))</f>
        <v>10656.5991210938</v>
      </c>
      <c r="F417" s="15" t="n">
        <f aca="false">E417*(1+IF(F$3&lt;=$O$2,$D417,$D417-($D417-$I$400)*MIN(F$3-$O$2,$Q$2)/$Q$2))</f>
        <v>10754.0818965621</v>
      </c>
      <c r="G417" s="15" t="n">
        <f aca="false">F417*(1+IF(G$3&lt;=$O$2,$D417,$D417-($D417-$I$400)*MIN(G$3-$O$2,$Q$2)/$Q$2))</f>
        <v>10852.4564097608</v>
      </c>
      <c r="H417" s="15" t="n">
        <f aca="false">G417*(1+IF(H$3&lt;=$O$2,$D417,$D417-($D417-$I$400)*MIN(H$3-$O$2,$Q$2)/$Q$2))</f>
        <v>10951.7308179891</v>
      </c>
      <c r="I417" s="15" t="n">
        <f aca="false">H417*(1+IF(I$3&lt;=$O$2,$D417,$D417-($D417-$I$400)*MIN(I$3-$O$2,$Q$2)/$Q$2))</f>
        <v>11051.9133531665</v>
      </c>
      <c r="J417" s="15" t="n">
        <f aca="false">I417*(1+IF(J$3&lt;=$O$2,$D417,$D417-($D417-$I$400)*MIN(J$3-$O$2,$Q$2)/$Q$2))</f>
        <v>11206.3982715774</v>
      </c>
      <c r="K417" s="15" t="n">
        <f aca="false">J417*(1+IF(K$3&lt;=$O$2,$D417,$D417-($D417-$I$400)*MIN(K$3-$O$2,$Q$2)/$Q$2))</f>
        <v>11417.1747819901</v>
      </c>
      <c r="L417" s="15" t="n">
        <f aca="false">K417*(1+IF(L$3&lt;=$O$2,$D417,$D417-($D417-$I$400)*MIN(L$3-$O$2,$Q$2)/$Q$2))</f>
        <v>11687.0660344871</v>
      </c>
      <c r="M417" s="15" t="n">
        <f aca="false">L417*(1+IF(M$3&lt;=$O$2,$D417,$D417-($D417-$I$400)*MIN(M$3-$O$2,$Q$2)/$Q$2))</f>
        <v>12019.7912976438</v>
      </c>
      <c r="N417" s="15" t="n">
        <f aca="false">M417*(1+IF(N$3&lt;=$O$2,$D417,$D417-($D417-$I$400)*MIN(N$3-$O$2,$Q$2)/$Q$2))</f>
        <v>12420.0503478554</v>
      </c>
      <c r="O417" s="15" t="n">
        <f aca="false">SUMPRODUCT(E417:N417,1/(1+$F$400)^$E$3:$N$3)*$E$2</f>
        <v>37701.7941611125</v>
      </c>
      <c r="P417" s="15" t="n">
        <f aca="false">N417*$E$2*(1+$I$400)/($F$400-$I$400)/(1+$F$400)^$N$3</f>
        <v>69232.3049549212</v>
      </c>
      <c r="Q417" s="15" t="n">
        <f aca="false">O417+P417</f>
        <v>106934.099116034</v>
      </c>
      <c r="R417" s="15" t="n">
        <f aca="false">Q417-$G$2+$I$2</f>
        <v>87474.0991160337</v>
      </c>
      <c r="S417" s="40" t="n">
        <f aca="false">R417/$K$2</f>
        <v>155.816988396718</v>
      </c>
      <c r="T417" s="41" t="n">
        <f aca="false">S417-$M$2</f>
        <v>0.00730172613276636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0.009124755859375</v>
      </c>
      <c r="C418" s="25" t="n">
        <f aca="false">IF(T417&gt;0,D417,C417)</f>
        <v>0.00914764404296875</v>
      </c>
      <c r="D418" s="39" t="n">
        <f aca="false">(B418+C418)/2</f>
        <v>0.00913619995117188</v>
      </c>
      <c r="E418" s="15" t="n">
        <f aca="false">$C$2*(1+IF(E$3&lt;=$O$2,$D418,$D418-($D418-$I$400)*MIN(E$3-$O$2,$Q$2)/$Q$2))</f>
        <v>10656.4782714844</v>
      </c>
      <c r="F418" s="15" t="n">
        <f aca="false">E418*(1+IF(F$3&lt;=$O$2,$D418,$D418-($D418-$I$400)*MIN(F$3-$O$2,$Q$2)/$Q$2))</f>
        <v>10753.837987748</v>
      </c>
      <c r="G418" s="15" t="n">
        <f aca="false">F418*(1+IF(G$3&lt;=$O$2,$D418,$D418-($D418-$I$400)*MIN(G$3-$O$2,$Q$2)/$Q$2))</f>
        <v>10852.0872018465</v>
      </c>
      <c r="H418" s="15" t="n">
        <f aca="false">G418*(1+IF(H$3&lt;=$O$2,$D418,$D418-($D418-$I$400)*MIN(H$3-$O$2,$Q$2)/$Q$2))</f>
        <v>10951.2340404102</v>
      </c>
      <c r="I418" s="15" t="n">
        <f aca="false">H418*(1+IF(I$3&lt;=$O$2,$D418,$D418-($D418-$I$400)*MIN(I$3-$O$2,$Q$2)/$Q$2))</f>
        <v>11051.2867043154</v>
      </c>
      <c r="J418" s="15" t="n">
        <f aca="false">I418*(1+IF(J$3&lt;=$O$2,$D418,$D418-($D418-$I$400)*MIN(J$3-$O$2,$Q$2)/$Q$2))</f>
        <v>11205.6616858049</v>
      </c>
      <c r="K418" s="15" t="n">
        <f aca="false">J418*(1+IF(K$3&lt;=$O$2,$D418,$D418-($D418-$I$400)*MIN(K$3-$O$2,$Q$2)/$Q$2))</f>
        <v>11416.3473989078</v>
      </c>
      <c r="L418" s="15" t="n">
        <f aca="false">K418*(1+IF(L$3&lt;=$O$2,$D418,$D418-($D418-$I$400)*MIN(L$3-$O$2,$Q$2)/$Q$2))</f>
        <v>11686.1668329574</v>
      </c>
      <c r="M418" s="15" t="n">
        <f aca="false">L418*(1+IF(M$3&lt;=$O$2,$D418,$D418-($D418-$I$400)*MIN(M$3-$O$2,$Q$2)/$Q$2))</f>
        <v>12018.8397487571</v>
      </c>
      <c r="N418" s="15" t="n">
        <f aca="false">M418*(1+IF(N$3&lt;=$O$2,$D418,$D418-($D418-$I$400)*MIN(N$3-$O$2,$Q$2)/$Q$2))</f>
        <v>12419.0671123907</v>
      </c>
      <c r="O418" s="15" t="n">
        <f aca="false">SUMPRODUCT(E418:N418,1/(1+$F$400)^$E$3:$N$3)*$E$2</f>
        <v>37699.8939871712</v>
      </c>
      <c r="P418" s="15" t="n">
        <f aca="false">N418*$E$2*(1+$I$400)/($F$400-$I$400)/(1+$F$400)^$N$3</f>
        <v>69226.8241673538</v>
      </c>
      <c r="Q418" s="15" t="n">
        <f aca="false">O418+P418</f>
        <v>106926.718154525</v>
      </c>
      <c r="R418" s="15" t="n">
        <f aca="false">Q418-$G$2+$I$2</f>
        <v>87466.718154525</v>
      </c>
      <c r="S418" s="40" t="n">
        <f aca="false">R418/$K$2</f>
        <v>155.803840742666</v>
      </c>
      <c r="T418" s="41" t="n">
        <f aca="false">S418-$M$2</f>
        <v>-0.00584592791992122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0.00913619995117188</v>
      </c>
      <c r="C419" s="25" t="n">
        <f aca="false">IF(T418&gt;0,D418,C418)</f>
        <v>0.00914764404296875</v>
      </c>
      <c r="D419" s="39" t="n">
        <f aca="false">(B419+C419)/2</f>
        <v>0.00914192199707031</v>
      </c>
      <c r="E419" s="15" t="n">
        <f aca="false">$C$2*(1+IF(E$3&lt;=$O$2,$D419,$D419-($D419-$I$400)*MIN(E$3-$O$2,$Q$2)/$Q$2))</f>
        <v>10656.5386962891</v>
      </c>
      <c r="F419" s="15" t="n">
        <f aca="false">E419*(1+IF(F$3&lt;=$O$2,$D419,$D419-($D419-$I$400)*MIN(F$3-$O$2,$Q$2)/$Q$2))</f>
        <v>10753.9599418093</v>
      </c>
      <c r="G419" s="15" t="n">
        <f aca="false">F419*(1+IF(G$3&lt;=$O$2,$D419,$D419-($D419-$I$400)*MIN(G$3-$O$2,$Q$2)/$Q$2))</f>
        <v>10852.2718047569</v>
      </c>
      <c r="H419" s="15" t="n">
        <f aca="false">G419*(1+IF(H$3&lt;=$O$2,$D419,$D419-($D419-$I$400)*MIN(H$3-$O$2,$Q$2)/$Q$2))</f>
        <v>10951.482427087</v>
      </c>
      <c r="I419" s="15" t="n">
        <f aca="false">H419*(1+IF(I$3&lt;=$O$2,$D419,$D419-($D419-$I$400)*MIN(I$3-$O$2,$Q$2)/$Q$2))</f>
        <v>11051.6000251877</v>
      </c>
      <c r="J419" s="15" t="n">
        <f aca="false">I419*(1+IF(J$3&lt;=$O$2,$D419,$D419-($D419-$I$400)*MIN(J$3-$O$2,$Q$2)/$Q$2))</f>
        <v>11206.029973654</v>
      </c>
      <c r="K419" s="15" t="n">
        <f aca="false">J419*(1+IF(K$3&lt;=$O$2,$D419,$D419-($D419-$I$400)*MIN(K$3-$O$2,$Q$2)/$Q$2))</f>
        <v>11416.7610840526</v>
      </c>
      <c r="L419" s="15" t="n">
        <f aca="false">K419*(1+IF(L$3&lt;=$O$2,$D419,$D419-($D419-$I$400)*MIN(L$3-$O$2,$Q$2)/$Q$2))</f>
        <v>11686.6164262278</v>
      </c>
      <c r="M419" s="15" t="n">
        <f aca="false">L419*(1+IF(M$3&lt;=$O$2,$D419,$D419-($D419-$I$400)*MIN(M$3-$O$2,$Q$2)/$Q$2))</f>
        <v>12019.3155149782</v>
      </c>
      <c r="N419" s="15" t="n">
        <f aca="false">M419*(1+IF(N$3&lt;=$O$2,$D419,$D419-($D419-$I$400)*MIN(N$3-$O$2,$Q$2)/$Q$2))</f>
        <v>12419.558721627</v>
      </c>
      <c r="O419" s="15" t="n">
        <f aca="false">SUMPRODUCT(E419:N419,1/(1+$F$400)^$E$3:$N$3)*$E$2</f>
        <v>37700.844061962</v>
      </c>
      <c r="P419" s="15" t="n">
        <f aca="false">N419*$E$2*(1+$I$400)/($F$400-$I$400)/(1+$F$400)^$N$3</f>
        <v>69229.5645137784</v>
      </c>
      <c r="Q419" s="15" t="n">
        <f aca="false">O419+P419</f>
        <v>106930.40857574</v>
      </c>
      <c r="R419" s="15" t="n">
        <f aca="false">Q419-$G$2+$I$2</f>
        <v>87470.4085757404</v>
      </c>
      <c r="S419" s="40" t="n">
        <f aca="false">R419/$K$2</f>
        <v>155.810414463636</v>
      </c>
      <c r="T419" s="41" t="n">
        <f aca="false">S419-$M$2</f>
        <v>0.000727793050174341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0.00913619995117188</v>
      </c>
      <c r="C420" s="25" t="n">
        <f aca="false">IF(T419&gt;0,D419,C419)</f>
        <v>0.00914192199707031</v>
      </c>
      <c r="D420" s="39" t="n">
        <f aca="false">(B420+C420)/2</f>
        <v>0.00913906097412109</v>
      </c>
      <c r="E420" s="15" t="n">
        <f aca="false">$C$2*(1+IF(E$3&lt;=$O$2,$D420,$D420-($D420-$I$400)*MIN(E$3-$O$2,$Q$2)/$Q$2))</f>
        <v>10656.5084838867</v>
      </c>
      <c r="F420" s="15" t="n">
        <f aca="false">E420*(1+IF(F$3&lt;=$O$2,$D420,$D420-($D420-$I$400)*MIN(F$3-$O$2,$Q$2)/$Q$2))</f>
        <v>10753.8989646922</v>
      </c>
      <c r="G420" s="15" t="n">
        <f aca="false">F420*(1+IF(G$3&lt;=$O$2,$D420,$D420-($D420-$I$400)*MIN(G$3-$O$2,$Q$2)/$Q$2))</f>
        <v>10852.1795030401</v>
      </c>
      <c r="H420" s="15" t="n">
        <f aca="false">G420*(1+IF(H$3&lt;=$O$2,$D420,$D420-($D420-$I$400)*MIN(H$3-$O$2,$Q$2)/$Q$2))</f>
        <v>10951.3582332204</v>
      </c>
      <c r="I420" s="15" t="n">
        <f aca="false">H420*(1+IF(I$3&lt;=$O$2,$D420,$D420-($D420-$I$400)*MIN(I$3-$O$2,$Q$2)/$Q$2))</f>
        <v>11051.4433638633</v>
      </c>
      <c r="J420" s="15" t="n">
        <f aca="false">I420*(1+IF(J$3&lt;=$O$2,$D420,$D420-($D420-$I$400)*MIN(J$3-$O$2,$Q$2)/$Q$2))</f>
        <v>11205.8458284701</v>
      </c>
      <c r="K420" s="15" t="n">
        <f aca="false">J420*(1+IF(K$3&lt;=$O$2,$D420,$D420-($D420-$I$400)*MIN(K$3-$O$2,$Q$2)/$Q$2))</f>
        <v>11416.5542398812</v>
      </c>
      <c r="L420" s="15" t="n">
        <f aca="false">K420*(1+IF(L$3&lt;=$O$2,$D420,$D420-($D420-$I$400)*MIN(L$3-$O$2,$Q$2)/$Q$2))</f>
        <v>11686.391627719</v>
      </c>
      <c r="M420" s="15" t="n">
        <f aca="false">L420*(1+IF(M$3&lt;=$O$2,$D420,$D420-($D420-$I$400)*MIN(M$3-$O$2,$Q$2)/$Q$2))</f>
        <v>12019.0776298121</v>
      </c>
      <c r="N420" s="15" t="n">
        <f aca="false">M420*(1+IF(N$3&lt;=$O$2,$D420,$D420-($D420-$I$400)*MIN(N$3-$O$2,$Q$2)/$Q$2))</f>
        <v>12419.3129148849</v>
      </c>
      <c r="O420" s="15" t="n">
        <f aca="false">SUMPRODUCT(E420:N420,1/(1+$F$400)^$E$3:$N$3)*$E$2</f>
        <v>37700.3690215217</v>
      </c>
      <c r="P420" s="15" t="n">
        <f aca="false">N420*$E$2*(1+$I$400)/($F$400-$I$400)/(1+$F$400)^$N$3</f>
        <v>69228.1943287266</v>
      </c>
      <c r="Q420" s="15" t="n">
        <f aca="false">O420+P420</f>
        <v>106928.563350248</v>
      </c>
      <c r="R420" s="15" t="n">
        <f aca="false">Q420-$G$2+$I$2</f>
        <v>87468.5633502482</v>
      </c>
      <c r="S420" s="40" t="n">
        <f aca="false">R420/$K$2</f>
        <v>155.807127576637</v>
      </c>
      <c r="T420" s="41" t="n">
        <f aca="false">S420-$M$2</f>
        <v>-0.00255909394854825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0.00913906097412109</v>
      </c>
      <c r="C421" s="25" t="n">
        <f aca="false">IF(T420&gt;0,D420,C420)</f>
        <v>0.00914192199707031</v>
      </c>
      <c r="D421" s="39" t="n">
        <f aca="false">(B421+C421)/2</f>
        <v>0.0091404914855957</v>
      </c>
      <c r="E421" s="15" t="n">
        <f aca="false">$C$2*(1+IF(E$3&lt;=$O$2,$D421,$D421-($D421-$I$400)*MIN(E$3-$O$2,$Q$2)/$Q$2))</f>
        <v>10656.5235900879</v>
      </c>
      <c r="F421" s="15" t="n">
        <f aca="false">E421*(1+IF(F$3&lt;=$O$2,$D421,$D421-($D421-$I$400)*MIN(F$3-$O$2,$Q$2)/$Q$2))</f>
        <v>10753.9294532291</v>
      </c>
      <c r="G421" s="15" t="n">
        <f aca="false">F421*(1+IF(G$3&lt;=$O$2,$D421,$D421-($D421-$I$400)*MIN(G$3-$O$2,$Q$2)/$Q$2))</f>
        <v>10852.2256538331</v>
      </c>
      <c r="H421" s="15" t="n">
        <f aca="false">G421*(1+IF(H$3&lt;=$O$2,$D421,$D421-($D421-$I$400)*MIN(H$3-$O$2,$Q$2)/$Q$2))</f>
        <v>10951.4203300217</v>
      </c>
      <c r="I421" s="15" t="n">
        <f aca="false">H421*(1+IF(I$3&lt;=$O$2,$D421,$D421-($D421-$I$400)*MIN(I$3-$O$2,$Q$2)/$Q$2))</f>
        <v>11051.5216943034</v>
      </c>
      <c r="J421" s="15" t="n">
        <f aca="false">I421*(1+IF(J$3&lt;=$O$2,$D421,$D421-($D421-$I$400)*MIN(J$3-$O$2,$Q$2)/$Q$2))</f>
        <v>11205.9379007472</v>
      </c>
      <c r="K421" s="15" t="n">
        <f aca="false">J421*(1+IF(K$3&lt;=$O$2,$D421,$D421-($D421-$I$400)*MIN(K$3-$O$2,$Q$2)/$Q$2))</f>
        <v>11416.6576615671</v>
      </c>
      <c r="L421" s="15" t="n">
        <f aca="false">K421*(1+IF(L$3&lt;=$O$2,$D421,$D421-($D421-$I$400)*MIN(L$3-$O$2,$Q$2)/$Q$2))</f>
        <v>11686.504026505</v>
      </c>
      <c r="M421" s="15" t="n">
        <f aca="false">L421*(1+IF(M$3&lt;=$O$2,$D421,$D421-($D421-$I$400)*MIN(M$3-$O$2,$Q$2)/$Q$2))</f>
        <v>12019.1965718813</v>
      </c>
      <c r="N421" s="15" t="n">
        <f aca="false">M421*(1+IF(N$3&lt;=$O$2,$D421,$D421-($D421-$I$400)*MIN(N$3-$O$2,$Q$2)/$Q$2))</f>
        <v>12419.4358177249</v>
      </c>
      <c r="O421" s="15" t="n">
        <f aca="false">SUMPRODUCT(E421:N421,1/(1+$F$400)^$E$3:$N$3)*$E$2</f>
        <v>37700.6065409806</v>
      </c>
      <c r="P421" s="15" t="n">
        <f aca="false">N421*$E$2*(1+$I$400)/($F$400-$I$400)/(1+$F$400)^$N$3</f>
        <v>69228.8794182926</v>
      </c>
      <c r="Q421" s="15" t="n">
        <f aca="false">O421+P421</f>
        <v>106929.485959273</v>
      </c>
      <c r="R421" s="15" t="n">
        <f aca="false">Q421-$G$2+$I$2</f>
        <v>87469.4859592732</v>
      </c>
      <c r="S421" s="40" t="n">
        <f aca="false">R421/$K$2</f>
        <v>155.808771013508</v>
      </c>
      <c r="T421" s="41" t="n">
        <f aca="false">S421-$M$2</f>
        <v>-0.000915657077683818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0.0091404914855957</v>
      </c>
      <c r="C422" s="25" t="n">
        <f aca="false">IF(T421&gt;0,D421,C421)</f>
        <v>0.00914192199707031</v>
      </c>
      <c r="D422" s="39" t="n">
        <f aca="false">(B422+C422)/2</f>
        <v>0.00914120674133301</v>
      </c>
      <c r="E422" s="15" t="n">
        <f aca="false">$C$2*(1+IF(E$3&lt;=$O$2,$D422,$D422-($D422-$I$400)*MIN(E$3-$O$2,$Q$2)/$Q$2))</f>
        <v>10656.5311431885</v>
      </c>
      <c r="F422" s="15" t="n">
        <f aca="false">E422*(1+IF(F$3&lt;=$O$2,$D422,$D422-($D422-$I$400)*MIN(F$3-$O$2,$Q$2)/$Q$2))</f>
        <v>10753.9446975138</v>
      </c>
      <c r="G422" s="15" t="n">
        <f aca="false">F422*(1+IF(G$3&lt;=$O$2,$D422,$D422-($D422-$I$400)*MIN(G$3-$O$2,$Q$2)/$Q$2))</f>
        <v>10852.2487292787</v>
      </c>
      <c r="H422" s="15" t="n">
        <f aca="false">G422*(1+IF(H$3&lt;=$O$2,$D422,$D422-($D422-$I$400)*MIN(H$3-$O$2,$Q$2)/$Q$2))</f>
        <v>10951.4513785214</v>
      </c>
      <c r="I422" s="15" t="n">
        <f aca="false">H422*(1+IF(I$3&lt;=$O$2,$D422,$D422-($D422-$I$400)*MIN(I$3-$O$2,$Q$2)/$Q$2))</f>
        <v>11051.5608596901</v>
      </c>
      <c r="J422" s="15" t="n">
        <f aca="false">I422*(1+IF(J$3&lt;=$O$2,$D422,$D422-($D422-$I$400)*MIN(J$3-$O$2,$Q$2)/$Q$2))</f>
        <v>11205.9839371219</v>
      </c>
      <c r="K422" s="15" t="n">
        <f aca="false">J422*(1+IF(K$3&lt;=$O$2,$D422,$D422-($D422-$I$400)*MIN(K$3-$O$2,$Q$2)/$Q$2))</f>
        <v>11416.7093727099</v>
      </c>
      <c r="L422" s="15" t="n">
        <f aca="false">K422*(1+IF(L$3&lt;=$O$2,$D422,$D422-($D422-$I$400)*MIN(L$3-$O$2,$Q$2)/$Q$2))</f>
        <v>11686.5602262493</v>
      </c>
      <c r="M422" s="15" t="n">
        <f aca="false">L422*(1+IF(M$3&lt;=$O$2,$D422,$D422-($D422-$I$400)*MIN(M$3-$O$2,$Q$2)/$Q$2))</f>
        <v>12019.2560433013</v>
      </c>
      <c r="N422" s="15" t="n">
        <f aca="false">M422*(1+IF(N$3&lt;=$O$2,$D422,$D422-($D422-$I$400)*MIN(N$3-$O$2,$Q$2)/$Q$2))</f>
        <v>12419.4972695432</v>
      </c>
      <c r="O422" s="15" t="n">
        <f aca="false">SUMPRODUCT(E422:N422,1/(1+$F$400)^$E$3:$N$3)*$E$2</f>
        <v>37700.725301281</v>
      </c>
      <c r="P422" s="15" t="n">
        <f aca="false">N422*$E$2*(1+$I$400)/($F$400-$I$400)/(1+$F$400)^$N$3</f>
        <v>69229.2219652955</v>
      </c>
      <c r="Q422" s="15" t="n">
        <f aca="false">O422+P422</f>
        <v>106929.947266576</v>
      </c>
      <c r="R422" s="15" t="n">
        <f aca="false">Q422-$G$2+$I$2</f>
        <v>87469.9472665765</v>
      </c>
      <c r="S422" s="40" t="n">
        <f aca="false">R422/$K$2</f>
        <v>155.809592736915</v>
      </c>
      <c r="T422" s="41" t="n">
        <f aca="false">S422-$M$2</f>
        <v>-9.39336708825067E-005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0.00914120674133301</v>
      </c>
      <c r="C423" s="25" t="n">
        <f aca="false">IF(T422&gt;0,D422,C422)</f>
        <v>0.00914192199707031</v>
      </c>
      <c r="D423" s="39" t="n">
        <f aca="false">(B423+C423)/2</f>
        <v>0.00914156436920166</v>
      </c>
      <c r="E423" s="15" t="n">
        <f aca="false">$C$2*(1+IF(E$3&lt;=$O$2,$D423,$D423-($D423-$I$400)*MIN(E$3-$O$2,$Q$2)/$Q$2))</f>
        <v>10656.5349197388</v>
      </c>
      <c r="F423" s="15" t="n">
        <f aca="false">E423*(1+IF(F$3&lt;=$O$2,$D423,$D423-($D423-$I$400)*MIN(F$3-$O$2,$Q$2)/$Q$2))</f>
        <v>10753.9523196602</v>
      </c>
      <c r="G423" s="15" t="n">
        <f aca="false">F423*(1+IF(G$3&lt;=$O$2,$D423,$D423-($D423-$I$400)*MIN(G$3-$O$2,$Q$2)/$Q$2))</f>
        <v>10852.2602670137</v>
      </c>
      <c r="H423" s="15" t="n">
        <f aca="false">G423*(1+IF(H$3&lt;=$O$2,$D423,$D423-($D423-$I$400)*MIN(H$3-$O$2,$Q$2)/$Q$2))</f>
        <v>10951.4669027959</v>
      </c>
      <c r="I423" s="15" t="n">
        <f aca="false">H423*(1+IF(I$3&lt;=$O$2,$D423,$D423-($D423-$I$400)*MIN(I$3-$O$2,$Q$2)/$Q$2))</f>
        <v>11051.580442425</v>
      </c>
      <c r="J423" s="15" t="n">
        <f aca="false">I423*(1+IF(J$3&lt;=$O$2,$D423,$D423-($D423-$I$400)*MIN(J$3-$O$2,$Q$2)/$Q$2))</f>
        <v>11206.0069553683</v>
      </c>
      <c r="K423" s="15" t="n">
        <f aca="false">J423*(1+IF(K$3&lt;=$O$2,$D423,$D423-($D423-$I$400)*MIN(K$3-$O$2,$Q$2)/$Q$2))</f>
        <v>11416.7352283563</v>
      </c>
      <c r="L423" s="15" t="n">
        <f aca="false">K423*(1+IF(L$3&lt;=$O$2,$D423,$D423-($D423-$I$400)*MIN(L$3-$O$2,$Q$2)/$Q$2))</f>
        <v>11686.5883262093</v>
      </c>
      <c r="M423" s="15" t="n">
        <f aca="false">L423*(1+IF(M$3&lt;=$O$2,$D423,$D423-($D423-$I$400)*MIN(M$3-$O$2,$Q$2)/$Q$2))</f>
        <v>12019.2857791076</v>
      </c>
      <c r="N423" s="15" t="n">
        <f aca="false">M423*(1+IF(N$3&lt;=$O$2,$D423,$D423-($D423-$I$400)*MIN(N$3-$O$2,$Q$2)/$Q$2))</f>
        <v>12419.5279955519</v>
      </c>
      <c r="O423" s="15" t="n">
        <f aca="false">SUMPRODUCT(E423:N423,1/(1+$F$400)^$E$3:$N$3)*$E$2</f>
        <v>37700.7846815739</v>
      </c>
      <c r="P423" s="15" t="n">
        <f aca="false">N423*$E$2*(1+$I$400)/($F$400-$I$400)/(1+$F$400)^$N$3</f>
        <v>69229.393239352</v>
      </c>
      <c r="Q423" s="15" t="n">
        <f aca="false">O423+P423</f>
        <v>106930.177920926</v>
      </c>
      <c r="R423" s="15" t="n">
        <f aca="false">Q423-$G$2+$I$2</f>
        <v>87470.1779209259</v>
      </c>
      <c r="S423" s="40" t="n">
        <f aca="false">R423/$K$2</f>
        <v>155.810003599861</v>
      </c>
      <c r="T423" s="41" t="n">
        <f aca="false">S423-$M$2</f>
        <v>0.000316929275385292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0.00914120674133301</v>
      </c>
      <c r="C424" s="25" t="n">
        <f aca="false">IF(T423&gt;0,D423,C423)</f>
        <v>0.00914156436920166</v>
      </c>
      <c r="D424" s="39" t="n">
        <f aca="false">(B424+C424)/2</f>
        <v>0.00914138555526733</v>
      </c>
      <c r="E424" s="15" t="n">
        <f aca="false">$C$2*(1+IF(E$3&lt;=$O$2,$D424,$D424-($D424-$I$400)*MIN(E$3-$O$2,$Q$2)/$Q$2))</f>
        <v>10656.5330314636</v>
      </c>
      <c r="F424" s="15" t="n">
        <f aca="false">E424*(1+IF(F$3&lt;=$O$2,$D424,$D424-($D424-$I$400)*MIN(F$3-$O$2,$Q$2)/$Q$2))</f>
        <v>10753.9485085867</v>
      </c>
      <c r="G424" s="15" t="n">
        <f aca="false">F424*(1+IF(G$3&lt;=$O$2,$D424,$D424-($D424-$I$400)*MIN(G$3-$O$2,$Q$2)/$Q$2))</f>
        <v>10852.2544981452</v>
      </c>
      <c r="H424" s="15" t="n">
        <f aca="false">G424*(1+IF(H$3&lt;=$O$2,$D424,$D424-($D424-$I$400)*MIN(H$3-$O$2,$Q$2)/$Q$2))</f>
        <v>10951.4591406566</v>
      </c>
      <c r="I424" s="15" t="n">
        <f aca="false">H424*(1+IF(I$3&lt;=$O$2,$D424,$D424-($D424-$I$400)*MIN(I$3-$O$2,$Q$2)/$Q$2))</f>
        <v>11051.5706510541</v>
      </c>
      <c r="J424" s="15" t="n">
        <f aca="false">I424*(1+IF(J$3&lt;=$O$2,$D424,$D424-($D424-$I$400)*MIN(J$3-$O$2,$Q$2)/$Q$2))</f>
        <v>11205.9954462402</v>
      </c>
      <c r="K424" s="15" t="n">
        <f aca="false">J424*(1+IF(K$3&lt;=$O$2,$D424,$D424-($D424-$I$400)*MIN(K$3-$O$2,$Q$2)/$Q$2))</f>
        <v>11416.7223005269</v>
      </c>
      <c r="L424" s="15" t="n">
        <f aca="false">K424*(1+IF(L$3&lt;=$O$2,$D424,$D424-($D424-$I$400)*MIN(L$3-$O$2,$Q$2)/$Q$2))</f>
        <v>11686.574276222</v>
      </c>
      <c r="M424" s="15" t="n">
        <f aca="false">L424*(1+IF(M$3&lt;=$O$2,$D424,$D424-($D424-$I$400)*MIN(M$3-$O$2,$Q$2)/$Q$2))</f>
        <v>12019.2709111964</v>
      </c>
      <c r="N424" s="15" t="n">
        <f aca="false">M424*(1+IF(N$3&lt;=$O$2,$D424,$D424-($D424-$I$400)*MIN(N$3-$O$2,$Q$2)/$Q$2))</f>
        <v>12419.5126325392</v>
      </c>
      <c r="O424" s="15" t="n">
        <f aca="false">SUMPRODUCT(E424:N424,1/(1+$F$400)^$E$3:$N$3)*$E$2</f>
        <v>37700.7549914156</v>
      </c>
      <c r="P424" s="15" t="n">
        <f aca="false">N424*$E$2*(1+$I$400)/($F$400-$I$400)/(1+$F$400)^$N$3</f>
        <v>69229.3076022775</v>
      </c>
      <c r="Q424" s="15" t="n">
        <f aca="false">O424+P424</f>
        <v>106930.062593693</v>
      </c>
      <c r="R424" s="15" t="n">
        <f aca="false">Q424-$G$2+$I$2</f>
        <v>87470.0625936931</v>
      </c>
      <c r="S424" s="40" t="n">
        <f aca="false">R424/$K$2</f>
        <v>155.809798168284</v>
      </c>
      <c r="T424" s="41" t="n">
        <f aca="false">S424-$M$2</f>
        <v>0.000111497698696894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0.00914120674133301</v>
      </c>
      <c r="C425" s="25" t="n">
        <f aca="false">IF(T424&gt;0,D424,C424)</f>
        <v>0.00914138555526733</v>
      </c>
      <c r="D425" s="39" t="n">
        <f aca="false">(B425+C425)/2</f>
        <v>0.00914129614830017</v>
      </c>
      <c r="E425" s="15" t="n">
        <f aca="false">$C$2*(1+IF(E$3&lt;=$O$2,$D425,$D425-($D425-$I$400)*MIN(E$3-$O$2,$Q$2)/$Q$2))</f>
        <v>10656.5320873261</v>
      </c>
      <c r="F425" s="15" t="n">
        <f aca="false">E425*(1+IF(F$3&lt;=$O$2,$D425,$D425-($D425-$I$400)*MIN(F$3-$O$2,$Q$2)/$Q$2))</f>
        <v>10753.9466030502</v>
      </c>
      <c r="G425" s="15" t="n">
        <f aca="false">F425*(1+IF(G$3&lt;=$O$2,$D425,$D425-($D425-$I$400)*MIN(G$3-$O$2,$Q$2)/$Q$2))</f>
        <v>10852.2516137116</v>
      </c>
      <c r="H425" s="15" t="n">
        <f aca="false">G425*(1+IF(H$3&lt;=$O$2,$D425,$D425-($D425-$I$400)*MIN(H$3-$O$2,$Q$2)/$Q$2))</f>
        <v>10951.4552595885</v>
      </c>
      <c r="I425" s="15" t="n">
        <f aca="false">H425*(1+IF(I$3&lt;=$O$2,$D425,$D425-($D425-$I$400)*MIN(I$3-$O$2,$Q$2)/$Q$2))</f>
        <v>11051.5657553712</v>
      </c>
      <c r="J425" s="15" t="n">
        <f aca="false">I425*(1+IF(J$3&lt;=$O$2,$D425,$D425-($D425-$I$400)*MIN(J$3-$O$2,$Q$2)/$Q$2))</f>
        <v>11205.9896916798</v>
      </c>
      <c r="K425" s="15" t="n">
        <f aca="false">J425*(1+IF(K$3&lt;=$O$2,$D425,$D425-($D425-$I$400)*MIN(K$3-$O$2,$Q$2)/$Q$2))</f>
        <v>11416.7158366168</v>
      </c>
      <c r="L425" s="15" t="n">
        <f aca="false">K425*(1+IF(L$3&lt;=$O$2,$D425,$D425-($D425-$I$400)*MIN(L$3-$O$2,$Q$2)/$Q$2))</f>
        <v>11686.5672512338</v>
      </c>
      <c r="M425" s="15" t="n">
        <f aca="false">L425*(1+IF(M$3&lt;=$O$2,$D425,$D425-($D425-$I$400)*MIN(M$3-$O$2,$Q$2)/$Q$2))</f>
        <v>12019.2634772468</v>
      </c>
      <c r="N425" s="15" t="n">
        <f aca="false">M425*(1+IF(N$3&lt;=$O$2,$D425,$D425-($D425-$I$400)*MIN(N$3-$O$2,$Q$2)/$Q$2))</f>
        <v>12419.5049510391</v>
      </c>
      <c r="O425" s="15" t="n">
        <f aca="false">SUMPRODUCT(E425:N425,1/(1+$F$400)^$E$3:$N$3)*$E$2</f>
        <v>37700.7401463453</v>
      </c>
      <c r="P425" s="15" t="n">
        <f aca="false">N425*$E$2*(1+$I$400)/($F$400-$I$400)/(1+$F$400)^$N$3</f>
        <v>69229.264783775</v>
      </c>
      <c r="Q425" s="15" t="n">
        <f aca="false">O425+P425</f>
        <v>106930.00493012</v>
      </c>
      <c r="R425" s="15" t="n">
        <f aca="false">Q425-$G$2+$I$2</f>
        <v>87470.0049301203</v>
      </c>
      <c r="S425" s="40" t="n">
        <f aca="false">R425/$K$2</f>
        <v>155.809695452574</v>
      </c>
      <c r="T425" s="41" t="n">
        <f aca="false">S425-$M$2</f>
        <v>8.7819880150164E-006</v>
      </c>
    </row>
    <row r="427" customFormat="false" ht="15" hidden="false" customHeight="false" outlineLevel="0" collapsed="false">
      <c r="A427" s="36" t="s">
        <v>201</v>
      </c>
      <c r="E427" s="5" t="s">
        <v>11</v>
      </c>
      <c r="F427" s="12" t="n">
        <f aca="false">Sensitivity!$B$12</f>
        <v>0.0770172026214128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6" t="s">
        <v>167</v>
      </c>
      <c r="B428" s="28" t="s">
        <v>168</v>
      </c>
      <c r="C428" s="28" t="s">
        <v>169</v>
      </c>
      <c r="D428" s="28" t="s">
        <v>170</v>
      </c>
      <c r="E428" s="28" t="s">
        <v>171</v>
      </c>
      <c r="F428" s="28" t="s">
        <v>172</v>
      </c>
      <c r="G428" s="28" t="s">
        <v>173</v>
      </c>
      <c r="H428" s="28" t="s">
        <v>174</v>
      </c>
      <c r="I428" s="28" t="s">
        <v>175</v>
      </c>
      <c r="J428" s="28" t="s">
        <v>176</v>
      </c>
      <c r="K428" s="28" t="s">
        <v>177</v>
      </c>
      <c r="L428" s="28" t="s">
        <v>178</v>
      </c>
      <c r="M428" s="28" t="s">
        <v>179</v>
      </c>
      <c r="N428" s="28" t="s">
        <v>180</v>
      </c>
      <c r="O428" s="28" t="s">
        <v>181</v>
      </c>
      <c r="P428" s="28" t="s">
        <v>182</v>
      </c>
      <c r="Q428" s="28" t="s">
        <v>183</v>
      </c>
      <c r="R428" s="28" t="s">
        <v>184</v>
      </c>
      <c r="S428" s="28" t="s">
        <v>185</v>
      </c>
      <c r="T428" s="28" t="s">
        <v>186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39" t="n">
        <f aca="false">(B429+C429)/2</f>
        <v>0.25</v>
      </c>
      <c r="E429" s="15" t="n">
        <f aca="false">$C$2*(1+IF(E$3&lt;=$O$2,$D429,$D429-($D429-$I$427)*MIN(E$3-$O$2,$Q$2)/$Q$2))</f>
        <v>13200</v>
      </c>
      <c r="F429" s="15" t="n">
        <f aca="false">E429*(1+IF(F$3&lt;=$O$2,$D429,$D429-($D429-$I$427)*MIN(F$3-$O$2,$Q$2)/$Q$2))</f>
        <v>16500</v>
      </c>
      <c r="G429" s="15" t="n">
        <f aca="false">F429*(1+IF(G$3&lt;=$O$2,$D429,$D429-($D429-$I$427)*MIN(G$3-$O$2,$Q$2)/$Q$2))</f>
        <v>20625</v>
      </c>
      <c r="H429" s="15" t="n">
        <f aca="false">G429*(1+IF(H$3&lt;=$O$2,$D429,$D429-($D429-$I$427)*MIN(H$3-$O$2,$Q$2)/$Q$2))</f>
        <v>25781.25</v>
      </c>
      <c r="I429" s="15" t="n">
        <f aca="false">H429*(1+IF(I$3&lt;=$O$2,$D429,$D429-($D429-$I$427)*MIN(I$3-$O$2,$Q$2)/$Q$2))</f>
        <v>32226.5625</v>
      </c>
      <c r="J429" s="15" t="n">
        <f aca="false">I429*(1+IF(J$3&lt;=$O$2,$D429,$D429-($D429-$I$427)*MIN(J$3-$O$2,$Q$2)/$Q$2))</f>
        <v>38918.73046875</v>
      </c>
      <c r="K429" s="15" t="n">
        <f aca="false">J429*(1+IF(K$3&lt;=$O$2,$D429,$D429-($D429-$I$427)*MIN(K$3-$O$2,$Q$2)/$Q$2))</f>
        <v>45352.7749898438</v>
      </c>
      <c r="L429" s="15" t="n">
        <f aca="false">K429*(1+IF(L$3&lt;=$O$2,$D429,$D429-($D429-$I$427)*MIN(L$3-$O$2,$Q$2)/$Q$2))</f>
        <v>50930.2592580947</v>
      </c>
      <c r="M429" s="15" t="n">
        <f aca="false">L429*(1+IF(M$3&lt;=$O$2,$D429,$D429-($D429-$I$427)*MIN(M$3-$O$2,$Q$2)/$Q$2))</f>
        <v>55037.2753646675</v>
      </c>
      <c r="N429" s="15" t="n">
        <f aca="false">M429*(1+IF(N$3&lt;=$O$2,$D429,$D429-($D429-$I$427)*MIN(N$3-$O$2,$Q$2)/$Q$2))</f>
        <v>57145.2030111343</v>
      </c>
      <c r="O429" s="15" t="n">
        <f aca="false">SUMPRODUCT(E429:N429,1/(1+$F$427)^$E$3:$N$3)*$E$2</f>
        <v>108896.0723175</v>
      </c>
      <c r="P429" s="15" t="n">
        <f aca="false">N429*$E$2*(1+$I$427)/($F$427-$I$427)/(1+$F$427)^$N$3</f>
        <v>361418.211303272</v>
      </c>
      <c r="Q429" s="15" t="n">
        <f aca="false">O429+P429</f>
        <v>470314.283620772</v>
      </c>
      <c r="R429" s="15" t="n">
        <f aca="false">Q429-$G$2+$I$2</f>
        <v>450854.283620772</v>
      </c>
      <c r="S429" s="40" t="n">
        <f aca="false">R429/$K$2</f>
        <v>803.103517377886</v>
      </c>
      <c r="T429" s="41" t="n">
        <f aca="false">S429-$M$2</f>
        <v>647.293830707301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39" t="n">
        <f aca="false">(B430+C430)/2</f>
        <v>-0.125</v>
      </c>
      <c r="E430" s="15" t="n">
        <f aca="false">$C$2*(1+IF(E$3&lt;=$O$2,$D430,$D430-($D430-$I$427)*MIN(E$3-$O$2,$Q$2)/$Q$2))</f>
        <v>9240</v>
      </c>
      <c r="F430" s="15" t="n">
        <f aca="false">E430*(1+IF(F$3&lt;=$O$2,$D430,$D430-($D430-$I$427)*MIN(F$3-$O$2,$Q$2)/$Q$2))</f>
        <v>8085</v>
      </c>
      <c r="G430" s="15" t="n">
        <f aca="false">F430*(1+IF(G$3&lt;=$O$2,$D430,$D430-($D430-$I$427)*MIN(G$3-$O$2,$Q$2)/$Q$2))</f>
        <v>7074.375</v>
      </c>
      <c r="H430" s="15" t="n">
        <f aca="false">G430*(1+IF(H$3&lt;=$O$2,$D430,$D430-($D430-$I$427)*MIN(H$3-$O$2,$Q$2)/$Q$2))</f>
        <v>6190.078125</v>
      </c>
      <c r="I430" s="15" t="n">
        <f aca="false">H430*(1+IF(I$3&lt;=$O$2,$D430,$D430-($D430-$I$427)*MIN(I$3-$O$2,$Q$2)/$Q$2))</f>
        <v>5416.318359375</v>
      </c>
      <c r="J430" s="15" t="n">
        <f aca="false">I430*(1+IF(J$3&lt;=$O$2,$D430,$D430-($D430-$I$427)*MIN(J$3-$O$2,$Q$2)/$Q$2))</f>
        <v>4916.17552207031</v>
      </c>
      <c r="K430" s="15" t="n">
        <f aca="false">J430*(1+IF(K$3&lt;=$O$2,$D430,$D430-($D430-$I$427)*MIN(K$3-$O$2,$Q$2)/$Q$2))</f>
        <v>4622.77816691316</v>
      </c>
      <c r="L430" s="15" t="n">
        <f aca="false">K430*(1+IF(L$3&lt;=$O$2,$D430,$D430-($D430-$I$427)*MIN(L$3-$O$2,$Q$2)/$Q$2))</f>
        <v>4497.87070084316</v>
      </c>
      <c r="M430" s="15" t="n">
        <f aca="false">L430*(1+IF(M$3&lt;=$O$2,$D430,$D430-($D430-$I$427)*MIN(M$3-$O$2,$Q$2)/$Q$2))</f>
        <v>4523.23869159592</v>
      </c>
      <c r="N430" s="15" t="n">
        <f aca="false">M430*(1+IF(N$3&lt;=$O$2,$D430,$D430-($D430-$I$427)*MIN(N$3-$O$2,$Q$2)/$Q$2))</f>
        <v>4696.47873348404</v>
      </c>
      <c r="O430" s="15" t="n">
        <f aca="false">SUMPRODUCT(E430:N430,1/(1+$F$427)^$E$3:$N$3)*$E$2</f>
        <v>21044.0864661737</v>
      </c>
      <c r="P430" s="15" t="n">
        <f aca="false">N430*$E$2*(1+$I$427)/($F$427-$I$427)/(1+$F$427)^$N$3</f>
        <v>29703.157112749</v>
      </c>
      <c r="Q430" s="15" t="n">
        <f aca="false">O430+P430</f>
        <v>50747.2435789227</v>
      </c>
      <c r="R430" s="15" t="n">
        <f aca="false">Q430-$G$2+$I$2</f>
        <v>31287.2435789227</v>
      </c>
      <c r="S430" s="40" t="n">
        <f aca="false">R430/$K$2</f>
        <v>55.7317436700381</v>
      </c>
      <c r="T430" s="41" t="n">
        <f aca="false">S430-$M$2</f>
        <v>-100.077943000547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39" t="n">
        <f aca="false">(B431+C431)/2</f>
        <v>0.0625</v>
      </c>
      <c r="E431" s="15" t="n">
        <f aca="false">$C$2*(1+IF(E$3&lt;=$O$2,$D431,$D431-($D431-$I$427)*MIN(E$3-$O$2,$Q$2)/$Q$2))</f>
        <v>11220</v>
      </c>
      <c r="F431" s="15" t="n">
        <f aca="false">E431*(1+IF(F$3&lt;=$O$2,$D431,$D431-($D431-$I$427)*MIN(F$3-$O$2,$Q$2)/$Q$2))</f>
        <v>11921.25</v>
      </c>
      <c r="G431" s="15" t="n">
        <f aca="false">F431*(1+IF(G$3&lt;=$O$2,$D431,$D431-($D431-$I$427)*MIN(G$3-$O$2,$Q$2)/$Q$2))</f>
        <v>12666.328125</v>
      </c>
      <c r="H431" s="15" t="n">
        <f aca="false">G431*(1+IF(H$3&lt;=$O$2,$D431,$D431-($D431-$I$427)*MIN(H$3-$O$2,$Q$2)/$Q$2))</f>
        <v>13457.9736328125</v>
      </c>
      <c r="I431" s="15" t="n">
        <f aca="false">H431*(1+IF(I$3&lt;=$O$2,$D431,$D431-($D431-$I$427)*MIN(I$3-$O$2,$Q$2)/$Q$2))</f>
        <v>14299.0969848633</v>
      </c>
      <c r="J431" s="15" t="n">
        <f aca="false">I431*(1+IF(J$3&lt;=$O$2,$D431,$D431-($D431-$I$427)*MIN(J$3-$O$2,$Q$2)/$Q$2))</f>
        <v>15123.5829170105</v>
      </c>
      <c r="K431" s="15" t="n">
        <f aca="false">J431*(1+IF(K$3&lt;=$O$2,$D431,$D431-($D431-$I$427)*MIN(K$3-$O$2,$Q$2)/$Q$2))</f>
        <v>15922.410566687</v>
      </c>
      <c r="L431" s="15" t="n">
        <f aca="false">K431*(1+IF(L$3&lt;=$O$2,$D431,$D431-($D431-$I$427)*MIN(L$3-$O$2,$Q$2)/$Q$2))</f>
        <v>16686.3678256766</v>
      </c>
      <c r="M431" s="15" t="n">
        <f aca="false">L431*(1+IF(M$3&lt;=$O$2,$D431,$D431-($D431-$I$427)*MIN(M$3-$O$2,$Q$2)/$Q$2))</f>
        <v>17406.2177336763</v>
      </c>
      <c r="N431" s="15" t="n">
        <f aca="false">M431*(1+IF(N$3&lt;=$O$2,$D431,$D431-($D431-$I$427)*MIN(N$3-$O$2,$Q$2)/$Q$2))</f>
        <v>18072.8758728761</v>
      </c>
      <c r="O431" s="15" t="n">
        <f aca="false">SUMPRODUCT(E431:N431,1/(1+$F$427)^$E$3:$N$3)*$E$2</f>
        <v>47849.884005709</v>
      </c>
      <c r="P431" s="15" t="n">
        <f aca="false">N431*$E$2*(1+$I$427)/($F$427-$I$427)/(1+$F$427)^$N$3</f>
        <v>114302.970798936</v>
      </c>
      <c r="Q431" s="15" t="n">
        <f aca="false">O431+P431</f>
        <v>162152.854804645</v>
      </c>
      <c r="R431" s="15" t="n">
        <f aca="false">Q431-$G$2+$I$2</f>
        <v>142692.854804645</v>
      </c>
      <c r="S431" s="40" t="n">
        <f aca="false">R431/$K$2</f>
        <v>254.177763773215</v>
      </c>
      <c r="T431" s="41" t="n">
        <f aca="false">S431-$M$2</f>
        <v>98.3680771026291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39" t="n">
        <f aca="false">(B432+C432)/2</f>
        <v>-0.03125</v>
      </c>
      <c r="E432" s="15" t="n">
        <f aca="false">$C$2*(1+IF(E$3&lt;=$O$2,$D432,$D432-($D432-$I$427)*MIN(E$3-$O$2,$Q$2)/$Q$2))</f>
        <v>10230</v>
      </c>
      <c r="F432" s="15" t="n">
        <f aca="false">E432*(1+IF(F$3&lt;=$O$2,$D432,$D432-($D432-$I$427)*MIN(F$3-$O$2,$Q$2)/$Q$2))</f>
        <v>9910.3125</v>
      </c>
      <c r="G432" s="15" t="n">
        <f aca="false">F432*(1+IF(G$3&lt;=$O$2,$D432,$D432-($D432-$I$427)*MIN(G$3-$O$2,$Q$2)/$Q$2))</f>
        <v>9600.615234375</v>
      </c>
      <c r="H432" s="15" t="n">
        <f aca="false">G432*(1+IF(H$3&lt;=$O$2,$D432,$D432-($D432-$I$427)*MIN(H$3-$O$2,$Q$2)/$Q$2))</f>
        <v>9300.59600830078</v>
      </c>
      <c r="I432" s="15" t="n">
        <f aca="false">H432*(1+IF(I$3&lt;=$O$2,$D432,$D432-($D432-$I$427)*MIN(I$3-$O$2,$Q$2)/$Q$2))</f>
        <v>9009.95238304138</v>
      </c>
      <c r="J432" s="15" t="n">
        <f aca="false">I432*(1+IF(J$3&lt;=$O$2,$D432,$D432-($D432-$I$427)*MIN(J$3-$O$2,$Q$2)/$Q$2))</f>
        <v>8853.71980871945</v>
      </c>
      <c r="K432" s="15" t="n">
        <f aca="false">J432*(1+IF(K$3&lt;=$O$2,$D432,$D432-($D432-$I$427)*MIN(K$3-$O$2,$Q$2)/$Q$2))</f>
        <v>8823.35154977554</v>
      </c>
      <c r="L432" s="15" t="n">
        <f aca="false">K432*(1+IF(L$3&lt;=$O$2,$D432,$D432-($D432-$I$427)*MIN(L$3-$O$2,$Q$2)/$Q$2))</f>
        <v>8915.82027401718</v>
      </c>
      <c r="M432" s="15" t="n">
        <f aca="false">L432*(1+IF(M$3&lt;=$O$2,$D432,$D432-($D432-$I$427)*MIN(M$3-$O$2,$Q$2)/$Q$2))</f>
        <v>9133.27713050046</v>
      </c>
      <c r="N432" s="15" t="n">
        <f aca="false">M432*(1+IF(N$3&lt;=$O$2,$D432,$D432-($D432-$I$427)*MIN(N$3-$O$2,$Q$2)/$Q$2))</f>
        <v>9483.08164459863</v>
      </c>
      <c r="O432" s="15" t="n">
        <f aca="false">SUMPRODUCT(E432:N432,1/(1+$F$427)^$E$3:$N$3)*$E$2</f>
        <v>31648.7580094358</v>
      </c>
      <c r="P432" s="15" t="n">
        <f aca="false">N432*$E$2*(1+$I$427)/($F$427-$I$427)/(1+$F$427)^$N$3</f>
        <v>59976.3099094413</v>
      </c>
      <c r="Q432" s="15" t="n">
        <f aca="false">O432+P432</f>
        <v>91625.0679188771</v>
      </c>
      <c r="R432" s="15" t="n">
        <f aca="false">Q432-$G$2+$I$2</f>
        <v>72165.0679188771</v>
      </c>
      <c r="S432" s="40" t="n">
        <f aca="false">R432/$K$2</f>
        <v>128.547120395584</v>
      </c>
      <c r="T432" s="41" t="n">
        <f aca="false">S432-$M$2</f>
        <v>-27.2625662750012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39" t="n">
        <f aca="false">(B433+C433)/2</f>
        <v>0.015625</v>
      </c>
      <c r="E433" s="15" t="n">
        <f aca="false">$C$2*(1+IF(E$3&lt;=$O$2,$D433,$D433-($D433-$I$427)*MIN(E$3-$O$2,$Q$2)/$Q$2))</f>
        <v>10725</v>
      </c>
      <c r="F433" s="15" t="n">
        <f aca="false">E433*(1+IF(F$3&lt;=$O$2,$D433,$D433-($D433-$I$427)*MIN(F$3-$O$2,$Q$2)/$Q$2))</f>
        <v>10892.578125</v>
      </c>
      <c r="G433" s="15" t="n">
        <f aca="false">F433*(1+IF(G$3&lt;=$O$2,$D433,$D433-($D433-$I$427)*MIN(G$3-$O$2,$Q$2)/$Q$2))</f>
        <v>11062.7746582031</v>
      </c>
      <c r="H433" s="15" t="n">
        <f aca="false">G433*(1+IF(H$3&lt;=$O$2,$D433,$D433-($D433-$I$427)*MIN(H$3-$O$2,$Q$2)/$Q$2))</f>
        <v>11235.6305122375</v>
      </c>
      <c r="I433" s="15" t="n">
        <f aca="false">H433*(1+IF(I$3&lt;=$O$2,$D433,$D433-($D433-$I$427)*MIN(I$3-$O$2,$Q$2)/$Q$2))</f>
        <v>11411.1872389913</v>
      </c>
      <c r="J433" s="15" t="n">
        <f aca="false">I433*(1+IF(J$3&lt;=$O$2,$D433,$D433-($D433-$I$427)*MIN(J$3-$O$2,$Q$2)/$Q$2))</f>
        <v>11641.2367737293</v>
      </c>
      <c r="K433" s="15" t="n">
        <f aca="false">J433*(1+IF(K$3&lt;=$O$2,$D433,$D433-($D433-$I$427)*MIN(K$3-$O$2,$Q$2)/$Q$2))</f>
        <v>11928.7171158566</v>
      </c>
      <c r="L433" s="15" t="n">
        <f aca="false">K433*(1+IF(L$3&lt;=$O$2,$D433,$D433-($D433-$I$427)*MIN(L$3-$O$2,$Q$2)/$Q$2))</f>
        <v>12277.3935171531</v>
      </c>
      <c r="M433" s="15" t="n">
        <f aca="false">L433*(1+IF(M$3&lt;=$O$2,$D433,$D433-($D433-$I$427)*MIN(M$3-$O$2,$Q$2)/$Q$2))</f>
        <v>12691.9397092597</v>
      </c>
      <c r="N433" s="15" t="n">
        <f aca="false">M433*(1+IF(N$3&lt;=$O$2,$D433,$D433-($D433-$I$427)*MIN(N$3-$O$2,$Q$2)/$Q$2))</f>
        <v>13178.0410001244</v>
      </c>
      <c r="O433" s="15" t="n">
        <f aca="false">SUMPRODUCT(E433:N433,1/(1+$F$427)^$E$3:$N$3)*$E$2</f>
        <v>38902.724005669</v>
      </c>
      <c r="P433" s="15" t="n">
        <f aca="false">N433*$E$2*(1+$I$427)/($F$427-$I$427)/(1+$F$427)^$N$3</f>
        <v>83345.298568948</v>
      </c>
      <c r="Q433" s="15" t="n">
        <f aca="false">O433+P433</f>
        <v>122248.022574617</v>
      </c>
      <c r="R433" s="15" t="n">
        <f aca="false">Q433-$G$2+$I$2</f>
        <v>102788.022574617</v>
      </c>
      <c r="S433" s="40" t="n">
        <f aca="false">R433/$K$2</f>
        <v>183.095570948213</v>
      </c>
      <c r="T433" s="41" t="n">
        <f aca="false">S433-$M$2</f>
        <v>27.2858842776271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-0.03125</v>
      </c>
      <c r="C434" s="25" t="n">
        <f aca="false">IF(T433&gt;0,D433,C433)</f>
        <v>0.015625</v>
      </c>
      <c r="D434" s="39" t="n">
        <f aca="false">(B434+C434)/2</f>
        <v>-0.0078125</v>
      </c>
      <c r="E434" s="15" t="n">
        <f aca="false">$C$2*(1+IF(E$3&lt;=$O$2,$D434,$D434-($D434-$I$427)*MIN(E$3-$O$2,$Q$2)/$Q$2))</f>
        <v>10477.5</v>
      </c>
      <c r="F434" s="15" t="n">
        <f aca="false">E434*(1+IF(F$3&lt;=$O$2,$D434,$D434-($D434-$I$427)*MIN(F$3-$O$2,$Q$2)/$Q$2))</f>
        <v>10395.64453125</v>
      </c>
      <c r="G434" s="15" t="n">
        <f aca="false">F434*(1+IF(G$3&lt;=$O$2,$D434,$D434-($D434-$I$427)*MIN(G$3-$O$2,$Q$2)/$Q$2))</f>
        <v>10314.4285583496</v>
      </c>
      <c r="H434" s="15" t="n">
        <f aca="false">G434*(1+IF(H$3&lt;=$O$2,$D434,$D434-($D434-$I$427)*MIN(H$3-$O$2,$Q$2)/$Q$2))</f>
        <v>10233.8470852375</v>
      </c>
      <c r="I434" s="15" t="n">
        <f aca="false">H434*(1+IF(I$3&lt;=$O$2,$D434,$D434-($D434-$I$427)*MIN(I$3-$O$2,$Q$2)/$Q$2))</f>
        <v>10153.8951548841</v>
      </c>
      <c r="J434" s="15" t="n">
        <f aca="false">I434*(1+IF(J$3&lt;=$O$2,$D434,$D434-($D434-$I$427)*MIN(J$3-$O$2,$Q$2)/$Q$2))</f>
        <v>10168.2121470525</v>
      </c>
      <c r="K434" s="15" t="n">
        <f aca="false">J434*(1+IF(K$3&lt;=$O$2,$D434,$D434-($D434-$I$427)*MIN(K$3-$O$2,$Q$2)/$Q$2))</f>
        <v>10276.325662706</v>
      </c>
      <c r="L434" s="15" t="n">
        <f aca="false">K434*(1+IF(L$3&lt;=$O$2,$D434,$D434-($D434-$I$427)*MIN(L$3-$O$2,$Q$2)/$Q$2))</f>
        <v>10480.362108739</v>
      </c>
      <c r="M434" s="15" t="n">
        <f aca="false">L434*(1+IF(M$3&lt;=$O$2,$D434,$D434-($D434-$I$427)*MIN(M$3-$O$2,$Q$2)/$Q$2))</f>
        <v>10785.1048379559</v>
      </c>
      <c r="N434" s="15" t="n">
        <f aca="false">M434*(1+IF(N$3&lt;=$O$2,$D434,$D434-($D434-$I$427)*MIN(N$3-$O$2,$Q$2)/$Q$2))</f>
        <v>11198.1743532496</v>
      </c>
      <c r="O434" s="15" t="n">
        <f aca="false">SUMPRODUCT(E434:N434,1/(1+$F$427)^$E$3:$N$3)*$E$2</f>
        <v>35084.4990187189</v>
      </c>
      <c r="P434" s="15" t="n">
        <f aca="false">N434*$E$2*(1+$I$427)/($F$427-$I$427)/(1+$F$427)^$N$3</f>
        <v>70823.5150345879</v>
      </c>
      <c r="Q434" s="15" t="n">
        <f aca="false">O434+P434</f>
        <v>105908.014053307</v>
      </c>
      <c r="R434" s="15" t="n">
        <f aca="false">Q434-$G$2+$I$2</f>
        <v>86448.0140533069</v>
      </c>
      <c r="S434" s="40" t="n">
        <f aca="false">R434/$K$2</f>
        <v>153.989230398309</v>
      </c>
      <c r="T434" s="41" t="n">
        <f aca="false">S434-$M$2</f>
        <v>-1.8204562722762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-0.0078125</v>
      </c>
      <c r="C435" s="25" t="n">
        <f aca="false">IF(T434&gt;0,D434,C434)</f>
        <v>0.015625</v>
      </c>
      <c r="D435" s="39" t="n">
        <f aca="false">(B435+C435)/2</f>
        <v>0.00390625</v>
      </c>
      <c r="E435" s="15" t="n">
        <f aca="false">$C$2*(1+IF(E$3&lt;=$O$2,$D435,$D435-($D435-$I$427)*MIN(E$3-$O$2,$Q$2)/$Q$2))</f>
        <v>10601.25</v>
      </c>
      <c r="F435" s="15" t="n">
        <f aca="false">E435*(1+IF(F$3&lt;=$O$2,$D435,$D435-($D435-$I$427)*MIN(F$3-$O$2,$Q$2)/$Q$2))</f>
        <v>10642.6611328125</v>
      </c>
      <c r="G435" s="15" t="n">
        <f aca="false">F435*(1+IF(G$3&lt;=$O$2,$D435,$D435-($D435-$I$427)*MIN(G$3-$O$2,$Q$2)/$Q$2))</f>
        <v>10684.2340278625</v>
      </c>
      <c r="H435" s="15" t="n">
        <f aca="false">G435*(1+IF(H$3&lt;=$O$2,$D435,$D435-($D435-$I$427)*MIN(H$3-$O$2,$Q$2)/$Q$2))</f>
        <v>10725.9693170339</v>
      </c>
      <c r="I435" s="15" t="n">
        <f aca="false">H435*(1+IF(I$3&lt;=$O$2,$D435,$D435-($D435-$I$427)*MIN(I$3-$O$2,$Q$2)/$Q$2))</f>
        <v>10767.8676346786</v>
      </c>
      <c r="J435" s="15" t="n">
        <f aca="false">I435*(1+IF(J$3&lt;=$O$2,$D435,$D435-($D435-$I$427)*MIN(J$3-$O$2,$Q$2)/$Q$2))</f>
        <v>10883.9990871186</v>
      </c>
      <c r="K435" s="15" t="n">
        <f aca="false">J435*(1+IF(K$3&lt;=$O$2,$D435,$D435-($D435-$I$427)*MIN(K$3-$O$2,$Q$2)/$Q$2))</f>
        <v>11076.2513259937</v>
      </c>
      <c r="L435" s="15" t="n">
        <f aca="false">K435*(1+IF(L$3&lt;=$O$2,$D435,$D435-($D435-$I$427)*MIN(L$3-$O$2,$Q$2)/$Q$2))</f>
        <v>11348.0902241619</v>
      </c>
      <c r="M435" s="15" t="n">
        <f aca="false">L435*(1+IF(M$3&lt;=$O$2,$D435,$D435-($D435-$I$427)*MIN(M$3-$O$2,$Q$2)/$Q$2))</f>
        <v>11704.6614041178</v>
      </c>
      <c r="N435" s="15" t="n">
        <f aca="false">M435*(1+IF(N$3&lt;=$O$2,$D435,$D435-($D435-$I$427)*MIN(N$3-$O$2,$Q$2)/$Q$2))</f>
        <v>12152.9499358955</v>
      </c>
      <c r="O435" s="15" t="n">
        <f aca="false">SUMPRODUCT(E435:N435,1/(1+$F$427)^$E$3:$N$3)*$E$2</f>
        <v>36943.3869761357</v>
      </c>
      <c r="P435" s="15" t="n">
        <f aca="false">N435*$E$2*(1+$I$427)/($F$427-$I$427)/(1+$F$427)^$N$3</f>
        <v>76862.0495937999</v>
      </c>
      <c r="Q435" s="15" t="n">
        <f aca="false">O435+P435</f>
        <v>113805.436569936</v>
      </c>
      <c r="R435" s="15" t="n">
        <f aca="false">Q435-$G$2+$I$2</f>
        <v>94345.4365699356</v>
      </c>
      <c r="S435" s="40" t="n">
        <f aca="false">R435/$K$2</f>
        <v>168.056852758217</v>
      </c>
      <c r="T435" s="41" t="n">
        <f aca="false">S435-$M$2</f>
        <v>12.2471660876317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-0.0078125</v>
      </c>
      <c r="C436" s="25" t="n">
        <f aca="false">IF(T435&gt;0,D435,C435)</f>
        <v>0.00390625</v>
      </c>
      <c r="D436" s="39" t="n">
        <f aca="false">(B436+C436)/2</f>
        <v>-0.001953125</v>
      </c>
      <c r="E436" s="15" t="n">
        <f aca="false">$C$2*(1+IF(E$3&lt;=$O$2,$D436,$D436-($D436-$I$427)*MIN(E$3-$O$2,$Q$2)/$Q$2))</f>
        <v>10539.375</v>
      </c>
      <c r="F436" s="15" t="n">
        <f aca="false">E436*(1+IF(F$3&lt;=$O$2,$D436,$D436-($D436-$I$427)*MIN(F$3-$O$2,$Q$2)/$Q$2))</f>
        <v>10518.7902832031</v>
      </c>
      <c r="G436" s="15" t="n">
        <f aca="false">F436*(1+IF(G$3&lt;=$O$2,$D436,$D436-($D436-$I$427)*MIN(G$3-$O$2,$Q$2)/$Q$2))</f>
        <v>10498.2457709312</v>
      </c>
      <c r="H436" s="15" t="n">
        <f aca="false">G436*(1+IF(H$3&lt;=$O$2,$D436,$D436-($D436-$I$427)*MIN(H$3-$O$2,$Q$2)/$Q$2))</f>
        <v>10477.7413846599</v>
      </c>
      <c r="I436" s="15" t="n">
        <f aca="false">H436*(1+IF(I$3&lt;=$O$2,$D436,$D436-($D436-$I$427)*MIN(I$3-$O$2,$Q$2)/$Q$2))</f>
        <v>10457.277046018</v>
      </c>
      <c r="J436" s="15" t="n">
        <f aca="false">I436*(1+IF(J$3&lt;=$O$2,$D436,$D436-($D436-$I$427)*MIN(J$3-$O$2,$Q$2)/$Q$2))</f>
        <v>10521.0402928061</v>
      </c>
      <c r="K436" s="15" t="n">
        <f aca="false">J436*(1+IF(K$3&lt;=$O$2,$D436,$D436-($D436-$I$427)*MIN(K$3-$O$2,$Q$2)/$Q$2))</f>
        <v>10669.8932859987</v>
      </c>
      <c r="L436" s="15" t="n">
        <f aca="false">K436*(1+IF(L$3&lt;=$O$2,$D436,$D436-($D436-$I$427)*MIN(L$3-$O$2,$Q$2)/$Q$2))</f>
        <v>10906.7515795813</v>
      </c>
      <c r="M436" s="15" t="n">
        <f aca="false">L436*(1+IF(M$3&lt;=$O$2,$D436,$D436-($D436-$I$427)*MIN(M$3-$O$2,$Q$2)/$Q$2))</f>
        <v>11236.6739981439</v>
      </c>
      <c r="N436" s="15" t="n">
        <f aca="false">M436*(1+IF(N$3&lt;=$O$2,$D436,$D436-($D436-$I$427)*MIN(N$3-$O$2,$Q$2)/$Q$2))</f>
        <v>11667.0386122728</v>
      </c>
      <c r="O436" s="15" t="n">
        <f aca="false">SUMPRODUCT(E436:N436,1/(1+$F$427)^$E$3:$N$3)*$E$2</f>
        <v>36001.6968391976</v>
      </c>
      <c r="P436" s="15" t="n">
        <f aca="false">N436*$E$2*(1+$I$427)/($F$427-$I$427)/(1+$F$427)^$N$3</f>
        <v>73788.8747307847</v>
      </c>
      <c r="Q436" s="15" t="n">
        <f aca="false">O436+P436</f>
        <v>109790.571569982</v>
      </c>
      <c r="R436" s="15" t="n">
        <f aca="false">Q436-$G$2+$I$2</f>
        <v>90330.5715699823</v>
      </c>
      <c r="S436" s="40" t="n">
        <f aca="false">R436/$K$2</f>
        <v>160.905202390463</v>
      </c>
      <c r="T436" s="41" t="n">
        <f aca="false">S436-$M$2</f>
        <v>5.09551571987794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-0.0078125</v>
      </c>
      <c r="C437" s="25" t="n">
        <f aca="false">IF(T436&gt;0,D436,C436)</f>
        <v>-0.001953125</v>
      </c>
      <c r="D437" s="39" t="n">
        <f aca="false">(B437+C437)/2</f>
        <v>-0.0048828125</v>
      </c>
      <c r="E437" s="15" t="n">
        <f aca="false">$C$2*(1+IF(E$3&lt;=$O$2,$D437,$D437-($D437-$I$427)*MIN(E$3-$O$2,$Q$2)/$Q$2))</f>
        <v>10508.4375</v>
      </c>
      <c r="F437" s="15" t="n">
        <f aca="false">E437*(1+IF(F$3&lt;=$O$2,$D437,$D437-($D437-$I$427)*MIN(F$3-$O$2,$Q$2)/$Q$2))</f>
        <v>10457.1267700195</v>
      </c>
      <c r="G437" s="15" t="n">
        <f aca="false">F437*(1+IF(G$3&lt;=$O$2,$D437,$D437-($D437-$I$427)*MIN(G$3-$O$2,$Q$2)/$Q$2))</f>
        <v>10406.0665807128</v>
      </c>
      <c r="H437" s="15" t="n">
        <f aca="false">G437*(1+IF(H$3&lt;=$O$2,$D437,$D437-($D437-$I$427)*MIN(H$3-$O$2,$Q$2)/$Q$2))</f>
        <v>10355.2557087367</v>
      </c>
      <c r="I437" s="15" t="n">
        <f aca="false">H437*(1+IF(I$3&lt;=$O$2,$D437,$D437-($D437-$I$427)*MIN(I$3-$O$2,$Q$2)/$Q$2))</f>
        <v>10304.6929367213</v>
      </c>
      <c r="J437" s="15" t="n">
        <f aca="false">I437*(1+IF(J$3&lt;=$O$2,$D437,$D437-($D437-$I$427)*MIN(J$3-$O$2,$Q$2)/$Q$2))</f>
        <v>10343.3741778326</v>
      </c>
      <c r="K437" s="15" t="n">
        <f aca="false">J437*(1+IF(K$3&lt;=$O$2,$D437,$D437-($D437-$I$427)*MIN(K$3-$O$2,$Q$2)/$Q$2))</f>
        <v>10471.5318162003</v>
      </c>
      <c r="L437" s="15" t="n">
        <f aca="false">K437*(1+IF(L$3&lt;=$O$2,$D437,$D437-($D437-$I$427)*MIN(L$3-$O$2,$Q$2)/$Q$2))</f>
        <v>10691.7154067581</v>
      </c>
      <c r="M437" s="15" t="n">
        <f aca="false">L437*(1+IF(M$3&lt;=$O$2,$D437,$D437-($D437-$I$427)*MIN(M$3-$O$2,$Q$2)/$Q$2))</f>
        <v>11008.8684384943</v>
      </c>
      <c r="N437" s="15" t="n">
        <f aca="false">M437*(1+IF(N$3&lt;=$O$2,$D437,$D437-($D437-$I$427)*MIN(N$3-$O$2,$Q$2)/$Q$2))</f>
        <v>11430.5080996886</v>
      </c>
      <c r="O437" s="15" t="n">
        <f aca="false">SUMPRODUCT(E437:N437,1/(1+$F$427)^$E$3:$N$3)*$E$2</f>
        <v>35540.0744054256</v>
      </c>
      <c r="P437" s="15" t="n">
        <f aca="false">N437*$E$2*(1+$I$427)/($F$427-$I$427)/(1+$F$427)^$N$3</f>
        <v>72292.9235350181</v>
      </c>
      <c r="Q437" s="15" t="n">
        <f aca="false">O437+P437</f>
        <v>107832.997940444</v>
      </c>
      <c r="R437" s="15" t="n">
        <f aca="false">Q437-$G$2+$I$2</f>
        <v>88372.9979404437</v>
      </c>
      <c r="S437" s="40" t="n">
        <f aca="false">R437/$K$2</f>
        <v>157.418190456623</v>
      </c>
      <c r="T437" s="41" t="n">
        <f aca="false">S437-$M$2</f>
        <v>1.60850378603769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-0.0078125</v>
      </c>
      <c r="C438" s="25" t="n">
        <f aca="false">IF(T437&gt;0,D437,C437)</f>
        <v>-0.0048828125</v>
      </c>
      <c r="D438" s="39" t="n">
        <f aca="false">(B438+C438)/2</f>
        <v>-0.00634765625</v>
      </c>
      <c r="E438" s="15" t="n">
        <f aca="false">$C$2*(1+IF(E$3&lt;=$O$2,$D438,$D438-($D438-$I$427)*MIN(E$3-$O$2,$Q$2)/$Q$2))</f>
        <v>10492.96875</v>
      </c>
      <c r="F438" s="15" t="n">
        <f aca="false">E438*(1+IF(F$3&lt;=$O$2,$D438,$D438-($D438-$I$427)*MIN(F$3-$O$2,$Q$2)/$Q$2))</f>
        <v>10426.362991333</v>
      </c>
      <c r="G438" s="15" t="n">
        <f aca="false">F438*(1+IF(G$3&lt;=$O$2,$D438,$D438-($D438-$I$427)*MIN(G$3-$O$2,$Q$2)/$Q$2))</f>
        <v>10360.1800231263</v>
      </c>
      <c r="H438" s="15" t="n">
        <f aca="false">G438*(1+IF(H$3&lt;=$O$2,$D438,$D438-($D438-$I$427)*MIN(H$3-$O$2,$Q$2)/$Q$2))</f>
        <v>10294.4171616514</v>
      </c>
      <c r="I438" s="15" t="n">
        <f aca="false">H438*(1+IF(I$3&lt;=$O$2,$D438,$D438-($D438-$I$427)*MIN(I$3-$O$2,$Q$2)/$Q$2))</f>
        <v>10229.0717402151</v>
      </c>
      <c r="J438" s="15" t="n">
        <f aca="false">I438*(1+IF(J$3&lt;=$O$2,$D438,$D438-($D438-$I$427)*MIN(J$3-$O$2,$Q$2)/$Q$2))</f>
        <v>10255.4819248144</v>
      </c>
      <c r="K438" s="15" t="n">
        <f aca="false">J438*(1+IF(K$3&lt;=$O$2,$D438,$D438-($D438-$I$427)*MIN(K$3-$O$2,$Q$2)/$Q$2))</f>
        <v>10373.5369435405</v>
      </c>
      <c r="L438" s="15" t="n">
        <f aca="false">K438*(1+IF(L$3&lt;=$O$2,$D438,$D438-($D438-$I$427)*MIN(L$3-$O$2,$Q$2)/$Q$2))</f>
        <v>10585.5817638573</v>
      </c>
      <c r="M438" s="15" t="n">
        <f aca="false">L438*(1+IF(M$3&lt;=$O$2,$D438,$D438-($D438-$I$427)*MIN(M$3-$O$2,$Q$2)/$Q$2))</f>
        <v>10896.4852622532</v>
      </c>
      <c r="N438" s="15" t="n">
        <f aca="false">M438*(1+IF(N$3&lt;=$O$2,$D438,$D438-($D438-$I$427)*MIN(N$3-$O$2,$Q$2)/$Q$2))</f>
        <v>11313.8206477976</v>
      </c>
      <c r="O438" s="15" t="n">
        <f aca="false">SUMPRODUCT(E438:N438,1/(1+$F$427)^$E$3:$N$3)*$E$2</f>
        <v>35311.535538119</v>
      </c>
      <c r="P438" s="15" t="n">
        <f aca="false">N438*$E$2*(1+$I$427)/($F$427-$I$427)/(1+$F$427)^$N$3</f>
        <v>71554.9268542507</v>
      </c>
      <c r="Q438" s="15" t="n">
        <f aca="false">O438+P438</f>
        <v>106866.46239237</v>
      </c>
      <c r="R438" s="15" t="n">
        <f aca="false">Q438-$G$2+$I$2</f>
        <v>87406.4623923696</v>
      </c>
      <c r="S438" s="40" t="n">
        <f aca="false">R438/$K$2</f>
        <v>155.696507583622</v>
      </c>
      <c r="T438" s="41" t="n">
        <f aca="false">S438-$M$2</f>
        <v>-0.113179086963356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-0.00634765625</v>
      </c>
      <c r="C439" s="25" t="n">
        <f aca="false">IF(T438&gt;0,D438,C438)</f>
        <v>-0.0048828125</v>
      </c>
      <c r="D439" s="39" t="n">
        <f aca="false">(B439+C439)/2</f>
        <v>-0.005615234375</v>
      </c>
      <c r="E439" s="15" t="n">
        <f aca="false">$C$2*(1+IF(E$3&lt;=$O$2,$D439,$D439-($D439-$I$427)*MIN(E$3-$O$2,$Q$2)/$Q$2))</f>
        <v>10500.703125</v>
      </c>
      <c r="F439" s="15" t="n">
        <f aca="false">E439*(1+IF(F$3&lt;=$O$2,$D439,$D439-($D439-$I$427)*MIN(F$3-$O$2,$Q$2)/$Q$2))</f>
        <v>10441.7392158508</v>
      </c>
      <c r="G439" s="15" t="n">
        <f aca="false">F439*(1+IF(G$3&lt;=$O$2,$D439,$D439-($D439-$I$427)*MIN(G$3-$O$2,$Q$2)/$Q$2))</f>
        <v>10383.1064028712</v>
      </c>
      <c r="H439" s="15" t="n">
        <f aca="false">G439*(1+IF(H$3&lt;=$O$2,$D439,$D439-($D439-$I$427)*MIN(H$3-$O$2,$Q$2)/$Q$2))</f>
        <v>10324.8028268785</v>
      </c>
      <c r="I439" s="15" t="n">
        <f aca="false">H439*(1+IF(I$3&lt;=$O$2,$D439,$D439-($D439-$I$427)*MIN(I$3-$O$2,$Q$2)/$Q$2))</f>
        <v>10266.8266391299</v>
      </c>
      <c r="J439" s="15" t="n">
        <f aca="false">I439*(1+IF(J$3&lt;=$O$2,$D439,$D439-($D439-$I$427)*MIN(J$3-$O$2,$Q$2)/$Q$2))</f>
        <v>10299.3500208927</v>
      </c>
      <c r="K439" s="15" t="n">
        <f aca="false">J439*(1+IF(K$3&lt;=$O$2,$D439,$D439-($D439-$I$427)*MIN(K$3-$O$2,$Q$2)/$Q$2))</f>
        <v>10422.4361046463</v>
      </c>
      <c r="L439" s="15" t="n">
        <f aca="false">K439*(1+IF(L$3&lt;=$O$2,$D439,$D439-($D439-$I$427)*MIN(L$3-$O$2,$Q$2)/$Q$2))</f>
        <v>10638.5339177366</v>
      </c>
      <c r="M439" s="15" t="n">
        <f aca="false">L439*(1+IF(M$3&lt;=$O$2,$D439,$D439-($D439-$I$427)*MIN(M$3-$O$2,$Q$2)/$Q$2))</f>
        <v>10952.5510247052</v>
      </c>
      <c r="N439" s="15" t="n">
        <f aca="false">M439*(1+IF(N$3&lt;=$O$2,$D439,$D439-($D439-$I$427)*MIN(N$3-$O$2,$Q$2)/$Q$2))</f>
        <v>11372.0337289514</v>
      </c>
      <c r="O439" s="15" t="n">
        <f aca="false">SUMPRODUCT(E439:N439,1/(1+$F$427)^$E$3:$N$3)*$E$2</f>
        <v>35425.6165919182</v>
      </c>
      <c r="P439" s="15" t="n">
        <f aca="false">N439*$E$2*(1+$I$427)/($F$427-$I$427)/(1+$F$427)^$N$3</f>
        <v>71923.0989239339</v>
      </c>
      <c r="Q439" s="15" t="n">
        <f aca="false">O439+P439</f>
        <v>107348.715515852</v>
      </c>
      <c r="R439" s="15" t="n">
        <f aca="false">Q439-$G$2+$I$2</f>
        <v>87888.7155158522</v>
      </c>
      <c r="S439" s="40" t="n">
        <f aca="false">R439/$K$2</f>
        <v>156.555541630332</v>
      </c>
      <c r="T439" s="41" t="n">
        <f aca="false">S439-$M$2</f>
        <v>0.745854959746623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-0.00634765625</v>
      </c>
      <c r="C440" s="25" t="n">
        <f aca="false">IF(T439&gt;0,D439,C439)</f>
        <v>-0.005615234375</v>
      </c>
      <c r="D440" s="39" t="n">
        <f aca="false">(B440+C440)/2</f>
        <v>-0.0059814453125</v>
      </c>
      <c r="E440" s="15" t="n">
        <f aca="false">$C$2*(1+IF(E$3&lt;=$O$2,$D440,$D440-($D440-$I$427)*MIN(E$3-$O$2,$Q$2)/$Q$2))</f>
        <v>10496.8359375</v>
      </c>
      <c r="F440" s="15" t="n">
        <f aca="false">E440*(1+IF(F$3&lt;=$O$2,$D440,$D440-($D440-$I$427)*MIN(F$3-$O$2,$Q$2)/$Q$2))</f>
        <v>10434.0496873856</v>
      </c>
      <c r="G440" s="15" t="n">
        <f aca="false">F440*(1+IF(G$3&lt;=$O$2,$D440,$D440-($D440-$I$427)*MIN(G$3-$O$2,$Q$2)/$Q$2))</f>
        <v>10371.6389897926</v>
      </c>
      <c r="H440" s="15" t="n">
        <f aca="false">G440*(1+IF(H$3&lt;=$O$2,$D440,$D440-($D440-$I$427)*MIN(H$3-$O$2,$Q$2)/$Q$2))</f>
        <v>10309.6015983741</v>
      </c>
      <c r="I440" s="15" t="n">
        <f aca="false">H440*(1+IF(I$3&lt;=$O$2,$D440,$D440-($D440-$I$427)*MIN(I$3-$O$2,$Q$2)/$Q$2))</f>
        <v>10247.9352802198</v>
      </c>
      <c r="J440" s="15" t="n">
        <f aca="false">I440*(1+IF(J$3&lt;=$O$2,$D440,$D440-($D440-$I$427)*MIN(J$3-$O$2,$Q$2)/$Q$2))</f>
        <v>10277.3964929105</v>
      </c>
      <c r="K440" s="15" t="n">
        <f aca="false">J440*(1+IF(K$3&lt;=$O$2,$D440,$D440-($D440-$I$427)*MIN(K$3-$O$2,$Q$2)/$Q$2))</f>
        <v>10397.9619961356</v>
      </c>
      <c r="L440" s="15" t="n">
        <f aca="false">K440*(1+IF(L$3&lt;=$O$2,$D440,$D440-($D440-$I$427)*MIN(L$3-$O$2,$Q$2)/$Q$2))</f>
        <v>10612.0292263902</v>
      </c>
      <c r="M440" s="15" t="n">
        <f aca="false">L440*(1+IF(M$3&lt;=$O$2,$D440,$D440-($D440-$I$427)*MIN(M$3-$O$2,$Q$2)/$Q$2))</f>
        <v>10924.4867473924</v>
      </c>
      <c r="N440" s="15" t="n">
        <f aca="false">M440*(1+IF(N$3&lt;=$O$2,$D440,$D440-($D440-$I$427)*MIN(N$3-$O$2,$Q$2)/$Q$2))</f>
        <v>11342.8945898175</v>
      </c>
      <c r="O440" s="15" t="n">
        <f aca="false">SUMPRODUCT(E440:N440,1/(1+$F$427)^$E$3:$N$3)*$E$2</f>
        <v>35368.5290434755</v>
      </c>
      <c r="P440" s="15" t="n">
        <f aca="false">N440*$E$2*(1+$I$427)/($F$427-$I$427)/(1+$F$427)^$N$3</f>
        <v>71738.8067175935</v>
      </c>
      <c r="Q440" s="15" t="n">
        <f aca="false">O440+P440</f>
        <v>107107.335761069</v>
      </c>
      <c r="R440" s="15" t="n">
        <f aca="false">Q440-$G$2+$I$2</f>
        <v>87647.335761069</v>
      </c>
      <c r="S440" s="40" t="n">
        <f aca="false">R440/$K$2</f>
        <v>156.125573596019</v>
      </c>
      <c r="T440" s="41" t="n">
        <f aca="false">S440-$M$2</f>
        <v>0.315886925433375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-0.00634765625</v>
      </c>
      <c r="C441" s="25" t="n">
        <f aca="false">IF(T440&gt;0,D440,C440)</f>
        <v>-0.0059814453125</v>
      </c>
      <c r="D441" s="39" t="n">
        <f aca="false">(B441+C441)/2</f>
        <v>-0.00616455078125</v>
      </c>
      <c r="E441" s="15" t="n">
        <f aca="false">$C$2*(1+IF(E$3&lt;=$O$2,$D441,$D441-($D441-$I$427)*MIN(E$3-$O$2,$Q$2)/$Q$2))</f>
        <v>10494.90234375</v>
      </c>
      <c r="F441" s="15" t="n">
        <f aca="false">E441*(1+IF(F$3&lt;=$O$2,$D441,$D441-($D441-$I$427)*MIN(F$3-$O$2,$Q$2)/$Q$2))</f>
        <v>10430.2059853077</v>
      </c>
      <c r="G441" s="15" t="n">
        <f aca="false">F441*(1+IF(G$3&lt;=$O$2,$D441,$D441-($D441-$I$427)*MIN(G$3-$O$2,$Q$2)/$Q$2))</f>
        <v>10365.9084508524</v>
      </c>
      <c r="H441" s="15" t="n">
        <f aca="false">G441*(1+IF(H$3&lt;=$O$2,$D441,$D441-($D441-$I$427)*MIN(H$3-$O$2,$Q$2)/$Q$2))</f>
        <v>10302.0072818133</v>
      </c>
      <c r="I441" s="15" t="n">
        <f aca="false">H441*(1+IF(I$3&lt;=$O$2,$D441,$D441-($D441-$I$427)*MIN(I$3-$O$2,$Q$2)/$Q$2))</f>
        <v>10238.5000347758</v>
      </c>
      <c r="J441" s="15" t="n">
        <f aca="false">I441*(1+IF(J$3&lt;=$O$2,$D441,$D441-($D441-$I$427)*MIN(J$3-$O$2,$Q$2)/$Q$2))</f>
        <v>10266.4343423316</v>
      </c>
      <c r="K441" s="15" t="n">
        <f aca="false">J441*(1+IF(K$3&lt;=$O$2,$D441,$D441-($D441-$I$427)*MIN(K$3-$O$2,$Q$2)/$Q$2))</f>
        <v>10385.7433429487</v>
      </c>
      <c r="L441" s="15" t="n">
        <f aca="false">K441*(1+IF(L$3&lt;=$O$2,$D441,$D441-($D441-$I$427)*MIN(L$3-$O$2,$Q$2)/$Q$2))</f>
        <v>10598.7983480742</v>
      </c>
      <c r="M441" s="15" t="n">
        <f aca="false">L441*(1+IF(M$3&lt;=$O$2,$D441,$D441-($D441-$I$427)*MIN(M$3-$O$2,$Q$2)/$Q$2))</f>
        <v>10910.4781633318</v>
      </c>
      <c r="N441" s="15" t="n">
        <f aca="false">M441*(1+IF(N$3&lt;=$O$2,$D441,$D441-($D441-$I$427)*MIN(N$3-$O$2,$Q$2)/$Q$2))</f>
        <v>11328.3494769874</v>
      </c>
      <c r="O441" s="15" t="n">
        <f aca="false">SUMPRODUCT(E441:N441,1/(1+$F$427)^$E$3:$N$3)*$E$2</f>
        <v>35340.0205445781</v>
      </c>
      <c r="P441" s="15" t="n">
        <f aca="false">N441*$E$2*(1+$I$427)/($F$427-$I$427)/(1+$F$427)^$N$3</f>
        <v>71646.8152924999</v>
      </c>
      <c r="Q441" s="15" t="n">
        <f aca="false">O441+P441</f>
        <v>106986.835837078</v>
      </c>
      <c r="R441" s="15" t="n">
        <f aca="false">Q441-$G$2+$I$2</f>
        <v>87526.8358370781</v>
      </c>
      <c r="S441" s="40" t="n">
        <f aca="false">R441/$K$2</f>
        <v>155.910927941499</v>
      </c>
      <c r="T441" s="41" t="n">
        <f aca="false">S441-$M$2</f>
        <v>0.101241270913363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-0.00634765625</v>
      </c>
      <c r="C442" s="25" t="n">
        <f aca="false">IF(T441&gt;0,D441,C441)</f>
        <v>-0.00616455078125</v>
      </c>
      <c r="D442" s="39" t="n">
        <f aca="false">(B442+C442)/2</f>
        <v>-0.006256103515625</v>
      </c>
      <c r="E442" s="15" t="n">
        <f aca="false">$C$2*(1+IF(E$3&lt;=$O$2,$D442,$D442-($D442-$I$427)*MIN(E$3-$O$2,$Q$2)/$Q$2))</f>
        <v>10493.935546875</v>
      </c>
      <c r="F442" s="15" t="n">
        <f aca="false">E442*(1+IF(F$3&lt;=$O$2,$D442,$D442-($D442-$I$427)*MIN(F$3-$O$2,$Q$2)/$Q$2))</f>
        <v>10428.2843998075</v>
      </c>
      <c r="G442" s="15" t="n">
        <f aca="false">F442*(1+IF(G$3&lt;=$O$2,$D442,$D442-($D442-$I$427)*MIN(G$3-$O$2,$Q$2)/$Q$2))</f>
        <v>10363.0439731119</v>
      </c>
      <c r="H442" s="15" t="n">
        <f aca="false">G442*(1+IF(H$3&lt;=$O$2,$D442,$D442-($D442-$I$427)*MIN(H$3-$O$2,$Q$2)/$Q$2))</f>
        <v>10298.2116972791</v>
      </c>
      <c r="I442" s="15" t="n">
        <f aca="false">H442*(1+IF(I$3&lt;=$O$2,$D442,$D442-($D442-$I$427)*MIN(I$3-$O$2,$Q$2)/$Q$2))</f>
        <v>10233.7850188751</v>
      </c>
      <c r="J442" s="15" t="n">
        <f aca="false">I442*(1+IF(J$3&lt;=$O$2,$D442,$D442-($D442-$I$427)*MIN(J$3-$O$2,$Q$2)/$Q$2))</f>
        <v>10260.9569173719</v>
      </c>
      <c r="K442" s="15" t="n">
        <f aca="false">J442*(1+IF(K$3&lt;=$O$2,$D442,$D442-($D442-$I$427)*MIN(K$3-$O$2,$Q$2)/$Q$2))</f>
        <v>10379.6386121594</v>
      </c>
      <c r="L442" s="15" t="n">
        <f aca="false">K442*(1+IF(L$3&lt;=$O$2,$D442,$D442-($D442-$I$427)*MIN(L$3-$O$2,$Q$2)/$Q$2))</f>
        <v>10592.1882700218</v>
      </c>
      <c r="M442" s="15" t="n">
        <f aca="false">L442*(1+IF(M$3&lt;=$O$2,$D442,$D442-($D442-$I$427)*MIN(M$3-$O$2,$Q$2)/$Q$2))</f>
        <v>10903.4797533604</v>
      </c>
      <c r="N442" s="15" t="n">
        <f aca="false">M442*(1+IF(N$3&lt;=$O$2,$D442,$D442-($D442-$I$427)*MIN(N$3-$O$2,$Q$2)/$Q$2))</f>
        <v>11321.0830279142</v>
      </c>
      <c r="O442" s="15" t="n">
        <f aca="false">SUMPRODUCT(E442:N442,1/(1+$F$427)^$E$3:$N$3)*$E$2</f>
        <v>35325.7751059389</v>
      </c>
      <c r="P442" s="15" t="n">
        <f aca="false">N442*$E$2*(1+$I$427)/($F$427-$I$427)/(1+$F$427)^$N$3</f>
        <v>71600.8582061969</v>
      </c>
      <c r="Q442" s="15" t="n">
        <f aca="false">O442+P442</f>
        <v>106926.633312136</v>
      </c>
      <c r="R442" s="15" t="n">
        <f aca="false">Q442-$G$2+$I$2</f>
        <v>87466.6333121359</v>
      </c>
      <c r="S442" s="40" t="n">
        <f aca="false">R442/$K$2</f>
        <v>155.803689613523</v>
      </c>
      <c r="T442" s="41" t="n">
        <f aca="false">S442-$M$2</f>
        <v>-0.00599705706216014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-0.006256103515625</v>
      </c>
      <c r="C443" s="25" t="n">
        <f aca="false">IF(T442&gt;0,D442,C442)</f>
        <v>-0.00616455078125</v>
      </c>
      <c r="D443" s="39" t="n">
        <f aca="false">(B443+C443)/2</f>
        <v>-0.0062103271484375</v>
      </c>
      <c r="E443" s="15" t="n">
        <f aca="false">$C$2*(1+IF(E$3&lt;=$O$2,$D443,$D443-($D443-$I$427)*MIN(E$3-$O$2,$Q$2)/$Q$2))</f>
        <v>10494.4189453125</v>
      </c>
      <c r="F443" s="15" t="n">
        <f aca="false">E443*(1+IF(F$3&lt;=$O$2,$D443,$D443-($D443-$I$427)*MIN(F$3-$O$2,$Q$2)/$Q$2))</f>
        <v>10429.2451704293</v>
      </c>
      <c r="G443" s="15" t="n">
        <f aca="false">F443*(1+IF(G$3&lt;=$O$2,$D443,$D443-($D443-$I$427)*MIN(G$3-$O$2,$Q$2)/$Q$2))</f>
        <v>10364.4761460097</v>
      </c>
      <c r="H443" s="15" t="n">
        <f aca="false">G443*(1+IF(H$3&lt;=$O$2,$D443,$D443-($D443-$I$427)*MIN(H$3-$O$2,$Q$2)/$Q$2))</f>
        <v>10300.1093584208</v>
      </c>
      <c r="I443" s="15" t="n">
        <f aca="false">H443*(1+IF(I$3&lt;=$O$2,$D443,$D443-($D443-$I$427)*MIN(I$3-$O$2,$Q$2)/$Q$2))</f>
        <v>10236.1423096403</v>
      </c>
      <c r="J443" s="15" t="n">
        <f aca="false">I443*(1+IF(J$3&lt;=$O$2,$D443,$D443-($D443-$I$427)*MIN(J$3-$O$2,$Q$2)/$Q$2))</f>
        <v>10263.6953257475</v>
      </c>
      <c r="K443" s="15" t="n">
        <f aca="false">J443*(1+IF(K$3&lt;=$O$2,$D443,$D443-($D443-$I$427)*MIN(K$3-$O$2,$Q$2)/$Q$2))</f>
        <v>10382.6905947031</v>
      </c>
      <c r="L443" s="15" t="n">
        <f aca="false">K443*(1+IF(L$3&lt;=$O$2,$D443,$D443-($D443-$I$427)*MIN(L$3-$O$2,$Q$2)/$Q$2))</f>
        <v>10595.4928624597</v>
      </c>
      <c r="M443" s="15" t="n">
        <f aca="false">L443*(1+IF(M$3&lt;=$O$2,$D443,$D443-($D443-$I$427)*MIN(M$3-$O$2,$Q$2)/$Q$2))</f>
        <v>10906.9784683706</v>
      </c>
      <c r="N443" s="15" t="n">
        <f aca="false">M443*(1+IF(N$3&lt;=$O$2,$D443,$D443-($D443-$I$427)*MIN(N$3-$O$2,$Q$2)/$Q$2))</f>
        <v>11324.7157437091</v>
      </c>
      <c r="O443" s="15" t="n">
        <f aca="false">SUMPRODUCT(E443:N443,1/(1+$F$427)^$E$3:$N$3)*$E$2</f>
        <v>35332.897091263</v>
      </c>
      <c r="P443" s="15" t="n">
        <f aca="false">N443*$E$2*(1+$I$427)/($F$427-$I$427)/(1+$F$427)^$N$3</f>
        <v>71623.8335317819</v>
      </c>
      <c r="Q443" s="15" t="n">
        <f aca="false">O443+P443</f>
        <v>106956.730623045</v>
      </c>
      <c r="R443" s="15" t="n">
        <f aca="false">Q443-$G$2+$I$2</f>
        <v>87496.7306230449</v>
      </c>
      <c r="S443" s="40" t="n">
        <f aca="false">R443/$K$2</f>
        <v>155.857301738622</v>
      </c>
      <c r="T443" s="41" t="n">
        <f aca="false">S443-$M$2</f>
        <v>0.0476150680362935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-0.006256103515625</v>
      </c>
      <c r="C444" s="25" t="n">
        <f aca="false">IF(T443&gt;0,D443,C443)</f>
        <v>-0.0062103271484375</v>
      </c>
      <c r="D444" s="39" t="n">
        <f aca="false">(B444+C444)/2</f>
        <v>-0.00623321533203125</v>
      </c>
      <c r="E444" s="15" t="n">
        <f aca="false">$C$2*(1+IF(E$3&lt;=$O$2,$D444,$D444-($D444-$I$427)*MIN(E$3-$O$2,$Q$2)/$Q$2))</f>
        <v>10494.1772460938</v>
      </c>
      <c r="F444" s="15" t="n">
        <f aca="false">E444*(1+IF(F$3&lt;=$O$2,$D444,$D444-($D444-$I$427)*MIN(F$3-$O$2,$Q$2)/$Q$2))</f>
        <v>10428.7647795863</v>
      </c>
      <c r="G444" s="15" t="n">
        <f aca="false">F444*(1+IF(G$3&lt;=$O$2,$D444,$D444-($D444-$I$427)*MIN(G$3-$O$2,$Q$2)/$Q$2))</f>
        <v>10363.7600430681</v>
      </c>
      <c r="H444" s="15" t="n">
        <f aca="false">G444*(1+IF(H$3&lt;=$O$2,$D444,$D444-($D444-$I$427)*MIN(H$3-$O$2,$Q$2)/$Q$2))</f>
        <v>10299.1604950701</v>
      </c>
      <c r="I444" s="15" t="n">
        <f aca="false">H444*(1+IF(I$3&lt;=$O$2,$D444,$D444-($D444-$I$427)*MIN(I$3-$O$2,$Q$2)/$Q$2))</f>
        <v>10234.9636099652</v>
      </c>
      <c r="J444" s="15" t="n">
        <f aca="false">I444*(1+IF(J$3&lt;=$O$2,$D444,$D444-($D444-$I$427)*MIN(J$3-$O$2,$Q$2)/$Q$2))</f>
        <v>10262.3260455404</v>
      </c>
      <c r="K444" s="15" t="n">
        <f aca="false">J444*(1+IF(K$3&lt;=$O$2,$D444,$D444-($D444-$I$427)*MIN(K$3-$O$2,$Q$2)/$Q$2))</f>
        <v>10381.1645077285</v>
      </c>
      <c r="L444" s="15" t="n">
        <f aca="false">K444*(1+IF(L$3&lt;=$O$2,$D444,$D444-($D444-$I$427)*MIN(L$3-$O$2,$Q$2)/$Q$2))</f>
        <v>10593.8404546065</v>
      </c>
      <c r="M444" s="15" t="n">
        <f aca="false">L444*(1+IF(M$3&lt;=$O$2,$D444,$D444-($D444-$I$427)*MIN(M$3-$O$2,$Q$2)/$Q$2))</f>
        <v>10905.2289883863</v>
      </c>
      <c r="N444" s="15" t="n">
        <f aca="false">M444*(1+IF(N$3&lt;=$O$2,$D444,$D444-($D444-$I$427)*MIN(N$3-$O$2,$Q$2)/$Q$2))</f>
        <v>11322.8992586415</v>
      </c>
      <c r="O444" s="15" t="n">
        <f aca="false">SUMPRODUCT(E444:N444,1/(1+$F$427)^$E$3:$N$3)*$E$2</f>
        <v>35329.33591512</v>
      </c>
      <c r="P444" s="15" t="n">
        <f aca="false">N444*$E$2*(1+$I$427)/($F$427-$I$427)/(1+$F$427)^$N$3</f>
        <v>71612.3450646943</v>
      </c>
      <c r="Q444" s="15" t="n">
        <f aca="false">O444+P444</f>
        <v>106941.680979814</v>
      </c>
      <c r="R444" s="15" t="n">
        <f aca="false">Q444-$G$2+$I$2</f>
        <v>87481.6809798143</v>
      </c>
      <c r="S444" s="40" t="n">
        <f aca="false">R444/$K$2</f>
        <v>155.830493916554</v>
      </c>
      <c r="T444" s="41" t="n">
        <f aca="false">S444-$M$2</f>
        <v>0.0208072459685127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-0.006256103515625</v>
      </c>
      <c r="C445" s="25" t="n">
        <f aca="false">IF(T444&gt;0,D444,C444)</f>
        <v>-0.00623321533203125</v>
      </c>
      <c r="D445" s="39" t="n">
        <f aca="false">(B445+C445)/2</f>
        <v>-0.00624465942382813</v>
      </c>
      <c r="E445" s="15" t="n">
        <f aca="false">$C$2*(1+IF(E$3&lt;=$O$2,$D445,$D445-($D445-$I$427)*MIN(E$3-$O$2,$Q$2)/$Q$2))</f>
        <v>10494.0563964844</v>
      </c>
      <c r="F445" s="15" t="n">
        <f aca="false">E445*(1+IF(F$3&lt;=$O$2,$D445,$D445-($D445-$I$427)*MIN(F$3-$O$2,$Q$2)/$Q$2))</f>
        <v>10428.5245883139</v>
      </c>
      <c r="G445" s="15" t="n">
        <f aca="false">F445*(1+IF(G$3&lt;=$O$2,$D445,$D445-($D445-$I$427)*MIN(G$3-$O$2,$Q$2)/$Q$2))</f>
        <v>10363.4020039668</v>
      </c>
      <c r="H445" s="15" t="n">
        <f aca="false">G445*(1+IF(H$3&lt;=$O$2,$D445,$D445-($D445-$I$427)*MIN(H$3-$O$2,$Q$2)/$Q$2))</f>
        <v>10298.6860879799</v>
      </c>
      <c r="I445" s="15" t="n">
        <f aca="false">H445*(1+IF(I$3&lt;=$O$2,$D445,$D445-($D445-$I$427)*MIN(I$3-$O$2,$Q$2)/$Q$2))</f>
        <v>10234.3743008475</v>
      </c>
      <c r="J445" s="15" t="n">
        <f aca="false">I445*(1+IF(J$3&lt;=$O$2,$D445,$D445-($D445-$I$427)*MIN(J$3-$O$2,$Q$2)/$Q$2))</f>
        <v>10261.6414624522</v>
      </c>
      <c r="K445" s="15" t="n">
        <f aca="false">J445*(1+IF(K$3&lt;=$O$2,$D445,$D445-($D445-$I$427)*MIN(K$3-$O$2,$Q$2)/$Q$2))</f>
        <v>10380.4015360195</v>
      </c>
      <c r="L445" s="15" t="n">
        <f aca="false">K445*(1+IF(L$3&lt;=$O$2,$D445,$D445-($D445-$I$427)*MIN(L$3-$O$2,$Q$2)/$Q$2))</f>
        <v>10593.0143344072</v>
      </c>
      <c r="M445" s="15" t="n">
        <f aca="false">L445*(1+IF(M$3&lt;=$O$2,$D445,$D445-($D445-$I$427)*MIN(M$3-$O$2,$Q$2)/$Q$2))</f>
        <v>10904.3543402554</v>
      </c>
      <c r="N445" s="15" t="n">
        <f aca="false">M445*(1+IF(N$3&lt;=$O$2,$D445,$D445-($D445-$I$427)*MIN(N$3-$O$2,$Q$2)/$Q$2))</f>
        <v>11321.9911114872</v>
      </c>
      <c r="O445" s="15" t="n">
        <f aca="false">SUMPRODUCT(E445:N445,1/(1+$F$427)^$E$3:$N$3)*$E$2</f>
        <v>35327.5554646614</v>
      </c>
      <c r="P445" s="15" t="n">
        <f aca="false">N445*$E$2*(1+$I$427)/($F$427-$I$427)/(1+$F$427)^$N$3</f>
        <v>71606.6014343839</v>
      </c>
      <c r="Q445" s="15" t="n">
        <f aca="false">O445+P445</f>
        <v>106934.156899045</v>
      </c>
      <c r="R445" s="15" t="n">
        <f aca="false">Q445-$G$2+$I$2</f>
        <v>87474.1568990453</v>
      </c>
      <c r="S445" s="40" t="n">
        <f aca="false">R445/$K$2</f>
        <v>155.817091325185</v>
      </c>
      <c r="T445" s="41" t="n">
        <f aca="false">S445-$M$2</f>
        <v>0.00740465459901429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-0.006256103515625</v>
      </c>
      <c r="C446" s="25" t="n">
        <f aca="false">IF(T445&gt;0,D445,C445)</f>
        <v>-0.00624465942382813</v>
      </c>
      <c r="D446" s="39" t="n">
        <f aca="false">(B446+C446)/2</f>
        <v>-0.00625038146972656</v>
      </c>
      <c r="E446" s="15" t="n">
        <f aca="false">$C$2*(1+IF(E$3&lt;=$O$2,$D446,$D446-($D446-$I$427)*MIN(E$3-$O$2,$Q$2)/$Q$2))</f>
        <v>10493.9959716797</v>
      </c>
      <c r="F446" s="15" t="n">
        <f aca="false">E446*(1+IF(F$3&lt;=$O$2,$D446,$D446-($D446-$I$427)*MIN(F$3-$O$2,$Q$2)/$Q$2))</f>
        <v>10428.4044937149</v>
      </c>
      <c r="G446" s="15" t="n">
        <f aca="false">F446*(1+IF(G$3&lt;=$O$2,$D446,$D446-($D446-$I$427)*MIN(G$3-$O$2,$Q$2)/$Q$2))</f>
        <v>10363.2229875086</v>
      </c>
      <c r="H446" s="15" t="n">
        <f aca="false">G446*(1+IF(H$3&lt;=$O$2,$D446,$D446-($D446-$I$427)*MIN(H$3-$O$2,$Q$2)/$Q$2))</f>
        <v>10298.4488905808</v>
      </c>
      <c r="I446" s="15" t="n">
        <f aca="false">H446*(1+IF(I$3&lt;=$O$2,$D446,$D446-($D446-$I$427)*MIN(I$3-$O$2,$Q$2)/$Q$2))</f>
        <v>10234.0796564682</v>
      </c>
      <c r="J446" s="15" t="n">
        <f aca="false">I446*(1+IF(J$3&lt;=$O$2,$D446,$D446-($D446-$I$427)*MIN(J$3-$O$2,$Q$2)/$Q$2))</f>
        <v>10261.2991851612</v>
      </c>
      <c r="K446" s="15" t="n">
        <f aca="false">J446*(1+IF(K$3&lt;=$O$2,$D446,$D446-($D446-$I$427)*MIN(K$3-$O$2,$Q$2)/$Q$2))</f>
        <v>10380.0200681085</v>
      </c>
      <c r="L446" s="15" t="n">
        <f aca="false">K446*(1+IF(L$3&lt;=$O$2,$D446,$D446-($D446-$I$427)*MIN(L$3-$O$2,$Q$2)/$Q$2))</f>
        <v>10592.601295238</v>
      </c>
      <c r="M446" s="15" t="n">
        <f aca="false">L446*(1+IF(M$3&lt;=$O$2,$D446,$D446-($D446-$I$427)*MIN(M$3-$O$2,$Q$2)/$Q$2))</f>
        <v>10903.9170391537</v>
      </c>
      <c r="N446" s="15" t="n">
        <f aca="false">M446*(1+IF(N$3&lt;=$O$2,$D446,$D446-($D446-$I$427)*MIN(N$3-$O$2,$Q$2)/$Q$2))</f>
        <v>11321.5370617533</v>
      </c>
      <c r="O446" s="15" t="n">
        <f aca="false">SUMPRODUCT(E446:N446,1/(1+$F$427)^$E$3:$N$3)*$E$2</f>
        <v>35326.6652738335</v>
      </c>
      <c r="P446" s="15" t="n">
        <f aca="false">N446*$E$2*(1+$I$427)/($F$427-$I$427)/(1+$F$427)^$N$3</f>
        <v>71603.7297700265</v>
      </c>
      <c r="Q446" s="15" t="n">
        <f aca="false">O446+P446</f>
        <v>106930.39504386</v>
      </c>
      <c r="R446" s="15" t="n">
        <f aca="false">Q446-$G$2+$I$2</f>
        <v>87470.39504386</v>
      </c>
      <c r="S446" s="40" t="n">
        <f aca="false">R446/$K$2</f>
        <v>155.810390359394</v>
      </c>
      <c r="T446" s="41" t="n">
        <f aca="false">S446-$M$2</f>
        <v>0.000703688808101788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-0.006256103515625</v>
      </c>
      <c r="C447" s="25" t="n">
        <f aca="false">IF(T446&gt;0,D446,C446)</f>
        <v>-0.00625038146972656</v>
      </c>
      <c r="D447" s="39" t="n">
        <f aca="false">(B447+C447)/2</f>
        <v>-0.00625324249267578</v>
      </c>
      <c r="E447" s="15" t="n">
        <f aca="false">$C$2*(1+IF(E$3&lt;=$O$2,$D447,$D447-($D447-$I$427)*MIN(E$3-$O$2,$Q$2)/$Q$2))</f>
        <v>10493.9657592773</v>
      </c>
      <c r="F447" s="15" t="n">
        <f aca="false">E447*(1+IF(F$3&lt;=$O$2,$D447,$D447-($D447-$I$427)*MIN(F$3-$O$2,$Q$2)/$Q$2))</f>
        <v>10428.3444466747</v>
      </c>
      <c r="G447" s="15" t="n">
        <f aca="false">F447*(1+IF(G$3&lt;=$O$2,$D447,$D447-($D447-$I$427)*MIN(G$3-$O$2,$Q$2)/$Q$2))</f>
        <v>10363.1334800525</v>
      </c>
      <c r="H447" s="15" t="n">
        <f aca="false">G447*(1+IF(H$3&lt;=$O$2,$D447,$D447-($D447-$I$427)*MIN(H$3-$O$2,$Q$2)/$Q$2))</f>
        <v>10298.3302934178</v>
      </c>
      <c r="I447" s="15" t="n">
        <f aca="false">H447*(1+IF(I$3&lt;=$O$2,$D447,$D447-($D447-$I$427)*MIN(I$3-$O$2,$Q$2)/$Q$2))</f>
        <v>10233.9323368234</v>
      </c>
      <c r="J447" s="15" t="n">
        <f aca="false">I447*(1+IF(J$3&lt;=$O$2,$D447,$D447-($D447-$I$427)*MIN(J$3-$O$2,$Q$2)/$Q$2))</f>
        <v>10261.1280500788</v>
      </c>
      <c r="K447" s="15" t="n">
        <f aca="false">J447*(1+IF(K$3&lt;=$O$2,$D447,$D447-($D447-$I$427)*MIN(K$3-$O$2,$Q$2)/$Q$2))</f>
        <v>10379.8293386387</v>
      </c>
      <c r="L447" s="15" t="n">
        <f aca="false">K447*(1+IF(L$3&lt;=$O$2,$D447,$D447-($D447-$I$427)*MIN(L$3-$O$2,$Q$2)/$Q$2))</f>
        <v>10592.3947808858</v>
      </c>
      <c r="M447" s="15" t="n">
        <f aca="false">L447*(1+IF(M$3&lt;=$O$2,$D447,$D447-($D447-$I$427)*MIN(M$3-$O$2,$Q$2)/$Q$2))</f>
        <v>10903.6983943435</v>
      </c>
      <c r="N447" s="15" t="n">
        <f aca="false">M447*(1+IF(N$3&lt;=$O$2,$D447,$D447-($D447-$I$427)*MIN(N$3-$O$2,$Q$2)/$Q$2))</f>
        <v>11321.3100428469</v>
      </c>
      <c r="O447" s="15" t="n">
        <f aca="false">SUMPRODUCT(E447:N447,1/(1+$F$427)^$E$3:$N$3)*$E$2</f>
        <v>35326.2201870196</v>
      </c>
      <c r="P447" s="15" t="n">
        <f aca="false">N447*$E$2*(1+$I$427)/($F$427-$I$427)/(1+$F$427)^$N$3</f>
        <v>71602.2939755459</v>
      </c>
      <c r="Q447" s="15" t="n">
        <f aca="false">O447+P447</f>
        <v>106928.514162565</v>
      </c>
      <c r="R447" s="15" t="n">
        <f aca="false">Q447-$G$2+$I$2</f>
        <v>87468.5141625655</v>
      </c>
      <c r="S447" s="40" t="n">
        <f aca="false">R447/$K$2</f>
        <v>155.807039958969</v>
      </c>
      <c r="T447" s="41" t="n">
        <f aca="false">S447-$M$2</f>
        <v>-0.00264671161676233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-0.00625324249267578</v>
      </c>
      <c r="C448" s="25" t="n">
        <f aca="false">IF(T447&gt;0,D447,C447)</f>
        <v>-0.00625038146972656</v>
      </c>
      <c r="D448" s="39" t="n">
        <f aca="false">(B448+C448)/2</f>
        <v>-0.00625181198120117</v>
      </c>
      <c r="E448" s="15" t="n">
        <f aca="false">$C$2*(1+IF(E$3&lt;=$O$2,$D448,$D448-($D448-$I$427)*MIN(E$3-$O$2,$Q$2)/$Q$2))</f>
        <v>10493.9808654785</v>
      </c>
      <c r="F448" s="15" t="n">
        <f aca="false">E448*(1+IF(F$3&lt;=$O$2,$D448,$D448-($D448-$I$427)*MIN(F$3-$O$2,$Q$2)/$Q$2))</f>
        <v>10428.3744701732</v>
      </c>
      <c r="G448" s="15" t="n">
        <f aca="false">F448*(1+IF(G$3&lt;=$O$2,$D448,$D448-($D448-$I$427)*MIN(G$3-$O$2,$Q$2)/$Q$2))</f>
        <v>10363.1782337161</v>
      </c>
      <c r="H448" s="15" t="n">
        <f aca="false">G448*(1+IF(H$3&lt;=$O$2,$D448,$D448-($D448-$I$427)*MIN(H$3-$O$2,$Q$2)/$Q$2))</f>
        <v>10298.3895918713</v>
      </c>
      <c r="I448" s="15" t="n">
        <f aca="false">H448*(1+IF(I$3&lt;=$O$2,$D448,$D448-($D448-$I$427)*MIN(I$3-$O$2,$Q$2)/$Q$2))</f>
        <v>10234.0059964337</v>
      </c>
      <c r="J448" s="15" t="n">
        <f aca="false">I448*(1+IF(J$3&lt;=$O$2,$D448,$D448-($D448-$I$427)*MIN(J$3-$O$2,$Q$2)/$Q$2))</f>
        <v>10261.2136173231</v>
      </c>
      <c r="K448" s="15" t="n">
        <f aca="false">J448*(1+IF(K$3&lt;=$O$2,$D448,$D448-($D448-$I$427)*MIN(K$3-$O$2,$Q$2)/$Q$2))</f>
        <v>10379.9247029998</v>
      </c>
      <c r="L448" s="15" t="n">
        <f aca="false">K448*(1+IF(L$3&lt;=$O$2,$D448,$D448-($D448-$I$427)*MIN(L$3-$O$2,$Q$2)/$Q$2))</f>
        <v>10592.4980376258</v>
      </c>
      <c r="M448" s="15" t="n">
        <f aca="false">L448*(1+IF(M$3&lt;=$O$2,$D448,$D448-($D448-$I$427)*MIN(M$3-$O$2,$Q$2)/$Q$2))</f>
        <v>10903.8077162702</v>
      </c>
      <c r="N448" s="15" t="n">
        <f aca="false">M448*(1+IF(N$3&lt;=$O$2,$D448,$D448-($D448-$I$427)*MIN(N$3-$O$2,$Q$2)/$Q$2))</f>
        <v>11321.4235518034</v>
      </c>
      <c r="O448" s="15" t="n">
        <f aca="false">SUMPRODUCT(E448:N448,1/(1+$F$427)^$E$3:$N$3)*$E$2</f>
        <v>35326.4427297098</v>
      </c>
      <c r="P448" s="15" t="n">
        <f aca="false">N448*$E$2*(1+$I$427)/($F$427-$I$427)/(1+$F$427)^$N$3</f>
        <v>71603.0118696447</v>
      </c>
      <c r="Q448" s="15" t="n">
        <f aca="false">O448+P448</f>
        <v>106929.454599355</v>
      </c>
      <c r="R448" s="15" t="n">
        <f aca="false">Q448-$G$2+$I$2</f>
        <v>87469.4545993546</v>
      </c>
      <c r="S448" s="40" t="n">
        <f aca="false">R448/$K$2</f>
        <v>155.808715152309</v>
      </c>
      <c r="T448" s="41" t="n">
        <f aca="false">S448-$M$2</f>
        <v>-0.00097151827682751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-0.00625181198120117</v>
      </c>
      <c r="C449" s="25" t="n">
        <f aca="false">IF(T448&gt;0,D448,C448)</f>
        <v>-0.00625038146972656</v>
      </c>
      <c r="D449" s="39" t="n">
        <f aca="false">(B449+C449)/2</f>
        <v>-0.00625109672546387</v>
      </c>
      <c r="E449" s="15" t="n">
        <f aca="false">$C$2*(1+IF(E$3&lt;=$O$2,$D449,$D449-($D449-$I$427)*MIN(E$3-$O$2,$Q$2)/$Q$2))</f>
        <v>10493.9884185791</v>
      </c>
      <c r="F449" s="15" t="n">
        <f aca="false">E449*(1+IF(F$3&lt;=$O$2,$D449,$D449-($D449-$I$427)*MIN(F$3-$O$2,$Q$2)/$Q$2))</f>
        <v>10428.3894819387</v>
      </c>
      <c r="G449" s="15" t="n">
        <f aca="false">F449*(1+IF(G$3&lt;=$O$2,$D449,$D449-($D449-$I$427)*MIN(G$3-$O$2,$Q$2)/$Q$2))</f>
        <v>10363.2006105963</v>
      </c>
      <c r="H449" s="15" t="n">
        <f aca="false">G449*(1+IF(H$3&lt;=$O$2,$D449,$D449-($D449-$I$427)*MIN(H$3-$O$2,$Q$2)/$Q$2))</f>
        <v>10298.419241194</v>
      </c>
      <c r="I449" s="15" t="n">
        <f aca="false">H449*(1+IF(I$3&lt;=$O$2,$D449,$D449-($D449-$I$427)*MIN(I$3-$O$2,$Q$2)/$Q$2))</f>
        <v>10234.042826398</v>
      </c>
      <c r="J449" s="15" t="n">
        <f aca="false">I449*(1+IF(J$3&lt;=$O$2,$D449,$D449-($D449-$I$427)*MIN(J$3-$O$2,$Q$2)/$Q$2))</f>
        <v>10261.2564011679</v>
      </c>
      <c r="K449" s="15" t="n">
        <f aca="false">J449*(1+IF(K$3&lt;=$O$2,$D449,$D449-($D449-$I$427)*MIN(K$3-$O$2,$Q$2)/$Q$2))</f>
        <v>10379.9723854607</v>
      </c>
      <c r="L449" s="15" t="n">
        <f aca="false">K449*(1+IF(L$3&lt;=$O$2,$D449,$D449-($D449-$I$427)*MIN(L$3-$O$2,$Q$2)/$Q$2))</f>
        <v>10592.5496663229</v>
      </c>
      <c r="M449" s="15" t="n">
        <f aca="false">L449*(1+IF(M$3&lt;=$O$2,$D449,$D449-($D449-$I$427)*MIN(M$3-$O$2,$Q$2)/$Q$2))</f>
        <v>10903.8623775923</v>
      </c>
      <c r="N449" s="15" t="n">
        <f aca="false">M449*(1+IF(N$3&lt;=$O$2,$D449,$D449-($D449-$I$427)*MIN(N$3-$O$2,$Q$2)/$Q$2))</f>
        <v>11321.4803066541</v>
      </c>
      <c r="O449" s="15" t="n">
        <f aca="false">SUMPRODUCT(E449:N449,1/(1+$F$427)^$E$3:$N$3)*$E$2</f>
        <v>35326.5540015925</v>
      </c>
      <c r="P449" s="15" t="n">
        <f aca="false">N449*$E$2*(1+$I$427)/($F$427-$I$427)/(1+$F$427)^$N$3</f>
        <v>71603.3708190503</v>
      </c>
      <c r="Q449" s="15" t="n">
        <f aca="false">O449+P449</f>
        <v>106929.924820643</v>
      </c>
      <c r="R449" s="15" t="n">
        <f aca="false">Q449-$G$2+$I$2</f>
        <v>87469.9248206427</v>
      </c>
      <c r="S449" s="40" t="n">
        <f aca="false">R449/$K$2</f>
        <v>155.809552754133</v>
      </c>
      <c r="T449" s="41" t="n">
        <f aca="false">S449-$M$2</f>
        <v>-0.000133916452483618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-0.00625109672546387</v>
      </c>
      <c r="C450" s="25" t="n">
        <f aca="false">IF(T449&gt;0,D449,C449)</f>
        <v>-0.00625038146972656</v>
      </c>
      <c r="D450" s="39" t="n">
        <f aca="false">(B450+C450)/2</f>
        <v>-0.00625073909759522</v>
      </c>
      <c r="E450" s="15" t="n">
        <f aca="false">$C$2*(1+IF(E$3&lt;=$O$2,$D450,$D450-($D450-$I$427)*MIN(E$3-$O$2,$Q$2)/$Q$2))</f>
        <v>10493.9921951294</v>
      </c>
      <c r="F450" s="15" t="n">
        <f aca="false">E450*(1+IF(F$3&lt;=$O$2,$D450,$D450-($D450-$I$427)*MIN(F$3-$O$2,$Q$2)/$Q$2))</f>
        <v>10428.3969878254</v>
      </c>
      <c r="G450" s="15" t="n">
        <f aca="false">F450*(1+IF(G$3&lt;=$O$2,$D450,$D450-($D450-$I$427)*MIN(G$3-$O$2,$Q$2)/$Q$2))</f>
        <v>10363.2117990484</v>
      </c>
      <c r="H450" s="15" t="n">
        <f aca="false">G450*(1+IF(H$3&lt;=$O$2,$D450,$D450-($D450-$I$427)*MIN(H$3-$O$2,$Q$2)/$Q$2))</f>
        <v>10298.4340658794</v>
      </c>
      <c r="I450" s="15" t="n">
        <f aca="false">H450*(1+IF(I$3&lt;=$O$2,$D450,$D450-($D450-$I$427)*MIN(I$3-$O$2,$Q$2)/$Q$2))</f>
        <v>10234.0612414198</v>
      </c>
      <c r="J450" s="15" t="n">
        <f aca="false">I450*(1+IF(J$3&lt;=$O$2,$D450,$D450-($D450-$I$427)*MIN(J$3-$O$2,$Q$2)/$Q$2))</f>
        <v>10261.277793146</v>
      </c>
      <c r="K450" s="15" t="n">
        <f aca="false">J450*(1+IF(K$3&lt;=$O$2,$D450,$D450-($D450-$I$427)*MIN(K$3-$O$2,$Q$2)/$Q$2))</f>
        <v>10379.9962267612</v>
      </c>
      <c r="L450" s="15" t="n">
        <f aca="false">K450*(1+IF(L$3&lt;=$O$2,$D450,$D450-($D450-$I$427)*MIN(L$3-$O$2,$Q$2)/$Q$2))</f>
        <v>10592.5754807532</v>
      </c>
      <c r="M450" s="15" t="n">
        <f aca="false">L450*(1+IF(M$3&lt;=$O$2,$D450,$D450-($D450-$I$427)*MIN(M$3-$O$2,$Q$2)/$Q$2))</f>
        <v>10903.8897083431</v>
      </c>
      <c r="N450" s="15" t="n">
        <f aca="false">M450*(1+IF(N$3&lt;=$O$2,$D450,$D450-($D450-$I$427)*MIN(N$3-$O$2,$Q$2)/$Q$2))</f>
        <v>11321.5086841726</v>
      </c>
      <c r="O450" s="15" t="n">
        <f aca="false">SUMPRODUCT(E450:N450,1/(1+$F$427)^$E$3:$N$3)*$E$2</f>
        <v>35326.6096376682</v>
      </c>
      <c r="P450" s="15" t="n">
        <f aca="false">N450*$E$2*(1+$I$427)/($F$427-$I$427)/(1+$F$427)^$N$3</f>
        <v>71603.550294342</v>
      </c>
      <c r="Q450" s="15" t="n">
        <f aca="false">O450+P450</f>
        <v>106930.15993201</v>
      </c>
      <c r="R450" s="15" t="n">
        <f aca="false">Q450-$G$2+$I$2</f>
        <v>87470.1599320102</v>
      </c>
      <c r="S450" s="40" t="n">
        <f aca="false">R450/$K$2</f>
        <v>155.809971556334</v>
      </c>
      <c r="T450" s="41" t="n">
        <f aca="false">S450-$M$2</f>
        <v>0.00028488574827179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-0.00625109672546387</v>
      </c>
      <c r="C451" s="25" t="n">
        <f aca="false">IF(T450&gt;0,D450,C450)</f>
        <v>-0.00625073909759522</v>
      </c>
      <c r="D451" s="39" t="n">
        <f aca="false">(B451+C451)/2</f>
        <v>-0.00625091791152954</v>
      </c>
      <c r="E451" s="15" t="n">
        <f aca="false">$C$2*(1+IF(E$3&lt;=$O$2,$D451,$D451-($D451-$I$427)*MIN(E$3-$O$2,$Q$2)/$Q$2))</f>
        <v>10493.9903068542</v>
      </c>
      <c r="F451" s="15" t="n">
        <f aca="false">E451*(1+IF(F$3&lt;=$O$2,$D451,$D451-($D451-$I$427)*MIN(F$3-$O$2,$Q$2)/$Q$2))</f>
        <v>10428.3932348817</v>
      </c>
      <c r="G451" s="15" t="n">
        <f aca="false">F451*(1+IF(G$3&lt;=$O$2,$D451,$D451-($D451-$I$427)*MIN(G$3-$O$2,$Q$2)/$Q$2))</f>
        <v>10363.2062048213</v>
      </c>
      <c r="H451" s="15" t="n">
        <f aca="false">G451*(1+IF(H$3&lt;=$O$2,$D451,$D451-($D451-$I$427)*MIN(H$3-$O$2,$Q$2)/$Q$2))</f>
        <v>10298.4266535347</v>
      </c>
      <c r="I451" s="15" t="n">
        <f aca="false">H451*(1+IF(I$3&lt;=$O$2,$D451,$D451-($D451-$I$427)*MIN(I$3-$O$2,$Q$2)/$Q$2))</f>
        <v>10234.0520339056</v>
      </c>
      <c r="J451" s="15" t="n">
        <f aca="false">I451*(1+IF(J$3&lt;=$O$2,$D451,$D451-($D451-$I$427)*MIN(J$3-$O$2,$Q$2)/$Q$2))</f>
        <v>10261.2670971523</v>
      </c>
      <c r="K451" s="15" t="n">
        <f aca="false">J451*(1+IF(K$3&lt;=$O$2,$D451,$D451-($D451-$I$427)*MIN(K$3-$O$2,$Q$2)/$Q$2))</f>
        <v>10379.9843061051</v>
      </c>
      <c r="L451" s="15" t="n">
        <f aca="false">K451*(1+IF(L$3&lt;=$O$2,$D451,$D451-($D451-$I$427)*MIN(L$3-$O$2,$Q$2)/$Q$2))</f>
        <v>10592.5625735312</v>
      </c>
      <c r="M451" s="15" t="n">
        <f aca="false">L451*(1+IF(M$3&lt;=$O$2,$D451,$D451-($D451-$I$427)*MIN(M$3-$O$2,$Q$2)/$Q$2))</f>
        <v>10903.8760429602</v>
      </c>
      <c r="N451" s="15" t="n">
        <f aca="false">M451*(1+IF(N$3&lt;=$O$2,$D451,$D451-($D451-$I$427)*MIN(N$3-$O$2,$Q$2)/$Q$2))</f>
        <v>11321.4944954056</v>
      </c>
      <c r="O451" s="15" t="n">
        <f aca="false">SUMPRODUCT(E451:N451,1/(1+$F$427)^$E$3:$N$3)*$E$2</f>
        <v>35326.5818196191</v>
      </c>
      <c r="P451" s="15" t="n">
        <f aca="false">N451*$E$2*(1+$I$427)/($F$427-$I$427)/(1+$F$427)^$N$3</f>
        <v>71603.4605566471</v>
      </c>
      <c r="Q451" s="15" t="n">
        <f aca="false">O451+P451</f>
        <v>106930.042376266</v>
      </c>
      <c r="R451" s="15" t="n">
        <f aca="false">Q451-$G$2+$I$2</f>
        <v>87470.0423762662</v>
      </c>
      <c r="S451" s="40" t="n">
        <f aca="false">R451/$K$2</f>
        <v>155.809762155126</v>
      </c>
      <c r="T451" s="41" t="n">
        <f aca="false">S451-$M$2</f>
        <v>7.54845405026572E-005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-0.00625109672546387</v>
      </c>
      <c r="C452" s="25" t="n">
        <f aca="false">IF(T451&gt;0,D451,C451)</f>
        <v>-0.00625091791152954</v>
      </c>
      <c r="D452" s="39" t="n">
        <f aca="false">(B452+C452)/2</f>
        <v>-0.0062510073184967</v>
      </c>
      <c r="E452" s="15" t="n">
        <f aca="false">$C$2*(1+IF(E$3&lt;=$O$2,$D452,$D452-($D452-$I$427)*MIN(E$3-$O$2,$Q$2)/$Q$2))</f>
        <v>10493.9893627167</v>
      </c>
      <c r="F452" s="15" t="n">
        <f aca="false">E452*(1+IF(F$3&lt;=$O$2,$D452,$D452-($D452-$I$427)*MIN(F$3-$O$2,$Q$2)/$Q$2))</f>
        <v>10428.3913584101</v>
      </c>
      <c r="G452" s="15" t="n">
        <f aca="false">F452*(1+IF(G$3&lt;=$O$2,$D452,$D452-($D452-$I$427)*MIN(G$3-$O$2,$Q$2)/$Q$2))</f>
        <v>10363.2034077085</v>
      </c>
      <c r="H452" s="15" t="n">
        <f aca="false">G452*(1+IF(H$3&lt;=$O$2,$D452,$D452-($D452-$I$427)*MIN(H$3-$O$2,$Q$2)/$Q$2))</f>
        <v>10298.4229473639</v>
      </c>
      <c r="I452" s="15" t="n">
        <f aca="false">H452*(1+IF(I$3&lt;=$O$2,$D452,$D452-($D452-$I$427)*MIN(I$3-$O$2,$Q$2)/$Q$2))</f>
        <v>10234.0474301509</v>
      </c>
      <c r="J452" s="15" t="n">
        <f aca="false">I452*(1+IF(J$3&lt;=$O$2,$D452,$D452-($D452-$I$427)*MIN(J$3-$O$2,$Q$2)/$Q$2))</f>
        <v>10261.2617491589</v>
      </c>
      <c r="K452" s="15" t="n">
        <f aca="false">J452*(1+IF(K$3&lt;=$O$2,$D452,$D452-($D452-$I$427)*MIN(K$3-$O$2,$Q$2)/$Q$2))</f>
        <v>10379.9783457814</v>
      </c>
      <c r="L452" s="15" t="n">
        <f aca="false">K452*(1+IF(L$3&lt;=$O$2,$D452,$D452-($D452-$I$427)*MIN(L$3-$O$2,$Q$2)/$Q$2))</f>
        <v>10592.5561199254</v>
      </c>
      <c r="M452" s="15" t="n">
        <f aca="false">L452*(1+IF(M$3&lt;=$O$2,$D452,$D452-($D452-$I$427)*MIN(M$3-$O$2,$Q$2)/$Q$2))</f>
        <v>10903.8692102744</v>
      </c>
      <c r="N452" s="15" t="n">
        <f aca="false">M452*(1+IF(N$3&lt;=$O$2,$D452,$D452-($D452-$I$427)*MIN(N$3-$O$2,$Q$2)/$Q$2))</f>
        <v>11321.4874010279</v>
      </c>
      <c r="O452" s="15" t="n">
        <f aca="false">SUMPRODUCT(E452:N452,1/(1+$F$427)^$E$3:$N$3)*$E$2</f>
        <v>35326.567910603</v>
      </c>
      <c r="P452" s="15" t="n">
        <f aca="false">N452*$E$2*(1+$I$427)/($F$427-$I$427)/(1+$F$427)^$N$3</f>
        <v>71603.4156878364</v>
      </c>
      <c r="Q452" s="15" t="n">
        <f aca="false">O452+P452</f>
        <v>106929.983598439</v>
      </c>
      <c r="R452" s="15" t="n">
        <f aca="false">Q452-$G$2+$I$2</f>
        <v>87469.9835984394</v>
      </c>
      <c r="S452" s="40" t="n">
        <f aca="false">R452/$K$2</f>
        <v>155.809657454603</v>
      </c>
      <c r="T452" s="41" t="n">
        <f aca="false">S452-$M$2</f>
        <v>-2.92159828632066E-005</v>
      </c>
    </row>
    <row r="454" customFormat="false" ht="15" hidden="false" customHeight="false" outlineLevel="0" collapsed="false">
      <c r="A454" s="36" t="s">
        <v>202</v>
      </c>
      <c r="E454" s="5" t="s">
        <v>11</v>
      </c>
      <c r="F454" s="12" t="n">
        <f aca="false">Sensitivity!$B$13</f>
        <v>0.0820172026214128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6" t="s">
        <v>167</v>
      </c>
      <c r="B455" s="28" t="s">
        <v>168</v>
      </c>
      <c r="C455" s="28" t="s">
        <v>169</v>
      </c>
      <c r="D455" s="28" t="s">
        <v>170</v>
      </c>
      <c r="E455" s="28" t="s">
        <v>171</v>
      </c>
      <c r="F455" s="28" t="s">
        <v>172</v>
      </c>
      <c r="G455" s="28" t="s">
        <v>173</v>
      </c>
      <c r="H455" s="28" t="s">
        <v>174</v>
      </c>
      <c r="I455" s="28" t="s">
        <v>175</v>
      </c>
      <c r="J455" s="28" t="s">
        <v>176</v>
      </c>
      <c r="K455" s="28" t="s">
        <v>177</v>
      </c>
      <c r="L455" s="28" t="s">
        <v>178</v>
      </c>
      <c r="M455" s="28" t="s">
        <v>179</v>
      </c>
      <c r="N455" s="28" t="s">
        <v>180</v>
      </c>
      <c r="O455" s="28" t="s">
        <v>181</v>
      </c>
      <c r="P455" s="28" t="s">
        <v>182</v>
      </c>
      <c r="Q455" s="28" t="s">
        <v>183</v>
      </c>
      <c r="R455" s="28" t="s">
        <v>184</v>
      </c>
      <c r="S455" s="28" t="s">
        <v>185</v>
      </c>
      <c r="T455" s="28" t="s">
        <v>186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39" t="n">
        <f aca="false">(B456+C456)/2</f>
        <v>0.25</v>
      </c>
      <c r="E456" s="15" t="n">
        <f aca="false">$C$2*(1+IF(E$3&lt;=$O$2,$D456,$D456-($D456-$I$454)*MIN(E$3-$O$2,$Q$2)/$Q$2))</f>
        <v>13200</v>
      </c>
      <c r="F456" s="15" t="n">
        <f aca="false">E456*(1+IF(F$3&lt;=$O$2,$D456,$D456-($D456-$I$454)*MIN(F$3-$O$2,$Q$2)/$Q$2))</f>
        <v>16500</v>
      </c>
      <c r="G456" s="15" t="n">
        <f aca="false">F456*(1+IF(G$3&lt;=$O$2,$D456,$D456-($D456-$I$454)*MIN(G$3-$O$2,$Q$2)/$Q$2))</f>
        <v>20625</v>
      </c>
      <c r="H456" s="15" t="n">
        <f aca="false">G456*(1+IF(H$3&lt;=$O$2,$D456,$D456-($D456-$I$454)*MIN(H$3-$O$2,$Q$2)/$Q$2))</f>
        <v>25781.25</v>
      </c>
      <c r="I456" s="15" t="n">
        <f aca="false">H456*(1+IF(I$3&lt;=$O$2,$D456,$D456-($D456-$I$454)*MIN(I$3-$O$2,$Q$2)/$Q$2))</f>
        <v>32226.5625</v>
      </c>
      <c r="J456" s="15" t="n">
        <f aca="false">I456*(1+IF(J$3&lt;=$O$2,$D456,$D456-($D456-$I$454)*MIN(J$3-$O$2,$Q$2)/$Q$2))</f>
        <v>38789.82421875</v>
      </c>
      <c r="K456" s="15" t="n">
        <f aca="false">J456*(1+IF(K$3&lt;=$O$2,$D456,$D456-($D456-$I$454)*MIN(K$3-$O$2,$Q$2)/$Q$2))</f>
        <v>44892.2393648437</v>
      </c>
      <c r="L456" s="15" t="n">
        <f aca="false">K456*(1+IF(L$3&lt;=$O$2,$D456,$D456-($D456-$I$454)*MIN(L$3-$O$2,$Q$2)/$Q$2))</f>
        <v>49874.3800895541</v>
      </c>
      <c r="M456" s="15" t="n">
        <f aca="false">L456*(1+IF(M$3&lt;=$O$2,$D456,$D456-($D456-$I$454)*MIN(M$3-$O$2,$Q$2)/$Q$2))</f>
        <v>53098.2600185429</v>
      </c>
      <c r="N456" s="15" t="n">
        <f aca="false">M456*(1+IF(N$3&lt;=$O$2,$D456,$D456-($D456-$I$454)*MIN(N$3-$O$2,$Q$2)/$Q$2))</f>
        <v>54069.9581768822</v>
      </c>
      <c r="O456" s="15" t="n">
        <f aca="false">SUMPRODUCT(E456:N456,1/(1+$F$454)^$E$3:$N$3)*$E$2</f>
        <v>104197.281123202</v>
      </c>
      <c r="P456" s="15" t="n">
        <f aca="false">N456*$E$2*(1+$I$454)/($F$454-$I$454)/(1+$F$454)^$N$3</f>
        <v>194567.900276178</v>
      </c>
      <c r="Q456" s="15" t="n">
        <f aca="false">O456+P456</f>
        <v>298765.18139938</v>
      </c>
      <c r="R456" s="15" t="n">
        <f aca="false">Q456-$G$2+$I$2</f>
        <v>279305.18139938</v>
      </c>
      <c r="S456" s="40" t="n">
        <f aca="false">R456/$K$2</f>
        <v>497.524326046742</v>
      </c>
      <c r="T456" s="41" t="n">
        <f aca="false">S456-$M$2</f>
        <v>341.714639376156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39" t="n">
        <f aca="false">(B457+C457)/2</f>
        <v>-0.125</v>
      </c>
      <c r="E457" s="15" t="n">
        <f aca="false">$C$2*(1+IF(E$3&lt;=$O$2,$D457,$D457-($D457-$I$454)*MIN(E$3-$O$2,$Q$2)/$Q$2))</f>
        <v>9240</v>
      </c>
      <c r="F457" s="15" t="n">
        <f aca="false">E457*(1+IF(F$3&lt;=$O$2,$D457,$D457-($D457-$I$454)*MIN(F$3-$O$2,$Q$2)/$Q$2))</f>
        <v>8085</v>
      </c>
      <c r="G457" s="15" t="n">
        <f aca="false">F457*(1+IF(G$3&lt;=$O$2,$D457,$D457-($D457-$I$454)*MIN(G$3-$O$2,$Q$2)/$Q$2))</f>
        <v>7074.375</v>
      </c>
      <c r="H457" s="15" t="n">
        <f aca="false">G457*(1+IF(H$3&lt;=$O$2,$D457,$D457-($D457-$I$454)*MIN(H$3-$O$2,$Q$2)/$Q$2))</f>
        <v>6190.078125</v>
      </c>
      <c r="I457" s="15" t="n">
        <f aca="false">H457*(1+IF(I$3&lt;=$O$2,$D457,$D457-($D457-$I$454)*MIN(I$3-$O$2,$Q$2)/$Q$2))</f>
        <v>5416.318359375</v>
      </c>
      <c r="J457" s="15" t="n">
        <f aca="false">I457*(1+IF(J$3&lt;=$O$2,$D457,$D457-($D457-$I$454)*MIN(J$3-$O$2,$Q$2)/$Q$2))</f>
        <v>4894.51024863281</v>
      </c>
      <c r="K457" s="15" t="n">
        <f aca="false">J457*(1+IF(K$3&lt;=$O$2,$D457,$D457-($D457-$I$454)*MIN(K$3-$O$2,$Q$2)/$Q$2))</f>
        <v>4563.24979500534</v>
      </c>
      <c r="L457" s="15" t="n">
        <f aca="false">K457*(1+IF(L$3&lt;=$O$2,$D457,$D457-($D457-$I$454)*MIN(L$3-$O$2,$Q$2)/$Q$2))</f>
        <v>4385.19178800424</v>
      </c>
      <c r="M457" s="15" t="n">
        <f aca="false">L457*(1+IF(M$3&lt;=$O$2,$D457,$D457-($D457-$I$454)*MIN(M$3-$O$2,$Q$2)/$Q$2))</f>
        <v>4339.76120108051</v>
      </c>
      <c r="N457" s="15" t="n">
        <f aca="false">M457*(1+IF(N$3&lt;=$O$2,$D457,$D457-($D457-$I$454)*MIN(N$3-$O$2,$Q$2)/$Q$2))</f>
        <v>4419.17883106029</v>
      </c>
      <c r="O457" s="15" t="n">
        <f aca="false">SUMPRODUCT(E457:N457,1/(1+$F$454)^$E$3:$N$3)*$E$2</f>
        <v>20481.209954659</v>
      </c>
      <c r="P457" s="15" t="n">
        <f aca="false">N457*$E$2*(1+$I$454)/($F$454-$I$454)/(1+$F$454)^$N$3</f>
        <v>15902.1825630329</v>
      </c>
      <c r="Q457" s="15" t="n">
        <f aca="false">O457+P457</f>
        <v>36383.3925176919</v>
      </c>
      <c r="R457" s="15" t="n">
        <f aca="false">Q457-$G$2+$I$2</f>
        <v>16923.3925176919</v>
      </c>
      <c r="S457" s="40" t="n">
        <f aca="false">R457/$K$2</f>
        <v>30.1455182986727</v>
      </c>
      <c r="T457" s="41" t="n">
        <f aca="false">S457-$M$2</f>
        <v>-125.664168371913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39" t="n">
        <f aca="false">(B458+C458)/2</f>
        <v>0.0625</v>
      </c>
      <c r="E458" s="15" t="n">
        <f aca="false">$C$2*(1+IF(E$3&lt;=$O$2,$D458,$D458-($D458-$I$454)*MIN(E$3-$O$2,$Q$2)/$Q$2))</f>
        <v>11220</v>
      </c>
      <c r="F458" s="15" t="n">
        <f aca="false">E458*(1+IF(F$3&lt;=$O$2,$D458,$D458-($D458-$I$454)*MIN(F$3-$O$2,$Q$2)/$Q$2))</f>
        <v>11921.25</v>
      </c>
      <c r="G458" s="15" t="n">
        <f aca="false">F458*(1+IF(G$3&lt;=$O$2,$D458,$D458-($D458-$I$454)*MIN(G$3-$O$2,$Q$2)/$Q$2))</f>
        <v>12666.328125</v>
      </c>
      <c r="H458" s="15" t="n">
        <f aca="false">G458*(1+IF(H$3&lt;=$O$2,$D458,$D458-($D458-$I$454)*MIN(H$3-$O$2,$Q$2)/$Q$2))</f>
        <v>13457.9736328125</v>
      </c>
      <c r="I458" s="15" t="n">
        <f aca="false">H458*(1+IF(I$3&lt;=$O$2,$D458,$D458-($D458-$I$454)*MIN(I$3-$O$2,$Q$2)/$Q$2))</f>
        <v>14299.0969848633</v>
      </c>
      <c r="J458" s="15" t="n">
        <f aca="false">I458*(1+IF(J$3&lt;=$O$2,$D458,$D458-($D458-$I$454)*MIN(J$3-$O$2,$Q$2)/$Q$2))</f>
        <v>15066.386529071</v>
      </c>
      <c r="K458" s="15" t="n">
        <f aca="false">J458*(1+IF(K$3&lt;=$O$2,$D458,$D458-($D458-$I$454)*MIN(K$3-$O$2,$Q$2)/$Q$2))</f>
        <v>15741.661973304</v>
      </c>
      <c r="L458" s="15" t="n">
        <f aca="false">K458*(1+IF(L$3&lt;=$O$2,$D458,$D458-($D458-$I$454)*MIN(L$3-$O$2,$Q$2)/$Q$2))</f>
        <v>16308.0469711035</v>
      </c>
      <c r="M458" s="15" t="n">
        <f aca="false">L458*(1+IF(M$3&lt;=$O$2,$D458,$D458-($D458-$I$454)*MIN(M$3-$O$2,$Q$2)/$Q$2))</f>
        <v>16750.6473658992</v>
      </c>
      <c r="N458" s="15" t="n">
        <f aca="false">M458*(1+IF(N$3&lt;=$O$2,$D458,$D458-($D458-$I$454)*MIN(N$3-$O$2,$Q$2)/$Q$2))</f>
        <v>17057.1842126952</v>
      </c>
      <c r="O458" s="15" t="n">
        <f aca="false">SUMPRODUCT(E458:N458,1/(1+$F$454)^$E$3:$N$3)*$E$2</f>
        <v>46129.0058923469</v>
      </c>
      <c r="P458" s="15" t="n">
        <f aca="false">N458*$E$2*(1+$I$454)/($F$454-$I$454)/(1+$F$454)^$N$3</f>
        <v>61379.3801362146</v>
      </c>
      <c r="Q458" s="15" t="n">
        <f aca="false">O458+P458</f>
        <v>107508.386028562</v>
      </c>
      <c r="R458" s="15" t="n">
        <f aca="false">Q458-$G$2+$I$2</f>
        <v>88048.3860285616</v>
      </c>
      <c r="S458" s="40" t="n">
        <f aca="false">R458/$K$2</f>
        <v>156.839961574951</v>
      </c>
      <c r="T458" s="41" t="n">
        <f aca="false">S458-$M$2</f>
        <v>1.03027490436517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39" t="n">
        <f aca="false">(B459+C459)/2</f>
        <v>-0.03125</v>
      </c>
      <c r="E459" s="15" t="n">
        <f aca="false">$C$2*(1+IF(E$3&lt;=$O$2,$D459,$D459-($D459-$I$454)*MIN(E$3-$O$2,$Q$2)/$Q$2))</f>
        <v>10230</v>
      </c>
      <c r="F459" s="15" t="n">
        <f aca="false">E459*(1+IF(F$3&lt;=$O$2,$D459,$D459-($D459-$I$454)*MIN(F$3-$O$2,$Q$2)/$Q$2))</f>
        <v>9910.3125</v>
      </c>
      <c r="G459" s="15" t="n">
        <f aca="false">F459*(1+IF(G$3&lt;=$O$2,$D459,$D459-($D459-$I$454)*MIN(G$3-$O$2,$Q$2)/$Q$2))</f>
        <v>9600.615234375</v>
      </c>
      <c r="H459" s="15" t="n">
        <f aca="false">G459*(1+IF(H$3&lt;=$O$2,$D459,$D459-($D459-$I$454)*MIN(H$3-$O$2,$Q$2)/$Q$2))</f>
        <v>9300.59600830078</v>
      </c>
      <c r="I459" s="15" t="n">
        <f aca="false">H459*(1+IF(I$3&lt;=$O$2,$D459,$D459-($D459-$I$454)*MIN(I$3-$O$2,$Q$2)/$Q$2))</f>
        <v>9009.95238304138</v>
      </c>
      <c r="J459" s="15" t="n">
        <f aca="false">I459*(1+IF(J$3&lt;=$O$2,$D459,$D459-($D459-$I$454)*MIN(J$3-$O$2,$Q$2)/$Q$2))</f>
        <v>8817.67999918728</v>
      </c>
      <c r="K459" s="15" t="n">
        <f aca="false">J459*(1+IF(K$3&lt;=$O$2,$D459,$D459-($D459-$I$454)*MIN(K$3-$O$2,$Q$2)/$Q$2))</f>
        <v>8716.89391679657</v>
      </c>
      <c r="L459" s="15" t="n">
        <f aca="false">K459*(1+IF(L$3&lt;=$O$2,$D459,$D459-($D459-$I$454)*MIN(L$3-$O$2,$Q$2)/$Q$2))</f>
        <v>8703.64423804304</v>
      </c>
      <c r="M459" s="15" t="n">
        <f aca="false">L459*(1+IF(M$3&lt;=$O$2,$D459,$D459-($D459-$I$454)*MIN(M$3-$O$2,$Q$2)/$Q$2))</f>
        <v>8776.66781320022</v>
      </c>
      <c r="N459" s="15" t="n">
        <f aca="false">M459*(1+IF(N$3&lt;=$O$2,$D459,$D459-($D459-$I$454)*MIN(N$3-$O$2,$Q$2)/$Q$2))</f>
        <v>8937.28083418178</v>
      </c>
      <c r="O459" s="15" t="n">
        <f aca="false">SUMPRODUCT(E459:N459,1/(1+$F$454)^$E$3:$N$3)*$E$2</f>
        <v>30650.3607275499</v>
      </c>
      <c r="P459" s="15" t="n">
        <f aca="false">N459*$E$2*(1+$I$454)/($F$454-$I$454)/(1+$F$454)^$N$3</f>
        <v>32160.3349571067</v>
      </c>
      <c r="Q459" s="15" t="n">
        <f aca="false">O459+P459</f>
        <v>62810.6956846565</v>
      </c>
      <c r="R459" s="15" t="n">
        <f aca="false">Q459-$G$2+$I$2</f>
        <v>43350.6956846565</v>
      </c>
      <c r="S459" s="40" t="n">
        <f aca="false">R459/$K$2</f>
        <v>77.2202848013974</v>
      </c>
      <c r="T459" s="41" t="n">
        <f aca="false">S459-$M$2</f>
        <v>-78.5894018691881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39" t="n">
        <f aca="false">(B460+C460)/2</f>
        <v>0.015625</v>
      </c>
      <c r="E460" s="15" t="n">
        <f aca="false">$C$2*(1+IF(E$3&lt;=$O$2,$D460,$D460-($D460-$I$454)*MIN(E$3-$O$2,$Q$2)/$Q$2))</f>
        <v>10725</v>
      </c>
      <c r="F460" s="15" t="n">
        <f aca="false">E460*(1+IF(F$3&lt;=$O$2,$D460,$D460-($D460-$I$454)*MIN(F$3-$O$2,$Q$2)/$Q$2))</f>
        <v>10892.578125</v>
      </c>
      <c r="G460" s="15" t="n">
        <f aca="false">F460*(1+IF(G$3&lt;=$O$2,$D460,$D460-($D460-$I$454)*MIN(G$3-$O$2,$Q$2)/$Q$2))</f>
        <v>11062.7746582031</v>
      </c>
      <c r="H460" s="15" t="n">
        <f aca="false">G460*(1+IF(H$3&lt;=$O$2,$D460,$D460-($D460-$I$454)*MIN(H$3-$O$2,$Q$2)/$Q$2))</f>
        <v>11235.6305122375</v>
      </c>
      <c r="I460" s="15" t="n">
        <f aca="false">H460*(1+IF(I$3&lt;=$O$2,$D460,$D460-($D460-$I$454)*MIN(I$3-$O$2,$Q$2)/$Q$2))</f>
        <v>11411.1872389913</v>
      </c>
      <c r="J460" s="15" t="n">
        <f aca="false">I460*(1+IF(J$3&lt;=$O$2,$D460,$D460-($D460-$I$454)*MIN(J$3-$O$2,$Q$2)/$Q$2))</f>
        <v>11595.5920247734</v>
      </c>
      <c r="K460" s="15" t="n">
        <f aca="false">J460*(1+IF(K$3&lt;=$O$2,$D460,$D460-($D460-$I$454)*MIN(K$3-$O$2,$Q$2)/$Q$2))</f>
        <v>11789.1804336269</v>
      </c>
      <c r="L460" s="15" t="n">
        <f aca="false">K460*(1+IF(L$3&lt;=$O$2,$D460,$D460-($D460-$I$454)*MIN(L$3-$O$2,$Q$2)/$Q$2))</f>
        <v>11992.3080124983</v>
      </c>
      <c r="M460" s="15" t="n">
        <f aca="false">L460*(1+IF(M$3&lt;=$O$2,$D460,$D460-($D460-$I$454)*MIN(M$3-$O$2,$Q$2)/$Q$2))</f>
        <v>12205.3513643404</v>
      </c>
      <c r="N460" s="15" t="n">
        <f aca="false">M460*(1+IF(N$3&lt;=$O$2,$D460,$D460-($D460-$I$454)*MIN(N$3-$O$2,$Q$2)/$Q$2))</f>
        <v>12428.7092943078</v>
      </c>
      <c r="O460" s="15" t="n">
        <f aca="false">SUMPRODUCT(E460:N460,1/(1+$F$454)^$E$3:$N$3)*$E$2</f>
        <v>37587.2063428156</v>
      </c>
      <c r="P460" s="15" t="n">
        <f aca="false">N460*$E$2*(1+$I$454)/($F$454-$I$454)/(1+$F$454)^$N$3</f>
        <v>44724.0566124649</v>
      </c>
      <c r="Q460" s="15" t="n">
        <f aca="false">O460+P460</f>
        <v>82311.2629552805</v>
      </c>
      <c r="R460" s="15" t="n">
        <f aca="false">Q460-$G$2+$I$2</f>
        <v>62851.2629552805</v>
      </c>
      <c r="S460" s="40" t="n">
        <f aca="false">R460/$K$2</f>
        <v>111.956506092521</v>
      </c>
      <c r="T460" s="41" t="n">
        <f aca="false">S460-$M$2</f>
        <v>-43.8531805780642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0.015625</v>
      </c>
      <c r="C461" s="25" t="n">
        <f aca="false">IF(T460&gt;0,D460,C460)</f>
        <v>0.0625</v>
      </c>
      <c r="D461" s="39" t="n">
        <f aca="false">(B461+C461)/2</f>
        <v>0.0390625</v>
      </c>
      <c r="E461" s="15" t="n">
        <f aca="false">$C$2*(1+IF(E$3&lt;=$O$2,$D461,$D461-($D461-$I$454)*MIN(E$3-$O$2,$Q$2)/$Q$2))</f>
        <v>10972.5</v>
      </c>
      <c r="F461" s="15" t="n">
        <f aca="false">E461*(1+IF(F$3&lt;=$O$2,$D461,$D461-($D461-$I$454)*MIN(F$3-$O$2,$Q$2)/$Q$2))</f>
        <v>11401.11328125</v>
      </c>
      <c r="G461" s="15" t="n">
        <f aca="false">F461*(1+IF(G$3&lt;=$O$2,$D461,$D461-($D461-$I$454)*MIN(G$3-$O$2,$Q$2)/$Q$2))</f>
        <v>11846.4692687988</v>
      </c>
      <c r="H461" s="15" t="n">
        <f aca="false">G461*(1+IF(H$3&lt;=$O$2,$D461,$D461-($D461-$I$454)*MIN(H$3-$O$2,$Q$2)/$Q$2))</f>
        <v>12309.2219746113</v>
      </c>
      <c r="I461" s="15" t="n">
        <f aca="false">H461*(1+IF(I$3&lt;=$O$2,$D461,$D461-($D461-$I$454)*MIN(I$3-$O$2,$Q$2)/$Q$2))</f>
        <v>12790.0509579945</v>
      </c>
      <c r="J461" s="15" t="n">
        <f aca="false">I461*(1+IF(J$3&lt;=$O$2,$D461,$D461-($D461-$I$454)*MIN(J$3-$O$2,$Q$2)/$Q$2))</f>
        <v>13236.5516369381</v>
      </c>
      <c r="K461" s="15" t="n">
        <f aca="false">J461*(1+IF(K$3&lt;=$O$2,$D461,$D461-($D461-$I$454)*MIN(K$3-$O$2,$Q$2)/$Q$2))</f>
        <v>13643.6748739112</v>
      </c>
      <c r="L461" s="15" t="n">
        <f aca="false">K461*(1+IF(L$3&lt;=$O$2,$D461,$D461-($D461-$I$454)*MIN(L$3-$O$2,$Q$2)/$Q$2))</f>
        <v>14006.6648439317</v>
      </c>
      <c r="M461" s="15" t="n">
        <f aca="false">L461*(1+IF(M$3&lt;=$O$2,$D461,$D461-($D461-$I$454)*MIN(M$3-$O$2,$Q$2)/$Q$2))</f>
        <v>14321.14948634</v>
      </c>
      <c r="N461" s="15" t="n">
        <f aca="false">M461*(1+IF(N$3&lt;=$O$2,$D461,$D461-($D461-$I$454)*MIN(N$3-$O$2,$Q$2)/$Q$2))</f>
        <v>14583.2265219401</v>
      </c>
      <c r="O461" s="15" t="n">
        <f aca="false">SUMPRODUCT(E461:N461,1/(1+$F$454)^$E$3:$N$3)*$E$2</f>
        <v>41637.3877932772</v>
      </c>
      <c r="P461" s="15" t="n">
        <f aca="false">N461*$E$2*(1+$I$454)/($F$454-$I$454)/(1+$F$454)^$N$3</f>
        <v>52476.9735227741</v>
      </c>
      <c r="Q461" s="15" t="n">
        <f aca="false">O461+P461</f>
        <v>94114.3613160513</v>
      </c>
      <c r="R461" s="15" t="n">
        <f aca="false">Q461-$G$2+$I$2</f>
        <v>74654.3613160513</v>
      </c>
      <c r="S461" s="40" t="n">
        <f aca="false">R461/$K$2</f>
        <v>132.981280956289</v>
      </c>
      <c r="T461" s="41" t="n">
        <f aca="false">S461-$M$2</f>
        <v>-22.8284057142962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0.0390625</v>
      </c>
      <c r="C462" s="25" t="n">
        <f aca="false">IF(T461&gt;0,D461,C461)</f>
        <v>0.0625</v>
      </c>
      <c r="D462" s="39" t="n">
        <f aca="false">(B462+C462)/2</f>
        <v>0.05078125</v>
      </c>
      <c r="E462" s="15" t="n">
        <f aca="false">$C$2*(1+IF(E$3&lt;=$O$2,$D462,$D462-($D462-$I$454)*MIN(E$3-$O$2,$Q$2)/$Q$2))</f>
        <v>11096.25</v>
      </c>
      <c r="F462" s="15" t="n">
        <f aca="false">E462*(1+IF(F$3&lt;=$O$2,$D462,$D462-($D462-$I$454)*MIN(F$3-$O$2,$Q$2)/$Q$2))</f>
        <v>11659.7314453125</v>
      </c>
      <c r="G462" s="15" t="n">
        <f aca="false">F462*(1+IF(G$3&lt;=$O$2,$D462,$D462-($D462-$I$454)*MIN(G$3-$O$2,$Q$2)/$Q$2))</f>
        <v>12251.8271827698</v>
      </c>
      <c r="H462" s="15" t="n">
        <f aca="false">G462*(1+IF(H$3&lt;=$O$2,$D462,$D462-($D462-$I$454)*MIN(H$3-$O$2,$Q$2)/$Q$2))</f>
        <v>12873.9902818948</v>
      </c>
      <c r="I462" s="15" t="n">
        <f aca="false">H462*(1+IF(I$3&lt;=$O$2,$D462,$D462-($D462-$I$454)*MIN(I$3-$O$2,$Q$2)/$Q$2))</f>
        <v>13527.7476008973</v>
      </c>
      <c r="J462" s="15" t="n">
        <f aca="false">I462*(1+IF(J$3&lt;=$O$2,$D462,$D462-($D462-$I$454)*MIN(J$3-$O$2,$Q$2)/$Q$2))</f>
        <v>14126.823903403</v>
      </c>
      <c r="K462" s="15" t="n">
        <f aca="false">J462*(1+IF(K$3&lt;=$O$2,$D462,$D462-($D462-$I$454)*MIN(K$3-$O$2,$Q$2)/$Q$2))</f>
        <v>14660.6589201827</v>
      </c>
      <c r="L462" s="15" t="n">
        <f aca="false">K462*(1+IF(L$3&lt;=$O$2,$D462,$D462-($D462-$I$454)*MIN(L$3-$O$2,$Q$2)/$Q$2))</f>
        <v>15119.4275894425</v>
      </c>
      <c r="M462" s="15" t="n">
        <f aca="false">L462*(1+IF(M$3&lt;=$O$2,$D462,$D462-($D462-$I$454)*MIN(M$3-$O$2,$Q$2)/$Q$2))</f>
        <v>15494.3326958073</v>
      </c>
      <c r="N462" s="15" t="n">
        <f aca="false">M462*(1+IF(N$3&lt;=$O$2,$D462,$D462-($D462-$I$454)*MIN(N$3-$O$2,$Q$2)/$Q$2))</f>
        <v>15777.8789841405</v>
      </c>
      <c r="O462" s="15" t="n">
        <f aca="false">SUMPRODUCT(E462:N462,1/(1+$F$454)^$E$3:$N$3)*$E$2</f>
        <v>43825.3140402554</v>
      </c>
      <c r="P462" s="15" t="n">
        <f aca="false">N462*$E$2*(1+$I$454)/($F$454-$I$454)/(1+$F$454)^$N$3</f>
        <v>56775.8675661117</v>
      </c>
      <c r="Q462" s="15" t="n">
        <f aca="false">O462+P462</f>
        <v>100601.181606367</v>
      </c>
      <c r="R462" s="15" t="n">
        <f aca="false">Q462-$G$2+$I$2</f>
        <v>81141.1816063672</v>
      </c>
      <c r="S462" s="40" t="n">
        <f aca="false">R462/$K$2</f>
        <v>144.536207638838</v>
      </c>
      <c r="T462" s="41" t="n">
        <f aca="false">S462-$M$2</f>
        <v>-11.2734790317477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0.05078125</v>
      </c>
      <c r="C463" s="25" t="n">
        <f aca="false">IF(T462&gt;0,D462,C462)</f>
        <v>0.0625</v>
      </c>
      <c r="D463" s="39" t="n">
        <f aca="false">(B463+C463)/2</f>
        <v>0.056640625</v>
      </c>
      <c r="E463" s="15" t="n">
        <f aca="false">$C$2*(1+IF(E$3&lt;=$O$2,$D463,$D463-($D463-$I$454)*MIN(E$3-$O$2,$Q$2)/$Q$2))</f>
        <v>11158.125</v>
      </c>
      <c r="F463" s="15" t="n">
        <f aca="false">E463*(1+IF(F$3&lt;=$O$2,$D463,$D463-($D463-$I$454)*MIN(F$3-$O$2,$Q$2)/$Q$2))</f>
        <v>11790.1281738281</v>
      </c>
      <c r="G463" s="15" t="n">
        <f aca="false">F463*(1+IF(G$3&lt;=$O$2,$D463,$D463-($D463-$I$454)*MIN(G$3-$O$2,$Q$2)/$Q$2))</f>
        <v>12457.9284024239</v>
      </c>
      <c r="H463" s="15" t="n">
        <f aca="false">G463*(1+IF(H$3&lt;=$O$2,$D463,$D463-($D463-$I$454)*MIN(H$3-$O$2,$Q$2)/$Q$2))</f>
        <v>13163.5532533424</v>
      </c>
      <c r="I463" s="15" t="n">
        <f aca="false">H463*(1+IF(I$3&lt;=$O$2,$D463,$D463-($D463-$I$454)*MIN(I$3-$O$2,$Q$2)/$Q$2))</f>
        <v>13909.1451368325</v>
      </c>
      <c r="J463" s="15" t="n">
        <f aca="false">I463*(1+IF(J$3&lt;=$O$2,$D463,$D463-($D463-$I$454)*MIN(J$3-$O$2,$Q$2)/$Q$2))</f>
        <v>14590.310747046</v>
      </c>
      <c r="K463" s="15" t="n">
        <f aca="false">J463*(1+IF(K$3&lt;=$O$2,$D463,$D463-($D463-$I$454)*MIN(K$3-$O$2,$Q$2)/$Q$2))</f>
        <v>15192.9544135085</v>
      </c>
      <c r="L463" s="15" t="n">
        <f aca="false">K463*(1+IF(L$3&lt;=$O$2,$D463,$D463-($D463-$I$454)*MIN(L$3-$O$2,$Q$2)/$Q$2))</f>
        <v>15703.9884263999</v>
      </c>
      <c r="M463" s="15" t="n">
        <f aca="false">L463*(1+IF(M$3&lt;=$O$2,$D463,$D463-($D463-$I$454)*MIN(M$3-$O$2,$Q$2)/$Q$2))</f>
        <v>16111.7915608552</v>
      </c>
      <c r="N463" s="15" t="n">
        <f aca="false">M463*(1+IF(N$3&lt;=$O$2,$D463,$D463-($D463-$I$454)*MIN(N$3-$O$2,$Q$2)/$Q$2))</f>
        <v>16406.6373464189</v>
      </c>
      <c r="O463" s="15" t="n">
        <f aca="false">SUMPRODUCT(E463:N463,1/(1+$F$454)^$E$3:$N$3)*$E$2</f>
        <v>44962.3388006971</v>
      </c>
      <c r="P463" s="15" t="n">
        <f aca="false">N463*$E$2*(1+$I$454)/($F$454-$I$454)/(1+$F$454)^$N$3</f>
        <v>59038.4214584114</v>
      </c>
      <c r="Q463" s="15" t="n">
        <f aca="false">O463+P463</f>
        <v>104000.760259108</v>
      </c>
      <c r="R463" s="15" t="n">
        <f aca="false">Q463-$G$2+$I$2</f>
        <v>84540.7602591084</v>
      </c>
      <c r="S463" s="40" t="n">
        <f aca="false">R463/$K$2</f>
        <v>150.591852827996</v>
      </c>
      <c r="T463" s="41" t="n">
        <f aca="false">S463-$M$2</f>
        <v>-5.21783384258993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0.056640625</v>
      </c>
      <c r="C464" s="25" t="n">
        <f aca="false">IF(T463&gt;0,D463,C463)</f>
        <v>0.0625</v>
      </c>
      <c r="D464" s="39" t="n">
        <f aca="false">(B464+C464)/2</f>
        <v>0.0595703125</v>
      </c>
      <c r="E464" s="15" t="n">
        <f aca="false">$C$2*(1+IF(E$3&lt;=$O$2,$D464,$D464-($D464-$I$454)*MIN(E$3-$O$2,$Q$2)/$Q$2))</f>
        <v>11189.0625</v>
      </c>
      <c r="F464" s="15" t="n">
        <f aca="false">E464*(1+IF(F$3&lt;=$O$2,$D464,$D464-($D464-$I$454)*MIN(F$3-$O$2,$Q$2)/$Q$2))</f>
        <v>11855.598449707</v>
      </c>
      <c r="G464" s="15" t="n">
        <f aca="false">F464*(1+IF(G$3&lt;=$O$2,$D464,$D464-($D464-$I$454)*MIN(G$3-$O$2,$Q$2)/$Q$2))</f>
        <v>12561.8401542306</v>
      </c>
      <c r="H464" s="15" t="n">
        <f aca="false">G464*(1+IF(H$3&lt;=$O$2,$D464,$D464-($D464-$I$454)*MIN(H$3-$O$2,$Q$2)/$Q$2))</f>
        <v>13310.1528977932</v>
      </c>
      <c r="I464" s="15" t="n">
        <f aca="false">H464*(1+IF(I$3&lt;=$O$2,$D464,$D464-($D464-$I$454)*MIN(I$3-$O$2,$Q$2)/$Q$2))</f>
        <v>14103.0428653375</v>
      </c>
      <c r="J464" s="15" t="n">
        <f aca="false">I464*(1+IF(J$3&lt;=$O$2,$D464,$D464-($D464-$I$454)*MIN(J$3-$O$2,$Q$2)/$Q$2))</f>
        <v>14826.7581387759</v>
      </c>
      <c r="K464" s="15" t="n">
        <f aca="false">J464*(1+IF(K$3&lt;=$O$2,$D464,$D464-($D464-$I$454)*MIN(K$3-$O$2,$Q$2)/$Q$2))</f>
        <v>15465.230777765</v>
      </c>
      <c r="L464" s="15" t="n">
        <f aca="false">K464*(1+IF(L$3&lt;=$O$2,$D464,$D464-($D464-$I$454)*MIN(L$3-$O$2,$Q$2)/$Q$2))</f>
        <v>16003.5464638313</v>
      </c>
      <c r="M464" s="15" t="n">
        <f aca="false">L464*(1+IF(M$3&lt;=$O$2,$D464,$D464-($D464-$I$454)*MIN(M$3-$O$2,$Q$2)/$Q$2))</f>
        <v>16428.5056368535</v>
      </c>
      <c r="N464" s="15" t="n">
        <f aca="false">M464*(1+IF(N$3&lt;=$O$2,$D464,$D464-($D464-$I$454)*MIN(N$3-$O$2,$Q$2)/$Q$2))</f>
        <v>16729.1472900079</v>
      </c>
      <c r="O464" s="15" t="n">
        <f aca="false">SUMPRODUCT(E464:N464,1/(1+$F$454)^$E$3:$N$3)*$E$2</f>
        <v>45541.9224413098</v>
      </c>
      <c r="P464" s="15" t="n">
        <f aca="false">N464*$E$2*(1+$I$454)/($F$454-$I$454)/(1+$F$454)^$N$3</f>
        <v>60198.9565255374</v>
      </c>
      <c r="Q464" s="15" t="n">
        <f aca="false">O464+P464</f>
        <v>105740.878966847</v>
      </c>
      <c r="R464" s="15" t="n">
        <f aca="false">Q464-$G$2+$I$2</f>
        <v>86280.8789668472</v>
      </c>
      <c r="S464" s="40" t="n">
        <f aca="false">R464/$K$2</f>
        <v>153.691513861749</v>
      </c>
      <c r="T464" s="41" t="n">
        <f aca="false">S464-$M$2</f>
        <v>-2.11817280883668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0.0595703125</v>
      </c>
      <c r="C465" s="25" t="n">
        <f aca="false">IF(T464&gt;0,D464,C464)</f>
        <v>0.0625</v>
      </c>
      <c r="D465" s="39" t="n">
        <f aca="false">(B465+C465)/2</f>
        <v>0.06103515625</v>
      </c>
      <c r="E465" s="15" t="n">
        <f aca="false">$C$2*(1+IF(E$3&lt;=$O$2,$D465,$D465-($D465-$I$454)*MIN(E$3-$O$2,$Q$2)/$Q$2))</f>
        <v>11204.53125</v>
      </c>
      <c r="F465" s="15" t="n">
        <f aca="false">E465*(1+IF(F$3&lt;=$O$2,$D465,$D465-($D465-$I$454)*MIN(F$3-$O$2,$Q$2)/$Q$2))</f>
        <v>11888.4015655518</v>
      </c>
      <c r="G465" s="15" t="n">
        <f aca="false">F465*(1+IF(G$3&lt;=$O$2,$D465,$D465-($D465-$I$454)*MIN(G$3-$O$2,$Q$2)/$Q$2))</f>
        <v>12614.012012668</v>
      </c>
      <c r="H465" s="15" t="n">
        <f aca="false">G465*(1+IF(H$3&lt;=$O$2,$D465,$D465-($D465-$I$454)*MIN(H$3-$O$2,$Q$2)/$Q$2))</f>
        <v>13383.9102068005</v>
      </c>
      <c r="I465" s="15" t="n">
        <f aca="false">H465*(1+IF(I$3&lt;=$O$2,$D465,$D465-($D465-$I$454)*MIN(I$3-$O$2,$Q$2)/$Q$2))</f>
        <v>14200.7992575086</v>
      </c>
      <c r="J465" s="15" t="n">
        <f aca="false">I465*(1+IF(J$3&lt;=$O$2,$D465,$D465-($D465-$I$454)*MIN(J$3-$O$2,$Q$2)/$Q$2))</f>
        <v>14946.1725840366</v>
      </c>
      <c r="K465" s="15" t="n">
        <f aca="false">J465*(1+IF(K$3&lt;=$O$2,$D465,$D465-($D465-$I$454)*MIN(K$3-$O$2,$Q$2)/$Q$2))</f>
        <v>15602.9237547554</v>
      </c>
      <c r="L465" s="15" t="n">
        <f aca="false">K465*(1+IF(L$3&lt;=$O$2,$D465,$D465-($D465-$I$454)*MIN(L$3-$O$2,$Q$2)/$Q$2))</f>
        <v>16155.174613314</v>
      </c>
      <c r="M465" s="15" t="n">
        <f aca="false">L465*(1+IF(M$3&lt;=$O$2,$D465,$D465-($D465-$I$454)*MIN(M$3-$O$2,$Q$2)/$Q$2))</f>
        <v>16588.8930910068</v>
      </c>
      <c r="N465" s="15" t="n">
        <f aca="false">M465*(1+IF(N$3&lt;=$O$2,$D465,$D465-($D465-$I$454)*MIN(N$3-$O$2,$Q$2)/$Q$2))</f>
        <v>16892.4698345722</v>
      </c>
      <c r="O465" s="15" t="n">
        <f aca="false">SUMPRODUCT(E465:N465,1/(1+$F$454)^$E$3:$N$3)*$E$2</f>
        <v>45834.5210627899</v>
      </c>
      <c r="P465" s="15" t="n">
        <f aca="false">N465*$E$2*(1+$I$454)/($F$454-$I$454)/(1+$F$454)^$N$3</f>
        <v>60786.6641109527</v>
      </c>
      <c r="Q465" s="15" t="n">
        <f aca="false">O465+P465</f>
        <v>106621.185173743</v>
      </c>
      <c r="R465" s="15" t="n">
        <f aca="false">Q465-$G$2+$I$2</f>
        <v>87161.1851737426</v>
      </c>
      <c r="S465" s="40" t="n">
        <f aca="false">R465/$K$2</f>
        <v>155.259597024782</v>
      </c>
      <c r="T465" s="41" t="n">
        <f aca="false">S465-$M$2</f>
        <v>-0.550089645803126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0.06103515625</v>
      </c>
      <c r="C466" s="25" t="n">
        <f aca="false">IF(T465&gt;0,D465,C465)</f>
        <v>0.0625</v>
      </c>
      <c r="D466" s="39" t="n">
        <f aca="false">(B466+C466)/2</f>
        <v>0.061767578125</v>
      </c>
      <c r="E466" s="15" t="n">
        <f aca="false">$C$2*(1+IF(E$3&lt;=$O$2,$D466,$D466-($D466-$I$454)*MIN(E$3-$O$2,$Q$2)/$Q$2))</f>
        <v>11212.265625</v>
      </c>
      <c r="F466" s="15" t="n">
        <f aca="false">E466*(1+IF(F$3&lt;=$O$2,$D466,$D466-($D466-$I$454)*MIN(F$3-$O$2,$Q$2)/$Q$2))</f>
        <v>11904.8201179504</v>
      </c>
      <c r="G466" s="15" t="n">
        <f aca="false">F466*(1+IF(G$3&lt;=$O$2,$D466,$D466-($D466-$I$454)*MIN(G$3-$O$2,$Q$2)/$Q$2))</f>
        <v>12640.15202465</v>
      </c>
      <c r="H466" s="15" t="n">
        <f aca="false">G466*(1+IF(H$3&lt;=$O$2,$D466,$D466-($D466-$I$454)*MIN(H$3-$O$2,$Q$2)/$Q$2))</f>
        <v>13420.9036023445</v>
      </c>
      <c r="I466" s="15" t="n">
        <f aca="false">H466*(1+IF(I$3&lt;=$O$2,$D466,$D466-($D466-$I$454)*MIN(I$3-$O$2,$Q$2)/$Q$2))</f>
        <v>14249.8803141104</v>
      </c>
      <c r="J466" s="15" t="n">
        <f aca="false">I466*(1+IF(J$3&lt;=$O$2,$D466,$D466-($D466-$I$454)*MIN(J$3-$O$2,$Q$2)/$Q$2))</f>
        <v>15006.179352519</v>
      </c>
      <c r="K466" s="15" t="n">
        <f aca="false">J466*(1+IF(K$3&lt;=$O$2,$D466,$D466-($D466-$I$454)*MIN(K$3-$O$2,$Q$2)/$Q$2))</f>
        <v>15672.1617986881</v>
      </c>
      <c r="L466" s="15" t="n">
        <f aca="false">K466*(1+IF(L$3&lt;=$O$2,$D466,$D466-($D466-$I$454)*MIN(L$3-$O$2,$Q$2)/$Q$2))</f>
        <v>16231.4547265529</v>
      </c>
      <c r="M466" s="15" t="n">
        <f aca="false">L466*(1+IF(M$3&lt;=$O$2,$D466,$D466-($D466-$I$454)*MIN(M$3-$O$2,$Q$2)/$Q$2))</f>
        <v>16669.5987533306</v>
      </c>
      <c r="N466" s="15" t="n">
        <f aca="false">M466*(1+IF(N$3&lt;=$O$2,$D466,$D466-($D466-$I$454)*MIN(N$3-$O$2,$Q$2)/$Q$2))</f>
        <v>16974.6524105166</v>
      </c>
      <c r="O466" s="15" t="n">
        <f aca="false">SUMPRODUCT(E466:N466,1/(1+$F$454)^$E$3:$N$3)*$E$2</f>
        <v>45981.5269948832</v>
      </c>
      <c r="P466" s="15" t="n">
        <f aca="false">N466*$E$2*(1+$I$454)/($F$454-$I$454)/(1+$F$454)^$N$3</f>
        <v>61082.3937874668</v>
      </c>
      <c r="Q466" s="15" t="n">
        <f aca="false">O466+P466</f>
        <v>107063.92078235</v>
      </c>
      <c r="R466" s="15" t="n">
        <f aca="false">Q466-$G$2+$I$2</f>
        <v>87603.92078235</v>
      </c>
      <c r="S466" s="40" t="n">
        <f aca="false">R466/$K$2</f>
        <v>156.048238804307</v>
      </c>
      <c r="T466" s="41" t="n">
        <f aca="false">S466-$M$2</f>
        <v>0.238552133721669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0.06103515625</v>
      </c>
      <c r="C467" s="25" t="n">
        <f aca="false">IF(T466&gt;0,D466,C466)</f>
        <v>0.061767578125</v>
      </c>
      <c r="D467" s="39" t="n">
        <f aca="false">(B467+C467)/2</f>
        <v>0.0614013671875</v>
      </c>
      <c r="E467" s="15" t="n">
        <f aca="false">$C$2*(1+IF(E$3&lt;=$O$2,$D467,$D467-($D467-$I$454)*MIN(E$3-$O$2,$Q$2)/$Q$2))</f>
        <v>11208.3984375</v>
      </c>
      <c r="F467" s="15" t="n">
        <f aca="false">E467*(1+IF(F$3&lt;=$O$2,$D467,$D467-($D467-$I$454)*MIN(F$3-$O$2,$Q$2)/$Q$2))</f>
        <v>11896.6094255447</v>
      </c>
      <c r="G467" s="15" t="n">
        <f aca="false">F467*(1+IF(G$3&lt;=$O$2,$D467,$D467-($D467-$I$454)*MIN(G$3-$O$2,$Q$2)/$Q$2))</f>
        <v>12627.0775091689</v>
      </c>
      <c r="H467" s="15" t="n">
        <f aca="false">G467*(1+IF(H$3&lt;=$O$2,$D467,$D467-($D467-$I$454)*MIN(H$3-$O$2,$Q$2)/$Q$2))</f>
        <v>13402.3973318144</v>
      </c>
      <c r="I467" s="15" t="n">
        <f aca="false">H467*(1+IF(I$3&lt;=$O$2,$D467,$D467-($D467-$I$454)*MIN(I$3-$O$2,$Q$2)/$Q$2))</f>
        <v>14225.3228515779</v>
      </c>
      <c r="J467" s="15" t="n">
        <f aca="false">I467*(1+IF(J$3&lt;=$O$2,$D467,$D467-($D467-$I$454)*MIN(J$3-$O$2,$Q$2)/$Q$2))</f>
        <v>14976.150950631</v>
      </c>
      <c r="K467" s="15" t="n">
        <f aca="false">J467*(1+IF(K$3&lt;=$O$2,$D467,$D467-($D467-$I$454)*MIN(K$3-$O$2,$Q$2)/$Q$2))</f>
        <v>15637.5100617347</v>
      </c>
      <c r="L467" s="15" t="n">
        <f aca="false">K467*(1+IF(L$3&lt;=$O$2,$D467,$D467-($D467-$I$454)*MIN(L$3-$O$2,$Q$2)/$Q$2))</f>
        <v>16193.2757210921</v>
      </c>
      <c r="M467" s="15" t="n">
        <f aca="false">L467*(1+IF(M$3&lt;=$O$2,$D467,$D467-($D467-$I$454)*MIN(M$3-$O$2,$Q$2)/$Q$2))</f>
        <v>16629.2031313527</v>
      </c>
      <c r="N467" s="15" t="n">
        <f aca="false">M467*(1+IF(N$3&lt;=$O$2,$D467,$D467-($D467-$I$454)*MIN(N$3-$O$2,$Q$2)/$Q$2))</f>
        <v>16933.5175486565</v>
      </c>
      <c r="O467" s="15" t="n">
        <f aca="false">SUMPRODUCT(E467:N467,1/(1+$F$454)^$E$3:$N$3)*$E$2</f>
        <v>45907.9649966434</v>
      </c>
      <c r="P467" s="15" t="n">
        <f aca="false">N467*$E$2*(1+$I$454)/($F$454-$I$454)/(1+$F$454)^$N$3</f>
        <v>60934.3721508661</v>
      </c>
      <c r="Q467" s="15" t="n">
        <f aca="false">O467+P467</f>
        <v>106842.33714751</v>
      </c>
      <c r="R467" s="15" t="n">
        <f aca="false">Q467-$G$2+$I$2</f>
        <v>87382.3371475095</v>
      </c>
      <c r="S467" s="40" t="n">
        <f aca="false">R467/$K$2</f>
        <v>155.65353345715</v>
      </c>
      <c r="T467" s="41" t="n">
        <f aca="false">S467-$M$2</f>
        <v>-0.156153213435374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0.0614013671875</v>
      </c>
      <c r="C468" s="25" t="n">
        <f aca="false">IF(T467&gt;0,D467,C467)</f>
        <v>0.061767578125</v>
      </c>
      <c r="D468" s="39" t="n">
        <f aca="false">(B468+C468)/2</f>
        <v>0.06158447265625</v>
      </c>
      <c r="E468" s="15" t="n">
        <f aca="false">$C$2*(1+IF(E$3&lt;=$O$2,$D468,$D468-($D468-$I$454)*MIN(E$3-$O$2,$Q$2)/$Q$2))</f>
        <v>11210.33203125</v>
      </c>
      <c r="F468" s="15" t="n">
        <f aca="false">E468*(1+IF(F$3&lt;=$O$2,$D468,$D468-($D468-$I$454)*MIN(F$3-$O$2,$Q$2)/$Q$2))</f>
        <v>11900.714417696</v>
      </c>
      <c r="G468" s="15" t="n">
        <f aca="false">F468*(1+IF(G$3&lt;=$O$2,$D468,$D468-($D468-$I$454)*MIN(G$3-$O$2,$Q$2)/$Q$2))</f>
        <v>12633.6136393424</v>
      </c>
      <c r="H468" s="15" t="n">
        <f aca="false">G468*(1+IF(H$3&lt;=$O$2,$D468,$D468-($D468-$I$454)*MIN(H$3-$O$2,$Q$2)/$Q$2))</f>
        <v>13411.6480730642</v>
      </c>
      <c r="I468" s="15" t="n">
        <f aca="false">H468*(1+IF(I$3&lt;=$O$2,$D468,$D468-($D468-$I$454)*MIN(I$3-$O$2,$Q$2)/$Q$2))</f>
        <v>14237.597347095</v>
      </c>
      <c r="J468" s="15" t="n">
        <f aca="false">I468*(1+IF(J$3&lt;=$O$2,$D468,$D468-($D468-$I$454)*MIN(J$3-$O$2,$Q$2)/$Q$2))</f>
        <v>14991.1588929957</v>
      </c>
      <c r="K468" s="15" t="n">
        <f aca="false">J468*(1+IF(K$3&lt;=$O$2,$D468,$D468-($D468-$I$454)*MIN(K$3-$O$2,$Q$2)/$Q$2))</f>
        <v>15654.8277450511</v>
      </c>
      <c r="L468" s="15" t="n">
        <f aca="false">K468*(1+IF(L$3&lt;=$O$2,$D468,$D468-($D468-$I$454)*MIN(L$3-$O$2,$Q$2)/$Q$2))</f>
        <v>16212.3554781732</v>
      </c>
      <c r="M468" s="15" t="n">
        <f aca="false">L468*(1+IF(M$3&lt;=$O$2,$D468,$D468-($D468-$I$454)*MIN(M$3-$O$2,$Q$2)/$Q$2))</f>
        <v>16649.3902349014</v>
      </c>
      <c r="N468" s="15" t="n">
        <f aca="false">M468*(1+IF(N$3&lt;=$O$2,$D468,$D468-($D468-$I$454)*MIN(N$3-$O$2,$Q$2)/$Q$2))</f>
        <v>16954.0740762001</v>
      </c>
      <c r="O468" s="15" t="n">
        <f aca="false">SUMPRODUCT(E468:N468,1/(1+$F$454)^$E$3:$N$3)*$E$2</f>
        <v>45944.7312266642</v>
      </c>
      <c r="P468" s="15" t="n">
        <f aca="false">N468*$E$2*(1+$I$454)/($F$454-$I$454)/(1+$F$454)^$N$3</f>
        <v>61008.3437339039</v>
      </c>
      <c r="Q468" s="15" t="n">
        <f aca="false">O468+P468</f>
        <v>106953.074960568</v>
      </c>
      <c r="R468" s="15" t="n">
        <f aca="false">Q468-$G$2+$I$2</f>
        <v>87493.0749605681</v>
      </c>
      <c r="S468" s="40" t="n">
        <f aca="false">R468/$K$2</f>
        <v>155.850789933145</v>
      </c>
      <c r="T468" s="41" t="n">
        <f aca="false">S468-$M$2</f>
        <v>0.0411032625592043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0.0614013671875</v>
      </c>
      <c r="C469" s="25" t="n">
        <f aca="false">IF(T468&gt;0,D468,C468)</f>
        <v>0.06158447265625</v>
      </c>
      <c r="D469" s="39" t="n">
        <f aca="false">(B469+C469)/2</f>
        <v>0.061492919921875</v>
      </c>
      <c r="E469" s="15" t="n">
        <f aca="false">$C$2*(1+IF(E$3&lt;=$O$2,$D469,$D469-($D469-$I$454)*MIN(E$3-$O$2,$Q$2)/$Q$2))</f>
        <v>11209.365234375</v>
      </c>
      <c r="F469" s="15" t="n">
        <f aca="false">E469*(1+IF(F$3&lt;=$O$2,$D469,$D469-($D469-$I$454)*MIN(F$3-$O$2,$Q$2)/$Q$2))</f>
        <v>11898.6618331075</v>
      </c>
      <c r="G469" s="15" t="n">
        <f aca="false">F469*(1+IF(G$3&lt;=$O$2,$D469,$D469-($D469-$I$454)*MIN(G$3-$O$2,$Q$2)/$Q$2))</f>
        <v>12630.3452923882</v>
      </c>
      <c r="H469" s="15" t="n">
        <f aca="false">G469*(1+IF(H$3&lt;=$O$2,$D469,$D469-($D469-$I$454)*MIN(H$3-$O$2,$Q$2)/$Q$2))</f>
        <v>13407.0221040387</v>
      </c>
      <c r="I469" s="15" t="n">
        <f aca="false">H469*(1+IF(I$3&lt;=$O$2,$D469,$D469-($D469-$I$454)*MIN(I$3-$O$2,$Q$2)/$Q$2))</f>
        <v>14231.4590406731</v>
      </c>
      <c r="J469" s="15" t="n">
        <f aca="false">I469*(1+IF(J$3&lt;=$O$2,$D469,$D469-($D469-$I$454)*MIN(J$3-$O$2,$Q$2)/$Q$2))</f>
        <v>14983.6533576896</v>
      </c>
      <c r="K469" s="15" t="n">
        <f aca="false">J469*(1+IF(K$3&lt;=$O$2,$D469,$D469-($D469-$I$454)*MIN(K$3-$O$2,$Q$2)/$Q$2))</f>
        <v>15646.1668579049</v>
      </c>
      <c r="L469" s="15" t="n">
        <f aca="false">K469*(1+IF(L$3&lt;=$O$2,$D469,$D469-($D469-$I$454)*MIN(L$3-$O$2,$Q$2)/$Q$2))</f>
        <v>16202.8131642756</v>
      </c>
      <c r="M469" s="15" t="n">
        <f aca="false">L469*(1+IF(M$3&lt;=$O$2,$D469,$D469-($D469-$I$454)*MIN(M$3-$O$2,$Q$2)/$Q$2))</f>
        <v>16639.2940074846</v>
      </c>
      <c r="N469" s="15" t="n">
        <f aca="false">M469*(1+IF(N$3&lt;=$O$2,$D469,$D469-($D469-$I$454)*MIN(N$3-$O$2,$Q$2)/$Q$2))</f>
        <v>16943.7930878216</v>
      </c>
      <c r="O469" s="15" t="n">
        <f aca="false">SUMPRODUCT(E469:N469,1/(1+$F$454)^$E$3:$N$3)*$E$2</f>
        <v>45926.3444207609</v>
      </c>
      <c r="P469" s="15" t="n">
        <f aca="false">N469*$E$2*(1+$I$454)/($F$454-$I$454)/(1+$F$454)^$N$3</f>
        <v>60971.3481380311</v>
      </c>
      <c r="Q469" s="15" t="n">
        <f aca="false">O469+P469</f>
        <v>106897.692558792</v>
      </c>
      <c r="R469" s="15" t="n">
        <f aca="false">Q469-$G$2+$I$2</f>
        <v>87437.692558792</v>
      </c>
      <c r="S469" s="40" t="n">
        <f aca="false">R469/$K$2</f>
        <v>155.752137656161</v>
      </c>
      <c r="T469" s="41" t="n">
        <f aca="false">S469-$M$2</f>
        <v>-0.0575490144248931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0.061492919921875</v>
      </c>
      <c r="C470" s="25" t="n">
        <f aca="false">IF(T469&gt;0,D469,C469)</f>
        <v>0.06158447265625</v>
      </c>
      <c r="D470" s="39" t="n">
        <f aca="false">(B470+C470)/2</f>
        <v>0.0615386962890625</v>
      </c>
      <c r="E470" s="15" t="n">
        <f aca="false">$C$2*(1+IF(E$3&lt;=$O$2,$D470,$D470-($D470-$I$454)*MIN(E$3-$O$2,$Q$2)/$Q$2))</f>
        <v>11209.8486328125</v>
      </c>
      <c r="F470" s="15" t="n">
        <f aca="false">E470*(1+IF(F$3&lt;=$O$2,$D470,$D470-($D470-$I$454)*MIN(F$3-$O$2,$Q$2)/$Q$2))</f>
        <v>11899.6881032735</v>
      </c>
      <c r="G470" s="15" t="n">
        <f aca="false">F470*(1+IF(G$3&lt;=$O$2,$D470,$D470-($D470-$I$454)*MIN(G$3-$O$2,$Q$2)/$Q$2))</f>
        <v>12631.9793953954</v>
      </c>
      <c r="H470" s="15" t="n">
        <f aca="false">G470*(1+IF(H$3&lt;=$O$2,$D470,$D470-($D470-$I$454)*MIN(H$3-$O$2,$Q$2)/$Q$2))</f>
        <v>13409.3349389384</v>
      </c>
      <c r="I470" s="15" t="n">
        <f aca="false">H470*(1+IF(I$3&lt;=$O$2,$D470,$D470-($D470-$I$454)*MIN(I$3-$O$2,$Q$2)/$Q$2))</f>
        <v>14234.527929184</v>
      </c>
      <c r="J470" s="15" t="n">
        <f aca="false">I470*(1+IF(J$3&lt;=$O$2,$D470,$D470-($D470-$I$454)*MIN(J$3-$O$2,$Q$2)/$Q$2))</f>
        <v>14987.4057342466</v>
      </c>
      <c r="K470" s="15" t="n">
        <f aca="false">J470*(1+IF(K$3&lt;=$O$2,$D470,$D470-($D470-$I$454)*MIN(K$3-$O$2,$Q$2)/$Q$2))</f>
        <v>15650.4967900057</v>
      </c>
      <c r="L470" s="15" t="n">
        <f aca="false">K470*(1+IF(L$3&lt;=$O$2,$D470,$D470-($D470-$I$454)*MIN(L$3-$O$2,$Q$2)/$Q$2))</f>
        <v>16207.5837122533</v>
      </c>
      <c r="M470" s="15" t="n">
        <f aca="false">L470*(1+IF(M$3&lt;=$O$2,$D470,$D470-($D470-$I$454)*MIN(M$3-$O$2,$Q$2)/$Q$2))</f>
        <v>16644.3414521302</v>
      </c>
      <c r="N470" s="15" t="n">
        <f aca="false">M470*(1+IF(N$3&lt;=$O$2,$D470,$D470-($D470-$I$454)*MIN(N$3-$O$2,$Q$2)/$Q$2))</f>
        <v>16948.9329007042</v>
      </c>
      <c r="O470" s="15" t="n">
        <f aca="false">SUMPRODUCT(E470:N470,1/(1+$F$454)^$E$3:$N$3)*$E$2</f>
        <v>45935.5369008167</v>
      </c>
      <c r="P470" s="15" t="n">
        <f aca="false">N470*$E$2*(1+$I$454)/($F$454-$I$454)/(1+$F$454)^$N$3</f>
        <v>60989.8434843215</v>
      </c>
      <c r="Q470" s="15" t="n">
        <f aca="false">O470+P470</f>
        <v>106925.380385138</v>
      </c>
      <c r="R470" s="15" t="n">
        <f aca="false">Q470-$G$2+$I$2</f>
        <v>87465.3803851381</v>
      </c>
      <c r="S470" s="40" t="n">
        <f aca="false">R470/$K$2</f>
        <v>155.801457783605</v>
      </c>
      <c r="T470" s="41" t="n">
        <f aca="false">S470-$M$2</f>
        <v>-0.00822888698033353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0.0615386962890625</v>
      </c>
      <c r="C471" s="25" t="n">
        <f aca="false">IF(T470&gt;0,D470,C470)</f>
        <v>0.06158447265625</v>
      </c>
      <c r="D471" s="39" t="n">
        <f aca="false">(B471+C471)/2</f>
        <v>0.0615615844726563</v>
      </c>
      <c r="E471" s="15" t="n">
        <f aca="false">$C$2*(1+IF(E$3&lt;=$O$2,$D471,$D471-($D471-$I$454)*MIN(E$3-$O$2,$Q$2)/$Q$2))</f>
        <v>11210.0903320313</v>
      </c>
      <c r="F471" s="15" t="n">
        <f aca="false">E471*(1+IF(F$3&lt;=$O$2,$D471,$D471-($D471-$I$454)*MIN(F$3-$O$2,$Q$2)/$Q$2))</f>
        <v>11900.2012549527</v>
      </c>
      <c r="G471" s="15" t="n">
        <f aca="false">F471*(1+IF(G$3&lt;=$O$2,$D471,$D471-($D471-$I$454)*MIN(G$3-$O$2,$Q$2)/$Q$2))</f>
        <v>12632.7964997511</v>
      </c>
      <c r="H471" s="15" t="n">
        <f aca="false">G471*(1+IF(H$3&lt;=$O$2,$D471,$D471-($D471-$I$454)*MIN(H$3-$O$2,$Q$2)/$Q$2))</f>
        <v>13410.4914685964</v>
      </c>
      <c r="I471" s="15" t="n">
        <f aca="false">H471*(1+IF(I$3&lt;=$O$2,$D471,$D471-($D471-$I$454)*MIN(I$3-$O$2,$Q$2)/$Q$2))</f>
        <v>14236.0625719602</v>
      </c>
      <c r="J471" s="15" t="n">
        <f aca="false">I471*(1+IF(J$3&lt;=$O$2,$D471,$D471-($D471-$I$454)*MIN(J$3-$O$2,$Q$2)/$Q$2))</f>
        <v>14989.282215839</v>
      </c>
      <c r="K471" s="15" t="n">
        <f aca="false">J471*(1+IF(K$3&lt;=$O$2,$D471,$D471-($D471-$I$454)*MIN(K$3-$O$2,$Q$2)/$Q$2))</f>
        <v>15652.6621396478</v>
      </c>
      <c r="L471" s="15" t="n">
        <f aca="false">K471*(1+IF(L$3&lt;=$O$2,$D471,$D471-($D471-$I$454)*MIN(L$3-$O$2,$Q$2)/$Q$2))</f>
        <v>16209.9694429539</v>
      </c>
      <c r="M471" s="15" t="n">
        <f aca="false">L471*(1+IF(M$3&lt;=$O$2,$D471,$D471-($D471-$I$454)*MIN(M$3-$O$2,$Q$2)/$Q$2))</f>
        <v>16646.8656762311</v>
      </c>
      <c r="N471" s="15" t="n">
        <f aca="false">M471*(1+IF(N$3&lt;=$O$2,$D471,$D471-($D471-$I$454)*MIN(N$3-$O$2,$Q$2)/$Q$2))</f>
        <v>16951.5033181061</v>
      </c>
      <c r="O471" s="15" t="n">
        <f aca="false">SUMPRODUCT(E471:N471,1/(1+$F$454)^$E$3:$N$3)*$E$2</f>
        <v>45940.1338329949</v>
      </c>
      <c r="P471" s="15" t="n">
        <f aca="false">N471*$E$2*(1+$I$454)/($F$454-$I$454)/(1+$F$454)^$N$3</f>
        <v>60999.0929961314</v>
      </c>
      <c r="Q471" s="15" t="n">
        <f aca="false">O471+P471</f>
        <v>106939.226829126</v>
      </c>
      <c r="R471" s="15" t="n">
        <f aca="false">Q471-$G$2+$I$2</f>
        <v>87479.2268291263</v>
      </c>
      <c r="S471" s="40" t="n">
        <f aca="false">R471/$K$2</f>
        <v>155.82612235545</v>
      </c>
      <c r="T471" s="41" t="n">
        <f aca="false">S471-$M$2</f>
        <v>0.0164356848648879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0.0615386962890625</v>
      </c>
      <c r="C472" s="25" t="n">
        <f aca="false">IF(T471&gt;0,D471,C471)</f>
        <v>0.0615615844726563</v>
      </c>
      <c r="D472" s="39" t="n">
        <f aca="false">(B472+C472)/2</f>
        <v>0.0615501403808594</v>
      </c>
      <c r="E472" s="15" t="n">
        <f aca="false">$C$2*(1+IF(E$3&lt;=$O$2,$D472,$D472-($D472-$I$454)*MIN(E$3-$O$2,$Q$2)/$Q$2))</f>
        <v>11209.9694824219</v>
      </c>
      <c r="F472" s="15" t="n">
        <f aca="false">E472*(1+IF(F$3&lt;=$O$2,$D472,$D472-($D472-$I$454)*MIN(F$3-$O$2,$Q$2)/$Q$2))</f>
        <v>11899.9446777301</v>
      </c>
      <c r="G472" s="15" t="n">
        <f aca="false">F472*(1+IF(G$3&lt;=$O$2,$D472,$D472-($D472-$I$454)*MIN(G$3-$O$2,$Q$2)/$Q$2))</f>
        <v>12632.3879431688</v>
      </c>
      <c r="H472" s="15" t="n">
        <f aca="false">G472*(1+IF(H$3&lt;=$O$2,$D472,$D472-($D472-$I$454)*MIN(H$3-$O$2,$Q$2)/$Q$2))</f>
        <v>13409.9131944164</v>
      </c>
      <c r="I472" s="15" t="n">
        <f aca="false">H472*(1+IF(I$3&lt;=$O$2,$D472,$D472-($D472-$I$454)*MIN(I$3-$O$2,$Q$2)/$Q$2))</f>
        <v>14235.2952340278</v>
      </c>
      <c r="J472" s="15" t="n">
        <f aca="false">I472*(1+IF(J$3&lt;=$O$2,$D472,$D472-($D472-$I$454)*MIN(J$3-$O$2,$Q$2)/$Q$2))</f>
        <v>14988.3439505983</v>
      </c>
      <c r="K472" s="15" t="n">
        <f aca="false">J472*(1+IF(K$3&lt;=$O$2,$D472,$D472-($D472-$I$454)*MIN(K$3-$O$2,$Q$2)/$Q$2))</f>
        <v>15651.5794328582</v>
      </c>
      <c r="L472" s="15" t="n">
        <f aca="false">K472*(1+IF(L$3&lt;=$O$2,$D472,$D472-($D472-$I$454)*MIN(L$3-$O$2,$Q$2)/$Q$2))</f>
        <v>16208.7765395408</v>
      </c>
      <c r="M472" s="15" t="n">
        <f aca="false">L472*(1+IF(M$3&lt;=$O$2,$D472,$D472-($D472-$I$454)*MIN(M$3-$O$2,$Q$2)/$Q$2))</f>
        <v>16645.6035223619</v>
      </c>
      <c r="N472" s="15" t="n">
        <f aca="false">M472*(1+IF(N$3&lt;=$O$2,$D472,$D472-($D472-$I$454)*MIN(N$3-$O$2,$Q$2)/$Q$2))</f>
        <v>16950.2180668211</v>
      </c>
      <c r="O472" s="15" t="n">
        <f aca="false">SUMPRODUCT(E472:N472,1/(1+$F$454)^$E$3:$N$3)*$E$2</f>
        <v>45937.8353092221</v>
      </c>
      <c r="P472" s="15" t="n">
        <f aca="false">N472*$E$2*(1+$I$454)/($F$454-$I$454)/(1+$F$454)^$N$3</f>
        <v>60994.4680869898</v>
      </c>
      <c r="Q472" s="15" t="n">
        <f aca="false">O472+P472</f>
        <v>106932.303396212</v>
      </c>
      <c r="R472" s="15" t="n">
        <f aca="false">Q472-$G$2+$I$2</f>
        <v>87472.3033962119</v>
      </c>
      <c r="S472" s="40" t="n">
        <f aca="false">R472/$K$2</f>
        <v>155.813789693817</v>
      </c>
      <c r="T472" s="41" t="n">
        <f aca="false">S472-$M$2</f>
        <v>0.00410302323146539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0.0615386962890625</v>
      </c>
      <c r="C473" s="25" t="n">
        <f aca="false">IF(T472&gt;0,D472,C472)</f>
        <v>0.0615501403808594</v>
      </c>
      <c r="D473" s="39" t="n">
        <f aca="false">(B473+C473)/2</f>
        <v>0.0615444183349609</v>
      </c>
      <c r="E473" s="15" t="n">
        <f aca="false">$C$2*(1+IF(E$3&lt;=$O$2,$D473,$D473-($D473-$I$454)*MIN(E$3-$O$2,$Q$2)/$Q$2))</f>
        <v>11209.9090576172</v>
      </c>
      <c r="F473" s="15" t="n">
        <f aca="false">E473*(1+IF(F$3&lt;=$O$2,$D473,$D473-($D473-$I$454)*MIN(F$3-$O$2,$Q$2)/$Q$2))</f>
        <v>11899.816390156</v>
      </c>
      <c r="G473" s="15" t="n">
        <f aca="false">F473*(1+IF(G$3&lt;=$O$2,$D473,$D473-($D473-$I$454)*MIN(G$3-$O$2,$Q$2)/$Q$2))</f>
        <v>12632.183668181</v>
      </c>
      <c r="H473" s="15" t="n">
        <f aca="false">G473*(1+IF(H$3&lt;=$O$2,$D473,$D473-($D473-$I$454)*MIN(H$3-$O$2,$Q$2)/$Q$2))</f>
        <v>13409.6240643396</v>
      </c>
      <c r="I473" s="15" t="n">
        <f aca="false">H473*(1+IF(I$3&lt;=$O$2,$D473,$D473-($D473-$I$454)*MIN(I$3-$O$2,$Q$2)/$Q$2))</f>
        <v>14234.9115774699</v>
      </c>
      <c r="J473" s="15" t="n">
        <f aca="false">I473*(1+IF(J$3&lt;=$O$2,$D473,$D473-($D473-$I$454)*MIN(J$3-$O$2,$Q$2)/$Q$2))</f>
        <v>14987.8748363114</v>
      </c>
      <c r="K473" s="15" t="n">
        <f aca="false">J473*(1+IF(K$3&lt;=$O$2,$D473,$D473-($D473-$I$454)*MIN(K$3-$O$2,$Q$2)/$Q$2))</f>
        <v>15651.03810344</v>
      </c>
      <c r="L473" s="15" t="n">
        <f aca="false">K473*(1+IF(L$3&lt;=$O$2,$D473,$D473-($D473-$I$454)*MIN(L$3-$O$2,$Q$2)/$Q$2))</f>
        <v>16208.1801163816</v>
      </c>
      <c r="M473" s="15" t="n">
        <f aca="false">L473*(1+IF(M$3&lt;=$O$2,$D473,$D473-($D473-$I$454)*MIN(M$3-$O$2,$Q$2)/$Q$2))</f>
        <v>16644.9724767916</v>
      </c>
      <c r="N473" s="15" t="n">
        <f aca="false">M473*(1+IF(N$3&lt;=$O$2,$D473,$D473-($D473-$I$454)*MIN(N$3-$O$2,$Q$2)/$Q$2))</f>
        <v>16949.5754731169</v>
      </c>
      <c r="O473" s="15" t="n">
        <f aca="false">SUMPRODUCT(E473:N473,1/(1+$F$454)^$E$3:$N$3)*$E$2</f>
        <v>45936.6860905988</v>
      </c>
      <c r="P473" s="15" t="n">
        <f aca="false">N473*$E$2*(1+$I$454)/($F$454-$I$454)/(1+$F$454)^$N$3</f>
        <v>60992.1557473476</v>
      </c>
      <c r="Q473" s="15" t="n">
        <f aca="false">O473+P473</f>
        <v>106928.841837946</v>
      </c>
      <c r="R473" s="15" t="n">
        <f aca="false">Q473-$G$2+$I$2</f>
        <v>87468.8418379464</v>
      </c>
      <c r="S473" s="40" t="n">
        <f aca="false">R473/$K$2</f>
        <v>155.807623644786</v>
      </c>
      <c r="T473" s="41" t="n">
        <f aca="false">S473-$M$2</f>
        <v>-0.00206302579960038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0.0615444183349609</v>
      </c>
      <c r="C474" s="25" t="n">
        <f aca="false">IF(T473&gt;0,D473,C473)</f>
        <v>0.0615501403808594</v>
      </c>
      <c r="D474" s="39" t="n">
        <f aca="false">(B474+C474)/2</f>
        <v>0.0615472793579102</v>
      </c>
      <c r="E474" s="15" t="n">
        <f aca="false">$C$2*(1+IF(E$3&lt;=$O$2,$D474,$D474-($D474-$I$454)*MIN(E$3-$O$2,$Q$2)/$Q$2))</f>
        <v>11209.9392700195</v>
      </c>
      <c r="F474" s="15" t="n">
        <f aca="false">E474*(1+IF(F$3&lt;=$O$2,$D474,$D474-($D474-$I$454)*MIN(F$3-$O$2,$Q$2)/$Q$2))</f>
        <v>11899.8805338566</v>
      </c>
      <c r="G474" s="15" t="n">
        <f aca="false">F474*(1+IF(G$3&lt;=$O$2,$D474,$D474-($D474-$I$454)*MIN(G$3-$O$2,$Q$2)/$Q$2))</f>
        <v>12632.2858053997</v>
      </c>
      <c r="H474" s="15" t="n">
        <f aca="false">G474*(1+IF(H$3&lt;=$O$2,$D474,$D474-($D474-$I$454)*MIN(H$3-$O$2,$Q$2)/$Q$2))</f>
        <v>13409.7686287936</v>
      </c>
      <c r="I474" s="15" t="n">
        <f aca="false">H474*(1+IF(I$3&lt;=$O$2,$D474,$D474-($D474-$I$454)*MIN(I$3-$O$2,$Q$2)/$Q$2))</f>
        <v>14235.1034047149</v>
      </c>
      <c r="J474" s="15" t="n">
        <f aca="false">I474*(1+IF(J$3&lt;=$O$2,$D474,$D474-($D474-$I$454)*MIN(J$3-$O$2,$Q$2)/$Q$2))</f>
        <v>14988.1093919271</v>
      </c>
      <c r="K474" s="15" t="n">
        <f aca="false">J474*(1+IF(K$3&lt;=$O$2,$D474,$D474-($D474-$I$454)*MIN(K$3-$O$2,$Q$2)/$Q$2))</f>
        <v>15651.3087661511</v>
      </c>
      <c r="L474" s="15" t="n">
        <f aca="false">K474*(1+IF(L$3&lt;=$O$2,$D474,$D474-($D474-$I$454)*MIN(L$3-$O$2,$Q$2)/$Q$2))</f>
        <v>16208.4783255823</v>
      </c>
      <c r="M474" s="15" t="n">
        <f aca="false">L474*(1+IF(M$3&lt;=$O$2,$D474,$D474-($D474-$I$454)*MIN(M$3-$O$2,$Q$2)/$Q$2))</f>
        <v>16645.2879969631</v>
      </c>
      <c r="N474" s="15" t="n">
        <f aca="false">M474*(1+IF(N$3&lt;=$O$2,$D474,$D474-($D474-$I$454)*MIN(N$3-$O$2,$Q$2)/$Q$2))</f>
        <v>16949.8967673075</v>
      </c>
      <c r="O474" s="15" t="n">
        <f aca="false">SUMPRODUCT(E474:N474,1/(1+$F$454)^$E$3:$N$3)*$E$2</f>
        <v>45937.2606963052</v>
      </c>
      <c r="P474" s="15" t="n">
        <f aca="false">N474*$E$2*(1+$I$454)/($F$454-$I$454)/(1+$F$454)^$N$3</f>
        <v>60993.3119075916</v>
      </c>
      <c r="Q474" s="15" t="n">
        <f aca="false">O474+P474</f>
        <v>106930.572603897</v>
      </c>
      <c r="R474" s="15" t="n">
        <f aca="false">Q474-$G$2+$I$2</f>
        <v>87470.5726038968</v>
      </c>
      <c r="S474" s="40" t="n">
        <f aca="false">R474/$K$2</f>
        <v>155.81070664582</v>
      </c>
      <c r="T474" s="41" t="n">
        <f aca="false">S474-$M$2</f>
        <v>0.00101997523429986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0.0615444183349609</v>
      </c>
      <c r="C475" s="25" t="n">
        <f aca="false">IF(T474&gt;0,D474,C474)</f>
        <v>0.0615472793579102</v>
      </c>
      <c r="D475" s="39" t="n">
        <f aca="false">(B475+C475)/2</f>
        <v>0.0615458488464356</v>
      </c>
      <c r="E475" s="15" t="n">
        <f aca="false">$C$2*(1+IF(E$3&lt;=$O$2,$D475,$D475-($D475-$I$454)*MIN(E$3-$O$2,$Q$2)/$Q$2))</f>
        <v>11209.9241638184</v>
      </c>
      <c r="F475" s="15" t="n">
        <f aca="false">E475*(1+IF(F$3&lt;=$O$2,$D475,$D475-($D475-$I$454)*MIN(F$3-$O$2,$Q$2)/$Q$2))</f>
        <v>11899.8484619847</v>
      </c>
      <c r="G475" s="15" t="n">
        <f aca="false">F475*(1+IF(G$3&lt;=$O$2,$D475,$D475-($D475-$I$454)*MIN(G$3-$O$2,$Q$2)/$Q$2))</f>
        <v>12632.2347367215</v>
      </c>
      <c r="H475" s="15" t="n">
        <f aca="false">G475*(1+IF(H$3&lt;=$O$2,$D475,$D475-($D475-$I$454)*MIN(H$3-$O$2,$Q$2)/$Q$2))</f>
        <v>13409.6963464205</v>
      </c>
      <c r="I475" s="15" t="n">
        <f aca="false">H475*(1+IF(I$3&lt;=$O$2,$D475,$D475-($D475-$I$454)*MIN(I$3-$O$2,$Q$2)/$Q$2))</f>
        <v>14235.0074908339</v>
      </c>
      <c r="J475" s="15" t="n">
        <f aca="false">I475*(1+IF(J$3&lt;=$O$2,$D475,$D475-($D475-$I$454)*MIN(J$3-$O$2,$Q$2)/$Q$2))</f>
        <v>14987.9921137373</v>
      </c>
      <c r="K475" s="15" t="n">
        <f aca="false">J475*(1+IF(K$3&lt;=$O$2,$D475,$D475-($D475-$I$454)*MIN(K$3-$O$2,$Q$2)/$Q$2))</f>
        <v>15651.1734342961</v>
      </c>
      <c r="L475" s="15" t="n">
        <f aca="false">K475*(1+IF(L$3&lt;=$O$2,$D475,$D475-($D475-$I$454)*MIN(L$3-$O$2,$Q$2)/$Q$2))</f>
        <v>16208.3292203873</v>
      </c>
      <c r="M475" s="15" t="n">
        <f aca="false">L475*(1+IF(M$3&lt;=$O$2,$D475,$D475-($D475-$I$454)*MIN(M$3-$O$2,$Q$2)/$Q$2))</f>
        <v>16645.130236224</v>
      </c>
      <c r="N475" s="15" t="n">
        <f aca="false">M475*(1+IF(N$3&lt;=$O$2,$D475,$D475-($D475-$I$454)*MIN(N$3-$O$2,$Q$2)/$Q$2))</f>
        <v>16949.7361195469</v>
      </c>
      <c r="O475" s="15" t="n">
        <f aca="false">SUMPRODUCT(E475:N475,1/(1+$F$454)^$E$3:$N$3)*$E$2</f>
        <v>45936.9733925507</v>
      </c>
      <c r="P475" s="15" t="n">
        <f aca="false">N475*$E$2*(1+$I$454)/($F$454-$I$454)/(1+$F$454)^$N$3</f>
        <v>60992.7338250753</v>
      </c>
      <c r="Q475" s="15" t="n">
        <f aca="false">O475+P475</f>
        <v>106929.707217626</v>
      </c>
      <c r="R475" s="15" t="n">
        <f aca="false">Q475-$G$2+$I$2</f>
        <v>87469.707217626</v>
      </c>
      <c r="S475" s="40" t="n">
        <f aca="false">R475/$K$2</f>
        <v>155.809165139432</v>
      </c>
      <c r="T475" s="41" t="n">
        <f aca="false">S475-$M$2</f>
        <v>-0.000521531153054866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0.0615458488464356</v>
      </c>
      <c r="C476" s="25" t="n">
        <f aca="false">IF(T475&gt;0,D475,C475)</f>
        <v>0.0615472793579102</v>
      </c>
      <c r="D476" s="39" t="n">
        <f aca="false">(B476+C476)/2</f>
        <v>0.0615465641021729</v>
      </c>
      <c r="E476" s="15" t="n">
        <f aca="false">$C$2*(1+IF(E$3&lt;=$O$2,$D476,$D476-($D476-$I$454)*MIN(E$3-$O$2,$Q$2)/$Q$2))</f>
        <v>11209.9317169189</v>
      </c>
      <c r="F476" s="15" t="n">
        <f aca="false">E476*(1+IF(F$3&lt;=$O$2,$D476,$D476-($D476-$I$454)*MIN(F$3-$O$2,$Q$2)/$Q$2))</f>
        <v>11899.8644979153</v>
      </c>
      <c r="G476" s="15" t="n">
        <f aca="false">F476*(1+IF(G$3&lt;=$O$2,$D476,$D476-($D476-$I$454)*MIN(G$3-$O$2,$Q$2)/$Q$2))</f>
        <v>12632.2602710434</v>
      </c>
      <c r="H476" s="15" t="n">
        <f aca="false">G476*(1+IF(H$3&lt;=$O$2,$D476,$D476-($D476-$I$454)*MIN(H$3-$O$2,$Q$2)/$Q$2))</f>
        <v>13409.7324875705</v>
      </c>
      <c r="I476" s="15" t="n">
        <f aca="false">H476*(1+IF(I$3&lt;=$O$2,$D476,$D476-($D476-$I$454)*MIN(I$3-$O$2,$Q$2)/$Q$2))</f>
        <v>14235.0554477097</v>
      </c>
      <c r="J476" s="15" t="n">
        <f aca="false">I476*(1+IF(J$3&lt;=$O$2,$D476,$D476-($D476-$I$454)*MIN(J$3-$O$2,$Q$2)/$Q$2))</f>
        <v>14988.0507527367</v>
      </c>
      <c r="K476" s="15" t="n">
        <f aca="false">J476*(1+IF(K$3&lt;=$O$2,$D476,$D476-($D476-$I$454)*MIN(K$3-$O$2,$Q$2)/$Q$2))</f>
        <v>15651.2411000987</v>
      </c>
      <c r="L476" s="15" t="n">
        <f aca="false">K476*(1+IF(L$3&lt;=$O$2,$D476,$D476-($D476-$I$454)*MIN(L$3-$O$2,$Q$2)/$Q$2))</f>
        <v>16208.4037728361</v>
      </c>
      <c r="M476" s="15" t="n">
        <f aca="false">L476*(1+IF(M$3&lt;=$O$2,$D476,$D476-($D476-$I$454)*MIN(M$3-$O$2,$Q$2)/$Q$2))</f>
        <v>16645.2091164302</v>
      </c>
      <c r="N476" s="15" t="n">
        <f aca="false">M476*(1+IF(N$3&lt;=$O$2,$D476,$D476-($D476-$I$454)*MIN(N$3-$O$2,$Q$2)/$Q$2))</f>
        <v>16949.8164432609</v>
      </c>
      <c r="O476" s="15" t="n">
        <f aca="false">SUMPRODUCT(E476:N476,1/(1+$F$454)^$E$3:$N$3)*$E$2</f>
        <v>45937.1170442026</v>
      </c>
      <c r="P476" s="15" t="n">
        <f aca="false">N476*$E$2*(1+$I$454)/($F$454-$I$454)/(1+$F$454)^$N$3</f>
        <v>60993.0228657349</v>
      </c>
      <c r="Q476" s="15" t="n">
        <f aca="false">O476+P476</f>
        <v>106930.139909937</v>
      </c>
      <c r="R476" s="15" t="n">
        <f aca="false">Q476-$G$2+$I$2</f>
        <v>87470.1399099375</v>
      </c>
      <c r="S476" s="40" t="n">
        <f aca="false">R476/$K$2</f>
        <v>155.809935891159</v>
      </c>
      <c r="T476" s="41" t="n">
        <f aca="false">S476-$M$2</f>
        <v>0.000249220573010689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0.0615458488464356</v>
      </c>
      <c r="C477" s="25" t="n">
        <f aca="false">IF(T476&gt;0,D476,C476)</f>
        <v>0.0615465641021729</v>
      </c>
      <c r="D477" s="39" t="n">
        <f aca="false">(B477+C477)/2</f>
        <v>0.0615462064743042</v>
      </c>
      <c r="E477" s="15" t="n">
        <f aca="false">$C$2*(1+IF(E$3&lt;=$O$2,$D477,$D477-($D477-$I$454)*MIN(E$3-$O$2,$Q$2)/$Q$2))</f>
        <v>11209.9279403687</v>
      </c>
      <c r="F477" s="15" t="n">
        <f aca="false">E477*(1+IF(F$3&lt;=$O$2,$D477,$D477-($D477-$I$454)*MIN(F$3-$O$2,$Q$2)/$Q$2))</f>
        <v>11899.8564799487</v>
      </c>
      <c r="G477" s="15" t="n">
        <f aca="false">F477*(1+IF(G$3&lt;=$O$2,$D477,$D477-($D477-$I$454)*MIN(G$3-$O$2,$Q$2)/$Q$2))</f>
        <v>12632.2475038782</v>
      </c>
      <c r="H477" s="15" t="n">
        <f aca="false">G477*(1+IF(H$3&lt;=$O$2,$D477,$D477-($D477-$I$454)*MIN(H$3-$O$2,$Q$2)/$Q$2))</f>
        <v>13409.7144169864</v>
      </c>
      <c r="I477" s="15" t="n">
        <f aca="false">H477*(1+IF(I$3&lt;=$O$2,$D477,$D477-($D477-$I$454)*MIN(I$3-$O$2,$Q$2)/$Q$2))</f>
        <v>14235.0314692557</v>
      </c>
      <c r="J477" s="15" t="n">
        <f aca="false">I477*(1+IF(J$3&lt;=$O$2,$D477,$D477-($D477-$I$454)*MIN(J$3-$O$2,$Q$2)/$Q$2))</f>
        <v>14988.0214332132</v>
      </c>
      <c r="K477" s="15" t="n">
        <f aca="false">J477*(1+IF(K$3&lt;=$O$2,$D477,$D477-($D477-$I$454)*MIN(K$3-$O$2,$Q$2)/$Q$2))</f>
        <v>15651.2072671662</v>
      </c>
      <c r="L477" s="15" t="n">
        <f aca="false">K477*(1+IF(L$3&lt;=$O$2,$D477,$D477-($D477-$I$454)*MIN(L$3-$O$2,$Q$2)/$Q$2))</f>
        <v>16208.3664965745</v>
      </c>
      <c r="M477" s="15" t="n">
        <f aca="false">L477*(1+IF(M$3&lt;=$O$2,$D477,$D477-($D477-$I$454)*MIN(M$3-$O$2,$Q$2)/$Q$2))</f>
        <v>16645.1696762862</v>
      </c>
      <c r="N477" s="15" t="n">
        <f aca="false">M477*(1+IF(N$3&lt;=$O$2,$D477,$D477-($D477-$I$454)*MIN(N$3-$O$2,$Q$2)/$Q$2))</f>
        <v>16949.7762813623</v>
      </c>
      <c r="O477" s="15" t="n">
        <f aca="false">SUMPRODUCT(E477:N477,1/(1+$F$454)^$E$3:$N$3)*$E$2</f>
        <v>45937.0452183203</v>
      </c>
      <c r="P477" s="15" t="n">
        <f aca="false">N477*$E$2*(1+$I$454)/($F$454-$I$454)/(1+$F$454)^$N$3</f>
        <v>60992.8783452554</v>
      </c>
      <c r="Q477" s="15" t="n">
        <f aca="false">O477+P477</f>
        <v>106929.923563576</v>
      </c>
      <c r="R477" s="15" t="n">
        <f aca="false">Q477-$G$2+$I$2</f>
        <v>87469.9235635758</v>
      </c>
      <c r="S477" s="40" t="n">
        <f aca="false">R477/$K$2</f>
        <v>155.809550514929</v>
      </c>
      <c r="T477" s="41" t="n">
        <f aca="false">S477-$M$2</f>
        <v>-0.000136155656889514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0.0615462064743042</v>
      </c>
      <c r="C478" s="25" t="n">
        <f aca="false">IF(T477&gt;0,D477,C477)</f>
        <v>0.0615465641021729</v>
      </c>
      <c r="D478" s="39" t="n">
        <f aca="false">(B478+C478)/2</f>
        <v>0.0615463852882385</v>
      </c>
      <c r="E478" s="15" t="n">
        <f aca="false">$C$2*(1+IF(E$3&lt;=$O$2,$D478,$D478-($D478-$I$454)*MIN(E$3-$O$2,$Q$2)/$Q$2))</f>
        <v>11209.9298286438</v>
      </c>
      <c r="F478" s="15" t="n">
        <f aca="false">E478*(1+IF(F$3&lt;=$O$2,$D478,$D478-($D478-$I$454)*MIN(F$3-$O$2,$Q$2)/$Q$2))</f>
        <v>11899.8604889316</v>
      </c>
      <c r="G478" s="15" t="n">
        <f aca="false">F478*(1+IF(G$3&lt;=$O$2,$D478,$D478-($D478-$I$454)*MIN(G$3-$O$2,$Q$2)/$Q$2))</f>
        <v>12632.2538874597</v>
      </c>
      <c r="H478" s="15" t="n">
        <f aca="false">G478*(1+IF(H$3&lt;=$O$2,$D478,$D478-($D478-$I$454)*MIN(H$3-$O$2,$Q$2)/$Q$2))</f>
        <v>13409.7234522761</v>
      </c>
      <c r="I478" s="15" t="n">
        <f aca="false">H478*(1+IF(I$3&lt;=$O$2,$D478,$D478-($D478-$I$454)*MIN(I$3-$O$2,$Q$2)/$Q$2))</f>
        <v>14235.0434584787</v>
      </c>
      <c r="J478" s="15" t="n">
        <f aca="false">I478*(1+IF(J$3&lt;=$O$2,$D478,$D478-($D478-$I$454)*MIN(J$3-$O$2,$Q$2)/$Q$2))</f>
        <v>14988.036092969</v>
      </c>
      <c r="K478" s="15" t="n">
        <f aca="false">J478*(1+IF(K$3&lt;=$O$2,$D478,$D478-($D478-$I$454)*MIN(K$3-$O$2,$Q$2)/$Q$2))</f>
        <v>15651.2241836246</v>
      </c>
      <c r="L478" s="15" t="n">
        <f aca="false">K478*(1+IF(L$3&lt;=$O$2,$D478,$D478-($D478-$I$454)*MIN(L$3-$O$2,$Q$2)/$Q$2))</f>
        <v>16208.385134696</v>
      </c>
      <c r="M478" s="15" t="n">
        <f aca="false">L478*(1+IF(M$3&lt;=$O$2,$D478,$D478-($D478-$I$454)*MIN(M$3-$O$2,$Q$2)/$Q$2))</f>
        <v>16645.189396348</v>
      </c>
      <c r="N478" s="15" t="n">
        <f aca="false">M478*(1+IF(N$3&lt;=$O$2,$D478,$D478-($D478-$I$454)*MIN(N$3-$O$2,$Q$2)/$Q$2))</f>
        <v>16949.7963623012</v>
      </c>
      <c r="O478" s="15" t="n">
        <f aca="false">SUMPRODUCT(E478:N478,1/(1+$F$454)^$E$3:$N$3)*$E$2</f>
        <v>45937.0811312474</v>
      </c>
      <c r="P478" s="15" t="n">
        <f aca="false">N478*$E$2*(1+$I$454)/($F$454-$I$454)/(1+$F$454)^$N$3</f>
        <v>60992.9506054577</v>
      </c>
      <c r="Q478" s="15" t="n">
        <f aca="false">O478+P478</f>
        <v>106930.031736705</v>
      </c>
      <c r="R478" s="15" t="n">
        <f aca="false">Q478-$G$2+$I$2</f>
        <v>87470.0317367052</v>
      </c>
      <c r="S478" s="40" t="n">
        <f aca="false">R478/$K$2</f>
        <v>155.809743202952</v>
      </c>
      <c r="T478" s="41" t="n">
        <f aca="false">S478-$M$2</f>
        <v>5.65323663863637E-005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0.0615462064743042</v>
      </c>
      <c r="C479" s="25" t="n">
        <f aca="false">IF(T478&gt;0,D478,C478)</f>
        <v>0.0615463852882385</v>
      </c>
      <c r="D479" s="39" t="n">
        <f aca="false">(B479+C479)/2</f>
        <v>0.0615462958812714</v>
      </c>
      <c r="E479" s="15" t="n">
        <f aca="false">$C$2*(1+IF(E$3&lt;=$O$2,$D479,$D479-($D479-$I$454)*MIN(E$3-$O$2,$Q$2)/$Q$2))</f>
        <v>11209.9288845062</v>
      </c>
      <c r="F479" s="15" t="n">
        <f aca="false">E479*(1+IF(F$3&lt;=$O$2,$D479,$D479-($D479-$I$454)*MIN(F$3-$O$2,$Q$2)/$Q$2))</f>
        <v>11899.8584844401</v>
      </c>
      <c r="G479" s="15" t="n">
        <f aca="false">F479*(1+IF(G$3&lt;=$O$2,$D479,$D479-($D479-$I$454)*MIN(G$3-$O$2,$Q$2)/$Q$2))</f>
        <v>12632.2506956687</v>
      </c>
      <c r="H479" s="15" t="n">
        <f aca="false">G479*(1+IF(H$3&lt;=$O$2,$D479,$D479-($D479-$I$454)*MIN(H$3-$O$2,$Q$2)/$Q$2))</f>
        <v>13409.7189346307</v>
      </c>
      <c r="I479" s="15" t="n">
        <f aca="false">H479*(1+IF(I$3&lt;=$O$2,$D479,$D479-($D479-$I$454)*MIN(I$3-$O$2,$Q$2)/$Q$2))</f>
        <v>14235.0374638661</v>
      </c>
      <c r="J479" s="15" t="n">
        <f aca="false">I479*(1+IF(J$3&lt;=$O$2,$D479,$D479-($D479-$I$454)*MIN(J$3-$O$2,$Q$2)/$Q$2))</f>
        <v>14988.0287630896</v>
      </c>
      <c r="K479" s="15" t="n">
        <f aca="false">J479*(1+IF(K$3&lt;=$O$2,$D479,$D479-($D479-$I$454)*MIN(K$3-$O$2,$Q$2)/$Q$2))</f>
        <v>15651.2157253935</v>
      </c>
      <c r="L479" s="15" t="n">
        <f aca="false">K479*(1+IF(L$3&lt;=$O$2,$D479,$D479-($D479-$I$454)*MIN(L$3-$O$2,$Q$2)/$Q$2))</f>
        <v>16208.3758156329</v>
      </c>
      <c r="M479" s="15" t="n">
        <f aca="false">L479*(1+IF(M$3&lt;=$O$2,$D479,$D479-($D479-$I$454)*MIN(M$3-$O$2,$Q$2)/$Q$2))</f>
        <v>16645.1795363146</v>
      </c>
      <c r="N479" s="15" t="n">
        <f aca="false">M479*(1+IF(N$3&lt;=$O$2,$D479,$D479-($D479-$I$454)*MIN(N$3-$O$2,$Q$2)/$Q$2))</f>
        <v>16949.7863218291</v>
      </c>
      <c r="O479" s="15" t="n">
        <f aca="false">SUMPRODUCT(E479:N479,1/(1+$F$454)^$E$3:$N$3)*$E$2</f>
        <v>45937.0631747804</v>
      </c>
      <c r="P479" s="15" t="n">
        <f aca="false">N479*$E$2*(1+$I$454)/($F$454-$I$454)/(1+$F$454)^$N$3</f>
        <v>60992.9144753472</v>
      </c>
      <c r="Q479" s="15" t="n">
        <f aca="false">O479+P479</f>
        <v>106929.977650128</v>
      </c>
      <c r="R479" s="15" t="n">
        <f aca="false">Q479-$G$2+$I$2</f>
        <v>87469.9776501276</v>
      </c>
      <c r="S479" s="40" t="n">
        <f aca="false">R479/$K$2</f>
        <v>155.809646858917</v>
      </c>
      <c r="T479" s="41" t="n">
        <f aca="false">S479-$M$2</f>
        <v>-3.98116682163163E-005</v>
      </c>
    </row>
    <row r="481" customFormat="false" ht="15" hidden="false" customHeight="false" outlineLevel="0" collapsed="false">
      <c r="A481" s="36" t="s">
        <v>203</v>
      </c>
      <c r="E481" s="5" t="s">
        <v>11</v>
      </c>
      <c r="F481" s="12" t="n">
        <f aca="false">Sensitivity!$B$13</f>
        <v>0.0820172026214128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6" t="s">
        <v>167</v>
      </c>
      <c r="B482" s="28" t="s">
        <v>168</v>
      </c>
      <c r="C482" s="28" t="s">
        <v>169</v>
      </c>
      <c r="D482" s="28" t="s">
        <v>170</v>
      </c>
      <c r="E482" s="28" t="s">
        <v>171</v>
      </c>
      <c r="F482" s="28" t="s">
        <v>172</v>
      </c>
      <c r="G482" s="28" t="s">
        <v>173</v>
      </c>
      <c r="H482" s="28" t="s">
        <v>174</v>
      </c>
      <c r="I482" s="28" t="s">
        <v>175</v>
      </c>
      <c r="J482" s="28" t="s">
        <v>176</v>
      </c>
      <c r="K482" s="28" t="s">
        <v>177</v>
      </c>
      <c r="L482" s="28" t="s">
        <v>178</v>
      </c>
      <c r="M482" s="28" t="s">
        <v>179</v>
      </c>
      <c r="N482" s="28" t="s">
        <v>180</v>
      </c>
      <c r="O482" s="28" t="s">
        <v>181</v>
      </c>
      <c r="P482" s="28" t="s">
        <v>182</v>
      </c>
      <c r="Q482" s="28" t="s">
        <v>183</v>
      </c>
      <c r="R482" s="28" t="s">
        <v>184</v>
      </c>
      <c r="S482" s="28" t="s">
        <v>185</v>
      </c>
      <c r="T482" s="28" t="s">
        <v>186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39" t="n">
        <f aca="false">(B483+C483)/2</f>
        <v>0.25</v>
      </c>
      <c r="E483" s="15" t="n">
        <f aca="false">$C$2*(1+IF(E$3&lt;=$O$2,$D483,$D483-($D483-$I$481)*MIN(E$3-$O$2,$Q$2)/$Q$2))</f>
        <v>13200</v>
      </c>
      <c r="F483" s="15" t="n">
        <f aca="false">E483*(1+IF(F$3&lt;=$O$2,$D483,$D483-($D483-$I$481)*MIN(F$3-$O$2,$Q$2)/$Q$2))</f>
        <v>16500</v>
      </c>
      <c r="G483" s="15" t="n">
        <f aca="false">F483*(1+IF(G$3&lt;=$O$2,$D483,$D483-($D483-$I$481)*MIN(G$3-$O$2,$Q$2)/$Q$2))</f>
        <v>20625</v>
      </c>
      <c r="H483" s="15" t="n">
        <f aca="false">G483*(1+IF(H$3&lt;=$O$2,$D483,$D483-($D483-$I$481)*MIN(H$3-$O$2,$Q$2)/$Q$2))</f>
        <v>25781.25</v>
      </c>
      <c r="I483" s="15" t="n">
        <f aca="false">H483*(1+IF(I$3&lt;=$O$2,$D483,$D483-($D483-$I$481)*MIN(I$3-$O$2,$Q$2)/$Q$2))</f>
        <v>32226.5625</v>
      </c>
      <c r="J483" s="15" t="n">
        <f aca="false">I483*(1+IF(J$3&lt;=$O$2,$D483,$D483-($D483-$I$481)*MIN(J$3-$O$2,$Q$2)/$Q$2))</f>
        <v>38822.05078125</v>
      </c>
      <c r="K483" s="15" t="n">
        <f aca="false">J483*(1+IF(K$3&lt;=$O$2,$D483,$D483-($D483-$I$481)*MIN(K$3-$O$2,$Q$2)/$Q$2))</f>
        <v>45007.1799117188</v>
      </c>
      <c r="L483" s="15" t="n">
        <f aca="false">K483*(1+IF(L$3&lt;=$O$2,$D483,$D483-($D483-$I$481)*MIN(L$3-$O$2,$Q$2)/$Q$2))</f>
        <v>50137.0982780565</v>
      </c>
      <c r="M483" s="15" t="n">
        <f aca="false">L483*(1+IF(M$3&lt;=$O$2,$D483,$D483-($D483-$I$481)*MIN(M$3-$O$2,$Q$2)/$Q$2))</f>
        <v>53578.5087038623</v>
      </c>
      <c r="N483" s="15" t="n">
        <f aca="false">M483*(1+IF(N$3&lt;=$O$2,$D483,$D483-($D483-$I$481)*MIN(N$3-$O$2,$Q$2)/$Q$2))</f>
        <v>54826.8879566622</v>
      </c>
      <c r="O483" s="15" t="n">
        <f aca="false">SUMPRODUCT(E483:N483,1/(1+$F$481)^$E$3:$N$3)*$E$2</f>
        <v>104596.702464004</v>
      </c>
      <c r="P483" s="15" t="n">
        <f aca="false">N483*$E$2*(1+$I$481)/($F$481-$I$481)/(1+$F$481)^$N$3</f>
        <v>215143.053433966</v>
      </c>
      <c r="Q483" s="15" t="n">
        <f aca="false">O483+P483</f>
        <v>319739.75589797</v>
      </c>
      <c r="R483" s="15" t="n">
        <f aca="false">Q483-$G$2+$I$2</f>
        <v>300279.75589797</v>
      </c>
      <c r="S483" s="40" t="n">
        <f aca="false">R483/$K$2</f>
        <v>534.886185892107</v>
      </c>
      <c r="T483" s="41" t="n">
        <f aca="false">S483-$M$2</f>
        <v>379.076499221522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39" t="n">
        <f aca="false">(B484+C484)/2</f>
        <v>-0.125</v>
      </c>
      <c r="E484" s="15" t="n">
        <f aca="false">$C$2*(1+IF(E$3&lt;=$O$2,$D484,$D484-($D484-$I$481)*MIN(E$3-$O$2,$Q$2)/$Q$2))</f>
        <v>9240</v>
      </c>
      <c r="F484" s="15" t="n">
        <f aca="false">E484*(1+IF(F$3&lt;=$O$2,$D484,$D484-($D484-$I$481)*MIN(F$3-$O$2,$Q$2)/$Q$2))</f>
        <v>8085</v>
      </c>
      <c r="G484" s="15" t="n">
        <f aca="false">F484*(1+IF(G$3&lt;=$O$2,$D484,$D484-($D484-$I$481)*MIN(G$3-$O$2,$Q$2)/$Q$2))</f>
        <v>7074.375</v>
      </c>
      <c r="H484" s="15" t="n">
        <f aca="false">G484*(1+IF(H$3&lt;=$O$2,$D484,$D484-($D484-$I$481)*MIN(H$3-$O$2,$Q$2)/$Q$2))</f>
        <v>6190.078125</v>
      </c>
      <c r="I484" s="15" t="n">
        <f aca="false">H484*(1+IF(I$3&lt;=$O$2,$D484,$D484-($D484-$I$481)*MIN(I$3-$O$2,$Q$2)/$Q$2))</f>
        <v>5416.318359375</v>
      </c>
      <c r="J484" s="15" t="n">
        <f aca="false">I484*(1+IF(J$3&lt;=$O$2,$D484,$D484-($D484-$I$481)*MIN(J$3-$O$2,$Q$2)/$Q$2))</f>
        <v>4899.92656699219</v>
      </c>
      <c r="K484" s="15" t="n">
        <f aca="false">J484*(1+IF(K$3&lt;=$O$2,$D484,$D484-($D484-$I$481)*MIN(K$3-$O$2,$Q$2)/$Q$2))</f>
        <v>4578.09939007214</v>
      </c>
      <c r="L484" s="15" t="n">
        <f aca="false">K484*(1+IF(L$3&lt;=$O$2,$D484,$D484-($D484-$I$481)*MIN(L$3-$O$2,$Q$2)/$Q$2))</f>
        <v>4413.19625004174</v>
      </c>
      <c r="M484" s="15" t="n">
        <f aca="false">L484*(1+IF(M$3&lt;=$O$2,$D484,$D484-($D484-$I$481)*MIN(M$3-$O$2,$Q$2)/$Q$2))</f>
        <v>4385.12832189148</v>
      </c>
      <c r="N484" s="15" t="n">
        <f aca="false">M484*(1+IF(N$3&lt;=$O$2,$D484,$D484-($D484-$I$481)*MIN(N$3-$O$2,$Q$2)/$Q$2))</f>
        <v>4487.30181179155</v>
      </c>
      <c r="O484" s="15" t="n">
        <f aca="false">SUMPRODUCT(E484:N484,1/(1+$F$481)^$E$3:$N$3)*$E$2</f>
        <v>20520.8909773143</v>
      </c>
      <c r="P484" s="15" t="n">
        <f aca="false">N484*$E$2*(1+$I$481)/($F$481-$I$481)/(1+$F$481)^$N$3</f>
        <v>17608.36424332</v>
      </c>
      <c r="Q484" s="15" t="n">
        <f aca="false">O484+P484</f>
        <v>38129.2552206343</v>
      </c>
      <c r="R484" s="15" t="n">
        <f aca="false">Q484-$G$2+$I$2</f>
        <v>18669.2552206343</v>
      </c>
      <c r="S484" s="40" t="n">
        <f aca="false">R484/$K$2</f>
        <v>33.2554110700838</v>
      </c>
      <c r="T484" s="41" t="n">
        <f aca="false">S484-$M$2</f>
        <v>-122.554275600502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39" t="n">
        <f aca="false">(B485+C485)/2</f>
        <v>0.0625</v>
      </c>
      <c r="E485" s="15" t="n">
        <f aca="false">$C$2*(1+IF(E$3&lt;=$O$2,$D485,$D485-($D485-$I$481)*MIN(E$3-$O$2,$Q$2)/$Q$2))</f>
        <v>11220</v>
      </c>
      <c r="F485" s="15" t="n">
        <f aca="false">E485*(1+IF(F$3&lt;=$O$2,$D485,$D485-($D485-$I$481)*MIN(F$3-$O$2,$Q$2)/$Q$2))</f>
        <v>11921.25</v>
      </c>
      <c r="G485" s="15" t="n">
        <f aca="false">F485*(1+IF(G$3&lt;=$O$2,$D485,$D485-($D485-$I$481)*MIN(G$3-$O$2,$Q$2)/$Q$2))</f>
        <v>12666.328125</v>
      </c>
      <c r="H485" s="15" t="n">
        <f aca="false">G485*(1+IF(H$3&lt;=$O$2,$D485,$D485-($D485-$I$481)*MIN(H$3-$O$2,$Q$2)/$Q$2))</f>
        <v>13457.9736328125</v>
      </c>
      <c r="I485" s="15" t="n">
        <f aca="false">H485*(1+IF(I$3&lt;=$O$2,$D485,$D485-($D485-$I$481)*MIN(I$3-$O$2,$Q$2)/$Q$2))</f>
        <v>14299.0969848633</v>
      </c>
      <c r="J485" s="15" t="n">
        <f aca="false">I485*(1+IF(J$3&lt;=$O$2,$D485,$D485-($D485-$I$481)*MIN(J$3-$O$2,$Q$2)/$Q$2))</f>
        <v>15080.6856260559</v>
      </c>
      <c r="K485" s="15" t="n">
        <f aca="false">J485*(1+IF(K$3&lt;=$O$2,$D485,$D485-($D485-$I$481)*MIN(K$3-$O$2,$Q$2)/$Q$2))</f>
        <v>15786.7633270678</v>
      </c>
      <c r="L485" s="15" t="n">
        <f aca="false">K485*(1+IF(L$3&lt;=$O$2,$D485,$D485-($D485-$I$481)*MIN(L$3-$O$2,$Q$2)/$Q$2))</f>
        <v>16402.131361557</v>
      </c>
      <c r="M485" s="15" t="n">
        <f aca="false">L485*(1+IF(M$3&lt;=$O$2,$D485,$D485-($D485-$I$481)*MIN(M$3-$O$2,$Q$2)/$Q$2))</f>
        <v>16912.8937321558</v>
      </c>
      <c r="N485" s="15" t="n">
        <f aca="false">M485*(1+IF(N$3&lt;=$O$2,$D485,$D485-($D485-$I$481)*MIN(N$3-$O$2,$Q$2)/$Q$2))</f>
        <v>17306.9641561151</v>
      </c>
      <c r="O485" s="15" t="n">
        <f aca="false">SUMPRODUCT(E485:N485,1/(1+$F$481)^$E$3:$N$3)*$E$2</f>
        <v>46266.8541825434</v>
      </c>
      <c r="P485" s="15" t="n">
        <f aca="false">N485*$E$2*(1+$I$481)/($F$481-$I$481)/(1+$F$481)^$N$3</f>
        <v>67913.2676135478</v>
      </c>
      <c r="Q485" s="15" t="n">
        <f aca="false">O485+P485</f>
        <v>114180.121796091</v>
      </c>
      <c r="R485" s="15" t="n">
        <f aca="false">Q485-$G$2+$I$2</f>
        <v>94720.1217960912</v>
      </c>
      <c r="S485" s="40" t="n">
        <f aca="false">R485/$K$2</f>
        <v>168.7242768772</v>
      </c>
      <c r="T485" s="41" t="n">
        <f aca="false">S485-$M$2</f>
        <v>12.9145902066143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39" t="n">
        <f aca="false">(B486+C486)/2</f>
        <v>-0.03125</v>
      </c>
      <c r="E486" s="15" t="n">
        <f aca="false">$C$2*(1+IF(E$3&lt;=$O$2,$D486,$D486-($D486-$I$481)*MIN(E$3-$O$2,$Q$2)/$Q$2))</f>
        <v>10230</v>
      </c>
      <c r="F486" s="15" t="n">
        <f aca="false">E486*(1+IF(F$3&lt;=$O$2,$D486,$D486-($D486-$I$481)*MIN(F$3-$O$2,$Q$2)/$Q$2))</f>
        <v>9910.3125</v>
      </c>
      <c r="G486" s="15" t="n">
        <f aca="false">F486*(1+IF(G$3&lt;=$O$2,$D486,$D486-($D486-$I$481)*MIN(G$3-$O$2,$Q$2)/$Q$2))</f>
        <v>9600.615234375</v>
      </c>
      <c r="H486" s="15" t="n">
        <f aca="false">G486*(1+IF(H$3&lt;=$O$2,$D486,$D486-($D486-$I$481)*MIN(H$3-$O$2,$Q$2)/$Q$2))</f>
        <v>9300.59600830078</v>
      </c>
      <c r="I486" s="15" t="n">
        <f aca="false">H486*(1+IF(I$3&lt;=$O$2,$D486,$D486-($D486-$I$481)*MIN(I$3-$O$2,$Q$2)/$Q$2))</f>
        <v>9009.95238304138</v>
      </c>
      <c r="J486" s="15" t="n">
        <f aca="false">I486*(1+IF(J$3&lt;=$O$2,$D486,$D486-($D486-$I$481)*MIN(J$3-$O$2,$Q$2)/$Q$2))</f>
        <v>8826.68995157032</v>
      </c>
      <c r="K486" s="15" t="n">
        <f aca="false">J486*(1+IF(K$3&lt;=$O$2,$D486,$D486-($D486-$I$481)*MIN(K$3-$O$2,$Q$2)/$Q$2))</f>
        <v>8743.45426532701</v>
      </c>
      <c r="L486" s="15" t="n">
        <f aca="false">K486*(1+IF(L$3&lt;=$O$2,$D486,$D486-($D486-$I$481)*MIN(L$3-$O$2,$Q$2)/$Q$2))</f>
        <v>8756.3945776397</v>
      </c>
      <c r="M486" s="15" t="n">
        <f aca="false">L486*(1+IF(M$3&lt;=$O$2,$D486,$D486-($D486-$I$481)*MIN(M$3-$O$2,$Q$2)/$Q$2))</f>
        <v>8864.88630645665</v>
      </c>
      <c r="N486" s="15" t="n">
        <f aca="false">M486*(1+IF(N$3&lt;=$O$2,$D486,$D486-($D486-$I$481)*MIN(N$3-$O$2,$Q$2)/$Q$2))</f>
        <v>9071.43815739709</v>
      </c>
      <c r="O486" s="15" t="n">
        <f aca="false">SUMPRODUCT(E486:N486,1/(1+$F$481)^$E$3:$N$3)*$E$2</f>
        <v>30726.3227512318</v>
      </c>
      <c r="P486" s="15" t="n">
        <f aca="false">N486*$E$2*(1+$I$481)/($F$481-$I$481)/(1+$F$481)^$N$3</f>
        <v>35596.711339197</v>
      </c>
      <c r="Q486" s="15" t="n">
        <f aca="false">O486+P486</f>
        <v>66323.0340904288</v>
      </c>
      <c r="R486" s="15" t="n">
        <f aca="false">Q486-$G$2+$I$2</f>
        <v>46863.0340904288</v>
      </c>
      <c r="S486" s="40" t="n">
        <f aca="false">R486/$K$2</f>
        <v>83.4767881337908</v>
      </c>
      <c r="T486" s="41" t="n">
        <f aca="false">S486-$M$2</f>
        <v>-72.3328985367947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39" t="n">
        <f aca="false">(B487+C487)/2</f>
        <v>0.015625</v>
      </c>
      <c r="E487" s="15" t="n">
        <f aca="false">$C$2*(1+IF(E$3&lt;=$O$2,$D487,$D487-($D487-$I$481)*MIN(E$3-$O$2,$Q$2)/$Q$2))</f>
        <v>10725</v>
      </c>
      <c r="F487" s="15" t="n">
        <f aca="false">E487*(1+IF(F$3&lt;=$O$2,$D487,$D487-($D487-$I$481)*MIN(F$3-$O$2,$Q$2)/$Q$2))</f>
        <v>10892.578125</v>
      </c>
      <c r="G487" s="15" t="n">
        <f aca="false">F487*(1+IF(G$3&lt;=$O$2,$D487,$D487-($D487-$I$481)*MIN(G$3-$O$2,$Q$2)/$Q$2))</f>
        <v>11062.7746582031</v>
      </c>
      <c r="H487" s="15" t="n">
        <f aca="false">G487*(1+IF(H$3&lt;=$O$2,$D487,$D487-($D487-$I$481)*MIN(H$3-$O$2,$Q$2)/$Q$2))</f>
        <v>11235.6305122375</v>
      </c>
      <c r="I487" s="15" t="n">
        <f aca="false">H487*(1+IF(I$3&lt;=$O$2,$D487,$D487-($D487-$I$481)*MIN(I$3-$O$2,$Q$2)/$Q$2))</f>
        <v>11411.1872389913</v>
      </c>
      <c r="J487" s="15" t="n">
        <f aca="false">I487*(1+IF(J$3&lt;=$O$2,$D487,$D487-($D487-$I$481)*MIN(J$3-$O$2,$Q$2)/$Q$2))</f>
        <v>11607.0032120124</v>
      </c>
      <c r="K487" s="15" t="n">
        <f aca="false">J487*(1+IF(K$3&lt;=$O$2,$D487,$D487-($D487-$I$481)*MIN(K$3-$O$2,$Q$2)/$Q$2))</f>
        <v>11823.9961370609</v>
      </c>
      <c r="L487" s="15" t="n">
        <f aca="false">K487*(1+IF(L$3&lt;=$O$2,$D487,$D487-($D487-$I$481)*MIN(L$3-$O$2,$Q$2)/$Q$2))</f>
        <v>12063.1955789137</v>
      </c>
      <c r="M487" s="15" t="n">
        <f aca="false">L487*(1+IF(M$3&lt;=$O$2,$D487,$D487-($D487-$I$481)*MIN(M$3-$O$2,$Q$2)/$Q$2))</f>
        <v>12325.7510306887</v>
      </c>
      <c r="N487" s="15" t="n">
        <f aca="false">M487*(1+IF(N$3&lt;=$O$2,$D487,$D487-($D487-$I$481)*MIN(N$3-$O$2,$Q$2)/$Q$2))</f>
        <v>12612.9410297038</v>
      </c>
      <c r="O487" s="15" t="n">
        <f aca="false">SUMPRODUCT(E487:N487,1/(1+$F$481)^$E$3:$N$3)*$E$2</f>
        <v>37690.160498111</v>
      </c>
      <c r="P487" s="15" t="n">
        <f aca="false">N487*$E$2*(1+$I$481)/($F$481-$I$481)/(1+$F$481)^$N$3</f>
        <v>49493.7200896387</v>
      </c>
      <c r="Q487" s="15" t="n">
        <f aca="false">O487+P487</f>
        <v>87183.8805877498</v>
      </c>
      <c r="R487" s="15" t="n">
        <f aca="false">Q487-$G$2+$I$2</f>
        <v>67723.8805877498</v>
      </c>
      <c r="S487" s="40" t="n">
        <f aca="false">R487/$K$2</f>
        <v>120.636065102246</v>
      </c>
      <c r="T487" s="41" t="n">
        <f aca="false">S487-$M$2</f>
        <v>-35.1736215683397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0.015625</v>
      </c>
      <c r="C488" s="25" t="n">
        <f aca="false">IF(T487&gt;0,D487,C487)</f>
        <v>0.0625</v>
      </c>
      <c r="D488" s="39" t="n">
        <f aca="false">(B488+C488)/2</f>
        <v>0.0390625</v>
      </c>
      <c r="E488" s="15" t="n">
        <f aca="false">$C$2*(1+IF(E$3&lt;=$O$2,$D488,$D488-($D488-$I$481)*MIN(E$3-$O$2,$Q$2)/$Q$2))</f>
        <v>10972.5</v>
      </c>
      <c r="F488" s="15" t="n">
        <f aca="false">E488*(1+IF(F$3&lt;=$O$2,$D488,$D488-($D488-$I$481)*MIN(F$3-$O$2,$Q$2)/$Q$2))</f>
        <v>11401.11328125</v>
      </c>
      <c r="G488" s="15" t="n">
        <f aca="false">F488*(1+IF(G$3&lt;=$O$2,$D488,$D488-($D488-$I$481)*MIN(G$3-$O$2,$Q$2)/$Q$2))</f>
        <v>11846.4692687988</v>
      </c>
      <c r="H488" s="15" t="n">
        <f aca="false">G488*(1+IF(H$3&lt;=$O$2,$D488,$D488-($D488-$I$481)*MIN(H$3-$O$2,$Q$2)/$Q$2))</f>
        <v>12309.2219746113</v>
      </c>
      <c r="I488" s="15" t="n">
        <f aca="false">H488*(1+IF(I$3&lt;=$O$2,$D488,$D488-($D488-$I$481)*MIN(I$3-$O$2,$Q$2)/$Q$2))</f>
        <v>12790.0509579945</v>
      </c>
      <c r="J488" s="15" t="n">
        <f aca="false">I488*(1+IF(J$3&lt;=$O$2,$D488,$D488-($D488-$I$481)*MIN(J$3-$O$2,$Q$2)/$Q$2))</f>
        <v>13249.3416878961</v>
      </c>
      <c r="K488" s="15" t="n">
        <f aca="false">J488*(1+IF(K$3&lt;=$O$2,$D488,$D488-($D488-$I$481)*MIN(K$3-$O$2,$Q$2)/$Q$2))</f>
        <v>13683.3569982374</v>
      </c>
      <c r="L488" s="15" t="n">
        <f aca="false">K488*(1+IF(L$3&lt;=$O$2,$D488,$D488-($D488-$I$481)*MIN(L$3-$O$2,$Q$2)/$Q$2))</f>
        <v>14088.4527821702</v>
      </c>
      <c r="M488" s="15" t="n">
        <f aca="false">L488*(1+IF(M$3&lt;=$O$2,$D488,$D488-($D488-$I$481)*MIN(M$3-$O$2,$Q$2)/$Q$2))</f>
        <v>14461.1275793906</v>
      </c>
      <c r="N488" s="15" t="n">
        <f aca="false">M488*(1+IF(N$3&lt;=$O$2,$D488,$D488-($D488-$I$481)*MIN(N$3-$O$2,$Q$2)/$Q$2))</f>
        <v>14798.0718519904</v>
      </c>
      <c r="O488" s="15" t="n">
        <f aca="false">SUMPRODUCT(E488:N488,1/(1+$F$481)^$E$3:$N$3)*$E$2</f>
        <v>41756.691947281</v>
      </c>
      <c r="P488" s="15" t="n">
        <f aca="false">N488*$E$2*(1+$I$481)/($F$481-$I$481)/(1+$F$481)^$N$3</f>
        <v>58068.2669001564</v>
      </c>
      <c r="Q488" s="15" t="n">
        <f aca="false">O488+P488</f>
        <v>99824.9588474374</v>
      </c>
      <c r="R488" s="15" t="n">
        <f aca="false">Q488-$G$2+$I$2</f>
        <v>80364.9588474374</v>
      </c>
      <c r="S488" s="40" t="n">
        <f aca="false">R488/$K$2</f>
        <v>143.153527578755</v>
      </c>
      <c r="T488" s="41" t="n">
        <f aca="false">S488-$M$2</f>
        <v>-12.6561590918302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0.0390625</v>
      </c>
      <c r="C489" s="25" t="n">
        <f aca="false">IF(T488&gt;0,D488,C488)</f>
        <v>0.0625</v>
      </c>
      <c r="D489" s="39" t="n">
        <f aca="false">(B489+C489)/2</f>
        <v>0.05078125</v>
      </c>
      <c r="E489" s="15" t="n">
        <f aca="false">$C$2*(1+IF(E$3&lt;=$O$2,$D489,$D489-($D489-$I$481)*MIN(E$3-$O$2,$Q$2)/$Q$2))</f>
        <v>11096.25</v>
      </c>
      <c r="F489" s="15" t="n">
        <f aca="false">E489*(1+IF(F$3&lt;=$O$2,$D489,$D489-($D489-$I$481)*MIN(F$3-$O$2,$Q$2)/$Q$2))</f>
        <v>11659.7314453125</v>
      </c>
      <c r="G489" s="15" t="n">
        <f aca="false">F489*(1+IF(G$3&lt;=$O$2,$D489,$D489-($D489-$I$481)*MIN(G$3-$O$2,$Q$2)/$Q$2))</f>
        <v>12251.8271827698</v>
      </c>
      <c r="H489" s="15" t="n">
        <f aca="false">G489*(1+IF(H$3&lt;=$O$2,$D489,$D489-($D489-$I$481)*MIN(H$3-$O$2,$Q$2)/$Q$2))</f>
        <v>12873.9902818948</v>
      </c>
      <c r="I489" s="15" t="n">
        <f aca="false">H489*(1+IF(I$3&lt;=$O$2,$D489,$D489-($D489-$I$481)*MIN(I$3-$O$2,$Q$2)/$Q$2))</f>
        <v>13527.7476008973</v>
      </c>
      <c r="J489" s="15" t="n">
        <f aca="false">I489*(1+IF(J$3&lt;=$O$2,$D489,$D489-($D489-$I$481)*MIN(J$3-$O$2,$Q$2)/$Q$2))</f>
        <v>14140.3516510039</v>
      </c>
      <c r="K489" s="15" t="n">
        <f aca="false">J489*(1+IF(K$3&lt;=$O$2,$D489,$D489-($D489-$I$481)*MIN(K$3-$O$2,$Q$2)/$Q$2))</f>
        <v>14702.9785677578</v>
      </c>
      <c r="L489" s="15" t="n">
        <f aca="false">K489*(1+IF(L$3&lt;=$O$2,$D489,$D489-($D489-$I$481)*MIN(L$3-$O$2,$Q$2)/$Q$2))</f>
        <v>15207.1804602926</v>
      </c>
      <c r="M489" s="15" t="n">
        <f aca="false">L489*(1+IF(M$3&lt;=$O$2,$D489,$D489-($D489-$I$481)*MIN(M$3-$O$2,$Q$2)/$Q$2))</f>
        <v>15645.0902306223</v>
      </c>
      <c r="N489" s="15" t="n">
        <f aca="false">M489*(1+IF(N$3&lt;=$O$2,$D489,$D489-($D489-$I$481)*MIN(N$3-$O$2,$Q$2)/$Q$2))</f>
        <v>16009.6208329958</v>
      </c>
      <c r="O489" s="15" t="n">
        <f aca="false">SUMPRODUCT(E489:N489,1/(1+$F$481)^$E$3:$N$3)*$E$2</f>
        <v>43953.6012539527</v>
      </c>
      <c r="P489" s="15" t="n">
        <f aca="false">N489*$E$2*(1+$I$481)/($F$481-$I$481)/(1+$F$481)^$N$3</f>
        <v>62822.4369227987</v>
      </c>
      <c r="Q489" s="15" t="n">
        <f aca="false">O489+P489</f>
        <v>106776.038176751</v>
      </c>
      <c r="R489" s="15" t="n">
        <f aca="false">Q489-$G$2+$I$2</f>
        <v>87316.0381767514</v>
      </c>
      <c r="S489" s="40" t="n">
        <f aca="false">R489/$K$2</f>
        <v>155.535435573757</v>
      </c>
      <c r="T489" s="41" t="n">
        <f aca="false">S489-$M$2</f>
        <v>-0.274251096828664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0.05078125</v>
      </c>
      <c r="C490" s="25" t="n">
        <f aca="false">IF(T489&gt;0,D489,C489)</f>
        <v>0.0625</v>
      </c>
      <c r="D490" s="39" t="n">
        <f aca="false">(B490+C490)/2</f>
        <v>0.056640625</v>
      </c>
      <c r="E490" s="15" t="n">
        <f aca="false">$C$2*(1+IF(E$3&lt;=$O$2,$D490,$D490-($D490-$I$481)*MIN(E$3-$O$2,$Q$2)/$Q$2))</f>
        <v>11158.125</v>
      </c>
      <c r="F490" s="15" t="n">
        <f aca="false">E490*(1+IF(F$3&lt;=$O$2,$D490,$D490-($D490-$I$481)*MIN(F$3-$O$2,$Q$2)/$Q$2))</f>
        <v>11790.1281738281</v>
      </c>
      <c r="G490" s="15" t="n">
        <f aca="false">F490*(1+IF(G$3&lt;=$O$2,$D490,$D490-($D490-$I$481)*MIN(G$3-$O$2,$Q$2)/$Q$2))</f>
        <v>12457.9284024239</v>
      </c>
      <c r="H490" s="15" t="n">
        <f aca="false">G490*(1+IF(H$3&lt;=$O$2,$D490,$D490-($D490-$I$481)*MIN(H$3-$O$2,$Q$2)/$Q$2))</f>
        <v>13163.5532533424</v>
      </c>
      <c r="I490" s="15" t="n">
        <f aca="false">H490*(1+IF(I$3&lt;=$O$2,$D490,$D490-($D490-$I$481)*MIN(I$3-$O$2,$Q$2)/$Q$2))</f>
        <v>13909.1451368325</v>
      </c>
      <c r="J490" s="15" t="n">
        <f aca="false">I490*(1+IF(J$3&lt;=$O$2,$D490,$D490-($D490-$I$481)*MIN(J$3-$O$2,$Q$2)/$Q$2))</f>
        <v>14604.2198921829</v>
      </c>
      <c r="K490" s="15" t="n">
        <f aca="false">J490*(1+IF(K$3&lt;=$O$2,$D490,$D490-($D490-$I$481)*MIN(K$3-$O$2,$Q$2)/$Q$2))</f>
        <v>15236.6465069764</v>
      </c>
      <c r="L490" s="15" t="n">
        <f aca="false">K490*(1+IF(L$3&lt;=$O$2,$D490,$D490-($D490-$I$481)*MIN(L$3-$O$2,$Q$2)/$Q$2))</f>
        <v>15794.8600975676</v>
      </c>
      <c r="M490" s="15" t="n">
        <f aca="false">L490*(1+IF(M$3&lt;=$O$2,$D490,$D490-($D490-$I$481)*MIN(M$3-$O$2,$Q$2)/$Q$2))</f>
        <v>16268.202439329</v>
      </c>
      <c r="N490" s="15" t="n">
        <f aca="false">M490*(1+IF(N$3&lt;=$O$2,$D490,$D490-($D490-$I$481)*MIN(N$3-$O$2,$Q$2)/$Q$2))</f>
        <v>16647.2515561654</v>
      </c>
      <c r="O490" s="15" t="n">
        <f aca="false">SUMPRODUCT(E490:N490,1/(1+$F$481)^$E$3:$N$3)*$E$2</f>
        <v>45095.3323870712</v>
      </c>
      <c r="P490" s="15" t="n">
        <f aca="false">N490*$E$2*(1+$I$481)/($F$481-$I$481)/(1+$F$481)^$N$3</f>
        <v>65324.5271536804</v>
      </c>
      <c r="Q490" s="15" t="n">
        <f aca="false">O490+P490</f>
        <v>110419.859540752</v>
      </c>
      <c r="R490" s="15" t="n">
        <f aca="false">Q490-$G$2+$I$2</f>
        <v>90959.8595407515</v>
      </c>
      <c r="S490" s="40" t="n">
        <f aca="false">R490/$K$2</f>
        <v>162.026148561163</v>
      </c>
      <c r="T490" s="41" t="n">
        <f aca="false">S490-$M$2</f>
        <v>6.2164618905779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0.05078125</v>
      </c>
      <c r="C491" s="25" t="n">
        <f aca="false">IF(T490&gt;0,D490,C490)</f>
        <v>0.056640625</v>
      </c>
      <c r="D491" s="39" t="n">
        <f aca="false">(B491+C491)/2</f>
        <v>0.0537109375</v>
      </c>
      <c r="E491" s="15" t="n">
        <f aca="false">$C$2*(1+IF(E$3&lt;=$O$2,$D491,$D491-($D491-$I$481)*MIN(E$3-$O$2,$Q$2)/$Q$2))</f>
        <v>11127.1875</v>
      </c>
      <c r="F491" s="15" t="n">
        <f aca="false">E491*(1+IF(F$3&lt;=$O$2,$D491,$D491-($D491-$I$481)*MIN(F$3-$O$2,$Q$2)/$Q$2))</f>
        <v>11724.8391723633</v>
      </c>
      <c r="G491" s="15" t="n">
        <f aca="false">F491*(1+IF(G$3&lt;=$O$2,$D491,$D491-($D491-$I$481)*MIN(G$3-$O$2,$Q$2)/$Q$2))</f>
        <v>12354.5912763476</v>
      </c>
      <c r="H491" s="15" t="n">
        <f aca="false">G491*(1+IF(H$3&lt;=$O$2,$D491,$D491-($D491-$I$481)*MIN(H$3-$O$2,$Q$2)/$Q$2))</f>
        <v>13018.1679562296</v>
      </c>
      <c r="I491" s="15" t="n">
        <f aca="false">H491*(1+IF(I$3&lt;=$O$2,$D491,$D491-($D491-$I$481)*MIN(I$3-$O$2,$Q$2)/$Q$2))</f>
        <v>13717.3859616911</v>
      </c>
      <c r="J491" s="15" t="n">
        <f aca="false">I491*(1+IF(J$3&lt;=$O$2,$D491,$D491-($D491-$I$481)*MIN(J$3-$O$2,$Q$2)/$Q$2))</f>
        <v>14370.727908314</v>
      </c>
      <c r="K491" s="15" t="n">
        <f aca="false">J491*(1+IF(K$3&lt;=$O$2,$D491,$D491-($D491-$I$481)*MIN(K$3-$O$2,$Q$2)/$Q$2))</f>
        <v>14967.7822535273</v>
      </c>
      <c r="L491" s="15" t="n">
        <f aca="false">K491*(1+IF(L$3&lt;=$O$2,$D491,$D491-($D491-$I$481)*MIN(L$3-$O$2,$Q$2)/$Q$2))</f>
        <v>15498.6052962847</v>
      </c>
      <c r="M491" s="15" t="n">
        <f aca="false">L491*(1+IF(M$3&lt;=$O$2,$D491,$D491-($D491-$I$481)*MIN(M$3-$O$2,$Q$2)/$Q$2))</f>
        <v>15953.9882230887</v>
      </c>
      <c r="N491" s="15" t="n">
        <f aca="false">M491*(1+IF(N$3&lt;=$O$2,$D491,$D491-($D491-$I$481)*MIN(N$3-$O$2,$Q$2)/$Q$2))</f>
        <v>16325.7161486866</v>
      </c>
      <c r="O491" s="15" t="n">
        <f aca="false">SUMPRODUCT(E491:N491,1/(1+$F$481)^$E$3:$N$3)*$E$2</f>
        <v>44520.7876117622</v>
      </c>
      <c r="P491" s="15" t="n">
        <f aca="false">N491*$E$2*(1+$I$481)/($F$481-$I$481)/(1+$F$481)^$N$3</f>
        <v>64062.808461808</v>
      </c>
      <c r="Q491" s="15" t="n">
        <f aca="false">O491+P491</f>
        <v>108583.59607357</v>
      </c>
      <c r="R491" s="15" t="n">
        <f aca="false">Q491-$G$2+$I$2</f>
        <v>89123.5960735702</v>
      </c>
      <c r="S491" s="40" t="n">
        <f aca="false">R491/$K$2</f>
        <v>158.755225553662</v>
      </c>
      <c r="T491" s="41" t="n">
        <f aca="false">S491-$M$2</f>
        <v>2.94553888307624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0.05078125</v>
      </c>
      <c r="C492" s="25" t="n">
        <f aca="false">IF(T491&gt;0,D491,C491)</f>
        <v>0.0537109375</v>
      </c>
      <c r="D492" s="39" t="n">
        <f aca="false">(B492+C492)/2</f>
        <v>0.05224609375</v>
      </c>
      <c r="E492" s="15" t="n">
        <f aca="false">$C$2*(1+IF(E$3&lt;=$O$2,$D492,$D492-($D492-$I$481)*MIN(E$3-$O$2,$Q$2)/$Q$2))</f>
        <v>11111.71875</v>
      </c>
      <c r="F492" s="15" t="n">
        <f aca="false">E492*(1+IF(F$3&lt;=$O$2,$D492,$D492-($D492-$I$481)*MIN(F$3-$O$2,$Q$2)/$Q$2))</f>
        <v>11692.2626495361</v>
      </c>
      <c r="G492" s="15" t="n">
        <f aca="false">F492*(1+IF(G$3&lt;=$O$2,$D492,$D492-($D492-$I$481)*MIN(G$3-$O$2,$Q$2)/$Q$2))</f>
        <v>12303.1377000734</v>
      </c>
      <c r="H492" s="15" t="n">
        <f aca="false">G492*(1+IF(H$3&lt;=$O$2,$D492,$D492-($D492-$I$481)*MIN(H$3-$O$2,$Q$2)/$Q$2))</f>
        <v>12945.9285857706</v>
      </c>
      <c r="I492" s="15" t="n">
        <f aca="false">H492*(1+IF(I$3&lt;=$O$2,$D492,$D492-($D492-$I$481)*MIN(I$3-$O$2,$Q$2)/$Q$2))</f>
        <v>13622.3027843436</v>
      </c>
      <c r="J492" s="15" t="n">
        <f aca="false">I492*(1+IF(J$3&lt;=$O$2,$D492,$D492-($D492-$I$481)*MIN(J$3-$O$2,$Q$2)/$Q$2))</f>
        <v>14255.152402008</v>
      </c>
      <c r="K492" s="15" t="n">
        <f aca="false">J492*(1+IF(K$3&lt;=$O$2,$D492,$D492-($D492-$I$481)*MIN(K$3-$O$2,$Q$2)/$Q$2))</f>
        <v>14834.8760396842</v>
      </c>
      <c r="L492" s="15" t="n">
        <f aca="false">K492*(1+IF(L$3&lt;=$O$2,$D492,$D492-($D492-$I$481)*MIN(L$3-$O$2,$Q$2)/$Q$2))</f>
        <v>15352.2933364546</v>
      </c>
      <c r="M492" s="15" t="n">
        <f aca="false">L492*(1+IF(M$3&lt;=$O$2,$D492,$D492-($D492-$I$481)*MIN(M$3-$O$2,$Q$2)/$Q$2))</f>
        <v>15798.8795556329</v>
      </c>
      <c r="N492" s="15" t="n">
        <f aca="false">M492*(1+IF(N$3&lt;=$O$2,$D492,$D492-($D492-$I$481)*MIN(N$3-$O$2,$Q$2)/$Q$2))</f>
        <v>16166.9934492791</v>
      </c>
      <c r="O492" s="15" t="n">
        <f aca="false">SUMPRODUCT(E492:N492,1/(1+$F$481)^$E$3:$N$3)*$E$2</f>
        <v>44236.2801578189</v>
      </c>
      <c r="P492" s="15" t="n">
        <f aca="false">N492*$E$2*(1+$I$481)/($F$481-$I$481)/(1+$F$481)^$N$3</f>
        <v>63439.9738003403</v>
      </c>
      <c r="Q492" s="15" t="n">
        <f aca="false">O492+P492</f>
        <v>107676.253958159</v>
      </c>
      <c r="R492" s="15" t="n">
        <f aca="false">Q492-$G$2+$I$2</f>
        <v>88216.2539581592</v>
      </c>
      <c r="S492" s="40" t="n">
        <f aca="false">R492/$K$2</f>
        <v>157.138983519762</v>
      </c>
      <c r="T492" s="41" t="n">
        <f aca="false">S492-$M$2</f>
        <v>1.32929684917644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0.05078125</v>
      </c>
      <c r="C493" s="25" t="n">
        <f aca="false">IF(T492&gt;0,D492,C492)</f>
        <v>0.05224609375</v>
      </c>
      <c r="D493" s="39" t="n">
        <f aca="false">(B493+C493)/2</f>
        <v>0.051513671875</v>
      </c>
      <c r="E493" s="15" t="n">
        <f aca="false">$C$2*(1+IF(E$3&lt;=$O$2,$D493,$D493-($D493-$I$481)*MIN(E$3-$O$2,$Q$2)/$Q$2))</f>
        <v>11103.984375</v>
      </c>
      <c r="F493" s="15" t="n">
        <f aca="false">E493*(1+IF(F$3&lt;=$O$2,$D493,$D493-($D493-$I$481)*MIN(F$3-$O$2,$Q$2)/$Q$2))</f>
        <v>11675.9913825989</v>
      </c>
      <c r="G493" s="15" t="n">
        <f aca="false">F493*(1+IF(G$3&lt;=$O$2,$D493,$D493-($D493-$I$481)*MIN(G$3-$O$2,$Q$2)/$Q$2))</f>
        <v>12277.4645714974</v>
      </c>
      <c r="H493" s="15" t="n">
        <f aca="false">G493*(1+IF(H$3&lt;=$O$2,$D493,$D493-($D493-$I$481)*MIN(H$3-$O$2,$Q$2)/$Q$2))</f>
        <v>12909.9218528905</v>
      </c>
      <c r="I493" s="15" t="n">
        <f aca="false">H493*(1+IF(I$3&lt;=$O$2,$D493,$D493-($D493-$I$481)*MIN(I$3-$O$2,$Q$2)/$Q$2))</f>
        <v>13574.9593311522</v>
      </c>
      <c r="J493" s="15" t="n">
        <f aca="false">I493*(1+IF(J$3&lt;=$O$2,$D493,$D493-($D493-$I$481)*MIN(J$3-$O$2,$Q$2)/$Q$2))</f>
        <v>14197.6554421965</v>
      </c>
      <c r="K493" s="15" t="n">
        <f aca="false">J493*(1+IF(K$3&lt;=$O$2,$D493,$D493-($D493-$I$481)*MIN(K$3-$O$2,$Q$2)/$Q$2))</f>
        <v>14768.8016092239</v>
      </c>
      <c r="L493" s="15" t="n">
        <f aca="false">K493*(1+IF(L$3&lt;=$O$2,$D493,$D493-($D493-$I$481)*MIN(L$3-$O$2,$Q$2)/$Q$2))</f>
        <v>15279.5875357547</v>
      </c>
      <c r="M493" s="15" t="n">
        <f aca="false">L493*(1+IF(M$3&lt;=$O$2,$D493,$D493-($D493-$I$481)*MIN(M$3-$O$2,$Q$2)/$Q$2))</f>
        <v>15721.8205791616</v>
      </c>
      <c r="N493" s="15" t="n">
        <f aca="false">M493*(1+IF(N$3&lt;=$O$2,$D493,$D493-($D493-$I$481)*MIN(N$3-$O$2,$Q$2)/$Q$2))</f>
        <v>16088.1389986561</v>
      </c>
      <c r="O493" s="15" t="n">
        <f aca="false">SUMPRODUCT(E493:N493,1/(1+$F$481)^$E$3:$N$3)*$E$2</f>
        <v>44094.7128248617</v>
      </c>
      <c r="P493" s="15" t="n">
        <f aca="false">N493*$E$2*(1+$I$481)/($F$481-$I$481)/(1+$F$481)^$N$3</f>
        <v>63130.5455632805</v>
      </c>
      <c r="Q493" s="15" t="n">
        <f aca="false">O493+P493</f>
        <v>107225.258388142</v>
      </c>
      <c r="R493" s="15" t="n">
        <f aca="false">Q493-$G$2+$I$2</f>
        <v>87765.2583881422</v>
      </c>
      <c r="S493" s="40" t="n">
        <f aca="false">R493/$K$2</f>
        <v>156.335628329935</v>
      </c>
      <c r="T493" s="41" t="n">
        <f aca="false">S493-$M$2</f>
        <v>0.5259416593494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0.05078125</v>
      </c>
      <c r="C494" s="25" t="n">
        <f aca="false">IF(T493&gt;0,D493,C493)</f>
        <v>0.051513671875</v>
      </c>
      <c r="D494" s="39" t="n">
        <f aca="false">(B494+C494)/2</f>
        <v>0.0511474609375</v>
      </c>
      <c r="E494" s="15" t="n">
        <f aca="false">$C$2*(1+IF(E$3&lt;=$O$2,$D494,$D494-($D494-$I$481)*MIN(E$3-$O$2,$Q$2)/$Q$2))</f>
        <v>11100.1171875</v>
      </c>
      <c r="F494" s="15" t="n">
        <f aca="false">E494*(1+IF(F$3&lt;=$O$2,$D494,$D494-($D494-$I$481)*MIN(F$3-$O$2,$Q$2)/$Q$2))</f>
        <v>11667.8599977493</v>
      </c>
      <c r="G494" s="15" t="n">
        <f aca="false">F494*(1+IF(G$3&lt;=$O$2,$D494,$D494-($D494-$I$481)*MIN(G$3-$O$2,$Q$2)/$Q$2))</f>
        <v>12264.6414112084</v>
      </c>
      <c r="H494" s="15" t="n">
        <f aca="false">G494*(1+IF(H$3&lt;=$O$2,$D494,$D494-($D494-$I$481)*MIN(H$3-$O$2,$Q$2)/$Q$2))</f>
        <v>12891.9466787007</v>
      </c>
      <c r="I494" s="15" t="n">
        <f aca="false">H494*(1+IF(I$3&lt;=$O$2,$D494,$D494-($D494-$I$481)*MIN(I$3-$O$2,$Q$2)/$Q$2))</f>
        <v>13551.3370178578</v>
      </c>
      <c r="J494" s="15" t="n">
        <f aca="false">I494*(1+IF(J$3&lt;=$O$2,$D494,$D494-($D494-$I$481)*MIN(J$3-$O$2,$Q$2)/$Q$2))</f>
        <v>14168.9794329785</v>
      </c>
      <c r="K494" s="15" t="n">
        <f aca="false">J494*(1+IF(K$3&lt;=$O$2,$D494,$D494-($D494-$I$481)*MIN(K$3-$O$2,$Q$2)/$Q$2))</f>
        <v>14735.8587145373</v>
      </c>
      <c r="L494" s="15" t="n">
        <f aca="false">K494*(1+IF(L$3&lt;=$O$2,$D494,$D494-($D494-$I$481)*MIN(L$3-$O$2,$Q$2)/$Q$2))</f>
        <v>15243.3467225595</v>
      </c>
      <c r="M494" s="15" t="n">
        <f aca="false">L494*(1+IF(M$3&lt;=$O$2,$D494,$D494-($D494-$I$481)*MIN(M$3-$O$2,$Q$2)/$Q$2))</f>
        <v>15683.4144016778</v>
      </c>
      <c r="N494" s="15" t="n">
        <f aca="false">M494*(1+IF(N$3&lt;=$O$2,$D494,$D494-($D494-$I$481)*MIN(N$3-$O$2,$Q$2)/$Q$2))</f>
        <v>16048.8379572369</v>
      </c>
      <c r="O494" s="15" t="n">
        <f aca="false">SUMPRODUCT(E494:N494,1/(1+$F$481)^$E$3:$N$3)*$E$2</f>
        <v>44024.1001549214</v>
      </c>
      <c r="P494" s="15" t="n">
        <f aca="false">N494*$E$2*(1+$I$481)/($F$481-$I$481)/(1+$F$481)^$N$3</f>
        <v>62976.3265957414</v>
      </c>
      <c r="Q494" s="15" t="n">
        <f aca="false">O494+P494</f>
        <v>107000.426750663</v>
      </c>
      <c r="R494" s="15" t="n">
        <f aca="false">Q494-$G$2+$I$2</f>
        <v>87540.4267506628</v>
      </c>
      <c r="S494" s="40" t="n">
        <f aca="false">R494/$K$2</f>
        <v>155.93513733886</v>
      </c>
      <c r="T494" s="41" t="n">
        <f aca="false">S494-$M$2</f>
        <v>0.125450668274766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0.05078125</v>
      </c>
      <c r="C495" s="25" t="n">
        <f aca="false">IF(T494&gt;0,D494,C494)</f>
        <v>0.0511474609375</v>
      </c>
      <c r="D495" s="39" t="n">
        <f aca="false">(B495+C495)/2</f>
        <v>0.05096435546875</v>
      </c>
      <c r="E495" s="15" t="n">
        <f aca="false">$C$2*(1+IF(E$3&lt;=$O$2,$D495,$D495-($D495-$I$481)*MIN(E$3-$O$2,$Q$2)/$Q$2))</f>
        <v>11098.18359375</v>
      </c>
      <c r="F495" s="15" t="n">
        <f aca="false">E495*(1+IF(F$3&lt;=$O$2,$D495,$D495-($D495-$I$481)*MIN(F$3-$O$2,$Q$2)/$Q$2))</f>
        <v>11663.7953674793</v>
      </c>
      <c r="G495" s="15" t="n">
        <f aca="false">F495*(1+IF(G$3&lt;=$O$2,$D495,$D495-($D495-$I$481)*MIN(G$3-$O$2,$Q$2)/$Q$2))</f>
        <v>12258.2331807023</v>
      </c>
      <c r="H495" s="15" t="n">
        <f aca="false">G495*(1+IF(H$3&lt;=$O$2,$D495,$D495-($D495-$I$481)*MIN(H$3-$O$2,$Q$2)/$Q$2))</f>
        <v>12882.9661339424</v>
      </c>
      <c r="I495" s="15" t="n">
        <f aca="false">H495*(1+IF(I$3&lt;=$O$2,$D495,$D495-($D495-$I$481)*MIN(I$3-$O$2,$Q$2)/$Q$2))</f>
        <v>13539.5381994845</v>
      </c>
      <c r="J495" s="15" t="n">
        <f aca="false">I495*(1+IF(J$3&lt;=$O$2,$D495,$D495-($D495-$I$481)*MIN(J$3-$O$2,$Q$2)/$Q$2))</f>
        <v>14154.6595176391</v>
      </c>
      <c r="K495" s="15" t="n">
        <f aca="false">J495*(1+IF(K$3&lt;=$O$2,$D495,$D495-($D495-$I$481)*MIN(K$3-$O$2,$Q$2)/$Q$2))</f>
        <v>14719.4108038612</v>
      </c>
      <c r="L495" s="15" t="n">
        <f aca="false">K495*(1+IF(L$3&lt;=$O$2,$D495,$D495-($D495-$I$481)*MIN(L$3-$O$2,$Q$2)/$Q$2))</f>
        <v>15225.2542806986</v>
      </c>
      <c r="M495" s="15" t="n">
        <f aca="false">L495*(1+IF(M$3&lt;=$O$2,$D495,$D495-($D495-$I$481)*MIN(M$3-$O$2,$Q$2)/$Q$2))</f>
        <v>15664.2420747435</v>
      </c>
      <c r="N495" s="15" t="n">
        <f aca="false">M495*(1+IF(N$3&lt;=$O$2,$D495,$D495-($D495-$I$481)*MIN(N$3-$O$2,$Q$2)/$Q$2))</f>
        <v>16029.2189150851</v>
      </c>
      <c r="O495" s="15" t="n">
        <f aca="false">SUMPRODUCT(E495:N495,1/(1+$F$481)^$E$3:$N$3)*$E$2</f>
        <v>43988.8364940246</v>
      </c>
      <c r="P495" s="15" t="n">
        <f aca="false">N495*$E$2*(1+$I$481)/($F$481-$I$481)/(1+$F$481)^$N$3</f>
        <v>62899.340635179</v>
      </c>
      <c r="Q495" s="15" t="n">
        <f aca="false">O495+P495</f>
        <v>106888.177129204</v>
      </c>
      <c r="R495" s="15" t="n">
        <f aca="false">Q495-$G$2+$I$2</f>
        <v>87428.1771292036</v>
      </c>
      <c r="S495" s="40" t="n">
        <f aca="false">R495/$K$2</f>
        <v>155.735187889352</v>
      </c>
      <c r="T495" s="41" t="n">
        <f aca="false">S495-$M$2</f>
        <v>-0.0744987812330464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0.05096435546875</v>
      </c>
      <c r="C496" s="25" t="n">
        <f aca="false">IF(T495&gt;0,D495,C495)</f>
        <v>0.0511474609375</v>
      </c>
      <c r="D496" s="39" t="n">
        <f aca="false">(B496+C496)/2</f>
        <v>0.051055908203125</v>
      </c>
      <c r="E496" s="15" t="n">
        <f aca="false">$C$2*(1+IF(E$3&lt;=$O$2,$D496,$D496-($D496-$I$481)*MIN(E$3-$O$2,$Q$2)/$Q$2))</f>
        <v>11099.150390625</v>
      </c>
      <c r="F496" s="15" t="n">
        <f aca="false">E496*(1+IF(F$3&lt;=$O$2,$D496,$D496-($D496-$I$481)*MIN(F$3-$O$2,$Q$2)/$Q$2))</f>
        <v>11665.8275941014</v>
      </c>
      <c r="G496" s="15" t="n">
        <f aca="false">F496*(1+IF(G$3&lt;=$O$2,$D496,$D496-($D496-$I$481)*MIN(G$3-$O$2,$Q$2)/$Q$2))</f>
        <v>12261.4370168594</v>
      </c>
      <c r="H496" s="15" t="n">
        <f aca="false">G496*(1+IF(H$3&lt;=$O$2,$D496,$D496-($D496-$I$481)*MIN(H$3-$O$2,$Q$2)/$Q$2))</f>
        <v>12887.4558196305</v>
      </c>
      <c r="I496" s="15" t="n">
        <f aca="false">H496*(1+IF(I$3&lt;=$O$2,$D496,$D496-($D496-$I$481)*MIN(I$3-$O$2,$Q$2)/$Q$2))</f>
        <v>13545.4365809294</v>
      </c>
      <c r="J496" s="15" t="n">
        <f aca="false">I496*(1+IF(J$3&lt;=$O$2,$D496,$D496-($D496-$I$481)*MIN(J$3-$O$2,$Q$2)/$Q$2))</f>
        <v>14161.8179687143</v>
      </c>
      <c r="K496" s="15" t="n">
        <f aca="false">J496*(1+IF(K$3&lt;=$O$2,$D496,$D496-($D496-$I$481)*MIN(K$3-$O$2,$Q$2)/$Q$2))</f>
        <v>14727.6327991027</v>
      </c>
      <c r="L496" s="15" t="n">
        <f aca="false">K496*(1+IF(L$3&lt;=$O$2,$D496,$D496-($D496-$I$481)*MIN(L$3-$O$2,$Q$2)/$Q$2))</f>
        <v>15234.2981729303</v>
      </c>
      <c r="M496" s="15" t="n">
        <f aca="false">L496*(1+IF(M$3&lt;=$O$2,$D496,$D496-($D496-$I$481)*MIN(M$3-$O$2,$Q$2)/$Q$2))</f>
        <v>15673.825676685</v>
      </c>
      <c r="N496" s="15" t="n">
        <f aca="false">M496*(1+IF(N$3&lt;=$O$2,$D496,$D496-($D496-$I$481)*MIN(N$3-$O$2,$Q$2)/$Q$2))</f>
        <v>16039.0258149517</v>
      </c>
      <c r="O496" s="15" t="n">
        <f aca="false">SUMPRODUCT(E496:N496,1/(1+$F$481)^$E$3:$N$3)*$E$2</f>
        <v>44006.4647705318</v>
      </c>
      <c r="P496" s="15" t="n">
        <f aca="false">N496*$E$2*(1+$I$481)/($F$481-$I$481)/(1+$F$481)^$N$3</f>
        <v>62937.823329723</v>
      </c>
      <c r="Q496" s="15" t="n">
        <f aca="false">O496+P496</f>
        <v>106944.288100255</v>
      </c>
      <c r="R496" s="15" t="n">
        <f aca="false">Q496-$G$2+$I$2</f>
        <v>87484.2881002548</v>
      </c>
      <c r="S496" s="40" t="n">
        <f aca="false">R496/$K$2</f>
        <v>155.835137961586</v>
      </c>
      <c r="T496" s="41" t="n">
        <f aca="false">S496-$M$2</f>
        <v>0.0254512910005644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0.05096435546875</v>
      </c>
      <c r="C497" s="25" t="n">
        <f aca="false">IF(T496&gt;0,D496,C496)</f>
        <v>0.051055908203125</v>
      </c>
      <c r="D497" s="39" t="n">
        <f aca="false">(B497+C497)/2</f>
        <v>0.0510101318359375</v>
      </c>
      <c r="E497" s="15" t="n">
        <f aca="false">$C$2*(1+IF(E$3&lt;=$O$2,$D497,$D497-($D497-$I$481)*MIN(E$3-$O$2,$Q$2)/$Q$2))</f>
        <v>11098.6669921875</v>
      </c>
      <c r="F497" s="15" t="n">
        <f aca="false">E497*(1+IF(F$3&lt;=$O$2,$D497,$D497-($D497-$I$481)*MIN(F$3-$O$2,$Q$2)/$Q$2))</f>
        <v>11664.8114586622</v>
      </c>
      <c r="G497" s="15" t="n">
        <f aca="false">F497*(1+IF(G$3&lt;=$O$2,$D497,$D497-($D497-$I$481)*MIN(G$3-$O$2,$Q$2)/$Q$2))</f>
        <v>12259.8350290099</v>
      </c>
      <c r="H497" s="15" t="n">
        <f aca="false">G497*(1+IF(H$3&lt;=$O$2,$D497,$D497-($D497-$I$481)*MIN(H$3-$O$2,$Q$2)/$Q$2))</f>
        <v>12885.2108301265</v>
      </c>
      <c r="I497" s="15" t="n">
        <f aca="false">H497*(1+IF(I$3&lt;=$O$2,$D497,$D497-($D497-$I$481)*MIN(I$3-$O$2,$Q$2)/$Q$2))</f>
        <v>13542.4871333051</v>
      </c>
      <c r="J497" s="15" t="n">
        <f aca="false">I497*(1+IF(J$3&lt;=$O$2,$D497,$D497-($D497-$I$481)*MIN(J$3-$O$2,$Q$2)/$Q$2))</f>
        <v>14158.2383665914</v>
      </c>
      <c r="K497" s="15" t="n">
        <f aca="false">J497*(1+IF(K$3&lt;=$O$2,$D497,$D497-($D497-$I$481)*MIN(K$3-$O$2,$Q$2)/$Q$2))</f>
        <v>14723.5213115547</v>
      </c>
      <c r="L497" s="15" t="n">
        <f aca="false">K497*(1+IF(L$3&lt;=$O$2,$D497,$D497-($D497-$I$481)*MIN(L$3-$O$2,$Q$2)/$Q$2))</f>
        <v>15229.7756447669</v>
      </c>
      <c r="M497" s="15" t="n">
        <f aca="false">L497*(1+IF(M$3&lt;=$O$2,$D497,$D497-($D497-$I$481)*MIN(M$3-$O$2,$Q$2)/$Q$2))</f>
        <v>15669.0332354796</v>
      </c>
      <c r="N497" s="15" t="n">
        <f aca="false">M497*(1+IF(N$3&lt;=$O$2,$D497,$D497-($D497-$I$481)*MIN(N$3-$O$2,$Q$2)/$Q$2))</f>
        <v>16034.1217098663</v>
      </c>
      <c r="O497" s="15" t="n">
        <f aca="false">SUMPRODUCT(E497:N497,1/(1+$F$481)^$E$3:$N$3)*$E$2</f>
        <v>43997.6497439602</v>
      </c>
      <c r="P497" s="15" t="n">
        <f aca="false">N497*$E$2*(1+$I$481)/($F$481-$I$481)/(1+$F$481)^$N$3</f>
        <v>62918.5794116062</v>
      </c>
      <c r="Q497" s="15" t="n">
        <f aca="false">O497+P497</f>
        <v>106916.229155566</v>
      </c>
      <c r="R497" s="15" t="n">
        <f aca="false">Q497-$G$2+$I$2</f>
        <v>87456.2291555663</v>
      </c>
      <c r="S497" s="40" t="n">
        <f aca="false">R497/$K$2</f>
        <v>155.785156763687</v>
      </c>
      <c r="T497" s="41" t="n">
        <f aca="false">S497-$M$2</f>
        <v>-0.0245299068983229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0.0510101318359375</v>
      </c>
      <c r="C498" s="25" t="n">
        <f aca="false">IF(T497&gt;0,D497,C497)</f>
        <v>0.051055908203125</v>
      </c>
      <c r="D498" s="39" t="n">
        <f aca="false">(B498+C498)/2</f>
        <v>0.0510330200195313</v>
      </c>
      <c r="E498" s="15" t="n">
        <f aca="false">$C$2*(1+IF(E$3&lt;=$O$2,$D498,$D498-($D498-$I$481)*MIN(E$3-$O$2,$Q$2)/$Q$2))</f>
        <v>11098.9086914063</v>
      </c>
      <c r="F498" s="15" t="n">
        <f aca="false">E498*(1+IF(F$3&lt;=$O$2,$D498,$D498-($D498-$I$481)*MIN(F$3-$O$2,$Q$2)/$Q$2))</f>
        <v>11665.3195208497</v>
      </c>
      <c r="G498" s="15" t="n">
        <f aca="false">F498*(1+IF(G$3&lt;=$O$2,$D498,$D498-($D498-$I$481)*MIN(G$3-$O$2,$Q$2)/$Q$2))</f>
        <v>12260.6360054915</v>
      </c>
      <c r="H498" s="15" t="n">
        <f aca="false">G498*(1+IF(H$3&lt;=$O$2,$D498,$D498-($D498-$I$481)*MIN(H$3-$O$2,$Q$2)/$Q$2))</f>
        <v>12886.3332882119</v>
      </c>
      <c r="I498" s="15" t="n">
        <f aca="false">H498*(1+IF(I$3&lt;=$O$2,$D498,$D498-($D498-$I$481)*MIN(I$3-$O$2,$Q$2)/$Q$2))</f>
        <v>13543.9617928876</v>
      </c>
      <c r="J498" s="15" t="n">
        <f aca="false">I498*(1+IF(J$3&lt;=$O$2,$D498,$D498-($D498-$I$481)*MIN(J$3-$O$2,$Q$2)/$Q$2))</f>
        <v>14160.0280734986</v>
      </c>
      <c r="K498" s="15" t="n">
        <f aca="false">J498*(1+IF(K$3&lt;=$O$2,$D498,$D498-($D498-$I$481)*MIN(K$3-$O$2,$Q$2)/$Q$2))</f>
        <v>14725.5769328348</v>
      </c>
      <c r="L498" s="15" t="n">
        <f aca="false">K498*(1+IF(L$3&lt;=$O$2,$D498,$D498-($D498-$I$481)*MIN(L$3-$O$2,$Q$2)/$Q$2))</f>
        <v>15232.0367633208</v>
      </c>
      <c r="M498" s="15" t="n">
        <f aca="false">L498*(1+IF(M$3&lt;=$O$2,$D498,$D498-($D498-$I$481)*MIN(M$3-$O$2,$Q$2)/$Q$2))</f>
        <v>15671.4292960053</v>
      </c>
      <c r="N498" s="15" t="n">
        <f aca="false">M498*(1+IF(N$3&lt;=$O$2,$D498,$D498-($D498-$I$481)*MIN(N$3-$O$2,$Q$2)/$Q$2))</f>
        <v>16036.5735986022</v>
      </c>
      <c r="O498" s="15" t="n">
        <f aca="false">SUMPRODUCT(E498:N498,1/(1+$F$481)^$E$3:$N$3)*$E$2</f>
        <v>44002.0570351456</v>
      </c>
      <c r="P498" s="15" t="n">
        <f aca="false">N498*$E$2*(1+$I$481)/($F$481-$I$481)/(1+$F$481)^$N$3</f>
        <v>62928.2007278797</v>
      </c>
      <c r="Q498" s="15" t="n">
        <f aca="false">O498+P498</f>
        <v>106930.257763025</v>
      </c>
      <c r="R498" s="15" t="n">
        <f aca="false">Q498-$G$2+$I$2</f>
        <v>87470.2577630253</v>
      </c>
      <c r="S498" s="40" t="n">
        <f aca="false">R498/$K$2</f>
        <v>155.810145822023</v>
      </c>
      <c r="T498" s="41" t="n">
        <f aca="false">S498-$M$2</f>
        <v>0.000459151437127048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0.0510101318359375</v>
      </c>
      <c r="C499" s="25" t="n">
        <f aca="false">IF(T498&gt;0,D498,C498)</f>
        <v>0.0510330200195313</v>
      </c>
      <c r="D499" s="39" t="n">
        <f aca="false">(B499+C499)/2</f>
        <v>0.0510215759277344</v>
      </c>
      <c r="E499" s="15" t="n">
        <f aca="false">$C$2*(1+IF(E$3&lt;=$O$2,$D499,$D499-($D499-$I$481)*MIN(E$3-$O$2,$Q$2)/$Q$2))</f>
        <v>11098.7878417969</v>
      </c>
      <c r="F499" s="15" t="n">
        <f aca="false">E499*(1+IF(F$3&lt;=$O$2,$D499,$D499-($D499-$I$481)*MIN(F$3-$O$2,$Q$2)/$Q$2))</f>
        <v>11665.0654883729</v>
      </c>
      <c r="G499" s="15" t="n">
        <f aca="false">F499*(1+IF(G$3&lt;=$O$2,$D499,$D499-($D499-$I$481)*MIN(G$3-$O$2,$Q$2)/$Q$2))</f>
        <v>12260.2355128899</v>
      </c>
      <c r="H499" s="15" t="n">
        <f aca="false">G499*(1+IF(H$3&lt;=$O$2,$D499,$D499-($D499-$I$481)*MIN(H$3-$O$2,$Q$2)/$Q$2))</f>
        <v>12885.7720500028</v>
      </c>
      <c r="I499" s="15" t="n">
        <f aca="false">H499*(1+IF(I$3&lt;=$O$2,$D499,$D499-($D499-$I$481)*MIN(I$3-$O$2,$Q$2)/$Q$2))</f>
        <v>13543.2244470395</v>
      </c>
      <c r="J499" s="15" t="n">
        <f aca="false">I499*(1+IF(J$3&lt;=$O$2,$D499,$D499-($D499-$I$481)*MIN(J$3-$O$2,$Q$2)/$Q$2))</f>
        <v>14159.1331965074</v>
      </c>
      <c r="K499" s="15" t="n">
        <f aca="false">J499*(1+IF(K$3&lt;=$O$2,$D499,$D499-($D499-$I$481)*MIN(K$3-$O$2,$Q$2)/$Q$2))</f>
        <v>14724.5490915728</v>
      </c>
      <c r="L499" s="15" t="n">
        <f aca="false">K499*(1+IF(L$3&lt;=$O$2,$D499,$D499-($D499-$I$481)*MIN(L$3-$O$2,$Q$2)/$Q$2))</f>
        <v>15230.9061676639</v>
      </c>
      <c r="M499" s="15" t="n">
        <f aca="false">L499*(1+IF(M$3&lt;=$O$2,$D499,$D499-($D499-$I$481)*MIN(M$3-$O$2,$Q$2)/$Q$2))</f>
        <v>15670.2312257255</v>
      </c>
      <c r="N499" s="15" t="n">
        <f aca="false">M499*(1+IF(N$3&lt;=$O$2,$D499,$D499-($D499-$I$481)*MIN(N$3-$O$2,$Q$2)/$Q$2))</f>
        <v>16035.3476132849</v>
      </c>
      <c r="O499" s="15" t="n">
        <f aca="false">SUMPRODUCT(E499:N499,1/(1+$F$481)^$E$3:$N$3)*$E$2</f>
        <v>43999.8533340304</v>
      </c>
      <c r="P499" s="15" t="n">
        <f aca="false">N499*$E$2*(1+$I$481)/($F$481-$I$481)/(1+$F$481)^$N$3</f>
        <v>62923.3899090559</v>
      </c>
      <c r="Q499" s="15" t="n">
        <f aca="false">O499+P499</f>
        <v>106923.243243086</v>
      </c>
      <c r="R499" s="15" t="n">
        <f aca="false">Q499-$G$2+$I$2</f>
        <v>87463.2432430863</v>
      </c>
      <c r="S499" s="40" t="n">
        <f aca="false">R499/$K$2</f>
        <v>155.797650907723</v>
      </c>
      <c r="T499" s="41" t="n">
        <f aca="false">S499-$M$2</f>
        <v>-0.0120357628630074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0.0510215759277344</v>
      </c>
      <c r="C500" s="25" t="n">
        <f aca="false">IF(T499&gt;0,D499,C499)</f>
        <v>0.0510330200195313</v>
      </c>
      <c r="D500" s="39" t="n">
        <f aca="false">(B500+C500)/2</f>
        <v>0.0510272979736328</v>
      </c>
      <c r="E500" s="15" t="n">
        <f aca="false">$C$2*(1+IF(E$3&lt;=$O$2,$D500,$D500-($D500-$I$481)*MIN(E$3-$O$2,$Q$2)/$Q$2))</f>
        <v>11098.8482666016</v>
      </c>
      <c r="F500" s="15" t="n">
        <f aca="false">E500*(1+IF(F$3&lt;=$O$2,$D500,$D500-($D500-$I$481)*MIN(F$3-$O$2,$Q$2)/$Q$2))</f>
        <v>11665.1925042656</v>
      </c>
      <c r="G500" s="15" t="n">
        <f aca="false">F500*(1+IF(G$3&lt;=$O$2,$D500,$D500-($D500-$I$481)*MIN(G$3-$O$2,$Q$2)/$Q$2))</f>
        <v>12260.4357581005</v>
      </c>
      <c r="H500" s="15" t="n">
        <f aca="false">G500*(1+IF(H$3&lt;=$O$2,$D500,$D500-($D500-$I$481)*MIN(H$3-$O$2,$Q$2)/$Q$2))</f>
        <v>12886.0526668157</v>
      </c>
      <c r="I500" s="15" t="n">
        <f aca="false">H500*(1+IF(I$3&lt;=$O$2,$D500,$D500-($D500-$I$481)*MIN(I$3-$O$2,$Q$2)/$Q$2))</f>
        <v>13543.5931159492</v>
      </c>
      <c r="J500" s="15" t="n">
        <f aca="false">I500*(1+IF(J$3&lt;=$O$2,$D500,$D500-($D500-$I$481)*MIN(J$3-$O$2,$Q$2)/$Q$2))</f>
        <v>14159.5806291185</v>
      </c>
      <c r="K500" s="15" t="n">
        <f aca="false">J500*(1+IF(K$3&lt;=$O$2,$D500,$D500-($D500-$I$481)*MIN(K$3-$O$2,$Q$2)/$Q$2))</f>
        <v>14725.0630045481</v>
      </c>
      <c r="L500" s="15" t="n">
        <f aca="false">K500*(1+IF(L$3&lt;=$O$2,$D500,$D500-($D500-$I$481)*MIN(L$3-$O$2,$Q$2)/$Q$2))</f>
        <v>15231.4714563971</v>
      </c>
      <c r="M500" s="15" t="n">
        <f aca="false">L500*(1+IF(M$3&lt;=$O$2,$D500,$D500-($D500-$I$481)*MIN(M$3-$O$2,$Q$2)/$Q$2))</f>
        <v>15670.8302508609</v>
      </c>
      <c r="N500" s="15" t="n">
        <f aca="false">M500*(1+IF(N$3&lt;=$O$2,$D500,$D500-($D500-$I$481)*MIN(N$3-$O$2,$Q$2)/$Q$2))</f>
        <v>16035.9605957059</v>
      </c>
      <c r="O500" s="15" t="n">
        <f aca="false">SUMPRODUCT(E500:N500,1/(1+$F$481)^$E$3:$N$3)*$E$2</f>
        <v>44000.955170707</v>
      </c>
      <c r="P500" s="15" t="n">
        <f aca="false">N500*$E$2*(1+$I$481)/($F$481-$I$481)/(1+$F$481)^$N$3</f>
        <v>62925.7952782949</v>
      </c>
      <c r="Q500" s="15" t="n">
        <f aca="false">O500+P500</f>
        <v>106926.750449002</v>
      </c>
      <c r="R500" s="15" t="n">
        <f aca="false">Q500-$G$2+$I$2</f>
        <v>87466.7504490019</v>
      </c>
      <c r="S500" s="40" t="n">
        <f aca="false">R500/$K$2</f>
        <v>155.803898268587</v>
      </c>
      <c r="T500" s="41" t="n">
        <f aca="false">S500-$M$2</f>
        <v>-0.00578840199872843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0.0510272979736328</v>
      </c>
      <c r="C501" s="25" t="n">
        <f aca="false">IF(T500&gt;0,D500,C500)</f>
        <v>0.0510330200195313</v>
      </c>
      <c r="D501" s="39" t="n">
        <f aca="false">(B501+C501)/2</f>
        <v>0.051030158996582</v>
      </c>
      <c r="E501" s="15" t="n">
        <f aca="false">$C$2*(1+IF(E$3&lt;=$O$2,$D501,$D501-($D501-$I$481)*MIN(E$3-$O$2,$Q$2)/$Q$2))</f>
        <v>11098.8784790039</v>
      </c>
      <c r="F501" s="15" t="n">
        <f aca="false">E501*(1+IF(F$3&lt;=$O$2,$D501,$D501-($D501-$I$481)*MIN(F$3-$O$2,$Q$2)/$Q$2))</f>
        <v>11665.2560124712</v>
      </c>
      <c r="G501" s="15" t="n">
        <f aca="false">F501*(1+IF(G$3&lt;=$O$2,$D501,$D501-($D501-$I$481)*MIN(G$3-$O$2,$Q$2)/$Q$2))</f>
        <v>12260.5358815235</v>
      </c>
      <c r="H501" s="15" t="n">
        <f aca="false">G501*(1+IF(H$3&lt;=$O$2,$D501,$D501-($D501-$I$481)*MIN(H$3-$O$2,$Q$2)/$Q$2))</f>
        <v>12886.1929769409</v>
      </c>
      <c r="I501" s="15" t="n">
        <f aca="false">H501*(1+IF(I$3&lt;=$O$2,$D501,$D501-($D501-$I$481)*MIN(I$3-$O$2,$Q$2)/$Q$2))</f>
        <v>13543.7774534148</v>
      </c>
      <c r="J501" s="15" t="n">
        <f aca="false">I501*(1+IF(J$3&lt;=$O$2,$D501,$D501-($D501-$I$481)*MIN(J$3-$O$2,$Q$2)/$Q$2))</f>
        <v>14159.8043498374</v>
      </c>
      <c r="K501" s="15" t="n">
        <f aca="false">J501*(1+IF(K$3&lt;=$O$2,$D501,$D501-($D501-$I$481)*MIN(K$3-$O$2,$Q$2)/$Q$2))</f>
        <v>14725.3199667775</v>
      </c>
      <c r="L501" s="15" t="n">
        <f aca="false">K501*(1+IF(L$3&lt;=$O$2,$D501,$D501-($D501-$I$481)*MIN(L$3-$O$2,$Q$2)/$Q$2))</f>
        <v>15231.7541075851</v>
      </c>
      <c r="M501" s="15" t="n">
        <f aca="false">L501*(1+IF(M$3&lt;=$O$2,$D501,$D501-($D501-$I$481)*MIN(M$3-$O$2,$Q$2)/$Q$2))</f>
        <v>15671.1297709319</v>
      </c>
      <c r="N501" s="15" t="n">
        <f aca="false">M501*(1+IF(N$3&lt;=$O$2,$D501,$D501-($D501-$I$481)*MIN(N$3-$O$2,$Q$2)/$Q$2))</f>
        <v>16036.2670945946</v>
      </c>
      <c r="O501" s="15" t="n">
        <f aca="false">SUMPRODUCT(E501:N501,1/(1+$F$481)^$E$3:$N$3)*$E$2</f>
        <v>44001.506099456</v>
      </c>
      <c r="P501" s="15" t="n">
        <f aca="false">N501*$E$2*(1+$I$481)/($F$481-$I$481)/(1+$F$481)^$N$3</f>
        <v>62926.9979930439</v>
      </c>
      <c r="Q501" s="15" t="n">
        <f aca="false">O501+P501</f>
        <v>106928.5040925</v>
      </c>
      <c r="R501" s="15" t="n">
        <f aca="false">Q501-$G$2+$I$2</f>
        <v>87468.5040925</v>
      </c>
      <c r="S501" s="40" t="n">
        <f aca="false">R501/$K$2</f>
        <v>155.807022021233</v>
      </c>
      <c r="T501" s="41" t="n">
        <f aca="false">S501-$M$2</f>
        <v>-0.00266464935256749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0.051030158996582</v>
      </c>
      <c r="C502" s="25" t="n">
        <f aca="false">IF(T501&gt;0,D501,C501)</f>
        <v>0.0510330200195313</v>
      </c>
      <c r="D502" s="39" t="n">
        <f aca="false">(B502+C502)/2</f>
        <v>0.0510315895080566</v>
      </c>
      <c r="E502" s="15" t="n">
        <f aca="false">$C$2*(1+IF(E$3&lt;=$O$2,$D502,$D502-($D502-$I$481)*MIN(E$3-$O$2,$Q$2)/$Q$2))</f>
        <v>11098.8935852051</v>
      </c>
      <c r="F502" s="15" t="n">
        <f aca="false">E502*(1+IF(F$3&lt;=$O$2,$D502,$D502-($D502-$I$481)*MIN(F$3-$O$2,$Q$2)/$Q$2))</f>
        <v>11665.2877666389</v>
      </c>
      <c r="G502" s="15" t="n">
        <f aca="false">F502*(1+IF(G$3&lt;=$O$2,$D502,$D502-($D502-$I$481)*MIN(G$3-$O$2,$Q$2)/$Q$2))</f>
        <v>12260.5859434393</v>
      </c>
      <c r="H502" s="15" t="n">
        <f aca="false">G502*(1+IF(H$3&lt;=$O$2,$D502,$D502-($D502-$I$481)*MIN(H$3-$O$2,$Q$2)/$Q$2))</f>
        <v>12886.2631324332</v>
      </c>
      <c r="I502" s="15" t="n">
        <f aca="false">H502*(1+IF(I$3&lt;=$O$2,$D502,$D502-($D502-$I$481)*MIN(I$3-$O$2,$Q$2)/$Q$2))</f>
        <v>13543.8696229003</v>
      </c>
      <c r="J502" s="15" t="n">
        <f aca="false">I502*(1+IF(J$3&lt;=$O$2,$D502,$D502-($D502-$I$481)*MIN(J$3-$O$2,$Q$2)/$Q$2))</f>
        <v>14159.9162113002</v>
      </c>
      <c r="K502" s="15" t="n">
        <f aca="false">J502*(1+IF(K$3&lt;=$O$2,$D502,$D502-($D502-$I$481)*MIN(K$3-$O$2,$Q$2)/$Q$2))</f>
        <v>14725.4484493277</v>
      </c>
      <c r="L502" s="15" t="n">
        <f aca="false">K502*(1+IF(L$3&lt;=$O$2,$D502,$D502-($D502-$I$481)*MIN(L$3-$O$2,$Q$2)/$Q$2))</f>
        <v>15231.8954348845</v>
      </c>
      <c r="M502" s="15" t="n">
        <f aca="false">L502*(1+IF(M$3&lt;=$O$2,$D502,$D502-($D502-$I$481)*MIN(M$3-$O$2,$Q$2)/$Q$2))</f>
        <v>15671.2795328433</v>
      </c>
      <c r="N502" s="15" t="n">
        <f aca="false">M502*(1+IF(N$3&lt;=$O$2,$D502,$D502-($D502-$I$481)*MIN(N$3-$O$2,$Q$2)/$Q$2))</f>
        <v>16036.4203459586</v>
      </c>
      <c r="O502" s="15" t="n">
        <f aca="false">SUMPRODUCT(E502:N502,1/(1+$F$481)^$E$3:$N$3)*$E$2</f>
        <v>44001.7815664332</v>
      </c>
      <c r="P502" s="15" t="n">
        <f aca="false">N502*$E$2*(1+$I$481)/($F$481-$I$481)/(1+$F$481)^$N$3</f>
        <v>62927.599357951</v>
      </c>
      <c r="Q502" s="15" t="n">
        <f aca="false">O502+P502</f>
        <v>106929.380924384</v>
      </c>
      <c r="R502" s="15" t="n">
        <f aca="false">Q502-$G$2+$I$2</f>
        <v>87469.3809243842</v>
      </c>
      <c r="S502" s="40" t="n">
        <f aca="false">R502/$K$2</f>
        <v>155.80858391561</v>
      </c>
      <c r="T502" s="41" t="n">
        <f aca="false">S502-$M$2</f>
        <v>-0.00110275497561929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0.0510315895080566</v>
      </c>
      <c r="C503" s="25" t="n">
        <f aca="false">IF(T502&gt;0,D502,C502)</f>
        <v>0.0510330200195313</v>
      </c>
      <c r="D503" s="39" t="n">
        <f aca="false">(B503+C503)/2</f>
        <v>0.0510323047637939</v>
      </c>
      <c r="E503" s="15" t="n">
        <f aca="false">$C$2*(1+IF(E$3&lt;=$O$2,$D503,$D503-($D503-$I$481)*MIN(E$3-$O$2,$Q$2)/$Q$2))</f>
        <v>11098.9011383057</v>
      </c>
      <c r="F503" s="15" t="n">
        <f aca="false">E503*(1+IF(F$3&lt;=$O$2,$D503,$D503-($D503-$I$481)*MIN(F$3-$O$2,$Q$2)/$Q$2))</f>
        <v>11665.3036437389</v>
      </c>
      <c r="G503" s="15" t="n">
        <f aca="false">F503*(1+IF(G$3&lt;=$O$2,$D503,$D503-($D503-$I$481)*MIN(G$3-$O$2,$Q$2)/$Q$2))</f>
        <v>12260.6109744484</v>
      </c>
      <c r="H503" s="15" t="n">
        <f aca="false">G503*(1+IF(H$3&lt;=$O$2,$D503,$D503-($D503-$I$481)*MIN(H$3-$O$2,$Q$2)/$Q$2))</f>
        <v>12886.2982102867</v>
      </c>
      <c r="I503" s="15" t="n">
        <f aca="false">H503*(1+IF(I$3&lt;=$O$2,$D503,$D503-($D503-$I$481)*MIN(I$3-$O$2,$Q$2)/$Q$2))</f>
        <v>13543.9157078312</v>
      </c>
      <c r="J503" s="15" t="n">
        <f aca="false">I503*(1+IF(J$3&lt;=$O$2,$D503,$D503-($D503-$I$481)*MIN(J$3-$O$2,$Q$2)/$Q$2))</f>
        <v>14159.9721423075</v>
      </c>
      <c r="K503" s="15" t="n">
        <f aca="false">J503*(1+IF(K$3&lt;=$O$2,$D503,$D503-($D503-$I$481)*MIN(K$3-$O$2,$Q$2)/$Q$2))</f>
        <v>14725.5126909616</v>
      </c>
      <c r="L503" s="15" t="n">
        <f aca="false">K503*(1+IF(L$3&lt;=$O$2,$D503,$D503-($D503-$I$481)*MIN(L$3-$O$2,$Q$2)/$Q$2))</f>
        <v>15231.9660989606</v>
      </c>
      <c r="M503" s="15" t="n">
        <f aca="false">L503*(1+IF(M$3&lt;=$O$2,$D503,$D503-($D503-$I$481)*MIN(M$3-$O$2,$Q$2)/$Q$2))</f>
        <v>15671.354414268</v>
      </c>
      <c r="N503" s="15" t="n">
        <f aca="false">M503*(1+IF(N$3&lt;=$O$2,$D503,$D503-($D503-$I$481)*MIN(N$3-$O$2,$Q$2)/$Q$2))</f>
        <v>16036.4969721204</v>
      </c>
      <c r="O503" s="15" t="n">
        <f aca="false">SUMPRODUCT(E503:N503,1/(1+$F$481)^$E$3:$N$3)*$E$2</f>
        <v>44001.9193005725</v>
      </c>
      <c r="P503" s="15" t="n">
        <f aca="false">N503*$E$2*(1+$I$481)/($F$481-$I$481)/(1+$F$481)^$N$3</f>
        <v>62927.9000422876</v>
      </c>
      <c r="Q503" s="15" t="n">
        <f aca="false">O503+P503</f>
        <v>106929.81934286</v>
      </c>
      <c r="R503" s="15" t="n">
        <f aca="false">Q503-$G$2+$I$2</f>
        <v>87469.8193428601</v>
      </c>
      <c r="S503" s="40" t="n">
        <f aca="false">R503/$K$2</f>
        <v>155.809364867312</v>
      </c>
      <c r="T503" s="41" t="n">
        <f aca="false">S503-$M$2</f>
        <v>-0.000321803273806154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0.0510323047637939</v>
      </c>
      <c r="C504" s="25" t="n">
        <f aca="false">IF(T503&gt;0,D503,C503)</f>
        <v>0.0510330200195313</v>
      </c>
      <c r="D504" s="39" t="n">
        <f aca="false">(B504+C504)/2</f>
        <v>0.0510326623916626</v>
      </c>
      <c r="E504" s="15" t="n">
        <f aca="false">$C$2*(1+IF(E$3&lt;=$O$2,$D504,$D504-($D504-$I$481)*MIN(E$3-$O$2,$Q$2)/$Q$2))</f>
        <v>11098.904914856</v>
      </c>
      <c r="F504" s="15" t="n">
        <f aca="false">E504*(1+IF(F$3&lt;=$O$2,$D504,$D504-($D504-$I$481)*MIN(F$3-$O$2,$Q$2)/$Q$2))</f>
        <v>11665.311582293</v>
      </c>
      <c r="G504" s="15" t="n">
        <f aca="false">F504*(1+IF(G$3&lt;=$O$2,$D504,$D504-($D504-$I$481)*MIN(G$3-$O$2,$Q$2)/$Q$2))</f>
        <v>12260.6234899657</v>
      </c>
      <c r="H504" s="15" t="n">
        <f aca="false">G504*(1+IF(H$3&lt;=$O$2,$D504,$D504-($D504-$I$481)*MIN(H$3-$O$2,$Q$2)/$Q$2))</f>
        <v>12886.3157492404</v>
      </c>
      <c r="I504" s="15" t="n">
        <f aca="false">H504*(1+IF(I$3&lt;=$O$2,$D504,$D504-($D504-$I$481)*MIN(I$3-$O$2,$Q$2)/$Q$2))</f>
        <v>13543.9387503437</v>
      </c>
      <c r="J504" s="15" t="n">
        <f aca="false">I504*(1+IF(J$3&lt;=$O$2,$D504,$D504-($D504-$I$481)*MIN(J$3-$O$2,$Q$2)/$Q$2))</f>
        <v>14160.00010788</v>
      </c>
      <c r="K504" s="15" t="n">
        <f aca="false">J504*(1+IF(K$3&lt;=$O$2,$D504,$D504-($D504-$I$481)*MIN(K$3-$O$2,$Q$2)/$Q$2))</f>
        <v>14725.5448118683</v>
      </c>
      <c r="L504" s="15" t="n">
        <f aca="false">K504*(1+IF(L$3&lt;=$O$2,$D504,$D504-($D504-$I$481)*MIN(L$3-$O$2,$Q$2)/$Q$2))</f>
        <v>15232.0014311052</v>
      </c>
      <c r="M504" s="15" t="n">
        <f aca="false">L504*(1+IF(M$3&lt;=$O$2,$D504,$D504-($D504-$I$481)*MIN(M$3-$O$2,$Q$2)/$Q$2))</f>
        <v>15671.3918550976</v>
      </c>
      <c r="N504" s="15" t="n">
        <f aca="false">M504*(1+IF(N$3&lt;=$O$2,$D504,$D504-($D504-$I$481)*MIN(N$3-$O$2,$Q$2)/$Q$2))</f>
        <v>16036.5352853213</v>
      </c>
      <c r="O504" s="15" t="n">
        <f aca="false">SUMPRODUCT(E504:N504,1/(1+$F$481)^$E$3:$N$3)*$E$2</f>
        <v>44001.9881678048</v>
      </c>
      <c r="P504" s="15" t="n">
        <f aca="false">N504*$E$2*(1+$I$481)/($F$481-$I$481)/(1+$F$481)^$N$3</f>
        <v>62928.0503849267</v>
      </c>
      <c r="Q504" s="15" t="n">
        <f aca="false">O504+P504</f>
        <v>106930.038552732</v>
      </c>
      <c r="R504" s="15" t="n">
        <f aca="false">Q504-$G$2+$I$2</f>
        <v>87470.0385527315</v>
      </c>
      <c r="S504" s="40" t="n">
        <f aca="false">R504/$K$2</f>
        <v>155.809755344291</v>
      </c>
      <c r="T504" s="41" t="n">
        <f aca="false">S504-$M$2</f>
        <v>6.86737055275444E-005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0.0510323047637939</v>
      </c>
      <c r="C505" s="25" t="n">
        <f aca="false">IF(T504&gt;0,D504,C504)</f>
        <v>0.0510326623916626</v>
      </c>
      <c r="D505" s="39" t="n">
        <f aca="false">(B505+C505)/2</f>
        <v>0.0510324835777283</v>
      </c>
      <c r="E505" s="15" t="n">
        <f aca="false">$C$2*(1+IF(E$3&lt;=$O$2,$D505,$D505-($D505-$I$481)*MIN(E$3-$O$2,$Q$2)/$Q$2))</f>
        <v>11098.9030265808</v>
      </c>
      <c r="F505" s="15" t="n">
        <f aca="false">E505*(1+IF(F$3&lt;=$O$2,$D505,$D505-($D505-$I$481)*MIN(F$3-$O$2,$Q$2)/$Q$2))</f>
        <v>11665.3076130156</v>
      </c>
      <c r="G505" s="15" t="n">
        <f aca="false">F505*(1+IF(G$3&lt;=$O$2,$D505,$D505-($D505-$I$481)*MIN(G$3-$O$2,$Q$2)/$Q$2))</f>
        <v>12260.617232206</v>
      </c>
      <c r="H505" s="15" t="n">
        <f aca="false">G505*(1+IF(H$3&lt;=$O$2,$D505,$D505-($D505-$I$481)*MIN(H$3-$O$2,$Q$2)/$Q$2))</f>
        <v>12886.3069797613</v>
      </c>
      <c r="I505" s="15" t="n">
        <f aca="false">H505*(1+IF(I$3&lt;=$O$2,$D505,$D505-($D505-$I$481)*MIN(I$3-$O$2,$Q$2)/$Q$2))</f>
        <v>13543.9272290836</v>
      </c>
      <c r="J505" s="15" t="n">
        <f aca="false">I505*(1+IF(J$3&lt;=$O$2,$D505,$D505-($D505-$I$481)*MIN(J$3-$O$2,$Q$2)/$Q$2))</f>
        <v>14159.986125088</v>
      </c>
      <c r="K505" s="15" t="n">
        <f aca="false">J505*(1+IF(K$3&lt;=$O$2,$D505,$D505-($D505-$I$481)*MIN(K$3-$O$2,$Q$2)/$Q$2))</f>
        <v>14725.5287514075</v>
      </c>
      <c r="L505" s="15" t="n">
        <f aca="false">K505*(1+IF(L$3&lt;=$O$2,$D505,$D505-($D505-$I$481)*MIN(L$3-$O$2,$Q$2)/$Q$2))</f>
        <v>15231.983765024</v>
      </c>
      <c r="M505" s="15" t="n">
        <f aca="false">L505*(1+IF(M$3&lt;=$O$2,$D505,$D505-($D505-$I$481)*MIN(M$3-$O$2,$Q$2)/$Q$2))</f>
        <v>15671.373134673</v>
      </c>
      <c r="N505" s="15" t="n">
        <f aca="false">M505*(1+IF(N$3&lt;=$O$2,$D505,$D505-($D505-$I$481)*MIN(N$3-$O$2,$Q$2)/$Q$2))</f>
        <v>16036.5161287109</v>
      </c>
      <c r="O505" s="15" t="n">
        <f aca="false">SUMPRODUCT(E505:N505,1/(1+$F$481)^$E$3:$N$3)*$E$2</f>
        <v>44001.9537341751</v>
      </c>
      <c r="P505" s="15" t="n">
        <f aca="false">N505*$E$2*(1+$I$481)/($F$481-$I$481)/(1+$F$481)^$N$3</f>
        <v>62927.975213568</v>
      </c>
      <c r="Q505" s="15" t="n">
        <f aca="false">O505+P505</f>
        <v>106929.928947743</v>
      </c>
      <c r="R505" s="15" t="n">
        <f aca="false">Q505-$G$2+$I$2</f>
        <v>87469.9289477431</v>
      </c>
      <c r="S505" s="40" t="n">
        <f aca="false">R505/$K$2</f>
        <v>155.809560105707</v>
      </c>
      <c r="T505" s="41" t="n">
        <f aca="false">S505-$M$2</f>
        <v>-0.000126564878087265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0.0510324835777283</v>
      </c>
      <c r="C506" s="25" t="n">
        <f aca="false">IF(T505&gt;0,D505,C505)</f>
        <v>0.0510326623916626</v>
      </c>
      <c r="D506" s="39" t="n">
        <f aca="false">(B506+C506)/2</f>
        <v>0.0510325729846954</v>
      </c>
      <c r="E506" s="15" t="n">
        <f aca="false">$C$2*(1+IF(E$3&lt;=$O$2,$D506,$D506-($D506-$I$481)*MIN(E$3-$O$2,$Q$2)/$Q$2))</f>
        <v>11098.9039707184</v>
      </c>
      <c r="F506" s="15" t="n">
        <f aca="false">E506*(1+IF(F$3&lt;=$O$2,$D506,$D506-($D506-$I$481)*MIN(F$3-$O$2,$Q$2)/$Q$2))</f>
        <v>11665.3095976542</v>
      </c>
      <c r="G506" s="15" t="n">
        <f aca="false">F506*(1+IF(G$3&lt;=$O$2,$D506,$D506-($D506-$I$481)*MIN(G$3-$O$2,$Q$2)/$Q$2))</f>
        <v>12260.6203610856</v>
      </c>
      <c r="H506" s="15" t="n">
        <f aca="false">G506*(1+IF(H$3&lt;=$O$2,$D506,$D506-($D506-$I$481)*MIN(H$3-$O$2,$Q$2)/$Q$2))</f>
        <v>12886.3113645003</v>
      </c>
      <c r="I506" s="15" t="n">
        <f aca="false">H506*(1+IF(I$3&lt;=$O$2,$D506,$D506-($D506-$I$481)*MIN(I$3-$O$2,$Q$2)/$Q$2))</f>
        <v>13543.9329897127</v>
      </c>
      <c r="J506" s="15" t="n">
        <f aca="false">I506*(1+IF(J$3&lt;=$O$2,$D506,$D506-($D506-$I$481)*MIN(J$3-$O$2,$Q$2)/$Q$2))</f>
        <v>14159.9931164826</v>
      </c>
      <c r="K506" s="15" t="n">
        <f aca="false">J506*(1+IF(K$3&lt;=$O$2,$D506,$D506-($D506-$I$481)*MIN(K$3-$O$2,$Q$2)/$Q$2))</f>
        <v>14725.536781636</v>
      </c>
      <c r="L506" s="15" t="n">
        <f aca="false">K506*(1+IF(L$3&lt;=$O$2,$D506,$D506-($D506-$I$481)*MIN(L$3-$O$2,$Q$2)/$Q$2))</f>
        <v>15231.9925980624</v>
      </c>
      <c r="M506" s="15" t="n">
        <f aca="false">L506*(1+IF(M$3&lt;=$O$2,$D506,$D506-($D506-$I$481)*MIN(M$3-$O$2,$Q$2)/$Q$2))</f>
        <v>15671.3824948828</v>
      </c>
      <c r="N506" s="15" t="n">
        <f aca="false">M506*(1+IF(N$3&lt;=$O$2,$D506,$D506-($D506-$I$481)*MIN(N$3-$O$2,$Q$2)/$Q$2))</f>
        <v>16036.5257070136</v>
      </c>
      <c r="O506" s="15" t="n">
        <f aca="false">SUMPRODUCT(E506:N506,1/(1+$F$481)^$E$3:$N$3)*$E$2</f>
        <v>44001.9709509866</v>
      </c>
      <c r="P506" s="15" t="n">
        <f aca="false">N506*$E$2*(1+$I$481)/($F$481-$I$481)/(1+$F$481)^$N$3</f>
        <v>62928.0127992375</v>
      </c>
      <c r="Q506" s="15" t="n">
        <f aca="false">O506+P506</f>
        <v>106929.983750224</v>
      </c>
      <c r="R506" s="15" t="n">
        <f aca="false">Q506-$G$2+$I$2</f>
        <v>87469.9837502241</v>
      </c>
      <c r="S506" s="40" t="n">
        <f aca="false">R506/$K$2</f>
        <v>155.809657724976</v>
      </c>
      <c r="T506" s="41" t="n">
        <f aca="false">S506-$M$2</f>
        <v>-2.89456098414576E-005</v>
      </c>
    </row>
    <row r="508" customFormat="false" ht="15" hidden="false" customHeight="false" outlineLevel="0" collapsed="false">
      <c r="A508" s="36" t="s">
        <v>204</v>
      </c>
      <c r="E508" s="5" t="s">
        <v>11</v>
      </c>
      <c r="F508" s="12" t="n">
        <f aca="false">Sensitivity!$B$13</f>
        <v>0.0820172026214128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6" t="s">
        <v>167</v>
      </c>
      <c r="B509" s="28" t="s">
        <v>168</v>
      </c>
      <c r="C509" s="28" t="s">
        <v>169</v>
      </c>
      <c r="D509" s="28" t="s">
        <v>170</v>
      </c>
      <c r="E509" s="28" t="s">
        <v>171</v>
      </c>
      <c r="F509" s="28" t="s">
        <v>172</v>
      </c>
      <c r="G509" s="28" t="s">
        <v>173</v>
      </c>
      <c r="H509" s="28" t="s">
        <v>174</v>
      </c>
      <c r="I509" s="28" t="s">
        <v>175</v>
      </c>
      <c r="J509" s="28" t="s">
        <v>176</v>
      </c>
      <c r="K509" s="28" t="s">
        <v>177</v>
      </c>
      <c r="L509" s="28" t="s">
        <v>178</v>
      </c>
      <c r="M509" s="28" t="s">
        <v>179</v>
      </c>
      <c r="N509" s="28" t="s">
        <v>180</v>
      </c>
      <c r="O509" s="28" t="s">
        <v>181</v>
      </c>
      <c r="P509" s="28" t="s">
        <v>182</v>
      </c>
      <c r="Q509" s="28" t="s">
        <v>183</v>
      </c>
      <c r="R509" s="28" t="s">
        <v>184</v>
      </c>
      <c r="S509" s="28" t="s">
        <v>185</v>
      </c>
      <c r="T509" s="28" t="s">
        <v>186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39" t="n">
        <f aca="false">(B510+C510)/2</f>
        <v>0.25</v>
      </c>
      <c r="E510" s="15" t="n">
        <f aca="false">$C$2*(1+IF(E$3&lt;=$O$2,$D510,$D510-($D510-$I$508)*MIN(E$3-$O$2,$Q$2)/$Q$2))</f>
        <v>13200</v>
      </c>
      <c r="F510" s="15" t="n">
        <f aca="false">E510*(1+IF(F$3&lt;=$O$2,$D510,$D510-($D510-$I$508)*MIN(F$3-$O$2,$Q$2)/$Q$2))</f>
        <v>16500</v>
      </c>
      <c r="G510" s="15" t="n">
        <f aca="false">F510*(1+IF(G$3&lt;=$O$2,$D510,$D510-($D510-$I$508)*MIN(G$3-$O$2,$Q$2)/$Q$2))</f>
        <v>20625</v>
      </c>
      <c r="H510" s="15" t="n">
        <f aca="false">G510*(1+IF(H$3&lt;=$O$2,$D510,$D510-($D510-$I$508)*MIN(H$3-$O$2,$Q$2)/$Q$2))</f>
        <v>25781.25</v>
      </c>
      <c r="I510" s="15" t="n">
        <f aca="false">H510*(1+IF(I$3&lt;=$O$2,$D510,$D510-($D510-$I$508)*MIN(I$3-$O$2,$Q$2)/$Q$2))</f>
        <v>32226.5625</v>
      </c>
      <c r="J510" s="15" t="n">
        <f aca="false">I510*(1+IF(J$3&lt;=$O$2,$D510,$D510-($D510-$I$508)*MIN(J$3-$O$2,$Q$2)/$Q$2))</f>
        <v>38854.27734375</v>
      </c>
      <c r="K510" s="15" t="n">
        <f aca="false">J510*(1+IF(K$3&lt;=$O$2,$D510,$D510-($D510-$I$508)*MIN(K$3-$O$2,$Q$2)/$Q$2))</f>
        <v>45122.2493648437</v>
      </c>
      <c r="L510" s="15" t="n">
        <f aca="false">K510*(1+IF(L$3&lt;=$O$2,$D510,$D510-($D510-$I$508)*MIN(L$3-$O$2,$Q$2)/$Q$2))</f>
        <v>50400.6500955432</v>
      </c>
      <c r="M510" s="15" t="n">
        <f aca="false">L510*(1+IF(M$3&lt;=$O$2,$D510,$D510-($D510-$I$508)*MIN(M$3-$O$2,$Q$2)/$Q$2))</f>
        <v>54061.7533184834</v>
      </c>
      <c r="N510" s="15" t="n">
        <f aca="false">M510*(1+IF(N$3&lt;=$O$2,$D510,$D510-($D510-$I$508)*MIN(N$3-$O$2,$Q$2)/$Q$2))</f>
        <v>55591.7009373965</v>
      </c>
      <c r="O510" s="15" t="n">
        <f aca="false">SUMPRODUCT(E510:N510,1/(1+$F$508)^$E$3:$N$3)*$E$2</f>
        <v>104998.885226153</v>
      </c>
      <c r="P510" s="15" t="n">
        <f aca="false">N510*$E$2*(1+$I$508)/($F$508-$I$508)/(1+$F$508)^$N$3</f>
        <v>239614.185488348</v>
      </c>
      <c r="Q510" s="15" t="n">
        <f aca="false">O510+P510</f>
        <v>344613.070714501</v>
      </c>
      <c r="R510" s="15" t="n">
        <f aca="false">Q510-$G$2+$I$2</f>
        <v>325153.070714501</v>
      </c>
      <c r="S510" s="40" t="n">
        <f aca="false">R510/$K$2</f>
        <v>579.192844038014</v>
      </c>
      <c r="T510" s="41" t="n">
        <f aca="false">S510-$M$2</f>
        <v>423.383157367428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39" t="n">
        <f aca="false">(B511+C511)/2</f>
        <v>-0.125</v>
      </c>
      <c r="E511" s="15" t="n">
        <f aca="false">$C$2*(1+IF(E$3&lt;=$O$2,$D511,$D511-($D511-$I$508)*MIN(E$3-$O$2,$Q$2)/$Q$2))</f>
        <v>9240</v>
      </c>
      <c r="F511" s="15" t="n">
        <f aca="false">E511*(1+IF(F$3&lt;=$O$2,$D511,$D511-($D511-$I$508)*MIN(F$3-$O$2,$Q$2)/$Q$2))</f>
        <v>8085</v>
      </c>
      <c r="G511" s="15" t="n">
        <f aca="false">F511*(1+IF(G$3&lt;=$O$2,$D511,$D511-($D511-$I$508)*MIN(G$3-$O$2,$Q$2)/$Q$2))</f>
        <v>7074.375</v>
      </c>
      <c r="H511" s="15" t="n">
        <f aca="false">G511*(1+IF(H$3&lt;=$O$2,$D511,$D511-($D511-$I$508)*MIN(H$3-$O$2,$Q$2)/$Q$2))</f>
        <v>6190.078125</v>
      </c>
      <c r="I511" s="15" t="n">
        <f aca="false">H511*(1+IF(I$3&lt;=$O$2,$D511,$D511-($D511-$I$508)*MIN(I$3-$O$2,$Q$2)/$Q$2))</f>
        <v>5416.318359375</v>
      </c>
      <c r="J511" s="15" t="n">
        <f aca="false">I511*(1+IF(J$3&lt;=$O$2,$D511,$D511-($D511-$I$508)*MIN(J$3-$O$2,$Q$2)/$Q$2))</f>
        <v>4905.34288535156</v>
      </c>
      <c r="K511" s="15" t="n">
        <f aca="false">J511*(1+IF(K$3&lt;=$O$2,$D511,$D511-($D511-$I$508)*MIN(K$3-$O$2,$Q$2)/$Q$2))</f>
        <v>4592.97065041238</v>
      </c>
      <c r="L511" s="15" t="n">
        <f aca="false">K511*(1+IF(L$3&lt;=$O$2,$D511,$D511-($D511-$I$508)*MIN(L$3-$O$2,$Q$2)/$Q$2))</f>
        <v>4441.31075953576</v>
      </c>
      <c r="M511" s="15" t="n">
        <f aca="false">L511*(1+IF(M$3&lt;=$O$2,$D511,$D511-($D511-$I$508)*MIN(M$3-$O$2,$Q$2)/$Q$2))</f>
        <v>4430.82926614325</v>
      </c>
      <c r="N511" s="15" t="n">
        <f aca="false">M511*(1+IF(N$3&lt;=$O$2,$D511,$D511-($D511-$I$508)*MIN(N$3-$O$2,$Q$2)/$Q$2))</f>
        <v>4556.22173437511</v>
      </c>
      <c r="O511" s="15" t="n">
        <f aca="false">SUMPRODUCT(E511:N511,1/(1+$F$508)^$E$3:$N$3)*$E$2</f>
        <v>20560.8679601416</v>
      </c>
      <c r="P511" s="15" t="n">
        <f aca="false">N511*$E$2*(1+$I$508)/($F$508-$I$508)/(1+$F$508)^$N$3</f>
        <v>19638.4593631347</v>
      </c>
      <c r="Q511" s="15" t="n">
        <f aca="false">O511+P511</f>
        <v>40199.3273232763</v>
      </c>
      <c r="R511" s="15" t="n">
        <f aca="false">Q511-$G$2+$I$2</f>
        <v>20739.3273232763</v>
      </c>
      <c r="S511" s="40" t="n">
        <f aca="false">R511/$K$2</f>
        <v>36.9428157310894</v>
      </c>
      <c r="T511" s="41" t="n">
        <f aca="false">S511-$M$2</f>
        <v>-118.866870939496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39" t="n">
        <f aca="false">(B512+C512)/2</f>
        <v>0.0625</v>
      </c>
      <c r="E512" s="15" t="n">
        <f aca="false">$C$2*(1+IF(E$3&lt;=$O$2,$D512,$D512-($D512-$I$508)*MIN(E$3-$O$2,$Q$2)/$Q$2))</f>
        <v>11220</v>
      </c>
      <c r="F512" s="15" t="n">
        <f aca="false">E512*(1+IF(F$3&lt;=$O$2,$D512,$D512-($D512-$I$508)*MIN(F$3-$O$2,$Q$2)/$Q$2))</f>
        <v>11921.25</v>
      </c>
      <c r="G512" s="15" t="n">
        <f aca="false">F512*(1+IF(G$3&lt;=$O$2,$D512,$D512-($D512-$I$508)*MIN(G$3-$O$2,$Q$2)/$Q$2))</f>
        <v>12666.328125</v>
      </c>
      <c r="H512" s="15" t="n">
        <f aca="false">G512*(1+IF(H$3&lt;=$O$2,$D512,$D512-($D512-$I$508)*MIN(H$3-$O$2,$Q$2)/$Q$2))</f>
        <v>13457.9736328125</v>
      </c>
      <c r="I512" s="15" t="n">
        <f aca="false">H512*(1+IF(I$3&lt;=$O$2,$D512,$D512-($D512-$I$508)*MIN(I$3-$O$2,$Q$2)/$Q$2))</f>
        <v>14299.0969848633</v>
      </c>
      <c r="J512" s="15" t="n">
        <f aca="false">I512*(1+IF(J$3&lt;=$O$2,$D512,$D512-($D512-$I$508)*MIN(J$3-$O$2,$Q$2)/$Q$2))</f>
        <v>15094.9847230408</v>
      </c>
      <c r="K512" s="15" t="n">
        <f aca="false">J512*(1+IF(K$3&lt;=$O$2,$D512,$D512-($D512-$I$508)*MIN(K$3-$O$2,$Q$2)/$Q$2))</f>
        <v>15831.9218772196</v>
      </c>
      <c r="L512" s="15" t="n">
        <f aca="false">K512*(1+IF(L$3&lt;=$O$2,$D512,$D512-($D512-$I$508)*MIN(L$3-$O$2,$Q$2)/$Q$2))</f>
        <v>16496.5459576253</v>
      </c>
      <c r="M512" s="15" t="n">
        <f aca="false">L512*(1+IF(M$3&lt;=$O$2,$D512,$D512-($D512-$I$508)*MIN(M$3-$O$2,$Q$2)/$Q$2))</f>
        <v>17076.2345825763</v>
      </c>
      <c r="N512" s="15" t="n">
        <f aca="false">M512*(1+IF(N$3&lt;=$O$2,$D512,$D512-($D512-$I$508)*MIN(N$3-$O$2,$Q$2)/$Q$2))</f>
        <v>17559.4920212632</v>
      </c>
      <c r="O512" s="15" t="n">
        <f aca="false">SUMPRODUCT(E512:N512,1/(1+$F$508)^$E$3:$N$3)*$E$2</f>
        <v>46405.6912108916</v>
      </c>
      <c r="P512" s="15" t="n">
        <f aca="false">N512*$E$2*(1+$I$508)/($F$508-$I$508)/(1+$F$508)^$N$3</f>
        <v>75685.8183382859</v>
      </c>
      <c r="Q512" s="15" t="n">
        <f aca="false">O512+P512</f>
        <v>122091.509549178</v>
      </c>
      <c r="R512" s="15" t="n">
        <f aca="false">Q512-$G$2+$I$2</f>
        <v>102631.509549178</v>
      </c>
      <c r="S512" s="40" t="n">
        <f aca="false">R512/$K$2</f>
        <v>182.816775413131</v>
      </c>
      <c r="T512" s="41" t="n">
        <f aca="false">S512-$M$2</f>
        <v>27.0070887425453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39" t="n">
        <f aca="false">(B513+C513)/2</f>
        <v>-0.03125</v>
      </c>
      <c r="E513" s="15" t="n">
        <f aca="false">$C$2*(1+IF(E$3&lt;=$O$2,$D513,$D513-($D513-$I$508)*MIN(E$3-$O$2,$Q$2)/$Q$2))</f>
        <v>10230</v>
      </c>
      <c r="F513" s="15" t="n">
        <f aca="false">E513*(1+IF(F$3&lt;=$O$2,$D513,$D513-($D513-$I$508)*MIN(F$3-$O$2,$Q$2)/$Q$2))</f>
        <v>9910.3125</v>
      </c>
      <c r="G513" s="15" t="n">
        <f aca="false">F513*(1+IF(G$3&lt;=$O$2,$D513,$D513-($D513-$I$508)*MIN(G$3-$O$2,$Q$2)/$Q$2))</f>
        <v>9600.615234375</v>
      </c>
      <c r="H513" s="15" t="n">
        <f aca="false">G513*(1+IF(H$3&lt;=$O$2,$D513,$D513-($D513-$I$508)*MIN(H$3-$O$2,$Q$2)/$Q$2))</f>
        <v>9300.59600830078</v>
      </c>
      <c r="I513" s="15" t="n">
        <f aca="false">H513*(1+IF(I$3&lt;=$O$2,$D513,$D513-($D513-$I$508)*MIN(I$3-$O$2,$Q$2)/$Q$2))</f>
        <v>9009.95238304138</v>
      </c>
      <c r="J513" s="15" t="n">
        <f aca="false">I513*(1+IF(J$3&lt;=$O$2,$D513,$D513-($D513-$I$508)*MIN(J$3-$O$2,$Q$2)/$Q$2))</f>
        <v>8835.69990395336</v>
      </c>
      <c r="K513" s="15" t="n">
        <f aca="false">J513*(1+IF(K$3&lt;=$O$2,$D513,$D513-($D513-$I$508)*MIN(K$3-$O$2,$Q$2)/$Q$2))</f>
        <v>8770.05065366699</v>
      </c>
      <c r="L513" s="15" t="n">
        <f aca="false">K513*(1+IF(L$3&lt;=$O$2,$D513,$D513-($D513-$I$508)*MIN(L$3-$O$2,$Q$2)/$Q$2))</f>
        <v>8809.34048059542</v>
      </c>
      <c r="M513" s="15" t="n">
        <f aca="false">L513*(1+IF(M$3&lt;=$O$2,$D513,$D513-($D513-$I$508)*MIN(M$3-$O$2,$Q$2)/$Q$2))</f>
        <v>8953.72557107238</v>
      </c>
      <c r="N513" s="15" t="n">
        <f aca="false">M513*(1+IF(N$3&lt;=$O$2,$D513,$D513-($D513-$I$508)*MIN(N$3-$O$2,$Q$2)/$Q$2))</f>
        <v>9207.11600473372</v>
      </c>
      <c r="O513" s="15" t="n">
        <f aca="false">SUMPRODUCT(E513:N513,1/(1+$F$508)^$E$3:$N$3)*$E$2</f>
        <v>30802.840210803</v>
      </c>
      <c r="P513" s="15" t="n">
        <f aca="false">N513*$E$2*(1+$I$508)/($F$508-$I$508)/(1+$F$508)^$N$3</f>
        <v>39684.9811207507</v>
      </c>
      <c r="Q513" s="15" t="n">
        <f aca="false">O513+P513</f>
        <v>70487.8213315537</v>
      </c>
      <c r="R513" s="15" t="n">
        <f aca="false">Q513-$G$2+$I$2</f>
        <v>51027.8213315537</v>
      </c>
      <c r="S513" s="40" t="n">
        <f aca="false">R513/$K$2</f>
        <v>90.8954939196525</v>
      </c>
      <c r="T513" s="41" t="n">
        <f aca="false">S513-$M$2</f>
        <v>-64.914192750933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39" t="n">
        <f aca="false">(B514+C514)/2</f>
        <v>0.015625</v>
      </c>
      <c r="E514" s="15" t="n">
        <f aca="false">$C$2*(1+IF(E$3&lt;=$O$2,$D514,$D514-($D514-$I$508)*MIN(E$3-$O$2,$Q$2)/$Q$2))</f>
        <v>10725</v>
      </c>
      <c r="F514" s="15" t="n">
        <f aca="false">E514*(1+IF(F$3&lt;=$O$2,$D514,$D514-($D514-$I$508)*MIN(F$3-$O$2,$Q$2)/$Q$2))</f>
        <v>10892.578125</v>
      </c>
      <c r="G514" s="15" t="n">
        <f aca="false">F514*(1+IF(G$3&lt;=$O$2,$D514,$D514-($D514-$I$508)*MIN(G$3-$O$2,$Q$2)/$Q$2))</f>
        <v>11062.7746582031</v>
      </c>
      <c r="H514" s="15" t="n">
        <f aca="false">G514*(1+IF(H$3&lt;=$O$2,$D514,$D514-($D514-$I$508)*MIN(H$3-$O$2,$Q$2)/$Q$2))</f>
        <v>11235.6305122375</v>
      </c>
      <c r="I514" s="15" t="n">
        <f aca="false">H514*(1+IF(I$3&lt;=$O$2,$D514,$D514-($D514-$I$508)*MIN(I$3-$O$2,$Q$2)/$Q$2))</f>
        <v>11411.1872389913</v>
      </c>
      <c r="J514" s="15" t="n">
        <f aca="false">I514*(1+IF(J$3&lt;=$O$2,$D514,$D514-($D514-$I$508)*MIN(J$3-$O$2,$Q$2)/$Q$2))</f>
        <v>11618.4143992513</v>
      </c>
      <c r="K514" s="15" t="n">
        <f aca="false">J514*(1+IF(K$3&lt;=$O$2,$D514,$D514-($D514-$I$508)*MIN(K$3-$O$2,$Q$2)/$Q$2))</f>
        <v>11858.8574852438</v>
      </c>
      <c r="L514" s="15" t="n">
        <f aca="false">K514*(1+IF(L$3&lt;=$O$2,$D514,$D514-($D514-$I$508)*MIN(L$3-$O$2,$Q$2)/$Q$2))</f>
        <v>12134.3387446261</v>
      </c>
      <c r="M514" s="15" t="n">
        <f aca="false">L514*(1+IF(M$3&lt;=$O$2,$D514,$D514-($D514-$I$508)*MIN(M$3-$O$2,$Q$2)/$Q$2))</f>
        <v>12446.9799823814</v>
      </c>
      <c r="N514" s="15" t="n">
        <f aca="false">M514*(1+IF(N$3&lt;=$O$2,$D514,$D514-($D514-$I$508)*MIN(N$3-$O$2,$Q$2)/$Q$2))</f>
        <v>12799.2295158827</v>
      </c>
      <c r="O514" s="15" t="n">
        <f aca="false">SUMPRODUCT(E514:N514,1/(1+$F$508)^$E$3:$N$3)*$E$2</f>
        <v>37793.8601934574</v>
      </c>
      <c r="P514" s="15" t="n">
        <f aca="false">N514*$E$2*(1+$I$508)/($F$508-$I$508)/(1+$F$508)^$N$3</f>
        <v>55167.8920344669</v>
      </c>
      <c r="Q514" s="15" t="n">
        <f aca="false">O514+P514</f>
        <v>92961.7522279242</v>
      </c>
      <c r="R514" s="15" t="n">
        <f aca="false">Q514-$G$2+$I$2</f>
        <v>73501.7522279242</v>
      </c>
      <c r="S514" s="40" t="n">
        <f aca="false">R514/$K$2</f>
        <v>130.928146614518</v>
      </c>
      <c r="T514" s="41" t="n">
        <f aca="false">S514-$M$2</f>
        <v>-24.8815400560675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0.015625</v>
      </c>
      <c r="C515" s="25" t="n">
        <f aca="false">IF(T514&gt;0,D514,C514)</f>
        <v>0.0625</v>
      </c>
      <c r="D515" s="39" t="n">
        <f aca="false">(B515+C515)/2</f>
        <v>0.0390625</v>
      </c>
      <c r="E515" s="15" t="n">
        <f aca="false">$C$2*(1+IF(E$3&lt;=$O$2,$D515,$D515-($D515-$I$508)*MIN(E$3-$O$2,$Q$2)/$Q$2))</f>
        <v>10972.5</v>
      </c>
      <c r="F515" s="15" t="n">
        <f aca="false">E515*(1+IF(F$3&lt;=$O$2,$D515,$D515-($D515-$I$508)*MIN(F$3-$O$2,$Q$2)/$Q$2))</f>
        <v>11401.11328125</v>
      </c>
      <c r="G515" s="15" t="n">
        <f aca="false">F515*(1+IF(G$3&lt;=$O$2,$D515,$D515-($D515-$I$508)*MIN(G$3-$O$2,$Q$2)/$Q$2))</f>
        <v>11846.4692687988</v>
      </c>
      <c r="H515" s="15" t="n">
        <f aca="false">G515*(1+IF(H$3&lt;=$O$2,$D515,$D515-($D515-$I$508)*MIN(H$3-$O$2,$Q$2)/$Q$2))</f>
        <v>12309.2219746113</v>
      </c>
      <c r="I515" s="15" t="n">
        <f aca="false">H515*(1+IF(I$3&lt;=$O$2,$D515,$D515-($D515-$I$508)*MIN(I$3-$O$2,$Q$2)/$Q$2))</f>
        <v>12790.0509579945</v>
      </c>
      <c r="J515" s="15" t="n">
        <f aca="false">I515*(1+IF(J$3&lt;=$O$2,$D515,$D515-($D515-$I$508)*MIN(J$3-$O$2,$Q$2)/$Q$2))</f>
        <v>13262.1317388541</v>
      </c>
      <c r="K515" s="15" t="n">
        <f aca="false">J515*(1+IF(K$3&lt;=$O$2,$D515,$D515-($D515-$I$508)*MIN(K$3-$O$2,$Q$2)/$Q$2))</f>
        <v>13723.0902827673</v>
      </c>
      <c r="L515" s="15" t="n">
        <f aca="false">K515*(1+IF(L$3&lt;=$O$2,$D515,$D515-($D515-$I$508)*MIN(L$3-$O$2,$Q$2)/$Q$2))</f>
        <v>14170.531641437</v>
      </c>
      <c r="M515" s="15" t="n">
        <f aca="false">L515*(1+IF(M$3&lt;=$O$2,$D515,$D515-($D515-$I$508)*MIN(M$3-$O$2,$Q$2)/$Q$2))</f>
        <v>14602.0597562478</v>
      </c>
      <c r="N515" s="15" t="n">
        <f aca="false">M515*(1+IF(N$3&lt;=$O$2,$D515,$D515-($D515-$I$508)*MIN(N$3-$O$2,$Q$2)/$Q$2))</f>
        <v>15015.2980473496</v>
      </c>
      <c r="O515" s="15" t="n">
        <f aca="false">SUMPRODUCT(E515:N515,1/(1+$F$508)^$E$3:$N$3)*$E$2</f>
        <v>41876.8559087993</v>
      </c>
      <c r="P515" s="15" t="n">
        <f aca="false">N515*$E$2*(1+$I$508)/($F$508-$I$508)/(1+$F$508)^$N$3</f>
        <v>64719.7036754126</v>
      </c>
      <c r="Q515" s="15" t="n">
        <f aca="false">O515+P515</f>
        <v>106596.559584212</v>
      </c>
      <c r="R515" s="15" t="n">
        <f aca="false">Q515-$G$2+$I$2</f>
        <v>87136.5595842118</v>
      </c>
      <c r="S515" s="40" t="n">
        <f aca="false">R515/$K$2</f>
        <v>155.21573163792</v>
      </c>
      <c r="T515" s="41" t="n">
        <f aca="false">S515-$M$2</f>
        <v>-0.593955032665662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0.0390625</v>
      </c>
      <c r="C516" s="25" t="n">
        <f aca="false">IF(T515&gt;0,D515,C515)</f>
        <v>0.0625</v>
      </c>
      <c r="D516" s="39" t="n">
        <f aca="false">(B516+C516)/2</f>
        <v>0.05078125</v>
      </c>
      <c r="E516" s="15" t="n">
        <f aca="false">$C$2*(1+IF(E$3&lt;=$O$2,$D516,$D516-($D516-$I$508)*MIN(E$3-$O$2,$Q$2)/$Q$2))</f>
        <v>11096.25</v>
      </c>
      <c r="F516" s="15" t="n">
        <f aca="false">E516*(1+IF(F$3&lt;=$O$2,$D516,$D516-($D516-$I$508)*MIN(F$3-$O$2,$Q$2)/$Q$2))</f>
        <v>11659.7314453125</v>
      </c>
      <c r="G516" s="15" t="n">
        <f aca="false">F516*(1+IF(G$3&lt;=$O$2,$D516,$D516-($D516-$I$508)*MIN(G$3-$O$2,$Q$2)/$Q$2))</f>
        <v>12251.8271827698</v>
      </c>
      <c r="H516" s="15" t="n">
        <f aca="false">G516*(1+IF(H$3&lt;=$O$2,$D516,$D516-($D516-$I$508)*MIN(H$3-$O$2,$Q$2)/$Q$2))</f>
        <v>12873.9902818948</v>
      </c>
      <c r="I516" s="15" t="n">
        <f aca="false">H516*(1+IF(I$3&lt;=$O$2,$D516,$D516-($D516-$I$508)*MIN(I$3-$O$2,$Q$2)/$Q$2))</f>
        <v>13527.7476008973</v>
      </c>
      <c r="J516" s="15" t="n">
        <f aca="false">I516*(1+IF(J$3&lt;=$O$2,$D516,$D516-($D516-$I$508)*MIN(J$3-$O$2,$Q$2)/$Q$2))</f>
        <v>14153.8793986048</v>
      </c>
      <c r="K516" s="15" t="n">
        <f aca="false">J516*(1+IF(K$3&lt;=$O$2,$D516,$D516-($D516-$I$508)*MIN(K$3-$O$2,$Q$2)/$Q$2))</f>
        <v>14745.3523263233</v>
      </c>
      <c r="L516" s="15" t="n">
        <f aca="false">K516*(1+IF(L$3&lt;=$O$2,$D516,$D516-($D516-$I$508)*MIN(L$3-$O$2,$Q$2)/$Q$2))</f>
        <v>15295.2433779527</v>
      </c>
      <c r="M516" s="15" t="n">
        <f aca="false">L516*(1+IF(M$3&lt;=$O$2,$D516,$D516-($D516-$I$508)*MIN(M$3-$O$2,$Q$2)/$Q$2))</f>
        <v>15796.8700035868</v>
      </c>
      <c r="N516" s="15" t="n">
        <f aca="false">M516*(1+IF(N$3&lt;=$O$2,$D516,$D516-($D516-$I$508)*MIN(N$3-$O$2,$Q$2)/$Q$2))</f>
        <v>16243.9214246883</v>
      </c>
      <c r="O516" s="15" t="n">
        <f aca="false">SUMPRODUCT(E516:N516,1/(1+$F$508)^$E$3:$N$3)*$E$2</f>
        <v>44082.8108143788</v>
      </c>
      <c r="P516" s="15" t="n">
        <f aca="false">N516*$E$2*(1+$I$508)/($F$508-$I$508)/(1+$F$508)^$N$3</f>
        <v>70015.3788367912</v>
      </c>
      <c r="Q516" s="15" t="n">
        <f aca="false">O516+P516</f>
        <v>114098.18965117</v>
      </c>
      <c r="R516" s="15" t="n">
        <f aca="false">Q516-$G$2+$I$2</f>
        <v>94638.18965117</v>
      </c>
      <c r="S516" s="40" t="n">
        <f aca="false">R516/$K$2</f>
        <v>168.578331732254</v>
      </c>
      <c r="T516" s="41" t="n">
        <f aca="false">S516-$M$2</f>
        <v>12.7686450616684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0.0390625</v>
      </c>
      <c r="C517" s="25" t="n">
        <f aca="false">IF(T516&gt;0,D516,C516)</f>
        <v>0.05078125</v>
      </c>
      <c r="D517" s="39" t="n">
        <f aca="false">(B517+C517)/2</f>
        <v>0.044921875</v>
      </c>
      <c r="E517" s="15" t="n">
        <f aca="false">$C$2*(1+IF(E$3&lt;=$O$2,$D517,$D517-($D517-$I$508)*MIN(E$3-$O$2,$Q$2)/$Q$2))</f>
        <v>11034.375</v>
      </c>
      <c r="F517" s="15" t="n">
        <f aca="false">E517*(1+IF(F$3&lt;=$O$2,$D517,$D517-($D517-$I$508)*MIN(F$3-$O$2,$Q$2)/$Q$2))</f>
        <v>11530.0598144531</v>
      </c>
      <c r="G517" s="15" t="n">
        <f aca="false">F517*(1+IF(G$3&lt;=$O$2,$D517,$D517-($D517-$I$508)*MIN(G$3-$O$2,$Q$2)/$Q$2))</f>
        <v>12048.0117201805</v>
      </c>
      <c r="H517" s="15" t="n">
        <f aca="false">G517*(1+IF(H$3&lt;=$O$2,$D517,$D517-($D517-$I$508)*MIN(H$3-$O$2,$Q$2)/$Q$2))</f>
        <v>12589.230996673</v>
      </c>
      <c r="I517" s="15" t="n">
        <f aca="false">H517*(1+IF(I$3&lt;=$O$2,$D517,$D517-($D517-$I$508)*MIN(I$3-$O$2,$Q$2)/$Q$2))</f>
        <v>13154.7628578517</v>
      </c>
      <c r="J517" s="15" t="n">
        <f aca="false">I517*(1+IF(J$3&lt;=$O$2,$D517,$D517-($D517-$I$508)*MIN(J$3-$O$2,$Q$2)/$Q$2))</f>
        <v>13701.9681058311</v>
      </c>
      <c r="K517" s="15" t="n">
        <f aca="false">J517*(1+IF(K$3&lt;=$O$2,$D517,$D517-($D517-$I$508)*MIN(K$3-$O$2,$Q$2)/$Q$2))</f>
        <v>14226.3852438916</v>
      </c>
      <c r="L517" s="15" t="n">
        <f aca="false">K517*(1+IF(L$3&lt;=$O$2,$D517,$D517-($D517-$I$508)*MIN(L$3-$O$2,$Q$2)/$Q$2))</f>
        <v>14723.5796251841</v>
      </c>
      <c r="M517" s="15" t="n">
        <f aca="false">L517*(1+IF(M$3&lt;=$O$2,$D517,$D517-($D517-$I$508)*MIN(M$3-$O$2,$Q$2)/$Q$2))</f>
        <v>15189.2036285933</v>
      </c>
      <c r="N517" s="15" t="n">
        <f aca="false">M517*(1+IF(N$3&lt;=$O$2,$D517,$D517-($D517-$I$508)*MIN(N$3-$O$2,$Q$2)/$Q$2))</f>
        <v>15619.0580912825</v>
      </c>
      <c r="O517" s="15" t="n">
        <f aca="false">SUMPRODUCT(E517:N517,1/(1+$F$508)^$E$3:$N$3)*$E$2</f>
        <v>42965.5682864221</v>
      </c>
      <c r="P517" s="15" t="n">
        <f aca="false">N517*$E$2*(1+$I$508)/($F$508-$I$508)/(1+$F$508)^$N$3</f>
        <v>67322.0610186479</v>
      </c>
      <c r="Q517" s="15" t="n">
        <f aca="false">O517+P517</f>
        <v>110287.62930507</v>
      </c>
      <c r="R517" s="15" t="n">
        <f aca="false">Q517-$G$2+$I$2</f>
        <v>90827.6293050699</v>
      </c>
      <c r="S517" s="40" t="n">
        <f aca="false">R517/$K$2</f>
        <v>161.790607786156</v>
      </c>
      <c r="T517" s="41" t="n">
        <f aca="false">S517-$M$2</f>
        <v>5.98092111557017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0.0390625</v>
      </c>
      <c r="C518" s="25" t="n">
        <f aca="false">IF(T517&gt;0,D517,C517)</f>
        <v>0.044921875</v>
      </c>
      <c r="D518" s="39" t="n">
        <f aca="false">(B518+C518)/2</f>
        <v>0.0419921875</v>
      </c>
      <c r="E518" s="15" t="n">
        <f aca="false">$C$2*(1+IF(E$3&lt;=$O$2,$D518,$D518-($D518-$I$508)*MIN(E$3-$O$2,$Q$2)/$Q$2))</f>
        <v>11003.4375</v>
      </c>
      <c r="F518" s="15" t="n">
        <f aca="false">E518*(1+IF(F$3&lt;=$O$2,$D518,$D518-($D518-$I$508)*MIN(F$3-$O$2,$Q$2)/$Q$2))</f>
        <v>11465.4959106445</v>
      </c>
      <c r="G518" s="15" t="n">
        <f aca="false">F518*(1+IF(G$3&lt;=$O$2,$D518,$D518-($D518-$I$508)*MIN(G$3-$O$2,$Q$2)/$Q$2))</f>
        <v>11946.9571647048</v>
      </c>
      <c r="H518" s="15" t="n">
        <f aca="false">G518*(1+IF(H$3&lt;=$O$2,$D518,$D518-($D518-$I$508)*MIN(H$3-$O$2,$Q$2)/$Q$2))</f>
        <v>12448.6360300196</v>
      </c>
      <c r="I518" s="15" t="n">
        <f aca="false">H518*(1+IF(I$3&lt;=$O$2,$D518,$D518-($D518-$I$508)*MIN(I$3-$O$2,$Q$2)/$Q$2))</f>
        <v>12971.3814883114</v>
      </c>
      <c r="J518" s="15" t="n">
        <f aca="false">I518*(1+IF(J$3&lt;=$O$2,$D518,$D518-($D518-$I$508)*MIN(J$3-$O$2,$Q$2)/$Q$2))</f>
        <v>13480.5568544082</v>
      </c>
      <c r="K518" s="15" t="n">
        <f aca="false">J518*(1+IF(K$3&lt;=$O$2,$D518,$D518-($D518-$I$508)*MIN(K$3-$O$2,$Q$2)/$Q$2))</f>
        <v>13972.8036006209</v>
      </c>
      <c r="L518" s="15" t="n">
        <f aca="false">K518*(1+IF(L$3&lt;=$O$2,$D518,$D518-($D518-$I$508)*MIN(L$3-$O$2,$Q$2)/$Q$2))</f>
        <v>14444.7612412386</v>
      </c>
      <c r="M518" s="15" t="n">
        <f aca="false">L518*(1+IF(M$3&lt;=$O$2,$D518,$D518-($D518-$I$508)*MIN(M$3-$O$2,$Q$2)/$Q$2))</f>
        <v>14893.1040602273</v>
      </c>
      <c r="N518" s="15" t="n">
        <f aca="false">M518*(1+IF(N$3&lt;=$O$2,$D518,$D518-($D518-$I$508)*MIN(N$3-$O$2,$Q$2)/$Q$2))</f>
        <v>15314.5789051317</v>
      </c>
      <c r="O518" s="15" t="n">
        <f aca="false">SUMPRODUCT(E518:N518,1/(1+$F$508)^$E$3:$N$3)*$E$2</f>
        <v>42417.6888543808</v>
      </c>
      <c r="P518" s="15" t="n">
        <f aca="false">N518*$E$2*(1+$I$508)/($F$508-$I$508)/(1+$F$508)^$N$3</f>
        <v>66009.6792969619</v>
      </c>
      <c r="Q518" s="15" t="n">
        <f aca="false">O518+P518</f>
        <v>108427.368151343</v>
      </c>
      <c r="R518" s="15" t="n">
        <f aca="false">Q518-$G$2+$I$2</f>
        <v>88967.3681513426</v>
      </c>
      <c r="S518" s="40" t="n">
        <f aca="false">R518/$K$2</f>
        <v>158.476937870897</v>
      </c>
      <c r="T518" s="41" t="n">
        <f aca="false">S518-$M$2</f>
        <v>2.66725120031109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0.0390625</v>
      </c>
      <c r="C519" s="25" t="n">
        <f aca="false">IF(T518&gt;0,D518,C518)</f>
        <v>0.0419921875</v>
      </c>
      <c r="D519" s="39" t="n">
        <f aca="false">(B519+C519)/2</f>
        <v>0.04052734375</v>
      </c>
      <c r="E519" s="15" t="n">
        <f aca="false">$C$2*(1+IF(E$3&lt;=$O$2,$D519,$D519-($D519-$I$508)*MIN(E$3-$O$2,$Q$2)/$Q$2))</f>
        <v>10987.96875</v>
      </c>
      <c r="F519" s="15" t="n">
        <f aca="false">E519*(1+IF(F$3&lt;=$O$2,$D519,$D519-($D519-$I$508)*MIN(F$3-$O$2,$Q$2)/$Q$2))</f>
        <v>11433.2819366455</v>
      </c>
      <c r="G519" s="15" t="n">
        <f aca="false">F519*(1+IF(G$3&lt;=$O$2,$D519,$D519-($D519-$I$508)*MIN(G$3-$O$2,$Q$2)/$Q$2))</f>
        <v>11896.6424838826</v>
      </c>
      <c r="H519" s="15" t="n">
        <f aca="false">G519*(1+IF(H$3&lt;=$O$2,$D519,$D519-($D519-$I$508)*MIN(H$3-$O$2,$Q$2)/$Q$2))</f>
        <v>12378.7818032978</v>
      </c>
      <c r="I519" s="15" t="n">
        <f aca="false">H519*(1+IF(I$3&lt;=$O$2,$D519,$D519-($D519-$I$508)*MIN(I$3-$O$2,$Q$2)/$Q$2))</f>
        <v>12880.4609486463</v>
      </c>
      <c r="J519" s="15" t="n">
        <f aca="false">I519*(1+IF(J$3&lt;=$O$2,$D519,$D519-($D519-$I$508)*MIN(J$3-$O$2,$Q$2)/$Q$2))</f>
        <v>13370.973052435</v>
      </c>
      <c r="K519" s="15" t="n">
        <f aca="false">J519*(1+IF(K$3&lt;=$O$2,$D519,$D519-($D519-$I$508)*MIN(K$3-$O$2,$Q$2)/$Q$2))</f>
        <v>13847.4664800894</v>
      </c>
      <c r="L519" s="15" t="n">
        <f aca="false">K519*(1+IF(L$3&lt;=$O$2,$D519,$D519-($D519-$I$508)*MIN(L$3-$O$2,$Q$2)/$Q$2))</f>
        <v>14307.0768745634</v>
      </c>
      <c r="M519" s="15" t="n">
        <f aca="false">L519*(1+IF(M$3&lt;=$O$2,$D519,$D519-($D519-$I$508)*MIN(M$3-$O$2,$Q$2)/$Q$2))</f>
        <v>14746.9546595141</v>
      </c>
      <c r="N519" s="15" t="n">
        <f aca="false">M519*(1+IF(N$3&lt;=$O$2,$D519,$D519-($D519-$I$508)*MIN(N$3-$O$2,$Q$2)/$Q$2))</f>
        <v>15164.2934763783</v>
      </c>
      <c r="O519" s="15" t="n">
        <f aca="false">SUMPRODUCT(E519:N519,1/(1+$F$508)^$E$3:$N$3)*$E$2</f>
        <v>42146.3968995736</v>
      </c>
      <c r="P519" s="15" t="n">
        <f aca="false">N519*$E$2*(1+$I$508)/($F$508-$I$508)/(1+$F$508)^$N$3</f>
        <v>65361.9113748749</v>
      </c>
      <c r="Q519" s="15" t="n">
        <f aca="false">O519+P519</f>
        <v>107508.308274448</v>
      </c>
      <c r="R519" s="15" t="n">
        <f aca="false">Q519-$G$2+$I$2</f>
        <v>88048.3082744484</v>
      </c>
      <c r="S519" s="40" t="n">
        <f aca="false">R519/$K$2</f>
        <v>156.839823072104</v>
      </c>
      <c r="T519" s="41" t="n">
        <f aca="false">S519-$M$2</f>
        <v>1.03013640151843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0.0390625</v>
      </c>
      <c r="C520" s="25" t="n">
        <f aca="false">IF(T519&gt;0,D519,C519)</f>
        <v>0.04052734375</v>
      </c>
      <c r="D520" s="39" t="n">
        <f aca="false">(B520+C520)/2</f>
        <v>0.039794921875</v>
      </c>
      <c r="E520" s="15" t="n">
        <f aca="false">$C$2*(1+IF(E$3&lt;=$O$2,$D520,$D520-($D520-$I$508)*MIN(E$3-$O$2,$Q$2)/$Q$2))</f>
        <v>10980.234375</v>
      </c>
      <c r="F520" s="15" t="n">
        <f aca="false">E520*(1+IF(F$3&lt;=$O$2,$D520,$D520-($D520-$I$508)*MIN(F$3-$O$2,$Q$2)/$Q$2))</f>
        <v>11417.1919441223</v>
      </c>
      <c r="G520" s="15" t="n">
        <f aca="false">F520*(1+IF(G$3&lt;=$O$2,$D520,$D520-($D520-$I$508)*MIN(G$3-$O$2,$Q$2)/$Q$2))</f>
        <v>11871.5382055705</v>
      </c>
      <c r="H520" s="15" t="n">
        <f aca="false">G520*(1+IF(H$3&lt;=$O$2,$D520,$D520-($D520-$I$508)*MIN(H$3-$O$2,$Q$2)/$Q$2))</f>
        <v>12343.9651409973</v>
      </c>
      <c r="I520" s="15" t="n">
        <f aca="false">H520*(1+IF(I$3&lt;=$O$2,$D520,$D520-($D520-$I$508)*MIN(I$3-$O$2,$Q$2)/$Q$2))</f>
        <v>12835.192269411</v>
      </c>
      <c r="J520" s="15" t="n">
        <f aca="false">I520*(1+IF(J$3&lt;=$O$2,$D520,$D520-($D520-$I$508)*MIN(J$3-$O$2,$Q$2)/$Q$2))</f>
        <v>13316.4598365453</v>
      </c>
      <c r="K520" s="15" t="n">
        <f aca="false">J520*(1+IF(K$3&lt;=$O$2,$D520,$D520-($D520-$I$508)*MIN(K$3-$O$2,$Q$2)/$Q$2))</f>
        <v>13785.1586492032</v>
      </c>
      <c r="L520" s="15" t="n">
        <f aca="false">K520*(1+IF(L$3&lt;=$O$2,$D520,$D520-($D520-$I$508)*MIN(L$3-$O$2,$Q$2)/$Q$2))</f>
        <v>14238.6623676584</v>
      </c>
      <c r="M520" s="15" t="n">
        <f aca="false">L520*(1+IF(M$3&lt;=$O$2,$D520,$D520-($D520-$I$508)*MIN(M$3-$O$2,$Q$2)/$Q$2))</f>
        <v>14674.3509749673</v>
      </c>
      <c r="N520" s="15" t="n">
        <f aca="false">M520*(1+IF(N$3&lt;=$O$2,$D520,$D520-($D520-$I$508)*MIN(N$3-$O$2,$Q$2)/$Q$2))</f>
        <v>15089.6351075589</v>
      </c>
      <c r="O520" s="15" t="n">
        <f aca="false">SUMPRODUCT(E520:N520,1/(1+$F$508)^$E$3:$N$3)*$E$2</f>
        <v>42011.4081967135</v>
      </c>
      <c r="P520" s="15" t="n">
        <f aca="false">N520*$E$2*(1+$I$508)/($F$508-$I$508)/(1+$F$508)^$N$3</f>
        <v>65040.1150647618</v>
      </c>
      <c r="Q520" s="15" t="n">
        <f aca="false">O520+P520</f>
        <v>107051.523261475</v>
      </c>
      <c r="R520" s="15" t="n">
        <f aca="false">Q520-$G$2+$I$2</f>
        <v>87591.5232614753</v>
      </c>
      <c r="S520" s="40" t="n">
        <f aca="false">R520/$K$2</f>
        <v>156.026155188862</v>
      </c>
      <c r="T520" s="41" t="n">
        <f aca="false">S520-$M$2</f>
        <v>0.216468518276628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0.0390625</v>
      </c>
      <c r="C521" s="25" t="n">
        <f aca="false">IF(T520&gt;0,D520,C520)</f>
        <v>0.039794921875</v>
      </c>
      <c r="D521" s="39" t="n">
        <f aca="false">(B521+C521)/2</f>
        <v>0.0394287109375</v>
      </c>
      <c r="E521" s="15" t="n">
        <f aca="false">$C$2*(1+IF(E$3&lt;=$O$2,$D521,$D521-($D521-$I$508)*MIN(E$3-$O$2,$Q$2)/$Q$2))</f>
        <v>10976.3671875</v>
      </c>
      <c r="F521" s="15" t="n">
        <f aca="false">E521*(1+IF(F$3&lt;=$O$2,$D521,$D521-($D521-$I$508)*MIN(F$3-$O$2,$Q$2)/$Q$2))</f>
        <v>11409.1511964798</v>
      </c>
      <c r="G521" s="15" t="n">
        <f aca="false">F521*(1+IF(G$3&lt;=$O$2,$D521,$D521-($D521-$I$508)*MIN(G$3-$O$2,$Q$2)/$Q$2))</f>
        <v>11858.999321048</v>
      </c>
      <c r="H521" s="15" t="n">
        <f aca="false">G521*(1+IF(H$3&lt;=$O$2,$D521,$D521-($D521-$I$508)*MIN(H$3-$O$2,$Q$2)/$Q$2))</f>
        <v>12326.5843772856</v>
      </c>
      <c r="I521" s="15" t="n">
        <f aca="false">H521*(1+IF(I$3&lt;=$O$2,$D521,$D521-($D521-$I$508)*MIN(I$3-$O$2,$Q$2)/$Q$2))</f>
        <v>12812.6057095443</v>
      </c>
      <c r="J521" s="15" t="n">
        <f aca="false">I521*(1+IF(J$3&lt;=$O$2,$D521,$D521-($D521-$I$508)*MIN(J$3-$O$2,$Q$2)/$Q$2))</f>
        <v>13289.2726793626</v>
      </c>
      <c r="K521" s="15" t="n">
        <f aca="false">J521*(1+IF(K$3&lt;=$O$2,$D521,$D521-($D521-$I$508)*MIN(K$3-$O$2,$Q$2)/$Q$2))</f>
        <v>13754.0945807195</v>
      </c>
      <c r="L521" s="15" t="n">
        <f aca="false">K521*(1+IF(L$3&lt;=$O$2,$D521,$D521-($D521-$I$508)*MIN(L$3-$O$2,$Q$2)/$Q$2))</f>
        <v>14204.5615944722</v>
      </c>
      <c r="M521" s="15" t="n">
        <f aca="false">L521*(1+IF(M$3&lt;=$O$2,$D521,$D521-($D521-$I$508)*MIN(M$3-$O$2,$Q$2)/$Q$2))</f>
        <v>14638.1663795915</v>
      </c>
      <c r="N521" s="15" t="n">
        <f aca="false">M521*(1+IF(N$3&lt;=$O$2,$D521,$D521-($D521-$I$508)*MIN(N$3-$O$2,$Q$2)/$Q$2))</f>
        <v>15052.426488134</v>
      </c>
      <c r="O521" s="15" t="n">
        <f aca="false">SUMPRODUCT(E521:N521,1/(1+$F$508)^$E$3:$N$3)*$E$2</f>
        <v>41944.0775835759</v>
      </c>
      <c r="P521" s="15" t="n">
        <f aca="false">N521*$E$2*(1+$I$508)/($F$508-$I$508)/(1+$F$508)^$N$3</f>
        <v>64879.7365750536</v>
      </c>
      <c r="Q521" s="15" t="n">
        <f aca="false">O521+P521</f>
        <v>106823.81415863</v>
      </c>
      <c r="R521" s="15" t="n">
        <f aca="false">Q521-$G$2+$I$2</f>
        <v>87363.8141586296</v>
      </c>
      <c r="S521" s="40" t="n">
        <f aca="false">R521/$K$2</f>
        <v>155.620538589269</v>
      </c>
      <c r="T521" s="41" t="n">
        <f aca="false">S521-$M$2</f>
        <v>-0.189148081316802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0.0394287109375</v>
      </c>
      <c r="C522" s="25" t="n">
        <f aca="false">IF(T521&gt;0,D521,C521)</f>
        <v>0.039794921875</v>
      </c>
      <c r="D522" s="39" t="n">
        <f aca="false">(B522+C522)/2</f>
        <v>0.03961181640625</v>
      </c>
      <c r="E522" s="15" t="n">
        <f aca="false">$C$2*(1+IF(E$3&lt;=$O$2,$D522,$D522-($D522-$I$508)*MIN(E$3-$O$2,$Q$2)/$Q$2))</f>
        <v>10978.30078125</v>
      </c>
      <c r="F522" s="15" t="n">
        <f aca="false">E522*(1+IF(F$3&lt;=$O$2,$D522,$D522-($D522-$I$508)*MIN(F$3-$O$2,$Q$2)/$Q$2))</f>
        <v>11413.1712162495</v>
      </c>
      <c r="G522" s="15" t="n">
        <f aca="false">F522*(1+IF(G$3&lt;=$O$2,$D522,$D522-($D522-$I$508)*MIN(G$3-$O$2,$Q$2)/$Q$2))</f>
        <v>11865.2676590806</v>
      </c>
      <c r="H522" s="15" t="n">
        <f aca="false">G522*(1+IF(H$3&lt;=$O$2,$D522,$D522-($D522-$I$508)*MIN(H$3-$O$2,$Q$2)/$Q$2))</f>
        <v>12335.2724632032</v>
      </c>
      <c r="I522" s="15" t="n">
        <f aca="false">H522*(1+IF(I$3&lt;=$O$2,$D522,$D522-($D522-$I$508)*MIN(I$3-$O$2,$Q$2)/$Q$2))</f>
        <v>12823.8950113366</v>
      </c>
      <c r="J522" s="15" t="n">
        <f aca="false">I522*(1+IF(J$3&lt;=$O$2,$D522,$D522-($D522-$I$508)*MIN(J$3-$O$2,$Q$2)/$Q$2))</f>
        <v>13302.8604769425</v>
      </c>
      <c r="K522" s="15" t="n">
        <f aca="false">J522*(1+IF(K$3&lt;=$O$2,$D522,$D522-($D522-$I$508)*MIN(K$3-$O$2,$Q$2)/$Q$2))</f>
        <v>13769.6191376758</v>
      </c>
      <c r="L522" s="15" t="n">
        <f aca="false">K522*(1+IF(L$3&lt;=$O$2,$D522,$D522-($D522-$I$508)*MIN(L$3-$O$2,$Q$2)/$Q$2))</f>
        <v>14221.6031207398</v>
      </c>
      <c r="M522" s="15" t="n">
        <f aca="false">L522*(1+IF(M$3&lt;=$O$2,$D522,$D522-($D522-$I$508)*MIN(M$3-$O$2,$Q$2)/$Q$2))</f>
        <v>14656.2489217576</v>
      </c>
      <c r="N522" s="15" t="n">
        <f aca="false">M522*(1+IF(N$3&lt;=$O$2,$D522,$D522-($D522-$I$508)*MIN(N$3-$O$2,$Q$2)/$Q$2))</f>
        <v>15071.0207662433</v>
      </c>
      <c r="O522" s="15" t="n">
        <f aca="false">SUMPRODUCT(E522:N522,1/(1+$F$508)^$E$3:$N$3)*$E$2</f>
        <v>41977.7292625221</v>
      </c>
      <c r="P522" s="15" t="n">
        <f aca="false">N522*$E$2*(1+$I$508)/($F$508-$I$508)/(1+$F$508)^$N$3</f>
        <v>64959.8825811803</v>
      </c>
      <c r="Q522" s="15" t="n">
        <f aca="false">O522+P522</f>
        <v>106937.611843702</v>
      </c>
      <c r="R522" s="15" t="n">
        <f aca="false">Q522-$G$2+$I$2</f>
        <v>87477.6118437025</v>
      </c>
      <c r="S522" s="40" t="n">
        <f aca="false">R522/$K$2</f>
        <v>155.823245593442</v>
      </c>
      <c r="T522" s="41" t="n">
        <f aca="false">S522-$M$2</f>
        <v>0.0135589228566175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0.0394287109375</v>
      </c>
      <c r="C523" s="25" t="n">
        <f aca="false">IF(T522&gt;0,D522,C522)</f>
        <v>0.03961181640625</v>
      </c>
      <c r="D523" s="39" t="n">
        <f aca="false">(B523+C523)/2</f>
        <v>0.039520263671875</v>
      </c>
      <c r="E523" s="15" t="n">
        <f aca="false">$C$2*(1+IF(E$3&lt;=$O$2,$D523,$D523-($D523-$I$508)*MIN(E$3-$O$2,$Q$2)/$Q$2))</f>
        <v>10977.333984375</v>
      </c>
      <c r="F523" s="15" t="n">
        <f aca="false">E523*(1+IF(F$3&lt;=$O$2,$D523,$D523-($D523-$I$508)*MIN(F$3-$O$2,$Q$2)/$Q$2))</f>
        <v>11411.1611178517</v>
      </c>
      <c r="G523" s="15" t="n">
        <f aca="false">F523*(1+IF(G$3&lt;=$O$2,$D523,$D523-($D523-$I$508)*MIN(G$3-$O$2,$Q$2)/$Q$2))</f>
        <v>11862.1332140315</v>
      </c>
      <c r="H523" s="15" t="n">
        <f aca="false">G523*(1+IF(H$3&lt;=$O$2,$D523,$D523-($D523-$I$508)*MIN(H$3-$O$2,$Q$2)/$Q$2))</f>
        <v>12330.9278463609</v>
      </c>
      <c r="I523" s="15" t="n">
        <f aca="false">H523*(1+IF(I$3&lt;=$O$2,$D523,$D523-($D523-$I$508)*MIN(I$3-$O$2,$Q$2)/$Q$2))</f>
        <v>12818.249366168</v>
      </c>
      <c r="J523" s="15" t="n">
        <f aca="false">I523*(1+IF(J$3&lt;=$O$2,$D523,$D523-($D523-$I$508)*MIN(J$3-$O$2,$Q$2)/$Q$2))</f>
        <v>13296.0651333907</v>
      </c>
      <c r="K523" s="15" t="n">
        <f aca="false">J523*(1+IF(K$3&lt;=$O$2,$D523,$D523-($D523-$I$508)*MIN(K$3-$O$2,$Q$2)/$Q$2))</f>
        <v>13761.8549906227</v>
      </c>
      <c r="L523" s="15" t="n">
        <f aca="false">K523*(1+IF(L$3&lt;=$O$2,$D523,$D523-($D523-$I$508)*MIN(L$3-$O$2,$Q$2)/$Q$2))</f>
        <v>14213.0801435009</v>
      </c>
      <c r="M523" s="15" t="n">
        <f aca="false">L523*(1+IF(M$3&lt;=$O$2,$D523,$D523-($D523-$I$508)*MIN(M$3-$O$2,$Q$2)/$Q$2))</f>
        <v>14647.2052129219</v>
      </c>
      <c r="N523" s="15" t="n">
        <f aca="false">M523*(1+IF(N$3&lt;=$O$2,$D523,$D523-($D523-$I$508)*MIN(N$3-$O$2,$Q$2)/$Q$2))</f>
        <v>15061.7211204476</v>
      </c>
      <c r="O523" s="15" t="n">
        <f aca="false">SUMPRODUCT(E523:N523,1/(1+$F$508)^$E$3:$N$3)*$E$2</f>
        <v>41960.9000174349</v>
      </c>
      <c r="P523" s="15" t="n">
        <f aca="false">N523*$E$2*(1+$I$508)/($F$508-$I$508)/(1+$F$508)^$N$3</f>
        <v>64919.7987734337</v>
      </c>
      <c r="Q523" s="15" t="n">
        <f aca="false">O523+P523</f>
        <v>106880.698790869</v>
      </c>
      <c r="R523" s="15" t="n">
        <f aca="false">Q523-$G$2+$I$2</f>
        <v>87420.6987908685</v>
      </c>
      <c r="S523" s="40" t="n">
        <f aca="false">R523/$K$2</f>
        <v>155.721866778654</v>
      </c>
      <c r="T523" s="41" t="n">
        <f aca="false">S523-$M$2</f>
        <v>-0.0878198919315878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0.039520263671875</v>
      </c>
      <c r="C524" s="25" t="n">
        <f aca="false">IF(T523&gt;0,D523,C523)</f>
        <v>0.03961181640625</v>
      </c>
      <c r="D524" s="39" t="n">
        <f aca="false">(B524+C524)/2</f>
        <v>0.0395660400390625</v>
      </c>
      <c r="E524" s="15" t="n">
        <f aca="false">$C$2*(1+IF(E$3&lt;=$O$2,$D524,$D524-($D524-$I$508)*MIN(E$3-$O$2,$Q$2)/$Q$2))</f>
        <v>10977.8173828125</v>
      </c>
      <c r="F524" s="15" t="n">
        <f aca="false">E524*(1+IF(F$3&lt;=$O$2,$D524,$D524-($D524-$I$508)*MIN(F$3-$O$2,$Q$2)/$Q$2))</f>
        <v>11412.1661449224</v>
      </c>
      <c r="G524" s="15" t="n">
        <f aca="false">F524*(1+IF(G$3&lt;=$O$2,$D524,$D524-($D524-$I$508)*MIN(G$3-$O$2,$Q$2)/$Q$2))</f>
        <v>11863.7003675448</v>
      </c>
      <c r="H524" s="15" t="n">
        <f aca="false">G524*(1+IF(H$3&lt;=$O$2,$D524,$D524-($D524-$I$508)*MIN(H$3-$O$2,$Q$2)/$Q$2))</f>
        <v>12333.1000112985</v>
      </c>
      <c r="I524" s="15" t="n">
        <f aca="false">H524*(1+IF(I$3&lt;=$O$2,$D524,$D524-($D524-$I$508)*MIN(I$3-$O$2,$Q$2)/$Q$2))</f>
        <v>12821.0719401513</v>
      </c>
      <c r="J524" s="15" t="n">
        <f aca="false">I524*(1+IF(J$3&lt;=$O$2,$D524,$D524-($D524-$I$508)*MIN(J$3-$O$2,$Q$2)/$Q$2))</f>
        <v>13299.4624439148</v>
      </c>
      <c r="K524" s="15" t="n">
        <f aca="false">J524*(1+IF(K$3&lt;=$O$2,$D524,$D524-($D524-$I$508)*MIN(K$3-$O$2,$Q$2)/$Q$2))</f>
        <v>13765.7365969122</v>
      </c>
      <c r="L524" s="15" t="n">
        <f aca="false">K524*(1+IF(L$3&lt;=$O$2,$D524,$D524-($D524-$I$508)*MIN(L$3-$O$2,$Q$2)/$Q$2))</f>
        <v>14217.3410784721</v>
      </c>
      <c r="M524" s="15" t="n">
        <f aca="false">L524*(1+IF(M$3&lt;=$O$2,$D524,$D524-($D524-$I$508)*MIN(M$3-$O$2,$Q$2)/$Q$2))</f>
        <v>14651.7264577606</v>
      </c>
      <c r="N524" s="15" t="n">
        <f aca="false">M524*(1+IF(N$3&lt;=$O$2,$D524,$D524-($D524-$I$508)*MIN(N$3-$O$2,$Q$2)/$Q$2))</f>
        <v>15066.3703165153</v>
      </c>
      <c r="O524" s="15" t="n">
        <f aca="false">SUMPRODUCT(E524:N524,1/(1+$F$508)^$E$3:$N$3)*$E$2</f>
        <v>41969.3137884136</v>
      </c>
      <c r="P524" s="15" t="n">
        <f aca="false">N524*$E$2*(1+$I$508)/($F$508-$I$508)/(1+$F$508)^$N$3</f>
        <v>64939.8379755115</v>
      </c>
      <c r="Q524" s="15" t="n">
        <f aca="false">O524+P524</f>
        <v>106909.151763925</v>
      </c>
      <c r="R524" s="15" t="n">
        <f aca="false">Q524-$G$2+$I$2</f>
        <v>87449.1517639251</v>
      </c>
      <c r="S524" s="40" t="n">
        <f aca="false">R524/$K$2</f>
        <v>155.772549856472</v>
      </c>
      <c r="T524" s="41" t="n">
        <f aca="false">S524-$M$2</f>
        <v>-0.0371368141130688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0.0395660400390625</v>
      </c>
      <c r="C525" s="25" t="n">
        <f aca="false">IF(T524&gt;0,D524,C524)</f>
        <v>0.03961181640625</v>
      </c>
      <c r="D525" s="39" t="n">
        <f aca="false">(B525+C525)/2</f>
        <v>0.0395889282226563</v>
      </c>
      <c r="E525" s="15" t="n">
        <f aca="false">$C$2*(1+IF(E$3&lt;=$O$2,$D525,$D525-($D525-$I$508)*MIN(E$3-$O$2,$Q$2)/$Q$2))</f>
        <v>10978.0590820313</v>
      </c>
      <c r="F525" s="15" t="n">
        <f aca="false">E525*(1+IF(F$3&lt;=$O$2,$D525,$D525-($D525-$I$508)*MIN(F$3-$O$2,$Q$2)/$Q$2))</f>
        <v>11412.6686750539</v>
      </c>
      <c r="G525" s="15" t="n">
        <f aca="false">F525*(1+IF(G$3&lt;=$O$2,$D525,$D525-($D525-$I$508)*MIN(G$3-$O$2,$Q$2)/$Q$2))</f>
        <v>11864.4839960595</v>
      </c>
      <c r="H525" s="15" t="n">
        <f aca="false">G525*(1+IF(H$3&lt;=$O$2,$D525,$D525-($D525-$I$508)*MIN(H$3-$O$2,$Q$2)/$Q$2))</f>
        <v>12334.1862013784</v>
      </c>
      <c r="I525" s="15" t="n">
        <f aca="false">H525*(1+IF(I$3&lt;=$O$2,$D525,$D525-($D525-$I$508)*MIN(I$3-$O$2,$Q$2)/$Q$2))</f>
        <v>12822.4834135896</v>
      </c>
      <c r="J525" s="15" t="n">
        <f aca="false">I525*(1+IF(J$3&lt;=$O$2,$D525,$D525-($D525-$I$508)*MIN(J$3-$O$2,$Q$2)/$Q$2))</f>
        <v>13301.161370108</v>
      </c>
      <c r="K525" s="15" t="n">
        <f aca="false">J525*(1+IF(K$3&lt;=$O$2,$D525,$D525-($D525-$I$508)*MIN(K$3-$O$2,$Q$2)/$Q$2))</f>
        <v>13767.6777504731</v>
      </c>
      <c r="L525" s="15" t="n">
        <f aca="false">K525*(1+IF(L$3&lt;=$O$2,$D525,$D525-($D525-$I$508)*MIN(L$3-$O$2,$Q$2)/$Q$2))</f>
        <v>14219.4719611786</v>
      </c>
      <c r="M525" s="15" t="n">
        <f aca="false">L525*(1+IF(M$3&lt;=$O$2,$D525,$D525-($D525-$I$508)*MIN(M$3-$O$2,$Q$2)/$Q$2))</f>
        <v>14653.9875373467</v>
      </c>
      <c r="N525" s="15" t="n">
        <f aca="false">M525*(1+IF(N$3&lt;=$O$2,$D525,$D525-($D525-$I$508)*MIN(N$3-$O$2,$Q$2)/$Q$2))</f>
        <v>15068.6953846536</v>
      </c>
      <c r="O525" s="15" t="n">
        <f aca="false">SUMPRODUCT(E525:N525,1/(1+$F$508)^$E$3:$N$3)*$E$2</f>
        <v>41973.5213125564</v>
      </c>
      <c r="P525" s="15" t="n">
        <f aca="false">N525*$E$2*(1+$I$508)/($F$508-$I$508)/(1+$F$508)^$N$3</f>
        <v>64949.8596028189</v>
      </c>
      <c r="Q525" s="15" t="n">
        <f aca="false">O525+P525</f>
        <v>106923.380915375</v>
      </c>
      <c r="R525" s="15" t="n">
        <f aca="false">Q525-$G$2+$I$2</f>
        <v>87463.3809153754</v>
      </c>
      <c r="S525" s="40" t="n">
        <f aca="false">R525/$K$2</f>
        <v>155.797896142388</v>
      </c>
      <c r="T525" s="41" t="n">
        <f aca="false">S525-$M$2</f>
        <v>-0.0117905281971957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0.0395889282226563</v>
      </c>
      <c r="C526" s="25" t="n">
        <f aca="false">IF(T525&gt;0,D525,C525)</f>
        <v>0.03961181640625</v>
      </c>
      <c r="D526" s="39" t="n">
        <f aca="false">(B526+C526)/2</f>
        <v>0.0396003723144531</v>
      </c>
      <c r="E526" s="15" t="n">
        <f aca="false">$C$2*(1+IF(E$3&lt;=$O$2,$D526,$D526-($D526-$I$508)*MIN(E$3-$O$2,$Q$2)/$Q$2))</f>
        <v>10978.1799316406</v>
      </c>
      <c r="F526" s="15" t="n">
        <f aca="false">E526*(1+IF(F$3&lt;=$O$2,$D526,$D526-($D526-$I$508)*MIN(F$3-$O$2,$Q$2)/$Q$2))</f>
        <v>11412.9199442687</v>
      </c>
      <c r="G526" s="15" t="n">
        <f aca="false">F526*(1+IF(G$3&lt;=$O$2,$D526,$D526-($D526-$I$508)*MIN(G$3-$O$2,$Q$2)/$Q$2))</f>
        <v>11864.8758232567</v>
      </c>
      <c r="H526" s="15" t="n">
        <f aca="false">G526*(1+IF(H$3&lt;=$O$2,$D526,$D526-($D526-$I$508)*MIN(H$3-$O$2,$Q$2)/$Q$2))</f>
        <v>12334.7293233225</v>
      </c>
      <c r="I526" s="15" t="n">
        <f aca="false">H526*(1+IF(I$3&lt;=$O$2,$D526,$D526-($D526-$I$508)*MIN(I$3-$O$2,$Q$2)/$Q$2))</f>
        <v>12823.189196924</v>
      </c>
      <c r="J526" s="15" t="n">
        <f aca="false">I526*(1+IF(J$3&lt;=$O$2,$D526,$D526-($D526-$I$508)*MIN(J$3-$O$2,$Q$2)/$Q$2))</f>
        <v>13302.0109009441</v>
      </c>
      <c r="K526" s="15" t="n">
        <f aca="false">J526*(1+IF(K$3&lt;=$O$2,$D526,$D526-($D526-$I$508)*MIN(K$3-$O$2,$Q$2)/$Q$2))</f>
        <v>13768.6484148678</v>
      </c>
      <c r="L526" s="15" t="n">
        <f aca="false">K526*(1+IF(L$3&lt;=$O$2,$D526,$D526-($D526-$I$508)*MIN(L$3-$O$2,$Q$2)/$Q$2))</f>
        <v>14220.5375063505</v>
      </c>
      <c r="M526" s="15" t="n">
        <f aca="false">L526*(1+IF(M$3&lt;=$O$2,$D526,$D526-($D526-$I$508)*MIN(M$3-$O$2,$Q$2)/$Q$2))</f>
        <v>14655.1181914469</v>
      </c>
      <c r="N526" s="15" t="n">
        <f aca="false">M526*(1+IF(N$3&lt;=$O$2,$D526,$D526-($D526-$I$508)*MIN(N$3-$O$2,$Q$2)/$Q$2))</f>
        <v>15069.8580362648</v>
      </c>
      <c r="O526" s="15" t="n">
        <f aca="false">SUMPRODUCT(E526:N526,1/(1+$F$508)^$E$3:$N$3)*$E$2</f>
        <v>41975.6252343089</v>
      </c>
      <c r="P526" s="15" t="n">
        <f aca="false">N526*$E$2*(1+$I$508)/($F$508-$I$508)/(1+$F$508)^$N$3</f>
        <v>64954.8709231081</v>
      </c>
      <c r="Q526" s="15" t="n">
        <f aca="false">O526+P526</f>
        <v>106930.496157417</v>
      </c>
      <c r="R526" s="15" t="n">
        <f aca="false">Q526-$G$2+$I$2</f>
        <v>87470.4961574171</v>
      </c>
      <c r="S526" s="40" t="n">
        <f aca="false">R526/$K$2</f>
        <v>155.810570472251</v>
      </c>
      <c r="T526" s="41" t="n">
        <f aca="false">S526-$M$2</f>
        <v>0.000883801665622741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0.0395889282226563</v>
      </c>
      <c r="C527" s="25" t="n">
        <f aca="false">IF(T526&gt;0,D526,C526)</f>
        <v>0.0396003723144531</v>
      </c>
      <c r="D527" s="39" t="n">
        <f aca="false">(B527+C527)/2</f>
        <v>0.0395946502685547</v>
      </c>
      <c r="E527" s="15" t="n">
        <f aca="false">$C$2*(1+IF(E$3&lt;=$O$2,$D527,$D527-($D527-$I$508)*MIN(E$3-$O$2,$Q$2)/$Q$2))</f>
        <v>10978.1195068359</v>
      </c>
      <c r="F527" s="15" t="n">
        <f aca="false">E527*(1+IF(F$3&lt;=$O$2,$D527,$D527-($D527-$I$508)*MIN(F$3-$O$2,$Q$2)/$Q$2))</f>
        <v>11412.7943093155</v>
      </c>
      <c r="G527" s="15" t="n">
        <f aca="false">F527*(1+IF(G$3&lt;=$O$2,$D527,$D527-($D527-$I$508)*MIN(G$3-$O$2,$Q$2)/$Q$2))</f>
        <v>11864.6799085798</v>
      </c>
      <c r="H527" s="15" t="n">
        <f aca="false">G527*(1+IF(H$3&lt;=$O$2,$D527,$D527-($D527-$I$508)*MIN(H$3-$O$2,$Q$2)/$Q$2))</f>
        <v>12334.4577601084</v>
      </c>
      <c r="I527" s="15" t="n">
        <f aca="false">H527*(1+IF(I$3&lt;=$O$2,$D527,$D527-($D527-$I$508)*MIN(I$3-$O$2,$Q$2)/$Q$2))</f>
        <v>12822.8363013721</v>
      </c>
      <c r="J527" s="15" t="n">
        <f aca="false">I527*(1+IF(J$3&lt;=$O$2,$D527,$D527-($D527-$I$508)*MIN(J$3-$O$2,$Q$2)/$Q$2))</f>
        <v>13301.5861298809</v>
      </c>
      <c r="K527" s="15" t="n">
        <f aca="false">J527*(1+IF(K$3&lt;=$O$2,$D527,$D527-($D527-$I$508)*MIN(K$3-$O$2,$Q$2)/$Q$2))</f>
        <v>13768.163075369</v>
      </c>
      <c r="L527" s="15" t="n">
        <f aca="false">K527*(1+IF(L$3&lt;=$O$2,$D527,$D527-($D527-$I$508)*MIN(L$3-$O$2,$Q$2)/$Q$2))</f>
        <v>14220.0047251126</v>
      </c>
      <c r="M527" s="15" t="n">
        <f aca="false">L527*(1+IF(M$3&lt;=$O$2,$D527,$D527-($D527-$I$508)*MIN(M$3-$O$2,$Q$2)/$Q$2))</f>
        <v>14654.5528548707</v>
      </c>
      <c r="N527" s="15" t="n">
        <f aca="false">M527*(1+IF(N$3&lt;=$O$2,$D527,$D527-($D527-$I$508)*MIN(N$3-$O$2,$Q$2)/$Q$2))</f>
        <v>15069.2767006636</v>
      </c>
      <c r="O527" s="15" t="n">
        <f aca="false">SUMPRODUCT(E527:N527,1/(1+$F$508)^$E$3:$N$3)*$E$2</f>
        <v>41974.5732601254</v>
      </c>
      <c r="P527" s="15" t="n">
        <f aca="false">N527*$E$2*(1+$I$508)/($F$508-$I$508)/(1+$F$508)^$N$3</f>
        <v>64952.3652207419</v>
      </c>
      <c r="Q527" s="15" t="n">
        <f aca="false">O527+P527</f>
        <v>106926.938480867</v>
      </c>
      <c r="R527" s="15" t="n">
        <f aca="false">Q527-$G$2+$I$2</f>
        <v>87466.9384808673</v>
      </c>
      <c r="S527" s="40" t="n">
        <f aca="false">R527/$K$2</f>
        <v>155.804233208406</v>
      </c>
      <c r="T527" s="41" t="n">
        <f aca="false">S527-$M$2</f>
        <v>-0.00545346217913334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0.0395946502685547</v>
      </c>
      <c r="C528" s="25" t="n">
        <f aca="false">IF(T527&gt;0,D527,C527)</f>
        <v>0.0396003723144531</v>
      </c>
      <c r="D528" s="39" t="n">
        <f aca="false">(B528+C528)/2</f>
        <v>0.0395975112915039</v>
      </c>
      <c r="E528" s="15" t="n">
        <f aca="false">$C$2*(1+IF(E$3&lt;=$O$2,$D528,$D528-($D528-$I$508)*MIN(E$3-$O$2,$Q$2)/$Q$2))</f>
        <v>10978.1497192383</v>
      </c>
      <c r="F528" s="15" t="n">
        <f aca="false">E528*(1+IF(F$3&lt;=$O$2,$D528,$D528-($D528-$I$508)*MIN(F$3-$O$2,$Q$2)/$Q$2))</f>
        <v>11412.8571267056</v>
      </c>
      <c r="G528" s="15" t="n">
        <f aca="false">F528*(1+IF(G$3&lt;=$O$2,$D528,$D528-($D528-$I$508)*MIN(G$3-$O$2,$Q$2)/$Q$2))</f>
        <v>11864.7778656487</v>
      </c>
      <c r="H528" s="15" t="n">
        <f aca="false">G528*(1+IF(H$3&lt;=$O$2,$D528,$D528-($D528-$I$508)*MIN(H$3-$O$2,$Q$2)/$Q$2))</f>
        <v>12334.5935411549</v>
      </c>
      <c r="I528" s="15" t="n">
        <f aca="false">H528*(1+IF(I$3&lt;=$O$2,$D528,$D528-($D528-$I$508)*MIN(I$3-$O$2,$Q$2)/$Q$2))</f>
        <v>12823.0127481769</v>
      </c>
      <c r="J528" s="15" t="n">
        <f aca="false">I528*(1+IF(J$3&lt;=$O$2,$D528,$D528-($D528-$I$508)*MIN(J$3-$O$2,$Q$2)/$Q$2))</f>
        <v>13301.7985140012</v>
      </c>
      <c r="K528" s="15" t="n">
        <f aca="false">J528*(1+IF(K$3&lt;=$O$2,$D528,$D528-($D528-$I$508)*MIN(K$3-$O$2,$Q$2)/$Q$2))</f>
        <v>13768.405743293</v>
      </c>
      <c r="L528" s="15" t="n">
        <f aca="false">K528*(1+IF(L$3&lt;=$O$2,$D528,$D528-($D528-$I$508)*MIN(L$3-$O$2,$Q$2)/$Q$2))</f>
        <v>14220.2711135685</v>
      </c>
      <c r="M528" s="15" t="n">
        <f aca="false">L528*(1+IF(M$3&lt;=$O$2,$D528,$D528-($D528-$I$508)*MIN(M$3-$O$2,$Q$2)/$Q$2))</f>
        <v>14654.8355207773</v>
      </c>
      <c r="N528" s="15" t="n">
        <f aca="false">M528*(1+IF(N$3&lt;=$O$2,$D528,$D528-($D528-$I$508)*MIN(N$3-$O$2,$Q$2)/$Q$2))</f>
        <v>15069.5673660153</v>
      </c>
      <c r="O528" s="15" t="n">
        <f aca="false">SUMPRODUCT(E528:N528,1/(1+$F$508)^$E$3:$N$3)*$E$2</f>
        <v>41975.0992438903</v>
      </c>
      <c r="P528" s="15" t="n">
        <f aca="false">N528*$E$2*(1+$I$508)/($F$508-$I$508)/(1+$F$508)^$N$3</f>
        <v>64953.6180613695</v>
      </c>
      <c r="Q528" s="15" t="n">
        <f aca="false">O528+P528</f>
        <v>106928.71730526</v>
      </c>
      <c r="R528" s="15" t="n">
        <f aca="false">Q528-$G$2+$I$2</f>
        <v>87468.7173052598</v>
      </c>
      <c r="S528" s="40" t="n">
        <f aca="false">R528/$K$2</f>
        <v>155.8074018156</v>
      </c>
      <c r="T528" s="41" t="n">
        <f aca="false">S528-$M$2</f>
        <v>-0.00228485498539044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0.0395975112915039</v>
      </c>
      <c r="C529" s="25" t="n">
        <f aca="false">IF(T528&gt;0,D528,C528)</f>
        <v>0.0396003723144531</v>
      </c>
      <c r="D529" s="39" t="n">
        <f aca="false">(B529+C529)/2</f>
        <v>0.0395989418029785</v>
      </c>
      <c r="E529" s="15" t="n">
        <f aca="false">$C$2*(1+IF(E$3&lt;=$O$2,$D529,$D529-($D529-$I$508)*MIN(E$3-$O$2,$Q$2)/$Q$2))</f>
        <v>10978.1648254395</v>
      </c>
      <c r="F529" s="15" t="n">
        <f aca="false">E529*(1+IF(F$3&lt;=$O$2,$D529,$D529-($D529-$I$508)*MIN(F$3-$O$2,$Q$2)/$Q$2))</f>
        <v>11412.8885354655</v>
      </c>
      <c r="G529" s="15" t="n">
        <f aca="false">F529*(1+IF(G$3&lt;=$O$2,$D529,$D529-($D529-$I$508)*MIN(G$3-$O$2,$Q$2)/$Q$2))</f>
        <v>11864.8268443853</v>
      </c>
      <c r="H529" s="15" t="n">
        <f aca="false">G529*(1+IF(H$3&lt;=$O$2,$D529,$D529-($D529-$I$508)*MIN(H$3-$O$2,$Q$2)/$Q$2))</f>
        <v>12334.6614320985</v>
      </c>
      <c r="I529" s="15" t="n">
        <f aca="false">H529*(1+IF(I$3&lt;=$O$2,$D529,$D529-($D529-$I$508)*MIN(I$3-$O$2,$Q$2)/$Q$2))</f>
        <v>12823.1009723077</v>
      </c>
      <c r="J529" s="15" t="n">
        <f aca="false">I529*(1+IF(J$3&lt;=$O$2,$D529,$D529-($D529-$I$508)*MIN(J$3-$O$2,$Q$2)/$Q$2))</f>
        <v>13301.9047071198</v>
      </c>
      <c r="K529" s="15" t="n">
        <f aca="false">J529*(1+IF(K$3&lt;=$O$2,$D529,$D529-($D529-$I$508)*MIN(K$3-$O$2,$Q$2)/$Q$2))</f>
        <v>13768.527078624</v>
      </c>
      <c r="L529" s="15" t="n">
        <f aca="false">K529*(1+IF(L$3&lt;=$O$2,$D529,$D529-($D529-$I$508)*MIN(L$3-$O$2,$Q$2)/$Q$2))</f>
        <v>14220.4043094187</v>
      </c>
      <c r="M529" s="15" t="n">
        <f aca="false">L529*(1+IF(M$3&lt;=$O$2,$D529,$D529-($D529-$I$508)*MIN(M$3-$O$2,$Q$2)/$Q$2))</f>
        <v>14654.9768555167</v>
      </c>
      <c r="N529" s="15" t="n">
        <f aca="false">M529*(1+IF(N$3&lt;=$O$2,$D529,$D529-($D529-$I$508)*MIN(N$3-$O$2,$Q$2)/$Q$2))</f>
        <v>15069.7127005278</v>
      </c>
      <c r="O529" s="15" t="n">
        <f aca="false">SUMPRODUCT(E529:N529,1/(1+$F$508)^$E$3:$N$3)*$E$2</f>
        <v>41975.3622382679</v>
      </c>
      <c r="P529" s="15" t="n">
        <f aca="false">N529*$E$2*(1+$I$508)/($F$508-$I$508)/(1+$F$508)^$N$3</f>
        <v>64954.2444895999</v>
      </c>
      <c r="Q529" s="15" t="n">
        <f aca="false">O529+P529</f>
        <v>106929.606727868</v>
      </c>
      <c r="R529" s="15" t="n">
        <f aca="false">Q529-$G$2+$I$2</f>
        <v>87469.6067278677</v>
      </c>
      <c r="S529" s="40" t="n">
        <f aca="false">R529/$K$2</f>
        <v>155.808986137743</v>
      </c>
      <c r="T529" s="41" t="n">
        <f aca="false">S529-$M$2</f>
        <v>-0.000700532842159873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0.0395989418029785</v>
      </c>
      <c r="C530" s="25" t="n">
        <f aca="false">IF(T529&gt;0,D529,C529)</f>
        <v>0.0396003723144531</v>
      </c>
      <c r="D530" s="39" t="n">
        <f aca="false">(B530+C530)/2</f>
        <v>0.0395996570587158</v>
      </c>
      <c r="E530" s="15" t="n">
        <f aca="false">$C$2*(1+IF(E$3&lt;=$O$2,$D530,$D530-($D530-$I$508)*MIN(E$3-$O$2,$Q$2)/$Q$2))</f>
        <v>10978.17237854</v>
      </c>
      <c r="F530" s="15" t="n">
        <f aca="false">E530*(1+IF(F$3&lt;=$O$2,$D530,$D530-($D530-$I$508)*MIN(F$3-$O$2,$Q$2)/$Q$2))</f>
        <v>11412.9042398617</v>
      </c>
      <c r="G530" s="15" t="n">
        <f aca="false">F530*(1+IF(G$3&lt;=$O$2,$D530,$D530-($D530-$I$508)*MIN(G$3-$O$2,$Q$2)/$Q$2))</f>
        <v>11864.8513338042</v>
      </c>
      <c r="H530" s="15" t="n">
        <f aca="false">G530*(1+IF(H$3&lt;=$O$2,$D530,$D530-($D530-$I$508)*MIN(H$3-$O$2,$Q$2)/$Q$2))</f>
        <v>12334.6953776755</v>
      </c>
      <c r="I530" s="15" t="n">
        <f aca="false">H530*(1+IF(I$3&lt;=$O$2,$D530,$D530-($D530-$I$508)*MIN(I$3-$O$2,$Q$2)/$Q$2))</f>
        <v>12823.1450845551</v>
      </c>
      <c r="J530" s="15" t="n">
        <f aca="false">I530*(1+IF(J$3&lt;=$O$2,$D530,$D530-($D530-$I$508)*MIN(J$3-$O$2,$Q$2)/$Q$2))</f>
        <v>13301.9578039438</v>
      </c>
      <c r="K530" s="15" t="n">
        <f aca="false">J530*(1+IF(K$3&lt;=$O$2,$D530,$D530-($D530-$I$508)*MIN(K$3-$O$2,$Q$2)/$Q$2))</f>
        <v>13768.5877466318</v>
      </c>
      <c r="L530" s="15" t="n">
        <f aca="false">K530*(1+IF(L$3&lt;=$O$2,$D530,$D530-($D530-$I$508)*MIN(L$3-$O$2,$Q$2)/$Q$2))</f>
        <v>14220.4709077494</v>
      </c>
      <c r="M530" s="15" t="n">
        <f aca="false">L530*(1+IF(M$3&lt;=$O$2,$D530,$D530-($D530-$I$508)*MIN(M$3-$O$2,$Q$2)/$Q$2))</f>
        <v>14655.0475233329</v>
      </c>
      <c r="N530" s="15" t="n">
        <f aca="false">M530*(1+IF(N$3&lt;=$O$2,$D530,$D530-($D530-$I$508)*MIN(N$3-$O$2,$Q$2)/$Q$2))</f>
        <v>15069.7853682432</v>
      </c>
      <c r="O530" s="15" t="n">
        <f aca="false">SUMPRODUCT(E530:N530,1/(1+$F$508)^$E$3:$N$3)*$E$2</f>
        <v>41975.4937360805</v>
      </c>
      <c r="P530" s="15" t="n">
        <f aca="false">N530*$E$2*(1+$I$508)/($F$508-$I$508)/(1+$F$508)^$N$3</f>
        <v>64954.5577056943</v>
      </c>
      <c r="Q530" s="15" t="n">
        <f aca="false">O530+P530</f>
        <v>106930.051441775</v>
      </c>
      <c r="R530" s="15" t="n">
        <f aca="false">Q530-$G$2+$I$2</f>
        <v>87470.0514417748</v>
      </c>
      <c r="S530" s="40" t="n">
        <f aca="false">R530/$K$2</f>
        <v>155.809778303452</v>
      </c>
      <c r="T530" s="41" t="n">
        <f aca="false">S530-$M$2</f>
        <v>9.16328662015076E-005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0.0395989418029785</v>
      </c>
      <c r="C531" s="25" t="n">
        <f aca="false">IF(T530&gt;0,D530,C530)</f>
        <v>0.0395996570587158</v>
      </c>
      <c r="D531" s="39" t="n">
        <f aca="false">(B531+C531)/2</f>
        <v>0.0395992994308472</v>
      </c>
      <c r="E531" s="15" t="n">
        <f aca="false">$C$2*(1+IF(E$3&lt;=$O$2,$D531,$D531-($D531-$I$508)*MIN(E$3-$O$2,$Q$2)/$Q$2))</f>
        <v>10978.1686019897</v>
      </c>
      <c r="F531" s="15" t="n">
        <f aca="false">E531*(1+IF(F$3&lt;=$O$2,$D531,$D531-($D531-$I$508)*MIN(F$3-$O$2,$Q$2)/$Q$2))</f>
        <v>11412.8963876623</v>
      </c>
      <c r="G531" s="15" t="n">
        <f aca="false">F531*(1+IF(G$3&lt;=$O$2,$D531,$D531-($D531-$I$508)*MIN(G$3-$O$2,$Q$2)/$Q$2))</f>
        <v>11864.8390890905</v>
      </c>
      <c r="H531" s="15" t="n">
        <f aca="false">G531*(1+IF(H$3&lt;=$O$2,$D531,$D531-($D531-$I$508)*MIN(H$3-$O$2,$Q$2)/$Q$2))</f>
        <v>12334.6784048783</v>
      </c>
      <c r="I531" s="15" t="n">
        <f aca="false">H531*(1+IF(I$3&lt;=$O$2,$D531,$D531-($D531-$I$508)*MIN(I$3-$O$2,$Q$2)/$Q$2))</f>
        <v>12823.1230284162</v>
      </c>
      <c r="J531" s="15" t="n">
        <f aca="false">I531*(1+IF(J$3&lt;=$O$2,$D531,$D531-($D531-$I$508)*MIN(J$3-$O$2,$Q$2)/$Q$2))</f>
        <v>13301.9312555097</v>
      </c>
      <c r="K531" s="15" t="n">
        <f aca="false">J531*(1+IF(K$3&lt;=$O$2,$D531,$D531-($D531-$I$508)*MIN(K$3-$O$2,$Q$2)/$Q$2))</f>
        <v>13768.5574125994</v>
      </c>
      <c r="L531" s="15" t="n">
        <f aca="false">K531*(1+IF(L$3&lt;=$O$2,$D531,$D531-($D531-$I$508)*MIN(L$3-$O$2,$Q$2)/$Q$2))</f>
        <v>14220.4376085503</v>
      </c>
      <c r="M531" s="15" t="n">
        <f aca="false">L531*(1+IF(M$3&lt;=$O$2,$D531,$D531-($D531-$I$508)*MIN(M$3-$O$2,$Q$2)/$Q$2))</f>
        <v>14655.0121893876</v>
      </c>
      <c r="N531" s="15" t="n">
        <f aca="false">M531*(1+IF(N$3&lt;=$O$2,$D531,$D531-($D531-$I$508)*MIN(N$3-$O$2,$Q$2)/$Q$2))</f>
        <v>15069.7490343473</v>
      </c>
      <c r="O531" s="15" t="n">
        <f aca="false">SUMPRODUCT(E531:N531,1/(1+$F$508)^$E$3:$N$3)*$E$2</f>
        <v>41975.4279871222</v>
      </c>
      <c r="P531" s="15" t="n">
        <f aca="false">N531*$E$2*(1+$I$508)/($F$508-$I$508)/(1+$F$508)^$N$3</f>
        <v>64954.4010974822</v>
      </c>
      <c r="Q531" s="15" t="n">
        <f aca="false">O531+P531</f>
        <v>106929.829084604</v>
      </c>
      <c r="R531" s="15" t="n">
        <f aca="false">Q531-$G$2+$I$2</f>
        <v>87469.8290846043</v>
      </c>
      <c r="S531" s="40" t="n">
        <f aca="false">R531/$K$2</f>
        <v>155.809382220211</v>
      </c>
      <c r="T531" s="41" t="n">
        <f aca="false">S531-$M$2</f>
        <v>-0.000304450374358112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0.0395992994308472</v>
      </c>
      <c r="C532" s="25" t="n">
        <f aca="false">IF(T531&gt;0,D531,C531)</f>
        <v>0.0395996570587158</v>
      </c>
      <c r="D532" s="39" t="n">
        <f aca="false">(B532+C532)/2</f>
        <v>0.0395994782447815</v>
      </c>
      <c r="E532" s="15" t="n">
        <f aca="false">$C$2*(1+IF(E$3&lt;=$O$2,$D532,$D532-($D532-$I$508)*MIN(E$3-$O$2,$Q$2)/$Q$2))</f>
        <v>10978.1704902649</v>
      </c>
      <c r="F532" s="15" t="n">
        <f aca="false">E532*(1+IF(F$3&lt;=$O$2,$D532,$D532-($D532-$I$508)*MIN(F$3-$O$2,$Q$2)/$Q$2))</f>
        <v>11412.9003137616</v>
      </c>
      <c r="G532" s="15" t="n">
        <f aca="false">F532*(1+IF(G$3&lt;=$O$2,$D532,$D532-($D532-$I$508)*MIN(G$3-$O$2,$Q$2)/$Q$2))</f>
        <v>11864.8452114463</v>
      </c>
      <c r="H532" s="15" t="n">
        <f aca="false">G532*(1+IF(H$3&lt;=$O$2,$D532,$D532-($D532-$I$508)*MIN(H$3-$O$2,$Q$2)/$Q$2))</f>
        <v>12334.6868912747</v>
      </c>
      <c r="I532" s="15" t="n">
        <f aca="false">H532*(1+IF(I$3&lt;=$O$2,$D532,$D532-($D532-$I$508)*MIN(I$3-$O$2,$Q$2)/$Q$2))</f>
        <v>12823.1340564819</v>
      </c>
      <c r="J532" s="15" t="n">
        <f aca="false">I532*(1+IF(J$3&lt;=$O$2,$D532,$D532-($D532-$I$508)*MIN(J$3-$O$2,$Q$2)/$Q$2))</f>
        <v>13301.9445297212</v>
      </c>
      <c r="K532" s="15" t="n">
        <f aca="false">J532*(1+IF(K$3&lt;=$O$2,$D532,$D532-($D532-$I$508)*MIN(K$3-$O$2,$Q$2)/$Q$2))</f>
        <v>13768.5725796085</v>
      </c>
      <c r="L532" s="15" t="n">
        <f aca="false">K532*(1+IF(L$3&lt;=$O$2,$D532,$D532-($D532-$I$508)*MIN(L$3-$O$2,$Q$2)/$Q$2))</f>
        <v>14220.4542581414</v>
      </c>
      <c r="M532" s="15" t="n">
        <f aca="false">L532*(1+IF(M$3&lt;=$O$2,$D532,$D532-($D532-$I$508)*MIN(M$3-$O$2,$Q$2)/$Q$2))</f>
        <v>14655.0298563509</v>
      </c>
      <c r="N532" s="15" t="n">
        <f aca="false">M532*(1+IF(N$3&lt;=$O$2,$D532,$D532-($D532-$I$508)*MIN(N$3-$O$2,$Q$2)/$Q$2))</f>
        <v>15069.7672012857</v>
      </c>
      <c r="O532" s="15" t="n">
        <f aca="false">SUMPRODUCT(E532:N532,1/(1+$F$508)^$E$3:$N$3)*$E$2</f>
        <v>41975.4608615883</v>
      </c>
      <c r="P532" s="15" t="n">
        <f aca="false">N532*$E$2*(1+$I$508)/($F$508-$I$508)/(1+$F$508)^$N$3</f>
        <v>64954.479401547</v>
      </c>
      <c r="Q532" s="15" t="n">
        <f aca="false">O532+P532</f>
        <v>106929.940263135</v>
      </c>
      <c r="R532" s="15" t="n">
        <f aca="false">Q532-$G$2+$I$2</f>
        <v>87469.9402631353</v>
      </c>
      <c r="S532" s="40" t="n">
        <f aca="false">R532/$K$2</f>
        <v>155.809580261735</v>
      </c>
      <c r="T532" s="41" t="n">
        <f aca="false">S532-$M$2</f>
        <v>-0.000106408850712114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0.0395994782447815</v>
      </c>
      <c r="C533" s="25" t="n">
        <f aca="false">IF(T532&gt;0,D532,C532)</f>
        <v>0.0395996570587158</v>
      </c>
      <c r="D533" s="39" t="n">
        <f aca="false">(B533+C533)/2</f>
        <v>0.0395995676517487</v>
      </c>
      <c r="E533" s="15" t="n">
        <f aca="false">$C$2*(1+IF(E$3&lt;=$O$2,$D533,$D533-($D533-$I$508)*MIN(E$3-$O$2,$Q$2)/$Q$2))</f>
        <v>10978.1714344025</v>
      </c>
      <c r="F533" s="15" t="n">
        <f aca="false">E533*(1+IF(F$3&lt;=$O$2,$D533,$D533-($D533-$I$508)*MIN(F$3-$O$2,$Q$2)/$Q$2))</f>
        <v>11412.9022768116</v>
      </c>
      <c r="G533" s="15" t="n">
        <f aca="false">F533*(1+IF(G$3&lt;=$O$2,$D533,$D533-($D533-$I$508)*MIN(G$3-$O$2,$Q$2)/$Q$2))</f>
        <v>11864.848272625</v>
      </c>
      <c r="H533" s="15" t="n">
        <f aca="false">G533*(1+IF(H$3&lt;=$O$2,$D533,$D533-($D533-$I$508)*MIN(H$3-$O$2,$Q$2)/$Q$2))</f>
        <v>12334.6911344745</v>
      </c>
      <c r="I533" s="15" t="n">
        <f aca="false">H533*(1+IF(I$3&lt;=$O$2,$D533,$D533-($D533-$I$508)*MIN(I$3-$O$2,$Q$2)/$Q$2))</f>
        <v>12823.1395705176</v>
      </c>
      <c r="J533" s="15" t="n">
        <f aca="false">I533*(1+IF(J$3&lt;=$O$2,$D533,$D533-($D533-$I$508)*MIN(J$3-$O$2,$Q$2)/$Q$2))</f>
        <v>13301.9511668311</v>
      </c>
      <c r="K533" s="15" t="n">
        <f aca="false">J533*(1+IF(K$3&lt;=$O$2,$D533,$D533-($D533-$I$508)*MIN(K$3-$O$2,$Q$2)/$Q$2))</f>
        <v>13768.5801631184</v>
      </c>
      <c r="L533" s="15" t="n">
        <f aca="false">K533*(1+IF(L$3&lt;=$O$2,$D533,$D533-($D533-$I$508)*MIN(L$3-$O$2,$Q$2)/$Q$2))</f>
        <v>14220.4625829433</v>
      </c>
      <c r="M533" s="15" t="n">
        <f aca="false">L533*(1+IF(M$3&lt;=$O$2,$D533,$D533-($D533-$I$508)*MIN(M$3-$O$2,$Q$2)/$Q$2))</f>
        <v>14655.0386898396</v>
      </c>
      <c r="N533" s="15" t="n">
        <f aca="false">M533*(1+IF(N$3&lt;=$O$2,$D533,$D533-($D533-$I$508)*MIN(N$3-$O$2,$Q$2)/$Q$2))</f>
        <v>15069.7762847621</v>
      </c>
      <c r="O533" s="15" t="n">
        <f aca="false">SUMPRODUCT(E533:N533,1/(1+$F$508)^$E$3:$N$3)*$E$2</f>
        <v>41975.4772988311</v>
      </c>
      <c r="P533" s="15" t="n">
        <f aca="false">N533*$E$2*(1+$I$508)/($F$508-$I$508)/(1+$F$508)^$N$3</f>
        <v>64954.5185536103</v>
      </c>
      <c r="Q533" s="15" t="n">
        <f aca="false">O533+P533</f>
        <v>106929.995852441</v>
      </c>
      <c r="R533" s="15" t="n">
        <f aca="false">Q533-$G$2+$I$2</f>
        <v>87469.9958524415</v>
      </c>
      <c r="S533" s="40" t="n">
        <f aca="false">R533/$K$2</f>
        <v>155.809679282569</v>
      </c>
      <c r="T533" s="41" t="n">
        <f aca="false">S533-$M$2</f>
        <v>-7.38801642796716E-006</v>
      </c>
    </row>
    <row r="535" customFormat="false" ht="15" hidden="false" customHeight="false" outlineLevel="0" collapsed="false">
      <c r="A535" s="36" t="s">
        <v>205</v>
      </c>
      <c r="E535" s="5" t="s">
        <v>11</v>
      </c>
      <c r="F535" s="12" t="n">
        <f aca="false">Sensitivity!$B$13</f>
        <v>0.0820172026214128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6" t="s">
        <v>167</v>
      </c>
      <c r="B536" s="28" t="s">
        <v>168</v>
      </c>
      <c r="C536" s="28" t="s">
        <v>169</v>
      </c>
      <c r="D536" s="28" t="s">
        <v>170</v>
      </c>
      <c r="E536" s="28" t="s">
        <v>171</v>
      </c>
      <c r="F536" s="28" t="s">
        <v>172</v>
      </c>
      <c r="G536" s="28" t="s">
        <v>173</v>
      </c>
      <c r="H536" s="28" t="s">
        <v>174</v>
      </c>
      <c r="I536" s="28" t="s">
        <v>175</v>
      </c>
      <c r="J536" s="28" t="s">
        <v>176</v>
      </c>
      <c r="K536" s="28" t="s">
        <v>177</v>
      </c>
      <c r="L536" s="28" t="s">
        <v>178</v>
      </c>
      <c r="M536" s="28" t="s">
        <v>179</v>
      </c>
      <c r="N536" s="28" t="s">
        <v>180</v>
      </c>
      <c r="O536" s="28" t="s">
        <v>181</v>
      </c>
      <c r="P536" s="28" t="s">
        <v>182</v>
      </c>
      <c r="Q536" s="28" t="s">
        <v>183</v>
      </c>
      <c r="R536" s="28" t="s">
        <v>184</v>
      </c>
      <c r="S536" s="28" t="s">
        <v>185</v>
      </c>
      <c r="T536" s="28" t="s">
        <v>186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39" t="n">
        <f aca="false">(B537+C537)/2</f>
        <v>0.25</v>
      </c>
      <c r="E537" s="15" t="n">
        <f aca="false">$C$2*(1+IF(E$3&lt;=$O$2,$D537,$D537-($D537-$I$535)*MIN(E$3-$O$2,$Q$2)/$Q$2))</f>
        <v>13200</v>
      </c>
      <c r="F537" s="15" t="n">
        <f aca="false">E537*(1+IF(F$3&lt;=$O$2,$D537,$D537-($D537-$I$535)*MIN(F$3-$O$2,$Q$2)/$Q$2))</f>
        <v>16500</v>
      </c>
      <c r="G537" s="15" t="n">
        <f aca="false">F537*(1+IF(G$3&lt;=$O$2,$D537,$D537-($D537-$I$535)*MIN(G$3-$O$2,$Q$2)/$Q$2))</f>
        <v>20625</v>
      </c>
      <c r="H537" s="15" t="n">
        <f aca="false">G537*(1+IF(H$3&lt;=$O$2,$D537,$D537-($D537-$I$535)*MIN(H$3-$O$2,$Q$2)/$Q$2))</f>
        <v>25781.25</v>
      </c>
      <c r="I537" s="15" t="n">
        <f aca="false">H537*(1+IF(I$3&lt;=$O$2,$D537,$D537-($D537-$I$535)*MIN(I$3-$O$2,$Q$2)/$Q$2))</f>
        <v>32226.5625</v>
      </c>
      <c r="J537" s="15" t="n">
        <f aca="false">I537*(1+IF(J$3&lt;=$O$2,$D537,$D537-($D537-$I$535)*MIN(J$3-$O$2,$Q$2)/$Q$2))</f>
        <v>38886.50390625</v>
      </c>
      <c r="K537" s="15" t="n">
        <f aca="false">J537*(1+IF(K$3&lt;=$O$2,$D537,$D537-($D537-$I$535)*MIN(K$3-$O$2,$Q$2)/$Q$2))</f>
        <v>45237.4477242188</v>
      </c>
      <c r="L537" s="15" t="n">
        <f aca="false">K537*(1+IF(L$3&lt;=$O$2,$D537,$D537-($D537-$I$535)*MIN(L$3-$O$2,$Q$2)/$Q$2))</f>
        <v>50665.0367021705</v>
      </c>
      <c r="M537" s="15" t="n">
        <f aca="false">L537*(1+IF(M$3&lt;=$O$2,$D537,$D537-($D537-$I$535)*MIN(M$3-$O$2,$Q$2)/$Q$2))</f>
        <v>54548.0051150249</v>
      </c>
      <c r="N537" s="15" t="n">
        <f aca="false">M537*(1+IF(N$3&lt;=$O$2,$D537,$D537-($D537-$I$535)*MIN(N$3-$O$2,$Q$2)/$Q$2))</f>
        <v>56364.4536853552</v>
      </c>
      <c r="O537" s="15" t="n">
        <f aca="false">SUMPRODUCT(E537:N537,1/(1+$F$535)^$E$3:$N$3)*$E$2</f>
        <v>105403.845193558</v>
      </c>
      <c r="P537" s="15" t="n">
        <f aca="false">N537*$E$2*(1+$I$535)/($F$535-$I$535)/(1+$F$535)^$N$3</f>
        <v>269181.682874857</v>
      </c>
      <c r="Q537" s="15" t="n">
        <f aca="false">O537+P537</f>
        <v>374585.528068415</v>
      </c>
      <c r="R537" s="15" t="n">
        <f aca="false">Q537-$G$2+$I$2</f>
        <v>355125.528068415</v>
      </c>
      <c r="S537" s="40" t="n">
        <f aca="false">R537/$K$2</f>
        <v>632.582568389917</v>
      </c>
      <c r="T537" s="41" t="n">
        <f aca="false">S537-$M$2</f>
        <v>476.772881719331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39" t="n">
        <f aca="false">(B538+C538)/2</f>
        <v>-0.125</v>
      </c>
      <c r="E538" s="15" t="n">
        <f aca="false">$C$2*(1+IF(E$3&lt;=$O$2,$D538,$D538-($D538-$I$535)*MIN(E$3-$O$2,$Q$2)/$Q$2))</f>
        <v>9240</v>
      </c>
      <c r="F538" s="15" t="n">
        <f aca="false">E538*(1+IF(F$3&lt;=$O$2,$D538,$D538-($D538-$I$535)*MIN(F$3-$O$2,$Q$2)/$Q$2))</f>
        <v>8085</v>
      </c>
      <c r="G538" s="15" t="n">
        <f aca="false">F538*(1+IF(G$3&lt;=$O$2,$D538,$D538-($D538-$I$535)*MIN(G$3-$O$2,$Q$2)/$Q$2))</f>
        <v>7074.375</v>
      </c>
      <c r="H538" s="15" t="n">
        <f aca="false">G538*(1+IF(H$3&lt;=$O$2,$D538,$D538-($D538-$I$535)*MIN(H$3-$O$2,$Q$2)/$Q$2))</f>
        <v>6190.078125</v>
      </c>
      <c r="I538" s="15" t="n">
        <f aca="false">H538*(1+IF(I$3&lt;=$O$2,$D538,$D538-($D538-$I$535)*MIN(I$3-$O$2,$Q$2)/$Q$2))</f>
        <v>5416.318359375</v>
      </c>
      <c r="J538" s="15" t="n">
        <f aca="false">I538*(1+IF(J$3&lt;=$O$2,$D538,$D538-($D538-$I$535)*MIN(J$3-$O$2,$Q$2)/$Q$2))</f>
        <v>4910.75920371094</v>
      </c>
      <c r="K538" s="15" t="n">
        <f aca="false">J538*(1+IF(K$3&lt;=$O$2,$D538,$D538-($D538-$I$535)*MIN(K$3-$O$2,$Q$2)/$Q$2))</f>
        <v>4607.86357602605</v>
      </c>
      <c r="L538" s="15" t="n">
        <f aca="false">K538*(1+IF(L$3&lt;=$O$2,$D538,$D538-($D538-$I$535)*MIN(L$3-$O$2,$Q$2)/$Q$2))</f>
        <v>4469.53551147375</v>
      </c>
      <c r="M538" s="15" t="n">
        <f aca="false">L538*(1+IF(M$3&lt;=$O$2,$D538,$D538-($D538-$I$535)*MIN(M$3-$O$2,$Q$2)/$Q$2))</f>
        <v>4476.86554971256</v>
      </c>
      <c r="N538" s="15" t="n">
        <f aca="false">M538*(1+IF(N$3&lt;=$O$2,$D538,$D538-($D538-$I$535)*MIN(N$3-$O$2,$Q$2)/$Q$2))</f>
        <v>4625.94517251799</v>
      </c>
      <c r="O538" s="15" t="n">
        <f aca="false">SUMPRODUCT(E538:N538,1/(1+$F$535)^$E$3:$N$3)*$E$2</f>
        <v>20601.1428040069</v>
      </c>
      <c r="P538" s="15" t="n">
        <f aca="false">N538*$E$2*(1+$I$535)/($F$535-$I$535)/(1+$F$535)^$N$3</f>
        <v>22092.2873372718</v>
      </c>
      <c r="Q538" s="15" t="n">
        <f aca="false">O538+P538</f>
        <v>42693.4301412787</v>
      </c>
      <c r="R538" s="15" t="n">
        <f aca="false">Q538-$G$2+$I$2</f>
        <v>23233.4301412787</v>
      </c>
      <c r="S538" s="40" t="n">
        <f aca="false">R538/$K$2</f>
        <v>41.3855432787877</v>
      </c>
      <c r="T538" s="41" t="n">
        <f aca="false">S538-$M$2</f>
        <v>-114.424143391798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39" t="n">
        <f aca="false">(B539+C539)/2</f>
        <v>0.0625</v>
      </c>
      <c r="E539" s="15" t="n">
        <f aca="false">$C$2*(1+IF(E$3&lt;=$O$2,$D539,$D539-($D539-$I$535)*MIN(E$3-$O$2,$Q$2)/$Q$2))</f>
        <v>11220</v>
      </c>
      <c r="F539" s="15" t="n">
        <f aca="false">E539*(1+IF(F$3&lt;=$O$2,$D539,$D539-($D539-$I$535)*MIN(F$3-$O$2,$Q$2)/$Q$2))</f>
        <v>11921.25</v>
      </c>
      <c r="G539" s="15" t="n">
        <f aca="false">F539*(1+IF(G$3&lt;=$O$2,$D539,$D539-($D539-$I$535)*MIN(G$3-$O$2,$Q$2)/$Q$2))</f>
        <v>12666.328125</v>
      </c>
      <c r="H539" s="15" t="n">
        <f aca="false">G539*(1+IF(H$3&lt;=$O$2,$D539,$D539-($D539-$I$535)*MIN(H$3-$O$2,$Q$2)/$Q$2))</f>
        <v>13457.9736328125</v>
      </c>
      <c r="I539" s="15" t="n">
        <f aca="false">H539*(1+IF(I$3&lt;=$O$2,$D539,$D539-($D539-$I$535)*MIN(I$3-$O$2,$Q$2)/$Q$2))</f>
        <v>14299.0969848633</v>
      </c>
      <c r="J539" s="15" t="n">
        <f aca="false">I539*(1+IF(J$3&lt;=$O$2,$D539,$D539-($D539-$I$535)*MIN(J$3-$O$2,$Q$2)/$Q$2))</f>
        <v>15109.2838200256</v>
      </c>
      <c r="K539" s="15" t="n">
        <f aca="false">J539*(1+IF(K$3&lt;=$O$2,$D539,$D539-($D539-$I$535)*MIN(K$3-$O$2,$Q$2)/$Q$2))</f>
        <v>15877.1376237593</v>
      </c>
      <c r="L539" s="15" t="n">
        <f aca="false">K539*(1+IF(L$3&lt;=$O$2,$D539,$D539-($D539-$I$535)*MIN(L$3-$O$2,$Q$2)/$Q$2))</f>
        <v>16591.291274076</v>
      </c>
      <c r="M539" s="15" t="n">
        <f aca="false">L539*(1+IF(M$3&lt;=$O$2,$D539,$D539-($D539-$I$535)*MIN(M$3-$O$2,$Q$2)/$Q$2))</f>
        <v>17240.6744145434</v>
      </c>
      <c r="N539" s="15" t="n">
        <f aca="false">M539*(1+IF(N$3&lt;=$O$2,$D539,$D539-($D539-$I$535)*MIN(N$3-$O$2,$Q$2)/$Q$2))</f>
        <v>17814.7888725477</v>
      </c>
      <c r="O539" s="15" t="n">
        <f aca="false">SUMPRODUCT(E539:N539,1/(1+$F$535)^$E$3:$N$3)*$E$2</f>
        <v>46545.522951702</v>
      </c>
      <c r="P539" s="15" t="n">
        <f aca="false">N539*$E$2*(1+$I$535)/($F$535-$I$535)/(1+$F$535)^$N$3</f>
        <v>85078.7071501168</v>
      </c>
      <c r="Q539" s="15" t="n">
        <f aca="false">O539+P539</f>
        <v>131624.230101819</v>
      </c>
      <c r="R539" s="15" t="n">
        <f aca="false">Q539-$G$2+$I$2</f>
        <v>112164.230101819</v>
      </c>
      <c r="S539" s="40" t="n">
        <f aca="false">R539/$K$2</f>
        <v>199.797342492419</v>
      </c>
      <c r="T539" s="41" t="n">
        <f aca="false">S539-$M$2</f>
        <v>43.987655821833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39" t="n">
        <f aca="false">(B540+C540)/2</f>
        <v>-0.03125</v>
      </c>
      <c r="E540" s="15" t="n">
        <f aca="false">$C$2*(1+IF(E$3&lt;=$O$2,$D540,$D540-($D540-$I$535)*MIN(E$3-$O$2,$Q$2)/$Q$2))</f>
        <v>10230</v>
      </c>
      <c r="F540" s="15" t="n">
        <f aca="false">E540*(1+IF(F$3&lt;=$O$2,$D540,$D540-($D540-$I$535)*MIN(F$3-$O$2,$Q$2)/$Q$2))</f>
        <v>9910.3125</v>
      </c>
      <c r="G540" s="15" t="n">
        <f aca="false">F540*(1+IF(G$3&lt;=$O$2,$D540,$D540-($D540-$I$535)*MIN(G$3-$O$2,$Q$2)/$Q$2))</f>
        <v>9600.615234375</v>
      </c>
      <c r="H540" s="15" t="n">
        <f aca="false">G540*(1+IF(H$3&lt;=$O$2,$D540,$D540-($D540-$I$535)*MIN(H$3-$O$2,$Q$2)/$Q$2))</f>
        <v>9300.59600830078</v>
      </c>
      <c r="I540" s="15" t="n">
        <f aca="false">H540*(1+IF(I$3&lt;=$O$2,$D540,$D540-($D540-$I$535)*MIN(I$3-$O$2,$Q$2)/$Q$2))</f>
        <v>9009.95238304138</v>
      </c>
      <c r="J540" s="15" t="n">
        <f aca="false">I540*(1+IF(J$3&lt;=$O$2,$D540,$D540-($D540-$I$535)*MIN(J$3-$O$2,$Q$2)/$Q$2))</f>
        <v>8844.7098563364</v>
      </c>
      <c r="K540" s="15" t="n">
        <f aca="false">J540*(1+IF(K$3&lt;=$O$2,$D540,$D540-($D540-$I$535)*MIN(K$3-$O$2,$Q$2)/$Q$2))</f>
        <v>8796.6830818165</v>
      </c>
      <c r="L540" s="15" t="n">
        <f aca="false">K540*(1+IF(L$3&lt;=$O$2,$D540,$D540-($D540-$I$535)*MIN(L$3-$O$2,$Q$2)/$Q$2))</f>
        <v>8862.48227126848</v>
      </c>
      <c r="M540" s="15" t="n">
        <f aca="false">L540*(1+IF(M$3&lt;=$O$2,$D540,$D540-($D540-$I$535)*MIN(M$3-$O$2,$Q$2)/$Q$2))</f>
        <v>9043.18828477965</v>
      </c>
      <c r="N540" s="15" t="n">
        <f aca="false">M540*(1+IF(N$3&lt;=$O$2,$D540,$D540-($D540-$I$535)*MIN(N$3-$O$2,$Q$2)/$Q$2))</f>
        <v>9344.32645466281</v>
      </c>
      <c r="O540" s="15" t="n">
        <f aca="false">SUMPRODUCT(E540:N540,1/(1+$F$535)^$E$3:$N$3)*$E$2</f>
        <v>30879.9165637625</v>
      </c>
      <c r="P540" s="15" t="n">
        <f aca="false">N540*$E$2*(1+$I$535)/($F$535-$I$535)/(1+$F$535)^$N$3</f>
        <v>44626.0250199448</v>
      </c>
      <c r="Q540" s="15" t="n">
        <f aca="false">O540+P540</f>
        <v>75505.9415837074</v>
      </c>
      <c r="R540" s="15" t="n">
        <f aca="false">Q540-$G$2+$I$2</f>
        <v>56045.9415837074</v>
      </c>
      <c r="S540" s="40" t="n">
        <f aca="false">R540/$K$2</f>
        <v>99.8342357072755</v>
      </c>
      <c r="T540" s="41" t="n">
        <f aca="false">S540-$M$2</f>
        <v>-55.97545096331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39" t="n">
        <f aca="false">(B541+C541)/2</f>
        <v>0.015625</v>
      </c>
      <c r="E541" s="15" t="n">
        <f aca="false">$C$2*(1+IF(E$3&lt;=$O$2,$D541,$D541-($D541-$I$535)*MIN(E$3-$O$2,$Q$2)/$Q$2))</f>
        <v>10725</v>
      </c>
      <c r="F541" s="15" t="n">
        <f aca="false">E541*(1+IF(F$3&lt;=$O$2,$D541,$D541-($D541-$I$535)*MIN(F$3-$O$2,$Q$2)/$Q$2))</f>
        <v>10892.578125</v>
      </c>
      <c r="G541" s="15" t="n">
        <f aca="false">F541*(1+IF(G$3&lt;=$O$2,$D541,$D541-($D541-$I$535)*MIN(G$3-$O$2,$Q$2)/$Q$2))</f>
        <v>11062.7746582031</v>
      </c>
      <c r="H541" s="15" t="n">
        <f aca="false">G541*(1+IF(H$3&lt;=$O$2,$D541,$D541-($D541-$I$535)*MIN(H$3-$O$2,$Q$2)/$Q$2))</f>
        <v>11235.6305122375</v>
      </c>
      <c r="I541" s="15" t="n">
        <f aca="false">H541*(1+IF(I$3&lt;=$O$2,$D541,$D541-($D541-$I$535)*MIN(I$3-$O$2,$Q$2)/$Q$2))</f>
        <v>11411.1872389913</v>
      </c>
      <c r="J541" s="15" t="n">
        <f aca="false">I541*(1+IF(J$3&lt;=$O$2,$D541,$D541-($D541-$I$535)*MIN(J$3-$O$2,$Q$2)/$Q$2))</f>
        <v>11629.8255864903</v>
      </c>
      <c r="K541" s="15" t="n">
        <f aca="false">J541*(1+IF(K$3&lt;=$O$2,$D541,$D541-($D541-$I$535)*MIN(K$3-$O$2,$Q$2)/$Q$2))</f>
        <v>11893.7644781757</v>
      </c>
      <c r="L541" s="15" t="n">
        <f aca="false">K541*(1+IF(L$3&lt;=$O$2,$D541,$D541-($D541-$I$535)*MIN(L$3-$O$2,$Q$2)/$Q$2))</f>
        <v>12205.7379204383</v>
      </c>
      <c r="M541" s="15" t="n">
        <f aca="false">L541*(1+IF(M$3&lt;=$O$2,$D541,$D541-($D541-$I$535)*MIN(M$3-$O$2,$Q$2)/$Q$2))</f>
        <v>12569.0417096401</v>
      </c>
      <c r="N541" s="15" t="n">
        <f aca="false">M541*(1+IF(N$3&lt;=$O$2,$D541,$D541-($D541-$I$535)*MIN(N$3-$O$2,$Q$2)/$Q$2))</f>
        <v>12987.5907985711</v>
      </c>
      <c r="O541" s="15" t="n">
        <f aca="false">SUMPRODUCT(E541:N541,1/(1+$F$535)^$E$3:$N$3)*$E$2</f>
        <v>37898.3100003651</v>
      </c>
      <c r="P541" s="15" t="n">
        <f aca="false">N541*$E$2*(1+$I$535)/($F$535-$I$535)/(1+$F$535)^$N$3</f>
        <v>62025.2893280102</v>
      </c>
      <c r="Q541" s="15" t="n">
        <f aca="false">O541+P541</f>
        <v>99923.5993283754</v>
      </c>
      <c r="R541" s="15" t="n">
        <f aca="false">Q541-$G$2+$I$2</f>
        <v>80463.5993283754</v>
      </c>
      <c r="S541" s="40" t="n">
        <f aca="false">R541/$K$2</f>
        <v>143.32923516339</v>
      </c>
      <c r="T541" s="41" t="n">
        <f aca="false">S541-$M$2</f>
        <v>-12.4804515071957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39" t="n">
        <f aca="false">(B542+C542)/2</f>
        <v>0.0390625</v>
      </c>
      <c r="E542" s="15" t="n">
        <f aca="false">$C$2*(1+IF(E$3&lt;=$O$2,$D542,$D542-($D542-$I$535)*MIN(E$3-$O$2,$Q$2)/$Q$2))</f>
        <v>10972.5</v>
      </c>
      <c r="F542" s="15" t="n">
        <f aca="false">E542*(1+IF(F$3&lt;=$O$2,$D542,$D542-($D542-$I$535)*MIN(F$3-$O$2,$Q$2)/$Q$2))</f>
        <v>11401.11328125</v>
      </c>
      <c r="G542" s="15" t="n">
        <f aca="false">F542*(1+IF(G$3&lt;=$O$2,$D542,$D542-($D542-$I$535)*MIN(G$3-$O$2,$Q$2)/$Q$2))</f>
        <v>11846.4692687988</v>
      </c>
      <c r="H542" s="15" t="n">
        <f aca="false">G542*(1+IF(H$3&lt;=$O$2,$D542,$D542-($D542-$I$535)*MIN(H$3-$O$2,$Q$2)/$Q$2))</f>
        <v>12309.2219746113</v>
      </c>
      <c r="I542" s="15" t="n">
        <f aca="false">H542*(1+IF(I$3&lt;=$O$2,$D542,$D542-($D542-$I$535)*MIN(I$3-$O$2,$Q$2)/$Q$2))</f>
        <v>12790.0509579945</v>
      </c>
      <c r="J542" s="15" t="n">
        <f aca="false">I542*(1+IF(J$3&lt;=$O$2,$D542,$D542-($D542-$I$535)*MIN(J$3-$O$2,$Q$2)/$Q$2))</f>
        <v>13274.9217898121</v>
      </c>
      <c r="K542" s="15" t="n">
        <f aca="false">J542*(1+IF(K$3&lt;=$O$2,$D542,$D542-($D542-$I$535)*MIN(K$3-$O$2,$Q$2)/$Q$2))</f>
        <v>13762.8747275011</v>
      </c>
      <c r="L542" s="15" t="n">
        <f aca="false">K542*(1+IF(L$3&lt;=$O$2,$D542,$D542-($D542-$I$535)*MIN(L$3-$O$2,$Q$2)/$Q$2))</f>
        <v>14252.9018821738</v>
      </c>
      <c r="M542" s="15" t="n">
        <f aca="false">L542*(1+IF(M$3&lt;=$O$2,$D542,$D542-($D542-$I$535)*MIN(M$3-$O$2,$Q$2)/$Q$2))</f>
        <v>14743.9499842694</v>
      </c>
      <c r="N542" s="15" t="n">
        <f aca="false">M542*(1+IF(N$3&lt;=$O$2,$D542,$D542-($D542-$I$535)*MIN(N$3-$O$2,$Q$2)/$Q$2))</f>
        <v>15234.9235187456</v>
      </c>
      <c r="O542" s="15" t="n">
        <f aca="false">SUMPRODUCT(E542:N542,1/(1+$F$535)^$E$3:$N$3)*$E$2</f>
        <v>41997.884911182</v>
      </c>
      <c r="P542" s="15" t="n">
        <f aca="false">N542*$E$2*(1+$I$535)/($F$535-$I$535)/(1+$F$535)^$N$3</f>
        <v>72757.9544040041</v>
      </c>
      <c r="Q542" s="15" t="n">
        <f aca="false">O542+P542</f>
        <v>114755.839315186</v>
      </c>
      <c r="R542" s="15" t="n">
        <f aca="false">Q542-$G$2+$I$2</f>
        <v>95295.8393151861</v>
      </c>
      <c r="S542" s="40" t="n">
        <f aca="false">R542/$K$2</f>
        <v>169.749798384699</v>
      </c>
      <c r="T542" s="41" t="n">
        <f aca="false">S542-$M$2</f>
        <v>13.9401117141133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0.015625</v>
      </c>
      <c r="C543" s="25" t="n">
        <f aca="false">IF(T542&gt;0,D542,C542)</f>
        <v>0.0390625</v>
      </c>
      <c r="D543" s="39" t="n">
        <f aca="false">(B543+C543)/2</f>
        <v>0.02734375</v>
      </c>
      <c r="E543" s="15" t="n">
        <f aca="false">$C$2*(1+IF(E$3&lt;=$O$2,$D543,$D543-($D543-$I$535)*MIN(E$3-$O$2,$Q$2)/$Q$2))</f>
        <v>10848.75</v>
      </c>
      <c r="F543" s="15" t="n">
        <f aca="false">E543*(1+IF(F$3&lt;=$O$2,$D543,$D543-($D543-$I$535)*MIN(F$3-$O$2,$Q$2)/$Q$2))</f>
        <v>11145.3955078125</v>
      </c>
      <c r="G543" s="15" t="n">
        <f aca="false">F543*(1+IF(G$3&lt;=$O$2,$D543,$D543-($D543-$I$535)*MIN(G$3-$O$2,$Q$2)/$Q$2))</f>
        <v>11450.1524162292</v>
      </c>
      <c r="H543" s="15" t="n">
        <f aca="false">G543*(1+IF(H$3&lt;=$O$2,$D543,$D543-($D543-$I$535)*MIN(H$3-$O$2,$Q$2)/$Q$2))</f>
        <v>11763.2425213605</v>
      </c>
      <c r="I543" s="15" t="n">
        <f aca="false">H543*(1+IF(I$3&lt;=$O$2,$D543,$D543-($D543-$I$535)*MIN(I$3-$O$2,$Q$2)/$Q$2))</f>
        <v>12084.893684054</v>
      </c>
      <c r="J543" s="15" t="n">
        <f aca="false">I543*(1+IF(J$3&lt;=$O$2,$D543,$D543-($D543-$I$535)*MIN(J$3-$O$2,$Q$2)/$Q$2))</f>
        <v>12429.7361253284</v>
      </c>
      <c r="K543" s="15" t="n">
        <f aca="false">J543*(1+IF(K$3&lt;=$O$2,$D543,$D543-($D543-$I$535)*MIN(K$3-$O$2,$Q$2)/$Q$2))</f>
        <v>12799.225568824</v>
      </c>
      <c r="L543" s="15" t="n">
        <f aca="false">K543*(1+IF(L$3&lt;=$O$2,$D543,$D543-($D543-$I$535)*MIN(L$3-$O$2,$Q$2)/$Q$2))</f>
        <v>13194.9456253481</v>
      </c>
      <c r="M543" s="15" t="n">
        <f aca="false">L543*(1+IF(M$3&lt;=$O$2,$D543,$D543-($D543-$I$535)*MIN(M$3-$O$2,$Q$2)/$Q$2))</f>
        <v>13618.618835696</v>
      </c>
      <c r="N543" s="15" t="n">
        <f aca="false">M543*(1+IF(N$3&lt;=$O$2,$D543,$D543-($D543-$I$535)*MIN(N$3-$O$2,$Q$2)/$Q$2))</f>
        <v>14072.1188429247</v>
      </c>
      <c r="O543" s="15" t="n">
        <f aca="false">SUMPRODUCT(E543:N543,1/(1+$F$535)^$E$3:$N$3)*$E$2</f>
        <v>39894.7798915046</v>
      </c>
      <c r="P543" s="15" t="n">
        <f aca="false">N543*$E$2*(1+$I$535)/($F$535-$I$535)/(1+$F$535)^$N$3</f>
        <v>67204.7076495953</v>
      </c>
      <c r="Q543" s="15" t="n">
        <f aca="false">O543+P543</f>
        <v>107099.4875411</v>
      </c>
      <c r="R543" s="15" t="n">
        <f aca="false">Q543-$G$2+$I$2</f>
        <v>87639.4875411</v>
      </c>
      <c r="S543" s="40" t="n">
        <f aca="false">R543/$K$2</f>
        <v>156.111593617806</v>
      </c>
      <c r="T543" s="41" t="n">
        <f aca="false">S543-$M$2</f>
        <v>0.301906947220203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0.015625</v>
      </c>
      <c r="C544" s="25" t="n">
        <f aca="false">IF(T543&gt;0,D543,C543)</f>
        <v>0.02734375</v>
      </c>
      <c r="D544" s="39" t="n">
        <f aca="false">(B544+C544)/2</f>
        <v>0.021484375</v>
      </c>
      <c r="E544" s="15" t="n">
        <f aca="false">$C$2*(1+IF(E$3&lt;=$O$2,$D544,$D544-($D544-$I$535)*MIN(E$3-$O$2,$Q$2)/$Q$2))</f>
        <v>10786.875</v>
      </c>
      <c r="F544" s="15" t="n">
        <f aca="false">E544*(1+IF(F$3&lt;=$O$2,$D544,$D544-($D544-$I$535)*MIN(F$3-$O$2,$Q$2)/$Q$2))</f>
        <v>11018.6242675781</v>
      </c>
      <c r="G544" s="15" t="n">
        <f aca="false">F544*(1+IF(G$3&lt;=$O$2,$D544,$D544-($D544-$I$535)*MIN(G$3-$O$2,$Q$2)/$Q$2))</f>
        <v>11255.3525233269</v>
      </c>
      <c r="H544" s="15" t="n">
        <f aca="false">G544*(1+IF(H$3&lt;=$O$2,$D544,$D544-($D544-$I$535)*MIN(H$3-$O$2,$Q$2)/$Q$2))</f>
        <v>11497.1667376952</v>
      </c>
      <c r="I544" s="15" t="n">
        <f aca="false">H544*(1+IF(I$3&lt;=$O$2,$D544,$D544-($D544-$I$535)*MIN(I$3-$O$2,$Q$2)/$Q$2))</f>
        <v>11744.1761793254</v>
      </c>
      <c r="J544" s="15" t="n">
        <f aca="false">I544*(1+IF(J$3&lt;=$O$2,$D544,$D544-($D544-$I$535)*MIN(J$3-$O$2,$Q$2)/$Q$2))</f>
        <v>12024.2454207619</v>
      </c>
      <c r="K544" s="15" t="n">
        <f aca="false">J544*(1+IF(K$3&lt;=$O$2,$D544,$D544-($D544-$I$535)*MIN(K$3-$O$2,$Q$2)/$Q$2))</f>
        <v>12339.4084083934</v>
      </c>
      <c r="L544" s="15" t="n">
        <f aca="false">K544*(1+IF(L$3&lt;=$O$2,$D544,$D544-($D544-$I$535)*MIN(L$3-$O$2,$Q$2)/$Q$2))</f>
        <v>12691.9915794027</v>
      </c>
      <c r="M544" s="15" t="n">
        <f aca="false">L544*(1+IF(M$3&lt;=$O$2,$D544,$D544-($D544-$I$535)*MIN(M$3-$O$2,$Q$2)/$Q$2))</f>
        <v>13084.6421363958</v>
      </c>
      <c r="N544" s="15" t="n">
        <f aca="false">M544*(1+IF(N$3&lt;=$O$2,$D544,$D544-($D544-$I$535)*MIN(N$3-$O$2,$Q$2)/$Q$2))</f>
        <v>13520.3607195378</v>
      </c>
      <c r="O544" s="15" t="n">
        <f aca="false">SUMPRODUCT(E544:N544,1/(1+$F$535)^$E$3:$N$3)*$E$2</f>
        <v>38883.5395070147</v>
      </c>
      <c r="P544" s="15" t="n">
        <f aca="false">N544*$E$2*(1+$I$535)/($F$535-$I$535)/(1+$F$535)^$N$3</f>
        <v>64569.6571792711</v>
      </c>
      <c r="Q544" s="15" t="n">
        <f aca="false">O544+P544</f>
        <v>103453.196686286</v>
      </c>
      <c r="R544" s="15" t="n">
        <f aca="false">Q544-$G$2+$I$2</f>
        <v>83993.1966862858</v>
      </c>
      <c r="S544" s="40" t="n">
        <f aca="false">R544/$K$2</f>
        <v>149.616481744039</v>
      </c>
      <c r="T544" s="41" t="n">
        <f aca="false">S544-$M$2</f>
        <v>-6.19320492654694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0.021484375</v>
      </c>
      <c r="C545" s="25" t="n">
        <f aca="false">IF(T544&gt;0,D544,C544)</f>
        <v>0.02734375</v>
      </c>
      <c r="D545" s="39" t="n">
        <f aca="false">(B545+C545)/2</f>
        <v>0.0244140625</v>
      </c>
      <c r="E545" s="15" t="n">
        <f aca="false">$C$2*(1+IF(E$3&lt;=$O$2,$D545,$D545-($D545-$I$535)*MIN(E$3-$O$2,$Q$2)/$Q$2))</f>
        <v>10817.8125</v>
      </c>
      <c r="F545" s="15" t="n">
        <f aca="false">E545*(1+IF(F$3&lt;=$O$2,$D545,$D545-($D545-$I$535)*MIN(F$3-$O$2,$Q$2)/$Q$2))</f>
        <v>11081.9192504883</v>
      </c>
      <c r="G545" s="15" t="n">
        <f aca="false">F545*(1+IF(G$3&lt;=$O$2,$D545,$D545-($D545-$I$535)*MIN(G$3-$O$2,$Q$2)/$Q$2))</f>
        <v>11352.4739196897</v>
      </c>
      <c r="H545" s="15" t="n">
        <f aca="false">G545*(1+IF(H$3&lt;=$O$2,$D545,$D545-($D545-$I$535)*MIN(H$3-$O$2,$Q$2)/$Q$2))</f>
        <v>11629.6339274946</v>
      </c>
      <c r="I545" s="15" t="n">
        <f aca="false">H545*(1+IF(I$3&lt;=$O$2,$D545,$D545-($D545-$I$535)*MIN(I$3-$O$2,$Q$2)/$Q$2))</f>
        <v>11913.5605370526</v>
      </c>
      <c r="J545" s="15" t="n">
        <f aca="false">I545*(1+IF(J$3&lt;=$O$2,$D545,$D545-($D545-$I$535)*MIN(J$3-$O$2,$Q$2)/$Q$2))</f>
        <v>12225.5915794686</v>
      </c>
      <c r="K545" s="15" t="n">
        <f aca="false">J545*(1+IF(K$3&lt;=$O$2,$D545,$D545-($D545-$I$535)*MIN(K$3-$O$2,$Q$2)/$Q$2))</f>
        <v>12567.5222734595</v>
      </c>
      <c r="L545" s="15" t="n">
        <f aca="false">K545*(1+IF(L$3&lt;=$O$2,$D545,$D545-($D545-$I$535)*MIN(L$3-$O$2,$Q$2)/$Q$2))</f>
        <v>12941.351078185</v>
      </c>
      <c r="M545" s="15" t="n">
        <f aca="false">L545*(1+IF(M$3&lt;=$O$2,$D545,$D545-($D545-$I$535)*MIN(M$3-$O$2,$Q$2)/$Q$2))</f>
        <v>13349.2988617193</v>
      </c>
      <c r="N545" s="15" t="n">
        <f aca="false">M545*(1+IF(N$3&lt;=$O$2,$D545,$D545-($D545-$I$535)*MIN(N$3-$O$2,$Q$2)/$Q$2))</f>
        <v>13793.8305138146</v>
      </c>
      <c r="O545" s="15" t="n">
        <f aca="false">SUMPRODUCT(E545:N545,1/(1+$F$535)^$E$3:$N$3)*$E$2</f>
        <v>39385.8683838726</v>
      </c>
      <c r="P545" s="15" t="n">
        <f aca="false">N545*$E$2*(1+$I$535)/($F$535-$I$535)/(1+$F$535)^$N$3</f>
        <v>65875.6763921921</v>
      </c>
      <c r="Q545" s="15" t="n">
        <f aca="false">O545+P545</f>
        <v>105261.544776065</v>
      </c>
      <c r="R545" s="15" t="n">
        <f aca="false">Q545-$G$2+$I$2</f>
        <v>85801.5447760647</v>
      </c>
      <c r="S545" s="40" t="n">
        <f aca="false">R545/$K$2</f>
        <v>152.837679289023</v>
      </c>
      <c r="T545" s="41" t="n">
        <f aca="false">S545-$M$2</f>
        <v>-2.97200738156243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0.0244140625</v>
      </c>
      <c r="C546" s="25" t="n">
        <f aca="false">IF(T545&gt;0,D545,C545)</f>
        <v>0.02734375</v>
      </c>
      <c r="D546" s="39" t="n">
        <f aca="false">(B546+C546)/2</f>
        <v>0.02587890625</v>
      </c>
      <c r="E546" s="15" t="n">
        <f aca="false">$C$2*(1+IF(E$3&lt;=$O$2,$D546,$D546-($D546-$I$535)*MIN(E$3-$O$2,$Q$2)/$Q$2))</f>
        <v>10833.28125</v>
      </c>
      <c r="F546" s="15" t="n">
        <f aca="false">E546*(1+IF(F$3&lt;=$O$2,$D546,$D546-($D546-$I$535)*MIN(F$3-$O$2,$Q$2)/$Q$2))</f>
        <v>11113.6347198486</v>
      </c>
      <c r="G546" s="15" t="n">
        <f aca="false">F546*(1+IF(G$3&lt;=$O$2,$D546,$D546-($D546-$I$535)*MIN(G$3-$O$2,$Q$2)/$Q$2))</f>
        <v>11401.2434308603</v>
      </c>
      <c r="H546" s="15" t="n">
        <f aca="false">G546*(1+IF(H$3&lt;=$O$2,$D546,$D546-($D546-$I$535)*MIN(H$3-$O$2,$Q$2)/$Q$2))</f>
        <v>11696.295140741</v>
      </c>
      <c r="I546" s="15" t="n">
        <f aca="false">H546*(1+IF(I$3&lt;=$O$2,$D546,$D546-($D546-$I$535)*MIN(I$3-$O$2,$Q$2)/$Q$2))</f>
        <v>11998.9824661606</v>
      </c>
      <c r="J546" s="15" t="n">
        <f aca="false">I546*(1+IF(J$3&lt;=$O$2,$D546,$D546-($D546-$I$535)*MIN(J$3-$O$2,$Q$2)/$Q$2))</f>
        <v>12327.3121232549</v>
      </c>
      <c r="K546" s="15" t="n">
        <f aca="false">J546*(1+IF(K$3&lt;=$O$2,$D546,$D546-($D546-$I$535)*MIN(K$3-$O$2,$Q$2)/$Q$2))</f>
        <v>12682.922333588</v>
      </c>
      <c r="L546" s="15" t="n">
        <f aca="false">K546*(1+IF(L$3&lt;=$O$2,$D546,$D546-($D546-$I$535)*MIN(L$3-$O$2,$Q$2)/$Q$2))</f>
        <v>13067.6151850319</v>
      </c>
      <c r="M546" s="15" t="n">
        <f aca="false">L546*(1+IF(M$3&lt;=$O$2,$D546,$D546-($D546-$I$535)*MIN(M$3-$O$2,$Q$2)/$Q$2))</f>
        <v>13483.371571218</v>
      </c>
      <c r="N546" s="15" t="n">
        <f aca="false">M546*(1+IF(N$3&lt;=$O$2,$D546,$D546-($D546-$I$535)*MIN(N$3-$O$2,$Q$2)/$Q$2))</f>
        <v>13932.3678445396</v>
      </c>
      <c r="O546" s="15" t="n">
        <f aca="false">SUMPRODUCT(E546:N546,1/(1+$F$535)^$E$3:$N$3)*$E$2</f>
        <v>39639.4962676506</v>
      </c>
      <c r="P546" s="15" t="n">
        <f aca="false">N546*$E$2*(1+$I$535)/($F$535-$I$535)/(1+$F$535)^$N$3</f>
        <v>66537.2939434546</v>
      </c>
      <c r="Q546" s="15" t="n">
        <f aca="false">O546+P546</f>
        <v>106176.790211105</v>
      </c>
      <c r="R546" s="15" t="n">
        <f aca="false">Q546-$G$2+$I$2</f>
        <v>86716.7902111052</v>
      </c>
      <c r="S546" s="40" t="n">
        <f aca="false">R546/$K$2</f>
        <v>154.467999449768</v>
      </c>
      <c r="T546" s="41" t="n">
        <f aca="false">S546-$M$2</f>
        <v>-1.34168722081762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0.02587890625</v>
      </c>
      <c r="C547" s="25" t="n">
        <f aca="false">IF(T546&gt;0,D546,C546)</f>
        <v>0.02734375</v>
      </c>
      <c r="D547" s="39" t="n">
        <f aca="false">(B547+C547)/2</f>
        <v>0.026611328125</v>
      </c>
      <c r="E547" s="15" t="n">
        <f aca="false">$C$2*(1+IF(E$3&lt;=$O$2,$D547,$D547-($D547-$I$535)*MIN(E$3-$O$2,$Q$2)/$Q$2))</f>
        <v>10841.015625</v>
      </c>
      <c r="F547" s="15" t="n">
        <f aca="false">E547*(1+IF(F$3&lt;=$O$2,$D547,$D547-($D547-$I$535)*MIN(F$3-$O$2,$Q$2)/$Q$2))</f>
        <v>11129.5094490051</v>
      </c>
      <c r="G547" s="15" t="n">
        <f aca="false">F547*(1+IF(G$3&lt;=$O$2,$D547,$D547-($D547-$I$535)*MIN(G$3-$O$2,$Q$2)/$Q$2))</f>
        <v>11425.6804768229</v>
      </c>
      <c r="H547" s="15" t="n">
        <f aca="false">G547*(1+IF(H$3&lt;=$O$2,$D547,$D547-($D547-$I$535)*MIN(H$3-$O$2,$Q$2)/$Q$2))</f>
        <v>11729.733009043</v>
      </c>
      <c r="I547" s="15" t="n">
        <f aca="false">H547*(1+IF(I$3&lt;=$O$2,$D547,$D547-($D547-$I$535)*MIN(I$3-$O$2,$Q$2)/$Q$2))</f>
        <v>12041.8767829653</v>
      </c>
      <c r="J547" s="15" t="n">
        <f aca="false">I547*(1+IF(J$3&lt;=$O$2,$D547,$D547-($D547-$I$535)*MIN(J$3-$O$2,$Q$2)/$Q$2))</f>
        <v>12378.4359497897</v>
      </c>
      <c r="K547" s="15" t="n">
        <f aca="false">J547*(1+IF(K$3&lt;=$O$2,$D547,$D547-($D547-$I$535)*MIN(K$3-$O$2,$Q$2)/$Q$2))</f>
        <v>12740.9606890814</v>
      </c>
      <c r="L547" s="15" t="n">
        <f aca="false">K547*(1+IF(L$3&lt;=$O$2,$D547,$D547-($D547-$I$535)*MIN(L$3-$O$2,$Q$2)/$Q$2))</f>
        <v>13131.1466378592</v>
      </c>
      <c r="M547" s="15" t="n">
        <f aca="false">L547*(1+IF(M$3&lt;=$O$2,$D547,$D547-($D547-$I$535)*MIN(M$3-$O$2,$Q$2)/$Q$2))</f>
        <v>13550.8478346593</v>
      </c>
      <c r="N547" s="15" t="n">
        <f aca="false">M547*(1+IF(N$3&lt;=$O$2,$D547,$D547-($D547-$I$535)*MIN(N$3-$O$2,$Q$2)/$Q$2))</f>
        <v>14002.0910675534</v>
      </c>
      <c r="O547" s="15" t="n">
        <f aca="false">SUMPRODUCT(E547:N547,1/(1+$F$535)^$E$3:$N$3)*$E$2</f>
        <v>39766.930478979</v>
      </c>
      <c r="P547" s="15" t="n">
        <f aca="false">N547*$E$2*(1+$I$535)/($F$535-$I$535)/(1+$F$535)^$N$3</f>
        <v>66870.2735658794</v>
      </c>
      <c r="Q547" s="15" t="n">
        <f aca="false">O547+P547</f>
        <v>106637.204044858</v>
      </c>
      <c r="R547" s="15" t="n">
        <f aca="false">Q547-$G$2+$I$2</f>
        <v>87177.2040448583</v>
      </c>
      <c r="S547" s="40" t="n">
        <f aca="false">R547/$K$2</f>
        <v>155.288131325564</v>
      </c>
      <c r="T547" s="41" t="n">
        <f aca="false">S547-$M$2</f>
        <v>-0.521555345021568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0.026611328125</v>
      </c>
      <c r="C548" s="25" t="n">
        <f aca="false">IF(T547&gt;0,D547,C547)</f>
        <v>0.02734375</v>
      </c>
      <c r="D548" s="39" t="n">
        <f aca="false">(B548+C548)/2</f>
        <v>0.0269775390625</v>
      </c>
      <c r="E548" s="15" t="n">
        <f aca="false">$C$2*(1+IF(E$3&lt;=$O$2,$D548,$D548-($D548-$I$535)*MIN(E$3-$O$2,$Q$2)/$Q$2))</f>
        <v>10844.8828125</v>
      </c>
      <c r="F548" s="15" t="n">
        <f aca="false">E548*(1+IF(F$3&lt;=$O$2,$D548,$D548-($D548-$I$535)*MIN(F$3-$O$2,$Q$2)/$Q$2))</f>
        <v>11137.4510622025</v>
      </c>
      <c r="G548" s="15" t="n">
        <f aca="false">F548*(1+IF(G$3&lt;=$O$2,$D548,$D548-($D548-$I$535)*MIN(G$3-$O$2,$Q$2)/$Q$2))</f>
        <v>11437.9120832897</v>
      </c>
      <c r="H548" s="15" t="n">
        <f aca="false">G548*(1+IF(H$3&lt;=$O$2,$D548,$D548-($D548-$I$535)*MIN(H$3-$O$2,$Q$2)/$Q$2))</f>
        <v>11746.4788033101</v>
      </c>
      <c r="I548" s="15" t="n">
        <f aca="false">H548*(1+IF(I$3&lt;=$O$2,$D548,$D548-($D548-$I$535)*MIN(I$3-$O$2,$Q$2)/$Q$2))</f>
        <v>12063.3698940732</v>
      </c>
      <c r="J548" s="15" t="n">
        <f aca="false">I548*(1+IF(J$3&lt;=$O$2,$D548,$D548-($D548-$I$535)*MIN(J$3-$O$2,$Q$2)/$Q$2))</f>
        <v>12404.0639636019</v>
      </c>
      <c r="K548" s="15" t="n">
        <f aca="false">J548*(1+IF(K$3&lt;=$O$2,$D548,$D548-($D548-$I$535)*MIN(K$3-$O$2,$Q$2)/$Q$2))</f>
        <v>12770.0647676642</v>
      </c>
      <c r="L548" s="15" t="n">
        <f aca="false">K548*(1+IF(L$3&lt;=$O$2,$D548,$D548-($D548-$I$535)*MIN(L$3-$O$2,$Q$2)/$Q$2))</f>
        <v>13163.0126301623</v>
      </c>
      <c r="M548" s="15" t="n">
        <f aca="false">L548*(1+IF(M$3&lt;=$O$2,$D548,$D548-($D548-$I$535)*MIN(M$3-$O$2,$Q$2)/$Q$2))</f>
        <v>13584.6964241119</v>
      </c>
      <c r="N548" s="15" t="n">
        <f aca="false">M548*(1+IF(N$3&lt;=$O$2,$D548,$D548-($D548-$I$535)*MIN(N$3-$O$2,$Q$2)/$Q$2))</f>
        <v>14037.0668150348</v>
      </c>
      <c r="O548" s="15" t="n">
        <f aca="false">SUMPRODUCT(E548:N548,1/(1+$F$535)^$E$3:$N$3)*$E$2</f>
        <v>39830.8032057717</v>
      </c>
      <c r="P548" s="15" t="n">
        <f aca="false">N548*$E$2*(1+$I$535)/($F$535-$I$535)/(1+$F$535)^$N$3</f>
        <v>67037.3084602366</v>
      </c>
      <c r="Q548" s="15" t="n">
        <f aca="false">O548+P548</f>
        <v>106868.111666008</v>
      </c>
      <c r="R548" s="15" t="n">
        <f aca="false">Q548-$G$2+$I$2</f>
        <v>87408.1116660083</v>
      </c>
      <c r="S548" s="40" t="n">
        <f aca="false">R548/$K$2</f>
        <v>155.699445422983</v>
      </c>
      <c r="T548" s="41" t="n">
        <f aca="false">S548-$M$2</f>
        <v>-0.110241247602772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0.0269775390625</v>
      </c>
      <c r="C549" s="25" t="n">
        <f aca="false">IF(T548&gt;0,D548,C548)</f>
        <v>0.02734375</v>
      </c>
      <c r="D549" s="39" t="n">
        <f aca="false">(B549+C549)/2</f>
        <v>0.02716064453125</v>
      </c>
      <c r="E549" s="15" t="n">
        <f aca="false">$C$2*(1+IF(E$3&lt;=$O$2,$D549,$D549-($D549-$I$535)*MIN(E$3-$O$2,$Q$2)/$Q$2))</f>
        <v>10846.81640625</v>
      </c>
      <c r="F549" s="15" t="n">
        <f aca="false">E549*(1+IF(F$3&lt;=$O$2,$D549,$D549-($D549-$I$535)*MIN(F$3-$O$2,$Q$2)/$Q$2))</f>
        <v>11141.4229309559</v>
      </c>
      <c r="G549" s="15" t="n">
        <f aca="false">F549*(1+IF(G$3&lt;=$O$2,$D549,$D549-($D549-$I$535)*MIN(G$3-$O$2,$Q$2)/$Q$2))</f>
        <v>11444.0311587559</v>
      </c>
      <c r="H549" s="15" t="n">
        <f aca="false">G549*(1+IF(H$3&lt;=$O$2,$D549,$D549-($D549-$I$535)*MIN(H$3-$O$2,$Q$2)/$Q$2))</f>
        <v>11754.8584210634</v>
      </c>
      <c r="I549" s="15" t="n">
        <f aca="false">H549*(1+IF(I$3&lt;=$O$2,$D549,$D549-($D549-$I$535)*MIN(I$3-$O$2,$Q$2)/$Q$2))</f>
        <v>12074.1279521531</v>
      </c>
      <c r="J549" s="15" t="n">
        <f aca="false">I549*(1+IF(J$3&lt;=$O$2,$D549,$D549-($D549-$I$535)*MIN(J$3-$O$2,$Q$2)/$Q$2))</f>
        <v>12416.894522181</v>
      </c>
      <c r="K549" s="15" t="n">
        <f aca="false">J549*(1+IF(K$3&lt;=$O$2,$D549,$D549-($D549-$I$535)*MIN(K$3-$O$2,$Q$2)/$Q$2))</f>
        <v>12784.6380721959</v>
      </c>
      <c r="L549" s="15" t="n">
        <f aca="false">K549*(1+IF(L$3&lt;=$O$2,$D549,$D549-($D549-$I$535)*MIN(L$3-$O$2,$Q$2)/$Q$2))</f>
        <v>13178.9707449342</v>
      </c>
      <c r="M549" s="15" t="n">
        <f aca="false">L549*(1+IF(M$3&lt;=$O$2,$D549,$D549-($D549-$I$535)*MIN(M$3-$O$2,$Q$2)/$Q$2))</f>
        <v>13601.6483935174</v>
      </c>
      <c r="N549" s="15" t="n">
        <f aca="false">M549*(1+IF(N$3&lt;=$O$2,$D549,$D549-($D549-$I$535)*MIN(N$3-$O$2,$Q$2)/$Q$2))</f>
        <v>14054.5832850216</v>
      </c>
      <c r="O549" s="15" t="n">
        <f aca="false">SUMPRODUCT(E549:N549,1/(1+$F$535)^$E$3:$N$3)*$E$2</f>
        <v>39862.778543844</v>
      </c>
      <c r="P549" s="15" t="n">
        <f aca="false">N549*$E$2*(1+$I$535)/($F$535-$I$535)/(1+$F$535)^$N$3</f>
        <v>67120.9624755028</v>
      </c>
      <c r="Q549" s="15" t="n">
        <f aca="false">O549+P549</f>
        <v>106983.741019347</v>
      </c>
      <c r="R549" s="15" t="n">
        <f aca="false">Q549-$G$2+$I$2</f>
        <v>87523.7410193468</v>
      </c>
      <c r="S549" s="40" t="n">
        <f aca="false">R549/$K$2</f>
        <v>155.905415164764</v>
      </c>
      <c r="T549" s="41" t="n">
        <f aca="false">S549-$M$2</f>
        <v>0.095728494178303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0.0269775390625</v>
      </c>
      <c r="C550" s="25" t="n">
        <f aca="false">IF(T549&gt;0,D549,C549)</f>
        <v>0.02716064453125</v>
      </c>
      <c r="D550" s="39" t="n">
        <f aca="false">(B550+C550)/2</f>
        <v>0.027069091796875</v>
      </c>
      <c r="E550" s="15" t="n">
        <f aca="false">$C$2*(1+IF(E$3&lt;=$O$2,$D550,$D550-($D550-$I$535)*MIN(E$3-$O$2,$Q$2)/$Q$2))</f>
        <v>10845.849609375</v>
      </c>
      <c r="F550" s="15" t="n">
        <f aca="false">E550*(1+IF(F$3&lt;=$O$2,$D550,$D550-($D550-$I$535)*MIN(F$3-$O$2,$Q$2)/$Q$2))</f>
        <v>11139.4369080663</v>
      </c>
      <c r="G550" s="15" t="n">
        <f aca="false">F550*(1+IF(G$3&lt;=$O$2,$D550,$D550-($D550-$I$535)*MIN(G$3-$O$2,$Q$2)/$Q$2))</f>
        <v>11440.9713482962</v>
      </c>
      <c r="H550" s="15" t="n">
        <f aca="false">G550*(1+IF(H$3&lt;=$O$2,$D550,$D550-($D550-$I$535)*MIN(H$3-$O$2,$Q$2)/$Q$2))</f>
        <v>11750.6680519687</v>
      </c>
      <c r="I550" s="15" t="n">
        <f aca="false">H550*(1+IF(I$3&lt;=$O$2,$D550,$D550-($D550-$I$535)*MIN(I$3-$O$2,$Q$2)/$Q$2))</f>
        <v>12068.747964142</v>
      </c>
      <c r="J550" s="15" t="n">
        <f aca="false">I550*(1+IF(J$3&lt;=$O$2,$D550,$D550-($D550-$I$535)*MIN(J$3-$O$2,$Q$2)/$Q$2))</f>
        <v>12410.477862795</v>
      </c>
      <c r="K550" s="15" t="n">
        <f aca="false">J550*(1+IF(K$3&lt;=$O$2,$D550,$D550-($D550-$I$535)*MIN(K$3-$O$2,$Q$2)/$Q$2))</f>
        <v>12777.349646634</v>
      </c>
      <c r="L550" s="15" t="n">
        <f aca="false">K550*(1+IF(L$3&lt;=$O$2,$D550,$D550-($D550-$I$535)*MIN(L$3-$O$2,$Q$2)/$Q$2))</f>
        <v>13170.989592776</v>
      </c>
      <c r="M550" s="15" t="n">
        <f aca="false">L550*(1+IF(M$3&lt;=$O$2,$D550,$D550-($D550-$I$535)*MIN(M$3-$O$2,$Q$2)/$Q$2))</f>
        <v>13593.1701007961</v>
      </c>
      <c r="N550" s="15" t="n">
        <f aca="false">M550*(1+IF(N$3&lt;=$O$2,$D550,$D550-($D550-$I$535)*MIN(N$3-$O$2,$Q$2)/$Q$2))</f>
        <v>14045.8226651526</v>
      </c>
      <c r="O550" s="15" t="n">
        <f aca="false">SUMPRODUCT(E550:N550,1/(1+$F$535)^$E$3:$N$3)*$E$2</f>
        <v>39846.7876248506</v>
      </c>
      <c r="P550" s="15" t="n">
        <f aca="false">N550*$E$2*(1+$I$535)/($F$535-$I$535)/(1+$F$535)^$N$3</f>
        <v>67079.1240783362</v>
      </c>
      <c r="Q550" s="15" t="n">
        <f aca="false">O550+P550</f>
        <v>106925.911703187</v>
      </c>
      <c r="R550" s="15" t="n">
        <f aca="false">Q550-$G$2+$I$2</f>
        <v>87465.9117031868</v>
      </c>
      <c r="S550" s="40" t="n">
        <f aca="false">R550/$K$2</f>
        <v>155.802404216653</v>
      </c>
      <c r="T550" s="41" t="n">
        <f aca="false">S550-$M$2</f>
        <v>-0.00728245393247562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0.027069091796875</v>
      </c>
      <c r="C551" s="25" t="n">
        <f aca="false">IF(T550&gt;0,D550,C550)</f>
        <v>0.02716064453125</v>
      </c>
      <c r="D551" s="39" t="n">
        <f aca="false">(B551+C551)/2</f>
        <v>0.0271148681640625</v>
      </c>
      <c r="E551" s="15" t="n">
        <f aca="false">$C$2*(1+IF(E$3&lt;=$O$2,$D551,$D551-($D551-$I$535)*MIN(E$3-$O$2,$Q$2)/$Q$2))</f>
        <v>10846.3330078125</v>
      </c>
      <c r="F551" s="15" t="n">
        <f aca="false">E551*(1+IF(F$3&lt;=$O$2,$D551,$D551-($D551-$I$535)*MIN(F$3-$O$2,$Q$2)/$Q$2))</f>
        <v>11140.4298973829</v>
      </c>
      <c r="G551" s="15" t="n">
        <f aca="false">F551*(1+IF(G$3&lt;=$O$2,$D551,$D551-($D551-$I$535)*MIN(G$3-$O$2,$Q$2)/$Q$2))</f>
        <v>11442.5011853414</v>
      </c>
      <c r="H551" s="15" t="n">
        <f aca="false">G551*(1+IF(H$3&lt;=$O$2,$D551,$D551-($D551-$I$535)*MIN(H$3-$O$2,$Q$2)/$Q$2))</f>
        <v>11752.763096449</v>
      </c>
      <c r="I551" s="15" t="n">
        <f aca="false">H551*(1+IF(I$3&lt;=$O$2,$D551,$D551-($D551-$I$535)*MIN(I$3-$O$2,$Q$2)/$Q$2))</f>
        <v>12071.4377183727</v>
      </c>
      <c r="J551" s="15" t="n">
        <f aca="false">I551*(1+IF(J$3&lt;=$O$2,$D551,$D551-($D551-$I$535)*MIN(J$3-$O$2,$Q$2)/$Q$2))</f>
        <v>12413.6858474046</v>
      </c>
      <c r="K551" s="15" t="n">
        <f aca="false">J551*(1+IF(K$3&lt;=$O$2,$D551,$D551-($D551-$I$535)*MIN(K$3-$O$2,$Q$2)/$Q$2))</f>
        <v>12780.9934160015</v>
      </c>
      <c r="L551" s="15" t="n">
        <f aca="false">K551*(1+IF(L$3&lt;=$O$2,$D551,$D551-($D551-$I$535)*MIN(L$3-$O$2,$Q$2)/$Q$2))</f>
        <v>13174.9796450454</v>
      </c>
      <c r="M551" s="15" t="n">
        <f aca="false">L551*(1+IF(M$3&lt;=$O$2,$D551,$D551-($D551-$I$535)*MIN(M$3-$O$2,$Q$2)/$Q$2))</f>
        <v>13597.4086700174</v>
      </c>
      <c r="N551" s="15" t="n">
        <f aca="false">M551*(1+IF(N$3&lt;=$O$2,$D551,$D551-($D551-$I$535)*MIN(N$3-$O$2,$Q$2)/$Q$2))</f>
        <v>14050.2023787289</v>
      </c>
      <c r="O551" s="15" t="n">
        <f aca="false">SUMPRODUCT(E551:N551,1/(1+$F$535)^$E$3:$N$3)*$E$2</f>
        <v>39854.7822717029</v>
      </c>
      <c r="P551" s="15" t="n">
        <f aca="false">N551*$E$2*(1+$I$535)/($F$535-$I$535)/(1+$F$535)^$N$3</f>
        <v>67100.0404288713</v>
      </c>
      <c r="Q551" s="15" t="n">
        <f aca="false">O551+P551</f>
        <v>106954.822700574</v>
      </c>
      <c r="R551" s="15" t="n">
        <f aca="false">Q551-$G$2+$I$2</f>
        <v>87494.8227005742</v>
      </c>
      <c r="S551" s="40" t="n">
        <f aca="false">R551/$K$2</f>
        <v>155.853903169943</v>
      </c>
      <c r="T551" s="41" t="n">
        <f aca="false">S551-$M$2</f>
        <v>0.044216499357276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0.027069091796875</v>
      </c>
      <c r="C552" s="25" t="n">
        <f aca="false">IF(T551&gt;0,D551,C551)</f>
        <v>0.0271148681640625</v>
      </c>
      <c r="D552" s="39" t="n">
        <f aca="false">(B552+C552)/2</f>
        <v>0.0270919799804688</v>
      </c>
      <c r="E552" s="15" t="n">
        <f aca="false">$C$2*(1+IF(E$3&lt;=$O$2,$D552,$D552-($D552-$I$535)*MIN(E$3-$O$2,$Q$2)/$Q$2))</f>
        <v>10846.0913085938</v>
      </c>
      <c r="F552" s="15" t="n">
        <f aca="false">E552*(1+IF(F$3&lt;=$O$2,$D552,$D552-($D552-$I$535)*MIN(F$3-$O$2,$Q$2)/$Q$2))</f>
        <v>11139.9333971925</v>
      </c>
      <c r="G552" s="15" t="n">
        <f aca="false">F552*(1+IF(G$3&lt;=$O$2,$D552,$D552-($D552-$I$535)*MIN(G$3-$O$2,$Q$2)/$Q$2))</f>
        <v>11441.736249773</v>
      </c>
      <c r="H552" s="15" t="n">
        <f aca="false">G552*(1+IF(H$3&lt;=$O$2,$D552,$D552-($D552-$I$535)*MIN(H$3-$O$2,$Q$2)/$Q$2))</f>
        <v>11751.7155391937</v>
      </c>
      <c r="I552" s="15" t="n">
        <f aca="false">H552*(1+IF(I$3&lt;=$O$2,$D552,$D552-($D552-$I$535)*MIN(I$3-$O$2,$Q$2)/$Q$2))</f>
        <v>12070.0927813177</v>
      </c>
      <c r="J552" s="15" t="n">
        <f aca="false">I552*(1+IF(J$3&lt;=$O$2,$D552,$D552-($D552-$I$535)*MIN(J$3-$O$2,$Q$2)/$Q$2))</f>
        <v>12412.0817688363</v>
      </c>
      <c r="K552" s="15" t="n">
        <f aca="false">J552*(1+IF(K$3&lt;=$O$2,$D552,$D552-($D552-$I$535)*MIN(K$3-$O$2,$Q$2)/$Q$2))</f>
        <v>12779.1714204756</v>
      </c>
      <c r="L552" s="15" t="n">
        <f aca="false">K552*(1+IF(L$3&lt;=$O$2,$D552,$D552-($D552-$I$535)*MIN(L$3-$O$2,$Q$2)/$Q$2))</f>
        <v>13172.9844879729</v>
      </c>
      <c r="M552" s="15" t="n">
        <f aca="false">L552*(1+IF(M$3&lt;=$O$2,$D552,$D552-($D552-$I$535)*MIN(M$3-$O$2,$Q$2)/$Q$2))</f>
        <v>13595.2892411387</v>
      </c>
      <c r="N552" s="15" t="n">
        <f aca="false">M552*(1+IF(N$3&lt;=$O$2,$D552,$D552-($D552-$I$535)*MIN(N$3-$O$2,$Q$2)/$Q$2))</f>
        <v>14048.0123728686</v>
      </c>
      <c r="O552" s="15" t="n">
        <f aca="false">SUMPRODUCT(E552:N552,1/(1+$F$535)^$E$3:$N$3)*$E$2</f>
        <v>39850.784745135</v>
      </c>
      <c r="P552" s="15" t="n">
        <f aca="false">N552*$E$2*(1+$I$535)/($F$535-$I$535)/(1+$F$535)^$N$3</f>
        <v>67089.5815416749</v>
      </c>
      <c r="Q552" s="15" t="n">
        <f aca="false">O552+P552</f>
        <v>106940.36628681</v>
      </c>
      <c r="R552" s="15" t="n">
        <f aca="false">Q552-$G$2+$I$2</f>
        <v>87480.3662868099</v>
      </c>
      <c r="S552" s="40" t="n">
        <f aca="false">R552/$K$2</f>
        <v>155.828152063289</v>
      </c>
      <c r="T552" s="41" t="n">
        <f aca="false">S552-$M$2</f>
        <v>0.0184653927036322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0.027069091796875</v>
      </c>
      <c r="C553" s="25" t="n">
        <f aca="false">IF(T552&gt;0,D552,C552)</f>
        <v>0.0270919799804688</v>
      </c>
      <c r="D553" s="39" t="n">
        <f aca="false">(B553+C553)/2</f>
        <v>0.0270805358886719</v>
      </c>
      <c r="E553" s="15" t="n">
        <f aca="false">$C$2*(1+IF(E$3&lt;=$O$2,$D553,$D553-($D553-$I$535)*MIN(E$3-$O$2,$Q$2)/$Q$2))</f>
        <v>10845.9704589844</v>
      </c>
      <c r="F553" s="15" t="n">
        <f aca="false">E553*(1+IF(F$3&lt;=$O$2,$D553,$D553-($D553-$I$535)*MIN(F$3-$O$2,$Q$2)/$Q$2))</f>
        <v>11139.6851512464</v>
      </c>
      <c r="G553" s="15" t="n">
        <f aca="false">F553*(1+IF(G$3&lt;=$O$2,$D553,$D553-($D553-$I$535)*MIN(G$3-$O$2,$Q$2)/$Q$2))</f>
        <v>11441.3537947732</v>
      </c>
      <c r="H553" s="15" t="n">
        <f aca="false">G553*(1+IF(H$3&lt;=$O$2,$D553,$D553-($D553-$I$535)*MIN(H$3-$O$2,$Q$2)/$Q$2))</f>
        <v>11751.1917868276</v>
      </c>
      <c r="I553" s="15" t="n">
        <f aca="false">H553*(1+IF(I$3&lt;=$O$2,$D553,$D553-($D553-$I$535)*MIN(I$3-$O$2,$Q$2)/$Q$2))</f>
        <v>12069.4203577454</v>
      </c>
      <c r="J553" s="15" t="n">
        <f aca="false">I553*(1+IF(J$3&lt;=$O$2,$D553,$D553-($D553-$I$535)*MIN(J$3-$O$2,$Q$2)/$Q$2))</f>
        <v>12411.2797942507</v>
      </c>
      <c r="K553" s="15" t="n">
        <f aca="false">J553*(1+IF(K$3&lt;=$O$2,$D553,$D553-($D553-$I$535)*MIN(K$3-$O$2,$Q$2)/$Q$2))</f>
        <v>12778.2605058457</v>
      </c>
      <c r="L553" s="15" t="n">
        <f aca="false">K553*(1+IF(L$3&lt;=$O$2,$D553,$D553-($D553-$I$535)*MIN(L$3-$O$2,$Q$2)/$Q$2))</f>
        <v>13171.9870076418</v>
      </c>
      <c r="M553" s="15" t="n">
        <f aca="false">L553*(1+IF(M$3&lt;=$O$2,$D553,$D553-($D553-$I$535)*MIN(M$3-$O$2,$Q$2)/$Q$2))</f>
        <v>13594.2296349025</v>
      </c>
      <c r="N553" s="15" t="n">
        <f aca="false">M553*(1+IF(N$3&lt;=$O$2,$D553,$D553-($D553-$I$535)*MIN(N$3-$O$2,$Q$2)/$Q$2))</f>
        <v>14046.9174817447</v>
      </c>
      <c r="O553" s="15" t="n">
        <f aca="false">SUMPRODUCT(E553:N553,1/(1+$F$535)^$E$3:$N$3)*$E$2</f>
        <v>39848.7861342098</v>
      </c>
      <c r="P553" s="15" t="n">
        <f aca="false">N553*$E$2*(1+$I$535)/($F$535-$I$535)/(1+$F$535)^$N$3</f>
        <v>67084.3526320337</v>
      </c>
      <c r="Q553" s="15" t="n">
        <f aca="false">O553+P553</f>
        <v>106933.138766244</v>
      </c>
      <c r="R553" s="15" t="n">
        <f aca="false">Q553-$G$2+$I$2</f>
        <v>87473.1387662435</v>
      </c>
      <c r="S553" s="40" t="n">
        <f aca="false">R553/$K$2</f>
        <v>155.815277732492</v>
      </c>
      <c r="T553" s="41" t="n">
        <f aca="false">S553-$M$2</f>
        <v>0.00559106190621606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0.027069091796875</v>
      </c>
      <c r="C554" s="25" t="n">
        <f aca="false">IF(T553&gt;0,D553,C553)</f>
        <v>0.0270805358886719</v>
      </c>
      <c r="D554" s="39" t="n">
        <f aca="false">(B554+C554)/2</f>
        <v>0.0270748138427734</v>
      </c>
      <c r="E554" s="15" t="n">
        <f aca="false">$C$2*(1+IF(E$3&lt;=$O$2,$D554,$D554-($D554-$I$535)*MIN(E$3-$O$2,$Q$2)/$Q$2))</f>
        <v>10845.9100341797</v>
      </c>
      <c r="F554" s="15" t="n">
        <f aca="false">E554*(1+IF(F$3&lt;=$O$2,$D554,$D554-($D554-$I$535)*MIN(F$3-$O$2,$Q$2)/$Q$2))</f>
        <v>11139.5610293106</v>
      </c>
      <c r="G554" s="15" t="n">
        <f aca="false">F554*(1+IF(G$3&lt;=$O$2,$D554,$D554-($D554-$I$535)*MIN(G$3-$O$2,$Q$2)/$Q$2))</f>
        <v>11441.1625704694</v>
      </c>
      <c r="H554" s="15" t="n">
        <f aca="false">G554*(1+IF(H$3&lt;=$O$2,$D554,$D554-($D554-$I$535)*MIN(H$3-$O$2,$Q$2)/$Q$2))</f>
        <v>11750.9299172097</v>
      </c>
      <c r="I554" s="15" t="n">
        <f aca="false">H554*(1+IF(I$3&lt;=$O$2,$D554,$D554-($D554-$I$535)*MIN(I$3-$O$2,$Q$2)/$Q$2))</f>
        <v>12069.0841571977</v>
      </c>
      <c r="J554" s="15" t="n">
        <f aca="false">I554*(1+IF(J$3&lt;=$O$2,$D554,$D554-($D554-$I$535)*MIN(J$3-$O$2,$Q$2)/$Q$2))</f>
        <v>12410.8788231317</v>
      </c>
      <c r="K554" s="15" t="n">
        <f aca="false">J554*(1+IF(K$3&lt;=$O$2,$D554,$D554-($D554-$I$535)*MIN(K$3-$O$2,$Q$2)/$Q$2))</f>
        <v>12777.8050693127</v>
      </c>
      <c r="L554" s="15" t="n">
        <f aca="false">K554*(1+IF(L$3&lt;=$O$2,$D554,$D554-($D554-$I$535)*MIN(L$3-$O$2,$Q$2)/$Q$2))</f>
        <v>13171.488292026</v>
      </c>
      <c r="M554" s="15" t="n">
        <f aca="false">L554*(1+IF(M$3&lt;=$O$2,$D554,$D554-($D554-$I$535)*MIN(M$3-$O$2,$Q$2)/$Q$2))</f>
        <v>13593.6998588333</v>
      </c>
      <c r="N554" s="15" t="n">
        <f aca="false">M554*(1+IF(N$3&lt;=$O$2,$D554,$D554-($D554-$I$535)*MIN(N$3-$O$2,$Q$2)/$Q$2))</f>
        <v>14046.3700641325</v>
      </c>
      <c r="O554" s="15" t="n">
        <f aca="false">SUMPRODUCT(E554:N554,1/(1+$F$535)^$E$3:$N$3)*$E$2</f>
        <v>39847.7868668348</v>
      </c>
      <c r="P554" s="15" t="n">
        <f aca="false">N554*$E$2*(1+$I$535)/($F$535-$I$535)/(1+$F$535)^$N$3</f>
        <v>67081.7383106933</v>
      </c>
      <c r="Q554" s="15" t="n">
        <f aca="false">O554+P554</f>
        <v>106929.525177528</v>
      </c>
      <c r="R554" s="15" t="n">
        <f aca="false">Q554-$G$2+$I$2</f>
        <v>87469.5251775281</v>
      </c>
      <c r="S554" s="40" t="n">
        <f aca="false">R554/$K$2</f>
        <v>155.808840872705</v>
      </c>
      <c r="T554" s="41" t="n">
        <f aca="false">S554-$M$2</f>
        <v>-0.000845797880032251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0.0270748138427734</v>
      </c>
      <c r="C555" s="25" t="n">
        <f aca="false">IF(T554&gt;0,D554,C554)</f>
        <v>0.0270805358886719</v>
      </c>
      <c r="D555" s="39" t="n">
        <f aca="false">(B555+C555)/2</f>
        <v>0.0270776748657227</v>
      </c>
      <c r="E555" s="15" t="n">
        <f aca="false">$C$2*(1+IF(E$3&lt;=$O$2,$D555,$D555-($D555-$I$535)*MIN(E$3-$O$2,$Q$2)/$Q$2))</f>
        <v>10845.940246582</v>
      </c>
      <c r="F555" s="15" t="n">
        <f aca="false">E555*(1+IF(F$3&lt;=$O$2,$D555,$D555-($D555-$I$535)*MIN(F$3-$O$2,$Q$2)/$Q$2))</f>
        <v>11139.623090192</v>
      </c>
      <c r="G555" s="15" t="n">
        <f aca="false">F555*(1+IF(G$3&lt;=$O$2,$D555,$D555-($D555-$I$535)*MIN(G$3-$O$2,$Q$2)/$Q$2))</f>
        <v>11441.258182355</v>
      </c>
      <c r="H555" s="15" t="n">
        <f aca="false">G555*(1+IF(H$3&lt;=$O$2,$D555,$D555-($D555-$I$535)*MIN(H$3-$O$2,$Q$2)/$Q$2))</f>
        <v>11751.0608514715</v>
      </c>
      <c r="I555" s="15" t="n">
        <f aca="false">H555*(1+IF(I$3&lt;=$O$2,$D555,$D555-($D555-$I$535)*MIN(I$3-$O$2,$Q$2)/$Q$2))</f>
        <v>12069.252256535</v>
      </c>
      <c r="J555" s="15" t="n">
        <f aca="false">I555*(1+IF(J$3&lt;=$O$2,$D555,$D555-($D555-$I$535)*MIN(J$3-$O$2,$Q$2)/$Q$2))</f>
        <v>12411.0793073434</v>
      </c>
      <c r="K555" s="15" t="n">
        <f aca="false">J555*(1+IF(K$3&lt;=$O$2,$D555,$D555-($D555-$I$535)*MIN(K$3-$O$2,$Q$2)/$Q$2))</f>
        <v>12778.0327858474</v>
      </c>
      <c r="L555" s="15" t="n">
        <f aca="false">K555*(1+IF(L$3&lt;=$O$2,$D555,$D555-($D555-$I$535)*MIN(L$3-$O$2,$Q$2)/$Q$2))</f>
        <v>13171.7376477881</v>
      </c>
      <c r="M555" s="15" t="n">
        <f aca="false">L555*(1+IF(M$3&lt;=$O$2,$D555,$D555-($D555-$I$535)*MIN(M$3-$O$2,$Q$2)/$Q$2))</f>
        <v>13593.9647446139</v>
      </c>
      <c r="N555" s="15" t="n">
        <f aca="false">M555*(1+IF(N$3&lt;=$O$2,$D555,$D555-($D555-$I$535)*MIN(N$3-$O$2,$Q$2)/$Q$2))</f>
        <v>14046.6437706095</v>
      </c>
      <c r="O555" s="15" t="n">
        <f aca="false">SUMPRODUCT(E555:N555,1/(1+$F$535)^$E$3:$N$3)*$E$2</f>
        <v>39848.2864973484</v>
      </c>
      <c r="P555" s="15" t="n">
        <f aca="false">N555*$E$2*(1+$I$535)/($F$535-$I$535)/(1+$F$535)^$N$3</f>
        <v>67083.0454602404</v>
      </c>
      <c r="Q555" s="15" t="n">
        <f aca="false">O555+P555</f>
        <v>106931.331957589</v>
      </c>
      <c r="R555" s="15" t="n">
        <f aca="false">Q555-$G$2+$I$2</f>
        <v>87471.3319575888</v>
      </c>
      <c r="S555" s="40" t="n">
        <f aca="false">R555/$K$2</f>
        <v>155.812059277131</v>
      </c>
      <c r="T555" s="41" t="n">
        <f aca="false">S555-$M$2</f>
        <v>0.00237260654591864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0.0270748138427734</v>
      </c>
      <c r="C556" s="25" t="n">
        <f aca="false">IF(T555&gt;0,D555,C555)</f>
        <v>0.0270776748657227</v>
      </c>
      <c r="D556" s="39" t="n">
        <f aca="false">(B556+C556)/2</f>
        <v>0.027076244354248</v>
      </c>
      <c r="E556" s="15" t="n">
        <f aca="false">$C$2*(1+IF(E$3&lt;=$O$2,$D556,$D556-($D556-$I$535)*MIN(E$3-$O$2,$Q$2)/$Q$2))</f>
        <v>10845.9251403809</v>
      </c>
      <c r="F556" s="15" t="n">
        <f aca="false">E556*(1+IF(F$3&lt;=$O$2,$D556,$D556-($D556-$I$535)*MIN(F$3-$O$2,$Q$2)/$Q$2))</f>
        <v>11139.5920597297</v>
      </c>
      <c r="G556" s="15" t="n">
        <f aca="false">F556*(1+IF(G$3&lt;=$O$2,$D556,$D556-($D556-$I$535)*MIN(G$3-$O$2,$Q$2)/$Q$2))</f>
        <v>11441.2103763456</v>
      </c>
      <c r="H556" s="15" t="n">
        <f aca="false">G556*(1+IF(H$3&lt;=$O$2,$D556,$D556-($D556-$I$535)*MIN(H$3-$O$2,$Q$2)/$Q$2))</f>
        <v>11750.9953842039</v>
      </c>
      <c r="I556" s="15" t="n">
        <f aca="false">H556*(1+IF(I$3&lt;=$O$2,$D556,$D556-($D556-$I$535)*MIN(I$3-$O$2,$Q$2)/$Q$2))</f>
        <v>12069.1682066322</v>
      </c>
      <c r="J556" s="15" t="n">
        <f aca="false">I556*(1+IF(J$3&lt;=$O$2,$D556,$D556-($D556-$I$535)*MIN(J$3-$O$2,$Q$2)/$Q$2))</f>
        <v>12410.9790649006</v>
      </c>
      <c r="K556" s="15" t="n">
        <f aca="false">J556*(1+IF(K$3&lt;=$O$2,$D556,$D556-($D556-$I$535)*MIN(K$3-$O$2,$Q$2)/$Q$2))</f>
        <v>12777.9189271471</v>
      </c>
      <c r="L556" s="15" t="n">
        <f aca="false">K556*(1+IF(L$3&lt;=$O$2,$D556,$D556-($D556-$I$535)*MIN(L$3-$O$2,$Q$2)/$Q$2))</f>
        <v>13171.6129693956</v>
      </c>
      <c r="M556" s="15" t="n">
        <f aca="false">L556*(1+IF(M$3&lt;=$O$2,$D556,$D556-($D556-$I$535)*MIN(M$3-$O$2,$Q$2)/$Q$2))</f>
        <v>13593.8323011601</v>
      </c>
      <c r="N556" s="15" t="n">
        <f aca="false">M556*(1+IF(N$3&lt;=$O$2,$D556,$D556-($D556-$I$535)*MIN(N$3-$O$2,$Q$2)/$Q$2))</f>
        <v>14046.5069167887</v>
      </c>
      <c r="O556" s="15" t="n">
        <f aca="false">SUMPRODUCT(E556:N556,1/(1+$F$535)^$E$3:$N$3)*$E$2</f>
        <v>39848.0366812981</v>
      </c>
      <c r="P556" s="15" t="n">
        <f aca="false">N556*$E$2*(1+$I$535)/($F$535-$I$535)/(1+$F$535)^$N$3</f>
        <v>67082.3918826861</v>
      </c>
      <c r="Q556" s="15" t="n">
        <f aca="false">O556+P556</f>
        <v>106930.428563984</v>
      </c>
      <c r="R556" s="15" t="n">
        <f aca="false">Q556-$G$2+$I$2</f>
        <v>87470.4285639842</v>
      </c>
      <c r="S556" s="40" t="n">
        <f aca="false">R556/$K$2</f>
        <v>155.810450068552</v>
      </c>
      <c r="T556" s="41" t="n">
        <f aca="false">S556-$M$2</f>
        <v>0.000763397966181856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0.0270748138427734</v>
      </c>
      <c r="C557" s="25" t="n">
        <f aca="false">IF(T556&gt;0,D556,C556)</f>
        <v>0.027076244354248</v>
      </c>
      <c r="D557" s="39" t="n">
        <f aca="false">(B557+C557)/2</f>
        <v>0.0270755290985107</v>
      </c>
      <c r="E557" s="15" t="n">
        <f aca="false">$C$2*(1+IF(E$3&lt;=$O$2,$D557,$D557-($D557-$I$535)*MIN(E$3-$O$2,$Q$2)/$Q$2))</f>
        <v>10845.9175872803</v>
      </c>
      <c r="F557" s="15" t="n">
        <f aca="false">E557*(1+IF(F$3&lt;=$O$2,$D557,$D557-($D557-$I$535)*MIN(F$3-$O$2,$Q$2)/$Q$2))</f>
        <v>11139.5765445147</v>
      </c>
      <c r="G557" s="15" t="n">
        <f aca="false">F557*(1+IF(G$3&lt;=$O$2,$D557,$D557-($D557-$I$535)*MIN(G$3-$O$2,$Q$2)/$Q$2))</f>
        <v>11441.1864733908</v>
      </c>
      <c r="H557" s="15" t="n">
        <f aca="false">G557*(1+IF(H$3&lt;=$O$2,$D557,$D557-($D557-$I$535)*MIN(H$3-$O$2,$Q$2)/$Q$2))</f>
        <v>11750.9626506726</v>
      </c>
      <c r="I557" s="15" t="n">
        <f aca="false">H557*(1+IF(I$3&lt;=$O$2,$D557,$D557-($D557-$I$535)*MIN(I$3-$O$2,$Q$2)/$Q$2))</f>
        <v>12069.1261818564</v>
      </c>
      <c r="J557" s="15" t="n">
        <f aca="false">I557*(1+IF(J$3&lt;=$O$2,$D557,$D557-($D557-$I$535)*MIN(J$3-$O$2,$Q$2)/$Q$2))</f>
        <v>12410.9289439319</v>
      </c>
      <c r="K557" s="15" t="n">
        <f aca="false">J557*(1+IF(K$3&lt;=$O$2,$D557,$D557-($D557-$I$535)*MIN(K$3-$O$2,$Q$2)/$Q$2))</f>
        <v>12777.8619981217</v>
      </c>
      <c r="L557" s="15" t="n">
        <f aca="false">K557*(1+IF(L$3&lt;=$O$2,$D557,$D557-($D557-$I$535)*MIN(L$3-$O$2,$Q$2)/$Q$2))</f>
        <v>13171.5506305829</v>
      </c>
      <c r="M557" s="15" t="n">
        <f aca="false">L557*(1+IF(M$3&lt;=$O$2,$D557,$D557-($D557-$I$535)*MIN(M$3-$O$2,$Q$2)/$Q$2))</f>
        <v>13593.7660798558</v>
      </c>
      <c r="N557" s="15" t="n">
        <f aca="false">M557*(1+IF(N$3&lt;=$O$2,$D557,$D557-($D557-$I$535)*MIN(N$3-$O$2,$Q$2)/$Q$2))</f>
        <v>14046.438490315</v>
      </c>
      <c r="O557" s="15" t="n">
        <f aca="false">SUMPRODUCT(E557:N557,1/(1+$F$535)^$E$3:$N$3)*$E$2</f>
        <v>39847.9117738681</v>
      </c>
      <c r="P557" s="15" t="n">
        <f aca="false">N557*$E$2*(1+$I$535)/($F$535-$I$535)/(1+$F$535)^$N$3</f>
        <v>67082.0650959945</v>
      </c>
      <c r="Q557" s="15" t="n">
        <f aca="false">O557+P557</f>
        <v>106929.976869863</v>
      </c>
      <c r="R557" s="15" t="n">
        <f aca="false">Q557-$G$2+$I$2</f>
        <v>87469.9768698626</v>
      </c>
      <c r="S557" s="40" t="n">
        <f aca="false">R557/$K$2</f>
        <v>155.809645469037</v>
      </c>
      <c r="T557" s="41" t="n">
        <f aca="false">S557-$M$2</f>
        <v>-4.1201548697245E-005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0.0270755290985107</v>
      </c>
      <c r="C558" s="25" t="n">
        <f aca="false">IF(T557&gt;0,D557,C557)</f>
        <v>0.027076244354248</v>
      </c>
      <c r="D558" s="39" t="n">
        <f aca="false">(B558+C558)/2</f>
        <v>0.0270758867263794</v>
      </c>
      <c r="E558" s="15" t="n">
        <f aca="false">$C$2*(1+IF(E$3&lt;=$O$2,$D558,$D558-($D558-$I$535)*MIN(E$3-$O$2,$Q$2)/$Q$2))</f>
        <v>10845.9213638306</v>
      </c>
      <c r="F558" s="15" t="n">
        <f aca="false">E558*(1+IF(F$3&lt;=$O$2,$D558,$D558-($D558-$I$535)*MIN(F$3-$O$2,$Q$2)/$Q$2))</f>
        <v>11139.5843021209</v>
      </c>
      <c r="G558" s="15" t="n">
        <f aca="false">F558*(1+IF(G$3&lt;=$O$2,$D558,$D558-($D558-$I$535)*MIN(G$3-$O$2,$Q$2)/$Q$2))</f>
        <v>11441.198424864</v>
      </c>
      <c r="H558" s="15" t="n">
        <f aca="false">G558*(1+IF(H$3&lt;=$O$2,$D558,$D558-($D558-$I$535)*MIN(H$3-$O$2,$Q$2)/$Q$2))</f>
        <v>11750.9790174297</v>
      </c>
      <c r="I558" s="15" t="n">
        <f aca="false">H558*(1+IF(I$3&lt;=$O$2,$D558,$D558-($D558-$I$535)*MIN(I$3-$O$2,$Q$2)/$Q$2))</f>
        <v>12069.1471942297</v>
      </c>
      <c r="J558" s="15" t="n">
        <f aca="false">I558*(1+IF(J$3&lt;=$O$2,$D558,$D558-($D558-$I$535)*MIN(J$3-$O$2,$Q$2)/$Q$2))</f>
        <v>12410.9540043952</v>
      </c>
      <c r="K558" s="15" t="n">
        <f aca="false">J558*(1+IF(K$3&lt;=$O$2,$D558,$D558-($D558-$I$535)*MIN(K$3-$O$2,$Q$2)/$Q$2))</f>
        <v>12777.8904626073</v>
      </c>
      <c r="L558" s="15" t="n">
        <f aca="false">K558*(1+IF(L$3&lt;=$O$2,$D558,$D558-($D558-$I$535)*MIN(L$3-$O$2,$Q$2)/$Q$2))</f>
        <v>13171.5817999573</v>
      </c>
      <c r="M558" s="15" t="n">
        <f aca="false">L558*(1+IF(M$3&lt;=$O$2,$D558,$D558-($D558-$I$535)*MIN(M$3-$O$2,$Q$2)/$Q$2))</f>
        <v>13593.7991904727</v>
      </c>
      <c r="N558" s="15" t="n">
        <f aca="false">M558*(1+IF(N$3&lt;=$O$2,$D558,$D558-($D558-$I$535)*MIN(N$3-$O$2,$Q$2)/$Q$2))</f>
        <v>14046.4727035155</v>
      </c>
      <c r="O558" s="15" t="n">
        <f aca="false">SUMPRODUCT(E558:N558,1/(1+$F$535)^$E$3:$N$3)*$E$2</f>
        <v>39847.9742275335</v>
      </c>
      <c r="P558" s="15" t="n">
        <f aca="false">N558*$E$2*(1+$I$535)/($F$535-$I$535)/(1+$F$535)^$N$3</f>
        <v>67082.2284891665</v>
      </c>
      <c r="Q558" s="15" t="n">
        <f aca="false">O558+P558</f>
        <v>106930.2027167</v>
      </c>
      <c r="R558" s="15" t="n">
        <f aca="false">Q558-$G$2+$I$2</f>
        <v>87470.2027167</v>
      </c>
      <c r="S558" s="40" t="n">
        <f aca="false">R558/$K$2</f>
        <v>155.810047768396</v>
      </c>
      <c r="T558" s="41" t="n">
        <f aca="false">S558-$M$2</f>
        <v>0.000361097810838373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0.0270755290985107</v>
      </c>
      <c r="C559" s="25" t="n">
        <f aca="false">IF(T558&gt;0,D558,C558)</f>
        <v>0.0270758867263794</v>
      </c>
      <c r="D559" s="39" t="n">
        <f aca="false">(B559+C559)/2</f>
        <v>0.0270757079124451</v>
      </c>
      <c r="E559" s="15" t="n">
        <f aca="false">$C$2*(1+IF(E$3&lt;=$O$2,$D559,$D559-($D559-$I$535)*MIN(E$3-$O$2,$Q$2)/$Q$2))</f>
        <v>10845.9194755554</v>
      </c>
      <c r="F559" s="15" t="n">
        <f aca="false">E559*(1+IF(F$3&lt;=$O$2,$D559,$D559-($D559-$I$535)*MIN(F$3-$O$2,$Q$2)/$Q$2))</f>
        <v>11139.5804233175</v>
      </c>
      <c r="G559" s="15" t="n">
        <f aca="false">F559*(1+IF(G$3&lt;=$O$2,$D559,$D559-($D559-$I$535)*MIN(G$3-$O$2,$Q$2)/$Q$2))</f>
        <v>11441.1924491264</v>
      </c>
      <c r="H559" s="15" t="n">
        <f aca="false">G559*(1+IF(H$3&lt;=$O$2,$D559,$D559-($D559-$I$535)*MIN(H$3-$O$2,$Q$2)/$Q$2))</f>
        <v>11750.970834049</v>
      </c>
      <c r="I559" s="15" t="n">
        <f aca="false">H559*(1+IF(I$3&lt;=$O$2,$D559,$D559-($D559-$I$535)*MIN(I$3-$O$2,$Q$2)/$Q$2))</f>
        <v>12069.1366880394</v>
      </c>
      <c r="J559" s="15" t="n">
        <f aca="false">I559*(1+IF(J$3&lt;=$O$2,$D559,$D559-($D559-$I$535)*MIN(J$3-$O$2,$Q$2)/$Q$2))</f>
        <v>12410.9414741583</v>
      </c>
      <c r="K559" s="15" t="n">
        <f aca="false">J559*(1+IF(K$3&lt;=$O$2,$D559,$D559-($D559-$I$535)*MIN(K$3-$O$2,$Q$2)/$Q$2))</f>
        <v>12777.8762303578</v>
      </c>
      <c r="L559" s="15" t="n">
        <f aca="false">K559*(1+IF(L$3&lt;=$O$2,$D559,$D559-($D559-$I$535)*MIN(L$3-$O$2,$Q$2)/$Q$2))</f>
        <v>13171.5662152621</v>
      </c>
      <c r="M559" s="15" t="n">
        <f aca="false">L559*(1+IF(M$3&lt;=$O$2,$D559,$D559-($D559-$I$535)*MIN(M$3-$O$2,$Q$2)/$Q$2))</f>
        <v>13593.7826351555</v>
      </c>
      <c r="N559" s="15" t="n">
        <f aca="false">M559*(1+IF(N$3&lt;=$O$2,$D559,$D559-($D559-$I$535)*MIN(N$3-$O$2,$Q$2)/$Q$2))</f>
        <v>14046.4555969062</v>
      </c>
      <c r="O559" s="15" t="n">
        <f aca="false">SUMPRODUCT(E559:N559,1/(1+$F$535)^$E$3:$N$3)*$E$2</f>
        <v>39847.9430006884</v>
      </c>
      <c r="P559" s="15" t="n">
        <f aca="false">N559*$E$2*(1+$I$535)/($F$535-$I$535)/(1+$F$535)^$N$3</f>
        <v>67082.1467925371</v>
      </c>
      <c r="Q559" s="15" t="n">
        <f aca="false">O559+P559</f>
        <v>106930.089793225</v>
      </c>
      <c r="R559" s="15" t="n">
        <f aca="false">Q559-$G$2+$I$2</f>
        <v>87470.0897932255</v>
      </c>
      <c r="S559" s="40" t="n">
        <f aca="false">R559/$K$2</f>
        <v>155.809846618617</v>
      </c>
      <c r="T559" s="41" t="n">
        <f aca="false">S559-$M$2</f>
        <v>0.000159948031665635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0.0270755290985107</v>
      </c>
      <c r="C560" s="25" t="n">
        <f aca="false">IF(T559&gt;0,D559,C559)</f>
        <v>0.0270757079124451</v>
      </c>
      <c r="D560" s="39" t="n">
        <f aca="false">(B560+C560)/2</f>
        <v>0.0270756185054779</v>
      </c>
      <c r="E560" s="15" t="n">
        <f aca="false">$C$2*(1+IF(E$3&lt;=$O$2,$D560,$D560-($D560-$I$535)*MIN(E$3-$O$2,$Q$2)/$Q$2))</f>
        <v>10845.9185314178</v>
      </c>
      <c r="F560" s="15" t="n">
        <f aca="false">E560*(1+IF(F$3&lt;=$O$2,$D560,$D560-($D560-$I$535)*MIN(F$3-$O$2,$Q$2)/$Q$2))</f>
        <v>11139.578483916</v>
      </c>
      <c r="G560" s="15" t="n">
        <f aca="false">F560*(1+IF(G$3&lt;=$O$2,$D560,$D560-($D560-$I$535)*MIN(G$3-$O$2,$Q$2)/$Q$2))</f>
        <v>11441.1894612584</v>
      </c>
      <c r="H560" s="15" t="n">
        <f aca="false">G560*(1+IF(H$3&lt;=$O$2,$D560,$D560-($D560-$I$535)*MIN(H$3-$O$2,$Q$2)/$Q$2))</f>
        <v>11750.9667423603</v>
      </c>
      <c r="I560" s="15" t="n">
        <f aca="false">H560*(1+IF(I$3&lt;=$O$2,$D560,$D560-($D560-$I$535)*MIN(I$3-$O$2,$Q$2)/$Q$2))</f>
        <v>12069.131434947</v>
      </c>
      <c r="J560" s="15" t="n">
        <f aca="false">I560*(1+IF(J$3&lt;=$O$2,$D560,$D560-($D560-$I$535)*MIN(J$3-$O$2,$Q$2)/$Q$2))</f>
        <v>12410.9352090438</v>
      </c>
      <c r="K560" s="15" t="n">
        <f aca="false">J560*(1+IF(K$3&lt;=$O$2,$D560,$D560-($D560-$I$535)*MIN(K$3-$O$2,$Q$2)/$Q$2))</f>
        <v>12777.869114238</v>
      </c>
      <c r="L560" s="15" t="n">
        <f aca="false">K560*(1+IF(L$3&lt;=$O$2,$D560,$D560-($D560-$I$535)*MIN(L$3-$O$2,$Q$2)/$Q$2))</f>
        <v>13171.5584229205</v>
      </c>
      <c r="M560" s="15" t="n">
        <f aca="false">L560*(1+IF(M$3&lt;=$O$2,$D560,$D560-($D560-$I$535)*MIN(M$3-$O$2,$Q$2)/$Q$2))</f>
        <v>13593.7743575034</v>
      </c>
      <c r="N560" s="15" t="n">
        <f aca="false">M560*(1+IF(N$3&lt;=$O$2,$D560,$D560-($D560-$I$535)*MIN(N$3-$O$2,$Q$2)/$Q$2))</f>
        <v>14046.4470436083</v>
      </c>
      <c r="O560" s="15" t="n">
        <f aca="false">SUMPRODUCT(E560:N560,1/(1+$F$535)^$E$3:$N$3)*$E$2</f>
        <v>39847.9273872751</v>
      </c>
      <c r="P560" s="15" t="n">
        <f aca="false">N560*$E$2*(1+$I$535)/($F$535-$I$535)/(1+$F$535)^$N$3</f>
        <v>67082.1059442549</v>
      </c>
      <c r="Q560" s="15" t="n">
        <f aca="false">O560+P560</f>
        <v>106930.03333153</v>
      </c>
      <c r="R560" s="15" t="n">
        <f aca="false">Q560-$G$2+$I$2</f>
        <v>87470.0333315301</v>
      </c>
      <c r="S560" s="40" t="n">
        <f aca="false">R560/$K$2</f>
        <v>155.809746043802</v>
      </c>
      <c r="T560" s="41" t="n">
        <f aca="false">S560-$M$2</f>
        <v>5.93732166294103E-005</v>
      </c>
    </row>
    <row r="562" customFormat="false" ht="15" hidden="false" customHeight="false" outlineLevel="0" collapsed="false">
      <c r="A562" s="36" t="s">
        <v>206</v>
      </c>
      <c r="E562" s="5" t="s">
        <v>11</v>
      </c>
      <c r="F562" s="12" t="n">
        <f aca="false">Sensitivity!$B$13</f>
        <v>0.0820172026214128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6" t="s">
        <v>167</v>
      </c>
      <c r="B563" s="28" t="s">
        <v>168</v>
      </c>
      <c r="C563" s="28" t="s">
        <v>169</v>
      </c>
      <c r="D563" s="28" t="s">
        <v>170</v>
      </c>
      <c r="E563" s="28" t="s">
        <v>171</v>
      </c>
      <c r="F563" s="28" t="s">
        <v>172</v>
      </c>
      <c r="G563" s="28" t="s">
        <v>173</v>
      </c>
      <c r="H563" s="28" t="s">
        <v>174</v>
      </c>
      <c r="I563" s="28" t="s">
        <v>175</v>
      </c>
      <c r="J563" s="28" t="s">
        <v>176</v>
      </c>
      <c r="K563" s="28" t="s">
        <v>177</v>
      </c>
      <c r="L563" s="28" t="s">
        <v>178</v>
      </c>
      <c r="M563" s="28" t="s">
        <v>179</v>
      </c>
      <c r="N563" s="28" t="s">
        <v>180</v>
      </c>
      <c r="O563" s="28" t="s">
        <v>181</v>
      </c>
      <c r="P563" s="28" t="s">
        <v>182</v>
      </c>
      <c r="Q563" s="28" t="s">
        <v>183</v>
      </c>
      <c r="R563" s="28" t="s">
        <v>184</v>
      </c>
      <c r="S563" s="28" t="s">
        <v>185</v>
      </c>
      <c r="T563" s="28" t="s">
        <v>186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39" t="n">
        <f aca="false">(B564+C564)/2</f>
        <v>0.25</v>
      </c>
      <c r="E564" s="15" t="n">
        <f aca="false">$C$2*(1+IF(E$3&lt;=$O$2,$D564,$D564-($D564-$I$562)*MIN(E$3-$O$2,$Q$2)/$Q$2))</f>
        <v>13200</v>
      </c>
      <c r="F564" s="15" t="n">
        <f aca="false">E564*(1+IF(F$3&lt;=$O$2,$D564,$D564-($D564-$I$562)*MIN(F$3-$O$2,$Q$2)/$Q$2))</f>
        <v>16500</v>
      </c>
      <c r="G564" s="15" t="n">
        <f aca="false">F564*(1+IF(G$3&lt;=$O$2,$D564,$D564-($D564-$I$562)*MIN(G$3-$O$2,$Q$2)/$Q$2))</f>
        <v>20625</v>
      </c>
      <c r="H564" s="15" t="n">
        <f aca="false">G564*(1+IF(H$3&lt;=$O$2,$D564,$D564-($D564-$I$562)*MIN(H$3-$O$2,$Q$2)/$Q$2))</f>
        <v>25781.25</v>
      </c>
      <c r="I564" s="15" t="n">
        <f aca="false">H564*(1+IF(I$3&lt;=$O$2,$D564,$D564-($D564-$I$562)*MIN(I$3-$O$2,$Q$2)/$Q$2))</f>
        <v>32226.5625</v>
      </c>
      <c r="J564" s="15" t="n">
        <f aca="false">I564*(1+IF(J$3&lt;=$O$2,$D564,$D564-($D564-$I$562)*MIN(J$3-$O$2,$Q$2)/$Q$2))</f>
        <v>38918.73046875</v>
      </c>
      <c r="K564" s="15" t="n">
        <f aca="false">J564*(1+IF(K$3&lt;=$O$2,$D564,$D564-($D564-$I$562)*MIN(K$3-$O$2,$Q$2)/$Q$2))</f>
        <v>45352.7749898438</v>
      </c>
      <c r="L564" s="15" t="n">
        <f aca="false">K564*(1+IF(L$3&lt;=$O$2,$D564,$D564-($D564-$I$562)*MIN(L$3-$O$2,$Q$2)/$Q$2))</f>
        <v>50930.2592580947</v>
      </c>
      <c r="M564" s="15" t="n">
        <f aca="false">L564*(1+IF(M$3&lt;=$O$2,$D564,$D564-($D564-$I$562)*MIN(M$3-$O$2,$Q$2)/$Q$2))</f>
        <v>55037.2753646675</v>
      </c>
      <c r="N564" s="15" t="n">
        <f aca="false">M564*(1+IF(N$3&lt;=$O$2,$D564,$D564-($D564-$I$562)*MIN(N$3-$O$2,$Q$2)/$Q$2))</f>
        <v>57145.2030111343</v>
      </c>
      <c r="O564" s="15" t="n">
        <f aca="false">SUMPRODUCT(E564:N564,1/(1+$F$562)^$E$3:$N$3)*$E$2</f>
        <v>105811.598209661</v>
      </c>
      <c r="P564" s="15" t="n">
        <f aca="false">N564*$E$2*(1+$I$562)/($F$562-$I$562)/(1+$F$562)^$N$3</f>
        <v>305595.098927259</v>
      </c>
      <c r="Q564" s="15" t="n">
        <f aca="false">O564+P564</f>
        <v>411406.69713692</v>
      </c>
      <c r="R564" s="15" t="n">
        <f aca="false">Q564-$G$2+$I$2</f>
        <v>391946.69713692</v>
      </c>
      <c r="S564" s="40" t="n">
        <f aca="false">R564/$K$2</f>
        <v>698.171854035377</v>
      </c>
      <c r="T564" s="41" t="n">
        <f aca="false">S564-$M$2</f>
        <v>542.362167364791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39" t="n">
        <f aca="false">(B565+C565)/2</f>
        <v>-0.125</v>
      </c>
      <c r="E565" s="15" t="n">
        <f aca="false">$C$2*(1+IF(E$3&lt;=$O$2,$D565,$D565-($D565-$I$562)*MIN(E$3-$O$2,$Q$2)/$Q$2))</f>
        <v>9240</v>
      </c>
      <c r="F565" s="15" t="n">
        <f aca="false">E565*(1+IF(F$3&lt;=$O$2,$D565,$D565-($D565-$I$562)*MIN(F$3-$O$2,$Q$2)/$Q$2))</f>
        <v>8085</v>
      </c>
      <c r="G565" s="15" t="n">
        <f aca="false">F565*(1+IF(G$3&lt;=$O$2,$D565,$D565-($D565-$I$562)*MIN(G$3-$O$2,$Q$2)/$Q$2))</f>
        <v>7074.375</v>
      </c>
      <c r="H565" s="15" t="n">
        <f aca="false">G565*(1+IF(H$3&lt;=$O$2,$D565,$D565-($D565-$I$562)*MIN(H$3-$O$2,$Q$2)/$Q$2))</f>
        <v>6190.078125</v>
      </c>
      <c r="I565" s="15" t="n">
        <f aca="false">H565*(1+IF(I$3&lt;=$O$2,$D565,$D565-($D565-$I$562)*MIN(I$3-$O$2,$Q$2)/$Q$2))</f>
        <v>5416.318359375</v>
      </c>
      <c r="J565" s="15" t="n">
        <f aca="false">I565*(1+IF(J$3&lt;=$O$2,$D565,$D565-($D565-$I$562)*MIN(J$3-$O$2,$Q$2)/$Q$2))</f>
        <v>4916.17552207031</v>
      </c>
      <c r="K565" s="15" t="n">
        <f aca="false">J565*(1+IF(K$3&lt;=$O$2,$D565,$D565-($D565-$I$562)*MIN(K$3-$O$2,$Q$2)/$Q$2))</f>
        <v>4622.77816691316</v>
      </c>
      <c r="L565" s="15" t="n">
        <f aca="false">K565*(1+IF(L$3&lt;=$O$2,$D565,$D565-($D565-$I$562)*MIN(L$3-$O$2,$Q$2)/$Q$2))</f>
        <v>4497.87070084316</v>
      </c>
      <c r="M565" s="15" t="n">
        <f aca="false">L565*(1+IF(M$3&lt;=$O$2,$D565,$D565-($D565-$I$562)*MIN(M$3-$O$2,$Q$2)/$Q$2))</f>
        <v>4523.23869159592</v>
      </c>
      <c r="N565" s="15" t="n">
        <f aca="false">M565*(1+IF(N$3&lt;=$O$2,$D565,$D565-($D565-$I$562)*MIN(N$3-$O$2,$Q$2)/$Q$2))</f>
        <v>4696.47873348404</v>
      </c>
      <c r="O565" s="15" t="n">
        <f aca="false">SUMPRODUCT(E565:N565,1/(1+$F$562)^$E$3:$N$3)*$E$2</f>
        <v>20641.717418092</v>
      </c>
      <c r="P565" s="15" t="n">
        <f aca="false">N565*$E$2*(1+$I$562)/($F$562-$I$562)/(1+$F$562)^$N$3</f>
        <v>25115.3344032951</v>
      </c>
      <c r="Q565" s="15" t="n">
        <f aca="false">O565+P565</f>
        <v>45757.0518213871</v>
      </c>
      <c r="R565" s="15" t="n">
        <f aca="false">Q565-$G$2+$I$2</f>
        <v>26297.0518213871</v>
      </c>
      <c r="S565" s="40" t="n">
        <f aca="false">R565/$K$2</f>
        <v>46.8427507105348</v>
      </c>
      <c r="T565" s="41" t="n">
        <f aca="false">S565-$M$2</f>
        <v>-108.966935960051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39" t="n">
        <f aca="false">(B566+C566)/2</f>
        <v>0.0625</v>
      </c>
      <c r="E566" s="15" t="n">
        <f aca="false">$C$2*(1+IF(E$3&lt;=$O$2,$D566,$D566-($D566-$I$562)*MIN(E$3-$O$2,$Q$2)/$Q$2))</f>
        <v>11220</v>
      </c>
      <c r="F566" s="15" t="n">
        <f aca="false">E566*(1+IF(F$3&lt;=$O$2,$D566,$D566-($D566-$I$562)*MIN(F$3-$O$2,$Q$2)/$Q$2))</f>
        <v>11921.25</v>
      </c>
      <c r="G566" s="15" t="n">
        <f aca="false">F566*(1+IF(G$3&lt;=$O$2,$D566,$D566-($D566-$I$562)*MIN(G$3-$O$2,$Q$2)/$Q$2))</f>
        <v>12666.328125</v>
      </c>
      <c r="H566" s="15" t="n">
        <f aca="false">G566*(1+IF(H$3&lt;=$O$2,$D566,$D566-($D566-$I$562)*MIN(H$3-$O$2,$Q$2)/$Q$2))</f>
        <v>13457.9736328125</v>
      </c>
      <c r="I566" s="15" t="n">
        <f aca="false">H566*(1+IF(I$3&lt;=$O$2,$D566,$D566-($D566-$I$562)*MIN(I$3-$O$2,$Q$2)/$Q$2))</f>
        <v>14299.0969848633</v>
      </c>
      <c r="J566" s="15" t="n">
        <f aca="false">I566*(1+IF(J$3&lt;=$O$2,$D566,$D566-($D566-$I$562)*MIN(J$3-$O$2,$Q$2)/$Q$2))</f>
        <v>15123.5829170105</v>
      </c>
      <c r="K566" s="15" t="n">
        <f aca="false">J566*(1+IF(K$3&lt;=$O$2,$D566,$D566-($D566-$I$562)*MIN(K$3-$O$2,$Q$2)/$Q$2))</f>
        <v>15922.410566687</v>
      </c>
      <c r="L566" s="15" t="n">
        <f aca="false">K566*(1+IF(L$3&lt;=$O$2,$D566,$D566-($D566-$I$562)*MIN(L$3-$O$2,$Q$2)/$Q$2))</f>
        <v>16686.3678256766</v>
      </c>
      <c r="M566" s="15" t="n">
        <f aca="false">L566*(1+IF(M$3&lt;=$O$2,$D566,$D566-($D566-$I$562)*MIN(M$3-$O$2,$Q$2)/$Q$2))</f>
        <v>17406.2177336763</v>
      </c>
      <c r="N566" s="15" t="n">
        <f aca="false">M566*(1+IF(N$3&lt;=$O$2,$D566,$D566-($D566-$I$562)*MIN(N$3-$O$2,$Q$2)/$Q$2))</f>
        <v>18072.8758728761</v>
      </c>
      <c r="O566" s="15" t="n">
        <f aca="false">SUMPRODUCT(E566:N566,1/(1+$F$562)^$E$3:$N$3)*$E$2</f>
        <v>46686.3554034696</v>
      </c>
      <c r="P566" s="15" t="n">
        <f aca="false">N566*$E$2*(1+$I$562)/($F$562-$I$562)/(1+$F$562)^$N$3</f>
        <v>96648.2224097716</v>
      </c>
      <c r="Q566" s="15" t="n">
        <f aca="false">O566+P566</f>
        <v>143334.577813241</v>
      </c>
      <c r="R566" s="15" t="n">
        <f aca="false">Q566-$G$2+$I$2</f>
        <v>123874.577813241</v>
      </c>
      <c r="S566" s="40" t="n">
        <f aca="false">R566/$K$2</f>
        <v>220.656901286523</v>
      </c>
      <c r="T566" s="41" t="n">
        <f aca="false">S566-$M$2</f>
        <v>64.8472146159377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39" t="n">
        <f aca="false">(B567+C567)/2</f>
        <v>-0.03125</v>
      </c>
      <c r="E567" s="15" t="n">
        <f aca="false">$C$2*(1+IF(E$3&lt;=$O$2,$D567,$D567-($D567-$I$562)*MIN(E$3-$O$2,$Q$2)/$Q$2))</f>
        <v>10230</v>
      </c>
      <c r="F567" s="15" t="n">
        <f aca="false">E567*(1+IF(F$3&lt;=$O$2,$D567,$D567-($D567-$I$562)*MIN(F$3-$O$2,$Q$2)/$Q$2))</f>
        <v>9910.3125</v>
      </c>
      <c r="G567" s="15" t="n">
        <f aca="false">F567*(1+IF(G$3&lt;=$O$2,$D567,$D567-($D567-$I$562)*MIN(G$3-$O$2,$Q$2)/$Q$2))</f>
        <v>9600.615234375</v>
      </c>
      <c r="H567" s="15" t="n">
        <f aca="false">G567*(1+IF(H$3&lt;=$O$2,$D567,$D567-($D567-$I$562)*MIN(H$3-$O$2,$Q$2)/$Q$2))</f>
        <v>9300.59600830078</v>
      </c>
      <c r="I567" s="15" t="n">
        <f aca="false">H567*(1+IF(I$3&lt;=$O$2,$D567,$D567-($D567-$I$562)*MIN(I$3-$O$2,$Q$2)/$Q$2))</f>
        <v>9009.95238304138</v>
      </c>
      <c r="J567" s="15" t="n">
        <f aca="false">I567*(1+IF(J$3&lt;=$O$2,$D567,$D567-($D567-$I$562)*MIN(J$3-$O$2,$Q$2)/$Q$2))</f>
        <v>8853.71980871945</v>
      </c>
      <c r="K567" s="15" t="n">
        <f aca="false">J567*(1+IF(K$3&lt;=$O$2,$D567,$D567-($D567-$I$562)*MIN(K$3-$O$2,$Q$2)/$Q$2))</f>
        <v>8823.35154977554</v>
      </c>
      <c r="L567" s="15" t="n">
        <f aca="false">K567*(1+IF(L$3&lt;=$O$2,$D567,$D567-($D567-$I$562)*MIN(L$3-$O$2,$Q$2)/$Q$2))</f>
        <v>8915.82027401718</v>
      </c>
      <c r="M567" s="15" t="n">
        <f aca="false">L567*(1+IF(M$3&lt;=$O$2,$D567,$D567-($D567-$I$562)*MIN(M$3-$O$2,$Q$2)/$Q$2))</f>
        <v>9133.27713050046</v>
      </c>
      <c r="N567" s="15" t="n">
        <f aca="false">M567*(1+IF(N$3&lt;=$O$2,$D567,$D567-($D567-$I$562)*MIN(N$3-$O$2,$Q$2)/$Q$2))</f>
        <v>9483.08164459863</v>
      </c>
      <c r="O567" s="15" t="n">
        <f aca="false">SUMPRODUCT(E567:N567,1/(1+$F$562)^$E$3:$N$3)*$E$2</f>
        <v>30957.5552821453</v>
      </c>
      <c r="P567" s="15" t="n">
        <f aca="false">N567*$E$2*(1+$I$562)/($F$562-$I$562)/(1+$F$562)^$N$3</f>
        <v>50712.6253931016</v>
      </c>
      <c r="Q567" s="15" t="n">
        <f aca="false">O567+P567</f>
        <v>81670.1806752469</v>
      </c>
      <c r="R567" s="15" t="n">
        <f aca="false">Q567-$G$2+$I$2</f>
        <v>62210.1806752469</v>
      </c>
      <c r="S567" s="40" t="n">
        <f aca="false">R567/$K$2</f>
        <v>110.814550802912</v>
      </c>
      <c r="T567" s="41" t="n">
        <f aca="false">S567-$M$2</f>
        <v>-44.9951358676732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39" t="n">
        <f aca="false">(B568+C568)/2</f>
        <v>0.015625</v>
      </c>
      <c r="E568" s="15" t="n">
        <f aca="false">$C$2*(1+IF(E$3&lt;=$O$2,$D568,$D568-($D568-$I$562)*MIN(E$3-$O$2,$Q$2)/$Q$2))</f>
        <v>10725</v>
      </c>
      <c r="F568" s="15" t="n">
        <f aca="false">E568*(1+IF(F$3&lt;=$O$2,$D568,$D568-($D568-$I$562)*MIN(F$3-$O$2,$Q$2)/$Q$2))</f>
        <v>10892.578125</v>
      </c>
      <c r="G568" s="15" t="n">
        <f aca="false">F568*(1+IF(G$3&lt;=$O$2,$D568,$D568-($D568-$I$562)*MIN(G$3-$O$2,$Q$2)/$Q$2))</f>
        <v>11062.7746582031</v>
      </c>
      <c r="H568" s="15" t="n">
        <f aca="false">G568*(1+IF(H$3&lt;=$O$2,$D568,$D568-($D568-$I$562)*MIN(H$3-$O$2,$Q$2)/$Q$2))</f>
        <v>11235.6305122375</v>
      </c>
      <c r="I568" s="15" t="n">
        <f aca="false">H568*(1+IF(I$3&lt;=$O$2,$D568,$D568-($D568-$I$562)*MIN(I$3-$O$2,$Q$2)/$Q$2))</f>
        <v>11411.1872389913</v>
      </c>
      <c r="J568" s="15" t="n">
        <f aca="false">I568*(1+IF(J$3&lt;=$O$2,$D568,$D568-($D568-$I$562)*MIN(J$3-$O$2,$Q$2)/$Q$2))</f>
        <v>11641.2367737293</v>
      </c>
      <c r="K568" s="15" t="n">
        <f aca="false">J568*(1+IF(K$3&lt;=$O$2,$D568,$D568-($D568-$I$562)*MIN(K$3-$O$2,$Q$2)/$Q$2))</f>
        <v>11928.7171158566</v>
      </c>
      <c r="L568" s="15" t="n">
        <f aca="false">K568*(1+IF(L$3&lt;=$O$2,$D568,$D568-($D568-$I$562)*MIN(L$3-$O$2,$Q$2)/$Q$2))</f>
        <v>12277.3935171531</v>
      </c>
      <c r="M568" s="15" t="n">
        <f aca="false">L568*(1+IF(M$3&lt;=$O$2,$D568,$D568-($D568-$I$562)*MIN(M$3-$O$2,$Q$2)/$Q$2))</f>
        <v>12691.9397092597</v>
      </c>
      <c r="N568" s="15" t="n">
        <f aca="false">M568*(1+IF(N$3&lt;=$O$2,$D568,$D568-($D568-$I$562)*MIN(N$3-$O$2,$Q$2)/$Q$2))</f>
        <v>13178.0410001244</v>
      </c>
      <c r="O568" s="15" t="n">
        <f aca="false">SUMPRODUCT(E568:N568,1/(1+$F$562)^$E$3:$N$3)*$E$2</f>
        <v>38003.5145092001</v>
      </c>
      <c r="P568" s="15" t="n">
        <f aca="false">N568*$E$2*(1+$I$562)/($F$562-$I$562)/(1+$F$562)^$N$3</f>
        <v>70472.1399330024</v>
      </c>
      <c r="Q568" s="15" t="n">
        <f aca="false">O568+P568</f>
        <v>108475.654442203</v>
      </c>
      <c r="R568" s="15" t="n">
        <f aca="false">Q568-$G$2+$I$2</f>
        <v>89015.6544422025</v>
      </c>
      <c r="S568" s="40" t="n">
        <f aca="false">R568/$K$2</f>
        <v>158.562949896155</v>
      </c>
      <c r="T568" s="41" t="n">
        <f aca="false">S568-$M$2</f>
        <v>2.75326322556958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-0.03125</v>
      </c>
      <c r="C569" s="25" t="n">
        <f aca="false">IF(T568&gt;0,D568,C568)</f>
        <v>0.015625</v>
      </c>
      <c r="D569" s="39" t="n">
        <f aca="false">(B569+C569)/2</f>
        <v>-0.0078125</v>
      </c>
      <c r="E569" s="15" t="n">
        <f aca="false">$C$2*(1+IF(E$3&lt;=$O$2,$D569,$D569-($D569-$I$562)*MIN(E$3-$O$2,$Q$2)/$Q$2))</f>
        <v>10477.5</v>
      </c>
      <c r="F569" s="15" t="n">
        <f aca="false">E569*(1+IF(F$3&lt;=$O$2,$D569,$D569-($D569-$I$562)*MIN(F$3-$O$2,$Q$2)/$Q$2))</f>
        <v>10395.64453125</v>
      </c>
      <c r="G569" s="15" t="n">
        <f aca="false">F569*(1+IF(G$3&lt;=$O$2,$D569,$D569-($D569-$I$562)*MIN(G$3-$O$2,$Q$2)/$Q$2))</f>
        <v>10314.4285583496</v>
      </c>
      <c r="H569" s="15" t="n">
        <f aca="false">G569*(1+IF(H$3&lt;=$O$2,$D569,$D569-($D569-$I$562)*MIN(H$3-$O$2,$Q$2)/$Q$2))</f>
        <v>10233.8470852375</v>
      </c>
      <c r="I569" s="15" t="n">
        <f aca="false">H569*(1+IF(I$3&lt;=$O$2,$D569,$D569-($D569-$I$562)*MIN(I$3-$O$2,$Q$2)/$Q$2))</f>
        <v>10153.8951548841</v>
      </c>
      <c r="J569" s="15" t="n">
        <f aca="false">I569*(1+IF(J$3&lt;=$O$2,$D569,$D569-($D569-$I$562)*MIN(J$3-$O$2,$Q$2)/$Q$2))</f>
        <v>10168.2121470525</v>
      </c>
      <c r="K569" s="15" t="n">
        <f aca="false">J569*(1+IF(K$3&lt;=$O$2,$D569,$D569-($D569-$I$562)*MIN(K$3-$O$2,$Q$2)/$Q$2))</f>
        <v>10276.325662706</v>
      </c>
      <c r="L569" s="15" t="n">
        <f aca="false">K569*(1+IF(L$3&lt;=$O$2,$D569,$D569-($D569-$I$562)*MIN(L$3-$O$2,$Q$2)/$Q$2))</f>
        <v>10480.362108739</v>
      </c>
      <c r="M569" s="15" t="n">
        <f aca="false">L569*(1+IF(M$3&lt;=$O$2,$D569,$D569-($D569-$I$562)*MIN(M$3-$O$2,$Q$2)/$Q$2))</f>
        <v>10785.1048379559</v>
      </c>
      <c r="N569" s="15" t="n">
        <f aca="false">M569*(1+IF(N$3&lt;=$O$2,$D569,$D569-($D569-$I$562)*MIN(N$3-$O$2,$Q$2)/$Q$2))</f>
        <v>11198.1743532496</v>
      </c>
      <c r="O569" s="15" t="n">
        <f aca="false">SUMPRODUCT(E569:N569,1/(1+$F$562)^$E$3:$N$3)*$E$2</f>
        <v>34295.6038525363</v>
      </c>
      <c r="P569" s="15" t="n">
        <f aca="false">N569*$E$2*(1+$I$562)/($F$562-$I$562)/(1+$F$562)^$N$3</f>
        <v>59884.4175707844</v>
      </c>
      <c r="Q569" s="15" t="n">
        <f aca="false">O569+P569</f>
        <v>94180.0214233206</v>
      </c>
      <c r="R569" s="15" t="n">
        <f aca="false">Q569-$G$2+$I$2</f>
        <v>74720.0214233206</v>
      </c>
      <c r="S569" s="40" t="n">
        <f aca="false">R569/$K$2</f>
        <v>133.09824083671</v>
      </c>
      <c r="T569" s="41" t="n">
        <f aca="false">S569-$M$2</f>
        <v>-22.7114458338755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-0.0078125</v>
      </c>
      <c r="C570" s="25" t="n">
        <f aca="false">IF(T569&gt;0,D569,C569)</f>
        <v>0.015625</v>
      </c>
      <c r="D570" s="39" t="n">
        <f aca="false">(B570+C570)/2</f>
        <v>0.00390625</v>
      </c>
      <c r="E570" s="15" t="n">
        <f aca="false">$C$2*(1+IF(E$3&lt;=$O$2,$D570,$D570-($D570-$I$562)*MIN(E$3-$O$2,$Q$2)/$Q$2))</f>
        <v>10601.25</v>
      </c>
      <c r="F570" s="15" t="n">
        <f aca="false">E570*(1+IF(F$3&lt;=$O$2,$D570,$D570-($D570-$I$562)*MIN(F$3-$O$2,$Q$2)/$Q$2))</f>
        <v>10642.6611328125</v>
      </c>
      <c r="G570" s="15" t="n">
        <f aca="false">F570*(1+IF(G$3&lt;=$O$2,$D570,$D570-($D570-$I$562)*MIN(G$3-$O$2,$Q$2)/$Q$2))</f>
        <v>10684.2340278625</v>
      </c>
      <c r="H570" s="15" t="n">
        <f aca="false">G570*(1+IF(H$3&lt;=$O$2,$D570,$D570-($D570-$I$562)*MIN(H$3-$O$2,$Q$2)/$Q$2))</f>
        <v>10725.9693170339</v>
      </c>
      <c r="I570" s="15" t="n">
        <f aca="false">H570*(1+IF(I$3&lt;=$O$2,$D570,$D570-($D570-$I$562)*MIN(I$3-$O$2,$Q$2)/$Q$2))</f>
        <v>10767.8676346786</v>
      </c>
      <c r="J570" s="15" t="n">
        <f aca="false">I570*(1+IF(J$3&lt;=$O$2,$D570,$D570-($D570-$I$562)*MIN(J$3-$O$2,$Q$2)/$Q$2))</f>
        <v>10883.9990871186</v>
      </c>
      <c r="K570" s="15" t="n">
        <f aca="false">J570*(1+IF(K$3&lt;=$O$2,$D570,$D570-($D570-$I$562)*MIN(K$3-$O$2,$Q$2)/$Q$2))</f>
        <v>11076.2513259937</v>
      </c>
      <c r="L570" s="15" t="n">
        <f aca="false">K570*(1+IF(L$3&lt;=$O$2,$D570,$D570-($D570-$I$562)*MIN(L$3-$O$2,$Q$2)/$Q$2))</f>
        <v>11348.0902241619</v>
      </c>
      <c r="M570" s="15" t="n">
        <f aca="false">L570*(1+IF(M$3&lt;=$O$2,$D570,$D570-($D570-$I$562)*MIN(M$3-$O$2,$Q$2)/$Q$2))</f>
        <v>11704.6614041178</v>
      </c>
      <c r="N570" s="15" t="n">
        <f aca="false">M570*(1+IF(N$3&lt;=$O$2,$D570,$D570-($D570-$I$562)*MIN(N$3-$O$2,$Q$2)/$Q$2))</f>
        <v>12152.9499358955</v>
      </c>
      <c r="O570" s="15" t="n">
        <f aca="false">SUMPRODUCT(E570:N570,1/(1+$F$562)^$E$3:$N$3)*$E$2</f>
        <v>36100.9982719072</v>
      </c>
      <c r="P570" s="15" t="n">
        <f aca="false">N570*$E$2*(1+$I$562)/($F$562-$I$562)/(1+$F$562)^$N$3</f>
        <v>64990.2658880116</v>
      </c>
      <c r="Q570" s="15" t="n">
        <f aca="false">O570+P570</f>
        <v>101091.264159919</v>
      </c>
      <c r="R570" s="15" t="n">
        <f aca="false">Q570-$G$2+$I$2</f>
        <v>81631.2641599188</v>
      </c>
      <c r="S570" s="40" t="n">
        <f aca="false">R570/$K$2</f>
        <v>145.409188193446</v>
      </c>
      <c r="T570" s="41" t="n">
        <f aca="false">S570-$M$2</f>
        <v>-10.4004984771393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0.00390625</v>
      </c>
      <c r="C571" s="25" t="n">
        <f aca="false">IF(T570&gt;0,D570,C570)</f>
        <v>0.015625</v>
      </c>
      <c r="D571" s="39" t="n">
        <f aca="false">(B571+C571)/2</f>
        <v>0.009765625</v>
      </c>
      <c r="E571" s="15" t="n">
        <f aca="false">$C$2*(1+IF(E$3&lt;=$O$2,$D571,$D571-($D571-$I$562)*MIN(E$3-$O$2,$Q$2)/$Q$2))</f>
        <v>10663.125</v>
      </c>
      <c r="F571" s="15" t="n">
        <f aca="false">E571*(1+IF(F$3&lt;=$O$2,$D571,$D571-($D571-$I$562)*MIN(F$3-$O$2,$Q$2)/$Q$2))</f>
        <v>10767.2570800781</v>
      </c>
      <c r="G571" s="15" t="n">
        <f aca="false">F571*(1+IF(G$3&lt;=$O$2,$D571,$D571-($D571-$I$562)*MIN(G$3-$O$2,$Q$2)/$Q$2))</f>
        <v>10872.4060750008</v>
      </c>
      <c r="H571" s="15" t="n">
        <f aca="false">G571*(1+IF(H$3&lt;=$O$2,$D571,$D571-($D571-$I$562)*MIN(H$3-$O$2,$Q$2)/$Q$2))</f>
        <v>10978.5819155769</v>
      </c>
      <c r="I571" s="15" t="n">
        <f aca="false">H571*(1+IF(I$3&lt;=$O$2,$D571,$D571-($D571-$I$562)*MIN(I$3-$O$2,$Q$2)/$Q$2))</f>
        <v>11085.7946295962</v>
      </c>
      <c r="J571" s="15" t="n">
        <f aca="false">I571*(1+IF(J$3&lt;=$O$2,$D571,$D571-($D571-$I$562)*MIN(J$3-$O$2,$Q$2)/$Q$2))</f>
        <v>11257.3195870027</v>
      </c>
      <c r="K571" s="15" t="n">
        <f aca="false">J571*(1+IF(K$3&lt;=$O$2,$D571,$D571-($D571-$I$562)*MIN(K$3-$O$2,$Q$2)/$Q$2))</f>
        <v>11495.7425800307</v>
      </c>
      <c r="L571" s="15" t="n">
        <f aca="false">K571*(1+IF(L$3&lt;=$O$2,$D571,$D571-($D571-$I$562)*MIN(L$3-$O$2,$Q$2)/$Q$2))</f>
        <v>11804.819988973</v>
      </c>
      <c r="M571" s="15" t="n">
        <f aca="false">L571*(1+IF(M$3&lt;=$O$2,$D571,$D571-($D571-$I$562)*MIN(M$3-$O$2,$Q$2)/$Q$2))</f>
        <v>12189.5759624761</v>
      </c>
      <c r="N571" s="15" t="n">
        <f aca="false">M571*(1+IF(N$3&lt;=$O$2,$D571,$D571-($D571-$I$562)*MIN(N$3-$O$2,$Q$2)/$Q$2))</f>
        <v>12656.4367218389</v>
      </c>
      <c r="O571" s="15" t="n">
        <f aca="false">SUMPRODUCT(E571:N571,1/(1+$F$562)^$E$3:$N$3)*$E$2</f>
        <v>37039.8139856344</v>
      </c>
      <c r="P571" s="15" t="n">
        <f aca="false">N571*$E$2*(1+$I$562)/($F$562-$I$562)/(1+$F$562)^$N$3</f>
        <v>67682.7595016744</v>
      </c>
      <c r="Q571" s="15" t="n">
        <f aca="false">O571+P571</f>
        <v>104722.573487309</v>
      </c>
      <c r="R571" s="15" t="n">
        <f aca="false">Q571-$G$2+$I$2</f>
        <v>85262.5734873088</v>
      </c>
      <c r="S571" s="40" t="n">
        <f aca="false">R571/$K$2</f>
        <v>151.877613579346</v>
      </c>
      <c r="T571" s="41" t="n">
        <f aca="false">S571-$M$2</f>
        <v>-3.93207309123997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0.009765625</v>
      </c>
      <c r="C572" s="25" t="n">
        <f aca="false">IF(T571&gt;0,D571,C571)</f>
        <v>0.015625</v>
      </c>
      <c r="D572" s="39" t="n">
        <f aca="false">(B572+C572)/2</f>
        <v>0.0126953125</v>
      </c>
      <c r="E572" s="15" t="n">
        <f aca="false">$C$2*(1+IF(E$3&lt;=$O$2,$D572,$D572-($D572-$I$562)*MIN(E$3-$O$2,$Q$2)/$Q$2))</f>
        <v>10694.0625</v>
      </c>
      <c r="F572" s="15" t="n">
        <f aca="false">E572*(1+IF(F$3&lt;=$O$2,$D572,$D572-($D572-$I$562)*MIN(F$3-$O$2,$Q$2)/$Q$2))</f>
        <v>10829.826965332</v>
      </c>
      <c r="G572" s="15" t="n">
        <f aca="false">F572*(1+IF(G$3&lt;=$O$2,$D572,$D572-($D572-$I$562)*MIN(G$3-$O$2,$Q$2)/$Q$2))</f>
        <v>10967.3150029778</v>
      </c>
      <c r="H572" s="15" t="n">
        <f aca="false">G572*(1+IF(H$3&lt;=$O$2,$D572,$D572-($D572-$I$562)*MIN(H$3-$O$2,$Q$2)/$Q$2))</f>
        <v>11106.5484942266</v>
      </c>
      <c r="I572" s="15" t="n">
        <f aca="false">H572*(1+IF(I$3&lt;=$O$2,$D572,$D572-($D572-$I$562)*MIN(I$3-$O$2,$Q$2)/$Q$2))</f>
        <v>11247.5495981572</v>
      </c>
      <c r="J572" s="15" t="n">
        <f aca="false">I572*(1+IF(J$3&lt;=$O$2,$D572,$D572-($D572-$I$562)*MIN(J$3-$O$2,$Q$2)/$Q$2))</f>
        <v>11447.9387536854</v>
      </c>
      <c r="K572" s="15" t="n">
        <f aca="false">J572*(1+IF(K$3&lt;=$O$2,$D572,$D572-($D572-$I$562)*MIN(K$3-$O$2,$Q$2)/$Q$2))</f>
        <v>11710.5222713672</v>
      </c>
      <c r="L572" s="15" t="n">
        <f aca="false">K572*(1+IF(L$3&lt;=$O$2,$D572,$D572-($D572-$I$562)*MIN(L$3-$O$2,$Q$2)/$Q$2))</f>
        <v>12039.0975690725</v>
      </c>
      <c r="M572" s="15" t="n">
        <f aca="false">L572*(1+IF(M$3&lt;=$O$2,$D572,$D572-($D572-$I$562)*MIN(M$3-$O$2,$Q$2)/$Q$2))</f>
        <v>12438.5435397603</v>
      </c>
      <c r="N572" s="15" t="n">
        <f aca="false">M572*(1+IF(N$3&lt;=$O$2,$D572,$D572-($D572-$I$562)*MIN(N$3-$O$2,$Q$2)/$Q$2))</f>
        <v>12914.9397573331</v>
      </c>
      <c r="O572" s="15" t="n">
        <f aca="false">SUMPRODUCT(E572:N572,1/(1+$F$562)^$E$3:$N$3)*$E$2</f>
        <v>37518.5151577013</v>
      </c>
      <c r="P572" s="15" t="n">
        <f aca="false">N572*$E$2*(1+$I$562)/($F$562-$I$562)/(1+$F$562)^$N$3</f>
        <v>69065.1548129565</v>
      </c>
      <c r="Q572" s="15" t="n">
        <f aca="false">O572+P572</f>
        <v>106583.669970658</v>
      </c>
      <c r="R572" s="15" t="n">
        <f aca="false">Q572-$G$2+$I$2</f>
        <v>87123.6699706578</v>
      </c>
      <c r="S572" s="40" t="n">
        <f aca="false">R572/$K$2</f>
        <v>155.192771461298</v>
      </c>
      <c r="T572" s="41" t="n">
        <f aca="false">S572-$M$2</f>
        <v>-0.61691520928801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0.0126953125</v>
      </c>
      <c r="C573" s="25" t="n">
        <f aca="false">IF(T572&gt;0,D572,C572)</f>
        <v>0.015625</v>
      </c>
      <c r="D573" s="39" t="n">
        <f aca="false">(B573+C573)/2</f>
        <v>0.01416015625</v>
      </c>
      <c r="E573" s="15" t="n">
        <f aca="false">$C$2*(1+IF(E$3&lt;=$O$2,$D573,$D573-($D573-$I$562)*MIN(E$3-$O$2,$Q$2)/$Q$2))</f>
        <v>10709.53125</v>
      </c>
      <c r="F573" s="15" t="n">
        <f aca="false">E573*(1+IF(F$3&lt;=$O$2,$D573,$D573-($D573-$I$562)*MIN(F$3-$O$2,$Q$2)/$Q$2))</f>
        <v>10861.1798858643</v>
      </c>
      <c r="G573" s="15" t="n">
        <f aca="false">F573*(1+IF(G$3&lt;=$O$2,$D573,$D573-($D573-$I$562)*MIN(G$3-$O$2,$Q$2)/$Q$2))</f>
        <v>11014.9758901075</v>
      </c>
      <c r="H573" s="15" t="n">
        <f aca="false">G573*(1+IF(H$3&lt;=$O$2,$D573,$D573-($D573-$I$562)*MIN(H$3-$O$2,$Q$2)/$Q$2))</f>
        <v>11170.9496698014</v>
      </c>
      <c r="I573" s="15" t="n">
        <f aca="false">H573*(1+IF(I$3&lt;=$O$2,$D573,$D573-($D573-$I$562)*MIN(I$3-$O$2,$Q$2)/$Q$2))</f>
        <v>11329.1320625866</v>
      </c>
      <c r="J573" s="15" t="n">
        <f aca="false">I573*(1+IF(J$3&lt;=$O$2,$D573,$D573-($D573-$I$562)*MIN(J$3-$O$2,$Q$2)/$Q$2))</f>
        <v>11544.2510383325</v>
      </c>
      <c r="K573" s="15" t="n">
        <f aca="false">J573*(1+IF(K$3&lt;=$O$2,$D573,$D573-($D573-$I$562)*MIN(K$3-$O$2,$Q$2)/$Q$2))</f>
        <v>11819.190003335</v>
      </c>
      <c r="L573" s="15" t="n">
        <f aca="false">K573*(1+IF(L$3&lt;=$O$2,$D573,$D573-($D573-$I$562)*MIN(L$3-$O$2,$Q$2)/$Q$2))</f>
        <v>12157.7396204899</v>
      </c>
      <c r="M573" s="15" t="n">
        <f aca="false">L573*(1+IF(M$3&lt;=$O$2,$D573,$D573-($D573-$I$562)*MIN(M$3-$O$2,$Q$2)/$Q$2))</f>
        <v>12564.6838609963</v>
      </c>
      <c r="N573" s="15" t="n">
        <f aca="false">M573*(1+IF(N$3&lt;=$O$2,$D573,$D573-($D573-$I$562)*MIN(N$3-$O$2,$Q$2)/$Q$2))</f>
        <v>13045.9112528725</v>
      </c>
      <c r="O573" s="15" t="n">
        <f aca="false">SUMPRODUCT(E573:N573,1/(1+$F$562)^$E$3:$N$3)*$E$2</f>
        <v>37760.2227045947</v>
      </c>
      <c r="P573" s="15" t="n">
        <f aca="false">N573*$E$2*(1+$I$562)/($F$562-$I$562)/(1+$F$562)^$N$3</f>
        <v>69765.5503847106</v>
      </c>
      <c r="Q573" s="15" t="n">
        <f aca="false">O573+P573</f>
        <v>107525.773089305</v>
      </c>
      <c r="R573" s="15" t="n">
        <f aca="false">Q573-$G$2+$I$2</f>
        <v>88065.7730893052</v>
      </c>
      <c r="S573" s="40" t="n">
        <f aca="false">R573/$K$2</f>
        <v>156.870933022151</v>
      </c>
      <c r="T573" s="41" t="n">
        <f aca="false">S573-$M$2</f>
        <v>1.0612463515653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0.0126953125</v>
      </c>
      <c r="C574" s="25" t="n">
        <f aca="false">IF(T573&gt;0,D573,C573)</f>
        <v>0.01416015625</v>
      </c>
      <c r="D574" s="39" t="n">
        <f aca="false">(B574+C574)/2</f>
        <v>0.013427734375</v>
      </c>
      <c r="E574" s="15" t="n">
        <f aca="false">$C$2*(1+IF(E$3&lt;=$O$2,$D574,$D574-($D574-$I$562)*MIN(E$3-$O$2,$Q$2)/$Q$2))</f>
        <v>10701.796875</v>
      </c>
      <c r="F574" s="15" t="n">
        <f aca="false">E574*(1+IF(F$3&lt;=$O$2,$D574,$D574-($D574-$I$562)*MIN(F$3-$O$2,$Q$2)/$Q$2))</f>
        <v>10845.4977607727</v>
      </c>
      <c r="G574" s="15" t="n">
        <f aca="false">F574*(1+IF(G$3&lt;=$O$2,$D574,$D574-($D574-$I$562)*MIN(G$3-$O$2,$Q$2)/$Q$2))</f>
        <v>10991.128223869</v>
      </c>
      <c r="H574" s="15" t="n">
        <f aca="false">G574*(1+IF(H$3&lt;=$O$2,$D574,$D574-($D574-$I$562)*MIN(H$3-$O$2,$Q$2)/$Q$2))</f>
        <v>11138.7141741407</v>
      </c>
      <c r="I574" s="15" t="n">
        <f aca="false">H574*(1+IF(I$3&lt;=$O$2,$D574,$D574-($D574-$I$562)*MIN(I$3-$O$2,$Q$2)/$Q$2))</f>
        <v>11288.2818693501</v>
      </c>
      <c r="J574" s="15" t="n">
        <f aca="false">I574*(1+IF(J$3&lt;=$O$2,$D574,$D574-($D574-$I$562)*MIN(J$3-$O$2,$Q$2)/$Q$2))</f>
        <v>11496.0109488627</v>
      </c>
      <c r="K574" s="15" t="n">
        <f aca="false">J574*(1+IF(K$3&lt;=$O$2,$D574,$D574-($D574-$I$562)*MIN(K$3-$O$2,$Q$2)/$Q$2))</f>
        <v>11764.7490654354</v>
      </c>
      <c r="L574" s="15" t="n">
        <f aca="false">K574*(1+IF(L$3&lt;=$O$2,$D574,$D574-($D574-$I$562)*MIN(L$3-$O$2,$Q$2)/$Q$2))</f>
        <v>12098.2925691348</v>
      </c>
      <c r="M574" s="15" t="n">
        <f aca="false">L574*(1+IF(M$3&lt;=$O$2,$D574,$D574-($D574-$I$562)*MIN(M$3-$O$2,$Q$2)/$Q$2))</f>
        <v>12501.4747852549</v>
      </c>
      <c r="N574" s="15" t="n">
        <f aca="false">M574*(1+IF(N$3&lt;=$O$2,$D574,$D574-($D574-$I$562)*MIN(N$3-$O$2,$Q$2)/$Q$2))</f>
        <v>12980.2812695302</v>
      </c>
      <c r="O574" s="15" t="n">
        <f aca="false">SUMPRODUCT(E574:N574,1/(1+$F$562)^$E$3:$N$3)*$E$2</f>
        <v>37639.1715080243</v>
      </c>
      <c r="P574" s="15" t="n">
        <f aca="false">N574*$E$2*(1+$I$562)/($F$562-$I$562)/(1+$F$562)^$N$3</f>
        <v>69414.5812710271</v>
      </c>
      <c r="Q574" s="15" t="n">
        <f aca="false">O574+P574</f>
        <v>107053.752779051</v>
      </c>
      <c r="R574" s="15" t="n">
        <f aca="false">Q574-$G$2+$I$2</f>
        <v>87593.7527790514</v>
      </c>
      <c r="S574" s="40" t="n">
        <f aca="false">R574/$K$2</f>
        <v>156.030126612607</v>
      </c>
      <c r="T574" s="41" t="n">
        <f aca="false">S574-$M$2</f>
        <v>0.220439942021471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0.0126953125</v>
      </c>
      <c r="C575" s="25" t="n">
        <f aca="false">IF(T574&gt;0,D574,C574)</f>
        <v>0.013427734375</v>
      </c>
      <c r="D575" s="39" t="n">
        <f aca="false">(B575+C575)/2</f>
        <v>0.0130615234375</v>
      </c>
      <c r="E575" s="15" t="n">
        <f aca="false">$C$2*(1+IF(E$3&lt;=$O$2,$D575,$D575-($D575-$I$562)*MIN(E$3-$O$2,$Q$2)/$Q$2))</f>
        <v>10697.9296875</v>
      </c>
      <c r="F575" s="15" t="n">
        <f aca="false">E575*(1+IF(F$3&lt;=$O$2,$D575,$D575-($D575-$I$562)*MIN(F$3-$O$2,$Q$2)/$Q$2))</f>
        <v>10837.660946846</v>
      </c>
      <c r="G575" s="15" t="n">
        <f aca="false">F575*(1+IF(G$3&lt;=$O$2,$D575,$D575-($D575-$I$562)*MIN(G$3-$O$2,$Q$2)/$Q$2))</f>
        <v>10979.2173093109</v>
      </c>
      <c r="H575" s="15" t="n">
        <f aca="false">G575*(1+IF(H$3&lt;=$O$2,$D575,$D575-($D575-$I$562)*MIN(H$3-$O$2,$Q$2)/$Q$2))</f>
        <v>11122.6226135219</v>
      </c>
      <c r="I575" s="15" t="n">
        <f aca="false">H575*(1+IF(I$3&lt;=$O$2,$D575,$D575-($D575-$I$562)*MIN(I$3-$O$2,$Q$2)/$Q$2))</f>
        <v>11267.9010094749</v>
      </c>
      <c r="J575" s="15" t="n">
        <f aca="false">I575*(1+IF(J$3&lt;=$O$2,$D575,$D575-($D575-$I$562)*MIN(J$3-$O$2,$Q$2)/$Q$2))</f>
        <v>11471.9538937088</v>
      </c>
      <c r="K575" s="15" t="n">
        <f aca="false">J575*(1+IF(K$3&lt;=$O$2,$D575,$D575-($D575-$I$562)*MIN(K$3-$O$2,$Q$2)/$Q$2))</f>
        <v>11737.6089441544</v>
      </c>
      <c r="L575" s="15" t="n">
        <f aca="false">K575*(1+IF(L$3&lt;=$O$2,$D575,$D575-($D575-$I$562)*MIN(L$3-$O$2,$Q$2)/$Q$2))</f>
        <v>12068.6636194208</v>
      </c>
      <c r="M575" s="15" t="n">
        <f aca="false">L575*(1+IF(M$3&lt;=$O$2,$D575,$D575-($D575-$I$562)*MIN(M$3-$O$2,$Q$2)/$Q$2))</f>
        <v>12469.9744992647</v>
      </c>
      <c r="N575" s="15" t="n">
        <f aca="false">M575*(1+IF(N$3&lt;=$O$2,$D575,$D575-($D575-$I$562)*MIN(N$3-$O$2,$Q$2)/$Q$2))</f>
        <v>12947.5745225865</v>
      </c>
      <c r="O575" s="15" t="n">
        <f aca="false">SUMPRODUCT(E575:N575,1/(1+$F$562)^$E$3:$N$3)*$E$2</f>
        <v>37578.7940530396</v>
      </c>
      <c r="P575" s="15" t="n">
        <f aca="false">N575*$E$2*(1+$I$562)/($F$562-$I$562)/(1+$F$562)^$N$3</f>
        <v>69239.6755739402</v>
      </c>
      <c r="Q575" s="15" t="n">
        <f aca="false">O575+P575</f>
        <v>106818.46962698</v>
      </c>
      <c r="R575" s="15" t="n">
        <f aca="false">Q575-$G$2+$I$2</f>
        <v>87358.4696269798</v>
      </c>
      <c r="S575" s="40" t="n">
        <f aca="false">R575/$K$2</f>
        <v>155.611018413188</v>
      </c>
      <c r="T575" s="41" t="n">
        <f aca="false">S575-$M$2</f>
        <v>-0.198668257397202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0.0130615234375</v>
      </c>
      <c r="C576" s="25" t="n">
        <f aca="false">IF(T575&gt;0,D575,C575)</f>
        <v>0.013427734375</v>
      </c>
      <c r="D576" s="39" t="n">
        <f aca="false">(B576+C576)/2</f>
        <v>0.01324462890625</v>
      </c>
      <c r="E576" s="15" t="n">
        <f aca="false">$C$2*(1+IF(E$3&lt;=$O$2,$D576,$D576-($D576-$I$562)*MIN(E$3-$O$2,$Q$2)/$Q$2))</f>
        <v>10699.86328125</v>
      </c>
      <c r="F576" s="15" t="n">
        <f aca="false">E576*(1+IF(F$3&lt;=$O$2,$D576,$D576-($D576-$I$562)*MIN(F$3-$O$2,$Q$2)/$Q$2))</f>
        <v>10841.5789997578</v>
      </c>
      <c r="G576" s="15" t="n">
        <f aca="false">F576*(1+IF(G$3&lt;=$O$2,$D576,$D576-($D576-$I$562)*MIN(G$3-$O$2,$Q$2)/$Q$2))</f>
        <v>10985.1716903674</v>
      </c>
      <c r="H576" s="15" t="n">
        <f aca="false">G576*(1+IF(H$3&lt;=$O$2,$D576,$D576-($D576-$I$562)*MIN(H$3-$O$2,$Q$2)/$Q$2))</f>
        <v>11130.6662128777</v>
      </c>
      <c r="I576" s="15" t="n">
        <f aca="false">H576*(1+IF(I$3&lt;=$O$2,$D576,$D576-($D576-$I$562)*MIN(I$3-$O$2,$Q$2)/$Q$2))</f>
        <v>11278.0877563466</v>
      </c>
      <c r="J576" s="15" t="n">
        <f aca="false">I576*(1+IF(J$3&lt;=$O$2,$D576,$D576-($D576-$I$562)*MIN(J$3-$O$2,$Q$2)/$Q$2))</f>
        <v>11483.9771782442</v>
      </c>
      <c r="K576" s="15" t="n">
        <f aca="false">J576*(1+IF(K$3&lt;=$O$2,$D576,$D576-($D576-$I$562)*MIN(K$3-$O$2,$Q$2)/$Q$2))</f>
        <v>11751.1723182711</v>
      </c>
      <c r="L576" s="15" t="n">
        <f aca="false">K576*(1+IF(L$3&lt;=$O$2,$D576,$D576-($D576-$I$562)*MIN(L$3-$O$2,$Q$2)/$Q$2))</f>
        <v>12083.4702247725</v>
      </c>
      <c r="M576" s="15" t="n">
        <f aca="false">L576*(1+IF(M$3&lt;=$O$2,$D576,$D576-($D576-$I$562)*MIN(M$3-$O$2,$Q$2)/$Q$2))</f>
        <v>12485.7159682649</v>
      </c>
      <c r="N576" s="15" t="n">
        <f aca="false">M576*(1+IF(N$3&lt;=$O$2,$D576,$D576-($D576-$I$562)*MIN(N$3-$O$2,$Q$2)/$Q$2))</f>
        <v>12963.9188898495</v>
      </c>
      <c r="O576" s="15" t="n">
        <f aca="false">SUMPRODUCT(E576:N576,1/(1+$F$562)^$E$3:$N$3)*$E$2</f>
        <v>37608.9704510894</v>
      </c>
      <c r="P576" s="15" t="n">
        <f aca="false">N576*$E$2*(1+$I$562)/($F$562-$I$562)/(1+$F$562)^$N$3</f>
        <v>69327.0802600282</v>
      </c>
      <c r="Q576" s="15" t="n">
        <f aca="false">O576+P576</f>
        <v>106936.050711118</v>
      </c>
      <c r="R576" s="15" t="n">
        <f aca="false">Q576-$G$2+$I$2</f>
        <v>87476.0507111175</v>
      </c>
      <c r="S576" s="40" t="n">
        <f aca="false">R576/$K$2</f>
        <v>155.820464759111</v>
      </c>
      <c r="T576" s="41" t="n">
        <f aca="false">S576-$M$2</f>
        <v>0.0107780885258819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0.0130615234375</v>
      </c>
      <c r="C577" s="25" t="n">
        <f aca="false">IF(T576&gt;0,D576,C576)</f>
        <v>0.01324462890625</v>
      </c>
      <c r="D577" s="39" t="n">
        <f aca="false">(B577+C577)/2</f>
        <v>0.013153076171875</v>
      </c>
      <c r="E577" s="15" t="n">
        <f aca="false">$C$2*(1+IF(E$3&lt;=$O$2,$D577,$D577-($D577-$I$562)*MIN(E$3-$O$2,$Q$2)/$Q$2))</f>
        <v>10698.896484375</v>
      </c>
      <c r="F577" s="15" t="n">
        <f aca="false">E577*(1+IF(F$3&lt;=$O$2,$D577,$D577-($D577-$I$562)*MIN(F$3-$O$2,$Q$2)/$Q$2))</f>
        <v>10839.619884789</v>
      </c>
      <c r="G577" s="15" t="n">
        <f aca="false">F577*(1+IF(G$3&lt;=$O$2,$D577,$D577-($D577-$I$562)*MIN(G$3-$O$2,$Q$2)/$Q$2))</f>
        <v>10982.1942308078</v>
      </c>
      <c r="H577" s="15" t="n">
        <f aca="false">G577*(1+IF(H$3&lt;=$O$2,$D577,$D577-($D577-$I$562)*MIN(H$3-$O$2,$Q$2)/$Q$2))</f>
        <v>11126.6438680599</v>
      </c>
      <c r="I577" s="15" t="n">
        <f aca="false">H577*(1+IF(I$3&lt;=$O$2,$D577,$D577-($D577-$I$562)*MIN(I$3-$O$2,$Q$2)/$Q$2))</f>
        <v>11272.9934623939</v>
      </c>
      <c r="J577" s="15" t="n">
        <f aca="false">I577*(1+IF(J$3&lt;=$O$2,$D577,$D577-($D577-$I$562)*MIN(J$3-$O$2,$Q$2)/$Q$2))</f>
        <v>11477.9642256725</v>
      </c>
      <c r="K577" s="15" t="n">
        <f aca="false">J577*(1+IF(K$3&lt;=$O$2,$D577,$D577-($D577-$I$562)*MIN(K$3-$O$2,$Q$2)/$Q$2))</f>
        <v>11744.3889602648</v>
      </c>
      <c r="L577" s="15" t="n">
        <f aca="false">K577*(1+IF(L$3&lt;=$O$2,$D577,$D577-($D577-$I$562)*MIN(L$3-$O$2,$Q$2)/$Q$2))</f>
        <v>12076.0649556063</v>
      </c>
      <c r="M577" s="15" t="n">
        <f aca="false">L577*(1+IF(M$3&lt;=$O$2,$D577,$D577-($D577-$I$562)*MIN(M$3-$O$2,$Q$2)/$Q$2))</f>
        <v>12477.8430662896</v>
      </c>
      <c r="N577" s="15" t="n">
        <f aca="false">M577*(1+IF(N$3&lt;=$O$2,$D577,$D577-($D577-$I$562)*MIN(N$3-$O$2,$Q$2)/$Q$2))</f>
        <v>12955.7444557285</v>
      </c>
      <c r="O577" s="15" t="n">
        <f aca="false">SUMPRODUCT(E577:N577,1/(1+$F$562)^$E$3:$N$3)*$E$2</f>
        <v>37593.8791708902</v>
      </c>
      <c r="P577" s="15" t="n">
        <f aca="false">N577*$E$2*(1+$I$562)/($F$562-$I$562)/(1+$F$562)^$N$3</f>
        <v>69283.3658820534</v>
      </c>
      <c r="Q577" s="15" t="n">
        <f aca="false">O577+P577</f>
        <v>106877.245052944</v>
      </c>
      <c r="R577" s="15" t="n">
        <f aca="false">Q577-$G$2+$I$2</f>
        <v>87417.2450529437</v>
      </c>
      <c r="S577" s="40" t="n">
        <f aca="false">R577/$K$2</f>
        <v>155.71571465994</v>
      </c>
      <c r="T577" s="41" t="n">
        <f aca="false">S577-$M$2</f>
        <v>-0.093972010645615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0.013153076171875</v>
      </c>
      <c r="C578" s="25" t="n">
        <f aca="false">IF(T577&gt;0,D577,C577)</f>
        <v>0.01324462890625</v>
      </c>
      <c r="D578" s="39" t="n">
        <f aca="false">(B578+C578)/2</f>
        <v>0.0131988525390625</v>
      </c>
      <c r="E578" s="15" t="n">
        <f aca="false">$C$2*(1+IF(E$3&lt;=$O$2,$D578,$D578-($D578-$I$562)*MIN(E$3-$O$2,$Q$2)/$Q$2))</f>
        <v>10699.3798828125</v>
      </c>
      <c r="F578" s="15" t="n">
        <f aca="false">E578*(1+IF(F$3&lt;=$O$2,$D578,$D578-($D578-$I$562)*MIN(F$3-$O$2,$Q$2)/$Q$2))</f>
        <v>10840.5994201452</v>
      </c>
      <c r="G578" s="15" t="n">
        <f aca="false">F578*(1+IF(G$3&lt;=$O$2,$D578,$D578-($D578-$I$562)*MIN(G$3-$O$2,$Q$2)/$Q$2))</f>
        <v>10983.6828933267</v>
      </c>
      <c r="H578" s="15" t="n">
        <f aca="false">G578*(1+IF(H$3&lt;=$O$2,$D578,$D578-($D578-$I$562)*MIN(H$3-$O$2,$Q$2)/$Q$2))</f>
        <v>11128.6549041715</v>
      </c>
      <c r="I578" s="15" t="n">
        <f aca="false">H578*(1+IF(I$3&lt;=$O$2,$D578,$D578-($D578-$I$562)*MIN(I$3-$O$2,$Q$2)/$Q$2))</f>
        <v>11275.5403792098</v>
      </c>
      <c r="J578" s="15" t="n">
        <f aca="false">I578*(1+IF(J$3&lt;=$O$2,$D578,$D578-($D578-$I$562)*MIN(J$3-$O$2,$Q$2)/$Q$2))</f>
        <v>11480.9703743253</v>
      </c>
      <c r="K578" s="15" t="n">
        <f aca="false">J578*(1+IF(K$3&lt;=$O$2,$D578,$D578-($D578-$I$562)*MIN(K$3-$O$2,$Q$2)/$Q$2))</f>
        <v>11747.7802214456</v>
      </c>
      <c r="L578" s="15" t="n">
        <f aca="false">K578*(1+IF(L$3&lt;=$O$2,$D578,$D578-($D578-$I$562)*MIN(L$3-$O$2,$Q$2)/$Q$2))</f>
        <v>12079.7670984561</v>
      </c>
      <c r="M578" s="15" t="n">
        <f aca="false">L578*(1+IF(M$3&lt;=$O$2,$D578,$D578-($D578-$I$562)*MIN(M$3-$O$2,$Q$2)/$Q$2))</f>
        <v>12481.7789752805</v>
      </c>
      <c r="N578" s="15" t="n">
        <f aca="false">M578*(1+IF(N$3&lt;=$O$2,$D578,$D578-($D578-$I$562)*MIN(N$3-$O$2,$Q$2)/$Q$2))</f>
        <v>12959.8311100338</v>
      </c>
      <c r="O578" s="15" t="n">
        <f aca="false">SUMPRODUCT(E578:N578,1/(1+$F$562)^$E$3:$N$3)*$E$2</f>
        <v>37601.424040548</v>
      </c>
      <c r="P578" s="15" t="n">
        <f aca="false">N578*$E$2*(1+$I$562)/($F$562-$I$562)/(1+$F$562)^$N$3</f>
        <v>69305.2200615979</v>
      </c>
      <c r="Q578" s="15" t="n">
        <f aca="false">O578+P578</f>
        <v>106906.644102146</v>
      </c>
      <c r="R578" s="15" t="n">
        <f aca="false">Q578-$G$2+$I$2</f>
        <v>87446.6441021459</v>
      </c>
      <c r="S578" s="40" t="n">
        <f aca="false">R578/$K$2</f>
        <v>155.768082976444</v>
      </c>
      <c r="T578" s="41" t="n">
        <f aca="false">S578-$M$2</f>
        <v>-0.0416036941415712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0.0131988525390625</v>
      </c>
      <c r="C579" s="25" t="n">
        <f aca="false">IF(T578&gt;0,D578,C578)</f>
        <v>0.01324462890625</v>
      </c>
      <c r="D579" s="39" t="n">
        <f aca="false">(B579+C579)/2</f>
        <v>0.0132217407226563</v>
      </c>
      <c r="E579" s="15" t="n">
        <f aca="false">$C$2*(1+IF(E$3&lt;=$O$2,$D579,$D579-($D579-$I$562)*MIN(E$3-$O$2,$Q$2)/$Q$2))</f>
        <v>10699.6215820313</v>
      </c>
      <c r="F579" s="15" t="n">
        <f aca="false">E579*(1+IF(F$3&lt;=$O$2,$D579,$D579-($D579-$I$562)*MIN(F$3-$O$2,$Q$2)/$Q$2))</f>
        <v>10841.0892044194</v>
      </c>
      <c r="G579" s="15" t="n">
        <f aca="false">F579*(1+IF(G$3&lt;=$O$2,$D579,$D579-($D579-$I$562)*MIN(G$3-$O$2,$Q$2)/$Q$2))</f>
        <v>10984.4272750314</v>
      </c>
      <c r="H579" s="15" t="n">
        <f aca="false">G579*(1+IF(H$3&lt;=$O$2,$D579,$D579-($D579-$I$562)*MIN(H$3-$O$2,$Q$2)/$Q$2))</f>
        <v>11129.6605244488</v>
      </c>
      <c r="I579" s="15" t="n">
        <f aca="false">H579*(1+IF(I$3&lt;=$O$2,$D579,$D579-($D579-$I$562)*MIN(I$3-$O$2,$Q$2)/$Q$2))</f>
        <v>11276.8140102342</v>
      </c>
      <c r="J579" s="15" t="n">
        <f aca="false">I579*(1+IF(J$3&lt;=$O$2,$D579,$D579-($D579-$I$562)*MIN(J$3-$O$2,$Q$2)/$Q$2))</f>
        <v>11482.4736943693</v>
      </c>
      <c r="K579" s="15" t="n">
        <f aca="false">J579*(1+IF(K$3&lt;=$O$2,$D579,$D579-($D579-$I$562)*MIN(K$3-$O$2,$Q$2)/$Q$2))</f>
        <v>11749.4761653921</v>
      </c>
      <c r="L579" s="15" t="n">
        <f aca="false">K579*(1+IF(L$3&lt;=$O$2,$D579,$D579-($D579-$I$562)*MIN(L$3-$O$2,$Q$2)/$Q$2))</f>
        <v>12081.6185386671</v>
      </c>
      <c r="M579" s="15" t="n">
        <f aca="false">L579*(1+IF(M$3&lt;=$O$2,$D579,$D579-($D579-$I$562)*MIN(M$3-$O$2,$Q$2)/$Q$2))</f>
        <v>12483.7473362576</v>
      </c>
      <c r="N579" s="15" t="n">
        <f aca="false">M579*(1+IF(N$3&lt;=$O$2,$D579,$D579-($D579-$I$562)*MIN(N$3-$O$2,$Q$2)/$Q$2))</f>
        <v>12961.8748592362</v>
      </c>
      <c r="O579" s="15" t="n">
        <f aca="false">SUMPRODUCT(E579:N579,1/(1+$F$562)^$E$3:$N$3)*$E$2</f>
        <v>37605.1970531897</v>
      </c>
      <c r="P579" s="15" t="n">
        <f aca="false">N579*$E$2*(1+$I$562)/($F$562-$I$562)/(1+$F$562)^$N$3</f>
        <v>69316.1494083635</v>
      </c>
      <c r="Q579" s="15" t="n">
        <f aca="false">O579+P579</f>
        <v>106921.346461553</v>
      </c>
      <c r="R579" s="15" t="n">
        <f aca="false">Q579-$G$2+$I$2</f>
        <v>87461.3464615532</v>
      </c>
      <c r="S579" s="40" t="n">
        <f aca="false">R579/$K$2</f>
        <v>155.794272184316</v>
      </c>
      <c r="T579" s="41" t="n">
        <f aca="false">S579-$M$2</f>
        <v>-0.0154144862694636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0.0132217407226563</v>
      </c>
      <c r="C580" s="25" t="n">
        <f aca="false">IF(T579&gt;0,D579,C579)</f>
        <v>0.01324462890625</v>
      </c>
      <c r="D580" s="39" t="n">
        <f aca="false">(B580+C580)/2</f>
        <v>0.0132331848144531</v>
      </c>
      <c r="E580" s="15" t="n">
        <f aca="false">$C$2*(1+IF(E$3&lt;=$O$2,$D580,$D580-($D580-$I$562)*MIN(E$3-$O$2,$Q$2)/$Q$2))</f>
        <v>10699.7424316406</v>
      </c>
      <c r="F580" s="15" t="n">
        <f aca="false">E580*(1+IF(F$3&lt;=$O$2,$D580,$D580-($D580-$I$562)*MIN(F$3-$O$2,$Q$2)/$Q$2))</f>
        <v>10841.3341007056</v>
      </c>
      <c r="G580" s="15" t="n">
        <f aca="false">F580*(1+IF(G$3&lt;=$O$2,$D580,$D580-($D580-$I$562)*MIN(G$3-$O$2,$Q$2)/$Q$2))</f>
        <v>10984.7994784954</v>
      </c>
      <c r="H580" s="15" t="n">
        <f aca="false">G580*(1+IF(H$3&lt;=$O$2,$D580,$D580-($D580-$I$562)*MIN(H$3-$O$2,$Q$2)/$Q$2))</f>
        <v>11130.1633601441</v>
      </c>
      <c r="I580" s="15" t="n">
        <f aca="false">H580*(1+IF(I$3&lt;=$O$2,$D580,$D580-($D580-$I$562)*MIN(I$3-$O$2,$Q$2)/$Q$2))</f>
        <v>11277.4508689039</v>
      </c>
      <c r="J580" s="15" t="n">
        <f aca="false">I580*(1+IF(J$3&lt;=$O$2,$D580,$D580-($D580-$I$562)*MIN(J$3-$O$2,$Q$2)/$Q$2))</f>
        <v>11483.225415827</v>
      </c>
      <c r="K580" s="15" t="n">
        <f aca="false">J580*(1+IF(K$3&lt;=$O$2,$D580,$D580-($D580-$I$562)*MIN(K$3-$O$2,$Q$2)/$Q$2))</f>
        <v>11750.3242157137</v>
      </c>
      <c r="L580" s="15" t="n">
        <f aca="false">K580*(1+IF(L$3&lt;=$O$2,$D580,$D580-($D580-$I$562)*MIN(L$3-$O$2,$Q$2)/$Q$2))</f>
        <v>12082.5443509813</v>
      </c>
      <c r="M580" s="15" t="n">
        <f aca="false">L580*(1+IF(M$3&lt;=$O$2,$D580,$D580-($D580-$I$562)*MIN(M$3-$O$2,$Q$2)/$Q$2))</f>
        <v>12484.7316183804</v>
      </c>
      <c r="N580" s="15" t="n">
        <f aca="false">M580*(1+IF(N$3&lt;=$O$2,$D580,$D580-($D580-$I$562)*MIN(N$3-$O$2,$Q$2)/$Q$2))</f>
        <v>12962.8968393644</v>
      </c>
      <c r="O580" s="15" t="n">
        <f aca="false">SUMPRODUCT(E580:N580,1/(1+$F$562)^$E$3:$N$3)*$E$2</f>
        <v>37607.08370398</v>
      </c>
      <c r="P580" s="15" t="n">
        <f aca="false">N580*$E$2*(1+$I$562)/($F$562-$I$562)/(1+$F$562)^$N$3</f>
        <v>69321.6146460723</v>
      </c>
      <c r="Q580" s="15" t="n">
        <f aca="false">O580+P580</f>
        <v>106928.698350052</v>
      </c>
      <c r="R580" s="15" t="n">
        <f aca="false">Q580-$G$2+$I$2</f>
        <v>87468.6983500523</v>
      </c>
      <c r="S580" s="40" t="n">
        <f aca="false">R580/$K$2</f>
        <v>155.807368050824</v>
      </c>
      <c r="T580" s="41" t="n">
        <f aca="false">S580-$M$2</f>
        <v>-0.00231861976109826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0.0132331848144531</v>
      </c>
      <c r="C581" s="25" t="n">
        <f aca="false">IF(T580&gt;0,D580,C580)</f>
        <v>0.01324462890625</v>
      </c>
      <c r="D581" s="39" t="n">
        <f aca="false">(B581+C581)/2</f>
        <v>0.0132389068603516</v>
      </c>
      <c r="E581" s="15" t="n">
        <f aca="false">$C$2*(1+IF(E$3&lt;=$O$2,$D581,$D581-($D581-$I$562)*MIN(E$3-$O$2,$Q$2)/$Q$2))</f>
        <v>10699.8028564453</v>
      </c>
      <c r="F581" s="15" t="n">
        <f aca="false">E581*(1+IF(F$3&lt;=$O$2,$D581,$D581-($D581-$I$562)*MIN(F$3-$O$2,$Q$2)/$Q$2))</f>
        <v>10841.4565498859</v>
      </c>
      <c r="G581" s="15" t="n">
        <f aca="false">F581*(1+IF(G$3&lt;=$O$2,$D581,$D581-($D581-$I$562)*MIN(G$3-$O$2,$Q$2)/$Q$2))</f>
        <v>10984.9855833804</v>
      </c>
      <c r="H581" s="15" t="n">
        <f aca="false">G581*(1+IF(H$3&lt;=$O$2,$D581,$D581-($D581-$I$562)*MIN(H$3-$O$2,$Q$2)/$Q$2))</f>
        <v>11130.4147843811</v>
      </c>
      <c r="I581" s="15" t="n">
        <f aca="false">H581*(1+IF(I$3&lt;=$O$2,$D581,$D581-($D581-$I$562)*MIN(I$3-$O$2,$Q$2)/$Q$2))</f>
        <v>11277.7693090286</v>
      </c>
      <c r="J581" s="15" t="n">
        <f aca="false">I581*(1+IF(J$3&lt;=$O$2,$D581,$D581-($D581-$I$562)*MIN(J$3-$O$2,$Q$2)/$Q$2))</f>
        <v>11483.6012919156</v>
      </c>
      <c r="K581" s="15" t="n">
        <f aca="false">J581*(1+IF(K$3&lt;=$O$2,$D581,$D581-($D581-$I$562)*MIN(K$3-$O$2,$Q$2)/$Q$2))</f>
        <v>11750.7482604627</v>
      </c>
      <c r="L581" s="15" t="n">
        <f aca="false">K581*(1+IF(L$3&lt;=$O$2,$D581,$D581-($D581-$I$562)*MIN(L$3-$O$2,$Q$2)/$Q$2))</f>
        <v>12083.0072801921</v>
      </c>
      <c r="M581" s="15" t="n">
        <f aca="false">L581*(1+IF(M$3&lt;=$O$2,$D581,$D581-($D581-$I$562)*MIN(M$3-$O$2,$Q$2)/$Q$2))</f>
        <v>12485.2237848522</v>
      </c>
      <c r="N581" s="15" t="n">
        <f aca="false">M581*(1+IF(N$3&lt;=$O$2,$D581,$D581-($D581-$I$562)*MIN(N$3-$O$2,$Q$2)/$Q$2))</f>
        <v>12963.4078558121</v>
      </c>
      <c r="O581" s="15" t="n">
        <f aca="false">SUMPRODUCT(E581:N581,1/(1+$F$562)^$E$3:$N$3)*$E$2</f>
        <v>37608.0270654945</v>
      </c>
      <c r="P581" s="15" t="n">
        <f aca="false">N581*$E$2*(1+$I$562)/($F$562-$I$562)/(1+$F$562)^$N$3</f>
        <v>69324.347406018</v>
      </c>
      <c r="Q581" s="15" t="n">
        <f aca="false">O581+P581</f>
        <v>106932.374471512</v>
      </c>
      <c r="R581" s="15" t="n">
        <f aca="false">Q581-$G$2+$I$2</f>
        <v>87472.3744715125</v>
      </c>
      <c r="S581" s="40" t="n">
        <f aca="false">R581/$K$2</f>
        <v>155.813916299743</v>
      </c>
      <c r="T581" s="41" t="n">
        <f aca="false">S581-$M$2</f>
        <v>0.00422962915706648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0.0132331848144531</v>
      </c>
      <c r="C582" s="25" t="n">
        <f aca="false">IF(T581&gt;0,D581,C581)</f>
        <v>0.0132389068603516</v>
      </c>
      <c r="D582" s="39" t="n">
        <f aca="false">(B582+C582)/2</f>
        <v>0.0132360458374023</v>
      </c>
      <c r="E582" s="15" t="n">
        <f aca="false">$C$2*(1+IF(E$3&lt;=$O$2,$D582,$D582-($D582-$I$562)*MIN(E$3-$O$2,$Q$2)/$Q$2))</f>
        <v>10699.772644043</v>
      </c>
      <c r="F582" s="15" t="n">
        <f aca="false">E582*(1+IF(F$3&lt;=$O$2,$D582,$D582-($D582-$I$562)*MIN(F$3-$O$2,$Q$2)/$Q$2))</f>
        <v>10841.3953252093</v>
      </c>
      <c r="G582" s="15" t="n">
        <f aca="false">F582*(1+IF(G$3&lt;=$O$2,$D582,$D582-($D582-$I$562)*MIN(G$3-$O$2,$Q$2)/$Q$2))</f>
        <v>10984.8925306752</v>
      </c>
      <c r="H582" s="15" t="n">
        <f aca="false">G582*(1+IF(H$3&lt;=$O$2,$D582,$D582-($D582-$I$562)*MIN(H$3-$O$2,$Q$2)/$Q$2))</f>
        <v>11130.2890717301</v>
      </c>
      <c r="I582" s="15" t="n">
        <f aca="false">H582*(1+IF(I$3&lt;=$O$2,$D582,$D582-($D582-$I$562)*MIN(I$3-$O$2,$Q$2)/$Q$2))</f>
        <v>11277.6100880671</v>
      </c>
      <c r="J582" s="15" t="n">
        <f aca="false">I582*(1+IF(J$3&lt;=$O$2,$D582,$D582-($D582-$I$562)*MIN(J$3-$O$2,$Q$2)/$Q$2))</f>
        <v>11483.4133525913</v>
      </c>
      <c r="K582" s="15" t="n">
        <f aca="false">J582*(1+IF(K$3&lt;=$O$2,$D582,$D582-($D582-$I$562)*MIN(K$3-$O$2,$Q$2)/$Q$2))</f>
        <v>11750.5362364558</v>
      </c>
      <c r="L582" s="15" t="n">
        <f aca="false">K582*(1+IF(L$3&lt;=$O$2,$D582,$D582-($D582-$I$562)*MIN(L$3-$O$2,$Q$2)/$Q$2))</f>
        <v>12082.7758136655</v>
      </c>
      <c r="M582" s="15" t="n">
        <f aca="false">L582*(1+IF(M$3&lt;=$O$2,$D582,$D582-($D582-$I$562)*MIN(M$3-$O$2,$Q$2)/$Q$2))</f>
        <v>12484.9776994988</v>
      </c>
      <c r="N582" s="15" t="n">
        <f aca="false">M582*(1+IF(N$3&lt;=$O$2,$D582,$D582-($D582-$I$562)*MIN(N$3-$O$2,$Q$2)/$Q$2))</f>
        <v>12963.1523453896</v>
      </c>
      <c r="O582" s="15" t="n">
        <f aca="false">SUMPRODUCT(E582:N582,1/(1+$F$562)^$E$3:$N$3)*$E$2</f>
        <v>37607.5553817272</v>
      </c>
      <c r="P582" s="15" t="n">
        <f aca="false">N582*$E$2*(1+$I$562)/($F$562-$I$562)/(1+$F$562)^$N$3</f>
        <v>69322.9810142873</v>
      </c>
      <c r="Q582" s="15" t="n">
        <f aca="false">O582+P582</f>
        <v>106930.536396015</v>
      </c>
      <c r="R582" s="15" t="n">
        <f aca="false">Q582-$G$2+$I$2</f>
        <v>87470.5363960145</v>
      </c>
      <c r="S582" s="40" t="n">
        <f aca="false">R582/$K$2</f>
        <v>155.810642148978</v>
      </c>
      <c r="T582" s="41" t="n">
        <f aca="false">S582-$M$2</f>
        <v>0.000955478392086206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0.0132331848144531</v>
      </c>
      <c r="C583" s="25" t="n">
        <f aca="false">IF(T582&gt;0,D582,C582)</f>
        <v>0.0132360458374023</v>
      </c>
      <c r="D583" s="39" t="n">
        <f aca="false">(B583+C583)/2</f>
        <v>0.0132346153259277</v>
      </c>
      <c r="E583" s="15" t="n">
        <f aca="false">$C$2*(1+IF(E$3&lt;=$O$2,$D583,$D583-($D583-$I$562)*MIN(E$3-$O$2,$Q$2)/$Q$2))</f>
        <v>10699.7575378418</v>
      </c>
      <c r="F583" s="15" t="n">
        <f aca="false">E583*(1+IF(F$3&lt;=$O$2,$D583,$D583-($D583-$I$562)*MIN(F$3-$O$2,$Q$2)/$Q$2))</f>
        <v>10841.3647129358</v>
      </c>
      <c r="G583" s="15" t="n">
        <f aca="false">F583*(1+IF(G$3&lt;=$O$2,$D583,$D583-($D583-$I$562)*MIN(G$3-$O$2,$Q$2)/$Q$2))</f>
        <v>10984.8460045196</v>
      </c>
      <c r="H583" s="15" t="n">
        <f aca="false">G583*(1+IF(H$3&lt;=$O$2,$D583,$D583-($D583-$I$562)*MIN(H$3-$O$2,$Q$2)/$Q$2))</f>
        <v>11130.226215804</v>
      </c>
      <c r="I583" s="15" t="n">
        <f aca="false">H583*(1+IF(I$3&lt;=$O$2,$D583,$D583-($D583-$I$562)*MIN(I$3-$O$2,$Q$2)/$Q$2))</f>
        <v>11277.5304782607</v>
      </c>
      <c r="J583" s="15" t="n">
        <f aca="false">I583*(1+IF(J$3&lt;=$O$2,$D583,$D583-($D583-$I$562)*MIN(J$3-$O$2,$Q$2)/$Q$2))</f>
        <v>11483.3193838892</v>
      </c>
      <c r="K583" s="15" t="n">
        <f aca="false">J583*(1+IF(K$3&lt;=$O$2,$D583,$D583-($D583-$I$562)*MIN(K$3-$O$2,$Q$2)/$Q$2))</f>
        <v>11750.4302256767</v>
      </c>
      <c r="L583" s="15" t="n">
        <f aca="false">K583*(1+IF(L$3&lt;=$O$2,$D583,$D583-($D583-$I$562)*MIN(L$3-$O$2,$Q$2)/$Q$2))</f>
        <v>12082.6600818431</v>
      </c>
      <c r="M583" s="15" t="n">
        <f aca="false">L583*(1+IF(M$3&lt;=$O$2,$D583,$D583-($D583-$I$562)*MIN(M$3-$O$2,$Q$2)/$Q$2))</f>
        <v>12484.8546584102</v>
      </c>
      <c r="N583" s="15" t="n">
        <f aca="false">M583*(1+IF(N$3&lt;=$O$2,$D583,$D583-($D583-$I$562)*MIN(N$3-$O$2,$Q$2)/$Q$2))</f>
        <v>12963.0245918273</v>
      </c>
      <c r="O583" s="15" t="n">
        <f aca="false">SUMPRODUCT(E583:N583,1/(1+$F$562)^$E$3:$N$3)*$E$2</f>
        <v>37607.3195421011</v>
      </c>
      <c r="P583" s="15" t="n">
        <f aca="false">N583*$E$2*(1+$I$562)/($F$562-$I$562)/(1+$F$562)^$N$3</f>
        <v>69322.2978272404</v>
      </c>
      <c r="Q583" s="15" t="n">
        <f aca="false">O583+P583</f>
        <v>106929.617369341</v>
      </c>
      <c r="R583" s="15" t="n">
        <f aca="false">Q583-$G$2+$I$2</f>
        <v>87469.6173693415</v>
      </c>
      <c r="S583" s="40" t="n">
        <f aca="false">R583/$K$2</f>
        <v>155.809005093325</v>
      </c>
      <c r="T583" s="41" t="n">
        <f aca="false">S583-$M$2</f>
        <v>-0.000681577260905897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0.0132346153259277</v>
      </c>
      <c r="C584" s="25" t="n">
        <f aca="false">IF(T583&gt;0,D583,C583)</f>
        <v>0.0132360458374023</v>
      </c>
      <c r="D584" s="39" t="n">
        <f aca="false">(B584+C584)/2</f>
        <v>0.013235330581665</v>
      </c>
      <c r="E584" s="15" t="n">
        <f aca="false">$C$2*(1+IF(E$3&lt;=$O$2,$D584,$D584-($D584-$I$562)*MIN(E$3-$O$2,$Q$2)/$Q$2))</f>
        <v>10699.7650909424</v>
      </c>
      <c r="F584" s="15" t="n">
        <f aca="false">E584*(1+IF(F$3&lt;=$O$2,$D584,$D584-($D584-$I$562)*MIN(F$3-$O$2,$Q$2)/$Q$2))</f>
        <v>10841.3800190672</v>
      </c>
      <c r="G584" s="15" t="n">
        <f aca="false">F584*(1+IF(G$3&lt;=$O$2,$D584,$D584-($D584-$I$562)*MIN(G$3-$O$2,$Q$2)/$Q$2))</f>
        <v>10984.869267581</v>
      </c>
      <c r="H584" s="15" t="n">
        <f aca="false">G584*(1+IF(H$3&lt;=$O$2,$D584,$D584-($D584-$I$562)*MIN(H$3-$O$2,$Q$2)/$Q$2))</f>
        <v>11130.2576437338</v>
      </c>
      <c r="I584" s="15" t="n">
        <f aca="false">H584*(1+IF(I$3&lt;=$O$2,$D584,$D584-($D584-$I$562)*MIN(I$3-$O$2,$Q$2)/$Q$2))</f>
        <v>11277.5702831077</v>
      </c>
      <c r="J584" s="15" t="n">
        <f aca="false">I584*(1+IF(J$3&lt;=$O$2,$D584,$D584-($D584-$I$562)*MIN(J$3-$O$2,$Q$2)/$Q$2))</f>
        <v>11483.3663681602</v>
      </c>
      <c r="K584" s="15" t="n">
        <f aca="false">J584*(1+IF(K$3&lt;=$O$2,$D584,$D584-($D584-$I$562)*MIN(K$3-$O$2,$Q$2)/$Q$2))</f>
        <v>11750.4832309642</v>
      </c>
      <c r="L584" s="15" t="n">
        <f aca="false">K584*(1+IF(L$3&lt;=$O$2,$D584,$D584-($D584-$I$562)*MIN(L$3-$O$2,$Q$2)/$Q$2))</f>
        <v>12082.7179476342</v>
      </c>
      <c r="M584" s="15" t="n">
        <f aca="false">L584*(1+IF(M$3&lt;=$O$2,$D584,$D584-($D584-$I$562)*MIN(M$3-$O$2,$Q$2)/$Q$2))</f>
        <v>12484.9161788221</v>
      </c>
      <c r="N584" s="15" t="n">
        <f aca="false">M584*(1+IF(N$3&lt;=$O$2,$D584,$D584-($D584-$I$562)*MIN(N$3-$O$2,$Q$2)/$Q$2))</f>
        <v>12963.088468471</v>
      </c>
      <c r="O584" s="15" t="n">
        <f aca="false">SUMPRODUCT(E584:N584,1/(1+$F$562)^$E$3:$N$3)*$E$2</f>
        <v>37607.4374617261</v>
      </c>
      <c r="P584" s="15" t="n">
        <f aca="false">N584*$E$2*(1+$I$562)/($F$562-$I$562)/(1+$F$562)^$N$3</f>
        <v>69322.639420029</v>
      </c>
      <c r="Q584" s="15" t="n">
        <f aca="false">O584+P584</f>
        <v>106930.076881755</v>
      </c>
      <c r="R584" s="15" t="n">
        <f aca="false">Q584-$G$2+$I$2</f>
        <v>87470.076881755</v>
      </c>
      <c r="S584" s="40" t="n">
        <f aca="false">R584/$K$2</f>
        <v>155.809823619507</v>
      </c>
      <c r="T584" s="41" t="n">
        <f aca="false">S584-$M$2</f>
        <v>0.000136948921436897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0.0132346153259277</v>
      </c>
      <c r="C585" s="25" t="n">
        <f aca="false">IF(T584&gt;0,D584,C584)</f>
        <v>0.013235330581665</v>
      </c>
      <c r="D585" s="39" t="n">
        <f aca="false">(B585+C585)/2</f>
        <v>0.0132349729537964</v>
      </c>
      <c r="E585" s="15" t="n">
        <f aca="false">$C$2*(1+IF(E$3&lt;=$O$2,$D585,$D585-($D585-$I$562)*MIN(E$3-$O$2,$Q$2)/$Q$2))</f>
        <v>10699.7613143921</v>
      </c>
      <c r="F585" s="15" t="n">
        <f aca="false">E585*(1+IF(F$3&lt;=$O$2,$D585,$D585-($D585-$I$562)*MIN(F$3-$O$2,$Q$2)/$Q$2))</f>
        <v>10841.3723660001</v>
      </c>
      <c r="G585" s="15" t="n">
        <f aca="false">F585*(1+IF(G$3&lt;=$O$2,$D585,$D585-($D585-$I$562)*MIN(G$3-$O$2,$Q$2)/$Q$2))</f>
        <v>10984.8576360462</v>
      </c>
      <c r="H585" s="15" t="n">
        <f aca="false">G585*(1+IF(H$3&lt;=$O$2,$D585,$D585-($D585-$I$562)*MIN(H$3-$O$2,$Q$2)/$Q$2))</f>
        <v>11130.2419297606</v>
      </c>
      <c r="I585" s="15" t="n">
        <f aca="false">H585*(1+IF(I$3&lt;=$O$2,$D585,$D585-($D585-$I$562)*MIN(I$3-$O$2,$Q$2)/$Q$2))</f>
        <v>11277.5503806702</v>
      </c>
      <c r="J585" s="15" t="n">
        <f aca="false">I585*(1+IF(J$3&lt;=$O$2,$D585,$D585-($D585-$I$562)*MIN(J$3-$O$2,$Q$2)/$Q$2))</f>
        <v>11483.3428760047</v>
      </c>
      <c r="K585" s="15" t="n">
        <f aca="false">J585*(1+IF(K$3&lt;=$O$2,$D585,$D585-($D585-$I$562)*MIN(K$3-$O$2,$Q$2)/$Q$2))</f>
        <v>11750.4567282949</v>
      </c>
      <c r="L585" s="15" t="n">
        <f aca="false">K585*(1+IF(L$3&lt;=$O$2,$D585,$D585-($D585-$I$562)*MIN(L$3-$O$2,$Q$2)/$Q$2))</f>
        <v>12082.6890147086</v>
      </c>
      <c r="M585" s="15" t="n">
        <f aca="false">L585*(1+IF(M$3&lt;=$O$2,$D585,$D585-($D585-$I$562)*MIN(M$3-$O$2,$Q$2)/$Q$2))</f>
        <v>12484.8854185831</v>
      </c>
      <c r="N585" s="15" t="n">
        <f aca="false">M585*(1+IF(N$3&lt;=$O$2,$D585,$D585-($D585-$I$562)*MIN(N$3-$O$2,$Q$2)/$Q$2))</f>
        <v>12963.0565301148</v>
      </c>
      <c r="O585" s="15" t="n">
        <f aca="false">SUMPRODUCT(E585:N585,1/(1+$F$562)^$E$3:$N$3)*$E$2</f>
        <v>37607.3785018665</v>
      </c>
      <c r="P585" s="15" t="n">
        <f aca="false">N585*$E$2*(1+$I$562)/($F$562-$I$562)/(1+$F$562)^$N$3</f>
        <v>69322.4686234509</v>
      </c>
      <c r="Q585" s="15" t="n">
        <f aca="false">O585+P585</f>
        <v>106929.847125317</v>
      </c>
      <c r="R585" s="15" t="n">
        <f aca="false">Q585-$G$2+$I$2</f>
        <v>87469.8471253175</v>
      </c>
      <c r="S585" s="40" t="n">
        <f aca="false">R585/$K$2</f>
        <v>155.809414356005</v>
      </c>
      <c r="T585" s="41" t="n">
        <f aca="false">S585-$M$2</f>
        <v>-0.000272314580826105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0.0132349729537964</v>
      </c>
      <c r="C586" s="25" t="n">
        <f aca="false">IF(T585&gt;0,D585,C585)</f>
        <v>0.013235330581665</v>
      </c>
      <c r="D586" s="39" t="n">
        <f aca="false">(B586+C586)/2</f>
        <v>0.0132351517677307</v>
      </c>
      <c r="E586" s="15" t="n">
        <f aca="false">$C$2*(1+IF(E$3&lt;=$O$2,$D586,$D586-($D586-$I$562)*MIN(E$3-$O$2,$Q$2)/$Q$2))</f>
        <v>10699.7632026672</v>
      </c>
      <c r="F586" s="15" t="n">
        <f aca="false">E586*(1+IF(F$3&lt;=$O$2,$D586,$D586-($D586-$I$562)*MIN(F$3-$O$2,$Q$2)/$Q$2))</f>
        <v>10841.3761925333</v>
      </c>
      <c r="G586" s="15" t="n">
        <f aca="false">F586*(1+IF(G$3&lt;=$O$2,$D586,$D586-($D586-$I$562)*MIN(G$3-$O$2,$Q$2)/$Q$2))</f>
        <v>10984.8634518126</v>
      </c>
      <c r="H586" s="15" t="n">
        <f aca="false">G586*(1+IF(H$3&lt;=$O$2,$D586,$D586-($D586-$I$562)*MIN(H$3-$O$2,$Q$2)/$Q$2))</f>
        <v>11130.2497867451</v>
      </c>
      <c r="I586" s="15" t="n">
        <f aca="false">H586*(1+IF(I$3&lt;=$O$2,$D586,$D586-($D586-$I$562)*MIN(I$3-$O$2,$Q$2)/$Q$2))</f>
        <v>11277.5603318854</v>
      </c>
      <c r="J586" s="15" t="n">
        <f aca="false">I586*(1+IF(J$3&lt;=$O$2,$D586,$D586-($D586-$I$562)*MIN(J$3-$O$2,$Q$2)/$Q$2))</f>
        <v>11483.3546220775</v>
      </c>
      <c r="K586" s="15" t="n">
        <f aca="false">J586*(1+IF(K$3&lt;=$O$2,$D586,$D586-($D586-$I$562)*MIN(K$3-$O$2,$Q$2)/$Q$2))</f>
        <v>11750.4699796232</v>
      </c>
      <c r="L586" s="15" t="n">
        <f aca="false">K586*(1+IF(L$3&lt;=$O$2,$D586,$D586-($D586-$I$562)*MIN(L$3-$O$2,$Q$2)/$Q$2))</f>
        <v>12082.7034811639</v>
      </c>
      <c r="M586" s="15" t="n">
        <f aca="false">L586*(1+IF(M$3&lt;=$O$2,$D586,$D586-($D586-$I$562)*MIN(M$3-$O$2,$Q$2)/$Q$2))</f>
        <v>12484.9007986943</v>
      </c>
      <c r="N586" s="15" t="n">
        <f aca="false">M586*(1+IF(N$3&lt;=$O$2,$D586,$D586-($D586-$I$562)*MIN(N$3-$O$2,$Q$2)/$Q$2))</f>
        <v>12963.0724992843</v>
      </c>
      <c r="O586" s="15" t="n">
        <f aca="false">SUMPRODUCT(E586:N586,1/(1+$F$562)^$E$3:$N$3)*$E$2</f>
        <v>37607.4079817846</v>
      </c>
      <c r="P586" s="15" t="n">
        <f aca="false">N586*$E$2*(1+$I$562)/($F$562-$I$562)/(1+$F$562)^$N$3</f>
        <v>69322.5540216941</v>
      </c>
      <c r="Q586" s="15" t="n">
        <f aca="false">O586+P586</f>
        <v>106929.962003479</v>
      </c>
      <c r="R586" s="15" t="n">
        <f aca="false">Q586-$G$2+$I$2</f>
        <v>87469.9620034786</v>
      </c>
      <c r="S586" s="40" t="n">
        <f aca="false">R586/$K$2</f>
        <v>155.809618987653</v>
      </c>
      <c r="T586" s="41" t="n">
        <f aca="false">S586-$M$2</f>
        <v>-6.76829323538186E-005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0.0132351517677307</v>
      </c>
      <c r="C587" s="25" t="n">
        <f aca="false">IF(T586&gt;0,D586,C586)</f>
        <v>0.013235330581665</v>
      </c>
      <c r="D587" s="39" t="n">
        <f aca="false">(B587+C587)/2</f>
        <v>0.0132352411746979</v>
      </c>
      <c r="E587" s="15" t="n">
        <f aca="false">$C$2*(1+IF(E$3&lt;=$O$2,$D587,$D587-($D587-$I$562)*MIN(E$3-$O$2,$Q$2)/$Q$2))</f>
        <v>10699.7641468048</v>
      </c>
      <c r="F587" s="15" t="n">
        <f aca="false">E587*(1+IF(F$3&lt;=$O$2,$D587,$D587-($D587-$I$562)*MIN(F$3-$O$2,$Q$2)/$Q$2))</f>
        <v>10841.3781058002</v>
      </c>
      <c r="G587" s="15" t="n">
        <f aca="false">F587*(1+IF(G$3&lt;=$O$2,$D587,$D587-($D587-$I$562)*MIN(G$3-$O$2,$Q$2)/$Q$2))</f>
        <v>10984.8663596965</v>
      </c>
      <c r="H587" s="15" t="n">
        <f aca="false">G587*(1+IF(H$3&lt;=$O$2,$D587,$D587-($D587-$I$562)*MIN(H$3-$O$2,$Q$2)/$Q$2))</f>
        <v>11130.2537152389</v>
      </c>
      <c r="I587" s="15" t="n">
        <f aca="false">H587*(1+IF(I$3&lt;=$O$2,$D587,$D587-($D587-$I$562)*MIN(I$3-$O$2,$Q$2)/$Q$2))</f>
        <v>11277.5653074957</v>
      </c>
      <c r="J587" s="15" t="n">
        <f aca="false">I587*(1+IF(J$3&lt;=$O$2,$D587,$D587-($D587-$I$562)*MIN(J$3-$O$2,$Q$2)/$Q$2))</f>
        <v>11483.3604951176</v>
      </c>
      <c r="K587" s="15" t="n">
        <f aca="false">J587*(1+IF(K$3&lt;=$O$2,$D587,$D587-($D587-$I$562)*MIN(K$3-$O$2,$Q$2)/$Q$2))</f>
        <v>11750.4766052921</v>
      </c>
      <c r="L587" s="15" t="n">
        <f aca="false">K587*(1+IF(L$3&lt;=$O$2,$D587,$D587-($D587-$I$562)*MIN(L$3-$O$2,$Q$2)/$Q$2))</f>
        <v>12082.7107143972</v>
      </c>
      <c r="M587" s="15" t="n">
        <f aca="false">L587*(1+IF(M$3&lt;=$O$2,$D587,$D587-($D587-$I$562)*MIN(M$3-$O$2,$Q$2)/$Q$2))</f>
        <v>12484.9084887562</v>
      </c>
      <c r="N587" s="15" t="n">
        <f aca="false">M587*(1+IF(N$3&lt;=$O$2,$D587,$D587-($D587-$I$562)*MIN(N$3-$O$2,$Q$2)/$Q$2))</f>
        <v>12963.0804838755</v>
      </c>
      <c r="O587" s="15" t="n">
        <f aca="false">SUMPRODUCT(E587:N587,1/(1+$F$562)^$E$3:$N$3)*$E$2</f>
        <v>37607.4227217524</v>
      </c>
      <c r="P587" s="15" t="n">
        <f aca="false">N587*$E$2*(1+$I$562)/($F$562-$I$562)/(1+$F$562)^$N$3</f>
        <v>69322.59672085</v>
      </c>
      <c r="Q587" s="15" t="n">
        <f aca="false">O587+P587</f>
        <v>106930.019442602</v>
      </c>
      <c r="R587" s="15" t="n">
        <f aca="false">Q587-$G$2+$I$2</f>
        <v>87470.0194426024</v>
      </c>
      <c r="S587" s="40" t="n">
        <f aca="false">R587/$K$2</f>
        <v>155.809721303554</v>
      </c>
      <c r="T587" s="41" t="n">
        <f aca="false">S587-$M$2</f>
        <v>3.46329688056812E-005</v>
      </c>
    </row>
    <row r="589" customFormat="false" ht="15" hidden="false" customHeight="false" outlineLevel="0" collapsed="false">
      <c r="A589" s="36" t="s">
        <v>207</v>
      </c>
      <c r="E589" s="5" t="s">
        <v>11</v>
      </c>
      <c r="F589" s="12" t="n">
        <f aca="false">Sensitivity!$B$14</f>
        <v>0.0870172026214128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6" t="s">
        <v>167</v>
      </c>
      <c r="B590" s="28" t="s">
        <v>168</v>
      </c>
      <c r="C590" s="28" t="s">
        <v>169</v>
      </c>
      <c r="D590" s="28" t="s">
        <v>170</v>
      </c>
      <c r="E590" s="28" t="s">
        <v>171</v>
      </c>
      <c r="F590" s="28" t="s">
        <v>172</v>
      </c>
      <c r="G590" s="28" t="s">
        <v>173</v>
      </c>
      <c r="H590" s="28" t="s">
        <v>174</v>
      </c>
      <c r="I590" s="28" t="s">
        <v>175</v>
      </c>
      <c r="J590" s="28" t="s">
        <v>176</v>
      </c>
      <c r="K590" s="28" t="s">
        <v>177</v>
      </c>
      <c r="L590" s="28" t="s">
        <v>178</v>
      </c>
      <c r="M590" s="28" t="s">
        <v>179</v>
      </c>
      <c r="N590" s="28" t="s">
        <v>180</v>
      </c>
      <c r="O590" s="28" t="s">
        <v>181</v>
      </c>
      <c r="P590" s="28" t="s">
        <v>182</v>
      </c>
      <c r="Q590" s="28" t="s">
        <v>183</v>
      </c>
      <c r="R590" s="28" t="s">
        <v>184</v>
      </c>
      <c r="S590" s="28" t="s">
        <v>185</v>
      </c>
      <c r="T590" s="28" t="s">
        <v>186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39" t="n">
        <f aca="false">(B591+C591)/2</f>
        <v>0.25</v>
      </c>
      <c r="E591" s="15" t="n">
        <f aca="false">$C$2*(1+IF(E$3&lt;=$O$2,$D591,$D591-($D591-$I$589)*MIN(E$3-$O$2,$Q$2)/$Q$2))</f>
        <v>13200</v>
      </c>
      <c r="F591" s="15" t="n">
        <f aca="false">E591*(1+IF(F$3&lt;=$O$2,$D591,$D591-($D591-$I$589)*MIN(F$3-$O$2,$Q$2)/$Q$2))</f>
        <v>16500</v>
      </c>
      <c r="G591" s="15" t="n">
        <f aca="false">F591*(1+IF(G$3&lt;=$O$2,$D591,$D591-($D591-$I$589)*MIN(G$3-$O$2,$Q$2)/$Q$2))</f>
        <v>20625</v>
      </c>
      <c r="H591" s="15" t="n">
        <f aca="false">G591*(1+IF(H$3&lt;=$O$2,$D591,$D591-($D591-$I$589)*MIN(H$3-$O$2,$Q$2)/$Q$2))</f>
        <v>25781.25</v>
      </c>
      <c r="I591" s="15" t="n">
        <f aca="false">H591*(1+IF(I$3&lt;=$O$2,$D591,$D591-($D591-$I$589)*MIN(I$3-$O$2,$Q$2)/$Q$2))</f>
        <v>32226.5625</v>
      </c>
      <c r="J591" s="15" t="n">
        <f aca="false">I591*(1+IF(J$3&lt;=$O$2,$D591,$D591-($D591-$I$589)*MIN(J$3-$O$2,$Q$2)/$Q$2))</f>
        <v>38789.82421875</v>
      </c>
      <c r="K591" s="15" t="n">
        <f aca="false">J591*(1+IF(K$3&lt;=$O$2,$D591,$D591-($D591-$I$589)*MIN(K$3-$O$2,$Q$2)/$Q$2))</f>
        <v>44892.2393648437</v>
      </c>
      <c r="L591" s="15" t="n">
        <f aca="false">K591*(1+IF(L$3&lt;=$O$2,$D591,$D591-($D591-$I$589)*MIN(L$3-$O$2,$Q$2)/$Q$2))</f>
        <v>49874.3800895541</v>
      </c>
      <c r="M591" s="15" t="n">
        <f aca="false">L591*(1+IF(M$3&lt;=$O$2,$D591,$D591-($D591-$I$589)*MIN(M$3-$O$2,$Q$2)/$Q$2))</f>
        <v>53098.2600185429</v>
      </c>
      <c r="N591" s="15" t="n">
        <f aca="false">M591*(1+IF(N$3&lt;=$O$2,$D591,$D591-($D591-$I$589)*MIN(N$3-$O$2,$Q$2)/$Q$2))</f>
        <v>54069.9581768822</v>
      </c>
      <c r="O591" s="15" t="n">
        <f aca="false">SUMPRODUCT(E591:N591,1/(1+$F$589)^$E$3:$N$3)*$E$2</f>
        <v>101295.532145871</v>
      </c>
      <c r="P591" s="15" t="n">
        <f aca="false">N591*$E$2*(1+$I$589)/($F$589-$I$589)/(1+$F$589)^$N$3</f>
        <v>172282.000323345</v>
      </c>
      <c r="Q591" s="15" t="n">
        <f aca="false">O591+P591</f>
        <v>273577.532469217</v>
      </c>
      <c r="R591" s="15" t="n">
        <f aca="false">Q591-$G$2+$I$2</f>
        <v>254117.532469217</v>
      </c>
      <c r="S591" s="40" t="n">
        <f aca="false">R591/$K$2</f>
        <v>452.657746787824</v>
      </c>
      <c r="T591" s="41" t="n">
        <f aca="false">S591-$M$2</f>
        <v>296.848060117239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39" t="n">
        <f aca="false">(B592+C592)/2</f>
        <v>-0.125</v>
      </c>
      <c r="E592" s="15" t="n">
        <f aca="false">$C$2*(1+IF(E$3&lt;=$O$2,$D592,$D592-($D592-$I$589)*MIN(E$3-$O$2,$Q$2)/$Q$2))</f>
        <v>9240</v>
      </c>
      <c r="F592" s="15" t="n">
        <f aca="false">E592*(1+IF(F$3&lt;=$O$2,$D592,$D592-($D592-$I$589)*MIN(F$3-$O$2,$Q$2)/$Q$2))</f>
        <v>8085</v>
      </c>
      <c r="G592" s="15" t="n">
        <f aca="false">F592*(1+IF(G$3&lt;=$O$2,$D592,$D592-($D592-$I$589)*MIN(G$3-$O$2,$Q$2)/$Q$2))</f>
        <v>7074.375</v>
      </c>
      <c r="H592" s="15" t="n">
        <f aca="false">G592*(1+IF(H$3&lt;=$O$2,$D592,$D592-($D592-$I$589)*MIN(H$3-$O$2,$Q$2)/$Q$2))</f>
        <v>6190.078125</v>
      </c>
      <c r="I592" s="15" t="n">
        <f aca="false">H592*(1+IF(I$3&lt;=$O$2,$D592,$D592-($D592-$I$589)*MIN(I$3-$O$2,$Q$2)/$Q$2))</f>
        <v>5416.318359375</v>
      </c>
      <c r="J592" s="15" t="n">
        <f aca="false">I592*(1+IF(J$3&lt;=$O$2,$D592,$D592-($D592-$I$589)*MIN(J$3-$O$2,$Q$2)/$Q$2))</f>
        <v>4894.51024863281</v>
      </c>
      <c r="K592" s="15" t="n">
        <f aca="false">J592*(1+IF(K$3&lt;=$O$2,$D592,$D592-($D592-$I$589)*MIN(K$3-$O$2,$Q$2)/$Q$2))</f>
        <v>4563.24979500534</v>
      </c>
      <c r="L592" s="15" t="n">
        <f aca="false">K592*(1+IF(L$3&lt;=$O$2,$D592,$D592-($D592-$I$589)*MIN(L$3-$O$2,$Q$2)/$Q$2))</f>
        <v>4385.19178800424</v>
      </c>
      <c r="M592" s="15" t="n">
        <f aca="false">L592*(1+IF(M$3&lt;=$O$2,$D592,$D592-($D592-$I$589)*MIN(M$3-$O$2,$Q$2)/$Q$2))</f>
        <v>4339.76120108051</v>
      </c>
      <c r="N592" s="15" t="n">
        <f aca="false">M592*(1+IF(N$3&lt;=$O$2,$D592,$D592-($D592-$I$589)*MIN(N$3-$O$2,$Q$2)/$Q$2))</f>
        <v>4419.17883106029</v>
      </c>
      <c r="O592" s="15" t="n">
        <f aca="false">SUMPRODUCT(E592:N592,1/(1+$F$589)^$E$3:$N$3)*$E$2</f>
        <v>20098.0740517467</v>
      </c>
      <c r="P592" s="15" t="n">
        <f aca="false">N592*$E$2*(1+$I$589)/($F$589-$I$589)/(1+$F$589)^$N$3</f>
        <v>14080.7389994832</v>
      </c>
      <c r="Q592" s="15" t="n">
        <f aca="false">O592+P592</f>
        <v>34178.8130512298</v>
      </c>
      <c r="R592" s="15" t="n">
        <f aca="false">Q592-$G$2+$I$2</f>
        <v>14718.8130512298</v>
      </c>
      <c r="S592" s="40" t="n">
        <f aca="false">R592/$K$2</f>
        <v>26.2185166305596</v>
      </c>
      <c r="T592" s="41" t="n">
        <f aca="false">S592-$M$2</f>
        <v>-129.591170040026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39" t="n">
        <f aca="false">(B593+C593)/2</f>
        <v>0.0625</v>
      </c>
      <c r="E593" s="15" t="n">
        <f aca="false">$C$2*(1+IF(E$3&lt;=$O$2,$D593,$D593-($D593-$I$589)*MIN(E$3-$O$2,$Q$2)/$Q$2))</f>
        <v>11220</v>
      </c>
      <c r="F593" s="15" t="n">
        <f aca="false">E593*(1+IF(F$3&lt;=$O$2,$D593,$D593-($D593-$I$589)*MIN(F$3-$O$2,$Q$2)/$Q$2))</f>
        <v>11921.25</v>
      </c>
      <c r="G593" s="15" t="n">
        <f aca="false">F593*(1+IF(G$3&lt;=$O$2,$D593,$D593-($D593-$I$589)*MIN(G$3-$O$2,$Q$2)/$Q$2))</f>
        <v>12666.328125</v>
      </c>
      <c r="H593" s="15" t="n">
        <f aca="false">G593*(1+IF(H$3&lt;=$O$2,$D593,$D593-($D593-$I$589)*MIN(H$3-$O$2,$Q$2)/$Q$2))</f>
        <v>13457.9736328125</v>
      </c>
      <c r="I593" s="15" t="n">
        <f aca="false">H593*(1+IF(I$3&lt;=$O$2,$D593,$D593-($D593-$I$589)*MIN(I$3-$O$2,$Q$2)/$Q$2))</f>
        <v>14299.0969848633</v>
      </c>
      <c r="J593" s="15" t="n">
        <f aca="false">I593*(1+IF(J$3&lt;=$O$2,$D593,$D593-($D593-$I$589)*MIN(J$3-$O$2,$Q$2)/$Q$2))</f>
        <v>15066.386529071</v>
      </c>
      <c r="K593" s="15" t="n">
        <f aca="false">J593*(1+IF(K$3&lt;=$O$2,$D593,$D593-($D593-$I$589)*MIN(K$3-$O$2,$Q$2)/$Q$2))</f>
        <v>15741.661973304</v>
      </c>
      <c r="L593" s="15" t="n">
        <f aca="false">K593*(1+IF(L$3&lt;=$O$2,$D593,$D593-($D593-$I$589)*MIN(L$3-$O$2,$Q$2)/$Q$2))</f>
        <v>16308.0469711035</v>
      </c>
      <c r="M593" s="15" t="n">
        <f aca="false">L593*(1+IF(M$3&lt;=$O$2,$D593,$D593-($D593-$I$589)*MIN(M$3-$O$2,$Q$2)/$Q$2))</f>
        <v>16750.6473658992</v>
      </c>
      <c r="N593" s="15" t="n">
        <f aca="false">M593*(1+IF(N$3&lt;=$O$2,$D593,$D593-($D593-$I$589)*MIN(N$3-$O$2,$Q$2)/$Q$2))</f>
        <v>17057.1842126952</v>
      </c>
      <c r="O593" s="15" t="n">
        <f aca="false">SUMPRODUCT(E593:N593,1/(1+$F$589)^$E$3:$N$3)*$E$2</f>
        <v>45029.3693115385</v>
      </c>
      <c r="P593" s="15" t="n">
        <f aca="false">N593*$E$2*(1+$I$589)/($F$589-$I$589)/(1+$F$589)^$N$3</f>
        <v>54348.9567059318</v>
      </c>
      <c r="Q593" s="15" t="n">
        <f aca="false">O593+P593</f>
        <v>99378.3260174703</v>
      </c>
      <c r="R593" s="15" t="n">
        <f aca="false">Q593-$G$2+$I$2</f>
        <v>79918.3260174703</v>
      </c>
      <c r="S593" s="40" t="n">
        <f aca="false">R593/$K$2</f>
        <v>142.357943706639</v>
      </c>
      <c r="T593" s="41" t="n">
        <f aca="false">S593-$M$2</f>
        <v>-13.451742963946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39" t="n">
        <f aca="false">(B594+C594)/2</f>
        <v>0.15625</v>
      </c>
      <c r="E594" s="15" t="n">
        <f aca="false">$C$2*(1+IF(E$3&lt;=$O$2,$D594,$D594-($D594-$I$589)*MIN(E$3-$O$2,$Q$2)/$Q$2))</f>
        <v>12210</v>
      </c>
      <c r="F594" s="15" t="n">
        <f aca="false">E594*(1+IF(F$3&lt;=$O$2,$D594,$D594-($D594-$I$589)*MIN(F$3-$O$2,$Q$2)/$Q$2))</f>
        <v>14117.8125</v>
      </c>
      <c r="G594" s="15" t="n">
        <f aca="false">F594*(1+IF(G$3&lt;=$O$2,$D594,$D594-($D594-$I$589)*MIN(G$3-$O$2,$Q$2)/$Q$2))</f>
        <v>16323.720703125</v>
      </c>
      <c r="H594" s="15" t="n">
        <f aca="false">G594*(1+IF(H$3&lt;=$O$2,$D594,$D594-($D594-$I$589)*MIN(H$3-$O$2,$Q$2)/$Q$2))</f>
        <v>18874.3020629883</v>
      </c>
      <c r="I594" s="15" t="n">
        <f aca="false">H594*(1+IF(I$3&lt;=$O$2,$D594,$D594-($D594-$I$589)*MIN(I$3-$O$2,$Q$2)/$Q$2))</f>
        <v>21823.4117603302</v>
      </c>
      <c r="J594" s="15" t="n">
        <f aca="false">I594*(1+IF(J$3&lt;=$O$2,$D594,$D594-($D594-$I$589)*MIN(J$3-$O$2,$Q$2)/$Q$2))</f>
        <v>24631.2119174143</v>
      </c>
      <c r="K594" s="15" t="n">
        <f aca="false">J594*(1+IF(K$3&lt;=$O$2,$D594,$D594-($D594-$I$589)*MIN(K$3-$O$2,$Q$2)/$Q$2))</f>
        <v>27120.6885059073</v>
      </c>
      <c r="L594" s="15" t="n">
        <f aca="false">K594*(1+IF(L$3&lt;=$O$2,$D594,$D594-($D594-$I$589)*MIN(L$3-$O$2,$Q$2)/$Q$2))</f>
        <v>29113.5166973214</v>
      </c>
      <c r="M594" s="15" t="n">
        <f aca="false">L594*(1+IF(M$3&lt;=$O$2,$D594,$D594-($D594-$I$589)*MIN(M$3-$O$2,$Q$2)/$Q$2))</f>
        <v>30449.5359785615</v>
      </c>
      <c r="N594" s="15" t="n">
        <f aca="false">M594*(1+IF(N$3&lt;=$O$2,$D594,$D594-($D594-$I$589)*MIN(N$3-$O$2,$Q$2)/$Q$2))</f>
        <v>31006.7624869692</v>
      </c>
      <c r="O594" s="15" t="n">
        <f aca="false">SUMPRODUCT(E594:N594,1/(1+$F$589)^$E$3:$N$3)*$E$2</f>
        <v>67656.7379238956</v>
      </c>
      <c r="P594" s="15" t="n">
        <f aca="false">N594*$E$2*(1+$I$589)/($F$589-$I$589)/(1+$F$589)^$N$3</f>
        <v>98796.2122576574</v>
      </c>
      <c r="Q594" s="15" t="n">
        <f aca="false">O594+P594</f>
        <v>166452.950181553</v>
      </c>
      <c r="R594" s="15" t="n">
        <f aca="false">Q594-$G$2+$I$2</f>
        <v>146992.950181553</v>
      </c>
      <c r="S594" s="40" t="n">
        <f aca="false">R594/$K$2</f>
        <v>261.837492975566</v>
      </c>
      <c r="T594" s="41" t="n">
        <f aca="false">S594-$M$2</f>
        <v>106.027806304981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39" t="n">
        <f aca="false">(B595+C595)/2</f>
        <v>0.109375</v>
      </c>
      <c r="E595" s="15" t="n">
        <f aca="false">$C$2*(1+IF(E$3&lt;=$O$2,$D595,$D595-($D595-$I$589)*MIN(E$3-$O$2,$Q$2)/$Q$2))</f>
        <v>11715</v>
      </c>
      <c r="F595" s="15" t="n">
        <f aca="false">E595*(1+IF(F$3&lt;=$O$2,$D595,$D595-($D595-$I$589)*MIN(F$3-$O$2,$Q$2)/$Q$2))</f>
        <v>12996.328125</v>
      </c>
      <c r="G595" s="15" t="n">
        <f aca="false">F595*(1+IF(G$3&lt;=$O$2,$D595,$D595-($D595-$I$589)*MIN(G$3-$O$2,$Q$2)/$Q$2))</f>
        <v>14417.8015136719</v>
      </c>
      <c r="H595" s="15" t="n">
        <f aca="false">G595*(1+IF(H$3&lt;=$O$2,$D595,$D595-($D595-$I$589)*MIN(H$3-$O$2,$Q$2)/$Q$2))</f>
        <v>15994.7485542297</v>
      </c>
      <c r="I595" s="15" t="n">
        <f aca="false">H595*(1+IF(I$3&lt;=$O$2,$D595,$D595-($D595-$I$589)*MIN(I$3-$O$2,$Q$2)/$Q$2))</f>
        <v>17744.1741773486</v>
      </c>
      <c r="J595" s="15" t="n">
        <f aca="false">I595*(1+IF(J$3&lt;=$O$2,$D595,$D595-($D595-$I$589)*MIN(J$3-$O$2,$Q$2)/$Q$2))</f>
        <v>19361.7330953557</v>
      </c>
      <c r="K595" s="15" t="n">
        <f aca="false">J595*(1+IF(K$3&lt;=$O$2,$D595,$D595-($D595-$I$589)*MIN(K$3-$O$2,$Q$2)/$Q$2))</f>
        <v>20774.0747159964</v>
      </c>
      <c r="L595" s="15" t="n">
        <f aca="false">K595*(1+IF(L$3&lt;=$O$2,$D595,$D595-($D595-$I$589)*MIN(L$3-$O$2,$Q$2)/$Q$2))</f>
        <v>21911.0398252029</v>
      </c>
      <c r="M595" s="15" t="n">
        <f aca="false">L595*(1+IF(M$3&lt;=$O$2,$D595,$D595-($D595-$I$589)*MIN(M$3-$O$2,$Q$2)/$Q$2))</f>
        <v>22711.1214444202</v>
      </c>
      <c r="N595" s="15" t="n">
        <f aca="false">M595*(1+IF(N$3&lt;=$O$2,$D595,$D595-($D595-$I$589)*MIN(N$3-$O$2,$Q$2)/$Q$2))</f>
        <v>23126.7349668531</v>
      </c>
      <c r="O595" s="15" t="n">
        <f aca="false">SUMPRODUCT(E595:N595,1/(1+$F$589)^$E$3:$N$3)*$E$2</f>
        <v>55205.9826540031</v>
      </c>
      <c r="P595" s="15" t="n">
        <f aca="false">N595*$E$2*(1+$I$589)/($F$589-$I$589)/(1+$F$589)^$N$3</f>
        <v>73688.2419624437</v>
      </c>
      <c r="Q595" s="15" t="n">
        <f aca="false">O595+P595</f>
        <v>128894.224616447</v>
      </c>
      <c r="R595" s="15" t="n">
        <f aca="false">Q595-$G$2+$I$2</f>
        <v>109434.224616447</v>
      </c>
      <c r="S595" s="40" t="n">
        <f aca="false">R595/$K$2</f>
        <v>194.934403207123</v>
      </c>
      <c r="T595" s="41" t="n">
        <f aca="false">S595-$M$2</f>
        <v>39.1247165365375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39" t="n">
        <f aca="false">(B596+C596)/2</f>
        <v>0.0859375</v>
      </c>
      <c r="E596" s="15" t="n">
        <f aca="false">$C$2*(1+IF(E$3&lt;=$O$2,$D596,$D596-($D596-$I$589)*MIN(E$3-$O$2,$Q$2)/$Q$2))</f>
        <v>11467.5</v>
      </c>
      <c r="F596" s="15" t="n">
        <f aca="false">E596*(1+IF(F$3&lt;=$O$2,$D596,$D596-($D596-$I$589)*MIN(F$3-$O$2,$Q$2)/$Q$2))</f>
        <v>12452.98828125</v>
      </c>
      <c r="G596" s="15" t="n">
        <f aca="false">F596*(1+IF(G$3&lt;=$O$2,$D596,$D596-($D596-$I$589)*MIN(G$3-$O$2,$Q$2)/$Q$2))</f>
        <v>13523.1669616699</v>
      </c>
      <c r="H596" s="15" t="n">
        <f aca="false">G596*(1+IF(H$3&lt;=$O$2,$D596,$D596-($D596-$I$589)*MIN(H$3-$O$2,$Q$2)/$Q$2))</f>
        <v>14685.3141224384</v>
      </c>
      <c r="I596" s="15" t="n">
        <f aca="false">H596*(1+IF(I$3&lt;=$O$2,$D596,$D596-($D596-$I$589)*MIN(I$3-$O$2,$Q$2)/$Q$2))</f>
        <v>15947.3333048355</v>
      </c>
      <c r="J596" s="15" t="n">
        <f aca="false">I596*(1+IF(J$3&lt;=$O$2,$D596,$D596-($D596-$I$589)*MIN(J$3-$O$2,$Q$2)/$Q$2))</f>
        <v>17102.0797094386</v>
      </c>
      <c r="K596" s="15" t="n">
        <f aca="false">J596*(1+IF(K$3&lt;=$O$2,$D596,$D596-($D596-$I$589)*MIN(K$3-$O$2,$Q$2)/$Q$2))</f>
        <v>18109.0929179296</v>
      </c>
      <c r="L596" s="15" t="n">
        <f aca="false">K596*(1+IF(L$3&lt;=$O$2,$D596,$D596-($D596-$I$589)*MIN(L$3-$O$2,$Q$2)/$Q$2))</f>
        <v>18930.4308272223</v>
      </c>
      <c r="M596" s="15" t="n">
        <f aca="false">L596*(1+IF(M$3&lt;=$O$2,$D596,$D596-($D596-$I$589)*MIN(M$3-$O$2,$Q$2)/$Q$2))</f>
        <v>19532.9391143758</v>
      </c>
      <c r="N596" s="15" t="n">
        <f aca="false">M596*(1+IF(N$3&lt;=$O$2,$D596,$D596-($D596-$I$589)*MIN(N$3-$O$2,$Q$2)/$Q$2))</f>
        <v>19890.3919001688</v>
      </c>
      <c r="O596" s="15" t="n">
        <f aca="false">SUMPRODUCT(E596:N596,1/(1+$F$589)^$E$3:$N$3)*$E$2</f>
        <v>49859.3331108121</v>
      </c>
      <c r="P596" s="15" t="n">
        <f aca="false">N596*$E$2*(1+$I$589)/($F$589-$I$589)/(1+$F$589)^$N$3</f>
        <v>63376.3483331392</v>
      </c>
      <c r="Q596" s="15" t="n">
        <f aca="false">O596+P596</f>
        <v>113235.681443951</v>
      </c>
      <c r="R596" s="15" t="n">
        <f aca="false">Q596-$G$2+$I$2</f>
        <v>93775.6814439513</v>
      </c>
      <c r="S596" s="40" t="n">
        <f aca="false">R596/$K$2</f>
        <v>167.041952019009</v>
      </c>
      <c r="T596" s="41" t="n">
        <f aca="false">S596-$M$2</f>
        <v>11.2322653484231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0.0625</v>
      </c>
      <c r="C597" s="25" t="n">
        <f aca="false">IF(T596&gt;0,D596,C596)</f>
        <v>0.0859375</v>
      </c>
      <c r="D597" s="39" t="n">
        <f aca="false">(B597+C597)/2</f>
        <v>0.07421875</v>
      </c>
      <c r="E597" s="15" t="n">
        <f aca="false">$C$2*(1+IF(E$3&lt;=$O$2,$D597,$D597-($D597-$I$589)*MIN(E$3-$O$2,$Q$2)/$Q$2))</f>
        <v>11343.75</v>
      </c>
      <c r="F597" s="15" t="n">
        <f aca="false">E597*(1+IF(F$3&lt;=$O$2,$D597,$D597-($D597-$I$589)*MIN(F$3-$O$2,$Q$2)/$Q$2))</f>
        <v>12185.6689453125</v>
      </c>
      <c r="G597" s="15" t="n">
        <f aca="false">F597*(1+IF(G$3&lt;=$O$2,$D597,$D597-($D597-$I$589)*MIN(G$3-$O$2,$Q$2)/$Q$2))</f>
        <v>13090.0740623474</v>
      </c>
      <c r="H597" s="15" t="n">
        <f aca="false">G597*(1+IF(H$3&lt;=$O$2,$D597,$D597-($D597-$I$589)*MIN(H$3-$O$2,$Q$2)/$Q$2))</f>
        <v>14061.6029966623</v>
      </c>
      <c r="I597" s="15" t="n">
        <f aca="false">H597*(1+IF(I$3&lt;=$O$2,$D597,$D597-($D597-$I$589)*MIN(I$3-$O$2,$Q$2)/$Q$2))</f>
        <v>15105.2375940708</v>
      </c>
      <c r="J597" s="15" t="n">
        <f aca="false">I597*(1+IF(J$3&lt;=$O$2,$D597,$D597-($D597-$I$589)*MIN(J$3-$O$2,$Q$2)/$Q$2))</f>
        <v>16057.396245813</v>
      </c>
      <c r="K597" s="15" t="n">
        <f aca="false">J597*(1+IF(K$3&lt;=$O$2,$D597,$D597-($D597-$I$589)*MIN(K$3-$O$2,$Q$2)/$Q$2))</f>
        <v>16889.9923129038</v>
      </c>
      <c r="L597" s="15" t="n">
        <f aca="false">K597*(1+IF(L$3&lt;=$O$2,$D597,$D597-($D597-$I$589)*MIN(L$3-$O$2,$Q$2)/$Q$2))</f>
        <v>17576.8660752888</v>
      </c>
      <c r="M597" s="15" t="n">
        <f aca="false">L597*(1+IF(M$3&lt;=$O$2,$D597,$D597-($D597-$I$589)*MIN(M$3-$O$2,$Q$2)/$Q$2))</f>
        <v>18095.0980004361</v>
      </c>
      <c r="N597" s="15" t="n">
        <f aca="false">M597*(1+IF(N$3&lt;=$O$2,$D597,$D597-($D597-$I$589)*MIN(N$3-$O$2,$Q$2)/$Q$2))</f>
        <v>18426.238293844</v>
      </c>
      <c r="O597" s="15" t="n">
        <f aca="false">SUMPRODUCT(E597:N597,1/(1+$F$589)^$E$3:$N$3)*$E$2</f>
        <v>47382.7804313039</v>
      </c>
      <c r="P597" s="15" t="n">
        <f aca="false">N597*$E$2*(1+$I$589)/($F$589-$I$589)/(1+$F$589)^$N$3</f>
        <v>58711.1456848759</v>
      </c>
      <c r="Q597" s="15" t="n">
        <f aca="false">O597+P597</f>
        <v>106093.92611618</v>
      </c>
      <c r="R597" s="15" t="n">
        <f aca="false">Q597-$G$2+$I$2</f>
        <v>86633.9261161798</v>
      </c>
      <c r="S597" s="40" t="n">
        <f aca="false">R597/$K$2</f>
        <v>154.320394228931</v>
      </c>
      <c r="T597" s="41" t="n">
        <f aca="false">S597-$M$2</f>
        <v>-1.48929244165416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0.07421875</v>
      </c>
      <c r="C598" s="25" t="n">
        <f aca="false">IF(T597&gt;0,D597,C597)</f>
        <v>0.0859375</v>
      </c>
      <c r="D598" s="39" t="n">
        <f aca="false">(B598+C598)/2</f>
        <v>0.080078125</v>
      </c>
      <c r="E598" s="15" t="n">
        <f aca="false">$C$2*(1+IF(E$3&lt;=$O$2,$D598,$D598-($D598-$I$589)*MIN(E$3-$O$2,$Q$2)/$Q$2))</f>
        <v>11405.625</v>
      </c>
      <c r="F598" s="15" t="n">
        <f aca="false">E598*(1+IF(F$3&lt;=$O$2,$D598,$D598-($D598-$I$589)*MIN(F$3-$O$2,$Q$2)/$Q$2))</f>
        <v>12318.9660644531</v>
      </c>
      <c r="G598" s="15" t="n">
        <f aca="false">F598*(1+IF(G$3&lt;=$O$2,$D598,$D598-($D598-$I$589)*MIN(G$3-$O$2,$Q$2)/$Q$2))</f>
        <v>13305.4457688332</v>
      </c>
      <c r="H598" s="15" t="n">
        <f aca="false">G598*(1+IF(H$3&lt;=$O$2,$D598,$D598-($D598-$I$589)*MIN(H$3-$O$2,$Q$2)/$Q$2))</f>
        <v>14370.9209182905</v>
      </c>
      <c r="I598" s="15" t="n">
        <f aca="false">H598*(1+IF(I$3&lt;=$O$2,$D598,$D598-($D598-$I$589)*MIN(I$3-$O$2,$Q$2)/$Q$2))</f>
        <v>15521.7173199505</v>
      </c>
      <c r="J598" s="15" t="n">
        <f aca="false">I598*(1+IF(J$3&lt;=$O$2,$D598,$D598-($D598-$I$589)*MIN(J$3-$O$2,$Q$2)/$Q$2))</f>
        <v>16572.8868211508</v>
      </c>
      <c r="K598" s="15" t="n">
        <f aca="false">J598*(1+IF(K$3&lt;=$O$2,$D598,$D598-($D598-$I$589)*MIN(K$3-$O$2,$Q$2)/$Q$2))</f>
        <v>17490.4757741666</v>
      </c>
      <c r="L598" s="15" t="n">
        <f aca="false">K598*(1+IF(L$3&lt;=$O$2,$D598,$D598-($D598-$I$589)*MIN(L$3-$O$2,$Q$2)/$Q$2))</f>
        <v>18242.7630003083</v>
      </c>
      <c r="M598" s="15" t="n">
        <f aca="false">L598*(1+IF(M$3&lt;=$O$2,$D598,$D598-($D598-$I$589)*MIN(M$3-$O$2,$Q$2)/$Q$2))</f>
        <v>18802.0063018096</v>
      </c>
      <c r="N598" s="15" t="n">
        <f aca="false">M598*(1+IF(N$3&lt;=$O$2,$D598,$D598-($D598-$I$589)*MIN(N$3-$O$2,$Q$2)/$Q$2))</f>
        <v>19146.0830171327</v>
      </c>
      <c r="O598" s="15" t="n">
        <f aca="false">SUMPRODUCT(E598:N598,1/(1+$F$589)^$E$3:$N$3)*$E$2</f>
        <v>48605.2968476207</v>
      </c>
      <c r="P598" s="15" t="n">
        <f aca="false">N598*$E$2*(1+$I$589)/($F$589-$I$589)/(1+$F$589)^$N$3</f>
        <v>61004.7721834331</v>
      </c>
      <c r="Q598" s="15" t="n">
        <f aca="false">O598+P598</f>
        <v>109610.069031054</v>
      </c>
      <c r="R598" s="15" t="n">
        <f aca="false">Q598-$G$2+$I$2</f>
        <v>90150.0690310538</v>
      </c>
      <c r="S598" s="40" t="n">
        <f aca="false">R598/$K$2</f>
        <v>160.583674506232</v>
      </c>
      <c r="T598" s="41" t="n">
        <f aca="false">S598-$M$2</f>
        <v>4.77398783564678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0.07421875</v>
      </c>
      <c r="C599" s="25" t="n">
        <f aca="false">IF(T598&gt;0,D598,C598)</f>
        <v>0.080078125</v>
      </c>
      <c r="D599" s="39" t="n">
        <f aca="false">(B599+C599)/2</f>
        <v>0.0771484375</v>
      </c>
      <c r="E599" s="15" t="n">
        <f aca="false">$C$2*(1+IF(E$3&lt;=$O$2,$D599,$D599-($D599-$I$589)*MIN(E$3-$O$2,$Q$2)/$Q$2))</f>
        <v>11374.6875</v>
      </c>
      <c r="F599" s="15" t="n">
        <f aca="false">E599*(1+IF(F$3&lt;=$O$2,$D599,$D599-($D599-$I$589)*MIN(F$3-$O$2,$Q$2)/$Q$2))</f>
        <v>12252.2268676758</v>
      </c>
      <c r="G599" s="15" t="n">
        <f aca="false">F599*(1+IF(G$3&lt;=$O$2,$D599,$D599-($D599-$I$589)*MIN(G$3-$O$2,$Q$2)/$Q$2))</f>
        <v>13197.4670264125</v>
      </c>
      <c r="H599" s="15" t="n">
        <f aca="false">G599*(1+IF(H$3&lt;=$O$2,$D599,$D599-($D599-$I$589)*MIN(H$3-$O$2,$Q$2)/$Q$2))</f>
        <v>14215.630986458</v>
      </c>
      <c r="I599" s="15" t="n">
        <f aca="false">H599*(1+IF(I$3&lt;=$O$2,$D599,$D599-($D599-$I$589)*MIN(I$3-$O$2,$Q$2)/$Q$2))</f>
        <v>15312.3447051398</v>
      </c>
      <c r="J599" s="15" t="n">
        <f aca="false">I599*(1+IF(J$3&lt;=$O$2,$D599,$D599-($D599-$I$589)*MIN(J$3-$O$2,$Q$2)/$Q$2))</f>
        <v>16313.446661531</v>
      </c>
      <c r="K599" s="15" t="n">
        <f aca="false">J599*(1+IF(K$3&lt;=$O$2,$D599,$D599-($D599-$I$589)*MIN(K$3-$O$2,$Q$2)/$Q$2))</f>
        <v>17187.9952431994</v>
      </c>
      <c r="L599" s="15" t="n">
        <f aca="false">K599*(1+IF(L$3&lt;=$O$2,$D599,$D599-($D599-$I$589)*MIN(L$3-$O$2,$Q$2)/$Q$2))</f>
        <v>17907.1302216778</v>
      </c>
      <c r="M599" s="15" t="n">
        <f aca="false">L599*(1+IF(M$3&lt;=$O$2,$D599,$D599-($D599-$I$589)*MIN(M$3-$O$2,$Q$2)/$Q$2))</f>
        <v>18445.5920314655</v>
      </c>
      <c r="N599" s="15" t="n">
        <f aca="false">M599*(1+IF(N$3&lt;=$O$2,$D599,$D599-($D599-$I$589)*MIN(N$3-$O$2,$Q$2)/$Q$2))</f>
        <v>18783.1463656413</v>
      </c>
      <c r="O599" s="15" t="n">
        <f aca="false">SUMPRODUCT(E599:N599,1/(1+$F$589)^$E$3:$N$3)*$E$2</f>
        <v>47990.1451534013</v>
      </c>
      <c r="P599" s="15" t="n">
        <f aca="false">N599*$E$2*(1+$I$589)/($F$589-$I$589)/(1+$F$589)^$N$3</f>
        <v>59848.3545641509</v>
      </c>
      <c r="Q599" s="15" t="n">
        <f aca="false">O599+P599</f>
        <v>107838.499717552</v>
      </c>
      <c r="R599" s="15" t="n">
        <f aca="false">Q599-$G$2+$I$2</f>
        <v>88378.4997175522</v>
      </c>
      <c r="S599" s="40" t="n">
        <f aca="false">R599/$K$2</f>
        <v>157.427990732917</v>
      </c>
      <c r="T599" s="41" t="n">
        <f aca="false">S599-$M$2</f>
        <v>1.61830406233136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0.07421875</v>
      </c>
      <c r="C600" s="25" t="n">
        <f aca="false">IF(T599&gt;0,D599,C599)</f>
        <v>0.0771484375</v>
      </c>
      <c r="D600" s="39" t="n">
        <f aca="false">(B600+C600)/2</f>
        <v>0.07568359375</v>
      </c>
      <c r="E600" s="15" t="n">
        <f aca="false">$C$2*(1+IF(E$3&lt;=$O$2,$D600,$D600-($D600-$I$589)*MIN(E$3-$O$2,$Q$2)/$Q$2))</f>
        <v>11359.21875</v>
      </c>
      <c r="F600" s="15" t="n">
        <f aca="false">E600*(1+IF(F$3&lt;=$O$2,$D600,$D600-($D600-$I$589)*MIN(F$3-$O$2,$Q$2)/$Q$2))</f>
        <v>12218.9252471924</v>
      </c>
      <c r="G600" s="15" t="n">
        <f aca="false">F600*(1+IF(G$3&lt;=$O$2,$D600,$D600-($D600-$I$589)*MIN(G$3-$O$2,$Q$2)/$Q$2))</f>
        <v>13143.6974216625</v>
      </c>
      <c r="H600" s="15" t="n">
        <f aca="false">G600*(1+IF(H$3&lt;=$O$2,$D600,$D600-($D600-$I$589)*MIN(H$3-$O$2,$Q$2)/$Q$2))</f>
        <v>14138.4596776965</v>
      </c>
      <c r="I600" s="15" t="n">
        <f aca="false">H600*(1+IF(I$3&lt;=$O$2,$D600,$D600-($D600-$I$589)*MIN(I$3-$O$2,$Q$2)/$Q$2))</f>
        <v>15208.5091161941</v>
      </c>
      <c r="J600" s="15" t="n">
        <f aca="false">I600*(1+IF(J$3&lt;=$O$2,$D600,$D600-($D600-$I$589)*MIN(J$3-$O$2,$Q$2)/$Q$2))</f>
        <v>16184.9999599539</v>
      </c>
      <c r="K600" s="15" t="n">
        <f aca="false">J600*(1+IF(K$3&lt;=$O$2,$D600,$D600-($D600-$I$589)*MIN(K$3-$O$2,$Q$2)/$Q$2))</f>
        <v>17038.4375367485</v>
      </c>
      <c r="L600" s="15" t="n">
        <f aca="false">K600*(1+IF(L$3&lt;=$O$2,$D600,$D600-($D600-$I$589)*MIN(L$3-$O$2,$Q$2)/$Q$2))</f>
        <v>17741.3316547684</v>
      </c>
      <c r="M600" s="15" t="n">
        <f aca="false">L600*(1+IF(M$3&lt;=$O$2,$D600,$D600-($D600-$I$589)*MIN(M$3-$O$2,$Q$2)/$Q$2))</f>
        <v>18269.6102977029</v>
      </c>
      <c r="N600" s="15" t="n">
        <f aca="false">M600*(1+IF(N$3&lt;=$O$2,$D600,$D600-($D600-$I$589)*MIN(N$3-$O$2,$Q$2)/$Q$2))</f>
        <v>18603.9441661509</v>
      </c>
      <c r="O600" s="15" t="n">
        <f aca="false">SUMPRODUCT(E600:N600,1/(1+$F$589)^$E$3:$N$3)*$E$2</f>
        <v>47685.4951805584</v>
      </c>
      <c r="P600" s="15" t="n">
        <f aca="false">N600*$E$2*(1+$I$589)/($F$589-$I$589)/(1+$F$589)^$N$3</f>
        <v>59277.3662661842</v>
      </c>
      <c r="Q600" s="15" t="n">
        <f aca="false">O600+P600</f>
        <v>106962.861446743</v>
      </c>
      <c r="R600" s="15" t="n">
        <f aca="false">Q600-$G$2+$I$2</f>
        <v>87502.8614467426</v>
      </c>
      <c r="S600" s="40" t="n">
        <f aca="false">R600/$K$2</f>
        <v>155.868222531115</v>
      </c>
      <c r="T600" s="41" t="n">
        <f aca="false">S600-$M$2</f>
        <v>0.0585358605294175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0.07421875</v>
      </c>
      <c r="C601" s="25" t="n">
        <f aca="false">IF(T600&gt;0,D600,C600)</f>
        <v>0.07568359375</v>
      </c>
      <c r="D601" s="39" t="n">
        <f aca="false">(B601+C601)/2</f>
        <v>0.074951171875</v>
      </c>
      <c r="E601" s="15" t="n">
        <f aca="false">$C$2*(1+IF(E$3&lt;=$O$2,$D601,$D601-($D601-$I$589)*MIN(E$3-$O$2,$Q$2)/$Q$2))</f>
        <v>11351.484375</v>
      </c>
      <c r="F601" s="15" t="n">
        <f aca="false">E601*(1+IF(F$3&lt;=$O$2,$D601,$D601-($D601-$I$589)*MIN(F$3-$O$2,$Q$2)/$Q$2))</f>
        <v>12202.291431427</v>
      </c>
      <c r="G601" s="15" t="n">
        <f aca="false">F601*(1+IF(G$3&lt;=$O$2,$D601,$D601-($D601-$I$589)*MIN(G$3-$O$2,$Q$2)/$Q$2))</f>
        <v>13116.8674737727</v>
      </c>
      <c r="H601" s="15" t="n">
        <f aca="false">G601*(1+IF(H$3&lt;=$O$2,$D601,$D601-($D601-$I$589)*MIN(H$3-$O$2,$Q$2)/$Q$2))</f>
        <v>14099.9920622611</v>
      </c>
      <c r="I601" s="15" t="n">
        <f aca="false">H601*(1+IF(I$3&lt;=$O$2,$D601,$D601-($D601-$I$589)*MIN(I$3-$O$2,$Q$2)/$Q$2))</f>
        <v>15156.8029907557</v>
      </c>
      <c r="J601" s="15" t="n">
        <f aca="false">I601*(1+IF(J$3&lt;=$O$2,$D601,$D601-($D601-$I$589)*MIN(J$3-$O$2,$Q$2)/$Q$2))</f>
        <v>16121.0930065304</v>
      </c>
      <c r="K601" s="15" t="n">
        <f aca="false">J601*(1+IF(K$3&lt;=$O$2,$D601,$D601-($D601-$I$589)*MIN(K$3-$O$2,$Q$2)/$Q$2))</f>
        <v>16964.0762949854</v>
      </c>
      <c r="L601" s="15" t="n">
        <f aca="false">K601*(1+IF(L$3&lt;=$O$2,$D601,$D601-($D601-$I$589)*MIN(L$3-$O$2,$Q$2)/$Q$2))</f>
        <v>17658.9328119388</v>
      </c>
      <c r="M601" s="15" t="n">
        <f aca="false">L601*(1+IF(M$3&lt;=$O$2,$D601,$D601-($D601-$I$589)*MIN(M$3-$O$2,$Q$2)/$Q$2))</f>
        <v>18182.1711299689</v>
      </c>
      <c r="N601" s="15" t="n">
        <f aca="false">M601*(1+IF(N$3&lt;=$O$2,$D601,$D601-($D601-$I$589)*MIN(N$3-$O$2,$Q$2)/$Q$2))</f>
        <v>18514.9048616473</v>
      </c>
      <c r="O601" s="15" t="n">
        <f aca="false">SUMPRODUCT(E601:N601,1/(1+$F$589)^$E$3:$N$3)*$E$2</f>
        <v>47533.8966197104</v>
      </c>
      <c r="P601" s="15" t="n">
        <f aca="false">N601*$E$2*(1+$I$589)/($F$589-$I$589)/(1+$F$589)^$N$3</f>
        <v>58993.662153873</v>
      </c>
      <c r="Q601" s="15" t="n">
        <f aca="false">O601+P601</f>
        <v>106527.558773583</v>
      </c>
      <c r="R601" s="15" t="n">
        <f aca="false">Q601-$G$2+$I$2</f>
        <v>87067.5587735834</v>
      </c>
      <c r="S601" s="40" t="n">
        <f aca="false">R601/$K$2</f>
        <v>155.09282098645</v>
      </c>
      <c r="T601" s="41" t="n">
        <f aca="false">S601-$M$2</f>
        <v>-0.716865684135172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0.074951171875</v>
      </c>
      <c r="C602" s="25" t="n">
        <f aca="false">IF(T601&gt;0,D601,C601)</f>
        <v>0.07568359375</v>
      </c>
      <c r="D602" s="39" t="n">
        <f aca="false">(B602+C602)/2</f>
        <v>0.0753173828125</v>
      </c>
      <c r="E602" s="15" t="n">
        <f aca="false">$C$2*(1+IF(E$3&lt;=$O$2,$D602,$D602-($D602-$I$589)*MIN(E$3-$O$2,$Q$2)/$Q$2))</f>
        <v>11355.3515625</v>
      </c>
      <c r="F602" s="15" t="n">
        <f aca="false">E602*(1+IF(F$3&lt;=$O$2,$D602,$D602-($D602-$I$589)*MIN(F$3-$O$2,$Q$2)/$Q$2))</f>
        <v>12210.6069231033</v>
      </c>
      <c r="G602" s="15" t="n">
        <f aca="false">F602*(1+IF(G$3&lt;=$O$2,$D602,$D602-($D602-$I$589)*MIN(G$3-$O$2,$Q$2)/$Q$2))</f>
        <v>13130.2778791037</v>
      </c>
      <c r="H602" s="15" t="n">
        <f aca="false">G602*(1+IF(H$3&lt;=$O$2,$D602,$D602-($D602-$I$589)*MIN(H$3-$O$2,$Q$2)/$Q$2))</f>
        <v>14119.2160445586</v>
      </c>
      <c r="I602" s="15" t="n">
        <f aca="false">H602*(1+IF(I$3&lt;=$O$2,$D602,$D602-($D602-$I$589)*MIN(I$3-$O$2,$Q$2)/$Q$2))</f>
        <v>15182.638444399</v>
      </c>
      <c r="J602" s="15" t="n">
        <f aca="false">I602*(1+IF(J$3&lt;=$O$2,$D602,$D602-($D602-$I$589)*MIN(J$3-$O$2,$Q$2)/$Q$2))</f>
        <v>16153.020174562</v>
      </c>
      <c r="K602" s="15" t="n">
        <f aca="false">J602*(1+IF(K$3&lt;=$O$2,$D602,$D602-($D602-$I$589)*MIN(K$3-$O$2,$Q$2)/$Q$2))</f>
        <v>17001.2222046791</v>
      </c>
      <c r="L602" s="15" t="n">
        <f aca="false">K602*(1+IF(L$3&lt;=$O$2,$D602,$D602-($D602-$I$589)*MIN(L$3-$O$2,$Q$2)/$Q$2))</f>
        <v>17700.0906489146</v>
      </c>
      <c r="M602" s="15" t="n">
        <f aca="false">L602*(1+IF(M$3&lt;=$O$2,$D602,$D602-($D602-$I$589)*MIN(M$3-$O$2,$Q$2)/$Q$2))</f>
        <v>18225.8448766587</v>
      </c>
      <c r="N602" s="15" t="n">
        <f aca="false">M602*(1+IF(N$3&lt;=$O$2,$D602,$D602-($D602-$I$589)*MIN(N$3-$O$2,$Q$2)/$Q$2))</f>
        <v>18559.3778379016</v>
      </c>
      <c r="O602" s="15" t="n">
        <f aca="false">SUMPRODUCT(E602:N602,1/(1+$F$589)^$E$3:$N$3)*$E$2</f>
        <v>47609.6355141323</v>
      </c>
      <c r="P602" s="15" t="n">
        <f aca="false">N602*$E$2*(1+$I$589)/($F$589-$I$589)/(1+$F$589)^$N$3</f>
        <v>59135.3654872536</v>
      </c>
      <c r="Q602" s="15" t="n">
        <f aca="false">O602+P602</f>
        <v>106745.001001386</v>
      </c>
      <c r="R602" s="15" t="n">
        <f aca="false">Q602-$G$2+$I$2</f>
        <v>87285.0010013859</v>
      </c>
      <c r="S602" s="40" t="n">
        <f aca="false">R602/$K$2</f>
        <v>155.480149274811</v>
      </c>
      <c r="T602" s="41" t="n">
        <f aca="false">S602-$M$2</f>
        <v>-0.329537395774878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0.0753173828125</v>
      </c>
      <c r="C603" s="25" t="n">
        <f aca="false">IF(T602&gt;0,D602,C602)</f>
        <v>0.07568359375</v>
      </c>
      <c r="D603" s="39" t="n">
        <f aca="false">(B603+C603)/2</f>
        <v>0.07550048828125</v>
      </c>
      <c r="E603" s="15" t="n">
        <f aca="false">$C$2*(1+IF(E$3&lt;=$O$2,$D603,$D603-($D603-$I$589)*MIN(E$3-$O$2,$Q$2)/$Q$2))</f>
        <v>11357.28515625</v>
      </c>
      <c r="F603" s="15" t="n">
        <f aca="false">E603*(1+IF(F$3&lt;=$O$2,$D603,$D603-($D603-$I$589)*MIN(F$3-$O$2,$Q$2)/$Q$2))</f>
        <v>12214.7657310963</v>
      </c>
      <c r="G603" s="15" t="n">
        <f aca="false">F603*(1+IF(G$3&lt;=$O$2,$D603,$D603-($D603-$I$589)*MIN(G$3-$O$2,$Q$2)/$Q$2))</f>
        <v>13136.9865080351</v>
      </c>
      <c r="H603" s="15" t="n">
        <f aca="false">G603*(1+IF(H$3&lt;=$O$2,$D603,$D603-($D603-$I$589)*MIN(H$3-$O$2,$Q$2)/$Q$2))</f>
        <v>14128.835403936</v>
      </c>
      <c r="I603" s="15" t="n">
        <f aca="false">H603*(1+IF(I$3&lt;=$O$2,$D603,$D603-($D603-$I$589)*MIN(I$3-$O$2,$Q$2)/$Q$2))</f>
        <v>15195.5693757785</v>
      </c>
      <c r="J603" s="15" t="n">
        <f aca="false">I603*(1+IF(J$3&lt;=$O$2,$D603,$D603-($D603-$I$589)*MIN(J$3-$O$2,$Q$2)/$Q$2))</f>
        <v>16169.0034857602</v>
      </c>
      <c r="K603" s="15" t="n">
        <f aca="false">J603*(1+IF(K$3&lt;=$O$2,$D603,$D603-($D603-$I$589)*MIN(K$3-$O$2,$Q$2)/$Q$2))</f>
        <v>17019.8211861936</v>
      </c>
      <c r="L603" s="15" t="n">
        <f aca="false">K603*(1+IF(L$3&lt;=$O$2,$D603,$D603-($D603-$I$589)*MIN(L$3-$O$2,$Q$2)/$Q$2))</f>
        <v>17720.7007468249</v>
      </c>
      <c r="M603" s="15" t="n">
        <f aca="false">L603*(1+IF(M$3&lt;=$O$2,$D603,$D603-($D603-$I$589)*MIN(M$3-$O$2,$Q$2)/$Q$2))</f>
        <v>18247.7161175727</v>
      </c>
      <c r="N603" s="15" t="n">
        <f aca="false">M603*(1+IF(N$3&lt;=$O$2,$D603,$D603-($D603-$I$589)*MIN(N$3-$O$2,$Q$2)/$Q$2))</f>
        <v>18581.6493225243</v>
      </c>
      <c r="O603" s="15" t="n">
        <f aca="false">SUMPRODUCT(E603:N603,1/(1+$F$589)^$E$3:$N$3)*$E$2</f>
        <v>47647.5502396514</v>
      </c>
      <c r="P603" s="15" t="n">
        <f aca="false">N603*$E$2*(1+$I$589)/($F$589-$I$589)/(1+$F$589)^$N$3</f>
        <v>59206.328662561</v>
      </c>
      <c r="Q603" s="15" t="n">
        <f aca="false">O603+P603</f>
        <v>106853.878902212</v>
      </c>
      <c r="R603" s="15" t="n">
        <f aca="false">Q603-$G$2+$I$2</f>
        <v>87393.8789022123</v>
      </c>
      <c r="S603" s="40" t="n">
        <f aca="false">R603/$K$2</f>
        <v>155.674092702421</v>
      </c>
      <c r="T603" s="41" t="n">
        <f aca="false">S603-$M$2</f>
        <v>-0.13559396816413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0.07550048828125</v>
      </c>
      <c r="C604" s="25" t="n">
        <f aca="false">IF(T603&gt;0,D603,C603)</f>
        <v>0.07568359375</v>
      </c>
      <c r="D604" s="39" t="n">
        <f aca="false">(B604+C604)/2</f>
        <v>0.075592041015625</v>
      </c>
      <c r="E604" s="15" t="n">
        <f aca="false">$C$2*(1+IF(E$3&lt;=$O$2,$D604,$D604-($D604-$I$589)*MIN(E$3-$O$2,$Q$2)/$Q$2))</f>
        <v>11358.251953125</v>
      </c>
      <c r="F604" s="15" t="n">
        <f aca="false">E604*(1+IF(F$3&lt;=$O$2,$D604,$D604-($D604-$I$589)*MIN(F$3-$O$2,$Q$2)/$Q$2))</f>
        <v>12216.8454006314</v>
      </c>
      <c r="G604" s="15" t="n">
        <f aca="false">F604*(1+IF(G$3&lt;=$O$2,$D604,$D604-($D604-$I$589)*MIN(G$3-$O$2,$Q$2)/$Q$2))</f>
        <v>13140.3416792375</v>
      </c>
      <c r="H604" s="15" t="n">
        <f aca="false">G604*(1+IF(H$3&lt;=$O$2,$D604,$D604-($D604-$I$589)*MIN(H$3-$O$2,$Q$2)/$Q$2))</f>
        <v>14133.6469264138</v>
      </c>
      <c r="I604" s="15" t="n">
        <f aca="false">H604*(1+IF(I$3&lt;=$O$2,$D604,$D604-($D604-$I$589)*MIN(I$3-$O$2,$Q$2)/$Q$2))</f>
        <v>15202.0381445756</v>
      </c>
      <c r="J604" s="15" t="n">
        <f aca="false">I604*(1+IF(J$3&lt;=$O$2,$D604,$D604-($D604-$I$589)*MIN(J$3-$O$2,$Q$2)/$Q$2))</f>
        <v>16177.0000769414</v>
      </c>
      <c r="K604" s="15" t="n">
        <f aca="false">J604*(1+IF(K$3&lt;=$O$2,$D604,$D604-($D604-$I$589)*MIN(K$3-$O$2,$Q$2)/$Q$2))</f>
        <v>17029.1271895002</v>
      </c>
      <c r="L604" s="15" t="n">
        <f aca="false">K604*(1+IF(L$3&lt;=$O$2,$D604,$D604-($D604-$I$589)*MIN(L$3-$O$2,$Q$2)/$Q$2))</f>
        <v>17731.0135984285</v>
      </c>
      <c r="M604" s="15" t="n">
        <f aca="false">L604*(1+IF(M$3&lt;=$O$2,$D604,$D604-($D604-$I$589)*MIN(M$3-$O$2,$Q$2)/$Q$2))</f>
        <v>18258.6603389457</v>
      </c>
      <c r="N604" s="15" t="n">
        <f aca="false">M604*(1+IF(N$3&lt;=$O$2,$D604,$D604-($D604-$I$589)*MIN(N$3-$O$2,$Q$2)/$Q$2))</f>
        <v>18592.7938231484</v>
      </c>
      <c r="O604" s="15" t="n">
        <f aca="false">SUMPRODUCT(E604:N604,1/(1+$F$589)^$E$3:$N$3)*$E$2</f>
        <v>47666.5189317814</v>
      </c>
      <c r="P604" s="15" t="n">
        <f aca="false">N604*$E$2*(1+$I$589)/($F$589-$I$589)/(1+$F$589)^$N$3</f>
        <v>59241.8381566473</v>
      </c>
      <c r="Q604" s="15" t="n">
        <f aca="false">O604+P604</f>
        <v>106908.357088429</v>
      </c>
      <c r="R604" s="15" t="n">
        <f aca="false">Q604-$G$2+$I$2</f>
        <v>87448.3570884287</v>
      </c>
      <c r="S604" s="40" t="n">
        <f aca="false">R604/$K$2</f>
        <v>155.771134306683</v>
      </c>
      <c r="T604" s="41" t="n">
        <f aca="false">S604-$M$2</f>
        <v>-0.038552363902653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0.075592041015625</v>
      </c>
      <c r="C605" s="25" t="n">
        <f aca="false">IF(T604&gt;0,D604,C604)</f>
        <v>0.07568359375</v>
      </c>
      <c r="D605" s="39" t="n">
        <f aca="false">(B605+C605)/2</f>
        <v>0.0756378173828125</v>
      </c>
      <c r="E605" s="15" t="n">
        <f aca="false">$C$2*(1+IF(E$3&lt;=$O$2,$D605,$D605-($D605-$I$589)*MIN(E$3-$O$2,$Q$2)/$Q$2))</f>
        <v>11358.7353515625</v>
      </c>
      <c r="F605" s="15" t="n">
        <f aca="false">E605*(1+IF(F$3&lt;=$O$2,$D605,$D605-($D605-$I$589)*MIN(F$3-$O$2,$Q$2)/$Q$2))</f>
        <v>12217.8853017837</v>
      </c>
      <c r="G605" s="15" t="n">
        <f aca="false">F605*(1+IF(G$3&lt;=$O$2,$D605,$D605-($D605-$I$589)*MIN(G$3-$O$2,$Q$2)/$Q$2))</f>
        <v>13142.0194790441</v>
      </c>
      <c r="H605" s="15" t="n">
        <f aca="false">G605*(1+IF(H$3&lt;=$O$2,$D605,$D605-($D605-$I$589)*MIN(H$3-$O$2,$Q$2)/$Q$2))</f>
        <v>14136.0531484415</v>
      </c>
      <c r="I605" s="15" t="n">
        <f aca="false">H605*(1+IF(I$3&lt;=$O$2,$D605,$D605-($D605-$I$589)*MIN(I$3-$O$2,$Q$2)/$Q$2))</f>
        <v>15205.273354997</v>
      </c>
      <c r="J605" s="15" t="n">
        <f aca="false">I605*(1+IF(J$3&lt;=$O$2,$D605,$D605-($D605-$I$589)*MIN(J$3-$O$2,$Q$2)/$Q$2))</f>
        <v>16180.9996069011</v>
      </c>
      <c r="K605" s="15" t="n">
        <f aca="false">J605*(1+IF(K$3&lt;=$O$2,$D605,$D605-($D605-$I$589)*MIN(K$3-$O$2,$Q$2)/$Q$2))</f>
        <v>17033.7818200265</v>
      </c>
      <c r="L605" s="15" t="n">
        <f aca="false">K605*(1+IF(L$3&lt;=$O$2,$D605,$D605-($D605-$I$589)*MIN(L$3-$O$2,$Q$2)/$Q$2))</f>
        <v>17736.1719758671</v>
      </c>
      <c r="M605" s="15" t="n">
        <f aca="false">L605*(1+IF(M$3&lt;=$O$2,$D605,$D605-($D605-$I$589)*MIN(M$3-$O$2,$Q$2)/$Q$2))</f>
        <v>18264.13460099</v>
      </c>
      <c r="N605" s="15" t="n">
        <f aca="false">M605*(1+IF(N$3&lt;=$O$2,$D605,$D605-($D605-$I$589)*MIN(N$3-$O$2,$Q$2)/$Q$2))</f>
        <v>18598.3682641881</v>
      </c>
      <c r="O605" s="15" t="n">
        <f aca="false">SUMPRODUCT(E605:N605,1/(1+$F$589)^$E$3:$N$3)*$E$2</f>
        <v>47676.006111414</v>
      </c>
      <c r="P605" s="15" t="n">
        <f aca="false">N605*$E$2*(1+$I$589)/($F$589-$I$589)/(1+$F$589)^$N$3</f>
        <v>59259.5998839611</v>
      </c>
      <c r="Q605" s="15" t="n">
        <f aca="false">O605+P605</f>
        <v>106935.605995375</v>
      </c>
      <c r="R605" s="15" t="n">
        <f aca="false">Q605-$G$2+$I$2</f>
        <v>87475.6059953751</v>
      </c>
      <c r="S605" s="40" t="n">
        <f aca="false">R605/$K$2</f>
        <v>155.819672590134</v>
      </c>
      <c r="T605" s="41" t="n">
        <f aca="false">S605-$M$2</f>
        <v>0.00998591954800077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0.075592041015625</v>
      </c>
      <c r="C606" s="25" t="n">
        <f aca="false">IF(T605&gt;0,D605,C605)</f>
        <v>0.0756378173828125</v>
      </c>
      <c r="D606" s="39" t="n">
        <f aca="false">(B606+C606)/2</f>
        <v>0.0756149291992188</v>
      </c>
      <c r="E606" s="15" t="n">
        <f aca="false">$C$2*(1+IF(E$3&lt;=$O$2,$D606,$D606-($D606-$I$589)*MIN(E$3-$O$2,$Q$2)/$Q$2))</f>
        <v>11358.4936523438</v>
      </c>
      <c r="F606" s="15" t="n">
        <f aca="false">E606*(1+IF(F$3&lt;=$O$2,$D606,$D606-($D606-$I$589)*MIN(F$3-$O$2,$Q$2)/$Q$2))</f>
        <v>12217.3653456755</v>
      </c>
      <c r="G606" s="15" t="n">
        <f aca="false">F606*(1+IF(G$3&lt;=$O$2,$D606,$D606-($D606-$I$589)*MIN(G$3-$O$2,$Q$2)/$Q$2))</f>
        <v>13141.1805612897</v>
      </c>
      <c r="H606" s="15" t="n">
        <f aca="false">G606*(1+IF(H$3&lt;=$O$2,$D606,$D606-($D606-$I$589)*MIN(H$3-$O$2,$Q$2)/$Q$2))</f>
        <v>14134.8499990258</v>
      </c>
      <c r="I606" s="15" t="n">
        <f aca="false">H606*(1+IF(I$3&lt;=$O$2,$D606,$D606-($D606-$I$589)*MIN(I$3-$O$2,$Q$2)/$Q$2))</f>
        <v>15203.6556809437</v>
      </c>
      <c r="J606" s="15" t="n">
        <f aca="false">I606*(1+IF(J$3&lt;=$O$2,$D606,$D606-($D606-$I$589)*MIN(J$3-$O$2,$Q$2)/$Q$2))</f>
        <v>16178.9997390431</v>
      </c>
      <c r="K606" s="15" t="n">
        <f aca="false">J606*(1+IF(K$3&lt;=$O$2,$D606,$D606-($D606-$I$589)*MIN(K$3-$O$2,$Q$2)/$Q$2))</f>
        <v>17031.454369002</v>
      </c>
      <c r="L606" s="15" t="n">
        <f aca="false">K606*(1+IF(L$3&lt;=$O$2,$D606,$D606-($D606-$I$589)*MIN(L$3-$O$2,$Q$2)/$Q$2))</f>
        <v>17733.5926244824</v>
      </c>
      <c r="M606" s="15" t="n">
        <f aca="false">L606*(1+IF(M$3&lt;=$O$2,$D606,$D606-($D606-$I$589)*MIN(M$3-$O$2,$Q$2)/$Q$2))</f>
        <v>18261.3972906544</v>
      </c>
      <c r="N606" s="15" t="n">
        <f aca="false">M606*(1+IF(N$3&lt;=$O$2,$D606,$D606-($D606-$I$589)*MIN(N$3-$O$2,$Q$2)/$Q$2))</f>
        <v>18595.5808610734</v>
      </c>
      <c r="O606" s="15" t="n">
        <f aca="false">SUMPRODUCT(E606:N606,1/(1+$F$589)^$E$3:$N$3)*$E$2</f>
        <v>47671.2622854306</v>
      </c>
      <c r="P606" s="15" t="n">
        <f aca="false">N606*$E$2*(1+$I$589)/($F$589-$I$589)/(1+$F$589)^$N$3</f>
        <v>59250.718438506</v>
      </c>
      <c r="Q606" s="15" t="n">
        <f aca="false">O606+P606</f>
        <v>106921.980723937</v>
      </c>
      <c r="R606" s="15" t="n">
        <f aca="false">Q606-$G$2+$I$2</f>
        <v>87461.9807239366</v>
      </c>
      <c r="S606" s="40" t="n">
        <f aca="false">R606/$K$2</f>
        <v>155.795401991372</v>
      </c>
      <c r="T606" s="41" t="n">
        <f aca="false">S606-$M$2</f>
        <v>-0.0142846792130911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0.0756149291992188</v>
      </c>
      <c r="C607" s="25" t="n">
        <f aca="false">IF(T606&gt;0,D606,C606)</f>
        <v>0.0756378173828125</v>
      </c>
      <c r="D607" s="39" t="n">
        <f aca="false">(B607+C607)/2</f>
        <v>0.0756263732910156</v>
      </c>
      <c r="E607" s="15" t="n">
        <f aca="false">$C$2*(1+IF(E$3&lt;=$O$2,$D607,$D607-($D607-$I$589)*MIN(E$3-$O$2,$Q$2)/$Q$2))</f>
        <v>11358.6145019531</v>
      </c>
      <c r="F607" s="15" t="n">
        <f aca="false">E607*(1+IF(F$3&lt;=$O$2,$D607,$D607-($D607-$I$589)*MIN(F$3-$O$2,$Q$2)/$Q$2))</f>
        <v>12217.6253223466</v>
      </c>
      <c r="G607" s="15" t="n">
        <f aca="false">F607*(1+IF(G$3&lt;=$O$2,$D607,$D607-($D607-$I$589)*MIN(G$3-$O$2,$Q$2)/$Q$2))</f>
        <v>13141.6000157041</v>
      </c>
      <c r="H607" s="15" t="n">
        <f aca="false">G607*(1+IF(H$3&lt;=$O$2,$D607,$D607-($D607-$I$589)*MIN(H$3-$O$2,$Q$2)/$Q$2))</f>
        <v>14135.451564133</v>
      </c>
      <c r="I607" s="15" t="n">
        <f aca="false">H607*(1+IF(I$3&lt;=$O$2,$D607,$D607-($D607-$I$589)*MIN(I$3-$O$2,$Q$2)/$Q$2))</f>
        <v>15204.4645007592</v>
      </c>
      <c r="J607" s="15" t="n">
        <f aca="false">I607*(1+IF(J$3&lt;=$O$2,$D607,$D607-($D607-$I$589)*MIN(J$3-$O$2,$Q$2)/$Q$2))</f>
        <v>16179.9996472515</v>
      </c>
      <c r="K607" s="15" t="n">
        <f aca="false">J607*(1+IF(K$3&lt;=$O$2,$D607,$D607-($D607-$I$589)*MIN(K$3-$O$2,$Q$2)/$Q$2))</f>
        <v>17032.6180605723</v>
      </c>
      <c r="L607" s="15" t="n">
        <f aca="false">K607*(1+IF(L$3&lt;=$O$2,$D607,$D607-($D607-$I$589)*MIN(L$3-$O$2,$Q$2)/$Q$2))</f>
        <v>17734.8822595062</v>
      </c>
      <c r="M607" s="15" t="n">
        <f aca="false">L607*(1+IF(M$3&lt;=$O$2,$D607,$D607-($D607-$I$589)*MIN(M$3-$O$2,$Q$2)/$Q$2))</f>
        <v>18262.7659009913</v>
      </c>
      <c r="N607" s="15" t="n">
        <f aca="false">M607*(1+IF(N$3&lt;=$O$2,$D607,$D607-($D607-$I$589)*MIN(N$3-$O$2,$Q$2)/$Q$2))</f>
        <v>18596.9745169795</v>
      </c>
      <c r="O607" s="15" t="n">
        <f aca="false">SUMPRODUCT(E607:N607,1/(1+$F$589)^$E$3:$N$3)*$E$2</f>
        <v>47673.6341393778</v>
      </c>
      <c r="P607" s="15" t="n">
        <f aca="false">N607*$E$2*(1+$I$589)/($F$589-$I$589)/(1+$F$589)^$N$3</f>
        <v>59255.1590157757</v>
      </c>
      <c r="Q607" s="15" t="n">
        <f aca="false">O607+P607</f>
        <v>106928.793155154</v>
      </c>
      <c r="R607" s="15" t="n">
        <f aca="false">Q607-$G$2+$I$2</f>
        <v>87468.7931551535</v>
      </c>
      <c r="S607" s="40" t="n">
        <f aca="false">R607/$K$2</f>
        <v>155.807536926475</v>
      </c>
      <c r="T607" s="41" t="n">
        <f aca="false">S607-$M$2</f>
        <v>-0.00214974411096591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0.0756263732910156</v>
      </c>
      <c r="C608" s="25" t="n">
        <f aca="false">IF(T607&gt;0,D607,C607)</f>
        <v>0.0756378173828125</v>
      </c>
      <c r="D608" s="39" t="n">
        <f aca="false">(B608+C608)/2</f>
        <v>0.0756320953369141</v>
      </c>
      <c r="E608" s="15" t="n">
        <f aca="false">$C$2*(1+IF(E$3&lt;=$O$2,$D608,$D608-($D608-$I$589)*MIN(E$3-$O$2,$Q$2)/$Q$2))</f>
        <v>11358.6749267578</v>
      </c>
      <c r="F608" s="15" t="n">
        <f aca="false">E608*(1+IF(F$3&lt;=$O$2,$D608,$D608-($D608-$I$589)*MIN(F$3-$O$2,$Q$2)/$Q$2))</f>
        <v>12217.7553117194</v>
      </c>
      <c r="G608" s="15" t="n">
        <f aca="false">F608*(1+IF(G$3&lt;=$O$2,$D608,$D608-($D608-$I$589)*MIN(G$3-$O$2,$Q$2)/$Q$2))</f>
        <v>13141.8097462584</v>
      </c>
      <c r="H608" s="15" t="n">
        <f aca="false">G608*(1+IF(H$3&lt;=$O$2,$D608,$D608-($D608-$I$589)*MIN(H$3-$O$2,$Q$2)/$Q$2))</f>
        <v>14135.752353887</v>
      </c>
      <c r="I608" s="15" t="n">
        <f aca="false">H608*(1+IF(I$3&lt;=$O$2,$D608,$D608-($D608-$I$589)*MIN(I$3-$O$2,$Q$2)/$Q$2))</f>
        <v>15204.8689235752</v>
      </c>
      <c r="J608" s="15" t="n">
        <f aca="false">I608*(1+IF(J$3&lt;=$O$2,$D608,$D608-($D608-$I$589)*MIN(J$3-$O$2,$Q$2)/$Q$2))</f>
        <v>16180.499620646</v>
      </c>
      <c r="K608" s="15" t="n">
        <f aca="false">J608*(1+IF(K$3&lt;=$O$2,$D608,$D608-($D608-$I$589)*MIN(K$3-$O$2,$Q$2)/$Q$2))</f>
        <v>17033.1999318137</v>
      </c>
      <c r="L608" s="15" t="n">
        <f aca="false">K608*(1+IF(L$3&lt;=$O$2,$D608,$D608-($D608-$I$589)*MIN(L$3-$O$2,$Q$2)/$Q$2))</f>
        <v>17735.5271075193</v>
      </c>
      <c r="M608" s="15" t="n">
        <f aca="false">L608*(1+IF(M$3&lt;=$O$2,$D608,$D608-($D608-$I$589)*MIN(M$3-$O$2,$Q$2)/$Q$2))</f>
        <v>18263.4502397826</v>
      </c>
      <c r="N608" s="15" t="n">
        <f aca="false">M608*(1+IF(N$3&lt;=$O$2,$D608,$D608-($D608-$I$589)*MIN(N$3-$O$2,$Q$2)/$Q$2))</f>
        <v>18597.6713791706</v>
      </c>
      <c r="O608" s="15" t="n">
        <f aca="false">SUMPRODUCT(E608:N608,1/(1+$F$589)^$E$3:$N$3)*$E$2</f>
        <v>47674.8201106344</v>
      </c>
      <c r="P608" s="15" t="n">
        <f aca="false">N608*$E$2*(1+$I$589)/($F$589-$I$589)/(1+$F$589)^$N$3</f>
        <v>59257.3794135029</v>
      </c>
      <c r="Q608" s="15" t="n">
        <f aca="false">O608+P608</f>
        <v>106932.199524137</v>
      </c>
      <c r="R608" s="15" t="n">
        <f aca="false">Q608-$G$2+$I$2</f>
        <v>87472.1995241374</v>
      </c>
      <c r="S608" s="40" t="n">
        <f aca="false">R608/$K$2</f>
        <v>155.813604667232</v>
      </c>
      <c r="T608" s="41" t="n">
        <f aca="false">S608-$M$2</f>
        <v>0.00391799664649284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0.0756263732910156</v>
      </c>
      <c r="C609" s="25" t="n">
        <f aca="false">IF(T608&gt;0,D608,C608)</f>
        <v>0.0756320953369141</v>
      </c>
      <c r="D609" s="39" t="n">
        <f aca="false">(B609+C609)/2</f>
        <v>0.0756292343139648</v>
      </c>
      <c r="E609" s="15" t="n">
        <f aca="false">$C$2*(1+IF(E$3&lt;=$O$2,$D609,$D609-($D609-$I$589)*MIN(E$3-$O$2,$Q$2)/$Q$2))</f>
        <v>11358.6447143555</v>
      </c>
      <c r="F609" s="15" t="n">
        <f aca="false">E609*(1+IF(F$3&lt;=$O$2,$D609,$D609-($D609-$I$589)*MIN(F$3-$O$2,$Q$2)/$Q$2))</f>
        <v>12217.6903169465</v>
      </c>
      <c r="G609" s="15" t="n">
        <f aca="false">F609*(1+IF(G$3&lt;=$O$2,$D609,$D609-($D609-$I$589)*MIN(G$3-$O$2,$Q$2)/$Q$2))</f>
        <v>13141.7048807023</v>
      </c>
      <c r="H609" s="15" t="n">
        <f aca="false">G609*(1+IF(H$3&lt;=$O$2,$D609,$D609-($D609-$I$589)*MIN(H$3-$O$2,$Q$2)/$Q$2))</f>
        <v>14135.60195841</v>
      </c>
      <c r="I609" s="15" t="n">
        <f aca="false">H609*(1+IF(I$3&lt;=$O$2,$D609,$D609-($D609-$I$589)*MIN(I$3-$O$2,$Q$2)/$Q$2))</f>
        <v>15204.6667110915</v>
      </c>
      <c r="J609" s="15" t="n">
        <f aca="false">I609*(1+IF(J$3&lt;=$O$2,$D609,$D609-($D609-$I$589)*MIN(J$3-$O$2,$Q$2)/$Q$2))</f>
        <v>16180.2496323412</v>
      </c>
      <c r="K609" s="15" t="n">
        <f aca="false">J609*(1+IF(K$3&lt;=$O$2,$D609,$D609-($D609-$I$589)*MIN(K$3-$O$2,$Q$2)/$Q$2))</f>
        <v>17032.9089940716</v>
      </c>
      <c r="L609" s="15" t="n">
        <f aca="false">K609*(1+IF(L$3&lt;=$O$2,$D609,$D609-($D609-$I$589)*MIN(L$3-$O$2,$Q$2)/$Q$2))</f>
        <v>17735.2046809709</v>
      </c>
      <c r="M609" s="15" t="n">
        <f aca="false">L609*(1+IF(M$3&lt;=$O$2,$D609,$D609-($D609-$I$589)*MIN(M$3-$O$2,$Q$2)/$Q$2))</f>
        <v>18263.108067585</v>
      </c>
      <c r="N609" s="15" t="n">
        <f aca="false">M609*(1+IF(N$3&lt;=$O$2,$D609,$D609-($D609-$I$589)*MIN(N$3-$O$2,$Q$2)/$Q$2))</f>
        <v>18597.3229452218</v>
      </c>
      <c r="O609" s="15" t="n">
        <f aca="false">SUMPRODUCT(E609:N609,1/(1+$F$589)^$E$3:$N$3)*$E$2</f>
        <v>47674.2271213158</v>
      </c>
      <c r="P609" s="15" t="n">
        <f aca="false">N609*$E$2*(1+$I$589)/($F$589-$I$589)/(1+$F$589)^$N$3</f>
        <v>59256.2692055481</v>
      </c>
      <c r="Q609" s="15" t="n">
        <f aca="false">O609+P609</f>
        <v>106930.496326864</v>
      </c>
      <c r="R609" s="15" t="n">
        <f aca="false">Q609-$G$2+$I$2</f>
        <v>87470.4963268639</v>
      </c>
      <c r="S609" s="40" t="n">
        <f aca="false">R609/$K$2</f>
        <v>155.810570774086</v>
      </c>
      <c r="T609" s="41" t="n">
        <f aca="false">S609-$M$2</f>
        <v>0.000884103500027322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0.0756263732910156</v>
      </c>
      <c r="C610" s="25" t="n">
        <f aca="false">IF(T609&gt;0,D609,C609)</f>
        <v>0.0756292343139648</v>
      </c>
      <c r="D610" s="39" t="n">
        <f aca="false">(B610+C610)/2</f>
        <v>0.0756278038024902</v>
      </c>
      <c r="E610" s="15" t="n">
        <f aca="false">$C$2*(1+IF(E$3&lt;=$O$2,$D610,$D610-($D610-$I$589)*MIN(E$3-$O$2,$Q$2)/$Q$2))</f>
        <v>11358.6296081543</v>
      </c>
      <c r="F610" s="15" t="n">
        <f aca="false">E610*(1+IF(F$3&lt;=$O$2,$D610,$D610-($D610-$I$589)*MIN(F$3-$O$2,$Q$2)/$Q$2))</f>
        <v>12217.6578196249</v>
      </c>
      <c r="G610" s="15" t="n">
        <f aca="false">F610*(1+IF(G$3&lt;=$O$2,$D610,$D610-($D610-$I$589)*MIN(G$3-$O$2,$Q$2)/$Q$2))</f>
        <v>13141.6524481335</v>
      </c>
      <c r="H610" s="15" t="n">
        <f aca="false">G610*(1+IF(H$3&lt;=$O$2,$D610,$D610-($D610-$I$589)*MIN(H$3-$O$2,$Q$2)/$Q$2))</f>
        <v>14135.5267611215</v>
      </c>
      <c r="I610" s="15" t="n">
        <f aca="false">H610*(1+IF(I$3&lt;=$O$2,$D610,$D610-($D610-$I$589)*MIN(I$3-$O$2,$Q$2)/$Q$2))</f>
        <v>15204.5656056564</v>
      </c>
      <c r="J610" s="15" t="n">
        <f aca="false">I610*(1+IF(J$3&lt;=$O$2,$D610,$D610-($D610-$I$589)*MIN(J$3-$O$2,$Q$2)/$Q$2))</f>
        <v>16180.1246393944</v>
      </c>
      <c r="K610" s="15" t="n">
        <f aca="false">J610*(1+IF(K$3&lt;=$O$2,$D610,$D610-($D610-$I$589)*MIN(K$3-$O$2,$Q$2)/$Q$2))</f>
        <v>17032.7635267916</v>
      </c>
      <c r="L610" s="15" t="n">
        <f aca="false">K610*(1+IF(L$3&lt;=$O$2,$D610,$D610-($D610-$I$589)*MIN(L$3-$O$2,$Q$2)/$Q$2))</f>
        <v>17735.0434696031</v>
      </c>
      <c r="M610" s="15" t="n">
        <f aca="false">L610*(1+IF(M$3&lt;=$O$2,$D610,$D610-($D610-$I$589)*MIN(M$3-$O$2,$Q$2)/$Q$2))</f>
        <v>18262.9369835877</v>
      </c>
      <c r="N610" s="15" t="n">
        <f aca="false">M610*(1+IF(N$3&lt;=$O$2,$D610,$D610-($D610-$I$589)*MIN(N$3-$O$2,$Q$2)/$Q$2))</f>
        <v>18597.1487303873</v>
      </c>
      <c r="O610" s="15" t="n">
        <f aca="false">SUMPRODUCT(E610:N610,1/(1+$F$589)^$E$3:$N$3)*$E$2</f>
        <v>47673.9306294242</v>
      </c>
      <c r="P610" s="15" t="n">
        <f aca="false">N610*$E$2*(1+$I$589)/($F$589-$I$589)/(1+$F$589)^$N$3</f>
        <v>59255.7141083891</v>
      </c>
      <c r="Q610" s="15" t="n">
        <f aca="false">O610+P610</f>
        <v>106929.644737813</v>
      </c>
      <c r="R610" s="15" t="n">
        <f aca="false">Q610-$G$2+$I$2</f>
        <v>87469.6447378133</v>
      </c>
      <c r="S610" s="40" t="n">
        <f aca="false">R610/$K$2</f>
        <v>155.809053844588</v>
      </c>
      <c r="T610" s="41" t="n">
        <f aca="false">S610-$M$2</f>
        <v>-0.000632825997371356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0.0756278038024902</v>
      </c>
      <c r="C611" s="25" t="n">
        <f aca="false">IF(T610&gt;0,D610,C610)</f>
        <v>0.0756292343139648</v>
      </c>
      <c r="D611" s="39" t="n">
        <f aca="false">(B611+C611)/2</f>
        <v>0.0756285190582275</v>
      </c>
      <c r="E611" s="15" t="n">
        <f aca="false">$C$2*(1+IF(E$3&lt;=$O$2,$D611,$D611-($D611-$I$589)*MIN(E$3-$O$2,$Q$2)/$Q$2))</f>
        <v>11358.6371612549</v>
      </c>
      <c r="F611" s="15" t="n">
        <f aca="false">E611*(1+IF(F$3&lt;=$O$2,$D611,$D611-($D611-$I$589)*MIN(F$3-$O$2,$Q$2)/$Q$2))</f>
        <v>12217.6740682803</v>
      </c>
      <c r="G611" s="15" t="n">
        <f aca="false">F611*(1+IF(G$3&lt;=$O$2,$D611,$D611-($D611-$I$589)*MIN(G$3-$O$2,$Q$2)/$Q$2))</f>
        <v>13141.6786644005</v>
      </c>
      <c r="H611" s="15" t="n">
        <f aca="false">G611*(1+IF(H$3&lt;=$O$2,$D611,$D611-($D611-$I$589)*MIN(H$3-$O$2,$Q$2)/$Q$2))</f>
        <v>14135.5643597282</v>
      </c>
      <c r="I611" s="15" t="n">
        <f aca="false">H611*(1+IF(I$3&lt;=$O$2,$D611,$D611-($D611-$I$589)*MIN(I$3-$O$2,$Q$2)/$Q$2))</f>
        <v>15204.6161583067</v>
      </c>
      <c r="J611" s="15" t="n">
        <f aca="false">I611*(1+IF(J$3&lt;=$O$2,$D611,$D611-($D611-$I$589)*MIN(J$3-$O$2,$Q$2)/$Q$2))</f>
        <v>16180.1871357673</v>
      </c>
      <c r="K611" s="15" t="n">
        <f aca="false">J611*(1+IF(K$3&lt;=$O$2,$D611,$D611-($D611-$I$589)*MIN(K$3-$O$2,$Q$2)/$Q$2))</f>
        <v>17032.836260299</v>
      </c>
      <c r="L611" s="15" t="n">
        <f aca="false">K611*(1+IF(L$3&lt;=$O$2,$D611,$D611-($D611-$I$589)*MIN(L$3-$O$2,$Q$2)/$Q$2))</f>
        <v>17735.1240751282</v>
      </c>
      <c r="M611" s="15" t="n">
        <f aca="false">L611*(1+IF(M$3&lt;=$O$2,$D611,$D611-($D611-$I$589)*MIN(M$3-$O$2,$Q$2)/$Q$2))</f>
        <v>18263.0225254112</v>
      </c>
      <c r="N611" s="15" t="n">
        <f aca="false">M611*(1+IF(N$3&lt;=$O$2,$D611,$D611-($D611-$I$589)*MIN(N$3-$O$2,$Q$2)/$Q$2))</f>
        <v>18597.2358376262</v>
      </c>
      <c r="O611" s="15" t="n">
        <f aca="false">SUMPRODUCT(E611:N611,1/(1+$F$589)^$E$3:$N$3)*$E$2</f>
        <v>47674.0788751393</v>
      </c>
      <c r="P611" s="15" t="n">
        <f aca="false">N611*$E$2*(1+$I$589)/($F$589-$I$589)/(1+$F$589)^$N$3</f>
        <v>59255.9916564004</v>
      </c>
      <c r="Q611" s="15" t="n">
        <f aca="false">O611+P611</f>
        <v>106930.07053154</v>
      </c>
      <c r="R611" s="15" t="n">
        <f aca="false">Q611-$G$2+$I$2</f>
        <v>87470.0705315398</v>
      </c>
      <c r="S611" s="40" t="n">
        <f aca="false">R611/$K$2</f>
        <v>155.809812307914</v>
      </c>
      <c r="T611" s="41" t="n">
        <f aca="false">S611-$M$2</f>
        <v>0.000125637328352468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0.0756278038024902</v>
      </c>
      <c r="C612" s="25" t="n">
        <f aca="false">IF(T611&gt;0,D611,C611)</f>
        <v>0.0756285190582275</v>
      </c>
      <c r="D612" s="39" t="n">
        <f aca="false">(B612+C612)/2</f>
        <v>0.0756281614303589</v>
      </c>
      <c r="E612" s="15" t="n">
        <f aca="false">$C$2*(1+IF(E$3&lt;=$O$2,$D612,$D612-($D612-$I$589)*MIN(E$3-$O$2,$Q$2)/$Q$2))</f>
        <v>11358.6333847046</v>
      </c>
      <c r="F612" s="15" t="n">
        <f aca="false">E612*(1+IF(F$3&lt;=$O$2,$D612,$D612-($D612-$I$589)*MIN(F$3-$O$2,$Q$2)/$Q$2))</f>
        <v>12217.6659439513</v>
      </c>
      <c r="G612" s="15" t="n">
        <f aca="false">F612*(1+IF(G$3&lt;=$O$2,$D612,$D612-($D612-$I$589)*MIN(G$3-$O$2,$Q$2)/$Q$2))</f>
        <v>13141.6655562626</v>
      </c>
      <c r="H612" s="15" t="n">
        <f aca="false">G612*(1+IF(H$3&lt;=$O$2,$D612,$D612-($D612-$I$589)*MIN(H$3-$O$2,$Q$2)/$Q$2))</f>
        <v>14135.5455604155</v>
      </c>
      <c r="I612" s="15" t="n">
        <f aca="false">H612*(1+IF(I$3&lt;=$O$2,$D612,$D612-($D612-$I$589)*MIN(I$3-$O$2,$Q$2)/$Q$2))</f>
        <v>15204.5908819647</v>
      </c>
      <c r="J612" s="15" t="n">
        <f aca="false">I612*(1+IF(J$3&lt;=$O$2,$D612,$D612-($D612-$I$589)*MIN(J$3-$O$2,$Q$2)/$Q$2))</f>
        <v>16180.1558875558</v>
      </c>
      <c r="K612" s="15" t="n">
        <f aca="false">J612*(1+IF(K$3&lt;=$O$2,$D612,$D612-($D612-$I$589)*MIN(K$3-$O$2,$Q$2)/$Q$2))</f>
        <v>17032.7998935121</v>
      </c>
      <c r="L612" s="15" t="n">
        <f aca="false">K612*(1+IF(L$3&lt;=$O$2,$D612,$D612-($D612-$I$589)*MIN(L$3-$O$2,$Q$2)/$Q$2))</f>
        <v>17735.0837723259</v>
      </c>
      <c r="M612" s="15" t="n">
        <f aca="false">L612*(1+IF(M$3&lt;=$O$2,$D612,$D612-($D612-$I$589)*MIN(M$3-$O$2,$Q$2)/$Q$2))</f>
        <v>18262.9797544557</v>
      </c>
      <c r="N612" s="15" t="n">
        <f aca="false">M612*(1+IF(N$3&lt;=$O$2,$D612,$D612-($D612-$I$589)*MIN(N$3-$O$2,$Q$2)/$Q$2))</f>
        <v>18597.1922839622</v>
      </c>
      <c r="O612" s="15" t="n">
        <f aca="false">SUMPRODUCT(E612:N612,1/(1+$F$589)^$E$3:$N$3)*$E$2</f>
        <v>47674.0047522241</v>
      </c>
      <c r="P612" s="15" t="n">
        <f aca="false">N612*$E$2*(1+$I$589)/($F$589-$I$589)/(1+$F$589)^$N$3</f>
        <v>59255.8528822527</v>
      </c>
      <c r="Q612" s="15" t="n">
        <f aca="false">O612+P612</f>
        <v>106929.857634477</v>
      </c>
      <c r="R612" s="15" t="n">
        <f aca="false">Q612-$G$2+$I$2</f>
        <v>87469.8576344768</v>
      </c>
      <c r="S612" s="40" t="n">
        <f aca="false">R612/$K$2</f>
        <v>155.809433075895</v>
      </c>
      <c r="T612" s="41" t="n">
        <f aca="false">S612-$M$2</f>
        <v>-0.000253594690263981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0.0756281614303589</v>
      </c>
      <c r="C613" s="25" t="n">
        <f aca="false">IF(T612&gt;0,D612,C612)</f>
        <v>0.0756285190582275</v>
      </c>
      <c r="D613" s="39" t="n">
        <f aca="false">(B613+C613)/2</f>
        <v>0.0756283402442932</v>
      </c>
      <c r="E613" s="15" t="n">
        <f aca="false">$C$2*(1+IF(E$3&lt;=$O$2,$D613,$D613-($D613-$I$589)*MIN(E$3-$O$2,$Q$2)/$Q$2))</f>
        <v>11358.6352729797</v>
      </c>
      <c r="F613" s="15" t="n">
        <f aca="false">E613*(1+IF(F$3&lt;=$O$2,$D613,$D613-($D613-$I$589)*MIN(F$3-$O$2,$Q$2)/$Q$2))</f>
        <v>12217.6700061155</v>
      </c>
      <c r="G613" s="15" t="n">
        <f aca="false">F613*(1+IF(G$3&lt;=$O$2,$D613,$D613-($D613-$I$589)*MIN(G$3-$O$2,$Q$2)/$Q$2))</f>
        <v>13141.6721103305</v>
      </c>
      <c r="H613" s="15" t="n">
        <f aca="false">G613*(1+IF(H$3&lt;=$O$2,$D613,$D613-($D613-$I$589)*MIN(H$3-$O$2,$Q$2)/$Q$2))</f>
        <v>14135.5549600695</v>
      </c>
      <c r="I613" s="15" t="n">
        <f aca="false">H613*(1+IF(I$3&lt;=$O$2,$D613,$D613-($D613-$I$589)*MIN(I$3-$O$2,$Q$2)/$Q$2))</f>
        <v>15204.6035201315</v>
      </c>
      <c r="J613" s="15" t="n">
        <f aca="false">I613*(1+IF(J$3&lt;=$O$2,$D613,$D613-($D613-$I$589)*MIN(J$3-$O$2,$Q$2)/$Q$2))</f>
        <v>16180.1715116553</v>
      </c>
      <c r="K613" s="15" t="n">
        <f aca="false">J613*(1+IF(K$3&lt;=$O$2,$D613,$D613-($D613-$I$589)*MIN(K$3-$O$2,$Q$2)/$Q$2))</f>
        <v>17032.8180768973</v>
      </c>
      <c r="L613" s="15" t="n">
        <f aca="false">K613*(1+IF(L$3&lt;=$O$2,$D613,$D613-($D613-$I$589)*MIN(L$3-$O$2,$Q$2)/$Q$2))</f>
        <v>17735.1039237171</v>
      </c>
      <c r="M613" s="15" t="n">
        <f aca="false">L613*(1+IF(M$3&lt;=$O$2,$D613,$D613-($D613-$I$589)*MIN(M$3-$O$2,$Q$2)/$Q$2))</f>
        <v>18263.0011399225</v>
      </c>
      <c r="N613" s="15" t="n">
        <f aca="false">M613*(1+IF(N$3&lt;=$O$2,$D613,$D613-($D613-$I$589)*MIN(N$3-$O$2,$Q$2)/$Q$2))</f>
        <v>18597.2140607831</v>
      </c>
      <c r="O613" s="15" t="n">
        <f aca="false">SUMPRODUCT(E613:N613,1/(1+$F$589)^$E$3:$N$3)*$E$2</f>
        <v>47674.0418136673</v>
      </c>
      <c r="P613" s="15" t="n">
        <f aca="false">N613*$E$2*(1+$I$589)/($F$589-$I$589)/(1+$F$589)^$N$3</f>
        <v>59255.9222692911</v>
      </c>
      <c r="Q613" s="15" t="n">
        <f aca="false">O613+P613</f>
        <v>106929.964082958</v>
      </c>
      <c r="R613" s="15" t="n">
        <f aca="false">Q613-$G$2+$I$2</f>
        <v>87469.9640829584</v>
      </c>
      <c r="S613" s="40" t="n">
        <f aca="false">R613/$K$2</f>
        <v>155.809622691816</v>
      </c>
      <c r="T613" s="41" t="n">
        <f aca="false">S613-$M$2</f>
        <v>-6.3978769901496E-005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0.0756283402442932</v>
      </c>
      <c r="C614" s="25" t="n">
        <f aca="false">IF(T613&gt;0,D613,C613)</f>
        <v>0.0756285190582275</v>
      </c>
      <c r="D614" s="39" t="n">
        <f aca="false">(B614+C614)/2</f>
        <v>0.0756284296512604</v>
      </c>
      <c r="E614" s="15" t="n">
        <f aca="false">$C$2*(1+IF(E$3&lt;=$O$2,$D614,$D614-($D614-$I$589)*MIN(E$3-$O$2,$Q$2)/$Q$2))</f>
        <v>11358.6362171173</v>
      </c>
      <c r="F614" s="15" t="n">
        <f aca="false">E614*(1+IF(F$3&lt;=$O$2,$D614,$D614-($D614-$I$589)*MIN(F$3-$O$2,$Q$2)/$Q$2))</f>
        <v>12217.6720371978</v>
      </c>
      <c r="G614" s="15" t="n">
        <f aca="false">F614*(1+IF(G$3&lt;=$O$2,$D614,$D614-($D614-$I$589)*MIN(G$3-$O$2,$Q$2)/$Q$2))</f>
        <v>13141.6753873652</v>
      </c>
      <c r="H614" s="15" t="n">
        <f aca="false">G614*(1+IF(H$3&lt;=$O$2,$D614,$D614-($D614-$I$589)*MIN(H$3-$O$2,$Q$2)/$Q$2))</f>
        <v>14135.5596598983</v>
      </c>
      <c r="I614" s="15" t="n">
        <f aca="false">H614*(1+IF(I$3&lt;=$O$2,$D614,$D614-($D614-$I$589)*MIN(I$3-$O$2,$Q$2)/$Q$2))</f>
        <v>15204.6098392181</v>
      </c>
      <c r="J614" s="15" t="n">
        <f aca="false">I614*(1+IF(J$3&lt;=$O$2,$D614,$D614-($D614-$I$589)*MIN(J$3-$O$2,$Q$2)/$Q$2))</f>
        <v>16180.1793237097</v>
      </c>
      <c r="K614" s="15" t="n">
        <f aca="false">J614*(1+IF(K$3&lt;=$O$2,$D614,$D614-($D614-$I$589)*MIN(K$3-$O$2,$Q$2)/$Q$2))</f>
        <v>17032.8271685961</v>
      </c>
      <c r="L614" s="15" t="n">
        <f aca="false">K614*(1+IF(L$3&lt;=$O$2,$D614,$D614-($D614-$I$589)*MIN(L$3-$O$2,$Q$2)/$Q$2))</f>
        <v>17735.1139994202</v>
      </c>
      <c r="M614" s="15" t="n">
        <f aca="false">L614*(1+IF(M$3&lt;=$O$2,$D614,$D614-($D614-$I$589)*MIN(M$3-$O$2,$Q$2)/$Q$2))</f>
        <v>18263.0118326641</v>
      </c>
      <c r="N614" s="15" t="n">
        <f aca="false">M614*(1+IF(N$3&lt;=$O$2,$D614,$D614-($D614-$I$589)*MIN(N$3-$O$2,$Q$2)/$Q$2))</f>
        <v>18597.2249492019</v>
      </c>
      <c r="O614" s="15" t="n">
        <f aca="false">SUMPRODUCT(E614:N614,1/(1+$F$589)^$E$3:$N$3)*$E$2</f>
        <v>47674.0603443997</v>
      </c>
      <c r="P614" s="15" t="n">
        <f aca="false">N614*$E$2*(1+$I$589)/($F$589-$I$589)/(1+$F$589)^$N$3</f>
        <v>59255.9569628369</v>
      </c>
      <c r="Q614" s="15" t="n">
        <f aca="false">O614+P614</f>
        <v>106930.017307237</v>
      </c>
      <c r="R614" s="15" t="n">
        <f aca="false">Q614-$G$2+$I$2</f>
        <v>87470.0173072366</v>
      </c>
      <c r="S614" s="40" t="n">
        <f aca="false">R614/$K$2</f>
        <v>155.809717499843</v>
      </c>
      <c r="T614" s="41" t="n">
        <f aca="false">S614-$M$2</f>
        <v>3.08292570139201E-005</v>
      </c>
    </row>
    <row r="616" customFormat="false" ht="15" hidden="false" customHeight="false" outlineLevel="0" collapsed="false">
      <c r="A616" s="36" t="s">
        <v>208</v>
      </c>
      <c r="E616" s="5" t="s">
        <v>11</v>
      </c>
      <c r="F616" s="12" t="n">
        <f aca="false">Sensitivity!$B$14</f>
        <v>0.0870172026214128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6" t="s">
        <v>167</v>
      </c>
      <c r="B617" s="28" t="s">
        <v>168</v>
      </c>
      <c r="C617" s="28" t="s">
        <v>169</v>
      </c>
      <c r="D617" s="28" t="s">
        <v>170</v>
      </c>
      <c r="E617" s="28" t="s">
        <v>171</v>
      </c>
      <c r="F617" s="28" t="s">
        <v>172</v>
      </c>
      <c r="G617" s="28" t="s">
        <v>173</v>
      </c>
      <c r="H617" s="28" t="s">
        <v>174</v>
      </c>
      <c r="I617" s="28" t="s">
        <v>175</v>
      </c>
      <c r="J617" s="28" t="s">
        <v>176</v>
      </c>
      <c r="K617" s="28" t="s">
        <v>177</v>
      </c>
      <c r="L617" s="28" t="s">
        <v>178</v>
      </c>
      <c r="M617" s="28" t="s">
        <v>179</v>
      </c>
      <c r="N617" s="28" t="s">
        <v>180</v>
      </c>
      <c r="O617" s="28" t="s">
        <v>181</v>
      </c>
      <c r="P617" s="28" t="s">
        <v>182</v>
      </c>
      <c r="Q617" s="28" t="s">
        <v>183</v>
      </c>
      <c r="R617" s="28" t="s">
        <v>184</v>
      </c>
      <c r="S617" s="28" t="s">
        <v>185</v>
      </c>
      <c r="T617" s="28" t="s">
        <v>186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39" t="n">
        <f aca="false">(B618+C618)/2</f>
        <v>0.25</v>
      </c>
      <c r="E618" s="15" t="n">
        <f aca="false">$C$2*(1+IF(E$3&lt;=$O$2,$D618,$D618-($D618-$I$616)*MIN(E$3-$O$2,$Q$2)/$Q$2))</f>
        <v>13200</v>
      </c>
      <c r="F618" s="15" t="n">
        <f aca="false">E618*(1+IF(F$3&lt;=$O$2,$D618,$D618-($D618-$I$616)*MIN(F$3-$O$2,$Q$2)/$Q$2))</f>
        <v>16500</v>
      </c>
      <c r="G618" s="15" t="n">
        <f aca="false">F618*(1+IF(G$3&lt;=$O$2,$D618,$D618-($D618-$I$616)*MIN(G$3-$O$2,$Q$2)/$Q$2))</f>
        <v>20625</v>
      </c>
      <c r="H618" s="15" t="n">
        <f aca="false">G618*(1+IF(H$3&lt;=$O$2,$D618,$D618-($D618-$I$616)*MIN(H$3-$O$2,$Q$2)/$Q$2))</f>
        <v>25781.25</v>
      </c>
      <c r="I618" s="15" t="n">
        <f aca="false">H618*(1+IF(I$3&lt;=$O$2,$D618,$D618-($D618-$I$616)*MIN(I$3-$O$2,$Q$2)/$Q$2))</f>
        <v>32226.5625</v>
      </c>
      <c r="J618" s="15" t="n">
        <f aca="false">I618*(1+IF(J$3&lt;=$O$2,$D618,$D618-($D618-$I$616)*MIN(J$3-$O$2,$Q$2)/$Q$2))</f>
        <v>38822.05078125</v>
      </c>
      <c r="K618" s="15" t="n">
        <f aca="false">J618*(1+IF(K$3&lt;=$O$2,$D618,$D618-($D618-$I$616)*MIN(K$3-$O$2,$Q$2)/$Q$2))</f>
        <v>45007.1799117188</v>
      </c>
      <c r="L618" s="15" t="n">
        <f aca="false">K618*(1+IF(L$3&lt;=$O$2,$D618,$D618-($D618-$I$616)*MIN(L$3-$O$2,$Q$2)/$Q$2))</f>
        <v>50137.0982780565</v>
      </c>
      <c r="M618" s="15" t="n">
        <f aca="false">L618*(1+IF(M$3&lt;=$O$2,$D618,$D618-($D618-$I$616)*MIN(M$3-$O$2,$Q$2)/$Q$2))</f>
        <v>53578.5087038623</v>
      </c>
      <c r="N618" s="15" t="n">
        <f aca="false">M618*(1+IF(N$3&lt;=$O$2,$D618,$D618-($D618-$I$616)*MIN(N$3-$O$2,$Q$2)/$Q$2))</f>
        <v>54826.8879566622</v>
      </c>
      <c r="O618" s="15" t="n">
        <f aca="false">SUMPRODUCT(E618:N618,1/(1+$F$616)^$E$3:$N$3)*$E$2</f>
        <v>101678.698535577</v>
      </c>
      <c r="P618" s="15" t="n">
        <f aca="false">N618*$E$2*(1+$I$616)/($F$616-$I$616)/(1+$F$616)^$N$3</f>
        <v>189327.399096365</v>
      </c>
      <c r="Q618" s="15" t="n">
        <f aca="false">O618+P618</f>
        <v>291006.097631943</v>
      </c>
      <c r="R618" s="15" t="n">
        <f aca="false">Q618-$G$2+$I$2</f>
        <v>271546.097631943</v>
      </c>
      <c r="S618" s="40" t="n">
        <f aca="false">R618/$K$2</f>
        <v>483.703125513356</v>
      </c>
      <c r="T618" s="41" t="n">
        <f aca="false">S618-$M$2</f>
        <v>327.89343884277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39" t="n">
        <f aca="false">(B619+C619)/2</f>
        <v>-0.125</v>
      </c>
      <c r="E619" s="15" t="n">
        <f aca="false">$C$2*(1+IF(E$3&lt;=$O$2,$D619,$D619-($D619-$I$616)*MIN(E$3-$O$2,$Q$2)/$Q$2))</f>
        <v>9240</v>
      </c>
      <c r="F619" s="15" t="n">
        <f aca="false">E619*(1+IF(F$3&lt;=$O$2,$D619,$D619-($D619-$I$616)*MIN(F$3-$O$2,$Q$2)/$Q$2))</f>
        <v>8085</v>
      </c>
      <c r="G619" s="15" t="n">
        <f aca="false">F619*(1+IF(G$3&lt;=$O$2,$D619,$D619-($D619-$I$616)*MIN(G$3-$O$2,$Q$2)/$Q$2))</f>
        <v>7074.375</v>
      </c>
      <c r="H619" s="15" t="n">
        <f aca="false">G619*(1+IF(H$3&lt;=$O$2,$D619,$D619-($D619-$I$616)*MIN(H$3-$O$2,$Q$2)/$Q$2))</f>
        <v>6190.078125</v>
      </c>
      <c r="I619" s="15" t="n">
        <f aca="false">H619*(1+IF(I$3&lt;=$O$2,$D619,$D619-($D619-$I$616)*MIN(I$3-$O$2,$Q$2)/$Q$2))</f>
        <v>5416.318359375</v>
      </c>
      <c r="J619" s="15" t="n">
        <f aca="false">I619*(1+IF(J$3&lt;=$O$2,$D619,$D619-($D619-$I$616)*MIN(J$3-$O$2,$Q$2)/$Q$2))</f>
        <v>4899.92656699219</v>
      </c>
      <c r="K619" s="15" t="n">
        <f aca="false">J619*(1+IF(K$3&lt;=$O$2,$D619,$D619-($D619-$I$616)*MIN(K$3-$O$2,$Q$2)/$Q$2))</f>
        <v>4578.09939007214</v>
      </c>
      <c r="L619" s="15" t="n">
        <f aca="false">K619*(1+IF(L$3&lt;=$O$2,$D619,$D619-($D619-$I$616)*MIN(L$3-$O$2,$Q$2)/$Q$2))</f>
        <v>4413.19625004174</v>
      </c>
      <c r="M619" s="15" t="n">
        <f aca="false">L619*(1+IF(M$3&lt;=$O$2,$D619,$D619-($D619-$I$616)*MIN(M$3-$O$2,$Q$2)/$Q$2))</f>
        <v>4385.12832189148</v>
      </c>
      <c r="N619" s="15" t="n">
        <f aca="false">M619*(1+IF(N$3&lt;=$O$2,$D619,$D619-($D619-$I$616)*MIN(N$3-$O$2,$Q$2)/$Q$2))</f>
        <v>4487.30181179155</v>
      </c>
      <c r="O619" s="15" t="n">
        <f aca="false">SUMPRODUCT(E619:N619,1/(1+$F$616)^$E$3:$N$3)*$E$2</f>
        <v>20136.1672897145</v>
      </c>
      <c r="P619" s="15" t="n">
        <f aca="false">N619*$E$2*(1+$I$616)/($F$616-$I$616)/(1+$F$616)^$N$3</f>
        <v>15495.4842897237</v>
      </c>
      <c r="Q619" s="15" t="n">
        <f aca="false">O619+P619</f>
        <v>35631.6515794382</v>
      </c>
      <c r="R619" s="15" t="n">
        <f aca="false">Q619-$G$2+$I$2</f>
        <v>16171.6515794382</v>
      </c>
      <c r="S619" s="40" t="n">
        <f aca="false">R619/$K$2</f>
        <v>28.806447531018</v>
      </c>
      <c r="T619" s="41" t="n">
        <f aca="false">S619-$M$2</f>
        <v>-127.003239139567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39" t="n">
        <f aca="false">(B620+C620)/2</f>
        <v>0.0625</v>
      </c>
      <c r="E620" s="15" t="n">
        <f aca="false">$C$2*(1+IF(E$3&lt;=$O$2,$D620,$D620-($D620-$I$616)*MIN(E$3-$O$2,$Q$2)/$Q$2))</f>
        <v>11220</v>
      </c>
      <c r="F620" s="15" t="n">
        <f aca="false">E620*(1+IF(F$3&lt;=$O$2,$D620,$D620-($D620-$I$616)*MIN(F$3-$O$2,$Q$2)/$Q$2))</f>
        <v>11921.25</v>
      </c>
      <c r="G620" s="15" t="n">
        <f aca="false">F620*(1+IF(G$3&lt;=$O$2,$D620,$D620-($D620-$I$616)*MIN(G$3-$O$2,$Q$2)/$Q$2))</f>
        <v>12666.328125</v>
      </c>
      <c r="H620" s="15" t="n">
        <f aca="false">G620*(1+IF(H$3&lt;=$O$2,$D620,$D620-($D620-$I$616)*MIN(H$3-$O$2,$Q$2)/$Q$2))</f>
        <v>13457.9736328125</v>
      </c>
      <c r="I620" s="15" t="n">
        <f aca="false">H620*(1+IF(I$3&lt;=$O$2,$D620,$D620-($D620-$I$616)*MIN(I$3-$O$2,$Q$2)/$Q$2))</f>
        <v>14299.0969848633</v>
      </c>
      <c r="J620" s="15" t="n">
        <f aca="false">I620*(1+IF(J$3&lt;=$O$2,$D620,$D620-($D620-$I$616)*MIN(J$3-$O$2,$Q$2)/$Q$2))</f>
        <v>15080.6856260559</v>
      </c>
      <c r="K620" s="15" t="n">
        <f aca="false">J620*(1+IF(K$3&lt;=$O$2,$D620,$D620-($D620-$I$616)*MIN(K$3-$O$2,$Q$2)/$Q$2))</f>
        <v>15786.7633270678</v>
      </c>
      <c r="L620" s="15" t="n">
        <f aca="false">K620*(1+IF(L$3&lt;=$O$2,$D620,$D620-($D620-$I$616)*MIN(L$3-$O$2,$Q$2)/$Q$2))</f>
        <v>16402.131361557</v>
      </c>
      <c r="M620" s="15" t="n">
        <f aca="false">L620*(1+IF(M$3&lt;=$O$2,$D620,$D620-($D620-$I$616)*MIN(M$3-$O$2,$Q$2)/$Q$2))</f>
        <v>16912.8937321558</v>
      </c>
      <c r="N620" s="15" t="n">
        <f aca="false">M620*(1+IF(N$3&lt;=$O$2,$D620,$D620-($D620-$I$616)*MIN(N$3-$O$2,$Q$2)/$Q$2))</f>
        <v>17306.9641561151</v>
      </c>
      <c r="O620" s="15" t="n">
        <f aca="false">SUMPRODUCT(E620:N620,1/(1+$F$616)^$E$3:$N$3)*$E$2</f>
        <v>45161.6499351903</v>
      </c>
      <c r="P620" s="15" t="n">
        <f aca="false">N620*$E$2*(1+$I$616)/($F$616-$I$616)/(1+$F$616)^$N$3</f>
        <v>59764.1528098646</v>
      </c>
      <c r="Q620" s="15" t="n">
        <f aca="false">O620+P620</f>
        <v>104925.802745055</v>
      </c>
      <c r="R620" s="15" t="n">
        <f aca="false">Q620-$G$2+$I$2</f>
        <v>85465.8027450549</v>
      </c>
      <c r="S620" s="40" t="n">
        <f aca="false">R620/$K$2</f>
        <v>152.239624405591</v>
      </c>
      <c r="T620" s="41" t="n">
        <f aca="false">S620-$M$2</f>
        <v>-3.57006226499422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39" t="n">
        <f aca="false">(B621+C621)/2</f>
        <v>0.15625</v>
      </c>
      <c r="E621" s="15" t="n">
        <f aca="false">$C$2*(1+IF(E$3&lt;=$O$2,$D621,$D621-($D621-$I$616)*MIN(E$3-$O$2,$Q$2)/$Q$2))</f>
        <v>12210</v>
      </c>
      <c r="F621" s="15" t="n">
        <f aca="false">E621*(1+IF(F$3&lt;=$O$2,$D621,$D621-($D621-$I$616)*MIN(F$3-$O$2,$Q$2)/$Q$2))</f>
        <v>14117.8125</v>
      </c>
      <c r="G621" s="15" t="n">
        <f aca="false">F621*(1+IF(G$3&lt;=$O$2,$D621,$D621-($D621-$I$616)*MIN(G$3-$O$2,$Q$2)/$Q$2))</f>
        <v>16323.720703125</v>
      </c>
      <c r="H621" s="15" t="n">
        <f aca="false">G621*(1+IF(H$3&lt;=$O$2,$D621,$D621-($D621-$I$616)*MIN(H$3-$O$2,$Q$2)/$Q$2))</f>
        <v>18874.3020629883</v>
      </c>
      <c r="I621" s="15" t="n">
        <f aca="false">H621*(1+IF(I$3&lt;=$O$2,$D621,$D621-($D621-$I$616)*MIN(I$3-$O$2,$Q$2)/$Q$2))</f>
        <v>21823.4117603302</v>
      </c>
      <c r="J621" s="15" t="n">
        <f aca="false">I621*(1+IF(J$3&lt;=$O$2,$D621,$D621-($D621-$I$616)*MIN(J$3-$O$2,$Q$2)/$Q$2))</f>
        <v>24653.0353291746</v>
      </c>
      <c r="K621" s="15" t="n">
        <f aca="false">J621*(1+IF(K$3&lt;=$O$2,$D621,$D621-($D621-$I$616)*MIN(K$3-$O$2,$Q$2)/$Q$2))</f>
        <v>27194.0236805526</v>
      </c>
      <c r="L621" s="15" t="n">
        <f aca="false">K621*(1+IF(L$3&lt;=$O$2,$D621,$D621-($D621-$I$616)*MIN(L$3-$O$2,$Q$2)/$Q$2))</f>
        <v>29273.8226116413</v>
      </c>
      <c r="M621" s="15" t="n">
        <f aca="false">L621*(1+IF(M$3&lt;=$O$2,$D621,$D621-($D621-$I$616)*MIN(M$3-$O$2,$Q$2)/$Q$2))</f>
        <v>30734.2936217361</v>
      </c>
      <c r="N621" s="15" t="n">
        <f aca="false">M621*(1+IF(N$3&lt;=$O$2,$D621,$D621-($D621-$I$616)*MIN(N$3-$O$2,$Q$2)/$Q$2))</f>
        <v>31450.4026631225</v>
      </c>
      <c r="O621" s="15" t="n">
        <f aca="false">SUMPRODUCT(E621:N621,1/(1+$F$616)^$E$3:$N$3)*$E$2</f>
        <v>67886.2170634809</v>
      </c>
      <c r="P621" s="15" t="n">
        <f aca="false">N621*$E$2*(1+$I$616)/($F$616-$I$616)/(1+$F$616)^$N$3</f>
        <v>108604.065608266</v>
      </c>
      <c r="Q621" s="15" t="n">
        <f aca="false">O621+P621</f>
        <v>176490.282671747</v>
      </c>
      <c r="R621" s="15" t="n">
        <f aca="false">Q621-$G$2+$I$2</f>
        <v>157030.282671747</v>
      </c>
      <c r="S621" s="40" t="n">
        <f aca="false">R621/$K$2</f>
        <v>279.716921697478</v>
      </c>
      <c r="T621" s="41" t="n">
        <f aca="false">S621-$M$2</f>
        <v>123.907235026892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39" t="n">
        <f aca="false">(B622+C622)/2</f>
        <v>0.109375</v>
      </c>
      <c r="E622" s="15" t="n">
        <f aca="false">$C$2*(1+IF(E$3&lt;=$O$2,$D622,$D622-($D622-$I$616)*MIN(E$3-$O$2,$Q$2)/$Q$2))</f>
        <v>11715</v>
      </c>
      <c r="F622" s="15" t="n">
        <f aca="false">E622*(1+IF(F$3&lt;=$O$2,$D622,$D622-($D622-$I$616)*MIN(F$3-$O$2,$Q$2)/$Q$2))</f>
        <v>12996.328125</v>
      </c>
      <c r="G622" s="15" t="n">
        <f aca="false">F622*(1+IF(G$3&lt;=$O$2,$D622,$D622-($D622-$I$616)*MIN(G$3-$O$2,$Q$2)/$Q$2))</f>
        <v>14417.8015136719</v>
      </c>
      <c r="H622" s="15" t="n">
        <f aca="false">G622*(1+IF(H$3&lt;=$O$2,$D622,$D622-($D622-$I$616)*MIN(H$3-$O$2,$Q$2)/$Q$2))</f>
        <v>15994.7485542297</v>
      </c>
      <c r="I622" s="15" t="n">
        <f aca="false">H622*(1+IF(I$3&lt;=$O$2,$D622,$D622-($D622-$I$616)*MIN(I$3-$O$2,$Q$2)/$Q$2))</f>
        <v>17744.1741773486</v>
      </c>
      <c r="J622" s="15" t="n">
        <f aca="false">I622*(1+IF(J$3&lt;=$O$2,$D622,$D622-($D622-$I$616)*MIN(J$3-$O$2,$Q$2)/$Q$2))</f>
        <v>19379.4772695331</v>
      </c>
      <c r="K622" s="15" t="n">
        <f aca="false">J622*(1+IF(K$3&lt;=$O$2,$D622,$D622-($D622-$I$616)*MIN(K$3-$O$2,$Q$2)/$Q$2))</f>
        <v>20831.8721934982</v>
      </c>
      <c r="L622" s="15" t="n">
        <f aca="false">K622*(1+IF(L$3&lt;=$O$2,$D622,$D622-($D622-$I$616)*MIN(L$3-$O$2,$Q$2)/$Q$2))</f>
        <v>22034.4961752289</v>
      </c>
      <c r="M622" s="15" t="n">
        <f aca="false">L622*(1+IF(M$3&lt;=$O$2,$D622,$D622-($D622-$I$616)*MIN(M$3-$O$2,$Q$2)/$Q$2))</f>
        <v>22927.2237877683</v>
      </c>
      <c r="N622" s="15" t="n">
        <f aca="false">M622*(1+IF(N$3&lt;=$O$2,$D622,$D622-($D622-$I$616)*MIN(N$3-$O$2,$Q$2)/$Q$2))</f>
        <v>23461.4281020233</v>
      </c>
      <c r="O622" s="15" t="n">
        <f aca="false">SUMPRODUCT(E622:N622,1/(1+$F$616)^$E$3:$N$3)*$E$2</f>
        <v>55381.1117065462</v>
      </c>
      <c r="P622" s="15" t="n">
        <f aca="false">N622*$E$2*(1+$I$616)/($F$616-$I$616)/(1+$F$616)^$N$3</f>
        <v>81016.6567388162</v>
      </c>
      <c r="Q622" s="15" t="n">
        <f aca="false">O622+P622</f>
        <v>136397.768445362</v>
      </c>
      <c r="R622" s="15" t="n">
        <f aca="false">Q622-$G$2+$I$2</f>
        <v>116937.768445362</v>
      </c>
      <c r="S622" s="40" t="n">
        <f aca="false">R622/$K$2</f>
        <v>208.300412271972</v>
      </c>
      <c r="T622" s="41" t="n">
        <f aca="false">S622-$M$2</f>
        <v>52.4907256013867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39" t="n">
        <f aca="false">(B623+C623)/2</f>
        <v>0.0859375</v>
      </c>
      <c r="E623" s="15" t="n">
        <f aca="false">$C$2*(1+IF(E$3&lt;=$O$2,$D623,$D623-($D623-$I$616)*MIN(E$3-$O$2,$Q$2)/$Q$2))</f>
        <v>11467.5</v>
      </c>
      <c r="F623" s="15" t="n">
        <f aca="false">E623*(1+IF(F$3&lt;=$O$2,$D623,$D623-($D623-$I$616)*MIN(F$3-$O$2,$Q$2)/$Q$2))</f>
        <v>12452.98828125</v>
      </c>
      <c r="G623" s="15" t="n">
        <f aca="false">F623*(1+IF(G$3&lt;=$O$2,$D623,$D623-($D623-$I$616)*MIN(G$3-$O$2,$Q$2)/$Q$2))</f>
        <v>13523.1669616699</v>
      </c>
      <c r="H623" s="15" t="n">
        <f aca="false">G623*(1+IF(H$3&lt;=$O$2,$D623,$D623-($D623-$I$616)*MIN(H$3-$O$2,$Q$2)/$Q$2))</f>
        <v>14685.3141224384</v>
      </c>
      <c r="I623" s="15" t="n">
        <f aca="false">H623*(1+IF(I$3&lt;=$O$2,$D623,$D623-($D623-$I$616)*MIN(I$3-$O$2,$Q$2)/$Q$2))</f>
        <v>15947.3333048355</v>
      </c>
      <c r="J623" s="15" t="n">
        <f aca="false">I623*(1+IF(J$3&lt;=$O$2,$D623,$D623-($D623-$I$616)*MIN(J$3-$O$2,$Q$2)/$Q$2))</f>
        <v>17118.0270427435</v>
      </c>
      <c r="K623" s="15" t="n">
        <f aca="false">J623*(1+IF(K$3&lt;=$O$2,$D623,$D623-($D623-$I$616)*MIN(K$3-$O$2,$Q$2)/$Q$2))</f>
        <v>18160.2153241733</v>
      </c>
      <c r="L623" s="15" t="n">
        <f aca="false">K623*(1+IF(L$3&lt;=$O$2,$D623,$D623-($D623-$I$616)*MIN(L$3-$O$2,$Q$2)/$Q$2))</f>
        <v>19038.3525361737</v>
      </c>
      <c r="M623" s="15" t="n">
        <f aca="false">L623*(1+IF(M$3&lt;=$O$2,$D623,$D623-($D623-$I$616)*MIN(M$3-$O$2,$Q$2)/$Q$2))</f>
        <v>19720.4491116634</v>
      </c>
      <c r="N623" s="15" t="n">
        <f aca="false">M623*(1+IF(N$3&lt;=$O$2,$D623,$D623-($D623-$I$616)*MIN(N$3-$O$2,$Q$2)/$Q$2))</f>
        <v>20179.9355759652</v>
      </c>
      <c r="O623" s="15" t="n">
        <f aca="false">SUMPRODUCT(E623:N623,1/(1+$F$616)^$E$3:$N$3)*$E$2</f>
        <v>50011.7416966978</v>
      </c>
      <c r="P623" s="15" t="n">
        <f aca="false">N623*$E$2*(1+$I$616)/($F$616-$I$616)/(1+$F$616)^$N$3</f>
        <v>69685.0552515346</v>
      </c>
      <c r="Q623" s="15" t="n">
        <f aca="false">O623+P623</f>
        <v>119696.796948232</v>
      </c>
      <c r="R623" s="15" t="n">
        <f aca="false">Q623-$G$2+$I$2</f>
        <v>100236.796948232</v>
      </c>
      <c r="S623" s="40" t="n">
        <f aca="false">R623/$K$2</f>
        <v>178.551090949665</v>
      </c>
      <c r="T623" s="41" t="n">
        <f aca="false">S623-$M$2</f>
        <v>22.7414042790794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0.0625</v>
      </c>
      <c r="C624" s="25" t="n">
        <f aca="false">IF(T623&gt;0,D623,C623)</f>
        <v>0.0859375</v>
      </c>
      <c r="D624" s="39" t="n">
        <f aca="false">(B624+C624)/2</f>
        <v>0.07421875</v>
      </c>
      <c r="E624" s="15" t="n">
        <f aca="false">$C$2*(1+IF(E$3&lt;=$O$2,$D624,$D624-($D624-$I$616)*MIN(E$3-$O$2,$Q$2)/$Q$2))</f>
        <v>11343.75</v>
      </c>
      <c r="F624" s="15" t="n">
        <f aca="false">E624*(1+IF(F$3&lt;=$O$2,$D624,$D624-($D624-$I$616)*MIN(F$3-$O$2,$Q$2)/$Q$2))</f>
        <v>12185.6689453125</v>
      </c>
      <c r="G624" s="15" t="n">
        <f aca="false">F624*(1+IF(G$3&lt;=$O$2,$D624,$D624-($D624-$I$616)*MIN(G$3-$O$2,$Q$2)/$Q$2))</f>
        <v>13090.0740623474</v>
      </c>
      <c r="H624" s="15" t="n">
        <f aca="false">G624*(1+IF(H$3&lt;=$O$2,$D624,$D624-($D624-$I$616)*MIN(H$3-$O$2,$Q$2)/$Q$2))</f>
        <v>14061.6029966623</v>
      </c>
      <c r="I624" s="15" t="n">
        <f aca="false">H624*(1+IF(I$3&lt;=$O$2,$D624,$D624-($D624-$I$616)*MIN(I$3-$O$2,$Q$2)/$Q$2))</f>
        <v>15105.2375940708</v>
      </c>
      <c r="J624" s="15" t="n">
        <f aca="false">I624*(1+IF(J$3&lt;=$O$2,$D624,$D624-($D624-$I$616)*MIN(J$3-$O$2,$Q$2)/$Q$2))</f>
        <v>16072.5014834071</v>
      </c>
      <c r="K624" s="15" t="n">
        <f aca="false">J624*(1+IF(K$3&lt;=$O$2,$D624,$D624-($D624-$I$616)*MIN(K$3-$O$2,$Q$2)/$Q$2))</f>
        <v>16938.0257789154</v>
      </c>
      <c r="L624" s="15" t="n">
        <f aca="false">K624*(1+IF(L$3&lt;=$O$2,$D624,$D624-($D624-$I$616)*MIN(L$3-$O$2,$Q$2)/$Q$2))</f>
        <v>17677.6670196162</v>
      </c>
      <c r="M624" s="15" t="n">
        <f aca="false">L624*(1+IF(M$3&lt;=$O$2,$D624,$D624-($D624-$I$616)*MIN(M$3-$O$2,$Q$2)/$Q$2))</f>
        <v>18269.5816026843</v>
      </c>
      <c r="N624" s="15" t="n">
        <f aca="false">M624*(1+IF(N$3&lt;=$O$2,$D624,$D624-($D624-$I$616)*MIN(N$3-$O$2,$Q$2)/$Q$2))</f>
        <v>18695.2628540268</v>
      </c>
      <c r="O624" s="15" t="n">
        <f aca="false">SUMPRODUCT(E624:N624,1/(1+$F$616)^$E$3:$N$3)*$E$2</f>
        <v>47524.8173912645</v>
      </c>
      <c r="P624" s="15" t="n">
        <f aca="false">N624*$E$2*(1+$I$616)/($F$616-$I$616)/(1+$F$616)^$N$3</f>
        <v>64558.205353067</v>
      </c>
      <c r="Q624" s="15" t="n">
        <f aca="false">O624+P624</f>
        <v>112083.022744331</v>
      </c>
      <c r="R624" s="15" t="n">
        <f aca="false">Q624-$G$2+$I$2</f>
        <v>92623.0227443314</v>
      </c>
      <c r="S624" s="40" t="n">
        <f aca="false">R624/$K$2</f>
        <v>164.988729304639</v>
      </c>
      <c r="T624" s="41" t="n">
        <f aca="false">S624-$M$2</f>
        <v>9.17904263405373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0.0625</v>
      </c>
      <c r="C625" s="25" t="n">
        <f aca="false">IF(T624&gt;0,D624,C624)</f>
        <v>0.07421875</v>
      </c>
      <c r="D625" s="39" t="n">
        <f aca="false">(B625+C625)/2</f>
        <v>0.068359375</v>
      </c>
      <c r="E625" s="15" t="n">
        <f aca="false">$C$2*(1+IF(E$3&lt;=$O$2,$D625,$D625-($D625-$I$616)*MIN(E$3-$O$2,$Q$2)/$Q$2))</f>
        <v>11281.875</v>
      </c>
      <c r="F625" s="15" t="n">
        <f aca="false">E625*(1+IF(F$3&lt;=$O$2,$D625,$D625-($D625-$I$616)*MIN(F$3-$O$2,$Q$2)/$Q$2))</f>
        <v>12053.0969238281</v>
      </c>
      <c r="G625" s="15" t="n">
        <f aca="false">F625*(1+IF(G$3&lt;=$O$2,$D625,$D625-($D625-$I$616)*MIN(G$3-$O$2,$Q$2)/$Q$2))</f>
        <v>12877.0390963554</v>
      </c>
      <c r="H625" s="15" t="n">
        <f aca="false">G625*(1+IF(H$3&lt;=$O$2,$D625,$D625-($D625-$I$616)*MIN(H$3-$O$2,$Q$2)/$Q$2))</f>
        <v>13757.3054408329</v>
      </c>
      <c r="I625" s="15" t="n">
        <f aca="false">H625*(1+IF(I$3&lt;=$O$2,$D625,$D625-($D625-$I$616)*MIN(I$3-$O$2,$Q$2)/$Q$2))</f>
        <v>14697.7462424523</v>
      </c>
      <c r="J625" s="15" t="n">
        <f aca="false">I625*(1+IF(J$3&lt;=$O$2,$D625,$D625-($D625-$I$616)*MIN(J$3-$O$2,$Q$2)/$Q$2))</f>
        <v>15570.0207375762</v>
      </c>
      <c r="K625" s="15" t="n">
        <f aca="false">J625*(1+IF(K$3&lt;=$O$2,$D625,$D625-($D625-$I$616)*MIN(K$3-$O$2,$Q$2)/$Q$2))</f>
        <v>16353.7474626651</v>
      </c>
      <c r="L625" s="15" t="n">
        <f aca="false">K625*(1+IF(L$3&lt;=$O$2,$D625,$D625-($D625-$I$616)*MIN(L$3-$O$2,$Q$2)/$Q$2))</f>
        <v>17029.5456343754</v>
      </c>
      <c r="M625" s="15" t="n">
        <f aca="false">L625*(1+IF(M$3&lt;=$O$2,$D625,$D625-($D625-$I$616)*MIN(M$3-$O$2,$Q$2)/$Q$2))</f>
        <v>17579.8021842201</v>
      </c>
      <c r="N625" s="15" t="n">
        <f aca="false">M625*(1+IF(N$3&lt;=$O$2,$D625,$D625-($D625-$I$616)*MIN(N$3-$O$2,$Q$2)/$Q$2))</f>
        <v>17989.4115751125</v>
      </c>
      <c r="O625" s="15" t="n">
        <f aca="false">SUMPRODUCT(E625:N625,1/(1+$F$616)^$E$3:$N$3)*$E$2</f>
        <v>46328.1294979854</v>
      </c>
      <c r="P625" s="15" t="n">
        <f aca="false">N625*$E$2*(1+$I$616)/($F$616-$I$616)/(1+$F$616)^$N$3</f>
        <v>62120.7701498992</v>
      </c>
      <c r="Q625" s="15" t="n">
        <f aca="false">O625+P625</f>
        <v>108448.899647885</v>
      </c>
      <c r="R625" s="15" t="n">
        <f aca="false">Q625-$G$2+$I$2</f>
        <v>88988.8996478846</v>
      </c>
      <c r="S625" s="40" t="n">
        <f aca="false">R625/$K$2</f>
        <v>158.515291772003</v>
      </c>
      <c r="T625" s="41" t="n">
        <f aca="false">S625-$M$2</f>
        <v>2.70560510141726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0.0625</v>
      </c>
      <c r="C626" s="25" t="n">
        <f aca="false">IF(T625&gt;0,D625,C625)</f>
        <v>0.068359375</v>
      </c>
      <c r="D626" s="39" t="n">
        <f aca="false">(B626+C626)/2</f>
        <v>0.0654296875</v>
      </c>
      <c r="E626" s="15" t="n">
        <f aca="false">$C$2*(1+IF(E$3&lt;=$O$2,$D626,$D626-($D626-$I$616)*MIN(E$3-$O$2,$Q$2)/$Q$2))</f>
        <v>11250.9375</v>
      </c>
      <c r="F626" s="15" t="n">
        <f aca="false">E626*(1+IF(F$3&lt;=$O$2,$D626,$D626-($D626-$I$616)*MIN(F$3-$O$2,$Q$2)/$Q$2))</f>
        <v>11987.082824707</v>
      </c>
      <c r="G626" s="15" t="n">
        <f aca="false">F626*(1+IF(G$3&lt;=$O$2,$D626,$D626-($D626-$I$616)*MIN(G$3-$O$2,$Q$2)/$Q$2))</f>
        <v>12771.3939079642</v>
      </c>
      <c r="H626" s="15" t="n">
        <f aca="false">G626*(1+IF(H$3&lt;=$O$2,$D626,$D626-($D626-$I$616)*MIN(H$3-$O$2,$Q$2)/$Q$2))</f>
        <v>13607.0222203017</v>
      </c>
      <c r="I626" s="15" t="n">
        <f aca="false">H626*(1+IF(I$3&lt;=$O$2,$D626,$D626-($D626-$I$616)*MIN(I$3-$O$2,$Q$2)/$Q$2))</f>
        <v>14497.3254319816</v>
      </c>
      <c r="J626" s="15" t="n">
        <f aca="false">I626*(1+IF(J$3&lt;=$O$2,$D626,$D626-($D626-$I$616)*MIN(J$3-$O$2,$Q$2)/$Q$2))</f>
        <v>15323.727346575</v>
      </c>
      <c r="K626" s="15" t="n">
        <f aca="false">J626*(1+IF(K$3&lt;=$O$2,$D626,$D626-($D626-$I$616)*MIN(K$3-$O$2,$Q$2)/$Q$2))</f>
        <v>16068.120500418</v>
      </c>
      <c r="L626" s="15" t="n">
        <f aca="false">K626*(1+IF(L$3&lt;=$O$2,$D626,$D626-($D626-$I$616)*MIN(L$3-$O$2,$Q$2)/$Q$2))</f>
        <v>16713.2856662357</v>
      </c>
      <c r="M626" s="15" t="n">
        <f aca="false">L626*(1+IF(M$3&lt;=$O$2,$D626,$D626-($D626-$I$616)*MIN(M$3-$O$2,$Q$2)/$Q$2))</f>
        <v>17243.5303227024</v>
      </c>
      <c r="N626" s="15" t="n">
        <f aca="false">M626*(1+IF(N$3&lt;=$O$2,$D626,$D626-($D626-$I$616)*MIN(N$3-$O$2,$Q$2)/$Q$2))</f>
        <v>17645.3045792213</v>
      </c>
      <c r="O626" s="15" t="n">
        <f aca="false">SUMPRODUCT(E626:N626,1/(1+$F$616)^$E$3:$N$3)*$E$2</f>
        <v>45741.158534263</v>
      </c>
      <c r="P626" s="15" t="n">
        <f aca="false">N626*$E$2*(1+$I$616)/($F$616-$I$616)/(1+$F$616)^$N$3</f>
        <v>60932.5049579294</v>
      </c>
      <c r="Q626" s="15" t="n">
        <f aca="false">O626+P626</f>
        <v>106673.663492192</v>
      </c>
      <c r="R626" s="15" t="n">
        <f aca="false">Q626-$G$2+$I$2</f>
        <v>87213.6634921924</v>
      </c>
      <c r="S626" s="40" t="n">
        <f aca="false">R626/$K$2</f>
        <v>155.353076278866</v>
      </c>
      <c r="T626" s="41" t="n">
        <f aca="false">S626-$M$2</f>
        <v>-0.456610391719806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0.0654296875</v>
      </c>
      <c r="C627" s="25" t="n">
        <f aca="false">IF(T626&gt;0,D626,C626)</f>
        <v>0.068359375</v>
      </c>
      <c r="D627" s="39" t="n">
        <f aca="false">(B627+C627)/2</f>
        <v>0.06689453125</v>
      </c>
      <c r="E627" s="15" t="n">
        <f aca="false">$C$2*(1+IF(E$3&lt;=$O$2,$D627,$D627-($D627-$I$616)*MIN(E$3-$O$2,$Q$2)/$Q$2))</f>
        <v>11266.40625</v>
      </c>
      <c r="F627" s="15" t="n">
        <f aca="false">E627*(1+IF(F$3&lt;=$O$2,$D627,$D627-($D627-$I$616)*MIN(F$3-$O$2,$Q$2)/$Q$2))</f>
        <v>12020.0672149658</v>
      </c>
      <c r="G627" s="15" t="n">
        <f aca="false">F627*(1+IF(G$3&lt;=$O$2,$D627,$D627-($D627-$I$616)*MIN(G$3-$O$2,$Q$2)/$Q$2))</f>
        <v>12824.1439769045</v>
      </c>
      <c r="H627" s="15" t="n">
        <f aca="false">G627*(1+IF(H$3&lt;=$O$2,$D627,$D627-($D627-$I$616)*MIN(H$3-$O$2,$Q$2)/$Q$2))</f>
        <v>13682.009076922</v>
      </c>
      <c r="I627" s="15" t="n">
        <f aca="false">H627*(1+IF(I$3&lt;=$O$2,$D627,$D627-($D627-$I$616)*MIN(I$3-$O$2,$Q$2)/$Q$2))</f>
        <v>14597.2606606809</v>
      </c>
      <c r="J627" s="15" t="n">
        <f aca="false">I627*(1+IF(J$3&lt;=$O$2,$D627,$D627-($D627-$I$616)*MIN(J$3-$O$2,$Q$2)/$Q$2))</f>
        <v>15446.465422904</v>
      </c>
      <c r="K627" s="15" t="n">
        <f aca="false">J627*(1+IF(K$3&lt;=$O$2,$D627,$D627-($D627-$I$616)*MIN(K$3-$O$2,$Q$2)/$Q$2))</f>
        <v>16210.3969190061</v>
      </c>
      <c r="L627" s="15" t="n">
        <f aca="false">K627*(1+IF(L$3&lt;=$O$2,$D627,$D627-($D627-$I$616)*MIN(L$3-$O$2,$Q$2)/$Q$2))</f>
        <v>16870.7730292432</v>
      </c>
      <c r="M627" s="15" t="n">
        <f aca="false">L627*(1+IF(M$3&lt;=$O$2,$D627,$D627-($D627-$I$616)*MIN(M$3-$O$2,$Q$2)/$Q$2))</f>
        <v>17410.9567292315</v>
      </c>
      <c r="N627" s="15" t="n">
        <f aca="false">M627*(1+IF(N$3&lt;=$O$2,$D627,$D627-($D627-$I$616)*MIN(N$3-$O$2,$Q$2)/$Q$2))</f>
        <v>17816.6320210226</v>
      </c>
      <c r="O627" s="15" t="n">
        <f aca="false">SUMPRODUCT(E627:N627,1/(1+$F$616)^$E$3:$N$3)*$E$2</f>
        <v>46033.7056494223</v>
      </c>
      <c r="P627" s="15" t="n">
        <f aca="false">N627*$E$2*(1+$I$616)/($F$616-$I$616)/(1+$F$616)^$N$3</f>
        <v>61524.1303475687</v>
      </c>
      <c r="Q627" s="15" t="n">
        <f aca="false">O627+P627</f>
        <v>107557.835996991</v>
      </c>
      <c r="R627" s="15" t="n">
        <f aca="false">Q627-$G$2+$I$2</f>
        <v>88097.835996991</v>
      </c>
      <c r="S627" s="40" t="n">
        <f aca="false">R627/$K$2</f>
        <v>156.928046450758</v>
      </c>
      <c r="T627" s="41" t="n">
        <f aca="false">S627-$M$2</f>
        <v>1.1183597801724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0.0654296875</v>
      </c>
      <c r="C628" s="25" t="n">
        <f aca="false">IF(T627&gt;0,D627,C627)</f>
        <v>0.06689453125</v>
      </c>
      <c r="D628" s="39" t="n">
        <f aca="false">(B628+C628)/2</f>
        <v>0.066162109375</v>
      </c>
      <c r="E628" s="15" t="n">
        <f aca="false">$C$2*(1+IF(E$3&lt;=$O$2,$D628,$D628-($D628-$I$616)*MIN(E$3-$O$2,$Q$2)/$Q$2))</f>
        <v>11258.671875</v>
      </c>
      <c r="F628" s="15" t="n">
        <f aca="false">E628*(1+IF(F$3&lt;=$O$2,$D628,$D628-($D628-$I$616)*MIN(F$3-$O$2,$Q$2)/$Q$2))</f>
        <v>12003.569355011</v>
      </c>
      <c r="G628" s="15" t="n">
        <f aca="false">F628*(1+IF(G$3&lt;=$O$2,$D628,$D628-($D628-$I$616)*MIN(G$3-$O$2,$Q$2)/$Q$2))</f>
        <v>12797.7508235676</v>
      </c>
      <c r="H628" s="15" t="n">
        <f aca="false">G628*(1+IF(H$3&lt;=$O$2,$D628,$D628-($D628-$I$616)*MIN(H$3-$O$2,$Q$2)/$Q$2))</f>
        <v>13644.4770133105</v>
      </c>
      <c r="I628" s="15" t="n">
        <f aca="false">H628*(1+IF(I$3&lt;=$O$2,$D628,$D628-($D628-$I$616)*MIN(I$3-$O$2,$Q$2)/$Q$2))</f>
        <v>14547.2243938298</v>
      </c>
      <c r="J628" s="15" t="n">
        <f aca="false">I628*(1+IF(J$3&lt;=$O$2,$D628,$D628-($D628-$I$616)*MIN(J$3-$O$2,$Q$2)/$Q$2))</f>
        <v>15384.9945006629</v>
      </c>
      <c r="K628" s="15" t="n">
        <f aca="false">J628*(1+IF(K$3&lt;=$O$2,$D628,$D628-($D628-$I$616)*MIN(K$3-$O$2,$Q$2)/$Q$2))</f>
        <v>16139.124862741</v>
      </c>
      <c r="L628" s="15" t="n">
        <f aca="false">K628*(1+IF(L$3&lt;=$O$2,$D628,$D628-($D628-$I$616)*MIN(L$3-$O$2,$Q$2)/$Q$2))</f>
        <v>16791.8692460763</v>
      </c>
      <c r="M628" s="15" t="n">
        <f aca="false">L628*(1+IF(M$3&lt;=$O$2,$D628,$D628-($D628-$I$616)*MIN(M$3-$O$2,$Q$2)/$Q$2))</f>
        <v>17327.0667867571</v>
      </c>
      <c r="N628" s="15" t="n">
        <f aca="false">M628*(1+IF(N$3&lt;=$O$2,$D628,$D628-($D628-$I$616)*MIN(N$3-$O$2,$Q$2)/$Q$2))</f>
        <v>17730.7874428885</v>
      </c>
      <c r="O628" s="15" t="n">
        <f aca="false">SUMPRODUCT(E628:N628,1/(1+$F$616)^$E$3:$N$3)*$E$2</f>
        <v>45887.1981988124</v>
      </c>
      <c r="P628" s="15" t="n">
        <f aca="false">N628*$E$2*(1+$I$616)/($F$616-$I$616)/(1+$F$616)^$N$3</f>
        <v>61227.6931192238</v>
      </c>
      <c r="Q628" s="15" t="n">
        <f aca="false">O628+P628</f>
        <v>107114.891318036</v>
      </c>
      <c r="R628" s="15" t="n">
        <f aca="false">Q628-$G$2+$I$2</f>
        <v>87654.8913180362</v>
      </c>
      <c r="S628" s="40" t="n">
        <f aca="false">R628/$K$2</f>
        <v>156.139032255716</v>
      </c>
      <c r="T628" s="41" t="n">
        <f aca="false">S628-$M$2</f>
        <v>0.329345585130113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0.0654296875</v>
      </c>
      <c r="C629" s="25" t="n">
        <f aca="false">IF(T628&gt;0,D628,C628)</f>
        <v>0.066162109375</v>
      </c>
      <c r="D629" s="39" t="n">
        <f aca="false">(B629+C629)/2</f>
        <v>0.0657958984375</v>
      </c>
      <c r="E629" s="15" t="n">
        <f aca="false">$C$2*(1+IF(E$3&lt;=$O$2,$D629,$D629-($D629-$I$616)*MIN(E$3-$O$2,$Q$2)/$Q$2))</f>
        <v>11254.8046875</v>
      </c>
      <c r="F629" s="15" t="n">
        <f aca="false">E629*(1+IF(F$3&lt;=$O$2,$D629,$D629-($D629-$I$616)*MIN(F$3-$O$2,$Q$2)/$Q$2))</f>
        <v>11995.3246736526</v>
      </c>
      <c r="G629" s="15" t="n">
        <f aca="false">F629*(1+IF(G$3&lt;=$O$2,$D629,$D629-($D629-$I$616)*MIN(G$3-$O$2,$Q$2)/$Q$2))</f>
        <v>12784.5678376051</v>
      </c>
      <c r="H629" s="15" t="n">
        <f aca="false">G629*(1+IF(H$3&lt;=$O$2,$D629,$D629-($D629-$I$616)*MIN(H$3-$O$2,$Q$2)/$Q$2))</f>
        <v>13625.7399646155</v>
      </c>
      <c r="I629" s="15" t="n">
        <f aca="false">H629*(1+IF(I$3&lt;=$O$2,$D629,$D629-($D629-$I$616)*MIN(I$3-$O$2,$Q$2)/$Q$2))</f>
        <v>14522.2577674632</v>
      </c>
      <c r="J629" s="15" t="n">
        <f aca="false">I629*(1+IF(J$3&lt;=$O$2,$D629,$D629-($D629-$I$616)*MIN(J$3-$O$2,$Q$2)/$Q$2))</f>
        <v>15354.3354863805</v>
      </c>
      <c r="K629" s="15" t="n">
        <f aca="false">J629*(1+IF(K$3&lt;=$O$2,$D629,$D629-($D629-$I$616)*MIN(K$3-$O$2,$Q$2)/$Q$2))</f>
        <v>16103.5892720559</v>
      </c>
      <c r="L629" s="15" t="n">
        <f aca="false">K629*(1+IF(L$3&lt;=$O$2,$D629,$D629-($D629-$I$616)*MIN(L$3-$O$2,$Q$2)/$Q$2))</f>
        <v>16752.5374997686</v>
      </c>
      <c r="M629" s="15" t="n">
        <f aca="false">L629*(1+IF(M$3&lt;=$O$2,$D629,$D629-($D629-$I$616)*MIN(M$3-$O$2,$Q$2)/$Q$2))</f>
        <v>17285.2544499453</v>
      </c>
      <c r="N629" s="15" t="n">
        <f aca="false">M629*(1+IF(N$3&lt;=$O$2,$D629,$D629-($D629-$I$616)*MIN(N$3-$O$2,$Q$2)/$Q$2))</f>
        <v>17688.000878629</v>
      </c>
      <c r="O629" s="15" t="n">
        <f aca="false">SUMPRODUCT(E629:N629,1/(1+$F$616)^$E$3:$N$3)*$E$2</f>
        <v>45814.1199804131</v>
      </c>
      <c r="P629" s="15" t="n">
        <f aca="false">N629*$E$2*(1+$I$616)/($F$616-$I$616)/(1+$F$616)^$N$3</f>
        <v>61079.9431879506</v>
      </c>
      <c r="Q629" s="15" t="n">
        <f aca="false">O629+P629</f>
        <v>106894.063168364</v>
      </c>
      <c r="R629" s="15" t="n">
        <f aca="false">Q629-$G$2+$I$2</f>
        <v>87434.0631683637</v>
      </c>
      <c r="S629" s="40" t="n">
        <f aca="false">R629/$K$2</f>
        <v>155.745672648896</v>
      </c>
      <c r="T629" s="41" t="n">
        <f aca="false">S629-$M$2</f>
        <v>-0.0640140216896441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0.0657958984375</v>
      </c>
      <c r="C630" s="25" t="n">
        <f aca="false">IF(T629&gt;0,D629,C629)</f>
        <v>0.066162109375</v>
      </c>
      <c r="D630" s="39" t="n">
        <f aca="false">(B630+C630)/2</f>
        <v>0.06597900390625</v>
      </c>
      <c r="E630" s="15" t="n">
        <f aca="false">$C$2*(1+IF(E$3&lt;=$O$2,$D630,$D630-($D630-$I$616)*MIN(E$3-$O$2,$Q$2)/$Q$2))</f>
        <v>11256.73828125</v>
      </c>
      <c r="F630" s="15" t="n">
        <f aca="false">E630*(1+IF(F$3&lt;=$O$2,$D630,$D630-($D630-$I$616)*MIN(F$3-$O$2,$Q$2)/$Q$2))</f>
        <v>11999.4466602802</v>
      </c>
      <c r="G630" s="15" t="n">
        <f aca="false">F630*(1+IF(G$3&lt;=$O$2,$D630,$D630-($D630-$I$616)*MIN(G$3-$O$2,$Q$2)/$Q$2))</f>
        <v>12791.1581983517</v>
      </c>
      <c r="H630" s="15" t="n">
        <f aca="false">G630*(1+IF(H$3&lt;=$O$2,$D630,$D630-($D630-$I$616)*MIN(H$3-$O$2,$Q$2)/$Q$2))</f>
        <v>13635.1060750862</v>
      </c>
      <c r="I630" s="15" t="n">
        <f aca="false">H630*(1+IF(I$3&lt;=$O$2,$D630,$D630-($D630-$I$616)*MIN(I$3-$O$2,$Q$2)/$Q$2))</f>
        <v>14534.7367920765</v>
      </c>
      <c r="J630" s="15" t="n">
        <f aca="false">I630*(1+IF(J$3&lt;=$O$2,$D630,$D630-($D630-$I$616)*MIN(J$3-$O$2,$Q$2)/$Q$2))</f>
        <v>15369.6586299921</v>
      </c>
      <c r="K630" s="15" t="n">
        <f aca="false">J630*(1+IF(K$3&lt;=$O$2,$D630,$D630-($D630-$I$616)*MIN(K$3-$O$2,$Q$2)/$Q$2))</f>
        <v>16121.3487084952</v>
      </c>
      <c r="L630" s="15" t="n">
        <f aca="false">K630*(1+IF(L$3&lt;=$O$2,$D630,$D630-($D630-$I$616)*MIN(L$3-$O$2,$Q$2)/$Q$2))</f>
        <v>16772.1933752047</v>
      </c>
      <c r="M630" s="15" t="n">
        <f aca="false">L630*(1+IF(M$3&lt;=$O$2,$D630,$D630-($D630-$I$616)*MIN(M$3-$O$2,$Q$2)/$Q$2))</f>
        <v>17306.1495821623</v>
      </c>
      <c r="N630" s="15" t="n">
        <f aca="false">M630*(1+IF(N$3&lt;=$O$2,$D630,$D630-($D630-$I$616)*MIN(N$3-$O$2,$Q$2)/$Q$2))</f>
        <v>17709.3828674267</v>
      </c>
      <c r="O630" s="15" t="n">
        <f aca="false">SUMPRODUCT(E630:N630,1/(1+$F$616)^$E$3:$N$3)*$E$2</f>
        <v>45850.6444821988</v>
      </c>
      <c r="P630" s="15" t="n">
        <f aca="false">N630*$E$2*(1+$I$616)/($F$616-$I$616)/(1+$F$616)^$N$3</f>
        <v>61153.7791556198</v>
      </c>
      <c r="Q630" s="15" t="n">
        <f aca="false">O630+P630</f>
        <v>107004.423637819</v>
      </c>
      <c r="R630" s="15" t="n">
        <f aca="false">Q630-$G$2+$I$2</f>
        <v>87544.4236378186</v>
      </c>
      <c r="S630" s="40" t="n">
        <f aca="false">R630/$K$2</f>
        <v>155.942256965423</v>
      </c>
      <c r="T630" s="41" t="n">
        <f aca="false">S630-$M$2</f>
        <v>0.132570294837137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0.0657958984375</v>
      </c>
      <c r="C631" s="25" t="n">
        <f aca="false">IF(T630&gt;0,D630,C630)</f>
        <v>0.06597900390625</v>
      </c>
      <c r="D631" s="39" t="n">
        <f aca="false">(B631+C631)/2</f>
        <v>0.065887451171875</v>
      </c>
      <c r="E631" s="15" t="n">
        <f aca="false">$C$2*(1+IF(E$3&lt;=$O$2,$D631,$D631-($D631-$I$616)*MIN(E$3-$O$2,$Q$2)/$Q$2))</f>
        <v>11255.771484375</v>
      </c>
      <c r="F631" s="15" t="n">
        <f aca="false">E631*(1+IF(F$3&lt;=$O$2,$D631,$D631-($D631-$I$616)*MIN(F$3-$O$2,$Q$2)/$Q$2))</f>
        <v>11997.3855784535</v>
      </c>
      <c r="G631" s="15" t="n">
        <f aca="false">F631*(1+IF(G$3&lt;=$O$2,$D631,$D631-($D631-$I$616)*MIN(G$3-$O$2,$Q$2)/$Q$2))</f>
        <v>12787.8627349441</v>
      </c>
      <c r="H631" s="15" t="n">
        <f aca="false">G631*(1+IF(H$3&lt;=$O$2,$D631,$D631-($D631-$I$616)*MIN(H$3-$O$2,$Q$2)/$Q$2))</f>
        <v>13630.4224164853</v>
      </c>
      <c r="I631" s="15" t="n">
        <f aca="false">H631*(1+IF(I$3&lt;=$O$2,$D631,$D631-($D631-$I$616)*MIN(I$3-$O$2,$Q$2)/$Q$2))</f>
        <v>14528.4962079035</v>
      </c>
      <c r="J631" s="15" t="n">
        <f aca="false">I631*(1+IF(J$3&lt;=$O$2,$D631,$D631-($D631-$I$616)*MIN(J$3-$O$2,$Q$2)/$Q$2))</f>
        <v>15361.9954678316</v>
      </c>
      <c r="K631" s="15" t="n">
        <f aca="false">J631*(1+IF(K$3&lt;=$O$2,$D631,$D631-($D631-$I$616)*MIN(K$3-$O$2,$Q$2)/$Q$2))</f>
        <v>16112.4669013654</v>
      </c>
      <c r="L631" s="15" t="n">
        <f aca="false">K631*(1+IF(L$3&lt;=$O$2,$D631,$D631-($D631-$I$616)*MIN(L$3-$O$2,$Q$2)/$Q$2))</f>
        <v>16762.3629391353</v>
      </c>
      <c r="M631" s="15" t="n">
        <f aca="false">L631*(1+IF(M$3&lt;=$O$2,$D631,$D631-($D631-$I$616)*MIN(M$3-$O$2,$Q$2)/$Q$2))</f>
        <v>17295.6992582563</v>
      </c>
      <c r="N631" s="15" t="n">
        <f aca="false">M631*(1+IF(N$3&lt;=$O$2,$D631,$D631-($D631-$I$616)*MIN(N$3-$O$2,$Q$2)/$Q$2))</f>
        <v>17698.6890509737</v>
      </c>
      <c r="O631" s="15" t="n">
        <f aca="false">SUMPRODUCT(E631:N631,1/(1+$F$616)^$E$3:$N$3)*$E$2</f>
        <v>45832.3785808134</v>
      </c>
      <c r="P631" s="15" t="n">
        <f aca="false">N631*$E$2*(1+$I$616)/($F$616-$I$616)/(1+$F$616)^$N$3</f>
        <v>61116.8514267093</v>
      </c>
      <c r="Q631" s="15" t="n">
        <f aca="false">O631+P631</f>
        <v>106949.230007523</v>
      </c>
      <c r="R631" s="15" t="n">
        <f aca="false">Q631-$G$2+$I$2</f>
        <v>87489.2300075227</v>
      </c>
      <c r="S631" s="40" t="n">
        <f aca="false">R631/$K$2</f>
        <v>155.843940945729</v>
      </c>
      <c r="T631" s="41" t="n">
        <f aca="false">S631-$M$2</f>
        <v>0.0342542751432404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0.0657958984375</v>
      </c>
      <c r="C632" s="25" t="n">
        <f aca="false">IF(T631&gt;0,D631,C631)</f>
        <v>0.065887451171875</v>
      </c>
      <c r="D632" s="39" t="n">
        <f aca="false">(B632+C632)/2</f>
        <v>0.0658416748046875</v>
      </c>
      <c r="E632" s="15" t="n">
        <f aca="false">$C$2*(1+IF(E$3&lt;=$O$2,$D632,$D632-($D632-$I$616)*MIN(E$3-$O$2,$Q$2)/$Q$2))</f>
        <v>11255.2880859375</v>
      </c>
      <c r="F632" s="15" t="n">
        <f aca="false">E632*(1+IF(F$3&lt;=$O$2,$D632,$D632-($D632-$I$616)*MIN(F$3-$O$2,$Q$2)/$Q$2))</f>
        <v>11996.3551039249</v>
      </c>
      <c r="G632" s="15" t="n">
        <f aca="false">F632*(1+IF(G$3&lt;=$O$2,$D632,$D632-($D632-$I$616)*MIN(G$3-$O$2,$Q$2)/$Q$2))</f>
        <v>12786.215215519</v>
      </c>
      <c r="H632" s="15" t="n">
        <f aca="false">G632*(1+IF(H$3&lt;=$O$2,$D632,$D632-($D632-$I$616)*MIN(H$3-$O$2,$Q$2)/$Q$2))</f>
        <v>13628.081039722</v>
      </c>
      <c r="I632" s="15" t="n">
        <f aca="false">H632*(1+IF(I$3&lt;=$O$2,$D632,$D632-($D632-$I$616)*MIN(I$3-$O$2,$Q$2)/$Q$2))</f>
        <v>14525.3767197513</v>
      </c>
      <c r="J632" s="15" t="n">
        <f aca="false">I632*(1+IF(J$3&lt;=$O$2,$D632,$D632-($D632-$I$616)*MIN(J$3-$O$2,$Q$2)/$Q$2))</f>
        <v>15358.1650795833</v>
      </c>
      <c r="K632" s="15" t="n">
        <f aca="false">J632*(1+IF(K$3&lt;=$O$2,$D632,$D632-($D632-$I$616)*MIN(K$3-$O$2,$Q$2)/$Q$2))</f>
        <v>16108.027564585</v>
      </c>
      <c r="L632" s="15" t="n">
        <f aca="false">K632*(1+IF(L$3&lt;=$O$2,$D632,$D632-($D632-$I$616)*MIN(L$3-$O$2,$Q$2)/$Q$2))</f>
        <v>16757.4495949988</v>
      </c>
      <c r="M632" s="15" t="n">
        <f aca="false">L632*(1+IF(M$3&lt;=$O$2,$D632,$D632-($D632-$I$616)*MIN(M$3-$O$2,$Q$2)/$Q$2))</f>
        <v>17290.4761648076</v>
      </c>
      <c r="N632" s="15" t="n">
        <f aca="false">M632*(1+IF(N$3&lt;=$O$2,$D632,$D632-($D632-$I$616)*MIN(N$3-$O$2,$Q$2)/$Q$2))</f>
        <v>17693.3442594476</v>
      </c>
      <c r="O632" s="15" t="n">
        <f aca="false">SUMPRODUCT(E632:N632,1/(1+$F$616)^$E$3:$N$3)*$E$2</f>
        <v>45823.2483681601</v>
      </c>
      <c r="P632" s="15" t="n">
        <f aca="false">N632*$E$2*(1+$I$616)/($F$616-$I$616)/(1+$F$616)^$N$3</f>
        <v>61098.3948716128</v>
      </c>
      <c r="Q632" s="15" t="n">
        <f aca="false">O632+P632</f>
        <v>106921.643239773</v>
      </c>
      <c r="R632" s="15" t="n">
        <f aca="false">Q632-$G$2+$I$2</f>
        <v>87461.6432397729</v>
      </c>
      <c r="S632" s="40" t="n">
        <f aca="false">R632/$K$2</f>
        <v>155.794800833241</v>
      </c>
      <c r="T632" s="41" t="n">
        <f aca="false">S632-$M$2</f>
        <v>-0.0148858373449059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0.0658416748046875</v>
      </c>
      <c r="C633" s="25" t="n">
        <f aca="false">IF(T632&gt;0,D632,C632)</f>
        <v>0.065887451171875</v>
      </c>
      <c r="D633" s="39" t="n">
        <f aca="false">(B633+C633)/2</f>
        <v>0.0658645629882813</v>
      </c>
      <c r="E633" s="15" t="n">
        <f aca="false">$C$2*(1+IF(E$3&lt;=$O$2,$D633,$D633-($D633-$I$616)*MIN(E$3-$O$2,$Q$2)/$Q$2))</f>
        <v>11255.5297851563</v>
      </c>
      <c r="F633" s="15" t="n">
        <f aca="false">E633*(1+IF(F$3&lt;=$O$2,$D633,$D633-($D633-$I$616)*MIN(F$3-$O$2,$Q$2)/$Q$2))</f>
        <v>11996.8703356572</v>
      </c>
      <c r="G633" s="15" t="n">
        <f aca="false">F633*(1+IF(G$3&lt;=$O$2,$D633,$D633-($D633-$I$616)*MIN(G$3-$O$2,$Q$2)/$Q$2))</f>
        <v>12787.0389575423</v>
      </c>
      <c r="H633" s="15" t="n">
        <f aca="false">G633*(1+IF(H$3&lt;=$O$2,$D633,$D633-($D633-$I$616)*MIN(H$3-$O$2,$Q$2)/$Q$2))</f>
        <v>13629.2516903949</v>
      </c>
      <c r="I633" s="15" t="n">
        <f aca="false">H633*(1+IF(I$3&lt;=$O$2,$D633,$D633-($D633-$I$616)*MIN(I$3-$O$2,$Q$2)/$Q$2))</f>
        <v>14526.9363968401</v>
      </c>
      <c r="J633" s="15" t="n">
        <f aca="false">I633*(1+IF(J$3&lt;=$O$2,$D633,$D633-($D633-$I$616)*MIN(J$3-$O$2,$Q$2)/$Q$2))</f>
        <v>15360.0801743185</v>
      </c>
      <c r="K633" s="15" t="n">
        <f aca="false">J633*(1+IF(K$3&lt;=$O$2,$D633,$D633-($D633-$I$616)*MIN(K$3-$O$2,$Q$2)/$Q$2))</f>
        <v>16110.247102431</v>
      </c>
      <c r="L633" s="15" t="n">
        <f aca="false">K633*(1+IF(L$3&lt;=$O$2,$D633,$D633-($D633-$I$616)*MIN(L$3-$O$2,$Q$2)/$Q$2))</f>
        <v>16759.9061109369</v>
      </c>
      <c r="M633" s="15" t="n">
        <f aca="false">L633*(1+IF(M$3&lt;=$O$2,$D633,$D633-($D633-$I$616)*MIN(M$3-$O$2,$Q$2)/$Q$2))</f>
        <v>17293.0875391891</v>
      </c>
      <c r="N633" s="15" t="n">
        <f aca="false">M633*(1+IF(N$3&lt;=$O$2,$D633,$D633-($D633-$I$616)*MIN(N$3-$O$2,$Q$2)/$Q$2))</f>
        <v>17696.0164788522</v>
      </c>
      <c r="O633" s="15" t="n">
        <f aca="false">SUMPRODUCT(E633:N633,1/(1+$F$616)^$E$3:$N$3)*$E$2</f>
        <v>45827.8132463522</v>
      </c>
      <c r="P633" s="15" t="n">
        <f aca="false">N633*$E$2*(1+$I$616)/($F$616-$I$616)/(1+$F$616)^$N$3</f>
        <v>61107.6225401628</v>
      </c>
      <c r="Q633" s="15" t="n">
        <f aca="false">O633+P633</f>
        <v>106935.435786515</v>
      </c>
      <c r="R633" s="15" t="n">
        <f aca="false">Q633-$G$2+$I$2</f>
        <v>87475.435786515</v>
      </c>
      <c r="S633" s="40" t="n">
        <f aca="false">R633/$K$2</f>
        <v>155.819369398306</v>
      </c>
      <c r="T633" s="41" t="n">
        <f aca="false">S633-$M$2</f>
        <v>0.00968272772044543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0.0658416748046875</v>
      </c>
      <c r="C634" s="25" t="n">
        <f aca="false">IF(T633&gt;0,D633,C633)</f>
        <v>0.0658645629882813</v>
      </c>
      <c r="D634" s="39" t="n">
        <f aca="false">(B634+C634)/2</f>
        <v>0.0658531188964844</v>
      </c>
      <c r="E634" s="15" t="n">
        <f aca="false">$C$2*(1+IF(E$3&lt;=$O$2,$D634,$D634-($D634-$I$616)*MIN(E$3-$O$2,$Q$2)/$Q$2))</f>
        <v>11255.4089355469</v>
      </c>
      <c r="F634" s="15" t="n">
        <f aca="false">E634*(1+IF(F$3&lt;=$O$2,$D634,$D634-($D634-$I$616)*MIN(F$3-$O$2,$Q$2)/$Q$2))</f>
        <v>11996.612718408</v>
      </c>
      <c r="G634" s="15" t="n">
        <f aca="false">F634*(1+IF(G$3&lt;=$O$2,$D634,$D634-($D634-$I$616)*MIN(G$3-$O$2,$Q$2)/$Q$2))</f>
        <v>12786.6270821084</v>
      </c>
      <c r="H634" s="15" t="n">
        <f aca="false">G634*(1+IF(H$3&lt;=$O$2,$D634,$D634-($D634-$I$616)*MIN(H$3-$O$2,$Q$2)/$Q$2))</f>
        <v>13628.6663556315</v>
      </c>
      <c r="I634" s="15" t="n">
        <f aca="false">H634*(1+IF(I$3&lt;=$O$2,$D634,$D634-($D634-$I$616)*MIN(I$3-$O$2,$Q$2)/$Q$2))</f>
        <v>14526.1565415494</v>
      </c>
      <c r="J634" s="15" t="n">
        <f aca="false">I634*(1+IF(J$3&lt;=$O$2,$D634,$D634-($D634-$I$616)*MIN(J$3-$O$2,$Q$2)/$Q$2))</f>
        <v>15359.1226021047</v>
      </c>
      <c r="K634" s="15" t="n">
        <f aca="false">J634*(1+IF(K$3&lt;=$O$2,$D634,$D634-($D634-$I$616)*MIN(K$3-$O$2,$Q$2)/$Q$2))</f>
        <v>16109.1373008736</v>
      </c>
      <c r="L634" s="15" t="n">
        <f aca="false">K634*(1+IF(L$3&lt;=$O$2,$D634,$D634-($D634-$I$616)*MIN(L$3-$O$2,$Q$2)/$Q$2))</f>
        <v>16758.6778139375</v>
      </c>
      <c r="M634" s="15" t="n">
        <f aca="false">L634*(1+IF(M$3&lt;=$O$2,$D634,$D634-($D634-$I$616)*MIN(M$3-$O$2,$Q$2)/$Q$2))</f>
        <v>17291.7818089151</v>
      </c>
      <c r="N634" s="15" t="n">
        <f aca="false">M634*(1+IF(N$3&lt;=$O$2,$D634,$D634-($D634-$I$616)*MIN(N$3-$O$2,$Q$2)/$Q$2))</f>
        <v>17694.6803250628</v>
      </c>
      <c r="O634" s="15" t="n">
        <f aca="false">SUMPRODUCT(E634:N634,1/(1+$F$616)^$E$3:$N$3)*$E$2</f>
        <v>45825.5307502252</v>
      </c>
      <c r="P634" s="15" t="n">
        <f aca="false">N634*$E$2*(1+$I$616)/($F$616-$I$616)/(1+$F$616)^$N$3</f>
        <v>61103.0085536468</v>
      </c>
      <c r="Q634" s="15" t="n">
        <f aca="false">O634+P634</f>
        <v>106928.539303872</v>
      </c>
      <c r="R634" s="15" t="n">
        <f aca="false">Q634-$G$2+$I$2</f>
        <v>87468.539303872</v>
      </c>
      <c r="S634" s="40" t="n">
        <f aca="false">R634/$K$2</f>
        <v>155.807084742999</v>
      </c>
      <c r="T634" s="41" t="n">
        <f aca="false">S634-$M$2</f>
        <v>-0.00260192758682365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0.0658531188964844</v>
      </c>
      <c r="C635" s="25" t="n">
        <f aca="false">IF(T634&gt;0,D634,C634)</f>
        <v>0.0658645629882813</v>
      </c>
      <c r="D635" s="39" t="n">
        <f aca="false">(B635+C635)/2</f>
        <v>0.0658588409423828</v>
      </c>
      <c r="E635" s="15" t="n">
        <f aca="false">$C$2*(1+IF(E$3&lt;=$O$2,$D635,$D635-($D635-$I$616)*MIN(E$3-$O$2,$Q$2)/$Q$2))</f>
        <v>11255.4693603516</v>
      </c>
      <c r="F635" s="15" t="n">
        <f aca="false">E635*(1+IF(F$3&lt;=$O$2,$D635,$D635-($D635-$I$616)*MIN(F$3-$O$2,$Q$2)/$Q$2))</f>
        <v>11996.7415266868</v>
      </c>
      <c r="G635" s="15" t="n">
        <f aca="false">F635*(1+IF(G$3&lt;=$O$2,$D635,$D635-($D635-$I$616)*MIN(G$3-$O$2,$Q$2)/$Q$2))</f>
        <v>12786.8330187198</v>
      </c>
      <c r="H635" s="15" t="n">
        <f aca="false">G635*(1+IF(H$3&lt;=$O$2,$D635,$D635-($D635-$I$616)*MIN(H$3-$O$2,$Q$2)/$Q$2))</f>
        <v>13628.9590206564</v>
      </c>
      <c r="I635" s="15" t="n">
        <f aca="false">H635*(1+IF(I$3&lt;=$O$2,$D635,$D635-($D635-$I$616)*MIN(I$3-$O$2,$Q$2)/$Q$2))</f>
        <v>14526.5464650081</v>
      </c>
      <c r="J635" s="15" t="n">
        <f aca="false">I635*(1+IF(J$3&lt;=$O$2,$D635,$D635-($D635-$I$616)*MIN(J$3-$O$2,$Q$2)/$Q$2))</f>
        <v>15359.6013819999</v>
      </c>
      <c r="K635" s="15" t="n">
        <f aca="false">J635*(1+IF(K$3&lt;=$O$2,$D635,$D635-($D635-$I$616)*MIN(K$3-$O$2,$Q$2)/$Q$2))</f>
        <v>16109.6921934935</v>
      </c>
      <c r="L635" s="15" t="n">
        <f aca="false">K635*(1+IF(L$3&lt;=$O$2,$D635,$D635-($D635-$I$616)*MIN(L$3-$O$2,$Q$2)/$Q$2))</f>
        <v>16759.2919526793</v>
      </c>
      <c r="M635" s="15" t="n">
        <f aca="false">L635*(1+IF(M$3&lt;=$O$2,$D635,$D635-($D635-$I$616)*MIN(M$3-$O$2,$Q$2)/$Q$2))</f>
        <v>17292.434663281</v>
      </c>
      <c r="N635" s="15" t="n">
        <f aca="false">M635*(1+IF(N$3&lt;=$O$2,$D635,$D635-($D635-$I$616)*MIN(N$3-$O$2,$Q$2)/$Q$2))</f>
        <v>17695.3483909354</v>
      </c>
      <c r="O635" s="15" t="n">
        <f aca="false">SUMPRODUCT(E635:N635,1/(1+$F$616)^$E$3:$N$3)*$E$2</f>
        <v>45826.6719840306</v>
      </c>
      <c r="P635" s="15" t="n">
        <f aca="false">N635*$E$2*(1+$I$616)/($F$616-$I$616)/(1+$F$616)^$N$3</f>
        <v>61105.3155088435</v>
      </c>
      <c r="Q635" s="15" t="n">
        <f aca="false">O635+P635</f>
        <v>106931.987492874</v>
      </c>
      <c r="R635" s="15" t="n">
        <f aca="false">Q635-$G$2+$I$2</f>
        <v>87471.9874928742</v>
      </c>
      <c r="S635" s="40" t="n">
        <f aca="false">R635/$K$2</f>
        <v>155.813226977456</v>
      </c>
      <c r="T635" s="41" t="n">
        <f aca="false">S635-$M$2</f>
        <v>0.00354030687071827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0.0658531188964844</v>
      </c>
      <c r="C636" s="25" t="n">
        <f aca="false">IF(T635&gt;0,D635,C635)</f>
        <v>0.0658588409423828</v>
      </c>
      <c r="D636" s="39" t="n">
        <f aca="false">(B636+C636)/2</f>
        <v>0.0658559799194336</v>
      </c>
      <c r="E636" s="15" t="n">
        <f aca="false">$C$2*(1+IF(E$3&lt;=$O$2,$D636,$D636-($D636-$I$616)*MIN(E$3-$O$2,$Q$2)/$Q$2))</f>
        <v>11255.4391479492</v>
      </c>
      <c r="F636" s="15" t="n">
        <f aca="false">E636*(1+IF(F$3&lt;=$O$2,$D636,$D636-($D636-$I$616)*MIN(F$3-$O$2,$Q$2)/$Q$2))</f>
        <v>11996.677122461</v>
      </c>
      <c r="G636" s="15" t="n">
        <f aca="false">F636*(1+IF(G$3&lt;=$O$2,$D636,$D636-($D636-$I$616)*MIN(G$3-$O$2,$Q$2)/$Q$2))</f>
        <v>12786.7300501377</v>
      </c>
      <c r="H636" s="15" t="n">
        <f aca="false">G636*(1+IF(H$3&lt;=$O$2,$D636,$D636-($D636-$I$616)*MIN(H$3-$O$2,$Q$2)/$Q$2))</f>
        <v>13628.8126875548</v>
      </c>
      <c r="I636" s="15" t="n">
        <f aca="false">H636*(1+IF(I$3&lt;=$O$2,$D636,$D636-($D636-$I$616)*MIN(I$3-$O$2,$Q$2)/$Q$2))</f>
        <v>14526.3515022321</v>
      </c>
      <c r="J636" s="15" t="n">
        <f aca="false">I636*(1+IF(J$3&lt;=$O$2,$D636,$D636-($D636-$I$616)*MIN(J$3-$O$2,$Q$2)/$Q$2))</f>
        <v>15359.3619904994</v>
      </c>
      <c r="K636" s="15" t="n">
        <f aca="false">J636*(1+IF(K$3&lt;=$O$2,$D636,$D636-($D636-$I$616)*MIN(K$3-$O$2,$Q$2)/$Q$2))</f>
        <v>16109.4147451438</v>
      </c>
      <c r="L636" s="15" t="n">
        <f aca="false">K636*(1+IF(L$3&lt;=$O$2,$D636,$D636-($D636-$I$616)*MIN(L$3-$O$2,$Q$2)/$Q$2))</f>
        <v>16758.984880869</v>
      </c>
      <c r="M636" s="15" t="n">
        <f aca="false">L636*(1+IF(M$3&lt;=$O$2,$D636,$D636-($D636-$I$616)*MIN(M$3-$O$2,$Q$2)/$Q$2))</f>
        <v>17292.1082334053</v>
      </c>
      <c r="N636" s="15" t="n">
        <f aca="false">M636*(1+IF(N$3&lt;=$O$2,$D636,$D636-($D636-$I$616)*MIN(N$3-$O$2,$Q$2)/$Q$2))</f>
        <v>17695.0143552436</v>
      </c>
      <c r="O636" s="15" t="n">
        <f aca="false">SUMPRODUCT(E636:N636,1/(1+$F$616)^$E$3:$N$3)*$E$2</f>
        <v>45826.1013635634</v>
      </c>
      <c r="P636" s="15" t="n">
        <f aca="false">N636*$E$2*(1+$I$616)/($F$616-$I$616)/(1+$F$616)^$N$3</f>
        <v>61104.16202173</v>
      </c>
      <c r="Q636" s="15" t="n">
        <f aca="false">O636+P636</f>
        <v>106930.263385293</v>
      </c>
      <c r="R636" s="15" t="n">
        <f aca="false">Q636-$G$2+$I$2</f>
        <v>87470.2633852934</v>
      </c>
      <c r="S636" s="40" t="n">
        <f aca="false">R636/$K$2</f>
        <v>155.810155836929</v>
      </c>
      <c r="T636" s="41" t="n">
        <f aca="false">S636-$M$2</f>
        <v>0.000469166343208371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0.0658531188964844</v>
      </c>
      <c r="C637" s="25" t="n">
        <f aca="false">IF(T636&gt;0,D636,C636)</f>
        <v>0.0658559799194336</v>
      </c>
      <c r="D637" s="39" t="n">
        <f aca="false">(B637+C637)/2</f>
        <v>0.065854549407959</v>
      </c>
      <c r="E637" s="15" t="n">
        <f aca="false">$C$2*(1+IF(E$3&lt;=$O$2,$D637,$D637-($D637-$I$616)*MIN(E$3-$O$2,$Q$2)/$Q$2))</f>
        <v>11255.424041748</v>
      </c>
      <c r="F637" s="15" t="n">
        <f aca="false">E637*(1+IF(F$3&lt;=$O$2,$D637,$D637-($D637-$I$616)*MIN(F$3-$O$2,$Q$2)/$Q$2))</f>
        <v>11996.6449204129</v>
      </c>
      <c r="G637" s="15" t="n">
        <f aca="false">F637*(1+IF(G$3&lt;=$O$2,$D637,$D637-($D637-$I$616)*MIN(G$3-$O$2,$Q$2)/$Q$2))</f>
        <v>12786.6785660539</v>
      </c>
      <c r="H637" s="15" t="n">
        <f aca="false">G637*(1+IF(H$3&lt;=$O$2,$D637,$D637-($D637-$I$616)*MIN(H$3-$O$2,$Q$2)/$Q$2))</f>
        <v>13628.7395214458</v>
      </c>
      <c r="I637" s="15" t="n">
        <f aca="false">H637*(1+IF(I$3&lt;=$O$2,$D637,$D637-($D637-$I$616)*MIN(I$3-$O$2,$Q$2)/$Q$2))</f>
        <v>14526.2540216291</v>
      </c>
      <c r="J637" s="15" t="n">
        <f aca="false">I637*(1+IF(J$3&lt;=$O$2,$D637,$D637-($D637-$I$616)*MIN(J$3-$O$2,$Q$2)/$Q$2))</f>
        <v>15359.2422959138</v>
      </c>
      <c r="K637" s="15" t="n">
        <f aca="false">J637*(1+IF(K$3&lt;=$O$2,$D637,$D637-($D637-$I$616)*MIN(K$3-$O$2,$Q$2)/$Q$2))</f>
        <v>16109.2760224988</v>
      </c>
      <c r="L637" s="15" t="n">
        <f aca="false">K637*(1+IF(L$3&lt;=$O$2,$D637,$D637-($D637-$I$616)*MIN(L$3-$O$2,$Q$2)/$Q$2))</f>
        <v>16758.8313467934</v>
      </c>
      <c r="M637" s="15" t="n">
        <f aca="false">L637*(1+IF(M$3&lt;=$O$2,$D637,$D637-($D637-$I$616)*MIN(M$3-$O$2,$Q$2)/$Q$2))</f>
        <v>17291.945020487</v>
      </c>
      <c r="N637" s="15" t="n">
        <f aca="false">M637*(1+IF(N$3&lt;=$O$2,$D637,$D637-($D637-$I$616)*MIN(N$3-$O$2,$Q$2)/$Q$2))</f>
        <v>17694.8473394643</v>
      </c>
      <c r="O637" s="15" t="n">
        <f aca="false">SUMPRODUCT(E637:N637,1/(1+$F$616)^$E$3:$N$3)*$E$2</f>
        <v>45825.8160560032</v>
      </c>
      <c r="P637" s="15" t="n">
        <f aca="false">N637*$E$2*(1+$I$616)/($F$616-$I$616)/(1+$F$616)^$N$3</f>
        <v>61103.5852853096</v>
      </c>
      <c r="Q637" s="15" t="n">
        <f aca="false">O637+P637</f>
        <v>106929.401341313</v>
      </c>
      <c r="R637" s="15" t="n">
        <f aca="false">Q637-$G$2+$I$2</f>
        <v>87469.4013413128</v>
      </c>
      <c r="S637" s="40" t="n">
        <f aca="false">R637/$K$2</f>
        <v>155.808620284139</v>
      </c>
      <c r="T637" s="41" t="n">
        <f aca="false">S637-$M$2</f>
        <v>-0.00106638644649593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0.065854549407959</v>
      </c>
      <c r="C638" s="25" t="n">
        <f aca="false">IF(T637&gt;0,D637,C637)</f>
        <v>0.0658559799194336</v>
      </c>
      <c r="D638" s="39" t="n">
        <f aca="false">(B638+C638)/2</f>
        <v>0.0658552646636963</v>
      </c>
      <c r="E638" s="15" t="n">
        <f aca="false">$C$2*(1+IF(E$3&lt;=$O$2,$D638,$D638-($D638-$I$616)*MIN(E$3-$O$2,$Q$2)/$Q$2))</f>
        <v>11255.4315948486</v>
      </c>
      <c r="F638" s="15" t="n">
        <f aca="false">E638*(1+IF(F$3&lt;=$O$2,$D638,$D638-($D638-$I$616)*MIN(F$3-$O$2,$Q$2)/$Q$2))</f>
        <v>11996.6610214315</v>
      </c>
      <c r="G638" s="15" t="n">
        <f aca="false">F638*(1+IF(G$3&lt;=$O$2,$D638,$D638-($D638-$I$616)*MIN(G$3-$O$2,$Q$2)/$Q$2))</f>
        <v>12786.7043080785</v>
      </c>
      <c r="H638" s="15" t="n">
        <f aca="false">G638*(1+IF(H$3&lt;=$O$2,$D638,$D638-($D638-$I$616)*MIN(H$3-$O$2,$Q$2)/$Q$2))</f>
        <v>13628.7761044635</v>
      </c>
      <c r="I638" s="15" t="n">
        <f aca="false">H638*(1+IF(I$3&lt;=$O$2,$D638,$D638-($D638-$I$616)*MIN(I$3-$O$2,$Q$2)/$Q$2))</f>
        <v>14526.3027618652</v>
      </c>
      <c r="J638" s="15" t="n">
        <f aca="false">I638*(1+IF(J$3&lt;=$O$2,$D638,$D638-($D638-$I$616)*MIN(J$3-$O$2,$Q$2)/$Q$2))</f>
        <v>15359.3021431096</v>
      </c>
      <c r="K638" s="15" t="n">
        <f aca="false">J638*(1+IF(K$3&lt;=$O$2,$D638,$D638-($D638-$I$616)*MIN(K$3-$O$2,$Q$2)/$Q$2))</f>
        <v>16109.3453836938</v>
      </c>
      <c r="L638" s="15" t="n">
        <f aca="false">K638*(1+IF(L$3&lt;=$O$2,$D638,$D638-($D638-$I$616)*MIN(L$3-$O$2,$Q$2)/$Q$2))</f>
        <v>16758.9081136787</v>
      </c>
      <c r="M638" s="15" t="n">
        <f aca="false">L638*(1+IF(M$3&lt;=$O$2,$D638,$D638-($D638-$I$616)*MIN(M$3-$O$2,$Q$2)/$Q$2))</f>
        <v>17292.0266267779</v>
      </c>
      <c r="N638" s="15" t="n">
        <f aca="false">M638*(1+IF(N$3&lt;=$O$2,$D638,$D638-($D638-$I$616)*MIN(N$3-$O$2,$Q$2)/$Q$2))</f>
        <v>17694.9308471818</v>
      </c>
      <c r="O638" s="15" t="n">
        <f aca="false">SUMPRODUCT(E638:N638,1/(1+$F$616)^$E$3:$N$3)*$E$2</f>
        <v>45825.9587095606</v>
      </c>
      <c r="P638" s="15" t="n">
        <f aca="false">N638*$E$2*(1+$I$616)/($F$616-$I$616)/(1+$F$616)^$N$3</f>
        <v>61103.8736529251</v>
      </c>
      <c r="Q638" s="15" t="n">
        <f aca="false">O638+P638</f>
        <v>106929.832362486</v>
      </c>
      <c r="R638" s="15" t="n">
        <f aca="false">Q638-$G$2+$I$2</f>
        <v>87469.8323624857</v>
      </c>
      <c r="S638" s="40" t="n">
        <f aca="false">R638/$K$2</f>
        <v>155.809388059078</v>
      </c>
      <c r="T638" s="41" t="n">
        <f aca="false">S638-$M$2</f>
        <v>-0.000298611507730584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0.0658552646636963</v>
      </c>
      <c r="C639" s="25" t="n">
        <f aca="false">IF(T638&gt;0,D638,C638)</f>
        <v>0.0658559799194336</v>
      </c>
      <c r="D639" s="39" t="n">
        <f aca="false">(B639+C639)/2</f>
        <v>0.0658556222915649</v>
      </c>
      <c r="E639" s="15" t="n">
        <f aca="false">$C$2*(1+IF(E$3&lt;=$O$2,$D639,$D639-($D639-$I$616)*MIN(E$3-$O$2,$Q$2)/$Q$2))</f>
        <v>11255.4353713989</v>
      </c>
      <c r="F639" s="15" t="n">
        <f aca="false">E639*(1+IF(F$3&lt;=$O$2,$D639,$D639-($D639-$I$616)*MIN(F$3-$O$2,$Q$2)/$Q$2))</f>
        <v>11996.6690719449</v>
      </c>
      <c r="G639" s="15" t="n">
        <f aca="false">F639*(1+IF(G$3&lt;=$O$2,$D639,$D639-($D639-$I$616)*MIN(G$3-$O$2,$Q$2)/$Q$2))</f>
        <v>12786.7171791038</v>
      </c>
      <c r="H639" s="15" t="n">
        <f aca="false">G639*(1+IF(H$3&lt;=$O$2,$D639,$D639-($D639-$I$616)*MIN(H$3-$O$2,$Q$2)/$Q$2))</f>
        <v>13628.7943959999</v>
      </c>
      <c r="I639" s="15" t="n">
        <f aca="false">H639*(1+IF(I$3&lt;=$O$2,$D639,$D639-($D639-$I$616)*MIN(I$3-$O$2,$Q$2)/$Q$2))</f>
        <v>14526.3271320323</v>
      </c>
      <c r="J639" s="15" t="n">
        <f aca="false">I639*(1+IF(J$3&lt;=$O$2,$D639,$D639-($D639-$I$616)*MIN(J$3-$O$2,$Q$2)/$Q$2))</f>
        <v>15359.3320667802</v>
      </c>
      <c r="K639" s="15" t="n">
        <f aca="false">J639*(1+IF(K$3&lt;=$O$2,$D639,$D639-($D639-$I$616)*MIN(K$3-$O$2,$Q$2)/$Q$2))</f>
        <v>16109.380064387</v>
      </c>
      <c r="L639" s="15" t="n">
        <f aca="false">K639*(1+IF(L$3&lt;=$O$2,$D639,$D639-($D639-$I$616)*MIN(L$3-$O$2,$Q$2)/$Q$2))</f>
        <v>16758.9464972357</v>
      </c>
      <c r="M639" s="15" t="n">
        <f aca="false">L639*(1+IF(M$3&lt;=$O$2,$D639,$D639-($D639-$I$616)*MIN(M$3-$O$2,$Q$2)/$Q$2))</f>
        <v>17292.0674300495</v>
      </c>
      <c r="N639" s="15" t="n">
        <f aca="false">M639*(1+IF(N$3&lt;=$O$2,$D639,$D639-($D639-$I$616)*MIN(N$3-$O$2,$Q$2)/$Q$2))</f>
        <v>17694.9726011696</v>
      </c>
      <c r="O639" s="15" t="n">
        <f aca="false">SUMPRODUCT(E639:N639,1/(1+$F$616)^$E$3:$N$3)*$E$2</f>
        <v>45826.0300365063</v>
      </c>
      <c r="P639" s="15" t="n">
        <f aca="false">N639*$E$2*(1+$I$616)/($F$616-$I$616)/(1+$F$616)^$N$3</f>
        <v>61104.0178371789</v>
      </c>
      <c r="Q639" s="15" t="n">
        <f aca="false">O639+P639</f>
        <v>106930.047873685</v>
      </c>
      <c r="R639" s="15" t="n">
        <f aca="false">Q639-$G$2+$I$2</f>
        <v>87470.0478736852</v>
      </c>
      <c r="S639" s="40" t="n">
        <f aca="false">R639/$K$2</f>
        <v>155.809771947639</v>
      </c>
      <c r="T639" s="41" t="n">
        <f aca="false">S639-$M$2</f>
        <v>8.52770536994285E-005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0.0658552646636963</v>
      </c>
      <c r="C640" s="25" t="n">
        <f aca="false">IF(T639&gt;0,D639,C639)</f>
        <v>0.0658556222915649</v>
      </c>
      <c r="D640" s="39" t="n">
        <f aca="false">(B640+C640)/2</f>
        <v>0.0658554434776306</v>
      </c>
      <c r="E640" s="15" t="n">
        <f aca="false">$C$2*(1+IF(E$3&lt;=$O$2,$D640,$D640-($D640-$I$616)*MIN(E$3-$O$2,$Q$2)/$Q$2))</f>
        <v>11255.4334831238</v>
      </c>
      <c r="F640" s="15" t="n">
        <f aca="false">E640*(1+IF(F$3&lt;=$O$2,$D640,$D640-($D640-$I$616)*MIN(F$3-$O$2,$Q$2)/$Q$2))</f>
        <v>11996.6650466879</v>
      </c>
      <c r="G640" s="15" t="n">
        <f aca="false">F640*(1+IF(G$3&lt;=$O$2,$D640,$D640-($D640-$I$616)*MIN(G$3-$O$2,$Q$2)/$Q$2))</f>
        <v>12786.7107435901</v>
      </c>
      <c r="H640" s="15" t="n">
        <f aca="false">G640*(1+IF(H$3&lt;=$O$2,$D640,$D640-($D640-$I$616)*MIN(H$3-$O$2,$Q$2)/$Q$2))</f>
        <v>13628.7852502294</v>
      </c>
      <c r="I640" s="15" t="n">
        <f aca="false">H640*(1+IF(I$3&lt;=$O$2,$D640,$D640-($D640-$I$616)*MIN(I$3-$O$2,$Q$2)/$Q$2))</f>
        <v>14526.3149469446</v>
      </c>
      <c r="J640" s="15" t="n">
        <f aca="false">I640*(1+IF(J$3&lt;=$O$2,$D640,$D640-($D640-$I$616)*MIN(J$3-$O$2,$Q$2)/$Q$2))</f>
        <v>15359.3171049388</v>
      </c>
      <c r="K640" s="15" t="n">
        <f aca="false">J640*(1+IF(K$3&lt;=$O$2,$D640,$D640-($D640-$I$616)*MIN(K$3-$O$2,$Q$2)/$Q$2))</f>
        <v>16109.3627240324</v>
      </c>
      <c r="L640" s="15" t="n">
        <f aca="false">K640*(1+IF(L$3&lt;=$O$2,$D640,$D640-($D640-$I$616)*MIN(L$3-$O$2,$Q$2)/$Q$2))</f>
        <v>16758.9273054477</v>
      </c>
      <c r="M640" s="15" t="n">
        <f aca="false">L640*(1+IF(M$3&lt;=$O$2,$D640,$D640-($D640-$I$616)*MIN(M$3-$O$2,$Q$2)/$Q$2))</f>
        <v>17292.0470284032</v>
      </c>
      <c r="N640" s="15" t="n">
        <f aca="false">M640*(1+IF(N$3&lt;=$O$2,$D640,$D640-($D640-$I$616)*MIN(N$3-$O$2,$Q$2)/$Q$2))</f>
        <v>17694.9517241649</v>
      </c>
      <c r="O640" s="15" t="n">
        <f aca="false">SUMPRODUCT(E640:N640,1/(1+$F$616)^$E$3:$N$3)*$E$2</f>
        <v>45825.9943730195</v>
      </c>
      <c r="P640" s="15" t="n">
        <f aca="false">N640*$E$2*(1+$I$616)/($F$616-$I$616)/(1+$F$616)^$N$3</f>
        <v>61103.9457450148</v>
      </c>
      <c r="Q640" s="15" t="n">
        <f aca="false">O640+P640</f>
        <v>106929.940118034</v>
      </c>
      <c r="R640" s="15" t="n">
        <f aca="false">Q640-$G$2+$I$2</f>
        <v>87469.9401180343</v>
      </c>
      <c r="S640" s="40" t="n">
        <f aca="false">R640/$K$2</f>
        <v>155.809580003267</v>
      </c>
      <c r="T640" s="41" t="n">
        <f aca="false">S640-$M$2</f>
        <v>-0.000106667318050313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0.0658554434776306</v>
      </c>
      <c r="C641" s="25" t="n">
        <f aca="false">IF(T640&gt;0,D640,C640)</f>
        <v>0.0658556222915649</v>
      </c>
      <c r="D641" s="39" t="n">
        <f aca="false">(B641+C641)/2</f>
        <v>0.0658555328845978</v>
      </c>
      <c r="E641" s="15" t="n">
        <f aca="false">$C$2*(1+IF(E$3&lt;=$O$2,$D641,$D641-($D641-$I$616)*MIN(E$3-$O$2,$Q$2)/$Q$2))</f>
        <v>11255.4344272614</v>
      </c>
      <c r="F641" s="15" t="n">
        <f aca="false">E641*(1+IF(F$3&lt;=$O$2,$D641,$D641-($D641-$I$616)*MIN(F$3-$O$2,$Q$2)/$Q$2))</f>
        <v>11996.6670593163</v>
      </c>
      <c r="G641" s="15" t="n">
        <f aca="false">F641*(1+IF(G$3&lt;=$O$2,$D641,$D641-($D641-$I$616)*MIN(G$3-$O$2,$Q$2)/$Q$2))</f>
        <v>12786.7139613467</v>
      </c>
      <c r="H641" s="15" t="n">
        <f aca="false">G641*(1+IF(H$3&lt;=$O$2,$D641,$D641-($D641-$I$616)*MIN(H$3-$O$2,$Q$2)/$Q$2))</f>
        <v>13628.7898231141</v>
      </c>
      <c r="I641" s="15" t="n">
        <f aca="false">H641*(1+IF(I$3&lt;=$O$2,$D641,$D641-($D641-$I$616)*MIN(I$3-$O$2,$Q$2)/$Q$2))</f>
        <v>14526.3210394874</v>
      </c>
      <c r="J641" s="15" t="n">
        <f aca="false">I641*(1+IF(J$3&lt;=$O$2,$D641,$D641-($D641-$I$616)*MIN(J$3-$O$2,$Q$2)/$Q$2))</f>
        <v>15359.324585858</v>
      </c>
      <c r="K641" s="15" t="n">
        <f aca="false">J641*(1+IF(K$3&lt;=$O$2,$D641,$D641-($D641-$I$616)*MIN(K$3-$O$2,$Q$2)/$Q$2))</f>
        <v>16109.3713942077</v>
      </c>
      <c r="L641" s="15" t="n">
        <f aca="false">K641*(1+IF(L$3&lt;=$O$2,$D641,$D641-($D641-$I$616)*MIN(L$3-$O$2,$Q$2)/$Q$2))</f>
        <v>16758.9369013393</v>
      </c>
      <c r="M641" s="15" t="n">
        <f aca="false">L641*(1+IF(M$3&lt;=$O$2,$D641,$D641-($D641-$I$616)*MIN(M$3-$O$2,$Q$2)/$Q$2))</f>
        <v>17292.0572292237</v>
      </c>
      <c r="N641" s="15" t="n">
        <f aca="false">M641*(1+IF(N$3&lt;=$O$2,$D641,$D641-($D641-$I$616)*MIN(N$3-$O$2,$Q$2)/$Q$2))</f>
        <v>17694.9621626646</v>
      </c>
      <c r="O641" s="15" t="n">
        <f aca="false">SUMPRODUCT(E641:N641,1/(1+$F$616)^$E$3:$N$3)*$E$2</f>
        <v>45826.0122047594</v>
      </c>
      <c r="P641" s="15" t="n">
        <f aca="false">N641*$E$2*(1+$I$616)/($F$616-$I$616)/(1+$F$616)^$N$3</f>
        <v>61103.9817910876</v>
      </c>
      <c r="Q641" s="15" t="n">
        <f aca="false">O641+P641</f>
        <v>106929.993995847</v>
      </c>
      <c r="R641" s="15" t="n">
        <f aca="false">Q641-$G$2+$I$2</f>
        <v>87469.993995847</v>
      </c>
      <c r="S641" s="40" t="n">
        <f aca="false">R641/$K$2</f>
        <v>155.809675975431</v>
      </c>
      <c r="T641" s="41" t="n">
        <f aca="false">S641-$M$2</f>
        <v>-1.06951549128098E-005</v>
      </c>
    </row>
    <row r="643" customFormat="false" ht="15" hidden="false" customHeight="false" outlineLevel="0" collapsed="false">
      <c r="A643" s="36" t="s">
        <v>209</v>
      </c>
      <c r="E643" s="5" t="s">
        <v>11</v>
      </c>
      <c r="F643" s="12" t="n">
        <f aca="false">Sensitivity!$B$14</f>
        <v>0.0870172026214128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6" t="s">
        <v>167</v>
      </c>
      <c r="B644" s="28" t="s">
        <v>168</v>
      </c>
      <c r="C644" s="28" t="s">
        <v>169</v>
      </c>
      <c r="D644" s="28" t="s">
        <v>170</v>
      </c>
      <c r="E644" s="28" t="s">
        <v>171</v>
      </c>
      <c r="F644" s="28" t="s">
        <v>172</v>
      </c>
      <c r="G644" s="28" t="s">
        <v>173</v>
      </c>
      <c r="H644" s="28" t="s">
        <v>174</v>
      </c>
      <c r="I644" s="28" t="s">
        <v>175</v>
      </c>
      <c r="J644" s="28" t="s">
        <v>176</v>
      </c>
      <c r="K644" s="28" t="s">
        <v>177</v>
      </c>
      <c r="L644" s="28" t="s">
        <v>178</v>
      </c>
      <c r="M644" s="28" t="s">
        <v>179</v>
      </c>
      <c r="N644" s="28" t="s">
        <v>180</v>
      </c>
      <c r="O644" s="28" t="s">
        <v>181</v>
      </c>
      <c r="P644" s="28" t="s">
        <v>182</v>
      </c>
      <c r="Q644" s="28" t="s">
        <v>183</v>
      </c>
      <c r="R644" s="28" t="s">
        <v>184</v>
      </c>
      <c r="S644" s="28" t="s">
        <v>185</v>
      </c>
      <c r="T644" s="28" t="s">
        <v>186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39" t="n">
        <f aca="false">(B645+C645)/2</f>
        <v>0.25</v>
      </c>
      <c r="E645" s="15" t="n">
        <f aca="false">$C$2*(1+IF(E$3&lt;=$O$2,$D645,$D645-($D645-$I$643)*MIN(E$3-$O$2,$Q$2)/$Q$2))</f>
        <v>13200</v>
      </c>
      <c r="F645" s="15" t="n">
        <f aca="false">E645*(1+IF(F$3&lt;=$O$2,$D645,$D645-($D645-$I$643)*MIN(F$3-$O$2,$Q$2)/$Q$2))</f>
        <v>16500</v>
      </c>
      <c r="G645" s="15" t="n">
        <f aca="false">F645*(1+IF(G$3&lt;=$O$2,$D645,$D645-($D645-$I$643)*MIN(G$3-$O$2,$Q$2)/$Q$2))</f>
        <v>20625</v>
      </c>
      <c r="H645" s="15" t="n">
        <f aca="false">G645*(1+IF(H$3&lt;=$O$2,$D645,$D645-($D645-$I$643)*MIN(H$3-$O$2,$Q$2)/$Q$2))</f>
        <v>25781.25</v>
      </c>
      <c r="I645" s="15" t="n">
        <f aca="false">H645*(1+IF(I$3&lt;=$O$2,$D645,$D645-($D645-$I$643)*MIN(I$3-$O$2,$Q$2)/$Q$2))</f>
        <v>32226.5625</v>
      </c>
      <c r="J645" s="15" t="n">
        <f aca="false">I645*(1+IF(J$3&lt;=$O$2,$D645,$D645-($D645-$I$643)*MIN(J$3-$O$2,$Q$2)/$Q$2))</f>
        <v>38854.27734375</v>
      </c>
      <c r="K645" s="15" t="n">
        <f aca="false">J645*(1+IF(K$3&lt;=$O$2,$D645,$D645-($D645-$I$643)*MIN(K$3-$O$2,$Q$2)/$Q$2))</f>
        <v>45122.2493648437</v>
      </c>
      <c r="L645" s="15" t="n">
        <f aca="false">K645*(1+IF(L$3&lt;=$O$2,$D645,$D645-($D645-$I$643)*MIN(L$3-$O$2,$Q$2)/$Q$2))</f>
        <v>50400.6500955432</v>
      </c>
      <c r="M645" s="15" t="n">
        <f aca="false">L645*(1+IF(M$3&lt;=$O$2,$D645,$D645-($D645-$I$643)*MIN(M$3-$O$2,$Q$2)/$Q$2))</f>
        <v>54061.7533184834</v>
      </c>
      <c r="N645" s="15" t="n">
        <f aca="false">M645*(1+IF(N$3&lt;=$O$2,$D645,$D645-($D645-$I$643)*MIN(N$3-$O$2,$Q$2)/$Q$2))</f>
        <v>55591.7009373965</v>
      </c>
      <c r="O645" s="15" t="n">
        <f aca="false">SUMPRODUCT(E645:N645,1/(1+$F$643)^$E$3:$N$3)*$E$2</f>
        <v>102064.50757931</v>
      </c>
      <c r="P645" s="15" t="n">
        <f aca="false">N645*$E$2*(1+$I$643)/($F$643-$I$643)/(1+$F$643)^$N$3</f>
        <v>209333.165619297</v>
      </c>
      <c r="Q645" s="15" t="n">
        <f aca="false">O645+P645</f>
        <v>311397.673198607</v>
      </c>
      <c r="R645" s="15" t="n">
        <f aca="false">Q645-$G$2+$I$2</f>
        <v>291937.673198607</v>
      </c>
      <c r="S645" s="40" t="n">
        <f aca="false">R645/$K$2</f>
        <v>520.02649352252</v>
      </c>
      <c r="T645" s="41" t="n">
        <f aca="false">S645-$M$2</f>
        <v>364.216806851934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39" t="n">
        <f aca="false">(B646+C646)/2</f>
        <v>-0.125</v>
      </c>
      <c r="E646" s="15" t="n">
        <f aca="false">$C$2*(1+IF(E$3&lt;=$O$2,$D646,$D646-($D646-$I$643)*MIN(E$3-$O$2,$Q$2)/$Q$2))</f>
        <v>9240</v>
      </c>
      <c r="F646" s="15" t="n">
        <f aca="false">E646*(1+IF(F$3&lt;=$O$2,$D646,$D646-($D646-$I$643)*MIN(F$3-$O$2,$Q$2)/$Q$2))</f>
        <v>8085</v>
      </c>
      <c r="G646" s="15" t="n">
        <f aca="false">F646*(1+IF(G$3&lt;=$O$2,$D646,$D646-($D646-$I$643)*MIN(G$3-$O$2,$Q$2)/$Q$2))</f>
        <v>7074.375</v>
      </c>
      <c r="H646" s="15" t="n">
        <f aca="false">G646*(1+IF(H$3&lt;=$O$2,$D646,$D646-($D646-$I$643)*MIN(H$3-$O$2,$Q$2)/$Q$2))</f>
        <v>6190.078125</v>
      </c>
      <c r="I646" s="15" t="n">
        <f aca="false">H646*(1+IF(I$3&lt;=$O$2,$D646,$D646-($D646-$I$643)*MIN(I$3-$O$2,$Q$2)/$Q$2))</f>
        <v>5416.318359375</v>
      </c>
      <c r="J646" s="15" t="n">
        <f aca="false">I646*(1+IF(J$3&lt;=$O$2,$D646,$D646-($D646-$I$643)*MIN(J$3-$O$2,$Q$2)/$Q$2))</f>
        <v>4905.34288535156</v>
      </c>
      <c r="K646" s="15" t="n">
        <f aca="false">J646*(1+IF(K$3&lt;=$O$2,$D646,$D646-($D646-$I$643)*MIN(K$3-$O$2,$Q$2)/$Q$2))</f>
        <v>4592.97065041238</v>
      </c>
      <c r="L646" s="15" t="n">
        <f aca="false">K646*(1+IF(L$3&lt;=$O$2,$D646,$D646-($D646-$I$643)*MIN(L$3-$O$2,$Q$2)/$Q$2))</f>
        <v>4441.31075953576</v>
      </c>
      <c r="M646" s="15" t="n">
        <f aca="false">L646*(1+IF(M$3&lt;=$O$2,$D646,$D646-($D646-$I$643)*MIN(M$3-$O$2,$Q$2)/$Q$2))</f>
        <v>4430.82926614325</v>
      </c>
      <c r="N646" s="15" t="n">
        <f aca="false">M646*(1+IF(N$3&lt;=$O$2,$D646,$D646-($D646-$I$643)*MIN(N$3-$O$2,$Q$2)/$Q$2))</f>
        <v>4556.22173437511</v>
      </c>
      <c r="O646" s="15" t="n">
        <f aca="false">SUMPRODUCT(E646:N646,1/(1+$F$643)^$E$3:$N$3)*$E$2</f>
        <v>20174.5438504954</v>
      </c>
      <c r="P646" s="15" t="n">
        <f aca="false">N646*$E$2*(1+$I$643)/($F$643-$I$643)/(1+$F$643)^$N$3</f>
        <v>17156.667323316</v>
      </c>
      <c r="Q646" s="15" t="n">
        <f aca="false">O646+P646</f>
        <v>37331.2111738113</v>
      </c>
      <c r="R646" s="15" t="n">
        <f aca="false">Q646-$G$2+$I$2</f>
        <v>17871.2111738113</v>
      </c>
      <c r="S646" s="40" t="n">
        <f aca="false">R646/$K$2</f>
        <v>31.8338609056295</v>
      </c>
      <c r="T646" s="41" t="n">
        <f aca="false">S646-$M$2</f>
        <v>-123.975825764956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39" t="n">
        <f aca="false">(B647+C647)/2</f>
        <v>0.0625</v>
      </c>
      <c r="E647" s="15" t="n">
        <f aca="false">$C$2*(1+IF(E$3&lt;=$O$2,$D647,$D647-($D647-$I$643)*MIN(E$3-$O$2,$Q$2)/$Q$2))</f>
        <v>11220</v>
      </c>
      <c r="F647" s="15" t="n">
        <f aca="false">E647*(1+IF(F$3&lt;=$O$2,$D647,$D647-($D647-$I$643)*MIN(F$3-$O$2,$Q$2)/$Q$2))</f>
        <v>11921.25</v>
      </c>
      <c r="G647" s="15" t="n">
        <f aca="false">F647*(1+IF(G$3&lt;=$O$2,$D647,$D647-($D647-$I$643)*MIN(G$3-$O$2,$Q$2)/$Q$2))</f>
        <v>12666.328125</v>
      </c>
      <c r="H647" s="15" t="n">
        <f aca="false">G647*(1+IF(H$3&lt;=$O$2,$D647,$D647-($D647-$I$643)*MIN(H$3-$O$2,$Q$2)/$Q$2))</f>
        <v>13457.9736328125</v>
      </c>
      <c r="I647" s="15" t="n">
        <f aca="false">H647*(1+IF(I$3&lt;=$O$2,$D647,$D647-($D647-$I$643)*MIN(I$3-$O$2,$Q$2)/$Q$2))</f>
        <v>14299.0969848633</v>
      </c>
      <c r="J647" s="15" t="n">
        <f aca="false">I647*(1+IF(J$3&lt;=$O$2,$D647,$D647-($D647-$I$643)*MIN(J$3-$O$2,$Q$2)/$Q$2))</f>
        <v>15094.9847230408</v>
      </c>
      <c r="K647" s="15" t="n">
        <f aca="false">J647*(1+IF(K$3&lt;=$O$2,$D647,$D647-($D647-$I$643)*MIN(K$3-$O$2,$Q$2)/$Q$2))</f>
        <v>15831.9218772196</v>
      </c>
      <c r="L647" s="15" t="n">
        <f aca="false">K647*(1+IF(L$3&lt;=$O$2,$D647,$D647-($D647-$I$643)*MIN(L$3-$O$2,$Q$2)/$Q$2))</f>
        <v>16496.5459576253</v>
      </c>
      <c r="M647" s="15" t="n">
        <f aca="false">L647*(1+IF(M$3&lt;=$O$2,$D647,$D647-($D647-$I$643)*MIN(M$3-$O$2,$Q$2)/$Q$2))</f>
        <v>17076.2345825763</v>
      </c>
      <c r="N647" s="15" t="n">
        <f aca="false">M647*(1+IF(N$3&lt;=$O$2,$D647,$D647-($D647-$I$643)*MIN(N$3-$O$2,$Q$2)/$Q$2))</f>
        <v>17559.4920212632</v>
      </c>
      <c r="O647" s="15" t="n">
        <f aca="false">SUMPRODUCT(E647:N647,1/(1+$F$643)^$E$3:$N$3)*$E$2</f>
        <v>45294.8769111409</v>
      </c>
      <c r="P647" s="15" t="n">
        <f aca="false">N647*$E$2*(1+$I$643)/($F$643-$I$643)/(1+$F$643)^$N$3</f>
        <v>66121.0934275463</v>
      </c>
      <c r="Q647" s="15" t="n">
        <f aca="false">O647+P647</f>
        <v>111415.970338687</v>
      </c>
      <c r="R647" s="15" t="n">
        <f aca="false">Q647-$G$2+$I$2</f>
        <v>91955.9703386872</v>
      </c>
      <c r="S647" s="40" t="n">
        <f aca="false">R647/$K$2</f>
        <v>163.800513615645</v>
      </c>
      <c r="T647" s="41" t="n">
        <f aca="false">S647-$M$2</f>
        <v>7.99082694505987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39" t="n">
        <f aca="false">(B648+C648)/2</f>
        <v>-0.03125</v>
      </c>
      <c r="E648" s="15" t="n">
        <f aca="false">$C$2*(1+IF(E$3&lt;=$O$2,$D648,$D648-($D648-$I$643)*MIN(E$3-$O$2,$Q$2)/$Q$2))</f>
        <v>10230</v>
      </c>
      <c r="F648" s="15" t="n">
        <f aca="false">E648*(1+IF(F$3&lt;=$O$2,$D648,$D648-($D648-$I$643)*MIN(F$3-$O$2,$Q$2)/$Q$2))</f>
        <v>9910.3125</v>
      </c>
      <c r="G648" s="15" t="n">
        <f aca="false">F648*(1+IF(G$3&lt;=$O$2,$D648,$D648-($D648-$I$643)*MIN(G$3-$O$2,$Q$2)/$Q$2))</f>
        <v>9600.615234375</v>
      </c>
      <c r="H648" s="15" t="n">
        <f aca="false">G648*(1+IF(H$3&lt;=$O$2,$D648,$D648-($D648-$I$643)*MIN(H$3-$O$2,$Q$2)/$Q$2))</f>
        <v>9300.59600830078</v>
      </c>
      <c r="I648" s="15" t="n">
        <f aca="false">H648*(1+IF(I$3&lt;=$O$2,$D648,$D648-($D648-$I$643)*MIN(I$3-$O$2,$Q$2)/$Q$2))</f>
        <v>9009.95238304138</v>
      </c>
      <c r="J648" s="15" t="n">
        <f aca="false">I648*(1+IF(J$3&lt;=$O$2,$D648,$D648-($D648-$I$643)*MIN(J$3-$O$2,$Q$2)/$Q$2))</f>
        <v>8835.69990395336</v>
      </c>
      <c r="K648" s="15" t="n">
        <f aca="false">J648*(1+IF(K$3&lt;=$O$2,$D648,$D648-($D648-$I$643)*MIN(K$3-$O$2,$Q$2)/$Q$2))</f>
        <v>8770.05065366699</v>
      </c>
      <c r="L648" s="15" t="n">
        <f aca="false">K648*(1+IF(L$3&lt;=$O$2,$D648,$D648-($D648-$I$643)*MIN(L$3-$O$2,$Q$2)/$Q$2))</f>
        <v>8809.34048059542</v>
      </c>
      <c r="M648" s="15" t="n">
        <f aca="false">L648*(1+IF(M$3&lt;=$O$2,$D648,$D648-($D648-$I$643)*MIN(M$3-$O$2,$Q$2)/$Q$2))</f>
        <v>8953.72557107238</v>
      </c>
      <c r="N648" s="15" t="n">
        <f aca="false">M648*(1+IF(N$3&lt;=$O$2,$D648,$D648-($D648-$I$643)*MIN(N$3-$O$2,$Q$2)/$Q$2))</f>
        <v>9207.11600473372</v>
      </c>
      <c r="O648" s="15" t="n">
        <f aca="false">SUMPRODUCT(E648:N648,1/(1+$F$643)^$E$3:$N$3)*$E$2</f>
        <v>30141.2973471305</v>
      </c>
      <c r="P648" s="15" t="n">
        <f aca="false">N648*$E$2*(1+$I$643)/($F$643-$I$643)/(1+$F$643)^$N$3</f>
        <v>34669.8285354761</v>
      </c>
      <c r="Q648" s="15" t="n">
        <f aca="false">O648+P648</f>
        <v>64811.1258826066</v>
      </c>
      <c r="R648" s="15" t="n">
        <f aca="false">Q648-$G$2+$I$2</f>
        <v>45351.1258826066</v>
      </c>
      <c r="S648" s="40" t="n">
        <f aca="false">R648/$K$2</f>
        <v>80.7836368346544</v>
      </c>
      <c r="T648" s="41" t="n">
        <f aca="false">S648-$M$2</f>
        <v>-75.0260498359311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39" t="n">
        <f aca="false">(B649+C649)/2</f>
        <v>0.015625</v>
      </c>
      <c r="E649" s="15" t="n">
        <f aca="false">$C$2*(1+IF(E$3&lt;=$O$2,$D649,$D649-($D649-$I$643)*MIN(E$3-$O$2,$Q$2)/$Q$2))</f>
        <v>10725</v>
      </c>
      <c r="F649" s="15" t="n">
        <f aca="false">E649*(1+IF(F$3&lt;=$O$2,$D649,$D649-($D649-$I$643)*MIN(F$3-$O$2,$Q$2)/$Q$2))</f>
        <v>10892.578125</v>
      </c>
      <c r="G649" s="15" t="n">
        <f aca="false">F649*(1+IF(G$3&lt;=$O$2,$D649,$D649-($D649-$I$643)*MIN(G$3-$O$2,$Q$2)/$Q$2))</f>
        <v>11062.7746582031</v>
      </c>
      <c r="H649" s="15" t="n">
        <f aca="false">G649*(1+IF(H$3&lt;=$O$2,$D649,$D649-($D649-$I$643)*MIN(H$3-$O$2,$Q$2)/$Q$2))</f>
        <v>11235.6305122375</v>
      </c>
      <c r="I649" s="15" t="n">
        <f aca="false">H649*(1+IF(I$3&lt;=$O$2,$D649,$D649-($D649-$I$643)*MIN(I$3-$O$2,$Q$2)/$Q$2))</f>
        <v>11411.1872389913</v>
      </c>
      <c r="J649" s="15" t="n">
        <f aca="false">I649*(1+IF(J$3&lt;=$O$2,$D649,$D649-($D649-$I$643)*MIN(J$3-$O$2,$Q$2)/$Q$2))</f>
        <v>11618.4143992513</v>
      </c>
      <c r="K649" s="15" t="n">
        <f aca="false">J649*(1+IF(K$3&lt;=$O$2,$D649,$D649-($D649-$I$643)*MIN(K$3-$O$2,$Q$2)/$Q$2))</f>
        <v>11858.8574852438</v>
      </c>
      <c r="L649" s="15" t="n">
        <f aca="false">K649*(1+IF(L$3&lt;=$O$2,$D649,$D649-($D649-$I$643)*MIN(L$3-$O$2,$Q$2)/$Q$2))</f>
        <v>12134.3387446261</v>
      </c>
      <c r="M649" s="15" t="n">
        <f aca="false">L649*(1+IF(M$3&lt;=$O$2,$D649,$D649-($D649-$I$643)*MIN(M$3-$O$2,$Q$2)/$Q$2))</f>
        <v>12446.9799823814</v>
      </c>
      <c r="N649" s="15" t="n">
        <f aca="false">M649*(1+IF(N$3&lt;=$O$2,$D649,$D649-($D649-$I$643)*MIN(N$3-$O$2,$Q$2)/$Q$2))</f>
        <v>12799.2295158827</v>
      </c>
      <c r="O649" s="15" t="n">
        <f aca="false">SUMPRODUCT(E649:N649,1/(1+$F$643)^$E$3:$N$3)*$E$2</f>
        <v>36934.3780053524</v>
      </c>
      <c r="P649" s="15" t="n">
        <f aca="false">N649*$E$2*(1+$I$643)/($F$643-$I$643)/(1+$F$643)^$N$3</f>
        <v>48196.100980341</v>
      </c>
      <c r="Q649" s="15" t="n">
        <f aca="false">O649+P649</f>
        <v>85130.4789856934</v>
      </c>
      <c r="R649" s="15" t="n">
        <f aca="false">Q649-$G$2+$I$2</f>
        <v>65670.4789856934</v>
      </c>
      <c r="S649" s="40" t="n">
        <f aca="false">R649/$K$2</f>
        <v>116.978355484945</v>
      </c>
      <c r="T649" s="41" t="n">
        <f aca="false">S649-$M$2</f>
        <v>-38.8313311856402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0.015625</v>
      </c>
      <c r="C650" s="25" t="n">
        <f aca="false">IF(T649&gt;0,D649,C649)</f>
        <v>0.0625</v>
      </c>
      <c r="D650" s="39" t="n">
        <f aca="false">(B650+C650)/2</f>
        <v>0.0390625</v>
      </c>
      <c r="E650" s="15" t="n">
        <f aca="false">$C$2*(1+IF(E$3&lt;=$O$2,$D650,$D650-($D650-$I$643)*MIN(E$3-$O$2,$Q$2)/$Q$2))</f>
        <v>10972.5</v>
      </c>
      <c r="F650" s="15" t="n">
        <f aca="false">E650*(1+IF(F$3&lt;=$O$2,$D650,$D650-($D650-$I$643)*MIN(F$3-$O$2,$Q$2)/$Q$2))</f>
        <v>11401.11328125</v>
      </c>
      <c r="G650" s="15" t="n">
        <f aca="false">F650*(1+IF(G$3&lt;=$O$2,$D650,$D650-($D650-$I$643)*MIN(G$3-$O$2,$Q$2)/$Q$2))</f>
        <v>11846.4692687988</v>
      </c>
      <c r="H650" s="15" t="n">
        <f aca="false">G650*(1+IF(H$3&lt;=$O$2,$D650,$D650-($D650-$I$643)*MIN(H$3-$O$2,$Q$2)/$Q$2))</f>
        <v>12309.2219746113</v>
      </c>
      <c r="I650" s="15" t="n">
        <f aca="false">H650*(1+IF(I$3&lt;=$O$2,$D650,$D650-($D650-$I$643)*MIN(I$3-$O$2,$Q$2)/$Q$2))</f>
        <v>12790.0509579945</v>
      </c>
      <c r="J650" s="15" t="n">
        <f aca="false">I650*(1+IF(J$3&lt;=$O$2,$D650,$D650-($D650-$I$643)*MIN(J$3-$O$2,$Q$2)/$Q$2))</f>
        <v>13262.1317388541</v>
      </c>
      <c r="K650" s="15" t="n">
        <f aca="false">J650*(1+IF(K$3&lt;=$O$2,$D650,$D650-($D650-$I$643)*MIN(K$3-$O$2,$Q$2)/$Q$2))</f>
        <v>13723.0902827673</v>
      </c>
      <c r="L650" s="15" t="n">
        <f aca="false">K650*(1+IF(L$3&lt;=$O$2,$D650,$D650-($D650-$I$643)*MIN(L$3-$O$2,$Q$2)/$Q$2))</f>
        <v>14170.531641437</v>
      </c>
      <c r="M650" s="15" t="n">
        <f aca="false">L650*(1+IF(M$3&lt;=$O$2,$D650,$D650-($D650-$I$643)*MIN(M$3-$O$2,$Q$2)/$Q$2))</f>
        <v>14602.0597562478</v>
      </c>
      <c r="N650" s="15" t="n">
        <f aca="false">M650*(1+IF(N$3&lt;=$O$2,$D650,$D650-($D650-$I$643)*MIN(N$3-$O$2,$Q$2)/$Q$2))</f>
        <v>15015.2980473496</v>
      </c>
      <c r="O650" s="15" t="n">
        <f aca="false">SUMPRODUCT(E650:N650,1/(1+$F$643)^$E$3:$N$3)*$E$2</f>
        <v>40899.1023990556</v>
      </c>
      <c r="P650" s="15" t="n">
        <f aca="false">N650*$E$2*(1+$I$643)/($F$643-$I$643)/(1+$F$643)^$N$3</f>
        <v>56540.8113075835</v>
      </c>
      <c r="Q650" s="15" t="n">
        <f aca="false">O650+P650</f>
        <v>97439.9137066391</v>
      </c>
      <c r="R650" s="15" t="n">
        <f aca="false">Q650-$G$2+$I$2</f>
        <v>77979.9137066391</v>
      </c>
      <c r="S650" s="40" t="n">
        <f aca="false">R650/$K$2</f>
        <v>138.905063693046</v>
      </c>
      <c r="T650" s="41" t="n">
        <f aca="false">S650-$M$2</f>
        <v>-16.9046229775394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0.0390625</v>
      </c>
      <c r="C651" s="25" t="n">
        <f aca="false">IF(T650&gt;0,D650,C650)</f>
        <v>0.0625</v>
      </c>
      <c r="D651" s="39" t="n">
        <f aca="false">(B651+C651)/2</f>
        <v>0.05078125</v>
      </c>
      <c r="E651" s="15" t="n">
        <f aca="false">$C$2*(1+IF(E$3&lt;=$O$2,$D651,$D651-($D651-$I$643)*MIN(E$3-$O$2,$Q$2)/$Q$2))</f>
        <v>11096.25</v>
      </c>
      <c r="F651" s="15" t="n">
        <f aca="false">E651*(1+IF(F$3&lt;=$O$2,$D651,$D651-($D651-$I$643)*MIN(F$3-$O$2,$Q$2)/$Q$2))</f>
        <v>11659.7314453125</v>
      </c>
      <c r="G651" s="15" t="n">
        <f aca="false">F651*(1+IF(G$3&lt;=$O$2,$D651,$D651-($D651-$I$643)*MIN(G$3-$O$2,$Q$2)/$Q$2))</f>
        <v>12251.8271827698</v>
      </c>
      <c r="H651" s="15" t="n">
        <f aca="false">G651*(1+IF(H$3&lt;=$O$2,$D651,$D651-($D651-$I$643)*MIN(H$3-$O$2,$Q$2)/$Q$2))</f>
        <v>12873.9902818948</v>
      </c>
      <c r="I651" s="15" t="n">
        <f aca="false">H651*(1+IF(I$3&lt;=$O$2,$D651,$D651-($D651-$I$643)*MIN(I$3-$O$2,$Q$2)/$Q$2))</f>
        <v>13527.7476008973</v>
      </c>
      <c r="J651" s="15" t="n">
        <f aca="false">I651*(1+IF(J$3&lt;=$O$2,$D651,$D651-($D651-$I$643)*MIN(J$3-$O$2,$Q$2)/$Q$2))</f>
        <v>14153.8793986048</v>
      </c>
      <c r="K651" s="15" t="n">
        <f aca="false">J651*(1+IF(K$3&lt;=$O$2,$D651,$D651-($D651-$I$643)*MIN(K$3-$O$2,$Q$2)/$Q$2))</f>
        <v>14745.3523263233</v>
      </c>
      <c r="L651" s="15" t="n">
        <f aca="false">K651*(1+IF(L$3&lt;=$O$2,$D651,$D651-($D651-$I$643)*MIN(L$3-$O$2,$Q$2)/$Q$2))</f>
        <v>15295.2433779527</v>
      </c>
      <c r="M651" s="15" t="n">
        <f aca="false">L651*(1+IF(M$3&lt;=$O$2,$D651,$D651-($D651-$I$643)*MIN(M$3-$O$2,$Q$2)/$Q$2))</f>
        <v>15796.8700035868</v>
      </c>
      <c r="N651" s="15" t="n">
        <f aca="false">M651*(1+IF(N$3&lt;=$O$2,$D651,$D651-($D651-$I$643)*MIN(N$3-$O$2,$Q$2)/$Q$2))</f>
        <v>16243.9214246883</v>
      </c>
      <c r="O651" s="15" t="n">
        <f aca="false">SUMPRODUCT(E651:N651,1/(1+$F$643)^$E$3:$N$3)*$E$2</f>
        <v>43040.4728582194</v>
      </c>
      <c r="P651" s="15" t="n">
        <f aca="false">N651*$E$2*(1+$I$643)/($F$643-$I$643)/(1+$F$643)^$N$3</f>
        <v>61167.2504449975</v>
      </c>
      <c r="Q651" s="15" t="n">
        <f aca="false">O651+P651</f>
        <v>104207.723303217</v>
      </c>
      <c r="R651" s="15" t="n">
        <f aca="false">Q651-$G$2+$I$2</f>
        <v>84747.7233032169</v>
      </c>
      <c r="S651" s="40" t="n">
        <f aca="false">R651/$K$2</f>
        <v>150.960514621238</v>
      </c>
      <c r="T651" s="41" t="n">
        <f aca="false">S651-$M$2</f>
        <v>-4.84917204934729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0.05078125</v>
      </c>
      <c r="C652" s="25" t="n">
        <f aca="false">IF(T651&gt;0,D651,C651)</f>
        <v>0.0625</v>
      </c>
      <c r="D652" s="39" t="n">
        <f aca="false">(B652+C652)/2</f>
        <v>0.056640625</v>
      </c>
      <c r="E652" s="15" t="n">
        <f aca="false">$C$2*(1+IF(E$3&lt;=$O$2,$D652,$D652-($D652-$I$643)*MIN(E$3-$O$2,$Q$2)/$Q$2))</f>
        <v>11158.125</v>
      </c>
      <c r="F652" s="15" t="n">
        <f aca="false">E652*(1+IF(F$3&lt;=$O$2,$D652,$D652-($D652-$I$643)*MIN(F$3-$O$2,$Q$2)/$Q$2))</f>
        <v>11790.1281738281</v>
      </c>
      <c r="G652" s="15" t="n">
        <f aca="false">F652*(1+IF(G$3&lt;=$O$2,$D652,$D652-($D652-$I$643)*MIN(G$3-$O$2,$Q$2)/$Q$2))</f>
        <v>12457.9284024239</v>
      </c>
      <c r="H652" s="15" t="n">
        <f aca="false">G652*(1+IF(H$3&lt;=$O$2,$D652,$D652-($D652-$I$643)*MIN(H$3-$O$2,$Q$2)/$Q$2))</f>
        <v>13163.5532533424</v>
      </c>
      <c r="I652" s="15" t="n">
        <f aca="false">H652*(1+IF(I$3&lt;=$O$2,$D652,$D652-($D652-$I$643)*MIN(I$3-$O$2,$Q$2)/$Q$2))</f>
        <v>13909.1451368325</v>
      </c>
      <c r="J652" s="15" t="n">
        <f aca="false">I652*(1+IF(J$3&lt;=$O$2,$D652,$D652-($D652-$I$643)*MIN(J$3-$O$2,$Q$2)/$Q$2))</f>
        <v>14618.1290373197</v>
      </c>
      <c r="K652" s="15" t="n">
        <f aca="false">J652*(1+IF(K$3&lt;=$O$2,$D652,$D652-($D652-$I$643)*MIN(K$3-$O$2,$Q$2)/$Q$2))</f>
        <v>15280.3942370248</v>
      </c>
      <c r="L652" s="15" t="n">
        <f aca="false">K652*(1+IF(L$3&lt;=$O$2,$D652,$D652-($D652-$I$643)*MIN(L$3-$O$2,$Q$2)/$Q$2))</f>
        <v>15886.0517631021</v>
      </c>
      <c r="M652" s="15" t="n">
        <f aca="false">L652*(1+IF(M$3&lt;=$O$2,$D652,$D652-($D652-$I$643)*MIN(M$3-$O$2,$Q$2)/$Q$2))</f>
        <v>16425.6711551476</v>
      </c>
      <c r="N652" s="15" t="n">
        <f aca="false">M652*(1+IF(N$3&lt;=$O$2,$D652,$D652-($D652-$I$643)*MIN(N$3-$O$2,$Q$2)/$Q$2))</f>
        <v>16890.5176488383</v>
      </c>
      <c r="O652" s="15" t="n">
        <f aca="false">SUMPRODUCT(E652:N652,1/(1+$F$643)^$E$3:$N$3)*$E$2</f>
        <v>44153.2040135088</v>
      </c>
      <c r="P652" s="15" t="n">
        <f aca="false">N652*$E$2*(1+$I$643)/($F$643-$I$643)/(1+$F$643)^$N$3</f>
        <v>63602.0389511311</v>
      </c>
      <c r="Q652" s="15" t="n">
        <f aca="false">O652+P652</f>
        <v>107755.24296464</v>
      </c>
      <c r="R652" s="15" t="n">
        <f aca="false">Q652-$G$2+$I$2</f>
        <v>88295.2429646399</v>
      </c>
      <c r="S652" s="40" t="n">
        <f aca="false">R652/$K$2</f>
        <v>157.279686073211</v>
      </c>
      <c r="T652" s="41" t="n">
        <f aca="false">S652-$M$2</f>
        <v>1.46999940262546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0.05078125</v>
      </c>
      <c r="C653" s="25" t="n">
        <f aca="false">IF(T652&gt;0,D652,C652)</f>
        <v>0.056640625</v>
      </c>
      <c r="D653" s="39" t="n">
        <f aca="false">(B653+C653)/2</f>
        <v>0.0537109375</v>
      </c>
      <c r="E653" s="15" t="n">
        <f aca="false">$C$2*(1+IF(E$3&lt;=$O$2,$D653,$D653-($D653-$I$643)*MIN(E$3-$O$2,$Q$2)/$Q$2))</f>
        <v>11127.1875</v>
      </c>
      <c r="F653" s="15" t="n">
        <f aca="false">E653*(1+IF(F$3&lt;=$O$2,$D653,$D653-($D653-$I$643)*MIN(F$3-$O$2,$Q$2)/$Q$2))</f>
        <v>11724.8391723633</v>
      </c>
      <c r="G653" s="15" t="n">
        <f aca="false">F653*(1+IF(G$3&lt;=$O$2,$D653,$D653-($D653-$I$643)*MIN(G$3-$O$2,$Q$2)/$Q$2))</f>
        <v>12354.5912763476</v>
      </c>
      <c r="H653" s="15" t="n">
        <f aca="false">G653*(1+IF(H$3&lt;=$O$2,$D653,$D653-($D653-$I$643)*MIN(H$3-$O$2,$Q$2)/$Q$2))</f>
        <v>13018.1679562296</v>
      </c>
      <c r="I653" s="15" t="n">
        <f aca="false">H653*(1+IF(I$3&lt;=$O$2,$D653,$D653-($D653-$I$643)*MIN(I$3-$O$2,$Q$2)/$Q$2))</f>
        <v>13717.3859616911</v>
      </c>
      <c r="J653" s="15" t="n">
        <f aca="false">I653*(1+IF(J$3&lt;=$O$2,$D653,$D653-($D653-$I$643)*MIN(J$3-$O$2,$Q$2)/$Q$2))</f>
        <v>14384.4452942757</v>
      </c>
      <c r="K653" s="15" t="n">
        <f aca="false">J653*(1+IF(K$3&lt;=$O$2,$D653,$D653-($D653-$I$643)*MIN(K$3-$O$2,$Q$2)/$Q$2))</f>
        <v>15010.8384403107</v>
      </c>
      <c r="L653" s="15" t="n">
        <f aca="false">K653*(1+IF(L$3&lt;=$O$2,$D653,$D653-($D653-$I$643)*MIN(L$3-$O$2,$Q$2)/$Q$2))</f>
        <v>15588.2209591433</v>
      </c>
      <c r="M653" s="15" t="n">
        <f aca="false">L653*(1+IF(M$3&lt;=$O$2,$D653,$D653-($D653-$I$643)*MIN(M$3-$O$2,$Q$2)/$Q$2))</f>
        <v>16108.5898739928</v>
      </c>
      <c r="N653" s="15" t="n">
        <f aca="false">M653*(1+IF(N$3&lt;=$O$2,$D653,$D653-($D653-$I$643)*MIN(N$3-$O$2,$Q$2)/$Q$2))</f>
        <v>16564.4629674268</v>
      </c>
      <c r="O653" s="15" t="n">
        <f aca="false">SUMPRODUCT(E653:N653,1/(1+$F$643)^$E$3:$N$3)*$E$2</f>
        <v>43593.2639854043</v>
      </c>
      <c r="P653" s="15" t="n">
        <f aca="false">N653*$E$2*(1+$I$643)/($F$643-$I$643)/(1+$F$643)^$N$3</f>
        <v>62374.2647065237</v>
      </c>
      <c r="Q653" s="15" t="n">
        <f aca="false">O653+P653</f>
        <v>105967.528691928</v>
      </c>
      <c r="R653" s="15" t="n">
        <f aca="false">Q653-$G$2+$I$2</f>
        <v>86507.528691928</v>
      </c>
      <c r="S653" s="40" t="n">
        <f aca="false">R653/$K$2</f>
        <v>154.095243399291</v>
      </c>
      <c r="T653" s="41" t="n">
        <f aca="false">S653-$M$2</f>
        <v>-1.71444327129441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0.0537109375</v>
      </c>
      <c r="C654" s="25" t="n">
        <f aca="false">IF(T653&gt;0,D653,C653)</f>
        <v>0.056640625</v>
      </c>
      <c r="D654" s="39" t="n">
        <f aca="false">(B654+C654)/2</f>
        <v>0.05517578125</v>
      </c>
      <c r="E654" s="15" t="n">
        <f aca="false">$C$2*(1+IF(E$3&lt;=$O$2,$D654,$D654-($D654-$I$643)*MIN(E$3-$O$2,$Q$2)/$Q$2))</f>
        <v>11142.65625</v>
      </c>
      <c r="F654" s="15" t="n">
        <f aca="false">E654*(1+IF(F$3&lt;=$O$2,$D654,$D654-($D654-$I$643)*MIN(F$3-$O$2,$Q$2)/$Q$2))</f>
        <v>11757.4610137939</v>
      </c>
      <c r="G654" s="15" t="n">
        <f aca="false">F654*(1+IF(G$3&lt;=$O$2,$D654,$D654-($D654-$I$643)*MIN(G$3-$O$2,$Q$2)/$Q$2))</f>
        <v>12406.1881107464</v>
      </c>
      <c r="H654" s="15" t="n">
        <f aca="false">G654*(1+IF(H$3&lt;=$O$2,$D654,$D654-($D654-$I$643)*MIN(H$3-$O$2,$Q$2)/$Q$2))</f>
        <v>13090.7092320913</v>
      </c>
      <c r="I654" s="15" t="n">
        <f aca="false">H654*(1+IF(I$3&lt;=$O$2,$D654,$D654-($D654-$I$643)*MIN(I$3-$O$2,$Q$2)/$Q$2))</f>
        <v>13812.9993410886</v>
      </c>
      <c r="J654" s="15" t="n">
        <f aca="false">I654*(1+IF(J$3&lt;=$O$2,$D654,$D654-($D654-$I$643)*MIN(J$3-$O$2,$Q$2)/$Q$2))</f>
        <v>14500.8953413994</v>
      </c>
      <c r="K654" s="15" t="n">
        <f aca="false">J654*(1+IF(K$3&lt;=$O$2,$D654,$D654-($D654-$I$643)*MIN(K$3-$O$2,$Q$2)/$Q$2))</f>
        <v>15145.1044142357</v>
      </c>
      <c r="L654" s="15" t="n">
        <f aca="false">K654*(1+IF(L$3&lt;=$O$2,$D654,$D654-($D654-$I$643)*MIN(L$3-$O$2,$Q$2)/$Q$2))</f>
        <v>15736.5254744568</v>
      </c>
      <c r="M654" s="15" t="n">
        <f aca="false">L654*(1+IF(M$3&lt;=$O$2,$D654,$D654-($D654-$I$643)*MIN(M$3-$O$2,$Q$2)/$Q$2))</f>
        <v>16266.4554286412</v>
      </c>
      <c r="N654" s="15" t="n">
        <f aca="false">M654*(1+IF(N$3&lt;=$O$2,$D654,$D654-($D654-$I$643)*MIN(N$3-$O$2,$Q$2)/$Q$2))</f>
        <v>16726.7961172717</v>
      </c>
      <c r="O654" s="15" t="n">
        <f aca="false">SUMPRODUCT(E654:N654,1/(1+$F$643)^$E$3:$N$3)*$E$2</f>
        <v>43872.3350136524</v>
      </c>
      <c r="P654" s="15" t="n">
        <f aca="false">N654*$E$2*(1+$I$643)/($F$643-$I$643)/(1+$F$643)^$N$3</f>
        <v>62985.5378204775</v>
      </c>
      <c r="Q654" s="15" t="n">
        <f aca="false">O654+P654</f>
        <v>106857.87283413</v>
      </c>
      <c r="R654" s="15" t="n">
        <f aca="false">Q654-$G$2+$I$2</f>
        <v>87397.8728341298</v>
      </c>
      <c r="S654" s="40" t="n">
        <f aca="false">R654/$K$2</f>
        <v>155.681207064839</v>
      </c>
      <c r="T654" s="41" t="n">
        <f aca="false">S654-$M$2</f>
        <v>-0.128479605746719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0.05517578125</v>
      </c>
      <c r="C655" s="25" t="n">
        <f aca="false">IF(T654&gt;0,D654,C654)</f>
        <v>0.056640625</v>
      </c>
      <c r="D655" s="39" t="n">
        <f aca="false">(B655+C655)/2</f>
        <v>0.055908203125</v>
      </c>
      <c r="E655" s="15" t="n">
        <f aca="false">$C$2*(1+IF(E$3&lt;=$O$2,$D655,$D655-($D655-$I$643)*MIN(E$3-$O$2,$Q$2)/$Q$2))</f>
        <v>11150.390625</v>
      </c>
      <c r="F655" s="15" t="n">
        <f aca="false">E655*(1+IF(F$3&lt;=$O$2,$D655,$D655-($D655-$I$643)*MIN(F$3-$O$2,$Q$2)/$Q$2))</f>
        <v>11773.7889289856</v>
      </c>
      <c r="G655" s="15" t="n">
        <f aca="false">F655*(1+IF(G$3&lt;=$O$2,$D655,$D655-($D655-$I$643)*MIN(G$3-$O$2,$Q$2)/$Q$2))</f>
        <v>12432.0403119782</v>
      </c>
      <c r="H655" s="15" t="n">
        <f aca="false">G655*(1+IF(H$3&lt;=$O$2,$D655,$D655-($D655-$I$643)*MIN(H$3-$O$2,$Q$2)/$Q$2))</f>
        <v>13127.0933469985</v>
      </c>
      <c r="I655" s="15" t="n">
        <f aca="false">H655*(1+IF(I$3&lt;=$O$2,$D655,$D655-($D655-$I$643)*MIN(I$3-$O$2,$Q$2)/$Q$2))</f>
        <v>13861.0055482833</v>
      </c>
      <c r="J655" s="15" t="n">
        <f aca="false">I655*(1+IF(J$3&lt;=$O$2,$D655,$D655-($D655-$I$643)*MIN(J$3-$O$2,$Q$2)/$Q$2))</f>
        <v>14559.4139706547</v>
      </c>
      <c r="K655" s="15" t="n">
        <f aca="false">J655*(1+IF(K$3&lt;=$O$2,$D655,$D655-($D655-$I$643)*MIN(K$3-$O$2,$Q$2)/$Q$2))</f>
        <v>15212.6209409939</v>
      </c>
      <c r="L655" s="15" t="n">
        <f aca="false">K655*(1+IF(L$3&lt;=$O$2,$D655,$D655-($D655-$I$643)*MIN(L$3-$O$2,$Q$2)/$Q$2))</f>
        <v>15811.1353652251</v>
      </c>
      <c r="M655" s="15" t="n">
        <f aca="false">L655*(1+IF(M$3&lt;=$O$2,$D655,$D655-($D655-$I$643)*MIN(M$3-$O$2,$Q$2)/$Q$2))</f>
        <v>16345.893903421</v>
      </c>
      <c r="N655" s="15" t="n">
        <f aca="false">M655*(1+IF(N$3&lt;=$O$2,$D655,$D655-($D655-$I$643)*MIN(N$3-$O$2,$Q$2)/$Q$2))</f>
        <v>16808.4827008878</v>
      </c>
      <c r="O655" s="15" t="n">
        <f aca="false">SUMPRODUCT(E655:N655,1/(1+$F$643)^$E$3:$N$3)*$E$2</f>
        <v>44012.5440924104</v>
      </c>
      <c r="P655" s="15" t="n">
        <f aca="false">N655*$E$2*(1+$I$643)/($F$643-$I$643)/(1+$F$643)^$N$3</f>
        <v>63293.1324946578</v>
      </c>
      <c r="Q655" s="15" t="n">
        <f aca="false">O655+P655</f>
        <v>107305.676587068</v>
      </c>
      <c r="R655" s="15" t="n">
        <f aca="false">Q655-$G$2+$I$2</f>
        <v>87845.6765870682</v>
      </c>
      <c r="S655" s="40" t="n">
        <f aca="false">R655/$K$2</f>
        <v>156.478876693686</v>
      </c>
      <c r="T655" s="41" t="n">
        <f aca="false">S655-$M$2</f>
        <v>0.669190023100157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0.05517578125</v>
      </c>
      <c r="C656" s="25" t="n">
        <f aca="false">IF(T655&gt;0,D655,C655)</f>
        <v>0.055908203125</v>
      </c>
      <c r="D656" s="39" t="n">
        <f aca="false">(B656+C656)/2</f>
        <v>0.0555419921875</v>
      </c>
      <c r="E656" s="15" t="n">
        <f aca="false">$C$2*(1+IF(E$3&lt;=$O$2,$D656,$D656-($D656-$I$643)*MIN(E$3-$O$2,$Q$2)/$Q$2))</f>
        <v>11146.5234375</v>
      </c>
      <c r="F656" s="15" t="n">
        <f aca="false">E656*(1+IF(F$3&lt;=$O$2,$D656,$D656-($D656-$I$643)*MIN(F$3-$O$2,$Q$2)/$Q$2))</f>
        <v>11765.6235551834</v>
      </c>
      <c r="G656" s="15" t="n">
        <f aca="false">F656*(1+IF(G$3&lt;=$O$2,$D656,$D656-($D656-$I$643)*MIN(G$3-$O$2,$Q$2)/$Q$2))</f>
        <v>12419.1097267665</v>
      </c>
      <c r="H656" s="15" t="n">
        <f aca="false">G656*(1+IF(H$3&lt;=$O$2,$D656,$D656-($D656-$I$643)*MIN(H$3-$O$2,$Q$2)/$Q$2))</f>
        <v>13108.8918221862</v>
      </c>
      <c r="I656" s="15" t="n">
        <f aca="false">H656*(1+IF(I$3&lt;=$O$2,$D656,$D656-($D656-$I$643)*MIN(I$3-$O$2,$Q$2)/$Q$2))</f>
        <v>13836.9857893609</v>
      </c>
      <c r="J656" s="15" t="n">
        <f aca="false">I656*(1+IF(J$3&lt;=$O$2,$D656,$D656-($D656-$I$643)*MIN(J$3-$O$2,$Q$2)/$Q$2))</f>
        <v>14530.1301342177</v>
      </c>
      <c r="K656" s="15" t="n">
        <f aca="false">J656*(1+IF(K$3&lt;=$O$2,$D656,$D656-($D656-$I$643)*MIN(K$3-$O$2,$Q$2)/$Q$2))</f>
        <v>15178.8306319759</v>
      </c>
      <c r="L656" s="15" t="n">
        <f aca="false">K656*(1+IF(L$3&lt;=$O$2,$D656,$D656-($D656-$I$643)*MIN(L$3-$O$2,$Q$2)/$Q$2))</f>
        <v>15773.7921730574</v>
      </c>
      <c r="M656" s="15" t="n">
        <f aca="false">L656*(1+IF(M$3&lt;=$O$2,$D656,$D656-($D656-$I$643)*MIN(M$3-$O$2,$Q$2)/$Q$2))</f>
        <v>16306.1323961841</v>
      </c>
      <c r="N656" s="15" t="n">
        <f aca="false">M656*(1+IF(N$3&lt;=$O$2,$D656,$D656-($D656-$I$643)*MIN(N$3-$O$2,$Q$2)/$Q$2))</f>
        <v>16767.5959429961</v>
      </c>
      <c r="O656" s="15" t="n">
        <f aca="false">SUMPRODUCT(E656:N656,1/(1+$F$643)^$E$3:$N$3)*$E$2</f>
        <v>43942.3832822162</v>
      </c>
      <c r="P656" s="15" t="n">
        <f aca="false">N656*$E$2*(1+$I$643)/($F$643-$I$643)/(1+$F$643)^$N$3</f>
        <v>63139.1714839845</v>
      </c>
      <c r="Q656" s="15" t="n">
        <f aca="false">O656+P656</f>
        <v>107081.554766201</v>
      </c>
      <c r="R656" s="15" t="n">
        <f aca="false">Q656-$G$2+$I$2</f>
        <v>87621.5547662007</v>
      </c>
      <c r="S656" s="40" t="n">
        <f aca="false">R656/$K$2</f>
        <v>156.079650093875</v>
      </c>
      <c r="T656" s="41" t="n">
        <f aca="false">S656-$M$2</f>
        <v>0.269963423289823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0.05517578125</v>
      </c>
      <c r="C657" s="25" t="n">
        <f aca="false">IF(T656&gt;0,D656,C656)</f>
        <v>0.0555419921875</v>
      </c>
      <c r="D657" s="39" t="n">
        <f aca="false">(B657+C657)/2</f>
        <v>0.05535888671875</v>
      </c>
      <c r="E657" s="15" t="n">
        <f aca="false">$C$2*(1+IF(E$3&lt;=$O$2,$D657,$D657-($D657-$I$643)*MIN(E$3-$O$2,$Q$2)/$Q$2))</f>
        <v>11144.58984375</v>
      </c>
      <c r="F657" s="15" t="n">
        <f aca="false">E657*(1+IF(F$3&lt;=$O$2,$D657,$D657-($D657-$I$643)*MIN(F$3-$O$2,$Q$2)/$Q$2))</f>
        <v>11761.5419304371</v>
      </c>
      <c r="G657" s="15" t="n">
        <f aca="false">F657*(1+IF(G$3&lt;=$O$2,$D657,$D657-($D657-$I$643)*MIN(G$3-$O$2,$Q$2)/$Q$2))</f>
        <v>12412.647797802</v>
      </c>
      <c r="H657" s="15" t="n">
        <f aca="false">G657*(1+IF(H$3&lt;=$O$2,$D657,$D657-($D657-$I$643)*MIN(H$3-$O$2,$Q$2)/$Q$2))</f>
        <v>13099.7981611202</v>
      </c>
      <c r="I657" s="15" t="n">
        <f aca="false">H657*(1+IF(I$3&lt;=$O$2,$D657,$D657-($D657-$I$643)*MIN(I$3-$O$2,$Q$2)/$Q$2))</f>
        <v>13824.9884035602</v>
      </c>
      <c r="J657" s="15" t="n">
        <f aca="false">I657*(1+IF(J$3&lt;=$O$2,$D657,$D657-($D657-$I$643)*MIN(J$3-$O$2,$Q$2)/$Q$2))</f>
        <v>14515.5066114609</v>
      </c>
      <c r="K657" s="15" t="n">
        <f aca="false">J657*(1+IF(K$3&lt;=$O$2,$D657,$D657-($D657-$I$643)*MIN(K$3-$O$2,$Q$2)/$Q$2))</f>
        <v>15161.9595180041</v>
      </c>
      <c r="L657" s="15" t="n">
        <f aca="false">K657*(1+IF(L$3&lt;=$O$2,$D657,$D657-($D657-$I$643)*MIN(L$3-$O$2,$Q$2)/$Q$2))</f>
        <v>15755.1492703764</v>
      </c>
      <c r="M657" s="15" t="n">
        <f aca="false">L657*(1+IF(M$3&lt;=$O$2,$D657,$D657-($D657-$I$643)*MIN(M$3-$O$2,$Q$2)/$Q$2))</f>
        <v>16286.2833545969</v>
      </c>
      <c r="N657" s="15" t="n">
        <f aca="false">M657*(1+IF(N$3&lt;=$O$2,$D657,$D657-($D657-$I$643)*MIN(N$3-$O$2,$Q$2)/$Q$2))</f>
        <v>16747.185173532</v>
      </c>
      <c r="O657" s="15" t="n">
        <f aca="false">SUMPRODUCT(E657:N657,1/(1+$F$643)^$E$3:$N$3)*$E$2</f>
        <v>43907.3450907781</v>
      </c>
      <c r="P657" s="15" t="n">
        <f aca="false">N657*$E$2*(1+$I$643)/($F$643-$I$643)/(1+$F$643)^$N$3</f>
        <v>63062.3137711856</v>
      </c>
      <c r="Q657" s="15" t="n">
        <f aca="false">O657+P657</f>
        <v>106969.658861964</v>
      </c>
      <c r="R657" s="15" t="n">
        <f aca="false">Q657-$G$2+$I$2</f>
        <v>87509.6588619637</v>
      </c>
      <c r="S657" s="40" t="n">
        <f aca="false">R657/$K$2</f>
        <v>155.880330718331</v>
      </c>
      <c r="T657" s="41" t="n">
        <f aca="false">S657-$M$2</f>
        <v>0.070644047745219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0.05517578125</v>
      </c>
      <c r="C658" s="25" t="n">
        <f aca="false">IF(T657&gt;0,D657,C657)</f>
        <v>0.05535888671875</v>
      </c>
      <c r="D658" s="39" t="n">
        <f aca="false">(B658+C658)/2</f>
        <v>0.055267333984375</v>
      </c>
      <c r="E658" s="15" t="n">
        <f aca="false">$C$2*(1+IF(E$3&lt;=$O$2,$D658,$D658-($D658-$I$643)*MIN(E$3-$O$2,$Q$2)/$Q$2))</f>
        <v>11143.623046875</v>
      </c>
      <c r="F658" s="15" t="n">
        <f aca="false">E658*(1+IF(F$3&lt;=$O$2,$D658,$D658-($D658-$I$643)*MIN(F$3-$O$2,$Q$2)/$Q$2))</f>
        <v>11759.5013836026</v>
      </c>
      <c r="G658" s="15" t="n">
        <f aca="false">F658*(1+IF(G$3&lt;=$O$2,$D658,$D658-($D658-$I$643)*MIN(G$3-$O$2,$Q$2)/$Q$2))</f>
        <v>12409.4176740599</v>
      </c>
      <c r="H658" s="15" t="n">
        <f aca="false">G658*(1+IF(H$3&lt;=$O$2,$D658,$D658-($D658-$I$643)*MIN(H$3-$O$2,$Q$2)/$Q$2))</f>
        <v>13095.2531052038</v>
      </c>
      <c r="I658" s="15" t="n">
        <f aca="false">H658*(1+IF(I$3&lt;=$O$2,$D658,$D658-($D658-$I$643)*MIN(I$3-$O$2,$Q$2)/$Q$2))</f>
        <v>13818.992832179</v>
      </c>
      <c r="J658" s="15" t="n">
        <f aca="false">I658*(1+IF(J$3&lt;=$O$2,$D658,$D658-($D658-$I$643)*MIN(J$3-$O$2,$Q$2)/$Q$2))</f>
        <v>14508.1994453561</v>
      </c>
      <c r="K658" s="15" t="n">
        <f aca="false">J658*(1+IF(K$3&lt;=$O$2,$D658,$D658-($D658-$I$643)*MIN(K$3-$O$2,$Q$2)/$Q$2))</f>
        <v>15153.5299656326</v>
      </c>
      <c r="L658" s="15" t="n">
        <f aca="false">K658*(1+IF(L$3&lt;=$O$2,$D658,$D658-($D658-$I$643)*MIN(L$3-$O$2,$Q$2)/$Q$2))</f>
        <v>15745.8349851102</v>
      </c>
      <c r="M658" s="15" t="n">
        <f aca="false">L658*(1+IF(M$3&lt;=$O$2,$D658,$D658-($D658-$I$643)*MIN(M$3-$O$2,$Q$2)/$Q$2))</f>
        <v>16276.3667533701</v>
      </c>
      <c r="N658" s="15" t="n">
        <f aca="false">M658*(1+IF(N$3&lt;=$O$2,$D658,$D658-($D658-$I$643)*MIN(N$3-$O$2,$Q$2)/$Q$2))</f>
        <v>16736.9879324904</v>
      </c>
      <c r="O658" s="15" t="n">
        <f aca="false">SUMPRODUCT(E658:N658,1/(1+$F$643)^$E$3:$N$3)*$E$2</f>
        <v>43889.8365392439</v>
      </c>
      <c r="P658" s="15" t="n">
        <f aca="false">N658*$E$2*(1+$I$643)/($F$643-$I$643)/(1+$F$643)^$N$3</f>
        <v>63023.9155802359</v>
      </c>
      <c r="Q658" s="15" t="n">
        <f aca="false">O658+P658</f>
        <v>106913.75211948</v>
      </c>
      <c r="R658" s="15" t="n">
        <f aca="false">Q658-$G$2+$I$2</f>
        <v>87453.7521194798</v>
      </c>
      <c r="S658" s="40" t="n">
        <f aca="false">R658/$K$2</f>
        <v>155.780744436986</v>
      </c>
      <c r="T658" s="41" t="n">
        <f aca="false">S658-$M$2</f>
        <v>-0.0289422335991674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0.055267333984375</v>
      </c>
      <c r="C659" s="25" t="n">
        <f aca="false">IF(T658&gt;0,D658,C658)</f>
        <v>0.05535888671875</v>
      </c>
      <c r="D659" s="39" t="n">
        <f aca="false">(B659+C659)/2</f>
        <v>0.0553131103515625</v>
      </c>
      <c r="E659" s="15" t="n">
        <f aca="false">$C$2*(1+IF(E$3&lt;=$O$2,$D659,$D659-($D659-$I$643)*MIN(E$3-$O$2,$Q$2)/$Q$2))</f>
        <v>11144.1064453125</v>
      </c>
      <c r="F659" s="15" t="n">
        <f aca="false">E659*(1+IF(F$3&lt;=$O$2,$D659,$D659-($D659-$I$643)*MIN(F$3-$O$2,$Q$2)/$Q$2))</f>
        <v>11760.5216348916</v>
      </c>
      <c r="G659" s="15" t="n">
        <f aca="false">F659*(1+IF(G$3&lt;=$O$2,$D659,$D659-($D659-$I$643)*MIN(G$3-$O$2,$Q$2)/$Q$2))</f>
        <v>12411.0326658743</v>
      </c>
      <c r="H659" s="15" t="n">
        <f aca="false">G659*(1+IF(H$3&lt;=$O$2,$D659,$D659-($D659-$I$643)*MIN(H$3-$O$2,$Q$2)/$Q$2))</f>
        <v>13097.5254852987</v>
      </c>
      <c r="I659" s="15" t="n">
        <f aca="false">H659*(1+IF(I$3&lt;=$O$2,$D659,$D659-($D659-$I$643)*MIN(I$3-$O$2,$Q$2)/$Q$2))</f>
        <v>13821.9903577994</v>
      </c>
      <c r="J659" s="15" t="n">
        <f aca="false">I659*(1+IF(J$3&lt;=$O$2,$D659,$D659-($D659-$I$643)*MIN(J$3-$O$2,$Q$2)/$Q$2))</f>
        <v>14511.8526455759</v>
      </c>
      <c r="K659" s="15" t="n">
        <f aca="false">J659*(1+IF(K$3&lt;=$O$2,$D659,$D659-($D659-$I$643)*MIN(K$3-$O$2,$Q$2)/$Q$2))</f>
        <v>15157.744241598</v>
      </c>
      <c r="L659" s="15" t="n">
        <f aca="false">K659*(1+IF(L$3&lt;=$O$2,$D659,$D659-($D659-$I$643)*MIN(L$3-$O$2,$Q$2)/$Q$2))</f>
        <v>15750.4915307869</v>
      </c>
      <c r="M659" s="15" t="n">
        <f aca="false">L659*(1+IF(M$3&lt;=$O$2,$D659,$D659-($D659-$I$643)*MIN(M$3-$O$2,$Q$2)/$Q$2))</f>
        <v>16281.3243942707</v>
      </c>
      <c r="N659" s="15" t="n">
        <f aca="false">M659*(1+IF(N$3&lt;=$O$2,$D659,$D659-($D659-$I$643)*MIN(N$3-$O$2,$Q$2)/$Q$2))</f>
        <v>16742.0858746285</v>
      </c>
      <c r="O659" s="15" t="n">
        <f aca="false">SUMPRODUCT(E659:N659,1/(1+$F$643)^$E$3:$N$3)*$E$2</f>
        <v>43898.5899366035</v>
      </c>
      <c r="P659" s="15" t="n">
        <f aca="false">N659*$E$2*(1+$I$643)/($F$643-$I$643)/(1+$F$643)^$N$3</f>
        <v>63043.1121212287</v>
      </c>
      <c r="Q659" s="15" t="n">
        <f aca="false">O659+P659</f>
        <v>106941.702057832</v>
      </c>
      <c r="R659" s="15" t="n">
        <f aca="false">Q659-$G$2+$I$2</f>
        <v>87481.7020578322</v>
      </c>
      <c r="S659" s="40" t="n">
        <f aca="false">R659/$K$2</f>
        <v>155.830531462677</v>
      </c>
      <c r="T659" s="41" t="n">
        <f aca="false">S659-$M$2</f>
        <v>0.0208447920914807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0.055267333984375</v>
      </c>
      <c r="C660" s="25" t="n">
        <f aca="false">IF(T659&gt;0,D659,C659)</f>
        <v>0.0553131103515625</v>
      </c>
      <c r="D660" s="39" t="n">
        <f aca="false">(B660+C660)/2</f>
        <v>0.0552902221679688</v>
      </c>
      <c r="E660" s="15" t="n">
        <f aca="false">$C$2*(1+IF(E$3&lt;=$O$2,$D660,$D660-($D660-$I$643)*MIN(E$3-$O$2,$Q$2)/$Q$2))</f>
        <v>11143.8647460938</v>
      </c>
      <c r="F660" s="15" t="n">
        <f aca="false">E660*(1+IF(F$3&lt;=$O$2,$D660,$D660-($D660-$I$643)*MIN(F$3-$O$2,$Q$2)/$Q$2))</f>
        <v>11760.0115037151</v>
      </c>
      <c r="G660" s="15" t="n">
        <f aca="false">F660*(1+IF(G$3&lt;=$O$2,$D660,$D660-($D660-$I$643)*MIN(G$3-$O$2,$Q$2)/$Q$2))</f>
        <v>12410.2251524533</v>
      </c>
      <c r="H660" s="15" t="n">
        <f aca="false">G660*(1+IF(H$3&lt;=$O$2,$D660,$D660-($D660-$I$643)*MIN(H$3-$O$2,$Q$2)/$Q$2))</f>
        <v>13096.389258287</v>
      </c>
      <c r="I660" s="15" t="n">
        <f aca="false">H660*(1+IF(I$3&lt;=$O$2,$D660,$D660-($D660-$I$643)*MIN(I$3-$O$2,$Q$2)/$Q$2))</f>
        <v>13820.4915299759</v>
      </c>
      <c r="J660" s="15" t="n">
        <f aca="false">I660*(1+IF(J$3&lt;=$O$2,$D660,$D660-($D660-$I$643)*MIN(J$3-$O$2,$Q$2)/$Q$2))</f>
        <v>14510.0259497659</v>
      </c>
      <c r="K660" s="15" t="n">
        <f aca="false">J660*(1+IF(K$3&lt;=$O$2,$D660,$D660-($D660-$I$643)*MIN(K$3-$O$2,$Q$2)/$Q$2))</f>
        <v>15155.6369785726</v>
      </c>
      <c r="L660" s="15" t="n">
        <f aca="false">K660*(1+IF(L$3&lt;=$O$2,$D660,$D660-($D660-$I$643)*MIN(L$3-$O$2,$Q$2)/$Q$2))</f>
        <v>15748.1631087257</v>
      </c>
      <c r="M660" s="15" t="n">
        <f aca="false">L660*(1+IF(M$3&lt;=$O$2,$D660,$D660-($D660-$I$643)*MIN(M$3-$O$2,$Q$2)/$Q$2))</f>
        <v>16278.845408911</v>
      </c>
      <c r="N660" s="15" t="n">
        <f aca="false">M660*(1+IF(N$3&lt;=$O$2,$D660,$D660-($D660-$I$643)*MIN(N$3-$O$2,$Q$2)/$Q$2))</f>
        <v>16739.5367339832</v>
      </c>
      <c r="O660" s="15" t="n">
        <f aca="false">SUMPRODUCT(E660:N660,1/(1+$F$643)^$E$3:$N$3)*$E$2</f>
        <v>43894.2130183424</v>
      </c>
      <c r="P660" s="15" t="n">
        <f aca="false">N660*$E$2*(1+$I$643)/($F$643-$I$643)/(1+$F$643)^$N$3</f>
        <v>63033.5132121847</v>
      </c>
      <c r="Q660" s="15" t="n">
        <f aca="false">O660+P660</f>
        <v>106927.726230527</v>
      </c>
      <c r="R660" s="15" t="n">
        <f aca="false">Q660-$G$2+$I$2</f>
        <v>87467.7262305271</v>
      </c>
      <c r="S660" s="40" t="n">
        <f aca="false">R660/$K$2</f>
        <v>155.805636421253</v>
      </c>
      <c r="T660" s="41" t="n">
        <f aca="false">S660-$M$2</f>
        <v>-0.00405024933272102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0.0552902221679688</v>
      </c>
      <c r="C661" s="25" t="n">
        <f aca="false">IF(T660&gt;0,D660,C660)</f>
        <v>0.0553131103515625</v>
      </c>
      <c r="D661" s="39" t="n">
        <f aca="false">(B661+C661)/2</f>
        <v>0.0553016662597656</v>
      </c>
      <c r="E661" s="15" t="n">
        <f aca="false">$C$2*(1+IF(E$3&lt;=$O$2,$D661,$D661-($D661-$I$643)*MIN(E$3-$O$2,$Q$2)/$Q$2))</f>
        <v>11143.9855957031</v>
      </c>
      <c r="F661" s="15" t="n">
        <f aca="false">E661*(1+IF(F$3&lt;=$O$2,$D661,$D661-($D661-$I$643)*MIN(F$3-$O$2,$Q$2)/$Q$2))</f>
        <v>11760.2665679203</v>
      </c>
      <c r="G661" s="15" t="n">
        <f aca="false">F661*(1+IF(G$3&lt;=$O$2,$D661,$D661-($D661-$I$643)*MIN(G$3-$O$2,$Q$2)/$Q$2))</f>
        <v>12410.6289047853</v>
      </c>
      <c r="H661" s="15" t="n">
        <f aca="false">G661*(1+IF(H$3&lt;=$O$2,$D661,$D661-($D661-$I$643)*MIN(H$3-$O$2,$Q$2)/$Q$2))</f>
        <v>13096.9573625516</v>
      </c>
      <c r="I661" s="15" t="n">
        <f aca="false">H661*(1+IF(I$3&lt;=$O$2,$D661,$D661-($D661-$I$643)*MIN(I$3-$O$2,$Q$2)/$Q$2))</f>
        <v>13821.2409276338</v>
      </c>
      <c r="J661" s="15" t="n">
        <f aca="false">I661*(1+IF(J$3&lt;=$O$2,$D661,$D661-($D661-$I$643)*MIN(J$3-$O$2,$Q$2)/$Q$2))</f>
        <v>14510.9392737449</v>
      </c>
      <c r="K661" s="15" t="n">
        <f aca="false">J661*(1+IF(K$3&lt;=$O$2,$D661,$D661-($D661-$I$643)*MIN(K$3-$O$2,$Q$2)/$Q$2))</f>
        <v>15156.6905788231</v>
      </c>
      <c r="L661" s="15" t="n">
        <f aca="false">K661*(1+IF(L$3&lt;=$O$2,$D661,$D661-($D661-$I$643)*MIN(L$3-$O$2,$Q$2)/$Q$2))</f>
        <v>15749.3272824485</v>
      </c>
      <c r="M661" s="15" t="n">
        <f aca="false">L661*(1+IF(M$3&lt;=$O$2,$D661,$D661-($D661-$I$643)*MIN(M$3-$O$2,$Q$2)/$Q$2))</f>
        <v>16280.0848603611</v>
      </c>
      <c r="N661" s="15" t="n">
        <f aca="false">M661*(1+IF(N$3&lt;=$O$2,$D661,$D661-($D661-$I$643)*MIN(N$3-$O$2,$Q$2)/$Q$2))</f>
        <v>16740.8112619093</v>
      </c>
      <c r="O661" s="15" t="n">
        <f aca="false">SUMPRODUCT(E661:N661,1/(1+$F$643)^$E$3:$N$3)*$E$2</f>
        <v>43896.4014225751</v>
      </c>
      <c r="P661" s="15" t="n">
        <f aca="false">N661*$E$2*(1+$I$643)/($F$643-$I$643)/(1+$F$643)^$N$3</f>
        <v>63038.3125070607</v>
      </c>
      <c r="Q661" s="15" t="n">
        <f aca="false">O661+P661</f>
        <v>106934.713929636</v>
      </c>
      <c r="R661" s="15" t="n">
        <f aca="false">Q661-$G$2+$I$2</f>
        <v>87474.7139296358</v>
      </c>
      <c r="S661" s="40" t="n">
        <f aca="false">R661/$K$2</f>
        <v>155.818083559799</v>
      </c>
      <c r="T661" s="41" t="n">
        <f aca="false">S661-$M$2</f>
        <v>0.00839688921385573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0.0552902221679688</v>
      </c>
      <c r="C662" s="25" t="n">
        <f aca="false">IF(T661&gt;0,D661,C661)</f>
        <v>0.0553016662597656</v>
      </c>
      <c r="D662" s="39" t="n">
        <f aca="false">(B662+C662)/2</f>
        <v>0.0552959442138672</v>
      </c>
      <c r="E662" s="15" t="n">
        <f aca="false">$C$2*(1+IF(E$3&lt;=$O$2,$D662,$D662-($D662-$I$643)*MIN(E$3-$O$2,$Q$2)/$Q$2))</f>
        <v>11143.9251708984</v>
      </c>
      <c r="F662" s="15" t="n">
        <f aca="false">E662*(1+IF(F$3&lt;=$O$2,$D662,$D662-($D662-$I$643)*MIN(F$3-$O$2,$Q$2)/$Q$2))</f>
        <v>11760.1390354719</v>
      </c>
      <c r="G662" s="15" t="n">
        <f aca="false">F662*(1+IF(G$3&lt;=$O$2,$D662,$D662-($D662-$I$643)*MIN(G$3-$O$2,$Q$2)/$Q$2))</f>
        <v>12410.4270275247</v>
      </c>
      <c r="H662" s="15" t="n">
        <f aca="false">G662*(1+IF(H$3&lt;=$O$2,$D662,$D662-($D662-$I$643)*MIN(H$3-$O$2,$Q$2)/$Q$2))</f>
        <v>13096.673308109</v>
      </c>
      <c r="I662" s="15" t="n">
        <f aca="false">H662*(1+IF(I$3&lt;=$O$2,$D662,$D662-($D662-$I$643)*MIN(I$3-$O$2,$Q$2)/$Q$2))</f>
        <v>13820.8662247414</v>
      </c>
      <c r="J662" s="15" t="n">
        <f aca="false">I662*(1+IF(J$3&lt;=$O$2,$D662,$D662-($D662-$I$643)*MIN(J$3-$O$2,$Q$2)/$Q$2))</f>
        <v>14510.482605774</v>
      </c>
      <c r="K662" s="15" t="n">
        <f aca="false">J662*(1+IF(K$3&lt;=$O$2,$D662,$D662-($D662-$I$643)*MIN(K$3-$O$2,$Q$2)/$Q$2))</f>
        <v>15156.1637708824</v>
      </c>
      <c r="L662" s="15" t="n">
        <f aca="false">K662*(1+IF(L$3&lt;=$O$2,$D662,$D662-($D662-$I$643)*MIN(L$3-$O$2,$Q$2)/$Q$2))</f>
        <v>15748.7451862604</v>
      </c>
      <c r="M662" s="15" t="n">
        <f aca="false">L662*(1+IF(M$3&lt;=$O$2,$D662,$D662-($D662-$I$643)*MIN(M$3-$O$2,$Q$2)/$Q$2))</f>
        <v>16279.4651243289</v>
      </c>
      <c r="N662" s="15" t="n">
        <f aca="false">M662*(1+IF(N$3&lt;=$O$2,$D662,$D662-($D662-$I$643)*MIN(N$3-$O$2,$Q$2)/$Q$2))</f>
        <v>16740.1739873474</v>
      </c>
      <c r="O662" s="15" t="n">
        <f aca="false">SUMPRODUCT(E662:N662,1/(1+$F$643)^$E$3:$N$3)*$E$2</f>
        <v>43895.3072067346</v>
      </c>
      <c r="P662" s="15" t="n">
        <f aca="false">N662*$E$2*(1+$I$643)/($F$643-$I$643)/(1+$F$643)^$N$3</f>
        <v>63035.9128197123</v>
      </c>
      <c r="Q662" s="15" t="n">
        <f aca="false">O662+P662</f>
        <v>106931.220026447</v>
      </c>
      <c r="R662" s="15" t="n">
        <f aca="false">Q662-$G$2+$I$2</f>
        <v>87471.2200264469</v>
      </c>
      <c r="S662" s="40" t="n">
        <f aca="false">R662/$K$2</f>
        <v>155.811859894987</v>
      </c>
      <c r="T662" s="41" t="n">
        <f aca="false">S662-$M$2</f>
        <v>0.00217322440178691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0.0552902221679688</v>
      </c>
      <c r="C663" s="25" t="n">
        <f aca="false">IF(T662&gt;0,D662,C662)</f>
        <v>0.0552959442138672</v>
      </c>
      <c r="D663" s="39" t="n">
        <f aca="false">(B663+C663)/2</f>
        <v>0.055293083190918</v>
      </c>
      <c r="E663" s="15" t="n">
        <f aca="false">$C$2*(1+IF(E$3&lt;=$O$2,$D663,$D663-($D663-$I$643)*MIN(E$3-$O$2,$Q$2)/$Q$2))</f>
        <v>11143.8949584961</v>
      </c>
      <c r="F663" s="15" t="n">
        <f aca="false">E663*(1+IF(F$3&lt;=$O$2,$D663,$D663-($D663-$I$643)*MIN(F$3-$O$2,$Q$2)/$Q$2))</f>
        <v>11760.0752695071</v>
      </c>
      <c r="G663" s="15" t="n">
        <f aca="false">F663*(1+IF(G$3&lt;=$O$2,$D663,$D663-($D663-$I$643)*MIN(G$3-$O$2,$Q$2)/$Q$2))</f>
        <v>12410.3260897154</v>
      </c>
      <c r="H663" s="15" t="n">
        <f aca="false">G663*(1+IF(H$3&lt;=$O$2,$D663,$D663-($D663-$I$643)*MIN(H$3-$O$2,$Q$2)/$Q$2))</f>
        <v>13096.5312826204</v>
      </c>
      <c r="I663" s="15" t="n">
        <f aca="false">H663*(1+IF(I$3&lt;=$O$2,$D663,$D663-($D663-$I$643)*MIN(I$3-$O$2,$Q$2)/$Q$2))</f>
        <v>13820.6788763428</v>
      </c>
      <c r="J663" s="15" t="n">
        <f aca="false">I663*(1+IF(J$3&lt;=$O$2,$D663,$D663-($D663-$I$643)*MIN(J$3-$O$2,$Q$2)/$Q$2))</f>
        <v>14510.2542762746</v>
      </c>
      <c r="K663" s="15" t="n">
        <f aca="false">J663*(1+IF(K$3&lt;=$O$2,$D663,$D663-($D663-$I$643)*MIN(K$3-$O$2,$Q$2)/$Q$2))</f>
        <v>15155.9003727737</v>
      </c>
      <c r="L663" s="15" t="n">
        <f aca="false">K663*(1+IF(L$3&lt;=$O$2,$D663,$D663-($D663-$I$643)*MIN(L$3-$O$2,$Q$2)/$Q$2))</f>
        <v>15748.4541451614</v>
      </c>
      <c r="M663" s="15" t="n">
        <f aca="false">L663*(1+IF(M$3&lt;=$O$2,$D663,$D663-($D663-$I$643)*MIN(M$3-$O$2,$Q$2)/$Q$2))</f>
        <v>16279.1552640432</v>
      </c>
      <c r="N663" s="15" t="n">
        <f aca="false">M663*(1+IF(N$3&lt;=$O$2,$D663,$D663-($D663-$I$643)*MIN(N$3-$O$2,$Q$2)/$Q$2))</f>
        <v>16739.8553580156</v>
      </c>
      <c r="O663" s="15" t="n">
        <f aca="false">SUMPRODUCT(E663:N663,1/(1+$F$643)^$E$3:$N$3)*$E$2</f>
        <v>43894.7601091075</v>
      </c>
      <c r="P663" s="15" t="n">
        <f aca="false">N663*$E$2*(1+$I$643)/($F$643-$I$643)/(1+$F$643)^$N$3</f>
        <v>63034.7130059711</v>
      </c>
      <c r="Q663" s="15" t="n">
        <f aca="false">O663+P663</f>
        <v>106929.473115079</v>
      </c>
      <c r="R663" s="15" t="n">
        <f aca="false">Q663-$G$2+$I$2</f>
        <v>87469.4731150786</v>
      </c>
      <c r="S663" s="40" t="n">
        <f aca="false">R663/$K$2</f>
        <v>155.808748134236</v>
      </c>
      <c r="T663" s="41" t="n">
        <f aca="false">S663-$M$2</f>
        <v>-0.000938536349849528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0.055293083190918</v>
      </c>
      <c r="C664" s="25" t="n">
        <f aca="false">IF(T663&gt;0,D663,C663)</f>
        <v>0.0552959442138672</v>
      </c>
      <c r="D664" s="39" t="n">
        <f aca="false">(B664+C664)/2</f>
        <v>0.0552945137023926</v>
      </c>
      <c r="E664" s="15" t="n">
        <f aca="false">$C$2*(1+IF(E$3&lt;=$O$2,$D664,$D664-($D664-$I$643)*MIN(E$3-$O$2,$Q$2)/$Q$2))</f>
        <v>11143.9100646973</v>
      </c>
      <c r="F664" s="15" t="n">
        <f aca="false">E664*(1+IF(F$3&lt;=$O$2,$D664,$D664-($D664-$I$643)*MIN(F$3-$O$2,$Q$2)/$Q$2))</f>
        <v>11760.1071524679</v>
      </c>
      <c r="G664" s="15" t="n">
        <f aca="false">F664*(1+IF(G$3&lt;=$O$2,$D664,$D664-($D664-$I$643)*MIN(G$3-$O$2,$Q$2)/$Q$2))</f>
        <v>12410.3765585516</v>
      </c>
      <c r="H664" s="15" t="n">
        <f aca="false">G664*(1+IF(H$3&lt;=$O$2,$D664,$D664-($D664-$I$643)*MIN(H$3-$O$2,$Q$2)/$Q$2))</f>
        <v>13096.6022952203</v>
      </c>
      <c r="I664" s="15" t="n">
        <f aca="false">H664*(1+IF(I$3&lt;=$O$2,$D664,$D664-($D664-$I$643)*MIN(I$3-$O$2,$Q$2)/$Q$2))</f>
        <v>13820.7725502882</v>
      </c>
      <c r="J664" s="15" t="n">
        <f aca="false">I664*(1+IF(J$3&lt;=$O$2,$D664,$D664-($D664-$I$643)*MIN(J$3-$O$2,$Q$2)/$Q$2))</f>
        <v>14510.3684406504</v>
      </c>
      <c r="K664" s="15" t="n">
        <f aca="false">J664*(1+IF(K$3&lt;=$O$2,$D664,$D664-($D664-$I$643)*MIN(K$3-$O$2,$Q$2)/$Q$2))</f>
        <v>15156.0320713396</v>
      </c>
      <c r="L664" s="15" t="n">
        <f aca="false">K664*(1+IF(L$3&lt;=$O$2,$D664,$D664-($D664-$I$643)*MIN(L$3-$O$2,$Q$2)/$Q$2))</f>
        <v>15748.599665128</v>
      </c>
      <c r="M664" s="15" t="n">
        <f aca="false">L664*(1+IF(M$3&lt;=$O$2,$D664,$D664-($D664-$I$643)*MIN(M$3-$O$2,$Q$2)/$Q$2))</f>
        <v>16279.3101935419</v>
      </c>
      <c r="N664" s="15" t="n">
        <f aca="false">M664*(1+IF(N$3&lt;=$O$2,$D664,$D664-($D664-$I$643)*MIN(N$3-$O$2,$Q$2)/$Q$2))</f>
        <v>16740.0146720191</v>
      </c>
      <c r="O664" s="15" t="n">
        <f aca="false">SUMPRODUCT(E664:N664,1/(1+$F$643)^$E$3:$N$3)*$E$2</f>
        <v>43895.0336570633</v>
      </c>
      <c r="P664" s="15" t="n">
        <f aca="false">N664*$E$2*(1+$I$643)/($F$643-$I$643)/(1+$F$643)^$N$3</f>
        <v>63035.3129103473</v>
      </c>
      <c r="Q664" s="15" t="n">
        <f aca="false">O664+P664</f>
        <v>106930.346567411</v>
      </c>
      <c r="R664" s="15" t="n">
        <f aca="false">Q664-$G$2+$I$2</f>
        <v>87470.3465674106</v>
      </c>
      <c r="S664" s="40" t="n">
        <f aca="false">R664/$K$2</f>
        <v>155.81030400864</v>
      </c>
      <c r="T664" s="41" t="n">
        <f aca="false">S664-$M$2</f>
        <v>0.000617338054837546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0.055293083190918</v>
      </c>
      <c r="C665" s="25" t="n">
        <f aca="false">IF(T664&gt;0,D664,C664)</f>
        <v>0.0552945137023926</v>
      </c>
      <c r="D665" s="39" t="n">
        <f aca="false">(B665+C665)/2</f>
        <v>0.0552937984466553</v>
      </c>
      <c r="E665" s="15" t="n">
        <f aca="false">$C$2*(1+IF(E$3&lt;=$O$2,$D665,$D665-($D665-$I$643)*MIN(E$3-$O$2,$Q$2)/$Q$2))</f>
        <v>11143.9025115967</v>
      </c>
      <c r="F665" s="15" t="n">
        <f aca="false">E665*(1+IF(F$3&lt;=$O$2,$D665,$D665-($D665-$I$643)*MIN(F$3-$O$2,$Q$2)/$Q$2))</f>
        <v>11760.0912109821</v>
      </c>
      <c r="G665" s="15" t="n">
        <f aca="false">F665*(1+IF(G$3&lt;=$O$2,$D665,$D665-($D665-$I$643)*MIN(G$3-$O$2,$Q$2)/$Q$2))</f>
        <v>12410.3513241164</v>
      </c>
      <c r="H665" s="15" t="n">
        <f aca="false">G665*(1+IF(H$3&lt;=$O$2,$D665,$D665-($D665-$I$643)*MIN(H$3-$O$2,$Q$2)/$Q$2))</f>
        <v>13096.5667888843</v>
      </c>
      <c r="I665" s="15" t="n">
        <f aca="false">H665*(1+IF(I$3&lt;=$O$2,$D665,$D665-($D665-$I$643)*MIN(I$3-$O$2,$Q$2)/$Q$2))</f>
        <v>13820.725713252</v>
      </c>
      <c r="J665" s="15" t="n">
        <f aca="false">I665*(1+IF(J$3&lt;=$O$2,$D665,$D665-($D665-$I$643)*MIN(J$3-$O$2,$Q$2)/$Q$2))</f>
        <v>14510.3113583691</v>
      </c>
      <c r="K665" s="15" t="n">
        <f aca="false">J665*(1+IF(K$3&lt;=$O$2,$D665,$D665-($D665-$I$643)*MIN(K$3-$O$2,$Q$2)/$Q$2))</f>
        <v>15155.9662219345</v>
      </c>
      <c r="L665" s="15" t="n">
        <f aca="false">K665*(1+IF(L$3&lt;=$O$2,$D665,$D665-($D665-$I$643)*MIN(L$3-$O$2,$Q$2)/$Q$2))</f>
        <v>15748.526904999</v>
      </c>
      <c r="M665" s="15" t="n">
        <f aca="false">L665*(1+IF(M$3&lt;=$O$2,$D665,$D665-($D665-$I$643)*MIN(M$3-$O$2,$Q$2)/$Q$2))</f>
        <v>16279.2327286315</v>
      </c>
      <c r="N665" s="15" t="n">
        <f aca="false">M665*(1+IF(N$3&lt;=$O$2,$D665,$D665-($D665-$I$643)*MIN(N$3-$O$2,$Q$2)/$Q$2))</f>
        <v>16739.9350148518</v>
      </c>
      <c r="O665" s="15" t="n">
        <f aca="false">SUMPRODUCT(E665:N665,1/(1+$F$643)^$E$3:$N$3)*$E$2</f>
        <v>43894.896882871</v>
      </c>
      <c r="P665" s="15" t="n">
        <f aca="false">N665*$E$2*(1+$I$643)/($F$643-$I$643)/(1+$F$643)^$N$3</f>
        <v>63035.0129575356</v>
      </c>
      <c r="Q665" s="15" t="n">
        <f aca="false">O665+P665</f>
        <v>106929.909840407</v>
      </c>
      <c r="R665" s="15" t="n">
        <f aca="false">Q665-$G$2+$I$2</f>
        <v>87469.9098404065</v>
      </c>
      <c r="S665" s="40" t="n">
        <f aca="false">R665/$K$2</f>
        <v>155.809526069945</v>
      </c>
      <c r="T665" s="41" t="n">
        <f aca="false">S665-$M$2</f>
        <v>-0.000160600640299435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0.0552937984466553</v>
      </c>
      <c r="C666" s="25" t="n">
        <f aca="false">IF(T665&gt;0,D665,C665)</f>
        <v>0.0552945137023926</v>
      </c>
      <c r="D666" s="39" t="n">
        <f aca="false">(B666+C666)/2</f>
        <v>0.0552941560745239</v>
      </c>
      <c r="E666" s="15" t="n">
        <f aca="false">$C$2*(1+IF(E$3&lt;=$O$2,$D666,$D666-($D666-$I$643)*MIN(E$3-$O$2,$Q$2)/$Q$2))</f>
        <v>11143.906288147</v>
      </c>
      <c r="F666" s="15" t="n">
        <f aca="false">E666*(1+IF(F$3&lt;=$O$2,$D666,$D666-($D666-$I$643)*MIN(F$3-$O$2,$Q$2)/$Q$2))</f>
        <v>11760.0991817236</v>
      </c>
      <c r="G666" s="15" t="n">
        <f aca="false">F666*(1+IF(G$3&lt;=$O$2,$D666,$D666-($D666-$I$643)*MIN(G$3-$O$2,$Q$2)/$Q$2))</f>
        <v>12410.3639413297</v>
      </c>
      <c r="H666" s="15" t="n">
        <f aca="false">G666*(1+IF(H$3&lt;=$O$2,$D666,$D666-($D666-$I$643)*MIN(H$3-$O$2,$Q$2)/$Q$2))</f>
        <v>13096.5845420433</v>
      </c>
      <c r="I666" s="15" t="n">
        <f aca="false">H666*(1+IF(I$3&lt;=$O$2,$D666,$D666-($D666-$I$643)*MIN(I$3-$O$2,$Q$2)/$Q$2))</f>
        <v>13820.7491317542</v>
      </c>
      <c r="J666" s="15" t="n">
        <f aca="false">I666*(1+IF(J$3&lt;=$O$2,$D666,$D666-($D666-$I$643)*MIN(J$3-$O$2,$Q$2)/$Q$2))</f>
        <v>14510.3398994864</v>
      </c>
      <c r="K666" s="15" t="n">
        <f aca="false">J666*(1+IF(K$3&lt;=$O$2,$D666,$D666-($D666-$I$643)*MIN(K$3-$O$2,$Q$2)/$Q$2))</f>
        <v>15155.9991466065</v>
      </c>
      <c r="L666" s="15" t="n">
        <f aca="false">K666*(1+IF(L$3&lt;=$O$2,$D666,$D666-($D666-$I$643)*MIN(L$3-$O$2,$Q$2)/$Q$2))</f>
        <v>15748.563285027</v>
      </c>
      <c r="M666" s="15" t="n">
        <f aca="false">L666*(1+IF(M$3&lt;=$O$2,$D666,$D666-($D666-$I$643)*MIN(M$3-$O$2,$Q$2)/$Q$2))</f>
        <v>16279.2714610464</v>
      </c>
      <c r="N666" s="15" t="n">
        <f aca="false">M666*(1+IF(N$3&lt;=$O$2,$D666,$D666-($D666-$I$643)*MIN(N$3-$O$2,$Q$2)/$Q$2))</f>
        <v>16739.974843394</v>
      </c>
      <c r="O666" s="15" t="n">
        <f aca="false">SUMPRODUCT(E666:N666,1/(1+$F$643)^$E$3:$N$3)*$E$2</f>
        <v>43894.9652699135</v>
      </c>
      <c r="P666" s="15" t="n">
        <f aca="false">N666*$E$2*(1+$I$643)/($F$643-$I$643)/(1+$F$643)^$N$3</f>
        <v>63035.1629337855</v>
      </c>
      <c r="Q666" s="15" t="n">
        <f aca="false">O666+P666</f>
        <v>106930.128203699</v>
      </c>
      <c r="R666" s="15" t="n">
        <f aca="false">Q666-$G$2+$I$2</f>
        <v>87470.1282036991</v>
      </c>
      <c r="S666" s="40" t="n">
        <f aca="false">R666/$K$2</f>
        <v>155.80991503892</v>
      </c>
      <c r="T666" s="41" t="n">
        <f aca="false">S666-$M$2</f>
        <v>0.000228368334035167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0.0552937984466553</v>
      </c>
      <c r="C667" s="25" t="n">
        <f aca="false">IF(T666&gt;0,D666,C666)</f>
        <v>0.0552941560745239</v>
      </c>
      <c r="D667" s="39" t="n">
        <f aca="false">(B667+C667)/2</f>
        <v>0.0552939772605896</v>
      </c>
      <c r="E667" s="15" t="n">
        <f aca="false">$C$2*(1+IF(E$3&lt;=$O$2,$D667,$D667-($D667-$I$643)*MIN(E$3-$O$2,$Q$2)/$Q$2))</f>
        <v>11143.9043998718</v>
      </c>
      <c r="F667" s="15" t="n">
        <f aca="false">E667*(1+IF(F$3&lt;=$O$2,$D667,$D667-($D667-$I$643)*MIN(F$3-$O$2,$Q$2)/$Q$2))</f>
        <v>11760.0951963525</v>
      </c>
      <c r="G667" s="15" t="n">
        <f aca="false">F667*(1+IF(G$3&lt;=$O$2,$D667,$D667-($D667-$I$643)*MIN(G$3-$O$2,$Q$2)/$Q$2))</f>
        <v>12410.357632722</v>
      </c>
      <c r="H667" s="15" t="n">
        <f aca="false">G667*(1+IF(H$3&lt;=$O$2,$D667,$D667-($D667-$I$643)*MIN(H$3-$O$2,$Q$2)/$Q$2))</f>
        <v>13096.5756654615</v>
      </c>
      <c r="I667" s="15" t="n">
        <f aca="false">H667*(1+IF(I$3&lt;=$O$2,$D667,$D667-($D667-$I$643)*MIN(I$3-$O$2,$Q$2)/$Q$2))</f>
        <v>13820.7374224991</v>
      </c>
      <c r="J667" s="15" t="n">
        <f aca="false">I667*(1+IF(J$3&lt;=$O$2,$D667,$D667-($D667-$I$643)*MIN(J$3-$O$2,$Q$2)/$Q$2))</f>
        <v>14510.3256289219</v>
      </c>
      <c r="K667" s="15" t="n">
        <f aca="false">J667*(1+IF(K$3&lt;=$O$2,$D667,$D667-($D667-$I$643)*MIN(K$3-$O$2,$Q$2)/$Q$2))</f>
        <v>15155.9826842629</v>
      </c>
      <c r="L667" s="15" t="n">
        <f aca="false">K667*(1+IF(L$3&lt;=$O$2,$D667,$D667-($D667-$I$643)*MIN(L$3-$O$2,$Q$2)/$Q$2))</f>
        <v>15748.5450950039</v>
      </c>
      <c r="M667" s="15" t="n">
        <f aca="false">L667*(1+IF(M$3&lt;=$O$2,$D667,$D667-($D667-$I$643)*MIN(M$3-$O$2,$Q$2)/$Q$2))</f>
        <v>16279.2520948289</v>
      </c>
      <c r="N667" s="15" t="n">
        <f aca="false">M667*(1+IF(N$3&lt;=$O$2,$D667,$D667-($D667-$I$643)*MIN(N$3-$O$2,$Q$2)/$Q$2))</f>
        <v>16739.9549291125</v>
      </c>
      <c r="O667" s="15" t="n">
        <f aca="false">SUMPRODUCT(E667:N667,1/(1+$F$643)^$E$3:$N$3)*$E$2</f>
        <v>43894.9310763788</v>
      </c>
      <c r="P667" s="15" t="n">
        <f aca="false">N667*$E$2*(1+$I$643)/($F$643-$I$643)/(1+$F$643)^$N$3</f>
        <v>63035.0879456216</v>
      </c>
      <c r="Q667" s="15" t="n">
        <f aca="false">O667+P667</f>
        <v>106930.019022</v>
      </c>
      <c r="R667" s="15" t="n">
        <f aca="false">Q667-$G$2+$I$2</f>
        <v>87470.0190220004</v>
      </c>
      <c r="S667" s="40" t="n">
        <f aca="false">R667/$K$2</f>
        <v>155.809720554339</v>
      </c>
      <c r="T667" s="41" t="n">
        <f aca="false">S667-$M$2</f>
        <v>3.38837535878156E-005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0.0552937984466553</v>
      </c>
      <c r="C668" s="25" t="n">
        <f aca="false">IF(T667&gt;0,D667,C667)</f>
        <v>0.0552939772605896</v>
      </c>
      <c r="D668" s="39" t="n">
        <f aca="false">(B668+C668)/2</f>
        <v>0.0552938878536224</v>
      </c>
      <c r="E668" s="15" t="n">
        <f aca="false">$C$2*(1+IF(E$3&lt;=$O$2,$D668,$D668-($D668-$I$643)*MIN(E$3-$O$2,$Q$2)/$Q$2))</f>
        <v>11143.9034557343</v>
      </c>
      <c r="F668" s="15" t="n">
        <f aca="false">E668*(1+IF(F$3&lt;=$O$2,$D668,$D668-($D668-$I$643)*MIN(F$3-$O$2,$Q$2)/$Q$2))</f>
        <v>11760.0932036672</v>
      </c>
      <c r="G668" s="15" t="n">
        <f aca="false">F668*(1+IF(G$3&lt;=$O$2,$D668,$D668-($D668-$I$643)*MIN(G$3-$O$2,$Q$2)/$Q$2))</f>
        <v>12410.3544784189</v>
      </c>
      <c r="H668" s="15" t="n">
        <f aca="false">G668*(1+IF(H$3&lt;=$O$2,$D668,$D668-($D668-$I$643)*MIN(H$3-$O$2,$Q$2)/$Q$2))</f>
        <v>13096.5712271723</v>
      </c>
      <c r="I668" s="15" t="n">
        <f aca="false">H668*(1+IF(I$3&lt;=$O$2,$D668,$D668-($D668-$I$643)*MIN(I$3-$O$2,$Q$2)/$Q$2))</f>
        <v>13820.7315678746</v>
      </c>
      <c r="J668" s="15" t="n">
        <f aca="false">I668*(1+IF(J$3&lt;=$O$2,$D668,$D668-($D668-$I$643)*MIN(J$3-$O$2,$Q$2)/$Q$2))</f>
        <v>14510.318493644</v>
      </c>
      <c r="K668" s="15" t="n">
        <f aca="false">J668*(1+IF(K$3&lt;=$O$2,$D668,$D668-($D668-$I$643)*MIN(K$3-$O$2,$Q$2)/$Q$2))</f>
        <v>15155.9744530968</v>
      </c>
      <c r="L668" s="15" t="n">
        <f aca="false">K668*(1+IF(L$3&lt;=$O$2,$D668,$D668-($D668-$I$643)*MIN(L$3-$O$2,$Q$2)/$Q$2))</f>
        <v>15748.5359999991</v>
      </c>
      <c r="M668" s="15" t="n">
        <f aca="false">L668*(1+IF(M$3&lt;=$O$2,$D668,$D668-($D668-$I$643)*MIN(M$3-$O$2,$Q$2)/$Q$2))</f>
        <v>16279.2424117277</v>
      </c>
      <c r="N668" s="15" t="n">
        <f aca="false">M668*(1+IF(N$3&lt;=$O$2,$D668,$D668-($D668-$I$643)*MIN(N$3-$O$2,$Q$2)/$Q$2))</f>
        <v>16739.9449719796</v>
      </c>
      <c r="O668" s="15" t="n">
        <f aca="false">SUMPRODUCT(E668:N668,1/(1+$F$643)^$E$3:$N$3)*$E$2</f>
        <v>43894.9139796215</v>
      </c>
      <c r="P668" s="15" t="n">
        <f aca="false">N668*$E$2*(1+$I$643)/($F$643-$I$643)/(1+$F$643)^$N$3</f>
        <v>63035.0504515689</v>
      </c>
      <c r="Q668" s="15" t="n">
        <f aca="false">O668+P668</f>
        <v>106929.96443119</v>
      </c>
      <c r="R668" s="15" t="n">
        <f aca="false">Q668-$G$2+$I$2</f>
        <v>87469.9644311904</v>
      </c>
      <c r="S668" s="40" t="n">
        <f aca="false">R668/$K$2</f>
        <v>155.809623312119</v>
      </c>
      <c r="T668" s="41" t="n">
        <f aca="false">S668-$M$2</f>
        <v>-6.33584666616116E-005</v>
      </c>
    </row>
    <row r="670" customFormat="false" ht="15" hidden="false" customHeight="false" outlineLevel="0" collapsed="false">
      <c r="A670" s="36" t="s">
        <v>210</v>
      </c>
      <c r="E670" s="5" t="s">
        <v>11</v>
      </c>
      <c r="F670" s="12" t="n">
        <f aca="false">Sensitivity!$B$14</f>
        <v>0.0870172026214128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6" t="s">
        <v>167</v>
      </c>
      <c r="B671" s="28" t="s">
        <v>168</v>
      </c>
      <c r="C671" s="28" t="s">
        <v>169</v>
      </c>
      <c r="D671" s="28" t="s">
        <v>170</v>
      </c>
      <c r="E671" s="28" t="s">
        <v>171</v>
      </c>
      <c r="F671" s="28" t="s">
        <v>172</v>
      </c>
      <c r="G671" s="28" t="s">
        <v>173</v>
      </c>
      <c r="H671" s="28" t="s">
        <v>174</v>
      </c>
      <c r="I671" s="28" t="s">
        <v>175</v>
      </c>
      <c r="J671" s="28" t="s">
        <v>176</v>
      </c>
      <c r="K671" s="28" t="s">
        <v>177</v>
      </c>
      <c r="L671" s="28" t="s">
        <v>178</v>
      </c>
      <c r="M671" s="28" t="s">
        <v>179</v>
      </c>
      <c r="N671" s="28" t="s">
        <v>180</v>
      </c>
      <c r="O671" s="28" t="s">
        <v>181</v>
      </c>
      <c r="P671" s="28" t="s">
        <v>182</v>
      </c>
      <c r="Q671" s="28" t="s">
        <v>183</v>
      </c>
      <c r="R671" s="28" t="s">
        <v>184</v>
      </c>
      <c r="S671" s="28" t="s">
        <v>185</v>
      </c>
      <c r="T671" s="28" t="s">
        <v>186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39" t="n">
        <f aca="false">(B672+C672)/2</f>
        <v>0.25</v>
      </c>
      <c r="E672" s="15" t="n">
        <f aca="false">$C$2*(1+IF(E$3&lt;=$O$2,$D672,$D672-($D672-$I$670)*MIN(E$3-$O$2,$Q$2)/$Q$2))</f>
        <v>13200</v>
      </c>
      <c r="F672" s="15" t="n">
        <f aca="false">E672*(1+IF(F$3&lt;=$O$2,$D672,$D672-($D672-$I$670)*MIN(F$3-$O$2,$Q$2)/$Q$2))</f>
        <v>16500</v>
      </c>
      <c r="G672" s="15" t="n">
        <f aca="false">F672*(1+IF(G$3&lt;=$O$2,$D672,$D672-($D672-$I$670)*MIN(G$3-$O$2,$Q$2)/$Q$2))</f>
        <v>20625</v>
      </c>
      <c r="H672" s="15" t="n">
        <f aca="false">G672*(1+IF(H$3&lt;=$O$2,$D672,$D672-($D672-$I$670)*MIN(H$3-$O$2,$Q$2)/$Q$2))</f>
        <v>25781.25</v>
      </c>
      <c r="I672" s="15" t="n">
        <f aca="false">H672*(1+IF(I$3&lt;=$O$2,$D672,$D672-($D672-$I$670)*MIN(I$3-$O$2,$Q$2)/$Q$2))</f>
        <v>32226.5625</v>
      </c>
      <c r="J672" s="15" t="n">
        <f aca="false">I672*(1+IF(J$3&lt;=$O$2,$D672,$D672-($D672-$I$670)*MIN(J$3-$O$2,$Q$2)/$Q$2))</f>
        <v>38886.50390625</v>
      </c>
      <c r="K672" s="15" t="n">
        <f aca="false">J672*(1+IF(K$3&lt;=$O$2,$D672,$D672-($D672-$I$670)*MIN(K$3-$O$2,$Q$2)/$Q$2))</f>
        <v>45237.4477242188</v>
      </c>
      <c r="L672" s="15" t="n">
        <f aca="false">K672*(1+IF(L$3&lt;=$O$2,$D672,$D672-($D672-$I$670)*MIN(L$3-$O$2,$Q$2)/$Q$2))</f>
        <v>50665.0367021705</v>
      </c>
      <c r="M672" s="15" t="n">
        <f aca="false">L672*(1+IF(M$3&lt;=$O$2,$D672,$D672-($D672-$I$670)*MIN(M$3-$O$2,$Q$2)/$Q$2))</f>
        <v>54548.0051150249</v>
      </c>
      <c r="N672" s="15" t="n">
        <f aca="false">M672*(1+IF(N$3&lt;=$O$2,$D672,$D672-($D672-$I$670)*MIN(N$3-$O$2,$Q$2)/$Q$2))</f>
        <v>56364.4536853552</v>
      </c>
      <c r="O672" s="15" t="n">
        <f aca="false">SUMPRODUCT(E672:N672,1/(1+$F$670)^$E$3:$N$3)*$E$2</f>
        <v>102452.974364606</v>
      </c>
      <c r="P672" s="15" t="n">
        <f aca="false">N672*$E$2*(1+$I$670)/($F$670-$I$670)/(1+$F$670)^$N$3</f>
        <v>233126.660722772</v>
      </c>
      <c r="Q672" s="15" t="n">
        <f aca="false">O672+P672</f>
        <v>335579.635087378</v>
      </c>
      <c r="R672" s="15" t="n">
        <f aca="false">Q672-$G$2+$I$2</f>
        <v>316119.635087378</v>
      </c>
      <c r="S672" s="40" t="n">
        <f aca="false">R672/$K$2</f>
        <v>563.101649632836</v>
      </c>
      <c r="T672" s="41" t="n">
        <f aca="false">S672-$M$2</f>
        <v>407.291962962251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39" t="n">
        <f aca="false">(B673+C673)/2</f>
        <v>-0.125</v>
      </c>
      <c r="E673" s="15" t="n">
        <f aca="false">$C$2*(1+IF(E$3&lt;=$O$2,$D673,$D673-($D673-$I$670)*MIN(E$3-$O$2,$Q$2)/$Q$2))</f>
        <v>9240</v>
      </c>
      <c r="F673" s="15" t="n">
        <f aca="false">E673*(1+IF(F$3&lt;=$O$2,$D673,$D673-($D673-$I$670)*MIN(F$3-$O$2,$Q$2)/$Q$2))</f>
        <v>8085</v>
      </c>
      <c r="G673" s="15" t="n">
        <f aca="false">F673*(1+IF(G$3&lt;=$O$2,$D673,$D673-($D673-$I$670)*MIN(G$3-$O$2,$Q$2)/$Q$2))</f>
        <v>7074.375</v>
      </c>
      <c r="H673" s="15" t="n">
        <f aca="false">G673*(1+IF(H$3&lt;=$O$2,$D673,$D673-($D673-$I$670)*MIN(H$3-$O$2,$Q$2)/$Q$2))</f>
        <v>6190.078125</v>
      </c>
      <c r="I673" s="15" t="n">
        <f aca="false">H673*(1+IF(I$3&lt;=$O$2,$D673,$D673-($D673-$I$670)*MIN(I$3-$O$2,$Q$2)/$Q$2))</f>
        <v>5416.318359375</v>
      </c>
      <c r="J673" s="15" t="n">
        <f aca="false">I673*(1+IF(J$3&lt;=$O$2,$D673,$D673-($D673-$I$670)*MIN(J$3-$O$2,$Q$2)/$Q$2))</f>
        <v>4910.75920371094</v>
      </c>
      <c r="K673" s="15" t="n">
        <f aca="false">J673*(1+IF(K$3&lt;=$O$2,$D673,$D673-($D673-$I$670)*MIN(K$3-$O$2,$Q$2)/$Q$2))</f>
        <v>4607.86357602605</v>
      </c>
      <c r="L673" s="15" t="n">
        <f aca="false">K673*(1+IF(L$3&lt;=$O$2,$D673,$D673-($D673-$I$670)*MIN(L$3-$O$2,$Q$2)/$Q$2))</f>
        <v>4469.53551147375</v>
      </c>
      <c r="M673" s="15" t="n">
        <f aca="false">L673*(1+IF(M$3&lt;=$O$2,$D673,$D673-($D673-$I$670)*MIN(M$3-$O$2,$Q$2)/$Q$2))</f>
        <v>4476.86554971256</v>
      </c>
      <c r="N673" s="15" t="n">
        <f aca="false">M673*(1+IF(N$3&lt;=$O$2,$D673,$D673-($D673-$I$670)*MIN(N$3-$O$2,$Q$2)/$Q$2))</f>
        <v>4625.94517251799</v>
      </c>
      <c r="O673" s="15" t="n">
        <f aca="false">SUMPRODUCT(E673:N673,1/(1+$F$670)^$E$3:$N$3)*$E$2</f>
        <v>20213.2055513925</v>
      </c>
      <c r="P673" s="15" t="n">
        <f aca="false">N673*$E$2*(1+$I$670)/($F$670-$I$670)/(1+$F$670)^$N$3</f>
        <v>19133.178452787</v>
      </c>
      <c r="Q673" s="15" t="n">
        <f aca="false">O673+P673</f>
        <v>39346.3840041795</v>
      </c>
      <c r="R673" s="15" t="n">
        <f aca="false">Q673-$G$2+$I$2</f>
        <v>19886.3840041795</v>
      </c>
      <c r="S673" s="40" t="n">
        <f aca="false">R673/$K$2</f>
        <v>35.4234738847851</v>
      </c>
      <c r="T673" s="41" t="n">
        <f aca="false">S673-$M$2</f>
        <v>-120.3862127858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39" t="n">
        <f aca="false">(B674+C674)/2</f>
        <v>0.0625</v>
      </c>
      <c r="E674" s="15" t="n">
        <f aca="false">$C$2*(1+IF(E$3&lt;=$O$2,$D674,$D674-($D674-$I$670)*MIN(E$3-$O$2,$Q$2)/$Q$2))</f>
        <v>11220</v>
      </c>
      <c r="F674" s="15" t="n">
        <f aca="false">E674*(1+IF(F$3&lt;=$O$2,$D674,$D674-($D674-$I$670)*MIN(F$3-$O$2,$Q$2)/$Q$2))</f>
        <v>11921.25</v>
      </c>
      <c r="G674" s="15" t="n">
        <f aca="false">F674*(1+IF(G$3&lt;=$O$2,$D674,$D674-($D674-$I$670)*MIN(G$3-$O$2,$Q$2)/$Q$2))</f>
        <v>12666.328125</v>
      </c>
      <c r="H674" s="15" t="n">
        <f aca="false">G674*(1+IF(H$3&lt;=$O$2,$D674,$D674-($D674-$I$670)*MIN(H$3-$O$2,$Q$2)/$Q$2))</f>
        <v>13457.9736328125</v>
      </c>
      <c r="I674" s="15" t="n">
        <f aca="false">H674*(1+IF(I$3&lt;=$O$2,$D674,$D674-($D674-$I$670)*MIN(I$3-$O$2,$Q$2)/$Q$2))</f>
        <v>14299.0969848633</v>
      </c>
      <c r="J674" s="15" t="n">
        <f aca="false">I674*(1+IF(J$3&lt;=$O$2,$D674,$D674-($D674-$I$670)*MIN(J$3-$O$2,$Q$2)/$Q$2))</f>
        <v>15109.2838200256</v>
      </c>
      <c r="K674" s="15" t="n">
        <f aca="false">J674*(1+IF(K$3&lt;=$O$2,$D674,$D674-($D674-$I$670)*MIN(K$3-$O$2,$Q$2)/$Q$2))</f>
        <v>15877.1376237593</v>
      </c>
      <c r="L674" s="15" t="n">
        <f aca="false">K674*(1+IF(L$3&lt;=$O$2,$D674,$D674-($D674-$I$670)*MIN(L$3-$O$2,$Q$2)/$Q$2))</f>
        <v>16591.291274076</v>
      </c>
      <c r="M674" s="15" t="n">
        <f aca="false">L674*(1+IF(M$3&lt;=$O$2,$D674,$D674-($D674-$I$670)*MIN(M$3-$O$2,$Q$2)/$Q$2))</f>
        <v>17240.6744145434</v>
      </c>
      <c r="N674" s="15" t="n">
        <f aca="false">M674*(1+IF(N$3&lt;=$O$2,$D674,$D674-($D674-$I$670)*MIN(N$3-$O$2,$Q$2)/$Q$2))</f>
        <v>17814.7888725477</v>
      </c>
      <c r="O674" s="15" t="n">
        <f aca="false">SUMPRODUCT(E674:N674,1/(1+$F$670)^$E$3:$N$3)*$E$2</f>
        <v>45429.055950552</v>
      </c>
      <c r="P674" s="15" t="n">
        <f aca="false">N674*$E$2*(1+$I$670)/($F$670-$I$670)/(1+$F$670)^$N$3</f>
        <v>73683.0035561456</v>
      </c>
      <c r="Q674" s="15" t="n">
        <f aca="false">O674+P674</f>
        <v>119112.059506698</v>
      </c>
      <c r="R674" s="15" t="n">
        <f aca="false">Q674-$G$2+$I$2</f>
        <v>99652.0595066976</v>
      </c>
      <c r="S674" s="40" t="n">
        <f aca="false">R674/$K$2</f>
        <v>177.509502318705</v>
      </c>
      <c r="T674" s="41" t="n">
        <f aca="false">S674-$M$2</f>
        <v>21.6998156481191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39" t="n">
        <f aca="false">(B675+C675)/2</f>
        <v>-0.03125</v>
      </c>
      <c r="E675" s="15" t="n">
        <f aca="false">$C$2*(1+IF(E$3&lt;=$O$2,$D675,$D675-($D675-$I$670)*MIN(E$3-$O$2,$Q$2)/$Q$2))</f>
        <v>10230</v>
      </c>
      <c r="F675" s="15" t="n">
        <f aca="false">E675*(1+IF(F$3&lt;=$O$2,$D675,$D675-($D675-$I$670)*MIN(F$3-$O$2,$Q$2)/$Q$2))</f>
        <v>9910.3125</v>
      </c>
      <c r="G675" s="15" t="n">
        <f aca="false">F675*(1+IF(G$3&lt;=$O$2,$D675,$D675-($D675-$I$670)*MIN(G$3-$O$2,$Q$2)/$Q$2))</f>
        <v>9600.615234375</v>
      </c>
      <c r="H675" s="15" t="n">
        <f aca="false">G675*(1+IF(H$3&lt;=$O$2,$D675,$D675-($D675-$I$670)*MIN(H$3-$O$2,$Q$2)/$Q$2))</f>
        <v>9300.59600830078</v>
      </c>
      <c r="I675" s="15" t="n">
        <f aca="false">H675*(1+IF(I$3&lt;=$O$2,$D675,$D675-($D675-$I$670)*MIN(I$3-$O$2,$Q$2)/$Q$2))</f>
        <v>9009.95238304138</v>
      </c>
      <c r="J675" s="15" t="n">
        <f aca="false">I675*(1+IF(J$3&lt;=$O$2,$D675,$D675-($D675-$I$670)*MIN(J$3-$O$2,$Q$2)/$Q$2))</f>
        <v>8844.7098563364</v>
      </c>
      <c r="K675" s="15" t="n">
        <f aca="false">J675*(1+IF(K$3&lt;=$O$2,$D675,$D675-($D675-$I$670)*MIN(K$3-$O$2,$Q$2)/$Q$2))</f>
        <v>8796.6830818165</v>
      </c>
      <c r="L675" s="15" t="n">
        <f aca="false">K675*(1+IF(L$3&lt;=$O$2,$D675,$D675-($D675-$I$670)*MIN(L$3-$O$2,$Q$2)/$Q$2))</f>
        <v>8862.48227126848</v>
      </c>
      <c r="M675" s="15" t="n">
        <f aca="false">L675*(1+IF(M$3&lt;=$O$2,$D675,$D675-($D675-$I$670)*MIN(M$3-$O$2,$Q$2)/$Q$2))</f>
        <v>9043.18828477965</v>
      </c>
      <c r="N675" s="15" t="n">
        <f aca="false">M675*(1+IF(N$3&lt;=$O$2,$D675,$D675-($D675-$I$670)*MIN(N$3-$O$2,$Q$2)/$Q$2))</f>
        <v>9344.32645466281</v>
      </c>
      <c r="O675" s="15" t="n">
        <f aca="false">SUMPRODUCT(E675:N675,1/(1+$F$670)^$E$3:$N$3)*$E$2</f>
        <v>30215.2714320746</v>
      </c>
      <c r="P675" s="15" t="n">
        <f aca="false">N675*$E$2*(1+$I$670)/($F$670-$I$670)/(1+$F$670)^$N$3</f>
        <v>38648.6780345571</v>
      </c>
      <c r="Q675" s="15" t="n">
        <f aca="false">O675+P675</f>
        <v>68863.9494666317</v>
      </c>
      <c r="R675" s="15" t="n">
        <f aca="false">Q675-$G$2+$I$2</f>
        <v>49403.9494666317</v>
      </c>
      <c r="S675" s="40" t="n">
        <f aca="false">R675/$K$2</f>
        <v>88.0029025572806</v>
      </c>
      <c r="T675" s="41" t="n">
        <f aca="false">S675-$M$2</f>
        <v>-67.8067841133049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39" t="n">
        <f aca="false">(B676+C676)/2</f>
        <v>0.015625</v>
      </c>
      <c r="E676" s="15" t="n">
        <f aca="false">$C$2*(1+IF(E$3&lt;=$O$2,$D676,$D676-($D676-$I$670)*MIN(E$3-$O$2,$Q$2)/$Q$2))</f>
        <v>10725</v>
      </c>
      <c r="F676" s="15" t="n">
        <f aca="false">E676*(1+IF(F$3&lt;=$O$2,$D676,$D676-($D676-$I$670)*MIN(F$3-$O$2,$Q$2)/$Q$2))</f>
        <v>10892.578125</v>
      </c>
      <c r="G676" s="15" t="n">
        <f aca="false">F676*(1+IF(G$3&lt;=$O$2,$D676,$D676-($D676-$I$670)*MIN(G$3-$O$2,$Q$2)/$Q$2))</f>
        <v>11062.7746582031</v>
      </c>
      <c r="H676" s="15" t="n">
        <f aca="false">G676*(1+IF(H$3&lt;=$O$2,$D676,$D676-($D676-$I$670)*MIN(H$3-$O$2,$Q$2)/$Q$2))</f>
        <v>11235.6305122375</v>
      </c>
      <c r="I676" s="15" t="n">
        <f aca="false">H676*(1+IF(I$3&lt;=$O$2,$D676,$D676-($D676-$I$670)*MIN(I$3-$O$2,$Q$2)/$Q$2))</f>
        <v>11411.1872389913</v>
      </c>
      <c r="J676" s="15" t="n">
        <f aca="false">I676*(1+IF(J$3&lt;=$O$2,$D676,$D676-($D676-$I$670)*MIN(J$3-$O$2,$Q$2)/$Q$2))</f>
        <v>11629.8255864903</v>
      </c>
      <c r="K676" s="15" t="n">
        <f aca="false">J676*(1+IF(K$3&lt;=$O$2,$D676,$D676-($D676-$I$670)*MIN(K$3-$O$2,$Q$2)/$Q$2))</f>
        <v>11893.7644781757</v>
      </c>
      <c r="L676" s="15" t="n">
        <f aca="false">K676*(1+IF(L$3&lt;=$O$2,$D676,$D676-($D676-$I$670)*MIN(L$3-$O$2,$Q$2)/$Q$2))</f>
        <v>12205.7379204383</v>
      </c>
      <c r="M676" s="15" t="n">
        <f aca="false">L676*(1+IF(M$3&lt;=$O$2,$D676,$D676-($D676-$I$670)*MIN(M$3-$O$2,$Q$2)/$Q$2))</f>
        <v>12569.0417096401</v>
      </c>
      <c r="N676" s="15" t="n">
        <f aca="false">M676*(1+IF(N$3&lt;=$O$2,$D676,$D676-($D676-$I$670)*MIN(N$3-$O$2,$Q$2)/$Q$2))</f>
        <v>12987.5907985711</v>
      </c>
      <c r="O676" s="15" t="n">
        <f aca="false">SUMPRODUCT(E676:N676,1/(1+$F$670)^$E$3:$N$3)*$E$2</f>
        <v>37034.6143632052</v>
      </c>
      <c r="P676" s="15" t="n">
        <f aca="false">N676*$E$2*(1+$I$670)/($F$670-$I$670)/(1+$F$670)^$N$3</f>
        <v>53717.4313904753</v>
      </c>
      <c r="Q676" s="15" t="n">
        <f aca="false">O676+P676</f>
        <v>90752.0457536805</v>
      </c>
      <c r="R676" s="15" t="n">
        <f aca="false">Q676-$G$2+$I$2</f>
        <v>71292.0457536805</v>
      </c>
      <c r="S676" s="40" t="n">
        <f aca="false">R676/$K$2</f>
        <v>126.992012244038</v>
      </c>
      <c r="T676" s="41" t="n">
        <f aca="false">S676-$M$2</f>
        <v>-28.8176744265475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0.015625</v>
      </c>
      <c r="C677" s="25" t="n">
        <f aca="false">IF(T676&gt;0,D676,C676)</f>
        <v>0.0625</v>
      </c>
      <c r="D677" s="39" t="n">
        <f aca="false">(B677+C677)/2</f>
        <v>0.0390625</v>
      </c>
      <c r="E677" s="15" t="n">
        <f aca="false">$C$2*(1+IF(E$3&lt;=$O$2,$D677,$D677-($D677-$I$670)*MIN(E$3-$O$2,$Q$2)/$Q$2))</f>
        <v>10972.5</v>
      </c>
      <c r="F677" s="15" t="n">
        <f aca="false">E677*(1+IF(F$3&lt;=$O$2,$D677,$D677-($D677-$I$670)*MIN(F$3-$O$2,$Q$2)/$Q$2))</f>
        <v>11401.11328125</v>
      </c>
      <c r="G677" s="15" t="n">
        <f aca="false">F677*(1+IF(G$3&lt;=$O$2,$D677,$D677-($D677-$I$670)*MIN(G$3-$O$2,$Q$2)/$Q$2))</f>
        <v>11846.4692687988</v>
      </c>
      <c r="H677" s="15" t="n">
        <f aca="false">G677*(1+IF(H$3&lt;=$O$2,$D677,$D677-($D677-$I$670)*MIN(H$3-$O$2,$Q$2)/$Q$2))</f>
        <v>12309.2219746113</v>
      </c>
      <c r="I677" s="15" t="n">
        <f aca="false">H677*(1+IF(I$3&lt;=$O$2,$D677,$D677-($D677-$I$670)*MIN(I$3-$O$2,$Q$2)/$Q$2))</f>
        <v>12790.0509579945</v>
      </c>
      <c r="J677" s="15" t="n">
        <f aca="false">I677*(1+IF(J$3&lt;=$O$2,$D677,$D677-($D677-$I$670)*MIN(J$3-$O$2,$Q$2)/$Q$2))</f>
        <v>13274.9217898121</v>
      </c>
      <c r="K677" s="15" t="n">
        <f aca="false">J677*(1+IF(K$3&lt;=$O$2,$D677,$D677-($D677-$I$670)*MIN(K$3-$O$2,$Q$2)/$Q$2))</f>
        <v>13762.8747275011</v>
      </c>
      <c r="L677" s="15" t="n">
        <f aca="false">K677*(1+IF(L$3&lt;=$O$2,$D677,$D677-($D677-$I$670)*MIN(L$3-$O$2,$Q$2)/$Q$2))</f>
        <v>14252.9018821738</v>
      </c>
      <c r="M677" s="15" t="n">
        <f aca="false">L677*(1+IF(M$3&lt;=$O$2,$D677,$D677-($D677-$I$670)*MIN(M$3-$O$2,$Q$2)/$Q$2))</f>
        <v>14743.9499842694</v>
      </c>
      <c r="N677" s="15" t="n">
        <f aca="false">M677*(1+IF(N$3&lt;=$O$2,$D677,$D677-($D677-$I$670)*MIN(N$3-$O$2,$Q$2)/$Q$2))</f>
        <v>15234.9235187456</v>
      </c>
      <c r="O677" s="15" t="n">
        <f aca="false">SUMPRODUCT(E677:N677,1/(1+$F$670)^$E$3:$N$3)*$E$2</f>
        <v>41015.2439119273</v>
      </c>
      <c r="P677" s="15" t="n">
        <f aca="false">N677*$E$2*(1+$I$670)/($F$670-$I$670)/(1+$F$670)^$N$3</f>
        <v>63012.5303106554</v>
      </c>
      <c r="Q677" s="15" t="n">
        <f aca="false">O677+P677</f>
        <v>104027.774222583</v>
      </c>
      <c r="R677" s="15" t="n">
        <f aca="false">Q677-$G$2+$I$2</f>
        <v>84567.7742225828</v>
      </c>
      <c r="S677" s="40" t="n">
        <f aca="false">R677/$K$2</f>
        <v>150.639972608316</v>
      </c>
      <c r="T677" s="41" t="n">
        <f aca="false">S677-$M$2</f>
        <v>-5.16971406226909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0.0390625</v>
      </c>
      <c r="C678" s="25" t="n">
        <f aca="false">IF(T677&gt;0,D677,C677)</f>
        <v>0.0625</v>
      </c>
      <c r="D678" s="39" t="n">
        <f aca="false">(B678+C678)/2</f>
        <v>0.05078125</v>
      </c>
      <c r="E678" s="15" t="n">
        <f aca="false">$C$2*(1+IF(E$3&lt;=$O$2,$D678,$D678-($D678-$I$670)*MIN(E$3-$O$2,$Q$2)/$Q$2))</f>
        <v>11096.25</v>
      </c>
      <c r="F678" s="15" t="n">
        <f aca="false">E678*(1+IF(F$3&lt;=$O$2,$D678,$D678-($D678-$I$670)*MIN(F$3-$O$2,$Q$2)/$Q$2))</f>
        <v>11659.7314453125</v>
      </c>
      <c r="G678" s="15" t="n">
        <f aca="false">F678*(1+IF(G$3&lt;=$O$2,$D678,$D678-($D678-$I$670)*MIN(G$3-$O$2,$Q$2)/$Q$2))</f>
        <v>12251.8271827698</v>
      </c>
      <c r="H678" s="15" t="n">
        <f aca="false">G678*(1+IF(H$3&lt;=$O$2,$D678,$D678-($D678-$I$670)*MIN(H$3-$O$2,$Q$2)/$Q$2))</f>
        <v>12873.9902818948</v>
      </c>
      <c r="I678" s="15" t="n">
        <f aca="false">H678*(1+IF(I$3&lt;=$O$2,$D678,$D678-($D678-$I$670)*MIN(I$3-$O$2,$Q$2)/$Q$2))</f>
        <v>13527.7476008973</v>
      </c>
      <c r="J678" s="15" t="n">
        <f aca="false">I678*(1+IF(J$3&lt;=$O$2,$D678,$D678-($D678-$I$670)*MIN(J$3-$O$2,$Q$2)/$Q$2))</f>
        <v>14167.4071462057</v>
      </c>
      <c r="K678" s="15" t="n">
        <f aca="false">J678*(1+IF(K$3&lt;=$O$2,$D678,$D678-($D678-$I$670)*MIN(K$3-$O$2,$Q$2)/$Q$2))</f>
        <v>14787.7801958791</v>
      </c>
      <c r="L678" s="15" t="n">
        <f aca="false">K678*(1+IF(L$3&lt;=$O$2,$D678,$D678-($D678-$I$670)*MIN(L$3-$O$2,$Q$2)/$Q$2))</f>
        <v>15383.6168294216</v>
      </c>
      <c r="M678" s="15" t="n">
        <f aca="false">L678*(1+IF(M$3&lt;=$O$2,$D678,$D678-($D678-$I$670)*MIN(M$3-$O$2,$Q$2)/$Q$2))</f>
        <v>15949.6762401812</v>
      </c>
      <c r="N678" s="15" t="n">
        <f aca="false">M678*(1+IF(N$3&lt;=$O$2,$D678,$D678-($D678-$I$670)*MIN(N$3-$O$2,$Q$2)/$Q$2))</f>
        <v>16480.8004589792</v>
      </c>
      <c r="O678" s="15" t="n">
        <f aca="false">SUMPRODUCT(E678:N678,1/(1+$F$670)^$E$3:$N$3)*$E$2</f>
        <v>43165.3522774069</v>
      </c>
      <c r="P678" s="15" t="n">
        <f aca="false">N678*$E$2*(1+$I$670)/($F$670-$I$670)/(1+$F$670)^$N$3</f>
        <v>68165.5498426027</v>
      </c>
      <c r="Q678" s="15" t="n">
        <f aca="false">O678+P678</f>
        <v>111330.90212001</v>
      </c>
      <c r="R678" s="15" t="n">
        <f aca="false">Q678-$G$2+$I$2</f>
        <v>91870.9021200096</v>
      </c>
      <c r="S678" s="40" t="n">
        <f aca="false">R678/$K$2</f>
        <v>163.648982204901</v>
      </c>
      <c r="T678" s="41" t="n">
        <f aca="false">S678-$M$2</f>
        <v>7.83929553431594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0.0390625</v>
      </c>
      <c r="C679" s="25" t="n">
        <f aca="false">IF(T678&gt;0,D678,C678)</f>
        <v>0.05078125</v>
      </c>
      <c r="D679" s="39" t="n">
        <f aca="false">(B679+C679)/2</f>
        <v>0.044921875</v>
      </c>
      <c r="E679" s="15" t="n">
        <f aca="false">$C$2*(1+IF(E$3&lt;=$O$2,$D679,$D679-($D679-$I$670)*MIN(E$3-$O$2,$Q$2)/$Q$2))</f>
        <v>11034.375</v>
      </c>
      <c r="F679" s="15" t="n">
        <f aca="false">E679*(1+IF(F$3&lt;=$O$2,$D679,$D679-($D679-$I$670)*MIN(F$3-$O$2,$Q$2)/$Q$2))</f>
        <v>11530.0598144531</v>
      </c>
      <c r="G679" s="15" t="n">
        <f aca="false">F679*(1+IF(G$3&lt;=$O$2,$D679,$D679-($D679-$I$670)*MIN(G$3-$O$2,$Q$2)/$Q$2))</f>
        <v>12048.0117201805</v>
      </c>
      <c r="H679" s="15" t="n">
        <f aca="false">G679*(1+IF(H$3&lt;=$O$2,$D679,$D679-($D679-$I$670)*MIN(H$3-$O$2,$Q$2)/$Q$2))</f>
        <v>12589.230996673</v>
      </c>
      <c r="I679" s="15" t="n">
        <f aca="false">H679*(1+IF(I$3&lt;=$O$2,$D679,$D679-($D679-$I$670)*MIN(I$3-$O$2,$Q$2)/$Q$2))</f>
        <v>13154.7628578517</v>
      </c>
      <c r="J679" s="15" t="n">
        <f aca="false">I679*(1+IF(J$3&lt;=$O$2,$D679,$D679-($D679-$I$670)*MIN(J$3-$O$2,$Q$2)/$Q$2))</f>
        <v>13715.122868689</v>
      </c>
      <c r="K679" s="15" t="n">
        <f aca="false">J679*(1+IF(K$3&lt;=$O$2,$D679,$D679-($D679-$I$670)*MIN(K$3-$O$2,$Q$2)/$Q$2))</f>
        <v>14267.4737263701</v>
      </c>
      <c r="L679" s="15" t="n">
        <f aca="false">K679*(1+IF(L$3&lt;=$O$2,$D679,$D679-($D679-$I$670)*MIN(L$3-$O$2,$Q$2)/$Q$2))</f>
        <v>14808.9065199437</v>
      </c>
      <c r="M679" s="15" t="n">
        <f aca="false">L679*(1+IF(M$3&lt;=$O$2,$D679,$D679-($D679-$I$670)*MIN(M$3-$O$2,$Q$2)/$Q$2))</f>
        <v>15336.4645591501</v>
      </c>
      <c r="N679" s="15" t="n">
        <f aca="false">M679*(1+IF(N$3&lt;=$O$2,$D679,$D679-($D679-$I$670)*MIN(N$3-$O$2,$Q$2)/$Q$2))</f>
        <v>15847.1688289698</v>
      </c>
      <c r="O679" s="15" t="n">
        <f aca="false">SUMPRODUCT(E679:N679,1/(1+$F$670)^$E$3:$N$3)*$E$2</f>
        <v>42076.4386357374</v>
      </c>
      <c r="P679" s="15" t="n">
        <f aca="false">N679*$E$2*(1+$I$670)/($F$670-$I$670)/(1+$F$670)^$N$3</f>
        <v>65544.8125449962</v>
      </c>
      <c r="Q679" s="15" t="n">
        <f aca="false">O679+P679</f>
        <v>107621.251180734</v>
      </c>
      <c r="R679" s="15" t="n">
        <f aca="false">Q679-$G$2+$I$2</f>
        <v>88161.2511807336</v>
      </c>
      <c r="S679" s="40" t="n">
        <f aca="false">R679/$K$2</f>
        <v>157.041007464924</v>
      </c>
      <c r="T679" s="41" t="n">
        <f aca="false">S679-$M$2</f>
        <v>1.23132079433833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0.0390625</v>
      </c>
      <c r="C680" s="25" t="n">
        <f aca="false">IF(T679&gt;0,D679,C679)</f>
        <v>0.044921875</v>
      </c>
      <c r="D680" s="39" t="n">
        <f aca="false">(B680+C680)/2</f>
        <v>0.0419921875</v>
      </c>
      <c r="E680" s="15" t="n">
        <f aca="false">$C$2*(1+IF(E$3&lt;=$O$2,$D680,$D680-($D680-$I$670)*MIN(E$3-$O$2,$Q$2)/$Q$2))</f>
        <v>11003.4375</v>
      </c>
      <c r="F680" s="15" t="n">
        <f aca="false">E680*(1+IF(F$3&lt;=$O$2,$D680,$D680-($D680-$I$670)*MIN(F$3-$O$2,$Q$2)/$Q$2))</f>
        <v>11465.4959106445</v>
      </c>
      <c r="G680" s="15" t="n">
        <f aca="false">F680*(1+IF(G$3&lt;=$O$2,$D680,$D680-($D680-$I$670)*MIN(G$3-$O$2,$Q$2)/$Q$2))</f>
        <v>11946.9571647048</v>
      </c>
      <c r="H680" s="15" t="n">
        <f aca="false">G680*(1+IF(H$3&lt;=$O$2,$D680,$D680-($D680-$I$670)*MIN(H$3-$O$2,$Q$2)/$Q$2))</f>
        <v>12448.6360300196</v>
      </c>
      <c r="I680" s="15" t="n">
        <f aca="false">H680*(1+IF(I$3&lt;=$O$2,$D680,$D680-($D680-$I$670)*MIN(I$3-$O$2,$Q$2)/$Q$2))</f>
        <v>12971.3814883114</v>
      </c>
      <c r="J680" s="15" t="n">
        <f aca="false">I680*(1+IF(J$3&lt;=$O$2,$D680,$D680-($D680-$I$670)*MIN(J$3-$O$2,$Q$2)/$Q$2))</f>
        <v>13493.5282358965</v>
      </c>
      <c r="K680" s="15" t="n">
        <f aca="false">J680*(1+IF(K$3&lt;=$O$2,$D680,$D680-($D680-$I$670)*MIN(K$3-$O$2,$Q$2)/$Q$2))</f>
        <v>14013.2356926296</v>
      </c>
      <c r="L680" s="15" t="n">
        <f aca="false">K680*(1+IF(L$3&lt;=$O$2,$D680,$D680-($D680-$I$670)*MIN(L$3-$O$2,$Q$2)/$Q$2))</f>
        <v>14528.598710043</v>
      </c>
      <c r="M680" s="15" t="n">
        <f aca="false">L680*(1+IF(M$3&lt;=$O$2,$D680,$D680-($D680-$I$670)*MIN(M$3-$O$2,$Q$2)/$Q$2))</f>
        <v>15037.6581079074</v>
      </c>
      <c r="N680" s="15" t="n">
        <f aca="false">M680*(1+IF(N$3&lt;=$O$2,$D680,$D680-($D680-$I$670)*MIN(N$3-$O$2,$Q$2)/$Q$2))</f>
        <v>15538.4121229007</v>
      </c>
      <c r="O680" s="15" t="n">
        <f aca="false">SUMPRODUCT(E680:N680,1/(1+$F$670)^$E$3:$N$3)*$E$2</f>
        <v>41542.4181281321</v>
      </c>
      <c r="P680" s="15" t="n">
        <f aca="false">N680*$E$2*(1+$I$670)/($F$670-$I$670)/(1+$F$670)^$N$3</f>
        <v>64267.7768397723</v>
      </c>
      <c r="Q680" s="15" t="n">
        <f aca="false">O680+P680</f>
        <v>105810.194967904</v>
      </c>
      <c r="R680" s="15" t="n">
        <f aca="false">Q680-$G$2+$I$2</f>
        <v>86350.1949679044</v>
      </c>
      <c r="S680" s="40" t="n">
        <f aca="false">R680/$K$2</f>
        <v>153.814985959679</v>
      </c>
      <c r="T680" s="41" t="n">
        <f aca="false">S680-$M$2</f>
        <v>-1.99470071090616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0.0419921875</v>
      </c>
      <c r="C681" s="25" t="n">
        <f aca="false">IF(T680&gt;0,D680,C680)</f>
        <v>0.044921875</v>
      </c>
      <c r="D681" s="39" t="n">
        <f aca="false">(B681+C681)/2</f>
        <v>0.04345703125</v>
      </c>
      <c r="E681" s="15" t="n">
        <f aca="false">$C$2*(1+IF(E$3&lt;=$O$2,$D681,$D681-($D681-$I$670)*MIN(E$3-$O$2,$Q$2)/$Q$2))</f>
        <v>11018.90625</v>
      </c>
      <c r="F681" s="15" t="n">
        <f aca="false">E681*(1+IF(F$3&lt;=$O$2,$D681,$D681-($D681-$I$670)*MIN(F$3-$O$2,$Q$2)/$Q$2))</f>
        <v>11497.7552032471</v>
      </c>
      <c r="G681" s="15" t="n">
        <f aca="false">F681*(1+IF(G$3&lt;=$O$2,$D681,$D681-($D681-$I$670)*MIN(G$3-$O$2,$Q$2)/$Q$2))</f>
        <v>11997.4135104194</v>
      </c>
      <c r="H681" s="15" t="n">
        <f aca="false">G681*(1+IF(H$3&lt;=$O$2,$D681,$D681-($D681-$I$670)*MIN(H$3-$O$2,$Q$2)/$Q$2))</f>
        <v>12518.7854842609</v>
      </c>
      <c r="I681" s="15" t="n">
        <f aca="false">H681*(1+IF(I$3&lt;=$O$2,$D681,$D681-($D681-$I$670)*MIN(I$3-$O$2,$Q$2)/$Q$2))</f>
        <v>13062.8147362625</v>
      </c>
      <c r="J681" s="15" t="n">
        <f aca="false">I681*(1+IF(J$3&lt;=$O$2,$D681,$D681-($D681-$I$670)*MIN(J$3-$O$2,$Q$2)/$Q$2))</f>
        <v>13603.9500009714</v>
      </c>
      <c r="K681" s="15" t="n">
        <f aca="false">J681*(1+IF(K$3&lt;=$O$2,$D681,$D681-($D681-$I$670)*MIN(K$3-$O$2,$Q$2)/$Q$2))</f>
        <v>14139.8669831737</v>
      </c>
      <c r="L681" s="15" t="n">
        <f aca="false">K681*(1+IF(L$3&lt;=$O$2,$D681,$D681-($D681-$I$670)*MIN(L$3-$O$2,$Q$2)/$Q$2))</f>
        <v>14668.1721820409</v>
      </c>
      <c r="M681" s="15" t="n">
        <f aca="false">L681*(1+IF(M$3&lt;=$O$2,$D681,$D681-($D681-$I$670)*MIN(M$3-$O$2,$Q$2)/$Q$2))</f>
        <v>15186.4193323496</v>
      </c>
      <c r="N681" s="15" t="n">
        <f aca="false">M681*(1+IF(N$3&lt;=$O$2,$D681,$D681-($D681-$I$670)*MIN(N$3-$O$2,$Q$2)/$Q$2))</f>
        <v>15692.1270961168</v>
      </c>
      <c r="O681" s="15" t="n">
        <f aca="false">SUMPRODUCT(E681:N681,1/(1+$F$670)^$E$3:$N$3)*$E$2</f>
        <v>41808.5674148533</v>
      </c>
      <c r="P681" s="15" t="n">
        <f aca="false">N681*$E$2*(1+$I$670)/($F$670-$I$670)/(1+$F$670)^$N$3</f>
        <v>64903.550914848</v>
      </c>
      <c r="Q681" s="15" t="n">
        <f aca="false">O681+P681</f>
        <v>106712.118329701</v>
      </c>
      <c r="R681" s="15" t="n">
        <f aca="false">Q681-$G$2+$I$2</f>
        <v>87252.1183297013</v>
      </c>
      <c r="S681" s="40" t="n">
        <f aca="false">R681/$K$2</f>
        <v>155.421575606443</v>
      </c>
      <c r="T681" s="41" t="n">
        <f aca="false">S681-$M$2</f>
        <v>-0.388111064142123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0.04345703125</v>
      </c>
      <c r="C682" s="25" t="n">
        <f aca="false">IF(T681&gt;0,D681,C681)</f>
        <v>0.044921875</v>
      </c>
      <c r="D682" s="39" t="n">
        <f aca="false">(B682+C682)/2</f>
        <v>0.044189453125</v>
      </c>
      <c r="E682" s="15" t="n">
        <f aca="false">$C$2*(1+IF(E$3&lt;=$O$2,$D682,$D682-($D682-$I$670)*MIN(E$3-$O$2,$Q$2)/$Q$2))</f>
        <v>11026.640625</v>
      </c>
      <c r="F682" s="15" t="n">
        <f aca="false">E682*(1+IF(F$3&lt;=$O$2,$D682,$D682-($D682-$I$670)*MIN(F$3-$O$2,$Q$2)/$Q$2))</f>
        <v>11513.9018440247</v>
      </c>
      <c r="G682" s="15" t="n">
        <f aca="false">F682*(1+IF(G$3&lt;=$O$2,$D682,$D682-($D682-$I$670)*MIN(G$3-$O$2,$Q$2)/$Q$2))</f>
        <v>12022.694869847</v>
      </c>
      <c r="H682" s="15" t="n">
        <f aca="false">G682*(1+IF(H$3&lt;=$O$2,$D682,$D682-($D682-$I$670)*MIN(H$3-$O$2,$Q$2)/$Q$2))</f>
        <v>12553.9711812343</v>
      </c>
      <c r="I682" s="15" t="n">
        <f aca="false">H682*(1+IF(I$3&lt;=$O$2,$D682,$D682-($D682-$I$670)*MIN(I$3-$O$2,$Q$2)/$Q$2))</f>
        <v>13108.7243022801</v>
      </c>
      <c r="J682" s="15" t="n">
        <f aca="false">I682*(1+IF(J$3&lt;=$O$2,$D682,$D682-($D682-$I$670)*MIN(J$3-$O$2,$Q$2)/$Q$2))</f>
        <v>13659.4422926006</v>
      </c>
      <c r="K682" s="15" t="n">
        <f aca="false">J682*(1+IF(K$3&lt;=$O$2,$D682,$D682-($D682-$I$670)*MIN(K$3-$O$2,$Q$2)/$Q$2))</f>
        <v>14203.5480348795</v>
      </c>
      <c r="L682" s="15" t="n">
        <f aca="false">K682*(1+IF(L$3&lt;=$O$2,$D682,$D682-($D682-$I$670)*MIN(L$3-$O$2,$Q$2)/$Q$2))</f>
        <v>14738.3937326548</v>
      </c>
      <c r="M682" s="15" t="n">
        <f aca="false">L682*(1+IF(M$3&lt;=$O$2,$D682,$D682-($D682-$I$670)*MIN(M$3-$O$2,$Q$2)/$Q$2))</f>
        <v>15261.2808534901</v>
      </c>
      <c r="N682" s="15" t="n">
        <f aca="false">M682*(1+IF(N$3&lt;=$O$2,$D682,$D682-($D682-$I$670)*MIN(N$3-$O$2,$Q$2)/$Q$2))</f>
        <v>15769.4815059114</v>
      </c>
      <c r="O682" s="15" t="n">
        <f aca="false">SUMPRODUCT(E682:N682,1/(1+$F$670)^$E$3:$N$3)*$E$2</f>
        <v>41942.2871329601</v>
      </c>
      <c r="P682" s="15" t="n">
        <f aca="false">N682*$E$2*(1+$I$670)/($F$670-$I$670)/(1+$F$670)^$N$3</f>
        <v>65223.493255605</v>
      </c>
      <c r="Q682" s="15" t="n">
        <f aca="false">O682+P682</f>
        <v>107165.780388565</v>
      </c>
      <c r="R682" s="15" t="n">
        <f aca="false">Q682-$G$2+$I$2</f>
        <v>87705.7803885651</v>
      </c>
      <c r="S682" s="40" t="n">
        <f aca="false">R682/$K$2</f>
        <v>156.229680593821</v>
      </c>
      <c r="T682" s="41" t="n">
        <f aca="false">S682-$M$2</f>
        <v>0.41999392323541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0.04345703125</v>
      </c>
      <c r="C683" s="25" t="n">
        <f aca="false">IF(T682&gt;0,D682,C682)</f>
        <v>0.044189453125</v>
      </c>
      <c r="D683" s="39" t="n">
        <f aca="false">(B683+C683)/2</f>
        <v>0.0438232421875</v>
      </c>
      <c r="E683" s="15" t="n">
        <f aca="false">$C$2*(1+IF(E$3&lt;=$O$2,$D683,$D683-($D683-$I$670)*MIN(E$3-$O$2,$Q$2)/$Q$2))</f>
        <v>11022.7734375</v>
      </c>
      <c r="F683" s="15" t="n">
        <f aca="false">E683*(1+IF(F$3&lt;=$O$2,$D683,$D683-($D683-$I$670)*MIN(F$3-$O$2,$Q$2)/$Q$2))</f>
        <v>11505.8271074295</v>
      </c>
      <c r="G683" s="15" t="n">
        <f aca="false">F683*(1+IF(G$3&lt;=$O$2,$D683,$D683-($D683-$I$670)*MIN(G$3-$O$2,$Q$2)/$Q$2))</f>
        <v>12010.0497553259</v>
      </c>
      <c r="H683" s="15" t="n">
        <f aca="false">G683*(1+IF(H$3&lt;=$O$2,$D683,$D683-($D683-$I$670)*MIN(H$3-$O$2,$Q$2)/$Q$2))</f>
        <v>12536.3690744375</v>
      </c>
      <c r="I683" s="15" t="n">
        <f aca="false">H683*(1+IF(I$3&lt;=$O$2,$D683,$D683-($D683-$I$670)*MIN(I$3-$O$2,$Q$2)/$Q$2))</f>
        <v>13085.7534125384</v>
      </c>
      <c r="J683" s="15" t="n">
        <f aca="false">I683*(1+IF(J$3&lt;=$O$2,$D683,$D683-($D683-$I$670)*MIN(J$3-$O$2,$Q$2)/$Q$2))</f>
        <v>13631.6726430688</v>
      </c>
      <c r="K683" s="15" t="n">
        <f aca="false">J683*(1+IF(K$3&lt;=$O$2,$D683,$D683-($D683-$I$670)*MIN(K$3-$O$2,$Q$2)/$Q$2))</f>
        <v>14171.6769776692</v>
      </c>
      <c r="L683" s="15" t="n">
        <f aca="false">K683*(1+IF(L$3&lt;=$O$2,$D683,$D683-($D683-$I$670)*MIN(L$3-$O$2,$Q$2)/$Q$2))</f>
        <v>14703.2466166412</v>
      </c>
      <c r="M683" s="15" t="n">
        <f aca="false">L683*(1+IF(M$3&lt;=$O$2,$D683,$D683-($D683-$I$670)*MIN(M$3-$O$2,$Q$2)/$Q$2))</f>
        <v>15223.8098939933</v>
      </c>
      <c r="N683" s="15" t="n">
        <f aca="false">M683*(1+IF(N$3&lt;=$O$2,$D683,$D683-($D683-$I$670)*MIN(N$3-$O$2,$Q$2)/$Q$2))</f>
        <v>15730.7627634632</v>
      </c>
      <c r="O683" s="15" t="n">
        <f aca="false">SUMPRODUCT(E683:N683,1/(1+$F$670)^$E$3:$N$3)*$E$2</f>
        <v>41875.373382277</v>
      </c>
      <c r="P683" s="15" t="n">
        <f aca="false">N683*$E$2*(1+$I$670)/($F$670-$I$670)/(1+$F$670)^$N$3</f>
        <v>65063.3502834987</v>
      </c>
      <c r="Q683" s="15" t="n">
        <f aca="false">O683+P683</f>
        <v>106938.723665776</v>
      </c>
      <c r="R683" s="15" t="n">
        <f aca="false">Q683-$G$2+$I$2</f>
        <v>87478.7236657758</v>
      </c>
      <c r="S683" s="40" t="n">
        <f aca="false">R683/$K$2</f>
        <v>155.825226074166</v>
      </c>
      <c r="T683" s="41" t="n">
        <f aca="false">S683-$M$2</f>
        <v>0.015539403579993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0.04345703125</v>
      </c>
      <c r="C684" s="25" t="n">
        <f aca="false">IF(T683&gt;0,D683,C683)</f>
        <v>0.0438232421875</v>
      </c>
      <c r="D684" s="39" t="n">
        <f aca="false">(B684+C684)/2</f>
        <v>0.04364013671875</v>
      </c>
      <c r="E684" s="15" t="n">
        <f aca="false">$C$2*(1+IF(E$3&lt;=$O$2,$D684,$D684-($D684-$I$670)*MIN(E$3-$O$2,$Q$2)/$Q$2))</f>
        <v>11020.83984375</v>
      </c>
      <c r="F684" s="15" t="n">
        <f aca="false">E684*(1+IF(F$3&lt;=$O$2,$D684,$D684-($D684-$I$670)*MIN(F$3-$O$2,$Q$2)/$Q$2))</f>
        <v>11501.7908012867</v>
      </c>
      <c r="G684" s="15" t="n">
        <f aca="false">F684*(1+IF(G$3&lt;=$O$2,$D684,$D684-($D684-$I$670)*MIN(G$3-$O$2,$Q$2)/$Q$2))</f>
        <v>12003.7305243653</v>
      </c>
      <c r="H684" s="15" t="n">
        <f aca="false">G684*(1+IF(H$3&lt;=$O$2,$D684,$D684-($D684-$I$670)*MIN(H$3-$O$2,$Q$2)/$Q$2))</f>
        <v>12527.5749655836</v>
      </c>
      <c r="I684" s="15" t="n">
        <f aca="false">H684*(1+IF(I$3&lt;=$O$2,$D684,$D684-($D684-$I$670)*MIN(I$3-$O$2,$Q$2)/$Q$2))</f>
        <v>13074.2800498361</v>
      </c>
      <c r="J684" s="15" t="n">
        <f aca="false">I684*(1+IF(J$3&lt;=$O$2,$D684,$D684-($D684-$I$670)*MIN(J$3-$O$2,$Q$2)/$Q$2))</f>
        <v>13617.8054500673</v>
      </c>
      <c r="K684" s="15" t="n">
        <f aca="false">J684*(1+IF(K$3&lt;=$O$2,$D684,$D684-($D684-$I$670)*MIN(K$3-$O$2,$Q$2)/$Q$2))</f>
        <v>14155.7643536523</v>
      </c>
      <c r="L684" s="15" t="n">
        <f aca="false">K684*(1+IF(L$3&lt;=$O$2,$D684,$D684-($D684-$I$670)*MIN(L$3-$O$2,$Q$2)/$Q$2))</f>
        <v>14685.700322139</v>
      </c>
      <c r="M684" s="15" t="n">
        <f aca="false">L684*(1+IF(M$3&lt;=$O$2,$D684,$D684-($D684-$I$670)*MIN(M$3-$O$2,$Q$2)/$Q$2))</f>
        <v>15205.1045726946</v>
      </c>
      <c r="N684" s="15" t="n">
        <f aca="false">M684*(1+IF(N$3&lt;=$O$2,$D684,$D684-($D684-$I$670)*MIN(N$3-$O$2,$Q$2)/$Q$2))</f>
        <v>15711.4345549653</v>
      </c>
      <c r="O684" s="15" t="n">
        <f aca="false">SUMPRODUCT(E684:N684,1/(1+$F$670)^$E$3:$N$3)*$E$2</f>
        <v>41841.9569358278</v>
      </c>
      <c r="P684" s="15" t="n">
        <f aca="false">N684*$E$2*(1+$I$670)/($F$670-$I$670)/(1+$F$670)^$N$3</f>
        <v>64983.4076882945</v>
      </c>
      <c r="Q684" s="15" t="n">
        <f aca="false">O684+P684</f>
        <v>106825.364624122</v>
      </c>
      <c r="R684" s="15" t="n">
        <f aca="false">Q684-$G$2+$I$2</f>
        <v>87365.3646241223</v>
      </c>
      <c r="S684" s="40" t="n">
        <f aca="false">R684/$K$2</f>
        <v>155.623300422384</v>
      </c>
      <c r="T684" s="41" t="n">
        <f aca="false">S684-$M$2</f>
        <v>-0.186386248201302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0.04364013671875</v>
      </c>
      <c r="C685" s="25" t="n">
        <f aca="false">IF(T684&gt;0,D684,C684)</f>
        <v>0.0438232421875</v>
      </c>
      <c r="D685" s="39" t="n">
        <f aca="false">(B685+C685)/2</f>
        <v>0.043731689453125</v>
      </c>
      <c r="E685" s="15" t="n">
        <f aca="false">$C$2*(1+IF(E$3&lt;=$O$2,$D685,$D685-($D685-$I$670)*MIN(E$3-$O$2,$Q$2)/$Q$2))</f>
        <v>11021.806640625</v>
      </c>
      <c r="F685" s="15" t="n">
        <f aca="false">E685*(1+IF(F$3&lt;=$O$2,$D685,$D685-($D685-$I$670)*MIN(F$3-$O$2,$Q$2)/$Q$2))</f>
        <v>11503.8088658452</v>
      </c>
      <c r="G685" s="15" t="n">
        <f aca="false">F685*(1+IF(G$3&lt;=$O$2,$D685,$D685-($D685-$I$670)*MIN(G$3-$O$2,$Q$2)/$Q$2))</f>
        <v>12006.8898626945</v>
      </c>
      <c r="H685" s="15" t="n">
        <f aca="false">G685*(1+IF(H$3&lt;=$O$2,$D685,$D685-($D685-$I$670)*MIN(H$3-$O$2,$Q$2)/$Q$2))</f>
        <v>12531.9714414677</v>
      </c>
      <c r="I685" s="15" t="n">
        <f aca="false">H685*(1+IF(I$3&lt;=$O$2,$D685,$D685-($D685-$I$670)*MIN(I$3-$O$2,$Q$2)/$Q$2))</f>
        <v>13080.0157247814</v>
      </c>
      <c r="J685" s="15" t="n">
        <f aca="false">I685*(1+IF(J$3&lt;=$O$2,$D685,$D685-($D685-$I$670)*MIN(J$3-$O$2,$Q$2)/$Q$2))</f>
        <v>13624.7375780829</v>
      </c>
      <c r="K685" s="15" t="n">
        <f aca="false">J685*(1+IF(K$3&lt;=$O$2,$D685,$D685-($D685-$I$670)*MIN(K$3-$O$2,$Q$2)/$Q$2))</f>
        <v>14163.71875821</v>
      </c>
      <c r="L685" s="15" t="n">
        <f aca="false">K685*(1+IF(L$3&lt;=$O$2,$D685,$D685-($D685-$I$670)*MIN(L$3-$O$2,$Q$2)/$Q$2))</f>
        <v>14694.4711990932</v>
      </c>
      <c r="M685" s="15" t="n">
        <f aca="false">L685*(1+IF(M$3&lt;=$O$2,$D685,$D685-($D685-$I$670)*MIN(M$3-$O$2,$Q$2)/$Q$2))</f>
        <v>15214.4547220684</v>
      </c>
      <c r="N685" s="15" t="n">
        <f aca="false">M685*(1+IF(N$3&lt;=$O$2,$D685,$D685-($D685-$I$670)*MIN(N$3-$O$2,$Q$2)/$Q$2))</f>
        <v>15721.0960643133</v>
      </c>
      <c r="O685" s="15" t="n">
        <f aca="false">SUMPRODUCT(E685:N685,1/(1+$F$670)^$E$3:$N$3)*$E$2</f>
        <v>41858.6617920973</v>
      </c>
      <c r="P685" s="15" t="n">
        <f aca="false">N685*$E$2*(1+$I$670)/($F$670-$I$670)/(1+$F$670)^$N$3</f>
        <v>65023.3682532351</v>
      </c>
      <c r="Q685" s="15" t="n">
        <f aca="false">O685+P685</f>
        <v>106882.030045332</v>
      </c>
      <c r="R685" s="15" t="n">
        <f aca="false">Q685-$G$2+$I$2</f>
        <v>87422.0300453325</v>
      </c>
      <c r="S685" s="40" t="n">
        <f aca="false">R685/$K$2</f>
        <v>155.724238132729</v>
      </c>
      <c r="T685" s="41" t="n">
        <f aca="false">S685-$M$2</f>
        <v>-0.0854485378569621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0.043731689453125</v>
      </c>
      <c r="C686" s="25" t="n">
        <f aca="false">IF(T685&gt;0,D685,C685)</f>
        <v>0.0438232421875</v>
      </c>
      <c r="D686" s="39" t="n">
        <f aca="false">(B686+C686)/2</f>
        <v>0.0437774658203125</v>
      </c>
      <c r="E686" s="15" t="n">
        <f aca="false">$C$2*(1+IF(E$3&lt;=$O$2,$D686,$D686-($D686-$I$670)*MIN(E$3-$O$2,$Q$2)/$Q$2))</f>
        <v>11022.2900390625</v>
      </c>
      <c r="F686" s="15" t="n">
        <f aca="false">E686*(1+IF(F$3&lt;=$O$2,$D686,$D686-($D686-$I$670)*MIN(F$3-$O$2,$Q$2)/$Q$2))</f>
        <v>11504.8179645091</v>
      </c>
      <c r="G686" s="15" t="n">
        <f aca="false">F686*(1+IF(G$3&lt;=$O$2,$D686,$D686-($D686-$I$670)*MIN(G$3-$O$2,$Q$2)/$Q$2))</f>
        <v>12008.4697397193</v>
      </c>
      <c r="H686" s="15" t="n">
        <f aca="false">G686*(1+IF(H$3&lt;=$O$2,$D686,$D686-($D686-$I$670)*MIN(H$3-$O$2,$Q$2)/$Q$2))</f>
        <v>12534.1701133042</v>
      </c>
      <c r="I686" s="15" t="n">
        <f aca="false">H686*(1+IF(I$3&lt;=$O$2,$D686,$D686-($D686-$I$670)*MIN(I$3-$O$2,$Q$2)/$Q$2))</f>
        <v>13082.8843170253</v>
      </c>
      <c r="J686" s="15" t="n">
        <f aca="false">I686*(1+IF(J$3&lt;=$O$2,$D686,$D686-($D686-$I$670)*MIN(J$3-$O$2,$Q$2)/$Q$2))</f>
        <v>13628.2047433925</v>
      </c>
      <c r="K686" s="15" t="n">
        <f aca="false">J686*(1+IF(K$3&lt;=$O$2,$D686,$D686-($D686-$I$670)*MIN(K$3-$O$2,$Q$2)/$Q$2))</f>
        <v>14167.6973909821</v>
      </c>
      <c r="L686" s="15" t="n">
        <f aca="false">K686*(1+IF(L$3&lt;=$O$2,$D686,$D686-($D686-$I$670)*MIN(L$3-$O$2,$Q$2)/$Q$2))</f>
        <v>14698.8583401684</v>
      </c>
      <c r="M686" s="15" t="n">
        <f aca="false">L686*(1+IF(M$3&lt;=$O$2,$D686,$D686-($D686-$I$670)*MIN(M$3-$O$2,$Q$2)/$Q$2))</f>
        <v>15219.1316800674</v>
      </c>
      <c r="N686" s="15" t="n">
        <f aca="false">M686*(1+IF(N$3&lt;=$O$2,$D686,$D686-($D686-$I$670)*MIN(N$3-$O$2,$Q$2)/$Q$2))</f>
        <v>15725.9287650136</v>
      </c>
      <c r="O686" s="15" t="n">
        <f aca="false">SUMPRODUCT(E686:N686,1/(1+$F$670)^$E$3:$N$3)*$E$2</f>
        <v>41867.0167452895</v>
      </c>
      <c r="P686" s="15" t="n">
        <f aca="false">N686*$E$2*(1+$I$670)/($F$670-$I$670)/(1+$F$670)^$N$3</f>
        <v>65043.3565845837</v>
      </c>
      <c r="Q686" s="15" t="n">
        <f aca="false">O686+P686</f>
        <v>106910.373329873</v>
      </c>
      <c r="R686" s="15" t="n">
        <f aca="false">Q686-$G$2+$I$2</f>
        <v>87450.3733298732</v>
      </c>
      <c r="S686" s="40" t="n">
        <f aca="false">R686/$K$2</f>
        <v>155.774725823177</v>
      </c>
      <c r="T686" s="41" t="n">
        <f aca="false">S686-$M$2</f>
        <v>-0.0349608474087404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0.0437774658203125</v>
      </c>
      <c r="C687" s="25" t="n">
        <f aca="false">IF(T686&gt;0,D686,C686)</f>
        <v>0.0438232421875</v>
      </c>
      <c r="D687" s="39" t="n">
        <f aca="false">(B687+C687)/2</f>
        <v>0.0438003540039063</v>
      </c>
      <c r="E687" s="15" t="n">
        <f aca="false">$C$2*(1+IF(E$3&lt;=$O$2,$D687,$D687-($D687-$I$670)*MIN(E$3-$O$2,$Q$2)/$Q$2))</f>
        <v>11022.5317382813</v>
      </c>
      <c r="F687" s="15" t="n">
        <f aca="false">E687*(1+IF(F$3&lt;=$O$2,$D687,$D687-($D687-$I$670)*MIN(F$3-$O$2,$Q$2)/$Q$2))</f>
        <v>11505.3225304373</v>
      </c>
      <c r="G687" s="15" t="n">
        <f aca="false">F687*(1+IF(G$3&lt;=$O$2,$D687,$D687-($D687-$I$670)*MIN(G$3-$O$2,$Q$2)/$Q$2))</f>
        <v>12009.2597301995</v>
      </c>
      <c r="H687" s="15" t="n">
        <f aca="false">G687*(1+IF(H$3&lt;=$O$2,$D687,$D687-($D687-$I$670)*MIN(H$3-$O$2,$Q$2)/$Q$2))</f>
        <v>12535.2695577071</v>
      </c>
      <c r="I687" s="15" t="n">
        <f aca="false">H687*(1+IF(I$3&lt;=$O$2,$D687,$D687-($D687-$I$670)*MIN(I$3-$O$2,$Q$2)/$Q$2))</f>
        <v>13084.3188018691</v>
      </c>
      <c r="J687" s="15" t="n">
        <f aca="false">I687*(1+IF(J$3&lt;=$O$2,$D687,$D687-($D687-$I$670)*MIN(J$3-$O$2,$Q$2)/$Q$2))</f>
        <v>13629.938601427</v>
      </c>
      <c r="K687" s="15" t="n">
        <f aca="false">J687*(1+IF(K$3&lt;=$O$2,$D687,$D687-($D687-$I$670)*MIN(K$3-$O$2,$Q$2)/$Q$2))</f>
        <v>14169.6870650744</v>
      </c>
      <c r="L687" s="15" t="n">
        <f aca="false">K687*(1+IF(L$3&lt;=$O$2,$D687,$D687-($D687-$I$670)*MIN(L$3-$O$2,$Q$2)/$Q$2))</f>
        <v>14701.0523364645</v>
      </c>
      <c r="M687" s="15" t="n">
        <f aca="false">L687*(1+IF(M$3&lt;=$O$2,$D687,$D687-($D687-$I$670)*MIN(M$3-$O$2,$Q$2)/$Q$2))</f>
        <v>15221.4706300214</v>
      </c>
      <c r="N687" s="15" t="n">
        <f aca="false">M687*(1+IF(N$3&lt;=$O$2,$D687,$D687-($D687-$I$670)*MIN(N$3-$O$2,$Q$2)/$Q$2))</f>
        <v>15728.3456020011</v>
      </c>
      <c r="O687" s="15" t="n">
        <f aca="false">SUMPRODUCT(E687:N687,1/(1+$F$670)^$E$3:$N$3)*$E$2</f>
        <v>41871.194853289</v>
      </c>
      <c r="P687" s="15" t="n">
        <f aca="false">N687*$E$2*(1+$I$670)/($F$670-$I$670)/(1+$F$670)^$N$3</f>
        <v>65053.3527630181</v>
      </c>
      <c r="Q687" s="15" t="n">
        <f aca="false">O687+P687</f>
        <v>106924.547616307</v>
      </c>
      <c r="R687" s="15" t="n">
        <f aca="false">Q687-$G$2+$I$2</f>
        <v>87464.5476163072</v>
      </c>
      <c r="S687" s="40" t="n">
        <f aca="false">R687/$K$2</f>
        <v>155.799974378431</v>
      </c>
      <c r="T687" s="41" t="n">
        <f aca="false">S687-$M$2</f>
        <v>-0.00971229215488734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0.0438003540039063</v>
      </c>
      <c r="C688" s="25" t="n">
        <f aca="false">IF(T687&gt;0,D687,C687)</f>
        <v>0.0438232421875</v>
      </c>
      <c r="D688" s="39" t="n">
        <f aca="false">(B688+C688)/2</f>
        <v>0.0438117980957031</v>
      </c>
      <c r="E688" s="15" t="n">
        <f aca="false">$C$2*(1+IF(E$3&lt;=$O$2,$D688,$D688-($D688-$I$670)*MIN(E$3-$O$2,$Q$2)/$Q$2))</f>
        <v>11022.6525878906</v>
      </c>
      <c r="F688" s="15" t="n">
        <f aca="false">E688*(1+IF(F$3&lt;=$O$2,$D688,$D688-($D688-$I$670)*MIN(F$3-$O$2,$Q$2)/$Q$2))</f>
        <v>11505.5748175504</v>
      </c>
      <c r="G688" s="15" t="n">
        <f aca="false">F688*(1+IF(G$3&lt;=$O$2,$D688,$D688-($D688-$I$670)*MIN(G$3-$O$2,$Q$2)/$Q$2))</f>
        <v>12009.6547384319</v>
      </c>
      <c r="H688" s="15" t="n">
        <f aca="false">G688*(1+IF(H$3&lt;=$O$2,$D688,$D688-($D688-$I$670)*MIN(H$3-$O$2,$Q$2)/$Q$2))</f>
        <v>12535.8193070312</v>
      </c>
      <c r="I688" s="15" t="n">
        <f aca="false">H688*(1+IF(I$3&lt;=$O$2,$D688,$D688-($D688-$I$670)*MIN(I$3-$O$2,$Q$2)/$Q$2))</f>
        <v>13085.036091475</v>
      </c>
      <c r="J688" s="15" t="n">
        <f aca="false">I688*(1+IF(J$3&lt;=$O$2,$D688,$D688-($D688-$I$670)*MIN(J$3-$O$2,$Q$2)/$Q$2))</f>
        <v>13630.805599296</v>
      </c>
      <c r="K688" s="15" t="n">
        <f aca="false">J688*(1+IF(K$3&lt;=$O$2,$D688,$D688-($D688-$I$670)*MIN(K$3-$O$2,$Q$2)/$Q$2))</f>
        <v>14170.6819915575</v>
      </c>
      <c r="L688" s="15" t="n">
        <f aca="false">K688*(1+IF(L$3&lt;=$O$2,$D688,$D688-($D688-$I$670)*MIN(L$3-$O$2,$Q$2)/$Q$2))</f>
        <v>14702.1494410659</v>
      </c>
      <c r="M688" s="15" t="n">
        <f aca="false">L688*(1+IF(M$3&lt;=$O$2,$D688,$D688-($D688-$I$670)*MIN(M$3-$O$2,$Q$2)/$Q$2))</f>
        <v>15222.6402227528</v>
      </c>
      <c r="N688" s="15" t="n">
        <f aca="false">M688*(1+IF(N$3&lt;=$O$2,$D688,$D688-($D688-$I$670)*MIN(N$3-$O$2,$Q$2)/$Q$2))</f>
        <v>15729.5541421705</v>
      </c>
      <c r="O688" s="15" t="n">
        <f aca="false">SUMPRODUCT(E688:N688,1/(1+$F$670)^$E$3:$N$3)*$E$2</f>
        <v>41873.284065157</v>
      </c>
      <c r="P688" s="15" t="n">
        <f aca="false">N688*$E$2*(1+$I$670)/($F$670-$I$670)/(1+$F$670)^$N$3</f>
        <v>65058.351355493</v>
      </c>
      <c r="Q688" s="15" t="n">
        <f aca="false">O688+P688</f>
        <v>106931.63542065</v>
      </c>
      <c r="R688" s="15" t="n">
        <f aca="false">Q688-$G$2+$I$2</f>
        <v>87471.63542065</v>
      </c>
      <c r="S688" s="40" t="n">
        <f aca="false">R688/$K$2</f>
        <v>155.812599833716</v>
      </c>
      <c r="T688" s="41" t="n">
        <f aca="false">S688-$M$2</f>
        <v>0.00291316313078482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0.0438003540039063</v>
      </c>
      <c r="C689" s="25" t="n">
        <f aca="false">IF(T688&gt;0,D688,C688)</f>
        <v>0.0438117980957031</v>
      </c>
      <c r="D689" s="39" t="n">
        <f aca="false">(B689+C689)/2</f>
        <v>0.0438060760498047</v>
      </c>
      <c r="E689" s="15" t="n">
        <f aca="false">$C$2*(1+IF(E$3&lt;=$O$2,$D689,$D689-($D689-$I$670)*MIN(E$3-$O$2,$Q$2)/$Q$2))</f>
        <v>11022.5921630859</v>
      </c>
      <c r="F689" s="15" t="n">
        <f aca="false">E689*(1+IF(F$3&lt;=$O$2,$D689,$D689-($D689-$I$670)*MIN(F$3-$O$2,$Q$2)/$Q$2))</f>
        <v>11505.4486736481</v>
      </c>
      <c r="G689" s="15" t="n">
        <f aca="false">F689*(1+IF(G$3&lt;=$O$2,$D689,$D689-($D689-$I$670)*MIN(G$3-$O$2,$Q$2)/$Q$2))</f>
        <v>12009.457233233</v>
      </c>
      <c r="H689" s="15" t="n">
        <f aca="false">G689*(1+IF(H$3&lt;=$O$2,$D689,$D689-($D689-$I$670)*MIN(H$3-$O$2,$Q$2)/$Q$2))</f>
        <v>12535.5444301089</v>
      </c>
      <c r="I689" s="15" t="n">
        <f aca="false">H689*(1+IF(I$3&lt;=$O$2,$D689,$D689-($D689-$I$670)*MIN(I$3-$O$2,$Q$2)/$Q$2))</f>
        <v>13084.67744274</v>
      </c>
      <c r="J689" s="15" t="n">
        <f aca="false">I689*(1+IF(J$3&lt;=$O$2,$D689,$D689-($D689-$I$670)*MIN(J$3-$O$2,$Q$2)/$Q$2))</f>
        <v>13630.3720946237</v>
      </c>
      <c r="K689" s="15" t="n">
        <f aca="false">J689*(1+IF(K$3&lt;=$O$2,$D689,$D689-($D689-$I$670)*MIN(K$3-$O$2,$Q$2)/$Q$2))</f>
        <v>14170.1845208626</v>
      </c>
      <c r="L689" s="15" t="n">
        <f aca="false">K689*(1+IF(L$3&lt;=$O$2,$D689,$D689-($D689-$I$670)*MIN(L$3-$O$2,$Q$2)/$Q$2))</f>
        <v>14701.6008798937</v>
      </c>
      <c r="M689" s="15" t="n">
        <f aca="false">L689*(1+IF(M$3&lt;=$O$2,$D689,$D689-($D689-$I$670)*MIN(M$3-$O$2,$Q$2)/$Q$2))</f>
        <v>15222.0554165738</v>
      </c>
      <c r="N689" s="15" t="n">
        <f aca="false">M689*(1+IF(N$3&lt;=$O$2,$D689,$D689-($D689-$I$670)*MIN(N$3-$O$2,$Q$2)/$Q$2))</f>
        <v>15728.9498619457</v>
      </c>
      <c r="O689" s="15" t="n">
        <f aca="false">SUMPRODUCT(E689:N689,1/(1+$F$670)^$E$3:$N$3)*$E$2</f>
        <v>41872.2394460668</v>
      </c>
      <c r="P689" s="15" t="n">
        <f aca="false">N689*$E$2*(1+$I$670)/($F$670-$I$670)/(1+$F$670)^$N$3</f>
        <v>65055.8520173154</v>
      </c>
      <c r="Q689" s="15" t="n">
        <f aca="false">O689+P689</f>
        <v>106928.091463382</v>
      </c>
      <c r="R689" s="15" t="n">
        <f aca="false">Q689-$G$2+$I$2</f>
        <v>87468.0914633822</v>
      </c>
      <c r="S689" s="40" t="n">
        <f aca="false">R689/$K$2</f>
        <v>155.806287007931</v>
      </c>
      <c r="T689" s="41" t="n">
        <f aca="false">S689-$M$2</f>
        <v>-0.00339966265482872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0.0438060760498047</v>
      </c>
      <c r="C690" s="25" t="n">
        <f aca="false">IF(T689&gt;0,D689,C689)</f>
        <v>0.0438117980957031</v>
      </c>
      <c r="D690" s="39" t="n">
        <f aca="false">(B690+C690)/2</f>
        <v>0.0438089370727539</v>
      </c>
      <c r="E690" s="15" t="n">
        <f aca="false">$C$2*(1+IF(E$3&lt;=$O$2,$D690,$D690-($D690-$I$670)*MIN(E$3-$O$2,$Q$2)/$Q$2))</f>
        <v>11022.6223754883</v>
      </c>
      <c r="F690" s="15" t="n">
        <f aca="false">E690*(1+IF(F$3&lt;=$O$2,$D690,$D690-($D690-$I$670)*MIN(F$3-$O$2,$Q$2)/$Q$2))</f>
        <v>11505.5117455128</v>
      </c>
      <c r="G690" s="15" t="n">
        <f aca="false">F690*(1+IF(G$3&lt;=$O$2,$D690,$D690-($D690-$I$670)*MIN(G$3-$O$2,$Q$2)/$Q$2))</f>
        <v>12009.5559855618</v>
      </c>
      <c r="H690" s="15" t="n">
        <f aca="false">G690*(1+IF(H$3&lt;=$O$2,$D690,$D690-($D690-$I$670)*MIN(H$3-$O$2,$Q$2)/$Q$2))</f>
        <v>12535.681868005</v>
      </c>
      <c r="I690" s="15" t="n">
        <f aca="false">H690*(1+IF(I$3&lt;=$O$2,$D690,$D690-($D690-$I$670)*MIN(I$3-$O$2,$Q$2)/$Q$2))</f>
        <v>13084.8567661245</v>
      </c>
      <c r="J690" s="15" t="n">
        <f aca="false">I690*(1+IF(J$3&lt;=$O$2,$D690,$D690-($D690-$I$670)*MIN(J$3-$O$2,$Q$2)/$Q$2))</f>
        <v>13630.5888455254</v>
      </c>
      <c r="K690" s="15" t="n">
        <f aca="false">J690*(1+IF(K$3&lt;=$O$2,$D690,$D690-($D690-$I$670)*MIN(K$3-$O$2,$Q$2)/$Q$2))</f>
        <v>14170.4332543467</v>
      </c>
      <c r="L690" s="15" t="n">
        <f aca="false">K690*(1+IF(L$3&lt;=$O$2,$D690,$D690-($D690-$I$670)*MIN(L$3-$O$2,$Q$2)/$Q$2))</f>
        <v>14701.8751582619</v>
      </c>
      <c r="M690" s="15" t="n">
        <f aca="false">L690*(1+IF(M$3&lt;=$O$2,$D690,$D690-($D690-$I$670)*MIN(M$3-$O$2,$Q$2)/$Q$2))</f>
        <v>15222.3478172099</v>
      </c>
      <c r="N690" s="15" t="n">
        <f aca="false">M690*(1+IF(N$3&lt;=$O$2,$D690,$D690-($D690-$I$670)*MIN(N$3-$O$2,$Q$2)/$Q$2))</f>
        <v>15729.251999523</v>
      </c>
      <c r="O690" s="15" t="n">
        <f aca="false">SUMPRODUCT(E690:N690,1/(1+$F$670)^$E$3:$N$3)*$E$2</f>
        <v>41872.7617523228</v>
      </c>
      <c r="P690" s="15" t="n">
        <f aca="false">N690*$E$2*(1+$I$670)/($F$670-$I$670)/(1+$F$670)^$N$3</f>
        <v>65057.101675919</v>
      </c>
      <c r="Q690" s="15" t="n">
        <f aca="false">O690+P690</f>
        <v>106929.863428242</v>
      </c>
      <c r="R690" s="15" t="n">
        <f aca="false">Q690-$G$2+$I$2</f>
        <v>87469.8634282418</v>
      </c>
      <c r="S690" s="40" t="n">
        <f aca="false">R690/$K$2</f>
        <v>155.809443396287</v>
      </c>
      <c r="T690" s="41" t="n">
        <f aca="false">S690-$M$2</f>
        <v>-0.000243274298071583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0.0438089370727539</v>
      </c>
      <c r="C691" s="25" t="n">
        <f aca="false">IF(T690&gt;0,D690,C690)</f>
        <v>0.0438117980957031</v>
      </c>
      <c r="D691" s="39" t="n">
        <f aca="false">(B691+C691)/2</f>
        <v>0.0438103675842285</v>
      </c>
      <c r="E691" s="15" t="n">
        <f aca="false">$C$2*(1+IF(E$3&lt;=$O$2,$D691,$D691-($D691-$I$670)*MIN(E$3-$O$2,$Q$2)/$Q$2))</f>
        <v>11022.6374816895</v>
      </c>
      <c r="F691" s="15" t="n">
        <f aca="false">E691*(1+IF(F$3&lt;=$O$2,$D691,$D691-($D691-$I$670)*MIN(F$3-$O$2,$Q$2)/$Q$2))</f>
        <v>11505.54328151</v>
      </c>
      <c r="G691" s="15" t="n">
        <f aca="false">F691*(1+IF(G$3&lt;=$O$2,$D691,$D691-($D691-$I$670)*MIN(G$3-$O$2,$Q$2)/$Q$2))</f>
        <v>12009.6053619292</v>
      </c>
      <c r="H691" s="15" t="n">
        <f aca="false">G691*(1+IF(H$3&lt;=$O$2,$D691,$D691-($D691-$I$670)*MIN(H$3-$O$2,$Q$2)/$Q$2))</f>
        <v>12535.7505873768</v>
      </c>
      <c r="I691" s="15" t="n">
        <f aca="false">H691*(1+IF(I$3&lt;=$O$2,$D691,$D691-($D691-$I$670)*MIN(I$3-$O$2,$Q$2)/$Q$2))</f>
        <v>13084.946428554</v>
      </c>
      <c r="J691" s="15" t="n">
        <f aca="false">I691*(1+IF(J$3&lt;=$O$2,$D691,$D691-($D691-$I$670)*MIN(J$3-$O$2,$Q$2)/$Q$2))</f>
        <v>13630.6972220521</v>
      </c>
      <c r="K691" s="15" t="n">
        <f aca="false">J691*(1+IF(K$3&lt;=$O$2,$D691,$D691-($D691-$I$670)*MIN(K$3-$O$2,$Q$2)/$Q$2))</f>
        <v>14170.5576224863</v>
      </c>
      <c r="L691" s="15" t="n">
        <f aca="false">K691*(1+IF(L$3&lt;=$O$2,$D691,$D691-($D691-$I$670)*MIN(L$3-$O$2,$Q$2)/$Q$2))</f>
        <v>14702.0122991094</v>
      </c>
      <c r="M691" s="15" t="n">
        <f aca="false">L691*(1+IF(M$3&lt;=$O$2,$D691,$D691-($D691-$I$670)*MIN(M$3-$O$2,$Q$2)/$Q$2))</f>
        <v>15222.494019368</v>
      </c>
      <c r="N691" s="15" t="n">
        <f aca="false">M691*(1+IF(N$3&lt;=$O$2,$D691,$D691-($D691-$I$670)*MIN(N$3-$O$2,$Q$2)/$Q$2))</f>
        <v>15729.403070213</v>
      </c>
      <c r="O691" s="15" t="n">
        <f aca="false">SUMPRODUCT(E691:N691,1/(1+$F$670)^$E$3:$N$3)*$E$2</f>
        <v>41873.0229079176</v>
      </c>
      <c r="P691" s="15" t="n">
        <f aca="false">N691*$E$2*(1+$I$670)/($F$670-$I$670)/(1+$F$670)^$N$3</f>
        <v>65057.7265130847</v>
      </c>
      <c r="Q691" s="15" t="n">
        <f aca="false">O691+P691</f>
        <v>106930.749421002</v>
      </c>
      <c r="R691" s="15" t="n">
        <f aca="false">Q691-$G$2+$I$2</f>
        <v>87470.7494210023</v>
      </c>
      <c r="S691" s="40" t="n">
        <f aca="false">R691/$K$2</f>
        <v>155.811021608868</v>
      </c>
      <c r="T691" s="41" t="n">
        <f aca="false">S691-$M$2</f>
        <v>0.00133493828232645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0.0438089370727539</v>
      </c>
      <c r="C692" s="25" t="n">
        <f aca="false">IF(T691&gt;0,D691,C691)</f>
        <v>0.0438103675842285</v>
      </c>
      <c r="D692" s="39" t="n">
        <f aca="false">(B692+C692)/2</f>
        <v>0.0438096523284912</v>
      </c>
      <c r="E692" s="15" t="n">
        <f aca="false">$C$2*(1+IF(E$3&lt;=$O$2,$D692,$D692-($D692-$I$670)*MIN(E$3-$O$2,$Q$2)/$Q$2))</f>
        <v>11022.6299285889</v>
      </c>
      <c r="F692" s="15" t="n">
        <f aca="false">E692*(1+IF(F$3&lt;=$O$2,$D692,$D692-($D692-$I$670)*MIN(F$3-$O$2,$Q$2)/$Q$2))</f>
        <v>11505.527513506</v>
      </c>
      <c r="G692" s="15" t="n">
        <f aca="false">F692*(1+IF(G$3&lt;=$O$2,$D692,$D692-($D692-$I$670)*MIN(G$3-$O$2,$Q$2)/$Q$2))</f>
        <v>12009.5806737286</v>
      </c>
      <c r="H692" s="15" t="n">
        <f aca="false">G692*(1+IF(H$3&lt;=$O$2,$D692,$D692-($D692-$I$670)*MIN(H$3-$O$2,$Q$2)/$Q$2))</f>
        <v>12535.7162276556</v>
      </c>
      <c r="I692" s="15" t="n">
        <f aca="false">H692*(1+IF(I$3&lt;=$O$2,$D692,$D692-($D692-$I$670)*MIN(I$3-$O$2,$Q$2)/$Q$2))</f>
        <v>13084.9015972778</v>
      </c>
      <c r="J692" s="15" t="n">
        <f aca="false">I692*(1+IF(J$3&lt;=$O$2,$D692,$D692-($D692-$I$670)*MIN(J$3-$O$2,$Q$2)/$Q$2))</f>
        <v>13630.6430336991</v>
      </c>
      <c r="K692" s="15" t="n">
        <f aca="false">J692*(1+IF(K$3&lt;=$O$2,$D692,$D692-($D692-$I$670)*MIN(K$3-$O$2,$Q$2)/$Q$2))</f>
        <v>14170.4954383</v>
      </c>
      <c r="L692" s="15" t="n">
        <f aca="false">K692*(1+IF(L$3&lt;=$O$2,$D692,$D692-($D692-$I$670)*MIN(L$3-$O$2,$Q$2)/$Q$2))</f>
        <v>14701.943728547</v>
      </c>
      <c r="M692" s="15" t="n">
        <f aca="false">L692*(1+IF(M$3&lt;=$O$2,$D692,$D692-($D692-$I$670)*MIN(M$3-$O$2,$Q$2)/$Q$2))</f>
        <v>15222.4209181356</v>
      </c>
      <c r="N692" s="15" t="n">
        <f aca="false">M692*(1+IF(N$3&lt;=$O$2,$D692,$D692-($D692-$I$670)*MIN(N$3-$O$2,$Q$2)/$Q$2))</f>
        <v>15729.3275347095</v>
      </c>
      <c r="O692" s="15" t="n">
        <f aca="false">SUMPRODUCT(E692:N692,1/(1+$F$670)^$E$3:$N$3)*$E$2</f>
        <v>41872.8923299146</v>
      </c>
      <c r="P692" s="15" t="n">
        <f aca="false">N692*$E$2*(1+$I$670)/($F$670-$I$670)/(1+$F$670)^$N$3</f>
        <v>65057.4140938465</v>
      </c>
      <c r="Q692" s="15" t="n">
        <f aca="false">O692+P692</f>
        <v>106930.306423761</v>
      </c>
      <c r="R692" s="15" t="n">
        <f aca="false">Q692-$G$2+$I$2</f>
        <v>87470.3064237612</v>
      </c>
      <c r="S692" s="40" t="n">
        <f aca="false">R692/$K$2</f>
        <v>155.810232501044</v>
      </c>
      <c r="T692" s="41" t="n">
        <f aca="false">S692-$M$2</f>
        <v>0.000545830458605678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0.0438089370727539</v>
      </c>
      <c r="C693" s="25" t="n">
        <f aca="false">IF(T692&gt;0,D692,C692)</f>
        <v>0.0438096523284912</v>
      </c>
      <c r="D693" s="39" t="n">
        <f aca="false">(B693+C693)/2</f>
        <v>0.0438092947006226</v>
      </c>
      <c r="E693" s="15" t="n">
        <f aca="false">$C$2*(1+IF(E$3&lt;=$O$2,$D693,$D693-($D693-$I$670)*MIN(E$3-$O$2,$Q$2)/$Q$2))</f>
        <v>11022.6261520386</v>
      </c>
      <c r="F693" s="15" t="n">
        <f aca="false">E693*(1+IF(F$3&lt;=$O$2,$D693,$D693-($D693-$I$670)*MIN(F$3-$O$2,$Q$2)/$Q$2))</f>
        <v>11505.519629508</v>
      </c>
      <c r="G693" s="15" t="n">
        <f aca="false">F693*(1+IF(G$3&lt;=$O$2,$D693,$D693-($D693-$I$670)*MIN(G$3-$O$2,$Q$2)/$Q$2))</f>
        <v>12009.5683296409</v>
      </c>
      <c r="H693" s="15" t="n">
        <f aca="false">G693*(1+IF(H$3&lt;=$O$2,$D693,$D693-($D693-$I$670)*MIN(H$3-$O$2,$Q$2)/$Q$2))</f>
        <v>12535.6990478214</v>
      </c>
      <c r="I693" s="15" t="n">
        <f aca="false">H693*(1+IF(I$3&lt;=$O$2,$D693,$D693-($D693-$I$670)*MIN(I$3-$O$2,$Q$2)/$Q$2))</f>
        <v>13084.8791816858</v>
      </c>
      <c r="J693" s="15" t="n">
        <f aca="false">I693*(1+IF(J$3&lt;=$O$2,$D693,$D693-($D693-$I$670)*MIN(J$3-$O$2,$Q$2)/$Q$2))</f>
        <v>13630.6159395898</v>
      </c>
      <c r="K693" s="15" t="n">
        <f aca="false">J693*(1+IF(K$3&lt;=$O$2,$D693,$D693-($D693-$I$670)*MIN(K$3-$O$2,$Q$2)/$Q$2))</f>
        <v>14170.4643462942</v>
      </c>
      <c r="L693" s="15" t="n">
        <f aca="false">K693*(1+IF(L$3&lt;=$O$2,$D693,$D693-($D693-$I$670)*MIN(L$3-$O$2,$Q$2)/$Q$2))</f>
        <v>14701.9094433698</v>
      </c>
      <c r="M693" s="15" t="n">
        <f aca="false">L693*(1+IF(M$3&lt;=$O$2,$D693,$D693-($D693-$I$670)*MIN(M$3-$O$2,$Q$2)/$Q$2))</f>
        <v>15222.3843676344</v>
      </c>
      <c r="N693" s="15" t="n">
        <f aca="false">M693*(1+IF(N$3&lt;=$O$2,$D693,$D693-($D693-$I$670)*MIN(N$3-$O$2,$Q$2)/$Q$2))</f>
        <v>15729.2897670767</v>
      </c>
      <c r="O693" s="15" t="n">
        <f aca="false">SUMPRODUCT(E693:N693,1/(1+$F$670)^$E$3:$N$3)*$E$2</f>
        <v>41872.8270410673</v>
      </c>
      <c r="P693" s="15" t="n">
        <f aca="false">N693*$E$2*(1+$I$670)/($F$670-$I$670)/(1+$F$670)^$N$3</f>
        <v>65057.257884719</v>
      </c>
      <c r="Q693" s="15" t="n">
        <f aca="false">O693+P693</f>
        <v>106930.084925786</v>
      </c>
      <c r="R693" s="15" t="n">
        <f aca="false">Q693-$G$2+$I$2</f>
        <v>87470.0849257863</v>
      </c>
      <c r="S693" s="40" t="n">
        <f aca="false">R693/$K$2</f>
        <v>155.809837948282</v>
      </c>
      <c r="T693" s="41" t="n">
        <f aca="false">S693-$M$2</f>
        <v>0.000151277696915031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0.0438089370727539</v>
      </c>
      <c r="C694" s="25" t="n">
        <f aca="false">IF(T693&gt;0,D693,C693)</f>
        <v>0.0438092947006226</v>
      </c>
      <c r="D694" s="39" t="n">
        <f aca="false">(B694+C694)/2</f>
        <v>0.0438091158866882</v>
      </c>
      <c r="E694" s="15" t="n">
        <f aca="false">$C$2*(1+IF(E$3&lt;=$O$2,$D694,$D694-($D694-$I$670)*MIN(E$3-$O$2,$Q$2)/$Q$2))</f>
        <v>11022.6242637634</v>
      </c>
      <c r="F694" s="15" t="n">
        <f aca="false">E694*(1+IF(F$3&lt;=$O$2,$D694,$D694-($D694-$I$670)*MIN(F$3-$O$2,$Q$2)/$Q$2))</f>
        <v>11505.5156875101</v>
      </c>
      <c r="G694" s="15" t="n">
        <f aca="false">F694*(1+IF(G$3&lt;=$O$2,$D694,$D694-($D694-$I$670)*MIN(G$3-$O$2,$Q$2)/$Q$2))</f>
        <v>12009.5621576003</v>
      </c>
      <c r="H694" s="15" t="n">
        <f aca="false">G694*(1+IF(H$3&lt;=$O$2,$D694,$D694-($D694-$I$670)*MIN(H$3-$O$2,$Q$2)/$Q$2))</f>
        <v>12535.690457911</v>
      </c>
      <c r="I694" s="15" t="n">
        <f aca="false">H694*(1+IF(I$3&lt;=$O$2,$D694,$D694-($D694-$I$670)*MIN(I$3-$O$2,$Q$2)/$Q$2))</f>
        <v>13084.8679739013</v>
      </c>
      <c r="J694" s="15" t="n">
        <f aca="false">I694*(1+IF(J$3&lt;=$O$2,$D694,$D694-($D694-$I$670)*MIN(J$3-$O$2,$Q$2)/$Q$2))</f>
        <v>13630.602392552</v>
      </c>
      <c r="K694" s="15" t="n">
        <f aca="false">J694*(1+IF(K$3&lt;=$O$2,$D694,$D694-($D694-$I$670)*MIN(K$3-$O$2,$Q$2)/$Q$2))</f>
        <v>14170.4488003132</v>
      </c>
      <c r="L694" s="15" t="n">
        <f aca="false">K694*(1+IF(L$3&lt;=$O$2,$D694,$D694-($D694-$I$670)*MIN(L$3-$O$2,$Q$2)/$Q$2))</f>
        <v>14701.8923008072</v>
      </c>
      <c r="M694" s="15" t="n">
        <f aca="false">L694*(1+IF(M$3&lt;=$O$2,$D694,$D694-($D694-$I$670)*MIN(M$3-$O$2,$Q$2)/$Q$2))</f>
        <v>15222.3660924126</v>
      </c>
      <c r="N694" s="15" t="n">
        <f aca="false">M694*(1+IF(N$3&lt;=$O$2,$D694,$D694-($D694-$I$670)*MIN(N$3-$O$2,$Q$2)/$Q$2))</f>
        <v>15729.2708832899</v>
      </c>
      <c r="O694" s="15" t="n">
        <f aca="false">SUMPRODUCT(E694:N694,1/(1+$F$670)^$E$3:$N$3)*$E$2</f>
        <v>41872.7943966822</v>
      </c>
      <c r="P694" s="15" t="n">
        <f aca="false">N694*$E$2*(1+$I$670)/($F$670-$I$670)/(1+$F$670)^$N$3</f>
        <v>65057.1797802781</v>
      </c>
      <c r="Q694" s="15" t="n">
        <f aca="false">O694+P694</f>
        <v>106929.97417696</v>
      </c>
      <c r="R694" s="15" t="n">
        <f aca="false">Q694-$G$2+$I$2</f>
        <v>87469.9741769602</v>
      </c>
      <c r="S694" s="40" t="n">
        <f aca="false">R694/$K$2</f>
        <v>155.809640672189</v>
      </c>
      <c r="T694" s="41" t="n">
        <f aca="false">S694-$M$2</f>
        <v>-4.59983963878585E-005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0.0438091158866882</v>
      </c>
      <c r="C695" s="25" t="n">
        <f aca="false">IF(T694&gt;0,D694,C694)</f>
        <v>0.0438092947006226</v>
      </c>
      <c r="D695" s="39" t="n">
        <f aca="false">(B695+C695)/2</f>
        <v>0.0438092052936554</v>
      </c>
      <c r="E695" s="15" t="n">
        <f aca="false">$C$2*(1+IF(E$3&lt;=$O$2,$D695,$D695-($D695-$I$670)*MIN(E$3-$O$2,$Q$2)/$Q$2))</f>
        <v>11022.625207901</v>
      </c>
      <c r="F695" s="15" t="n">
        <f aca="false">E695*(1+IF(F$3&lt;=$O$2,$D695,$D695-($D695-$I$670)*MIN(F$3-$O$2,$Q$2)/$Q$2))</f>
        <v>11505.517658509</v>
      </c>
      <c r="G695" s="15" t="n">
        <f aca="false">F695*(1+IF(G$3&lt;=$O$2,$D695,$D695-($D695-$I$670)*MIN(G$3-$O$2,$Q$2)/$Q$2))</f>
        <v>12009.5652436204</v>
      </c>
      <c r="H695" s="15" t="n">
        <f aca="false">G695*(1+IF(H$3&lt;=$O$2,$D695,$D695-($D695-$I$670)*MIN(H$3-$O$2,$Q$2)/$Q$2))</f>
        <v>12535.6947528657</v>
      </c>
      <c r="I695" s="15" t="n">
        <f aca="false">H695*(1+IF(I$3&lt;=$O$2,$D695,$D695-($D695-$I$670)*MIN(I$3-$O$2,$Q$2)/$Q$2))</f>
        <v>13084.8735777926</v>
      </c>
      <c r="J695" s="15" t="n">
        <f aca="false">I695*(1+IF(J$3&lt;=$O$2,$D695,$D695-($D695-$I$670)*MIN(J$3-$O$2,$Q$2)/$Q$2))</f>
        <v>13630.6091660695</v>
      </c>
      <c r="K695" s="15" t="n">
        <f aca="false">J695*(1+IF(K$3&lt;=$O$2,$D695,$D695-($D695-$I$670)*MIN(K$3-$O$2,$Q$2)/$Q$2))</f>
        <v>14170.4565733019</v>
      </c>
      <c r="L695" s="15" t="n">
        <f aca="false">K695*(1+IF(L$3&lt;=$O$2,$D695,$D695-($D695-$I$670)*MIN(L$3-$O$2,$Q$2)/$Q$2))</f>
        <v>14701.9008720863</v>
      </c>
      <c r="M695" s="15" t="n">
        <f aca="false">L695*(1+IF(M$3&lt;=$O$2,$D695,$D695-($D695-$I$670)*MIN(M$3-$O$2,$Q$2)/$Q$2))</f>
        <v>15222.3752300211</v>
      </c>
      <c r="N695" s="15" t="n">
        <f aca="false">M695*(1+IF(N$3&lt;=$O$2,$D695,$D695-($D695-$I$670)*MIN(N$3-$O$2,$Q$2)/$Q$2))</f>
        <v>15729.2803251808</v>
      </c>
      <c r="O695" s="15" t="n">
        <f aca="false">SUMPRODUCT(E695:N695,1/(1+$F$670)^$E$3:$N$3)*$E$2</f>
        <v>41872.8107188715</v>
      </c>
      <c r="P695" s="15" t="n">
        <f aca="false">N695*$E$2*(1+$I$670)/($F$670-$I$670)/(1+$F$670)^$N$3</f>
        <v>65057.2188324883</v>
      </c>
      <c r="Q695" s="15" t="n">
        <f aca="false">O695+P695</f>
        <v>106930.02955136</v>
      </c>
      <c r="R695" s="15" t="n">
        <f aca="false">Q695-$G$2+$I$2</f>
        <v>87470.0295513598</v>
      </c>
      <c r="S695" s="40" t="n">
        <f aca="false">R695/$K$2</f>
        <v>155.809739310212</v>
      </c>
      <c r="T695" s="41" t="n">
        <f aca="false">S695-$M$2</f>
        <v>5.26396262898743E-005</v>
      </c>
    </row>
    <row r="697" customFormat="false" ht="15" hidden="false" customHeight="false" outlineLevel="0" collapsed="false">
      <c r="A697" s="36" t="s">
        <v>211</v>
      </c>
      <c r="E697" s="5" t="s">
        <v>11</v>
      </c>
      <c r="F697" s="12" t="n">
        <f aca="false">Sensitivity!$B$14</f>
        <v>0.0870172026214128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6" t="s">
        <v>167</v>
      </c>
      <c r="B698" s="28" t="s">
        <v>168</v>
      </c>
      <c r="C698" s="28" t="s">
        <v>169</v>
      </c>
      <c r="D698" s="28" t="s">
        <v>170</v>
      </c>
      <c r="E698" s="28" t="s">
        <v>171</v>
      </c>
      <c r="F698" s="28" t="s">
        <v>172</v>
      </c>
      <c r="G698" s="28" t="s">
        <v>173</v>
      </c>
      <c r="H698" s="28" t="s">
        <v>174</v>
      </c>
      <c r="I698" s="28" t="s">
        <v>175</v>
      </c>
      <c r="J698" s="28" t="s">
        <v>176</v>
      </c>
      <c r="K698" s="28" t="s">
        <v>177</v>
      </c>
      <c r="L698" s="28" t="s">
        <v>178</v>
      </c>
      <c r="M698" s="28" t="s">
        <v>179</v>
      </c>
      <c r="N698" s="28" t="s">
        <v>180</v>
      </c>
      <c r="O698" s="28" t="s">
        <v>181</v>
      </c>
      <c r="P698" s="28" t="s">
        <v>182</v>
      </c>
      <c r="Q698" s="28" t="s">
        <v>183</v>
      </c>
      <c r="R698" s="28" t="s">
        <v>184</v>
      </c>
      <c r="S698" s="28" t="s">
        <v>185</v>
      </c>
      <c r="T698" s="28" t="s">
        <v>186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39" t="n">
        <f aca="false">(B699+C699)/2</f>
        <v>0.25</v>
      </c>
      <c r="E699" s="15" t="n">
        <f aca="false">$C$2*(1+IF(E$3&lt;=$O$2,$D699,$D699-($D699-$I$697)*MIN(E$3-$O$2,$Q$2)/$Q$2))</f>
        <v>13200</v>
      </c>
      <c r="F699" s="15" t="n">
        <f aca="false">E699*(1+IF(F$3&lt;=$O$2,$D699,$D699-($D699-$I$697)*MIN(F$3-$O$2,$Q$2)/$Q$2))</f>
        <v>16500</v>
      </c>
      <c r="G699" s="15" t="n">
        <f aca="false">F699*(1+IF(G$3&lt;=$O$2,$D699,$D699-($D699-$I$697)*MIN(G$3-$O$2,$Q$2)/$Q$2))</f>
        <v>20625</v>
      </c>
      <c r="H699" s="15" t="n">
        <f aca="false">G699*(1+IF(H$3&lt;=$O$2,$D699,$D699-($D699-$I$697)*MIN(H$3-$O$2,$Q$2)/$Q$2))</f>
        <v>25781.25</v>
      </c>
      <c r="I699" s="15" t="n">
        <f aca="false">H699*(1+IF(I$3&lt;=$O$2,$D699,$D699-($D699-$I$697)*MIN(I$3-$O$2,$Q$2)/$Q$2))</f>
        <v>32226.5625</v>
      </c>
      <c r="J699" s="15" t="n">
        <f aca="false">I699*(1+IF(J$3&lt;=$O$2,$D699,$D699-($D699-$I$697)*MIN(J$3-$O$2,$Q$2)/$Q$2))</f>
        <v>38918.73046875</v>
      </c>
      <c r="K699" s="15" t="n">
        <f aca="false">J699*(1+IF(K$3&lt;=$O$2,$D699,$D699-($D699-$I$697)*MIN(K$3-$O$2,$Q$2)/$Q$2))</f>
        <v>45352.7749898438</v>
      </c>
      <c r="L699" s="15" t="n">
        <f aca="false">K699*(1+IF(L$3&lt;=$O$2,$D699,$D699-($D699-$I$697)*MIN(L$3-$O$2,$Q$2)/$Q$2))</f>
        <v>50930.2592580947</v>
      </c>
      <c r="M699" s="15" t="n">
        <f aca="false">L699*(1+IF(M$3&lt;=$O$2,$D699,$D699-($D699-$I$697)*MIN(M$3-$O$2,$Q$2)/$Q$2))</f>
        <v>55037.2753646675</v>
      </c>
      <c r="N699" s="15" t="n">
        <f aca="false">M699*(1+IF(N$3&lt;=$O$2,$D699,$D699-($D699-$I$697)*MIN(N$3-$O$2,$Q$2)/$Q$2))</f>
        <v>57145.2030111343</v>
      </c>
      <c r="O699" s="15" t="n">
        <f aca="false">SUMPRODUCT(E699:N699,1/(1+$F$697)^$E$3:$N$3)*$E$2</f>
        <v>102844.114035873</v>
      </c>
      <c r="P699" s="15" t="n">
        <f aca="false">N699*$E$2*(1+$I$697)/($F$697-$I$697)/(1+$F$697)^$N$3</f>
        <v>261874.90994564</v>
      </c>
      <c r="Q699" s="15" t="n">
        <f aca="false">O699+P699</f>
        <v>364719.023981513</v>
      </c>
      <c r="R699" s="15" t="n">
        <f aca="false">Q699-$G$2+$I$2</f>
        <v>345259.023981513</v>
      </c>
      <c r="S699" s="40" t="n">
        <f aca="false">R699/$K$2</f>
        <v>615.007435083477</v>
      </c>
      <c r="T699" s="41" t="n">
        <f aca="false">S699-$M$2</f>
        <v>459.197748412891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39" t="n">
        <f aca="false">(B700+C700)/2</f>
        <v>-0.125</v>
      </c>
      <c r="E700" s="15" t="n">
        <f aca="false">$C$2*(1+IF(E$3&lt;=$O$2,$D700,$D700-($D700-$I$697)*MIN(E$3-$O$2,$Q$2)/$Q$2))</f>
        <v>9240</v>
      </c>
      <c r="F700" s="15" t="n">
        <f aca="false">E700*(1+IF(F$3&lt;=$O$2,$D700,$D700-($D700-$I$697)*MIN(F$3-$O$2,$Q$2)/$Q$2))</f>
        <v>8085</v>
      </c>
      <c r="G700" s="15" t="n">
        <f aca="false">F700*(1+IF(G$3&lt;=$O$2,$D700,$D700-($D700-$I$697)*MIN(G$3-$O$2,$Q$2)/$Q$2))</f>
        <v>7074.375</v>
      </c>
      <c r="H700" s="15" t="n">
        <f aca="false">G700*(1+IF(H$3&lt;=$O$2,$D700,$D700-($D700-$I$697)*MIN(H$3-$O$2,$Q$2)/$Q$2))</f>
        <v>6190.078125</v>
      </c>
      <c r="I700" s="15" t="n">
        <f aca="false">H700*(1+IF(I$3&lt;=$O$2,$D700,$D700-($D700-$I$697)*MIN(I$3-$O$2,$Q$2)/$Q$2))</f>
        <v>5416.318359375</v>
      </c>
      <c r="J700" s="15" t="n">
        <f aca="false">I700*(1+IF(J$3&lt;=$O$2,$D700,$D700-($D700-$I$697)*MIN(J$3-$O$2,$Q$2)/$Q$2))</f>
        <v>4916.17552207031</v>
      </c>
      <c r="K700" s="15" t="n">
        <f aca="false">J700*(1+IF(K$3&lt;=$O$2,$D700,$D700-($D700-$I$697)*MIN(K$3-$O$2,$Q$2)/$Q$2))</f>
        <v>4622.77816691316</v>
      </c>
      <c r="L700" s="15" t="n">
        <f aca="false">K700*(1+IF(L$3&lt;=$O$2,$D700,$D700-($D700-$I$697)*MIN(L$3-$O$2,$Q$2)/$Q$2))</f>
        <v>4497.87070084316</v>
      </c>
      <c r="M700" s="15" t="n">
        <f aca="false">L700*(1+IF(M$3&lt;=$O$2,$D700,$D700-($D700-$I$697)*MIN(M$3-$O$2,$Q$2)/$Q$2))</f>
        <v>4523.23869159592</v>
      </c>
      <c r="N700" s="15" t="n">
        <f aca="false">M700*(1+IF(N$3&lt;=$O$2,$D700,$D700-($D700-$I$697)*MIN(N$3-$O$2,$Q$2)/$Q$2))</f>
        <v>4696.47873348404</v>
      </c>
      <c r="O700" s="15" t="n">
        <f aca="false">SUMPRODUCT(E700:N700,1/(1+$F$697)^$E$3:$N$3)*$E$2</f>
        <v>20252.1542176538</v>
      </c>
      <c r="P700" s="15" t="n">
        <f aca="false">N700*$E$2*(1+$I$697)/($F$697-$I$697)/(1+$F$697)^$N$3</f>
        <v>21522.190500454</v>
      </c>
      <c r="Q700" s="15" t="n">
        <f aca="false">O700+P700</f>
        <v>41774.3447181078</v>
      </c>
      <c r="R700" s="15" t="n">
        <f aca="false">Q700-$G$2+$I$2</f>
        <v>22314.3447181078</v>
      </c>
      <c r="S700" s="40" t="n">
        <f aca="false">R700/$K$2</f>
        <v>39.7483829745948</v>
      </c>
      <c r="T700" s="41" t="n">
        <f aca="false">S700-$M$2</f>
        <v>-116.061303695991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39" t="n">
        <f aca="false">(B701+C701)/2</f>
        <v>0.0625</v>
      </c>
      <c r="E701" s="15" t="n">
        <f aca="false">$C$2*(1+IF(E$3&lt;=$O$2,$D701,$D701-($D701-$I$697)*MIN(E$3-$O$2,$Q$2)/$Q$2))</f>
        <v>11220</v>
      </c>
      <c r="F701" s="15" t="n">
        <f aca="false">E701*(1+IF(F$3&lt;=$O$2,$D701,$D701-($D701-$I$697)*MIN(F$3-$O$2,$Q$2)/$Q$2))</f>
        <v>11921.25</v>
      </c>
      <c r="G701" s="15" t="n">
        <f aca="false">F701*(1+IF(G$3&lt;=$O$2,$D701,$D701-($D701-$I$697)*MIN(G$3-$O$2,$Q$2)/$Q$2))</f>
        <v>12666.328125</v>
      </c>
      <c r="H701" s="15" t="n">
        <f aca="false">G701*(1+IF(H$3&lt;=$O$2,$D701,$D701-($D701-$I$697)*MIN(H$3-$O$2,$Q$2)/$Q$2))</f>
        <v>13457.9736328125</v>
      </c>
      <c r="I701" s="15" t="n">
        <f aca="false">H701*(1+IF(I$3&lt;=$O$2,$D701,$D701-($D701-$I$697)*MIN(I$3-$O$2,$Q$2)/$Q$2))</f>
        <v>14299.0969848633</v>
      </c>
      <c r="J701" s="15" t="n">
        <f aca="false">I701*(1+IF(J$3&lt;=$O$2,$D701,$D701-($D701-$I$697)*MIN(J$3-$O$2,$Q$2)/$Q$2))</f>
        <v>15123.5829170105</v>
      </c>
      <c r="K701" s="15" t="n">
        <f aca="false">J701*(1+IF(K$3&lt;=$O$2,$D701,$D701-($D701-$I$697)*MIN(K$3-$O$2,$Q$2)/$Q$2))</f>
        <v>15922.410566687</v>
      </c>
      <c r="L701" s="15" t="n">
        <f aca="false">K701*(1+IF(L$3&lt;=$O$2,$D701,$D701-($D701-$I$697)*MIN(L$3-$O$2,$Q$2)/$Q$2))</f>
        <v>16686.3678256766</v>
      </c>
      <c r="M701" s="15" t="n">
        <f aca="false">L701*(1+IF(M$3&lt;=$O$2,$D701,$D701-($D701-$I$697)*MIN(M$3-$O$2,$Q$2)/$Q$2))</f>
        <v>17406.2177336763</v>
      </c>
      <c r="N701" s="15" t="n">
        <f aca="false">M701*(1+IF(N$3&lt;=$O$2,$D701,$D701-($D701-$I$697)*MIN(N$3-$O$2,$Q$2)/$Q$2))</f>
        <v>18072.8758728761</v>
      </c>
      <c r="O701" s="15" t="n">
        <f aca="false">SUMPRODUCT(E701:N701,1/(1+$F$697)^$E$3:$N$3)*$E$2</f>
        <v>45564.1927876893</v>
      </c>
      <c r="P701" s="15" t="n">
        <f aca="false">N701*$E$2*(1+$I$697)/($F$697-$I$697)/(1+$F$697)^$N$3</f>
        <v>82821.1729468529</v>
      </c>
      <c r="Q701" s="15" t="n">
        <f aca="false">O701+P701</f>
        <v>128385.365734542</v>
      </c>
      <c r="R701" s="15" t="n">
        <f aca="false">Q701-$G$2+$I$2</f>
        <v>108925.365734542</v>
      </c>
      <c r="S701" s="40" t="n">
        <f aca="false">R701/$K$2</f>
        <v>194.027976512838</v>
      </c>
      <c r="T701" s="41" t="n">
        <f aca="false">S701-$M$2</f>
        <v>38.2182898422526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39" t="n">
        <f aca="false">(B702+C702)/2</f>
        <v>-0.03125</v>
      </c>
      <c r="E702" s="15" t="n">
        <f aca="false">$C$2*(1+IF(E$3&lt;=$O$2,$D702,$D702-($D702-$I$697)*MIN(E$3-$O$2,$Q$2)/$Q$2))</f>
        <v>10230</v>
      </c>
      <c r="F702" s="15" t="n">
        <f aca="false">E702*(1+IF(F$3&lt;=$O$2,$D702,$D702-($D702-$I$697)*MIN(F$3-$O$2,$Q$2)/$Q$2))</f>
        <v>9910.3125</v>
      </c>
      <c r="G702" s="15" t="n">
        <f aca="false">F702*(1+IF(G$3&lt;=$O$2,$D702,$D702-($D702-$I$697)*MIN(G$3-$O$2,$Q$2)/$Q$2))</f>
        <v>9600.615234375</v>
      </c>
      <c r="H702" s="15" t="n">
        <f aca="false">G702*(1+IF(H$3&lt;=$O$2,$D702,$D702-($D702-$I$697)*MIN(H$3-$O$2,$Q$2)/$Q$2))</f>
        <v>9300.59600830078</v>
      </c>
      <c r="I702" s="15" t="n">
        <f aca="false">H702*(1+IF(I$3&lt;=$O$2,$D702,$D702-($D702-$I$697)*MIN(I$3-$O$2,$Q$2)/$Q$2))</f>
        <v>9009.95238304138</v>
      </c>
      <c r="J702" s="15" t="n">
        <f aca="false">I702*(1+IF(J$3&lt;=$O$2,$D702,$D702-($D702-$I$697)*MIN(J$3-$O$2,$Q$2)/$Q$2))</f>
        <v>8853.71980871945</v>
      </c>
      <c r="K702" s="15" t="n">
        <f aca="false">J702*(1+IF(K$3&lt;=$O$2,$D702,$D702-($D702-$I$697)*MIN(K$3-$O$2,$Q$2)/$Q$2))</f>
        <v>8823.35154977554</v>
      </c>
      <c r="L702" s="15" t="n">
        <f aca="false">K702*(1+IF(L$3&lt;=$O$2,$D702,$D702-($D702-$I$697)*MIN(L$3-$O$2,$Q$2)/$Q$2))</f>
        <v>8915.82027401718</v>
      </c>
      <c r="M702" s="15" t="n">
        <f aca="false">L702*(1+IF(M$3&lt;=$O$2,$D702,$D702-($D702-$I$697)*MIN(M$3-$O$2,$Q$2)/$Q$2))</f>
        <v>9133.27713050046</v>
      </c>
      <c r="N702" s="15" t="n">
        <f aca="false">M702*(1+IF(N$3&lt;=$O$2,$D702,$D702-($D702-$I$697)*MIN(N$3-$O$2,$Q$2)/$Q$2))</f>
        <v>9483.08164459863</v>
      </c>
      <c r="O702" s="15" t="n">
        <f aca="false">SUMPRODUCT(E702:N702,1/(1+$F$697)^$E$3:$N$3)*$E$2</f>
        <v>30289.7838113962</v>
      </c>
      <c r="P702" s="15" t="n">
        <f aca="false">N702*$E$2*(1+$I$697)/($F$697-$I$697)/(1+$F$697)^$N$3</f>
        <v>43457.3861117013</v>
      </c>
      <c r="Q702" s="15" t="n">
        <f aca="false">O702+P702</f>
        <v>73747.1699230976</v>
      </c>
      <c r="R702" s="15" t="n">
        <f aca="false">Q702-$G$2+$I$2</f>
        <v>54287.1699230976</v>
      </c>
      <c r="S702" s="40" t="n">
        <f aca="false">R702/$K$2</f>
        <v>96.7013483017111</v>
      </c>
      <c r="T702" s="41" t="n">
        <f aca="false">S702-$M$2</f>
        <v>-59.1083383688745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39" t="n">
        <f aca="false">(B703+C703)/2</f>
        <v>0.015625</v>
      </c>
      <c r="E703" s="15" t="n">
        <f aca="false">$C$2*(1+IF(E$3&lt;=$O$2,$D703,$D703-($D703-$I$697)*MIN(E$3-$O$2,$Q$2)/$Q$2))</f>
        <v>10725</v>
      </c>
      <c r="F703" s="15" t="n">
        <f aca="false">E703*(1+IF(F$3&lt;=$O$2,$D703,$D703-($D703-$I$697)*MIN(F$3-$O$2,$Q$2)/$Q$2))</f>
        <v>10892.578125</v>
      </c>
      <c r="G703" s="15" t="n">
        <f aca="false">F703*(1+IF(G$3&lt;=$O$2,$D703,$D703-($D703-$I$697)*MIN(G$3-$O$2,$Q$2)/$Q$2))</f>
        <v>11062.7746582031</v>
      </c>
      <c r="H703" s="15" t="n">
        <f aca="false">G703*(1+IF(H$3&lt;=$O$2,$D703,$D703-($D703-$I$697)*MIN(H$3-$O$2,$Q$2)/$Q$2))</f>
        <v>11235.6305122375</v>
      </c>
      <c r="I703" s="15" t="n">
        <f aca="false">H703*(1+IF(I$3&lt;=$O$2,$D703,$D703-($D703-$I$697)*MIN(I$3-$O$2,$Q$2)/$Q$2))</f>
        <v>11411.1872389913</v>
      </c>
      <c r="J703" s="15" t="n">
        <f aca="false">I703*(1+IF(J$3&lt;=$O$2,$D703,$D703-($D703-$I$697)*MIN(J$3-$O$2,$Q$2)/$Q$2))</f>
        <v>11641.2367737293</v>
      </c>
      <c r="K703" s="15" t="n">
        <f aca="false">J703*(1+IF(K$3&lt;=$O$2,$D703,$D703-($D703-$I$697)*MIN(K$3-$O$2,$Q$2)/$Q$2))</f>
        <v>11928.7171158566</v>
      </c>
      <c r="L703" s="15" t="n">
        <f aca="false">K703*(1+IF(L$3&lt;=$O$2,$D703,$D703-($D703-$I$697)*MIN(L$3-$O$2,$Q$2)/$Q$2))</f>
        <v>12277.3935171531</v>
      </c>
      <c r="M703" s="15" t="n">
        <f aca="false">L703*(1+IF(M$3&lt;=$O$2,$D703,$D703-($D703-$I$697)*MIN(M$3-$O$2,$Q$2)/$Q$2))</f>
        <v>12691.9397092597</v>
      </c>
      <c r="N703" s="15" t="n">
        <f aca="false">M703*(1+IF(N$3&lt;=$O$2,$D703,$D703-($D703-$I$697)*MIN(N$3-$O$2,$Q$2)/$Q$2))</f>
        <v>13178.0410001244</v>
      </c>
      <c r="O703" s="15" t="n">
        <f aca="false">SUMPRODUCT(E703:N703,1/(1+$F$697)^$E$3:$N$3)*$E$2</f>
        <v>37135.5730886047</v>
      </c>
      <c r="P703" s="15" t="n">
        <f aca="false">N703*$E$2*(1+$I$697)/($F$697-$I$697)/(1+$F$697)^$N$3</f>
        <v>60389.9910810559</v>
      </c>
      <c r="Q703" s="15" t="n">
        <f aca="false">O703+P703</f>
        <v>97525.5641696606</v>
      </c>
      <c r="R703" s="15" t="n">
        <f aca="false">Q703-$G$2+$I$2</f>
        <v>78065.5641696606</v>
      </c>
      <c r="S703" s="40" t="n">
        <f aca="false">R703/$K$2</f>
        <v>139.057632251484</v>
      </c>
      <c r="T703" s="41" t="n">
        <f aca="false">S703-$M$2</f>
        <v>-16.7520544191016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39" t="n">
        <f aca="false">(B704+C704)/2</f>
        <v>0.0390625</v>
      </c>
      <c r="E704" s="15" t="n">
        <f aca="false">$C$2*(1+IF(E$3&lt;=$O$2,$D704,$D704-($D704-$I$697)*MIN(E$3-$O$2,$Q$2)/$Q$2))</f>
        <v>10972.5</v>
      </c>
      <c r="F704" s="15" t="n">
        <f aca="false">E704*(1+IF(F$3&lt;=$O$2,$D704,$D704-($D704-$I$697)*MIN(F$3-$O$2,$Q$2)/$Q$2))</f>
        <v>11401.11328125</v>
      </c>
      <c r="G704" s="15" t="n">
        <f aca="false">F704*(1+IF(G$3&lt;=$O$2,$D704,$D704-($D704-$I$697)*MIN(G$3-$O$2,$Q$2)/$Q$2))</f>
        <v>11846.4692687988</v>
      </c>
      <c r="H704" s="15" t="n">
        <f aca="false">G704*(1+IF(H$3&lt;=$O$2,$D704,$D704-($D704-$I$697)*MIN(H$3-$O$2,$Q$2)/$Q$2))</f>
        <v>12309.2219746113</v>
      </c>
      <c r="I704" s="15" t="n">
        <f aca="false">H704*(1+IF(I$3&lt;=$O$2,$D704,$D704-($D704-$I$697)*MIN(I$3-$O$2,$Q$2)/$Q$2))</f>
        <v>12790.0509579945</v>
      </c>
      <c r="J704" s="15" t="n">
        <f aca="false">I704*(1+IF(J$3&lt;=$O$2,$D704,$D704-($D704-$I$697)*MIN(J$3-$O$2,$Q$2)/$Q$2))</f>
        <v>13287.7118407701</v>
      </c>
      <c r="K704" s="15" t="n">
        <f aca="false">J704*(1+IF(K$3&lt;=$O$2,$D704,$D704-($D704-$I$697)*MIN(K$3-$O$2,$Q$2)/$Q$2))</f>
        <v>13802.7103324388</v>
      </c>
      <c r="L704" s="15" t="n">
        <f aca="false">K704*(1+IF(L$3&lt;=$O$2,$D704,$D704-($D704-$I$697)*MIN(L$3-$O$2,$Q$2)/$Q$2))</f>
        <v>14335.5639648226</v>
      </c>
      <c r="M704" s="15" t="n">
        <f aca="false">L704*(1+IF(M$3&lt;=$O$2,$D704,$D704-($D704-$I$697)*MIN(M$3-$O$2,$Q$2)/$Q$2))</f>
        <v>14886.8022381799</v>
      </c>
      <c r="N704" s="15" t="n">
        <f aca="false">M704*(1+IF(N$3&lt;=$O$2,$D704,$D704-($D704-$I$697)*MIN(N$3-$O$2,$Q$2)/$Q$2))</f>
        <v>15456.9667639022</v>
      </c>
      <c r="O704" s="15" t="n">
        <f aca="false">SUMPRODUCT(E704:N704,1/(1+$F$697)^$E$3:$N$3)*$E$2</f>
        <v>41132.2184164381</v>
      </c>
      <c r="P704" s="15" t="n">
        <f aca="false">N704*$E$2*(1+$I$697)/($F$697-$I$697)/(1+$F$697)^$N$3</f>
        <v>70833.4482343331</v>
      </c>
      <c r="Q704" s="15" t="n">
        <f aca="false">O704+P704</f>
        <v>111965.666650771</v>
      </c>
      <c r="R704" s="15" t="n">
        <f aca="false">Q704-$G$2+$I$2</f>
        <v>92505.6666507712</v>
      </c>
      <c r="S704" s="40" t="n">
        <f aca="false">R704/$K$2</f>
        <v>164.779683732826</v>
      </c>
      <c r="T704" s="41" t="n">
        <f aca="false">S704-$M$2</f>
        <v>8.96999706224048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0.015625</v>
      </c>
      <c r="C705" s="25" t="n">
        <f aca="false">IF(T704&gt;0,D704,C704)</f>
        <v>0.0390625</v>
      </c>
      <c r="D705" s="39" t="n">
        <f aca="false">(B705+C705)/2</f>
        <v>0.02734375</v>
      </c>
      <c r="E705" s="15" t="n">
        <f aca="false">$C$2*(1+IF(E$3&lt;=$O$2,$D705,$D705-($D705-$I$697)*MIN(E$3-$O$2,$Q$2)/$Q$2))</f>
        <v>10848.75</v>
      </c>
      <c r="F705" s="15" t="n">
        <f aca="false">E705*(1+IF(F$3&lt;=$O$2,$D705,$D705-($D705-$I$697)*MIN(F$3-$O$2,$Q$2)/$Q$2))</f>
        <v>11145.3955078125</v>
      </c>
      <c r="G705" s="15" t="n">
        <f aca="false">F705*(1+IF(G$3&lt;=$O$2,$D705,$D705-($D705-$I$697)*MIN(G$3-$O$2,$Q$2)/$Q$2))</f>
        <v>11450.1524162292</v>
      </c>
      <c r="H705" s="15" t="n">
        <f aca="false">G705*(1+IF(H$3&lt;=$O$2,$D705,$D705-($D705-$I$697)*MIN(H$3-$O$2,$Q$2)/$Q$2))</f>
        <v>11763.2425213605</v>
      </c>
      <c r="I705" s="15" t="n">
        <f aca="false">H705*(1+IF(I$3&lt;=$O$2,$D705,$D705-($D705-$I$697)*MIN(I$3-$O$2,$Q$2)/$Q$2))</f>
        <v>12084.893684054</v>
      </c>
      <c r="J705" s="15" t="n">
        <f aca="false">I705*(1+IF(J$3&lt;=$O$2,$D705,$D705-($D705-$I$697)*MIN(J$3-$O$2,$Q$2)/$Q$2))</f>
        <v>12441.8210190125</v>
      </c>
      <c r="K705" s="15" t="n">
        <f aca="false">J705*(1+IF(K$3&lt;=$O$2,$D705,$D705-($D705-$I$697)*MIN(K$3-$O$2,$Q$2)/$Q$2))</f>
        <v>12836.5533431169</v>
      </c>
      <c r="L705" s="15" t="n">
        <f aca="false">K705*(1+IF(L$3&lt;=$O$2,$D705,$D705-($D705-$I$697)*MIN(L$3-$O$2,$Q$2)/$Q$2))</f>
        <v>13271.9371411321</v>
      </c>
      <c r="M705" s="15" t="n">
        <f aca="false">L705*(1+IF(M$3&lt;=$O$2,$D705,$D705-($D705-$I$697)*MIN(M$3-$O$2,$Q$2)/$Q$2))</f>
        <v>13751.170201377</v>
      </c>
      <c r="N705" s="15" t="n">
        <f aca="false">M705*(1+IF(N$3&lt;=$O$2,$D705,$D705-($D705-$I$697)*MIN(N$3-$O$2,$Q$2)/$Q$2))</f>
        <v>14277.8400200897</v>
      </c>
      <c r="O705" s="15" t="n">
        <f aca="false">SUMPRODUCT(E705:N705,1/(1+$F$697)^$E$3:$N$3)*$E$2</f>
        <v>39082.0882977952</v>
      </c>
      <c r="P705" s="15" t="n">
        <f aca="false">N705*$E$2*(1+$I$697)/($F$697-$I$697)/(1+$F$697)^$N$3</f>
        <v>65429.9551399045</v>
      </c>
      <c r="Q705" s="15" t="n">
        <f aca="false">O705+P705</f>
        <v>104512.0434377</v>
      </c>
      <c r="R705" s="15" t="n">
        <f aca="false">Q705-$G$2+$I$2</f>
        <v>85052.0434376997</v>
      </c>
      <c r="S705" s="40" t="n">
        <f aca="false">R705/$K$2</f>
        <v>151.502597904665</v>
      </c>
      <c r="T705" s="41" t="n">
        <f aca="false">S705-$M$2</f>
        <v>-4.3070887659209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0.02734375</v>
      </c>
      <c r="C706" s="25" t="n">
        <f aca="false">IF(T705&gt;0,D705,C705)</f>
        <v>0.0390625</v>
      </c>
      <c r="D706" s="39" t="n">
        <f aca="false">(B706+C706)/2</f>
        <v>0.033203125</v>
      </c>
      <c r="E706" s="15" t="n">
        <f aca="false">$C$2*(1+IF(E$3&lt;=$O$2,$D706,$D706-($D706-$I$697)*MIN(E$3-$O$2,$Q$2)/$Q$2))</f>
        <v>10910.625</v>
      </c>
      <c r="F706" s="15" t="n">
        <f aca="false">E706*(1+IF(F$3&lt;=$O$2,$D706,$D706-($D706-$I$697)*MIN(F$3-$O$2,$Q$2)/$Q$2))</f>
        <v>11272.8918457031</v>
      </c>
      <c r="G706" s="15" t="n">
        <f aca="false">F706*(1+IF(G$3&lt;=$O$2,$D706,$D706-($D706-$I$697)*MIN(G$3-$O$2,$Q$2)/$Q$2))</f>
        <v>11647.1870827675</v>
      </c>
      <c r="H706" s="15" t="n">
        <f aca="false">G706*(1+IF(H$3&lt;=$O$2,$D706,$D706-($D706-$I$697)*MIN(H$3-$O$2,$Q$2)/$Q$2))</f>
        <v>12033.910091375</v>
      </c>
      <c r="I706" s="15" t="n">
        <f aca="false">H706*(1+IF(I$3&lt;=$O$2,$D706,$D706-($D706-$I$697)*MIN(I$3-$O$2,$Q$2)/$Q$2))</f>
        <v>12433.4735123777</v>
      </c>
      <c r="J706" s="15" t="n">
        <f aca="false">I706*(1+IF(J$3&lt;=$O$2,$D706,$D706-($D706-$I$697)*MIN(J$3-$O$2,$Q$2)/$Q$2))</f>
        <v>12858.978059655</v>
      </c>
      <c r="K706" s="15" t="n">
        <f aca="false">J706*(1+IF(K$3&lt;=$O$2,$D706,$D706-($D706-$I$697)*MIN(K$3-$O$2,$Q$2)/$Q$2))</f>
        <v>13312.1525570611</v>
      </c>
      <c r="L706" s="15" t="n">
        <f aca="false">K706*(1+IF(L$3&lt;=$O$2,$D706,$D706-($D706-$I$697)*MIN(L$3-$O$2,$Q$2)/$Q$2))</f>
        <v>13794.8678489709</v>
      </c>
      <c r="M706" s="15" t="n">
        <f aca="false">L706*(1+IF(M$3&lt;=$O$2,$D706,$D706-($D706-$I$697)*MIN(M$3-$O$2,$Q$2)/$Q$2))</f>
        <v>14309.1491441729</v>
      </c>
      <c r="N706" s="15" t="n">
        <f aca="false">M706*(1+IF(N$3&lt;=$O$2,$D706,$D706-($D706-$I$697)*MIN(N$3-$O$2,$Q$2)/$Q$2))</f>
        <v>14857.1895563947</v>
      </c>
      <c r="O706" s="15" t="n">
        <f aca="false">SUMPRODUCT(E706:N706,1/(1+$F$697)^$E$3:$N$3)*$E$2</f>
        <v>40093.8840010162</v>
      </c>
      <c r="P706" s="15" t="n">
        <f aca="false">N706*$E$2*(1+$I$697)/($F$697-$I$697)/(1+$F$697)^$N$3</f>
        <v>68084.895531268</v>
      </c>
      <c r="Q706" s="15" t="n">
        <f aca="false">O706+P706</f>
        <v>108178.779532284</v>
      </c>
      <c r="R706" s="15" t="n">
        <f aca="false">Q706-$G$2+$I$2</f>
        <v>88718.7795322842</v>
      </c>
      <c r="S706" s="40" t="n">
        <f aca="false">R706/$K$2</f>
        <v>158.034128738104</v>
      </c>
      <c r="T706" s="41" t="n">
        <f aca="false">S706-$M$2</f>
        <v>2.22444206751842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0.02734375</v>
      </c>
      <c r="C707" s="25" t="n">
        <f aca="false">IF(T706&gt;0,D706,C706)</f>
        <v>0.033203125</v>
      </c>
      <c r="D707" s="39" t="n">
        <f aca="false">(B707+C707)/2</f>
        <v>0.0302734375</v>
      </c>
      <c r="E707" s="15" t="n">
        <f aca="false">$C$2*(1+IF(E$3&lt;=$O$2,$D707,$D707-($D707-$I$697)*MIN(E$3-$O$2,$Q$2)/$Q$2))</f>
        <v>10879.6875</v>
      </c>
      <c r="F707" s="15" t="n">
        <f aca="false">E707*(1+IF(F$3&lt;=$O$2,$D707,$D707-($D707-$I$697)*MIN(F$3-$O$2,$Q$2)/$Q$2))</f>
        <v>11209.0530395508</v>
      </c>
      <c r="G707" s="15" t="n">
        <f aca="false">F707*(1+IF(G$3&lt;=$O$2,$D707,$D707-($D707-$I$697)*MIN(G$3-$O$2,$Q$2)/$Q$2))</f>
        <v>11548.3896061778</v>
      </c>
      <c r="H707" s="15" t="n">
        <f aca="false">G707*(1+IF(H$3&lt;=$O$2,$D707,$D707-($D707-$I$697)*MIN(H$3-$O$2,$Q$2)/$Q$2))</f>
        <v>11897.9990571461</v>
      </c>
      <c r="I707" s="15" t="n">
        <f aca="false">H707*(1+IF(I$3&lt;=$O$2,$D707,$D707-($D707-$I$697)*MIN(I$3-$O$2,$Q$2)/$Q$2))</f>
        <v>12258.1923879777</v>
      </c>
      <c r="J707" s="15" t="n">
        <f aca="false">I707*(1+IF(J$3&lt;=$O$2,$D707,$D707-($D707-$I$697)*MIN(J$3-$O$2,$Q$2)/$Q$2))</f>
        <v>12648.9682385659</v>
      </c>
      <c r="K707" s="15" t="n">
        <f aca="false">J707*(1+IF(K$3&lt;=$O$2,$D707,$D707-($D707-$I$697)*MIN(K$3-$O$2,$Q$2)/$Q$2))</f>
        <v>13072.5070816265</v>
      </c>
      <c r="L707" s="15" t="n">
        <f aca="false">K707*(1+IF(L$3&lt;=$O$2,$D707,$D707-($D707-$I$697)*MIN(L$3-$O$2,$Q$2)/$Q$2))</f>
        <v>13531.2131848039</v>
      </c>
      <c r="M707" s="15" t="n">
        <f aca="false">L707*(1+IF(M$3&lt;=$O$2,$D707,$D707-($D707-$I$697)*MIN(M$3-$O$2,$Q$2)/$Q$2))</f>
        <v>14027.7368241162</v>
      </c>
      <c r="N707" s="15" t="n">
        <f aca="false">M707*(1+IF(N$3&lt;=$O$2,$D707,$D707-($D707-$I$697)*MIN(N$3-$O$2,$Q$2)/$Q$2))</f>
        <v>14564.9991444798</v>
      </c>
      <c r="O707" s="15" t="n">
        <f aca="false">SUMPRODUCT(E707:N707,1/(1+$F$697)^$E$3:$N$3)*$E$2</f>
        <v>39584.7090236623</v>
      </c>
      <c r="P707" s="15" t="n">
        <f aca="false">N707*$E$2*(1+$I$697)/($F$697-$I$697)/(1+$F$697)^$N$3</f>
        <v>66745.8970891364</v>
      </c>
      <c r="Q707" s="15" t="n">
        <f aca="false">O707+P707</f>
        <v>106330.606112799</v>
      </c>
      <c r="R707" s="15" t="n">
        <f aca="false">Q707-$G$2+$I$2</f>
        <v>86870.6061127987</v>
      </c>
      <c r="S707" s="40" t="n">
        <f aca="false">R707/$K$2</f>
        <v>154.741990617572</v>
      </c>
      <c r="T707" s="41" t="n">
        <f aca="false">S707-$M$2</f>
        <v>-1.06769605301358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0.0302734375</v>
      </c>
      <c r="C708" s="25" t="n">
        <f aca="false">IF(T707&gt;0,D707,C707)</f>
        <v>0.033203125</v>
      </c>
      <c r="D708" s="39" t="n">
        <f aca="false">(B708+C708)/2</f>
        <v>0.03173828125</v>
      </c>
      <c r="E708" s="15" t="n">
        <f aca="false">$C$2*(1+IF(E$3&lt;=$O$2,$D708,$D708-($D708-$I$697)*MIN(E$3-$O$2,$Q$2)/$Q$2))</f>
        <v>10895.15625</v>
      </c>
      <c r="F708" s="15" t="n">
        <f aca="false">E708*(1+IF(F$3&lt;=$O$2,$D708,$D708-($D708-$I$697)*MIN(F$3-$O$2,$Q$2)/$Q$2))</f>
        <v>11240.9497833252</v>
      </c>
      <c r="G708" s="15" t="n">
        <f aca="false">F708*(1+IF(G$3&lt;=$O$2,$D708,$D708-($D708-$I$697)*MIN(G$3-$O$2,$Q$2)/$Q$2))</f>
        <v>11597.7182090655</v>
      </c>
      <c r="H708" s="15" t="n">
        <f aca="false">G708*(1+IF(H$3&lt;=$O$2,$D708,$D708-($D708-$I$697)*MIN(H$3-$O$2,$Q$2)/$Q$2))</f>
        <v>11965.8098514431</v>
      </c>
      <c r="I708" s="15" t="n">
        <f aca="false">H708*(1+IF(I$3&lt;=$O$2,$D708,$D708-($D708-$I$697)*MIN(I$3-$O$2,$Q$2)/$Q$2))</f>
        <v>12345.5840898922</v>
      </c>
      <c r="J708" s="15" t="n">
        <f aca="false">I708*(1+IF(J$3&lt;=$O$2,$D708,$D708-($D708-$I$697)*MIN(J$3-$O$2,$Q$2)/$Q$2))</f>
        <v>12753.6133600532</v>
      </c>
      <c r="K708" s="15" t="n">
        <f aca="false">J708*(1+IF(K$3&lt;=$O$2,$D708,$D708-($D708-$I$697)*MIN(K$3-$O$2,$Q$2)/$Q$2))</f>
        <v>13191.8653773943</v>
      </c>
      <c r="L708" s="15" t="n">
        <f aca="false">K708*(1+IF(L$3&lt;=$O$2,$D708,$D708-($D708-$I$697)*MIN(L$3-$O$2,$Q$2)/$Q$2))</f>
        <v>13662.4892971907</v>
      </c>
      <c r="M708" s="15" t="n">
        <f aca="false">L708*(1+IF(M$3&lt;=$O$2,$D708,$D708-($D708-$I$697)*MIN(M$3-$O$2,$Q$2)/$Q$2))</f>
        <v>14167.8327548345</v>
      </c>
      <c r="N708" s="15" t="n">
        <f aca="false">M708*(1+IF(N$3&lt;=$O$2,$D708,$D708-($D708-$I$697)*MIN(N$3-$O$2,$Q$2)/$Q$2))</f>
        <v>14710.4607493447</v>
      </c>
      <c r="O708" s="15" t="n">
        <f aca="false">SUMPRODUCT(E708:N708,1/(1+$F$697)^$E$3:$N$3)*$E$2</f>
        <v>39838.472237481</v>
      </c>
      <c r="P708" s="15" t="n">
        <f aca="false">N708*$E$2*(1+$I$697)/($F$697-$I$697)/(1+$F$697)^$N$3</f>
        <v>67412.4927553924</v>
      </c>
      <c r="Q708" s="15" t="n">
        <f aca="false">O708+P708</f>
        <v>107250.964992873</v>
      </c>
      <c r="R708" s="15" t="n">
        <f aca="false">Q708-$G$2+$I$2</f>
        <v>87790.9649928734</v>
      </c>
      <c r="S708" s="40" t="n">
        <f aca="false">R708/$K$2</f>
        <v>156.381419321458</v>
      </c>
      <c r="T708" s="41" t="n">
        <f aca="false">S708-$M$2</f>
        <v>0.57173265087269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0.0302734375</v>
      </c>
      <c r="C709" s="25" t="n">
        <f aca="false">IF(T708&gt;0,D708,C708)</f>
        <v>0.03173828125</v>
      </c>
      <c r="D709" s="39" t="n">
        <f aca="false">(B709+C709)/2</f>
        <v>0.031005859375</v>
      </c>
      <c r="E709" s="15" t="n">
        <f aca="false">$C$2*(1+IF(E$3&lt;=$O$2,$D709,$D709-($D709-$I$697)*MIN(E$3-$O$2,$Q$2)/$Q$2))</f>
        <v>10887.421875</v>
      </c>
      <c r="F709" s="15" t="n">
        <f aca="false">E709*(1+IF(F$3&lt;=$O$2,$D709,$D709-($D709-$I$697)*MIN(F$3-$O$2,$Q$2)/$Q$2))</f>
        <v>11224.9957466125</v>
      </c>
      <c r="G709" s="15" t="n">
        <f aca="false">F709*(1+IF(G$3&lt;=$O$2,$D709,$D709-($D709-$I$697)*MIN(G$3-$O$2,$Q$2)/$Q$2))</f>
        <v>11573.036386217</v>
      </c>
      <c r="H709" s="15" t="n">
        <f aca="false">G709*(1+IF(H$3&lt;=$O$2,$D709,$D709-($D709-$I$697)*MIN(H$3-$O$2,$Q$2)/$Q$2))</f>
        <v>11931.8683249498</v>
      </c>
      <c r="I709" s="15" t="n">
        <f aca="false">H709*(1+IF(I$3&lt;=$O$2,$D709,$D709-($D709-$I$697)*MIN(I$3-$O$2,$Q$2)/$Q$2))</f>
        <v>12301.8261563142</v>
      </c>
      <c r="J709" s="15" t="n">
        <f aca="false">I709*(1+IF(J$3&lt;=$O$2,$D709,$D709-($D709-$I$697)*MIN(J$3-$O$2,$Q$2)/$Q$2))</f>
        <v>12701.2010981583</v>
      </c>
      <c r="K709" s="15" t="n">
        <f aca="false">J709*(1+IF(K$3&lt;=$O$2,$D709,$D709-($D709-$I$697)*MIN(K$3-$O$2,$Q$2)/$Q$2))</f>
        <v>13132.0704920679</v>
      </c>
      <c r="L709" s="15" t="n">
        <f aca="false">K709*(1+IF(L$3&lt;=$O$2,$D709,$D709-($D709-$I$697)*MIN(L$3-$O$2,$Q$2)/$Q$2))</f>
        <v>13596.7139243675</v>
      </c>
      <c r="M709" s="15" t="n">
        <f aca="false">L709*(1+IF(M$3&lt;=$O$2,$D709,$D709-($D709-$I$697)*MIN(M$3-$O$2,$Q$2)/$Q$2))</f>
        <v>14097.6327989903</v>
      </c>
      <c r="N709" s="15" t="n">
        <f aca="false">M709*(1+IF(N$3&lt;=$O$2,$D709,$D709-($D709-$I$697)*MIN(N$3-$O$2,$Q$2)/$Q$2))</f>
        <v>14637.5721351916</v>
      </c>
      <c r="O709" s="15" t="n">
        <f aca="false">SUMPRODUCT(E709:N709,1/(1+$F$697)^$E$3:$N$3)*$E$2</f>
        <v>39711.3851881023</v>
      </c>
      <c r="P709" s="15" t="n">
        <f aca="false">N709*$E$2*(1+$I$697)/($F$697-$I$697)/(1+$F$697)^$N$3</f>
        <v>67078.4717306762</v>
      </c>
      <c r="Q709" s="15" t="n">
        <f aca="false">O709+P709</f>
        <v>106789.856918779</v>
      </c>
      <c r="R709" s="15" t="n">
        <f aca="false">Q709-$G$2+$I$2</f>
        <v>87329.8569187785</v>
      </c>
      <c r="S709" s="40" t="n">
        <f aca="false">R709/$K$2</f>
        <v>155.560050800297</v>
      </c>
      <c r="T709" s="41" t="n">
        <f aca="false">S709-$M$2</f>
        <v>-0.24963587028887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0.031005859375</v>
      </c>
      <c r="C710" s="25" t="n">
        <f aca="false">IF(T709&gt;0,D709,C709)</f>
        <v>0.03173828125</v>
      </c>
      <c r="D710" s="39" t="n">
        <f aca="false">(B710+C710)/2</f>
        <v>0.0313720703125</v>
      </c>
      <c r="E710" s="15" t="n">
        <f aca="false">$C$2*(1+IF(E$3&lt;=$O$2,$D710,$D710-($D710-$I$697)*MIN(E$3-$O$2,$Q$2)/$Q$2))</f>
        <v>10891.2890625</v>
      </c>
      <c r="F710" s="15" t="n">
        <f aca="false">E710*(1+IF(F$3&lt;=$O$2,$D710,$D710-($D710-$I$697)*MIN(F$3-$O$2,$Q$2)/$Q$2))</f>
        <v>11232.9713487625</v>
      </c>
      <c r="G710" s="15" t="n">
        <f aca="false">F710*(1+IF(G$3&lt;=$O$2,$D710,$D710-($D710-$I$697)*MIN(G$3-$O$2,$Q$2)/$Q$2))</f>
        <v>11585.3729157342</v>
      </c>
      <c r="H710" s="15" t="n">
        <f aca="false">G710*(1+IF(H$3&lt;=$O$2,$D710,$D710-($D710-$I$697)*MIN(H$3-$O$2,$Q$2)/$Q$2))</f>
        <v>11948.8300494431</v>
      </c>
      <c r="I710" s="15" t="n">
        <f aca="false">H710*(1+IF(I$3&lt;=$O$2,$D710,$D710-($D710-$I$697)*MIN(I$3-$O$2,$Q$2)/$Q$2))</f>
        <v>12323.6895859064</v>
      </c>
      <c r="J710" s="15" t="n">
        <f aca="false">I710*(1+IF(J$3&lt;=$O$2,$D710,$D710-($D710-$I$697)*MIN(J$3-$O$2,$Q$2)/$Q$2))</f>
        <v>12727.3847730932</v>
      </c>
      <c r="K710" s="15" t="n">
        <f aca="false">J710*(1+IF(K$3&lt;=$O$2,$D710,$D710-($D710-$I$697)*MIN(K$3-$O$2,$Q$2)/$Q$2))</f>
        <v>13161.9389538144</v>
      </c>
      <c r="L710" s="15" t="n">
        <f aca="false">K710*(1+IF(L$3&lt;=$O$2,$D710,$D710-($D710-$I$697)*MIN(L$3-$O$2,$Q$2)/$Q$2))</f>
        <v>13629.5672206962</v>
      </c>
      <c r="M710" s="15" t="n">
        <f aca="false">L710*(1+IF(M$3&lt;=$O$2,$D710,$D710-($D710-$I$697)*MIN(M$3-$O$2,$Q$2)/$Q$2))</f>
        <v>14132.6947085737</v>
      </c>
      <c r="N710" s="15" t="n">
        <f aca="false">M710*(1+IF(N$3&lt;=$O$2,$D710,$D710-($D710-$I$697)*MIN(N$3-$O$2,$Q$2)/$Q$2))</f>
        <v>14673.9769159121</v>
      </c>
      <c r="O710" s="15" t="n">
        <f aca="false">SUMPRODUCT(E710:N710,1/(1+$F$697)^$E$3:$N$3)*$E$2</f>
        <v>39774.8772740232</v>
      </c>
      <c r="P710" s="15" t="n">
        <f aca="false">N710*$E$2*(1+$I$697)/($F$697-$I$697)/(1+$F$697)^$N$3</f>
        <v>67245.3011086538</v>
      </c>
      <c r="Q710" s="15" t="n">
        <f aca="false">O710+P710</f>
        <v>107020.178382677</v>
      </c>
      <c r="R710" s="15" t="n">
        <f aca="false">Q710-$G$2+$I$2</f>
        <v>87560.178382677</v>
      </c>
      <c r="S710" s="40" t="n">
        <f aca="false">R710/$K$2</f>
        <v>155.970320779987</v>
      </c>
      <c r="T710" s="41" t="n">
        <f aca="false">S710-$M$2</f>
        <v>0.160634109401656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0.031005859375</v>
      </c>
      <c r="C711" s="25" t="n">
        <f aca="false">IF(T710&gt;0,D710,C710)</f>
        <v>0.0313720703125</v>
      </c>
      <c r="D711" s="39" t="n">
        <f aca="false">(B711+C711)/2</f>
        <v>0.03118896484375</v>
      </c>
      <c r="E711" s="15" t="n">
        <f aca="false">$C$2*(1+IF(E$3&lt;=$O$2,$D711,$D711-($D711-$I$697)*MIN(E$3-$O$2,$Q$2)/$Q$2))</f>
        <v>10889.35546875</v>
      </c>
      <c r="F711" s="15" t="n">
        <f aca="false">E711*(1+IF(F$3&lt;=$O$2,$D711,$D711-($D711-$I$697)*MIN(F$3-$O$2,$Q$2)/$Q$2))</f>
        <v>11228.9831936359</v>
      </c>
      <c r="G711" s="15" t="n">
        <f aca="false">F711*(1+IF(G$3&lt;=$O$2,$D711,$D711-($D711-$I$697)*MIN(G$3-$O$2,$Q$2)/$Q$2))</f>
        <v>11579.2035556933</v>
      </c>
      <c r="H711" s="15" t="n">
        <f aca="false">G711*(1+IF(H$3&lt;=$O$2,$D711,$D711-($D711-$I$697)*MIN(H$3-$O$2,$Q$2)/$Q$2))</f>
        <v>11940.3469283105</v>
      </c>
      <c r="I711" s="15" t="n">
        <f aca="false">H711*(1+IF(I$3&lt;=$O$2,$D711,$D711-($D711-$I$697)*MIN(I$3-$O$2,$Q$2)/$Q$2))</f>
        <v>12312.7539888797</v>
      </c>
      <c r="J711" s="15" t="n">
        <f aca="false">I711*(1+IF(J$3&lt;=$O$2,$D711,$D711-($D711-$I$697)*MIN(J$3-$O$2,$Q$2)/$Q$2))</f>
        <v>12714.2873254657</v>
      </c>
      <c r="K711" s="15" t="n">
        <f aca="false">J711*(1+IF(K$3&lt;=$O$2,$D711,$D711-($D711-$I$697)*MIN(K$3-$O$2,$Q$2)/$Q$2))</f>
        <v>13146.9974835362</v>
      </c>
      <c r="L711" s="15" t="n">
        <f aca="false">K711*(1+IF(L$3&lt;=$O$2,$D711,$D711-($D711-$I$697)*MIN(L$3-$O$2,$Q$2)/$Q$2))</f>
        <v>13613.1319826338</v>
      </c>
      <c r="M711" s="15" t="n">
        <f aca="false">L711*(1+IF(M$3&lt;=$O$2,$D711,$D711-($D711-$I$697)*MIN(M$3-$O$2,$Q$2)/$Q$2))</f>
        <v>14115.1542455456</v>
      </c>
      <c r="N711" s="15" t="n">
        <f aca="false">M711*(1+IF(N$3&lt;=$O$2,$D711,$D711-($D711-$I$697)*MIN(N$3-$O$2,$Q$2)/$Q$2))</f>
        <v>14655.76465315</v>
      </c>
      <c r="O711" s="15" t="n">
        <f aca="false">SUMPRODUCT(E711:N711,1/(1+$F$697)^$E$3:$N$3)*$E$2</f>
        <v>39743.1183811476</v>
      </c>
      <c r="P711" s="15" t="n">
        <f aca="false">N711*$E$2*(1+$I$697)/($F$697-$I$697)/(1+$F$697)^$N$3</f>
        <v>67161.8411781713</v>
      </c>
      <c r="Q711" s="15" t="n">
        <f aca="false">O711+P711</f>
        <v>106904.959559319</v>
      </c>
      <c r="R711" s="15" t="n">
        <f aca="false">Q711-$G$2+$I$2</f>
        <v>87444.9595593189</v>
      </c>
      <c r="S711" s="40" t="n">
        <f aca="false">R711/$K$2</f>
        <v>155.76508231233</v>
      </c>
      <c r="T711" s="41" t="n">
        <f aca="false">S711-$M$2</f>
        <v>-0.0446043582555831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0.03118896484375</v>
      </c>
      <c r="C712" s="25" t="n">
        <f aca="false">IF(T711&gt;0,D711,C711)</f>
        <v>0.0313720703125</v>
      </c>
      <c r="D712" s="39" t="n">
        <f aca="false">(B712+C712)/2</f>
        <v>0.031280517578125</v>
      </c>
      <c r="E712" s="15" t="n">
        <f aca="false">$C$2*(1+IF(E$3&lt;=$O$2,$D712,$D712-($D712-$I$697)*MIN(E$3-$O$2,$Q$2)/$Q$2))</f>
        <v>10890.322265625</v>
      </c>
      <c r="F712" s="15" t="n">
        <f aca="false">E712*(1+IF(F$3&lt;=$O$2,$D712,$D712-($D712-$I$697)*MIN(F$3-$O$2,$Q$2)/$Q$2))</f>
        <v>11230.9771826863</v>
      </c>
      <c r="G712" s="15" t="n">
        <f aca="false">F712*(1+IF(G$3&lt;=$O$2,$D712,$D712-($D712-$I$697)*MIN(G$3-$O$2,$Q$2)/$Q$2))</f>
        <v>11582.2879618689</v>
      </c>
      <c r="H712" s="15" t="n">
        <f aca="false">G712*(1+IF(H$3&lt;=$O$2,$D712,$D712-($D712-$I$697)*MIN(H$3-$O$2,$Q$2)/$Q$2))</f>
        <v>11944.587924055</v>
      </c>
      <c r="I712" s="15" t="n">
        <f aca="false">H712*(1+IF(I$3&lt;=$O$2,$D712,$D712-($D712-$I$697)*MIN(I$3-$O$2,$Q$2)/$Q$2))</f>
        <v>12318.2208165769</v>
      </c>
      <c r="J712" s="15" t="n">
        <f aca="false">I712*(1+IF(J$3&lt;=$O$2,$D712,$D712-($D712-$I$697)*MIN(J$3-$O$2,$Q$2)/$Q$2))</f>
        <v>12720.8346462592</v>
      </c>
      <c r="K712" s="15" t="n">
        <f aca="false">J712*(1+IF(K$3&lt;=$O$2,$D712,$D712-($D712-$I$697)*MIN(K$3-$O$2,$Q$2)/$Q$2))</f>
        <v>13154.4664080963</v>
      </c>
      <c r="L712" s="15" t="n">
        <f aca="false">K712*(1+IF(L$3&lt;=$O$2,$D712,$D712-($D712-$I$697)*MIN(L$3-$O$2,$Q$2)/$Q$2))</f>
        <v>13621.3474532381</v>
      </c>
      <c r="M712" s="15" t="n">
        <f aca="false">L712*(1+IF(M$3&lt;=$O$2,$D712,$D712-($D712-$I$697)*MIN(M$3-$O$2,$Q$2)/$Q$2))</f>
        <v>14123.9220988951</v>
      </c>
      <c r="N712" s="15" t="n">
        <f aca="false">M712*(1+IF(N$3&lt;=$O$2,$D712,$D712-($D712-$I$697)*MIN(N$3-$O$2,$Q$2)/$Q$2))</f>
        <v>14664.8683152827</v>
      </c>
      <c r="O712" s="15" t="n">
        <f aca="false">SUMPRODUCT(E712:N712,1/(1+$F$697)^$E$3:$N$3)*$E$2</f>
        <v>39758.994613885</v>
      </c>
      <c r="P712" s="15" t="n">
        <f aca="false">N712*$E$2*(1+$I$697)/($F$697-$I$697)/(1+$F$697)^$N$3</f>
        <v>67203.559827779</v>
      </c>
      <c r="Q712" s="15" t="n">
        <f aca="false">O712+P712</f>
        <v>106962.554441664</v>
      </c>
      <c r="R712" s="15" t="n">
        <f aca="false">Q712-$G$2+$I$2</f>
        <v>87502.554441664</v>
      </c>
      <c r="S712" s="40" t="n">
        <f aca="false">R712/$K$2</f>
        <v>155.86767566516</v>
      </c>
      <c r="T712" s="41" t="n">
        <f aca="false">S712-$M$2</f>
        <v>0.0579889945741741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0.03118896484375</v>
      </c>
      <c r="C713" s="25" t="n">
        <f aca="false">IF(T712&gt;0,D712,C712)</f>
        <v>0.031280517578125</v>
      </c>
      <c r="D713" s="39" t="n">
        <f aca="false">(B713+C713)/2</f>
        <v>0.0312347412109375</v>
      </c>
      <c r="E713" s="15" t="n">
        <f aca="false">$C$2*(1+IF(E$3&lt;=$O$2,$D713,$D713-($D713-$I$697)*MIN(E$3-$O$2,$Q$2)/$Q$2))</f>
        <v>10889.8388671875</v>
      </c>
      <c r="F713" s="15" t="n">
        <f aca="false">E713*(1+IF(F$3&lt;=$O$2,$D713,$D713-($D713-$I$697)*MIN(F$3-$O$2,$Q$2)/$Q$2))</f>
        <v>11229.9801660329</v>
      </c>
      <c r="G713" s="15" t="n">
        <f aca="false">F713*(1+IF(G$3&lt;=$O$2,$D713,$D713-($D713-$I$697)*MIN(G$3-$O$2,$Q$2)/$Q$2))</f>
        <v>11580.7456903229</v>
      </c>
      <c r="H713" s="15" t="n">
        <f aca="false">G713*(1+IF(H$3&lt;=$O$2,$D713,$D713-($D713-$I$697)*MIN(H$3-$O$2,$Q$2)/$Q$2))</f>
        <v>11942.4672849898</v>
      </c>
      <c r="I713" s="15" t="n">
        <f aca="false">H713*(1+IF(I$3&lt;=$O$2,$D713,$D713-($D713-$I$697)*MIN(I$3-$O$2,$Q$2)/$Q$2))</f>
        <v>12315.4871600566</v>
      </c>
      <c r="J713" s="15" t="n">
        <f aca="false">I713*(1+IF(J$3&lt;=$O$2,$D713,$D713-($D713-$I$697)*MIN(J$3-$O$2,$Q$2)/$Q$2))</f>
        <v>12717.5606351674</v>
      </c>
      <c r="K713" s="15" t="n">
        <f aca="false">J713*(1+IF(K$3&lt;=$O$2,$D713,$D713-($D713-$I$697)*MIN(K$3-$O$2,$Q$2)/$Q$2))</f>
        <v>13150.7314932625</v>
      </c>
      <c r="L713" s="15" t="n">
        <f aca="false">K713*(1+IF(L$3&lt;=$O$2,$D713,$D713-($D713-$I$697)*MIN(L$3-$O$2,$Q$2)/$Q$2))</f>
        <v>13617.2391809483</v>
      </c>
      <c r="M713" s="15" t="n">
        <f aca="false">L713*(1+IF(M$3&lt;=$O$2,$D713,$D713-($D713-$I$697)*MIN(M$3-$O$2,$Q$2)/$Q$2))</f>
        <v>14119.5375778174</v>
      </c>
      <c r="N713" s="15" t="n">
        <f aca="false">M713*(1+IF(N$3&lt;=$O$2,$D713,$D713-($D713-$I$697)*MIN(N$3-$O$2,$Q$2)/$Q$2))</f>
        <v>14660.3158670478</v>
      </c>
      <c r="O713" s="15" t="n">
        <f aca="false">SUMPRODUCT(E713:N713,1/(1+$F$697)^$E$3:$N$3)*$E$2</f>
        <v>39751.0556942439</v>
      </c>
      <c r="P713" s="15" t="n">
        <f aca="false">N713*$E$2*(1+$I$697)/($F$697-$I$697)/(1+$F$697)^$N$3</f>
        <v>67182.6976747244</v>
      </c>
      <c r="Q713" s="15" t="n">
        <f aca="false">O713+P713</f>
        <v>106933.753368968</v>
      </c>
      <c r="R713" s="15" t="n">
        <f aca="false">Q713-$G$2+$I$2</f>
        <v>87473.7533689684</v>
      </c>
      <c r="S713" s="40" t="n">
        <f aca="false">R713/$K$2</f>
        <v>155.816372519939</v>
      </c>
      <c r="T713" s="41" t="n">
        <f aca="false">S713-$M$2</f>
        <v>0.00668584935311856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0.03118896484375</v>
      </c>
      <c r="C714" s="25" t="n">
        <f aca="false">IF(T713&gt;0,D713,C713)</f>
        <v>0.0312347412109375</v>
      </c>
      <c r="D714" s="39" t="n">
        <f aca="false">(B714+C714)/2</f>
        <v>0.0312118530273438</v>
      </c>
      <c r="E714" s="15" t="n">
        <f aca="false">$C$2*(1+IF(E$3&lt;=$O$2,$D714,$D714-($D714-$I$697)*MIN(E$3-$O$2,$Q$2)/$Q$2))</f>
        <v>10889.5971679688</v>
      </c>
      <c r="F714" s="15" t="n">
        <f aca="false">E714*(1+IF(F$3&lt;=$O$2,$D714,$D714-($D714-$I$697)*MIN(F$3-$O$2,$Q$2)/$Q$2))</f>
        <v>11229.4816743024</v>
      </c>
      <c r="G714" s="15" t="n">
        <f aca="false">F714*(1+IF(G$3&lt;=$O$2,$D714,$D714-($D714-$I$697)*MIN(G$3-$O$2,$Q$2)/$Q$2))</f>
        <v>11579.9746058939</v>
      </c>
      <c r="H714" s="15" t="n">
        <f aca="false">G714*(1+IF(H$3&lt;=$O$2,$D714,$D714-($D714-$I$697)*MIN(H$3-$O$2,$Q$2)/$Q$2))</f>
        <v>11941.4070713535</v>
      </c>
      <c r="I714" s="15" t="n">
        <f aca="false">H714*(1+IF(I$3&lt;=$O$2,$D714,$D714-($D714-$I$697)*MIN(I$3-$O$2,$Q$2)/$Q$2))</f>
        <v>12314.1205138042</v>
      </c>
      <c r="J714" s="15" t="n">
        <f aca="false">I714*(1+IF(J$3&lt;=$O$2,$D714,$D714-($D714-$I$697)*MIN(J$3-$O$2,$Q$2)/$Q$2))</f>
        <v>12715.9238926503</v>
      </c>
      <c r="K714" s="15" t="n">
        <f aca="false">J714*(1+IF(K$3&lt;=$O$2,$D714,$D714-($D714-$I$697)*MIN(K$3-$O$2,$Q$2)/$Q$2))</f>
        <v>13148.8643752723</v>
      </c>
      <c r="L714" s="15" t="n">
        <f aca="false">K714*(1+IF(L$3&lt;=$O$2,$D714,$D714-($D714-$I$697)*MIN(L$3-$O$2,$Q$2)/$Q$2))</f>
        <v>13615.185447559</v>
      </c>
      <c r="M714" s="15" t="n">
        <f aca="false">L714*(1+IF(M$3&lt;=$O$2,$D714,$D714-($D714-$I$697)*MIN(M$3-$O$2,$Q$2)/$Q$2))</f>
        <v>14117.3457630981</v>
      </c>
      <c r="N714" s="15" t="n">
        <f aca="false">M714*(1+IF(N$3&lt;=$O$2,$D714,$D714-($D714-$I$697)*MIN(N$3-$O$2,$Q$2)/$Q$2))</f>
        <v>14658.0401058247</v>
      </c>
      <c r="O714" s="15" t="n">
        <f aca="false">SUMPRODUCT(E714:N714,1/(1+$F$697)^$E$3:$N$3)*$E$2</f>
        <v>39747.0868368968</v>
      </c>
      <c r="P714" s="15" t="n">
        <f aca="false">N714*$E$2*(1+$I$697)/($F$697-$I$697)/(1+$F$697)^$N$3</f>
        <v>67172.2687194674</v>
      </c>
      <c r="Q714" s="15" t="n">
        <f aca="false">O714+P714</f>
        <v>106919.355556364</v>
      </c>
      <c r="R714" s="15" t="n">
        <f aca="false">Q714-$G$2+$I$2</f>
        <v>87459.3555563641</v>
      </c>
      <c r="S714" s="40" t="n">
        <f aca="false">R714/$K$2</f>
        <v>155.790725799113</v>
      </c>
      <c r="T714" s="41" t="n">
        <f aca="false">S714-$M$2</f>
        <v>-0.0189608714723306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0.0312118530273438</v>
      </c>
      <c r="C715" s="25" t="n">
        <f aca="false">IF(T714&gt;0,D714,C714)</f>
        <v>0.0312347412109375</v>
      </c>
      <c r="D715" s="39" t="n">
        <f aca="false">(B715+C715)/2</f>
        <v>0.0312232971191406</v>
      </c>
      <c r="E715" s="15" t="n">
        <f aca="false">$C$2*(1+IF(E$3&lt;=$O$2,$D715,$D715-($D715-$I$697)*MIN(E$3-$O$2,$Q$2)/$Q$2))</f>
        <v>10889.7180175781</v>
      </c>
      <c r="F715" s="15" t="n">
        <f aca="false">E715*(1+IF(F$3&lt;=$O$2,$D715,$D715-($D715-$I$697)*MIN(F$3-$O$2,$Q$2)/$Q$2))</f>
        <v>11229.7309187846</v>
      </c>
      <c r="G715" s="15" t="n">
        <f aca="false">F715*(1+IF(G$3&lt;=$O$2,$D715,$D715-($D715-$I$697)*MIN(G$3-$O$2,$Q$2)/$Q$2))</f>
        <v>11580.3601438298</v>
      </c>
      <c r="H715" s="15" t="n">
        <f aca="false">G715*(1+IF(H$3&lt;=$O$2,$D715,$D715-($D715-$I$697)*MIN(H$3-$O$2,$Q$2)/$Q$2))</f>
        <v>11941.9371693473</v>
      </c>
      <c r="I715" s="15" t="n">
        <f aca="false">H715*(1+IF(I$3&lt;=$O$2,$D715,$D715-($D715-$I$697)*MIN(I$3-$O$2,$Q$2)/$Q$2))</f>
        <v>12314.8038217639</v>
      </c>
      <c r="J715" s="15" t="n">
        <f aca="false">I715*(1+IF(J$3&lt;=$O$2,$D715,$D715-($D715-$I$697)*MIN(J$3-$O$2,$Q$2)/$Q$2))</f>
        <v>12716.7422419913</v>
      </c>
      <c r="K715" s="15" t="n">
        <f aca="false">J715*(1+IF(K$3&lt;=$O$2,$D715,$D715-($D715-$I$697)*MIN(K$3-$O$2,$Q$2)/$Q$2))</f>
        <v>13149.7979059842</v>
      </c>
      <c r="L715" s="15" t="n">
        <f aca="false">K715*(1+IF(L$3&lt;=$O$2,$D715,$D715-($D715-$I$697)*MIN(L$3-$O$2,$Q$2)/$Q$2))</f>
        <v>13616.2122806938</v>
      </c>
      <c r="M715" s="15" t="n">
        <f aca="false">L715*(1+IF(M$3&lt;=$O$2,$D715,$D715-($D715-$I$697)*MIN(M$3-$O$2,$Q$2)/$Q$2))</f>
        <v>14118.4416333097</v>
      </c>
      <c r="N715" s="15" t="n">
        <f aca="false">M715*(1+IF(N$3&lt;=$O$2,$D715,$D715-($D715-$I$697)*MIN(N$3-$O$2,$Q$2)/$Q$2))</f>
        <v>14659.1779478655</v>
      </c>
      <c r="O715" s="15" t="n">
        <f aca="false">SUMPRODUCT(E715:N715,1/(1+$F$697)^$E$3:$N$3)*$E$2</f>
        <v>39749.0712153682</v>
      </c>
      <c r="P715" s="15" t="n">
        <f aca="false">N715*$E$2*(1+$I$697)/($F$697-$I$697)/(1+$F$697)^$N$3</f>
        <v>67177.4830203405</v>
      </c>
      <c r="Q715" s="15" t="n">
        <f aca="false">O715+P715</f>
        <v>106926.554235709</v>
      </c>
      <c r="R715" s="15" t="n">
        <f aca="false">Q715-$G$2+$I$2</f>
        <v>87466.5542357087</v>
      </c>
      <c r="S715" s="40" t="n">
        <f aca="false">R715/$K$2</f>
        <v>155.803548755248</v>
      </c>
      <c r="T715" s="41" t="n">
        <f aca="false">S715-$M$2</f>
        <v>-0.00613791533746166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0.0312232971191406</v>
      </c>
      <c r="C716" s="25" t="n">
        <f aca="false">IF(T715&gt;0,D715,C715)</f>
        <v>0.0312347412109375</v>
      </c>
      <c r="D716" s="39" t="n">
        <f aca="false">(B716+C716)/2</f>
        <v>0.0312290191650391</v>
      </c>
      <c r="E716" s="15" t="n">
        <f aca="false">$C$2*(1+IF(E$3&lt;=$O$2,$D716,$D716-($D716-$I$697)*MIN(E$3-$O$2,$Q$2)/$Q$2))</f>
        <v>10889.7784423828</v>
      </c>
      <c r="F716" s="15" t="n">
        <f aca="false">E716*(1+IF(F$3&lt;=$O$2,$D716,$D716-($D716-$I$697)*MIN(F$3-$O$2,$Q$2)/$Q$2))</f>
        <v>11229.855542063</v>
      </c>
      <c r="G716" s="15" t="n">
        <f aca="false">F716*(1+IF(G$3&lt;=$O$2,$D716,$D716-($D716-$I$697)*MIN(G$3-$O$2,$Q$2)/$Q$2))</f>
        <v>11580.5529160067</v>
      </c>
      <c r="H716" s="15" t="n">
        <f aca="false">G716*(1+IF(H$3&lt;=$O$2,$D716,$D716-($D716-$I$697)*MIN(H$3-$O$2,$Q$2)/$Q$2))</f>
        <v>11942.2022249624</v>
      </c>
      <c r="I716" s="15" t="n">
        <f aca="false">H716*(1+IF(I$3&lt;=$O$2,$D716,$D716-($D716-$I$697)*MIN(I$3-$O$2,$Q$2)/$Q$2))</f>
        <v>12315.1454871186</v>
      </c>
      <c r="J716" s="15" t="n">
        <f aca="false">I716*(1+IF(J$3&lt;=$O$2,$D716,$D716-($D716-$I$697)*MIN(J$3-$O$2,$Q$2)/$Q$2))</f>
        <v>12717.1514330999</v>
      </c>
      <c r="K716" s="15" t="n">
        <f aca="false">J716*(1+IF(K$3&lt;=$O$2,$D716,$D716-($D716-$I$697)*MIN(K$3-$O$2,$Q$2)/$Q$2))</f>
        <v>13150.2646925524</v>
      </c>
      <c r="L716" s="15" t="n">
        <f aca="false">K716*(1+IF(L$3&lt;=$O$2,$D716,$D716-($D716-$I$697)*MIN(L$3-$O$2,$Q$2)/$Q$2))</f>
        <v>13616.7257224308</v>
      </c>
      <c r="M716" s="15" t="n">
        <f aca="false">L716*(1+IF(M$3&lt;=$O$2,$D716,$D716-($D716-$I$697)*MIN(M$3-$O$2,$Q$2)/$Q$2))</f>
        <v>14118.9895962763</v>
      </c>
      <c r="N716" s="15" t="n">
        <f aca="false">M716*(1+IF(N$3&lt;=$O$2,$D716,$D716-($D716-$I$697)*MIN(N$3-$O$2,$Q$2)/$Q$2))</f>
        <v>14659.7468978137</v>
      </c>
      <c r="O716" s="15" t="n">
        <f aca="false">SUMPRODUCT(E716:N716,1/(1+$F$697)^$E$3:$N$3)*$E$2</f>
        <v>39750.0634422553</v>
      </c>
      <c r="P716" s="15" t="n">
        <f aca="false">N716*$E$2*(1+$I$697)/($F$697-$I$697)/(1+$F$697)^$N$3</f>
        <v>67180.0903033423</v>
      </c>
      <c r="Q716" s="15" t="n">
        <f aca="false">O716+P716</f>
        <v>106930.153745598</v>
      </c>
      <c r="R716" s="15" t="n">
        <f aca="false">Q716-$G$2+$I$2</f>
        <v>87470.1537455976</v>
      </c>
      <c r="S716" s="40" t="n">
        <f aca="false">R716/$K$2</f>
        <v>155.809960536521</v>
      </c>
      <c r="T716" s="41" t="n">
        <f aca="false">S716-$M$2</f>
        <v>0.000273865935582762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0.0312232971191406</v>
      </c>
      <c r="C717" s="25" t="n">
        <f aca="false">IF(T716&gt;0,D716,C716)</f>
        <v>0.0312290191650391</v>
      </c>
      <c r="D717" s="39" t="n">
        <f aca="false">(B717+C717)/2</f>
        <v>0.0312261581420898</v>
      </c>
      <c r="E717" s="15" t="n">
        <f aca="false">$C$2*(1+IF(E$3&lt;=$O$2,$D717,$D717-($D717-$I$697)*MIN(E$3-$O$2,$Q$2)/$Q$2))</f>
        <v>10889.7482299805</v>
      </c>
      <c r="F717" s="15" t="n">
        <f aca="false">E717*(1+IF(F$3&lt;=$O$2,$D717,$D717-($D717-$I$697)*MIN(F$3-$O$2,$Q$2)/$Q$2))</f>
        <v>11229.7932303374</v>
      </c>
      <c r="G717" s="15" t="n">
        <f aca="false">F717*(1+IF(G$3&lt;=$O$2,$D717,$D717-($D717-$I$697)*MIN(G$3-$O$2,$Q$2)/$Q$2))</f>
        <v>11580.4565296509</v>
      </c>
      <c r="H717" s="15" t="n">
        <f aca="false">G717*(1+IF(H$3&lt;=$O$2,$D717,$D717-($D717-$I$697)*MIN(H$3-$O$2,$Q$2)/$Q$2))</f>
        <v>11942.0696966033</v>
      </c>
      <c r="I717" s="15" t="n">
        <f aca="false">H717*(1+IF(I$3&lt;=$O$2,$D717,$D717-($D717-$I$697)*MIN(I$3-$O$2,$Q$2)/$Q$2))</f>
        <v>12314.9746534933</v>
      </c>
      <c r="J717" s="15" t="n">
        <f aca="false">I717*(1+IF(J$3&lt;=$O$2,$D717,$D717-($D717-$I$697)*MIN(J$3-$O$2,$Q$2)/$Q$2))</f>
        <v>12716.9468361757</v>
      </c>
      <c r="K717" s="15" t="n">
        <f aca="false">J717*(1+IF(K$3&lt;=$O$2,$D717,$D717-($D717-$I$697)*MIN(K$3-$O$2,$Q$2)/$Q$2))</f>
        <v>13150.0312975005</v>
      </c>
      <c r="L717" s="15" t="n">
        <f aca="false">K717*(1+IF(L$3&lt;=$O$2,$D717,$D717-($D717-$I$697)*MIN(L$3-$O$2,$Q$2)/$Q$2))</f>
        <v>13616.4689994648</v>
      </c>
      <c r="M717" s="15" t="n">
        <f aca="false">L717*(1+IF(M$3&lt;=$O$2,$D717,$D717-($D717-$I$697)*MIN(M$3-$O$2,$Q$2)/$Q$2))</f>
        <v>14118.7156124712</v>
      </c>
      <c r="N717" s="15" t="n">
        <f aca="false">M717*(1+IF(N$3&lt;=$O$2,$D717,$D717-($D717-$I$697)*MIN(N$3-$O$2,$Q$2)/$Q$2))</f>
        <v>14659.4624204289</v>
      </c>
      <c r="O717" s="15" t="n">
        <f aca="false">SUMPRODUCT(E717:N717,1/(1+$F$697)^$E$3:$N$3)*$E$2</f>
        <v>39749.5673256741</v>
      </c>
      <c r="P717" s="15" t="n">
        <f aca="false">N717*$E$2*(1+$I$697)/($F$697-$I$697)/(1+$F$697)^$N$3</f>
        <v>67178.786650794</v>
      </c>
      <c r="Q717" s="15" t="n">
        <f aca="false">O717+P717</f>
        <v>106928.353976468</v>
      </c>
      <c r="R717" s="15" t="n">
        <f aca="false">Q717-$G$2+$I$2</f>
        <v>87468.3539764681</v>
      </c>
      <c r="S717" s="40" t="n">
        <f aca="false">R717/$K$2</f>
        <v>155.806754620617</v>
      </c>
      <c r="T717" s="41" t="n">
        <f aca="false">S717-$M$2</f>
        <v>-0.00293204996864915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0.0312261581420898</v>
      </c>
      <c r="C718" s="25" t="n">
        <f aca="false">IF(T717&gt;0,D717,C717)</f>
        <v>0.0312290191650391</v>
      </c>
      <c r="D718" s="39" t="n">
        <f aca="false">(B718+C718)/2</f>
        <v>0.0312275886535645</v>
      </c>
      <c r="E718" s="15" t="n">
        <f aca="false">$C$2*(1+IF(E$3&lt;=$O$2,$D718,$D718-($D718-$I$697)*MIN(E$3-$O$2,$Q$2)/$Q$2))</f>
        <v>10889.7633361816</v>
      </c>
      <c r="F718" s="15" t="n">
        <f aca="false">E718*(1+IF(F$3&lt;=$O$2,$D718,$D718-($D718-$I$697)*MIN(F$3-$O$2,$Q$2)/$Q$2))</f>
        <v>11229.8243861786</v>
      </c>
      <c r="G718" s="15" t="n">
        <f aca="false">F718*(1+IF(G$3&lt;=$O$2,$D718,$D718-($D718-$I$697)*MIN(G$3-$O$2,$Q$2)/$Q$2))</f>
        <v>11580.5047227619</v>
      </c>
      <c r="H718" s="15" t="n">
        <f aca="false">G718*(1+IF(H$3&lt;=$O$2,$D718,$D718-($D718-$I$697)*MIN(H$3-$O$2,$Q$2)/$Q$2))</f>
        <v>11942.135960645</v>
      </c>
      <c r="I718" s="15" t="n">
        <f aca="false">H718*(1+IF(I$3&lt;=$O$2,$D718,$D718-($D718-$I$697)*MIN(I$3-$O$2,$Q$2)/$Q$2))</f>
        <v>12315.060070069</v>
      </c>
      <c r="J718" s="15" t="n">
        <f aca="false">I718*(1+IF(J$3&lt;=$O$2,$D718,$D718-($D718-$I$697)*MIN(J$3-$O$2,$Q$2)/$Q$2))</f>
        <v>12717.0491342953</v>
      </c>
      <c r="K718" s="15" t="n">
        <f aca="false">J718*(1+IF(K$3&lt;=$O$2,$D718,$D718-($D718-$I$697)*MIN(K$3-$O$2,$Q$2)/$Q$2))</f>
        <v>13150.1479945845</v>
      </c>
      <c r="L718" s="15" t="n">
        <f aca="false">K718*(1+IF(L$3&lt;=$O$2,$D718,$D718-($D718-$I$697)*MIN(L$3-$O$2,$Q$2)/$Q$2))</f>
        <v>13616.5973604234</v>
      </c>
      <c r="M718" s="15" t="n">
        <f aca="false">L718*(1+IF(M$3&lt;=$O$2,$D718,$D718-($D718-$I$697)*MIN(M$3-$O$2,$Q$2)/$Q$2))</f>
        <v>14118.8526037933</v>
      </c>
      <c r="N718" s="15" t="n">
        <f aca="false">M718*(1+IF(N$3&lt;=$O$2,$D718,$D718-($D718-$I$697)*MIN(N$3-$O$2,$Q$2)/$Q$2))</f>
        <v>14659.6046585186</v>
      </c>
      <c r="O718" s="15" t="n">
        <f aca="false">SUMPRODUCT(E718:N718,1/(1+$F$697)^$E$3:$N$3)*$E$2</f>
        <v>39749.8153831802</v>
      </c>
      <c r="P718" s="15" t="n">
        <f aca="false">N718*$E$2*(1+$I$697)/($F$697-$I$697)/(1+$F$697)^$N$3</f>
        <v>67179.4384743063</v>
      </c>
      <c r="Q718" s="15" t="n">
        <f aca="false">O718+P718</f>
        <v>106929.253857487</v>
      </c>
      <c r="R718" s="15" t="n">
        <f aca="false">Q718-$G$2+$I$2</f>
        <v>87469.2538574865</v>
      </c>
      <c r="S718" s="40" t="n">
        <f aca="false">R718/$K$2</f>
        <v>155.808357572252</v>
      </c>
      <c r="T718" s="41" t="n">
        <f aca="false">S718-$M$2</f>
        <v>-0.00132909833354233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0.0312275886535645</v>
      </c>
      <c r="C719" s="25" t="n">
        <f aca="false">IF(T718&gt;0,D718,C718)</f>
        <v>0.0312290191650391</v>
      </c>
      <c r="D719" s="39" t="n">
        <f aca="false">(B719+C719)/2</f>
        <v>0.0312283039093018</v>
      </c>
      <c r="E719" s="15" t="n">
        <f aca="false">$C$2*(1+IF(E$3&lt;=$O$2,$D719,$D719-($D719-$I$697)*MIN(E$3-$O$2,$Q$2)/$Q$2))</f>
        <v>10889.7708892822</v>
      </c>
      <c r="F719" s="15" t="n">
        <f aca="false">E719*(1+IF(F$3&lt;=$O$2,$D719,$D719-($D719-$I$697)*MIN(F$3-$O$2,$Q$2)/$Q$2))</f>
        <v>11229.8399641154</v>
      </c>
      <c r="G719" s="15" t="n">
        <f aca="false">F719*(1+IF(G$3&lt;=$O$2,$D719,$D719-($D719-$I$697)*MIN(G$3-$O$2,$Q$2)/$Q$2))</f>
        <v>11580.5288193676</v>
      </c>
      <c r="H719" s="15" t="n">
        <f aca="false">G719*(1+IF(H$3&lt;=$O$2,$D719,$D719-($D719-$I$697)*MIN(H$3-$O$2,$Q$2)/$Q$2))</f>
        <v>11942.1690927693</v>
      </c>
      <c r="I719" s="15" t="n">
        <f aca="false">H719*(1+IF(I$3&lt;=$O$2,$D719,$D719-($D719-$I$697)*MIN(I$3-$O$2,$Q$2)/$Q$2))</f>
        <v>12315.1027785345</v>
      </c>
      <c r="J719" s="15" t="n">
        <f aca="false">I719*(1+IF(J$3&lt;=$O$2,$D719,$D719-($D719-$I$697)*MIN(J$3-$O$2,$Q$2)/$Q$2))</f>
        <v>12717.100283612</v>
      </c>
      <c r="K719" s="15" t="n">
        <f aca="false">J719*(1+IF(K$3&lt;=$O$2,$D719,$D719-($D719-$I$697)*MIN(K$3-$O$2,$Q$2)/$Q$2))</f>
        <v>13150.2063434579</v>
      </c>
      <c r="L719" s="15" t="n">
        <f aca="false">K719*(1+IF(L$3&lt;=$O$2,$D719,$D719-($D719-$I$697)*MIN(L$3-$O$2,$Q$2)/$Q$2))</f>
        <v>13616.661541296</v>
      </c>
      <c r="M719" s="15" t="n">
        <f aca="false">L719*(1+IF(M$3&lt;=$O$2,$D719,$D719-($D719-$I$697)*MIN(M$3-$O$2,$Q$2)/$Q$2))</f>
        <v>14118.9210998897</v>
      </c>
      <c r="N719" s="15" t="n">
        <f aca="false">M719*(1+IF(N$3&lt;=$O$2,$D719,$D719-($D719-$I$697)*MIN(N$3-$O$2,$Q$2)/$Q$2))</f>
        <v>14659.6757780155</v>
      </c>
      <c r="O719" s="15" t="n">
        <f aca="false">SUMPRODUCT(E719:N719,1/(1+$F$697)^$E$3:$N$3)*$E$2</f>
        <v>39749.9394125216</v>
      </c>
      <c r="P719" s="15" t="n">
        <f aca="false">N719*$E$2*(1+$I$697)/($F$697-$I$697)/(1+$F$697)^$N$3</f>
        <v>67179.7643881339</v>
      </c>
      <c r="Q719" s="15" t="n">
        <f aca="false">O719+P719</f>
        <v>106929.703800656</v>
      </c>
      <c r="R719" s="15" t="n">
        <f aca="false">Q719-$G$2+$I$2</f>
        <v>87469.7038006555</v>
      </c>
      <c r="S719" s="40" t="n">
        <f aca="false">R719/$K$2</f>
        <v>155.809159052807</v>
      </c>
      <c r="T719" s="41" t="n">
        <f aca="false">S719-$M$2</f>
        <v>-0.000527617778203648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0.0312283039093018</v>
      </c>
      <c r="C720" s="25" t="n">
        <f aca="false">IF(T719&gt;0,D719,C719)</f>
        <v>0.0312290191650391</v>
      </c>
      <c r="D720" s="39" t="n">
        <f aca="false">(B720+C720)/2</f>
        <v>0.0312286615371704</v>
      </c>
      <c r="E720" s="15" t="n">
        <f aca="false">$C$2*(1+IF(E$3&lt;=$O$2,$D720,$D720-($D720-$I$697)*MIN(E$3-$O$2,$Q$2)/$Q$2))</f>
        <v>10889.7746658325</v>
      </c>
      <c r="F720" s="15" t="n">
        <f aca="false">E720*(1+IF(F$3&lt;=$O$2,$D720,$D720-($D720-$I$697)*MIN(F$3-$O$2,$Q$2)/$Q$2))</f>
        <v>11229.8477530879</v>
      </c>
      <c r="G720" s="15" t="n">
        <f aca="false">F720*(1+IF(G$3&lt;=$O$2,$D720,$D720-($D720-$I$697)*MIN(G$3-$O$2,$Q$2)/$Q$2))</f>
        <v>11580.540867683</v>
      </c>
      <c r="H720" s="15" t="n">
        <f aca="false">G720*(1+IF(H$3&lt;=$O$2,$D720,$D720-($D720-$I$697)*MIN(H$3-$O$2,$Q$2)/$Q$2))</f>
        <v>11942.1856588572</v>
      </c>
      <c r="I720" s="15" t="n">
        <f aca="false">H720*(1+IF(I$3&lt;=$O$2,$D720,$D720-($D720-$I$697)*MIN(I$3-$O$2,$Q$2)/$Q$2))</f>
        <v>12315.1241328117</v>
      </c>
      <c r="J720" s="15" t="n">
        <f aca="false">I720*(1+IF(J$3&lt;=$O$2,$D720,$D720-($D720-$I$697)*MIN(J$3-$O$2,$Q$2)/$Q$2))</f>
        <v>12717.1258583345</v>
      </c>
      <c r="K720" s="15" t="n">
        <f aca="false">J720*(1+IF(K$3&lt;=$O$2,$D720,$D720-($D720-$I$697)*MIN(K$3-$O$2,$Q$2)/$Q$2))</f>
        <v>13150.2355179775</v>
      </c>
      <c r="L720" s="15" t="n">
        <f aca="false">K720*(1+IF(L$3&lt;=$O$2,$D720,$D720-($D720-$I$697)*MIN(L$3-$O$2,$Q$2)/$Q$2))</f>
        <v>13616.6936318307</v>
      </c>
      <c r="M720" s="15" t="n">
        <f aca="false">L720*(1+IF(M$3&lt;=$O$2,$D720,$D720-($D720-$I$697)*MIN(M$3-$O$2,$Q$2)/$Q$2))</f>
        <v>14118.9553480467</v>
      </c>
      <c r="N720" s="15" t="n">
        <f aca="false">M720*(1+IF(N$3&lt;=$O$2,$D720,$D720-($D720-$I$697)*MIN(N$3-$O$2,$Q$2)/$Q$2))</f>
        <v>14659.7113378769</v>
      </c>
      <c r="O720" s="15" t="n">
        <f aca="false">SUMPRODUCT(E720:N720,1/(1+$F$697)^$E$3:$N$3)*$E$2</f>
        <v>39750.0014273394</v>
      </c>
      <c r="P720" s="15" t="n">
        <f aca="false">N720*$E$2*(1+$I$697)/($F$697-$I$697)/(1+$F$697)^$N$3</f>
        <v>67179.9273455655</v>
      </c>
      <c r="Q720" s="15" t="n">
        <f aca="false">O720+P720</f>
        <v>106929.928772905</v>
      </c>
      <c r="R720" s="15" t="n">
        <f aca="false">Q720-$G$2+$I$2</f>
        <v>87469.9287729049</v>
      </c>
      <c r="S720" s="40" t="n">
        <f aca="false">R720/$K$2</f>
        <v>155.809559794269</v>
      </c>
      <c r="T720" s="41" t="n">
        <f aca="false">S720-$M$2</f>
        <v>-0.00012687631613062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0.0312286615371704</v>
      </c>
      <c r="C721" s="25" t="n">
        <f aca="false">IF(T720&gt;0,D720,C720)</f>
        <v>0.0312290191650391</v>
      </c>
      <c r="D721" s="39" t="n">
        <f aca="false">(B721+C721)/2</f>
        <v>0.0312288403511047</v>
      </c>
      <c r="E721" s="15" t="n">
        <f aca="false">$C$2*(1+IF(E$3&lt;=$O$2,$D721,$D721-($D721-$I$697)*MIN(E$3-$O$2,$Q$2)/$Q$2))</f>
        <v>10889.7765541077</v>
      </c>
      <c r="F721" s="15" t="n">
        <f aca="false">E721*(1+IF(F$3&lt;=$O$2,$D721,$D721-($D721-$I$697)*MIN(F$3-$O$2,$Q$2)/$Q$2))</f>
        <v>11229.8516475751</v>
      </c>
      <c r="G721" s="15" t="n">
        <f aca="false">F721*(1+IF(G$3&lt;=$O$2,$D721,$D721-($D721-$I$697)*MIN(G$3-$O$2,$Q$2)/$Q$2))</f>
        <v>11580.5468918438</v>
      </c>
      <c r="H721" s="15" t="n">
        <f aca="false">G721*(1+IF(H$3&lt;=$O$2,$D721,$D721-($D721-$I$697)*MIN(H$3-$O$2,$Q$2)/$Q$2))</f>
        <v>11942.1939419077</v>
      </c>
      <c r="I721" s="15" t="n">
        <f aca="false">H721*(1+IF(I$3&lt;=$O$2,$D721,$D721-($D721-$I$697)*MIN(I$3-$O$2,$Q$2)/$Q$2))</f>
        <v>12315.1348099615</v>
      </c>
      <c r="J721" s="15" t="n">
        <f aca="false">I721*(1+IF(J$3&lt;=$O$2,$D721,$D721-($D721-$I$697)*MIN(J$3-$O$2,$Q$2)/$Q$2))</f>
        <v>12717.1386457118</v>
      </c>
      <c r="K721" s="15" t="n">
        <f aca="false">J721*(1+IF(K$3&lt;=$O$2,$D721,$D721-($D721-$I$697)*MIN(K$3-$O$2,$Q$2)/$Q$2))</f>
        <v>13150.250105258</v>
      </c>
      <c r="L721" s="15" t="n">
        <f aca="false">K721*(1+IF(L$3&lt;=$O$2,$D721,$D721-($D721-$I$697)*MIN(L$3-$O$2,$Q$2)/$Q$2))</f>
        <v>13616.7096771225</v>
      </c>
      <c r="M721" s="15" t="n">
        <f aca="false">L721*(1+IF(M$3&lt;=$O$2,$D721,$D721-($D721-$I$697)*MIN(M$3-$O$2,$Q$2)/$Q$2))</f>
        <v>14118.9724721524</v>
      </c>
      <c r="N721" s="15" t="n">
        <f aca="false">M721*(1+IF(N$3&lt;=$O$2,$D721,$D721-($D721-$I$697)*MIN(N$3-$O$2,$Q$2)/$Q$2))</f>
        <v>14659.7291178359</v>
      </c>
      <c r="O721" s="15" t="n">
        <f aca="false">SUMPRODUCT(E721:N721,1/(1+$F$697)^$E$3:$N$3)*$E$2</f>
        <v>39750.0324347851</v>
      </c>
      <c r="P721" s="15" t="n">
        <f aca="false">N721*$E$2*(1+$I$697)/($F$697-$I$697)/(1+$F$697)^$N$3</f>
        <v>67180.0088244107</v>
      </c>
      <c r="Q721" s="15" t="n">
        <f aca="false">O721+P721</f>
        <v>106930.041259196</v>
      </c>
      <c r="R721" s="15" t="n">
        <f aca="false">Q721-$G$2+$I$2</f>
        <v>87470.0412591958</v>
      </c>
      <c r="S721" s="40" t="n">
        <f aca="false">R721/$K$2</f>
        <v>155.809760165297</v>
      </c>
      <c r="T721" s="41" t="n">
        <f aca="false">S721-$M$2</f>
        <v>7.34947109890527E-005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0.0312286615371704</v>
      </c>
      <c r="C722" s="25" t="n">
        <f aca="false">IF(T721&gt;0,D721,C721)</f>
        <v>0.0312288403511047</v>
      </c>
      <c r="D722" s="39" t="n">
        <f aca="false">(B722+C722)/2</f>
        <v>0.0312287509441376</v>
      </c>
      <c r="E722" s="15" t="n">
        <f aca="false">$C$2*(1+IF(E$3&lt;=$O$2,$D722,$D722-($D722-$I$697)*MIN(E$3-$O$2,$Q$2)/$Q$2))</f>
        <v>10889.7756099701</v>
      </c>
      <c r="F722" s="15" t="n">
        <f aca="false">E722*(1+IF(F$3&lt;=$O$2,$D722,$D722-($D722-$I$697)*MIN(F$3-$O$2,$Q$2)/$Q$2))</f>
        <v>11229.8497003314</v>
      </c>
      <c r="G722" s="15" t="n">
        <f aca="false">F722*(1+IF(G$3&lt;=$O$2,$D722,$D722-($D722-$I$697)*MIN(G$3-$O$2,$Q$2)/$Q$2))</f>
        <v>11580.5438797631</v>
      </c>
      <c r="H722" s="15" t="n">
        <f aca="false">G722*(1+IF(H$3&lt;=$O$2,$D722,$D722-($D722-$I$697)*MIN(H$3-$O$2,$Q$2)/$Q$2))</f>
        <v>11942.1898003819</v>
      </c>
      <c r="I722" s="15" t="n">
        <f aca="false">H722*(1+IF(I$3&lt;=$O$2,$D722,$D722-($D722-$I$697)*MIN(I$3-$O$2,$Q$2)/$Q$2))</f>
        <v>12315.1294713857</v>
      </c>
      <c r="J722" s="15" t="n">
        <f aca="false">I722*(1+IF(J$3&lt;=$O$2,$D722,$D722-($D722-$I$697)*MIN(J$3-$O$2,$Q$2)/$Q$2))</f>
        <v>12717.1322520219</v>
      </c>
      <c r="K722" s="15" t="n">
        <f aca="false">J722*(1+IF(K$3&lt;=$O$2,$D722,$D722-($D722-$I$697)*MIN(K$3-$O$2,$Q$2)/$Q$2))</f>
        <v>13150.2428116161</v>
      </c>
      <c r="L722" s="15" t="n">
        <f aca="false">K722*(1+IF(L$3&lt;=$O$2,$D722,$D722-($D722-$I$697)*MIN(L$3-$O$2,$Q$2)/$Q$2))</f>
        <v>13616.7016544745</v>
      </c>
      <c r="M722" s="15" t="n">
        <f aca="false">L722*(1+IF(M$3&lt;=$O$2,$D722,$D722-($D722-$I$697)*MIN(M$3-$O$2,$Q$2)/$Q$2))</f>
        <v>14118.9639100973</v>
      </c>
      <c r="N722" s="15" t="n">
        <f aca="false">M722*(1+IF(N$3&lt;=$O$2,$D722,$D722-($D722-$I$697)*MIN(N$3-$O$2,$Q$2)/$Q$2))</f>
        <v>14659.720227854</v>
      </c>
      <c r="O722" s="15" t="n">
        <f aca="false">SUMPRODUCT(E722:N722,1/(1+$F$697)^$E$3:$N$3)*$E$2</f>
        <v>39750.0169310592</v>
      </c>
      <c r="P722" s="15" t="n">
        <f aca="false">N722*$E$2*(1+$I$697)/($F$697-$I$697)/(1+$F$697)^$N$3</f>
        <v>67179.9680849773</v>
      </c>
      <c r="Q722" s="15" t="n">
        <f aca="false">O722+P722</f>
        <v>106929.985016037</v>
      </c>
      <c r="R722" s="15" t="n">
        <f aca="false">Q722-$G$2+$I$2</f>
        <v>87469.9850160365</v>
      </c>
      <c r="S722" s="40" t="n">
        <f aca="false">R722/$K$2</f>
        <v>155.809659979758</v>
      </c>
      <c r="T722" s="41" t="n">
        <f aca="false">S722-$M$2</f>
        <v>-2.66908271839839E-005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212</v>
      </c>
    </row>
    <row r="3" customFormat="false" ht="15" hidden="false" customHeight="false" outlineLevel="0" collapsed="false">
      <c r="B3" s="2" t="s">
        <v>213</v>
      </c>
    </row>
    <row r="5" customFormat="false" ht="15" hidden="false" customHeight="false" outlineLevel="0" collapsed="false">
      <c r="B5" s="3" t="s">
        <v>214</v>
      </c>
    </row>
    <row r="6" customFormat="false" ht="15" hidden="false" customHeight="false" outlineLevel="0" collapsed="false">
      <c r="B6" s="28" t="s">
        <v>163</v>
      </c>
      <c r="C6" s="42" t="n">
        <v>1</v>
      </c>
      <c r="D6" s="42" t="n">
        <v>2</v>
      </c>
      <c r="E6" s="42" t="n">
        <v>3</v>
      </c>
      <c r="F6" s="42" t="n">
        <v>4</v>
      </c>
      <c r="G6" s="42" t="n">
        <v>5</v>
      </c>
      <c r="H6" s="42" t="n">
        <v>6</v>
      </c>
      <c r="I6" s="42" t="n">
        <v>7</v>
      </c>
      <c r="J6" s="42" t="n">
        <v>8</v>
      </c>
      <c r="K6" s="42" t="n">
        <v>9</v>
      </c>
      <c r="L6" s="42" t="n">
        <v>10</v>
      </c>
    </row>
    <row r="7" customFormat="false" ht="15" hidden="false" customHeight="false" outlineLevel="0" collapsed="false">
      <c r="B7" s="5" t="s">
        <v>215</v>
      </c>
      <c r="C7" s="23" t="n">
        <f aca="false">IF(C$6&lt;=Inputs!$C$46,Solver!$W$7,Solver!$W$7-(Solver!$W$7-Inputs!$C$37)*MIN(C$6-Inputs!$C$46,Inputs!$C$47)/Inputs!$C$47)</f>
        <v>0.0229197011617543</v>
      </c>
      <c r="D7" s="23" t="n">
        <f aca="false">IF(D$6&lt;=Inputs!$C$46,Solver!$W$7,Solver!$W$7-(Solver!$W$7-Inputs!$C$37)*MIN(D$6-Inputs!$C$46,Inputs!$C$47)/Inputs!$C$47)</f>
        <v>0.0229197011617543</v>
      </c>
      <c r="E7" s="23" t="n">
        <f aca="false">IF(E$6&lt;=Inputs!$C$46,Solver!$W$7,Solver!$W$7-(Solver!$W$7-Inputs!$C$37)*MIN(E$6-Inputs!$C$46,Inputs!$C$47)/Inputs!$C$47)</f>
        <v>0.0229197011617543</v>
      </c>
      <c r="F7" s="23" t="n">
        <f aca="false">IF(F$6&lt;=Inputs!$C$46,Solver!$W$7,Solver!$W$7-(Solver!$W$7-Inputs!$C$37)*MIN(F$6-Inputs!$C$46,Inputs!$C$47)/Inputs!$C$47)</f>
        <v>0.0229197011617543</v>
      </c>
      <c r="G7" s="23" t="n">
        <f aca="false">IF(G$6&lt;=Inputs!$C$46,Solver!$W$7,Solver!$W$7-(Solver!$W$7-Inputs!$C$37)*MIN(G$6-Inputs!$C$46,Inputs!$C$47)/Inputs!$C$47)</f>
        <v>0.0229197011617543</v>
      </c>
      <c r="H7" s="23" t="n">
        <f aca="false">IF(H$6&lt;=Inputs!$C$46,Solver!$W$7,Solver!$W$7-(Solver!$W$7-Inputs!$C$37)*MIN(H$6-Inputs!$C$46,Inputs!$C$47)/Inputs!$C$47)</f>
        <v>0.0239957609294035</v>
      </c>
      <c r="I7" s="23" t="n">
        <f aca="false">IF(I$6&lt;=Inputs!$C$46,Solver!$W$7,Solver!$W$7-(Solver!$W$7-Inputs!$C$37)*MIN(I$6-Inputs!$C$46,Inputs!$C$47)/Inputs!$C$47)</f>
        <v>0.0250718206970526</v>
      </c>
      <c r="J7" s="23" t="n">
        <f aca="false">IF(J$6&lt;=Inputs!$C$46,Solver!$W$7,Solver!$W$7-(Solver!$W$7-Inputs!$C$37)*MIN(J$6-Inputs!$C$46,Inputs!$C$47)/Inputs!$C$47)</f>
        <v>0.0261478804647017</v>
      </c>
      <c r="K7" s="23" t="n">
        <f aca="false">IF(K$6&lt;=Inputs!$C$46,Solver!$W$7,Solver!$W$7-(Solver!$W$7-Inputs!$C$37)*MIN(K$6-Inputs!$C$46,Inputs!$C$47)/Inputs!$C$47)</f>
        <v>0.0272239402323509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106</v>
      </c>
      <c r="C8" s="15" t="n">
        <f aca="false">Inputs!$C$12*(1+C7)</f>
        <v>10802.0320442681</v>
      </c>
      <c r="D8" s="15" t="n">
        <f aca="false">C8*(1+D7)</f>
        <v>11049.6113906624</v>
      </c>
      <c r="E8" s="15" t="n">
        <f aca="false">D8*(1+E7)</f>
        <v>11302.8651816899</v>
      </c>
      <c r="F8" s="15" t="n">
        <f aca="false">E8*(1+F7)</f>
        <v>11561.9234739259</v>
      </c>
      <c r="G8" s="15" t="n">
        <f aca="false">F8*(1+G7)</f>
        <v>11826.9193048033</v>
      </c>
      <c r="H8" s="15" t="n">
        <f aca="false">G8*(1+H7)</f>
        <v>12110.7152329727</v>
      </c>
      <c r="I8" s="15" t="n">
        <f aca="false">H8*(1+I7)</f>
        <v>12414.3529138069</v>
      </c>
      <c r="J8" s="15" t="n">
        <f aca="false">I8*(1+J7)</f>
        <v>12738.9619298437</v>
      </c>
      <c r="K8" s="15" t="n">
        <f aca="false">J8*(1+K7)</f>
        <v>13085.766668044</v>
      </c>
      <c r="L8" s="15" t="n">
        <f aca="false">K8*(1+L7)</f>
        <v>13456.0938647496</v>
      </c>
    </row>
    <row r="9" customFormat="false" ht="15" hidden="false" customHeight="false" outlineLevel="0" collapsed="false">
      <c r="B9" s="5" t="s">
        <v>60</v>
      </c>
      <c r="C9" s="15" t="n">
        <f aca="false">C8*Inputs!$C$23</f>
        <v>5349.87003707598</v>
      </c>
      <c r="D9" s="15" t="n">
        <f aca="false">D8*Inputs!$C$23</f>
        <v>5472.48745957998</v>
      </c>
      <c r="E9" s="15" t="n">
        <f aca="false">E8*Inputs!$C$23</f>
        <v>5597.915236765</v>
      </c>
      <c r="F9" s="15" t="n">
        <f aca="false">F8*Inputs!$C$23</f>
        <v>5726.21778112049</v>
      </c>
      <c r="G9" s="15" t="n">
        <f aca="false">G8*Inputs!$C$23</f>
        <v>5857.46098145089</v>
      </c>
      <c r="H9" s="15" t="n">
        <f aca="false">H8*Inputs!$C$23</f>
        <v>5998.0152148151</v>
      </c>
      <c r="I9" s="15" t="n">
        <f aca="false">I8*Inputs!$C$23</f>
        <v>6148.39637681913</v>
      </c>
      <c r="J9" s="15" t="n">
        <f aca="false">J8*Inputs!$C$23</f>
        <v>6309.16391032981</v>
      </c>
      <c r="K9" s="15" t="n">
        <f aca="false">K8*Inputs!$C$23</f>
        <v>6480.92421154073</v>
      </c>
      <c r="L9" s="15" t="n">
        <f aca="false">L8*Inputs!$C$23</f>
        <v>6664.33436672733</v>
      </c>
    </row>
    <row r="10" customFormat="false" ht="15" hidden="false" customHeight="false" outlineLevel="0" collapsed="false">
      <c r="B10" s="5" t="s">
        <v>216</v>
      </c>
      <c r="C10" s="43" t="n">
        <f aca="false">1/(1+WACC!$C$37)^C$6</f>
        <v>0.928490276261181</v>
      </c>
      <c r="D10" s="43" t="n">
        <f aca="false">1/(1+WACC!$C$37)^D$6</f>
        <v>0.862094193111564</v>
      </c>
      <c r="E10" s="43" t="n">
        <f aca="false">1/(1+WACC!$C$37)^E$6</f>
        <v>0.800446075525316</v>
      </c>
      <c r="F10" s="43" t="n">
        <f aca="false">1/(1+WACC!$C$37)^F$6</f>
        <v>0.743206397796679</v>
      </c>
      <c r="G10" s="43" t="n">
        <f aca="false">1/(1+WACC!$C$37)^G$6</f>
        <v>0.690059913609316</v>
      </c>
      <c r="H10" s="43" t="n">
        <f aca="false">1/(1+WACC!$C$37)^H$6</f>
        <v>0.64071391982388</v>
      </c>
      <c r="I10" s="43" t="n">
        <f aca="false">1/(1+WACC!$C$37)^I$6</f>
        <v>0.594896644421659</v>
      </c>
      <c r="J10" s="43" t="n">
        <f aca="false">1/(1+WACC!$C$37)^J$6</f>
        <v>0.552355749725916</v>
      </c>
      <c r="K10" s="43" t="n">
        <f aca="false">1/(1+WACC!$C$37)^K$6</f>
        <v>0.512856942657467</v>
      </c>
      <c r="L10" s="43" t="n">
        <f aca="false">1/(1+WACC!$C$37)^L$6</f>
        <v>0.476182684370496</v>
      </c>
    </row>
    <row r="11" customFormat="false" ht="15" hidden="false" customHeight="false" outlineLevel="0" collapsed="false">
      <c r="B11" s="5" t="s">
        <v>217</v>
      </c>
      <c r="C11" s="15" t="n">
        <f aca="false">C9*C10</f>
        <v>4967.30230868609</v>
      </c>
      <c r="D11" s="15" t="n">
        <f aca="false">D9*D10</f>
        <v>4717.79966077976</v>
      </c>
      <c r="E11" s="15" t="n">
        <f aca="false">E9*E10</f>
        <v>4480.82928239192</v>
      </c>
      <c r="F11" s="15" t="n">
        <f aca="false">F9*F10</f>
        <v>4255.76169010585</v>
      </c>
      <c r="G11" s="15" t="n">
        <f aca="false">G9*G10</f>
        <v>4041.99901882994</v>
      </c>
      <c r="H11" s="15" t="n">
        <f aca="false">H9*H10</f>
        <v>3843.01183944745</v>
      </c>
      <c r="I11" s="15" t="n">
        <f aca="false">I9*I10</f>
        <v>3657.66037314399</v>
      </c>
      <c r="J11" s="15" t="n">
        <f aca="false">J9*J10</f>
        <v>3484.90296183391</v>
      </c>
      <c r="K11" s="15" t="n">
        <f aca="false">K9*K10</f>
        <v>3323.78697672553</v>
      </c>
      <c r="L11" s="15" t="n">
        <f aca="false">L9*L10</f>
        <v>3173.44062829077</v>
      </c>
    </row>
    <row r="13" customFormat="false" ht="15" hidden="false" customHeight="false" outlineLevel="0" collapsed="false">
      <c r="B13" s="5" t="s">
        <v>218</v>
      </c>
      <c r="C13" s="15" t="n">
        <f aca="false">SUM(C11:L11)</f>
        <v>39946.4947402352</v>
      </c>
    </row>
    <row r="14" customFormat="false" ht="15" hidden="false" customHeight="false" outlineLevel="0" collapsed="false">
      <c r="B14" s="5" t="s">
        <v>219</v>
      </c>
      <c r="C14" s="15" t="n">
        <f aca="false">L9*(1+Inputs!$C$37)/(WACC!$C$37-Inputs!$C$37)</f>
        <v>140667.662767107</v>
      </c>
    </row>
    <row r="15" customFormat="false" ht="15" hidden="false" customHeight="false" outlineLevel="0" collapsed="false">
      <c r="B15" s="5" t="s">
        <v>220</v>
      </c>
      <c r="C15" s="15" t="n">
        <f aca="false">C14*L10</f>
        <v>66983.5052605647</v>
      </c>
    </row>
    <row r="16" customFormat="false" ht="15" hidden="false" customHeight="false" outlineLevel="0" collapsed="false">
      <c r="B16" s="7" t="s">
        <v>221</v>
      </c>
      <c r="C16" s="15" t="n">
        <f aca="false">C13+C15</f>
        <v>106930.0000008</v>
      </c>
    </row>
    <row r="17" customFormat="false" ht="15" hidden="false" customHeight="false" outlineLevel="0" collapsed="false">
      <c r="B17" s="5" t="s">
        <v>222</v>
      </c>
      <c r="C17" s="16" t="n">
        <f aca="false">-Inputs!$C$27</f>
        <v>-20530</v>
      </c>
    </row>
    <row r="18" customFormat="false" ht="15" hidden="false" customHeight="false" outlineLevel="0" collapsed="false">
      <c r="B18" s="5" t="s">
        <v>223</v>
      </c>
      <c r="C18" s="16" t="n">
        <f aca="false">Inputs!$C$28</f>
        <v>1070</v>
      </c>
    </row>
    <row r="19" customFormat="false" ht="15" hidden="false" customHeight="false" outlineLevel="0" collapsed="false">
      <c r="B19" s="5" t="s">
        <v>224</v>
      </c>
      <c r="C19" s="15" t="n">
        <f aca="false">SUM(C16:C18)</f>
        <v>87470.0000007999</v>
      </c>
    </row>
    <row r="20" customFormat="false" ht="15" hidden="false" customHeight="false" outlineLevel="0" collapsed="false">
      <c r="B20" s="5" t="s">
        <v>225</v>
      </c>
      <c r="C20" s="34" t="n">
        <f aca="false">Inputs!$C$7</f>
        <v>561.39</v>
      </c>
    </row>
    <row r="21" customFormat="false" ht="15" hidden="false" customHeight="false" outlineLevel="0" collapsed="false">
      <c r="B21" s="7" t="s">
        <v>226</v>
      </c>
      <c r="C21" s="44" t="n">
        <f aca="false">C19/C20</f>
        <v>155.80968667201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155.809686670586</v>
      </c>
    </row>
    <row r="23" customFormat="false" ht="15" hidden="false" customHeight="false" outlineLevel="0" collapsed="false">
      <c r="B23" s="5" t="s">
        <v>227</v>
      </c>
      <c r="C23" s="23" t="n">
        <f aca="false">C21/C22-1</f>
        <v>9.14468500923249E-012</v>
      </c>
    </row>
    <row r="24" customFormat="false" ht="15" hidden="false" customHeight="false" outlineLevel="0" collapsed="false">
      <c r="B24" s="5" t="s">
        <v>228</v>
      </c>
      <c r="C24" s="23" t="n">
        <f aca="false">C15/C16</f>
        <v>0.626423877864618</v>
      </c>
    </row>
    <row r="25" customFormat="false" ht="15" hidden="false" customHeight="false" outlineLevel="0" collapsed="false">
      <c r="B25" s="3" t="s">
        <v>229</v>
      </c>
    </row>
    <row r="26" customFormat="false" ht="15" hidden="false" customHeight="false" outlineLevel="0" collapsed="false">
      <c r="B26" s="28" t="s">
        <v>163</v>
      </c>
      <c r="C26" s="42" t="n">
        <v>1</v>
      </c>
      <c r="D26" s="42" t="n">
        <v>2</v>
      </c>
      <c r="E26" s="42" t="n">
        <v>3</v>
      </c>
      <c r="F26" s="42" t="n">
        <v>4</v>
      </c>
      <c r="G26" s="42" t="n">
        <v>5</v>
      </c>
      <c r="H26" s="42" t="n">
        <v>6</v>
      </c>
      <c r="I26" s="42" t="n">
        <v>7</v>
      </c>
      <c r="J26" s="42" t="n">
        <v>8</v>
      </c>
      <c r="K26" s="42" t="n">
        <v>9</v>
      </c>
      <c r="L26" s="42" t="n">
        <v>10</v>
      </c>
    </row>
    <row r="27" customFormat="false" ht="15" hidden="false" customHeight="false" outlineLevel="0" collapsed="false">
      <c r="B27" s="5" t="s">
        <v>215</v>
      </c>
      <c r="C27" s="23" t="n">
        <f aca="false">IF(C$26&lt;=Inputs!$C$46,Inputs!$C$45,Inputs!$C$45-(Inputs!$C$45-Inputs!$C$37)*MIN(C$26-Inputs!$C$46,Inputs!$C$47)/Inputs!$C$47)</f>
        <v>0.0812</v>
      </c>
      <c r="D27" s="23" t="n">
        <f aca="false">IF(D$26&lt;=Inputs!$C$46,Inputs!$C$45,Inputs!$C$45-(Inputs!$C$45-Inputs!$C$37)*MIN(D$26-Inputs!$C$46,Inputs!$C$47)/Inputs!$C$47)</f>
        <v>0.0812</v>
      </c>
      <c r="E27" s="23" t="n">
        <f aca="false">IF(E$26&lt;=Inputs!$C$46,Inputs!$C$45,Inputs!$C$45-(Inputs!$C$45-Inputs!$C$37)*MIN(E$26-Inputs!$C$46,Inputs!$C$47)/Inputs!$C$47)</f>
        <v>0.0812</v>
      </c>
      <c r="F27" s="23" t="n">
        <f aca="false">IF(F$26&lt;=Inputs!$C$46,Inputs!$C$45,Inputs!$C$45-(Inputs!$C$45-Inputs!$C$37)*MIN(F$26-Inputs!$C$46,Inputs!$C$47)/Inputs!$C$47)</f>
        <v>0.0812</v>
      </c>
      <c r="G27" s="23" t="n">
        <f aca="false">IF(G$26&lt;=Inputs!$C$46,Inputs!$C$45,Inputs!$C$45-(Inputs!$C$45-Inputs!$C$37)*MIN(G$26-Inputs!$C$46,Inputs!$C$47)/Inputs!$C$47)</f>
        <v>0.0812</v>
      </c>
      <c r="H27" s="23" t="n">
        <f aca="false">IF(H$26&lt;=Inputs!$C$46,Inputs!$C$45,Inputs!$C$45-(Inputs!$C$45-Inputs!$C$37)*MIN(H$26-Inputs!$C$46,Inputs!$C$47)/Inputs!$C$47)</f>
        <v>0.07062</v>
      </c>
      <c r="I27" s="23" t="n">
        <f aca="false">IF(I$26&lt;=Inputs!$C$46,Inputs!$C$45,Inputs!$C$45-(Inputs!$C$45-Inputs!$C$37)*MIN(I$26-Inputs!$C$46,Inputs!$C$47)/Inputs!$C$47)</f>
        <v>0.06004</v>
      </c>
      <c r="J27" s="23" t="n">
        <f aca="false">IF(J$26&lt;=Inputs!$C$46,Inputs!$C$45,Inputs!$C$45-(Inputs!$C$45-Inputs!$C$37)*MIN(J$26-Inputs!$C$46,Inputs!$C$47)/Inputs!$C$47)</f>
        <v>0.04946</v>
      </c>
      <c r="K27" s="23" t="n">
        <f aca="false">IF(K$26&lt;=Inputs!$C$46,Inputs!$C$45,Inputs!$C$45-(Inputs!$C$45-Inputs!$C$37)*MIN(K$26-Inputs!$C$46,Inputs!$C$47)/Inputs!$C$47)</f>
        <v>0.03888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106</v>
      </c>
      <c r="C28" s="15" t="n">
        <f aca="false">Inputs!$C$12*(1+C27)</f>
        <v>11417.472</v>
      </c>
      <c r="D28" s="15" t="n">
        <f aca="false">C28*(1+D27)</f>
        <v>12344.5707264</v>
      </c>
      <c r="E28" s="15" t="n">
        <f aca="false">D28*(1+E27)</f>
        <v>13346.9498693837</v>
      </c>
      <c r="F28" s="15" t="n">
        <f aca="false">E28*(1+F27)</f>
        <v>14430.7221987776</v>
      </c>
      <c r="G28" s="15" t="n">
        <f aca="false">F28*(1+G27)</f>
        <v>15602.4968413184</v>
      </c>
      <c r="H28" s="15" t="n">
        <f aca="false">G28*(1+H27)</f>
        <v>16704.3451682523</v>
      </c>
      <c r="I28" s="15" t="n">
        <f aca="false">H28*(1+I27)</f>
        <v>17707.2740521541</v>
      </c>
      <c r="J28" s="15" t="n">
        <f aca="false">I28*(1+J27)</f>
        <v>18583.0758267737</v>
      </c>
      <c r="K28" s="15" t="n">
        <f aca="false">J28*(1+K27)</f>
        <v>19305.5858149187</v>
      </c>
      <c r="L28" s="15" t="n">
        <f aca="false">K28*(1+L27)</f>
        <v>19851.9338934808</v>
      </c>
    </row>
    <row r="29" customFormat="false" ht="15" hidden="false" customHeight="false" outlineLevel="0" collapsed="false">
      <c r="B29" s="5" t="s">
        <v>60</v>
      </c>
      <c r="C29" s="15" t="n">
        <f aca="false">C28*Inputs!$C$23</f>
        <v>5654.676</v>
      </c>
      <c r="D29" s="15" t="n">
        <f aca="false">D28*Inputs!$C$23</f>
        <v>6113.8356912</v>
      </c>
      <c r="E29" s="15" t="n">
        <f aca="false">E28*Inputs!$C$23</f>
        <v>6610.27914932544</v>
      </c>
      <c r="F29" s="15" t="n">
        <f aca="false">F28*Inputs!$C$23</f>
        <v>7147.03381625066</v>
      </c>
      <c r="G29" s="15" t="n">
        <f aca="false">G28*Inputs!$C$23</f>
        <v>7727.37296213022</v>
      </c>
      <c r="H29" s="15" t="n">
        <f aca="false">H28*Inputs!$C$23</f>
        <v>8273.08004071585</v>
      </c>
      <c r="I29" s="15" t="n">
        <f aca="false">I28*Inputs!$C$23</f>
        <v>8769.79576636043</v>
      </c>
      <c r="J29" s="15" t="n">
        <f aca="false">J28*Inputs!$C$23</f>
        <v>9203.54986496462</v>
      </c>
      <c r="K29" s="15" t="n">
        <f aca="false">K28*Inputs!$C$23</f>
        <v>9561.38388371445</v>
      </c>
      <c r="L29" s="15" t="n">
        <f aca="false">L28*Inputs!$C$23</f>
        <v>9831.97104762356</v>
      </c>
    </row>
    <row r="30" customFormat="false" ht="15" hidden="false" customHeight="false" outlineLevel="0" collapsed="false">
      <c r="B30" s="5" t="s">
        <v>216</v>
      </c>
      <c r="C30" s="43" t="n">
        <f aca="false">1/(1+WACC!$C$37)^C$26</f>
        <v>0.928490276261181</v>
      </c>
      <c r="D30" s="43" t="n">
        <f aca="false">1/(1+WACC!$C$37)^D$26</f>
        <v>0.862094193111564</v>
      </c>
      <c r="E30" s="43" t="n">
        <f aca="false">1/(1+WACC!$C$37)^E$26</f>
        <v>0.800446075525316</v>
      </c>
      <c r="F30" s="43" t="n">
        <f aca="false">1/(1+WACC!$C$37)^F$26</f>
        <v>0.743206397796679</v>
      </c>
      <c r="G30" s="43" t="n">
        <f aca="false">1/(1+WACC!$C$37)^G$26</f>
        <v>0.690059913609316</v>
      </c>
      <c r="H30" s="43" t="n">
        <f aca="false">1/(1+WACC!$C$37)^H$26</f>
        <v>0.64071391982388</v>
      </c>
      <c r="I30" s="43" t="n">
        <f aca="false">1/(1+WACC!$C$37)^I$26</f>
        <v>0.594896644421659</v>
      </c>
      <c r="J30" s="43" t="n">
        <f aca="false">1/(1+WACC!$C$37)^J$26</f>
        <v>0.552355749725916</v>
      </c>
      <c r="K30" s="43" t="n">
        <f aca="false">1/(1+WACC!$C$37)^K$26</f>
        <v>0.512856942657467</v>
      </c>
      <c r="L30" s="43" t="n">
        <f aca="false">1/(1+WACC!$C$37)^L$26</f>
        <v>0.476182684370496</v>
      </c>
    </row>
    <row r="31" customFormat="false" ht="15" hidden="false" customHeight="false" outlineLevel="0" collapsed="false">
      <c r="B31" s="5" t="s">
        <v>217</v>
      </c>
      <c r="C31" s="15" t="n">
        <f aca="false">C29*C30</f>
        <v>5250.31168140747</v>
      </c>
      <c r="D31" s="15" t="n">
        <f aca="false">D29*D30</f>
        <v>5270.70224702175</v>
      </c>
      <c r="E31" s="15" t="n">
        <f aca="false">E29*E30</f>
        <v>5291.17200320437</v>
      </c>
      <c r="F31" s="15" t="n">
        <f aca="false">F29*F30</f>
        <v>5311.72125750671</v>
      </c>
      <c r="G31" s="15" t="n">
        <f aca="false">G29*G30</f>
        <v>5332.35031867454</v>
      </c>
      <c r="H31" s="15" t="n">
        <f aca="false">H29*H30</f>
        <v>5300.67754190376</v>
      </c>
      <c r="I31" s="15" t="n">
        <f aca="false">I29*I30</f>
        <v>5217.12207367109</v>
      </c>
      <c r="J31" s="15" t="n">
        <f aca="false">J29*J30</f>
        <v>5083.63368580238</v>
      </c>
      <c r="K31" s="15" t="n">
        <f aca="false">K29*K30</f>
        <v>4903.62210617617</v>
      </c>
      <c r="L31" s="15" t="n">
        <f aca="false">L29*L30</f>
        <v>4681.81436611039</v>
      </c>
    </row>
    <row r="33" customFormat="false" ht="15" hidden="false" customHeight="false" outlineLevel="0" collapsed="false">
      <c r="B33" s="5" t="s">
        <v>218</v>
      </c>
      <c r="C33" s="15" t="n">
        <f aca="false">SUM(C31:L31)</f>
        <v>51643.1272814786</v>
      </c>
    </row>
    <row r="34" customFormat="false" ht="15" hidden="false" customHeight="false" outlineLevel="0" collapsed="false">
      <c r="B34" s="5" t="s">
        <v>219</v>
      </c>
      <c r="C34" s="15" t="n">
        <f aca="false">L29*(1+Inputs!$C$37)/(WACC!$C$37-Inputs!$C$37)</f>
        <v>207528.661011984</v>
      </c>
    </row>
    <row r="35" customFormat="false" ht="15" hidden="false" customHeight="false" outlineLevel="0" collapsed="false">
      <c r="B35" s="5" t="s">
        <v>220</v>
      </c>
      <c r="C35" s="15" t="n">
        <f aca="false">C34*L30</f>
        <v>98821.5548845012</v>
      </c>
    </row>
    <row r="36" customFormat="false" ht="15" hidden="false" customHeight="false" outlineLevel="0" collapsed="false">
      <c r="B36" s="7" t="s">
        <v>221</v>
      </c>
      <c r="C36" s="15" t="n">
        <f aca="false">C33+C35</f>
        <v>150464.68216598</v>
      </c>
    </row>
    <row r="37" customFormat="false" ht="15" hidden="false" customHeight="false" outlineLevel="0" collapsed="false">
      <c r="B37" s="5" t="s">
        <v>222</v>
      </c>
      <c r="C37" s="16" t="n">
        <f aca="false">-Inputs!$C$27</f>
        <v>-20530</v>
      </c>
    </row>
    <row r="38" customFormat="false" ht="15" hidden="false" customHeight="false" outlineLevel="0" collapsed="false">
      <c r="B38" s="5" t="s">
        <v>223</v>
      </c>
      <c r="C38" s="16" t="n">
        <f aca="false">Inputs!$C$28</f>
        <v>1070</v>
      </c>
    </row>
    <row r="39" customFormat="false" ht="15" hidden="false" customHeight="false" outlineLevel="0" collapsed="false">
      <c r="B39" s="5" t="s">
        <v>224</v>
      </c>
      <c r="C39" s="15" t="n">
        <f aca="false">SUM(C36:C38)</f>
        <v>131004.68216598</v>
      </c>
    </row>
    <row r="40" customFormat="false" ht="15" hidden="false" customHeight="false" outlineLevel="0" collapsed="false">
      <c r="B40" s="5" t="s">
        <v>225</v>
      </c>
      <c r="C40" s="34" t="n">
        <f aca="false">Inputs!$C$7</f>
        <v>561.39</v>
      </c>
    </row>
    <row r="41" customFormat="false" ht="15" hidden="false" customHeight="false" outlineLevel="0" collapsed="false">
      <c r="B41" s="7" t="s">
        <v>226</v>
      </c>
      <c r="C41" s="44" t="n">
        <f aca="false">C39/C40</f>
        <v>233.357705277935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155.809686670586</v>
      </c>
    </row>
    <row r="43" customFormat="false" ht="15" hidden="false" customHeight="false" outlineLevel="0" collapsed="false">
      <c r="B43" s="5" t="s">
        <v>227</v>
      </c>
      <c r="C43" s="23" t="n">
        <f aca="false">C41/C42-1</f>
        <v>0.497709868137417</v>
      </c>
    </row>
    <row r="44" customFormat="false" ht="15" hidden="false" customHeight="false" outlineLevel="0" collapsed="false">
      <c r="B44" s="5" t="s">
        <v>228</v>
      </c>
      <c r="C44" s="23" t="n">
        <f aca="false">C35/C36</f>
        <v>0.656775752701153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230</v>
      </c>
    </row>
    <row r="3" customFormat="false" ht="15" hidden="false" customHeight="false" outlineLevel="0" collapsed="false">
      <c r="B3" s="2" t="s">
        <v>231</v>
      </c>
    </row>
    <row r="5" customFormat="false" ht="15" hidden="false" customHeight="false" outlineLevel="0" collapsed="false">
      <c r="B5" s="5" t="s">
        <v>232</v>
      </c>
      <c r="C5" s="24" t="n">
        <v>0.005</v>
      </c>
      <c r="D5" s="5" t="s">
        <v>233</v>
      </c>
      <c r="F5" s="24" t="n">
        <v>0.005</v>
      </c>
    </row>
    <row r="6" customFormat="false" ht="15" hidden="false" customHeight="false" outlineLevel="0" collapsed="false">
      <c r="B6" s="5" t="s">
        <v>234</v>
      </c>
      <c r="C6" s="24" t="n">
        <v>0.02</v>
      </c>
    </row>
    <row r="8" customFormat="false" ht="15" hidden="false" customHeight="false" outlineLevel="0" collapsed="false">
      <c r="B8" s="3" t="s">
        <v>235</v>
      </c>
    </row>
    <row r="9" customFormat="false" ht="15" hidden="false" customHeight="false" outlineLevel="0" collapsed="false">
      <c r="C9" s="45" t="n">
        <f aca="false">Inputs!$C$37+(0-2)*$F$5</f>
        <v>0.0183</v>
      </c>
      <c r="D9" s="45" t="n">
        <f aca="false">Inputs!$C$37+(1-2)*$F$5</f>
        <v>0.0233</v>
      </c>
      <c r="E9" s="45" t="n">
        <f aca="false">Inputs!$C$37+(2-2)*$F$5</f>
        <v>0.0283</v>
      </c>
      <c r="F9" s="45" t="n">
        <f aca="false">Inputs!$C$37+(3-2)*$F$5</f>
        <v>0.0333</v>
      </c>
      <c r="G9" s="45" t="n">
        <f aca="false">Inputs!$C$37+(4-2)*$F$5</f>
        <v>0.0383</v>
      </c>
    </row>
    <row r="10" customFormat="false" ht="15" hidden="false" customHeight="false" outlineLevel="0" collapsed="false">
      <c r="B10" s="45" t="n">
        <f aca="false">WACC!$C$37+(0-2)*$C$5</f>
        <v>0.0670172026214128</v>
      </c>
      <c r="C10" s="9" t="n">
        <f aca="false">Solver!$D$74</f>
        <v>0.0145999491214752</v>
      </c>
      <c r="D10" s="9" t="n">
        <f aca="false">Solver!$D$101</f>
        <v>0.000945538282394409</v>
      </c>
      <c r="E10" s="9" t="n">
        <f aca="false">Solver!$D$128</f>
        <v>-0.0143092572689056</v>
      </c>
      <c r="F10" s="9" t="n">
        <f aca="false">Solver!$D$155</f>
        <v>-0.0315844714641571</v>
      </c>
      <c r="G10" s="9" t="n">
        <f aca="false">Solver!$D$182</f>
        <v>-0.0514948666095734</v>
      </c>
      <c r="I10" s="19" t="s">
        <v>236</v>
      </c>
    </row>
    <row r="11" customFormat="false" ht="15" hidden="false" customHeight="false" outlineLevel="0" collapsed="false">
      <c r="B11" s="45" t="n">
        <f aca="false">WACC!$C$37+(1-2)*$C$5</f>
        <v>0.0720172026214128</v>
      </c>
      <c r="C11" s="9" t="n">
        <f aca="false">Solver!$D$209</f>
        <v>0.0311724245548248</v>
      </c>
      <c r="D11" s="9" t="n">
        <f aca="false">Solver!$D$236</f>
        <v>0.0187611281871796</v>
      </c>
      <c r="E11" s="9" t="n">
        <f aca="false">Solver!$D$263</f>
        <v>0.00504466891288757</v>
      </c>
      <c r="F11" s="9" t="n">
        <f aca="false">Solver!$D$290</f>
        <v>-0.0102787911891937</v>
      </c>
      <c r="G11" s="9" t="n">
        <f aca="false">Solver!$D$317</f>
        <v>-0.0276314318180084</v>
      </c>
    </row>
    <row r="12" customFormat="false" ht="15" hidden="false" customHeight="false" outlineLevel="0" collapsed="false">
      <c r="B12" s="45" t="n">
        <f aca="false">WACC!$C$37+(2-2)*$C$5</f>
        <v>0.0770172026214128</v>
      </c>
      <c r="C12" s="9" t="n">
        <f aca="false">Solver!$D$344</f>
        <v>0.0467685759067535</v>
      </c>
      <c r="D12" s="9" t="n">
        <f aca="false">Solver!$D$371</f>
        <v>0.035387247800827</v>
      </c>
      <c r="E12" s="8" t="n">
        <f aca="false">Solver!$D$398</f>
        <v>0.022919625043869</v>
      </c>
      <c r="F12" s="9" t="n">
        <f aca="false">Solver!$D$425</f>
        <v>0.00914129614830017</v>
      </c>
      <c r="G12" s="9" t="n">
        <f aca="false">Solver!$D$452</f>
        <v>-0.0062510073184967</v>
      </c>
    </row>
    <row r="13" customFormat="false" ht="15" hidden="false" customHeight="false" outlineLevel="0" collapsed="false">
      <c r="B13" s="45" t="n">
        <f aca="false">WACC!$C$37+(3-2)*$C$5</f>
        <v>0.0820172026214128</v>
      </c>
      <c r="C13" s="9" t="n">
        <f aca="false">Solver!$D$479</f>
        <v>0.0615462958812714</v>
      </c>
      <c r="D13" s="9" t="n">
        <f aca="false">Solver!$D$506</f>
        <v>0.0510325729846954</v>
      </c>
      <c r="E13" s="9" t="n">
        <f aca="false">Solver!$D$533</f>
        <v>0.0395995676517487</v>
      </c>
      <c r="F13" s="9" t="n">
        <f aca="false">Solver!$D$560</f>
        <v>0.0270756185054779</v>
      </c>
      <c r="G13" s="9" t="n">
        <f aca="false">Solver!$D$587</f>
        <v>0.0132352411746979</v>
      </c>
    </row>
    <row r="14" customFormat="false" ht="15" hidden="false" customHeight="false" outlineLevel="0" collapsed="false">
      <c r="B14" s="45" t="n">
        <f aca="false">WACC!$C$37+(4-2)*$C$5</f>
        <v>0.0870172026214128</v>
      </c>
      <c r="C14" s="9" t="n">
        <f aca="false">Solver!$D$614</f>
        <v>0.0756284296512604</v>
      </c>
      <c r="D14" s="9" t="n">
        <f aca="false">Solver!$D$641</f>
        <v>0.0658555328845978</v>
      </c>
      <c r="E14" s="9" t="n">
        <f aca="false">Solver!$D$668</f>
        <v>0.0552938878536224</v>
      </c>
      <c r="F14" s="9" t="n">
        <f aca="false">Solver!$D$695</f>
        <v>0.0438092052936554</v>
      </c>
      <c r="G14" s="9" t="n">
        <f aca="false">Solver!$D$722</f>
        <v>0.0312287509441376</v>
      </c>
    </row>
    <row r="17" customFormat="false" ht="15" hidden="false" customHeight="false" outlineLevel="0" collapsed="false">
      <c r="B17" s="3" t="s">
        <v>237</v>
      </c>
    </row>
    <row r="18" customFormat="false" ht="15" hidden="false" customHeight="false" outlineLevel="0" collapsed="false">
      <c r="C18" s="46" t="n">
        <f aca="false">Inputs!$C$45+(0-2)*$C$6</f>
        <v>0.0412</v>
      </c>
      <c r="D18" s="46" t="n">
        <f aca="false">Inputs!$C$45+(1-2)*$C$6</f>
        <v>0.0612</v>
      </c>
      <c r="E18" s="46" t="n">
        <f aca="false">Inputs!$C$45+(2-2)*$C$6</f>
        <v>0.0812</v>
      </c>
      <c r="F18" s="46" t="n">
        <f aca="false">Inputs!$C$45+(3-2)*$C$6</f>
        <v>0.1012</v>
      </c>
      <c r="G18" s="46" t="n">
        <f aca="false">Inputs!$C$45+(4-2)*$C$6</f>
        <v>0.1212</v>
      </c>
    </row>
    <row r="19" customFormat="false" ht="15" hidden="false" customHeight="false" outlineLevel="0" collapsed="false">
      <c r="B19" s="45" t="n">
        <f aca="false">WACC!$C$37+(0-2)*$C$5</f>
        <v>0.0670172026214128</v>
      </c>
      <c r="C19" s="40" t="n">
        <f aca="false">(SUMPRODUCT($C28:$L28,1/(1+$B19)^$C$27:$L$27)*Inputs!$C$23+$L28*Inputs!$C$23*(1+Inputs!$C$37)/($B19-Inputs!$C$37)/(1+$B19)^$L$27-Inputs!$C$27+Inputs!$C$28)/Inputs!$C$7</f>
        <v>232.895155958696</v>
      </c>
      <c r="D19" s="40" t="n">
        <f aca="false">(SUMPRODUCT($C29:$L29,1/(1+$B19)^$C$27:$L$27)*Inputs!$C$23+$L29*Inputs!$C$23*(1+Inputs!$C$37)/($B19-Inputs!$C$37)/(1+$B19)^$L$27-Inputs!$C$27+Inputs!$C$28)/Inputs!$C$7</f>
        <v>267.100677121824</v>
      </c>
      <c r="E19" s="40" t="n">
        <f aca="false">(SUMPRODUCT($C30:$L30,1/(1+$B19)^$C$27:$L$27)*Inputs!$C$23+$L30*Inputs!$C$23*(1+Inputs!$C$37)/($B19-Inputs!$C$37)/(1+$B19)^$L$27-Inputs!$C$27+Inputs!$C$28)/Inputs!$C$7</f>
        <v>305.277212099424</v>
      </c>
      <c r="F19" s="40" t="n">
        <f aca="false">(SUMPRODUCT($C31:$L31,1/(1+$B19)^$C$27:$L$27)*Inputs!$C$23+$L31*Inputs!$C$23*(1+Inputs!$C$37)/($B19-Inputs!$C$37)/(1+$B19)^$L$27-Inputs!$C$27+Inputs!$C$28)/Inputs!$C$7</f>
        <v>347.822956565245</v>
      </c>
      <c r="G19" s="40" t="n">
        <f aca="false">(SUMPRODUCT($C32:$L32,1/(1+$B19)^$C$27:$L$27)*Inputs!$C$23+$L32*Inputs!$C$23*(1+Inputs!$C$37)/($B19-Inputs!$C$37)/(1+$B19)^$L$27-Inputs!$C$27+Inputs!$C$28)/Inputs!$C$7</f>
        <v>395.169336951789</v>
      </c>
      <c r="I19" s="19" t="s">
        <v>238</v>
      </c>
    </row>
    <row r="20" customFormat="false" ht="15" hidden="false" customHeight="false" outlineLevel="0" collapsed="false">
      <c r="B20" s="45" t="n">
        <f aca="false">WACC!$C$37+(1-2)*$C$5</f>
        <v>0.0720172026214128</v>
      </c>
      <c r="C20" s="40" t="n">
        <f aca="false">(SUMPRODUCT($C28:$L28,1/(1+$B20)^$C$27:$L$27)*Inputs!$C$23+$L28*Inputs!$C$23*(1+Inputs!$C$37)/($B20-Inputs!$C$37)/(1+$B20)^$L$27-Inputs!$C$27+Inputs!$C$28)/Inputs!$C$7</f>
        <v>202.04521791358</v>
      </c>
      <c r="D20" s="40" t="n">
        <f aca="false">(SUMPRODUCT($C29:$L29,1/(1+$B20)^$C$27:$L$27)*Inputs!$C$23+$L29*Inputs!$C$23*(1+Inputs!$C$37)/($B20-Inputs!$C$37)/(1+$B20)^$L$27-Inputs!$C$27+Inputs!$C$28)/Inputs!$C$7</f>
        <v>231.896479968177</v>
      </c>
      <c r="E20" s="40" t="n">
        <f aca="false">(SUMPRODUCT($C30:$L30,1/(1+$B20)^$C$27:$L$27)*Inputs!$C$23+$L30*Inputs!$C$23*(1+Inputs!$C$37)/($B20-Inputs!$C$37)/(1+$B20)^$L$27-Inputs!$C$27+Inputs!$C$28)/Inputs!$C$7</f>
        <v>265.18874169176</v>
      </c>
      <c r="F20" s="40" t="n">
        <f aca="false">(SUMPRODUCT($C31:$L31,1/(1+$B20)^$C$27:$L$27)*Inputs!$C$23+$L31*Inputs!$C$23*(1+Inputs!$C$37)/($B20-Inputs!$C$37)/(1+$B20)^$L$27-Inputs!$C$27+Inputs!$C$28)/Inputs!$C$7</f>
        <v>302.2656527494</v>
      </c>
      <c r="G20" s="40" t="n">
        <f aca="false">(SUMPRODUCT($C32:$L32,1/(1+$B20)^$C$27:$L$27)*Inputs!$C$23+$L32*Inputs!$C$23*(1+Inputs!$C$37)/($B20-Inputs!$C$37)/(1+$B20)^$L$27-Inputs!$C$27+Inputs!$C$28)/Inputs!$C$7</f>
        <v>343.499460544776</v>
      </c>
    </row>
    <row r="21" customFormat="false" ht="15" hidden="false" customHeight="false" outlineLevel="0" collapsed="false">
      <c r="B21" s="45" t="n">
        <f aca="false">WACC!$C$37+(2-2)*$C$5</f>
        <v>0.0770172026214128</v>
      </c>
      <c r="C21" s="40" t="n">
        <f aca="false">(SUMPRODUCT($C28:$L28,1/(1+$B21)^$C$27:$L$27)*Inputs!$C$23+$L28*Inputs!$C$23*(1+Inputs!$C$37)/($B21-Inputs!$C$37)/(1+$B21)^$L$27-Inputs!$C$27+Inputs!$C$28)/Inputs!$C$7</f>
        <v>177.533507494975</v>
      </c>
      <c r="D21" s="40" t="n">
        <f aca="false">(SUMPRODUCT($C29:$L29,1/(1+$B21)^$C$27:$L$27)*Inputs!$C$23+$L29*Inputs!$C$23*(1+Inputs!$C$37)/($B21-Inputs!$C$37)/(1+$B21)^$L$27-Inputs!$C$27+Inputs!$C$28)/Inputs!$C$7</f>
        <v>203.934717943014</v>
      </c>
      <c r="E21" s="44" t="n">
        <f aca="false">(SUMPRODUCT($C30:$L30,1/(1+$B21)^$C$27:$L$27)*Inputs!$C$23+$L30*Inputs!$C$23*(1+Inputs!$C$37)/($B21-Inputs!$C$37)/(1+$B21)^$L$27-Inputs!$C$27+Inputs!$C$28)/Inputs!$C$7</f>
        <v>233.357705277935</v>
      </c>
      <c r="F21" s="40" t="n">
        <f aca="false">(SUMPRODUCT($C31:$L31,1/(1+$B21)^$C$27:$L$27)*Inputs!$C$23+$L31*Inputs!$C$23*(1+Inputs!$C$37)/($B21-Inputs!$C$37)/(1+$B21)^$L$27-Inputs!$C$27+Inputs!$C$28)/Inputs!$C$7</f>
        <v>266.103027482814</v>
      </c>
      <c r="G21" s="40" t="n">
        <f aca="false">(SUMPRODUCT($C32:$L32,1/(1+$B21)^$C$27:$L$27)*Inputs!$C$23+$L32*Inputs!$C$23*(1+Inputs!$C$37)/($B21-Inputs!$C$37)/(1+$B21)^$L$27-Inputs!$C$27+Inputs!$C$28)/Inputs!$C$7</f>
        <v>302.496183624685</v>
      </c>
    </row>
    <row r="22" customFormat="false" ht="15" hidden="false" customHeight="false" outlineLevel="0" collapsed="false">
      <c r="B22" s="45" t="n">
        <f aca="false">WACC!$C$37+(3-2)*$C$5</f>
        <v>0.0820172026214128</v>
      </c>
      <c r="C22" s="40" t="n">
        <f aca="false">(SUMPRODUCT($C28:$L28,1/(1+$B22)^$C$27:$L$27)*Inputs!$C$23+$L28*Inputs!$C$23*(1+Inputs!$C$37)/($B22-Inputs!$C$37)/(1+$B22)^$L$27-Inputs!$C$27+Inputs!$C$28)/Inputs!$C$7</f>
        <v>157.589963538098</v>
      </c>
      <c r="D22" s="40" t="n">
        <f aca="false">(SUMPRODUCT($C29:$L29,1/(1+$B22)^$C$27:$L$27)*Inputs!$C$23+$L29*Inputs!$C$23*(1+Inputs!$C$37)/($B22-Inputs!$C$37)/(1+$B22)^$L$27-Inputs!$C$27+Inputs!$C$28)/Inputs!$C$7</f>
        <v>181.192522467335</v>
      </c>
      <c r="E22" s="40" t="n">
        <f aca="false">(SUMPRODUCT($C30:$L30,1/(1+$B22)^$C$27:$L$27)*Inputs!$C$23+$L30*Inputs!$C$23*(1+Inputs!$C$37)/($B22-Inputs!$C$37)/(1+$B22)^$L$27-Inputs!$C$27+Inputs!$C$28)/Inputs!$C$7</f>
        <v>207.477424776111</v>
      </c>
      <c r="F22" s="40" t="n">
        <f aca="false">(SUMPRODUCT($C31:$L31,1/(1+$B22)^$C$27:$L$27)*Inputs!$C$23+$L31*Inputs!$C$23*(1+Inputs!$C$37)/($B22-Inputs!$C$37)/(1+$B22)^$L$27-Inputs!$C$27+Inputs!$C$28)/Inputs!$C$7</f>
        <v>236.710383782864</v>
      </c>
      <c r="G22" s="40" t="n">
        <f aca="false">(SUMPRODUCT($C32:$L32,1/(1+$B22)^$C$27:$L$27)*Inputs!$C$23+$L32*Inputs!$C$23*(1+Inputs!$C$37)/($B22-Inputs!$C$37)/(1+$B22)^$L$27-Inputs!$C$27+Inputs!$C$28)/Inputs!$C$7</f>
        <v>269.17910005757</v>
      </c>
    </row>
    <row r="23" customFormat="false" ht="15" hidden="false" customHeight="false" outlineLevel="0" collapsed="false">
      <c r="B23" s="45" t="n">
        <f aca="false">WACC!$C$37+(4-2)*$C$5</f>
        <v>0.0870172026214128</v>
      </c>
      <c r="C23" s="40" t="n">
        <f aca="false">(SUMPRODUCT($C28:$L28,1/(1+$B23)^$C$27:$L$27)*Inputs!$C$23+$L28*Inputs!$C$23*(1+Inputs!$C$37)/($B23-Inputs!$C$37)/(1+$B23)^$L$27-Inputs!$C$27+Inputs!$C$28)/Inputs!$C$7</f>
        <v>141.047441723434</v>
      </c>
      <c r="D23" s="40" t="n">
        <f aca="false">(SUMPRODUCT($C29:$L29,1/(1+$B23)^$C$27:$L$27)*Inputs!$C$23+$L29*Inputs!$C$23*(1+Inputs!$C$37)/($B23-Inputs!$C$37)/(1+$B23)^$L$27-Inputs!$C$27+Inputs!$C$28)/Inputs!$C$7</f>
        <v>162.336063463155</v>
      </c>
      <c r="E23" s="40" t="n">
        <f aca="false">(SUMPRODUCT($C30:$L30,1/(1+$B23)^$C$27:$L$27)*Inputs!$C$23+$L30*Inputs!$C$23*(1+Inputs!$C$37)/($B23-Inputs!$C$37)/(1+$B23)^$L$27-Inputs!$C$27+Inputs!$C$28)/Inputs!$C$7</f>
        <v>186.026944510847</v>
      </c>
      <c r="F23" s="40" t="n">
        <f aca="false">(SUMPRODUCT($C31:$L31,1/(1+$B23)^$C$27:$L$27)*Inputs!$C$23+$L31*Inputs!$C$23*(1+Inputs!$C$37)/($B23-Inputs!$C$37)/(1+$B23)^$L$27-Inputs!$C$27+Inputs!$C$28)/Inputs!$C$7</f>
        <v>212.357086034085</v>
      </c>
      <c r="G23" s="40" t="n">
        <f aca="false">(SUMPRODUCT($C32:$L32,1/(1+$B23)^$C$27:$L$27)*Inputs!$C$23+$L32*Inputs!$C$23*(1+Inputs!$C$37)/($B23-Inputs!$C$37)/(1+$B23)^$L$27-Inputs!$C$27+Inputs!$C$28)/Inputs!$C$7</f>
        <v>241.583045108242</v>
      </c>
    </row>
    <row r="26" customFormat="false" ht="15" hidden="false" customHeight="false" outlineLevel="0" collapsed="false">
      <c r="B26" s="19" t="s">
        <v>239</v>
      </c>
    </row>
    <row r="27" customFormat="false" ht="15" hidden="false" customHeight="false" outlineLevel="0" collapsed="false"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B28" s="23" t="n">
        <f aca="false">C$18</f>
        <v>0.0412</v>
      </c>
      <c r="C28" s="15" t="n">
        <f aca="false">Inputs!$C$12*(1+IF(C$27&lt;=Inputs!$C$46,$B28,$B28-($B28-Inputs!$C$37)*MIN(C$27-Inputs!$C$46,Inputs!$C$47)/Inputs!$C$47))</f>
        <v>10995.072</v>
      </c>
      <c r="D28" s="15" t="n">
        <f aca="false">C28*(1+IF(D$27&lt;=Inputs!$C$46,$B28,$B28-($B28-Inputs!$C$37)*MIN(D$27-Inputs!$C$46,Inputs!$C$47)/Inputs!$C$47))</f>
        <v>11448.0689664</v>
      </c>
      <c r="E28" s="15" t="n">
        <f aca="false">D28*(1+IF(E$27&lt;=Inputs!$C$46,$B28,$B28-($B28-Inputs!$C$37)*MIN(E$27-Inputs!$C$46,Inputs!$C$47)/Inputs!$C$47))</f>
        <v>11919.7294078157</v>
      </c>
      <c r="F28" s="15" t="n">
        <f aca="false">E28*(1+IF(F$27&lt;=Inputs!$C$46,$B28,$B28-($B28-Inputs!$C$37)*MIN(F$27-Inputs!$C$46,Inputs!$C$47)/Inputs!$C$47))</f>
        <v>12410.8222594177</v>
      </c>
      <c r="G28" s="15" t="n">
        <f aca="false">F28*(1+IF(G$27&lt;=Inputs!$C$46,$B28,$B28-($B28-Inputs!$C$37)*MIN(G$27-Inputs!$C$46,Inputs!$C$47)/Inputs!$C$47))</f>
        <v>12922.1481365057</v>
      </c>
      <c r="H28" s="15" t="n">
        <f aca="false">G28*(1+IF(H$27&lt;=Inputs!$C$46,$B28,$B28-($B28-Inputs!$C$37)*MIN(H$27-Inputs!$C$46,Inputs!$C$47)/Inputs!$C$47))</f>
        <v>13421.2014975375</v>
      </c>
      <c r="I28" s="15" t="n">
        <f aca="false">H28*(1+IF(I$27&lt;=Inputs!$C$46,$B28,$B28-($B28-Inputs!$C$37)*MIN(I$27-Inputs!$C$46,Inputs!$C$47)/Inputs!$C$47))</f>
        <v>13904.9015995088</v>
      </c>
      <c r="J28" s="15" t="n">
        <f aca="false">I28*(1+IF(J$27&lt;=Inputs!$C$46,$B28,$B28-($B28-Inputs!$C$37)*MIN(J$27-Inputs!$C$46,Inputs!$C$47)/Inputs!$C$47))</f>
        <v>14370.1596070284</v>
      </c>
      <c r="K28" s="15" t="n">
        <f aca="false">J28*(1+IF(K$27&lt;=Inputs!$C$46,$B28,$B28-($B28-Inputs!$C$37)*MIN(K$27-Inputs!$C$46,Inputs!$C$47)/Inputs!$C$47))</f>
        <v>14813.9101356934</v>
      </c>
      <c r="L28" s="15" t="n">
        <f aca="false">K28*(1+IF(L$27&lt;=Inputs!$C$46,$B28,$B28-($B28-Inputs!$C$37)*MIN(L$27-Inputs!$C$46,Inputs!$C$47)/Inputs!$C$47))</f>
        <v>15233.1437925335</v>
      </c>
    </row>
    <row r="29" customFormat="false" ht="15" hidden="false" customHeight="false" outlineLevel="0" collapsed="false">
      <c r="B29" s="23" t="n">
        <f aca="false">D$18</f>
        <v>0.0612</v>
      </c>
      <c r="C29" s="15" t="n">
        <f aca="false">Inputs!$C$12*(1+IF(C$27&lt;=Inputs!$C$46,$B29,$B29-($B29-Inputs!$C$37)*MIN(C$27-Inputs!$C$46,Inputs!$C$47)/Inputs!$C$47))</f>
        <v>11206.272</v>
      </c>
      <c r="D29" s="15" t="n">
        <f aca="false">C29*(1+IF(D$27&lt;=Inputs!$C$46,$B29,$B29-($B29-Inputs!$C$37)*MIN(D$27-Inputs!$C$46,Inputs!$C$47)/Inputs!$C$47))</f>
        <v>11892.0958464</v>
      </c>
      <c r="E29" s="15" t="n">
        <f aca="false">D29*(1+IF(E$27&lt;=Inputs!$C$46,$B29,$B29-($B29-Inputs!$C$37)*MIN(E$27-Inputs!$C$46,Inputs!$C$47)/Inputs!$C$47))</f>
        <v>12619.8921121997</v>
      </c>
      <c r="F29" s="15" t="n">
        <f aca="false">E29*(1+IF(F$27&lt;=Inputs!$C$46,$B29,$B29-($B29-Inputs!$C$37)*MIN(F$27-Inputs!$C$46,Inputs!$C$47)/Inputs!$C$47))</f>
        <v>13392.2295094663</v>
      </c>
      <c r="G29" s="15" t="n">
        <f aca="false">F29*(1+IF(G$27&lt;=Inputs!$C$46,$B29,$B29-($B29-Inputs!$C$37)*MIN(G$27-Inputs!$C$46,Inputs!$C$47)/Inputs!$C$47))</f>
        <v>14211.8339554456</v>
      </c>
      <c r="H29" s="15" t="n">
        <f aca="false">G29*(1+IF(H$27&lt;=Inputs!$C$46,$B29,$B29-($B29-Inputs!$C$37)*MIN(H$27-Inputs!$C$46,Inputs!$C$47)/Inputs!$C$47))</f>
        <v>14988.0843260921</v>
      </c>
      <c r="I29" s="15" t="n">
        <f aca="false">H29*(1+IF(I$27&lt;=Inputs!$C$46,$B29,$B29-($B29-Inputs!$C$37)*MIN(I$27-Inputs!$C$46,Inputs!$C$47)/Inputs!$C$47))</f>
        <v>15708.1118971175</v>
      </c>
      <c r="J29" s="15" t="n">
        <f aca="false">I29*(1+IF(J$27&lt;=Inputs!$C$46,$B29,$B29-($B29-Inputs!$C$37)*MIN(J$27-Inputs!$C$46,Inputs!$C$47)/Inputs!$C$47))</f>
        <v>16359.370216372</v>
      </c>
      <c r="K29" s="15" t="n">
        <f aca="false">J29*(1+IF(K$27&lt;=Inputs!$C$46,$B29,$B29-($B29-Inputs!$C$37)*MIN(K$27-Inputs!$C$46,Inputs!$C$47)/Inputs!$C$47))</f>
        <v>16929.9850495191</v>
      </c>
      <c r="L29" s="15" t="n">
        <f aca="false">K29*(1+IF(L$27&lt;=Inputs!$C$46,$B29,$B29-($B29-Inputs!$C$37)*MIN(L$27-Inputs!$C$46,Inputs!$C$47)/Inputs!$C$47))</f>
        <v>17409.1036264205</v>
      </c>
    </row>
    <row r="30" customFormat="false" ht="15" hidden="false" customHeight="false" outlineLevel="0" collapsed="false">
      <c r="B30" s="23" t="n">
        <f aca="false">E$18</f>
        <v>0.0812</v>
      </c>
      <c r="C30" s="15" t="n">
        <f aca="false">Inputs!$C$12*(1+IF(C$27&lt;=Inputs!$C$46,$B30,$B30-($B30-Inputs!$C$37)*MIN(C$27-Inputs!$C$46,Inputs!$C$47)/Inputs!$C$47))</f>
        <v>11417.472</v>
      </c>
      <c r="D30" s="15" t="n">
        <f aca="false">C30*(1+IF(D$27&lt;=Inputs!$C$46,$B30,$B30-($B30-Inputs!$C$37)*MIN(D$27-Inputs!$C$46,Inputs!$C$47)/Inputs!$C$47))</f>
        <v>12344.5707264</v>
      </c>
      <c r="E30" s="15" t="n">
        <f aca="false">D30*(1+IF(E$27&lt;=Inputs!$C$46,$B30,$B30-($B30-Inputs!$C$37)*MIN(E$27-Inputs!$C$46,Inputs!$C$47)/Inputs!$C$47))</f>
        <v>13346.9498693837</v>
      </c>
      <c r="F30" s="15" t="n">
        <f aca="false">E30*(1+IF(F$27&lt;=Inputs!$C$46,$B30,$B30-($B30-Inputs!$C$37)*MIN(F$27-Inputs!$C$46,Inputs!$C$47)/Inputs!$C$47))</f>
        <v>14430.7221987776</v>
      </c>
      <c r="G30" s="15" t="n">
        <f aca="false">F30*(1+IF(G$27&lt;=Inputs!$C$46,$B30,$B30-($B30-Inputs!$C$37)*MIN(G$27-Inputs!$C$46,Inputs!$C$47)/Inputs!$C$47))</f>
        <v>15602.4968413184</v>
      </c>
      <c r="H30" s="15" t="n">
        <f aca="false">G30*(1+IF(H$27&lt;=Inputs!$C$46,$B30,$B30-($B30-Inputs!$C$37)*MIN(H$27-Inputs!$C$46,Inputs!$C$47)/Inputs!$C$47))</f>
        <v>16704.3451682523</v>
      </c>
      <c r="I30" s="15" t="n">
        <f aca="false">H30*(1+IF(I$27&lt;=Inputs!$C$46,$B30,$B30-($B30-Inputs!$C$37)*MIN(I$27-Inputs!$C$46,Inputs!$C$47)/Inputs!$C$47))</f>
        <v>17707.2740521541</v>
      </c>
      <c r="J30" s="15" t="n">
        <f aca="false">I30*(1+IF(J$27&lt;=Inputs!$C$46,$B30,$B30-($B30-Inputs!$C$37)*MIN(J$27-Inputs!$C$46,Inputs!$C$47)/Inputs!$C$47))</f>
        <v>18583.0758267737</v>
      </c>
      <c r="K30" s="15" t="n">
        <f aca="false">J30*(1+IF(K$27&lt;=Inputs!$C$46,$B30,$B30-($B30-Inputs!$C$37)*MIN(K$27-Inputs!$C$46,Inputs!$C$47)/Inputs!$C$47))</f>
        <v>19305.5858149187</v>
      </c>
      <c r="L30" s="15" t="n">
        <f aca="false">K30*(1+IF(L$27&lt;=Inputs!$C$46,$B30,$B30-($B30-Inputs!$C$37)*MIN(L$27-Inputs!$C$46,Inputs!$C$47)/Inputs!$C$47))</f>
        <v>19851.9338934808</v>
      </c>
    </row>
    <row r="31" customFormat="false" ht="15" hidden="false" customHeight="false" outlineLevel="0" collapsed="false">
      <c r="B31" s="23" t="n">
        <f aca="false">F$18</f>
        <v>0.1012</v>
      </c>
      <c r="C31" s="15" t="n">
        <f aca="false">Inputs!$C$12*(1+IF(C$27&lt;=Inputs!$C$46,$B31,$B31-($B31-Inputs!$C$37)*MIN(C$27-Inputs!$C$46,Inputs!$C$47)/Inputs!$C$47))</f>
        <v>11628.672</v>
      </c>
      <c r="D31" s="15" t="n">
        <f aca="false">C31*(1+IF(D$27&lt;=Inputs!$C$46,$B31,$B31-($B31-Inputs!$C$37)*MIN(D$27-Inputs!$C$46,Inputs!$C$47)/Inputs!$C$47))</f>
        <v>12805.4936064</v>
      </c>
      <c r="E31" s="15" t="n">
        <f aca="false">D31*(1+IF(E$27&lt;=Inputs!$C$46,$B31,$B31-($B31-Inputs!$C$37)*MIN(E$27-Inputs!$C$46,Inputs!$C$47)/Inputs!$C$47))</f>
        <v>14101.4095593677</v>
      </c>
      <c r="F31" s="15" t="n">
        <f aca="false">E31*(1+IF(F$27&lt;=Inputs!$C$46,$B31,$B31-($B31-Inputs!$C$37)*MIN(F$27-Inputs!$C$46,Inputs!$C$47)/Inputs!$C$47))</f>
        <v>15528.4722067757</v>
      </c>
      <c r="G31" s="15" t="n">
        <f aca="false">F31*(1+IF(G$27&lt;=Inputs!$C$46,$B31,$B31-($B31-Inputs!$C$37)*MIN(G$27-Inputs!$C$46,Inputs!$C$47)/Inputs!$C$47))</f>
        <v>17099.9535941014</v>
      </c>
      <c r="H31" s="15" t="n">
        <f aca="false">G31*(1+IF(H$27&lt;=Inputs!$C$46,$B31,$B31-($B31-Inputs!$C$37)*MIN(H$27-Inputs!$C$46,Inputs!$C$47)/Inputs!$C$47))</f>
        <v>18581.1515744224</v>
      </c>
      <c r="I31" s="15" t="n">
        <f aca="false">H31*(1+IF(I$27&lt;=Inputs!$C$46,$B31,$B31-($B31-Inputs!$C$37)*MIN(I$27-Inputs!$C$46,Inputs!$C$47)/Inputs!$C$47))</f>
        <v>19919.7377338438</v>
      </c>
      <c r="J31" s="15" t="n">
        <f aca="false">I31*(1+IF(J$27&lt;=Inputs!$C$46,$B31,$B31-($B31-Inputs!$C$37)*MIN(J$27-Inputs!$C$46,Inputs!$C$47)/Inputs!$C$47))</f>
        <v>21064.3258640305</v>
      </c>
      <c r="K31" s="15" t="n">
        <f aca="false">J31*(1+IF(K$27&lt;=Inputs!$C$46,$B31,$B31-($B31-Inputs!$C$37)*MIN(K$27-Inputs!$C$46,Inputs!$C$47)/Inputs!$C$47))</f>
        <v>21967.5641570801</v>
      </c>
      <c r="L31" s="15" t="n">
        <f aca="false">K31*(1+IF(L$27&lt;=Inputs!$C$46,$B31,$B31-($B31-Inputs!$C$37)*MIN(L$27-Inputs!$C$46,Inputs!$C$47)/Inputs!$C$47))</f>
        <v>22589.2462227255</v>
      </c>
    </row>
    <row r="32" customFormat="false" ht="15" hidden="false" customHeight="false" outlineLevel="0" collapsed="false">
      <c r="B32" s="23" t="n">
        <f aca="false">G$18</f>
        <v>0.1212</v>
      </c>
      <c r="C32" s="15" t="n">
        <f aca="false">Inputs!$C$12*(1+IF(C$27&lt;=Inputs!$C$46,$B32,$B32-($B32-Inputs!$C$37)*MIN(C$27-Inputs!$C$46,Inputs!$C$47)/Inputs!$C$47))</f>
        <v>11839.872</v>
      </c>
      <c r="D32" s="15" t="n">
        <f aca="false">C32*(1+IF(D$27&lt;=Inputs!$C$46,$B32,$B32-($B32-Inputs!$C$37)*MIN(D$27-Inputs!$C$46,Inputs!$C$47)/Inputs!$C$47))</f>
        <v>13274.8644864</v>
      </c>
      <c r="E32" s="15" t="n">
        <f aca="false">D32*(1+IF(E$27&lt;=Inputs!$C$46,$B32,$B32-($B32-Inputs!$C$37)*MIN(E$27-Inputs!$C$46,Inputs!$C$47)/Inputs!$C$47))</f>
        <v>14883.7780621517</v>
      </c>
      <c r="F32" s="15" t="n">
        <f aca="false">E32*(1+IF(F$27&lt;=Inputs!$C$46,$B32,$B32-($B32-Inputs!$C$37)*MIN(F$27-Inputs!$C$46,Inputs!$C$47)/Inputs!$C$47))</f>
        <v>16687.6919632845</v>
      </c>
      <c r="G32" s="15" t="n">
        <f aca="false">F32*(1+IF(G$27&lt;=Inputs!$C$46,$B32,$B32-($B32-Inputs!$C$37)*MIN(G$27-Inputs!$C$46,Inputs!$C$47)/Inputs!$C$47))</f>
        <v>18710.2402292345</v>
      </c>
      <c r="H32" s="15" t="n">
        <f aca="false">G32*(1+IF(H$27&lt;=Inputs!$C$46,$B32,$B32-($B32-Inputs!$C$37)*MIN(H$27-Inputs!$C$46,Inputs!$C$47)/Inputs!$C$47))</f>
        <v>20630.2850815586</v>
      </c>
      <c r="I32" s="15" t="n">
        <f aca="false">H32*(1+IF(I$27&lt;=Inputs!$C$46,$B32,$B32-($B32-Inputs!$C$37)*MIN(I$27-Inputs!$C$46,Inputs!$C$47)/Inputs!$C$47))</f>
        <v>22364.0542398128</v>
      </c>
      <c r="J32" s="15" t="n">
        <f aca="false">I32*(1+IF(J$27&lt;=Inputs!$C$46,$B32,$B32-($B32-Inputs!$C$37)*MIN(J$27-Inputs!$C$46,Inputs!$C$47)/Inputs!$C$47))</f>
        <v>23828.0052303509</v>
      </c>
      <c r="K32" s="15" t="n">
        <f aca="false">J32*(1+IF(K$27&lt;=Inputs!$C$46,$B32,$B32-($B32-Inputs!$C$37)*MIN(K$27-Inputs!$C$46,Inputs!$C$47)/Inputs!$C$47))</f>
        <v>24945.0621155498</v>
      </c>
      <c r="L32" s="15" t="n">
        <f aca="false">K32*(1+IF(L$27&lt;=Inputs!$C$46,$B32,$B32-($B32-Inputs!$C$37)*MIN(L$27-Inputs!$C$46,Inputs!$C$47)/Inputs!$C$47))</f>
        <v>25651.0073734198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240</v>
      </c>
    </row>
    <row r="3" customFormat="false" ht="15" hidden="false" customHeight="false" outlineLevel="0" collapsed="false">
      <c r="B3" s="2" t="s">
        <v>241</v>
      </c>
    </row>
    <row r="5" customFormat="false" ht="15" hidden="false" customHeight="false" outlineLevel="0" collapsed="false">
      <c r="B5" s="28" t="s">
        <v>242</v>
      </c>
      <c r="C5" s="28" t="s">
        <v>243</v>
      </c>
      <c r="D5" s="28" t="s">
        <v>244</v>
      </c>
      <c r="E5" s="28" t="s">
        <v>245</v>
      </c>
      <c r="F5" s="28" t="s">
        <v>246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0.495265151515152</v>
      </c>
      <c r="D6" s="24" t="n">
        <v>0.49526515</v>
      </c>
      <c r="E6" s="47" t="n">
        <f aca="false">C6-D6</f>
        <v>1.51515150426107E-009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136</v>
      </c>
      <c r="C7" s="48" t="n">
        <f aca="false">WACC!$C$14</f>
        <v>0.609131529999621</v>
      </c>
      <c r="D7" s="49" t="n">
        <v>0.60913153</v>
      </c>
      <c r="E7" s="47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WACC!$C$37</f>
        <v>0.0770172026214128</v>
      </c>
      <c r="D8" s="24" t="n">
        <v>0.0770172</v>
      </c>
      <c r="E8" s="47" t="n">
        <f aca="false">C8-D8</f>
        <v>2.62141282292294E-009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7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247</v>
      </c>
      <c r="C10" s="12" t="n">
        <f aca="false">Inputs!$C$43</f>
        <v>0.0812</v>
      </c>
      <c r="D10" s="24" t="n">
        <v>0.0812</v>
      </c>
      <c r="E10" s="47" t="n">
        <f aca="false">C10-D10</f>
        <v>0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248</v>
      </c>
      <c r="C11" s="12" t="n">
        <f aca="false">Solver!$W$7</f>
        <v>0.0229197011617543</v>
      </c>
      <c r="D11" s="24" t="n">
        <v>0.02291971</v>
      </c>
      <c r="E11" s="47" t="n">
        <f aca="false">C11-D11</f>
        <v>-8.83824565270364E-009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249</v>
      </c>
      <c r="C12" s="12" t="n">
        <f aca="false">Sensitivity!$E$14</f>
        <v>0.0552938878536224</v>
      </c>
      <c r="D12" s="24" t="n">
        <v>0.05529393</v>
      </c>
      <c r="E12" s="47" t="n">
        <f aca="false">C12-D12</f>
        <v>-4.21463775615583E-008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250</v>
      </c>
      <c r="C13" s="6" t="n">
        <f aca="false">DCF!$C$41</f>
        <v>233.357705277935</v>
      </c>
      <c r="D13" s="20" t="n">
        <v>233.35770528</v>
      </c>
      <c r="E13" s="47" t="n">
        <f aca="false">C13-D13</f>
        <v>-2.06514982892259E-009</v>
      </c>
      <c r="F13" s="5" t="str">
        <f aca="false">IF(ABS(E13)&lt;=0.0233357705277935,"Pass","Check")</f>
        <v>Pass</v>
      </c>
    </row>
    <row r="14" customFormat="false" ht="15" hidden="false" customHeight="false" outlineLevel="0" collapsed="false">
      <c r="B14" s="5" t="s">
        <v>251</v>
      </c>
      <c r="C14" s="6" t="n">
        <f aca="false">DCF!$C$21-DCF!$C$22</f>
        <v>1.42483713716501E-009</v>
      </c>
      <c r="D14" s="20" t="n">
        <v>0</v>
      </c>
      <c r="E14" s="47" t="n">
        <f aca="false">C14-D14</f>
        <v>1.42483713716501E-009</v>
      </c>
      <c r="F14" s="5" t="str">
        <f aca="false">IF(ABS(E14)&lt;=0.01,"Pass","Check")</f>
        <v>Pass</v>
      </c>
      <c r="G14" s="19" t="s">
        <v>252</v>
      </c>
    </row>
    <row r="16" customFormat="false" ht="15" hidden="false" customHeight="false" outlineLevel="0" collapsed="false">
      <c r="B16" s="36" t="s">
        <v>253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2026-10-14T16:48:43Z</dcterms:created>
  <dc:creator>openpyxl</dc:creator>
  <dc:description/>
  <dc:language>en-US</dc:language>
  <cp:lastModifiedBy/>
  <dcterms:modified xsi:type="dcterms:W3CDTF">2026-10-14T16:48:43Z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