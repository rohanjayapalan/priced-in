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<sst xmlns="http://schemas.openxmlformats.org/spreadsheetml/2006/main" count="842" uniqueCount="249">
  <si>
    <t xml:space="preserve">Priced In: Moody's (MCO)</t>
  </si>
  <si>
    <t xml:space="preserve">Reverse DCF, model v1.0. Inputs as of the Oct 13, 2026 close; model locked Oct 14, 2026 (commit 0735af0).</t>
  </si>
  <si>
    <t xml:space="preserve">Ratings and indexes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</si>
  <si>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</si>
  <si>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</si>
  <si>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</si>
  <si>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</si>
  <si>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</si>
  <si>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</si>
  <si>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</si>
  <si>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</si>
  <si>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</si>
  <si>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</si>
  <si>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</si>
  <si>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</si>
  <si>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</si>
  <si>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</si>
  <si>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</si>
  <si>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</si>
  <si>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</si>
  <si>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</si>
  <si>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</si>
  <si>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</si>
  <si>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</si>
  <si>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</si>
  <si>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</si>
  <si>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</si>
  <si>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</si>
  <si>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</si>
  <si>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</si>
  <si>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Moody's (MCO):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</si>
  <si>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</si>
  <si>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</si>
  <si>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</si>
  <si>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</si>
  <si>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</si>
  <si>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</si>
  <si>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</si>
  <si>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</si>
  <si>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</si>
  <si>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</si>
  <si>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</si>
  <si>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</si>
  <si>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</si>
  <si>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</si>
  <si>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</si>
  <si>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</si>
  <si>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</si>
  <si>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</si>
  <si>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</si>
  <si>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</si>
  <si>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</si>
  <si>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</si>
  <si>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</si>
  <si>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</si>
  <si>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</si>
  <si>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</si>
  <si>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</si>
  <si>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</si>
  <si>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</si>
  <si>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</si>
  <si>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</si>
  <si>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</si>
  <si>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</si>
  <si>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</si>
  <si>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</si>
  <si>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</si>
  <si>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</si>
  <si>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</si>
  <si>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</si>
  <si>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</si>
  <si>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</si>
  <si>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</si>
  <si>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</si>
  <si>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</si>
  <si>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</si>
  <si>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</si>
  <si>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</si>
  <si>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</si>
  <si>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</si>
  <si>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</si>
  <si>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</si>
  <si>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</si>
  <si>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</si>
  <si>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</si>
  <si>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</si>
  <si>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</si>
  <si>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</si>
  <si>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</si>
  <si>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</si>
  <si>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</si>
  <si>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</si>
  <si>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</si>
  <si>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</si>
  <si>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Moody's (MCO):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</si>
  <si>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</si>
  <si>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</si>
  <si>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</si>
  <si>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</si>
  <si>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</si>
  <si>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</si>
  <si>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</si>
  <si>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</si>
  <si>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</si>
  <si>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</si>
  <si>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</si>
  <si>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</si>
  <si>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</si>
  <si>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</si>
  <si>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</si>
  <si>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</si>
  <si>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</si>
  <si>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</si>
  <si>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</si>
  <si>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</si>
  <si>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</si>
  <si>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</si>
  <si>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</si>
  <si>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</si>
  <si>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Moody's (MCO):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</si>
  <si>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</si>
  <si>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</si>
  <si>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</si>
  <si>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</si>
  <si>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</si>
  <si>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</si>
  <si>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S&amp;P Global (SPGI)</t>
  </si>
  <si>
    <t xml:space="preserve">Raw betas: 60 monthly returns to Sep 2026 against the S&amp;P 500 (S&amp;P/TSX for TMX); Cboe uses Stock Analysis's 5-year beta. Debt and equity from Stock Analysis, Oct 13, 2026.</t>
  </si>
  <si>
    <t xml:space="preserve">Moody's (MCO)</t>
  </si>
  <si>
    <t xml:space="preserve">MSCI (MSCI)</t>
  </si>
  <si>
    <t xml:space="preserve">Morningstar (MORN)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</si>
  <si>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</si>
  <si>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</si>
  <si>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</si>
  <si>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</si>
  <si>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</si>
  <si>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</si>
  <si>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</si>
  <si>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</si>
  <si>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</si>
  <si>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</si>
  <si>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</si>
  <si>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</si>
  <si>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</si>
  <si>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</si>
  <si>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</si>
  <si>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</si>
  <si>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</si>
  <si>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</si>
  <si>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</si>
  <si>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</si>
  <si>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</si>
  <si>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</si>
  <si>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</si>
  <si>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</si>
  <si>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</si>
  <si>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</si>
  <si>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</si>
  <si>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</si>
  <si>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</si>
  <si>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</si>
  <si>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</si>
  <si>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</si>
  <si>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</si>
  <si>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</si>
  <si>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</si>
  <si>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</si>
  <si>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</si>
  <si>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</si>
  <si>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</si>
  <si>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</si>
  <si>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</si>
  <si>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</si>
  <si>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</si>
  <si>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</si>
  <si>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</si>
  <si>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</si>
  <si>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</si>
  <si>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</si>
  <si>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</si>
  <si>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</si>
  <si>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</si>
  <si>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</si>
  <si>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</si>
  <si>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</si>
  <si>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</si>
  <si>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</si>
  <si>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</si>
  <si>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</si>
  <si>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</si>
  <si>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</si>
  <si>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</si>
  <si>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</si>
  <si>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</si>
  <si>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</si>
  <si>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</si>
  <si>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</si>
  <si>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</si>
  <si>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</si>
  <si>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</si>
  <si>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</si>
  <si>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</si>
  <si>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</si>
  <si>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</si>
  <si>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</si>
  <si>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</si>
  <si>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</si>
  <si>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Moody's (MCO):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</si>
  <si>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</si>
  <si>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</si>
  <si>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</si>
  <si>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</si>
  <si>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</si>
  <si>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</si>
  <si>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</si>
  <si>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</si>
  <si>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</si>
  <si>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</si>
  <si>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</si>
  <si>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</si>
  <si>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</si>
  <si>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</si>
  <si>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</si>
  <si>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</si>
  <si>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</si>
  <si>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Moody's (MCO):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</si>
  <si>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</si>
  <si>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</si>
  <si>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</si>
  <si>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</si>
  <si>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</si>
  <si>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</si>
  <si>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</si>
  <si>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$464.14.</t>
  </si>
  <si>
    <t xml:space="preserve">Helper: revenue paths for each growth view (years 1 to 10)</t>
  </si>
  <si>
    <t xml:space="preserve">Moody's (MCO):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</si>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</sst>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464.141355814759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0.136265557175193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0.0679801941070893</v>
      </c>
    </row>
    <row r="13" customFormat="false" ht="15" hidden="false" customHeight="false" outlineLevel="0" collapsed="false">
      <c r="B13" s="7" t="s">
        <v>9</v>
      </c>
      <c r="C13" s="10" t="n">
        <f aca="false">C11-C12</f>
        <v>0.0682853630681037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high</v>
      </c>
    </row>
    <row r="15" customFormat="false" ht="15" hidden="false" customHeight="false" outlineLevel="0" collapsed="false">
      <c r="B15" s="5" t="s">
        <v>11</v>
      </c>
      <c r="C15" s="12" t="n">
        <f aca="false">WACC!$C$34</f>
        <v>0.0953160519233867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0.379595588235294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0.0679801941070892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307.490005314567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-0.337507848713901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8160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0.0679801941070892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464.141355814759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173.18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80380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8160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8160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2970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2970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2970</v>
      </c>
    </row>
    <row r="17" customFormat="false" ht="15" hidden="false" customHeight="false" outlineLevel="0" collapsed="false">
      <c r="B17" s="5" t="s">
        <v>50</v>
      </c>
      <c r="C17" s="14" t="n">
        <v>3770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3600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170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127.5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3097.5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0.379595588235294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4050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7620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1500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6120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0.0622603882141786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0.0737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0.0679801941070893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0.0679801941070892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6218</v>
      </c>
      <c r="D6" s="14" t="n">
        <v>5468</v>
      </c>
      <c r="E6" s="14" t="n">
        <v>5916</v>
      </c>
      <c r="F6" s="14" t="n">
        <v>7088</v>
      </c>
      <c r="G6" s="14" t="n">
        <v>7718</v>
      </c>
      <c r="H6" s="14" t="n">
        <v>8160</v>
      </c>
    </row>
    <row r="7" customFormat="false" ht="15" hidden="false" customHeight="false" outlineLevel="0" collapsed="false">
      <c r="B7" s="5" t="s">
        <v>104</v>
      </c>
      <c r="D7" s="23" t="n">
        <f aca="false">D6/C6-1</f>
        <v>-0.120617561917015</v>
      </c>
      <c r="E7" s="23" t="n">
        <f aca="false">E6/D6-1</f>
        <v>0.0819312362838331</v>
      </c>
      <c r="F7" s="23" t="n">
        <f aca="false">F6/E6-1</f>
        <v>0.198106828938472</v>
      </c>
      <c r="G7" s="23" t="n">
        <f aca="false">G6/F6-1</f>
        <v>0.0888826185101581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0.0622603882141786</v>
      </c>
      <c r="I12" s="19" t="s">
        <v>81</v>
      </c>
    </row>
    <row r="15" customFormat="false" ht="15" hidden="false" customHeight="false" outlineLevel="0" collapsed="false">
      <c r="B15" s="3" t="s">
        <v>109</v>
      </c>
    </row>
    <row r="16" customFormat="false" ht="15" hidden="false" customHeight="false" outlineLevel="0" collapsed="false">
      <c r="B16" s="28" t="s">
        <v>96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</row>
    <row r="17" customFormat="false" ht="15" hidden="false" customHeight="false" outlineLevel="0" collapsed="false">
      <c r="B17" s="5" t="s">
        <v>115</v>
      </c>
      <c r="C17" s="22" t="n">
        <v>0.3001</v>
      </c>
      <c r="D17" s="22" t="n">
        <v>0.2178</v>
      </c>
      <c r="E17" s="22" t="n">
        <v>0.3178</v>
      </c>
      <c r="F17" s="22" t="n">
        <v>0.3557</v>
      </c>
      <c r="G17" s="22" t="n">
        <v>0.3337</v>
      </c>
      <c r="I17" s="19" t="s">
        <v>116</v>
      </c>
    </row>
    <row r="18" customFormat="false" ht="15" hidden="false" customHeight="false" outlineLevel="0" collapsed="false">
      <c r="B18" s="5" t="s">
        <v>117</v>
      </c>
      <c r="C18" s="23" t="n">
        <f aca="false">C17+(Inputs!$C$23-Inputs!$C$16/Inputs!$C$12)</f>
        <v>0.315725</v>
      </c>
      <c r="D18" s="23" t="n">
        <f aca="false">D17+(Inputs!$C$23-Inputs!$C$16/Inputs!$C$12)</f>
        <v>0.233425</v>
      </c>
      <c r="E18" s="23" t="n">
        <f aca="false">E17+(Inputs!$C$23-Inputs!$C$16/Inputs!$C$12)</f>
        <v>0.333425</v>
      </c>
      <c r="F18" s="23" t="n">
        <f aca="false">F17+(Inputs!$C$23-Inputs!$C$16/Inputs!$C$12)</f>
        <v>0.371325</v>
      </c>
      <c r="G18" s="23" t="n">
        <f aca="false">G17+(Inputs!$C$23-Inputs!$C$16/Inputs!$C$12)</f>
        <v>0.349325</v>
      </c>
    </row>
    <row r="19" customFormat="false" ht="15" hidden="false" customHeight="false" outlineLevel="0" collapsed="false">
      <c r="B19" s="5" t="s">
        <v>118</v>
      </c>
      <c r="C19" s="23" t="n">
        <f aca="false">MIN(C18:G18)</f>
        <v>0.233425</v>
      </c>
      <c r="D19" s="23" t="n">
        <f aca="false">MAX(C18:G18)</f>
        <v>0.371325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28" t="s">
        <v>121</v>
      </c>
      <c r="C5" s="28" t="s">
        <v>122</v>
      </c>
      <c r="D5" s="28" t="s">
        <v>123</v>
      </c>
      <c r="E5" s="28" t="s">
        <v>124</v>
      </c>
      <c r="F5" s="28" t="s">
        <v>55</v>
      </c>
      <c r="G5" s="28" t="s">
        <v>125</v>
      </c>
    </row>
    <row r="6" customFormat="false" ht="15" hidden="false" customHeight="false" outlineLevel="0" collapsed="false">
      <c r="B6" s="5" t="s">
        <v>126</v>
      </c>
      <c r="C6" s="31" t="n">
        <v>1.09250166626551</v>
      </c>
      <c r="D6" s="14" t="n">
        <v>15750</v>
      </c>
      <c r="E6" s="14" t="n">
        <v>120850</v>
      </c>
      <c r="F6" s="22" t="n">
        <v>0.25</v>
      </c>
      <c r="G6" s="32" t="n">
        <f aca="false">C6/(1+(1-F6)*D6/E6)</f>
        <v>0.995223415570996</v>
      </c>
      <c r="H6" s="19" t="s">
        <v>127</v>
      </c>
    </row>
    <row r="7" customFormat="false" ht="15" hidden="false" customHeight="false" outlineLevel="0" collapsed="false">
      <c r="B7" s="7" t="s">
        <v>128</v>
      </c>
      <c r="C7" s="31" t="n">
        <v>1.3479366702065</v>
      </c>
      <c r="D7" s="14" t="n">
        <v>7620</v>
      </c>
      <c r="E7" s="14" t="n">
        <v>80380</v>
      </c>
      <c r="F7" s="22" t="n">
        <v>0.25</v>
      </c>
      <c r="G7" s="32" t="n">
        <f aca="false">C7/(1+(1-F7)*D7/E7)</f>
        <v>1.2584604164144</v>
      </c>
    </row>
    <row r="8" customFormat="false" ht="15" hidden="false" customHeight="false" outlineLevel="0" collapsed="false">
      <c r="B8" s="5" t="s">
        <v>129</v>
      </c>
      <c r="C8" s="31" t="n">
        <v>1.24194634399389</v>
      </c>
      <c r="D8" s="14" t="n">
        <v>6540</v>
      </c>
      <c r="E8" s="14" t="n">
        <v>40770</v>
      </c>
      <c r="F8" s="22" t="n">
        <v>0.25</v>
      </c>
      <c r="G8" s="32" t="n">
        <f aca="false">C8/(1+(1-F8)*D8/E8)</f>
        <v>1.10857476616597</v>
      </c>
    </row>
    <row r="9" customFormat="false" ht="15" hidden="false" customHeight="false" outlineLevel="0" collapsed="false">
      <c r="B9" s="5" t="s">
        <v>130</v>
      </c>
      <c r="C9" s="31" t="n">
        <v>1.02503279266652</v>
      </c>
      <c r="D9" s="14" t="n">
        <v>1900</v>
      </c>
      <c r="E9" s="14" t="n">
        <v>7670</v>
      </c>
      <c r="F9" s="22" t="n">
        <v>0.25</v>
      </c>
      <c r="G9" s="32" t="n">
        <f aca="false">C9/(1+(1-F9)*D9/E9)</f>
        <v>0.864431173144824</v>
      </c>
    </row>
    <row r="11" customFormat="false" ht="15" hidden="false" customHeight="false" outlineLevel="0" collapsed="false">
      <c r="B11" s="5" t="s">
        <v>131</v>
      </c>
      <c r="C11" s="32" t="n">
        <f aca="false">MEDIAN(G6:G9)</f>
        <v>1.05189909086848</v>
      </c>
    </row>
    <row r="12" customFormat="false" ht="15" hidden="false" customHeight="false" outlineLevel="0" collapsed="false">
      <c r="B12" s="5" t="s">
        <v>123</v>
      </c>
      <c r="C12" s="16" t="n">
        <f aca="false">Inputs!$C$27</f>
        <v>7620</v>
      </c>
    </row>
    <row r="13" customFormat="false" ht="15" hidden="false" customHeight="false" outlineLevel="0" collapsed="false">
      <c r="B13" s="5" t="s">
        <v>37</v>
      </c>
      <c r="C13" s="16" t="n">
        <f aca="false">Inputs!$C$8</f>
        <v>80380</v>
      </c>
    </row>
    <row r="14" customFormat="false" ht="15" hidden="false" customHeight="false" outlineLevel="0" collapsed="false">
      <c r="B14" s="5" t="s">
        <v>55</v>
      </c>
      <c r="C14" s="9" t="n">
        <f aca="false">Inputs!$C$20</f>
        <v>0.25</v>
      </c>
    </row>
    <row r="15" customFormat="false" ht="15" hidden="false" customHeight="false" outlineLevel="0" collapsed="false">
      <c r="B15" s="5" t="s">
        <v>132</v>
      </c>
      <c r="C15" s="32" t="n">
        <f aca="false">WACC!$C$11*(1+(1-WACC!$C$14)*WACC!$C$12/WACC!$C$13)</f>
        <v>1.12668888067084</v>
      </c>
      <c r="H15" s="19" t="s">
        <v>133</v>
      </c>
    </row>
    <row r="16" customFormat="false" ht="15" hidden="false" customHeight="false" outlineLevel="0" collapsed="false">
      <c r="B16" s="5" t="s">
        <v>134</v>
      </c>
      <c r="C16" s="12" t="n">
        <f aca="false">Inputs!$C$35</f>
        <v>0.0521</v>
      </c>
    </row>
    <row r="17" customFormat="false" ht="15" hidden="false" customHeight="false" outlineLevel="0" collapsed="false">
      <c r="B17" s="5" t="s">
        <v>77</v>
      </c>
      <c r="C17" s="12" t="n">
        <f aca="false">Inputs!$C$38</f>
        <v>0.0423</v>
      </c>
    </row>
    <row r="18" customFormat="false" ht="15" hidden="false" customHeight="false" outlineLevel="0" collapsed="false">
      <c r="B18" s="5" t="s">
        <v>135</v>
      </c>
      <c r="C18" s="25" t="n">
        <f aca="false">WACC!$C$16+WACC!$C$15*WACC!$C$17</f>
        <v>0.0997589396523766</v>
      </c>
      <c r="H18" s="19" t="s">
        <v>136</v>
      </c>
    </row>
    <row r="20" customFormat="false" ht="15" hidden="false" customHeight="false" outlineLevel="0" collapsed="false">
      <c r="B20" s="3" t="s">
        <v>137</v>
      </c>
    </row>
    <row r="21" customFormat="false" ht="15" hidden="false" customHeight="false" outlineLevel="0" collapsed="false">
      <c r="B21" s="28" t="s">
        <v>138</v>
      </c>
      <c r="C21" s="28" t="s">
        <v>139</v>
      </c>
    </row>
    <row r="22" customFormat="false" ht="15" hidden="false" customHeight="false" outlineLevel="0" collapsed="false">
      <c r="B22" s="33" t="n">
        <v>1</v>
      </c>
      <c r="C22" s="24" t="n">
        <v>0.01</v>
      </c>
      <c r="H22" s="19" t="s">
        <v>140</v>
      </c>
    </row>
    <row r="23" customFormat="false" ht="15" hidden="false" customHeight="false" outlineLevel="0" collapsed="false">
      <c r="B23" s="33" t="n">
        <v>2</v>
      </c>
      <c r="C23" s="24" t="n">
        <v>0.0125</v>
      </c>
    </row>
    <row r="24" customFormat="false" ht="15" hidden="false" customHeight="false" outlineLevel="0" collapsed="false">
      <c r="B24" s="33" t="n">
        <v>3</v>
      </c>
      <c r="C24" s="24" t="n">
        <v>0.016</v>
      </c>
    </row>
    <row r="25" customFormat="false" ht="15" hidden="false" customHeight="false" outlineLevel="0" collapsed="false">
      <c r="B25" s="33" t="n">
        <v>4</v>
      </c>
      <c r="C25" s="24" t="n">
        <v>0.02</v>
      </c>
    </row>
    <row r="26" customFormat="false" ht="15" hidden="false" customHeight="false" outlineLevel="0" collapsed="false">
      <c r="B26" s="33" t="n">
        <v>99</v>
      </c>
      <c r="C26" s="24" t="n">
        <v>0.0275</v>
      </c>
    </row>
    <row r="28" customFormat="false" ht="15" hidden="false" customHeight="false" outlineLevel="0" collapsed="false">
      <c r="B28" s="5" t="s">
        <v>141</v>
      </c>
      <c r="C28" s="34" t="n">
        <f aca="false">Inputs!$C$27/Inputs!$C$24</f>
        <v>1.88148148148148</v>
      </c>
    </row>
    <row r="29" customFormat="false" ht="15" hidden="false" customHeight="false" outlineLevel="0" collapsed="false">
      <c r="B29" s="5" t="s">
        <v>142</v>
      </c>
      <c r="C29" s="25" t="n">
        <f aca="false">INDEX(C22:C26,COUNTIF(B22:B26,"&lt;="&amp;WACC!$C$28)+1)</f>
        <v>0.0125</v>
      </c>
      <c r="H29" s="19" t="s">
        <v>143</v>
      </c>
    </row>
    <row r="30" customFormat="false" ht="15" hidden="false" customHeight="false" outlineLevel="0" collapsed="false">
      <c r="B30" s="5" t="s">
        <v>144</v>
      </c>
      <c r="C30" s="25" t="n">
        <f aca="false">WACC!$C$16+WACC!$C$29</f>
        <v>0.0646</v>
      </c>
    </row>
    <row r="31" customFormat="false" ht="15" hidden="false" customHeight="false" outlineLevel="0" collapsed="false">
      <c r="B31" s="5" t="s">
        <v>145</v>
      </c>
      <c r="C31" s="25" t="n">
        <f aca="false">WACC!$C$30*(1-WACC!$C$14)</f>
        <v>0.04845</v>
      </c>
    </row>
    <row r="32" customFormat="false" ht="15" hidden="false" customHeight="false" outlineLevel="0" collapsed="false">
      <c r="B32" s="5" t="s">
        <v>146</v>
      </c>
      <c r="C32" s="23" t="n">
        <f aca="false">WACC!$C$12/(WACC!$C$12+WACC!$C$13)</f>
        <v>0.0865909090909091</v>
      </c>
      <c r="H32" s="19" t="s">
        <v>147</v>
      </c>
    </row>
    <row r="33" customFormat="false" ht="15" hidden="false" customHeight="false" outlineLevel="0" collapsed="false">
      <c r="B33" s="5" t="s">
        <v>148</v>
      </c>
      <c r="C33" s="23" t="n">
        <f aca="false">1-WACC!$C$32</f>
        <v>0.913409090909091</v>
      </c>
    </row>
    <row r="34" customFormat="false" ht="15" hidden="false" customHeight="false" outlineLevel="0" collapsed="false">
      <c r="B34" s="5" t="s">
        <v>11</v>
      </c>
      <c r="C34" s="35" t="n">
        <f aca="false">WACC!$C$33*WACC!$C$18+WACC!$C$32*WACC!$C$31</f>
        <v>0.0953160519233867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149</v>
      </c>
    </row>
    <row r="2" customFormat="false" ht="15" hidden="false" customHeight="false" outlineLevel="0" collapsed="false">
      <c r="B2" s="5" t="s">
        <v>150</v>
      </c>
      <c r="C2" s="16" t="n">
        <f aca="false">Inputs!$C$12</f>
        <v>8160</v>
      </c>
      <c r="D2" s="5" t="s">
        <v>151</v>
      </c>
      <c r="E2" s="9" t="n">
        <f aca="false">Inputs!$C$23</f>
        <v>0.379595588235294</v>
      </c>
      <c r="F2" s="5" t="s">
        <v>152</v>
      </c>
      <c r="G2" s="16" t="n">
        <f aca="false">Inputs!$C$27</f>
        <v>7620</v>
      </c>
      <c r="H2" s="5" t="s">
        <v>153</v>
      </c>
      <c r="I2" s="16" t="n">
        <f aca="false">Inputs!$C$28</f>
        <v>1500</v>
      </c>
      <c r="J2" s="5" t="s">
        <v>154</v>
      </c>
      <c r="K2" s="36" t="n">
        <f aca="false">Inputs!$C$7</f>
        <v>173.18</v>
      </c>
      <c r="L2" s="5" t="s">
        <v>155</v>
      </c>
      <c r="M2" s="6" t="n">
        <f aca="false">Inputs!$C$6</f>
        <v>464.141355814759</v>
      </c>
      <c r="N2" s="5" t="s">
        <v>156</v>
      </c>
      <c r="O2" s="37" t="n">
        <f aca="false">Inputs!$C$46</f>
        <v>5</v>
      </c>
      <c r="P2" s="5" t="s">
        <v>157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158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159</v>
      </c>
    </row>
    <row r="6" customFormat="false" ht="15" hidden="false" customHeight="false" outlineLevel="0" collapsed="false">
      <c r="A6" s="38" t="s">
        <v>160</v>
      </c>
      <c r="E6" s="5" t="s">
        <v>11</v>
      </c>
      <c r="F6" s="12" t="n">
        <f aca="false">WACC!$C$34</f>
        <v>0.0953160519233867</v>
      </c>
      <c r="G6" s="5" t="s">
        <v>12</v>
      </c>
      <c r="I6" s="12" t="n">
        <f aca="false">Inputs!$C$37</f>
        <v>0.0283</v>
      </c>
      <c r="W6" s="38" t="s">
        <v>161</v>
      </c>
    </row>
    <row r="7" customFormat="false" ht="23.85" hidden="false" customHeight="false" outlineLevel="0" collapsed="false">
      <c r="A7" s="38" t="s">
        <v>162</v>
      </c>
      <c r="B7" s="28" t="s">
        <v>163</v>
      </c>
      <c r="C7" s="28" t="s">
        <v>164</v>
      </c>
      <c r="D7" s="28" t="s">
        <v>165</v>
      </c>
      <c r="E7" s="28" t="s">
        <v>166</v>
      </c>
      <c r="F7" s="28" t="s">
        <v>167</v>
      </c>
      <c r="G7" s="28" t="s">
        <v>168</v>
      </c>
      <c r="H7" s="28" t="s">
        <v>169</v>
      </c>
      <c r="I7" s="28" t="s">
        <v>170</v>
      </c>
      <c r="J7" s="28" t="s">
        <v>171</v>
      </c>
      <c r="K7" s="28" t="s">
        <v>172</v>
      </c>
      <c r="L7" s="28" t="s">
        <v>173</v>
      </c>
      <c r="M7" s="28" t="s">
        <v>174</v>
      </c>
      <c r="N7" s="28" t="s">
        <v>175</v>
      </c>
      <c r="O7" s="28" t="s">
        <v>176</v>
      </c>
      <c r="P7" s="28" t="s">
        <v>177</v>
      </c>
      <c r="Q7" s="28" t="s">
        <v>178</v>
      </c>
      <c r="R7" s="28" t="s">
        <v>179</v>
      </c>
      <c r="S7" s="28" t="s">
        <v>180</v>
      </c>
      <c r="T7" s="28" t="s">
        <v>181</v>
      </c>
      <c r="W7" s="40" t="n">
        <f aca="false">$D$47</f>
        <v>0.136265557175193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10200</v>
      </c>
      <c r="F8" s="15" t="n">
        <f aca="false">E8*(1+IF(F$3&lt;=$O$2,$D8,$D8-($D8-$I$6)*MIN(F$3-$O$2,$Q$2)/$Q$2))</f>
        <v>12750</v>
      </c>
      <c r="G8" s="15" t="n">
        <f aca="false">F8*(1+IF(G$3&lt;=$O$2,$D8,$D8-($D8-$I$6)*MIN(G$3-$O$2,$Q$2)/$Q$2))</f>
        <v>15937.5</v>
      </c>
      <c r="H8" s="15" t="n">
        <f aca="false">G8*(1+IF(H$3&lt;=$O$2,$D8,$D8-($D8-$I$6)*MIN(H$3-$O$2,$Q$2)/$Q$2))</f>
        <v>19921.875</v>
      </c>
      <c r="I8" s="15" t="n">
        <f aca="false">H8*(1+IF(I$3&lt;=$O$2,$D8,$D8-($D8-$I$6)*MIN(I$3-$O$2,$Q$2)/$Q$2))</f>
        <v>24902.34375</v>
      </c>
      <c r="J8" s="15" t="n">
        <f aca="false">I8*(1+IF(J$3&lt;=$O$2,$D8,$D8-($D8-$I$6)*MIN(J$3-$O$2,$Q$2)/$Q$2))</f>
        <v>30023.759765625</v>
      </c>
      <c r="K8" s="15" t="n">
        <f aca="false">J8*(1+IF(K$3&lt;=$O$2,$D8,$D8-($D8-$I$6)*MIN(K$3-$O$2,$Q$2)/$Q$2))</f>
        <v>34867.1926910156</v>
      </c>
      <c r="L8" s="15" t="n">
        <f aca="false">K8*(1+IF(L$3&lt;=$O$2,$D8,$D8-($D8-$I$6)*MIN(L$3-$O$2,$Q$2)/$Q$2))</f>
        <v>38945.9568920106</v>
      </c>
      <c r="M8" s="15" t="n">
        <f aca="false">L8*(1+IF(M$3&lt;=$O$2,$D8,$D8-($D8-$I$6)*MIN(M$3-$O$2,$Q$2)/$Q$2))</f>
        <v>41774.9912006463</v>
      </c>
      <c r="N8" s="15" t="n">
        <f aca="false">M8*(1+IF(N$3&lt;=$O$2,$D8,$D8-($D8-$I$6)*MIN(N$3-$O$2,$Q$2)/$Q$2))</f>
        <v>42957.2234516246</v>
      </c>
      <c r="O8" s="15" t="n">
        <f aca="false">SUMPRODUCT(E8:N8,1/(1+$F$6)^$E$3:$N$3)*$E$2</f>
        <v>57706.5120020159</v>
      </c>
      <c r="P8" s="15" t="n">
        <f aca="false">N8*$E$2*(1+$I$6)/($F$6-$I$6)/(1+$F$6)^$N$3</f>
        <v>100670.872544547</v>
      </c>
      <c r="Q8" s="15" t="n">
        <f aca="false">O8+P8</f>
        <v>158377.384546563</v>
      </c>
      <c r="R8" s="15" t="n">
        <f aca="false">Q8-$G$2+$I$2</f>
        <v>152257.384546563</v>
      </c>
      <c r="S8" s="42" t="n">
        <f aca="false">R8/$K$2</f>
        <v>879.18572899043</v>
      </c>
      <c r="T8" s="43" t="n">
        <f aca="false">S8-$M$2</f>
        <v>415.04437317567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7140</v>
      </c>
      <c r="F9" s="15" t="n">
        <f aca="false">E9*(1+IF(F$3&lt;=$O$2,$D9,$D9-($D9-$I$6)*MIN(F$3-$O$2,$Q$2)/$Q$2))</f>
        <v>6247.5</v>
      </c>
      <c r="G9" s="15" t="n">
        <f aca="false">F9*(1+IF(G$3&lt;=$O$2,$D9,$D9-($D9-$I$6)*MIN(G$3-$O$2,$Q$2)/$Q$2))</f>
        <v>5466.5625</v>
      </c>
      <c r="H9" s="15" t="n">
        <f aca="false">G9*(1+IF(H$3&lt;=$O$2,$D9,$D9-($D9-$I$6)*MIN(H$3-$O$2,$Q$2)/$Q$2))</f>
        <v>4783.2421875</v>
      </c>
      <c r="I9" s="15" t="n">
        <f aca="false">H9*(1+IF(I$3&lt;=$O$2,$D9,$D9-($D9-$I$6)*MIN(I$3-$O$2,$Q$2)/$Q$2))</f>
        <v>4185.3369140625</v>
      </c>
      <c r="J9" s="15" t="n">
        <f aca="false">I9*(1+IF(J$3&lt;=$O$2,$D9,$D9-($D9-$I$6)*MIN(J$3-$O$2,$Q$2)/$Q$2))</f>
        <v>3790.49222958984</v>
      </c>
      <c r="K9" s="15" t="n">
        <f aca="false">J9*(1+IF(K$3&lt;=$O$2,$D9,$D9-($D9-$I$6)*MIN(K$3-$O$2,$Q$2)/$Q$2))</f>
        <v>3549.11368440956</v>
      </c>
      <c r="L9" s="15" t="n">
        <f aca="false">K9*(1+IF(L$3&lt;=$O$2,$D9,$D9-($D9-$I$6)*MIN(L$3-$O$2,$Q$2)/$Q$2))</f>
        <v>3431.92195055036</v>
      </c>
      <c r="M9" s="15" t="n">
        <f aca="false">L9*(1+IF(M$3&lt;=$O$2,$D9,$D9-($D9-$I$6)*MIN(M$3-$O$2,$Q$2)/$Q$2))</f>
        <v>3423.82261474706</v>
      </c>
      <c r="N9" s="15" t="n">
        <f aca="false">M9*(1+IF(N$3&lt;=$O$2,$D9,$D9-($D9-$I$6)*MIN(N$3-$O$2,$Q$2)/$Q$2))</f>
        <v>3520.7167947444</v>
      </c>
      <c r="O9" s="15" t="n">
        <f aca="false">SUMPRODUCT(E9:N9,1/(1+$F$6)^$E$3:$N$3)*$E$2</f>
        <v>11584.4629331437</v>
      </c>
      <c r="P9" s="15" t="n">
        <f aca="false">N9*$E$2*(1+$I$6)/($F$6-$I$6)/(1+$F$6)^$N$3</f>
        <v>8250.85057250725</v>
      </c>
      <c r="Q9" s="15" t="n">
        <f aca="false">O9+P9</f>
        <v>19835.313505651</v>
      </c>
      <c r="R9" s="15" t="n">
        <f aca="false">Q9-$G$2+$I$2</f>
        <v>13715.313505651</v>
      </c>
      <c r="S9" s="42" t="n">
        <f aca="false">R9/$K$2</f>
        <v>79.1968674538109</v>
      </c>
      <c r="T9" s="43" t="n">
        <f aca="false">S9-$M$2</f>
        <v>-384.944488360948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8670</v>
      </c>
      <c r="F10" s="15" t="n">
        <f aca="false">E10*(1+IF(F$3&lt;=$O$2,$D10,$D10-($D10-$I$6)*MIN(F$3-$O$2,$Q$2)/$Q$2))</f>
        <v>9211.875</v>
      </c>
      <c r="G10" s="15" t="n">
        <f aca="false">F10*(1+IF(G$3&lt;=$O$2,$D10,$D10-($D10-$I$6)*MIN(G$3-$O$2,$Q$2)/$Q$2))</f>
        <v>9787.6171875</v>
      </c>
      <c r="H10" s="15" t="n">
        <f aca="false">G10*(1+IF(H$3&lt;=$O$2,$D10,$D10-($D10-$I$6)*MIN(H$3-$O$2,$Q$2)/$Q$2))</f>
        <v>10399.3432617188</v>
      </c>
      <c r="I10" s="15" t="n">
        <f aca="false">H10*(1+IF(I$3&lt;=$O$2,$D10,$D10-($D10-$I$6)*MIN(I$3-$O$2,$Q$2)/$Q$2))</f>
        <v>11049.3022155762</v>
      </c>
      <c r="J10" s="15" t="n">
        <f aca="false">I10*(1+IF(J$3&lt;=$O$2,$D10,$D10-($D10-$I$6)*MIN(J$3-$O$2,$Q$2)/$Q$2))</f>
        <v>11664.3063768951</v>
      </c>
      <c r="K10" s="15" t="n">
        <f aca="false">J10*(1+IF(K$3&lt;=$O$2,$D10,$D10-($D10-$I$6)*MIN(K$3-$O$2,$Q$2)/$Q$2))</f>
        <v>12233.7578142152</v>
      </c>
      <c r="L10" s="15" t="n">
        <f aca="false">K10*(1+IF(L$3&lt;=$O$2,$D10,$D10-($D10-$I$6)*MIN(L$3-$O$2,$Q$2)/$Q$2))</f>
        <v>12747.3309672559</v>
      </c>
      <c r="M10" s="15" t="n">
        <f aca="false">L10*(1+IF(M$3&lt;=$O$2,$D10,$D10-($D10-$I$6)*MIN(M$3-$O$2,$Q$2)/$Q$2))</f>
        <v>13195.2721774453</v>
      </c>
      <c r="N10" s="15" t="n">
        <f aca="false">M10*(1+IF(N$3&lt;=$O$2,$D10,$D10-($D10-$I$6)*MIN(N$3-$O$2,$Q$2)/$Q$2))</f>
        <v>13568.698380067</v>
      </c>
      <c r="O10" s="15" t="n">
        <f aca="false">SUMPRODUCT(E10:N10,1/(1+$F$6)^$E$3:$N$3)*$E$2</f>
        <v>25784.8087709411</v>
      </c>
      <c r="P10" s="15" t="n">
        <f aca="false">N10*$E$2*(1+$I$6)/($F$6-$I$6)/(1+$F$6)^$N$3</f>
        <v>31798.4402961561</v>
      </c>
      <c r="Q10" s="15" t="n">
        <f aca="false">O10+P10</f>
        <v>57583.2490670972</v>
      </c>
      <c r="R10" s="15" t="n">
        <f aca="false">Q10-$G$2+$I$2</f>
        <v>51463.2490670972</v>
      </c>
      <c r="S10" s="42" t="n">
        <f aca="false">R10/$K$2</f>
        <v>297.166237828255</v>
      </c>
      <c r="T10" s="43" t="n">
        <f aca="false">S10-$M$2</f>
        <v>-166.975117986504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41" t="n">
        <f aca="false">(B11+C11)/2</f>
        <v>0.15625</v>
      </c>
      <c r="E11" s="15" t="n">
        <f aca="false">$C$2*(1+IF(E$3&lt;=$O$2,$D11,$D11-($D11-$I$6)*MIN(E$3-$O$2,$Q$2)/$Q$2))</f>
        <v>9435</v>
      </c>
      <c r="F11" s="15" t="n">
        <f aca="false">E11*(1+IF(F$3&lt;=$O$2,$D11,$D11-($D11-$I$6)*MIN(F$3-$O$2,$Q$2)/$Q$2))</f>
        <v>10909.21875</v>
      </c>
      <c r="G11" s="15" t="n">
        <f aca="false">F11*(1+IF(G$3&lt;=$O$2,$D11,$D11-($D11-$I$6)*MIN(G$3-$O$2,$Q$2)/$Q$2))</f>
        <v>12613.7841796875</v>
      </c>
      <c r="H11" s="15" t="n">
        <f aca="false">G11*(1+IF(H$3&lt;=$O$2,$D11,$D11-($D11-$I$6)*MIN(H$3-$O$2,$Q$2)/$Q$2))</f>
        <v>14584.6879577637</v>
      </c>
      <c r="I11" s="15" t="n">
        <f aca="false">H11*(1+IF(I$3&lt;=$O$2,$D11,$D11-($D11-$I$6)*MIN(I$3-$O$2,$Q$2)/$Q$2))</f>
        <v>16863.5454511642</v>
      </c>
      <c r="J11" s="15" t="n">
        <f aca="false">I11*(1+IF(J$3&lt;=$O$2,$D11,$D11-($D11-$I$6)*MIN(J$3-$O$2,$Q$2)/$Q$2))</f>
        <v>19066.9362998134</v>
      </c>
      <c r="K11" s="15" t="n">
        <f aca="false">J11*(1+IF(K$3&lt;=$O$2,$D11,$D11-($D11-$I$6)*MIN(K$3-$O$2,$Q$2)/$Q$2))</f>
        <v>21070.2992968348</v>
      </c>
      <c r="L11" s="15" t="n">
        <f aca="false">K11*(1+IF(L$3&lt;=$O$2,$D11,$D11-($D11-$I$6)*MIN(L$3-$O$2,$Q$2)/$Q$2))</f>
        <v>22744.9666849472</v>
      </c>
      <c r="M11" s="15" t="n">
        <f aca="false">L11*(1+IF(M$3&lt;=$O$2,$D11,$D11-($D11-$I$6)*MIN(M$3-$O$2,$Q$2)/$Q$2))</f>
        <v>23970.692939599</v>
      </c>
      <c r="N11" s="15" t="n">
        <f aca="false">M11*(1+IF(N$3&lt;=$O$2,$D11,$D11-($D11-$I$6)*MIN(N$3-$O$2,$Q$2)/$Q$2))</f>
        <v>24649.0635497896</v>
      </c>
      <c r="O11" s="15" t="n">
        <f aca="false">SUMPRODUCT(E11:N11,1/(1+$F$6)^$E$3:$N$3)*$E$2</f>
        <v>38634.7632185107</v>
      </c>
      <c r="P11" s="15" t="n">
        <f aca="false">N11*$E$2*(1+$I$6)/($F$6-$I$6)/(1+$F$6)^$N$3</f>
        <v>57765.435835436</v>
      </c>
      <c r="Q11" s="15" t="n">
        <f aca="false">O11+P11</f>
        <v>96400.1990539467</v>
      </c>
      <c r="R11" s="15" t="n">
        <f aca="false">Q11-$G$2+$I$2</f>
        <v>90280.1990539467</v>
      </c>
      <c r="S11" s="42" t="n">
        <f aca="false">R11/$K$2</f>
        <v>521.308459717904</v>
      </c>
      <c r="T11" s="43" t="n">
        <f aca="false">S11-$M$2</f>
        <v>57.1671039031452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41" t="n">
        <f aca="false">(B12+C12)/2</f>
        <v>0.109375</v>
      </c>
      <c r="E12" s="15" t="n">
        <f aca="false">$C$2*(1+IF(E$3&lt;=$O$2,$D12,$D12-($D12-$I$6)*MIN(E$3-$O$2,$Q$2)/$Q$2))</f>
        <v>9052.5</v>
      </c>
      <c r="F12" s="15" t="n">
        <f aca="false">E12*(1+IF(F$3&lt;=$O$2,$D12,$D12-($D12-$I$6)*MIN(F$3-$O$2,$Q$2)/$Q$2))</f>
        <v>10042.6171875</v>
      </c>
      <c r="G12" s="15" t="n">
        <f aca="false">F12*(1+IF(G$3&lt;=$O$2,$D12,$D12-($D12-$I$6)*MIN(G$3-$O$2,$Q$2)/$Q$2))</f>
        <v>11141.0284423828</v>
      </c>
      <c r="H12" s="15" t="n">
        <f aca="false">G12*(1+IF(H$3&lt;=$O$2,$D12,$D12-($D12-$I$6)*MIN(H$3-$O$2,$Q$2)/$Q$2))</f>
        <v>12359.5784282684</v>
      </c>
      <c r="I12" s="15" t="n">
        <f aca="false">H12*(1+IF(I$3&lt;=$O$2,$D12,$D12-($D12-$I$6)*MIN(I$3-$O$2,$Q$2)/$Q$2))</f>
        <v>13711.4073188603</v>
      </c>
      <c r="J12" s="15" t="n">
        <f aca="false">I12*(1+IF(J$3&lt;=$O$2,$D12,$D12-($D12-$I$6)*MIN(J$3-$O$2,$Q$2)/$Q$2))</f>
        <v>14988.7620246853</v>
      </c>
      <c r="K12" s="15" t="n">
        <f aca="false">J12*(1+IF(K$3&lt;=$O$2,$D12,$D12-($D12-$I$6)*MIN(K$3-$O$2,$Q$2)/$Q$2))</f>
        <v>16142.0723186747</v>
      </c>
      <c r="L12" s="15" t="n">
        <f aca="false">K12*(1+IF(L$3&lt;=$O$2,$D12,$D12-($D12-$I$6)*MIN(L$3-$O$2,$Q$2)/$Q$2))</f>
        <v>17122.3803705878</v>
      </c>
      <c r="M12" s="15" t="n">
        <f aca="false">L12*(1+IF(M$3&lt;=$O$2,$D12,$D12-($D12-$I$6)*MIN(M$3-$O$2,$Q$2)/$Q$2))</f>
        <v>17884.5831327846</v>
      </c>
      <c r="N12" s="15" t="n">
        <f aca="false">M12*(1+IF(N$3&lt;=$O$2,$D12,$D12-($D12-$I$6)*MIN(N$3-$O$2,$Q$2)/$Q$2))</f>
        <v>18390.7168354424</v>
      </c>
      <c r="O12" s="15" t="n">
        <f aca="false">SUMPRODUCT(E12:N12,1/(1+$F$6)^$E$3:$N$3)*$E$2</f>
        <v>31566.9443328857</v>
      </c>
      <c r="P12" s="15" t="n">
        <f aca="false">N12*$E$2*(1+$I$6)/($F$6-$I$6)/(1+$F$6)^$N$3</f>
        <v>43098.9100733802</v>
      </c>
      <c r="Q12" s="15" t="n">
        <f aca="false">O12+P12</f>
        <v>74665.854406266</v>
      </c>
      <c r="R12" s="15" t="n">
        <f aca="false">Q12-$G$2+$I$2</f>
        <v>68545.854406266</v>
      </c>
      <c r="S12" s="42" t="n">
        <f aca="false">R12/$K$2</f>
        <v>395.806989295912</v>
      </c>
      <c r="T12" s="43" t="n">
        <f aca="false">S12-$M$2</f>
        <v>-68.3343665188476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0.109375</v>
      </c>
      <c r="C13" s="25" t="n">
        <f aca="false">IF(T12&gt;0,D12,C12)</f>
        <v>0.15625</v>
      </c>
      <c r="D13" s="41" t="n">
        <f aca="false">(B13+C13)/2</f>
        <v>0.1328125</v>
      </c>
      <c r="E13" s="15" t="n">
        <f aca="false">$C$2*(1+IF(E$3&lt;=$O$2,$D13,$D13-($D13-$I$6)*MIN(E$3-$O$2,$Q$2)/$Q$2))</f>
        <v>9243.75</v>
      </c>
      <c r="F13" s="15" t="n">
        <f aca="false">E13*(1+IF(F$3&lt;=$O$2,$D13,$D13-($D13-$I$6)*MIN(F$3-$O$2,$Q$2)/$Q$2))</f>
        <v>10471.435546875</v>
      </c>
      <c r="G13" s="15" t="n">
        <f aca="false">F13*(1+IF(G$3&lt;=$O$2,$D13,$D13-($D13-$I$6)*MIN(G$3-$O$2,$Q$2)/$Q$2))</f>
        <v>11862.1730804443</v>
      </c>
      <c r="H13" s="15" t="n">
        <f aca="false">G13*(1+IF(H$3&lt;=$O$2,$D13,$D13-($D13-$I$6)*MIN(H$3-$O$2,$Q$2)/$Q$2))</f>
        <v>13437.6179426909</v>
      </c>
      <c r="I13" s="15" t="n">
        <f aca="false">H13*(1+IF(I$3&lt;=$O$2,$D13,$D13-($D13-$I$6)*MIN(I$3-$O$2,$Q$2)/$Q$2))</f>
        <v>15222.3015757045</v>
      </c>
      <c r="J13" s="15" t="n">
        <f aca="false">I13*(1+IF(J$3&lt;=$O$2,$D13,$D13-($D13-$I$6)*MIN(J$3-$O$2,$Q$2)/$Q$2))</f>
        <v>16925.8293450416</v>
      </c>
      <c r="K13" s="15" t="n">
        <f aca="false">J13*(1+IF(K$3&lt;=$O$2,$D13,$D13-($D13-$I$6)*MIN(K$3-$O$2,$Q$2)/$Q$2))</f>
        <v>18466.2067591604</v>
      </c>
      <c r="L13" s="15" t="n">
        <f aca="false">K13*(1+IF(L$3&lt;=$O$2,$D13,$D13-($D13-$I$6)*MIN(L$3-$O$2,$Q$2)/$Q$2))</f>
        <v>19760.7801840114</v>
      </c>
      <c r="M13" s="15" t="n">
        <f aca="false">L13*(1+IF(M$3&lt;=$O$2,$D13,$D13-($D13-$I$6)*MIN(M$3-$O$2,$Q$2)/$Q$2))</f>
        <v>20733.0599710152</v>
      </c>
      <c r="N13" s="15" t="n">
        <f aca="false">M13*(1+IF(N$3&lt;=$O$2,$D13,$D13-($D13-$I$6)*MIN(N$3-$O$2,$Q$2)/$Q$2))</f>
        <v>21319.8055681949</v>
      </c>
      <c r="O13" s="15" t="n">
        <f aca="false">SUMPRODUCT(E13:N13,1/(1+$F$6)^$E$3:$N$3)*$E$2</f>
        <v>34924.9292024831</v>
      </c>
      <c r="P13" s="15" t="n">
        <f aca="false">N13*$E$2*(1+$I$6)/($F$6-$I$6)/(1+$F$6)^$N$3</f>
        <v>49963.2717521248</v>
      </c>
      <c r="Q13" s="15" t="n">
        <f aca="false">O13+P13</f>
        <v>84888.200954608</v>
      </c>
      <c r="R13" s="15" t="n">
        <f aca="false">Q13-$G$2+$I$2</f>
        <v>78768.200954608</v>
      </c>
      <c r="S13" s="42" t="n">
        <f aca="false">R13/$K$2</f>
        <v>454.834281987573</v>
      </c>
      <c r="T13" s="43" t="n">
        <f aca="false">S13-$M$2</f>
        <v>-9.30707382718589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0.1328125</v>
      </c>
      <c r="C14" s="25" t="n">
        <f aca="false">IF(T13&gt;0,D13,C13)</f>
        <v>0.15625</v>
      </c>
      <c r="D14" s="41" t="n">
        <f aca="false">(B14+C14)/2</f>
        <v>0.14453125</v>
      </c>
      <c r="E14" s="15" t="n">
        <f aca="false">$C$2*(1+IF(E$3&lt;=$O$2,$D14,$D14-($D14-$I$6)*MIN(E$3-$O$2,$Q$2)/$Q$2))</f>
        <v>9339.375</v>
      </c>
      <c r="F14" s="15" t="n">
        <f aca="false">E14*(1+IF(F$3&lt;=$O$2,$D14,$D14-($D14-$I$6)*MIN(F$3-$O$2,$Q$2)/$Q$2))</f>
        <v>10689.2065429688</v>
      </c>
      <c r="G14" s="15" t="n">
        <f aca="false">F14*(1+IF(G$3&lt;=$O$2,$D14,$D14-($D14-$I$6)*MIN(G$3-$O$2,$Q$2)/$Q$2))</f>
        <v>12234.1309261322</v>
      </c>
      <c r="H14" s="15" t="n">
        <f aca="false">G14*(1+IF(H$3&lt;=$O$2,$D14,$D14-($D14-$I$6)*MIN(H$3-$O$2,$Q$2)/$Q$2))</f>
        <v>14002.3451615497</v>
      </c>
      <c r="I14" s="15" t="n">
        <f aca="false">H14*(1+IF(I$3&lt;=$O$2,$D14,$D14-($D14-$I$6)*MIN(I$3-$O$2,$Q$2)/$Q$2))</f>
        <v>16026.12161068</v>
      </c>
      <c r="J14" s="15" t="n">
        <f aca="false">I14*(1+IF(J$3&lt;=$O$2,$D14,$D14-($D14-$I$6)*MIN(J$3-$O$2,$Q$2)/$Q$2))</f>
        <v>17969.8497702313</v>
      </c>
      <c r="K14" s="15" t="n">
        <f aca="false">J14*(1+IF(K$3&lt;=$O$2,$D14,$D14-($D14-$I$6)*MIN(K$3-$O$2,$Q$2)/$Q$2))</f>
        <v>19731.5913793926</v>
      </c>
      <c r="L14" s="15" t="n">
        <f aca="false">K14*(1+IF(L$3&lt;=$O$2,$D14,$D14-($D14-$I$6)*MIN(L$3-$O$2,$Q$2)/$Q$2))</f>
        <v>21207.3664276358</v>
      </c>
      <c r="M14" s="15" t="n">
        <f aca="false">L14*(1+IF(M$3&lt;=$O$2,$D14,$D14-($D14-$I$6)*MIN(M$3-$O$2,$Q$2)/$Q$2))</f>
        <v>22300.5266393563</v>
      </c>
      <c r="N14" s="15" t="n">
        <f aca="false">M14*(1+IF(N$3&lt;=$O$2,$D14,$D14-($D14-$I$6)*MIN(N$3-$O$2,$Q$2)/$Q$2))</f>
        <v>22931.6315432501</v>
      </c>
      <c r="O14" s="15" t="n">
        <f aca="false">SUMPRODUCT(E14:N14,1/(1+$F$6)^$E$3:$N$3)*$E$2</f>
        <v>36733.8276849683</v>
      </c>
      <c r="P14" s="15" t="n">
        <f aca="false">N14*$E$2*(1+$I$6)/($F$6-$I$6)/(1+$F$6)^$N$3</f>
        <v>53740.6091650398</v>
      </c>
      <c r="Q14" s="15" t="n">
        <f aca="false">O14+P14</f>
        <v>90474.4368500081</v>
      </c>
      <c r="R14" s="15" t="n">
        <f aca="false">Q14-$G$2+$I$2</f>
        <v>84354.4368500081</v>
      </c>
      <c r="S14" s="42" t="n">
        <f aca="false">R14/$K$2</f>
        <v>487.091100877746</v>
      </c>
      <c r="T14" s="43" t="n">
        <f aca="false">S14-$M$2</f>
        <v>22.9497450629871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0.1328125</v>
      </c>
      <c r="C15" s="25" t="n">
        <f aca="false">IF(T14&gt;0,D14,C14)</f>
        <v>0.14453125</v>
      </c>
      <c r="D15" s="41" t="n">
        <f aca="false">(B15+C15)/2</f>
        <v>0.138671875</v>
      </c>
      <c r="E15" s="15" t="n">
        <f aca="false">$C$2*(1+IF(E$3&lt;=$O$2,$D15,$D15-($D15-$I$6)*MIN(E$3-$O$2,$Q$2)/$Q$2))</f>
        <v>9291.5625</v>
      </c>
      <c r="F15" s="15" t="n">
        <f aca="false">E15*(1+IF(F$3&lt;=$O$2,$D15,$D15-($D15-$I$6)*MIN(F$3-$O$2,$Q$2)/$Q$2))</f>
        <v>10580.0408935547</v>
      </c>
      <c r="G15" s="15" t="n">
        <f aca="false">F15*(1+IF(G$3&lt;=$O$2,$D15,$D15-($D15-$I$6)*MIN(G$3-$O$2,$Q$2)/$Q$2))</f>
        <v>12047.1950018406</v>
      </c>
      <c r="H15" s="15" t="n">
        <f aca="false">G15*(1+IF(H$3&lt;=$O$2,$D15,$D15-($D15-$I$6)*MIN(H$3-$O$2,$Q$2)/$Q$2))</f>
        <v>13717.8021212365</v>
      </c>
      <c r="I15" s="15" t="n">
        <f aca="false">H15*(1+IF(I$3&lt;=$O$2,$D15,$D15-($D15-$I$6)*MIN(I$3-$O$2,$Q$2)/$Q$2))</f>
        <v>15620.0754622673</v>
      </c>
      <c r="J15" s="15" t="n">
        <f aca="false">I15*(1+IF(J$3&lt;=$O$2,$D15,$D15-($D15-$I$6)*MIN(J$3-$O$2,$Q$2)/$Q$2))</f>
        <v>17441.337210979</v>
      </c>
      <c r="K15" s="15" t="n">
        <f aca="false">J15*(1+IF(K$3&lt;=$O$2,$D15,$D15-($D15-$I$6)*MIN(K$3-$O$2,$Q$2)/$Q$2))</f>
        <v>19089.9469083395</v>
      </c>
      <c r="L15" s="15" t="n">
        <f aca="false">K15*(1+IF(L$3&lt;=$O$2,$D15,$D15-($D15-$I$6)*MIN(L$3-$O$2,$Q$2)/$Q$2))</f>
        <v>20472.9896994151</v>
      </c>
      <c r="M15" s="15" t="n">
        <f aca="false">L15*(1+IF(M$3&lt;=$O$2,$D15,$D15-($D15-$I$6)*MIN(M$3-$O$2,$Q$2)/$Q$2))</f>
        <v>21504.3037599046</v>
      </c>
      <c r="N15" s="15" t="n">
        <f aca="false">M15*(1+IF(N$3&lt;=$O$2,$D15,$D15-($D15-$I$6)*MIN(N$3-$O$2,$Q$2)/$Q$2))</f>
        <v>22112.8755563099</v>
      </c>
      <c r="O15" s="15" t="n">
        <f aca="false">SUMPRODUCT(E15:N15,1/(1+$F$6)^$E$3:$N$3)*$E$2</f>
        <v>35818.1348000736</v>
      </c>
      <c r="P15" s="15" t="n">
        <f aca="false">N15*$E$2*(1+$I$6)/($F$6-$I$6)/(1+$F$6)^$N$3</f>
        <v>51821.8427042799</v>
      </c>
      <c r="Q15" s="15" t="n">
        <f aca="false">O15+P15</f>
        <v>87639.9775043535</v>
      </c>
      <c r="R15" s="15" t="n">
        <f aca="false">Q15-$G$2+$I$2</f>
        <v>81519.9775043535</v>
      </c>
      <c r="S15" s="42" t="n">
        <f aca="false">R15/$K$2</f>
        <v>470.723972192825</v>
      </c>
      <c r="T15" s="43" t="n">
        <f aca="false">S15-$M$2</f>
        <v>6.58261637806601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0.1328125</v>
      </c>
      <c r="C16" s="25" t="n">
        <f aca="false">IF(T15&gt;0,D15,C15)</f>
        <v>0.138671875</v>
      </c>
      <c r="D16" s="41" t="n">
        <f aca="false">(B16+C16)/2</f>
        <v>0.1357421875</v>
      </c>
      <c r="E16" s="15" t="n">
        <f aca="false">$C$2*(1+IF(E$3&lt;=$O$2,$D16,$D16-($D16-$I$6)*MIN(E$3-$O$2,$Q$2)/$Q$2))</f>
        <v>9267.65625</v>
      </c>
      <c r="F16" s="15" t="n">
        <f aca="false">E16*(1+IF(F$3&lt;=$O$2,$D16,$D16-($D16-$I$6)*MIN(F$3-$O$2,$Q$2)/$Q$2))</f>
        <v>10525.668182373</v>
      </c>
      <c r="G16" s="15" t="n">
        <f aca="false">F16*(1+IF(G$3&lt;=$O$2,$D16,$D16-($D16-$I$6)*MIN(G$3-$O$2,$Q$2)/$Q$2))</f>
        <v>11954.4454063475</v>
      </c>
      <c r="H16" s="15" t="n">
        <f aca="false">G16*(1+IF(H$3&lt;=$O$2,$D16,$D16-($D16-$I$6)*MIN(H$3-$O$2,$Q$2)/$Q$2))</f>
        <v>13577.1679761545</v>
      </c>
      <c r="I16" s="15" t="n">
        <f aca="false">H16*(1+IF(I$3&lt;=$O$2,$D16,$D16-($D16-$I$6)*MIN(I$3-$O$2,$Q$2)/$Q$2))</f>
        <v>15420.1624572926</v>
      </c>
      <c r="J16" s="15" t="n">
        <f aca="false">I16*(1+IF(J$3&lt;=$O$2,$D16,$D16-($D16-$I$6)*MIN(J$3-$O$2,$Q$2)/$Q$2))</f>
        <v>17181.9738436475</v>
      </c>
      <c r="K16" s="15" t="n">
        <f aca="false">J16*(1+IF(K$3&lt;=$O$2,$D16,$D16-($D16-$I$6)*MIN(K$3-$O$2,$Q$2)/$Q$2))</f>
        <v>18775.8650166203</v>
      </c>
      <c r="L16" s="15" t="n">
        <f aca="false">K16*(1+IF(L$3&lt;=$O$2,$D16,$D16-($D16-$I$6)*MIN(L$3-$O$2,$Q$2)/$Q$2))</f>
        <v>20114.1500004268</v>
      </c>
      <c r="M16" s="15" t="n">
        <f aca="false">L16*(1+IF(M$3&lt;=$O$2,$D16,$D16-($D16-$I$6)*MIN(M$3-$O$2,$Q$2)/$Q$2))</f>
        <v>21115.6021005887</v>
      </c>
      <c r="N16" s="15" t="n">
        <f aca="false">M16*(1+IF(N$3&lt;=$O$2,$D16,$D16-($D16-$I$6)*MIN(N$3-$O$2,$Q$2)/$Q$2))</f>
        <v>21713.1736400353</v>
      </c>
      <c r="O16" s="15" t="n">
        <f aca="false">SUMPRODUCT(E16:N16,1/(1+$F$6)^$E$3:$N$3)*$E$2</f>
        <v>35368.7531531618</v>
      </c>
      <c r="P16" s="15" t="n">
        <f aca="false">N16*$E$2*(1+$I$6)/($F$6-$I$6)/(1+$F$6)^$N$3</f>
        <v>50885.1355003239</v>
      </c>
      <c r="Q16" s="15" t="n">
        <f aca="false">O16+P16</f>
        <v>86253.8886534857</v>
      </c>
      <c r="R16" s="15" t="n">
        <f aca="false">Q16-$G$2+$I$2</f>
        <v>80133.8886534857</v>
      </c>
      <c r="S16" s="42" t="n">
        <f aca="false">R16/$K$2</f>
        <v>462.720225508059</v>
      </c>
      <c r="T16" s="43" t="n">
        <f aca="false">S16-$M$2</f>
        <v>-1.42113030669987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0.1357421875</v>
      </c>
      <c r="C17" s="25" t="n">
        <f aca="false">IF(T16&gt;0,D16,C16)</f>
        <v>0.138671875</v>
      </c>
      <c r="D17" s="41" t="n">
        <f aca="false">(B17+C17)/2</f>
        <v>0.13720703125</v>
      </c>
      <c r="E17" s="15" t="n">
        <f aca="false">$C$2*(1+IF(E$3&lt;=$O$2,$D17,$D17-($D17-$I$6)*MIN(E$3-$O$2,$Q$2)/$Q$2))</f>
        <v>9279.609375</v>
      </c>
      <c r="F17" s="15" t="n">
        <f aca="false">E17*(1+IF(F$3&lt;=$O$2,$D17,$D17-($D17-$I$6)*MIN(F$3-$O$2,$Q$2)/$Q$2))</f>
        <v>10552.8370285034</v>
      </c>
      <c r="G17" s="15" t="n">
        <f aca="false">F17*(1+IF(G$3&lt;=$O$2,$D17,$D17-($D17-$I$6)*MIN(G$3-$O$2,$Q$2)/$Q$2))</f>
        <v>12000.7604684494</v>
      </c>
      <c r="H17" s="15" t="n">
        <f aca="false">G17*(1+IF(H$3&lt;=$O$2,$D17,$D17-($D17-$I$6)*MIN(H$3-$O$2,$Q$2)/$Q$2))</f>
        <v>13647.3491850678</v>
      </c>
      <c r="I17" s="15" t="n">
        <f aca="false">H17*(1+IF(I$3&lt;=$O$2,$D17,$D17-($D17-$I$6)*MIN(I$3-$O$2,$Q$2)/$Q$2))</f>
        <v>15519.861451183</v>
      </c>
      <c r="J17" s="15" t="n">
        <f aca="false">I17*(1+IF(J$3&lt;=$O$2,$D17,$D17-($D17-$I$6)*MIN(J$3-$O$2,$Q$2)/$Q$2))</f>
        <v>17311.2511590992</v>
      </c>
      <c r="K17" s="15" t="n">
        <f aca="false">J17*(1+IF(K$3&lt;=$O$2,$D17,$D17-($D17-$I$6)*MIN(K$3-$O$2,$Q$2)/$Q$2))</f>
        <v>18932.3497494781</v>
      </c>
      <c r="L17" s="15" t="n">
        <f aca="false">K17*(1+IF(L$3&lt;=$O$2,$D17,$D17-($D17-$I$6)*MIN(L$3-$O$2,$Q$2)/$Q$2))</f>
        <v>20292.8816497093</v>
      </c>
      <c r="M17" s="15" t="n">
        <f aca="false">L17*(1+IF(M$3&lt;=$O$2,$D17,$D17-($D17-$I$6)*MIN(M$3-$O$2,$Q$2)/$Q$2))</f>
        <v>21309.1776995915</v>
      </c>
      <c r="N17" s="15" t="n">
        <f aca="false">M17*(1+IF(N$3&lt;=$O$2,$D17,$D17-($D17-$I$6)*MIN(N$3-$O$2,$Q$2)/$Q$2))</f>
        <v>21912.22742849</v>
      </c>
      <c r="O17" s="15" t="n">
        <f aca="false">SUMPRODUCT(E17:N17,1/(1+$F$6)^$E$3:$N$3)*$E$2</f>
        <v>35592.7452815047</v>
      </c>
      <c r="P17" s="15" t="n">
        <f aca="false">N17*$E$2*(1+$I$6)/($F$6-$I$6)/(1+$F$6)^$N$3</f>
        <v>51351.6209236565</v>
      </c>
      <c r="Q17" s="15" t="n">
        <f aca="false">O17+P17</f>
        <v>86944.3662051612</v>
      </c>
      <c r="R17" s="15" t="n">
        <f aca="false">Q17-$G$2+$I$2</f>
        <v>80824.3662051612</v>
      </c>
      <c r="S17" s="42" t="n">
        <f aca="false">R17/$K$2</f>
        <v>466.707276851607</v>
      </c>
      <c r="T17" s="43" t="n">
        <f aca="false">S17-$M$2</f>
        <v>2.56592103684733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0.1357421875</v>
      </c>
      <c r="C18" s="25" t="n">
        <f aca="false">IF(T17&gt;0,D17,C17)</f>
        <v>0.13720703125</v>
      </c>
      <c r="D18" s="41" t="n">
        <f aca="false">(B18+C18)/2</f>
        <v>0.136474609375</v>
      </c>
      <c r="E18" s="15" t="n">
        <f aca="false">$C$2*(1+IF(E$3&lt;=$O$2,$D18,$D18-($D18-$I$6)*MIN(E$3-$O$2,$Q$2)/$Q$2))</f>
        <v>9273.6328125</v>
      </c>
      <c r="F18" s="15" t="n">
        <f aca="false">E18*(1+IF(F$3&lt;=$O$2,$D18,$D18-($D18-$I$6)*MIN(F$3-$O$2,$Q$2)/$Q$2))</f>
        <v>10539.2482280731</v>
      </c>
      <c r="G18" s="15" t="n">
        <f aca="false">F18*(1+IF(G$3&lt;=$O$2,$D18,$D18-($D18-$I$6)*MIN(G$3-$O$2,$Q$2)/$Q$2))</f>
        <v>11977.5880131056</v>
      </c>
      <c r="H18" s="15" t="n">
        <f aca="false">G18*(1+IF(H$3&lt;=$O$2,$D18,$D18-($D18-$I$6)*MIN(H$3-$O$2,$Q$2)/$Q$2))</f>
        <v>13612.2246584488</v>
      </c>
      <c r="I18" s="15" t="n">
        <f aca="false">H18*(1+IF(I$3&lt;=$O$2,$D18,$D18-($D18-$I$6)*MIN(I$3-$O$2,$Q$2)/$Q$2))</f>
        <v>15469.9477014354</v>
      </c>
      <c r="J18" s="15" t="n">
        <f aca="false">I18*(1+IF(J$3&lt;=$O$2,$D18,$D18-($D18-$I$6)*MIN(J$3-$O$2,$Q$2)/$Q$2))</f>
        <v>17246.5116611096</v>
      </c>
      <c r="K18" s="15" t="n">
        <f aca="false">J18*(1+IF(K$3&lt;=$O$2,$D18,$D18-($D18-$I$6)*MIN(K$3-$O$2,$Q$2)/$Q$2))</f>
        <v>18853.9687383321</v>
      </c>
      <c r="L18" s="15" t="n">
        <f aca="false">K18*(1+IF(L$3&lt;=$O$2,$D18,$D18-($D18-$I$6)*MIN(L$3-$O$2,$Q$2)/$Q$2))</f>
        <v>20203.3443350019</v>
      </c>
      <c r="M18" s="15" t="n">
        <f aca="false">L18*(1+IF(M$3&lt;=$O$2,$D18,$D18-($D18-$I$6)*MIN(M$3-$O$2,$Q$2)/$Q$2))</f>
        <v>21212.196755984</v>
      </c>
      <c r="N18" s="15" t="n">
        <f aca="false">M18*(1+IF(N$3&lt;=$O$2,$D18,$D18-($D18-$I$6)*MIN(N$3-$O$2,$Q$2)/$Q$2))</f>
        <v>21812.5019241783</v>
      </c>
      <c r="O18" s="15" t="n">
        <f aca="false">SUMPRODUCT(E18:N18,1/(1+$F$6)^$E$3:$N$3)*$E$2</f>
        <v>35480.5750429814</v>
      </c>
      <c r="P18" s="15" t="n">
        <f aca="false">N18*$E$2*(1+$I$6)/($F$6-$I$6)/(1+$F$6)^$N$3</f>
        <v>51117.9127663939</v>
      </c>
      <c r="Q18" s="15" t="n">
        <f aca="false">O18+P18</f>
        <v>86598.4878093753</v>
      </c>
      <c r="R18" s="15" t="n">
        <f aca="false">Q18-$G$2+$I$2</f>
        <v>80478.4878093753</v>
      </c>
      <c r="S18" s="42" t="n">
        <f aca="false">R18/$K$2</f>
        <v>464.710057797525</v>
      </c>
      <c r="T18" s="43" t="n">
        <f aca="false">S18-$M$2</f>
        <v>0.568701982765276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0.1357421875</v>
      </c>
      <c r="C19" s="25" t="n">
        <f aca="false">IF(T18&gt;0,D18,C18)</f>
        <v>0.136474609375</v>
      </c>
      <c r="D19" s="41" t="n">
        <f aca="false">(B19+C19)/2</f>
        <v>0.1361083984375</v>
      </c>
      <c r="E19" s="15" t="n">
        <f aca="false">$C$2*(1+IF(E$3&lt;=$O$2,$D19,$D19-($D19-$I$6)*MIN(E$3-$O$2,$Q$2)/$Q$2))</f>
        <v>9270.64453125</v>
      </c>
      <c r="F19" s="15" t="n">
        <f aca="false">E19*(1+IF(F$3&lt;=$O$2,$D19,$D19-($D19-$I$6)*MIN(F$3-$O$2,$Q$2)/$Q$2))</f>
        <v>10532.4571108818</v>
      </c>
      <c r="G19" s="15" t="n">
        <f aca="false">F19*(1+IF(G$3&lt;=$O$2,$D19,$D19-($D19-$I$6)*MIN(G$3-$O$2,$Q$2)/$Q$2))</f>
        <v>11966.0129798556</v>
      </c>
      <c r="H19" s="15" t="n">
        <f aca="false">G19*(1+IF(H$3&lt;=$O$2,$D19,$D19-($D19-$I$6)*MIN(H$3-$O$2,$Q$2)/$Q$2))</f>
        <v>13594.6878422261</v>
      </c>
      <c r="I19" s="15" t="n">
        <f aca="false">H19*(1+IF(I$3&lt;=$O$2,$D19,$D19-($D19-$I$6)*MIN(I$3-$O$2,$Q$2)/$Q$2))</f>
        <v>15445.0390316892</v>
      </c>
      <c r="J19" s="15" t="n">
        <f aca="false">I19*(1+IF(J$3&lt;=$O$2,$D19,$D19-($D19-$I$6)*MIN(J$3-$O$2,$Q$2)/$Q$2))</f>
        <v>17214.2175737349</v>
      </c>
      <c r="K19" s="15" t="n">
        <f aca="false">J19*(1+IF(K$3&lt;=$O$2,$D19,$D19-($D19-$I$6)*MIN(K$3-$O$2,$Q$2)/$Q$2))</f>
        <v>18814.882267259</v>
      </c>
      <c r="L19" s="15" t="n">
        <f aca="false">K19*(1+IF(L$3&lt;=$O$2,$D19,$D19-($D19-$I$6)*MIN(L$3-$O$2,$Q$2)/$Q$2))</f>
        <v>20158.7043650318</v>
      </c>
      <c r="M19" s="15" t="n">
        <f aca="false">L19*(1+IF(M$3&lt;=$O$2,$D19,$D19-($D19-$I$6)*MIN(M$3-$O$2,$Q$2)/$Q$2))</f>
        <v>21163.851224996</v>
      </c>
      <c r="N19" s="15" t="n">
        <f aca="false">M19*(1+IF(N$3&lt;=$O$2,$D19,$D19-($D19-$I$6)*MIN(N$3-$O$2,$Q$2)/$Q$2))</f>
        <v>21762.7882146634</v>
      </c>
      <c r="O19" s="15" t="n">
        <f aca="false">SUMPRODUCT(E19:N19,1/(1+$F$6)^$E$3:$N$3)*$E$2</f>
        <v>35424.6206167769</v>
      </c>
      <c r="P19" s="15" t="n">
        <f aca="false">N19*$E$2*(1+$I$6)/($F$6-$I$6)/(1+$F$6)^$N$3</f>
        <v>51001.4079713404</v>
      </c>
      <c r="Q19" s="15" t="n">
        <f aca="false">O19+P19</f>
        <v>86426.0285881173</v>
      </c>
      <c r="R19" s="15" t="n">
        <f aca="false">Q19-$G$2+$I$2</f>
        <v>80306.0285881173</v>
      </c>
      <c r="S19" s="42" t="n">
        <f aca="false">R19/$K$2</f>
        <v>463.714219818208</v>
      </c>
      <c r="T19" s="43" t="n">
        <f aca="false">S19-$M$2</f>
        <v>-0.427135996551044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0.1361083984375</v>
      </c>
      <c r="C20" s="25" t="n">
        <f aca="false">IF(T19&gt;0,D19,C19)</f>
        <v>0.136474609375</v>
      </c>
      <c r="D20" s="41" t="n">
        <f aca="false">(B20+C20)/2</f>
        <v>0.13629150390625</v>
      </c>
      <c r="E20" s="15" t="n">
        <f aca="false">$C$2*(1+IF(E$3&lt;=$O$2,$D20,$D20-($D20-$I$6)*MIN(E$3-$O$2,$Q$2)/$Q$2))</f>
        <v>9272.138671875</v>
      </c>
      <c r="F20" s="15" t="n">
        <f aca="false">E20*(1+IF(F$3&lt;=$O$2,$D20,$D20-($D20-$I$6)*MIN(F$3-$O$2,$Q$2)/$Q$2))</f>
        <v>10535.8523958921</v>
      </c>
      <c r="G20" s="15" t="n">
        <f aca="false">F20*(1+IF(G$3&lt;=$O$2,$D20,$D20-($D20-$I$6)*MIN(G$3-$O$2,$Q$2)/$Q$2))</f>
        <v>11971.7995638626</v>
      </c>
      <c r="H20" s="15" t="n">
        <f aca="false">G20*(1+IF(H$3&lt;=$O$2,$D20,$D20-($D20-$I$6)*MIN(H$3-$O$2,$Q$2)/$Q$2))</f>
        <v>13603.4541308856</v>
      </c>
      <c r="I20" s="15" t="n">
        <f aca="false">H20*(1+IF(I$3&lt;=$O$2,$D20,$D20-($D20-$I$6)*MIN(I$3-$O$2,$Q$2)/$Q$2))</f>
        <v>15457.4893527037</v>
      </c>
      <c r="J20" s="15" t="n">
        <f aca="false">I20*(1+IF(J$3&lt;=$O$2,$D20,$D20-($D20-$I$6)*MIN(J$3-$O$2,$Q$2)/$Q$2))</f>
        <v>17230.3583188358</v>
      </c>
      <c r="K20" s="15" t="n">
        <f aca="false">J20*(1+IF(K$3&lt;=$O$2,$D20,$D20-($D20-$I$6)*MIN(K$3-$O$2,$Q$2)/$Q$2))</f>
        <v>18834.4168438757</v>
      </c>
      <c r="L20" s="15" t="n">
        <f aca="false">K20*(1+IF(L$3&lt;=$O$2,$D20,$D20-($D20-$I$6)*MIN(L$3-$O$2,$Q$2)/$Q$2))</f>
        <v>20181.0136406243</v>
      </c>
      <c r="M20" s="15" t="n">
        <f aca="false">L20*(1+IF(M$3&lt;=$O$2,$D20,$D20-($D20-$I$6)*MIN(M$3-$O$2,$Q$2)/$Q$2))</f>
        <v>21188.0119293346</v>
      </c>
      <c r="N20" s="15" t="n">
        <f aca="false">M20*(1+IF(N$3&lt;=$O$2,$D20,$D20-($D20-$I$6)*MIN(N$3-$O$2,$Q$2)/$Q$2))</f>
        <v>21787.6326669348</v>
      </c>
      <c r="O20" s="15" t="n">
        <f aca="false">SUMPRODUCT(E20:N20,1/(1+$F$6)^$E$3:$N$3)*$E$2</f>
        <v>35452.5869517748</v>
      </c>
      <c r="P20" s="15" t="n">
        <f aca="false">N20*$E$2*(1+$I$6)/($F$6-$I$6)/(1+$F$6)^$N$3</f>
        <v>51059.6313034623</v>
      </c>
      <c r="Q20" s="15" t="n">
        <f aca="false">O20+P20</f>
        <v>86512.2182552372</v>
      </c>
      <c r="R20" s="15" t="n">
        <f aca="false">Q20-$G$2+$I$2</f>
        <v>80392.2182552372</v>
      </c>
      <c r="S20" s="42" t="n">
        <f aca="false">R20/$K$2</f>
        <v>464.21190816051</v>
      </c>
      <c r="T20" s="43" t="n">
        <f aca="false">S20-$M$2</f>
        <v>0.0705523457510253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0.1361083984375</v>
      </c>
      <c r="C21" s="25" t="n">
        <f aca="false">IF(T20&gt;0,D20,C20)</f>
        <v>0.13629150390625</v>
      </c>
      <c r="D21" s="41" t="n">
        <f aca="false">(B21+C21)/2</f>
        <v>0.136199951171875</v>
      </c>
      <c r="E21" s="15" t="n">
        <f aca="false">$C$2*(1+IF(E$3&lt;=$O$2,$D21,$D21-($D21-$I$6)*MIN(E$3-$O$2,$Q$2)/$Q$2))</f>
        <v>9271.3916015625</v>
      </c>
      <c r="F21" s="15" t="n">
        <f aca="false">E21*(1+IF(F$3&lt;=$O$2,$D21,$D21-($D21-$I$6)*MIN(F$3-$O$2,$Q$2)/$Q$2))</f>
        <v>10534.1546849906</v>
      </c>
      <c r="G21" s="15" t="n">
        <f aca="false">F21*(1+IF(G$3&lt;=$O$2,$D21,$D21-($D21-$I$6)*MIN(G$3-$O$2,$Q$2)/$Q$2))</f>
        <v>11968.9060387233</v>
      </c>
      <c r="H21" s="15" t="n">
        <f aca="false">G21*(1+IF(H$3&lt;=$O$2,$D21,$D21-($D21-$I$6)*MIN(H$3-$O$2,$Q$2)/$Q$2))</f>
        <v>13599.0704567782</v>
      </c>
      <c r="I21" s="15" t="n">
        <f aca="false">H21*(1+IF(I$3&lt;=$O$2,$D21,$D21-($D21-$I$6)*MIN(I$3-$O$2,$Q$2)/$Q$2))</f>
        <v>15451.2631889743</v>
      </c>
      <c r="J21" s="15" t="n">
        <f aca="false">I21*(1+IF(J$3&lt;=$O$2,$D21,$D21-($D21-$I$6)*MIN(J$3-$O$2,$Q$2)/$Q$2))</f>
        <v>17222.2863721296</v>
      </c>
      <c r="K21" s="15" t="n">
        <f aca="false">J21*(1+IF(K$3&lt;=$O$2,$D21,$D21-($D21-$I$6)*MIN(K$3-$O$2,$Q$2)/$Q$2))</f>
        <v>18824.6473916333</v>
      </c>
      <c r="L21" s="15" t="n">
        <f aca="false">K21*(1+IF(L$3&lt;=$O$2,$D21,$D21-($D21-$I$6)*MIN(L$3-$O$2,$Q$2)/$Q$2))</f>
        <v>20169.8563265706</v>
      </c>
      <c r="M21" s="15" t="n">
        <f aca="false">L21*(1+IF(M$3&lt;=$O$2,$D21,$D21-($D21-$I$6)*MIN(M$3-$O$2,$Q$2)/$Q$2))</f>
        <v>21175.9285631686</v>
      </c>
      <c r="N21" s="15" t="n">
        <f aca="false">M21*(1+IF(N$3&lt;=$O$2,$D21,$D21-($D21-$I$6)*MIN(N$3-$O$2,$Q$2)/$Q$2))</f>
        <v>21775.2073415063</v>
      </c>
      <c r="O21" s="15" t="n">
        <f aca="false">SUMPRODUCT(E21:N21,1/(1+$F$6)^$E$3:$N$3)*$E$2</f>
        <v>35438.6010657227</v>
      </c>
      <c r="P21" s="15" t="n">
        <f aca="false">N21*$E$2*(1+$I$6)/($F$6-$I$6)/(1+$F$6)^$N$3</f>
        <v>51030.5123741641</v>
      </c>
      <c r="Q21" s="15" t="n">
        <f aca="false">O21+P21</f>
        <v>86469.1134398868</v>
      </c>
      <c r="R21" s="15" t="n">
        <f aca="false">Q21-$G$2+$I$2</f>
        <v>80349.1134398868</v>
      </c>
      <c r="S21" s="42" t="n">
        <f aca="false">R21/$K$2</f>
        <v>463.963006351119</v>
      </c>
      <c r="T21" s="43" t="n">
        <f aca="false">S21-$M$2</f>
        <v>-0.178349463640132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0.136199951171875</v>
      </c>
      <c r="C22" s="25" t="n">
        <f aca="false">IF(T21&gt;0,D21,C21)</f>
        <v>0.13629150390625</v>
      </c>
      <c r="D22" s="41" t="n">
        <f aca="false">(B22+C22)/2</f>
        <v>0.136245727539063</v>
      </c>
      <c r="E22" s="15" t="n">
        <f aca="false">$C$2*(1+IF(E$3&lt;=$O$2,$D22,$D22-($D22-$I$6)*MIN(E$3-$O$2,$Q$2)/$Q$2))</f>
        <v>9271.76513671875</v>
      </c>
      <c r="F22" s="15" t="n">
        <f aca="false">E22*(1+IF(F$3&lt;=$O$2,$D22,$D22-($D22-$I$6)*MIN(F$3-$O$2,$Q$2)/$Q$2))</f>
        <v>10535.0035233423</v>
      </c>
      <c r="G22" s="15" t="n">
        <f aca="false">F22*(1+IF(G$3&lt;=$O$2,$D22,$D22-($D22-$I$6)*MIN(G$3-$O$2,$Q$2)/$Q$2))</f>
        <v>11970.3527430067</v>
      </c>
      <c r="H22" s="15" t="n">
        <f aca="false">G22*(1+IF(H$3&lt;=$O$2,$D22,$D22-($D22-$I$6)*MIN(H$3-$O$2,$Q$2)/$Q$2))</f>
        <v>13601.2621613768</v>
      </c>
      <c r="I22" s="15" t="n">
        <f aca="false">H22*(1+IF(I$3&lt;=$O$2,$D22,$D22-($D22-$I$6)*MIN(I$3-$O$2,$Q$2)/$Q$2))</f>
        <v>15454.3760200031</v>
      </c>
      <c r="J22" s="15" t="n">
        <f aca="false">I22*(1+IF(J$3&lt;=$O$2,$D22,$D22-($D22-$I$6)*MIN(J$3-$O$2,$Q$2)/$Q$2))</f>
        <v>17226.3219518824</v>
      </c>
      <c r="K22" s="15" t="n">
        <f aca="false">J22*(1+IF(K$3&lt;=$O$2,$D22,$D22-($D22-$I$6)*MIN(K$3-$O$2,$Q$2)/$Q$2))</f>
        <v>18829.5315766715</v>
      </c>
      <c r="L22" s="15" t="n">
        <f aca="false">K22*(1+IF(L$3&lt;=$O$2,$D22,$D22-($D22-$I$6)*MIN(L$3-$O$2,$Q$2)/$Q$2))</f>
        <v>20175.4343143968</v>
      </c>
      <c r="M22" s="15" t="n">
        <f aca="false">L22*(1+IF(M$3&lt;=$O$2,$D22,$D22-($D22-$I$6)*MIN(M$3-$O$2,$Q$2)/$Q$2))</f>
        <v>21181.969492591</v>
      </c>
      <c r="N22" s="15" t="n">
        <f aca="false">M22*(1+IF(N$3&lt;=$O$2,$D22,$D22-($D22-$I$6)*MIN(N$3-$O$2,$Q$2)/$Q$2))</f>
        <v>21781.4192292313</v>
      </c>
      <c r="O22" s="15" t="n">
        <f aca="false">SUMPRODUCT(E22:N22,1/(1+$F$6)^$E$3:$N$3)*$E$2</f>
        <v>35445.5933289889</v>
      </c>
      <c r="P22" s="15" t="n">
        <f aca="false">N22*$E$2*(1+$I$6)/($F$6-$I$6)/(1+$F$6)^$N$3</f>
        <v>51045.0700226148</v>
      </c>
      <c r="Q22" s="15" t="n">
        <f aca="false">O22+P22</f>
        <v>86490.6633516037</v>
      </c>
      <c r="R22" s="15" t="n">
        <f aca="false">Q22-$G$2+$I$2</f>
        <v>80370.6633516037</v>
      </c>
      <c r="S22" s="42" t="n">
        <f aca="false">R22/$K$2</f>
        <v>464.087442843306</v>
      </c>
      <c r="T22" s="43" t="n">
        <f aca="false">S22-$M$2</f>
        <v>-0.0539129714535989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0.136245727539063</v>
      </c>
      <c r="C23" s="25" t="n">
        <f aca="false">IF(T22&gt;0,D22,C22)</f>
        <v>0.13629150390625</v>
      </c>
      <c r="D23" s="41" t="n">
        <f aca="false">(B23+C23)/2</f>
        <v>0.136268615722656</v>
      </c>
      <c r="E23" s="15" t="n">
        <f aca="false">$C$2*(1+IF(E$3&lt;=$O$2,$D23,$D23-($D23-$I$6)*MIN(E$3-$O$2,$Q$2)/$Q$2))</f>
        <v>9271.95190429688</v>
      </c>
      <c r="F23" s="15" t="n">
        <f aca="false">E23*(1+IF(F$3&lt;=$O$2,$D23,$D23-($D23-$I$6)*MIN(F$3-$O$2,$Q$2)/$Q$2))</f>
        <v>10535.4279553425</v>
      </c>
      <c r="G23" s="15" t="n">
        <f aca="false">F23*(1+IF(G$3&lt;=$O$2,$D23,$D23-($D23-$I$6)*MIN(G$3-$O$2,$Q$2)/$Q$2))</f>
        <v>11971.0761388627</v>
      </c>
      <c r="H23" s="15" t="n">
        <f aca="false">G23*(1+IF(H$3&lt;=$O$2,$D23,$D23-($D23-$I$6)*MIN(H$3-$O$2,$Q$2)/$Q$2))</f>
        <v>13602.3581130161</v>
      </c>
      <c r="I23" s="15" t="n">
        <f aca="false">H23*(1+IF(I$3&lt;=$O$2,$D23,$D23-($D23-$I$6)*MIN(I$3-$O$2,$Q$2)/$Q$2))</f>
        <v>15455.9326236406</v>
      </c>
      <c r="J23" s="15" t="n">
        <f aca="false">I23*(1+IF(J$3&lt;=$O$2,$D23,$D23-($D23-$I$6)*MIN(J$3-$O$2,$Q$2)/$Q$2))</f>
        <v>17228.3400369514</v>
      </c>
      <c r="K23" s="15" t="n">
        <f aca="false">J23*(1+IF(K$3&lt;=$O$2,$D23,$D23-($D23-$I$6)*MIN(K$3-$O$2,$Q$2)/$Q$2))</f>
        <v>18831.9740749904</v>
      </c>
      <c r="L23" s="15" t="n">
        <f aca="false">K23*(1+IF(L$3&lt;=$O$2,$D23,$D23-($D23-$I$6)*MIN(L$3-$O$2,$Q$2)/$Q$2))</f>
        <v>20178.2238101933</v>
      </c>
      <c r="M23" s="15" t="n">
        <f aca="false">L23*(1+IF(M$3&lt;=$O$2,$D23,$D23-($D23-$I$6)*MIN(M$3-$O$2,$Q$2)/$Q$2))</f>
        <v>21184.9905225275</v>
      </c>
      <c r="N23" s="15" t="n">
        <f aca="false">M23*(1+IF(N$3&lt;=$O$2,$D23,$D23-($D23-$I$6)*MIN(N$3-$O$2,$Q$2)/$Q$2))</f>
        <v>21784.525754315</v>
      </c>
      <c r="O23" s="15" t="n">
        <f aca="false">SUMPRODUCT(E23:N23,1/(1+$F$6)^$E$3:$N$3)*$E$2</f>
        <v>35449.0899704267</v>
      </c>
      <c r="P23" s="15" t="n">
        <f aca="false">N23*$E$2*(1+$I$6)/($F$6-$I$6)/(1+$F$6)^$N$3</f>
        <v>51052.3502089403</v>
      </c>
      <c r="Q23" s="15" t="n">
        <f aca="false">O23+P23</f>
        <v>86501.440179367</v>
      </c>
      <c r="R23" s="15" t="n">
        <f aca="false">Q23-$G$2+$I$2</f>
        <v>80381.440179367</v>
      </c>
      <c r="S23" s="42" t="n">
        <f aca="false">R23/$K$2</f>
        <v>464.149671898412</v>
      </c>
      <c r="T23" s="43" t="n">
        <f aca="false">S23-$M$2</f>
        <v>0.00831608365274406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0.136245727539063</v>
      </c>
      <c r="C24" s="25" t="n">
        <f aca="false">IF(T23&gt;0,D23,C23)</f>
        <v>0.136268615722656</v>
      </c>
      <c r="D24" s="41" t="n">
        <f aca="false">(B24+C24)/2</f>
        <v>0.136257171630859</v>
      </c>
      <c r="E24" s="15" t="n">
        <f aca="false">$C$2*(1+IF(E$3&lt;=$O$2,$D24,$D24-($D24-$I$6)*MIN(E$3-$O$2,$Q$2)/$Q$2))</f>
        <v>9271.85852050781</v>
      </c>
      <c r="F24" s="15" t="n">
        <f aca="false">E24*(1+IF(F$3&lt;=$O$2,$D24,$D24-($D24-$I$6)*MIN(F$3-$O$2,$Q$2)/$Q$2))</f>
        <v>10535.2157382737</v>
      </c>
      <c r="G24" s="15" t="n">
        <f aca="false">F24*(1+IF(G$3&lt;=$O$2,$D24,$D24-($D24-$I$6)*MIN(G$3-$O$2,$Q$2)/$Q$2))</f>
        <v>11970.7144372918</v>
      </c>
      <c r="H24" s="15" t="n">
        <f aca="false">G24*(1+IF(H$3&lt;=$O$2,$D24,$D24-($D24-$I$6)*MIN(H$3-$O$2,$Q$2)/$Q$2))</f>
        <v>13601.8101289179</v>
      </c>
      <c r="I24" s="15" t="n">
        <f aca="false">H24*(1+IF(I$3&lt;=$O$2,$D24,$D24-($D24-$I$6)*MIN(I$3-$O$2,$Q$2)/$Q$2))</f>
        <v>15455.1543061442</v>
      </c>
      <c r="J24" s="15" t="n">
        <f aca="false">I24*(1+IF(J$3&lt;=$O$2,$D24,$D24-($D24-$I$6)*MIN(J$3-$O$2,$Q$2)/$Q$2))</f>
        <v>17227.3309698159</v>
      </c>
      <c r="K24" s="15" t="n">
        <f aca="false">J24*(1+IF(K$3&lt;=$O$2,$D24,$D24-($D24-$I$6)*MIN(K$3-$O$2,$Q$2)/$Q$2))</f>
        <v>18830.7527920117</v>
      </c>
      <c r="L24" s="15" t="n">
        <f aca="false">K24*(1+IF(L$3&lt;=$O$2,$D24,$D24-($D24-$I$6)*MIN(L$3-$O$2,$Q$2)/$Q$2))</f>
        <v>20176.8290204679</v>
      </c>
      <c r="M24" s="15" t="n">
        <f aca="false">L24*(1+IF(M$3&lt;=$O$2,$D24,$D24-($D24-$I$6)*MIN(M$3-$O$2,$Q$2)/$Q$2))</f>
        <v>21183.4799604529</v>
      </c>
      <c r="N24" s="15" t="n">
        <f aca="false">M24*(1+IF(N$3&lt;=$O$2,$D24,$D24-($D24-$I$6)*MIN(N$3-$O$2,$Q$2)/$Q$2))</f>
        <v>21782.9724433337</v>
      </c>
      <c r="O24" s="15" t="n">
        <f aca="false">SUMPRODUCT(E24:N24,1/(1+$F$6)^$E$3:$N$3)*$E$2</f>
        <v>35447.3416072209</v>
      </c>
      <c r="P24" s="15" t="n">
        <f aca="false">N24*$E$2*(1+$I$6)/($F$6-$I$6)/(1+$F$6)^$N$3</f>
        <v>51048.710002259</v>
      </c>
      <c r="Q24" s="15" t="n">
        <f aca="false">O24+P24</f>
        <v>86496.0516094799</v>
      </c>
      <c r="R24" s="15" t="n">
        <f aca="false">Q24-$G$2+$I$2</f>
        <v>80376.0516094799</v>
      </c>
      <c r="S24" s="42" t="n">
        <f aca="false">R24/$K$2</f>
        <v>464.118556470031</v>
      </c>
      <c r="T24" s="43" t="n">
        <f aca="false">S24-$M$2</f>
        <v>-0.0227993447284121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0.136257171630859</v>
      </c>
      <c r="C25" s="25" t="n">
        <f aca="false">IF(T24&gt;0,D24,C24)</f>
        <v>0.136268615722656</v>
      </c>
      <c r="D25" s="41" t="n">
        <f aca="false">(B25+C25)/2</f>
        <v>0.136262893676758</v>
      </c>
      <c r="E25" s="15" t="n">
        <f aca="false">$C$2*(1+IF(E$3&lt;=$O$2,$D25,$D25-($D25-$I$6)*MIN(E$3-$O$2,$Q$2)/$Q$2))</f>
        <v>9271.90521240234</v>
      </c>
      <c r="F25" s="15" t="n">
        <f aca="false">E25*(1+IF(F$3&lt;=$O$2,$D25,$D25-($D25-$I$6)*MIN(F$3-$O$2,$Q$2)/$Q$2))</f>
        <v>10535.3218465409</v>
      </c>
      <c r="G25" s="15" t="n">
        <f aca="false">F25*(1+IF(G$3&lt;=$O$2,$D25,$D25-($D25-$I$6)*MIN(G$3-$O$2,$Q$2)/$Q$2))</f>
        <v>11970.8952871665</v>
      </c>
      <c r="H25" s="15" t="n">
        <f aca="false">G25*(1+IF(H$3&lt;=$O$2,$D25,$D25-($D25-$I$6)*MIN(H$3-$O$2,$Q$2)/$Q$2))</f>
        <v>13602.0841188973</v>
      </c>
      <c r="I25" s="15" t="n">
        <f aca="false">H25*(1+IF(I$3&lt;=$O$2,$D25,$D25-($D25-$I$6)*MIN(I$3-$O$2,$Q$2)/$Q$2))</f>
        <v>15455.5434609729</v>
      </c>
      <c r="J25" s="15" t="n">
        <f aca="false">I25*(1+IF(J$3&lt;=$O$2,$D25,$D25-($D25-$I$6)*MIN(J$3-$O$2,$Q$2)/$Q$2))</f>
        <v>17227.8354972333</v>
      </c>
      <c r="K25" s="15" t="n">
        <f aca="false">J25*(1+IF(K$3&lt;=$O$2,$D25,$D25-($D25-$I$6)*MIN(K$3-$O$2,$Q$2)/$Q$2))</f>
        <v>18831.3634250461</v>
      </c>
      <c r="L25" s="15" t="n">
        <f aca="false">K25*(1+IF(L$3&lt;=$O$2,$D25,$D25-($D25-$I$6)*MIN(L$3-$O$2,$Q$2)/$Q$2))</f>
        <v>20177.5264048735</v>
      </c>
      <c r="M25" s="15" t="n">
        <f aca="false">L25*(1+IF(M$3&lt;=$O$2,$D25,$D25-($D25-$I$6)*MIN(M$3-$O$2,$Q$2)/$Q$2))</f>
        <v>21184.2352297133</v>
      </c>
      <c r="N25" s="15" t="n">
        <f aca="false">M25*(1+IF(N$3&lt;=$O$2,$D25,$D25-($D25-$I$6)*MIN(N$3-$O$2,$Q$2)/$Q$2))</f>
        <v>21783.7490867142</v>
      </c>
      <c r="O25" s="15" t="n">
        <f aca="false">SUMPRODUCT(E25:N25,1/(1+$F$6)^$E$3:$N$3)*$E$2</f>
        <v>35448.2157782018</v>
      </c>
      <c r="P25" s="15" t="n">
        <f aca="false">N25*$E$2*(1+$I$6)/($F$6-$I$6)/(1+$F$6)^$N$3</f>
        <v>51050.5300772193</v>
      </c>
      <c r="Q25" s="15" t="n">
        <f aca="false">O25+P25</f>
        <v>86498.7458554211</v>
      </c>
      <c r="R25" s="15" t="n">
        <f aca="false">Q25-$G$2+$I$2</f>
        <v>80378.7458554211</v>
      </c>
      <c r="S25" s="42" t="n">
        <f aca="false">R25/$K$2</f>
        <v>464.134113959009</v>
      </c>
      <c r="T25" s="43" t="n">
        <f aca="false">S25-$M$2</f>
        <v>-0.00724185575057845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0.136262893676758</v>
      </c>
      <c r="C26" s="25" t="n">
        <f aca="false">IF(T25&gt;0,D25,C25)</f>
        <v>0.136268615722656</v>
      </c>
      <c r="D26" s="41" t="n">
        <f aca="false">(B26+C26)/2</f>
        <v>0.136265754699707</v>
      </c>
      <c r="E26" s="15" t="n">
        <f aca="false">$C$2*(1+IF(E$3&lt;=$O$2,$D26,$D26-($D26-$I$6)*MIN(E$3-$O$2,$Q$2)/$Q$2))</f>
        <v>9271.92855834961</v>
      </c>
      <c r="F26" s="15" t="n">
        <f aca="false">E26*(1+IF(F$3&lt;=$O$2,$D26,$D26-($D26-$I$6)*MIN(F$3-$O$2,$Q$2)/$Q$2))</f>
        <v>10535.3749008749</v>
      </c>
      <c r="G26" s="15" t="n">
        <f aca="false">F26*(1+IF(G$3&lt;=$O$2,$D26,$D26-($D26-$I$6)*MIN(G$3-$O$2,$Q$2)/$Q$2))</f>
        <v>11970.985712787</v>
      </c>
      <c r="H26" s="15" t="n">
        <f aca="false">G26*(1+IF(H$3&lt;=$O$2,$D26,$D26-($D26-$I$6)*MIN(H$3-$O$2,$Q$2)/$Q$2))</f>
        <v>13602.2211154393</v>
      </c>
      <c r="I26" s="15" t="n">
        <f aca="false">H26*(1+IF(I$3&lt;=$O$2,$D26,$D26-($D26-$I$6)*MIN(I$3-$O$2,$Q$2)/$Q$2))</f>
        <v>15455.7380413269</v>
      </c>
      <c r="J26" s="15" t="n">
        <f aca="false">I26*(1+IF(J$3&lt;=$O$2,$D26,$D26-($D26-$I$6)*MIN(J$3-$O$2,$Q$2)/$Q$2))</f>
        <v>17228.0877655547</v>
      </c>
      <c r="K26" s="15" t="n">
        <f aca="false">J26*(1+IF(K$3&lt;=$O$2,$D26,$D26-($D26-$I$6)*MIN(K$3-$O$2,$Q$2)/$Q$2))</f>
        <v>18831.6687479045</v>
      </c>
      <c r="L26" s="15" t="n">
        <f aca="false">K26*(1+IF(L$3&lt;=$O$2,$D26,$D26-($D26-$I$6)*MIN(L$3-$O$2,$Q$2)/$Q$2))</f>
        <v>20177.8751049191</v>
      </c>
      <c r="M26" s="15" t="n">
        <f aca="false">L26*(1+IF(M$3&lt;=$O$2,$D26,$D26-($D26-$I$6)*MIN(M$3-$O$2,$Q$2)/$Q$2))</f>
        <v>21184.6128731761</v>
      </c>
      <c r="N26" s="15" t="n">
        <f aca="false">M26*(1+IF(N$3&lt;=$O$2,$D26,$D26-($D26-$I$6)*MIN(N$3-$O$2,$Q$2)/$Q$2))</f>
        <v>21784.137417487</v>
      </c>
      <c r="O26" s="15" t="n">
        <f aca="false">SUMPRODUCT(E26:N26,1/(1+$F$6)^$E$3:$N$3)*$E$2</f>
        <v>35448.6528716587</v>
      </c>
      <c r="P26" s="15" t="n">
        <f aca="false">N26*$E$2*(1+$I$6)/($F$6-$I$6)/(1+$F$6)^$N$3</f>
        <v>51051.4401359846</v>
      </c>
      <c r="Q26" s="15" t="n">
        <f aca="false">O26+P26</f>
        <v>86500.0930076433</v>
      </c>
      <c r="R26" s="15" t="n">
        <f aca="false">Q26-$G$2+$I$2</f>
        <v>80380.0930076433</v>
      </c>
      <c r="S26" s="42" t="n">
        <f aca="false">R26/$K$2</f>
        <v>464.141892872406</v>
      </c>
      <c r="T26" s="43" t="n">
        <f aca="false">S26-$M$2</f>
        <v>0.000537057647079564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0.136262893676758</v>
      </c>
      <c r="C27" s="25" t="n">
        <f aca="false">IF(T26&gt;0,D26,C26)</f>
        <v>0.136265754699707</v>
      </c>
      <c r="D27" s="41" t="n">
        <f aca="false">(B27+C27)/2</f>
        <v>0.136264324188232</v>
      </c>
      <c r="E27" s="15" t="n">
        <f aca="false">$C$2*(1+IF(E$3&lt;=$O$2,$D27,$D27-($D27-$I$6)*MIN(E$3-$O$2,$Q$2)/$Q$2))</f>
        <v>9271.91688537598</v>
      </c>
      <c r="F27" s="15" t="n">
        <f aca="false">E27*(1+IF(F$3&lt;=$O$2,$D27,$D27-($D27-$I$6)*MIN(F$3-$O$2,$Q$2)/$Q$2))</f>
        <v>10535.3483736912</v>
      </c>
      <c r="G27" s="15" t="n">
        <f aca="false">F27*(1+IF(G$3&lt;=$O$2,$D27,$D27-($D27-$I$6)*MIN(G$3-$O$2,$Q$2)/$Q$2))</f>
        <v>11970.9404999198</v>
      </c>
      <c r="H27" s="15" t="n">
        <f aca="false">G27*(1+IF(H$3&lt;=$O$2,$D27,$D27-($D27-$I$6)*MIN(H$3-$O$2,$Q$2)/$Q$2))</f>
        <v>13602.1526170389</v>
      </c>
      <c r="I27" s="15" t="n">
        <f aca="false">H27*(1+IF(I$3&lt;=$O$2,$D27,$D27-($D27-$I$6)*MIN(I$3-$O$2,$Q$2)/$Q$2))</f>
        <v>15455.6407509049</v>
      </c>
      <c r="J27" s="15" t="n">
        <f aca="false">I27*(1+IF(J$3&lt;=$O$2,$D27,$D27-($D27-$I$6)*MIN(J$3-$O$2,$Q$2)/$Q$2))</f>
        <v>17227.9616310096</v>
      </c>
      <c r="K27" s="15" t="n">
        <f aca="false">J27*(1+IF(K$3&lt;=$O$2,$D27,$D27-($D27-$I$6)*MIN(K$3-$O$2,$Q$2)/$Q$2))</f>
        <v>18831.5160859468</v>
      </c>
      <c r="L27" s="15" t="n">
        <f aca="false">K27*(1+IF(L$3&lt;=$O$2,$D27,$D27-($D27-$I$6)*MIN(L$3-$O$2,$Q$2)/$Q$2))</f>
        <v>20177.7007542427</v>
      </c>
      <c r="M27" s="15" t="n">
        <f aca="false">L27*(1+IF(M$3&lt;=$O$2,$D27,$D27-($D27-$I$6)*MIN(M$3-$O$2,$Q$2)/$Q$2))</f>
        <v>21184.4240507087</v>
      </c>
      <c r="N27" s="15" t="n">
        <f aca="false">M27*(1+IF(N$3&lt;=$O$2,$D27,$D27-($D27-$I$6)*MIN(N$3-$O$2,$Q$2)/$Q$2))</f>
        <v>21783.9432513437</v>
      </c>
      <c r="O27" s="15" t="n">
        <f aca="false">SUMPRODUCT(E27:N27,1/(1+$F$6)^$E$3:$N$3)*$E$2</f>
        <v>35448.4343242664</v>
      </c>
      <c r="P27" s="15" t="n">
        <f aca="false">N27*$E$2*(1+$I$6)/($F$6-$I$6)/(1+$F$6)^$N$3</f>
        <v>51050.9851048282</v>
      </c>
      <c r="Q27" s="15" t="n">
        <f aca="false">O27+P27</f>
        <v>86499.4194290946</v>
      </c>
      <c r="R27" s="15" t="n">
        <f aca="false">Q27-$G$2+$I$2</f>
        <v>80379.4194290946</v>
      </c>
      <c r="S27" s="42" t="n">
        <f aca="false">R27/$K$2</f>
        <v>464.138003401632</v>
      </c>
      <c r="T27" s="43" t="n">
        <f aca="false">S27-$M$2</f>
        <v>-0.00335241312762946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0.136264324188232</v>
      </c>
      <c r="C28" s="25" t="n">
        <f aca="false">IF(T27&gt;0,D27,C27)</f>
        <v>0.136265754699707</v>
      </c>
      <c r="D28" s="41" t="n">
        <f aca="false">(B28+C28)/2</f>
        <v>0.13626503944397</v>
      </c>
      <c r="E28" s="15" t="n">
        <f aca="false">$C$2*(1+IF(E$3&lt;=$O$2,$D28,$D28-($D28-$I$6)*MIN(E$3-$O$2,$Q$2)/$Q$2))</f>
        <v>9271.92272186279</v>
      </c>
      <c r="F28" s="15" t="n">
        <f aca="false">E28*(1+IF(F$3&lt;=$O$2,$D28,$D28-($D28-$I$6)*MIN(F$3-$O$2,$Q$2)/$Q$2))</f>
        <v>10535.3616372789</v>
      </c>
      <c r="G28" s="15" t="n">
        <f aca="false">F28*(1+IF(G$3&lt;=$O$2,$D28,$D28-($D28-$I$6)*MIN(G$3-$O$2,$Q$2)/$Q$2))</f>
        <v>11970.9631063392</v>
      </c>
      <c r="H28" s="15" t="n">
        <f aca="false">G28*(1+IF(H$3&lt;=$O$2,$D28,$D28-($D28-$I$6)*MIN(H$3-$O$2,$Q$2)/$Q$2))</f>
        <v>13602.1868662068</v>
      </c>
      <c r="I28" s="15" t="n">
        <f aca="false">H28*(1+IF(I$3&lt;=$O$2,$D28,$D28-($D28-$I$6)*MIN(I$3-$O$2,$Q$2)/$Q$2))</f>
        <v>15455.6893960547</v>
      </c>
      <c r="J28" s="15" t="n">
        <f aca="false">I28*(1+IF(J$3&lt;=$O$2,$D28,$D28-($D28-$I$6)*MIN(J$3-$O$2,$Q$2)/$Q$2))</f>
        <v>17228.0246981861</v>
      </c>
      <c r="K28" s="15" t="n">
        <f aca="false">J28*(1+IF(K$3&lt;=$O$2,$D28,$D28-($D28-$I$6)*MIN(K$3-$O$2,$Q$2)/$Q$2))</f>
        <v>18831.5924167935</v>
      </c>
      <c r="L28" s="15" t="n">
        <f aca="false">K28*(1+IF(L$3&lt;=$O$2,$D28,$D28-($D28-$I$6)*MIN(L$3-$O$2,$Q$2)/$Q$2))</f>
        <v>20177.7879294175</v>
      </c>
      <c r="M28" s="15" t="n">
        <f aca="false">L28*(1+IF(M$3&lt;=$O$2,$D28,$D28-($D28-$I$6)*MIN(M$3-$O$2,$Q$2)/$Q$2))</f>
        <v>21184.5184617584</v>
      </c>
      <c r="N28" s="15" t="n">
        <f aca="false">M28*(1+IF(N$3&lt;=$O$2,$D28,$D28-($D28-$I$6)*MIN(N$3-$O$2,$Q$2)/$Q$2))</f>
        <v>21784.0403342261</v>
      </c>
      <c r="O28" s="15" t="n">
        <f aca="false">SUMPRODUCT(E28:N28,1/(1+$F$6)^$E$3:$N$3)*$E$2</f>
        <v>35448.5435977966</v>
      </c>
      <c r="P28" s="15" t="n">
        <f aca="false">N28*$E$2*(1+$I$6)/($F$6-$I$6)/(1+$F$6)^$N$3</f>
        <v>51051.2126199629</v>
      </c>
      <c r="Q28" s="15" t="n">
        <f aca="false">O28+P28</f>
        <v>86499.7562177595</v>
      </c>
      <c r="R28" s="15" t="n">
        <f aca="false">Q28-$G$2+$I$2</f>
        <v>80379.7562177595</v>
      </c>
      <c r="S28" s="42" t="n">
        <f aca="false">R28/$K$2</f>
        <v>464.1399481335</v>
      </c>
      <c r="T28" s="43" t="n">
        <f aca="false">S28-$M$2</f>
        <v>-0.00140768125919521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0.13626503944397</v>
      </c>
      <c r="C29" s="25" t="n">
        <f aca="false">IF(T28&gt;0,D28,C28)</f>
        <v>0.136265754699707</v>
      </c>
      <c r="D29" s="41" t="n">
        <f aca="false">(B29+C29)/2</f>
        <v>0.136265397071838</v>
      </c>
      <c r="E29" s="15" t="n">
        <f aca="false">$C$2*(1+IF(E$3&lt;=$O$2,$D29,$D29-($D29-$I$6)*MIN(E$3-$O$2,$Q$2)/$Q$2))</f>
        <v>9271.9256401062</v>
      </c>
      <c r="F29" s="15" t="n">
        <f aca="false">E29*(1+IF(F$3&lt;=$O$2,$D29,$D29-($D29-$I$6)*MIN(F$3-$O$2,$Q$2)/$Q$2))</f>
        <v>10535.3682690758</v>
      </c>
      <c r="G29" s="15" t="n">
        <f aca="false">F29*(1+IF(G$3&lt;=$O$2,$D29,$D29-($D29-$I$6)*MIN(G$3-$O$2,$Q$2)/$Q$2))</f>
        <v>11970.9744095595</v>
      </c>
      <c r="H29" s="15" t="n">
        <f aca="false">G29*(1+IF(H$3&lt;=$O$2,$D29,$D29-($D29-$I$6)*MIN(H$3-$O$2,$Q$2)/$Q$2))</f>
        <v>13602.2039908149</v>
      </c>
      <c r="I29" s="15" t="n">
        <f aca="false">H29*(1+IF(I$3&lt;=$O$2,$D29,$D29-($D29-$I$6)*MIN(I$3-$O$2,$Q$2)/$Q$2))</f>
        <v>15455.7137186755</v>
      </c>
      <c r="J29" s="15" t="n">
        <f aca="false">I29*(1+IF(J$3&lt;=$O$2,$D29,$D29-($D29-$I$6)*MIN(J$3-$O$2,$Q$2)/$Q$2))</f>
        <v>17228.0562318464</v>
      </c>
      <c r="K29" s="15" t="n">
        <f aca="false">J29*(1+IF(K$3&lt;=$O$2,$D29,$D29-($D29-$I$6)*MIN(K$3-$O$2,$Q$2)/$Q$2))</f>
        <v>18831.630582316</v>
      </c>
      <c r="L29" s="15" t="n">
        <f aca="false">K29*(1+IF(L$3&lt;=$O$2,$D29,$D29-($D29-$I$6)*MIN(L$3-$O$2,$Q$2)/$Q$2))</f>
        <v>20177.8315171275</v>
      </c>
      <c r="M29" s="15" t="n">
        <f aca="false">L29*(1+IF(M$3&lt;=$O$2,$D29,$D29-($D29-$I$6)*MIN(M$3-$O$2,$Q$2)/$Q$2))</f>
        <v>21184.5656674212</v>
      </c>
      <c r="N29" s="15" t="n">
        <f aca="false">M29*(1+IF(N$3&lt;=$O$2,$D29,$D29-($D29-$I$6)*MIN(N$3-$O$2,$Q$2)/$Q$2))</f>
        <v>21784.0888758093</v>
      </c>
      <c r="O29" s="15" t="n">
        <f aca="false">SUMPRODUCT(E29:N29,1/(1+$F$6)^$E$3:$N$3)*$E$2</f>
        <v>35448.5982346862</v>
      </c>
      <c r="P29" s="15" t="n">
        <f aca="false">N29*$E$2*(1+$I$6)/($F$6-$I$6)/(1+$F$6)^$N$3</f>
        <v>51051.3263778629</v>
      </c>
      <c r="Q29" s="15" t="n">
        <f aca="false">O29+P29</f>
        <v>86499.9246125491</v>
      </c>
      <c r="R29" s="15" t="n">
        <f aca="false">Q29-$G$2+$I$2</f>
        <v>80379.9246125491</v>
      </c>
      <c r="S29" s="42" t="n">
        <f aca="false">R29/$K$2</f>
        <v>464.140920502073</v>
      </c>
      <c r="T29" s="43" t="n">
        <f aca="false">S29-$M$2</f>
        <v>-0.000435312685738154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0.136265397071838</v>
      </c>
      <c r="C30" s="25" t="n">
        <f aca="false">IF(T29&gt;0,D29,C29)</f>
        <v>0.136265754699707</v>
      </c>
      <c r="D30" s="41" t="n">
        <f aca="false">(B30+C30)/2</f>
        <v>0.136265575885773</v>
      </c>
      <c r="E30" s="15" t="n">
        <f aca="false">$C$2*(1+IF(E$3&lt;=$O$2,$D30,$D30-($D30-$I$6)*MIN(E$3-$O$2,$Q$2)/$Q$2))</f>
        <v>9271.92709922791</v>
      </c>
      <c r="F30" s="15" t="n">
        <f aca="false">E30*(1+IF(F$3&lt;=$O$2,$D30,$D30-($D30-$I$6)*MIN(F$3-$O$2,$Q$2)/$Q$2))</f>
        <v>10535.3715849751</v>
      </c>
      <c r="G30" s="15" t="n">
        <f aca="false">F30*(1+IF(G$3&lt;=$O$2,$D30,$D30-($D30-$I$6)*MIN(G$3-$O$2,$Q$2)/$Q$2))</f>
        <v>11970.9800611723</v>
      </c>
      <c r="H30" s="15" t="n">
        <f aca="false">G30*(1+IF(H$3&lt;=$O$2,$D30,$D30-($D30-$I$6)*MIN(H$3-$O$2,$Q$2)/$Q$2))</f>
        <v>13602.2125531251</v>
      </c>
      <c r="I30" s="15" t="n">
        <f aca="false">H30*(1+IF(I$3&lt;=$O$2,$D30,$D30-($D30-$I$6)*MIN(I$3-$O$2,$Q$2)/$Q$2))</f>
        <v>15455.7258799974</v>
      </c>
      <c r="J30" s="15" t="n">
        <f aca="false">I30*(1+IF(J$3&lt;=$O$2,$D30,$D30-($D30-$I$6)*MIN(J$3-$O$2,$Q$2)/$Q$2))</f>
        <v>17228.0719986945</v>
      </c>
      <c r="K30" s="15" t="n">
        <f aca="false">J30*(1+IF(K$3&lt;=$O$2,$D30,$D30-($D30-$I$6)*MIN(K$3-$O$2,$Q$2)/$Q$2))</f>
        <v>18831.649665102</v>
      </c>
      <c r="L30" s="15" t="n">
        <f aca="false">K30*(1+IF(L$3&lt;=$O$2,$D30,$D30-($D30-$I$6)*MIN(L$3-$O$2,$Q$2)/$Q$2))</f>
        <v>20177.8533110131</v>
      </c>
      <c r="M30" s="15" t="n">
        <f aca="false">L30*(1+IF(M$3&lt;=$O$2,$D30,$D30-($D30-$I$6)*MIN(M$3-$O$2,$Q$2)/$Q$2))</f>
        <v>21184.5892702872</v>
      </c>
      <c r="N30" s="15" t="n">
        <f aca="false">M30*(1+IF(N$3&lt;=$O$2,$D30,$D30-($D30-$I$6)*MIN(N$3-$O$2,$Q$2)/$Q$2))</f>
        <v>21784.1131466363</v>
      </c>
      <c r="O30" s="15" t="n">
        <f aca="false">SUMPRODUCT(E30:N30,1/(1+$F$6)^$E$3:$N$3)*$E$2</f>
        <v>35448.6255531621</v>
      </c>
      <c r="P30" s="15" t="n">
        <f aca="false">N30*$E$2*(1+$I$6)/($F$6-$I$6)/(1+$F$6)^$N$3</f>
        <v>51051.383256896</v>
      </c>
      <c r="Q30" s="15" t="n">
        <f aca="false">O30+P30</f>
        <v>86500.0088100581</v>
      </c>
      <c r="R30" s="15" t="n">
        <f aca="false">Q30-$G$2+$I$2</f>
        <v>80380.0088100581</v>
      </c>
      <c r="S30" s="42" t="n">
        <f aca="false">R30/$K$2</f>
        <v>464.14140668702</v>
      </c>
      <c r="T30" s="43" t="n">
        <f aca="false">S30-$M$2</f>
        <v>5.08722606582523E-005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0.136265397071838</v>
      </c>
      <c r="C31" s="25" t="n">
        <f aca="false">IF(T30&gt;0,D30,C30)</f>
        <v>0.136265575885773</v>
      </c>
      <c r="D31" s="41" t="n">
        <f aca="false">(B31+C31)/2</f>
        <v>0.136265486478806</v>
      </c>
      <c r="E31" s="15" t="n">
        <f aca="false">$C$2*(1+IF(E$3&lt;=$O$2,$D31,$D31-($D31-$I$6)*MIN(E$3-$O$2,$Q$2)/$Q$2))</f>
        <v>9271.92636966705</v>
      </c>
      <c r="F31" s="15" t="n">
        <f aca="false">E31*(1+IF(F$3&lt;=$O$2,$D31,$D31-($D31-$I$6)*MIN(F$3-$O$2,$Q$2)/$Q$2))</f>
        <v>10535.3699270254</v>
      </c>
      <c r="G31" s="15" t="n">
        <f aca="false">F31*(1+IF(G$3&lt;=$O$2,$D31,$D31-($D31-$I$6)*MIN(G$3-$O$2,$Q$2)/$Q$2))</f>
        <v>11970.9772353657</v>
      </c>
      <c r="H31" s="15" t="n">
        <f aca="false">G31*(1+IF(H$3&lt;=$O$2,$D31,$D31-($D31-$I$6)*MIN(H$3-$O$2,$Q$2)/$Q$2))</f>
        <v>13602.2082719695</v>
      </c>
      <c r="I31" s="15" t="n">
        <f aca="false">H31*(1+IF(I$3&lt;=$O$2,$D31,$D31-($D31-$I$6)*MIN(I$3-$O$2,$Q$2)/$Q$2))</f>
        <v>15455.7197993355</v>
      </c>
      <c r="J31" s="15" t="n">
        <f aca="false">I31*(1+IF(J$3&lt;=$O$2,$D31,$D31-($D31-$I$6)*MIN(J$3-$O$2,$Q$2)/$Q$2))</f>
        <v>17228.0641152689</v>
      </c>
      <c r="K31" s="15" t="n">
        <f aca="false">J31*(1+IF(K$3&lt;=$O$2,$D31,$D31-($D31-$I$6)*MIN(K$3-$O$2,$Q$2)/$Q$2))</f>
        <v>18831.6401237069</v>
      </c>
      <c r="L31" s="15" t="n">
        <f aca="false">K31*(1+IF(L$3&lt;=$O$2,$D31,$D31-($D31-$I$6)*MIN(L$3-$O$2,$Q$2)/$Q$2))</f>
        <v>20177.8424140677</v>
      </c>
      <c r="M31" s="15" t="n">
        <f aca="false">L31*(1+IF(M$3&lt;=$O$2,$D31,$D31-($D31-$I$6)*MIN(M$3-$O$2,$Q$2)/$Q$2))</f>
        <v>21184.5774688513</v>
      </c>
      <c r="N31" s="15" t="n">
        <f aca="false">M31*(1+IF(N$3&lt;=$O$2,$D31,$D31-($D31-$I$6)*MIN(N$3-$O$2,$Q$2)/$Q$2))</f>
        <v>21784.1010112198</v>
      </c>
      <c r="O31" s="15" t="n">
        <f aca="false">SUMPRODUCT(E31:N31,1/(1+$F$6)^$E$3:$N$3)*$E$2</f>
        <v>35448.6118939215</v>
      </c>
      <c r="P31" s="15" t="n">
        <f aca="false">N31*$E$2*(1+$I$6)/($F$6-$I$6)/(1+$F$6)^$N$3</f>
        <v>51051.3548173726</v>
      </c>
      <c r="Q31" s="15" t="n">
        <f aca="false">O31+P31</f>
        <v>86499.9667112941</v>
      </c>
      <c r="R31" s="15" t="n">
        <f aca="false">Q31-$G$2+$I$2</f>
        <v>80379.9667112941</v>
      </c>
      <c r="S31" s="42" t="n">
        <f aca="false">R31/$K$2</f>
        <v>464.141163594492</v>
      </c>
      <c r="T31" s="43" t="n">
        <f aca="false">S31-$M$2</f>
        <v>-0.000192220267479115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0.136265486478806</v>
      </c>
      <c r="C32" s="25" t="n">
        <f aca="false">IF(T31&gt;0,D31,C31)</f>
        <v>0.136265575885773</v>
      </c>
      <c r="D32" s="41" t="n">
        <f aca="false">(B32+C32)/2</f>
        <v>0.136265531182289</v>
      </c>
      <c r="E32" s="15" t="n">
        <f aca="false">$C$2*(1+IF(E$3&lt;=$O$2,$D32,$D32-($D32-$I$6)*MIN(E$3-$O$2,$Q$2)/$Q$2))</f>
        <v>9271.92673444748</v>
      </c>
      <c r="F32" s="15" t="n">
        <f aca="false">E32*(1+IF(F$3&lt;=$O$2,$D32,$D32-($D32-$I$6)*MIN(F$3-$O$2,$Q$2)/$Q$2))</f>
        <v>10535.3707560002</v>
      </c>
      <c r="G32" s="15" t="n">
        <f aca="false">F32*(1+IF(G$3&lt;=$O$2,$D32,$D32-($D32-$I$6)*MIN(G$3-$O$2,$Q$2)/$Q$2))</f>
        <v>11970.978648269</v>
      </c>
      <c r="H32" s="15" t="n">
        <f aca="false">G32*(1+IF(H$3&lt;=$O$2,$D32,$D32-($D32-$I$6)*MIN(H$3-$O$2,$Q$2)/$Q$2))</f>
        <v>13602.2104125472</v>
      </c>
      <c r="I32" s="15" t="n">
        <f aca="false">H32*(1+IF(I$3&lt;=$O$2,$D32,$D32-($D32-$I$6)*MIN(I$3-$O$2,$Q$2)/$Q$2))</f>
        <v>15455.7228396662</v>
      </c>
      <c r="J32" s="15" t="n">
        <f aca="false">I32*(1+IF(J$3&lt;=$O$2,$D32,$D32-($D32-$I$6)*MIN(J$3-$O$2,$Q$2)/$Q$2))</f>
        <v>17228.0680569814</v>
      </c>
      <c r="K32" s="15" t="n">
        <f aca="false">J32*(1+IF(K$3&lt;=$O$2,$D32,$D32-($D32-$I$6)*MIN(K$3-$O$2,$Q$2)/$Q$2))</f>
        <v>18831.6448944039</v>
      </c>
      <c r="L32" s="15" t="n">
        <f aca="false">K32*(1+IF(L$3&lt;=$O$2,$D32,$D32-($D32-$I$6)*MIN(L$3-$O$2,$Q$2)/$Q$2))</f>
        <v>20177.8478625398</v>
      </c>
      <c r="M32" s="15" t="n">
        <f aca="false">L32*(1+IF(M$3&lt;=$O$2,$D32,$D32-($D32-$I$6)*MIN(M$3-$O$2,$Q$2)/$Q$2))</f>
        <v>21184.5833695685</v>
      </c>
      <c r="N32" s="15" t="n">
        <f aca="false">M32*(1+IF(N$3&lt;=$O$2,$D32,$D32-($D32-$I$6)*MIN(N$3-$O$2,$Q$2)/$Q$2))</f>
        <v>21784.1070789273</v>
      </c>
      <c r="O32" s="15" t="n">
        <f aca="false">SUMPRODUCT(E32:N32,1/(1+$F$6)^$E$3:$N$3)*$E$2</f>
        <v>35448.6187235412</v>
      </c>
      <c r="P32" s="15" t="n">
        <f aca="false">N32*$E$2*(1+$I$6)/($F$6-$I$6)/(1+$F$6)^$N$3</f>
        <v>51051.3690371326</v>
      </c>
      <c r="Q32" s="15" t="n">
        <f aca="false">O32+P32</f>
        <v>86499.9877606737</v>
      </c>
      <c r="R32" s="15" t="n">
        <f aca="false">Q32-$G$2+$I$2</f>
        <v>80379.9877606737</v>
      </c>
      <c r="S32" s="42" t="n">
        <f aca="false">R32/$K$2</f>
        <v>464.141285140742</v>
      </c>
      <c r="T32" s="43" t="n">
        <f aca="false">S32-$M$2</f>
        <v>-7.06740171381171E-005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0.136265531182289</v>
      </c>
      <c r="C33" s="25" t="n">
        <f aca="false">IF(T32&gt;0,D32,C32)</f>
        <v>0.136265575885773</v>
      </c>
      <c r="D33" s="41" t="n">
        <f aca="false">(B33+C33)/2</f>
        <v>0.136265553534031</v>
      </c>
      <c r="E33" s="15" t="n">
        <f aca="false">$C$2*(1+IF(E$3&lt;=$O$2,$D33,$D33-($D33-$I$6)*MIN(E$3-$O$2,$Q$2)/$Q$2))</f>
        <v>9271.92691683769</v>
      </c>
      <c r="F33" s="15" t="n">
        <f aca="false">E33*(1+IF(F$3&lt;=$O$2,$D33,$D33-($D33-$I$6)*MIN(F$3-$O$2,$Q$2)/$Q$2))</f>
        <v>10535.3711704877</v>
      </c>
      <c r="G33" s="15" t="n">
        <f aca="false">F33*(1+IF(G$3&lt;=$O$2,$D33,$D33-($D33-$I$6)*MIN(G$3-$O$2,$Q$2)/$Q$2))</f>
        <v>11970.9793547206</v>
      </c>
      <c r="H33" s="15" t="n">
        <f aca="false">G33*(1+IF(H$3&lt;=$O$2,$D33,$D33-($D33-$I$6)*MIN(H$3-$O$2,$Q$2)/$Q$2))</f>
        <v>13602.2114828361</v>
      </c>
      <c r="I33" s="15" t="n">
        <f aca="false">H33*(1+IF(I$3&lt;=$O$2,$D33,$D33-($D33-$I$6)*MIN(I$3-$O$2,$Q$2)/$Q$2))</f>
        <v>15455.7243598317</v>
      </c>
      <c r="J33" s="15" t="n">
        <f aca="false">I33*(1+IF(J$3&lt;=$O$2,$D33,$D33-($D33-$I$6)*MIN(J$3-$O$2,$Q$2)/$Q$2))</f>
        <v>17228.0700278379</v>
      </c>
      <c r="K33" s="15" t="n">
        <f aca="false">J33*(1+IF(K$3&lt;=$O$2,$D33,$D33-($D33-$I$6)*MIN(K$3-$O$2,$Q$2)/$Q$2))</f>
        <v>18831.6472797528</v>
      </c>
      <c r="L33" s="15" t="n">
        <f aca="false">K33*(1+IF(L$3&lt;=$O$2,$D33,$D33-($D33-$I$6)*MIN(L$3-$O$2,$Q$2)/$Q$2))</f>
        <v>20177.8505867763</v>
      </c>
      <c r="M33" s="15" t="n">
        <f aca="false">L33*(1+IF(M$3&lt;=$O$2,$D33,$D33-($D33-$I$6)*MIN(M$3-$O$2,$Q$2)/$Q$2))</f>
        <v>21184.5863199277</v>
      </c>
      <c r="N33" s="15" t="n">
        <f aca="false">M33*(1+IF(N$3&lt;=$O$2,$D33,$D33-($D33-$I$6)*MIN(N$3-$O$2,$Q$2)/$Q$2))</f>
        <v>21784.1101127816</v>
      </c>
      <c r="O33" s="15" t="n">
        <f aca="false">SUMPRODUCT(E33:N33,1/(1+$F$6)^$E$3:$N$3)*$E$2</f>
        <v>35448.6221383515</v>
      </c>
      <c r="P33" s="15" t="n">
        <f aca="false">N33*$E$2*(1+$I$6)/($F$6-$I$6)/(1+$F$6)^$N$3</f>
        <v>51051.3761470139</v>
      </c>
      <c r="Q33" s="15" t="n">
        <f aca="false">O33+P33</f>
        <v>86499.9982853654</v>
      </c>
      <c r="R33" s="15" t="n">
        <f aca="false">Q33-$G$2+$I$2</f>
        <v>80379.9982853654</v>
      </c>
      <c r="S33" s="42" t="n">
        <f aca="false">R33/$K$2</f>
        <v>464.141345913878</v>
      </c>
      <c r="T33" s="43" t="n">
        <f aca="false">S33-$M$2</f>
        <v>-9.90088148000723E-006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0.136265553534031</v>
      </c>
      <c r="C34" s="25" t="n">
        <f aca="false">IF(T33&gt;0,D33,C33)</f>
        <v>0.136265575885773</v>
      </c>
      <c r="D34" s="41" t="n">
        <f aca="false">(B34+C34)/2</f>
        <v>0.136265564709902</v>
      </c>
      <c r="E34" s="15" t="n">
        <f aca="false">$C$2*(1+IF(E$3&lt;=$O$2,$D34,$D34-($D34-$I$6)*MIN(E$3-$O$2,$Q$2)/$Q$2))</f>
        <v>9271.9270080328</v>
      </c>
      <c r="F34" s="15" t="n">
        <f aca="false">E34*(1+IF(F$3&lt;=$O$2,$D34,$D34-($D34-$I$6)*MIN(F$3-$O$2,$Q$2)/$Q$2))</f>
        <v>10535.3713777314</v>
      </c>
      <c r="G34" s="15" t="n">
        <f aca="false">F34*(1+IF(G$3&lt;=$O$2,$D34,$D34-($D34-$I$6)*MIN(G$3-$O$2,$Q$2)/$Q$2))</f>
        <v>11970.9797079465</v>
      </c>
      <c r="H34" s="15" t="n">
        <f aca="false">G34*(1+IF(H$3&lt;=$O$2,$D34,$D34-($D34-$I$6)*MIN(H$3-$O$2,$Q$2)/$Q$2))</f>
        <v>13602.2120179806</v>
      </c>
      <c r="I34" s="15" t="n">
        <f aca="false">H34*(1+IF(I$3&lt;=$O$2,$D34,$D34-($D34-$I$6)*MIN(I$3-$O$2,$Q$2)/$Q$2))</f>
        <v>15455.7251199145</v>
      </c>
      <c r="J34" s="15" t="n">
        <f aca="false">I34*(1+IF(J$3&lt;=$O$2,$D34,$D34-($D34-$I$6)*MIN(J$3-$O$2,$Q$2)/$Q$2))</f>
        <v>17228.0710132662</v>
      </c>
      <c r="K34" s="15" t="n">
        <f aca="false">J34*(1+IF(K$3&lt;=$O$2,$D34,$D34-($D34-$I$6)*MIN(K$3-$O$2,$Q$2)/$Q$2))</f>
        <v>18831.6484724273</v>
      </c>
      <c r="L34" s="15" t="n">
        <f aca="false">K34*(1+IF(L$3&lt;=$O$2,$D34,$D34-($D34-$I$6)*MIN(L$3-$O$2,$Q$2)/$Q$2))</f>
        <v>20177.8519488946</v>
      </c>
      <c r="M34" s="15" t="n">
        <f aca="false">L34*(1+IF(M$3&lt;=$O$2,$D34,$D34-($D34-$I$6)*MIN(M$3-$O$2,$Q$2)/$Q$2))</f>
        <v>21184.5877951074</v>
      </c>
      <c r="N34" s="15" t="n">
        <f aca="false">M34*(1+IF(N$3&lt;=$O$2,$D34,$D34-($D34-$I$6)*MIN(N$3-$O$2,$Q$2)/$Q$2))</f>
        <v>21784.1116297089</v>
      </c>
      <c r="O34" s="15" t="n">
        <f aca="false">SUMPRODUCT(E34:N34,1/(1+$F$6)^$E$3:$N$3)*$E$2</f>
        <v>35448.6238457567</v>
      </c>
      <c r="P34" s="15" t="n">
        <f aca="false">N34*$E$2*(1+$I$6)/($F$6-$I$6)/(1+$F$6)^$N$3</f>
        <v>51051.3797019548</v>
      </c>
      <c r="Q34" s="15" t="n">
        <f aca="false">O34+P34</f>
        <v>86500.0035477116</v>
      </c>
      <c r="R34" s="15" t="n">
        <f aca="false">Q34-$G$2+$I$2</f>
        <v>80380.0035477116</v>
      </c>
      <c r="S34" s="42" t="n">
        <f aca="false">R34/$K$2</f>
        <v>464.141376300448</v>
      </c>
      <c r="T34" s="43" t="n">
        <f aca="false">S34-$M$2</f>
        <v>2.04856887080496E-005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0.136265553534031</v>
      </c>
      <c r="C35" s="25" t="n">
        <f aca="false">IF(T34&gt;0,D34,C34)</f>
        <v>0.136265564709902</v>
      </c>
      <c r="D35" s="41" t="n">
        <f aca="false">(B35+C35)/2</f>
        <v>0.136265559121966</v>
      </c>
      <c r="E35" s="15" t="n">
        <f aca="false">$C$2*(1+IF(E$3&lt;=$O$2,$D35,$D35-($D35-$I$6)*MIN(E$3-$O$2,$Q$2)/$Q$2))</f>
        <v>9271.92696243525</v>
      </c>
      <c r="F35" s="15" t="n">
        <f aca="false">E35*(1+IF(F$3&lt;=$O$2,$D35,$D35-($D35-$I$6)*MIN(F$3-$O$2,$Q$2)/$Q$2))</f>
        <v>10535.3712741095</v>
      </c>
      <c r="G35" s="15" t="n">
        <f aca="false">F35*(1+IF(G$3&lt;=$O$2,$D35,$D35-($D35-$I$6)*MIN(G$3-$O$2,$Q$2)/$Q$2))</f>
        <v>11970.9795313336</v>
      </c>
      <c r="H35" s="15" t="n">
        <f aca="false">G35*(1+IF(H$3&lt;=$O$2,$D35,$D35-($D35-$I$6)*MIN(H$3-$O$2,$Q$2)/$Q$2))</f>
        <v>13602.2117504083</v>
      </c>
      <c r="I35" s="15" t="n">
        <f aca="false">H35*(1+IF(I$3&lt;=$O$2,$D35,$D35-($D35-$I$6)*MIN(I$3-$O$2,$Q$2)/$Q$2))</f>
        <v>15455.7247398731</v>
      </c>
      <c r="J35" s="15" t="n">
        <f aca="false">I35*(1+IF(J$3&lt;=$O$2,$D35,$D35-($D35-$I$6)*MIN(J$3-$O$2,$Q$2)/$Q$2))</f>
        <v>17228.070520552</v>
      </c>
      <c r="K35" s="15" t="n">
        <f aca="false">J35*(1+IF(K$3&lt;=$O$2,$D35,$D35-($D35-$I$6)*MIN(K$3-$O$2,$Q$2)/$Q$2))</f>
        <v>18831.6478760901</v>
      </c>
      <c r="L35" s="15" t="n">
        <f aca="false">K35*(1+IF(L$3&lt;=$O$2,$D35,$D35-($D35-$I$6)*MIN(L$3-$O$2,$Q$2)/$Q$2))</f>
        <v>20177.8512678354</v>
      </c>
      <c r="M35" s="15" t="n">
        <f aca="false">L35*(1+IF(M$3&lt;=$O$2,$D35,$D35-($D35-$I$6)*MIN(M$3-$O$2,$Q$2)/$Q$2))</f>
        <v>21184.5870575175</v>
      </c>
      <c r="N35" s="15" t="n">
        <f aca="false">M35*(1+IF(N$3&lt;=$O$2,$D35,$D35-($D35-$I$6)*MIN(N$3-$O$2,$Q$2)/$Q$2))</f>
        <v>21784.1108712453</v>
      </c>
      <c r="O35" s="15" t="n">
        <f aca="false">SUMPRODUCT(E35:N35,1/(1+$F$6)^$E$3:$N$3)*$E$2</f>
        <v>35448.6229920541</v>
      </c>
      <c r="P35" s="15" t="n">
        <f aca="false">N35*$E$2*(1+$I$6)/($F$6-$I$6)/(1+$F$6)^$N$3</f>
        <v>51051.3779244843</v>
      </c>
      <c r="Q35" s="15" t="n">
        <f aca="false">O35+P35</f>
        <v>86500.0009165384</v>
      </c>
      <c r="R35" s="15" t="n">
        <f aca="false">Q35-$G$2+$I$2</f>
        <v>80380.0009165384</v>
      </c>
      <c r="S35" s="42" t="n">
        <f aca="false">R35/$K$2</f>
        <v>464.141361107163</v>
      </c>
      <c r="T35" s="43" t="n">
        <f aca="false">S35-$M$2</f>
        <v>5.29240332980407E-006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0.136265553534031</v>
      </c>
      <c r="C36" s="25" t="n">
        <f aca="false">IF(T35&gt;0,D35,C35)</f>
        <v>0.136265559121966</v>
      </c>
      <c r="D36" s="41" t="n">
        <f aca="false">(B36+C36)/2</f>
        <v>0.136265556327999</v>
      </c>
      <c r="E36" s="15" t="n">
        <f aca="false">$C$2*(1+IF(E$3&lt;=$O$2,$D36,$D36-($D36-$I$6)*MIN(E$3-$O$2,$Q$2)/$Q$2))</f>
        <v>9271.92693963647</v>
      </c>
      <c r="F36" s="15" t="n">
        <f aca="false">E36*(1+IF(F$3&lt;=$O$2,$D36,$D36-($D36-$I$6)*MIN(F$3-$O$2,$Q$2)/$Q$2))</f>
        <v>10535.3712222986</v>
      </c>
      <c r="G36" s="15" t="n">
        <f aca="false">F36*(1+IF(G$3&lt;=$O$2,$D36,$D36-($D36-$I$6)*MIN(G$3-$O$2,$Q$2)/$Q$2))</f>
        <v>11970.9794430271</v>
      </c>
      <c r="H36" s="15" t="n">
        <f aca="false">G36*(1+IF(H$3&lt;=$O$2,$D36,$D36-($D36-$I$6)*MIN(H$3-$O$2,$Q$2)/$Q$2))</f>
        <v>13602.2116166222</v>
      </c>
      <c r="I36" s="15" t="n">
        <f aca="false">H36*(1+IF(I$3&lt;=$O$2,$D36,$D36-($D36-$I$6)*MIN(I$3-$O$2,$Q$2)/$Q$2))</f>
        <v>15455.7245498524</v>
      </c>
      <c r="J36" s="15" t="n">
        <f aca="false">I36*(1+IF(J$3&lt;=$O$2,$D36,$D36-($D36-$I$6)*MIN(J$3-$O$2,$Q$2)/$Q$2))</f>
        <v>17228.0702741949</v>
      </c>
      <c r="K36" s="15" t="n">
        <f aca="false">J36*(1+IF(K$3&lt;=$O$2,$D36,$D36-($D36-$I$6)*MIN(K$3-$O$2,$Q$2)/$Q$2))</f>
        <v>18831.6475779214</v>
      </c>
      <c r="L36" s="15" t="n">
        <f aca="false">K36*(1+IF(L$3&lt;=$O$2,$D36,$D36-($D36-$I$6)*MIN(L$3-$O$2,$Q$2)/$Q$2))</f>
        <v>20177.8509273058</v>
      </c>
      <c r="M36" s="15" t="n">
        <f aca="false">L36*(1+IF(M$3&lt;=$O$2,$D36,$D36-($D36-$I$6)*MIN(M$3-$O$2,$Q$2)/$Q$2))</f>
        <v>21184.5866887226</v>
      </c>
      <c r="N36" s="15" t="n">
        <f aca="false">M36*(1+IF(N$3&lt;=$O$2,$D36,$D36-($D36-$I$6)*MIN(N$3-$O$2,$Q$2)/$Q$2))</f>
        <v>21784.1104920135</v>
      </c>
      <c r="O36" s="15" t="n">
        <f aca="false">SUMPRODUCT(E36:N36,1/(1+$F$6)^$E$3:$N$3)*$E$2</f>
        <v>35448.6225652028</v>
      </c>
      <c r="P36" s="15" t="n">
        <f aca="false">N36*$E$2*(1+$I$6)/($F$6-$I$6)/(1+$F$6)^$N$3</f>
        <v>51051.3770357491</v>
      </c>
      <c r="Q36" s="15" t="n">
        <f aca="false">O36+P36</f>
        <v>86499.9996009519</v>
      </c>
      <c r="R36" s="15" t="n">
        <f aca="false">Q36-$G$2+$I$2</f>
        <v>80379.9996009519</v>
      </c>
      <c r="S36" s="42" t="n">
        <f aca="false">R36/$K$2</f>
        <v>464.14135351052</v>
      </c>
      <c r="T36" s="43" t="n">
        <f aca="false">S36-$M$2</f>
        <v>-2.30423904667987E-006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0.136265556327999</v>
      </c>
      <c r="C37" s="25" t="n">
        <f aca="false">IF(T36&gt;0,D36,C36)</f>
        <v>0.136265559121966</v>
      </c>
      <c r="D37" s="41" t="n">
        <f aca="false">(B37+C37)/2</f>
        <v>0.136265557724983</v>
      </c>
      <c r="E37" s="15" t="n">
        <f aca="false">$C$2*(1+IF(E$3&lt;=$O$2,$D37,$D37-($D37-$I$6)*MIN(E$3-$O$2,$Q$2)/$Q$2))</f>
        <v>9271.92695103586</v>
      </c>
      <c r="F37" s="15" t="n">
        <f aca="false">E37*(1+IF(F$3&lt;=$O$2,$D37,$D37-($D37-$I$6)*MIN(F$3-$O$2,$Q$2)/$Q$2))</f>
        <v>10535.3712482041</v>
      </c>
      <c r="G37" s="15" t="n">
        <f aca="false">F37*(1+IF(G$3&lt;=$O$2,$D37,$D37-($D37-$I$6)*MIN(G$3-$O$2,$Q$2)/$Q$2))</f>
        <v>11970.9794871803</v>
      </c>
      <c r="H37" s="15" t="n">
        <f aca="false">G37*(1+IF(H$3&lt;=$O$2,$D37,$D37-($D37-$I$6)*MIN(H$3-$O$2,$Q$2)/$Q$2))</f>
        <v>13602.2116835153</v>
      </c>
      <c r="I37" s="15" t="n">
        <f aca="false">H37*(1+IF(I$3&lt;=$O$2,$D37,$D37-($D37-$I$6)*MIN(I$3-$O$2,$Q$2)/$Q$2))</f>
        <v>15455.7246448628</v>
      </c>
      <c r="J37" s="15" t="n">
        <f aca="false">I37*(1+IF(J$3&lt;=$O$2,$D37,$D37-($D37-$I$6)*MIN(J$3-$O$2,$Q$2)/$Q$2))</f>
        <v>17228.0703973735</v>
      </c>
      <c r="K37" s="15" t="n">
        <f aca="false">J37*(1+IF(K$3&lt;=$O$2,$D37,$D37-($D37-$I$6)*MIN(K$3-$O$2,$Q$2)/$Q$2))</f>
        <v>18831.6477270057</v>
      </c>
      <c r="L37" s="15" t="n">
        <f aca="false">K37*(1+IF(L$3&lt;=$O$2,$D37,$D37-($D37-$I$6)*MIN(L$3-$O$2,$Q$2)/$Q$2))</f>
        <v>20177.8510975706</v>
      </c>
      <c r="M37" s="15" t="n">
        <f aca="false">L37*(1+IF(M$3&lt;=$O$2,$D37,$D37-($D37-$I$6)*MIN(M$3-$O$2,$Q$2)/$Q$2))</f>
        <v>21184.5868731201</v>
      </c>
      <c r="N37" s="15" t="n">
        <f aca="false">M37*(1+IF(N$3&lt;=$O$2,$D37,$D37-($D37-$I$6)*MIN(N$3-$O$2,$Q$2)/$Q$2))</f>
        <v>21784.1106816294</v>
      </c>
      <c r="O37" s="15" t="n">
        <f aca="false">SUMPRODUCT(E37:N37,1/(1+$F$6)^$E$3:$N$3)*$E$2</f>
        <v>35448.6227786284</v>
      </c>
      <c r="P37" s="15" t="n">
        <f aca="false">N37*$E$2*(1+$I$6)/($F$6-$I$6)/(1+$F$6)^$N$3</f>
        <v>51051.3774801167</v>
      </c>
      <c r="Q37" s="15" t="n">
        <f aca="false">O37+P37</f>
        <v>86500.0002587451</v>
      </c>
      <c r="R37" s="15" t="n">
        <f aca="false">Q37-$G$2+$I$2</f>
        <v>80380.0002587451</v>
      </c>
      <c r="S37" s="42" t="n">
        <f aca="false">R37/$K$2</f>
        <v>464.141357308841</v>
      </c>
      <c r="T37" s="43" t="n">
        <f aca="false">S37-$M$2</f>
        <v>1.49408202787527E-006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0.136265556327999</v>
      </c>
      <c r="C38" s="25" t="n">
        <f aca="false">IF(T37&gt;0,D37,C37)</f>
        <v>0.136265557724983</v>
      </c>
      <c r="D38" s="41" t="n">
        <f aca="false">(B38+C38)/2</f>
        <v>0.136265557026491</v>
      </c>
      <c r="E38" s="15" t="n">
        <f aca="false">$C$2*(1+IF(E$3&lt;=$O$2,$D38,$D38-($D38-$I$6)*MIN(E$3-$O$2,$Q$2)/$Q$2))</f>
        <v>9271.92694533616</v>
      </c>
      <c r="F38" s="15" t="n">
        <f aca="false">E38*(1+IF(F$3&lt;=$O$2,$D38,$D38-($D38-$I$6)*MIN(F$3-$O$2,$Q$2)/$Q$2))</f>
        <v>10535.3712352513</v>
      </c>
      <c r="G38" s="15" t="n">
        <f aca="false">F38*(1+IF(G$3&lt;=$O$2,$D38,$D38-($D38-$I$6)*MIN(G$3-$O$2,$Q$2)/$Q$2))</f>
        <v>11970.9794651037</v>
      </c>
      <c r="H38" s="15" t="n">
        <f aca="false">G38*(1+IF(H$3&lt;=$O$2,$D38,$D38-($D38-$I$6)*MIN(H$3-$O$2,$Q$2)/$Q$2))</f>
        <v>13602.2116500687</v>
      </c>
      <c r="I38" s="15" t="n">
        <f aca="false">H38*(1+IF(I$3&lt;=$O$2,$D38,$D38-($D38-$I$6)*MIN(I$3-$O$2,$Q$2)/$Q$2))</f>
        <v>15455.7245973576</v>
      </c>
      <c r="J38" s="15" t="n">
        <f aca="false">I38*(1+IF(J$3&lt;=$O$2,$D38,$D38-($D38-$I$6)*MIN(J$3-$O$2,$Q$2)/$Q$2))</f>
        <v>17228.0703357842</v>
      </c>
      <c r="K38" s="15" t="n">
        <f aca="false">J38*(1+IF(K$3&lt;=$O$2,$D38,$D38-($D38-$I$6)*MIN(K$3-$O$2,$Q$2)/$Q$2))</f>
        <v>18831.6476524636</v>
      </c>
      <c r="L38" s="15" t="n">
        <f aca="false">K38*(1+IF(L$3&lt;=$O$2,$D38,$D38-($D38-$I$6)*MIN(L$3-$O$2,$Q$2)/$Q$2))</f>
        <v>20177.8510124383</v>
      </c>
      <c r="M38" s="15" t="n">
        <f aca="false">L38*(1+IF(M$3&lt;=$O$2,$D38,$D38-($D38-$I$6)*MIN(M$3-$O$2,$Q$2)/$Q$2))</f>
        <v>21184.5867809213</v>
      </c>
      <c r="N38" s="15" t="n">
        <f aca="false">M38*(1+IF(N$3&lt;=$O$2,$D38,$D38-($D38-$I$6)*MIN(N$3-$O$2,$Q$2)/$Q$2))</f>
        <v>21784.1105868214</v>
      </c>
      <c r="O38" s="15" t="n">
        <f aca="false">SUMPRODUCT(E38:N38,1/(1+$F$6)^$E$3:$N$3)*$E$2</f>
        <v>35448.6226719156</v>
      </c>
      <c r="P38" s="15" t="n">
        <f aca="false">N38*$E$2*(1+$I$6)/($F$6-$I$6)/(1+$F$6)^$N$3</f>
        <v>51051.3772579329</v>
      </c>
      <c r="Q38" s="15" t="n">
        <f aca="false">O38+P38</f>
        <v>86499.9999298485</v>
      </c>
      <c r="R38" s="15" t="n">
        <f aca="false">Q38-$G$2+$I$2</f>
        <v>80379.9999298485</v>
      </c>
      <c r="S38" s="42" t="n">
        <f aca="false">R38/$K$2</f>
        <v>464.141355409681</v>
      </c>
      <c r="T38" s="43" t="n">
        <f aca="false">S38-$M$2</f>
        <v>-4.05078537824011E-007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0.136265557026491</v>
      </c>
      <c r="C39" s="25" t="n">
        <f aca="false">IF(T38&gt;0,D38,C38)</f>
        <v>0.136265557724983</v>
      </c>
      <c r="D39" s="41" t="n">
        <f aca="false">(B39+C39)/2</f>
        <v>0.136265557375737</v>
      </c>
      <c r="E39" s="15" t="n">
        <f aca="false">$C$2*(1+IF(E$3&lt;=$O$2,$D39,$D39-($D39-$I$6)*MIN(E$3-$O$2,$Q$2)/$Q$2))</f>
        <v>9271.92694818601</v>
      </c>
      <c r="F39" s="15" t="n">
        <f aca="false">E39*(1+IF(F$3&lt;=$O$2,$D39,$D39-($D39-$I$6)*MIN(F$3-$O$2,$Q$2)/$Q$2))</f>
        <v>10535.3712417277</v>
      </c>
      <c r="G39" s="15" t="n">
        <f aca="false">F39*(1+IF(G$3&lt;=$O$2,$D39,$D39-($D39-$I$6)*MIN(G$3-$O$2,$Q$2)/$Q$2))</f>
        <v>11970.979476142</v>
      </c>
      <c r="H39" s="15" t="n">
        <f aca="false">G39*(1+IF(H$3&lt;=$O$2,$D39,$D39-($D39-$I$6)*MIN(H$3-$O$2,$Q$2)/$Q$2))</f>
        <v>13602.211666792</v>
      </c>
      <c r="I39" s="15" t="n">
        <f aca="false">H39*(1+IF(I$3&lt;=$O$2,$D39,$D39-($D39-$I$6)*MIN(I$3-$O$2,$Q$2)/$Q$2))</f>
        <v>15455.7246211102</v>
      </c>
      <c r="J39" s="15" t="n">
        <f aca="false">I39*(1+IF(J$3&lt;=$O$2,$D39,$D39-($D39-$I$6)*MIN(J$3-$O$2,$Q$2)/$Q$2))</f>
        <v>17228.0703665788</v>
      </c>
      <c r="K39" s="15" t="n">
        <f aca="false">J39*(1+IF(K$3&lt;=$O$2,$D39,$D39-($D39-$I$6)*MIN(K$3-$O$2,$Q$2)/$Q$2))</f>
        <v>18831.6476897347</v>
      </c>
      <c r="L39" s="15" t="n">
        <f aca="false">K39*(1+IF(L$3&lt;=$O$2,$D39,$D39-($D39-$I$6)*MIN(L$3-$O$2,$Q$2)/$Q$2))</f>
        <v>20177.8510550044</v>
      </c>
      <c r="M39" s="15" t="n">
        <f aca="false">L39*(1+IF(M$3&lt;=$O$2,$D39,$D39-($D39-$I$6)*MIN(M$3-$O$2,$Q$2)/$Q$2))</f>
        <v>21184.5868270207</v>
      </c>
      <c r="N39" s="15" t="n">
        <f aca="false">M39*(1+IF(N$3&lt;=$O$2,$D39,$D39-($D39-$I$6)*MIN(N$3-$O$2,$Q$2)/$Q$2))</f>
        <v>21784.1106342254</v>
      </c>
      <c r="O39" s="15" t="n">
        <f aca="false">SUMPRODUCT(E39:N39,1/(1+$F$6)^$E$3:$N$3)*$E$2</f>
        <v>35448.622725272</v>
      </c>
      <c r="P39" s="15" t="n">
        <f aca="false">N39*$E$2*(1+$I$6)/($F$6-$I$6)/(1+$F$6)^$N$3</f>
        <v>51051.3773690248</v>
      </c>
      <c r="Q39" s="15" t="n">
        <f aca="false">O39+P39</f>
        <v>86500.0000942968</v>
      </c>
      <c r="R39" s="15" t="n">
        <f aca="false">Q39-$G$2+$I$2</f>
        <v>80380.0000942968</v>
      </c>
      <c r="S39" s="42" t="n">
        <f aca="false">R39/$K$2</f>
        <v>464.141356359261</v>
      </c>
      <c r="T39" s="43" t="n">
        <f aca="false">S39-$M$2</f>
        <v>5.44501745025627E-007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0.136265557026491</v>
      </c>
      <c r="C40" s="25" t="n">
        <f aca="false">IF(T39&gt;0,D39,C39)</f>
        <v>0.136265557375737</v>
      </c>
      <c r="D40" s="41" t="n">
        <f aca="false">(B40+C40)/2</f>
        <v>0.136265557201114</v>
      </c>
      <c r="E40" s="15" t="n">
        <f aca="false">$C$2*(1+IF(E$3&lt;=$O$2,$D40,$D40-($D40-$I$6)*MIN(E$3-$O$2,$Q$2)/$Q$2))</f>
        <v>9271.92694676109</v>
      </c>
      <c r="F40" s="15" t="n">
        <f aca="false">E40*(1+IF(F$3&lt;=$O$2,$D40,$D40-($D40-$I$6)*MIN(F$3-$O$2,$Q$2)/$Q$2))</f>
        <v>10535.3712384895</v>
      </c>
      <c r="G40" s="15" t="n">
        <f aca="false">F40*(1+IF(G$3&lt;=$O$2,$D40,$D40-($D40-$I$6)*MIN(G$3-$O$2,$Q$2)/$Q$2))</f>
        <v>11970.9794706229</v>
      </c>
      <c r="H40" s="15" t="n">
        <f aca="false">G40*(1+IF(H$3&lt;=$O$2,$D40,$D40-($D40-$I$6)*MIN(H$3-$O$2,$Q$2)/$Q$2))</f>
        <v>13602.2116584304</v>
      </c>
      <c r="I40" s="15" t="n">
        <f aca="false">H40*(1+IF(I$3&lt;=$O$2,$D40,$D40-($D40-$I$6)*MIN(I$3-$O$2,$Q$2)/$Q$2))</f>
        <v>15455.7246092339</v>
      </c>
      <c r="J40" s="15" t="n">
        <f aca="false">I40*(1+IF(J$3&lt;=$O$2,$D40,$D40-($D40-$I$6)*MIN(J$3-$O$2,$Q$2)/$Q$2))</f>
        <v>17228.0703511815</v>
      </c>
      <c r="K40" s="15" t="n">
        <f aca="false">J40*(1+IF(K$3&lt;=$O$2,$D40,$D40-($D40-$I$6)*MIN(K$3-$O$2,$Q$2)/$Q$2))</f>
        <v>18831.6476710991</v>
      </c>
      <c r="L40" s="15" t="n">
        <f aca="false">K40*(1+IF(L$3&lt;=$O$2,$D40,$D40-($D40-$I$6)*MIN(L$3-$O$2,$Q$2)/$Q$2))</f>
        <v>20177.8510337213</v>
      </c>
      <c r="M40" s="15" t="n">
        <f aca="false">L40*(1+IF(M$3&lt;=$O$2,$D40,$D40-($D40-$I$6)*MIN(M$3-$O$2,$Q$2)/$Q$2))</f>
        <v>21184.586803971</v>
      </c>
      <c r="N40" s="15" t="n">
        <f aca="false">M40*(1+IF(N$3&lt;=$O$2,$D40,$D40-($D40-$I$6)*MIN(N$3-$O$2,$Q$2)/$Q$2))</f>
        <v>21784.1106105234</v>
      </c>
      <c r="O40" s="15" t="n">
        <f aca="false">SUMPRODUCT(E40:N40,1/(1+$F$6)^$E$3:$N$3)*$E$2</f>
        <v>35448.6226985938</v>
      </c>
      <c r="P40" s="15" t="n">
        <f aca="false">N40*$E$2*(1+$I$6)/($F$6-$I$6)/(1+$F$6)^$N$3</f>
        <v>51051.3773134789</v>
      </c>
      <c r="Q40" s="15" t="n">
        <f aca="false">O40+P40</f>
        <v>86500.0000120727</v>
      </c>
      <c r="R40" s="15" t="n">
        <f aca="false">Q40-$G$2+$I$2</f>
        <v>80380.0000120727</v>
      </c>
      <c r="S40" s="42" t="n">
        <f aca="false">R40/$K$2</f>
        <v>464.141355884471</v>
      </c>
      <c r="T40" s="43" t="n">
        <f aca="false">S40-$M$2</f>
        <v>6.97116320225177E-008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0.136265557026491</v>
      </c>
      <c r="C41" s="25" t="n">
        <f aca="false">IF(T40&gt;0,D40,C40)</f>
        <v>0.136265557201114</v>
      </c>
      <c r="D41" s="41" t="n">
        <f aca="false">(B41+C41)/2</f>
        <v>0.136265557113802</v>
      </c>
      <c r="E41" s="15" t="n">
        <f aca="false">$C$2*(1+IF(E$3&lt;=$O$2,$D41,$D41-($D41-$I$6)*MIN(E$3-$O$2,$Q$2)/$Q$2))</f>
        <v>9271.92694604863</v>
      </c>
      <c r="F41" s="15" t="n">
        <f aca="false">E41*(1+IF(F$3&lt;=$O$2,$D41,$D41-($D41-$I$6)*MIN(F$3-$O$2,$Q$2)/$Q$2))</f>
        <v>10535.3712368704</v>
      </c>
      <c r="G41" s="15" t="n">
        <f aca="false">F41*(1+IF(G$3&lt;=$O$2,$D41,$D41-($D41-$I$6)*MIN(G$3-$O$2,$Q$2)/$Q$2))</f>
        <v>11970.9794678633</v>
      </c>
      <c r="H41" s="15" t="n">
        <f aca="false">G41*(1+IF(H$3&lt;=$O$2,$D41,$D41-($D41-$I$6)*MIN(H$3-$O$2,$Q$2)/$Q$2))</f>
        <v>13602.2116542496</v>
      </c>
      <c r="I41" s="15" t="n">
        <f aca="false">H41*(1+IF(I$3&lt;=$O$2,$D41,$D41-($D41-$I$6)*MIN(I$3-$O$2,$Q$2)/$Q$2))</f>
        <v>15455.7246032957</v>
      </c>
      <c r="J41" s="15" t="n">
        <f aca="false">I41*(1+IF(J$3&lt;=$O$2,$D41,$D41-($D41-$I$6)*MIN(J$3-$O$2,$Q$2)/$Q$2))</f>
        <v>17228.0703434829</v>
      </c>
      <c r="K41" s="15" t="n">
        <f aca="false">J41*(1+IF(K$3&lt;=$O$2,$D41,$D41-($D41-$I$6)*MIN(K$3-$O$2,$Q$2)/$Q$2))</f>
        <v>18831.6476617814</v>
      </c>
      <c r="L41" s="15" t="n">
        <f aca="false">K41*(1+IF(L$3&lt;=$O$2,$D41,$D41-($D41-$I$6)*MIN(L$3-$O$2,$Q$2)/$Q$2))</f>
        <v>20177.8510230798</v>
      </c>
      <c r="M41" s="15" t="n">
        <f aca="false">L41*(1+IF(M$3&lt;=$O$2,$D41,$D41-($D41-$I$6)*MIN(M$3-$O$2,$Q$2)/$Q$2))</f>
        <v>21184.5867924462</v>
      </c>
      <c r="N41" s="15" t="n">
        <f aca="false">M41*(1+IF(N$3&lt;=$O$2,$D41,$D41-($D41-$I$6)*MIN(N$3-$O$2,$Q$2)/$Q$2))</f>
        <v>21784.1105986724</v>
      </c>
      <c r="O41" s="15" t="n">
        <f aca="false">SUMPRODUCT(E41:N41,1/(1+$F$6)^$E$3:$N$3)*$E$2</f>
        <v>35448.6226852547</v>
      </c>
      <c r="P41" s="15" t="n">
        <f aca="false">N41*$E$2*(1+$I$6)/($F$6-$I$6)/(1+$F$6)^$N$3</f>
        <v>51051.3772857059</v>
      </c>
      <c r="Q41" s="15" t="n">
        <f aca="false">O41+P41</f>
        <v>86499.9999709606</v>
      </c>
      <c r="R41" s="15" t="n">
        <f aca="false">Q41-$G$2+$I$2</f>
        <v>80379.9999709606</v>
      </c>
      <c r="S41" s="42" t="n">
        <f aca="false">R41/$K$2</f>
        <v>464.141355647076</v>
      </c>
      <c r="T41" s="43" t="n">
        <f aca="false">S41-$M$2</f>
        <v>-1.67683424479037E-007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0.136265557113802</v>
      </c>
      <c r="C42" s="25" t="n">
        <f aca="false">IF(T41&gt;0,D41,C41)</f>
        <v>0.136265557201114</v>
      </c>
      <c r="D42" s="41" t="n">
        <f aca="false">(B42+C42)/2</f>
        <v>0.136265557157458</v>
      </c>
      <c r="E42" s="15" t="n">
        <f aca="false">$C$2*(1+IF(E$3&lt;=$O$2,$D42,$D42-($D42-$I$6)*MIN(E$3-$O$2,$Q$2)/$Q$2))</f>
        <v>9271.92694640486</v>
      </c>
      <c r="F42" s="15" t="n">
        <f aca="false">E42*(1+IF(F$3&lt;=$O$2,$D42,$D42-($D42-$I$6)*MIN(F$3-$O$2,$Q$2)/$Q$2))</f>
        <v>10535.37123768</v>
      </c>
      <c r="G42" s="15" t="n">
        <f aca="false">F42*(1+IF(G$3&lt;=$O$2,$D42,$D42-($D42-$I$6)*MIN(G$3-$O$2,$Q$2)/$Q$2))</f>
        <v>11970.9794692431</v>
      </c>
      <c r="H42" s="15" t="n">
        <f aca="false">G42*(1+IF(H$3&lt;=$O$2,$D42,$D42-($D42-$I$6)*MIN(H$3-$O$2,$Q$2)/$Q$2))</f>
        <v>13602.21165634</v>
      </c>
      <c r="I42" s="15" t="n">
        <f aca="false">H42*(1+IF(I$3&lt;=$O$2,$D42,$D42-($D42-$I$6)*MIN(I$3-$O$2,$Q$2)/$Q$2))</f>
        <v>15455.7246062648</v>
      </c>
      <c r="J42" s="15" t="n">
        <f aca="false">I42*(1+IF(J$3&lt;=$O$2,$D42,$D42-($D42-$I$6)*MIN(J$3-$O$2,$Q$2)/$Q$2))</f>
        <v>17228.0703473322</v>
      </c>
      <c r="K42" s="15" t="n">
        <f aca="false">J42*(1+IF(K$3&lt;=$O$2,$D42,$D42-($D42-$I$6)*MIN(K$3-$O$2,$Q$2)/$Q$2))</f>
        <v>18831.6476664402</v>
      </c>
      <c r="L42" s="15" t="n">
        <f aca="false">K42*(1+IF(L$3&lt;=$O$2,$D42,$D42-($D42-$I$6)*MIN(L$3-$O$2,$Q$2)/$Q$2))</f>
        <v>20177.8510284006</v>
      </c>
      <c r="M42" s="15" t="n">
        <f aca="false">L42*(1+IF(M$3&lt;=$O$2,$D42,$D42-($D42-$I$6)*MIN(M$3-$O$2,$Q$2)/$Q$2))</f>
        <v>21184.5867982086</v>
      </c>
      <c r="N42" s="15" t="n">
        <f aca="false">M42*(1+IF(N$3&lt;=$O$2,$D42,$D42-($D42-$I$6)*MIN(N$3-$O$2,$Q$2)/$Q$2))</f>
        <v>21784.1106045979</v>
      </c>
      <c r="O42" s="15" t="n">
        <f aca="false">SUMPRODUCT(E42:N42,1/(1+$F$6)^$E$3:$N$3)*$E$2</f>
        <v>35448.6226919243</v>
      </c>
      <c r="P42" s="15" t="n">
        <f aca="false">N42*$E$2*(1+$I$6)/($F$6-$I$6)/(1+$F$6)^$N$3</f>
        <v>51051.3772995924</v>
      </c>
      <c r="Q42" s="15" t="n">
        <f aca="false">O42+P42</f>
        <v>86499.9999915166</v>
      </c>
      <c r="R42" s="15" t="n">
        <f aca="false">Q42-$G$2+$I$2</f>
        <v>80379.9999915166</v>
      </c>
      <c r="S42" s="42" t="n">
        <f aca="false">R42/$K$2</f>
        <v>464.141355765773</v>
      </c>
      <c r="T42" s="43" t="n">
        <f aca="false">S42-$M$2</f>
        <v>-4.89859530716785E-008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0.136265557157458</v>
      </c>
      <c r="C43" s="25" t="n">
        <f aca="false">IF(T42&gt;0,D42,C42)</f>
        <v>0.136265557201114</v>
      </c>
      <c r="D43" s="41" t="n">
        <f aca="false">(B43+C43)/2</f>
        <v>0.136265557179286</v>
      </c>
      <c r="E43" s="15" t="n">
        <f aca="false">$C$2*(1+IF(E$3&lt;=$O$2,$D43,$D43-($D43-$I$6)*MIN(E$3-$O$2,$Q$2)/$Q$2))</f>
        <v>9271.92694658297</v>
      </c>
      <c r="F43" s="15" t="n">
        <f aca="false">E43*(1+IF(F$3&lt;=$O$2,$D43,$D43-($D43-$I$6)*MIN(F$3-$O$2,$Q$2)/$Q$2))</f>
        <v>10535.3712380847</v>
      </c>
      <c r="G43" s="15" t="n">
        <f aca="false">F43*(1+IF(G$3&lt;=$O$2,$D43,$D43-($D43-$I$6)*MIN(G$3-$O$2,$Q$2)/$Q$2))</f>
        <v>11970.979469933</v>
      </c>
      <c r="H43" s="15" t="n">
        <f aca="false">G43*(1+IF(H$3&lt;=$O$2,$D43,$D43-($D43-$I$6)*MIN(H$3-$O$2,$Q$2)/$Q$2))</f>
        <v>13602.2116573852</v>
      </c>
      <c r="I43" s="15" t="n">
        <f aca="false">H43*(1+IF(I$3&lt;=$O$2,$D43,$D43-($D43-$I$6)*MIN(I$3-$O$2,$Q$2)/$Q$2))</f>
        <v>15455.7246077493</v>
      </c>
      <c r="J43" s="15" t="n">
        <f aca="false">I43*(1+IF(J$3&lt;=$O$2,$D43,$D43-($D43-$I$6)*MIN(J$3-$O$2,$Q$2)/$Q$2))</f>
        <v>17228.0703492569</v>
      </c>
      <c r="K43" s="15" t="n">
        <f aca="false">J43*(1+IF(K$3&lt;=$O$2,$D43,$D43-($D43-$I$6)*MIN(K$3-$O$2,$Q$2)/$Q$2))</f>
        <v>18831.6476687697</v>
      </c>
      <c r="L43" s="15" t="n">
        <f aca="false">K43*(1+IF(L$3&lt;=$O$2,$D43,$D43-($D43-$I$6)*MIN(L$3-$O$2,$Q$2)/$Q$2))</f>
        <v>20177.851031061</v>
      </c>
      <c r="M43" s="15" t="n">
        <f aca="false">L43*(1+IF(M$3&lt;=$O$2,$D43,$D43-($D43-$I$6)*MIN(M$3-$O$2,$Q$2)/$Q$2))</f>
        <v>21184.5868010898</v>
      </c>
      <c r="N43" s="15" t="n">
        <f aca="false">M43*(1+IF(N$3&lt;=$O$2,$D43,$D43-($D43-$I$6)*MIN(N$3-$O$2,$Q$2)/$Q$2))</f>
        <v>21784.1106075606</v>
      </c>
      <c r="O43" s="15" t="n">
        <f aca="false">SUMPRODUCT(E43:N43,1/(1+$F$6)^$E$3:$N$3)*$E$2</f>
        <v>35448.622695259</v>
      </c>
      <c r="P43" s="15" t="n">
        <f aca="false">N43*$E$2*(1+$I$6)/($F$6-$I$6)/(1+$F$6)^$N$3</f>
        <v>51051.3773065356</v>
      </c>
      <c r="Q43" s="15" t="n">
        <f aca="false">O43+P43</f>
        <v>86500.0000017946</v>
      </c>
      <c r="R43" s="15" t="n">
        <f aca="false">Q43-$G$2+$I$2</f>
        <v>80380.0000017946</v>
      </c>
      <c r="S43" s="42" t="n">
        <f aca="false">R43/$K$2</f>
        <v>464.141355825122</v>
      </c>
      <c r="T43" s="43" t="n">
        <f aca="false">S43-$M$2</f>
        <v>1.03628394754196E-008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0.136265557157458</v>
      </c>
      <c r="C44" s="25" t="n">
        <f aca="false">IF(T43&gt;0,D43,C43)</f>
        <v>0.136265557179286</v>
      </c>
      <c r="D44" s="41" t="n">
        <f aca="false">(B44+C44)/2</f>
        <v>0.136265557168372</v>
      </c>
      <c r="E44" s="15" t="n">
        <f aca="false">$C$2*(1+IF(E$3&lt;=$O$2,$D44,$D44-($D44-$I$6)*MIN(E$3-$O$2,$Q$2)/$Q$2))</f>
        <v>9271.92694649391</v>
      </c>
      <c r="F44" s="15" t="n">
        <f aca="false">E44*(1+IF(F$3&lt;=$O$2,$D44,$D44-($D44-$I$6)*MIN(F$3-$O$2,$Q$2)/$Q$2))</f>
        <v>10535.3712378823</v>
      </c>
      <c r="G44" s="15" t="n">
        <f aca="false">F44*(1+IF(G$3&lt;=$O$2,$D44,$D44-($D44-$I$6)*MIN(G$3-$O$2,$Q$2)/$Q$2))</f>
        <v>11970.979469588</v>
      </c>
      <c r="H44" s="15" t="n">
        <f aca="false">G44*(1+IF(H$3&lt;=$O$2,$D44,$D44-($D44-$I$6)*MIN(H$3-$O$2,$Q$2)/$Q$2))</f>
        <v>13602.2116568626</v>
      </c>
      <c r="I44" s="15" t="n">
        <f aca="false">H44*(1+IF(I$3&lt;=$O$2,$D44,$D44-($D44-$I$6)*MIN(I$3-$O$2,$Q$2)/$Q$2))</f>
        <v>15455.7246070071</v>
      </c>
      <c r="J44" s="15" t="n">
        <f aca="false">I44*(1+IF(J$3&lt;=$O$2,$D44,$D44-($D44-$I$6)*MIN(J$3-$O$2,$Q$2)/$Q$2))</f>
        <v>17228.0703482945</v>
      </c>
      <c r="K44" s="15" t="n">
        <f aca="false">J44*(1+IF(K$3&lt;=$O$2,$D44,$D44-($D44-$I$6)*MIN(K$3-$O$2,$Q$2)/$Q$2))</f>
        <v>18831.647667605</v>
      </c>
      <c r="L44" s="15" t="n">
        <f aca="false">K44*(1+IF(L$3&lt;=$O$2,$D44,$D44-($D44-$I$6)*MIN(L$3-$O$2,$Q$2)/$Q$2))</f>
        <v>20177.8510297308</v>
      </c>
      <c r="M44" s="15" t="n">
        <f aca="false">L44*(1+IF(M$3&lt;=$O$2,$D44,$D44-($D44-$I$6)*MIN(M$3-$O$2,$Q$2)/$Q$2))</f>
        <v>21184.5867996492</v>
      </c>
      <c r="N44" s="15" t="n">
        <f aca="false">M44*(1+IF(N$3&lt;=$O$2,$D44,$D44-($D44-$I$6)*MIN(N$3-$O$2,$Q$2)/$Q$2))</f>
        <v>21784.1106060793</v>
      </c>
      <c r="O44" s="15" t="n">
        <f aca="false">SUMPRODUCT(E44:N44,1/(1+$F$6)^$E$3:$N$3)*$E$2</f>
        <v>35448.6226935916</v>
      </c>
      <c r="P44" s="15" t="n">
        <f aca="false">N44*$E$2*(1+$I$6)/($F$6-$I$6)/(1+$F$6)^$N$3</f>
        <v>51051.377303064</v>
      </c>
      <c r="Q44" s="15" t="n">
        <f aca="false">O44+P44</f>
        <v>86499.9999966556</v>
      </c>
      <c r="R44" s="15" t="n">
        <f aca="false">Q44-$G$2+$I$2</f>
        <v>80379.9999966556</v>
      </c>
      <c r="S44" s="42" t="n">
        <f aca="false">R44/$K$2</f>
        <v>464.141355795448</v>
      </c>
      <c r="T44" s="43" t="n">
        <f aca="false">S44-$M$2</f>
        <v>-1.93115852198389E-008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0.136265557168372</v>
      </c>
      <c r="C45" s="25" t="n">
        <f aca="false">IF(T44&gt;0,D44,C44)</f>
        <v>0.136265557179286</v>
      </c>
      <c r="D45" s="41" t="n">
        <f aca="false">(B45+C45)/2</f>
        <v>0.136265557173829</v>
      </c>
      <c r="E45" s="15" t="n">
        <f aca="false">$C$2*(1+IF(E$3&lt;=$O$2,$D45,$D45-($D45-$I$6)*MIN(E$3-$O$2,$Q$2)/$Q$2))</f>
        <v>9271.92694653844</v>
      </c>
      <c r="F45" s="15" t="n">
        <f aca="false">E45*(1+IF(F$3&lt;=$O$2,$D45,$D45-($D45-$I$6)*MIN(F$3-$O$2,$Q$2)/$Q$2))</f>
        <v>10535.3712379835</v>
      </c>
      <c r="G45" s="15" t="n">
        <f aca="false">F45*(1+IF(G$3&lt;=$O$2,$D45,$D45-($D45-$I$6)*MIN(G$3-$O$2,$Q$2)/$Q$2))</f>
        <v>11970.9794697605</v>
      </c>
      <c r="H45" s="15" t="n">
        <f aca="false">G45*(1+IF(H$3&lt;=$O$2,$D45,$D45-($D45-$I$6)*MIN(H$3-$O$2,$Q$2)/$Q$2))</f>
        <v>13602.2116571239</v>
      </c>
      <c r="I45" s="15" t="n">
        <f aca="false">H45*(1+IF(I$3&lt;=$O$2,$D45,$D45-($D45-$I$6)*MIN(I$3-$O$2,$Q$2)/$Q$2))</f>
        <v>15455.7246073782</v>
      </c>
      <c r="J45" s="15" t="n">
        <f aca="false">I45*(1+IF(J$3&lt;=$O$2,$D45,$D45-($D45-$I$6)*MIN(J$3-$O$2,$Q$2)/$Q$2))</f>
        <v>17228.0703487757</v>
      </c>
      <c r="K45" s="15" t="n">
        <f aca="false">J45*(1+IF(K$3&lt;=$O$2,$D45,$D45-($D45-$I$6)*MIN(K$3-$O$2,$Q$2)/$Q$2))</f>
        <v>18831.6476681873</v>
      </c>
      <c r="L45" s="15" t="n">
        <f aca="false">K45*(1+IF(L$3&lt;=$O$2,$D45,$D45-($D45-$I$6)*MIN(L$3-$O$2,$Q$2)/$Q$2))</f>
        <v>20177.8510303959</v>
      </c>
      <c r="M45" s="15" t="n">
        <f aca="false">L45*(1+IF(M$3&lt;=$O$2,$D45,$D45-($D45-$I$6)*MIN(M$3-$O$2,$Q$2)/$Q$2))</f>
        <v>21184.5868003695</v>
      </c>
      <c r="N45" s="15" t="n">
        <f aca="false">M45*(1+IF(N$3&lt;=$O$2,$D45,$D45-($D45-$I$6)*MIN(N$3-$O$2,$Q$2)/$Q$2))</f>
        <v>21784.11060682</v>
      </c>
      <c r="O45" s="15" t="n">
        <f aca="false">SUMPRODUCT(E45:N45,1/(1+$F$6)^$E$3:$N$3)*$E$2</f>
        <v>35448.6226944253</v>
      </c>
      <c r="P45" s="15" t="n">
        <f aca="false">N45*$E$2*(1+$I$6)/($F$6-$I$6)/(1+$F$6)^$N$3</f>
        <v>51051.3773047998</v>
      </c>
      <c r="Q45" s="15" t="n">
        <f aca="false">O45+P45</f>
        <v>86499.9999992251</v>
      </c>
      <c r="R45" s="15" t="n">
        <f aca="false">Q45-$G$2+$I$2</f>
        <v>80379.9999992251</v>
      </c>
      <c r="S45" s="42" t="n">
        <f aca="false">R45/$K$2</f>
        <v>464.141355810285</v>
      </c>
      <c r="T45" s="43" t="n">
        <f aca="false">S45-$M$2</f>
        <v>-4.47431602879078E-009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0.136265557173829</v>
      </c>
      <c r="C46" s="25" t="n">
        <f aca="false">IF(T45&gt;0,D45,C45)</f>
        <v>0.136265557179286</v>
      </c>
      <c r="D46" s="41" t="n">
        <f aca="false">(B46+C46)/2</f>
        <v>0.136265557176557</v>
      </c>
      <c r="E46" s="15" t="n">
        <f aca="false">$C$2*(1+IF(E$3&lt;=$O$2,$D46,$D46-($D46-$I$6)*MIN(E$3-$O$2,$Q$2)/$Q$2))</f>
        <v>9271.92694656071</v>
      </c>
      <c r="F46" s="15" t="n">
        <f aca="false">E46*(1+IF(F$3&lt;=$O$2,$D46,$D46-($D46-$I$6)*MIN(F$3-$O$2,$Q$2)/$Q$2))</f>
        <v>10535.3712380341</v>
      </c>
      <c r="G46" s="15" t="n">
        <f aca="false">F46*(1+IF(G$3&lt;=$O$2,$D46,$D46-($D46-$I$6)*MIN(G$3-$O$2,$Q$2)/$Q$2))</f>
        <v>11970.9794698467</v>
      </c>
      <c r="H46" s="15" t="n">
        <f aca="false">G46*(1+IF(H$3&lt;=$O$2,$D46,$D46-($D46-$I$6)*MIN(H$3-$O$2,$Q$2)/$Q$2))</f>
        <v>13602.2116572545</v>
      </c>
      <c r="I46" s="15" t="n">
        <f aca="false">H46*(1+IF(I$3&lt;=$O$2,$D46,$D46-($D46-$I$6)*MIN(I$3-$O$2,$Q$2)/$Q$2))</f>
        <v>15455.7246075638</v>
      </c>
      <c r="J46" s="15" t="n">
        <f aca="false">I46*(1+IF(J$3&lt;=$O$2,$D46,$D46-($D46-$I$6)*MIN(J$3-$O$2,$Q$2)/$Q$2))</f>
        <v>17228.0703490163</v>
      </c>
      <c r="K46" s="15" t="n">
        <f aca="false">J46*(1+IF(K$3&lt;=$O$2,$D46,$D46-($D46-$I$6)*MIN(K$3-$O$2,$Q$2)/$Q$2))</f>
        <v>18831.6476684785</v>
      </c>
      <c r="L46" s="15" t="n">
        <f aca="false">K46*(1+IF(L$3&lt;=$O$2,$D46,$D46-($D46-$I$6)*MIN(L$3-$O$2,$Q$2)/$Q$2))</f>
        <v>20177.8510307284</v>
      </c>
      <c r="M46" s="15" t="n">
        <f aca="false">L46*(1+IF(M$3&lt;=$O$2,$D46,$D46-($D46-$I$6)*MIN(M$3-$O$2,$Q$2)/$Q$2))</f>
        <v>21184.5868007297</v>
      </c>
      <c r="N46" s="15" t="n">
        <f aca="false">M46*(1+IF(N$3&lt;=$O$2,$D46,$D46-($D46-$I$6)*MIN(N$3-$O$2,$Q$2)/$Q$2))</f>
        <v>21784.1106071903</v>
      </c>
      <c r="O46" s="15" t="n">
        <f aca="false">SUMPRODUCT(E46:N46,1/(1+$F$6)^$E$3:$N$3)*$E$2</f>
        <v>35448.6226948422</v>
      </c>
      <c r="P46" s="15" t="n">
        <f aca="false">N46*$E$2*(1+$I$6)/($F$6-$I$6)/(1+$F$6)^$N$3</f>
        <v>51051.3773056677</v>
      </c>
      <c r="Q46" s="15" t="n">
        <f aca="false">O46+P46</f>
        <v>86500.0000005099</v>
      </c>
      <c r="R46" s="15" t="n">
        <f aca="false">Q46-$G$2+$I$2</f>
        <v>80380.0000005099</v>
      </c>
      <c r="S46" s="42" t="n">
        <f aca="false">R46/$K$2</f>
        <v>464.141355817703</v>
      </c>
      <c r="T46" s="43" t="n">
        <f aca="false">S46-$M$2</f>
        <v>2.94420487989555E-009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0.136265557173829</v>
      </c>
      <c r="C47" s="25" t="n">
        <f aca="false">IF(T46&gt;0,D46,C46)</f>
        <v>0.136265557176557</v>
      </c>
      <c r="D47" s="41" t="n">
        <f aca="false">(B47+C47)/2</f>
        <v>0.136265557175193</v>
      </c>
      <c r="E47" s="15" t="n">
        <f aca="false">$C$2*(1+IF(E$3&lt;=$O$2,$D47,$D47-($D47-$I$6)*MIN(E$3-$O$2,$Q$2)/$Q$2))</f>
        <v>9271.92694654957</v>
      </c>
      <c r="F47" s="15" t="n">
        <f aca="false">E47*(1+IF(F$3&lt;=$O$2,$D47,$D47-($D47-$I$6)*MIN(F$3-$O$2,$Q$2)/$Q$2))</f>
        <v>10535.3712380088</v>
      </c>
      <c r="G47" s="15" t="n">
        <f aca="false">F47*(1+IF(G$3&lt;=$O$2,$D47,$D47-($D47-$I$6)*MIN(G$3-$O$2,$Q$2)/$Q$2))</f>
        <v>11970.9794698036</v>
      </c>
      <c r="H47" s="15" t="n">
        <f aca="false">G47*(1+IF(H$3&lt;=$O$2,$D47,$D47-($D47-$I$6)*MIN(H$3-$O$2,$Q$2)/$Q$2))</f>
        <v>13602.2116571892</v>
      </c>
      <c r="I47" s="15" t="n">
        <f aca="false">H47*(1+IF(I$3&lt;=$O$2,$D47,$D47-($D47-$I$6)*MIN(I$3-$O$2,$Q$2)/$Q$2))</f>
        <v>15455.724607471</v>
      </c>
      <c r="J47" s="15" t="n">
        <f aca="false">I47*(1+IF(J$3&lt;=$O$2,$D47,$D47-($D47-$I$6)*MIN(J$3-$O$2,$Q$2)/$Q$2))</f>
        <v>17228.070348896</v>
      </c>
      <c r="K47" s="15" t="n">
        <f aca="false">J47*(1+IF(K$3&lt;=$O$2,$D47,$D47-($D47-$I$6)*MIN(K$3-$O$2,$Q$2)/$Q$2))</f>
        <v>18831.6476683329</v>
      </c>
      <c r="L47" s="15" t="n">
        <f aca="false">K47*(1+IF(L$3&lt;=$O$2,$D47,$D47-($D47-$I$6)*MIN(L$3-$O$2,$Q$2)/$Q$2))</f>
        <v>20177.8510305621</v>
      </c>
      <c r="M47" s="15" t="n">
        <f aca="false">L47*(1+IF(M$3&lt;=$O$2,$D47,$D47-($D47-$I$6)*MIN(M$3-$O$2,$Q$2)/$Q$2))</f>
        <v>21184.5868005496</v>
      </c>
      <c r="N47" s="15" t="n">
        <f aca="false">M47*(1+IF(N$3&lt;=$O$2,$D47,$D47-($D47-$I$6)*MIN(N$3-$O$2,$Q$2)/$Q$2))</f>
        <v>21784.1106070051</v>
      </c>
      <c r="O47" s="15" t="n">
        <f aca="false">SUMPRODUCT(E47:N47,1/(1+$F$6)^$E$3:$N$3)*$E$2</f>
        <v>35448.6226946338</v>
      </c>
      <c r="P47" s="15" t="n">
        <f aca="false">N47*$E$2*(1+$I$6)/($F$6-$I$6)/(1+$F$6)^$N$3</f>
        <v>51051.3773052337</v>
      </c>
      <c r="Q47" s="15" t="n">
        <f aca="false">O47+P47</f>
        <v>86499.9999998675</v>
      </c>
      <c r="R47" s="15" t="n">
        <f aca="false">Q47-$G$2+$I$2</f>
        <v>80379.9999998675</v>
      </c>
      <c r="S47" s="42" t="n">
        <f aca="false">R47/$K$2</f>
        <v>464.141355813994</v>
      </c>
      <c r="T47" s="43" t="n">
        <f aca="false">S47-$M$2</f>
        <v>-7.64998731028754E-010</v>
      </c>
    </row>
    <row r="49" customFormat="false" ht="15" hidden="false" customHeight="false" outlineLevel="0" collapsed="false">
      <c r="A49" s="38" t="s">
        <v>182</v>
      </c>
      <c r="E49" s="5" t="s">
        <v>11</v>
      </c>
      <c r="F49" s="12" t="n">
        <f aca="false">Sensitivity!$B$10</f>
        <v>0.0853160519233867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162</v>
      </c>
      <c r="B50" s="28" t="s">
        <v>163</v>
      </c>
      <c r="C50" s="28" t="s">
        <v>164</v>
      </c>
      <c r="D50" s="28" t="s">
        <v>165</v>
      </c>
      <c r="E50" s="28" t="s">
        <v>166</v>
      </c>
      <c r="F50" s="28" t="s">
        <v>167</v>
      </c>
      <c r="G50" s="28" t="s">
        <v>168</v>
      </c>
      <c r="H50" s="28" t="s">
        <v>169</v>
      </c>
      <c r="I50" s="28" t="s">
        <v>170</v>
      </c>
      <c r="J50" s="28" t="s">
        <v>171</v>
      </c>
      <c r="K50" s="28" t="s">
        <v>172</v>
      </c>
      <c r="L50" s="28" t="s">
        <v>173</v>
      </c>
      <c r="M50" s="28" t="s">
        <v>174</v>
      </c>
      <c r="N50" s="28" t="s">
        <v>175</v>
      </c>
      <c r="O50" s="28" t="s">
        <v>176</v>
      </c>
      <c r="P50" s="28" t="s">
        <v>177</v>
      </c>
      <c r="Q50" s="28" t="s">
        <v>178</v>
      </c>
      <c r="R50" s="28" t="s">
        <v>179</v>
      </c>
      <c r="S50" s="28" t="s">
        <v>180</v>
      </c>
      <c r="T50" s="28" t="s">
        <v>181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10200</v>
      </c>
      <c r="F51" s="15" t="n">
        <f aca="false">E51*(1+IF(F$3&lt;=$O$2,$D51,$D51-($D51-$I$49)*MIN(F$3-$O$2,$Q$2)/$Q$2))</f>
        <v>12750</v>
      </c>
      <c r="G51" s="15" t="n">
        <f aca="false">F51*(1+IF(G$3&lt;=$O$2,$D51,$D51-($D51-$I$49)*MIN(G$3-$O$2,$Q$2)/$Q$2))</f>
        <v>15937.5</v>
      </c>
      <c r="H51" s="15" t="n">
        <f aca="false">G51*(1+IF(H$3&lt;=$O$2,$D51,$D51-($D51-$I$49)*MIN(H$3-$O$2,$Q$2)/$Q$2))</f>
        <v>19921.875</v>
      </c>
      <c r="I51" s="15" t="n">
        <f aca="false">H51*(1+IF(I$3&lt;=$O$2,$D51,$D51-($D51-$I$49)*MIN(I$3-$O$2,$Q$2)/$Q$2))</f>
        <v>24902.34375</v>
      </c>
      <c r="J51" s="15" t="n">
        <f aca="false">I51*(1+IF(J$3&lt;=$O$2,$D51,$D51-($D51-$I$49)*MIN(J$3-$O$2,$Q$2)/$Q$2))</f>
        <v>29973.955078125</v>
      </c>
      <c r="K51" s="15" t="n">
        <f aca="false">J51*(1+IF(K$3&lt;=$O$2,$D51,$D51-($D51-$I$49)*MIN(K$3-$O$2,$Q$2)/$Q$2))</f>
        <v>34689.4576910156</v>
      </c>
      <c r="L51" s="15" t="n">
        <f aca="false">K51*(1+IF(L$3&lt;=$O$2,$D51,$D51-($D51-$I$49)*MIN(L$3-$O$2,$Q$2)/$Q$2))</f>
        <v>38539.2937055645</v>
      </c>
      <c r="M51" s="15" t="n">
        <f aca="false">L51*(1+IF(M$3&lt;=$O$2,$D51,$D51-($D51-$I$49)*MIN(M$3-$O$2,$Q$2)/$Q$2))</f>
        <v>41030.4736506922</v>
      </c>
      <c r="N51" s="15" t="n">
        <f aca="false">M51*(1+IF(N$3&lt;=$O$2,$D51,$D51-($D51-$I$49)*MIN(N$3-$O$2,$Q$2)/$Q$2))</f>
        <v>41781.3313184999</v>
      </c>
      <c r="O51" s="15" t="n">
        <f aca="false">SUMPRODUCT(E51:N51,1/(1+$F$49)^$E$3:$N$3)*$E$2</f>
        <v>60570.2441214767</v>
      </c>
      <c r="P51" s="15" t="n">
        <f aca="false">N51*$E$2*(1+$I$49)/($F$49-$I$49)/(1+$F$49)^$N$3</f>
        <v>106276.702828611</v>
      </c>
      <c r="Q51" s="15" t="n">
        <f aca="false">O51+P51</f>
        <v>166846.946950088</v>
      </c>
      <c r="R51" s="15" t="n">
        <f aca="false">Q51-$G$2+$I$2</f>
        <v>160726.946950088</v>
      </c>
      <c r="S51" s="42" t="n">
        <f aca="false">R51/$K$2</f>
        <v>928.09185211969</v>
      </c>
      <c r="T51" s="43" t="n">
        <f aca="false">S51-$M$2</f>
        <v>463.950496304931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7140</v>
      </c>
      <c r="F52" s="15" t="n">
        <f aca="false">E52*(1+IF(F$3&lt;=$O$2,$D52,$D52-($D52-$I$49)*MIN(F$3-$O$2,$Q$2)/$Q$2))</f>
        <v>6247.5</v>
      </c>
      <c r="G52" s="15" t="n">
        <f aca="false">F52*(1+IF(G$3&lt;=$O$2,$D52,$D52-($D52-$I$49)*MIN(G$3-$O$2,$Q$2)/$Q$2))</f>
        <v>5466.5625</v>
      </c>
      <c r="H52" s="15" t="n">
        <f aca="false">G52*(1+IF(H$3&lt;=$O$2,$D52,$D52-($D52-$I$49)*MIN(H$3-$O$2,$Q$2)/$Q$2))</f>
        <v>4783.2421875</v>
      </c>
      <c r="I52" s="15" t="n">
        <f aca="false">H52*(1+IF(I$3&lt;=$O$2,$D52,$D52-($D52-$I$49)*MIN(I$3-$O$2,$Q$2)/$Q$2))</f>
        <v>4185.3369140625</v>
      </c>
      <c r="J52" s="15" t="n">
        <f aca="false">I52*(1+IF(J$3&lt;=$O$2,$D52,$D52-($D52-$I$49)*MIN(J$3-$O$2,$Q$2)/$Q$2))</f>
        <v>3782.12155576172</v>
      </c>
      <c r="K52" s="15" t="n">
        <f aca="false">J52*(1+IF(K$3&lt;=$O$2,$D52,$D52-($D52-$I$49)*MIN(K$3-$O$2,$Q$2)/$Q$2))</f>
        <v>3526.14756886777</v>
      </c>
      <c r="L52" s="15" t="n">
        <f aca="false">K52*(1+IF(L$3&lt;=$O$2,$D52,$D52-($D52-$I$49)*MIN(L$3-$O$2,$Q$2)/$Q$2))</f>
        <v>3388.55729073055</v>
      </c>
      <c r="M52" s="15" t="n">
        <f aca="false">L52*(1+IF(M$3&lt;=$O$2,$D52,$D52-($D52-$I$49)*MIN(M$3-$O$2,$Q$2)/$Q$2))</f>
        <v>3353.45183719858</v>
      </c>
      <c r="N52" s="15" t="n">
        <f aca="false">M52*(1+IF(N$3&lt;=$O$2,$D52,$D52-($D52-$I$49)*MIN(N$3-$O$2,$Q$2)/$Q$2))</f>
        <v>3414.82000581931</v>
      </c>
      <c r="O52" s="15" t="n">
        <f aca="false">SUMPRODUCT(E52:N52,1/(1+$F$49)^$E$3:$N$3)*$E$2</f>
        <v>11979.6004483342</v>
      </c>
      <c r="P52" s="15" t="n">
        <f aca="false">N52*$E$2*(1+$I$49)/($F$49-$I$49)/(1+$F$49)^$N$3</f>
        <v>8686.07580273452</v>
      </c>
      <c r="Q52" s="15" t="n">
        <f aca="false">O52+P52</f>
        <v>20665.6762510687</v>
      </c>
      <c r="R52" s="15" t="n">
        <f aca="false">Q52-$G$2+$I$2</f>
        <v>14545.6762510687</v>
      </c>
      <c r="S52" s="42" t="n">
        <f aca="false">R52/$K$2</f>
        <v>83.9916633044735</v>
      </c>
      <c r="T52" s="43" t="n">
        <f aca="false">S52-$M$2</f>
        <v>-380.149692510286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8670</v>
      </c>
      <c r="F53" s="15" t="n">
        <f aca="false">E53*(1+IF(F$3&lt;=$O$2,$D53,$D53-($D53-$I$49)*MIN(F$3-$O$2,$Q$2)/$Q$2))</f>
        <v>9211.875</v>
      </c>
      <c r="G53" s="15" t="n">
        <f aca="false">F53*(1+IF(G$3&lt;=$O$2,$D53,$D53-($D53-$I$49)*MIN(G$3-$O$2,$Q$2)/$Q$2))</f>
        <v>9787.6171875</v>
      </c>
      <c r="H53" s="15" t="n">
        <f aca="false">G53*(1+IF(H$3&lt;=$O$2,$D53,$D53-($D53-$I$49)*MIN(H$3-$O$2,$Q$2)/$Q$2))</f>
        <v>10399.3432617188</v>
      </c>
      <c r="I53" s="15" t="n">
        <f aca="false">H53*(1+IF(I$3&lt;=$O$2,$D53,$D53-($D53-$I$49)*MIN(I$3-$O$2,$Q$2)/$Q$2))</f>
        <v>11049.3022155762</v>
      </c>
      <c r="J53" s="15" t="n">
        <f aca="false">I53*(1+IF(J$3&lt;=$O$2,$D53,$D53-($D53-$I$49)*MIN(J$3-$O$2,$Q$2)/$Q$2))</f>
        <v>11642.207772464</v>
      </c>
      <c r="K53" s="15" t="n">
        <f aca="false">J53*(1+IF(K$3&lt;=$O$2,$D53,$D53-($D53-$I$49)*MIN(K$3-$O$2,$Q$2)/$Q$2))</f>
        <v>12164.0115248258</v>
      </c>
      <c r="L53" s="15" t="n">
        <f aca="false">K53*(1+IF(L$3&lt;=$O$2,$D53,$D53-($D53-$I$49)*MIN(L$3-$O$2,$Q$2)/$Q$2))</f>
        <v>12601.6726594891</v>
      </c>
      <c r="M53" s="15" t="n">
        <f aca="false">L53*(1+IF(M$3&lt;=$O$2,$D53,$D53-($D53-$I$49)*MIN(M$3-$O$2,$Q$2)/$Q$2))</f>
        <v>12943.6820554676</v>
      </c>
      <c r="N53" s="15" t="n">
        <f aca="false">M53*(1+IF(N$3&lt;=$O$2,$D53,$D53-($D53-$I$49)*MIN(N$3-$O$2,$Q$2)/$Q$2))</f>
        <v>13180.5514370826</v>
      </c>
      <c r="O53" s="15" t="n">
        <f aca="false">SUMPRODUCT(E53:N53,1/(1+$F$49)^$E$3:$N$3)*$E$2</f>
        <v>26887.8910932075</v>
      </c>
      <c r="P53" s="15" t="n">
        <f aca="false">N53*$E$2*(1+$I$49)/($F$49-$I$49)/(1+$F$49)^$N$3</f>
        <v>33526.5896033289</v>
      </c>
      <c r="Q53" s="15" t="n">
        <f aca="false">O53+P53</f>
        <v>60414.4806965364</v>
      </c>
      <c r="R53" s="15" t="n">
        <f aca="false">Q53-$G$2+$I$2</f>
        <v>54294.4806965364</v>
      </c>
      <c r="S53" s="42" t="n">
        <f aca="false">R53/$K$2</f>
        <v>313.514728586075</v>
      </c>
      <c r="T53" s="43" t="n">
        <f aca="false">S53-$M$2</f>
        <v>-150.626627228685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41" t="n">
        <f aca="false">(B54+C54)/2</f>
        <v>0.15625</v>
      </c>
      <c r="E54" s="15" t="n">
        <f aca="false">$C$2*(1+IF(E$3&lt;=$O$2,$D54,$D54-($D54-$I$49)*MIN(E$3-$O$2,$Q$2)/$Q$2))</f>
        <v>9435</v>
      </c>
      <c r="F54" s="15" t="n">
        <f aca="false">E54*(1+IF(F$3&lt;=$O$2,$D54,$D54-($D54-$I$49)*MIN(F$3-$O$2,$Q$2)/$Q$2))</f>
        <v>10909.21875</v>
      </c>
      <c r="G54" s="15" t="n">
        <f aca="false">F54*(1+IF(G$3&lt;=$O$2,$D54,$D54-($D54-$I$49)*MIN(G$3-$O$2,$Q$2)/$Q$2))</f>
        <v>12613.7841796875</v>
      </c>
      <c r="H54" s="15" t="n">
        <f aca="false">G54*(1+IF(H$3&lt;=$O$2,$D54,$D54-($D54-$I$49)*MIN(H$3-$O$2,$Q$2)/$Q$2))</f>
        <v>14584.6879577637</v>
      </c>
      <c r="I54" s="15" t="n">
        <f aca="false">H54*(1+IF(I$3&lt;=$O$2,$D54,$D54-($D54-$I$49)*MIN(I$3-$O$2,$Q$2)/$Q$2))</f>
        <v>16863.5454511642</v>
      </c>
      <c r="J54" s="15" t="n">
        <f aca="false">I54*(1+IF(J$3&lt;=$O$2,$D54,$D54-($D54-$I$49)*MIN(J$3-$O$2,$Q$2)/$Q$2))</f>
        <v>19033.209208911</v>
      </c>
      <c r="K54" s="15" t="n">
        <f aca="false">J54*(1+IF(K$3&lt;=$O$2,$D54,$D54-($D54-$I$49)*MIN(K$3-$O$2,$Q$2)/$Q$2))</f>
        <v>20956.8956636557</v>
      </c>
      <c r="L54" s="15" t="n">
        <f aca="false">K54*(1+IF(L$3&lt;=$O$2,$D54,$D54-($D54-$I$49)*MIN(L$3-$O$2,$Q$2)/$Q$2))</f>
        <v>22496.8083570211</v>
      </c>
      <c r="M54" s="15" t="n">
        <f aca="false">L54*(1+IF(M$3&lt;=$O$2,$D54,$D54-($D54-$I$49)*MIN(M$3-$O$2,$Q$2)/$Q$2))</f>
        <v>23529.1868925248</v>
      </c>
      <c r="N54" s="15" t="n">
        <f aca="false">M54*(1+IF(N$3&lt;=$O$2,$D54,$D54-($D54-$I$49)*MIN(N$3-$O$2,$Q$2)/$Q$2))</f>
        <v>23959.771012658</v>
      </c>
      <c r="O54" s="15" t="n">
        <f aca="false">SUMPRODUCT(E54:N54,1/(1+$F$49)^$E$3:$N$3)*$E$2</f>
        <v>40429.566399173</v>
      </c>
      <c r="P54" s="15" t="n">
        <f aca="false">N54*$E$2*(1+$I$49)/($F$49-$I$49)/(1+$F$49)^$N$3</f>
        <v>60945.0532904956</v>
      </c>
      <c r="Q54" s="15" t="n">
        <f aca="false">O54+P54</f>
        <v>101374.619689669</v>
      </c>
      <c r="R54" s="15" t="n">
        <f aca="false">Q54-$G$2+$I$2</f>
        <v>95254.6196896686</v>
      </c>
      <c r="S54" s="42" t="n">
        <f aca="false">R54/$K$2</f>
        <v>550.032449992312</v>
      </c>
      <c r="T54" s="43" t="n">
        <f aca="false">S54-$M$2</f>
        <v>85.8910941775527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41" t="n">
        <f aca="false">(B55+C55)/2</f>
        <v>0.109375</v>
      </c>
      <c r="E55" s="15" t="n">
        <f aca="false">$C$2*(1+IF(E$3&lt;=$O$2,$D55,$D55-($D55-$I$49)*MIN(E$3-$O$2,$Q$2)/$Q$2))</f>
        <v>9052.5</v>
      </c>
      <c r="F55" s="15" t="n">
        <f aca="false">E55*(1+IF(F$3&lt;=$O$2,$D55,$D55-($D55-$I$49)*MIN(F$3-$O$2,$Q$2)/$Q$2))</f>
        <v>10042.6171875</v>
      </c>
      <c r="G55" s="15" t="n">
        <f aca="false">F55*(1+IF(G$3&lt;=$O$2,$D55,$D55-($D55-$I$49)*MIN(G$3-$O$2,$Q$2)/$Q$2))</f>
        <v>11141.0284423828</v>
      </c>
      <c r="H55" s="15" t="n">
        <f aca="false">G55*(1+IF(H$3&lt;=$O$2,$D55,$D55-($D55-$I$49)*MIN(H$3-$O$2,$Q$2)/$Q$2))</f>
        <v>12359.5784282684</v>
      </c>
      <c r="I55" s="15" t="n">
        <f aca="false">H55*(1+IF(I$3&lt;=$O$2,$D55,$D55-($D55-$I$49)*MIN(I$3-$O$2,$Q$2)/$Q$2))</f>
        <v>13711.4073188603</v>
      </c>
      <c r="J55" s="15" t="n">
        <f aca="false">I55*(1+IF(J$3&lt;=$O$2,$D55,$D55-($D55-$I$49)*MIN(J$3-$O$2,$Q$2)/$Q$2))</f>
        <v>14961.3392100476</v>
      </c>
      <c r="K55" s="15" t="n">
        <f aca="false">J55*(1+IF(K$3&lt;=$O$2,$D55,$D55-($D55-$I$49)*MIN(K$3-$O$2,$Q$2)/$Q$2))</f>
        <v>16052.6940987245</v>
      </c>
      <c r="L55" s="15" t="n">
        <f aca="false">K55*(1+IF(L$3&lt;=$O$2,$D55,$D55-($D55-$I$49)*MIN(L$3-$O$2,$Q$2)/$Q$2))</f>
        <v>16931.2580467477</v>
      </c>
      <c r="M55" s="15" t="n">
        <f aca="false">L55*(1+IF(M$3&lt;=$O$2,$D55,$D55-($D55-$I$49)*MIN(M$3-$O$2,$Q$2)/$Q$2))</f>
        <v>17549.5029343247</v>
      </c>
      <c r="N55" s="15" t="n">
        <f aca="false">M55*(1+IF(N$3&lt;=$O$2,$D55,$D55-($D55-$I$49)*MIN(N$3-$O$2,$Q$2)/$Q$2))</f>
        <v>17870.6588380228</v>
      </c>
      <c r="O55" s="15" t="n">
        <f aca="false">SUMPRODUCT(E55:N55,1/(1+$F$49)^$E$3:$N$3)*$E$2</f>
        <v>32977.3959177292</v>
      </c>
      <c r="P55" s="15" t="n">
        <f aca="false">N55*$E$2*(1+$I$49)/($F$49-$I$49)/(1+$F$49)^$N$3</f>
        <v>45456.5385722668</v>
      </c>
      <c r="Q55" s="15" t="n">
        <f aca="false">O55+P55</f>
        <v>78433.9344899961</v>
      </c>
      <c r="R55" s="15" t="n">
        <f aca="false">Q55-$G$2+$I$2</f>
        <v>72313.9344899961</v>
      </c>
      <c r="S55" s="42" t="n">
        <f aca="false">R55/$K$2</f>
        <v>417.565160468854</v>
      </c>
      <c r="T55" s="43" t="n">
        <f aca="false">S55-$M$2</f>
        <v>-46.5761953459056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0.109375</v>
      </c>
      <c r="C56" s="25" t="n">
        <f aca="false">IF(T55&gt;0,D55,C55)</f>
        <v>0.15625</v>
      </c>
      <c r="D56" s="41" t="n">
        <f aca="false">(B56+C56)/2</f>
        <v>0.1328125</v>
      </c>
      <c r="E56" s="15" t="n">
        <f aca="false">$C$2*(1+IF(E$3&lt;=$O$2,$D56,$D56-($D56-$I$49)*MIN(E$3-$O$2,$Q$2)/$Q$2))</f>
        <v>9243.75</v>
      </c>
      <c r="F56" s="15" t="n">
        <f aca="false">E56*(1+IF(F$3&lt;=$O$2,$D56,$D56-($D56-$I$49)*MIN(F$3-$O$2,$Q$2)/$Q$2))</f>
        <v>10471.435546875</v>
      </c>
      <c r="G56" s="15" t="n">
        <f aca="false">F56*(1+IF(G$3&lt;=$O$2,$D56,$D56-($D56-$I$49)*MIN(G$3-$O$2,$Q$2)/$Q$2))</f>
        <v>11862.1730804443</v>
      </c>
      <c r="H56" s="15" t="n">
        <f aca="false">G56*(1+IF(H$3&lt;=$O$2,$D56,$D56-($D56-$I$49)*MIN(H$3-$O$2,$Q$2)/$Q$2))</f>
        <v>13437.6179426909</v>
      </c>
      <c r="I56" s="15" t="n">
        <f aca="false">H56*(1+IF(I$3&lt;=$O$2,$D56,$D56-($D56-$I$49)*MIN(I$3-$O$2,$Q$2)/$Q$2))</f>
        <v>15222.3015757045</v>
      </c>
      <c r="J56" s="15" t="n">
        <f aca="false">I56*(1+IF(J$3&lt;=$O$2,$D56,$D56-($D56-$I$49)*MIN(J$3-$O$2,$Q$2)/$Q$2))</f>
        <v>16895.3847418902</v>
      </c>
      <c r="K56" s="15" t="n">
        <f aca="false">J56*(1+IF(K$3&lt;=$O$2,$D56,$D56-($D56-$I$49)*MIN(K$3-$O$2,$Q$2)/$Q$2))</f>
        <v>18365.4099298202</v>
      </c>
      <c r="L56" s="15" t="n">
        <f aca="false">K56*(1+IF(L$3&lt;=$O$2,$D56,$D56-($D56-$I$49)*MIN(L$3-$O$2,$Q$2)/$Q$2))</f>
        <v>19542.7245333713</v>
      </c>
      <c r="M56" s="15" t="n">
        <f aca="false">L56*(1+IF(M$3&lt;=$O$2,$D56,$D56-($D56-$I$49)*MIN(M$3-$O$2,$Q$2)/$Q$2))</f>
        <v>20347.9336409575</v>
      </c>
      <c r="N56" s="15" t="n">
        <f aca="false">M56*(1+IF(N$3&lt;=$O$2,$D56,$D56-($D56-$I$49)*MIN(N$3-$O$2,$Q$2)/$Q$2))</f>
        <v>20720.300826587</v>
      </c>
      <c r="O56" s="15" t="n">
        <f aca="false">SUMPRODUCT(E56:N56,1/(1+$F$49)^$E$3:$N$3)*$E$2</f>
        <v>36516.9620821152</v>
      </c>
      <c r="P56" s="15" t="n">
        <f aca="false">N56*$E$2*(1+$I$49)/($F$49-$I$49)/(1+$F$49)^$N$3</f>
        <v>52705.0044595296</v>
      </c>
      <c r="Q56" s="15" t="n">
        <f aca="false">O56+P56</f>
        <v>89221.9665416448</v>
      </c>
      <c r="R56" s="15" t="n">
        <f aca="false">Q56-$G$2+$I$2</f>
        <v>83101.9665416448</v>
      </c>
      <c r="S56" s="42" t="n">
        <f aca="false">R56/$K$2</f>
        <v>479.858912932468</v>
      </c>
      <c r="T56" s="43" t="n">
        <f aca="false">S56-$M$2</f>
        <v>15.7175571177087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0.109375</v>
      </c>
      <c r="C57" s="25" t="n">
        <f aca="false">IF(T56&gt;0,D56,C56)</f>
        <v>0.1328125</v>
      </c>
      <c r="D57" s="41" t="n">
        <f aca="false">(B57+C57)/2</f>
        <v>0.12109375</v>
      </c>
      <c r="E57" s="15" t="n">
        <f aca="false">$C$2*(1+IF(E$3&lt;=$O$2,$D57,$D57-($D57-$I$49)*MIN(E$3-$O$2,$Q$2)/$Q$2))</f>
        <v>9148.125</v>
      </c>
      <c r="F57" s="15" t="n">
        <f aca="false">E57*(1+IF(F$3&lt;=$O$2,$D57,$D57-($D57-$I$49)*MIN(F$3-$O$2,$Q$2)/$Q$2))</f>
        <v>10255.9057617188</v>
      </c>
      <c r="G57" s="15" t="n">
        <f aca="false">F57*(1+IF(G$3&lt;=$O$2,$D57,$D57-($D57-$I$49)*MIN(G$3-$O$2,$Q$2)/$Q$2))</f>
        <v>11497.8318500519</v>
      </c>
      <c r="H57" s="15" t="n">
        <f aca="false">G57*(1+IF(H$3&lt;=$O$2,$D57,$D57-($D57-$I$49)*MIN(H$3-$O$2,$Q$2)/$Q$2))</f>
        <v>12890.1474256441</v>
      </c>
      <c r="I57" s="15" t="n">
        <f aca="false">H57*(1+IF(I$3&lt;=$O$2,$D57,$D57-($D57-$I$49)*MIN(I$3-$O$2,$Q$2)/$Q$2))</f>
        <v>14451.0637154682</v>
      </c>
      <c r="J57" s="15" t="n">
        <f aca="false">I57*(1+IF(J$3&lt;=$O$2,$D57,$D57-($D57-$I$49)*MIN(J$3-$O$2,$Q$2)/$Q$2))</f>
        <v>15903.9014061028</v>
      </c>
      <c r="K57" s="15" t="n">
        <f aca="false">J57*(1+IF(K$3&lt;=$O$2,$D57,$D57-($D57-$I$49)*MIN(K$3-$O$2,$Q$2)/$Q$2))</f>
        <v>17175.8358009326</v>
      </c>
      <c r="L57" s="15" t="n">
        <f aca="false">K57*(1+IF(L$3&lt;=$O$2,$D57,$D57-($D57-$I$49)*MIN(L$3-$O$2,$Q$2)/$Q$2))</f>
        <v>18196.3810246345</v>
      </c>
      <c r="M57" s="15" t="n">
        <f aca="false">L57*(1+IF(M$3&lt;=$O$2,$D57,$D57-($D57-$I$49)*MIN(M$3-$O$2,$Q$2)/$Q$2))</f>
        <v>18903.4696457755</v>
      </c>
      <c r="N57" s="15" t="n">
        <f aca="false">M57*(1+IF(N$3&lt;=$O$2,$D57,$D57-($D57-$I$49)*MIN(N$3-$O$2,$Q$2)/$Q$2))</f>
        <v>19249.4031402932</v>
      </c>
      <c r="O57" s="15" t="n">
        <f aca="false">SUMPRODUCT(E57:N57,1/(1+$F$49)^$E$3:$N$3)*$E$2</f>
        <v>34702.6744653807</v>
      </c>
      <c r="P57" s="15" t="n">
        <f aca="false">N57*$E$2*(1+$I$49)/($F$49-$I$49)/(1+$F$49)^$N$3</f>
        <v>48963.5689579681</v>
      </c>
      <c r="Q57" s="15" t="n">
        <f aca="false">O57+P57</f>
        <v>83666.2434233488</v>
      </c>
      <c r="R57" s="15" t="n">
        <f aca="false">Q57-$G$2+$I$2</f>
        <v>77546.2434233488</v>
      </c>
      <c r="S57" s="42" t="n">
        <f aca="false">R57/$K$2</f>
        <v>447.778285156189</v>
      </c>
      <c r="T57" s="43" t="n">
        <f aca="false">S57-$M$2</f>
        <v>-16.3630706585703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0.12109375</v>
      </c>
      <c r="C58" s="25" t="n">
        <f aca="false">IF(T57&gt;0,D57,C57)</f>
        <v>0.1328125</v>
      </c>
      <c r="D58" s="41" t="n">
        <f aca="false">(B58+C58)/2</f>
        <v>0.126953125</v>
      </c>
      <c r="E58" s="15" t="n">
        <f aca="false">$C$2*(1+IF(E$3&lt;=$O$2,$D58,$D58-($D58-$I$49)*MIN(E$3-$O$2,$Q$2)/$Q$2))</f>
        <v>9195.9375</v>
      </c>
      <c r="F58" s="15" t="n">
        <f aca="false">E58*(1+IF(F$3&lt;=$O$2,$D58,$D58-($D58-$I$49)*MIN(F$3-$O$2,$Q$2)/$Q$2))</f>
        <v>10363.3905029297</v>
      </c>
      <c r="G58" s="15" t="n">
        <f aca="false">F58*(1+IF(G$3&lt;=$O$2,$D58,$D58-($D58-$I$49)*MIN(G$3-$O$2,$Q$2)/$Q$2))</f>
        <v>11679.0553128719</v>
      </c>
      <c r="H58" s="15" t="n">
        <f aca="false">G58*(1+IF(H$3&lt;=$O$2,$D58,$D58-($D58-$I$49)*MIN(H$3-$O$2,$Q$2)/$Q$2))</f>
        <v>13161.7478818889</v>
      </c>
      <c r="I58" s="15" t="n">
        <f aca="false">H58*(1+IF(I$3&lt;=$O$2,$D58,$D58-($D58-$I$49)*MIN(I$3-$O$2,$Q$2)/$Q$2))</f>
        <v>14832.6729059568</v>
      </c>
      <c r="J58" s="15" t="n">
        <f aca="false">I58*(1+IF(J$3&lt;=$O$2,$D58,$D58-($D58-$I$49)*MIN(J$3-$O$2,$Q$2)/$Q$2))</f>
        <v>16393.4038308038</v>
      </c>
      <c r="K58" s="15" t="n">
        <f aca="false">J58*(1+IF(K$3&lt;=$O$2,$D58,$D58-($D58-$I$49)*MIN(K$3-$O$2,$Q$2)/$Q$2))</f>
        <v>17762.1198542698</v>
      </c>
      <c r="L58" s="15" t="n">
        <f aca="false">K58*(1+IF(L$3&lt;=$O$2,$D58,$D58-($D58-$I$49)*MIN(L$3-$O$2,$Q$2)/$Q$2))</f>
        <v>18859.1305791194</v>
      </c>
      <c r="M58" s="15" t="n">
        <f aca="false">L58*(1+IF(M$3&lt;=$O$2,$D58,$D58-($D58-$I$49)*MIN(M$3-$O$2,$Q$2)/$Q$2))</f>
        <v>19614.0733631581</v>
      </c>
      <c r="N58" s="15" t="n">
        <f aca="false">M58*(1+IF(N$3&lt;=$O$2,$D58,$D58-($D58-$I$49)*MIN(N$3-$O$2,$Q$2)/$Q$2))</f>
        <v>19973.0109057039</v>
      </c>
      <c r="O58" s="15" t="n">
        <f aca="false">SUMPRODUCT(E58:N58,1/(1+$F$49)^$E$3:$N$3)*$E$2</f>
        <v>35598.4330939936</v>
      </c>
      <c r="P58" s="15" t="n">
        <f aca="false">N58*$E$2*(1+$I$49)/($F$49-$I$49)/(1+$F$49)^$N$3</f>
        <v>50804.1672592237</v>
      </c>
      <c r="Q58" s="15" t="n">
        <f aca="false">O58+P58</f>
        <v>86402.6003532172</v>
      </c>
      <c r="R58" s="15" t="n">
        <f aca="false">Q58-$G$2+$I$2</f>
        <v>80282.6003532172</v>
      </c>
      <c r="S58" s="42" t="n">
        <f aca="false">R58/$K$2</f>
        <v>463.578937251514</v>
      </c>
      <c r="T58" s="43" t="n">
        <f aca="false">S58-$M$2</f>
        <v>-0.562418563245103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0.126953125</v>
      </c>
      <c r="C59" s="25" t="n">
        <f aca="false">IF(T58&gt;0,D58,C58)</f>
        <v>0.1328125</v>
      </c>
      <c r="D59" s="41" t="n">
        <f aca="false">(B59+C59)/2</f>
        <v>0.1298828125</v>
      </c>
      <c r="E59" s="15" t="n">
        <f aca="false">$C$2*(1+IF(E$3&lt;=$O$2,$D59,$D59-($D59-$I$49)*MIN(E$3-$O$2,$Q$2)/$Q$2))</f>
        <v>9219.84375</v>
      </c>
      <c r="F59" s="15" t="n">
        <f aca="false">E59*(1+IF(F$3&lt;=$O$2,$D59,$D59-($D59-$I$49)*MIN(F$3-$O$2,$Q$2)/$Q$2))</f>
        <v>10417.3429870605</v>
      </c>
      <c r="G59" s="15" t="n">
        <f aca="false">F59*(1+IF(G$3&lt;=$O$2,$D59,$D59-($D59-$I$49)*MIN(G$3-$O$2,$Q$2)/$Q$2))</f>
        <v>11770.3767929971</v>
      </c>
      <c r="H59" s="15" t="n">
        <f aca="false">G59*(1+IF(H$3&lt;=$O$2,$D59,$D59-($D59-$I$49)*MIN(H$3-$O$2,$Q$2)/$Q$2))</f>
        <v>13299.1464350563</v>
      </c>
      <c r="I59" s="15" t="n">
        <f aca="false">H59*(1+IF(I$3&lt;=$O$2,$D59,$D59-($D59-$I$49)*MIN(I$3-$O$2,$Q$2)/$Q$2))</f>
        <v>15026.4769778908</v>
      </c>
      <c r="J59" s="15" t="n">
        <f aca="false">I59*(1+IF(J$3&lt;=$O$2,$D59,$D59-($D59-$I$49)*MIN(J$3-$O$2,$Q$2)/$Q$2))</f>
        <v>16642.8187571138</v>
      </c>
      <c r="K59" s="15" t="n">
        <f aca="false">J59*(1+IF(K$3&lt;=$O$2,$D59,$D59-($D59-$I$49)*MIN(K$3-$O$2,$Q$2)/$Q$2))</f>
        <v>18061.6138552769</v>
      </c>
      <c r="L59" s="15" t="n">
        <f aca="false">K59*(1+IF(L$3&lt;=$O$2,$D59,$D59-($D59-$I$49)*MIN(L$3-$O$2,$Q$2)/$Q$2))</f>
        <v>19198.2876577328</v>
      </c>
      <c r="M59" s="15" t="n">
        <f aca="false">L59*(1+IF(M$3&lt;=$O$2,$D59,$D59-($D59-$I$49)*MIN(M$3-$O$2,$Q$2)/$Q$2))</f>
        <v>19978.0561082761</v>
      </c>
      <c r="N59" s="15" t="n">
        <f aca="false">M59*(1+IF(N$3&lt;=$O$2,$D59,$D59-($D59-$I$49)*MIN(N$3-$O$2,$Q$2)/$Q$2))</f>
        <v>20343.6545350575</v>
      </c>
      <c r="O59" s="15" t="n">
        <f aca="false">SUMPRODUCT(E59:N59,1/(1+$F$49)^$E$3:$N$3)*$E$2</f>
        <v>36054.818342686</v>
      </c>
      <c r="P59" s="15" t="n">
        <f aca="false">N59*$E$2*(1+$I$49)/($F$49-$I$49)/(1+$F$49)^$N$3</f>
        <v>51746.9515508934</v>
      </c>
      <c r="Q59" s="15" t="n">
        <f aca="false">O59+P59</f>
        <v>87801.7698935794</v>
      </c>
      <c r="R59" s="15" t="n">
        <f aca="false">Q59-$G$2+$I$2</f>
        <v>81681.7698935794</v>
      </c>
      <c r="S59" s="42" t="n">
        <f aca="false">R59/$K$2</f>
        <v>471.658216269658</v>
      </c>
      <c r="T59" s="43" t="n">
        <f aca="false">S59-$M$2</f>
        <v>7.51686045489896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0.126953125</v>
      </c>
      <c r="C60" s="25" t="n">
        <f aca="false">IF(T59&gt;0,D59,C59)</f>
        <v>0.1298828125</v>
      </c>
      <c r="D60" s="41" t="n">
        <f aca="false">(B60+C60)/2</f>
        <v>0.12841796875</v>
      </c>
      <c r="E60" s="15" t="n">
        <f aca="false">$C$2*(1+IF(E$3&lt;=$O$2,$D60,$D60-($D60-$I$49)*MIN(E$3-$O$2,$Q$2)/$Q$2))</f>
        <v>9207.890625</v>
      </c>
      <c r="F60" s="15" t="n">
        <f aca="false">E60*(1+IF(F$3&lt;=$O$2,$D60,$D60-($D60-$I$49)*MIN(F$3-$O$2,$Q$2)/$Q$2))</f>
        <v>10390.3492355347</v>
      </c>
      <c r="G60" s="15" t="n">
        <f aca="false">F60*(1+IF(G$3&lt;=$O$2,$D60,$D60-($D60-$I$49)*MIN(G$3-$O$2,$Q$2)/$Q$2))</f>
        <v>11724.6567789651</v>
      </c>
      <c r="H60" s="15" t="n">
        <f aca="false">G60*(1+IF(H$3&lt;=$O$2,$D60,$D60-($D60-$I$49)*MIN(H$3-$O$2,$Q$2)/$Q$2))</f>
        <v>13230.3133868108</v>
      </c>
      <c r="I60" s="15" t="n">
        <f aca="false">H60*(1+IF(I$3&lt;=$O$2,$D60,$D60-($D60-$I$49)*MIN(I$3-$O$2,$Q$2)/$Q$2))</f>
        <v>14929.3233578709</v>
      </c>
      <c r="J60" s="15" t="n">
        <f aca="false">I60*(1+IF(J$3&lt;=$O$2,$D60,$D60-($D60-$I$49)*MIN(J$3-$O$2,$Q$2)/$Q$2))</f>
        <v>16517.7193857045</v>
      </c>
      <c r="K60" s="15" t="n">
        <f aca="false">J60*(1+IF(K$3&lt;=$O$2,$D60,$D60-($D60-$I$49)*MIN(K$3-$O$2,$Q$2)/$Q$2))</f>
        <v>17911.3322747447</v>
      </c>
      <c r="L60" s="15" t="n">
        <f aca="false">K60*(1+IF(L$3&lt;=$O$2,$D60,$D60-($D60-$I$49)*MIN(L$3-$O$2,$Q$2)/$Q$2))</f>
        <v>19028.053466453</v>
      </c>
      <c r="M60" s="15" t="n">
        <f aca="false">L60*(1+IF(M$3&lt;=$O$2,$D60,$D60-($D60-$I$49)*MIN(M$3-$O$2,$Q$2)/$Q$2))</f>
        <v>19795.3329642875</v>
      </c>
      <c r="N60" s="15" t="n">
        <f aca="false">M60*(1+IF(N$3&lt;=$O$2,$D60,$D60-($D60-$I$49)*MIN(N$3-$O$2,$Q$2)/$Q$2))</f>
        <v>20157.587557534</v>
      </c>
      <c r="O60" s="15" t="n">
        <f aca="false">SUMPRODUCT(E60:N60,1/(1+$F$49)^$E$3:$N$3)*$E$2</f>
        <v>35825.9100515058</v>
      </c>
      <c r="P60" s="15" t="n">
        <f aca="false">N60*$E$2*(1+$I$49)/($F$49-$I$49)/(1+$F$49)^$N$3</f>
        <v>51273.663978371</v>
      </c>
      <c r="Q60" s="15" t="n">
        <f aca="false">O60+P60</f>
        <v>87099.5740298768</v>
      </c>
      <c r="R60" s="15" t="n">
        <f aca="false">Q60-$G$2+$I$2</f>
        <v>80979.5740298768</v>
      </c>
      <c r="S60" s="42" t="n">
        <f aca="false">R60/$K$2</f>
        <v>467.603499421855</v>
      </c>
      <c r="T60" s="43" t="n">
        <f aca="false">S60-$M$2</f>
        <v>3.46214360709564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0.126953125</v>
      </c>
      <c r="C61" s="25" t="n">
        <f aca="false">IF(T60&gt;0,D60,C60)</f>
        <v>0.12841796875</v>
      </c>
      <c r="D61" s="41" t="n">
        <f aca="false">(B61+C61)/2</f>
        <v>0.127685546875</v>
      </c>
      <c r="E61" s="15" t="n">
        <f aca="false">$C$2*(1+IF(E$3&lt;=$O$2,$D61,$D61-($D61-$I$49)*MIN(E$3-$O$2,$Q$2)/$Q$2))</f>
        <v>9201.9140625</v>
      </c>
      <c r="F61" s="15" t="n">
        <f aca="false">E61*(1+IF(F$3&lt;=$O$2,$D61,$D61-($D61-$I$49)*MIN(F$3-$O$2,$Q$2)/$Q$2))</f>
        <v>10376.8654918671</v>
      </c>
      <c r="G61" s="15" t="n">
        <f aca="false">F61*(1+IF(G$3&lt;=$O$2,$D61,$D61-($D61-$I$49)*MIN(G$3-$O$2,$Q$2)/$Q$2))</f>
        <v>11701.8412370444</v>
      </c>
      <c r="H61" s="15" t="n">
        <f aca="false">G61*(1+IF(H$3&lt;=$O$2,$D61,$D61-($D61-$I$49)*MIN(H$3-$O$2,$Q$2)/$Q$2))</f>
        <v>13195.9972348409</v>
      </c>
      <c r="I61" s="15" t="n">
        <f aca="false">H61*(1+IF(I$3&lt;=$O$2,$D61,$D61-($D61-$I$49)*MIN(I$3-$O$2,$Q$2)/$Q$2))</f>
        <v>14880.9353583325</v>
      </c>
      <c r="J61" s="15" t="n">
        <f aca="false">I61*(1+IF(J$3&lt;=$O$2,$D61,$D61-($D61-$I$49)*MIN(J$3-$O$2,$Q$2)/$Q$2))</f>
        <v>16455.4638771362</v>
      </c>
      <c r="K61" s="15" t="n">
        <f aca="false">J61*(1+IF(K$3&lt;=$O$2,$D61,$D61-($D61-$I$49)*MIN(K$3-$O$2,$Q$2)/$Q$2))</f>
        <v>17836.5928152572</v>
      </c>
      <c r="L61" s="15" t="n">
        <f aca="false">K61*(1+IF(L$3&lt;=$O$2,$D61,$D61-($D61-$I$49)*MIN(L$3-$O$2,$Q$2)/$Q$2))</f>
        <v>18943.4286475698</v>
      </c>
      <c r="M61" s="15" t="n">
        <f aca="false">L61*(1+IF(M$3&lt;=$O$2,$D61,$D61-($D61-$I$49)*MIN(M$3-$O$2,$Q$2)/$Q$2))</f>
        <v>19704.5208522807</v>
      </c>
      <c r="N61" s="15" t="n">
        <f aca="false">M61*(1+IF(N$3&lt;=$O$2,$D61,$D61-($D61-$I$49)*MIN(N$3-$O$2,$Q$2)/$Q$2))</f>
        <v>20065.1135838775</v>
      </c>
      <c r="O61" s="15" t="n">
        <f aca="false">SUMPRODUCT(E61:N61,1/(1+$F$49)^$E$3:$N$3)*$E$2</f>
        <v>35711.9931718473</v>
      </c>
      <c r="P61" s="15" t="n">
        <f aca="false">N61*$E$2*(1+$I$49)/($F$49-$I$49)/(1+$F$49)^$N$3</f>
        <v>51038.4433976108</v>
      </c>
      <c r="Q61" s="15" t="n">
        <f aca="false">O61+P61</f>
        <v>86750.4365694581</v>
      </c>
      <c r="R61" s="15" t="n">
        <f aca="false">Q61-$G$2+$I$2</f>
        <v>80630.4365694581</v>
      </c>
      <c r="S61" s="42" t="n">
        <f aca="false">R61/$K$2</f>
        <v>465.587461424287</v>
      </c>
      <c r="T61" s="43" t="n">
        <f aca="false">S61-$M$2</f>
        <v>1.44610560952793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0.126953125</v>
      </c>
      <c r="C62" s="25" t="n">
        <f aca="false">IF(T61&gt;0,D61,C61)</f>
        <v>0.127685546875</v>
      </c>
      <c r="D62" s="41" t="n">
        <f aca="false">(B62+C62)/2</f>
        <v>0.1273193359375</v>
      </c>
      <c r="E62" s="15" t="n">
        <f aca="false">$C$2*(1+IF(E$3&lt;=$O$2,$D62,$D62-($D62-$I$49)*MIN(E$3-$O$2,$Q$2)/$Q$2))</f>
        <v>9198.92578125</v>
      </c>
      <c r="F62" s="15" t="n">
        <f aca="false">E62*(1+IF(F$3&lt;=$O$2,$D62,$D62-($D62-$I$49)*MIN(F$3-$O$2,$Q$2)/$Q$2))</f>
        <v>10370.1269030571</v>
      </c>
      <c r="G62" s="15" t="n">
        <f aca="false">F62*(1+IF(G$3&lt;=$O$2,$D62,$D62-($D62-$I$49)*MIN(G$3-$O$2,$Q$2)/$Q$2))</f>
        <v>11690.4445739419</v>
      </c>
      <c r="H62" s="15" t="n">
        <f aca="false">G62*(1+IF(H$3&lt;=$O$2,$D62,$D62-($D62-$I$49)*MIN(H$3-$O$2,$Q$2)/$Q$2))</f>
        <v>13178.8642139104</v>
      </c>
      <c r="I62" s="15" t="n">
        <f aca="false">H62*(1+IF(I$3&lt;=$O$2,$D62,$D62-($D62-$I$49)*MIN(I$3-$O$2,$Q$2)/$Q$2))</f>
        <v>14856.7884540359</v>
      </c>
      <c r="J62" s="15" t="n">
        <f aca="false">I62*(1+IF(J$3&lt;=$O$2,$D62,$D62-($D62-$I$49)*MIN(J$3-$O$2,$Q$2)/$Q$2))</f>
        <v>16424.4094518831</v>
      </c>
      <c r="K62" s="15" t="n">
        <f aca="false">J62*(1+IF(K$3&lt;=$O$2,$D62,$D62-($D62-$I$49)*MIN(K$3-$O$2,$Q$2)/$Q$2))</f>
        <v>17799.3230718185</v>
      </c>
      <c r="L62" s="15" t="n">
        <f aca="false">K62*(1+IF(L$3&lt;=$O$2,$D62,$D62-($D62-$I$49)*MIN(L$3-$O$2,$Q$2)/$Q$2))</f>
        <v>18901.2388366035</v>
      </c>
      <c r="M62" s="15" t="n">
        <f aca="false">L62*(1+IF(M$3&lt;=$O$2,$D62,$D62-($D62-$I$49)*MIN(M$3-$O$2,$Q$2)/$Q$2))</f>
        <v>19659.2516085858</v>
      </c>
      <c r="N62" s="15" t="n">
        <f aca="false">M62*(1+IF(N$3&lt;=$O$2,$D62,$D62-($D62-$I$49)*MIN(N$3-$O$2,$Q$2)/$Q$2))</f>
        <v>20019.0159130229</v>
      </c>
      <c r="O62" s="15" t="n">
        <f aca="false">SUMPRODUCT(E62:N62,1/(1+$F$49)^$E$3:$N$3)*$E$2</f>
        <v>35655.1685970299</v>
      </c>
      <c r="P62" s="15" t="n">
        <f aca="false">N62*$E$2*(1+$I$49)/($F$49-$I$49)/(1+$F$49)^$N$3</f>
        <v>50921.1874770382</v>
      </c>
      <c r="Q62" s="15" t="n">
        <f aca="false">O62+P62</f>
        <v>86576.3560740681</v>
      </c>
      <c r="R62" s="15" t="n">
        <f aca="false">Q62-$G$2+$I$2</f>
        <v>80456.3560740681</v>
      </c>
      <c r="S62" s="42" t="n">
        <f aca="false">R62/$K$2</f>
        <v>464.582261658783</v>
      </c>
      <c r="T62" s="43" t="n">
        <f aca="false">S62-$M$2</f>
        <v>0.44090584402403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0.126953125</v>
      </c>
      <c r="C63" s="25" t="n">
        <f aca="false">IF(T62&gt;0,D62,C62)</f>
        <v>0.1273193359375</v>
      </c>
      <c r="D63" s="41" t="n">
        <f aca="false">(B63+C63)/2</f>
        <v>0.12713623046875</v>
      </c>
      <c r="E63" s="15" t="n">
        <f aca="false">$C$2*(1+IF(E$3&lt;=$O$2,$D63,$D63-($D63-$I$49)*MIN(E$3-$O$2,$Q$2)/$Q$2))</f>
        <v>9197.431640625</v>
      </c>
      <c r="F63" s="15" t="n">
        <f aca="false">E63*(1+IF(F$3&lt;=$O$2,$D63,$D63-($D63-$I$49)*MIN(F$3-$O$2,$Q$2)/$Q$2))</f>
        <v>10366.7584294081</v>
      </c>
      <c r="G63" s="15" t="n">
        <f aca="false">F63*(1+IF(G$3&lt;=$O$2,$D63,$D63-($D63-$I$49)*MIN(G$3-$O$2,$Q$2)/$Q$2))</f>
        <v>11684.7490183032</v>
      </c>
      <c r="H63" s="15" t="n">
        <f aca="false">G63*(1+IF(H$3&lt;=$O$2,$D63,$D63-($D63-$I$49)*MIN(H$3-$O$2,$Q$2)/$Q$2))</f>
        <v>13170.3039624636</v>
      </c>
      <c r="I63" s="15" t="n">
        <f aca="false">H63*(1+IF(I$3&lt;=$O$2,$D63,$D63-($D63-$I$49)*MIN(I$3-$O$2,$Q$2)/$Q$2))</f>
        <v>14844.7267623789</v>
      </c>
      <c r="J63" s="15" t="n">
        <f aca="false">I63*(1+IF(J$3&lt;=$O$2,$D63,$D63-($D63-$I$49)*MIN(J$3-$O$2,$Q$2)/$Q$2))</f>
        <v>16408.9005446552</v>
      </c>
      <c r="K63" s="15" t="n">
        <f aca="false">J63*(1+IF(K$3&lt;=$O$2,$D63,$D63-($D63-$I$49)*MIN(K$3-$O$2,$Q$2)/$Q$2))</f>
        <v>17780.7131534725</v>
      </c>
      <c r="L63" s="15" t="n">
        <f aca="false">K63*(1+IF(L$3&lt;=$O$2,$D63,$D63-($D63-$I$49)*MIN(L$3-$O$2,$Q$2)/$Q$2))</f>
        <v>18880.1745220491</v>
      </c>
      <c r="M63" s="15" t="n">
        <f aca="false">L63*(1+IF(M$3&lt;=$O$2,$D63,$D63-($D63-$I$49)*MIN(M$3-$O$2,$Q$2)/$Q$2))</f>
        <v>19636.6511209169</v>
      </c>
      <c r="N63" s="15" t="n">
        <f aca="false">M63*(1+IF(N$3&lt;=$O$2,$D63,$D63-($D63-$I$49)*MIN(N$3-$O$2,$Q$2)/$Q$2))</f>
        <v>19996.0018364297</v>
      </c>
      <c r="O63" s="15" t="n">
        <f aca="false">SUMPRODUCT(E63:N63,1/(1+$F$49)^$E$3:$N$3)*$E$2</f>
        <v>35626.7897195722</v>
      </c>
      <c r="P63" s="15" t="n">
        <f aca="false">N63*$E$2*(1+$I$49)/($F$49-$I$49)/(1+$F$49)^$N$3</f>
        <v>50862.6479307435</v>
      </c>
      <c r="Q63" s="15" t="n">
        <f aca="false">O63+P63</f>
        <v>86489.4376503157</v>
      </c>
      <c r="R63" s="15" t="n">
        <f aca="false">Q63-$G$2+$I$2</f>
        <v>80369.4376503157</v>
      </c>
      <c r="S63" s="42" t="n">
        <f aca="false">R63/$K$2</f>
        <v>464.080365228755</v>
      </c>
      <c r="T63" s="43" t="n">
        <f aca="false">S63-$M$2</f>
        <v>-0.0609905860046069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0.12713623046875</v>
      </c>
      <c r="C64" s="25" t="n">
        <f aca="false">IF(T63&gt;0,D63,C63)</f>
        <v>0.1273193359375</v>
      </c>
      <c r="D64" s="41" t="n">
        <f aca="false">(B64+C64)/2</f>
        <v>0.127227783203125</v>
      </c>
      <c r="E64" s="15" t="n">
        <f aca="false">$C$2*(1+IF(E$3&lt;=$O$2,$D64,$D64-($D64-$I$49)*MIN(E$3-$O$2,$Q$2)/$Q$2))</f>
        <v>9198.1787109375</v>
      </c>
      <c r="F64" s="15" t="n">
        <f aca="false">E64*(1+IF(F$3&lt;=$O$2,$D64,$D64-($D64-$I$49)*MIN(F$3-$O$2,$Q$2)/$Q$2))</f>
        <v>10368.4425978363</v>
      </c>
      <c r="G64" s="15" t="n">
        <f aca="false">F64*(1+IF(G$3&lt;=$O$2,$D64,$D64-($D64-$I$49)*MIN(G$3-$O$2,$Q$2)/$Q$2))</f>
        <v>11687.5965648278</v>
      </c>
      <c r="H64" s="15" t="n">
        <f aca="false">G64*(1+IF(H$3&lt;=$O$2,$D64,$D64-($D64-$I$49)*MIN(H$3-$O$2,$Q$2)/$Q$2))</f>
        <v>13174.5835667433</v>
      </c>
      <c r="I64" s="15" t="n">
        <f aca="false">H64*(1+IF(I$3&lt;=$O$2,$D64,$D64-($D64-$I$49)*MIN(I$3-$O$2,$Q$2)/$Q$2))</f>
        <v>14850.7566285644</v>
      </c>
      <c r="J64" s="15" t="n">
        <f aca="false">I64*(1+IF(J$3&lt;=$O$2,$D64,$D64-($D64-$I$49)*MIN(J$3-$O$2,$Q$2)/$Q$2))</f>
        <v>16416.653473618</v>
      </c>
      <c r="K64" s="15" t="n">
        <f aca="false">J64*(1+IF(K$3&lt;=$O$2,$D64,$D64-($D64-$I$49)*MIN(K$3-$O$2,$Q$2)/$Q$2))</f>
        <v>17790.0160344823</v>
      </c>
      <c r="L64" s="15" t="n">
        <f aca="false">K64*(1+IF(L$3&lt;=$O$2,$D64,$D64-($D64-$I$49)*MIN(L$3-$O$2,$Q$2)/$Q$2))</f>
        <v>18890.704131827</v>
      </c>
      <c r="M64" s="15" t="n">
        <f aca="false">L64*(1+IF(M$3&lt;=$O$2,$D64,$D64-($D64-$I$49)*MIN(M$3-$O$2,$Q$2)/$Q$2))</f>
        <v>19647.9485222846</v>
      </c>
      <c r="N64" s="15" t="n">
        <f aca="false">M64*(1+IF(N$3&lt;=$O$2,$D64,$D64-($D64-$I$49)*MIN(N$3-$O$2,$Q$2)/$Q$2))</f>
        <v>20007.5059802424</v>
      </c>
      <c r="O64" s="15" t="n">
        <f aca="false">SUMPRODUCT(E64:N64,1/(1+$F$49)^$E$3:$N$3)*$E$2</f>
        <v>35640.9763758124</v>
      </c>
      <c r="P64" s="15" t="n">
        <f aca="false">N64*$E$2*(1+$I$49)/($F$49-$I$49)/(1+$F$49)^$N$3</f>
        <v>50891.9103413633</v>
      </c>
      <c r="Q64" s="15" t="n">
        <f aca="false">O64+P64</f>
        <v>86532.8867171757</v>
      </c>
      <c r="R64" s="15" t="n">
        <f aca="false">Q64-$G$2+$I$2</f>
        <v>80412.8867171757</v>
      </c>
      <c r="S64" s="42" t="n">
        <f aca="false">R64/$K$2</f>
        <v>464.331254863008</v>
      </c>
      <c r="T64" s="43" t="n">
        <f aca="false">S64-$M$2</f>
        <v>0.189899048248719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0.12713623046875</v>
      </c>
      <c r="C65" s="25" t="n">
        <f aca="false">IF(T64&gt;0,D64,C64)</f>
        <v>0.127227783203125</v>
      </c>
      <c r="D65" s="41" t="n">
        <f aca="false">(B65+C65)/2</f>
        <v>0.127182006835938</v>
      </c>
      <c r="E65" s="15" t="n">
        <f aca="false">$C$2*(1+IF(E$3&lt;=$O$2,$D65,$D65-($D65-$I$49)*MIN(E$3-$O$2,$Q$2)/$Q$2))</f>
        <v>9197.80517578125</v>
      </c>
      <c r="F65" s="15" t="n">
        <f aca="false">E65*(1+IF(F$3&lt;=$O$2,$D65,$D65-($D65-$I$49)*MIN(F$3-$O$2,$Q$2)/$Q$2))</f>
        <v>10367.6004965231</v>
      </c>
      <c r="G65" s="15" t="n">
        <f aca="false">F65*(1+IF(G$3&lt;=$O$2,$D65,$D65-($D65-$I$49)*MIN(G$3-$O$2,$Q$2)/$Q$2))</f>
        <v>11686.1727337442</v>
      </c>
      <c r="H65" s="15" t="n">
        <f aca="false">G65*(1+IF(H$3&lt;=$O$2,$D65,$D65-($D65-$I$49)*MIN(H$3-$O$2,$Q$2)/$Q$2))</f>
        <v>13172.4436342531</v>
      </c>
      <c r="I65" s="15" t="n">
        <f aca="false">H65*(1+IF(I$3&lt;=$O$2,$D65,$D65-($D65-$I$49)*MIN(I$3-$O$2,$Q$2)/$Q$2))</f>
        <v>14847.7414505907</v>
      </c>
      <c r="J65" s="15" t="n">
        <f aca="false">I65*(1+IF(J$3&lt;=$O$2,$D65,$D65-($D65-$I$49)*MIN(J$3-$O$2,$Q$2)/$Q$2))</f>
        <v>16412.7766280337</v>
      </c>
      <c r="K65" s="15" t="n">
        <f aca="false">J65*(1+IF(K$3&lt;=$O$2,$D65,$D65-($D65-$I$49)*MIN(K$3-$O$2,$Q$2)/$Q$2))</f>
        <v>17785.3640745329</v>
      </c>
      <c r="L65" s="15" t="n">
        <f aca="false">K65*(1+IF(L$3&lt;=$O$2,$D65,$D65-($D65-$I$49)*MIN(L$3-$O$2,$Q$2)/$Q$2))</f>
        <v>18885.438690194</v>
      </c>
      <c r="M65" s="15" t="n">
        <f aca="false">L65*(1+IF(M$3&lt;=$O$2,$D65,$D65-($D65-$I$49)*MIN(M$3-$O$2,$Q$2)/$Q$2))</f>
        <v>19642.2991111376</v>
      </c>
      <c r="N65" s="15" t="n">
        <f aca="false">M65*(1+IF(N$3&lt;=$O$2,$D65,$D65-($D65-$I$49)*MIN(N$3-$O$2,$Q$2)/$Q$2))</f>
        <v>20001.7531848715</v>
      </c>
      <c r="O65" s="15" t="n">
        <f aca="false">SUMPRODUCT(E65:N65,1/(1+$F$49)^$E$3:$N$3)*$E$2</f>
        <v>35633.8823521957</v>
      </c>
      <c r="P65" s="15" t="n">
        <f aca="false">N65*$E$2*(1+$I$49)/($F$49-$I$49)/(1+$F$49)^$N$3</f>
        <v>50877.2772958192</v>
      </c>
      <c r="Q65" s="15" t="n">
        <f aca="false">O65+P65</f>
        <v>86511.1596480149</v>
      </c>
      <c r="R65" s="15" t="n">
        <f aca="false">Q65-$G$2+$I$2</f>
        <v>80391.1596480149</v>
      </c>
      <c r="S65" s="42" t="n">
        <f aca="false">R65/$K$2</f>
        <v>464.205795403712</v>
      </c>
      <c r="T65" s="43" t="n">
        <f aca="false">S65-$M$2</f>
        <v>0.0644395889528369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0.12713623046875</v>
      </c>
      <c r="C66" s="25" t="n">
        <f aca="false">IF(T65&gt;0,D65,C65)</f>
        <v>0.127182006835938</v>
      </c>
      <c r="D66" s="41" t="n">
        <f aca="false">(B66+C66)/2</f>
        <v>0.127159118652344</v>
      </c>
      <c r="E66" s="15" t="n">
        <f aca="false">$C$2*(1+IF(E$3&lt;=$O$2,$D66,$D66-($D66-$I$49)*MIN(E$3-$O$2,$Q$2)/$Q$2))</f>
        <v>9197.61840820313</v>
      </c>
      <c r="F66" s="15" t="n">
        <f aca="false">E66*(1+IF(F$3&lt;=$O$2,$D66,$D66-($D66-$I$49)*MIN(F$3-$O$2,$Q$2)/$Q$2))</f>
        <v>10367.1794586908</v>
      </c>
      <c r="G66" s="15" t="n">
        <f aca="false">F66*(1+IF(G$3&lt;=$O$2,$D66,$D66-($D66-$I$49)*MIN(G$3-$O$2,$Q$2)/$Q$2))</f>
        <v>11685.4608615686</v>
      </c>
      <c r="H66" s="15" t="n">
        <f aca="false">G66*(1+IF(H$3&lt;=$O$2,$D66,$D66-($D66-$I$49)*MIN(H$3-$O$2,$Q$2)/$Q$2))</f>
        <v>13171.3737657721</v>
      </c>
      <c r="I66" s="15" t="n">
        <f aca="false">H66*(1+IF(I$3&lt;=$O$2,$D66,$D66-($D66-$I$49)*MIN(I$3-$O$2,$Q$2)/$Q$2))</f>
        <v>14846.2340452683</v>
      </c>
      <c r="J66" s="15" t="n">
        <f aca="false">I66*(1+IF(J$3&lt;=$O$2,$D66,$D66-($D66-$I$49)*MIN(J$3-$O$2,$Q$2)/$Q$2))</f>
        <v>16410.8384910762</v>
      </c>
      <c r="K66" s="15" t="n">
        <f aca="false">J66*(1+IF(K$3&lt;=$O$2,$D66,$D66-($D66-$I$49)*MIN(K$3-$O$2,$Q$2)/$Q$2))</f>
        <v>17783.0384841536</v>
      </c>
      <c r="L66" s="15" t="n">
        <f aca="false">K66*(1+IF(L$3&lt;=$O$2,$D66,$D66-($D66-$I$49)*MIN(L$3-$O$2,$Q$2)/$Q$2))</f>
        <v>18882.8064469519</v>
      </c>
      <c r="M66" s="15" t="n">
        <f aca="false">L66*(1+IF(M$3&lt;=$O$2,$D66,$D66-($D66-$I$49)*MIN(M$3-$O$2,$Q$2)/$Q$2))</f>
        <v>19639.4749384307</v>
      </c>
      <c r="N66" s="15" t="n">
        <f aca="false">M66*(1+IF(N$3&lt;=$O$2,$D66,$D66-($D66-$I$49)*MIN(N$3-$O$2,$Q$2)/$Q$2))</f>
        <v>19998.877329804</v>
      </c>
      <c r="O66" s="15" t="n">
        <f aca="false">SUMPRODUCT(E66:N66,1/(1+$F$49)^$E$3:$N$3)*$E$2</f>
        <v>35630.3358620255</v>
      </c>
      <c r="P66" s="15" t="n">
        <f aca="false">N66*$E$2*(1+$I$49)/($F$49-$I$49)/(1+$F$49)^$N$3</f>
        <v>50869.9621532725</v>
      </c>
      <c r="Q66" s="15" t="n">
        <f aca="false">O66+P66</f>
        <v>86500.298015298</v>
      </c>
      <c r="R66" s="15" t="n">
        <f aca="false">Q66-$G$2+$I$2</f>
        <v>80380.298015298</v>
      </c>
      <c r="S66" s="42" t="n">
        <f aca="false">R66/$K$2</f>
        <v>464.143076656069</v>
      </c>
      <c r="T66" s="43" t="n">
        <f aca="false">S66-$M$2</f>
        <v>0.00172084130934991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0.12713623046875</v>
      </c>
      <c r="C67" s="25" t="n">
        <f aca="false">IF(T66&gt;0,D66,C66)</f>
        <v>0.127159118652344</v>
      </c>
      <c r="D67" s="41" t="n">
        <f aca="false">(B67+C67)/2</f>
        <v>0.127147674560547</v>
      </c>
      <c r="E67" s="15" t="n">
        <f aca="false">$C$2*(1+IF(E$3&lt;=$O$2,$D67,$D67-($D67-$I$49)*MIN(E$3-$O$2,$Q$2)/$Q$2))</f>
        <v>9197.52502441406</v>
      </c>
      <c r="F67" s="15" t="n">
        <f aca="false">E67*(1+IF(F$3&lt;=$O$2,$D67,$D67-($D67-$I$49)*MIN(F$3-$O$2,$Q$2)/$Q$2))</f>
        <v>10366.9689429807</v>
      </c>
      <c r="G67" s="15" t="n">
        <f aca="false">F67*(1+IF(G$3&lt;=$O$2,$D67,$D67-($D67-$I$49)*MIN(G$3-$O$2,$Q$2)/$Q$2))</f>
        <v>11685.1049363222</v>
      </c>
      <c r="H67" s="15" t="n">
        <f aca="false">G67*(1+IF(H$3&lt;=$O$2,$D67,$D67-($D67-$I$49)*MIN(H$3-$O$2,$Q$2)/$Q$2))</f>
        <v>13170.8388559715</v>
      </c>
      <c r="I67" s="15" t="n">
        <f aca="false">H67*(1+IF(I$3&lt;=$O$2,$D67,$D67-($D67-$I$49)*MIN(I$3-$O$2,$Q$2)/$Q$2))</f>
        <v>14845.48038852</v>
      </c>
      <c r="J67" s="15" t="n">
        <f aca="false">I67*(1+IF(J$3&lt;=$O$2,$D67,$D67-($D67-$I$49)*MIN(J$3-$O$2,$Q$2)/$Q$2))</f>
        <v>16409.8694940496</v>
      </c>
      <c r="K67" s="15" t="n">
        <f aca="false">J67*(1+IF(K$3&lt;=$O$2,$D67,$D67-($D67-$I$49)*MIN(K$3-$O$2,$Q$2)/$Q$2))</f>
        <v>17781.8757863523</v>
      </c>
      <c r="L67" s="15" t="n">
        <f aca="false">K67*(1+IF(L$3&lt;=$O$2,$D67,$D67-($D67-$I$49)*MIN(L$3-$O$2,$Q$2)/$Q$2))</f>
        <v>18881.4904447101</v>
      </c>
      <c r="M67" s="15" t="n">
        <f aca="false">L67*(1+IF(M$3&lt;=$O$2,$D67,$D67-($D67-$I$49)*MIN(M$3-$O$2,$Q$2)/$Q$2))</f>
        <v>19638.0629852771</v>
      </c>
      <c r="N67" s="15" t="n">
        <f aca="false">M67*(1+IF(N$3&lt;=$O$2,$D67,$D67-($D67-$I$49)*MIN(N$3-$O$2,$Q$2)/$Q$2))</f>
        <v>19997.4395379076</v>
      </c>
      <c r="O67" s="15" t="n">
        <f aca="false">SUMPRODUCT(E67:N67,1/(1+$F$49)^$E$3:$N$3)*$E$2</f>
        <v>35628.5627473362</v>
      </c>
      <c r="P67" s="15" t="n">
        <f aca="false">N67*$E$2*(1+$I$49)/($F$49-$I$49)/(1+$F$49)^$N$3</f>
        <v>50866.304927012</v>
      </c>
      <c r="Q67" s="15" t="n">
        <f aca="false">O67+P67</f>
        <v>86494.8676743482</v>
      </c>
      <c r="R67" s="15" t="n">
        <f aca="false">Q67-$G$2+$I$2</f>
        <v>80374.8676743482</v>
      </c>
      <c r="S67" s="42" t="n">
        <f aca="false">R67/$K$2</f>
        <v>464.111720027418</v>
      </c>
      <c r="T67" s="43" t="n">
        <f aca="false">S67-$M$2</f>
        <v>-0.0296357873415332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0.127147674560547</v>
      </c>
      <c r="C68" s="25" t="n">
        <f aca="false">IF(T67&gt;0,D67,C67)</f>
        <v>0.127159118652344</v>
      </c>
      <c r="D68" s="41" t="n">
        <f aca="false">(B68+C68)/2</f>
        <v>0.127153396606445</v>
      </c>
      <c r="E68" s="15" t="n">
        <f aca="false">$C$2*(1+IF(E$3&lt;=$O$2,$D68,$D68-($D68-$I$49)*MIN(E$3-$O$2,$Q$2)/$Q$2))</f>
        <v>9197.57171630859</v>
      </c>
      <c r="F68" s="15" t="n">
        <f aca="false">E68*(1+IF(F$3&lt;=$O$2,$D68,$D68-($D68-$I$49)*MIN(F$3-$O$2,$Q$2)/$Q$2))</f>
        <v>10367.0742005686</v>
      </c>
      <c r="G68" s="15" t="n">
        <f aca="false">F68*(1+IF(G$3&lt;=$O$2,$D68,$D68-($D68-$I$49)*MIN(G$3-$O$2,$Q$2)/$Q$2))</f>
        <v>11685.282898042</v>
      </c>
      <c r="H68" s="15" t="n">
        <f aca="false">G68*(1+IF(H$3&lt;=$O$2,$D68,$D68-($D68-$I$49)*MIN(H$3-$O$2,$Q$2)/$Q$2))</f>
        <v>13171.1063088352</v>
      </c>
      <c r="I68" s="15" t="n">
        <f aca="false">H68*(1+IF(I$3&lt;=$O$2,$D68,$D68-($D68-$I$49)*MIN(I$3-$O$2,$Q$2)/$Q$2))</f>
        <v>14845.8572130682</v>
      </c>
      <c r="J68" s="15" t="n">
        <f aca="false">I68*(1+IF(J$3&lt;=$O$2,$D68,$D68-($D68-$I$49)*MIN(J$3-$O$2,$Q$2)/$Q$2))</f>
        <v>16410.3539866087</v>
      </c>
      <c r="K68" s="15" t="n">
        <f aca="false">J68*(1+IF(K$3&lt;=$O$2,$D68,$D68-($D68-$I$49)*MIN(K$3-$O$2,$Q$2)/$Q$2))</f>
        <v>17782.4571271376</v>
      </c>
      <c r="L68" s="15" t="n">
        <f aca="false">K68*(1+IF(L$3&lt;=$O$2,$D68,$D68-($D68-$I$49)*MIN(L$3-$O$2,$Q$2)/$Q$2))</f>
        <v>18882.1484358831</v>
      </c>
      <c r="M68" s="15" t="n">
        <f aca="false">L68*(1+IF(M$3&lt;=$O$2,$D68,$D68-($D68-$I$49)*MIN(M$3-$O$2,$Q$2)/$Q$2))</f>
        <v>19638.7689507544</v>
      </c>
      <c r="N68" s="15" t="n">
        <f aca="false">M68*(1+IF(N$3&lt;=$O$2,$D68,$D68-($D68-$I$49)*MIN(N$3-$O$2,$Q$2)/$Q$2))</f>
        <v>19998.1584225532</v>
      </c>
      <c r="O68" s="15" t="n">
        <f aca="false">SUMPRODUCT(E68:N68,1/(1+$F$49)^$E$3:$N$3)*$E$2</f>
        <v>35629.4492938149</v>
      </c>
      <c r="P68" s="15" t="n">
        <f aca="false">N68*$E$2*(1+$I$49)/($F$49-$I$49)/(1+$F$49)^$N$3</f>
        <v>50868.1335113925</v>
      </c>
      <c r="Q68" s="15" t="n">
        <f aca="false">O68+P68</f>
        <v>86497.5828052074</v>
      </c>
      <c r="R68" s="15" t="n">
        <f aca="false">Q68-$G$2+$I$2</f>
        <v>80377.5828052074</v>
      </c>
      <c r="S68" s="42" t="n">
        <f aca="false">R68/$K$2</f>
        <v>464.127398112989</v>
      </c>
      <c r="T68" s="43" t="n">
        <f aca="false">S68-$M$2</f>
        <v>-0.0139577017705506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0.127153396606445</v>
      </c>
      <c r="C69" s="25" t="n">
        <f aca="false">IF(T68&gt;0,D68,C68)</f>
        <v>0.127159118652344</v>
      </c>
      <c r="D69" s="41" t="n">
        <f aca="false">(B69+C69)/2</f>
        <v>0.127156257629395</v>
      </c>
      <c r="E69" s="15" t="n">
        <f aca="false">$C$2*(1+IF(E$3&lt;=$O$2,$D69,$D69-($D69-$I$49)*MIN(E$3-$O$2,$Q$2)/$Q$2))</f>
        <v>9197.59506225586</v>
      </c>
      <c r="F69" s="15" t="n">
        <f aca="false">E69*(1+IF(F$3&lt;=$O$2,$D69,$D69-($D69-$I$49)*MIN(F$3-$O$2,$Q$2)/$Q$2))</f>
        <v>10367.1268295629</v>
      </c>
      <c r="G69" s="15" t="n">
        <f aca="false">F69*(1+IF(G$3&lt;=$O$2,$D69,$D69-($D69-$I$49)*MIN(G$3-$O$2,$Q$2)/$Q$2))</f>
        <v>11685.3718795794</v>
      </c>
      <c r="H69" s="15" t="n">
        <f aca="false">G69*(1+IF(H$3&lt;=$O$2,$D69,$D69-($D69-$I$49)*MIN(H$3-$O$2,$Q$2)/$Q$2))</f>
        <v>13171.2400367945</v>
      </c>
      <c r="I69" s="15" t="n">
        <f aca="false">H69*(1+IF(I$3&lt;=$O$2,$D69,$D69-($D69-$I$49)*MIN(I$3-$O$2,$Q$2)/$Q$2))</f>
        <v>14846.0456282117</v>
      </c>
      <c r="J69" s="15" t="n">
        <f aca="false">I69*(1+IF(J$3&lt;=$O$2,$D69,$D69-($D69-$I$49)*MIN(J$3-$O$2,$Q$2)/$Q$2))</f>
        <v>16410.5962373539</v>
      </c>
      <c r="K69" s="15" t="n">
        <f aca="false">J69*(1+IF(K$3&lt;=$O$2,$D69,$D69-($D69-$I$49)*MIN(K$3-$O$2,$Q$2)/$Q$2))</f>
        <v>17782.7478036167</v>
      </c>
      <c r="L69" s="15" t="n">
        <f aca="false">K69*(1+IF(L$3&lt;=$O$2,$D69,$D69-($D69-$I$49)*MIN(L$3-$O$2,$Q$2)/$Q$2))</f>
        <v>18882.4774389305</v>
      </c>
      <c r="M69" s="15" t="n">
        <f aca="false">L69*(1+IF(M$3&lt;=$O$2,$D69,$D69-($D69-$I$49)*MIN(M$3-$O$2,$Q$2)/$Q$2))</f>
        <v>19639.1219418176</v>
      </c>
      <c r="N69" s="15" t="n">
        <f aca="false">M69*(1+IF(N$3&lt;=$O$2,$D69,$D69-($D69-$I$49)*MIN(N$3-$O$2,$Q$2)/$Q$2))</f>
        <v>19998.5178733529</v>
      </c>
      <c r="O69" s="15" t="n">
        <f aca="false">SUMPRODUCT(E69:N69,1/(1+$F$49)^$E$3:$N$3)*$E$2</f>
        <v>35629.8925752037</v>
      </c>
      <c r="P69" s="15" t="n">
        <f aca="false">N69*$E$2*(1+$I$49)/($F$49-$I$49)/(1+$F$49)^$N$3</f>
        <v>50869.0478251449</v>
      </c>
      <c r="Q69" s="15" t="n">
        <f aca="false">O69+P69</f>
        <v>86498.9404003486</v>
      </c>
      <c r="R69" s="15" t="n">
        <f aca="false">Q69-$G$2+$I$2</f>
        <v>80378.9404003486</v>
      </c>
      <c r="S69" s="42" t="n">
        <f aca="false">R69/$K$2</f>
        <v>464.135237327339</v>
      </c>
      <c r="T69" s="43" t="n">
        <f aca="false">S69-$M$2</f>
        <v>-0.00611848741988297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0.127156257629395</v>
      </c>
      <c r="C70" s="25" t="n">
        <f aca="false">IF(T69&gt;0,D69,C69)</f>
        <v>0.127159118652344</v>
      </c>
      <c r="D70" s="41" t="n">
        <f aca="false">(B70+C70)/2</f>
        <v>0.127157688140869</v>
      </c>
      <c r="E70" s="15" t="n">
        <f aca="false">$C$2*(1+IF(E$3&lt;=$O$2,$D70,$D70-($D70-$I$49)*MIN(E$3-$O$2,$Q$2)/$Q$2))</f>
        <v>9197.60673522949</v>
      </c>
      <c r="F70" s="15" t="n">
        <f aca="false">E70*(1+IF(F$3&lt;=$O$2,$D70,$D70-($D70-$I$49)*MIN(F$3-$O$2,$Q$2)/$Q$2))</f>
        <v>10367.1531441102</v>
      </c>
      <c r="G70" s="15" t="n">
        <f aca="false">F70*(1+IF(G$3&lt;=$O$2,$D70,$D70-($D70-$I$49)*MIN(G$3-$O$2,$Q$2)/$Q$2))</f>
        <v>11685.4163705176</v>
      </c>
      <c r="H70" s="15" t="n">
        <f aca="false">G70*(1+IF(H$3&lt;=$O$2,$D70,$D70-($D70-$I$49)*MIN(H$3-$O$2,$Q$2)/$Q$2))</f>
        <v>13171.306901156</v>
      </c>
      <c r="I70" s="15" t="n">
        <f aca="false">H70*(1+IF(I$3&lt;=$O$2,$D70,$D70-($D70-$I$49)*MIN(I$3-$O$2,$Q$2)/$Q$2))</f>
        <v>14846.1398365009</v>
      </c>
      <c r="J70" s="15" t="n">
        <f aca="false">I70*(1+IF(J$3&lt;=$O$2,$D70,$D70-($D70-$I$49)*MIN(J$3-$O$2,$Q$2)/$Q$2))</f>
        <v>16410.7173638429</v>
      </c>
      <c r="K70" s="15" t="n">
        <f aca="false">J70*(1+IF(K$3&lt;=$O$2,$D70,$D70-($D70-$I$49)*MIN(K$3-$O$2,$Q$2)/$Q$2))</f>
        <v>17782.8931433779</v>
      </c>
      <c r="L70" s="15" t="n">
        <f aca="false">K70*(1+IF(L$3&lt;=$O$2,$D70,$D70-($D70-$I$49)*MIN(L$3-$O$2,$Q$2)/$Q$2))</f>
        <v>18882.6419423194</v>
      </c>
      <c r="M70" s="15" t="n">
        <f aca="false">L70*(1+IF(M$3&lt;=$O$2,$D70,$D70-($D70-$I$49)*MIN(M$3-$O$2,$Q$2)/$Q$2))</f>
        <v>19639.2984394304</v>
      </c>
      <c r="N70" s="15" t="n">
        <f aca="false">M70*(1+IF(N$3&lt;=$O$2,$D70,$D70-($D70-$I$49)*MIN(N$3-$O$2,$Q$2)/$Q$2))</f>
        <v>19998.697600872</v>
      </c>
      <c r="O70" s="15" t="n">
        <f aca="false">SUMPRODUCT(E70:N70,1/(1+$F$49)^$E$3:$N$3)*$E$2</f>
        <v>35630.1142179354</v>
      </c>
      <c r="P70" s="15" t="n">
        <f aca="false">N70*$E$2*(1+$I$49)/($F$49-$I$49)/(1+$F$49)^$N$3</f>
        <v>50869.5049874118</v>
      </c>
      <c r="Q70" s="15" t="n">
        <f aca="false">O70+P70</f>
        <v>86499.6192053473</v>
      </c>
      <c r="R70" s="15" t="n">
        <f aca="false">Q70-$G$2+$I$2</f>
        <v>80379.6192053473</v>
      </c>
      <c r="S70" s="42" t="n">
        <f aca="false">R70/$K$2</f>
        <v>464.139156977406</v>
      </c>
      <c r="T70" s="43" t="n">
        <f aca="false">S70-$M$2</f>
        <v>-0.00219883735280746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0.127157688140869</v>
      </c>
      <c r="C71" s="25" t="n">
        <f aca="false">IF(T70&gt;0,D70,C70)</f>
        <v>0.127159118652344</v>
      </c>
      <c r="D71" s="41" t="n">
        <f aca="false">(B71+C71)/2</f>
        <v>0.127158403396606</v>
      </c>
      <c r="E71" s="15" t="n">
        <f aca="false">$C$2*(1+IF(E$3&lt;=$O$2,$D71,$D71-($D71-$I$49)*MIN(E$3-$O$2,$Q$2)/$Q$2))</f>
        <v>9197.61257171631</v>
      </c>
      <c r="F71" s="15" t="n">
        <f aca="false">E71*(1+IF(F$3&lt;=$O$2,$D71,$D71-($D71-$I$49)*MIN(F$3-$O$2,$Q$2)/$Q$2))</f>
        <v>10367.1663013963</v>
      </c>
      <c r="G71" s="15" t="n">
        <f aca="false">F71*(1+IF(G$3&lt;=$O$2,$D71,$D71-($D71-$I$49)*MIN(G$3-$O$2,$Q$2)/$Q$2))</f>
        <v>11685.438616029</v>
      </c>
      <c r="H71" s="15" t="n">
        <f aca="false">G71*(1+IF(H$3&lt;=$O$2,$D71,$D71-($D71-$I$49)*MIN(H$3-$O$2,$Q$2)/$Q$2))</f>
        <v>13171.3403334323</v>
      </c>
      <c r="I71" s="15" t="n">
        <f aca="false">H71*(1+IF(I$3&lt;=$O$2,$D71,$D71-($D71-$I$49)*MIN(I$3-$O$2,$Q$2)/$Q$2))</f>
        <v>14846.1869408248</v>
      </c>
      <c r="J71" s="15" t="n">
        <f aca="false">I71*(1+IF(J$3&lt;=$O$2,$D71,$D71-($D71-$I$49)*MIN(J$3-$O$2,$Q$2)/$Q$2))</f>
        <v>16410.7779273665</v>
      </c>
      <c r="K71" s="15" t="n">
        <f aca="false">J71*(1+IF(K$3&lt;=$O$2,$D71,$D71-($D71-$I$49)*MIN(K$3-$O$2,$Q$2)/$Q$2))</f>
        <v>17782.965813639</v>
      </c>
      <c r="L71" s="15" t="n">
        <f aca="false">K71*(1+IF(L$3&lt;=$O$2,$D71,$D71-($D71-$I$49)*MIN(L$3-$O$2,$Q$2)/$Q$2))</f>
        <v>18882.7241944802</v>
      </c>
      <c r="M71" s="15" t="n">
        <f aca="false">L71*(1+IF(M$3&lt;=$O$2,$D71,$D71-($D71-$I$49)*MIN(M$3-$O$2,$Q$2)/$Q$2))</f>
        <v>19639.3866887571</v>
      </c>
      <c r="N71" s="15" t="n">
        <f aca="false">M71*(1+IF(N$3&lt;=$O$2,$D71,$D71-($D71-$I$49)*MIN(N$3-$O$2,$Q$2)/$Q$2))</f>
        <v>19998.7874651614</v>
      </c>
      <c r="O71" s="15" t="n">
        <f aca="false">SUMPRODUCT(E71:N71,1/(1+$F$49)^$E$3:$N$3)*$E$2</f>
        <v>35630.2250398107</v>
      </c>
      <c r="P71" s="15" t="n">
        <f aca="false">N71*$E$2*(1+$I$49)/($F$49-$I$49)/(1+$F$49)^$N$3</f>
        <v>50869.7335698929</v>
      </c>
      <c r="Q71" s="15" t="n">
        <f aca="false">O71+P71</f>
        <v>86499.9586097036</v>
      </c>
      <c r="R71" s="15" t="n">
        <f aca="false">Q71-$G$2+$I$2</f>
        <v>80379.9586097036</v>
      </c>
      <c r="S71" s="42" t="n">
        <f aca="false">R71/$K$2</f>
        <v>464.141116813163</v>
      </c>
      <c r="T71" s="43" t="n">
        <f aca="false">S71-$M$2</f>
        <v>-0.000239001596014532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0.127158403396606</v>
      </c>
      <c r="C72" s="25" t="n">
        <f aca="false">IF(T71&gt;0,D71,C71)</f>
        <v>0.127159118652344</v>
      </c>
      <c r="D72" s="41" t="n">
        <f aca="false">(B72+C72)/2</f>
        <v>0.127158761024475</v>
      </c>
      <c r="E72" s="15" t="n">
        <f aca="false">$C$2*(1+IF(E$3&lt;=$O$2,$D72,$D72-($D72-$I$49)*MIN(E$3-$O$2,$Q$2)/$Q$2))</f>
        <v>9197.61548995972</v>
      </c>
      <c r="F72" s="15" t="n">
        <f aca="false">E72*(1+IF(F$3&lt;=$O$2,$D72,$D72-($D72-$I$49)*MIN(F$3-$O$2,$Q$2)/$Q$2))</f>
        <v>10367.1728800425</v>
      </c>
      <c r="G72" s="15" t="n">
        <f aca="false">F72*(1+IF(G$3&lt;=$O$2,$D72,$D72-($D72-$I$49)*MIN(G$3-$O$2,$Q$2)/$Q$2))</f>
        <v>11685.4497387953</v>
      </c>
      <c r="H72" s="15" t="n">
        <f aca="false">G72*(1+IF(H$3&lt;=$O$2,$D72,$D72-($D72-$I$49)*MIN(H$3-$O$2,$Q$2)/$Q$2))</f>
        <v>13171.3570495942</v>
      </c>
      <c r="I72" s="15" t="n">
        <f aca="false">H72*(1+IF(I$3&lt;=$O$2,$D72,$D72-($D72-$I$49)*MIN(I$3-$O$2,$Q$2)/$Q$2))</f>
        <v>14846.2104930316</v>
      </c>
      <c r="J72" s="15" t="n">
        <f aca="false">I72*(1+IF(J$3&lt;=$O$2,$D72,$D72-($D72-$I$49)*MIN(J$3-$O$2,$Q$2)/$Q$2))</f>
        <v>16410.8082091981</v>
      </c>
      <c r="K72" s="15" t="n">
        <f aca="false">J72*(1+IF(K$3&lt;=$O$2,$D72,$D72-($D72-$I$49)*MIN(K$3-$O$2,$Q$2)/$Q$2))</f>
        <v>17783.0021488646</v>
      </c>
      <c r="L72" s="15" t="n">
        <f aca="false">K72*(1+IF(L$3&lt;=$O$2,$D72,$D72-($D72-$I$49)*MIN(L$3-$O$2,$Q$2)/$Q$2))</f>
        <v>18882.7653206772</v>
      </c>
      <c r="M72" s="15" t="n">
        <f aca="false">L72*(1+IF(M$3&lt;=$O$2,$D72,$D72-($D72-$I$49)*MIN(M$3-$O$2,$Q$2)/$Q$2))</f>
        <v>19639.4308135506</v>
      </c>
      <c r="N72" s="15" t="n">
        <f aca="false">M72*(1+IF(N$3&lt;=$O$2,$D72,$D72-($D72-$I$49)*MIN(N$3-$O$2,$Q$2)/$Q$2))</f>
        <v>19998.8323974385</v>
      </c>
      <c r="O72" s="15" t="n">
        <f aca="false">SUMPRODUCT(E72:N72,1/(1+$F$49)^$E$3:$N$3)*$E$2</f>
        <v>35630.2804508756</v>
      </c>
      <c r="P72" s="15" t="n">
        <f aca="false">N72*$E$2*(1+$I$49)/($F$49-$I$49)/(1+$F$49)^$N$3</f>
        <v>50869.8478614704</v>
      </c>
      <c r="Q72" s="15" t="n">
        <f aca="false">O72+P72</f>
        <v>86500.1283123461</v>
      </c>
      <c r="R72" s="15" t="n">
        <f aca="false">Q72-$G$2+$I$2</f>
        <v>80380.1283123461</v>
      </c>
      <c r="S72" s="42" t="n">
        <f aca="false">R72/$K$2</f>
        <v>464.142096733722</v>
      </c>
      <c r="T72" s="43" t="n">
        <f aca="false">S72-$M$2</f>
        <v>0.000740918963174408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0.127158403396606</v>
      </c>
      <c r="C73" s="25" t="n">
        <f aca="false">IF(T72&gt;0,D72,C72)</f>
        <v>0.127158761024475</v>
      </c>
      <c r="D73" s="41" t="n">
        <f aca="false">(B73+C73)/2</f>
        <v>0.127158582210541</v>
      </c>
      <c r="E73" s="15" t="n">
        <f aca="false">$C$2*(1+IF(E$3&lt;=$O$2,$D73,$D73-($D73-$I$49)*MIN(E$3-$O$2,$Q$2)/$Q$2))</f>
        <v>9197.61403083801</v>
      </c>
      <c r="F73" s="15" t="n">
        <f aca="false">E73*(1+IF(F$3&lt;=$O$2,$D73,$D73-($D73-$I$49)*MIN(F$3-$O$2,$Q$2)/$Q$2))</f>
        <v>10367.1695907192</v>
      </c>
      <c r="G73" s="15" t="n">
        <f aca="false">F73*(1+IF(G$3&lt;=$O$2,$D73,$D73-($D73-$I$49)*MIN(G$3-$O$2,$Q$2)/$Q$2))</f>
        <v>11685.4441774112</v>
      </c>
      <c r="H73" s="15" t="n">
        <f aca="false">G73*(1+IF(H$3&lt;=$O$2,$D73,$D73-($D73-$I$49)*MIN(H$3-$O$2,$Q$2)/$Q$2))</f>
        <v>13171.3486915113</v>
      </c>
      <c r="I73" s="15" t="n">
        <f aca="false">H73*(1+IF(I$3&lt;=$O$2,$D73,$D73-($D73-$I$49)*MIN(I$3-$O$2,$Q$2)/$Q$2))</f>
        <v>14846.1987169245</v>
      </c>
      <c r="J73" s="15" t="n">
        <f aca="false">I73*(1+IF(J$3&lt;=$O$2,$D73,$D73-($D73-$I$49)*MIN(J$3-$O$2,$Q$2)/$Q$2))</f>
        <v>16410.7930682765</v>
      </c>
      <c r="K73" s="15" t="n">
        <f aca="false">J73*(1+IF(K$3&lt;=$O$2,$D73,$D73-($D73-$I$49)*MIN(K$3-$O$2,$Q$2)/$Q$2))</f>
        <v>17782.9839812438</v>
      </c>
      <c r="L73" s="15" t="n">
        <f aca="false">K73*(1+IF(L$3&lt;=$O$2,$D73,$D73-($D73-$I$49)*MIN(L$3-$O$2,$Q$2)/$Q$2))</f>
        <v>18882.744757569</v>
      </c>
      <c r="M73" s="15" t="n">
        <f aca="false">L73*(1+IF(M$3&lt;=$O$2,$D73,$D73-($D73-$I$49)*MIN(M$3-$O$2,$Q$2)/$Q$2))</f>
        <v>19639.408751143</v>
      </c>
      <c r="N73" s="15" t="n">
        <f aca="false">M73*(1+IF(N$3&lt;=$O$2,$D73,$D73-($D73-$I$49)*MIN(N$3-$O$2,$Q$2)/$Q$2))</f>
        <v>19998.8099312889</v>
      </c>
      <c r="O73" s="15" t="n">
        <f aca="false">SUMPRODUCT(E73:N73,1/(1+$F$49)^$E$3:$N$3)*$E$2</f>
        <v>35630.2527453325</v>
      </c>
      <c r="P73" s="15" t="n">
        <f aca="false">N73*$E$2*(1+$I$49)/($F$49-$I$49)/(1+$F$49)^$N$3</f>
        <v>50869.7907156536</v>
      </c>
      <c r="Q73" s="15" t="n">
        <f aca="false">O73+P73</f>
        <v>86500.0434609861</v>
      </c>
      <c r="R73" s="15" t="n">
        <f aca="false">Q73-$G$2+$I$2</f>
        <v>80380.0434609861</v>
      </c>
      <c r="S73" s="42" t="n">
        <f aca="false">R73/$K$2</f>
        <v>464.141606773219</v>
      </c>
      <c r="T73" s="43" t="n">
        <f aca="false">S73-$M$2</f>
        <v>0.000250958460128459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0.127158403396606</v>
      </c>
      <c r="C74" s="25" t="n">
        <f aca="false">IF(T73&gt;0,D73,C73)</f>
        <v>0.127158582210541</v>
      </c>
      <c r="D74" s="41" t="n">
        <f aca="false">(B74+C74)/2</f>
        <v>0.127158492803574</v>
      </c>
      <c r="E74" s="15" t="n">
        <f aca="false">$C$2*(1+IF(E$3&lt;=$O$2,$D74,$D74-($D74-$I$49)*MIN(E$3-$O$2,$Q$2)/$Q$2))</f>
        <v>9197.61330127716</v>
      </c>
      <c r="F74" s="15" t="n">
        <f aca="false">E74*(1+IF(F$3&lt;=$O$2,$D74,$D74-($D74-$I$49)*MIN(F$3-$O$2,$Q$2)/$Q$2))</f>
        <v>10367.1679460577</v>
      </c>
      <c r="G74" s="15" t="n">
        <f aca="false">F74*(1+IF(G$3&lt;=$O$2,$D74,$D74-($D74-$I$49)*MIN(G$3-$O$2,$Q$2)/$Q$2))</f>
        <v>11685.4413967199</v>
      </c>
      <c r="H74" s="15" t="n">
        <f aca="false">G74*(1+IF(H$3&lt;=$O$2,$D74,$D74-($D74-$I$49)*MIN(H$3-$O$2,$Q$2)/$Q$2))</f>
        <v>13171.3445124713</v>
      </c>
      <c r="I74" s="15" t="n">
        <f aca="false">H74*(1+IF(I$3&lt;=$O$2,$D74,$D74-($D74-$I$49)*MIN(I$3-$O$2,$Q$2)/$Q$2))</f>
        <v>14846.1928288737</v>
      </c>
      <c r="J74" s="15" t="n">
        <f aca="false">I74*(1+IF(J$3&lt;=$O$2,$D74,$D74-($D74-$I$49)*MIN(J$3-$O$2,$Q$2)/$Q$2))</f>
        <v>16410.7854978201</v>
      </c>
      <c r="K74" s="15" t="n">
        <f aca="false">J74*(1+IF(K$3&lt;=$O$2,$D74,$D74-($D74-$I$49)*MIN(K$3-$O$2,$Q$2)/$Q$2))</f>
        <v>17782.9748974394</v>
      </c>
      <c r="L74" s="15" t="n">
        <f aca="false">K74*(1+IF(L$3&lt;=$O$2,$D74,$D74-($D74-$I$49)*MIN(L$3-$O$2,$Q$2)/$Q$2))</f>
        <v>18882.7344760222</v>
      </c>
      <c r="M74" s="15" t="n">
        <f aca="false">L74*(1+IF(M$3&lt;=$O$2,$D74,$D74-($D74-$I$49)*MIN(M$3-$O$2,$Q$2)/$Q$2))</f>
        <v>19639.3977199474</v>
      </c>
      <c r="N74" s="15" t="n">
        <f aca="false">M74*(1+IF(N$3&lt;=$O$2,$D74,$D74-($D74-$I$49)*MIN(N$3-$O$2,$Q$2)/$Q$2))</f>
        <v>19998.7986982224</v>
      </c>
      <c r="O74" s="15" t="n">
        <f aca="false">SUMPRODUCT(E74:N74,1/(1+$F$49)^$E$3:$N$3)*$E$2</f>
        <v>35630.2388925689</v>
      </c>
      <c r="P74" s="15" t="n">
        <f aca="false">N74*$E$2*(1+$I$49)/($F$49-$I$49)/(1+$F$49)^$N$3</f>
        <v>50869.7621427663</v>
      </c>
      <c r="Q74" s="15" t="n">
        <f aca="false">O74+P74</f>
        <v>86500.0010353352</v>
      </c>
      <c r="R74" s="15" t="n">
        <f aca="false">Q74-$G$2+$I$2</f>
        <v>80380.0010353352</v>
      </c>
      <c r="S74" s="42" t="n">
        <f aca="false">R74/$K$2</f>
        <v>464.141361793135</v>
      </c>
      <c r="T74" s="43" t="n">
        <f aca="false">S74-$M$2</f>
        <v>5.97837623672604E-006</v>
      </c>
    </row>
    <row r="76" customFormat="false" ht="15" hidden="false" customHeight="false" outlineLevel="0" collapsed="false">
      <c r="A76" s="38" t="s">
        <v>183</v>
      </c>
      <c r="E76" s="5" t="s">
        <v>11</v>
      </c>
      <c r="F76" s="12" t="n">
        <f aca="false">Sensitivity!$B$10</f>
        <v>0.0853160519233867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162</v>
      </c>
      <c r="B77" s="28" t="s">
        <v>163</v>
      </c>
      <c r="C77" s="28" t="s">
        <v>164</v>
      </c>
      <c r="D77" s="28" t="s">
        <v>165</v>
      </c>
      <c r="E77" s="28" t="s">
        <v>166</v>
      </c>
      <c r="F77" s="28" t="s">
        <v>167</v>
      </c>
      <c r="G77" s="28" t="s">
        <v>168</v>
      </c>
      <c r="H77" s="28" t="s">
        <v>169</v>
      </c>
      <c r="I77" s="28" t="s">
        <v>170</v>
      </c>
      <c r="J77" s="28" t="s">
        <v>171</v>
      </c>
      <c r="K77" s="28" t="s">
        <v>172</v>
      </c>
      <c r="L77" s="28" t="s">
        <v>173</v>
      </c>
      <c r="M77" s="28" t="s">
        <v>174</v>
      </c>
      <c r="N77" s="28" t="s">
        <v>175</v>
      </c>
      <c r="O77" s="28" t="s">
        <v>176</v>
      </c>
      <c r="P77" s="28" t="s">
        <v>177</v>
      </c>
      <c r="Q77" s="28" t="s">
        <v>178</v>
      </c>
      <c r="R77" s="28" t="s">
        <v>179</v>
      </c>
      <c r="S77" s="28" t="s">
        <v>180</v>
      </c>
      <c r="T77" s="28" t="s">
        <v>181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10200</v>
      </c>
      <c r="F78" s="15" t="n">
        <f aca="false">E78*(1+IF(F$3&lt;=$O$2,$D78,$D78-($D78-$I$76)*MIN(F$3-$O$2,$Q$2)/$Q$2))</f>
        <v>12750</v>
      </c>
      <c r="G78" s="15" t="n">
        <f aca="false">F78*(1+IF(G$3&lt;=$O$2,$D78,$D78-($D78-$I$76)*MIN(G$3-$O$2,$Q$2)/$Q$2))</f>
        <v>15937.5</v>
      </c>
      <c r="H78" s="15" t="n">
        <f aca="false">G78*(1+IF(H$3&lt;=$O$2,$D78,$D78-($D78-$I$76)*MIN(H$3-$O$2,$Q$2)/$Q$2))</f>
        <v>19921.875</v>
      </c>
      <c r="I78" s="15" t="n">
        <f aca="false">H78*(1+IF(I$3&lt;=$O$2,$D78,$D78-($D78-$I$76)*MIN(I$3-$O$2,$Q$2)/$Q$2))</f>
        <v>24902.34375</v>
      </c>
      <c r="J78" s="15" t="n">
        <f aca="false">I78*(1+IF(J$3&lt;=$O$2,$D78,$D78-($D78-$I$76)*MIN(J$3-$O$2,$Q$2)/$Q$2))</f>
        <v>29998.857421875</v>
      </c>
      <c r="K78" s="15" t="n">
        <f aca="false">J78*(1+IF(K$3&lt;=$O$2,$D78,$D78-($D78-$I$76)*MIN(K$3-$O$2,$Q$2)/$Q$2))</f>
        <v>34778.2753863281</v>
      </c>
      <c r="L78" s="15" t="n">
        <f aca="false">K78*(1+IF(L$3&lt;=$O$2,$D78,$D78-($D78-$I$76)*MIN(L$3-$O$2,$Q$2)/$Q$2))</f>
        <v>38742.3032148618</v>
      </c>
      <c r="M78" s="15" t="n">
        <f aca="false">L78*(1+IF(M$3&lt;=$O$2,$D78,$D78-($D78-$I$76)*MIN(M$3-$O$2,$Q$2)/$Q$2))</f>
        <v>41401.5749075299</v>
      </c>
      <c r="N78" s="15" t="n">
        <f aca="false">M78*(1+IF(N$3&lt;=$O$2,$D78,$D78-($D78-$I$76)*MIN(N$3-$O$2,$Q$2)/$Q$2))</f>
        <v>42366.2316028754</v>
      </c>
      <c r="O78" s="15" t="n">
        <f aca="false">SUMPRODUCT(E78:N78,1/(1+$F$76)^$E$3:$N$3)*$E$2</f>
        <v>60800.4018535006</v>
      </c>
      <c r="P78" s="15" t="n">
        <f aca="false">N78*$E$2*(1+$I$76)/($F$76-$I$76)/(1+$F$76)^$N$3</f>
        <v>117024.714071386</v>
      </c>
      <c r="Q78" s="15" t="n">
        <f aca="false">O78+P78</f>
        <v>177825.115924887</v>
      </c>
      <c r="R78" s="15" t="n">
        <f aca="false">Q78-$G$2+$I$2</f>
        <v>171705.115924887</v>
      </c>
      <c r="S78" s="42" t="n">
        <f aca="false">R78/$K$2</f>
        <v>991.483519603227</v>
      </c>
      <c r="T78" s="43" t="n">
        <f aca="false">S78-$M$2</f>
        <v>527.342163788468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7140</v>
      </c>
      <c r="F79" s="15" t="n">
        <f aca="false">E79*(1+IF(F$3&lt;=$O$2,$D79,$D79-($D79-$I$76)*MIN(F$3-$O$2,$Q$2)/$Q$2))</f>
        <v>6247.5</v>
      </c>
      <c r="G79" s="15" t="n">
        <f aca="false">F79*(1+IF(G$3&lt;=$O$2,$D79,$D79-($D79-$I$76)*MIN(G$3-$O$2,$Q$2)/$Q$2))</f>
        <v>5466.5625</v>
      </c>
      <c r="H79" s="15" t="n">
        <f aca="false">G79*(1+IF(H$3&lt;=$O$2,$D79,$D79-($D79-$I$76)*MIN(H$3-$O$2,$Q$2)/$Q$2))</f>
        <v>4783.2421875</v>
      </c>
      <c r="I79" s="15" t="n">
        <f aca="false">H79*(1+IF(I$3&lt;=$O$2,$D79,$D79-($D79-$I$76)*MIN(I$3-$O$2,$Q$2)/$Q$2))</f>
        <v>4185.3369140625</v>
      </c>
      <c r="J79" s="15" t="n">
        <f aca="false">I79*(1+IF(J$3&lt;=$O$2,$D79,$D79-($D79-$I$76)*MIN(J$3-$O$2,$Q$2)/$Q$2))</f>
        <v>3786.30689267578</v>
      </c>
      <c r="K79" s="15" t="n">
        <f aca="false">J79*(1+IF(K$3&lt;=$O$2,$D79,$D79-($D79-$I$76)*MIN(K$3-$O$2,$Q$2)/$Q$2))</f>
        <v>3537.62225596484</v>
      </c>
      <c r="L79" s="15" t="n">
        <f aca="false">K79*(1+IF(L$3&lt;=$O$2,$D79,$D79-($D79-$I$76)*MIN(L$3-$O$2,$Q$2)/$Q$2))</f>
        <v>3410.19710230498</v>
      </c>
      <c r="M79" s="15" t="n">
        <f aca="false">L79*(1+IF(M$3&lt;=$O$2,$D79,$D79-($D79-$I$76)*MIN(M$3-$O$2,$Q$2)/$Q$2))</f>
        <v>3388.50824873432</v>
      </c>
      <c r="N79" s="15" t="n">
        <f aca="false">M79*(1+IF(N$3&lt;=$O$2,$D79,$D79-($D79-$I$76)*MIN(N$3-$O$2,$Q$2)/$Q$2))</f>
        <v>3467.46049092983</v>
      </c>
      <c r="O79" s="15" t="n">
        <f aca="false">SUMPRODUCT(E79:N79,1/(1+$F$76)^$E$3:$N$3)*$E$2</f>
        <v>12002.476491275</v>
      </c>
      <c r="P79" s="15" t="n">
        <f aca="false">N79*$E$2*(1+$I$76)/($F$76-$I$76)/(1+$F$76)^$N$3</f>
        <v>9577.87740737726</v>
      </c>
      <c r="Q79" s="15" t="n">
        <f aca="false">O79+P79</f>
        <v>21580.3538986523</v>
      </c>
      <c r="R79" s="15" t="n">
        <f aca="false">Q79-$G$2+$I$2</f>
        <v>15460.3538986523</v>
      </c>
      <c r="S79" s="42" t="n">
        <f aca="false">R79/$K$2</f>
        <v>89.2733219693515</v>
      </c>
      <c r="T79" s="43" t="n">
        <f aca="false">S79-$M$2</f>
        <v>-374.868033845408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8670</v>
      </c>
      <c r="F80" s="15" t="n">
        <f aca="false">E80*(1+IF(F$3&lt;=$O$2,$D80,$D80-($D80-$I$76)*MIN(F$3-$O$2,$Q$2)/$Q$2))</f>
        <v>9211.875</v>
      </c>
      <c r="G80" s="15" t="n">
        <f aca="false">F80*(1+IF(G$3&lt;=$O$2,$D80,$D80-($D80-$I$76)*MIN(G$3-$O$2,$Q$2)/$Q$2))</f>
        <v>9787.6171875</v>
      </c>
      <c r="H80" s="15" t="n">
        <f aca="false">G80*(1+IF(H$3&lt;=$O$2,$D80,$D80-($D80-$I$76)*MIN(H$3-$O$2,$Q$2)/$Q$2))</f>
        <v>10399.3432617188</v>
      </c>
      <c r="I80" s="15" t="n">
        <f aca="false">H80*(1+IF(I$3&lt;=$O$2,$D80,$D80-($D80-$I$76)*MIN(I$3-$O$2,$Q$2)/$Q$2))</f>
        <v>11049.3022155762</v>
      </c>
      <c r="J80" s="15" t="n">
        <f aca="false">I80*(1+IF(J$3&lt;=$O$2,$D80,$D80-($D80-$I$76)*MIN(J$3-$O$2,$Q$2)/$Q$2))</f>
        <v>11653.2570746796</v>
      </c>
      <c r="K80" s="15" t="n">
        <f aca="false">J80*(1+IF(K$3&lt;=$O$2,$D80,$D80-($D80-$I$76)*MIN(K$3-$O$2,$Q$2)/$Q$2))</f>
        <v>12198.8625709161</v>
      </c>
      <c r="L80" s="15" t="n">
        <f aca="false">K80*(1+IF(L$3&lt;=$O$2,$D80,$D80-($D80-$I$76)*MIN(L$3-$O$2,$Q$2)/$Q$2))</f>
        <v>12674.3742339304</v>
      </c>
      <c r="M80" s="15" t="n">
        <f aca="false">L80*(1+IF(M$3&lt;=$O$2,$D80,$D80-($D80-$I$76)*MIN(M$3-$O$2,$Q$2)/$Q$2))</f>
        <v>13069.054247575</v>
      </c>
      <c r="N80" s="15" t="n">
        <f aca="false">M80*(1+IF(N$3&lt;=$O$2,$D80,$D80-($D80-$I$76)*MIN(N$3-$O$2,$Q$2)/$Q$2))</f>
        <v>13373.5632115435</v>
      </c>
      <c r="O80" s="15" t="n">
        <f aca="false">SUMPRODUCT(E80:N80,1/(1+$F$76)^$E$3:$N$3)*$E$2</f>
        <v>26967.339863148</v>
      </c>
      <c r="P80" s="15" t="n">
        <f aca="false">N80*$E$2*(1+$I$76)/($F$76-$I$76)/(1+$F$76)^$N$3</f>
        <v>36940.6801533952</v>
      </c>
      <c r="Q80" s="15" t="n">
        <f aca="false">O80+P80</f>
        <v>63908.0200165432</v>
      </c>
      <c r="R80" s="15" t="n">
        <f aca="false">Q80-$G$2+$I$2</f>
        <v>57788.0200165432</v>
      </c>
      <c r="S80" s="42" t="n">
        <f aca="false">R80/$K$2</f>
        <v>333.687608364379</v>
      </c>
      <c r="T80" s="43" t="n">
        <f aca="false">S80-$M$2</f>
        <v>-130.45374745038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0.0625</v>
      </c>
      <c r="C81" s="25" t="n">
        <f aca="false">IF(T80&gt;0,D80,C80)</f>
        <v>0.25</v>
      </c>
      <c r="D81" s="41" t="n">
        <f aca="false">(B81+C81)/2</f>
        <v>0.15625</v>
      </c>
      <c r="E81" s="15" t="n">
        <f aca="false">$C$2*(1+IF(E$3&lt;=$O$2,$D81,$D81-($D81-$I$76)*MIN(E$3-$O$2,$Q$2)/$Q$2))</f>
        <v>9435</v>
      </c>
      <c r="F81" s="15" t="n">
        <f aca="false">E81*(1+IF(F$3&lt;=$O$2,$D81,$D81-($D81-$I$76)*MIN(F$3-$O$2,$Q$2)/$Q$2))</f>
        <v>10909.21875</v>
      </c>
      <c r="G81" s="15" t="n">
        <f aca="false">F81*(1+IF(G$3&lt;=$O$2,$D81,$D81-($D81-$I$76)*MIN(G$3-$O$2,$Q$2)/$Q$2))</f>
        <v>12613.7841796875</v>
      </c>
      <c r="H81" s="15" t="n">
        <f aca="false">G81*(1+IF(H$3&lt;=$O$2,$D81,$D81-($D81-$I$76)*MIN(H$3-$O$2,$Q$2)/$Q$2))</f>
        <v>14584.6879577637</v>
      </c>
      <c r="I81" s="15" t="n">
        <f aca="false">H81*(1+IF(I$3&lt;=$O$2,$D81,$D81-($D81-$I$76)*MIN(I$3-$O$2,$Q$2)/$Q$2))</f>
        <v>16863.5454511642</v>
      </c>
      <c r="J81" s="15" t="n">
        <f aca="false">I81*(1+IF(J$3&lt;=$O$2,$D81,$D81-($D81-$I$76)*MIN(J$3-$O$2,$Q$2)/$Q$2))</f>
        <v>19050.0727543622</v>
      </c>
      <c r="K81" s="15" t="n">
        <f aca="false">J81*(1+IF(K$3&lt;=$O$2,$D81,$D81-($D81-$I$76)*MIN(K$3-$O$2,$Q$2)/$Q$2))</f>
        <v>21013.5637531543</v>
      </c>
      <c r="L81" s="15" t="n">
        <f aca="false">K81*(1+IF(L$3&lt;=$O$2,$D81,$D81-($D81-$I$76)*MIN(L$3-$O$2,$Q$2)/$Q$2))</f>
        <v>22620.6811089956</v>
      </c>
      <c r="M81" s="15" t="n">
        <f aca="false">L81*(1+IF(M$3&lt;=$O$2,$D81,$D81-($D81-$I$76)*MIN(M$3-$O$2,$Q$2)/$Q$2))</f>
        <v>23749.2268895233</v>
      </c>
      <c r="N81" s="15" t="n">
        <f aca="false">M81*(1+IF(N$3&lt;=$O$2,$D81,$D81-($D81-$I$76)*MIN(N$3-$O$2,$Q$2)/$Q$2))</f>
        <v>24302.5838760492</v>
      </c>
      <c r="O81" s="15" t="n">
        <f aca="false">SUMPRODUCT(E81:N81,1/(1+$F$76)^$E$3:$N$3)*$E$2</f>
        <v>40567.4012043613</v>
      </c>
      <c r="P81" s="15" t="n">
        <f aca="false">N81*$E$2*(1+$I$76)/($F$76-$I$76)/(1+$F$76)^$N$3</f>
        <v>67129.0039659209</v>
      </c>
      <c r="Q81" s="15" t="n">
        <f aca="false">O81+P81</f>
        <v>107696.405170282</v>
      </c>
      <c r="R81" s="15" t="n">
        <f aca="false">Q81-$G$2+$I$2</f>
        <v>101576.405170282</v>
      </c>
      <c r="S81" s="42" t="n">
        <f aca="false">R81/$K$2</f>
        <v>586.536581419808</v>
      </c>
      <c r="T81" s="43" t="n">
        <f aca="false">S81-$M$2</f>
        <v>122.395225605048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0.0625</v>
      </c>
      <c r="C82" s="25" t="n">
        <f aca="false">IF(T81&gt;0,D81,C81)</f>
        <v>0.15625</v>
      </c>
      <c r="D82" s="41" t="n">
        <f aca="false">(B82+C82)/2</f>
        <v>0.109375</v>
      </c>
      <c r="E82" s="15" t="n">
        <f aca="false">$C$2*(1+IF(E$3&lt;=$O$2,$D82,$D82-($D82-$I$76)*MIN(E$3-$O$2,$Q$2)/$Q$2))</f>
        <v>9052.5</v>
      </c>
      <c r="F82" s="15" t="n">
        <f aca="false">E82*(1+IF(F$3&lt;=$O$2,$D82,$D82-($D82-$I$76)*MIN(F$3-$O$2,$Q$2)/$Q$2))</f>
        <v>10042.6171875</v>
      </c>
      <c r="G82" s="15" t="n">
        <f aca="false">F82*(1+IF(G$3&lt;=$O$2,$D82,$D82-($D82-$I$76)*MIN(G$3-$O$2,$Q$2)/$Q$2))</f>
        <v>11141.0284423828</v>
      </c>
      <c r="H82" s="15" t="n">
        <f aca="false">G82*(1+IF(H$3&lt;=$O$2,$D82,$D82-($D82-$I$76)*MIN(H$3-$O$2,$Q$2)/$Q$2))</f>
        <v>12359.5784282684</v>
      </c>
      <c r="I82" s="15" t="n">
        <f aca="false">H82*(1+IF(I$3&lt;=$O$2,$D82,$D82-($D82-$I$76)*MIN(I$3-$O$2,$Q$2)/$Q$2))</f>
        <v>13711.4073188603</v>
      </c>
      <c r="J82" s="15" t="n">
        <f aca="false">I82*(1+IF(J$3&lt;=$O$2,$D82,$D82-($D82-$I$76)*MIN(J$3-$O$2,$Q$2)/$Q$2))</f>
        <v>14975.0506173665</v>
      </c>
      <c r="K82" s="15" t="n">
        <f aca="false">J82*(1+IF(K$3&lt;=$O$2,$D82,$D82-($D82-$I$76)*MIN(K$3-$O$2,$Q$2)/$Q$2))</f>
        <v>16097.355785885</v>
      </c>
      <c r="L82" s="15" t="n">
        <f aca="false">K82*(1+IF(L$3&lt;=$O$2,$D82,$D82-($D82-$I$76)*MIN(L$3-$O$2,$Q$2)/$Q$2))</f>
        <v>17026.6561354041</v>
      </c>
      <c r="M82" s="15" t="n">
        <f aca="false">L82*(1+IF(M$3&lt;=$O$2,$D82,$D82-($D82-$I$76)*MIN(M$3-$O$2,$Q$2)/$Q$2))</f>
        <v>17716.49110873</v>
      </c>
      <c r="N82" s="15" t="n">
        <f aca="false">M82*(1+IF(N$3&lt;=$O$2,$D82,$D82-($D82-$I$76)*MIN(N$3-$O$2,$Q$2)/$Q$2))</f>
        <v>18129.2853515634</v>
      </c>
      <c r="O82" s="15" t="n">
        <f aca="false">SUMPRODUCT(E82:N82,1/(1+$F$76)^$E$3:$N$3)*$E$2</f>
        <v>33082.5828567637</v>
      </c>
      <c r="P82" s="15" t="n">
        <f aca="false">N82*$E$2*(1+$I$76)/($F$76-$I$76)/(1+$F$76)^$N$3</f>
        <v>50077.0154511758</v>
      </c>
      <c r="Q82" s="15" t="n">
        <f aca="false">O82+P82</f>
        <v>83159.5983079395</v>
      </c>
      <c r="R82" s="15" t="n">
        <f aca="false">Q82-$G$2+$I$2</f>
        <v>77039.5983079395</v>
      </c>
      <c r="S82" s="42" t="n">
        <f aca="false">R82/$K$2</f>
        <v>444.852744589095</v>
      </c>
      <c r="T82" s="43" t="n">
        <f aca="false">S82-$M$2</f>
        <v>-19.2886112256638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0.109375</v>
      </c>
      <c r="C83" s="25" t="n">
        <f aca="false">IF(T82&gt;0,D82,C82)</f>
        <v>0.15625</v>
      </c>
      <c r="D83" s="41" t="n">
        <f aca="false">(B83+C83)/2</f>
        <v>0.1328125</v>
      </c>
      <c r="E83" s="15" t="n">
        <f aca="false">$C$2*(1+IF(E$3&lt;=$O$2,$D83,$D83-($D83-$I$76)*MIN(E$3-$O$2,$Q$2)/$Q$2))</f>
        <v>9243.75</v>
      </c>
      <c r="F83" s="15" t="n">
        <f aca="false">E83*(1+IF(F$3&lt;=$O$2,$D83,$D83-($D83-$I$76)*MIN(F$3-$O$2,$Q$2)/$Q$2))</f>
        <v>10471.435546875</v>
      </c>
      <c r="G83" s="15" t="n">
        <f aca="false">F83*(1+IF(G$3&lt;=$O$2,$D83,$D83-($D83-$I$76)*MIN(G$3-$O$2,$Q$2)/$Q$2))</f>
        <v>11862.1730804443</v>
      </c>
      <c r="H83" s="15" t="n">
        <f aca="false">G83*(1+IF(H$3&lt;=$O$2,$D83,$D83-($D83-$I$76)*MIN(H$3-$O$2,$Q$2)/$Q$2))</f>
        <v>13437.6179426909</v>
      </c>
      <c r="I83" s="15" t="n">
        <f aca="false">H83*(1+IF(I$3&lt;=$O$2,$D83,$D83-($D83-$I$76)*MIN(I$3-$O$2,$Q$2)/$Q$2))</f>
        <v>15222.3015757045</v>
      </c>
      <c r="J83" s="15" t="n">
        <f aca="false">I83*(1+IF(J$3&lt;=$O$2,$D83,$D83-($D83-$I$76)*MIN(J$3-$O$2,$Q$2)/$Q$2))</f>
        <v>16910.6070434659</v>
      </c>
      <c r="K83" s="15" t="n">
        <f aca="false">J83*(1+IF(K$3&lt;=$O$2,$D83,$D83-($D83-$I$76)*MIN(K$3-$O$2,$Q$2)/$Q$2))</f>
        <v>18415.7778998871</v>
      </c>
      <c r="L83" s="15" t="n">
        <f aca="false">K83*(1+IF(L$3&lt;=$O$2,$D83,$D83-($D83-$I$76)*MIN(L$3-$O$2,$Q$2)/$Q$2))</f>
        <v>19651.5686758591</v>
      </c>
      <c r="M83" s="15" t="n">
        <f aca="false">L83*(1+IF(M$3&lt;=$O$2,$D83,$D83-($D83-$I$76)*MIN(M$3-$O$2,$Q$2)/$Q$2))</f>
        <v>20539.8687089296</v>
      </c>
      <c r="N83" s="15" t="n">
        <f aca="false">M83*(1+IF(N$3&lt;=$O$2,$D83,$D83-($D83-$I$76)*MIN(N$3-$O$2,$Q$2)/$Q$2))</f>
        <v>21018.4476498477</v>
      </c>
      <c r="O83" s="15" t="n">
        <f aca="false">SUMPRODUCT(E83:N83,1/(1+$F$76)^$E$3:$N$3)*$E$2</f>
        <v>36637.5206643907</v>
      </c>
      <c r="P83" s="15" t="n">
        <f aca="false">N83*$E$2*(1+$I$76)/($F$76-$I$76)/(1+$F$76)^$N$3</f>
        <v>58057.5079111093</v>
      </c>
      <c r="Q83" s="15" t="n">
        <f aca="false">O83+P83</f>
        <v>94695.0285755</v>
      </c>
      <c r="R83" s="15" t="n">
        <f aca="false">Q83-$G$2+$I$2</f>
        <v>88575.0285755</v>
      </c>
      <c r="S83" s="42" t="n">
        <f aca="false">R83/$K$2</f>
        <v>511.462227598452</v>
      </c>
      <c r="T83" s="43" t="n">
        <f aca="false">S83-$M$2</f>
        <v>47.3208717836932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0.109375</v>
      </c>
      <c r="C84" s="25" t="n">
        <f aca="false">IF(T83&gt;0,D83,C83)</f>
        <v>0.1328125</v>
      </c>
      <c r="D84" s="41" t="n">
        <f aca="false">(B84+C84)/2</f>
        <v>0.12109375</v>
      </c>
      <c r="E84" s="15" t="n">
        <f aca="false">$C$2*(1+IF(E$3&lt;=$O$2,$D84,$D84-($D84-$I$76)*MIN(E$3-$O$2,$Q$2)/$Q$2))</f>
        <v>9148.125</v>
      </c>
      <c r="F84" s="15" t="n">
        <f aca="false">E84*(1+IF(F$3&lt;=$O$2,$D84,$D84-($D84-$I$76)*MIN(F$3-$O$2,$Q$2)/$Q$2))</f>
        <v>10255.9057617188</v>
      </c>
      <c r="G84" s="15" t="n">
        <f aca="false">F84*(1+IF(G$3&lt;=$O$2,$D84,$D84-($D84-$I$76)*MIN(G$3-$O$2,$Q$2)/$Q$2))</f>
        <v>11497.8318500519</v>
      </c>
      <c r="H84" s="15" t="n">
        <f aca="false">G84*(1+IF(H$3&lt;=$O$2,$D84,$D84-($D84-$I$76)*MIN(H$3-$O$2,$Q$2)/$Q$2))</f>
        <v>12890.1474256441</v>
      </c>
      <c r="I84" s="15" t="n">
        <f aca="false">H84*(1+IF(I$3&lt;=$O$2,$D84,$D84-($D84-$I$76)*MIN(I$3-$O$2,$Q$2)/$Q$2))</f>
        <v>14451.0637154682</v>
      </c>
      <c r="J84" s="15" t="n">
        <f aca="false">I84*(1+IF(J$3&lt;=$O$2,$D84,$D84-($D84-$I$76)*MIN(J$3-$O$2,$Q$2)/$Q$2))</f>
        <v>15918.3524698183</v>
      </c>
      <c r="K84" s="15" t="n">
        <f aca="false">J84*(1+IF(K$3&lt;=$O$2,$D84,$D84-($D84-$I$76)*MIN(K$3-$O$2,$Q$2)/$Q$2))</f>
        <v>17223.2793114722</v>
      </c>
      <c r="L84" s="15" t="n">
        <f aca="false">K84*(1+IF(L$3&lt;=$O$2,$D84,$D84-($D84-$I$76)*MIN(L$3-$O$2,$Q$2)/$Q$2))</f>
        <v>18298.313347896</v>
      </c>
      <c r="M84" s="15" t="n">
        <f aca="false">L84*(1+IF(M$3&lt;=$O$2,$D84,$D84-($D84-$I$76)*MIN(M$3-$O$2,$Q$2)/$Q$2))</f>
        <v>19082.5561850951</v>
      </c>
      <c r="N84" s="15" t="n">
        <f aca="false">M84*(1+IF(N$3&lt;=$O$2,$D84,$D84-($D84-$I$76)*MIN(N$3-$O$2,$Q$2)/$Q$2))</f>
        <v>19527.1797442079</v>
      </c>
      <c r="O84" s="15" t="n">
        <f aca="false">SUMPRODUCT(E84:N84,1/(1+$F$76)^$E$3:$N$3)*$E$2</f>
        <v>34815.3207973206</v>
      </c>
      <c r="P84" s="15" t="n">
        <f aca="false">N84*$E$2*(1+$I$76)/($F$76-$I$76)/(1+$F$76)^$N$3</f>
        <v>53938.3027408886</v>
      </c>
      <c r="Q84" s="15" t="n">
        <f aca="false">O84+P84</f>
        <v>88753.6235382092</v>
      </c>
      <c r="R84" s="15" t="n">
        <f aca="false">Q84-$G$2+$I$2</f>
        <v>82633.6235382092</v>
      </c>
      <c r="S84" s="42" t="n">
        <f aca="false">R84/$K$2</f>
        <v>477.154541738129</v>
      </c>
      <c r="T84" s="43" t="n">
        <f aca="false">S84-$M$2</f>
        <v>13.0131859233696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0.109375</v>
      </c>
      <c r="C85" s="25" t="n">
        <f aca="false">IF(T84&gt;0,D84,C84)</f>
        <v>0.12109375</v>
      </c>
      <c r="D85" s="41" t="n">
        <f aca="false">(B85+C85)/2</f>
        <v>0.115234375</v>
      </c>
      <c r="E85" s="15" t="n">
        <f aca="false">$C$2*(1+IF(E$3&lt;=$O$2,$D85,$D85-($D85-$I$76)*MIN(E$3-$O$2,$Q$2)/$Q$2))</f>
        <v>9100.3125</v>
      </c>
      <c r="F85" s="15" t="n">
        <f aca="false">E85*(1+IF(F$3&lt;=$O$2,$D85,$D85-($D85-$I$76)*MIN(F$3-$O$2,$Q$2)/$Q$2))</f>
        <v>10148.9813232422</v>
      </c>
      <c r="G85" s="15" t="n">
        <f aca="false">F85*(1+IF(G$3&lt;=$O$2,$D85,$D85-($D85-$I$76)*MIN(G$3-$O$2,$Q$2)/$Q$2))</f>
        <v>11318.4928429127</v>
      </c>
      <c r="H85" s="15" t="n">
        <f aca="false">G85*(1+IF(H$3&lt;=$O$2,$D85,$D85-($D85-$I$76)*MIN(H$3-$O$2,$Q$2)/$Q$2))</f>
        <v>12622.7722916077</v>
      </c>
      <c r="I85" s="15" t="n">
        <f aca="false">H85*(1+IF(I$3&lt;=$O$2,$D85,$D85-($D85-$I$76)*MIN(I$3-$O$2,$Q$2)/$Q$2))</f>
        <v>14077.3495673984</v>
      </c>
      <c r="J85" s="15" t="n">
        <f aca="false">I85*(1+IF(J$3&lt;=$O$2,$D85,$D85-($D85-$I$76)*MIN(J$3-$O$2,$Q$2)/$Q$2))</f>
        <v>15440.705679627</v>
      </c>
      <c r="K85" s="15" t="n">
        <f aca="false">J85*(1+IF(K$3&lt;=$O$2,$D85,$D85-($D85-$I$76)*MIN(K$3-$O$2,$Q$2)/$Q$2))</f>
        <v>16652.1930976916</v>
      </c>
      <c r="L85" s="15" t="n">
        <f aca="false">K85*(1+IF(L$3&lt;=$O$2,$D85,$D85-($D85-$I$76)*MIN(L$3-$O$2,$Q$2)/$Q$2))</f>
        <v>17652.5527827941</v>
      </c>
      <c r="M85" s="15" t="n">
        <f aca="false">L85*(1+IF(M$3&lt;=$O$2,$D85,$D85-($D85-$I$76)*MIN(M$3-$O$2,$Q$2)/$Q$2))</f>
        <v>18388.4325440813</v>
      </c>
      <c r="N85" s="15" t="n">
        <f aca="false">M85*(1+IF(N$3&lt;=$O$2,$D85,$D85-($D85-$I$76)*MIN(N$3-$O$2,$Q$2)/$Q$2))</f>
        <v>18816.8830223584</v>
      </c>
      <c r="O85" s="15" t="n">
        <f aca="false">SUMPRODUCT(E85:N85,1/(1+$F$76)^$E$3:$N$3)*$E$2</f>
        <v>33938.0269535563</v>
      </c>
      <c r="P85" s="15" t="n">
        <f aca="false">N85*$E$2*(1+$I$76)/($F$76-$I$76)/(1+$F$76)^$N$3</f>
        <v>51976.3092466493</v>
      </c>
      <c r="Q85" s="15" t="n">
        <f aca="false">O85+P85</f>
        <v>85914.3362002056</v>
      </c>
      <c r="R85" s="15" t="n">
        <f aca="false">Q85-$G$2+$I$2</f>
        <v>79794.3362002056</v>
      </c>
      <c r="S85" s="42" t="n">
        <f aca="false">R85/$K$2</f>
        <v>460.759534589477</v>
      </c>
      <c r="T85" s="43" t="n">
        <f aca="false">S85-$M$2</f>
        <v>-3.38182122528252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0.115234375</v>
      </c>
      <c r="C86" s="25" t="n">
        <f aca="false">IF(T85&gt;0,D85,C85)</f>
        <v>0.12109375</v>
      </c>
      <c r="D86" s="41" t="n">
        <f aca="false">(B86+C86)/2</f>
        <v>0.1181640625</v>
      </c>
      <c r="E86" s="15" t="n">
        <f aca="false">$C$2*(1+IF(E$3&lt;=$O$2,$D86,$D86-($D86-$I$76)*MIN(E$3-$O$2,$Q$2)/$Q$2))</f>
        <v>9124.21875</v>
      </c>
      <c r="F86" s="15" t="n">
        <f aca="false">E86*(1+IF(F$3&lt;=$O$2,$D86,$D86-($D86-$I$76)*MIN(F$3-$O$2,$Q$2)/$Q$2))</f>
        <v>10202.3735046387</v>
      </c>
      <c r="G86" s="15" t="n">
        <f aca="false">F86*(1+IF(G$3&lt;=$O$2,$D86,$D86-($D86-$I$76)*MIN(G$3-$O$2,$Q$2)/$Q$2))</f>
        <v>11407.9274050891</v>
      </c>
      <c r="H86" s="15" t="n">
        <f aca="false">G86*(1+IF(H$3&lt;=$O$2,$D86,$D86-($D86-$I$76)*MIN(H$3-$O$2,$Q$2)/$Q$2))</f>
        <v>12755.9344519796</v>
      </c>
      <c r="I86" s="15" t="n">
        <f aca="false">H86*(1+IF(I$3&lt;=$O$2,$D86,$D86-($D86-$I$76)*MIN(I$3-$O$2,$Q$2)/$Q$2))</f>
        <v>14263.2274878092</v>
      </c>
      <c r="J86" s="15" t="n">
        <f aca="false">I86*(1+IF(J$3&lt;=$O$2,$D86,$D86-($D86-$I$76)*MIN(J$3-$O$2,$Q$2)/$Q$2))</f>
        <v>15678.0148513593</v>
      </c>
      <c r="K86" s="15" t="n">
        <f aca="false">J86*(1+IF(K$3&lt;=$O$2,$D86,$D86-($D86-$I$76)*MIN(K$3-$O$2,$Q$2)/$Q$2))</f>
        <v>16935.6807058372</v>
      </c>
      <c r="L86" s="15" t="n">
        <f aca="false">K86*(1+IF(L$3&lt;=$O$2,$D86,$D86-($D86-$I$76)*MIN(L$3-$O$2,$Q$2)/$Q$2))</f>
        <v>17972.9170554666</v>
      </c>
      <c r="M86" s="15" t="n">
        <f aca="false">L86*(1+IF(M$3&lt;=$O$2,$D86,$D86-($D86-$I$76)*MIN(M$3-$O$2,$Q$2)/$Q$2))</f>
        <v>18732.6828082304</v>
      </c>
      <c r="N86" s="15" t="n">
        <f aca="false">M86*(1+IF(N$3&lt;=$O$2,$D86,$D86-($D86-$I$76)*MIN(N$3-$O$2,$Q$2)/$Q$2))</f>
        <v>19169.1543176622</v>
      </c>
      <c r="O86" s="15" t="n">
        <f aca="false">SUMPRODUCT(E86:N86,1/(1+$F$76)^$E$3:$N$3)*$E$2</f>
        <v>34373.9108274637</v>
      </c>
      <c r="P86" s="15" t="n">
        <f aca="false">N86*$E$2*(1+$I$76)/($F$76-$I$76)/(1+$F$76)^$N$3</f>
        <v>52949.3589149535</v>
      </c>
      <c r="Q86" s="15" t="n">
        <f aca="false">O86+P86</f>
        <v>87323.2697424172</v>
      </c>
      <c r="R86" s="15" t="n">
        <f aca="false">Q86-$G$2+$I$2</f>
        <v>81203.2697424172</v>
      </c>
      <c r="S86" s="42" t="n">
        <f aca="false">R86/$K$2</f>
        <v>468.895194262716</v>
      </c>
      <c r="T86" s="43" t="n">
        <f aca="false">S86-$M$2</f>
        <v>4.75383844795704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0.115234375</v>
      </c>
      <c r="C87" s="25" t="n">
        <f aca="false">IF(T86&gt;0,D86,C86)</f>
        <v>0.1181640625</v>
      </c>
      <c r="D87" s="41" t="n">
        <f aca="false">(B87+C87)/2</f>
        <v>0.11669921875</v>
      </c>
      <c r="E87" s="15" t="n">
        <f aca="false">$C$2*(1+IF(E$3&lt;=$O$2,$D87,$D87-($D87-$I$76)*MIN(E$3-$O$2,$Q$2)/$Q$2))</f>
        <v>9112.265625</v>
      </c>
      <c r="F87" s="15" t="n">
        <f aca="false">E87*(1+IF(F$3&lt;=$O$2,$D87,$D87-($D87-$I$76)*MIN(F$3-$O$2,$Q$2)/$Q$2))</f>
        <v>10175.65990448</v>
      </c>
      <c r="G87" s="15" t="n">
        <f aca="false">F87*(1+IF(G$3&lt;=$O$2,$D87,$D87-($D87-$I$76)*MIN(G$3-$O$2,$Q$2)/$Q$2))</f>
        <v>11363.1514655985</v>
      </c>
      <c r="H87" s="15" t="n">
        <f aca="false">G87*(1+IF(H$3&lt;=$O$2,$D87,$D87-($D87-$I$76)*MIN(H$3-$O$2,$Q$2)/$Q$2))</f>
        <v>12689.2223641718</v>
      </c>
      <c r="I87" s="15" t="n">
        <f aca="false">H87*(1+IF(I$3&lt;=$O$2,$D87,$D87-($D87-$I$76)*MIN(I$3-$O$2,$Q$2)/$Q$2))</f>
        <v>14170.0447006156</v>
      </c>
      <c r="J87" s="15" t="n">
        <f aca="false">I87*(1+IF(J$3&lt;=$O$2,$D87,$D87-($D87-$I$76)*MIN(J$3-$O$2,$Q$2)/$Q$2))</f>
        <v>15558.983625892</v>
      </c>
      <c r="K87" s="15" t="n">
        <f aca="false">J87*(1+IF(K$3&lt;=$O$2,$D87,$D87-($D87-$I$76)*MIN(K$3-$O$2,$Q$2)/$Q$2))</f>
        <v>16793.4260934967</v>
      </c>
      <c r="L87" s="15" t="n">
        <f aca="false">K87*(1+IF(L$3&lt;=$O$2,$D87,$D87-($D87-$I$76)*MIN(L$3-$O$2,$Q$2)/$Q$2))</f>
        <v>17812.1100723826</v>
      </c>
      <c r="M87" s="15" t="n">
        <f aca="false">L87*(1+IF(M$3&lt;=$O$2,$D87,$D87-($D87-$I$76)*MIN(M$3-$O$2,$Q$2)/$Q$2))</f>
        <v>18559.859670079</v>
      </c>
      <c r="N87" s="15" t="n">
        <f aca="false">M87*(1+IF(N$3&lt;=$O$2,$D87,$D87-($D87-$I$76)*MIN(N$3-$O$2,$Q$2)/$Q$2))</f>
        <v>18992.3044003919</v>
      </c>
      <c r="O87" s="15" t="n">
        <f aca="false">SUMPRODUCT(E87:N87,1/(1+$F$76)^$E$3:$N$3)*$E$2</f>
        <v>34155.2821322257</v>
      </c>
      <c r="P87" s="15" t="n">
        <f aca="false">N87*$E$2*(1+$I$76)/($F$76-$I$76)/(1+$F$76)^$N$3</f>
        <v>52460.8611133058</v>
      </c>
      <c r="Q87" s="15" t="n">
        <f aca="false">O87+P87</f>
        <v>86616.1432455315</v>
      </c>
      <c r="R87" s="15" t="n">
        <f aca="false">Q87-$G$2+$I$2</f>
        <v>80496.1432455315</v>
      </c>
      <c r="S87" s="42" t="n">
        <f aca="false">R87/$K$2</f>
        <v>464.812006268227</v>
      </c>
      <c r="T87" s="43" t="n">
        <f aca="false">S87-$M$2</f>
        <v>0.670650453467545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0.115234375</v>
      </c>
      <c r="C88" s="25" t="n">
        <f aca="false">IF(T87&gt;0,D87,C87)</f>
        <v>0.11669921875</v>
      </c>
      <c r="D88" s="41" t="n">
        <f aca="false">(B88+C88)/2</f>
        <v>0.115966796875</v>
      </c>
      <c r="E88" s="15" t="n">
        <f aca="false">$C$2*(1+IF(E$3&lt;=$O$2,$D88,$D88-($D88-$I$76)*MIN(E$3-$O$2,$Q$2)/$Q$2))</f>
        <v>9106.2890625</v>
      </c>
      <c r="F88" s="15" t="n">
        <f aca="false">E88*(1+IF(F$3&lt;=$O$2,$D88,$D88-($D88-$I$76)*MIN(F$3-$O$2,$Q$2)/$Q$2))</f>
        <v>10162.316236496</v>
      </c>
      <c r="G88" s="15" t="n">
        <f aca="false">F88*(1+IF(G$3&lt;=$O$2,$D88,$D88-($D88-$I$76)*MIN(G$3-$O$2,$Q$2)/$Q$2))</f>
        <v>11340.8074992732</v>
      </c>
      <c r="H88" s="15" t="n">
        <f aca="false">G88*(1+IF(H$3&lt;=$O$2,$D88,$D88-($D88-$I$76)*MIN(H$3-$O$2,$Q$2)/$Q$2))</f>
        <v>12655.9646189399</v>
      </c>
      <c r="I88" s="15" t="n">
        <f aca="false">H88*(1+IF(I$3&lt;=$O$2,$D88,$D88-($D88-$I$76)*MIN(I$3-$O$2,$Q$2)/$Q$2))</f>
        <v>14123.6362971617</v>
      </c>
      <c r="J88" s="15" t="n">
        <f aca="false">I88*(1+IF(J$3&lt;=$O$2,$D88,$D88-($D88-$I$76)*MIN(J$3-$O$2,$Q$2)/$Q$2))</f>
        <v>15499.7507315939</v>
      </c>
      <c r="K88" s="15" t="n">
        <f aca="false">J88*(1+IF(K$3&lt;=$O$2,$D88,$D88-($D88-$I$76)*MIN(K$3-$O$2,$Q$2)/$Q$2))</f>
        <v>16722.6822752347</v>
      </c>
      <c r="L88" s="15" t="n">
        <f aca="false">K88*(1+IF(L$3&lt;=$O$2,$D88,$D88-($D88-$I$76)*MIN(L$3-$O$2,$Q$2)/$Q$2))</f>
        <v>17732.1757328894</v>
      </c>
      <c r="M88" s="15" t="n">
        <f aca="false">L88*(1+IF(M$3&lt;=$O$2,$D88,$D88-($D88-$I$76)*MIN(M$3-$O$2,$Q$2)/$Q$2))</f>
        <v>18473.972212824</v>
      </c>
      <c r="N88" s="15" t="n">
        <f aca="false">M88*(1+IF(N$3&lt;=$O$2,$D88,$D88-($D88-$I$76)*MIN(N$3-$O$2,$Q$2)/$Q$2))</f>
        <v>18904.4157653828</v>
      </c>
      <c r="O88" s="15" t="n">
        <f aca="false">SUMPRODUCT(E88:N88,1/(1+$F$76)^$E$3:$N$3)*$E$2</f>
        <v>34046.4833515872</v>
      </c>
      <c r="P88" s="15" t="n">
        <f aca="false">N88*$E$2*(1+$I$76)/($F$76-$I$76)/(1+$F$76)^$N$3</f>
        <v>52218.0936545791</v>
      </c>
      <c r="Q88" s="15" t="n">
        <f aca="false">O88+P88</f>
        <v>86264.5770061663</v>
      </c>
      <c r="R88" s="15" t="n">
        <f aca="false">Q88-$G$2+$I$2</f>
        <v>80144.5770061663</v>
      </c>
      <c r="S88" s="42" t="n">
        <f aca="false">R88/$K$2</f>
        <v>462.781943678059</v>
      </c>
      <c r="T88" s="43" t="n">
        <f aca="false">S88-$M$2</f>
        <v>-1.35941213669997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0.115966796875</v>
      </c>
      <c r="C89" s="25" t="n">
        <f aca="false">IF(T88&gt;0,D88,C88)</f>
        <v>0.11669921875</v>
      </c>
      <c r="D89" s="41" t="n">
        <f aca="false">(B89+C89)/2</f>
        <v>0.1163330078125</v>
      </c>
      <c r="E89" s="15" t="n">
        <f aca="false">$C$2*(1+IF(E$3&lt;=$O$2,$D89,$D89-($D89-$I$76)*MIN(E$3-$O$2,$Q$2)/$Q$2))</f>
        <v>9109.27734375</v>
      </c>
      <c r="F89" s="15" t="n">
        <f aca="false">E89*(1+IF(F$3&lt;=$O$2,$D89,$D89-($D89-$I$76)*MIN(F$3-$O$2,$Q$2)/$Q$2))</f>
        <v>10168.9869761467</v>
      </c>
      <c r="G89" s="15" t="n">
        <f aca="false">F89*(1+IF(G$3&lt;=$O$2,$D89,$D89-($D89-$I$76)*MIN(G$3-$O$2,$Q$2)/$Q$2))</f>
        <v>11351.975817488</v>
      </c>
      <c r="H89" s="15" t="n">
        <f aca="false">G89*(1+IF(H$3&lt;=$O$2,$D89,$D89-($D89-$I$76)*MIN(H$3-$O$2,$Q$2)/$Q$2))</f>
        <v>12672.5853089511</v>
      </c>
      <c r="I89" s="15" t="n">
        <f aca="false">H89*(1+IF(I$3&lt;=$O$2,$D89,$D89-($D89-$I$76)*MIN(I$3-$O$2,$Q$2)/$Q$2))</f>
        <v>14146.8252747019</v>
      </c>
      <c r="J89" s="15" t="n">
        <f aca="false">I89*(1+IF(J$3&lt;=$O$2,$D89,$D89-($D89-$I$76)*MIN(J$3-$O$2,$Q$2)/$Q$2))</f>
        <v>15529.3436686452</v>
      </c>
      <c r="K89" s="15" t="n">
        <f aca="false">J89*(1+IF(K$3&lt;=$O$2,$D89,$D89-($D89-$I$76)*MIN(K$3-$O$2,$Q$2)/$Q$2))</f>
        <v>16758.0223066335</v>
      </c>
      <c r="L89" s="15" t="n">
        <f aca="false">K89*(1+IF(L$3&lt;=$O$2,$D89,$D89-($D89-$I$76)*MIN(L$3-$O$2,$Q$2)/$Q$2))</f>
        <v>17772.1039144481</v>
      </c>
      <c r="M89" s="15" t="n">
        <f aca="false">L89*(1+IF(M$3&lt;=$O$2,$D89,$D89-($D89-$I$76)*MIN(M$3-$O$2,$Q$2)/$Q$2))</f>
        <v>18516.8723921182</v>
      </c>
      <c r="N89" s="15" t="n">
        <f aca="false">M89*(1+IF(N$3&lt;=$O$2,$D89,$D89-($D89-$I$76)*MIN(N$3-$O$2,$Q$2)/$Q$2))</f>
        <v>18948.3155188545</v>
      </c>
      <c r="O89" s="15" t="n">
        <f aca="false">SUMPRODUCT(E89:N89,1/(1+$F$76)^$E$3:$N$3)*$E$2</f>
        <v>34100.8398818949</v>
      </c>
      <c r="P89" s="15" t="n">
        <f aca="false">N89*$E$2*(1+$I$76)/($F$76-$I$76)/(1+$F$76)^$N$3</f>
        <v>52339.3542884251</v>
      </c>
      <c r="Q89" s="15" t="n">
        <f aca="false">O89+P89</f>
        <v>86440.19417032</v>
      </c>
      <c r="R89" s="15" t="n">
        <f aca="false">Q89-$G$2+$I$2</f>
        <v>80320.19417032</v>
      </c>
      <c r="S89" s="42" t="n">
        <f aca="false">R89/$K$2</f>
        <v>463.796016689687</v>
      </c>
      <c r="T89" s="43" t="n">
        <f aca="false">S89-$M$2</f>
        <v>-0.345339125072371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0.1163330078125</v>
      </c>
      <c r="C90" s="25" t="n">
        <f aca="false">IF(T89&gt;0,D89,C89)</f>
        <v>0.11669921875</v>
      </c>
      <c r="D90" s="41" t="n">
        <f aca="false">(B90+C90)/2</f>
        <v>0.11651611328125</v>
      </c>
      <c r="E90" s="15" t="n">
        <f aca="false">$C$2*(1+IF(E$3&lt;=$O$2,$D90,$D90-($D90-$I$76)*MIN(E$3-$O$2,$Q$2)/$Q$2))</f>
        <v>9110.771484375</v>
      </c>
      <c r="F90" s="15" t="n">
        <f aca="false">E90*(1+IF(F$3&lt;=$O$2,$D90,$D90-($D90-$I$76)*MIN(F$3-$O$2,$Q$2)/$Q$2))</f>
        <v>10172.323166728</v>
      </c>
      <c r="G90" s="15" t="n">
        <f aca="false">F90*(1+IF(G$3&lt;=$O$2,$D90,$D90-($D90-$I$76)*MIN(G$3-$O$2,$Q$2)/$Q$2))</f>
        <v>11357.562725156</v>
      </c>
      <c r="H90" s="15" t="n">
        <f aca="false">G90*(1+IF(H$3&lt;=$O$2,$D90,$D90-($D90-$I$76)*MIN(H$3-$O$2,$Q$2)/$Q$2))</f>
        <v>12680.9017902392</v>
      </c>
      <c r="I90" s="15" t="n">
        <f aca="false">H90*(1+IF(I$3&lt;=$O$2,$D90,$D90-($D90-$I$76)*MIN(I$3-$O$2,$Q$2)/$Q$2))</f>
        <v>14158.4311797391</v>
      </c>
      <c r="J90" s="15" t="n">
        <f aca="false">I90*(1+IF(J$3&lt;=$O$2,$D90,$D90-($D90-$I$76)*MIN(J$3-$O$2,$Q$2)/$Q$2))</f>
        <v>15544.1577660153</v>
      </c>
      <c r="K90" s="15" t="n">
        <f aca="false">J90*(1+IF(K$3&lt;=$O$2,$D90,$D90-($D90-$I$76)*MIN(K$3-$O$2,$Q$2)/$Q$2))</f>
        <v>16775.7162246705</v>
      </c>
      <c r="L90" s="15" t="n">
        <f aca="false">K90*(1+IF(L$3&lt;=$O$2,$D90,$D90-($D90-$I$76)*MIN(L$3-$O$2,$Q$2)/$Q$2))</f>
        <v>17792.0972382945</v>
      </c>
      <c r="M90" s="15" t="n">
        <f aca="false">L90*(1+IF(M$3&lt;=$O$2,$D90,$D90-($D90-$I$76)*MIN(M$3-$O$2,$Q$2)/$Q$2))</f>
        <v>18538.355134282</v>
      </c>
      <c r="N90" s="15" t="n">
        <f aca="false">M90*(1+IF(N$3&lt;=$O$2,$D90,$D90-($D90-$I$76)*MIN(N$3-$O$2,$Q$2)/$Q$2))</f>
        <v>18970.2988089108</v>
      </c>
      <c r="O90" s="15" t="n">
        <f aca="false">SUMPRODUCT(E90:N90,1/(1+$F$76)^$E$3:$N$3)*$E$2</f>
        <v>34128.0502842757</v>
      </c>
      <c r="P90" s="15" t="n">
        <f aca="false">N90*$E$2*(1+$I$76)/($F$76-$I$76)/(1+$F$76)^$N$3</f>
        <v>52400.0769001809</v>
      </c>
      <c r="Q90" s="15" t="n">
        <f aca="false">O90+P90</f>
        <v>86528.1271844565</v>
      </c>
      <c r="R90" s="15" t="n">
        <f aca="false">Q90-$G$2+$I$2</f>
        <v>80408.1271844565</v>
      </c>
      <c r="S90" s="42" t="n">
        <f aca="false">R90/$K$2</f>
        <v>464.303771708376</v>
      </c>
      <c r="T90" s="43" t="n">
        <f aca="false">S90-$M$2</f>
        <v>0.16241589361664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0.1163330078125</v>
      </c>
      <c r="C91" s="25" t="n">
        <f aca="false">IF(T90&gt;0,D90,C90)</f>
        <v>0.11651611328125</v>
      </c>
      <c r="D91" s="41" t="n">
        <f aca="false">(B91+C91)/2</f>
        <v>0.116424560546875</v>
      </c>
      <c r="E91" s="15" t="n">
        <f aca="false">$C$2*(1+IF(E$3&lt;=$O$2,$D91,$D91-($D91-$I$76)*MIN(E$3-$O$2,$Q$2)/$Q$2))</f>
        <v>9110.0244140625</v>
      </c>
      <c r="F91" s="15" t="n">
        <f aca="false">E91*(1+IF(F$3&lt;=$O$2,$D91,$D91-($D91-$I$76)*MIN(F$3-$O$2,$Q$2)/$Q$2))</f>
        <v>10170.655003041</v>
      </c>
      <c r="G91" s="15" t="n">
        <f aca="false">F91*(1+IF(G$3&lt;=$O$2,$D91,$D91-($D91-$I$76)*MIN(G$3-$O$2,$Q$2)/$Q$2))</f>
        <v>11354.769042244</v>
      </c>
      <c r="H91" s="15" t="n">
        <f aca="false">G91*(1+IF(H$3&lt;=$O$2,$D91,$D91-($D91-$I$76)*MIN(H$3-$O$2,$Q$2)/$Q$2))</f>
        <v>12676.7430380985</v>
      </c>
      <c r="I91" s="15" t="n">
        <f aca="false">H91*(1+IF(I$3&lt;=$O$2,$D91,$D91-($D91-$I$76)*MIN(I$3-$O$2,$Q$2)/$Q$2))</f>
        <v>14152.6272754747</v>
      </c>
      <c r="J91" s="15" t="n">
        <f aca="false">I91*(1+IF(J$3&lt;=$O$2,$D91,$D91-($D91-$I$76)*MIN(J$3-$O$2,$Q$2)/$Q$2))</f>
        <v>15536.7492474831</v>
      </c>
      <c r="K91" s="15" t="n">
        <f aca="false">J91*(1+IF(K$3&lt;=$O$2,$D91,$D91-($D91-$I$76)*MIN(K$3-$O$2,$Q$2)/$Q$2))</f>
        <v>16766.8672725488</v>
      </c>
      <c r="L91" s="15" t="n">
        <f aca="false">K91*(1+IF(L$3&lt;=$O$2,$D91,$D91-($D91-$I$76)*MIN(L$3-$O$2,$Q$2)/$Q$2))</f>
        <v>17782.0981386008</v>
      </c>
      <c r="M91" s="15" t="n">
        <f aca="false">L91*(1+IF(M$3&lt;=$O$2,$D91,$D91-($D91-$I$76)*MIN(M$3-$O$2,$Q$2)/$Q$2))</f>
        <v>18527.6110401819</v>
      </c>
      <c r="N91" s="15" t="n">
        <f aca="false">M91*(1+IF(N$3&lt;=$O$2,$D91,$D91-($D91-$I$76)*MIN(N$3-$O$2,$Q$2)/$Q$2))</f>
        <v>18959.3043774181</v>
      </c>
      <c r="O91" s="15" t="n">
        <f aca="false">SUMPRODUCT(E91:N91,1/(1+$F$76)^$E$3:$N$3)*$E$2</f>
        <v>34114.4424033622</v>
      </c>
      <c r="P91" s="15" t="n">
        <f aca="false">N91*$E$2*(1+$I$76)/($F$76-$I$76)/(1+$F$76)^$N$3</f>
        <v>52369.707897484</v>
      </c>
      <c r="Q91" s="15" t="n">
        <f aca="false">O91+P91</f>
        <v>86484.1503008462</v>
      </c>
      <c r="R91" s="15" t="n">
        <f aca="false">Q91-$G$2+$I$2</f>
        <v>80364.1503008462</v>
      </c>
      <c r="S91" s="42" t="n">
        <f aca="false">R91/$K$2</f>
        <v>464.049834281362</v>
      </c>
      <c r="T91" s="43" t="n">
        <f aca="false">S91-$M$2</f>
        <v>-0.0915215333976107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0.116424560546875</v>
      </c>
      <c r="C92" s="25" t="n">
        <f aca="false">IF(T91&gt;0,D91,C91)</f>
        <v>0.11651611328125</v>
      </c>
      <c r="D92" s="41" t="n">
        <f aca="false">(B92+C92)/2</f>
        <v>0.116470336914063</v>
      </c>
      <c r="E92" s="15" t="n">
        <f aca="false">$C$2*(1+IF(E$3&lt;=$O$2,$D92,$D92-($D92-$I$76)*MIN(E$3-$O$2,$Q$2)/$Q$2))</f>
        <v>9110.39794921875</v>
      </c>
      <c r="F92" s="15" t="n">
        <f aca="false">E92*(1+IF(F$3&lt;=$O$2,$D92,$D92-($D92-$I$76)*MIN(F$3-$O$2,$Q$2)/$Q$2))</f>
        <v>10171.4890677854</v>
      </c>
      <c r="G92" s="15" t="n">
        <f aca="false">F92*(1+IF(G$3&lt;=$O$2,$D92,$D92-($D92-$I$76)*MIN(G$3-$O$2,$Q$2)/$Q$2))</f>
        <v>11356.1658264281</v>
      </c>
      <c r="H92" s="15" t="n">
        <f aca="false">G92*(1+IF(H$3&lt;=$O$2,$D92,$D92-($D92-$I$76)*MIN(H$3-$O$2,$Q$2)/$Q$2))</f>
        <v>12678.8222862842</v>
      </c>
      <c r="I92" s="15" t="n">
        <f aca="false">H92*(1+IF(I$3&lt;=$O$2,$D92,$D92-($D92-$I$76)*MIN(I$3-$O$2,$Q$2)/$Q$2))</f>
        <v>14155.5289896412</v>
      </c>
      <c r="J92" s="15" t="n">
        <f aca="false">I92*(1+IF(J$3&lt;=$O$2,$D92,$D92-($D92-$I$76)*MIN(J$3-$O$2,$Q$2)/$Q$2))</f>
        <v>15540.4531392292</v>
      </c>
      <c r="K92" s="15" t="n">
        <f aca="false">J92*(1+IF(K$3&lt;=$O$2,$D92,$D92-($D92-$I$76)*MIN(K$3-$O$2,$Q$2)/$Q$2))</f>
        <v>16771.2912502407</v>
      </c>
      <c r="L92" s="15" t="n">
        <f aca="false">K92*(1+IF(L$3&lt;=$O$2,$D92,$D92-($D92-$I$76)*MIN(L$3-$O$2,$Q$2)/$Q$2))</f>
        <v>17787.0970788788</v>
      </c>
      <c r="M92" s="15" t="n">
        <f aca="false">L92*(1+IF(M$3&lt;=$O$2,$D92,$D92-($D92-$I$76)*MIN(M$3-$O$2,$Q$2)/$Q$2))</f>
        <v>18532.9824063292</v>
      </c>
      <c r="N92" s="15" t="n">
        <f aca="false">M92*(1+IF(N$3&lt;=$O$2,$D92,$D92-($D92-$I$76)*MIN(N$3-$O$2,$Q$2)/$Q$2))</f>
        <v>18964.8008963966</v>
      </c>
      <c r="O92" s="15" t="n">
        <f aca="false">SUMPRODUCT(E92:N92,1/(1+$F$76)^$E$3:$N$3)*$E$2</f>
        <v>34121.2456737666</v>
      </c>
      <c r="P92" s="15" t="n">
        <f aca="false">N92*$E$2*(1+$I$76)/($F$76-$I$76)/(1+$F$76)^$N$3</f>
        <v>52384.8904742088</v>
      </c>
      <c r="Q92" s="15" t="n">
        <f aca="false">O92+P92</f>
        <v>86506.1361479753</v>
      </c>
      <c r="R92" s="15" t="n">
        <f aca="false">Q92-$G$2+$I$2</f>
        <v>80386.1361479753</v>
      </c>
      <c r="S92" s="42" t="n">
        <f aca="false">R92/$K$2</f>
        <v>464.17678801233</v>
      </c>
      <c r="T92" s="43" t="n">
        <f aca="false">S92-$M$2</f>
        <v>0.0354321975709695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0.116424560546875</v>
      </c>
      <c r="C93" s="25" t="n">
        <f aca="false">IF(T92&gt;0,D92,C92)</f>
        <v>0.116470336914063</v>
      </c>
      <c r="D93" s="41" t="n">
        <f aca="false">(B93+C93)/2</f>
        <v>0.116447448730469</v>
      </c>
      <c r="E93" s="15" t="n">
        <f aca="false">$C$2*(1+IF(E$3&lt;=$O$2,$D93,$D93-($D93-$I$76)*MIN(E$3-$O$2,$Q$2)/$Q$2))</f>
        <v>9110.21118164063</v>
      </c>
      <c r="F93" s="15" t="n">
        <f aca="false">E93*(1+IF(F$3&lt;=$O$2,$D93,$D93-($D93-$I$76)*MIN(F$3-$O$2,$Q$2)/$Q$2))</f>
        <v>10171.0720311385</v>
      </c>
      <c r="G93" s="15" t="n">
        <f aca="false">F93*(1+IF(G$3&lt;=$O$2,$D93,$D93-($D93-$I$76)*MIN(G$3-$O$2,$Q$2)/$Q$2))</f>
        <v>11355.4674200184</v>
      </c>
      <c r="H93" s="15" t="n">
        <f aca="false">G93*(1+IF(H$3&lt;=$O$2,$D93,$D93-($D93-$I$76)*MIN(H$3-$O$2,$Q$2)/$Q$2))</f>
        <v>12677.7826302215</v>
      </c>
      <c r="I93" s="15" t="n">
        <f aca="false">H93*(1+IF(I$3&lt;=$O$2,$D93,$D93-($D93-$I$76)*MIN(I$3-$O$2,$Q$2)/$Q$2))</f>
        <v>14154.0780730702</v>
      </c>
      <c r="J93" s="15" t="n">
        <f aca="false">I93*(1+IF(J$3&lt;=$O$2,$D93,$D93-($D93-$I$76)*MIN(J$3-$O$2,$Q$2)/$Q$2))</f>
        <v>15538.6011014834</v>
      </c>
      <c r="K93" s="15" t="n">
        <f aca="false">J93*(1+IF(K$3&lt;=$O$2,$D93,$D93-($D93-$I$76)*MIN(K$3-$O$2,$Q$2)/$Q$2))</f>
        <v>16769.0791368142</v>
      </c>
      <c r="L93" s="15" t="n">
        <f aca="false">K93*(1+IF(L$3&lt;=$O$2,$D93,$D93-($D93-$I$76)*MIN(L$3-$O$2,$Q$2)/$Q$2))</f>
        <v>17784.5974563634</v>
      </c>
      <c r="M93" s="15" t="n">
        <f aca="false">L93*(1+IF(M$3&lt;=$O$2,$D93,$D93-($D93-$I$76)*MIN(M$3-$O$2,$Q$2)/$Q$2))</f>
        <v>18530.2965530484</v>
      </c>
      <c r="N93" s="15" t="n">
        <f aca="false">M93*(1+IF(N$3&lt;=$O$2,$D93,$D93-($D93-$I$76)*MIN(N$3-$O$2,$Q$2)/$Q$2))</f>
        <v>18962.0524627344</v>
      </c>
      <c r="O93" s="15" t="n">
        <f aca="false">SUMPRODUCT(E93:N93,1/(1+$F$76)^$E$3:$N$3)*$E$2</f>
        <v>34117.8438710665</v>
      </c>
      <c r="P93" s="15" t="n">
        <f aca="false">N93*$E$2*(1+$I$76)/($F$76-$I$76)/(1+$F$76)^$N$3</f>
        <v>52377.2987047428</v>
      </c>
      <c r="Q93" s="15" t="n">
        <f aca="false">O93+P93</f>
        <v>86495.1425758093</v>
      </c>
      <c r="R93" s="15" t="n">
        <f aca="false">Q93-$G$2+$I$2</f>
        <v>80375.1425758093</v>
      </c>
      <c r="S93" s="42" t="n">
        <f aca="false">R93/$K$2</f>
        <v>464.113307401601</v>
      </c>
      <c r="T93" s="43" t="n">
        <f aca="false">S93-$M$2</f>
        <v>-0.0280484131577623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0.116447448730469</v>
      </c>
      <c r="C94" s="25" t="n">
        <f aca="false">IF(T93&gt;0,D93,C93)</f>
        <v>0.116470336914063</v>
      </c>
      <c r="D94" s="41" t="n">
        <f aca="false">(B94+C94)/2</f>
        <v>0.116458892822266</v>
      </c>
      <c r="E94" s="15" t="n">
        <f aca="false">$C$2*(1+IF(E$3&lt;=$O$2,$D94,$D94-($D94-$I$76)*MIN(E$3-$O$2,$Q$2)/$Q$2))</f>
        <v>9110.30456542969</v>
      </c>
      <c r="F94" s="15" t="n">
        <f aca="false">E94*(1+IF(F$3&lt;=$O$2,$D94,$D94-($D94-$I$76)*MIN(F$3-$O$2,$Q$2)/$Q$2))</f>
        <v>10171.2805483933</v>
      </c>
      <c r="G94" s="15" t="n">
        <f aca="false">F94*(1+IF(G$3&lt;=$O$2,$D94,$D94-($D94-$I$76)*MIN(G$3-$O$2,$Q$2)/$Q$2))</f>
        <v>11355.8166196438</v>
      </c>
      <c r="H94" s="15" t="n">
        <f aca="false">G94*(1+IF(H$3&lt;=$O$2,$D94,$D94-($D94-$I$76)*MIN(H$3-$O$2,$Q$2)/$Q$2))</f>
        <v>12678.3024502602</v>
      </c>
      <c r="I94" s="15" t="n">
        <f aca="false">H94*(1+IF(I$3&lt;=$O$2,$D94,$D94-($D94-$I$76)*MIN(I$3-$O$2,$Q$2)/$Q$2))</f>
        <v>14154.8035164833</v>
      </c>
      <c r="J94" s="15" t="n">
        <f aca="false">I94*(1+IF(J$3&lt;=$O$2,$D94,$D94-($D94-$I$76)*MIN(J$3-$O$2,$Q$2)/$Q$2))</f>
        <v>15539.5270973872</v>
      </c>
      <c r="K94" s="15" t="n">
        <f aca="false">J94*(1+IF(K$3&lt;=$O$2,$D94,$D94-($D94-$I$76)*MIN(K$3-$O$2,$Q$2)/$Q$2))</f>
        <v>16770.1851623808</v>
      </c>
      <c r="L94" s="15" t="n">
        <f aca="false">K94*(1+IF(L$3&lt;=$O$2,$D94,$D94-($D94-$I$76)*MIN(L$3-$O$2,$Q$2)/$Q$2))</f>
        <v>17785.847229525</v>
      </c>
      <c r="M94" s="15" t="n">
        <f aca="false">L94*(1+IF(M$3&lt;=$O$2,$D94,$D94-($D94-$I$76)*MIN(M$3-$O$2,$Q$2)/$Q$2))</f>
        <v>18531.6394371347</v>
      </c>
      <c r="N94" s="15" t="n">
        <f aca="false">M94*(1+IF(N$3&lt;=$O$2,$D94,$D94-($D94-$I$76)*MIN(N$3-$O$2,$Q$2)/$Q$2))</f>
        <v>18963.4266360199</v>
      </c>
      <c r="O94" s="15" t="n">
        <f aca="false">SUMPRODUCT(E94:N94,1/(1+$F$76)^$E$3:$N$3)*$E$2</f>
        <v>34119.5447305402</v>
      </c>
      <c r="P94" s="15" t="n">
        <f aca="false">N94*$E$2*(1+$I$76)/($F$76-$I$76)/(1+$F$76)^$N$3</f>
        <v>52381.0944691934</v>
      </c>
      <c r="Q94" s="15" t="n">
        <f aca="false">O94+P94</f>
        <v>86500.6391997335</v>
      </c>
      <c r="R94" s="15" t="n">
        <f aca="false">Q94-$G$2+$I$2</f>
        <v>80380.6391997335</v>
      </c>
      <c r="S94" s="42" t="n">
        <f aca="false">R94/$K$2</f>
        <v>464.145046770606</v>
      </c>
      <c r="T94" s="43" t="n">
        <f aca="false">S94-$M$2</f>
        <v>0.00369095584665047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0.116447448730469</v>
      </c>
      <c r="C95" s="25" t="n">
        <f aca="false">IF(T94&gt;0,D94,C94)</f>
        <v>0.116458892822266</v>
      </c>
      <c r="D95" s="41" t="n">
        <f aca="false">(B95+C95)/2</f>
        <v>0.116453170776367</v>
      </c>
      <c r="E95" s="15" t="n">
        <f aca="false">$C$2*(1+IF(E$3&lt;=$O$2,$D95,$D95-($D95-$I$76)*MIN(E$3-$O$2,$Q$2)/$Q$2))</f>
        <v>9110.25787353516</v>
      </c>
      <c r="F95" s="15" t="n">
        <f aca="false">E95*(1+IF(F$3&lt;=$O$2,$D95,$D95-($D95-$I$76)*MIN(F$3-$O$2,$Q$2)/$Q$2))</f>
        <v>10171.1762894987</v>
      </c>
      <c r="G95" s="15" t="n">
        <f aca="false">F95*(1+IF(G$3&lt;=$O$2,$D95,$D95-($D95-$I$76)*MIN(G$3-$O$2,$Q$2)/$Q$2))</f>
        <v>11355.6420189362</v>
      </c>
      <c r="H95" s="15" t="n">
        <f aca="false">G95*(1+IF(H$3&lt;=$O$2,$D95,$D95-($D95-$I$76)*MIN(H$3-$O$2,$Q$2)/$Q$2))</f>
        <v>12678.0425382427</v>
      </c>
      <c r="I95" s="15" t="n">
        <f aca="false">H95*(1+IF(I$3&lt;=$O$2,$D95,$D95-($D95-$I$76)*MIN(I$3-$O$2,$Q$2)/$Q$2))</f>
        <v>14154.4407910587</v>
      </c>
      <c r="J95" s="15" t="n">
        <f aca="false">I95*(1+IF(J$3&lt;=$O$2,$D95,$D95-($D95-$I$76)*MIN(J$3-$O$2,$Q$2)/$Q$2))</f>
        <v>15539.0640936932</v>
      </c>
      <c r="K95" s="15" t="n">
        <f aca="false">J95*(1+IF(K$3&lt;=$O$2,$D95,$D95-($D95-$I$76)*MIN(K$3-$O$2,$Q$2)/$Q$2))</f>
        <v>16769.632141811</v>
      </c>
      <c r="L95" s="15" t="n">
        <f aca="false">K95*(1+IF(L$3&lt;=$O$2,$D95,$D95-($D95-$I$76)*MIN(L$3-$O$2,$Q$2)/$Q$2))</f>
        <v>17785.2223334204</v>
      </c>
      <c r="M95" s="15" t="n">
        <f aca="false">L95*(1+IF(M$3&lt;=$O$2,$D95,$D95-($D95-$I$76)*MIN(M$3-$O$2,$Q$2)/$Q$2))</f>
        <v>18530.9679844533</v>
      </c>
      <c r="N95" s="15" t="n">
        <f aca="false">M95*(1+IF(N$3&lt;=$O$2,$D95,$D95-($D95-$I$76)*MIN(N$3-$O$2,$Q$2)/$Q$2))</f>
        <v>18962.739538491</v>
      </c>
      <c r="O95" s="15" t="n">
        <f aca="false">SUMPRODUCT(E95:N95,1/(1+$F$76)^$E$3:$N$3)*$E$2</f>
        <v>34118.6942903345</v>
      </c>
      <c r="P95" s="15" t="n">
        <f aca="false">N95*$E$2*(1+$I$76)/($F$76-$I$76)/(1+$F$76)^$N$3</f>
        <v>52379.1965568983</v>
      </c>
      <c r="Q95" s="15" t="n">
        <f aca="false">O95+P95</f>
        <v>86497.8908472328</v>
      </c>
      <c r="R95" s="15" t="n">
        <f aca="false">Q95-$G$2+$I$2</f>
        <v>80377.8908472328</v>
      </c>
      <c r="S95" s="42" t="n">
        <f aca="false">R95/$K$2</f>
        <v>464.12917685202</v>
      </c>
      <c r="T95" s="43" t="n">
        <f aca="false">S95-$M$2</f>
        <v>-0.0121789627394833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0.116453170776367</v>
      </c>
      <c r="C96" s="25" t="n">
        <f aca="false">IF(T95&gt;0,D95,C95)</f>
        <v>0.116458892822266</v>
      </c>
      <c r="D96" s="41" t="n">
        <f aca="false">(B96+C96)/2</f>
        <v>0.116456031799316</v>
      </c>
      <c r="E96" s="15" t="n">
        <f aca="false">$C$2*(1+IF(E$3&lt;=$O$2,$D96,$D96-($D96-$I$76)*MIN(E$3-$O$2,$Q$2)/$Q$2))</f>
        <v>9110.28121948242</v>
      </c>
      <c r="F96" s="15" t="n">
        <f aca="false">E96*(1+IF(F$3&lt;=$O$2,$D96,$D96-($D96-$I$76)*MIN(F$3-$O$2,$Q$2)/$Q$2))</f>
        <v>10171.2284188792</v>
      </c>
      <c r="G96" s="15" t="n">
        <f aca="false">F96*(1+IF(G$3&lt;=$O$2,$D96,$D96-($D96-$I$76)*MIN(G$3-$O$2,$Q$2)/$Q$2))</f>
        <v>11355.7293190663</v>
      </c>
      <c r="H96" s="15" t="n">
        <f aca="false">G96*(1+IF(H$3&lt;=$O$2,$D96,$D96-($D96-$I$76)*MIN(H$3-$O$2,$Q$2)/$Q$2))</f>
        <v>12678.1724937519</v>
      </c>
      <c r="I96" s="15" t="n">
        <f aca="false">H96*(1+IF(I$3&lt;=$O$2,$D96,$D96-($D96-$I$76)*MIN(I$3-$O$2,$Q$2)/$Q$2))</f>
        <v>14154.6221528415</v>
      </c>
      <c r="J96" s="15" t="n">
        <f aca="false">I96*(1+IF(J$3&lt;=$O$2,$D96,$D96-($D96-$I$76)*MIN(J$3-$O$2,$Q$2)/$Q$2))</f>
        <v>15539.2955941046</v>
      </c>
      <c r="K96" s="15" t="n">
        <f aca="false">J96*(1+IF(K$3&lt;=$O$2,$D96,$D96-($D96-$I$76)*MIN(K$3-$O$2,$Q$2)/$Q$2))</f>
        <v>16769.9086501493</v>
      </c>
      <c r="L96" s="15" t="n">
        <f aca="false">K96*(1+IF(L$3&lt;=$O$2,$D96,$D96-($D96-$I$76)*MIN(L$3-$O$2,$Q$2)/$Q$2))</f>
        <v>17785.5347790918</v>
      </c>
      <c r="M96" s="15" t="n">
        <f aca="false">L96*(1+IF(M$3&lt;=$O$2,$D96,$D96-($D96-$I$76)*MIN(M$3-$O$2,$Q$2)/$Q$2))</f>
        <v>18531.3037081344</v>
      </c>
      <c r="N96" s="15" t="n">
        <f aca="false">M96*(1+IF(N$3&lt;=$O$2,$D96,$D96-($D96-$I$76)*MIN(N$3-$O$2,$Q$2)/$Q$2))</f>
        <v>18963.0830845339</v>
      </c>
      <c r="O96" s="15" t="n">
        <f aca="false">SUMPRODUCT(E96:N96,1/(1+$F$76)^$E$3:$N$3)*$E$2</f>
        <v>34119.1195078201</v>
      </c>
      <c r="P96" s="15" t="n">
        <f aca="false">N96*$E$2*(1+$I$76)/($F$76-$I$76)/(1+$F$76)^$N$3</f>
        <v>52380.1455055283</v>
      </c>
      <c r="Q96" s="15" t="n">
        <f aca="false">O96+P96</f>
        <v>86499.2650133484</v>
      </c>
      <c r="R96" s="15" t="n">
        <f aca="false">Q96-$G$2+$I$2</f>
        <v>80379.2650133484</v>
      </c>
      <c r="S96" s="42" t="n">
        <f aca="false">R96/$K$2</f>
        <v>464.137111752791</v>
      </c>
      <c r="T96" s="43" t="n">
        <f aca="false">S96-$M$2</f>
        <v>-0.00424406196793825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0.116456031799316</v>
      </c>
      <c r="C97" s="25" t="n">
        <f aca="false">IF(T96&gt;0,D96,C96)</f>
        <v>0.116458892822266</v>
      </c>
      <c r="D97" s="41" t="n">
        <f aca="false">(B97+C97)/2</f>
        <v>0.116457462310791</v>
      </c>
      <c r="E97" s="15" t="n">
        <f aca="false">$C$2*(1+IF(E$3&lt;=$O$2,$D97,$D97-($D97-$I$76)*MIN(E$3-$O$2,$Q$2)/$Q$2))</f>
        <v>9110.29289245606</v>
      </c>
      <c r="F97" s="15" t="n">
        <f aca="false">E97*(1+IF(F$3&lt;=$O$2,$D97,$D97-($D97-$I$76)*MIN(F$3-$O$2,$Q$2)/$Q$2))</f>
        <v>10171.2544836195</v>
      </c>
      <c r="G97" s="15" t="n">
        <f aca="false">F97*(1+IF(G$3&lt;=$O$2,$D97,$D97-($D97-$I$76)*MIN(G$3-$O$2,$Q$2)/$Q$2))</f>
        <v>11355.7729692991</v>
      </c>
      <c r="H97" s="15" t="n">
        <f aca="false">G97*(1+IF(H$3&lt;=$O$2,$D97,$D97-($D97-$I$76)*MIN(H$3-$O$2,$Q$2)/$Q$2))</f>
        <v>12678.2374718812</v>
      </c>
      <c r="I97" s="15" t="n">
        <f aca="false">H97*(1+IF(I$3&lt;=$O$2,$D97,$D97-($D97-$I$76)*MIN(I$3-$O$2,$Q$2)/$Q$2))</f>
        <v>14154.71283443</v>
      </c>
      <c r="J97" s="15" t="n">
        <f aca="false">I97*(1+IF(J$3&lt;=$O$2,$D97,$D97-($D97-$I$76)*MIN(J$3-$O$2,$Q$2)/$Q$2))</f>
        <v>15539.411345387</v>
      </c>
      <c r="K97" s="15" t="n">
        <f aca="false">J97*(1+IF(K$3&lt;=$O$2,$D97,$D97-($D97-$I$76)*MIN(K$3-$O$2,$Q$2)/$Q$2))</f>
        <v>16770.0469057784</v>
      </c>
      <c r="L97" s="15" t="n">
        <f aca="false">K97*(1+IF(L$3&lt;=$O$2,$D97,$D97-($D97-$I$76)*MIN(L$3-$O$2,$Q$2)/$Q$2))</f>
        <v>17785.6910037131</v>
      </c>
      <c r="M97" s="15" t="n">
        <f aca="false">L97*(1+IF(M$3&lt;=$O$2,$D97,$D97-($D97-$I$76)*MIN(M$3-$O$2,$Q$2)/$Q$2))</f>
        <v>18531.4715719696</v>
      </c>
      <c r="N97" s="15" t="n">
        <f aca="false">M97*(1+IF(N$3&lt;=$O$2,$D97,$D97-($D97-$I$76)*MIN(N$3-$O$2,$Q$2)/$Q$2))</f>
        <v>18963.2548595965</v>
      </c>
      <c r="O97" s="15" t="n">
        <f aca="false">SUMPRODUCT(E97:N97,1/(1+$F$76)^$E$3:$N$3)*$E$2</f>
        <v>34119.3321185258</v>
      </c>
      <c r="P97" s="15" t="n">
        <f aca="false">N97*$E$2*(1+$I$76)/($F$76-$I$76)/(1+$F$76)^$N$3</f>
        <v>52380.6199854814</v>
      </c>
      <c r="Q97" s="15" t="n">
        <f aca="false">O97+P97</f>
        <v>86499.9521040072</v>
      </c>
      <c r="R97" s="15" t="n">
        <f aca="false">Q97-$G$2+$I$2</f>
        <v>80379.9521040072</v>
      </c>
      <c r="S97" s="42" t="n">
        <f aca="false">R97/$K$2</f>
        <v>464.141079247068</v>
      </c>
      <c r="T97" s="43" t="n">
        <f aca="false">S97-$M$2</f>
        <v>-0.000276567691287255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0.116457462310791</v>
      </c>
      <c r="C98" s="25" t="n">
        <f aca="false">IF(T97&gt;0,D97,C97)</f>
        <v>0.116458892822266</v>
      </c>
      <c r="D98" s="41" t="n">
        <f aca="false">(B98+C98)/2</f>
        <v>0.116458177566528</v>
      </c>
      <c r="E98" s="15" t="n">
        <f aca="false">$C$2*(1+IF(E$3&lt;=$O$2,$D98,$D98-($D98-$I$76)*MIN(E$3-$O$2,$Q$2)/$Q$2))</f>
        <v>9110.29872894287</v>
      </c>
      <c r="F98" s="15" t="n">
        <f aca="false">E98*(1+IF(F$3&lt;=$O$2,$D98,$D98-($D98-$I$76)*MIN(F$3-$O$2,$Q$2)/$Q$2))</f>
        <v>10171.2675160022</v>
      </c>
      <c r="G98" s="15" t="n">
        <f aca="false">F98*(1+IF(G$3&lt;=$O$2,$D98,$D98-($D98-$I$76)*MIN(G$3-$O$2,$Q$2)/$Q$2))</f>
        <v>11355.7947944575</v>
      </c>
      <c r="H98" s="15" t="n">
        <f aca="false">G98*(1+IF(H$3&lt;=$O$2,$D98,$D98-($D98-$I$76)*MIN(H$3-$O$2,$Q$2)/$Q$2))</f>
        <v>12678.2699610395</v>
      </c>
      <c r="I98" s="15" t="n">
        <f aca="false">H98*(1+IF(I$3&lt;=$O$2,$D98,$D98-($D98-$I$76)*MIN(I$3-$O$2,$Q$2)/$Q$2))</f>
        <v>14154.7581753986</v>
      </c>
      <c r="J98" s="15" t="n">
        <f aca="false">I98*(1+IF(J$3&lt;=$O$2,$D98,$D98-($D98-$I$76)*MIN(J$3-$O$2,$Q$2)/$Q$2))</f>
        <v>15539.4692212974</v>
      </c>
      <c r="K98" s="15" t="n">
        <f aca="false">J98*(1+IF(K$3&lt;=$O$2,$D98,$D98-($D98-$I$76)*MIN(K$3-$O$2,$Q$2)/$Q$2))</f>
        <v>16770.116033958</v>
      </c>
      <c r="L98" s="15" t="n">
        <f aca="false">K98*(1+IF(L$3&lt;=$O$2,$D98,$D98-($D98-$I$76)*MIN(L$3-$O$2,$Q$2)/$Q$2))</f>
        <v>17785.7691164703</v>
      </c>
      <c r="M98" s="15" t="n">
        <f aca="false">L98*(1+IF(M$3&lt;=$O$2,$D98,$D98-($D98-$I$76)*MIN(M$3-$O$2,$Q$2)/$Q$2))</f>
        <v>18531.5555043859</v>
      </c>
      <c r="N98" s="15" t="n">
        <f aca="false">M98*(1+IF(N$3&lt;=$O$2,$D98,$D98-($D98-$I$76)*MIN(N$3-$O$2,$Q$2)/$Q$2))</f>
        <v>18963.3407476381</v>
      </c>
      <c r="O98" s="15" t="n">
        <f aca="false">SUMPRODUCT(E98:N98,1/(1+$F$76)^$E$3:$N$3)*$E$2</f>
        <v>34119.4384243694</v>
      </c>
      <c r="P98" s="15" t="n">
        <f aca="false">N98*$E$2*(1+$I$76)/($F$76-$I$76)/(1+$F$76)^$N$3</f>
        <v>52380.8572268676</v>
      </c>
      <c r="Q98" s="15" t="n">
        <f aca="false">O98+P98</f>
        <v>86500.295651237</v>
      </c>
      <c r="R98" s="15" t="n">
        <f aca="false">Q98-$G$2+$I$2</f>
        <v>80380.295651237</v>
      </c>
      <c r="S98" s="42" t="n">
        <f aca="false">R98/$K$2</f>
        <v>464.143063005179</v>
      </c>
      <c r="T98" s="43" t="n">
        <f aca="false">S98-$M$2</f>
        <v>0.00170719042012024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0.116457462310791</v>
      </c>
      <c r="C99" s="25" t="n">
        <f aca="false">IF(T98&gt;0,D98,C98)</f>
        <v>0.116458177566528</v>
      </c>
      <c r="D99" s="41" t="n">
        <f aca="false">(B99+C99)/2</f>
        <v>0.11645781993866</v>
      </c>
      <c r="E99" s="15" t="n">
        <f aca="false">$C$2*(1+IF(E$3&lt;=$O$2,$D99,$D99-($D99-$I$76)*MIN(E$3-$O$2,$Q$2)/$Q$2))</f>
        <v>9110.29581069946</v>
      </c>
      <c r="F99" s="15" t="n">
        <f aca="false">E99*(1+IF(F$3&lt;=$O$2,$D99,$D99-($D99-$I$76)*MIN(F$3-$O$2,$Q$2)/$Q$2))</f>
        <v>10171.2609998098</v>
      </c>
      <c r="G99" s="15" t="n">
        <f aca="false">F99*(1+IF(G$3&lt;=$O$2,$D99,$D99-($D99-$I$76)*MIN(G$3-$O$2,$Q$2)/$Q$2))</f>
        <v>11355.7838818748</v>
      </c>
      <c r="H99" s="15" t="n">
        <f aca="false">G99*(1+IF(H$3&lt;=$O$2,$D99,$D99-($D99-$I$76)*MIN(H$3-$O$2,$Q$2)/$Q$2))</f>
        <v>12678.2537164525</v>
      </c>
      <c r="I99" s="15" t="n">
        <f aca="false">H99*(1+IF(I$3&lt;=$O$2,$D99,$D99-($D99-$I$76)*MIN(I$3-$O$2,$Q$2)/$Q$2))</f>
        <v>14154.7355048998</v>
      </c>
      <c r="J99" s="15" t="n">
        <f aca="false">I99*(1+IF(J$3&lt;=$O$2,$D99,$D99-($D99-$I$76)*MIN(J$3-$O$2,$Q$2)/$Q$2))</f>
        <v>15539.4402833198</v>
      </c>
      <c r="K99" s="15" t="n">
        <f aca="false">J99*(1+IF(K$3&lt;=$O$2,$D99,$D99-($D99-$I$76)*MIN(K$3-$O$2,$Q$2)/$Q$2))</f>
        <v>16770.0814698378</v>
      </c>
      <c r="L99" s="15" t="n">
        <f aca="false">K99*(1+IF(L$3&lt;=$O$2,$D99,$D99-($D99-$I$76)*MIN(L$3-$O$2,$Q$2)/$Q$2))</f>
        <v>17785.7300600545</v>
      </c>
      <c r="M99" s="15" t="n">
        <f aca="false">L99*(1+IF(M$3&lt;=$O$2,$D99,$D99-($D99-$I$76)*MIN(M$3-$O$2,$Q$2)/$Q$2))</f>
        <v>18531.5135381362</v>
      </c>
      <c r="N99" s="15" t="n">
        <f aca="false">M99*(1+IF(N$3&lt;=$O$2,$D99,$D99-($D99-$I$76)*MIN(N$3-$O$2,$Q$2)/$Q$2))</f>
        <v>18963.2978035748</v>
      </c>
      <c r="O99" s="15" t="n">
        <f aca="false">SUMPRODUCT(E99:N99,1/(1+$F$76)^$E$3:$N$3)*$E$2</f>
        <v>34119.3852714067</v>
      </c>
      <c r="P99" s="15" t="n">
        <f aca="false">N99*$E$2*(1+$I$76)/($F$76-$I$76)/(1+$F$76)^$N$3</f>
        <v>52380.738606057</v>
      </c>
      <c r="Q99" s="15" t="n">
        <f aca="false">O99+P99</f>
        <v>86500.1238774638</v>
      </c>
      <c r="R99" s="15" t="n">
        <f aca="false">Q99-$G$2+$I$2</f>
        <v>80380.1238774638</v>
      </c>
      <c r="S99" s="42" t="n">
        <f aca="false">R99/$K$2</f>
        <v>464.142071125209</v>
      </c>
      <c r="T99" s="43" t="n">
        <f aca="false">S99-$M$2</f>
        <v>0.000715310450175366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0.116457462310791</v>
      </c>
      <c r="C100" s="25" t="n">
        <f aca="false">IF(T99&gt;0,D99,C99)</f>
        <v>0.11645781993866</v>
      </c>
      <c r="D100" s="41" t="n">
        <f aca="false">(B100+C100)/2</f>
        <v>0.116457641124725</v>
      </c>
      <c r="E100" s="15" t="n">
        <f aca="false">$C$2*(1+IF(E$3&lt;=$O$2,$D100,$D100-($D100-$I$76)*MIN(E$3-$O$2,$Q$2)/$Q$2))</f>
        <v>9110.29435157776</v>
      </c>
      <c r="F100" s="15" t="n">
        <f aca="false">E100*(1+IF(F$3&lt;=$O$2,$D100,$D100-($D100-$I$76)*MIN(F$3-$O$2,$Q$2)/$Q$2))</f>
        <v>10171.2577417144</v>
      </c>
      <c r="G100" s="15" t="n">
        <f aca="false">F100*(1+IF(G$3&lt;=$O$2,$D100,$D100-($D100-$I$76)*MIN(G$3-$O$2,$Q$2)/$Q$2))</f>
        <v>11355.7784255861</v>
      </c>
      <c r="H100" s="15" t="n">
        <f aca="false">G100*(1+IF(H$3&lt;=$O$2,$D100,$D100-($D100-$I$76)*MIN(H$3-$O$2,$Q$2)/$Q$2))</f>
        <v>12678.2455941649</v>
      </c>
      <c r="I100" s="15" t="n">
        <f aca="false">H100*(1+IF(I$3&lt;=$O$2,$D100,$D100-($D100-$I$76)*MIN(I$3-$O$2,$Q$2)/$Q$2))</f>
        <v>14154.7241696613</v>
      </c>
      <c r="J100" s="15" t="n">
        <f aca="false">I100*(1+IF(J$3&lt;=$O$2,$D100,$D100-($D100-$I$76)*MIN(J$3-$O$2,$Q$2)/$Q$2))</f>
        <v>15539.4258143478</v>
      </c>
      <c r="K100" s="15" t="n">
        <f aca="false">J100*(1+IF(K$3&lt;=$O$2,$D100,$D100-($D100-$I$76)*MIN(K$3-$O$2,$Q$2)/$Q$2))</f>
        <v>16770.0641878005</v>
      </c>
      <c r="L100" s="15" t="n">
        <f aca="false">K100*(1+IF(L$3&lt;=$O$2,$D100,$D100-($D100-$I$76)*MIN(L$3-$O$2,$Q$2)/$Q$2))</f>
        <v>17785.7105318745</v>
      </c>
      <c r="M100" s="15" t="n">
        <f aca="false">L100*(1+IF(M$3&lt;=$O$2,$D100,$D100-($D100-$I$76)*MIN(M$3-$O$2,$Q$2)/$Q$2))</f>
        <v>18531.4925550425</v>
      </c>
      <c r="N100" s="15" t="n">
        <f aca="false">M100*(1+IF(N$3&lt;=$O$2,$D100,$D100-($D100-$I$76)*MIN(N$3-$O$2,$Q$2)/$Q$2))</f>
        <v>18963.276331575</v>
      </c>
      <c r="O100" s="15" t="n">
        <f aca="false">SUMPRODUCT(E100:N100,1/(1+$F$76)^$E$3:$N$3)*$E$2</f>
        <v>34119.358694956</v>
      </c>
      <c r="P100" s="15" t="n">
        <f aca="false">N100*$E$2*(1+$I$76)/($F$76-$I$76)/(1+$F$76)^$N$3</f>
        <v>52380.6792957399</v>
      </c>
      <c r="Q100" s="15" t="n">
        <f aca="false">O100+P100</f>
        <v>86500.0379906959</v>
      </c>
      <c r="R100" s="15" t="n">
        <f aca="false">Q100-$G$2+$I$2</f>
        <v>80380.0379906959</v>
      </c>
      <c r="S100" s="42" t="n">
        <f aca="false">R100/$K$2</f>
        <v>464.14157518591</v>
      </c>
      <c r="T100" s="43" t="n">
        <f aca="false">S100-$M$2</f>
        <v>0.000219371150819825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0.116457462310791</v>
      </c>
      <c r="C101" s="25" t="n">
        <f aca="false">IF(T100&gt;0,D100,C100)</f>
        <v>0.116457641124725</v>
      </c>
      <c r="D101" s="41" t="n">
        <f aca="false">(B101+C101)/2</f>
        <v>0.116457551717758</v>
      </c>
      <c r="E101" s="15" t="n">
        <f aca="false">$C$2*(1+IF(E$3&lt;=$O$2,$D101,$D101-($D101-$I$76)*MIN(E$3-$O$2,$Q$2)/$Q$2))</f>
        <v>9110.29362201691</v>
      </c>
      <c r="F101" s="15" t="n">
        <f aca="false">E101*(1+IF(F$3&lt;=$O$2,$D101,$D101-($D101-$I$76)*MIN(F$3-$O$2,$Q$2)/$Q$2))</f>
        <v>10171.2561126669</v>
      </c>
      <c r="G101" s="15" t="n">
        <f aca="false">F101*(1+IF(G$3&lt;=$O$2,$D101,$D101-($D101-$I$76)*MIN(G$3-$O$2,$Q$2)/$Q$2))</f>
        <v>11355.7756974424</v>
      </c>
      <c r="H101" s="15" t="n">
        <f aca="false">G101*(1+IF(H$3&lt;=$O$2,$D101,$D101-($D101-$I$76)*MIN(H$3-$O$2,$Q$2)/$Q$2))</f>
        <v>12678.2415330225</v>
      </c>
      <c r="I101" s="15" t="n">
        <f aca="false">H101*(1+IF(I$3&lt;=$O$2,$D101,$D101-($D101-$I$76)*MIN(I$3-$O$2,$Q$2)/$Q$2))</f>
        <v>14154.7185020447</v>
      </c>
      <c r="J101" s="15" t="n">
        <f aca="false">I101*(1+IF(J$3&lt;=$O$2,$D101,$D101-($D101-$I$76)*MIN(J$3-$O$2,$Q$2)/$Q$2))</f>
        <v>15539.418579866</v>
      </c>
      <c r="K101" s="15" t="n">
        <f aca="false">J101*(1+IF(K$3&lt;=$O$2,$D101,$D101-($D101-$I$76)*MIN(K$3-$O$2,$Q$2)/$Q$2))</f>
        <v>16770.0555467875</v>
      </c>
      <c r="L101" s="15" t="n">
        <f aca="false">K101*(1+IF(L$3&lt;=$O$2,$D101,$D101-($D101-$I$76)*MIN(L$3-$O$2,$Q$2)/$Q$2))</f>
        <v>17785.7007677915</v>
      </c>
      <c r="M101" s="15" t="n">
        <f aca="false">L101*(1+IF(M$3&lt;=$O$2,$D101,$D101-($D101-$I$76)*MIN(M$3-$O$2,$Q$2)/$Q$2))</f>
        <v>18531.4820635035</v>
      </c>
      <c r="N101" s="15" t="n">
        <f aca="false">M101*(1+IF(N$3&lt;=$O$2,$D101,$D101-($D101-$I$76)*MIN(N$3-$O$2,$Q$2)/$Q$2))</f>
        <v>18963.2655955831</v>
      </c>
      <c r="O101" s="15" t="n">
        <f aca="false">SUMPRODUCT(E101:N101,1/(1+$F$76)^$E$3:$N$3)*$E$2</f>
        <v>34119.3454067384</v>
      </c>
      <c r="P101" s="15" t="n">
        <f aca="false">N101*$E$2*(1+$I$76)/($F$76-$I$76)/(1+$F$76)^$N$3</f>
        <v>52380.6496406033</v>
      </c>
      <c r="Q101" s="15" t="n">
        <f aca="false">O101+P101</f>
        <v>86499.9950473417</v>
      </c>
      <c r="R101" s="15" t="n">
        <f aca="false">Q101-$G$2+$I$2</f>
        <v>80379.9950473417</v>
      </c>
      <c r="S101" s="42" t="n">
        <f aca="false">R101/$K$2</f>
        <v>464.141327216432</v>
      </c>
      <c r="T101" s="43" t="n">
        <f aca="false">S101-$M$2</f>
        <v>-2.85983273897728E-005</v>
      </c>
    </row>
    <row r="103" customFormat="false" ht="15" hidden="false" customHeight="false" outlineLevel="0" collapsed="false">
      <c r="A103" s="38" t="s">
        <v>184</v>
      </c>
      <c r="E103" s="5" t="s">
        <v>11</v>
      </c>
      <c r="F103" s="12" t="n">
        <f aca="false">Sensitivity!$B$10</f>
        <v>0.0853160519233867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162</v>
      </c>
      <c r="B104" s="28" t="s">
        <v>163</v>
      </c>
      <c r="C104" s="28" t="s">
        <v>164</v>
      </c>
      <c r="D104" s="28" t="s">
        <v>165</v>
      </c>
      <c r="E104" s="28" t="s">
        <v>166</v>
      </c>
      <c r="F104" s="28" t="s">
        <v>167</v>
      </c>
      <c r="G104" s="28" t="s">
        <v>168</v>
      </c>
      <c r="H104" s="28" t="s">
        <v>169</v>
      </c>
      <c r="I104" s="28" t="s">
        <v>170</v>
      </c>
      <c r="J104" s="28" t="s">
        <v>171</v>
      </c>
      <c r="K104" s="28" t="s">
        <v>172</v>
      </c>
      <c r="L104" s="28" t="s">
        <v>173</v>
      </c>
      <c r="M104" s="28" t="s">
        <v>174</v>
      </c>
      <c r="N104" s="28" t="s">
        <v>175</v>
      </c>
      <c r="O104" s="28" t="s">
        <v>176</v>
      </c>
      <c r="P104" s="28" t="s">
        <v>177</v>
      </c>
      <c r="Q104" s="28" t="s">
        <v>178</v>
      </c>
      <c r="R104" s="28" t="s">
        <v>179</v>
      </c>
      <c r="S104" s="28" t="s">
        <v>180</v>
      </c>
      <c r="T104" s="28" t="s">
        <v>181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10200</v>
      </c>
      <c r="F105" s="15" t="n">
        <f aca="false">E105*(1+IF(F$3&lt;=$O$2,$D105,$D105-($D105-$I$103)*MIN(F$3-$O$2,$Q$2)/$Q$2))</f>
        <v>12750</v>
      </c>
      <c r="G105" s="15" t="n">
        <f aca="false">F105*(1+IF(G$3&lt;=$O$2,$D105,$D105-($D105-$I$103)*MIN(G$3-$O$2,$Q$2)/$Q$2))</f>
        <v>15937.5</v>
      </c>
      <c r="H105" s="15" t="n">
        <f aca="false">G105*(1+IF(H$3&lt;=$O$2,$D105,$D105-($D105-$I$103)*MIN(H$3-$O$2,$Q$2)/$Q$2))</f>
        <v>19921.875</v>
      </c>
      <c r="I105" s="15" t="n">
        <f aca="false">H105*(1+IF(I$3&lt;=$O$2,$D105,$D105-($D105-$I$103)*MIN(I$3-$O$2,$Q$2)/$Q$2))</f>
        <v>24902.34375</v>
      </c>
      <c r="J105" s="15" t="n">
        <f aca="false">I105*(1+IF(J$3&lt;=$O$2,$D105,$D105-($D105-$I$103)*MIN(J$3-$O$2,$Q$2)/$Q$2))</f>
        <v>30023.759765625</v>
      </c>
      <c r="K105" s="15" t="n">
        <f aca="false">J105*(1+IF(K$3&lt;=$O$2,$D105,$D105-($D105-$I$103)*MIN(K$3-$O$2,$Q$2)/$Q$2))</f>
        <v>34867.1926910156</v>
      </c>
      <c r="L105" s="15" t="n">
        <f aca="false">K105*(1+IF(L$3&lt;=$O$2,$D105,$D105-($D105-$I$103)*MIN(L$3-$O$2,$Q$2)/$Q$2))</f>
        <v>38945.9568920106</v>
      </c>
      <c r="M105" s="15" t="n">
        <f aca="false">L105*(1+IF(M$3&lt;=$O$2,$D105,$D105-($D105-$I$103)*MIN(M$3-$O$2,$Q$2)/$Q$2))</f>
        <v>41774.9912006463</v>
      </c>
      <c r="N105" s="15" t="n">
        <f aca="false">M105*(1+IF(N$3&lt;=$O$2,$D105,$D105-($D105-$I$103)*MIN(N$3-$O$2,$Q$2)/$Q$2))</f>
        <v>42957.2234516246</v>
      </c>
      <c r="O105" s="15" t="n">
        <f aca="false">SUMPRODUCT(E105:N105,1/(1+$F$103)^$E$3:$N$3)*$E$2</f>
        <v>61032.1482615955</v>
      </c>
      <c r="P105" s="15" t="n">
        <f aca="false">N105*$E$2*(1+$I$103)/($F$103-$I$103)/(1+$F$103)^$N$3</f>
        <v>129693.374570708</v>
      </c>
      <c r="Q105" s="15" t="n">
        <f aca="false">O105+P105</f>
        <v>190725.522832304</v>
      </c>
      <c r="R105" s="15" t="n">
        <f aca="false">Q105-$G$2+$I$2</f>
        <v>184605.522832304</v>
      </c>
      <c r="S105" s="42" t="n">
        <f aca="false">R105/$K$2</f>
        <v>1065.97484023735</v>
      </c>
      <c r="T105" s="43" t="n">
        <f aca="false">S105-$M$2</f>
        <v>601.833484422589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7140</v>
      </c>
      <c r="F106" s="15" t="n">
        <f aca="false">E106*(1+IF(F$3&lt;=$O$2,$D106,$D106-($D106-$I$103)*MIN(F$3-$O$2,$Q$2)/$Q$2))</f>
        <v>6247.5</v>
      </c>
      <c r="G106" s="15" t="n">
        <f aca="false">F106*(1+IF(G$3&lt;=$O$2,$D106,$D106-($D106-$I$103)*MIN(G$3-$O$2,$Q$2)/$Q$2))</f>
        <v>5466.5625</v>
      </c>
      <c r="H106" s="15" t="n">
        <f aca="false">G106*(1+IF(H$3&lt;=$O$2,$D106,$D106-($D106-$I$103)*MIN(H$3-$O$2,$Q$2)/$Q$2))</f>
        <v>4783.2421875</v>
      </c>
      <c r="I106" s="15" t="n">
        <f aca="false">H106*(1+IF(I$3&lt;=$O$2,$D106,$D106-($D106-$I$103)*MIN(I$3-$O$2,$Q$2)/$Q$2))</f>
        <v>4185.3369140625</v>
      </c>
      <c r="J106" s="15" t="n">
        <f aca="false">I106*(1+IF(J$3&lt;=$O$2,$D106,$D106-($D106-$I$103)*MIN(J$3-$O$2,$Q$2)/$Q$2))</f>
        <v>3790.49222958984</v>
      </c>
      <c r="K106" s="15" t="n">
        <f aca="false">J106*(1+IF(K$3&lt;=$O$2,$D106,$D106-($D106-$I$103)*MIN(K$3-$O$2,$Q$2)/$Q$2))</f>
        <v>3549.11368440956</v>
      </c>
      <c r="L106" s="15" t="n">
        <f aca="false">K106*(1+IF(L$3&lt;=$O$2,$D106,$D106-($D106-$I$103)*MIN(L$3-$O$2,$Q$2)/$Q$2))</f>
        <v>3431.92195055036</v>
      </c>
      <c r="M106" s="15" t="n">
        <f aca="false">L106*(1+IF(M$3&lt;=$O$2,$D106,$D106-($D106-$I$103)*MIN(M$3-$O$2,$Q$2)/$Q$2))</f>
        <v>3423.82261474706</v>
      </c>
      <c r="N106" s="15" t="n">
        <f aca="false">M106*(1+IF(N$3&lt;=$O$2,$D106,$D106-($D106-$I$103)*MIN(N$3-$O$2,$Q$2)/$Q$2))</f>
        <v>3520.7167947444</v>
      </c>
      <c r="O106" s="15" t="n">
        <f aca="false">SUMPRODUCT(E106:N106,1/(1+$F$103)^$E$3:$N$3)*$E$2</f>
        <v>12025.5228397364</v>
      </c>
      <c r="P106" s="15" t="n">
        <f aca="false">N106*$E$2*(1+$I$103)/($F$103-$I$103)/(1+$F$103)^$N$3</f>
        <v>10629.4961668641</v>
      </c>
      <c r="Q106" s="15" t="n">
        <f aca="false">O106+P106</f>
        <v>22655.0190066005</v>
      </c>
      <c r="R106" s="15" t="n">
        <f aca="false">Q106-$G$2+$I$2</f>
        <v>16535.0190066005</v>
      </c>
      <c r="S106" s="42" t="n">
        <f aca="false">R106/$K$2</f>
        <v>95.4788024402387</v>
      </c>
      <c r="T106" s="43" t="n">
        <f aca="false">S106-$M$2</f>
        <v>-368.662553374521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8670</v>
      </c>
      <c r="F107" s="15" t="n">
        <f aca="false">E107*(1+IF(F$3&lt;=$O$2,$D107,$D107-($D107-$I$103)*MIN(F$3-$O$2,$Q$2)/$Q$2))</f>
        <v>9211.875</v>
      </c>
      <c r="G107" s="15" t="n">
        <f aca="false">F107*(1+IF(G$3&lt;=$O$2,$D107,$D107-($D107-$I$103)*MIN(G$3-$O$2,$Q$2)/$Q$2))</f>
        <v>9787.6171875</v>
      </c>
      <c r="H107" s="15" t="n">
        <f aca="false">G107*(1+IF(H$3&lt;=$O$2,$D107,$D107-($D107-$I$103)*MIN(H$3-$O$2,$Q$2)/$Q$2))</f>
        <v>10399.3432617188</v>
      </c>
      <c r="I107" s="15" t="n">
        <f aca="false">H107*(1+IF(I$3&lt;=$O$2,$D107,$D107-($D107-$I$103)*MIN(I$3-$O$2,$Q$2)/$Q$2))</f>
        <v>11049.3022155762</v>
      </c>
      <c r="J107" s="15" t="n">
        <f aca="false">I107*(1+IF(J$3&lt;=$O$2,$D107,$D107-($D107-$I$103)*MIN(J$3-$O$2,$Q$2)/$Q$2))</f>
        <v>11664.3063768951</v>
      </c>
      <c r="K107" s="15" t="n">
        <f aca="false">J107*(1+IF(K$3&lt;=$O$2,$D107,$D107-($D107-$I$103)*MIN(K$3-$O$2,$Q$2)/$Q$2))</f>
        <v>12233.7578142152</v>
      </c>
      <c r="L107" s="15" t="n">
        <f aca="false">K107*(1+IF(L$3&lt;=$O$2,$D107,$D107-($D107-$I$103)*MIN(L$3-$O$2,$Q$2)/$Q$2))</f>
        <v>12747.3309672559</v>
      </c>
      <c r="M107" s="15" t="n">
        <f aca="false">L107*(1+IF(M$3&lt;=$O$2,$D107,$D107-($D107-$I$103)*MIN(M$3-$O$2,$Q$2)/$Q$2))</f>
        <v>13195.2721774453</v>
      </c>
      <c r="N107" s="15" t="n">
        <f aca="false">M107*(1+IF(N$3&lt;=$O$2,$D107,$D107-($D107-$I$103)*MIN(N$3-$O$2,$Q$2)/$Q$2))</f>
        <v>13568.698380067</v>
      </c>
      <c r="O107" s="15" t="n">
        <f aca="false">SUMPRODUCT(E107:N107,1/(1+$F$103)^$E$3:$N$3)*$E$2</f>
        <v>27047.3575202511</v>
      </c>
      <c r="P107" s="15" t="n">
        <f aca="false">N107*$E$2*(1+$I$103)/($F$103-$I$103)/(1+$F$103)^$N$3</f>
        <v>40965.6430291572</v>
      </c>
      <c r="Q107" s="15" t="n">
        <f aca="false">O107+P107</f>
        <v>68013.0005494084</v>
      </c>
      <c r="R107" s="15" t="n">
        <f aca="false">Q107-$G$2+$I$2</f>
        <v>61893.0005494083</v>
      </c>
      <c r="S107" s="42" t="n">
        <f aca="false">R107/$K$2</f>
        <v>357.39115688537</v>
      </c>
      <c r="T107" s="43" t="n">
        <f aca="false">S107-$M$2</f>
        <v>-106.750198929389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0.0625</v>
      </c>
      <c r="C108" s="25" t="n">
        <f aca="false">IF(T107&gt;0,D107,C107)</f>
        <v>0.25</v>
      </c>
      <c r="D108" s="41" t="n">
        <f aca="false">(B108+C108)/2</f>
        <v>0.15625</v>
      </c>
      <c r="E108" s="15" t="n">
        <f aca="false">$C$2*(1+IF(E$3&lt;=$O$2,$D108,$D108-($D108-$I$103)*MIN(E$3-$O$2,$Q$2)/$Q$2))</f>
        <v>9435</v>
      </c>
      <c r="F108" s="15" t="n">
        <f aca="false">E108*(1+IF(F$3&lt;=$O$2,$D108,$D108-($D108-$I$103)*MIN(F$3-$O$2,$Q$2)/$Q$2))</f>
        <v>10909.21875</v>
      </c>
      <c r="G108" s="15" t="n">
        <f aca="false">F108*(1+IF(G$3&lt;=$O$2,$D108,$D108-($D108-$I$103)*MIN(G$3-$O$2,$Q$2)/$Q$2))</f>
        <v>12613.7841796875</v>
      </c>
      <c r="H108" s="15" t="n">
        <f aca="false">G108*(1+IF(H$3&lt;=$O$2,$D108,$D108-($D108-$I$103)*MIN(H$3-$O$2,$Q$2)/$Q$2))</f>
        <v>14584.6879577637</v>
      </c>
      <c r="I108" s="15" t="n">
        <f aca="false">H108*(1+IF(I$3&lt;=$O$2,$D108,$D108-($D108-$I$103)*MIN(I$3-$O$2,$Q$2)/$Q$2))</f>
        <v>16863.5454511642</v>
      </c>
      <c r="J108" s="15" t="n">
        <f aca="false">I108*(1+IF(J$3&lt;=$O$2,$D108,$D108-($D108-$I$103)*MIN(J$3-$O$2,$Q$2)/$Q$2))</f>
        <v>19066.9362998134</v>
      </c>
      <c r="K108" s="15" t="n">
        <f aca="false">J108*(1+IF(K$3&lt;=$O$2,$D108,$D108-($D108-$I$103)*MIN(K$3-$O$2,$Q$2)/$Q$2))</f>
        <v>21070.2992968348</v>
      </c>
      <c r="L108" s="15" t="n">
        <f aca="false">K108*(1+IF(L$3&lt;=$O$2,$D108,$D108-($D108-$I$103)*MIN(L$3-$O$2,$Q$2)/$Q$2))</f>
        <v>22744.9666849472</v>
      </c>
      <c r="M108" s="15" t="n">
        <f aca="false">L108*(1+IF(M$3&lt;=$O$2,$D108,$D108-($D108-$I$103)*MIN(M$3-$O$2,$Q$2)/$Q$2))</f>
        <v>23970.692939599</v>
      </c>
      <c r="N108" s="15" t="n">
        <f aca="false">M108*(1+IF(N$3&lt;=$O$2,$D108,$D108-($D108-$I$103)*MIN(N$3-$O$2,$Q$2)/$Q$2))</f>
        <v>24649.0635497896</v>
      </c>
      <c r="O108" s="15" t="n">
        <f aca="false">SUMPRODUCT(E108:N108,1/(1+$F$103)^$E$3:$N$3)*$E$2</f>
        <v>40706.2047664336</v>
      </c>
      <c r="P108" s="15" t="n">
        <f aca="false">N108*$E$2*(1+$I$103)/($F$103-$I$103)/(1+$F$103)^$N$3</f>
        <v>74418.6885211541</v>
      </c>
      <c r="Q108" s="15" t="n">
        <f aca="false">O108+P108</f>
        <v>115124.893287588</v>
      </c>
      <c r="R108" s="15" t="n">
        <f aca="false">Q108-$G$2+$I$2</f>
        <v>109004.893287588</v>
      </c>
      <c r="S108" s="42" t="n">
        <f aca="false">R108/$K$2</f>
        <v>629.431188864694</v>
      </c>
      <c r="T108" s="43" t="n">
        <f aca="false">S108-$M$2</f>
        <v>165.289833049934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0.0625</v>
      </c>
      <c r="C109" s="25" t="n">
        <f aca="false">IF(T108&gt;0,D108,C108)</f>
        <v>0.15625</v>
      </c>
      <c r="D109" s="41" t="n">
        <f aca="false">(B109+C109)/2</f>
        <v>0.109375</v>
      </c>
      <c r="E109" s="15" t="n">
        <f aca="false">$C$2*(1+IF(E$3&lt;=$O$2,$D109,$D109-($D109-$I$103)*MIN(E$3-$O$2,$Q$2)/$Q$2))</f>
        <v>9052.5</v>
      </c>
      <c r="F109" s="15" t="n">
        <f aca="false">E109*(1+IF(F$3&lt;=$O$2,$D109,$D109-($D109-$I$103)*MIN(F$3-$O$2,$Q$2)/$Q$2))</f>
        <v>10042.6171875</v>
      </c>
      <c r="G109" s="15" t="n">
        <f aca="false">F109*(1+IF(G$3&lt;=$O$2,$D109,$D109-($D109-$I$103)*MIN(G$3-$O$2,$Q$2)/$Q$2))</f>
        <v>11141.0284423828</v>
      </c>
      <c r="H109" s="15" t="n">
        <f aca="false">G109*(1+IF(H$3&lt;=$O$2,$D109,$D109-($D109-$I$103)*MIN(H$3-$O$2,$Q$2)/$Q$2))</f>
        <v>12359.5784282684</v>
      </c>
      <c r="I109" s="15" t="n">
        <f aca="false">H109*(1+IF(I$3&lt;=$O$2,$D109,$D109-($D109-$I$103)*MIN(I$3-$O$2,$Q$2)/$Q$2))</f>
        <v>13711.4073188603</v>
      </c>
      <c r="J109" s="15" t="n">
        <f aca="false">I109*(1+IF(J$3&lt;=$O$2,$D109,$D109-($D109-$I$103)*MIN(J$3-$O$2,$Q$2)/$Q$2))</f>
        <v>14988.7620246853</v>
      </c>
      <c r="K109" s="15" t="n">
        <f aca="false">J109*(1+IF(K$3&lt;=$O$2,$D109,$D109-($D109-$I$103)*MIN(K$3-$O$2,$Q$2)/$Q$2))</f>
        <v>16142.0723186747</v>
      </c>
      <c r="L109" s="15" t="n">
        <f aca="false">K109*(1+IF(L$3&lt;=$O$2,$D109,$D109-($D109-$I$103)*MIN(L$3-$O$2,$Q$2)/$Q$2))</f>
        <v>17122.3803705878</v>
      </c>
      <c r="M109" s="15" t="n">
        <f aca="false">L109*(1+IF(M$3&lt;=$O$2,$D109,$D109-($D109-$I$103)*MIN(M$3-$O$2,$Q$2)/$Q$2))</f>
        <v>17884.5831327846</v>
      </c>
      <c r="N109" s="15" t="n">
        <f aca="false">M109*(1+IF(N$3&lt;=$O$2,$D109,$D109-($D109-$I$103)*MIN(N$3-$O$2,$Q$2)/$Q$2))</f>
        <v>18390.7168354424</v>
      </c>
      <c r="O109" s="15" t="n">
        <f aca="false">SUMPRODUCT(E109:N109,1/(1+$F$103)^$E$3:$N$3)*$E$2</f>
        <v>33188.5159508154</v>
      </c>
      <c r="P109" s="15" t="n">
        <f aca="false">N109*$E$2*(1+$I$103)/($F$103-$I$103)/(1+$F$103)^$N$3</f>
        <v>55523.9360348523</v>
      </c>
      <c r="Q109" s="15" t="n">
        <f aca="false">O109+P109</f>
        <v>88712.4519856677</v>
      </c>
      <c r="R109" s="15" t="n">
        <f aca="false">Q109-$G$2+$I$2</f>
        <v>82592.4519856677</v>
      </c>
      <c r="S109" s="42" t="n">
        <f aca="false">R109/$K$2</f>
        <v>476.91680324326</v>
      </c>
      <c r="T109" s="43" t="n">
        <f aca="false">S109-$M$2</f>
        <v>12.7754474285004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0.0625</v>
      </c>
      <c r="C110" s="25" t="n">
        <f aca="false">IF(T109&gt;0,D109,C109)</f>
        <v>0.109375</v>
      </c>
      <c r="D110" s="41" t="n">
        <f aca="false">(B110+C110)/2</f>
        <v>0.0859375</v>
      </c>
      <c r="E110" s="15" t="n">
        <f aca="false">$C$2*(1+IF(E$3&lt;=$O$2,$D110,$D110-($D110-$I$103)*MIN(E$3-$O$2,$Q$2)/$Q$2))</f>
        <v>8861.25</v>
      </c>
      <c r="F110" s="15" t="n">
        <f aca="false">E110*(1+IF(F$3&lt;=$O$2,$D110,$D110-($D110-$I$103)*MIN(F$3-$O$2,$Q$2)/$Q$2))</f>
        <v>9622.763671875</v>
      </c>
      <c r="G110" s="15" t="n">
        <f aca="false">F110*(1+IF(G$3&lt;=$O$2,$D110,$D110-($D110-$I$103)*MIN(G$3-$O$2,$Q$2)/$Q$2))</f>
        <v>10449.7199249268</v>
      </c>
      <c r="H110" s="15" t="n">
        <f aca="false">G110*(1+IF(H$3&lt;=$O$2,$D110,$D110-($D110-$I$103)*MIN(H$3-$O$2,$Q$2)/$Q$2))</f>
        <v>11347.7427309752</v>
      </c>
      <c r="I110" s="15" t="n">
        <f aca="false">H110*(1+IF(I$3&lt;=$O$2,$D110,$D110-($D110-$I$103)*MIN(I$3-$O$2,$Q$2)/$Q$2))</f>
        <v>12322.9393719183</v>
      </c>
      <c r="J110" s="15" t="n">
        <f aca="false">I110*(1+IF(J$3&lt;=$O$2,$D110,$D110-($D110-$I$103)*MIN(J$3-$O$2,$Q$2)/$Q$2))</f>
        <v>13239.8892905828</v>
      </c>
      <c r="K110" s="15" t="n">
        <f aca="false">J110*(1+IF(K$3&lt;=$O$2,$D110,$D110-($D110-$I$103)*MIN(K$3-$O$2,$Q$2)/$Q$2))</f>
        <v>14072.4466288978</v>
      </c>
      <c r="L110" s="15" t="n">
        <f aca="false">K110*(1+IF(L$3&lt;=$O$2,$D110,$D110-($D110-$I$103)*MIN(L$3-$O$2,$Q$2)/$Q$2))</f>
        <v>14795.1371255249</v>
      </c>
      <c r="M110" s="15" t="n">
        <f aca="false">L110*(1+IF(M$3&lt;=$O$2,$D110,$D110-($D110-$I$103)*MIN(M$3-$O$2,$Q$2)/$Q$2))</f>
        <v>15384.3904493917</v>
      </c>
      <c r="N110" s="15" t="n">
        <f aca="false">M110*(1+IF(N$3&lt;=$O$2,$D110,$D110-($D110-$I$103)*MIN(N$3-$O$2,$Q$2)/$Q$2))</f>
        <v>15819.7686991095</v>
      </c>
      <c r="O110" s="15" t="n">
        <f aca="false">SUMPRODUCT(E110:N110,1/(1+$F$103)^$E$3:$N$3)*$E$2</f>
        <v>29961.5868376528</v>
      </c>
      <c r="P110" s="15" t="n">
        <f aca="false">N110*$E$2*(1+$I$103)/($F$103-$I$103)/(1+$F$103)^$N$3</f>
        <v>47761.9134259476</v>
      </c>
      <c r="Q110" s="15" t="n">
        <f aca="false">O110+P110</f>
        <v>77723.5002636005</v>
      </c>
      <c r="R110" s="15" t="n">
        <f aca="false">Q110-$G$2+$I$2</f>
        <v>71603.5002636005</v>
      </c>
      <c r="S110" s="42" t="n">
        <f aca="false">R110/$K$2</f>
        <v>413.462872523389</v>
      </c>
      <c r="T110" s="43" t="n">
        <f aca="false">S110-$M$2</f>
        <v>-50.6784832913705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0.0859375</v>
      </c>
      <c r="C111" s="25" t="n">
        <f aca="false">IF(T110&gt;0,D110,C110)</f>
        <v>0.109375</v>
      </c>
      <c r="D111" s="41" t="n">
        <f aca="false">(B111+C111)/2</f>
        <v>0.09765625</v>
      </c>
      <c r="E111" s="15" t="n">
        <f aca="false">$C$2*(1+IF(E$3&lt;=$O$2,$D111,$D111-($D111-$I$103)*MIN(E$3-$O$2,$Q$2)/$Q$2))</f>
        <v>8956.875</v>
      </c>
      <c r="F111" s="15" t="n">
        <f aca="false">E111*(1+IF(F$3&lt;=$O$2,$D111,$D111-($D111-$I$103)*MIN(F$3-$O$2,$Q$2)/$Q$2))</f>
        <v>9831.56982421875</v>
      </c>
      <c r="G111" s="15" t="n">
        <f aca="false">F111*(1+IF(G$3&lt;=$O$2,$D111,$D111-($D111-$I$103)*MIN(G$3-$O$2,$Q$2)/$Q$2))</f>
        <v>10791.6840648651</v>
      </c>
      <c r="H111" s="15" t="n">
        <f aca="false">G111*(1+IF(H$3&lt;=$O$2,$D111,$D111-($D111-$I$103)*MIN(H$3-$O$2,$Q$2)/$Q$2))</f>
        <v>11845.5594618246</v>
      </c>
      <c r="I111" s="15" t="n">
        <f aca="false">H111*(1+IF(I$3&lt;=$O$2,$D111,$D111-($D111-$I$103)*MIN(I$3-$O$2,$Q$2)/$Q$2))</f>
        <v>13002.3523780184</v>
      </c>
      <c r="J111" s="15" t="n">
        <f aca="false">I111*(1+IF(J$3&lt;=$O$2,$D111,$D111-($D111-$I$103)*MIN(J$3-$O$2,$Q$2)/$Q$2))</f>
        <v>14091.7544720107</v>
      </c>
      <c r="K111" s="15" t="n">
        <f aca="false">J111*(1+IF(K$3&lt;=$O$2,$D111,$D111-($D111-$I$103)*MIN(K$3-$O$2,$Q$2)/$Q$2))</f>
        <v>15076.9618712282</v>
      </c>
      <c r="L111" s="15" t="n">
        <f aca="false">K111*(1+IF(L$3&lt;=$O$2,$D111,$D111-($D111-$I$103)*MIN(L$3-$O$2,$Q$2)/$Q$2))</f>
        <v>15921.9125068965</v>
      </c>
      <c r="M111" s="15" t="n">
        <f aca="false">L111*(1+IF(M$3&lt;=$O$2,$D111,$D111-($D111-$I$103)*MIN(M$3-$O$2,$Q$2)/$Q$2))</f>
        <v>16593.359459703</v>
      </c>
      <c r="N111" s="15" t="n">
        <f aca="false">M111*(1+IF(N$3&lt;=$O$2,$D111,$D111-($D111-$I$103)*MIN(N$3-$O$2,$Q$2)/$Q$2))</f>
        <v>17062.9515324126</v>
      </c>
      <c r="O111" s="15" t="n">
        <f aca="false">SUMPRODUCT(E111:N111,1/(1+$F$103)^$E$3:$N$3)*$E$2</f>
        <v>31534.098481554</v>
      </c>
      <c r="P111" s="15" t="n">
        <f aca="false">N111*$E$2*(1+$I$103)/($F$103-$I$103)/(1+$F$103)^$N$3</f>
        <v>51515.2420609097</v>
      </c>
      <c r="Q111" s="15" t="n">
        <f aca="false">O111+P111</f>
        <v>83049.3405424637</v>
      </c>
      <c r="R111" s="15" t="n">
        <f aca="false">Q111-$G$2+$I$2</f>
        <v>76929.3405424637</v>
      </c>
      <c r="S111" s="42" t="n">
        <f aca="false">R111/$K$2</f>
        <v>444.216078891695</v>
      </c>
      <c r="T111" s="43" t="n">
        <f aca="false">S111-$M$2</f>
        <v>-19.9252769230644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0.09765625</v>
      </c>
      <c r="C112" s="25" t="n">
        <f aca="false">IF(T111&gt;0,D111,C111)</f>
        <v>0.109375</v>
      </c>
      <c r="D112" s="41" t="n">
        <f aca="false">(B112+C112)/2</f>
        <v>0.103515625</v>
      </c>
      <c r="E112" s="15" t="n">
        <f aca="false">$C$2*(1+IF(E$3&lt;=$O$2,$D112,$D112-($D112-$I$103)*MIN(E$3-$O$2,$Q$2)/$Q$2))</f>
        <v>9004.6875</v>
      </c>
      <c r="F112" s="15" t="n">
        <f aca="false">E112*(1+IF(F$3&lt;=$O$2,$D112,$D112-($D112-$I$103)*MIN(F$3-$O$2,$Q$2)/$Q$2))</f>
        <v>9936.81335449219</v>
      </c>
      <c r="G112" s="15" t="n">
        <f aca="false">F112*(1+IF(G$3&lt;=$O$2,$D112,$D112-($D112-$I$103)*MIN(G$3-$O$2,$Q$2)/$Q$2))</f>
        <v>10965.4287993908</v>
      </c>
      <c r="H112" s="15" t="n">
        <f aca="false">G112*(1+IF(H$3&lt;=$O$2,$D112,$D112-($D112-$I$103)*MIN(H$3-$O$2,$Q$2)/$Q$2))</f>
        <v>12100.5220149527</v>
      </c>
      <c r="I112" s="15" t="n">
        <f aca="false">H112*(1+IF(I$3&lt;=$O$2,$D112,$D112-($D112-$I$103)*MIN(I$3-$O$2,$Q$2)/$Q$2))</f>
        <v>13353.1151141568</v>
      </c>
      <c r="J112" s="15" t="n">
        <f aca="false">I112*(1+IF(J$3&lt;=$O$2,$D112,$D112-($D112-$I$103)*MIN(J$3-$O$2,$Q$2)/$Q$2))</f>
        <v>14534.4985910941</v>
      </c>
      <c r="K112" s="15" t="n">
        <f aca="false">J112*(1+IF(K$3&lt;=$O$2,$D112,$D112-($D112-$I$103)*MIN(K$3-$O$2,$Q$2)/$Q$2))</f>
        <v>15601.7577385765</v>
      </c>
      <c r="L112" s="15" t="n">
        <f aca="false">K112*(1+IF(L$3&lt;=$O$2,$D112,$D112-($D112-$I$103)*MIN(L$3-$O$2,$Q$2)/$Q$2))</f>
        <v>16512.6858663404</v>
      </c>
      <c r="M112" s="15" t="n">
        <f aca="false">L112*(1+IF(M$3&lt;=$O$2,$D112,$D112-($D112-$I$103)*MIN(M$3-$O$2,$Q$2)/$Q$2))</f>
        <v>17228.397273931</v>
      </c>
      <c r="N112" s="15" t="n">
        <f aca="false">M112*(1+IF(N$3&lt;=$O$2,$D112,$D112-($D112-$I$103)*MIN(N$3-$O$2,$Q$2)/$Q$2))</f>
        <v>17715.9609167832</v>
      </c>
      <c r="O112" s="15" t="n">
        <f aca="false">SUMPRODUCT(E112:N112,1/(1+$F$103)^$E$3:$N$3)*$E$2</f>
        <v>32350.8273967832</v>
      </c>
      <c r="P112" s="15" t="n">
        <f aca="false">N112*$E$2*(1+$I$103)/($F$103-$I$103)/(1+$F$103)^$N$3</f>
        <v>53486.7612579254</v>
      </c>
      <c r="Q112" s="15" t="n">
        <f aca="false">O112+P112</f>
        <v>85837.5886547085</v>
      </c>
      <c r="R112" s="15" t="n">
        <f aca="false">Q112-$G$2+$I$2</f>
        <v>79717.5886547085</v>
      </c>
      <c r="S112" s="42" t="n">
        <f aca="false">R112/$K$2</f>
        <v>460.316368256776</v>
      </c>
      <c r="T112" s="43" t="n">
        <f aca="false">S112-$M$2</f>
        <v>-3.82498755798281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0.103515625</v>
      </c>
      <c r="C113" s="25" t="n">
        <f aca="false">IF(T112&gt;0,D112,C112)</f>
        <v>0.109375</v>
      </c>
      <c r="D113" s="41" t="n">
        <f aca="false">(B113+C113)/2</f>
        <v>0.1064453125</v>
      </c>
      <c r="E113" s="15" t="n">
        <f aca="false">$C$2*(1+IF(E$3&lt;=$O$2,$D113,$D113-($D113-$I$103)*MIN(E$3-$O$2,$Q$2)/$Q$2))</f>
        <v>9028.59375</v>
      </c>
      <c r="F113" s="15" t="n">
        <f aca="false">E113*(1+IF(F$3&lt;=$O$2,$D113,$D113-($D113-$I$103)*MIN(F$3-$O$2,$Q$2)/$Q$2))</f>
        <v>9989.6452331543</v>
      </c>
      <c r="G113" s="15" t="n">
        <f aca="false">F113*(1+IF(G$3&lt;=$O$2,$D113,$D113-($D113-$I$103)*MIN(G$3-$O$2,$Q$2)/$Q$2))</f>
        <v>11052.9961417615</v>
      </c>
      <c r="H113" s="15" t="n">
        <f aca="false">G113*(1+IF(H$3&lt;=$O$2,$D113,$D113-($D113-$I$103)*MIN(H$3-$O$2,$Q$2)/$Q$2))</f>
        <v>12229.5357701326</v>
      </c>
      <c r="I113" s="15" t="n">
        <f aca="false">H113*(1+IF(I$3&lt;=$O$2,$D113,$D113-($D113-$I$103)*MIN(I$3-$O$2,$Q$2)/$Q$2))</f>
        <v>13531.3125269143</v>
      </c>
      <c r="J113" s="15" t="n">
        <f aca="false">I113*(1+IF(J$3&lt;=$O$2,$D113,$D113-($D113-$I$103)*MIN(J$3-$O$2,$Q$2)/$Q$2))</f>
        <v>14760.1755881867</v>
      </c>
      <c r="K113" s="15" t="n">
        <f aca="false">J113*(1+IF(K$3&lt;=$O$2,$D113,$D113-($D113-$I$103)*MIN(K$3-$O$2,$Q$2)/$Q$2))</f>
        <v>15869.9516776686</v>
      </c>
      <c r="L113" s="15" t="n">
        <f aca="false">K113*(1+IF(L$3&lt;=$O$2,$D113,$D113-($D113-$I$103)*MIN(L$3-$O$2,$Q$2)/$Q$2))</f>
        <v>16815.1362434312</v>
      </c>
      <c r="M113" s="15" t="n">
        <f aca="false">L113*(1+IF(M$3&lt;=$O$2,$D113,$D113-($D113-$I$103)*MIN(M$3-$O$2,$Q$2)/$Q$2))</f>
        <v>17553.8094144149</v>
      </c>
      <c r="N113" s="15" t="n">
        <f aca="false">M113*(1+IF(N$3&lt;=$O$2,$D113,$D113-($D113-$I$103)*MIN(N$3-$O$2,$Q$2)/$Q$2))</f>
        <v>18050.5822208428</v>
      </c>
      <c r="O113" s="15" t="n">
        <f aca="false">SUMPRODUCT(E113:N113,1/(1+$F$103)^$E$3:$N$3)*$E$2</f>
        <v>32767.020980995</v>
      </c>
      <c r="P113" s="15" t="n">
        <f aca="false">N113*$E$2*(1+$I$103)/($F$103-$I$103)/(1+$F$103)^$N$3</f>
        <v>54497.0259500933</v>
      </c>
      <c r="Q113" s="15" t="n">
        <f aca="false">O113+P113</f>
        <v>87264.0469310883</v>
      </c>
      <c r="R113" s="15" t="n">
        <f aca="false">Q113-$G$2+$I$2</f>
        <v>81144.0469310883</v>
      </c>
      <c r="S113" s="42" t="n">
        <f aca="false">R113/$K$2</f>
        <v>468.553221683152</v>
      </c>
      <c r="T113" s="43" t="n">
        <f aca="false">S113-$M$2</f>
        <v>4.41186586839285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0.103515625</v>
      </c>
      <c r="C114" s="25" t="n">
        <f aca="false">IF(T113&gt;0,D113,C113)</f>
        <v>0.1064453125</v>
      </c>
      <c r="D114" s="41" t="n">
        <f aca="false">(B114+C114)/2</f>
        <v>0.10498046875</v>
      </c>
      <c r="E114" s="15" t="n">
        <f aca="false">$C$2*(1+IF(E$3&lt;=$O$2,$D114,$D114-($D114-$I$103)*MIN(E$3-$O$2,$Q$2)/$Q$2))</f>
        <v>9016.640625</v>
      </c>
      <c r="F114" s="15" t="n">
        <f aca="false">E114*(1+IF(F$3&lt;=$O$2,$D114,$D114-($D114-$I$103)*MIN(F$3-$O$2,$Q$2)/$Q$2))</f>
        <v>9963.21178436279</v>
      </c>
      <c r="G114" s="15" t="n">
        <f aca="false">F114*(1+IF(G$3&lt;=$O$2,$D114,$D114-($D114-$I$103)*MIN(G$3-$O$2,$Q$2)/$Q$2))</f>
        <v>11009.1544277407</v>
      </c>
      <c r="H114" s="15" t="n">
        <f aca="false">G114*(1+IF(H$3&lt;=$O$2,$D114,$D114-($D114-$I$103)*MIN(H$3-$O$2,$Q$2)/$Q$2))</f>
        <v>12164.9006201061</v>
      </c>
      <c r="I114" s="15" t="n">
        <f aca="false">H114*(1+IF(I$3&lt;=$O$2,$D114,$D114-($D114-$I$103)*MIN(I$3-$O$2,$Q$2)/$Q$2))</f>
        <v>13441.977589502</v>
      </c>
      <c r="J114" s="15" t="n">
        <f aca="false">I114*(1+IF(J$3&lt;=$O$2,$D114,$D114-($D114-$I$103)*MIN(J$3-$O$2,$Q$2)/$Q$2))</f>
        <v>14646.9752692769</v>
      </c>
      <c r="K114" s="15" t="n">
        <f aca="false">J114*(1+IF(K$3&lt;=$O$2,$D114,$D114-($D114-$I$103)*MIN(K$3-$O$2,$Q$2)/$Q$2))</f>
        <v>15735.3668270481</v>
      </c>
      <c r="L114" s="15" t="n">
        <f aca="false">K114*(1+IF(L$3&lt;=$O$2,$D114,$D114-($D114-$I$103)*MIN(L$3-$O$2,$Q$2)/$Q$2))</f>
        <v>16663.3158299541</v>
      </c>
      <c r="M114" s="15" t="n">
        <f aca="false">L114*(1+IF(M$3&lt;=$O$2,$D114,$D114-($D114-$I$103)*MIN(M$3-$O$2,$Q$2)/$Q$2))</f>
        <v>17390.4378416958</v>
      </c>
      <c r="N114" s="15" t="n">
        <f aca="false">M114*(1+IF(N$3&lt;=$O$2,$D114,$D114-($D114-$I$103)*MIN(N$3-$O$2,$Q$2)/$Q$2))</f>
        <v>17882.5872326158</v>
      </c>
      <c r="O114" s="15" t="n">
        <f aca="false">SUMPRODUCT(E114:N114,1/(1+$F$103)^$E$3:$N$3)*$E$2</f>
        <v>32558.265382259</v>
      </c>
      <c r="P114" s="15" t="n">
        <f aca="false">N114*$E$2*(1+$I$103)/($F$103-$I$103)/(1+$F$103)^$N$3</f>
        <v>53989.827505141</v>
      </c>
      <c r="Q114" s="15" t="n">
        <f aca="false">O114+P114</f>
        <v>86548.0928874001</v>
      </c>
      <c r="R114" s="15" t="n">
        <f aca="false">Q114-$G$2+$I$2</f>
        <v>80428.0928874001</v>
      </c>
      <c r="S114" s="42" t="n">
        <f aca="false">R114/$K$2</f>
        <v>464.419060442315</v>
      </c>
      <c r="T114" s="43" t="n">
        <f aca="false">S114-$M$2</f>
        <v>0.277704627555522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0.103515625</v>
      </c>
      <c r="C115" s="25" t="n">
        <f aca="false">IF(T114&gt;0,D114,C114)</f>
        <v>0.10498046875</v>
      </c>
      <c r="D115" s="41" t="n">
        <f aca="false">(B115+C115)/2</f>
        <v>0.104248046875</v>
      </c>
      <c r="E115" s="15" t="n">
        <f aca="false">$C$2*(1+IF(E$3&lt;=$O$2,$D115,$D115-($D115-$I$103)*MIN(E$3-$O$2,$Q$2)/$Q$2))</f>
        <v>9010.6640625</v>
      </c>
      <c r="F115" s="15" t="n">
        <f aca="false">E115*(1+IF(F$3&lt;=$O$2,$D115,$D115-($D115-$I$103)*MIN(F$3-$O$2,$Q$2)/$Q$2))</f>
        <v>9950.00819206238</v>
      </c>
      <c r="G115" s="15" t="n">
        <f aca="false">F115*(1+IF(G$3&lt;=$O$2,$D115,$D115-($D115-$I$103)*MIN(G$3-$O$2,$Q$2)/$Q$2))</f>
        <v>10987.2771124751</v>
      </c>
      <c r="H115" s="15" t="n">
        <f aca="false">G115*(1+IF(H$3&lt;=$O$2,$D115,$D115-($D115-$I$103)*MIN(H$3-$O$2,$Q$2)/$Q$2))</f>
        <v>12132.6792919251</v>
      </c>
      <c r="I115" s="15" t="n">
        <f aca="false">H115*(1+IF(I$3&lt;=$O$2,$D115,$D115-($D115-$I$103)*MIN(I$3-$O$2,$Q$2)/$Q$2))</f>
        <v>13397.487411469</v>
      </c>
      <c r="J115" s="15" t="n">
        <f aca="false">I115*(1+IF(J$3&lt;=$O$2,$D115,$D115-($D115-$I$103)*MIN(J$3-$O$2,$Q$2)/$Q$2))</f>
        <v>14590.6467067603</v>
      </c>
      <c r="K115" s="15" t="n">
        <f aca="false">J115*(1+IF(K$3&lt;=$O$2,$D115,$D115-($D115-$I$103)*MIN(K$3-$O$2,$Q$2)/$Q$2))</f>
        <v>15668.4406805746</v>
      </c>
      <c r="L115" s="15" t="n">
        <f aca="false">K115*(1+IF(L$3&lt;=$O$2,$D115,$D115-($D115-$I$103)*MIN(L$3-$O$2,$Q$2)/$Q$2))</f>
        <v>16587.8525387415</v>
      </c>
      <c r="M115" s="15" t="n">
        <f aca="false">L115*(1+IF(M$3&lt;=$O$2,$D115,$D115-($D115-$I$103)*MIN(M$3-$O$2,$Q$2)/$Q$2))</f>
        <v>17309.2517660214</v>
      </c>
      <c r="N115" s="15" t="n">
        <f aca="false">M115*(1+IF(N$3&lt;=$O$2,$D115,$D115-($D115-$I$103)*MIN(N$3-$O$2,$Q$2)/$Q$2))</f>
        <v>17799.1035909998</v>
      </c>
      <c r="O115" s="15" t="n">
        <f aca="false">SUMPRODUCT(E115:N115,1/(1+$F$103)^$E$3:$N$3)*$E$2</f>
        <v>32454.3821690484</v>
      </c>
      <c r="P115" s="15" t="n">
        <f aca="false">N115*$E$2*(1+$I$103)/($F$103-$I$103)/(1+$F$103)^$N$3</f>
        <v>53737.7796693488</v>
      </c>
      <c r="Q115" s="15" t="n">
        <f aca="false">O115+P115</f>
        <v>86192.1618383971</v>
      </c>
      <c r="R115" s="15" t="n">
        <f aca="false">Q115-$G$2+$I$2</f>
        <v>80072.1618383971</v>
      </c>
      <c r="S115" s="42" t="n">
        <f aca="false">R115/$K$2</f>
        <v>462.363793962335</v>
      </c>
      <c r="T115" s="43" t="n">
        <f aca="false">S115-$M$2</f>
        <v>-1.77756185242447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0.104248046875</v>
      </c>
      <c r="C116" s="25" t="n">
        <f aca="false">IF(T115&gt;0,D115,C115)</f>
        <v>0.10498046875</v>
      </c>
      <c r="D116" s="41" t="n">
        <f aca="false">(B116+C116)/2</f>
        <v>0.1046142578125</v>
      </c>
      <c r="E116" s="15" t="n">
        <f aca="false">$C$2*(1+IF(E$3&lt;=$O$2,$D116,$D116-($D116-$I$103)*MIN(E$3-$O$2,$Q$2)/$Q$2))</f>
        <v>9013.65234375</v>
      </c>
      <c r="F116" s="15" t="n">
        <f aca="false">E116*(1+IF(F$3&lt;=$O$2,$D116,$D116-($D116-$I$103)*MIN(F$3-$O$2,$Q$2)/$Q$2))</f>
        <v>9956.60889387131</v>
      </c>
      <c r="G116" s="15" t="n">
        <f aca="false">F116*(1+IF(G$3&lt;=$O$2,$D116,$D116-($D116-$I$103)*MIN(G$3-$O$2,$Q$2)/$Q$2))</f>
        <v>10998.212143633</v>
      </c>
      <c r="H116" s="15" t="n">
        <f aca="false">G116*(1+IF(H$3&lt;=$O$2,$D116,$D116-($D116-$I$103)*MIN(H$3-$O$2,$Q$2)/$Q$2))</f>
        <v>12148.7819443036</v>
      </c>
      <c r="I116" s="15" t="n">
        <f aca="false">H116*(1+IF(I$3&lt;=$O$2,$D116,$D116-($D116-$I$103)*MIN(I$3-$O$2,$Q$2)/$Q$2))</f>
        <v>13419.7177507328</v>
      </c>
      <c r="J116" s="15" t="n">
        <f aca="false">I116*(1+IF(J$3&lt;=$O$2,$D116,$D116-($D116-$I$103)*MIN(J$3-$O$2,$Q$2)/$Q$2))</f>
        <v>14618.7884032389</v>
      </c>
      <c r="K116" s="15" t="n">
        <f aca="false">J116*(1+IF(K$3&lt;=$O$2,$D116,$D116-($D116-$I$103)*MIN(K$3-$O$2,$Q$2)/$Q$2))</f>
        <v>15701.8733073172</v>
      </c>
      <c r="L116" s="15" t="n">
        <f aca="false">K116*(1+IF(L$3&lt;=$O$2,$D116,$D116-($D116-$I$103)*MIN(L$3-$O$2,$Q$2)/$Q$2))</f>
        <v>16625.5470449998</v>
      </c>
      <c r="M116" s="15" t="n">
        <f aca="false">L116*(1+IF(M$3&lt;=$O$2,$D116,$D116-($D116-$I$103)*MIN(M$3-$O$2,$Q$2)/$Q$2))</f>
        <v>17349.8032830665</v>
      </c>
      <c r="N116" s="15" t="n">
        <f aca="false">M116*(1+IF(N$3&lt;=$O$2,$D116,$D116-($D116-$I$103)*MIN(N$3-$O$2,$Q$2)/$Q$2))</f>
        <v>17840.8027159773</v>
      </c>
      <c r="O116" s="15" t="n">
        <f aca="false">SUMPRODUCT(E116:N116,1/(1+$F$103)^$E$3:$N$3)*$E$2</f>
        <v>32506.2826604826</v>
      </c>
      <c r="P116" s="15" t="n">
        <f aca="false">N116*$E$2*(1+$I$103)/($F$103-$I$103)/(1+$F$103)^$N$3</f>
        <v>53863.6746830491</v>
      </c>
      <c r="Q116" s="15" t="n">
        <f aca="false">O116+P116</f>
        <v>86369.9573435317</v>
      </c>
      <c r="R116" s="15" t="n">
        <f aca="false">Q116-$G$2+$I$2</f>
        <v>80249.9573435317</v>
      </c>
      <c r="S116" s="42" t="n">
        <f aca="false">R116/$K$2</f>
        <v>463.390445452891</v>
      </c>
      <c r="T116" s="43" t="n">
        <f aca="false">S116-$M$2</f>
        <v>-0.75091036186808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0.1046142578125</v>
      </c>
      <c r="C117" s="25" t="n">
        <f aca="false">IF(T116&gt;0,D116,C116)</f>
        <v>0.10498046875</v>
      </c>
      <c r="D117" s="41" t="n">
        <f aca="false">(B117+C117)/2</f>
        <v>0.10479736328125</v>
      </c>
      <c r="E117" s="15" t="n">
        <f aca="false">$C$2*(1+IF(E$3&lt;=$O$2,$D117,$D117-($D117-$I$103)*MIN(E$3-$O$2,$Q$2)/$Q$2))</f>
        <v>9015.146484375</v>
      </c>
      <c r="F117" s="15" t="n">
        <f aca="false">E117*(1+IF(F$3&lt;=$O$2,$D117,$D117-($D117-$I$103)*MIN(F$3-$O$2,$Q$2)/$Q$2))</f>
        <v>9959.91006553173</v>
      </c>
      <c r="G117" s="15" t="n">
        <f aca="false">F117*(1+IF(G$3&lt;=$O$2,$D117,$D117-($D117-$I$103)*MIN(G$3-$O$2,$Q$2)/$Q$2))</f>
        <v>11003.6823789178</v>
      </c>
      <c r="H117" s="15" t="n">
        <f aca="false">G117*(1+IF(H$3&lt;=$O$2,$D117,$D117-($D117-$I$103)*MIN(H$3-$O$2,$Q$2)/$Q$2))</f>
        <v>12156.8392786128</v>
      </c>
      <c r="I117" s="15" t="n">
        <f aca="false">H117*(1+IF(I$3&lt;=$O$2,$D117,$D117-($D117-$I$103)*MIN(I$3-$O$2,$Q$2)/$Q$2))</f>
        <v>13430.8439808453</v>
      </c>
      <c r="J117" s="15" t="n">
        <f aca="false">I117*(1+IF(J$3&lt;=$O$2,$D117,$D117-($D117-$I$103)*MIN(J$3-$O$2,$Q$2)/$Q$2))</f>
        <v>14632.8761864445</v>
      </c>
      <c r="K117" s="15" t="n">
        <f aca="false">J117*(1+IF(K$3&lt;=$O$2,$D117,$D117-($D117-$I$103)*MIN(K$3-$O$2,$Q$2)/$Q$2))</f>
        <v>15718.6124498112</v>
      </c>
      <c r="L117" s="15" t="n">
        <f aca="false">K117*(1+IF(L$3&lt;=$O$2,$D117,$D117-($D117-$I$103)*MIN(L$3-$O$2,$Q$2)/$Q$2))</f>
        <v>16644.4221448811</v>
      </c>
      <c r="M117" s="15" t="n">
        <f aca="false">L117*(1+IF(M$3&lt;=$O$2,$D117,$D117-($D117-$I$103)*MIN(M$3-$O$2,$Q$2)/$Q$2))</f>
        <v>17370.1101730659</v>
      </c>
      <c r="N117" s="15" t="n">
        <f aca="false">M117*(1+IF(N$3&lt;=$O$2,$D117,$D117-($D117-$I$103)*MIN(N$3-$O$2,$Q$2)/$Q$2))</f>
        <v>17861.6842909636</v>
      </c>
      <c r="O117" s="15" t="n">
        <f aca="false">SUMPRODUCT(E117:N117,1/(1+$F$103)^$E$3:$N$3)*$E$2</f>
        <v>32532.2637350631</v>
      </c>
      <c r="P117" s="15" t="n">
        <f aca="false">N117*$E$2*(1+$I$103)/($F$103-$I$103)/(1+$F$103)^$N$3</f>
        <v>53926.718839741</v>
      </c>
      <c r="Q117" s="15" t="n">
        <f aca="false">O117+P117</f>
        <v>86458.9825748041</v>
      </c>
      <c r="R117" s="15" t="n">
        <f aca="false">Q117-$G$2+$I$2</f>
        <v>80338.9825748041</v>
      </c>
      <c r="S117" s="42" t="n">
        <f aca="false">R117/$K$2</f>
        <v>463.904507303407</v>
      </c>
      <c r="T117" s="43" t="n">
        <f aca="false">S117-$M$2</f>
        <v>-0.236848511352036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0.10479736328125</v>
      </c>
      <c r="C118" s="25" t="n">
        <f aca="false">IF(T117&gt;0,D117,C117)</f>
        <v>0.10498046875</v>
      </c>
      <c r="D118" s="41" t="n">
        <f aca="false">(B118+C118)/2</f>
        <v>0.104888916015625</v>
      </c>
      <c r="E118" s="15" t="n">
        <f aca="false">$C$2*(1+IF(E$3&lt;=$O$2,$D118,$D118-($D118-$I$103)*MIN(E$3-$O$2,$Q$2)/$Q$2))</f>
        <v>9015.8935546875</v>
      </c>
      <c r="F118" s="15" t="n">
        <f aca="false">E118*(1+IF(F$3&lt;=$O$2,$D118,$D118-($D118-$I$103)*MIN(F$3-$O$2,$Q$2)/$Q$2))</f>
        <v>9961.56085655093</v>
      </c>
      <c r="G118" s="15" t="n">
        <f aca="false">F118*(1+IF(G$3&lt;=$O$2,$D118,$D118-($D118-$I$103)*MIN(G$3-$O$2,$Q$2)/$Q$2))</f>
        <v>11006.4181766182</v>
      </c>
      <c r="H118" s="15" t="n">
        <f aca="false">G118*(1+IF(H$3&lt;=$O$2,$D118,$D118-($D118-$I$103)*MIN(H$3-$O$2,$Q$2)/$Q$2))</f>
        <v>12160.8694483784</v>
      </c>
      <c r="I118" s="15" t="n">
        <f aca="false">H118*(1+IF(I$3&lt;=$O$2,$D118,$D118-($D118-$I$103)*MIN(I$3-$O$2,$Q$2)/$Q$2))</f>
        <v>13436.4098626263</v>
      </c>
      <c r="J118" s="15" t="n">
        <f aca="false">I118*(1+IF(J$3&lt;=$O$2,$D118,$D118-($D118-$I$103)*MIN(J$3-$O$2,$Q$2)/$Q$2))</f>
        <v>14639.9243149548</v>
      </c>
      <c r="K118" s="15" t="n">
        <f aca="false">J118*(1+IF(K$3&lt;=$O$2,$D118,$D118-($D118-$I$103)*MIN(K$3-$O$2,$Q$2)/$Q$2))</f>
        <v>15726.987733368</v>
      </c>
      <c r="L118" s="15" t="n">
        <f aca="false">K118*(1+IF(L$3&lt;=$O$2,$D118,$D118-($D118-$I$103)*MIN(L$3-$O$2,$Q$2)/$Q$2))</f>
        <v>16653.8666632982</v>
      </c>
      <c r="M118" s="15" t="n">
        <f aca="false">L118*(1+IF(M$3&lt;=$O$2,$D118,$D118-($D118-$I$103)*MIN(M$3-$O$2,$Q$2)/$Q$2))</f>
        <v>17380.2714089116</v>
      </c>
      <c r="N118" s="15" t="n">
        <f aca="false">M118*(1+IF(N$3&lt;=$O$2,$D118,$D118-($D118-$I$103)*MIN(N$3-$O$2,$Q$2)/$Q$2))</f>
        <v>17872.1330897838</v>
      </c>
      <c r="O118" s="15" t="n">
        <f aca="false">SUMPRODUCT(E118:N118,1/(1+$F$103)^$E$3:$N$3)*$E$2</f>
        <v>32545.2619861442</v>
      </c>
      <c r="P118" s="15" t="n">
        <f aca="false">N118*$E$2*(1+$I$103)/($F$103-$I$103)/(1+$F$103)^$N$3</f>
        <v>53958.2651053121</v>
      </c>
      <c r="Q118" s="15" t="n">
        <f aca="false">O118+P118</f>
        <v>86503.5270914563</v>
      </c>
      <c r="R118" s="15" t="n">
        <f aca="false">Q118-$G$2+$I$2</f>
        <v>80383.5270914563</v>
      </c>
      <c r="S118" s="42" t="n">
        <f aca="false">R118/$K$2</f>
        <v>464.161722435941</v>
      </c>
      <c r="T118" s="43" t="n">
        <f aca="false">S118-$M$2</f>
        <v>0.0203666211820632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0.10479736328125</v>
      </c>
      <c r="C119" s="25" t="n">
        <f aca="false">IF(T118&gt;0,D118,C118)</f>
        <v>0.104888916015625</v>
      </c>
      <c r="D119" s="41" t="n">
        <f aca="false">(B119+C119)/2</f>
        <v>0.104843139648438</v>
      </c>
      <c r="E119" s="15" t="n">
        <f aca="false">$C$2*(1+IF(E$3&lt;=$O$2,$D119,$D119-($D119-$I$103)*MIN(E$3-$O$2,$Q$2)/$Q$2))</f>
        <v>9015.52001953125</v>
      </c>
      <c r="F119" s="15" t="n">
        <f aca="false">E119*(1+IF(F$3&lt;=$O$2,$D119,$D119-($D119-$I$103)*MIN(F$3-$O$2,$Q$2)/$Q$2))</f>
        <v>9960.73544394225</v>
      </c>
      <c r="G119" s="15" t="n">
        <f aca="false">F119*(1+IF(G$3&lt;=$O$2,$D119,$D119-($D119-$I$103)*MIN(G$3-$O$2,$Q$2)/$Q$2))</f>
        <v>11005.0502210926</v>
      </c>
      <c r="H119" s="15" t="n">
        <f aca="false">G119*(1+IF(H$3&lt;=$O$2,$D119,$D119-($D119-$I$103)*MIN(H$3-$O$2,$Q$2)/$Q$2))</f>
        <v>12158.8542382607</v>
      </c>
      <c r="I119" s="15" t="n">
        <f aca="false">H119*(1+IF(I$3&lt;=$O$2,$D119,$D119-($D119-$I$103)*MIN(I$3-$O$2,$Q$2)/$Q$2))</f>
        <v>13433.6266911277</v>
      </c>
      <c r="J119" s="15" t="n">
        <f aca="false">I119*(1+IF(J$3&lt;=$O$2,$D119,$D119-($D119-$I$103)*MIN(J$3-$O$2,$Q$2)/$Q$2))</f>
        <v>14636.3998975298</v>
      </c>
      <c r="K119" s="15" t="n">
        <f aca="false">J119*(1+IF(K$3&lt;=$O$2,$D119,$D119-($D119-$I$103)*MIN(K$3-$O$2,$Q$2)/$Q$2))</f>
        <v>15722.7996154141</v>
      </c>
      <c r="L119" s="15" t="n">
        <f aca="false">K119*(1+IF(L$3&lt;=$O$2,$D119,$D119-($D119-$I$103)*MIN(L$3-$O$2,$Q$2)/$Q$2))</f>
        <v>16649.1438231811</v>
      </c>
      <c r="M119" s="15" t="n">
        <f aca="false">L119*(1+IF(M$3&lt;=$O$2,$D119,$D119-($D119-$I$103)*MIN(M$3-$O$2,$Q$2)/$Q$2))</f>
        <v>17375.190141514</v>
      </c>
      <c r="N119" s="15" t="n">
        <f aca="false">M119*(1+IF(N$3&lt;=$O$2,$D119,$D119-($D119-$I$103)*MIN(N$3-$O$2,$Q$2)/$Q$2))</f>
        <v>17866.9080225189</v>
      </c>
      <c r="O119" s="15" t="n">
        <f aca="false">SUMPRODUCT(E119:N119,1/(1+$F$103)^$E$3:$N$3)*$E$2</f>
        <v>32538.762217592</v>
      </c>
      <c r="P119" s="15" t="n">
        <f aca="false">N119*$E$2*(1+$I$103)/($F$103-$I$103)/(1+$F$103)^$N$3</f>
        <v>53942.489956187</v>
      </c>
      <c r="Q119" s="15" t="n">
        <f aca="false">O119+P119</f>
        <v>86481.2521737789</v>
      </c>
      <c r="R119" s="15" t="n">
        <f aca="false">Q119-$G$2+$I$2</f>
        <v>80361.2521737789</v>
      </c>
      <c r="S119" s="42" t="n">
        <f aca="false">R119/$K$2</f>
        <v>464.033099513679</v>
      </c>
      <c r="T119" s="43" t="n">
        <f aca="false">S119-$M$2</f>
        <v>-0.10825630108036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0.104843139648438</v>
      </c>
      <c r="C120" s="25" t="n">
        <f aca="false">IF(T119&gt;0,D119,C119)</f>
        <v>0.104888916015625</v>
      </c>
      <c r="D120" s="41" t="n">
        <f aca="false">(B120+C120)/2</f>
        <v>0.104866027832031</v>
      </c>
      <c r="E120" s="15" t="n">
        <f aca="false">$C$2*(1+IF(E$3&lt;=$O$2,$D120,$D120-($D120-$I$103)*MIN(E$3-$O$2,$Q$2)/$Q$2))</f>
        <v>9015.70678710938</v>
      </c>
      <c r="F120" s="15" t="n">
        <f aca="false">E120*(1+IF(F$3&lt;=$O$2,$D120,$D120-($D120-$I$103)*MIN(F$3-$O$2,$Q$2)/$Q$2))</f>
        <v>9961.14814597182</v>
      </c>
      <c r="G120" s="15" t="n">
        <f aca="false">F120*(1+IF(G$3&lt;=$O$2,$D120,$D120-($D120-$I$103)*MIN(G$3-$O$2,$Q$2)/$Q$2))</f>
        <v>11005.7341846863</v>
      </c>
      <c r="H120" s="15" t="n">
        <f aca="false">G120*(1+IF(H$3&lt;=$O$2,$D120,$D120-($D120-$I$103)*MIN(H$3-$O$2,$Q$2)/$Q$2))</f>
        <v>12159.8618120095</v>
      </c>
      <c r="I120" s="15" t="n">
        <f aca="false">H120*(1+IF(I$3&lt;=$O$2,$D120,$D120-($D120-$I$103)*MIN(I$3-$O$2,$Q$2)/$Q$2))</f>
        <v>13435.0182192214</v>
      </c>
      <c r="J120" s="15" t="n">
        <f aca="false">I120*(1+IF(J$3&lt;=$O$2,$D120,$D120-($D120-$I$103)*MIN(J$3-$O$2,$Q$2)/$Q$2))</f>
        <v>14638.1620179428</v>
      </c>
      <c r="K120" s="15" t="n">
        <f aca="false">J120*(1+IF(K$3&lt;=$O$2,$D120,$D120-($D120-$I$103)*MIN(K$3-$O$2,$Q$2)/$Q$2))</f>
        <v>15724.8935553359</v>
      </c>
      <c r="L120" s="15" t="n">
        <f aca="false">K120*(1+IF(L$3&lt;=$O$2,$D120,$D120-($D120-$I$103)*MIN(L$3-$O$2,$Q$2)/$Q$2))</f>
        <v>16651.5050979973</v>
      </c>
      <c r="M120" s="15" t="n">
        <f aca="false">L120*(1+IF(M$3&lt;=$O$2,$D120,$D120-($D120-$I$103)*MIN(M$3-$O$2,$Q$2)/$Q$2))</f>
        <v>17377.7306128263</v>
      </c>
      <c r="N120" s="15" t="n">
        <f aca="false">M120*(1+IF(N$3&lt;=$O$2,$D120,$D120-($D120-$I$103)*MIN(N$3-$O$2,$Q$2)/$Q$2))</f>
        <v>17869.5203891693</v>
      </c>
      <c r="O120" s="15" t="n">
        <f aca="false">SUMPRODUCT(E120:N120,1/(1+$F$103)^$E$3:$N$3)*$E$2</f>
        <v>32542.0119411005</v>
      </c>
      <c r="P120" s="15" t="n">
        <f aca="false">N120*$E$2*(1+$I$103)/($F$103-$I$103)/(1+$F$103)^$N$3</f>
        <v>53950.3770266093</v>
      </c>
      <c r="Q120" s="15" t="n">
        <f aca="false">O120+P120</f>
        <v>86492.3889677098</v>
      </c>
      <c r="R120" s="15" t="n">
        <f aca="false">Q120-$G$2+$I$2</f>
        <v>80372.3889677098</v>
      </c>
      <c r="S120" s="42" t="n">
        <f aca="false">R120/$K$2</f>
        <v>464.097407135407</v>
      </c>
      <c r="T120" s="43" t="n">
        <f aca="false">S120-$M$2</f>
        <v>-0.0439486793523543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0.104866027832031</v>
      </c>
      <c r="C121" s="25" t="n">
        <f aca="false">IF(T120&gt;0,D120,C120)</f>
        <v>0.104888916015625</v>
      </c>
      <c r="D121" s="41" t="n">
        <f aca="false">(B121+C121)/2</f>
        <v>0.104877471923828</v>
      </c>
      <c r="E121" s="15" t="n">
        <f aca="false">$C$2*(1+IF(E$3&lt;=$O$2,$D121,$D121-($D121-$I$103)*MIN(E$3-$O$2,$Q$2)/$Q$2))</f>
        <v>9015.80017089844</v>
      </c>
      <c r="F121" s="15" t="n">
        <f aca="false">E121*(1+IF(F$3&lt;=$O$2,$D121,$D121-($D121-$I$103)*MIN(F$3-$O$2,$Q$2)/$Q$2))</f>
        <v>9961.35450019268</v>
      </c>
      <c r="G121" s="15" t="n">
        <f aca="false">F121*(1+IF(G$3&lt;=$O$2,$D121,$D121-($D121-$I$103)*MIN(G$3-$O$2,$Q$2)/$Q$2))</f>
        <v>11006.0761771099</v>
      </c>
      <c r="H121" s="15" t="n">
        <f aca="false">G121*(1+IF(H$3&lt;=$O$2,$D121,$D121-($D121-$I$103)*MIN(H$3-$O$2,$Q$2)/$Q$2))</f>
        <v>12160.3656223663</v>
      </c>
      <c r="I121" s="15" t="n">
        <f aca="false">H121*(1+IF(I$3&lt;=$O$2,$D121,$D121-($D121-$I$103)*MIN(I$3-$O$2,$Q$2)/$Q$2))</f>
        <v>13435.7140265095</v>
      </c>
      <c r="J121" s="15" t="n">
        <f aca="false">I121*(1+IF(J$3&lt;=$O$2,$D121,$D121-($D121-$I$103)*MIN(J$3-$O$2,$Q$2)/$Q$2))</f>
        <v>14639.043144373</v>
      </c>
      <c r="K121" s="15" t="n">
        <f aca="false">J121*(1+IF(K$3&lt;=$O$2,$D121,$D121-($D121-$I$103)*MIN(K$3-$O$2,$Q$2)/$Q$2))</f>
        <v>15725.9406145867</v>
      </c>
      <c r="L121" s="15" t="n">
        <f aca="false">K121*(1+IF(L$3&lt;=$O$2,$D121,$D121-($D121-$I$103)*MIN(L$3-$O$2,$Q$2)/$Q$2))</f>
        <v>16652.6858443353</v>
      </c>
      <c r="M121" s="15" t="n">
        <f aca="false">L121*(1+IF(M$3&lt;=$O$2,$D121,$D121-($D121-$I$103)*MIN(M$3-$O$2,$Q$2)/$Q$2))</f>
        <v>17379.0009702701</v>
      </c>
      <c r="N121" s="15" t="n">
        <f aca="false">M121*(1+IF(N$3&lt;=$O$2,$D121,$D121-($D121-$I$103)*MIN(N$3-$O$2,$Q$2)/$Q$2))</f>
        <v>17870.8266977288</v>
      </c>
      <c r="O121" s="15" t="n">
        <f aca="false">SUMPRODUCT(E121:N121,1/(1+$F$103)^$E$3:$N$3)*$E$2</f>
        <v>32543.6369234286</v>
      </c>
      <c r="P121" s="15" t="n">
        <f aca="false">N121*$E$2*(1+$I$103)/($F$103-$I$103)/(1+$F$103)^$N$3</f>
        <v>53954.3209399187</v>
      </c>
      <c r="Q121" s="15" t="n">
        <f aca="false">O121+P121</f>
        <v>86497.9578633473</v>
      </c>
      <c r="R121" s="15" t="n">
        <f aca="false">Q121-$G$2+$I$2</f>
        <v>80377.9578633473</v>
      </c>
      <c r="S121" s="42" t="n">
        <f aca="false">R121/$K$2</f>
        <v>464.129563825773</v>
      </c>
      <c r="T121" s="43" t="n">
        <f aca="false">S121-$M$2</f>
        <v>-0.0117919889865448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0.104877471923828</v>
      </c>
      <c r="C122" s="25" t="n">
        <f aca="false">IF(T121&gt;0,D121,C121)</f>
        <v>0.104888916015625</v>
      </c>
      <c r="D122" s="41" t="n">
        <f aca="false">(B122+C122)/2</f>
        <v>0.104883193969727</v>
      </c>
      <c r="E122" s="15" t="n">
        <f aca="false">$C$2*(1+IF(E$3&lt;=$O$2,$D122,$D122-($D122-$I$103)*MIN(E$3-$O$2,$Q$2)/$Q$2))</f>
        <v>9015.84686279297</v>
      </c>
      <c r="F122" s="15" t="n">
        <f aca="false">E122*(1+IF(F$3&lt;=$O$2,$D122,$D122-($D122-$I$103)*MIN(F$3-$O$2,$Q$2)/$Q$2))</f>
        <v>9961.45767810463</v>
      </c>
      <c r="G122" s="15" t="n">
        <f aca="false">F122*(1+IF(G$3&lt;=$O$2,$D122,$D122-($D122-$I$103)*MIN(G$3-$O$2,$Q$2)/$Q$2))</f>
        <v>11006.2471759785</v>
      </c>
      <c r="H122" s="15" t="n">
        <f aca="false">G122*(1+IF(H$3&lt;=$O$2,$D122,$D122-($D122-$I$103)*MIN(H$3-$O$2,$Q$2)/$Q$2))</f>
        <v>12160.6175334154</v>
      </c>
      <c r="I122" s="15" t="n">
        <f aca="false">H122*(1+IF(I$3&lt;=$O$2,$D122,$D122-($D122-$I$103)*MIN(I$3-$O$2,$Q$2)/$Q$2))</f>
        <v>13436.0619409643</v>
      </c>
      <c r="J122" s="15" t="n">
        <f aca="false">I122*(1+IF(J$3&lt;=$O$2,$D122,$D122-($D122-$I$103)*MIN(J$3-$O$2,$Q$2)/$Q$2))</f>
        <v>14639.4837241449</v>
      </c>
      <c r="K122" s="15" t="n">
        <f aca="false">J122*(1+IF(K$3&lt;=$O$2,$D122,$D122-($D122-$I$103)*MIN(K$3-$O$2,$Q$2)/$Q$2))</f>
        <v>15726.4641665359</v>
      </c>
      <c r="L122" s="15" t="n">
        <f aca="false">K122*(1+IF(L$3&lt;=$O$2,$D122,$D122-($D122-$I$103)*MIN(L$3-$O$2,$Q$2)/$Q$2))</f>
        <v>16653.2762447383</v>
      </c>
      <c r="M122" s="15" t="n">
        <f aca="false">L122*(1+IF(M$3&lt;=$O$2,$D122,$D122-($D122-$I$103)*MIN(M$3-$O$2,$Q$2)/$Q$2))</f>
        <v>17379.6361794409</v>
      </c>
      <c r="N122" s="15" t="n">
        <f aca="false">M122*(1+IF(N$3&lt;=$O$2,$D122,$D122-($D122-$I$103)*MIN(N$3-$O$2,$Q$2)/$Q$2))</f>
        <v>17871.4798833191</v>
      </c>
      <c r="O122" s="15" t="n">
        <f aca="false">SUMPRODUCT(E122:N122,1/(1+$F$103)^$E$3:$N$3)*$E$2</f>
        <v>32544.4494447378</v>
      </c>
      <c r="P122" s="15" t="n">
        <f aca="false">N122*$E$2*(1+$I$103)/($F$103-$I$103)/(1+$F$103)^$N$3</f>
        <v>53956.292991104</v>
      </c>
      <c r="Q122" s="15" t="n">
        <f aca="false">O122+P122</f>
        <v>86500.7424358418</v>
      </c>
      <c r="R122" s="15" t="n">
        <f aca="false">Q122-$G$2+$I$2</f>
        <v>80380.7424358418</v>
      </c>
      <c r="S122" s="42" t="n">
        <f aca="false">R122/$K$2</f>
        <v>464.145642890875</v>
      </c>
      <c r="T122" s="43" t="n">
        <f aca="false">S122-$M$2</f>
        <v>0.0042870761160998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0.104877471923828</v>
      </c>
      <c r="C123" s="25" t="n">
        <f aca="false">IF(T122&gt;0,D122,C122)</f>
        <v>0.104883193969727</v>
      </c>
      <c r="D123" s="41" t="n">
        <f aca="false">(B123+C123)/2</f>
        <v>0.104880332946777</v>
      </c>
      <c r="E123" s="15" t="n">
        <f aca="false">$C$2*(1+IF(E$3&lt;=$O$2,$D123,$D123-($D123-$I$103)*MIN(E$3-$O$2,$Q$2)/$Q$2))</f>
        <v>9015.8235168457</v>
      </c>
      <c r="F123" s="15" t="n">
        <f aca="false">E123*(1+IF(F$3&lt;=$O$2,$D123,$D123-($D123-$I$103)*MIN(F$3-$O$2,$Q$2)/$Q$2))</f>
        <v>9961.40608908187</v>
      </c>
      <c r="G123" s="15" t="n">
        <f aca="false">F123*(1+IF(G$3&lt;=$O$2,$D123,$D123-($D123-$I$103)*MIN(G$3-$O$2,$Q$2)/$Q$2))</f>
        <v>11006.1616763228</v>
      </c>
      <c r="H123" s="15" t="n">
        <f aca="false">G123*(1+IF(H$3&lt;=$O$2,$D123,$D123-($D123-$I$103)*MIN(H$3-$O$2,$Q$2)/$Q$2))</f>
        <v>12160.4915774016</v>
      </c>
      <c r="I123" s="15" t="n">
        <f aca="false">H123*(1+IF(I$3&lt;=$O$2,$D123,$D123-($D123-$I$103)*MIN(I$3-$O$2,$Q$2)/$Q$2))</f>
        <v>13435.887982836</v>
      </c>
      <c r="J123" s="15" t="n">
        <f aca="false">I123*(1+IF(J$3&lt;=$O$2,$D123,$D123-($D123-$I$103)*MIN(J$3-$O$2,$Q$2)/$Q$2))</f>
        <v>14639.2634328792</v>
      </c>
      <c r="K123" s="15" t="n">
        <f aca="false">J123*(1+IF(K$3&lt;=$O$2,$D123,$D123-($D123-$I$103)*MIN(K$3-$O$2,$Q$2)/$Q$2))</f>
        <v>15726.202388701</v>
      </c>
      <c r="L123" s="15" t="n">
        <f aca="false">K123*(1+IF(L$3&lt;=$O$2,$D123,$D123-($D123-$I$103)*MIN(L$3-$O$2,$Q$2)/$Q$2))</f>
        <v>16652.9810422673</v>
      </c>
      <c r="M123" s="15" t="n">
        <f aca="false">L123*(1+IF(M$3&lt;=$O$2,$D123,$D123-($D123-$I$103)*MIN(M$3-$O$2,$Q$2)/$Q$2))</f>
        <v>17379.3185723181</v>
      </c>
      <c r="N123" s="15" t="n">
        <f aca="false">M123*(1+IF(N$3&lt;=$O$2,$D123,$D123-($D123-$I$103)*MIN(N$3-$O$2,$Q$2)/$Q$2))</f>
        <v>17871.1532879147</v>
      </c>
      <c r="O123" s="15" t="n">
        <f aca="false">SUMPRODUCT(E123:N123,1/(1+$F$103)^$E$3:$N$3)*$E$2</f>
        <v>32544.043181571</v>
      </c>
      <c r="P123" s="15" t="n">
        <f aca="false">N123*$E$2*(1+$I$103)/($F$103-$I$103)/(1+$F$103)^$N$3</f>
        <v>53955.3069576336</v>
      </c>
      <c r="Q123" s="15" t="n">
        <f aca="false">O123+P123</f>
        <v>86499.3501392047</v>
      </c>
      <c r="R123" s="15" t="n">
        <f aca="false">Q123-$G$2+$I$2</f>
        <v>80379.3501392047</v>
      </c>
      <c r="S123" s="42" t="n">
        <f aca="false">R123/$K$2</f>
        <v>464.137603298329</v>
      </c>
      <c r="T123" s="43" t="n">
        <f aca="false">S123-$M$2</f>
        <v>-0.00375251642981311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0.104880332946777</v>
      </c>
      <c r="C124" s="25" t="n">
        <f aca="false">IF(T123&gt;0,D123,C123)</f>
        <v>0.104883193969727</v>
      </c>
      <c r="D124" s="41" t="n">
        <f aca="false">(B124+C124)/2</f>
        <v>0.104881763458252</v>
      </c>
      <c r="E124" s="15" t="n">
        <f aca="false">$C$2*(1+IF(E$3&lt;=$O$2,$D124,$D124-($D124-$I$103)*MIN(E$3-$O$2,$Q$2)/$Q$2))</f>
        <v>9015.83518981934</v>
      </c>
      <c r="F124" s="15" t="n">
        <f aca="false">E124*(1+IF(F$3&lt;=$O$2,$D124,$D124-($D124-$I$103)*MIN(F$3-$O$2,$Q$2)/$Q$2))</f>
        <v>9961.43188357655</v>
      </c>
      <c r="G124" s="15" t="n">
        <f aca="false">F124*(1+IF(G$3&lt;=$O$2,$D124,$D124-($D124-$I$103)*MIN(G$3-$O$2,$Q$2)/$Q$2))</f>
        <v>11006.2044260953</v>
      </c>
      <c r="H124" s="15" t="n">
        <f aca="false">G124*(1+IF(H$3&lt;=$O$2,$D124,$D124-($D124-$I$103)*MIN(H$3-$O$2,$Q$2)/$Q$2))</f>
        <v>12160.5545552862</v>
      </c>
      <c r="I124" s="15" t="n">
        <f aca="false">H124*(1+IF(I$3&lt;=$O$2,$D124,$D124-($D124-$I$103)*MIN(I$3-$O$2,$Q$2)/$Q$2))</f>
        <v>13435.9749616749</v>
      </c>
      <c r="J124" s="15" t="n">
        <f aca="false">I124*(1+IF(J$3&lt;=$O$2,$D124,$D124-($D124-$I$103)*MIN(J$3-$O$2,$Q$2)/$Q$2))</f>
        <v>14639.3735781671</v>
      </c>
      <c r="K124" s="15" t="n">
        <f aca="false">J124*(1+IF(K$3&lt;=$O$2,$D124,$D124-($D124-$I$103)*MIN(K$3-$O$2,$Q$2)/$Q$2))</f>
        <v>15726.3332771533</v>
      </c>
      <c r="L124" s="15" t="n">
        <f aca="false">K124*(1+IF(L$3&lt;=$O$2,$D124,$D124-($D124-$I$103)*MIN(L$3-$O$2,$Q$2)/$Q$2))</f>
        <v>16653.1286429354</v>
      </c>
      <c r="M124" s="15" t="n">
        <f aca="false">L124*(1+IF(M$3&lt;=$O$2,$D124,$D124-($D124-$I$103)*MIN(M$3-$O$2,$Q$2)/$Q$2))</f>
        <v>17379.4773752451</v>
      </c>
      <c r="N124" s="15" t="n">
        <f aca="false">M124*(1+IF(N$3&lt;=$O$2,$D124,$D124-($D124-$I$103)*MIN(N$3-$O$2,$Q$2)/$Q$2))</f>
        <v>17871.3165849645</v>
      </c>
      <c r="O124" s="15" t="n">
        <f aca="false">SUMPRODUCT(E124:N124,1/(1+$F$103)^$E$3:$N$3)*$E$2</f>
        <v>32544.2463125264</v>
      </c>
      <c r="P124" s="15" t="n">
        <f aca="false">N124*$E$2*(1+$I$103)/($F$103-$I$103)/(1+$F$103)^$N$3</f>
        <v>53955.7999723994</v>
      </c>
      <c r="Q124" s="15" t="n">
        <f aca="false">O124+P124</f>
        <v>86500.0462849258</v>
      </c>
      <c r="R124" s="15" t="n">
        <f aca="false">Q124-$G$2+$I$2</f>
        <v>80380.0462849258</v>
      </c>
      <c r="S124" s="42" t="n">
        <f aca="false">R124/$K$2</f>
        <v>464.141623079604</v>
      </c>
      <c r="T124" s="43" t="n">
        <f aca="false">S124-$M$2</f>
        <v>0.00026726484441042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0.104880332946777</v>
      </c>
      <c r="C125" s="25" t="n">
        <f aca="false">IF(T124&gt;0,D124,C124)</f>
        <v>0.104881763458252</v>
      </c>
      <c r="D125" s="41" t="n">
        <f aca="false">(B125+C125)/2</f>
        <v>0.104881048202515</v>
      </c>
      <c r="E125" s="15" t="n">
        <f aca="false">$C$2*(1+IF(E$3&lt;=$O$2,$D125,$D125-($D125-$I$103)*MIN(E$3-$O$2,$Q$2)/$Q$2))</f>
        <v>9015.82935333252</v>
      </c>
      <c r="F125" s="15" t="n">
        <f aca="false">E125*(1+IF(F$3&lt;=$O$2,$D125,$D125-($D125-$I$103)*MIN(F$3-$O$2,$Q$2)/$Q$2))</f>
        <v>9961.41898632503</v>
      </c>
      <c r="G125" s="15" t="n">
        <f aca="false">F125*(1+IF(G$3&lt;=$O$2,$D125,$D125-($D125-$I$103)*MIN(G$3-$O$2,$Q$2)/$Q$2))</f>
        <v>11006.1830511952</v>
      </c>
      <c r="H125" s="15" t="n">
        <f aca="false">G125*(1+IF(H$3&lt;=$O$2,$D125,$D125-($D125-$I$103)*MIN(H$3-$O$2,$Q$2)/$Q$2))</f>
        <v>12160.5230663133</v>
      </c>
      <c r="I125" s="15" t="n">
        <f aca="false">H125*(1+IF(I$3&lt;=$O$2,$D125,$D125-($D125-$I$103)*MIN(I$3-$O$2,$Q$2)/$Q$2))</f>
        <v>13435.9314721991</v>
      </c>
      <c r="J125" s="15" t="n">
        <f aca="false">I125*(1+IF(J$3&lt;=$O$2,$D125,$D125-($D125-$I$103)*MIN(J$3-$O$2,$Q$2)/$Q$2))</f>
        <v>14639.3185054369</v>
      </c>
      <c r="K125" s="15" t="n">
        <f aca="false">J125*(1+IF(K$3&lt;=$O$2,$D125,$D125-($D125-$I$103)*MIN(K$3-$O$2,$Q$2)/$Q$2))</f>
        <v>15726.2678328109</v>
      </c>
      <c r="L125" s="15" t="n">
        <f aca="false">K125*(1+IF(L$3&lt;=$O$2,$D125,$D125-($D125-$I$103)*MIN(L$3-$O$2,$Q$2)/$Q$2))</f>
        <v>16653.0548424595</v>
      </c>
      <c r="M125" s="15" t="n">
        <f aca="false">L125*(1+IF(M$3&lt;=$O$2,$D125,$D125-($D125-$I$103)*MIN(M$3-$O$2,$Q$2)/$Q$2))</f>
        <v>17379.397973623</v>
      </c>
      <c r="N125" s="15" t="n">
        <f aca="false">M125*(1+IF(N$3&lt;=$O$2,$D125,$D125-($D125-$I$103)*MIN(N$3-$O$2,$Q$2)/$Q$2))</f>
        <v>17871.2349362765</v>
      </c>
      <c r="O125" s="15" t="n">
        <f aca="false">SUMPRODUCT(E125:N125,1/(1+$F$103)^$E$3:$N$3)*$E$2</f>
        <v>32544.1447468917</v>
      </c>
      <c r="P125" s="15" t="n">
        <f aca="false">N125*$E$2*(1+$I$103)/($F$103-$I$103)/(1+$F$103)^$N$3</f>
        <v>53955.5534645242</v>
      </c>
      <c r="Q125" s="15" t="n">
        <f aca="false">O125+P125</f>
        <v>86499.6982114159</v>
      </c>
      <c r="R125" s="15" t="n">
        <f aca="false">Q125-$G$2+$I$2</f>
        <v>80379.6982114159</v>
      </c>
      <c r="S125" s="42" t="n">
        <f aca="false">R125/$K$2</f>
        <v>464.139613185217</v>
      </c>
      <c r="T125" s="43" t="n">
        <f aca="false">S125-$M$2</f>
        <v>-0.00174262954243432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0.104881048202515</v>
      </c>
      <c r="C126" s="25" t="n">
        <f aca="false">IF(T125&gt;0,D125,C125)</f>
        <v>0.104881763458252</v>
      </c>
      <c r="D126" s="41" t="n">
        <f aca="false">(B126+C126)/2</f>
        <v>0.104881405830383</v>
      </c>
      <c r="E126" s="15" t="n">
        <f aca="false">$C$2*(1+IF(E$3&lt;=$O$2,$D126,$D126-($D126-$I$103)*MIN(E$3-$O$2,$Q$2)/$Q$2))</f>
        <v>9015.83227157593</v>
      </c>
      <c r="F126" s="15" t="n">
        <f aca="false">E126*(1+IF(F$3&lt;=$O$2,$D126,$D126-($D126-$I$103)*MIN(F$3-$O$2,$Q$2)/$Q$2))</f>
        <v>9961.42543494975</v>
      </c>
      <c r="G126" s="15" t="n">
        <f aca="false">F126*(1+IF(G$3&lt;=$O$2,$D126,$D126-($D126-$I$103)*MIN(G$3-$O$2,$Q$2)/$Q$2))</f>
        <v>11006.1937386418</v>
      </c>
      <c r="H126" s="15" t="n">
        <f aca="false">G126*(1+IF(H$3&lt;=$O$2,$D126,$D126-($D126-$I$103)*MIN(H$3-$O$2,$Q$2)/$Q$2))</f>
        <v>12160.5388107921</v>
      </c>
      <c r="I126" s="15" t="n">
        <f aca="false">H126*(1+IF(I$3&lt;=$O$2,$D126,$D126-($D126-$I$103)*MIN(I$3-$O$2,$Q$2)/$Q$2))</f>
        <v>13435.953216923</v>
      </c>
      <c r="J126" s="15" t="n">
        <f aca="false">I126*(1+IF(J$3&lt;=$O$2,$D126,$D126-($D126-$I$103)*MIN(J$3-$O$2,$Q$2)/$Q$2))</f>
        <v>14639.3460417804</v>
      </c>
      <c r="K126" s="15" t="n">
        <f aca="false">J126*(1+IF(K$3&lt;=$O$2,$D126,$D126-($D126-$I$103)*MIN(K$3-$O$2,$Q$2)/$Q$2))</f>
        <v>15726.300554953</v>
      </c>
      <c r="L126" s="15" t="n">
        <f aca="false">K126*(1+IF(L$3&lt;=$O$2,$D126,$D126-($D126-$I$103)*MIN(L$3-$O$2,$Q$2)/$Q$2))</f>
        <v>16653.091742662</v>
      </c>
      <c r="M126" s="15" t="n">
        <f aca="false">L126*(1+IF(M$3&lt;=$O$2,$D126,$D126-($D126-$I$103)*MIN(M$3-$O$2,$Q$2)/$Q$2))</f>
        <v>17379.4376743944</v>
      </c>
      <c r="N126" s="15" t="n">
        <f aca="false">M126*(1+IF(N$3&lt;=$O$2,$D126,$D126-($D126-$I$103)*MIN(N$3-$O$2,$Q$2)/$Q$2))</f>
        <v>17871.2757605798</v>
      </c>
      <c r="O126" s="15" t="n">
        <f aca="false">SUMPRODUCT(E126:N126,1/(1+$F$103)^$E$3:$N$3)*$E$2</f>
        <v>32544.1955296698</v>
      </c>
      <c r="P126" s="15" t="n">
        <f aca="false">N126*$E$2*(1+$I$103)/($F$103-$I$103)/(1+$F$103)^$N$3</f>
        <v>53955.6767183387</v>
      </c>
      <c r="Q126" s="15" t="n">
        <f aca="false">O126+P126</f>
        <v>86499.8722480085</v>
      </c>
      <c r="R126" s="15" t="n">
        <f aca="false">Q126-$G$2+$I$2</f>
        <v>80379.8722480085</v>
      </c>
      <c r="S126" s="42" t="n">
        <f aca="false">R126/$K$2</f>
        <v>464.140618131473</v>
      </c>
      <c r="T126" s="43" t="n">
        <f aca="false">S126-$M$2</f>
        <v>-0.000737683286388347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0.104881405830383</v>
      </c>
      <c r="C127" s="25" t="n">
        <f aca="false">IF(T126&gt;0,D126,C126)</f>
        <v>0.104881763458252</v>
      </c>
      <c r="D127" s="41" t="n">
        <f aca="false">(B127+C127)/2</f>
        <v>0.104881584644318</v>
      </c>
      <c r="E127" s="15" t="n">
        <f aca="false">$C$2*(1+IF(E$3&lt;=$O$2,$D127,$D127-($D127-$I$103)*MIN(E$3-$O$2,$Q$2)/$Q$2))</f>
        <v>9015.83373069763</v>
      </c>
      <c r="F127" s="15" t="n">
        <f aca="false">E127*(1+IF(F$3&lt;=$O$2,$D127,$D127-($D127-$I$103)*MIN(F$3-$O$2,$Q$2)/$Q$2))</f>
        <v>9961.42865926289</v>
      </c>
      <c r="G127" s="15" t="n">
        <f aca="false">F127*(1+IF(G$3&lt;=$O$2,$D127,$D127-($D127-$I$103)*MIN(G$3-$O$2,$Q$2)/$Q$2))</f>
        <v>11006.1990823677</v>
      </c>
      <c r="H127" s="15" t="n">
        <f aca="false">G127*(1+IF(H$3&lt;=$O$2,$D127,$D127-($D127-$I$103)*MIN(H$3-$O$2,$Q$2)/$Q$2))</f>
        <v>12160.5466830373</v>
      </c>
      <c r="I127" s="15" t="n">
        <f aca="false">H127*(1+IF(I$3&lt;=$O$2,$D127,$D127-($D127-$I$103)*MIN(I$3-$O$2,$Q$2)/$Q$2))</f>
        <v>13435.9640892954</v>
      </c>
      <c r="J127" s="15" t="n">
        <f aca="false">I127*(1+IF(J$3&lt;=$O$2,$D127,$D127-($D127-$I$103)*MIN(J$3-$O$2,$Q$2)/$Q$2))</f>
        <v>14639.3598099684</v>
      </c>
      <c r="K127" s="15" t="n">
        <f aca="false">J127*(1+IF(K$3&lt;=$O$2,$D127,$D127-($D127-$I$103)*MIN(K$3-$O$2,$Q$2)/$Q$2))</f>
        <v>15726.3169160459</v>
      </c>
      <c r="L127" s="15" t="n">
        <f aca="false">K127*(1+IF(L$3&lt;=$O$2,$D127,$D127-($D127-$I$103)*MIN(L$3-$O$2,$Q$2)/$Q$2))</f>
        <v>16653.1101927898</v>
      </c>
      <c r="M127" s="15" t="n">
        <f aca="false">L127*(1+IF(M$3&lt;=$O$2,$D127,$D127-($D127-$I$103)*MIN(M$3-$O$2,$Q$2)/$Q$2))</f>
        <v>17379.4575248098</v>
      </c>
      <c r="N127" s="15" t="n">
        <f aca="false">M127*(1+IF(N$3&lt;=$O$2,$D127,$D127-($D127-$I$103)*MIN(N$3-$O$2,$Q$2)/$Q$2))</f>
        <v>17871.296172762</v>
      </c>
      <c r="O127" s="15" t="n">
        <f aca="false">SUMPRODUCT(E127:N127,1/(1+$F$103)^$E$3:$N$3)*$E$2</f>
        <v>32544.2209210883</v>
      </c>
      <c r="P127" s="15" t="n">
        <f aca="false">N127*$E$2*(1+$I$103)/($F$103-$I$103)/(1+$F$103)^$N$3</f>
        <v>53955.7383453383</v>
      </c>
      <c r="Q127" s="15" t="n">
        <f aca="false">O127+P127</f>
        <v>86499.9592664265</v>
      </c>
      <c r="R127" s="15" t="n">
        <f aca="false">Q127-$G$2+$I$2</f>
        <v>80379.9592664265</v>
      </c>
      <c r="S127" s="42" t="n">
        <f aca="false">R127/$K$2</f>
        <v>464.141120605304</v>
      </c>
      <c r="T127" s="43" t="n">
        <f aca="false">S127-$M$2</f>
        <v>-0.000235209455468066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0.104881584644318</v>
      </c>
      <c r="C128" s="25" t="n">
        <f aca="false">IF(T127&gt;0,D127,C127)</f>
        <v>0.104881763458252</v>
      </c>
      <c r="D128" s="41" t="n">
        <f aca="false">(B128+C128)/2</f>
        <v>0.104881674051285</v>
      </c>
      <c r="E128" s="15" t="n">
        <f aca="false">$C$2*(1+IF(E$3&lt;=$O$2,$D128,$D128-($D128-$I$103)*MIN(E$3-$O$2,$Q$2)/$Q$2))</f>
        <v>9015.83446025848</v>
      </c>
      <c r="F128" s="15" t="n">
        <f aca="false">E128*(1+IF(F$3&lt;=$O$2,$D128,$D128-($D128-$I$103)*MIN(F$3-$O$2,$Q$2)/$Q$2))</f>
        <v>9961.43027141966</v>
      </c>
      <c r="G128" s="15" t="n">
        <f aca="false">F128*(1+IF(G$3&lt;=$O$2,$D128,$D128-($D128-$I$103)*MIN(G$3-$O$2,$Q$2)/$Q$2))</f>
        <v>11006.2017542313</v>
      </c>
      <c r="H128" s="15" t="n">
        <f aca="false">G128*(1+IF(H$3&lt;=$O$2,$D128,$D128-($D128-$I$103)*MIN(H$3-$O$2,$Q$2)/$Q$2))</f>
        <v>12160.5506191613</v>
      </c>
      <c r="I128" s="15" t="n">
        <f aca="false">H128*(1+IF(I$3&lt;=$O$2,$D128,$D128-($D128-$I$103)*MIN(I$3-$O$2,$Q$2)/$Q$2))</f>
        <v>13435.9695254843</v>
      </c>
      <c r="J128" s="15" t="n">
        <f aca="false">I128*(1+IF(J$3&lt;=$O$2,$D128,$D128-($D128-$I$103)*MIN(J$3-$O$2,$Q$2)/$Q$2))</f>
        <v>14639.3666940664</v>
      </c>
      <c r="K128" s="15" t="n">
        <f aca="false">J128*(1+IF(K$3&lt;=$O$2,$D128,$D128-($D128-$I$103)*MIN(K$3-$O$2,$Q$2)/$Q$2))</f>
        <v>15726.3250965978</v>
      </c>
      <c r="L128" s="15" t="n">
        <f aca="false">K128*(1+IF(L$3&lt;=$O$2,$D128,$D128-($D128-$I$103)*MIN(L$3-$O$2,$Q$2)/$Q$2))</f>
        <v>16653.1194178604</v>
      </c>
      <c r="M128" s="15" t="n">
        <f aca="false">L128*(1+IF(M$3&lt;=$O$2,$D128,$D128-($D128-$I$103)*MIN(M$3-$O$2,$Q$2)/$Q$2))</f>
        <v>17379.467450025</v>
      </c>
      <c r="N128" s="15" t="n">
        <f aca="false">M128*(1+IF(N$3&lt;=$O$2,$D128,$D128-($D128-$I$103)*MIN(N$3-$O$2,$Q$2)/$Q$2))</f>
        <v>17871.3063788607</v>
      </c>
      <c r="O128" s="15" t="n">
        <f aca="false">SUMPRODUCT(E128:N128,1/(1+$F$103)^$E$3:$N$3)*$E$2</f>
        <v>32544.2336168049</v>
      </c>
      <c r="P128" s="15" t="n">
        <f aca="false">N128*$E$2*(1+$I$103)/($F$103-$I$103)/(1+$F$103)^$N$3</f>
        <v>53955.7691588611</v>
      </c>
      <c r="Q128" s="15" t="n">
        <f aca="false">O128+P128</f>
        <v>86500.002775666</v>
      </c>
      <c r="R128" s="15" t="n">
        <f aca="false">Q128-$G$2+$I$2</f>
        <v>80380.002775666</v>
      </c>
      <c r="S128" s="42" t="n">
        <f aca="false">R128/$K$2</f>
        <v>464.141371842395</v>
      </c>
      <c r="T128" s="43" t="n">
        <f aca="false">S128-$M$2</f>
        <v>1.6027635865612E-005</v>
      </c>
    </row>
    <row r="130" customFormat="false" ht="15" hidden="false" customHeight="false" outlineLevel="0" collapsed="false">
      <c r="A130" s="38" t="s">
        <v>185</v>
      </c>
      <c r="E130" s="5" t="s">
        <v>11</v>
      </c>
      <c r="F130" s="12" t="n">
        <f aca="false">Sensitivity!$B$10</f>
        <v>0.0853160519233867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162</v>
      </c>
      <c r="B131" s="28" t="s">
        <v>163</v>
      </c>
      <c r="C131" s="28" t="s">
        <v>164</v>
      </c>
      <c r="D131" s="28" t="s">
        <v>165</v>
      </c>
      <c r="E131" s="28" t="s">
        <v>166</v>
      </c>
      <c r="F131" s="28" t="s">
        <v>167</v>
      </c>
      <c r="G131" s="28" t="s">
        <v>168</v>
      </c>
      <c r="H131" s="28" t="s">
        <v>169</v>
      </c>
      <c r="I131" s="28" t="s">
        <v>170</v>
      </c>
      <c r="J131" s="28" t="s">
        <v>171</v>
      </c>
      <c r="K131" s="28" t="s">
        <v>172</v>
      </c>
      <c r="L131" s="28" t="s">
        <v>173</v>
      </c>
      <c r="M131" s="28" t="s">
        <v>174</v>
      </c>
      <c r="N131" s="28" t="s">
        <v>175</v>
      </c>
      <c r="O131" s="28" t="s">
        <v>176</v>
      </c>
      <c r="P131" s="28" t="s">
        <v>177</v>
      </c>
      <c r="Q131" s="28" t="s">
        <v>178</v>
      </c>
      <c r="R131" s="28" t="s">
        <v>179</v>
      </c>
      <c r="S131" s="28" t="s">
        <v>180</v>
      </c>
      <c r="T131" s="28" t="s">
        <v>181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10200</v>
      </c>
      <c r="F132" s="15" t="n">
        <f aca="false">E132*(1+IF(F$3&lt;=$O$2,$D132,$D132-($D132-$I$130)*MIN(F$3-$O$2,$Q$2)/$Q$2))</f>
        <v>12750</v>
      </c>
      <c r="G132" s="15" t="n">
        <f aca="false">F132*(1+IF(G$3&lt;=$O$2,$D132,$D132-($D132-$I$130)*MIN(G$3-$O$2,$Q$2)/$Q$2))</f>
        <v>15937.5</v>
      </c>
      <c r="H132" s="15" t="n">
        <f aca="false">G132*(1+IF(H$3&lt;=$O$2,$D132,$D132-($D132-$I$130)*MIN(H$3-$O$2,$Q$2)/$Q$2))</f>
        <v>19921.875</v>
      </c>
      <c r="I132" s="15" t="n">
        <f aca="false">H132*(1+IF(I$3&lt;=$O$2,$D132,$D132-($D132-$I$130)*MIN(I$3-$O$2,$Q$2)/$Q$2))</f>
        <v>24902.34375</v>
      </c>
      <c r="J132" s="15" t="n">
        <f aca="false">I132*(1+IF(J$3&lt;=$O$2,$D132,$D132-($D132-$I$130)*MIN(J$3-$O$2,$Q$2)/$Q$2))</f>
        <v>30048.662109375</v>
      </c>
      <c r="K132" s="15" t="n">
        <f aca="false">J132*(1+IF(K$3&lt;=$O$2,$D132,$D132-($D132-$I$130)*MIN(K$3-$O$2,$Q$2)/$Q$2))</f>
        <v>34956.2096050781</v>
      </c>
      <c r="L132" s="15" t="n">
        <f aca="false">K132*(1+IF(L$3&lt;=$O$2,$D132,$D132-($D132-$I$130)*MIN(L$3-$O$2,$Q$2)/$Q$2))</f>
        <v>39150.2556334954</v>
      </c>
      <c r="M132" s="15" t="n">
        <f aca="false">L132*(1+IF(M$3&lt;=$O$2,$D132,$D132-($D132-$I$130)*MIN(M$3-$O$2,$Q$2)/$Q$2))</f>
        <v>42150.7312252465</v>
      </c>
      <c r="N132" s="15" t="n">
        <f aca="false">M132*(1+IF(N$3&lt;=$O$2,$D132,$D132-($D132-$I$130)*MIN(N$3-$O$2,$Q$2)/$Q$2))</f>
        <v>43554.3505750472</v>
      </c>
      <c r="O132" s="15" t="n">
        <f aca="false">SUMPRODUCT(E132:N132,1/(1+$F$130)^$E$3:$N$3)*$E$2</f>
        <v>61265.4924194699</v>
      </c>
      <c r="P132" s="15" t="n">
        <f aca="false">N132*$E$2*(1+$I$130)/($F$130-$I$130)/(1+$F$130)^$N$3</f>
        <v>144836.98621311</v>
      </c>
      <c r="Q132" s="15" t="n">
        <f aca="false">O132+P132</f>
        <v>206102.47863258</v>
      </c>
      <c r="R132" s="15" t="n">
        <f aca="false">Q132-$G$2+$I$2</f>
        <v>199982.47863258</v>
      </c>
      <c r="S132" s="42" t="n">
        <f aca="false">R132/$K$2</f>
        <v>1154.76659332821</v>
      </c>
      <c r="T132" s="43" t="n">
        <f aca="false">S132-$M$2</f>
        <v>690.625237513454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7140</v>
      </c>
      <c r="F133" s="15" t="n">
        <f aca="false">E133*(1+IF(F$3&lt;=$O$2,$D133,$D133-($D133-$I$130)*MIN(F$3-$O$2,$Q$2)/$Q$2))</f>
        <v>6247.5</v>
      </c>
      <c r="G133" s="15" t="n">
        <f aca="false">F133*(1+IF(G$3&lt;=$O$2,$D133,$D133-($D133-$I$130)*MIN(G$3-$O$2,$Q$2)/$Q$2))</f>
        <v>5466.5625</v>
      </c>
      <c r="H133" s="15" t="n">
        <f aca="false">G133*(1+IF(H$3&lt;=$O$2,$D133,$D133-($D133-$I$130)*MIN(H$3-$O$2,$Q$2)/$Q$2))</f>
        <v>4783.2421875</v>
      </c>
      <c r="I133" s="15" t="n">
        <f aca="false">H133*(1+IF(I$3&lt;=$O$2,$D133,$D133-($D133-$I$130)*MIN(I$3-$O$2,$Q$2)/$Q$2))</f>
        <v>4185.3369140625</v>
      </c>
      <c r="J133" s="15" t="n">
        <f aca="false">I133*(1+IF(J$3&lt;=$O$2,$D133,$D133-($D133-$I$130)*MIN(J$3-$O$2,$Q$2)/$Q$2))</f>
        <v>3794.67756650391</v>
      </c>
      <c r="K133" s="15" t="n">
        <f aca="false">J133*(1+IF(K$3&lt;=$O$2,$D133,$D133-($D133-$I$130)*MIN(K$3-$O$2,$Q$2)/$Q$2))</f>
        <v>3560.62185420195</v>
      </c>
      <c r="L133" s="15" t="n">
        <f aca="false">K133*(1+IF(L$3&lt;=$O$2,$D133,$D133-($D133-$I$130)*MIN(L$3-$O$2,$Q$2)/$Q$2))</f>
        <v>3453.7319861388</v>
      </c>
      <c r="M133" s="15" t="n">
        <f aca="false">L133*(1+IF(M$3&lt;=$O$2,$D133,$D133-($D133-$I$130)*MIN(M$3-$O$2,$Q$2)/$Q$2))</f>
        <v>3459.39610659607</v>
      </c>
      <c r="N133" s="15" t="n">
        <f aca="false">M133*(1+IF(N$3&lt;=$O$2,$D133,$D133-($D133-$I$130)*MIN(N$3-$O$2,$Q$2)/$Q$2))</f>
        <v>3574.59399694572</v>
      </c>
      <c r="O133" s="15" t="n">
        <f aca="false">SUMPRODUCT(E133:N133,1/(1+$F$130)^$E$3:$N$3)*$E$2</f>
        <v>12048.7405865905</v>
      </c>
      <c r="P133" s="15" t="n">
        <f aca="false">N133*$E$2*(1+$I$130)/($F$130-$I$130)/(1+$F$130)^$N$3</f>
        <v>11887.0655770886</v>
      </c>
      <c r="Q133" s="15" t="n">
        <f aca="false">O133+P133</f>
        <v>23935.8061636791</v>
      </c>
      <c r="R133" s="15" t="n">
        <f aca="false">Q133-$G$2+$I$2</f>
        <v>17815.8061636791</v>
      </c>
      <c r="S133" s="42" t="n">
        <f aca="false">R133/$K$2</f>
        <v>102.874501464829</v>
      </c>
      <c r="T133" s="43" t="n">
        <f aca="false">S133-$M$2</f>
        <v>-361.26685434993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8670</v>
      </c>
      <c r="F134" s="15" t="n">
        <f aca="false">E134*(1+IF(F$3&lt;=$O$2,$D134,$D134-($D134-$I$130)*MIN(F$3-$O$2,$Q$2)/$Q$2))</f>
        <v>9211.875</v>
      </c>
      <c r="G134" s="15" t="n">
        <f aca="false">F134*(1+IF(G$3&lt;=$O$2,$D134,$D134-($D134-$I$130)*MIN(G$3-$O$2,$Q$2)/$Q$2))</f>
        <v>9787.6171875</v>
      </c>
      <c r="H134" s="15" t="n">
        <f aca="false">G134*(1+IF(H$3&lt;=$O$2,$D134,$D134-($D134-$I$130)*MIN(H$3-$O$2,$Q$2)/$Q$2))</f>
        <v>10399.3432617188</v>
      </c>
      <c r="I134" s="15" t="n">
        <f aca="false">H134*(1+IF(I$3&lt;=$O$2,$D134,$D134-($D134-$I$130)*MIN(I$3-$O$2,$Q$2)/$Q$2))</f>
        <v>11049.3022155762</v>
      </c>
      <c r="J134" s="15" t="n">
        <f aca="false">I134*(1+IF(J$3&lt;=$O$2,$D134,$D134-($D134-$I$130)*MIN(J$3-$O$2,$Q$2)/$Q$2))</f>
        <v>11675.3556791107</v>
      </c>
      <c r="K134" s="15" t="n">
        <f aca="false">J134*(1+IF(K$3&lt;=$O$2,$D134,$D134-($D134-$I$130)*MIN(K$3-$O$2,$Q$2)/$Q$2))</f>
        <v>12268.6972547231</v>
      </c>
      <c r="L134" s="15" t="n">
        <f aca="false">K134*(1+IF(L$3&lt;=$O$2,$D134,$D134-($D134-$I$130)*MIN(L$3-$O$2,$Q$2)/$Q$2))</f>
        <v>12820.5432572406</v>
      </c>
      <c r="M134" s="15" t="n">
        <f aca="false">L134*(1+IF(M$3&lt;=$O$2,$D134,$D134-($D134-$I$130)*MIN(M$3-$O$2,$Q$2)/$Q$2))</f>
        <v>13322.339320329</v>
      </c>
      <c r="N134" s="15" t="n">
        <f aca="false">M134*(1+IF(N$3&lt;=$O$2,$D134,$D134-($D134-$I$130)*MIN(N$3-$O$2,$Q$2)/$Q$2))</f>
        <v>13765.9732196959</v>
      </c>
      <c r="O134" s="15" t="n">
        <f aca="false">SUMPRODUCT(E134:N134,1/(1+$F$130)^$E$3:$N$3)*$E$2</f>
        <v>27127.9474991454</v>
      </c>
      <c r="P134" s="15" t="n">
        <f aca="false">N134*$E$2*(1+$I$130)/($F$130-$I$130)/(1+$F$130)^$N$3</f>
        <v>45777.7936556681</v>
      </c>
      <c r="Q134" s="15" t="n">
        <f aca="false">O134+P134</f>
        <v>72905.7411548135</v>
      </c>
      <c r="R134" s="15" t="n">
        <f aca="false">Q134-$G$2+$I$2</f>
        <v>66785.7411548135</v>
      </c>
      <c r="S134" s="42" t="n">
        <f aca="false">R134/$K$2</f>
        <v>385.643498988414</v>
      </c>
      <c r="T134" s="43" t="n">
        <f aca="false">S134-$M$2</f>
        <v>-78.4978568263455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0.0625</v>
      </c>
      <c r="C135" s="25" t="n">
        <f aca="false">IF(T134&gt;0,D134,C134)</f>
        <v>0.25</v>
      </c>
      <c r="D135" s="41" t="n">
        <f aca="false">(B135+C135)/2</f>
        <v>0.15625</v>
      </c>
      <c r="E135" s="15" t="n">
        <f aca="false">$C$2*(1+IF(E$3&lt;=$O$2,$D135,$D135-($D135-$I$130)*MIN(E$3-$O$2,$Q$2)/$Q$2))</f>
        <v>9435</v>
      </c>
      <c r="F135" s="15" t="n">
        <f aca="false">E135*(1+IF(F$3&lt;=$O$2,$D135,$D135-($D135-$I$130)*MIN(F$3-$O$2,$Q$2)/$Q$2))</f>
        <v>10909.21875</v>
      </c>
      <c r="G135" s="15" t="n">
        <f aca="false">F135*(1+IF(G$3&lt;=$O$2,$D135,$D135-($D135-$I$130)*MIN(G$3-$O$2,$Q$2)/$Q$2))</f>
        <v>12613.7841796875</v>
      </c>
      <c r="H135" s="15" t="n">
        <f aca="false">G135*(1+IF(H$3&lt;=$O$2,$D135,$D135-($D135-$I$130)*MIN(H$3-$O$2,$Q$2)/$Q$2))</f>
        <v>14584.6879577637</v>
      </c>
      <c r="I135" s="15" t="n">
        <f aca="false">H135*(1+IF(I$3&lt;=$O$2,$D135,$D135-($D135-$I$130)*MIN(I$3-$O$2,$Q$2)/$Q$2))</f>
        <v>16863.5454511642</v>
      </c>
      <c r="J135" s="15" t="n">
        <f aca="false">I135*(1+IF(J$3&lt;=$O$2,$D135,$D135-($D135-$I$130)*MIN(J$3-$O$2,$Q$2)/$Q$2))</f>
        <v>19083.7998452645</v>
      </c>
      <c r="K135" s="15" t="n">
        <f aca="false">J135*(1+IF(K$3&lt;=$O$2,$D135,$D135-($D135-$I$130)*MIN(K$3-$O$2,$Q$2)/$Q$2))</f>
        <v>21127.102294697</v>
      </c>
      <c r="L135" s="15" t="n">
        <f aca="false">K135*(1+IF(L$3&lt;=$O$2,$D135,$D135-($D135-$I$130)*MIN(L$3-$O$2,$Q$2)/$Q$2))</f>
        <v>22869.6656919636</v>
      </c>
      <c r="M135" s="15" t="n">
        <f aca="false">L135*(1+IF(M$3&lt;=$O$2,$D135,$D135-($D135-$I$130)*MIN(M$3-$O$2,$Q$2)/$Q$2))</f>
        <v>24193.5906388714</v>
      </c>
      <c r="N135" s="15" t="n">
        <f aca="false">M135*(1+IF(N$3&lt;=$O$2,$D135,$D135-($D135-$I$130)*MIN(N$3-$O$2,$Q$2)/$Q$2))</f>
        <v>24999.2372071458</v>
      </c>
      <c r="O135" s="15" t="n">
        <f aca="false">SUMPRODUCT(E135:N135,1/(1+$F$130)^$E$3:$N$3)*$E$2</f>
        <v>40845.9827706602</v>
      </c>
      <c r="P135" s="15" t="n">
        <f aca="false">N135*$E$2*(1+$I$130)/($F$130-$I$130)/(1+$F$130)^$N$3</f>
        <v>83133.2375963391</v>
      </c>
      <c r="Q135" s="15" t="n">
        <f aca="false">O135+P135</f>
        <v>123979.220366999</v>
      </c>
      <c r="R135" s="15" t="n">
        <f aca="false">Q135-$G$2+$I$2</f>
        <v>117859.220366999</v>
      </c>
      <c r="S135" s="42" t="n">
        <f aca="false">R135/$K$2</f>
        <v>680.559073605493</v>
      </c>
      <c r="T135" s="43" t="n">
        <f aca="false">S135-$M$2</f>
        <v>216.417717790734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0.0625</v>
      </c>
      <c r="C136" s="25" t="n">
        <f aca="false">IF(T135&gt;0,D135,C135)</f>
        <v>0.15625</v>
      </c>
      <c r="D136" s="41" t="n">
        <f aca="false">(B136+C136)/2</f>
        <v>0.109375</v>
      </c>
      <c r="E136" s="15" t="n">
        <f aca="false">$C$2*(1+IF(E$3&lt;=$O$2,$D136,$D136-($D136-$I$130)*MIN(E$3-$O$2,$Q$2)/$Q$2))</f>
        <v>9052.5</v>
      </c>
      <c r="F136" s="15" t="n">
        <f aca="false">E136*(1+IF(F$3&lt;=$O$2,$D136,$D136-($D136-$I$130)*MIN(F$3-$O$2,$Q$2)/$Q$2))</f>
        <v>10042.6171875</v>
      </c>
      <c r="G136" s="15" t="n">
        <f aca="false">F136*(1+IF(G$3&lt;=$O$2,$D136,$D136-($D136-$I$130)*MIN(G$3-$O$2,$Q$2)/$Q$2))</f>
        <v>11141.0284423828</v>
      </c>
      <c r="H136" s="15" t="n">
        <f aca="false">G136*(1+IF(H$3&lt;=$O$2,$D136,$D136-($D136-$I$130)*MIN(H$3-$O$2,$Q$2)/$Q$2))</f>
        <v>12359.5784282684</v>
      </c>
      <c r="I136" s="15" t="n">
        <f aca="false">H136*(1+IF(I$3&lt;=$O$2,$D136,$D136-($D136-$I$130)*MIN(I$3-$O$2,$Q$2)/$Q$2))</f>
        <v>13711.4073188603</v>
      </c>
      <c r="J136" s="15" t="n">
        <f aca="false">I136*(1+IF(J$3&lt;=$O$2,$D136,$D136-($D136-$I$130)*MIN(J$3-$O$2,$Q$2)/$Q$2))</f>
        <v>15002.4734320042</v>
      </c>
      <c r="K136" s="15" t="n">
        <f aca="false">J136*(1+IF(K$3&lt;=$O$2,$D136,$D136-($D136-$I$130)*MIN(K$3-$O$2,$Q$2)/$Q$2))</f>
        <v>16186.8436970937</v>
      </c>
      <c r="L136" s="15" t="n">
        <f aca="false">K136*(1+IF(L$3&lt;=$O$2,$D136,$D136-($D136-$I$130)*MIN(L$3-$O$2,$Q$2)/$Q$2))</f>
        <v>17218.4312459095</v>
      </c>
      <c r="M136" s="15" t="n">
        <f aca="false">L136*(1+IF(M$3&lt;=$O$2,$D136,$D136-($D136-$I$130)*MIN(M$3-$O$2,$Q$2)/$Q$2))</f>
        <v>18053.7834378048</v>
      </c>
      <c r="N136" s="15" t="n">
        <f aca="false">M136*(1+IF(N$3&lt;=$O$2,$D136,$D136-($D136-$I$130)*MIN(N$3-$O$2,$Q$2)/$Q$2))</f>
        <v>18654.9744262837</v>
      </c>
      <c r="O136" s="15" t="n">
        <f aca="false">SUMPRODUCT(E136:N136,1/(1+$F$130)^$E$3:$N$3)*$E$2</f>
        <v>33295.1996406116</v>
      </c>
      <c r="P136" s="15" t="n">
        <f aca="false">N136*$E$2*(1+$I$130)/($F$130-$I$130)/(1+$F$130)^$N$3</f>
        <v>62035.8296728582</v>
      </c>
      <c r="Q136" s="15" t="n">
        <f aca="false">O136+P136</f>
        <v>95331.0293134698</v>
      </c>
      <c r="R136" s="15" t="n">
        <f aca="false">Q136-$G$2+$I$2</f>
        <v>89211.0293134698</v>
      </c>
      <c r="S136" s="42" t="n">
        <f aca="false">R136/$K$2</f>
        <v>515.134711360837</v>
      </c>
      <c r="T136" s="43" t="n">
        <f aca="false">S136-$M$2</f>
        <v>50.9933555460779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0.0625</v>
      </c>
      <c r="C137" s="25" t="n">
        <f aca="false">IF(T136&gt;0,D136,C136)</f>
        <v>0.109375</v>
      </c>
      <c r="D137" s="41" t="n">
        <f aca="false">(B137+C137)/2</f>
        <v>0.0859375</v>
      </c>
      <c r="E137" s="15" t="n">
        <f aca="false">$C$2*(1+IF(E$3&lt;=$O$2,$D137,$D137-($D137-$I$130)*MIN(E$3-$O$2,$Q$2)/$Q$2))</f>
        <v>8861.25</v>
      </c>
      <c r="F137" s="15" t="n">
        <f aca="false">E137*(1+IF(F$3&lt;=$O$2,$D137,$D137-($D137-$I$130)*MIN(F$3-$O$2,$Q$2)/$Q$2))</f>
        <v>9622.763671875</v>
      </c>
      <c r="G137" s="15" t="n">
        <f aca="false">F137*(1+IF(G$3&lt;=$O$2,$D137,$D137-($D137-$I$130)*MIN(G$3-$O$2,$Q$2)/$Q$2))</f>
        <v>10449.7199249268</v>
      </c>
      <c r="H137" s="15" t="n">
        <f aca="false">G137*(1+IF(H$3&lt;=$O$2,$D137,$D137-($D137-$I$130)*MIN(H$3-$O$2,$Q$2)/$Q$2))</f>
        <v>11347.7427309752</v>
      </c>
      <c r="I137" s="15" t="n">
        <f aca="false">H137*(1+IF(I$3&lt;=$O$2,$D137,$D137-($D137-$I$130)*MIN(I$3-$O$2,$Q$2)/$Q$2))</f>
        <v>12322.9393719183</v>
      </c>
      <c r="J137" s="15" t="n">
        <f aca="false">I137*(1+IF(J$3&lt;=$O$2,$D137,$D137-($D137-$I$130)*MIN(J$3-$O$2,$Q$2)/$Q$2))</f>
        <v>13252.2122299547</v>
      </c>
      <c r="K137" s="15" t="n">
        <f aca="false">J137*(1+IF(K$3&lt;=$O$2,$D137,$D137-($D137-$I$130)*MIN(K$3-$O$2,$Q$2)/$Q$2))</f>
        <v>14112.0488899647</v>
      </c>
      <c r="L137" s="15" t="n">
        <f aca="false">K137*(1+IF(L$3&lt;=$O$2,$D137,$D137-($D137-$I$130)*MIN(L$3-$O$2,$Q$2)/$Q$2))</f>
        <v>14879.1093073788</v>
      </c>
      <c r="M137" s="15" t="n">
        <f aca="false">L137*(1+IF(M$3&lt;=$O$2,$D137,$D137-($D137-$I$130)*MIN(M$3-$O$2,$Q$2)/$Q$2))</f>
        <v>15531.2234705479</v>
      </c>
      <c r="N137" s="15" t="n">
        <f aca="false">M137*(1+IF(N$3&lt;=$O$2,$D137,$D137-($D137-$I$130)*MIN(N$3-$O$2,$Q$2)/$Q$2))</f>
        <v>16048.4132121171</v>
      </c>
      <c r="O137" s="15" t="n">
        <f aca="false">SUMPRODUCT(E137:N137,1/(1+$F$130)^$E$3:$N$3)*$E$2</f>
        <v>30054.4346459409</v>
      </c>
      <c r="P137" s="15" t="n">
        <f aca="false">N137*$E$2*(1+$I$130)/($F$130-$I$130)/(1+$F$130)^$N$3</f>
        <v>53367.8902901008</v>
      </c>
      <c r="Q137" s="15" t="n">
        <f aca="false">O137+P137</f>
        <v>83422.3249360417</v>
      </c>
      <c r="R137" s="15" t="n">
        <f aca="false">Q137-$G$2+$I$2</f>
        <v>77302.3249360417</v>
      </c>
      <c r="S137" s="42" t="n">
        <f aca="false">R137/$K$2</f>
        <v>446.369817161576</v>
      </c>
      <c r="T137" s="43" t="n">
        <f aca="false">S137-$M$2</f>
        <v>-17.7715386531834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0.0859375</v>
      </c>
      <c r="C138" s="25" t="n">
        <f aca="false">IF(T137&gt;0,D137,C137)</f>
        <v>0.109375</v>
      </c>
      <c r="D138" s="41" t="n">
        <f aca="false">(B138+C138)/2</f>
        <v>0.09765625</v>
      </c>
      <c r="E138" s="15" t="n">
        <f aca="false">$C$2*(1+IF(E$3&lt;=$O$2,$D138,$D138-($D138-$I$130)*MIN(E$3-$O$2,$Q$2)/$Q$2))</f>
        <v>8956.875</v>
      </c>
      <c r="F138" s="15" t="n">
        <f aca="false">E138*(1+IF(F$3&lt;=$O$2,$D138,$D138-($D138-$I$130)*MIN(F$3-$O$2,$Q$2)/$Q$2))</f>
        <v>9831.56982421875</v>
      </c>
      <c r="G138" s="15" t="n">
        <f aca="false">F138*(1+IF(G$3&lt;=$O$2,$D138,$D138-($D138-$I$130)*MIN(G$3-$O$2,$Q$2)/$Q$2))</f>
        <v>10791.6840648651</v>
      </c>
      <c r="H138" s="15" t="n">
        <f aca="false">G138*(1+IF(H$3&lt;=$O$2,$D138,$D138-($D138-$I$130)*MIN(H$3-$O$2,$Q$2)/$Q$2))</f>
        <v>11845.5594618246</v>
      </c>
      <c r="I138" s="15" t="n">
        <f aca="false">H138*(1+IF(I$3&lt;=$O$2,$D138,$D138-($D138-$I$130)*MIN(I$3-$O$2,$Q$2)/$Q$2))</f>
        <v>13002.3523780184</v>
      </c>
      <c r="J138" s="15" t="n">
        <f aca="false">I138*(1+IF(J$3&lt;=$O$2,$D138,$D138-($D138-$I$130)*MIN(J$3-$O$2,$Q$2)/$Q$2))</f>
        <v>14104.7568243887</v>
      </c>
      <c r="K138" s="15" t="n">
        <f aca="false">J138*(1+IF(K$3&lt;=$O$2,$D138,$D138-($D138-$I$130)*MIN(K$3-$O$2,$Q$2)/$Q$2))</f>
        <v>15119.0827804686</v>
      </c>
      <c r="L138" s="15" t="n">
        <f aca="false">K138*(1+IF(L$3&lt;=$O$2,$D138,$D138-($D138-$I$130)*MIN(L$3-$O$2,$Q$2)/$Q$2))</f>
        <v>16011.7512255344</v>
      </c>
      <c r="M138" s="15" t="n">
        <f aca="false">L138*(1+IF(M$3&lt;=$O$2,$D138,$D138-($D138-$I$130)*MIN(M$3-$O$2,$Q$2)/$Q$2))</f>
        <v>16751.0337943064</v>
      </c>
      <c r="N138" s="15" t="n">
        <f aca="false">M138*(1+IF(N$3&lt;=$O$2,$D138,$D138-($D138-$I$130)*MIN(N$3-$O$2,$Q$2)/$Q$2))</f>
        <v>17308.8432196568</v>
      </c>
      <c r="O138" s="15" t="n">
        <f aca="false">SUMPRODUCT(E138:N138,1/(1+$F$130)^$E$3:$N$3)*$E$2</f>
        <v>31633.6567738031</v>
      </c>
      <c r="P138" s="15" t="n">
        <f aca="false">N138*$E$2*(1+$I$130)/($F$130-$I$130)/(1+$F$130)^$N$3</f>
        <v>57559.3632707401</v>
      </c>
      <c r="Q138" s="15" t="n">
        <f aca="false">O138+P138</f>
        <v>89193.0200445432</v>
      </c>
      <c r="R138" s="15" t="n">
        <f aca="false">Q138-$G$2+$I$2</f>
        <v>83073.0200445432</v>
      </c>
      <c r="S138" s="42" t="n">
        <f aca="false">R138/$K$2</f>
        <v>479.691766050024</v>
      </c>
      <c r="T138" s="43" t="n">
        <f aca="false">S138-$M$2</f>
        <v>15.550410235265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0.0859375</v>
      </c>
      <c r="C139" s="25" t="n">
        <f aca="false">IF(T138&gt;0,D138,C138)</f>
        <v>0.09765625</v>
      </c>
      <c r="D139" s="41" t="n">
        <f aca="false">(B139+C139)/2</f>
        <v>0.091796875</v>
      </c>
      <c r="E139" s="15" t="n">
        <f aca="false">$C$2*(1+IF(E$3&lt;=$O$2,$D139,$D139-($D139-$I$130)*MIN(E$3-$O$2,$Q$2)/$Q$2))</f>
        <v>8909.0625</v>
      </c>
      <c r="F139" s="15" t="n">
        <f aca="false">E139*(1+IF(F$3&lt;=$O$2,$D139,$D139-($D139-$I$130)*MIN(F$3-$O$2,$Q$2)/$Q$2))</f>
        <v>9726.88659667969</v>
      </c>
      <c r="G139" s="15" t="n">
        <f aca="false">F139*(1+IF(G$3&lt;=$O$2,$D139,$D139-($D139-$I$130)*MIN(G$3-$O$2,$Q$2)/$Q$2))</f>
        <v>10619.7843897343</v>
      </c>
      <c r="H139" s="15" t="n">
        <f aca="false">G139*(1+IF(H$3&lt;=$O$2,$D139,$D139-($D139-$I$130)*MIN(H$3-$O$2,$Q$2)/$Q$2))</f>
        <v>11594.6474098857</v>
      </c>
      <c r="I139" s="15" t="n">
        <f aca="false">H139*(1+IF(I$3&lt;=$O$2,$D139,$D139-($D139-$I$130)*MIN(I$3-$O$2,$Q$2)/$Q$2))</f>
        <v>12658.99980884</v>
      </c>
      <c r="J139" s="15" t="n">
        <f aca="false">I139*(1+IF(J$3&lt;=$O$2,$D139,$D139-($D139-$I$130)*MIN(J$3-$O$2,$Q$2)/$Q$2))</f>
        <v>13672.9540460286</v>
      </c>
      <c r="K139" s="15" t="n">
        <f aca="false">J139*(1+IF(K$3&lt;=$O$2,$D139,$D139-($D139-$I$130)*MIN(K$3-$O$2,$Q$2)/$Q$2))</f>
        <v>14608.1584659881</v>
      </c>
      <c r="L139" s="15" t="n">
        <f aca="false">K139*(1+IF(L$3&lt;=$O$2,$D139,$D139-($D139-$I$130)*MIN(L$3-$O$2,$Q$2)/$Q$2))</f>
        <v>15436.4227908115</v>
      </c>
      <c r="M139" s="15" t="n">
        <f aca="false">L139*(1+IF(M$3&lt;=$O$2,$D139,$D139-($D139-$I$130)*MIN(M$3-$O$2,$Q$2)/$Q$2))</f>
        <v>16131.0521686338</v>
      </c>
      <c r="N139" s="15" t="n">
        <f aca="false">M139*(1+IF(N$3&lt;=$O$2,$D139,$D139-($D139-$I$130)*MIN(N$3-$O$2,$Q$2)/$Q$2))</f>
        <v>16668.2162058493</v>
      </c>
      <c r="O139" s="15" t="n">
        <f aca="false">SUMPRODUCT(E139:N139,1/(1+$F$130)^$E$3:$N$3)*$E$2</f>
        <v>30833.9960735752</v>
      </c>
      <c r="P139" s="15" t="n">
        <f aca="false">N139*$E$2*(1+$I$130)/($F$130-$I$130)/(1+$F$130)^$N$3</f>
        <v>55429.0023597974</v>
      </c>
      <c r="Q139" s="15" t="n">
        <f aca="false">O139+P139</f>
        <v>86262.9984333726</v>
      </c>
      <c r="R139" s="15" t="n">
        <f aca="false">Q139-$G$2+$I$2</f>
        <v>80142.9984333726</v>
      </c>
      <c r="S139" s="42" t="n">
        <f aca="false">R139/$K$2</f>
        <v>462.772828463868</v>
      </c>
      <c r="T139" s="43" t="n">
        <f aca="false">S139-$M$2</f>
        <v>-1.36852735089172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0.091796875</v>
      </c>
      <c r="C140" s="25" t="n">
        <f aca="false">IF(T139&gt;0,D139,C139)</f>
        <v>0.09765625</v>
      </c>
      <c r="D140" s="41" t="n">
        <f aca="false">(B140+C140)/2</f>
        <v>0.0947265625</v>
      </c>
      <c r="E140" s="15" t="n">
        <f aca="false">$C$2*(1+IF(E$3&lt;=$O$2,$D140,$D140-($D140-$I$130)*MIN(E$3-$O$2,$Q$2)/$Q$2))</f>
        <v>8932.96875</v>
      </c>
      <c r="F140" s="15" t="n">
        <f aca="false">E140*(1+IF(F$3&lt;=$O$2,$D140,$D140-($D140-$I$130)*MIN(F$3-$O$2,$Q$2)/$Q$2))</f>
        <v>9779.15817260742</v>
      </c>
      <c r="G140" s="15" t="n">
        <f aca="false">F140*(1+IF(G$3&lt;=$O$2,$D140,$D140-($D140-$I$130)*MIN(G$3-$O$2,$Q$2)/$Q$2))</f>
        <v>10705.5042104423</v>
      </c>
      <c r="H140" s="15" t="n">
        <f aca="false">G140*(1+IF(H$3&lt;=$O$2,$D140,$D140-($D140-$I$130)*MIN(H$3-$O$2,$Q$2)/$Q$2))</f>
        <v>11719.5998241268</v>
      </c>
      <c r="I140" s="15" t="n">
        <f aca="false">H140*(1+IF(I$3&lt;=$O$2,$D140,$D140-($D140-$I$130)*MIN(I$3-$O$2,$Q$2)/$Q$2))</f>
        <v>12829.7572293419</v>
      </c>
      <c r="J140" s="15" t="n">
        <f aca="false">I140*(1+IF(J$3&lt;=$O$2,$D140,$D140-($D140-$I$130)*MIN(J$3-$O$2,$Q$2)/$Q$2))</f>
        <v>13887.4584525254</v>
      </c>
      <c r="K140" s="15" t="n">
        <f aca="false">J140*(1+IF(K$3&lt;=$O$2,$D140,$D140-($D140-$I$130)*MIN(K$3-$O$2,$Q$2)/$Q$2))</f>
        <v>14861.7461197546</v>
      </c>
      <c r="L140" s="15" t="n">
        <f aca="false">K140*(1+IF(L$3&lt;=$O$2,$D140,$D140-($D140-$I$130)*MIN(L$3-$O$2,$Q$2)/$Q$2))</f>
        <v>15721.8046562961</v>
      </c>
      <c r="M140" s="15" t="n">
        <f aca="false">L140*(1+IF(M$3&lt;=$O$2,$D140,$D140-($D140-$I$130)*MIN(M$3-$O$2,$Q$2)/$Q$2))</f>
        <v>16438.4880346174</v>
      </c>
      <c r="N140" s="15" t="n">
        <f aca="false">M140*(1+IF(N$3&lt;=$O$2,$D140,$D140-($D140-$I$130)*MIN(N$3-$O$2,$Q$2)/$Q$2))</f>
        <v>16985.8896861701</v>
      </c>
      <c r="O140" s="15" t="n">
        <f aca="false">SUMPRODUCT(E140:N140,1/(1+$F$130)^$E$3:$N$3)*$E$2</f>
        <v>31231.2843396466</v>
      </c>
      <c r="P140" s="15" t="n">
        <f aca="false">N140*$E$2*(1+$I$130)/($F$130-$I$130)/(1+$F$130)^$N$3</f>
        <v>56485.4035891124</v>
      </c>
      <c r="Q140" s="15" t="n">
        <f aca="false">O140+P140</f>
        <v>87716.687928759</v>
      </c>
      <c r="R140" s="15" t="n">
        <f aca="false">Q140-$G$2+$I$2</f>
        <v>81596.687928759</v>
      </c>
      <c r="S140" s="42" t="n">
        <f aca="false">R140/$K$2</f>
        <v>471.166924175765</v>
      </c>
      <c r="T140" s="43" t="n">
        <f aca="false">S140-$M$2</f>
        <v>7.02556836100587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0.091796875</v>
      </c>
      <c r="C141" s="25" t="n">
        <f aca="false">IF(T140&gt;0,D140,C140)</f>
        <v>0.0947265625</v>
      </c>
      <c r="D141" s="41" t="n">
        <f aca="false">(B141+C141)/2</f>
        <v>0.09326171875</v>
      </c>
      <c r="E141" s="15" t="n">
        <f aca="false">$C$2*(1+IF(E$3&lt;=$O$2,$D141,$D141-($D141-$I$130)*MIN(E$3-$O$2,$Q$2)/$Q$2))</f>
        <v>8921.015625</v>
      </c>
      <c r="F141" s="15" t="n">
        <f aca="false">E141*(1+IF(F$3&lt;=$O$2,$D141,$D141-($D141-$I$130)*MIN(F$3-$O$2,$Q$2)/$Q$2))</f>
        <v>9753.00487518311</v>
      </c>
      <c r="G141" s="15" t="n">
        <f aca="false">F141*(1+IF(G$3&lt;=$O$2,$D141,$D141-($D141-$I$130)*MIN(G$3-$O$2,$Q$2)/$Q$2))</f>
        <v>10662.5868728198</v>
      </c>
      <c r="H141" s="15" t="n">
        <f aca="false">G141*(1+IF(H$3&lt;=$O$2,$D141,$D141-($D141-$I$130)*MIN(H$3-$O$2,$Q$2)/$Q$2))</f>
        <v>11656.9980509002</v>
      </c>
      <c r="I141" s="15" t="n">
        <f aca="false">H141*(1+IF(I$3&lt;=$O$2,$D141,$D141-($D141-$I$130)*MIN(I$3-$O$2,$Q$2)/$Q$2))</f>
        <v>12744.1497245925</v>
      </c>
      <c r="J141" s="15" t="n">
        <f aca="false">I141*(1+IF(J$3&lt;=$O$2,$D141,$D141-($D141-$I$130)*MIN(J$3-$O$2,$Q$2)/$Q$2))</f>
        <v>13779.8588076166</v>
      </c>
      <c r="K141" s="15" t="n">
        <f aca="false">J141*(1+IF(K$3&lt;=$O$2,$D141,$D141-($D141-$I$130)*MIN(K$3-$O$2,$Q$2)/$Q$2))</f>
        <v>14734.4865168524</v>
      </c>
      <c r="L141" s="15" t="n">
        <f aca="false">K141*(1+IF(L$3&lt;=$O$2,$D141,$D141-($D141-$I$130)*MIN(L$3-$O$2,$Q$2)/$Q$2))</f>
        <v>15578.5469724433</v>
      </c>
      <c r="M141" s="15" t="n">
        <f aca="false">L141*(1+IF(M$3&lt;=$O$2,$D141,$D141-($D141-$I$130)*MIN(M$3-$O$2,$Q$2)/$Q$2))</f>
        <v>16284.1358770447</v>
      </c>
      <c r="N141" s="15" t="n">
        <f aca="false">M141*(1+IF(N$3&lt;=$O$2,$D141,$D141-($D141-$I$130)*MIN(N$3-$O$2,$Q$2)/$Q$2))</f>
        <v>16826.3976017503</v>
      </c>
      <c r="O141" s="15" t="n">
        <f aca="false">SUMPRODUCT(E141:N141,1/(1+$F$130)^$E$3:$N$3)*$E$2</f>
        <v>31032.0084186288</v>
      </c>
      <c r="P141" s="15" t="n">
        <f aca="false">N141*$E$2*(1+$I$130)/($F$130-$I$130)/(1+$F$130)^$N$3</f>
        <v>55955.0236723596</v>
      </c>
      <c r="Q141" s="15" t="n">
        <f aca="false">O141+P141</f>
        <v>86987.0320909884</v>
      </c>
      <c r="R141" s="15" t="n">
        <f aca="false">Q141-$G$2+$I$2</f>
        <v>80867.0320909884</v>
      </c>
      <c r="S141" s="42" t="n">
        <f aca="false">R141/$K$2</f>
        <v>466.953644133205</v>
      </c>
      <c r="T141" s="43" t="n">
        <f aca="false">S141-$M$2</f>
        <v>2.81228831844538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0.091796875</v>
      </c>
      <c r="C142" s="25" t="n">
        <f aca="false">IF(T141&gt;0,D141,C141)</f>
        <v>0.09326171875</v>
      </c>
      <c r="D142" s="41" t="n">
        <f aca="false">(B142+C142)/2</f>
        <v>0.092529296875</v>
      </c>
      <c r="E142" s="15" t="n">
        <f aca="false">$C$2*(1+IF(E$3&lt;=$O$2,$D142,$D142-($D142-$I$130)*MIN(E$3-$O$2,$Q$2)/$Q$2))</f>
        <v>8915.0390625</v>
      </c>
      <c r="F142" s="15" t="n">
        <f aca="false">E142*(1+IF(F$3&lt;=$O$2,$D142,$D142-($D142-$I$130)*MIN(F$3-$O$2,$Q$2)/$Q$2))</f>
        <v>9739.94135856628</v>
      </c>
      <c r="G142" s="15" t="n">
        <f aca="false">F142*(1+IF(G$3&lt;=$O$2,$D142,$D142-($D142-$I$130)*MIN(G$3-$O$2,$Q$2)/$Q$2))</f>
        <v>10641.1712840782</v>
      </c>
      <c r="H142" s="15" t="n">
        <f aca="false">G142*(1+IF(H$3&lt;=$O$2,$D142,$D142-($D142-$I$130)*MIN(H$3-$O$2,$Q$2)/$Q$2))</f>
        <v>11625.7913809203</v>
      </c>
      <c r="I142" s="15" t="n">
        <f aca="false">H142*(1+IF(I$3&lt;=$O$2,$D142,$D142-($D142-$I$130)*MIN(I$3-$O$2,$Q$2)/$Q$2))</f>
        <v>12701.5176830123</v>
      </c>
      <c r="J142" s="15" t="n">
        <f aca="false">I142*(1+IF(J$3&lt;=$O$2,$D142,$D142-($D142-$I$130)*MIN(J$3-$O$2,$Q$2)/$Q$2))</f>
        <v>13726.3197911448</v>
      </c>
      <c r="K142" s="15" t="n">
        <f aca="false">J142*(1+IF(K$3&lt;=$O$2,$D142,$D142-($D142-$I$130)*MIN(K$3-$O$2,$Q$2)/$Q$2))</f>
        <v>14671.2064021365</v>
      </c>
      <c r="L142" s="15" t="n">
        <f aca="false">K142*(1+IF(L$3&lt;=$O$2,$D142,$D142-($D142-$I$130)*MIN(L$3-$O$2,$Q$2)/$Q$2))</f>
        <v>15507.3436711302</v>
      </c>
      <c r="M142" s="15" t="n">
        <f aca="false">L142*(1+IF(M$3&lt;=$O$2,$D142,$D142-($D142-$I$130)*MIN(M$3-$O$2,$Q$2)/$Q$2))</f>
        <v>16207.4360277869</v>
      </c>
      <c r="N142" s="15" t="n">
        <f aca="false">M142*(1+IF(N$3&lt;=$O$2,$D142,$D142-($D142-$I$130)*MIN(N$3-$O$2,$Q$2)/$Q$2))</f>
        <v>16747.1436475122</v>
      </c>
      <c r="O142" s="15" t="n">
        <f aca="false">SUMPRODUCT(E142:N142,1/(1+$F$130)^$E$3:$N$3)*$E$2</f>
        <v>30932.8447636571</v>
      </c>
      <c r="P142" s="15" t="n">
        <f aca="false">N142*$E$2*(1+$I$130)/($F$130-$I$130)/(1+$F$130)^$N$3</f>
        <v>55691.4701185639</v>
      </c>
      <c r="Q142" s="15" t="n">
        <f aca="false">O142+P142</f>
        <v>86624.3148822211</v>
      </c>
      <c r="R142" s="15" t="n">
        <f aca="false">Q142-$G$2+$I$2</f>
        <v>80504.3148822211</v>
      </c>
      <c r="S142" s="42" t="n">
        <f aca="false">R142/$K$2</f>
        <v>464.859192067335</v>
      </c>
      <c r="T142" s="43" t="n">
        <f aca="false">S142-$M$2</f>
        <v>0.717836252575637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0.091796875</v>
      </c>
      <c r="C143" s="25" t="n">
        <f aca="false">IF(T142&gt;0,D142,C142)</f>
        <v>0.092529296875</v>
      </c>
      <c r="D143" s="41" t="n">
        <f aca="false">(B143+C143)/2</f>
        <v>0.0921630859375</v>
      </c>
      <c r="E143" s="15" t="n">
        <f aca="false">$C$2*(1+IF(E$3&lt;=$O$2,$D143,$D143-($D143-$I$130)*MIN(E$3-$O$2,$Q$2)/$Q$2))</f>
        <v>8912.05078125</v>
      </c>
      <c r="F143" s="15" t="n">
        <f aca="false">E143*(1+IF(F$3&lt;=$O$2,$D143,$D143-($D143-$I$130)*MIN(F$3-$O$2,$Q$2)/$Q$2))</f>
        <v>9733.41288328171</v>
      </c>
      <c r="G143" s="15" t="n">
        <f aca="false">F143*(1+IF(G$3&lt;=$O$2,$D143,$D143-($D143-$I$130)*MIN(G$3-$O$2,$Q$2)/$Q$2))</f>
        <v>10630.4742513088</v>
      </c>
      <c r="H143" s="15" t="n">
        <f aca="false">G143*(1+IF(H$3&lt;=$O$2,$D143,$D143-($D143-$I$130)*MIN(H$3-$O$2,$Q$2)/$Q$2))</f>
        <v>11610.2115632885</v>
      </c>
      <c r="I143" s="15" t="n">
        <f aca="false">H143*(1+IF(I$3&lt;=$O$2,$D143,$D143-($D143-$I$130)*MIN(I$3-$O$2,$Q$2)/$Q$2))</f>
        <v>12680.2444893484</v>
      </c>
      <c r="J143" s="15" t="n">
        <f aca="false">I143*(1+IF(J$3&lt;=$O$2,$D143,$D143-($D143-$I$130)*MIN(J$3-$O$2,$Q$2)/$Q$2))</f>
        <v>13699.6152877118</v>
      </c>
      <c r="K143" s="15" t="n">
        <f aca="false">J143*(1+IF(K$3&lt;=$O$2,$D143,$D143-($D143-$I$130)*MIN(K$3-$O$2,$Q$2)/$Q$2))</f>
        <v>14639.6534559873</v>
      </c>
      <c r="L143" s="15" t="n">
        <f aca="false">K143*(1+IF(L$3&lt;=$O$2,$D143,$D143-($D143-$I$130)*MIN(L$3-$O$2,$Q$2)/$Q$2))</f>
        <v>15471.8479878617</v>
      </c>
      <c r="M143" s="15" t="n">
        <f aca="false">L143*(1+IF(M$3&lt;=$O$2,$D143,$D143-($D143-$I$130)*MIN(M$3-$O$2,$Q$2)/$Q$2))</f>
        <v>16169.2046694018</v>
      </c>
      <c r="N143" s="15" t="n">
        <f aca="false">M143*(1+IF(N$3&lt;=$O$2,$D143,$D143-($D143-$I$130)*MIN(N$3-$O$2,$Q$2)/$Q$2))</f>
        <v>16707.6391848929</v>
      </c>
      <c r="O143" s="15" t="n">
        <f aca="false">SUMPRODUCT(E143:N143,1/(1+$F$130)^$E$3:$N$3)*$E$2</f>
        <v>30883.3811059443</v>
      </c>
      <c r="P143" s="15" t="n">
        <f aca="false">N143*$E$2*(1+$I$130)/($F$130-$I$130)/(1+$F$130)^$N$3</f>
        <v>55560.1007551775</v>
      </c>
      <c r="Q143" s="15" t="n">
        <f aca="false">O143+P143</f>
        <v>86443.4818611219</v>
      </c>
      <c r="R143" s="15" t="n">
        <f aca="false">Q143-$G$2+$I$2</f>
        <v>80323.4818611219</v>
      </c>
      <c r="S143" s="42" t="n">
        <f aca="false">R143/$K$2</f>
        <v>463.815000930372</v>
      </c>
      <c r="T143" s="43" t="n">
        <f aca="false">S143-$M$2</f>
        <v>-0.326354884387001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0.0921630859375</v>
      </c>
      <c r="C144" s="25" t="n">
        <f aca="false">IF(T143&gt;0,D143,C143)</f>
        <v>0.092529296875</v>
      </c>
      <c r="D144" s="41" t="n">
        <f aca="false">(B144+C144)/2</f>
        <v>0.09234619140625</v>
      </c>
      <c r="E144" s="15" t="n">
        <f aca="false">$C$2*(1+IF(E$3&lt;=$O$2,$D144,$D144-($D144-$I$130)*MIN(E$3-$O$2,$Q$2)/$Q$2))</f>
        <v>8913.544921875</v>
      </c>
      <c r="F144" s="15" t="n">
        <f aca="false">E144*(1+IF(F$3&lt;=$O$2,$D144,$D144-($D144-$I$130)*MIN(F$3-$O$2,$Q$2)/$Q$2))</f>
        <v>9736.67684733868</v>
      </c>
      <c r="G144" s="15" t="n">
        <f aca="false">F144*(1+IF(G$3&lt;=$O$2,$D144,$D144-($D144-$I$130)*MIN(G$3-$O$2,$Q$2)/$Q$2))</f>
        <v>10635.8218711438</v>
      </c>
      <c r="H144" s="15" t="n">
        <f aca="false">G144*(1+IF(H$3&lt;=$O$2,$D144,$D144-($D144-$I$130)*MIN(H$3-$O$2,$Q$2)/$Q$2))</f>
        <v>11617.9995134192</v>
      </c>
      <c r="I144" s="15" t="n">
        <f aca="false">H144*(1+IF(I$3&lt;=$O$2,$D144,$D144-($D144-$I$130)*MIN(I$3-$O$2,$Q$2)/$Q$2))</f>
        <v>12690.8775202432</v>
      </c>
      <c r="J144" s="15" t="n">
        <f aca="false">I144*(1+IF(J$3&lt;=$O$2,$D144,$D144-($D144-$I$130)*MIN(J$3-$O$2,$Q$2)/$Q$2))</f>
        <v>13712.9621282061</v>
      </c>
      <c r="K144" s="15" t="n">
        <f aca="false">J144*(1+IF(K$3&lt;=$O$2,$D144,$D144-($D144-$I$130)*MIN(K$3-$O$2,$Q$2)/$Q$2))</f>
        <v>14655.4226790166</v>
      </c>
      <c r="L144" s="15" t="n">
        <f aca="false">K144*(1+IF(L$3&lt;=$O$2,$D144,$D144-($D144-$I$130)*MIN(L$3-$O$2,$Q$2)/$Q$2))</f>
        <v>15489.5870112857</v>
      </c>
      <c r="M144" s="15" t="n">
        <f aca="false">L144*(1+IF(M$3&lt;=$O$2,$D144,$D144-($D144-$I$130)*MIN(M$3-$O$2,$Q$2)/$Q$2))</f>
        <v>16188.310482656</v>
      </c>
      <c r="N144" s="15" t="n">
        <f aca="false">M144*(1+IF(N$3&lt;=$O$2,$D144,$D144-($D144-$I$130)*MIN(N$3-$O$2,$Q$2)/$Q$2))</f>
        <v>16727.3812217284</v>
      </c>
      <c r="O144" s="15" t="n">
        <f aca="false">SUMPRODUCT(E144:N144,1/(1+$F$130)^$E$3:$N$3)*$E$2</f>
        <v>30908.1030993961</v>
      </c>
      <c r="P144" s="15" t="n">
        <f aca="false">N144*$E$2*(1+$I$130)/($F$130-$I$130)/(1+$F$130)^$N$3</f>
        <v>55625.7515358509</v>
      </c>
      <c r="Q144" s="15" t="n">
        <f aca="false">O144+P144</f>
        <v>86533.854635247</v>
      </c>
      <c r="R144" s="15" t="n">
        <f aca="false">Q144-$G$2+$I$2</f>
        <v>80413.854635247</v>
      </c>
      <c r="S144" s="42" t="n">
        <f aca="false">R144/$K$2</f>
        <v>464.336843949919</v>
      </c>
      <c r="T144" s="43" t="n">
        <f aca="false">S144-$M$2</f>
        <v>0.195488135159849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0.0921630859375</v>
      </c>
      <c r="C145" s="25" t="n">
        <f aca="false">IF(T144&gt;0,D144,C144)</f>
        <v>0.09234619140625</v>
      </c>
      <c r="D145" s="41" t="n">
        <f aca="false">(B145+C145)/2</f>
        <v>0.092254638671875</v>
      </c>
      <c r="E145" s="15" t="n">
        <f aca="false">$C$2*(1+IF(E$3&lt;=$O$2,$D145,$D145-($D145-$I$130)*MIN(E$3-$O$2,$Q$2)/$Q$2))</f>
        <v>8912.7978515625</v>
      </c>
      <c r="F145" s="15" t="n">
        <f aca="false">E145*(1+IF(F$3&lt;=$O$2,$D145,$D145-($D145-$I$130)*MIN(F$3-$O$2,$Q$2)/$Q$2))</f>
        <v>9735.04479691386</v>
      </c>
      <c r="G145" s="15" t="n">
        <f aca="false">F145*(1+IF(G$3&lt;=$O$2,$D145,$D145-($D145-$I$130)*MIN(G$3-$O$2,$Q$2)/$Q$2))</f>
        <v>10633.1478371077</v>
      </c>
      <c r="H145" s="15" t="n">
        <f aca="false">G145*(1+IF(H$3&lt;=$O$2,$D145,$D145-($D145-$I$130)*MIN(H$3-$O$2,$Q$2)/$Q$2))</f>
        <v>11614.1050487647</v>
      </c>
      <c r="I145" s="15" t="n">
        <f aca="false">H145*(1+IF(I$3&lt;=$O$2,$D145,$D145-($D145-$I$130)*MIN(I$3-$O$2,$Q$2)/$Q$2))</f>
        <v>12685.5601135356</v>
      </c>
      <c r="J145" s="15" t="n">
        <f aca="false">I145*(1+IF(J$3&lt;=$O$2,$D145,$D145-($D145-$I$130)*MIN(J$3-$O$2,$Q$2)/$Q$2))</f>
        <v>13706.2873555915</v>
      </c>
      <c r="K145" s="15" t="n">
        <f aca="false">J145*(1+IF(K$3&lt;=$O$2,$D145,$D145-($D145-$I$130)*MIN(K$3-$O$2,$Q$2)/$Q$2))</f>
        <v>14647.5362556817</v>
      </c>
      <c r="L145" s="15" t="n">
        <f aca="false">K145*(1+IF(L$3&lt;=$O$2,$D145,$D145-($D145-$I$130)*MIN(L$3-$O$2,$Q$2)/$Q$2))</f>
        <v>15480.7152959507</v>
      </c>
      <c r="M145" s="15" t="n">
        <f aca="false">L145*(1+IF(M$3&lt;=$O$2,$D145,$D145-($D145-$I$130)*MIN(M$3-$O$2,$Q$2)/$Q$2))</f>
        <v>16178.7551106368</v>
      </c>
      <c r="N145" s="15" t="n">
        <f aca="false">M145*(1+IF(N$3&lt;=$O$2,$D145,$D145-($D145-$I$130)*MIN(N$3-$O$2,$Q$2)/$Q$2))</f>
        <v>16717.507655821</v>
      </c>
      <c r="O145" s="15" t="n">
        <f aca="false">SUMPRODUCT(E145:N145,1/(1+$F$130)^$E$3:$N$3)*$E$2</f>
        <v>30895.739644724</v>
      </c>
      <c r="P145" s="15" t="n">
        <f aca="false">N145*$E$2*(1+$I$130)/($F$130-$I$130)/(1+$F$130)^$N$3</f>
        <v>55592.9176740134</v>
      </c>
      <c r="Q145" s="15" t="n">
        <f aca="false">O145+P145</f>
        <v>86488.6573187374</v>
      </c>
      <c r="R145" s="15" t="n">
        <f aca="false">Q145-$G$2+$I$2</f>
        <v>80368.6573187374</v>
      </c>
      <c r="S145" s="42" t="n">
        <f aca="false">R145/$K$2</f>
        <v>464.075859329815</v>
      </c>
      <c r="T145" s="43" t="n">
        <f aca="false">S145-$M$2</f>
        <v>-0.0654964849441058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0.092254638671875</v>
      </c>
      <c r="C146" s="25" t="n">
        <f aca="false">IF(T145&gt;0,D145,C145)</f>
        <v>0.09234619140625</v>
      </c>
      <c r="D146" s="41" t="n">
        <f aca="false">(B146+C146)/2</f>
        <v>0.0923004150390625</v>
      </c>
      <c r="E146" s="15" t="n">
        <f aca="false">$C$2*(1+IF(E$3&lt;=$O$2,$D146,$D146-($D146-$I$130)*MIN(E$3-$O$2,$Q$2)/$Q$2))</f>
        <v>8913.17138671875</v>
      </c>
      <c r="F146" s="15" t="n">
        <f aca="false">E146*(1+IF(F$3&lt;=$O$2,$D146,$D146-($D146-$I$130)*MIN(F$3-$O$2,$Q$2)/$Q$2))</f>
        <v>9735.86080502719</v>
      </c>
      <c r="G146" s="15" t="n">
        <f aca="false">F146*(1+IF(G$3&lt;=$O$2,$D146,$D146-($D146-$I$130)*MIN(G$3-$O$2,$Q$2)/$Q$2))</f>
        <v>10634.4847980937</v>
      </c>
      <c r="H146" s="15" t="n">
        <f aca="false">G146*(1+IF(H$3&lt;=$O$2,$D146,$D146-($D146-$I$130)*MIN(H$3-$O$2,$Q$2)/$Q$2))</f>
        <v>11616.0521586844</v>
      </c>
      <c r="I146" s="15" t="n">
        <f aca="false">H146*(1+IF(I$3&lt;=$O$2,$D146,$D146-($D146-$I$130)*MIN(I$3-$O$2,$Q$2)/$Q$2))</f>
        <v>12688.2185940464</v>
      </c>
      <c r="J146" s="15" t="n">
        <f aca="false">I146*(1+IF(J$3&lt;=$O$2,$D146,$D146-($D146-$I$130)*MIN(J$3-$O$2,$Q$2)/$Q$2))</f>
        <v>13709.6244037522</v>
      </c>
      <c r="K146" s="15" t="n">
        <f aca="false">J146*(1+IF(K$3&lt;=$O$2,$D146,$D146-($D146-$I$130)*MIN(K$3-$O$2,$Q$2)/$Q$2))</f>
        <v>14651.4790143077</v>
      </c>
      <c r="L146" s="15" t="n">
        <f aca="false">K146*(1+IF(L$3&lt;=$O$2,$D146,$D146-($D146-$I$130)*MIN(L$3-$O$2,$Q$2)/$Q$2))</f>
        <v>15485.1506025963</v>
      </c>
      <c r="M146" s="15" t="n">
        <f aca="false">L146*(1+IF(M$3&lt;=$O$2,$D146,$D146-($D146-$I$130)*MIN(M$3-$O$2,$Q$2)/$Q$2))</f>
        <v>16183.5321801619</v>
      </c>
      <c r="N146" s="15" t="n">
        <f aca="false">M146*(1+IF(N$3&lt;=$O$2,$D146,$D146-($D146-$I$130)*MIN(N$3-$O$2,$Q$2)/$Q$2))</f>
        <v>16722.4438017613</v>
      </c>
      <c r="O146" s="15" t="n">
        <f aca="false">SUMPRODUCT(E146:N146,1/(1+$F$130)^$E$3:$N$3)*$E$2</f>
        <v>30901.9207574604</v>
      </c>
      <c r="P146" s="15" t="n">
        <f aca="false">N146*$E$2*(1+$I$130)/($F$130-$I$130)/(1+$F$130)^$N$3</f>
        <v>55609.3324865878</v>
      </c>
      <c r="Q146" s="15" t="n">
        <f aca="false">O146+P146</f>
        <v>86511.2532440482</v>
      </c>
      <c r="R146" s="15" t="n">
        <f aca="false">Q146-$G$2+$I$2</f>
        <v>80391.2532440482</v>
      </c>
      <c r="S146" s="42" t="n">
        <f aca="false">R146/$K$2</f>
        <v>464.206335858922</v>
      </c>
      <c r="T146" s="43" t="n">
        <f aca="false">S146-$M$2</f>
        <v>0.0649800441632351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0.092254638671875</v>
      </c>
      <c r="C147" s="25" t="n">
        <f aca="false">IF(T146&gt;0,D146,C146)</f>
        <v>0.0923004150390625</v>
      </c>
      <c r="D147" s="41" t="n">
        <f aca="false">(B147+C147)/2</f>
        <v>0.0922775268554688</v>
      </c>
      <c r="E147" s="15" t="n">
        <f aca="false">$C$2*(1+IF(E$3&lt;=$O$2,$D147,$D147-($D147-$I$130)*MIN(E$3-$O$2,$Q$2)/$Q$2))</f>
        <v>8912.98461914063</v>
      </c>
      <c r="F147" s="15" t="n">
        <f aca="false">E147*(1+IF(F$3&lt;=$O$2,$D147,$D147-($D147-$I$130)*MIN(F$3-$O$2,$Q$2)/$Q$2))</f>
        <v>9735.45279669575</v>
      </c>
      <c r="G147" s="15" t="n">
        <f aca="false">F147*(1+IF(G$3&lt;=$O$2,$D147,$D147-($D147-$I$130)*MIN(G$3-$O$2,$Q$2)/$Q$2))</f>
        <v>10633.816303593</v>
      </c>
      <c r="H147" s="15" t="n">
        <f aca="false">G147*(1+IF(H$3&lt;=$O$2,$D147,$D147-($D147-$I$130)*MIN(H$3-$O$2,$Q$2)/$Q$2))</f>
        <v>11615.0785731239</v>
      </c>
      <c r="I147" s="15" t="n">
        <f aca="false">H147*(1+IF(I$3&lt;=$O$2,$D147,$D147-($D147-$I$130)*MIN(I$3-$O$2,$Q$2)/$Q$2))</f>
        <v>12686.8892980837</v>
      </c>
      <c r="J147" s="15" t="n">
        <f aca="false">I147*(1+IF(J$3&lt;=$O$2,$D147,$D147-($D147-$I$130)*MIN(J$3-$O$2,$Q$2)/$Q$2))</f>
        <v>13707.955795142</v>
      </c>
      <c r="K147" s="15" t="n">
        <f aca="false">J147*(1+IF(K$3&lt;=$O$2,$D147,$D147-($D147-$I$130)*MIN(K$3-$O$2,$Q$2)/$Q$2))</f>
        <v>14649.5075217452</v>
      </c>
      <c r="L147" s="15" t="n">
        <f aca="false">K147*(1+IF(L$3&lt;=$O$2,$D147,$D147-($D147-$I$130)*MIN(L$3-$O$2,$Q$2)/$Q$2))</f>
        <v>15482.9328115325</v>
      </c>
      <c r="M147" s="15" t="n">
        <f aca="false">L147*(1+IF(M$3&lt;=$O$2,$D147,$D147-($D147-$I$130)*MIN(M$3-$O$2,$Q$2)/$Q$2))</f>
        <v>16181.1434912953</v>
      </c>
      <c r="N147" s="15" t="n">
        <f aca="false">M147*(1+IF(N$3&lt;=$O$2,$D147,$D147-($D147-$I$130)*MIN(N$3-$O$2,$Q$2)/$Q$2))</f>
        <v>16719.9755695554</v>
      </c>
      <c r="O147" s="15" t="n">
        <f aca="false">SUMPRODUCT(E147:N147,1/(1+$F$130)^$E$3:$N$3)*$E$2</f>
        <v>30898.8300474565</v>
      </c>
      <c r="P147" s="15" t="n">
        <f aca="false">N147*$E$2*(1+$I$130)/($F$130-$I$130)/(1+$F$130)^$N$3</f>
        <v>55601.1245507731</v>
      </c>
      <c r="Q147" s="15" t="n">
        <f aca="false">O147+P147</f>
        <v>86499.9545982296</v>
      </c>
      <c r="R147" s="15" t="n">
        <f aca="false">Q147-$G$2+$I$2</f>
        <v>80379.9545982296</v>
      </c>
      <c r="S147" s="42" t="n">
        <f aca="false">R147/$K$2</f>
        <v>464.141093649553</v>
      </c>
      <c r="T147" s="43" t="n">
        <f aca="false">S147-$M$2</f>
        <v>-0.000262165206265763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0.0922775268554688</v>
      </c>
      <c r="C148" s="25" t="n">
        <f aca="false">IF(T147&gt;0,D147,C147)</f>
        <v>0.0923004150390625</v>
      </c>
      <c r="D148" s="41" t="n">
        <f aca="false">(B148+C148)/2</f>
        <v>0.0922889709472656</v>
      </c>
      <c r="E148" s="15" t="n">
        <f aca="false">$C$2*(1+IF(E$3&lt;=$O$2,$D148,$D148-($D148-$I$130)*MIN(E$3-$O$2,$Q$2)/$Q$2))</f>
        <v>8913.07800292969</v>
      </c>
      <c r="F148" s="15" t="n">
        <f aca="false">E148*(1+IF(F$3&lt;=$O$2,$D148,$D148-($D148-$I$130)*MIN(F$3-$O$2,$Q$2)/$Q$2))</f>
        <v>9735.65679979278</v>
      </c>
      <c r="G148" s="15" t="n">
        <f aca="false">F148*(1+IF(G$3&lt;=$O$2,$D148,$D148-($D148-$I$130)*MIN(G$3-$O$2,$Q$2)/$Q$2))</f>
        <v>10634.1505473414</v>
      </c>
      <c r="H148" s="15" t="n">
        <f aca="false">G148*(1+IF(H$3&lt;=$O$2,$D148,$D148-($D148-$I$130)*MIN(H$3-$O$2,$Q$2)/$Q$2))</f>
        <v>11615.5653582538</v>
      </c>
      <c r="I148" s="15" t="n">
        <f aca="false">H148*(1+IF(I$3&lt;=$O$2,$D148,$D148-($D148-$I$130)*MIN(I$3-$O$2,$Q$2)/$Q$2))</f>
        <v>12687.5539321378</v>
      </c>
      <c r="J148" s="15" t="n">
        <f aca="false">I148*(1+IF(J$3&lt;=$O$2,$D148,$D148-($D148-$I$130)*MIN(J$3-$O$2,$Q$2)/$Q$2))</f>
        <v>13708.7900783138</v>
      </c>
      <c r="K148" s="15" t="n">
        <f aca="false">J148*(1+IF(K$3&lt;=$O$2,$D148,$D148-($D148-$I$130)*MIN(K$3-$O$2,$Q$2)/$Q$2))</f>
        <v>14650.4932397127</v>
      </c>
      <c r="L148" s="15" t="n">
        <f aca="false">K148*(1+IF(L$3&lt;=$O$2,$D148,$D148-($D148-$I$130)*MIN(L$3-$O$2,$Q$2)/$Q$2))</f>
        <v>15484.0416726274</v>
      </c>
      <c r="M148" s="15" t="n">
        <f aca="false">L148*(1+IF(M$3&lt;=$O$2,$D148,$D148-($D148-$I$130)*MIN(M$3-$O$2,$Q$2)/$Q$2))</f>
        <v>16182.3377972004</v>
      </c>
      <c r="N148" s="15" t="n">
        <f aca="false">M148*(1+IF(N$3&lt;=$O$2,$D148,$D148-($D148-$I$130)*MIN(N$3-$O$2,$Q$2)/$Q$2))</f>
        <v>16721.2096458472</v>
      </c>
      <c r="O148" s="15" t="n">
        <f aca="false">SUMPRODUCT(E148:N148,1/(1+$F$130)^$E$3:$N$3)*$E$2</f>
        <v>30900.3753640477</v>
      </c>
      <c r="P148" s="15" t="n">
        <f aca="false">N148*$E$2*(1+$I$130)/($F$130-$I$130)/(1+$F$130)^$N$3</f>
        <v>55605.2283862912</v>
      </c>
      <c r="Q148" s="15" t="n">
        <f aca="false">O148+P148</f>
        <v>86505.603750339</v>
      </c>
      <c r="R148" s="15" t="n">
        <f aca="false">Q148-$G$2+$I$2</f>
        <v>80385.603750339</v>
      </c>
      <c r="S148" s="42" t="n">
        <f aca="false">R148/$K$2</f>
        <v>464.173713767981</v>
      </c>
      <c r="T148" s="43" t="n">
        <f aca="false">S148-$M$2</f>
        <v>0.0323579532217764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0.0922775268554688</v>
      </c>
      <c r="C149" s="25" t="n">
        <f aca="false">IF(T148&gt;0,D148,C148)</f>
        <v>0.0922889709472656</v>
      </c>
      <c r="D149" s="41" t="n">
        <f aca="false">(B149+C149)/2</f>
        <v>0.0922832489013672</v>
      </c>
      <c r="E149" s="15" t="n">
        <f aca="false">$C$2*(1+IF(E$3&lt;=$O$2,$D149,$D149-($D149-$I$130)*MIN(E$3-$O$2,$Q$2)/$Q$2))</f>
        <v>8913.03131103516</v>
      </c>
      <c r="F149" s="15" t="n">
        <f aca="false">E149*(1+IF(F$3&lt;=$O$2,$D149,$D149-($D149-$I$130)*MIN(F$3-$O$2,$Q$2)/$Q$2))</f>
        <v>9735.55479797709</v>
      </c>
      <c r="G149" s="15" t="n">
        <f aca="false">F149*(1+IF(G$3&lt;=$O$2,$D149,$D149-($D149-$I$130)*MIN(G$3-$O$2,$Q$2)/$Q$2))</f>
        <v>10633.9834245917</v>
      </c>
      <c r="H149" s="15" t="n">
        <f aca="false">G149*(1+IF(H$3&lt;=$O$2,$D149,$D149-($D149-$I$130)*MIN(H$3-$O$2,$Q$2)/$Q$2))</f>
        <v>11615.3219637763</v>
      </c>
      <c r="I149" s="15" t="n">
        <f aca="false">H149*(1+IF(I$3&lt;=$O$2,$D149,$D149-($D149-$I$130)*MIN(I$3-$O$2,$Q$2)/$Q$2))</f>
        <v>12687.221611629</v>
      </c>
      <c r="J149" s="15" t="n">
        <f aca="false">I149*(1+IF(J$3&lt;=$O$2,$D149,$D149-($D149-$I$130)*MIN(J$3-$O$2,$Q$2)/$Q$2))</f>
        <v>13708.3729314447</v>
      </c>
      <c r="K149" s="15" t="n">
        <f aca="false">J149*(1+IF(K$3&lt;=$O$2,$D149,$D149-($D149-$I$130)*MIN(K$3-$O$2,$Q$2)/$Q$2))</f>
        <v>14650.0003736507</v>
      </c>
      <c r="L149" s="15" t="n">
        <f aca="false">K149*(1+IF(L$3&lt;=$O$2,$D149,$D149-($D149-$I$130)*MIN(L$3-$O$2,$Q$2)/$Q$2))</f>
        <v>15483.4872334709</v>
      </c>
      <c r="M149" s="15" t="n">
        <f aca="false">L149*(1+IF(M$3&lt;=$O$2,$D149,$D149-($D149-$I$130)*MIN(M$3-$O$2,$Q$2)/$Q$2))</f>
        <v>16181.7406346161</v>
      </c>
      <c r="N149" s="15" t="n">
        <f aca="false">M149*(1+IF(N$3&lt;=$O$2,$D149,$D149-($D149-$I$130)*MIN(N$3-$O$2,$Q$2)/$Q$2))</f>
        <v>16720.5925977488</v>
      </c>
      <c r="O149" s="15" t="n">
        <f aca="false">SUMPRODUCT(E149:N149,1/(1+$F$130)^$E$3:$N$3)*$E$2</f>
        <v>30899.6026961496</v>
      </c>
      <c r="P149" s="15" t="n">
        <f aca="false">N149*$E$2*(1+$I$130)/($F$130-$I$130)/(1+$F$130)^$N$3</f>
        <v>55603.1764354358</v>
      </c>
      <c r="Q149" s="15" t="n">
        <f aca="false">O149+P149</f>
        <v>86502.7791315854</v>
      </c>
      <c r="R149" s="15" t="n">
        <f aca="false">Q149-$G$2+$I$2</f>
        <v>80382.7791315854</v>
      </c>
      <c r="S149" s="42" t="n">
        <f aca="false">R149/$K$2</f>
        <v>464.157403462209</v>
      </c>
      <c r="T149" s="43" t="n">
        <f aca="false">S149-$M$2</f>
        <v>0.0160476474502502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0.0922775268554688</v>
      </c>
      <c r="C150" s="25" t="n">
        <f aca="false">IF(T149&gt;0,D149,C149)</f>
        <v>0.0922832489013672</v>
      </c>
      <c r="D150" s="41" t="n">
        <f aca="false">(B150+C150)/2</f>
        <v>0.092280387878418</v>
      </c>
      <c r="E150" s="15" t="n">
        <f aca="false">$C$2*(1+IF(E$3&lt;=$O$2,$D150,$D150-($D150-$I$130)*MIN(E$3-$O$2,$Q$2)/$Q$2))</f>
        <v>8913.00796508789</v>
      </c>
      <c r="F150" s="15" t="n">
        <f aca="false">E150*(1+IF(F$3&lt;=$O$2,$D150,$D150-($D150-$I$130)*MIN(F$3-$O$2,$Q$2)/$Q$2))</f>
        <v>9735.50379726963</v>
      </c>
      <c r="G150" s="15" t="n">
        <f aca="false">F150*(1+IF(G$3&lt;=$O$2,$D150,$D150-($D150-$I$130)*MIN(G$3-$O$2,$Q$2)/$Q$2))</f>
        <v>10633.8998638735</v>
      </c>
      <c r="H150" s="15" t="n">
        <f aca="false">G150*(1+IF(H$3&lt;=$O$2,$D150,$D150-($D150-$I$130)*MIN(H$3-$O$2,$Q$2)/$Q$2))</f>
        <v>11615.200267972</v>
      </c>
      <c r="I150" s="15" t="n">
        <f aca="false">H150*(1+IF(I$3&lt;=$O$2,$D150,$D150-($D150-$I$130)*MIN(I$3-$O$2,$Q$2)/$Q$2))</f>
        <v>12687.0554539859</v>
      </c>
      <c r="J150" s="15" t="n">
        <f aca="false">I150*(1+IF(J$3&lt;=$O$2,$D150,$D150-($D150-$I$130)*MIN(J$3-$O$2,$Q$2)/$Q$2))</f>
        <v>13708.1643619725</v>
      </c>
      <c r="K150" s="15" t="n">
        <f aca="false">J150*(1+IF(K$3&lt;=$O$2,$D150,$D150-($D150-$I$130)*MIN(K$3-$O$2,$Q$2)/$Q$2))</f>
        <v>14649.7539459284</v>
      </c>
      <c r="L150" s="15" t="n">
        <f aca="false">K150*(1+IF(L$3&lt;=$O$2,$D150,$D150-($D150-$I$130)*MIN(L$3-$O$2,$Q$2)/$Q$2))</f>
        <v>15483.2100203495</v>
      </c>
      <c r="M150" s="15" t="n">
        <f aca="false">L150*(1+IF(M$3&lt;=$O$2,$D150,$D150-($D150-$I$130)*MIN(M$3-$O$2,$Q$2)/$Q$2))</f>
        <v>16181.4420605478</v>
      </c>
      <c r="N150" s="15" t="n">
        <f aca="false">M150*(1+IF(N$3&lt;=$O$2,$D150,$D150-($D150-$I$130)*MIN(N$3-$O$2,$Q$2)/$Q$2))</f>
        <v>16720.284081164</v>
      </c>
      <c r="O150" s="15" t="n">
        <f aca="false">SUMPRODUCT(E150:N150,1/(1+$F$130)^$E$3:$N$3)*$E$2</f>
        <v>30899.2163694025</v>
      </c>
      <c r="P150" s="15" t="n">
        <f aca="false">N150*$E$2*(1+$I$130)/($F$130-$I$130)/(1+$F$130)^$N$3</f>
        <v>55602.1504848305</v>
      </c>
      <c r="Q150" s="15" t="n">
        <f aca="false">O150+P150</f>
        <v>86501.366854233</v>
      </c>
      <c r="R150" s="15" t="n">
        <f aca="false">Q150-$G$2+$I$2</f>
        <v>80381.366854233</v>
      </c>
      <c r="S150" s="42" t="n">
        <f aca="false">R150/$K$2</f>
        <v>464.149248494243</v>
      </c>
      <c r="T150" s="43" t="n">
        <f aca="false">S150-$M$2</f>
        <v>0.00789267948351835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0.0922775268554688</v>
      </c>
      <c r="C151" s="25" t="n">
        <f aca="false">IF(T150&gt;0,D150,C150)</f>
        <v>0.092280387878418</v>
      </c>
      <c r="D151" s="41" t="n">
        <f aca="false">(B151+C151)/2</f>
        <v>0.0922789573669434</v>
      </c>
      <c r="E151" s="15" t="n">
        <f aca="false">$C$2*(1+IF(E$3&lt;=$O$2,$D151,$D151-($D151-$I$130)*MIN(E$3-$O$2,$Q$2)/$Q$2))</f>
        <v>8912.99629211426</v>
      </c>
      <c r="F151" s="15" t="n">
        <f aca="false">E151*(1+IF(F$3&lt;=$O$2,$D151,$D151-($D151-$I$130)*MIN(F$3-$O$2,$Q$2)/$Q$2))</f>
        <v>9735.47829696599</v>
      </c>
      <c r="G151" s="15" t="n">
        <f aca="false">F151*(1+IF(G$3&lt;=$O$2,$D151,$D151-($D151-$I$130)*MIN(G$3-$O$2,$Q$2)/$Q$2))</f>
        <v>10633.8580836785</v>
      </c>
      <c r="H151" s="15" t="n">
        <f aca="false">G151*(1+IF(H$3&lt;=$O$2,$D151,$D151-($D151-$I$130)*MIN(H$3-$O$2,$Q$2)/$Q$2))</f>
        <v>11615.1394204284</v>
      </c>
      <c r="I151" s="15" t="n">
        <f aca="false">H151*(1+IF(I$3&lt;=$O$2,$D151,$D151-($D151-$I$130)*MIN(I$3-$O$2,$Q$2)/$Q$2))</f>
        <v>12686.9723758172</v>
      </c>
      <c r="J151" s="15" t="n">
        <f aca="false">I151*(1+IF(J$3&lt;=$O$2,$D151,$D151-($D151-$I$130)*MIN(J$3-$O$2,$Q$2)/$Q$2))</f>
        <v>13708.0600782271</v>
      </c>
      <c r="K151" s="15" t="n">
        <f aca="false">J151*(1+IF(K$3&lt;=$O$2,$D151,$D151-($D151-$I$130)*MIN(K$3-$O$2,$Q$2)/$Q$2))</f>
        <v>14649.6307333944</v>
      </c>
      <c r="L151" s="15" t="n">
        <f aca="false">K151*(1+IF(L$3&lt;=$O$2,$D151,$D151-($D151-$I$130)*MIN(L$3-$O$2,$Q$2)/$Q$2))</f>
        <v>15483.071415403</v>
      </c>
      <c r="M151" s="15" t="n">
        <f aca="false">L151*(1+IF(M$3&lt;=$O$2,$D151,$D151-($D151-$I$130)*MIN(M$3-$O$2,$Q$2)/$Q$2))</f>
        <v>16181.2927753196</v>
      </c>
      <c r="N151" s="15" t="n">
        <f aca="false">M151*(1+IF(N$3&lt;=$O$2,$D151,$D151-($D151-$I$130)*MIN(N$3-$O$2,$Q$2)/$Q$2))</f>
        <v>16720.1298247377</v>
      </c>
      <c r="O151" s="15" t="n">
        <f aca="false">SUMPRODUCT(E151:N151,1/(1+$F$130)^$E$3:$N$3)*$E$2</f>
        <v>30899.0232078293</v>
      </c>
      <c r="P151" s="15" t="n">
        <f aca="false">N151*$E$2*(1+$I$130)/($F$130-$I$130)/(1+$F$130)^$N$3</f>
        <v>55601.6375157333</v>
      </c>
      <c r="Q151" s="15" t="n">
        <f aca="false">O151+P151</f>
        <v>86500.6607235626</v>
      </c>
      <c r="R151" s="15" t="n">
        <f aca="false">Q151-$G$2+$I$2</f>
        <v>80380.6607235626</v>
      </c>
      <c r="S151" s="42" t="n">
        <f aca="false">R151/$K$2</f>
        <v>464.145171056488</v>
      </c>
      <c r="T151" s="43" t="n">
        <f aca="false">S151-$M$2</f>
        <v>0.00381524172905756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0.0922775268554688</v>
      </c>
      <c r="C152" s="25" t="n">
        <f aca="false">IF(T151&gt;0,D151,C151)</f>
        <v>0.0922789573669434</v>
      </c>
      <c r="D152" s="41" t="n">
        <f aca="false">(B152+C152)/2</f>
        <v>0.0922782421112061</v>
      </c>
      <c r="E152" s="15" t="n">
        <f aca="false">$C$2*(1+IF(E$3&lt;=$O$2,$D152,$D152-($D152-$I$130)*MIN(E$3-$O$2,$Q$2)/$Q$2))</f>
        <v>8912.99045562744</v>
      </c>
      <c r="F152" s="15" t="n">
        <f aca="false">E152*(1+IF(F$3&lt;=$O$2,$D152,$D152-($D152-$I$130)*MIN(F$3-$O$2,$Q$2)/$Q$2))</f>
        <v>9735.4655468267</v>
      </c>
      <c r="G152" s="15" t="n">
        <f aca="false">F152*(1+IF(G$3&lt;=$O$2,$D152,$D152-($D152-$I$130)*MIN(G$3-$O$2,$Q$2)/$Q$2))</f>
        <v>10633.8371936221</v>
      </c>
      <c r="H152" s="15" t="n">
        <f aca="false">G152*(1+IF(H$3&lt;=$O$2,$D152,$D152-($D152-$I$130)*MIN(H$3-$O$2,$Q$2)/$Q$2))</f>
        <v>11615.1089967463</v>
      </c>
      <c r="I152" s="15" t="n">
        <f aca="false">H152*(1+IF(I$3&lt;=$O$2,$D152,$D152-($D152-$I$130)*MIN(I$3-$O$2,$Q$2)/$Q$2))</f>
        <v>12686.9308368961</v>
      </c>
      <c r="J152" s="15" t="n">
        <f aca="false">I152*(1+IF(J$3&lt;=$O$2,$D152,$D152-($D152-$I$130)*MIN(J$3-$O$2,$Q$2)/$Q$2))</f>
        <v>13708.007936602</v>
      </c>
      <c r="K152" s="15" t="n">
        <f aca="false">J152*(1+IF(K$3&lt;=$O$2,$D152,$D152-($D152-$I$130)*MIN(K$3-$O$2,$Q$2)/$Q$2))</f>
        <v>14649.5691274592</v>
      </c>
      <c r="L152" s="15" t="n">
        <f aca="false">K152*(1+IF(L$3&lt;=$O$2,$D152,$D152-($D152-$I$130)*MIN(L$3-$O$2,$Q$2)/$Q$2))</f>
        <v>15483.0021133332</v>
      </c>
      <c r="M152" s="15" t="n">
        <f aca="false">L152*(1+IF(M$3&lt;=$O$2,$D152,$D152-($D152-$I$130)*MIN(M$3-$O$2,$Q$2)/$Q$2))</f>
        <v>16181.2181331569</v>
      </c>
      <c r="N152" s="15" t="n">
        <f aca="false">M152*(1+IF(N$3&lt;=$O$2,$D152,$D152-($D152-$I$130)*MIN(N$3-$O$2,$Q$2)/$Q$2))</f>
        <v>16720.0526969911</v>
      </c>
      <c r="O152" s="15" t="n">
        <f aca="false">SUMPRODUCT(E152:N152,1/(1+$F$130)^$E$3:$N$3)*$E$2</f>
        <v>30898.9266274929</v>
      </c>
      <c r="P152" s="15" t="n">
        <f aca="false">N152*$E$2*(1+$I$130)/($F$130-$I$130)/(1+$F$130)^$N$3</f>
        <v>55601.3810327361</v>
      </c>
      <c r="Q152" s="15" t="n">
        <f aca="false">O152+P152</f>
        <v>86500.307660229</v>
      </c>
      <c r="R152" s="15" t="n">
        <f aca="false">Q152-$G$2+$I$2</f>
        <v>80380.307660229</v>
      </c>
      <c r="S152" s="42" t="n">
        <f aca="false">R152/$K$2</f>
        <v>464.143132349168</v>
      </c>
      <c r="T152" s="43" t="n">
        <f aca="false">S152-$M$2</f>
        <v>0.00177653440897529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0.0922775268554688</v>
      </c>
      <c r="C153" s="25" t="n">
        <f aca="false">IF(T152&gt;0,D152,C152)</f>
        <v>0.0922782421112061</v>
      </c>
      <c r="D153" s="41" t="n">
        <f aca="false">(B153+C153)/2</f>
        <v>0.0922778844833374</v>
      </c>
      <c r="E153" s="15" t="n">
        <f aca="false">$C$2*(1+IF(E$3&lt;=$O$2,$D153,$D153-($D153-$I$130)*MIN(E$3-$O$2,$Q$2)/$Q$2))</f>
        <v>8912.98753738403</v>
      </c>
      <c r="F153" s="15" t="n">
        <f aca="false">E153*(1+IF(F$3&lt;=$O$2,$D153,$D153-($D153-$I$130)*MIN(F$3-$O$2,$Q$2)/$Q$2))</f>
        <v>9735.45917176018</v>
      </c>
      <c r="G153" s="15" t="n">
        <f aca="false">F153*(1+IF(G$3&lt;=$O$2,$D153,$D153-($D153-$I$130)*MIN(G$3-$O$2,$Q$2)/$Q$2))</f>
        <v>10633.8267486041</v>
      </c>
      <c r="H153" s="15" t="n">
        <f aca="false">G153*(1+IF(H$3&lt;=$O$2,$D153,$D153-($D153-$I$130)*MIN(H$3-$O$2,$Q$2)/$Q$2))</f>
        <v>11615.0937849276</v>
      </c>
      <c r="I153" s="15" t="n">
        <f aca="false">H153*(1+IF(I$3&lt;=$O$2,$D153,$D153-($D153-$I$130)*MIN(I$3-$O$2,$Q$2)/$Q$2))</f>
        <v>12686.9100674763</v>
      </c>
      <c r="J153" s="15" t="n">
        <f aca="false">I153*(1+IF(J$3&lt;=$O$2,$D153,$D153-($D153-$I$130)*MIN(J$3-$O$2,$Q$2)/$Q$2))</f>
        <v>13707.9818658514</v>
      </c>
      <c r="K153" s="15" t="n">
        <f aca="false">J153*(1+IF(K$3&lt;=$O$2,$D153,$D153-($D153-$I$130)*MIN(K$3-$O$2,$Q$2)/$Q$2))</f>
        <v>14649.5383245745</v>
      </c>
      <c r="L153" s="15" t="n">
        <f aca="false">K153*(1+IF(L$3&lt;=$O$2,$D153,$D153-($D153-$I$130)*MIN(L$3-$O$2,$Q$2)/$Q$2))</f>
        <v>15482.9674623993</v>
      </c>
      <c r="M153" s="15" t="n">
        <f aca="false">L153*(1+IF(M$3&lt;=$O$2,$D153,$D153-($D153-$I$130)*MIN(M$3-$O$2,$Q$2)/$Q$2))</f>
        <v>16181.1808121885</v>
      </c>
      <c r="N153" s="15" t="n">
        <f aca="false">M153*(1+IF(N$3&lt;=$O$2,$D153,$D153-($D153-$I$130)*MIN(N$3-$O$2,$Q$2)/$Q$2))</f>
        <v>16720.0141332344</v>
      </c>
      <c r="O153" s="15" t="n">
        <f aca="false">SUMPRODUCT(E153:N153,1/(1+$F$130)^$E$3:$N$3)*$E$2</f>
        <v>30898.8783374371</v>
      </c>
      <c r="P153" s="15" t="n">
        <f aca="false">N153*$E$2*(1+$I$130)/($F$130-$I$130)/(1+$F$130)^$N$3</f>
        <v>55601.2527916253</v>
      </c>
      <c r="Q153" s="15" t="n">
        <f aca="false">O153+P153</f>
        <v>86500.1311290625</v>
      </c>
      <c r="R153" s="15" t="n">
        <f aca="false">Q153-$G$2+$I$2</f>
        <v>80380.1311290625</v>
      </c>
      <c r="S153" s="42" t="n">
        <f aca="false">R153/$K$2</f>
        <v>464.142112998397</v>
      </c>
      <c r="T153" s="43" t="n">
        <f aca="false">S153-$M$2</f>
        <v>0.00075718363825672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0.0922775268554688</v>
      </c>
      <c r="C154" s="25" t="n">
        <f aca="false">IF(T153&gt;0,D153,C153)</f>
        <v>0.0922778844833374</v>
      </c>
      <c r="D154" s="41" t="n">
        <f aca="false">(B154+C154)/2</f>
        <v>0.0922777056694031</v>
      </c>
      <c r="E154" s="15" t="n">
        <f aca="false">$C$2*(1+IF(E$3&lt;=$O$2,$D154,$D154-($D154-$I$130)*MIN(E$3-$O$2,$Q$2)/$Q$2))</f>
        <v>8912.98607826233</v>
      </c>
      <c r="F154" s="15" t="n">
        <f aca="false">E154*(1+IF(F$3&lt;=$O$2,$D154,$D154-($D154-$I$130)*MIN(F$3-$O$2,$Q$2)/$Q$2))</f>
        <v>9735.45598422771</v>
      </c>
      <c r="G154" s="15" t="n">
        <f aca="false">F154*(1+IF(G$3&lt;=$O$2,$D154,$D154-($D154-$I$130)*MIN(G$3-$O$2,$Q$2)/$Q$2))</f>
        <v>10633.8215260977</v>
      </c>
      <c r="H154" s="15" t="n">
        <f aca="false">G154*(1+IF(H$3&lt;=$O$2,$D154,$D154-($D154-$I$130)*MIN(H$3-$O$2,$Q$2)/$Q$2))</f>
        <v>11615.0861790239</v>
      </c>
      <c r="I154" s="15" t="n">
        <f aca="false">H154*(1+IF(I$3&lt;=$O$2,$D154,$D154-($D154-$I$130)*MIN(I$3-$O$2,$Q$2)/$Q$2))</f>
        <v>12686.8996827766</v>
      </c>
      <c r="J154" s="15" t="n">
        <f aca="false">I154*(1+IF(J$3&lt;=$O$2,$D154,$D154-($D154-$I$130)*MIN(J$3-$O$2,$Q$2)/$Q$2))</f>
        <v>13707.9688304915</v>
      </c>
      <c r="K154" s="15" t="n">
        <f aca="false">J154*(1+IF(K$3&lt;=$O$2,$D154,$D154-($D154-$I$130)*MIN(K$3-$O$2,$Q$2)/$Q$2))</f>
        <v>14649.5229231529</v>
      </c>
      <c r="L154" s="15" t="n">
        <f aca="false">K154*(1+IF(L$3&lt;=$O$2,$D154,$D154-($D154-$I$130)*MIN(L$3-$O$2,$Q$2)/$Q$2))</f>
        <v>15482.9501369575</v>
      </c>
      <c r="M154" s="15" t="n">
        <f aca="false">L154*(1+IF(M$3&lt;=$O$2,$D154,$D154-($D154-$I$130)*MIN(M$3-$O$2,$Q$2)/$Q$2))</f>
        <v>16181.1621517325</v>
      </c>
      <c r="N154" s="15" t="n">
        <f aca="false">M154*(1+IF(N$3&lt;=$O$2,$D154,$D154-($D154-$I$130)*MIN(N$3-$O$2,$Q$2)/$Q$2))</f>
        <v>16719.9948513852</v>
      </c>
      <c r="O154" s="15" t="n">
        <f aca="false">SUMPRODUCT(E154:N154,1/(1+$F$130)^$E$3:$N$3)*$E$2</f>
        <v>30898.8541924374</v>
      </c>
      <c r="P154" s="15" t="n">
        <f aca="false">N154*$E$2*(1+$I$130)/($F$130-$I$130)/(1+$F$130)^$N$3</f>
        <v>55601.1886711669</v>
      </c>
      <c r="Q154" s="15" t="n">
        <f aca="false">O154+P154</f>
        <v>86500.0428636043</v>
      </c>
      <c r="R154" s="15" t="n">
        <f aca="false">Q154-$G$2+$I$2</f>
        <v>80380.0428636043</v>
      </c>
      <c r="S154" s="42" t="n">
        <f aca="false">R154/$K$2</f>
        <v>464.141603323734</v>
      </c>
      <c r="T154" s="43" t="n">
        <f aca="false">S154-$M$2</f>
        <v>0.000247508975178334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0.0922775268554688</v>
      </c>
      <c r="C155" s="25" t="n">
        <f aca="false">IF(T154&gt;0,D154,C154)</f>
        <v>0.0922777056694031</v>
      </c>
      <c r="D155" s="41" t="n">
        <f aca="false">(B155+C155)/2</f>
        <v>0.0922776162624359</v>
      </c>
      <c r="E155" s="15" t="n">
        <f aca="false">$C$2*(1+IF(E$3&lt;=$O$2,$D155,$D155-($D155-$I$130)*MIN(E$3-$O$2,$Q$2)/$Q$2))</f>
        <v>8912.98534870148</v>
      </c>
      <c r="F155" s="15" t="n">
        <f aca="false">E155*(1+IF(F$3&lt;=$O$2,$D155,$D155-($D155-$I$130)*MIN(F$3-$O$2,$Q$2)/$Q$2))</f>
        <v>9735.45439046167</v>
      </c>
      <c r="G155" s="15" t="n">
        <f aca="false">F155*(1+IF(G$3&lt;=$O$2,$D155,$D155-($D155-$I$130)*MIN(G$3-$O$2,$Q$2)/$Q$2))</f>
        <v>10633.8189148451</v>
      </c>
      <c r="H155" s="15" t="n">
        <f aca="false">G155*(1+IF(H$3&lt;=$O$2,$D155,$D155-($D155-$I$130)*MIN(H$3-$O$2,$Q$2)/$Q$2))</f>
        <v>11615.0823760734</v>
      </c>
      <c r="I155" s="15" t="n">
        <f aca="false">H155*(1+IF(I$3&lt;=$O$2,$D155,$D155-($D155-$I$130)*MIN(I$3-$O$2,$Q$2)/$Q$2))</f>
        <v>12686.8944904293</v>
      </c>
      <c r="J155" s="15" t="n">
        <f aca="false">I155*(1+IF(J$3&lt;=$O$2,$D155,$D155-($D155-$I$130)*MIN(J$3-$O$2,$Q$2)/$Q$2))</f>
        <v>13707.9623128155</v>
      </c>
      <c r="K155" s="15" t="n">
        <f aca="false">J155*(1+IF(K$3&lt;=$O$2,$D155,$D155-($D155-$I$130)*MIN(K$3-$O$2,$Q$2)/$Q$2))</f>
        <v>14649.5152224473</v>
      </c>
      <c r="L155" s="15" t="n">
        <f aca="false">K155*(1+IF(L$3&lt;=$O$2,$D155,$D155-($D155-$I$130)*MIN(L$3-$O$2,$Q$2)/$Q$2))</f>
        <v>15482.9414742429</v>
      </c>
      <c r="M155" s="15" t="n">
        <f aca="false">L155*(1+IF(M$3&lt;=$O$2,$D155,$D155-($D155-$I$130)*MIN(M$3-$O$2,$Q$2)/$Q$2))</f>
        <v>16181.1528215115</v>
      </c>
      <c r="N155" s="15" t="n">
        <f aca="false">M155*(1+IF(N$3&lt;=$O$2,$D155,$D155-($D155-$I$130)*MIN(N$3-$O$2,$Q$2)/$Q$2))</f>
        <v>16719.9852104679</v>
      </c>
      <c r="O155" s="15" t="n">
        <f aca="false">SUMPRODUCT(E155:N155,1/(1+$F$130)^$E$3:$N$3)*$E$2</f>
        <v>30898.8421199446</v>
      </c>
      <c r="P155" s="15" t="n">
        <f aca="false">N155*$E$2*(1+$I$130)/($F$130-$I$130)/(1+$F$130)^$N$3</f>
        <v>55601.1566109619</v>
      </c>
      <c r="Q155" s="15" t="n">
        <f aca="false">O155+P155</f>
        <v>86499.9987309065</v>
      </c>
      <c r="R155" s="15" t="n">
        <f aca="false">Q155-$G$2+$I$2</f>
        <v>80379.9987309065</v>
      </c>
      <c r="S155" s="42" t="n">
        <f aca="false">R155/$K$2</f>
        <v>464.141348486583</v>
      </c>
      <c r="T155" s="43" t="n">
        <f aca="false">S155-$M$2</f>
        <v>-7.32817579773837E-006</v>
      </c>
    </row>
    <row r="157" customFormat="false" ht="15" hidden="false" customHeight="false" outlineLevel="0" collapsed="false">
      <c r="A157" s="38" t="s">
        <v>186</v>
      </c>
      <c r="E157" s="5" t="s">
        <v>11</v>
      </c>
      <c r="F157" s="12" t="n">
        <f aca="false">Sensitivity!$B$10</f>
        <v>0.0853160519233867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162</v>
      </c>
      <c r="B158" s="28" t="s">
        <v>163</v>
      </c>
      <c r="C158" s="28" t="s">
        <v>164</v>
      </c>
      <c r="D158" s="28" t="s">
        <v>165</v>
      </c>
      <c r="E158" s="28" t="s">
        <v>166</v>
      </c>
      <c r="F158" s="28" t="s">
        <v>167</v>
      </c>
      <c r="G158" s="28" t="s">
        <v>168</v>
      </c>
      <c r="H158" s="28" t="s">
        <v>169</v>
      </c>
      <c r="I158" s="28" t="s">
        <v>170</v>
      </c>
      <c r="J158" s="28" t="s">
        <v>171</v>
      </c>
      <c r="K158" s="28" t="s">
        <v>172</v>
      </c>
      <c r="L158" s="28" t="s">
        <v>173</v>
      </c>
      <c r="M158" s="28" t="s">
        <v>174</v>
      </c>
      <c r="N158" s="28" t="s">
        <v>175</v>
      </c>
      <c r="O158" s="28" t="s">
        <v>176</v>
      </c>
      <c r="P158" s="28" t="s">
        <v>177</v>
      </c>
      <c r="Q158" s="28" t="s">
        <v>178</v>
      </c>
      <c r="R158" s="28" t="s">
        <v>179</v>
      </c>
      <c r="S158" s="28" t="s">
        <v>180</v>
      </c>
      <c r="T158" s="28" t="s">
        <v>181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10200</v>
      </c>
      <c r="F159" s="15" t="n">
        <f aca="false">E159*(1+IF(F$3&lt;=$O$2,$D159,$D159-($D159-$I$157)*MIN(F$3-$O$2,$Q$2)/$Q$2))</f>
        <v>12750</v>
      </c>
      <c r="G159" s="15" t="n">
        <f aca="false">F159*(1+IF(G$3&lt;=$O$2,$D159,$D159-($D159-$I$157)*MIN(G$3-$O$2,$Q$2)/$Q$2))</f>
        <v>15937.5</v>
      </c>
      <c r="H159" s="15" t="n">
        <f aca="false">G159*(1+IF(H$3&lt;=$O$2,$D159,$D159-($D159-$I$157)*MIN(H$3-$O$2,$Q$2)/$Q$2))</f>
        <v>19921.875</v>
      </c>
      <c r="I159" s="15" t="n">
        <f aca="false">H159*(1+IF(I$3&lt;=$O$2,$D159,$D159-($D159-$I$157)*MIN(I$3-$O$2,$Q$2)/$Q$2))</f>
        <v>24902.34375</v>
      </c>
      <c r="J159" s="15" t="n">
        <f aca="false">I159*(1+IF(J$3&lt;=$O$2,$D159,$D159-($D159-$I$157)*MIN(J$3-$O$2,$Q$2)/$Q$2))</f>
        <v>30073.564453125</v>
      </c>
      <c r="K159" s="15" t="n">
        <f aca="false">J159*(1+IF(K$3&lt;=$O$2,$D159,$D159-($D159-$I$157)*MIN(K$3-$O$2,$Q$2)/$Q$2))</f>
        <v>35045.3261285156</v>
      </c>
      <c r="L159" s="15" t="n">
        <f aca="false">K159*(1+IF(L$3&lt;=$O$2,$D159,$D159-($D159-$I$157)*MIN(L$3-$O$2,$Q$2)/$Q$2))</f>
        <v>39355.2003358005</v>
      </c>
      <c r="M159" s="15" t="n">
        <f aca="false">L159*(1+IF(M$3&lt;=$O$2,$D159,$D159-($D159-$I$157)*MIN(M$3-$O$2,$Q$2)/$Q$2))</f>
        <v>42528.8036908794</v>
      </c>
      <c r="N159" s="15" t="n">
        <f aca="false">M159*(1+IF(N$3&lt;=$O$2,$D159,$D159-($D159-$I$157)*MIN(N$3-$O$2,$Q$2)/$Q$2))</f>
        <v>44157.6568722401</v>
      </c>
      <c r="O159" s="15" t="n">
        <f aca="false">SUMPRODUCT(E159:N159,1/(1+$F$157)^$E$3:$N$3)*$E$2</f>
        <v>61500.4434350429</v>
      </c>
      <c r="P159" s="15" t="n">
        <f aca="false">N159*$E$2*(1+$I$157)/($F$157-$I$157)/(1+$F$157)^$N$3</f>
        <v>163245.647308595</v>
      </c>
      <c r="Q159" s="15" t="n">
        <f aca="false">O159+P159</f>
        <v>224746.090743638</v>
      </c>
      <c r="R159" s="15" t="n">
        <f aca="false">Q159-$G$2+$I$2</f>
        <v>218626.090743638</v>
      </c>
      <c r="S159" s="42" t="n">
        <f aca="false">R159/$K$2</f>
        <v>1262.42112682549</v>
      </c>
      <c r="T159" s="43" t="n">
        <f aca="false">S159-$M$2</f>
        <v>798.279771010727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7140</v>
      </c>
      <c r="F160" s="15" t="n">
        <f aca="false">E160*(1+IF(F$3&lt;=$O$2,$D160,$D160-($D160-$I$157)*MIN(F$3-$O$2,$Q$2)/$Q$2))</f>
        <v>6247.5</v>
      </c>
      <c r="G160" s="15" t="n">
        <f aca="false">F160*(1+IF(G$3&lt;=$O$2,$D160,$D160-($D160-$I$157)*MIN(G$3-$O$2,$Q$2)/$Q$2))</f>
        <v>5466.5625</v>
      </c>
      <c r="H160" s="15" t="n">
        <f aca="false">G160*(1+IF(H$3&lt;=$O$2,$D160,$D160-($D160-$I$157)*MIN(H$3-$O$2,$Q$2)/$Q$2))</f>
        <v>4783.2421875</v>
      </c>
      <c r="I160" s="15" t="n">
        <f aca="false">H160*(1+IF(I$3&lt;=$O$2,$D160,$D160-($D160-$I$157)*MIN(I$3-$O$2,$Q$2)/$Q$2))</f>
        <v>4185.3369140625</v>
      </c>
      <c r="J160" s="15" t="n">
        <f aca="false">I160*(1+IF(J$3&lt;=$O$2,$D160,$D160-($D160-$I$157)*MIN(J$3-$O$2,$Q$2)/$Q$2))</f>
        <v>3798.86290341797</v>
      </c>
      <c r="K160" s="15" t="n">
        <f aca="false">J160*(1+IF(K$3&lt;=$O$2,$D160,$D160-($D160-$I$157)*MIN(K$3-$O$2,$Q$2)/$Q$2))</f>
        <v>3572.14676534198</v>
      </c>
      <c r="L160" s="15" t="n">
        <f aca="false">K160*(1+IF(L$3&lt;=$O$2,$D160,$D160-($D160-$I$157)*MIN(L$3-$O$2,$Q$2)/$Q$2))</f>
        <v>3475.62735974244</v>
      </c>
      <c r="M160" s="15" t="n">
        <f aca="false">L160*(1+IF(M$3&lt;=$O$2,$D160,$D160-($D160-$I$157)*MIN(M$3-$O$2,$Q$2)/$Q$2))</f>
        <v>3495.22989805139</v>
      </c>
      <c r="N160" s="15" t="n">
        <f aca="false">M160*(1+IF(N$3&lt;=$O$2,$D160,$D160-($D160-$I$157)*MIN(N$3-$O$2,$Q$2)/$Q$2))</f>
        <v>3629.09720314676</v>
      </c>
      <c r="O160" s="15" t="n">
        <f aca="false">SUMPRODUCT(E160:N160,1/(1+$F$157)^$E$3:$N$3)*$E$2</f>
        <v>12072.1308294883</v>
      </c>
      <c r="P160" s="15" t="n">
        <f aca="false">N160*$E$2*(1+$I$157)/($F$157-$I$157)/(1+$F$157)^$N$3</f>
        <v>13416.3441639935</v>
      </c>
      <c r="Q160" s="15" t="n">
        <f aca="false">O160+P160</f>
        <v>25488.4749934817</v>
      </c>
      <c r="R160" s="15" t="n">
        <f aca="false">Q160-$G$2+$I$2</f>
        <v>19368.4749934817</v>
      </c>
      <c r="S160" s="42" t="n">
        <f aca="false">R160/$K$2</f>
        <v>111.840137391626</v>
      </c>
      <c r="T160" s="43" t="n">
        <f aca="false">S160-$M$2</f>
        <v>-352.301218423134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8670</v>
      </c>
      <c r="F161" s="15" t="n">
        <f aca="false">E161*(1+IF(F$3&lt;=$O$2,$D161,$D161-($D161-$I$157)*MIN(F$3-$O$2,$Q$2)/$Q$2))</f>
        <v>9211.875</v>
      </c>
      <c r="G161" s="15" t="n">
        <f aca="false">F161*(1+IF(G$3&lt;=$O$2,$D161,$D161-($D161-$I$157)*MIN(G$3-$O$2,$Q$2)/$Q$2))</f>
        <v>9787.6171875</v>
      </c>
      <c r="H161" s="15" t="n">
        <f aca="false">G161*(1+IF(H$3&lt;=$O$2,$D161,$D161-($D161-$I$157)*MIN(H$3-$O$2,$Q$2)/$Q$2))</f>
        <v>10399.3432617188</v>
      </c>
      <c r="I161" s="15" t="n">
        <f aca="false">H161*(1+IF(I$3&lt;=$O$2,$D161,$D161-($D161-$I$157)*MIN(I$3-$O$2,$Q$2)/$Q$2))</f>
        <v>11049.3022155762</v>
      </c>
      <c r="J161" s="15" t="n">
        <f aca="false">I161*(1+IF(J$3&lt;=$O$2,$D161,$D161-($D161-$I$157)*MIN(J$3-$O$2,$Q$2)/$Q$2))</f>
        <v>11686.4049813263</v>
      </c>
      <c r="K161" s="15" t="n">
        <f aca="false">J161*(1+IF(K$3&lt;=$O$2,$D161,$D161-($D161-$I$157)*MIN(K$3-$O$2,$Q$2)/$Q$2))</f>
        <v>12303.68089244</v>
      </c>
      <c r="L161" s="15" t="n">
        <f aca="false">K161*(1+IF(L$3&lt;=$O$2,$D161,$D161-($D161-$I$157)*MIN(L$3-$O$2,$Q$2)/$Q$2))</f>
        <v>12894.0115016592</v>
      </c>
      <c r="M161" s="15" t="n">
        <f aca="false">L161*(1+IF(M$3&lt;=$O$2,$D161,$D161-($D161-$I$157)*MIN(M$3-$O$2,$Q$2)/$Q$2))</f>
        <v>13450.2591578408</v>
      </c>
      <c r="N161" s="15" t="n">
        <f aca="false">M161*(1+IF(N$3&lt;=$O$2,$D161,$D161-($D161-$I$157)*MIN(N$3-$O$2,$Q$2)/$Q$2))</f>
        <v>13965.4040835861</v>
      </c>
      <c r="O161" s="15" t="n">
        <f aca="false">SUMPRODUCT(E161:N161,1/(1+$F$157)^$E$3:$N$3)*$E$2</f>
        <v>27209.1132483568</v>
      </c>
      <c r="P161" s="15" t="n">
        <f aca="false">N161*$E$2*(1+$I$157)/($F$157-$I$157)/(1+$F$157)^$N$3</f>
        <v>51628.4511233726</v>
      </c>
      <c r="Q161" s="15" t="n">
        <f aca="false">O161+P161</f>
        <v>78837.5643717294</v>
      </c>
      <c r="R161" s="15" t="n">
        <f aca="false">Q161-$G$2+$I$2</f>
        <v>72717.5643717294</v>
      </c>
      <c r="S161" s="42" t="n">
        <f aca="false">R161/$K$2</f>
        <v>419.895856171206</v>
      </c>
      <c r="T161" s="43" t="n">
        <f aca="false">S161-$M$2</f>
        <v>-44.2454996435534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0.0625</v>
      </c>
      <c r="C162" s="25" t="n">
        <f aca="false">IF(T161&gt;0,D161,C161)</f>
        <v>0.25</v>
      </c>
      <c r="D162" s="41" t="n">
        <f aca="false">(B162+C162)/2</f>
        <v>0.15625</v>
      </c>
      <c r="E162" s="15" t="n">
        <f aca="false">$C$2*(1+IF(E$3&lt;=$O$2,$D162,$D162-($D162-$I$157)*MIN(E$3-$O$2,$Q$2)/$Q$2))</f>
        <v>9435</v>
      </c>
      <c r="F162" s="15" t="n">
        <f aca="false">E162*(1+IF(F$3&lt;=$O$2,$D162,$D162-($D162-$I$157)*MIN(F$3-$O$2,$Q$2)/$Q$2))</f>
        <v>10909.21875</v>
      </c>
      <c r="G162" s="15" t="n">
        <f aca="false">F162*(1+IF(G$3&lt;=$O$2,$D162,$D162-($D162-$I$157)*MIN(G$3-$O$2,$Q$2)/$Q$2))</f>
        <v>12613.7841796875</v>
      </c>
      <c r="H162" s="15" t="n">
        <f aca="false">G162*(1+IF(H$3&lt;=$O$2,$D162,$D162-($D162-$I$157)*MIN(H$3-$O$2,$Q$2)/$Q$2))</f>
        <v>14584.6879577637</v>
      </c>
      <c r="I162" s="15" t="n">
        <f aca="false">H162*(1+IF(I$3&lt;=$O$2,$D162,$D162-($D162-$I$157)*MIN(I$3-$O$2,$Q$2)/$Q$2))</f>
        <v>16863.5454511642</v>
      </c>
      <c r="J162" s="15" t="n">
        <f aca="false">I162*(1+IF(J$3&lt;=$O$2,$D162,$D162-($D162-$I$157)*MIN(J$3-$O$2,$Q$2)/$Q$2))</f>
        <v>19100.6633907157</v>
      </c>
      <c r="K162" s="15" t="n">
        <f aca="false">J162*(1+IF(K$3&lt;=$O$2,$D162,$D162-($D162-$I$157)*MIN(K$3-$O$2,$Q$2)/$Q$2))</f>
        <v>21183.9727467411</v>
      </c>
      <c r="L162" s="15" t="n">
        <f aca="false">K162*(1+IF(L$3&lt;=$O$2,$D162,$D162-($D162-$I$157)*MIN(L$3-$O$2,$Q$2)/$Q$2))</f>
        <v>22994.7787371325</v>
      </c>
      <c r="M162" s="15" t="n">
        <f aca="false">L162*(1+IF(M$3&lt;=$O$2,$D162,$D162-($D162-$I$157)*MIN(M$3-$O$2,$Q$2)/$Q$2))</f>
        <v>24417.9255931736</v>
      </c>
      <c r="N162" s="15" t="n">
        <f aca="false">M162*(1+IF(N$3&lt;=$O$2,$D162,$D162-($D162-$I$157)*MIN(N$3-$O$2,$Q$2)/$Q$2))</f>
        <v>25353.1321433922</v>
      </c>
      <c r="O162" s="15" t="n">
        <f aca="false">SUMPRODUCT(E162:N162,1/(1+$F$157)^$E$3:$N$3)*$E$2</f>
        <v>40986.7409245006</v>
      </c>
      <c r="P162" s="15" t="n">
        <f aca="false">N162*$E$2*(1+$I$157)/($F$157-$I$157)/(1+$F$157)^$N$3</f>
        <v>93727.5381260155</v>
      </c>
      <c r="Q162" s="15" t="n">
        <f aca="false">O162+P162</f>
        <v>134714.279050516</v>
      </c>
      <c r="R162" s="15" t="n">
        <f aca="false">Q162-$G$2+$I$2</f>
        <v>128594.279050516</v>
      </c>
      <c r="S162" s="42" t="n">
        <f aca="false">R162/$K$2</f>
        <v>742.546939892113</v>
      </c>
      <c r="T162" s="43" t="n">
        <f aca="false">S162-$M$2</f>
        <v>278.405584077354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0.0625</v>
      </c>
      <c r="C163" s="25" t="n">
        <f aca="false">IF(T162&gt;0,D162,C162)</f>
        <v>0.15625</v>
      </c>
      <c r="D163" s="41" t="n">
        <f aca="false">(B163+C163)/2</f>
        <v>0.109375</v>
      </c>
      <c r="E163" s="15" t="n">
        <f aca="false">$C$2*(1+IF(E$3&lt;=$O$2,$D163,$D163-($D163-$I$157)*MIN(E$3-$O$2,$Q$2)/$Q$2))</f>
        <v>9052.5</v>
      </c>
      <c r="F163" s="15" t="n">
        <f aca="false">E163*(1+IF(F$3&lt;=$O$2,$D163,$D163-($D163-$I$157)*MIN(F$3-$O$2,$Q$2)/$Q$2))</f>
        <v>10042.6171875</v>
      </c>
      <c r="G163" s="15" t="n">
        <f aca="false">F163*(1+IF(G$3&lt;=$O$2,$D163,$D163-($D163-$I$157)*MIN(G$3-$O$2,$Q$2)/$Q$2))</f>
        <v>11141.0284423828</v>
      </c>
      <c r="H163" s="15" t="n">
        <f aca="false">G163*(1+IF(H$3&lt;=$O$2,$D163,$D163-($D163-$I$157)*MIN(H$3-$O$2,$Q$2)/$Q$2))</f>
        <v>12359.5784282684</v>
      </c>
      <c r="I163" s="15" t="n">
        <f aca="false">H163*(1+IF(I$3&lt;=$O$2,$D163,$D163-($D163-$I$157)*MIN(I$3-$O$2,$Q$2)/$Q$2))</f>
        <v>13711.4073188603</v>
      </c>
      <c r="J163" s="15" t="n">
        <f aca="false">I163*(1+IF(J$3&lt;=$O$2,$D163,$D163-($D163-$I$157)*MIN(J$3-$O$2,$Q$2)/$Q$2))</f>
        <v>15016.184839323</v>
      </c>
      <c r="K163" s="15" t="n">
        <f aca="false">J163*(1+IF(K$3&lt;=$O$2,$D163,$D163-($D163-$I$157)*MIN(K$3-$O$2,$Q$2)/$Q$2))</f>
        <v>16231.669921142</v>
      </c>
      <c r="L163" s="15" t="n">
        <f aca="false">K163*(1+IF(L$3&lt;=$O$2,$D163,$D163-($D163-$I$157)*MIN(L$3-$O$2,$Q$2)/$Q$2))</f>
        <v>17314.8092549799</v>
      </c>
      <c r="M163" s="15" t="n">
        <f aca="false">L163*(1+IF(M$3&lt;=$O$2,$D163,$D163-($D163-$I$157)*MIN(M$3-$O$2,$Q$2)/$Q$2))</f>
        <v>18224.0964630051</v>
      </c>
      <c r="N163" s="15" t="n">
        <f aca="false">M163*(1+IF(N$3&lt;=$O$2,$D163,$D163-($D163-$I$157)*MIN(N$3-$O$2,$Q$2)/$Q$2))</f>
        <v>18922.0793575382</v>
      </c>
      <c r="O163" s="15" t="n">
        <f aca="false">SUMPRODUCT(E163:N163,1/(1+$F$157)^$E$3:$N$3)*$E$2</f>
        <v>33402.6383845235</v>
      </c>
      <c r="P163" s="15" t="n">
        <f aca="false">N163*$E$2*(1+$I$157)/($F$157-$I$157)/(1+$F$157)^$N$3</f>
        <v>69952.6947746135</v>
      </c>
      <c r="Q163" s="15" t="n">
        <f aca="false">O163+P163</f>
        <v>103355.333159137</v>
      </c>
      <c r="R163" s="15" t="n">
        <f aca="false">Q163-$G$2+$I$2</f>
        <v>97235.333159137</v>
      </c>
      <c r="S163" s="42" t="n">
        <f aca="false">R163/$K$2</f>
        <v>561.469760706415</v>
      </c>
      <c r="T163" s="43" t="n">
        <f aca="false">S163-$M$2</f>
        <v>97.3284048916561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0.0625</v>
      </c>
      <c r="C164" s="25" t="n">
        <f aca="false">IF(T163&gt;0,D163,C163)</f>
        <v>0.109375</v>
      </c>
      <c r="D164" s="41" t="n">
        <f aca="false">(B164+C164)/2</f>
        <v>0.0859375</v>
      </c>
      <c r="E164" s="15" t="n">
        <f aca="false">$C$2*(1+IF(E$3&lt;=$O$2,$D164,$D164-($D164-$I$157)*MIN(E$3-$O$2,$Q$2)/$Q$2))</f>
        <v>8861.25</v>
      </c>
      <c r="F164" s="15" t="n">
        <f aca="false">E164*(1+IF(F$3&lt;=$O$2,$D164,$D164-($D164-$I$157)*MIN(F$3-$O$2,$Q$2)/$Q$2))</f>
        <v>9622.763671875</v>
      </c>
      <c r="G164" s="15" t="n">
        <f aca="false">F164*(1+IF(G$3&lt;=$O$2,$D164,$D164-($D164-$I$157)*MIN(G$3-$O$2,$Q$2)/$Q$2))</f>
        <v>10449.7199249268</v>
      </c>
      <c r="H164" s="15" t="n">
        <f aca="false">G164*(1+IF(H$3&lt;=$O$2,$D164,$D164-($D164-$I$157)*MIN(H$3-$O$2,$Q$2)/$Q$2))</f>
        <v>11347.7427309752</v>
      </c>
      <c r="I164" s="15" t="n">
        <f aca="false">H164*(1+IF(I$3&lt;=$O$2,$D164,$D164-($D164-$I$157)*MIN(I$3-$O$2,$Q$2)/$Q$2))</f>
        <v>12322.9393719183</v>
      </c>
      <c r="J164" s="15" t="n">
        <f aca="false">I164*(1+IF(J$3&lt;=$O$2,$D164,$D164-($D164-$I$157)*MIN(J$3-$O$2,$Q$2)/$Q$2))</f>
        <v>13264.5351693266</v>
      </c>
      <c r="K164" s="15" t="n">
        <f aca="false">J164*(1+IF(K$3&lt;=$O$2,$D164,$D164-($D164-$I$157)*MIN(K$3-$O$2,$Q$2)/$Q$2))</f>
        <v>14151.7004427891</v>
      </c>
      <c r="L164" s="15" t="n">
        <f aca="false">K164*(1+IF(L$3&lt;=$O$2,$D164,$D164-($D164-$I$157)*MIN(L$3-$O$2,$Q$2)/$Q$2))</f>
        <v>14963.3712216853</v>
      </c>
      <c r="M164" s="15" t="n">
        <f aca="false">L164*(1+IF(M$3&lt;=$O$2,$D164,$D164-($D164-$I$157)*MIN(M$3-$O$2,$Q$2)/$Q$2))</f>
        <v>15679.0318587904</v>
      </c>
      <c r="N164" s="15" t="n">
        <f aca="false">M164*(1+IF(N$3&lt;=$O$2,$D164,$D164-($D164-$I$157)*MIN(N$3-$O$2,$Q$2)/$Q$2))</f>
        <v>16279.5387789821</v>
      </c>
      <c r="O164" s="15" t="n">
        <f aca="false">SUMPRODUCT(E164:N164,1/(1+$F$157)^$E$3:$N$3)*$E$2</f>
        <v>30147.9426732222</v>
      </c>
      <c r="P164" s="15" t="n">
        <f aca="false">N164*$E$2*(1+$I$157)/($F$157-$I$157)/(1+$F$157)^$N$3</f>
        <v>60183.5340482251</v>
      </c>
      <c r="Q164" s="15" t="n">
        <f aca="false">O164+P164</f>
        <v>90331.4767214472</v>
      </c>
      <c r="R164" s="15" t="n">
        <f aca="false">Q164-$G$2+$I$2</f>
        <v>84211.4767214472</v>
      </c>
      <c r="S164" s="42" t="n">
        <f aca="false">R164/$K$2</f>
        <v>486.265600655083</v>
      </c>
      <c r="T164" s="43" t="n">
        <f aca="false">S164-$M$2</f>
        <v>22.1242448403235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0.0625</v>
      </c>
      <c r="C165" s="25" t="n">
        <f aca="false">IF(T164&gt;0,D164,C164)</f>
        <v>0.0859375</v>
      </c>
      <c r="D165" s="41" t="n">
        <f aca="false">(B165+C165)/2</f>
        <v>0.07421875</v>
      </c>
      <c r="E165" s="15" t="n">
        <f aca="false">$C$2*(1+IF(E$3&lt;=$O$2,$D165,$D165-($D165-$I$157)*MIN(E$3-$O$2,$Q$2)/$Q$2))</f>
        <v>8765.625</v>
      </c>
      <c r="F165" s="15" t="n">
        <f aca="false">E165*(1+IF(F$3&lt;=$O$2,$D165,$D165-($D165-$I$157)*MIN(F$3-$O$2,$Q$2)/$Q$2))</f>
        <v>9416.19873046875</v>
      </c>
      <c r="G165" s="15" t="n">
        <f aca="false">F165*(1+IF(G$3&lt;=$O$2,$D165,$D165-($D165-$I$157)*MIN(G$3-$O$2,$Q$2)/$Q$2))</f>
        <v>10115.0572299957</v>
      </c>
      <c r="H165" s="15" t="n">
        <f aca="false">G165*(1+IF(H$3&lt;=$O$2,$D165,$D165-($D165-$I$157)*MIN(H$3-$O$2,$Q$2)/$Q$2))</f>
        <v>10865.7841337845</v>
      </c>
      <c r="I165" s="15" t="n">
        <f aca="false">H165*(1+IF(I$3&lt;=$O$2,$D165,$D165-($D165-$I$157)*MIN(I$3-$O$2,$Q$2)/$Q$2))</f>
        <v>11672.2290499638</v>
      </c>
      <c r="J165" s="15" t="n">
        <f aca="false">I165*(1+IF(J$3&lt;=$O$2,$D165,$D165-($D165-$I$157)*MIN(J$3-$O$2,$Q$2)/$Q$2))</f>
        <v>12454.6769243281</v>
      </c>
      <c r="K165" s="15" t="n">
        <f aca="false">J165*(1+IF(K$3&lt;=$O$2,$D165,$D165-($D165-$I$157)*MIN(K$3-$O$2,$Q$2)/$Q$2))</f>
        <v>13200.1049065953</v>
      </c>
      <c r="L165" s="15" t="n">
        <f aca="false">K165*(1+IF(L$3&lt;=$O$2,$D165,$D165-($D165-$I$157)*MIN(L$3-$O$2,$Q$2)/$Q$2))</f>
        <v>13895.3214317634</v>
      </c>
      <c r="M165" s="15" t="n">
        <f aca="false">L165*(1+IF(M$3&lt;=$O$2,$D165,$D165-($D165-$I$157)*MIN(M$3-$O$2,$Q$2)/$Q$2))</f>
        <v>14527.3327579354</v>
      </c>
      <c r="N165" s="15" t="n">
        <f aca="false">M165*(1+IF(N$3&lt;=$O$2,$D165,$D165-($D165-$I$157)*MIN(N$3-$O$2,$Q$2)/$Q$2))</f>
        <v>15083.7296025643</v>
      </c>
      <c r="O165" s="15" t="n">
        <f aca="false">SUMPRODUCT(E165:N165,1/(1+$F$157)^$E$3:$N$3)*$E$2</f>
        <v>28640.892341563</v>
      </c>
      <c r="P165" s="15" t="n">
        <f aca="false">N165*$E$2*(1+$I$157)/($F$157-$I$157)/(1+$F$157)^$N$3</f>
        <v>55762.768616158</v>
      </c>
      <c r="Q165" s="15" t="n">
        <f aca="false">O165+P165</f>
        <v>84403.660957721</v>
      </c>
      <c r="R165" s="15" t="n">
        <f aca="false">Q165-$G$2+$I$2</f>
        <v>78283.660957721</v>
      </c>
      <c r="S165" s="42" t="n">
        <f aca="false">R165/$K$2</f>
        <v>452.036383864886</v>
      </c>
      <c r="T165" s="43" t="n">
        <f aca="false">S165-$M$2</f>
        <v>-12.1049719498733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0.07421875</v>
      </c>
      <c r="C166" s="25" t="n">
        <f aca="false">IF(T165&gt;0,D165,C165)</f>
        <v>0.0859375</v>
      </c>
      <c r="D166" s="41" t="n">
        <f aca="false">(B166+C166)/2</f>
        <v>0.080078125</v>
      </c>
      <c r="E166" s="15" t="n">
        <f aca="false">$C$2*(1+IF(E$3&lt;=$O$2,$D166,$D166-($D166-$I$157)*MIN(E$3-$O$2,$Q$2)/$Q$2))</f>
        <v>8813.4375</v>
      </c>
      <c r="F166" s="15" t="n">
        <f aca="false">E166*(1+IF(F$3&lt;=$O$2,$D166,$D166-($D166-$I$157)*MIN(F$3-$O$2,$Q$2)/$Q$2))</f>
        <v>9519.20104980469</v>
      </c>
      <c r="G166" s="15" t="n">
        <f aca="false">F166*(1+IF(G$3&lt;=$O$2,$D166,$D166-($D166-$I$157)*MIN(G$3-$O$2,$Q$2)/$Q$2))</f>
        <v>10281.4808213711</v>
      </c>
      <c r="H166" s="15" t="n">
        <f aca="false">G166*(1+IF(H$3&lt;=$O$2,$D166,$D166-($D166-$I$157)*MIN(H$3-$O$2,$Q$2)/$Q$2))</f>
        <v>11104.8025277699</v>
      </c>
      <c r="I166" s="15" t="n">
        <f aca="false">H166*(1+IF(I$3&lt;=$O$2,$D166,$D166-($D166-$I$157)*MIN(I$3-$O$2,$Q$2)/$Q$2))</f>
        <v>11994.054292689</v>
      </c>
      <c r="J166" s="15" t="n">
        <f aca="false">I166*(1+IF(J$3&lt;=$O$2,$D166,$D166-($D166-$I$157)*MIN(J$3-$O$2,$Q$2)/$Q$2))</f>
        <v>12854.2978516964</v>
      </c>
      <c r="K166" s="15" t="n">
        <f aca="false">J166*(1+IF(K$3&lt;=$O$2,$D166,$D166-($D166-$I$157)*MIN(K$3-$O$2,$Q$2)/$Q$2))</f>
        <v>13668.8345368776</v>
      </c>
      <c r="L166" s="15" t="n">
        <f aca="false">K166*(1+IF(L$3&lt;=$O$2,$D166,$D166-($D166-$I$157)*MIN(L$3-$O$2,$Q$2)/$Q$2))</f>
        <v>14420.7742107944</v>
      </c>
      <c r="M166" s="15" t="n">
        <f aca="false">L166*(1+IF(M$3&lt;=$O$2,$D166,$D166-($D166-$I$157)*MIN(M$3-$O$2,$Q$2)/$Q$2))</f>
        <v>15093.5844445829</v>
      </c>
      <c r="N166" s="15" t="n">
        <f aca="false">M166*(1+IF(N$3&lt;=$O$2,$D166,$D166-($D166-$I$157)*MIN(N$3-$O$2,$Q$2)/$Q$2))</f>
        <v>15671.6687288104</v>
      </c>
      <c r="O166" s="15" t="n">
        <f aca="false">SUMPRODUCT(E166:N166,1/(1+$F$157)^$E$3:$N$3)*$E$2</f>
        <v>29384.783558221</v>
      </c>
      <c r="P166" s="15" t="n">
        <f aca="false">N166*$E$2*(1+$I$157)/($F$157-$I$157)/(1+$F$157)^$N$3</f>
        <v>57936.310195137</v>
      </c>
      <c r="Q166" s="15" t="n">
        <f aca="false">O166+P166</f>
        <v>87321.093753358</v>
      </c>
      <c r="R166" s="15" t="n">
        <f aca="false">Q166-$G$2+$I$2</f>
        <v>81201.093753358</v>
      </c>
      <c r="S166" s="42" t="n">
        <f aca="false">R166/$K$2</f>
        <v>468.88262936458</v>
      </c>
      <c r="T166" s="43" t="n">
        <f aca="false">S166-$M$2</f>
        <v>4.74127354982079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0.07421875</v>
      </c>
      <c r="C167" s="25" t="n">
        <f aca="false">IF(T166&gt;0,D166,C166)</f>
        <v>0.080078125</v>
      </c>
      <c r="D167" s="41" t="n">
        <f aca="false">(B167+C167)/2</f>
        <v>0.0771484375</v>
      </c>
      <c r="E167" s="15" t="n">
        <f aca="false">$C$2*(1+IF(E$3&lt;=$O$2,$D167,$D167-($D167-$I$157)*MIN(E$3-$O$2,$Q$2)/$Q$2))</f>
        <v>8789.53125</v>
      </c>
      <c r="F167" s="15" t="n">
        <f aca="false">E167*(1+IF(F$3&lt;=$O$2,$D167,$D167-($D167-$I$157)*MIN(F$3-$O$2,$Q$2)/$Q$2))</f>
        <v>9467.62985229492</v>
      </c>
      <c r="G167" s="15" t="n">
        <f aca="false">F167*(1+IF(G$3&lt;=$O$2,$D167,$D167-($D167-$I$157)*MIN(G$3-$O$2,$Q$2)/$Q$2))</f>
        <v>10198.0427022278</v>
      </c>
      <c r="H167" s="15" t="n">
        <f aca="false">G167*(1+IF(H$3&lt;=$O$2,$D167,$D167-($D167-$I$157)*MIN(H$3-$O$2,$Q$2)/$Q$2))</f>
        <v>10984.805762263</v>
      </c>
      <c r="I167" s="15" t="n">
        <f aca="false">H167*(1+IF(I$3&lt;=$O$2,$D167,$D167-($D167-$I$157)*MIN(I$3-$O$2,$Q$2)/$Q$2))</f>
        <v>11832.2663630626</v>
      </c>
      <c r="J167" s="15" t="n">
        <f aca="false">I167*(1+IF(J$3&lt;=$O$2,$D167,$D167-($D167-$I$157)*MIN(J$3-$O$2,$Q$2)/$Q$2))</f>
        <v>12653.1742129989</v>
      </c>
      <c r="K167" s="15" t="n">
        <f aca="false">J167*(1+IF(K$3&lt;=$O$2,$D167,$D167-($D167-$I$157)*MIN(K$3-$O$2,$Q$2)/$Q$2))</f>
        <v>13432.7244139109</v>
      </c>
      <c r="L167" s="15" t="n">
        <f aca="false">K167*(1+IF(L$3&lt;=$O$2,$D167,$D167-($D167-$I$157)*MIN(L$3-$O$2,$Q$2)/$Q$2))</f>
        <v>14155.9339009031</v>
      </c>
      <c r="M167" s="15" t="n">
        <f aca="false">L167*(1+IF(M$3&lt;=$O$2,$D167,$D167-($D167-$I$157)*MIN(M$3-$O$2,$Q$2)/$Q$2))</f>
        <v>14808.0933519884</v>
      </c>
      <c r="N167" s="15" t="n">
        <f aca="false">M167*(1+IF(N$3&lt;=$O$2,$D167,$D167-($D167-$I$157)*MIN(N$3-$O$2,$Q$2)/$Q$2))</f>
        <v>15375.2433273696</v>
      </c>
      <c r="O167" s="15" t="n">
        <f aca="false">SUMPRODUCT(E167:N167,1/(1+$F$157)^$E$3:$N$3)*$E$2</f>
        <v>29010.4579559035</v>
      </c>
      <c r="P167" s="15" t="n">
        <f aca="false">N167*$E$2*(1+$I$157)/($F$157-$I$157)/(1+$F$157)^$N$3</f>
        <v>56840.4604611501</v>
      </c>
      <c r="Q167" s="15" t="n">
        <f aca="false">O167+P167</f>
        <v>85850.9184170537</v>
      </c>
      <c r="R167" s="15" t="n">
        <f aca="false">Q167-$G$2+$I$2</f>
        <v>79730.9184170537</v>
      </c>
      <c r="S167" s="42" t="n">
        <f aca="false">R167/$K$2</f>
        <v>460.39333882119</v>
      </c>
      <c r="T167" s="43" t="n">
        <f aca="false">S167-$M$2</f>
        <v>-3.74801699356942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0.0771484375</v>
      </c>
      <c r="C168" s="25" t="n">
        <f aca="false">IF(T167&gt;0,D167,C167)</f>
        <v>0.080078125</v>
      </c>
      <c r="D168" s="41" t="n">
        <f aca="false">(B168+C168)/2</f>
        <v>0.07861328125</v>
      </c>
      <c r="E168" s="15" t="n">
        <f aca="false">$C$2*(1+IF(E$3&lt;=$O$2,$D168,$D168-($D168-$I$157)*MIN(E$3-$O$2,$Q$2)/$Q$2))</f>
        <v>8801.484375</v>
      </c>
      <c r="F168" s="15" t="n">
        <f aca="false">E168*(1+IF(F$3&lt;=$O$2,$D168,$D168-($D168-$I$157)*MIN(F$3-$O$2,$Q$2)/$Q$2))</f>
        <v>9493.39794158936</v>
      </c>
      <c r="G168" s="15" t="n">
        <f aca="false">F168*(1+IF(G$3&lt;=$O$2,$D168,$D168-($D168-$I$157)*MIN(G$3-$O$2,$Q$2)/$Q$2))</f>
        <v>10239.7051039897</v>
      </c>
      <c r="H168" s="15" t="n">
        <f aca="false">G168*(1+IF(H$3&lt;=$O$2,$D168,$D168-($D168-$I$157)*MIN(H$3-$O$2,$Q$2)/$Q$2))</f>
        <v>11044.6819212467</v>
      </c>
      <c r="I168" s="15" t="n">
        <f aca="false">H168*(1+IF(I$3&lt;=$O$2,$D168,$D168-($D168-$I$157)*MIN(I$3-$O$2,$Q$2)/$Q$2))</f>
        <v>11912.9406074385</v>
      </c>
      <c r="J168" s="15" t="n">
        <f aca="false">I168*(1+IF(J$3&lt;=$O$2,$D168,$D168-($D168-$I$157)*MIN(J$3-$O$2,$Q$2)/$Q$2))</f>
        <v>12753.4060128811</v>
      </c>
      <c r="K168" s="15" t="n">
        <f aca="false">J168*(1+IF(K$3&lt;=$O$2,$D168,$D168-($D168-$I$157)*MIN(K$3-$O$2,$Q$2)/$Q$2))</f>
        <v>13550.3404492701</v>
      </c>
      <c r="L168" s="15" t="n">
        <f aca="false">K168*(1+IF(L$3&lt;=$O$2,$D168,$D168-($D168-$I$157)*MIN(L$3-$O$2,$Q$2)/$Q$2))</f>
        <v>14287.821962703</v>
      </c>
      <c r="M168" s="15" t="n">
        <f aca="false">L168*(1+IF(M$3&lt;=$O$2,$D168,$D168-($D168-$I$157)*MIN(M$3-$O$2,$Q$2)/$Q$2))</f>
        <v>14950.243340921</v>
      </c>
      <c r="N168" s="15" t="n">
        <f aca="false">M168*(1+IF(N$3&lt;=$O$2,$D168,$D168-($D168-$I$157)*MIN(N$3-$O$2,$Q$2)/$Q$2))</f>
        <v>15522.8376608783</v>
      </c>
      <c r="O168" s="15" t="n">
        <f aca="false">SUMPRODUCT(E168:N168,1/(1+$F$157)^$E$3:$N$3)*$E$2</f>
        <v>29197.0222197865</v>
      </c>
      <c r="P168" s="15" t="n">
        <f aca="false">N168*$E$2*(1+$I$157)/($F$157-$I$157)/(1+$F$157)^$N$3</f>
        <v>57386.0992975227</v>
      </c>
      <c r="Q168" s="15" t="n">
        <f aca="false">O168+P168</f>
        <v>86583.1215173093</v>
      </c>
      <c r="R168" s="15" t="n">
        <f aca="false">Q168-$G$2+$I$2</f>
        <v>80463.1215173093</v>
      </c>
      <c r="S168" s="42" t="n">
        <f aca="false">R168/$K$2</f>
        <v>464.621327620449</v>
      </c>
      <c r="T168" s="43" t="n">
        <f aca="false">S168-$M$2</f>
        <v>0.479971805689331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0.0771484375</v>
      </c>
      <c r="C169" s="25" t="n">
        <f aca="false">IF(T168&gt;0,D168,C168)</f>
        <v>0.07861328125</v>
      </c>
      <c r="D169" s="41" t="n">
        <f aca="false">(B169+C169)/2</f>
        <v>0.077880859375</v>
      </c>
      <c r="E169" s="15" t="n">
        <f aca="false">$C$2*(1+IF(E$3&lt;=$O$2,$D169,$D169-($D169-$I$157)*MIN(E$3-$O$2,$Q$2)/$Q$2))</f>
        <v>8795.5078125</v>
      </c>
      <c r="F169" s="15" t="n">
        <f aca="false">E169*(1+IF(F$3&lt;=$O$2,$D169,$D169-($D169-$I$157)*MIN(F$3-$O$2,$Q$2)/$Q$2))</f>
        <v>9480.50951957703</v>
      </c>
      <c r="G169" s="15" t="n">
        <f aca="false">F169*(1+IF(G$3&lt;=$O$2,$D169,$D169-($D169-$I$157)*MIN(G$3-$O$2,$Q$2)/$Q$2))</f>
        <v>10218.8597482746</v>
      </c>
      <c r="H169" s="15" t="n">
        <f aca="false">G169*(1+IF(H$3&lt;=$O$2,$D169,$D169-($D169-$I$157)*MIN(H$3-$O$2,$Q$2)/$Q$2))</f>
        <v>11014.7133273028</v>
      </c>
      <c r="I169" s="15" t="n">
        <f aca="false">H169*(1+IF(I$3&lt;=$O$2,$D169,$D169-($D169-$I$157)*MIN(I$3-$O$2,$Q$2)/$Q$2))</f>
        <v>11872.5486670024</v>
      </c>
      <c r="J169" s="15" t="n">
        <f aca="false">I169*(1+IF(J$3&lt;=$O$2,$D169,$D169-($D169-$I$157)*MIN(J$3-$O$2,$Q$2)/$Q$2))</f>
        <v>12703.2078243177</v>
      </c>
      <c r="K169" s="15" t="n">
        <f aca="false">J169*(1+IF(K$3&lt;=$O$2,$D169,$D169-($D169-$I$157)*MIN(K$3-$O$2,$Q$2)/$Q$2))</f>
        <v>13491.4230134925</v>
      </c>
      <c r="L169" s="15" t="n">
        <f aca="false">K169*(1+IF(L$3&lt;=$O$2,$D169,$D169-($D169-$I$157)*MIN(L$3-$O$2,$Q$2)/$Q$2))</f>
        <v>14221.7453617356</v>
      </c>
      <c r="M169" s="15" t="n">
        <f aca="false">L169*(1+IF(M$3&lt;=$O$2,$D169,$D169-($D169-$I$157)*MIN(M$3-$O$2,$Q$2)/$Q$2))</f>
        <v>14879.019989736</v>
      </c>
      <c r="N169" s="15" t="n">
        <f aca="false">M169*(1+IF(N$3&lt;=$O$2,$D169,$D169-($D169-$I$157)*MIN(N$3-$O$2,$Q$2)/$Q$2))</f>
        <v>15448.8864553429</v>
      </c>
      <c r="O169" s="15" t="n">
        <f aca="false">SUMPRODUCT(E169:N169,1/(1+$F$157)^$E$3:$N$3)*$E$2</f>
        <v>29103.590897297</v>
      </c>
      <c r="P169" s="15" t="n">
        <f aca="false">N169*$E$2*(1+$I$157)/($F$157-$I$157)/(1+$F$157)^$N$3</f>
        <v>57112.7104161381</v>
      </c>
      <c r="Q169" s="15" t="n">
        <f aca="false">O169+P169</f>
        <v>86216.3013134351</v>
      </c>
      <c r="R169" s="15" t="n">
        <f aca="false">Q169-$G$2+$I$2</f>
        <v>80096.3013134351</v>
      </c>
      <c r="S169" s="42" t="n">
        <f aca="false">R169/$K$2</f>
        <v>462.50318347058</v>
      </c>
      <c r="T169" s="43" t="n">
        <f aca="false">S169-$M$2</f>
        <v>-1.63817234417877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0.077880859375</v>
      </c>
      <c r="C170" s="25" t="n">
        <f aca="false">IF(T169&gt;0,D169,C169)</f>
        <v>0.07861328125</v>
      </c>
      <c r="D170" s="41" t="n">
        <f aca="false">(B170+C170)/2</f>
        <v>0.0782470703125</v>
      </c>
      <c r="E170" s="15" t="n">
        <f aca="false">$C$2*(1+IF(E$3&lt;=$O$2,$D170,$D170-($D170-$I$157)*MIN(E$3-$O$2,$Q$2)/$Q$2))</f>
        <v>8798.49609375</v>
      </c>
      <c r="F170" s="15" t="n">
        <f aca="false">E170*(1+IF(F$3&lt;=$O$2,$D170,$D170-($D170-$I$157)*MIN(F$3-$O$2,$Q$2)/$Q$2))</f>
        <v>9486.95263624191</v>
      </c>
      <c r="G170" s="15" t="n">
        <f aca="false">F170*(1+IF(G$3&lt;=$O$2,$D170,$D170-($D170-$I$157)*MIN(G$3-$O$2,$Q$2)/$Q$2))</f>
        <v>10229.2788862213</v>
      </c>
      <c r="H170" s="15" t="n">
        <f aca="false">G170*(1+IF(H$3&lt;=$O$2,$D170,$D170-($D170-$I$157)*MIN(H$3-$O$2,$Q$2)/$Q$2))</f>
        <v>11029.6899904776</v>
      </c>
      <c r="I170" s="15" t="n">
        <f aca="false">H170*(1+IF(I$3&lt;=$O$2,$D170,$D170-($D170-$I$157)*MIN(I$3-$O$2,$Q$2)/$Q$2))</f>
        <v>11892.7309186876</v>
      </c>
      <c r="J170" s="15" t="n">
        <f aca="false">I170*(1+IF(J$3&lt;=$O$2,$D170,$D170-($D170-$I$157)*MIN(J$3-$O$2,$Q$2)/$Q$2))</f>
        <v>12728.2863194465</v>
      </c>
      <c r="K170" s="15" t="n">
        <f aca="false">J170*(1+IF(K$3&lt;=$O$2,$D170,$D170-($D170-$I$157)*MIN(K$3-$O$2,$Q$2)/$Q$2))</f>
        <v>13520.8543346176</v>
      </c>
      <c r="L170" s="15" t="n">
        <f aca="false">K170*(1+IF(L$3&lt;=$O$2,$D170,$D170-($D170-$I$157)*MIN(L$3-$O$2,$Q$2)/$Q$2))</f>
        <v>14254.7504631495</v>
      </c>
      <c r="M170" s="15" t="n">
        <f aca="false">L170*(1+IF(M$3&lt;=$O$2,$D170,$D170-($D170-$I$157)*MIN(M$3-$O$2,$Q$2)/$Q$2))</f>
        <v>14914.5945096959</v>
      </c>
      <c r="N170" s="15" t="n">
        <f aca="false">M170*(1+IF(N$3&lt;=$O$2,$D170,$D170-($D170-$I$157)*MIN(N$3-$O$2,$Q$2)/$Q$2))</f>
        <v>15485.8234794172</v>
      </c>
      <c r="O170" s="15" t="n">
        <f aca="false">SUMPRODUCT(E170:N170,1/(1+$F$157)^$E$3:$N$3)*$E$2</f>
        <v>29150.2692055226</v>
      </c>
      <c r="P170" s="15" t="n">
        <f aca="false">N170*$E$2*(1+$I$157)/($F$157-$I$157)/(1+$F$157)^$N$3</f>
        <v>57249.2622359528</v>
      </c>
      <c r="Q170" s="15" t="n">
        <f aca="false">O170+P170</f>
        <v>86399.5314414754</v>
      </c>
      <c r="R170" s="15" t="n">
        <f aca="false">Q170-$G$2+$I$2</f>
        <v>80279.5314414754</v>
      </c>
      <c r="S170" s="42" t="n">
        <f aca="false">R170/$K$2</f>
        <v>463.561216315252</v>
      </c>
      <c r="T170" s="43" t="n">
        <f aca="false">S170-$M$2</f>
        <v>-0.580139499506856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0.0782470703125</v>
      </c>
      <c r="C171" s="25" t="n">
        <f aca="false">IF(T170&gt;0,D170,C170)</f>
        <v>0.07861328125</v>
      </c>
      <c r="D171" s="41" t="n">
        <f aca="false">(B171+C171)/2</f>
        <v>0.07843017578125</v>
      </c>
      <c r="E171" s="15" t="n">
        <f aca="false">$C$2*(1+IF(E$3&lt;=$O$2,$D171,$D171-($D171-$I$157)*MIN(E$3-$O$2,$Q$2)/$Q$2))</f>
        <v>8799.990234375</v>
      </c>
      <c r="F171" s="15" t="n">
        <f aca="false">E171*(1+IF(F$3&lt;=$O$2,$D171,$D171-($D171-$I$157)*MIN(F$3-$O$2,$Q$2)/$Q$2))</f>
        <v>9490.17501533032</v>
      </c>
      <c r="G171" s="15" t="n">
        <f aca="false">F171*(1+IF(G$3&lt;=$O$2,$D171,$D171-($D171-$I$157)*MIN(G$3-$O$2,$Q$2)/$Q$2))</f>
        <v>10234.4911099775</v>
      </c>
      <c r="H171" s="15" t="n">
        <f aca="false">G171*(1+IF(H$3&lt;=$O$2,$D171,$D171-($D171-$I$157)*MIN(H$3-$O$2,$Q$2)/$Q$2))</f>
        <v>11037.1840467647</v>
      </c>
      <c r="I171" s="15" t="n">
        <f aca="false">H171*(1+IF(I$3&lt;=$O$2,$D171,$D171-($D171-$I$157)*MIN(I$3-$O$2,$Q$2)/$Q$2))</f>
        <v>11902.8323316824</v>
      </c>
      <c r="J171" s="15" t="n">
        <f aca="false">I171*(1+IF(J$3&lt;=$O$2,$D171,$D171-($D171-$I$157)*MIN(J$3-$O$2,$Q$2)/$Q$2))</f>
        <v>12740.841012998</v>
      </c>
      <c r="K171" s="15" t="n">
        <f aca="false">J171*(1+IF(K$3&lt;=$O$2,$D171,$D171-($D171-$I$157)*MIN(K$3-$O$2,$Q$2)/$Q$2))</f>
        <v>13535.5905374674</v>
      </c>
      <c r="L171" s="15" t="n">
        <f aca="false">K171*(1+IF(L$3&lt;=$O$2,$D171,$D171-($D171-$I$157)*MIN(L$3-$O$2,$Q$2)/$Q$2))</f>
        <v>14271.277906081</v>
      </c>
      <c r="M171" s="15" t="n">
        <f aca="false">L171*(1+IF(M$3&lt;=$O$2,$D171,$D171-($D171-$I$157)*MIN(M$3-$O$2,$Q$2)/$Q$2))</f>
        <v>14932.4096280827</v>
      </c>
      <c r="N171" s="15" t="n">
        <f aca="false">M171*(1+IF(N$3&lt;=$O$2,$D171,$D171-($D171-$I$157)*MIN(N$3-$O$2,$Q$2)/$Q$2))</f>
        <v>15504.3209168383</v>
      </c>
      <c r="O171" s="15" t="n">
        <f aca="false">SUMPRODUCT(E171:N171,1/(1+$F$157)^$E$3:$N$3)*$E$2</f>
        <v>29173.6363674692</v>
      </c>
      <c r="P171" s="15" t="n">
        <f aca="false">N171*$E$2*(1+$I$157)/($F$157-$I$157)/(1+$F$157)^$N$3</f>
        <v>57317.6450795918</v>
      </c>
      <c r="Q171" s="15" t="n">
        <f aca="false">O171+P171</f>
        <v>86491.281447061</v>
      </c>
      <c r="R171" s="15" t="n">
        <f aca="false">Q171-$G$2+$I$2</f>
        <v>80371.281447061</v>
      </c>
      <c r="S171" s="42" t="n">
        <f aca="false">R171/$K$2</f>
        <v>464.09101193591</v>
      </c>
      <c r="T171" s="43" t="n">
        <f aca="false">S171-$M$2</f>
        <v>-0.0503438788488211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0.07843017578125</v>
      </c>
      <c r="C172" s="25" t="n">
        <f aca="false">IF(T171&gt;0,D171,C171)</f>
        <v>0.07861328125</v>
      </c>
      <c r="D172" s="41" t="n">
        <f aca="false">(B172+C172)/2</f>
        <v>0.078521728515625</v>
      </c>
      <c r="E172" s="15" t="n">
        <f aca="false">$C$2*(1+IF(E$3&lt;=$O$2,$D172,$D172-($D172-$I$157)*MIN(E$3-$O$2,$Q$2)/$Q$2))</f>
        <v>8800.7373046875</v>
      </c>
      <c r="F172" s="15" t="n">
        <f aca="false">E172*(1+IF(F$3&lt;=$O$2,$D172,$D172-($D172-$I$157)*MIN(F$3-$O$2,$Q$2)/$Q$2))</f>
        <v>9491.78641006351</v>
      </c>
      <c r="G172" s="15" t="n">
        <f aca="false">F172*(1+IF(G$3&lt;=$O$2,$D172,$D172-($D172-$I$157)*MIN(G$3-$O$2,$Q$2)/$Q$2))</f>
        <v>10237.0978856828</v>
      </c>
      <c r="H172" s="15" t="n">
        <f aca="false">G172*(1+IF(H$3&lt;=$O$2,$D172,$D172-($D172-$I$157)*MIN(H$3-$O$2,$Q$2)/$Q$2))</f>
        <v>11040.9325066503</v>
      </c>
      <c r="I172" s="15" t="n">
        <f aca="false">H172*(1+IF(I$3&lt;=$O$2,$D172,$D172-($D172-$I$157)*MIN(I$3-$O$2,$Q$2)/$Q$2))</f>
        <v>11907.8856114968</v>
      </c>
      <c r="J172" s="15" t="n">
        <f aca="false">I172*(1+IF(J$3&lt;=$O$2,$D172,$D172-($D172-$I$157)*MIN(J$3-$O$2,$Q$2)/$Q$2))</f>
        <v>12747.1222242257</v>
      </c>
      <c r="K172" s="15" t="n">
        <f aca="false">J172*(1+IF(K$3&lt;=$O$2,$D172,$D172-($D172-$I$157)*MIN(K$3-$O$2,$Q$2)/$Q$2))</f>
        <v>13542.9637790886</v>
      </c>
      <c r="L172" s="15" t="n">
        <f aca="false">K172*(1+IF(L$3&lt;=$O$2,$D172,$D172-($D172-$I$157)*MIN(L$3-$O$2,$Q$2)/$Q$2))</f>
        <v>14279.5478567954</v>
      </c>
      <c r="M172" s="15" t="n">
        <f aca="false">L172*(1+IF(M$3&lt;=$O$2,$D172,$D172-($D172-$I$157)*MIN(M$3-$O$2,$Q$2)/$Q$2))</f>
        <v>14941.3241591551</v>
      </c>
      <c r="N172" s="15" t="n">
        <f aca="false">M172*(1+IF(N$3&lt;=$O$2,$D172,$D172-($D172-$I$157)*MIN(N$3-$O$2,$Q$2)/$Q$2))</f>
        <v>15513.5768744507</v>
      </c>
      <c r="O172" s="15" t="n">
        <f aca="false">SUMPRODUCT(E172:N172,1/(1+$F$157)^$E$3:$N$3)*$E$2</f>
        <v>29185.3269564647</v>
      </c>
      <c r="P172" s="15" t="n">
        <f aca="false">N172*$E$2*(1+$I$157)/($F$157-$I$157)/(1+$F$157)^$N$3</f>
        <v>57351.8632627773</v>
      </c>
      <c r="Q172" s="15" t="n">
        <f aca="false">O172+P172</f>
        <v>86537.190219242</v>
      </c>
      <c r="R172" s="15" t="n">
        <f aca="false">Q172-$G$2+$I$2</f>
        <v>80417.190219242</v>
      </c>
      <c r="S172" s="42" t="n">
        <f aca="false">R172/$K$2</f>
        <v>464.35610474213</v>
      </c>
      <c r="T172" s="43" t="n">
        <f aca="false">S172-$M$2</f>
        <v>0.214748927370465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0.07843017578125</v>
      </c>
      <c r="C173" s="25" t="n">
        <f aca="false">IF(T172&gt;0,D172,C172)</f>
        <v>0.078521728515625</v>
      </c>
      <c r="D173" s="41" t="n">
        <f aca="false">(B173+C173)/2</f>
        <v>0.0784759521484375</v>
      </c>
      <c r="E173" s="15" t="n">
        <f aca="false">$C$2*(1+IF(E$3&lt;=$O$2,$D173,$D173-($D173-$I$157)*MIN(E$3-$O$2,$Q$2)/$Q$2))</f>
        <v>8800.36376953125</v>
      </c>
      <c r="F173" s="15" t="n">
        <f aca="false">E173*(1+IF(F$3&lt;=$O$2,$D173,$D173-($D173-$I$157)*MIN(F$3-$O$2,$Q$2)/$Q$2))</f>
        <v>9490.98069559783</v>
      </c>
      <c r="G173" s="15" t="n">
        <f aca="false">F173*(1+IF(G$3&lt;=$O$2,$D173,$D173-($D173-$I$157)*MIN(G$3-$O$2,$Q$2)/$Q$2))</f>
        <v>10235.7944425073</v>
      </c>
      <c r="H173" s="15" t="n">
        <f aca="false">G173*(1+IF(H$3&lt;=$O$2,$D173,$D173-($D173-$I$157)*MIN(H$3-$O$2,$Q$2)/$Q$2))</f>
        <v>11039.0581573788</v>
      </c>
      <c r="I173" s="15" t="n">
        <f aca="false">H173*(1+IF(I$3&lt;=$O$2,$D173,$D173-($D173-$I$157)*MIN(I$3-$O$2,$Q$2)/$Q$2))</f>
        <v>11905.358757101</v>
      </c>
      <c r="J173" s="15" t="n">
        <f aca="false">I173*(1+IF(J$3&lt;=$O$2,$D173,$D173-($D173-$I$157)*MIN(J$3-$O$2,$Q$2)/$Q$2))</f>
        <v>12743.9812964862</v>
      </c>
      <c r="K173" s="15" t="n">
        <f aca="false">J173*(1+IF(K$3&lt;=$O$2,$D173,$D173-($D173-$I$157)*MIN(K$3-$O$2,$Q$2)/$Q$2))</f>
        <v>13539.2767297906</v>
      </c>
      <c r="L173" s="15" t="n">
        <f aca="false">K173*(1+IF(L$3&lt;=$O$2,$D173,$D173-($D173-$I$157)*MIN(L$3-$O$2,$Q$2)/$Q$2))</f>
        <v>14275.4123621498</v>
      </c>
      <c r="M173" s="15" t="n">
        <f aca="false">L173*(1+IF(M$3&lt;=$O$2,$D173,$D173-($D173-$I$157)*MIN(M$3-$O$2,$Q$2)/$Q$2))</f>
        <v>14936.8663124123</v>
      </c>
      <c r="N173" s="15" t="n">
        <f aca="false">M173*(1+IF(N$3&lt;=$O$2,$D173,$D173-($D173-$I$157)*MIN(N$3-$O$2,$Q$2)/$Q$2))</f>
        <v>15508.9482921777</v>
      </c>
      <c r="O173" s="15" t="n">
        <f aca="false">SUMPRODUCT(E173:N173,1/(1+$F$157)^$E$3:$N$3)*$E$2</f>
        <v>29179.4810777846</v>
      </c>
      <c r="P173" s="15" t="n">
        <f aca="false">N173*$E$2*(1+$I$157)/($F$157-$I$157)/(1+$F$157)^$N$3</f>
        <v>57334.7519402388</v>
      </c>
      <c r="Q173" s="15" t="n">
        <f aca="false">O173+P173</f>
        <v>86514.2330180234</v>
      </c>
      <c r="R173" s="15" t="n">
        <f aca="false">Q173-$G$2+$I$2</f>
        <v>80394.2330180234</v>
      </c>
      <c r="S173" s="42" t="n">
        <f aca="false">R173/$K$2</f>
        <v>464.223542083516</v>
      </c>
      <c r="T173" s="43" t="n">
        <f aca="false">S173-$M$2</f>
        <v>0.0821862687571411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0.07843017578125</v>
      </c>
      <c r="C174" s="25" t="n">
        <f aca="false">IF(T173&gt;0,D173,C173)</f>
        <v>0.0784759521484375</v>
      </c>
      <c r="D174" s="41" t="n">
        <f aca="false">(B174+C174)/2</f>
        <v>0.0784530639648438</v>
      </c>
      <c r="E174" s="15" t="n">
        <f aca="false">$C$2*(1+IF(E$3&lt;=$O$2,$D174,$D174-($D174-$I$157)*MIN(E$3-$O$2,$Q$2)/$Q$2))</f>
        <v>8800.17700195313</v>
      </c>
      <c r="F174" s="15" t="n">
        <f aca="false">E174*(1+IF(F$3&lt;=$O$2,$D174,$D174-($D174-$I$157)*MIN(F$3-$O$2,$Q$2)/$Q$2))</f>
        <v>9490.5778511893</v>
      </c>
      <c r="G174" s="15" t="n">
        <f aca="false">F174*(1+IF(G$3&lt;=$O$2,$D174,$D174-($D174-$I$157)*MIN(G$3-$O$2,$Q$2)/$Q$2))</f>
        <v>10235.142762412</v>
      </c>
      <c r="H174" s="15" t="n">
        <f aca="false">G174*(1+IF(H$3&lt;=$O$2,$D174,$D174-($D174-$I$157)*MIN(H$3-$O$2,$Q$2)/$Q$2))</f>
        <v>11038.1210722408</v>
      </c>
      <c r="I174" s="15" t="n">
        <f aca="false">H174*(1+IF(I$3&lt;=$O$2,$D174,$D174-($D174-$I$157)*MIN(I$3-$O$2,$Q$2)/$Q$2))</f>
        <v>11904.095490773</v>
      </c>
      <c r="J174" s="15" t="n">
        <f aca="false">I174*(1+IF(J$3&lt;=$O$2,$D174,$D174-($D174-$I$157)*MIN(J$3-$O$2,$Q$2)/$Q$2))</f>
        <v>12742.4110742173</v>
      </c>
      <c r="K174" s="15" t="n">
        <f aca="false">J174*(1+IF(K$3&lt;=$O$2,$D174,$D174-($D174-$I$157)*MIN(K$3-$O$2,$Q$2)/$Q$2))</f>
        <v>13537.4335265174</v>
      </c>
      <c r="L174" s="15" t="n">
        <f aca="false">K174*(1+IF(L$3&lt;=$O$2,$D174,$D174-($D174-$I$157)*MIN(L$3-$O$2,$Q$2)/$Q$2))</f>
        <v>14273.3450043071</v>
      </c>
      <c r="M174" s="15" t="n">
        <f aca="false">L174*(1+IF(M$3&lt;=$O$2,$D174,$D174-($D174-$I$157)*MIN(M$3-$O$2,$Q$2)/$Q$2))</f>
        <v>14934.6378249621</v>
      </c>
      <c r="N174" s="15" t="n">
        <f aca="false">M174*(1+IF(N$3&lt;=$O$2,$D174,$D174-($D174-$I$157)*MIN(N$3-$O$2,$Q$2)/$Q$2))</f>
        <v>15506.6344536582</v>
      </c>
      <c r="O174" s="15" t="n">
        <f aca="false">SUMPRODUCT(E174:N174,1/(1+$F$157)^$E$3:$N$3)*$E$2</f>
        <v>29176.5585765948</v>
      </c>
      <c r="P174" s="15" t="n">
        <f aca="false">N174*$E$2*(1+$I$157)/($F$157-$I$157)/(1+$F$157)^$N$3</f>
        <v>57326.1979522413</v>
      </c>
      <c r="Q174" s="15" t="n">
        <f aca="false">O174+P174</f>
        <v>86502.7565288361</v>
      </c>
      <c r="R174" s="15" t="n">
        <f aca="false">Q174-$G$2+$I$2</f>
        <v>80382.7565288361</v>
      </c>
      <c r="S174" s="42" t="n">
        <f aca="false">R174/$K$2</f>
        <v>464.157272946276</v>
      </c>
      <c r="T174" s="43" t="n">
        <f aca="false">S174-$M$2</f>
        <v>0.015917131516801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0.07843017578125</v>
      </c>
      <c r="C175" s="25" t="n">
        <f aca="false">IF(T174&gt;0,D174,C174)</f>
        <v>0.0784530639648438</v>
      </c>
      <c r="D175" s="41" t="n">
        <f aca="false">(B175+C175)/2</f>
        <v>0.0784416198730469</v>
      </c>
      <c r="E175" s="15" t="n">
        <f aca="false">$C$2*(1+IF(E$3&lt;=$O$2,$D175,$D175-($D175-$I$157)*MIN(E$3-$O$2,$Q$2)/$Q$2))</f>
        <v>8800.08361816406</v>
      </c>
      <c r="F175" s="15" t="n">
        <f aca="false">E175*(1+IF(F$3&lt;=$O$2,$D175,$D175-($D175-$I$157)*MIN(F$3-$O$2,$Q$2)/$Q$2))</f>
        <v>9490.37643219112</v>
      </c>
      <c r="G175" s="15" t="n">
        <f aca="false">F175*(1+IF(G$3&lt;=$O$2,$D175,$D175-($D175-$I$157)*MIN(G$3-$O$2,$Q$2)/$Q$2))</f>
        <v>10234.8169327372</v>
      </c>
      <c r="H175" s="15" t="n">
        <f aca="false">G175*(1+IF(H$3&lt;=$O$2,$D175,$D175-($D175-$I$157)*MIN(H$3-$O$2,$Q$2)/$Q$2))</f>
        <v>11037.6525520452</v>
      </c>
      <c r="I175" s="15" t="n">
        <f aca="false">H175*(1+IF(I$3&lt;=$O$2,$D175,$D175-($D175-$I$157)*MIN(I$3-$O$2,$Q$2)/$Q$2))</f>
        <v>11903.4638978235</v>
      </c>
      <c r="J175" s="15" t="n">
        <f aca="false">I175*(1+IF(J$3&lt;=$O$2,$D175,$D175-($D175-$I$157)*MIN(J$3-$O$2,$Q$2)/$Q$2))</f>
        <v>12741.6260234773</v>
      </c>
      <c r="K175" s="15" t="n">
        <f aca="false">J175*(1+IF(K$3&lt;=$O$2,$D175,$D175-($D175-$I$157)*MIN(K$3-$O$2,$Q$2)/$Q$2))</f>
        <v>13536.5120052158</v>
      </c>
      <c r="L175" s="15" t="n">
        <f aca="false">K175*(1+IF(L$3&lt;=$O$2,$D175,$D175-($D175-$I$157)*MIN(L$3-$O$2,$Q$2)/$Q$2))</f>
        <v>14272.3114227437</v>
      </c>
      <c r="M175" s="15" t="n">
        <f aca="false">L175*(1+IF(M$3&lt;=$O$2,$D175,$D175-($D175-$I$157)*MIN(M$3-$O$2,$Q$2)/$Q$2))</f>
        <v>14933.5236902031</v>
      </c>
      <c r="N175" s="15" t="n">
        <f aca="false">M175*(1+IF(N$3&lt;=$O$2,$D175,$D175-($D175-$I$157)*MIN(N$3-$O$2,$Q$2)/$Q$2))</f>
        <v>15505.4776475379</v>
      </c>
      <c r="O175" s="15" t="n">
        <f aca="false">SUMPRODUCT(E175:N175,1/(1+$F$157)^$E$3:$N$3)*$E$2</f>
        <v>29175.0974355257</v>
      </c>
      <c r="P175" s="15" t="n">
        <f aca="false">N175*$E$2*(1+$I$157)/($F$157-$I$157)/(1+$F$157)^$N$3</f>
        <v>57321.9213765058</v>
      </c>
      <c r="Q175" s="15" t="n">
        <f aca="false">O175+P175</f>
        <v>86497.0188120315</v>
      </c>
      <c r="R175" s="15" t="n">
        <f aca="false">Q175-$G$2+$I$2</f>
        <v>80377.0188120315</v>
      </c>
      <c r="S175" s="42" t="n">
        <f aca="false">R175/$K$2</f>
        <v>464.124141425289</v>
      </c>
      <c r="T175" s="43" t="n">
        <f aca="false">S175-$M$2</f>
        <v>-0.0172143894706096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0.0784416198730469</v>
      </c>
      <c r="C176" s="25" t="n">
        <f aca="false">IF(T175&gt;0,D175,C175)</f>
        <v>0.0784530639648438</v>
      </c>
      <c r="D176" s="41" t="n">
        <f aca="false">(B176+C176)/2</f>
        <v>0.0784473419189453</v>
      </c>
      <c r="E176" s="15" t="n">
        <f aca="false">$C$2*(1+IF(E$3&lt;=$O$2,$D176,$D176-($D176-$I$157)*MIN(E$3-$O$2,$Q$2)/$Q$2))</f>
        <v>8800.13031005859</v>
      </c>
      <c r="F176" s="15" t="n">
        <f aca="false">E176*(1+IF(F$3&lt;=$O$2,$D176,$D176-($D176-$I$157)*MIN(F$3-$O$2,$Q$2)/$Q$2))</f>
        <v>9490.47714142303</v>
      </c>
      <c r="G176" s="15" t="n">
        <f aca="false">F176*(1+IF(G$3&lt;=$O$2,$D176,$D176-($D176-$I$157)*MIN(G$3-$O$2,$Q$2)/$Q$2))</f>
        <v>10234.9798467102</v>
      </c>
      <c r="H176" s="15" t="n">
        <f aca="false">G176*(1+IF(H$3&lt;=$O$2,$D176,$D176-($D176-$I$157)*MIN(H$3-$O$2,$Q$2)/$Q$2))</f>
        <v>11037.8868102786</v>
      </c>
      <c r="I176" s="15" t="n">
        <f aca="false">H176*(1+IF(I$3&lt;=$O$2,$D176,$D176-($D176-$I$157)*MIN(I$3-$O$2,$Q$2)/$Q$2))</f>
        <v>11903.7796909471</v>
      </c>
      <c r="J176" s="15" t="n">
        <f aca="false">I176*(1+IF(J$3&lt;=$O$2,$D176,$D176-($D176-$I$157)*MIN(J$3-$O$2,$Q$2)/$Q$2))</f>
        <v>12742.0185438146</v>
      </c>
      <c r="K176" s="15" t="n">
        <f aca="false">J176*(1+IF(K$3&lt;=$O$2,$D176,$D176-($D176-$I$157)*MIN(K$3-$O$2,$Q$2)/$Q$2))</f>
        <v>13536.9727591723</v>
      </c>
      <c r="L176" s="15" t="n">
        <f aca="false">K176*(1+IF(L$3&lt;=$O$2,$D176,$D176-($D176-$I$157)*MIN(L$3-$O$2,$Q$2)/$Q$2))</f>
        <v>14272.8282054126</v>
      </c>
      <c r="M176" s="15" t="n">
        <f aca="false">L176*(1+IF(M$3&lt;=$O$2,$D176,$D176-($D176-$I$157)*MIN(M$3-$O$2,$Q$2)/$Q$2))</f>
        <v>14934.0807485025</v>
      </c>
      <c r="N176" s="15" t="n">
        <f aca="false">M176*(1+IF(N$3&lt;=$O$2,$D176,$D176-($D176-$I$157)*MIN(N$3-$O$2,$Q$2)/$Q$2))</f>
        <v>15506.0560411702</v>
      </c>
      <c r="O176" s="15" t="n">
        <f aca="false">SUMPRODUCT(E176:N176,1/(1+$F$157)^$E$3:$N$3)*$E$2</f>
        <v>29175.8279969335</v>
      </c>
      <c r="P176" s="15" t="n">
        <f aca="false">N176*$E$2*(1+$I$157)/($F$157-$I$157)/(1+$F$157)^$N$3</f>
        <v>57324.0596295199</v>
      </c>
      <c r="Q176" s="15" t="n">
        <f aca="false">O176+P176</f>
        <v>86499.8876264534</v>
      </c>
      <c r="R176" s="15" t="n">
        <f aca="false">Q176-$G$2+$I$2</f>
        <v>80379.8876264534</v>
      </c>
      <c r="S176" s="42" t="n">
        <f aca="false">R176/$K$2</f>
        <v>464.140706931824</v>
      </c>
      <c r="T176" s="43" t="n">
        <f aca="false">S176-$M$2</f>
        <v>-0.0006488829348541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0.0784473419189453</v>
      </c>
      <c r="C177" s="25" t="n">
        <f aca="false">IF(T176&gt;0,D176,C176)</f>
        <v>0.0784530639648438</v>
      </c>
      <c r="D177" s="41" t="n">
        <f aca="false">(B177+C177)/2</f>
        <v>0.0784502029418945</v>
      </c>
      <c r="E177" s="15" t="n">
        <f aca="false">$C$2*(1+IF(E$3&lt;=$O$2,$D177,$D177-($D177-$I$157)*MIN(E$3-$O$2,$Q$2)/$Q$2))</f>
        <v>8800.15365600586</v>
      </c>
      <c r="F177" s="15" t="n">
        <f aca="false">E177*(1+IF(F$3&lt;=$O$2,$D177,$D177-($D177-$I$157)*MIN(F$3-$O$2,$Q$2)/$Q$2))</f>
        <v>9490.52749623937</v>
      </c>
      <c r="G177" s="15" t="n">
        <f aca="false">F177*(1+IF(G$3&lt;=$O$2,$D177,$D177-($D177-$I$157)*MIN(G$3-$O$2,$Q$2)/$Q$2))</f>
        <v>10235.061304345</v>
      </c>
      <c r="H177" s="15" t="n">
        <f aca="false">G177*(1+IF(H$3&lt;=$O$2,$D177,$D177-($D177-$I$157)*MIN(H$3-$O$2,$Q$2)/$Q$2))</f>
        <v>11038.0039407936</v>
      </c>
      <c r="I177" s="15" t="n">
        <f aca="false">H177*(1+IF(I$3&lt;=$O$2,$D177,$D177-($D177-$I$157)*MIN(I$3-$O$2,$Q$2)/$Q$2))</f>
        <v>11903.9375900223</v>
      </c>
      <c r="J177" s="15" t="n">
        <f aca="false">I177*(1+IF(J$3&lt;=$O$2,$D177,$D177-($D177-$I$157)*MIN(J$3-$O$2,$Q$2)/$Q$2))</f>
        <v>12742.2148077578</v>
      </c>
      <c r="K177" s="15" t="n">
        <f aca="false">J177*(1+IF(K$3&lt;=$O$2,$D177,$D177-($D177-$I$157)*MIN(K$3-$O$2,$Q$2)/$Q$2))</f>
        <v>13537.2031411713</v>
      </c>
      <c r="L177" s="15" t="n">
        <f aca="false">K177*(1+IF(L$3&lt;=$O$2,$D177,$D177-($D177-$I$157)*MIN(L$3-$O$2,$Q$2)/$Q$2))</f>
        <v>14273.0866028316</v>
      </c>
      <c r="M177" s="15" t="n">
        <f aca="false">L177*(1+IF(M$3&lt;=$O$2,$D177,$D177-($D177-$I$157)*MIN(M$3-$O$2,$Q$2)/$Q$2))</f>
        <v>14934.3592844623</v>
      </c>
      <c r="N177" s="15" t="n">
        <f aca="false">M177*(1+IF(N$3&lt;=$O$2,$D177,$D177-($D177-$I$157)*MIN(N$3-$O$2,$Q$2)/$Q$2))</f>
        <v>15506.3452450572</v>
      </c>
      <c r="O177" s="15" t="n">
        <f aca="false">SUMPRODUCT(E177:N177,1/(1+$F$157)^$E$3:$N$3)*$E$2</f>
        <v>29176.1932844824</v>
      </c>
      <c r="P177" s="15" t="n">
        <f aca="false">N177*$E$2*(1+$I$157)/($F$157-$I$157)/(1+$F$157)^$N$3</f>
        <v>57325.128782167</v>
      </c>
      <c r="Q177" s="15" t="n">
        <f aca="false">O177+P177</f>
        <v>86501.3220666495</v>
      </c>
      <c r="R177" s="15" t="n">
        <f aca="false">Q177-$G$2+$I$2</f>
        <v>80381.3220666495</v>
      </c>
      <c r="S177" s="42" t="n">
        <f aca="false">R177/$K$2</f>
        <v>464.14898987556</v>
      </c>
      <c r="T177" s="43" t="n">
        <f aca="false">S177-$M$2</f>
        <v>0.00763406080056939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0.0784473419189453</v>
      </c>
      <c r="C178" s="25" t="n">
        <f aca="false">IF(T177&gt;0,D177,C177)</f>
        <v>0.0784502029418945</v>
      </c>
      <c r="D178" s="41" t="n">
        <f aca="false">(B178+C178)/2</f>
        <v>0.0784487724304199</v>
      </c>
      <c r="E178" s="15" t="n">
        <f aca="false">$C$2*(1+IF(E$3&lt;=$O$2,$D178,$D178-($D178-$I$157)*MIN(E$3-$O$2,$Q$2)/$Q$2))</f>
        <v>8800.14198303223</v>
      </c>
      <c r="F178" s="15" t="n">
        <f aca="false">E178*(1+IF(F$3&lt;=$O$2,$D178,$D178-($D178-$I$157)*MIN(F$3-$O$2,$Q$2)/$Q$2))</f>
        <v>9490.50231881451</v>
      </c>
      <c r="G178" s="15" t="n">
        <f aca="false">F178*(1+IF(G$3&lt;=$O$2,$D178,$D178-($D178-$I$157)*MIN(G$3-$O$2,$Q$2)/$Q$2))</f>
        <v>10235.0205754736</v>
      </c>
      <c r="H178" s="15" t="n">
        <f aca="false">G178*(1+IF(H$3&lt;=$O$2,$D178,$D178-($D178-$I$157)*MIN(H$3-$O$2,$Q$2)/$Q$2))</f>
        <v>11037.9453754196</v>
      </c>
      <c r="I178" s="15" t="n">
        <f aca="false">H178*(1+IF(I$3&lt;=$O$2,$D178,$D178-($D178-$I$157)*MIN(I$3-$O$2,$Q$2)/$Q$2))</f>
        <v>11903.8586402752</v>
      </c>
      <c r="J178" s="15" t="n">
        <f aca="false">I178*(1+IF(J$3&lt;=$O$2,$D178,$D178-($D178-$I$157)*MIN(J$3-$O$2,$Q$2)/$Q$2))</f>
        <v>12742.1166754716</v>
      </c>
      <c r="K178" s="15" t="n">
        <f aca="false">J178*(1+IF(K$3&lt;=$O$2,$D178,$D178-($D178-$I$157)*MIN(K$3-$O$2,$Q$2)/$Q$2))</f>
        <v>13537.0879497534</v>
      </c>
      <c r="L178" s="15" t="n">
        <f aca="false">K178*(1+IF(L$3&lt;=$O$2,$D178,$D178-($D178-$I$157)*MIN(L$3-$O$2,$Q$2)/$Q$2))</f>
        <v>14272.9574036151</v>
      </c>
      <c r="M178" s="15" t="n">
        <f aca="false">L178*(1+IF(M$3&lt;=$O$2,$D178,$D178-($D178-$I$157)*MIN(M$3-$O$2,$Q$2)/$Q$2))</f>
        <v>14934.2200159149</v>
      </c>
      <c r="N178" s="15" t="n">
        <f aca="false">M178*(1+IF(N$3&lt;=$O$2,$D178,$D178-($D178-$I$157)*MIN(N$3-$O$2,$Q$2)/$Q$2))</f>
        <v>15506.2006425244</v>
      </c>
      <c r="O178" s="15" t="n">
        <f aca="false">SUMPRODUCT(E178:N178,1/(1+$F$157)^$E$3:$N$3)*$E$2</f>
        <v>29176.0106401375</v>
      </c>
      <c r="P178" s="15" t="n">
        <f aca="false">N178*$E$2*(1+$I$157)/($F$157-$I$157)/(1+$F$157)^$N$3</f>
        <v>57324.5942036651</v>
      </c>
      <c r="Q178" s="15" t="n">
        <f aca="false">O178+P178</f>
        <v>86500.6048438026</v>
      </c>
      <c r="R178" s="15" t="n">
        <f aca="false">Q178-$G$2+$I$2</f>
        <v>80380.6048438026</v>
      </c>
      <c r="S178" s="42" t="n">
        <f aca="false">R178/$K$2</f>
        <v>464.14484838782</v>
      </c>
      <c r="T178" s="43" t="n">
        <f aca="false">S178-$M$2</f>
        <v>0.00349257306038453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0.0784473419189453</v>
      </c>
      <c r="C179" s="25" t="n">
        <f aca="false">IF(T178&gt;0,D178,C178)</f>
        <v>0.0784487724304199</v>
      </c>
      <c r="D179" s="41" t="n">
        <f aca="false">(B179+C179)/2</f>
        <v>0.0784480571746826</v>
      </c>
      <c r="E179" s="15" t="n">
        <f aca="false">$C$2*(1+IF(E$3&lt;=$O$2,$D179,$D179-($D179-$I$157)*MIN(E$3-$O$2,$Q$2)/$Q$2))</f>
        <v>8800.13614654541</v>
      </c>
      <c r="F179" s="15" t="n">
        <f aca="false">E179*(1+IF(F$3&lt;=$O$2,$D179,$D179-($D179-$I$157)*MIN(F$3-$O$2,$Q$2)/$Q$2))</f>
        <v>9490.4897301146</v>
      </c>
      <c r="G179" s="15" t="n">
        <f aca="false">F179*(1+IF(G$3&lt;=$O$2,$D179,$D179-($D179-$I$157)*MIN(G$3-$O$2,$Q$2)/$Q$2))</f>
        <v>10235.0002110784</v>
      </c>
      <c r="H179" s="15" t="n">
        <f aca="false">G179*(1+IF(H$3&lt;=$O$2,$D179,$D179-($D179-$I$157)*MIN(H$3-$O$2,$Q$2)/$Q$2))</f>
        <v>11037.9160928199</v>
      </c>
      <c r="I179" s="15" t="n">
        <f aca="false">H179*(1+IF(I$3&lt;=$O$2,$D179,$D179-($D179-$I$157)*MIN(I$3-$O$2,$Q$2)/$Q$2))</f>
        <v>11903.8191655588</v>
      </c>
      <c r="J179" s="15" t="n">
        <f aca="false">I179*(1+IF(J$3&lt;=$O$2,$D179,$D179-($D179-$I$157)*MIN(J$3-$O$2,$Q$2)/$Q$2))</f>
        <v>12742.0676095645</v>
      </c>
      <c r="K179" s="15" t="n">
        <f aca="false">J179*(1+IF(K$3&lt;=$O$2,$D179,$D179-($D179-$I$157)*MIN(K$3-$O$2,$Q$2)/$Q$2))</f>
        <v>13537.0303543583</v>
      </c>
      <c r="L179" s="15" t="n">
        <f aca="false">K179*(1+IF(L$3&lt;=$O$2,$D179,$D179-($D179-$I$157)*MIN(L$3-$O$2,$Q$2)/$Q$2))</f>
        <v>14272.8928043871</v>
      </c>
      <c r="M179" s="15" t="n">
        <f aca="false">L179*(1+IF(M$3&lt;=$O$2,$D179,$D179-($D179-$I$157)*MIN(M$3-$O$2,$Q$2)/$Q$2))</f>
        <v>14934.1503820668</v>
      </c>
      <c r="N179" s="15" t="n">
        <f aca="false">M179*(1+IF(N$3&lt;=$O$2,$D179,$D179-($D179-$I$157)*MIN(N$3-$O$2,$Q$2)/$Q$2))</f>
        <v>15506.1283417</v>
      </c>
      <c r="O179" s="15" t="n">
        <f aca="false">SUMPRODUCT(E179:N179,1/(1+$F$157)^$E$3:$N$3)*$E$2</f>
        <v>29175.9193183929</v>
      </c>
      <c r="P179" s="15" t="n">
        <f aca="false">N179*$E$2*(1+$I$157)/($F$157-$I$157)/(1+$F$157)^$N$3</f>
        <v>57324.3269160479</v>
      </c>
      <c r="Q179" s="15" t="n">
        <f aca="false">O179+P179</f>
        <v>86500.2462344408</v>
      </c>
      <c r="R179" s="15" t="n">
        <f aca="false">Q179-$G$2+$I$2</f>
        <v>80380.2462344408</v>
      </c>
      <c r="S179" s="42" t="n">
        <f aca="false">R179/$K$2</f>
        <v>464.142777655854</v>
      </c>
      <c r="T179" s="43" t="n">
        <f aca="false">S179-$M$2</f>
        <v>0.00142184109461141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0.0784473419189453</v>
      </c>
      <c r="C180" s="25" t="n">
        <f aca="false">IF(T179&gt;0,D179,C179)</f>
        <v>0.0784480571746826</v>
      </c>
      <c r="D180" s="41" t="n">
        <f aca="false">(B180+C180)/2</f>
        <v>0.078447699546814</v>
      </c>
      <c r="E180" s="15" t="n">
        <f aca="false">$C$2*(1+IF(E$3&lt;=$O$2,$D180,$D180-($D180-$I$157)*MIN(E$3-$O$2,$Q$2)/$Q$2))</f>
        <v>8800.133228302</v>
      </c>
      <c r="F180" s="15" t="n">
        <f aca="false">E180*(1+IF(F$3&lt;=$O$2,$D180,$D180-($D180-$I$157)*MIN(F$3-$O$2,$Q$2)/$Q$2))</f>
        <v>9490.48343576777</v>
      </c>
      <c r="G180" s="15" t="n">
        <f aca="false">F180*(1+IF(G$3&lt;=$O$2,$D180,$D180-($D180-$I$157)*MIN(G$3-$O$2,$Q$2)/$Q$2))</f>
        <v>10234.9900288909</v>
      </c>
      <c r="H180" s="15" t="n">
        <f aca="false">G180*(1+IF(H$3&lt;=$O$2,$D180,$D180-($D180-$I$157)*MIN(H$3-$O$2,$Q$2)/$Q$2))</f>
        <v>11037.901451542</v>
      </c>
      <c r="I180" s="15" t="n">
        <f aca="false">H180*(1+IF(I$3&lt;=$O$2,$D180,$D180-($D180-$I$157)*MIN(I$3-$O$2,$Q$2)/$Q$2))</f>
        <v>11903.7994282399</v>
      </c>
      <c r="J180" s="15" t="n">
        <f aca="false">I180*(1+IF(J$3&lt;=$O$2,$D180,$D180-($D180-$I$157)*MIN(J$3-$O$2,$Q$2)/$Q$2))</f>
        <v>12742.0430766699</v>
      </c>
      <c r="K180" s="15" t="n">
        <f aca="false">J180*(1+IF(K$3&lt;=$O$2,$D180,$D180-($D180-$I$157)*MIN(K$3-$O$2,$Q$2)/$Q$2))</f>
        <v>13537.0015567391</v>
      </c>
      <c r="L180" s="15" t="n">
        <f aca="false">K180*(1+IF(L$3&lt;=$O$2,$D180,$D180-($D180-$I$157)*MIN(L$3-$O$2,$Q$2)/$Q$2))</f>
        <v>14272.8605048681</v>
      </c>
      <c r="M180" s="15" t="n">
        <f aca="false">L180*(1+IF(M$3&lt;=$O$2,$D180,$D180-($D180-$I$157)*MIN(M$3-$O$2,$Q$2)/$Q$2))</f>
        <v>14934.1155652492</v>
      </c>
      <c r="N180" s="15" t="n">
        <f aca="false">M180*(1+IF(N$3&lt;=$O$2,$D180,$D180-($D180-$I$157)*MIN(N$3-$O$2,$Q$2)/$Q$2))</f>
        <v>15506.0921913982</v>
      </c>
      <c r="O180" s="15" t="n">
        <f aca="false">SUMPRODUCT(E180:N180,1/(1+$F$157)^$E$3:$N$3)*$E$2</f>
        <v>29175.8736576275</v>
      </c>
      <c r="P180" s="15" t="n">
        <f aca="false">N180*$E$2*(1+$I$157)/($F$157-$I$157)/(1+$F$157)^$N$3</f>
        <v>57324.1932726477</v>
      </c>
      <c r="Q180" s="15" t="n">
        <f aca="false">O180+P180</f>
        <v>86500.0669302753</v>
      </c>
      <c r="R180" s="15" t="n">
        <f aca="false">Q180-$G$2+$I$2</f>
        <v>80380.0669302753</v>
      </c>
      <c r="S180" s="42" t="n">
        <f aca="false">R180/$K$2</f>
        <v>464.141742292847</v>
      </c>
      <c r="T180" s="43" t="n">
        <f aca="false">S180-$M$2</f>
        <v>0.00038647808787573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0.0784473419189453</v>
      </c>
      <c r="C181" s="25" t="n">
        <f aca="false">IF(T180&gt;0,D180,C180)</f>
        <v>0.078447699546814</v>
      </c>
      <c r="D181" s="41" t="n">
        <f aca="false">(B181+C181)/2</f>
        <v>0.0784475207328796</v>
      </c>
      <c r="E181" s="15" t="n">
        <f aca="false">$C$2*(1+IF(E$3&lt;=$O$2,$D181,$D181-($D181-$I$157)*MIN(E$3-$O$2,$Q$2)/$Q$2))</f>
        <v>8800.1317691803</v>
      </c>
      <c r="F181" s="15" t="n">
        <f aca="false">E181*(1+IF(F$3&lt;=$O$2,$D181,$D181-($D181-$I$157)*MIN(F$3-$O$2,$Q$2)/$Q$2))</f>
        <v>9490.48028859514</v>
      </c>
      <c r="G181" s="15" t="n">
        <f aca="false">F181*(1+IF(G$3&lt;=$O$2,$D181,$D181-($D181-$I$157)*MIN(G$3-$O$2,$Q$2)/$Q$2))</f>
        <v>10234.9849377997</v>
      </c>
      <c r="H181" s="15" t="n">
        <f aca="false">G181*(1+IF(H$3&lt;=$O$2,$D181,$D181-($D181-$I$157)*MIN(H$3-$O$2,$Q$2)/$Q$2))</f>
        <v>11037.8941309084</v>
      </c>
      <c r="I181" s="15" t="n">
        <f aca="false">H181*(1+IF(I$3&lt;=$O$2,$D181,$D181-($D181-$I$157)*MIN(I$3-$O$2,$Q$2)/$Q$2))</f>
        <v>11903.7895595902</v>
      </c>
      <c r="J181" s="15" t="n">
        <f aca="false">I181*(1+IF(J$3&lt;=$O$2,$D181,$D181-($D181-$I$157)*MIN(J$3-$O$2,$Q$2)/$Q$2))</f>
        <v>12742.0308102373</v>
      </c>
      <c r="K181" s="15" t="n">
        <f aca="false">J181*(1+IF(K$3&lt;=$O$2,$D181,$D181-($D181-$I$157)*MIN(K$3-$O$2,$Q$2)/$Q$2))</f>
        <v>13536.9871579492</v>
      </c>
      <c r="L181" s="15" t="n">
        <f aca="false">K181*(1+IF(L$3&lt;=$O$2,$D181,$D181-($D181-$I$157)*MIN(L$3-$O$2,$Q$2)/$Q$2))</f>
        <v>14272.8443551324</v>
      </c>
      <c r="M181" s="15" t="n">
        <f aca="false">L181*(1+IF(M$3&lt;=$O$2,$D181,$D181-($D181-$I$157)*MIN(M$3-$O$2,$Q$2)/$Q$2))</f>
        <v>14934.098156867</v>
      </c>
      <c r="N181" s="15" t="n">
        <f aca="false">M181*(1+IF(N$3&lt;=$O$2,$D181,$D181-($D181-$I$157)*MIN(N$3-$O$2,$Q$2)/$Q$2))</f>
        <v>15506.074116275</v>
      </c>
      <c r="O181" s="15" t="n">
        <f aca="false">SUMPRODUCT(E181:N181,1/(1+$F$157)^$E$3:$N$3)*$E$2</f>
        <v>29175.8508272716</v>
      </c>
      <c r="P181" s="15" t="n">
        <f aca="false">N181*$E$2*(1+$I$157)/($F$157-$I$157)/(1+$F$157)^$N$3</f>
        <v>57324.1264510498</v>
      </c>
      <c r="Q181" s="15" t="n">
        <f aca="false">O181+P181</f>
        <v>86499.9772783214</v>
      </c>
      <c r="R181" s="15" t="n">
        <f aca="false">Q181-$G$2+$I$2</f>
        <v>80379.9772783214</v>
      </c>
      <c r="S181" s="42" t="n">
        <f aca="false">R181/$K$2</f>
        <v>464.141224612088</v>
      </c>
      <c r="T181" s="43" t="n">
        <f aca="false">S181-$M$2</f>
        <v>-0.0001312026714686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0.0784475207328796</v>
      </c>
      <c r="C182" s="25" t="n">
        <f aca="false">IF(T181&gt;0,D181,C181)</f>
        <v>0.078447699546814</v>
      </c>
      <c r="D182" s="41" t="n">
        <f aca="false">(B182+C182)/2</f>
        <v>0.0784476101398468</v>
      </c>
      <c r="E182" s="15" t="n">
        <f aca="false">$C$2*(1+IF(E$3&lt;=$O$2,$D182,$D182-($D182-$I$157)*MIN(E$3-$O$2,$Q$2)/$Q$2))</f>
        <v>8800.13249874115</v>
      </c>
      <c r="F182" s="15" t="n">
        <f aca="false">E182*(1+IF(F$3&lt;=$O$2,$D182,$D182-($D182-$I$157)*MIN(F$3-$O$2,$Q$2)/$Q$2))</f>
        <v>9490.48186218139</v>
      </c>
      <c r="G182" s="15" t="n">
        <f aca="false">F182*(1+IF(G$3&lt;=$O$2,$D182,$D182-($D182-$I$157)*MIN(G$3-$O$2,$Q$2)/$Q$2))</f>
        <v>10234.9874833451</v>
      </c>
      <c r="H182" s="15" t="n">
        <f aca="false">G182*(1+IF(H$3&lt;=$O$2,$D182,$D182-($D182-$I$157)*MIN(H$3-$O$2,$Q$2)/$Q$2))</f>
        <v>11037.8977912248</v>
      </c>
      <c r="I182" s="15" t="n">
        <f aca="false">H182*(1+IF(I$3&lt;=$O$2,$D182,$D182-($D182-$I$157)*MIN(I$3-$O$2,$Q$2)/$Q$2))</f>
        <v>11903.7944939142</v>
      </c>
      <c r="J182" s="15" t="n">
        <f aca="false">I182*(1+IF(J$3&lt;=$O$2,$D182,$D182-($D182-$I$157)*MIN(J$3-$O$2,$Q$2)/$Q$2))</f>
        <v>12742.0369434524</v>
      </c>
      <c r="K182" s="15" t="n">
        <f aca="false">J182*(1+IF(K$3&lt;=$O$2,$D182,$D182-($D182-$I$157)*MIN(K$3-$O$2,$Q$2)/$Q$2))</f>
        <v>13536.9943573425</v>
      </c>
      <c r="L182" s="15" t="n">
        <f aca="false">K182*(1+IF(L$3&lt;=$O$2,$D182,$D182-($D182-$I$157)*MIN(L$3-$O$2,$Q$2)/$Q$2))</f>
        <v>14272.8524299983</v>
      </c>
      <c r="M182" s="15" t="n">
        <f aca="false">L182*(1+IF(M$3&lt;=$O$2,$D182,$D182-($D182-$I$157)*MIN(M$3-$O$2,$Q$2)/$Q$2))</f>
        <v>14934.1068610559</v>
      </c>
      <c r="N182" s="15" t="n">
        <f aca="false">M182*(1+IF(N$3&lt;=$O$2,$D182,$D182-($D182-$I$157)*MIN(N$3-$O$2,$Q$2)/$Q$2))</f>
        <v>15506.0831538343</v>
      </c>
      <c r="O182" s="15" t="n">
        <f aca="false">SUMPRODUCT(E182:N182,1/(1+$F$157)^$E$3:$N$3)*$E$2</f>
        <v>29175.8622424473</v>
      </c>
      <c r="P182" s="15" t="n">
        <f aca="false">N182*$E$2*(1+$I$157)/($F$157-$I$157)/(1+$F$157)^$N$3</f>
        <v>57324.1598618402</v>
      </c>
      <c r="Q182" s="15" t="n">
        <f aca="false">O182+P182</f>
        <v>86500.0221042876</v>
      </c>
      <c r="R182" s="15" t="n">
        <f aca="false">Q182-$G$2+$I$2</f>
        <v>80380.0221042876</v>
      </c>
      <c r="S182" s="42" t="n">
        <f aca="false">R182/$K$2</f>
        <v>464.141483452405</v>
      </c>
      <c r="T182" s="43" t="n">
        <f aca="false">S182-$M$2</f>
        <v>0.000127637646130552</v>
      </c>
    </row>
    <row r="184" customFormat="false" ht="15" hidden="false" customHeight="false" outlineLevel="0" collapsed="false">
      <c r="A184" s="38" t="s">
        <v>187</v>
      </c>
      <c r="E184" s="5" t="s">
        <v>11</v>
      </c>
      <c r="F184" s="12" t="n">
        <f aca="false">Sensitivity!$B$11</f>
        <v>0.0903160519233867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162</v>
      </c>
      <c r="B185" s="28" t="s">
        <v>163</v>
      </c>
      <c r="C185" s="28" t="s">
        <v>164</v>
      </c>
      <c r="D185" s="28" t="s">
        <v>165</v>
      </c>
      <c r="E185" s="28" t="s">
        <v>166</v>
      </c>
      <c r="F185" s="28" t="s">
        <v>167</v>
      </c>
      <c r="G185" s="28" t="s">
        <v>168</v>
      </c>
      <c r="H185" s="28" t="s">
        <v>169</v>
      </c>
      <c r="I185" s="28" t="s">
        <v>170</v>
      </c>
      <c r="J185" s="28" t="s">
        <v>171</v>
      </c>
      <c r="K185" s="28" t="s">
        <v>172</v>
      </c>
      <c r="L185" s="28" t="s">
        <v>173</v>
      </c>
      <c r="M185" s="28" t="s">
        <v>174</v>
      </c>
      <c r="N185" s="28" t="s">
        <v>175</v>
      </c>
      <c r="O185" s="28" t="s">
        <v>176</v>
      </c>
      <c r="P185" s="28" t="s">
        <v>177</v>
      </c>
      <c r="Q185" s="28" t="s">
        <v>178</v>
      </c>
      <c r="R185" s="28" t="s">
        <v>179</v>
      </c>
      <c r="S185" s="28" t="s">
        <v>180</v>
      </c>
      <c r="T185" s="28" t="s">
        <v>181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10200</v>
      </c>
      <c r="F186" s="15" t="n">
        <f aca="false">E186*(1+IF(F$3&lt;=$O$2,$D186,$D186-($D186-$I$184)*MIN(F$3-$O$2,$Q$2)/$Q$2))</f>
        <v>12750</v>
      </c>
      <c r="G186" s="15" t="n">
        <f aca="false">F186*(1+IF(G$3&lt;=$O$2,$D186,$D186-($D186-$I$184)*MIN(G$3-$O$2,$Q$2)/$Q$2))</f>
        <v>15937.5</v>
      </c>
      <c r="H186" s="15" t="n">
        <f aca="false">G186*(1+IF(H$3&lt;=$O$2,$D186,$D186-($D186-$I$184)*MIN(H$3-$O$2,$Q$2)/$Q$2))</f>
        <v>19921.875</v>
      </c>
      <c r="I186" s="15" t="n">
        <f aca="false">H186*(1+IF(I$3&lt;=$O$2,$D186,$D186-($D186-$I$184)*MIN(I$3-$O$2,$Q$2)/$Q$2))</f>
        <v>24902.34375</v>
      </c>
      <c r="J186" s="15" t="n">
        <f aca="false">I186*(1+IF(J$3&lt;=$O$2,$D186,$D186-($D186-$I$184)*MIN(J$3-$O$2,$Q$2)/$Q$2))</f>
        <v>29973.955078125</v>
      </c>
      <c r="K186" s="15" t="n">
        <f aca="false">J186*(1+IF(K$3&lt;=$O$2,$D186,$D186-($D186-$I$184)*MIN(K$3-$O$2,$Q$2)/$Q$2))</f>
        <v>34689.4576910156</v>
      </c>
      <c r="L186" s="15" t="n">
        <f aca="false">K186*(1+IF(L$3&lt;=$O$2,$D186,$D186-($D186-$I$184)*MIN(L$3-$O$2,$Q$2)/$Q$2))</f>
        <v>38539.2937055645</v>
      </c>
      <c r="M186" s="15" t="n">
        <f aca="false">L186*(1+IF(M$3&lt;=$O$2,$D186,$D186-($D186-$I$184)*MIN(M$3-$O$2,$Q$2)/$Q$2))</f>
        <v>41030.4736506922</v>
      </c>
      <c r="N186" s="15" t="n">
        <f aca="false">M186*(1+IF(N$3&lt;=$O$2,$D186,$D186-($D186-$I$184)*MIN(N$3-$O$2,$Q$2)/$Q$2))</f>
        <v>41781.3313184999</v>
      </c>
      <c r="O186" s="15" t="n">
        <f aca="false">SUMPRODUCT(E186:N186,1/(1+$F$184)^$E$3:$N$3)*$E$2</f>
        <v>58894.4872956001</v>
      </c>
      <c r="P186" s="15" t="n">
        <f aca="false">N186*$E$2*(1+$I$184)/($F$184-$I$184)/(1+$F$184)^$N$3</f>
        <v>94455.1857089046</v>
      </c>
      <c r="Q186" s="15" t="n">
        <f aca="false">O186+P186</f>
        <v>153349.673004505</v>
      </c>
      <c r="R186" s="15" t="n">
        <f aca="false">Q186-$G$2+$I$2</f>
        <v>147229.673004505</v>
      </c>
      <c r="S186" s="42" t="n">
        <f aca="false">R186/$K$2</f>
        <v>850.154018965843</v>
      </c>
      <c r="T186" s="43" t="n">
        <f aca="false">S186-$M$2</f>
        <v>386.012663151084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7140</v>
      </c>
      <c r="F187" s="15" t="n">
        <f aca="false">E187*(1+IF(F$3&lt;=$O$2,$D187,$D187-($D187-$I$184)*MIN(F$3-$O$2,$Q$2)/$Q$2))</f>
        <v>6247.5</v>
      </c>
      <c r="G187" s="15" t="n">
        <f aca="false">F187*(1+IF(G$3&lt;=$O$2,$D187,$D187-($D187-$I$184)*MIN(G$3-$O$2,$Q$2)/$Q$2))</f>
        <v>5466.5625</v>
      </c>
      <c r="H187" s="15" t="n">
        <f aca="false">G187*(1+IF(H$3&lt;=$O$2,$D187,$D187-($D187-$I$184)*MIN(H$3-$O$2,$Q$2)/$Q$2))</f>
        <v>4783.2421875</v>
      </c>
      <c r="I187" s="15" t="n">
        <f aca="false">H187*(1+IF(I$3&lt;=$O$2,$D187,$D187-($D187-$I$184)*MIN(I$3-$O$2,$Q$2)/$Q$2))</f>
        <v>4185.3369140625</v>
      </c>
      <c r="J187" s="15" t="n">
        <f aca="false">I187*(1+IF(J$3&lt;=$O$2,$D187,$D187-($D187-$I$184)*MIN(J$3-$O$2,$Q$2)/$Q$2))</f>
        <v>3782.12155576172</v>
      </c>
      <c r="K187" s="15" t="n">
        <f aca="false">J187*(1+IF(K$3&lt;=$O$2,$D187,$D187-($D187-$I$184)*MIN(K$3-$O$2,$Q$2)/$Q$2))</f>
        <v>3526.14756886777</v>
      </c>
      <c r="L187" s="15" t="n">
        <f aca="false">K187*(1+IF(L$3&lt;=$O$2,$D187,$D187-($D187-$I$184)*MIN(L$3-$O$2,$Q$2)/$Q$2))</f>
        <v>3388.55729073055</v>
      </c>
      <c r="M187" s="15" t="n">
        <f aca="false">L187*(1+IF(M$3&lt;=$O$2,$D187,$D187-($D187-$I$184)*MIN(M$3-$O$2,$Q$2)/$Q$2))</f>
        <v>3353.45183719858</v>
      </c>
      <c r="N187" s="15" t="n">
        <f aca="false">M187*(1+IF(N$3&lt;=$O$2,$D187,$D187-($D187-$I$184)*MIN(N$3-$O$2,$Q$2)/$Q$2))</f>
        <v>3414.82000581931</v>
      </c>
      <c r="O187" s="15" t="n">
        <f aca="false">SUMPRODUCT(E187:N187,1/(1+$F$184)^$E$3:$N$3)*$E$2</f>
        <v>11757.4049871357</v>
      </c>
      <c r="P187" s="15" t="n">
        <f aca="false">N187*$E$2*(1+$I$184)/($F$184-$I$184)/(1+$F$184)^$N$3</f>
        <v>7719.89421192351</v>
      </c>
      <c r="Q187" s="15" t="n">
        <f aca="false">O187+P187</f>
        <v>19477.2991990592</v>
      </c>
      <c r="R187" s="15" t="n">
        <f aca="false">Q187-$G$2+$I$2</f>
        <v>13357.2991990592</v>
      </c>
      <c r="S187" s="42" t="n">
        <f aca="false">R187/$K$2</f>
        <v>77.1295715386255</v>
      </c>
      <c r="T187" s="43" t="n">
        <f aca="false">S187-$M$2</f>
        <v>-387.011784276134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8670</v>
      </c>
      <c r="F188" s="15" t="n">
        <f aca="false">E188*(1+IF(F$3&lt;=$O$2,$D188,$D188-($D188-$I$184)*MIN(F$3-$O$2,$Q$2)/$Q$2))</f>
        <v>9211.875</v>
      </c>
      <c r="G188" s="15" t="n">
        <f aca="false">F188*(1+IF(G$3&lt;=$O$2,$D188,$D188-($D188-$I$184)*MIN(G$3-$O$2,$Q$2)/$Q$2))</f>
        <v>9787.6171875</v>
      </c>
      <c r="H188" s="15" t="n">
        <f aca="false">G188*(1+IF(H$3&lt;=$O$2,$D188,$D188-($D188-$I$184)*MIN(H$3-$O$2,$Q$2)/$Q$2))</f>
        <v>10399.3432617188</v>
      </c>
      <c r="I188" s="15" t="n">
        <f aca="false">H188*(1+IF(I$3&lt;=$O$2,$D188,$D188-($D188-$I$184)*MIN(I$3-$O$2,$Q$2)/$Q$2))</f>
        <v>11049.3022155762</v>
      </c>
      <c r="J188" s="15" t="n">
        <f aca="false">I188*(1+IF(J$3&lt;=$O$2,$D188,$D188-($D188-$I$184)*MIN(J$3-$O$2,$Q$2)/$Q$2))</f>
        <v>11642.207772464</v>
      </c>
      <c r="K188" s="15" t="n">
        <f aca="false">J188*(1+IF(K$3&lt;=$O$2,$D188,$D188-($D188-$I$184)*MIN(K$3-$O$2,$Q$2)/$Q$2))</f>
        <v>12164.0115248258</v>
      </c>
      <c r="L188" s="15" t="n">
        <f aca="false">K188*(1+IF(L$3&lt;=$O$2,$D188,$D188-($D188-$I$184)*MIN(L$3-$O$2,$Q$2)/$Q$2))</f>
        <v>12601.6726594891</v>
      </c>
      <c r="M188" s="15" t="n">
        <f aca="false">L188*(1+IF(M$3&lt;=$O$2,$D188,$D188-($D188-$I$184)*MIN(M$3-$O$2,$Q$2)/$Q$2))</f>
        <v>12943.6820554676</v>
      </c>
      <c r="N188" s="15" t="n">
        <f aca="false">M188*(1+IF(N$3&lt;=$O$2,$D188,$D188-($D188-$I$184)*MIN(N$3-$O$2,$Q$2)/$Q$2))</f>
        <v>13180.5514370826</v>
      </c>
      <c r="O188" s="15" t="n">
        <f aca="false">SUMPRODUCT(E188:N188,1/(1+$F$184)^$E$3:$N$3)*$E$2</f>
        <v>26251.8012872689</v>
      </c>
      <c r="P188" s="15" t="n">
        <f aca="false">N188*$E$2*(1+$I$184)/($F$184-$I$184)/(1+$F$184)^$N$3</f>
        <v>29797.3136433822</v>
      </c>
      <c r="Q188" s="15" t="n">
        <f aca="false">O188+P188</f>
        <v>56049.1149306511</v>
      </c>
      <c r="R188" s="15" t="n">
        <f aca="false">Q188-$G$2+$I$2</f>
        <v>49929.1149306511</v>
      </c>
      <c r="S188" s="42" t="n">
        <f aca="false">R188/$K$2</f>
        <v>288.307627501161</v>
      </c>
      <c r="T188" s="43" t="n">
        <f aca="false">S188-$M$2</f>
        <v>-175.833728313598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41" t="n">
        <f aca="false">(B189+C189)/2</f>
        <v>0.15625</v>
      </c>
      <c r="E189" s="15" t="n">
        <f aca="false">$C$2*(1+IF(E$3&lt;=$O$2,$D189,$D189-($D189-$I$184)*MIN(E$3-$O$2,$Q$2)/$Q$2))</f>
        <v>9435</v>
      </c>
      <c r="F189" s="15" t="n">
        <f aca="false">E189*(1+IF(F$3&lt;=$O$2,$D189,$D189-($D189-$I$184)*MIN(F$3-$O$2,$Q$2)/$Q$2))</f>
        <v>10909.21875</v>
      </c>
      <c r="G189" s="15" t="n">
        <f aca="false">F189*(1+IF(G$3&lt;=$O$2,$D189,$D189-($D189-$I$184)*MIN(G$3-$O$2,$Q$2)/$Q$2))</f>
        <v>12613.7841796875</v>
      </c>
      <c r="H189" s="15" t="n">
        <f aca="false">G189*(1+IF(H$3&lt;=$O$2,$D189,$D189-($D189-$I$184)*MIN(H$3-$O$2,$Q$2)/$Q$2))</f>
        <v>14584.6879577637</v>
      </c>
      <c r="I189" s="15" t="n">
        <f aca="false">H189*(1+IF(I$3&lt;=$O$2,$D189,$D189-($D189-$I$184)*MIN(I$3-$O$2,$Q$2)/$Q$2))</f>
        <v>16863.5454511642</v>
      </c>
      <c r="J189" s="15" t="n">
        <f aca="false">I189*(1+IF(J$3&lt;=$O$2,$D189,$D189-($D189-$I$184)*MIN(J$3-$O$2,$Q$2)/$Q$2))</f>
        <v>19033.209208911</v>
      </c>
      <c r="K189" s="15" t="n">
        <f aca="false">J189*(1+IF(K$3&lt;=$O$2,$D189,$D189-($D189-$I$184)*MIN(K$3-$O$2,$Q$2)/$Q$2))</f>
        <v>20956.8956636557</v>
      </c>
      <c r="L189" s="15" t="n">
        <f aca="false">K189*(1+IF(L$3&lt;=$O$2,$D189,$D189-($D189-$I$184)*MIN(L$3-$O$2,$Q$2)/$Q$2))</f>
        <v>22496.8083570211</v>
      </c>
      <c r="M189" s="15" t="n">
        <f aca="false">L189*(1+IF(M$3&lt;=$O$2,$D189,$D189-($D189-$I$184)*MIN(M$3-$O$2,$Q$2)/$Q$2))</f>
        <v>23529.1868925248</v>
      </c>
      <c r="N189" s="15" t="n">
        <f aca="false">M189*(1+IF(N$3&lt;=$O$2,$D189,$D189-($D189-$I$184)*MIN(N$3-$O$2,$Q$2)/$Q$2))</f>
        <v>23959.771012658</v>
      </c>
      <c r="O189" s="15" t="n">
        <f aca="false">SUMPRODUCT(E189:N189,1/(1+$F$184)^$E$3:$N$3)*$E$2</f>
        <v>39385.8758919171</v>
      </c>
      <c r="P189" s="15" t="n">
        <f aca="false">N189*$E$2*(1+$I$184)/($F$184-$I$184)/(1+$F$184)^$N$3</f>
        <v>54165.9288760235</v>
      </c>
      <c r="Q189" s="15" t="n">
        <f aca="false">O189+P189</f>
        <v>93551.8047679407</v>
      </c>
      <c r="R189" s="15" t="n">
        <f aca="false">Q189-$G$2+$I$2</f>
        <v>87431.8047679407</v>
      </c>
      <c r="S189" s="42" t="n">
        <f aca="false">R189/$K$2</f>
        <v>504.860865965704</v>
      </c>
      <c r="T189" s="43" t="n">
        <f aca="false">S189-$M$2</f>
        <v>40.719510150945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41" t="n">
        <f aca="false">(B190+C190)/2</f>
        <v>0.109375</v>
      </c>
      <c r="E190" s="15" t="n">
        <f aca="false">$C$2*(1+IF(E$3&lt;=$O$2,$D190,$D190-($D190-$I$184)*MIN(E$3-$O$2,$Q$2)/$Q$2))</f>
        <v>9052.5</v>
      </c>
      <c r="F190" s="15" t="n">
        <f aca="false">E190*(1+IF(F$3&lt;=$O$2,$D190,$D190-($D190-$I$184)*MIN(F$3-$O$2,$Q$2)/$Q$2))</f>
        <v>10042.6171875</v>
      </c>
      <c r="G190" s="15" t="n">
        <f aca="false">F190*(1+IF(G$3&lt;=$O$2,$D190,$D190-($D190-$I$184)*MIN(G$3-$O$2,$Q$2)/$Q$2))</f>
        <v>11141.0284423828</v>
      </c>
      <c r="H190" s="15" t="n">
        <f aca="false">G190*(1+IF(H$3&lt;=$O$2,$D190,$D190-($D190-$I$184)*MIN(H$3-$O$2,$Q$2)/$Q$2))</f>
        <v>12359.5784282684</v>
      </c>
      <c r="I190" s="15" t="n">
        <f aca="false">H190*(1+IF(I$3&lt;=$O$2,$D190,$D190-($D190-$I$184)*MIN(I$3-$O$2,$Q$2)/$Q$2))</f>
        <v>13711.4073188603</v>
      </c>
      <c r="J190" s="15" t="n">
        <f aca="false">I190*(1+IF(J$3&lt;=$O$2,$D190,$D190-($D190-$I$184)*MIN(J$3-$O$2,$Q$2)/$Q$2))</f>
        <v>14961.3392100476</v>
      </c>
      <c r="K190" s="15" t="n">
        <f aca="false">J190*(1+IF(K$3&lt;=$O$2,$D190,$D190-($D190-$I$184)*MIN(K$3-$O$2,$Q$2)/$Q$2))</f>
        <v>16052.6940987245</v>
      </c>
      <c r="L190" s="15" t="n">
        <f aca="false">K190*(1+IF(L$3&lt;=$O$2,$D190,$D190-($D190-$I$184)*MIN(L$3-$O$2,$Q$2)/$Q$2))</f>
        <v>16931.2580467477</v>
      </c>
      <c r="M190" s="15" t="n">
        <f aca="false">L190*(1+IF(M$3&lt;=$O$2,$D190,$D190-($D190-$I$184)*MIN(M$3-$O$2,$Q$2)/$Q$2))</f>
        <v>17549.5029343247</v>
      </c>
      <c r="N190" s="15" t="n">
        <f aca="false">M190*(1+IF(N$3&lt;=$O$2,$D190,$D190-($D190-$I$184)*MIN(N$3-$O$2,$Q$2)/$Q$2))</f>
        <v>17870.6588380228</v>
      </c>
      <c r="O190" s="15" t="n">
        <f aca="false">SUMPRODUCT(E190:N190,1/(1+$F$184)^$E$3:$N$3)*$E$2</f>
        <v>32160.4003750027</v>
      </c>
      <c r="P190" s="15" t="n">
        <f aca="false">N190*$E$2*(1+$I$184)/($F$184-$I$184)/(1+$F$184)^$N$3</f>
        <v>40400.2540373462</v>
      </c>
      <c r="Q190" s="15" t="n">
        <f aca="false">O190+P190</f>
        <v>72560.6544123489</v>
      </c>
      <c r="R190" s="15" t="n">
        <f aca="false">Q190-$G$2+$I$2</f>
        <v>66440.6544123489</v>
      </c>
      <c r="S190" s="42" t="n">
        <f aca="false">R190/$K$2</f>
        <v>383.650851208852</v>
      </c>
      <c r="T190" s="43" t="n">
        <f aca="false">S190-$M$2</f>
        <v>-80.4905046059076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0.109375</v>
      </c>
      <c r="C191" s="25" t="n">
        <f aca="false">IF(T190&gt;0,D190,C190)</f>
        <v>0.15625</v>
      </c>
      <c r="D191" s="41" t="n">
        <f aca="false">(B191+C191)/2</f>
        <v>0.1328125</v>
      </c>
      <c r="E191" s="15" t="n">
        <f aca="false">$C$2*(1+IF(E$3&lt;=$O$2,$D191,$D191-($D191-$I$184)*MIN(E$3-$O$2,$Q$2)/$Q$2))</f>
        <v>9243.75</v>
      </c>
      <c r="F191" s="15" t="n">
        <f aca="false">E191*(1+IF(F$3&lt;=$O$2,$D191,$D191-($D191-$I$184)*MIN(F$3-$O$2,$Q$2)/$Q$2))</f>
        <v>10471.435546875</v>
      </c>
      <c r="G191" s="15" t="n">
        <f aca="false">F191*(1+IF(G$3&lt;=$O$2,$D191,$D191-($D191-$I$184)*MIN(G$3-$O$2,$Q$2)/$Q$2))</f>
        <v>11862.1730804443</v>
      </c>
      <c r="H191" s="15" t="n">
        <f aca="false">G191*(1+IF(H$3&lt;=$O$2,$D191,$D191-($D191-$I$184)*MIN(H$3-$O$2,$Q$2)/$Q$2))</f>
        <v>13437.6179426909</v>
      </c>
      <c r="I191" s="15" t="n">
        <f aca="false">H191*(1+IF(I$3&lt;=$O$2,$D191,$D191-($D191-$I$184)*MIN(I$3-$O$2,$Q$2)/$Q$2))</f>
        <v>15222.3015757045</v>
      </c>
      <c r="J191" s="15" t="n">
        <f aca="false">I191*(1+IF(J$3&lt;=$O$2,$D191,$D191-($D191-$I$184)*MIN(J$3-$O$2,$Q$2)/$Q$2))</f>
        <v>16895.3847418902</v>
      </c>
      <c r="K191" s="15" t="n">
        <f aca="false">J191*(1+IF(K$3&lt;=$O$2,$D191,$D191-($D191-$I$184)*MIN(K$3-$O$2,$Q$2)/$Q$2))</f>
        <v>18365.4099298202</v>
      </c>
      <c r="L191" s="15" t="n">
        <f aca="false">K191*(1+IF(L$3&lt;=$O$2,$D191,$D191-($D191-$I$184)*MIN(L$3-$O$2,$Q$2)/$Q$2))</f>
        <v>19542.7245333713</v>
      </c>
      <c r="M191" s="15" t="n">
        <f aca="false">L191*(1+IF(M$3&lt;=$O$2,$D191,$D191-($D191-$I$184)*MIN(M$3-$O$2,$Q$2)/$Q$2))</f>
        <v>20347.9336409575</v>
      </c>
      <c r="N191" s="15" t="n">
        <f aca="false">M191*(1+IF(N$3&lt;=$O$2,$D191,$D191-($D191-$I$184)*MIN(N$3-$O$2,$Q$2)/$Q$2))</f>
        <v>20720.300826587</v>
      </c>
      <c r="O191" s="15" t="n">
        <f aca="false">SUMPRODUCT(E191:N191,1/(1+$F$184)^$E$3:$N$3)*$E$2</f>
        <v>35592.9223102982</v>
      </c>
      <c r="P191" s="15" t="n">
        <f aca="false">N191*$E$2*(1+$I$184)/($F$184-$I$184)/(1+$F$184)^$N$3</f>
        <v>46842.4485471833</v>
      </c>
      <c r="Q191" s="15" t="n">
        <f aca="false">O191+P191</f>
        <v>82435.3708574815</v>
      </c>
      <c r="R191" s="15" t="n">
        <f aca="false">Q191-$G$2+$I$2</f>
        <v>76315.3708574815</v>
      </c>
      <c r="S191" s="42" t="n">
        <f aca="false">R191/$K$2</f>
        <v>440.670809894223</v>
      </c>
      <c r="T191" s="43" t="n">
        <f aca="false">S191-$M$2</f>
        <v>-23.4705459205367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0.1328125</v>
      </c>
      <c r="C192" s="25" t="n">
        <f aca="false">IF(T191&gt;0,D191,C191)</f>
        <v>0.15625</v>
      </c>
      <c r="D192" s="41" t="n">
        <f aca="false">(B192+C192)/2</f>
        <v>0.14453125</v>
      </c>
      <c r="E192" s="15" t="n">
        <f aca="false">$C$2*(1+IF(E$3&lt;=$O$2,$D192,$D192-($D192-$I$184)*MIN(E$3-$O$2,$Q$2)/$Q$2))</f>
        <v>9339.375</v>
      </c>
      <c r="F192" s="15" t="n">
        <f aca="false">E192*(1+IF(F$3&lt;=$O$2,$D192,$D192-($D192-$I$184)*MIN(F$3-$O$2,$Q$2)/$Q$2))</f>
        <v>10689.2065429688</v>
      </c>
      <c r="G192" s="15" t="n">
        <f aca="false">F192*(1+IF(G$3&lt;=$O$2,$D192,$D192-($D192-$I$184)*MIN(G$3-$O$2,$Q$2)/$Q$2))</f>
        <v>12234.1309261322</v>
      </c>
      <c r="H192" s="15" t="n">
        <f aca="false">G192*(1+IF(H$3&lt;=$O$2,$D192,$D192-($D192-$I$184)*MIN(H$3-$O$2,$Q$2)/$Q$2))</f>
        <v>14002.3451615497</v>
      </c>
      <c r="I192" s="15" t="n">
        <f aca="false">H192*(1+IF(I$3&lt;=$O$2,$D192,$D192-($D192-$I$184)*MIN(I$3-$O$2,$Q$2)/$Q$2))</f>
        <v>16026.12161068</v>
      </c>
      <c r="J192" s="15" t="n">
        <f aca="false">I192*(1+IF(J$3&lt;=$O$2,$D192,$D192-($D192-$I$184)*MIN(J$3-$O$2,$Q$2)/$Q$2))</f>
        <v>17937.79752701</v>
      </c>
      <c r="K192" s="15" t="n">
        <f aca="false">J192*(1+IF(K$3&lt;=$O$2,$D192,$D192-($D192-$I$184)*MIN(K$3-$O$2,$Q$2)/$Q$2))</f>
        <v>19624.6455842031</v>
      </c>
      <c r="L192" s="15" t="n">
        <f aca="false">K192*(1+IF(L$3&lt;=$O$2,$D192,$D192-($D192-$I$184)*MIN(L$3-$O$2,$Q$2)/$Q$2))</f>
        <v>20974.6740155543</v>
      </c>
      <c r="M192" s="15" t="n">
        <f aca="false">L192*(1+IF(M$3&lt;=$O$2,$D192,$D192-($D192-$I$184)*MIN(M$3-$O$2,$Q$2)/$Q$2))</f>
        <v>21888.0424139042</v>
      </c>
      <c r="N192" s="15" t="n">
        <f aca="false">M192*(1+IF(N$3&lt;=$O$2,$D192,$D192-($D192-$I$184)*MIN(N$3-$O$2,$Q$2)/$Q$2))</f>
        <v>22288.5935900786</v>
      </c>
      <c r="O192" s="15" t="n">
        <f aca="false">SUMPRODUCT(E192:N192,1/(1+$F$184)^$E$3:$N$3)*$E$2</f>
        <v>37442.2550615267</v>
      </c>
      <c r="P192" s="15" t="n">
        <f aca="false">N192*$E$2*(1+$I$184)/($F$184-$I$184)/(1+$F$184)^$N$3</f>
        <v>50387.8928771474</v>
      </c>
      <c r="Q192" s="15" t="n">
        <f aca="false">O192+P192</f>
        <v>87830.1479386741</v>
      </c>
      <c r="R192" s="15" t="n">
        <f aca="false">Q192-$G$2+$I$2</f>
        <v>81710.1479386741</v>
      </c>
      <c r="S192" s="42" t="n">
        <f aca="false">R192/$K$2</f>
        <v>471.822080717601</v>
      </c>
      <c r="T192" s="43" t="n">
        <f aca="false">S192-$M$2</f>
        <v>7.68072490284163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0.1328125</v>
      </c>
      <c r="C193" s="25" t="n">
        <f aca="false">IF(T192&gt;0,D192,C192)</f>
        <v>0.14453125</v>
      </c>
      <c r="D193" s="41" t="n">
        <f aca="false">(B193+C193)/2</f>
        <v>0.138671875</v>
      </c>
      <c r="E193" s="15" t="n">
        <f aca="false">$C$2*(1+IF(E$3&lt;=$O$2,$D193,$D193-($D193-$I$184)*MIN(E$3-$O$2,$Q$2)/$Q$2))</f>
        <v>9291.5625</v>
      </c>
      <c r="F193" s="15" t="n">
        <f aca="false">E193*(1+IF(F$3&lt;=$O$2,$D193,$D193-($D193-$I$184)*MIN(F$3-$O$2,$Q$2)/$Q$2))</f>
        <v>10580.0408935547</v>
      </c>
      <c r="G193" s="15" t="n">
        <f aca="false">F193*(1+IF(G$3&lt;=$O$2,$D193,$D193-($D193-$I$184)*MIN(G$3-$O$2,$Q$2)/$Q$2))</f>
        <v>12047.1950018406</v>
      </c>
      <c r="H193" s="15" t="n">
        <f aca="false">G193*(1+IF(H$3&lt;=$O$2,$D193,$D193-($D193-$I$184)*MIN(H$3-$O$2,$Q$2)/$Q$2))</f>
        <v>13717.8021212365</v>
      </c>
      <c r="I193" s="15" t="n">
        <f aca="false">H193*(1+IF(I$3&lt;=$O$2,$D193,$D193-($D193-$I$184)*MIN(I$3-$O$2,$Q$2)/$Q$2))</f>
        <v>15620.0754622673</v>
      </c>
      <c r="J193" s="15" t="n">
        <f aca="false">I193*(1+IF(J$3&lt;=$O$2,$D193,$D193-($D193-$I$184)*MIN(J$3-$O$2,$Q$2)/$Q$2))</f>
        <v>17410.0970600545</v>
      </c>
      <c r="K193" s="15" t="n">
        <f aca="false">J193*(1+IF(K$3&lt;=$O$2,$D193,$D193-($D193-$I$184)*MIN(K$3-$O$2,$Q$2)/$Q$2))</f>
        <v>18986.1134524839</v>
      </c>
      <c r="L193" s="15" t="n">
        <f aca="false">K193*(1+IF(L$3&lt;=$O$2,$D193,$D193-($D193-$I$184)*MIN(L$3-$O$2,$Q$2)/$Q$2))</f>
        <v>20247.7169587596</v>
      </c>
      <c r="M193" s="15" t="n">
        <f aca="false">L193*(1+IF(M$3&lt;=$O$2,$D193,$D193-($D193-$I$184)*MIN(M$3-$O$2,$Q$2)/$Q$2))</f>
        <v>21105.701310064</v>
      </c>
      <c r="N193" s="15" t="n">
        <f aca="false">M193*(1+IF(N$3&lt;=$O$2,$D193,$D193-($D193-$I$184)*MIN(N$3-$O$2,$Q$2)/$Q$2))</f>
        <v>21491.9356440382</v>
      </c>
      <c r="O193" s="15" t="n">
        <f aca="false">SUMPRODUCT(E193:N193,1/(1+$F$184)^$E$3:$N$3)*$E$2</f>
        <v>36506.0704235659</v>
      </c>
      <c r="P193" s="15" t="n">
        <f aca="false">N193*$E$2*(1+$I$184)/($F$184-$I$184)/(1+$F$184)^$N$3</f>
        <v>48586.8857798363</v>
      </c>
      <c r="Q193" s="15" t="n">
        <f aca="false">O193+P193</f>
        <v>85092.9562034022</v>
      </c>
      <c r="R193" s="15" t="n">
        <f aca="false">Q193-$G$2+$I$2</f>
        <v>78972.9562034022</v>
      </c>
      <c r="S193" s="42" t="n">
        <f aca="false">R193/$K$2</f>
        <v>456.016608173012</v>
      </c>
      <c r="T193" s="43" t="n">
        <f aca="false">S193-$M$2</f>
        <v>-8.12474764174755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0.138671875</v>
      </c>
      <c r="C194" s="25" t="n">
        <f aca="false">IF(T193&gt;0,D193,C193)</f>
        <v>0.14453125</v>
      </c>
      <c r="D194" s="41" t="n">
        <f aca="false">(B194+C194)/2</f>
        <v>0.1416015625</v>
      </c>
      <c r="E194" s="15" t="n">
        <f aca="false">$C$2*(1+IF(E$3&lt;=$O$2,$D194,$D194-($D194-$I$184)*MIN(E$3-$O$2,$Q$2)/$Q$2))</f>
        <v>9315.46875</v>
      </c>
      <c r="F194" s="15" t="n">
        <f aca="false">E194*(1+IF(F$3&lt;=$O$2,$D194,$D194-($D194-$I$184)*MIN(F$3-$O$2,$Q$2)/$Q$2))</f>
        <v>10634.5536804199</v>
      </c>
      <c r="G194" s="15" t="n">
        <f aca="false">F194*(1+IF(G$3&lt;=$O$2,$D194,$D194-($D194-$I$184)*MIN(G$3-$O$2,$Q$2)/$Q$2))</f>
        <v>12140.4230980575</v>
      </c>
      <c r="H194" s="15" t="n">
        <f aca="false">G194*(1+IF(H$3&lt;=$O$2,$D194,$D194-($D194-$I$184)*MIN(H$3-$O$2,$Q$2)/$Q$2))</f>
        <v>13859.5259781535</v>
      </c>
      <c r="I194" s="15" t="n">
        <f aca="false">H194*(1+IF(I$3&lt;=$O$2,$D194,$D194-($D194-$I$184)*MIN(I$3-$O$2,$Q$2)/$Q$2))</f>
        <v>15822.0565121694</v>
      </c>
      <c r="J194" s="15" t="n">
        <f aca="false">I194*(1+IF(J$3&lt;=$O$2,$D194,$D194-($D194-$I$184)*MIN(J$3-$O$2,$Q$2)/$Q$2))</f>
        <v>17672.3075782732</v>
      </c>
      <c r="K194" s="15" t="n">
        <f aca="false">J194*(1+IF(K$3&lt;=$O$2,$D194,$D194-($D194-$I$184)*MIN(K$3-$O$2,$Q$2)/$Q$2))</f>
        <v>19303.1246893846</v>
      </c>
      <c r="L194" s="15" t="n">
        <f aca="false">K194*(1+IF(L$3&lt;=$O$2,$D194,$D194-($D194-$I$184)*MIN(L$3-$O$2,$Q$2)/$Q$2))</f>
        <v>20608.4140453337</v>
      </c>
      <c r="M194" s="15" t="n">
        <f aca="false">L194*(1+IF(M$3&lt;=$O$2,$D194,$D194-($D194-$I$184)*MIN(M$3-$O$2,$Q$2)/$Q$2))</f>
        <v>21493.7579528506</v>
      </c>
      <c r="N194" s="15" t="n">
        <f aca="false">M194*(1+IF(N$3&lt;=$O$2,$D194,$D194-($D194-$I$184)*MIN(N$3-$O$2,$Q$2)/$Q$2))</f>
        <v>21887.0937233878</v>
      </c>
      <c r="O194" s="15" t="n">
        <f aca="false">SUMPRODUCT(E194:N194,1/(1+$F$184)^$E$3:$N$3)*$E$2</f>
        <v>36971.2501212592</v>
      </c>
      <c r="P194" s="15" t="n">
        <f aca="false">N194*$E$2*(1+$I$184)/($F$184-$I$184)/(1+$F$184)^$N$3</f>
        <v>49480.2208793048</v>
      </c>
      <c r="Q194" s="15" t="n">
        <f aca="false">O194+P194</f>
        <v>86451.471000564</v>
      </c>
      <c r="R194" s="15" t="n">
        <f aca="false">Q194-$G$2+$I$2</f>
        <v>80331.471000564</v>
      </c>
      <c r="S194" s="42" t="n">
        <f aca="false">R194/$K$2</f>
        <v>463.861132928537</v>
      </c>
      <c r="T194" s="43" t="n">
        <f aca="false">S194-$M$2</f>
        <v>-0.280222886222475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0.1416015625</v>
      </c>
      <c r="C195" s="25" t="n">
        <f aca="false">IF(T194&gt;0,D194,C194)</f>
        <v>0.14453125</v>
      </c>
      <c r="D195" s="41" t="n">
        <f aca="false">(B195+C195)/2</f>
        <v>0.14306640625</v>
      </c>
      <c r="E195" s="15" t="n">
        <f aca="false">$C$2*(1+IF(E$3&lt;=$O$2,$D195,$D195-($D195-$I$184)*MIN(E$3-$O$2,$Q$2)/$Q$2))</f>
        <v>9327.421875</v>
      </c>
      <c r="F195" s="15" t="n">
        <f aca="false">E195*(1+IF(F$3&lt;=$O$2,$D195,$D195-($D195-$I$184)*MIN(F$3-$O$2,$Q$2)/$Q$2))</f>
        <v>10661.8626022339</v>
      </c>
      <c r="G195" s="15" t="n">
        <f aca="false">F195*(1+IF(G$3&lt;=$O$2,$D195,$D195-($D195-$I$184)*MIN(G$3-$O$2,$Q$2)/$Q$2))</f>
        <v>12187.2169686668</v>
      </c>
      <c r="H195" s="15" t="n">
        <f aca="false">G195*(1+IF(H$3&lt;=$O$2,$D195,$D195-($D195-$I$184)*MIN(H$3-$O$2,$Q$2)/$Q$2))</f>
        <v>13930.7983025629</v>
      </c>
      <c r="I195" s="15" t="n">
        <f aca="false">H195*(1+IF(I$3&lt;=$O$2,$D195,$D195-($D195-$I$184)*MIN(I$3-$O$2,$Q$2)/$Q$2))</f>
        <v>15923.8275519042</v>
      </c>
      <c r="J195" s="15" t="n">
        <f aca="false">I195*(1+IF(J$3&lt;=$O$2,$D195,$D195-($D195-$I$184)*MIN(J$3-$O$2,$Q$2)/$Q$2))</f>
        <v>17804.6405860207</v>
      </c>
      <c r="K195" s="15" t="n">
        <f aca="false">J195*(1+IF(K$3&lt;=$O$2,$D195,$D195-($D195-$I$184)*MIN(K$3-$O$2,$Q$2)/$Q$2))</f>
        <v>19463.3181210393</v>
      </c>
      <c r="L195" s="15" t="n">
        <f aca="false">K195*(1+IF(L$3&lt;=$O$2,$D195,$D195-($D195-$I$184)*MIN(L$3-$O$2,$Q$2)/$Q$2))</f>
        <v>20790.8441449194</v>
      </c>
      <c r="M195" s="15" t="n">
        <f aca="false">L195*(1+IF(M$3&lt;=$O$2,$D195,$D195-($D195-$I$184)*MIN(M$3-$O$2,$Q$2)/$Q$2))</f>
        <v>21690.1163741445</v>
      </c>
      <c r="N195" s="15" t="n">
        <f aca="false">M195*(1+IF(N$3&lt;=$O$2,$D195,$D195-($D195-$I$184)*MIN(N$3-$O$2,$Q$2)/$Q$2))</f>
        <v>22087.0455037913</v>
      </c>
      <c r="O195" s="15" t="n">
        <f aca="false">SUMPRODUCT(E195:N195,1/(1+$F$184)^$E$3:$N$3)*$E$2</f>
        <v>37206.0202682581</v>
      </c>
      <c r="P195" s="15" t="n">
        <f aca="false">N195*$E$2*(1+$I$184)/($F$184-$I$184)/(1+$F$184)^$N$3</f>
        <v>49932.2524913871</v>
      </c>
      <c r="Q195" s="15" t="n">
        <f aca="false">O195+P195</f>
        <v>87138.2727596452</v>
      </c>
      <c r="R195" s="15" t="n">
        <f aca="false">Q195-$G$2+$I$2</f>
        <v>81018.2727596452</v>
      </c>
      <c r="S195" s="42" t="n">
        <f aca="false">R195/$K$2</f>
        <v>467.826959000145</v>
      </c>
      <c r="T195" s="43" t="n">
        <f aca="false">S195-$M$2</f>
        <v>3.68560318538624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0.1416015625</v>
      </c>
      <c r="C196" s="25" t="n">
        <f aca="false">IF(T195&gt;0,D195,C195)</f>
        <v>0.14306640625</v>
      </c>
      <c r="D196" s="41" t="n">
        <f aca="false">(B196+C196)/2</f>
        <v>0.142333984375</v>
      </c>
      <c r="E196" s="15" t="n">
        <f aca="false">$C$2*(1+IF(E$3&lt;=$O$2,$D196,$D196-($D196-$I$184)*MIN(E$3-$O$2,$Q$2)/$Q$2))</f>
        <v>9321.4453125</v>
      </c>
      <c r="F196" s="15" t="n">
        <f aca="false">E196*(1+IF(F$3&lt;=$O$2,$D196,$D196-($D196-$I$184)*MIN(F$3-$O$2,$Q$2)/$Q$2))</f>
        <v>10648.2037639618</v>
      </c>
      <c r="G196" s="15" t="n">
        <f aca="false">F196*(1+IF(G$3&lt;=$O$2,$D196,$D196-($D196-$I$184)*MIN(G$3-$O$2,$Q$2)/$Q$2))</f>
        <v>12163.8050321233</v>
      </c>
      <c r="H196" s="15" t="n">
        <f aca="false">G196*(1+IF(H$3&lt;=$O$2,$D196,$D196-($D196-$I$184)*MIN(H$3-$O$2,$Q$2)/$Q$2))</f>
        <v>13895.1278675061</v>
      </c>
      <c r="I196" s="15" t="n">
        <f aca="false">H196*(1+IF(I$3&lt;=$O$2,$D196,$D196-($D196-$I$184)*MIN(I$3-$O$2,$Q$2)/$Q$2))</f>
        <v>15872.8767802884</v>
      </c>
      <c r="J196" s="15" t="n">
        <f aca="false">I196*(1+IF(J$3&lt;=$O$2,$D196,$D196-($D196-$I$184)*MIN(J$3-$O$2,$Q$2)/$Q$2))</f>
        <v>17738.3713458097</v>
      </c>
      <c r="K196" s="15" t="n">
        <f aca="false">J196*(1+IF(K$3&lt;=$O$2,$D196,$D196-($D196-$I$184)*MIN(K$3-$O$2,$Q$2)/$Q$2))</f>
        <v>19383.0800660445</v>
      </c>
      <c r="L196" s="15" t="n">
        <f aca="false">K196*(1+IF(L$3&lt;=$O$2,$D196,$D196-($D196-$I$184)*MIN(L$3-$O$2,$Q$2)/$Q$2))</f>
        <v>20699.4546912736</v>
      </c>
      <c r="M196" s="15" t="n">
        <f aca="false">L196*(1+IF(M$3&lt;=$O$2,$D196,$D196-($D196-$I$184)*MIN(M$3-$O$2,$Q$2)/$Q$2))</f>
        <v>21591.7418800736</v>
      </c>
      <c r="N196" s="15" t="n">
        <f aca="false">M196*(1+IF(N$3&lt;=$O$2,$D196,$D196-($D196-$I$184)*MIN(N$3-$O$2,$Q$2)/$Q$2))</f>
        <v>21986.8707564789</v>
      </c>
      <c r="O196" s="15" t="n">
        <f aca="false">SUMPRODUCT(E196:N196,1/(1+$F$184)^$E$3:$N$3)*$E$2</f>
        <v>37088.4526365605</v>
      </c>
      <c r="P196" s="15" t="n">
        <f aca="false">N196*$E$2*(1+$I$184)/($F$184-$I$184)/(1+$F$184)^$N$3</f>
        <v>49705.7871284573</v>
      </c>
      <c r="Q196" s="15" t="n">
        <f aca="false">O196+P196</f>
        <v>86794.2397650178</v>
      </c>
      <c r="R196" s="15" t="n">
        <f aca="false">Q196-$G$2+$I$2</f>
        <v>80674.2397650178</v>
      </c>
      <c r="S196" s="42" t="n">
        <f aca="false">R196/$K$2</f>
        <v>465.840395917645</v>
      </c>
      <c r="T196" s="43" t="n">
        <f aca="false">S196-$M$2</f>
        <v>1.69904010288582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0.1416015625</v>
      </c>
      <c r="C197" s="25" t="n">
        <f aca="false">IF(T196&gt;0,D196,C196)</f>
        <v>0.142333984375</v>
      </c>
      <c r="D197" s="41" t="n">
        <f aca="false">(B197+C197)/2</f>
        <v>0.1419677734375</v>
      </c>
      <c r="E197" s="15" t="n">
        <f aca="false">$C$2*(1+IF(E$3&lt;=$O$2,$D197,$D197-($D197-$I$184)*MIN(E$3-$O$2,$Q$2)/$Q$2))</f>
        <v>9318.45703125</v>
      </c>
      <c r="F197" s="15" t="n">
        <f aca="false">E197*(1+IF(F$3&lt;=$O$2,$D197,$D197-($D197-$I$184)*MIN(F$3-$O$2,$Q$2)/$Q$2))</f>
        <v>10641.3776278496</v>
      </c>
      <c r="G197" s="15" t="n">
        <f aca="false">F197*(1+IF(G$3&lt;=$O$2,$D197,$D197-($D197-$I$184)*MIN(G$3-$O$2,$Q$2)/$Q$2))</f>
        <v>12152.110315983</v>
      </c>
      <c r="H197" s="15" t="n">
        <f aca="false">G197*(1+IF(H$3&lt;=$O$2,$D197,$D197-($D197-$I$184)*MIN(H$3-$O$2,$Q$2)/$Q$2))</f>
        <v>13877.31836011</v>
      </c>
      <c r="I197" s="15" t="n">
        <f aca="false">H197*(1+IF(I$3&lt;=$O$2,$D197,$D197-($D197-$I$184)*MIN(I$3-$O$2,$Q$2)/$Q$2))</f>
        <v>15847.4503489781</v>
      </c>
      <c r="J197" s="15" t="n">
        <f aca="false">I197*(1+IF(J$3&lt;=$O$2,$D197,$D197-($D197-$I$184)*MIN(J$3-$O$2,$Q$2)/$Q$2))</f>
        <v>17705.31380982</v>
      </c>
      <c r="K197" s="15" t="n">
        <f aca="false">J197*(1+IF(K$3&lt;=$O$2,$D197,$D197-($D197-$I$184)*MIN(K$3-$O$2,$Q$2)/$Q$2))</f>
        <v>19343.0670946633</v>
      </c>
      <c r="L197" s="15" t="n">
        <f aca="false">K197*(1+IF(L$3&lt;=$O$2,$D197,$D197-($D197-$I$184)*MIN(L$3-$O$2,$Q$2)/$Q$2))</f>
        <v>20653.8908381153</v>
      </c>
      <c r="M197" s="15" t="n">
        <f aca="false">L197*(1+IF(M$3&lt;=$O$2,$D197,$D197-($D197-$I$184)*MIN(M$3-$O$2,$Q$2)/$Q$2))</f>
        <v>21542.701179007</v>
      </c>
      <c r="N197" s="15" t="n">
        <f aca="false">M197*(1+IF(N$3&lt;=$O$2,$D197,$D197-($D197-$I$184)*MIN(N$3-$O$2,$Q$2)/$Q$2))</f>
        <v>21936.9326105828</v>
      </c>
      <c r="O197" s="15" t="n">
        <f aca="false">SUMPRODUCT(E197:N197,1/(1+$F$184)^$E$3:$N$3)*$E$2</f>
        <v>37029.8058045425</v>
      </c>
      <c r="P197" s="15" t="n">
        <f aca="false">N197*$E$2*(1+$I$184)/($F$184-$I$184)/(1+$F$184)^$N$3</f>
        <v>49592.8918066539</v>
      </c>
      <c r="Q197" s="15" t="n">
        <f aca="false">O197+P197</f>
        <v>86622.6976111964</v>
      </c>
      <c r="R197" s="15" t="n">
        <f aca="false">Q197-$G$2+$I$2</f>
        <v>80502.6976111964</v>
      </c>
      <c r="S197" s="42" t="n">
        <f aca="false">R197/$K$2</f>
        <v>464.849853396445</v>
      </c>
      <c r="T197" s="43" t="n">
        <f aca="false">S197-$M$2</f>
        <v>0.708497581686117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0.1416015625</v>
      </c>
      <c r="C198" s="25" t="n">
        <f aca="false">IF(T197&gt;0,D197,C197)</f>
        <v>0.1419677734375</v>
      </c>
      <c r="D198" s="41" t="n">
        <f aca="false">(B198+C198)/2</f>
        <v>0.14178466796875</v>
      </c>
      <c r="E198" s="15" t="n">
        <f aca="false">$C$2*(1+IF(E$3&lt;=$O$2,$D198,$D198-($D198-$I$184)*MIN(E$3-$O$2,$Q$2)/$Q$2))</f>
        <v>9316.962890625</v>
      </c>
      <c r="F198" s="15" t="n">
        <f aca="false">E198*(1+IF(F$3&lt;=$O$2,$D198,$D198-($D198-$I$184)*MIN(F$3-$O$2,$Q$2)/$Q$2))</f>
        <v>10637.9653805494</v>
      </c>
      <c r="G198" s="15" t="n">
        <f aca="false">F198*(1+IF(G$3&lt;=$O$2,$D198,$D198-($D198-$I$184)*MIN(G$3-$O$2,$Q$2)/$Q$2))</f>
        <v>12146.2657698937</v>
      </c>
      <c r="H198" s="15" t="n">
        <f aca="false">G198*(1+IF(H$3&lt;=$O$2,$D198,$D198-($D198-$I$184)*MIN(H$3-$O$2,$Q$2)/$Q$2))</f>
        <v>13868.4200291383</v>
      </c>
      <c r="I198" s="15" t="n">
        <f aca="false">H198*(1+IF(I$3&lt;=$O$2,$D198,$D198-($D198-$I$184)*MIN(I$3-$O$2,$Q$2)/$Q$2))</f>
        <v>15834.7493582208</v>
      </c>
      <c r="J198" s="15" t="n">
        <f aca="false">I198*(1+IF(J$3&lt;=$O$2,$D198,$D198-($D198-$I$184)*MIN(J$3-$O$2,$Q$2)/$Q$2))</f>
        <v>17688.8042849708</v>
      </c>
      <c r="K198" s="15" t="n">
        <f aca="false">J198*(1+IF(K$3&lt;=$O$2,$D198,$D198-($D198-$I$184)*MIN(K$3-$O$2,$Q$2)/$Q$2))</f>
        <v>19323.0870777221</v>
      </c>
      <c r="L198" s="15" t="n">
        <f aca="false">K198*(1+IF(L$3&lt;=$O$2,$D198,$D198-($D198-$I$184)*MIN(L$3-$O$2,$Q$2)/$Q$2))</f>
        <v>20631.1415680139</v>
      </c>
      <c r="M198" s="15" t="n">
        <f aca="false">L198*(1+IF(M$3&lt;=$O$2,$D198,$D198-($D198-$I$184)*MIN(M$3-$O$2,$Q$2)/$Q$2))</f>
        <v>21518.2173919771</v>
      </c>
      <c r="N198" s="15" t="n">
        <f aca="false">M198*(1+IF(N$3&lt;=$O$2,$D198,$D198-($D198-$I$184)*MIN(N$3-$O$2,$Q$2)/$Q$2))</f>
        <v>21912.0007702503</v>
      </c>
      <c r="O198" s="15" t="n">
        <f aca="false">SUMPRODUCT(E198:N198,1/(1+$F$184)^$E$3:$N$3)*$E$2</f>
        <v>37000.5165774479</v>
      </c>
      <c r="P198" s="15" t="n">
        <f aca="false">N198*$E$2*(1+$I$184)/($F$184-$I$184)/(1+$F$184)^$N$3</f>
        <v>49536.5283176419</v>
      </c>
      <c r="Q198" s="15" t="n">
        <f aca="false">O198+P198</f>
        <v>86537.0448950898</v>
      </c>
      <c r="R198" s="15" t="n">
        <f aca="false">Q198-$G$2+$I$2</f>
        <v>80417.0448950898</v>
      </c>
      <c r="S198" s="42" t="n">
        <f aca="false">R198/$K$2</f>
        <v>464.355265591234</v>
      </c>
      <c r="T198" s="43" t="n">
        <f aca="false">S198-$M$2</f>
        <v>0.213909776474395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0.1416015625</v>
      </c>
      <c r="C199" s="25" t="n">
        <f aca="false">IF(T198&gt;0,D198,C198)</f>
        <v>0.14178466796875</v>
      </c>
      <c r="D199" s="41" t="n">
        <f aca="false">(B199+C199)/2</f>
        <v>0.141693115234375</v>
      </c>
      <c r="E199" s="15" t="n">
        <f aca="false">$C$2*(1+IF(E$3&lt;=$O$2,$D199,$D199-($D199-$I$184)*MIN(E$3-$O$2,$Q$2)/$Q$2))</f>
        <v>9316.2158203125</v>
      </c>
      <c r="F199" s="15" t="n">
        <f aca="false">E199*(1+IF(F$3&lt;=$O$2,$D199,$D199-($D199-$I$184)*MIN(F$3-$O$2,$Q$2)/$Q$2))</f>
        <v>10636.2594620883</v>
      </c>
      <c r="G199" s="15" t="n">
        <f aca="false">F199*(1+IF(G$3&lt;=$O$2,$D199,$D199-($D199-$I$184)*MIN(G$3-$O$2,$Q$2)/$Q$2))</f>
        <v>12143.3441997127</v>
      </c>
      <c r="H199" s="15" t="n">
        <f aca="false">G199*(1+IF(H$3&lt;=$O$2,$D199,$D199-($D199-$I$184)*MIN(H$3-$O$2,$Q$2)/$Q$2))</f>
        <v>13863.9724687333</v>
      </c>
      <c r="I199" s="15" t="n">
        <f aca="false">H199*(1+IF(I$3&lt;=$O$2,$D199,$D199-($D199-$I$184)*MIN(I$3-$O$2,$Q$2)/$Q$2))</f>
        <v>15828.4019173518</v>
      </c>
      <c r="J199" s="15" t="n">
        <f aca="false">I199*(1+IF(J$3&lt;=$O$2,$D199,$D199-($D199-$I$184)*MIN(J$3-$O$2,$Q$2)/$Q$2))</f>
        <v>17680.5543298503</v>
      </c>
      <c r="K199" s="15" t="n">
        <f aca="false">J199*(1+IF(K$3&lt;=$O$2,$D199,$D199-($D199-$I$184)*MIN(K$3-$O$2,$Q$2)/$Q$2))</f>
        <v>19313.1036807851</v>
      </c>
      <c r="L199" s="15" t="n">
        <f aca="false">K199*(1+IF(L$3&lt;=$O$2,$D199,$D199-($D199-$I$184)*MIN(L$3-$O$2,$Q$2)/$Q$2))</f>
        <v>20619.7750893501</v>
      </c>
      <c r="M199" s="15" t="n">
        <f aca="false">L199*(1+IF(M$3&lt;=$O$2,$D199,$D199-($D199-$I$184)*MIN(M$3-$O$2,$Q$2)/$Q$2))</f>
        <v>21505.9846302266</v>
      </c>
      <c r="N199" s="15" t="n">
        <f aca="false">M199*(1+IF(N$3&lt;=$O$2,$D199,$D199-($D199-$I$184)*MIN(N$3-$O$2,$Q$2)/$Q$2))</f>
        <v>21899.5441489597</v>
      </c>
      <c r="O199" s="15" t="n">
        <f aca="false">SUMPRODUCT(E199:N199,1/(1+$F$184)^$E$3:$N$3)*$E$2</f>
        <v>36985.8805040071</v>
      </c>
      <c r="P199" s="15" t="n">
        <f aca="false">N199*$E$2*(1+$I$184)/($F$184-$I$184)/(1+$F$184)^$N$3</f>
        <v>49508.3675951333</v>
      </c>
      <c r="Q199" s="15" t="n">
        <f aca="false">O199+P199</f>
        <v>86494.2480991404</v>
      </c>
      <c r="R199" s="15" t="n">
        <f aca="false">Q199-$G$2+$I$2</f>
        <v>80374.2480991404</v>
      </c>
      <c r="S199" s="42" t="n">
        <f aca="false">R199/$K$2</f>
        <v>464.108142390232</v>
      </c>
      <c r="T199" s="43" t="n">
        <f aca="false">S199-$M$2</f>
        <v>-0.0332134245269913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0.141693115234375</v>
      </c>
      <c r="C200" s="25" t="n">
        <f aca="false">IF(T199&gt;0,D199,C199)</f>
        <v>0.14178466796875</v>
      </c>
      <c r="D200" s="41" t="n">
        <f aca="false">(B200+C200)/2</f>
        <v>0.141738891601563</v>
      </c>
      <c r="E200" s="15" t="n">
        <f aca="false">$C$2*(1+IF(E$3&lt;=$O$2,$D200,$D200-($D200-$I$184)*MIN(E$3-$O$2,$Q$2)/$Q$2))</f>
        <v>9316.58935546875</v>
      </c>
      <c r="F200" s="15" t="n">
        <f aca="false">E200*(1+IF(F$3&lt;=$O$2,$D200,$D200-($D200-$I$184)*MIN(F$3-$O$2,$Q$2)/$Q$2))</f>
        <v>10637.1124042198</v>
      </c>
      <c r="G200" s="15" t="n">
        <f aca="false">F200*(1+IF(G$3&lt;=$O$2,$D200,$D200-($D200-$I$184)*MIN(G$3-$O$2,$Q$2)/$Q$2))</f>
        <v>12144.8049262352</v>
      </c>
      <c r="H200" s="15" t="n">
        <f aca="false">G200*(1+IF(H$3&lt;=$O$2,$D200,$D200-($D200-$I$184)*MIN(H$3-$O$2,$Q$2)/$Q$2))</f>
        <v>13866.1961151969</v>
      </c>
      <c r="I200" s="15" t="n">
        <f aca="false">H200*(1+IF(I$3&lt;=$O$2,$D200,$D200-($D200-$I$184)*MIN(I$3-$O$2,$Q$2)/$Q$2))</f>
        <v>15831.5753832948</v>
      </c>
      <c r="J200" s="15" t="n">
        <f aca="false">I200*(1+IF(J$3&lt;=$O$2,$D200,$D200-($D200-$I$184)*MIN(J$3-$O$2,$Q$2)/$Q$2))</f>
        <v>17684.6789069055</v>
      </c>
      <c r="K200" s="15" t="n">
        <f aca="false">J200*(1+IF(K$3&lt;=$O$2,$D200,$D200-($D200-$I$184)*MIN(K$3-$O$2,$Q$2)/$Q$2))</f>
        <v>19318.0948284607</v>
      </c>
      <c r="L200" s="15" t="n">
        <f aca="false">K200*(1+IF(L$3&lt;=$O$2,$D200,$D200-($D200-$I$184)*MIN(L$3-$O$2,$Q$2)/$Q$2))</f>
        <v>20625.4576492131</v>
      </c>
      <c r="M200" s="15" t="n">
        <f aca="false">L200*(1+IF(M$3&lt;=$O$2,$D200,$D200-($D200-$I$184)*MIN(M$3-$O$2,$Q$2)/$Q$2))</f>
        <v>21512.1002503925</v>
      </c>
      <c r="N200" s="15" t="n">
        <f aca="false">M200*(1+IF(N$3&lt;=$O$2,$D200,$D200-($D200-$I$184)*MIN(N$3-$O$2,$Q$2)/$Q$2))</f>
        <v>21905.7716849747</v>
      </c>
      <c r="O200" s="15" t="n">
        <f aca="false">SUMPRODUCT(E200:N200,1/(1+$F$184)^$E$3:$N$3)*$E$2</f>
        <v>36993.1978292639</v>
      </c>
      <c r="P200" s="15" t="n">
        <f aca="false">N200*$E$2*(1+$I$184)/($F$184-$I$184)/(1+$F$184)^$N$3</f>
        <v>49522.4462051784</v>
      </c>
      <c r="Q200" s="15" t="n">
        <f aca="false">O200+P200</f>
        <v>86515.6440344422</v>
      </c>
      <c r="R200" s="15" t="n">
        <f aca="false">Q200-$G$2+$I$2</f>
        <v>80395.6440344422</v>
      </c>
      <c r="S200" s="42" t="n">
        <f aca="false">R200/$K$2</f>
        <v>464.231689770425</v>
      </c>
      <c r="T200" s="43" t="n">
        <f aca="false">S200-$M$2</f>
        <v>0.0903339556658693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0.141693115234375</v>
      </c>
      <c r="C201" s="25" t="n">
        <f aca="false">IF(T200&gt;0,D200,C200)</f>
        <v>0.141738891601563</v>
      </c>
      <c r="D201" s="41" t="n">
        <f aca="false">(B201+C201)/2</f>
        <v>0.141716003417969</v>
      </c>
      <c r="E201" s="15" t="n">
        <f aca="false">$C$2*(1+IF(E$3&lt;=$O$2,$D201,$D201-($D201-$I$184)*MIN(E$3-$O$2,$Q$2)/$Q$2))</f>
        <v>9316.40258789063</v>
      </c>
      <c r="F201" s="15" t="n">
        <f aca="false">E201*(1+IF(F$3&lt;=$O$2,$D201,$D201-($D201-$I$184)*MIN(F$3-$O$2,$Q$2)/$Q$2))</f>
        <v>10636.6859288793</v>
      </c>
      <c r="G201" s="15" t="n">
        <f aca="false">F201*(1+IF(G$3&lt;=$O$2,$D201,$D201-($D201-$I$184)*MIN(G$3-$O$2,$Q$2)/$Q$2))</f>
        <v>12144.0745483322</v>
      </c>
      <c r="H201" s="15" t="n">
        <f aca="false">G201*(1+IF(H$3&lt;=$O$2,$D201,$D201-($D201-$I$184)*MIN(H$3-$O$2,$Q$2)/$Q$2))</f>
        <v>13865.0842585317</v>
      </c>
      <c r="I201" s="15" t="n">
        <f aca="false">H201*(1+IF(I$3&lt;=$O$2,$D201,$D201-($D201-$I$184)*MIN(I$3-$O$2,$Q$2)/$Q$2))</f>
        <v>15829.9885867043</v>
      </c>
      <c r="J201" s="15" t="n">
        <f aca="false">I201*(1+IF(J$3&lt;=$O$2,$D201,$D201-($D201-$I$184)*MIN(J$3-$O$2,$Q$2)/$Q$2))</f>
        <v>17682.6165182594</v>
      </c>
      <c r="K201" s="15" t="n">
        <f aca="false">J201*(1+IF(K$3&lt;=$O$2,$D201,$D201-($D201-$I$184)*MIN(K$3-$O$2,$Q$2)/$Q$2))</f>
        <v>19315.5991169372</v>
      </c>
      <c r="L201" s="15" t="n">
        <f aca="false">K201*(1+IF(L$3&lt;=$O$2,$D201,$D201-($D201-$I$184)*MIN(L$3-$O$2,$Q$2)/$Q$2))</f>
        <v>20622.6161994316</v>
      </c>
      <c r="M201" s="15" t="n">
        <f aca="false">L201*(1+IF(M$3&lt;=$O$2,$D201,$D201-($D201-$I$184)*MIN(M$3-$O$2,$Q$2)/$Q$2))</f>
        <v>21509.0422501525</v>
      </c>
      <c r="N201" s="15" t="n">
        <f aca="false">M201*(1+IF(N$3&lt;=$O$2,$D201,$D201-($D201-$I$184)*MIN(N$3-$O$2,$Q$2)/$Q$2))</f>
        <v>21902.6577233303</v>
      </c>
      <c r="O201" s="15" t="n">
        <f aca="false">SUMPRODUCT(E201:N201,1/(1+$F$184)^$E$3:$N$3)*$E$2</f>
        <v>36989.5389887855</v>
      </c>
      <c r="P201" s="15" t="n">
        <f aca="false">N201*$E$2*(1+$I$184)/($F$184-$I$184)/(1+$F$184)^$N$3</f>
        <v>49515.4064624003</v>
      </c>
      <c r="Q201" s="15" t="n">
        <f aca="false">O201+P201</f>
        <v>86504.9454511858</v>
      </c>
      <c r="R201" s="15" t="n">
        <f aca="false">Q201-$G$2+$I$2</f>
        <v>80384.9454511858</v>
      </c>
      <c r="S201" s="42" t="n">
        <f aca="false">R201/$K$2</f>
        <v>464.169912525614</v>
      </c>
      <c r="T201" s="43" t="n">
        <f aca="false">S201-$M$2</f>
        <v>0.0285567108543887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0.141693115234375</v>
      </c>
      <c r="C202" s="25" t="n">
        <f aca="false">IF(T201&gt;0,D201,C201)</f>
        <v>0.141716003417969</v>
      </c>
      <c r="D202" s="41" t="n">
        <f aca="false">(B202+C202)/2</f>
        <v>0.141704559326172</v>
      </c>
      <c r="E202" s="15" t="n">
        <f aca="false">$C$2*(1+IF(E$3&lt;=$O$2,$D202,$D202-($D202-$I$184)*MIN(E$3-$O$2,$Q$2)/$Q$2))</f>
        <v>9316.30920410156</v>
      </c>
      <c r="F202" s="15" t="n">
        <f aca="false">E202*(1+IF(F$3&lt;=$O$2,$D202,$D202-($D202-$I$184)*MIN(F$3-$O$2,$Q$2)/$Q$2))</f>
        <v>10636.4726944151</v>
      </c>
      <c r="G202" s="15" t="n">
        <f aca="false">F202*(1+IF(G$3&lt;=$O$2,$D202,$D202-($D202-$I$184)*MIN(G$3-$O$2,$Q$2)/$Q$2))</f>
        <v>12143.7093703621</v>
      </c>
      <c r="H202" s="15" t="n">
        <f aca="false">G202*(1+IF(H$3&lt;=$O$2,$D202,$D202-($D202-$I$184)*MIN(H$3-$O$2,$Q$2)/$Q$2))</f>
        <v>13864.5283552744</v>
      </c>
      <c r="I202" s="15" t="n">
        <f aca="false">H202*(1+IF(I$3&lt;=$O$2,$D202,$D202-($D202-$I$184)*MIN(I$3-$O$2,$Q$2)/$Q$2))</f>
        <v>15829.1952361237</v>
      </c>
      <c r="J202" s="15" t="n">
        <f aca="false">I202*(1+IF(J$3&lt;=$O$2,$D202,$D202-($D202-$I$184)*MIN(J$3-$O$2,$Q$2)/$Q$2))</f>
        <v>17681.5853990262</v>
      </c>
      <c r="K202" s="15" t="n">
        <f aca="false">J202*(1+IF(K$3&lt;=$O$2,$D202,$D202-($D202-$I$184)*MIN(K$3-$O$2,$Q$2)/$Q$2))</f>
        <v>19314.3513644413</v>
      </c>
      <c r="L202" s="15" t="n">
        <f aca="false">K202*(1+IF(L$3&lt;=$O$2,$D202,$D202-($D202-$I$184)*MIN(L$3-$O$2,$Q$2)/$Q$2))</f>
        <v>20621.1956019305</v>
      </c>
      <c r="M202" s="15" t="n">
        <f aca="false">L202*(1+IF(M$3&lt;=$O$2,$D202,$D202-($D202-$I$184)*MIN(M$3-$O$2,$Q$2)/$Q$2))</f>
        <v>21507.5133926528</v>
      </c>
      <c r="N202" s="15" t="n">
        <f aca="false">M202*(1+IF(N$3&lt;=$O$2,$D202,$D202-($D202-$I$184)*MIN(N$3-$O$2,$Q$2)/$Q$2))</f>
        <v>21901.1008877384</v>
      </c>
      <c r="O202" s="15" t="n">
        <f aca="false">SUMPRODUCT(E202:N202,1/(1+$F$184)^$E$3:$N$3)*$E$2</f>
        <v>36987.7097019358</v>
      </c>
      <c r="P202" s="15" t="n">
        <f aca="false">N202*$E$2*(1+$I$184)/($F$184-$I$184)/(1+$F$184)^$N$3</f>
        <v>49511.8869193338</v>
      </c>
      <c r="Q202" s="15" t="n">
        <f aca="false">O202+P202</f>
        <v>86499.5966212695</v>
      </c>
      <c r="R202" s="15" t="n">
        <f aca="false">Q202-$G$2+$I$2</f>
        <v>80379.5966212695</v>
      </c>
      <c r="S202" s="42" t="n">
        <f aca="false">R202/$K$2</f>
        <v>464.139026569289</v>
      </c>
      <c r="T202" s="43" t="n">
        <f aca="false">S202-$M$2</f>
        <v>-0.00232924546986624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0.141704559326172</v>
      </c>
      <c r="C203" s="25" t="n">
        <f aca="false">IF(T202&gt;0,D202,C202)</f>
        <v>0.141716003417969</v>
      </c>
      <c r="D203" s="41" t="n">
        <f aca="false">(B203+C203)/2</f>
        <v>0.14171028137207</v>
      </c>
      <c r="E203" s="15" t="n">
        <f aca="false">$C$2*(1+IF(E$3&lt;=$O$2,$D203,$D203-($D203-$I$184)*MIN(E$3-$O$2,$Q$2)/$Q$2))</f>
        <v>9316.35589599609</v>
      </c>
      <c r="F203" s="15" t="n">
        <f aca="false">E203*(1+IF(F$3&lt;=$O$2,$D203,$D203-($D203-$I$184)*MIN(F$3-$O$2,$Q$2)/$Q$2))</f>
        <v>10636.57931138</v>
      </c>
      <c r="G203" s="15" t="n">
        <f aca="false">F203*(1+IF(G$3&lt;=$O$2,$D203,$D203-($D203-$I$184)*MIN(G$3-$O$2,$Q$2)/$Q$2))</f>
        <v>12143.8919584321</v>
      </c>
      <c r="H203" s="15" t="n">
        <f aca="false">G203*(1+IF(H$3&lt;=$O$2,$D203,$D203-($D203-$I$184)*MIN(H$3-$O$2,$Q$2)/$Q$2))</f>
        <v>13864.8063048135</v>
      </c>
      <c r="I203" s="15" t="n">
        <f aca="false">H203*(1+IF(I$3&lt;=$O$2,$D203,$D203-($D203-$I$184)*MIN(I$3-$O$2,$Q$2)/$Q$2))</f>
        <v>15829.5919074379</v>
      </c>
      <c r="J203" s="15" t="n">
        <f aca="false">I203*(1+IF(J$3&lt;=$O$2,$D203,$D203-($D203-$I$184)*MIN(J$3-$O$2,$Q$2)/$Q$2))</f>
        <v>17682.1009523855</v>
      </c>
      <c r="K203" s="15" t="n">
        <f aca="false">J203*(1+IF(K$3&lt;=$O$2,$D203,$D203-($D203-$I$184)*MIN(K$3-$O$2,$Q$2)/$Q$2))</f>
        <v>19314.9752320841</v>
      </c>
      <c r="L203" s="15" t="n">
        <f aca="false">K203*(1+IF(L$3&lt;=$O$2,$D203,$D203-($D203-$I$184)*MIN(L$3-$O$2,$Q$2)/$Q$2))</f>
        <v>20621.9058900657</v>
      </c>
      <c r="M203" s="15" t="n">
        <f aca="false">L203*(1+IF(M$3&lt;=$O$2,$D203,$D203-($D203-$I$184)*MIN(M$3-$O$2,$Q$2)/$Q$2))</f>
        <v>21508.2778095182</v>
      </c>
      <c r="N203" s="15" t="n">
        <f aca="false">M203*(1+IF(N$3&lt;=$O$2,$D203,$D203-($D203-$I$184)*MIN(N$3-$O$2,$Q$2)/$Q$2))</f>
        <v>21901.8792934324</v>
      </c>
      <c r="O203" s="15" t="n">
        <f aca="false">SUMPRODUCT(E203:N203,1/(1+$F$184)^$E$3:$N$3)*$E$2</f>
        <v>36988.6243342453</v>
      </c>
      <c r="P203" s="15" t="n">
        <f aca="false">N203*$E$2*(1+$I$184)/($F$184-$I$184)/(1+$F$184)^$N$3</f>
        <v>49513.646663508</v>
      </c>
      <c r="Q203" s="15" t="n">
        <f aca="false">O203+P203</f>
        <v>86502.2709977533</v>
      </c>
      <c r="R203" s="15" t="n">
        <f aca="false">Q203-$G$2+$I$2</f>
        <v>80382.2709977533</v>
      </c>
      <c r="S203" s="42" t="n">
        <f aca="false">R203/$K$2</f>
        <v>464.154469325287</v>
      </c>
      <c r="T203" s="43" t="n">
        <f aca="false">S203-$M$2</f>
        <v>0.0131135105282283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0.141704559326172</v>
      </c>
      <c r="C204" s="25" t="n">
        <f aca="false">IF(T203&gt;0,D203,C203)</f>
        <v>0.14171028137207</v>
      </c>
      <c r="D204" s="41" t="n">
        <f aca="false">(B204+C204)/2</f>
        <v>0.141707420349121</v>
      </c>
      <c r="E204" s="15" t="n">
        <f aca="false">$C$2*(1+IF(E$3&lt;=$O$2,$D204,$D204-($D204-$I$184)*MIN(E$3-$O$2,$Q$2)/$Q$2))</f>
        <v>9316.33255004883</v>
      </c>
      <c r="F204" s="15" t="n">
        <f aca="false">E204*(1+IF(F$3&lt;=$O$2,$D204,$D204-($D204-$I$184)*MIN(F$3-$O$2,$Q$2)/$Q$2))</f>
        <v>10636.5260028308</v>
      </c>
      <c r="G204" s="15" t="n">
        <f aca="false">F204*(1+IF(G$3&lt;=$O$2,$D204,$D204-($D204-$I$184)*MIN(G$3-$O$2,$Q$2)/$Q$2))</f>
        <v>12143.8006641683</v>
      </c>
      <c r="H204" s="15" t="n">
        <f aca="false">G204*(1+IF(H$3&lt;=$O$2,$D204,$D204-($D204-$I$184)*MIN(H$3-$O$2,$Q$2)/$Q$2))</f>
        <v>13864.6673295215</v>
      </c>
      <c r="I204" s="15" t="n">
        <f aca="false">H204*(1+IF(I$3&lt;=$O$2,$D204,$D204-($D204-$I$184)*MIN(I$3-$O$2,$Q$2)/$Q$2))</f>
        <v>15829.3935707868</v>
      </c>
      <c r="J204" s="15" t="n">
        <f aca="false">I204*(1+IF(J$3&lt;=$O$2,$D204,$D204-($D204-$I$184)*MIN(J$3-$O$2,$Q$2)/$Q$2))</f>
        <v>17681.8431741416</v>
      </c>
      <c r="K204" s="15" t="n">
        <f aca="false">J204*(1+IF(K$3&lt;=$O$2,$D204,$D204-($D204-$I$184)*MIN(K$3-$O$2,$Q$2)/$Q$2))</f>
        <v>19314.6632961115</v>
      </c>
      <c r="L204" s="15" t="n">
        <f aca="false">K204*(1+IF(L$3&lt;=$O$2,$D204,$D204-($D204-$I$184)*MIN(L$3-$O$2,$Q$2)/$Q$2))</f>
        <v>20621.5507433443</v>
      </c>
      <c r="M204" s="15" t="n">
        <f aca="false">L204*(1+IF(M$3&lt;=$O$2,$D204,$D204-($D204-$I$184)*MIN(M$3-$O$2,$Q$2)/$Q$2))</f>
        <v>21507.8955981144</v>
      </c>
      <c r="N204" s="15" t="n">
        <f aca="false">M204*(1+IF(N$3&lt;=$O$2,$D204,$D204-($D204-$I$184)*MIN(N$3-$O$2,$Q$2)/$Q$2))</f>
        <v>21901.4900875599</v>
      </c>
      <c r="O204" s="15" t="n">
        <f aca="false">SUMPRODUCT(E204:N204,1/(1+$F$184)^$E$3:$N$3)*$E$2</f>
        <v>36988.1670153117</v>
      </c>
      <c r="P204" s="15" t="n">
        <f aca="false">N204*$E$2*(1+$I$184)/($F$184-$I$184)/(1+$F$184)^$N$3</f>
        <v>49512.7667845812</v>
      </c>
      <c r="Q204" s="15" t="n">
        <f aca="false">O204+P204</f>
        <v>86500.9337998929</v>
      </c>
      <c r="R204" s="15" t="n">
        <f aca="false">Q204-$G$2+$I$2</f>
        <v>80380.9337998929</v>
      </c>
      <c r="S204" s="42" t="n">
        <f aca="false">R204/$K$2</f>
        <v>464.146747891748</v>
      </c>
      <c r="T204" s="43" t="n">
        <f aca="false">S204-$M$2</f>
        <v>0.00539207698881228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0.141704559326172</v>
      </c>
      <c r="C205" s="25" t="n">
        <f aca="false">IF(T204&gt;0,D204,C204)</f>
        <v>0.141707420349121</v>
      </c>
      <c r="D205" s="41" t="n">
        <f aca="false">(B205+C205)/2</f>
        <v>0.141705989837646</v>
      </c>
      <c r="E205" s="15" t="n">
        <f aca="false">$C$2*(1+IF(E$3&lt;=$O$2,$D205,$D205-($D205-$I$184)*MIN(E$3-$O$2,$Q$2)/$Q$2))</f>
        <v>9316.3208770752</v>
      </c>
      <c r="F205" s="15" t="n">
        <f aca="false">E205*(1+IF(F$3&lt;=$O$2,$D205,$D205-($D205-$I$184)*MIN(F$3-$O$2,$Q$2)/$Q$2))</f>
        <v>10636.4993486063</v>
      </c>
      <c r="G205" s="15" t="n">
        <f aca="false">F205*(1+IF(G$3&lt;=$O$2,$D205,$D205-($D205-$I$184)*MIN(G$3-$O$2,$Q$2)/$Q$2))</f>
        <v>12143.755017208</v>
      </c>
      <c r="H205" s="15" t="n">
        <f aca="false">G205*(1+IF(H$3&lt;=$O$2,$D205,$D205-($D205-$I$184)*MIN(H$3-$O$2,$Q$2)/$Q$2))</f>
        <v>13864.5978422673</v>
      </c>
      <c r="I205" s="15" t="n">
        <f aca="false">H205*(1+IF(I$3&lt;=$O$2,$D205,$D205-($D205-$I$184)*MIN(I$3-$O$2,$Q$2)/$Q$2))</f>
        <v>15829.2944032067</v>
      </c>
      <c r="J205" s="15" t="n">
        <f aca="false">I205*(1+IF(J$3&lt;=$O$2,$D205,$D205-($D205-$I$184)*MIN(J$3-$O$2,$Q$2)/$Q$2))</f>
        <v>17681.7142861928</v>
      </c>
      <c r="K205" s="15" t="n">
        <f aca="false">J205*(1+IF(K$3&lt;=$O$2,$D205,$D205-($D205-$I$184)*MIN(K$3-$O$2,$Q$2)/$Q$2))</f>
        <v>19314.5073297386</v>
      </c>
      <c r="L205" s="15" t="n">
        <f aca="false">K205*(1+IF(L$3&lt;=$O$2,$D205,$D205-($D205-$I$184)*MIN(L$3-$O$2,$Q$2)/$Q$2))</f>
        <v>20621.373171974</v>
      </c>
      <c r="M205" s="15" t="n">
        <f aca="false">L205*(1+IF(M$3&lt;=$O$2,$D205,$D205-($D205-$I$184)*MIN(M$3-$O$2,$Q$2)/$Q$2))</f>
        <v>21507.7044946409</v>
      </c>
      <c r="N205" s="15" t="n">
        <f aca="false">M205*(1+IF(N$3&lt;=$O$2,$D205,$D205-($D205-$I$184)*MIN(N$3-$O$2,$Q$2)/$Q$2))</f>
        <v>21901.2954868928</v>
      </c>
      <c r="O205" s="15" t="n">
        <f aca="false">SUMPRODUCT(E205:N205,1/(1+$F$184)^$E$3:$N$3)*$E$2</f>
        <v>36987.9383579291</v>
      </c>
      <c r="P205" s="15" t="n">
        <f aca="false">N205*$E$2*(1+$I$184)/($F$184-$I$184)/(1+$F$184)^$N$3</f>
        <v>49512.3268502476</v>
      </c>
      <c r="Q205" s="15" t="n">
        <f aca="false">O205+P205</f>
        <v>86500.2652081766</v>
      </c>
      <c r="R205" s="15" t="n">
        <f aca="false">Q205-$G$2+$I$2</f>
        <v>80380.2652081766</v>
      </c>
      <c r="S205" s="42" t="n">
        <f aca="false">R205/$K$2</f>
        <v>464.142887216634</v>
      </c>
      <c r="T205" s="43" t="n">
        <f aca="false">S205-$M$2</f>
        <v>0.00153140187455847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0.141704559326172</v>
      </c>
      <c r="C206" s="25" t="n">
        <f aca="false">IF(T205&gt;0,D205,C205)</f>
        <v>0.141705989837646</v>
      </c>
      <c r="D206" s="41" t="n">
        <f aca="false">(B206+C206)/2</f>
        <v>0.141705274581909</v>
      </c>
      <c r="E206" s="15" t="n">
        <f aca="false">$C$2*(1+IF(E$3&lt;=$O$2,$D206,$D206-($D206-$I$184)*MIN(E$3-$O$2,$Q$2)/$Q$2))</f>
        <v>9316.31504058838</v>
      </c>
      <c r="F206" s="15" t="n">
        <f aca="false">E206*(1+IF(F$3&lt;=$O$2,$D206,$D206-($D206-$I$184)*MIN(F$3-$O$2,$Q$2)/$Q$2))</f>
        <v>10636.4860215065</v>
      </c>
      <c r="G206" s="15" t="n">
        <f aca="false">F206*(1+IF(G$3&lt;=$O$2,$D206,$D206-($D206-$I$184)*MIN(G$3-$O$2,$Q$2)/$Q$2))</f>
        <v>12143.7321937707</v>
      </c>
      <c r="H206" s="15" t="n">
        <f aca="false">G206*(1+IF(H$3&lt;=$O$2,$D206,$D206-($D206-$I$184)*MIN(H$3-$O$2,$Q$2)/$Q$2))</f>
        <v>13864.5630987382</v>
      </c>
      <c r="I206" s="15" t="n">
        <f aca="false">H206*(1+IF(I$3&lt;=$O$2,$D206,$D206-($D206-$I$184)*MIN(I$3-$O$2,$Q$2)/$Q$2))</f>
        <v>15829.2448196031</v>
      </c>
      <c r="J206" s="15" t="n">
        <f aca="false">I206*(1+IF(J$3&lt;=$O$2,$D206,$D206-($D206-$I$184)*MIN(J$3-$O$2,$Q$2)/$Q$2))</f>
        <v>17681.6498425117</v>
      </c>
      <c r="K206" s="15" t="n">
        <f aca="false">J206*(1+IF(K$3&lt;=$O$2,$D206,$D206-($D206-$I$184)*MIN(K$3-$O$2,$Q$2)/$Q$2))</f>
        <v>19314.4293469555</v>
      </c>
      <c r="L206" s="15" t="n">
        <f aca="false">K206*(1+IF(L$3&lt;=$O$2,$D206,$D206-($D206-$I$184)*MIN(L$3-$O$2,$Q$2)/$Q$2))</f>
        <v>20621.2843867864</v>
      </c>
      <c r="M206" s="15" t="n">
        <f aca="false">L206*(1+IF(M$3&lt;=$O$2,$D206,$D206-($D206-$I$184)*MIN(M$3-$O$2,$Q$2)/$Q$2))</f>
        <v>21507.6089434612</v>
      </c>
      <c r="N206" s="15" t="n">
        <f aca="false">M206*(1+IF(N$3&lt;=$O$2,$D206,$D206-($D206-$I$184)*MIN(N$3-$O$2,$Q$2)/$Q$2))</f>
        <v>21901.1981871265</v>
      </c>
      <c r="O206" s="15" t="n">
        <f aca="false">SUMPRODUCT(E206:N206,1/(1+$F$184)^$E$3:$N$3)*$E$2</f>
        <v>36987.8240297588</v>
      </c>
      <c r="P206" s="15" t="n">
        <f aca="false">N206*$E$2*(1+$I$184)/($F$184-$I$184)/(1+$F$184)^$N$3</f>
        <v>49512.1068843632</v>
      </c>
      <c r="Q206" s="15" t="n">
        <f aca="false">O206+P206</f>
        <v>86499.9309141219</v>
      </c>
      <c r="R206" s="15" t="n">
        <f aca="false">Q206-$G$2+$I$2</f>
        <v>80379.9309141219</v>
      </c>
      <c r="S206" s="42" t="n">
        <f aca="false">R206/$K$2</f>
        <v>464.14095688949</v>
      </c>
      <c r="T206" s="43" t="n">
        <f aca="false">S206-$M$2</f>
        <v>-0.000398925268882522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0.141705274581909</v>
      </c>
      <c r="C207" s="25" t="n">
        <f aca="false">IF(T206&gt;0,D206,C206)</f>
        <v>0.141705989837646</v>
      </c>
      <c r="D207" s="41" t="n">
        <f aca="false">(B207+C207)/2</f>
        <v>0.141705632209778</v>
      </c>
      <c r="E207" s="15" t="n">
        <f aca="false">$C$2*(1+IF(E$3&lt;=$O$2,$D207,$D207-($D207-$I$184)*MIN(E$3-$O$2,$Q$2)/$Q$2))</f>
        <v>9316.31795883179</v>
      </c>
      <c r="F207" s="15" t="n">
        <f aca="false">E207*(1+IF(F$3&lt;=$O$2,$D207,$D207-($D207-$I$184)*MIN(F$3-$O$2,$Q$2)/$Q$2))</f>
        <v>10636.4926850554</v>
      </c>
      <c r="G207" s="15" t="n">
        <f aca="false">F207*(1+IF(G$3&lt;=$O$2,$D207,$D207-($D207-$I$184)*MIN(G$3-$O$2,$Q$2)/$Q$2))</f>
        <v>12143.7436054858</v>
      </c>
      <c r="H207" s="15" t="n">
        <f aca="false">G207*(1+IF(H$3&lt;=$O$2,$D207,$D207-($D207-$I$184)*MIN(H$3-$O$2,$Q$2)/$Q$2))</f>
        <v>13864.5804704946</v>
      </c>
      <c r="I207" s="15" t="n">
        <f aca="false">H207*(1+IF(I$3&lt;=$O$2,$D207,$D207-($D207-$I$184)*MIN(I$3-$O$2,$Q$2)/$Q$2))</f>
        <v>15829.2696113894</v>
      </c>
      <c r="J207" s="15" t="n">
        <f aca="false">I207*(1+IF(J$3&lt;=$O$2,$D207,$D207-($D207-$I$184)*MIN(J$3-$O$2,$Q$2)/$Q$2))</f>
        <v>17681.6820643278</v>
      </c>
      <c r="K207" s="15" t="n">
        <f aca="false">J207*(1+IF(K$3&lt;=$O$2,$D207,$D207-($D207-$I$184)*MIN(K$3-$O$2,$Q$2)/$Q$2))</f>
        <v>19314.4683383134</v>
      </c>
      <c r="L207" s="15" t="n">
        <f aca="false">K207*(1+IF(L$3&lt;=$O$2,$D207,$D207-($D207-$I$184)*MIN(L$3-$O$2,$Q$2)/$Q$2))</f>
        <v>20621.3287793387</v>
      </c>
      <c r="M207" s="15" t="n">
        <f aca="false">L207*(1+IF(M$3&lt;=$O$2,$D207,$D207-($D207-$I$184)*MIN(M$3-$O$2,$Q$2)/$Q$2))</f>
        <v>21507.6567190046</v>
      </c>
      <c r="N207" s="15" t="n">
        <f aca="false">M207*(1+IF(N$3&lt;=$O$2,$D207,$D207-($D207-$I$184)*MIN(N$3-$O$2,$Q$2)/$Q$2))</f>
        <v>21901.2468369624</v>
      </c>
      <c r="O207" s="15" t="n">
        <f aca="false">SUMPRODUCT(E207:N207,1/(1+$F$184)^$E$3:$N$3)*$E$2</f>
        <v>36987.8811938005</v>
      </c>
      <c r="P207" s="15" t="n">
        <f aca="false">N207*$E$2*(1+$I$184)/($F$184-$I$184)/(1+$F$184)^$N$3</f>
        <v>49512.2168671985</v>
      </c>
      <c r="Q207" s="15" t="n">
        <f aca="false">O207+P207</f>
        <v>86500.098060999</v>
      </c>
      <c r="R207" s="15" t="n">
        <f aca="false">Q207-$G$2+$I$2</f>
        <v>80380.098060999</v>
      </c>
      <c r="S207" s="42" t="n">
        <f aca="false">R207/$K$2</f>
        <v>464.141922052194</v>
      </c>
      <c r="T207" s="43" t="n">
        <f aca="false">S207-$M$2</f>
        <v>0.000566237435066341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0.141705274581909</v>
      </c>
      <c r="C208" s="25" t="n">
        <f aca="false">IF(T207&gt;0,D207,C207)</f>
        <v>0.141705632209778</v>
      </c>
      <c r="D208" s="41" t="n">
        <f aca="false">(B208+C208)/2</f>
        <v>0.141705453395844</v>
      </c>
      <c r="E208" s="15" t="n">
        <f aca="false">$C$2*(1+IF(E$3&lt;=$O$2,$D208,$D208-($D208-$I$184)*MIN(E$3-$O$2,$Q$2)/$Q$2))</f>
        <v>9316.31649971008</v>
      </c>
      <c r="F208" s="15" t="n">
        <f aca="false">E208*(1+IF(F$3&lt;=$O$2,$D208,$D208-($D208-$I$184)*MIN(F$3-$O$2,$Q$2)/$Q$2))</f>
        <v>10636.4893532807</v>
      </c>
      <c r="G208" s="15" t="n">
        <f aca="false">F208*(1+IF(G$3&lt;=$O$2,$D208,$D208-($D208-$I$184)*MIN(G$3-$O$2,$Q$2)/$Q$2))</f>
        <v>12143.7378996274</v>
      </c>
      <c r="H208" s="15" t="n">
        <f aca="false">G208*(1+IF(H$3&lt;=$O$2,$D208,$D208-($D208-$I$184)*MIN(H$3-$O$2,$Q$2)/$Q$2))</f>
        <v>13864.5717846144</v>
      </c>
      <c r="I208" s="15" t="n">
        <f aca="false">H208*(1+IF(I$3&lt;=$O$2,$D208,$D208-($D208-$I$184)*MIN(I$3-$O$2,$Q$2)/$Q$2))</f>
        <v>15829.2572154924</v>
      </c>
      <c r="J208" s="15" t="n">
        <f aca="false">I208*(1+IF(J$3&lt;=$O$2,$D208,$D208-($D208-$I$184)*MIN(J$3-$O$2,$Q$2)/$Q$2))</f>
        <v>17681.6659534137</v>
      </c>
      <c r="K208" s="15" t="n">
        <f aca="false">J208*(1+IF(K$3&lt;=$O$2,$D208,$D208-($D208-$I$184)*MIN(K$3-$O$2,$Q$2)/$Q$2))</f>
        <v>19314.4488426261</v>
      </c>
      <c r="L208" s="15" t="n">
        <f aca="false">K208*(1+IF(L$3&lt;=$O$2,$D208,$D208-($D208-$I$184)*MIN(L$3-$O$2,$Q$2)/$Q$2))</f>
        <v>20621.3065830522</v>
      </c>
      <c r="M208" s="15" t="n">
        <f aca="false">L208*(1+IF(M$3&lt;=$O$2,$D208,$D208-($D208-$I$184)*MIN(M$3-$O$2,$Q$2)/$Q$2))</f>
        <v>21507.6328312213</v>
      </c>
      <c r="N208" s="15" t="n">
        <f aca="false">M208*(1+IF(N$3&lt;=$O$2,$D208,$D208-($D208-$I$184)*MIN(N$3-$O$2,$Q$2)/$Q$2))</f>
        <v>21901.2225120326</v>
      </c>
      <c r="O208" s="15" t="n">
        <f aca="false">SUMPRODUCT(E208:N208,1/(1+$F$184)^$E$3:$N$3)*$E$2</f>
        <v>36987.8526117688</v>
      </c>
      <c r="P208" s="15" t="n">
        <f aca="false">N208*$E$2*(1+$I$184)/($F$184-$I$184)/(1+$F$184)^$N$3</f>
        <v>49512.1618757541</v>
      </c>
      <c r="Q208" s="15" t="n">
        <f aca="false">O208+P208</f>
        <v>86500.0144875229</v>
      </c>
      <c r="R208" s="15" t="n">
        <f aca="false">Q208-$G$2+$I$2</f>
        <v>80380.0144875229</v>
      </c>
      <c r="S208" s="42" t="n">
        <f aca="false">R208/$K$2</f>
        <v>464.141439470625</v>
      </c>
      <c r="T208" s="43" t="n">
        <f aca="false">S208-$M$2</f>
        <v>8.36558660353148E-005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0.141705274581909</v>
      </c>
      <c r="C209" s="25" t="n">
        <f aca="false">IF(T208&gt;0,D208,C208)</f>
        <v>0.141705453395844</v>
      </c>
      <c r="D209" s="41" t="n">
        <f aca="false">(B209+C209)/2</f>
        <v>0.141705363988876</v>
      </c>
      <c r="E209" s="15" t="n">
        <f aca="false">$C$2*(1+IF(E$3&lt;=$O$2,$D209,$D209-($D209-$I$184)*MIN(E$3-$O$2,$Q$2)/$Q$2))</f>
        <v>9316.31577014923</v>
      </c>
      <c r="F209" s="15" t="n">
        <f aca="false">E209*(1+IF(F$3&lt;=$O$2,$D209,$D209-($D209-$I$184)*MIN(F$3-$O$2,$Q$2)/$Q$2))</f>
        <v>10636.4876873935</v>
      </c>
      <c r="G209" s="15" t="n">
        <f aca="false">F209*(1+IF(G$3&lt;=$O$2,$D209,$D209-($D209-$I$184)*MIN(G$3-$O$2,$Q$2)/$Q$2))</f>
        <v>12143.7350466988</v>
      </c>
      <c r="H209" s="15" t="n">
        <f aca="false">G209*(1+IF(H$3&lt;=$O$2,$D209,$D209-($D209-$I$184)*MIN(H$3-$O$2,$Q$2)/$Q$2))</f>
        <v>13864.5674416758</v>
      </c>
      <c r="I209" s="15" t="n">
        <f aca="false">H209*(1+IF(I$3&lt;=$O$2,$D209,$D209-($D209-$I$184)*MIN(I$3-$O$2,$Q$2)/$Q$2))</f>
        <v>15829.2510175468</v>
      </c>
      <c r="J209" s="15" t="n">
        <f aca="false">I209*(1+IF(J$3&lt;=$O$2,$D209,$D209-($D209-$I$184)*MIN(J$3-$O$2,$Q$2)/$Q$2))</f>
        <v>17681.6578979612</v>
      </c>
      <c r="K209" s="15" t="n">
        <f aca="false">J209*(1+IF(K$3&lt;=$O$2,$D209,$D209-($D209-$I$184)*MIN(K$3-$O$2,$Q$2)/$Q$2))</f>
        <v>19314.4390947887</v>
      </c>
      <c r="L209" s="15" t="n">
        <f aca="false">K209*(1+IF(L$3&lt;=$O$2,$D209,$D209-($D209-$I$184)*MIN(L$3-$O$2,$Q$2)/$Q$2))</f>
        <v>20621.2954849167</v>
      </c>
      <c r="M209" s="15" t="n">
        <f aca="false">L209*(1+IF(M$3&lt;=$O$2,$D209,$D209-($D209-$I$184)*MIN(M$3-$O$2,$Q$2)/$Q$2))</f>
        <v>21507.6208873383</v>
      </c>
      <c r="N209" s="15" t="n">
        <f aca="false">M209*(1+IF(N$3&lt;=$O$2,$D209,$D209-($D209-$I$184)*MIN(N$3-$O$2,$Q$2)/$Q$2))</f>
        <v>21901.2103495766</v>
      </c>
      <c r="O209" s="15" t="n">
        <f aca="false">SUMPRODUCT(E209:N209,1/(1+$F$184)^$E$3:$N$3)*$E$2</f>
        <v>36987.838320761</v>
      </c>
      <c r="P209" s="15" t="n">
        <f aca="false">N209*$E$2*(1+$I$184)/($F$184-$I$184)/(1+$F$184)^$N$3</f>
        <v>49512.134380052</v>
      </c>
      <c r="Q209" s="15" t="n">
        <f aca="false">O209+P209</f>
        <v>86499.972700813</v>
      </c>
      <c r="R209" s="15" t="n">
        <f aca="false">Q209-$G$2+$I$2</f>
        <v>80379.972700813</v>
      </c>
      <c r="S209" s="42" t="n">
        <f aca="false">R209/$K$2</f>
        <v>464.141198180004</v>
      </c>
      <c r="T209" s="43" t="n">
        <f aca="false">S209-$M$2</f>
        <v>-0.000157634755680647</v>
      </c>
    </row>
    <row r="211" customFormat="false" ht="15" hidden="false" customHeight="false" outlineLevel="0" collapsed="false">
      <c r="A211" s="38" t="s">
        <v>188</v>
      </c>
      <c r="E211" s="5" t="s">
        <v>11</v>
      </c>
      <c r="F211" s="12" t="n">
        <f aca="false">Sensitivity!$B$11</f>
        <v>0.0903160519233867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162</v>
      </c>
      <c r="B212" s="28" t="s">
        <v>163</v>
      </c>
      <c r="C212" s="28" t="s">
        <v>164</v>
      </c>
      <c r="D212" s="28" t="s">
        <v>165</v>
      </c>
      <c r="E212" s="28" t="s">
        <v>166</v>
      </c>
      <c r="F212" s="28" t="s">
        <v>167</v>
      </c>
      <c r="G212" s="28" t="s">
        <v>168</v>
      </c>
      <c r="H212" s="28" t="s">
        <v>169</v>
      </c>
      <c r="I212" s="28" t="s">
        <v>170</v>
      </c>
      <c r="J212" s="28" t="s">
        <v>171</v>
      </c>
      <c r="K212" s="28" t="s">
        <v>172</v>
      </c>
      <c r="L212" s="28" t="s">
        <v>173</v>
      </c>
      <c r="M212" s="28" t="s">
        <v>174</v>
      </c>
      <c r="N212" s="28" t="s">
        <v>175</v>
      </c>
      <c r="O212" s="28" t="s">
        <v>176</v>
      </c>
      <c r="P212" s="28" t="s">
        <v>177</v>
      </c>
      <c r="Q212" s="28" t="s">
        <v>178</v>
      </c>
      <c r="R212" s="28" t="s">
        <v>179</v>
      </c>
      <c r="S212" s="28" t="s">
        <v>180</v>
      </c>
      <c r="T212" s="28" t="s">
        <v>181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10200</v>
      </c>
      <c r="F213" s="15" t="n">
        <f aca="false">E213*(1+IF(F$3&lt;=$O$2,$D213,$D213-($D213-$I$211)*MIN(F$3-$O$2,$Q$2)/$Q$2))</f>
        <v>12750</v>
      </c>
      <c r="G213" s="15" t="n">
        <f aca="false">F213*(1+IF(G$3&lt;=$O$2,$D213,$D213-($D213-$I$211)*MIN(G$3-$O$2,$Q$2)/$Q$2))</f>
        <v>15937.5</v>
      </c>
      <c r="H213" s="15" t="n">
        <f aca="false">G213*(1+IF(H$3&lt;=$O$2,$D213,$D213-($D213-$I$211)*MIN(H$3-$O$2,$Q$2)/$Q$2))</f>
        <v>19921.875</v>
      </c>
      <c r="I213" s="15" t="n">
        <f aca="false">H213*(1+IF(I$3&lt;=$O$2,$D213,$D213-($D213-$I$211)*MIN(I$3-$O$2,$Q$2)/$Q$2))</f>
        <v>24902.34375</v>
      </c>
      <c r="J213" s="15" t="n">
        <f aca="false">I213*(1+IF(J$3&lt;=$O$2,$D213,$D213-($D213-$I$211)*MIN(J$3-$O$2,$Q$2)/$Q$2))</f>
        <v>29998.857421875</v>
      </c>
      <c r="K213" s="15" t="n">
        <f aca="false">J213*(1+IF(K$3&lt;=$O$2,$D213,$D213-($D213-$I$211)*MIN(K$3-$O$2,$Q$2)/$Q$2))</f>
        <v>34778.2753863281</v>
      </c>
      <c r="L213" s="15" t="n">
        <f aca="false">K213*(1+IF(L$3&lt;=$O$2,$D213,$D213-($D213-$I$211)*MIN(L$3-$O$2,$Q$2)/$Q$2))</f>
        <v>38742.3032148618</v>
      </c>
      <c r="M213" s="15" t="n">
        <f aca="false">L213*(1+IF(M$3&lt;=$O$2,$D213,$D213-($D213-$I$211)*MIN(M$3-$O$2,$Q$2)/$Q$2))</f>
        <v>41401.5749075299</v>
      </c>
      <c r="N213" s="15" t="n">
        <f aca="false">M213*(1+IF(N$3&lt;=$O$2,$D213,$D213-($D213-$I$211)*MIN(N$3-$O$2,$Q$2)/$Q$2))</f>
        <v>42366.2316028754</v>
      </c>
      <c r="O213" s="15" t="n">
        <f aca="false">SUMPRODUCT(E213:N213,1/(1+$F$211)^$E$3:$N$3)*$E$2</f>
        <v>59115.3098566021</v>
      </c>
      <c r="P213" s="15" t="n">
        <f aca="false">N213*$E$2*(1+$I$211)/($F$211-$I$211)/(1+$F$211)^$N$3</f>
        <v>103428.700515629</v>
      </c>
      <c r="Q213" s="15" t="n">
        <f aca="false">O213+P213</f>
        <v>162544.010372231</v>
      </c>
      <c r="R213" s="15" t="n">
        <f aca="false">Q213-$G$2+$I$2</f>
        <v>156424.010372231</v>
      </c>
      <c r="S213" s="42" t="n">
        <f aca="false">R213/$K$2</f>
        <v>903.245238319845</v>
      </c>
      <c r="T213" s="43" t="n">
        <f aca="false">S213-$M$2</f>
        <v>439.103882505085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7140</v>
      </c>
      <c r="F214" s="15" t="n">
        <f aca="false">E214*(1+IF(F$3&lt;=$O$2,$D214,$D214-($D214-$I$211)*MIN(F$3-$O$2,$Q$2)/$Q$2))</f>
        <v>6247.5</v>
      </c>
      <c r="G214" s="15" t="n">
        <f aca="false">F214*(1+IF(G$3&lt;=$O$2,$D214,$D214-($D214-$I$211)*MIN(G$3-$O$2,$Q$2)/$Q$2))</f>
        <v>5466.5625</v>
      </c>
      <c r="H214" s="15" t="n">
        <f aca="false">G214*(1+IF(H$3&lt;=$O$2,$D214,$D214-($D214-$I$211)*MIN(H$3-$O$2,$Q$2)/$Q$2))</f>
        <v>4783.2421875</v>
      </c>
      <c r="I214" s="15" t="n">
        <f aca="false">H214*(1+IF(I$3&lt;=$O$2,$D214,$D214-($D214-$I$211)*MIN(I$3-$O$2,$Q$2)/$Q$2))</f>
        <v>4185.3369140625</v>
      </c>
      <c r="J214" s="15" t="n">
        <f aca="false">I214*(1+IF(J$3&lt;=$O$2,$D214,$D214-($D214-$I$211)*MIN(J$3-$O$2,$Q$2)/$Q$2))</f>
        <v>3786.30689267578</v>
      </c>
      <c r="K214" s="15" t="n">
        <f aca="false">J214*(1+IF(K$3&lt;=$O$2,$D214,$D214-($D214-$I$211)*MIN(K$3-$O$2,$Q$2)/$Q$2))</f>
        <v>3537.62225596484</v>
      </c>
      <c r="L214" s="15" t="n">
        <f aca="false">K214*(1+IF(L$3&lt;=$O$2,$D214,$D214-($D214-$I$211)*MIN(L$3-$O$2,$Q$2)/$Q$2))</f>
        <v>3410.19710230498</v>
      </c>
      <c r="M214" s="15" t="n">
        <f aca="false">L214*(1+IF(M$3&lt;=$O$2,$D214,$D214-($D214-$I$211)*MIN(M$3-$O$2,$Q$2)/$Q$2))</f>
        <v>3388.50824873432</v>
      </c>
      <c r="N214" s="15" t="n">
        <f aca="false">M214*(1+IF(N$3&lt;=$O$2,$D214,$D214-($D214-$I$211)*MIN(N$3-$O$2,$Q$2)/$Q$2))</f>
        <v>3467.46049092983</v>
      </c>
      <c r="O214" s="15" t="n">
        <f aca="false">SUMPRODUCT(E214:N214,1/(1+$F$211)^$E$3:$N$3)*$E$2</f>
        <v>11779.3688128063</v>
      </c>
      <c r="P214" s="15" t="n">
        <f aca="false">N214*$E$2*(1+$I$211)/($F$211-$I$211)/(1+$F$211)^$N$3</f>
        <v>8465.11287640263</v>
      </c>
      <c r="Q214" s="15" t="n">
        <f aca="false">O214+P214</f>
        <v>20244.4816892089</v>
      </c>
      <c r="R214" s="15" t="n">
        <f aca="false">Q214-$G$2+$I$2</f>
        <v>14124.4816892089</v>
      </c>
      <c r="S214" s="42" t="n">
        <f aca="false">R214/$K$2</f>
        <v>81.5595431874864</v>
      </c>
      <c r="T214" s="43" t="n">
        <f aca="false">S214-$M$2</f>
        <v>-382.581812627273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8670</v>
      </c>
      <c r="F215" s="15" t="n">
        <f aca="false">E215*(1+IF(F$3&lt;=$O$2,$D215,$D215-($D215-$I$211)*MIN(F$3-$O$2,$Q$2)/$Q$2))</f>
        <v>9211.875</v>
      </c>
      <c r="G215" s="15" t="n">
        <f aca="false">F215*(1+IF(G$3&lt;=$O$2,$D215,$D215-($D215-$I$211)*MIN(G$3-$O$2,$Q$2)/$Q$2))</f>
        <v>9787.6171875</v>
      </c>
      <c r="H215" s="15" t="n">
        <f aca="false">G215*(1+IF(H$3&lt;=$O$2,$D215,$D215-($D215-$I$211)*MIN(H$3-$O$2,$Q$2)/$Q$2))</f>
        <v>10399.3432617188</v>
      </c>
      <c r="I215" s="15" t="n">
        <f aca="false">H215*(1+IF(I$3&lt;=$O$2,$D215,$D215-($D215-$I$211)*MIN(I$3-$O$2,$Q$2)/$Q$2))</f>
        <v>11049.3022155762</v>
      </c>
      <c r="J215" s="15" t="n">
        <f aca="false">I215*(1+IF(J$3&lt;=$O$2,$D215,$D215-($D215-$I$211)*MIN(J$3-$O$2,$Q$2)/$Q$2))</f>
        <v>11653.2570746796</v>
      </c>
      <c r="K215" s="15" t="n">
        <f aca="false">J215*(1+IF(K$3&lt;=$O$2,$D215,$D215-($D215-$I$211)*MIN(K$3-$O$2,$Q$2)/$Q$2))</f>
        <v>12198.8625709161</v>
      </c>
      <c r="L215" s="15" t="n">
        <f aca="false">K215*(1+IF(L$3&lt;=$O$2,$D215,$D215-($D215-$I$211)*MIN(L$3-$O$2,$Q$2)/$Q$2))</f>
        <v>12674.3742339304</v>
      </c>
      <c r="M215" s="15" t="n">
        <f aca="false">L215*(1+IF(M$3&lt;=$O$2,$D215,$D215-($D215-$I$211)*MIN(M$3-$O$2,$Q$2)/$Q$2))</f>
        <v>13069.054247575</v>
      </c>
      <c r="N215" s="15" t="n">
        <f aca="false">M215*(1+IF(N$3&lt;=$O$2,$D215,$D215-($D215-$I$211)*MIN(N$3-$O$2,$Q$2)/$Q$2))</f>
        <v>13373.5632115435</v>
      </c>
      <c r="O215" s="15" t="n">
        <f aca="false">SUMPRODUCT(E215:N215,1/(1+$F$211)^$E$3:$N$3)*$E$2</f>
        <v>26328.0520003791</v>
      </c>
      <c r="P215" s="15" t="n">
        <f aca="false">N215*$E$2*(1+$I$211)/($F$211-$I$211)/(1+$F$211)^$N$3</f>
        <v>32648.8859618017</v>
      </c>
      <c r="Q215" s="15" t="n">
        <f aca="false">O215+P215</f>
        <v>58976.9379621808</v>
      </c>
      <c r="R215" s="15" t="n">
        <f aca="false">Q215-$G$2+$I$2</f>
        <v>52856.9379621808</v>
      </c>
      <c r="S215" s="42" t="n">
        <f aca="false">R215/$K$2</f>
        <v>305.213869743508</v>
      </c>
      <c r="T215" s="43" t="n">
        <f aca="false">S215-$M$2</f>
        <v>-158.927486071251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41" t="n">
        <f aca="false">(B216+C216)/2</f>
        <v>0.15625</v>
      </c>
      <c r="E216" s="15" t="n">
        <f aca="false">$C$2*(1+IF(E$3&lt;=$O$2,$D216,$D216-($D216-$I$211)*MIN(E$3-$O$2,$Q$2)/$Q$2))</f>
        <v>9435</v>
      </c>
      <c r="F216" s="15" t="n">
        <f aca="false">E216*(1+IF(F$3&lt;=$O$2,$D216,$D216-($D216-$I$211)*MIN(F$3-$O$2,$Q$2)/$Q$2))</f>
        <v>10909.21875</v>
      </c>
      <c r="G216" s="15" t="n">
        <f aca="false">F216*(1+IF(G$3&lt;=$O$2,$D216,$D216-($D216-$I$211)*MIN(G$3-$O$2,$Q$2)/$Q$2))</f>
        <v>12613.7841796875</v>
      </c>
      <c r="H216" s="15" t="n">
        <f aca="false">G216*(1+IF(H$3&lt;=$O$2,$D216,$D216-($D216-$I$211)*MIN(H$3-$O$2,$Q$2)/$Q$2))</f>
        <v>14584.6879577637</v>
      </c>
      <c r="I216" s="15" t="n">
        <f aca="false">H216*(1+IF(I$3&lt;=$O$2,$D216,$D216-($D216-$I$211)*MIN(I$3-$O$2,$Q$2)/$Q$2))</f>
        <v>16863.5454511642</v>
      </c>
      <c r="J216" s="15" t="n">
        <f aca="false">I216*(1+IF(J$3&lt;=$O$2,$D216,$D216-($D216-$I$211)*MIN(J$3-$O$2,$Q$2)/$Q$2))</f>
        <v>19050.0727543622</v>
      </c>
      <c r="K216" s="15" t="n">
        <f aca="false">J216*(1+IF(K$3&lt;=$O$2,$D216,$D216-($D216-$I$211)*MIN(K$3-$O$2,$Q$2)/$Q$2))</f>
        <v>21013.5637531543</v>
      </c>
      <c r="L216" s="15" t="n">
        <f aca="false">K216*(1+IF(L$3&lt;=$O$2,$D216,$D216-($D216-$I$211)*MIN(L$3-$O$2,$Q$2)/$Q$2))</f>
        <v>22620.6811089956</v>
      </c>
      <c r="M216" s="15" t="n">
        <f aca="false">L216*(1+IF(M$3&lt;=$O$2,$D216,$D216-($D216-$I$211)*MIN(M$3-$O$2,$Q$2)/$Q$2))</f>
        <v>23749.2268895233</v>
      </c>
      <c r="N216" s="15" t="n">
        <f aca="false">M216*(1+IF(N$3&lt;=$O$2,$D216,$D216-($D216-$I$211)*MIN(N$3-$O$2,$Q$2)/$Q$2))</f>
        <v>24302.5838760492</v>
      </c>
      <c r="O216" s="15" t="n">
        <f aca="false">SUMPRODUCT(E216:N216,1/(1+$F$211)^$E$3:$N$3)*$E$2</f>
        <v>39518.1402639962</v>
      </c>
      <c r="P216" s="15" t="n">
        <f aca="false">N216*$E$2*(1+$I$211)/($F$211-$I$211)/(1+$F$211)^$N$3</f>
        <v>59329.9090897017</v>
      </c>
      <c r="Q216" s="15" t="n">
        <f aca="false">O216+P216</f>
        <v>98848.0493536979</v>
      </c>
      <c r="R216" s="15" t="n">
        <f aca="false">Q216-$G$2+$I$2</f>
        <v>92728.0493536979</v>
      </c>
      <c r="S216" s="42" t="n">
        <f aca="false">R216/$K$2</f>
        <v>535.443176773865</v>
      </c>
      <c r="T216" s="43" t="n">
        <f aca="false">S216-$M$2</f>
        <v>71.3018209591053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41" t="n">
        <f aca="false">(B217+C217)/2</f>
        <v>0.109375</v>
      </c>
      <c r="E217" s="15" t="n">
        <f aca="false">$C$2*(1+IF(E$3&lt;=$O$2,$D217,$D217-($D217-$I$211)*MIN(E$3-$O$2,$Q$2)/$Q$2))</f>
        <v>9052.5</v>
      </c>
      <c r="F217" s="15" t="n">
        <f aca="false">E217*(1+IF(F$3&lt;=$O$2,$D217,$D217-($D217-$I$211)*MIN(F$3-$O$2,$Q$2)/$Q$2))</f>
        <v>10042.6171875</v>
      </c>
      <c r="G217" s="15" t="n">
        <f aca="false">F217*(1+IF(G$3&lt;=$O$2,$D217,$D217-($D217-$I$211)*MIN(G$3-$O$2,$Q$2)/$Q$2))</f>
        <v>11141.0284423828</v>
      </c>
      <c r="H217" s="15" t="n">
        <f aca="false">G217*(1+IF(H$3&lt;=$O$2,$D217,$D217-($D217-$I$211)*MIN(H$3-$O$2,$Q$2)/$Q$2))</f>
        <v>12359.5784282684</v>
      </c>
      <c r="I217" s="15" t="n">
        <f aca="false">H217*(1+IF(I$3&lt;=$O$2,$D217,$D217-($D217-$I$211)*MIN(I$3-$O$2,$Q$2)/$Q$2))</f>
        <v>13711.4073188603</v>
      </c>
      <c r="J217" s="15" t="n">
        <f aca="false">I217*(1+IF(J$3&lt;=$O$2,$D217,$D217-($D217-$I$211)*MIN(J$3-$O$2,$Q$2)/$Q$2))</f>
        <v>14975.0506173665</v>
      </c>
      <c r="K217" s="15" t="n">
        <f aca="false">J217*(1+IF(K$3&lt;=$O$2,$D217,$D217-($D217-$I$211)*MIN(K$3-$O$2,$Q$2)/$Q$2))</f>
        <v>16097.355785885</v>
      </c>
      <c r="L217" s="15" t="n">
        <f aca="false">K217*(1+IF(L$3&lt;=$O$2,$D217,$D217-($D217-$I$211)*MIN(L$3-$O$2,$Q$2)/$Q$2))</f>
        <v>17026.6561354041</v>
      </c>
      <c r="M217" s="15" t="n">
        <f aca="false">L217*(1+IF(M$3&lt;=$O$2,$D217,$D217-($D217-$I$211)*MIN(M$3-$O$2,$Q$2)/$Q$2))</f>
        <v>17716.49110873</v>
      </c>
      <c r="N217" s="15" t="n">
        <f aca="false">M217*(1+IF(N$3&lt;=$O$2,$D217,$D217-($D217-$I$211)*MIN(N$3-$O$2,$Q$2)/$Q$2))</f>
        <v>18129.2853515634</v>
      </c>
      <c r="O217" s="15" t="n">
        <f aca="false">SUMPRODUCT(E217:N217,1/(1+$F$211)^$E$3:$N$3)*$E$2</f>
        <v>32261.3445527345</v>
      </c>
      <c r="P217" s="15" t="n">
        <f aca="false">N217*$E$2*(1+$I$211)/($F$211-$I$211)/(1+$F$211)^$N$3</f>
        <v>44259.0325891049</v>
      </c>
      <c r="Q217" s="15" t="n">
        <f aca="false">O217+P217</f>
        <v>76520.3771418394</v>
      </c>
      <c r="R217" s="15" t="n">
        <f aca="false">Q217-$G$2+$I$2</f>
        <v>70400.3771418394</v>
      </c>
      <c r="S217" s="42" t="n">
        <f aca="false">R217/$K$2</f>
        <v>406.515631954264</v>
      </c>
      <c r="T217" s="43" t="n">
        <f aca="false">S217-$M$2</f>
        <v>-57.6257238604953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0.109375</v>
      </c>
      <c r="C218" s="25" t="n">
        <f aca="false">IF(T217&gt;0,D217,C217)</f>
        <v>0.15625</v>
      </c>
      <c r="D218" s="41" t="n">
        <f aca="false">(B218+C218)/2</f>
        <v>0.1328125</v>
      </c>
      <c r="E218" s="15" t="n">
        <f aca="false">$C$2*(1+IF(E$3&lt;=$O$2,$D218,$D218-($D218-$I$211)*MIN(E$3-$O$2,$Q$2)/$Q$2))</f>
        <v>9243.75</v>
      </c>
      <c r="F218" s="15" t="n">
        <f aca="false">E218*(1+IF(F$3&lt;=$O$2,$D218,$D218-($D218-$I$211)*MIN(F$3-$O$2,$Q$2)/$Q$2))</f>
        <v>10471.435546875</v>
      </c>
      <c r="G218" s="15" t="n">
        <f aca="false">F218*(1+IF(G$3&lt;=$O$2,$D218,$D218-($D218-$I$211)*MIN(G$3-$O$2,$Q$2)/$Q$2))</f>
        <v>11862.1730804443</v>
      </c>
      <c r="H218" s="15" t="n">
        <f aca="false">G218*(1+IF(H$3&lt;=$O$2,$D218,$D218-($D218-$I$211)*MIN(H$3-$O$2,$Q$2)/$Q$2))</f>
        <v>13437.6179426909</v>
      </c>
      <c r="I218" s="15" t="n">
        <f aca="false">H218*(1+IF(I$3&lt;=$O$2,$D218,$D218-($D218-$I$211)*MIN(I$3-$O$2,$Q$2)/$Q$2))</f>
        <v>15222.3015757045</v>
      </c>
      <c r="J218" s="15" t="n">
        <f aca="false">I218*(1+IF(J$3&lt;=$O$2,$D218,$D218-($D218-$I$211)*MIN(J$3-$O$2,$Q$2)/$Q$2))</f>
        <v>16910.6070434659</v>
      </c>
      <c r="K218" s="15" t="n">
        <f aca="false">J218*(1+IF(K$3&lt;=$O$2,$D218,$D218-($D218-$I$211)*MIN(K$3-$O$2,$Q$2)/$Q$2))</f>
        <v>18415.7778998871</v>
      </c>
      <c r="L218" s="15" t="n">
        <f aca="false">K218*(1+IF(L$3&lt;=$O$2,$D218,$D218-($D218-$I$211)*MIN(L$3-$O$2,$Q$2)/$Q$2))</f>
        <v>19651.5686758591</v>
      </c>
      <c r="M218" s="15" t="n">
        <f aca="false">L218*(1+IF(M$3&lt;=$O$2,$D218,$D218-($D218-$I$211)*MIN(M$3-$O$2,$Q$2)/$Q$2))</f>
        <v>20539.8687089296</v>
      </c>
      <c r="N218" s="15" t="n">
        <f aca="false">M218*(1+IF(N$3&lt;=$O$2,$D218,$D218-($D218-$I$211)*MIN(N$3-$O$2,$Q$2)/$Q$2))</f>
        <v>21018.4476498477</v>
      </c>
      <c r="O218" s="15" t="n">
        <f aca="false">SUMPRODUCT(E218:N218,1/(1+$F$211)^$E$3:$N$3)*$E$2</f>
        <v>35708.6133260892</v>
      </c>
      <c r="P218" s="15" t="n">
        <f aca="false">N218*$E$2*(1+$I$211)/($F$211-$I$211)/(1+$F$211)^$N$3</f>
        <v>51312.345824309</v>
      </c>
      <c r="Q218" s="15" t="n">
        <f aca="false">O218+P218</f>
        <v>87020.9591503982</v>
      </c>
      <c r="R218" s="15" t="n">
        <f aca="false">Q218-$G$2+$I$2</f>
        <v>80900.9591503982</v>
      </c>
      <c r="S218" s="42" t="n">
        <f aca="false">R218/$K$2</f>
        <v>467.149550470021</v>
      </c>
      <c r="T218" s="43" t="n">
        <f aca="false">S218-$M$2</f>
        <v>3.00819465526178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0.109375</v>
      </c>
      <c r="C219" s="25" t="n">
        <f aca="false">IF(T218&gt;0,D218,C218)</f>
        <v>0.1328125</v>
      </c>
      <c r="D219" s="41" t="n">
        <f aca="false">(B219+C219)/2</f>
        <v>0.12109375</v>
      </c>
      <c r="E219" s="15" t="n">
        <f aca="false">$C$2*(1+IF(E$3&lt;=$O$2,$D219,$D219-($D219-$I$211)*MIN(E$3-$O$2,$Q$2)/$Q$2))</f>
        <v>9148.125</v>
      </c>
      <c r="F219" s="15" t="n">
        <f aca="false">E219*(1+IF(F$3&lt;=$O$2,$D219,$D219-($D219-$I$211)*MIN(F$3-$O$2,$Q$2)/$Q$2))</f>
        <v>10255.9057617188</v>
      </c>
      <c r="G219" s="15" t="n">
        <f aca="false">F219*(1+IF(G$3&lt;=$O$2,$D219,$D219-($D219-$I$211)*MIN(G$3-$O$2,$Q$2)/$Q$2))</f>
        <v>11497.8318500519</v>
      </c>
      <c r="H219" s="15" t="n">
        <f aca="false">G219*(1+IF(H$3&lt;=$O$2,$D219,$D219-($D219-$I$211)*MIN(H$3-$O$2,$Q$2)/$Q$2))</f>
        <v>12890.1474256441</v>
      </c>
      <c r="I219" s="15" t="n">
        <f aca="false">H219*(1+IF(I$3&lt;=$O$2,$D219,$D219-($D219-$I$211)*MIN(I$3-$O$2,$Q$2)/$Q$2))</f>
        <v>14451.0637154682</v>
      </c>
      <c r="J219" s="15" t="n">
        <f aca="false">I219*(1+IF(J$3&lt;=$O$2,$D219,$D219-($D219-$I$211)*MIN(J$3-$O$2,$Q$2)/$Q$2))</f>
        <v>15918.3524698183</v>
      </c>
      <c r="K219" s="15" t="n">
        <f aca="false">J219*(1+IF(K$3&lt;=$O$2,$D219,$D219-($D219-$I$211)*MIN(K$3-$O$2,$Q$2)/$Q$2))</f>
        <v>17223.2793114722</v>
      </c>
      <c r="L219" s="15" t="n">
        <f aca="false">K219*(1+IF(L$3&lt;=$O$2,$D219,$D219-($D219-$I$211)*MIN(L$3-$O$2,$Q$2)/$Q$2))</f>
        <v>18298.313347896</v>
      </c>
      <c r="M219" s="15" t="n">
        <f aca="false">L219*(1+IF(M$3&lt;=$O$2,$D219,$D219-($D219-$I$211)*MIN(M$3-$O$2,$Q$2)/$Q$2))</f>
        <v>19082.5561850951</v>
      </c>
      <c r="N219" s="15" t="n">
        <f aca="false">M219*(1+IF(N$3&lt;=$O$2,$D219,$D219-($D219-$I$211)*MIN(N$3-$O$2,$Q$2)/$Q$2))</f>
        <v>19527.1797442079</v>
      </c>
      <c r="O219" s="15" t="n">
        <f aca="false">SUMPRODUCT(E219:N219,1/(1+$F$211)^$E$3:$N$3)*$E$2</f>
        <v>33941.7568025479</v>
      </c>
      <c r="P219" s="15" t="n">
        <f aca="false">N219*$E$2*(1+$I$211)/($F$211-$I$211)/(1+$F$211)^$N$3</f>
        <v>47671.7128067971</v>
      </c>
      <c r="Q219" s="15" t="n">
        <f aca="false">O219+P219</f>
        <v>81613.469609345</v>
      </c>
      <c r="R219" s="15" t="n">
        <f aca="false">Q219-$G$2+$I$2</f>
        <v>75493.469609345</v>
      </c>
      <c r="S219" s="42" t="n">
        <f aca="false">R219/$K$2</f>
        <v>435.92487359594</v>
      </c>
      <c r="T219" s="43" t="n">
        <f aca="false">S219-$M$2</f>
        <v>-28.2164822188189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0.12109375</v>
      </c>
      <c r="C220" s="25" t="n">
        <f aca="false">IF(T219&gt;0,D219,C219)</f>
        <v>0.1328125</v>
      </c>
      <c r="D220" s="41" t="n">
        <f aca="false">(B220+C220)/2</f>
        <v>0.126953125</v>
      </c>
      <c r="E220" s="15" t="n">
        <f aca="false">$C$2*(1+IF(E$3&lt;=$O$2,$D220,$D220-($D220-$I$211)*MIN(E$3-$O$2,$Q$2)/$Q$2))</f>
        <v>9195.9375</v>
      </c>
      <c r="F220" s="15" t="n">
        <f aca="false">E220*(1+IF(F$3&lt;=$O$2,$D220,$D220-($D220-$I$211)*MIN(F$3-$O$2,$Q$2)/$Q$2))</f>
        <v>10363.3905029297</v>
      </c>
      <c r="G220" s="15" t="n">
        <f aca="false">F220*(1+IF(G$3&lt;=$O$2,$D220,$D220-($D220-$I$211)*MIN(G$3-$O$2,$Q$2)/$Q$2))</f>
        <v>11679.0553128719</v>
      </c>
      <c r="H220" s="15" t="n">
        <f aca="false">G220*(1+IF(H$3&lt;=$O$2,$D220,$D220-($D220-$I$211)*MIN(H$3-$O$2,$Q$2)/$Q$2))</f>
        <v>13161.7478818889</v>
      </c>
      <c r="I220" s="15" t="n">
        <f aca="false">H220*(1+IF(I$3&lt;=$O$2,$D220,$D220-($D220-$I$211)*MIN(I$3-$O$2,$Q$2)/$Q$2))</f>
        <v>14832.6729059568</v>
      </c>
      <c r="J220" s="15" t="n">
        <f aca="false">I220*(1+IF(J$3&lt;=$O$2,$D220,$D220-($D220-$I$211)*MIN(J$3-$O$2,$Q$2)/$Q$2))</f>
        <v>16408.2365037098</v>
      </c>
      <c r="K220" s="15" t="n">
        <f aca="false">J220*(1+IF(K$3&lt;=$O$2,$D220,$D220-($D220-$I$211)*MIN(K$3-$O$2,$Q$2)/$Q$2))</f>
        <v>17811.0074078554</v>
      </c>
      <c r="L220" s="15" t="n">
        <f aca="false">K220*(1+IF(L$3&lt;=$O$2,$D220,$D220-($D220-$I$211)*MIN(L$3-$O$2,$Q$2)/$Q$2))</f>
        <v>18964.4705113474</v>
      </c>
      <c r="M220" s="15" t="n">
        <f aca="false">L220*(1+IF(M$3&lt;=$O$2,$D220,$D220-($D220-$I$211)*MIN(M$3-$O$2,$Q$2)/$Q$2))</f>
        <v>19799.4880007561</v>
      </c>
      <c r="N220" s="15" t="n">
        <f aca="false">M220*(1+IF(N$3&lt;=$O$2,$D220,$D220-($D220-$I$211)*MIN(N$3-$O$2,$Q$2)/$Q$2))</f>
        <v>20260.8160711737</v>
      </c>
      <c r="O220" s="15" t="n">
        <f aca="false">SUMPRODUCT(E220:N220,1/(1+$F$211)^$E$3:$N$3)*$E$2</f>
        <v>34814.1284097031</v>
      </c>
      <c r="P220" s="15" t="n">
        <f aca="false">N220*$E$2*(1+$I$211)/($F$211-$I$211)/(1+$F$211)^$N$3</f>
        <v>49462.739506089</v>
      </c>
      <c r="Q220" s="15" t="n">
        <f aca="false">O220+P220</f>
        <v>84276.8679157921</v>
      </c>
      <c r="R220" s="15" t="n">
        <f aca="false">Q220-$G$2+$I$2</f>
        <v>78156.8679157921</v>
      </c>
      <c r="S220" s="42" t="n">
        <f aca="false">R220/$K$2</f>
        <v>451.304237878462</v>
      </c>
      <c r="T220" s="43" t="n">
        <f aca="false">S220-$M$2</f>
        <v>-12.8371179362971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0.126953125</v>
      </c>
      <c r="C221" s="25" t="n">
        <f aca="false">IF(T220&gt;0,D220,C220)</f>
        <v>0.1328125</v>
      </c>
      <c r="D221" s="41" t="n">
        <f aca="false">(B221+C221)/2</f>
        <v>0.1298828125</v>
      </c>
      <c r="E221" s="15" t="n">
        <f aca="false">$C$2*(1+IF(E$3&lt;=$O$2,$D221,$D221-($D221-$I$211)*MIN(E$3-$O$2,$Q$2)/$Q$2))</f>
        <v>9219.84375</v>
      </c>
      <c r="F221" s="15" t="n">
        <f aca="false">E221*(1+IF(F$3&lt;=$O$2,$D221,$D221-($D221-$I$211)*MIN(F$3-$O$2,$Q$2)/$Q$2))</f>
        <v>10417.3429870605</v>
      </c>
      <c r="G221" s="15" t="n">
        <f aca="false">F221*(1+IF(G$3&lt;=$O$2,$D221,$D221-($D221-$I$211)*MIN(G$3-$O$2,$Q$2)/$Q$2))</f>
        <v>11770.3767929971</v>
      </c>
      <c r="H221" s="15" t="n">
        <f aca="false">G221*(1+IF(H$3&lt;=$O$2,$D221,$D221-($D221-$I$211)*MIN(H$3-$O$2,$Q$2)/$Q$2))</f>
        <v>13299.1464350563</v>
      </c>
      <c r="I221" s="15" t="n">
        <f aca="false">H221*(1+IF(I$3&lt;=$O$2,$D221,$D221-($D221-$I$211)*MIN(I$3-$O$2,$Q$2)/$Q$2))</f>
        <v>15026.4769778908</v>
      </c>
      <c r="J221" s="15" t="n">
        <f aca="false">I221*(1+IF(J$3&lt;=$O$2,$D221,$D221-($D221-$I$211)*MIN(J$3-$O$2,$Q$2)/$Q$2))</f>
        <v>16657.8452340917</v>
      </c>
      <c r="K221" s="15" t="n">
        <f aca="false">J221*(1+IF(K$3&lt;=$O$2,$D221,$D221-($D221-$I$211)*MIN(K$3-$O$2,$Q$2)/$Q$2))</f>
        <v>18111.2370251896</v>
      </c>
      <c r="L221" s="15" t="n">
        <f aca="false">K221*(1+IF(L$3&lt;=$O$2,$D221,$D221-($D221-$I$211)*MIN(L$3-$O$2,$Q$2)/$Q$2))</f>
        <v>19305.367479876</v>
      </c>
      <c r="M221" s="15" t="n">
        <f aca="false">L221*(1+IF(M$3&lt;=$O$2,$D221,$D221-($D221-$I$211)*MIN(M$3-$O$2,$Q$2)/$Q$2))</f>
        <v>20166.7066146274</v>
      </c>
      <c r="N221" s="15" t="n">
        <f aca="false">M221*(1+IF(N$3&lt;=$O$2,$D221,$D221-($D221-$I$211)*MIN(N$3-$O$2,$Q$2)/$Q$2))</f>
        <v>20636.5908787482</v>
      </c>
      <c r="O221" s="15" t="n">
        <f aca="false">SUMPRODUCT(E221:N221,1/(1+$F$211)^$E$3:$N$3)*$E$2</f>
        <v>35258.5747627815</v>
      </c>
      <c r="P221" s="15" t="n">
        <f aca="false">N221*$E$2*(1+$I$211)/($F$211-$I$211)/(1+$F$211)^$N$3</f>
        <v>50380.1187150367</v>
      </c>
      <c r="Q221" s="15" t="n">
        <f aca="false">O221+P221</f>
        <v>85638.6934778183</v>
      </c>
      <c r="R221" s="15" t="n">
        <f aca="false">Q221-$G$2+$I$2</f>
        <v>79518.6934778183</v>
      </c>
      <c r="S221" s="42" t="n">
        <f aca="false">R221/$K$2</f>
        <v>459.167880112128</v>
      </c>
      <c r="T221" s="43" t="n">
        <f aca="false">S221-$M$2</f>
        <v>-4.97347570263167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0.1298828125</v>
      </c>
      <c r="C222" s="25" t="n">
        <f aca="false">IF(T221&gt;0,D221,C221)</f>
        <v>0.1328125</v>
      </c>
      <c r="D222" s="41" t="n">
        <f aca="false">(B222+C222)/2</f>
        <v>0.13134765625</v>
      </c>
      <c r="E222" s="15" t="n">
        <f aca="false">$C$2*(1+IF(E$3&lt;=$O$2,$D222,$D222-($D222-$I$211)*MIN(E$3-$O$2,$Q$2)/$Q$2))</f>
        <v>9231.796875</v>
      </c>
      <c r="F222" s="15" t="n">
        <f aca="false">E222*(1+IF(F$3&lt;=$O$2,$D222,$D222-($D222-$I$211)*MIN(F$3-$O$2,$Q$2)/$Q$2))</f>
        <v>10444.3717575073</v>
      </c>
      <c r="G222" s="15" t="n">
        <f aca="false">F222*(1+IF(G$3&lt;=$O$2,$D222,$D222-($D222-$I$211)*MIN(G$3-$O$2,$Q$2)/$Q$2))</f>
        <v>11816.2155088596</v>
      </c>
      <c r="H222" s="15" t="n">
        <f aca="false">G222*(1+IF(H$3&lt;=$O$2,$D222,$D222-($D222-$I$211)*MIN(H$3-$O$2,$Q$2)/$Q$2))</f>
        <v>13368.2477216932</v>
      </c>
      <c r="I222" s="15" t="n">
        <f aca="false">H222*(1+IF(I$3&lt;=$O$2,$D222,$D222-($D222-$I$211)*MIN(I$3-$O$2,$Q$2)/$Q$2))</f>
        <v>15124.135728107</v>
      </c>
      <c r="J222" s="15" t="n">
        <f aca="false">I222*(1+IF(J$3&lt;=$O$2,$D222,$D222-($D222-$I$211)*MIN(J$3-$O$2,$Q$2)/$Q$2))</f>
        <v>16783.830025155</v>
      </c>
      <c r="K222" s="15" t="n">
        <f aca="false">J222*(1+IF(K$3&lt;=$O$2,$D222,$D222-($D222-$I$211)*MIN(K$3-$O$2,$Q$2)/$Q$2))</f>
        <v>18262.9653630109</v>
      </c>
      <c r="L222" s="15" t="n">
        <f aca="false">K222*(1+IF(L$3&lt;=$O$2,$D222,$D222-($D222-$I$211)*MIN(L$3-$O$2,$Q$2)/$Q$2))</f>
        <v>19477.8006974284</v>
      </c>
      <c r="M222" s="15" t="n">
        <f aca="false">L222*(1+IF(M$3&lt;=$O$2,$D222,$D222-($D222-$I$211)*MIN(M$3-$O$2,$Q$2)/$Q$2))</f>
        <v>20352.5395965308</v>
      </c>
      <c r="N222" s="15" t="n">
        <f aca="false">M222*(1+IF(N$3&lt;=$O$2,$D222,$D222-($D222-$I$211)*MIN(N$3-$O$2,$Q$2)/$Q$2))</f>
        <v>20826.75376913</v>
      </c>
      <c r="O222" s="15" t="n">
        <f aca="false">SUMPRODUCT(E222:N222,1/(1+$F$211)^$E$3:$N$3)*$E$2</f>
        <v>35482.8909905843</v>
      </c>
      <c r="P222" s="15" t="n">
        <f aca="false">N222*$E$2*(1+$I$211)/($F$211-$I$211)/(1+$F$211)^$N$3</f>
        <v>50844.3634659706</v>
      </c>
      <c r="Q222" s="15" t="n">
        <f aca="false">O222+P222</f>
        <v>86327.2544565549</v>
      </c>
      <c r="R222" s="15" t="n">
        <f aca="false">Q222-$G$2+$I$2</f>
        <v>80207.2544565549</v>
      </c>
      <c r="S222" s="42" t="n">
        <f aca="false">R222/$K$2</f>
        <v>463.143864514118</v>
      </c>
      <c r="T222" s="43" t="n">
        <f aca="false">S222-$M$2</f>
        <v>-0.997491300641627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0.13134765625</v>
      </c>
      <c r="C223" s="25" t="n">
        <f aca="false">IF(T222&gt;0,D222,C222)</f>
        <v>0.1328125</v>
      </c>
      <c r="D223" s="41" t="n">
        <f aca="false">(B223+C223)/2</f>
        <v>0.132080078125</v>
      </c>
      <c r="E223" s="15" t="n">
        <f aca="false">$C$2*(1+IF(E$3&lt;=$O$2,$D223,$D223-($D223-$I$211)*MIN(E$3-$O$2,$Q$2)/$Q$2))</f>
        <v>9237.7734375</v>
      </c>
      <c r="F223" s="15" t="n">
        <f aca="false">E223*(1+IF(F$3&lt;=$O$2,$D223,$D223-($D223-$I$211)*MIN(F$3-$O$2,$Q$2)/$Q$2))</f>
        <v>10457.8992748261</v>
      </c>
      <c r="G223" s="15" t="n">
        <f aca="false">F223*(1+IF(G$3&lt;=$O$2,$D223,$D223-($D223-$I$211)*MIN(G$3-$O$2,$Q$2)/$Q$2))</f>
        <v>11839.1794280685</v>
      </c>
      <c r="H223" s="15" t="n">
        <f aca="false">G223*(1+IF(H$3&lt;=$O$2,$D223,$D223-($D223-$I$211)*MIN(H$3-$O$2,$Q$2)/$Q$2))</f>
        <v>13402.8991718636</v>
      </c>
      <c r="I223" s="15" t="n">
        <f aca="false">H223*(1+IF(I$3&lt;=$O$2,$D223,$D223-($D223-$I$211)*MIN(I$3-$O$2,$Q$2)/$Q$2))</f>
        <v>15173.1551415849</v>
      </c>
      <c r="J223" s="15" t="n">
        <f aca="false">I223*(1+IF(J$3&lt;=$O$2,$D223,$D223-($D223-$I$211)*MIN(J$3-$O$2,$Q$2)/$Q$2))</f>
        <v>16847.1192577473</v>
      </c>
      <c r="K223" s="15" t="n">
        <f aca="false">J223*(1+IF(K$3&lt;=$O$2,$D223,$D223-($D223-$I$211)*MIN(K$3-$O$2,$Q$2)/$Q$2))</f>
        <v>18339.2357058762</v>
      </c>
      <c r="L223" s="15" t="n">
        <f aca="false">K223*(1+IF(L$3&lt;=$O$2,$D223,$D223-($D223-$I$211)*MIN(L$3-$O$2,$Q$2)/$Q$2))</f>
        <v>19564.5172949583</v>
      </c>
      <c r="M223" s="15" t="n">
        <f aca="false">L223*(1+IF(M$3&lt;=$O$2,$D223,$D223-($D223-$I$211)*MIN(M$3-$O$2,$Q$2)/$Q$2))</f>
        <v>20446.0164918955</v>
      </c>
      <c r="N223" s="15" t="n">
        <f aca="false">M223*(1+IF(N$3&lt;=$O$2,$D223,$D223-($D223-$I$211)*MIN(N$3-$O$2,$Q$2)/$Q$2))</f>
        <v>20922.4086761567</v>
      </c>
      <c r="O223" s="15" t="n">
        <f aca="false">SUMPRODUCT(E223:N223,1/(1+$F$211)^$E$3:$N$3)*$E$2</f>
        <v>35595.5758892334</v>
      </c>
      <c r="P223" s="15" t="n">
        <f aca="false">N223*$E$2*(1+$I$211)/($F$211-$I$211)/(1+$F$211)^$N$3</f>
        <v>51077.8858340785</v>
      </c>
      <c r="Q223" s="15" t="n">
        <f aca="false">O223+P223</f>
        <v>86673.4617233119</v>
      </c>
      <c r="R223" s="15" t="n">
        <f aca="false">Q223-$G$2+$I$2</f>
        <v>80553.4617233119</v>
      </c>
      <c r="S223" s="42" t="n">
        <f aca="false">R223/$K$2</f>
        <v>465.142982580621</v>
      </c>
      <c r="T223" s="43" t="n">
        <f aca="false">S223-$M$2</f>
        <v>1.00162676586132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0.13134765625</v>
      </c>
      <c r="C224" s="25" t="n">
        <f aca="false">IF(T223&gt;0,D223,C223)</f>
        <v>0.132080078125</v>
      </c>
      <c r="D224" s="41" t="n">
        <f aca="false">(B224+C224)/2</f>
        <v>0.1317138671875</v>
      </c>
      <c r="E224" s="15" t="n">
        <f aca="false">$C$2*(1+IF(E$3&lt;=$O$2,$D224,$D224-($D224-$I$211)*MIN(E$3-$O$2,$Q$2)/$Q$2))</f>
        <v>9234.78515625</v>
      </c>
      <c r="F224" s="15" t="n">
        <f aca="false">E224*(1+IF(F$3&lt;=$O$2,$D224,$D224-($D224-$I$211)*MIN(F$3-$O$2,$Q$2)/$Q$2))</f>
        <v>10451.1344218254</v>
      </c>
      <c r="G224" s="15" t="n">
        <f aca="false">F224*(1+IF(G$3&lt;=$O$2,$D224,$D224-($D224-$I$211)*MIN(G$3-$O$2,$Q$2)/$Q$2))</f>
        <v>11827.6937530204</v>
      </c>
      <c r="H224" s="15" t="n">
        <f aca="false">G224*(1+IF(H$3&lt;=$O$2,$D224,$D224-($D224-$I$211)*MIN(H$3-$O$2,$Q$2)/$Q$2))</f>
        <v>13385.5650371402</v>
      </c>
      <c r="I224" s="15" t="n">
        <f aca="false">H224*(1+IF(I$3&lt;=$O$2,$D224,$D224-($D224-$I$211)*MIN(I$3-$O$2,$Q$2)/$Q$2))</f>
        <v>15148.6295726717</v>
      </c>
      <c r="J224" s="15" t="n">
        <f aca="false">I224*(1+IF(J$3&lt;=$O$2,$D224,$D224-($D224-$I$211)*MIN(J$3-$O$2,$Q$2)/$Q$2))</f>
        <v>16815.4498533664</v>
      </c>
      <c r="K224" s="15" t="n">
        <f aca="false">J224*(1+IF(K$3&lt;=$O$2,$D224,$D224-($D224-$I$211)*MIN(K$3-$O$2,$Q$2)/$Q$2))</f>
        <v>18301.0666032104</v>
      </c>
      <c r="L224" s="15" t="n">
        <f aca="false">K224*(1+IF(L$3&lt;=$O$2,$D224,$D224-($D224-$I$211)*MIN(L$3-$O$2,$Q$2)/$Q$2))</f>
        <v>19521.1172167092</v>
      </c>
      <c r="M224" s="15" t="n">
        <f aca="false">L224*(1+IF(M$3&lt;=$O$2,$D224,$D224-($D224-$I$211)*MIN(M$3-$O$2,$Q$2)/$Q$2))</f>
        <v>20399.2312097153</v>
      </c>
      <c r="N224" s="15" t="n">
        <f aca="false">M224*(1+IF(N$3&lt;=$O$2,$D224,$D224-($D224-$I$211)*MIN(N$3-$O$2,$Q$2)/$Q$2))</f>
        <v>20874.5332969017</v>
      </c>
      <c r="O224" s="15" t="n">
        <f aca="false">SUMPRODUCT(E224:N224,1/(1+$F$211)^$E$3:$N$3)*$E$2</f>
        <v>35539.1894359363</v>
      </c>
      <c r="P224" s="15" t="n">
        <f aca="false">N224*$E$2*(1+$I$211)/($F$211-$I$211)/(1+$F$211)^$N$3</f>
        <v>50961.0076488896</v>
      </c>
      <c r="Q224" s="15" t="n">
        <f aca="false">O224+P224</f>
        <v>86500.1970848259</v>
      </c>
      <c r="R224" s="15" t="n">
        <f aca="false">Q224-$G$2+$I$2</f>
        <v>80380.1970848259</v>
      </c>
      <c r="S224" s="42" t="n">
        <f aca="false">R224/$K$2</f>
        <v>464.142493849324</v>
      </c>
      <c r="T224" s="43" t="n">
        <f aca="false">S224-$M$2</f>
        <v>0.00113803456440564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0.13134765625</v>
      </c>
      <c r="C225" s="25" t="n">
        <f aca="false">IF(T224&gt;0,D224,C224)</f>
        <v>0.1317138671875</v>
      </c>
      <c r="D225" s="41" t="n">
        <f aca="false">(B225+C225)/2</f>
        <v>0.13153076171875</v>
      </c>
      <c r="E225" s="15" t="n">
        <f aca="false">$C$2*(1+IF(E$3&lt;=$O$2,$D225,$D225-($D225-$I$211)*MIN(E$3-$O$2,$Q$2)/$Q$2))</f>
        <v>9233.291015625</v>
      </c>
      <c r="F225" s="15" t="n">
        <f aca="false">E225*(1+IF(F$3&lt;=$O$2,$D225,$D225-($D225-$I$211)*MIN(F$3-$O$2,$Q$2)/$Q$2))</f>
        <v>10447.752816081</v>
      </c>
      <c r="G225" s="15" t="n">
        <f aca="false">F225*(1+IF(G$3&lt;=$O$2,$D225,$D225-($D225-$I$211)*MIN(G$3-$O$2,$Q$2)/$Q$2))</f>
        <v>11821.9537022294</v>
      </c>
      <c r="H225" s="15" t="n">
        <f aca="false">G225*(1+IF(H$3&lt;=$O$2,$D225,$D225-($D225-$I$211)*MIN(H$3-$O$2,$Q$2)/$Q$2))</f>
        <v>13376.9042776874</v>
      </c>
      <c r="I225" s="15" t="n">
        <f aca="false">H225*(1+IF(I$3&lt;=$O$2,$D225,$D225-($D225-$I$211)*MIN(I$3-$O$2,$Q$2)/$Q$2))</f>
        <v>15136.3786867705</v>
      </c>
      <c r="J225" s="15" t="n">
        <f aca="false">I225*(1+IF(J$3&lt;=$O$2,$D225,$D225-($D225-$I$211)*MIN(J$3-$O$2,$Q$2)/$Q$2))</f>
        <v>16799.6337461183</v>
      </c>
      <c r="K225" s="15" t="n">
        <f aca="false">J225*(1+IF(K$3&lt;=$O$2,$D225,$D225-($D225-$I$211)*MIN(K$3-$O$2,$Q$2)/$Q$2))</f>
        <v>18282.0075065659</v>
      </c>
      <c r="L225" s="15" t="n">
        <f aca="false">K225*(1+IF(L$3&lt;=$O$2,$D225,$D225-($D225-$I$211)*MIN(L$3-$O$2,$Q$2)/$Q$2))</f>
        <v>19499.4485207423</v>
      </c>
      <c r="M225" s="15" t="n">
        <f aca="false">L225*(1+IF(M$3&lt;=$O$2,$D225,$D225-($D225-$I$211)*MIN(M$3-$O$2,$Q$2)/$Q$2))</f>
        <v>20375.8737045747</v>
      </c>
      <c r="N225" s="15" t="n">
        <f aca="false">M225*(1+IF(N$3&lt;=$O$2,$D225,$D225-($D225-$I$211)*MIN(N$3-$O$2,$Q$2)/$Q$2))</f>
        <v>20850.6315618913</v>
      </c>
      <c r="O225" s="15" t="n">
        <f aca="false">SUMPRODUCT(E225:N225,1/(1+$F$211)^$E$3:$N$3)*$E$2</f>
        <v>35511.0292201714</v>
      </c>
      <c r="P225" s="15" t="n">
        <f aca="false">N225*$E$2*(1+$I$211)/($F$211-$I$211)/(1+$F$211)^$N$3</f>
        <v>50902.6563323183</v>
      </c>
      <c r="Q225" s="15" t="n">
        <f aca="false">O225+P225</f>
        <v>86413.6855524898</v>
      </c>
      <c r="R225" s="15" t="n">
        <f aca="false">Q225-$G$2+$I$2</f>
        <v>80293.6855524898</v>
      </c>
      <c r="S225" s="42" t="n">
        <f aca="false">R225/$K$2</f>
        <v>463.642946948203</v>
      </c>
      <c r="T225" s="43" t="n">
        <f aca="false">S225-$M$2</f>
        <v>-0.49840886655636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0.13153076171875</v>
      </c>
      <c r="C226" s="25" t="n">
        <f aca="false">IF(T225&gt;0,D225,C225)</f>
        <v>0.1317138671875</v>
      </c>
      <c r="D226" s="41" t="n">
        <f aca="false">(B226+C226)/2</f>
        <v>0.131622314453125</v>
      </c>
      <c r="E226" s="15" t="n">
        <f aca="false">$C$2*(1+IF(E$3&lt;=$O$2,$D226,$D226-($D226-$I$211)*MIN(E$3-$O$2,$Q$2)/$Q$2))</f>
        <v>9234.0380859375</v>
      </c>
      <c r="F226" s="15" t="n">
        <f aca="false">E226*(1+IF(F$3&lt;=$O$2,$D226,$D226-($D226-$I$211)*MIN(F$3-$O$2,$Q$2)/$Q$2))</f>
        <v>10449.4435505569</v>
      </c>
      <c r="G226" s="15" t="n">
        <f aca="false">F226*(1+IF(G$3&lt;=$O$2,$D226,$D226-($D226-$I$211)*MIN(G$3-$O$2,$Q$2)/$Q$2))</f>
        <v>11824.8234954285</v>
      </c>
      <c r="H226" s="15" t="n">
        <f aca="false">G226*(1+IF(H$3&lt;=$O$2,$D226,$D226-($D226-$I$211)*MIN(H$3-$O$2,$Q$2)/$Q$2))</f>
        <v>13381.2341318965</v>
      </c>
      <c r="I226" s="15" t="n">
        <f aca="false">H226*(1+IF(I$3&lt;=$O$2,$D226,$D226-($D226-$I$211)*MIN(I$3-$O$2,$Q$2)/$Q$2))</f>
        <v>15142.5031385758</v>
      </c>
      <c r="J226" s="15" t="n">
        <f aca="false">I226*(1+IF(J$3&lt;=$O$2,$D226,$D226-($D226-$I$211)*MIN(J$3-$O$2,$Q$2)/$Q$2))</f>
        <v>16807.540250972</v>
      </c>
      <c r="K226" s="15" t="n">
        <f aca="false">J226*(1+IF(K$3&lt;=$O$2,$D226,$D226-($D226-$I$211)*MIN(K$3-$O$2,$Q$2)/$Q$2))</f>
        <v>18291.5349349693</v>
      </c>
      <c r="L226" s="15" t="n">
        <f aca="false">K226*(1+IF(L$3&lt;=$O$2,$D226,$D226-($D226-$I$211)*MIN(L$3-$O$2,$Q$2)/$Q$2))</f>
        <v>19510.2802585765</v>
      </c>
      <c r="M226" s="15" t="n">
        <f aca="false">L226*(1+IF(M$3&lt;=$O$2,$D226,$D226-($D226-$I$211)*MIN(M$3-$O$2,$Q$2)/$Q$2))</f>
        <v>20387.549531249</v>
      </c>
      <c r="N226" s="15" t="n">
        <f aca="false">M226*(1+IF(N$3&lt;=$O$2,$D226,$D226-($D226-$I$211)*MIN(N$3-$O$2,$Q$2)/$Q$2))</f>
        <v>20862.5794353271</v>
      </c>
      <c r="O226" s="15" t="n">
        <f aca="false">SUMPRODUCT(E226:N226,1/(1+$F$211)^$E$3:$N$3)*$E$2</f>
        <v>35525.106578794</v>
      </c>
      <c r="P226" s="15" t="n">
        <f aca="false">N226*$E$2*(1+$I$211)/($F$211-$I$211)/(1+$F$211)^$N$3</f>
        <v>50931.824681181</v>
      </c>
      <c r="Q226" s="15" t="n">
        <f aca="false">O226+P226</f>
        <v>86456.931259975</v>
      </c>
      <c r="R226" s="15" t="n">
        <f aca="false">Q226-$G$2+$I$2</f>
        <v>80336.931259975</v>
      </c>
      <c r="S226" s="42" t="n">
        <f aca="false">R226/$K$2</f>
        <v>463.89266231652</v>
      </c>
      <c r="T226" s="43" t="n">
        <f aca="false">S226-$M$2</f>
        <v>-0.248693498239106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0.131622314453125</v>
      </c>
      <c r="C227" s="25" t="n">
        <f aca="false">IF(T226&gt;0,D226,C226)</f>
        <v>0.1317138671875</v>
      </c>
      <c r="D227" s="41" t="n">
        <f aca="false">(B227+C227)/2</f>
        <v>0.131668090820313</v>
      </c>
      <c r="E227" s="15" t="n">
        <f aca="false">$C$2*(1+IF(E$3&lt;=$O$2,$D227,$D227-($D227-$I$211)*MIN(E$3-$O$2,$Q$2)/$Q$2))</f>
        <v>9234.41162109375</v>
      </c>
      <c r="F227" s="15" t="n">
        <f aca="false">E227*(1+IF(F$3&lt;=$O$2,$D227,$D227-($D227-$I$211)*MIN(F$3-$O$2,$Q$2)/$Q$2))</f>
        <v>10450.2889690921</v>
      </c>
      <c r="G227" s="15" t="n">
        <f aca="false">F227*(1+IF(G$3&lt;=$O$2,$D227,$D227-($D227-$I$211)*MIN(G$3-$O$2,$Q$2)/$Q$2))</f>
        <v>11826.258566173</v>
      </c>
      <c r="H227" s="15" t="n">
        <f aca="false">G227*(1+IF(H$3&lt;=$O$2,$D227,$D227-($D227-$I$211)*MIN(H$3-$O$2,$Q$2)/$Q$2))</f>
        <v>13383.3994531284</v>
      </c>
      <c r="I227" s="15" t="n">
        <f aca="false">H227*(1+IF(I$3&lt;=$O$2,$D227,$D227-($D227-$I$211)*MIN(I$3-$O$2,$Q$2)/$Q$2))</f>
        <v>15145.5661078074</v>
      </c>
      <c r="J227" s="15" t="n">
        <f aca="false">I227*(1+IF(J$3&lt;=$O$2,$D227,$D227-($D227-$I$211)*MIN(J$3-$O$2,$Q$2)/$Q$2))</f>
        <v>16811.494664916</v>
      </c>
      <c r="K227" s="15" t="n">
        <f aca="false">J227*(1+IF(K$3&lt;=$O$2,$D227,$D227-($D227-$I$211)*MIN(K$3-$O$2,$Q$2)/$Q$2))</f>
        <v>18296.3002390123</v>
      </c>
      <c r="L227" s="15" t="n">
        <f aca="false">K227*(1+IF(L$3&lt;=$O$2,$D227,$D227-($D227-$I$211)*MIN(L$3-$O$2,$Q$2)/$Q$2))</f>
        <v>19515.698084972</v>
      </c>
      <c r="M227" s="15" t="n">
        <f aca="false">L227*(1+IF(M$3&lt;=$O$2,$D227,$D227-($D227-$I$211)*MIN(M$3-$O$2,$Q$2)/$Q$2))</f>
        <v>20393.3896388507</v>
      </c>
      <c r="N227" s="15" t="n">
        <f aca="false">M227*(1+IF(N$3&lt;=$O$2,$D227,$D227-($D227-$I$211)*MIN(N$3-$O$2,$Q$2)/$Q$2))</f>
        <v>20868.5556174359</v>
      </c>
      <c r="O227" s="15" t="n">
        <f aca="false">SUMPRODUCT(E227:N227,1/(1+$F$211)^$E$3:$N$3)*$E$2</f>
        <v>35532.1473199267</v>
      </c>
      <c r="P227" s="15" t="n">
        <f aca="false">N227*$E$2*(1+$I$211)/($F$211-$I$211)/(1+$F$211)^$N$3</f>
        <v>50946.4143372863</v>
      </c>
      <c r="Q227" s="15" t="n">
        <f aca="false">O227+P227</f>
        <v>86478.5616572129</v>
      </c>
      <c r="R227" s="15" t="n">
        <f aca="false">Q227-$G$2+$I$2</f>
        <v>80358.5616572129</v>
      </c>
      <c r="S227" s="42" t="n">
        <f aca="false">R227/$K$2</f>
        <v>464.017563559377</v>
      </c>
      <c r="T227" s="43" t="n">
        <f aca="false">S227-$M$2</f>
        <v>-0.123792255382057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0.131668090820313</v>
      </c>
      <c r="C228" s="25" t="n">
        <f aca="false">IF(T227&gt;0,D227,C227)</f>
        <v>0.1317138671875</v>
      </c>
      <c r="D228" s="41" t="n">
        <f aca="false">(B228+C228)/2</f>
        <v>0.131690979003906</v>
      </c>
      <c r="E228" s="15" t="n">
        <f aca="false">$C$2*(1+IF(E$3&lt;=$O$2,$D228,$D228-($D228-$I$211)*MIN(E$3-$O$2,$Q$2)/$Q$2))</f>
        <v>9234.59838867188</v>
      </c>
      <c r="F228" s="15" t="n">
        <f aca="false">E228*(1+IF(F$3&lt;=$O$2,$D228,$D228-($D228-$I$211)*MIN(F$3-$O$2,$Q$2)/$Q$2))</f>
        <v>10450.711691184</v>
      </c>
      <c r="G228" s="15" t="n">
        <f aca="false">F228*(1+IF(G$3&lt;=$O$2,$D228,$D228-($D228-$I$211)*MIN(G$3-$O$2,$Q$2)/$Q$2))</f>
        <v>11826.9761450836</v>
      </c>
      <c r="H228" s="15" t="n">
        <f aca="false">G228*(1+IF(H$3&lt;=$O$2,$D228,$D228-($D228-$I$211)*MIN(H$3-$O$2,$Q$2)/$Q$2))</f>
        <v>13384.4822122855</v>
      </c>
      <c r="I228" s="15" t="n">
        <f aca="false">H228*(1+IF(I$3&lt;=$O$2,$D228,$D228-($D228-$I$211)*MIN(I$3-$O$2,$Q$2)/$Q$2))</f>
        <v>15147.0977782817</v>
      </c>
      <c r="J228" s="15" t="n">
        <f aca="false">I228*(1+IF(J$3&lt;=$O$2,$D228,$D228-($D228-$I$211)*MIN(J$3-$O$2,$Q$2)/$Q$2))</f>
        <v>16813.4721623203</v>
      </c>
      <c r="K228" s="15" t="n">
        <f aca="false">J228*(1+IF(K$3&lt;=$O$2,$D228,$D228-($D228-$I$211)*MIN(K$3-$O$2,$Q$2)/$Q$2))</f>
        <v>18298.6832885797</v>
      </c>
      <c r="L228" s="15" t="n">
        <f aca="false">K228*(1+IF(L$3&lt;=$O$2,$D228,$D228-($D228-$I$211)*MIN(L$3-$O$2,$Q$2)/$Q$2))</f>
        <v>19518.4074876562</v>
      </c>
      <c r="M228" s="15" t="n">
        <f aca="false">L228*(1+IF(M$3&lt;=$O$2,$D228,$D228-($D228-$I$211)*MIN(M$3-$O$2,$Q$2)/$Q$2))</f>
        <v>20396.3102413555</v>
      </c>
      <c r="N228" s="15" t="n">
        <f aca="false">M228*(1+IF(N$3&lt;=$O$2,$D228,$D228-($D228-$I$211)*MIN(N$3-$O$2,$Q$2)/$Q$2))</f>
        <v>20871.5442699791</v>
      </c>
      <c r="O228" s="15" t="n">
        <f aca="false">SUMPRODUCT(E228:N228,1/(1+$F$211)^$E$3:$N$3)*$E$2</f>
        <v>35535.6682060564</v>
      </c>
      <c r="P228" s="15" t="n">
        <f aca="false">N228*$E$2*(1+$I$211)/($F$211-$I$211)/(1+$F$211)^$N$3</f>
        <v>50953.7105361015</v>
      </c>
      <c r="Q228" s="15" t="n">
        <f aca="false">O228+P228</f>
        <v>86489.378742158</v>
      </c>
      <c r="R228" s="15" t="n">
        <f aca="false">Q228-$G$2+$I$2</f>
        <v>80369.378742158</v>
      </c>
      <c r="S228" s="42" t="n">
        <f aca="false">R228/$K$2</f>
        <v>464.080025073091</v>
      </c>
      <c r="T228" s="43" t="n">
        <f aca="false">S228-$M$2</f>
        <v>-0.0613307416679731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0.131690979003906</v>
      </c>
      <c r="C229" s="25" t="n">
        <f aca="false">IF(T228&gt;0,D228,C228)</f>
        <v>0.1317138671875</v>
      </c>
      <c r="D229" s="41" t="n">
        <f aca="false">(B229+C229)/2</f>
        <v>0.131702423095703</v>
      </c>
      <c r="E229" s="15" t="n">
        <f aca="false">$C$2*(1+IF(E$3&lt;=$O$2,$D229,$D229-($D229-$I$211)*MIN(E$3-$O$2,$Q$2)/$Q$2))</f>
        <v>9234.69177246094</v>
      </c>
      <c r="F229" s="15" t="n">
        <f aca="false">E229*(1+IF(F$3&lt;=$O$2,$D229,$D229-($D229-$I$211)*MIN(F$3-$O$2,$Q$2)/$Q$2))</f>
        <v>10450.923055436</v>
      </c>
      <c r="G229" s="15" t="n">
        <f aca="false">F229*(1+IF(G$3&lt;=$O$2,$D229,$D229-($D229-$I$211)*MIN(G$3-$O$2,$Q$2)/$Q$2))</f>
        <v>11827.3349454237</v>
      </c>
      <c r="H229" s="15" t="n">
        <f aca="false">G229*(1+IF(H$3&lt;=$O$2,$D229,$D229-($D229-$I$211)*MIN(H$3-$O$2,$Q$2)/$Q$2))</f>
        <v>13385.0236165005</v>
      </c>
      <c r="I229" s="15" t="n">
        <f aca="false">H229*(1+IF(I$3&lt;=$O$2,$D229,$D229-($D229-$I$211)*MIN(I$3-$O$2,$Q$2)/$Q$2))</f>
        <v>15147.8636599868</v>
      </c>
      <c r="J229" s="15" t="n">
        <f aca="false">I229*(1+IF(J$3&lt;=$O$2,$D229,$D229-($D229-$I$211)*MIN(J$3-$O$2,$Q$2)/$Q$2))</f>
        <v>16814.4609836372</v>
      </c>
      <c r="K229" s="15" t="n">
        <f aca="false">J229*(1+IF(K$3&lt;=$O$2,$D229,$D229-($D229-$I$211)*MIN(K$3-$O$2,$Q$2)/$Q$2))</f>
        <v>18299.8749127606</v>
      </c>
      <c r="L229" s="15" t="n">
        <f aca="false">K229*(1+IF(L$3&lt;=$O$2,$D229,$D229-($D229-$I$211)*MIN(L$3-$O$2,$Q$2)/$Q$2))</f>
        <v>19519.7623113845</v>
      </c>
      <c r="M229" s="15" t="n">
        <f aca="false">L229*(1+IF(M$3&lt;=$O$2,$D229,$D229-($D229-$I$211)*MIN(M$3-$O$2,$Q$2)/$Q$2))</f>
        <v>20397.770679801</v>
      </c>
      <c r="N229" s="15" t="n">
        <f aca="false">M229*(1+IF(N$3&lt;=$O$2,$D229,$D229-($D229-$I$211)*MIN(N$3-$O$2,$Q$2)/$Q$2))</f>
        <v>20873.0387366404</v>
      </c>
      <c r="O229" s="15" t="n">
        <f aca="false">SUMPRODUCT(E229:N229,1/(1+$F$211)^$E$3:$N$3)*$E$2</f>
        <v>35537.4287780257</v>
      </c>
      <c r="P229" s="15" t="n">
        <f aca="false">N229*$E$2*(1+$I$211)/($F$211-$I$211)/(1+$F$211)^$N$3</f>
        <v>50957.3589782428</v>
      </c>
      <c r="Q229" s="15" t="n">
        <f aca="false">O229+P229</f>
        <v>86494.7877562685</v>
      </c>
      <c r="R229" s="15" t="n">
        <f aca="false">Q229-$G$2+$I$2</f>
        <v>80374.7877562685</v>
      </c>
      <c r="S229" s="42" t="n">
        <f aca="false">R229/$K$2</f>
        <v>464.111258553346</v>
      </c>
      <c r="T229" s="43" t="n">
        <f aca="false">S229-$M$2</f>
        <v>-0.0300972614131751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0.131702423095703</v>
      </c>
      <c r="C230" s="25" t="n">
        <f aca="false">IF(T229&gt;0,D229,C229)</f>
        <v>0.1317138671875</v>
      </c>
      <c r="D230" s="41" t="n">
        <f aca="false">(B230+C230)/2</f>
        <v>0.131708145141602</v>
      </c>
      <c r="E230" s="15" t="n">
        <f aca="false">$C$2*(1+IF(E$3&lt;=$O$2,$D230,$D230-($D230-$I$211)*MIN(E$3-$O$2,$Q$2)/$Q$2))</f>
        <v>9234.73846435547</v>
      </c>
      <c r="F230" s="15" t="n">
        <f aca="false">E230*(1+IF(F$3&lt;=$O$2,$D230,$D230-($D230-$I$211)*MIN(F$3-$O$2,$Q$2)/$Q$2))</f>
        <v>10451.0287383635</v>
      </c>
      <c r="G230" s="15" t="n">
        <f aca="false">F230*(1+IF(G$3&lt;=$O$2,$D230,$D230-($D230-$I$211)*MIN(G$3-$O$2,$Q$2)/$Q$2))</f>
        <v>11827.514348315</v>
      </c>
      <c r="H230" s="15" t="n">
        <f aca="false">G230*(1+IF(H$3&lt;=$O$2,$D230,$D230-($D230-$I$211)*MIN(H$3-$O$2,$Q$2)/$Q$2))</f>
        <v>13385.2943247672</v>
      </c>
      <c r="I230" s="15" t="n">
        <f aca="false">H230*(1+IF(I$3&lt;=$O$2,$D230,$D230-($D230-$I$211)*MIN(I$3-$O$2,$Q$2)/$Q$2))</f>
        <v>15148.2466124567</v>
      </c>
      <c r="J230" s="15" t="n">
        <f aca="false">I230*(1+IF(J$3&lt;=$O$2,$D230,$D230-($D230-$I$211)*MIN(J$3-$O$2,$Q$2)/$Q$2))</f>
        <v>16814.9554124501</v>
      </c>
      <c r="K230" s="15" t="n">
        <f aca="false">J230*(1+IF(K$3&lt;=$O$2,$D230,$D230-($D230-$I$211)*MIN(K$3-$O$2,$Q$2)/$Q$2))</f>
        <v>18300.4707497017</v>
      </c>
      <c r="L230" s="15" t="n">
        <f aca="false">K230*(1+IF(L$3&lt;=$O$2,$D230,$D230-($D230-$I$211)*MIN(L$3-$O$2,$Q$2)/$Q$2))</f>
        <v>19520.4397538471</v>
      </c>
      <c r="M230" s="15" t="n">
        <f aca="false">L230*(1+IF(M$3&lt;=$O$2,$D230,$D230-($D230-$I$211)*MIN(M$3-$O$2,$Q$2)/$Q$2))</f>
        <v>20398.5009333243</v>
      </c>
      <c r="N230" s="15" t="n">
        <f aca="false">M230*(1+IF(N$3&lt;=$O$2,$D230,$D230-($D230-$I$211)*MIN(N$3-$O$2,$Q$2)/$Q$2))</f>
        <v>20873.7860050707</v>
      </c>
      <c r="O230" s="15" t="n">
        <f aca="false">SUMPRODUCT(E230:N230,1/(1+$F$211)^$E$3:$N$3)*$E$2</f>
        <v>35538.309096238</v>
      </c>
      <c r="P230" s="15" t="n">
        <f aca="false">N230*$E$2*(1+$I$211)/($F$211-$I$211)/(1+$F$211)^$N$3</f>
        <v>50959.1832850023</v>
      </c>
      <c r="Q230" s="15" t="n">
        <f aca="false">O230+P230</f>
        <v>86497.4923812403</v>
      </c>
      <c r="R230" s="15" t="n">
        <f aca="false">Q230-$G$2+$I$2</f>
        <v>80377.4923812403</v>
      </c>
      <c r="S230" s="42" t="n">
        <f aca="false">R230/$K$2</f>
        <v>464.126875974364</v>
      </c>
      <c r="T230" s="43" t="n">
        <f aca="false">S230-$M$2</f>
        <v>-0.0144798403956656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0.131708145141602</v>
      </c>
      <c r="C231" s="25" t="n">
        <f aca="false">IF(T230&gt;0,D230,C230)</f>
        <v>0.1317138671875</v>
      </c>
      <c r="D231" s="41" t="n">
        <f aca="false">(B231+C231)/2</f>
        <v>0.131711006164551</v>
      </c>
      <c r="E231" s="15" t="n">
        <f aca="false">$C$2*(1+IF(E$3&lt;=$O$2,$D231,$D231-($D231-$I$211)*MIN(E$3-$O$2,$Q$2)/$Q$2))</f>
        <v>9234.76181030273</v>
      </c>
      <c r="F231" s="15" t="n">
        <f aca="false">E231*(1+IF(F$3&lt;=$O$2,$D231,$D231-($D231-$I$211)*MIN(F$3-$O$2,$Q$2)/$Q$2))</f>
        <v>10451.0815800277</v>
      </c>
      <c r="G231" s="15" t="n">
        <f aca="false">F231*(1+IF(G$3&lt;=$O$2,$D231,$D231-($D231-$I$211)*MIN(G$3-$O$2,$Q$2)/$Q$2))</f>
        <v>11827.6040504409</v>
      </c>
      <c r="H231" s="15" t="n">
        <f aca="false">G231*(1+IF(H$3&lt;=$O$2,$D231,$D231-($D231-$I$211)*MIN(H$3-$O$2,$Q$2)/$Q$2))</f>
        <v>13385.4296804404</v>
      </c>
      <c r="I231" s="15" t="n">
        <f aca="false">H231*(1+IF(I$3&lt;=$O$2,$D231,$D231-($D231-$I$211)*MIN(I$3-$O$2,$Q$2)/$Q$2))</f>
        <v>15148.4380915961</v>
      </c>
      <c r="J231" s="15" t="n">
        <f aca="false">I231*(1+IF(J$3&lt;=$O$2,$D231,$D231-($D231-$I$211)*MIN(J$3-$O$2,$Q$2)/$Q$2))</f>
        <v>16815.2026313953</v>
      </c>
      <c r="K231" s="15" t="n">
        <f aca="false">J231*(1+IF(K$3&lt;=$O$2,$D231,$D231-($D231-$I$211)*MIN(K$3-$O$2,$Q$2)/$Q$2))</f>
        <v>18300.7686743851</v>
      </c>
      <c r="L231" s="15" t="n">
        <f aca="false">K231*(1+IF(L$3&lt;=$O$2,$D231,$D231-($D231-$I$211)*MIN(L$3-$O$2,$Q$2)/$Q$2))</f>
        <v>19520.7784827281</v>
      </c>
      <c r="M231" s="15" t="n">
        <f aca="false">L231*(1+IF(M$3&lt;=$O$2,$D231,$D231-($D231-$I$211)*MIN(M$3-$O$2,$Q$2)/$Q$2))</f>
        <v>20398.8660686613</v>
      </c>
      <c r="N231" s="15" t="n">
        <f aca="false">M231*(1+IF(N$3&lt;=$O$2,$D231,$D231-($D231-$I$211)*MIN(N$3-$O$2,$Q$2)/$Q$2))</f>
        <v>20874.1596480611</v>
      </c>
      <c r="O231" s="15" t="n">
        <f aca="false">SUMPRODUCT(E231:N231,1/(1+$F$211)^$E$3:$N$3)*$E$2</f>
        <v>35538.7492634014</v>
      </c>
      <c r="P231" s="15" t="n">
        <f aca="false">N231*$E$2*(1+$I$211)/($F$211-$I$211)/(1+$F$211)^$N$3</f>
        <v>50960.0954598048</v>
      </c>
      <c r="Q231" s="15" t="n">
        <f aca="false">O231+P231</f>
        <v>86498.8447232062</v>
      </c>
      <c r="R231" s="15" t="n">
        <f aca="false">Q231-$G$2+$I$2</f>
        <v>80378.8447232062</v>
      </c>
      <c r="S231" s="42" t="n">
        <f aca="false">R231/$K$2</f>
        <v>464.1346848551</v>
      </c>
      <c r="T231" s="43" t="n">
        <f aca="false">S231-$M$2</f>
        <v>-0.00667095965923181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0.131711006164551</v>
      </c>
      <c r="C232" s="25" t="n">
        <f aca="false">IF(T231&gt;0,D231,C231)</f>
        <v>0.1317138671875</v>
      </c>
      <c r="D232" s="41" t="n">
        <f aca="false">(B232+C232)/2</f>
        <v>0.131712436676025</v>
      </c>
      <c r="E232" s="15" t="n">
        <f aca="false">$C$2*(1+IF(E$3&lt;=$O$2,$D232,$D232-($D232-$I$211)*MIN(E$3-$O$2,$Q$2)/$Q$2))</f>
        <v>9234.77348327637</v>
      </c>
      <c r="F232" s="15" t="n">
        <f aca="false">E232*(1+IF(F$3&lt;=$O$2,$D232,$D232-($D232-$I$211)*MIN(F$3-$O$2,$Q$2)/$Q$2))</f>
        <v>10451.1080009098</v>
      </c>
      <c r="G232" s="15" t="n">
        <f aca="false">F232*(1+IF(G$3&lt;=$O$2,$D232,$D232-($D232-$I$211)*MIN(G$3-$O$2,$Q$2)/$Q$2))</f>
        <v>11827.648901674</v>
      </c>
      <c r="H232" s="15" t="n">
        <f aca="false">G232*(1+IF(H$3&lt;=$O$2,$D232,$D232-($D232-$I$211)*MIN(H$3-$O$2,$Q$2)/$Q$2))</f>
        <v>13385.497358662</v>
      </c>
      <c r="I232" s="15" t="n">
        <f aca="false">H232*(1+IF(I$3&lt;=$O$2,$D232,$D232-($D232-$I$211)*MIN(I$3-$O$2,$Q$2)/$Q$2))</f>
        <v>15148.5338318919</v>
      </c>
      <c r="J232" s="15" t="n">
        <f aca="false">I232*(1+IF(J$3&lt;=$O$2,$D232,$D232-($D232-$I$211)*MIN(J$3-$O$2,$Q$2)/$Q$2))</f>
        <v>16815.3262420026</v>
      </c>
      <c r="K232" s="15" t="n">
        <f aca="false">J232*(1+IF(K$3&lt;=$O$2,$D232,$D232-($D232-$I$211)*MIN(K$3-$O$2,$Q$2)/$Q$2))</f>
        <v>18300.91763828</v>
      </c>
      <c r="L232" s="15" t="n">
        <f aca="false">K232*(1+IF(L$3&lt;=$O$2,$D232,$D232-($D232-$I$211)*MIN(L$3-$O$2,$Q$2)/$Q$2))</f>
        <v>19520.9478490812</v>
      </c>
      <c r="M232" s="15" t="n">
        <f aca="false">L232*(1+IF(M$3&lt;=$O$2,$D232,$D232-($D232-$I$211)*MIN(M$3-$O$2,$Q$2)/$Q$2))</f>
        <v>20399.0486384737</v>
      </c>
      <c r="N232" s="15" t="n">
        <f aca="false">M232*(1+IF(N$3&lt;=$O$2,$D232,$D232-($D232-$I$211)*MIN(N$3-$O$2,$Q$2)/$Q$2))</f>
        <v>20874.3464717501</v>
      </c>
      <c r="O232" s="15" t="n">
        <f aca="false">SUMPRODUCT(E232:N232,1/(1+$F$211)^$E$3:$N$3)*$E$2</f>
        <v>35538.9693489974</v>
      </c>
      <c r="P232" s="15" t="n">
        <f aca="false">N232*$E$2*(1+$I$211)/($F$211-$I$211)/(1+$F$211)^$N$3</f>
        <v>50960.551552562</v>
      </c>
      <c r="Q232" s="15" t="n">
        <f aca="false">O232+P232</f>
        <v>86499.5209015593</v>
      </c>
      <c r="R232" s="15" t="n">
        <f aca="false">Q232-$G$2+$I$2</f>
        <v>80379.5209015593</v>
      </c>
      <c r="S232" s="42" t="n">
        <f aca="false">R232/$K$2</f>
        <v>464.138589338026</v>
      </c>
      <c r="T232" s="43" t="n">
        <f aca="false">S232-$M$2</f>
        <v>-0.00276647673319985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0.131712436676025</v>
      </c>
      <c r="C233" s="25" t="n">
        <f aca="false">IF(T232&gt;0,D232,C232)</f>
        <v>0.1317138671875</v>
      </c>
      <c r="D233" s="41" t="n">
        <f aca="false">(B233+C233)/2</f>
        <v>0.131713151931763</v>
      </c>
      <c r="E233" s="15" t="n">
        <f aca="false">$C$2*(1+IF(E$3&lt;=$O$2,$D233,$D233-($D233-$I$211)*MIN(E$3-$O$2,$Q$2)/$Q$2))</f>
        <v>9234.77931976318</v>
      </c>
      <c r="F233" s="15" t="n">
        <f aca="false">E233*(1+IF(F$3&lt;=$O$2,$D233,$D233-($D233-$I$211)*MIN(F$3-$O$2,$Q$2)/$Q$2))</f>
        <v>10451.1212113635</v>
      </c>
      <c r="G233" s="15" t="n">
        <f aca="false">F233*(1+IF(G$3&lt;=$O$2,$D233,$D233-($D233-$I$211)*MIN(G$3-$O$2,$Q$2)/$Q$2))</f>
        <v>11827.671327333</v>
      </c>
      <c r="H233" s="15" t="n">
        <f aca="false">G233*(1+IF(H$3&lt;=$O$2,$D233,$D233-($D233-$I$211)*MIN(H$3-$O$2,$Q$2)/$Q$2))</f>
        <v>13385.531197869</v>
      </c>
      <c r="I233" s="15" t="n">
        <f aca="false">H233*(1+IF(I$3&lt;=$O$2,$D233,$D233-($D233-$I$211)*MIN(I$3-$O$2,$Q$2)/$Q$2))</f>
        <v>15148.5817022213</v>
      </c>
      <c r="J233" s="15" t="n">
        <f aca="false">I233*(1+IF(J$3&lt;=$O$2,$D233,$D233-($D233-$I$211)*MIN(J$3-$O$2,$Q$2)/$Q$2))</f>
        <v>16815.3880475899</v>
      </c>
      <c r="K233" s="15" t="n">
        <f aca="false">J233*(1+IF(K$3&lt;=$O$2,$D233,$D233-($D233-$I$211)*MIN(K$3-$O$2,$Q$2)/$Q$2))</f>
        <v>18300.9921206157</v>
      </c>
      <c r="L233" s="15" t="n">
        <f aca="false">K233*(1+IF(L$3&lt;=$O$2,$D233,$D233-($D233-$I$211)*MIN(L$3-$O$2,$Q$2)/$Q$2))</f>
        <v>19521.0325327358</v>
      </c>
      <c r="M233" s="15" t="n">
        <f aca="false">L233*(1+IF(M$3&lt;=$O$2,$D233,$D233-($D233-$I$211)*MIN(M$3-$O$2,$Q$2)/$Q$2))</f>
        <v>20399.1399239158</v>
      </c>
      <c r="N233" s="15" t="n">
        <f aca="false">M233*(1+IF(N$3&lt;=$O$2,$D233,$D233-($D233-$I$211)*MIN(N$3-$O$2,$Q$2)/$Q$2))</f>
        <v>20874.4398841431</v>
      </c>
      <c r="O233" s="15" t="n">
        <f aca="false">SUMPRODUCT(E233:N233,1/(1+$F$211)^$E$3:$N$3)*$E$2</f>
        <v>35539.079392299</v>
      </c>
      <c r="P233" s="15" t="n">
        <f aca="false">N233*$E$2*(1+$I$211)/($F$211-$I$211)/(1+$F$211)^$N$3</f>
        <v>50960.7796002795</v>
      </c>
      <c r="Q233" s="15" t="n">
        <f aca="false">O233+P233</f>
        <v>86499.8589925784</v>
      </c>
      <c r="R233" s="15" t="n">
        <f aca="false">Q233-$G$2+$I$2</f>
        <v>80379.8589925784</v>
      </c>
      <c r="S233" s="42" t="n">
        <f aca="false">R233/$K$2</f>
        <v>464.140541590128</v>
      </c>
      <c r="T233" s="43" t="n">
        <f aca="false">S233-$M$2</f>
        <v>-0.000814224630858007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0.131713151931763</v>
      </c>
      <c r="C234" s="25" t="n">
        <f aca="false">IF(T233&gt;0,D233,C233)</f>
        <v>0.1317138671875</v>
      </c>
      <c r="D234" s="41" t="n">
        <f aca="false">(B234+C234)/2</f>
        <v>0.131713509559631</v>
      </c>
      <c r="E234" s="15" t="n">
        <f aca="false">$C$2*(1+IF(E$3&lt;=$O$2,$D234,$D234-($D234-$I$211)*MIN(E$3-$O$2,$Q$2)/$Q$2))</f>
        <v>9234.78223800659</v>
      </c>
      <c r="F234" s="15" t="n">
        <f aca="false">E234*(1+IF(F$3&lt;=$O$2,$D234,$D234-($D234-$I$211)*MIN(F$3-$O$2,$Q$2)/$Q$2))</f>
        <v>10451.1278165934</v>
      </c>
      <c r="G234" s="15" t="n">
        <f aca="false">F234*(1+IF(G$3&lt;=$O$2,$D234,$D234-($D234-$I$211)*MIN(G$3-$O$2,$Q$2)/$Q$2))</f>
        <v>11827.6825401732</v>
      </c>
      <c r="H234" s="15" t="n">
        <f aca="false">G234*(1+IF(H$3&lt;=$O$2,$D234,$D234-($D234-$I$211)*MIN(H$3-$O$2,$Q$2)/$Q$2))</f>
        <v>13385.5481174966</v>
      </c>
      <c r="I234" s="15" t="n">
        <f aca="false">H234*(1+IF(I$3&lt;=$O$2,$D234,$D234-($D234-$I$211)*MIN(I$3-$O$2,$Q$2)/$Q$2))</f>
        <v>15148.6056374314</v>
      </c>
      <c r="J234" s="15" t="n">
        <f aca="false">I234*(1+IF(J$3&lt;=$O$2,$D234,$D234-($D234-$I$211)*MIN(J$3-$O$2,$Q$2)/$Q$2))</f>
        <v>16815.4189504545</v>
      </c>
      <c r="K234" s="15" t="n">
        <f aca="false">J234*(1+IF(K$3&lt;=$O$2,$D234,$D234-($D234-$I$211)*MIN(K$3-$O$2,$Q$2)/$Q$2))</f>
        <v>18301.0293618807</v>
      </c>
      <c r="L234" s="15" t="n">
        <f aca="false">K234*(1+IF(L$3&lt;=$O$2,$D234,$D234-($D234-$I$211)*MIN(L$3-$O$2,$Q$2)/$Q$2))</f>
        <v>19521.0748746827</v>
      </c>
      <c r="M234" s="15" t="n">
        <f aca="false">L234*(1+IF(M$3&lt;=$O$2,$D234,$D234-($D234-$I$211)*MIN(M$3-$O$2,$Q$2)/$Q$2))</f>
        <v>20399.1855667709</v>
      </c>
      <c r="N234" s="15" t="n">
        <f aca="false">M234*(1+IF(N$3&lt;=$O$2,$D234,$D234-($D234-$I$211)*MIN(N$3-$O$2,$Q$2)/$Q$2))</f>
        <v>20874.4865904767</v>
      </c>
      <c r="O234" s="15" t="n">
        <f aca="false">SUMPRODUCT(E234:N234,1/(1+$F$211)^$E$3:$N$3)*$E$2</f>
        <v>35539.1344140757</v>
      </c>
      <c r="P234" s="15" t="n">
        <f aca="false">N234*$E$2*(1+$I$211)/($F$211-$I$211)/(1+$F$211)^$N$3</f>
        <v>50960.893624473</v>
      </c>
      <c r="Q234" s="15" t="n">
        <f aca="false">O234+P234</f>
        <v>86500.0280385486</v>
      </c>
      <c r="R234" s="15" t="n">
        <f aca="false">Q234-$G$2+$I$2</f>
        <v>80380.0280385486</v>
      </c>
      <c r="S234" s="42" t="n">
        <f aca="false">R234/$K$2</f>
        <v>464.141517718839</v>
      </c>
      <c r="T234" s="43" t="n">
        <f aca="false">S234-$M$2</f>
        <v>0.000161904080130171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0.131713151931763</v>
      </c>
      <c r="C235" s="25" t="n">
        <f aca="false">IF(T234&gt;0,D234,C234)</f>
        <v>0.131713509559631</v>
      </c>
      <c r="D235" s="41" t="n">
        <f aca="false">(B235+C235)/2</f>
        <v>0.131713330745697</v>
      </c>
      <c r="E235" s="15" t="n">
        <f aca="false">$C$2*(1+IF(E$3&lt;=$O$2,$D235,$D235-($D235-$I$211)*MIN(E$3-$O$2,$Q$2)/$Q$2))</f>
        <v>9234.78077888489</v>
      </c>
      <c r="F235" s="15" t="n">
        <f aca="false">E235*(1+IF(F$3&lt;=$O$2,$D235,$D235-($D235-$I$211)*MIN(F$3-$O$2,$Q$2)/$Q$2))</f>
        <v>10451.1245139782</v>
      </c>
      <c r="G235" s="15" t="n">
        <f aca="false">F235*(1+IF(G$3&lt;=$O$2,$D235,$D235-($D235-$I$211)*MIN(G$3-$O$2,$Q$2)/$Q$2))</f>
        <v>11827.6769337522</v>
      </c>
      <c r="H235" s="15" t="n">
        <f aca="false">G235*(1+IF(H$3&lt;=$O$2,$D235,$D235-($D235-$I$211)*MIN(H$3-$O$2,$Q$2)/$Q$2))</f>
        <v>13385.5396576808</v>
      </c>
      <c r="I235" s="15" t="n">
        <f aca="false">H235*(1+IF(I$3&lt;=$O$2,$D235,$D235-($D235-$I$211)*MIN(I$3-$O$2,$Q$2)/$Q$2))</f>
        <v>15148.5936698225</v>
      </c>
      <c r="J235" s="15" t="n">
        <f aca="false">I235*(1+IF(J$3&lt;=$O$2,$D235,$D235-($D235-$I$211)*MIN(J$3-$O$2,$Q$2)/$Q$2))</f>
        <v>16815.4034990163</v>
      </c>
      <c r="K235" s="15" t="n">
        <f aca="false">J235*(1+IF(K$3&lt;=$O$2,$D235,$D235-($D235-$I$211)*MIN(K$3-$O$2,$Q$2)/$Q$2))</f>
        <v>18301.0107412401</v>
      </c>
      <c r="L235" s="15" t="n">
        <f aca="false">K235*(1+IF(L$3&lt;=$O$2,$D235,$D235-($D235-$I$211)*MIN(L$3-$O$2,$Q$2)/$Q$2))</f>
        <v>19521.0537036993</v>
      </c>
      <c r="M235" s="15" t="n">
        <f aca="false">L235*(1+IF(M$3&lt;=$O$2,$D235,$D235-($D235-$I$211)*MIN(M$3-$O$2,$Q$2)/$Q$2))</f>
        <v>20399.1627453322</v>
      </c>
      <c r="N235" s="15" t="n">
        <f aca="false">M235*(1+IF(N$3&lt;=$O$2,$D235,$D235-($D235-$I$211)*MIN(N$3-$O$2,$Q$2)/$Q$2))</f>
        <v>20874.4632372984</v>
      </c>
      <c r="O235" s="15" t="n">
        <f aca="false">SUMPRODUCT(E235:N235,1/(1+$F$211)^$E$3:$N$3)*$E$2</f>
        <v>35539.1069031768</v>
      </c>
      <c r="P235" s="15" t="n">
        <f aca="false">N235*$E$2*(1+$I$211)/($F$211-$I$211)/(1+$F$211)^$N$3</f>
        <v>50960.8366123483</v>
      </c>
      <c r="Q235" s="15" t="n">
        <f aca="false">O235+P235</f>
        <v>86499.9435155251</v>
      </c>
      <c r="R235" s="15" t="n">
        <f aca="false">Q235-$G$2+$I$2</f>
        <v>80379.9435155251</v>
      </c>
      <c r="S235" s="42" t="n">
        <f aca="false">R235/$K$2</f>
        <v>464.141029654262</v>
      </c>
      <c r="T235" s="43" t="n">
        <f aca="false">S235-$M$2</f>
        <v>-0.000326160496967987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0.131713330745697</v>
      </c>
      <c r="C236" s="25" t="n">
        <f aca="false">IF(T235&gt;0,D235,C235)</f>
        <v>0.131713509559631</v>
      </c>
      <c r="D236" s="41" t="n">
        <f aca="false">(B236+C236)/2</f>
        <v>0.131713420152664</v>
      </c>
      <c r="E236" s="15" t="n">
        <f aca="false">$C$2*(1+IF(E$3&lt;=$O$2,$D236,$D236-($D236-$I$211)*MIN(E$3-$O$2,$Q$2)/$Q$2))</f>
        <v>9234.78150844574</v>
      </c>
      <c r="F236" s="15" t="n">
        <f aca="false">E236*(1+IF(F$3&lt;=$O$2,$D236,$D236-($D236-$I$211)*MIN(F$3-$O$2,$Q$2)/$Q$2))</f>
        <v>10451.1261652857</v>
      </c>
      <c r="G236" s="15" t="n">
        <f aca="false">F236*(1+IF(G$3&lt;=$O$2,$D236,$D236-($D236-$I$211)*MIN(G$3-$O$2,$Q$2)/$Q$2))</f>
        <v>11827.6797369625</v>
      </c>
      <c r="H236" s="15" t="n">
        <f aca="false">G236*(1+IF(H$3&lt;=$O$2,$D236,$D236-($D236-$I$211)*MIN(H$3-$O$2,$Q$2)/$Q$2))</f>
        <v>13385.5438875882</v>
      </c>
      <c r="I236" s="15" t="n">
        <f aca="false">H236*(1+IF(I$3&lt;=$O$2,$D236,$D236-($D236-$I$211)*MIN(I$3-$O$2,$Q$2)/$Q$2))</f>
        <v>15148.599653626</v>
      </c>
      <c r="J236" s="15" t="n">
        <f aca="false">I236*(1+IF(J$3&lt;=$O$2,$D236,$D236-($D236-$I$211)*MIN(J$3-$O$2,$Q$2)/$Q$2))</f>
        <v>16815.4112247339</v>
      </c>
      <c r="K236" s="15" t="n">
        <f aca="false">J236*(1+IF(K$3&lt;=$O$2,$D236,$D236-($D236-$I$211)*MIN(K$3-$O$2,$Q$2)/$Q$2))</f>
        <v>18301.0200515584</v>
      </c>
      <c r="L236" s="15" t="n">
        <f aca="false">K236*(1+IF(L$3&lt;=$O$2,$D236,$D236-($D236-$I$211)*MIN(L$3-$O$2,$Q$2)/$Q$2))</f>
        <v>19521.0642891885</v>
      </c>
      <c r="M236" s="15" t="n">
        <f aca="false">L236*(1+IF(M$3&lt;=$O$2,$D236,$D236-($D236-$I$211)*MIN(M$3-$O$2,$Q$2)/$Q$2))</f>
        <v>20399.1741560487</v>
      </c>
      <c r="N236" s="15" t="n">
        <f aca="false">M236*(1+IF(N$3&lt;=$O$2,$D236,$D236-($D236-$I$211)*MIN(N$3-$O$2,$Q$2)/$Q$2))</f>
        <v>20874.4749138847</v>
      </c>
      <c r="O236" s="15" t="n">
        <f aca="false">SUMPRODUCT(E236:N236,1/(1+$F$211)^$E$3:$N$3)*$E$2</f>
        <v>35539.1206586236</v>
      </c>
      <c r="P236" s="15" t="n">
        <f aca="false">N236*$E$2*(1+$I$211)/($F$211-$I$211)/(1+$F$211)^$N$3</f>
        <v>50960.8651184036</v>
      </c>
      <c r="Q236" s="15" t="n">
        <f aca="false">O236+P236</f>
        <v>86499.9857770272</v>
      </c>
      <c r="R236" s="15" t="n">
        <f aca="false">Q236-$G$2+$I$2</f>
        <v>80379.9857770272</v>
      </c>
      <c r="S236" s="42" t="n">
        <f aca="false">R236/$K$2</f>
        <v>464.141273686495</v>
      </c>
      <c r="T236" s="43" t="n">
        <f aca="false">S236-$M$2</f>
        <v>-8.2128264068615E-005</v>
      </c>
    </row>
    <row r="238" customFormat="false" ht="15" hidden="false" customHeight="false" outlineLevel="0" collapsed="false">
      <c r="A238" s="38" t="s">
        <v>189</v>
      </c>
      <c r="E238" s="5" t="s">
        <v>11</v>
      </c>
      <c r="F238" s="12" t="n">
        <f aca="false">Sensitivity!$B$11</f>
        <v>0.0903160519233867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162</v>
      </c>
      <c r="B239" s="28" t="s">
        <v>163</v>
      </c>
      <c r="C239" s="28" t="s">
        <v>164</v>
      </c>
      <c r="D239" s="28" t="s">
        <v>165</v>
      </c>
      <c r="E239" s="28" t="s">
        <v>166</v>
      </c>
      <c r="F239" s="28" t="s">
        <v>167</v>
      </c>
      <c r="G239" s="28" t="s">
        <v>168</v>
      </c>
      <c r="H239" s="28" t="s">
        <v>169</v>
      </c>
      <c r="I239" s="28" t="s">
        <v>170</v>
      </c>
      <c r="J239" s="28" t="s">
        <v>171</v>
      </c>
      <c r="K239" s="28" t="s">
        <v>172</v>
      </c>
      <c r="L239" s="28" t="s">
        <v>173</v>
      </c>
      <c r="M239" s="28" t="s">
        <v>174</v>
      </c>
      <c r="N239" s="28" t="s">
        <v>175</v>
      </c>
      <c r="O239" s="28" t="s">
        <v>176</v>
      </c>
      <c r="P239" s="28" t="s">
        <v>177</v>
      </c>
      <c r="Q239" s="28" t="s">
        <v>178</v>
      </c>
      <c r="R239" s="28" t="s">
        <v>179</v>
      </c>
      <c r="S239" s="28" t="s">
        <v>180</v>
      </c>
      <c r="T239" s="28" t="s">
        <v>181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10200</v>
      </c>
      <c r="F240" s="15" t="n">
        <f aca="false">E240*(1+IF(F$3&lt;=$O$2,$D240,$D240-($D240-$I$238)*MIN(F$3-$O$2,$Q$2)/$Q$2))</f>
        <v>12750</v>
      </c>
      <c r="G240" s="15" t="n">
        <f aca="false">F240*(1+IF(G$3&lt;=$O$2,$D240,$D240-($D240-$I$238)*MIN(G$3-$O$2,$Q$2)/$Q$2))</f>
        <v>15937.5</v>
      </c>
      <c r="H240" s="15" t="n">
        <f aca="false">G240*(1+IF(H$3&lt;=$O$2,$D240,$D240-($D240-$I$238)*MIN(H$3-$O$2,$Q$2)/$Q$2))</f>
        <v>19921.875</v>
      </c>
      <c r="I240" s="15" t="n">
        <f aca="false">H240*(1+IF(I$3&lt;=$O$2,$D240,$D240-($D240-$I$238)*MIN(I$3-$O$2,$Q$2)/$Q$2))</f>
        <v>24902.34375</v>
      </c>
      <c r="J240" s="15" t="n">
        <f aca="false">I240*(1+IF(J$3&lt;=$O$2,$D240,$D240-($D240-$I$238)*MIN(J$3-$O$2,$Q$2)/$Q$2))</f>
        <v>30023.759765625</v>
      </c>
      <c r="K240" s="15" t="n">
        <f aca="false">J240*(1+IF(K$3&lt;=$O$2,$D240,$D240-($D240-$I$238)*MIN(K$3-$O$2,$Q$2)/$Q$2))</f>
        <v>34867.1926910156</v>
      </c>
      <c r="L240" s="15" t="n">
        <f aca="false">K240*(1+IF(L$3&lt;=$O$2,$D240,$D240-($D240-$I$238)*MIN(L$3-$O$2,$Q$2)/$Q$2))</f>
        <v>38945.9568920106</v>
      </c>
      <c r="M240" s="15" t="n">
        <f aca="false">L240*(1+IF(M$3&lt;=$O$2,$D240,$D240-($D240-$I$238)*MIN(M$3-$O$2,$Q$2)/$Q$2))</f>
        <v>41774.9912006463</v>
      </c>
      <c r="N240" s="15" t="n">
        <f aca="false">M240*(1+IF(N$3&lt;=$O$2,$D240,$D240-($D240-$I$238)*MIN(N$3-$O$2,$Q$2)/$Q$2))</f>
        <v>42957.2234516246</v>
      </c>
      <c r="O240" s="15" t="n">
        <f aca="false">SUMPRODUCT(E240:N240,1/(1+$F$238)^$E$3:$N$3)*$E$2</f>
        <v>59337.6529786219</v>
      </c>
      <c r="P240" s="15" t="n">
        <f aca="false">N240*$E$2*(1+$I$238)/($F$238-$I$238)/(1+$F$238)^$N$3</f>
        <v>113880.409728721</v>
      </c>
      <c r="Q240" s="15" t="n">
        <f aca="false">O240+P240</f>
        <v>173218.062707343</v>
      </c>
      <c r="R240" s="15" t="n">
        <f aca="false">Q240-$G$2+$I$2</f>
        <v>167098.062707343</v>
      </c>
      <c r="S240" s="42" t="n">
        <f aca="false">R240/$K$2</f>
        <v>964.880833279497</v>
      </c>
      <c r="T240" s="43" t="n">
        <f aca="false">S240-$M$2</f>
        <v>500.739477464738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7140</v>
      </c>
      <c r="F241" s="15" t="n">
        <f aca="false">E241*(1+IF(F$3&lt;=$O$2,$D241,$D241-($D241-$I$238)*MIN(F$3-$O$2,$Q$2)/$Q$2))</f>
        <v>6247.5</v>
      </c>
      <c r="G241" s="15" t="n">
        <f aca="false">F241*(1+IF(G$3&lt;=$O$2,$D241,$D241-($D241-$I$238)*MIN(G$3-$O$2,$Q$2)/$Q$2))</f>
        <v>5466.5625</v>
      </c>
      <c r="H241" s="15" t="n">
        <f aca="false">G241*(1+IF(H$3&lt;=$O$2,$D241,$D241-($D241-$I$238)*MIN(H$3-$O$2,$Q$2)/$Q$2))</f>
        <v>4783.2421875</v>
      </c>
      <c r="I241" s="15" t="n">
        <f aca="false">H241*(1+IF(I$3&lt;=$O$2,$D241,$D241-($D241-$I$238)*MIN(I$3-$O$2,$Q$2)/$Q$2))</f>
        <v>4185.3369140625</v>
      </c>
      <c r="J241" s="15" t="n">
        <f aca="false">I241*(1+IF(J$3&lt;=$O$2,$D241,$D241-($D241-$I$238)*MIN(J$3-$O$2,$Q$2)/$Q$2))</f>
        <v>3790.49222958984</v>
      </c>
      <c r="K241" s="15" t="n">
        <f aca="false">J241*(1+IF(K$3&lt;=$O$2,$D241,$D241-($D241-$I$238)*MIN(K$3-$O$2,$Q$2)/$Q$2))</f>
        <v>3549.11368440956</v>
      </c>
      <c r="L241" s="15" t="n">
        <f aca="false">K241*(1+IF(L$3&lt;=$O$2,$D241,$D241-($D241-$I$238)*MIN(L$3-$O$2,$Q$2)/$Q$2))</f>
        <v>3431.92195055036</v>
      </c>
      <c r="M241" s="15" t="n">
        <f aca="false">L241*(1+IF(M$3&lt;=$O$2,$D241,$D241-($D241-$I$238)*MIN(M$3-$O$2,$Q$2)/$Q$2))</f>
        <v>3423.82261474706</v>
      </c>
      <c r="N241" s="15" t="n">
        <f aca="false">M241*(1+IF(N$3&lt;=$O$2,$D241,$D241-($D241-$I$238)*MIN(N$3-$O$2,$Q$2)/$Q$2))</f>
        <v>3520.7167947444</v>
      </c>
      <c r="O241" s="15" t="n">
        <f aca="false">SUMPRODUCT(E241:N241,1/(1+$F$238)^$E$3:$N$3)*$E$2</f>
        <v>11801.4956949117</v>
      </c>
      <c r="P241" s="15" t="n">
        <f aca="false">N241*$E$2*(1+$I$238)/($F$238-$I$238)/(1+$F$238)^$N$3</f>
        <v>9333.48663876739</v>
      </c>
      <c r="Q241" s="15" t="n">
        <f aca="false">O241+P241</f>
        <v>21134.9823336791</v>
      </c>
      <c r="R241" s="15" t="n">
        <f aca="false">Q241-$G$2+$I$2</f>
        <v>15014.9823336791</v>
      </c>
      <c r="S241" s="42" t="n">
        <f aca="false">R241/$K$2</f>
        <v>86.7015956442952</v>
      </c>
      <c r="T241" s="43" t="n">
        <f aca="false">S241-$M$2</f>
        <v>-377.439760170464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8670</v>
      </c>
      <c r="F242" s="15" t="n">
        <f aca="false">E242*(1+IF(F$3&lt;=$O$2,$D242,$D242-($D242-$I$238)*MIN(F$3-$O$2,$Q$2)/$Q$2))</f>
        <v>9211.875</v>
      </c>
      <c r="G242" s="15" t="n">
        <f aca="false">F242*(1+IF(G$3&lt;=$O$2,$D242,$D242-($D242-$I$238)*MIN(G$3-$O$2,$Q$2)/$Q$2))</f>
        <v>9787.6171875</v>
      </c>
      <c r="H242" s="15" t="n">
        <f aca="false">G242*(1+IF(H$3&lt;=$O$2,$D242,$D242-($D242-$I$238)*MIN(H$3-$O$2,$Q$2)/$Q$2))</f>
        <v>10399.3432617188</v>
      </c>
      <c r="I242" s="15" t="n">
        <f aca="false">H242*(1+IF(I$3&lt;=$O$2,$D242,$D242-($D242-$I$238)*MIN(I$3-$O$2,$Q$2)/$Q$2))</f>
        <v>11049.3022155762</v>
      </c>
      <c r="J242" s="15" t="n">
        <f aca="false">I242*(1+IF(J$3&lt;=$O$2,$D242,$D242-($D242-$I$238)*MIN(J$3-$O$2,$Q$2)/$Q$2))</f>
        <v>11664.3063768951</v>
      </c>
      <c r="K242" s="15" t="n">
        <f aca="false">J242*(1+IF(K$3&lt;=$O$2,$D242,$D242-($D242-$I$238)*MIN(K$3-$O$2,$Q$2)/$Q$2))</f>
        <v>12233.7578142152</v>
      </c>
      <c r="L242" s="15" t="n">
        <f aca="false">K242*(1+IF(L$3&lt;=$O$2,$D242,$D242-($D242-$I$238)*MIN(L$3-$O$2,$Q$2)/$Q$2))</f>
        <v>12747.3309672559</v>
      </c>
      <c r="M242" s="15" t="n">
        <f aca="false">L242*(1+IF(M$3&lt;=$O$2,$D242,$D242-($D242-$I$238)*MIN(M$3-$O$2,$Q$2)/$Q$2))</f>
        <v>13195.2721774453</v>
      </c>
      <c r="N242" s="15" t="n">
        <f aca="false">M242*(1+IF(N$3&lt;=$O$2,$D242,$D242-($D242-$I$238)*MIN(N$3-$O$2,$Q$2)/$Q$2))</f>
        <v>13568.698380067</v>
      </c>
      <c r="O242" s="15" t="n">
        <f aca="false">SUMPRODUCT(E242:N242,1/(1+$F$238)^$E$3:$N$3)*$E$2</f>
        <v>26404.8472895962</v>
      </c>
      <c r="P242" s="15" t="n">
        <f aca="false">N242*$E$2*(1+$I$238)/($F$238-$I$238)/(1+$F$238)^$N$3</f>
        <v>35970.8753697169</v>
      </c>
      <c r="Q242" s="15" t="n">
        <f aca="false">O242+P242</f>
        <v>62375.7226593131</v>
      </c>
      <c r="R242" s="15" t="n">
        <f aca="false">Q242-$G$2+$I$2</f>
        <v>56255.7226593131</v>
      </c>
      <c r="S242" s="42" t="n">
        <f aca="false">R242/$K$2</f>
        <v>324.839604222849</v>
      </c>
      <c r="T242" s="43" t="n">
        <f aca="false">S242-$M$2</f>
        <v>-139.30175159191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0.0625</v>
      </c>
      <c r="C243" s="25" t="n">
        <f aca="false">IF(T242&gt;0,D242,C242)</f>
        <v>0.25</v>
      </c>
      <c r="D243" s="41" t="n">
        <f aca="false">(B243+C243)/2</f>
        <v>0.15625</v>
      </c>
      <c r="E243" s="15" t="n">
        <f aca="false">$C$2*(1+IF(E$3&lt;=$O$2,$D243,$D243-($D243-$I$238)*MIN(E$3-$O$2,$Q$2)/$Q$2))</f>
        <v>9435</v>
      </c>
      <c r="F243" s="15" t="n">
        <f aca="false">E243*(1+IF(F$3&lt;=$O$2,$D243,$D243-($D243-$I$238)*MIN(F$3-$O$2,$Q$2)/$Q$2))</f>
        <v>10909.21875</v>
      </c>
      <c r="G243" s="15" t="n">
        <f aca="false">F243*(1+IF(G$3&lt;=$O$2,$D243,$D243-($D243-$I$238)*MIN(G$3-$O$2,$Q$2)/$Q$2))</f>
        <v>12613.7841796875</v>
      </c>
      <c r="H243" s="15" t="n">
        <f aca="false">G243*(1+IF(H$3&lt;=$O$2,$D243,$D243-($D243-$I$238)*MIN(H$3-$O$2,$Q$2)/$Q$2))</f>
        <v>14584.6879577637</v>
      </c>
      <c r="I243" s="15" t="n">
        <f aca="false">H243*(1+IF(I$3&lt;=$O$2,$D243,$D243-($D243-$I$238)*MIN(I$3-$O$2,$Q$2)/$Q$2))</f>
        <v>16863.5454511642</v>
      </c>
      <c r="J243" s="15" t="n">
        <f aca="false">I243*(1+IF(J$3&lt;=$O$2,$D243,$D243-($D243-$I$238)*MIN(J$3-$O$2,$Q$2)/$Q$2))</f>
        <v>19066.9362998134</v>
      </c>
      <c r="K243" s="15" t="n">
        <f aca="false">J243*(1+IF(K$3&lt;=$O$2,$D243,$D243-($D243-$I$238)*MIN(K$3-$O$2,$Q$2)/$Q$2))</f>
        <v>21070.2992968348</v>
      </c>
      <c r="L243" s="15" t="n">
        <f aca="false">K243*(1+IF(L$3&lt;=$O$2,$D243,$D243-($D243-$I$238)*MIN(L$3-$O$2,$Q$2)/$Q$2))</f>
        <v>22744.9666849472</v>
      </c>
      <c r="M243" s="15" t="n">
        <f aca="false">L243*(1+IF(M$3&lt;=$O$2,$D243,$D243-($D243-$I$238)*MIN(M$3-$O$2,$Q$2)/$Q$2))</f>
        <v>23970.692939599</v>
      </c>
      <c r="N243" s="15" t="n">
        <f aca="false">M243*(1+IF(N$3&lt;=$O$2,$D243,$D243-($D243-$I$238)*MIN(N$3-$O$2,$Q$2)/$Q$2))</f>
        <v>24649.0635497896</v>
      </c>
      <c r="O243" s="15" t="n">
        <f aca="false">SUMPRODUCT(E243:N243,1/(1+$F$238)^$E$3:$N$3)*$E$2</f>
        <v>39651.3319225168</v>
      </c>
      <c r="P243" s="15" t="n">
        <f aca="false">N243*$E$2*(1+$I$238)/($F$238-$I$238)/(1+$F$238)^$N$3</f>
        <v>65345.1324581169</v>
      </c>
      <c r="Q243" s="15" t="n">
        <f aca="false">O243+P243</f>
        <v>104996.464380634</v>
      </c>
      <c r="R243" s="15" t="n">
        <f aca="false">Q243-$G$2+$I$2</f>
        <v>98876.4643806337</v>
      </c>
      <c r="S243" s="42" t="n">
        <f aca="false">R243/$K$2</f>
        <v>570.946208457291</v>
      </c>
      <c r="T243" s="43" t="n">
        <f aca="false">S243-$M$2</f>
        <v>106.804852642532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0.0625</v>
      </c>
      <c r="C244" s="25" t="n">
        <f aca="false">IF(T243&gt;0,D243,C243)</f>
        <v>0.15625</v>
      </c>
      <c r="D244" s="41" t="n">
        <f aca="false">(B244+C244)/2</f>
        <v>0.109375</v>
      </c>
      <c r="E244" s="15" t="n">
        <f aca="false">$C$2*(1+IF(E$3&lt;=$O$2,$D244,$D244-($D244-$I$238)*MIN(E$3-$O$2,$Q$2)/$Q$2))</f>
        <v>9052.5</v>
      </c>
      <c r="F244" s="15" t="n">
        <f aca="false">E244*(1+IF(F$3&lt;=$O$2,$D244,$D244-($D244-$I$238)*MIN(F$3-$O$2,$Q$2)/$Q$2))</f>
        <v>10042.6171875</v>
      </c>
      <c r="G244" s="15" t="n">
        <f aca="false">F244*(1+IF(G$3&lt;=$O$2,$D244,$D244-($D244-$I$238)*MIN(G$3-$O$2,$Q$2)/$Q$2))</f>
        <v>11141.0284423828</v>
      </c>
      <c r="H244" s="15" t="n">
        <f aca="false">G244*(1+IF(H$3&lt;=$O$2,$D244,$D244-($D244-$I$238)*MIN(H$3-$O$2,$Q$2)/$Q$2))</f>
        <v>12359.5784282684</v>
      </c>
      <c r="I244" s="15" t="n">
        <f aca="false">H244*(1+IF(I$3&lt;=$O$2,$D244,$D244-($D244-$I$238)*MIN(I$3-$O$2,$Q$2)/$Q$2))</f>
        <v>13711.4073188603</v>
      </c>
      <c r="J244" s="15" t="n">
        <f aca="false">I244*(1+IF(J$3&lt;=$O$2,$D244,$D244-($D244-$I$238)*MIN(J$3-$O$2,$Q$2)/$Q$2))</f>
        <v>14988.7620246853</v>
      </c>
      <c r="K244" s="15" t="n">
        <f aca="false">J244*(1+IF(K$3&lt;=$O$2,$D244,$D244-($D244-$I$238)*MIN(K$3-$O$2,$Q$2)/$Q$2))</f>
        <v>16142.0723186747</v>
      </c>
      <c r="L244" s="15" t="n">
        <f aca="false">K244*(1+IF(L$3&lt;=$O$2,$D244,$D244-($D244-$I$238)*MIN(L$3-$O$2,$Q$2)/$Q$2))</f>
        <v>17122.3803705878</v>
      </c>
      <c r="M244" s="15" t="n">
        <f aca="false">L244*(1+IF(M$3&lt;=$O$2,$D244,$D244-($D244-$I$238)*MIN(M$3-$O$2,$Q$2)/$Q$2))</f>
        <v>17884.5831327846</v>
      </c>
      <c r="N244" s="15" t="n">
        <f aca="false">M244*(1+IF(N$3&lt;=$O$2,$D244,$D244-($D244-$I$238)*MIN(N$3-$O$2,$Q$2)/$Q$2))</f>
        <v>18390.7168354424</v>
      </c>
      <c r="O244" s="15" t="n">
        <f aca="false">SUMPRODUCT(E244:N244,1/(1+$F$238)^$E$3:$N$3)*$E$2</f>
        <v>32363.0029709706</v>
      </c>
      <c r="P244" s="15" t="n">
        <f aca="false">N244*$E$2*(1+$I$238)/($F$238-$I$238)/(1+$F$238)^$N$3</f>
        <v>48754.1372589775</v>
      </c>
      <c r="Q244" s="15" t="n">
        <f aca="false">O244+P244</f>
        <v>81117.1402299481</v>
      </c>
      <c r="R244" s="15" t="n">
        <f aca="false">Q244-$G$2+$I$2</f>
        <v>74997.1402299481</v>
      </c>
      <c r="S244" s="42" t="n">
        <f aca="false">R244/$K$2</f>
        <v>433.058899583948</v>
      </c>
      <c r="T244" s="43" t="n">
        <f aca="false">S244-$M$2</f>
        <v>-31.0824562308113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0.109375</v>
      </c>
      <c r="C245" s="25" t="n">
        <f aca="false">IF(T244&gt;0,D244,C244)</f>
        <v>0.15625</v>
      </c>
      <c r="D245" s="41" t="n">
        <f aca="false">(B245+C245)/2</f>
        <v>0.1328125</v>
      </c>
      <c r="E245" s="15" t="n">
        <f aca="false">$C$2*(1+IF(E$3&lt;=$O$2,$D245,$D245-($D245-$I$238)*MIN(E$3-$O$2,$Q$2)/$Q$2))</f>
        <v>9243.75</v>
      </c>
      <c r="F245" s="15" t="n">
        <f aca="false">E245*(1+IF(F$3&lt;=$O$2,$D245,$D245-($D245-$I$238)*MIN(F$3-$O$2,$Q$2)/$Q$2))</f>
        <v>10471.435546875</v>
      </c>
      <c r="G245" s="15" t="n">
        <f aca="false">F245*(1+IF(G$3&lt;=$O$2,$D245,$D245-($D245-$I$238)*MIN(G$3-$O$2,$Q$2)/$Q$2))</f>
        <v>11862.1730804443</v>
      </c>
      <c r="H245" s="15" t="n">
        <f aca="false">G245*(1+IF(H$3&lt;=$O$2,$D245,$D245-($D245-$I$238)*MIN(H$3-$O$2,$Q$2)/$Q$2))</f>
        <v>13437.6179426909</v>
      </c>
      <c r="I245" s="15" t="n">
        <f aca="false">H245*(1+IF(I$3&lt;=$O$2,$D245,$D245-($D245-$I$238)*MIN(I$3-$O$2,$Q$2)/$Q$2))</f>
        <v>15222.3015757045</v>
      </c>
      <c r="J245" s="15" t="n">
        <f aca="false">I245*(1+IF(J$3&lt;=$O$2,$D245,$D245-($D245-$I$238)*MIN(J$3-$O$2,$Q$2)/$Q$2))</f>
        <v>16925.8293450416</v>
      </c>
      <c r="K245" s="15" t="n">
        <f aca="false">J245*(1+IF(K$3&lt;=$O$2,$D245,$D245-($D245-$I$238)*MIN(K$3-$O$2,$Q$2)/$Q$2))</f>
        <v>18466.2067591604</v>
      </c>
      <c r="L245" s="15" t="n">
        <f aca="false">K245*(1+IF(L$3&lt;=$O$2,$D245,$D245-($D245-$I$238)*MIN(L$3-$O$2,$Q$2)/$Q$2))</f>
        <v>19760.7801840114</v>
      </c>
      <c r="M245" s="15" t="n">
        <f aca="false">L245*(1+IF(M$3&lt;=$O$2,$D245,$D245-($D245-$I$238)*MIN(M$3-$O$2,$Q$2)/$Q$2))</f>
        <v>20733.0599710152</v>
      </c>
      <c r="N245" s="15" t="n">
        <f aca="false">M245*(1+IF(N$3&lt;=$O$2,$D245,$D245-($D245-$I$238)*MIN(N$3-$O$2,$Q$2)/$Q$2))</f>
        <v>21319.8055681949</v>
      </c>
      <c r="O245" s="15" t="n">
        <f aca="false">SUMPRODUCT(E245:N245,1/(1+$F$238)^$E$3:$N$3)*$E$2</f>
        <v>35825.1191576045</v>
      </c>
      <c r="P245" s="15" t="n">
        <f aca="false">N245*$E$2*(1+$I$238)/($F$238-$I$238)/(1+$F$238)^$N$3</f>
        <v>56519.2067447482</v>
      </c>
      <c r="Q245" s="15" t="n">
        <f aca="false">O245+P245</f>
        <v>92344.3259023527</v>
      </c>
      <c r="R245" s="15" t="n">
        <f aca="false">Q245-$G$2+$I$2</f>
        <v>86224.3259023527</v>
      </c>
      <c r="S245" s="42" t="n">
        <f aca="false">R245/$K$2</f>
        <v>497.88847385583</v>
      </c>
      <c r="T245" s="43" t="n">
        <f aca="false">S245-$M$2</f>
        <v>33.7471180410711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0.109375</v>
      </c>
      <c r="C246" s="25" t="n">
        <f aca="false">IF(T245&gt;0,D245,C245)</f>
        <v>0.1328125</v>
      </c>
      <c r="D246" s="41" t="n">
        <f aca="false">(B246+C246)/2</f>
        <v>0.12109375</v>
      </c>
      <c r="E246" s="15" t="n">
        <f aca="false">$C$2*(1+IF(E$3&lt;=$O$2,$D246,$D246-($D246-$I$238)*MIN(E$3-$O$2,$Q$2)/$Q$2))</f>
        <v>9148.125</v>
      </c>
      <c r="F246" s="15" t="n">
        <f aca="false">E246*(1+IF(F$3&lt;=$O$2,$D246,$D246-($D246-$I$238)*MIN(F$3-$O$2,$Q$2)/$Q$2))</f>
        <v>10255.9057617188</v>
      </c>
      <c r="G246" s="15" t="n">
        <f aca="false">F246*(1+IF(G$3&lt;=$O$2,$D246,$D246-($D246-$I$238)*MIN(G$3-$O$2,$Q$2)/$Q$2))</f>
        <v>11497.8318500519</v>
      </c>
      <c r="H246" s="15" t="n">
        <f aca="false">G246*(1+IF(H$3&lt;=$O$2,$D246,$D246-($D246-$I$238)*MIN(H$3-$O$2,$Q$2)/$Q$2))</f>
        <v>12890.1474256441</v>
      </c>
      <c r="I246" s="15" t="n">
        <f aca="false">H246*(1+IF(I$3&lt;=$O$2,$D246,$D246-($D246-$I$238)*MIN(I$3-$O$2,$Q$2)/$Q$2))</f>
        <v>14451.0637154682</v>
      </c>
      <c r="J246" s="15" t="n">
        <f aca="false">I246*(1+IF(J$3&lt;=$O$2,$D246,$D246-($D246-$I$238)*MIN(J$3-$O$2,$Q$2)/$Q$2))</f>
        <v>15932.8035335337</v>
      </c>
      <c r="K246" s="15" t="n">
        <f aca="false">J246*(1+IF(K$3&lt;=$O$2,$D246,$D246-($D246-$I$238)*MIN(K$3-$O$2,$Q$2)/$Q$2))</f>
        <v>17270.7806262666</v>
      </c>
      <c r="L246" s="15" t="n">
        <f aca="false">K246*(1+IF(L$3&lt;=$O$2,$D246,$D246-($D246-$I$238)*MIN(L$3-$O$2,$Q$2)/$Q$2))</f>
        <v>18400.5919178854</v>
      </c>
      <c r="M246" s="15" t="n">
        <f aca="false">L246*(1+IF(M$3&lt;=$O$2,$D246,$D246-($D246-$I$238)*MIN(M$3-$O$2,$Q$2)/$Q$2))</f>
        <v>19262.8206544176</v>
      </c>
      <c r="N246" s="15" t="n">
        <f aca="false">M246*(1+IF(N$3&lt;=$O$2,$D246,$D246-($D246-$I$238)*MIN(N$3-$O$2,$Q$2)/$Q$2))</f>
        <v>19807.9584789377</v>
      </c>
      <c r="O246" s="15" t="n">
        <f aca="false">SUMPRODUCT(E246:N246,1/(1+$F$238)^$E$3:$N$3)*$E$2</f>
        <v>34050.6203569095</v>
      </c>
      <c r="P246" s="15" t="n">
        <f aca="false">N246*$E$2*(1+$I$238)/($F$238-$I$238)/(1+$F$238)^$N$3</f>
        <v>52511.271591172</v>
      </c>
      <c r="Q246" s="15" t="n">
        <f aca="false">O246+P246</f>
        <v>86561.8919480815</v>
      </c>
      <c r="R246" s="15" t="n">
        <f aca="false">Q246-$G$2+$I$2</f>
        <v>80441.8919480815</v>
      </c>
      <c r="S246" s="42" t="n">
        <f aca="false">R246/$K$2</f>
        <v>464.498740894338</v>
      </c>
      <c r="T246" s="43" t="n">
        <f aca="false">S246-$M$2</f>
        <v>0.357385079578819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0.109375</v>
      </c>
      <c r="C247" s="25" t="n">
        <f aca="false">IF(T246&gt;0,D246,C246)</f>
        <v>0.12109375</v>
      </c>
      <c r="D247" s="41" t="n">
        <f aca="false">(B247+C247)/2</f>
        <v>0.115234375</v>
      </c>
      <c r="E247" s="15" t="n">
        <f aca="false">$C$2*(1+IF(E$3&lt;=$O$2,$D247,$D247-($D247-$I$238)*MIN(E$3-$O$2,$Q$2)/$Q$2))</f>
        <v>9100.3125</v>
      </c>
      <c r="F247" s="15" t="n">
        <f aca="false">E247*(1+IF(F$3&lt;=$O$2,$D247,$D247-($D247-$I$238)*MIN(F$3-$O$2,$Q$2)/$Q$2))</f>
        <v>10148.9813232422</v>
      </c>
      <c r="G247" s="15" t="n">
        <f aca="false">F247*(1+IF(G$3&lt;=$O$2,$D247,$D247-($D247-$I$238)*MIN(G$3-$O$2,$Q$2)/$Q$2))</f>
        <v>11318.4928429127</v>
      </c>
      <c r="H247" s="15" t="n">
        <f aca="false">G247*(1+IF(H$3&lt;=$O$2,$D247,$D247-($D247-$I$238)*MIN(H$3-$O$2,$Q$2)/$Q$2))</f>
        <v>12622.7722916077</v>
      </c>
      <c r="I247" s="15" t="n">
        <f aca="false">H247*(1+IF(I$3&lt;=$O$2,$D247,$D247-($D247-$I$238)*MIN(I$3-$O$2,$Q$2)/$Q$2))</f>
        <v>14077.3495673984</v>
      </c>
      <c r="J247" s="15" t="n">
        <f aca="false">I247*(1+IF(J$3&lt;=$O$2,$D247,$D247-($D247-$I$238)*MIN(J$3-$O$2,$Q$2)/$Q$2))</f>
        <v>15454.7830291944</v>
      </c>
      <c r="K247" s="15" t="n">
        <f aca="false">J247*(1+IF(K$3&lt;=$O$2,$D247,$D247-($D247-$I$238)*MIN(K$3-$O$2,$Q$2)/$Q$2))</f>
        <v>16698.2845309628</v>
      </c>
      <c r="L247" s="15" t="n">
        <f aca="false">K247*(1+IF(L$3&lt;=$O$2,$D247,$D247-($D247-$I$238)*MIN(L$3-$O$2,$Q$2)/$Q$2))</f>
        <v>17751.5079548976</v>
      </c>
      <c r="M247" s="15" t="n">
        <f aca="false">L247*(1+IF(M$3&lt;=$O$2,$D247,$D247-($D247-$I$238)*MIN(M$3-$O$2,$Q$2)/$Q$2))</f>
        <v>18562.5188798945</v>
      </c>
      <c r="N247" s="15" t="n">
        <f aca="false">M247*(1+IF(N$3&lt;=$O$2,$D247,$D247-($D247-$I$238)*MIN(N$3-$O$2,$Q$2)/$Q$2))</f>
        <v>19087.8381641956</v>
      </c>
      <c r="O247" s="15" t="n">
        <f aca="false">SUMPRODUCT(E247:N247,1/(1+$F$238)^$E$3:$N$3)*$E$2</f>
        <v>33196.2014617347</v>
      </c>
      <c r="P247" s="15" t="n">
        <f aca="false">N247*$E$2*(1+$I$238)/($F$238-$I$238)/(1+$F$238)^$N$3</f>
        <v>50602.2190522164</v>
      </c>
      <c r="Q247" s="15" t="n">
        <f aca="false">O247+P247</f>
        <v>83798.4205139511</v>
      </c>
      <c r="R247" s="15" t="n">
        <f aca="false">Q247-$G$2+$I$2</f>
        <v>77678.4205139511</v>
      </c>
      <c r="S247" s="42" t="n">
        <f aca="false">R247/$K$2</f>
        <v>448.541520463974</v>
      </c>
      <c r="T247" s="43" t="n">
        <f aca="false">S247-$M$2</f>
        <v>-15.599835350785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0.115234375</v>
      </c>
      <c r="C248" s="25" t="n">
        <f aca="false">IF(T247&gt;0,D247,C247)</f>
        <v>0.12109375</v>
      </c>
      <c r="D248" s="41" t="n">
        <f aca="false">(B248+C248)/2</f>
        <v>0.1181640625</v>
      </c>
      <c r="E248" s="15" t="n">
        <f aca="false">$C$2*(1+IF(E$3&lt;=$O$2,$D248,$D248-($D248-$I$238)*MIN(E$3-$O$2,$Q$2)/$Q$2))</f>
        <v>9124.21875</v>
      </c>
      <c r="F248" s="15" t="n">
        <f aca="false">E248*(1+IF(F$3&lt;=$O$2,$D248,$D248-($D248-$I$238)*MIN(F$3-$O$2,$Q$2)/$Q$2))</f>
        <v>10202.3735046387</v>
      </c>
      <c r="G248" s="15" t="n">
        <f aca="false">F248*(1+IF(G$3&lt;=$O$2,$D248,$D248-($D248-$I$238)*MIN(G$3-$O$2,$Q$2)/$Q$2))</f>
        <v>11407.9274050891</v>
      </c>
      <c r="H248" s="15" t="n">
        <f aca="false">G248*(1+IF(H$3&lt;=$O$2,$D248,$D248-($D248-$I$238)*MIN(H$3-$O$2,$Q$2)/$Q$2))</f>
        <v>12755.9344519796</v>
      </c>
      <c r="I248" s="15" t="n">
        <f aca="false">H248*(1+IF(I$3&lt;=$O$2,$D248,$D248-($D248-$I$238)*MIN(I$3-$O$2,$Q$2)/$Q$2))</f>
        <v>14263.2274878092</v>
      </c>
      <c r="J248" s="15" t="n">
        <f aca="false">I248*(1+IF(J$3&lt;=$O$2,$D248,$D248-($D248-$I$238)*MIN(J$3-$O$2,$Q$2)/$Q$2))</f>
        <v>15692.2780788471</v>
      </c>
      <c r="K248" s="15" t="n">
        <f aca="false">J248*(1+IF(K$3&lt;=$O$2,$D248,$D248-($D248-$I$238)*MIN(K$3-$O$2,$Q$2)/$Q$2))</f>
        <v>16982.4726633054</v>
      </c>
      <c r="L248" s="15" t="n">
        <f aca="false">K248*(1+IF(L$3&lt;=$O$2,$D248,$D248-($D248-$I$238)*MIN(L$3-$O$2,$Q$2)/$Q$2))</f>
        <v>18073.5222336049</v>
      </c>
      <c r="M248" s="15" t="n">
        <f aca="false">L248*(1+IF(M$3&lt;=$O$2,$D248,$D248-($D248-$I$238)*MIN(M$3-$O$2,$Q$2)/$Q$2))</f>
        <v>18909.8349391351</v>
      </c>
      <c r="N248" s="15" t="n">
        <f aca="false">M248*(1+IF(N$3&lt;=$O$2,$D248,$D248-($D248-$I$238)*MIN(N$3-$O$2,$Q$2)/$Q$2))</f>
        <v>19444.9832679126</v>
      </c>
      <c r="O248" s="15" t="n">
        <f aca="false">SUMPRODUCT(E248:N248,1/(1+$F$238)^$E$3:$N$3)*$E$2</f>
        <v>33620.7275028118</v>
      </c>
      <c r="P248" s="15" t="n">
        <f aca="false">N248*$E$2*(1+$I$238)/($F$238-$I$238)/(1+$F$238)^$N$3</f>
        <v>51549.017459467</v>
      </c>
      <c r="Q248" s="15" t="n">
        <f aca="false">O248+P248</f>
        <v>85169.7449622788</v>
      </c>
      <c r="R248" s="15" t="n">
        <f aca="false">Q248-$G$2+$I$2</f>
        <v>79049.7449622788</v>
      </c>
      <c r="S248" s="42" t="n">
        <f aca="false">R248/$K$2</f>
        <v>456.46001248573</v>
      </c>
      <c r="T248" s="43" t="n">
        <f aca="false">S248-$M$2</f>
        <v>-7.68134332902889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0.1181640625</v>
      </c>
      <c r="C249" s="25" t="n">
        <f aca="false">IF(T248&gt;0,D248,C248)</f>
        <v>0.12109375</v>
      </c>
      <c r="D249" s="41" t="n">
        <f aca="false">(B249+C249)/2</f>
        <v>0.11962890625</v>
      </c>
      <c r="E249" s="15" t="n">
        <f aca="false">$C$2*(1+IF(E$3&lt;=$O$2,$D249,$D249-($D249-$I$238)*MIN(E$3-$O$2,$Q$2)/$Q$2))</f>
        <v>9136.171875</v>
      </c>
      <c r="F249" s="15" t="n">
        <f aca="false">E249*(1+IF(F$3&lt;=$O$2,$D249,$D249-($D249-$I$238)*MIN(F$3-$O$2,$Q$2)/$Q$2))</f>
        <v>10229.1221237183</v>
      </c>
      <c r="G249" s="15" t="n">
        <f aca="false">F249*(1+IF(G$3&lt;=$O$2,$D249,$D249-($D249-$I$238)*MIN(G$3-$O$2,$Q$2)/$Q$2))</f>
        <v>11452.8208152764</v>
      </c>
      <c r="H249" s="15" t="n">
        <f aca="false">G249*(1+IF(H$3&lt;=$O$2,$D249,$D249-($D249-$I$238)*MIN(H$3-$O$2,$Q$2)/$Q$2))</f>
        <v>12822.9092428851</v>
      </c>
      <c r="I249" s="15" t="n">
        <f aca="false">H249*(1+IF(I$3&lt;=$O$2,$D249,$D249-($D249-$I$238)*MIN(I$3-$O$2,$Q$2)/$Q$2))</f>
        <v>14356.8998505545</v>
      </c>
      <c r="J249" s="15" t="n">
        <f aca="false">I249*(1+IF(J$3&lt;=$O$2,$D249,$D249-($D249-$I$238)*MIN(J$3-$O$2,$Q$2)/$Q$2))</f>
        <v>15812.1600847187</v>
      </c>
      <c r="K249" s="15" t="n">
        <f aca="false">J249*(1+IF(K$3&lt;=$O$2,$D249,$D249-($D249-$I$238)*MIN(K$3-$O$2,$Q$2)/$Q$2))</f>
        <v>17126.1085867086</v>
      </c>
      <c r="L249" s="15" t="n">
        <f aca="false">K249*(1+IF(L$3&lt;=$O$2,$D249,$D249-($D249-$I$238)*MIN(L$3-$O$2,$Q$2)/$Q$2))</f>
        <v>18236.4209659296</v>
      </c>
      <c r="M249" s="15" t="n">
        <f aca="false">L249*(1+IF(M$3&lt;=$O$2,$D249,$D249-($D249-$I$238)*MIN(M$3-$O$2,$Q$2)/$Q$2))</f>
        <v>19085.614155412</v>
      </c>
      <c r="N249" s="15" t="n">
        <f aca="false">M249*(1+IF(N$3&lt;=$O$2,$D249,$D249-($D249-$I$238)*MIN(N$3-$O$2,$Q$2)/$Q$2))</f>
        <v>19625.7370360101</v>
      </c>
      <c r="O249" s="15" t="n">
        <f aca="false">SUMPRODUCT(E249:N249,1/(1+$F$238)^$E$3:$N$3)*$E$2</f>
        <v>33834.9991872911</v>
      </c>
      <c r="P249" s="15" t="n">
        <f aca="false">N249*$E$2*(1+$I$238)/($F$238-$I$238)/(1+$F$238)^$N$3</f>
        <v>52028.1991084889</v>
      </c>
      <c r="Q249" s="15" t="n">
        <f aca="false">O249+P249</f>
        <v>85863.19829578</v>
      </c>
      <c r="R249" s="15" t="n">
        <f aca="false">Q249-$G$2+$I$2</f>
        <v>79743.19829578</v>
      </c>
      <c r="S249" s="42" t="n">
        <f aca="false">R249/$K$2</f>
        <v>460.464247001848</v>
      </c>
      <c r="T249" s="43" t="n">
        <f aca="false">S249-$M$2</f>
        <v>-3.67710881291134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0.11962890625</v>
      </c>
      <c r="C250" s="25" t="n">
        <f aca="false">IF(T249&gt;0,D249,C249)</f>
        <v>0.12109375</v>
      </c>
      <c r="D250" s="41" t="n">
        <f aca="false">(B250+C250)/2</f>
        <v>0.120361328125</v>
      </c>
      <c r="E250" s="15" t="n">
        <f aca="false">$C$2*(1+IF(E$3&lt;=$O$2,$D250,$D250-($D250-$I$238)*MIN(E$3-$O$2,$Q$2)/$Q$2))</f>
        <v>9142.1484375</v>
      </c>
      <c r="F250" s="15" t="n">
        <f aca="false">E250*(1+IF(F$3&lt;=$O$2,$D250,$D250-($D250-$I$238)*MIN(F$3-$O$2,$Q$2)/$Q$2))</f>
        <v>10242.5095653534</v>
      </c>
      <c r="G250" s="15" t="n">
        <f aca="false">F250*(1+IF(G$3&lt;=$O$2,$D250,$D250-($D250-$I$238)*MIN(G$3-$O$2,$Q$2)/$Q$2))</f>
        <v>11475.3116199723</v>
      </c>
      <c r="H250" s="15" t="n">
        <f aca="false">G250*(1+IF(H$3&lt;=$O$2,$D250,$D250-($D250-$I$238)*MIN(H$3-$O$2,$Q$2)/$Q$2))</f>
        <v>12856.4953672005</v>
      </c>
      <c r="I250" s="15" t="n">
        <f aca="false">H250*(1+IF(I$3&lt;=$O$2,$D250,$D250-($D250-$I$238)*MIN(I$3-$O$2,$Q$2)/$Q$2))</f>
        <v>14403.9202246296</v>
      </c>
      <c r="J250" s="15" t="n">
        <f aca="false">I250*(1+IF(J$3&lt;=$O$2,$D250,$D250-($D250-$I$238)*MIN(J$3-$O$2,$Q$2)/$Q$2))</f>
        <v>15872.3863878554</v>
      </c>
      <c r="K250" s="15" t="n">
        <f aca="false">J250*(1+IF(K$3&lt;=$O$2,$D250,$D250-($D250-$I$238)*MIN(K$3-$O$2,$Q$2)/$Q$2))</f>
        <v>17198.3147054592</v>
      </c>
      <c r="L250" s="15" t="n">
        <f aca="false">K250*(1+IF(L$3&lt;=$O$2,$D250,$D250-($D250-$I$238)*MIN(L$3-$O$2,$Q$2)/$Q$2))</f>
        <v>18318.3468889422</v>
      </c>
      <c r="M250" s="15" t="n">
        <f aca="false">L250*(1+IF(M$3&lt;=$O$2,$D250,$D250-($D250-$I$238)*MIN(M$3-$O$2,$Q$2)/$Q$2))</f>
        <v>19174.0383746294</v>
      </c>
      <c r="N250" s="15" t="n">
        <f aca="false">M250*(1+IF(N$3&lt;=$O$2,$D250,$D250-($D250-$I$238)*MIN(N$3-$O$2,$Q$2)/$Q$2))</f>
        <v>19716.6636606314</v>
      </c>
      <c r="O250" s="15" t="n">
        <f aca="false">SUMPRODUCT(E250:N250,1/(1+$F$238)^$E$3:$N$3)*$E$2</f>
        <v>33942.6405979553</v>
      </c>
      <c r="P250" s="15" t="n">
        <f aca="false">N250*$E$2*(1+$I$238)/($F$238-$I$238)/(1+$F$238)^$N$3</f>
        <v>52269.2473056281</v>
      </c>
      <c r="Q250" s="15" t="n">
        <f aca="false">O250+P250</f>
        <v>86211.8879035834</v>
      </c>
      <c r="R250" s="15" t="n">
        <f aca="false">Q250-$G$2+$I$2</f>
        <v>80091.8879035834</v>
      </c>
      <c r="S250" s="42" t="n">
        <f aca="false">R250/$K$2</f>
        <v>462.477698946665</v>
      </c>
      <c r="T250" s="43" t="n">
        <f aca="false">S250-$M$2</f>
        <v>-1.66365686809473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0.120361328125</v>
      </c>
      <c r="C251" s="25" t="n">
        <f aca="false">IF(T250&gt;0,D250,C250)</f>
        <v>0.12109375</v>
      </c>
      <c r="D251" s="41" t="n">
        <f aca="false">(B251+C251)/2</f>
        <v>0.1207275390625</v>
      </c>
      <c r="E251" s="15" t="n">
        <f aca="false">$C$2*(1+IF(E$3&lt;=$O$2,$D251,$D251-($D251-$I$238)*MIN(E$3-$O$2,$Q$2)/$Q$2))</f>
        <v>9145.13671875</v>
      </c>
      <c r="F251" s="15" t="n">
        <f aca="false">E251*(1+IF(F$3&lt;=$O$2,$D251,$D251-($D251-$I$238)*MIN(F$3-$O$2,$Q$2)/$Q$2))</f>
        <v>10249.2065691948</v>
      </c>
      <c r="G251" s="15" t="n">
        <f aca="false">F251*(1+IF(G$3&lt;=$O$2,$D251,$D251-($D251-$I$238)*MIN(G$3-$O$2,$Q$2)/$Q$2))</f>
        <v>11486.5680556369</v>
      </c>
      <c r="H251" s="15" t="n">
        <f aca="false">G251*(1+IF(H$3&lt;=$O$2,$D251,$D251-($D251-$I$238)*MIN(H$3-$O$2,$Q$2)/$Q$2))</f>
        <v>12873.3131492679</v>
      </c>
      <c r="I251" s="15" t="n">
        <f aca="false">H251*(1+IF(I$3&lt;=$O$2,$D251,$D251-($D251-$I$238)*MIN(I$3-$O$2,$Q$2)/$Q$2))</f>
        <v>14427.4765653599</v>
      </c>
      <c r="J251" s="15" t="n">
        <f aca="false">I251*(1+IF(J$3&lt;=$O$2,$D251,$D251-($D251-$I$238)*MIN(J$3-$O$2,$Q$2)/$Q$2))</f>
        <v>15902.5710752141</v>
      </c>
      <c r="K251" s="15" t="n">
        <f aca="false">J251*(1+IF(K$3&lt;=$O$2,$D251,$D251-($D251-$I$238)*MIN(K$3-$O$2,$Q$2)/$Q$2))</f>
        <v>17234.5151421917</v>
      </c>
      <c r="L251" s="15" t="n">
        <f aca="false">K251*(1+IF(L$3&lt;=$O$2,$D251,$D251-($D251-$I$238)*MIN(L$3-$O$2,$Q$2)/$Q$2))</f>
        <v>18359.429449327</v>
      </c>
      <c r="M251" s="15" t="n">
        <f aca="false">L251*(1+IF(M$3&lt;=$O$2,$D251,$D251-($D251-$I$238)*MIN(M$3-$O$2,$Q$2)/$Q$2))</f>
        <v>19218.3846792616</v>
      </c>
      <c r="N251" s="15" t="n">
        <f aca="false">M251*(1+IF(N$3&lt;=$O$2,$D251,$D251-($D251-$I$238)*MIN(N$3-$O$2,$Q$2)/$Q$2))</f>
        <v>19762.2649656847</v>
      </c>
      <c r="O251" s="15" t="n">
        <f aca="false">SUMPRODUCT(E251:N251,1/(1+$F$238)^$E$3:$N$3)*$E$2</f>
        <v>33996.5881226994</v>
      </c>
      <c r="P251" s="15" t="n">
        <f aca="false">N251*$E$2*(1+$I$238)/($F$238-$I$238)/(1+$F$238)^$N$3</f>
        <v>52390.1372255616</v>
      </c>
      <c r="Q251" s="15" t="n">
        <f aca="false">O251+P251</f>
        <v>86386.725348261</v>
      </c>
      <c r="R251" s="15" t="n">
        <f aca="false">Q251-$G$2+$I$2</f>
        <v>80266.725348261</v>
      </c>
      <c r="S251" s="42" t="n">
        <f aca="false">R251/$K$2</f>
        <v>463.487269593839</v>
      </c>
      <c r="T251" s="43" t="n">
        <f aca="false">S251-$M$2</f>
        <v>-0.654086220920192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0.1207275390625</v>
      </c>
      <c r="C252" s="25" t="n">
        <f aca="false">IF(T251&gt;0,D251,C251)</f>
        <v>0.12109375</v>
      </c>
      <c r="D252" s="41" t="n">
        <f aca="false">(B252+C252)/2</f>
        <v>0.12091064453125</v>
      </c>
      <c r="E252" s="15" t="n">
        <f aca="false">$C$2*(1+IF(E$3&lt;=$O$2,$D252,$D252-($D252-$I$238)*MIN(E$3-$O$2,$Q$2)/$Q$2))</f>
        <v>9146.630859375</v>
      </c>
      <c r="F252" s="15" t="n">
        <f aca="false">E252*(1+IF(F$3&lt;=$O$2,$D252,$D252-($D252-$I$238)*MIN(F$3-$O$2,$Q$2)/$Q$2))</f>
        <v>10252.5558918715</v>
      </c>
      <c r="G252" s="15" t="n">
        <f aca="false">F252*(1+IF(G$3&lt;=$O$2,$D252,$D252-($D252-$I$238)*MIN(G$3-$O$2,$Q$2)/$Q$2))</f>
        <v>11492.1990328503</v>
      </c>
      <c r="H252" s="15" t="n">
        <f aca="false">G252*(1+IF(H$3&lt;=$O$2,$D252,$D252-($D252-$I$238)*MIN(H$3-$O$2,$Q$2)/$Q$2))</f>
        <v>12881.7282249936</v>
      </c>
      <c r="I252" s="15" t="n">
        <f aca="false">H252*(1+IF(I$3&lt;=$O$2,$D252,$D252-($D252-$I$238)*MIN(I$3-$O$2,$Q$2)/$Q$2))</f>
        <v>14439.266287354</v>
      </c>
      <c r="J252" s="15" t="n">
        <f aca="false">I252*(1+IF(J$3&lt;=$O$2,$D252,$D252-($D252-$I$238)*MIN(J$3-$O$2,$Q$2)/$Q$2))</f>
        <v>15917.6813292303</v>
      </c>
      <c r="K252" s="15" t="n">
        <f aca="false">J252*(1+IF(K$3&lt;=$O$2,$D252,$D252-($D252-$I$238)*MIN(K$3-$O$2,$Q$2)/$Q$2))</f>
        <v>17252.6397472533</v>
      </c>
      <c r="L252" s="15" t="n">
        <f aca="false">K252*(1+IF(L$3&lt;=$O$2,$D252,$D252-($D252-$I$238)*MIN(L$3-$O$2,$Q$2)/$Q$2))</f>
        <v>18380.000686844</v>
      </c>
      <c r="M252" s="15" t="n">
        <f aca="false">L252*(1+IF(M$3&lt;=$O$2,$D252,$D252-($D252-$I$238)*MIN(M$3-$O$2,$Q$2)/$Q$2))</f>
        <v>19240.5914483004</v>
      </c>
      <c r="N252" s="15" t="n">
        <f aca="false">M252*(1+IF(N$3&lt;=$O$2,$D252,$D252-($D252-$I$238)*MIN(N$3-$O$2,$Q$2)/$Q$2))</f>
        <v>19785.1001862873</v>
      </c>
      <c r="O252" s="15" t="n">
        <f aca="false">SUMPRODUCT(E252:N252,1/(1+$F$238)^$E$3:$N$3)*$E$2</f>
        <v>34023.5936434633</v>
      </c>
      <c r="P252" s="15" t="n">
        <f aca="false">N252*$E$2*(1+$I$238)/($F$238-$I$238)/(1+$F$238)^$N$3</f>
        <v>52450.67382615</v>
      </c>
      <c r="Q252" s="15" t="n">
        <f aca="false">O252+P252</f>
        <v>86474.2674696132</v>
      </c>
      <c r="R252" s="15" t="n">
        <f aca="false">Q252-$G$2+$I$2</f>
        <v>80354.2674696132</v>
      </c>
      <c r="S252" s="42" t="n">
        <f aca="false">R252/$K$2</f>
        <v>463.992767465142</v>
      </c>
      <c r="T252" s="43" t="n">
        <f aca="false">S252-$M$2</f>
        <v>-0.148588349617569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0.12091064453125</v>
      </c>
      <c r="C253" s="25" t="n">
        <f aca="false">IF(T252&gt;0,D252,C252)</f>
        <v>0.12109375</v>
      </c>
      <c r="D253" s="41" t="n">
        <f aca="false">(B253+C253)/2</f>
        <v>0.121002197265625</v>
      </c>
      <c r="E253" s="15" t="n">
        <f aca="false">$C$2*(1+IF(E$3&lt;=$O$2,$D253,$D253-($D253-$I$238)*MIN(E$3-$O$2,$Q$2)/$Q$2))</f>
        <v>9147.3779296875</v>
      </c>
      <c r="F253" s="15" t="n">
        <f aca="false">E253*(1+IF(F$3&lt;=$O$2,$D253,$D253-($D253-$I$238)*MIN(F$3-$O$2,$Q$2)/$Q$2))</f>
        <v>10254.2307583988</v>
      </c>
      <c r="G253" s="15" t="n">
        <f aca="false">F253*(1+IF(G$3&lt;=$O$2,$D253,$D253-($D253-$I$238)*MIN(G$3-$O$2,$Q$2)/$Q$2))</f>
        <v>11495.0152114338</v>
      </c>
      <c r="H253" s="15" t="n">
        <f aca="false">G253*(1+IF(H$3&lt;=$O$2,$D253,$D253-($D253-$I$238)*MIN(H$3-$O$2,$Q$2)/$Q$2))</f>
        <v>12885.9373096191</v>
      </c>
      <c r="I253" s="15" t="n">
        <f aca="false">H253*(1+IF(I$3&lt;=$O$2,$D253,$D253-($D253-$I$238)*MIN(I$3-$O$2,$Q$2)/$Q$2))</f>
        <v>14445.1640379101</v>
      </c>
      <c r="J253" s="15" t="n">
        <f aca="false">I253*(1+IF(J$3&lt;=$O$2,$D253,$D253-($D253-$I$238)*MIN(J$3-$O$2,$Q$2)/$Q$2))</f>
        <v>15925.2409371242</v>
      </c>
      <c r="K253" s="15" t="n">
        <f aca="false">J253*(1+IF(K$3&lt;=$O$2,$D253,$D253-($D253-$I$238)*MIN(K$3-$O$2,$Q$2)/$Q$2))</f>
        <v>17261.7081517584</v>
      </c>
      <c r="L253" s="15" t="n">
        <f aca="false">K253*(1+IF(L$3&lt;=$O$2,$D253,$D253-($D253-$I$238)*MIN(L$3-$O$2,$Q$2)/$Q$2))</f>
        <v>18390.2938021435</v>
      </c>
      <c r="M253" s="15" t="n">
        <f aca="false">L253*(1+IF(M$3&lt;=$O$2,$D253,$D253-($D253-$I$238)*MIN(M$3-$O$2,$Q$2)/$Q$2))</f>
        <v>19251.703245508</v>
      </c>
      <c r="N253" s="15" t="n">
        <f aca="false">M253*(1+IF(N$3&lt;=$O$2,$D253,$D253-($D253-$I$238)*MIN(N$3-$O$2,$Q$2)/$Q$2))</f>
        <v>19796.5264473559</v>
      </c>
      <c r="O253" s="15" t="n">
        <f aca="false">SUMPRODUCT(E253:N253,1/(1+$F$238)^$E$3:$N$3)*$E$2</f>
        <v>34037.1043501433</v>
      </c>
      <c r="P253" s="15" t="n">
        <f aca="false">N253*$E$2*(1+$I$238)/($F$238-$I$238)/(1+$F$238)^$N$3</f>
        <v>52480.9650597913</v>
      </c>
      <c r="Q253" s="15" t="n">
        <f aca="false">O253+P253</f>
        <v>86518.0694099346</v>
      </c>
      <c r="R253" s="15" t="n">
        <f aca="false">Q253-$G$2+$I$2</f>
        <v>80398.0694099346</v>
      </c>
      <c r="S253" s="42" t="n">
        <f aca="false">R253/$K$2</f>
        <v>464.245694710328</v>
      </c>
      <c r="T253" s="43" t="n">
        <f aca="false">S253-$M$2</f>
        <v>0.104338895568674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0.12091064453125</v>
      </c>
      <c r="C254" s="25" t="n">
        <f aca="false">IF(T253&gt;0,D253,C253)</f>
        <v>0.121002197265625</v>
      </c>
      <c r="D254" s="41" t="n">
        <f aca="false">(B254+C254)/2</f>
        <v>0.120956420898438</v>
      </c>
      <c r="E254" s="15" t="n">
        <f aca="false">$C$2*(1+IF(E$3&lt;=$O$2,$D254,$D254-($D254-$I$238)*MIN(E$3-$O$2,$Q$2)/$Q$2))</f>
        <v>9147.00439453125</v>
      </c>
      <c r="F254" s="15" t="n">
        <f aca="false">E254*(1+IF(F$3&lt;=$O$2,$D254,$D254-($D254-$I$238)*MIN(F$3-$O$2,$Q$2)/$Q$2))</f>
        <v>10253.393308036</v>
      </c>
      <c r="G254" s="15" t="n">
        <f aca="false">F254*(1+IF(G$3&lt;=$O$2,$D254,$D254-($D254-$I$238)*MIN(G$3-$O$2,$Q$2)/$Q$2))</f>
        <v>11493.6070646401</v>
      </c>
      <c r="H254" s="15" t="n">
        <f aca="false">G254*(1+IF(H$3&lt;=$O$2,$D254,$D254-($D254-$I$238)*MIN(H$3-$O$2,$Q$2)/$Q$2))</f>
        <v>12883.8326383919</v>
      </c>
      <c r="I254" s="15" t="n">
        <f aca="false">H254*(1+IF(I$3&lt;=$O$2,$D254,$D254-($D254-$I$238)*MIN(I$3-$O$2,$Q$2)/$Q$2))</f>
        <v>14442.2149217863</v>
      </c>
      <c r="J254" s="15" t="n">
        <f aca="false">I254*(1+IF(J$3&lt;=$O$2,$D254,$D254-($D254-$I$238)*MIN(J$3-$O$2,$Q$2)/$Q$2))</f>
        <v>15921.4607596718</v>
      </c>
      <c r="K254" s="15" t="n">
        <f aca="false">J254*(1+IF(K$3&lt;=$O$2,$D254,$D254-($D254-$I$238)*MIN(K$3-$O$2,$Q$2)/$Q$2))</f>
        <v>17257.1734408502</v>
      </c>
      <c r="L254" s="15" t="n">
        <f aca="false">K254*(1+IF(L$3&lt;=$O$2,$D254,$D254-($D254-$I$238)*MIN(L$3-$O$2,$Q$2)/$Q$2))</f>
        <v>18385.1466195673</v>
      </c>
      <c r="M254" s="15" t="n">
        <f aca="false">L254*(1+IF(M$3&lt;=$O$2,$D254,$D254-($D254-$I$238)*MIN(M$3-$O$2,$Q$2)/$Q$2))</f>
        <v>19246.1466455935</v>
      </c>
      <c r="N254" s="15" t="n">
        <f aca="false">M254*(1+IF(N$3&lt;=$O$2,$D254,$D254-($D254-$I$238)*MIN(N$3-$O$2,$Q$2)/$Q$2))</f>
        <v>19790.8125956638</v>
      </c>
      <c r="O254" s="15" t="n">
        <f aca="false">SUMPRODUCT(E254:N254,1/(1+$F$238)^$E$3:$N$3)*$E$2</f>
        <v>34030.3483344123</v>
      </c>
      <c r="P254" s="15" t="n">
        <f aca="false">N254*$E$2*(1+$I$238)/($F$238-$I$238)/(1+$F$238)^$N$3</f>
        <v>52465.8175311678</v>
      </c>
      <c r="Q254" s="15" t="n">
        <f aca="false">O254+P254</f>
        <v>86496.16586558</v>
      </c>
      <c r="R254" s="15" t="n">
        <f aca="false">Q254-$G$2+$I$2</f>
        <v>80376.16586558</v>
      </c>
      <c r="S254" s="42" t="n">
        <f aca="false">R254/$K$2</f>
        <v>464.119216223467</v>
      </c>
      <c r="T254" s="43" t="n">
        <f aca="false">S254-$M$2</f>
        <v>-0.0221395912922162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0.120956420898438</v>
      </c>
      <c r="C255" s="25" t="n">
        <f aca="false">IF(T254&gt;0,D254,C254)</f>
        <v>0.121002197265625</v>
      </c>
      <c r="D255" s="41" t="n">
        <f aca="false">(B255+C255)/2</f>
        <v>0.120979309082031</v>
      </c>
      <c r="E255" s="15" t="n">
        <f aca="false">$C$2*(1+IF(E$3&lt;=$O$2,$D255,$D255-($D255-$I$238)*MIN(E$3-$O$2,$Q$2)/$Q$2))</f>
        <v>9147.19116210938</v>
      </c>
      <c r="F255" s="15" t="n">
        <f aca="false">E255*(1+IF(F$3&lt;=$O$2,$D255,$D255-($D255-$I$238)*MIN(F$3-$O$2,$Q$2)/$Q$2))</f>
        <v>10253.8120289426</v>
      </c>
      <c r="G255" s="15" t="n">
        <f aca="false">F255*(1+IF(G$3&lt;=$O$2,$D255,$D255-($D255-$I$238)*MIN(G$3-$O$2,$Q$2)/$Q$2))</f>
        <v>11494.3111236611</v>
      </c>
      <c r="H255" s="15" t="n">
        <f aca="false">G255*(1+IF(H$3&lt;=$O$2,$D255,$D255-($D255-$I$238)*MIN(H$3-$O$2,$Q$2)/$Q$2))</f>
        <v>12884.8849417756</v>
      </c>
      <c r="I255" s="15" t="n">
        <f aca="false">H255*(1+IF(I$3&lt;=$O$2,$D255,$D255-($D255-$I$238)*MIN(I$3-$O$2,$Q$2)/$Q$2))</f>
        <v>14443.689419633</v>
      </c>
      <c r="J255" s="15" t="n">
        <f aca="false">I255*(1+IF(J$3&lt;=$O$2,$D255,$D255-($D255-$I$238)*MIN(J$3-$O$2,$Q$2)/$Q$2))</f>
        <v>15923.3507550143</v>
      </c>
      <c r="K255" s="15" t="n">
        <f aca="false">J255*(1+IF(K$3&lt;=$O$2,$D255,$D255-($D255-$I$238)*MIN(K$3-$O$2,$Q$2)/$Q$2))</f>
        <v>17259.4406691285</v>
      </c>
      <c r="L255" s="15" t="n">
        <f aca="false">K255*(1+IF(L$3&lt;=$O$2,$D255,$D255-($D255-$I$238)*MIN(L$3-$O$2,$Q$2)/$Q$2))</f>
        <v>18387.7200546077</v>
      </c>
      <c r="M255" s="15" t="n">
        <f aca="false">L255*(1+IF(M$3&lt;=$O$2,$D255,$D255-($D255-$I$238)*MIN(M$3-$O$2,$Q$2)/$Q$2))</f>
        <v>19248.9247702041</v>
      </c>
      <c r="N255" s="15" t="n">
        <f aca="false">M255*(1+IF(N$3&lt;=$O$2,$D255,$D255-($D255-$I$238)*MIN(N$3-$O$2,$Q$2)/$Q$2))</f>
        <v>19793.6693412009</v>
      </c>
      <c r="O255" s="15" t="n">
        <f aca="false">SUMPRODUCT(E255:N255,1/(1+$F$238)^$E$3:$N$3)*$E$2</f>
        <v>34033.7261766651</v>
      </c>
      <c r="P255" s="15" t="n">
        <f aca="false">N255*$E$2*(1+$I$238)/($F$238-$I$238)/(1+$F$238)^$N$3</f>
        <v>52473.390817477</v>
      </c>
      <c r="Q255" s="15" t="n">
        <f aca="false">O255+P255</f>
        <v>86507.116994142</v>
      </c>
      <c r="R255" s="15" t="n">
        <f aca="false">Q255-$G$2+$I$2</f>
        <v>80387.116994142</v>
      </c>
      <c r="S255" s="42" t="n">
        <f aca="false">R255/$K$2</f>
        <v>464.182451750445</v>
      </c>
      <c r="T255" s="43" t="n">
        <f aca="false">S255-$M$2</f>
        <v>0.0410959356856324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0.120956420898438</v>
      </c>
      <c r="C256" s="25" t="n">
        <f aca="false">IF(T255&gt;0,D255,C255)</f>
        <v>0.120979309082031</v>
      </c>
      <c r="D256" s="41" t="n">
        <f aca="false">(B256+C256)/2</f>
        <v>0.120967864990234</v>
      </c>
      <c r="E256" s="15" t="n">
        <f aca="false">$C$2*(1+IF(E$3&lt;=$O$2,$D256,$D256-($D256-$I$238)*MIN(E$3-$O$2,$Q$2)/$Q$2))</f>
        <v>9147.09777832031</v>
      </c>
      <c r="F256" s="15" t="n">
        <f aca="false">E256*(1+IF(F$3&lt;=$O$2,$D256,$D256-($D256-$I$238)*MIN(F$3-$O$2,$Q$2)/$Q$2))</f>
        <v>10253.6026674206</v>
      </c>
      <c r="G256" s="15" t="n">
        <f aca="false">F256*(1+IF(G$3&lt;=$O$2,$D256,$D256-($D256-$I$238)*MIN(G$3-$O$2,$Q$2)/$Q$2))</f>
        <v>11493.9590905567</v>
      </c>
      <c r="H256" s="15" t="n">
        <f aca="false">G256*(1+IF(H$3&lt;=$O$2,$D256,$D256-($D256-$I$238)*MIN(H$3-$O$2,$Q$2)/$Q$2))</f>
        <v>12884.3587820264</v>
      </c>
      <c r="I256" s="15" t="n">
        <f aca="false">H256*(1+IF(I$3&lt;=$O$2,$D256,$D256-($D256-$I$238)*MIN(I$3-$O$2,$Q$2)/$Q$2))</f>
        <v>14442.9521556563</v>
      </c>
      <c r="J256" s="15" t="n">
        <f aca="false">I256*(1+IF(J$3&lt;=$O$2,$D256,$D256-($D256-$I$238)*MIN(J$3-$O$2,$Q$2)/$Q$2))</f>
        <v>15922.405733998</v>
      </c>
      <c r="K256" s="15" t="n">
        <f aca="false">J256*(1+IF(K$3&lt;=$O$2,$D256,$D256-($D256-$I$238)*MIN(K$3-$O$2,$Q$2)/$Q$2))</f>
        <v>17258.3070231969</v>
      </c>
      <c r="L256" s="15" t="n">
        <f aca="false">K256*(1+IF(L$3&lt;=$O$2,$D256,$D256-($D256-$I$238)*MIN(L$3-$O$2,$Q$2)/$Q$2))</f>
        <v>18386.4332980276</v>
      </c>
      <c r="M256" s="15" t="n">
        <f aca="false">L256*(1+IF(M$3&lt;=$O$2,$D256,$D256-($D256-$I$238)*MIN(M$3-$O$2,$Q$2)/$Q$2))</f>
        <v>19247.5356640645</v>
      </c>
      <c r="N256" s="15" t="n">
        <f aca="false">M256*(1+IF(N$3&lt;=$O$2,$D256,$D256-($D256-$I$238)*MIN(N$3-$O$2,$Q$2)/$Q$2))</f>
        <v>19792.2409233575</v>
      </c>
      <c r="O256" s="15" t="n">
        <f aca="false">SUMPRODUCT(E256:N256,1/(1+$F$238)^$E$3:$N$3)*$E$2</f>
        <v>34032.0372141374</v>
      </c>
      <c r="P256" s="15" t="n">
        <f aca="false">N256*$E$2*(1+$I$238)/($F$238-$I$238)/(1+$F$238)^$N$3</f>
        <v>52469.6040548282</v>
      </c>
      <c r="Q256" s="15" t="n">
        <f aca="false">O256+P256</f>
        <v>86501.6412689656</v>
      </c>
      <c r="R256" s="15" t="n">
        <f aca="false">Q256-$G$2+$I$2</f>
        <v>80381.6412689656</v>
      </c>
      <c r="S256" s="42" t="n">
        <f aca="false">R256/$K$2</f>
        <v>464.150833057891</v>
      </c>
      <c r="T256" s="43" t="n">
        <f aca="false">S256-$M$2</f>
        <v>0.00947724313175513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0.120956420898438</v>
      </c>
      <c r="C257" s="25" t="n">
        <f aca="false">IF(T256&gt;0,D256,C256)</f>
        <v>0.120967864990234</v>
      </c>
      <c r="D257" s="41" t="n">
        <f aca="false">(B257+C257)/2</f>
        <v>0.120962142944336</v>
      </c>
      <c r="E257" s="15" t="n">
        <f aca="false">$C$2*(1+IF(E$3&lt;=$O$2,$D257,$D257-($D257-$I$238)*MIN(E$3-$O$2,$Q$2)/$Q$2))</f>
        <v>9147.05108642578</v>
      </c>
      <c r="F257" s="15" t="n">
        <f aca="false">E257*(1+IF(F$3&lt;=$O$2,$D257,$D257-($D257-$I$238)*MIN(F$3-$O$2,$Q$2)/$Q$2))</f>
        <v>10253.4979874612</v>
      </c>
      <c r="G257" s="15" t="n">
        <f aca="false">F257*(1+IF(G$3&lt;=$O$2,$D257,$D257-($D257-$I$238)*MIN(G$3-$O$2,$Q$2)/$Q$2))</f>
        <v>11493.7830766999</v>
      </c>
      <c r="H257" s="15" t="n">
        <f aca="false">G257*(1+IF(H$3&lt;=$O$2,$D257,$D257-($D257-$I$238)*MIN(H$3-$O$2,$Q$2)/$Q$2))</f>
        <v>12884.0957081949</v>
      </c>
      <c r="I257" s="15" t="n">
        <f aca="false">H257*(1+IF(I$3&lt;=$O$2,$D257,$D257-($D257-$I$238)*MIN(I$3-$O$2,$Q$2)/$Q$2))</f>
        <v>14442.583534958</v>
      </c>
      <c r="J257" s="15" t="n">
        <f aca="false">I257*(1+IF(J$3&lt;=$O$2,$D257,$D257-($D257-$I$238)*MIN(J$3-$O$2,$Q$2)/$Q$2))</f>
        <v>15921.9332409988</v>
      </c>
      <c r="K257" s="15" t="n">
        <f aca="false">J257*(1+IF(K$3&lt;=$O$2,$D257,$D257-($D257-$I$238)*MIN(K$3-$O$2,$Q$2)/$Q$2))</f>
        <v>17257.7402240756</v>
      </c>
      <c r="L257" s="15" t="n">
        <f aca="false">K257*(1+IF(L$3&lt;=$O$2,$D257,$D257-($D257-$I$238)*MIN(L$3-$O$2,$Q$2)/$Q$2))</f>
        <v>18385.7899490327</v>
      </c>
      <c r="M257" s="15" t="n">
        <f aca="false">L257*(1+IF(M$3&lt;=$O$2,$D257,$D257-($D257-$I$238)*MIN(M$3-$O$2,$Q$2)/$Q$2))</f>
        <v>19246.8411438707</v>
      </c>
      <c r="N257" s="15" t="n">
        <f aca="false">M257*(1+IF(N$3&lt;=$O$2,$D257,$D257-($D257-$I$238)*MIN(N$3-$O$2,$Q$2)/$Q$2))</f>
        <v>19791.5267482423</v>
      </c>
      <c r="O257" s="15" t="n">
        <f aca="false">SUMPRODUCT(E257:N257,1/(1+$F$238)^$E$3:$N$3)*$E$2</f>
        <v>34031.1927639247</v>
      </c>
      <c r="P257" s="15" t="n">
        <f aca="false">N257*$E$2*(1+$I$238)/($F$238-$I$238)/(1+$F$238)^$N$3</f>
        <v>52467.7107631252</v>
      </c>
      <c r="Q257" s="15" t="n">
        <f aca="false">O257+P257</f>
        <v>86498.9035270499</v>
      </c>
      <c r="R257" s="15" t="n">
        <f aca="false">Q257-$G$2+$I$2</f>
        <v>80378.9035270499</v>
      </c>
      <c r="S257" s="42" t="n">
        <f aca="false">R257/$K$2</f>
        <v>464.135024408419</v>
      </c>
      <c r="T257" s="43" t="n">
        <f aca="false">S257-$M$2</f>
        <v>-0.00633140634056417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0.120962142944336</v>
      </c>
      <c r="C258" s="25" t="n">
        <f aca="false">IF(T257&gt;0,D257,C257)</f>
        <v>0.120967864990234</v>
      </c>
      <c r="D258" s="41" t="n">
        <f aca="false">(B258+C258)/2</f>
        <v>0.120965003967285</v>
      </c>
      <c r="E258" s="15" t="n">
        <f aca="false">$C$2*(1+IF(E$3&lt;=$O$2,$D258,$D258-($D258-$I$238)*MIN(E$3-$O$2,$Q$2)/$Q$2))</f>
        <v>9147.07443237305</v>
      </c>
      <c r="F258" s="15" t="n">
        <f aca="false">E258*(1+IF(F$3&lt;=$O$2,$D258,$D258-($D258-$I$238)*MIN(F$3-$O$2,$Q$2)/$Q$2))</f>
        <v>10253.5503273741</v>
      </c>
      <c r="G258" s="15" t="n">
        <f aca="false">F258*(1+IF(G$3&lt;=$O$2,$D258,$D258-($D258-$I$238)*MIN(G$3-$O$2,$Q$2)/$Q$2))</f>
        <v>11493.8710834037</v>
      </c>
      <c r="H258" s="15" t="n">
        <f aca="false">G258*(1+IF(H$3&lt;=$O$2,$D258,$D258-($D258-$I$238)*MIN(H$3-$O$2,$Q$2)/$Q$2))</f>
        <v>12884.2272446071</v>
      </c>
      <c r="I258" s="15" t="n">
        <f aca="false">H258*(1+IF(I$3&lt;=$O$2,$D258,$D258-($D258-$I$238)*MIN(I$3-$O$2,$Q$2)/$Q$2))</f>
        <v>14442.7678443664</v>
      </c>
      <c r="J258" s="15" t="n">
        <f aca="false">I258*(1+IF(J$3&lt;=$O$2,$D258,$D258-($D258-$I$238)*MIN(J$3-$O$2,$Q$2)/$Q$2))</f>
        <v>15922.1694860394</v>
      </c>
      <c r="K258" s="15" t="n">
        <f aca="false">J258*(1+IF(K$3&lt;=$O$2,$D258,$D258-($D258-$I$238)*MIN(K$3-$O$2,$Q$2)/$Q$2))</f>
        <v>17258.0236216493</v>
      </c>
      <c r="L258" s="15" t="n">
        <f aca="false">K258*(1+IF(L$3&lt;=$O$2,$D258,$D258-($D258-$I$238)*MIN(L$3-$O$2,$Q$2)/$Q$2))</f>
        <v>18386.111621089</v>
      </c>
      <c r="M258" s="15" t="n">
        <f aca="false">L258*(1+IF(M$3&lt;=$O$2,$D258,$D258-($D258-$I$238)*MIN(M$3-$O$2,$Q$2)/$Q$2))</f>
        <v>19247.188401228</v>
      </c>
      <c r="N258" s="15" t="n">
        <f aca="false">M258*(1+IF(N$3&lt;=$O$2,$D258,$D258-($D258-$I$238)*MIN(N$3-$O$2,$Q$2)/$Q$2))</f>
        <v>19791.8838329828</v>
      </c>
      <c r="O258" s="15" t="n">
        <f aca="false">SUMPRODUCT(E258:N258,1/(1+$F$238)^$E$3:$N$3)*$E$2</f>
        <v>34031.6149864435</v>
      </c>
      <c r="P258" s="15" t="n">
        <f aca="false">N258*$E$2*(1+$I$238)/($F$238-$I$238)/(1+$F$238)^$N$3</f>
        <v>52468.6574015084</v>
      </c>
      <c r="Q258" s="15" t="n">
        <f aca="false">O258+P258</f>
        <v>86500.2723879519</v>
      </c>
      <c r="R258" s="15" t="n">
        <f aca="false">Q258-$G$2+$I$2</f>
        <v>80380.2723879519</v>
      </c>
      <c r="S258" s="42" t="n">
        <f aca="false">R258/$K$2</f>
        <v>464.142928675089</v>
      </c>
      <c r="T258" s="43" t="n">
        <f aca="false">S258-$M$2</f>
        <v>0.00157286032981574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0.120962142944336</v>
      </c>
      <c r="C259" s="25" t="n">
        <f aca="false">IF(T258&gt;0,D258,C258)</f>
        <v>0.120965003967285</v>
      </c>
      <c r="D259" s="41" t="n">
        <f aca="false">(B259+C259)/2</f>
        <v>0.120963573455811</v>
      </c>
      <c r="E259" s="15" t="n">
        <f aca="false">$C$2*(1+IF(E$3&lt;=$O$2,$D259,$D259-($D259-$I$238)*MIN(E$3-$O$2,$Q$2)/$Q$2))</f>
        <v>9147.06275939941</v>
      </c>
      <c r="F259" s="15" t="n">
        <f aca="false">E259*(1+IF(F$3&lt;=$O$2,$D259,$D259-($D259-$I$238)*MIN(F$3-$O$2,$Q$2)/$Q$2))</f>
        <v>10253.5241574009</v>
      </c>
      <c r="G259" s="15" t="n">
        <f aca="false">F259*(1+IF(G$3&lt;=$O$2,$D259,$D259-($D259-$I$238)*MIN(G$3-$O$2,$Q$2)/$Q$2))</f>
        <v>11493.8270799956</v>
      </c>
      <c r="H259" s="15" t="n">
        <f aca="false">G259*(1+IF(H$3&lt;=$O$2,$D259,$D259-($D259-$I$238)*MIN(H$3-$O$2,$Q$2)/$Q$2))</f>
        <v>12884.1614762751</v>
      </c>
      <c r="I259" s="15" t="n">
        <f aca="false">H259*(1+IF(I$3&lt;=$O$2,$D259,$D259-($D259-$I$238)*MIN(I$3-$O$2,$Q$2)/$Q$2))</f>
        <v>14442.675689427</v>
      </c>
      <c r="J259" s="15" t="n">
        <f aca="false">I259*(1+IF(J$3&lt;=$O$2,$D259,$D259-($D259-$I$238)*MIN(J$3-$O$2,$Q$2)/$Q$2))</f>
        <v>15922.0513631543</v>
      </c>
      <c r="K259" s="15" t="n">
        <f aca="false">J259*(1+IF(K$3&lt;=$O$2,$D259,$D259-($D259-$I$238)*MIN(K$3-$O$2,$Q$2)/$Q$2))</f>
        <v>17257.8819223657</v>
      </c>
      <c r="L259" s="15" t="n">
        <f aca="false">K259*(1+IF(L$3&lt;=$O$2,$D259,$D259-($D259-$I$238)*MIN(L$3-$O$2,$Q$2)/$Q$2))</f>
        <v>18385.9507844506</v>
      </c>
      <c r="M259" s="15" t="n">
        <f aca="false">L259*(1+IF(M$3&lt;=$O$2,$D259,$D259-($D259-$I$238)*MIN(M$3-$O$2,$Q$2)/$Q$2))</f>
        <v>19247.0147718645</v>
      </c>
      <c r="N259" s="15" t="n">
        <f aca="false">M259*(1+IF(N$3&lt;=$O$2,$D259,$D259-($D259-$I$238)*MIN(N$3-$O$2,$Q$2)/$Q$2))</f>
        <v>19791.7052899082</v>
      </c>
      <c r="O259" s="15" t="n">
        <f aca="false">SUMPRODUCT(E259:N259,1/(1+$F$238)^$E$3:$N$3)*$E$2</f>
        <v>34031.4038745372</v>
      </c>
      <c r="P259" s="15" t="n">
        <f aca="false">N259*$E$2*(1+$I$238)/($F$238-$I$238)/(1+$F$238)^$N$3</f>
        <v>52468.1840804498</v>
      </c>
      <c r="Q259" s="15" t="n">
        <f aca="false">O259+P259</f>
        <v>86499.587954987</v>
      </c>
      <c r="R259" s="15" t="n">
        <f aca="false">Q259-$G$2+$I$2</f>
        <v>80379.587954987</v>
      </c>
      <c r="S259" s="42" t="n">
        <f aca="false">R259/$K$2</f>
        <v>464.138976527237</v>
      </c>
      <c r="T259" s="43" t="n">
        <f aca="false">S259-$M$2</f>
        <v>-0.00237928752176231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0.120963573455811</v>
      </c>
      <c r="C260" s="25" t="n">
        <f aca="false">IF(T259&gt;0,D259,C259)</f>
        <v>0.120965003967285</v>
      </c>
      <c r="D260" s="41" t="n">
        <f aca="false">(B260+C260)/2</f>
        <v>0.120964288711548</v>
      </c>
      <c r="E260" s="15" t="n">
        <f aca="false">$C$2*(1+IF(E$3&lt;=$O$2,$D260,$D260-($D260-$I$238)*MIN(E$3-$O$2,$Q$2)/$Q$2))</f>
        <v>9147.06859588623</v>
      </c>
      <c r="F260" s="15" t="n">
        <f aca="false">E260*(1+IF(F$3&lt;=$O$2,$D260,$D260-($D260-$I$238)*MIN(F$3-$O$2,$Q$2)/$Q$2))</f>
        <v>10253.5372423833</v>
      </c>
      <c r="G260" s="15" t="n">
        <f aca="false">F260*(1+IF(G$3&lt;=$O$2,$D260,$D260-($D260-$I$238)*MIN(G$3-$O$2,$Q$2)/$Q$2))</f>
        <v>11493.8490816856</v>
      </c>
      <c r="H260" s="15" t="n">
        <f aca="false">G260*(1+IF(H$3&lt;=$O$2,$D260,$D260-($D260-$I$238)*MIN(H$3-$O$2,$Q$2)/$Q$2))</f>
        <v>12884.1943604096</v>
      </c>
      <c r="I260" s="15" t="n">
        <f aca="false">H260*(1+IF(I$3&lt;=$O$2,$D260,$D260-($D260-$I$238)*MIN(I$3-$O$2,$Q$2)/$Q$2))</f>
        <v>14442.7217668379</v>
      </c>
      <c r="J260" s="15" t="n">
        <f aca="false">I260*(1+IF(J$3&lt;=$O$2,$D260,$D260-($D260-$I$238)*MIN(J$3-$O$2,$Q$2)/$Q$2))</f>
        <v>15922.1104245056</v>
      </c>
      <c r="K260" s="15" t="n">
        <f aca="false">J260*(1+IF(K$3&lt;=$O$2,$D260,$D260-($D260-$I$238)*MIN(K$3-$O$2,$Q$2)/$Q$2))</f>
        <v>17257.9527718833</v>
      </c>
      <c r="L260" s="15" t="n">
        <f aca="false">K260*(1+IF(L$3&lt;=$O$2,$D260,$D260-($D260-$I$238)*MIN(L$3-$O$2,$Q$2)/$Q$2))</f>
        <v>18386.0312026172</v>
      </c>
      <c r="M260" s="15" t="n">
        <f aca="false">L260*(1+IF(M$3&lt;=$O$2,$D260,$D260-($D260-$I$238)*MIN(M$3-$O$2,$Q$2)/$Q$2))</f>
        <v>19247.101586375</v>
      </c>
      <c r="N260" s="15" t="n">
        <f aca="false">M260*(1+IF(N$3&lt;=$O$2,$D260,$D260-($D260-$I$238)*MIN(N$3-$O$2,$Q$2)/$Q$2))</f>
        <v>19791.7945612694</v>
      </c>
      <c r="O260" s="15" t="n">
        <f aca="false">SUMPRODUCT(E260:N260,1/(1+$F$238)^$E$3:$N$3)*$E$2</f>
        <v>34031.5094303286</v>
      </c>
      <c r="P260" s="15" t="n">
        <f aca="false">N260*$E$2*(1+$I$238)/($F$238-$I$238)/(1+$F$238)^$N$3</f>
        <v>52468.4207405123</v>
      </c>
      <c r="Q260" s="15" t="n">
        <f aca="false">O260+P260</f>
        <v>86499.930170841</v>
      </c>
      <c r="R260" s="15" t="n">
        <f aca="false">Q260-$G$2+$I$2</f>
        <v>80379.930170841</v>
      </c>
      <c r="S260" s="42" t="n">
        <f aca="false">R260/$K$2</f>
        <v>464.140952597534</v>
      </c>
      <c r="T260" s="43" t="n">
        <f aca="false">S260-$M$2</f>
        <v>-0.000403217225084518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0.120964288711548</v>
      </c>
      <c r="C261" s="25" t="n">
        <f aca="false">IF(T260&gt;0,D260,C260)</f>
        <v>0.120965003967285</v>
      </c>
      <c r="D261" s="41" t="n">
        <f aca="false">(B261+C261)/2</f>
        <v>0.120964646339417</v>
      </c>
      <c r="E261" s="15" t="n">
        <f aca="false">$C$2*(1+IF(E$3&lt;=$O$2,$D261,$D261-($D261-$I$238)*MIN(E$3-$O$2,$Q$2)/$Q$2))</f>
        <v>9147.07151412964</v>
      </c>
      <c r="F261" s="15" t="n">
        <f aca="false">E261*(1+IF(F$3&lt;=$O$2,$D261,$D261-($D261-$I$238)*MIN(F$3-$O$2,$Q$2)/$Q$2))</f>
        <v>10253.5437848777</v>
      </c>
      <c r="G261" s="15" t="n">
        <f aca="false">F261*(1+IF(G$3&lt;=$O$2,$D261,$D261-($D261-$I$238)*MIN(G$3-$O$2,$Q$2)/$Q$2))</f>
        <v>11493.8600825411</v>
      </c>
      <c r="H261" s="15" t="n">
        <f aca="false">G261*(1+IF(H$3&lt;=$O$2,$D261,$D261-($D261-$I$238)*MIN(H$3-$O$2,$Q$2)/$Q$2))</f>
        <v>12884.2108025005</v>
      </c>
      <c r="I261" s="15" t="n">
        <f aca="false">H261*(1+IF(I$3&lt;=$O$2,$D261,$D261-($D261-$I$238)*MIN(I$3-$O$2,$Q$2)/$Q$2))</f>
        <v>14442.7448055874</v>
      </c>
      <c r="J261" s="15" t="n">
        <f aca="false">I261*(1+IF(J$3&lt;=$O$2,$D261,$D261-($D261-$I$238)*MIN(J$3-$O$2,$Q$2)/$Q$2))</f>
        <v>15922.1399552497</v>
      </c>
      <c r="K261" s="15" t="n">
        <f aca="false">J261*(1+IF(K$3&lt;=$O$2,$D261,$D261-($D261-$I$238)*MIN(K$3-$O$2,$Q$2)/$Q$2))</f>
        <v>17257.9881967352</v>
      </c>
      <c r="L261" s="15" t="n">
        <f aca="false">K261*(1+IF(L$3&lt;=$O$2,$D261,$D261-($D261-$I$238)*MIN(L$3-$O$2,$Q$2)/$Q$2))</f>
        <v>18386.0714118149</v>
      </c>
      <c r="M261" s="15" t="n">
        <f aca="false">L261*(1+IF(M$3&lt;=$O$2,$D261,$D261-($D261-$I$238)*MIN(M$3-$O$2,$Q$2)/$Q$2))</f>
        <v>19247.1449937587</v>
      </c>
      <c r="N261" s="15" t="n">
        <f aca="false">M261*(1+IF(N$3&lt;=$O$2,$D261,$D261-($D261-$I$238)*MIN(N$3-$O$2,$Q$2)/$Q$2))</f>
        <v>19791.8391970821</v>
      </c>
      <c r="O261" s="15" t="n">
        <f aca="false">SUMPRODUCT(E261:N261,1/(1+$F$238)^$E$3:$N$3)*$E$2</f>
        <v>34031.5622083456</v>
      </c>
      <c r="P261" s="15" t="n">
        <f aca="false">N261*$E$2*(1+$I$238)/($F$238-$I$238)/(1+$F$238)^$N$3</f>
        <v>52468.5390708937</v>
      </c>
      <c r="Q261" s="15" t="n">
        <f aca="false">O261+P261</f>
        <v>86500.1012792393</v>
      </c>
      <c r="R261" s="15" t="n">
        <f aca="false">Q261-$G$2+$I$2</f>
        <v>80380.1012792393</v>
      </c>
      <c r="S261" s="42" t="n">
        <f aca="false">R261/$K$2</f>
        <v>464.141940635404</v>
      </c>
      <c r="T261" s="43" t="n">
        <f aca="false">S261-$M$2</f>
        <v>0.000584820645087802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0.120964288711548</v>
      </c>
      <c r="C262" s="25" t="n">
        <f aca="false">IF(T261&gt;0,D261,C261)</f>
        <v>0.120964646339417</v>
      </c>
      <c r="D262" s="41" t="n">
        <f aca="false">(B262+C262)/2</f>
        <v>0.120964467525482</v>
      </c>
      <c r="E262" s="15" t="n">
        <f aca="false">$C$2*(1+IF(E$3&lt;=$O$2,$D262,$D262-($D262-$I$238)*MIN(E$3-$O$2,$Q$2)/$Q$2))</f>
        <v>9147.07005500794</v>
      </c>
      <c r="F262" s="15" t="n">
        <f aca="false">E262*(1+IF(F$3&lt;=$O$2,$D262,$D262-($D262-$I$238)*MIN(F$3-$O$2,$Q$2)/$Q$2))</f>
        <v>10253.5405136303</v>
      </c>
      <c r="G262" s="15" t="n">
        <f aca="false">F262*(1+IF(G$3&lt;=$O$2,$D262,$D262-($D262-$I$238)*MIN(G$3-$O$2,$Q$2)/$Q$2))</f>
        <v>11493.8545821125</v>
      </c>
      <c r="H262" s="15" t="n">
        <f aca="false">G262*(1+IF(H$3&lt;=$O$2,$D262,$D262-($D262-$I$238)*MIN(H$3-$O$2,$Q$2)/$Q$2))</f>
        <v>12884.2025814531</v>
      </c>
      <c r="I262" s="15" t="n">
        <f aca="false">H262*(1+IF(I$3&lt;=$O$2,$D262,$D262-($D262-$I$238)*MIN(I$3-$O$2,$Q$2)/$Q$2))</f>
        <v>14442.733286209</v>
      </c>
      <c r="J262" s="15" t="n">
        <f aca="false">I262*(1+IF(J$3&lt;=$O$2,$D262,$D262-($D262-$I$238)*MIN(J$3-$O$2,$Q$2)/$Q$2))</f>
        <v>15922.125189872</v>
      </c>
      <c r="K262" s="15" t="n">
        <f aca="false">J262*(1+IF(K$3&lt;=$O$2,$D262,$D262-($D262-$I$238)*MIN(K$3-$O$2,$Q$2)/$Q$2))</f>
        <v>17257.9704843015</v>
      </c>
      <c r="L262" s="15" t="n">
        <f aca="false">K262*(1+IF(L$3&lt;=$O$2,$D262,$D262-($D262-$I$238)*MIN(L$3-$O$2,$Q$2)/$Q$2))</f>
        <v>18386.0513072065</v>
      </c>
      <c r="M262" s="15" t="n">
        <f aca="false">L262*(1+IF(M$3&lt;=$O$2,$D262,$D262-($D262-$I$238)*MIN(M$3-$O$2,$Q$2)/$Q$2))</f>
        <v>19247.1232900562</v>
      </c>
      <c r="N262" s="15" t="n">
        <f aca="false">M262*(1+IF(N$3&lt;=$O$2,$D262,$D262-($D262-$I$238)*MIN(N$3-$O$2,$Q$2)/$Q$2))</f>
        <v>19791.8168791648</v>
      </c>
      <c r="O262" s="15" t="n">
        <f aca="false">SUMPRODUCT(E262:N262,1/(1+$F$238)^$E$3:$N$3)*$E$2</f>
        <v>34031.535819327</v>
      </c>
      <c r="P262" s="15" t="n">
        <f aca="false">N262*$E$2*(1+$I$238)/($F$238-$I$238)/(1+$F$238)^$N$3</f>
        <v>52468.4799056739</v>
      </c>
      <c r="Q262" s="15" t="n">
        <f aca="false">O262+P262</f>
        <v>86500.0157250009</v>
      </c>
      <c r="R262" s="15" t="n">
        <f aca="false">Q262-$G$2+$I$2</f>
        <v>80380.0157250009</v>
      </c>
      <c r="S262" s="42" t="n">
        <f aca="false">R262/$K$2</f>
        <v>464.141446616243</v>
      </c>
      <c r="T262" s="43" t="n">
        <f aca="false">S262-$M$2</f>
        <v>9.08014832816662E-005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0.120964288711548</v>
      </c>
      <c r="C263" s="25" t="n">
        <f aca="false">IF(T262&gt;0,D262,C262)</f>
        <v>0.120964467525482</v>
      </c>
      <c r="D263" s="41" t="n">
        <f aca="false">(B263+C263)/2</f>
        <v>0.120964378118515</v>
      </c>
      <c r="E263" s="15" t="n">
        <f aca="false">$C$2*(1+IF(E$3&lt;=$O$2,$D263,$D263-($D263-$I$238)*MIN(E$3-$O$2,$Q$2)/$Q$2))</f>
        <v>9147.06932544708</v>
      </c>
      <c r="F263" s="15" t="n">
        <f aca="false">E263*(1+IF(F$3&lt;=$O$2,$D263,$D263-($D263-$I$238)*MIN(F$3-$O$2,$Q$2)/$Q$2))</f>
        <v>10253.5388780067</v>
      </c>
      <c r="G263" s="15" t="n">
        <f aca="false">F263*(1+IF(G$3&lt;=$O$2,$D263,$D263-($D263-$I$238)*MIN(G$3-$O$2,$Q$2)/$Q$2))</f>
        <v>11493.8518318988</v>
      </c>
      <c r="H263" s="15" t="n">
        <f aca="false">G263*(1+IF(H$3&lt;=$O$2,$D263,$D263-($D263-$I$238)*MIN(H$3-$O$2,$Q$2)/$Q$2))</f>
        <v>12884.1984709308</v>
      </c>
      <c r="I263" s="15" t="n">
        <f aca="false">H263*(1+IF(I$3&lt;=$O$2,$D263,$D263-($D263-$I$238)*MIN(I$3-$O$2,$Q$2)/$Q$2))</f>
        <v>14442.7275265225</v>
      </c>
      <c r="J263" s="15" t="n">
        <f aca="false">I263*(1+IF(J$3&lt;=$O$2,$D263,$D263-($D263-$I$238)*MIN(J$3-$O$2,$Q$2)/$Q$2))</f>
        <v>15922.1178071874</v>
      </c>
      <c r="K263" s="15" t="n">
        <f aca="false">J263*(1+IF(K$3&lt;=$O$2,$D263,$D263-($D263-$I$238)*MIN(K$3-$O$2,$Q$2)/$Q$2))</f>
        <v>17257.9616280904</v>
      </c>
      <c r="L263" s="15" t="n">
        <f aca="false">K263*(1+IF(L$3&lt;=$O$2,$D263,$D263-($D263-$I$238)*MIN(L$3-$O$2,$Q$2)/$Q$2))</f>
        <v>18386.0412549095</v>
      </c>
      <c r="M263" s="15" t="n">
        <f aca="false">L263*(1+IF(M$3&lt;=$O$2,$D263,$D263-($D263-$I$238)*MIN(M$3-$O$2,$Q$2)/$Q$2))</f>
        <v>19247.1124382129</v>
      </c>
      <c r="N263" s="15" t="n">
        <f aca="false">M263*(1+IF(N$3&lt;=$O$2,$D263,$D263-($D263-$I$238)*MIN(N$3-$O$2,$Q$2)/$Q$2))</f>
        <v>19791.8057202143</v>
      </c>
      <c r="O263" s="15" t="n">
        <f aca="false">SUMPRODUCT(E263:N263,1/(1+$F$238)^$E$3:$N$3)*$E$2</f>
        <v>34031.5226248253</v>
      </c>
      <c r="P263" s="15" t="n">
        <f aca="false">N263*$E$2*(1+$I$238)/($F$238-$I$238)/(1+$F$238)^$N$3</f>
        <v>52468.4503230858</v>
      </c>
      <c r="Q263" s="15" t="n">
        <f aca="false">O263+P263</f>
        <v>86499.9729479111</v>
      </c>
      <c r="R263" s="15" t="n">
        <f aca="false">Q263-$G$2+$I$2</f>
        <v>80379.9729479111</v>
      </c>
      <c r="S263" s="42" t="n">
        <f aca="false">R263/$K$2</f>
        <v>464.141199606832</v>
      </c>
      <c r="T263" s="43" t="n">
        <f aca="false">S263-$M$2</f>
        <v>-0.000156207927716423</v>
      </c>
    </row>
    <row r="265" customFormat="false" ht="15" hidden="false" customHeight="false" outlineLevel="0" collapsed="false">
      <c r="A265" s="38" t="s">
        <v>190</v>
      </c>
      <c r="E265" s="5" t="s">
        <v>11</v>
      </c>
      <c r="F265" s="12" t="n">
        <f aca="false">Sensitivity!$B$11</f>
        <v>0.0903160519233867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162</v>
      </c>
      <c r="B266" s="28" t="s">
        <v>163</v>
      </c>
      <c r="C266" s="28" t="s">
        <v>164</v>
      </c>
      <c r="D266" s="28" t="s">
        <v>165</v>
      </c>
      <c r="E266" s="28" t="s">
        <v>166</v>
      </c>
      <c r="F266" s="28" t="s">
        <v>167</v>
      </c>
      <c r="G266" s="28" t="s">
        <v>168</v>
      </c>
      <c r="H266" s="28" t="s">
        <v>169</v>
      </c>
      <c r="I266" s="28" t="s">
        <v>170</v>
      </c>
      <c r="J266" s="28" t="s">
        <v>171</v>
      </c>
      <c r="K266" s="28" t="s">
        <v>172</v>
      </c>
      <c r="L266" s="28" t="s">
        <v>173</v>
      </c>
      <c r="M266" s="28" t="s">
        <v>174</v>
      </c>
      <c r="N266" s="28" t="s">
        <v>175</v>
      </c>
      <c r="O266" s="28" t="s">
        <v>176</v>
      </c>
      <c r="P266" s="28" t="s">
        <v>177</v>
      </c>
      <c r="Q266" s="28" t="s">
        <v>178</v>
      </c>
      <c r="R266" s="28" t="s">
        <v>179</v>
      </c>
      <c r="S266" s="28" t="s">
        <v>180</v>
      </c>
      <c r="T266" s="28" t="s">
        <v>181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10200</v>
      </c>
      <c r="F267" s="15" t="n">
        <f aca="false">E267*(1+IF(F$3&lt;=$O$2,$D267,$D267-($D267-$I$265)*MIN(F$3-$O$2,$Q$2)/$Q$2))</f>
        <v>12750</v>
      </c>
      <c r="G267" s="15" t="n">
        <f aca="false">F267*(1+IF(G$3&lt;=$O$2,$D267,$D267-($D267-$I$265)*MIN(G$3-$O$2,$Q$2)/$Q$2))</f>
        <v>15937.5</v>
      </c>
      <c r="H267" s="15" t="n">
        <f aca="false">G267*(1+IF(H$3&lt;=$O$2,$D267,$D267-($D267-$I$265)*MIN(H$3-$O$2,$Q$2)/$Q$2))</f>
        <v>19921.875</v>
      </c>
      <c r="I267" s="15" t="n">
        <f aca="false">H267*(1+IF(I$3&lt;=$O$2,$D267,$D267-($D267-$I$265)*MIN(I$3-$O$2,$Q$2)/$Q$2))</f>
        <v>24902.34375</v>
      </c>
      <c r="J267" s="15" t="n">
        <f aca="false">I267*(1+IF(J$3&lt;=$O$2,$D267,$D267-($D267-$I$265)*MIN(J$3-$O$2,$Q$2)/$Q$2))</f>
        <v>30048.662109375</v>
      </c>
      <c r="K267" s="15" t="n">
        <f aca="false">J267*(1+IF(K$3&lt;=$O$2,$D267,$D267-($D267-$I$265)*MIN(K$3-$O$2,$Q$2)/$Q$2))</f>
        <v>34956.2096050781</v>
      </c>
      <c r="L267" s="15" t="n">
        <f aca="false">K267*(1+IF(L$3&lt;=$O$2,$D267,$D267-($D267-$I$265)*MIN(L$3-$O$2,$Q$2)/$Q$2))</f>
        <v>39150.2556334954</v>
      </c>
      <c r="M267" s="15" t="n">
        <f aca="false">L267*(1+IF(M$3&lt;=$O$2,$D267,$D267-($D267-$I$265)*MIN(M$3-$O$2,$Q$2)/$Q$2))</f>
        <v>42150.7312252465</v>
      </c>
      <c r="N267" s="15" t="n">
        <f aca="false">M267*(1+IF(N$3&lt;=$O$2,$D267,$D267-($D267-$I$265)*MIN(N$3-$O$2,$Q$2)/$Q$2))</f>
        <v>43554.3505750472</v>
      </c>
      <c r="O267" s="15" t="n">
        <f aca="false">SUMPRODUCT(E267:N267,1/(1+$F$265)^$E$3:$N$3)*$E$2</f>
        <v>59561.5253362563</v>
      </c>
      <c r="P267" s="15" t="n">
        <f aca="false">N267*$E$2*(1+$I$265)/($F$265-$I$265)/(1+$F$265)^$N$3</f>
        <v>126199.585235689</v>
      </c>
      <c r="Q267" s="15" t="n">
        <f aca="false">O267+P267</f>
        <v>185761.110571946</v>
      </c>
      <c r="R267" s="15" t="n">
        <f aca="false">Q267-$G$2+$I$2</f>
        <v>179641.110571946</v>
      </c>
      <c r="S267" s="42" t="n">
        <f aca="false">R267/$K$2</f>
        <v>1037.30864171351</v>
      </c>
      <c r="T267" s="43" t="n">
        <f aca="false">S267-$M$2</f>
        <v>573.167285898751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7140</v>
      </c>
      <c r="F268" s="15" t="n">
        <f aca="false">E268*(1+IF(F$3&lt;=$O$2,$D268,$D268-($D268-$I$265)*MIN(F$3-$O$2,$Q$2)/$Q$2))</f>
        <v>6247.5</v>
      </c>
      <c r="G268" s="15" t="n">
        <f aca="false">F268*(1+IF(G$3&lt;=$O$2,$D268,$D268-($D268-$I$265)*MIN(G$3-$O$2,$Q$2)/$Q$2))</f>
        <v>5466.5625</v>
      </c>
      <c r="H268" s="15" t="n">
        <f aca="false">G268*(1+IF(H$3&lt;=$O$2,$D268,$D268-($D268-$I$265)*MIN(H$3-$O$2,$Q$2)/$Q$2))</f>
        <v>4783.2421875</v>
      </c>
      <c r="I268" s="15" t="n">
        <f aca="false">H268*(1+IF(I$3&lt;=$O$2,$D268,$D268-($D268-$I$265)*MIN(I$3-$O$2,$Q$2)/$Q$2))</f>
        <v>4185.3369140625</v>
      </c>
      <c r="J268" s="15" t="n">
        <f aca="false">I268*(1+IF(J$3&lt;=$O$2,$D268,$D268-($D268-$I$265)*MIN(J$3-$O$2,$Q$2)/$Q$2))</f>
        <v>3794.67756650391</v>
      </c>
      <c r="K268" s="15" t="n">
        <f aca="false">J268*(1+IF(K$3&lt;=$O$2,$D268,$D268-($D268-$I$265)*MIN(K$3-$O$2,$Q$2)/$Q$2))</f>
        <v>3560.62185420195</v>
      </c>
      <c r="L268" s="15" t="n">
        <f aca="false">K268*(1+IF(L$3&lt;=$O$2,$D268,$D268-($D268-$I$265)*MIN(L$3-$O$2,$Q$2)/$Q$2))</f>
        <v>3453.7319861388</v>
      </c>
      <c r="M268" s="15" t="n">
        <f aca="false">L268*(1+IF(M$3&lt;=$O$2,$D268,$D268-($D268-$I$265)*MIN(M$3-$O$2,$Q$2)/$Q$2))</f>
        <v>3459.39610659607</v>
      </c>
      <c r="N268" s="15" t="n">
        <f aca="false">M268*(1+IF(N$3&lt;=$O$2,$D268,$D268-($D268-$I$265)*MIN(N$3-$O$2,$Q$2)/$Q$2))</f>
        <v>3574.59399694572</v>
      </c>
      <c r="O268" s="15" t="n">
        <f aca="false">SUMPRODUCT(E268:N268,1/(1+$F$265)^$E$3:$N$3)*$E$2</f>
        <v>11823.786678427</v>
      </c>
      <c r="P268" s="15" t="n">
        <f aca="false">N268*$E$2*(1+$I$265)/($F$265-$I$265)/(1+$F$265)^$N$3</f>
        <v>10357.4562321446</v>
      </c>
      <c r="Q268" s="15" t="n">
        <f aca="false">O268+P268</f>
        <v>22181.2429105716</v>
      </c>
      <c r="R268" s="15" t="n">
        <f aca="false">Q268-$G$2+$I$2</f>
        <v>16061.2429105716</v>
      </c>
      <c r="S268" s="42" t="n">
        <f aca="false">R268/$K$2</f>
        <v>92.7430587283266</v>
      </c>
      <c r="T268" s="43" t="n">
        <f aca="false">S268-$M$2</f>
        <v>-371.398297086433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8670</v>
      </c>
      <c r="F269" s="15" t="n">
        <f aca="false">E269*(1+IF(F$3&lt;=$O$2,$D269,$D269-($D269-$I$265)*MIN(F$3-$O$2,$Q$2)/$Q$2))</f>
        <v>9211.875</v>
      </c>
      <c r="G269" s="15" t="n">
        <f aca="false">F269*(1+IF(G$3&lt;=$O$2,$D269,$D269-($D269-$I$265)*MIN(G$3-$O$2,$Q$2)/$Q$2))</f>
        <v>9787.6171875</v>
      </c>
      <c r="H269" s="15" t="n">
        <f aca="false">G269*(1+IF(H$3&lt;=$O$2,$D269,$D269-($D269-$I$265)*MIN(H$3-$O$2,$Q$2)/$Q$2))</f>
        <v>10399.3432617188</v>
      </c>
      <c r="I269" s="15" t="n">
        <f aca="false">H269*(1+IF(I$3&lt;=$O$2,$D269,$D269-($D269-$I$265)*MIN(I$3-$O$2,$Q$2)/$Q$2))</f>
        <v>11049.3022155762</v>
      </c>
      <c r="J269" s="15" t="n">
        <f aca="false">I269*(1+IF(J$3&lt;=$O$2,$D269,$D269-($D269-$I$265)*MIN(J$3-$O$2,$Q$2)/$Q$2))</f>
        <v>11675.3556791107</v>
      </c>
      <c r="K269" s="15" t="n">
        <f aca="false">J269*(1+IF(K$3&lt;=$O$2,$D269,$D269-($D269-$I$265)*MIN(K$3-$O$2,$Q$2)/$Q$2))</f>
        <v>12268.6972547231</v>
      </c>
      <c r="L269" s="15" t="n">
        <f aca="false">K269*(1+IF(L$3&lt;=$O$2,$D269,$D269-($D269-$I$265)*MIN(L$3-$O$2,$Q$2)/$Q$2))</f>
        <v>12820.5432572406</v>
      </c>
      <c r="M269" s="15" t="n">
        <f aca="false">L269*(1+IF(M$3&lt;=$O$2,$D269,$D269-($D269-$I$265)*MIN(M$3-$O$2,$Q$2)/$Q$2))</f>
        <v>13322.339320329</v>
      </c>
      <c r="N269" s="15" t="n">
        <f aca="false">M269*(1+IF(N$3&lt;=$O$2,$D269,$D269-($D269-$I$265)*MIN(N$3-$O$2,$Q$2)/$Q$2))</f>
        <v>13765.9732196959</v>
      </c>
      <c r="O269" s="15" t="n">
        <f aca="false">SUMPRODUCT(E269:N269,1/(1+$F$265)^$E$3:$N$3)*$E$2</f>
        <v>26482.1904387233</v>
      </c>
      <c r="P269" s="15" t="n">
        <f aca="false">N269*$E$2*(1+$I$265)/($F$265-$I$265)/(1+$F$265)^$N$3</f>
        <v>39887.1774634273</v>
      </c>
      <c r="Q269" s="15" t="n">
        <f aca="false">O269+P269</f>
        <v>66369.3679021506</v>
      </c>
      <c r="R269" s="15" t="n">
        <f aca="false">Q269-$G$2+$I$2</f>
        <v>60249.3679021506</v>
      </c>
      <c r="S269" s="42" t="n">
        <f aca="false">R269/$K$2</f>
        <v>347.900265054571</v>
      </c>
      <c r="T269" s="43" t="n">
        <f aca="false">S269-$M$2</f>
        <v>-116.241090760188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0.0625</v>
      </c>
      <c r="C270" s="25" t="n">
        <f aca="false">IF(T269&gt;0,D269,C269)</f>
        <v>0.25</v>
      </c>
      <c r="D270" s="41" t="n">
        <f aca="false">(B270+C270)/2</f>
        <v>0.15625</v>
      </c>
      <c r="E270" s="15" t="n">
        <f aca="false">$C$2*(1+IF(E$3&lt;=$O$2,$D270,$D270-($D270-$I$265)*MIN(E$3-$O$2,$Q$2)/$Q$2))</f>
        <v>9435</v>
      </c>
      <c r="F270" s="15" t="n">
        <f aca="false">E270*(1+IF(F$3&lt;=$O$2,$D270,$D270-($D270-$I$265)*MIN(F$3-$O$2,$Q$2)/$Q$2))</f>
        <v>10909.21875</v>
      </c>
      <c r="G270" s="15" t="n">
        <f aca="false">F270*(1+IF(G$3&lt;=$O$2,$D270,$D270-($D270-$I$265)*MIN(G$3-$O$2,$Q$2)/$Q$2))</f>
        <v>12613.7841796875</v>
      </c>
      <c r="H270" s="15" t="n">
        <f aca="false">G270*(1+IF(H$3&lt;=$O$2,$D270,$D270-($D270-$I$265)*MIN(H$3-$O$2,$Q$2)/$Q$2))</f>
        <v>14584.6879577637</v>
      </c>
      <c r="I270" s="15" t="n">
        <f aca="false">H270*(1+IF(I$3&lt;=$O$2,$D270,$D270-($D270-$I$265)*MIN(I$3-$O$2,$Q$2)/$Q$2))</f>
        <v>16863.5454511642</v>
      </c>
      <c r="J270" s="15" t="n">
        <f aca="false">I270*(1+IF(J$3&lt;=$O$2,$D270,$D270-($D270-$I$265)*MIN(J$3-$O$2,$Q$2)/$Q$2))</f>
        <v>19083.7998452645</v>
      </c>
      <c r="K270" s="15" t="n">
        <f aca="false">J270*(1+IF(K$3&lt;=$O$2,$D270,$D270-($D270-$I$265)*MIN(K$3-$O$2,$Q$2)/$Q$2))</f>
        <v>21127.102294697</v>
      </c>
      <c r="L270" s="15" t="n">
        <f aca="false">K270*(1+IF(L$3&lt;=$O$2,$D270,$D270-($D270-$I$265)*MIN(L$3-$O$2,$Q$2)/$Q$2))</f>
        <v>22869.6656919636</v>
      </c>
      <c r="M270" s="15" t="n">
        <f aca="false">L270*(1+IF(M$3&lt;=$O$2,$D270,$D270-($D270-$I$265)*MIN(M$3-$O$2,$Q$2)/$Q$2))</f>
        <v>24193.5906388714</v>
      </c>
      <c r="N270" s="15" t="n">
        <f aca="false">M270*(1+IF(N$3&lt;=$O$2,$D270,$D270-($D270-$I$265)*MIN(N$3-$O$2,$Q$2)/$Q$2))</f>
        <v>24999.2372071458</v>
      </c>
      <c r="O270" s="15" t="n">
        <f aca="false">SUMPRODUCT(E270:N270,1/(1+$F$265)^$E$3:$N$3)*$E$2</f>
        <v>39785.4563028772</v>
      </c>
      <c r="P270" s="15" t="n">
        <f aca="false">N270*$E$2*(1+$I$265)/($F$265-$I$265)/(1+$F$265)^$N$3</f>
        <v>72435.7802400087</v>
      </c>
      <c r="Q270" s="15" t="n">
        <f aca="false">O270+P270</f>
        <v>112221.236542886</v>
      </c>
      <c r="R270" s="15" t="n">
        <f aca="false">Q270-$G$2+$I$2</f>
        <v>106101.236542886</v>
      </c>
      <c r="S270" s="42" t="n">
        <f aca="false">R270/$K$2</f>
        <v>612.664490950952</v>
      </c>
      <c r="T270" s="43" t="n">
        <f aca="false">S270-$M$2</f>
        <v>148.523135136193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0.0625</v>
      </c>
      <c r="C271" s="25" t="n">
        <f aca="false">IF(T270&gt;0,D270,C270)</f>
        <v>0.15625</v>
      </c>
      <c r="D271" s="41" t="n">
        <f aca="false">(B271+C271)/2</f>
        <v>0.109375</v>
      </c>
      <c r="E271" s="15" t="n">
        <f aca="false">$C$2*(1+IF(E$3&lt;=$O$2,$D271,$D271-($D271-$I$265)*MIN(E$3-$O$2,$Q$2)/$Q$2))</f>
        <v>9052.5</v>
      </c>
      <c r="F271" s="15" t="n">
        <f aca="false">E271*(1+IF(F$3&lt;=$O$2,$D271,$D271-($D271-$I$265)*MIN(F$3-$O$2,$Q$2)/$Q$2))</f>
        <v>10042.6171875</v>
      </c>
      <c r="G271" s="15" t="n">
        <f aca="false">F271*(1+IF(G$3&lt;=$O$2,$D271,$D271-($D271-$I$265)*MIN(G$3-$O$2,$Q$2)/$Q$2))</f>
        <v>11141.0284423828</v>
      </c>
      <c r="H271" s="15" t="n">
        <f aca="false">G271*(1+IF(H$3&lt;=$O$2,$D271,$D271-($D271-$I$265)*MIN(H$3-$O$2,$Q$2)/$Q$2))</f>
        <v>12359.5784282684</v>
      </c>
      <c r="I271" s="15" t="n">
        <f aca="false">H271*(1+IF(I$3&lt;=$O$2,$D271,$D271-($D271-$I$265)*MIN(I$3-$O$2,$Q$2)/$Q$2))</f>
        <v>13711.4073188603</v>
      </c>
      <c r="J271" s="15" t="n">
        <f aca="false">I271*(1+IF(J$3&lt;=$O$2,$D271,$D271-($D271-$I$265)*MIN(J$3-$O$2,$Q$2)/$Q$2))</f>
        <v>15002.4734320042</v>
      </c>
      <c r="K271" s="15" t="n">
        <f aca="false">J271*(1+IF(K$3&lt;=$O$2,$D271,$D271-($D271-$I$265)*MIN(K$3-$O$2,$Q$2)/$Q$2))</f>
        <v>16186.8436970937</v>
      </c>
      <c r="L271" s="15" t="n">
        <f aca="false">K271*(1+IF(L$3&lt;=$O$2,$D271,$D271-($D271-$I$265)*MIN(L$3-$O$2,$Q$2)/$Q$2))</f>
        <v>17218.4312459095</v>
      </c>
      <c r="M271" s="15" t="n">
        <f aca="false">L271*(1+IF(M$3&lt;=$O$2,$D271,$D271-($D271-$I$265)*MIN(M$3-$O$2,$Q$2)/$Q$2))</f>
        <v>18053.7834378048</v>
      </c>
      <c r="N271" s="15" t="n">
        <f aca="false">M271*(1+IF(N$3&lt;=$O$2,$D271,$D271-($D271-$I$265)*MIN(N$3-$O$2,$Q$2)/$Q$2))</f>
        <v>18654.9744262837</v>
      </c>
      <c r="O271" s="15" t="n">
        <f aca="false">SUMPRODUCT(E271:N271,1/(1+$F$265)^$E$3:$N$3)*$E$2</f>
        <v>32465.3798753468</v>
      </c>
      <c r="P271" s="15" t="n">
        <f aca="false">N271*$E$2*(1+$I$265)/($F$265-$I$265)/(1+$F$265)^$N$3</f>
        <v>54053.1543714069</v>
      </c>
      <c r="Q271" s="15" t="n">
        <f aca="false">O271+P271</f>
        <v>86518.5342467536</v>
      </c>
      <c r="R271" s="15" t="n">
        <f aca="false">Q271-$G$2+$I$2</f>
        <v>80398.5342467536</v>
      </c>
      <c r="S271" s="42" t="n">
        <f aca="false">R271/$K$2</f>
        <v>464.248378835626</v>
      </c>
      <c r="T271" s="43" t="n">
        <f aca="false">S271-$M$2</f>
        <v>0.107023020866279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0.0625</v>
      </c>
      <c r="C272" s="25" t="n">
        <f aca="false">IF(T271&gt;0,D271,C271)</f>
        <v>0.109375</v>
      </c>
      <c r="D272" s="41" t="n">
        <f aca="false">(B272+C272)/2</f>
        <v>0.0859375</v>
      </c>
      <c r="E272" s="15" t="n">
        <f aca="false">$C$2*(1+IF(E$3&lt;=$O$2,$D272,$D272-($D272-$I$265)*MIN(E$3-$O$2,$Q$2)/$Q$2))</f>
        <v>8861.25</v>
      </c>
      <c r="F272" s="15" t="n">
        <f aca="false">E272*(1+IF(F$3&lt;=$O$2,$D272,$D272-($D272-$I$265)*MIN(F$3-$O$2,$Q$2)/$Q$2))</f>
        <v>9622.763671875</v>
      </c>
      <c r="G272" s="15" t="n">
        <f aca="false">F272*(1+IF(G$3&lt;=$O$2,$D272,$D272-($D272-$I$265)*MIN(G$3-$O$2,$Q$2)/$Q$2))</f>
        <v>10449.7199249268</v>
      </c>
      <c r="H272" s="15" t="n">
        <f aca="false">G272*(1+IF(H$3&lt;=$O$2,$D272,$D272-($D272-$I$265)*MIN(H$3-$O$2,$Q$2)/$Q$2))</f>
        <v>11347.7427309752</v>
      </c>
      <c r="I272" s="15" t="n">
        <f aca="false">H272*(1+IF(I$3&lt;=$O$2,$D272,$D272-($D272-$I$265)*MIN(I$3-$O$2,$Q$2)/$Q$2))</f>
        <v>12322.9393719183</v>
      </c>
      <c r="J272" s="15" t="n">
        <f aca="false">I272*(1+IF(J$3&lt;=$O$2,$D272,$D272-($D272-$I$265)*MIN(J$3-$O$2,$Q$2)/$Q$2))</f>
        <v>13252.2122299547</v>
      </c>
      <c r="K272" s="15" t="n">
        <f aca="false">J272*(1+IF(K$3&lt;=$O$2,$D272,$D272-($D272-$I$265)*MIN(K$3-$O$2,$Q$2)/$Q$2))</f>
        <v>14112.0488899647</v>
      </c>
      <c r="L272" s="15" t="n">
        <f aca="false">K272*(1+IF(L$3&lt;=$O$2,$D272,$D272-($D272-$I$265)*MIN(L$3-$O$2,$Q$2)/$Q$2))</f>
        <v>14879.1093073788</v>
      </c>
      <c r="M272" s="15" t="n">
        <f aca="false">L272*(1+IF(M$3&lt;=$O$2,$D272,$D272-($D272-$I$265)*MIN(M$3-$O$2,$Q$2)/$Q$2))</f>
        <v>15531.2234705479</v>
      </c>
      <c r="N272" s="15" t="n">
        <f aca="false">M272*(1+IF(N$3&lt;=$O$2,$D272,$D272-($D272-$I$265)*MIN(N$3-$O$2,$Q$2)/$Q$2))</f>
        <v>16048.4132121171</v>
      </c>
      <c r="O272" s="15" t="n">
        <f aca="false">SUMPRODUCT(E272:N272,1/(1+$F$265)^$E$3:$N$3)*$E$2</f>
        <v>29321.9104432954</v>
      </c>
      <c r="P272" s="15" t="n">
        <f aca="false">N272*$E$2*(1+$I$265)/($F$265-$I$265)/(1+$F$265)^$N$3</f>
        <v>46500.5921181261</v>
      </c>
      <c r="Q272" s="15" t="n">
        <f aca="false">O272+P272</f>
        <v>75822.5025614215</v>
      </c>
      <c r="R272" s="15" t="n">
        <f aca="false">Q272-$G$2+$I$2</f>
        <v>69702.5025614215</v>
      </c>
      <c r="S272" s="42" t="n">
        <f aca="false">R272/$K$2</f>
        <v>402.485867660362</v>
      </c>
      <c r="T272" s="43" t="n">
        <f aca="false">S272-$M$2</f>
        <v>-61.6554881543973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0.0859375</v>
      </c>
      <c r="C273" s="25" t="n">
        <f aca="false">IF(T272&gt;0,D272,C272)</f>
        <v>0.109375</v>
      </c>
      <c r="D273" s="41" t="n">
        <f aca="false">(B273+C273)/2</f>
        <v>0.09765625</v>
      </c>
      <c r="E273" s="15" t="n">
        <f aca="false">$C$2*(1+IF(E$3&lt;=$O$2,$D273,$D273-($D273-$I$265)*MIN(E$3-$O$2,$Q$2)/$Q$2))</f>
        <v>8956.875</v>
      </c>
      <c r="F273" s="15" t="n">
        <f aca="false">E273*(1+IF(F$3&lt;=$O$2,$D273,$D273-($D273-$I$265)*MIN(F$3-$O$2,$Q$2)/$Q$2))</f>
        <v>9831.56982421875</v>
      </c>
      <c r="G273" s="15" t="n">
        <f aca="false">F273*(1+IF(G$3&lt;=$O$2,$D273,$D273-($D273-$I$265)*MIN(G$3-$O$2,$Q$2)/$Q$2))</f>
        <v>10791.6840648651</v>
      </c>
      <c r="H273" s="15" t="n">
        <f aca="false">G273*(1+IF(H$3&lt;=$O$2,$D273,$D273-($D273-$I$265)*MIN(H$3-$O$2,$Q$2)/$Q$2))</f>
        <v>11845.5594618246</v>
      </c>
      <c r="I273" s="15" t="n">
        <f aca="false">H273*(1+IF(I$3&lt;=$O$2,$D273,$D273-($D273-$I$265)*MIN(I$3-$O$2,$Q$2)/$Q$2))</f>
        <v>13002.3523780184</v>
      </c>
      <c r="J273" s="15" t="n">
        <f aca="false">I273*(1+IF(J$3&lt;=$O$2,$D273,$D273-($D273-$I$265)*MIN(J$3-$O$2,$Q$2)/$Q$2))</f>
        <v>14104.7568243887</v>
      </c>
      <c r="K273" s="15" t="n">
        <f aca="false">J273*(1+IF(K$3&lt;=$O$2,$D273,$D273-($D273-$I$265)*MIN(K$3-$O$2,$Q$2)/$Q$2))</f>
        <v>15119.0827804686</v>
      </c>
      <c r="L273" s="15" t="n">
        <f aca="false">K273*(1+IF(L$3&lt;=$O$2,$D273,$D273-($D273-$I$265)*MIN(L$3-$O$2,$Q$2)/$Q$2))</f>
        <v>16011.7512255344</v>
      </c>
      <c r="M273" s="15" t="n">
        <f aca="false">L273*(1+IF(M$3&lt;=$O$2,$D273,$D273-($D273-$I$265)*MIN(M$3-$O$2,$Q$2)/$Q$2))</f>
        <v>16751.0337943064</v>
      </c>
      <c r="N273" s="15" t="n">
        <f aca="false">M273*(1+IF(N$3&lt;=$O$2,$D273,$D273-($D273-$I$265)*MIN(N$3-$O$2,$Q$2)/$Q$2))</f>
        <v>17308.8432196568</v>
      </c>
      <c r="O273" s="15" t="n">
        <f aca="false">SUMPRODUCT(E273:N273,1/(1+$F$265)^$E$3:$N$3)*$E$2</f>
        <v>30853.8679003501</v>
      </c>
      <c r="P273" s="15" t="n">
        <f aca="false">N273*$E$2*(1+$I$265)/($F$265-$I$265)/(1+$F$265)^$N$3</f>
        <v>50152.7127919503</v>
      </c>
      <c r="Q273" s="15" t="n">
        <f aca="false">O273+P273</f>
        <v>81006.5806923003</v>
      </c>
      <c r="R273" s="15" t="n">
        <f aca="false">Q273-$G$2+$I$2</f>
        <v>74886.5806923003</v>
      </c>
      <c r="S273" s="42" t="n">
        <f aca="false">R273/$K$2</f>
        <v>432.420491351775</v>
      </c>
      <c r="T273" s="43" t="n">
        <f aca="false">S273-$M$2</f>
        <v>-31.7208644629847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0.09765625</v>
      </c>
      <c r="C274" s="25" t="n">
        <f aca="false">IF(T273&gt;0,D273,C273)</f>
        <v>0.109375</v>
      </c>
      <c r="D274" s="41" t="n">
        <f aca="false">(B274+C274)/2</f>
        <v>0.103515625</v>
      </c>
      <c r="E274" s="15" t="n">
        <f aca="false">$C$2*(1+IF(E$3&lt;=$O$2,$D274,$D274-($D274-$I$265)*MIN(E$3-$O$2,$Q$2)/$Q$2))</f>
        <v>9004.6875</v>
      </c>
      <c r="F274" s="15" t="n">
        <f aca="false">E274*(1+IF(F$3&lt;=$O$2,$D274,$D274-($D274-$I$265)*MIN(F$3-$O$2,$Q$2)/$Q$2))</f>
        <v>9936.81335449219</v>
      </c>
      <c r="G274" s="15" t="n">
        <f aca="false">F274*(1+IF(G$3&lt;=$O$2,$D274,$D274-($D274-$I$265)*MIN(G$3-$O$2,$Q$2)/$Q$2))</f>
        <v>10965.4287993908</v>
      </c>
      <c r="H274" s="15" t="n">
        <f aca="false">G274*(1+IF(H$3&lt;=$O$2,$D274,$D274-($D274-$I$265)*MIN(H$3-$O$2,$Q$2)/$Q$2))</f>
        <v>12100.5220149527</v>
      </c>
      <c r="I274" s="15" t="n">
        <f aca="false">H274*(1+IF(I$3&lt;=$O$2,$D274,$D274-($D274-$I$265)*MIN(I$3-$O$2,$Q$2)/$Q$2))</f>
        <v>13353.1151141568</v>
      </c>
      <c r="J274" s="15" t="n">
        <f aca="false">I274*(1+IF(J$3&lt;=$O$2,$D274,$D274-($D274-$I$265)*MIN(J$3-$O$2,$Q$2)/$Q$2))</f>
        <v>14547.8517062082</v>
      </c>
      <c r="K274" s="15" t="n">
        <f aca="false">J274*(1+IF(K$3&lt;=$O$2,$D274,$D274-($D274-$I$265)*MIN(K$3-$O$2,$Q$2)/$Q$2))</f>
        <v>15645.1870680002</v>
      </c>
      <c r="L274" s="15" t="n">
        <f aca="false">K274*(1+IF(L$3&lt;=$O$2,$D274,$D274-($D274-$I$265)*MIN(L$3-$O$2,$Q$2)/$Q$2))</f>
        <v>16605.5864326532</v>
      </c>
      <c r="M274" s="15" t="n">
        <f aca="false">L274*(1+IF(M$3&lt;=$O$2,$D274,$D274-($D274-$I$265)*MIN(M$3-$O$2,$Q$2)/$Q$2))</f>
        <v>17391.7467868326</v>
      </c>
      <c r="N274" s="15" t="n">
        <f aca="false">M274*(1+IF(N$3&lt;=$O$2,$D274,$D274-($D274-$I$265)*MIN(N$3-$O$2,$Q$2)/$Q$2))</f>
        <v>17970.8919548341</v>
      </c>
      <c r="O274" s="15" t="n">
        <f aca="false">SUMPRODUCT(E274:N274,1/(1+$F$265)^$E$3:$N$3)*$E$2</f>
        <v>31649.4453579564</v>
      </c>
      <c r="P274" s="15" t="n">
        <f aca="false">N274*$E$2*(1+$I$265)/($F$265-$I$265)/(1+$F$265)^$N$3</f>
        <v>52071.0119901265</v>
      </c>
      <c r="Q274" s="15" t="n">
        <f aca="false">O274+P274</f>
        <v>83720.4573480829</v>
      </c>
      <c r="R274" s="15" t="n">
        <f aca="false">Q274-$G$2+$I$2</f>
        <v>77600.4573480829</v>
      </c>
      <c r="S274" s="42" t="n">
        <f aca="false">R274/$K$2</f>
        <v>448.091334727353</v>
      </c>
      <c r="T274" s="43" t="n">
        <f aca="false">S274-$M$2</f>
        <v>-16.0500210874067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0.103515625</v>
      </c>
      <c r="C275" s="25" t="n">
        <f aca="false">IF(T274&gt;0,D274,C274)</f>
        <v>0.109375</v>
      </c>
      <c r="D275" s="41" t="n">
        <f aca="false">(B275+C275)/2</f>
        <v>0.1064453125</v>
      </c>
      <c r="E275" s="15" t="n">
        <f aca="false">$C$2*(1+IF(E$3&lt;=$O$2,$D275,$D275-($D275-$I$265)*MIN(E$3-$O$2,$Q$2)/$Q$2))</f>
        <v>9028.59375</v>
      </c>
      <c r="F275" s="15" t="n">
        <f aca="false">E275*(1+IF(F$3&lt;=$O$2,$D275,$D275-($D275-$I$265)*MIN(F$3-$O$2,$Q$2)/$Q$2))</f>
        <v>9989.6452331543</v>
      </c>
      <c r="G275" s="15" t="n">
        <f aca="false">F275*(1+IF(G$3&lt;=$O$2,$D275,$D275-($D275-$I$265)*MIN(G$3-$O$2,$Q$2)/$Q$2))</f>
        <v>11052.9961417615</v>
      </c>
      <c r="H275" s="15" t="n">
        <f aca="false">G275*(1+IF(H$3&lt;=$O$2,$D275,$D275-($D275-$I$265)*MIN(H$3-$O$2,$Q$2)/$Q$2))</f>
        <v>12229.5357701326</v>
      </c>
      <c r="I275" s="15" t="n">
        <f aca="false">H275*(1+IF(I$3&lt;=$O$2,$D275,$D275-($D275-$I$265)*MIN(I$3-$O$2,$Q$2)/$Q$2))</f>
        <v>13531.3125269143</v>
      </c>
      <c r="J275" s="15" t="n">
        <f aca="false">I275*(1+IF(J$3&lt;=$O$2,$D275,$D275-($D275-$I$265)*MIN(J$3-$O$2,$Q$2)/$Q$2))</f>
        <v>14773.7069007136</v>
      </c>
      <c r="K275" s="15" t="n">
        <f aca="false">J275*(1+IF(K$3&lt;=$O$2,$D275,$D275-($D275-$I$265)*MIN(K$3-$O$2,$Q$2)/$Q$2))</f>
        <v>15914.0477853291</v>
      </c>
      <c r="L275" s="15" t="n">
        <f aca="false">K275*(1+IF(L$3&lt;=$O$2,$D275,$D275-($D275-$I$265)*MIN(L$3-$O$2,$Q$2)/$Q$2))</f>
        <v>16909.6007759397</v>
      </c>
      <c r="M275" s="15" t="n">
        <f aca="false">L275*(1+IF(M$3&lt;=$O$2,$D275,$D275-($D275-$I$265)*MIN(M$3-$O$2,$Q$2)/$Q$2))</f>
        <v>17720.0620883797</v>
      </c>
      <c r="N275" s="15" t="n">
        <f aca="false">M275*(1+IF(N$3&lt;=$O$2,$D275,$D275-($D275-$I$265)*MIN(N$3-$O$2,$Q$2)/$Q$2))</f>
        <v>18310.1401559228</v>
      </c>
      <c r="O275" s="15" t="n">
        <f aca="false">SUMPRODUCT(E275:N275,1/(1+$F$265)^$E$3:$N$3)*$E$2</f>
        <v>32054.8381854843</v>
      </c>
      <c r="P275" s="15" t="n">
        <f aca="false">N275*$E$2*(1+$I$265)/($F$265-$I$265)/(1+$F$265)^$N$3</f>
        <v>53053.9903081149</v>
      </c>
      <c r="Q275" s="15" t="n">
        <f aca="false">O275+P275</f>
        <v>85108.8284935992</v>
      </c>
      <c r="R275" s="15" t="n">
        <f aca="false">Q275-$G$2+$I$2</f>
        <v>78988.8284935992</v>
      </c>
      <c r="S275" s="42" t="n">
        <f aca="false">R275/$K$2</f>
        <v>456.108260154748</v>
      </c>
      <c r="T275" s="43" t="n">
        <f aca="false">S275-$M$2</f>
        <v>-8.0330956600115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0.1064453125</v>
      </c>
      <c r="C276" s="25" t="n">
        <f aca="false">IF(T275&gt;0,D275,C275)</f>
        <v>0.109375</v>
      </c>
      <c r="D276" s="41" t="n">
        <f aca="false">(B276+C276)/2</f>
        <v>0.10791015625</v>
      </c>
      <c r="E276" s="15" t="n">
        <f aca="false">$C$2*(1+IF(E$3&lt;=$O$2,$D276,$D276-($D276-$I$265)*MIN(E$3-$O$2,$Q$2)/$Q$2))</f>
        <v>9040.546875</v>
      </c>
      <c r="F276" s="15" t="n">
        <f aca="false">E276*(1+IF(F$3&lt;=$O$2,$D276,$D276-($D276-$I$265)*MIN(F$3-$O$2,$Q$2)/$Q$2))</f>
        <v>10016.1137008667</v>
      </c>
      <c r="G276" s="15" t="n">
        <f aca="false">F276*(1+IF(G$3&lt;=$O$2,$D276,$D276-($D276-$I$265)*MIN(G$3-$O$2,$Q$2)/$Q$2))</f>
        <v>11096.954095345</v>
      </c>
      <c r="H276" s="15" t="n">
        <f aca="false">G276*(1+IF(H$3&lt;=$O$2,$D276,$D276-($D276-$I$265)*MIN(H$3-$O$2,$Q$2)/$Q$2))</f>
        <v>12294.4281456727</v>
      </c>
      <c r="I276" s="15" t="n">
        <f aca="false">H276*(1+IF(I$3&lt;=$O$2,$D276,$D276-($D276-$I$265)*MIN(I$3-$O$2,$Q$2)/$Q$2))</f>
        <v>13621.1218078767</v>
      </c>
      <c r="J276" s="15" t="n">
        <f aca="false">I276*(1+IF(J$3&lt;=$O$2,$D276,$D276-($D276-$I$265)*MIN(J$3-$O$2,$Q$2)/$Q$2))</f>
        <v>14887.7243851878</v>
      </c>
      <c r="K276" s="15" t="n">
        <f aca="false">J276*(1+IF(K$3&lt;=$O$2,$D276,$D276-($D276-$I$265)*MIN(K$3-$O$2,$Q$2)/$Q$2))</f>
        <v>16049.950872766</v>
      </c>
      <c r="L276" s="15" t="n">
        <f aca="false">K276*(1+IF(L$3&lt;=$O$2,$D276,$D276-($D276-$I$265)*MIN(L$3-$O$2,$Q$2)/$Q$2))</f>
        <v>17063.4099737978</v>
      </c>
      <c r="M276" s="15" t="n">
        <f aca="false">L276*(1+IF(M$3&lt;=$O$2,$D276,$D276-($D276-$I$265)*MIN(M$3-$O$2,$Q$2)/$Q$2))</f>
        <v>17886.2422627859</v>
      </c>
      <c r="N276" s="15" t="n">
        <f aca="false">M276*(1+IF(N$3&lt;=$O$2,$D276,$D276-($D276-$I$265)*MIN(N$3-$O$2,$Q$2)/$Q$2))</f>
        <v>18481.8541301367</v>
      </c>
      <c r="O276" s="15" t="n">
        <f aca="false">SUMPRODUCT(E276:N276,1/(1+$F$265)^$E$3:$N$3)*$E$2</f>
        <v>32259.4616647648</v>
      </c>
      <c r="P276" s="15" t="n">
        <f aca="false">N276*$E$2*(1+$I$265)/($F$265-$I$265)/(1+$F$265)^$N$3</f>
        <v>53551.5349170657</v>
      </c>
      <c r="Q276" s="15" t="n">
        <f aca="false">O276+P276</f>
        <v>85810.9965818304</v>
      </c>
      <c r="R276" s="15" t="n">
        <f aca="false">Q276-$G$2+$I$2</f>
        <v>79690.9965818304</v>
      </c>
      <c r="S276" s="42" t="n">
        <f aca="false">R276/$K$2</f>
        <v>460.162816617568</v>
      </c>
      <c r="T276" s="43" t="n">
        <f aca="false">S276-$M$2</f>
        <v>-3.9785391971912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0.10791015625</v>
      </c>
      <c r="C277" s="25" t="n">
        <f aca="false">IF(T276&gt;0,D276,C276)</f>
        <v>0.109375</v>
      </c>
      <c r="D277" s="41" t="n">
        <f aca="false">(B277+C277)/2</f>
        <v>0.108642578125</v>
      </c>
      <c r="E277" s="15" t="n">
        <f aca="false">$C$2*(1+IF(E$3&lt;=$O$2,$D277,$D277-($D277-$I$265)*MIN(E$3-$O$2,$Q$2)/$Q$2))</f>
        <v>9046.5234375</v>
      </c>
      <c r="F277" s="15" t="n">
        <f aca="false">E277*(1+IF(F$3&lt;=$O$2,$D277,$D277-($D277-$I$265)*MIN(F$3-$O$2,$Q$2)/$Q$2))</f>
        <v>10029.3610668182</v>
      </c>
      <c r="G277" s="15" t="n">
        <f aca="false">F277*(1+IF(G$3&lt;=$O$2,$D277,$D277-($D277-$I$265)*MIN(G$3-$O$2,$Q$2)/$Q$2))</f>
        <v>11118.9767100639</v>
      </c>
      <c r="H277" s="15" t="n">
        <f aca="false">G277*(1+IF(H$3&lt;=$O$2,$D277,$D277-($D277-$I$265)*MIN(H$3-$O$2,$Q$2)/$Q$2))</f>
        <v>12326.971005957</v>
      </c>
      <c r="I277" s="15" t="n">
        <f aca="false">H277*(1+IF(I$3&lt;=$O$2,$D277,$D277-($D277-$I$265)*MIN(I$3-$O$2,$Q$2)/$Q$2))</f>
        <v>13666.2049165163</v>
      </c>
      <c r="J277" s="15" t="n">
        <f aca="false">I277*(1+IF(J$3&lt;=$O$2,$D277,$D277-($D277-$I$265)*MIN(J$3-$O$2,$Q$2)/$Q$2))</f>
        <v>14945.0072295122</v>
      </c>
      <c r="K277" s="15" t="n">
        <f aca="false">J277*(1+IF(K$3&lt;=$O$2,$D277,$D277-($D277-$I$265)*MIN(K$3-$O$2,$Q$2)/$Q$2))</f>
        <v>16118.2731951159</v>
      </c>
      <c r="L277" s="15" t="n">
        <f aca="false">K277*(1+IF(L$3&lt;=$O$2,$D277,$D277-($D277-$I$265)*MIN(L$3-$O$2,$Q$2)/$Q$2))</f>
        <v>17140.7685954905</v>
      </c>
      <c r="M277" s="15" t="n">
        <f aca="false">L277*(1+IF(M$3&lt;=$O$2,$D277,$D277-($D277-$I$265)*MIN(M$3-$O$2,$Q$2)/$Q$2))</f>
        <v>17969.842129126</v>
      </c>
      <c r="N277" s="15" t="n">
        <f aca="false">M277*(1+IF(N$3&lt;=$O$2,$D277,$D277-($D277-$I$265)*MIN(N$3-$O$2,$Q$2)/$Q$2))</f>
        <v>18568.2378720259</v>
      </c>
      <c r="O277" s="15" t="n">
        <f aca="false">SUMPRODUCT(E277:N277,1/(1+$F$265)^$E$3:$N$3)*$E$2</f>
        <v>32362.2584568339</v>
      </c>
      <c r="P277" s="15" t="n">
        <f aca="false">N277*$E$2*(1+$I$265)/($F$265-$I$265)/(1+$F$265)^$N$3</f>
        <v>53801.8335038566</v>
      </c>
      <c r="Q277" s="15" t="n">
        <f aca="false">O277+P277</f>
        <v>86164.0919606906</v>
      </c>
      <c r="R277" s="15" t="n">
        <f aca="false">Q277-$G$2+$I$2</f>
        <v>80044.0919606906</v>
      </c>
      <c r="S277" s="42" t="n">
        <f aca="false">R277/$K$2</f>
        <v>462.20170897731</v>
      </c>
      <c r="T277" s="43" t="n">
        <f aca="false">S277-$M$2</f>
        <v>-1.93964683744917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0.108642578125</v>
      </c>
      <c r="C278" s="25" t="n">
        <f aca="false">IF(T277&gt;0,D277,C277)</f>
        <v>0.109375</v>
      </c>
      <c r="D278" s="41" t="n">
        <f aca="false">(B278+C278)/2</f>
        <v>0.1090087890625</v>
      </c>
      <c r="E278" s="15" t="n">
        <f aca="false">$C$2*(1+IF(E$3&lt;=$O$2,$D278,$D278-($D278-$I$265)*MIN(E$3-$O$2,$Q$2)/$Q$2))</f>
        <v>9049.51171875</v>
      </c>
      <c r="F278" s="15" t="n">
        <f aca="false">E278*(1+IF(F$3&lt;=$O$2,$D278,$D278-($D278-$I$265)*MIN(F$3-$O$2,$Q$2)/$Q$2))</f>
        <v>10035.9880328178</v>
      </c>
      <c r="G278" s="15" t="n">
        <f aca="false">F278*(1+IF(G$3&lt;=$O$2,$D278,$D278-($D278-$I$265)*MIN(G$3-$O$2,$Q$2)/$Q$2))</f>
        <v>11129.9989353211</v>
      </c>
      <c r="H278" s="15" t="n">
        <f aca="false">G278*(1+IF(H$3&lt;=$O$2,$D278,$D278-($D278-$I$265)*MIN(H$3-$O$2,$Q$2)/$Q$2))</f>
        <v>12343.2666415273</v>
      </c>
      <c r="I278" s="15" t="n">
        <f aca="false">H278*(1+IF(I$3&lt;=$O$2,$D278,$D278-($D278-$I$265)*MIN(I$3-$O$2,$Q$2)/$Q$2))</f>
        <v>13688.7911911958</v>
      </c>
      <c r="J278" s="15" t="n">
        <f aca="false">I278*(1+IF(J$3&lt;=$O$2,$D278,$D278-($D278-$I$265)*MIN(J$3-$O$2,$Q$2)/$Q$2))</f>
        <v>14973.7173817145</v>
      </c>
      <c r="K278" s="15" t="n">
        <f aca="false">J278*(1+IF(K$3&lt;=$O$2,$D278,$D278-($D278-$I$265)*MIN(K$3-$O$2,$Q$2)/$Q$2))</f>
        <v>16152.5273769658</v>
      </c>
      <c r="L278" s="15" t="n">
        <f aca="false">K278*(1+IF(L$3&lt;=$O$2,$D278,$D278-($D278-$I$265)*MIN(L$3-$O$2,$Q$2)/$Q$2))</f>
        <v>17179.5618538223</v>
      </c>
      <c r="M278" s="15" t="n">
        <f aca="false">L278*(1+IF(M$3&lt;=$O$2,$D278,$D278-($D278-$I$265)*MIN(M$3-$O$2,$Q$2)/$Q$2))</f>
        <v>18011.77002847</v>
      </c>
      <c r="N278" s="15" t="n">
        <f aca="false">M278*(1+IF(N$3&lt;=$O$2,$D278,$D278-($D278-$I$265)*MIN(N$3-$O$2,$Q$2)/$Q$2))</f>
        <v>18611.5619704181</v>
      </c>
      <c r="O278" s="15" t="n">
        <f aca="false">SUMPRODUCT(E278:N278,1/(1+$F$265)^$E$3:$N$3)*$E$2</f>
        <v>32413.7785286785</v>
      </c>
      <c r="P278" s="15" t="n">
        <f aca="false">N278*$E$2*(1+$I$265)/($F$265-$I$265)/(1+$F$265)^$N$3</f>
        <v>53927.3659288754</v>
      </c>
      <c r="Q278" s="15" t="n">
        <f aca="false">O278+P278</f>
        <v>86341.1444575539</v>
      </c>
      <c r="R278" s="15" t="n">
        <f aca="false">Q278-$G$2+$I$2</f>
        <v>80221.1444575539</v>
      </c>
      <c r="S278" s="42" t="n">
        <f aca="false">R278/$K$2</f>
        <v>463.224070086349</v>
      </c>
      <c r="T278" s="43" t="n">
        <f aca="false">S278-$M$2</f>
        <v>-0.917285728410377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0.1090087890625</v>
      </c>
      <c r="C279" s="25" t="n">
        <f aca="false">IF(T278&gt;0,D278,C278)</f>
        <v>0.109375</v>
      </c>
      <c r="D279" s="41" t="n">
        <f aca="false">(B279+C279)/2</f>
        <v>0.10919189453125</v>
      </c>
      <c r="E279" s="15" t="n">
        <f aca="false">$C$2*(1+IF(E$3&lt;=$O$2,$D279,$D279-($D279-$I$265)*MIN(E$3-$O$2,$Q$2)/$Q$2))</f>
        <v>9051.005859375</v>
      </c>
      <c r="F279" s="15" t="n">
        <f aca="false">E279*(1+IF(F$3&lt;=$O$2,$D279,$D279-($D279-$I$265)*MIN(F$3-$O$2,$Q$2)/$Q$2))</f>
        <v>10039.3023365736</v>
      </c>
      <c r="G279" s="15" t="n">
        <f aca="false">F279*(1+IF(G$3&lt;=$O$2,$D279,$D279-($D279-$I$265)*MIN(G$3-$O$2,$Q$2)/$Q$2))</f>
        <v>11135.5127784761</v>
      </c>
      <c r="H279" s="15" t="n">
        <f aca="false">G279*(1+IF(H$3&lt;=$O$2,$D279,$D279-($D279-$I$265)*MIN(H$3-$O$2,$Q$2)/$Q$2))</f>
        <v>12351.4205153348</v>
      </c>
      <c r="I279" s="15" t="n">
        <f aca="false">H279*(1+IF(I$3&lt;=$O$2,$D279,$D279-($D279-$I$265)*MIN(I$3-$O$2,$Q$2)/$Q$2))</f>
        <v>13700.0955215564</v>
      </c>
      <c r="J279" s="15" t="n">
        <f aca="false">I279*(1+IF(J$3&lt;=$O$2,$D279,$D279-($D279-$I$265)*MIN(J$3-$O$2,$Q$2)/$Q$2))</f>
        <v>14988.0896659362</v>
      </c>
      <c r="K279" s="15" t="n">
        <f aca="false">J279*(1+IF(K$3&lt;=$O$2,$D279,$D279-($D279-$I$265)*MIN(K$3-$O$2,$Q$2)/$Q$2))</f>
        <v>16169.6777639032</v>
      </c>
      <c r="L279" s="15" t="n">
        <f aca="false">K279*(1+IF(L$3&lt;=$O$2,$D279,$D279-($D279-$I$265)*MIN(L$3-$O$2,$Q$2)/$Q$2))</f>
        <v>17198.9870252261</v>
      </c>
      <c r="M279" s="15" t="n">
        <f aca="false">L279*(1+IF(M$3&lt;=$O$2,$D279,$D279-($D279-$I$265)*MIN(M$3-$O$2,$Q$2)/$Q$2))</f>
        <v>18032.7660350387</v>
      </c>
      <c r="N279" s="15" t="n">
        <f aca="false">M279*(1+IF(N$3&lt;=$O$2,$D279,$D279-($D279-$I$265)*MIN(N$3-$O$2,$Q$2)/$Q$2))</f>
        <v>18633.2571440055</v>
      </c>
      <c r="O279" s="15" t="n">
        <f aca="false">SUMPRODUCT(E279:N279,1/(1+$F$265)^$E$3:$N$3)*$E$2</f>
        <v>32439.5690352632</v>
      </c>
      <c r="P279" s="15" t="n">
        <f aca="false">N279*$E$2*(1+$I$265)/($F$265-$I$265)/(1+$F$265)^$N$3</f>
        <v>53990.2281199584</v>
      </c>
      <c r="Q279" s="15" t="n">
        <f aca="false">O279+P279</f>
        <v>86429.7971552217</v>
      </c>
      <c r="R279" s="15" t="n">
        <f aca="false">Q279-$G$2+$I$2</f>
        <v>80309.7971552217</v>
      </c>
      <c r="S279" s="42" t="n">
        <f aca="false">R279/$K$2</f>
        <v>463.735980801603</v>
      </c>
      <c r="T279" s="43" t="n">
        <f aca="false">S279-$M$2</f>
        <v>-0.405375013155833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0.10919189453125</v>
      </c>
      <c r="C280" s="25" t="n">
        <f aca="false">IF(T279&gt;0,D279,C279)</f>
        <v>0.109375</v>
      </c>
      <c r="D280" s="41" t="n">
        <f aca="false">(B280+C280)/2</f>
        <v>0.109283447265625</v>
      </c>
      <c r="E280" s="15" t="n">
        <f aca="false">$C$2*(1+IF(E$3&lt;=$O$2,$D280,$D280-($D280-$I$265)*MIN(E$3-$O$2,$Q$2)/$Q$2))</f>
        <v>9051.7529296875</v>
      </c>
      <c r="F280" s="15" t="n">
        <f aca="false">E280*(1+IF(F$3&lt;=$O$2,$D280,$D280-($D280-$I$265)*MIN(F$3-$O$2,$Q$2)/$Q$2))</f>
        <v>10040.9596936405</v>
      </c>
      <c r="G280" s="15" t="n">
        <f aca="false">F280*(1+IF(G$3&lt;=$O$2,$D280,$D280-($D280-$I$265)*MIN(G$3-$O$2,$Q$2)/$Q$2))</f>
        <v>11138.2703828167</v>
      </c>
      <c r="H280" s="15" t="n">
        <f aca="false">G280*(1+IF(H$3&lt;=$O$2,$D280,$D280-($D280-$I$265)*MIN(H$3-$O$2,$Q$2)/$Q$2))</f>
        <v>12355.4989668275</v>
      </c>
      <c r="I280" s="15" t="n">
        <f aca="false">H280*(1+IF(I$3&lt;=$O$2,$D280,$D280-($D280-$I$265)*MIN(I$3-$O$2,$Q$2)/$Q$2))</f>
        <v>13705.7504866093</v>
      </c>
      <c r="J280" s="15" t="n">
        <f aca="false">I280*(1+IF(J$3&lt;=$O$2,$D280,$D280-($D280-$I$265)*MIN(J$3-$O$2,$Q$2)/$Q$2))</f>
        <v>14995.2801132815</v>
      </c>
      <c r="K280" s="15" t="n">
        <f aca="false">J280*(1+IF(K$3&lt;=$O$2,$D280,$D280-($D280-$I$265)*MIN(K$3-$O$2,$Q$2)/$Q$2))</f>
        <v>16178.2587864862</v>
      </c>
      <c r="L280" s="15" t="n">
        <f aca="false">K280*(1+IF(L$3&lt;=$O$2,$D280,$D280-($D280-$I$265)*MIN(L$3-$O$2,$Q$2)/$Q$2))</f>
        <v>17208.7067534172</v>
      </c>
      <c r="M280" s="15" t="n">
        <f aca="false">L280*(1+IF(M$3&lt;=$O$2,$D280,$D280-($D280-$I$265)*MIN(M$3-$O$2,$Q$2)/$Q$2))</f>
        <v>18043.2720607276</v>
      </c>
      <c r="N280" s="15" t="n">
        <f aca="false">M280*(1+IF(N$3&lt;=$O$2,$D280,$D280-($D280-$I$265)*MIN(N$3-$O$2,$Q$2)/$Q$2))</f>
        <v>18644.1130203498</v>
      </c>
      <c r="O280" s="15" t="n">
        <f aca="false">SUMPRODUCT(E280:N280,1/(1+$F$265)^$E$3:$N$3)*$E$2</f>
        <v>32452.4719126926</v>
      </c>
      <c r="P280" s="15" t="n">
        <f aca="false">N280*$E$2*(1+$I$265)/($F$265-$I$265)/(1+$F$265)^$N$3</f>
        <v>54021.6832346356</v>
      </c>
      <c r="Q280" s="15" t="n">
        <f aca="false">O280+P280</f>
        <v>86474.1551473281</v>
      </c>
      <c r="R280" s="15" t="n">
        <f aca="false">Q280-$G$2+$I$2</f>
        <v>80354.1551473281</v>
      </c>
      <c r="S280" s="42" t="n">
        <f aca="false">R280/$K$2</f>
        <v>463.992118878208</v>
      </c>
      <c r="T280" s="43" t="n">
        <f aca="false">S280-$M$2</f>
        <v>-0.149236936550835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0.109283447265625</v>
      </c>
      <c r="C281" s="25" t="n">
        <f aca="false">IF(T280&gt;0,D280,C280)</f>
        <v>0.109375</v>
      </c>
      <c r="D281" s="41" t="n">
        <f aca="false">(B281+C281)/2</f>
        <v>0.109329223632813</v>
      </c>
      <c r="E281" s="15" t="n">
        <f aca="false">$C$2*(1+IF(E$3&lt;=$O$2,$D281,$D281-($D281-$I$265)*MIN(E$3-$O$2,$Q$2)/$Q$2))</f>
        <v>9052.12646484375</v>
      </c>
      <c r="F281" s="15" t="n">
        <f aca="false">E281*(1+IF(F$3&lt;=$O$2,$D281,$D281-($D281-$I$265)*MIN(F$3-$O$2,$Q$2)/$Q$2))</f>
        <v>10041.7884234712</v>
      </c>
      <c r="G281" s="15" t="n">
        <f aca="false">F281*(1+IF(G$3&lt;=$O$2,$D281,$D281-($D281-$I$265)*MIN(G$3-$O$2,$Q$2)/$Q$2))</f>
        <v>11139.6493556942</v>
      </c>
      <c r="H281" s="15" t="n">
        <f aca="false">G281*(1+IF(H$3&lt;=$O$2,$D281,$D281-($D281-$I$265)*MIN(H$3-$O$2,$Q$2)/$Q$2))</f>
        <v>12357.538571294</v>
      </c>
      <c r="I281" s="15" t="n">
        <f aca="false">H281*(1+IF(I$3&lt;=$O$2,$D281,$D281-($D281-$I$265)*MIN(I$3-$O$2,$Q$2)/$Q$2))</f>
        <v>13708.5786693061</v>
      </c>
      <c r="J281" s="15" t="n">
        <f aca="false">I281*(1+IF(J$3&lt;=$O$2,$D281,$D281-($D281-$I$265)*MIN(J$3-$O$2,$Q$2)/$Q$2))</f>
        <v>14998.8764136634</v>
      </c>
      <c r="K281" s="15" t="n">
        <f aca="false">J281*(1+IF(K$3&lt;=$O$2,$D281,$D281-($D281-$I$265)*MIN(K$3-$O$2,$Q$2)/$Q$2))</f>
        <v>16182.5507556956</v>
      </c>
      <c r="L281" s="15" t="n">
        <f aca="false">K281*(1+IF(L$3&lt;=$O$2,$D281,$D281-($D281-$I$265)*MIN(L$3-$O$2,$Q$2)/$Q$2))</f>
        <v>17213.5684040019</v>
      </c>
      <c r="M281" s="15" t="n">
        <f aca="false">L281*(1+IF(M$3&lt;=$O$2,$D281,$D281-($D281-$I$265)*MIN(M$3-$O$2,$Q$2)/$Q$2))</f>
        <v>18048.5270801965</v>
      </c>
      <c r="N281" s="15" t="n">
        <f aca="false">M281*(1+IF(N$3&lt;=$O$2,$D281,$D281-($D281-$I$265)*MIN(N$3-$O$2,$Q$2)/$Q$2))</f>
        <v>18649.543031967</v>
      </c>
      <c r="O281" s="15" t="n">
        <f aca="false">SUMPRODUCT(E281:N281,1/(1+$F$265)^$E$3:$N$3)*$E$2</f>
        <v>32458.9252582509</v>
      </c>
      <c r="P281" s="15" t="n">
        <f aca="false">N281*$E$2*(1+$I$265)/($F$265-$I$265)/(1+$F$265)^$N$3</f>
        <v>54037.4167998216</v>
      </c>
      <c r="Q281" s="15" t="n">
        <f aca="false">O281+P281</f>
        <v>86496.3420580725</v>
      </c>
      <c r="R281" s="15" t="n">
        <f aca="false">Q281-$G$2+$I$2</f>
        <v>80376.3420580725</v>
      </c>
      <c r="S281" s="42" t="n">
        <f aca="false">R281/$K$2</f>
        <v>464.120233618619</v>
      </c>
      <c r="T281" s="43" t="n">
        <f aca="false">S281-$M$2</f>
        <v>-0.0211221961398564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0.109329223632813</v>
      </c>
      <c r="C282" s="25" t="n">
        <f aca="false">IF(T281&gt;0,D281,C281)</f>
        <v>0.109375</v>
      </c>
      <c r="D282" s="41" t="n">
        <f aca="false">(B282+C282)/2</f>
        <v>0.109352111816406</v>
      </c>
      <c r="E282" s="15" t="n">
        <f aca="false">$C$2*(1+IF(E$3&lt;=$O$2,$D282,$D282-($D282-$I$265)*MIN(E$3-$O$2,$Q$2)/$Q$2))</f>
        <v>9052.31323242188</v>
      </c>
      <c r="F282" s="15" t="n">
        <f aca="false">E282*(1+IF(F$3&lt;=$O$2,$D282,$D282-($D282-$I$265)*MIN(F$3-$O$2,$Q$2)/$Q$2))</f>
        <v>10042.2028012108</v>
      </c>
      <c r="G282" s="15" t="n">
        <f aca="false">F282*(1+IF(G$3&lt;=$O$2,$D282,$D282-($D282-$I$265)*MIN(G$3-$O$2,$Q$2)/$Q$2))</f>
        <v>11140.3388848118</v>
      </c>
      <c r="H282" s="15" t="n">
        <f aca="false">G282*(1+IF(H$3&lt;=$O$2,$D282,$D282-($D282-$I$265)*MIN(H$3-$O$2,$Q$2)/$Q$2))</f>
        <v>12358.5584682164</v>
      </c>
      <c r="I282" s="15" t="n">
        <f aca="false">H282*(1+IF(I$3&lt;=$O$2,$D282,$D282-($D282-$I$265)*MIN(I$3-$O$2,$Q$2)/$Q$2))</f>
        <v>13709.9929357224</v>
      </c>
      <c r="J282" s="15" t="n">
        <f aca="false">I282*(1+IF(J$3&lt;=$O$2,$D282,$D282-($D282-$I$265)*MIN(J$3-$O$2,$Q$2)/$Q$2))</f>
        <v>15000.6748330818</v>
      </c>
      <c r="K282" s="15" t="n">
        <f aca="false">J282*(1+IF(K$3&lt;=$O$2,$D282,$D282-($D282-$I$265)*MIN(K$3-$O$2,$Q$2)/$Q$2))</f>
        <v>16184.6971048596</v>
      </c>
      <c r="L282" s="15" t="n">
        <f aca="false">K282*(1+IF(L$3&lt;=$O$2,$D282,$D282-($D282-$I$265)*MIN(L$3-$O$2,$Q$2)/$Q$2))</f>
        <v>17215.9996760248</v>
      </c>
      <c r="M282" s="15" t="n">
        <f aca="false">L282*(1+IF(M$3&lt;=$O$2,$D282,$D282-($D282-$I$265)*MIN(M$3-$O$2,$Q$2)/$Q$2))</f>
        <v>18051.1550917149</v>
      </c>
      <c r="N282" s="15" t="n">
        <f aca="false">M282*(1+IF(N$3&lt;=$O$2,$D282,$D282-($D282-$I$265)*MIN(N$3-$O$2,$Q$2)/$Q$2))</f>
        <v>18652.258556269</v>
      </c>
      <c r="O282" s="15" t="n">
        <f aca="false">SUMPRODUCT(E282:N282,1/(1+$F$265)^$E$3:$N$3)*$E$2</f>
        <v>32462.1524078422</v>
      </c>
      <c r="P282" s="15" t="n">
        <f aca="false">N282*$E$2*(1+$I$265)/($F$265-$I$265)/(1+$F$265)^$N$3</f>
        <v>54045.2850847596</v>
      </c>
      <c r="Q282" s="15" t="n">
        <f aca="false">O282+P282</f>
        <v>86507.4374926018</v>
      </c>
      <c r="R282" s="15" t="n">
        <f aca="false">Q282-$G$2+$I$2</f>
        <v>80387.4374926018</v>
      </c>
      <c r="S282" s="42" t="n">
        <f aca="false">R282/$K$2</f>
        <v>464.184302417148</v>
      </c>
      <c r="T282" s="43" t="n">
        <f aca="false">S282-$M$2</f>
        <v>0.0429466023891791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0.109329223632813</v>
      </c>
      <c r="C283" s="25" t="n">
        <f aca="false">IF(T282&gt;0,D282,C282)</f>
        <v>0.109352111816406</v>
      </c>
      <c r="D283" s="41" t="n">
        <f aca="false">(B283+C283)/2</f>
        <v>0.109340667724609</v>
      </c>
      <c r="E283" s="15" t="n">
        <f aca="false">$C$2*(1+IF(E$3&lt;=$O$2,$D283,$D283-($D283-$I$265)*MIN(E$3-$O$2,$Q$2)/$Q$2))</f>
        <v>9052.21984863281</v>
      </c>
      <c r="F283" s="15" t="n">
        <f aca="false">E283*(1+IF(F$3&lt;=$O$2,$D283,$D283-($D283-$I$265)*MIN(F$3-$O$2,$Q$2)/$Q$2))</f>
        <v>10041.9956112723</v>
      </c>
      <c r="G283" s="15" t="n">
        <f aca="false">F283*(1+IF(G$3&lt;=$O$2,$D283,$D283-($D283-$I$265)*MIN(G$3-$O$2,$Q$2)/$Q$2))</f>
        <v>11139.9941166964</v>
      </c>
      <c r="H283" s="15" t="n">
        <f aca="false">G283*(1+IF(H$3&lt;=$O$2,$D283,$D283-($D283-$I$265)*MIN(H$3-$O$2,$Q$2)/$Q$2))</f>
        <v>12358.0485118642</v>
      </c>
      <c r="I283" s="15" t="n">
        <f aca="false">H283*(1+IF(I$3&lt;=$O$2,$D283,$D283-($D283-$I$265)*MIN(I$3-$O$2,$Q$2)/$Q$2))</f>
        <v>13709.2857879245</v>
      </c>
      <c r="J283" s="15" t="n">
        <f aca="false">I283*(1+IF(J$3&lt;=$O$2,$D283,$D283-($D283-$I$265)*MIN(J$3-$O$2,$Q$2)/$Q$2))</f>
        <v>14999.7756009355</v>
      </c>
      <c r="K283" s="15" t="n">
        <f aca="false">J283*(1+IF(K$3&lt;=$O$2,$D283,$D283-($D283-$I$265)*MIN(K$3-$O$2,$Q$2)/$Q$2))</f>
        <v>16183.6238998953</v>
      </c>
      <c r="L283" s="15" t="n">
        <f aca="false">K283*(1+IF(L$3&lt;=$O$2,$D283,$D283-($D283-$I$265)*MIN(L$3-$O$2,$Q$2)/$Q$2))</f>
        <v>17214.7840027826</v>
      </c>
      <c r="M283" s="15" t="n">
        <f aca="false">L283*(1+IF(M$3&lt;=$O$2,$D283,$D283-($D283-$I$265)*MIN(M$3-$O$2,$Q$2)/$Q$2))</f>
        <v>18049.8410441365</v>
      </c>
      <c r="N283" s="15" t="n">
        <f aca="false">M283*(1+IF(N$3&lt;=$O$2,$D283,$D283-($D283-$I$265)*MIN(N$3-$O$2,$Q$2)/$Q$2))</f>
        <v>18650.9007509063</v>
      </c>
      <c r="O283" s="15" t="n">
        <f aca="false">SUMPRODUCT(E283:N283,1/(1+$F$265)^$E$3:$N$3)*$E$2</f>
        <v>32460.5387933092</v>
      </c>
      <c r="P283" s="15" t="n">
        <f aca="false">N283*$E$2*(1+$I$265)/($F$265-$I$265)/(1+$F$265)^$N$3</f>
        <v>54041.3508170838</v>
      </c>
      <c r="Q283" s="15" t="n">
        <f aca="false">O283+P283</f>
        <v>86501.889610393</v>
      </c>
      <c r="R283" s="15" t="n">
        <f aca="false">Q283-$G$2+$I$2</f>
        <v>80381.889610393</v>
      </c>
      <c r="S283" s="42" t="n">
        <f aca="false">R283/$K$2</f>
        <v>464.15226706544</v>
      </c>
      <c r="T283" s="43" t="n">
        <f aca="false">S283-$M$2</f>
        <v>0.0109112506810902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0.109329223632813</v>
      </c>
      <c r="C284" s="25" t="n">
        <f aca="false">IF(T283&gt;0,D283,C283)</f>
        <v>0.109340667724609</v>
      </c>
      <c r="D284" s="41" t="n">
        <f aca="false">(B284+C284)/2</f>
        <v>0.109334945678711</v>
      </c>
      <c r="E284" s="15" t="n">
        <f aca="false">$C$2*(1+IF(E$3&lt;=$O$2,$D284,$D284-($D284-$I$265)*MIN(E$3-$O$2,$Q$2)/$Q$2))</f>
        <v>9052.17315673828</v>
      </c>
      <c r="F284" s="15" t="n">
        <f aca="false">E284*(1+IF(F$3&lt;=$O$2,$D284,$D284-($D284-$I$265)*MIN(F$3-$O$2,$Q$2)/$Q$2))</f>
        <v>10041.8920171045</v>
      </c>
      <c r="G284" s="15" t="n">
        <f aca="false">F284*(1+IF(G$3&lt;=$O$2,$D284,$D284-($D284-$I$265)*MIN(G$3-$O$2,$Q$2)/$Q$2))</f>
        <v>11139.8217353062</v>
      </c>
      <c r="H284" s="15" t="n">
        <f aca="false">G284*(1+IF(H$3&lt;=$O$2,$D284,$D284-($D284-$I$265)*MIN(H$3-$O$2,$Q$2)/$Q$2))</f>
        <v>12357.7935396064</v>
      </c>
      <c r="I284" s="15" t="n">
        <f aca="false">H284*(1+IF(I$3&lt;=$O$2,$D284,$D284-($D284-$I$265)*MIN(I$3-$O$2,$Q$2)/$Q$2))</f>
        <v>13708.932224968</v>
      </c>
      <c r="J284" s="15" t="n">
        <f aca="false">I284*(1+IF(J$3&lt;=$O$2,$D284,$D284-($D284-$I$265)*MIN(J$3-$O$2,$Q$2)/$Q$2))</f>
        <v>14999.3260016903</v>
      </c>
      <c r="K284" s="15" t="n">
        <f aca="false">J284*(1+IF(K$3&lt;=$O$2,$D284,$D284-($D284-$I$265)*MIN(K$3-$O$2,$Q$2)/$Q$2))</f>
        <v>16183.0873202</v>
      </c>
      <c r="L284" s="15" t="n">
        <f aca="false">K284*(1+IF(L$3&lt;=$O$2,$D284,$D284-($D284-$I$265)*MIN(L$3-$O$2,$Q$2)/$Q$2))</f>
        <v>17214.1761940848</v>
      </c>
      <c r="M284" s="15" t="n">
        <f aca="false">L284*(1+IF(M$3&lt;=$O$2,$D284,$D284-($D284-$I$265)*MIN(M$3-$O$2,$Q$2)/$Q$2))</f>
        <v>18049.184051712</v>
      </c>
      <c r="N284" s="15" t="n">
        <f aca="false">M284*(1+IF(N$3&lt;=$O$2,$D284,$D284-($D284-$I$265)*MIN(N$3-$O$2,$Q$2)/$Q$2))</f>
        <v>18650.221880634</v>
      </c>
      <c r="O284" s="15" t="n">
        <f aca="false">SUMPRODUCT(E284:N284,1/(1+$F$265)^$E$3:$N$3)*$E$2</f>
        <v>32459.7320158459</v>
      </c>
      <c r="P284" s="15" t="n">
        <f aca="false">N284*$E$2*(1+$I$265)/($F$265-$I$265)/(1+$F$265)^$N$3</f>
        <v>54039.3837771518</v>
      </c>
      <c r="Q284" s="15" t="n">
        <f aca="false">O284+P284</f>
        <v>86499.1157929978</v>
      </c>
      <c r="R284" s="15" t="n">
        <f aca="false">Q284-$G$2+$I$2</f>
        <v>80379.1157929978</v>
      </c>
      <c r="S284" s="42" t="n">
        <f aca="false">R284/$K$2</f>
        <v>464.136250103925</v>
      </c>
      <c r="T284" s="43" t="n">
        <f aca="false">S284-$M$2</f>
        <v>-0.00510571083395917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0.109334945678711</v>
      </c>
      <c r="C285" s="25" t="n">
        <f aca="false">IF(T284&gt;0,D284,C284)</f>
        <v>0.109340667724609</v>
      </c>
      <c r="D285" s="41" t="n">
        <f aca="false">(B285+C285)/2</f>
        <v>0.10933780670166</v>
      </c>
      <c r="E285" s="15" t="n">
        <f aca="false">$C$2*(1+IF(E$3&lt;=$O$2,$D285,$D285-($D285-$I$265)*MIN(E$3-$O$2,$Q$2)/$Q$2))</f>
        <v>9052.19650268555</v>
      </c>
      <c r="F285" s="15" t="n">
        <f aca="false">E285*(1+IF(F$3&lt;=$O$2,$D285,$D285-($D285-$I$265)*MIN(F$3-$O$2,$Q$2)/$Q$2))</f>
        <v>10041.9438141216</v>
      </c>
      <c r="G285" s="15" t="n">
        <f aca="false">F285*(1+IF(G$3&lt;=$O$2,$D285,$D285-($D285-$I$265)*MIN(G$3-$O$2,$Q$2)/$Q$2))</f>
        <v>11139.907925779</v>
      </c>
      <c r="H285" s="15" t="n">
        <f aca="false">G285*(1+IF(H$3&lt;=$O$2,$D285,$D285-($D285-$I$265)*MIN(H$3-$O$2,$Q$2)/$Q$2))</f>
        <v>12357.9210252421</v>
      </c>
      <c r="I285" s="15" t="n">
        <f aca="false">H285*(1+IF(I$3&lt;=$O$2,$D285,$D285-($D285-$I$265)*MIN(I$3-$O$2,$Q$2)/$Q$2))</f>
        <v>13709.1090055344</v>
      </c>
      <c r="J285" s="15" t="n">
        <f aca="false">I285*(1+IF(J$3&lt;=$O$2,$D285,$D285-($D285-$I$265)*MIN(J$3-$O$2,$Q$2)/$Q$2))</f>
        <v>14999.5507999106</v>
      </c>
      <c r="K285" s="15" t="n">
        <f aca="false">J285*(1+IF(K$3&lt;=$O$2,$D285,$D285-($D285-$I$265)*MIN(K$3-$O$2,$Q$2)/$Q$2))</f>
        <v>16183.3556081488</v>
      </c>
      <c r="L285" s="15" t="n">
        <f aca="false">K285*(1+IF(L$3&lt;=$O$2,$D285,$D285-($D285-$I$265)*MIN(L$3-$O$2,$Q$2)/$Q$2))</f>
        <v>17214.4800961068</v>
      </c>
      <c r="M285" s="15" t="n">
        <f aca="false">L285*(1+IF(M$3&lt;=$O$2,$D285,$D285-($D285-$I$265)*MIN(M$3-$O$2,$Q$2)/$Q$2))</f>
        <v>18049.5125453106</v>
      </c>
      <c r="N285" s="15" t="n">
        <f aca="false">M285*(1+IF(N$3&lt;=$O$2,$D285,$D285-($D285-$I$265)*MIN(N$3-$O$2,$Q$2)/$Q$2))</f>
        <v>18650.5613130694</v>
      </c>
      <c r="O285" s="15" t="n">
        <f aca="false">SUMPRODUCT(E285:N285,1/(1+$F$265)^$E$3:$N$3)*$E$2</f>
        <v>32460.135402094</v>
      </c>
      <c r="P285" s="15" t="n">
        <f aca="false">N285*$E$2*(1+$I$265)/($F$265-$I$265)/(1+$F$265)^$N$3</f>
        <v>54040.3672892925</v>
      </c>
      <c r="Q285" s="15" t="n">
        <f aca="false">O285+P285</f>
        <v>86500.5026913865</v>
      </c>
      <c r="R285" s="15" t="n">
        <f aca="false">Q285-$G$2+$I$2</f>
        <v>80380.5026913865</v>
      </c>
      <c r="S285" s="42" t="n">
        <f aca="false">R285/$K$2</f>
        <v>464.144258525156</v>
      </c>
      <c r="T285" s="43" t="n">
        <f aca="false">S285-$M$2</f>
        <v>0.00290271039671097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0.109334945678711</v>
      </c>
      <c r="C286" s="25" t="n">
        <f aca="false">IF(T285&gt;0,D285,C285)</f>
        <v>0.10933780670166</v>
      </c>
      <c r="D286" s="41" t="n">
        <f aca="false">(B286+C286)/2</f>
        <v>0.109336376190186</v>
      </c>
      <c r="E286" s="15" t="n">
        <f aca="false">$C$2*(1+IF(E$3&lt;=$O$2,$D286,$D286-($D286-$I$265)*MIN(E$3-$O$2,$Q$2)/$Q$2))</f>
        <v>9052.18482971191</v>
      </c>
      <c r="F286" s="15" t="n">
        <f aca="false">E286*(1+IF(F$3&lt;=$O$2,$D286,$D286-($D286-$I$265)*MIN(F$3-$O$2,$Q$2)/$Q$2))</f>
        <v>10041.9179155964</v>
      </c>
      <c r="G286" s="15" t="n">
        <f aca="false">F286*(1+IF(G$3&lt;=$O$2,$D286,$D286-($D286-$I$265)*MIN(G$3-$O$2,$Q$2)/$Q$2))</f>
        <v>11139.864830487</v>
      </c>
      <c r="H286" s="15" t="n">
        <f aca="false">G286*(1+IF(H$3&lt;=$O$2,$D286,$D286-($D286-$I$265)*MIN(H$3-$O$2,$Q$2)/$Q$2))</f>
        <v>12357.8572823009</v>
      </c>
      <c r="I286" s="15" t="n">
        <f aca="false">H286*(1+IF(I$3&lt;=$O$2,$D286,$D286-($D286-$I$265)*MIN(I$3-$O$2,$Q$2)/$Q$2))</f>
        <v>13709.0206150232</v>
      </c>
      <c r="J286" s="15" t="n">
        <f aca="false">I286*(1+IF(J$3&lt;=$O$2,$D286,$D286-($D286-$I$265)*MIN(J$3-$O$2,$Q$2)/$Q$2))</f>
        <v>14999.4384004498</v>
      </c>
      <c r="K286" s="15" t="n">
        <f aca="false">J286*(1+IF(K$3&lt;=$O$2,$D286,$D286-($D286-$I$265)*MIN(K$3-$O$2,$Q$2)/$Q$2))</f>
        <v>16183.2214636997</v>
      </c>
      <c r="L286" s="15" t="n">
        <f aca="false">K286*(1+IF(L$3&lt;=$O$2,$D286,$D286-($D286-$I$265)*MIN(L$3-$O$2,$Q$2)/$Q$2))</f>
        <v>17214.3281445141</v>
      </c>
      <c r="M286" s="15" t="n">
        <f aca="false">L286*(1+IF(M$3&lt;=$O$2,$D286,$D286-($D286-$I$265)*MIN(M$3-$O$2,$Q$2)/$Q$2))</f>
        <v>18049.3482978579</v>
      </c>
      <c r="N286" s="15" t="n">
        <f aca="false">M286*(1+IF(N$3&lt;=$O$2,$D286,$D286-($D286-$I$265)*MIN(N$3-$O$2,$Q$2)/$Q$2))</f>
        <v>18650.3915961766</v>
      </c>
      <c r="O286" s="15" t="n">
        <f aca="false">SUMPRODUCT(E286:N286,1/(1+$F$265)^$E$3:$N$3)*$E$2</f>
        <v>32459.9337083491</v>
      </c>
      <c r="P286" s="15" t="n">
        <f aca="false">N286*$E$2*(1+$I$265)/($F$265-$I$265)/(1+$F$265)^$N$3</f>
        <v>54039.8755312658</v>
      </c>
      <c r="Q286" s="15" t="n">
        <f aca="false">O286+P286</f>
        <v>86499.8092396149</v>
      </c>
      <c r="R286" s="15" t="n">
        <f aca="false">Q286-$G$2+$I$2</f>
        <v>80379.8092396149</v>
      </c>
      <c r="S286" s="42" t="n">
        <f aca="false">R286/$K$2</f>
        <v>464.140254299659</v>
      </c>
      <c r="T286" s="43" t="n">
        <f aca="false">S286-$M$2</f>
        <v>-0.00110151510040168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0.109336376190186</v>
      </c>
      <c r="C287" s="25" t="n">
        <f aca="false">IF(T286&gt;0,D286,C286)</f>
        <v>0.10933780670166</v>
      </c>
      <c r="D287" s="41" t="n">
        <f aca="false">(B287+C287)/2</f>
        <v>0.109337091445923</v>
      </c>
      <c r="E287" s="15" t="n">
        <f aca="false">$C$2*(1+IF(E$3&lt;=$O$2,$D287,$D287-($D287-$I$265)*MIN(E$3-$O$2,$Q$2)/$Q$2))</f>
        <v>9052.19066619873</v>
      </c>
      <c r="F287" s="15" t="n">
        <f aca="false">E287*(1+IF(F$3&lt;=$O$2,$D287,$D287-($D287-$I$265)*MIN(F$3-$O$2,$Q$2)/$Q$2))</f>
        <v>10041.9308648548</v>
      </c>
      <c r="G287" s="15" t="n">
        <f aca="false">F287*(1+IF(G$3&lt;=$O$2,$D287,$D287-($D287-$I$265)*MIN(G$3-$O$2,$Q$2)/$Q$2))</f>
        <v>11139.8863781191</v>
      </c>
      <c r="H287" s="15" t="n">
        <f aca="false">G287*(1+IF(H$3&lt;=$O$2,$D287,$D287-($D287-$I$265)*MIN(H$3-$O$2,$Q$2)/$Q$2))</f>
        <v>12357.8891537407</v>
      </c>
      <c r="I287" s="15" t="n">
        <f aca="false">H287*(1+IF(I$3&lt;=$O$2,$D287,$D287-($D287-$I$265)*MIN(I$3-$O$2,$Q$2)/$Q$2))</f>
        <v>13709.0648102218</v>
      </c>
      <c r="J287" s="15" t="n">
        <f aca="false">I287*(1+IF(J$3&lt;=$O$2,$D287,$D287-($D287-$I$265)*MIN(J$3-$O$2,$Q$2)/$Q$2))</f>
        <v>14999.4946000925</v>
      </c>
      <c r="K287" s="15" t="n">
        <f aca="false">J287*(1+IF(K$3&lt;=$O$2,$D287,$D287-($D287-$I$265)*MIN(K$3-$O$2,$Q$2)/$Q$2))</f>
        <v>16183.2885358055</v>
      </c>
      <c r="L287" s="15" t="n">
        <f aca="false">K287*(1+IF(L$3&lt;=$O$2,$D287,$D287-($D287-$I$265)*MIN(L$3-$O$2,$Q$2)/$Q$2))</f>
        <v>17214.404120165</v>
      </c>
      <c r="M287" s="15" t="n">
        <f aca="false">L287*(1+IF(M$3&lt;=$O$2,$D287,$D287-($D287-$I$265)*MIN(M$3-$O$2,$Q$2)/$Q$2))</f>
        <v>18049.4304214209</v>
      </c>
      <c r="N287" s="15" t="n">
        <f aca="false">M287*(1+IF(N$3&lt;=$O$2,$D287,$D287-($D287-$I$265)*MIN(N$3-$O$2,$Q$2)/$Q$2))</f>
        <v>18650.4764544542</v>
      </c>
      <c r="O287" s="15" t="n">
        <f aca="false">SUMPRODUCT(E287:N287,1/(1+$F$265)^$E$3:$N$3)*$E$2</f>
        <v>32460.0345550663</v>
      </c>
      <c r="P287" s="15" t="n">
        <f aca="false">N287*$E$2*(1+$I$265)/($F$265-$I$265)/(1+$F$265)^$N$3</f>
        <v>54040.1214097901</v>
      </c>
      <c r="Q287" s="15" t="n">
        <f aca="false">O287+P287</f>
        <v>86500.1559648564</v>
      </c>
      <c r="R287" s="15" t="n">
        <f aca="false">Q287-$G$2+$I$2</f>
        <v>80380.1559648564</v>
      </c>
      <c r="S287" s="42" t="n">
        <f aca="false">R287/$K$2</f>
        <v>464.142256408687</v>
      </c>
      <c r="T287" s="43" t="n">
        <f aca="false">S287-$M$2</f>
        <v>0.000900593927667615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0.109336376190186</v>
      </c>
      <c r="C288" s="25" t="n">
        <f aca="false">IF(T287&gt;0,D287,C287)</f>
        <v>0.109337091445923</v>
      </c>
      <c r="D288" s="41" t="n">
        <f aca="false">(B288+C288)/2</f>
        <v>0.109336733818054</v>
      </c>
      <c r="E288" s="15" t="n">
        <f aca="false">$C$2*(1+IF(E$3&lt;=$O$2,$D288,$D288-($D288-$I$265)*MIN(E$3-$O$2,$Q$2)/$Q$2))</f>
        <v>9052.18774795532</v>
      </c>
      <c r="F288" s="15" t="n">
        <f aca="false">E288*(1+IF(F$3&lt;=$O$2,$D288,$D288-($D288-$I$265)*MIN(F$3-$O$2,$Q$2)/$Q$2))</f>
        <v>10041.9243902246</v>
      </c>
      <c r="G288" s="15" t="n">
        <f aca="false">F288*(1+IF(G$3&lt;=$O$2,$D288,$D288-($D288-$I$265)*MIN(G$3-$O$2,$Q$2)/$Q$2))</f>
        <v>11139.8756042996</v>
      </c>
      <c r="H288" s="15" t="n">
        <f aca="false">G288*(1+IF(H$3&lt;=$O$2,$D288,$D288-($D288-$I$265)*MIN(H$3-$O$2,$Q$2)/$Q$2))</f>
        <v>12357.8732180131</v>
      </c>
      <c r="I288" s="15" t="n">
        <f aca="false">H288*(1+IF(I$3&lt;=$O$2,$D288,$D288-($D288-$I$265)*MIN(I$3-$O$2,$Q$2)/$Q$2))</f>
        <v>13709.0427126083</v>
      </c>
      <c r="J288" s="15" t="n">
        <f aca="false">I288*(1+IF(J$3&lt;=$O$2,$D288,$D288-($D288-$I$265)*MIN(J$3-$O$2,$Q$2)/$Q$2))</f>
        <v>14999.4665002493</v>
      </c>
      <c r="K288" s="15" t="n">
        <f aca="false">J288*(1+IF(K$3&lt;=$O$2,$D288,$D288-($D288-$I$265)*MIN(K$3-$O$2,$Q$2)/$Q$2))</f>
        <v>16183.2549997229</v>
      </c>
      <c r="L288" s="15" t="n">
        <f aca="false">K288*(1+IF(L$3&lt;=$O$2,$D288,$D288-($D288-$I$265)*MIN(L$3-$O$2,$Q$2)/$Q$2))</f>
        <v>17214.3661323032</v>
      </c>
      <c r="M288" s="15" t="n">
        <f aca="false">L288*(1+IF(M$3&lt;=$O$2,$D288,$D288-($D288-$I$265)*MIN(M$3-$O$2,$Q$2)/$Q$2))</f>
        <v>18049.3893595986</v>
      </c>
      <c r="N288" s="15" t="n">
        <f aca="false">M288*(1+IF(N$3&lt;=$O$2,$D288,$D288-($D288-$I$265)*MIN(N$3-$O$2,$Q$2)/$Q$2))</f>
        <v>18650.4340252732</v>
      </c>
      <c r="O288" s="15" t="n">
        <f aca="false">SUMPRODUCT(E288:N288,1/(1+$F$265)^$E$3:$N$3)*$E$2</f>
        <v>32459.9841316689</v>
      </c>
      <c r="P288" s="15" t="n">
        <f aca="false">N288*$E$2*(1+$I$265)/($F$265-$I$265)/(1+$F$265)^$N$3</f>
        <v>54039.9984704057</v>
      </c>
      <c r="Q288" s="15" t="n">
        <f aca="false">O288+P288</f>
        <v>86499.9826020746</v>
      </c>
      <c r="R288" s="15" t="n">
        <f aca="false">Q288-$G$2+$I$2</f>
        <v>80379.9826020746</v>
      </c>
      <c r="S288" s="42" t="n">
        <f aca="false">R288/$K$2</f>
        <v>464.141255353243</v>
      </c>
      <c r="T288" s="43" t="n">
        <f aca="false">S288-$M$2</f>
        <v>-0.000100461516296946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0.109336733818054</v>
      </c>
      <c r="C289" s="25" t="n">
        <f aca="false">IF(T288&gt;0,D288,C288)</f>
        <v>0.109337091445923</v>
      </c>
      <c r="D289" s="41" t="n">
        <f aca="false">(B289+C289)/2</f>
        <v>0.109336912631989</v>
      </c>
      <c r="E289" s="15" t="n">
        <f aca="false">$C$2*(1+IF(E$3&lt;=$O$2,$D289,$D289-($D289-$I$265)*MIN(E$3-$O$2,$Q$2)/$Q$2))</f>
        <v>9052.18920707703</v>
      </c>
      <c r="F289" s="15" t="n">
        <f aca="false">E289*(1+IF(F$3&lt;=$O$2,$D289,$D289-($D289-$I$265)*MIN(F$3-$O$2,$Q$2)/$Q$2))</f>
        <v>10041.9276275394</v>
      </c>
      <c r="G289" s="15" t="n">
        <f aca="false">F289*(1+IF(G$3&lt;=$O$2,$D289,$D289-($D289-$I$265)*MIN(G$3-$O$2,$Q$2)/$Q$2))</f>
        <v>11139.8809912085</v>
      </c>
      <c r="H289" s="15" t="n">
        <f aca="false">G289*(1+IF(H$3&lt;=$O$2,$D289,$D289-($D289-$I$265)*MIN(H$3-$O$2,$Q$2)/$Q$2))</f>
        <v>12357.881185875</v>
      </c>
      <c r="I289" s="15" t="n">
        <f aca="false">H289*(1+IF(I$3&lt;=$O$2,$D289,$D289-($D289-$I$265)*MIN(I$3-$O$2,$Q$2)/$Q$2))</f>
        <v>13709.0537614115</v>
      </c>
      <c r="J289" s="15" t="n">
        <f aca="false">I289*(1+IF(J$3&lt;=$O$2,$D289,$D289-($D289-$I$265)*MIN(J$3-$O$2,$Q$2)/$Q$2))</f>
        <v>14999.4805501654</v>
      </c>
      <c r="K289" s="15" t="n">
        <f aca="false">J289*(1+IF(K$3&lt;=$O$2,$D289,$D289-($D289-$I$265)*MIN(K$3-$O$2,$Q$2)/$Q$2))</f>
        <v>16183.2717677568</v>
      </c>
      <c r="L289" s="15" t="n">
        <f aca="false">K289*(1+IF(L$3&lt;=$O$2,$D289,$D289-($D289-$I$265)*MIN(L$3-$O$2,$Q$2)/$Q$2))</f>
        <v>17214.385126225</v>
      </c>
      <c r="M289" s="15" t="n">
        <f aca="false">L289*(1+IF(M$3&lt;=$O$2,$D289,$D289-($D289-$I$265)*MIN(M$3-$O$2,$Q$2)/$Q$2))</f>
        <v>18049.4098904995</v>
      </c>
      <c r="N289" s="15" t="n">
        <f aca="false">M289*(1+IF(N$3&lt;=$O$2,$D289,$D289-($D289-$I$265)*MIN(N$3-$O$2,$Q$2)/$Q$2))</f>
        <v>18650.4552398532</v>
      </c>
      <c r="O289" s="15" t="n">
        <f aca="false">SUMPRODUCT(E289:N289,1/(1+$F$265)^$E$3:$N$3)*$E$2</f>
        <v>32460.0093433579</v>
      </c>
      <c r="P289" s="15" t="n">
        <f aca="false">N289*$E$2*(1+$I$265)/($F$265-$I$265)/(1+$F$265)^$N$3</f>
        <v>54040.0599400673</v>
      </c>
      <c r="Q289" s="15" t="n">
        <f aca="false">O289+P289</f>
        <v>86500.0692834253</v>
      </c>
      <c r="R289" s="15" t="n">
        <f aca="false">Q289-$G$2+$I$2</f>
        <v>80380.0692834253</v>
      </c>
      <c r="S289" s="42" t="n">
        <f aca="false">R289/$K$2</f>
        <v>464.141755880733</v>
      </c>
      <c r="T289" s="43" t="n">
        <f aca="false">S289-$M$2</f>
        <v>0.000400065973281016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0.109336733818054</v>
      </c>
      <c r="C290" s="25" t="n">
        <f aca="false">IF(T289&gt;0,D289,C289)</f>
        <v>0.109336912631989</v>
      </c>
      <c r="D290" s="41" t="n">
        <f aca="false">(B290+C290)/2</f>
        <v>0.109336823225021</v>
      </c>
      <c r="E290" s="15" t="n">
        <f aca="false">$C$2*(1+IF(E$3&lt;=$O$2,$D290,$D290-($D290-$I$265)*MIN(E$3-$O$2,$Q$2)/$Q$2))</f>
        <v>9052.18847751617</v>
      </c>
      <c r="F290" s="15" t="n">
        <f aca="false">E290*(1+IF(F$3&lt;=$O$2,$D290,$D290-($D290-$I$265)*MIN(F$3-$O$2,$Q$2)/$Q$2))</f>
        <v>10041.9260088819</v>
      </c>
      <c r="G290" s="15" t="n">
        <f aca="false">F290*(1+IF(G$3&lt;=$O$2,$D290,$D290-($D290-$I$265)*MIN(G$3-$O$2,$Q$2)/$Q$2))</f>
        <v>11139.8782977538</v>
      </c>
      <c r="H290" s="15" t="n">
        <f aca="false">G290*(1+IF(H$3&lt;=$O$2,$D290,$D290-($D290-$I$265)*MIN(H$3-$O$2,$Q$2)/$Q$2))</f>
        <v>12357.8772019436</v>
      </c>
      <c r="I290" s="15" t="n">
        <f aca="false">H290*(1+IF(I$3&lt;=$O$2,$D290,$D290-($D290-$I$265)*MIN(I$3-$O$2,$Q$2)/$Q$2))</f>
        <v>13709.048237009</v>
      </c>
      <c r="J290" s="15" t="n">
        <f aca="false">I290*(1+IF(J$3&lt;=$O$2,$D290,$D290-($D290-$I$265)*MIN(J$3-$O$2,$Q$2)/$Q$2))</f>
        <v>14999.473525206</v>
      </c>
      <c r="K290" s="15" t="n">
        <f aca="false">J290*(1+IF(K$3&lt;=$O$2,$D290,$D290-($D290-$I$265)*MIN(K$3-$O$2,$Q$2)/$Q$2))</f>
        <v>16183.263383738</v>
      </c>
      <c r="L290" s="15" t="n">
        <f aca="false">K290*(1+IF(L$3&lt;=$O$2,$D290,$D290-($D290-$I$265)*MIN(L$3-$O$2,$Q$2)/$Q$2))</f>
        <v>17214.3756292618</v>
      </c>
      <c r="M290" s="15" t="n">
        <f aca="false">L290*(1+IF(M$3&lt;=$O$2,$D290,$D290-($D290-$I$265)*MIN(M$3-$O$2,$Q$2)/$Q$2))</f>
        <v>18049.3996250465</v>
      </c>
      <c r="N290" s="15" t="n">
        <f aca="false">M290*(1+IF(N$3&lt;=$O$2,$D290,$D290-($D290-$I$265)*MIN(N$3-$O$2,$Q$2)/$Q$2))</f>
        <v>18650.4446325605</v>
      </c>
      <c r="O290" s="15" t="n">
        <f aca="false">SUMPRODUCT(E290:N290,1/(1+$F$265)^$E$3:$N$3)*$E$2</f>
        <v>32459.996737511</v>
      </c>
      <c r="P290" s="15" t="n">
        <f aca="false">N290*$E$2*(1+$I$265)/($F$265-$I$265)/(1+$F$265)^$N$3</f>
        <v>54040.0292052289</v>
      </c>
      <c r="Q290" s="15" t="n">
        <f aca="false">O290+P290</f>
        <v>86500.0259427399</v>
      </c>
      <c r="R290" s="15" t="n">
        <f aca="false">Q290-$G$2+$I$2</f>
        <v>80380.0259427399</v>
      </c>
      <c r="S290" s="42" t="n">
        <f aca="false">R290/$K$2</f>
        <v>464.14150561693</v>
      </c>
      <c r="T290" s="43" t="n">
        <f aca="false">S290-$M$2</f>
        <v>0.000149802170312796</v>
      </c>
    </row>
    <row r="292" customFormat="false" ht="15" hidden="false" customHeight="false" outlineLevel="0" collapsed="false">
      <c r="A292" s="38" t="s">
        <v>191</v>
      </c>
      <c r="E292" s="5" t="s">
        <v>11</v>
      </c>
      <c r="F292" s="12" t="n">
        <f aca="false">Sensitivity!$B$11</f>
        <v>0.0903160519233867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162</v>
      </c>
      <c r="B293" s="28" t="s">
        <v>163</v>
      </c>
      <c r="C293" s="28" t="s">
        <v>164</v>
      </c>
      <c r="D293" s="28" t="s">
        <v>165</v>
      </c>
      <c r="E293" s="28" t="s">
        <v>166</v>
      </c>
      <c r="F293" s="28" t="s">
        <v>167</v>
      </c>
      <c r="G293" s="28" t="s">
        <v>168</v>
      </c>
      <c r="H293" s="28" t="s">
        <v>169</v>
      </c>
      <c r="I293" s="28" t="s">
        <v>170</v>
      </c>
      <c r="J293" s="28" t="s">
        <v>171</v>
      </c>
      <c r="K293" s="28" t="s">
        <v>172</v>
      </c>
      <c r="L293" s="28" t="s">
        <v>173</v>
      </c>
      <c r="M293" s="28" t="s">
        <v>174</v>
      </c>
      <c r="N293" s="28" t="s">
        <v>175</v>
      </c>
      <c r="O293" s="28" t="s">
        <v>176</v>
      </c>
      <c r="P293" s="28" t="s">
        <v>177</v>
      </c>
      <c r="Q293" s="28" t="s">
        <v>178</v>
      </c>
      <c r="R293" s="28" t="s">
        <v>179</v>
      </c>
      <c r="S293" s="28" t="s">
        <v>180</v>
      </c>
      <c r="T293" s="28" t="s">
        <v>181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10200</v>
      </c>
      <c r="F294" s="15" t="n">
        <f aca="false">E294*(1+IF(F$3&lt;=$O$2,$D294,$D294-($D294-$I$292)*MIN(F$3-$O$2,$Q$2)/$Q$2))</f>
        <v>12750</v>
      </c>
      <c r="G294" s="15" t="n">
        <f aca="false">F294*(1+IF(G$3&lt;=$O$2,$D294,$D294-($D294-$I$292)*MIN(G$3-$O$2,$Q$2)/$Q$2))</f>
        <v>15937.5</v>
      </c>
      <c r="H294" s="15" t="n">
        <f aca="false">G294*(1+IF(H$3&lt;=$O$2,$D294,$D294-($D294-$I$292)*MIN(H$3-$O$2,$Q$2)/$Q$2))</f>
        <v>19921.875</v>
      </c>
      <c r="I294" s="15" t="n">
        <f aca="false">H294*(1+IF(I$3&lt;=$O$2,$D294,$D294-($D294-$I$292)*MIN(I$3-$O$2,$Q$2)/$Q$2))</f>
        <v>24902.34375</v>
      </c>
      <c r="J294" s="15" t="n">
        <f aca="false">I294*(1+IF(J$3&lt;=$O$2,$D294,$D294-($D294-$I$292)*MIN(J$3-$O$2,$Q$2)/$Q$2))</f>
        <v>30073.564453125</v>
      </c>
      <c r="K294" s="15" t="n">
        <f aca="false">J294*(1+IF(K$3&lt;=$O$2,$D294,$D294-($D294-$I$292)*MIN(K$3-$O$2,$Q$2)/$Q$2))</f>
        <v>35045.3261285156</v>
      </c>
      <c r="L294" s="15" t="n">
        <f aca="false">K294*(1+IF(L$3&lt;=$O$2,$D294,$D294-($D294-$I$292)*MIN(L$3-$O$2,$Q$2)/$Q$2))</f>
        <v>39355.2003358005</v>
      </c>
      <c r="M294" s="15" t="n">
        <f aca="false">L294*(1+IF(M$3&lt;=$O$2,$D294,$D294-($D294-$I$292)*MIN(M$3-$O$2,$Q$2)/$Q$2))</f>
        <v>42528.8036908794</v>
      </c>
      <c r="N294" s="15" t="n">
        <f aca="false">M294*(1+IF(N$3&lt;=$O$2,$D294,$D294-($D294-$I$292)*MIN(N$3-$O$2,$Q$2)/$Q$2))</f>
        <v>44157.6568722401</v>
      </c>
      <c r="O294" s="15" t="n">
        <f aca="false">SUMPRODUCT(E294:N294,1/(1+$F$292)^$E$3:$N$3)*$E$2</f>
        <v>59786.9356367873</v>
      </c>
      <c r="P294" s="15" t="n">
        <f aca="false">N294*$E$2*(1+$I$292)/($F$292-$I$292)/(1+$F$292)^$N$3</f>
        <v>140925.175967422</v>
      </c>
      <c r="Q294" s="15" t="n">
        <f aca="false">O294+P294</f>
        <v>200712.111604209</v>
      </c>
      <c r="R294" s="15" t="n">
        <f aca="false">Q294-$G$2+$I$2</f>
        <v>194592.111604209</v>
      </c>
      <c r="S294" s="42" t="n">
        <f aca="false">R294/$K$2</f>
        <v>1123.64078764412</v>
      </c>
      <c r="T294" s="43" t="n">
        <f aca="false">S294-$M$2</f>
        <v>659.499431829363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7140</v>
      </c>
      <c r="F295" s="15" t="n">
        <f aca="false">E295*(1+IF(F$3&lt;=$O$2,$D295,$D295-($D295-$I$292)*MIN(F$3-$O$2,$Q$2)/$Q$2))</f>
        <v>6247.5</v>
      </c>
      <c r="G295" s="15" t="n">
        <f aca="false">F295*(1+IF(G$3&lt;=$O$2,$D295,$D295-($D295-$I$292)*MIN(G$3-$O$2,$Q$2)/$Q$2))</f>
        <v>5466.5625</v>
      </c>
      <c r="H295" s="15" t="n">
        <f aca="false">G295*(1+IF(H$3&lt;=$O$2,$D295,$D295-($D295-$I$292)*MIN(H$3-$O$2,$Q$2)/$Q$2))</f>
        <v>4783.2421875</v>
      </c>
      <c r="I295" s="15" t="n">
        <f aca="false">H295*(1+IF(I$3&lt;=$O$2,$D295,$D295-($D295-$I$292)*MIN(I$3-$O$2,$Q$2)/$Q$2))</f>
        <v>4185.3369140625</v>
      </c>
      <c r="J295" s="15" t="n">
        <f aca="false">I295*(1+IF(J$3&lt;=$O$2,$D295,$D295-($D295-$I$292)*MIN(J$3-$O$2,$Q$2)/$Q$2))</f>
        <v>3798.86290341797</v>
      </c>
      <c r="K295" s="15" t="n">
        <f aca="false">J295*(1+IF(K$3&lt;=$O$2,$D295,$D295-($D295-$I$292)*MIN(K$3-$O$2,$Q$2)/$Q$2))</f>
        <v>3572.14676534198</v>
      </c>
      <c r="L295" s="15" t="n">
        <f aca="false">K295*(1+IF(L$3&lt;=$O$2,$D295,$D295-($D295-$I$292)*MIN(L$3-$O$2,$Q$2)/$Q$2))</f>
        <v>3475.62735974244</v>
      </c>
      <c r="M295" s="15" t="n">
        <f aca="false">L295*(1+IF(M$3&lt;=$O$2,$D295,$D295-($D295-$I$292)*MIN(M$3-$O$2,$Q$2)/$Q$2))</f>
        <v>3495.22989805139</v>
      </c>
      <c r="N295" s="15" t="n">
        <f aca="false">M295*(1+IF(N$3&lt;=$O$2,$D295,$D295-($D295-$I$292)*MIN(N$3-$O$2,$Q$2)/$Q$2))</f>
        <v>3629.09720314676</v>
      </c>
      <c r="O295" s="15" t="n">
        <f aca="false">SUMPRODUCT(E295:N295,1/(1+$F$292)^$E$3:$N$3)*$E$2</f>
        <v>11846.2428128933</v>
      </c>
      <c r="P295" s="15" t="n">
        <f aca="false">N295*$E$2*(1+$I$292)/($F$292-$I$292)/(1+$F$292)^$N$3</f>
        <v>11581.936139321</v>
      </c>
      <c r="Q295" s="15" t="n">
        <f aca="false">O295+P295</f>
        <v>23428.1789522143</v>
      </c>
      <c r="R295" s="15" t="n">
        <f aca="false">Q295-$G$2+$I$2</f>
        <v>17308.1789522143</v>
      </c>
      <c r="S295" s="42" t="n">
        <f aca="false">R295/$K$2</f>
        <v>99.9432899423393</v>
      </c>
      <c r="T295" s="43" t="n">
        <f aca="false">S295-$M$2</f>
        <v>-364.19806587242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8670</v>
      </c>
      <c r="F296" s="15" t="n">
        <f aca="false">E296*(1+IF(F$3&lt;=$O$2,$D296,$D296-($D296-$I$292)*MIN(F$3-$O$2,$Q$2)/$Q$2))</f>
        <v>9211.875</v>
      </c>
      <c r="G296" s="15" t="n">
        <f aca="false">F296*(1+IF(G$3&lt;=$O$2,$D296,$D296-($D296-$I$292)*MIN(G$3-$O$2,$Q$2)/$Q$2))</f>
        <v>9787.6171875</v>
      </c>
      <c r="H296" s="15" t="n">
        <f aca="false">G296*(1+IF(H$3&lt;=$O$2,$D296,$D296-($D296-$I$292)*MIN(H$3-$O$2,$Q$2)/$Q$2))</f>
        <v>10399.3432617188</v>
      </c>
      <c r="I296" s="15" t="n">
        <f aca="false">H296*(1+IF(I$3&lt;=$O$2,$D296,$D296-($D296-$I$292)*MIN(I$3-$O$2,$Q$2)/$Q$2))</f>
        <v>11049.3022155762</v>
      </c>
      <c r="J296" s="15" t="n">
        <f aca="false">I296*(1+IF(J$3&lt;=$O$2,$D296,$D296-($D296-$I$292)*MIN(J$3-$O$2,$Q$2)/$Q$2))</f>
        <v>11686.4049813263</v>
      </c>
      <c r="K296" s="15" t="n">
        <f aca="false">J296*(1+IF(K$3&lt;=$O$2,$D296,$D296-($D296-$I$292)*MIN(K$3-$O$2,$Q$2)/$Q$2))</f>
        <v>12303.68089244</v>
      </c>
      <c r="L296" s="15" t="n">
        <f aca="false">K296*(1+IF(L$3&lt;=$O$2,$D296,$D296-($D296-$I$292)*MIN(L$3-$O$2,$Q$2)/$Q$2))</f>
        <v>12894.0115016592</v>
      </c>
      <c r="M296" s="15" t="n">
        <f aca="false">L296*(1+IF(M$3&lt;=$O$2,$D296,$D296-($D296-$I$292)*MIN(M$3-$O$2,$Q$2)/$Q$2))</f>
        <v>13450.2591578408</v>
      </c>
      <c r="N296" s="15" t="n">
        <f aca="false">M296*(1+IF(N$3&lt;=$O$2,$D296,$D296-($D296-$I$292)*MIN(N$3-$O$2,$Q$2)/$Q$2))</f>
        <v>13965.4040835861</v>
      </c>
      <c r="O296" s="15" t="n">
        <f aca="false">SUMPRODUCT(E296:N296,1/(1+$F$292)^$E$3:$N$3)*$E$2</f>
        <v>26560.0847448423</v>
      </c>
      <c r="P296" s="15" t="n">
        <f aca="false">N296*$E$2*(1+$I$292)/($F$292-$I$292)/(1+$F$292)^$N$3</f>
        <v>44569.326529931</v>
      </c>
      <c r="Q296" s="15" t="n">
        <f aca="false">O296+P296</f>
        <v>71129.4112747733</v>
      </c>
      <c r="R296" s="15" t="n">
        <f aca="false">Q296-$G$2+$I$2</f>
        <v>65009.4112747733</v>
      </c>
      <c r="S296" s="42" t="n">
        <f aca="false">R296/$K$2</f>
        <v>375.386368372637</v>
      </c>
      <c r="T296" s="43" t="n">
        <f aca="false">S296-$M$2</f>
        <v>-88.7549874421221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0.0625</v>
      </c>
      <c r="C297" s="25" t="n">
        <f aca="false">IF(T296&gt;0,D296,C296)</f>
        <v>0.25</v>
      </c>
      <c r="D297" s="41" t="n">
        <f aca="false">(B297+C297)/2</f>
        <v>0.15625</v>
      </c>
      <c r="E297" s="15" t="n">
        <f aca="false">$C$2*(1+IF(E$3&lt;=$O$2,$D297,$D297-($D297-$I$292)*MIN(E$3-$O$2,$Q$2)/$Q$2))</f>
        <v>9435</v>
      </c>
      <c r="F297" s="15" t="n">
        <f aca="false">E297*(1+IF(F$3&lt;=$O$2,$D297,$D297-($D297-$I$292)*MIN(F$3-$O$2,$Q$2)/$Q$2))</f>
        <v>10909.21875</v>
      </c>
      <c r="G297" s="15" t="n">
        <f aca="false">F297*(1+IF(G$3&lt;=$O$2,$D297,$D297-($D297-$I$292)*MIN(G$3-$O$2,$Q$2)/$Q$2))</f>
        <v>12613.7841796875</v>
      </c>
      <c r="H297" s="15" t="n">
        <f aca="false">G297*(1+IF(H$3&lt;=$O$2,$D297,$D297-($D297-$I$292)*MIN(H$3-$O$2,$Q$2)/$Q$2))</f>
        <v>14584.6879577637</v>
      </c>
      <c r="I297" s="15" t="n">
        <f aca="false">H297*(1+IF(I$3&lt;=$O$2,$D297,$D297-($D297-$I$292)*MIN(I$3-$O$2,$Q$2)/$Q$2))</f>
        <v>16863.5454511642</v>
      </c>
      <c r="J297" s="15" t="n">
        <f aca="false">I297*(1+IF(J$3&lt;=$O$2,$D297,$D297-($D297-$I$292)*MIN(J$3-$O$2,$Q$2)/$Q$2))</f>
        <v>19100.6633907157</v>
      </c>
      <c r="K297" s="15" t="n">
        <f aca="false">J297*(1+IF(K$3&lt;=$O$2,$D297,$D297-($D297-$I$292)*MIN(K$3-$O$2,$Q$2)/$Q$2))</f>
        <v>21183.9727467411</v>
      </c>
      <c r="L297" s="15" t="n">
        <f aca="false">K297*(1+IF(L$3&lt;=$O$2,$D297,$D297-($D297-$I$292)*MIN(L$3-$O$2,$Q$2)/$Q$2))</f>
        <v>22994.7787371325</v>
      </c>
      <c r="M297" s="15" t="n">
        <f aca="false">L297*(1+IF(M$3&lt;=$O$2,$D297,$D297-($D297-$I$292)*MIN(M$3-$O$2,$Q$2)/$Q$2))</f>
        <v>24417.9255931736</v>
      </c>
      <c r="N297" s="15" t="n">
        <f aca="false">M297*(1+IF(N$3&lt;=$O$2,$D297,$D297-($D297-$I$292)*MIN(N$3-$O$2,$Q$2)/$Q$2))</f>
        <v>25353.1321433922</v>
      </c>
      <c r="O297" s="15" t="n">
        <f aca="false">SUMPRODUCT(E297:N297,1/(1+$F$292)^$E$3:$N$3)*$E$2</f>
        <v>39920.5188616756</v>
      </c>
      <c r="P297" s="15" t="n">
        <f aca="false">N297*$E$2*(1+$I$292)/($F$292-$I$292)/(1+$F$292)^$N$3</f>
        <v>80912.2327067801</v>
      </c>
      <c r="Q297" s="15" t="n">
        <f aca="false">O297+P297</f>
        <v>120832.751568456</v>
      </c>
      <c r="R297" s="15" t="n">
        <f aca="false">Q297-$G$2+$I$2</f>
        <v>114712.751568456</v>
      </c>
      <c r="S297" s="42" t="n">
        <f aca="false">R297/$K$2</f>
        <v>662.390296618868</v>
      </c>
      <c r="T297" s="43" t="n">
        <f aca="false">S297-$M$2</f>
        <v>198.248940804109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0.0625</v>
      </c>
      <c r="C298" s="25" t="n">
        <f aca="false">IF(T297&gt;0,D297,C297)</f>
        <v>0.15625</v>
      </c>
      <c r="D298" s="41" t="n">
        <f aca="false">(B298+C298)/2</f>
        <v>0.109375</v>
      </c>
      <c r="E298" s="15" t="n">
        <f aca="false">$C$2*(1+IF(E$3&lt;=$O$2,$D298,$D298-($D298-$I$292)*MIN(E$3-$O$2,$Q$2)/$Q$2))</f>
        <v>9052.5</v>
      </c>
      <c r="F298" s="15" t="n">
        <f aca="false">E298*(1+IF(F$3&lt;=$O$2,$D298,$D298-($D298-$I$292)*MIN(F$3-$O$2,$Q$2)/$Q$2))</f>
        <v>10042.6171875</v>
      </c>
      <c r="G298" s="15" t="n">
        <f aca="false">F298*(1+IF(G$3&lt;=$O$2,$D298,$D298-($D298-$I$292)*MIN(G$3-$O$2,$Q$2)/$Q$2))</f>
        <v>11141.0284423828</v>
      </c>
      <c r="H298" s="15" t="n">
        <f aca="false">G298*(1+IF(H$3&lt;=$O$2,$D298,$D298-($D298-$I$292)*MIN(H$3-$O$2,$Q$2)/$Q$2))</f>
        <v>12359.5784282684</v>
      </c>
      <c r="I298" s="15" t="n">
        <f aca="false">H298*(1+IF(I$3&lt;=$O$2,$D298,$D298-($D298-$I$292)*MIN(I$3-$O$2,$Q$2)/$Q$2))</f>
        <v>13711.4073188603</v>
      </c>
      <c r="J298" s="15" t="n">
        <f aca="false">I298*(1+IF(J$3&lt;=$O$2,$D298,$D298-($D298-$I$292)*MIN(J$3-$O$2,$Q$2)/$Q$2))</f>
        <v>15016.184839323</v>
      </c>
      <c r="K298" s="15" t="n">
        <f aca="false">J298*(1+IF(K$3&lt;=$O$2,$D298,$D298-($D298-$I$292)*MIN(K$3-$O$2,$Q$2)/$Q$2))</f>
        <v>16231.669921142</v>
      </c>
      <c r="L298" s="15" t="n">
        <f aca="false">K298*(1+IF(L$3&lt;=$O$2,$D298,$D298-($D298-$I$292)*MIN(L$3-$O$2,$Q$2)/$Q$2))</f>
        <v>17314.8092549799</v>
      </c>
      <c r="M298" s="15" t="n">
        <f aca="false">L298*(1+IF(M$3&lt;=$O$2,$D298,$D298-($D298-$I$292)*MIN(M$3-$O$2,$Q$2)/$Q$2))</f>
        <v>18224.0964630051</v>
      </c>
      <c r="N298" s="15" t="n">
        <f aca="false">M298*(1+IF(N$3&lt;=$O$2,$D298,$D298-($D298-$I$292)*MIN(N$3-$O$2,$Q$2)/$Q$2))</f>
        <v>18922.0793575382</v>
      </c>
      <c r="O298" s="15" t="n">
        <f aca="false">SUMPRODUCT(E298:N298,1/(1+$F$292)^$E$3:$N$3)*$E$2</f>
        <v>32568.4795283561</v>
      </c>
      <c r="P298" s="15" t="n">
        <f aca="false">N298*$E$2*(1+$I$292)/($F$292-$I$292)/(1+$F$292)^$N$3</f>
        <v>60388.1082469065</v>
      </c>
      <c r="Q298" s="15" t="n">
        <f aca="false">O298+P298</f>
        <v>92956.5877752626</v>
      </c>
      <c r="R298" s="15" t="n">
        <f aca="false">Q298-$G$2+$I$2</f>
        <v>86836.5877752626</v>
      </c>
      <c r="S298" s="42" t="n">
        <f aca="false">R298/$K$2</f>
        <v>501.423881367725</v>
      </c>
      <c r="T298" s="43" t="n">
        <f aca="false">S298-$M$2</f>
        <v>37.2825255529658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0.0625</v>
      </c>
      <c r="C299" s="25" t="n">
        <f aca="false">IF(T298&gt;0,D298,C298)</f>
        <v>0.109375</v>
      </c>
      <c r="D299" s="41" t="n">
        <f aca="false">(B299+C299)/2</f>
        <v>0.0859375</v>
      </c>
      <c r="E299" s="15" t="n">
        <f aca="false">$C$2*(1+IF(E$3&lt;=$O$2,$D299,$D299-($D299-$I$292)*MIN(E$3-$O$2,$Q$2)/$Q$2))</f>
        <v>8861.25</v>
      </c>
      <c r="F299" s="15" t="n">
        <f aca="false">E299*(1+IF(F$3&lt;=$O$2,$D299,$D299-($D299-$I$292)*MIN(F$3-$O$2,$Q$2)/$Q$2))</f>
        <v>9622.763671875</v>
      </c>
      <c r="G299" s="15" t="n">
        <f aca="false">F299*(1+IF(G$3&lt;=$O$2,$D299,$D299-($D299-$I$292)*MIN(G$3-$O$2,$Q$2)/$Q$2))</f>
        <v>10449.7199249268</v>
      </c>
      <c r="H299" s="15" t="n">
        <f aca="false">G299*(1+IF(H$3&lt;=$O$2,$D299,$D299-($D299-$I$292)*MIN(H$3-$O$2,$Q$2)/$Q$2))</f>
        <v>11347.7427309752</v>
      </c>
      <c r="I299" s="15" t="n">
        <f aca="false">H299*(1+IF(I$3&lt;=$O$2,$D299,$D299-($D299-$I$292)*MIN(I$3-$O$2,$Q$2)/$Q$2))</f>
        <v>12322.9393719183</v>
      </c>
      <c r="J299" s="15" t="n">
        <f aca="false">I299*(1+IF(J$3&lt;=$O$2,$D299,$D299-($D299-$I$292)*MIN(J$3-$O$2,$Q$2)/$Q$2))</f>
        <v>13264.5351693266</v>
      </c>
      <c r="K299" s="15" t="n">
        <f aca="false">J299*(1+IF(K$3&lt;=$O$2,$D299,$D299-($D299-$I$292)*MIN(K$3-$O$2,$Q$2)/$Q$2))</f>
        <v>14151.7004427891</v>
      </c>
      <c r="L299" s="15" t="n">
        <f aca="false">K299*(1+IF(L$3&lt;=$O$2,$D299,$D299-($D299-$I$292)*MIN(L$3-$O$2,$Q$2)/$Q$2))</f>
        <v>14963.3712216853</v>
      </c>
      <c r="M299" s="15" t="n">
        <f aca="false">L299*(1+IF(M$3&lt;=$O$2,$D299,$D299-($D299-$I$292)*MIN(M$3-$O$2,$Q$2)/$Q$2))</f>
        <v>15679.0318587904</v>
      </c>
      <c r="N299" s="15" t="n">
        <f aca="false">M299*(1+IF(N$3&lt;=$O$2,$D299,$D299-($D299-$I$292)*MIN(N$3-$O$2,$Q$2)/$Q$2))</f>
        <v>16279.5387789821</v>
      </c>
      <c r="O299" s="15" t="n">
        <f aca="false">SUMPRODUCT(E299:N299,1/(1+$F$292)^$E$3:$N$3)*$E$2</f>
        <v>29411.6457315662</v>
      </c>
      <c r="P299" s="15" t="n">
        <f aca="false">N299*$E$2*(1+$I$292)/($F$292-$I$292)/(1+$F$292)^$N$3</f>
        <v>51954.6785223283</v>
      </c>
      <c r="Q299" s="15" t="n">
        <f aca="false">O299+P299</f>
        <v>81366.3242538945</v>
      </c>
      <c r="R299" s="15" t="n">
        <f aca="false">Q299-$G$2+$I$2</f>
        <v>75246.3242538945</v>
      </c>
      <c r="S299" s="42" t="n">
        <f aca="false">R299/$K$2</f>
        <v>434.497772571281</v>
      </c>
      <c r="T299" s="43" t="n">
        <f aca="false">S299-$M$2</f>
        <v>-29.6435832434779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0.0859375</v>
      </c>
      <c r="C300" s="25" t="n">
        <f aca="false">IF(T299&gt;0,D299,C299)</f>
        <v>0.109375</v>
      </c>
      <c r="D300" s="41" t="n">
        <f aca="false">(B300+C300)/2</f>
        <v>0.09765625</v>
      </c>
      <c r="E300" s="15" t="n">
        <f aca="false">$C$2*(1+IF(E$3&lt;=$O$2,$D300,$D300-($D300-$I$292)*MIN(E$3-$O$2,$Q$2)/$Q$2))</f>
        <v>8956.875</v>
      </c>
      <c r="F300" s="15" t="n">
        <f aca="false">E300*(1+IF(F$3&lt;=$O$2,$D300,$D300-($D300-$I$292)*MIN(F$3-$O$2,$Q$2)/$Q$2))</f>
        <v>9831.56982421875</v>
      </c>
      <c r="G300" s="15" t="n">
        <f aca="false">F300*(1+IF(G$3&lt;=$O$2,$D300,$D300-($D300-$I$292)*MIN(G$3-$O$2,$Q$2)/$Q$2))</f>
        <v>10791.6840648651</v>
      </c>
      <c r="H300" s="15" t="n">
        <f aca="false">G300*(1+IF(H$3&lt;=$O$2,$D300,$D300-($D300-$I$292)*MIN(H$3-$O$2,$Q$2)/$Q$2))</f>
        <v>11845.5594618246</v>
      </c>
      <c r="I300" s="15" t="n">
        <f aca="false">H300*(1+IF(I$3&lt;=$O$2,$D300,$D300-($D300-$I$292)*MIN(I$3-$O$2,$Q$2)/$Q$2))</f>
        <v>13002.3523780184</v>
      </c>
      <c r="J300" s="15" t="n">
        <f aca="false">I300*(1+IF(J$3&lt;=$O$2,$D300,$D300-($D300-$I$292)*MIN(J$3-$O$2,$Q$2)/$Q$2))</f>
        <v>14117.7591767667</v>
      </c>
      <c r="K300" s="15" t="n">
        <f aca="false">J300*(1+IF(K$3&lt;=$O$2,$D300,$D300-($D300-$I$292)*MIN(K$3-$O$2,$Q$2)/$Q$2))</f>
        <v>15161.2556991185</v>
      </c>
      <c r="L300" s="15" t="n">
        <f aca="false">K300*(1+IF(L$3&lt;=$O$2,$D300,$D300-($D300-$I$292)*MIN(L$3-$O$2,$Q$2)/$Q$2))</f>
        <v>16101.897905831</v>
      </c>
      <c r="M300" s="15" t="n">
        <f aca="false">L300*(1+IF(M$3&lt;=$O$2,$D300,$D300-($D300-$I$292)*MIN(M$3-$O$2,$Q$2)/$Q$2))</f>
        <v>16909.7502511389</v>
      </c>
      <c r="N300" s="15" t="n">
        <f aca="false">M300*(1+IF(N$3&lt;=$O$2,$D300,$D300-($D300-$I$292)*MIN(N$3-$O$2,$Q$2)/$Q$2))</f>
        <v>17557.3936857576</v>
      </c>
      <c r="O300" s="15" t="n">
        <f aca="false">SUMPRODUCT(E300:N300,1/(1+$F$292)^$E$3:$N$3)*$E$2</f>
        <v>30950.0851084837</v>
      </c>
      <c r="P300" s="15" t="n">
        <f aca="false">N300*$E$2*(1+$I$292)/($F$292-$I$292)/(1+$F$292)^$N$3</f>
        <v>56032.8371102985</v>
      </c>
      <c r="Q300" s="15" t="n">
        <f aca="false">O300+P300</f>
        <v>86982.9222187822</v>
      </c>
      <c r="R300" s="15" t="n">
        <f aca="false">Q300-$G$2+$I$2</f>
        <v>80862.9222187822</v>
      </c>
      <c r="S300" s="42" t="n">
        <f aca="false">R300/$K$2</f>
        <v>466.929912338504</v>
      </c>
      <c r="T300" s="43" t="n">
        <f aca="false">S300-$M$2</f>
        <v>2.78855652374506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0.0859375</v>
      </c>
      <c r="C301" s="25" t="n">
        <f aca="false">IF(T300&gt;0,D300,C300)</f>
        <v>0.09765625</v>
      </c>
      <c r="D301" s="41" t="n">
        <f aca="false">(B301+C301)/2</f>
        <v>0.091796875</v>
      </c>
      <c r="E301" s="15" t="n">
        <f aca="false">$C$2*(1+IF(E$3&lt;=$O$2,$D301,$D301-($D301-$I$292)*MIN(E$3-$O$2,$Q$2)/$Q$2))</f>
        <v>8909.0625</v>
      </c>
      <c r="F301" s="15" t="n">
        <f aca="false">E301*(1+IF(F$3&lt;=$O$2,$D301,$D301-($D301-$I$292)*MIN(F$3-$O$2,$Q$2)/$Q$2))</f>
        <v>9726.88659667969</v>
      </c>
      <c r="G301" s="15" t="n">
        <f aca="false">F301*(1+IF(G$3&lt;=$O$2,$D301,$D301-($D301-$I$292)*MIN(G$3-$O$2,$Q$2)/$Q$2))</f>
        <v>10619.7843897343</v>
      </c>
      <c r="H301" s="15" t="n">
        <f aca="false">G301*(1+IF(H$3&lt;=$O$2,$D301,$D301-($D301-$I$292)*MIN(H$3-$O$2,$Q$2)/$Q$2))</f>
        <v>11594.6474098857</v>
      </c>
      <c r="I301" s="15" t="n">
        <f aca="false">H301*(1+IF(I$3&lt;=$O$2,$D301,$D301-($D301-$I$292)*MIN(I$3-$O$2,$Q$2)/$Q$2))</f>
        <v>12658.99980884</v>
      </c>
      <c r="J301" s="15" t="n">
        <f aca="false">I301*(1+IF(J$3&lt;=$O$2,$D301,$D301-($D301-$I$292)*MIN(J$3-$O$2,$Q$2)/$Q$2))</f>
        <v>13685.6130458374</v>
      </c>
      <c r="K301" s="15" t="n">
        <f aca="false">J301*(1+IF(K$3&lt;=$O$2,$D301,$D301-($D301-$I$292)*MIN(K$3-$O$2,$Q$2)/$Q$2))</f>
        <v>14649.0545437399</v>
      </c>
      <c r="L301" s="15" t="n">
        <f aca="false">K301*(1+IF(L$3&lt;=$O$2,$D301,$D301-($D301-$I$292)*MIN(L$3-$O$2,$Q$2)/$Q$2))</f>
        <v>15523.584788683</v>
      </c>
      <c r="M301" s="15" t="n">
        <f aca="false">L301*(1+IF(M$3&lt;=$O$2,$D301,$D301-($D301-$I$292)*MIN(M$3-$O$2,$Q$2)/$Q$2))</f>
        <v>16284.230741088</v>
      </c>
      <c r="N301" s="15" t="n">
        <f aca="false">M301*(1+IF(N$3&lt;=$O$2,$D301,$D301-($D301-$I$292)*MIN(N$3-$O$2,$Q$2)/$Q$2))</f>
        <v>16907.9167784716</v>
      </c>
      <c r="O301" s="15" t="n">
        <f aca="false">SUMPRODUCT(E301:N301,1/(1+$F$292)^$E$3:$N$3)*$E$2</f>
        <v>30171.1041515271</v>
      </c>
      <c r="P301" s="15" t="n">
        <f aca="false">N301*$E$2*(1+$I$292)/($F$292-$I$292)/(1+$F$292)^$N$3</f>
        <v>53960.0901864556</v>
      </c>
      <c r="Q301" s="15" t="n">
        <f aca="false">O301+P301</f>
        <v>84131.1943379828</v>
      </c>
      <c r="R301" s="15" t="n">
        <f aca="false">Q301-$G$2+$I$2</f>
        <v>78011.1943379828</v>
      </c>
      <c r="S301" s="42" t="n">
        <f aca="false">R301/$K$2</f>
        <v>450.463069280418</v>
      </c>
      <c r="T301" s="43" t="n">
        <f aca="false">S301-$M$2</f>
        <v>-13.6782865343414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0.091796875</v>
      </c>
      <c r="C302" s="25" t="n">
        <f aca="false">IF(T301&gt;0,D301,C301)</f>
        <v>0.09765625</v>
      </c>
      <c r="D302" s="41" t="n">
        <f aca="false">(B302+C302)/2</f>
        <v>0.0947265625</v>
      </c>
      <c r="E302" s="15" t="n">
        <f aca="false">$C$2*(1+IF(E$3&lt;=$O$2,$D302,$D302-($D302-$I$292)*MIN(E$3-$O$2,$Q$2)/$Q$2))</f>
        <v>8932.96875</v>
      </c>
      <c r="F302" s="15" t="n">
        <f aca="false">E302*(1+IF(F$3&lt;=$O$2,$D302,$D302-($D302-$I$292)*MIN(F$3-$O$2,$Q$2)/$Q$2))</f>
        <v>9779.15817260742</v>
      </c>
      <c r="G302" s="15" t="n">
        <f aca="false">F302*(1+IF(G$3&lt;=$O$2,$D302,$D302-($D302-$I$292)*MIN(G$3-$O$2,$Q$2)/$Q$2))</f>
        <v>10705.5042104423</v>
      </c>
      <c r="H302" s="15" t="n">
        <f aca="false">G302*(1+IF(H$3&lt;=$O$2,$D302,$D302-($D302-$I$292)*MIN(H$3-$O$2,$Q$2)/$Q$2))</f>
        <v>11719.5998241268</v>
      </c>
      <c r="I302" s="15" t="n">
        <f aca="false">H302*(1+IF(I$3&lt;=$O$2,$D302,$D302-($D302-$I$292)*MIN(I$3-$O$2,$Q$2)/$Q$2))</f>
        <v>12829.7572293419</v>
      </c>
      <c r="J302" s="15" t="n">
        <f aca="false">I302*(1+IF(J$3&lt;=$O$2,$D302,$D302-($D302-$I$292)*MIN(J$3-$O$2,$Q$2)/$Q$2))</f>
        <v>13900.2882097547</v>
      </c>
      <c r="K302" s="15" t="n">
        <f aca="false">J302*(1+IF(K$3&lt;=$O$2,$D302,$D302-($D302-$I$292)*MIN(K$3-$O$2,$Q$2)/$Q$2))</f>
        <v>14903.2765370498</v>
      </c>
      <c r="L302" s="15" t="n">
        <f aca="false">K302*(1+IF(L$3&lt;=$O$2,$D302,$D302-($D302-$I$292)*MIN(L$3-$O$2,$Q$2)/$Q$2))</f>
        <v>15810.4482944078</v>
      </c>
      <c r="M302" s="15" t="n">
        <f aca="false">L302*(1+IF(M$3&lt;=$O$2,$D302,$D302-($D302-$I$292)*MIN(M$3-$O$2,$Q$2)/$Q$2))</f>
        <v>16594.4143138512</v>
      </c>
      <c r="N302" s="15" t="n">
        <f aca="false">M302*(1+IF(N$3&lt;=$O$2,$D302,$D302-($D302-$I$292)*MIN(N$3-$O$2,$Q$2)/$Q$2))</f>
        <v>17229.9803820716</v>
      </c>
      <c r="O302" s="15" t="n">
        <f aca="false">SUMPRODUCT(E302:N302,1/(1+$F$292)^$E$3:$N$3)*$E$2</f>
        <v>30558.1255437106</v>
      </c>
      <c r="P302" s="15" t="n">
        <f aca="false">N302*$E$2*(1+$I$292)/($F$292-$I$292)/(1+$F$292)^$N$3</f>
        <v>54987.9271059133</v>
      </c>
      <c r="Q302" s="15" t="n">
        <f aca="false">O302+P302</f>
        <v>85546.0526496239</v>
      </c>
      <c r="R302" s="15" t="n">
        <f aca="false">Q302-$G$2+$I$2</f>
        <v>79426.0526496239</v>
      </c>
      <c r="S302" s="42" t="n">
        <f aca="false">R302/$K$2</f>
        <v>458.632940579882</v>
      </c>
      <c r="T302" s="43" t="n">
        <f aca="false">S302-$M$2</f>
        <v>-5.50841523487748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0.0947265625</v>
      </c>
      <c r="C303" s="25" t="n">
        <f aca="false">IF(T302&gt;0,D302,C302)</f>
        <v>0.09765625</v>
      </c>
      <c r="D303" s="41" t="n">
        <f aca="false">(B303+C303)/2</f>
        <v>0.09619140625</v>
      </c>
      <c r="E303" s="15" t="n">
        <f aca="false">$C$2*(1+IF(E$3&lt;=$O$2,$D303,$D303-($D303-$I$292)*MIN(E$3-$O$2,$Q$2)/$Q$2))</f>
        <v>8944.921875</v>
      </c>
      <c r="F303" s="15" t="n">
        <f aca="false">E303*(1+IF(F$3&lt;=$O$2,$D303,$D303-($D303-$I$292)*MIN(F$3-$O$2,$Q$2)/$Q$2))</f>
        <v>9805.34648895264</v>
      </c>
      <c r="G303" s="15" t="n">
        <f aca="false">F303*(1+IF(G$3&lt;=$O$2,$D303,$D303-($D303-$I$292)*MIN(G$3-$O$2,$Q$2)/$Q$2))</f>
        <v>10748.5365564935</v>
      </c>
      <c r="H303" s="15" t="n">
        <f aca="false">G303*(1+IF(H$3&lt;=$O$2,$D303,$D303-($D303-$I$292)*MIN(H$3-$O$2,$Q$2)/$Q$2))</f>
        <v>11782.4534029921</v>
      </c>
      <c r="I303" s="15" t="n">
        <f aca="false">H303*(1+IF(I$3&lt;=$O$2,$D303,$D303-($D303-$I$292)*MIN(I$3-$O$2,$Q$2)/$Q$2))</f>
        <v>12915.824164901</v>
      </c>
      <c r="J303" s="15" t="n">
        <f aca="false">I303*(1+IF(J$3&lt;=$O$2,$D303,$D303-($D303-$I$292)*MIN(J$3-$O$2,$Q$2)/$Q$2))</f>
        <v>14008.6724094438</v>
      </c>
      <c r="K303" s="15" t="n">
        <f aca="false">J303*(1+IF(K$3&lt;=$O$2,$D303,$D303-($D303-$I$292)*MIN(K$3-$O$2,$Q$2)/$Q$2))</f>
        <v>15031.7936100125</v>
      </c>
      <c r="L303" s="15" t="n">
        <f aca="false">K303*(1+IF(L$3&lt;=$O$2,$D303,$D303-($D303-$I$292)*MIN(L$3-$O$2,$Q$2)/$Q$2))</f>
        <v>15955.5959734933</v>
      </c>
      <c r="M303" s="15" t="n">
        <f aca="false">L303*(1+IF(M$3&lt;=$O$2,$D303,$D303-($D303-$I$292)*MIN(M$3-$O$2,$Q$2)/$Q$2))</f>
        <v>16751.4336769706</v>
      </c>
      <c r="N303" s="15" t="n">
        <f aca="false">M303*(1+IF(N$3&lt;=$O$2,$D303,$D303-($D303-$I$292)*MIN(N$3-$O$2,$Q$2)/$Q$2))</f>
        <v>17393.0135867986</v>
      </c>
      <c r="O303" s="15" t="n">
        <f aca="false">SUMPRODUCT(E303:N303,1/(1+$F$292)^$E$3:$N$3)*$E$2</f>
        <v>30753.4844262624</v>
      </c>
      <c r="P303" s="15" t="n">
        <f aca="false">N303*$E$2*(1+$I$292)/($F$292-$I$292)/(1+$F$292)^$N$3</f>
        <v>55508.2328624246</v>
      </c>
      <c r="Q303" s="15" t="n">
        <f aca="false">O303+P303</f>
        <v>86261.717288687</v>
      </c>
      <c r="R303" s="15" t="n">
        <f aca="false">Q303-$G$2+$I$2</f>
        <v>80141.717288687</v>
      </c>
      <c r="S303" s="42" t="n">
        <f aca="false">R303/$K$2</f>
        <v>462.765430700352</v>
      </c>
      <c r="T303" s="43" t="n">
        <f aca="false">S303-$M$2</f>
        <v>-1.37592511440727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0.09619140625</v>
      </c>
      <c r="C304" s="25" t="n">
        <f aca="false">IF(T303&gt;0,D303,C303)</f>
        <v>0.09765625</v>
      </c>
      <c r="D304" s="41" t="n">
        <f aca="false">(B304+C304)/2</f>
        <v>0.096923828125</v>
      </c>
      <c r="E304" s="15" t="n">
        <f aca="false">$C$2*(1+IF(E$3&lt;=$O$2,$D304,$D304-($D304-$I$292)*MIN(E$3-$O$2,$Q$2)/$Q$2))</f>
        <v>8950.8984375</v>
      </c>
      <c r="F304" s="15" t="n">
        <f aca="false">E304*(1+IF(F$3&lt;=$O$2,$D304,$D304-($D304-$I$292)*MIN(F$3-$O$2,$Q$2)/$Q$2))</f>
        <v>9818.45377922058</v>
      </c>
      <c r="G304" s="15" t="n">
        <f aca="false">F304*(1+IF(G$3&lt;=$O$2,$D304,$D304-($D304-$I$292)*MIN(G$3-$O$2,$Q$2)/$Q$2))</f>
        <v>10770.095905771</v>
      </c>
      <c r="H304" s="15" t="n">
        <f aca="false">G304*(1+IF(H$3&lt;=$O$2,$D304,$D304-($D304-$I$292)*MIN(H$3-$O$2,$Q$2)/$Q$2))</f>
        <v>11813.9748302317</v>
      </c>
      <c r="I304" s="15" t="n">
        <f aca="false">H304*(1+IF(I$3&lt;=$O$2,$D304,$D304-($D304-$I$292)*MIN(I$3-$O$2,$Q$2)/$Q$2))</f>
        <v>12959.0304961502</v>
      </c>
      <c r="J304" s="15" t="n">
        <f aca="false">I304*(1+IF(J$3&lt;=$O$2,$D304,$D304-($D304-$I$292)*MIN(J$3-$O$2,$Q$2)/$Q$2))</f>
        <v>14063.1277453311</v>
      </c>
      <c r="K304" s="15" t="n">
        <f aca="false">J304*(1+IF(K$3&lt;=$O$2,$D304,$D304-($D304-$I$292)*MIN(K$3-$O$2,$Q$2)/$Q$2))</f>
        <v>15096.4061682826</v>
      </c>
      <c r="L304" s="15" t="n">
        <f aca="false">K304*(1+IF(L$3&lt;=$O$2,$D304,$D304-($D304-$I$292)*MIN(L$3-$O$2,$Q$2)/$Q$2))</f>
        <v>16028.6021727337</v>
      </c>
      <c r="M304" s="15" t="n">
        <f aca="false">L304*(1+IF(M$3&lt;=$O$2,$D304,$D304-($D304-$I$292)*MIN(M$3-$O$2,$Q$2)/$Q$2))</f>
        <v>16830.429239721</v>
      </c>
      <c r="N304" s="15" t="n">
        <f aca="false">M304*(1+IF(N$3&lt;=$O$2,$D304,$D304-($D304-$I$292)*MIN(N$3-$O$2,$Q$2)/$Q$2))</f>
        <v>17475.0346796023</v>
      </c>
      <c r="O304" s="15" t="n">
        <f aca="false">SUMPRODUCT(E304:N304,1/(1+$F$292)^$E$3:$N$3)*$E$2</f>
        <v>30851.6290868619</v>
      </c>
      <c r="P304" s="15" t="n">
        <f aca="false">N304*$E$2*(1+$I$292)/($F$292-$I$292)/(1+$F$292)^$N$3</f>
        <v>55769.995776382</v>
      </c>
      <c r="Q304" s="15" t="n">
        <f aca="false">O304+P304</f>
        <v>86621.6248632439</v>
      </c>
      <c r="R304" s="15" t="n">
        <f aca="false">Q304-$G$2+$I$2</f>
        <v>80501.6248632439</v>
      </c>
      <c r="S304" s="42" t="n">
        <f aca="false">R304/$K$2</f>
        <v>464.84365898628</v>
      </c>
      <c r="T304" s="43" t="n">
        <f aca="false">S304-$M$2</f>
        <v>0.702303171520327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0.09619140625</v>
      </c>
      <c r="C305" s="25" t="n">
        <f aca="false">IF(T304&gt;0,D304,C304)</f>
        <v>0.096923828125</v>
      </c>
      <c r="D305" s="41" t="n">
        <f aca="false">(B305+C305)/2</f>
        <v>0.0965576171875</v>
      </c>
      <c r="E305" s="15" t="n">
        <f aca="false">$C$2*(1+IF(E$3&lt;=$O$2,$D305,$D305-($D305-$I$292)*MIN(E$3-$O$2,$Q$2)/$Q$2))</f>
        <v>8947.91015625</v>
      </c>
      <c r="F305" s="15" t="n">
        <f aca="false">E305*(1+IF(F$3&lt;=$O$2,$D305,$D305-($D305-$I$292)*MIN(F$3-$O$2,$Q$2)/$Q$2))</f>
        <v>9811.89903974533</v>
      </c>
      <c r="G305" s="15" t="n">
        <f aca="false">F305*(1+IF(G$3&lt;=$O$2,$D305,$D305-($D305-$I$292)*MIN(G$3-$O$2,$Q$2)/$Q$2))</f>
        <v>10759.3126311075</v>
      </c>
      <c r="H305" s="15" t="n">
        <f aca="false">G305*(1+IF(H$3&lt;=$O$2,$D305,$D305-($D305-$I$292)*MIN(H$3-$O$2,$Q$2)/$Q$2))</f>
        <v>11798.2062213426</v>
      </c>
      <c r="I305" s="15" t="n">
        <f aca="false">H305*(1+IF(I$3&lt;=$O$2,$D305,$D305-($D305-$I$292)*MIN(I$3-$O$2,$Q$2)/$Q$2))</f>
        <v>12937.4129011621</v>
      </c>
      <c r="J305" s="15" t="n">
        <f aca="false">I305*(1+IF(J$3&lt;=$O$2,$D305,$D305-($D305-$I$292)*MIN(J$3-$O$2,$Q$2)/$Q$2))</f>
        <v>14035.8780938307</v>
      </c>
      <c r="K305" s="15" t="n">
        <f aca="false">J305*(1+IF(K$3&lt;=$O$2,$D305,$D305-($D305-$I$292)*MIN(K$3-$O$2,$Q$2)/$Q$2))</f>
        <v>15064.0703125529</v>
      </c>
      <c r="L305" s="15" t="n">
        <f aca="false">K305*(1+IF(L$3&lt;=$O$2,$D305,$D305-($D305-$I$292)*MIN(L$3-$O$2,$Q$2)/$Q$2))</f>
        <v>15992.0629421454</v>
      </c>
      <c r="M305" s="15" t="n">
        <f aca="false">L305*(1+IF(M$3&lt;=$O$2,$D305,$D305-($D305-$I$292)*MIN(M$3-$O$2,$Q$2)/$Q$2))</f>
        <v>16790.8908490139</v>
      </c>
      <c r="N305" s="15" t="n">
        <f aca="false">M305*(1+IF(N$3&lt;=$O$2,$D305,$D305-($D305-$I$292)*MIN(N$3-$O$2,$Q$2)/$Q$2))</f>
        <v>17433.9819685312</v>
      </c>
      <c r="O305" s="15" t="n">
        <f aca="false">SUMPRODUCT(E305:N305,1/(1+$F$292)^$E$3:$N$3)*$E$2</f>
        <v>30802.5178934688</v>
      </c>
      <c r="P305" s="15" t="n">
        <f aca="false">N305*$E$2*(1+$I$292)/($F$292-$I$292)/(1+$F$292)^$N$3</f>
        <v>55638.9797546672</v>
      </c>
      <c r="Q305" s="15" t="n">
        <f aca="false">O305+P305</f>
        <v>86441.497648136</v>
      </c>
      <c r="R305" s="15" t="n">
        <f aca="false">Q305-$G$2+$I$2</f>
        <v>80321.497648136</v>
      </c>
      <c r="S305" s="42" t="n">
        <f aca="false">R305/$K$2</f>
        <v>463.803543412265</v>
      </c>
      <c r="T305" s="43" t="n">
        <f aca="false">S305-$M$2</f>
        <v>-0.337812402494308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0.0965576171875</v>
      </c>
      <c r="C306" s="25" t="n">
        <f aca="false">IF(T305&gt;0,D305,C305)</f>
        <v>0.096923828125</v>
      </c>
      <c r="D306" s="41" t="n">
        <f aca="false">(B306+C306)/2</f>
        <v>0.09674072265625</v>
      </c>
      <c r="E306" s="15" t="n">
        <f aca="false">$C$2*(1+IF(E$3&lt;=$O$2,$D306,$D306-($D306-$I$292)*MIN(E$3-$O$2,$Q$2)/$Q$2))</f>
        <v>8949.404296875</v>
      </c>
      <c r="F306" s="15" t="n">
        <f aca="false">E306*(1+IF(F$3&lt;=$O$2,$D306,$D306-($D306-$I$292)*MIN(F$3-$O$2,$Q$2)/$Q$2))</f>
        <v>9815.17613589764</v>
      </c>
      <c r="G306" s="15" t="n">
        <f aca="false">F306*(1+IF(G$3&lt;=$O$2,$D306,$D306-($D306-$I$292)*MIN(G$3-$O$2,$Q$2)/$Q$2))</f>
        <v>10764.7033682828</v>
      </c>
      <c r="H306" s="15" t="n">
        <f aca="false">G306*(1+IF(H$3&lt;=$O$2,$D306,$D306-($D306-$I$292)*MIN(H$3-$O$2,$Q$2)/$Q$2))</f>
        <v>11806.0885513106</v>
      </c>
      <c r="I306" s="15" t="n">
        <f aca="false">H306*(1+IF(I$3&lt;=$O$2,$D306,$D306-($D306-$I$292)*MIN(I$3-$O$2,$Q$2)/$Q$2))</f>
        <v>12948.2180895081</v>
      </c>
      <c r="J306" s="15" t="n">
        <f aca="false">I306*(1+IF(J$3&lt;=$O$2,$D306,$D306-($D306-$I$292)*MIN(J$3-$O$2,$Q$2)/$Q$2))</f>
        <v>14049.4974201455</v>
      </c>
      <c r="K306" s="15" t="n">
        <f aca="false">J306*(1+IF(K$3&lt;=$O$2,$D306,$D306-($D306-$I$292)*MIN(K$3-$O$2,$Q$2)/$Q$2))</f>
        <v>15080.2308406513</v>
      </c>
      <c r="L306" s="15" t="n">
        <f aca="false">K306*(1+IF(L$3&lt;=$O$2,$D306,$D306-($D306-$I$292)*MIN(L$3-$O$2,$Q$2)/$Q$2))</f>
        <v>16010.3235171085</v>
      </c>
      <c r="M306" s="15" t="n">
        <f aca="false">L306*(1+IF(M$3&lt;=$O$2,$D306,$D306-($D306-$I$292)*MIN(M$3-$O$2,$Q$2)/$Q$2))</f>
        <v>16810.6498830738</v>
      </c>
      <c r="N306" s="15" t="n">
        <f aca="false">M306*(1+IF(N$3&lt;=$O$2,$D306,$D306-($D306-$I$292)*MIN(N$3-$O$2,$Q$2)/$Q$2))</f>
        <v>17454.4977735956</v>
      </c>
      <c r="O306" s="15" t="n">
        <f aca="false">SUMPRODUCT(E306:N306,1/(1+$F$292)^$E$3:$N$3)*$E$2</f>
        <v>30827.0637672684</v>
      </c>
      <c r="P306" s="15" t="n">
        <f aca="false">N306*$E$2*(1+$I$292)/($F$292-$I$292)/(1+$F$292)^$N$3</f>
        <v>55704.4540946482</v>
      </c>
      <c r="Q306" s="15" t="n">
        <f aca="false">O306+P306</f>
        <v>86531.5178619166</v>
      </c>
      <c r="R306" s="15" t="n">
        <f aca="false">Q306-$G$2+$I$2</f>
        <v>80411.5178619166</v>
      </c>
      <c r="S306" s="42" t="n">
        <f aca="false">R306/$K$2</f>
        <v>464.323350628921</v>
      </c>
      <c r="T306" s="43" t="n">
        <f aca="false">S306-$M$2</f>
        <v>0.181994814161953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0.0965576171875</v>
      </c>
      <c r="C307" s="25" t="n">
        <f aca="false">IF(T306&gt;0,D306,C306)</f>
        <v>0.09674072265625</v>
      </c>
      <c r="D307" s="41" t="n">
        <f aca="false">(B307+C307)/2</f>
        <v>0.096649169921875</v>
      </c>
      <c r="E307" s="15" t="n">
        <f aca="false">$C$2*(1+IF(E$3&lt;=$O$2,$D307,$D307-($D307-$I$292)*MIN(E$3-$O$2,$Q$2)/$Q$2))</f>
        <v>8948.6572265625</v>
      </c>
      <c r="F307" s="15" t="n">
        <f aca="false">E307*(1+IF(F$3&lt;=$O$2,$D307,$D307-($D307-$I$292)*MIN(F$3-$O$2,$Q$2)/$Q$2))</f>
        <v>9813.53751942515</v>
      </c>
      <c r="G307" s="15" t="n">
        <f aca="false">F307*(1+IF(G$3&lt;=$O$2,$D307,$D307-($D307-$I$292)*MIN(G$3-$O$2,$Q$2)/$Q$2))</f>
        <v>10762.0077746748</v>
      </c>
      <c r="H307" s="15" t="n">
        <f aca="false">G307*(1+IF(H$3&lt;=$O$2,$D307,$D307-($D307-$I$292)*MIN(H$3-$O$2,$Q$2)/$Q$2))</f>
        <v>11802.1468927899</v>
      </c>
      <c r="I307" s="15" t="n">
        <f aca="false">H307*(1+IF(I$3&lt;=$O$2,$D307,$D307-($D307-$I$292)*MIN(I$3-$O$2,$Q$2)/$Q$2))</f>
        <v>12942.814593274</v>
      </c>
      <c r="J307" s="15" t="n">
        <f aca="false">I307*(1+IF(J$3&lt;=$O$2,$D307,$D307-($D307-$I$292)*MIN(J$3-$O$2,$Q$2)/$Q$2))</f>
        <v>14042.6863825726</v>
      </c>
      <c r="K307" s="15" t="n">
        <f aca="false">J307*(1+IF(K$3&lt;=$O$2,$D307,$D307-($D307-$I$292)*MIN(K$3-$O$2,$Q$2)/$Q$2))</f>
        <v>15072.148727363</v>
      </c>
      <c r="L307" s="15" t="n">
        <f aca="false">K307*(1+IF(L$3&lt;=$O$2,$D307,$D307-($D307-$I$292)*MIN(L$3-$O$2,$Q$2)/$Q$2))</f>
        <v>16001.1909704932</v>
      </c>
      <c r="M307" s="15" t="n">
        <f aca="false">L307*(1+IF(M$3&lt;=$O$2,$D307,$D307-($D307-$I$292)*MIN(M$3-$O$2,$Q$2)/$Q$2))</f>
        <v>16800.7678268411</v>
      </c>
      <c r="N307" s="15" t="n">
        <f aca="false">M307*(1+IF(N$3&lt;=$O$2,$D307,$D307-($D307-$I$292)*MIN(N$3-$O$2,$Q$2)/$Q$2))</f>
        <v>17444.2372346091</v>
      </c>
      <c r="O307" s="15" t="n">
        <f aca="false">SUMPRODUCT(E307:N307,1/(1+$F$292)^$E$3:$N$3)*$E$2</f>
        <v>30814.7884005351</v>
      </c>
      <c r="P307" s="15" t="n">
        <f aca="false">N307*$E$2*(1+$I$292)/($F$292-$I$292)/(1+$F$292)^$N$3</f>
        <v>55671.7085106519</v>
      </c>
      <c r="Q307" s="15" t="n">
        <f aca="false">O307+P307</f>
        <v>86486.496911187</v>
      </c>
      <c r="R307" s="15" t="n">
        <f aca="false">Q307-$G$2+$I$2</f>
        <v>80366.496911187</v>
      </c>
      <c r="S307" s="42" t="n">
        <f aca="false">R307/$K$2</f>
        <v>464.063384404591</v>
      </c>
      <c r="T307" s="43" t="n">
        <f aca="false">S307-$M$2</f>
        <v>-0.0779714101685158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0.096649169921875</v>
      </c>
      <c r="C308" s="25" t="n">
        <f aca="false">IF(T307&gt;0,D307,C307)</f>
        <v>0.09674072265625</v>
      </c>
      <c r="D308" s="41" t="n">
        <f aca="false">(B308+C308)/2</f>
        <v>0.0966949462890625</v>
      </c>
      <c r="E308" s="15" t="n">
        <f aca="false">$C$2*(1+IF(E$3&lt;=$O$2,$D308,$D308-($D308-$I$292)*MIN(E$3-$O$2,$Q$2)/$Q$2))</f>
        <v>8949.03076171875</v>
      </c>
      <c r="F308" s="15" t="n">
        <f aca="false">E308*(1+IF(F$3&lt;=$O$2,$D308,$D308-($D308-$I$292)*MIN(F$3-$O$2,$Q$2)/$Q$2))</f>
        <v>9814.35681056231</v>
      </c>
      <c r="G308" s="15" t="n">
        <f aca="false">F308*(1+IF(G$3&lt;=$O$2,$D308,$D308-($D308-$I$292)*MIN(G$3-$O$2,$Q$2)/$Q$2))</f>
        <v>10763.3555152213</v>
      </c>
      <c r="H308" s="15" t="n">
        <f aca="false">G308*(1+IF(H$3&lt;=$O$2,$D308,$D308-($D308-$I$292)*MIN(H$3-$O$2,$Q$2)/$Q$2))</f>
        <v>11804.1175986557</v>
      </c>
      <c r="I308" s="15" t="n">
        <f aca="false">H308*(1+IF(I$3&lt;=$O$2,$D308,$D308-($D308-$I$292)*MIN(I$3-$O$2,$Q$2)/$Q$2))</f>
        <v>12945.5161158475</v>
      </c>
      <c r="J308" s="15" t="n">
        <f aca="false">I308*(1+IF(J$3&lt;=$O$2,$D308,$D308-($D308-$I$292)*MIN(J$3-$O$2,$Q$2)/$Q$2))</f>
        <v>14046.0915576998</v>
      </c>
      <c r="K308" s="15" t="n">
        <f aca="false">J308*(1+IF(K$3&lt;=$O$2,$D308,$D308-($D308-$I$292)*MIN(K$3-$O$2,$Q$2)/$Q$2))</f>
        <v>15076.1893216096</v>
      </c>
      <c r="L308" s="15" t="n">
        <f aca="false">K308*(1+IF(L$3&lt;=$O$2,$D308,$D308-($D308-$I$292)*MIN(L$3-$O$2,$Q$2)/$Q$2))</f>
        <v>16005.7566788989</v>
      </c>
      <c r="M308" s="15" t="n">
        <f aca="false">L308*(1+IF(M$3&lt;=$O$2,$D308,$D308-($D308-$I$292)*MIN(M$3-$O$2,$Q$2)/$Q$2))</f>
        <v>16805.7082200167</v>
      </c>
      <c r="N308" s="15" t="n">
        <f aca="false">M308*(1+IF(N$3&lt;=$O$2,$D308,$D308-($D308-$I$292)*MIN(N$3-$O$2,$Q$2)/$Q$2))</f>
        <v>17449.3668448434</v>
      </c>
      <c r="O308" s="15" t="n">
        <f aca="false">SUMPRODUCT(E308:N308,1/(1+$F$292)^$E$3:$N$3)*$E$2</f>
        <v>30820.9254763321</v>
      </c>
      <c r="P308" s="15" t="n">
        <f aca="false">N308*$E$2*(1+$I$292)/($F$292-$I$292)/(1+$F$292)^$N$3</f>
        <v>55688.0791986846</v>
      </c>
      <c r="Q308" s="15" t="n">
        <f aca="false">O308+P308</f>
        <v>86509.0046750166</v>
      </c>
      <c r="R308" s="15" t="n">
        <f aca="false">Q308-$G$2+$I$2</f>
        <v>80389.0046750166</v>
      </c>
      <c r="S308" s="42" t="n">
        <f aca="false">R308/$K$2</f>
        <v>464.193351859433</v>
      </c>
      <c r="T308" s="43" t="n">
        <f aca="false">S308-$M$2</f>
        <v>0.0519960446738423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0.096649169921875</v>
      </c>
      <c r="C309" s="25" t="n">
        <f aca="false">IF(T308&gt;0,D308,C308)</f>
        <v>0.0966949462890625</v>
      </c>
      <c r="D309" s="41" t="n">
        <f aca="false">(B309+C309)/2</f>
        <v>0.0966720581054688</v>
      </c>
      <c r="E309" s="15" t="n">
        <f aca="false">$C$2*(1+IF(E$3&lt;=$O$2,$D309,$D309-($D309-$I$292)*MIN(E$3-$O$2,$Q$2)/$Q$2))</f>
        <v>8948.84399414063</v>
      </c>
      <c r="F309" s="15" t="n">
        <f aca="false">E309*(1+IF(F$3&lt;=$O$2,$D309,$D309-($D309-$I$292)*MIN(F$3-$O$2,$Q$2)/$Q$2))</f>
        <v>9813.94716071896</v>
      </c>
      <c r="G309" s="15" t="n">
        <f aca="false">F309*(1+IF(G$3&lt;=$O$2,$D309,$D309-($D309-$I$292)*MIN(G$3-$O$2,$Q$2)/$Q$2))</f>
        <v>10762.681630884</v>
      </c>
      <c r="H309" s="15" t="n">
        <f aca="false">G309*(1+IF(H$3&lt;=$O$2,$D309,$D309-($D309-$I$292)*MIN(H$3-$O$2,$Q$2)/$Q$2))</f>
        <v>11803.1322148755</v>
      </c>
      <c r="I309" s="15" t="n">
        <f aca="false">H309*(1+IF(I$3&lt;=$O$2,$D309,$D309-($D309-$I$292)*MIN(I$3-$O$2,$Q$2)/$Q$2))</f>
        <v>12944.1652981784</v>
      </c>
      <c r="J309" s="15" t="n">
        <f aca="false">I309*(1+IF(J$3&lt;=$O$2,$D309,$D309-($D309-$I$292)*MIN(J$3-$O$2,$Q$2)/$Q$2))</f>
        <v>14044.3888842283</v>
      </c>
      <c r="K309" s="15" t="n">
        <f aca="false">J309*(1+IF(K$3&lt;=$O$2,$D309,$D309-($D309-$I$292)*MIN(K$3-$O$2,$Q$2)/$Q$2))</f>
        <v>15074.1689088979</v>
      </c>
      <c r="L309" s="15" t="n">
        <f aca="false">K309*(1+IF(L$3&lt;=$O$2,$D309,$D309-($D309-$I$292)*MIN(L$3-$O$2,$Q$2)/$Q$2))</f>
        <v>16003.4736834854</v>
      </c>
      <c r="M309" s="15" t="n">
        <f aca="false">L309*(1+IF(M$3&lt;=$O$2,$D309,$D309-($D309-$I$292)*MIN(M$3-$O$2,$Q$2)/$Q$2))</f>
        <v>16803.2378647112</v>
      </c>
      <c r="N309" s="15" t="n">
        <f aca="false">M309*(1+IF(N$3&lt;=$O$2,$D309,$D309-($D309-$I$292)*MIN(N$3-$O$2,$Q$2)/$Q$2))</f>
        <v>17446.8018749297</v>
      </c>
      <c r="O309" s="15" t="n">
        <f aca="false">SUMPRODUCT(E309:N309,1/(1+$F$292)^$E$3:$N$3)*$E$2</f>
        <v>30817.8567865551</v>
      </c>
      <c r="P309" s="15" t="n">
        <f aca="false">N309*$E$2*(1+$I$292)/($F$292-$I$292)/(1+$F$292)^$N$3</f>
        <v>55679.8933287349</v>
      </c>
      <c r="Q309" s="15" t="n">
        <f aca="false">O309+P309</f>
        <v>86497.75011529</v>
      </c>
      <c r="R309" s="15" t="n">
        <f aca="false">Q309-$G$2+$I$2</f>
        <v>80377.75011529</v>
      </c>
      <c r="S309" s="42" t="n">
        <f aca="false">R309/$K$2</f>
        <v>464.128364218097</v>
      </c>
      <c r="T309" s="43" t="n">
        <f aca="false">S309-$M$2</f>
        <v>-0.0129915966626299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0.0966720581054688</v>
      </c>
      <c r="C310" s="25" t="n">
        <f aca="false">IF(T309&gt;0,D309,C309)</f>
        <v>0.0966949462890625</v>
      </c>
      <c r="D310" s="41" t="n">
        <f aca="false">(B310+C310)/2</f>
        <v>0.0966835021972656</v>
      </c>
      <c r="E310" s="15" t="n">
        <f aca="false">$C$2*(1+IF(E$3&lt;=$O$2,$D310,$D310-($D310-$I$292)*MIN(E$3-$O$2,$Q$2)/$Q$2))</f>
        <v>8948.93737792969</v>
      </c>
      <c r="F310" s="15" t="n">
        <f aca="false">E310*(1+IF(F$3&lt;=$O$2,$D310,$D310-($D310-$I$292)*MIN(F$3-$O$2,$Q$2)/$Q$2))</f>
        <v>9814.15198457195</v>
      </c>
      <c r="G310" s="15" t="n">
        <f aca="false">F310*(1+IF(G$3&lt;=$O$2,$D310,$D310-($D310-$I$292)*MIN(G$3-$O$2,$Q$2)/$Q$2))</f>
        <v>10763.0185695366</v>
      </c>
      <c r="H310" s="15" t="n">
        <f aca="false">G310*(1+IF(H$3&lt;=$O$2,$D310,$D310-($D310-$I$292)*MIN(H$3-$O$2,$Q$2)/$Q$2))</f>
        <v>11803.6248990536</v>
      </c>
      <c r="I310" s="15" t="n">
        <f aca="false">H310*(1+IF(I$3&lt;=$O$2,$D310,$D310-($D310-$I$292)*MIN(I$3-$O$2,$Q$2)/$Q$2))</f>
        <v>12944.840692917</v>
      </c>
      <c r="J310" s="15" t="n">
        <f aca="false">I310*(1+IF(J$3&lt;=$O$2,$D310,$D310-($D310-$I$292)*MIN(J$3-$O$2,$Q$2)/$Q$2))</f>
        <v>14045.2401994862</v>
      </c>
      <c r="K310" s="15" t="n">
        <f aca="false">J310*(1+IF(K$3&lt;=$O$2,$D310,$D310-($D310-$I$292)*MIN(K$3-$O$2,$Q$2)/$Q$2))</f>
        <v>15075.1790863552</v>
      </c>
      <c r="L310" s="15" t="n">
        <f aca="false">K310*(1+IF(L$3&lt;=$O$2,$D310,$D310-($D310-$I$292)*MIN(L$3-$O$2,$Q$2)/$Q$2))</f>
        <v>16004.6151458876</v>
      </c>
      <c r="M310" s="15" t="n">
        <f aca="false">L310*(1+IF(M$3&lt;=$O$2,$D310,$D310-($D310-$I$292)*MIN(M$3-$O$2,$Q$2)/$Q$2))</f>
        <v>16804.4730026824</v>
      </c>
      <c r="N310" s="15" t="n">
        <f aca="false">M310*(1+IF(N$3&lt;=$O$2,$D310,$D310-($D310-$I$292)*MIN(N$3-$O$2,$Q$2)/$Q$2))</f>
        <v>17448.0843186851</v>
      </c>
      <c r="O310" s="15" t="n">
        <f aca="false">SUMPRODUCT(E310:N310,1/(1+$F$292)^$E$3:$N$3)*$E$2</f>
        <v>30819.3910934722</v>
      </c>
      <c r="P310" s="15" t="n">
        <f aca="false">N310*$E$2*(1+$I$292)/($F$292-$I$292)/(1+$F$292)^$N$3</f>
        <v>55683.9861322191</v>
      </c>
      <c r="Q310" s="15" t="n">
        <f aca="false">O310+P310</f>
        <v>86503.3772256913</v>
      </c>
      <c r="R310" s="15" t="n">
        <f aca="false">Q310-$G$2+$I$2</f>
        <v>80383.3772256913</v>
      </c>
      <c r="S310" s="42" t="n">
        <f aca="false">R310/$K$2</f>
        <v>464.160857060234</v>
      </c>
      <c r="T310" s="43" t="n">
        <f aca="false">S310-$M$2</f>
        <v>0.019501245474828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0.0966720581054688</v>
      </c>
      <c r="C311" s="25" t="n">
        <f aca="false">IF(T310&gt;0,D310,C310)</f>
        <v>0.0966835021972656</v>
      </c>
      <c r="D311" s="41" t="n">
        <f aca="false">(B311+C311)/2</f>
        <v>0.0966777801513672</v>
      </c>
      <c r="E311" s="15" t="n">
        <f aca="false">$C$2*(1+IF(E$3&lt;=$O$2,$D311,$D311-($D311-$I$292)*MIN(E$3-$O$2,$Q$2)/$Q$2))</f>
        <v>8948.89068603516</v>
      </c>
      <c r="F311" s="15" t="n">
        <f aca="false">E311*(1+IF(F$3&lt;=$O$2,$D311,$D311-($D311-$I$292)*MIN(F$3-$O$2,$Q$2)/$Q$2))</f>
        <v>9814.04957237828</v>
      </c>
      <c r="G311" s="15" t="n">
        <f aca="false">F311*(1+IF(G$3&lt;=$O$2,$D311,$D311-($D311-$I$292)*MIN(G$3-$O$2,$Q$2)/$Q$2))</f>
        <v>10762.8500993313</v>
      </c>
      <c r="H311" s="15" t="n">
        <f aca="false">G311*(1+IF(H$3&lt;=$O$2,$D311,$D311-($D311-$I$292)*MIN(H$3-$O$2,$Q$2)/$Q$2))</f>
        <v>11803.3785550366</v>
      </c>
      <c r="I311" s="15" t="n">
        <f aca="false">H311*(1+IF(I$3&lt;=$O$2,$D311,$D311-($D311-$I$292)*MIN(I$3-$O$2,$Q$2)/$Q$2))</f>
        <v>12944.5029920237</v>
      </c>
      <c r="J311" s="15" t="n">
        <f aca="false">I311*(1+IF(J$3&lt;=$O$2,$D311,$D311-($D311-$I$292)*MIN(J$3-$O$2,$Q$2)/$Q$2))</f>
        <v>14044.8145364879</v>
      </c>
      <c r="K311" s="15" t="n">
        <f aca="false">J311*(1+IF(K$3&lt;=$O$2,$D311,$D311-($D311-$I$292)*MIN(K$3-$O$2,$Q$2)/$Q$2))</f>
        <v>15074.6739904021</v>
      </c>
      <c r="L311" s="15" t="n">
        <f aca="false">K311*(1+IF(L$3&lt;=$O$2,$D311,$D311-($D311-$I$292)*MIN(L$3-$O$2,$Q$2)/$Q$2))</f>
        <v>16004.0444058606</v>
      </c>
      <c r="M311" s="15" t="n">
        <f aca="false">L311*(1+IF(M$3&lt;=$O$2,$D311,$D311-($D311-$I$292)*MIN(M$3-$O$2,$Q$2)/$Q$2))</f>
        <v>16803.8554237767</v>
      </c>
      <c r="N311" s="15" t="n">
        <f aca="false">M311*(1+IF(N$3&lt;=$O$2,$D311,$D311-($D311-$I$292)*MIN(N$3-$O$2,$Q$2)/$Q$2))</f>
        <v>17447.4430865073</v>
      </c>
      <c r="O311" s="15" t="n">
        <f aca="false">SUMPRODUCT(E311:N311,1/(1+$F$292)^$E$3:$N$3)*$E$2</f>
        <v>30818.623930521</v>
      </c>
      <c r="P311" s="15" t="n">
        <f aca="false">N311*$E$2*(1+$I$292)/($F$292-$I$292)/(1+$F$292)^$N$3</f>
        <v>55681.9396976052</v>
      </c>
      <c r="Q311" s="15" t="n">
        <f aca="false">O311+P311</f>
        <v>86500.5636281263</v>
      </c>
      <c r="R311" s="15" t="n">
        <f aca="false">Q311-$G$2+$I$2</f>
        <v>80380.5636281263</v>
      </c>
      <c r="S311" s="42" t="n">
        <f aca="false">R311/$K$2</f>
        <v>464.144610394539</v>
      </c>
      <c r="T311" s="43" t="n">
        <f aca="false">S311-$M$2</f>
        <v>0.00325457977982069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0.0966720581054688</v>
      </c>
      <c r="C312" s="25" t="n">
        <f aca="false">IF(T311&gt;0,D311,C311)</f>
        <v>0.0966777801513672</v>
      </c>
      <c r="D312" s="41" t="n">
        <f aca="false">(B312+C312)/2</f>
        <v>0.096674919128418</v>
      </c>
      <c r="E312" s="15" t="n">
        <f aca="false">$C$2*(1+IF(E$3&lt;=$O$2,$D312,$D312-($D312-$I$292)*MIN(E$3-$O$2,$Q$2)/$Q$2))</f>
        <v>8948.86734008789</v>
      </c>
      <c r="F312" s="15" t="n">
        <f aca="false">E312*(1+IF(F$3&lt;=$O$2,$D312,$D312-($D312-$I$292)*MIN(F$3-$O$2,$Q$2)/$Q$2))</f>
        <v>9813.99836648183</v>
      </c>
      <c r="G312" s="15" t="n">
        <f aca="false">F312*(1+IF(G$3&lt;=$O$2,$D312,$D312-($D312-$I$292)*MIN(G$3-$O$2,$Q$2)/$Q$2))</f>
        <v>10762.7658648879</v>
      </c>
      <c r="H312" s="15" t="n">
        <f aca="false">G312*(1+IF(H$3&lt;=$O$2,$D312,$D312-($D312-$I$292)*MIN(H$3-$O$2,$Q$2)/$Q$2))</f>
        <v>11803.255384474</v>
      </c>
      <c r="I312" s="15" t="n">
        <f aca="false">H312*(1+IF(I$3&lt;=$O$2,$D312,$D312-($D312-$I$292)*MIN(I$3-$O$2,$Q$2)/$Q$2))</f>
        <v>12944.3341442201</v>
      </c>
      <c r="J312" s="15" t="n">
        <f aca="false">I312*(1+IF(J$3&lt;=$O$2,$D312,$D312-($D312-$I$292)*MIN(J$3-$O$2,$Q$2)/$Q$2))</f>
        <v>14044.6017090158</v>
      </c>
      <c r="K312" s="15" t="n">
        <f aca="false">J312*(1+IF(K$3&lt;=$O$2,$D312,$D312-($D312-$I$292)*MIN(K$3-$O$2,$Q$2)/$Q$2))</f>
        <v>15074.4214478439</v>
      </c>
      <c r="L312" s="15" t="n">
        <f aca="false">K312*(1+IF(L$3&lt;=$O$2,$D312,$D312-($D312-$I$292)*MIN(L$3-$O$2,$Q$2)/$Q$2))</f>
        <v>16003.7590424665</v>
      </c>
      <c r="M312" s="15" t="n">
        <f aca="false">L312*(1+IF(M$3&lt;=$O$2,$D312,$D312-($D312-$I$292)*MIN(M$3-$O$2,$Q$2)/$Q$2))</f>
        <v>16803.5466417639</v>
      </c>
      <c r="N312" s="15" t="n">
        <f aca="false">M312*(1+IF(N$3&lt;=$O$2,$D312,$D312-($D312-$I$292)*MIN(N$3-$O$2,$Q$2)/$Q$2))</f>
        <v>17447.1224781435</v>
      </c>
      <c r="O312" s="15" t="n">
        <f aca="false">SUMPRODUCT(E312:N312,1/(1+$F$292)^$E$3:$N$3)*$E$2</f>
        <v>30818.2403561649</v>
      </c>
      <c r="P312" s="15" t="n">
        <f aca="false">N312*$E$2*(1+$I$292)/($F$292-$I$292)/(1+$F$292)^$N$3</f>
        <v>55680.9165049522</v>
      </c>
      <c r="Q312" s="15" t="n">
        <f aca="false">O312+P312</f>
        <v>86499.1568611172</v>
      </c>
      <c r="R312" s="15" t="n">
        <f aca="false">Q312-$G$2+$I$2</f>
        <v>80379.1568611172</v>
      </c>
      <c r="S312" s="42" t="n">
        <f aca="false">R312/$K$2</f>
        <v>464.136487245162</v>
      </c>
      <c r="T312" s="43" t="n">
        <f aca="false">S312-$M$2</f>
        <v>-0.00486856959724946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0.096674919128418</v>
      </c>
      <c r="C313" s="25" t="n">
        <f aca="false">IF(T312&gt;0,D312,C312)</f>
        <v>0.0966777801513672</v>
      </c>
      <c r="D313" s="41" t="n">
        <f aca="false">(B313+C313)/2</f>
        <v>0.0966763496398926</v>
      </c>
      <c r="E313" s="15" t="n">
        <f aca="false">$C$2*(1+IF(E$3&lt;=$O$2,$D313,$D313-($D313-$I$292)*MIN(E$3-$O$2,$Q$2)/$Q$2))</f>
        <v>8948.87901306152</v>
      </c>
      <c r="F313" s="15" t="n">
        <f aca="false">E313*(1+IF(F$3&lt;=$O$2,$D313,$D313-($D313-$I$292)*MIN(F$3-$O$2,$Q$2)/$Q$2))</f>
        <v>9814.02396941336</v>
      </c>
      <c r="G313" s="15" t="n">
        <f aca="false">F313*(1+IF(G$3&lt;=$O$2,$D313,$D313-($D313-$I$292)*MIN(G$3-$O$2,$Q$2)/$Q$2))</f>
        <v>10762.8079820546</v>
      </c>
      <c r="H313" s="15" t="n">
        <f aca="false">G313*(1+IF(H$3&lt;=$O$2,$D313,$D313-($D313-$I$292)*MIN(H$3-$O$2,$Q$2)/$Q$2))</f>
        <v>11803.3169696348</v>
      </c>
      <c r="I313" s="15" t="n">
        <f aca="false">H313*(1+IF(I$3&lt;=$O$2,$D313,$D313-($D313-$I$292)*MIN(I$3-$O$2,$Q$2)/$Q$2))</f>
        <v>12944.4185679017</v>
      </c>
      <c r="J313" s="15" t="n">
        <f aca="false">I313*(1+IF(J$3&lt;=$O$2,$D313,$D313-($D313-$I$292)*MIN(J$3-$O$2,$Q$2)/$Q$2))</f>
        <v>14044.7081224163</v>
      </c>
      <c r="K313" s="15" t="n">
        <f aca="false">J313*(1+IF(K$3&lt;=$O$2,$D313,$D313-($D313-$I$292)*MIN(K$3-$O$2,$Q$2)/$Q$2))</f>
        <v>15074.5477186715</v>
      </c>
      <c r="L313" s="15" t="n">
        <f aca="false">K313*(1+IF(L$3&lt;=$O$2,$D313,$D313-($D313-$I$292)*MIN(L$3-$O$2,$Q$2)/$Q$2))</f>
        <v>16003.9017236119</v>
      </c>
      <c r="M313" s="15" t="n">
        <f aca="false">L313*(1+IF(M$3&lt;=$O$2,$D313,$D313-($D313-$I$292)*MIN(M$3-$O$2,$Q$2)/$Q$2))</f>
        <v>16803.7010321503</v>
      </c>
      <c r="N313" s="15" t="n">
        <f aca="false">M313*(1+IF(N$3&lt;=$O$2,$D313,$D313-($D313-$I$292)*MIN(N$3-$O$2,$Q$2)/$Q$2))</f>
        <v>17447.2827816816</v>
      </c>
      <c r="O313" s="15" t="n">
        <f aca="false">SUMPRODUCT(E313:N313,1/(1+$F$292)^$E$3:$N$3)*$E$2</f>
        <v>30818.4321427497</v>
      </c>
      <c r="P313" s="15" t="n">
        <f aca="false">N313*$E$2*(1+$I$292)/($F$292-$I$292)/(1+$F$292)^$N$3</f>
        <v>55681.4280992243</v>
      </c>
      <c r="Q313" s="15" t="n">
        <f aca="false">O313+P313</f>
        <v>86499.860241974</v>
      </c>
      <c r="R313" s="15" t="n">
        <f aca="false">Q313-$G$2+$I$2</f>
        <v>80379.860241974</v>
      </c>
      <c r="S313" s="42" t="n">
        <f aca="false">R313/$K$2</f>
        <v>464.140548804562</v>
      </c>
      <c r="T313" s="43" t="n">
        <f aca="false">S313-$M$2</f>
        <v>-0.000807010197661384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0.0966763496398926</v>
      </c>
      <c r="C314" s="25" t="n">
        <f aca="false">IF(T313&gt;0,D313,C313)</f>
        <v>0.0966777801513672</v>
      </c>
      <c r="D314" s="41" t="n">
        <f aca="false">(B314+C314)/2</f>
        <v>0.0966770648956299</v>
      </c>
      <c r="E314" s="15" t="n">
        <f aca="false">$C$2*(1+IF(E$3&lt;=$O$2,$D314,$D314-($D314-$I$292)*MIN(E$3-$O$2,$Q$2)/$Q$2))</f>
        <v>8948.88484954834</v>
      </c>
      <c r="F314" s="15" t="n">
        <f aca="false">E314*(1+IF(F$3&lt;=$O$2,$D314,$D314-($D314-$I$292)*MIN(F$3-$O$2,$Q$2)/$Q$2))</f>
        <v>9814.03677089164</v>
      </c>
      <c r="G314" s="15" t="n">
        <f aca="false">F314*(1+IF(G$3&lt;=$O$2,$D314,$D314-($D314-$I$292)*MIN(G$3-$O$2,$Q$2)/$Q$2))</f>
        <v>10762.8290406792</v>
      </c>
      <c r="H314" s="15" t="n">
        <f aca="false">G314*(1+IF(H$3&lt;=$O$2,$D314,$D314-($D314-$I$292)*MIN(H$3-$O$2,$Q$2)/$Q$2))</f>
        <v>11803.3477623056</v>
      </c>
      <c r="I314" s="15" t="n">
        <f aca="false">H314*(1+IF(I$3&lt;=$O$2,$D314,$D314-($D314-$I$292)*MIN(I$3-$O$2,$Q$2)/$Q$2))</f>
        <v>12944.4607799077</v>
      </c>
      <c r="J314" s="15" t="n">
        <f aca="false">I314*(1+IF(J$3&lt;=$O$2,$D314,$D314-($D314-$I$292)*MIN(J$3-$O$2,$Q$2)/$Q$2))</f>
        <v>14044.7613293682</v>
      </c>
      <c r="K314" s="15" t="n">
        <f aca="false">J314*(1+IF(K$3&lt;=$O$2,$D314,$D314-($D314-$I$292)*MIN(K$3-$O$2,$Q$2)/$Q$2))</f>
        <v>15074.6108544239</v>
      </c>
      <c r="L314" s="15" t="n">
        <f aca="false">K314*(1+IF(L$3&lt;=$O$2,$D314,$D314-($D314-$I$292)*MIN(L$3-$O$2,$Q$2)/$Q$2))</f>
        <v>16003.9730645984</v>
      </c>
      <c r="M314" s="15" t="n">
        <f aca="false">L314*(1+IF(M$3&lt;=$O$2,$D314,$D314-($D314-$I$292)*MIN(M$3-$O$2,$Q$2)/$Q$2))</f>
        <v>16803.7782278085</v>
      </c>
      <c r="N314" s="15" t="n">
        <f aca="false">M314*(1+IF(N$3&lt;=$O$2,$D314,$D314-($D314-$I$292)*MIN(N$3-$O$2,$Q$2)/$Q$2))</f>
        <v>17447.3629339335</v>
      </c>
      <c r="O314" s="15" t="n">
        <f aca="false">SUMPRODUCT(E314:N314,1/(1+$F$292)^$E$3:$N$3)*$E$2</f>
        <v>30818.528036487</v>
      </c>
      <c r="P314" s="15" t="n">
        <f aca="false">N314*$E$2*(1+$I$292)/($F$292-$I$292)/(1+$F$292)^$N$3</f>
        <v>55681.6838979011</v>
      </c>
      <c r="Q314" s="15" t="n">
        <f aca="false">O314+P314</f>
        <v>86500.2119343882</v>
      </c>
      <c r="R314" s="15" t="n">
        <f aca="false">Q314-$G$2+$I$2</f>
        <v>80380.2119343882</v>
      </c>
      <c r="S314" s="42" t="n">
        <f aca="false">R314/$K$2</f>
        <v>464.142579595728</v>
      </c>
      <c r="T314" s="43" t="n">
        <f aca="false">S314-$M$2</f>
        <v>0.00122378096887132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0.0966763496398926</v>
      </c>
      <c r="C315" s="25" t="n">
        <f aca="false">IF(T314&gt;0,D314,C314)</f>
        <v>0.0966770648956299</v>
      </c>
      <c r="D315" s="41" t="n">
        <f aca="false">(B315+C315)/2</f>
        <v>0.0966767072677612</v>
      </c>
      <c r="E315" s="15" t="n">
        <f aca="false">$C$2*(1+IF(E$3&lt;=$O$2,$D315,$D315-($D315-$I$292)*MIN(E$3-$O$2,$Q$2)/$Q$2))</f>
        <v>8948.88193130493</v>
      </c>
      <c r="F315" s="15" t="n">
        <f aca="false">E315*(1+IF(F$3&lt;=$O$2,$D315,$D315-($D315-$I$292)*MIN(F$3-$O$2,$Q$2)/$Q$2))</f>
        <v>9814.03037015146</v>
      </c>
      <c r="G315" s="15" t="n">
        <f aca="false">F315*(1+IF(G$3&lt;=$O$2,$D315,$D315-($D315-$I$292)*MIN(G$3-$O$2,$Q$2)/$Q$2))</f>
        <v>10762.8185113635</v>
      </c>
      <c r="H315" s="15" t="n">
        <f aca="false">G315*(1+IF(H$3&lt;=$O$2,$D315,$D315-($D315-$I$292)*MIN(H$3-$O$2,$Q$2)/$Q$2))</f>
        <v>11803.3323659626</v>
      </c>
      <c r="I315" s="15" t="n">
        <f aca="false">H315*(1+IF(I$3&lt;=$O$2,$D315,$D315-($D315-$I$292)*MIN(I$3-$O$2,$Q$2)/$Q$2))</f>
        <v>12944.4396738909</v>
      </c>
      <c r="J315" s="15" t="n">
        <f aca="false">I315*(1+IF(J$3&lt;=$O$2,$D315,$D315-($D315-$I$292)*MIN(J$3-$O$2,$Q$2)/$Q$2))</f>
        <v>14044.7347258713</v>
      </c>
      <c r="K315" s="15" t="n">
        <f aca="false">J315*(1+IF(K$3&lt;=$O$2,$D315,$D315-($D315-$I$292)*MIN(K$3-$O$2,$Q$2)/$Q$2))</f>
        <v>15074.5792865195</v>
      </c>
      <c r="L315" s="15" t="n">
        <f aca="false">K315*(1+IF(L$3&lt;=$O$2,$D315,$D315-($D315-$I$292)*MIN(L$3-$O$2,$Q$2)/$Q$2))</f>
        <v>16003.9373940707</v>
      </c>
      <c r="M315" s="15" t="n">
        <f aca="false">L315*(1+IF(M$3&lt;=$O$2,$D315,$D315-($D315-$I$292)*MIN(M$3-$O$2,$Q$2)/$Q$2))</f>
        <v>16803.7396299406</v>
      </c>
      <c r="N315" s="15" t="n">
        <f aca="false">M315*(1+IF(N$3&lt;=$O$2,$D315,$D315-($D315-$I$292)*MIN(N$3-$O$2,$Q$2)/$Q$2))</f>
        <v>17447.3228577674</v>
      </c>
      <c r="O315" s="15" t="n">
        <f aca="false">SUMPRODUCT(E315:N315,1/(1+$F$292)^$E$3:$N$3)*$E$2</f>
        <v>30818.4800895813</v>
      </c>
      <c r="P315" s="15" t="n">
        <f aca="false">N315*$E$2*(1+$I$292)/($F$292-$I$292)/(1+$F$292)^$N$3</f>
        <v>55681.5559984343</v>
      </c>
      <c r="Q315" s="15" t="n">
        <f aca="false">O315+P315</f>
        <v>86500.0360880156</v>
      </c>
      <c r="R315" s="15" t="n">
        <f aca="false">Q315-$G$2+$I$2</f>
        <v>80380.0360880156</v>
      </c>
      <c r="S315" s="42" t="n">
        <f aca="false">R315/$K$2</f>
        <v>464.141564199189</v>
      </c>
      <c r="T315" s="43" t="n">
        <f aca="false">S315-$M$2</f>
        <v>0.000208384430209208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0.0966763496398926</v>
      </c>
      <c r="C316" s="25" t="n">
        <f aca="false">IF(T315&gt;0,D315,C315)</f>
        <v>0.0966767072677612</v>
      </c>
      <c r="D316" s="41" t="n">
        <f aca="false">(B316+C316)/2</f>
        <v>0.0966765284538269</v>
      </c>
      <c r="E316" s="15" t="n">
        <f aca="false">$C$2*(1+IF(E$3&lt;=$O$2,$D316,$D316-($D316-$I$292)*MIN(E$3-$O$2,$Q$2)/$Q$2))</f>
        <v>8948.88047218323</v>
      </c>
      <c r="F316" s="15" t="n">
        <f aca="false">E316*(1+IF(F$3&lt;=$O$2,$D316,$D316-($D316-$I$292)*MIN(F$3-$O$2,$Q$2)/$Q$2))</f>
        <v>9814.02716978214</v>
      </c>
      <c r="G316" s="15" t="n">
        <f aca="false">F316*(1+IF(G$3&lt;=$O$2,$D316,$D316-($D316-$I$292)*MIN(G$3-$O$2,$Q$2)/$Q$2))</f>
        <v>10762.8132467082</v>
      </c>
      <c r="H316" s="15" t="n">
        <f aca="false">G316*(1+IF(H$3&lt;=$O$2,$D316,$D316-($D316-$I$292)*MIN(H$3-$O$2,$Q$2)/$Q$2))</f>
        <v>11803.3246677968</v>
      </c>
      <c r="I316" s="15" t="n">
        <f aca="false">H316*(1+IF(I$3&lt;=$O$2,$D316,$D316-($D316-$I$292)*MIN(I$3-$O$2,$Q$2)/$Q$2))</f>
        <v>12944.4291208928</v>
      </c>
      <c r="J316" s="15" t="n">
        <f aca="false">I316*(1+IF(J$3&lt;=$O$2,$D316,$D316-($D316-$I$292)*MIN(J$3-$O$2,$Q$2)/$Q$2))</f>
        <v>14044.7214241385</v>
      </c>
      <c r="K316" s="15" t="n">
        <f aca="false">J316*(1+IF(K$3&lt;=$O$2,$D316,$D316-($D316-$I$292)*MIN(K$3-$O$2,$Q$2)/$Q$2))</f>
        <v>15074.5635025884</v>
      </c>
      <c r="L316" s="15" t="n">
        <f aca="false">K316*(1+IF(L$3&lt;=$O$2,$D316,$D316-($D316-$I$292)*MIN(L$3-$O$2,$Q$2)/$Q$2))</f>
        <v>16003.9195588327</v>
      </c>
      <c r="M316" s="15" t="n">
        <f aca="false">L316*(1+IF(M$3&lt;=$O$2,$D316,$D316-($D316-$I$292)*MIN(M$3-$O$2,$Q$2)/$Q$2))</f>
        <v>16803.7203310358</v>
      </c>
      <c r="N316" s="15" t="n">
        <f aca="false">M316*(1+IF(N$3&lt;=$O$2,$D316,$D316-($D316-$I$292)*MIN(N$3-$O$2,$Q$2)/$Q$2))</f>
        <v>17447.3028197144</v>
      </c>
      <c r="O316" s="15" t="n">
        <f aca="false">SUMPRODUCT(E316:N316,1/(1+$F$292)^$E$3:$N$3)*$E$2</f>
        <v>30818.4561161562</v>
      </c>
      <c r="P316" s="15" t="n">
        <f aca="false">N316*$E$2*(1+$I$292)/($F$292-$I$292)/(1+$F$292)^$N$3</f>
        <v>55681.4920487972</v>
      </c>
      <c r="Q316" s="15" t="n">
        <f aca="false">O316+P316</f>
        <v>86499.9481649534</v>
      </c>
      <c r="R316" s="15" t="n">
        <f aca="false">Q316-$G$2+$I$2</f>
        <v>80379.9481649534</v>
      </c>
      <c r="S316" s="42" t="n">
        <f aca="false">R316/$K$2</f>
        <v>464.141056501636</v>
      </c>
      <c r="T316" s="43" t="n">
        <f aca="false">S316-$M$2</f>
        <v>-0.000299313122866352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0.0966765284538269</v>
      </c>
      <c r="C317" s="25" t="n">
        <f aca="false">IF(T316&gt;0,D316,C316)</f>
        <v>0.0966767072677612</v>
      </c>
      <c r="D317" s="41" t="n">
        <f aca="false">(B317+C317)/2</f>
        <v>0.0966766178607941</v>
      </c>
      <c r="E317" s="15" t="n">
        <f aca="false">$C$2*(1+IF(E$3&lt;=$O$2,$D317,$D317-($D317-$I$292)*MIN(E$3-$O$2,$Q$2)/$Q$2))</f>
        <v>8948.88120174408</v>
      </c>
      <c r="F317" s="15" t="n">
        <f aca="false">E317*(1+IF(F$3&lt;=$O$2,$D317,$D317-($D317-$I$292)*MIN(F$3-$O$2,$Q$2)/$Q$2))</f>
        <v>9814.02876996674</v>
      </c>
      <c r="G317" s="15" t="n">
        <f aca="false">F317*(1+IF(G$3&lt;=$O$2,$D317,$D317-($D317-$I$292)*MIN(G$3-$O$2,$Q$2)/$Q$2))</f>
        <v>10762.8158790356</v>
      </c>
      <c r="H317" s="15" t="n">
        <f aca="false">G317*(1+IF(H$3&lt;=$O$2,$D317,$D317-($D317-$I$292)*MIN(H$3-$O$2,$Q$2)/$Q$2))</f>
        <v>11803.3285168793</v>
      </c>
      <c r="I317" s="15" t="n">
        <f aca="false">H317*(1+IF(I$3&lt;=$O$2,$D317,$D317-($D317-$I$292)*MIN(I$3-$O$2,$Q$2)/$Q$2))</f>
        <v>12944.434397391</v>
      </c>
      <c r="J317" s="15" t="n">
        <f aca="false">I317*(1+IF(J$3&lt;=$O$2,$D317,$D317-($D317-$I$292)*MIN(J$3-$O$2,$Q$2)/$Q$2))</f>
        <v>14044.7280750036</v>
      </c>
      <c r="K317" s="15" t="n">
        <f aca="false">J317*(1+IF(K$3&lt;=$O$2,$D317,$D317-($D317-$I$292)*MIN(K$3-$O$2,$Q$2)/$Q$2))</f>
        <v>15074.5713945522</v>
      </c>
      <c r="L317" s="15" t="n">
        <f aca="false">K317*(1+IF(L$3&lt;=$O$2,$D317,$D317-($D317-$I$292)*MIN(L$3-$O$2,$Q$2)/$Q$2))</f>
        <v>16003.9284764495</v>
      </c>
      <c r="M317" s="15" t="n">
        <f aca="false">L317*(1+IF(M$3&lt;=$O$2,$D317,$D317-($D317-$I$292)*MIN(M$3-$O$2,$Q$2)/$Q$2))</f>
        <v>16803.7299804858</v>
      </c>
      <c r="N317" s="15" t="n">
        <f aca="false">M317*(1+IF(N$3&lt;=$O$2,$D317,$D317-($D317-$I$292)*MIN(N$3-$O$2,$Q$2)/$Q$2))</f>
        <v>17447.3128387384</v>
      </c>
      <c r="O317" s="15" t="n">
        <f aca="false">SUMPRODUCT(E317:N317,1/(1+$F$292)^$E$3:$N$3)*$E$2</f>
        <v>30818.4681028664</v>
      </c>
      <c r="P317" s="15" t="n">
        <f aca="false">N317*$E$2*(1+$I$292)/($F$292-$I$292)/(1+$F$292)^$N$3</f>
        <v>55681.5240236077</v>
      </c>
      <c r="Q317" s="15" t="n">
        <f aca="false">O317+P317</f>
        <v>86499.9921264742</v>
      </c>
      <c r="R317" s="15" t="n">
        <f aca="false">Q317-$G$2+$I$2</f>
        <v>80379.9921264742</v>
      </c>
      <c r="S317" s="42" t="n">
        <f aca="false">R317/$K$2</f>
        <v>464.141310350353</v>
      </c>
      <c r="T317" s="43" t="n">
        <f aca="false">S317-$M$2</f>
        <v>-4.54644060141618E-005</v>
      </c>
    </row>
    <row r="319" customFormat="false" ht="15" hidden="false" customHeight="false" outlineLevel="0" collapsed="false">
      <c r="A319" s="38" t="s">
        <v>192</v>
      </c>
      <c r="E319" s="5" t="s">
        <v>11</v>
      </c>
      <c r="F319" s="12" t="n">
        <f aca="false">Sensitivity!$B$12</f>
        <v>0.0953160519233867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162</v>
      </c>
      <c r="B320" s="28" t="s">
        <v>163</v>
      </c>
      <c r="C320" s="28" t="s">
        <v>164</v>
      </c>
      <c r="D320" s="28" t="s">
        <v>165</v>
      </c>
      <c r="E320" s="28" t="s">
        <v>166</v>
      </c>
      <c r="F320" s="28" t="s">
        <v>167</v>
      </c>
      <c r="G320" s="28" t="s">
        <v>168</v>
      </c>
      <c r="H320" s="28" t="s">
        <v>169</v>
      </c>
      <c r="I320" s="28" t="s">
        <v>170</v>
      </c>
      <c r="J320" s="28" t="s">
        <v>171</v>
      </c>
      <c r="K320" s="28" t="s">
        <v>172</v>
      </c>
      <c r="L320" s="28" t="s">
        <v>173</v>
      </c>
      <c r="M320" s="28" t="s">
        <v>174</v>
      </c>
      <c r="N320" s="28" t="s">
        <v>175</v>
      </c>
      <c r="O320" s="28" t="s">
        <v>176</v>
      </c>
      <c r="P320" s="28" t="s">
        <v>177</v>
      </c>
      <c r="Q320" s="28" t="s">
        <v>178</v>
      </c>
      <c r="R320" s="28" t="s">
        <v>179</v>
      </c>
      <c r="S320" s="28" t="s">
        <v>180</v>
      </c>
      <c r="T320" s="28" t="s">
        <v>181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10200</v>
      </c>
      <c r="F321" s="15" t="n">
        <f aca="false">E321*(1+IF(F$3&lt;=$O$2,$D321,$D321-($D321-$I$319)*MIN(F$3-$O$2,$Q$2)/$Q$2))</f>
        <v>12750</v>
      </c>
      <c r="G321" s="15" t="n">
        <f aca="false">F321*(1+IF(G$3&lt;=$O$2,$D321,$D321-($D321-$I$319)*MIN(G$3-$O$2,$Q$2)/$Q$2))</f>
        <v>15937.5</v>
      </c>
      <c r="H321" s="15" t="n">
        <f aca="false">G321*(1+IF(H$3&lt;=$O$2,$D321,$D321-($D321-$I$319)*MIN(H$3-$O$2,$Q$2)/$Q$2))</f>
        <v>19921.875</v>
      </c>
      <c r="I321" s="15" t="n">
        <f aca="false">H321*(1+IF(I$3&lt;=$O$2,$D321,$D321-($D321-$I$319)*MIN(I$3-$O$2,$Q$2)/$Q$2))</f>
        <v>24902.34375</v>
      </c>
      <c r="J321" s="15" t="n">
        <f aca="false">I321*(1+IF(J$3&lt;=$O$2,$D321,$D321-($D321-$I$319)*MIN(J$3-$O$2,$Q$2)/$Q$2))</f>
        <v>29973.955078125</v>
      </c>
      <c r="K321" s="15" t="n">
        <f aca="false">J321*(1+IF(K$3&lt;=$O$2,$D321,$D321-($D321-$I$319)*MIN(K$3-$O$2,$Q$2)/$Q$2))</f>
        <v>34689.4576910156</v>
      </c>
      <c r="L321" s="15" t="n">
        <f aca="false">K321*(1+IF(L$3&lt;=$O$2,$D321,$D321-($D321-$I$319)*MIN(L$3-$O$2,$Q$2)/$Q$2))</f>
        <v>38539.2937055645</v>
      </c>
      <c r="M321" s="15" t="n">
        <f aca="false">L321*(1+IF(M$3&lt;=$O$2,$D321,$D321-($D321-$I$319)*MIN(M$3-$O$2,$Q$2)/$Q$2))</f>
        <v>41030.4736506922</v>
      </c>
      <c r="N321" s="15" t="n">
        <f aca="false">M321*(1+IF(N$3&lt;=$O$2,$D321,$D321-($D321-$I$319)*MIN(N$3-$O$2,$Q$2)/$Q$2))</f>
        <v>41781.3313184999</v>
      </c>
      <c r="O321" s="15" t="n">
        <f aca="false">SUMPRODUCT(E321:N321,1/(1+$F$319)^$E$3:$N$3)*$E$2</f>
        <v>57281.2336774112</v>
      </c>
      <c r="P321" s="15" t="n">
        <f aca="false">N321*$E$2*(1+$I$319)/($F$319-$I$319)/(1+$F$319)^$N$3</f>
        <v>84372.9821368643</v>
      </c>
      <c r="Q321" s="15" t="n">
        <f aca="false">O321+P321</f>
        <v>141654.215814276</v>
      </c>
      <c r="R321" s="15" t="n">
        <f aca="false">Q321-$G$2+$I$2</f>
        <v>135534.215814276</v>
      </c>
      <c r="S321" s="42" t="n">
        <f aca="false">R321/$K$2</f>
        <v>782.620486281762</v>
      </c>
      <c r="T321" s="43" t="n">
        <f aca="false">S321-$M$2</f>
        <v>318.479130467003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7140</v>
      </c>
      <c r="F322" s="15" t="n">
        <f aca="false">E322*(1+IF(F$3&lt;=$O$2,$D322,$D322-($D322-$I$319)*MIN(F$3-$O$2,$Q$2)/$Q$2))</f>
        <v>6247.5</v>
      </c>
      <c r="G322" s="15" t="n">
        <f aca="false">F322*(1+IF(G$3&lt;=$O$2,$D322,$D322-($D322-$I$319)*MIN(G$3-$O$2,$Q$2)/$Q$2))</f>
        <v>5466.5625</v>
      </c>
      <c r="H322" s="15" t="n">
        <f aca="false">G322*(1+IF(H$3&lt;=$O$2,$D322,$D322-($D322-$I$319)*MIN(H$3-$O$2,$Q$2)/$Q$2))</f>
        <v>4783.2421875</v>
      </c>
      <c r="I322" s="15" t="n">
        <f aca="false">H322*(1+IF(I$3&lt;=$O$2,$D322,$D322-($D322-$I$319)*MIN(I$3-$O$2,$Q$2)/$Q$2))</f>
        <v>4185.3369140625</v>
      </c>
      <c r="J322" s="15" t="n">
        <f aca="false">I322*(1+IF(J$3&lt;=$O$2,$D322,$D322-($D322-$I$319)*MIN(J$3-$O$2,$Q$2)/$Q$2))</f>
        <v>3782.12155576172</v>
      </c>
      <c r="K322" s="15" t="n">
        <f aca="false">J322*(1+IF(K$3&lt;=$O$2,$D322,$D322-($D322-$I$319)*MIN(K$3-$O$2,$Q$2)/$Q$2))</f>
        <v>3526.14756886777</v>
      </c>
      <c r="L322" s="15" t="n">
        <f aca="false">K322*(1+IF(L$3&lt;=$O$2,$D322,$D322-($D322-$I$319)*MIN(L$3-$O$2,$Q$2)/$Q$2))</f>
        <v>3388.55729073055</v>
      </c>
      <c r="M322" s="15" t="n">
        <f aca="false">L322*(1+IF(M$3&lt;=$O$2,$D322,$D322-($D322-$I$319)*MIN(M$3-$O$2,$Q$2)/$Q$2))</f>
        <v>3353.45183719858</v>
      </c>
      <c r="N322" s="15" t="n">
        <f aca="false">M322*(1+IF(N$3&lt;=$O$2,$D322,$D322-($D322-$I$319)*MIN(N$3-$O$2,$Q$2)/$Q$2))</f>
        <v>3414.82000581931</v>
      </c>
      <c r="O322" s="15" t="n">
        <f aca="false">SUMPRODUCT(E322:N322,1/(1+$F$319)^$E$3:$N$3)*$E$2</f>
        <v>11542.1217506995</v>
      </c>
      <c r="P322" s="15" t="n">
        <f aca="false">N322*$E$2*(1+$I$319)/($F$319-$I$319)/(1+$F$319)^$N$3</f>
        <v>6895.86804104605</v>
      </c>
      <c r="Q322" s="15" t="n">
        <f aca="false">O322+P322</f>
        <v>18437.9897917456</v>
      </c>
      <c r="R322" s="15" t="n">
        <f aca="false">Q322-$G$2+$I$2</f>
        <v>12317.9897917456</v>
      </c>
      <c r="S322" s="42" t="n">
        <f aca="false">R322/$K$2</f>
        <v>71.1282468630648</v>
      </c>
      <c r="T322" s="43" t="n">
        <f aca="false">S322-$M$2</f>
        <v>-393.013108951694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8670</v>
      </c>
      <c r="F323" s="15" t="n">
        <f aca="false">E323*(1+IF(F$3&lt;=$O$2,$D323,$D323-($D323-$I$319)*MIN(F$3-$O$2,$Q$2)/$Q$2))</f>
        <v>9211.875</v>
      </c>
      <c r="G323" s="15" t="n">
        <f aca="false">F323*(1+IF(G$3&lt;=$O$2,$D323,$D323-($D323-$I$319)*MIN(G$3-$O$2,$Q$2)/$Q$2))</f>
        <v>9787.6171875</v>
      </c>
      <c r="H323" s="15" t="n">
        <f aca="false">G323*(1+IF(H$3&lt;=$O$2,$D323,$D323-($D323-$I$319)*MIN(H$3-$O$2,$Q$2)/$Q$2))</f>
        <v>10399.3432617188</v>
      </c>
      <c r="I323" s="15" t="n">
        <f aca="false">H323*(1+IF(I$3&lt;=$O$2,$D323,$D323-($D323-$I$319)*MIN(I$3-$O$2,$Q$2)/$Q$2))</f>
        <v>11049.3022155762</v>
      </c>
      <c r="J323" s="15" t="n">
        <f aca="false">I323*(1+IF(J$3&lt;=$O$2,$D323,$D323-($D323-$I$319)*MIN(J$3-$O$2,$Q$2)/$Q$2))</f>
        <v>11642.207772464</v>
      </c>
      <c r="K323" s="15" t="n">
        <f aca="false">J323*(1+IF(K$3&lt;=$O$2,$D323,$D323-($D323-$I$319)*MIN(K$3-$O$2,$Q$2)/$Q$2))</f>
        <v>12164.0115248258</v>
      </c>
      <c r="L323" s="15" t="n">
        <f aca="false">K323*(1+IF(L$3&lt;=$O$2,$D323,$D323-($D323-$I$319)*MIN(L$3-$O$2,$Q$2)/$Q$2))</f>
        <v>12601.6726594891</v>
      </c>
      <c r="M323" s="15" t="n">
        <f aca="false">L323*(1+IF(M$3&lt;=$O$2,$D323,$D323-($D323-$I$319)*MIN(M$3-$O$2,$Q$2)/$Q$2))</f>
        <v>12943.6820554676</v>
      </c>
      <c r="N323" s="15" t="n">
        <f aca="false">M323*(1+IF(N$3&lt;=$O$2,$D323,$D323-($D323-$I$319)*MIN(N$3-$O$2,$Q$2)/$Q$2))</f>
        <v>13180.5514370826</v>
      </c>
      <c r="O323" s="15" t="n">
        <f aca="false">SUMPRODUCT(E323:N323,1/(1+$F$319)^$E$3:$N$3)*$E$2</f>
        <v>25637.8932093296</v>
      </c>
      <c r="P323" s="15" t="n">
        <f aca="false">N323*$E$2*(1+$I$319)/($F$319-$I$319)/(1+$F$319)^$N$3</f>
        <v>26616.7303879709</v>
      </c>
      <c r="Q323" s="15" t="n">
        <f aca="false">O323+P323</f>
        <v>52254.6235973005</v>
      </c>
      <c r="R323" s="15" t="n">
        <f aca="false">Q323-$G$2+$I$2</f>
        <v>46134.6235973005</v>
      </c>
      <c r="S323" s="42" t="n">
        <f aca="false">R323/$K$2</f>
        <v>266.39694882377</v>
      </c>
      <c r="T323" s="43" t="n">
        <f aca="false">S323-$M$2</f>
        <v>-197.744406990989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9435</v>
      </c>
      <c r="F324" s="15" t="n">
        <f aca="false">E324*(1+IF(F$3&lt;=$O$2,$D324,$D324-($D324-$I$319)*MIN(F$3-$O$2,$Q$2)/$Q$2))</f>
        <v>10909.21875</v>
      </c>
      <c r="G324" s="15" t="n">
        <f aca="false">F324*(1+IF(G$3&lt;=$O$2,$D324,$D324-($D324-$I$319)*MIN(G$3-$O$2,$Q$2)/$Q$2))</f>
        <v>12613.7841796875</v>
      </c>
      <c r="H324" s="15" t="n">
        <f aca="false">G324*(1+IF(H$3&lt;=$O$2,$D324,$D324-($D324-$I$319)*MIN(H$3-$O$2,$Q$2)/$Q$2))</f>
        <v>14584.6879577637</v>
      </c>
      <c r="I324" s="15" t="n">
        <f aca="false">H324*(1+IF(I$3&lt;=$O$2,$D324,$D324-($D324-$I$319)*MIN(I$3-$O$2,$Q$2)/$Q$2))</f>
        <v>16863.5454511642</v>
      </c>
      <c r="J324" s="15" t="n">
        <f aca="false">I324*(1+IF(J$3&lt;=$O$2,$D324,$D324-($D324-$I$319)*MIN(J$3-$O$2,$Q$2)/$Q$2))</f>
        <v>19033.209208911</v>
      </c>
      <c r="K324" s="15" t="n">
        <f aca="false">J324*(1+IF(K$3&lt;=$O$2,$D324,$D324-($D324-$I$319)*MIN(K$3-$O$2,$Q$2)/$Q$2))</f>
        <v>20956.8956636557</v>
      </c>
      <c r="L324" s="15" t="n">
        <f aca="false">K324*(1+IF(L$3&lt;=$O$2,$D324,$D324-($D324-$I$319)*MIN(L$3-$O$2,$Q$2)/$Q$2))</f>
        <v>22496.8083570211</v>
      </c>
      <c r="M324" s="15" t="n">
        <f aca="false">L324*(1+IF(M$3&lt;=$O$2,$D324,$D324-($D324-$I$319)*MIN(M$3-$O$2,$Q$2)/$Q$2))</f>
        <v>23529.1868925248</v>
      </c>
      <c r="N324" s="15" t="n">
        <f aca="false">M324*(1+IF(N$3&lt;=$O$2,$D324,$D324-($D324-$I$319)*MIN(N$3-$O$2,$Q$2)/$Q$2))</f>
        <v>23959.771012658</v>
      </c>
      <c r="O324" s="15" t="n">
        <f aca="false">SUMPRODUCT(E324:N324,1/(1+$F$319)^$E$3:$N$3)*$E$2</f>
        <v>38379.9829764013</v>
      </c>
      <c r="P324" s="15" t="n">
        <f aca="false">N324*$E$2*(1+$I$319)/($F$319-$I$319)/(1+$F$319)^$N$3</f>
        <v>48384.2249124132</v>
      </c>
      <c r="Q324" s="15" t="n">
        <f aca="false">O324+P324</f>
        <v>86764.2078888145</v>
      </c>
      <c r="R324" s="15" t="n">
        <f aca="false">Q324-$G$2+$I$2</f>
        <v>80644.2078888145</v>
      </c>
      <c r="S324" s="42" t="n">
        <f aca="false">R324/$K$2</f>
        <v>465.6669816885</v>
      </c>
      <c r="T324" s="43" t="n">
        <f aca="false">S324-$M$2</f>
        <v>1.52562587374098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9052.5</v>
      </c>
      <c r="F325" s="15" t="n">
        <f aca="false">E325*(1+IF(F$3&lt;=$O$2,$D325,$D325-($D325-$I$319)*MIN(F$3-$O$2,$Q$2)/$Q$2))</f>
        <v>10042.6171875</v>
      </c>
      <c r="G325" s="15" t="n">
        <f aca="false">F325*(1+IF(G$3&lt;=$O$2,$D325,$D325-($D325-$I$319)*MIN(G$3-$O$2,$Q$2)/$Q$2))</f>
        <v>11141.0284423828</v>
      </c>
      <c r="H325" s="15" t="n">
        <f aca="false">G325*(1+IF(H$3&lt;=$O$2,$D325,$D325-($D325-$I$319)*MIN(H$3-$O$2,$Q$2)/$Q$2))</f>
        <v>12359.5784282684</v>
      </c>
      <c r="I325" s="15" t="n">
        <f aca="false">H325*(1+IF(I$3&lt;=$O$2,$D325,$D325-($D325-$I$319)*MIN(I$3-$O$2,$Q$2)/$Q$2))</f>
        <v>13711.4073188603</v>
      </c>
      <c r="J325" s="15" t="n">
        <f aca="false">I325*(1+IF(J$3&lt;=$O$2,$D325,$D325-($D325-$I$319)*MIN(J$3-$O$2,$Q$2)/$Q$2))</f>
        <v>14961.3392100476</v>
      </c>
      <c r="K325" s="15" t="n">
        <f aca="false">J325*(1+IF(K$3&lt;=$O$2,$D325,$D325-($D325-$I$319)*MIN(K$3-$O$2,$Q$2)/$Q$2))</f>
        <v>16052.6940987245</v>
      </c>
      <c r="L325" s="15" t="n">
        <f aca="false">K325*(1+IF(L$3&lt;=$O$2,$D325,$D325-($D325-$I$319)*MIN(L$3-$O$2,$Q$2)/$Q$2))</f>
        <v>16931.2580467477</v>
      </c>
      <c r="M325" s="15" t="n">
        <f aca="false">L325*(1+IF(M$3&lt;=$O$2,$D325,$D325-($D325-$I$319)*MIN(M$3-$O$2,$Q$2)/$Q$2))</f>
        <v>17549.5029343247</v>
      </c>
      <c r="N325" s="15" t="n">
        <f aca="false">M325*(1+IF(N$3&lt;=$O$2,$D325,$D325-($D325-$I$319)*MIN(N$3-$O$2,$Q$2)/$Q$2))</f>
        <v>17870.6588380228</v>
      </c>
      <c r="O325" s="15" t="n">
        <f aca="false">SUMPRODUCT(E325:N325,1/(1+$F$319)^$E$3:$N$3)*$E$2</f>
        <v>31372.4738958489</v>
      </c>
      <c r="P325" s="15" t="n">
        <f aca="false">N325*$E$2*(1+$I$319)/($F$319-$I$319)/(1+$F$319)^$N$3</f>
        <v>36087.9065202711</v>
      </c>
      <c r="Q325" s="15" t="n">
        <f aca="false">O325+P325</f>
        <v>67460.38041612</v>
      </c>
      <c r="R325" s="15" t="n">
        <f aca="false">Q325-$G$2+$I$2</f>
        <v>61340.38041612</v>
      </c>
      <c r="S325" s="42" t="n">
        <f aca="false">R325/$K$2</f>
        <v>354.20014098695</v>
      </c>
      <c r="T325" s="43" t="n">
        <f aca="false">S325-$M$2</f>
        <v>-109.941214827809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0.109375</v>
      </c>
      <c r="C326" s="25" t="n">
        <f aca="false">IF(T325&gt;0,D325,C325)</f>
        <v>0.15625</v>
      </c>
      <c r="D326" s="41" t="n">
        <f aca="false">(B326+C326)/2</f>
        <v>0.1328125</v>
      </c>
      <c r="E326" s="15" t="n">
        <f aca="false">$C$2*(1+IF(E$3&lt;=$O$2,$D326,$D326-($D326-$I$319)*MIN(E$3-$O$2,$Q$2)/$Q$2))</f>
        <v>9243.75</v>
      </c>
      <c r="F326" s="15" t="n">
        <f aca="false">E326*(1+IF(F$3&lt;=$O$2,$D326,$D326-($D326-$I$319)*MIN(F$3-$O$2,$Q$2)/$Q$2))</f>
        <v>10471.435546875</v>
      </c>
      <c r="G326" s="15" t="n">
        <f aca="false">F326*(1+IF(G$3&lt;=$O$2,$D326,$D326-($D326-$I$319)*MIN(G$3-$O$2,$Q$2)/$Q$2))</f>
        <v>11862.1730804443</v>
      </c>
      <c r="H326" s="15" t="n">
        <f aca="false">G326*(1+IF(H$3&lt;=$O$2,$D326,$D326-($D326-$I$319)*MIN(H$3-$O$2,$Q$2)/$Q$2))</f>
        <v>13437.6179426909</v>
      </c>
      <c r="I326" s="15" t="n">
        <f aca="false">H326*(1+IF(I$3&lt;=$O$2,$D326,$D326-($D326-$I$319)*MIN(I$3-$O$2,$Q$2)/$Q$2))</f>
        <v>15222.3015757045</v>
      </c>
      <c r="J326" s="15" t="n">
        <f aca="false">I326*(1+IF(J$3&lt;=$O$2,$D326,$D326-($D326-$I$319)*MIN(J$3-$O$2,$Q$2)/$Q$2))</f>
        <v>16895.3847418902</v>
      </c>
      <c r="K326" s="15" t="n">
        <f aca="false">J326*(1+IF(K$3&lt;=$O$2,$D326,$D326-($D326-$I$319)*MIN(K$3-$O$2,$Q$2)/$Q$2))</f>
        <v>18365.4099298202</v>
      </c>
      <c r="L326" s="15" t="n">
        <f aca="false">K326*(1+IF(L$3&lt;=$O$2,$D326,$D326-($D326-$I$319)*MIN(L$3-$O$2,$Q$2)/$Q$2))</f>
        <v>19542.7245333713</v>
      </c>
      <c r="M326" s="15" t="n">
        <f aca="false">L326*(1+IF(M$3&lt;=$O$2,$D326,$D326-($D326-$I$319)*MIN(M$3-$O$2,$Q$2)/$Q$2))</f>
        <v>20347.9336409575</v>
      </c>
      <c r="N326" s="15" t="n">
        <f aca="false">M326*(1+IF(N$3&lt;=$O$2,$D326,$D326-($D326-$I$319)*MIN(N$3-$O$2,$Q$2)/$Q$2))</f>
        <v>20720.300826587</v>
      </c>
      <c r="O326" s="15" t="n">
        <f aca="false">SUMPRODUCT(E326:N326,1/(1+$F$319)^$E$3:$N$3)*$E$2</f>
        <v>34702.0615847254</v>
      </c>
      <c r="P326" s="15" t="n">
        <f aca="false">N326*$E$2*(1+$I$319)/($F$319-$I$319)/(1+$F$319)^$N$3</f>
        <v>41842.4572971422</v>
      </c>
      <c r="Q326" s="15" t="n">
        <f aca="false">O326+P326</f>
        <v>76544.5188818676</v>
      </c>
      <c r="R326" s="15" t="n">
        <f aca="false">Q326-$G$2+$I$2</f>
        <v>70424.5188818676</v>
      </c>
      <c r="S326" s="42" t="n">
        <f aca="false">R326/$K$2</f>
        <v>406.655034541331</v>
      </c>
      <c r="T326" s="43" t="n">
        <f aca="false">S326-$M$2</f>
        <v>-57.4863212734286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0.1328125</v>
      </c>
      <c r="C327" s="25" t="n">
        <f aca="false">IF(T326&gt;0,D326,C326)</f>
        <v>0.15625</v>
      </c>
      <c r="D327" s="41" t="n">
        <f aca="false">(B327+C327)/2</f>
        <v>0.14453125</v>
      </c>
      <c r="E327" s="15" t="n">
        <f aca="false">$C$2*(1+IF(E$3&lt;=$O$2,$D327,$D327-($D327-$I$319)*MIN(E$3-$O$2,$Q$2)/$Q$2))</f>
        <v>9339.375</v>
      </c>
      <c r="F327" s="15" t="n">
        <f aca="false">E327*(1+IF(F$3&lt;=$O$2,$D327,$D327-($D327-$I$319)*MIN(F$3-$O$2,$Q$2)/$Q$2))</f>
        <v>10689.2065429688</v>
      </c>
      <c r="G327" s="15" t="n">
        <f aca="false">F327*(1+IF(G$3&lt;=$O$2,$D327,$D327-($D327-$I$319)*MIN(G$3-$O$2,$Q$2)/$Q$2))</f>
        <v>12234.1309261322</v>
      </c>
      <c r="H327" s="15" t="n">
        <f aca="false">G327*(1+IF(H$3&lt;=$O$2,$D327,$D327-($D327-$I$319)*MIN(H$3-$O$2,$Q$2)/$Q$2))</f>
        <v>14002.3451615497</v>
      </c>
      <c r="I327" s="15" t="n">
        <f aca="false">H327*(1+IF(I$3&lt;=$O$2,$D327,$D327-($D327-$I$319)*MIN(I$3-$O$2,$Q$2)/$Q$2))</f>
        <v>16026.12161068</v>
      </c>
      <c r="J327" s="15" t="n">
        <f aca="false">I327*(1+IF(J$3&lt;=$O$2,$D327,$D327-($D327-$I$319)*MIN(J$3-$O$2,$Q$2)/$Q$2))</f>
        <v>17937.79752701</v>
      </c>
      <c r="K327" s="15" t="n">
        <f aca="false">J327*(1+IF(K$3&lt;=$O$2,$D327,$D327-($D327-$I$319)*MIN(K$3-$O$2,$Q$2)/$Q$2))</f>
        <v>19624.6455842031</v>
      </c>
      <c r="L327" s="15" t="n">
        <f aca="false">K327*(1+IF(L$3&lt;=$O$2,$D327,$D327-($D327-$I$319)*MIN(L$3-$O$2,$Q$2)/$Q$2))</f>
        <v>20974.6740155543</v>
      </c>
      <c r="M327" s="15" t="n">
        <f aca="false">L327*(1+IF(M$3&lt;=$O$2,$D327,$D327-($D327-$I$319)*MIN(M$3-$O$2,$Q$2)/$Q$2))</f>
        <v>21888.0424139042</v>
      </c>
      <c r="N327" s="15" t="n">
        <f aca="false">M327*(1+IF(N$3&lt;=$O$2,$D327,$D327-($D327-$I$319)*MIN(N$3-$O$2,$Q$2)/$Q$2))</f>
        <v>22288.5935900786</v>
      </c>
      <c r="O327" s="15" t="n">
        <f aca="false">SUMPRODUCT(E327:N327,1/(1+$F$319)^$E$3:$N$3)*$E$2</f>
        <v>36495.4650983684</v>
      </c>
      <c r="P327" s="15" t="n">
        <f aca="false">N327*$E$2*(1+$I$319)/($F$319-$I$319)/(1+$F$319)^$N$3</f>
        <v>45009.4587579324</v>
      </c>
      <c r="Q327" s="15" t="n">
        <f aca="false">O327+P327</f>
        <v>81504.9238563009</v>
      </c>
      <c r="R327" s="15" t="n">
        <f aca="false">Q327-$G$2+$I$2</f>
        <v>75384.9238563009</v>
      </c>
      <c r="S327" s="42" t="n">
        <f aca="false">R327/$K$2</f>
        <v>435.298093638416</v>
      </c>
      <c r="T327" s="43" t="n">
        <f aca="false">S327-$M$2</f>
        <v>-28.8432621763432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0.14453125</v>
      </c>
      <c r="C328" s="25" t="n">
        <f aca="false">IF(T327&gt;0,D327,C327)</f>
        <v>0.15625</v>
      </c>
      <c r="D328" s="41" t="n">
        <f aca="false">(B328+C328)/2</f>
        <v>0.150390625</v>
      </c>
      <c r="E328" s="15" t="n">
        <f aca="false">$C$2*(1+IF(E$3&lt;=$O$2,$D328,$D328-($D328-$I$319)*MIN(E$3-$O$2,$Q$2)/$Q$2))</f>
        <v>9387.1875</v>
      </c>
      <c r="F328" s="15" t="n">
        <f aca="false">E328*(1+IF(F$3&lt;=$O$2,$D328,$D328-($D328-$I$319)*MIN(F$3-$O$2,$Q$2)/$Q$2))</f>
        <v>10798.9324951172</v>
      </c>
      <c r="G328" s="15" t="n">
        <f aca="false">F328*(1+IF(G$3&lt;=$O$2,$D328,$D328-($D328-$I$319)*MIN(G$3-$O$2,$Q$2)/$Q$2))</f>
        <v>12422.9907023907</v>
      </c>
      <c r="H328" s="15" t="n">
        <f aca="false">G328*(1+IF(H$3&lt;=$O$2,$D328,$D328-($D328-$I$319)*MIN(H$3-$O$2,$Q$2)/$Q$2))</f>
        <v>14291.2920384924</v>
      </c>
      <c r="I328" s="15" t="n">
        <f aca="false">H328*(1+IF(I$3&lt;=$O$2,$D328,$D328-($D328-$I$319)*MIN(I$3-$O$2,$Q$2)/$Q$2))</f>
        <v>16440.5683802188</v>
      </c>
      <c r="J328" s="15" t="n">
        <f aca="false">I328*(1+IF(J$3&lt;=$O$2,$D328,$D328-($D328-$I$319)*MIN(J$3-$O$2,$Q$2)/$Q$2))</f>
        <v>18478.7467437355</v>
      </c>
      <c r="K328" s="15" t="n">
        <f aca="false">J328*(1+IF(K$3&lt;=$O$2,$D328,$D328-($D328-$I$319)*MIN(K$3-$O$2,$Q$2)/$Q$2))</f>
        <v>20281.4293331039</v>
      </c>
      <c r="L328" s="15" t="n">
        <f aca="false">K328*(1+IF(L$3&lt;=$O$2,$D328,$D328-($D328-$I$319)*MIN(L$3-$O$2,$Q$2)/$Q$2))</f>
        <v>21724.1741605009</v>
      </c>
      <c r="M328" s="15" t="n">
        <f aca="false">L328*(1+IF(M$3&lt;=$O$2,$D328,$D328-($D328-$I$319)*MIN(M$3-$O$2,$Q$2)/$Q$2))</f>
        <v>22695.6384961319</v>
      </c>
      <c r="N328" s="15" t="n">
        <f aca="false">M328*(1+IF(N$3&lt;=$O$2,$D328,$D328-($D328-$I$319)*MIN(N$3-$O$2,$Q$2)/$Q$2))</f>
        <v>23110.9686806111</v>
      </c>
      <c r="O328" s="15" t="n">
        <f aca="false">SUMPRODUCT(E328:N328,1/(1+$F$319)^$E$3:$N$3)*$E$2</f>
        <v>37426.0740071671</v>
      </c>
      <c r="P328" s="15" t="n">
        <f aca="false">N328*$E$2*(1+$I$319)/($F$319-$I$319)/(1+$F$319)^$N$3</f>
        <v>46670.1583247885</v>
      </c>
      <c r="Q328" s="15" t="n">
        <f aca="false">O328+P328</f>
        <v>84096.2323319556</v>
      </c>
      <c r="R328" s="15" t="n">
        <f aca="false">Q328-$G$2+$I$2</f>
        <v>77976.2323319556</v>
      </c>
      <c r="S328" s="42" t="n">
        <f aca="false">R328/$K$2</f>
        <v>450.261186811153</v>
      </c>
      <c r="T328" s="43" t="n">
        <f aca="false">S328-$M$2</f>
        <v>-13.8801690036058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0.150390625</v>
      </c>
      <c r="C329" s="25" t="n">
        <f aca="false">IF(T328&gt;0,D328,C328)</f>
        <v>0.15625</v>
      </c>
      <c r="D329" s="41" t="n">
        <f aca="false">(B329+C329)/2</f>
        <v>0.1533203125</v>
      </c>
      <c r="E329" s="15" t="n">
        <f aca="false">$C$2*(1+IF(E$3&lt;=$O$2,$D329,$D329-($D329-$I$319)*MIN(E$3-$O$2,$Q$2)/$Q$2))</f>
        <v>9411.09375</v>
      </c>
      <c r="F329" s="15" t="n">
        <f aca="false">E329*(1+IF(F$3&lt;=$O$2,$D329,$D329-($D329-$I$319)*MIN(F$3-$O$2,$Q$2)/$Q$2))</f>
        <v>10854.0055847168</v>
      </c>
      <c r="G329" s="15" t="n">
        <f aca="false">F329*(1+IF(G$3&lt;=$O$2,$D329,$D329-($D329-$I$319)*MIN(G$3-$O$2,$Q$2)/$Q$2))</f>
        <v>12518.1451128423</v>
      </c>
      <c r="H329" s="15" t="n">
        <f aca="false">G329*(1+IF(H$3&lt;=$O$2,$D329,$D329-($D329-$I$319)*MIN(H$3-$O$2,$Q$2)/$Q$2))</f>
        <v>14437.4310334637</v>
      </c>
      <c r="I329" s="15" t="n">
        <f aca="false">H329*(1+IF(I$3&lt;=$O$2,$D329,$D329-($D329-$I$319)*MIN(I$3-$O$2,$Q$2)/$Q$2))</f>
        <v>16650.9824712115</v>
      </c>
      <c r="J329" s="15" t="n">
        <f aca="false">I329*(1+IF(J$3&lt;=$O$2,$D329,$D329-($D329-$I$319)*MIN(J$3-$O$2,$Q$2)/$Q$2))</f>
        <v>18754.2721357907</v>
      </c>
      <c r="K329" s="15" t="n">
        <f aca="false">J329*(1+IF(K$3&lt;=$O$2,$D329,$D329-($D329-$I$319)*MIN(K$3-$O$2,$Q$2)/$Q$2))</f>
        <v>20616.7999265663</v>
      </c>
      <c r="L329" s="15" t="n">
        <f aca="false">K329*(1+IF(L$3&lt;=$O$2,$D329,$D329-($D329-$I$319)*MIN(L$3-$O$2,$Q$2)/$Q$2))</f>
        <v>22107.5620727565</v>
      </c>
      <c r="M329" s="15" t="n">
        <f aca="false">L329*(1+IF(M$3&lt;=$O$2,$D329,$D329-($D329-$I$319)*MIN(M$3-$O$2,$Q$2)/$Q$2))</f>
        <v>23109.1244466233</v>
      </c>
      <c r="N329" s="15" t="n">
        <f aca="false">M329*(1+IF(N$3&lt;=$O$2,$D329,$D329-($D329-$I$319)*MIN(N$3-$O$2,$Q$2)/$Q$2))</f>
        <v>23532.0214239965</v>
      </c>
      <c r="O329" s="15" t="n">
        <f aca="false">SUMPRODUCT(E329:N329,1/(1+$F$319)^$E$3:$N$3)*$E$2</f>
        <v>37900.0828288179</v>
      </c>
      <c r="P329" s="15" t="n">
        <f aca="false">N329*$E$2*(1+$I$319)/($F$319-$I$319)/(1+$F$319)^$N$3</f>
        <v>47520.4298330255</v>
      </c>
      <c r="Q329" s="15" t="n">
        <f aca="false">O329+P329</f>
        <v>85420.5126618433</v>
      </c>
      <c r="R329" s="15" t="n">
        <f aca="false">Q329-$G$2+$I$2</f>
        <v>79300.5126618433</v>
      </c>
      <c r="S329" s="42" t="n">
        <f aca="false">R329/$K$2</f>
        <v>457.908030152693</v>
      </c>
      <c r="T329" s="43" t="n">
        <f aca="false">S329-$M$2</f>
        <v>-6.23332566206648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0.1533203125</v>
      </c>
      <c r="C330" s="25" t="n">
        <f aca="false">IF(T329&gt;0,D329,C329)</f>
        <v>0.15625</v>
      </c>
      <c r="D330" s="41" t="n">
        <f aca="false">(B330+C330)/2</f>
        <v>0.15478515625</v>
      </c>
      <c r="E330" s="15" t="n">
        <f aca="false">$C$2*(1+IF(E$3&lt;=$O$2,$D330,$D330-($D330-$I$319)*MIN(E$3-$O$2,$Q$2)/$Q$2))</f>
        <v>9423.046875</v>
      </c>
      <c r="F330" s="15" t="n">
        <f aca="false">E330*(1+IF(F$3&lt;=$O$2,$D330,$D330-($D330-$I$319)*MIN(F$3-$O$2,$Q$2)/$Q$2))</f>
        <v>10881.594657898</v>
      </c>
      <c r="G330" s="15" t="n">
        <f aca="false">F330*(1+IF(G$3&lt;=$O$2,$D330,$D330-($D330-$I$319)*MIN(G$3-$O$2,$Q$2)/$Q$2))</f>
        <v>12565.9039872698</v>
      </c>
      <c r="H330" s="15" t="n">
        <f aca="false">G330*(1+IF(H$3&lt;=$O$2,$D330,$D330-($D330-$I$319)*MIN(H$3-$O$2,$Q$2)/$Q$2))</f>
        <v>14510.9193993619</v>
      </c>
      <c r="I330" s="15" t="n">
        <f aca="false">H330*(1+IF(I$3&lt;=$O$2,$D330,$D330-($D330-$I$319)*MIN(I$3-$O$2,$Q$2)/$Q$2))</f>
        <v>16756.9943259233</v>
      </c>
      <c r="J330" s="15" t="n">
        <f aca="false">I330*(1+IF(J$3&lt;=$O$2,$D330,$D330-($D330-$I$319)*MIN(J$3-$O$2,$Q$2)/$Q$2))</f>
        <v>18893.3121131709</v>
      </c>
      <c r="K330" s="15" t="n">
        <f aca="false">J330*(1+IF(K$3&lt;=$O$2,$D330,$D330-($D330-$I$319)*MIN(K$3-$O$2,$Q$2)/$Q$2))</f>
        <v>20786.2537183496</v>
      </c>
      <c r="L330" s="15" t="n">
        <f aca="false">K330*(1+IF(L$3&lt;=$O$2,$D330,$D330-($D330-$I$319)*MIN(L$3-$O$2,$Q$2)/$Q$2))</f>
        <v>22301.4481960359</v>
      </c>
      <c r="M330" s="15" t="n">
        <f aca="false">L330*(1+IF(M$3&lt;=$O$2,$D330,$D330-($D330-$I$319)*MIN(M$3-$O$2,$Q$2)/$Q$2))</f>
        <v>23318.3280263508</v>
      </c>
      <c r="N330" s="15" t="n">
        <f aca="false">M330*(1+IF(N$3&lt;=$O$2,$D330,$D330-($D330-$I$319)*MIN(N$3-$O$2,$Q$2)/$Q$2))</f>
        <v>23745.053429233</v>
      </c>
      <c r="O330" s="15" t="n">
        <f aca="false">SUMPRODUCT(E330:N330,1/(1+$F$319)^$E$3:$N$3)*$E$2</f>
        <v>38139.2923067886</v>
      </c>
      <c r="P330" s="15" t="n">
        <f aca="false">N330*$E$2*(1+$I$319)/($F$319-$I$319)/(1+$F$319)^$N$3</f>
        <v>47950.6254492298</v>
      </c>
      <c r="Q330" s="15" t="n">
        <f aca="false">O330+P330</f>
        <v>86089.9177560184</v>
      </c>
      <c r="R330" s="15" t="n">
        <f aca="false">Q330-$G$2+$I$2</f>
        <v>79969.9177560184</v>
      </c>
      <c r="S330" s="42" t="n">
        <f aca="false">R330/$K$2</f>
        <v>461.773401986478</v>
      </c>
      <c r="T330" s="43" t="n">
        <f aca="false">S330-$M$2</f>
        <v>-2.36795382828075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0.15478515625</v>
      </c>
      <c r="C331" s="25" t="n">
        <f aca="false">IF(T330&gt;0,D330,C330)</f>
        <v>0.15625</v>
      </c>
      <c r="D331" s="41" t="n">
        <f aca="false">(B331+C331)/2</f>
        <v>0.155517578125</v>
      </c>
      <c r="E331" s="15" t="n">
        <f aca="false">$C$2*(1+IF(E$3&lt;=$O$2,$D331,$D331-($D331-$I$319)*MIN(E$3-$O$2,$Q$2)/$Q$2))</f>
        <v>9429.0234375</v>
      </c>
      <c r="F331" s="15" t="n">
        <f aca="false">E331*(1+IF(F$3&lt;=$O$2,$D331,$D331-($D331-$I$319)*MIN(F$3-$O$2,$Q$2)/$Q$2))</f>
        <v>10895.4023265839</v>
      </c>
      <c r="G331" s="15" t="n">
        <f aca="false">F331*(1+IF(G$3&lt;=$O$2,$D331,$D331-($D331-$I$319)*MIN(G$3-$O$2,$Q$2)/$Q$2))</f>
        <v>12589.8289091117</v>
      </c>
      <c r="H331" s="15" t="n">
        <f aca="false">G331*(1+IF(H$3&lt;=$O$2,$D331,$D331-($D331-$I$319)*MIN(H$3-$O$2,$Q$2)/$Q$2))</f>
        <v>14547.7686100648</v>
      </c>
      <c r="I331" s="15" t="n">
        <f aca="false">H331*(1+IF(I$3&lt;=$O$2,$D331,$D331-($D331-$I$319)*MIN(I$3-$O$2,$Q$2)/$Q$2))</f>
        <v>16810.202351425</v>
      </c>
      <c r="J331" s="15" t="n">
        <f aca="false">I331*(1+IF(J$3&lt;=$O$2,$D331,$D331-($D331-$I$319)*MIN(J$3-$O$2,$Q$2)/$Q$2))</f>
        <v>18963.1532580191</v>
      </c>
      <c r="K331" s="15" t="n">
        <f aca="false">J331*(1+IF(K$3&lt;=$O$2,$D331,$D331-($D331-$I$319)*MIN(K$3-$O$2,$Q$2)/$Q$2))</f>
        <v>20871.425740848</v>
      </c>
      <c r="L331" s="15" t="n">
        <f aca="false">K331*(1+IF(L$3&lt;=$O$2,$D331,$D331-($D331-$I$319)*MIN(L$3-$O$2,$Q$2)/$Q$2))</f>
        <v>22398.9434287755</v>
      </c>
      <c r="M331" s="15" t="n">
        <f aca="false">L331*(1+IF(M$3&lt;=$O$2,$D331,$D331-($D331-$I$319)*MIN(M$3-$O$2,$Q$2)/$Q$2))</f>
        <v>23423.5498474931</v>
      </c>
      <c r="N331" s="15" t="n">
        <f aca="false">M331*(1+IF(N$3&lt;=$O$2,$D331,$D331-($D331-$I$319)*MIN(N$3-$O$2,$Q$2)/$Q$2))</f>
        <v>23852.2008097023</v>
      </c>
      <c r="O331" s="15" t="n">
        <f aca="false">SUMPRODUCT(E331:N331,1/(1+$F$319)^$E$3:$N$3)*$E$2</f>
        <v>38259.4519678879</v>
      </c>
      <c r="P331" s="15" t="n">
        <f aca="false">N331*$E$2*(1+$I$319)/($F$319-$I$319)/(1+$F$319)^$N$3</f>
        <v>48166.9982581629</v>
      </c>
      <c r="Q331" s="15" t="n">
        <f aca="false">O331+P331</f>
        <v>86426.4502260507</v>
      </c>
      <c r="R331" s="15" t="n">
        <f aca="false">Q331-$G$2+$I$2</f>
        <v>80306.4502260507</v>
      </c>
      <c r="S331" s="42" t="n">
        <f aca="false">R331/$K$2</f>
        <v>463.716654498503</v>
      </c>
      <c r="T331" s="43" t="n">
        <f aca="false">S331-$M$2</f>
        <v>-0.424701316256289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0.155517578125</v>
      </c>
      <c r="C332" s="25" t="n">
        <f aca="false">IF(T331&gt;0,D331,C331)</f>
        <v>0.15625</v>
      </c>
      <c r="D332" s="41" t="n">
        <f aca="false">(B332+C332)/2</f>
        <v>0.1558837890625</v>
      </c>
      <c r="E332" s="15" t="n">
        <f aca="false">$C$2*(1+IF(E$3&lt;=$O$2,$D332,$D332-($D332-$I$319)*MIN(E$3-$O$2,$Q$2)/$Q$2))</f>
        <v>9432.01171875</v>
      </c>
      <c r="F332" s="15" t="n">
        <f aca="false">E332*(1+IF(F$3&lt;=$O$2,$D332,$D332-($D332-$I$319)*MIN(F$3-$O$2,$Q$2)/$Q$2))</f>
        <v>10902.3094439507</v>
      </c>
      <c r="G332" s="15" t="n">
        <f aca="false">F332*(1+IF(G$3&lt;=$O$2,$D332,$D332-($D332-$I$319)*MIN(G$3-$O$2,$Q$2)/$Q$2))</f>
        <v>12601.8027496056</v>
      </c>
      <c r="H332" s="15" t="n">
        <f aca="false">G332*(1+IF(H$3&lt;=$O$2,$D332,$D332-($D332-$I$319)*MIN(H$3-$O$2,$Q$2)/$Q$2))</f>
        <v>14566.2195112323</v>
      </c>
      <c r="I332" s="15" t="n">
        <f aca="false">H332*(1+IF(I$3&lt;=$O$2,$D332,$D332-($D332-$I$319)*MIN(I$3-$O$2,$Q$2)/$Q$2))</f>
        <v>16836.8570009593</v>
      </c>
      <c r="J332" s="15" t="n">
        <f aca="false">I332*(1+IF(J$3&lt;=$O$2,$D332,$D332-($D332-$I$319)*MIN(J$3-$O$2,$Q$2)/$Q$2))</f>
        <v>18998.1543497532</v>
      </c>
      <c r="K332" s="15" t="n">
        <f aca="false">J332*(1+IF(K$3&lt;=$O$2,$D332,$D332-($D332-$I$319)*MIN(K$3-$O$2,$Q$2)/$Q$2))</f>
        <v>20914.1234107337</v>
      </c>
      <c r="L332" s="15" t="n">
        <f aca="false">K332*(1+IF(L$3&lt;=$O$2,$D332,$D332-($D332-$I$319)*MIN(L$3-$O$2,$Q$2)/$Q$2))</f>
        <v>22447.8296066579</v>
      </c>
      <c r="M332" s="15" t="n">
        <f aca="false">L332*(1+IF(M$3&lt;=$O$2,$D332,$D332-($D332-$I$319)*MIN(M$3-$O$2,$Q$2)/$Q$2))</f>
        <v>23476.3163791624</v>
      </c>
      <c r="N332" s="15" t="n">
        <f aca="false">M332*(1+IF(N$3&lt;=$O$2,$D332,$D332-($D332-$I$319)*MIN(N$3-$O$2,$Q$2)/$Q$2))</f>
        <v>23905.9329689011</v>
      </c>
      <c r="O332" s="15" t="n">
        <f aca="false">SUMPRODUCT(E332:N332,1/(1+$F$319)^$E$3:$N$3)*$E$2</f>
        <v>38319.6709879833</v>
      </c>
      <c r="P332" s="15" t="n">
        <f aca="false">N332*$E$2*(1+$I$319)/($F$319-$I$319)/(1+$F$319)^$N$3</f>
        <v>48275.5046739517</v>
      </c>
      <c r="Q332" s="15" t="n">
        <f aca="false">O332+P332</f>
        <v>86595.175661935</v>
      </c>
      <c r="R332" s="15" t="n">
        <f aca="false">Q332-$G$2+$I$2</f>
        <v>80475.175661935</v>
      </c>
      <c r="S332" s="42" t="n">
        <f aca="false">R332/$K$2</f>
        <v>464.690932335922</v>
      </c>
      <c r="T332" s="43" t="n">
        <f aca="false">S332-$M$2</f>
        <v>0.549576521163147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0.155517578125</v>
      </c>
      <c r="C333" s="25" t="n">
        <f aca="false">IF(T332&gt;0,D332,C332)</f>
        <v>0.1558837890625</v>
      </c>
      <c r="D333" s="41" t="n">
        <f aca="false">(B333+C333)/2</f>
        <v>0.15570068359375</v>
      </c>
      <c r="E333" s="15" t="n">
        <f aca="false">$C$2*(1+IF(E$3&lt;=$O$2,$D333,$D333-($D333-$I$319)*MIN(E$3-$O$2,$Q$2)/$Q$2))</f>
        <v>9430.517578125</v>
      </c>
      <c r="F333" s="15" t="n">
        <f aca="false">E333*(1+IF(F$3&lt;=$O$2,$D333,$D333-($D333-$I$319)*MIN(F$3-$O$2,$Q$2)/$Q$2))</f>
        <v>10898.8556116819</v>
      </c>
      <c r="G333" s="15" t="n">
        <f aca="false">F333*(1+IF(G$3&lt;=$O$2,$D333,$D333-($D333-$I$319)*MIN(G$3-$O$2,$Q$2)/$Q$2))</f>
        <v>12595.8148808104</v>
      </c>
      <c r="H333" s="15" t="n">
        <f aca="false">G333*(1+IF(H$3&lt;=$O$2,$D333,$D333-($D333-$I$319)*MIN(H$3-$O$2,$Q$2)/$Q$2))</f>
        <v>14556.9918681729</v>
      </c>
      <c r="I333" s="15" t="n">
        <f aca="false">H333*(1+IF(I$3&lt;=$O$2,$D333,$D333-($D333-$I$319)*MIN(I$3-$O$2,$Q$2)/$Q$2))</f>
        <v>16823.5254531161</v>
      </c>
      <c r="J333" s="15" t="n">
        <f aca="false">I333*(1+IF(J$3&lt;=$O$2,$D333,$D333-($D333-$I$319)*MIN(J$3-$O$2,$Q$2)/$Q$2))</f>
        <v>18980.6470870801</v>
      </c>
      <c r="K333" s="15" t="n">
        <f aca="false">J333*(1+IF(K$3&lt;=$O$2,$D333,$D333-($D333-$I$319)*MIN(K$3-$O$2,$Q$2)/$Q$2))</f>
        <v>20892.7652596636</v>
      </c>
      <c r="L333" s="15" t="n">
        <f aca="false">K333*(1+IF(L$3&lt;=$O$2,$D333,$D333-($D333-$I$319)*MIN(L$3-$O$2,$Q$2)/$Q$2))</f>
        <v>22423.374955452</v>
      </c>
      <c r="M333" s="15" t="n">
        <f aca="false">L333*(1+IF(M$3&lt;=$O$2,$D333,$D333-($D333-$I$319)*MIN(M$3-$O$2,$Q$2)/$Q$2))</f>
        <v>23449.9201266084</v>
      </c>
      <c r="N333" s="15" t="n">
        <f aca="false">M333*(1+IF(N$3&lt;=$O$2,$D333,$D333-($D333-$I$319)*MIN(N$3-$O$2,$Q$2)/$Q$2))</f>
        <v>23879.0536649254</v>
      </c>
      <c r="O333" s="15" t="n">
        <f aca="false">SUMPRODUCT(E333:N333,1/(1+$F$319)^$E$3:$N$3)*$E$2</f>
        <v>38289.5498651184</v>
      </c>
      <c r="P333" s="15" t="n">
        <f aca="false">N333*$E$2*(1+$I$319)/($F$319-$I$319)/(1+$F$319)^$N$3</f>
        <v>48221.2247608272</v>
      </c>
      <c r="Q333" s="15" t="n">
        <f aca="false">O333+P333</f>
        <v>86510.7746259456</v>
      </c>
      <c r="R333" s="15" t="n">
        <f aca="false">Q333-$G$2+$I$2</f>
        <v>80390.7746259456</v>
      </c>
      <c r="S333" s="42" t="n">
        <f aca="false">R333/$K$2</f>
        <v>464.203572155824</v>
      </c>
      <c r="T333" s="43" t="n">
        <f aca="false">S333-$M$2</f>
        <v>0.0622163410648113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0.155517578125</v>
      </c>
      <c r="C334" s="25" t="n">
        <f aca="false">IF(T333&gt;0,D333,C333)</f>
        <v>0.15570068359375</v>
      </c>
      <c r="D334" s="41" t="n">
        <f aca="false">(B334+C334)/2</f>
        <v>0.155609130859375</v>
      </c>
      <c r="E334" s="15" t="n">
        <f aca="false">$C$2*(1+IF(E$3&lt;=$O$2,$D334,$D334-($D334-$I$319)*MIN(E$3-$O$2,$Q$2)/$Q$2))</f>
        <v>9429.7705078125</v>
      </c>
      <c r="F334" s="15" t="n">
        <f aca="false">E334*(1+IF(F$3&lt;=$O$2,$D334,$D334-($D334-$I$319)*MIN(F$3-$O$2,$Q$2)/$Q$2))</f>
        <v>10897.1289007366</v>
      </c>
      <c r="G334" s="15" t="n">
        <f aca="false">F334*(1+IF(G$3&lt;=$O$2,$D334,$D334-($D334-$I$319)*MIN(G$3-$O$2,$Q$2)/$Q$2))</f>
        <v>12592.8216578428</v>
      </c>
      <c r="H334" s="15" t="n">
        <f aca="false">G334*(1+IF(H$3&lt;=$O$2,$D334,$D334-($D334-$I$319)*MIN(H$3-$O$2,$Q$2)/$Q$2))</f>
        <v>14552.3796910868</v>
      </c>
      <c r="I334" s="15" t="n">
        <f aca="false">H334*(1+IF(I$3&lt;=$O$2,$D334,$D334-($D334-$I$319)*MIN(I$3-$O$2,$Q$2)/$Q$2))</f>
        <v>16816.8628467524</v>
      </c>
      <c r="J334" s="15" t="n">
        <f aca="false">I334*(1+IF(J$3&lt;=$O$2,$D334,$D334-($D334-$I$319)*MIN(J$3-$O$2,$Q$2)/$Q$2))</f>
        <v>18971.8984938631</v>
      </c>
      <c r="K334" s="15" t="n">
        <f aca="false">J334*(1+IF(K$3&lt;=$O$2,$D334,$D334-($D334-$I$319)*MIN(K$3-$O$2,$Q$2)/$Q$2))</f>
        <v>20882.0931720676</v>
      </c>
      <c r="L334" s="15" t="n">
        <f aca="false">K334*(1+IF(L$3&lt;=$O$2,$D334,$D334-($D334-$I$319)*MIN(L$3-$O$2,$Q$2)/$Q$2))</f>
        <v>22411.1563027089</v>
      </c>
      <c r="M334" s="15" t="n">
        <f aca="false">L334*(1+IF(M$3&lt;=$O$2,$D334,$D334-($D334-$I$319)*MIN(M$3-$O$2,$Q$2)/$Q$2))</f>
        <v>23436.7317417441</v>
      </c>
      <c r="N334" s="15" t="n">
        <f aca="false">M334*(1+IF(N$3&lt;=$O$2,$D334,$D334-($D334-$I$319)*MIN(N$3-$O$2,$Q$2)/$Q$2))</f>
        <v>23865.6239326181</v>
      </c>
      <c r="O334" s="15" t="n">
        <f aca="false">SUMPRODUCT(E334:N334,1/(1+$F$319)^$E$3:$N$3)*$E$2</f>
        <v>38274.4980143262</v>
      </c>
      <c r="P334" s="15" t="n">
        <f aca="false">N334*$E$2*(1+$I$319)/($F$319-$I$319)/(1+$F$319)^$N$3</f>
        <v>48194.1048360113</v>
      </c>
      <c r="Q334" s="15" t="n">
        <f aca="false">O334+P334</f>
        <v>86468.6028503374</v>
      </c>
      <c r="R334" s="15" t="n">
        <f aca="false">Q334-$G$2+$I$2</f>
        <v>80348.6028503374</v>
      </c>
      <c r="S334" s="42" t="n">
        <f aca="false">R334/$K$2</f>
        <v>463.960058034054</v>
      </c>
      <c r="T334" s="43" t="n">
        <f aca="false">S334-$M$2</f>
        <v>-0.181297780705506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0.155609130859375</v>
      </c>
      <c r="C335" s="25" t="n">
        <f aca="false">IF(T334&gt;0,D334,C334)</f>
        <v>0.15570068359375</v>
      </c>
      <c r="D335" s="41" t="n">
        <f aca="false">(B335+C335)/2</f>
        <v>0.155654907226563</v>
      </c>
      <c r="E335" s="15" t="n">
        <f aca="false">$C$2*(1+IF(E$3&lt;=$O$2,$D335,$D335-($D335-$I$319)*MIN(E$3-$O$2,$Q$2)/$Q$2))</f>
        <v>9430.14404296875</v>
      </c>
      <c r="F335" s="15" t="n">
        <f aca="false">E335*(1+IF(F$3&lt;=$O$2,$D335,$D335-($D335-$I$319)*MIN(F$3-$O$2,$Q$2)/$Q$2))</f>
        <v>10897.9922391102</v>
      </c>
      <c r="G335" s="15" t="n">
        <f aca="false">F335*(1+IF(G$3&lt;=$O$2,$D335,$D335-($D335-$I$319)*MIN(G$3-$O$2,$Q$2)/$Q$2))</f>
        <v>12594.3182100447</v>
      </c>
      <c r="H335" s="15" t="n">
        <f aca="false">G335*(1+IF(H$3&lt;=$O$2,$D335,$D335-($D335-$I$319)*MIN(H$3-$O$2,$Q$2)/$Q$2))</f>
        <v>14554.685642611</v>
      </c>
      <c r="I335" s="15" t="n">
        <f aca="false">H335*(1+IF(I$3&lt;=$O$2,$D335,$D335-($D335-$I$319)*MIN(I$3-$O$2,$Q$2)/$Q$2))</f>
        <v>16820.1938860234</v>
      </c>
      <c r="J335" s="15" t="n">
        <f aca="false">I335*(1+IF(J$3&lt;=$O$2,$D335,$D335-($D335-$I$319)*MIN(J$3-$O$2,$Q$2)/$Q$2))</f>
        <v>18976.2723707356</v>
      </c>
      <c r="K335" s="15" t="n">
        <f aca="false">J335*(1+IF(K$3&lt;=$O$2,$D335,$D335-($D335-$I$319)*MIN(K$3-$O$2,$Q$2)/$Q$2))</f>
        <v>20887.4286337131</v>
      </c>
      <c r="L335" s="15" t="n">
        <f aca="false">K335*(1+IF(L$3&lt;=$O$2,$D335,$D335-($D335-$I$319)*MIN(L$3-$O$2,$Q$2)/$Q$2))</f>
        <v>22417.2649065841</v>
      </c>
      <c r="M335" s="15" t="n">
        <f aca="false">L335*(1+IF(M$3&lt;=$O$2,$D335,$D335-($D335-$I$319)*MIN(M$3-$O$2,$Q$2)/$Q$2))</f>
        <v>23443.325122678</v>
      </c>
      <c r="N335" s="15" t="n">
        <f aca="false">M335*(1+IF(N$3&lt;=$O$2,$D335,$D335-($D335-$I$319)*MIN(N$3-$O$2,$Q$2)/$Q$2))</f>
        <v>23872.337972423</v>
      </c>
      <c r="O335" s="15" t="n">
        <f aca="false">SUMPRODUCT(E335:N335,1/(1+$F$319)^$E$3:$N$3)*$E$2</f>
        <v>38282.0232140496</v>
      </c>
      <c r="P335" s="15" t="n">
        <f aca="false">N335*$E$2*(1+$I$319)/($F$319-$I$319)/(1+$F$319)^$N$3</f>
        <v>48207.6631296954</v>
      </c>
      <c r="Q335" s="15" t="n">
        <f aca="false">O335+P335</f>
        <v>86489.686343745</v>
      </c>
      <c r="R335" s="15" t="n">
        <f aca="false">Q335-$G$2+$I$2</f>
        <v>80369.686343745</v>
      </c>
      <c r="S335" s="42" t="n">
        <f aca="false">R335/$K$2</f>
        <v>464.081801268882</v>
      </c>
      <c r="T335" s="43" t="n">
        <f aca="false">S335-$M$2</f>
        <v>-0.0595545458769493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0.155654907226563</v>
      </c>
      <c r="C336" s="25" t="n">
        <f aca="false">IF(T335&gt;0,D335,C335)</f>
        <v>0.15570068359375</v>
      </c>
      <c r="D336" s="41" t="n">
        <f aca="false">(B336+C336)/2</f>
        <v>0.155677795410156</v>
      </c>
      <c r="E336" s="15" t="n">
        <f aca="false">$C$2*(1+IF(E$3&lt;=$O$2,$D336,$D336-($D336-$I$319)*MIN(E$3-$O$2,$Q$2)/$Q$2))</f>
        <v>9430.33081054688</v>
      </c>
      <c r="F336" s="15" t="n">
        <f aca="false">E336*(1+IF(F$3&lt;=$O$2,$D336,$D336-($D336-$I$319)*MIN(F$3-$O$2,$Q$2)/$Q$2))</f>
        <v>10898.4239211213</v>
      </c>
      <c r="G336" s="15" t="n">
        <f aca="false">F336*(1+IF(G$3&lt;=$O$2,$D336,$D336-($D336-$I$319)*MIN(G$3-$O$2,$Q$2)/$Q$2))</f>
        <v>12595.0665306068</v>
      </c>
      <c r="H336" s="15" t="n">
        <f aca="false">G336*(1+IF(H$3&lt;=$O$2,$D336,$D336-($D336-$I$319)*MIN(H$3-$O$2,$Q$2)/$Q$2))</f>
        <v>14555.8387211359</v>
      </c>
      <c r="I336" s="15" t="n">
        <f aca="false">H336*(1+IF(I$3&lt;=$O$2,$D336,$D336-($D336-$I$319)*MIN(I$3-$O$2,$Q$2)/$Q$2))</f>
        <v>16821.8596035881</v>
      </c>
      <c r="J336" s="15" t="n">
        <f aca="false">I336*(1+IF(J$3&lt;=$O$2,$D336,$D336-($D336-$I$319)*MIN(J$3-$O$2,$Q$2)/$Q$2))</f>
        <v>18978.4596239658</v>
      </c>
      <c r="K336" s="15" t="n">
        <f aca="false">J336*(1+IF(K$3&lt;=$O$2,$D336,$D336-($D336-$I$319)*MIN(K$3-$O$2,$Q$2)/$Q$2))</f>
        <v>20890.096801137</v>
      </c>
      <c r="L336" s="15" t="n">
        <f aca="false">K336*(1+IF(L$3&lt;=$O$2,$D336,$D336-($D336-$I$319)*MIN(L$3-$O$2,$Q$2)/$Q$2))</f>
        <v>22420.3197503758</v>
      </c>
      <c r="M336" s="15" t="n">
        <f aca="false">L336*(1+IF(M$3&lt;=$O$2,$D336,$D336-($D336-$I$319)*MIN(M$3-$O$2,$Q$2)/$Q$2))</f>
        <v>23446.6224217472</v>
      </c>
      <c r="N336" s="15" t="n">
        <f aca="false">M336*(1+IF(N$3&lt;=$O$2,$D336,$D336-($D336-$I$319)*MIN(N$3-$O$2,$Q$2)/$Q$2))</f>
        <v>23875.6956120652</v>
      </c>
      <c r="O336" s="15" t="n">
        <f aca="false">SUMPRODUCT(E336:N336,1/(1+$F$319)^$E$3:$N$3)*$E$2</f>
        <v>38285.7863581498</v>
      </c>
      <c r="P336" s="15" t="n">
        <f aca="false">N336*$E$2*(1+$I$319)/($F$319-$I$319)/(1+$F$319)^$N$3</f>
        <v>48214.4435280362</v>
      </c>
      <c r="Q336" s="15" t="n">
        <f aca="false">O336+P336</f>
        <v>86500.229886186</v>
      </c>
      <c r="R336" s="15" t="n">
        <f aca="false">Q336-$G$2+$I$2</f>
        <v>80380.229886186</v>
      </c>
      <c r="S336" s="42" t="n">
        <f aca="false">R336/$K$2</f>
        <v>464.142683255492</v>
      </c>
      <c r="T336" s="43" t="n">
        <f aca="false">S336-$M$2</f>
        <v>0.00132744073226831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0.155654907226563</v>
      </c>
      <c r="C337" s="25" t="n">
        <f aca="false">IF(T336&gt;0,D336,C336)</f>
        <v>0.155677795410156</v>
      </c>
      <c r="D337" s="41" t="n">
        <f aca="false">(B337+C337)/2</f>
        <v>0.155666351318359</v>
      </c>
      <c r="E337" s="15" t="n">
        <f aca="false">$C$2*(1+IF(E$3&lt;=$O$2,$D337,$D337-($D337-$I$319)*MIN(E$3-$O$2,$Q$2)/$Q$2))</f>
        <v>9430.23742675781</v>
      </c>
      <c r="F337" s="15" t="n">
        <f aca="false">E337*(1+IF(F$3&lt;=$O$2,$D337,$D337-($D337-$I$319)*MIN(F$3-$O$2,$Q$2)/$Q$2))</f>
        <v>10898.208079047</v>
      </c>
      <c r="G337" s="15" t="n">
        <f aca="false">F337*(1+IF(G$3&lt;=$O$2,$D337,$D337-($D337-$I$319)*MIN(G$3-$O$2,$Q$2)/$Q$2))</f>
        <v>12594.6923666206</v>
      </c>
      <c r="H337" s="15" t="n">
        <f aca="false">G337*(1+IF(H$3&lt;=$O$2,$D337,$D337-($D337-$I$319)*MIN(H$3-$O$2,$Q$2)/$Q$2))</f>
        <v>14555.2621733096</v>
      </c>
      <c r="I337" s="15" t="n">
        <f aca="false">H337*(1+IF(I$3&lt;=$O$2,$D337,$D337-($D337-$I$319)*MIN(I$3-$O$2,$Q$2)/$Q$2))</f>
        <v>16821.0267283108</v>
      </c>
      <c r="J337" s="15" t="n">
        <f aca="false">I337*(1+IF(J$3&lt;=$O$2,$D337,$D337-($D337-$I$319)*MIN(J$3-$O$2,$Q$2)/$Q$2))</f>
        <v>18977.3659711162</v>
      </c>
      <c r="K337" s="15" t="n">
        <f aca="false">J337*(1+IF(K$3&lt;=$O$2,$D337,$D337-($D337-$I$319)*MIN(K$3-$O$2,$Q$2)/$Q$2))</f>
        <v>20888.7626810389</v>
      </c>
      <c r="L337" s="15" t="n">
        <f aca="false">K337*(1+IF(L$3&lt;=$O$2,$D337,$D337-($D337-$I$319)*MIN(L$3-$O$2,$Q$2)/$Q$2))</f>
        <v>22418.7922833217</v>
      </c>
      <c r="M337" s="15" t="n">
        <f aca="false">L337*(1+IF(M$3&lt;=$O$2,$D337,$D337-($D337-$I$319)*MIN(M$3-$O$2,$Q$2)/$Q$2))</f>
        <v>23444.9737214913</v>
      </c>
      <c r="N337" s="15" t="n">
        <f aca="false">M337*(1+IF(N$3&lt;=$O$2,$D337,$D337-($D337-$I$319)*MIN(N$3-$O$2,$Q$2)/$Q$2))</f>
        <v>23874.0167405946</v>
      </c>
      <c r="O337" s="15" t="n">
        <f aca="false">SUMPRODUCT(E337:N337,1/(1+$F$319)^$E$3:$N$3)*$E$2</f>
        <v>38283.9047407432</v>
      </c>
      <c r="P337" s="15" t="n">
        <f aca="false">N337*$E$2*(1+$I$319)/($F$319-$I$319)/(1+$F$319)^$N$3</f>
        <v>48211.0532245651</v>
      </c>
      <c r="Q337" s="15" t="n">
        <f aca="false">O337+P337</f>
        <v>86494.9579653082</v>
      </c>
      <c r="R337" s="15" t="n">
        <f aca="false">Q337-$G$2+$I$2</f>
        <v>80374.9579653082</v>
      </c>
      <c r="S337" s="42" t="n">
        <f aca="false">R337/$K$2</f>
        <v>464.112241398015</v>
      </c>
      <c r="T337" s="43" t="n">
        <f aca="false">S337-$M$2</f>
        <v>-0.0291144167442781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0.155666351318359</v>
      </c>
      <c r="C338" s="25" t="n">
        <f aca="false">IF(T337&gt;0,D337,C337)</f>
        <v>0.155677795410156</v>
      </c>
      <c r="D338" s="41" t="n">
        <f aca="false">(B338+C338)/2</f>
        <v>0.155672073364258</v>
      </c>
      <c r="E338" s="15" t="n">
        <f aca="false">$C$2*(1+IF(E$3&lt;=$O$2,$D338,$D338-($D338-$I$319)*MIN(E$3-$O$2,$Q$2)/$Q$2))</f>
        <v>9430.28411865234</v>
      </c>
      <c r="F338" s="15" t="n">
        <f aca="false">E338*(1+IF(F$3&lt;=$O$2,$D338,$D338-($D338-$I$319)*MIN(F$3-$O$2,$Q$2)/$Q$2))</f>
        <v>10898.315999817</v>
      </c>
      <c r="G338" s="15" t="n">
        <f aca="false">F338*(1+IF(G$3&lt;=$O$2,$D338,$D338-($D338-$I$319)*MIN(G$3-$O$2,$Q$2)/$Q$2))</f>
        <v>12594.8794476874</v>
      </c>
      <c r="H338" s="15" t="n">
        <f aca="false">G338*(1+IF(H$3&lt;=$O$2,$D338,$D338-($D338-$I$319)*MIN(H$3-$O$2,$Q$2)/$Q$2))</f>
        <v>14555.5504450817</v>
      </c>
      <c r="I338" s="15" t="n">
        <f aca="false">H338*(1+IF(I$3&lt;=$O$2,$D338,$D338-($D338-$I$319)*MIN(I$3-$O$2,$Q$2)/$Q$2))</f>
        <v>16821.4431618257</v>
      </c>
      <c r="J338" s="15" t="n">
        <f aca="false">I338*(1+IF(J$3&lt;=$O$2,$D338,$D338-($D338-$I$319)*MIN(J$3-$O$2,$Q$2)/$Q$2))</f>
        <v>18977.9127909823</v>
      </c>
      <c r="K338" s="15" t="n">
        <f aca="false">J338*(1+IF(K$3&lt;=$O$2,$D338,$D338-($D338-$I$319)*MIN(K$3-$O$2,$Q$2)/$Q$2))</f>
        <v>20889.4297319912</v>
      </c>
      <c r="L338" s="15" t="n">
        <f aca="false">K338*(1+IF(L$3&lt;=$O$2,$D338,$D338-($D338-$I$319)*MIN(L$3-$O$2,$Q$2)/$Q$2))</f>
        <v>22419.5560055589</v>
      </c>
      <c r="M338" s="15" t="n">
        <f aca="false">L338*(1+IF(M$3&lt;=$O$2,$D338,$D338-($D338-$I$319)*MIN(M$3-$O$2,$Q$2)/$Q$2))</f>
        <v>23445.7980589386</v>
      </c>
      <c r="N338" s="15" t="n">
        <f aca="false">M338*(1+IF(N$3&lt;=$O$2,$D338,$D338-($D338-$I$319)*MIN(N$3-$O$2,$Q$2)/$Q$2))</f>
        <v>23874.8561634172</v>
      </c>
      <c r="O338" s="15" t="n">
        <f aca="false">SUMPRODUCT(E338:N338,1/(1+$F$319)^$E$3:$N$3)*$E$2</f>
        <v>38284.8455381071</v>
      </c>
      <c r="P338" s="15" t="n">
        <f aca="false">N338*$E$2*(1+$I$319)/($F$319-$I$319)/(1+$F$319)^$N$3</f>
        <v>48212.7483502248</v>
      </c>
      <c r="Q338" s="15" t="n">
        <f aca="false">O338+P338</f>
        <v>86497.5938883319</v>
      </c>
      <c r="R338" s="15" t="n">
        <f aca="false">Q338-$G$2+$I$2</f>
        <v>80377.5938883319</v>
      </c>
      <c r="S338" s="42" t="n">
        <f aca="false">R338/$K$2</f>
        <v>464.127462110705</v>
      </c>
      <c r="T338" s="43" t="n">
        <f aca="false">S338-$M$2</f>
        <v>-0.0138937040543965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0.155672073364258</v>
      </c>
      <c r="C339" s="25" t="n">
        <f aca="false">IF(T338&gt;0,D338,C338)</f>
        <v>0.155677795410156</v>
      </c>
      <c r="D339" s="41" t="n">
        <f aca="false">(B339+C339)/2</f>
        <v>0.155674934387207</v>
      </c>
      <c r="E339" s="15" t="n">
        <f aca="false">$C$2*(1+IF(E$3&lt;=$O$2,$D339,$D339-($D339-$I$319)*MIN(E$3-$O$2,$Q$2)/$Q$2))</f>
        <v>9430.30746459961</v>
      </c>
      <c r="F339" s="15" t="n">
        <f aca="false">E339*(1+IF(F$3&lt;=$O$2,$D339,$D339-($D339-$I$319)*MIN(F$3-$O$2,$Q$2)/$Q$2))</f>
        <v>10898.3699604023</v>
      </c>
      <c r="G339" s="15" t="n">
        <f aca="false">F339*(1+IF(G$3&lt;=$O$2,$D339,$D339-($D339-$I$319)*MIN(G$3-$O$2,$Q$2)/$Q$2))</f>
        <v>12594.9729889155</v>
      </c>
      <c r="H339" s="15" t="n">
        <f aca="false">G339*(1+IF(H$3&lt;=$O$2,$D339,$D339-($D339-$I$319)*MIN(H$3-$O$2,$Q$2)/$Q$2))</f>
        <v>14555.6945825735</v>
      </c>
      <c r="I339" s="15" t="n">
        <f aca="false">H339*(1+IF(I$3&lt;=$O$2,$D339,$D339-($D339-$I$319)*MIN(I$3-$O$2,$Q$2)/$Q$2))</f>
        <v>16821.6513816759</v>
      </c>
      <c r="J339" s="15" t="n">
        <f aca="false">I339*(1+IF(J$3&lt;=$O$2,$D339,$D339-($D339-$I$319)*MIN(J$3-$O$2,$Q$2)/$Q$2))</f>
        <v>18978.1862058343</v>
      </c>
      <c r="K339" s="15" t="n">
        <f aca="false">J339*(1+IF(K$3&lt;=$O$2,$D339,$D339-($D339-$I$319)*MIN(K$3-$O$2,$Q$2)/$Q$2))</f>
        <v>20889.7632642899</v>
      </c>
      <c r="L339" s="15" t="n">
        <f aca="false">K339*(1+IF(L$3&lt;=$O$2,$D339,$D339-($D339-$I$319)*MIN(L$3-$O$2,$Q$2)/$Q$2))</f>
        <v>22419.9378751449</v>
      </c>
      <c r="M339" s="15" t="n">
        <f aca="false">L339*(1+IF(M$3&lt;=$O$2,$D339,$D339-($D339-$I$319)*MIN(M$3-$O$2,$Q$2)/$Q$2))</f>
        <v>23446.2102371727</v>
      </c>
      <c r="N339" s="15" t="n">
        <f aca="false">M339*(1+IF(N$3&lt;=$O$2,$D339,$D339-($D339-$I$319)*MIN(N$3-$O$2,$Q$2)/$Q$2))</f>
        <v>23875.2758845129</v>
      </c>
      <c r="O339" s="15" t="n">
        <f aca="false">SUMPRODUCT(E339:N339,1/(1+$F$319)^$E$3:$N$3)*$E$2</f>
        <v>38285.3159452936</v>
      </c>
      <c r="P339" s="15" t="n">
        <f aca="false">N339*$E$2*(1+$I$319)/($F$319-$I$319)/(1+$F$319)^$N$3</f>
        <v>48213.5959326114</v>
      </c>
      <c r="Q339" s="15" t="n">
        <f aca="false">O339+P339</f>
        <v>86498.911877905</v>
      </c>
      <c r="R339" s="15" t="n">
        <f aca="false">Q339-$G$2+$I$2</f>
        <v>80378.911877905</v>
      </c>
      <c r="S339" s="42" t="n">
        <f aca="false">R339/$K$2</f>
        <v>464.135072629085</v>
      </c>
      <c r="T339" s="43" t="n">
        <f aca="false">S339-$M$2</f>
        <v>-0.00628318567379438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0.155674934387207</v>
      </c>
      <c r="C340" s="25" t="n">
        <f aca="false">IF(T339&gt;0,D339,C339)</f>
        <v>0.155677795410156</v>
      </c>
      <c r="D340" s="41" t="n">
        <f aca="false">(B340+C340)/2</f>
        <v>0.155676364898682</v>
      </c>
      <c r="E340" s="15" t="n">
        <f aca="false">$C$2*(1+IF(E$3&lt;=$O$2,$D340,$D340-($D340-$I$319)*MIN(E$3-$O$2,$Q$2)/$Q$2))</f>
        <v>9430.31913757324</v>
      </c>
      <c r="F340" s="15" t="n">
        <f aca="false">E340*(1+IF(F$3&lt;=$O$2,$D340,$D340-($D340-$I$319)*MIN(F$3-$O$2,$Q$2)/$Q$2))</f>
        <v>10898.3969407451</v>
      </c>
      <c r="G340" s="15" t="n">
        <f aca="false">F340*(1+IF(G$3&lt;=$O$2,$D340,$D340-($D340-$I$319)*MIN(G$3-$O$2,$Q$2)/$Q$2))</f>
        <v>12595.0197597032</v>
      </c>
      <c r="H340" s="15" t="n">
        <f aca="false">G340*(1+IF(H$3&lt;=$O$2,$D340,$D340-($D340-$I$319)*MIN(H$3-$O$2,$Q$2)/$Q$2))</f>
        <v>14555.7666517209</v>
      </c>
      <c r="I340" s="15" t="n">
        <f aca="false">H340*(1+IF(I$3&lt;=$O$2,$D340,$D340-($D340-$I$319)*MIN(I$3-$O$2,$Q$2)/$Q$2))</f>
        <v>16821.7554923743</v>
      </c>
      <c r="J340" s="15" t="n">
        <f aca="false">I340*(1+IF(J$3&lt;=$O$2,$D340,$D340-($D340-$I$319)*MIN(J$3-$O$2,$Q$2)/$Q$2))</f>
        <v>18978.3229144902</v>
      </c>
      <c r="K340" s="15" t="n">
        <f aca="false">J340*(1+IF(K$3&lt;=$O$2,$D340,$D340-($D340-$I$319)*MIN(K$3-$O$2,$Q$2)/$Q$2))</f>
        <v>20889.9300321449</v>
      </c>
      <c r="L340" s="15" t="n">
        <f aca="false">K340*(1+IF(L$3&lt;=$O$2,$D340,$D340-($D340-$I$319)*MIN(L$3-$O$2,$Q$2)/$Q$2))</f>
        <v>22420.1288120547</v>
      </c>
      <c r="M340" s="15" t="n">
        <f aca="false">L340*(1+IF(M$3&lt;=$O$2,$D340,$D340-($D340-$I$319)*MIN(M$3-$O$2,$Q$2)/$Q$2))</f>
        <v>23446.4163286674</v>
      </c>
      <c r="N340" s="15" t="n">
        <f aca="false">M340*(1+IF(N$3&lt;=$O$2,$D340,$D340-($D340-$I$319)*MIN(N$3-$O$2,$Q$2)/$Q$2))</f>
        <v>23875.485747482</v>
      </c>
      <c r="O340" s="15" t="n">
        <f aca="false">SUMPRODUCT(E340:N340,1/(1+$F$319)^$E$3:$N$3)*$E$2</f>
        <v>38285.551151013</v>
      </c>
      <c r="P340" s="15" t="n">
        <f aca="false">N340*$E$2*(1+$I$319)/($F$319-$I$319)/(1+$F$319)^$N$3</f>
        <v>48214.0197286941</v>
      </c>
      <c r="Q340" s="15" t="n">
        <f aca="false">O340+P340</f>
        <v>86499.570879707</v>
      </c>
      <c r="R340" s="15" t="n">
        <f aca="false">Q340-$G$2+$I$2</f>
        <v>80379.570879707</v>
      </c>
      <c r="S340" s="42" t="n">
        <f aca="false">R340/$K$2</f>
        <v>464.138877928785</v>
      </c>
      <c r="T340" s="43" t="n">
        <f aca="false">S340-$M$2</f>
        <v>-0.00247788597397403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0.155676364898682</v>
      </c>
      <c r="C341" s="25" t="n">
        <f aca="false">IF(T340&gt;0,D340,C340)</f>
        <v>0.155677795410156</v>
      </c>
      <c r="D341" s="41" t="n">
        <f aca="false">(B341+C341)/2</f>
        <v>0.155677080154419</v>
      </c>
      <c r="E341" s="15" t="n">
        <f aca="false">$C$2*(1+IF(E$3&lt;=$O$2,$D341,$D341-($D341-$I$319)*MIN(E$3-$O$2,$Q$2)/$Q$2))</f>
        <v>9430.32497406006</v>
      </c>
      <c r="F341" s="15" t="n">
        <f aca="false">E341*(1+IF(F$3&lt;=$O$2,$D341,$D341-($D341-$I$319)*MIN(F$3-$O$2,$Q$2)/$Q$2))</f>
        <v>10898.410430929</v>
      </c>
      <c r="G341" s="15" t="n">
        <f aca="false">F341*(1+IF(G$3&lt;=$O$2,$D341,$D341-($D341-$I$319)*MIN(G$3-$O$2,$Q$2)/$Q$2))</f>
        <v>12595.0431451405</v>
      </c>
      <c r="H341" s="15" t="n">
        <f aca="false">G341*(1+IF(H$3&lt;=$O$2,$D341,$D341-($D341-$I$319)*MIN(H$3-$O$2,$Q$2)/$Q$2))</f>
        <v>14555.8026863949</v>
      </c>
      <c r="I341" s="15" t="n">
        <f aca="false">H341*(1+IF(I$3&lt;=$O$2,$D341,$D341-($D341-$I$319)*MIN(I$3-$O$2,$Q$2)/$Q$2))</f>
        <v>16821.8075479167</v>
      </c>
      <c r="J341" s="15" t="n">
        <f aca="false">I341*(1+IF(J$3&lt;=$O$2,$D341,$D341-($D341-$I$319)*MIN(J$3-$O$2,$Q$2)/$Q$2))</f>
        <v>18978.3912691255</v>
      </c>
      <c r="K341" s="15" t="n">
        <f aca="false">J341*(1+IF(K$3&lt;=$O$2,$D341,$D341-($D341-$I$319)*MIN(K$3-$O$2,$Q$2)/$Q$2))</f>
        <v>20890.0134164988</v>
      </c>
      <c r="L341" s="15" t="n">
        <f aca="false">K341*(1+IF(L$3&lt;=$O$2,$D341,$D341-($D341-$I$319)*MIN(L$3-$O$2,$Q$2)/$Q$2))</f>
        <v>22420.2242810389</v>
      </c>
      <c r="M341" s="15" t="n">
        <f aca="false">L341*(1+IF(M$3&lt;=$O$2,$D341,$D341-($D341-$I$319)*MIN(M$3-$O$2,$Q$2)/$Q$2))</f>
        <v>23446.5193750092</v>
      </c>
      <c r="N341" s="15" t="n">
        <f aca="false">M341*(1+IF(N$3&lt;=$O$2,$D341,$D341-($D341-$I$319)*MIN(N$3-$O$2,$Q$2)/$Q$2))</f>
        <v>23875.5906795718</v>
      </c>
      <c r="O341" s="15" t="n">
        <f aca="false">SUMPRODUCT(E341:N341,1/(1+$F$319)^$E$3:$N$3)*$E$2</f>
        <v>38285.6687544042</v>
      </c>
      <c r="P341" s="15" t="n">
        <f aca="false">N341*$E$2*(1+$I$319)/($F$319-$I$319)/(1+$F$319)^$N$3</f>
        <v>48214.2316279577</v>
      </c>
      <c r="Q341" s="15" t="n">
        <f aca="false">O341+P341</f>
        <v>86499.9003823619</v>
      </c>
      <c r="R341" s="15" t="n">
        <f aca="false">Q341-$G$2+$I$2</f>
        <v>80379.9003823619</v>
      </c>
      <c r="S341" s="42" t="n">
        <f aca="false">R341/$K$2</f>
        <v>464.140780588762</v>
      </c>
      <c r="T341" s="43" t="n">
        <f aca="false">S341-$M$2</f>
        <v>-0.000575225996783502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0.155677080154419</v>
      </c>
      <c r="C342" s="25" t="n">
        <f aca="false">IF(T341&gt;0,D341,C341)</f>
        <v>0.155677795410156</v>
      </c>
      <c r="D342" s="41" t="n">
        <f aca="false">(B342+C342)/2</f>
        <v>0.155677437782288</v>
      </c>
      <c r="E342" s="15" t="n">
        <f aca="false">$C$2*(1+IF(E$3&lt;=$O$2,$D342,$D342-($D342-$I$319)*MIN(E$3-$O$2,$Q$2)/$Q$2))</f>
        <v>9430.32789230347</v>
      </c>
      <c r="F342" s="15" t="n">
        <f aca="false">E342*(1+IF(F$3&lt;=$O$2,$D342,$D342-($D342-$I$319)*MIN(F$3-$O$2,$Q$2)/$Q$2))</f>
        <v>10898.4171760241</v>
      </c>
      <c r="G342" s="15" t="n">
        <f aca="false">F342*(1+IF(G$3&lt;=$O$2,$D342,$D342-($D342-$I$319)*MIN(G$3-$O$2,$Q$2)/$Q$2))</f>
        <v>12595.05483787</v>
      </c>
      <c r="H342" s="15" t="n">
        <f aca="false">G342*(1+IF(H$3&lt;=$O$2,$D342,$D342-($D342-$I$319)*MIN(H$3-$O$2,$Q$2)/$Q$2))</f>
        <v>14555.820703757</v>
      </c>
      <c r="I342" s="15" t="n">
        <f aca="false">H342*(1+IF(I$3&lt;=$O$2,$D342,$D342-($D342-$I$319)*MIN(I$3-$O$2,$Q$2)/$Q$2))</f>
        <v>16821.8335757363</v>
      </c>
      <c r="J342" s="15" t="n">
        <f aca="false">I342*(1+IF(J$3&lt;=$O$2,$D342,$D342-($D342-$I$319)*MIN(J$3-$O$2,$Q$2)/$Q$2))</f>
        <v>18978.42544652</v>
      </c>
      <c r="K342" s="15" t="n">
        <f aca="false">J342*(1+IF(K$3&lt;=$O$2,$D342,$D342-($D342-$I$319)*MIN(K$3-$O$2,$Q$2)/$Q$2))</f>
        <v>20890.0551087824</v>
      </c>
      <c r="L342" s="15" t="n">
        <f aca="false">K342*(1+IF(L$3&lt;=$O$2,$D342,$D342-($D342-$I$319)*MIN(L$3-$O$2,$Q$2)/$Q$2))</f>
        <v>22420.2720156633</v>
      </c>
      <c r="M342" s="15" t="n">
        <f aca="false">L342*(1+IF(M$3&lt;=$O$2,$D342,$D342-($D342-$I$319)*MIN(M$3-$O$2,$Q$2)/$Q$2))</f>
        <v>23446.5708983286</v>
      </c>
      <c r="N342" s="15" t="n">
        <f aca="false">M342*(1+IF(N$3&lt;=$O$2,$D342,$D342-($D342-$I$319)*MIN(N$3-$O$2,$Q$2)/$Q$2))</f>
        <v>23875.6431457681</v>
      </c>
      <c r="O342" s="15" t="n">
        <f aca="false">SUMPRODUCT(E342:N342,1/(1+$F$319)^$E$3:$N$3)*$E$2</f>
        <v>38285.7275562327</v>
      </c>
      <c r="P342" s="15" t="n">
        <f aca="false">N342*$E$2*(1+$I$319)/($F$319-$I$319)/(1+$F$319)^$N$3</f>
        <v>48214.3375778951</v>
      </c>
      <c r="Q342" s="15" t="n">
        <f aca="false">O342+P342</f>
        <v>86500.0651341278</v>
      </c>
      <c r="R342" s="15" t="n">
        <f aca="false">Q342-$G$2+$I$2</f>
        <v>80380.0651341278</v>
      </c>
      <c r="S342" s="42" t="n">
        <f aca="false">R342/$K$2</f>
        <v>464.141731921283</v>
      </c>
      <c r="T342" s="43" t="n">
        <f aca="false">S342-$M$2</f>
        <v>0.00037610652401554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0.155677080154419</v>
      </c>
      <c r="C343" s="25" t="n">
        <f aca="false">IF(T342&gt;0,D342,C342)</f>
        <v>0.155677437782288</v>
      </c>
      <c r="D343" s="41" t="n">
        <f aca="false">(B343+C343)/2</f>
        <v>0.155677258968353</v>
      </c>
      <c r="E343" s="15" t="n">
        <f aca="false">$C$2*(1+IF(E$3&lt;=$O$2,$D343,$D343-($D343-$I$319)*MIN(E$3-$O$2,$Q$2)/$Q$2))</f>
        <v>9430.32643318176</v>
      </c>
      <c r="F343" s="15" t="n">
        <f aca="false">E343*(1+IF(F$3&lt;=$O$2,$D343,$D343-($D343-$I$319)*MIN(F$3-$O$2,$Q$2)/$Q$2))</f>
        <v>10898.4138034763</v>
      </c>
      <c r="G343" s="15" t="n">
        <f aca="false">F343*(1+IF(G$3&lt;=$O$2,$D343,$D343-($D343-$I$319)*MIN(G$3-$O$2,$Q$2)/$Q$2))</f>
        <v>12595.0489915044</v>
      </c>
      <c r="H343" s="15" t="n">
        <f aca="false">G343*(1+IF(H$3&lt;=$O$2,$D343,$D343-($D343-$I$319)*MIN(H$3-$O$2,$Q$2)/$Q$2))</f>
        <v>14555.8116950739</v>
      </c>
      <c r="I343" s="15" t="n">
        <f aca="false">H343*(1+IF(I$3&lt;=$O$2,$D343,$D343-($D343-$I$319)*MIN(I$3-$O$2,$Q$2)/$Q$2))</f>
        <v>16821.8205618225</v>
      </c>
      <c r="J343" s="15" t="n">
        <f aca="false">I343*(1+IF(J$3&lt;=$O$2,$D343,$D343-($D343-$I$319)*MIN(J$3-$O$2,$Q$2)/$Q$2))</f>
        <v>18978.4083578164</v>
      </c>
      <c r="K343" s="15" t="n">
        <f aca="false">J343*(1+IF(K$3&lt;=$O$2,$D343,$D343-($D343-$I$319)*MIN(K$3-$O$2,$Q$2)/$Q$2))</f>
        <v>20890.0342626317</v>
      </c>
      <c r="L343" s="15" t="n">
        <f aca="false">K343*(1+IF(L$3&lt;=$O$2,$D343,$D343-($D343-$I$319)*MIN(L$3-$O$2,$Q$2)/$Q$2))</f>
        <v>22420.24814834</v>
      </c>
      <c r="M343" s="15" t="n">
        <f aca="false">L343*(1+IF(M$3&lt;=$O$2,$D343,$D343-($D343-$I$319)*MIN(M$3-$O$2,$Q$2)/$Q$2))</f>
        <v>23446.5451366565</v>
      </c>
      <c r="N343" s="15" t="n">
        <f aca="false">M343*(1+IF(N$3&lt;=$O$2,$D343,$D343-($D343-$I$319)*MIN(N$3-$O$2,$Q$2)/$Q$2))</f>
        <v>23875.6169126573</v>
      </c>
      <c r="O343" s="15" t="n">
        <f aca="false">SUMPRODUCT(E343:N343,1/(1+$F$319)^$E$3:$N$3)*$E$2</f>
        <v>38285.6981553074</v>
      </c>
      <c r="P343" s="15" t="n">
        <f aca="false">N343*$E$2*(1+$I$319)/($F$319-$I$319)/(1+$F$319)^$N$3</f>
        <v>48214.2846029009</v>
      </c>
      <c r="Q343" s="15" t="n">
        <f aca="false">O343+P343</f>
        <v>86499.9827582083</v>
      </c>
      <c r="R343" s="15" t="n">
        <f aca="false">Q343-$G$2+$I$2</f>
        <v>80379.9827582083</v>
      </c>
      <c r="S343" s="42" t="n">
        <f aca="false">R343/$K$2</f>
        <v>464.141256254812</v>
      </c>
      <c r="T343" s="43" t="n">
        <f aca="false">S343-$M$2</f>
        <v>-9.9559947329908E-005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0.155677258968353</v>
      </c>
      <c r="C344" s="25" t="n">
        <f aca="false">IF(T343&gt;0,D343,C343)</f>
        <v>0.155677437782288</v>
      </c>
      <c r="D344" s="41" t="n">
        <f aca="false">(B344+C344)/2</f>
        <v>0.15567734837532</v>
      </c>
      <c r="E344" s="15" t="n">
        <f aca="false">$C$2*(1+IF(E$3&lt;=$O$2,$D344,$D344-($D344-$I$319)*MIN(E$3-$O$2,$Q$2)/$Q$2))</f>
        <v>9430.32716274262</v>
      </c>
      <c r="F344" s="15" t="n">
        <f aca="false">E344*(1+IF(F$3&lt;=$O$2,$D344,$D344-($D344-$I$319)*MIN(F$3-$O$2,$Q$2)/$Q$2))</f>
        <v>10898.4154897501</v>
      </c>
      <c r="G344" s="15" t="n">
        <f aca="false">F344*(1+IF(G$3&lt;=$O$2,$D344,$D344-($D344-$I$319)*MIN(G$3-$O$2,$Q$2)/$Q$2))</f>
        <v>12595.051914687</v>
      </c>
      <c r="H344" s="15" t="n">
        <f aca="false">G344*(1+IF(H$3&lt;=$O$2,$D344,$D344-($D344-$I$319)*MIN(H$3-$O$2,$Q$2)/$Q$2))</f>
        <v>14555.8161994149</v>
      </c>
      <c r="I344" s="15" t="n">
        <f aca="false">H344*(1+IF(I$3&lt;=$O$2,$D344,$D344-($D344-$I$319)*MIN(I$3-$O$2,$Q$2)/$Q$2))</f>
        <v>16821.8270687784</v>
      </c>
      <c r="J344" s="15" t="n">
        <f aca="false">I344*(1+IF(J$3&lt;=$O$2,$D344,$D344-($D344-$I$319)*MIN(J$3-$O$2,$Q$2)/$Q$2))</f>
        <v>18978.4169021666</v>
      </c>
      <c r="K344" s="15" t="n">
        <f aca="false">J344*(1+IF(K$3&lt;=$O$2,$D344,$D344-($D344-$I$319)*MIN(K$3-$O$2,$Q$2)/$Q$2))</f>
        <v>20890.0446857049</v>
      </c>
      <c r="L344" s="15" t="n">
        <f aca="false">K344*(1+IF(L$3&lt;=$O$2,$D344,$D344-($D344-$I$319)*MIN(L$3-$O$2,$Q$2)/$Q$2))</f>
        <v>22420.2600819989</v>
      </c>
      <c r="M344" s="15" t="n">
        <f aca="false">L344*(1+IF(M$3&lt;=$O$2,$D344,$D344-($D344-$I$319)*MIN(M$3-$O$2,$Q$2)/$Q$2))</f>
        <v>23446.5580174895</v>
      </c>
      <c r="N344" s="15" t="n">
        <f aca="false">M344*(1+IF(N$3&lt;=$O$2,$D344,$D344-($D344-$I$319)*MIN(N$3-$O$2,$Q$2)/$Q$2))</f>
        <v>23875.6300292095</v>
      </c>
      <c r="O344" s="15" t="n">
        <f aca="false">SUMPRODUCT(E344:N344,1/(1+$F$319)^$E$3:$N$3)*$E$2</f>
        <v>38285.7128557673</v>
      </c>
      <c r="P344" s="15" t="n">
        <f aca="false">N344*$E$2*(1+$I$319)/($F$319-$I$319)/(1+$F$319)^$N$3</f>
        <v>48214.3110903916</v>
      </c>
      <c r="Q344" s="15" t="n">
        <f aca="false">O344+P344</f>
        <v>86500.0239461589</v>
      </c>
      <c r="R344" s="15" t="n">
        <f aca="false">Q344-$G$2+$I$2</f>
        <v>80380.0239461589</v>
      </c>
      <c r="S344" s="42" t="n">
        <f aca="false">R344/$K$2</f>
        <v>464.141494087995</v>
      </c>
      <c r="T344" s="43" t="n">
        <f aca="false">S344-$M$2</f>
        <v>0.000138273235393172</v>
      </c>
    </row>
    <row r="346" customFormat="false" ht="15" hidden="false" customHeight="false" outlineLevel="0" collapsed="false">
      <c r="A346" s="38" t="s">
        <v>193</v>
      </c>
      <c r="E346" s="5" t="s">
        <v>11</v>
      </c>
      <c r="F346" s="12" t="n">
        <f aca="false">Sensitivity!$B$12</f>
        <v>0.0953160519233867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162</v>
      </c>
      <c r="B347" s="28" t="s">
        <v>163</v>
      </c>
      <c r="C347" s="28" t="s">
        <v>164</v>
      </c>
      <c r="D347" s="28" t="s">
        <v>165</v>
      </c>
      <c r="E347" s="28" t="s">
        <v>166</v>
      </c>
      <c r="F347" s="28" t="s">
        <v>167</v>
      </c>
      <c r="G347" s="28" t="s">
        <v>168</v>
      </c>
      <c r="H347" s="28" t="s">
        <v>169</v>
      </c>
      <c r="I347" s="28" t="s">
        <v>170</v>
      </c>
      <c r="J347" s="28" t="s">
        <v>171</v>
      </c>
      <c r="K347" s="28" t="s">
        <v>172</v>
      </c>
      <c r="L347" s="28" t="s">
        <v>173</v>
      </c>
      <c r="M347" s="28" t="s">
        <v>174</v>
      </c>
      <c r="N347" s="28" t="s">
        <v>175</v>
      </c>
      <c r="O347" s="28" t="s">
        <v>176</v>
      </c>
      <c r="P347" s="28" t="s">
        <v>177</v>
      </c>
      <c r="Q347" s="28" t="s">
        <v>178</v>
      </c>
      <c r="R347" s="28" t="s">
        <v>179</v>
      </c>
      <c r="S347" s="28" t="s">
        <v>180</v>
      </c>
      <c r="T347" s="28" t="s">
        <v>181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10200</v>
      </c>
      <c r="F348" s="15" t="n">
        <f aca="false">E348*(1+IF(F$3&lt;=$O$2,$D348,$D348-($D348-$I$346)*MIN(F$3-$O$2,$Q$2)/$Q$2))</f>
        <v>12750</v>
      </c>
      <c r="G348" s="15" t="n">
        <f aca="false">F348*(1+IF(G$3&lt;=$O$2,$D348,$D348-($D348-$I$346)*MIN(G$3-$O$2,$Q$2)/$Q$2))</f>
        <v>15937.5</v>
      </c>
      <c r="H348" s="15" t="n">
        <f aca="false">G348*(1+IF(H$3&lt;=$O$2,$D348,$D348-($D348-$I$346)*MIN(H$3-$O$2,$Q$2)/$Q$2))</f>
        <v>19921.875</v>
      </c>
      <c r="I348" s="15" t="n">
        <f aca="false">H348*(1+IF(I$3&lt;=$O$2,$D348,$D348-($D348-$I$346)*MIN(I$3-$O$2,$Q$2)/$Q$2))</f>
        <v>24902.34375</v>
      </c>
      <c r="J348" s="15" t="n">
        <f aca="false">I348*(1+IF(J$3&lt;=$O$2,$D348,$D348-($D348-$I$346)*MIN(J$3-$O$2,$Q$2)/$Q$2))</f>
        <v>29998.857421875</v>
      </c>
      <c r="K348" s="15" t="n">
        <f aca="false">J348*(1+IF(K$3&lt;=$O$2,$D348,$D348-($D348-$I$346)*MIN(K$3-$O$2,$Q$2)/$Q$2))</f>
        <v>34778.2753863281</v>
      </c>
      <c r="L348" s="15" t="n">
        <f aca="false">K348*(1+IF(L$3&lt;=$O$2,$D348,$D348-($D348-$I$346)*MIN(L$3-$O$2,$Q$2)/$Q$2))</f>
        <v>38742.3032148618</v>
      </c>
      <c r="M348" s="15" t="n">
        <f aca="false">L348*(1+IF(M$3&lt;=$O$2,$D348,$D348-($D348-$I$346)*MIN(M$3-$O$2,$Q$2)/$Q$2))</f>
        <v>41401.5749075299</v>
      </c>
      <c r="N348" s="15" t="n">
        <f aca="false">M348*(1+IF(N$3&lt;=$O$2,$D348,$D348-($D348-$I$346)*MIN(N$3-$O$2,$Q$2)/$Q$2))</f>
        <v>42366.2316028754</v>
      </c>
      <c r="O348" s="15" t="n">
        <f aca="false">SUMPRODUCT(E348:N348,1/(1+$F$346)^$E$3:$N$3)*$E$2</f>
        <v>57493.1450030835</v>
      </c>
      <c r="P348" s="15" t="n">
        <f aca="false">N348*$E$2*(1+$I$346)/($F$346-$I$346)/(1+$F$346)^$N$3</f>
        <v>91943.3099930419</v>
      </c>
      <c r="Q348" s="15" t="n">
        <f aca="false">O348+P348</f>
        <v>149436.454996125</v>
      </c>
      <c r="R348" s="15" t="n">
        <f aca="false">Q348-$G$2+$I$2</f>
        <v>143316.454996125</v>
      </c>
      <c r="S348" s="42" t="n">
        <f aca="false">R348/$K$2</f>
        <v>827.557772237703</v>
      </c>
      <c r="T348" s="43" t="n">
        <f aca="false">S348-$M$2</f>
        <v>363.416416422944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7140</v>
      </c>
      <c r="F349" s="15" t="n">
        <f aca="false">E349*(1+IF(F$3&lt;=$O$2,$D349,$D349-($D349-$I$346)*MIN(F$3-$O$2,$Q$2)/$Q$2))</f>
        <v>6247.5</v>
      </c>
      <c r="G349" s="15" t="n">
        <f aca="false">F349*(1+IF(G$3&lt;=$O$2,$D349,$D349-($D349-$I$346)*MIN(G$3-$O$2,$Q$2)/$Q$2))</f>
        <v>5466.5625</v>
      </c>
      <c r="H349" s="15" t="n">
        <f aca="false">G349*(1+IF(H$3&lt;=$O$2,$D349,$D349-($D349-$I$346)*MIN(H$3-$O$2,$Q$2)/$Q$2))</f>
        <v>4783.2421875</v>
      </c>
      <c r="I349" s="15" t="n">
        <f aca="false">H349*(1+IF(I$3&lt;=$O$2,$D349,$D349-($D349-$I$346)*MIN(I$3-$O$2,$Q$2)/$Q$2))</f>
        <v>4185.3369140625</v>
      </c>
      <c r="J349" s="15" t="n">
        <f aca="false">I349*(1+IF(J$3&lt;=$O$2,$D349,$D349-($D349-$I$346)*MIN(J$3-$O$2,$Q$2)/$Q$2))</f>
        <v>3786.30689267578</v>
      </c>
      <c r="K349" s="15" t="n">
        <f aca="false">J349*(1+IF(K$3&lt;=$O$2,$D349,$D349-($D349-$I$346)*MIN(K$3-$O$2,$Q$2)/$Q$2))</f>
        <v>3537.62225596484</v>
      </c>
      <c r="L349" s="15" t="n">
        <f aca="false">K349*(1+IF(L$3&lt;=$O$2,$D349,$D349-($D349-$I$346)*MIN(L$3-$O$2,$Q$2)/$Q$2))</f>
        <v>3410.19710230498</v>
      </c>
      <c r="M349" s="15" t="n">
        <f aca="false">L349*(1+IF(M$3&lt;=$O$2,$D349,$D349-($D349-$I$346)*MIN(M$3-$O$2,$Q$2)/$Q$2))</f>
        <v>3388.50824873432</v>
      </c>
      <c r="N349" s="15" t="n">
        <f aca="false">M349*(1+IF(N$3&lt;=$O$2,$D349,$D349-($D349-$I$346)*MIN(N$3-$O$2,$Q$2)/$Q$2))</f>
        <v>3467.46049092983</v>
      </c>
      <c r="O349" s="15" t="n">
        <f aca="false">SUMPRODUCT(E349:N349,1/(1+$F$346)^$E$3:$N$3)*$E$2</f>
        <v>11563.2142674903</v>
      </c>
      <c r="P349" s="15" t="n">
        <f aca="false">N349*$E$2*(1+$I$346)/($F$346-$I$346)/(1+$F$346)^$N$3</f>
        <v>7525.09210152525</v>
      </c>
      <c r="Q349" s="15" t="n">
        <f aca="false">O349+P349</f>
        <v>19088.3063690155</v>
      </c>
      <c r="R349" s="15" t="n">
        <f aca="false">Q349-$G$2+$I$2</f>
        <v>12968.3063690155</v>
      </c>
      <c r="S349" s="42" t="n">
        <f aca="false">R349/$K$2</f>
        <v>74.8833951323221</v>
      </c>
      <c r="T349" s="43" t="n">
        <f aca="false">S349-$M$2</f>
        <v>-389.257960682437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8670</v>
      </c>
      <c r="F350" s="15" t="n">
        <f aca="false">E350*(1+IF(F$3&lt;=$O$2,$D350,$D350-($D350-$I$346)*MIN(F$3-$O$2,$Q$2)/$Q$2))</f>
        <v>9211.875</v>
      </c>
      <c r="G350" s="15" t="n">
        <f aca="false">F350*(1+IF(G$3&lt;=$O$2,$D350,$D350-($D350-$I$346)*MIN(G$3-$O$2,$Q$2)/$Q$2))</f>
        <v>9787.6171875</v>
      </c>
      <c r="H350" s="15" t="n">
        <f aca="false">G350*(1+IF(H$3&lt;=$O$2,$D350,$D350-($D350-$I$346)*MIN(H$3-$O$2,$Q$2)/$Q$2))</f>
        <v>10399.3432617188</v>
      </c>
      <c r="I350" s="15" t="n">
        <f aca="false">H350*(1+IF(I$3&lt;=$O$2,$D350,$D350-($D350-$I$346)*MIN(I$3-$O$2,$Q$2)/$Q$2))</f>
        <v>11049.3022155762</v>
      </c>
      <c r="J350" s="15" t="n">
        <f aca="false">I350*(1+IF(J$3&lt;=$O$2,$D350,$D350-($D350-$I$346)*MIN(J$3-$O$2,$Q$2)/$Q$2))</f>
        <v>11653.2570746796</v>
      </c>
      <c r="K350" s="15" t="n">
        <f aca="false">J350*(1+IF(K$3&lt;=$O$2,$D350,$D350-($D350-$I$346)*MIN(K$3-$O$2,$Q$2)/$Q$2))</f>
        <v>12198.8625709161</v>
      </c>
      <c r="L350" s="15" t="n">
        <f aca="false">K350*(1+IF(L$3&lt;=$O$2,$D350,$D350-($D350-$I$346)*MIN(L$3-$O$2,$Q$2)/$Q$2))</f>
        <v>12674.3742339304</v>
      </c>
      <c r="M350" s="15" t="n">
        <f aca="false">L350*(1+IF(M$3&lt;=$O$2,$D350,$D350-($D350-$I$346)*MIN(M$3-$O$2,$Q$2)/$Q$2))</f>
        <v>13069.054247575</v>
      </c>
      <c r="N350" s="15" t="n">
        <f aca="false">M350*(1+IF(N$3&lt;=$O$2,$D350,$D350-($D350-$I$346)*MIN(N$3-$O$2,$Q$2)/$Q$2))</f>
        <v>13373.5632115435</v>
      </c>
      <c r="O350" s="15" t="n">
        <f aca="false">SUMPRODUCT(E350:N350,1/(1+$F$346)^$E$3:$N$3)*$E$2</f>
        <v>25711.0902831666</v>
      </c>
      <c r="P350" s="15" t="n">
        <f aca="false">N350*$E$2*(1+$I$346)/($F$346-$I$346)/(1+$F$346)^$N$3</f>
        <v>29023.3429207574</v>
      </c>
      <c r="Q350" s="15" t="n">
        <f aca="false">O350+P350</f>
        <v>54734.433203924</v>
      </c>
      <c r="R350" s="15" t="n">
        <f aca="false">Q350-$G$2+$I$2</f>
        <v>48614.433203924</v>
      </c>
      <c r="S350" s="42" t="n">
        <f aca="false">R350/$K$2</f>
        <v>280.716209746645</v>
      </c>
      <c r="T350" s="43" t="n">
        <f aca="false">S350-$M$2</f>
        <v>-183.425146068114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9435</v>
      </c>
      <c r="F351" s="15" t="n">
        <f aca="false">E351*(1+IF(F$3&lt;=$O$2,$D351,$D351-($D351-$I$346)*MIN(F$3-$O$2,$Q$2)/$Q$2))</f>
        <v>10909.21875</v>
      </c>
      <c r="G351" s="15" t="n">
        <f aca="false">F351*(1+IF(G$3&lt;=$O$2,$D351,$D351-($D351-$I$346)*MIN(G$3-$O$2,$Q$2)/$Q$2))</f>
        <v>12613.7841796875</v>
      </c>
      <c r="H351" s="15" t="n">
        <f aca="false">G351*(1+IF(H$3&lt;=$O$2,$D351,$D351-($D351-$I$346)*MIN(H$3-$O$2,$Q$2)/$Q$2))</f>
        <v>14584.6879577637</v>
      </c>
      <c r="I351" s="15" t="n">
        <f aca="false">H351*(1+IF(I$3&lt;=$O$2,$D351,$D351-($D351-$I$346)*MIN(I$3-$O$2,$Q$2)/$Q$2))</f>
        <v>16863.5454511642</v>
      </c>
      <c r="J351" s="15" t="n">
        <f aca="false">I351*(1+IF(J$3&lt;=$O$2,$D351,$D351-($D351-$I$346)*MIN(J$3-$O$2,$Q$2)/$Q$2))</f>
        <v>19050.0727543622</v>
      </c>
      <c r="K351" s="15" t="n">
        <f aca="false">J351*(1+IF(K$3&lt;=$O$2,$D351,$D351-($D351-$I$346)*MIN(K$3-$O$2,$Q$2)/$Q$2))</f>
        <v>21013.5637531543</v>
      </c>
      <c r="L351" s="15" t="n">
        <f aca="false">K351*(1+IF(L$3&lt;=$O$2,$D351,$D351-($D351-$I$346)*MIN(L$3-$O$2,$Q$2)/$Q$2))</f>
        <v>22620.6811089956</v>
      </c>
      <c r="M351" s="15" t="n">
        <f aca="false">L351*(1+IF(M$3&lt;=$O$2,$D351,$D351-($D351-$I$346)*MIN(M$3-$O$2,$Q$2)/$Q$2))</f>
        <v>23749.2268895233</v>
      </c>
      <c r="N351" s="15" t="n">
        <f aca="false">M351*(1+IF(N$3&lt;=$O$2,$D351,$D351-($D351-$I$346)*MIN(N$3-$O$2,$Q$2)/$Q$2))</f>
        <v>24302.5838760492</v>
      </c>
      <c r="O351" s="15" t="n">
        <f aca="false">SUMPRODUCT(E351:N351,1/(1+$F$346)^$E$3:$N$3)*$E$2</f>
        <v>38506.9292082346</v>
      </c>
      <c r="P351" s="15" t="n">
        <f aca="false">N351*$E$2*(1+$I$346)/($F$346-$I$346)/(1+$F$346)^$N$3</f>
        <v>52741.5330183827</v>
      </c>
      <c r="Q351" s="15" t="n">
        <f aca="false">O351+P351</f>
        <v>91248.4622266172</v>
      </c>
      <c r="R351" s="15" t="n">
        <f aca="false">Q351-$G$2+$I$2</f>
        <v>85128.4622266172</v>
      </c>
      <c r="S351" s="42" t="n">
        <f aca="false">R351/$K$2</f>
        <v>491.560585671655</v>
      </c>
      <c r="T351" s="43" t="n">
        <f aca="false">S351-$M$2</f>
        <v>27.4192298568958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9052.5</v>
      </c>
      <c r="F352" s="15" t="n">
        <f aca="false">E352*(1+IF(F$3&lt;=$O$2,$D352,$D352-($D352-$I$346)*MIN(F$3-$O$2,$Q$2)/$Q$2))</f>
        <v>10042.6171875</v>
      </c>
      <c r="G352" s="15" t="n">
        <f aca="false">F352*(1+IF(G$3&lt;=$O$2,$D352,$D352-($D352-$I$346)*MIN(G$3-$O$2,$Q$2)/$Q$2))</f>
        <v>11141.0284423828</v>
      </c>
      <c r="H352" s="15" t="n">
        <f aca="false">G352*(1+IF(H$3&lt;=$O$2,$D352,$D352-($D352-$I$346)*MIN(H$3-$O$2,$Q$2)/$Q$2))</f>
        <v>12359.5784282684</v>
      </c>
      <c r="I352" s="15" t="n">
        <f aca="false">H352*(1+IF(I$3&lt;=$O$2,$D352,$D352-($D352-$I$346)*MIN(I$3-$O$2,$Q$2)/$Q$2))</f>
        <v>13711.4073188603</v>
      </c>
      <c r="J352" s="15" t="n">
        <f aca="false">I352*(1+IF(J$3&lt;=$O$2,$D352,$D352-($D352-$I$346)*MIN(J$3-$O$2,$Q$2)/$Q$2))</f>
        <v>14975.0506173665</v>
      </c>
      <c r="K352" s="15" t="n">
        <f aca="false">J352*(1+IF(K$3&lt;=$O$2,$D352,$D352-($D352-$I$346)*MIN(K$3-$O$2,$Q$2)/$Q$2))</f>
        <v>16097.355785885</v>
      </c>
      <c r="L352" s="15" t="n">
        <f aca="false">K352*(1+IF(L$3&lt;=$O$2,$D352,$D352-($D352-$I$346)*MIN(L$3-$O$2,$Q$2)/$Q$2))</f>
        <v>17026.6561354041</v>
      </c>
      <c r="M352" s="15" t="n">
        <f aca="false">L352*(1+IF(M$3&lt;=$O$2,$D352,$D352-($D352-$I$346)*MIN(M$3-$O$2,$Q$2)/$Q$2))</f>
        <v>17716.49110873</v>
      </c>
      <c r="N352" s="15" t="n">
        <f aca="false">M352*(1+IF(N$3&lt;=$O$2,$D352,$D352-($D352-$I$346)*MIN(N$3-$O$2,$Q$2)/$Q$2))</f>
        <v>18129.2853515634</v>
      </c>
      <c r="O352" s="15" t="n">
        <f aca="false">SUMPRODUCT(E352:N352,1/(1+$F$346)^$E$3:$N$3)*$E$2</f>
        <v>31469.3671967476</v>
      </c>
      <c r="P352" s="15" t="n">
        <f aca="false">N352*$E$2*(1+$I$346)/($F$346-$I$346)/(1+$F$346)^$N$3</f>
        <v>39344.2239247444</v>
      </c>
      <c r="Q352" s="15" t="n">
        <f aca="false">O352+P352</f>
        <v>70813.591121492</v>
      </c>
      <c r="R352" s="15" t="n">
        <f aca="false">Q352-$G$2+$I$2</f>
        <v>64693.591121492</v>
      </c>
      <c r="S352" s="42" t="n">
        <f aca="false">R352/$K$2</f>
        <v>373.562715795658</v>
      </c>
      <c r="T352" s="43" t="n">
        <f aca="false">S352-$M$2</f>
        <v>-90.5786400191013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0.109375</v>
      </c>
      <c r="C353" s="25" t="n">
        <f aca="false">IF(T352&gt;0,D352,C352)</f>
        <v>0.15625</v>
      </c>
      <c r="D353" s="41" t="n">
        <f aca="false">(B353+C353)/2</f>
        <v>0.1328125</v>
      </c>
      <c r="E353" s="15" t="n">
        <f aca="false">$C$2*(1+IF(E$3&lt;=$O$2,$D353,$D353-($D353-$I$346)*MIN(E$3-$O$2,$Q$2)/$Q$2))</f>
        <v>9243.75</v>
      </c>
      <c r="F353" s="15" t="n">
        <f aca="false">E353*(1+IF(F$3&lt;=$O$2,$D353,$D353-($D353-$I$346)*MIN(F$3-$O$2,$Q$2)/$Q$2))</f>
        <v>10471.435546875</v>
      </c>
      <c r="G353" s="15" t="n">
        <f aca="false">F353*(1+IF(G$3&lt;=$O$2,$D353,$D353-($D353-$I$346)*MIN(G$3-$O$2,$Q$2)/$Q$2))</f>
        <v>11862.1730804443</v>
      </c>
      <c r="H353" s="15" t="n">
        <f aca="false">G353*(1+IF(H$3&lt;=$O$2,$D353,$D353-($D353-$I$346)*MIN(H$3-$O$2,$Q$2)/$Q$2))</f>
        <v>13437.6179426909</v>
      </c>
      <c r="I353" s="15" t="n">
        <f aca="false">H353*(1+IF(I$3&lt;=$O$2,$D353,$D353-($D353-$I$346)*MIN(I$3-$O$2,$Q$2)/$Q$2))</f>
        <v>15222.3015757045</v>
      </c>
      <c r="J353" s="15" t="n">
        <f aca="false">I353*(1+IF(J$3&lt;=$O$2,$D353,$D353-($D353-$I$346)*MIN(J$3-$O$2,$Q$2)/$Q$2))</f>
        <v>16910.6070434659</v>
      </c>
      <c r="K353" s="15" t="n">
        <f aca="false">J353*(1+IF(K$3&lt;=$O$2,$D353,$D353-($D353-$I$346)*MIN(K$3-$O$2,$Q$2)/$Q$2))</f>
        <v>18415.7778998871</v>
      </c>
      <c r="L353" s="15" t="n">
        <f aca="false">K353*(1+IF(L$3&lt;=$O$2,$D353,$D353-($D353-$I$346)*MIN(L$3-$O$2,$Q$2)/$Q$2))</f>
        <v>19651.5686758591</v>
      </c>
      <c r="M353" s="15" t="n">
        <f aca="false">L353*(1+IF(M$3&lt;=$O$2,$D353,$D353-($D353-$I$346)*MIN(M$3-$O$2,$Q$2)/$Q$2))</f>
        <v>20539.8687089296</v>
      </c>
      <c r="N353" s="15" t="n">
        <f aca="false">M353*(1+IF(N$3&lt;=$O$2,$D353,$D353-($D353-$I$346)*MIN(N$3-$O$2,$Q$2)/$Q$2))</f>
        <v>21018.4476498477</v>
      </c>
      <c r="O353" s="15" t="n">
        <f aca="false">SUMPRODUCT(E353:N353,1/(1+$F$346)^$E$3:$N$3)*$E$2</f>
        <v>34813.1053365281</v>
      </c>
      <c r="P353" s="15" t="n">
        <f aca="false">N353*$E$2*(1+$I$346)/($F$346-$I$346)/(1+$F$346)^$N$3</f>
        <v>45614.2917301927</v>
      </c>
      <c r="Q353" s="15" t="n">
        <f aca="false">O353+P353</f>
        <v>80427.3970667208</v>
      </c>
      <c r="R353" s="15" t="n">
        <f aca="false">Q353-$G$2+$I$2</f>
        <v>74307.3970667208</v>
      </c>
      <c r="S353" s="42" t="n">
        <f aca="false">R353/$K$2</f>
        <v>429.07608884814</v>
      </c>
      <c r="T353" s="43" t="n">
        <f aca="false">S353-$M$2</f>
        <v>-35.0652669666197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0.1328125</v>
      </c>
      <c r="C354" s="25" t="n">
        <f aca="false">IF(T353&gt;0,D353,C353)</f>
        <v>0.15625</v>
      </c>
      <c r="D354" s="41" t="n">
        <f aca="false">(B354+C354)/2</f>
        <v>0.14453125</v>
      </c>
      <c r="E354" s="15" t="n">
        <f aca="false">$C$2*(1+IF(E$3&lt;=$O$2,$D354,$D354-($D354-$I$346)*MIN(E$3-$O$2,$Q$2)/$Q$2))</f>
        <v>9339.375</v>
      </c>
      <c r="F354" s="15" t="n">
        <f aca="false">E354*(1+IF(F$3&lt;=$O$2,$D354,$D354-($D354-$I$346)*MIN(F$3-$O$2,$Q$2)/$Q$2))</f>
        <v>10689.2065429688</v>
      </c>
      <c r="G354" s="15" t="n">
        <f aca="false">F354*(1+IF(G$3&lt;=$O$2,$D354,$D354-($D354-$I$346)*MIN(G$3-$O$2,$Q$2)/$Q$2))</f>
        <v>12234.1309261322</v>
      </c>
      <c r="H354" s="15" t="n">
        <f aca="false">G354*(1+IF(H$3&lt;=$O$2,$D354,$D354-($D354-$I$346)*MIN(H$3-$O$2,$Q$2)/$Q$2))</f>
        <v>14002.3451615497</v>
      </c>
      <c r="I354" s="15" t="n">
        <f aca="false">H354*(1+IF(I$3&lt;=$O$2,$D354,$D354-($D354-$I$346)*MIN(I$3-$O$2,$Q$2)/$Q$2))</f>
        <v>16026.12161068</v>
      </c>
      <c r="J354" s="15" t="n">
        <f aca="false">I354*(1+IF(J$3&lt;=$O$2,$D354,$D354-($D354-$I$346)*MIN(J$3-$O$2,$Q$2)/$Q$2))</f>
        <v>17953.8236486206</v>
      </c>
      <c r="K354" s="15" t="n">
        <f aca="false">J354*(1+IF(K$3&lt;=$O$2,$D354,$D354-($D354-$I$346)*MIN(K$3-$O$2,$Q$2)/$Q$2))</f>
        <v>19678.0864295546</v>
      </c>
      <c r="L354" s="15" t="n">
        <f aca="false">K354*(1+IF(L$3&lt;=$O$2,$D354,$D354-($D354-$I$346)*MIN(L$3-$O$2,$Q$2)/$Q$2))</f>
        <v>21090.8254495484</v>
      </c>
      <c r="M354" s="15" t="n">
        <f aca="false">L354*(1+IF(M$3&lt;=$O$2,$D354,$D354-($D354-$I$346)*MIN(M$3-$O$2,$Q$2)/$Q$2))</f>
        <v>22093.615109079</v>
      </c>
      <c r="N354" s="15" t="n">
        <f aca="false">M354*(1+IF(N$3&lt;=$O$2,$D354,$D354-($D354-$I$346)*MIN(N$3-$O$2,$Q$2)/$Q$2))</f>
        <v>22608.3963411205</v>
      </c>
      <c r="O354" s="15" t="n">
        <f aca="false">SUMPRODUCT(E354:N354,1/(1+$F$346)^$E$3:$N$3)*$E$2</f>
        <v>36614.2301636386</v>
      </c>
      <c r="P354" s="15" t="n">
        <f aca="false">N354*$E$2*(1+$I$346)/($F$346-$I$346)/(1+$F$346)^$N$3</f>
        <v>49064.8026645854</v>
      </c>
      <c r="Q354" s="15" t="n">
        <f aca="false">O354+P354</f>
        <v>85679.032828224</v>
      </c>
      <c r="R354" s="15" t="n">
        <f aca="false">Q354-$G$2+$I$2</f>
        <v>79559.032828224</v>
      </c>
      <c r="S354" s="42" t="n">
        <f aca="false">R354/$K$2</f>
        <v>459.400813189883</v>
      </c>
      <c r="T354" s="43" t="n">
        <f aca="false">S354-$M$2</f>
        <v>-4.74054262487601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0.14453125</v>
      </c>
      <c r="C355" s="25" t="n">
        <f aca="false">IF(T354&gt;0,D354,C354)</f>
        <v>0.15625</v>
      </c>
      <c r="D355" s="41" t="n">
        <f aca="false">(B355+C355)/2</f>
        <v>0.150390625</v>
      </c>
      <c r="E355" s="15" t="n">
        <f aca="false">$C$2*(1+IF(E$3&lt;=$O$2,$D355,$D355-($D355-$I$346)*MIN(E$3-$O$2,$Q$2)/$Q$2))</f>
        <v>9387.1875</v>
      </c>
      <c r="F355" s="15" t="n">
        <f aca="false">E355*(1+IF(F$3&lt;=$O$2,$D355,$D355-($D355-$I$346)*MIN(F$3-$O$2,$Q$2)/$Q$2))</f>
        <v>10798.9324951172</v>
      </c>
      <c r="G355" s="15" t="n">
        <f aca="false">F355*(1+IF(G$3&lt;=$O$2,$D355,$D355-($D355-$I$346)*MIN(G$3-$O$2,$Q$2)/$Q$2))</f>
        <v>12422.9907023907</v>
      </c>
      <c r="H355" s="15" t="n">
        <f aca="false">G355*(1+IF(H$3&lt;=$O$2,$D355,$D355-($D355-$I$346)*MIN(H$3-$O$2,$Q$2)/$Q$2))</f>
        <v>14291.2920384924</v>
      </c>
      <c r="I355" s="15" t="n">
        <f aca="false">H355*(1+IF(I$3&lt;=$O$2,$D355,$D355-($D355-$I$346)*MIN(I$3-$O$2,$Q$2)/$Q$2))</f>
        <v>16440.5683802188</v>
      </c>
      <c r="J355" s="15" t="n">
        <f aca="false">I355*(1+IF(J$3&lt;=$O$2,$D355,$D355-($D355-$I$346)*MIN(J$3-$O$2,$Q$2)/$Q$2))</f>
        <v>18495.1873121157</v>
      </c>
      <c r="K355" s="15" t="n">
        <f aca="false">J355*(1+IF(K$3&lt;=$O$2,$D355,$D355-($D355-$I$346)*MIN(K$3-$O$2,$Q$2)/$Q$2))</f>
        <v>20336.4641254813</v>
      </c>
      <c r="L355" s="15" t="n">
        <f aca="false">K355*(1+IF(L$3&lt;=$O$2,$D355,$D355-($D355-$I$346)*MIN(L$3-$O$2,$Q$2)/$Q$2))</f>
        <v>21844.133314004</v>
      </c>
      <c r="M355" s="15" t="n">
        <f aca="false">L355*(1+IF(M$3&lt;=$O$2,$D355,$D355-($D355-$I$346)*MIN(M$3-$O$2,$Q$2)/$Q$2))</f>
        <v>22908.3385313123</v>
      </c>
      <c r="N355" s="15" t="n">
        <f aca="false">M355*(1+IF(N$3&lt;=$O$2,$D355,$D355-($D355-$I$346)*MIN(N$3-$O$2,$Q$2)/$Q$2))</f>
        <v>23442.1028190919</v>
      </c>
      <c r="O355" s="15" t="n">
        <f aca="false">SUMPRODUCT(E355:N355,1/(1+$F$346)^$E$3:$N$3)*$E$2</f>
        <v>37548.8707598973</v>
      </c>
      <c r="P355" s="15" t="n">
        <f aca="false">N355*$E$2*(1+$I$346)/($F$346-$I$346)/(1+$F$346)^$N$3</f>
        <v>50874.1147097503</v>
      </c>
      <c r="Q355" s="15" t="n">
        <f aca="false">O355+P355</f>
        <v>88422.9854696475</v>
      </c>
      <c r="R355" s="15" t="n">
        <f aca="false">Q355-$G$2+$I$2</f>
        <v>82302.9854696475</v>
      </c>
      <c r="S355" s="42" t="n">
        <f aca="false">R355/$K$2</f>
        <v>475.245325497445</v>
      </c>
      <c r="T355" s="43" t="n">
        <f aca="false">S355-$M$2</f>
        <v>11.1039696826857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0.14453125</v>
      </c>
      <c r="C356" s="25" t="n">
        <f aca="false">IF(T355&gt;0,D355,C355)</f>
        <v>0.150390625</v>
      </c>
      <c r="D356" s="41" t="n">
        <f aca="false">(B356+C356)/2</f>
        <v>0.1474609375</v>
      </c>
      <c r="E356" s="15" t="n">
        <f aca="false">$C$2*(1+IF(E$3&lt;=$O$2,$D356,$D356-($D356-$I$346)*MIN(E$3-$O$2,$Q$2)/$Q$2))</f>
        <v>9363.28125</v>
      </c>
      <c r="F356" s="15" t="n">
        <f aca="false">E356*(1+IF(F$3&lt;=$O$2,$D356,$D356-($D356-$I$346)*MIN(F$3-$O$2,$Q$2)/$Q$2))</f>
        <v>10743.9994812012</v>
      </c>
      <c r="G356" s="15" t="n">
        <f aca="false">F356*(1+IF(G$3&lt;=$O$2,$D356,$D356-($D356-$I$346)*MIN(G$3-$O$2,$Q$2)/$Q$2))</f>
        <v>12328.3197171986</v>
      </c>
      <c r="H356" s="15" t="n">
        <f aca="false">G356*(1+IF(H$3&lt;=$O$2,$D356,$D356-($D356-$I$346)*MIN(H$3-$O$2,$Q$2)/$Q$2))</f>
        <v>14146.2653004965</v>
      </c>
      <c r="I356" s="15" t="n">
        <f aca="false">H356*(1+IF(I$3&lt;=$O$2,$D356,$D356-($D356-$I$346)*MIN(I$3-$O$2,$Q$2)/$Q$2))</f>
        <v>16232.2868438314</v>
      </c>
      <c r="J356" s="15" t="n">
        <f aca="false">I356*(1+IF(J$3&lt;=$O$2,$D356,$D356-($D356-$I$346)*MIN(J$3-$O$2,$Q$2)/$Q$2))</f>
        <v>18222.8318891319</v>
      </c>
      <c r="K356" s="15" t="n">
        <f aca="false">J356*(1+IF(K$3&lt;=$O$2,$D356,$D356-($D356-$I$346)*MIN(K$3-$O$2,$Q$2)/$Q$2))</f>
        <v>20004.9622069043</v>
      </c>
      <c r="L356" s="15" t="n">
        <f aca="false">K356*(1+IF(L$3&lt;=$O$2,$D356,$D356-($D356-$I$346)*MIN(L$3-$O$2,$Q$2)/$Q$2))</f>
        <v>21464.6117712297</v>
      </c>
      <c r="M356" s="15" t="n">
        <f aca="false">L356*(1+IF(M$3&lt;=$O$2,$D356,$D356-($D356-$I$346)*MIN(M$3-$O$2,$Q$2)/$Q$2))</f>
        <v>22497.7504896173</v>
      </c>
      <c r="N356" s="15" t="n">
        <f aca="false">M356*(1+IF(N$3&lt;=$O$2,$D356,$D356-($D356-$I$346)*MIN(N$3-$O$2,$Q$2)/$Q$2))</f>
        <v>23021.9480760254</v>
      </c>
      <c r="O356" s="15" t="n">
        <f aca="false">SUMPRODUCT(E356:N356,1/(1+$F$346)^$E$3:$N$3)*$E$2</f>
        <v>37078.6564023408</v>
      </c>
      <c r="P356" s="15" t="n">
        <f aca="false">N356*$E$2*(1+$I$346)/($F$346-$I$346)/(1+$F$346)^$N$3</f>
        <v>49962.2937541147</v>
      </c>
      <c r="Q356" s="15" t="n">
        <f aca="false">O356+P356</f>
        <v>87040.9501564555</v>
      </c>
      <c r="R356" s="15" t="n">
        <f aca="false">Q356-$G$2+$I$2</f>
        <v>80920.9501564555</v>
      </c>
      <c r="S356" s="42" t="n">
        <f aca="false">R356/$K$2</f>
        <v>467.264985312712</v>
      </c>
      <c r="T356" s="43" t="n">
        <f aca="false">S356-$M$2</f>
        <v>3.12362949795272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0.14453125</v>
      </c>
      <c r="C357" s="25" t="n">
        <f aca="false">IF(T356&gt;0,D356,C356)</f>
        <v>0.1474609375</v>
      </c>
      <c r="D357" s="41" t="n">
        <f aca="false">(B357+C357)/2</f>
        <v>0.14599609375</v>
      </c>
      <c r="E357" s="15" t="n">
        <f aca="false">$C$2*(1+IF(E$3&lt;=$O$2,$D357,$D357-($D357-$I$346)*MIN(E$3-$O$2,$Q$2)/$Q$2))</f>
        <v>9351.328125</v>
      </c>
      <c r="F357" s="15" t="n">
        <f aca="false">E357*(1+IF(F$3&lt;=$O$2,$D357,$D357-($D357-$I$346)*MIN(F$3-$O$2,$Q$2)/$Q$2))</f>
        <v>10716.5855026245</v>
      </c>
      <c r="G357" s="15" t="n">
        <f aca="false">F357*(1+IF(G$3&lt;=$O$2,$D357,$D357-($D357-$I$346)*MIN(G$3-$O$2,$Q$2)/$Q$2))</f>
        <v>12281.1651243456</v>
      </c>
      <c r="H357" s="15" t="n">
        <f aca="false">G357*(1+IF(H$3&lt;=$O$2,$D357,$D357-($D357-$I$346)*MIN(H$3-$O$2,$Q$2)/$Q$2))</f>
        <v>14074.1672591988</v>
      </c>
      <c r="I357" s="15" t="n">
        <f aca="false">H357*(1+IF(I$3&lt;=$O$2,$D357,$D357-($D357-$I$346)*MIN(I$3-$O$2,$Q$2)/$Q$2))</f>
        <v>16128.9407018259</v>
      </c>
      <c r="J357" s="15" t="n">
        <f aca="false">I357*(1+IF(J$3&lt;=$O$2,$D357,$D357-($D357-$I$346)*MIN(J$3-$O$2,$Q$2)/$Q$2))</f>
        <v>18087.91143653</v>
      </c>
      <c r="K357" s="15" t="n">
        <f aca="false">J357*(1+IF(K$3&lt;=$O$2,$D357,$D357-($D357-$I$346)*MIN(K$3-$O$2,$Q$2)/$Q$2))</f>
        <v>19840.9494194161</v>
      </c>
      <c r="L357" s="15" t="n">
        <f aca="false">K357*(1+IF(L$3&lt;=$O$2,$D357,$D357-($D357-$I$346)*MIN(L$3-$O$2,$Q$2)/$Q$2))</f>
        <v>21277.0063369099</v>
      </c>
      <c r="M357" s="15" t="n">
        <f aca="false">L357*(1+IF(M$3&lt;=$O$2,$D357,$D357-($D357-$I$346)*MIN(M$3-$O$2,$Q$2)/$Q$2))</f>
        <v>22294.8816974065</v>
      </c>
      <c r="N357" s="15" t="n">
        <f aca="false">M357*(1+IF(N$3&lt;=$O$2,$D357,$D357-($D357-$I$346)*MIN(N$3-$O$2,$Q$2)/$Q$2))</f>
        <v>22814.3524409561</v>
      </c>
      <c r="O357" s="15" t="n">
        <f aca="false">SUMPRODUCT(E357:N357,1/(1+$F$346)^$E$3:$N$3)*$E$2</f>
        <v>36845.7238790815</v>
      </c>
      <c r="P357" s="15" t="n">
        <f aca="false">N357*$E$2*(1+$I$346)/($F$346-$I$346)/(1+$F$346)^$N$3</f>
        <v>49511.7691474588</v>
      </c>
      <c r="Q357" s="15" t="n">
        <f aca="false">O357+P357</f>
        <v>86357.4930265403</v>
      </c>
      <c r="R357" s="15" t="n">
        <f aca="false">Q357-$G$2+$I$2</f>
        <v>80237.4930265403</v>
      </c>
      <c r="S357" s="42" t="n">
        <f aca="false">R357/$K$2</f>
        <v>463.318472263196</v>
      </c>
      <c r="T357" s="43" t="n">
        <f aca="false">S357-$M$2</f>
        <v>-0.822883551563393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0.14599609375</v>
      </c>
      <c r="C358" s="25" t="n">
        <f aca="false">IF(T357&gt;0,D357,C357)</f>
        <v>0.1474609375</v>
      </c>
      <c r="D358" s="41" t="n">
        <f aca="false">(B358+C358)/2</f>
        <v>0.146728515625</v>
      </c>
      <c r="E358" s="15" t="n">
        <f aca="false">$C$2*(1+IF(E$3&lt;=$O$2,$D358,$D358-($D358-$I$346)*MIN(E$3-$O$2,$Q$2)/$Q$2))</f>
        <v>9357.3046875</v>
      </c>
      <c r="F358" s="15" t="n">
        <f aca="false">E358*(1+IF(F$3&lt;=$O$2,$D358,$D358-($D358-$I$346)*MIN(F$3-$O$2,$Q$2)/$Q$2))</f>
        <v>10730.2881145477</v>
      </c>
      <c r="G358" s="15" t="n">
        <f aca="false">F358*(1+IF(G$3&lt;=$O$2,$D358,$D358-($D358-$I$346)*MIN(G$3-$O$2,$Q$2)/$Q$2))</f>
        <v>12304.7273618239</v>
      </c>
      <c r="H358" s="15" t="n">
        <f aca="false">G358*(1+IF(H$3&lt;=$O$2,$D358,$D358-($D358-$I$346)*MIN(H$3-$O$2,$Q$2)/$Q$2))</f>
        <v>14110.1817427946</v>
      </c>
      <c r="I358" s="15" t="n">
        <f aca="false">H358*(1+IF(I$3&lt;=$O$2,$D358,$D358-($D358-$I$346)*MIN(I$3-$O$2,$Q$2)/$Q$2))</f>
        <v>16180.5477651139</v>
      </c>
      <c r="J358" s="15" t="n">
        <f aca="false">I358*(1+IF(J$3&lt;=$O$2,$D358,$D358-($D358-$I$346)*MIN(J$3-$O$2,$Q$2)/$Q$2))</f>
        <v>18155.267322159</v>
      </c>
      <c r="K358" s="15" t="n">
        <f aca="false">J358*(1+IF(K$3&lt;=$O$2,$D358,$D358-($D358-$I$346)*MIN(K$3-$O$2,$Q$2)/$Q$2))</f>
        <v>19922.8116685748</v>
      </c>
      <c r="L358" s="15" t="n">
        <f aca="false">K358*(1+IF(L$3&lt;=$O$2,$D358,$D358-($D358-$I$346)*MIN(L$3-$O$2,$Q$2)/$Q$2))</f>
        <v>21370.630408984</v>
      </c>
      <c r="M358" s="15" t="n">
        <f aca="false">L358*(1+IF(M$3&lt;=$O$2,$D358,$D358-($D358-$I$346)*MIN(M$3-$O$2,$Q$2)/$Q$2))</f>
        <v>22396.1151353836</v>
      </c>
      <c r="N358" s="15" t="n">
        <f aca="false">M358*(1+IF(N$3&lt;=$O$2,$D358,$D358-($D358-$I$346)*MIN(N$3-$O$2,$Q$2)/$Q$2))</f>
        <v>22917.944618038</v>
      </c>
      <c r="O358" s="15" t="n">
        <f aca="false">SUMPRODUCT(E358:N358,1/(1+$F$346)^$E$3:$N$3)*$E$2</f>
        <v>36962.0097774447</v>
      </c>
      <c r="P358" s="15" t="n">
        <f aca="false">N358*$E$2*(1+$I$346)/($F$346-$I$346)/(1+$F$346)^$N$3</f>
        <v>49736.5851693222</v>
      </c>
      <c r="Q358" s="15" t="n">
        <f aca="false">O358+P358</f>
        <v>86698.5949467669</v>
      </c>
      <c r="R358" s="15" t="n">
        <f aca="false">Q358-$G$2+$I$2</f>
        <v>80578.5949467669</v>
      </c>
      <c r="S358" s="42" t="n">
        <f aca="false">R358/$K$2</f>
        <v>465.288110328946</v>
      </c>
      <c r="T358" s="43" t="n">
        <f aca="false">S358-$M$2</f>
        <v>1.1467545141868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0.14599609375</v>
      </c>
      <c r="C359" s="25" t="n">
        <f aca="false">IF(T358&gt;0,D358,C358)</f>
        <v>0.146728515625</v>
      </c>
      <c r="D359" s="41" t="n">
        <f aca="false">(B359+C359)/2</f>
        <v>0.1463623046875</v>
      </c>
      <c r="E359" s="15" t="n">
        <f aca="false">$C$2*(1+IF(E$3&lt;=$O$2,$D359,$D359-($D359-$I$346)*MIN(E$3-$O$2,$Q$2)/$Q$2))</f>
        <v>9354.31640625</v>
      </c>
      <c r="F359" s="15" t="n">
        <f aca="false">E359*(1+IF(F$3&lt;=$O$2,$D359,$D359-($D359-$I$346)*MIN(F$3-$O$2,$Q$2)/$Q$2))</f>
        <v>10723.4357142448</v>
      </c>
      <c r="G359" s="15" t="n">
        <f aca="false">F359*(1+IF(G$3&lt;=$O$2,$D359,$D359-($D359-$I$346)*MIN(G$3-$O$2,$Q$2)/$Q$2))</f>
        <v>12292.94247955</v>
      </c>
      <c r="H359" s="15" t="n">
        <f aca="false">G359*(1+IF(H$3&lt;=$O$2,$D359,$D359-($D359-$I$346)*MIN(H$3-$O$2,$Q$2)/$Q$2))</f>
        <v>14092.1658722478</v>
      </c>
      <c r="I359" s="15" t="n">
        <f aca="false">H359*(1+IF(I$3&lt;=$O$2,$D359,$D359-($D359-$I$346)*MIN(I$3-$O$2,$Q$2)/$Q$2))</f>
        <v>16154.7277473485</v>
      </c>
      <c r="J359" s="15" t="n">
        <f aca="false">I359*(1+IF(J$3&lt;=$O$2,$D359,$D359-($D359-$I$346)*MIN(J$3-$O$2,$Q$2)/$Q$2))</f>
        <v>18121.563326412</v>
      </c>
      <c r="K359" s="15" t="n">
        <f aca="false">J359*(1+IF(K$3&lt;=$O$2,$D359,$D359-($D359-$I$346)*MIN(K$3-$O$2,$Q$2)/$Q$2))</f>
        <v>19881.8445604106</v>
      </c>
      <c r="L359" s="15" t="n">
        <f aca="false">K359*(1+IF(L$3&lt;=$O$2,$D359,$D359-($D359-$I$346)*MIN(L$3-$O$2,$Q$2)/$Q$2))</f>
        <v>21323.7737838853</v>
      </c>
      <c r="M359" s="15" t="n">
        <f aca="false">L359*(1+IF(M$3&lt;=$O$2,$D359,$D359-($D359-$I$346)*MIN(M$3-$O$2,$Q$2)/$Q$2))</f>
        <v>22345.4482623458</v>
      </c>
      <c r="N359" s="15" t="n">
        <f aca="false">M359*(1+IF(N$3&lt;=$O$2,$D359,$D359-($D359-$I$346)*MIN(N$3-$O$2,$Q$2)/$Q$2))</f>
        <v>22866.0972068584</v>
      </c>
      <c r="O359" s="15" t="n">
        <f aca="false">SUMPRODUCT(E359:N359,1/(1+$F$346)^$E$3:$N$3)*$E$2</f>
        <v>36903.8218015811</v>
      </c>
      <c r="P359" s="15" t="n">
        <f aca="false">N359*$E$2*(1+$I$346)/($F$346-$I$346)/(1+$F$346)^$N$3</f>
        <v>49624.0657778618</v>
      </c>
      <c r="Q359" s="15" t="n">
        <f aca="false">O359+P359</f>
        <v>86527.8875794429</v>
      </c>
      <c r="R359" s="15" t="n">
        <f aca="false">Q359-$G$2+$I$2</f>
        <v>80407.8875794429</v>
      </c>
      <c r="S359" s="42" t="n">
        <f aca="false">R359/$K$2</f>
        <v>464.30238814784</v>
      </c>
      <c r="T359" s="43" t="n">
        <f aca="false">S359-$M$2</f>
        <v>0.161032333080641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0.14599609375</v>
      </c>
      <c r="C360" s="25" t="n">
        <f aca="false">IF(T359&gt;0,D359,C359)</f>
        <v>0.1463623046875</v>
      </c>
      <c r="D360" s="41" t="n">
        <f aca="false">(B360+C360)/2</f>
        <v>0.14617919921875</v>
      </c>
      <c r="E360" s="15" t="n">
        <f aca="false">$C$2*(1+IF(E$3&lt;=$O$2,$D360,$D360-($D360-$I$346)*MIN(E$3-$O$2,$Q$2)/$Q$2))</f>
        <v>9352.822265625</v>
      </c>
      <c r="F360" s="15" t="n">
        <f aca="false">E360*(1+IF(F$3&lt;=$O$2,$D360,$D360-($D360-$I$346)*MIN(F$3-$O$2,$Q$2)/$Q$2))</f>
        <v>10720.0103348494</v>
      </c>
      <c r="G360" s="15" t="n">
        <f aca="false">F360*(1+IF(G$3&lt;=$O$2,$D360,$D360-($D360-$I$346)*MIN(G$3-$O$2,$Q$2)/$Q$2))</f>
        <v>12287.0528612144</v>
      </c>
      <c r="H360" s="15" t="n">
        <f aca="false">G360*(1+IF(H$3&lt;=$O$2,$D360,$D360-($D360-$I$346)*MIN(H$3-$O$2,$Q$2)/$Q$2))</f>
        <v>14083.1644092251</v>
      </c>
      <c r="I360" s="15" t="n">
        <f aca="false">H360*(1+IF(I$3&lt;=$O$2,$D360,$D360-($D360-$I$346)*MIN(I$3-$O$2,$Q$2)/$Q$2))</f>
        <v>16141.8301050317</v>
      </c>
      <c r="J360" s="15" t="n">
        <f aca="false">I360*(1+IF(J$3&lt;=$O$2,$D360,$D360-($D360-$I$346)*MIN(J$3-$O$2,$Q$2)/$Q$2))</f>
        <v>18104.730872264</v>
      </c>
      <c r="K360" s="15" t="n">
        <f aca="false">J360*(1+IF(K$3&lt;=$O$2,$D360,$D360-($D360-$I$346)*MIN(K$3-$O$2,$Q$2)/$Q$2))</f>
        <v>19861.3880005806</v>
      </c>
      <c r="L360" s="15" t="n">
        <f aca="false">K360*(1+IF(L$3&lt;=$O$2,$D360,$D360-($D360-$I$346)*MIN(L$3-$O$2,$Q$2)/$Q$2))</f>
        <v>21300.3789221479</v>
      </c>
      <c r="M360" s="15" t="n">
        <f aca="false">L360*(1+IF(M$3&lt;=$O$2,$D360,$D360-($D360-$I$346)*MIN(M$3-$O$2,$Q$2)/$Q$2))</f>
        <v>22320.1524520358</v>
      </c>
      <c r="N360" s="15" t="n">
        <f aca="false">M360*(1+IF(N$3&lt;=$O$2,$D360,$D360-($D360-$I$346)*MIN(N$3-$O$2,$Q$2)/$Q$2))</f>
        <v>22840.2120041682</v>
      </c>
      <c r="O360" s="15" t="n">
        <f aca="false">SUMPRODUCT(E360:N360,1/(1+$F$346)^$E$3:$N$3)*$E$2</f>
        <v>36874.761591669</v>
      </c>
      <c r="P360" s="15" t="n">
        <f aca="false">N360*$E$2*(1+$I$346)/($F$346-$I$346)/(1+$F$346)^$N$3</f>
        <v>49567.8896412281</v>
      </c>
      <c r="Q360" s="15" t="n">
        <f aca="false">O360+P360</f>
        <v>86442.6512328971</v>
      </c>
      <c r="R360" s="15" t="n">
        <f aca="false">Q360-$G$2+$I$2</f>
        <v>80322.6512328971</v>
      </c>
      <c r="S360" s="42" t="n">
        <f aca="false">R360/$K$2</f>
        <v>463.810204601554</v>
      </c>
      <c r="T360" s="43" t="n">
        <f aca="false">S360-$M$2</f>
        <v>-0.331151213205203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0.14617919921875</v>
      </c>
      <c r="C361" s="25" t="n">
        <f aca="false">IF(T360&gt;0,D360,C360)</f>
        <v>0.1463623046875</v>
      </c>
      <c r="D361" s="41" t="n">
        <f aca="false">(B361+C361)/2</f>
        <v>0.146270751953125</v>
      </c>
      <c r="E361" s="15" t="n">
        <f aca="false">$C$2*(1+IF(E$3&lt;=$O$2,$D361,$D361-($D361-$I$346)*MIN(E$3-$O$2,$Q$2)/$Q$2))</f>
        <v>9353.5693359375</v>
      </c>
      <c r="F361" s="15" t="n">
        <f aca="false">E361*(1+IF(F$3&lt;=$O$2,$D361,$D361-($D361-$I$346)*MIN(F$3-$O$2,$Q$2)/$Q$2))</f>
        <v>10721.7229561508</v>
      </c>
      <c r="G361" s="15" t="n">
        <f aca="false">F361*(1+IF(G$3&lt;=$O$2,$D361,$D361-($D361-$I$346)*MIN(G$3-$O$2,$Q$2)/$Q$2))</f>
        <v>12289.99743518</v>
      </c>
      <c r="H361" s="15" t="n">
        <f aca="false">G361*(1+IF(H$3&lt;=$O$2,$D361,$D361-($D361-$I$346)*MIN(H$3-$O$2,$Q$2)/$Q$2))</f>
        <v>14087.6646015258</v>
      </c>
      <c r="I361" s="15" t="n">
        <f aca="false">H361*(1+IF(I$3&lt;=$O$2,$D361,$D361-($D361-$I$346)*MIN(I$3-$O$2,$Q$2)/$Q$2))</f>
        <v>16148.2778960544</v>
      </c>
      <c r="J361" s="15" t="n">
        <f aca="false">I361*(1+IF(J$3&lt;=$O$2,$D361,$D361-($D361-$I$346)*MIN(J$3-$O$2,$Q$2)/$Q$2))</f>
        <v>18113.1454715331</v>
      </c>
      <c r="K361" s="15" t="n">
        <f aca="false">J361*(1+IF(K$3&lt;=$O$2,$D361,$D361-($D361-$I$346)*MIN(K$3-$O$2,$Q$2)/$Q$2))</f>
        <v>19871.6140323423</v>
      </c>
      <c r="L361" s="15" t="n">
        <f aca="false">K361*(1+IF(L$3&lt;=$O$2,$D361,$D361-($D361-$I$346)*MIN(L$3-$O$2,$Q$2)/$Q$2))</f>
        <v>21312.0735673276</v>
      </c>
      <c r="M361" s="15" t="n">
        <f aca="false">L361*(1+IF(M$3&lt;=$O$2,$D361,$D361-($D361-$I$346)*MIN(M$3-$O$2,$Q$2)/$Q$2))</f>
        <v>22332.7972238973</v>
      </c>
      <c r="N361" s="15" t="n">
        <f aca="false">M361*(1+IF(N$3&lt;=$O$2,$D361,$D361-($D361-$I$346)*MIN(N$3-$O$2,$Q$2)/$Q$2))</f>
        <v>22853.1513992141</v>
      </c>
      <c r="O361" s="15" t="n">
        <f aca="false">SUMPRODUCT(E361:N361,1/(1+$F$346)^$E$3:$N$3)*$E$2</f>
        <v>36889.2888834589</v>
      </c>
      <c r="P361" s="15" t="n">
        <f aca="false">N361*$E$2*(1+$I$346)/($F$346-$I$346)/(1+$F$346)^$N$3</f>
        <v>49595.9707512257</v>
      </c>
      <c r="Q361" s="15" t="n">
        <f aca="false">O361+P361</f>
        <v>86485.2596346846</v>
      </c>
      <c r="R361" s="15" t="n">
        <f aca="false">Q361-$G$2+$I$2</f>
        <v>80365.2596346846</v>
      </c>
      <c r="S361" s="42" t="n">
        <f aca="false">R361/$K$2</f>
        <v>464.056239950829</v>
      </c>
      <c r="T361" s="43" t="n">
        <f aca="false">S361-$M$2</f>
        <v>-0.0851158639300707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0.146270751953125</v>
      </c>
      <c r="C362" s="25" t="n">
        <f aca="false">IF(T361&gt;0,D361,C361)</f>
        <v>0.1463623046875</v>
      </c>
      <c r="D362" s="41" t="n">
        <f aca="false">(B362+C362)/2</f>
        <v>0.146316528320313</v>
      </c>
      <c r="E362" s="15" t="n">
        <f aca="false">$C$2*(1+IF(E$3&lt;=$O$2,$D362,$D362-($D362-$I$346)*MIN(E$3-$O$2,$Q$2)/$Q$2))</f>
        <v>9353.94287109375</v>
      </c>
      <c r="F362" s="15" t="n">
        <f aca="false">E362*(1+IF(F$3&lt;=$O$2,$D362,$D362-($D362-$I$346)*MIN(F$3-$O$2,$Q$2)/$Q$2))</f>
        <v>10722.5793180987</v>
      </c>
      <c r="G362" s="15" t="n">
        <f aca="false">F362*(1+IF(G$3&lt;=$O$2,$D362,$D362-($D362-$I$346)*MIN(G$3-$O$2,$Q$2)/$Q$2))</f>
        <v>12291.4698985621</v>
      </c>
      <c r="H362" s="15" t="n">
        <f aca="false">G362*(1+IF(H$3&lt;=$O$2,$D362,$D362-($D362-$I$346)*MIN(H$3-$O$2,$Q$2)/$Q$2))</f>
        <v>14089.9151020733</v>
      </c>
      <c r="I362" s="15" t="n">
        <f aca="false">H362*(1+IF(I$3&lt;=$O$2,$D362,$D362-($D362-$I$346)*MIN(I$3-$O$2,$Q$2)/$Q$2))</f>
        <v>16151.5025641367</v>
      </c>
      <c r="J362" s="15" t="n">
        <f aca="false">I362*(1+IF(J$3&lt;=$O$2,$D362,$D362-($D362-$I$346)*MIN(J$3-$O$2,$Q$2)/$Q$2))</f>
        <v>18117.3539919584</v>
      </c>
      <c r="K362" s="15" t="n">
        <f aca="false">J362*(1+IF(K$3&lt;=$O$2,$D362,$D362-($D362-$I$346)*MIN(K$3-$O$2,$Q$2)/$Q$2))</f>
        <v>19876.7287342356</v>
      </c>
      <c r="L362" s="15" t="n">
        <f aca="false">K362*(1+IF(L$3&lt;=$O$2,$D362,$D362-($D362-$I$346)*MIN(L$3-$O$2,$Q$2)/$Q$2))</f>
        <v>21317.9229790434</v>
      </c>
      <c r="M362" s="15" t="n">
        <f aca="false">L362*(1+IF(M$3&lt;=$O$2,$D362,$D362-($D362-$I$346)*MIN(M$3-$O$2,$Q$2)/$Q$2))</f>
        <v>22339.1219596314</v>
      </c>
      <c r="N362" s="15" t="n">
        <f aca="false">M362*(1+IF(N$3&lt;=$O$2,$D362,$D362-($D362-$I$346)*MIN(N$3-$O$2,$Q$2)/$Q$2))</f>
        <v>22859.6235012908</v>
      </c>
      <c r="O362" s="15" t="n">
        <f aca="false">SUMPRODUCT(E362:N362,1/(1+$F$346)^$E$3:$N$3)*$E$2</f>
        <v>36896.5546391033</v>
      </c>
      <c r="P362" s="15" t="n">
        <f aca="false">N362*$E$2*(1+$I$346)/($F$346-$I$346)/(1+$F$346)^$N$3</f>
        <v>49610.0165245937</v>
      </c>
      <c r="Q362" s="15" t="n">
        <f aca="false">O362+P362</f>
        <v>86506.571163697</v>
      </c>
      <c r="R362" s="15" t="n">
        <f aca="false">Q362-$G$2+$I$2</f>
        <v>80386.571163697</v>
      </c>
      <c r="S362" s="42" t="n">
        <f aca="false">R362/$K$2</f>
        <v>464.179299940507</v>
      </c>
      <c r="T362" s="43" t="n">
        <f aca="false">S362-$M$2</f>
        <v>0.037944125747913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0.146270751953125</v>
      </c>
      <c r="C363" s="25" t="n">
        <f aca="false">IF(T362&gt;0,D362,C362)</f>
        <v>0.146316528320313</v>
      </c>
      <c r="D363" s="41" t="n">
        <f aca="false">(B363+C363)/2</f>
        <v>0.146293640136719</v>
      </c>
      <c r="E363" s="15" t="n">
        <f aca="false">$C$2*(1+IF(E$3&lt;=$O$2,$D363,$D363-($D363-$I$346)*MIN(E$3-$O$2,$Q$2)/$Q$2))</f>
        <v>9353.75610351563</v>
      </c>
      <c r="F363" s="15" t="n">
        <f aca="false">E363*(1+IF(F$3&lt;=$O$2,$D363,$D363-($D363-$I$346)*MIN(F$3-$O$2,$Q$2)/$Q$2))</f>
        <v>10722.15113285</v>
      </c>
      <c r="G363" s="15" t="n">
        <f aca="false">F363*(1+IF(G$3&lt;=$O$2,$D363,$D363-($D363-$I$346)*MIN(G$3-$O$2,$Q$2)/$Q$2))</f>
        <v>12290.7336521706</v>
      </c>
      <c r="H363" s="15" t="n">
        <f aca="false">G363*(1+IF(H$3&lt;=$O$2,$D363,$D363-($D363-$I$346)*MIN(H$3-$O$2,$Q$2)/$Q$2))</f>
        <v>14088.7898180976</v>
      </c>
      <c r="I363" s="15" t="n">
        <f aca="false">H363*(1+IF(I$3&lt;=$O$2,$D363,$D363-($D363-$I$346)*MIN(I$3-$O$2,$Q$2)/$Q$2))</f>
        <v>16149.8901657082</v>
      </c>
      <c r="J363" s="15" t="n">
        <f aca="false">I363*(1+IF(J$3&lt;=$O$2,$D363,$D363-($D363-$I$346)*MIN(J$3-$O$2,$Q$2)/$Q$2))</f>
        <v>18115.2496300001</v>
      </c>
      <c r="K363" s="15" t="n">
        <f aca="false">J363*(1+IF(K$3&lt;=$O$2,$D363,$D363-($D363-$I$346)*MIN(K$3-$O$2,$Q$2)/$Q$2))</f>
        <v>19874.1712427665</v>
      </c>
      <c r="L363" s="15" t="n">
        <f aca="false">K363*(1+IF(L$3&lt;=$O$2,$D363,$D363-($D363-$I$346)*MIN(L$3-$O$2,$Q$2)/$Q$2))</f>
        <v>21314.9980990623</v>
      </c>
      <c r="M363" s="15" t="n">
        <f aca="false">L363*(1+IF(M$3&lt;=$O$2,$D363,$D363-($D363-$I$346)*MIN(M$3-$O$2,$Q$2)/$Q$2))</f>
        <v>22335.9593959127</v>
      </c>
      <c r="N363" s="15" t="n">
        <f aca="false">M363*(1+IF(N$3&lt;=$O$2,$D363,$D363-($D363-$I$346)*MIN(N$3-$O$2,$Q$2)/$Q$2))</f>
        <v>22856.3872498374</v>
      </c>
      <c r="O363" s="15" t="n">
        <f aca="false">SUMPRODUCT(E363:N363,1/(1+$F$346)^$E$3:$N$3)*$E$2</f>
        <v>36892.9215854426</v>
      </c>
      <c r="P363" s="15" t="n">
        <f aca="false">N363*$E$2*(1+$I$346)/($F$346-$I$346)/(1+$F$346)^$N$3</f>
        <v>49602.9932029685</v>
      </c>
      <c r="Q363" s="15" t="n">
        <f aca="false">O363+P363</f>
        <v>86495.9147884111</v>
      </c>
      <c r="R363" s="15" t="n">
        <f aca="false">Q363-$G$2+$I$2</f>
        <v>80375.9147884111</v>
      </c>
      <c r="S363" s="42" t="n">
        <f aca="false">R363/$K$2</f>
        <v>464.117766418819</v>
      </c>
      <c r="T363" s="43" t="n">
        <f aca="false">S363-$M$2</f>
        <v>-0.0235893959403484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0.146293640136719</v>
      </c>
      <c r="C364" s="25" t="n">
        <f aca="false">IF(T363&gt;0,D363,C363)</f>
        <v>0.146316528320313</v>
      </c>
      <c r="D364" s="41" t="n">
        <f aca="false">(B364+C364)/2</f>
        <v>0.146305084228516</v>
      </c>
      <c r="E364" s="15" t="n">
        <f aca="false">$C$2*(1+IF(E$3&lt;=$O$2,$D364,$D364-($D364-$I$346)*MIN(E$3-$O$2,$Q$2)/$Q$2))</f>
        <v>9353.84948730469</v>
      </c>
      <c r="F364" s="15" t="n">
        <f aca="false">E364*(1+IF(F$3&lt;=$O$2,$D364,$D364-($D364-$I$346)*MIN(F$3-$O$2,$Q$2)/$Q$2))</f>
        <v>10722.3652244057</v>
      </c>
      <c r="G364" s="15" t="n">
        <f aca="false">F364*(1+IF(G$3&lt;=$O$2,$D364,$D364-($D364-$I$346)*MIN(G$3-$O$2,$Q$2)/$Q$2))</f>
        <v>12291.1017716912</v>
      </c>
      <c r="H364" s="15" t="n">
        <f aca="false">G364*(1+IF(H$3&lt;=$O$2,$D364,$D364-($D364-$I$346)*MIN(H$3-$O$2,$Q$2)/$Q$2))</f>
        <v>14089.3524516598</v>
      </c>
      <c r="I364" s="15" t="n">
        <f aca="false">H364*(1+IF(I$3&lt;=$O$2,$D364,$D364-($D364-$I$346)*MIN(I$3-$O$2,$Q$2)/$Q$2))</f>
        <v>16150.6963488251</v>
      </c>
      <c r="J364" s="15" t="n">
        <f aca="false">I364*(1+IF(J$3&lt;=$O$2,$D364,$D364-($D364-$I$346)*MIN(J$3-$O$2,$Q$2)/$Q$2))</f>
        <v>18116.3017855419</v>
      </c>
      <c r="K364" s="15" t="n">
        <f aca="false">J364*(1+IF(K$3&lt;=$O$2,$D364,$D364-($D364-$I$346)*MIN(K$3-$O$2,$Q$2)/$Q$2))</f>
        <v>19875.4499533689</v>
      </c>
      <c r="L364" s="15" t="n">
        <f aca="false">K364*(1+IF(L$3&lt;=$O$2,$D364,$D364-($D364-$I$346)*MIN(L$3-$O$2,$Q$2)/$Q$2))</f>
        <v>21316.4604955199</v>
      </c>
      <c r="M364" s="15" t="n">
        <f aca="false">L364*(1+IF(M$3&lt;=$O$2,$D364,$D364-($D364-$I$346)*MIN(M$3-$O$2,$Q$2)/$Q$2))</f>
        <v>22337.5406288065</v>
      </c>
      <c r="N364" s="15" t="n">
        <f aca="false">M364*(1+IF(N$3&lt;=$O$2,$D364,$D364-($D364-$I$346)*MIN(N$3-$O$2,$Q$2)/$Q$2))</f>
        <v>22858.0053254577</v>
      </c>
      <c r="O364" s="15" t="n">
        <f aca="false">SUMPRODUCT(E364:N364,1/(1+$F$346)^$E$3:$N$3)*$E$2</f>
        <v>36894.7380683114</v>
      </c>
      <c r="P364" s="15" t="n">
        <f aca="false">N364*$E$2*(1+$I$346)/($F$346-$I$346)/(1+$F$346)^$N$3</f>
        <v>49606.50475504</v>
      </c>
      <c r="Q364" s="15" t="n">
        <f aca="false">O364+P364</f>
        <v>86501.2428233514</v>
      </c>
      <c r="R364" s="15" t="n">
        <f aca="false">Q364-$G$2+$I$2</f>
        <v>80381.2428233514</v>
      </c>
      <c r="S364" s="42" t="n">
        <f aca="false">R364/$K$2</f>
        <v>464.148532297906</v>
      </c>
      <c r="T364" s="43" t="n">
        <f aca="false">S364-$M$2</f>
        <v>0.00717648314679309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0.146293640136719</v>
      </c>
      <c r="C365" s="25" t="n">
        <f aca="false">IF(T364&gt;0,D364,C364)</f>
        <v>0.146305084228516</v>
      </c>
      <c r="D365" s="41" t="n">
        <f aca="false">(B365+C365)/2</f>
        <v>0.146299362182617</v>
      </c>
      <c r="E365" s="15" t="n">
        <f aca="false">$C$2*(1+IF(E$3&lt;=$O$2,$D365,$D365-($D365-$I$346)*MIN(E$3-$O$2,$Q$2)/$Q$2))</f>
        <v>9353.80279541016</v>
      </c>
      <c r="F365" s="15" t="n">
        <f aca="false">E365*(1+IF(F$3&lt;=$O$2,$D365,$D365-($D365-$I$346)*MIN(F$3-$O$2,$Q$2)/$Q$2))</f>
        <v>10722.2581783606</v>
      </c>
      <c r="G365" s="15" t="n">
        <f aca="false">F365*(1+IF(G$3&lt;=$O$2,$D365,$D365-($D365-$I$346)*MIN(G$3-$O$2,$Q$2)/$Q$2))</f>
        <v>12290.9177110122</v>
      </c>
      <c r="H365" s="15" t="n">
        <f aca="false">G365*(1+IF(H$3&lt;=$O$2,$D365,$D365-($D365-$I$346)*MIN(H$3-$O$2,$Q$2)/$Q$2))</f>
        <v>14089.0711327723</v>
      </c>
      <c r="I365" s="15" t="n">
        <f aca="false">H365*(1+IF(I$3&lt;=$O$2,$D365,$D365-($D365-$I$346)*MIN(I$3-$O$2,$Q$2)/$Q$2))</f>
        <v>16150.2932532424</v>
      </c>
      <c r="J365" s="15" t="n">
        <f aca="false">I365*(1+IF(J$3&lt;=$O$2,$D365,$D365-($D365-$I$346)*MIN(J$3-$O$2,$Q$2)/$Q$2))</f>
        <v>18115.7757014118</v>
      </c>
      <c r="K365" s="15" t="n">
        <f aca="false">J365*(1+IF(K$3&lt;=$O$2,$D365,$D365-($D365-$I$346)*MIN(K$3-$O$2,$Q$2)/$Q$2))</f>
        <v>19874.8105892848</v>
      </c>
      <c r="L365" s="15" t="n">
        <f aca="false">K365*(1+IF(L$3&lt;=$O$2,$D365,$D365-($D365-$I$346)*MIN(L$3-$O$2,$Q$2)/$Q$2))</f>
        <v>21315.7292864081</v>
      </c>
      <c r="M365" s="15" t="n">
        <f aca="false">L365*(1+IF(M$3&lt;=$O$2,$D365,$D365-($D365-$I$346)*MIN(M$3-$O$2,$Q$2)/$Q$2))</f>
        <v>22336.7500001185</v>
      </c>
      <c r="N365" s="15" t="n">
        <f aca="false">M365*(1+IF(N$3&lt;=$O$2,$D365,$D365-($D365-$I$346)*MIN(N$3-$O$2,$Q$2)/$Q$2))</f>
        <v>22857.1962751213</v>
      </c>
      <c r="O365" s="15" t="n">
        <f aca="false">SUMPRODUCT(E365:N365,1/(1+$F$346)^$E$3:$N$3)*$E$2</f>
        <v>36893.8298158868</v>
      </c>
      <c r="P365" s="15" t="n">
        <f aca="false">N365*$E$2*(1+$I$346)/($F$346-$I$346)/(1+$F$346)^$N$3</f>
        <v>49604.7489518197</v>
      </c>
      <c r="Q365" s="15" t="n">
        <f aca="false">O365+P365</f>
        <v>86498.5787677065</v>
      </c>
      <c r="R365" s="15" t="n">
        <f aca="false">Q365-$G$2+$I$2</f>
        <v>80378.5787677065</v>
      </c>
      <c r="S365" s="42" t="n">
        <f aca="false">R365/$K$2</f>
        <v>464.133149137929</v>
      </c>
      <c r="T365" s="43" t="n">
        <f aca="false">S365-$M$2</f>
        <v>-0.00820667683052534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0.146299362182617</v>
      </c>
      <c r="C366" s="25" t="n">
        <f aca="false">IF(T365&gt;0,D365,C365)</f>
        <v>0.146305084228516</v>
      </c>
      <c r="D366" s="41" t="n">
        <f aca="false">(B366+C366)/2</f>
        <v>0.146302223205566</v>
      </c>
      <c r="E366" s="15" t="n">
        <f aca="false">$C$2*(1+IF(E$3&lt;=$O$2,$D366,$D366-($D366-$I$346)*MIN(E$3-$O$2,$Q$2)/$Q$2))</f>
        <v>9353.82614135742</v>
      </c>
      <c r="F366" s="15" t="n">
        <f aca="false">E366*(1+IF(F$3&lt;=$O$2,$D366,$D366-($D366-$I$346)*MIN(F$3-$O$2,$Q$2)/$Q$2))</f>
        <v>10722.3117013164</v>
      </c>
      <c r="G366" s="15" t="n">
        <f aca="false">F366*(1+IF(G$3&lt;=$O$2,$D366,$D366-($D366-$I$346)*MIN(G$3-$O$2,$Q$2)/$Q$2))</f>
        <v>12291.009741122</v>
      </c>
      <c r="H366" s="15" t="n">
        <f aca="false">G366*(1+IF(H$3&lt;=$O$2,$D366,$D366-($D366-$I$346)*MIN(H$3-$O$2,$Q$2)/$Q$2))</f>
        <v>14089.2117916894</v>
      </c>
      <c r="I366" s="15" t="n">
        <f aca="false">H366*(1+IF(I$3&lt;=$O$2,$D366,$D366-($D366-$I$346)*MIN(I$3-$O$2,$Q$2)/$Q$2))</f>
        <v>16150.4948000277</v>
      </c>
      <c r="J366" s="15" t="n">
        <f aca="false">I366*(1+IF(J$3&lt;=$O$2,$D366,$D366-($D366-$I$346)*MIN(J$3-$O$2,$Q$2)/$Q$2))</f>
        <v>18116.038741887</v>
      </c>
      <c r="K366" s="15" t="n">
        <f aca="false">J366*(1+IF(K$3&lt;=$O$2,$D366,$D366-($D366-$I$346)*MIN(K$3-$O$2,$Q$2)/$Q$2))</f>
        <v>19875.1302691311</v>
      </c>
      <c r="L366" s="15" t="n">
        <f aca="false">K366*(1+IF(L$3&lt;=$O$2,$D366,$D366-($D366-$I$346)*MIN(L$3-$O$2,$Q$2)/$Q$2))</f>
        <v>21316.0948882432</v>
      </c>
      <c r="M366" s="15" t="n">
        <f aca="false">L366*(1+IF(M$3&lt;=$O$2,$D366,$D366-($D366-$I$346)*MIN(M$3-$O$2,$Q$2)/$Q$2))</f>
        <v>22337.1453114022</v>
      </c>
      <c r="N366" s="15" t="n">
        <f aca="false">M366*(1+IF(N$3&lt;=$O$2,$D366,$D366-($D366-$I$346)*MIN(N$3-$O$2,$Q$2)/$Q$2))</f>
        <v>22857.6007971579</v>
      </c>
      <c r="O366" s="15" t="n">
        <f aca="false">SUMPRODUCT(E366:N366,1/(1+$F$346)^$E$3:$N$3)*$E$2</f>
        <v>36894.2839393515</v>
      </c>
      <c r="P366" s="15" t="n">
        <f aca="false">N366*$E$2*(1+$I$346)/($F$346-$I$346)/(1+$F$346)^$N$3</f>
        <v>49605.6268466336</v>
      </c>
      <c r="Q366" s="15" t="n">
        <f aca="false">O366+P366</f>
        <v>86499.9107859851</v>
      </c>
      <c r="R366" s="15" t="n">
        <f aca="false">Q366-$G$2+$I$2</f>
        <v>80379.9107859851</v>
      </c>
      <c r="S366" s="42" t="n">
        <f aca="false">R366/$K$2</f>
        <v>464.140840662808</v>
      </c>
      <c r="T366" s="43" t="n">
        <f aca="false">S366-$M$2</f>
        <v>-0.000515151950935433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0.146302223205566</v>
      </c>
      <c r="C367" s="25" t="n">
        <f aca="false">IF(T366&gt;0,D366,C366)</f>
        <v>0.146305084228516</v>
      </c>
      <c r="D367" s="41" t="n">
        <f aca="false">(B367+C367)/2</f>
        <v>0.146303653717041</v>
      </c>
      <c r="E367" s="15" t="n">
        <f aca="false">$C$2*(1+IF(E$3&lt;=$O$2,$D367,$D367-($D367-$I$346)*MIN(E$3-$O$2,$Q$2)/$Q$2))</f>
        <v>9353.83781433106</v>
      </c>
      <c r="F367" s="15" t="n">
        <f aca="false">E367*(1+IF(F$3&lt;=$O$2,$D367,$D367-($D367-$I$346)*MIN(F$3-$O$2,$Q$2)/$Q$2))</f>
        <v>10722.3384628443</v>
      </c>
      <c r="G367" s="15" t="n">
        <f aca="false">F367*(1+IF(G$3&lt;=$O$2,$D367,$D367-($D367-$I$346)*MIN(G$3-$O$2,$Q$2)/$Q$2))</f>
        <v>12291.0557563492</v>
      </c>
      <c r="H367" s="15" t="n">
        <f aca="false">G367*(1+IF(H$3&lt;=$O$2,$D367,$D367-($D367-$I$346)*MIN(H$3-$O$2,$Q$2)/$Q$2))</f>
        <v>14089.2821215429</v>
      </c>
      <c r="I367" s="15" t="n">
        <f aca="false">H367*(1+IF(I$3&lt;=$O$2,$D367,$D367-($D367-$I$346)*MIN(I$3-$O$2,$Q$2)/$Q$2))</f>
        <v>16150.5955741749</v>
      </c>
      <c r="J367" s="15" t="n">
        <f aca="false">I367*(1+IF(J$3&lt;=$O$2,$D367,$D367-($D367-$I$346)*MIN(J$3-$O$2,$Q$2)/$Q$2))</f>
        <v>18116.170263317</v>
      </c>
      <c r="K367" s="15" t="n">
        <f aca="false">J367*(1+IF(K$3&lt;=$O$2,$D367,$D367-($D367-$I$346)*MIN(K$3-$O$2,$Q$2)/$Q$2))</f>
        <v>19875.2901107011</v>
      </c>
      <c r="L367" s="15" t="n">
        <f aca="false">K367*(1+IF(L$3&lt;=$O$2,$D367,$D367-($D367-$I$346)*MIN(L$3-$O$2,$Q$2)/$Q$2))</f>
        <v>21316.2776912013</v>
      </c>
      <c r="M367" s="15" t="n">
        <f aca="false">L367*(1+IF(M$3&lt;=$O$2,$D367,$D367-($D367-$I$346)*MIN(M$3-$O$2,$Q$2)/$Q$2))</f>
        <v>22337.3429693393</v>
      </c>
      <c r="N367" s="15" t="n">
        <f aca="false">M367*(1+IF(N$3&lt;=$O$2,$D367,$D367-($D367-$I$346)*MIN(N$3-$O$2,$Q$2)/$Q$2))</f>
        <v>22857.8030605249</v>
      </c>
      <c r="O367" s="15" t="n">
        <f aca="false">SUMPRODUCT(E367:N367,1/(1+$F$346)^$E$3:$N$3)*$E$2</f>
        <v>36894.5110031446</v>
      </c>
      <c r="P367" s="15" t="n">
        <f aca="false">N367*$E$2*(1+$I$346)/($F$346-$I$346)/(1+$F$346)^$N$3</f>
        <v>49606.0657991378</v>
      </c>
      <c r="Q367" s="15" t="n">
        <f aca="false">O367+P367</f>
        <v>86500.5768022823</v>
      </c>
      <c r="R367" s="15" t="n">
        <f aca="false">Q367-$G$2+$I$2</f>
        <v>80380.5768022823</v>
      </c>
      <c r="S367" s="42" t="n">
        <f aca="false">R367/$K$2</f>
        <v>464.14468646658</v>
      </c>
      <c r="T367" s="43" t="n">
        <f aca="false">S367-$M$2</f>
        <v>0.00333065182076098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0.146302223205566</v>
      </c>
      <c r="C368" s="25" t="n">
        <f aca="false">IF(T367&gt;0,D367,C367)</f>
        <v>0.146303653717041</v>
      </c>
      <c r="D368" s="41" t="n">
        <f aca="false">(B368+C368)/2</f>
        <v>0.146302938461304</v>
      </c>
      <c r="E368" s="15" t="n">
        <f aca="false">$C$2*(1+IF(E$3&lt;=$O$2,$D368,$D368-($D368-$I$346)*MIN(E$3-$O$2,$Q$2)/$Q$2))</f>
        <v>9353.83197784424</v>
      </c>
      <c r="F368" s="15" t="n">
        <f aca="false">E368*(1+IF(F$3&lt;=$O$2,$D368,$D368-($D368-$I$346)*MIN(F$3-$O$2,$Q$2)/$Q$2))</f>
        <v>10722.3250820762</v>
      </c>
      <c r="G368" s="15" t="n">
        <f aca="false">F368*(1+IF(G$3&lt;=$O$2,$D368,$D368-($D368-$I$346)*MIN(G$3-$O$2,$Q$2)/$Q$2))</f>
        <v>12291.0327487212</v>
      </c>
      <c r="H368" s="15" t="n">
        <f aca="false">G368*(1+IF(H$3&lt;=$O$2,$D368,$D368-($D368-$I$346)*MIN(H$3-$O$2,$Q$2)/$Q$2))</f>
        <v>14089.2469565833</v>
      </c>
      <c r="I368" s="15" t="n">
        <f aca="false">H368*(1+IF(I$3&lt;=$O$2,$D368,$D368-($D368-$I$346)*MIN(I$3-$O$2,$Q$2)/$Q$2))</f>
        <v>16150.5451870384</v>
      </c>
      <c r="J368" s="15" t="n">
        <f aca="false">I368*(1+IF(J$3&lt;=$O$2,$D368,$D368-($D368-$I$346)*MIN(J$3-$O$2,$Q$2)/$Q$2))</f>
        <v>18116.1045025026</v>
      </c>
      <c r="K368" s="15" t="n">
        <f aca="false">J368*(1+IF(K$3&lt;=$O$2,$D368,$D368-($D368-$I$346)*MIN(K$3-$O$2,$Q$2)/$Q$2))</f>
        <v>19875.2101897789</v>
      </c>
      <c r="L368" s="15" t="n">
        <f aca="false">K368*(1+IF(L$3&lt;=$O$2,$D368,$D368-($D368-$I$346)*MIN(L$3-$O$2,$Q$2)/$Q$2))</f>
        <v>21316.1862895522</v>
      </c>
      <c r="M368" s="15" t="n">
        <f aca="false">L368*(1+IF(M$3&lt;=$O$2,$D368,$D368-($D368-$I$346)*MIN(M$3-$O$2,$Q$2)/$Q$2))</f>
        <v>22337.2441401795</v>
      </c>
      <c r="N368" s="15" t="n">
        <f aca="false">M368*(1+IF(N$3&lt;=$O$2,$D368,$D368-($D368-$I$346)*MIN(N$3-$O$2,$Q$2)/$Q$2))</f>
        <v>22857.7019286457</v>
      </c>
      <c r="O368" s="15" t="n">
        <f aca="false">SUMPRODUCT(E368:N368,1/(1+$F$346)^$E$3:$N$3)*$E$2</f>
        <v>36894.3974710763</v>
      </c>
      <c r="P368" s="15" t="n">
        <f aca="false">N368*$E$2*(1+$I$346)/($F$346-$I$346)/(1+$F$346)^$N$3</f>
        <v>49605.8463224609</v>
      </c>
      <c r="Q368" s="15" t="n">
        <f aca="false">O368+P368</f>
        <v>86500.2437935372</v>
      </c>
      <c r="R368" s="15" t="n">
        <f aca="false">Q368-$G$2+$I$2</f>
        <v>80380.2437935372</v>
      </c>
      <c r="S368" s="42" t="n">
        <f aca="false">R368/$K$2</f>
        <v>464.14276356125</v>
      </c>
      <c r="T368" s="43" t="n">
        <f aca="false">S368-$M$2</f>
        <v>0.00140774649059949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0.146302223205566</v>
      </c>
      <c r="C369" s="25" t="n">
        <f aca="false">IF(T368&gt;0,D368,C368)</f>
        <v>0.146302938461304</v>
      </c>
      <c r="D369" s="41" t="n">
        <f aca="false">(B369+C369)/2</f>
        <v>0.146302580833435</v>
      </c>
      <c r="E369" s="15" t="n">
        <f aca="false">$C$2*(1+IF(E$3&lt;=$O$2,$D369,$D369-($D369-$I$346)*MIN(E$3-$O$2,$Q$2)/$Q$2))</f>
        <v>9353.82905960083</v>
      </c>
      <c r="F369" s="15" t="n">
        <f aca="false">E369*(1+IF(F$3&lt;=$O$2,$D369,$D369-($D369-$I$346)*MIN(F$3-$O$2,$Q$2)/$Q$2))</f>
        <v>10722.3183916952</v>
      </c>
      <c r="G369" s="15" t="n">
        <f aca="false">F369*(1+IF(G$3&lt;=$O$2,$D369,$D369-($D369-$I$346)*MIN(G$3-$O$2,$Q$2)/$Q$2))</f>
        <v>12291.021244918</v>
      </c>
      <c r="H369" s="15" t="n">
        <f aca="false">G369*(1+IF(H$3&lt;=$O$2,$D369,$D369-($D369-$I$346)*MIN(H$3-$O$2,$Q$2)/$Q$2))</f>
        <v>14089.2293741281</v>
      </c>
      <c r="I369" s="15" t="n">
        <f aca="false">H369*(1+IF(I$3&lt;=$O$2,$D369,$D369-($D369-$I$346)*MIN(I$3-$O$2,$Q$2)/$Q$2))</f>
        <v>16150.5199935173</v>
      </c>
      <c r="J369" s="15" t="n">
        <f aca="false">I369*(1+IF(J$3&lt;=$O$2,$D369,$D369-($D369-$I$346)*MIN(J$3-$O$2,$Q$2)/$Q$2))</f>
        <v>18116.07162217</v>
      </c>
      <c r="K369" s="15" t="n">
        <f aca="false">J369*(1+IF(K$3&lt;=$O$2,$D369,$D369-($D369-$I$346)*MIN(K$3-$O$2,$Q$2)/$Q$2))</f>
        <v>19875.1702294207</v>
      </c>
      <c r="L369" s="15" t="n">
        <f aca="false">K369*(1+IF(L$3&lt;=$O$2,$D369,$D369-($D369-$I$346)*MIN(L$3-$O$2,$Q$2)/$Q$2))</f>
        <v>21316.1405888552</v>
      </c>
      <c r="M369" s="15" t="n">
        <f aca="false">L369*(1+IF(M$3&lt;=$O$2,$D369,$D369-($D369-$I$346)*MIN(M$3-$O$2,$Q$2)/$Q$2))</f>
        <v>22337.194725743</v>
      </c>
      <c r="N369" s="15" t="n">
        <f aca="false">M369*(1+IF(N$3&lt;=$O$2,$D369,$D369-($D369-$I$346)*MIN(N$3-$O$2,$Q$2)/$Q$2))</f>
        <v>22857.6513628529</v>
      </c>
      <c r="O369" s="15" t="n">
        <f aca="false">SUMPRODUCT(E369:N369,1/(1+$F$346)^$E$3:$N$3)*$E$2</f>
        <v>36894.340705171</v>
      </c>
      <c r="P369" s="15" t="n">
        <f aca="false">N369*$E$2*(1+$I$346)/($F$346-$I$346)/(1+$F$346)^$N$3</f>
        <v>49605.7365844411</v>
      </c>
      <c r="Q369" s="15" t="n">
        <f aca="false">O369+P369</f>
        <v>86500.0772896121</v>
      </c>
      <c r="R369" s="15" t="n">
        <f aca="false">Q369-$G$2+$I$2</f>
        <v>80380.0772896121</v>
      </c>
      <c r="S369" s="42" t="n">
        <f aca="false">R369/$K$2</f>
        <v>464.141802111168</v>
      </c>
      <c r="T369" s="43" t="n">
        <f aca="false">S369-$M$2</f>
        <v>0.000446296408711078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0.146302223205566</v>
      </c>
      <c r="C370" s="25" t="n">
        <f aca="false">IF(T369&gt;0,D369,C369)</f>
        <v>0.146302580833435</v>
      </c>
      <c r="D370" s="41" t="n">
        <f aca="false">(B370+C370)/2</f>
        <v>0.146302402019501</v>
      </c>
      <c r="E370" s="15" t="n">
        <f aca="false">$C$2*(1+IF(E$3&lt;=$O$2,$D370,$D370-($D370-$I$346)*MIN(E$3-$O$2,$Q$2)/$Q$2))</f>
        <v>9353.82760047913</v>
      </c>
      <c r="F370" s="15" t="n">
        <f aca="false">E370*(1+IF(F$3&lt;=$O$2,$D370,$D370-($D370-$I$346)*MIN(F$3-$O$2,$Q$2)/$Q$2))</f>
        <v>10722.3150465055</v>
      </c>
      <c r="G370" s="15" t="n">
        <f aca="false">F370*(1+IF(G$3&lt;=$O$2,$D370,$D370-($D370-$I$346)*MIN(G$3-$O$2,$Q$2)/$Q$2))</f>
        <v>12291.0154930191</v>
      </c>
      <c r="H370" s="15" t="n">
        <f aca="false">G370*(1+IF(H$3&lt;=$O$2,$D370,$D370-($D370-$I$346)*MIN(H$3-$O$2,$Q$2)/$Q$2))</f>
        <v>14089.2205829067</v>
      </c>
      <c r="I370" s="15" t="n">
        <f aca="false">H370*(1+IF(I$3&lt;=$O$2,$D370,$D370-($D370-$I$346)*MIN(I$3-$O$2,$Q$2)/$Q$2))</f>
        <v>16150.5073967686</v>
      </c>
      <c r="J370" s="15" t="n">
        <f aca="false">I370*(1+IF(J$3&lt;=$O$2,$D370,$D370-($D370-$I$346)*MIN(J$3-$O$2,$Q$2)/$Q$2))</f>
        <v>18116.0551820223</v>
      </c>
      <c r="K370" s="15" t="n">
        <f aca="false">J370*(1+IF(K$3&lt;=$O$2,$D370,$D370-($D370-$I$346)*MIN(K$3-$O$2,$Q$2)/$Q$2))</f>
        <v>19875.1502492673</v>
      </c>
      <c r="L370" s="15" t="n">
        <f aca="false">K370*(1+IF(L$3&lt;=$O$2,$D370,$D370-($D370-$I$346)*MIN(L$3-$O$2,$Q$2)/$Q$2))</f>
        <v>21316.1177385386</v>
      </c>
      <c r="M370" s="15" t="n">
        <f aca="false">L370*(1+IF(M$3&lt;=$O$2,$D370,$D370-($D370-$I$346)*MIN(M$3-$O$2,$Q$2)/$Q$2))</f>
        <v>22337.1700185607</v>
      </c>
      <c r="N370" s="15" t="n">
        <f aca="false">M370*(1+IF(N$3&lt;=$O$2,$D370,$D370-($D370-$I$346)*MIN(N$3-$O$2,$Q$2)/$Q$2))</f>
        <v>22857.6260799931</v>
      </c>
      <c r="O370" s="15" t="n">
        <f aca="false">SUMPRODUCT(E370:N370,1/(1+$F$346)^$E$3:$N$3)*$E$2</f>
        <v>36894.3123222505</v>
      </c>
      <c r="P370" s="15" t="n">
        <f aca="false">N370*$E$2*(1+$I$346)/($F$346-$I$346)/(1+$F$346)^$N$3</f>
        <v>49605.6817155108</v>
      </c>
      <c r="Q370" s="15" t="n">
        <f aca="false">O370+P370</f>
        <v>86499.9940377613</v>
      </c>
      <c r="R370" s="15" t="n">
        <f aca="false">Q370-$G$2+$I$2</f>
        <v>80379.9940377613</v>
      </c>
      <c r="S370" s="42" t="n">
        <f aca="false">R370/$K$2</f>
        <v>464.141321386773</v>
      </c>
      <c r="T370" s="43" t="n">
        <f aca="false">S370-$M$2</f>
        <v>-3.44279865203134E-005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0.146302402019501</v>
      </c>
      <c r="C371" s="25" t="n">
        <f aca="false">IF(T370&gt;0,D370,C370)</f>
        <v>0.146302580833435</v>
      </c>
      <c r="D371" s="41" t="n">
        <f aca="false">(B371+C371)/2</f>
        <v>0.146302491426468</v>
      </c>
      <c r="E371" s="15" t="n">
        <f aca="false">$C$2*(1+IF(E$3&lt;=$O$2,$D371,$D371-($D371-$I$346)*MIN(E$3-$O$2,$Q$2)/$Q$2))</f>
        <v>9353.82833003998</v>
      </c>
      <c r="F371" s="15" t="n">
        <f aca="false">E371*(1+IF(F$3&lt;=$O$2,$D371,$D371-($D371-$I$346)*MIN(F$3-$O$2,$Q$2)/$Q$2))</f>
        <v>10722.3167191003</v>
      </c>
      <c r="G371" s="15" t="n">
        <f aca="false">F371*(1+IF(G$3&lt;=$O$2,$D371,$D371-($D371-$I$346)*MIN(G$3-$O$2,$Q$2)/$Q$2))</f>
        <v>12291.0183689684</v>
      </c>
      <c r="H371" s="15" t="n">
        <f aca="false">G371*(1+IF(H$3&lt;=$O$2,$D371,$D371-($D371-$I$346)*MIN(H$3-$O$2,$Q$2)/$Q$2))</f>
        <v>14089.2249785169</v>
      </c>
      <c r="I371" s="15" t="n">
        <f aca="false">H371*(1+IF(I$3&lt;=$O$2,$D371,$D371-($D371-$I$346)*MIN(I$3-$O$2,$Q$2)/$Q$2))</f>
        <v>16150.5136951419</v>
      </c>
      <c r="J371" s="15" t="n">
        <f aca="false">I371*(1+IF(J$3&lt;=$O$2,$D371,$D371-($D371-$I$346)*MIN(J$3-$O$2,$Q$2)/$Q$2))</f>
        <v>18116.0634020946</v>
      </c>
      <c r="K371" s="15" t="n">
        <f aca="false">J371*(1+IF(K$3&lt;=$O$2,$D371,$D371-($D371-$I$346)*MIN(K$3-$O$2,$Q$2)/$Q$2))</f>
        <v>19875.1602393419</v>
      </c>
      <c r="L371" s="15" t="n">
        <f aca="false">K371*(1+IF(L$3&lt;=$O$2,$D371,$D371-($D371-$I$346)*MIN(L$3-$O$2,$Q$2)/$Q$2))</f>
        <v>21316.1291636942</v>
      </c>
      <c r="M371" s="15" t="n">
        <f aca="false">L371*(1+IF(M$3&lt;=$O$2,$D371,$D371-($D371-$I$346)*MIN(M$3-$O$2,$Q$2)/$Q$2))</f>
        <v>22337.1823721489</v>
      </c>
      <c r="N371" s="15" t="n">
        <f aca="false">M371*(1+IF(N$3&lt;=$O$2,$D371,$D371-($D371-$I$346)*MIN(N$3-$O$2,$Q$2)/$Q$2))</f>
        <v>22857.6387214199</v>
      </c>
      <c r="O371" s="15" t="n">
        <f aca="false">SUMPRODUCT(E371:N371,1/(1+$F$346)^$E$3:$N$3)*$E$2</f>
        <v>36894.3265137081</v>
      </c>
      <c r="P371" s="15" t="n">
        <f aca="false">N371*$E$2*(1+$I$346)/($F$346-$I$346)/(1+$F$346)^$N$3</f>
        <v>49605.7091499693</v>
      </c>
      <c r="Q371" s="15" t="n">
        <f aca="false">O371+P371</f>
        <v>86500.0356636774</v>
      </c>
      <c r="R371" s="15" t="n">
        <f aca="false">Q371-$G$2+$I$2</f>
        <v>80380.0356636774</v>
      </c>
      <c r="S371" s="42" t="n">
        <f aca="false">R371/$K$2</f>
        <v>464.141561748917</v>
      </c>
      <c r="T371" s="43" t="n">
        <f aca="false">S371-$M$2</f>
        <v>0.000205934157406773</v>
      </c>
    </row>
    <row r="373" customFormat="false" ht="15" hidden="false" customHeight="false" outlineLevel="0" collapsed="false">
      <c r="A373" s="38" t="s">
        <v>194</v>
      </c>
      <c r="E373" s="5" t="s">
        <v>11</v>
      </c>
      <c r="F373" s="12" t="n">
        <f aca="false">Sensitivity!$B$12</f>
        <v>0.0953160519233867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162</v>
      </c>
      <c r="B374" s="28" t="s">
        <v>163</v>
      </c>
      <c r="C374" s="28" t="s">
        <v>164</v>
      </c>
      <c r="D374" s="28" t="s">
        <v>165</v>
      </c>
      <c r="E374" s="28" t="s">
        <v>166</v>
      </c>
      <c r="F374" s="28" t="s">
        <v>167</v>
      </c>
      <c r="G374" s="28" t="s">
        <v>168</v>
      </c>
      <c r="H374" s="28" t="s">
        <v>169</v>
      </c>
      <c r="I374" s="28" t="s">
        <v>170</v>
      </c>
      <c r="J374" s="28" t="s">
        <v>171</v>
      </c>
      <c r="K374" s="28" t="s">
        <v>172</v>
      </c>
      <c r="L374" s="28" t="s">
        <v>173</v>
      </c>
      <c r="M374" s="28" t="s">
        <v>174</v>
      </c>
      <c r="N374" s="28" t="s">
        <v>175</v>
      </c>
      <c r="O374" s="28" t="s">
        <v>176</v>
      </c>
      <c r="P374" s="28" t="s">
        <v>177</v>
      </c>
      <c r="Q374" s="28" t="s">
        <v>178</v>
      </c>
      <c r="R374" s="28" t="s">
        <v>179</v>
      </c>
      <c r="S374" s="28" t="s">
        <v>180</v>
      </c>
      <c r="T374" s="28" t="s">
        <v>181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10200</v>
      </c>
      <c r="F375" s="15" t="n">
        <f aca="false">E375*(1+IF(F$3&lt;=$O$2,$D375,$D375-($D375-$I$373)*MIN(F$3-$O$2,$Q$2)/$Q$2))</f>
        <v>12750</v>
      </c>
      <c r="G375" s="15" t="n">
        <f aca="false">F375*(1+IF(G$3&lt;=$O$2,$D375,$D375-($D375-$I$373)*MIN(G$3-$O$2,$Q$2)/$Q$2))</f>
        <v>15937.5</v>
      </c>
      <c r="H375" s="15" t="n">
        <f aca="false">G375*(1+IF(H$3&lt;=$O$2,$D375,$D375-($D375-$I$373)*MIN(H$3-$O$2,$Q$2)/$Q$2))</f>
        <v>19921.875</v>
      </c>
      <c r="I375" s="15" t="n">
        <f aca="false">H375*(1+IF(I$3&lt;=$O$2,$D375,$D375-($D375-$I$373)*MIN(I$3-$O$2,$Q$2)/$Q$2))</f>
        <v>24902.34375</v>
      </c>
      <c r="J375" s="15" t="n">
        <f aca="false">I375*(1+IF(J$3&lt;=$O$2,$D375,$D375-($D375-$I$373)*MIN(J$3-$O$2,$Q$2)/$Q$2))</f>
        <v>30023.759765625</v>
      </c>
      <c r="K375" s="15" t="n">
        <f aca="false">J375*(1+IF(K$3&lt;=$O$2,$D375,$D375-($D375-$I$373)*MIN(K$3-$O$2,$Q$2)/$Q$2))</f>
        <v>34867.1926910156</v>
      </c>
      <c r="L375" s="15" t="n">
        <f aca="false">K375*(1+IF(L$3&lt;=$O$2,$D375,$D375-($D375-$I$373)*MIN(L$3-$O$2,$Q$2)/$Q$2))</f>
        <v>38945.9568920106</v>
      </c>
      <c r="M375" s="15" t="n">
        <f aca="false">L375*(1+IF(M$3&lt;=$O$2,$D375,$D375-($D375-$I$373)*MIN(M$3-$O$2,$Q$2)/$Q$2))</f>
        <v>41774.9912006463</v>
      </c>
      <c r="N375" s="15" t="n">
        <f aca="false">M375*(1+IF(N$3&lt;=$O$2,$D375,$D375-($D375-$I$373)*MIN(N$3-$O$2,$Q$2)/$Q$2))</f>
        <v>42957.2234516246</v>
      </c>
      <c r="O375" s="15" t="n">
        <f aca="false">SUMPRODUCT(E375:N375,1/(1+$F$373)^$E$3:$N$3)*$E$2</f>
        <v>57706.5120020159</v>
      </c>
      <c r="P375" s="15" t="n">
        <f aca="false">N375*$E$2*(1+$I$373)/($F$373-$I$373)/(1+$F$373)^$N$3</f>
        <v>100670.872544547</v>
      </c>
      <c r="Q375" s="15" t="n">
        <f aca="false">O375+P375</f>
        <v>158377.384546563</v>
      </c>
      <c r="R375" s="15" t="n">
        <f aca="false">Q375-$G$2+$I$2</f>
        <v>152257.384546563</v>
      </c>
      <c r="S375" s="42" t="n">
        <f aca="false">R375/$K$2</f>
        <v>879.18572899043</v>
      </c>
      <c r="T375" s="43" t="n">
        <f aca="false">S375-$M$2</f>
        <v>415.04437317567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7140</v>
      </c>
      <c r="F376" s="15" t="n">
        <f aca="false">E376*(1+IF(F$3&lt;=$O$2,$D376,$D376-($D376-$I$373)*MIN(F$3-$O$2,$Q$2)/$Q$2))</f>
        <v>6247.5</v>
      </c>
      <c r="G376" s="15" t="n">
        <f aca="false">F376*(1+IF(G$3&lt;=$O$2,$D376,$D376-($D376-$I$373)*MIN(G$3-$O$2,$Q$2)/$Q$2))</f>
        <v>5466.5625</v>
      </c>
      <c r="H376" s="15" t="n">
        <f aca="false">G376*(1+IF(H$3&lt;=$O$2,$D376,$D376-($D376-$I$373)*MIN(H$3-$O$2,$Q$2)/$Q$2))</f>
        <v>4783.2421875</v>
      </c>
      <c r="I376" s="15" t="n">
        <f aca="false">H376*(1+IF(I$3&lt;=$O$2,$D376,$D376-($D376-$I$373)*MIN(I$3-$O$2,$Q$2)/$Q$2))</f>
        <v>4185.3369140625</v>
      </c>
      <c r="J376" s="15" t="n">
        <f aca="false">I376*(1+IF(J$3&lt;=$O$2,$D376,$D376-($D376-$I$373)*MIN(J$3-$O$2,$Q$2)/$Q$2))</f>
        <v>3790.49222958984</v>
      </c>
      <c r="K376" s="15" t="n">
        <f aca="false">J376*(1+IF(K$3&lt;=$O$2,$D376,$D376-($D376-$I$373)*MIN(K$3-$O$2,$Q$2)/$Q$2))</f>
        <v>3549.11368440956</v>
      </c>
      <c r="L376" s="15" t="n">
        <f aca="false">K376*(1+IF(L$3&lt;=$O$2,$D376,$D376-($D376-$I$373)*MIN(L$3-$O$2,$Q$2)/$Q$2))</f>
        <v>3431.92195055036</v>
      </c>
      <c r="M376" s="15" t="n">
        <f aca="false">L376*(1+IF(M$3&lt;=$O$2,$D376,$D376-($D376-$I$373)*MIN(M$3-$O$2,$Q$2)/$Q$2))</f>
        <v>3423.82261474706</v>
      </c>
      <c r="N376" s="15" t="n">
        <f aca="false">M376*(1+IF(N$3&lt;=$O$2,$D376,$D376-($D376-$I$373)*MIN(N$3-$O$2,$Q$2)/$Q$2))</f>
        <v>3520.7167947444</v>
      </c>
      <c r="O376" s="15" t="n">
        <f aca="false">SUMPRODUCT(E376:N376,1/(1+$F$373)^$E$3:$N$3)*$E$2</f>
        <v>11584.4629331437</v>
      </c>
      <c r="P376" s="15" t="n">
        <f aca="false">N376*$E$2*(1+$I$373)/($F$373-$I$373)/(1+$F$373)^$N$3</f>
        <v>8250.85057250725</v>
      </c>
      <c r="Q376" s="15" t="n">
        <f aca="false">O376+P376</f>
        <v>19835.313505651</v>
      </c>
      <c r="R376" s="15" t="n">
        <f aca="false">Q376-$G$2+$I$2</f>
        <v>13715.313505651</v>
      </c>
      <c r="S376" s="42" t="n">
        <f aca="false">R376/$K$2</f>
        <v>79.1968674538109</v>
      </c>
      <c r="T376" s="43" t="n">
        <f aca="false">S376-$M$2</f>
        <v>-384.944488360948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8670</v>
      </c>
      <c r="F377" s="15" t="n">
        <f aca="false">E377*(1+IF(F$3&lt;=$O$2,$D377,$D377-($D377-$I$373)*MIN(F$3-$O$2,$Q$2)/$Q$2))</f>
        <v>9211.875</v>
      </c>
      <c r="G377" s="15" t="n">
        <f aca="false">F377*(1+IF(G$3&lt;=$O$2,$D377,$D377-($D377-$I$373)*MIN(G$3-$O$2,$Q$2)/$Q$2))</f>
        <v>9787.6171875</v>
      </c>
      <c r="H377" s="15" t="n">
        <f aca="false">G377*(1+IF(H$3&lt;=$O$2,$D377,$D377-($D377-$I$373)*MIN(H$3-$O$2,$Q$2)/$Q$2))</f>
        <v>10399.3432617188</v>
      </c>
      <c r="I377" s="15" t="n">
        <f aca="false">H377*(1+IF(I$3&lt;=$O$2,$D377,$D377-($D377-$I$373)*MIN(I$3-$O$2,$Q$2)/$Q$2))</f>
        <v>11049.3022155762</v>
      </c>
      <c r="J377" s="15" t="n">
        <f aca="false">I377*(1+IF(J$3&lt;=$O$2,$D377,$D377-($D377-$I$373)*MIN(J$3-$O$2,$Q$2)/$Q$2))</f>
        <v>11664.3063768951</v>
      </c>
      <c r="K377" s="15" t="n">
        <f aca="false">J377*(1+IF(K$3&lt;=$O$2,$D377,$D377-($D377-$I$373)*MIN(K$3-$O$2,$Q$2)/$Q$2))</f>
        <v>12233.7578142152</v>
      </c>
      <c r="L377" s="15" t="n">
        <f aca="false">K377*(1+IF(L$3&lt;=$O$2,$D377,$D377-($D377-$I$373)*MIN(L$3-$O$2,$Q$2)/$Q$2))</f>
        <v>12747.3309672559</v>
      </c>
      <c r="M377" s="15" t="n">
        <f aca="false">L377*(1+IF(M$3&lt;=$O$2,$D377,$D377-($D377-$I$373)*MIN(M$3-$O$2,$Q$2)/$Q$2))</f>
        <v>13195.2721774453</v>
      </c>
      <c r="N377" s="15" t="n">
        <f aca="false">M377*(1+IF(N$3&lt;=$O$2,$D377,$D377-($D377-$I$373)*MIN(N$3-$O$2,$Q$2)/$Q$2))</f>
        <v>13568.698380067</v>
      </c>
      <c r="O377" s="15" t="n">
        <f aca="false">SUMPRODUCT(E377:N377,1/(1+$F$373)^$E$3:$N$3)*$E$2</f>
        <v>25784.8087709411</v>
      </c>
      <c r="P377" s="15" t="n">
        <f aca="false">N377*$E$2*(1+$I$373)/($F$373-$I$373)/(1+$F$373)^$N$3</f>
        <v>31798.4402961561</v>
      </c>
      <c r="Q377" s="15" t="n">
        <f aca="false">O377+P377</f>
        <v>57583.2490670972</v>
      </c>
      <c r="R377" s="15" t="n">
        <f aca="false">Q377-$G$2+$I$2</f>
        <v>51463.2490670972</v>
      </c>
      <c r="S377" s="42" t="n">
        <f aca="false">R377/$K$2</f>
        <v>297.166237828255</v>
      </c>
      <c r="T377" s="43" t="n">
        <f aca="false">S377-$M$2</f>
        <v>-166.975117986504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41" t="n">
        <f aca="false">(B378+C378)/2</f>
        <v>0.15625</v>
      </c>
      <c r="E378" s="15" t="n">
        <f aca="false">$C$2*(1+IF(E$3&lt;=$O$2,$D378,$D378-($D378-$I$373)*MIN(E$3-$O$2,$Q$2)/$Q$2))</f>
        <v>9435</v>
      </c>
      <c r="F378" s="15" t="n">
        <f aca="false">E378*(1+IF(F$3&lt;=$O$2,$D378,$D378-($D378-$I$373)*MIN(F$3-$O$2,$Q$2)/$Q$2))</f>
        <v>10909.21875</v>
      </c>
      <c r="G378" s="15" t="n">
        <f aca="false">F378*(1+IF(G$3&lt;=$O$2,$D378,$D378-($D378-$I$373)*MIN(G$3-$O$2,$Q$2)/$Q$2))</f>
        <v>12613.7841796875</v>
      </c>
      <c r="H378" s="15" t="n">
        <f aca="false">G378*(1+IF(H$3&lt;=$O$2,$D378,$D378-($D378-$I$373)*MIN(H$3-$O$2,$Q$2)/$Q$2))</f>
        <v>14584.6879577637</v>
      </c>
      <c r="I378" s="15" t="n">
        <f aca="false">H378*(1+IF(I$3&lt;=$O$2,$D378,$D378-($D378-$I$373)*MIN(I$3-$O$2,$Q$2)/$Q$2))</f>
        <v>16863.5454511642</v>
      </c>
      <c r="J378" s="15" t="n">
        <f aca="false">I378*(1+IF(J$3&lt;=$O$2,$D378,$D378-($D378-$I$373)*MIN(J$3-$O$2,$Q$2)/$Q$2))</f>
        <v>19066.9362998134</v>
      </c>
      <c r="K378" s="15" t="n">
        <f aca="false">J378*(1+IF(K$3&lt;=$O$2,$D378,$D378-($D378-$I$373)*MIN(K$3-$O$2,$Q$2)/$Q$2))</f>
        <v>21070.2992968348</v>
      </c>
      <c r="L378" s="15" t="n">
        <f aca="false">K378*(1+IF(L$3&lt;=$O$2,$D378,$D378-($D378-$I$373)*MIN(L$3-$O$2,$Q$2)/$Q$2))</f>
        <v>22744.9666849472</v>
      </c>
      <c r="M378" s="15" t="n">
        <f aca="false">L378*(1+IF(M$3&lt;=$O$2,$D378,$D378-($D378-$I$373)*MIN(M$3-$O$2,$Q$2)/$Q$2))</f>
        <v>23970.692939599</v>
      </c>
      <c r="N378" s="15" t="n">
        <f aca="false">M378*(1+IF(N$3&lt;=$O$2,$D378,$D378-($D378-$I$373)*MIN(N$3-$O$2,$Q$2)/$Q$2))</f>
        <v>24649.0635497896</v>
      </c>
      <c r="O378" s="15" t="n">
        <f aca="false">SUMPRODUCT(E378:N378,1/(1+$F$373)^$E$3:$N$3)*$E$2</f>
        <v>38634.7632185107</v>
      </c>
      <c r="P378" s="15" t="n">
        <f aca="false">N378*$E$2*(1+$I$373)/($F$373-$I$373)/(1+$F$373)^$N$3</f>
        <v>57765.435835436</v>
      </c>
      <c r="Q378" s="15" t="n">
        <f aca="false">O378+P378</f>
        <v>96400.1990539467</v>
      </c>
      <c r="R378" s="15" t="n">
        <f aca="false">Q378-$G$2+$I$2</f>
        <v>90280.1990539467</v>
      </c>
      <c r="S378" s="42" t="n">
        <f aca="false">R378/$K$2</f>
        <v>521.308459717904</v>
      </c>
      <c r="T378" s="43" t="n">
        <f aca="false">S378-$M$2</f>
        <v>57.1671039031452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41" t="n">
        <f aca="false">(B379+C379)/2</f>
        <v>0.109375</v>
      </c>
      <c r="E379" s="15" t="n">
        <f aca="false">$C$2*(1+IF(E$3&lt;=$O$2,$D379,$D379-($D379-$I$373)*MIN(E$3-$O$2,$Q$2)/$Q$2))</f>
        <v>9052.5</v>
      </c>
      <c r="F379" s="15" t="n">
        <f aca="false">E379*(1+IF(F$3&lt;=$O$2,$D379,$D379-($D379-$I$373)*MIN(F$3-$O$2,$Q$2)/$Q$2))</f>
        <v>10042.6171875</v>
      </c>
      <c r="G379" s="15" t="n">
        <f aca="false">F379*(1+IF(G$3&lt;=$O$2,$D379,$D379-($D379-$I$373)*MIN(G$3-$O$2,$Q$2)/$Q$2))</f>
        <v>11141.0284423828</v>
      </c>
      <c r="H379" s="15" t="n">
        <f aca="false">G379*(1+IF(H$3&lt;=$O$2,$D379,$D379-($D379-$I$373)*MIN(H$3-$O$2,$Q$2)/$Q$2))</f>
        <v>12359.5784282684</v>
      </c>
      <c r="I379" s="15" t="n">
        <f aca="false">H379*(1+IF(I$3&lt;=$O$2,$D379,$D379-($D379-$I$373)*MIN(I$3-$O$2,$Q$2)/$Q$2))</f>
        <v>13711.4073188603</v>
      </c>
      <c r="J379" s="15" t="n">
        <f aca="false">I379*(1+IF(J$3&lt;=$O$2,$D379,$D379-($D379-$I$373)*MIN(J$3-$O$2,$Q$2)/$Q$2))</f>
        <v>14988.7620246853</v>
      </c>
      <c r="K379" s="15" t="n">
        <f aca="false">J379*(1+IF(K$3&lt;=$O$2,$D379,$D379-($D379-$I$373)*MIN(K$3-$O$2,$Q$2)/$Q$2))</f>
        <v>16142.0723186747</v>
      </c>
      <c r="L379" s="15" t="n">
        <f aca="false">K379*(1+IF(L$3&lt;=$O$2,$D379,$D379-($D379-$I$373)*MIN(L$3-$O$2,$Q$2)/$Q$2))</f>
        <v>17122.3803705878</v>
      </c>
      <c r="M379" s="15" t="n">
        <f aca="false">L379*(1+IF(M$3&lt;=$O$2,$D379,$D379-($D379-$I$373)*MIN(M$3-$O$2,$Q$2)/$Q$2))</f>
        <v>17884.5831327846</v>
      </c>
      <c r="N379" s="15" t="n">
        <f aca="false">M379*(1+IF(N$3&lt;=$O$2,$D379,$D379-($D379-$I$373)*MIN(N$3-$O$2,$Q$2)/$Q$2))</f>
        <v>18390.7168354424</v>
      </c>
      <c r="O379" s="15" t="n">
        <f aca="false">SUMPRODUCT(E379:N379,1/(1+$F$373)^$E$3:$N$3)*$E$2</f>
        <v>31566.9443328857</v>
      </c>
      <c r="P379" s="15" t="n">
        <f aca="false">N379*$E$2*(1+$I$373)/($F$373-$I$373)/(1+$F$373)^$N$3</f>
        <v>43098.9100733802</v>
      </c>
      <c r="Q379" s="15" t="n">
        <f aca="false">O379+P379</f>
        <v>74665.854406266</v>
      </c>
      <c r="R379" s="15" t="n">
        <f aca="false">Q379-$G$2+$I$2</f>
        <v>68545.854406266</v>
      </c>
      <c r="S379" s="42" t="n">
        <f aca="false">R379/$K$2</f>
        <v>395.806989295912</v>
      </c>
      <c r="T379" s="43" t="n">
        <f aca="false">S379-$M$2</f>
        <v>-68.3343665188476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0.109375</v>
      </c>
      <c r="C380" s="25" t="n">
        <f aca="false">IF(T379&gt;0,D379,C379)</f>
        <v>0.15625</v>
      </c>
      <c r="D380" s="41" t="n">
        <f aca="false">(B380+C380)/2</f>
        <v>0.1328125</v>
      </c>
      <c r="E380" s="15" t="n">
        <f aca="false">$C$2*(1+IF(E$3&lt;=$O$2,$D380,$D380-($D380-$I$373)*MIN(E$3-$O$2,$Q$2)/$Q$2))</f>
        <v>9243.75</v>
      </c>
      <c r="F380" s="15" t="n">
        <f aca="false">E380*(1+IF(F$3&lt;=$O$2,$D380,$D380-($D380-$I$373)*MIN(F$3-$O$2,$Q$2)/$Q$2))</f>
        <v>10471.435546875</v>
      </c>
      <c r="G380" s="15" t="n">
        <f aca="false">F380*(1+IF(G$3&lt;=$O$2,$D380,$D380-($D380-$I$373)*MIN(G$3-$O$2,$Q$2)/$Q$2))</f>
        <v>11862.1730804443</v>
      </c>
      <c r="H380" s="15" t="n">
        <f aca="false">G380*(1+IF(H$3&lt;=$O$2,$D380,$D380-($D380-$I$373)*MIN(H$3-$O$2,$Q$2)/$Q$2))</f>
        <v>13437.6179426909</v>
      </c>
      <c r="I380" s="15" t="n">
        <f aca="false">H380*(1+IF(I$3&lt;=$O$2,$D380,$D380-($D380-$I$373)*MIN(I$3-$O$2,$Q$2)/$Q$2))</f>
        <v>15222.3015757045</v>
      </c>
      <c r="J380" s="15" t="n">
        <f aca="false">I380*(1+IF(J$3&lt;=$O$2,$D380,$D380-($D380-$I$373)*MIN(J$3-$O$2,$Q$2)/$Q$2))</f>
        <v>16925.8293450416</v>
      </c>
      <c r="K380" s="15" t="n">
        <f aca="false">J380*(1+IF(K$3&lt;=$O$2,$D380,$D380-($D380-$I$373)*MIN(K$3-$O$2,$Q$2)/$Q$2))</f>
        <v>18466.2067591604</v>
      </c>
      <c r="L380" s="15" t="n">
        <f aca="false">K380*(1+IF(L$3&lt;=$O$2,$D380,$D380-($D380-$I$373)*MIN(L$3-$O$2,$Q$2)/$Q$2))</f>
        <v>19760.7801840114</v>
      </c>
      <c r="M380" s="15" t="n">
        <f aca="false">L380*(1+IF(M$3&lt;=$O$2,$D380,$D380-($D380-$I$373)*MIN(M$3-$O$2,$Q$2)/$Q$2))</f>
        <v>20733.0599710152</v>
      </c>
      <c r="N380" s="15" t="n">
        <f aca="false">M380*(1+IF(N$3&lt;=$O$2,$D380,$D380-($D380-$I$373)*MIN(N$3-$O$2,$Q$2)/$Q$2))</f>
        <v>21319.8055681949</v>
      </c>
      <c r="O380" s="15" t="n">
        <f aca="false">SUMPRODUCT(E380:N380,1/(1+$F$373)^$E$3:$N$3)*$E$2</f>
        <v>34924.9292024831</v>
      </c>
      <c r="P380" s="15" t="n">
        <f aca="false">N380*$E$2*(1+$I$373)/($F$373-$I$373)/(1+$F$373)^$N$3</f>
        <v>49963.2717521248</v>
      </c>
      <c r="Q380" s="15" t="n">
        <f aca="false">O380+P380</f>
        <v>84888.200954608</v>
      </c>
      <c r="R380" s="15" t="n">
        <f aca="false">Q380-$G$2+$I$2</f>
        <v>78768.200954608</v>
      </c>
      <c r="S380" s="42" t="n">
        <f aca="false">R380/$K$2</f>
        <v>454.834281987573</v>
      </c>
      <c r="T380" s="43" t="n">
        <f aca="false">S380-$M$2</f>
        <v>-9.30707382718589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0.1328125</v>
      </c>
      <c r="C381" s="25" t="n">
        <f aca="false">IF(T380&gt;0,D380,C380)</f>
        <v>0.15625</v>
      </c>
      <c r="D381" s="41" t="n">
        <f aca="false">(B381+C381)/2</f>
        <v>0.14453125</v>
      </c>
      <c r="E381" s="15" t="n">
        <f aca="false">$C$2*(1+IF(E$3&lt;=$O$2,$D381,$D381-($D381-$I$373)*MIN(E$3-$O$2,$Q$2)/$Q$2))</f>
        <v>9339.375</v>
      </c>
      <c r="F381" s="15" t="n">
        <f aca="false">E381*(1+IF(F$3&lt;=$O$2,$D381,$D381-($D381-$I$373)*MIN(F$3-$O$2,$Q$2)/$Q$2))</f>
        <v>10689.2065429688</v>
      </c>
      <c r="G381" s="15" t="n">
        <f aca="false">F381*(1+IF(G$3&lt;=$O$2,$D381,$D381-($D381-$I$373)*MIN(G$3-$O$2,$Q$2)/$Q$2))</f>
        <v>12234.1309261322</v>
      </c>
      <c r="H381" s="15" t="n">
        <f aca="false">G381*(1+IF(H$3&lt;=$O$2,$D381,$D381-($D381-$I$373)*MIN(H$3-$O$2,$Q$2)/$Q$2))</f>
        <v>14002.3451615497</v>
      </c>
      <c r="I381" s="15" t="n">
        <f aca="false">H381*(1+IF(I$3&lt;=$O$2,$D381,$D381-($D381-$I$373)*MIN(I$3-$O$2,$Q$2)/$Q$2))</f>
        <v>16026.12161068</v>
      </c>
      <c r="J381" s="15" t="n">
        <f aca="false">I381*(1+IF(J$3&lt;=$O$2,$D381,$D381-($D381-$I$373)*MIN(J$3-$O$2,$Q$2)/$Q$2))</f>
        <v>17969.8497702313</v>
      </c>
      <c r="K381" s="15" t="n">
        <f aca="false">J381*(1+IF(K$3&lt;=$O$2,$D381,$D381-($D381-$I$373)*MIN(K$3-$O$2,$Q$2)/$Q$2))</f>
        <v>19731.5913793926</v>
      </c>
      <c r="L381" s="15" t="n">
        <f aca="false">K381*(1+IF(L$3&lt;=$O$2,$D381,$D381-($D381-$I$373)*MIN(L$3-$O$2,$Q$2)/$Q$2))</f>
        <v>21207.3664276358</v>
      </c>
      <c r="M381" s="15" t="n">
        <f aca="false">L381*(1+IF(M$3&lt;=$O$2,$D381,$D381-($D381-$I$373)*MIN(M$3-$O$2,$Q$2)/$Q$2))</f>
        <v>22300.5266393563</v>
      </c>
      <c r="N381" s="15" t="n">
        <f aca="false">M381*(1+IF(N$3&lt;=$O$2,$D381,$D381-($D381-$I$373)*MIN(N$3-$O$2,$Q$2)/$Q$2))</f>
        <v>22931.6315432501</v>
      </c>
      <c r="O381" s="15" t="n">
        <f aca="false">SUMPRODUCT(E381:N381,1/(1+$F$373)^$E$3:$N$3)*$E$2</f>
        <v>36733.8276849683</v>
      </c>
      <c r="P381" s="15" t="n">
        <f aca="false">N381*$E$2*(1+$I$373)/($F$373-$I$373)/(1+$F$373)^$N$3</f>
        <v>53740.6091650398</v>
      </c>
      <c r="Q381" s="15" t="n">
        <f aca="false">O381+P381</f>
        <v>90474.4368500081</v>
      </c>
      <c r="R381" s="15" t="n">
        <f aca="false">Q381-$G$2+$I$2</f>
        <v>84354.4368500081</v>
      </c>
      <c r="S381" s="42" t="n">
        <f aca="false">R381/$K$2</f>
        <v>487.091100877746</v>
      </c>
      <c r="T381" s="43" t="n">
        <f aca="false">S381-$M$2</f>
        <v>22.9497450629871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0.1328125</v>
      </c>
      <c r="C382" s="25" t="n">
        <f aca="false">IF(T381&gt;0,D381,C381)</f>
        <v>0.14453125</v>
      </c>
      <c r="D382" s="41" t="n">
        <f aca="false">(B382+C382)/2</f>
        <v>0.138671875</v>
      </c>
      <c r="E382" s="15" t="n">
        <f aca="false">$C$2*(1+IF(E$3&lt;=$O$2,$D382,$D382-($D382-$I$373)*MIN(E$3-$O$2,$Q$2)/$Q$2))</f>
        <v>9291.5625</v>
      </c>
      <c r="F382" s="15" t="n">
        <f aca="false">E382*(1+IF(F$3&lt;=$O$2,$D382,$D382-($D382-$I$373)*MIN(F$3-$O$2,$Q$2)/$Q$2))</f>
        <v>10580.0408935547</v>
      </c>
      <c r="G382" s="15" t="n">
        <f aca="false">F382*(1+IF(G$3&lt;=$O$2,$D382,$D382-($D382-$I$373)*MIN(G$3-$O$2,$Q$2)/$Q$2))</f>
        <v>12047.1950018406</v>
      </c>
      <c r="H382" s="15" t="n">
        <f aca="false">G382*(1+IF(H$3&lt;=$O$2,$D382,$D382-($D382-$I$373)*MIN(H$3-$O$2,$Q$2)/$Q$2))</f>
        <v>13717.8021212365</v>
      </c>
      <c r="I382" s="15" t="n">
        <f aca="false">H382*(1+IF(I$3&lt;=$O$2,$D382,$D382-($D382-$I$373)*MIN(I$3-$O$2,$Q$2)/$Q$2))</f>
        <v>15620.0754622673</v>
      </c>
      <c r="J382" s="15" t="n">
        <f aca="false">I382*(1+IF(J$3&lt;=$O$2,$D382,$D382-($D382-$I$373)*MIN(J$3-$O$2,$Q$2)/$Q$2))</f>
        <v>17441.337210979</v>
      </c>
      <c r="K382" s="15" t="n">
        <f aca="false">J382*(1+IF(K$3&lt;=$O$2,$D382,$D382-($D382-$I$373)*MIN(K$3-$O$2,$Q$2)/$Q$2))</f>
        <v>19089.9469083395</v>
      </c>
      <c r="L382" s="15" t="n">
        <f aca="false">K382*(1+IF(L$3&lt;=$O$2,$D382,$D382-($D382-$I$373)*MIN(L$3-$O$2,$Q$2)/$Q$2))</f>
        <v>20472.9896994151</v>
      </c>
      <c r="M382" s="15" t="n">
        <f aca="false">L382*(1+IF(M$3&lt;=$O$2,$D382,$D382-($D382-$I$373)*MIN(M$3-$O$2,$Q$2)/$Q$2))</f>
        <v>21504.3037599046</v>
      </c>
      <c r="N382" s="15" t="n">
        <f aca="false">M382*(1+IF(N$3&lt;=$O$2,$D382,$D382-($D382-$I$373)*MIN(N$3-$O$2,$Q$2)/$Q$2))</f>
        <v>22112.8755563099</v>
      </c>
      <c r="O382" s="15" t="n">
        <f aca="false">SUMPRODUCT(E382:N382,1/(1+$F$373)^$E$3:$N$3)*$E$2</f>
        <v>35818.1348000736</v>
      </c>
      <c r="P382" s="15" t="n">
        <f aca="false">N382*$E$2*(1+$I$373)/($F$373-$I$373)/(1+$F$373)^$N$3</f>
        <v>51821.8427042799</v>
      </c>
      <c r="Q382" s="15" t="n">
        <f aca="false">O382+P382</f>
        <v>87639.9775043535</v>
      </c>
      <c r="R382" s="15" t="n">
        <f aca="false">Q382-$G$2+$I$2</f>
        <v>81519.9775043535</v>
      </c>
      <c r="S382" s="42" t="n">
        <f aca="false">R382/$K$2</f>
        <v>470.723972192825</v>
      </c>
      <c r="T382" s="43" t="n">
        <f aca="false">S382-$M$2</f>
        <v>6.58261637806601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0.1328125</v>
      </c>
      <c r="C383" s="25" t="n">
        <f aca="false">IF(T382&gt;0,D382,C382)</f>
        <v>0.138671875</v>
      </c>
      <c r="D383" s="41" t="n">
        <f aca="false">(B383+C383)/2</f>
        <v>0.1357421875</v>
      </c>
      <c r="E383" s="15" t="n">
        <f aca="false">$C$2*(1+IF(E$3&lt;=$O$2,$D383,$D383-($D383-$I$373)*MIN(E$3-$O$2,$Q$2)/$Q$2))</f>
        <v>9267.65625</v>
      </c>
      <c r="F383" s="15" t="n">
        <f aca="false">E383*(1+IF(F$3&lt;=$O$2,$D383,$D383-($D383-$I$373)*MIN(F$3-$O$2,$Q$2)/$Q$2))</f>
        <v>10525.668182373</v>
      </c>
      <c r="G383" s="15" t="n">
        <f aca="false">F383*(1+IF(G$3&lt;=$O$2,$D383,$D383-($D383-$I$373)*MIN(G$3-$O$2,$Q$2)/$Q$2))</f>
        <v>11954.4454063475</v>
      </c>
      <c r="H383" s="15" t="n">
        <f aca="false">G383*(1+IF(H$3&lt;=$O$2,$D383,$D383-($D383-$I$373)*MIN(H$3-$O$2,$Q$2)/$Q$2))</f>
        <v>13577.1679761545</v>
      </c>
      <c r="I383" s="15" t="n">
        <f aca="false">H383*(1+IF(I$3&lt;=$O$2,$D383,$D383-($D383-$I$373)*MIN(I$3-$O$2,$Q$2)/$Q$2))</f>
        <v>15420.1624572926</v>
      </c>
      <c r="J383" s="15" t="n">
        <f aca="false">I383*(1+IF(J$3&lt;=$O$2,$D383,$D383-($D383-$I$373)*MIN(J$3-$O$2,$Q$2)/$Q$2))</f>
        <v>17181.9738436475</v>
      </c>
      <c r="K383" s="15" t="n">
        <f aca="false">J383*(1+IF(K$3&lt;=$O$2,$D383,$D383-($D383-$I$373)*MIN(K$3-$O$2,$Q$2)/$Q$2))</f>
        <v>18775.8650166203</v>
      </c>
      <c r="L383" s="15" t="n">
        <f aca="false">K383*(1+IF(L$3&lt;=$O$2,$D383,$D383-($D383-$I$373)*MIN(L$3-$O$2,$Q$2)/$Q$2))</f>
        <v>20114.1500004268</v>
      </c>
      <c r="M383" s="15" t="n">
        <f aca="false">L383*(1+IF(M$3&lt;=$O$2,$D383,$D383-($D383-$I$373)*MIN(M$3-$O$2,$Q$2)/$Q$2))</f>
        <v>21115.6021005887</v>
      </c>
      <c r="N383" s="15" t="n">
        <f aca="false">M383*(1+IF(N$3&lt;=$O$2,$D383,$D383-($D383-$I$373)*MIN(N$3-$O$2,$Q$2)/$Q$2))</f>
        <v>21713.1736400353</v>
      </c>
      <c r="O383" s="15" t="n">
        <f aca="false">SUMPRODUCT(E383:N383,1/(1+$F$373)^$E$3:$N$3)*$E$2</f>
        <v>35368.7531531618</v>
      </c>
      <c r="P383" s="15" t="n">
        <f aca="false">N383*$E$2*(1+$I$373)/($F$373-$I$373)/(1+$F$373)^$N$3</f>
        <v>50885.1355003239</v>
      </c>
      <c r="Q383" s="15" t="n">
        <f aca="false">O383+P383</f>
        <v>86253.8886534857</v>
      </c>
      <c r="R383" s="15" t="n">
        <f aca="false">Q383-$G$2+$I$2</f>
        <v>80133.8886534857</v>
      </c>
      <c r="S383" s="42" t="n">
        <f aca="false">R383/$K$2</f>
        <v>462.720225508059</v>
      </c>
      <c r="T383" s="43" t="n">
        <f aca="false">S383-$M$2</f>
        <v>-1.42113030669987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0.1357421875</v>
      </c>
      <c r="C384" s="25" t="n">
        <f aca="false">IF(T383&gt;0,D383,C383)</f>
        <v>0.138671875</v>
      </c>
      <c r="D384" s="41" t="n">
        <f aca="false">(B384+C384)/2</f>
        <v>0.13720703125</v>
      </c>
      <c r="E384" s="15" t="n">
        <f aca="false">$C$2*(1+IF(E$3&lt;=$O$2,$D384,$D384-($D384-$I$373)*MIN(E$3-$O$2,$Q$2)/$Q$2))</f>
        <v>9279.609375</v>
      </c>
      <c r="F384" s="15" t="n">
        <f aca="false">E384*(1+IF(F$3&lt;=$O$2,$D384,$D384-($D384-$I$373)*MIN(F$3-$O$2,$Q$2)/$Q$2))</f>
        <v>10552.8370285034</v>
      </c>
      <c r="G384" s="15" t="n">
        <f aca="false">F384*(1+IF(G$3&lt;=$O$2,$D384,$D384-($D384-$I$373)*MIN(G$3-$O$2,$Q$2)/$Q$2))</f>
        <v>12000.7604684494</v>
      </c>
      <c r="H384" s="15" t="n">
        <f aca="false">G384*(1+IF(H$3&lt;=$O$2,$D384,$D384-($D384-$I$373)*MIN(H$3-$O$2,$Q$2)/$Q$2))</f>
        <v>13647.3491850678</v>
      </c>
      <c r="I384" s="15" t="n">
        <f aca="false">H384*(1+IF(I$3&lt;=$O$2,$D384,$D384-($D384-$I$373)*MIN(I$3-$O$2,$Q$2)/$Q$2))</f>
        <v>15519.861451183</v>
      </c>
      <c r="J384" s="15" t="n">
        <f aca="false">I384*(1+IF(J$3&lt;=$O$2,$D384,$D384-($D384-$I$373)*MIN(J$3-$O$2,$Q$2)/$Q$2))</f>
        <v>17311.2511590992</v>
      </c>
      <c r="K384" s="15" t="n">
        <f aca="false">J384*(1+IF(K$3&lt;=$O$2,$D384,$D384-($D384-$I$373)*MIN(K$3-$O$2,$Q$2)/$Q$2))</f>
        <v>18932.3497494781</v>
      </c>
      <c r="L384" s="15" t="n">
        <f aca="false">K384*(1+IF(L$3&lt;=$O$2,$D384,$D384-($D384-$I$373)*MIN(L$3-$O$2,$Q$2)/$Q$2))</f>
        <v>20292.8816497093</v>
      </c>
      <c r="M384" s="15" t="n">
        <f aca="false">L384*(1+IF(M$3&lt;=$O$2,$D384,$D384-($D384-$I$373)*MIN(M$3-$O$2,$Q$2)/$Q$2))</f>
        <v>21309.1776995915</v>
      </c>
      <c r="N384" s="15" t="n">
        <f aca="false">M384*(1+IF(N$3&lt;=$O$2,$D384,$D384-($D384-$I$373)*MIN(N$3-$O$2,$Q$2)/$Q$2))</f>
        <v>21912.22742849</v>
      </c>
      <c r="O384" s="15" t="n">
        <f aca="false">SUMPRODUCT(E384:N384,1/(1+$F$373)^$E$3:$N$3)*$E$2</f>
        <v>35592.7452815047</v>
      </c>
      <c r="P384" s="15" t="n">
        <f aca="false">N384*$E$2*(1+$I$373)/($F$373-$I$373)/(1+$F$373)^$N$3</f>
        <v>51351.6209236565</v>
      </c>
      <c r="Q384" s="15" t="n">
        <f aca="false">O384+P384</f>
        <v>86944.3662051612</v>
      </c>
      <c r="R384" s="15" t="n">
        <f aca="false">Q384-$G$2+$I$2</f>
        <v>80824.3662051612</v>
      </c>
      <c r="S384" s="42" t="n">
        <f aca="false">R384/$K$2</f>
        <v>466.707276851607</v>
      </c>
      <c r="T384" s="43" t="n">
        <f aca="false">S384-$M$2</f>
        <v>2.56592103684733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0.1357421875</v>
      </c>
      <c r="C385" s="25" t="n">
        <f aca="false">IF(T384&gt;0,D384,C384)</f>
        <v>0.13720703125</v>
      </c>
      <c r="D385" s="41" t="n">
        <f aca="false">(B385+C385)/2</f>
        <v>0.136474609375</v>
      </c>
      <c r="E385" s="15" t="n">
        <f aca="false">$C$2*(1+IF(E$3&lt;=$O$2,$D385,$D385-($D385-$I$373)*MIN(E$3-$O$2,$Q$2)/$Q$2))</f>
        <v>9273.6328125</v>
      </c>
      <c r="F385" s="15" t="n">
        <f aca="false">E385*(1+IF(F$3&lt;=$O$2,$D385,$D385-($D385-$I$373)*MIN(F$3-$O$2,$Q$2)/$Q$2))</f>
        <v>10539.2482280731</v>
      </c>
      <c r="G385" s="15" t="n">
        <f aca="false">F385*(1+IF(G$3&lt;=$O$2,$D385,$D385-($D385-$I$373)*MIN(G$3-$O$2,$Q$2)/$Q$2))</f>
        <v>11977.5880131056</v>
      </c>
      <c r="H385" s="15" t="n">
        <f aca="false">G385*(1+IF(H$3&lt;=$O$2,$D385,$D385-($D385-$I$373)*MIN(H$3-$O$2,$Q$2)/$Q$2))</f>
        <v>13612.2246584488</v>
      </c>
      <c r="I385" s="15" t="n">
        <f aca="false">H385*(1+IF(I$3&lt;=$O$2,$D385,$D385-($D385-$I$373)*MIN(I$3-$O$2,$Q$2)/$Q$2))</f>
        <v>15469.9477014354</v>
      </c>
      <c r="J385" s="15" t="n">
        <f aca="false">I385*(1+IF(J$3&lt;=$O$2,$D385,$D385-($D385-$I$373)*MIN(J$3-$O$2,$Q$2)/$Q$2))</f>
        <v>17246.5116611096</v>
      </c>
      <c r="K385" s="15" t="n">
        <f aca="false">J385*(1+IF(K$3&lt;=$O$2,$D385,$D385-($D385-$I$373)*MIN(K$3-$O$2,$Q$2)/$Q$2))</f>
        <v>18853.9687383321</v>
      </c>
      <c r="L385" s="15" t="n">
        <f aca="false">K385*(1+IF(L$3&lt;=$O$2,$D385,$D385-($D385-$I$373)*MIN(L$3-$O$2,$Q$2)/$Q$2))</f>
        <v>20203.3443350019</v>
      </c>
      <c r="M385" s="15" t="n">
        <f aca="false">L385*(1+IF(M$3&lt;=$O$2,$D385,$D385-($D385-$I$373)*MIN(M$3-$O$2,$Q$2)/$Q$2))</f>
        <v>21212.196755984</v>
      </c>
      <c r="N385" s="15" t="n">
        <f aca="false">M385*(1+IF(N$3&lt;=$O$2,$D385,$D385-($D385-$I$373)*MIN(N$3-$O$2,$Q$2)/$Q$2))</f>
        <v>21812.5019241783</v>
      </c>
      <c r="O385" s="15" t="n">
        <f aca="false">SUMPRODUCT(E385:N385,1/(1+$F$373)^$E$3:$N$3)*$E$2</f>
        <v>35480.5750429814</v>
      </c>
      <c r="P385" s="15" t="n">
        <f aca="false">N385*$E$2*(1+$I$373)/($F$373-$I$373)/(1+$F$373)^$N$3</f>
        <v>51117.9127663939</v>
      </c>
      <c r="Q385" s="15" t="n">
        <f aca="false">O385+P385</f>
        <v>86598.4878093753</v>
      </c>
      <c r="R385" s="15" t="n">
        <f aca="false">Q385-$G$2+$I$2</f>
        <v>80478.4878093753</v>
      </c>
      <c r="S385" s="42" t="n">
        <f aca="false">R385/$K$2</f>
        <v>464.710057797525</v>
      </c>
      <c r="T385" s="43" t="n">
        <f aca="false">S385-$M$2</f>
        <v>0.568701982765276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0.1357421875</v>
      </c>
      <c r="C386" s="25" t="n">
        <f aca="false">IF(T385&gt;0,D385,C385)</f>
        <v>0.136474609375</v>
      </c>
      <c r="D386" s="41" t="n">
        <f aca="false">(B386+C386)/2</f>
        <v>0.1361083984375</v>
      </c>
      <c r="E386" s="15" t="n">
        <f aca="false">$C$2*(1+IF(E$3&lt;=$O$2,$D386,$D386-($D386-$I$373)*MIN(E$3-$O$2,$Q$2)/$Q$2))</f>
        <v>9270.64453125</v>
      </c>
      <c r="F386" s="15" t="n">
        <f aca="false">E386*(1+IF(F$3&lt;=$O$2,$D386,$D386-($D386-$I$373)*MIN(F$3-$O$2,$Q$2)/$Q$2))</f>
        <v>10532.4571108818</v>
      </c>
      <c r="G386" s="15" t="n">
        <f aca="false">F386*(1+IF(G$3&lt;=$O$2,$D386,$D386-($D386-$I$373)*MIN(G$3-$O$2,$Q$2)/$Q$2))</f>
        <v>11966.0129798556</v>
      </c>
      <c r="H386" s="15" t="n">
        <f aca="false">G386*(1+IF(H$3&lt;=$O$2,$D386,$D386-($D386-$I$373)*MIN(H$3-$O$2,$Q$2)/$Q$2))</f>
        <v>13594.6878422261</v>
      </c>
      <c r="I386" s="15" t="n">
        <f aca="false">H386*(1+IF(I$3&lt;=$O$2,$D386,$D386-($D386-$I$373)*MIN(I$3-$O$2,$Q$2)/$Q$2))</f>
        <v>15445.0390316892</v>
      </c>
      <c r="J386" s="15" t="n">
        <f aca="false">I386*(1+IF(J$3&lt;=$O$2,$D386,$D386-($D386-$I$373)*MIN(J$3-$O$2,$Q$2)/$Q$2))</f>
        <v>17214.2175737349</v>
      </c>
      <c r="K386" s="15" t="n">
        <f aca="false">J386*(1+IF(K$3&lt;=$O$2,$D386,$D386-($D386-$I$373)*MIN(K$3-$O$2,$Q$2)/$Q$2))</f>
        <v>18814.882267259</v>
      </c>
      <c r="L386" s="15" t="n">
        <f aca="false">K386*(1+IF(L$3&lt;=$O$2,$D386,$D386-($D386-$I$373)*MIN(L$3-$O$2,$Q$2)/$Q$2))</f>
        <v>20158.7043650318</v>
      </c>
      <c r="M386" s="15" t="n">
        <f aca="false">L386*(1+IF(M$3&lt;=$O$2,$D386,$D386-($D386-$I$373)*MIN(M$3-$O$2,$Q$2)/$Q$2))</f>
        <v>21163.851224996</v>
      </c>
      <c r="N386" s="15" t="n">
        <f aca="false">M386*(1+IF(N$3&lt;=$O$2,$D386,$D386-($D386-$I$373)*MIN(N$3-$O$2,$Q$2)/$Q$2))</f>
        <v>21762.7882146634</v>
      </c>
      <c r="O386" s="15" t="n">
        <f aca="false">SUMPRODUCT(E386:N386,1/(1+$F$373)^$E$3:$N$3)*$E$2</f>
        <v>35424.6206167769</v>
      </c>
      <c r="P386" s="15" t="n">
        <f aca="false">N386*$E$2*(1+$I$373)/($F$373-$I$373)/(1+$F$373)^$N$3</f>
        <v>51001.4079713404</v>
      </c>
      <c r="Q386" s="15" t="n">
        <f aca="false">O386+P386</f>
        <v>86426.0285881173</v>
      </c>
      <c r="R386" s="15" t="n">
        <f aca="false">Q386-$G$2+$I$2</f>
        <v>80306.0285881173</v>
      </c>
      <c r="S386" s="42" t="n">
        <f aca="false">R386/$K$2</f>
        <v>463.714219818208</v>
      </c>
      <c r="T386" s="43" t="n">
        <f aca="false">S386-$M$2</f>
        <v>-0.427135996551044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0.1361083984375</v>
      </c>
      <c r="C387" s="25" t="n">
        <f aca="false">IF(T386&gt;0,D386,C386)</f>
        <v>0.136474609375</v>
      </c>
      <c r="D387" s="41" t="n">
        <f aca="false">(B387+C387)/2</f>
        <v>0.13629150390625</v>
      </c>
      <c r="E387" s="15" t="n">
        <f aca="false">$C$2*(1+IF(E$3&lt;=$O$2,$D387,$D387-($D387-$I$373)*MIN(E$3-$O$2,$Q$2)/$Q$2))</f>
        <v>9272.138671875</v>
      </c>
      <c r="F387" s="15" t="n">
        <f aca="false">E387*(1+IF(F$3&lt;=$O$2,$D387,$D387-($D387-$I$373)*MIN(F$3-$O$2,$Q$2)/$Q$2))</f>
        <v>10535.8523958921</v>
      </c>
      <c r="G387" s="15" t="n">
        <f aca="false">F387*(1+IF(G$3&lt;=$O$2,$D387,$D387-($D387-$I$373)*MIN(G$3-$O$2,$Q$2)/$Q$2))</f>
        <v>11971.7995638626</v>
      </c>
      <c r="H387" s="15" t="n">
        <f aca="false">G387*(1+IF(H$3&lt;=$O$2,$D387,$D387-($D387-$I$373)*MIN(H$3-$O$2,$Q$2)/$Q$2))</f>
        <v>13603.4541308856</v>
      </c>
      <c r="I387" s="15" t="n">
        <f aca="false">H387*(1+IF(I$3&lt;=$O$2,$D387,$D387-($D387-$I$373)*MIN(I$3-$O$2,$Q$2)/$Q$2))</f>
        <v>15457.4893527037</v>
      </c>
      <c r="J387" s="15" t="n">
        <f aca="false">I387*(1+IF(J$3&lt;=$O$2,$D387,$D387-($D387-$I$373)*MIN(J$3-$O$2,$Q$2)/$Q$2))</f>
        <v>17230.3583188358</v>
      </c>
      <c r="K387" s="15" t="n">
        <f aca="false">J387*(1+IF(K$3&lt;=$O$2,$D387,$D387-($D387-$I$373)*MIN(K$3-$O$2,$Q$2)/$Q$2))</f>
        <v>18834.4168438757</v>
      </c>
      <c r="L387" s="15" t="n">
        <f aca="false">K387*(1+IF(L$3&lt;=$O$2,$D387,$D387-($D387-$I$373)*MIN(L$3-$O$2,$Q$2)/$Q$2))</f>
        <v>20181.0136406243</v>
      </c>
      <c r="M387" s="15" t="n">
        <f aca="false">L387*(1+IF(M$3&lt;=$O$2,$D387,$D387-($D387-$I$373)*MIN(M$3-$O$2,$Q$2)/$Q$2))</f>
        <v>21188.0119293346</v>
      </c>
      <c r="N387" s="15" t="n">
        <f aca="false">M387*(1+IF(N$3&lt;=$O$2,$D387,$D387-($D387-$I$373)*MIN(N$3-$O$2,$Q$2)/$Q$2))</f>
        <v>21787.6326669348</v>
      </c>
      <c r="O387" s="15" t="n">
        <f aca="false">SUMPRODUCT(E387:N387,1/(1+$F$373)^$E$3:$N$3)*$E$2</f>
        <v>35452.5869517748</v>
      </c>
      <c r="P387" s="15" t="n">
        <f aca="false">N387*$E$2*(1+$I$373)/($F$373-$I$373)/(1+$F$373)^$N$3</f>
        <v>51059.6313034623</v>
      </c>
      <c r="Q387" s="15" t="n">
        <f aca="false">O387+P387</f>
        <v>86512.2182552372</v>
      </c>
      <c r="R387" s="15" t="n">
        <f aca="false">Q387-$G$2+$I$2</f>
        <v>80392.2182552372</v>
      </c>
      <c r="S387" s="42" t="n">
        <f aca="false">R387/$K$2</f>
        <v>464.21190816051</v>
      </c>
      <c r="T387" s="43" t="n">
        <f aca="false">S387-$M$2</f>
        <v>0.0705523457510253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0.1361083984375</v>
      </c>
      <c r="C388" s="25" t="n">
        <f aca="false">IF(T387&gt;0,D387,C387)</f>
        <v>0.13629150390625</v>
      </c>
      <c r="D388" s="41" t="n">
        <f aca="false">(B388+C388)/2</f>
        <v>0.136199951171875</v>
      </c>
      <c r="E388" s="15" t="n">
        <f aca="false">$C$2*(1+IF(E$3&lt;=$O$2,$D388,$D388-($D388-$I$373)*MIN(E$3-$O$2,$Q$2)/$Q$2))</f>
        <v>9271.3916015625</v>
      </c>
      <c r="F388" s="15" t="n">
        <f aca="false">E388*(1+IF(F$3&lt;=$O$2,$D388,$D388-($D388-$I$373)*MIN(F$3-$O$2,$Q$2)/$Q$2))</f>
        <v>10534.1546849906</v>
      </c>
      <c r="G388" s="15" t="n">
        <f aca="false">F388*(1+IF(G$3&lt;=$O$2,$D388,$D388-($D388-$I$373)*MIN(G$3-$O$2,$Q$2)/$Q$2))</f>
        <v>11968.9060387233</v>
      </c>
      <c r="H388" s="15" t="n">
        <f aca="false">G388*(1+IF(H$3&lt;=$O$2,$D388,$D388-($D388-$I$373)*MIN(H$3-$O$2,$Q$2)/$Q$2))</f>
        <v>13599.0704567782</v>
      </c>
      <c r="I388" s="15" t="n">
        <f aca="false">H388*(1+IF(I$3&lt;=$O$2,$D388,$D388-($D388-$I$373)*MIN(I$3-$O$2,$Q$2)/$Q$2))</f>
        <v>15451.2631889743</v>
      </c>
      <c r="J388" s="15" t="n">
        <f aca="false">I388*(1+IF(J$3&lt;=$O$2,$D388,$D388-($D388-$I$373)*MIN(J$3-$O$2,$Q$2)/$Q$2))</f>
        <v>17222.2863721296</v>
      </c>
      <c r="K388" s="15" t="n">
        <f aca="false">J388*(1+IF(K$3&lt;=$O$2,$D388,$D388-($D388-$I$373)*MIN(K$3-$O$2,$Q$2)/$Q$2))</f>
        <v>18824.6473916333</v>
      </c>
      <c r="L388" s="15" t="n">
        <f aca="false">K388*(1+IF(L$3&lt;=$O$2,$D388,$D388-($D388-$I$373)*MIN(L$3-$O$2,$Q$2)/$Q$2))</f>
        <v>20169.8563265706</v>
      </c>
      <c r="M388" s="15" t="n">
        <f aca="false">L388*(1+IF(M$3&lt;=$O$2,$D388,$D388-($D388-$I$373)*MIN(M$3-$O$2,$Q$2)/$Q$2))</f>
        <v>21175.9285631686</v>
      </c>
      <c r="N388" s="15" t="n">
        <f aca="false">M388*(1+IF(N$3&lt;=$O$2,$D388,$D388-($D388-$I$373)*MIN(N$3-$O$2,$Q$2)/$Q$2))</f>
        <v>21775.2073415063</v>
      </c>
      <c r="O388" s="15" t="n">
        <f aca="false">SUMPRODUCT(E388:N388,1/(1+$F$373)^$E$3:$N$3)*$E$2</f>
        <v>35438.6010657227</v>
      </c>
      <c r="P388" s="15" t="n">
        <f aca="false">N388*$E$2*(1+$I$373)/($F$373-$I$373)/(1+$F$373)^$N$3</f>
        <v>51030.5123741641</v>
      </c>
      <c r="Q388" s="15" t="n">
        <f aca="false">O388+P388</f>
        <v>86469.1134398868</v>
      </c>
      <c r="R388" s="15" t="n">
        <f aca="false">Q388-$G$2+$I$2</f>
        <v>80349.1134398868</v>
      </c>
      <c r="S388" s="42" t="n">
        <f aca="false">R388/$K$2</f>
        <v>463.963006351119</v>
      </c>
      <c r="T388" s="43" t="n">
        <f aca="false">S388-$M$2</f>
        <v>-0.178349463640132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0.136199951171875</v>
      </c>
      <c r="C389" s="25" t="n">
        <f aca="false">IF(T388&gt;0,D388,C388)</f>
        <v>0.13629150390625</v>
      </c>
      <c r="D389" s="41" t="n">
        <f aca="false">(B389+C389)/2</f>
        <v>0.136245727539063</v>
      </c>
      <c r="E389" s="15" t="n">
        <f aca="false">$C$2*(1+IF(E$3&lt;=$O$2,$D389,$D389-($D389-$I$373)*MIN(E$3-$O$2,$Q$2)/$Q$2))</f>
        <v>9271.76513671875</v>
      </c>
      <c r="F389" s="15" t="n">
        <f aca="false">E389*(1+IF(F$3&lt;=$O$2,$D389,$D389-($D389-$I$373)*MIN(F$3-$O$2,$Q$2)/$Q$2))</f>
        <v>10535.0035233423</v>
      </c>
      <c r="G389" s="15" t="n">
        <f aca="false">F389*(1+IF(G$3&lt;=$O$2,$D389,$D389-($D389-$I$373)*MIN(G$3-$O$2,$Q$2)/$Q$2))</f>
        <v>11970.3527430067</v>
      </c>
      <c r="H389" s="15" t="n">
        <f aca="false">G389*(1+IF(H$3&lt;=$O$2,$D389,$D389-($D389-$I$373)*MIN(H$3-$O$2,$Q$2)/$Q$2))</f>
        <v>13601.2621613768</v>
      </c>
      <c r="I389" s="15" t="n">
        <f aca="false">H389*(1+IF(I$3&lt;=$O$2,$D389,$D389-($D389-$I$373)*MIN(I$3-$O$2,$Q$2)/$Q$2))</f>
        <v>15454.3760200031</v>
      </c>
      <c r="J389" s="15" t="n">
        <f aca="false">I389*(1+IF(J$3&lt;=$O$2,$D389,$D389-($D389-$I$373)*MIN(J$3-$O$2,$Q$2)/$Q$2))</f>
        <v>17226.3219518824</v>
      </c>
      <c r="K389" s="15" t="n">
        <f aca="false">J389*(1+IF(K$3&lt;=$O$2,$D389,$D389-($D389-$I$373)*MIN(K$3-$O$2,$Q$2)/$Q$2))</f>
        <v>18829.5315766715</v>
      </c>
      <c r="L389" s="15" t="n">
        <f aca="false">K389*(1+IF(L$3&lt;=$O$2,$D389,$D389-($D389-$I$373)*MIN(L$3-$O$2,$Q$2)/$Q$2))</f>
        <v>20175.4343143968</v>
      </c>
      <c r="M389" s="15" t="n">
        <f aca="false">L389*(1+IF(M$3&lt;=$O$2,$D389,$D389-($D389-$I$373)*MIN(M$3-$O$2,$Q$2)/$Q$2))</f>
        <v>21181.969492591</v>
      </c>
      <c r="N389" s="15" t="n">
        <f aca="false">M389*(1+IF(N$3&lt;=$O$2,$D389,$D389-($D389-$I$373)*MIN(N$3-$O$2,$Q$2)/$Q$2))</f>
        <v>21781.4192292313</v>
      </c>
      <c r="O389" s="15" t="n">
        <f aca="false">SUMPRODUCT(E389:N389,1/(1+$F$373)^$E$3:$N$3)*$E$2</f>
        <v>35445.5933289889</v>
      </c>
      <c r="P389" s="15" t="n">
        <f aca="false">N389*$E$2*(1+$I$373)/($F$373-$I$373)/(1+$F$373)^$N$3</f>
        <v>51045.0700226148</v>
      </c>
      <c r="Q389" s="15" t="n">
        <f aca="false">O389+P389</f>
        <v>86490.6633516037</v>
      </c>
      <c r="R389" s="15" t="n">
        <f aca="false">Q389-$G$2+$I$2</f>
        <v>80370.6633516037</v>
      </c>
      <c r="S389" s="42" t="n">
        <f aca="false">R389/$K$2</f>
        <v>464.087442843306</v>
      </c>
      <c r="T389" s="43" t="n">
        <f aca="false">S389-$M$2</f>
        <v>-0.0539129714535989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0.136245727539063</v>
      </c>
      <c r="C390" s="25" t="n">
        <f aca="false">IF(T389&gt;0,D389,C389)</f>
        <v>0.13629150390625</v>
      </c>
      <c r="D390" s="41" t="n">
        <f aca="false">(B390+C390)/2</f>
        <v>0.136268615722656</v>
      </c>
      <c r="E390" s="15" t="n">
        <f aca="false">$C$2*(1+IF(E$3&lt;=$O$2,$D390,$D390-($D390-$I$373)*MIN(E$3-$O$2,$Q$2)/$Q$2))</f>
        <v>9271.95190429688</v>
      </c>
      <c r="F390" s="15" t="n">
        <f aca="false">E390*(1+IF(F$3&lt;=$O$2,$D390,$D390-($D390-$I$373)*MIN(F$3-$O$2,$Q$2)/$Q$2))</f>
        <v>10535.4279553425</v>
      </c>
      <c r="G390" s="15" t="n">
        <f aca="false">F390*(1+IF(G$3&lt;=$O$2,$D390,$D390-($D390-$I$373)*MIN(G$3-$O$2,$Q$2)/$Q$2))</f>
        <v>11971.0761388627</v>
      </c>
      <c r="H390" s="15" t="n">
        <f aca="false">G390*(1+IF(H$3&lt;=$O$2,$D390,$D390-($D390-$I$373)*MIN(H$3-$O$2,$Q$2)/$Q$2))</f>
        <v>13602.3581130161</v>
      </c>
      <c r="I390" s="15" t="n">
        <f aca="false">H390*(1+IF(I$3&lt;=$O$2,$D390,$D390-($D390-$I$373)*MIN(I$3-$O$2,$Q$2)/$Q$2))</f>
        <v>15455.9326236406</v>
      </c>
      <c r="J390" s="15" t="n">
        <f aca="false">I390*(1+IF(J$3&lt;=$O$2,$D390,$D390-($D390-$I$373)*MIN(J$3-$O$2,$Q$2)/$Q$2))</f>
        <v>17228.3400369514</v>
      </c>
      <c r="K390" s="15" t="n">
        <f aca="false">J390*(1+IF(K$3&lt;=$O$2,$D390,$D390-($D390-$I$373)*MIN(K$3-$O$2,$Q$2)/$Q$2))</f>
        <v>18831.9740749904</v>
      </c>
      <c r="L390" s="15" t="n">
        <f aca="false">K390*(1+IF(L$3&lt;=$O$2,$D390,$D390-($D390-$I$373)*MIN(L$3-$O$2,$Q$2)/$Q$2))</f>
        <v>20178.2238101933</v>
      </c>
      <c r="M390" s="15" t="n">
        <f aca="false">L390*(1+IF(M$3&lt;=$O$2,$D390,$D390-($D390-$I$373)*MIN(M$3-$O$2,$Q$2)/$Q$2))</f>
        <v>21184.9905225275</v>
      </c>
      <c r="N390" s="15" t="n">
        <f aca="false">M390*(1+IF(N$3&lt;=$O$2,$D390,$D390-($D390-$I$373)*MIN(N$3-$O$2,$Q$2)/$Q$2))</f>
        <v>21784.525754315</v>
      </c>
      <c r="O390" s="15" t="n">
        <f aca="false">SUMPRODUCT(E390:N390,1/(1+$F$373)^$E$3:$N$3)*$E$2</f>
        <v>35449.0899704267</v>
      </c>
      <c r="P390" s="15" t="n">
        <f aca="false">N390*$E$2*(1+$I$373)/($F$373-$I$373)/(1+$F$373)^$N$3</f>
        <v>51052.3502089403</v>
      </c>
      <c r="Q390" s="15" t="n">
        <f aca="false">O390+P390</f>
        <v>86501.440179367</v>
      </c>
      <c r="R390" s="15" t="n">
        <f aca="false">Q390-$G$2+$I$2</f>
        <v>80381.440179367</v>
      </c>
      <c r="S390" s="42" t="n">
        <f aca="false">R390/$K$2</f>
        <v>464.149671898412</v>
      </c>
      <c r="T390" s="43" t="n">
        <f aca="false">S390-$M$2</f>
        <v>0.00831608365274406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0.136245727539063</v>
      </c>
      <c r="C391" s="25" t="n">
        <f aca="false">IF(T390&gt;0,D390,C390)</f>
        <v>0.136268615722656</v>
      </c>
      <c r="D391" s="41" t="n">
        <f aca="false">(B391+C391)/2</f>
        <v>0.136257171630859</v>
      </c>
      <c r="E391" s="15" t="n">
        <f aca="false">$C$2*(1+IF(E$3&lt;=$O$2,$D391,$D391-($D391-$I$373)*MIN(E$3-$O$2,$Q$2)/$Q$2))</f>
        <v>9271.85852050781</v>
      </c>
      <c r="F391" s="15" t="n">
        <f aca="false">E391*(1+IF(F$3&lt;=$O$2,$D391,$D391-($D391-$I$373)*MIN(F$3-$O$2,$Q$2)/$Q$2))</f>
        <v>10535.2157382737</v>
      </c>
      <c r="G391" s="15" t="n">
        <f aca="false">F391*(1+IF(G$3&lt;=$O$2,$D391,$D391-($D391-$I$373)*MIN(G$3-$O$2,$Q$2)/$Q$2))</f>
        <v>11970.7144372918</v>
      </c>
      <c r="H391" s="15" t="n">
        <f aca="false">G391*(1+IF(H$3&lt;=$O$2,$D391,$D391-($D391-$I$373)*MIN(H$3-$O$2,$Q$2)/$Q$2))</f>
        <v>13601.8101289179</v>
      </c>
      <c r="I391" s="15" t="n">
        <f aca="false">H391*(1+IF(I$3&lt;=$O$2,$D391,$D391-($D391-$I$373)*MIN(I$3-$O$2,$Q$2)/$Q$2))</f>
        <v>15455.1543061442</v>
      </c>
      <c r="J391" s="15" t="n">
        <f aca="false">I391*(1+IF(J$3&lt;=$O$2,$D391,$D391-($D391-$I$373)*MIN(J$3-$O$2,$Q$2)/$Q$2))</f>
        <v>17227.3309698159</v>
      </c>
      <c r="K391" s="15" t="n">
        <f aca="false">J391*(1+IF(K$3&lt;=$O$2,$D391,$D391-($D391-$I$373)*MIN(K$3-$O$2,$Q$2)/$Q$2))</f>
        <v>18830.7527920117</v>
      </c>
      <c r="L391" s="15" t="n">
        <f aca="false">K391*(1+IF(L$3&lt;=$O$2,$D391,$D391-($D391-$I$373)*MIN(L$3-$O$2,$Q$2)/$Q$2))</f>
        <v>20176.8290204679</v>
      </c>
      <c r="M391" s="15" t="n">
        <f aca="false">L391*(1+IF(M$3&lt;=$O$2,$D391,$D391-($D391-$I$373)*MIN(M$3-$O$2,$Q$2)/$Q$2))</f>
        <v>21183.4799604529</v>
      </c>
      <c r="N391" s="15" t="n">
        <f aca="false">M391*(1+IF(N$3&lt;=$O$2,$D391,$D391-($D391-$I$373)*MIN(N$3-$O$2,$Q$2)/$Q$2))</f>
        <v>21782.9724433337</v>
      </c>
      <c r="O391" s="15" t="n">
        <f aca="false">SUMPRODUCT(E391:N391,1/(1+$F$373)^$E$3:$N$3)*$E$2</f>
        <v>35447.3416072209</v>
      </c>
      <c r="P391" s="15" t="n">
        <f aca="false">N391*$E$2*(1+$I$373)/($F$373-$I$373)/(1+$F$373)^$N$3</f>
        <v>51048.710002259</v>
      </c>
      <c r="Q391" s="15" t="n">
        <f aca="false">O391+P391</f>
        <v>86496.0516094799</v>
      </c>
      <c r="R391" s="15" t="n">
        <f aca="false">Q391-$G$2+$I$2</f>
        <v>80376.0516094799</v>
      </c>
      <c r="S391" s="42" t="n">
        <f aca="false">R391/$K$2</f>
        <v>464.118556470031</v>
      </c>
      <c r="T391" s="43" t="n">
        <f aca="false">S391-$M$2</f>
        <v>-0.0227993447284121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0.136257171630859</v>
      </c>
      <c r="C392" s="25" t="n">
        <f aca="false">IF(T391&gt;0,D391,C391)</f>
        <v>0.136268615722656</v>
      </c>
      <c r="D392" s="41" t="n">
        <f aca="false">(B392+C392)/2</f>
        <v>0.136262893676758</v>
      </c>
      <c r="E392" s="15" t="n">
        <f aca="false">$C$2*(1+IF(E$3&lt;=$O$2,$D392,$D392-($D392-$I$373)*MIN(E$3-$O$2,$Q$2)/$Q$2))</f>
        <v>9271.90521240234</v>
      </c>
      <c r="F392" s="15" t="n">
        <f aca="false">E392*(1+IF(F$3&lt;=$O$2,$D392,$D392-($D392-$I$373)*MIN(F$3-$O$2,$Q$2)/$Q$2))</f>
        <v>10535.3218465409</v>
      </c>
      <c r="G392" s="15" t="n">
        <f aca="false">F392*(1+IF(G$3&lt;=$O$2,$D392,$D392-($D392-$I$373)*MIN(G$3-$O$2,$Q$2)/$Q$2))</f>
        <v>11970.8952871665</v>
      </c>
      <c r="H392" s="15" t="n">
        <f aca="false">G392*(1+IF(H$3&lt;=$O$2,$D392,$D392-($D392-$I$373)*MIN(H$3-$O$2,$Q$2)/$Q$2))</f>
        <v>13602.0841188973</v>
      </c>
      <c r="I392" s="15" t="n">
        <f aca="false">H392*(1+IF(I$3&lt;=$O$2,$D392,$D392-($D392-$I$373)*MIN(I$3-$O$2,$Q$2)/$Q$2))</f>
        <v>15455.5434609729</v>
      </c>
      <c r="J392" s="15" t="n">
        <f aca="false">I392*(1+IF(J$3&lt;=$O$2,$D392,$D392-($D392-$I$373)*MIN(J$3-$O$2,$Q$2)/$Q$2))</f>
        <v>17227.8354972333</v>
      </c>
      <c r="K392" s="15" t="n">
        <f aca="false">J392*(1+IF(K$3&lt;=$O$2,$D392,$D392-($D392-$I$373)*MIN(K$3-$O$2,$Q$2)/$Q$2))</f>
        <v>18831.3634250461</v>
      </c>
      <c r="L392" s="15" t="n">
        <f aca="false">K392*(1+IF(L$3&lt;=$O$2,$D392,$D392-($D392-$I$373)*MIN(L$3-$O$2,$Q$2)/$Q$2))</f>
        <v>20177.5264048735</v>
      </c>
      <c r="M392" s="15" t="n">
        <f aca="false">L392*(1+IF(M$3&lt;=$O$2,$D392,$D392-($D392-$I$373)*MIN(M$3-$O$2,$Q$2)/$Q$2))</f>
        <v>21184.2352297133</v>
      </c>
      <c r="N392" s="15" t="n">
        <f aca="false">M392*(1+IF(N$3&lt;=$O$2,$D392,$D392-($D392-$I$373)*MIN(N$3-$O$2,$Q$2)/$Q$2))</f>
        <v>21783.7490867142</v>
      </c>
      <c r="O392" s="15" t="n">
        <f aca="false">SUMPRODUCT(E392:N392,1/(1+$F$373)^$E$3:$N$3)*$E$2</f>
        <v>35448.2157782018</v>
      </c>
      <c r="P392" s="15" t="n">
        <f aca="false">N392*$E$2*(1+$I$373)/($F$373-$I$373)/(1+$F$373)^$N$3</f>
        <v>51050.5300772193</v>
      </c>
      <c r="Q392" s="15" t="n">
        <f aca="false">O392+P392</f>
        <v>86498.7458554211</v>
      </c>
      <c r="R392" s="15" t="n">
        <f aca="false">Q392-$G$2+$I$2</f>
        <v>80378.7458554211</v>
      </c>
      <c r="S392" s="42" t="n">
        <f aca="false">R392/$K$2</f>
        <v>464.134113959009</v>
      </c>
      <c r="T392" s="43" t="n">
        <f aca="false">S392-$M$2</f>
        <v>-0.00724185575057845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0.136262893676758</v>
      </c>
      <c r="C393" s="25" t="n">
        <f aca="false">IF(T392&gt;0,D392,C392)</f>
        <v>0.136268615722656</v>
      </c>
      <c r="D393" s="41" t="n">
        <f aca="false">(B393+C393)/2</f>
        <v>0.136265754699707</v>
      </c>
      <c r="E393" s="15" t="n">
        <f aca="false">$C$2*(1+IF(E$3&lt;=$O$2,$D393,$D393-($D393-$I$373)*MIN(E$3-$O$2,$Q$2)/$Q$2))</f>
        <v>9271.92855834961</v>
      </c>
      <c r="F393" s="15" t="n">
        <f aca="false">E393*(1+IF(F$3&lt;=$O$2,$D393,$D393-($D393-$I$373)*MIN(F$3-$O$2,$Q$2)/$Q$2))</f>
        <v>10535.3749008749</v>
      </c>
      <c r="G393" s="15" t="n">
        <f aca="false">F393*(1+IF(G$3&lt;=$O$2,$D393,$D393-($D393-$I$373)*MIN(G$3-$O$2,$Q$2)/$Q$2))</f>
        <v>11970.985712787</v>
      </c>
      <c r="H393" s="15" t="n">
        <f aca="false">G393*(1+IF(H$3&lt;=$O$2,$D393,$D393-($D393-$I$373)*MIN(H$3-$O$2,$Q$2)/$Q$2))</f>
        <v>13602.2211154393</v>
      </c>
      <c r="I393" s="15" t="n">
        <f aca="false">H393*(1+IF(I$3&lt;=$O$2,$D393,$D393-($D393-$I$373)*MIN(I$3-$O$2,$Q$2)/$Q$2))</f>
        <v>15455.7380413269</v>
      </c>
      <c r="J393" s="15" t="n">
        <f aca="false">I393*(1+IF(J$3&lt;=$O$2,$D393,$D393-($D393-$I$373)*MIN(J$3-$O$2,$Q$2)/$Q$2))</f>
        <v>17228.0877655547</v>
      </c>
      <c r="K393" s="15" t="n">
        <f aca="false">J393*(1+IF(K$3&lt;=$O$2,$D393,$D393-($D393-$I$373)*MIN(K$3-$O$2,$Q$2)/$Q$2))</f>
        <v>18831.6687479045</v>
      </c>
      <c r="L393" s="15" t="n">
        <f aca="false">K393*(1+IF(L$3&lt;=$O$2,$D393,$D393-($D393-$I$373)*MIN(L$3-$O$2,$Q$2)/$Q$2))</f>
        <v>20177.8751049191</v>
      </c>
      <c r="M393" s="15" t="n">
        <f aca="false">L393*(1+IF(M$3&lt;=$O$2,$D393,$D393-($D393-$I$373)*MIN(M$3-$O$2,$Q$2)/$Q$2))</f>
        <v>21184.6128731761</v>
      </c>
      <c r="N393" s="15" t="n">
        <f aca="false">M393*(1+IF(N$3&lt;=$O$2,$D393,$D393-($D393-$I$373)*MIN(N$3-$O$2,$Q$2)/$Q$2))</f>
        <v>21784.137417487</v>
      </c>
      <c r="O393" s="15" t="n">
        <f aca="false">SUMPRODUCT(E393:N393,1/(1+$F$373)^$E$3:$N$3)*$E$2</f>
        <v>35448.6528716587</v>
      </c>
      <c r="P393" s="15" t="n">
        <f aca="false">N393*$E$2*(1+$I$373)/($F$373-$I$373)/(1+$F$373)^$N$3</f>
        <v>51051.4401359846</v>
      </c>
      <c r="Q393" s="15" t="n">
        <f aca="false">O393+P393</f>
        <v>86500.0930076433</v>
      </c>
      <c r="R393" s="15" t="n">
        <f aca="false">Q393-$G$2+$I$2</f>
        <v>80380.0930076433</v>
      </c>
      <c r="S393" s="42" t="n">
        <f aca="false">R393/$K$2</f>
        <v>464.141892872406</v>
      </c>
      <c r="T393" s="43" t="n">
        <f aca="false">S393-$M$2</f>
        <v>0.000537057647079564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0.136262893676758</v>
      </c>
      <c r="C394" s="25" t="n">
        <f aca="false">IF(T393&gt;0,D393,C393)</f>
        <v>0.136265754699707</v>
      </c>
      <c r="D394" s="41" t="n">
        <f aca="false">(B394+C394)/2</f>
        <v>0.136264324188232</v>
      </c>
      <c r="E394" s="15" t="n">
        <f aca="false">$C$2*(1+IF(E$3&lt;=$O$2,$D394,$D394-($D394-$I$373)*MIN(E$3-$O$2,$Q$2)/$Q$2))</f>
        <v>9271.91688537598</v>
      </c>
      <c r="F394" s="15" t="n">
        <f aca="false">E394*(1+IF(F$3&lt;=$O$2,$D394,$D394-($D394-$I$373)*MIN(F$3-$O$2,$Q$2)/$Q$2))</f>
        <v>10535.3483736912</v>
      </c>
      <c r="G394" s="15" t="n">
        <f aca="false">F394*(1+IF(G$3&lt;=$O$2,$D394,$D394-($D394-$I$373)*MIN(G$3-$O$2,$Q$2)/$Q$2))</f>
        <v>11970.9404999198</v>
      </c>
      <c r="H394" s="15" t="n">
        <f aca="false">G394*(1+IF(H$3&lt;=$O$2,$D394,$D394-($D394-$I$373)*MIN(H$3-$O$2,$Q$2)/$Q$2))</f>
        <v>13602.1526170389</v>
      </c>
      <c r="I394" s="15" t="n">
        <f aca="false">H394*(1+IF(I$3&lt;=$O$2,$D394,$D394-($D394-$I$373)*MIN(I$3-$O$2,$Q$2)/$Q$2))</f>
        <v>15455.6407509049</v>
      </c>
      <c r="J394" s="15" t="n">
        <f aca="false">I394*(1+IF(J$3&lt;=$O$2,$D394,$D394-($D394-$I$373)*MIN(J$3-$O$2,$Q$2)/$Q$2))</f>
        <v>17227.9616310096</v>
      </c>
      <c r="K394" s="15" t="n">
        <f aca="false">J394*(1+IF(K$3&lt;=$O$2,$D394,$D394-($D394-$I$373)*MIN(K$3-$O$2,$Q$2)/$Q$2))</f>
        <v>18831.5160859468</v>
      </c>
      <c r="L394" s="15" t="n">
        <f aca="false">K394*(1+IF(L$3&lt;=$O$2,$D394,$D394-($D394-$I$373)*MIN(L$3-$O$2,$Q$2)/$Q$2))</f>
        <v>20177.7007542427</v>
      </c>
      <c r="M394" s="15" t="n">
        <f aca="false">L394*(1+IF(M$3&lt;=$O$2,$D394,$D394-($D394-$I$373)*MIN(M$3-$O$2,$Q$2)/$Q$2))</f>
        <v>21184.4240507087</v>
      </c>
      <c r="N394" s="15" t="n">
        <f aca="false">M394*(1+IF(N$3&lt;=$O$2,$D394,$D394-($D394-$I$373)*MIN(N$3-$O$2,$Q$2)/$Q$2))</f>
        <v>21783.9432513437</v>
      </c>
      <c r="O394" s="15" t="n">
        <f aca="false">SUMPRODUCT(E394:N394,1/(1+$F$373)^$E$3:$N$3)*$E$2</f>
        <v>35448.4343242664</v>
      </c>
      <c r="P394" s="15" t="n">
        <f aca="false">N394*$E$2*(1+$I$373)/($F$373-$I$373)/(1+$F$373)^$N$3</f>
        <v>51050.9851048282</v>
      </c>
      <c r="Q394" s="15" t="n">
        <f aca="false">O394+P394</f>
        <v>86499.4194290946</v>
      </c>
      <c r="R394" s="15" t="n">
        <f aca="false">Q394-$G$2+$I$2</f>
        <v>80379.4194290946</v>
      </c>
      <c r="S394" s="42" t="n">
        <f aca="false">R394/$K$2</f>
        <v>464.138003401632</v>
      </c>
      <c r="T394" s="43" t="n">
        <f aca="false">S394-$M$2</f>
        <v>-0.00335241312762946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0.136264324188232</v>
      </c>
      <c r="C395" s="25" t="n">
        <f aca="false">IF(T394&gt;0,D394,C394)</f>
        <v>0.136265754699707</v>
      </c>
      <c r="D395" s="41" t="n">
        <f aca="false">(B395+C395)/2</f>
        <v>0.13626503944397</v>
      </c>
      <c r="E395" s="15" t="n">
        <f aca="false">$C$2*(1+IF(E$3&lt;=$O$2,$D395,$D395-($D395-$I$373)*MIN(E$3-$O$2,$Q$2)/$Q$2))</f>
        <v>9271.92272186279</v>
      </c>
      <c r="F395" s="15" t="n">
        <f aca="false">E395*(1+IF(F$3&lt;=$O$2,$D395,$D395-($D395-$I$373)*MIN(F$3-$O$2,$Q$2)/$Q$2))</f>
        <v>10535.3616372789</v>
      </c>
      <c r="G395" s="15" t="n">
        <f aca="false">F395*(1+IF(G$3&lt;=$O$2,$D395,$D395-($D395-$I$373)*MIN(G$3-$O$2,$Q$2)/$Q$2))</f>
        <v>11970.9631063392</v>
      </c>
      <c r="H395" s="15" t="n">
        <f aca="false">G395*(1+IF(H$3&lt;=$O$2,$D395,$D395-($D395-$I$373)*MIN(H$3-$O$2,$Q$2)/$Q$2))</f>
        <v>13602.1868662068</v>
      </c>
      <c r="I395" s="15" t="n">
        <f aca="false">H395*(1+IF(I$3&lt;=$O$2,$D395,$D395-($D395-$I$373)*MIN(I$3-$O$2,$Q$2)/$Q$2))</f>
        <v>15455.6893960547</v>
      </c>
      <c r="J395" s="15" t="n">
        <f aca="false">I395*(1+IF(J$3&lt;=$O$2,$D395,$D395-($D395-$I$373)*MIN(J$3-$O$2,$Q$2)/$Q$2))</f>
        <v>17228.0246981861</v>
      </c>
      <c r="K395" s="15" t="n">
        <f aca="false">J395*(1+IF(K$3&lt;=$O$2,$D395,$D395-($D395-$I$373)*MIN(K$3-$O$2,$Q$2)/$Q$2))</f>
        <v>18831.5924167935</v>
      </c>
      <c r="L395" s="15" t="n">
        <f aca="false">K395*(1+IF(L$3&lt;=$O$2,$D395,$D395-($D395-$I$373)*MIN(L$3-$O$2,$Q$2)/$Q$2))</f>
        <v>20177.7879294175</v>
      </c>
      <c r="M395" s="15" t="n">
        <f aca="false">L395*(1+IF(M$3&lt;=$O$2,$D395,$D395-($D395-$I$373)*MIN(M$3-$O$2,$Q$2)/$Q$2))</f>
        <v>21184.5184617584</v>
      </c>
      <c r="N395" s="15" t="n">
        <f aca="false">M395*(1+IF(N$3&lt;=$O$2,$D395,$D395-($D395-$I$373)*MIN(N$3-$O$2,$Q$2)/$Q$2))</f>
        <v>21784.0403342261</v>
      </c>
      <c r="O395" s="15" t="n">
        <f aca="false">SUMPRODUCT(E395:N395,1/(1+$F$373)^$E$3:$N$3)*$E$2</f>
        <v>35448.5435977966</v>
      </c>
      <c r="P395" s="15" t="n">
        <f aca="false">N395*$E$2*(1+$I$373)/($F$373-$I$373)/(1+$F$373)^$N$3</f>
        <v>51051.2126199629</v>
      </c>
      <c r="Q395" s="15" t="n">
        <f aca="false">O395+P395</f>
        <v>86499.7562177595</v>
      </c>
      <c r="R395" s="15" t="n">
        <f aca="false">Q395-$G$2+$I$2</f>
        <v>80379.7562177595</v>
      </c>
      <c r="S395" s="42" t="n">
        <f aca="false">R395/$K$2</f>
        <v>464.1399481335</v>
      </c>
      <c r="T395" s="43" t="n">
        <f aca="false">S395-$M$2</f>
        <v>-0.00140768125919521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0.13626503944397</v>
      </c>
      <c r="C396" s="25" t="n">
        <f aca="false">IF(T395&gt;0,D395,C395)</f>
        <v>0.136265754699707</v>
      </c>
      <c r="D396" s="41" t="n">
        <f aca="false">(B396+C396)/2</f>
        <v>0.136265397071838</v>
      </c>
      <c r="E396" s="15" t="n">
        <f aca="false">$C$2*(1+IF(E$3&lt;=$O$2,$D396,$D396-($D396-$I$373)*MIN(E$3-$O$2,$Q$2)/$Q$2))</f>
        <v>9271.9256401062</v>
      </c>
      <c r="F396" s="15" t="n">
        <f aca="false">E396*(1+IF(F$3&lt;=$O$2,$D396,$D396-($D396-$I$373)*MIN(F$3-$O$2,$Q$2)/$Q$2))</f>
        <v>10535.3682690758</v>
      </c>
      <c r="G396" s="15" t="n">
        <f aca="false">F396*(1+IF(G$3&lt;=$O$2,$D396,$D396-($D396-$I$373)*MIN(G$3-$O$2,$Q$2)/$Q$2))</f>
        <v>11970.9744095595</v>
      </c>
      <c r="H396" s="15" t="n">
        <f aca="false">G396*(1+IF(H$3&lt;=$O$2,$D396,$D396-($D396-$I$373)*MIN(H$3-$O$2,$Q$2)/$Q$2))</f>
        <v>13602.2039908149</v>
      </c>
      <c r="I396" s="15" t="n">
        <f aca="false">H396*(1+IF(I$3&lt;=$O$2,$D396,$D396-($D396-$I$373)*MIN(I$3-$O$2,$Q$2)/$Q$2))</f>
        <v>15455.7137186755</v>
      </c>
      <c r="J396" s="15" t="n">
        <f aca="false">I396*(1+IF(J$3&lt;=$O$2,$D396,$D396-($D396-$I$373)*MIN(J$3-$O$2,$Q$2)/$Q$2))</f>
        <v>17228.0562318464</v>
      </c>
      <c r="K396" s="15" t="n">
        <f aca="false">J396*(1+IF(K$3&lt;=$O$2,$D396,$D396-($D396-$I$373)*MIN(K$3-$O$2,$Q$2)/$Q$2))</f>
        <v>18831.630582316</v>
      </c>
      <c r="L396" s="15" t="n">
        <f aca="false">K396*(1+IF(L$3&lt;=$O$2,$D396,$D396-($D396-$I$373)*MIN(L$3-$O$2,$Q$2)/$Q$2))</f>
        <v>20177.8315171275</v>
      </c>
      <c r="M396" s="15" t="n">
        <f aca="false">L396*(1+IF(M$3&lt;=$O$2,$D396,$D396-($D396-$I$373)*MIN(M$3-$O$2,$Q$2)/$Q$2))</f>
        <v>21184.5656674212</v>
      </c>
      <c r="N396" s="15" t="n">
        <f aca="false">M396*(1+IF(N$3&lt;=$O$2,$D396,$D396-($D396-$I$373)*MIN(N$3-$O$2,$Q$2)/$Q$2))</f>
        <v>21784.0888758093</v>
      </c>
      <c r="O396" s="15" t="n">
        <f aca="false">SUMPRODUCT(E396:N396,1/(1+$F$373)^$E$3:$N$3)*$E$2</f>
        <v>35448.5982346862</v>
      </c>
      <c r="P396" s="15" t="n">
        <f aca="false">N396*$E$2*(1+$I$373)/($F$373-$I$373)/(1+$F$373)^$N$3</f>
        <v>51051.3263778629</v>
      </c>
      <c r="Q396" s="15" t="n">
        <f aca="false">O396+P396</f>
        <v>86499.9246125491</v>
      </c>
      <c r="R396" s="15" t="n">
        <f aca="false">Q396-$G$2+$I$2</f>
        <v>80379.9246125491</v>
      </c>
      <c r="S396" s="42" t="n">
        <f aca="false">R396/$K$2</f>
        <v>464.140920502073</v>
      </c>
      <c r="T396" s="43" t="n">
        <f aca="false">S396-$M$2</f>
        <v>-0.000435312685738154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0.136265397071838</v>
      </c>
      <c r="C397" s="25" t="n">
        <f aca="false">IF(T396&gt;0,D396,C396)</f>
        <v>0.136265754699707</v>
      </c>
      <c r="D397" s="41" t="n">
        <f aca="false">(B397+C397)/2</f>
        <v>0.136265575885773</v>
      </c>
      <c r="E397" s="15" t="n">
        <f aca="false">$C$2*(1+IF(E$3&lt;=$O$2,$D397,$D397-($D397-$I$373)*MIN(E$3-$O$2,$Q$2)/$Q$2))</f>
        <v>9271.92709922791</v>
      </c>
      <c r="F397" s="15" t="n">
        <f aca="false">E397*(1+IF(F$3&lt;=$O$2,$D397,$D397-($D397-$I$373)*MIN(F$3-$O$2,$Q$2)/$Q$2))</f>
        <v>10535.3715849751</v>
      </c>
      <c r="G397" s="15" t="n">
        <f aca="false">F397*(1+IF(G$3&lt;=$O$2,$D397,$D397-($D397-$I$373)*MIN(G$3-$O$2,$Q$2)/$Q$2))</f>
        <v>11970.9800611723</v>
      </c>
      <c r="H397" s="15" t="n">
        <f aca="false">G397*(1+IF(H$3&lt;=$O$2,$D397,$D397-($D397-$I$373)*MIN(H$3-$O$2,$Q$2)/$Q$2))</f>
        <v>13602.2125531251</v>
      </c>
      <c r="I397" s="15" t="n">
        <f aca="false">H397*(1+IF(I$3&lt;=$O$2,$D397,$D397-($D397-$I$373)*MIN(I$3-$O$2,$Q$2)/$Q$2))</f>
        <v>15455.7258799974</v>
      </c>
      <c r="J397" s="15" t="n">
        <f aca="false">I397*(1+IF(J$3&lt;=$O$2,$D397,$D397-($D397-$I$373)*MIN(J$3-$O$2,$Q$2)/$Q$2))</f>
        <v>17228.0719986945</v>
      </c>
      <c r="K397" s="15" t="n">
        <f aca="false">J397*(1+IF(K$3&lt;=$O$2,$D397,$D397-($D397-$I$373)*MIN(K$3-$O$2,$Q$2)/$Q$2))</f>
        <v>18831.649665102</v>
      </c>
      <c r="L397" s="15" t="n">
        <f aca="false">K397*(1+IF(L$3&lt;=$O$2,$D397,$D397-($D397-$I$373)*MIN(L$3-$O$2,$Q$2)/$Q$2))</f>
        <v>20177.8533110131</v>
      </c>
      <c r="M397" s="15" t="n">
        <f aca="false">L397*(1+IF(M$3&lt;=$O$2,$D397,$D397-($D397-$I$373)*MIN(M$3-$O$2,$Q$2)/$Q$2))</f>
        <v>21184.5892702872</v>
      </c>
      <c r="N397" s="15" t="n">
        <f aca="false">M397*(1+IF(N$3&lt;=$O$2,$D397,$D397-($D397-$I$373)*MIN(N$3-$O$2,$Q$2)/$Q$2))</f>
        <v>21784.1131466363</v>
      </c>
      <c r="O397" s="15" t="n">
        <f aca="false">SUMPRODUCT(E397:N397,1/(1+$F$373)^$E$3:$N$3)*$E$2</f>
        <v>35448.6255531621</v>
      </c>
      <c r="P397" s="15" t="n">
        <f aca="false">N397*$E$2*(1+$I$373)/($F$373-$I$373)/(1+$F$373)^$N$3</f>
        <v>51051.383256896</v>
      </c>
      <c r="Q397" s="15" t="n">
        <f aca="false">O397+P397</f>
        <v>86500.0088100581</v>
      </c>
      <c r="R397" s="15" t="n">
        <f aca="false">Q397-$G$2+$I$2</f>
        <v>80380.0088100581</v>
      </c>
      <c r="S397" s="42" t="n">
        <f aca="false">R397/$K$2</f>
        <v>464.14140668702</v>
      </c>
      <c r="T397" s="43" t="n">
        <f aca="false">S397-$M$2</f>
        <v>5.08722606582523E-005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0.136265397071838</v>
      </c>
      <c r="C398" s="25" t="n">
        <f aca="false">IF(T397&gt;0,D397,C397)</f>
        <v>0.136265575885773</v>
      </c>
      <c r="D398" s="41" t="n">
        <f aca="false">(B398+C398)/2</f>
        <v>0.136265486478806</v>
      </c>
      <c r="E398" s="15" t="n">
        <f aca="false">$C$2*(1+IF(E$3&lt;=$O$2,$D398,$D398-($D398-$I$373)*MIN(E$3-$O$2,$Q$2)/$Q$2))</f>
        <v>9271.92636966705</v>
      </c>
      <c r="F398" s="15" t="n">
        <f aca="false">E398*(1+IF(F$3&lt;=$O$2,$D398,$D398-($D398-$I$373)*MIN(F$3-$O$2,$Q$2)/$Q$2))</f>
        <v>10535.3699270254</v>
      </c>
      <c r="G398" s="15" t="n">
        <f aca="false">F398*(1+IF(G$3&lt;=$O$2,$D398,$D398-($D398-$I$373)*MIN(G$3-$O$2,$Q$2)/$Q$2))</f>
        <v>11970.9772353657</v>
      </c>
      <c r="H398" s="15" t="n">
        <f aca="false">G398*(1+IF(H$3&lt;=$O$2,$D398,$D398-($D398-$I$373)*MIN(H$3-$O$2,$Q$2)/$Q$2))</f>
        <v>13602.2082719695</v>
      </c>
      <c r="I398" s="15" t="n">
        <f aca="false">H398*(1+IF(I$3&lt;=$O$2,$D398,$D398-($D398-$I$373)*MIN(I$3-$O$2,$Q$2)/$Q$2))</f>
        <v>15455.7197993355</v>
      </c>
      <c r="J398" s="15" t="n">
        <f aca="false">I398*(1+IF(J$3&lt;=$O$2,$D398,$D398-($D398-$I$373)*MIN(J$3-$O$2,$Q$2)/$Q$2))</f>
        <v>17228.0641152689</v>
      </c>
      <c r="K398" s="15" t="n">
        <f aca="false">J398*(1+IF(K$3&lt;=$O$2,$D398,$D398-($D398-$I$373)*MIN(K$3-$O$2,$Q$2)/$Q$2))</f>
        <v>18831.6401237069</v>
      </c>
      <c r="L398" s="15" t="n">
        <f aca="false">K398*(1+IF(L$3&lt;=$O$2,$D398,$D398-($D398-$I$373)*MIN(L$3-$O$2,$Q$2)/$Q$2))</f>
        <v>20177.8424140677</v>
      </c>
      <c r="M398" s="15" t="n">
        <f aca="false">L398*(1+IF(M$3&lt;=$O$2,$D398,$D398-($D398-$I$373)*MIN(M$3-$O$2,$Q$2)/$Q$2))</f>
        <v>21184.5774688513</v>
      </c>
      <c r="N398" s="15" t="n">
        <f aca="false">M398*(1+IF(N$3&lt;=$O$2,$D398,$D398-($D398-$I$373)*MIN(N$3-$O$2,$Q$2)/$Q$2))</f>
        <v>21784.1010112198</v>
      </c>
      <c r="O398" s="15" t="n">
        <f aca="false">SUMPRODUCT(E398:N398,1/(1+$F$373)^$E$3:$N$3)*$E$2</f>
        <v>35448.6118939215</v>
      </c>
      <c r="P398" s="15" t="n">
        <f aca="false">N398*$E$2*(1+$I$373)/($F$373-$I$373)/(1+$F$373)^$N$3</f>
        <v>51051.3548173726</v>
      </c>
      <c r="Q398" s="15" t="n">
        <f aca="false">O398+P398</f>
        <v>86499.9667112941</v>
      </c>
      <c r="R398" s="15" t="n">
        <f aca="false">Q398-$G$2+$I$2</f>
        <v>80379.9667112941</v>
      </c>
      <c r="S398" s="42" t="n">
        <f aca="false">R398/$K$2</f>
        <v>464.141163594492</v>
      </c>
      <c r="T398" s="43" t="n">
        <f aca="false">S398-$M$2</f>
        <v>-0.000192220267479115</v>
      </c>
    </row>
    <row r="400" customFormat="false" ht="15" hidden="false" customHeight="false" outlineLevel="0" collapsed="false">
      <c r="A400" s="38" t="s">
        <v>195</v>
      </c>
      <c r="E400" s="5" t="s">
        <v>11</v>
      </c>
      <c r="F400" s="12" t="n">
        <f aca="false">Sensitivity!$B$12</f>
        <v>0.0953160519233867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162</v>
      </c>
      <c r="B401" s="28" t="s">
        <v>163</v>
      </c>
      <c r="C401" s="28" t="s">
        <v>164</v>
      </c>
      <c r="D401" s="28" t="s">
        <v>165</v>
      </c>
      <c r="E401" s="28" t="s">
        <v>166</v>
      </c>
      <c r="F401" s="28" t="s">
        <v>167</v>
      </c>
      <c r="G401" s="28" t="s">
        <v>168</v>
      </c>
      <c r="H401" s="28" t="s">
        <v>169</v>
      </c>
      <c r="I401" s="28" t="s">
        <v>170</v>
      </c>
      <c r="J401" s="28" t="s">
        <v>171</v>
      </c>
      <c r="K401" s="28" t="s">
        <v>172</v>
      </c>
      <c r="L401" s="28" t="s">
        <v>173</v>
      </c>
      <c r="M401" s="28" t="s">
        <v>174</v>
      </c>
      <c r="N401" s="28" t="s">
        <v>175</v>
      </c>
      <c r="O401" s="28" t="s">
        <v>176</v>
      </c>
      <c r="P401" s="28" t="s">
        <v>177</v>
      </c>
      <c r="Q401" s="28" t="s">
        <v>178</v>
      </c>
      <c r="R401" s="28" t="s">
        <v>179</v>
      </c>
      <c r="S401" s="28" t="s">
        <v>180</v>
      </c>
      <c r="T401" s="28" t="s">
        <v>181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10200</v>
      </c>
      <c r="F402" s="15" t="n">
        <f aca="false">E402*(1+IF(F$3&lt;=$O$2,$D402,$D402-($D402-$I$400)*MIN(F$3-$O$2,$Q$2)/$Q$2))</f>
        <v>12750</v>
      </c>
      <c r="G402" s="15" t="n">
        <f aca="false">F402*(1+IF(G$3&lt;=$O$2,$D402,$D402-($D402-$I$400)*MIN(G$3-$O$2,$Q$2)/$Q$2))</f>
        <v>15937.5</v>
      </c>
      <c r="H402" s="15" t="n">
        <f aca="false">G402*(1+IF(H$3&lt;=$O$2,$D402,$D402-($D402-$I$400)*MIN(H$3-$O$2,$Q$2)/$Q$2))</f>
        <v>19921.875</v>
      </c>
      <c r="I402" s="15" t="n">
        <f aca="false">H402*(1+IF(I$3&lt;=$O$2,$D402,$D402-($D402-$I$400)*MIN(I$3-$O$2,$Q$2)/$Q$2))</f>
        <v>24902.34375</v>
      </c>
      <c r="J402" s="15" t="n">
        <f aca="false">I402*(1+IF(J$3&lt;=$O$2,$D402,$D402-($D402-$I$400)*MIN(J$3-$O$2,$Q$2)/$Q$2))</f>
        <v>30048.662109375</v>
      </c>
      <c r="K402" s="15" t="n">
        <f aca="false">J402*(1+IF(K$3&lt;=$O$2,$D402,$D402-($D402-$I$400)*MIN(K$3-$O$2,$Q$2)/$Q$2))</f>
        <v>34956.2096050781</v>
      </c>
      <c r="L402" s="15" t="n">
        <f aca="false">K402*(1+IF(L$3&lt;=$O$2,$D402,$D402-($D402-$I$400)*MIN(L$3-$O$2,$Q$2)/$Q$2))</f>
        <v>39150.2556334954</v>
      </c>
      <c r="M402" s="15" t="n">
        <f aca="false">L402*(1+IF(M$3&lt;=$O$2,$D402,$D402-($D402-$I$400)*MIN(M$3-$O$2,$Q$2)/$Q$2))</f>
        <v>42150.7312252465</v>
      </c>
      <c r="N402" s="15" t="n">
        <f aca="false">M402*(1+IF(N$3&lt;=$O$2,$D402,$D402-($D402-$I$400)*MIN(N$3-$O$2,$Q$2)/$Q$2))</f>
        <v>43554.3505750472</v>
      </c>
      <c r="O402" s="15" t="n">
        <f aca="false">SUMPRODUCT(E402:N402,1/(1+$F$400)^$E$3:$N$3)*$E$2</f>
        <v>57921.3429689917</v>
      </c>
      <c r="P402" s="15" t="n">
        <f aca="false">N402*$E$2*(1+$I$400)/($F$400-$I$400)/(1+$F$400)^$N$3</f>
        <v>110835.90972363</v>
      </c>
      <c r="Q402" s="15" t="n">
        <f aca="false">O402+P402</f>
        <v>168757.252692622</v>
      </c>
      <c r="R402" s="15" t="n">
        <f aca="false">Q402-$G$2+$I$2</f>
        <v>162637.252692622</v>
      </c>
      <c r="S402" s="42" t="n">
        <f aca="false">R402/$K$2</f>
        <v>939.122604761647</v>
      </c>
      <c r="T402" s="43" t="n">
        <f aca="false">S402-$M$2</f>
        <v>474.981248946887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7140</v>
      </c>
      <c r="F403" s="15" t="n">
        <f aca="false">E403*(1+IF(F$3&lt;=$O$2,$D403,$D403-($D403-$I$400)*MIN(F$3-$O$2,$Q$2)/$Q$2))</f>
        <v>6247.5</v>
      </c>
      <c r="G403" s="15" t="n">
        <f aca="false">F403*(1+IF(G$3&lt;=$O$2,$D403,$D403-($D403-$I$400)*MIN(G$3-$O$2,$Q$2)/$Q$2))</f>
        <v>5466.5625</v>
      </c>
      <c r="H403" s="15" t="n">
        <f aca="false">G403*(1+IF(H$3&lt;=$O$2,$D403,$D403-($D403-$I$400)*MIN(H$3-$O$2,$Q$2)/$Q$2))</f>
        <v>4783.2421875</v>
      </c>
      <c r="I403" s="15" t="n">
        <f aca="false">H403*(1+IF(I$3&lt;=$O$2,$D403,$D403-($D403-$I$400)*MIN(I$3-$O$2,$Q$2)/$Q$2))</f>
        <v>4185.3369140625</v>
      </c>
      <c r="J403" s="15" t="n">
        <f aca="false">I403*(1+IF(J$3&lt;=$O$2,$D403,$D403-($D403-$I$400)*MIN(J$3-$O$2,$Q$2)/$Q$2))</f>
        <v>3794.67756650391</v>
      </c>
      <c r="K403" s="15" t="n">
        <f aca="false">J403*(1+IF(K$3&lt;=$O$2,$D403,$D403-($D403-$I$400)*MIN(K$3-$O$2,$Q$2)/$Q$2))</f>
        <v>3560.62185420195</v>
      </c>
      <c r="L403" s="15" t="n">
        <f aca="false">K403*(1+IF(L$3&lt;=$O$2,$D403,$D403-($D403-$I$400)*MIN(L$3-$O$2,$Q$2)/$Q$2))</f>
        <v>3453.7319861388</v>
      </c>
      <c r="M403" s="15" t="n">
        <f aca="false">L403*(1+IF(M$3&lt;=$O$2,$D403,$D403-($D403-$I$400)*MIN(M$3-$O$2,$Q$2)/$Q$2))</f>
        <v>3459.39610659607</v>
      </c>
      <c r="N403" s="15" t="n">
        <f aca="false">M403*(1+IF(N$3&lt;=$O$2,$D403,$D403-($D403-$I$400)*MIN(N$3-$O$2,$Q$2)/$Q$2))</f>
        <v>3574.59399694572</v>
      </c>
      <c r="O403" s="15" t="n">
        <f aca="false">SUMPRODUCT(E403:N403,1/(1+$F$400)^$E$3:$N$3)*$E$2</f>
        <v>11605.868747047</v>
      </c>
      <c r="P403" s="15" t="n">
        <f aca="false">N403*$E$2*(1+$I$400)/($F$400-$I$400)/(1+$F$400)^$N$3</f>
        <v>9096.52818405449</v>
      </c>
      <c r="Q403" s="15" t="n">
        <f aca="false">O403+P403</f>
        <v>20702.3969311015</v>
      </c>
      <c r="R403" s="15" t="n">
        <f aca="false">Q403-$G$2+$I$2</f>
        <v>14582.3969311015</v>
      </c>
      <c r="S403" s="42" t="n">
        <f aca="false">R403/$K$2</f>
        <v>84.2037009533517</v>
      </c>
      <c r="T403" s="43" t="n">
        <f aca="false">S403-$M$2</f>
        <v>-379.937654861408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8670</v>
      </c>
      <c r="F404" s="15" t="n">
        <f aca="false">E404*(1+IF(F$3&lt;=$O$2,$D404,$D404-($D404-$I$400)*MIN(F$3-$O$2,$Q$2)/$Q$2))</f>
        <v>9211.875</v>
      </c>
      <c r="G404" s="15" t="n">
        <f aca="false">F404*(1+IF(G$3&lt;=$O$2,$D404,$D404-($D404-$I$400)*MIN(G$3-$O$2,$Q$2)/$Q$2))</f>
        <v>9787.6171875</v>
      </c>
      <c r="H404" s="15" t="n">
        <f aca="false">G404*(1+IF(H$3&lt;=$O$2,$D404,$D404-($D404-$I$400)*MIN(H$3-$O$2,$Q$2)/$Q$2))</f>
        <v>10399.3432617188</v>
      </c>
      <c r="I404" s="15" t="n">
        <f aca="false">H404*(1+IF(I$3&lt;=$O$2,$D404,$D404-($D404-$I$400)*MIN(I$3-$O$2,$Q$2)/$Q$2))</f>
        <v>11049.3022155762</v>
      </c>
      <c r="J404" s="15" t="n">
        <f aca="false">I404*(1+IF(J$3&lt;=$O$2,$D404,$D404-($D404-$I$400)*MIN(J$3-$O$2,$Q$2)/$Q$2))</f>
        <v>11675.3556791107</v>
      </c>
      <c r="K404" s="15" t="n">
        <f aca="false">J404*(1+IF(K$3&lt;=$O$2,$D404,$D404-($D404-$I$400)*MIN(K$3-$O$2,$Q$2)/$Q$2))</f>
        <v>12268.6972547231</v>
      </c>
      <c r="L404" s="15" t="n">
        <f aca="false">K404*(1+IF(L$3&lt;=$O$2,$D404,$D404-($D404-$I$400)*MIN(L$3-$O$2,$Q$2)/$Q$2))</f>
        <v>12820.5432572406</v>
      </c>
      <c r="M404" s="15" t="n">
        <f aca="false">L404*(1+IF(M$3&lt;=$O$2,$D404,$D404-($D404-$I$400)*MIN(M$3-$O$2,$Q$2)/$Q$2))</f>
        <v>13322.339320329</v>
      </c>
      <c r="N404" s="15" t="n">
        <f aca="false">M404*(1+IF(N$3&lt;=$O$2,$D404,$D404-($D404-$I$400)*MIN(N$3-$O$2,$Q$2)/$Q$2))</f>
        <v>13765.9732196959</v>
      </c>
      <c r="O404" s="15" t="n">
        <f aca="false">SUMPRODUCT(E404:N404,1/(1+$F$400)^$E$3:$N$3)*$E$2</f>
        <v>25859.0518129142</v>
      </c>
      <c r="P404" s="15" t="n">
        <f aca="false">N404*$E$2*(1+$I$400)/($F$400-$I$400)/(1+$F$400)^$N$3</f>
        <v>35031.2688604352</v>
      </c>
      <c r="Q404" s="15" t="n">
        <f aca="false">O404+P404</f>
        <v>60890.3206733494</v>
      </c>
      <c r="R404" s="15" t="n">
        <f aca="false">Q404-$G$2+$I$2</f>
        <v>54770.3206733494</v>
      </c>
      <c r="S404" s="42" t="n">
        <f aca="false">R404/$K$2</f>
        <v>316.262389844955</v>
      </c>
      <c r="T404" s="43" t="n">
        <f aca="false">S404-$M$2</f>
        <v>-147.878965969804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41" t="n">
        <f aca="false">(B405+C405)/2</f>
        <v>0.15625</v>
      </c>
      <c r="E405" s="15" t="n">
        <f aca="false">$C$2*(1+IF(E$3&lt;=$O$2,$D405,$D405-($D405-$I$400)*MIN(E$3-$O$2,$Q$2)/$Q$2))</f>
        <v>9435</v>
      </c>
      <c r="F405" s="15" t="n">
        <f aca="false">E405*(1+IF(F$3&lt;=$O$2,$D405,$D405-($D405-$I$400)*MIN(F$3-$O$2,$Q$2)/$Q$2))</f>
        <v>10909.21875</v>
      </c>
      <c r="G405" s="15" t="n">
        <f aca="false">F405*(1+IF(G$3&lt;=$O$2,$D405,$D405-($D405-$I$400)*MIN(G$3-$O$2,$Q$2)/$Q$2))</f>
        <v>12613.7841796875</v>
      </c>
      <c r="H405" s="15" t="n">
        <f aca="false">G405*(1+IF(H$3&lt;=$O$2,$D405,$D405-($D405-$I$400)*MIN(H$3-$O$2,$Q$2)/$Q$2))</f>
        <v>14584.6879577637</v>
      </c>
      <c r="I405" s="15" t="n">
        <f aca="false">H405*(1+IF(I$3&lt;=$O$2,$D405,$D405-($D405-$I$400)*MIN(I$3-$O$2,$Q$2)/$Q$2))</f>
        <v>16863.5454511642</v>
      </c>
      <c r="J405" s="15" t="n">
        <f aca="false">I405*(1+IF(J$3&lt;=$O$2,$D405,$D405-($D405-$I$400)*MIN(J$3-$O$2,$Q$2)/$Q$2))</f>
        <v>19083.7998452645</v>
      </c>
      <c r="K405" s="15" t="n">
        <f aca="false">J405*(1+IF(K$3&lt;=$O$2,$D405,$D405-($D405-$I$400)*MIN(K$3-$O$2,$Q$2)/$Q$2))</f>
        <v>21127.102294697</v>
      </c>
      <c r="L405" s="15" t="n">
        <f aca="false">K405*(1+IF(L$3&lt;=$O$2,$D405,$D405-($D405-$I$400)*MIN(L$3-$O$2,$Q$2)/$Q$2))</f>
        <v>22869.6656919636</v>
      </c>
      <c r="M405" s="15" t="n">
        <f aca="false">L405*(1+IF(M$3&lt;=$O$2,$D405,$D405-($D405-$I$400)*MIN(M$3-$O$2,$Q$2)/$Q$2))</f>
        <v>24193.5906388714</v>
      </c>
      <c r="N405" s="15" t="n">
        <f aca="false">M405*(1+IF(N$3&lt;=$O$2,$D405,$D405-($D405-$I$400)*MIN(N$3-$O$2,$Q$2)/$Q$2))</f>
        <v>24999.2372071458</v>
      </c>
      <c r="O405" s="15" t="n">
        <f aca="false">SUMPRODUCT(E405:N405,1/(1+$F$400)^$E$3:$N$3)*$E$2</f>
        <v>38763.49020483</v>
      </c>
      <c r="P405" s="15" t="n">
        <f aca="false">N405*$E$2*(1+$I$400)/($F$400-$I$400)/(1+$F$400)^$N$3</f>
        <v>63617.3691414943</v>
      </c>
      <c r="Q405" s="15" t="n">
        <f aca="false">O405+P405</f>
        <v>102380.859346324</v>
      </c>
      <c r="R405" s="15" t="n">
        <f aca="false">Q405-$G$2+$I$2</f>
        <v>96260.8593463243</v>
      </c>
      <c r="S405" s="42" t="n">
        <f aca="false">R405/$K$2</f>
        <v>555.842818722279</v>
      </c>
      <c r="T405" s="43" t="n">
        <f aca="false">S405-$M$2</f>
        <v>91.7014629075198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41" t="n">
        <f aca="false">(B406+C406)/2</f>
        <v>0.109375</v>
      </c>
      <c r="E406" s="15" t="n">
        <f aca="false">$C$2*(1+IF(E$3&lt;=$O$2,$D406,$D406-($D406-$I$400)*MIN(E$3-$O$2,$Q$2)/$Q$2))</f>
        <v>9052.5</v>
      </c>
      <c r="F406" s="15" t="n">
        <f aca="false">E406*(1+IF(F$3&lt;=$O$2,$D406,$D406-($D406-$I$400)*MIN(F$3-$O$2,$Q$2)/$Q$2))</f>
        <v>10042.6171875</v>
      </c>
      <c r="G406" s="15" t="n">
        <f aca="false">F406*(1+IF(G$3&lt;=$O$2,$D406,$D406-($D406-$I$400)*MIN(G$3-$O$2,$Q$2)/$Q$2))</f>
        <v>11141.0284423828</v>
      </c>
      <c r="H406" s="15" t="n">
        <f aca="false">G406*(1+IF(H$3&lt;=$O$2,$D406,$D406-($D406-$I$400)*MIN(H$3-$O$2,$Q$2)/$Q$2))</f>
        <v>12359.5784282684</v>
      </c>
      <c r="I406" s="15" t="n">
        <f aca="false">H406*(1+IF(I$3&lt;=$O$2,$D406,$D406-($D406-$I$400)*MIN(I$3-$O$2,$Q$2)/$Q$2))</f>
        <v>13711.4073188603</v>
      </c>
      <c r="J406" s="15" t="n">
        <f aca="false">I406*(1+IF(J$3&lt;=$O$2,$D406,$D406-($D406-$I$400)*MIN(J$3-$O$2,$Q$2)/$Q$2))</f>
        <v>15002.4734320042</v>
      </c>
      <c r="K406" s="15" t="n">
        <f aca="false">J406*(1+IF(K$3&lt;=$O$2,$D406,$D406-($D406-$I$400)*MIN(K$3-$O$2,$Q$2)/$Q$2))</f>
        <v>16186.8436970937</v>
      </c>
      <c r="L406" s="15" t="n">
        <f aca="false">K406*(1+IF(L$3&lt;=$O$2,$D406,$D406-($D406-$I$400)*MIN(L$3-$O$2,$Q$2)/$Q$2))</f>
        <v>17218.4312459095</v>
      </c>
      <c r="M406" s="15" t="n">
        <f aca="false">L406*(1+IF(M$3&lt;=$O$2,$D406,$D406-($D406-$I$400)*MIN(M$3-$O$2,$Q$2)/$Q$2))</f>
        <v>18053.7834378048</v>
      </c>
      <c r="N406" s="15" t="n">
        <f aca="false">M406*(1+IF(N$3&lt;=$O$2,$D406,$D406-($D406-$I$400)*MIN(N$3-$O$2,$Q$2)/$Q$2))</f>
        <v>18654.9744262837</v>
      </c>
      <c r="O406" s="15" t="n">
        <f aca="false">SUMPRODUCT(E406:N406,1/(1+$F$400)^$E$3:$N$3)*$E$2</f>
        <v>31665.2093642312</v>
      </c>
      <c r="P406" s="15" t="n">
        <f aca="false">N406*$E$2*(1+$I$400)/($F$400-$I$400)/(1+$F$400)^$N$3</f>
        <v>47472.6642484435</v>
      </c>
      <c r="Q406" s="15" t="n">
        <f aca="false">O406+P406</f>
        <v>79137.8736126747</v>
      </c>
      <c r="R406" s="15" t="n">
        <f aca="false">Q406-$G$2+$I$2</f>
        <v>73017.8736126747</v>
      </c>
      <c r="S406" s="42" t="n">
        <f aca="false">R406/$K$2</f>
        <v>421.629943484667</v>
      </c>
      <c r="T406" s="43" t="n">
        <f aca="false">S406-$M$2</f>
        <v>-42.5114123300918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0.109375</v>
      </c>
      <c r="C407" s="25" t="n">
        <f aca="false">IF(T406&gt;0,D406,C406)</f>
        <v>0.15625</v>
      </c>
      <c r="D407" s="41" t="n">
        <f aca="false">(B407+C407)/2</f>
        <v>0.1328125</v>
      </c>
      <c r="E407" s="15" t="n">
        <f aca="false">$C$2*(1+IF(E$3&lt;=$O$2,$D407,$D407-($D407-$I$400)*MIN(E$3-$O$2,$Q$2)/$Q$2))</f>
        <v>9243.75</v>
      </c>
      <c r="F407" s="15" t="n">
        <f aca="false">E407*(1+IF(F$3&lt;=$O$2,$D407,$D407-($D407-$I$400)*MIN(F$3-$O$2,$Q$2)/$Q$2))</f>
        <v>10471.435546875</v>
      </c>
      <c r="G407" s="15" t="n">
        <f aca="false">F407*(1+IF(G$3&lt;=$O$2,$D407,$D407-($D407-$I$400)*MIN(G$3-$O$2,$Q$2)/$Q$2))</f>
        <v>11862.1730804443</v>
      </c>
      <c r="H407" s="15" t="n">
        <f aca="false">G407*(1+IF(H$3&lt;=$O$2,$D407,$D407-($D407-$I$400)*MIN(H$3-$O$2,$Q$2)/$Q$2))</f>
        <v>13437.6179426909</v>
      </c>
      <c r="I407" s="15" t="n">
        <f aca="false">H407*(1+IF(I$3&lt;=$O$2,$D407,$D407-($D407-$I$400)*MIN(I$3-$O$2,$Q$2)/$Q$2))</f>
        <v>15222.3015757045</v>
      </c>
      <c r="J407" s="15" t="n">
        <f aca="false">I407*(1+IF(J$3&lt;=$O$2,$D407,$D407-($D407-$I$400)*MIN(J$3-$O$2,$Q$2)/$Q$2))</f>
        <v>16941.0516466173</v>
      </c>
      <c r="K407" s="15" t="n">
        <f aca="false">J407*(1+IF(K$3&lt;=$O$2,$D407,$D407-($D407-$I$400)*MIN(K$3-$O$2,$Q$2)/$Q$2))</f>
        <v>18516.69650764</v>
      </c>
      <c r="L407" s="15" t="n">
        <f aca="false">K407*(1+IF(L$3&lt;=$O$2,$D407,$D407-($D407-$I$400)*MIN(L$3-$O$2,$Q$2)/$Q$2))</f>
        <v>19870.359605831</v>
      </c>
      <c r="M407" s="15" t="n">
        <f aca="false">L407*(1+IF(M$3&lt;=$O$2,$D407,$D407-($D407-$I$400)*MIN(M$3-$O$2,$Q$2)/$Q$2))</f>
        <v>20927.5124127603</v>
      </c>
      <c r="N407" s="15" t="n">
        <f aca="false">M407*(1+IF(N$3&lt;=$O$2,$D407,$D407-($D407-$I$400)*MIN(N$3-$O$2,$Q$2)/$Q$2))</f>
        <v>21624.3985761052</v>
      </c>
      <c r="O407" s="15" t="n">
        <f aca="false">SUMPRODUCT(E407:N407,1/(1+$F$400)^$E$3:$N$3)*$E$2</f>
        <v>35037.5377817233</v>
      </c>
      <c r="P407" s="15" t="n">
        <f aca="false">N407*$E$2*(1+$I$400)/($F$400-$I$400)/(1+$F$400)^$N$3</f>
        <v>55029.17290155</v>
      </c>
      <c r="Q407" s="15" t="n">
        <f aca="false">O407+P407</f>
        <v>90066.7106832732</v>
      </c>
      <c r="R407" s="15" t="n">
        <f aca="false">Q407-$G$2+$I$2</f>
        <v>83946.7106832732</v>
      </c>
      <c r="S407" s="42" t="n">
        <f aca="false">R407/$K$2</f>
        <v>484.736751837817</v>
      </c>
      <c r="T407" s="43" t="n">
        <f aca="false">S407-$M$2</f>
        <v>20.5953960230581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0.109375</v>
      </c>
      <c r="C408" s="25" t="n">
        <f aca="false">IF(T407&gt;0,D407,C407)</f>
        <v>0.1328125</v>
      </c>
      <c r="D408" s="41" t="n">
        <f aca="false">(B408+C408)/2</f>
        <v>0.12109375</v>
      </c>
      <c r="E408" s="15" t="n">
        <f aca="false">$C$2*(1+IF(E$3&lt;=$O$2,$D408,$D408-($D408-$I$400)*MIN(E$3-$O$2,$Q$2)/$Q$2))</f>
        <v>9148.125</v>
      </c>
      <c r="F408" s="15" t="n">
        <f aca="false">E408*(1+IF(F$3&lt;=$O$2,$D408,$D408-($D408-$I$400)*MIN(F$3-$O$2,$Q$2)/$Q$2))</f>
        <v>10255.9057617188</v>
      </c>
      <c r="G408" s="15" t="n">
        <f aca="false">F408*(1+IF(G$3&lt;=$O$2,$D408,$D408-($D408-$I$400)*MIN(G$3-$O$2,$Q$2)/$Q$2))</f>
        <v>11497.8318500519</v>
      </c>
      <c r="H408" s="15" t="n">
        <f aca="false">G408*(1+IF(H$3&lt;=$O$2,$D408,$D408-($D408-$I$400)*MIN(H$3-$O$2,$Q$2)/$Q$2))</f>
        <v>12890.1474256441</v>
      </c>
      <c r="I408" s="15" t="n">
        <f aca="false">H408*(1+IF(I$3&lt;=$O$2,$D408,$D408-($D408-$I$400)*MIN(I$3-$O$2,$Q$2)/$Q$2))</f>
        <v>14451.0637154682</v>
      </c>
      <c r="J408" s="15" t="n">
        <f aca="false">I408*(1+IF(J$3&lt;=$O$2,$D408,$D408-($D408-$I$400)*MIN(J$3-$O$2,$Q$2)/$Q$2))</f>
        <v>15947.2545972492</v>
      </c>
      <c r="K408" s="15" t="n">
        <f aca="false">J408*(1+IF(K$3&lt;=$O$2,$D408,$D408-($D408-$I$400)*MIN(K$3-$O$2,$Q$2)/$Q$2))</f>
        <v>17318.3397453159</v>
      </c>
      <c r="L408" s="15" t="n">
        <f aca="false">K408*(1+IF(L$3&lt;=$O$2,$D408,$D408-($D408-$I$400)*MIN(L$3-$O$2,$Q$2)/$Q$2))</f>
        <v>18503.2172548411</v>
      </c>
      <c r="M408" s="15" t="n">
        <f aca="false">L408*(1+IF(M$3&lt;=$O$2,$D408,$D408-($D408-$I$400)*MIN(M$3-$O$2,$Q$2)/$Q$2))</f>
        <v>19444.2677554007</v>
      </c>
      <c r="N408" s="15" t="n">
        <f aca="false">M408*(1+IF(N$3&lt;=$O$2,$D408,$D408-($D408-$I$400)*MIN(N$3-$O$2,$Q$2)/$Q$2))</f>
        <v>20091.7618716556</v>
      </c>
      <c r="O408" s="15" t="n">
        <f aca="false">SUMPRODUCT(E408:N408,1/(1+$F$400)^$E$3:$N$3)*$E$2</f>
        <v>33309.1787674656</v>
      </c>
      <c r="P408" s="15" t="n">
        <f aca="false">N408*$E$2*(1+$I$400)/($F$400-$I$400)/(1+$F$400)^$N$3</f>
        <v>51128.9612999374</v>
      </c>
      <c r="Q408" s="15" t="n">
        <f aca="false">O408+P408</f>
        <v>84438.140067403</v>
      </c>
      <c r="R408" s="15" t="n">
        <f aca="false">Q408-$G$2+$I$2</f>
        <v>78318.140067403</v>
      </c>
      <c r="S408" s="42" t="n">
        <f aca="false">R408/$K$2</f>
        <v>452.23547792703</v>
      </c>
      <c r="T408" s="43" t="n">
        <f aca="false">S408-$M$2</f>
        <v>-11.9058778877294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0.12109375</v>
      </c>
      <c r="C409" s="25" t="n">
        <f aca="false">IF(T408&gt;0,D408,C408)</f>
        <v>0.1328125</v>
      </c>
      <c r="D409" s="41" t="n">
        <f aca="false">(B409+C409)/2</f>
        <v>0.126953125</v>
      </c>
      <c r="E409" s="15" t="n">
        <f aca="false">$C$2*(1+IF(E$3&lt;=$O$2,$D409,$D409-($D409-$I$400)*MIN(E$3-$O$2,$Q$2)/$Q$2))</f>
        <v>9195.9375</v>
      </c>
      <c r="F409" s="15" t="n">
        <f aca="false">E409*(1+IF(F$3&lt;=$O$2,$D409,$D409-($D409-$I$400)*MIN(F$3-$O$2,$Q$2)/$Q$2))</f>
        <v>10363.3905029297</v>
      </c>
      <c r="G409" s="15" t="n">
        <f aca="false">F409*(1+IF(G$3&lt;=$O$2,$D409,$D409-($D409-$I$400)*MIN(G$3-$O$2,$Q$2)/$Q$2))</f>
        <v>11679.0553128719</v>
      </c>
      <c r="H409" s="15" t="n">
        <f aca="false">G409*(1+IF(H$3&lt;=$O$2,$D409,$D409-($D409-$I$400)*MIN(H$3-$O$2,$Q$2)/$Q$2))</f>
        <v>13161.7478818889</v>
      </c>
      <c r="I409" s="15" t="n">
        <f aca="false">H409*(1+IF(I$3&lt;=$O$2,$D409,$D409-($D409-$I$400)*MIN(I$3-$O$2,$Q$2)/$Q$2))</f>
        <v>14832.6729059568</v>
      </c>
      <c r="J409" s="15" t="n">
        <f aca="false">I409*(1+IF(J$3&lt;=$O$2,$D409,$D409-($D409-$I$400)*MIN(J$3-$O$2,$Q$2)/$Q$2))</f>
        <v>16437.9018495217</v>
      </c>
      <c r="K409" s="15" t="n">
        <f aca="false">J409*(1+IF(K$3&lt;=$O$2,$D409,$D409-($D409-$I$400)*MIN(K$3-$O$2,$Q$2)/$Q$2))</f>
        <v>17908.9605071014</v>
      </c>
      <c r="L409" s="15" t="n">
        <f aca="false">K409*(1+IF(L$3&lt;=$O$2,$D409,$D409-($D409-$I$400)*MIN(L$3-$O$2,$Q$2)/$Q$2))</f>
        <v>19176.2209387845</v>
      </c>
      <c r="M409" s="15" t="n">
        <f aca="false">L409*(1+IF(M$3&lt;=$O$2,$D409,$D409-($D409-$I$400)*MIN(M$3-$O$2,$Q$2)/$Q$2))</f>
        <v>20173.9716993675</v>
      </c>
      <c r="N409" s="15" t="n">
        <f aca="false">M409*(1+IF(N$3&lt;=$O$2,$D409,$D409-($D409-$I$400)*MIN(N$3-$O$2,$Q$2)/$Q$2))</f>
        <v>20845.7649569565</v>
      </c>
      <c r="O409" s="15" t="n">
        <f aca="false">SUMPRODUCT(E409:N409,1/(1+$F$400)^$E$3:$N$3)*$E$2</f>
        <v>34162.5647754561</v>
      </c>
      <c r="P409" s="15" t="n">
        <f aca="false">N409*$E$2*(1+$I$400)/($F$400-$I$400)/(1+$F$400)^$N$3</f>
        <v>53047.7275492413</v>
      </c>
      <c r="Q409" s="15" t="n">
        <f aca="false">O409+P409</f>
        <v>87210.2923246974</v>
      </c>
      <c r="R409" s="15" t="n">
        <f aca="false">Q409-$G$2+$I$2</f>
        <v>81090.2923246974</v>
      </c>
      <c r="S409" s="42" t="n">
        <f aca="false">R409/$K$2</f>
        <v>468.242824371737</v>
      </c>
      <c r="T409" s="43" t="n">
        <f aca="false">S409-$M$2</f>
        <v>4.10146855697741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0.12109375</v>
      </c>
      <c r="C410" s="25" t="n">
        <f aca="false">IF(T409&gt;0,D409,C409)</f>
        <v>0.126953125</v>
      </c>
      <c r="D410" s="41" t="n">
        <f aca="false">(B410+C410)/2</f>
        <v>0.1240234375</v>
      </c>
      <c r="E410" s="15" t="n">
        <f aca="false">$C$2*(1+IF(E$3&lt;=$O$2,$D410,$D410-($D410-$I$400)*MIN(E$3-$O$2,$Q$2)/$Q$2))</f>
        <v>9172.03125</v>
      </c>
      <c r="F410" s="15" t="n">
        <f aca="false">E410*(1+IF(F$3&lt;=$O$2,$D410,$D410-($D410-$I$400)*MIN(F$3-$O$2,$Q$2)/$Q$2))</f>
        <v>10309.5780944824</v>
      </c>
      <c r="G410" s="15" t="n">
        <f aca="false">F410*(1+IF(G$3&lt;=$O$2,$D410,$D410-($D410-$I$400)*MIN(G$3-$O$2,$Q$2)/$Q$2))</f>
        <v>11588.2074089348</v>
      </c>
      <c r="H410" s="15" t="n">
        <f aca="false">G410*(1+IF(H$3&lt;=$O$2,$D410,$D410-($D410-$I$400)*MIN(H$3-$O$2,$Q$2)/$Q$2))</f>
        <v>13025.4167262539</v>
      </c>
      <c r="I410" s="15" t="n">
        <f aca="false">H410*(1+IF(I$3&lt;=$O$2,$D410,$D410-($D410-$I$400)*MIN(I$3-$O$2,$Q$2)/$Q$2))</f>
        <v>14640.8736835139</v>
      </c>
      <c r="J410" s="15" t="n">
        <f aca="false">I410*(1+IF(J$3&lt;=$O$2,$D410,$D410-($D410-$I$400)*MIN(J$3-$O$2,$Q$2)/$Q$2))</f>
        <v>16191.0310880323</v>
      </c>
      <c r="K410" s="15" t="n">
        <f aca="false">J410*(1+IF(K$3&lt;=$O$2,$D410,$D410-($D410-$I$400)*MIN(K$3-$O$2,$Q$2)/$Q$2))</f>
        <v>17611.5360214491</v>
      </c>
      <c r="L410" s="15" t="n">
        <f aca="false">K410*(1+IF(L$3&lt;=$O$2,$D410,$D410-($D410-$I$400)*MIN(L$3-$O$2,$Q$2)/$Q$2))</f>
        <v>18837.1118059718</v>
      </c>
      <c r="M410" s="15" t="n">
        <f aca="false">L410*(1+IF(M$3&lt;=$O$2,$D410,$D410-($D410-$I$400)*MIN(M$3-$O$2,$Q$2)/$Q$2))</f>
        <v>19806.1811362325</v>
      </c>
      <c r="N410" s="15" t="n">
        <f aca="false">M410*(1+IF(N$3&lt;=$O$2,$D410,$D410-($D410-$I$400)*MIN(N$3-$O$2,$Q$2)/$Q$2))</f>
        <v>20465.7269680691</v>
      </c>
      <c r="O410" s="15" t="n">
        <f aca="false">SUMPRODUCT(E410:N410,1/(1+$F$400)^$E$3:$N$3)*$E$2</f>
        <v>33733.2043785612</v>
      </c>
      <c r="P410" s="15" t="n">
        <f aca="false">N410*$E$2*(1+$I$400)/($F$400-$I$400)/(1+$F$400)^$N$3</f>
        <v>52080.617359978</v>
      </c>
      <c r="Q410" s="15" t="n">
        <f aca="false">O410+P410</f>
        <v>85813.8217385392</v>
      </c>
      <c r="R410" s="15" t="n">
        <f aca="false">Q410-$G$2+$I$2</f>
        <v>79693.8217385392</v>
      </c>
      <c r="S410" s="42" t="n">
        <f aca="false">R410/$K$2</f>
        <v>460.179130029675</v>
      </c>
      <c r="T410" s="43" t="n">
        <f aca="false">S410-$M$2</f>
        <v>-3.96222578508394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0.1240234375</v>
      </c>
      <c r="C411" s="25" t="n">
        <f aca="false">IF(T410&gt;0,D410,C410)</f>
        <v>0.126953125</v>
      </c>
      <c r="D411" s="41" t="n">
        <f aca="false">(B411+C411)/2</f>
        <v>0.12548828125</v>
      </c>
      <c r="E411" s="15" t="n">
        <f aca="false">$C$2*(1+IF(E$3&lt;=$O$2,$D411,$D411-($D411-$I$400)*MIN(E$3-$O$2,$Q$2)/$Q$2))</f>
        <v>9183.984375</v>
      </c>
      <c r="F411" s="15" t="n">
        <f aca="false">E411*(1+IF(F$3&lt;=$O$2,$D411,$D411-($D411-$I$400)*MIN(F$3-$O$2,$Q$2)/$Q$2))</f>
        <v>10336.4667892456</v>
      </c>
      <c r="G411" s="15" t="n">
        <f aca="false">F411*(1+IF(G$3&lt;=$O$2,$D411,$D411-($D411-$I$400)*MIN(G$3-$O$2,$Q$2)/$Q$2))</f>
        <v>11633.5722408257</v>
      </c>
      <c r="H411" s="15" t="n">
        <f aca="false">G411*(1+IF(H$3&lt;=$O$2,$D411,$D411-($D411-$I$400)*MIN(H$3-$O$2,$Q$2)/$Q$2))</f>
        <v>13093.4492261247</v>
      </c>
      <c r="I411" s="15" t="n">
        <f aca="false">H411*(1+IF(I$3&lt;=$O$2,$D411,$D411-($D411-$I$400)*MIN(I$3-$O$2,$Q$2)/$Q$2))</f>
        <v>14736.5236651452</v>
      </c>
      <c r="J411" s="15" t="n">
        <f aca="false">I411*(1+IF(J$3&lt;=$O$2,$D411,$D411-($D411-$I$400)*MIN(J$3-$O$2,$Q$2)/$Q$2))</f>
        <v>16314.0777338263</v>
      </c>
      <c r="K411" s="15" t="n">
        <f aca="false">J411*(1+IF(K$3&lt;=$O$2,$D411,$D411-($D411-$I$400)*MIN(K$3-$O$2,$Q$2)/$Q$2))</f>
        <v>17759.7165942389</v>
      </c>
      <c r="L411" s="15" t="n">
        <f aca="false">K411*(1+IF(L$3&lt;=$O$2,$D411,$D411-($D411-$I$400)*MIN(L$3-$O$2,$Q$2)/$Q$2))</f>
        <v>19006.0102561511</v>
      </c>
      <c r="M411" s="15" t="n">
        <f aca="false">L411*(1+IF(M$3&lt;=$O$2,$D411,$D411-($D411-$I$400)*MIN(M$3-$O$2,$Q$2)/$Q$2))</f>
        <v>19989.3366814678</v>
      </c>
      <c r="N411" s="15" t="n">
        <f aca="false">M411*(1+IF(N$3&lt;=$O$2,$D411,$D411-($D411-$I$400)*MIN(N$3-$O$2,$Q$2)/$Q$2))</f>
        <v>20654.9815929607</v>
      </c>
      <c r="O411" s="15" t="n">
        <f aca="false">SUMPRODUCT(E411:N411,1/(1+$F$400)^$E$3:$N$3)*$E$2</f>
        <v>33947.2138801497</v>
      </c>
      <c r="P411" s="15" t="n">
        <f aca="false">N411*$E$2*(1+$I$400)/($F$400-$I$400)/(1+$F$400)^$N$3</f>
        <v>52562.2273080616</v>
      </c>
      <c r="Q411" s="15" t="n">
        <f aca="false">O411+P411</f>
        <v>86509.4411882113</v>
      </c>
      <c r="R411" s="15" t="n">
        <f aca="false">Q411-$G$2+$I$2</f>
        <v>80389.4411882113</v>
      </c>
      <c r="S411" s="42" t="n">
        <f aca="false">R411/$K$2</f>
        <v>464.195872434526</v>
      </c>
      <c r="T411" s="43" t="n">
        <f aca="false">S411-$M$2</f>
        <v>0.054516619767071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0.1240234375</v>
      </c>
      <c r="C412" s="25" t="n">
        <f aca="false">IF(T411&gt;0,D411,C411)</f>
        <v>0.12548828125</v>
      </c>
      <c r="D412" s="41" t="n">
        <f aca="false">(B412+C412)/2</f>
        <v>0.124755859375</v>
      </c>
      <c r="E412" s="15" t="n">
        <f aca="false">$C$2*(1+IF(E$3&lt;=$O$2,$D412,$D412-($D412-$I$400)*MIN(E$3-$O$2,$Q$2)/$Q$2))</f>
        <v>9178.0078125</v>
      </c>
      <c r="F412" s="15" t="n">
        <f aca="false">E412*(1+IF(F$3&lt;=$O$2,$D412,$D412-($D412-$I$400)*MIN(F$3-$O$2,$Q$2)/$Q$2))</f>
        <v>10323.0180644989</v>
      </c>
      <c r="G412" s="15" t="n">
        <f aca="false">F412*(1+IF(G$3&lt;=$O$2,$D412,$D412-($D412-$I$400)*MIN(G$3-$O$2,$Q$2)/$Q$2))</f>
        <v>11610.8750544791</v>
      </c>
      <c r="H412" s="15" t="n">
        <f aca="false">G412*(1+IF(H$3&lt;=$O$2,$D412,$D412-($D412-$I$400)*MIN(H$3-$O$2,$Q$2)/$Q$2))</f>
        <v>13059.3997499964</v>
      </c>
      <c r="I412" s="15" t="n">
        <f aca="false">H412*(1+IF(I$3&lt;=$O$2,$D412,$D412-($D412-$I$400)*MIN(I$3-$O$2,$Q$2)/$Q$2))</f>
        <v>14688.6363887289</v>
      </c>
      <c r="J412" s="15" t="n">
        <f aca="false">I412*(1+IF(J$3&lt;=$O$2,$D412,$D412-($D412-$I$400)*MIN(J$3-$O$2,$Q$2)/$Q$2))</f>
        <v>16252.457471656</v>
      </c>
      <c r="K412" s="15" t="n">
        <f aca="false">J412*(1+IF(K$3&lt;=$O$2,$D412,$D412-($D412-$I$400)*MIN(K$3-$O$2,$Q$2)/$Q$2))</f>
        <v>17685.4937844777</v>
      </c>
      <c r="L412" s="15" t="n">
        <f aca="false">K412*(1+IF(L$3&lt;=$O$2,$D412,$D412-($D412-$I$400)*MIN(L$3-$O$2,$Q$2)/$Q$2))</f>
        <v>18921.3975405131</v>
      </c>
      <c r="M412" s="15" t="n">
        <f aca="false">L412*(1+IF(M$3&lt;=$O$2,$D412,$D412-($D412-$I$400)*MIN(M$3-$O$2,$Q$2)/$Q$2))</f>
        <v>19897.5746131409</v>
      </c>
      <c r="N412" s="15" t="n">
        <f aca="false">M412*(1+IF(N$3&lt;=$O$2,$D412,$D412-($D412-$I$400)*MIN(N$3-$O$2,$Q$2)/$Q$2))</f>
        <v>20560.1638477585</v>
      </c>
      <c r="O412" s="15" t="n">
        <f aca="false">SUMPRODUCT(E412:N412,1/(1+$F$400)^$E$3:$N$3)*$E$2</f>
        <v>33840.0419377195</v>
      </c>
      <c r="P412" s="15" t="n">
        <f aca="false">N412*$E$2*(1+$I$400)/($F$400-$I$400)/(1+$F$400)^$N$3</f>
        <v>52320.9377259952</v>
      </c>
      <c r="Q412" s="15" t="n">
        <f aca="false">O412+P412</f>
        <v>86160.9796637147</v>
      </c>
      <c r="R412" s="15" t="n">
        <f aca="false">Q412-$G$2+$I$2</f>
        <v>80040.9796637147</v>
      </c>
      <c r="S412" s="42" t="n">
        <f aca="false">R412/$K$2</f>
        <v>462.183737520006</v>
      </c>
      <c r="T412" s="43" t="n">
        <f aca="false">S412-$M$2</f>
        <v>-1.95761829475282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0.124755859375</v>
      </c>
      <c r="C413" s="25" t="n">
        <f aca="false">IF(T412&gt;0,D412,C412)</f>
        <v>0.12548828125</v>
      </c>
      <c r="D413" s="41" t="n">
        <f aca="false">(B413+C413)/2</f>
        <v>0.1251220703125</v>
      </c>
      <c r="E413" s="15" t="n">
        <f aca="false">$C$2*(1+IF(E$3&lt;=$O$2,$D413,$D413-($D413-$I$400)*MIN(E$3-$O$2,$Q$2)/$Q$2))</f>
        <v>9180.99609375</v>
      </c>
      <c r="F413" s="15" t="n">
        <f aca="false">E413*(1+IF(F$3&lt;=$O$2,$D413,$D413-($D413-$I$400)*MIN(F$3-$O$2,$Q$2)/$Q$2))</f>
        <v>10329.741332531</v>
      </c>
      <c r="G413" s="15" t="n">
        <f aca="false">F413*(1+IF(G$3&lt;=$O$2,$D413,$D413-($D413-$I$400)*MIN(G$3-$O$2,$Q$2)/$Q$2))</f>
        <v>11622.2199538499</v>
      </c>
      <c r="H413" s="15" t="n">
        <f aca="false">G413*(1+IF(H$3&lt;=$O$2,$D413,$D413-($D413-$I$400)*MIN(H$3-$O$2,$Q$2)/$Q$2))</f>
        <v>13076.4161761028</v>
      </c>
      <c r="I413" s="15" t="n">
        <f aca="false">H413*(1+IF(I$3&lt;=$O$2,$D413,$D413-($D413-$I$400)*MIN(I$3-$O$2,$Q$2)/$Q$2))</f>
        <v>14712.5644403246</v>
      </c>
      <c r="J413" s="15" t="n">
        <f aca="false">I413*(1+IF(J$3&lt;=$O$2,$D413,$D413-($D413-$I$400)*MIN(J$3-$O$2,$Q$2)/$Q$2))</f>
        <v>16283.2433374008</v>
      </c>
      <c r="K413" s="15" t="n">
        <f aca="false">J413*(1+IF(K$3&lt;=$O$2,$D413,$D413-($D413-$I$400)*MIN(K$3-$O$2,$Q$2)/$Q$2))</f>
        <v>17722.5720093217</v>
      </c>
      <c r="L413" s="15" t="n">
        <f aca="false">K413*(1+IF(L$3&lt;=$O$2,$D413,$D413-($D413-$I$400)*MIN(L$3-$O$2,$Q$2)/$Q$2))</f>
        <v>18963.6629584954</v>
      </c>
      <c r="M413" s="15" t="n">
        <f aca="false">L413*(1+IF(M$3&lt;=$O$2,$D413,$D413-($D413-$I$400)*MIN(M$3-$O$2,$Q$2)/$Q$2))</f>
        <v>19943.4094937248</v>
      </c>
      <c r="N413" s="15" t="n">
        <f aca="false">M413*(1+IF(N$3&lt;=$O$2,$D413,$D413-($D413-$I$400)*MIN(N$3-$O$2,$Q$2)/$Q$2))</f>
        <v>20607.5250298658</v>
      </c>
      <c r="O413" s="15" t="n">
        <f aca="false">SUMPRODUCT(E413:N413,1/(1+$F$400)^$E$3:$N$3)*$E$2</f>
        <v>33893.5860507972</v>
      </c>
      <c r="P413" s="15" t="n">
        <f aca="false">N413*$E$2*(1+$I$400)/($F$400-$I$400)/(1+$F$400)^$N$3</f>
        <v>52441.4611555756</v>
      </c>
      <c r="Q413" s="15" t="n">
        <f aca="false">O413+P413</f>
        <v>86335.0472063728</v>
      </c>
      <c r="R413" s="15" t="n">
        <f aca="false">Q413-$G$2+$I$2</f>
        <v>80215.0472063728</v>
      </c>
      <c r="S413" s="42" t="n">
        <f aca="false">R413/$K$2</f>
        <v>463.188862492048</v>
      </c>
      <c r="T413" s="43" t="n">
        <f aca="false">S413-$M$2</f>
        <v>-0.952493322711575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0.1251220703125</v>
      </c>
      <c r="C414" s="25" t="n">
        <f aca="false">IF(T413&gt;0,D413,C413)</f>
        <v>0.12548828125</v>
      </c>
      <c r="D414" s="41" t="n">
        <f aca="false">(B414+C414)/2</f>
        <v>0.12530517578125</v>
      </c>
      <c r="E414" s="15" t="n">
        <f aca="false">$C$2*(1+IF(E$3&lt;=$O$2,$D414,$D414-($D414-$I$400)*MIN(E$3-$O$2,$Q$2)/$Q$2))</f>
        <v>9182.490234375</v>
      </c>
      <c r="F414" s="15" t="n">
        <f aca="false">E414*(1+IF(F$3&lt;=$O$2,$D414,$D414-($D414-$I$400)*MIN(F$3-$O$2,$Q$2)/$Q$2))</f>
        <v>10333.103787303</v>
      </c>
      <c r="G414" s="15" t="n">
        <f aca="false">F414*(1+IF(G$3&lt;=$O$2,$D414,$D414-($D414-$I$400)*MIN(G$3-$O$2,$Q$2)/$Q$2))</f>
        <v>11627.8951737369</v>
      </c>
      <c r="H414" s="15" t="n">
        <f aca="false">G414*(1+IF(H$3&lt;=$O$2,$D414,$D414-($D414-$I$400)*MIN(H$3-$O$2,$Q$2)/$Q$2))</f>
        <v>13084.9306224479</v>
      </c>
      <c r="I414" s="15" t="n">
        <f aca="false">H414*(1+IF(I$3&lt;=$O$2,$D414,$D414-($D414-$I$400)*MIN(I$3-$O$2,$Q$2)/$Q$2))</f>
        <v>14724.5401541792</v>
      </c>
      <c r="J414" s="15" t="n">
        <f aca="false">I414*(1+IF(J$3&lt;=$O$2,$D414,$D414-($D414-$I$400)*MIN(J$3-$O$2,$Q$2)/$Q$2))</f>
        <v>16298.65446546</v>
      </c>
      <c r="K414" s="15" t="n">
        <f aca="false">J414*(1+IF(K$3&lt;=$O$2,$D414,$D414-($D414-$I$400)*MIN(K$3-$O$2,$Q$2)/$Q$2))</f>
        <v>17741.1360006154</v>
      </c>
      <c r="L414" s="15" t="n">
        <f aca="false">K414*(1+IF(L$3&lt;=$O$2,$D414,$D414-($D414-$I$400)*MIN(L$3-$O$2,$Q$2)/$Q$2))</f>
        <v>18984.8263639541</v>
      </c>
      <c r="M414" s="15" t="n">
        <f aca="false">L414*(1+IF(M$3&lt;=$O$2,$D414,$D414-($D414-$I$400)*MIN(M$3-$O$2,$Q$2)/$Q$2))</f>
        <v>19966.3615392322</v>
      </c>
      <c r="N414" s="15" t="n">
        <f aca="false">M414*(1+IF(N$3&lt;=$O$2,$D414,$D414-($D414-$I$400)*MIN(N$3-$O$2,$Q$2)/$Q$2))</f>
        <v>20631.2413784887</v>
      </c>
      <c r="O414" s="15" t="n">
        <f aca="false">SUMPRODUCT(E414:N414,1/(1+$F$400)^$E$3:$N$3)*$E$2</f>
        <v>33920.3894934024</v>
      </c>
      <c r="P414" s="15" t="n">
        <f aca="false">N414*$E$2*(1+$I$400)/($F$400-$I$400)/(1+$F$400)^$N$3</f>
        <v>52501.8138652413</v>
      </c>
      <c r="Q414" s="15" t="n">
        <f aca="false">O414+P414</f>
        <v>86422.2033586437</v>
      </c>
      <c r="R414" s="15" t="n">
        <f aca="false">Q414-$G$2+$I$2</f>
        <v>80302.2033586437</v>
      </c>
      <c r="S414" s="42" t="n">
        <f aca="false">R414/$K$2</f>
        <v>463.692131647094</v>
      </c>
      <c r="T414" s="43" t="n">
        <f aca="false">S414-$M$2</f>
        <v>-0.449224167665534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0.12530517578125</v>
      </c>
      <c r="C415" s="25" t="n">
        <f aca="false">IF(T414&gt;0,D414,C414)</f>
        <v>0.12548828125</v>
      </c>
      <c r="D415" s="41" t="n">
        <f aca="false">(B415+C415)/2</f>
        <v>0.125396728515625</v>
      </c>
      <c r="E415" s="15" t="n">
        <f aca="false">$C$2*(1+IF(E$3&lt;=$O$2,$D415,$D415-($D415-$I$400)*MIN(E$3-$O$2,$Q$2)/$Q$2))</f>
        <v>9183.2373046875</v>
      </c>
      <c r="F415" s="15" t="n">
        <f aca="false">E415*(1+IF(F$3&lt;=$O$2,$D415,$D415-($D415-$I$400)*MIN(F$3-$O$2,$Q$2)/$Q$2))</f>
        <v>10334.785219878</v>
      </c>
      <c r="G415" s="15" t="n">
        <f aca="false">F415*(1+IF(G$3&lt;=$O$2,$D415,$D415-($D415-$I$400)*MIN(G$3-$O$2,$Q$2)/$Q$2))</f>
        <v>11630.7334763623</v>
      </c>
      <c r="H415" s="15" t="n">
        <f aca="false">G415*(1+IF(H$3&lt;=$O$2,$D415,$D415-($D415-$I$400)*MIN(H$3-$O$2,$Q$2)/$Q$2))</f>
        <v>13089.1894045353</v>
      </c>
      <c r="I415" s="15" t="n">
        <f aca="false">H415*(1+IF(I$3&lt;=$O$2,$D415,$D415-($D415-$I$400)*MIN(I$3-$O$2,$Q$2)/$Q$2))</f>
        <v>14730.5309347854</v>
      </c>
      <c r="J415" s="15" t="n">
        <f aca="false">I415*(1+IF(J$3&lt;=$O$2,$D415,$D415-($D415-$I$400)*MIN(J$3-$O$2,$Q$2)/$Q$2))</f>
        <v>16306.3645816273</v>
      </c>
      <c r="K415" s="15" t="n">
        <f aca="false">J415*(1+IF(K$3&lt;=$O$2,$D415,$D415-($D415-$I$400)*MIN(K$3-$O$2,$Q$2)/$Q$2))</f>
        <v>17750.424221366</v>
      </c>
      <c r="L415" s="15" t="n">
        <f aca="false">K415*(1+IF(L$3&lt;=$O$2,$D415,$D415-($D415-$I$400)*MIN(L$3-$O$2,$Q$2)/$Q$2))</f>
        <v>18995.4157481585</v>
      </c>
      <c r="M415" s="15" t="n">
        <f aca="false">L415*(1+IF(M$3&lt;=$O$2,$D415,$D415-($D415-$I$400)*MIN(M$3-$O$2,$Q$2)/$Q$2))</f>
        <v>19977.8462220121</v>
      </c>
      <c r="N415" s="15" t="n">
        <f aca="false">M415*(1+IF(N$3&lt;=$O$2,$D415,$D415-($D415-$I$400)*MIN(N$3-$O$2,$Q$2)/$Q$2))</f>
        <v>20643.1085012051</v>
      </c>
      <c r="O415" s="15" t="n">
        <f aca="false">SUMPRODUCT(E415:N415,1/(1+$F$400)^$E$3:$N$3)*$E$2</f>
        <v>33933.7990678157</v>
      </c>
      <c r="P415" s="15" t="n">
        <f aca="false">N415*$E$2*(1+$I$400)/($F$400-$I$400)/(1+$F$400)^$N$3</f>
        <v>52532.0129917283</v>
      </c>
      <c r="Q415" s="15" t="n">
        <f aca="false">O415+P415</f>
        <v>86465.812059544</v>
      </c>
      <c r="R415" s="15" t="n">
        <f aca="false">Q415-$G$2+$I$2</f>
        <v>80345.812059544</v>
      </c>
      <c r="S415" s="42" t="n">
        <f aca="false">R415/$K$2</f>
        <v>463.943943062386</v>
      </c>
      <c r="T415" s="43" t="n">
        <f aca="false">S415-$M$2</f>
        <v>-0.197412752373452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0.125396728515625</v>
      </c>
      <c r="C416" s="25" t="n">
        <f aca="false">IF(T415&gt;0,D415,C415)</f>
        <v>0.12548828125</v>
      </c>
      <c r="D416" s="41" t="n">
        <f aca="false">(B416+C416)/2</f>
        <v>0.125442504882813</v>
      </c>
      <c r="E416" s="15" t="n">
        <f aca="false">$C$2*(1+IF(E$3&lt;=$O$2,$D416,$D416-($D416-$I$400)*MIN(E$3-$O$2,$Q$2)/$Q$2))</f>
        <v>9183.61083984375</v>
      </c>
      <c r="F416" s="15" t="n">
        <f aca="false">E416*(1+IF(F$3&lt;=$O$2,$D416,$D416-($D416-$I$400)*MIN(F$3-$O$2,$Q$2)/$Q$2))</f>
        <v>10335.6259874627</v>
      </c>
      <c r="G416" s="15" t="n">
        <f aca="false">F416*(1+IF(G$3&lt;=$O$2,$D416,$D416-($D416-$I$400)*MIN(G$3-$O$2,$Q$2)/$Q$2))</f>
        <v>11632.1528008619</v>
      </c>
      <c r="H416" s="15" t="n">
        <f aca="false">G416*(1+IF(H$3&lt;=$O$2,$D416,$D416-($D416-$I$400)*MIN(H$3-$O$2,$Q$2)/$Q$2))</f>
        <v>13091.3191853817</v>
      </c>
      <c r="I416" s="15" t="n">
        <f aca="false">H416*(1+IF(I$3&lt;=$O$2,$D416,$D416-($D416-$I$400)*MIN(I$3-$O$2,$Q$2)/$Q$2))</f>
        <v>14733.5270562164</v>
      </c>
      <c r="J416" s="15" t="n">
        <f aca="false">I416*(1+IF(J$3&lt;=$O$2,$D416,$D416-($D416-$I$400)*MIN(J$3-$O$2,$Q$2)/$Q$2))</f>
        <v>16310.2207781631</v>
      </c>
      <c r="K416" s="15" t="n">
        <f aca="false">J416*(1+IF(K$3&lt;=$O$2,$D416,$D416-($D416-$I$400)*MIN(K$3-$O$2,$Q$2)/$Q$2))</f>
        <v>17755.069888691</v>
      </c>
      <c r="L416" s="15" t="n">
        <f aca="false">K416*(1+IF(L$3&lt;=$O$2,$D416,$D416-($D416-$I$400)*MIN(L$3-$O$2,$Q$2)/$Q$2))</f>
        <v>19000.7123615497</v>
      </c>
      <c r="M416" s="15" t="n">
        <f aca="false">L416*(1+IF(M$3&lt;=$O$2,$D416,$D416-($D416-$I$400)*MIN(M$3-$O$2,$Q$2)/$Q$2))</f>
        <v>19983.5907294995</v>
      </c>
      <c r="N416" s="15" t="n">
        <f aca="false">M416*(1+IF(N$3&lt;=$O$2,$D416,$D416-($D416-$I$400)*MIN(N$3-$O$2,$Q$2)/$Q$2))</f>
        <v>20649.0443007919</v>
      </c>
      <c r="O416" s="15" t="n">
        <f aca="false">SUMPRODUCT(E416:N416,1/(1+$F$400)^$E$3:$N$3)*$E$2</f>
        <v>33940.5058191247</v>
      </c>
      <c r="P416" s="15" t="n">
        <f aca="false">N416*$E$2*(1+$I$400)/($F$400-$I$400)/(1+$F$400)^$N$3</f>
        <v>52547.1182507542</v>
      </c>
      <c r="Q416" s="15" t="n">
        <f aca="false">O416+P416</f>
        <v>86487.6240698789</v>
      </c>
      <c r="R416" s="15" t="n">
        <f aca="false">Q416-$G$2+$I$2</f>
        <v>80367.6240698789</v>
      </c>
      <c r="S416" s="42" t="n">
        <f aca="false">R416/$K$2</f>
        <v>464.069893000802</v>
      </c>
      <c r="T416" s="43" t="n">
        <f aca="false">S416-$M$2</f>
        <v>-0.0714628139571687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0.125442504882813</v>
      </c>
      <c r="C417" s="25" t="n">
        <f aca="false">IF(T416&gt;0,D416,C416)</f>
        <v>0.12548828125</v>
      </c>
      <c r="D417" s="41" t="n">
        <f aca="false">(B417+C417)/2</f>
        <v>0.125465393066406</v>
      </c>
      <c r="E417" s="15" t="n">
        <f aca="false">$C$2*(1+IF(E$3&lt;=$O$2,$D417,$D417-($D417-$I$400)*MIN(E$3-$O$2,$Q$2)/$Q$2))</f>
        <v>9183.79760742188</v>
      </c>
      <c r="F417" s="15" t="n">
        <f aca="false">E417*(1+IF(F$3&lt;=$O$2,$D417,$D417-($D417-$I$400)*MIN(F$3-$O$2,$Q$2)/$Q$2))</f>
        <v>10336.0463840794</v>
      </c>
      <c r="G417" s="15" t="n">
        <f aca="false">F417*(1+IF(G$3&lt;=$O$2,$D417,$D417-($D417-$I$400)*MIN(G$3-$O$2,$Q$2)/$Q$2))</f>
        <v>11632.8625064105</v>
      </c>
      <c r="H417" s="15" t="n">
        <f aca="false">G417*(1+IF(H$3&lt;=$O$2,$D417,$D417-($D417-$I$400)*MIN(H$3-$O$2,$Q$2)/$Q$2))</f>
        <v>13092.3841732648</v>
      </c>
      <c r="I417" s="15" t="n">
        <f aca="false">H417*(1+IF(I$3&lt;=$O$2,$D417,$D417-($D417-$I$400)*MIN(I$3-$O$2,$Q$2)/$Q$2))</f>
        <v>14735.0252997398</v>
      </c>
      <c r="J417" s="15" t="n">
        <f aca="false">I417*(1+IF(J$3&lt;=$O$2,$D417,$D417-($D417-$I$400)*MIN(J$3-$O$2,$Q$2)/$Q$2))</f>
        <v>16312.1491610963</v>
      </c>
      <c r="K417" s="15" t="n">
        <f aca="false">J417*(1+IF(K$3&lt;=$O$2,$D417,$D417-($D417-$I$400)*MIN(K$3-$O$2,$Q$2)/$Q$2))</f>
        <v>17757.393111675</v>
      </c>
      <c r="L417" s="15" t="n">
        <f aca="false">K417*(1+IF(L$3&lt;=$O$2,$D417,$D417-($D417-$I$400)*MIN(L$3-$O$2,$Q$2)/$Q$2))</f>
        <v>19003.3611486827</v>
      </c>
      <c r="M417" s="15" t="n">
        <f aca="false">L417*(1+IF(M$3&lt;=$O$2,$D417,$D417-($D417-$I$400)*MIN(M$3-$O$2,$Q$2)/$Q$2))</f>
        <v>19986.4635249041</v>
      </c>
      <c r="N417" s="15" t="n">
        <f aca="false">M417*(1+IF(N$3&lt;=$O$2,$D417,$D417-($D417-$I$400)*MIN(N$3-$O$2,$Q$2)/$Q$2))</f>
        <v>20652.0127602834</v>
      </c>
      <c r="O417" s="15" t="n">
        <f aca="false">SUMPRODUCT(E417:N417,1/(1+$F$400)^$E$3:$N$3)*$E$2</f>
        <v>33943.859685908</v>
      </c>
      <c r="P417" s="15" t="n">
        <f aca="false">N417*$E$2*(1+$I$400)/($F$400-$I$400)/(1+$F$400)^$N$3</f>
        <v>52554.6723045714</v>
      </c>
      <c r="Q417" s="15" t="n">
        <f aca="false">O417+P417</f>
        <v>86498.5319904794</v>
      </c>
      <c r="R417" s="15" t="n">
        <f aca="false">Q417-$G$2+$I$2</f>
        <v>80378.5319904794</v>
      </c>
      <c r="S417" s="42" t="n">
        <f aca="false">R417/$K$2</f>
        <v>464.13287903037</v>
      </c>
      <c r="T417" s="43" t="n">
        <f aca="false">S417-$M$2</f>
        <v>-0.0084767843895861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0.125465393066406</v>
      </c>
      <c r="C418" s="25" t="n">
        <f aca="false">IF(T417&gt;0,D417,C417)</f>
        <v>0.12548828125</v>
      </c>
      <c r="D418" s="41" t="n">
        <f aca="false">(B418+C418)/2</f>
        <v>0.125476837158203</v>
      </c>
      <c r="E418" s="15" t="n">
        <f aca="false">$C$2*(1+IF(E$3&lt;=$O$2,$D418,$D418-($D418-$I$400)*MIN(E$3-$O$2,$Q$2)/$Q$2))</f>
        <v>9183.89099121094</v>
      </c>
      <c r="F418" s="15" t="n">
        <f aca="false">E418*(1+IF(F$3&lt;=$O$2,$D418,$D418-($D418-$I$400)*MIN(F$3-$O$2,$Q$2)/$Q$2))</f>
        <v>10336.2565855938</v>
      </c>
      <c r="G418" s="15" t="n">
        <f aca="false">F418*(1+IF(G$3&lt;=$O$2,$D418,$D418-($D418-$I$400)*MIN(G$3-$O$2,$Q$2)/$Q$2))</f>
        <v>11633.2173700098</v>
      </c>
      <c r="H418" s="15" t="n">
        <f aca="false">G418*(1+IF(H$3&lt;=$O$2,$D418,$D418-($D418-$I$400)*MIN(H$3-$O$2,$Q$2)/$Q$2))</f>
        <v>13092.9166915725</v>
      </c>
      <c r="I418" s="15" t="n">
        <f aca="false">H418*(1+IF(I$3&lt;=$O$2,$D418,$D418-($D418-$I$400)*MIN(I$3-$O$2,$Q$2)/$Q$2))</f>
        <v>14735.7744672068</v>
      </c>
      <c r="J418" s="15" t="n">
        <f aca="false">I418*(1+IF(J$3&lt;=$O$2,$D418,$D418-($D418-$I$400)*MIN(J$3-$O$2,$Q$2)/$Q$2))</f>
        <v>16313.1134237358</v>
      </c>
      <c r="K418" s="15" t="n">
        <f aca="false">J418*(1+IF(K$3&lt;=$O$2,$D418,$D418-($D418-$I$400)*MIN(K$3-$O$2,$Q$2)/$Q$2))</f>
        <v>17758.554820508</v>
      </c>
      <c r="L418" s="15" t="n">
        <f aca="false">K418*(1+IF(L$3&lt;=$O$2,$D418,$D418-($D418-$I$400)*MIN(L$3-$O$2,$Q$2)/$Q$2))</f>
        <v>19004.6856623729</v>
      </c>
      <c r="M418" s="15" t="n">
        <f aca="false">L418*(1+IF(M$3&lt;=$O$2,$D418,$D418-($D418-$I$400)*MIN(M$3-$O$2,$Q$2)/$Q$2))</f>
        <v>19987.9000580386</v>
      </c>
      <c r="N418" s="15" t="n">
        <f aca="false">M418*(1+IF(N$3&lt;=$O$2,$D418,$D418-($D418-$I$400)*MIN(N$3-$O$2,$Q$2)/$Q$2))</f>
        <v>20653.4971299713</v>
      </c>
      <c r="O418" s="15" t="n">
        <f aca="false">SUMPRODUCT(E418:N418,1/(1+$F$400)^$E$3:$N$3)*$E$2</f>
        <v>33945.5367420947</v>
      </c>
      <c r="P418" s="15" t="n">
        <f aca="false">N418*$E$2*(1+$I$400)/($F$400-$I$400)/(1+$F$400)^$N$3</f>
        <v>52558.449687601</v>
      </c>
      <c r="Q418" s="15" t="n">
        <f aca="false">O418+P418</f>
        <v>86503.9864296957</v>
      </c>
      <c r="R418" s="15" t="n">
        <f aca="false">Q418-$G$2+$I$2</f>
        <v>80383.9864296957</v>
      </c>
      <c r="S418" s="42" t="n">
        <f aca="false">R418/$K$2</f>
        <v>464.164374810577</v>
      </c>
      <c r="T418" s="43" t="n">
        <f aca="false">S418-$M$2</f>
        <v>0.0230189958174378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0.125465393066406</v>
      </c>
      <c r="C419" s="25" t="n">
        <f aca="false">IF(T418&gt;0,D418,C418)</f>
        <v>0.125476837158203</v>
      </c>
      <c r="D419" s="41" t="n">
        <f aca="false">(B419+C419)/2</f>
        <v>0.125471115112305</v>
      </c>
      <c r="E419" s="15" t="n">
        <f aca="false">$C$2*(1+IF(E$3&lt;=$O$2,$D419,$D419-($D419-$I$400)*MIN(E$3-$O$2,$Q$2)/$Q$2))</f>
        <v>9183.84429931641</v>
      </c>
      <c r="F419" s="15" t="n">
        <f aca="false">E419*(1+IF(F$3&lt;=$O$2,$D419,$D419-($D419-$I$400)*MIN(F$3-$O$2,$Q$2)/$Q$2))</f>
        <v>10336.1514845694</v>
      </c>
      <c r="G419" s="15" t="n">
        <f aca="false">F419*(1+IF(G$3&lt;=$O$2,$D419,$D419-($D419-$I$400)*MIN(G$3-$O$2,$Q$2)/$Q$2))</f>
        <v>11633.039937308</v>
      </c>
      <c r="H419" s="15" t="n">
        <f aca="false">G419*(1+IF(H$3&lt;=$O$2,$D419,$D419-($D419-$I$400)*MIN(H$3-$O$2,$Q$2)/$Q$2))</f>
        <v>13092.6504303881</v>
      </c>
      <c r="I419" s="15" t="n">
        <f aca="false">H419*(1+IF(I$3&lt;=$O$2,$D419,$D419-($D419-$I$400)*MIN(I$3-$O$2,$Q$2)/$Q$2))</f>
        <v>14735.3998796644</v>
      </c>
      <c r="J419" s="15" t="n">
        <f aca="false">I419*(1+IF(J$3&lt;=$O$2,$D419,$D419-($D419-$I$400)*MIN(J$3-$O$2,$Q$2)/$Q$2))</f>
        <v>16312.6312864848</v>
      </c>
      <c r="K419" s="15" t="n">
        <f aca="false">J419*(1+IF(K$3&lt;=$O$2,$D419,$D419-($D419-$I$400)*MIN(K$3-$O$2,$Q$2)/$Q$2))</f>
        <v>17757.9739579794</v>
      </c>
      <c r="L419" s="15" t="n">
        <f aca="false">K419*(1+IF(L$3&lt;=$O$2,$D419,$D419-($D419-$I$400)*MIN(L$3-$O$2,$Q$2)/$Q$2))</f>
        <v>19004.023395517</v>
      </c>
      <c r="M419" s="15" t="n">
        <f aca="false">L419*(1+IF(M$3&lt;=$O$2,$D419,$D419-($D419-$I$400)*MIN(M$3-$O$2,$Q$2)/$Q$2))</f>
        <v>19987.1817801848</v>
      </c>
      <c r="N419" s="15" t="n">
        <f aca="false">M419*(1+IF(N$3&lt;=$O$2,$D419,$D419-($D419-$I$400)*MIN(N$3-$O$2,$Q$2)/$Q$2))</f>
        <v>20652.7549334649</v>
      </c>
      <c r="O419" s="15" t="n">
        <f aca="false">SUMPRODUCT(E419:N419,1/(1+$F$400)^$E$3:$N$3)*$E$2</f>
        <v>33944.6982037681</v>
      </c>
      <c r="P419" s="15" t="n">
        <f aca="false">N419*$E$2*(1+$I$400)/($F$400-$I$400)/(1+$F$400)^$N$3</f>
        <v>52556.5609664081</v>
      </c>
      <c r="Q419" s="15" t="n">
        <f aca="false">O419+P419</f>
        <v>86501.2591701762</v>
      </c>
      <c r="R419" s="15" t="n">
        <f aca="false">Q419-$G$2+$I$2</f>
        <v>80381.2591701762</v>
      </c>
      <c r="S419" s="42" t="n">
        <f aca="false">R419/$K$2</f>
        <v>464.148626690011</v>
      </c>
      <c r="T419" s="43" t="n">
        <f aca="false">S419-$M$2</f>
        <v>0.00727087525206116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0.125465393066406</v>
      </c>
      <c r="C420" s="25" t="n">
        <f aca="false">IF(T419&gt;0,D419,C419)</f>
        <v>0.125471115112305</v>
      </c>
      <c r="D420" s="41" t="n">
        <f aca="false">(B420+C420)/2</f>
        <v>0.125468254089355</v>
      </c>
      <c r="E420" s="15" t="n">
        <f aca="false">$C$2*(1+IF(E$3&lt;=$O$2,$D420,$D420-($D420-$I$400)*MIN(E$3-$O$2,$Q$2)/$Q$2))</f>
        <v>9183.82095336914</v>
      </c>
      <c r="F420" s="15" t="n">
        <f aca="false">E420*(1+IF(F$3&lt;=$O$2,$D420,$D420-($D420-$I$400)*MIN(F$3-$O$2,$Q$2)/$Q$2))</f>
        <v>10336.0989342576</v>
      </c>
      <c r="G420" s="15" t="n">
        <f aca="false">F420*(1+IF(G$3&lt;=$O$2,$D420,$D420-($D420-$I$400)*MIN(G$3-$O$2,$Q$2)/$Q$2))</f>
        <v>11632.9512216338</v>
      </c>
      <c r="H420" s="15" t="n">
        <f aca="false">G420*(1+IF(H$3&lt;=$O$2,$D420,$D420-($D420-$I$400)*MIN(H$3-$O$2,$Q$2)/$Q$2))</f>
        <v>13092.5173013188</v>
      </c>
      <c r="I420" s="15" t="n">
        <f aca="false">H420*(1+IF(I$3&lt;=$O$2,$D420,$D420-($D420-$I$400)*MIN(I$3-$O$2,$Q$2)/$Q$2))</f>
        <v>14735.2125887499</v>
      </c>
      <c r="J420" s="15" t="n">
        <f aca="false">I420*(1+IF(J$3&lt;=$O$2,$D420,$D420-($D420-$I$400)*MIN(J$3-$O$2,$Q$2)/$Q$2))</f>
        <v>16312.3902223078</v>
      </c>
      <c r="K420" s="15" t="n">
        <f aca="false">J420*(1+IF(K$3&lt;=$O$2,$D420,$D420-($D420-$I$400)*MIN(K$3-$O$2,$Q$2)/$Q$2))</f>
        <v>17757.6835327992</v>
      </c>
      <c r="L420" s="15" t="n">
        <f aca="false">K420*(1+IF(L$3&lt;=$O$2,$D420,$D420-($D420-$I$400)*MIN(L$3-$O$2,$Q$2)/$Q$2))</f>
        <v>19003.6922695972</v>
      </c>
      <c r="M420" s="15" t="n">
        <f aca="false">L420*(1+IF(M$3&lt;=$O$2,$D420,$D420-($D420-$I$400)*MIN(M$3-$O$2,$Q$2)/$Q$2))</f>
        <v>19986.8226497228</v>
      </c>
      <c r="N420" s="15" t="n">
        <f aca="false">M420*(1+IF(N$3&lt;=$O$2,$D420,$D420-($D420-$I$400)*MIN(N$3-$O$2,$Q$2)/$Q$2))</f>
        <v>20652.3838439586</v>
      </c>
      <c r="O420" s="15" t="n">
        <f aca="false">SUMPRODUCT(E420:N420,1/(1+$F$400)^$E$3:$N$3)*$E$2</f>
        <v>33944.2789422797</v>
      </c>
      <c r="P420" s="15" t="n">
        <f aca="false">N420*$E$2*(1+$I$400)/($F$400-$I$400)/(1+$F$400)^$N$3</f>
        <v>52555.6166280703</v>
      </c>
      <c r="Q420" s="15" t="n">
        <f aca="false">O420+P420</f>
        <v>86499.8955703501</v>
      </c>
      <c r="R420" s="15" t="n">
        <f aca="false">Q420-$G$2+$I$2</f>
        <v>80379.8955703501</v>
      </c>
      <c r="S420" s="42" t="n">
        <f aca="false">R420/$K$2</f>
        <v>464.140752802576</v>
      </c>
      <c r="T420" s="43" t="n">
        <f aca="false">S420-$M$2</f>
        <v>-0.000603012183546525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0.125468254089355</v>
      </c>
      <c r="C421" s="25" t="n">
        <f aca="false">IF(T420&gt;0,D420,C420)</f>
        <v>0.125471115112305</v>
      </c>
      <c r="D421" s="41" t="n">
        <f aca="false">(B421+C421)/2</f>
        <v>0.12546968460083</v>
      </c>
      <c r="E421" s="15" t="n">
        <f aca="false">$C$2*(1+IF(E$3&lt;=$O$2,$D421,$D421-($D421-$I$400)*MIN(E$3-$O$2,$Q$2)/$Q$2))</f>
        <v>9183.83262634277</v>
      </c>
      <c r="F421" s="15" t="n">
        <f aca="false">E421*(1+IF(F$3&lt;=$O$2,$D421,$D421-($D421-$I$400)*MIN(F$3-$O$2,$Q$2)/$Q$2))</f>
        <v>10336.1252093968</v>
      </c>
      <c r="G421" s="15" t="n">
        <f aca="false">F421*(1+IF(G$3&lt;=$O$2,$D421,$D421-($D421-$I$400)*MIN(G$3-$O$2,$Q$2)/$Q$2))</f>
        <v>11632.9955794145</v>
      </c>
      <c r="H421" s="15" t="n">
        <f aca="false">G421*(1+IF(H$3&lt;=$O$2,$D421,$D421-($D421-$I$400)*MIN(H$3-$O$2,$Q$2)/$Q$2))</f>
        <v>13092.5838657265</v>
      </c>
      <c r="I421" s="15" t="n">
        <f aca="false">H421*(1+IF(I$3&lt;=$O$2,$D421,$D421-($D421-$I$400)*MIN(I$3-$O$2,$Q$2)/$Q$2))</f>
        <v>14735.3062339691</v>
      </c>
      <c r="J421" s="15" t="n">
        <f aca="false">I421*(1+IF(J$3&lt;=$O$2,$D421,$D421-($D421-$I$400)*MIN(J$3-$O$2,$Q$2)/$Q$2))</f>
        <v>16312.5107540256</v>
      </c>
      <c r="K421" s="15" t="n">
        <f aca="false">J421*(1+IF(K$3&lt;=$O$2,$D421,$D421-($D421-$I$400)*MIN(K$3-$O$2,$Q$2)/$Q$2))</f>
        <v>17757.8287448823</v>
      </c>
      <c r="L421" s="15" t="n">
        <f aca="false">K421*(1+IF(L$3&lt;=$O$2,$D421,$D421-($D421-$I$400)*MIN(L$3-$O$2,$Q$2)/$Q$2))</f>
        <v>19003.8578319315</v>
      </c>
      <c r="M421" s="15" t="n">
        <f aca="false">L421*(1+IF(M$3&lt;=$O$2,$D421,$D421-($D421-$I$400)*MIN(M$3-$O$2,$Q$2)/$Q$2))</f>
        <v>19987.0022142484</v>
      </c>
      <c r="N421" s="15" t="n">
        <f aca="false">M421*(1+IF(N$3&lt;=$O$2,$D421,$D421-($D421-$I$400)*MIN(N$3-$O$2,$Q$2)/$Q$2))</f>
        <v>20652.5693879829</v>
      </c>
      <c r="O421" s="15" t="n">
        <f aca="false">SUMPRODUCT(E421:N421,1/(1+$F$400)^$E$3:$N$3)*$E$2</f>
        <v>33944.4885723843</v>
      </c>
      <c r="P421" s="15" t="n">
        <f aca="false">N421*$E$2*(1+$I$400)/($F$400-$I$400)/(1+$F$400)^$N$3</f>
        <v>52556.0887953843</v>
      </c>
      <c r="Q421" s="15" t="n">
        <f aca="false">O421+P421</f>
        <v>86500.5773677687</v>
      </c>
      <c r="R421" s="15" t="n">
        <f aca="false">Q421-$G$2+$I$2</f>
        <v>80380.5773677687</v>
      </c>
      <c r="S421" s="42" t="n">
        <f aca="false">R421/$K$2</f>
        <v>464.14468973189</v>
      </c>
      <c r="T421" s="43" t="n">
        <f aca="false">S421-$M$2</f>
        <v>0.0033339171304192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0.125468254089355</v>
      </c>
      <c r="C422" s="25" t="n">
        <f aca="false">IF(T421&gt;0,D421,C421)</f>
        <v>0.12546968460083</v>
      </c>
      <c r="D422" s="41" t="n">
        <f aca="false">(B422+C422)/2</f>
        <v>0.125468969345093</v>
      </c>
      <c r="E422" s="15" t="n">
        <f aca="false">$C$2*(1+IF(E$3&lt;=$O$2,$D422,$D422-($D422-$I$400)*MIN(E$3-$O$2,$Q$2)/$Q$2))</f>
        <v>9183.82678985596</v>
      </c>
      <c r="F422" s="15" t="n">
        <f aca="false">E422*(1+IF(F$3&lt;=$O$2,$D422,$D422-($D422-$I$400)*MIN(F$3-$O$2,$Q$2)/$Q$2))</f>
        <v>10336.112071823</v>
      </c>
      <c r="G422" s="15" t="n">
        <f aca="false">F422*(1+IF(G$3&lt;=$O$2,$D422,$D422-($D422-$I$400)*MIN(G$3-$O$2,$Q$2)/$Q$2))</f>
        <v>11632.97340051</v>
      </c>
      <c r="H422" s="15" t="n">
        <f aca="false">G422*(1+IF(H$3&lt;=$O$2,$D422,$D422-($D422-$I$400)*MIN(H$3-$O$2,$Q$2)/$Q$2))</f>
        <v>13092.5505834909</v>
      </c>
      <c r="I422" s="15" t="n">
        <f aca="false">H422*(1+IF(I$3&lt;=$O$2,$D422,$D422-($D422-$I$400)*MIN(I$3-$O$2,$Q$2)/$Q$2))</f>
        <v>14735.2594113</v>
      </c>
      <c r="J422" s="15" t="n">
        <f aca="false">I422*(1+IF(J$3&lt;=$O$2,$D422,$D422-($D422-$I$400)*MIN(J$3-$O$2,$Q$2)/$Q$2))</f>
        <v>16312.450488074</v>
      </c>
      <c r="K422" s="15" t="n">
        <f aca="false">J422*(1+IF(K$3&lt;=$O$2,$D422,$D422-($D422-$I$400)*MIN(K$3-$O$2,$Q$2)/$Q$2))</f>
        <v>17757.756138714</v>
      </c>
      <c r="L422" s="15" t="n">
        <f aca="false">K422*(1+IF(L$3&lt;=$O$2,$D422,$D422-($D422-$I$400)*MIN(L$3-$O$2,$Q$2)/$Q$2))</f>
        <v>19003.7750506079</v>
      </c>
      <c r="M422" s="15" t="n">
        <f aca="false">L422*(1+IF(M$3&lt;=$O$2,$D422,$D422-($D422-$I$400)*MIN(M$3-$O$2,$Q$2)/$Q$2))</f>
        <v>19986.9124318093</v>
      </c>
      <c r="N422" s="15" t="n">
        <f aca="false">M422*(1+IF(N$3&lt;=$O$2,$D422,$D422-($D422-$I$400)*MIN(N$3-$O$2,$Q$2)/$Q$2))</f>
        <v>20652.4766157885</v>
      </c>
      <c r="O422" s="15" t="n">
        <f aca="false">SUMPRODUCT(E422:N422,1/(1+$F$400)^$E$3:$N$3)*$E$2</f>
        <v>33944.3837571721</v>
      </c>
      <c r="P422" s="15" t="n">
        <f aca="false">N422*$E$2*(1+$I$400)/($F$400-$I$400)/(1+$F$400)^$N$3</f>
        <v>52555.8527112636</v>
      </c>
      <c r="Q422" s="15" t="n">
        <f aca="false">O422+P422</f>
        <v>86500.2364684358</v>
      </c>
      <c r="R422" s="15" t="n">
        <f aca="false">Q422-$G$2+$I$2</f>
        <v>80380.2364684358</v>
      </c>
      <c r="S422" s="42" t="n">
        <f aca="false">R422/$K$2</f>
        <v>464.142721263632</v>
      </c>
      <c r="T422" s="43" t="n">
        <f aca="false">S422-$M$2</f>
        <v>0.0013654488726047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0.125468254089355</v>
      </c>
      <c r="C423" s="25" t="n">
        <f aca="false">IF(T422&gt;0,D422,C422)</f>
        <v>0.125468969345093</v>
      </c>
      <c r="D423" s="41" t="n">
        <f aca="false">(B423+C423)/2</f>
        <v>0.125468611717224</v>
      </c>
      <c r="E423" s="15" t="n">
        <f aca="false">$C$2*(1+IF(E$3&lt;=$O$2,$D423,$D423-($D423-$I$400)*MIN(E$3-$O$2,$Q$2)/$Q$2))</f>
        <v>9183.82387161255</v>
      </c>
      <c r="F423" s="15" t="n">
        <f aca="false">E423*(1+IF(F$3&lt;=$O$2,$D423,$D423-($D423-$I$400)*MIN(F$3-$O$2,$Q$2)/$Q$2))</f>
        <v>10336.1055030393</v>
      </c>
      <c r="G423" s="15" t="n">
        <f aca="false">F423*(1+IF(G$3&lt;=$O$2,$D423,$D423-($D423-$I$400)*MIN(G$3-$O$2,$Q$2)/$Q$2))</f>
        <v>11632.9623110684</v>
      </c>
      <c r="H423" s="15" t="n">
        <f aca="false">G423*(1+IF(H$3&lt;=$O$2,$D423,$D423-($D423-$I$400)*MIN(H$3-$O$2,$Q$2)/$Q$2))</f>
        <v>13092.5339423969</v>
      </c>
      <c r="I423" s="15" t="n">
        <f aca="false">H423*(1+IF(I$3&lt;=$O$2,$D423,$D423-($D423-$I$400)*MIN(I$3-$O$2,$Q$2)/$Q$2))</f>
        <v>14735.2360000101</v>
      </c>
      <c r="J423" s="15" t="n">
        <f aca="false">I423*(1+IF(J$3&lt;=$O$2,$D423,$D423-($D423-$I$400)*MIN(J$3-$O$2,$Q$2)/$Q$2))</f>
        <v>16312.4203551677</v>
      </c>
      <c r="K423" s="15" t="n">
        <f aca="false">J423*(1+IF(K$3&lt;=$O$2,$D423,$D423-($D423-$I$400)*MIN(K$3-$O$2,$Q$2)/$Q$2))</f>
        <v>17757.7198357249</v>
      </c>
      <c r="L423" s="15" t="n">
        <f aca="false">K423*(1+IF(L$3&lt;=$O$2,$D423,$D423-($D423-$I$400)*MIN(L$3-$O$2,$Q$2)/$Q$2))</f>
        <v>19003.7336600635</v>
      </c>
      <c r="M423" s="15" t="n">
        <f aca="false">L423*(1+IF(M$3&lt;=$O$2,$D423,$D423-($D423-$I$400)*MIN(M$3-$O$2,$Q$2)/$Q$2))</f>
        <v>19986.867540722</v>
      </c>
      <c r="N423" s="15" t="n">
        <f aca="false">M423*(1+IF(N$3&lt;=$O$2,$D423,$D423-($D423-$I$400)*MIN(N$3-$O$2,$Q$2)/$Q$2))</f>
        <v>20652.430229828</v>
      </c>
      <c r="O423" s="15" t="n">
        <f aca="false">SUMPRODUCT(E423:N423,1/(1+$F$400)^$E$3:$N$3)*$E$2</f>
        <v>33944.331349686</v>
      </c>
      <c r="P423" s="15" t="n">
        <f aca="false">N423*$E$2*(1+$I$400)/($F$400-$I$400)/(1+$F$400)^$N$3</f>
        <v>52555.7346695511</v>
      </c>
      <c r="Q423" s="15" t="n">
        <f aca="false">O423+P423</f>
        <v>86500.066019237</v>
      </c>
      <c r="R423" s="15" t="n">
        <f aca="false">Q423-$G$2+$I$2</f>
        <v>80380.066019237</v>
      </c>
      <c r="S423" s="42" t="n">
        <f aca="false">R423/$K$2</f>
        <v>464.141737032204</v>
      </c>
      <c r="T423" s="43" t="n">
        <f aca="false">S423-$M$2</f>
        <v>0.000381217444328286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0.125468254089355</v>
      </c>
      <c r="C424" s="25" t="n">
        <f aca="false">IF(T423&gt;0,D423,C423)</f>
        <v>0.125468611717224</v>
      </c>
      <c r="D424" s="41" t="n">
        <f aca="false">(B424+C424)/2</f>
        <v>0.12546843290329</v>
      </c>
      <c r="E424" s="15" t="n">
        <f aca="false">$C$2*(1+IF(E$3&lt;=$O$2,$D424,$D424-($D424-$I$400)*MIN(E$3-$O$2,$Q$2)/$Q$2))</f>
        <v>9183.82241249085</v>
      </c>
      <c r="F424" s="15" t="n">
        <f aca="false">E424*(1+IF(F$3&lt;=$O$2,$D424,$D424-($D424-$I$400)*MIN(F$3-$O$2,$Q$2)/$Q$2))</f>
        <v>10336.1022186482</v>
      </c>
      <c r="G424" s="15" t="n">
        <f aca="false">F424*(1+IF(G$3&lt;=$O$2,$D424,$D424-($D424-$I$400)*MIN(G$3-$O$2,$Q$2)/$Q$2))</f>
        <v>11632.9567663502</v>
      </c>
      <c r="H424" s="15" t="n">
        <f aca="false">G424*(1+IF(H$3&lt;=$O$2,$D424,$D424-($D424-$I$400)*MIN(H$3-$O$2,$Q$2)/$Q$2))</f>
        <v>13092.5256218559</v>
      </c>
      <c r="I424" s="15" t="n">
        <f aca="false">H424*(1+IF(I$3&lt;=$O$2,$D424,$D424-($D424-$I$400)*MIN(I$3-$O$2,$Q$2)/$Q$2))</f>
        <v>14735.2242943763</v>
      </c>
      <c r="J424" s="15" t="n">
        <f aca="false">I424*(1+IF(J$3&lt;=$O$2,$D424,$D424-($D424-$I$400)*MIN(J$3-$O$2,$Q$2)/$Q$2))</f>
        <v>16312.4052887319</v>
      </c>
      <c r="K424" s="15" t="n">
        <f aca="false">J424*(1+IF(K$3&lt;=$O$2,$D424,$D424-($D424-$I$400)*MIN(K$3-$O$2,$Q$2)/$Q$2))</f>
        <v>17757.7016842542</v>
      </c>
      <c r="L424" s="15" t="n">
        <f aca="false">K424*(1+IF(L$3&lt;=$O$2,$D424,$D424-($D424-$I$400)*MIN(L$3-$O$2,$Q$2)/$Q$2))</f>
        <v>19003.7129648206</v>
      </c>
      <c r="M424" s="15" t="n">
        <f aca="false">L424*(1+IF(M$3&lt;=$O$2,$D424,$D424-($D424-$I$400)*MIN(M$3-$O$2,$Q$2)/$Q$2))</f>
        <v>19986.8450952114</v>
      </c>
      <c r="N424" s="15" t="n">
        <f aca="false">M424*(1+IF(N$3&lt;=$O$2,$D424,$D424-($D424-$I$400)*MIN(N$3-$O$2,$Q$2)/$Q$2))</f>
        <v>20652.4070368819</v>
      </c>
      <c r="O424" s="15" t="n">
        <f aca="false">SUMPRODUCT(E424:N424,1/(1+$F$400)^$E$3:$N$3)*$E$2</f>
        <v>33944.3051459728</v>
      </c>
      <c r="P424" s="15" t="n">
        <f aca="false">N424*$E$2*(1+$I$400)/($F$400-$I$400)/(1+$F$400)^$N$3</f>
        <v>52555.6756487817</v>
      </c>
      <c r="Q424" s="15" t="n">
        <f aca="false">O424+P424</f>
        <v>86499.9807947546</v>
      </c>
      <c r="R424" s="15" t="n">
        <f aca="false">Q424-$G$2+$I$2</f>
        <v>80379.9807947546</v>
      </c>
      <c r="S424" s="42" t="n">
        <f aca="false">R424/$K$2</f>
        <v>464.141244917165</v>
      </c>
      <c r="T424" s="43" t="n">
        <f aca="false">S424-$M$2</f>
        <v>-0.000110897594709058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0.12546843290329</v>
      </c>
      <c r="C425" s="25" t="n">
        <f aca="false">IF(T424&gt;0,D424,C424)</f>
        <v>0.125468611717224</v>
      </c>
      <c r="D425" s="41" t="n">
        <f aca="false">(B425+C425)/2</f>
        <v>0.125468522310257</v>
      </c>
      <c r="E425" s="15" t="n">
        <f aca="false">$C$2*(1+IF(E$3&lt;=$O$2,$D425,$D425-($D425-$I$400)*MIN(E$3-$O$2,$Q$2)/$Q$2))</f>
        <v>9183.8231420517</v>
      </c>
      <c r="F425" s="15" t="n">
        <f aca="false">E425*(1+IF(F$3&lt;=$O$2,$D425,$D425-($D425-$I$400)*MIN(F$3-$O$2,$Q$2)/$Q$2))</f>
        <v>10336.1038608437</v>
      </c>
      <c r="G425" s="15" t="n">
        <f aca="false">F425*(1+IF(G$3&lt;=$O$2,$D425,$D425-($D425-$I$400)*MIN(G$3-$O$2,$Q$2)/$Q$2))</f>
        <v>11632.9595387091</v>
      </c>
      <c r="H425" s="15" t="n">
        <f aca="false">G425*(1+IF(H$3&lt;=$O$2,$D425,$D425-($D425-$I$400)*MIN(H$3-$O$2,$Q$2)/$Q$2))</f>
        <v>13092.5297821259</v>
      </c>
      <c r="I425" s="15" t="n">
        <f aca="false">H425*(1+IF(I$3&lt;=$O$2,$D425,$D425-($D425-$I$400)*MIN(I$3-$O$2,$Q$2)/$Q$2))</f>
        <v>14735.2301471923</v>
      </c>
      <c r="J425" s="15" t="n">
        <f aca="false">I425*(1+IF(J$3&lt;=$O$2,$D425,$D425-($D425-$I$400)*MIN(J$3-$O$2,$Q$2)/$Q$2))</f>
        <v>16312.4128219484</v>
      </c>
      <c r="K425" s="15" t="n">
        <f aca="false">J425*(1+IF(K$3&lt;=$O$2,$D425,$D425-($D425-$I$400)*MIN(K$3-$O$2,$Q$2)/$Q$2))</f>
        <v>17757.7107599876</v>
      </c>
      <c r="L425" s="15" t="n">
        <f aca="false">K425*(1+IF(L$3&lt;=$O$2,$D425,$D425-($D425-$I$400)*MIN(L$3-$O$2,$Q$2)/$Q$2))</f>
        <v>19003.7233124396</v>
      </c>
      <c r="M425" s="15" t="n">
        <f aca="false">L425*(1+IF(M$3&lt;=$O$2,$D425,$D425-($D425-$I$400)*MIN(M$3-$O$2,$Q$2)/$Q$2))</f>
        <v>19986.8563179639</v>
      </c>
      <c r="N425" s="15" t="n">
        <f aca="false">M425*(1+IF(N$3&lt;=$O$2,$D425,$D425-($D425-$I$400)*MIN(N$3-$O$2,$Q$2)/$Q$2))</f>
        <v>20652.4186333521</v>
      </c>
      <c r="O425" s="15" t="n">
        <f aca="false">SUMPRODUCT(E425:N425,1/(1+$F$400)^$E$3:$N$3)*$E$2</f>
        <v>33944.3182478269</v>
      </c>
      <c r="P425" s="15" t="n">
        <f aca="false">N425*$E$2*(1+$I$400)/($F$400-$I$400)/(1+$F$400)^$N$3</f>
        <v>52555.7051591591</v>
      </c>
      <c r="Q425" s="15" t="n">
        <f aca="false">O425+P425</f>
        <v>86500.0234069861</v>
      </c>
      <c r="R425" s="15" t="n">
        <f aca="false">Q425-$G$2+$I$2</f>
        <v>80380.0234069861</v>
      </c>
      <c r="S425" s="42" t="n">
        <f aca="false">R425/$K$2</f>
        <v>464.141490974628</v>
      </c>
      <c r="T425" s="43" t="n">
        <f aca="false">S425-$M$2</f>
        <v>0.000135159868591472</v>
      </c>
    </row>
    <row r="427" customFormat="false" ht="15" hidden="false" customHeight="false" outlineLevel="0" collapsed="false">
      <c r="A427" s="38" t="s">
        <v>196</v>
      </c>
      <c r="E427" s="5" t="s">
        <v>11</v>
      </c>
      <c r="F427" s="12" t="n">
        <f aca="false">Sensitivity!$B$12</f>
        <v>0.0953160519233867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162</v>
      </c>
      <c r="B428" s="28" t="s">
        <v>163</v>
      </c>
      <c r="C428" s="28" t="s">
        <v>164</v>
      </c>
      <c r="D428" s="28" t="s">
        <v>165</v>
      </c>
      <c r="E428" s="28" t="s">
        <v>166</v>
      </c>
      <c r="F428" s="28" t="s">
        <v>167</v>
      </c>
      <c r="G428" s="28" t="s">
        <v>168</v>
      </c>
      <c r="H428" s="28" t="s">
        <v>169</v>
      </c>
      <c r="I428" s="28" t="s">
        <v>170</v>
      </c>
      <c r="J428" s="28" t="s">
        <v>171</v>
      </c>
      <c r="K428" s="28" t="s">
        <v>172</v>
      </c>
      <c r="L428" s="28" t="s">
        <v>173</v>
      </c>
      <c r="M428" s="28" t="s">
        <v>174</v>
      </c>
      <c r="N428" s="28" t="s">
        <v>175</v>
      </c>
      <c r="O428" s="28" t="s">
        <v>176</v>
      </c>
      <c r="P428" s="28" t="s">
        <v>177</v>
      </c>
      <c r="Q428" s="28" t="s">
        <v>178</v>
      </c>
      <c r="R428" s="28" t="s">
        <v>179</v>
      </c>
      <c r="S428" s="28" t="s">
        <v>180</v>
      </c>
      <c r="T428" s="28" t="s">
        <v>181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10200</v>
      </c>
      <c r="F429" s="15" t="n">
        <f aca="false">E429*(1+IF(F$3&lt;=$O$2,$D429,$D429-($D429-$I$427)*MIN(F$3-$O$2,$Q$2)/$Q$2))</f>
        <v>12750</v>
      </c>
      <c r="G429" s="15" t="n">
        <f aca="false">F429*(1+IF(G$3&lt;=$O$2,$D429,$D429-($D429-$I$427)*MIN(G$3-$O$2,$Q$2)/$Q$2))</f>
        <v>15937.5</v>
      </c>
      <c r="H429" s="15" t="n">
        <f aca="false">G429*(1+IF(H$3&lt;=$O$2,$D429,$D429-($D429-$I$427)*MIN(H$3-$O$2,$Q$2)/$Q$2))</f>
        <v>19921.875</v>
      </c>
      <c r="I429" s="15" t="n">
        <f aca="false">H429*(1+IF(I$3&lt;=$O$2,$D429,$D429-($D429-$I$427)*MIN(I$3-$O$2,$Q$2)/$Q$2))</f>
        <v>24902.34375</v>
      </c>
      <c r="J429" s="15" t="n">
        <f aca="false">I429*(1+IF(J$3&lt;=$O$2,$D429,$D429-($D429-$I$427)*MIN(J$3-$O$2,$Q$2)/$Q$2))</f>
        <v>30073.564453125</v>
      </c>
      <c r="K429" s="15" t="n">
        <f aca="false">J429*(1+IF(K$3&lt;=$O$2,$D429,$D429-($D429-$I$427)*MIN(K$3-$O$2,$Q$2)/$Q$2))</f>
        <v>35045.3261285156</v>
      </c>
      <c r="L429" s="15" t="n">
        <f aca="false">K429*(1+IF(L$3&lt;=$O$2,$D429,$D429-($D429-$I$427)*MIN(L$3-$O$2,$Q$2)/$Q$2))</f>
        <v>39355.2003358005</v>
      </c>
      <c r="M429" s="15" t="n">
        <f aca="false">L429*(1+IF(M$3&lt;=$O$2,$D429,$D429-($D429-$I$427)*MIN(M$3-$O$2,$Q$2)/$Q$2))</f>
        <v>42528.8036908794</v>
      </c>
      <c r="N429" s="15" t="n">
        <f aca="false">M429*(1+IF(N$3&lt;=$O$2,$D429,$D429-($D429-$I$427)*MIN(N$3-$O$2,$Q$2)/$Q$2))</f>
        <v>44157.6568722401</v>
      </c>
      <c r="O429" s="15" t="n">
        <f aca="false">SUMPRODUCT(E429:N429,1/(1+$F$427)^$E$3:$N$3)*$E$2</f>
        <v>58137.6462300288</v>
      </c>
      <c r="P429" s="15" t="n">
        <f aca="false">N429*$E$2*(1+$I$427)/($F$427-$I$427)/(1+$F$427)^$N$3</f>
        <v>122816.966447082</v>
      </c>
      <c r="Q429" s="15" t="n">
        <f aca="false">O429+P429</f>
        <v>180954.612677111</v>
      </c>
      <c r="R429" s="15" t="n">
        <f aca="false">Q429-$G$2+$I$2</f>
        <v>174834.612677111</v>
      </c>
      <c r="S429" s="42" t="n">
        <f aca="false">R429/$K$2</f>
        <v>1009.55429424363</v>
      </c>
      <c r="T429" s="43" t="n">
        <f aca="false">S429-$M$2</f>
        <v>545.412938428866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7140</v>
      </c>
      <c r="F430" s="15" t="n">
        <f aca="false">E430*(1+IF(F$3&lt;=$O$2,$D430,$D430-($D430-$I$427)*MIN(F$3-$O$2,$Q$2)/$Q$2))</f>
        <v>6247.5</v>
      </c>
      <c r="G430" s="15" t="n">
        <f aca="false">F430*(1+IF(G$3&lt;=$O$2,$D430,$D430-($D430-$I$427)*MIN(G$3-$O$2,$Q$2)/$Q$2))</f>
        <v>5466.5625</v>
      </c>
      <c r="H430" s="15" t="n">
        <f aca="false">G430*(1+IF(H$3&lt;=$O$2,$D430,$D430-($D430-$I$427)*MIN(H$3-$O$2,$Q$2)/$Q$2))</f>
        <v>4783.2421875</v>
      </c>
      <c r="I430" s="15" t="n">
        <f aca="false">H430*(1+IF(I$3&lt;=$O$2,$D430,$D430-($D430-$I$427)*MIN(I$3-$O$2,$Q$2)/$Q$2))</f>
        <v>4185.3369140625</v>
      </c>
      <c r="J430" s="15" t="n">
        <f aca="false">I430*(1+IF(J$3&lt;=$O$2,$D430,$D430-($D430-$I$427)*MIN(J$3-$O$2,$Q$2)/$Q$2))</f>
        <v>3798.86290341797</v>
      </c>
      <c r="K430" s="15" t="n">
        <f aca="false">J430*(1+IF(K$3&lt;=$O$2,$D430,$D430-($D430-$I$427)*MIN(K$3-$O$2,$Q$2)/$Q$2))</f>
        <v>3572.14676534198</v>
      </c>
      <c r="L430" s="15" t="n">
        <f aca="false">K430*(1+IF(L$3&lt;=$O$2,$D430,$D430-($D430-$I$427)*MIN(L$3-$O$2,$Q$2)/$Q$2))</f>
        <v>3475.62735974244</v>
      </c>
      <c r="M430" s="15" t="n">
        <f aca="false">L430*(1+IF(M$3&lt;=$O$2,$D430,$D430-($D430-$I$427)*MIN(M$3-$O$2,$Q$2)/$Q$2))</f>
        <v>3495.22989805139</v>
      </c>
      <c r="N430" s="15" t="n">
        <f aca="false">M430*(1+IF(N$3&lt;=$O$2,$D430,$D430-($D430-$I$427)*MIN(N$3-$O$2,$Q$2)/$Q$2))</f>
        <v>3629.09720314676</v>
      </c>
      <c r="O430" s="15" t="n">
        <f aca="false">SUMPRODUCT(E430:N430,1/(1+$F$427)^$E$3:$N$3)*$E$2</f>
        <v>11627.4327129509</v>
      </c>
      <c r="P430" s="15" t="n">
        <f aca="false">N430*$E$2*(1+$I$427)/($F$427-$I$427)/(1+$F$427)^$N$3</f>
        <v>10093.7128689062</v>
      </c>
      <c r="Q430" s="15" t="n">
        <f aca="false">O430+P430</f>
        <v>21721.1455818571</v>
      </c>
      <c r="R430" s="15" t="n">
        <f aca="false">Q430-$G$2+$I$2</f>
        <v>15601.1455818571</v>
      </c>
      <c r="S430" s="42" t="n">
        <f aca="false">R430/$K$2</f>
        <v>90.0863008537769</v>
      </c>
      <c r="T430" s="43" t="n">
        <f aca="false">S430-$M$2</f>
        <v>-374.055054960982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8670</v>
      </c>
      <c r="F431" s="15" t="n">
        <f aca="false">E431*(1+IF(F$3&lt;=$O$2,$D431,$D431-($D431-$I$427)*MIN(F$3-$O$2,$Q$2)/$Q$2))</f>
        <v>9211.875</v>
      </c>
      <c r="G431" s="15" t="n">
        <f aca="false">F431*(1+IF(G$3&lt;=$O$2,$D431,$D431-($D431-$I$427)*MIN(G$3-$O$2,$Q$2)/$Q$2))</f>
        <v>9787.6171875</v>
      </c>
      <c r="H431" s="15" t="n">
        <f aca="false">G431*(1+IF(H$3&lt;=$O$2,$D431,$D431-($D431-$I$427)*MIN(H$3-$O$2,$Q$2)/$Q$2))</f>
        <v>10399.3432617188</v>
      </c>
      <c r="I431" s="15" t="n">
        <f aca="false">H431*(1+IF(I$3&lt;=$O$2,$D431,$D431-($D431-$I$427)*MIN(I$3-$O$2,$Q$2)/$Q$2))</f>
        <v>11049.3022155762</v>
      </c>
      <c r="J431" s="15" t="n">
        <f aca="false">I431*(1+IF(J$3&lt;=$O$2,$D431,$D431-($D431-$I$427)*MIN(J$3-$O$2,$Q$2)/$Q$2))</f>
        <v>11686.4049813263</v>
      </c>
      <c r="K431" s="15" t="n">
        <f aca="false">J431*(1+IF(K$3&lt;=$O$2,$D431,$D431-($D431-$I$427)*MIN(K$3-$O$2,$Q$2)/$Q$2))</f>
        <v>12303.68089244</v>
      </c>
      <c r="L431" s="15" t="n">
        <f aca="false">K431*(1+IF(L$3&lt;=$O$2,$D431,$D431-($D431-$I$427)*MIN(L$3-$O$2,$Q$2)/$Q$2))</f>
        <v>12894.0115016592</v>
      </c>
      <c r="M431" s="15" t="n">
        <f aca="false">L431*(1+IF(M$3&lt;=$O$2,$D431,$D431-($D431-$I$427)*MIN(M$3-$O$2,$Q$2)/$Q$2))</f>
        <v>13450.2591578408</v>
      </c>
      <c r="N431" s="15" t="n">
        <f aca="false">M431*(1+IF(N$3&lt;=$O$2,$D431,$D431-($D431-$I$427)*MIN(N$3-$O$2,$Q$2)/$Q$2))</f>
        <v>13965.4040835861</v>
      </c>
      <c r="O431" s="15" t="n">
        <f aca="false">SUMPRODUCT(E431:N431,1/(1+$F$427)^$E$3:$N$3)*$E$2</f>
        <v>25933.8225620364</v>
      </c>
      <c r="P431" s="15" t="n">
        <f aca="false">N431*$E$2*(1+$I$427)/($F$427-$I$427)/(1+$F$427)^$N$3</f>
        <v>38842.3817349783</v>
      </c>
      <c r="Q431" s="15" t="n">
        <f aca="false">O431+P431</f>
        <v>64776.2042970147</v>
      </c>
      <c r="R431" s="15" t="n">
        <f aca="false">Q431-$G$2+$I$2</f>
        <v>58656.2042970147</v>
      </c>
      <c r="S431" s="42" t="n">
        <f aca="false">R431/$K$2</f>
        <v>338.700798573823</v>
      </c>
      <c r="T431" s="43" t="n">
        <f aca="false">S431-$M$2</f>
        <v>-125.440557240936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0.0625</v>
      </c>
      <c r="C432" s="25" t="n">
        <f aca="false">IF(T431&gt;0,D431,C431)</f>
        <v>0.25</v>
      </c>
      <c r="D432" s="41" t="n">
        <f aca="false">(B432+C432)/2</f>
        <v>0.15625</v>
      </c>
      <c r="E432" s="15" t="n">
        <f aca="false">$C$2*(1+IF(E$3&lt;=$O$2,$D432,$D432-($D432-$I$427)*MIN(E$3-$O$2,$Q$2)/$Q$2))</f>
        <v>9435</v>
      </c>
      <c r="F432" s="15" t="n">
        <f aca="false">E432*(1+IF(F$3&lt;=$O$2,$D432,$D432-($D432-$I$427)*MIN(F$3-$O$2,$Q$2)/$Q$2))</f>
        <v>10909.21875</v>
      </c>
      <c r="G432" s="15" t="n">
        <f aca="false">F432*(1+IF(G$3&lt;=$O$2,$D432,$D432-($D432-$I$427)*MIN(G$3-$O$2,$Q$2)/$Q$2))</f>
        <v>12613.7841796875</v>
      </c>
      <c r="H432" s="15" t="n">
        <f aca="false">G432*(1+IF(H$3&lt;=$O$2,$D432,$D432-($D432-$I$427)*MIN(H$3-$O$2,$Q$2)/$Q$2))</f>
        <v>14584.6879577637</v>
      </c>
      <c r="I432" s="15" t="n">
        <f aca="false">H432*(1+IF(I$3&lt;=$O$2,$D432,$D432-($D432-$I$427)*MIN(I$3-$O$2,$Q$2)/$Q$2))</f>
        <v>16863.5454511642</v>
      </c>
      <c r="J432" s="15" t="n">
        <f aca="false">I432*(1+IF(J$3&lt;=$O$2,$D432,$D432-($D432-$I$427)*MIN(J$3-$O$2,$Q$2)/$Q$2))</f>
        <v>19100.6633907157</v>
      </c>
      <c r="K432" s="15" t="n">
        <f aca="false">J432*(1+IF(K$3&lt;=$O$2,$D432,$D432-($D432-$I$427)*MIN(K$3-$O$2,$Q$2)/$Q$2))</f>
        <v>21183.9727467411</v>
      </c>
      <c r="L432" s="15" t="n">
        <f aca="false">K432*(1+IF(L$3&lt;=$O$2,$D432,$D432-($D432-$I$427)*MIN(L$3-$O$2,$Q$2)/$Q$2))</f>
        <v>22994.7787371325</v>
      </c>
      <c r="M432" s="15" t="n">
        <f aca="false">L432*(1+IF(M$3&lt;=$O$2,$D432,$D432-($D432-$I$427)*MIN(M$3-$O$2,$Q$2)/$Q$2))</f>
        <v>24417.9255931736</v>
      </c>
      <c r="N432" s="15" t="n">
        <f aca="false">M432*(1+IF(N$3&lt;=$O$2,$D432,$D432-($D432-$I$427)*MIN(N$3-$O$2,$Q$2)/$Q$2))</f>
        <v>25353.1321433922</v>
      </c>
      <c r="O432" s="15" t="n">
        <f aca="false">SUMPRODUCT(E432:N432,1/(1+$F$427)^$E$3:$N$3)*$E$2</f>
        <v>38893.1153850519</v>
      </c>
      <c r="P432" s="15" t="n">
        <f aca="false">N432*$E$2*(1+$I$427)/($F$427-$I$427)/(1+$F$427)^$N$3</f>
        <v>70515.3986950095</v>
      </c>
      <c r="Q432" s="15" t="n">
        <f aca="false">O432+P432</f>
        <v>109408.514080061</v>
      </c>
      <c r="R432" s="15" t="n">
        <f aca="false">Q432-$G$2+$I$2</f>
        <v>103288.514080061</v>
      </c>
      <c r="S432" s="42" t="n">
        <f aca="false">R432/$K$2</f>
        <v>596.422878392779</v>
      </c>
      <c r="T432" s="43" t="n">
        <f aca="false">S432-$M$2</f>
        <v>132.281522578019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0.0625</v>
      </c>
      <c r="C433" s="25" t="n">
        <f aca="false">IF(T432&gt;0,D432,C432)</f>
        <v>0.15625</v>
      </c>
      <c r="D433" s="41" t="n">
        <f aca="false">(B433+C433)/2</f>
        <v>0.109375</v>
      </c>
      <c r="E433" s="15" t="n">
        <f aca="false">$C$2*(1+IF(E$3&lt;=$O$2,$D433,$D433-($D433-$I$427)*MIN(E$3-$O$2,$Q$2)/$Q$2))</f>
        <v>9052.5</v>
      </c>
      <c r="F433" s="15" t="n">
        <f aca="false">E433*(1+IF(F$3&lt;=$O$2,$D433,$D433-($D433-$I$427)*MIN(F$3-$O$2,$Q$2)/$Q$2))</f>
        <v>10042.6171875</v>
      </c>
      <c r="G433" s="15" t="n">
        <f aca="false">F433*(1+IF(G$3&lt;=$O$2,$D433,$D433-($D433-$I$427)*MIN(G$3-$O$2,$Q$2)/$Q$2))</f>
        <v>11141.0284423828</v>
      </c>
      <c r="H433" s="15" t="n">
        <f aca="false">G433*(1+IF(H$3&lt;=$O$2,$D433,$D433-($D433-$I$427)*MIN(H$3-$O$2,$Q$2)/$Q$2))</f>
        <v>12359.5784282684</v>
      </c>
      <c r="I433" s="15" t="n">
        <f aca="false">H433*(1+IF(I$3&lt;=$O$2,$D433,$D433-($D433-$I$427)*MIN(I$3-$O$2,$Q$2)/$Q$2))</f>
        <v>13711.4073188603</v>
      </c>
      <c r="J433" s="15" t="n">
        <f aca="false">I433*(1+IF(J$3&lt;=$O$2,$D433,$D433-($D433-$I$427)*MIN(J$3-$O$2,$Q$2)/$Q$2))</f>
        <v>15016.184839323</v>
      </c>
      <c r="K433" s="15" t="n">
        <f aca="false">J433*(1+IF(K$3&lt;=$O$2,$D433,$D433-($D433-$I$427)*MIN(K$3-$O$2,$Q$2)/$Q$2))</f>
        <v>16231.669921142</v>
      </c>
      <c r="L433" s="15" t="n">
        <f aca="false">K433*(1+IF(L$3&lt;=$O$2,$D433,$D433-($D433-$I$427)*MIN(L$3-$O$2,$Q$2)/$Q$2))</f>
        <v>17314.8092549799</v>
      </c>
      <c r="M433" s="15" t="n">
        <f aca="false">L433*(1+IF(M$3&lt;=$O$2,$D433,$D433-($D433-$I$427)*MIN(M$3-$O$2,$Q$2)/$Q$2))</f>
        <v>18224.0964630051</v>
      </c>
      <c r="N433" s="15" t="n">
        <f aca="false">M433*(1+IF(N$3&lt;=$O$2,$D433,$D433-($D433-$I$427)*MIN(N$3-$O$2,$Q$2)/$Q$2))</f>
        <v>18922.0793575382</v>
      </c>
      <c r="O433" s="15" t="n">
        <f aca="false">SUMPRODUCT(E433:N433,1/(1+$F$427)^$E$3:$N$3)*$E$2</f>
        <v>31764.1663668617</v>
      </c>
      <c r="P433" s="15" t="n">
        <f aca="false">N433*$E$2*(1+$I$427)/($F$427-$I$427)/(1+$F$427)^$N$3</f>
        <v>52628.5258361333</v>
      </c>
      <c r="Q433" s="15" t="n">
        <f aca="false">O433+P433</f>
        <v>84392.6922029951</v>
      </c>
      <c r="R433" s="15" t="n">
        <f aca="false">Q433-$G$2+$I$2</f>
        <v>78272.6922029951</v>
      </c>
      <c r="S433" s="42" t="n">
        <f aca="false">R433/$K$2</f>
        <v>451.973046558466</v>
      </c>
      <c r="T433" s="43" t="n">
        <f aca="false">S433-$M$2</f>
        <v>-12.1683092562936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0.109375</v>
      </c>
      <c r="C434" s="25" t="n">
        <f aca="false">IF(T433&gt;0,D433,C433)</f>
        <v>0.15625</v>
      </c>
      <c r="D434" s="41" t="n">
        <f aca="false">(B434+C434)/2</f>
        <v>0.1328125</v>
      </c>
      <c r="E434" s="15" t="n">
        <f aca="false">$C$2*(1+IF(E$3&lt;=$O$2,$D434,$D434-($D434-$I$427)*MIN(E$3-$O$2,$Q$2)/$Q$2))</f>
        <v>9243.75</v>
      </c>
      <c r="F434" s="15" t="n">
        <f aca="false">E434*(1+IF(F$3&lt;=$O$2,$D434,$D434-($D434-$I$427)*MIN(F$3-$O$2,$Q$2)/$Q$2))</f>
        <v>10471.435546875</v>
      </c>
      <c r="G434" s="15" t="n">
        <f aca="false">F434*(1+IF(G$3&lt;=$O$2,$D434,$D434-($D434-$I$427)*MIN(G$3-$O$2,$Q$2)/$Q$2))</f>
        <v>11862.1730804443</v>
      </c>
      <c r="H434" s="15" t="n">
        <f aca="false">G434*(1+IF(H$3&lt;=$O$2,$D434,$D434-($D434-$I$427)*MIN(H$3-$O$2,$Q$2)/$Q$2))</f>
        <v>13437.6179426909</v>
      </c>
      <c r="I434" s="15" t="n">
        <f aca="false">H434*(1+IF(I$3&lt;=$O$2,$D434,$D434-($D434-$I$427)*MIN(I$3-$O$2,$Q$2)/$Q$2))</f>
        <v>15222.3015757045</v>
      </c>
      <c r="J434" s="15" t="n">
        <f aca="false">I434*(1+IF(J$3&lt;=$O$2,$D434,$D434-($D434-$I$427)*MIN(J$3-$O$2,$Q$2)/$Q$2))</f>
        <v>16956.273948193</v>
      </c>
      <c r="K434" s="15" t="n">
        <f aca="false">J434*(1+IF(K$3&lt;=$O$2,$D434,$D434-($D434-$I$427)*MIN(K$3-$O$2,$Q$2)/$Q$2))</f>
        <v>18567.2471453259</v>
      </c>
      <c r="L434" s="15" t="n">
        <f aca="false">K434*(1+IF(L$3&lt;=$O$2,$D434,$D434-($D434-$I$427)*MIN(L$3-$O$2,$Q$2)/$Q$2))</f>
        <v>19980.307489321</v>
      </c>
      <c r="M434" s="15" t="n">
        <f aca="false">L434*(1+IF(M$3&lt;=$O$2,$D434,$D434-($D434-$I$427)*MIN(M$3-$O$2,$Q$2)/$Q$2))</f>
        <v>21123.2310284788</v>
      </c>
      <c r="N434" s="15" t="n">
        <f aca="false">M434*(1+IF(N$3&lt;=$O$2,$D434,$D434-($D434-$I$427)*MIN(N$3-$O$2,$Q$2)/$Q$2))</f>
        <v>21932.2507768696</v>
      </c>
      <c r="O434" s="15" t="n">
        <f aca="false">SUMPRODUCT(E434:N434,1/(1+$F$427)^$E$3:$N$3)*$E$2</f>
        <v>35150.9356914674</v>
      </c>
      <c r="P434" s="15" t="n">
        <f aca="false">N434*$E$2*(1+$I$427)/($F$427-$I$427)/(1+$F$427)^$N$3</f>
        <v>61000.8025463226</v>
      </c>
      <c r="Q434" s="15" t="n">
        <f aca="false">O434+P434</f>
        <v>96151.7382377901</v>
      </c>
      <c r="R434" s="15" t="n">
        <f aca="false">Q434-$G$2+$I$2</f>
        <v>90031.7382377901</v>
      </c>
      <c r="S434" s="42" t="n">
        <f aca="false">R434/$K$2</f>
        <v>519.8737627774</v>
      </c>
      <c r="T434" s="43" t="n">
        <f aca="false">S434-$M$2</f>
        <v>55.7324069626403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0.109375</v>
      </c>
      <c r="C435" s="25" t="n">
        <f aca="false">IF(T434&gt;0,D434,C434)</f>
        <v>0.1328125</v>
      </c>
      <c r="D435" s="41" t="n">
        <f aca="false">(B435+C435)/2</f>
        <v>0.12109375</v>
      </c>
      <c r="E435" s="15" t="n">
        <f aca="false">$C$2*(1+IF(E$3&lt;=$O$2,$D435,$D435-($D435-$I$427)*MIN(E$3-$O$2,$Q$2)/$Q$2))</f>
        <v>9148.125</v>
      </c>
      <c r="F435" s="15" t="n">
        <f aca="false">E435*(1+IF(F$3&lt;=$O$2,$D435,$D435-($D435-$I$427)*MIN(F$3-$O$2,$Q$2)/$Q$2))</f>
        <v>10255.9057617188</v>
      </c>
      <c r="G435" s="15" t="n">
        <f aca="false">F435*(1+IF(G$3&lt;=$O$2,$D435,$D435-($D435-$I$427)*MIN(G$3-$O$2,$Q$2)/$Q$2))</f>
        <v>11497.8318500519</v>
      </c>
      <c r="H435" s="15" t="n">
        <f aca="false">G435*(1+IF(H$3&lt;=$O$2,$D435,$D435-($D435-$I$427)*MIN(H$3-$O$2,$Q$2)/$Q$2))</f>
        <v>12890.1474256441</v>
      </c>
      <c r="I435" s="15" t="n">
        <f aca="false">H435*(1+IF(I$3&lt;=$O$2,$D435,$D435-($D435-$I$427)*MIN(I$3-$O$2,$Q$2)/$Q$2))</f>
        <v>14451.0637154682</v>
      </c>
      <c r="J435" s="15" t="n">
        <f aca="false">I435*(1+IF(J$3&lt;=$O$2,$D435,$D435-($D435-$I$427)*MIN(J$3-$O$2,$Q$2)/$Q$2))</f>
        <v>15961.7056609647</v>
      </c>
      <c r="K435" s="15" t="n">
        <f aca="false">J435*(1+IF(K$3&lt;=$O$2,$D435,$D435-($D435-$I$427)*MIN(K$3-$O$2,$Q$2)/$Q$2))</f>
        <v>17365.9566686201</v>
      </c>
      <c r="L435" s="15" t="n">
        <f aca="false">K435*(1+IF(L$3&lt;=$O$2,$D435,$D435-($D435-$I$427)*MIN(L$3-$O$2,$Q$2)/$Q$2))</f>
        <v>18606.1898790013</v>
      </c>
      <c r="M435" s="15" t="n">
        <f aca="false">L435*(1+IF(M$3&lt;=$O$2,$D435,$D435-($D435-$I$427)*MIN(M$3-$O$2,$Q$2)/$Q$2))</f>
        <v>19626.9021980259</v>
      </c>
      <c r="N435" s="15" t="n">
        <f aca="false">M435*(1+IF(N$3&lt;=$O$2,$D435,$D435-($D435-$I$427)*MIN(N$3-$O$2,$Q$2)/$Q$2))</f>
        <v>20378.6125522103</v>
      </c>
      <c r="O435" s="15" t="n">
        <f aca="false">SUMPRODUCT(E435:N435,1/(1+$F$427)^$E$3:$N$3)*$E$2</f>
        <v>33415.1438298914</v>
      </c>
      <c r="P435" s="15" t="n">
        <f aca="false">N435*$E$2*(1+$I$427)/($F$427-$I$427)/(1+$F$427)^$N$3</f>
        <v>56679.6236789531</v>
      </c>
      <c r="Q435" s="15" t="n">
        <f aca="false">O435+P435</f>
        <v>90094.7675088444</v>
      </c>
      <c r="R435" s="15" t="n">
        <f aca="false">Q435-$G$2+$I$2</f>
        <v>83974.7675088444</v>
      </c>
      <c r="S435" s="42" t="n">
        <f aca="false">R435/$K$2</f>
        <v>484.89876145539</v>
      </c>
      <c r="T435" s="43" t="n">
        <f aca="false">S435-$M$2</f>
        <v>20.7574056406307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0.109375</v>
      </c>
      <c r="C436" s="25" t="n">
        <f aca="false">IF(T435&gt;0,D435,C435)</f>
        <v>0.12109375</v>
      </c>
      <c r="D436" s="41" t="n">
        <f aca="false">(B436+C436)/2</f>
        <v>0.115234375</v>
      </c>
      <c r="E436" s="15" t="n">
        <f aca="false">$C$2*(1+IF(E$3&lt;=$O$2,$D436,$D436-($D436-$I$427)*MIN(E$3-$O$2,$Q$2)/$Q$2))</f>
        <v>9100.3125</v>
      </c>
      <c r="F436" s="15" t="n">
        <f aca="false">E436*(1+IF(F$3&lt;=$O$2,$D436,$D436-($D436-$I$427)*MIN(F$3-$O$2,$Q$2)/$Q$2))</f>
        <v>10148.9813232422</v>
      </c>
      <c r="G436" s="15" t="n">
        <f aca="false">F436*(1+IF(G$3&lt;=$O$2,$D436,$D436-($D436-$I$427)*MIN(G$3-$O$2,$Q$2)/$Q$2))</f>
        <v>11318.4928429127</v>
      </c>
      <c r="H436" s="15" t="n">
        <f aca="false">G436*(1+IF(H$3&lt;=$O$2,$D436,$D436-($D436-$I$427)*MIN(H$3-$O$2,$Q$2)/$Q$2))</f>
        <v>12622.7722916077</v>
      </c>
      <c r="I436" s="15" t="n">
        <f aca="false">H436*(1+IF(I$3&lt;=$O$2,$D436,$D436-($D436-$I$427)*MIN(I$3-$O$2,$Q$2)/$Q$2))</f>
        <v>14077.3495673984</v>
      </c>
      <c r="J436" s="15" t="n">
        <f aca="false">I436*(1+IF(J$3&lt;=$O$2,$D436,$D436-($D436-$I$427)*MIN(J$3-$O$2,$Q$2)/$Q$2))</f>
        <v>15482.9377283292</v>
      </c>
      <c r="K436" s="15" t="n">
        <f aca="false">J436*(1+IF(K$3&lt;=$O$2,$D436,$D436-($D436-$I$427)*MIN(K$3-$O$2,$Q$2)/$Q$2))</f>
        <v>16790.6363257</v>
      </c>
      <c r="L436" s="15" t="n">
        <f aca="false">K436*(1+IF(L$3&lt;=$O$2,$D436,$D436-($D436-$I$427)*MIN(L$3-$O$2,$Q$2)/$Q$2))</f>
        <v>17950.4285416023</v>
      </c>
      <c r="M436" s="15" t="n">
        <f aca="false">L436*(1+IF(M$3&lt;=$O$2,$D436,$D436-($D436-$I$427)*MIN(M$3-$O$2,$Q$2)/$Q$2))</f>
        <v>18914.1309549118</v>
      </c>
      <c r="N436" s="15" t="n">
        <f aca="false">M436*(1+IF(N$3&lt;=$O$2,$D436,$D436-($D436-$I$427)*MIN(N$3-$O$2,$Q$2)/$Q$2))</f>
        <v>19638.5421704849</v>
      </c>
      <c r="O436" s="15" t="n">
        <f aca="false">SUMPRODUCT(E436:N436,1/(1+$F$427)^$E$3:$N$3)*$E$2</f>
        <v>32579.2969771167</v>
      </c>
      <c r="P436" s="15" t="n">
        <f aca="false">N436*$E$2*(1+$I$427)/($F$427-$I$427)/(1+$F$427)^$N$3</f>
        <v>54621.2445510969</v>
      </c>
      <c r="Q436" s="15" t="n">
        <f aca="false">O436+P436</f>
        <v>87200.5415282136</v>
      </c>
      <c r="R436" s="15" t="n">
        <f aca="false">Q436-$G$2+$I$2</f>
        <v>81080.5415282136</v>
      </c>
      <c r="S436" s="42" t="n">
        <f aca="false">R436/$K$2</f>
        <v>468.186519968897</v>
      </c>
      <c r="T436" s="43" t="n">
        <f aca="false">S436-$M$2</f>
        <v>4.04516415413775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0.109375</v>
      </c>
      <c r="C437" s="25" t="n">
        <f aca="false">IF(T436&gt;0,D436,C436)</f>
        <v>0.115234375</v>
      </c>
      <c r="D437" s="41" t="n">
        <f aca="false">(B437+C437)/2</f>
        <v>0.1123046875</v>
      </c>
      <c r="E437" s="15" t="n">
        <f aca="false">$C$2*(1+IF(E$3&lt;=$O$2,$D437,$D437-($D437-$I$427)*MIN(E$3-$O$2,$Q$2)/$Q$2))</f>
        <v>9076.40625</v>
      </c>
      <c r="F437" s="15" t="n">
        <f aca="false">E437*(1+IF(F$3&lt;=$O$2,$D437,$D437-($D437-$I$427)*MIN(F$3-$O$2,$Q$2)/$Q$2))</f>
        <v>10095.7292175293</v>
      </c>
      <c r="G437" s="15" t="n">
        <f aca="false">F437*(1+IF(G$3&lt;=$O$2,$D437,$D437-($D437-$I$427)*MIN(G$3-$O$2,$Q$2)/$Q$2))</f>
        <v>11229.5269323885</v>
      </c>
      <c r="H437" s="15" t="n">
        <f aca="false">G437*(1+IF(H$3&lt;=$O$2,$D437,$D437-($D437-$I$427)*MIN(H$3-$O$2,$Q$2)/$Q$2))</f>
        <v>12490.6554453033</v>
      </c>
      <c r="I437" s="15" t="n">
        <f aca="false">H437*(1+IF(I$3&lt;=$O$2,$D437,$D437-($D437-$I$427)*MIN(I$3-$O$2,$Q$2)/$Q$2))</f>
        <v>13893.4146017582</v>
      </c>
      <c r="J437" s="15" t="n">
        <f aca="false">I437*(1+IF(J$3&lt;=$O$2,$D437,$D437-($D437-$I$427)*MIN(J$3-$O$2,$Q$2)/$Q$2))</f>
        <v>15248.0746257344</v>
      </c>
      <c r="K437" s="15" t="n">
        <f aca="false">J437*(1+IF(K$3&lt;=$O$2,$D437,$D437-($D437-$I$427)*MIN(K$3-$O$2,$Q$2)/$Q$2))</f>
        <v>16509.1332824925</v>
      </c>
      <c r="L437" s="15" t="n">
        <f aca="false">K437*(1+IF(L$3&lt;=$O$2,$D437,$D437-($D437-$I$427)*MIN(L$3-$O$2,$Q$2)/$Q$2))</f>
        <v>17630.1343869987</v>
      </c>
      <c r="M437" s="15" t="n">
        <f aca="false">L437*(1+IF(M$3&lt;=$O$2,$D437,$D437-($D437-$I$427)*MIN(M$3-$O$2,$Q$2)/$Q$2))</f>
        <v>18566.3110511993</v>
      </c>
      <c r="N437" s="15" t="n">
        <f aca="false">M437*(1+IF(N$3&lt;=$O$2,$D437,$D437-($D437-$I$427)*MIN(N$3-$O$2,$Q$2)/$Q$2))</f>
        <v>19277.4007644602</v>
      </c>
      <c r="O437" s="15" t="n">
        <f aca="false">SUMPRODUCT(E437:N437,1/(1+$F$427)^$E$3:$N$3)*$E$2</f>
        <v>32169.1720705323</v>
      </c>
      <c r="P437" s="15" t="n">
        <f aca="false">N437*$E$2*(1+$I$427)/($F$427-$I$427)/(1+$F$427)^$N$3</f>
        <v>53616.7915278147</v>
      </c>
      <c r="Q437" s="15" t="n">
        <f aca="false">O437+P437</f>
        <v>85785.963598347</v>
      </c>
      <c r="R437" s="15" t="n">
        <f aca="false">Q437-$G$2+$I$2</f>
        <v>79665.963598347</v>
      </c>
      <c r="S437" s="42" t="n">
        <f aca="false">R437/$K$2</f>
        <v>460.018267688803</v>
      </c>
      <c r="T437" s="43" t="n">
        <f aca="false">S437-$M$2</f>
        <v>-4.1230881259558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0.1123046875</v>
      </c>
      <c r="C438" s="25" t="n">
        <f aca="false">IF(T437&gt;0,D437,C437)</f>
        <v>0.115234375</v>
      </c>
      <c r="D438" s="41" t="n">
        <f aca="false">(B438+C438)/2</f>
        <v>0.11376953125</v>
      </c>
      <c r="E438" s="15" t="n">
        <f aca="false">$C$2*(1+IF(E$3&lt;=$O$2,$D438,$D438-($D438-$I$427)*MIN(E$3-$O$2,$Q$2)/$Q$2))</f>
        <v>9088.359375</v>
      </c>
      <c r="F438" s="15" t="n">
        <f aca="false">E438*(1+IF(F$3&lt;=$O$2,$D438,$D438-($D438-$I$427)*MIN(F$3-$O$2,$Q$2)/$Q$2))</f>
        <v>10122.3377609253</v>
      </c>
      <c r="G438" s="15" t="n">
        <f aca="false">F438*(1+IF(G$3&lt;=$O$2,$D438,$D438-($D438-$I$427)*MIN(G$3-$O$2,$Q$2)/$Q$2))</f>
        <v>11273.9513831399</v>
      </c>
      <c r="H438" s="15" t="n">
        <f aca="false">G438*(1+IF(H$3&lt;=$O$2,$D438,$D438-($D438-$I$427)*MIN(H$3-$O$2,$Q$2)/$Q$2))</f>
        <v>12556.5835473351</v>
      </c>
      <c r="I438" s="15" t="n">
        <f aca="false">H438*(1+IF(I$3&lt;=$O$2,$D438,$D438-($D438-$I$427)*MIN(I$3-$O$2,$Q$2)/$Q$2))</f>
        <v>13985.1401716168</v>
      </c>
      <c r="J438" s="15" t="n">
        <f aca="false">I438*(1+IF(J$3&lt;=$O$2,$D438,$D438-($D438-$I$427)*MIN(J$3-$O$2,$Q$2)/$Q$2))</f>
        <v>15365.1326187637</v>
      </c>
      <c r="K438" s="15" t="n">
        <f aca="false">J438*(1+IF(K$3&lt;=$O$2,$D438,$D438-($D438-$I$427)*MIN(K$3-$O$2,$Q$2)/$Q$2))</f>
        <v>16649.3768118617</v>
      </c>
      <c r="L438" s="15" t="n">
        <f aca="false">K438*(1+IF(L$3&lt;=$O$2,$D438,$D438-($D438-$I$427)*MIN(L$3-$O$2,$Q$2)/$Q$2))</f>
        <v>17789.6562091943</v>
      </c>
      <c r="M438" s="15" t="n">
        <f aca="false">L438*(1+IF(M$3&lt;=$O$2,$D438,$D438-($D438-$I$427)*MIN(M$3-$O$2,$Q$2)/$Q$2))</f>
        <v>18739.5154450478</v>
      </c>
      <c r="N438" s="15" t="n">
        <f aca="false">M438*(1+IF(N$3&lt;=$O$2,$D438,$D438-($D438-$I$427)*MIN(N$3-$O$2,$Q$2)/$Q$2))</f>
        <v>19457.2388865931</v>
      </c>
      <c r="O438" s="15" t="n">
        <f aca="false">SUMPRODUCT(E438:N438,1/(1+$F$427)^$E$3:$N$3)*$E$2</f>
        <v>32373.5909058029</v>
      </c>
      <c r="P438" s="15" t="n">
        <f aca="false">N438*$E$2*(1+$I$427)/($F$427-$I$427)/(1+$F$427)^$N$3</f>
        <v>54116.9804910969</v>
      </c>
      <c r="Q438" s="15" t="n">
        <f aca="false">O438+P438</f>
        <v>86490.5713968998</v>
      </c>
      <c r="R438" s="15" t="n">
        <f aca="false">Q438-$G$2+$I$2</f>
        <v>80370.5713968998</v>
      </c>
      <c r="S438" s="42" t="n">
        <f aca="false">R438/$K$2</f>
        <v>464.086911865688</v>
      </c>
      <c r="T438" s="43" t="n">
        <f aca="false">S438-$M$2</f>
        <v>-0.0544439490712989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0.11376953125</v>
      </c>
      <c r="C439" s="25" t="n">
        <f aca="false">IF(T438&gt;0,D438,C438)</f>
        <v>0.115234375</v>
      </c>
      <c r="D439" s="41" t="n">
        <f aca="false">(B439+C439)/2</f>
        <v>0.114501953125</v>
      </c>
      <c r="E439" s="15" t="n">
        <f aca="false">$C$2*(1+IF(E$3&lt;=$O$2,$D439,$D439-($D439-$I$427)*MIN(E$3-$O$2,$Q$2)/$Q$2))</f>
        <v>9094.3359375</v>
      </c>
      <c r="F439" s="15" t="n">
        <f aca="false">E439*(1+IF(F$3&lt;=$O$2,$D439,$D439-($D439-$I$427)*MIN(F$3-$O$2,$Q$2)/$Q$2))</f>
        <v>10135.6551647186</v>
      </c>
      <c r="G439" s="15" t="n">
        <f aca="false">F439*(1+IF(G$3&lt;=$O$2,$D439,$D439-($D439-$I$427)*MIN(G$3-$O$2,$Q$2)/$Q$2))</f>
        <v>11296.2074772804</v>
      </c>
      <c r="H439" s="15" t="n">
        <f aca="false">G439*(1+IF(H$3&lt;=$O$2,$D439,$D439-($D439-$I$427)*MIN(H$3-$O$2,$Q$2)/$Q$2))</f>
        <v>12589.6452963342</v>
      </c>
      <c r="I439" s="15" t="n">
        <f aca="false">H439*(1+IF(I$3&lt;=$O$2,$D439,$D439-($D439-$I$427)*MIN(I$3-$O$2,$Q$2)/$Q$2))</f>
        <v>14031.1842719155</v>
      </c>
      <c r="J439" s="15" t="n">
        <f aca="false">I439*(1+IF(J$3&lt;=$O$2,$D439,$D439-($D439-$I$427)*MIN(J$3-$O$2,$Q$2)/$Q$2))</f>
        <v>15423.9415464712</v>
      </c>
      <c r="K439" s="15" t="n">
        <f aca="false">J439*(1+IF(K$3&lt;=$O$2,$D439,$D439-($D439-$I$427)*MIN(K$3-$O$2,$Q$2)/$Q$2))</f>
        <v>16719.8791901372</v>
      </c>
      <c r="L439" s="15" t="n">
        <f aca="false">K439*(1+IF(L$3&lt;=$O$2,$D439,$D439-($D439-$I$427)*MIN(L$3-$O$2,$Q$2)/$Q$2))</f>
        <v>17869.8855432405</v>
      </c>
      <c r="M439" s="15" t="n">
        <f aca="false">L439*(1+IF(M$3&lt;=$O$2,$D439,$D439-($D439-$I$427)*MIN(M$3-$O$2,$Q$2)/$Q$2))</f>
        <v>18826.6461956496</v>
      </c>
      <c r="N439" s="15" t="n">
        <f aca="false">M439*(1+IF(N$3&lt;=$O$2,$D439,$D439-($D439-$I$427)*MIN(N$3-$O$2,$Q$2)/$Q$2))</f>
        <v>19547.706744943</v>
      </c>
      <c r="O439" s="15" t="n">
        <f aca="false">SUMPRODUCT(E439:N439,1/(1+$F$427)^$E$3:$N$3)*$E$2</f>
        <v>32476.282570203</v>
      </c>
      <c r="P439" s="15" t="n">
        <f aca="false">N439*$E$2*(1+$I$427)/($F$427-$I$427)/(1+$F$427)^$N$3</f>
        <v>54368.6013584733</v>
      </c>
      <c r="Q439" s="15" t="n">
        <f aca="false">O439+P439</f>
        <v>86844.8839286763</v>
      </c>
      <c r="R439" s="15" t="n">
        <f aca="false">Q439-$G$2+$I$2</f>
        <v>80724.8839286763</v>
      </c>
      <c r="S439" s="42" t="n">
        <f aca="false">R439/$K$2</f>
        <v>466.132832478787</v>
      </c>
      <c r="T439" s="43" t="n">
        <f aca="false">S439-$M$2</f>
        <v>1.99147666402763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0.11376953125</v>
      </c>
      <c r="C440" s="25" t="n">
        <f aca="false">IF(T439&gt;0,D439,C439)</f>
        <v>0.114501953125</v>
      </c>
      <c r="D440" s="41" t="n">
        <f aca="false">(B440+C440)/2</f>
        <v>0.1141357421875</v>
      </c>
      <c r="E440" s="15" t="n">
        <f aca="false">$C$2*(1+IF(E$3&lt;=$O$2,$D440,$D440-($D440-$I$427)*MIN(E$3-$O$2,$Q$2)/$Q$2))</f>
        <v>9091.34765625</v>
      </c>
      <c r="F440" s="15" t="n">
        <f aca="false">E440*(1+IF(F$3&lt;=$O$2,$D440,$D440-($D440-$I$427)*MIN(F$3-$O$2,$Q$2)/$Q$2))</f>
        <v>10128.9953684807</v>
      </c>
      <c r="G440" s="15" t="n">
        <f aca="false">F440*(1+IF(G$3&lt;=$O$2,$D440,$D440-($D440-$I$427)*MIN(G$3-$O$2,$Q$2)/$Q$2))</f>
        <v>11285.075772476</v>
      </c>
      <c r="H440" s="15" t="n">
        <f aca="false">G440*(1+IF(H$3&lt;=$O$2,$D440,$D440-($D440-$I$427)*MIN(H$3-$O$2,$Q$2)/$Q$2))</f>
        <v>12573.1062714097</v>
      </c>
      <c r="I440" s="15" t="n">
        <f aca="false">H440*(1+IF(I$3&lt;=$O$2,$D440,$D440-($D440-$I$427)*MIN(I$3-$O$2,$Q$2)/$Q$2))</f>
        <v>14008.1470872994</v>
      </c>
      <c r="J440" s="15" t="n">
        <f aca="false">I440*(1+IF(J$3&lt;=$O$2,$D440,$D440-($D440-$I$427)*MIN(J$3-$O$2,$Q$2)/$Q$2))</f>
        <v>15394.5137055725</v>
      </c>
      <c r="K440" s="15" t="n">
        <f aca="false">J440*(1+IF(K$3&lt;=$O$2,$D440,$D440-($D440-$I$427)*MIN(K$3-$O$2,$Q$2)/$Q$2))</f>
        <v>16684.5962039826</v>
      </c>
      <c r="L440" s="15" t="n">
        <f aca="false">K440*(1+IF(L$3&lt;=$O$2,$D440,$D440-($D440-$I$427)*MIN(L$3-$O$2,$Q$2)/$Q$2))</f>
        <v>17829.7317330862</v>
      </c>
      <c r="M440" s="15" t="n">
        <f aca="false">L440*(1+IF(M$3&lt;=$O$2,$D440,$D440-($D440-$I$427)*MIN(M$3-$O$2,$Q$2)/$Q$2))</f>
        <v>18783.03664626</v>
      </c>
      <c r="N440" s="15" t="n">
        <f aca="false">M440*(1+IF(N$3&lt;=$O$2,$D440,$D440-($D440-$I$427)*MIN(N$3-$O$2,$Q$2)/$Q$2))</f>
        <v>19502.4269498117</v>
      </c>
      <c r="O440" s="15" t="n">
        <f aca="false">SUMPRODUCT(E440:N440,1/(1+$F$427)^$E$3:$N$3)*$E$2</f>
        <v>32424.8964536242</v>
      </c>
      <c r="P440" s="15" t="n">
        <f aca="false">N440*$E$2*(1+$I$427)/($F$427-$I$427)/(1+$F$427)^$N$3</f>
        <v>54242.663356476</v>
      </c>
      <c r="Q440" s="15" t="n">
        <f aca="false">O440+P440</f>
        <v>86667.5598101002</v>
      </c>
      <c r="R440" s="15" t="n">
        <f aca="false">Q440-$G$2+$I$2</f>
        <v>80547.5598101002</v>
      </c>
      <c r="S440" s="42" t="n">
        <f aca="false">R440/$K$2</f>
        <v>465.108902933943</v>
      </c>
      <c r="T440" s="43" t="n">
        <f aca="false">S440-$M$2</f>
        <v>0.96754711918345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0.11376953125</v>
      </c>
      <c r="C441" s="25" t="n">
        <f aca="false">IF(T440&gt;0,D440,C440)</f>
        <v>0.1141357421875</v>
      </c>
      <c r="D441" s="41" t="n">
        <f aca="false">(B441+C441)/2</f>
        <v>0.11395263671875</v>
      </c>
      <c r="E441" s="15" t="n">
        <f aca="false">$C$2*(1+IF(E$3&lt;=$O$2,$D441,$D441-($D441-$I$427)*MIN(E$3-$O$2,$Q$2)/$Q$2))</f>
        <v>9089.853515625</v>
      </c>
      <c r="F441" s="15" t="n">
        <f aca="false">E441*(1+IF(F$3&lt;=$O$2,$D441,$D441-($D441-$I$427)*MIN(F$3-$O$2,$Q$2)/$Q$2))</f>
        <v>10125.6662911177</v>
      </c>
      <c r="G441" s="15" t="n">
        <f aca="false">F441*(1+IF(G$3&lt;=$O$2,$D441,$D441-($D441-$I$427)*MIN(G$3-$O$2,$Q$2)/$Q$2))</f>
        <v>11279.5126635247</v>
      </c>
      <c r="H441" s="15" t="n">
        <f aca="false">G441*(1+IF(H$3&lt;=$O$2,$D441,$D441-($D441-$I$427)*MIN(H$3-$O$2,$Q$2)/$Q$2))</f>
        <v>12564.8428724359</v>
      </c>
      <c r="I441" s="15" t="n">
        <f aca="false">H441*(1+IF(I$3&lt;=$O$2,$D441,$D441-($D441-$I$427)*MIN(I$3-$O$2,$Q$2)/$Q$2))</f>
        <v>13996.6398477067</v>
      </c>
      <c r="J441" s="15" t="n">
        <f aca="false">I441*(1+IF(J$3&lt;=$O$2,$D441,$D441-($D441-$I$427)*MIN(J$3-$O$2,$Q$2)/$Q$2))</f>
        <v>15379.8173216193</v>
      </c>
      <c r="K441" s="15" t="n">
        <f aca="false">J441*(1+IF(K$3&lt;=$O$2,$D441,$D441-($D441-$I$427)*MIN(K$3-$O$2,$Q$2)/$Q$2))</f>
        <v>16666.9785646172</v>
      </c>
      <c r="L441" s="15" t="n">
        <f aca="false">K441*(1+IF(L$3&lt;=$O$2,$D441,$D441-($D441-$I$427)*MIN(L$3-$O$2,$Q$2)/$Q$2))</f>
        <v>17809.6841934613</v>
      </c>
      <c r="M441" s="15" t="n">
        <f aca="false">L441*(1+IF(M$3&lt;=$O$2,$D441,$D441-($D441-$I$427)*MIN(M$3-$O$2,$Q$2)/$Q$2))</f>
        <v>18761.2650117436</v>
      </c>
      <c r="N441" s="15" t="n">
        <f aca="false">M441*(1+IF(N$3&lt;=$O$2,$D441,$D441-($D441-$I$427)*MIN(N$3-$O$2,$Q$2)/$Q$2))</f>
        <v>19479.8214616934</v>
      </c>
      <c r="O441" s="15" t="n">
        <f aca="false">SUMPRODUCT(E441:N441,1/(1+$F$427)^$E$3:$N$3)*$E$2</f>
        <v>32399.2336159153</v>
      </c>
      <c r="P441" s="15" t="n">
        <f aca="false">N441*$E$2*(1+$I$427)/($F$427-$I$427)/(1+$F$427)^$N$3</f>
        <v>54179.790059467</v>
      </c>
      <c r="Q441" s="15" t="n">
        <f aca="false">O441+P441</f>
        <v>86579.0236753823</v>
      </c>
      <c r="R441" s="15" t="n">
        <f aca="false">Q441-$G$2+$I$2</f>
        <v>80459.0236753823</v>
      </c>
      <c r="S441" s="42" t="n">
        <f aca="false">R441/$K$2</f>
        <v>464.597665292657</v>
      </c>
      <c r="T441" s="43" t="n">
        <f aca="false">S441-$M$2</f>
        <v>0.456309477897605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0.11376953125</v>
      </c>
      <c r="C442" s="25" t="n">
        <f aca="false">IF(T441&gt;0,D441,C441)</f>
        <v>0.11395263671875</v>
      </c>
      <c r="D442" s="41" t="n">
        <f aca="false">(B442+C442)/2</f>
        <v>0.113861083984375</v>
      </c>
      <c r="E442" s="15" t="n">
        <f aca="false">$C$2*(1+IF(E$3&lt;=$O$2,$D442,$D442-($D442-$I$427)*MIN(E$3-$O$2,$Q$2)/$Q$2))</f>
        <v>9089.1064453125</v>
      </c>
      <c r="F442" s="15" t="n">
        <f aca="false">E442*(1+IF(F$3&lt;=$O$2,$D442,$D442-($D442-$I$427)*MIN(F$3-$O$2,$Q$2)/$Q$2))</f>
        <v>10124.0019576252</v>
      </c>
      <c r="G442" s="15" t="n">
        <f aca="false">F442*(1+IF(G$3&lt;=$O$2,$D442,$D442-($D442-$I$427)*MIN(G$3-$O$2,$Q$2)/$Q$2))</f>
        <v>11276.7317947803</v>
      </c>
      <c r="H442" s="15" t="n">
        <f aca="false">G442*(1+IF(H$3&lt;=$O$2,$D442,$D442-($D442-$I$427)*MIN(H$3-$O$2,$Q$2)/$Q$2))</f>
        <v>12560.712700735</v>
      </c>
      <c r="I442" s="15" t="n">
        <f aca="false">H442*(1+IF(I$3&lt;=$O$2,$D442,$D442-($D442-$I$427)*MIN(I$3-$O$2,$Q$2)/$Q$2))</f>
        <v>13990.889064457</v>
      </c>
      <c r="J442" s="15" t="n">
        <f aca="false">I442*(1+IF(J$3&lt;=$O$2,$D442,$D442-($D442-$I$427)*MIN(J$3-$O$2,$Q$2)/$Q$2))</f>
        <v>15372.4735105181</v>
      </c>
      <c r="K442" s="15" t="n">
        <f aca="false">J442*(1+IF(K$3&lt;=$O$2,$D442,$D442-($D442-$I$427)*MIN(K$3-$O$2,$Q$2)/$Q$2))</f>
        <v>16658.1757031565</v>
      </c>
      <c r="L442" s="15" t="n">
        <f aca="false">K442*(1+IF(L$3&lt;=$O$2,$D442,$D442-($D442-$I$427)*MIN(L$3-$O$2,$Q$2)/$Q$2))</f>
        <v>17799.6677579205</v>
      </c>
      <c r="M442" s="15" t="n">
        <f aca="false">L442*(1+IF(M$3&lt;=$O$2,$D442,$D442-($D442-$I$427)*MIN(M$3-$O$2,$Q$2)/$Q$2))</f>
        <v>18750.3874711189</v>
      </c>
      <c r="N442" s="15" t="n">
        <f aca="false">M442*(1+IF(N$3&lt;=$O$2,$D442,$D442-($D442-$I$427)*MIN(N$3-$O$2,$Q$2)/$Q$2))</f>
        <v>19468.5273112627</v>
      </c>
      <c r="O442" s="15" t="n">
        <f aca="false">SUMPRODUCT(E442:N442,1/(1+$F$427)^$E$3:$N$3)*$E$2</f>
        <v>32386.4097458211</v>
      </c>
      <c r="P442" s="15" t="n">
        <f aca="false">N442*$E$2*(1+$I$427)/($F$427-$I$427)/(1+$F$427)^$N$3</f>
        <v>54148.3773126696</v>
      </c>
      <c r="Q442" s="15" t="n">
        <f aca="false">O442+P442</f>
        <v>86534.7870584907</v>
      </c>
      <c r="R442" s="15" t="n">
        <f aca="false">Q442-$G$2+$I$2</f>
        <v>80414.7870584907</v>
      </c>
      <c r="S442" s="42" t="n">
        <f aca="false">R442/$K$2</f>
        <v>464.342228077669</v>
      </c>
      <c r="T442" s="43" t="n">
        <f aca="false">S442-$M$2</f>
        <v>0.200872262909797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0.11376953125</v>
      </c>
      <c r="C443" s="25" t="n">
        <f aca="false">IF(T442&gt;0,D442,C442)</f>
        <v>0.113861083984375</v>
      </c>
      <c r="D443" s="41" t="n">
        <f aca="false">(B443+C443)/2</f>
        <v>0.113815307617188</v>
      </c>
      <c r="E443" s="15" t="n">
        <f aca="false">$C$2*(1+IF(E$3&lt;=$O$2,$D443,$D443-($D443-$I$427)*MIN(E$3-$O$2,$Q$2)/$Q$2))</f>
        <v>9088.73291015625</v>
      </c>
      <c r="F443" s="15" t="n">
        <f aca="false">E443*(1+IF(F$3&lt;=$O$2,$D443,$D443-($D443-$I$427)*MIN(F$3-$O$2,$Q$2)/$Q$2))</f>
        <v>10123.1698421761</v>
      </c>
      <c r="G443" s="15" t="n">
        <f aca="false">F443*(1+IF(G$3&lt;=$O$2,$D443,$D443-($D443-$I$427)*MIN(G$3-$O$2,$Q$2)/$Q$2))</f>
        <v>11275.3415318245</v>
      </c>
      <c r="H443" s="15" t="n">
        <f aca="false">G443*(1+IF(H$3&lt;=$O$2,$D443,$D443-($D443-$I$427)*MIN(H$3-$O$2,$Q$2)/$Q$2))</f>
        <v>12558.6479967579</v>
      </c>
      <c r="I443" s="15" t="n">
        <f aca="false">H443*(1+IF(I$3&lt;=$O$2,$D443,$D443-($D443-$I$427)*MIN(I$3-$O$2,$Q$2)/$Q$2))</f>
        <v>13988.0143817649</v>
      </c>
      <c r="J443" s="15" t="n">
        <f aca="false">I443*(1+IF(J$3&lt;=$O$2,$D443,$D443-($D443-$I$427)*MIN(J$3-$O$2,$Q$2)/$Q$2))</f>
        <v>15368.8026997806</v>
      </c>
      <c r="K443" s="15" t="n">
        <f aca="false">J443*(1+IF(K$3&lt;=$O$2,$D443,$D443-($D443-$I$427)*MIN(K$3-$O$2,$Q$2)/$Q$2))</f>
        <v>16653.7757613312</v>
      </c>
      <c r="L443" s="15" t="n">
        <f aca="false">K443*(1+IF(L$3&lt;=$O$2,$D443,$D443-($D443-$I$427)*MIN(L$3-$O$2,$Q$2)/$Q$2))</f>
        <v>17794.6613728321</v>
      </c>
      <c r="M443" s="15" t="n">
        <f aca="false">L443*(1+IF(M$3&lt;=$O$2,$D443,$D443-($D443-$I$427)*MIN(M$3-$O$2,$Q$2)/$Q$2))</f>
        <v>18744.9507689141</v>
      </c>
      <c r="N443" s="15" t="n">
        <f aca="false">M443*(1+IF(N$3&lt;=$O$2,$D443,$D443-($D443-$I$427)*MIN(N$3-$O$2,$Q$2)/$Q$2))</f>
        <v>19462.8823833636</v>
      </c>
      <c r="O443" s="15" t="n">
        <f aca="false">SUMPRODUCT(E443:N443,1/(1+$F$427)^$E$3:$N$3)*$E$2</f>
        <v>32379.9996971664</v>
      </c>
      <c r="P443" s="15" t="n">
        <f aca="false">N443*$E$2*(1+$I$427)/($F$427-$I$427)/(1+$F$427)^$N$3</f>
        <v>54132.6769116635</v>
      </c>
      <c r="Q443" s="15" t="n">
        <f aca="false">O443+P443</f>
        <v>86512.6766088299</v>
      </c>
      <c r="R443" s="15" t="n">
        <f aca="false">Q443-$G$2+$I$2</f>
        <v>80392.6766088299</v>
      </c>
      <c r="S443" s="42" t="n">
        <f aca="false">R443/$K$2</f>
        <v>464.214554849462</v>
      </c>
      <c r="T443" s="43" t="n">
        <f aca="false">S443-$M$2</f>
        <v>0.0731990347032365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0.11376953125</v>
      </c>
      <c r="C444" s="25" t="n">
        <f aca="false">IF(T443&gt;0,D443,C443)</f>
        <v>0.113815307617188</v>
      </c>
      <c r="D444" s="41" t="n">
        <f aca="false">(B444+C444)/2</f>
        <v>0.113792419433594</v>
      </c>
      <c r="E444" s="15" t="n">
        <f aca="false">$C$2*(1+IF(E$3&lt;=$O$2,$D444,$D444-($D444-$I$427)*MIN(E$3-$O$2,$Q$2)/$Q$2))</f>
        <v>9088.54614257813</v>
      </c>
      <c r="F444" s="15" t="n">
        <f aca="false">E444*(1+IF(F$3&lt;=$O$2,$D444,$D444-($D444-$I$427)*MIN(F$3-$O$2,$Q$2)/$Q$2))</f>
        <v>10122.7537972759</v>
      </c>
      <c r="G444" s="15" t="n">
        <f aca="false">F444*(1+IF(G$3&lt;=$O$2,$D444,$D444-($D444-$I$427)*MIN(G$3-$O$2,$Q$2)/$Q$2))</f>
        <v>11274.6464431986</v>
      </c>
      <c r="H444" s="15" t="n">
        <f aca="false">G444*(1+IF(H$3&lt;=$O$2,$D444,$D444-($D444-$I$427)*MIN(H$3-$O$2,$Q$2)/$Q$2))</f>
        <v>12557.6157402285</v>
      </c>
      <c r="I444" s="15" t="n">
        <f aca="false">H444*(1+IF(I$3&lt;=$O$2,$D444,$D444-($D444-$I$427)*MIN(I$3-$O$2,$Q$2)/$Q$2))</f>
        <v>13986.5772176265</v>
      </c>
      <c r="J444" s="15" t="n">
        <f aca="false">I444*(1+IF(J$3&lt;=$O$2,$D444,$D444-($D444-$I$427)*MIN(J$3-$O$2,$Q$2)/$Q$2))</f>
        <v>15366.9675680643</v>
      </c>
      <c r="K444" s="15" t="n">
        <f aca="false">J444*(1+IF(K$3&lt;=$O$2,$D444,$D444-($D444-$I$427)*MIN(K$3-$O$2,$Q$2)/$Q$2))</f>
        <v>16651.5761625636</v>
      </c>
      <c r="L444" s="15" t="n">
        <f aca="false">K444*(1+IF(L$3&lt;=$O$2,$D444,$D444-($D444-$I$427)*MIN(L$3-$O$2,$Q$2)/$Q$2))</f>
        <v>17792.1586383477</v>
      </c>
      <c r="M444" s="15" t="n">
        <f aca="false">L444*(1+IF(M$3&lt;=$O$2,$D444,$D444-($D444-$I$427)*MIN(M$3-$O$2,$Q$2)/$Q$2))</f>
        <v>18742.2329347074</v>
      </c>
      <c r="N444" s="15" t="n">
        <f aca="false">M444*(1+IF(N$3&lt;=$O$2,$D444,$D444-($D444-$I$427)*MIN(N$3-$O$2,$Q$2)/$Q$2))</f>
        <v>19460.0604561067</v>
      </c>
      <c r="O444" s="15" t="n">
        <f aca="false">SUMPRODUCT(E444:N444,1/(1+$F$427)^$E$3:$N$3)*$E$2</f>
        <v>32376.7951443375</v>
      </c>
      <c r="P444" s="15" t="n">
        <f aca="false">N444*$E$2*(1+$I$427)/($F$427-$I$427)/(1+$F$427)^$N$3</f>
        <v>54124.8282038794</v>
      </c>
      <c r="Q444" s="15" t="n">
        <f aca="false">O444+P444</f>
        <v>86501.6233482169</v>
      </c>
      <c r="R444" s="15" t="n">
        <f aca="false">Q444-$G$2+$I$2</f>
        <v>80381.6233482169</v>
      </c>
      <c r="S444" s="42" t="n">
        <f aca="false">R444/$K$2</f>
        <v>464.150729577416</v>
      </c>
      <c r="T444" s="43" t="n">
        <f aca="false">S444-$M$2</f>
        <v>0.00937376265687817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0.11376953125</v>
      </c>
      <c r="C445" s="25" t="n">
        <f aca="false">IF(T444&gt;0,D444,C444)</f>
        <v>0.113792419433594</v>
      </c>
      <c r="D445" s="41" t="n">
        <f aca="false">(B445+C445)/2</f>
        <v>0.113780975341797</v>
      </c>
      <c r="E445" s="15" t="n">
        <f aca="false">$C$2*(1+IF(E$3&lt;=$O$2,$D445,$D445-($D445-$I$427)*MIN(E$3-$O$2,$Q$2)/$Q$2))</f>
        <v>9088.45275878906</v>
      </c>
      <c r="F445" s="15" t="n">
        <f aca="false">E445*(1+IF(F$3&lt;=$O$2,$D445,$D445-($D445-$I$427)*MIN(F$3-$O$2,$Q$2)/$Q$2))</f>
        <v>10122.5457780319</v>
      </c>
      <c r="G445" s="15" t="n">
        <f aca="false">F445*(1+IF(G$3&lt;=$O$2,$D445,$D445-($D445-$I$427)*MIN(G$3-$O$2,$Q$2)/$Q$2))</f>
        <v>11274.2989095984</v>
      </c>
      <c r="H445" s="15" t="n">
        <f aca="false">G445*(1+IF(H$3&lt;=$O$2,$D445,$D445-($D445-$I$427)*MIN(H$3-$O$2,$Q$2)/$Q$2))</f>
        <v>12557.0996358274</v>
      </c>
      <c r="I445" s="15" t="n">
        <f aca="false">H445*(1+IF(I$3&lt;=$O$2,$D445,$D445-($D445-$I$427)*MIN(I$3-$O$2,$Q$2)/$Q$2))</f>
        <v>13985.858679856</v>
      </c>
      <c r="J445" s="15" t="n">
        <f aca="false">I445*(1+IF(J$3&lt;=$O$2,$D445,$D445-($D445-$I$427)*MIN(J$3-$O$2,$Q$2)/$Q$2))</f>
        <v>15366.050070613</v>
      </c>
      <c r="K445" s="15" t="n">
        <f aca="false">J445*(1+IF(K$3&lt;=$O$2,$D445,$D445-($D445-$I$427)*MIN(K$3-$O$2,$Q$2)/$Q$2))</f>
        <v>16650.4764562059</v>
      </c>
      <c r="L445" s="15" t="n">
        <f aca="false">K445*(1+IF(L$3&lt;=$O$2,$D445,$D445-($D445-$I$427)*MIN(L$3-$O$2,$Q$2)/$Q$2))</f>
        <v>17790.9073856066</v>
      </c>
      <c r="M445" s="15" t="n">
        <f aca="false">L445*(1+IF(M$3&lt;=$O$2,$D445,$D445-($D445-$I$427)*MIN(M$3-$O$2,$Q$2)/$Q$2))</f>
        <v>18740.8741468116</v>
      </c>
      <c r="N445" s="15" t="n">
        <f aca="false">M445*(1+IF(N$3&lt;=$O$2,$D445,$D445-($D445-$I$427)*MIN(N$3-$O$2,$Q$2)/$Q$2))</f>
        <v>19458.6496266344</v>
      </c>
      <c r="O445" s="15" t="n">
        <f aca="false">SUMPRODUCT(E445:N445,1/(1+$F$427)^$E$3:$N$3)*$E$2</f>
        <v>32375.1929857852</v>
      </c>
      <c r="P445" s="15" t="n">
        <f aca="false">N445*$E$2*(1+$I$427)/($F$427-$I$427)/(1+$F$427)^$N$3</f>
        <v>54120.9042231197</v>
      </c>
      <c r="Q445" s="15" t="n">
        <f aca="false">O445+P445</f>
        <v>86496.097208905</v>
      </c>
      <c r="R445" s="15" t="n">
        <f aca="false">Q445-$G$2+$I$2</f>
        <v>80376.097208905</v>
      </c>
      <c r="S445" s="42" t="n">
        <f aca="false">R445/$K$2</f>
        <v>464.118819776562</v>
      </c>
      <c r="T445" s="43" t="n">
        <f aca="false">S445-$M$2</f>
        <v>-0.0225360381975861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0.113780975341797</v>
      </c>
      <c r="C446" s="25" t="n">
        <f aca="false">IF(T445&gt;0,D445,C445)</f>
        <v>0.113792419433594</v>
      </c>
      <c r="D446" s="41" t="n">
        <f aca="false">(B446+C446)/2</f>
        <v>0.113786697387695</v>
      </c>
      <c r="E446" s="15" t="n">
        <f aca="false">$C$2*(1+IF(E$3&lt;=$O$2,$D446,$D446-($D446-$I$427)*MIN(E$3-$O$2,$Q$2)/$Q$2))</f>
        <v>9088.49945068359</v>
      </c>
      <c r="F446" s="15" t="n">
        <f aca="false">E446*(1+IF(F$3&lt;=$O$2,$D446,$D446-($D446-$I$427)*MIN(F$3-$O$2,$Q$2)/$Q$2))</f>
        <v>10122.6497873868</v>
      </c>
      <c r="G446" s="15" t="n">
        <f aca="false">F446*(1+IF(G$3&lt;=$O$2,$D446,$D446-($D446-$I$427)*MIN(G$3-$O$2,$Q$2)/$Q$2))</f>
        <v>11274.4726755058</v>
      </c>
      <c r="H446" s="15" t="n">
        <f aca="false">G446*(1+IF(H$3&lt;=$O$2,$D446,$D446-($D446-$I$427)*MIN(H$3-$O$2,$Q$2)/$Q$2))</f>
        <v>12557.3576860394</v>
      </c>
      <c r="I446" s="15" t="n">
        <f aca="false">H446*(1+IF(I$3&lt;=$O$2,$D446,$D446-($D446-$I$427)*MIN(I$3-$O$2,$Q$2)/$Q$2))</f>
        <v>13986.2179450498</v>
      </c>
      <c r="J446" s="15" t="n">
        <f aca="false">I446*(1+IF(J$3&lt;=$O$2,$D446,$D446-($D446-$I$427)*MIN(J$3-$O$2,$Q$2)/$Q$2))</f>
        <v>15366.5088136383</v>
      </c>
      <c r="K446" s="15" t="n">
        <f aca="false">J446*(1+IF(K$3&lt;=$O$2,$D446,$D446-($D446-$I$427)*MIN(K$3-$O$2,$Q$2)/$Q$2))</f>
        <v>16651.0263016329</v>
      </c>
      <c r="L446" s="15" t="n">
        <f aca="false">K446*(1+IF(L$3&lt;=$O$2,$D446,$D446-($D446-$I$427)*MIN(L$3-$O$2,$Q$2)/$Q$2))</f>
        <v>17791.5330024358</v>
      </c>
      <c r="M446" s="15" t="n">
        <f aca="false">L446*(1+IF(M$3&lt;=$O$2,$D446,$D446-($D446-$I$427)*MIN(M$3-$O$2,$Q$2)/$Q$2))</f>
        <v>18741.5535299927</v>
      </c>
      <c r="N446" s="15" t="n">
        <f aca="false">M446*(1+IF(N$3&lt;=$O$2,$D446,$D446-($D446-$I$427)*MIN(N$3-$O$2,$Q$2)/$Q$2))</f>
        <v>19459.3550301914</v>
      </c>
      <c r="O446" s="15" t="n">
        <f aca="false">SUMPRODUCT(E446:N446,1/(1+$F$427)^$E$3:$N$3)*$E$2</f>
        <v>32375.9940552399</v>
      </c>
      <c r="P446" s="15" t="n">
        <f aca="false">N446*$E$2*(1+$I$427)/($F$427-$I$427)/(1+$F$427)^$N$3</f>
        <v>54122.8661824066</v>
      </c>
      <c r="Q446" s="15" t="n">
        <f aca="false">O446+P446</f>
        <v>86498.8602376465</v>
      </c>
      <c r="R446" s="15" t="n">
        <f aca="false">Q446-$G$2+$I$2</f>
        <v>80378.8602376465</v>
      </c>
      <c r="S446" s="42" t="n">
        <f aca="false">R446/$K$2</f>
        <v>464.134774440735</v>
      </c>
      <c r="T446" s="43" t="n">
        <f aca="false">S446-$M$2</f>
        <v>-0.00658137402422199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0.113786697387695</v>
      </c>
      <c r="C447" s="25" t="n">
        <f aca="false">IF(T446&gt;0,D446,C446)</f>
        <v>0.113792419433594</v>
      </c>
      <c r="D447" s="41" t="n">
        <f aca="false">(B447+C447)/2</f>
        <v>0.113789558410645</v>
      </c>
      <c r="E447" s="15" t="n">
        <f aca="false">$C$2*(1+IF(E$3&lt;=$O$2,$D447,$D447-($D447-$I$427)*MIN(E$3-$O$2,$Q$2)/$Q$2))</f>
        <v>9088.52279663086</v>
      </c>
      <c r="F447" s="15" t="n">
        <f aca="false">E447*(1+IF(F$3&lt;=$O$2,$D447,$D447-($D447-$I$427)*MIN(F$3-$O$2,$Q$2)/$Q$2))</f>
        <v>10122.7017922646</v>
      </c>
      <c r="G447" s="15" t="n">
        <f aca="false">F447*(1+IF(G$3&lt;=$O$2,$D447,$D447-($D447-$I$427)*MIN(G$3-$O$2,$Q$2)/$Q$2))</f>
        <v>11274.559559129</v>
      </c>
      <c r="H447" s="15" t="n">
        <f aca="false">G447*(1+IF(H$3&lt;=$O$2,$D447,$D447-($D447-$I$427)*MIN(H$3-$O$2,$Q$2)/$Q$2))</f>
        <v>12557.4867126368</v>
      </c>
      <c r="I447" s="15" t="n">
        <f aca="false">H447*(1+IF(I$3&lt;=$O$2,$D447,$D447-($D447-$I$427)*MIN(I$3-$O$2,$Q$2)/$Q$2))</f>
        <v>13986.3975804153</v>
      </c>
      <c r="J447" s="15" t="n">
        <f aca="false">I447*(1+IF(J$3&lt;=$O$2,$D447,$D447-($D447-$I$427)*MIN(J$3-$O$2,$Q$2)/$Q$2))</f>
        <v>15366.7381894262</v>
      </c>
      <c r="K447" s="15" t="n">
        <f aca="false">J447*(1+IF(K$3&lt;=$O$2,$D447,$D447-($D447-$I$427)*MIN(K$3-$O$2,$Q$2)/$Q$2))</f>
        <v>16651.3012301603</v>
      </c>
      <c r="L447" s="15" t="n">
        <f aca="false">K447*(1+IF(L$3&lt;=$O$2,$D447,$D447-($D447-$I$427)*MIN(L$3-$O$2,$Q$2)/$Q$2))</f>
        <v>17791.8458180064</v>
      </c>
      <c r="M447" s="15" t="n">
        <f aca="false">L447*(1+IF(M$3&lt;=$O$2,$D447,$D447-($D447-$I$427)*MIN(M$3-$O$2,$Q$2)/$Q$2))</f>
        <v>18741.8932296583</v>
      </c>
      <c r="N447" s="15" t="n">
        <f aca="false">M447*(1+IF(N$3&lt;=$O$2,$D447,$D447-($D447-$I$427)*MIN(N$3-$O$2,$Q$2)/$Q$2))</f>
        <v>19459.7077403542</v>
      </c>
      <c r="O447" s="15" t="n">
        <f aca="false">SUMPRODUCT(E447:N447,1/(1+$F$427)^$E$3:$N$3)*$E$2</f>
        <v>32376.3945973333</v>
      </c>
      <c r="P447" s="15" t="n">
        <f aca="false">N447*$E$2*(1+$I$427)/($F$427-$I$427)/(1+$F$427)^$N$3</f>
        <v>54123.8471853697</v>
      </c>
      <c r="Q447" s="15" t="n">
        <f aca="false">O447+P447</f>
        <v>86500.241782703</v>
      </c>
      <c r="R447" s="15" t="n">
        <f aca="false">Q447-$G$2+$I$2</f>
        <v>80380.241782703</v>
      </c>
      <c r="S447" s="42" t="n">
        <f aca="false">R447/$K$2</f>
        <v>464.142751950011</v>
      </c>
      <c r="T447" s="43" t="n">
        <f aca="false">S447-$M$2</f>
        <v>0.00139613525215054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0.113786697387695</v>
      </c>
      <c r="C448" s="25" t="n">
        <f aca="false">IF(T447&gt;0,D447,C447)</f>
        <v>0.113789558410645</v>
      </c>
      <c r="D448" s="41" t="n">
        <f aca="false">(B448+C448)/2</f>
        <v>0.11378812789917</v>
      </c>
      <c r="E448" s="15" t="n">
        <f aca="false">$C$2*(1+IF(E$3&lt;=$O$2,$D448,$D448-($D448-$I$427)*MIN(E$3-$O$2,$Q$2)/$Q$2))</f>
        <v>9088.51112365723</v>
      </c>
      <c r="F448" s="15" t="n">
        <f aca="false">E448*(1+IF(F$3&lt;=$O$2,$D448,$D448-($D448-$I$427)*MIN(F$3-$O$2,$Q$2)/$Q$2))</f>
        <v>10122.675789809</v>
      </c>
      <c r="G448" s="15" t="n">
        <f aca="false">F448*(1+IF(G$3&lt;=$O$2,$D448,$D448-($D448-$I$427)*MIN(G$3-$O$2,$Q$2)/$Q$2))</f>
        <v>11274.5161172616</v>
      </c>
      <c r="H448" s="15" t="n">
        <f aca="false">G448*(1+IF(H$3&lt;=$O$2,$D448,$D448-($D448-$I$427)*MIN(H$3-$O$2,$Q$2)/$Q$2))</f>
        <v>12557.4221992138</v>
      </c>
      <c r="I448" s="15" t="n">
        <f aca="false">H448*(1+IF(I$3&lt;=$O$2,$D448,$D448-($D448-$I$427)*MIN(I$3-$O$2,$Q$2)/$Q$2))</f>
        <v>13986.3077625018</v>
      </c>
      <c r="J448" s="15" t="n">
        <f aca="false">I448*(1+IF(J$3&lt;=$O$2,$D448,$D448-($D448-$I$427)*MIN(J$3-$O$2,$Q$2)/$Q$2))</f>
        <v>15366.6235011759</v>
      </c>
      <c r="K448" s="15" t="n">
        <f aca="false">J448*(1+IF(K$3&lt;=$O$2,$D448,$D448-($D448-$I$427)*MIN(K$3-$O$2,$Q$2)/$Q$2))</f>
        <v>16651.1637654121</v>
      </c>
      <c r="L448" s="15" t="n">
        <f aca="false">K448*(1+IF(L$3&lt;=$O$2,$D448,$D448-($D448-$I$427)*MIN(L$3-$O$2,$Q$2)/$Q$2))</f>
        <v>17791.6894096247</v>
      </c>
      <c r="M448" s="15" t="n">
        <f aca="false">L448*(1+IF(M$3&lt;=$O$2,$D448,$D448-($D448-$I$427)*MIN(M$3-$O$2,$Q$2)/$Q$2))</f>
        <v>18741.7233791526</v>
      </c>
      <c r="N448" s="15" t="n">
        <f aca="false">M448*(1+IF(N$3&lt;=$O$2,$D448,$D448-($D448-$I$427)*MIN(N$3-$O$2,$Q$2)/$Q$2))</f>
        <v>19459.5313845741</v>
      </c>
      <c r="O448" s="15" t="n">
        <f aca="false">SUMPRODUCT(E448:N448,1/(1+$F$427)^$E$3:$N$3)*$E$2</f>
        <v>32376.1943256728</v>
      </c>
      <c r="P448" s="15" t="n">
        <f aca="false">N448*$E$2*(1+$I$427)/($F$427-$I$427)/(1+$F$427)^$N$3</f>
        <v>54123.3566819448</v>
      </c>
      <c r="Q448" s="15" t="n">
        <f aca="false">O448+P448</f>
        <v>86499.5510076176</v>
      </c>
      <c r="R448" s="15" t="n">
        <f aca="false">Q448-$G$2+$I$2</f>
        <v>80379.5510076176</v>
      </c>
      <c r="S448" s="42" t="n">
        <f aca="false">R448/$K$2</f>
        <v>464.138763180607</v>
      </c>
      <c r="T448" s="43" t="n">
        <f aca="false">S448-$M$2</f>
        <v>-0.00259263415182431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0.11378812789917</v>
      </c>
      <c r="C449" s="25" t="n">
        <f aca="false">IF(T448&gt;0,D448,C448)</f>
        <v>0.113789558410645</v>
      </c>
      <c r="D449" s="41" t="n">
        <f aca="false">(B449+C449)/2</f>
        <v>0.113788843154907</v>
      </c>
      <c r="E449" s="15" t="n">
        <f aca="false">$C$2*(1+IF(E$3&lt;=$O$2,$D449,$D449-($D449-$I$427)*MIN(E$3-$O$2,$Q$2)/$Q$2))</f>
        <v>9088.51696014404</v>
      </c>
      <c r="F449" s="15" t="n">
        <f aca="false">E449*(1+IF(F$3&lt;=$O$2,$D449,$D449-($D449-$I$427)*MIN(F$3-$O$2,$Q$2)/$Q$2))</f>
        <v>10122.6887910326</v>
      </c>
      <c r="G449" s="15" t="n">
        <f aca="false">F449*(1+IF(G$3&lt;=$O$2,$D449,$D449-($D449-$I$427)*MIN(G$3-$O$2,$Q$2)/$Q$2))</f>
        <v>11274.5378381813</v>
      </c>
      <c r="H449" s="15" t="n">
        <f aca="false">G449*(1+IF(H$3&lt;=$O$2,$D449,$D449-($D449-$I$427)*MIN(H$3-$O$2,$Q$2)/$Q$2))</f>
        <v>12557.4544558942</v>
      </c>
      <c r="I449" s="15" t="n">
        <f aca="false">H449*(1+IF(I$3&lt;=$O$2,$D449,$D449-($D449-$I$427)*MIN(I$3-$O$2,$Q$2)/$Q$2))</f>
        <v>13986.3526714009</v>
      </c>
      <c r="J449" s="15" t="n">
        <f aca="false">I449*(1+IF(J$3&lt;=$O$2,$D449,$D449-($D449-$I$427)*MIN(J$3-$O$2,$Q$2)/$Q$2))</f>
        <v>15366.680845212</v>
      </c>
      <c r="K449" s="15" t="n">
        <f aca="false">J449*(1+IF(K$3&lt;=$O$2,$D449,$D449-($D449-$I$427)*MIN(K$3-$O$2,$Q$2)/$Q$2))</f>
        <v>16651.232497665</v>
      </c>
      <c r="L449" s="15" t="n">
        <f aca="false">K449*(1+IF(L$3&lt;=$O$2,$D449,$D449-($D449-$I$427)*MIN(L$3-$O$2,$Q$2)/$Q$2))</f>
        <v>17791.7676136665</v>
      </c>
      <c r="M449" s="15" t="n">
        <f aca="false">L449*(1+IF(M$3&lt;=$O$2,$D449,$D449-($D449-$I$427)*MIN(M$3-$O$2,$Q$2)/$Q$2))</f>
        <v>18741.8083042372</v>
      </c>
      <c r="N449" s="15" t="n">
        <f aca="false">M449*(1+IF(N$3&lt;=$O$2,$D449,$D449-($D449-$I$427)*MIN(N$3-$O$2,$Q$2)/$Q$2))</f>
        <v>19459.6195622895</v>
      </c>
      <c r="O449" s="15" t="n">
        <f aca="false">SUMPRODUCT(E449:N449,1/(1+$F$427)^$E$3:$N$3)*$E$2</f>
        <v>32376.2944613496</v>
      </c>
      <c r="P449" s="15" t="n">
        <f aca="false">N449*$E$2*(1+$I$427)/($F$427-$I$427)/(1+$F$427)^$N$3</f>
        <v>54123.6019331714</v>
      </c>
      <c r="Q449" s="15" t="n">
        <f aca="false">O449+P449</f>
        <v>86499.896394521</v>
      </c>
      <c r="R449" s="15" t="n">
        <f aca="false">Q449-$G$2+$I$2</f>
        <v>80379.896394521</v>
      </c>
      <c r="S449" s="42" t="n">
        <f aca="false">R449/$K$2</f>
        <v>464.140757561618</v>
      </c>
      <c r="T449" s="43" t="n">
        <f aca="false">S449-$M$2</f>
        <v>-0.000598253141504301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0.113788843154907</v>
      </c>
      <c r="C450" s="25" t="n">
        <f aca="false">IF(T449&gt;0,D449,C449)</f>
        <v>0.113789558410645</v>
      </c>
      <c r="D450" s="41" t="n">
        <f aca="false">(B450+C450)/2</f>
        <v>0.113789200782776</v>
      </c>
      <c r="E450" s="15" t="n">
        <f aca="false">$C$2*(1+IF(E$3&lt;=$O$2,$D450,$D450-($D450-$I$427)*MIN(E$3-$O$2,$Q$2)/$Q$2))</f>
        <v>9088.51987838745</v>
      </c>
      <c r="F450" s="15" t="n">
        <f aca="false">E450*(1+IF(F$3&lt;=$O$2,$D450,$D450-($D450-$I$427)*MIN(F$3-$O$2,$Q$2)/$Q$2))</f>
        <v>10122.6952916475</v>
      </c>
      <c r="G450" s="15" t="n">
        <f aca="false">F450*(1+IF(G$3&lt;=$O$2,$D450,$D450-($D450-$I$427)*MIN(G$3-$O$2,$Q$2)/$Q$2))</f>
        <v>11274.5486986517</v>
      </c>
      <c r="H450" s="15" t="n">
        <f aca="false">G450*(1+IF(H$3&lt;=$O$2,$D450,$D450-($D450-$I$427)*MIN(H$3-$O$2,$Q$2)/$Q$2))</f>
        <v>12557.4705842577</v>
      </c>
      <c r="I450" s="15" t="n">
        <f aca="false">H450*(1+IF(I$3&lt;=$O$2,$D450,$D450-($D450-$I$427)*MIN(I$3-$O$2,$Q$2)/$Q$2))</f>
        <v>13986.3751258936</v>
      </c>
      <c r="J450" s="15" t="n">
        <f aca="false">I450*(1+IF(J$3&lt;=$O$2,$D450,$D450-($D450-$I$427)*MIN(J$3-$O$2,$Q$2)/$Q$2))</f>
        <v>15366.7095172968</v>
      </c>
      <c r="K450" s="15" t="n">
        <f aca="false">J450*(1+IF(K$3&lt;=$O$2,$D450,$D450-($D450-$I$427)*MIN(K$3-$O$2,$Q$2)/$Q$2))</f>
        <v>16651.2668638824</v>
      </c>
      <c r="L450" s="15" t="n">
        <f aca="false">K450*(1+IF(L$3&lt;=$O$2,$D450,$D450-($D450-$I$427)*MIN(L$3-$O$2,$Q$2)/$Q$2))</f>
        <v>17791.8067157991</v>
      </c>
      <c r="M450" s="15" t="n">
        <f aca="false">L450*(1+IF(M$3&lt;=$O$2,$D450,$D450-($D450-$I$427)*MIN(M$3-$O$2,$Q$2)/$Q$2))</f>
        <v>18741.8507669057</v>
      </c>
      <c r="N450" s="15" t="n">
        <f aca="false">M450*(1+IF(N$3&lt;=$O$2,$D450,$D450-($D450-$I$427)*MIN(N$3-$O$2,$Q$2)/$Q$2))</f>
        <v>19459.6636512782</v>
      </c>
      <c r="O450" s="15" t="n">
        <f aca="false">SUMPRODUCT(E450:N450,1/(1+$F$427)^$E$3:$N$3)*$E$2</f>
        <v>32376.3445293031</v>
      </c>
      <c r="P450" s="15" t="n">
        <f aca="false">N450*$E$2*(1+$I$427)/($F$427-$I$427)/(1+$F$427)^$N$3</f>
        <v>54123.7245591491</v>
      </c>
      <c r="Q450" s="15" t="n">
        <f aca="false">O450+P450</f>
        <v>86500.0690884522</v>
      </c>
      <c r="R450" s="15" t="n">
        <f aca="false">Q450-$G$2+$I$2</f>
        <v>80380.0690884522</v>
      </c>
      <c r="S450" s="42" t="n">
        <f aca="false">R450/$K$2</f>
        <v>464.141754754892</v>
      </c>
      <c r="T450" s="43" t="n">
        <f aca="false">S450-$M$2</f>
        <v>0.000398940132470216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0.113788843154907</v>
      </c>
      <c r="C451" s="25" t="n">
        <f aca="false">IF(T450&gt;0,D450,C450)</f>
        <v>0.113789200782776</v>
      </c>
      <c r="D451" s="41" t="n">
        <f aca="false">(B451+C451)/2</f>
        <v>0.113789021968842</v>
      </c>
      <c r="E451" s="15" t="n">
        <f aca="false">$C$2*(1+IF(E$3&lt;=$O$2,$D451,$D451-($D451-$I$427)*MIN(E$3-$O$2,$Q$2)/$Q$2))</f>
        <v>9088.51841926575</v>
      </c>
      <c r="F451" s="15" t="n">
        <f aca="false">E451*(1+IF(F$3&lt;=$O$2,$D451,$D451-($D451-$I$427)*MIN(F$3-$O$2,$Q$2)/$Q$2))</f>
        <v>10122.6920413398</v>
      </c>
      <c r="G451" s="15" t="n">
        <f aca="false">F451*(1+IF(G$3&lt;=$O$2,$D451,$D451-($D451-$I$427)*MIN(G$3-$O$2,$Q$2)/$Q$2))</f>
        <v>11274.5432684156</v>
      </c>
      <c r="H451" s="15" t="n">
        <f aca="false">G451*(1+IF(H$3&lt;=$O$2,$D451,$D451-($D451-$I$427)*MIN(H$3-$O$2,$Q$2)/$Q$2))</f>
        <v>12557.462520074</v>
      </c>
      <c r="I451" s="15" t="n">
        <f aca="false">H451*(1+IF(I$3&lt;=$O$2,$D451,$D451-($D451-$I$427)*MIN(I$3-$O$2,$Q$2)/$Q$2))</f>
        <v>13986.3638986436</v>
      </c>
      <c r="J451" s="15" t="n">
        <f aca="false">I451*(1+IF(J$3&lt;=$O$2,$D451,$D451-($D451-$I$427)*MIN(J$3-$O$2,$Q$2)/$Q$2))</f>
        <v>15366.6951812488</v>
      </c>
      <c r="K451" s="15" t="n">
        <f aca="false">J451*(1+IF(K$3&lt;=$O$2,$D451,$D451-($D451-$I$427)*MIN(K$3-$O$2,$Q$2)/$Q$2))</f>
        <v>16651.2496807661</v>
      </c>
      <c r="L451" s="15" t="n">
        <f aca="false">K451*(1+IF(L$3&lt;=$O$2,$D451,$D451-($D451-$I$427)*MIN(L$3-$O$2,$Q$2)/$Q$2))</f>
        <v>17791.7871647235</v>
      </c>
      <c r="M451" s="15" t="n">
        <f aca="false">L451*(1+IF(M$3&lt;=$O$2,$D451,$D451-($D451-$I$427)*MIN(M$3-$O$2,$Q$2)/$Q$2))</f>
        <v>18741.8295355609</v>
      </c>
      <c r="N451" s="15" t="n">
        <f aca="false">M451*(1+IF(N$3&lt;=$O$2,$D451,$D451-($D451-$I$427)*MIN(N$3-$O$2,$Q$2)/$Q$2))</f>
        <v>19459.6416067729</v>
      </c>
      <c r="O451" s="15" t="n">
        <f aca="false">SUMPRODUCT(E451:N451,1/(1+$F$427)^$E$3:$N$3)*$E$2</f>
        <v>32376.3194953167</v>
      </c>
      <c r="P451" s="15" t="n">
        <f aca="false">N451*$E$2*(1+$I$427)/($F$427-$I$427)/(1+$F$427)^$N$3</f>
        <v>54123.6632461299</v>
      </c>
      <c r="Q451" s="15" t="n">
        <f aca="false">O451+P451</f>
        <v>86499.9827414466</v>
      </c>
      <c r="R451" s="15" t="n">
        <f aca="false">Q451-$G$2+$I$2</f>
        <v>80379.9827414466</v>
      </c>
      <c r="S451" s="42" t="n">
        <f aca="false">R451/$K$2</f>
        <v>464.141256158024</v>
      </c>
      <c r="T451" s="43" t="n">
        <f aca="false">S451-$M$2</f>
        <v>-9.96567352444799E-005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0.113789021968842</v>
      </c>
      <c r="C452" s="25" t="n">
        <f aca="false">IF(T451&gt;0,D451,C451)</f>
        <v>0.113789200782776</v>
      </c>
      <c r="D452" s="41" t="n">
        <f aca="false">(B452+C452)/2</f>
        <v>0.113789111375809</v>
      </c>
      <c r="E452" s="15" t="n">
        <f aca="false">$C$2*(1+IF(E$3&lt;=$O$2,$D452,$D452-($D452-$I$427)*MIN(E$3-$O$2,$Q$2)/$Q$2))</f>
        <v>9088.5191488266</v>
      </c>
      <c r="F452" s="15" t="n">
        <f aca="false">E452*(1+IF(F$3&lt;=$O$2,$D452,$D452-($D452-$I$427)*MIN(F$3-$O$2,$Q$2)/$Q$2))</f>
        <v>10122.6936664936</v>
      </c>
      <c r="G452" s="15" t="n">
        <f aca="false">F452*(1+IF(G$3&lt;=$O$2,$D452,$D452-($D452-$I$427)*MIN(G$3-$O$2,$Q$2)/$Q$2))</f>
        <v>11274.5459835334</v>
      </c>
      <c r="H452" s="15" t="n">
        <f aca="false">G452*(1+IF(H$3&lt;=$O$2,$D452,$D452-($D452-$I$427)*MIN(H$3-$O$2,$Q$2)/$Q$2))</f>
        <v>12557.4665521654</v>
      </c>
      <c r="I452" s="15" t="n">
        <f aca="false">H452*(1+IF(I$3&lt;=$O$2,$D452,$D452-($D452-$I$427)*MIN(I$3-$O$2,$Q$2)/$Q$2))</f>
        <v>13986.3695122677</v>
      </c>
      <c r="J452" s="15" t="n">
        <f aca="false">I452*(1+IF(J$3&lt;=$O$2,$D452,$D452-($D452-$I$427)*MIN(J$3-$O$2,$Q$2)/$Q$2))</f>
        <v>15366.7023492714</v>
      </c>
      <c r="K452" s="15" t="n">
        <f aca="false">J452*(1+IF(K$3&lt;=$O$2,$D452,$D452-($D452-$I$427)*MIN(K$3-$O$2,$Q$2)/$Q$2))</f>
        <v>16651.2582723224</v>
      </c>
      <c r="L452" s="15" t="n">
        <f aca="false">K452*(1+IF(L$3&lt;=$O$2,$D452,$D452-($D452-$I$427)*MIN(L$3-$O$2,$Q$2)/$Q$2))</f>
        <v>17791.796940259</v>
      </c>
      <c r="M452" s="15" t="n">
        <f aca="false">L452*(1+IF(M$3&lt;=$O$2,$D452,$D452-($D452-$I$427)*MIN(M$3-$O$2,$Q$2)/$Q$2))</f>
        <v>18741.8401512307</v>
      </c>
      <c r="N452" s="15" t="n">
        <f aca="false">M452*(1+IF(N$3&lt;=$O$2,$D452,$D452-($D452-$I$427)*MIN(N$3-$O$2,$Q$2)/$Q$2))</f>
        <v>19459.6526290228</v>
      </c>
      <c r="O452" s="15" t="n">
        <f aca="false">SUMPRODUCT(E452:N452,1/(1+$F$427)^$E$3:$N$3)*$E$2</f>
        <v>32376.3320123075</v>
      </c>
      <c r="P452" s="15" t="n">
        <f aca="false">N452*$E$2*(1+$I$427)/($F$427-$I$427)/(1+$F$427)^$N$3</f>
        <v>54123.6939026319</v>
      </c>
      <c r="Q452" s="15" t="n">
        <f aca="false">O452+P452</f>
        <v>86500.0259149394</v>
      </c>
      <c r="R452" s="15" t="n">
        <f aca="false">Q452-$G$2+$I$2</f>
        <v>80380.0259149394</v>
      </c>
      <c r="S452" s="42" t="n">
        <f aca="false">R452/$K$2</f>
        <v>464.1415054564</v>
      </c>
      <c r="T452" s="43" t="n">
        <f aca="false">S452-$M$2</f>
        <v>0.000149641641030485</v>
      </c>
    </row>
    <row r="454" customFormat="false" ht="15" hidden="false" customHeight="false" outlineLevel="0" collapsed="false">
      <c r="A454" s="38" t="s">
        <v>197</v>
      </c>
      <c r="E454" s="5" t="s">
        <v>11</v>
      </c>
      <c r="F454" s="12" t="n">
        <f aca="false">Sensitivity!$B$13</f>
        <v>0.100316051923387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162</v>
      </c>
      <c r="B455" s="28" t="s">
        <v>163</v>
      </c>
      <c r="C455" s="28" t="s">
        <v>164</v>
      </c>
      <c r="D455" s="28" t="s">
        <v>165</v>
      </c>
      <c r="E455" s="28" t="s">
        <v>166</v>
      </c>
      <c r="F455" s="28" t="s">
        <v>167</v>
      </c>
      <c r="G455" s="28" t="s">
        <v>168</v>
      </c>
      <c r="H455" s="28" t="s">
        <v>169</v>
      </c>
      <c r="I455" s="28" t="s">
        <v>170</v>
      </c>
      <c r="J455" s="28" t="s">
        <v>171</v>
      </c>
      <c r="K455" s="28" t="s">
        <v>172</v>
      </c>
      <c r="L455" s="28" t="s">
        <v>173</v>
      </c>
      <c r="M455" s="28" t="s">
        <v>174</v>
      </c>
      <c r="N455" s="28" t="s">
        <v>175</v>
      </c>
      <c r="O455" s="28" t="s">
        <v>176</v>
      </c>
      <c r="P455" s="28" t="s">
        <v>177</v>
      </c>
      <c r="Q455" s="28" t="s">
        <v>178</v>
      </c>
      <c r="R455" s="28" t="s">
        <v>179</v>
      </c>
      <c r="S455" s="28" t="s">
        <v>180</v>
      </c>
      <c r="T455" s="28" t="s">
        <v>181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10200</v>
      </c>
      <c r="F456" s="15" t="n">
        <f aca="false">E456*(1+IF(F$3&lt;=$O$2,$D456,$D456-($D456-$I$454)*MIN(F$3-$O$2,$Q$2)/$Q$2))</f>
        <v>12750</v>
      </c>
      <c r="G456" s="15" t="n">
        <f aca="false">F456*(1+IF(G$3&lt;=$O$2,$D456,$D456-($D456-$I$454)*MIN(G$3-$O$2,$Q$2)/$Q$2))</f>
        <v>15937.5</v>
      </c>
      <c r="H456" s="15" t="n">
        <f aca="false">G456*(1+IF(H$3&lt;=$O$2,$D456,$D456-($D456-$I$454)*MIN(H$3-$O$2,$Q$2)/$Q$2))</f>
        <v>19921.875</v>
      </c>
      <c r="I456" s="15" t="n">
        <f aca="false">H456*(1+IF(I$3&lt;=$O$2,$D456,$D456-($D456-$I$454)*MIN(I$3-$O$2,$Q$2)/$Q$2))</f>
        <v>24902.34375</v>
      </c>
      <c r="J456" s="15" t="n">
        <f aca="false">I456*(1+IF(J$3&lt;=$O$2,$D456,$D456-($D456-$I$454)*MIN(J$3-$O$2,$Q$2)/$Q$2))</f>
        <v>29973.955078125</v>
      </c>
      <c r="K456" s="15" t="n">
        <f aca="false">J456*(1+IF(K$3&lt;=$O$2,$D456,$D456-($D456-$I$454)*MIN(K$3-$O$2,$Q$2)/$Q$2))</f>
        <v>34689.4576910156</v>
      </c>
      <c r="L456" s="15" t="n">
        <f aca="false">K456*(1+IF(L$3&lt;=$O$2,$D456,$D456-($D456-$I$454)*MIN(L$3-$O$2,$Q$2)/$Q$2))</f>
        <v>38539.2937055645</v>
      </c>
      <c r="M456" s="15" t="n">
        <f aca="false">L456*(1+IF(M$3&lt;=$O$2,$D456,$D456-($D456-$I$454)*MIN(M$3-$O$2,$Q$2)/$Q$2))</f>
        <v>41030.4736506922</v>
      </c>
      <c r="N456" s="15" t="n">
        <f aca="false">M456*(1+IF(N$3&lt;=$O$2,$D456,$D456-($D456-$I$454)*MIN(N$3-$O$2,$Q$2)/$Q$2))</f>
        <v>41781.3313184999</v>
      </c>
      <c r="O456" s="15" t="n">
        <f aca="false">SUMPRODUCT(E456:N456,1/(1+$F$454)^$E$3:$N$3)*$E$2</f>
        <v>55727.7191004802</v>
      </c>
      <c r="P456" s="15" t="n">
        <f aca="false">N456*$E$2*(1+$I$454)/($F$454-$I$454)/(1+$F$454)^$N$3</f>
        <v>75701.7340751674</v>
      </c>
      <c r="Q456" s="15" t="n">
        <f aca="false">O456+P456</f>
        <v>131429.453175648</v>
      </c>
      <c r="R456" s="15" t="n">
        <f aca="false">Q456-$G$2+$I$2</f>
        <v>125309.453175648</v>
      </c>
      <c r="S456" s="42" t="n">
        <f aca="false">R456/$K$2</f>
        <v>723.579242266125</v>
      </c>
      <c r="T456" s="43" t="n">
        <f aca="false">S456-$M$2</f>
        <v>259.437886451366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7140</v>
      </c>
      <c r="F457" s="15" t="n">
        <f aca="false">E457*(1+IF(F$3&lt;=$O$2,$D457,$D457-($D457-$I$454)*MIN(F$3-$O$2,$Q$2)/$Q$2))</f>
        <v>6247.5</v>
      </c>
      <c r="G457" s="15" t="n">
        <f aca="false">F457*(1+IF(G$3&lt;=$O$2,$D457,$D457-($D457-$I$454)*MIN(G$3-$O$2,$Q$2)/$Q$2))</f>
        <v>5466.5625</v>
      </c>
      <c r="H457" s="15" t="n">
        <f aca="false">G457*(1+IF(H$3&lt;=$O$2,$D457,$D457-($D457-$I$454)*MIN(H$3-$O$2,$Q$2)/$Q$2))</f>
        <v>4783.2421875</v>
      </c>
      <c r="I457" s="15" t="n">
        <f aca="false">H457*(1+IF(I$3&lt;=$O$2,$D457,$D457-($D457-$I$454)*MIN(I$3-$O$2,$Q$2)/$Q$2))</f>
        <v>4185.3369140625</v>
      </c>
      <c r="J457" s="15" t="n">
        <f aca="false">I457*(1+IF(J$3&lt;=$O$2,$D457,$D457-($D457-$I$454)*MIN(J$3-$O$2,$Q$2)/$Q$2))</f>
        <v>3782.12155576172</v>
      </c>
      <c r="K457" s="15" t="n">
        <f aca="false">J457*(1+IF(K$3&lt;=$O$2,$D457,$D457-($D457-$I$454)*MIN(K$3-$O$2,$Q$2)/$Q$2))</f>
        <v>3526.14756886777</v>
      </c>
      <c r="L457" s="15" t="n">
        <f aca="false">K457*(1+IF(L$3&lt;=$O$2,$D457,$D457-($D457-$I$454)*MIN(L$3-$O$2,$Q$2)/$Q$2))</f>
        <v>3388.55729073055</v>
      </c>
      <c r="M457" s="15" t="n">
        <f aca="false">L457*(1+IF(M$3&lt;=$O$2,$D457,$D457-($D457-$I$454)*MIN(M$3-$O$2,$Q$2)/$Q$2))</f>
        <v>3353.45183719858</v>
      </c>
      <c r="N457" s="15" t="n">
        <f aca="false">M457*(1+IF(N$3&lt;=$O$2,$D457,$D457-($D457-$I$454)*MIN(N$3-$O$2,$Q$2)/$Q$2))</f>
        <v>3414.82000581931</v>
      </c>
      <c r="O457" s="15" t="n">
        <f aca="false">SUMPRODUCT(E457:N457,1/(1+$F$454)^$E$3:$N$3)*$E$2</f>
        <v>11333.4731764834</v>
      </c>
      <c r="P457" s="15" t="n">
        <f aca="false">N457*$E$2*(1+$I$454)/($F$454-$I$454)/(1+$F$454)^$N$3</f>
        <v>6187.16033781894</v>
      </c>
      <c r="Q457" s="15" t="n">
        <f aca="false">O457+P457</f>
        <v>17520.6335143023</v>
      </c>
      <c r="R457" s="15" t="n">
        <f aca="false">Q457-$G$2+$I$2</f>
        <v>11400.6335143023</v>
      </c>
      <c r="S457" s="42" t="n">
        <f aca="false">R457/$K$2</f>
        <v>65.8311208817549</v>
      </c>
      <c r="T457" s="43" t="n">
        <f aca="false">S457-$M$2</f>
        <v>-398.310234933004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8670</v>
      </c>
      <c r="F458" s="15" t="n">
        <f aca="false">E458*(1+IF(F$3&lt;=$O$2,$D458,$D458-($D458-$I$454)*MIN(F$3-$O$2,$Q$2)/$Q$2))</f>
        <v>9211.875</v>
      </c>
      <c r="G458" s="15" t="n">
        <f aca="false">F458*(1+IF(G$3&lt;=$O$2,$D458,$D458-($D458-$I$454)*MIN(G$3-$O$2,$Q$2)/$Q$2))</f>
        <v>9787.6171875</v>
      </c>
      <c r="H458" s="15" t="n">
        <f aca="false">G458*(1+IF(H$3&lt;=$O$2,$D458,$D458-($D458-$I$454)*MIN(H$3-$O$2,$Q$2)/$Q$2))</f>
        <v>10399.3432617188</v>
      </c>
      <c r="I458" s="15" t="n">
        <f aca="false">H458*(1+IF(I$3&lt;=$O$2,$D458,$D458-($D458-$I$454)*MIN(I$3-$O$2,$Q$2)/$Q$2))</f>
        <v>11049.3022155762</v>
      </c>
      <c r="J458" s="15" t="n">
        <f aca="false">I458*(1+IF(J$3&lt;=$O$2,$D458,$D458-($D458-$I$454)*MIN(J$3-$O$2,$Q$2)/$Q$2))</f>
        <v>11642.207772464</v>
      </c>
      <c r="K458" s="15" t="n">
        <f aca="false">J458*(1+IF(K$3&lt;=$O$2,$D458,$D458-($D458-$I$454)*MIN(K$3-$O$2,$Q$2)/$Q$2))</f>
        <v>12164.0115248258</v>
      </c>
      <c r="L458" s="15" t="n">
        <f aca="false">K458*(1+IF(L$3&lt;=$O$2,$D458,$D458-($D458-$I$454)*MIN(L$3-$O$2,$Q$2)/$Q$2))</f>
        <v>12601.6726594891</v>
      </c>
      <c r="M458" s="15" t="n">
        <f aca="false">L458*(1+IF(M$3&lt;=$O$2,$D458,$D458-($D458-$I$454)*MIN(M$3-$O$2,$Q$2)/$Q$2))</f>
        <v>12943.6820554676</v>
      </c>
      <c r="N458" s="15" t="n">
        <f aca="false">M458*(1+IF(N$3&lt;=$O$2,$D458,$D458-($D458-$I$454)*MIN(N$3-$O$2,$Q$2)/$Q$2))</f>
        <v>13180.5514370826</v>
      </c>
      <c r="O458" s="15" t="n">
        <f aca="false">SUMPRODUCT(E458:N458,1/(1+$F$454)^$E$3:$N$3)*$E$2</f>
        <v>25045.2203685157</v>
      </c>
      <c r="P458" s="15" t="n">
        <f aca="false">N458*$E$2*(1+$I$454)/($F$454-$I$454)/(1+$F$454)^$N$3</f>
        <v>23881.2543393584</v>
      </c>
      <c r="Q458" s="15" t="n">
        <f aca="false">O458+P458</f>
        <v>48926.4747078741</v>
      </c>
      <c r="R458" s="15" t="n">
        <f aca="false">Q458-$G$2+$I$2</f>
        <v>42806.4747078741</v>
      </c>
      <c r="S458" s="42" t="n">
        <f aca="false">R458/$K$2</f>
        <v>247.179089432233</v>
      </c>
      <c r="T458" s="43" t="n">
        <f aca="false">S458-$M$2</f>
        <v>-216.962266382527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9435</v>
      </c>
      <c r="F459" s="15" t="n">
        <f aca="false">E459*(1+IF(F$3&lt;=$O$2,$D459,$D459-($D459-$I$454)*MIN(F$3-$O$2,$Q$2)/$Q$2))</f>
        <v>10909.21875</v>
      </c>
      <c r="G459" s="15" t="n">
        <f aca="false">F459*(1+IF(G$3&lt;=$O$2,$D459,$D459-($D459-$I$454)*MIN(G$3-$O$2,$Q$2)/$Q$2))</f>
        <v>12613.7841796875</v>
      </c>
      <c r="H459" s="15" t="n">
        <f aca="false">G459*(1+IF(H$3&lt;=$O$2,$D459,$D459-($D459-$I$454)*MIN(H$3-$O$2,$Q$2)/$Q$2))</f>
        <v>14584.6879577637</v>
      </c>
      <c r="I459" s="15" t="n">
        <f aca="false">H459*(1+IF(I$3&lt;=$O$2,$D459,$D459-($D459-$I$454)*MIN(I$3-$O$2,$Q$2)/$Q$2))</f>
        <v>16863.5454511642</v>
      </c>
      <c r="J459" s="15" t="n">
        <f aca="false">I459*(1+IF(J$3&lt;=$O$2,$D459,$D459-($D459-$I$454)*MIN(J$3-$O$2,$Q$2)/$Q$2))</f>
        <v>19033.209208911</v>
      </c>
      <c r="K459" s="15" t="n">
        <f aca="false">J459*(1+IF(K$3&lt;=$O$2,$D459,$D459-($D459-$I$454)*MIN(K$3-$O$2,$Q$2)/$Q$2))</f>
        <v>20956.8956636557</v>
      </c>
      <c r="L459" s="15" t="n">
        <f aca="false">K459*(1+IF(L$3&lt;=$O$2,$D459,$D459-($D459-$I$454)*MIN(L$3-$O$2,$Q$2)/$Q$2))</f>
        <v>22496.8083570211</v>
      </c>
      <c r="M459" s="15" t="n">
        <f aca="false">L459*(1+IF(M$3&lt;=$O$2,$D459,$D459-($D459-$I$454)*MIN(M$3-$O$2,$Q$2)/$Q$2))</f>
        <v>23529.1868925248</v>
      </c>
      <c r="N459" s="15" t="n">
        <f aca="false">M459*(1+IF(N$3&lt;=$O$2,$D459,$D459-($D459-$I$454)*MIN(N$3-$O$2,$Q$2)/$Q$2))</f>
        <v>23959.771012658</v>
      </c>
      <c r="O459" s="15" t="n">
        <f aca="false">SUMPRODUCT(E459:N459,1/(1+$F$454)^$E$3:$N$3)*$E$2</f>
        <v>37410.2422361889</v>
      </c>
      <c r="P459" s="15" t="n">
        <f aca="false">N459*$E$2*(1+$I$454)/($F$454-$I$454)/(1+$F$454)^$N$3</f>
        <v>43411.6423882125</v>
      </c>
      <c r="Q459" s="15" t="n">
        <f aca="false">O459+P459</f>
        <v>80821.8846244014</v>
      </c>
      <c r="R459" s="15" t="n">
        <f aca="false">Q459-$G$2+$I$2</f>
        <v>74701.8846244014</v>
      </c>
      <c r="S459" s="42" t="n">
        <f aca="false">R459/$K$2</f>
        <v>431.353993673642</v>
      </c>
      <c r="T459" s="43" t="n">
        <f aca="false">S459-$M$2</f>
        <v>-32.7873621411168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0.15625</v>
      </c>
      <c r="C460" s="25" t="n">
        <f aca="false">IF(T459&gt;0,D459,C459)</f>
        <v>0.25</v>
      </c>
      <c r="D460" s="41" t="n">
        <f aca="false">(B460+C460)/2</f>
        <v>0.203125</v>
      </c>
      <c r="E460" s="15" t="n">
        <f aca="false">$C$2*(1+IF(E$3&lt;=$O$2,$D460,$D460-($D460-$I$454)*MIN(E$3-$O$2,$Q$2)/$Q$2))</f>
        <v>9817.5</v>
      </c>
      <c r="F460" s="15" t="n">
        <f aca="false">E460*(1+IF(F$3&lt;=$O$2,$D460,$D460-($D460-$I$454)*MIN(F$3-$O$2,$Q$2)/$Q$2))</f>
        <v>11811.6796875</v>
      </c>
      <c r="G460" s="15" t="n">
        <f aca="false">F460*(1+IF(G$3&lt;=$O$2,$D460,$D460-($D460-$I$454)*MIN(G$3-$O$2,$Q$2)/$Q$2))</f>
        <v>14210.9271240234</v>
      </c>
      <c r="H460" s="15" t="n">
        <f aca="false">G460*(1+IF(H$3&lt;=$O$2,$D460,$D460-($D460-$I$454)*MIN(H$3-$O$2,$Q$2)/$Q$2))</f>
        <v>17097.5216960907</v>
      </c>
      <c r="I460" s="15" t="n">
        <f aca="false">H460*(1+IF(I$3&lt;=$O$2,$D460,$D460-($D460-$I$454)*MIN(I$3-$O$2,$Q$2)/$Q$2))</f>
        <v>20570.4557906091</v>
      </c>
      <c r="J460" s="15" t="n">
        <f aca="false">I460*(1+IF(J$3&lt;=$O$2,$D460,$D460-($D460-$I$454)*MIN(J$3-$O$2,$Q$2)/$Q$2))</f>
        <v>23988.4427247767</v>
      </c>
      <c r="K460" s="15" t="n">
        <f aca="false">J460*(1+IF(K$3&lt;=$O$2,$D460,$D460-($D460-$I$454)*MIN(K$3-$O$2,$Q$2)/$Q$2))</f>
        <v>27087.6295826043</v>
      </c>
      <c r="L460" s="15" t="n">
        <f aca="false">K460*(1+IF(L$3&lt;=$O$2,$D460,$D460-($D460-$I$454)*MIN(L$3-$O$2,$Q$2)/$Q$2))</f>
        <v>29585.9216590079</v>
      </c>
      <c r="M460" s="15" t="n">
        <f aca="false">L460*(1+IF(M$3&lt;=$O$2,$D460,$D460-($D460-$I$454)*MIN(M$3-$O$2,$Q$2)/$Q$2))</f>
        <v>31220.9876194929</v>
      </c>
      <c r="N460" s="15" t="n">
        <f aca="false">M460*(1+IF(N$3&lt;=$O$2,$D460,$D460-($D460-$I$454)*MIN(N$3-$O$2,$Q$2)/$Q$2))</f>
        <v>31792.3316929296</v>
      </c>
      <c r="O460" s="15" t="n">
        <f aca="false">SUMPRODUCT(E460:N460,1/(1+$F$454)^$E$3:$N$3)*$E$2</f>
        <v>45685.8026687627</v>
      </c>
      <c r="P460" s="15" t="n">
        <f aca="false">N460*$E$2*(1+$I$454)/($F$454-$I$454)/(1+$F$454)^$N$3</f>
        <v>57603.1103724554</v>
      </c>
      <c r="Q460" s="15" t="n">
        <f aca="false">O460+P460</f>
        <v>103288.913041218</v>
      </c>
      <c r="R460" s="15" t="n">
        <f aca="false">Q460-$G$2+$I$2</f>
        <v>97168.9130412181</v>
      </c>
      <c r="S460" s="42" t="n">
        <f aca="false">R460/$K$2</f>
        <v>561.086228439878</v>
      </c>
      <c r="T460" s="43" t="n">
        <f aca="false">S460-$M$2</f>
        <v>96.9448726251187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0.15625</v>
      </c>
      <c r="C461" s="25" t="n">
        <f aca="false">IF(T460&gt;0,D460,C460)</f>
        <v>0.203125</v>
      </c>
      <c r="D461" s="41" t="n">
        <f aca="false">(B461+C461)/2</f>
        <v>0.1796875</v>
      </c>
      <c r="E461" s="15" t="n">
        <f aca="false">$C$2*(1+IF(E$3&lt;=$O$2,$D461,$D461-($D461-$I$454)*MIN(E$3-$O$2,$Q$2)/$Q$2))</f>
        <v>9626.25</v>
      </c>
      <c r="F461" s="15" t="n">
        <f aca="false">E461*(1+IF(F$3&lt;=$O$2,$D461,$D461-($D461-$I$454)*MIN(F$3-$O$2,$Q$2)/$Q$2))</f>
        <v>11355.966796875</v>
      </c>
      <c r="G461" s="15" t="n">
        <f aca="false">F461*(1+IF(G$3&lt;=$O$2,$D461,$D461-($D461-$I$454)*MIN(G$3-$O$2,$Q$2)/$Q$2))</f>
        <v>13396.4920806885</v>
      </c>
      <c r="H461" s="15" t="n">
        <f aca="false">G461*(1+IF(H$3&lt;=$O$2,$D461,$D461-($D461-$I$454)*MIN(H$3-$O$2,$Q$2)/$Q$2))</f>
        <v>15803.6742514372</v>
      </c>
      <c r="I461" s="15" t="n">
        <f aca="false">H461*(1+IF(I$3&lt;=$O$2,$D461,$D461-($D461-$I$454)*MIN(I$3-$O$2,$Q$2)/$Q$2))</f>
        <v>18643.3969684923</v>
      </c>
      <c r="J461" s="15" t="n">
        <f aca="false">I461*(1+IF(J$3&lt;=$O$2,$D461,$D461-($D461-$I$454)*MIN(J$3-$O$2,$Q$2)/$Q$2))</f>
        <v>21391.6201156178</v>
      </c>
      <c r="K461" s="15" t="n">
        <f aca="false">J461*(1+IF(K$3&lt;=$O$2,$D461,$D461-($D461-$I$454)*MIN(K$3-$O$2,$Q$2)/$Q$2))</f>
        <v>23854.4908185791</v>
      </c>
      <c r="L461" s="15" t="n">
        <f aca="false">K461*(1+IF(L$3&lt;=$O$2,$D461,$D461-($D461-$I$454)*MIN(L$3-$O$2,$Q$2)/$Q$2))</f>
        <v>25830.9546553525</v>
      </c>
      <c r="M461" s="15" t="n">
        <f aca="false">L461*(1+IF(M$3&lt;=$O$2,$D461,$D461-($D461-$I$454)*MIN(M$3-$O$2,$Q$2)/$Q$2))</f>
        <v>27137.4197644336</v>
      </c>
      <c r="N461" s="15" t="n">
        <f aca="false">M461*(1+IF(N$3&lt;=$O$2,$D461,$D461-($D461-$I$454)*MIN(N$3-$O$2,$Q$2)/$Q$2))</f>
        <v>27634.0345461227</v>
      </c>
      <c r="O461" s="15" t="n">
        <f aca="false">SUMPRODUCT(E461:N461,1/(1+$F$454)^$E$3:$N$3)*$E$2</f>
        <v>41346.3116456807</v>
      </c>
      <c r="P461" s="15" t="n">
        <f aca="false">N461*$E$2*(1+$I$454)/($F$454-$I$454)/(1+$F$454)^$N$3</f>
        <v>50068.876903123</v>
      </c>
      <c r="Q461" s="15" t="n">
        <f aca="false">O461+P461</f>
        <v>91415.1885488037</v>
      </c>
      <c r="R461" s="15" t="n">
        <f aca="false">Q461-$G$2+$I$2</f>
        <v>85295.1885488037</v>
      </c>
      <c r="S461" s="42" t="n">
        <f aca="false">R461/$K$2</f>
        <v>492.523319949207</v>
      </c>
      <c r="T461" s="43" t="n">
        <f aca="false">S461-$M$2</f>
        <v>28.3819641344482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0.15625</v>
      </c>
      <c r="C462" s="25" t="n">
        <f aca="false">IF(T461&gt;0,D461,C461)</f>
        <v>0.1796875</v>
      </c>
      <c r="D462" s="41" t="n">
        <f aca="false">(B462+C462)/2</f>
        <v>0.16796875</v>
      </c>
      <c r="E462" s="15" t="n">
        <f aca="false">$C$2*(1+IF(E$3&lt;=$O$2,$D462,$D462-($D462-$I$454)*MIN(E$3-$O$2,$Q$2)/$Q$2))</f>
        <v>9530.625</v>
      </c>
      <c r="F462" s="15" t="n">
        <f aca="false">E462*(1+IF(F$3&lt;=$O$2,$D462,$D462-($D462-$I$454)*MIN(F$3-$O$2,$Q$2)/$Q$2))</f>
        <v>11131.4721679688</v>
      </c>
      <c r="G462" s="15" t="n">
        <f aca="false">F462*(1+IF(G$3&lt;=$O$2,$D462,$D462-($D462-$I$454)*MIN(G$3-$O$2,$Q$2)/$Q$2))</f>
        <v>13001.2116336823</v>
      </c>
      <c r="H462" s="15" t="n">
        <f aca="false">G462*(1+IF(H$3&lt;=$O$2,$D462,$D462-($D462-$I$454)*MIN(H$3-$O$2,$Q$2)/$Q$2))</f>
        <v>15185.0089002773</v>
      </c>
      <c r="I462" s="15" t="n">
        <f aca="false">H462*(1+IF(I$3&lt;=$O$2,$D462,$D462-($D462-$I$454)*MIN(I$3-$O$2,$Q$2)/$Q$2))</f>
        <v>17735.6158639958</v>
      </c>
      <c r="J462" s="15" t="n">
        <f aca="false">I462*(1+IF(J$3&lt;=$O$2,$D462,$D462-($D462-$I$454)*MIN(J$3-$O$2,$Q$2)/$Q$2))</f>
        <v>20183.7515997824</v>
      </c>
      <c r="K462" s="15" t="n">
        <f aca="false">J462*(1+IF(K$3&lt;=$O$2,$D462,$D462-($D462-$I$454)*MIN(K$3-$O$2,$Q$2)/$Q$2))</f>
        <v>22365.6403774084</v>
      </c>
      <c r="L462" s="15" t="n">
        <f aca="false">K462*(1+IF(L$3&lt;=$O$2,$D462,$D462-($D462-$I$454)*MIN(L$3-$O$2,$Q$2)/$Q$2))</f>
        <v>24113.9065716095</v>
      </c>
      <c r="M462" s="15" t="n">
        <f aca="false">L462*(1+IF(M$3&lt;=$O$2,$D462,$D462-($D462-$I$454)*MIN(M$3-$O$2,$Q$2)/$Q$2))</f>
        <v>25277.0107127078</v>
      </c>
      <c r="N462" s="15" t="n">
        <f aca="false">M462*(1+IF(N$3&lt;=$O$2,$D462,$D462-($D462-$I$454)*MIN(N$3-$O$2,$Q$2)/$Q$2))</f>
        <v>25739.5800087504</v>
      </c>
      <c r="O462" s="15" t="n">
        <f aca="false">SUMPRODUCT(E462:N462,1/(1+$F$454)^$E$3:$N$3)*$E$2</f>
        <v>39330.0780138297</v>
      </c>
      <c r="P462" s="15" t="n">
        <f aca="false">N462*$E$2*(1+$I$454)/($F$454-$I$454)/(1+$F$454)^$N$3</f>
        <v>46636.3990696043</v>
      </c>
      <c r="Q462" s="15" t="n">
        <f aca="false">O462+P462</f>
        <v>85966.477083434</v>
      </c>
      <c r="R462" s="15" t="n">
        <f aca="false">Q462-$G$2+$I$2</f>
        <v>79846.477083434</v>
      </c>
      <c r="S462" s="42" t="n">
        <f aca="false">R462/$K$2</f>
        <v>461.060613716561</v>
      </c>
      <c r="T462" s="43" t="n">
        <f aca="false">S462-$M$2</f>
        <v>-3.08074209819841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0.16796875</v>
      </c>
      <c r="C463" s="25" t="n">
        <f aca="false">IF(T462&gt;0,D462,C462)</f>
        <v>0.1796875</v>
      </c>
      <c r="D463" s="41" t="n">
        <f aca="false">(B463+C463)/2</f>
        <v>0.173828125</v>
      </c>
      <c r="E463" s="15" t="n">
        <f aca="false">$C$2*(1+IF(E$3&lt;=$O$2,$D463,$D463-($D463-$I$454)*MIN(E$3-$O$2,$Q$2)/$Q$2))</f>
        <v>9578.4375</v>
      </c>
      <c r="F463" s="15" t="n">
        <f aca="false">E463*(1+IF(F$3&lt;=$O$2,$D463,$D463-($D463-$I$454)*MIN(F$3-$O$2,$Q$2)/$Q$2))</f>
        <v>11243.4393310547</v>
      </c>
      <c r="G463" s="15" t="n">
        <f aca="false">F463*(1+IF(G$3&lt;=$O$2,$D463,$D463-($D463-$I$454)*MIN(G$3-$O$2,$Q$2)/$Q$2))</f>
        <v>13197.8653085232</v>
      </c>
      <c r="H463" s="15" t="n">
        <f aca="false">G463*(1+IF(H$3&lt;=$O$2,$D463,$D463-($D463-$I$454)*MIN(H$3-$O$2,$Q$2)/$Q$2))</f>
        <v>15492.0254891063</v>
      </c>
      <c r="I463" s="15" t="n">
        <f aca="false">H463*(1+IF(I$3&lt;=$O$2,$D463,$D463-($D463-$I$454)*MIN(I$3-$O$2,$Q$2)/$Q$2))</f>
        <v>18184.9752323299</v>
      </c>
      <c r="J463" s="15" t="n">
        <f aca="false">I463*(1+IF(J$3&lt;=$O$2,$D463,$D463-($D463-$I$454)*MIN(J$3-$O$2,$Q$2)/$Q$2))</f>
        <v>20780.3803599261</v>
      </c>
      <c r="K463" s="15" t="n">
        <f aca="false">J463*(1+IF(K$3&lt;=$O$2,$D463,$D463-($D463-$I$454)*MIN(K$3-$O$2,$Q$2)/$Q$2))</f>
        <v>23099.8214770124</v>
      </c>
      <c r="L463" s="15" t="n">
        <f aca="false">K463*(1+IF(L$3&lt;=$O$2,$D463,$D463-($D463-$I$454)*MIN(L$3-$O$2,$Q$2)/$Q$2))</f>
        <v>24959.6169789035</v>
      </c>
      <c r="M463" s="15" t="n">
        <f aca="false">L463*(1+IF(M$3&lt;=$O$2,$D463,$D463-($D463-$I$454)*MIN(M$3-$O$2,$Q$2)/$Q$2))</f>
        <v>26192.7624555068</v>
      </c>
      <c r="N463" s="15" t="n">
        <f aca="false">M463*(1+IF(N$3&lt;=$O$2,$D463,$D463-($D463-$I$454)*MIN(N$3-$O$2,$Q$2)/$Q$2))</f>
        <v>26672.0900084426</v>
      </c>
      <c r="O463" s="15" t="n">
        <f aca="false">SUMPRODUCT(E463:N463,1/(1+$F$454)^$E$3:$N$3)*$E$2</f>
        <v>40325.8732111876</v>
      </c>
      <c r="P463" s="15" t="n">
        <f aca="false">N463*$E$2*(1+$I$454)/($F$454-$I$454)/(1+$F$454)^$N$3</f>
        <v>48325.972421899</v>
      </c>
      <c r="Q463" s="15" t="n">
        <f aca="false">O463+P463</f>
        <v>88651.8456330866</v>
      </c>
      <c r="R463" s="15" t="n">
        <f aca="false">Q463-$G$2+$I$2</f>
        <v>82531.8456330866</v>
      </c>
      <c r="S463" s="42" t="n">
        <f aca="false">R463/$K$2</f>
        <v>476.566841627709</v>
      </c>
      <c r="T463" s="43" t="n">
        <f aca="false">S463-$M$2</f>
        <v>12.4254858129496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0.16796875</v>
      </c>
      <c r="C464" s="25" t="n">
        <f aca="false">IF(T463&gt;0,D463,C463)</f>
        <v>0.173828125</v>
      </c>
      <c r="D464" s="41" t="n">
        <f aca="false">(B464+C464)/2</f>
        <v>0.1708984375</v>
      </c>
      <c r="E464" s="15" t="n">
        <f aca="false">$C$2*(1+IF(E$3&lt;=$O$2,$D464,$D464-($D464-$I$454)*MIN(E$3-$O$2,$Q$2)/$Q$2))</f>
        <v>9554.53125</v>
      </c>
      <c r="F464" s="15" t="n">
        <f aca="false">E464*(1+IF(F$3&lt;=$O$2,$D464,$D464-($D464-$I$454)*MIN(F$3-$O$2,$Q$2)/$Q$2))</f>
        <v>11187.3857116699</v>
      </c>
      <c r="G464" s="15" t="n">
        <f aca="false">F464*(1+IF(G$3&lt;=$O$2,$D464,$D464-($D464-$I$454)*MIN(G$3-$O$2,$Q$2)/$Q$2))</f>
        <v>13099.2924495041</v>
      </c>
      <c r="H464" s="15" t="n">
        <f aca="false">G464*(1+IF(H$3&lt;=$O$2,$D464,$D464-($D464-$I$454)*MIN(H$3-$O$2,$Q$2)/$Q$2))</f>
        <v>15337.9410614799</v>
      </c>
      <c r="I464" s="15" t="n">
        <f aca="false">H464*(1+IF(I$3&lt;=$O$2,$D464,$D464-($D464-$I$454)*MIN(I$3-$O$2,$Q$2)/$Q$2))</f>
        <v>17959.171223354</v>
      </c>
      <c r="J464" s="15" t="n">
        <f aca="false">I464*(1+IF(J$3&lt;=$O$2,$D464,$D464-($D464-$I$454)*MIN(J$3-$O$2,$Q$2)/$Q$2))</f>
        <v>20480.2572307244</v>
      </c>
      <c r="K464" s="15" t="n">
        <f aca="false">J464*(1+IF(K$3&lt;=$O$2,$D464,$D464-($D464-$I$454)*MIN(K$3-$O$2,$Q$2)/$Q$2))</f>
        <v>22730.1990898506</v>
      </c>
      <c r="L464" s="15" t="n">
        <f aca="false">K464*(1+IF(L$3&lt;=$O$2,$D464,$D464-($D464-$I$454)*MIN(L$3-$O$2,$Q$2)/$Q$2))</f>
        <v>24533.5988792649</v>
      </c>
      <c r="M464" s="15" t="n">
        <f aca="false">L464*(1+IF(M$3&lt;=$O$2,$D464,$D464-($D464-$I$454)*MIN(M$3-$O$2,$Q$2)/$Q$2))</f>
        <v>25731.321509801</v>
      </c>
      <c r="N464" s="15" t="n">
        <f aca="false">M464*(1+IF(N$3&lt;=$O$2,$D464,$D464-($D464-$I$454)*MIN(N$3-$O$2,$Q$2)/$Q$2))</f>
        <v>26202.2046934303</v>
      </c>
      <c r="O464" s="15" t="n">
        <f aca="false">SUMPRODUCT(E464:N464,1/(1+$F$454)^$E$3:$N$3)*$E$2</f>
        <v>39824.929605767</v>
      </c>
      <c r="P464" s="15" t="n">
        <f aca="false">N464*$E$2*(1+$I$454)/($F$454-$I$454)/(1+$F$454)^$N$3</f>
        <v>47474.6081393268</v>
      </c>
      <c r="Q464" s="15" t="n">
        <f aca="false">O464+P464</f>
        <v>87299.5377450937</v>
      </c>
      <c r="R464" s="15" t="n">
        <f aca="false">Q464-$G$2+$I$2</f>
        <v>81179.5377450937</v>
      </c>
      <c r="S464" s="42" t="n">
        <f aca="false">R464/$K$2</f>
        <v>468.758157668863</v>
      </c>
      <c r="T464" s="43" t="n">
        <f aca="false">S464-$M$2</f>
        <v>4.61680185410393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0.16796875</v>
      </c>
      <c r="C465" s="25" t="n">
        <f aca="false">IF(T464&gt;0,D464,C464)</f>
        <v>0.1708984375</v>
      </c>
      <c r="D465" s="41" t="n">
        <f aca="false">(B465+C465)/2</f>
        <v>0.16943359375</v>
      </c>
      <c r="E465" s="15" t="n">
        <f aca="false">$C$2*(1+IF(E$3&lt;=$O$2,$D465,$D465-($D465-$I$454)*MIN(E$3-$O$2,$Q$2)/$Q$2))</f>
        <v>9542.578125</v>
      </c>
      <c r="F465" s="15" t="n">
        <f aca="false">E465*(1+IF(F$3&lt;=$O$2,$D465,$D465-($D465-$I$454)*MIN(F$3-$O$2,$Q$2)/$Q$2))</f>
        <v>11159.4114303589</v>
      </c>
      <c r="G465" s="15" t="n">
        <f aca="false">F465*(1+IF(G$3&lt;=$O$2,$D465,$D465-($D465-$I$454)*MIN(G$3-$O$2,$Q$2)/$Q$2))</f>
        <v>13050.1906131394</v>
      </c>
      <c r="H465" s="15" t="n">
        <f aca="false">G465*(1+IF(H$3&lt;=$O$2,$D465,$D465-($D465-$I$454)*MIN(H$3-$O$2,$Q$2)/$Q$2))</f>
        <v>15261.3313078461</v>
      </c>
      <c r="I465" s="15" t="n">
        <f aca="false">H465*(1+IF(I$3&lt;=$O$2,$D465,$D465-($D465-$I$454)*MIN(I$3-$O$2,$Q$2)/$Q$2))</f>
        <v>17847.1135167439</v>
      </c>
      <c r="J465" s="15" t="n">
        <f aca="false">I465*(1+IF(J$3&lt;=$O$2,$D465,$D465-($D465-$I$454)*MIN(J$3-$O$2,$Q$2)/$Q$2))</f>
        <v>20331.5544171801</v>
      </c>
      <c r="K465" s="15" t="n">
        <f aca="false">J465*(1+IF(K$3&lt;=$O$2,$D465,$D465-($D465-$I$454)*MIN(K$3-$O$2,$Q$2)/$Q$2))</f>
        <v>22547.2903943698</v>
      </c>
      <c r="L465" s="15" t="n">
        <f aca="false">K465*(1+IF(L$3&lt;=$O$2,$D465,$D465-($D465-$I$454)*MIN(L$3-$O$2,$Q$2)/$Q$2))</f>
        <v>24322.9670192371</v>
      </c>
      <c r="M465" s="15" t="n">
        <f aca="false">L465*(1+IF(M$3&lt;=$O$2,$D465,$D465-($D465-$I$454)*MIN(M$3-$O$2,$Q$2)/$Q$2))</f>
        <v>25503.2807989452</v>
      </c>
      <c r="N465" s="15" t="n">
        <f aca="false">M465*(1+IF(N$3&lt;=$O$2,$D465,$D465-($D465-$I$454)*MIN(N$3-$O$2,$Q$2)/$Q$2))</f>
        <v>25969.9908375658</v>
      </c>
      <c r="O465" s="15" t="n">
        <f aca="false">SUMPRODUCT(E465:N465,1/(1+$F$454)^$E$3:$N$3)*$E$2</f>
        <v>39576.7465715368</v>
      </c>
      <c r="P465" s="15" t="n">
        <f aca="false">N465*$E$2*(1+$I$454)/($F$454-$I$454)/(1+$F$454)^$N$3</f>
        <v>47053.8701922466</v>
      </c>
      <c r="Q465" s="15" t="n">
        <f aca="false">O465+P465</f>
        <v>86630.6167637835</v>
      </c>
      <c r="R465" s="15" t="n">
        <f aca="false">Q465-$G$2+$I$2</f>
        <v>80510.6167637835</v>
      </c>
      <c r="S465" s="42" t="n">
        <f aca="false">R465/$K$2</f>
        <v>464.895581266794</v>
      </c>
      <c r="T465" s="43" t="n">
        <f aca="false">S465-$M$2</f>
        <v>0.7542254520352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0.16796875</v>
      </c>
      <c r="C466" s="25" t="n">
        <f aca="false">IF(T465&gt;0,D465,C465)</f>
        <v>0.16943359375</v>
      </c>
      <c r="D466" s="41" t="n">
        <f aca="false">(B466+C466)/2</f>
        <v>0.168701171875</v>
      </c>
      <c r="E466" s="15" t="n">
        <f aca="false">$C$2*(1+IF(E$3&lt;=$O$2,$D466,$D466-($D466-$I$454)*MIN(E$3-$O$2,$Q$2)/$Q$2))</f>
        <v>9536.6015625</v>
      </c>
      <c r="F466" s="15" t="n">
        <f aca="false">E466*(1+IF(F$3&lt;=$O$2,$D466,$D466-($D466-$I$454)*MIN(F$3-$O$2,$Q$2)/$Q$2))</f>
        <v>11145.4374217987</v>
      </c>
      <c r="G466" s="15" t="n">
        <f aca="false">F466*(1+IF(G$3&lt;=$O$2,$D466,$D466-($D466-$I$454)*MIN(G$3-$O$2,$Q$2)/$Q$2))</f>
        <v>13025.6857759156</v>
      </c>
      <c r="H466" s="15" t="n">
        <f aca="false">G466*(1+IF(H$3&lt;=$O$2,$D466,$D466-($D466-$I$454)*MIN(H$3-$O$2,$Q$2)/$Q$2))</f>
        <v>15223.1342307881</v>
      </c>
      <c r="I466" s="15" t="n">
        <f aca="false">H466*(1+IF(I$3&lt;=$O$2,$D466,$D466-($D466-$I$454)*MIN(I$3-$O$2,$Q$2)/$Q$2))</f>
        <v>17791.2948151325</v>
      </c>
      <c r="J466" s="15" t="n">
        <f aca="false">I466*(1+IF(J$3&lt;=$O$2,$D466,$D466-($D466-$I$454)*MIN(J$3-$O$2,$Q$2)/$Q$2))</f>
        <v>20257.5407817451</v>
      </c>
      <c r="K466" s="15" t="n">
        <f aca="false">J466*(1+IF(K$3&lt;=$O$2,$D466,$D466-($D466-$I$454)*MIN(K$3-$O$2,$Q$2)/$Q$2))</f>
        <v>22456.308501779</v>
      </c>
      <c r="L466" s="15" t="n">
        <f aca="false">K466*(1+IF(L$3&lt;=$O$2,$D466,$D466-($D466-$I$454)*MIN(L$3-$O$2,$Q$2)/$Q$2))</f>
        <v>24218.2409932232</v>
      </c>
      <c r="M466" s="15" t="n">
        <f aca="false">L466*(1+IF(M$3&lt;=$O$2,$D466,$D466-($D466-$I$454)*MIN(M$3-$O$2,$Q$2)/$Q$2))</f>
        <v>25389.9251686256</v>
      </c>
      <c r="N466" s="15" t="n">
        <f aca="false">M466*(1+IF(N$3&lt;=$O$2,$D466,$D466-($D466-$I$454)*MIN(N$3-$O$2,$Q$2)/$Q$2))</f>
        <v>25854.5607992114</v>
      </c>
      <c r="O466" s="15" t="n">
        <f aca="false">SUMPRODUCT(E466:N466,1/(1+$F$454)^$E$3:$N$3)*$E$2</f>
        <v>39453.2235137899</v>
      </c>
      <c r="P466" s="15" t="n">
        <f aca="false">N466*$E$2*(1+$I$454)/($F$454-$I$454)/(1+$F$454)^$N$3</f>
        <v>46844.7276447969</v>
      </c>
      <c r="Q466" s="15" t="n">
        <f aca="false">O466+P466</f>
        <v>86297.9511585867</v>
      </c>
      <c r="R466" s="15" t="n">
        <f aca="false">Q466-$G$2+$I$2</f>
        <v>80177.9511585867</v>
      </c>
      <c r="S466" s="42" t="n">
        <f aca="false">R466/$K$2</f>
        <v>462.974657342573</v>
      </c>
      <c r="T466" s="43" t="n">
        <f aca="false">S466-$M$2</f>
        <v>-1.16669847218657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0.168701171875</v>
      </c>
      <c r="C467" s="25" t="n">
        <f aca="false">IF(T466&gt;0,D466,C466)</f>
        <v>0.16943359375</v>
      </c>
      <c r="D467" s="41" t="n">
        <f aca="false">(B467+C467)/2</f>
        <v>0.1690673828125</v>
      </c>
      <c r="E467" s="15" t="n">
        <f aca="false">$C$2*(1+IF(E$3&lt;=$O$2,$D467,$D467-($D467-$I$454)*MIN(E$3-$O$2,$Q$2)/$Q$2))</f>
        <v>9539.58984375</v>
      </c>
      <c r="F467" s="15" t="n">
        <f aca="false">E467*(1+IF(F$3&lt;=$O$2,$D467,$D467-($D467-$I$454)*MIN(F$3-$O$2,$Q$2)/$Q$2))</f>
        <v>11152.4233317375</v>
      </c>
      <c r="G467" s="15" t="n">
        <f aca="false">F467*(1+IF(G$3&lt;=$O$2,$D467,$D467-($D467-$I$454)*MIN(G$3-$O$2,$Q$2)/$Q$2))</f>
        <v>13037.9343564514</v>
      </c>
      <c r="H467" s="15" t="n">
        <f aca="false">G467*(1+IF(H$3&lt;=$O$2,$D467,$D467-($D467-$I$454)*MIN(H$3-$O$2,$Q$2)/$Q$2))</f>
        <v>15242.2237953779</v>
      </c>
      <c r="I467" s="15" t="n">
        <f aca="false">H467*(1+IF(I$3&lt;=$O$2,$D467,$D467-($D467-$I$454)*MIN(I$3-$O$2,$Q$2)/$Q$2))</f>
        <v>17819.1866807048</v>
      </c>
      <c r="J467" s="15" t="n">
        <f aca="false">I467*(1+IF(J$3&lt;=$O$2,$D467,$D467-($D467-$I$454)*MIN(J$3-$O$2,$Q$2)/$Q$2))</f>
        <v>20294.5195087195</v>
      </c>
      <c r="K467" s="15" t="n">
        <f aca="false">J467*(1+IF(K$3&lt;=$O$2,$D467,$D467-($D467-$I$454)*MIN(K$3-$O$2,$Q$2)/$Q$2))</f>
        <v>22501.7601707892</v>
      </c>
      <c r="L467" s="15" t="n">
        <f aca="false">K467*(1+IF(L$3&lt;=$O$2,$D467,$D467-($D467-$I$454)*MIN(L$3-$O$2,$Q$2)/$Q$2))</f>
        <v>24270.5549777644</v>
      </c>
      <c r="M467" s="15" t="n">
        <f aca="false">L467*(1+IF(M$3&lt;=$O$2,$D467,$D467-($D467-$I$454)*MIN(M$3-$O$2,$Q$2)/$Q$2))</f>
        <v>25446.5477445384</v>
      </c>
      <c r="N467" s="15" t="n">
        <f aca="false">M467*(1+IF(N$3&lt;=$O$2,$D467,$D467-($D467-$I$454)*MIN(N$3-$O$2,$Q$2)/$Q$2))</f>
        <v>25912.2195682634</v>
      </c>
      <c r="O467" s="15" t="n">
        <f aca="false">SUMPRODUCT(E467:N467,1/(1+$F$454)^$E$3:$N$3)*$E$2</f>
        <v>39514.9377817065</v>
      </c>
      <c r="P467" s="15" t="n">
        <f aca="false">N467*$E$2*(1+$I$454)/($F$454-$I$454)/(1+$F$454)^$N$3</f>
        <v>46949.1970014242</v>
      </c>
      <c r="Q467" s="15" t="n">
        <f aca="false">O467+P467</f>
        <v>86464.1347831306</v>
      </c>
      <c r="R467" s="15" t="n">
        <f aca="false">Q467-$G$2+$I$2</f>
        <v>80344.1347831306</v>
      </c>
      <c r="S467" s="42" t="n">
        <f aca="false">R467/$K$2</f>
        <v>463.93425790005</v>
      </c>
      <c r="T467" s="43" t="n">
        <f aca="false">S467-$M$2</f>
        <v>-0.20709791470955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0.1690673828125</v>
      </c>
      <c r="C468" s="25" t="n">
        <f aca="false">IF(T467&gt;0,D467,C467)</f>
        <v>0.16943359375</v>
      </c>
      <c r="D468" s="41" t="n">
        <f aca="false">(B468+C468)/2</f>
        <v>0.16925048828125</v>
      </c>
      <c r="E468" s="15" t="n">
        <f aca="false">$C$2*(1+IF(E$3&lt;=$O$2,$D468,$D468-($D468-$I$454)*MIN(E$3-$O$2,$Q$2)/$Q$2))</f>
        <v>9541.083984375</v>
      </c>
      <c r="F468" s="15" t="n">
        <f aca="false">E468*(1+IF(F$3&lt;=$O$2,$D468,$D468-($D468-$I$454)*MIN(F$3-$O$2,$Q$2)/$Q$2))</f>
        <v>11155.9171074629</v>
      </c>
      <c r="G468" s="15" t="n">
        <f aca="false">F468*(1+IF(G$3&lt;=$O$2,$D468,$D468-($D468-$I$454)*MIN(G$3-$O$2,$Q$2)/$Q$2))</f>
        <v>13044.0615251261</v>
      </c>
      <c r="H468" s="15" t="n">
        <f aca="false">G468*(1+IF(H$3&lt;=$O$2,$D468,$D468-($D468-$I$454)*MIN(H$3-$O$2,$Q$2)/$Q$2))</f>
        <v>15251.7753074244</v>
      </c>
      <c r="I468" s="15" t="n">
        <f aca="false">H468*(1+IF(I$3&lt;=$O$2,$D468,$D468-($D468-$I$454)*MIN(I$3-$O$2,$Q$2)/$Q$2))</f>
        <v>17833.1457253619</v>
      </c>
      <c r="J468" s="15" t="n">
        <f aca="false">I468*(1+IF(J$3&lt;=$O$2,$D468,$D468-($D468-$I$454)*MIN(J$3-$O$2,$Q$2)/$Q$2))</f>
        <v>20313.0299360033</v>
      </c>
      <c r="K468" s="15" t="n">
        <f aca="false">J468*(1+IF(K$3&lt;=$O$2,$D468,$D468-($D468-$I$454)*MIN(K$3-$O$2,$Q$2)/$Q$2))</f>
        <v>22524.5154562189</v>
      </c>
      <c r="L468" s="15" t="n">
        <f aca="false">K468*(1+IF(L$3&lt;=$O$2,$D468,$D468-($D468-$I$454)*MIN(L$3-$O$2,$Q$2)/$Q$2))</f>
        <v>24296.7487316336</v>
      </c>
      <c r="M468" s="15" t="n">
        <f aca="false">L468*(1+IF(M$3&lt;=$O$2,$D468,$D468-($D468-$I$454)*MIN(M$3-$O$2,$Q$2)/$Q$2))</f>
        <v>25474.9004503599</v>
      </c>
      <c r="N468" s="15" t="n">
        <f aca="false">M468*(1+IF(N$3&lt;=$O$2,$D468,$D468-($D468-$I$454)*MIN(N$3-$O$2,$Q$2)/$Q$2))</f>
        <v>25941.0911286015</v>
      </c>
      <c r="O468" s="15" t="n">
        <f aca="false">SUMPRODUCT(E468:N468,1/(1+$F$454)^$E$3:$N$3)*$E$2</f>
        <v>39545.8303530945</v>
      </c>
      <c r="P468" s="15" t="n">
        <f aca="false">N468*$E$2*(1+$I$454)/($F$454-$I$454)/(1+$F$454)^$N$3</f>
        <v>47001.508096214</v>
      </c>
      <c r="Q468" s="15" t="n">
        <f aca="false">O468+P468</f>
        <v>86547.3384493085</v>
      </c>
      <c r="R468" s="15" t="n">
        <f aca="false">Q468-$G$2+$I$2</f>
        <v>80427.3384493085</v>
      </c>
      <c r="S468" s="42" t="n">
        <f aca="false">R468/$K$2</f>
        <v>464.414704061141</v>
      </c>
      <c r="T468" s="43" t="n">
        <f aca="false">S468-$M$2</f>
        <v>0.273348246382227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0.1690673828125</v>
      </c>
      <c r="C469" s="25" t="n">
        <f aca="false">IF(T468&gt;0,D468,C468)</f>
        <v>0.16925048828125</v>
      </c>
      <c r="D469" s="41" t="n">
        <f aca="false">(B469+C469)/2</f>
        <v>0.169158935546875</v>
      </c>
      <c r="E469" s="15" t="n">
        <f aca="false">$C$2*(1+IF(E$3&lt;=$O$2,$D469,$D469-($D469-$I$454)*MIN(E$3-$O$2,$Q$2)/$Q$2))</f>
        <v>9540.3369140625</v>
      </c>
      <c r="F469" s="15" t="n">
        <f aca="false">E469*(1+IF(F$3&lt;=$O$2,$D469,$D469-($D469-$I$454)*MIN(F$3-$O$2,$Q$2)/$Q$2))</f>
        <v>11154.1701512039</v>
      </c>
      <c r="G469" s="15" t="n">
        <f aca="false">F469*(1+IF(G$3&lt;=$O$2,$D469,$D469-($D469-$I$454)*MIN(G$3-$O$2,$Q$2)/$Q$2))</f>
        <v>13040.9977008902</v>
      </c>
      <c r="H469" s="15" t="n">
        <f aca="false">G469*(1+IF(H$3&lt;=$O$2,$D469,$D469-($D469-$I$454)*MIN(H$3-$O$2,$Q$2)/$Q$2))</f>
        <v>15246.9989904421</v>
      </c>
      <c r="I469" s="15" t="n">
        <f aca="false">H469*(1+IF(I$3&lt;=$O$2,$D469,$D469-($D469-$I$454)*MIN(I$3-$O$2,$Q$2)/$Q$2))</f>
        <v>17826.1651099495</v>
      </c>
      <c r="J469" s="15" t="n">
        <f aca="false">I469*(1+IF(J$3&lt;=$O$2,$D469,$D469-($D469-$I$454)*MIN(J$3-$O$2,$Q$2)/$Q$2))</f>
        <v>20303.7729661575</v>
      </c>
      <c r="K469" s="15" t="n">
        <f aca="false">J469*(1+IF(K$3&lt;=$O$2,$D469,$D469-($D469-$I$454)*MIN(K$3-$O$2,$Q$2)/$Q$2))</f>
        <v>22513.1353577941</v>
      </c>
      <c r="L469" s="15" t="n">
        <f aca="false">K469*(1+IF(L$3&lt;=$O$2,$D469,$D469-($D469-$I$454)*MIN(L$3-$O$2,$Q$2)/$Q$2))</f>
        <v>24283.6487892016</v>
      </c>
      <c r="M469" s="15" t="n">
        <f aca="false">L469*(1+IF(M$3&lt;=$O$2,$D469,$D469-($D469-$I$454)*MIN(M$3-$O$2,$Q$2)/$Q$2))</f>
        <v>25460.7206435506</v>
      </c>
      <c r="N469" s="15" t="n">
        <f aca="false">M469*(1+IF(N$3&lt;=$O$2,$D469,$D469-($D469-$I$454)*MIN(N$3-$O$2,$Q$2)/$Q$2))</f>
        <v>25926.6518313276</v>
      </c>
      <c r="O469" s="15" t="n">
        <f aca="false">SUMPRODUCT(E469:N469,1/(1+$F$454)^$E$3:$N$3)*$E$2</f>
        <v>39530.381112555</v>
      </c>
      <c r="P469" s="15" t="n">
        <f aca="false">N469*$E$2*(1+$I$454)/($F$454-$I$454)/(1+$F$454)^$N$3</f>
        <v>46975.3461763333</v>
      </c>
      <c r="Q469" s="15" t="n">
        <f aca="false">O469+P469</f>
        <v>86505.7272888884</v>
      </c>
      <c r="R469" s="15" t="n">
        <f aca="false">Q469-$G$2+$I$2</f>
        <v>80385.7272888884</v>
      </c>
      <c r="S469" s="42" t="n">
        <f aca="false">R469/$K$2</f>
        <v>464.174427121425</v>
      </c>
      <c r="T469" s="43" t="n">
        <f aca="false">S469-$M$2</f>
        <v>0.0330713066655903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0.1690673828125</v>
      </c>
      <c r="C470" s="25" t="n">
        <f aca="false">IF(T469&gt;0,D469,C469)</f>
        <v>0.169158935546875</v>
      </c>
      <c r="D470" s="41" t="n">
        <f aca="false">(B470+C470)/2</f>
        <v>0.169113159179688</v>
      </c>
      <c r="E470" s="15" t="n">
        <f aca="false">$C$2*(1+IF(E$3&lt;=$O$2,$D470,$D470-($D470-$I$454)*MIN(E$3-$O$2,$Q$2)/$Q$2))</f>
        <v>9539.96337890625</v>
      </c>
      <c r="F470" s="15" t="n">
        <f aca="false">E470*(1+IF(F$3&lt;=$O$2,$D470,$D470-($D470-$I$454)*MIN(F$3-$O$2,$Q$2)/$Q$2))</f>
        <v>11153.2967243716</v>
      </c>
      <c r="G470" s="15" t="n">
        <f aca="false">F470*(1+IF(G$3&lt;=$O$2,$D470,$D470-($D470-$I$454)*MIN(G$3-$O$2,$Q$2)/$Q$2))</f>
        <v>13039.4659686986</v>
      </c>
      <c r="H470" s="15" t="n">
        <f aca="false">G470*(1+IF(H$3&lt;=$O$2,$D470,$D470-($D470-$I$454)*MIN(H$3-$O$2,$Q$2)/$Q$2))</f>
        <v>15244.6112526812</v>
      </c>
      <c r="I470" s="15" t="n">
        <f aca="false">H470*(1+IF(I$3&lt;=$O$2,$D470,$D470-($D470-$I$454)*MIN(I$3-$O$2,$Q$2)/$Q$2))</f>
        <v>17822.6756220883</v>
      </c>
      <c r="J470" s="15" t="n">
        <f aca="false">I470*(1+IF(J$3&lt;=$O$2,$D470,$D470-($D470-$I$454)*MIN(J$3-$O$2,$Q$2)/$Q$2))</f>
        <v>20299.1457984541</v>
      </c>
      <c r="K470" s="15" t="n">
        <f aca="false">J470*(1+IF(K$3&lt;=$O$2,$D470,$D470-($D470-$I$454)*MIN(K$3-$O$2,$Q$2)/$Q$2))</f>
        <v>22507.4471504742</v>
      </c>
      <c r="L470" s="15" t="n">
        <f aca="false">K470*(1+IF(L$3&lt;=$O$2,$D470,$D470-($D470-$I$454)*MIN(L$3-$O$2,$Q$2)/$Q$2))</f>
        <v>24277.101117261</v>
      </c>
      <c r="M470" s="15" t="n">
        <f aca="false">L470*(1+IF(M$3&lt;=$O$2,$D470,$D470-($D470-$I$454)*MIN(M$3-$O$2,$Q$2)/$Q$2))</f>
        <v>25453.6333307506</v>
      </c>
      <c r="N470" s="15" t="n">
        <f aca="false">M470*(1+IF(N$3&lt;=$O$2,$D470,$D470-($D470-$I$454)*MIN(N$3-$O$2,$Q$2)/$Q$2))</f>
        <v>25919.4348207034</v>
      </c>
      <c r="O470" s="15" t="n">
        <f aca="false">SUMPRODUCT(E470:N470,1/(1+$F$454)^$E$3:$N$3)*$E$2</f>
        <v>39522.6587085489</v>
      </c>
      <c r="P470" s="15" t="n">
        <f aca="false">N470*$E$2*(1+$I$454)/($F$454-$I$454)/(1+$F$454)^$N$3</f>
        <v>46962.2699960909</v>
      </c>
      <c r="Q470" s="15" t="n">
        <f aca="false">O470+P470</f>
        <v>86484.9287046398</v>
      </c>
      <c r="R470" s="15" t="n">
        <f aca="false">Q470-$G$2+$I$2</f>
        <v>80364.9287046398</v>
      </c>
      <c r="S470" s="42" t="n">
        <f aca="false">R470/$K$2</f>
        <v>464.054329048619</v>
      </c>
      <c r="T470" s="43" t="n">
        <f aca="false">S470-$M$2</f>
        <v>-0.0870267661405819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0.169113159179688</v>
      </c>
      <c r="C471" s="25" t="n">
        <f aca="false">IF(T470&gt;0,D470,C470)</f>
        <v>0.169158935546875</v>
      </c>
      <c r="D471" s="41" t="n">
        <f aca="false">(B471+C471)/2</f>
        <v>0.169136047363281</v>
      </c>
      <c r="E471" s="15" t="n">
        <f aca="false">$C$2*(1+IF(E$3&lt;=$O$2,$D471,$D471-($D471-$I$454)*MIN(E$3-$O$2,$Q$2)/$Q$2))</f>
        <v>9540.15014648438</v>
      </c>
      <c r="F471" s="15" t="n">
        <f aca="false">E471*(1+IF(F$3&lt;=$O$2,$D471,$D471-($D471-$I$454)*MIN(F$3-$O$2,$Q$2)/$Q$2))</f>
        <v>11153.733433513</v>
      </c>
      <c r="G471" s="15" t="n">
        <f aca="false">F471*(1+IF(G$3&lt;=$O$2,$D471,$D471-($D471-$I$454)*MIN(G$3-$O$2,$Q$2)/$Q$2))</f>
        <v>13040.231819801</v>
      </c>
      <c r="H471" s="15" t="n">
        <f aca="false">G471*(1+IF(H$3&lt;=$O$2,$D471,$D471-($D471-$I$454)*MIN(H$3-$O$2,$Q$2)/$Q$2))</f>
        <v>15245.8050865031</v>
      </c>
      <c r="I471" s="15" t="n">
        <f aca="false">H471*(1+IF(I$3&lt;=$O$2,$D471,$D471-($D471-$I$454)*MIN(I$3-$O$2,$Q$2)/$Q$2))</f>
        <v>17824.4202977052</v>
      </c>
      <c r="J471" s="15" t="n">
        <f aca="false">I471*(1+IF(J$3&lt;=$O$2,$D471,$D471-($D471-$I$454)*MIN(J$3-$O$2,$Q$2)/$Q$2))</f>
        <v>20301.4592725514</v>
      </c>
      <c r="K471" s="15" t="n">
        <f aca="false">J471*(1+IF(K$3&lt;=$O$2,$D471,$D471-($D471-$I$454)*MIN(K$3-$O$2,$Q$2)/$Q$2))</f>
        <v>22510.291100666</v>
      </c>
      <c r="L471" s="15" t="n">
        <f aca="false">K471*(1+IF(L$3&lt;=$O$2,$D471,$D471-($D471-$I$454)*MIN(L$3-$O$2,$Q$2)/$Q$2))</f>
        <v>24280.3747616567</v>
      </c>
      <c r="M471" s="15" t="n">
        <f aca="false">L471*(1+IF(M$3&lt;=$O$2,$D471,$D471-($D471-$I$454)*MIN(M$3-$O$2,$Q$2)/$Q$2))</f>
        <v>25457.1767713046</v>
      </c>
      <c r="N471" s="15" t="n">
        <f aca="false">M471*(1+IF(N$3&lt;=$O$2,$D471,$D471-($D471-$I$454)*MIN(N$3-$O$2,$Q$2)/$Q$2))</f>
        <v>25923.0431062194</v>
      </c>
      <c r="O471" s="15" t="n">
        <f aca="false">SUMPRODUCT(E471:N471,1/(1+$F$454)^$E$3:$N$3)*$E$2</f>
        <v>39526.5197258903</v>
      </c>
      <c r="P471" s="15" t="n">
        <f aca="false">N471*$E$2*(1+$I$454)/($F$454-$I$454)/(1+$F$454)^$N$3</f>
        <v>46968.8076879734</v>
      </c>
      <c r="Q471" s="15" t="n">
        <f aca="false">O471+P471</f>
        <v>86495.3274138638</v>
      </c>
      <c r="R471" s="15" t="n">
        <f aca="false">Q471-$G$2+$I$2</f>
        <v>80375.3274138638</v>
      </c>
      <c r="S471" s="42" t="n">
        <f aca="false">R471/$K$2</f>
        <v>464.114374719158</v>
      </c>
      <c r="T471" s="43" t="n">
        <f aca="false">S471-$M$2</f>
        <v>-0.026981095601343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0.169136047363281</v>
      </c>
      <c r="C472" s="25" t="n">
        <f aca="false">IF(T471&gt;0,D471,C471)</f>
        <v>0.169158935546875</v>
      </c>
      <c r="D472" s="41" t="n">
        <f aca="false">(B472+C472)/2</f>
        <v>0.169147491455078</v>
      </c>
      <c r="E472" s="15" t="n">
        <f aca="false">$C$2*(1+IF(E$3&lt;=$O$2,$D472,$D472-($D472-$I$454)*MIN(E$3-$O$2,$Q$2)/$Q$2))</f>
        <v>9540.24353027344</v>
      </c>
      <c r="F472" s="15" t="n">
        <f aca="false">E472*(1+IF(F$3&lt;=$O$2,$D472,$D472-($D472-$I$454)*MIN(F$3-$O$2,$Q$2)/$Q$2))</f>
        <v>11153.9517912897</v>
      </c>
      <c r="G472" s="15" t="n">
        <f aca="false">F472*(1+IF(G$3&lt;=$O$2,$D472,$D472-($D472-$I$454)*MIN(G$3-$O$2,$Q$2)/$Q$2))</f>
        <v>13040.6147565973</v>
      </c>
      <c r="H472" s="15" t="n">
        <f aca="false">G472*(1+IF(H$3&lt;=$O$2,$D472,$D472-($D472-$I$454)*MIN(H$3-$O$2,$Q$2)/$Q$2))</f>
        <v>15246.4020297078</v>
      </c>
      <c r="I472" s="15" t="n">
        <f aca="false">H472*(1+IF(I$3&lt;=$O$2,$D472,$D472-($D472-$I$454)*MIN(I$3-$O$2,$Q$2)/$Q$2))</f>
        <v>17825.2926867484</v>
      </c>
      <c r="J472" s="15" t="n">
        <f aca="false">I472*(1+IF(J$3&lt;=$O$2,$D472,$D472-($D472-$I$454)*MIN(J$3-$O$2,$Q$2)/$Q$2))</f>
        <v>20302.6160919148</v>
      </c>
      <c r="K472" s="15" t="n">
        <f aca="false">J472*(1+IF(K$3&lt;=$O$2,$D472,$D472-($D472-$I$454)*MIN(K$3-$O$2,$Q$2)/$Q$2))</f>
        <v>22511.7131908613</v>
      </c>
      <c r="L472" s="15" t="n">
        <f aca="false">K472*(1+IF(L$3&lt;=$O$2,$D472,$D472-($D472-$I$454)*MIN(L$3-$O$2,$Q$2)/$Q$2))</f>
        <v>24282.0117275331</v>
      </c>
      <c r="M472" s="15" t="n">
        <f aca="false">L472*(1+IF(M$3&lt;=$O$2,$D472,$D472-($D472-$I$454)*MIN(M$3-$O$2,$Q$2)/$Q$2))</f>
        <v>25458.9486534632</v>
      </c>
      <c r="N472" s="15" t="n">
        <f aca="false">M472*(1+IF(N$3&lt;=$O$2,$D472,$D472-($D472-$I$454)*MIN(N$3-$O$2,$Q$2)/$Q$2))</f>
        <v>25924.8474138216</v>
      </c>
      <c r="O472" s="15" t="n">
        <f aca="false">SUMPRODUCT(E472:N472,1/(1+$F$454)^$E$3:$N$3)*$E$2</f>
        <v>39528.4503730552</v>
      </c>
      <c r="P472" s="15" t="n">
        <f aca="false">N472*$E$2*(1+$I$454)/($F$454-$I$454)/(1+$F$454)^$N$3</f>
        <v>46972.0768325885</v>
      </c>
      <c r="Q472" s="15" t="n">
        <f aca="false">O472+P472</f>
        <v>86500.5272056437</v>
      </c>
      <c r="R472" s="15" t="n">
        <f aca="false">Q472-$G$2+$I$2</f>
        <v>80380.5272056437</v>
      </c>
      <c r="S472" s="42" t="n">
        <f aca="false">R472/$K$2</f>
        <v>464.144400078784</v>
      </c>
      <c r="T472" s="43" t="n">
        <f aca="false">S472-$M$2</f>
        <v>0.00304426402436775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0.169136047363281</v>
      </c>
      <c r="C473" s="25" t="n">
        <f aca="false">IF(T472&gt;0,D472,C472)</f>
        <v>0.169147491455078</v>
      </c>
      <c r="D473" s="41" t="n">
        <f aca="false">(B473+C473)/2</f>
        <v>0.16914176940918</v>
      </c>
      <c r="E473" s="15" t="n">
        <f aca="false">$C$2*(1+IF(E$3&lt;=$O$2,$D473,$D473-($D473-$I$454)*MIN(E$3-$O$2,$Q$2)/$Q$2))</f>
        <v>9540.19683837891</v>
      </c>
      <c r="F473" s="15" t="n">
        <f aca="false">E473*(1+IF(F$3&lt;=$O$2,$D473,$D473-($D473-$I$454)*MIN(F$3-$O$2,$Q$2)/$Q$2))</f>
        <v>11153.8426121342</v>
      </c>
      <c r="G473" s="15" t="n">
        <f aca="false">F473*(1+IF(G$3&lt;=$O$2,$D473,$D473-($D473-$I$454)*MIN(G$3-$O$2,$Q$2)/$Q$2))</f>
        <v>13040.4232872621</v>
      </c>
      <c r="H473" s="15" t="n">
        <f aca="false">G473*(1+IF(H$3&lt;=$O$2,$D473,$D473-($D473-$I$454)*MIN(H$3-$O$2,$Q$2)/$Q$2))</f>
        <v>15246.1035559142</v>
      </c>
      <c r="I473" s="15" t="n">
        <f aca="false">H473*(1+IF(I$3&lt;=$O$2,$D473,$D473-($D473-$I$454)*MIN(I$3-$O$2,$Q$2)/$Q$2))</f>
        <v>17824.8564879572</v>
      </c>
      <c r="J473" s="15" t="n">
        <f aca="false">I473*(1+IF(J$3&lt;=$O$2,$D473,$D473-($D473-$I$454)*MIN(J$3-$O$2,$Q$2)/$Q$2))</f>
        <v>20302.0376753733</v>
      </c>
      <c r="K473" s="15" t="n">
        <f aca="false">J473*(1+IF(K$3&lt;=$O$2,$D473,$D473-($D473-$I$454)*MIN(K$3-$O$2,$Q$2)/$Q$2))</f>
        <v>22511.0021361717</v>
      </c>
      <c r="L473" s="15" t="n">
        <f aca="false">K473*(1+IF(L$3&lt;=$O$2,$D473,$D473-($D473-$I$454)*MIN(L$3-$O$2,$Q$2)/$Q$2))</f>
        <v>24281.1932326212</v>
      </c>
      <c r="M473" s="15" t="n">
        <f aca="false">L473*(1+IF(M$3&lt;=$O$2,$D473,$D473-($D473-$I$454)*MIN(M$3-$O$2,$Q$2)/$Q$2))</f>
        <v>25458.0626988932</v>
      </c>
      <c r="N473" s="15" t="n">
        <f aca="false">M473*(1+IF(N$3&lt;=$O$2,$D473,$D473-($D473-$I$454)*MIN(N$3-$O$2,$Q$2)/$Q$2))</f>
        <v>25923.9452462829</v>
      </c>
      <c r="O473" s="15" t="n">
        <f aca="false">SUMPRODUCT(E473:N473,1/(1+$F$454)^$E$3:$N$3)*$E$2</f>
        <v>39527.4850379312</v>
      </c>
      <c r="P473" s="15" t="n">
        <f aca="false">N473*$E$2*(1+$I$454)/($F$454-$I$454)/(1+$F$454)^$N$3</f>
        <v>46970.4422353904</v>
      </c>
      <c r="Q473" s="15" t="n">
        <f aca="false">O473+P473</f>
        <v>86497.9272733216</v>
      </c>
      <c r="R473" s="15" t="n">
        <f aca="false">Q473-$G$2+$I$2</f>
        <v>80377.9272733216</v>
      </c>
      <c r="S473" s="42" t="n">
        <f aca="false">R473/$K$2</f>
        <v>464.129387188599</v>
      </c>
      <c r="T473" s="43" t="n">
        <f aca="false">S473-$M$2</f>
        <v>-0.0119686261602396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0.16914176940918</v>
      </c>
      <c r="C474" s="25" t="n">
        <f aca="false">IF(T473&gt;0,D473,C473)</f>
        <v>0.169147491455078</v>
      </c>
      <c r="D474" s="41" t="n">
        <f aca="false">(B474+C474)/2</f>
        <v>0.169144630432129</v>
      </c>
      <c r="E474" s="15" t="n">
        <f aca="false">$C$2*(1+IF(E$3&lt;=$O$2,$D474,$D474-($D474-$I$454)*MIN(E$3-$O$2,$Q$2)/$Q$2))</f>
        <v>9540.22018432617</v>
      </c>
      <c r="F474" s="15" t="n">
        <f aca="false">E474*(1+IF(F$3&lt;=$O$2,$D474,$D474-($D474-$I$454)*MIN(F$3-$O$2,$Q$2)/$Q$2))</f>
        <v>11153.8972016452</v>
      </c>
      <c r="G474" s="15" t="n">
        <f aca="false">F474*(1+IF(G$3&lt;=$O$2,$D474,$D474-($D474-$I$454)*MIN(G$3-$O$2,$Q$2)/$Q$2))</f>
        <v>13040.5190216954</v>
      </c>
      <c r="H474" s="15" t="n">
        <f aca="false">G474*(1+IF(H$3&lt;=$O$2,$D474,$D474-($D474-$I$454)*MIN(H$3-$O$2,$Q$2)/$Q$2))</f>
        <v>15246.2527922632</v>
      </c>
      <c r="I474" s="15" t="n">
        <f aca="false">H474*(1+IF(I$3&lt;=$O$2,$D474,$D474-($D474-$I$454)*MIN(I$3-$O$2,$Q$2)/$Q$2))</f>
        <v>17825.0745862854</v>
      </c>
      <c r="J474" s="15" t="n">
        <f aca="false">I474*(1+IF(J$3&lt;=$O$2,$D474,$D474-($D474-$I$454)*MIN(J$3-$O$2,$Q$2)/$Q$2))</f>
        <v>20302.3268819291</v>
      </c>
      <c r="K474" s="15" t="n">
        <f aca="false">J474*(1+IF(K$3&lt;=$O$2,$D474,$D474-($D474-$I$454)*MIN(K$3-$O$2,$Q$2)/$Q$2))</f>
        <v>22511.3576611185</v>
      </c>
      <c r="L474" s="15" t="n">
        <f aca="false">K474*(1+IF(L$3&lt;=$O$2,$D474,$D474-($D474-$I$454)*MIN(L$3-$O$2,$Q$2)/$Q$2))</f>
        <v>24281.6024770837</v>
      </c>
      <c r="M474" s="15" t="n">
        <f aca="false">L474*(1+IF(M$3&lt;=$O$2,$D474,$D474-($D474-$I$454)*MIN(M$3-$O$2,$Q$2)/$Q$2))</f>
        <v>25458.5056728055</v>
      </c>
      <c r="N474" s="15" t="n">
        <f aca="false">M474*(1+IF(N$3&lt;=$O$2,$D474,$D474-($D474-$I$454)*MIN(N$3-$O$2,$Q$2)/$Q$2))</f>
        <v>25924.3963266178</v>
      </c>
      <c r="O474" s="15" t="n">
        <f aca="false">SUMPRODUCT(E474:N474,1/(1+$F$454)^$E$3:$N$3)*$E$2</f>
        <v>39527.9677026078</v>
      </c>
      <c r="P474" s="15" t="n">
        <f aca="false">N474*$E$2*(1+$I$454)/($F$454-$I$454)/(1+$F$454)^$N$3</f>
        <v>46971.2595277667</v>
      </c>
      <c r="Q474" s="15" t="n">
        <f aca="false">O474+P474</f>
        <v>86499.2272303745</v>
      </c>
      <c r="R474" s="15" t="n">
        <f aca="false">Q474-$G$2+$I$2</f>
        <v>80379.2272303745</v>
      </c>
      <c r="S474" s="42" t="n">
        <f aca="false">R474/$K$2</f>
        <v>464.136893581098</v>
      </c>
      <c r="T474" s="43" t="n">
        <f aca="false">S474-$M$2</f>
        <v>-0.00446223366151344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0.169144630432129</v>
      </c>
      <c r="C475" s="25" t="n">
        <f aca="false">IF(T474&gt;0,D474,C474)</f>
        <v>0.169147491455078</v>
      </c>
      <c r="D475" s="41" t="n">
        <f aca="false">(B475+C475)/2</f>
        <v>0.169146060943604</v>
      </c>
      <c r="E475" s="15" t="n">
        <f aca="false">$C$2*(1+IF(E$3&lt;=$O$2,$D475,$D475-($D475-$I$454)*MIN(E$3-$O$2,$Q$2)/$Q$2))</f>
        <v>9540.23185729981</v>
      </c>
      <c r="F475" s="15" t="n">
        <f aca="false">E475*(1+IF(F$3&lt;=$O$2,$D475,$D475-($D475-$I$454)*MIN(F$3-$O$2,$Q$2)/$Q$2))</f>
        <v>11153.9244964507</v>
      </c>
      <c r="G475" s="15" t="n">
        <f aca="false">F475*(1+IF(G$3&lt;=$O$2,$D475,$D475-($D475-$I$454)*MIN(G$3-$O$2,$Q$2)/$Q$2))</f>
        <v>13040.5668890878</v>
      </c>
      <c r="H475" s="15" t="n">
        <f aca="false">G475*(1+IF(H$3&lt;=$O$2,$D475,$D475-($D475-$I$454)*MIN(H$3-$O$2,$Q$2)/$Q$2))</f>
        <v>15246.3274108485</v>
      </c>
      <c r="I475" s="15" t="n">
        <f aca="false">H475*(1+IF(I$3&lt;=$O$2,$D475,$D475-($D475-$I$454)*MIN(I$3-$O$2,$Q$2)/$Q$2))</f>
        <v>17825.1836362501</v>
      </c>
      <c r="J475" s="15" t="n">
        <f aca="false">I475*(1+IF(J$3&lt;=$O$2,$D475,$D475-($D475-$I$454)*MIN(J$3-$O$2,$Q$2)/$Q$2))</f>
        <v>20302.4714864932</v>
      </c>
      <c r="K475" s="15" t="n">
        <f aca="false">J475*(1+IF(K$3&lt;=$O$2,$D475,$D475-($D475-$I$454)*MIN(K$3-$O$2,$Q$2)/$Q$2))</f>
        <v>22511.5354253904</v>
      </c>
      <c r="L475" s="15" t="n">
        <f aca="false">K475*(1+IF(L$3&lt;=$O$2,$D475,$D475-($D475-$I$454)*MIN(L$3-$O$2,$Q$2)/$Q$2))</f>
        <v>24281.8071015601</v>
      </c>
      <c r="M475" s="15" t="n">
        <f aca="false">L475*(1+IF(M$3&lt;=$O$2,$D475,$D475-($D475-$I$454)*MIN(M$3-$O$2,$Q$2)/$Q$2))</f>
        <v>25458.7271622912</v>
      </c>
      <c r="N475" s="15" t="n">
        <f aca="false">M475*(1+IF(N$3&lt;=$O$2,$D475,$D475-($D475-$I$454)*MIN(N$3-$O$2,$Q$2)/$Q$2))</f>
        <v>25924.6218693611</v>
      </c>
      <c r="O475" s="15" t="n">
        <f aca="false">SUMPRODUCT(E475:N475,1/(1+$F$454)^$E$3:$N$3)*$E$2</f>
        <v>39528.2090371102</v>
      </c>
      <c r="P475" s="15" t="n">
        <f aca="false">N475*$E$2*(1+$I$454)/($F$454-$I$454)/(1+$F$454)^$N$3</f>
        <v>46971.6681786219</v>
      </c>
      <c r="Q475" s="15" t="n">
        <f aca="false">O475+P475</f>
        <v>86499.8772157321</v>
      </c>
      <c r="R475" s="15" t="n">
        <f aca="false">Q475-$G$2+$I$2</f>
        <v>80379.8772157321</v>
      </c>
      <c r="S475" s="42" t="n">
        <f aca="false">R475/$K$2</f>
        <v>464.140646816792</v>
      </c>
      <c r="T475" s="43" t="n">
        <f aca="false">S475-$M$2</f>
        <v>-0.000708997967080904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0.169146060943604</v>
      </c>
      <c r="C476" s="25" t="n">
        <f aca="false">IF(T475&gt;0,D475,C475)</f>
        <v>0.169147491455078</v>
      </c>
      <c r="D476" s="41" t="n">
        <f aca="false">(B476+C476)/2</f>
        <v>0.169146776199341</v>
      </c>
      <c r="E476" s="15" t="n">
        <f aca="false">$C$2*(1+IF(E$3&lt;=$O$2,$D476,$D476-($D476-$I$454)*MIN(E$3-$O$2,$Q$2)/$Q$2))</f>
        <v>9540.23769378662</v>
      </c>
      <c r="F476" s="15" t="n">
        <f aca="false">E476*(1+IF(F$3&lt;=$O$2,$D476,$D476-($D476-$I$454)*MIN(F$3-$O$2,$Q$2)/$Q$2))</f>
        <v>11153.9381438661</v>
      </c>
      <c r="G476" s="15" t="n">
        <f aca="false">F476*(1+IF(G$3&lt;=$O$2,$D476,$D476-($D476-$I$454)*MIN(G$3-$O$2,$Q$2)/$Q$2))</f>
        <v>13040.5908228279</v>
      </c>
      <c r="H476" s="15" t="n">
        <f aca="false">G476*(1+IF(H$3&lt;=$O$2,$D476,$D476-($D476-$I$454)*MIN(H$3-$O$2,$Q$2)/$Q$2))</f>
        <v>15246.3647202439</v>
      </c>
      <c r="I476" s="15" t="n">
        <f aca="false">H476*(1+IF(I$3&lt;=$O$2,$D476,$D476-($D476-$I$454)*MIN(I$3-$O$2,$Q$2)/$Q$2))</f>
        <v>17825.2381614325</v>
      </c>
      <c r="J476" s="15" t="n">
        <f aca="false">I476*(1+IF(J$3&lt;=$O$2,$D476,$D476-($D476-$I$454)*MIN(J$3-$O$2,$Q$2)/$Q$2))</f>
        <v>20302.5437890968</v>
      </c>
      <c r="K476" s="15" t="n">
        <f aca="false">J476*(1+IF(K$3&lt;=$O$2,$D476,$D476-($D476-$I$454)*MIN(K$3-$O$2,$Q$2)/$Q$2))</f>
        <v>22511.624307976</v>
      </c>
      <c r="L476" s="15" t="n">
        <f aca="false">K476*(1+IF(L$3&lt;=$O$2,$D476,$D476-($D476-$I$454)*MIN(L$3-$O$2,$Q$2)/$Q$2))</f>
        <v>24281.9094143595</v>
      </c>
      <c r="M476" s="15" t="n">
        <f aca="false">L476*(1+IF(M$3&lt;=$O$2,$D476,$D476-($D476-$I$454)*MIN(M$3-$O$2,$Q$2)/$Q$2))</f>
        <v>25458.8379076664</v>
      </c>
      <c r="N476" s="15" t="n">
        <f aca="false">M476*(1+IF(N$3&lt;=$O$2,$D476,$D476-($D476-$I$454)*MIN(N$3-$O$2,$Q$2)/$Q$2))</f>
        <v>25924.7346413767</v>
      </c>
      <c r="O476" s="15" t="n">
        <f aca="false">SUMPRODUCT(E476:N476,1/(1+$F$454)^$E$3:$N$3)*$E$2</f>
        <v>39528.3297049024</v>
      </c>
      <c r="P476" s="15" t="n">
        <f aca="false">N476*$E$2*(1+$I$454)/($F$454-$I$454)/(1+$F$454)^$N$3</f>
        <v>46971.8725052163</v>
      </c>
      <c r="Q476" s="15" t="n">
        <f aca="false">O476+P476</f>
        <v>86500.2022101186</v>
      </c>
      <c r="R476" s="15" t="n">
        <f aca="false">Q476-$G$2+$I$2</f>
        <v>80380.2022101186</v>
      </c>
      <c r="S476" s="42" t="n">
        <f aca="false">R476/$K$2</f>
        <v>464.142523444501</v>
      </c>
      <c r="T476" s="43" t="n">
        <f aca="false">S476-$M$2</f>
        <v>0.00116762974153062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0.169146060943604</v>
      </c>
      <c r="C477" s="25" t="n">
        <f aca="false">IF(T476&gt;0,D476,C476)</f>
        <v>0.169146776199341</v>
      </c>
      <c r="D477" s="41" t="n">
        <f aca="false">(B477+C477)/2</f>
        <v>0.169146418571472</v>
      </c>
      <c r="E477" s="15" t="n">
        <f aca="false">$C$2*(1+IF(E$3&lt;=$O$2,$D477,$D477-($D477-$I$454)*MIN(E$3-$O$2,$Q$2)/$Q$2))</f>
        <v>9540.23477554321</v>
      </c>
      <c r="F477" s="15" t="n">
        <f aca="false">E477*(1+IF(F$3&lt;=$O$2,$D477,$D477-($D477-$I$454)*MIN(F$3-$O$2,$Q$2)/$Q$2))</f>
        <v>11153.9313201574</v>
      </c>
      <c r="G477" s="15" t="n">
        <f aca="false">F477*(1+IF(G$3&lt;=$O$2,$D477,$D477-($D477-$I$454)*MIN(G$3-$O$2,$Q$2)/$Q$2))</f>
        <v>13040.5788559542</v>
      </c>
      <c r="H477" s="15" t="n">
        <f aca="false">G477*(1+IF(H$3&lt;=$O$2,$D477,$D477-($D477-$I$454)*MIN(H$3-$O$2,$Q$2)/$Q$2))</f>
        <v>15246.3460655377</v>
      </c>
      <c r="I477" s="15" t="n">
        <f aca="false">H477*(1+IF(I$3&lt;=$O$2,$D477,$D477-($D477-$I$454)*MIN(I$3-$O$2,$Q$2)/$Q$2))</f>
        <v>17825.2108988246</v>
      </c>
      <c r="J477" s="15" t="n">
        <f aca="false">I477*(1+IF(J$3&lt;=$O$2,$D477,$D477-($D477-$I$454)*MIN(J$3-$O$2,$Q$2)/$Q$2))</f>
        <v>20302.5076377682</v>
      </c>
      <c r="K477" s="15" t="n">
        <f aca="false">J477*(1+IF(K$3&lt;=$O$2,$D477,$D477-($D477-$I$454)*MIN(K$3-$O$2,$Q$2)/$Q$2))</f>
        <v>22511.5798666457</v>
      </c>
      <c r="L477" s="15" t="n">
        <f aca="false">K477*(1+IF(L$3&lt;=$O$2,$D477,$D477-($D477-$I$454)*MIN(L$3-$O$2,$Q$2)/$Q$2))</f>
        <v>24281.858257913</v>
      </c>
      <c r="M477" s="15" t="n">
        <f aca="false">L477*(1+IF(M$3&lt;=$O$2,$D477,$D477-($D477-$I$454)*MIN(M$3-$O$2,$Q$2)/$Q$2))</f>
        <v>25458.7825349261</v>
      </c>
      <c r="N477" s="15" t="n">
        <f aca="false">M477*(1+IF(N$3&lt;=$O$2,$D477,$D477-($D477-$I$454)*MIN(N$3-$O$2,$Q$2)/$Q$2))</f>
        <v>25924.6782553152</v>
      </c>
      <c r="O477" s="15" t="n">
        <f aca="false">SUMPRODUCT(E477:N477,1/(1+$F$454)^$E$3:$N$3)*$E$2</f>
        <v>39528.2693709612</v>
      </c>
      <c r="P477" s="15" t="n">
        <f aca="false">N477*$E$2*(1+$I$454)/($F$454-$I$454)/(1+$F$454)^$N$3</f>
        <v>46971.7703418219</v>
      </c>
      <c r="Q477" s="15" t="n">
        <f aca="false">O477+P477</f>
        <v>86500.039712783</v>
      </c>
      <c r="R477" s="15" t="n">
        <f aca="false">Q477-$G$2+$I$2</f>
        <v>80380.039712783</v>
      </c>
      <c r="S477" s="42" t="n">
        <f aca="false">R477/$K$2</f>
        <v>464.141585129825</v>
      </c>
      <c r="T477" s="43" t="n">
        <f aca="false">S477-$M$2</f>
        <v>0.00022931506543955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0.169146060943604</v>
      </c>
      <c r="C478" s="25" t="n">
        <f aca="false">IF(T477&gt;0,D477,C477)</f>
        <v>0.169146418571472</v>
      </c>
      <c r="D478" s="41" t="n">
        <f aca="false">(B478+C478)/2</f>
        <v>0.169146239757538</v>
      </c>
      <c r="E478" s="15" t="n">
        <f aca="false">$C$2*(1+IF(E$3&lt;=$O$2,$D478,$D478-($D478-$I$454)*MIN(E$3-$O$2,$Q$2)/$Q$2))</f>
        <v>9540.23331642151</v>
      </c>
      <c r="F478" s="15" t="n">
        <f aca="false">E478*(1+IF(F$3&lt;=$O$2,$D478,$D478-($D478-$I$454)*MIN(F$3-$O$2,$Q$2)/$Q$2))</f>
        <v>11153.9279083038</v>
      </c>
      <c r="G478" s="15" t="n">
        <f aca="false">F478*(1+IF(G$3&lt;=$O$2,$D478,$D478-($D478-$I$454)*MIN(G$3-$O$2,$Q$2)/$Q$2))</f>
        <v>13040.57287252</v>
      </c>
      <c r="H478" s="15" t="n">
        <f aca="false">G478*(1+IF(H$3&lt;=$O$2,$D478,$D478-($D478-$I$454)*MIN(H$3-$O$2,$Q$2)/$Q$2))</f>
        <v>15246.336738191</v>
      </c>
      <c r="I478" s="15" t="n">
        <f aca="false">H478*(1+IF(I$3&lt;=$O$2,$D478,$D478-($D478-$I$454)*MIN(I$3-$O$2,$Q$2)/$Q$2))</f>
        <v>17825.1972675332</v>
      </c>
      <c r="J478" s="15" t="n">
        <f aca="false">I478*(1+IF(J$3&lt;=$O$2,$D478,$D478-($D478-$I$454)*MIN(J$3-$O$2,$Q$2)/$Q$2))</f>
        <v>20302.489562124</v>
      </c>
      <c r="K478" s="15" t="n">
        <f aca="false">J478*(1+IF(K$3&lt;=$O$2,$D478,$D478-($D478-$I$454)*MIN(K$3-$O$2,$Q$2)/$Q$2))</f>
        <v>22511.5576460087</v>
      </c>
      <c r="L478" s="15" t="n">
        <f aca="false">K478*(1+IF(L$3&lt;=$O$2,$D478,$D478-($D478-$I$454)*MIN(L$3-$O$2,$Q$2)/$Q$2))</f>
        <v>24281.8326797248</v>
      </c>
      <c r="M478" s="15" t="n">
        <f aca="false">L478*(1+IF(M$3&lt;=$O$2,$D478,$D478-($D478-$I$454)*MIN(M$3-$O$2,$Q$2)/$Q$2))</f>
        <v>25458.7548485954</v>
      </c>
      <c r="N478" s="15" t="n">
        <f aca="false">M478*(1+IF(N$3&lt;=$O$2,$D478,$D478-($D478-$I$454)*MIN(N$3-$O$2,$Q$2)/$Q$2))</f>
        <v>25924.6500623247</v>
      </c>
      <c r="O478" s="15" t="n">
        <f aca="false">SUMPRODUCT(E478:N478,1/(1+$F$454)^$E$3:$N$3)*$E$2</f>
        <v>39528.2392040244</v>
      </c>
      <c r="P478" s="15" t="n">
        <f aca="false">N478*$E$2*(1+$I$454)/($F$454-$I$454)/(1+$F$454)^$N$3</f>
        <v>46971.7192601976</v>
      </c>
      <c r="Q478" s="15" t="n">
        <f aca="false">O478+P478</f>
        <v>86499.958464222</v>
      </c>
      <c r="R478" s="15" t="n">
        <f aca="false">Q478-$G$2+$I$2</f>
        <v>80379.958464222</v>
      </c>
      <c r="S478" s="42" t="n">
        <f aca="false">R478/$K$2</f>
        <v>464.141115973103</v>
      </c>
      <c r="T478" s="43" t="n">
        <f aca="false">S478-$M$2</f>
        <v>-0.000239841656252793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0.169146239757538</v>
      </c>
      <c r="C479" s="25" t="n">
        <f aca="false">IF(T478&gt;0,D478,C478)</f>
        <v>0.169146418571472</v>
      </c>
      <c r="D479" s="41" t="n">
        <f aca="false">(B479+C479)/2</f>
        <v>0.169146329164505</v>
      </c>
      <c r="E479" s="15" t="n">
        <f aca="false">$C$2*(1+IF(E$3&lt;=$O$2,$D479,$D479-($D479-$I$454)*MIN(E$3-$O$2,$Q$2)/$Q$2))</f>
        <v>9540.23404598236</v>
      </c>
      <c r="F479" s="15" t="n">
        <f aca="false">E479*(1+IF(F$3&lt;=$O$2,$D479,$D479-($D479-$I$454)*MIN(F$3-$O$2,$Q$2)/$Q$2))</f>
        <v>11153.9296142305</v>
      </c>
      <c r="G479" s="15" t="n">
        <f aca="false">F479*(1+IF(G$3&lt;=$O$2,$D479,$D479-($D479-$I$454)*MIN(G$3-$O$2,$Q$2)/$Q$2))</f>
        <v>13040.5758642369</v>
      </c>
      <c r="H479" s="15" t="n">
        <f aca="false">G479*(1+IF(H$3&lt;=$O$2,$D479,$D479-($D479-$I$454)*MIN(H$3-$O$2,$Q$2)/$Q$2))</f>
        <v>15246.3414018638</v>
      </c>
      <c r="I479" s="15" t="n">
        <f aca="false">H479*(1+IF(I$3&lt;=$O$2,$D479,$D479-($D479-$I$454)*MIN(I$3-$O$2,$Q$2)/$Q$2))</f>
        <v>17825.2040831778</v>
      </c>
      <c r="J479" s="15" t="n">
        <f aca="false">I479*(1+IF(J$3&lt;=$O$2,$D479,$D479-($D479-$I$454)*MIN(J$3-$O$2,$Q$2)/$Q$2))</f>
        <v>20302.4985999444</v>
      </c>
      <c r="K479" s="15" t="n">
        <f aca="false">J479*(1+IF(K$3&lt;=$O$2,$D479,$D479-($D479-$I$454)*MIN(K$3-$O$2,$Q$2)/$Q$2))</f>
        <v>22511.5687563249</v>
      </c>
      <c r="L479" s="15" t="n">
        <f aca="false">K479*(1+IF(L$3&lt;=$O$2,$D479,$D479-($D479-$I$454)*MIN(L$3-$O$2,$Q$2)/$Q$2))</f>
        <v>24281.845468816</v>
      </c>
      <c r="M479" s="15" t="n">
        <f aca="false">L479*(1+IF(M$3&lt;=$O$2,$D479,$D479-($D479-$I$454)*MIN(M$3-$O$2,$Q$2)/$Q$2))</f>
        <v>25458.7686917575</v>
      </c>
      <c r="N479" s="15" t="n">
        <f aca="false">M479*(1+IF(N$3&lt;=$O$2,$D479,$D479-($D479-$I$454)*MIN(N$3-$O$2,$Q$2)/$Q$2))</f>
        <v>25924.6641588166</v>
      </c>
      <c r="O479" s="15" t="n">
        <f aca="false">SUMPRODUCT(E479:N479,1/(1+$F$454)^$E$3:$N$3)*$E$2</f>
        <v>39528.25428749</v>
      </c>
      <c r="P479" s="15" t="n">
        <f aca="false">N479*$E$2*(1+$I$454)/($F$454-$I$454)/(1+$F$454)^$N$3</f>
        <v>46971.7448010037</v>
      </c>
      <c r="Q479" s="15" t="n">
        <f aca="false">O479+P479</f>
        <v>86499.9990884936</v>
      </c>
      <c r="R479" s="15" t="n">
        <f aca="false">Q479-$G$2+$I$2</f>
        <v>80379.9990884936</v>
      </c>
      <c r="S479" s="42" t="n">
        <f aca="false">R479/$K$2</f>
        <v>464.141350551413</v>
      </c>
      <c r="T479" s="43" t="n">
        <f aca="false">S479-$M$2</f>
        <v>-5.26334673622841E-006</v>
      </c>
    </row>
    <row r="481" customFormat="false" ht="15" hidden="false" customHeight="false" outlineLevel="0" collapsed="false">
      <c r="A481" s="38" t="s">
        <v>198</v>
      </c>
      <c r="E481" s="5" t="s">
        <v>11</v>
      </c>
      <c r="F481" s="12" t="n">
        <f aca="false">Sensitivity!$B$13</f>
        <v>0.100316051923387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162</v>
      </c>
      <c r="B482" s="28" t="s">
        <v>163</v>
      </c>
      <c r="C482" s="28" t="s">
        <v>164</v>
      </c>
      <c r="D482" s="28" t="s">
        <v>165</v>
      </c>
      <c r="E482" s="28" t="s">
        <v>166</v>
      </c>
      <c r="F482" s="28" t="s">
        <v>167</v>
      </c>
      <c r="G482" s="28" t="s">
        <v>168</v>
      </c>
      <c r="H482" s="28" t="s">
        <v>169</v>
      </c>
      <c r="I482" s="28" t="s">
        <v>170</v>
      </c>
      <c r="J482" s="28" t="s">
        <v>171</v>
      </c>
      <c r="K482" s="28" t="s">
        <v>172</v>
      </c>
      <c r="L482" s="28" t="s">
        <v>173</v>
      </c>
      <c r="M482" s="28" t="s">
        <v>174</v>
      </c>
      <c r="N482" s="28" t="s">
        <v>175</v>
      </c>
      <c r="O482" s="28" t="s">
        <v>176</v>
      </c>
      <c r="P482" s="28" t="s">
        <v>177</v>
      </c>
      <c r="Q482" s="28" t="s">
        <v>178</v>
      </c>
      <c r="R482" s="28" t="s">
        <v>179</v>
      </c>
      <c r="S482" s="28" t="s">
        <v>180</v>
      </c>
      <c r="T482" s="28" t="s">
        <v>181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10200</v>
      </c>
      <c r="F483" s="15" t="n">
        <f aca="false">E483*(1+IF(F$3&lt;=$O$2,$D483,$D483-($D483-$I$481)*MIN(F$3-$O$2,$Q$2)/$Q$2))</f>
        <v>12750</v>
      </c>
      <c r="G483" s="15" t="n">
        <f aca="false">F483*(1+IF(G$3&lt;=$O$2,$D483,$D483-($D483-$I$481)*MIN(G$3-$O$2,$Q$2)/$Q$2))</f>
        <v>15937.5</v>
      </c>
      <c r="H483" s="15" t="n">
        <f aca="false">G483*(1+IF(H$3&lt;=$O$2,$D483,$D483-($D483-$I$481)*MIN(H$3-$O$2,$Q$2)/$Q$2))</f>
        <v>19921.875</v>
      </c>
      <c r="I483" s="15" t="n">
        <f aca="false">H483*(1+IF(I$3&lt;=$O$2,$D483,$D483-($D483-$I$481)*MIN(I$3-$O$2,$Q$2)/$Q$2))</f>
        <v>24902.34375</v>
      </c>
      <c r="J483" s="15" t="n">
        <f aca="false">I483*(1+IF(J$3&lt;=$O$2,$D483,$D483-($D483-$I$481)*MIN(J$3-$O$2,$Q$2)/$Q$2))</f>
        <v>29998.857421875</v>
      </c>
      <c r="K483" s="15" t="n">
        <f aca="false">J483*(1+IF(K$3&lt;=$O$2,$D483,$D483-($D483-$I$481)*MIN(K$3-$O$2,$Q$2)/$Q$2))</f>
        <v>34778.2753863281</v>
      </c>
      <c r="L483" s="15" t="n">
        <f aca="false">K483*(1+IF(L$3&lt;=$O$2,$D483,$D483-($D483-$I$481)*MIN(L$3-$O$2,$Q$2)/$Q$2))</f>
        <v>38742.3032148618</v>
      </c>
      <c r="M483" s="15" t="n">
        <f aca="false">L483*(1+IF(M$3&lt;=$O$2,$D483,$D483-($D483-$I$481)*MIN(M$3-$O$2,$Q$2)/$Q$2))</f>
        <v>41401.5749075299</v>
      </c>
      <c r="N483" s="15" t="n">
        <f aca="false">M483*(1+IF(N$3&lt;=$O$2,$D483,$D483-($D483-$I$481)*MIN(N$3-$O$2,$Q$2)/$Q$2))</f>
        <v>42366.2316028754</v>
      </c>
      <c r="O483" s="15" t="n">
        <f aca="false">SUMPRODUCT(E483:N483,1/(1+$F$481)^$E$3:$N$3)*$E$2</f>
        <v>55931.1218878384</v>
      </c>
      <c r="P483" s="15" t="n">
        <f aca="false">N483*$E$2*(1+$I$481)/($F$481-$I$481)/(1+$F$481)^$N$3</f>
        <v>82146.3418015107</v>
      </c>
      <c r="Q483" s="15" t="n">
        <f aca="false">O483+P483</f>
        <v>138077.463689349</v>
      </c>
      <c r="R483" s="15" t="n">
        <f aca="false">Q483-$G$2+$I$2</f>
        <v>131957.463689349</v>
      </c>
      <c r="S483" s="42" t="n">
        <f aca="false">R483/$K$2</f>
        <v>761.967107572174</v>
      </c>
      <c r="T483" s="43" t="n">
        <f aca="false">S483-$M$2</f>
        <v>297.825751757414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7140</v>
      </c>
      <c r="F484" s="15" t="n">
        <f aca="false">E484*(1+IF(F$3&lt;=$O$2,$D484,$D484-($D484-$I$481)*MIN(F$3-$O$2,$Q$2)/$Q$2))</f>
        <v>6247.5</v>
      </c>
      <c r="G484" s="15" t="n">
        <f aca="false">F484*(1+IF(G$3&lt;=$O$2,$D484,$D484-($D484-$I$481)*MIN(G$3-$O$2,$Q$2)/$Q$2))</f>
        <v>5466.5625</v>
      </c>
      <c r="H484" s="15" t="n">
        <f aca="false">G484*(1+IF(H$3&lt;=$O$2,$D484,$D484-($D484-$I$481)*MIN(H$3-$O$2,$Q$2)/$Q$2))</f>
        <v>4783.2421875</v>
      </c>
      <c r="I484" s="15" t="n">
        <f aca="false">H484*(1+IF(I$3&lt;=$O$2,$D484,$D484-($D484-$I$481)*MIN(I$3-$O$2,$Q$2)/$Q$2))</f>
        <v>4185.3369140625</v>
      </c>
      <c r="J484" s="15" t="n">
        <f aca="false">I484*(1+IF(J$3&lt;=$O$2,$D484,$D484-($D484-$I$481)*MIN(J$3-$O$2,$Q$2)/$Q$2))</f>
        <v>3786.30689267578</v>
      </c>
      <c r="K484" s="15" t="n">
        <f aca="false">J484*(1+IF(K$3&lt;=$O$2,$D484,$D484-($D484-$I$481)*MIN(K$3-$O$2,$Q$2)/$Q$2))</f>
        <v>3537.62225596484</v>
      </c>
      <c r="L484" s="15" t="n">
        <f aca="false">K484*(1+IF(L$3&lt;=$O$2,$D484,$D484-($D484-$I$481)*MIN(L$3-$O$2,$Q$2)/$Q$2))</f>
        <v>3410.19710230498</v>
      </c>
      <c r="M484" s="15" t="n">
        <f aca="false">L484*(1+IF(M$3&lt;=$O$2,$D484,$D484-($D484-$I$481)*MIN(M$3-$O$2,$Q$2)/$Q$2))</f>
        <v>3388.50824873432</v>
      </c>
      <c r="N484" s="15" t="n">
        <f aca="false">M484*(1+IF(N$3&lt;=$O$2,$D484,$D484-($D484-$I$481)*MIN(N$3-$O$2,$Q$2)/$Q$2))</f>
        <v>3467.46049092983</v>
      </c>
      <c r="O484" s="15" t="n">
        <f aca="false">SUMPRODUCT(E484:N484,1/(1+$F$481)^$E$3:$N$3)*$E$2</f>
        <v>11353.7332628723</v>
      </c>
      <c r="P484" s="15" t="n">
        <f aca="false">N484*$E$2*(1+$I$481)/($F$481-$I$481)/(1+$F$481)^$N$3</f>
        <v>6723.26010349771</v>
      </c>
      <c r="Q484" s="15" t="n">
        <f aca="false">O484+P484</f>
        <v>18076.99336637</v>
      </c>
      <c r="R484" s="15" t="n">
        <f aca="false">Q484-$G$2+$I$2</f>
        <v>11956.99336637</v>
      </c>
      <c r="S484" s="42" t="n">
        <f aca="false">R484/$K$2</f>
        <v>69.0437311835661</v>
      </c>
      <c r="T484" s="43" t="n">
        <f aca="false">S484-$M$2</f>
        <v>-395.097624631193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8670</v>
      </c>
      <c r="F485" s="15" t="n">
        <f aca="false">E485*(1+IF(F$3&lt;=$O$2,$D485,$D485-($D485-$I$481)*MIN(F$3-$O$2,$Q$2)/$Q$2))</f>
        <v>9211.875</v>
      </c>
      <c r="G485" s="15" t="n">
        <f aca="false">F485*(1+IF(G$3&lt;=$O$2,$D485,$D485-($D485-$I$481)*MIN(G$3-$O$2,$Q$2)/$Q$2))</f>
        <v>9787.6171875</v>
      </c>
      <c r="H485" s="15" t="n">
        <f aca="false">G485*(1+IF(H$3&lt;=$O$2,$D485,$D485-($D485-$I$481)*MIN(H$3-$O$2,$Q$2)/$Q$2))</f>
        <v>10399.3432617188</v>
      </c>
      <c r="I485" s="15" t="n">
        <f aca="false">H485*(1+IF(I$3&lt;=$O$2,$D485,$D485-($D485-$I$481)*MIN(I$3-$O$2,$Q$2)/$Q$2))</f>
        <v>11049.3022155762</v>
      </c>
      <c r="J485" s="15" t="n">
        <f aca="false">I485*(1+IF(J$3&lt;=$O$2,$D485,$D485-($D485-$I$481)*MIN(J$3-$O$2,$Q$2)/$Q$2))</f>
        <v>11653.2570746796</v>
      </c>
      <c r="K485" s="15" t="n">
        <f aca="false">J485*(1+IF(K$3&lt;=$O$2,$D485,$D485-($D485-$I$481)*MIN(K$3-$O$2,$Q$2)/$Q$2))</f>
        <v>12198.8625709161</v>
      </c>
      <c r="L485" s="15" t="n">
        <f aca="false">K485*(1+IF(L$3&lt;=$O$2,$D485,$D485-($D485-$I$481)*MIN(L$3-$O$2,$Q$2)/$Q$2))</f>
        <v>12674.3742339304</v>
      </c>
      <c r="M485" s="15" t="n">
        <f aca="false">L485*(1+IF(M$3&lt;=$O$2,$D485,$D485-($D485-$I$481)*MIN(M$3-$O$2,$Q$2)/$Q$2))</f>
        <v>13069.054247575</v>
      </c>
      <c r="N485" s="15" t="n">
        <f aca="false">M485*(1+IF(N$3&lt;=$O$2,$D485,$D485-($D485-$I$481)*MIN(N$3-$O$2,$Q$2)/$Q$2))</f>
        <v>13373.5632115435</v>
      </c>
      <c r="O485" s="15" t="n">
        <f aca="false">SUMPRODUCT(E485:N485,1/(1+$F$481)^$E$3:$N$3)*$E$2</f>
        <v>25115.501016494</v>
      </c>
      <c r="P485" s="15" t="n">
        <f aca="false">N485*$E$2*(1+$I$481)/($F$481-$I$481)/(1+$F$481)^$N$3</f>
        <v>25930.7767794244</v>
      </c>
      <c r="Q485" s="15" t="n">
        <f aca="false">O485+P485</f>
        <v>51046.2777959184</v>
      </c>
      <c r="R485" s="15" t="n">
        <f aca="false">Q485-$G$2+$I$2</f>
        <v>44926.2777959184</v>
      </c>
      <c r="S485" s="42" t="n">
        <f aca="false">R485/$K$2</f>
        <v>259.41955073287</v>
      </c>
      <c r="T485" s="43" t="n">
        <f aca="false">S485-$M$2</f>
        <v>-204.721805081889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9435</v>
      </c>
      <c r="F486" s="15" t="n">
        <f aca="false">E486*(1+IF(F$3&lt;=$O$2,$D486,$D486-($D486-$I$481)*MIN(F$3-$O$2,$Q$2)/$Q$2))</f>
        <v>10909.21875</v>
      </c>
      <c r="G486" s="15" t="n">
        <f aca="false">F486*(1+IF(G$3&lt;=$O$2,$D486,$D486-($D486-$I$481)*MIN(G$3-$O$2,$Q$2)/$Q$2))</f>
        <v>12613.7841796875</v>
      </c>
      <c r="H486" s="15" t="n">
        <f aca="false">G486*(1+IF(H$3&lt;=$O$2,$D486,$D486-($D486-$I$481)*MIN(H$3-$O$2,$Q$2)/$Q$2))</f>
        <v>14584.6879577637</v>
      </c>
      <c r="I486" s="15" t="n">
        <f aca="false">H486*(1+IF(I$3&lt;=$O$2,$D486,$D486-($D486-$I$481)*MIN(I$3-$O$2,$Q$2)/$Q$2))</f>
        <v>16863.5454511642</v>
      </c>
      <c r="J486" s="15" t="n">
        <f aca="false">I486*(1+IF(J$3&lt;=$O$2,$D486,$D486-($D486-$I$481)*MIN(J$3-$O$2,$Q$2)/$Q$2))</f>
        <v>19050.0727543622</v>
      </c>
      <c r="K486" s="15" t="n">
        <f aca="false">J486*(1+IF(K$3&lt;=$O$2,$D486,$D486-($D486-$I$481)*MIN(K$3-$O$2,$Q$2)/$Q$2))</f>
        <v>21013.5637531543</v>
      </c>
      <c r="L486" s="15" t="n">
        <f aca="false">K486*(1+IF(L$3&lt;=$O$2,$D486,$D486-($D486-$I$481)*MIN(L$3-$O$2,$Q$2)/$Q$2))</f>
        <v>22620.6811089956</v>
      </c>
      <c r="M486" s="15" t="n">
        <f aca="false">L486*(1+IF(M$3&lt;=$O$2,$D486,$D486-($D486-$I$481)*MIN(M$3-$O$2,$Q$2)/$Q$2))</f>
        <v>23749.2268895233</v>
      </c>
      <c r="N486" s="15" t="n">
        <f aca="false">M486*(1+IF(N$3&lt;=$O$2,$D486,$D486-($D486-$I$481)*MIN(N$3-$O$2,$Q$2)/$Q$2))</f>
        <v>24302.5838760492</v>
      </c>
      <c r="O486" s="15" t="n">
        <f aca="false">SUMPRODUCT(E486:N486,1/(1+$F$481)^$E$3:$N$3)*$E$2</f>
        <v>37532.1100068663</v>
      </c>
      <c r="P486" s="15" t="n">
        <f aca="false">N486*$E$2*(1+$I$481)/($F$481-$I$481)/(1+$F$481)^$N$3</f>
        <v>47121.6883402566</v>
      </c>
      <c r="Q486" s="15" t="n">
        <f aca="false">O486+P486</f>
        <v>84653.7983471229</v>
      </c>
      <c r="R486" s="15" t="n">
        <f aca="false">Q486-$G$2+$I$2</f>
        <v>78533.7983471229</v>
      </c>
      <c r="S486" s="42" t="n">
        <f aca="false">R486/$K$2</f>
        <v>453.480761907396</v>
      </c>
      <c r="T486" s="43" t="n">
        <f aca="false">S486-$M$2</f>
        <v>-10.6605939073628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0.15625</v>
      </c>
      <c r="C487" s="25" t="n">
        <f aca="false">IF(T486&gt;0,D486,C486)</f>
        <v>0.25</v>
      </c>
      <c r="D487" s="41" t="n">
        <f aca="false">(B487+C487)/2</f>
        <v>0.203125</v>
      </c>
      <c r="E487" s="15" t="n">
        <f aca="false">$C$2*(1+IF(E$3&lt;=$O$2,$D487,$D487-($D487-$I$481)*MIN(E$3-$O$2,$Q$2)/$Q$2))</f>
        <v>9817.5</v>
      </c>
      <c r="F487" s="15" t="n">
        <f aca="false">E487*(1+IF(F$3&lt;=$O$2,$D487,$D487-($D487-$I$481)*MIN(F$3-$O$2,$Q$2)/$Q$2))</f>
        <v>11811.6796875</v>
      </c>
      <c r="G487" s="15" t="n">
        <f aca="false">F487*(1+IF(G$3&lt;=$O$2,$D487,$D487-($D487-$I$481)*MIN(G$3-$O$2,$Q$2)/$Q$2))</f>
        <v>14210.9271240234</v>
      </c>
      <c r="H487" s="15" t="n">
        <f aca="false">G487*(1+IF(H$3&lt;=$O$2,$D487,$D487-($D487-$I$481)*MIN(H$3-$O$2,$Q$2)/$Q$2))</f>
        <v>17097.5216960907</v>
      </c>
      <c r="I487" s="15" t="n">
        <f aca="false">H487*(1+IF(I$3&lt;=$O$2,$D487,$D487-($D487-$I$481)*MIN(I$3-$O$2,$Q$2)/$Q$2))</f>
        <v>20570.4557906091</v>
      </c>
      <c r="J487" s="15" t="n">
        <f aca="false">I487*(1+IF(J$3&lt;=$O$2,$D487,$D487-($D487-$I$481)*MIN(J$3-$O$2,$Q$2)/$Q$2))</f>
        <v>24009.0131805673</v>
      </c>
      <c r="K487" s="15" t="n">
        <f aca="false">J487*(1+IF(K$3&lt;=$O$2,$D487,$D487-($D487-$I$481)*MIN(K$3-$O$2,$Q$2)/$Q$2))</f>
        <v>27158.8756647919</v>
      </c>
      <c r="L487" s="15" t="n">
        <f aca="false">K487*(1+IF(L$3&lt;=$O$2,$D487,$D487-($D487-$I$481)*MIN(L$3-$O$2,$Q$2)/$Q$2))</f>
        <v>29745.21539435</v>
      </c>
      <c r="M487" s="15" t="n">
        <f aca="false">L487*(1+IF(M$3&lt;=$O$2,$D487,$D487-($D487-$I$481)*MIN(M$3-$O$2,$Q$2)/$Q$2))</f>
        <v>31508.0655846962</v>
      </c>
      <c r="N487" s="15" t="n">
        <f aca="false">M487*(1+IF(N$3&lt;=$O$2,$D487,$D487-($D487-$I$481)*MIN(N$3-$O$2,$Q$2)/$Q$2))</f>
        <v>32242.2035128196</v>
      </c>
      <c r="O487" s="15" t="n">
        <f aca="false">SUMPRODUCT(E487:N487,1/(1+$F$481)^$E$3:$N$3)*$E$2</f>
        <v>45843.9429010838</v>
      </c>
      <c r="P487" s="15" t="n">
        <f aca="false">N487*$E$2*(1+$I$481)/($F$481-$I$481)/(1+$F$481)^$N$3</f>
        <v>62516.2769968473</v>
      </c>
      <c r="Q487" s="15" t="n">
        <f aca="false">O487+P487</f>
        <v>108360.219897931</v>
      </c>
      <c r="R487" s="15" t="n">
        <f aca="false">Q487-$G$2+$I$2</f>
        <v>102240.219897931</v>
      </c>
      <c r="S487" s="42" t="n">
        <f aca="false">R487/$K$2</f>
        <v>590.369672583041</v>
      </c>
      <c r="T487" s="43" t="n">
        <f aca="false">S487-$M$2</f>
        <v>126.228316768282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0.15625</v>
      </c>
      <c r="C488" s="25" t="n">
        <f aca="false">IF(T487&gt;0,D487,C487)</f>
        <v>0.203125</v>
      </c>
      <c r="D488" s="41" t="n">
        <f aca="false">(B488+C488)/2</f>
        <v>0.1796875</v>
      </c>
      <c r="E488" s="15" t="n">
        <f aca="false">$C$2*(1+IF(E$3&lt;=$O$2,$D488,$D488-($D488-$I$481)*MIN(E$3-$O$2,$Q$2)/$Q$2))</f>
        <v>9626.25</v>
      </c>
      <c r="F488" s="15" t="n">
        <f aca="false">E488*(1+IF(F$3&lt;=$O$2,$D488,$D488-($D488-$I$481)*MIN(F$3-$O$2,$Q$2)/$Q$2))</f>
        <v>11355.966796875</v>
      </c>
      <c r="G488" s="15" t="n">
        <f aca="false">F488*(1+IF(G$3&lt;=$O$2,$D488,$D488-($D488-$I$481)*MIN(G$3-$O$2,$Q$2)/$Q$2))</f>
        <v>13396.4920806885</v>
      </c>
      <c r="H488" s="15" t="n">
        <f aca="false">G488*(1+IF(H$3&lt;=$O$2,$D488,$D488-($D488-$I$481)*MIN(H$3-$O$2,$Q$2)/$Q$2))</f>
        <v>15803.6742514372</v>
      </c>
      <c r="I488" s="15" t="n">
        <f aca="false">H488*(1+IF(I$3&lt;=$O$2,$D488,$D488-($D488-$I$481)*MIN(I$3-$O$2,$Q$2)/$Q$2))</f>
        <v>18643.3969684923</v>
      </c>
      <c r="J488" s="15" t="n">
        <f aca="false">I488*(1+IF(J$3&lt;=$O$2,$D488,$D488-($D488-$I$481)*MIN(J$3-$O$2,$Q$2)/$Q$2))</f>
        <v>21410.2635125862</v>
      </c>
      <c r="K488" s="15" t="n">
        <f aca="false">J488*(1+IF(K$3&lt;=$O$2,$D488,$D488-($D488-$I$481)*MIN(K$3-$O$2,$Q$2)/$Q$2))</f>
        <v>23918.1012034743</v>
      </c>
      <c r="L488" s="15" t="n">
        <f aca="false">K488*(1+IF(L$3&lt;=$O$2,$D488,$D488-($D488-$I$481)*MIN(L$3-$O$2,$Q$2)/$Q$2))</f>
        <v>25971.5897822985</v>
      </c>
      <c r="M488" s="15" t="n">
        <f aca="false">L488*(1+IF(M$3&lt;=$O$2,$D488,$D488-($D488-$I$481)*MIN(M$3-$O$2,$Q$2)/$Q$2))</f>
        <v>27389.0542236419</v>
      </c>
      <c r="N488" s="15" t="n">
        <f aca="false">M488*(1+IF(N$3&lt;=$O$2,$D488,$D488-($D488-$I$481)*MIN(N$3-$O$2,$Q$2)/$Q$2))</f>
        <v>28027.2191870528</v>
      </c>
      <c r="O488" s="15" t="n">
        <f aca="false">SUMPRODUCT(E488:N488,1/(1+$F$481)^$E$3:$N$3)*$E$2</f>
        <v>41485.2951672932</v>
      </c>
      <c r="P488" s="15" t="n">
        <f aca="false">N488*$E$2*(1+$I$481)/($F$481-$I$481)/(1+$F$481)^$N$3</f>
        <v>54343.5996070332</v>
      </c>
      <c r="Q488" s="15" t="n">
        <f aca="false">O488+P488</f>
        <v>95828.8947743265</v>
      </c>
      <c r="R488" s="15" t="n">
        <f aca="false">Q488-$G$2+$I$2</f>
        <v>89708.8947743265</v>
      </c>
      <c r="S488" s="42" t="n">
        <f aca="false">R488/$K$2</f>
        <v>518.009555227662</v>
      </c>
      <c r="T488" s="43" t="n">
        <f aca="false">S488-$M$2</f>
        <v>53.8681994129025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0.15625</v>
      </c>
      <c r="C489" s="25" t="n">
        <f aca="false">IF(T488&gt;0,D488,C488)</f>
        <v>0.1796875</v>
      </c>
      <c r="D489" s="41" t="n">
        <f aca="false">(B489+C489)/2</f>
        <v>0.16796875</v>
      </c>
      <c r="E489" s="15" t="n">
        <f aca="false">$C$2*(1+IF(E$3&lt;=$O$2,$D489,$D489-($D489-$I$481)*MIN(E$3-$O$2,$Q$2)/$Q$2))</f>
        <v>9530.625</v>
      </c>
      <c r="F489" s="15" t="n">
        <f aca="false">E489*(1+IF(F$3&lt;=$O$2,$D489,$D489-($D489-$I$481)*MIN(F$3-$O$2,$Q$2)/$Q$2))</f>
        <v>11131.4721679688</v>
      </c>
      <c r="G489" s="15" t="n">
        <f aca="false">F489*(1+IF(G$3&lt;=$O$2,$D489,$D489-($D489-$I$481)*MIN(G$3-$O$2,$Q$2)/$Q$2))</f>
        <v>13001.2116336823</v>
      </c>
      <c r="H489" s="15" t="n">
        <f aca="false">G489*(1+IF(H$3&lt;=$O$2,$D489,$D489-($D489-$I$481)*MIN(H$3-$O$2,$Q$2)/$Q$2))</f>
        <v>15185.0089002773</v>
      </c>
      <c r="I489" s="15" t="n">
        <f aca="false">H489*(1+IF(I$3&lt;=$O$2,$D489,$D489-($D489-$I$481)*MIN(I$3-$O$2,$Q$2)/$Q$2))</f>
        <v>17735.6158639958</v>
      </c>
      <c r="J489" s="15" t="n">
        <f aca="false">I489*(1+IF(J$3&lt;=$O$2,$D489,$D489-($D489-$I$481)*MIN(J$3-$O$2,$Q$2)/$Q$2))</f>
        <v>20201.4872156464</v>
      </c>
      <c r="K489" s="15" t="n">
        <f aca="false">J489*(1+IF(K$3&lt;=$O$2,$D489,$D489-($D489-$I$481)*MIN(K$3-$O$2,$Q$2)/$Q$2))</f>
        <v>22425.6962099481</v>
      </c>
      <c r="L489" s="15" t="n">
        <f aca="false">K489*(1+IF(L$3&lt;=$O$2,$D489,$D489-($D489-$I$481)*MIN(L$3-$O$2,$Q$2)/$Q$2))</f>
        <v>24245.9339070691</v>
      </c>
      <c r="M489" s="15" t="n">
        <f aca="false">L489*(1+IF(M$3&lt;=$O$2,$D489,$D489-($D489-$I$481)*MIN(M$3-$O$2,$Q$2)/$Q$2))</f>
        <v>25512.3899572875</v>
      </c>
      <c r="N489" s="15" t="n">
        <f aca="false">M489*(1+IF(N$3&lt;=$O$2,$D489,$D489-($D489-$I$481)*MIN(N$3-$O$2,$Q$2)/$Q$2))</f>
        <v>26106.8286432923</v>
      </c>
      <c r="O489" s="15" t="n">
        <f aca="false">SUMPRODUCT(E489:N489,1/(1+$F$481)^$E$3:$N$3)*$E$2</f>
        <v>39460.2605872846</v>
      </c>
      <c r="P489" s="15" t="n">
        <f aca="false">N489*$E$2*(1+$I$481)/($F$481-$I$481)/(1+$F$481)^$N$3</f>
        <v>50620.0430849697</v>
      </c>
      <c r="Q489" s="15" t="n">
        <f aca="false">O489+P489</f>
        <v>90080.3036722542</v>
      </c>
      <c r="R489" s="15" t="n">
        <f aca="false">Q489-$G$2+$I$2</f>
        <v>83960.3036722542</v>
      </c>
      <c r="S489" s="42" t="n">
        <f aca="false">R489/$K$2</f>
        <v>484.815242362018</v>
      </c>
      <c r="T489" s="43" t="n">
        <f aca="false">S489-$M$2</f>
        <v>20.6738865472584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0.15625</v>
      </c>
      <c r="C490" s="25" t="n">
        <f aca="false">IF(T489&gt;0,D489,C489)</f>
        <v>0.16796875</v>
      </c>
      <c r="D490" s="41" t="n">
        <f aca="false">(B490+C490)/2</f>
        <v>0.162109375</v>
      </c>
      <c r="E490" s="15" t="n">
        <f aca="false">$C$2*(1+IF(E$3&lt;=$O$2,$D490,$D490-($D490-$I$481)*MIN(E$3-$O$2,$Q$2)/$Q$2))</f>
        <v>9482.8125</v>
      </c>
      <c r="F490" s="15" t="n">
        <f aca="false">E490*(1+IF(F$3&lt;=$O$2,$D490,$D490-($D490-$I$481)*MIN(F$3-$O$2,$Q$2)/$Q$2))</f>
        <v>11020.0653076172</v>
      </c>
      <c r="G490" s="15" t="n">
        <f aca="false">F490*(1+IF(G$3&lt;=$O$2,$D490,$D490-($D490-$I$481)*MIN(G$3-$O$2,$Q$2)/$Q$2))</f>
        <v>12806.5212070942</v>
      </c>
      <c r="H490" s="15" t="n">
        <f aca="false">G490*(1+IF(H$3&lt;=$O$2,$D490,$D490-($D490-$I$481)*MIN(H$3-$O$2,$Q$2)/$Q$2))</f>
        <v>14882.5783559005</v>
      </c>
      <c r="I490" s="15" t="n">
        <f aca="false">H490*(1+IF(I$3&lt;=$O$2,$D490,$D490-($D490-$I$481)*MIN(I$3-$O$2,$Q$2)/$Q$2))</f>
        <v>17295.183831564</v>
      </c>
      <c r="J490" s="15" t="n">
        <f aca="false">I490*(1+IF(J$3&lt;=$O$2,$D490,$D490-($D490-$I$481)*MIN(J$3-$O$2,$Q$2)/$Q$2))</f>
        <v>19618.7485413751</v>
      </c>
      <c r="K490" s="15" t="n">
        <f aca="false">J490*(1+IF(K$3&lt;=$O$2,$D490,$D490-($D490-$I$481)*MIN(K$3-$O$2,$Q$2)/$Q$2))</f>
        <v>21709.8251163754</v>
      </c>
      <c r="L490" s="15" t="n">
        <f aca="false">K490*(1+IF(L$3&lt;=$O$2,$D490,$D490-($D490-$I$481)*MIN(L$3-$O$2,$Q$2)/$Q$2))</f>
        <v>23421.0749438923</v>
      </c>
      <c r="M490" s="15" t="n">
        <f aca="false">L490*(1+IF(M$3&lt;=$O$2,$D490,$D490-($D490-$I$481)*MIN(M$3-$O$2,$Q$2)/$Q$2))</f>
        <v>24616.9989450429</v>
      </c>
      <c r="N490" s="15" t="n">
        <f aca="false">M490*(1+IF(N$3&lt;=$O$2,$D490,$D490-($D490-$I$481)*MIN(N$3-$O$2,$Q$2)/$Q$2))</f>
        <v>25190.5750204624</v>
      </c>
      <c r="O490" s="15" t="n">
        <f aca="false">SUMPRODUCT(E490:N490,1/(1+$F$481)^$E$3:$N$3)*$E$2</f>
        <v>38484.3455138417</v>
      </c>
      <c r="P490" s="15" t="n">
        <f aca="false">N490*$E$2*(1+$I$481)/($F$481-$I$481)/(1+$F$481)^$N$3</f>
        <v>48843.4658339323</v>
      </c>
      <c r="Q490" s="15" t="n">
        <f aca="false">O490+P490</f>
        <v>87327.811347774</v>
      </c>
      <c r="R490" s="15" t="n">
        <f aca="false">Q490-$G$2+$I$2</f>
        <v>81207.811347774</v>
      </c>
      <c r="S490" s="42" t="n">
        <f aca="false">R490/$K$2</f>
        <v>468.921419030916</v>
      </c>
      <c r="T490" s="43" t="n">
        <f aca="false">S490-$M$2</f>
        <v>4.78006321615646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0.15625</v>
      </c>
      <c r="C491" s="25" t="n">
        <f aca="false">IF(T490&gt;0,D490,C490)</f>
        <v>0.162109375</v>
      </c>
      <c r="D491" s="41" t="n">
        <f aca="false">(B491+C491)/2</f>
        <v>0.1591796875</v>
      </c>
      <c r="E491" s="15" t="n">
        <f aca="false">$C$2*(1+IF(E$3&lt;=$O$2,$D491,$D491-($D491-$I$481)*MIN(E$3-$O$2,$Q$2)/$Q$2))</f>
        <v>9458.90625</v>
      </c>
      <c r="F491" s="15" t="n">
        <f aca="false">E491*(1+IF(F$3&lt;=$O$2,$D491,$D491-($D491-$I$481)*MIN(F$3-$O$2,$Q$2)/$Q$2))</f>
        <v>10964.5719909668</v>
      </c>
      <c r="G491" s="15" t="n">
        <f aca="false">F491*(1+IF(G$3&lt;=$O$2,$D491,$D491-($D491-$I$481)*MIN(G$3-$O$2,$Q$2)/$Q$2))</f>
        <v>12709.9091340601</v>
      </c>
      <c r="H491" s="15" t="n">
        <f aca="false">G491*(1+IF(H$3&lt;=$O$2,$D491,$D491-($D491-$I$481)*MIN(H$3-$O$2,$Q$2)/$Q$2))</f>
        <v>14733.0684981732</v>
      </c>
      <c r="I491" s="15" t="n">
        <f aca="false">H491*(1+IF(I$3&lt;=$O$2,$D491,$D491-($D491-$I$481)*MIN(I$3-$O$2,$Q$2)/$Q$2))</f>
        <v>17078.2737376285</v>
      </c>
      <c r="J491" s="15" t="n">
        <f aca="false">I491*(1+IF(J$3&lt;=$O$2,$D491,$D491-($D491-$I$481)*MIN(J$3-$O$2,$Q$2)/$Q$2))</f>
        <v>19332.669914522</v>
      </c>
      <c r="K491" s="15" t="n">
        <f aca="false">J491*(1+IF(K$3&lt;=$O$2,$D491,$D491-($D491-$I$481)*MIN(K$3-$O$2,$Q$2)/$Q$2))</f>
        <v>21359.2714114459</v>
      </c>
      <c r="L491" s="15" t="n">
        <f aca="false">K491*(1+IF(L$3&lt;=$O$2,$D491,$D491-($D491-$I$481)*MIN(L$3-$O$2,$Q$2)/$Q$2))</f>
        <v>23017.8588851786</v>
      </c>
      <c r="M491" s="15" t="n">
        <f aca="false">L491*(1+IF(M$3&lt;=$O$2,$D491,$D491-($D491-$I$481)*MIN(M$3-$O$2,$Q$2)/$Q$2))</f>
        <v>24179.7068916507</v>
      </c>
      <c r="N491" s="15" t="n">
        <f aca="false">M491*(1+IF(N$3&lt;=$O$2,$D491,$D491-($D491-$I$481)*MIN(N$3-$O$2,$Q$2)/$Q$2))</f>
        <v>24743.0940622262</v>
      </c>
      <c r="O491" s="15" t="n">
        <f aca="false">SUMPRODUCT(E491:N491,1/(1+$F$481)^$E$3:$N$3)*$E$2</f>
        <v>38005.301081454</v>
      </c>
      <c r="P491" s="15" t="n">
        <f aca="false">N491*$E$2*(1+$I$481)/($F$481-$I$481)/(1+$F$481)^$N$3</f>
        <v>47975.819070125</v>
      </c>
      <c r="Q491" s="15" t="n">
        <f aca="false">O491+P491</f>
        <v>85981.1201515789</v>
      </c>
      <c r="R491" s="15" t="n">
        <f aca="false">Q491-$G$2+$I$2</f>
        <v>79861.1201515789</v>
      </c>
      <c r="S491" s="42" t="n">
        <f aca="false">R491/$K$2</f>
        <v>461.145167753661</v>
      </c>
      <c r="T491" s="43" t="n">
        <f aca="false">S491-$M$2</f>
        <v>-2.99618806109862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0.1591796875</v>
      </c>
      <c r="C492" s="25" t="n">
        <f aca="false">IF(T491&gt;0,D491,C491)</f>
        <v>0.162109375</v>
      </c>
      <c r="D492" s="41" t="n">
        <f aca="false">(B492+C492)/2</f>
        <v>0.16064453125</v>
      </c>
      <c r="E492" s="15" t="n">
        <f aca="false">$C$2*(1+IF(E$3&lt;=$O$2,$D492,$D492-($D492-$I$481)*MIN(E$3-$O$2,$Q$2)/$Q$2))</f>
        <v>9470.859375</v>
      </c>
      <c r="F492" s="15" t="n">
        <f aca="false">E492*(1+IF(F$3&lt;=$O$2,$D492,$D492-($D492-$I$481)*MIN(F$3-$O$2,$Q$2)/$Q$2))</f>
        <v>10992.3011398315</v>
      </c>
      <c r="G492" s="15" t="n">
        <f aca="false">F492*(1+IF(G$3&lt;=$O$2,$D492,$D492-($D492-$I$481)*MIN(G$3-$O$2,$Q$2)/$Q$2))</f>
        <v>12758.1542037986</v>
      </c>
      <c r="H492" s="15" t="n">
        <f aca="false">G492*(1+IF(H$3&lt;=$O$2,$D492,$D492-($D492-$I$481)*MIN(H$3-$O$2,$Q$2)/$Q$2))</f>
        <v>14807.6819054831</v>
      </c>
      <c r="I492" s="15" t="n">
        <f aca="false">H492*(1+IF(I$3&lt;=$O$2,$D492,$D492-($D492-$I$481)*MIN(I$3-$O$2,$Q$2)/$Q$2))</f>
        <v>17186.4550240885</v>
      </c>
      <c r="J492" s="15" t="n">
        <f aca="false">I492*(1+IF(J$3&lt;=$O$2,$D492,$D492-($D492-$I$481)*MIN(J$3-$O$2,$Q$2)/$Q$2))</f>
        <v>19475.2719134559</v>
      </c>
      <c r="K492" s="15" t="n">
        <f aca="false">J492*(1+IF(K$3&lt;=$O$2,$D492,$D492-($D492-$I$481)*MIN(K$3-$O$2,$Q$2)/$Q$2))</f>
        <v>21533.9390041913</v>
      </c>
      <c r="L492" s="15" t="n">
        <f aca="false">K492*(1+IF(L$3&lt;=$O$2,$D492,$D492-($D492-$I$481)*MIN(L$3-$O$2,$Q$2)/$Q$2))</f>
        <v>23218.7072863877</v>
      </c>
      <c r="M492" s="15" t="n">
        <f aca="false">L492*(1+IF(M$3&lt;=$O$2,$D492,$D492-($D492-$I$481)*MIN(M$3-$O$2,$Q$2)/$Q$2))</f>
        <v>24397.4956598565</v>
      </c>
      <c r="N492" s="15" t="n">
        <f aca="false">M492*(1+IF(N$3&lt;=$O$2,$D492,$D492-($D492-$I$481)*MIN(N$3-$O$2,$Q$2)/$Q$2))</f>
        <v>24965.9573087312</v>
      </c>
      <c r="O492" s="15" t="n">
        <f aca="false">SUMPRODUCT(E492:N492,1/(1+$F$481)^$E$3:$N$3)*$E$2</f>
        <v>38244.0874948597</v>
      </c>
      <c r="P492" s="15" t="n">
        <f aca="false">N492*$E$2*(1+$I$481)/($F$481-$I$481)/(1+$F$481)^$N$3</f>
        <v>48407.9415348748</v>
      </c>
      <c r="Q492" s="15" t="n">
        <f aca="false">O492+P492</f>
        <v>86652.0290297344</v>
      </c>
      <c r="R492" s="15" t="n">
        <f aca="false">Q492-$G$2+$I$2</f>
        <v>80532.0290297344</v>
      </c>
      <c r="S492" s="42" t="n">
        <f aca="false">R492/$K$2</f>
        <v>465.019222945689</v>
      </c>
      <c r="T492" s="43" t="n">
        <f aca="false">S492-$M$2</f>
        <v>0.877867130929815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0.1591796875</v>
      </c>
      <c r="C493" s="25" t="n">
        <f aca="false">IF(T492&gt;0,D492,C492)</f>
        <v>0.16064453125</v>
      </c>
      <c r="D493" s="41" t="n">
        <f aca="false">(B493+C493)/2</f>
        <v>0.159912109375</v>
      </c>
      <c r="E493" s="15" t="n">
        <f aca="false">$C$2*(1+IF(E$3&lt;=$O$2,$D493,$D493-($D493-$I$481)*MIN(E$3-$O$2,$Q$2)/$Q$2))</f>
        <v>9464.8828125</v>
      </c>
      <c r="F493" s="15" t="n">
        <f aca="false">E493*(1+IF(F$3&lt;=$O$2,$D493,$D493-($D493-$I$481)*MIN(F$3-$O$2,$Q$2)/$Q$2))</f>
        <v>10978.4321880341</v>
      </c>
      <c r="G493" s="15" t="n">
        <f aca="false">F493*(1+IF(G$3&lt;=$O$2,$D493,$D493-($D493-$I$481)*MIN(G$3-$O$2,$Q$2)/$Q$2))</f>
        <v>12734.016436853</v>
      </c>
      <c r="H493" s="15" t="n">
        <f aca="false">G493*(1+IF(H$3&lt;=$O$2,$D493,$D493-($D493-$I$481)*MIN(H$3-$O$2,$Q$2)/$Q$2))</f>
        <v>14770.3398660861</v>
      </c>
      <c r="I493" s="15" t="n">
        <f aca="false">H493*(1+IF(I$3&lt;=$O$2,$D493,$D493-($D493-$I$481)*MIN(I$3-$O$2,$Q$2)/$Q$2))</f>
        <v>17132.2960702575</v>
      </c>
      <c r="J493" s="15" t="n">
        <f aca="false">I493*(1+IF(J$3&lt;=$O$2,$D493,$D493-($D493-$I$481)*MIN(J$3-$O$2,$Q$2)/$Q$2))</f>
        <v>19403.8618523705</v>
      </c>
      <c r="K493" s="15" t="n">
        <f aca="false">J493*(1+IF(K$3&lt;=$O$2,$D493,$D493-($D493-$I$481)*MIN(K$3-$O$2,$Q$2)/$Q$2))</f>
        <v>21446.4533321348</v>
      </c>
      <c r="L493" s="15" t="n">
        <f aca="false">K493*(1+IF(L$3&lt;=$O$2,$D493,$D493-($D493-$I$481)*MIN(L$3-$O$2,$Q$2)/$Q$2))</f>
        <v>23118.0937860997</v>
      </c>
      <c r="M493" s="15" t="n">
        <f aca="false">L493*(1+IF(M$3&lt;=$O$2,$D493,$D493-($D493-$I$481)*MIN(M$3-$O$2,$Q$2)/$Q$2))</f>
        <v>24288.3876826854</v>
      </c>
      <c r="N493" s="15" t="n">
        <f aca="false">M493*(1+IF(N$3&lt;=$O$2,$D493,$D493-($D493-$I$481)*MIN(N$3-$O$2,$Q$2)/$Q$2))</f>
        <v>24854.307115692</v>
      </c>
      <c r="O493" s="15" t="n">
        <f aca="false">SUMPRODUCT(E493:N493,1/(1+$F$481)^$E$3:$N$3)*$E$2</f>
        <v>38124.510855667</v>
      </c>
      <c r="P493" s="15" t="n">
        <f aca="false">N493*$E$2*(1+$I$481)/($F$481-$I$481)/(1+$F$481)^$N$3</f>
        <v>48191.4565048732</v>
      </c>
      <c r="Q493" s="15" t="n">
        <f aca="false">O493+P493</f>
        <v>86315.9673605402</v>
      </c>
      <c r="R493" s="15" t="n">
        <f aca="false">Q493-$G$2+$I$2</f>
        <v>80195.9673605402</v>
      </c>
      <c r="S493" s="42" t="n">
        <f aca="false">R493/$K$2</f>
        <v>463.078688997229</v>
      </c>
      <c r="T493" s="43" t="n">
        <f aca="false">S493-$M$2</f>
        <v>-1.06266681752987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0.159912109375</v>
      </c>
      <c r="C494" s="25" t="n">
        <f aca="false">IF(T493&gt;0,D493,C493)</f>
        <v>0.16064453125</v>
      </c>
      <c r="D494" s="41" t="n">
        <f aca="false">(B494+C494)/2</f>
        <v>0.1602783203125</v>
      </c>
      <c r="E494" s="15" t="n">
        <f aca="false">$C$2*(1+IF(E$3&lt;=$O$2,$D494,$D494-($D494-$I$481)*MIN(E$3-$O$2,$Q$2)/$Q$2))</f>
        <v>9467.87109375</v>
      </c>
      <c r="F494" s="15" t="n">
        <f aca="false">E494*(1+IF(F$3&lt;=$O$2,$D494,$D494-($D494-$I$481)*MIN(F$3-$O$2,$Q$2)/$Q$2))</f>
        <v>10985.3655695915</v>
      </c>
      <c r="G494" s="15" t="n">
        <f aca="false">F494*(1+IF(G$3&lt;=$O$2,$D494,$D494-($D494-$I$481)*MIN(G$3-$O$2,$Q$2)/$Q$2))</f>
        <v>12746.0815111044</v>
      </c>
      <c r="H494" s="15" t="n">
        <f aca="false">G494*(1+IF(H$3&lt;=$O$2,$D494,$D494-($D494-$I$481)*MIN(H$3-$O$2,$Q$2)/$Q$2))</f>
        <v>14789.0020462704</v>
      </c>
      <c r="I494" s="15" t="n">
        <f aca="false">H494*(1+IF(I$3&lt;=$O$2,$D494,$D494-($D494-$I$481)*MIN(I$3-$O$2,$Q$2)/$Q$2))</f>
        <v>17159.3584533448</v>
      </c>
      <c r="J494" s="15" t="n">
        <f aca="false">I494*(1+IF(J$3&lt;=$O$2,$D494,$D494-($D494-$I$481)*MIN(J$3-$O$2,$Q$2)/$Q$2))</f>
        <v>19439.5395841712</v>
      </c>
      <c r="K494" s="15" t="n">
        <f aca="false">J494*(1+IF(K$3&lt;=$O$2,$D494,$D494-($D494-$I$481)*MIN(K$3-$O$2,$Q$2)/$Q$2))</f>
        <v>21490.1581444152</v>
      </c>
      <c r="L494" s="15" t="n">
        <f aca="false">K494*(1+IF(L$3&lt;=$O$2,$D494,$D494-($D494-$I$481)*MIN(L$3-$O$2,$Q$2)/$Q$2))</f>
        <v>23168.3531355289</v>
      </c>
      <c r="M494" s="15" t="n">
        <f aca="false">L494*(1+IF(M$3&lt;=$O$2,$D494,$D494-($D494-$I$481)*MIN(M$3-$O$2,$Q$2)/$Q$2))</f>
        <v>24342.888182969</v>
      </c>
      <c r="N494" s="15" t="n">
        <f aca="false">M494*(1+IF(N$3&lt;=$O$2,$D494,$D494-($D494-$I$481)*MIN(N$3-$O$2,$Q$2)/$Q$2))</f>
        <v>24910.0774776322</v>
      </c>
      <c r="O494" s="15" t="n">
        <f aca="false">SUMPRODUCT(E494:N494,1/(1+$F$481)^$E$3:$N$3)*$E$2</f>
        <v>38184.2532524636</v>
      </c>
      <c r="P494" s="15" t="n">
        <f aca="false">N494*$E$2*(1+$I$481)/($F$481-$I$481)/(1+$F$481)^$N$3</f>
        <v>48299.5928918258</v>
      </c>
      <c r="Q494" s="15" t="n">
        <f aca="false">O494+P494</f>
        <v>86483.8461442894</v>
      </c>
      <c r="R494" s="15" t="n">
        <f aca="false">Q494-$G$2+$I$2</f>
        <v>80363.8461442894</v>
      </c>
      <c r="S494" s="42" t="n">
        <f aca="false">R494/$K$2</f>
        <v>464.048077978343</v>
      </c>
      <c r="T494" s="43" t="n">
        <f aca="false">S494-$M$2</f>
        <v>-0.0932778364163482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0.1602783203125</v>
      </c>
      <c r="C495" s="25" t="n">
        <f aca="false">IF(T494&gt;0,D494,C494)</f>
        <v>0.16064453125</v>
      </c>
      <c r="D495" s="41" t="n">
        <f aca="false">(B495+C495)/2</f>
        <v>0.16046142578125</v>
      </c>
      <c r="E495" s="15" t="n">
        <f aca="false">$C$2*(1+IF(E$3&lt;=$O$2,$D495,$D495-($D495-$I$481)*MIN(E$3-$O$2,$Q$2)/$Q$2))</f>
        <v>9469.365234375</v>
      </c>
      <c r="F495" s="15" t="n">
        <f aca="false">E495*(1+IF(F$3&lt;=$O$2,$D495,$D495-($D495-$I$481)*MIN(F$3-$O$2,$Q$2)/$Q$2))</f>
        <v>10988.8330811262</v>
      </c>
      <c r="G495" s="15" t="n">
        <f aca="false">F495*(1+IF(G$3&lt;=$O$2,$D495,$D495-($D495-$I$481)*MIN(G$3-$O$2,$Q$2)/$Q$2))</f>
        <v>12752.1169049959</v>
      </c>
      <c r="H495" s="15" t="n">
        <f aca="false">G495*(1+IF(H$3&lt;=$O$2,$D495,$D495-($D495-$I$481)*MIN(H$3-$O$2,$Q$2)/$Q$2))</f>
        <v>14798.3397653007</v>
      </c>
      <c r="I495" s="15" t="n">
        <f aca="false">H495*(1+IF(I$3&lt;=$O$2,$D495,$D495-($D495-$I$481)*MIN(I$3-$O$2,$Q$2)/$Q$2))</f>
        <v>17172.9024632362</v>
      </c>
      <c r="J495" s="15" t="n">
        <f aca="false">I495*(1+IF(J$3&lt;=$O$2,$D495,$D495-($D495-$I$481)*MIN(J$3-$O$2,$Q$2)/$Q$2))</f>
        <v>19457.3989199575</v>
      </c>
      <c r="K495" s="15" t="n">
        <f aca="false">J495*(1+IF(K$3&lt;=$O$2,$D495,$D495-($D495-$I$481)*MIN(K$3-$O$2,$Q$2)/$Q$2))</f>
        <v>21512.0390615061</v>
      </c>
      <c r="L495" s="15" t="n">
        <f aca="false">K495*(1+IF(L$3&lt;=$O$2,$D495,$D495-($D495-$I$481)*MIN(L$3-$O$2,$Q$2)/$Q$2))</f>
        <v>23193.5183512944</v>
      </c>
      <c r="M495" s="15" t="n">
        <f aca="false">L495*(1+IF(M$3&lt;=$O$2,$D495,$D495-($D495-$I$481)*MIN(M$3-$O$2,$Q$2)/$Q$2))</f>
        <v>24370.178538069</v>
      </c>
      <c r="N495" s="15" t="n">
        <f aca="false">M495*(1+IF(N$3&lt;=$O$2,$D495,$D495-($D495-$I$481)*MIN(N$3-$O$2,$Q$2)/$Q$2))</f>
        <v>24938.003698006</v>
      </c>
      <c r="O495" s="15" t="n">
        <f aca="false">SUMPRODUCT(E495:N495,1/(1+$F$481)^$E$3:$N$3)*$E$2</f>
        <v>38214.1588848684</v>
      </c>
      <c r="P495" s="15" t="n">
        <f aca="false">N495*$E$2*(1+$I$481)/($F$481-$I$481)/(1+$F$481)^$N$3</f>
        <v>48353.7406589805</v>
      </c>
      <c r="Q495" s="15" t="n">
        <f aca="false">O495+P495</f>
        <v>86567.8995438489</v>
      </c>
      <c r="R495" s="15" t="n">
        <f aca="false">Q495-$G$2+$I$2</f>
        <v>80447.8995438489</v>
      </c>
      <c r="S495" s="42" t="n">
        <f aca="false">R495/$K$2</f>
        <v>464.533430787902</v>
      </c>
      <c r="T495" s="43" t="n">
        <f aca="false">S495-$M$2</f>
        <v>0.392074973142826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0.1602783203125</v>
      </c>
      <c r="C496" s="25" t="n">
        <f aca="false">IF(T495&gt;0,D495,C495)</f>
        <v>0.16046142578125</v>
      </c>
      <c r="D496" s="41" t="n">
        <f aca="false">(B496+C496)/2</f>
        <v>0.160369873046875</v>
      </c>
      <c r="E496" s="15" t="n">
        <f aca="false">$C$2*(1+IF(E$3&lt;=$O$2,$D496,$D496-($D496-$I$481)*MIN(E$3-$O$2,$Q$2)/$Q$2))</f>
        <v>9468.6181640625</v>
      </c>
      <c r="F496" s="15" t="n">
        <f aca="false">E496*(1+IF(F$3&lt;=$O$2,$D496,$D496-($D496-$I$481)*MIN(F$3-$O$2,$Q$2)/$Q$2))</f>
        <v>10987.0992569625</v>
      </c>
      <c r="G496" s="15" t="n">
        <f aca="false">F496*(1+IF(G$3&lt;=$O$2,$D496,$D496-($D496-$I$481)*MIN(G$3-$O$2,$Q$2)/$Q$2))</f>
        <v>12749.098969955</v>
      </c>
      <c r="H496" s="15" t="n">
        <f aca="false">G496*(1+IF(H$3&lt;=$O$2,$D496,$D496-($D496-$I$481)*MIN(H$3-$O$2,$Q$2)/$Q$2))</f>
        <v>14793.6703532288</v>
      </c>
      <c r="I496" s="15" t="n">
        <f aca="false">H496*(1+IF(I$3&lt;=$O$2,$D496,$D496-($D496-$I$481)*MIN(I$3-$O$2,$Q$2)/$Q$2))</f>
        <v>17166.1293896734</v>
      </c>
      <c r="J496" s="15" t="n">
        <f aca="false">I496*(1+IF(J$3&lt;=$O$2,$D496,$D496-($D496-$I$481)*MIN(J$3-$O$2,$Q$2)/$Q$2))</f>
        <v>19448.4675453718</v>
      </c>
      <c r="K496" s="15" t="n">
        <f aca="false">J496*(1+IF(K$3&lt;=$O$2,$D496,$D496-($D496-$I$481)*MIN(K$3-$O$2,$Q$2)/$Q$2))</f>
        <v>21501.0962256192</v>
      </c>
      <c r="L496" s="15" t="n">
        <f aca="false">K496*(1+IF(L$3&lt;=$O$2,$D496,$D496-($D496-$I$481)*MIN(L$3-$O$2,$Q$2)/$Q$2))</f>
        <v>23180.9327796818</v>
      </c>
      <c r="M496" s="15" t="n">
        <f aca="false">L496*(1+IF(M$3&lt;=$O$2,$D496,$D496-($D496-$I$481)*MIN(M$3-$O$2,$Q$2)/$Q$2))</f>
        <v>24356.5300160922</v>
      </c>
      <c r="N496" s="15" t="n">
        <f aca="false">M496*(1+IF(N$3&lt;=$O$2,$D496,$D496-($D496-$I$481)*MIN(N$3-$O$2,$Q$2)/$Q$2))</f>
        <v>24924.0371654672</v>
      </c>
      <c r="O496" s="15" t="n">
        <f aca="false">SUMPRODUCT(E496:N496,1/(1+$F$481)^$E$3:$N$3)*$E$2</f>
        <v>38199.2031974797</v>
      </c>
      <c r="P496" s="15" t="n">
        <f aca="false">N496*$E$2*(1+$I$481)/($F$481-$I$481)/(1+$F$481)^$N$3</f>
        <v>48326.6601396066</v>
      </c>
      <c r="Q496" s="15" t="n">
        <f aca="false">O496+P496</f>
        <v>86525.8633370864</v>
      </c>
      <c r="R496" s="15" t="n">
        <f aca="false">Q496-$G$2+$I$2</f>
        <v>80405.8633370864</v>
      </c>
      <c r="S496" s="42" t="n">
        <f aca="false">R496/$K$2</f>
        <v>464.290699486583</v>
      </c>
      <c r="T496" s="43" t="n">
        <f aca="false">S496-$M$2</f>
        <v>0.149343671823317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0.1602783203125</v>
      </c>
      <c r="C497" s="25" t="n">
        <f aca="false">IF(T496&gt;0,D496,C496)</f>
        <v>0.160369873046875</v>
      </c>
      <c r="D497" s="41" t="n">
        <f aca="false">(B497+C497)/2</f>
        <v>0.160324096679688</v>
      </c>
      <c r="E497" s="15" t="n">
        <f aca="false">$C$2*(1+IF(E$3&lt;=$O$2,$D497,$D497-($D497-$I$481)*MIN(E$3-$O$2,$Q$2)/$Q$2))</f>
        <v>9468.24462890625</v>
      </c>
      <c r="F497" s="15" t="n">
        <f aca="false">E497*(1+IF(F$3&lt;=$O$2,$D497,$D497-($D497-$I$481)*MIN(F$3-$O$2,$Q$2)/$Q$2))</f>
        <v>10986.2323961779</v>
      </c>
      <c r="G497" s="15" t="n">
        <f aca="false">F497*(1+IF(G$3&lt;=$O$2,$D497,$D497-($D497-$I$481)*MIN(G$3-$O$2,$Q$2)/$Q$2))</f>
        <v>12747.5901810083</v>
      </c>
      <c r="H497" s="15" t="n">
        <f aca="false">G497*(1+IF(H$3&lt;=$O$2,$D497,$D497-($D497-$I$481)*MIN(H$3-$O$2,$Q$2)/$Q$2))</f>
        <v>14791.3360616213</v>
      </c>
      <c r="I497" s="15" t="n">
        <f aca="false">H497*(1+IF(I$3&lt;=$O$2,$D497,$D497-($D497-$I$481)*MIN(I$3-$O$2,$Q$2)/$Q$2))</f>
        <v>17162.7436543864</v>
      </c>
      <c r="J497" s="15" t="n">
        <f aca="false">I497*(1+IF(J$3&lt;=$O$2,$D497,$D497-($D497-$I$481)*MIN(J$3-$O$2,$Q$2)/$Q$2))</f>
        <v>19444.0031381635</v>
      </c>
      <c r="K497" s="15" t="n">
        <f aca="false">J497*(1+IF(K$3&lt;=$O$2,$D497,$D497-($D497-$I$481)*MIN(K$3-$O$2,$Q$2)/$Q$2))</f>
        <v>21495.626590789</v>
      </c>
      <c r="L497" s="15" t="n">
        <f aca="false">K497*(1+IF(L$3&lt;=$O$2,$D497,$D497-($D497-$I$481)*MIN(L$3-$O$2,$Q$2)/$Q$2))</f>
        <v>23174.6422168211</v>
      </c>
      <c r="M497" s="15" t="n">
        <f aca="false">L497*(1+IF(M$3&lt;=$O$2,$D497,$D497-($D497-$I$481)*MIN(M$3-$O$2,$Q$2)/$Q$2))</f>
        <v>24349.7082636</v>
      </c>
      <c r="N497" s="15" t="n">
        <f aca="false">M497*(1+IF(N$3&lt;=$O$2,$D497,$D497-($D497-$I$481)*MIN(N$3-$O$2,$Q$2)/$Q$2))</f>
        <v>24917.0564661419</v>
      </c>
      <c r="O497" s="15" t="n">
        <f aca="false">SUMPRODUCT(E497:N497,1/(1+$F$481)^$E$3:$N$3)*$E$2</f>
        <v>38191.7275073016</v>
      </c>
      <c r="P497" s="15" t="n">
        <f aca="false">N497*$E$2*(1+$I$481)/($F$481-$I$481)/(1+$F$481)^$N$3</f>
        <v>48313.1248571165</v>
      </c>
      <c r="Q497" s="15" t="n">
        <f aca="false">O497+P497</f>
        <v>86504.8523644181</v>
      </c>
      <c r="R497" s="15" t="n">
        <f aca="false">Q497-$G$2+$I$2</f>
        <v>80384.8523644181</v>
      </c>
      <c r="S497" s="42" t="n">
        <f aca="false">R497/$K$2</f>
        <v>464.169375011076</v>
      </c>
      <c r="T497" s="43" t="n">
        <f aca="false">S497-$M$2</f>
        <v>0.0280191963164498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0.1602783203125</v>
      </c>
      <c r="C498" s="25" t="n">
        <f aca="false">IF(T497&gt;0,D497,C497)</f>
        <v>0.160324096679688</v>
      </c>
      <c r="D498" s="41" t="n">
        <f aca="false">(B498+C498)/2</f>
        <v>0.160301208496094</v>
      </c>
      <c r="E498" s="15" t="n">
        <f aca="false">$C$2*(1+IF(E$3&lt;=$O$2,$D498,$D498-($D498-$I$481)*MIN(E$3-$O$2,$Q$2)/$Q$2))</f>
        <v>9468.05786132813</v>
      </c>
      <c r="F498" s="15" t="n">
        <f aca="false">E498*(1+IF(F$3&lt;=$O$2,$D498,$D498-($D498-$I$481)*MIN(F$3-$O$2,$Q$2)/$Q$2))</f>
        <v>10985.79897861</v>
      </c>
      <c r="G498" s="15" t="n">
        <f aca="false">F498*(1+IF(G$3&lt;=$O$2,$D498,$D498-($D498-$I$481)*MIN(G$3-$O$2,$Q$2)/$Q$2))</f>
        <v>12746.8358311763</v>
      </c>
      <c r="H498" s="15" t="n">
        <f aca="false">G498*(1+IF(H$3&lt;=$O$2,$D498,$D498-($D498-$I$481)*MIN(H$3-$O$2,$Q$2)/$Q$2))</f>
        <v>14790.1690194152</v>
      </c>
      <c r="I498" s="15" t="n">
        <f aca="false">H498*(1+IF(I$3&lt;=$O$2,$D498,$D498-($D498-$I$481)*MIN(I$3-$O$2,$Q$2)/$Q$2))</f>
        <v>17161.0509870889</v>
      </c>
      <c r="J498" s="15" t="n">
        <f aca="false">I498*(1+IF(J$3&lt;=$O$2,$D498,$D498-($D498-$I$481)*MIN(J$3-$O$2,$Q$2)/$Q$2))</f>
        <v>19441.7712545235</v>
      </c>
      <c r="K498" s="15" t="n">
        <f aca="false">J498*(1+IF(K$3&lt;=$O$2,$D498,$D498-($D498-$I$481)*MIN(K$3-$O$2,$Q$2)/$Q$2))</f>
        <v>21492.8922190585</v>
      </c>
      <c r="L498" s="15" t="n">
        <f aca="false">K498*(1+IF(L$3&lt;=$O$2,$D498,$D498-($D498-$I$481)*MIN(L$3-$O$2,$Q$2)/$Q$2))</f>
        <v>23171.4974909975</v>
      </c>
      <c r="M498" s="15" t="n">
        <f aca="false">L498*(1+IF(M$3&lt;=$O$2,$D498,$D498-($D498-$I$481)*MIN(M$3-$O$2,$Q$2)/$Q$2))</f>
        <v>24346.2980143239</v>
      </c>
      <c r="N498" s="15" t="n">
        <f aca="false">M498*(1+IF(N$3&lt;=$O$2,$D498,$D498-($D498-$I$481)*MIN(N$3-$O$2,$Q$2)/$Q$2))</f>
        <v>24913.5667580576</v>
      </c>
      <c r="O498" s="15" t="n">
        <f aca="false">SUMPRODUCT(E498:N498,1/(1+$F$481)^$E$3:$N$3)*$E$2</f>
        <v>38187.9902004809</v>
      </c>
      <c r="P498" s="15" t="n">
        <f aca="false">N498*$E$2*(1+$I$481)/($F$481-$I$481)/(1+$F$481)^$N$3</f>
        <v>48306.358459865</v>
      </c>
      <c r="Q498" s="15" t="n">
        <f aca="false">O498+P498</f>
        <v>86494.3486603458</v>
      </c>
      <c r="R498" s="15" t="n">
        <f aca="false">Q498-$G$2+$I$2</f>
        <v>80374.3486603458</v>
      </c>
      <c r="S498" s="42" t="n">
        <f aca="false">R498/$K$2</f>
        <v>464.108723064706</v>
      </c>
      <c r="T498" s="43" t="n">
        <f aca="false">S498-$M$2</f>
        <v>-0.0326327500530397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0.160301208496094</v>
      </c>
      <c r="C499" s="25" t="n">
        <f aca="false">IF(T498&gt;0,D498,C498)</f>
        <v>0.160324096679688</v>
      </c>
      <c r="D499" s="41" t="n">
        <f aca="false">(B499+C499)/2</f>
        <v>0.160312652587891</v>
      </c>
      <c r="E499" s="15" t="n">
        <f aca="false">$C$2*(1+IF(E$3&lt;=$O$2,$D499,$D499-($D499-$I$481)*MIN(E$3-$O$2,$Q$2)/$Q$2))</f>
        <v>9468.15124511719</v>
      </c>
      <c r="F499" s="15" t="n">
        <f aca="false">E499*(1+IF(F$3&lt;=$O$2,$D499,$D499-($D499-$I$481)*MIN(F$3-$O$2,$Q$2)/$Q$2))</f>
        <v>10986.0156863253</v>
      </c>
      <c r="G499" s="15" t="n">
        <f aca="false">F499*(1+IF(G$3&lt;=$O$2,$D499,$D499-($D499-$I$481)*MIN(G$3-$O$2,$Q$2)/$Q$2))</f>
        <v>12747.2130023722</v>
      </c>
      <c r="H499" s="15" t="n">
        <f aca="false">G499*(1+IF(H$3&lt;=$O$2,$D499,$D499-($D499-$I$481)*MIN(H$3-$O$2,$Q$2)/$Q$2))</f>
        <v>14790.7525318854</v>
      </c>
      <c r="I499" s="15" t="n">
        <f aca="false">H499*(1+IF(I$3&lt;=$O$2,$D499,$D499-($D499-$I$481)*MIN(I$3-$O$2,$Q$2)/$Q$2))</f>
        <v>17161.897304043</v>
      </c>
      <c r="J499" s="15" t="n">
        <f aca="false">I499*(1+IF(J$3&lt;=$O$2,$D499,$D499-($D499-$I$481)*MIN(J$3-$O$2,$Q$2)/$Q$2))</f>
        <v>19442.8871696815</v>
      </c>
      <c r="K499" s="15" t="n">
        <f aca="false">J499*(1+IF(K$3&lt;=$O$2,$D499,$D499-($D499-$I$481)*MIN(K$3-$O$2,$Q$2)/$Q$2))</f>
        <v>21494.2593677862</v>
      </c>
      <c r="L499" s="15" t="n">
        <f aca="false">K499*(1+IF(L$3&lt;=$O$2,$D499,$D499-($D499-$I$481)*MIN(L$3-$O$2,$Q$2)/$Q$2))</f>
        <v>23173.0698076126</v>
      </c>
      <c r="M499" s="15" t="n">
        <f aca="false">L499*(1+IF(M$3&lt;=$O$2,$D499,$D499-($D499-$I$481)*MIN(M$3-$O$2,$Q$2)/$Q$2))</f>
        <v>24348.003086719</v>
      </c>
      <c r="N499" s="15" t="n">
        <f aca="false">M499*(1+IF(N$3&lt;=$O$2,$D499,$D499-($D499-$I$481)*MIN(N$3-$O$2,$Q$2)/$Q$2))</f>
        <v>24915.3115586396</v>
      </c>
      <c r="O499" s="15" t="n">
        <f aca="false">SUMPRODUCT(E499:N499,1/(1+$F$481)^$E$3:$N$3)*$E$2</f>
        <v>38189.8588090388</v>
      </c>
      <c r="P499" s="15" t="n">
        <f aca="false">N499*$E$2*(1+$I$481)/($F$481-$I$481)/(1+$F$481)^$N$3</f>
        <v>48309.7415548337</v>
      </c>
      <c r="Q499" s="15" t="n">
        <f aca="false">O499+P499</f>
        <v>86499.6003638725</v>
      </c>
      <c r="R499" s="15" t="n">
        <f aca="false">Q499-$G$2+$I$2</f>
        <v>80379.6003638725</v>
      </c>
      <c r="S499" s="42" t="n">
        <f aca="false">R499/$K$2</f>
        <v>464.139048180347</v>
      </c>
      <c r="T499" s="43" t="n">
        <f aca="false">S499-$M$2</f>
        <v>-0.00230763441214776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0.160312652587891</v>
      </c>
      <c r="C500" s="25" t="n">
        <f aca="false">IF(T499&gt;0,D499,C499)</f>
        <v>0.160324096679688</v>
      </c>
      <c r="D500" s="41" t="n">
        <f aca="false">(B500+C500)/2</f>
        <v>0.160318374633789</v>
      </c>
      <c r="E500" s="15" t="n">
        <f aca="false">$C$2*(1+IF(E$3&lt;=$O$2,$D500,$D500-($D500-$I$481)*MIN(E$3-$O$2,$Q$2)/$Q$2))</f>
        <v>9468.19793701172</v>
      </c>
      <c r="F500" s="15" t="n">
        <f aca="false">E500*(1+IF(F$3&lt;=$O$2,$D500,$D500-($D500-$I$481)*MIN(F$3-$O$2,$Q$2)/$Q$2))</f>
        <v>10986.1240409844</v>
      </c>
      <c r="G500" s="15" t="n">
        <f aca="false">F500*(1+IF(G$3&lt;=$O$2,$D500,$D500-($D500-$I$481)*MIN(G$3-$O$2,$Q$2)/$Q$2))</f>
        <v>12747.4015907603</v>
      </c>
      <c r="H500" s="15" t="n">
        <f aca="false">G500*(1+IF(H$3&lt;=$O$2,$D500,$D500-($D500-$I$481)*MIN(H$3-$O$2,$Q$2)/$Q$2))</f>
        <v>14791.0442945951</v>
      </c>
      <c r="I500" s="15" t="n">
        <f aca="false">H500*(1+IF(I$3&lt;=$O$2,$D500,$D500-($D500-$I$481)*MIN(I$3-$O$2,$Q$2)/$Q$2))</f>
        <v>17162.320475041</v>
      </c>
      <c r="J500" s="15" t="n">
        <f aca="false">I500*(1+IF(J$3&lt;=$O$2,$D500,$D500-($D500-$I$481)*MIN(J$3-$O$2,$Q$2)/$Q$2))</f>
        <v>19443.4451472569</v>
      </c>
      <c r="K500" s="15" t="n">
        <f aca="false">J500*(1+IF(K$3&lt;=$O$2,$D500,$D500-($D500-$I$481)*MIN(K$3-$O$2,$Q$2)/$Q$2))</f>
        <v>21494.942970003</v>
      </c>
      <c r="L500" s="15" t="n">
        <f aca="false">K500*(1+IF(L$3&lt;=$O$2,$D500,$D500-($D500-$I$481)*MIN(L$3-$O$2,$Q$2)/$Q$2))</f>
        <v>23173.8560006424</v>
      </c>
      <c r="M500" s="15" t="n">
        <f aca="false">L500*(1+IF(M$3&lt;=$O$2,$D500,$D500-($D500-$I$481)*MIN(M$3-$O$2,$Q$2)/$Q$2))</f>
        <v>24348.8556620985</v>
      </c>
      <c r="N500" s="15" t="n">
        <f aca="false">M500*(1+IF(N$3&lt;=$O$2,$D500,$D500-($D500-$I$481)*MIN(N$3-$O$2,$Q$2)/$Q$2))</f>
        <v>24916.1839990253</v>
      </c>
      <c r="O500" s="15" t="n">
        <f aca="false">SUMPRODUCT(E500:N500,1/(1+$F$481)^$E$3:$N$3)*$E$2</f>
        <v>38190.7931469568</v>
      </c>
      <c r="P500" s="15" t="n">
        <f aca="false">N500*$E$2*(1+$I$481)/($F$481-$I$481)/(1+$F$481)^$N$3</f>
        <v>48311.4331800602</v>
      </c>
      <c r="Q500" s="15" t="n">
        <f aca="false">O500+P500</f>
        <v>86502.226327017</v>
      </c>
      <c r="R500" s="15" t="n">
        <f aca="false">Q500-$G$2+$I$2</f>
        <v>80382.226327017</v>
      </c>
      <c r="S500" s="42" t="n">
        <f aca="false">R500/$K$2</f>
        <v>464.15421138132</v>
      </c>
      <c r="T500" s="43" t="n">
        <f aca="false">S500-$M$2</f>
        <v>0.0128555665608587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0.160312652587891</v>
      </c>
      <c r="C501" s="25" t="n">
        <f aca="false">IF(T500&gt;0,D500,C500)</f>
        <v>0.160318374633789</v>
      </c>
      <c r="D501" s="41" t="n">
        <f aca="false">(B501+C501)/2</f>
        <v>0.16031551361084</v>
      </c>
      <c r="E501" s="15" t="n">
        <f aca="false">$C$2*(1+IF(E$3&lt;=$O$2,$D501,$D501-($D501-$I$481)*MIN(E$3-$O$2,$Q$2)/$Q$2))</f>
        <v>9468.17459106445</v>
      </c>
      <c r="F501" s="15" t="n">
        <f aca="false">E501*(1+IF(F$3&lt;=$O$2,$D501,$D501-($D501-$I$481)*MIN(F$3-$O$2,$Q$2)/$Q$2))</f>
        <v>10986.0698635881</v>
      </c>
      <c r="G501" s="15" t="n">
        <f aca="false">F501*(1+IF(G$3&lt;=$O$2,$D501,$D501-($D501-$I$481)*MIN(G$3-$O$2,$Q$2)/$Q$2))</f>
        <v>12747.3072963337</v>
      </c>
      <c r="H501" s="15" t="n">
        <f aca="false">G501*(1+IF(H$3&lt;=$O$2,$D501,$D501-($D501-$I$481)*MIN(H$3-$O$2,$Q$2)/$Q$2))</f>
        <v>14790.8984127007</v>
      </c>
      <c r="I501" s="15" t="n">
        <f aca="false">H501*(1+IF(I$3&lt;=$O$2,$D501,$D501-($D501-$I$481)*MIN(I$3-$O$2,$Q$2)/$Q$2))</f>
        <v>17162.1088884986</v>
      </c>
      <c r="J501" s="15" t="n">
        <f aca="false">I501*(1+IF(J$3&lt;=$O$2,$D501,$D501-($D501-$I$481)*MIN(J$3-$O$2,$Q$2)/$Q$2))</f>
        <v>19443.1661568028</v>
      </c>
      <c r="K501" s="15" t="n">
        <f aca="false">J501*(1+IF(K$3&lt;=$O$2,$D501,$D501-($D501-$I$481)*MIN(K$3-$O$2,$Q$2)/$Q$2))</f>
        <v>21494.6011665735</v>
      </c>
      <c r="L501" s="15" t="n">
        <f aca="false">K501*(1+IF(L$3&lt;=$O$2,$D501,$D501-($D501-$I$481)*MIN(L$3-$O$2,$Q$2)/$Q$2))</f>
        <v>23173.4629012339</v>
      </c>
      <c r="M501" s="15" t="n">
        <f aca="false">L501*(1+IF(M$3&lt;=$O$2,$D501,$D501-($D501-$I$481)*MIN(M$3-$O$2,$Q$2)/$Q$2))</f>
        <v>24348.4293711435</v>
      </c>
      <c r="N501" s="15" t="n">
        <f aca="false">M501*(1+IF(N$3&lt;=$O$2,$D501,$D501-($D501-$I$481)*MIN(N$3-$O$2,$Q$2)/$Q$2))</f>
        <v>24915.7477754912</v>
      </c>
      <c r="O501" s="15" t="n">
        <f aca="false">SUMPRODUCT(E501:N501,1/(1+$F$481)^$E$3:$N$3)*$E$2</f>
        <v>38190.3259751945</v>
      </c>
      <c r="P501" s="15" t="n">
        <f aca="false">N501*$E$2*(1+$I$481)/($F$481-$I$481)/(1+$F$481)^$N$3</f>
        <v>48310.5873609683</v>
      </c>
      <c r="Q501" s="15" t="n">
        <f aca="false">O501+P501</f>
        <v>86500.9133361628</v>
      </c>
      <c r="R501" s="15" t="n">
        <f aca="false">Q501-$G$2+$I$2</f>
        <v>80380.9133361628</v>
      </c>
      <c r="S501" s="42" t="n">
        <f aca="false">R501/$K$2</f>
        <v>464.146629727237</v>
      </c>
      <c r="T501" s="43" t="n">
        <f aca="false">S501-$M$2</f>
        <v>0.00527391247726428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0.160312652587891</v>
      </c>
      <c r="C502" s="25" t="n">
        <f aca="false">IF(T501&gt;0,D501,C501)</f>
        <v>0.16031551361084</v>
      </c>
      <c r="D502" s="41" t="n">
        <f aca="false">(B502+C502)/2</f>
        <v>0.160314083099365</v>
      </c>
      <c r="E502" s="15" t="n">
        <f aca="false">$C$2*(1+IF(E$3&lt;=$O$2,$D502,$D502-($D502-$I$481)*MIN(E$3-$O$2,$Q$2)/$Q$2))</f>
        <v>9468.16291809082</v>
      </c>
      <c r="F502" s="15" t="n">
        <f aca="false">E502*(1+IF(F$3&lt;=$O$2,$D502,$D502-($D502-$I$481)*MIN(F$3-$O$2,$Q$2)/$Q$2))</f>
        <v>10986.04277494</v>
      </c>
      <c r="G502" s="15" t="n">
        <f aca="false">F502*(1+IF(G$3&lt;=$O$2,$D502,$D502-($D502-$I$481)*MIN(G$3-$O$2,$Q$2)/$Q$2))</f>
        <v>12747.2601492949</v>
      </c>
      <c r="H502" s="15" t="n">
        <f aca="false">G502*(1+IF(H$3&lt;=$O$2,$D502,$D502-($D502-$I$481)*MIN(H$3-$O$2,$Q$2)/$Q$2))</f>
        <v>14790.8254721582</v>
      </c>
      <c r="I502" s="15" t="n">
        <f aca="false">H502*(1+IF(I$3&lt;=$O$2,$D502,$D502-($D502-$I$481)*MIN(I$3-$O$2,$Q$2)/$Q$2))</f>
        <v>17162.0030960099</v>
      </c>
      <c r="J502" s="15" t="n">
        <f aca="false">I502*(1+IF(J$3&lt;=$O$2,$D502,$D502-($D502-$I$481)*MIN(J$3-$O$2,$Q$2)/$Q$2))</f>
        <v>19443.0266628256</v>
      </c>
      <c r="K502" s="15" t="n">
        <f aca="false">J502*(1+IF(K$3&lt;=$O$2,$D502,$D502-($D502-$I$481)*MIN(K$3-$O$2,$Q$2)/$Q$2))</f>
        <v>21494.4302665995</v>
      </c>
      <c r="L502" s="15" t="n">
        <f aca="false">K502*(1+IF(L$3&lt;=$O$2,$D502,$D502-($D502-$I$481)*MIN(L$3-$O$2,$Q$2)/$Q$2))</f>
        <v>23173.2663536999</v>
      </c>
      <c r="M502" s="15" t="n">
        <f aca="false">L502*(1+IF(M$3&lt;=$O$2,$D502,$D502-($D502-$I$481)*MIN(M$3-$O$2,$Q$2)/$Q$2))</f>
        <v>24348.216228115</v>
      </c>
      <c r="N502" s="15" t="n">
        <f aca="false">M502*(1+IF(N$3&lt;=$O$2,$D502,$D502-($D502-$I$481)*MIN(N$3-$O$2,$Q$2)/$Q$2))</f>
        <v>24915.5296662301</v>
      </c>
      <c r="O502" s="15" t="n">
        <f aca="false">SUMPRODUCT(E502:N502,1/(1+$F$481)^$E$3:$N$3)*$E$2</f>
        <v>38190.0923914158</v>
      </c>
      <c r="P502" s="15" t="n">
        <f aca="false">N502*$E$2*(1+$I$481)/($F$481-$I$481)/(1+$F$481)^$N$3</f>
        <v>48310.1644562813</v>
      </c>
      <c r="Q502" s="15" t="n">
        <f aca="false">O502+P502</f>
        <v>86500.2568476972</v>
      </c>
      <c r="R502" s="15" t="n">
        <f aca="false">Q502-$G$2+$I$2</f>
        <v>80380.2568476972</v>
      </c>
      <c r="S502" s="42" t="n">
        <f aca="false">R502/$K$2</f>
        <v>464.142838940393</v>
      </c>
      <c r="T502" s="43" t="n">
        <f aca="false">S502-$M$2</f>
        <v>0.00148312563328545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0.160312652587891</v>
      </c>
      <c r="C503" s="25" t="n">
        <f aca="false">IF(T502&gt;0,D502,C502)</f>
        <v>0.160314083099365</v>
      </c>
      <c r="D503" s="41" t="n">
        <f aca="false">(B503+C503)/2</f>
        <v>0.160313367843628</v>
      </c>
      <c r="E503" s="15" t="n">
        <f aca="false">$C$2*(1+IF(E$3&lt;=$O$2,$D503,$D503-($D503-$I$481)*MIN(E$3-$O$2,$Q$2)/$Q$2))</f>
        <v>9468.157081604</v>
      </c>
      <c r="F503" s="15" t="n">
        <f aca="false">E503*(1+IF(F$3&lt;=$O$2,$D503,$D503-($D503-$I$481)*MIN(F$3-$O$2,$Q$2)/$Q$2))</f>
        <v>10986.0292306284</v>
      </c>
      <c r="G503" s="15" t="n">
        <f aca="false">F503*(1+IF(G$3&lt;=$O$2,$D503,$D503-($D503-$I$481)*MIN(G$3-$O$2,$Q$2)/$Q$2))</f>
        <v>12747.236575819</v>
      </c>
      <c r="H503" s="15" t="n">
        <f aca="false">G503*(1+IF(H$3&lt;=$O$2,$D503,$D503-($D503-$I$481)*MIN(H$3-$O$2,$Q$2)/$Q$2))</f>
        <v>14790.789001988</v>
      </c>
      <c r="I503" s="15" t="n">
        <f aca="false">H503*(1+IF(I$3&lt;=$O$2,$D503,$D503-($D503-$I$481)*MIN(I$3-$O$2,$Q$2)/$Q$2))</f>
        <v>17161.9501999612</v>
      </c>
      <c r="J503" s="15" t="n">
        <f aca="false">I503*(1+IF(J$3&lt;=$O$2,$D503,$D503-($D503-$I$481)*MIN(J$3-$O$2,$Q$2)/$Q$2))</f>
        <v>19442.9569161494</v>
      </c>
      <c r="K503" s="15" t="n">
        <f aca="false">J503*(1+IF(K$3&lt;=$O$2,$D503,$D503-($D503-$I$481)*MIN(K$3-$O$2,$Q$2)/$Q$2))</f>
        <v>21494.3448170478</v>
      </c>
      <c r="L503" s="15" t="n">
        <f aca="false">K503*(1+IF(L$3&lt;=$O$2,$D503,$D503-($D503-$I$481)*MIN(L$3-$O$2,$Q$2)/$Q$2))</f>
        <v>23173.1680804754</v>
      </c>
      <c r="M503" s="15" t="n">
        <f aca="false">L503*(1+IF(M$3&lt;=$O$2,$D503,$D503-($D503-$I$481)*MIN(M$3-$O$2,$Q$2)/$Q$2))</f>
        <v>24348.1096572129</v>
      </c>
      <c r="N503" s="15" t="n">
        <f aca="false">M503*(1+IF(N$3&lt;=$O$2,$D503,$D503-($D503-$I$481)*MIN(N$3-$O$2,$Q$2)/$Q$2))</f>
        <v>24915.420612226</v>
      </c>
      <c r="O503" s="15" t="n">
        <f aca="false">SUMPRODUCT(E503:N503,1/(1+$F$481)^$E$3:$N$3)*$E$2</f>
        <v>38189.9756000521</v>
      </c>
      <c r="P503" s="15" t="n">
        <f aca="false">N503*$E$2*(1+$I$481)/($F$481-$I$481)/(1+$F$481)^$N$3</f>
        <v>48309.9530051526</v>
      </c>
      <c r="Q503" s="15" t="n">
        <f aca="false">O503+P503</f>
        <v>86499.9286052047</v>
      </c>
      <c r="R503" s="15" t="n">
        <f aca="false">Q503-$G$2+$I$2</f>
        <v>80379.9286052047</v>
      </c>
      <c r="S503" s="42" t="n">
        <f aca="false">R503/$K$2</f>
        <v>464.14094355702</v>
      </c>
      <c r="T503" s="43" t="n">
        <f aca="false">S503-$M$2</f>
        <v>-0.000412257739299093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0.160313367843628</v>
      </c>
      <c r="C504" s="25" t="n">
        <f aca="false">IF(T503&gt;0,D503,C503)</f>
        <v>0.160314083099365</v>
      </c>
      <c r="D504" s="41" t="n">
        <f aca="false">(B504+C504)/2</f>
        <v>0.160313725471497</v>
      </c>
      <c r="E504" s="15" t="n">
        <f aca="false">$C$2*(1+IF(E$3&lt;=$O$2,$D504,$D504-($D504-$I$481)*MIN(E$3-$O$2,$Q$2)/$Q$2))</f>
        <v>9468.15999984741</v>
      </c>
      <c r="F504" s="15" t="n">
        <f aca="false">E504*(1+IF(F$3&lt;=$O$2,$D504,$D504-($D504-$I$481)*MIN(F$3-$O$2,$Q$2)/$Q$2))</f>
        <v>10986.0360027832</v>
      </c>
      <c r="G504" s="15" t="n">
        <f aca="false">F504*(1+IF(G$3&lt;=$O$2,$D504,$D504-($D504-$I$481)*MIN(G$3-$O$2,$Q$2)/$Q$2))</f>
        <v>12747.2483625533</v>
      </c>
      <c r="H504" s="15" t="n">
        <f aca="false">G504*(1+IF(H$3&lt;=$O$2,$D504,$D504-($D504-$I$481)*MIN(H$3-$O$2,$Q$2)/$Q$2))</f>
        <v>14790.8072370647</v>
      </c>
      <c r="I504" s="15" t="n">
        <f aca="false">H504*(1+IF(I$3&lt;=$O$2,$D504,$D504-($D504-$I$481)*MIN(I$3-$O$2,$Q$2)/$Q$2))</f>
        <v>17161.9766479693</v>
      </c>
      <c r="J504" s="15" t="n">
        <f aca="false">I504*(1+IF(J$3&lt;=$O$2,$D504,$D504-($D504-$I$481)*MIN(J$3-$O$2,$Q$2)/$Q$2))</f>
        <v>19442.9917894614</v>
      </c>
      <c r="K504" s="15" t="n">
        <f aca="false">J504*(1+IF(K$3&lt;=$O$2,$D504,$D504-($D504-$I$481)*MIN(K$3-$O$2,$Q$2)/$Q$2))</f>
        <v>21494.3875417874</v>
      </c>
      <c r="L504" s="15" t="n">
        <f aca="false">K504*(1+IF(L$3&lt;=$O$2,$D504,$D504-($D504-$I$481)*MIN(L$3-$O$2,$Q$2)/$Q$2))</f>
        <v>23173.2172170424</v>
      </c>
      <c r="M504" s="15" t="n">
        <f aca="false">L504*(1+IF(M$3&lt;=$O$2,$D504,$D504-($D504-$I$481)*MIN(M$3-$O$2,$Q$2)/$Q$2))</f>
        <v>24348.1629426129</v>
      </c>
      <c r="N504" s="15" t="n">
        <f aca="false">M504*(1+IF(N$3&lt;=$O$2,$D504,$D504-($D504-$I$481)*MIN(N$3-$O$2,$Q$2)/$Q$2))</f>
        <v>24915.4751391758</v>
      </c>
      <c r="O504" s="15" t="n">
        <f aca="false">SUMPRODUCT(E504:N504,1/(1+$F$481)^$E$3:$N$3)*$E$2</f>
        <v>38190.0339956902</v>
      </c>
      <c r="P504" s="15" t="n">
        <f aca="false">N504*$E$2*(1+$I$481)/($F$481-$I$481)/(1+$F$481)^$N$3</f>
        <v>48310.0587306158</v>
      </c>
      <c r="Q504" s="15" t="n">
        <f aca="false">O504+P504</f>
        <v>86500.0927263059</v>
      </c>
      <c r="R504" s="15" t="n">
        <f aca="false">Q504-$G$2+$I$2</f>
        <v>80380.0927263059</v>
      </c>
      <c r="S504" s="42" t="n">
        <f aca="false">R504/$K$2</f>
        <v>464.141891247869</v>
      </c>
      <c r="T504" s="43" t="n">
        <f aca="false">S504-$M$2</f>
        <v>0.00053543310968962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0.160313367843628</v>
      </c>
      <c r="C505" s="25" t="n">
        <f aca="false">IF(T504&gt;0,D504,C504)</f>
        <v>0.160313725471497</v>
      </c>
      <c r="D505" s="41" t="n">
        <f aca="false">(B505+C505)/2</f>
        <v>0.160313546657562</v>
      </c>
      <c r="E505" s="15" t="n">
        <f aca="false">$C$2*(1+IF(E$3&lt;=$O$2,$D505,$D505-($D505-$I$481)*MIN(E$3-$O$2,$Q$2)/$Q$2))</f>
        <v>9468.15854072571</v>
      </c>
      <c r="F505" s="15" t="n">
        <f aca="false">E505*(1+IF(F$3&lt;=$O$2,$D505,$D505-($D505-$I$481)*MIN(F$3-$O$2,$Q$2)/$Q$2))</f>
        <v>10986.0326167055</v>
      </c>
      <c r="G505" s="15" t="n">
        <f aca="false">F505*(1+IF(G$3&lt;=$O$2,$D505,$D505-($D505-$I$481)*MIN(G$3-$O$2,$Q$2)/$Q$2))</f>
        <v>12747.2424691853</v>
      </c>
      <c r="H505" s="15" t="n">
        <f aca="false">G505*(1+IF(H$3&lt;=$O$2,$D505,$D505-($D505-$I$481)*MIN(H$3-$O$2,$Q$2)/$Q$2))</f>
        <v>14790.7981195243</v>
      </c>
      <c r="I505" s="15" t="n">
        <f aca="false">H505*(1+IF(I$3&lt;=$O$2,$D505,$D505-($D505-$I$481)*MIN(I$3-$O$2,$Q$2)/$Q$2))</f>
        <v>17161.9634239612</v>
      </c>
      <c r="J505" s="15" t="n">
        <f aca="false">I505*(1+IF(J$3&lt;=$O$2,$D505,$D505-($D505-$I$481)*MIN(J$3-$O$2,$Q$2)/$Q$2))</f>
        <v>19442.9743527989</v>
      </c>
      <c r="K505" s="15" t="n">
        <f aca="false">J505*(1+IF(K$3&lt;=$O$2,$D505,$D505-($D505-$I$481)*MIN(K$3-$O$2,$Q$2)/$Q$2))</f>
        <v>21494.3661794085</v>
      </c>
      <c r="L505" s="15" t="n">
        <f aca="false">K505*(1+IF(L$3&lt;=$O$2,$D505,$D505-($D505-$I$481)*MIN(L$3-$O$2,$Q$2)/$Q$2))</f>
        <v>23173.1926487476</v>
      </c>
      <c r="M505" s="15" t="n">
        <f aca="false">L505*(1+IF(M$3&lt;=$O$2,$D505,$D505-($D505-$I$481)*MIN(M$3-$O$2,$Q$2)/$Q$2))</f>
        <v>24348.1362999002</v>
      </c>
      <c r="N505" s="15" t="n">
        <f aca="false">M505*(1+IF(N$3&lt;=$O$2,$D505,$D505-($D505-$I$481)*MIN(N$3-$O$2,$Q$2)/$Q$2))</f>
        <v>24915.4478756878</v>
      </c>
      <c r="O505" s="15" t="n">
        <f aca="false">SUMPRODUCT(E505:N505,1/(1+$F$481)^$E$3:$N$3)*$E$2</f>
        <v>38190.0047978602</v>
      </c>
      <c r="P505" s="15" t="n">
        <f aca="false">N505*$E$2*(1+$I$481)/($F$481-$I$481)/(1+$F$481)^$N$3</f>
        <v>48310.0058678589</v>
      </c>
      <c r="Q505" s="15" t="n">
        <f aca="false">O505+P505</f>
        <v>86500.0106657191</v>
      </c>
      <c r="R505" s="15" t="n">
        <f aca="false">Q505-$G$2+$I$2</f>
        <v>80380.0106657191</v>
      </c>
      <c r="S505" s="42" t="n">
        <f aca="false">R505/$K$2</f>
        <v>464.141417402235</v>
      </c>
      <c r="T505" s="43" t="n">
        <f aca="false">S505-$M$2</f>
        <v>6.15874758977952E-005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0.160313367843628</v>
      </c>
      <c r="C506" s="25" t="n">
        <f aca="false">IF(T505&gt;0,D505,C505)</f>
        <v>0.160313546657562</v>
      </c>
      <c r="D506" s="41" t="n">
        <f aca="false">(B506+C506)/2</f>
        <v>0.160313457250595</v>
      </c>
      <c r="E506" s="15" t="n">
        <f aca="false">$C$2*(1+IF(E$3&lt;=$O$2,$D506,$D506-($D506-$I$481)*MIN(E$3-$O$2,$Q$2)/$Q$2))</f>
        <v>9468.15781116486</v>
      </c>
      <c r="F506" s="15" t="n">
        <f aca="false">E506*(1+IF(F$3&lt;=$O$2,$D506,$D506-($D506-$I$481)*MIN(F$3-$O$2,$Q$2)/$Q$2))</f>
        <v>10986.0309236669</v>
      </c>
      <c r="G506" s="15" t="n">
        <f aca="false">F506*(1+IF(G$3&lt;=$O$2,$D506,$D506-($D506-$I$481)*MIN(G$3-$O$2,$Q$2)/$Q$2))</f>
        <v>12747.2395225019</v>
      </c>
      <c r="H506" s="15" t="n">
        <f aca="false">G506*(1+IF(H$3&lt;=$O$2,$D506,$D506-($D506-$I$481)*MIN(H$3-$O$2,$Q$2)/$Q$2))</f>
        <v>14790.7935607556</v>
      </c>
      <c r="I506" s="15" t="n">
        <f aca="false">H506*(1+IF(I$3&lt;=$O$2,$D506,$D506-($D506-$I$481)*MIN(I$3-$O$2,$Q$2)/$Q$2))</f>
        <v>17161.9568119602</v>
      </c>
      <c r="J506" s="15" t="n">
        <f aca="false">I506*(1+IF(J$3&lt;=$O$2,$D506,$D506-($D506-$I$481)*MIN(J$3-$O$2,$Q$2)/$Q$2))</f>
        <v>19442.9656344725</v>
      </c>
      <c r="K506" s="15" t="n">
        <f aca="false">J506*(1+IF(K$3&lt;=$O$2,$D506,$D506-($D506-$I$481)*MIN(K$3-$O$2,$Q$2)/$Q$2))</f>
        <v>21494.3554982259</v>
      </c>
      <c r="L506" s="15" t="n">
        <f aca="false">K506*(1+IF(L$3&lt;=$O$2,$D506,$D506-($D506-$I$481)*MIN(L$3-$O$2,$Q$2)/$Q$2))</f>
        <v>23173.1803646087</v>
      </c>
      <c r="M506" s="15" t="n">
        <f aca="false">L506*(1+IF(M$3&lt;=$O$2,$D506,$D506-($D506-$I$481)*MIN(M$3-$O$2,$Q$2)/$Q$2))</f>
        <v>24348.1229785534</v>
      </c>
      <c r="N506" s="15" t="n">
        <f aca="false">M506*(1+IF(N$3&lt;=$O$2,$D506,$D506-($D506-$I$481)*MIN(N$3-$O$2,$Q$2)/$Q$2))</f>
        <v>24915.4342439537</v>
      </c>
      <c r="O506" s="15" t="n">
        <f aca="false">SUMPRODUCT(E506:N506,1/(1+$F$481)^$E$3:$N$3)*$E$2</f>
        <v>38189.9901989534</v>
      </c>
      <c r="P506" s="15" t="n">
        <f aca="false">N506*$E$2*(1+$I$481)/($F$481-$I$481)/(1+$F$481)^$N$3</f>
        <v>48309.9794364994</v>
      </c>
      <c r="Q506" s="15" t="n">
        <f aca="false">O506+P506</f>
        <v>86499.9696354528</v>
      </c>
      <c r="R506" s="15" t="n">
        <f aca="false">Q506-$G$2+$I$2</f>
        <v>80379.9696354528</v>
      </c>
      <c r="S506" s="42" t="n">
        <f aca="false">R506/$K$2</f>
        <v>464.141180479575</v>
      </c>
      <c r="T506" s="43" t="n">
        <f aca="false">S506-$M$2</f>
        <v>-0.000175335183996594</v>
      </c>
    </row>
    <row r="508" customFormat="false" ht="15" hidden="false" customHeight="false" outlineLevel="0" collapsed="false">
      <c r="A508" s="38" t="s">
        <v>199</v>
      </c>
      <c r="E508" s="5" t="s">
        <v>11</v>
      </c>
      <c r="F508" s="12" t="n">
        <f aca="false">Sensitivity!$B$13</f>
        <v>0.100316051923387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162</v>
      </c>
      <c r="B509" s="28" t="s">
        <v>163</v>
      </c>
      <c r="C509" s="28" t="s">
        <v>164</v>
      </c>
      <c r="D509" s="28" t="s">
        <v>165</v>
      </c>
      <c r="E509" s="28" t="s">
        <v>166</v>
      </c>
      <c r="F509" s="28" t="s">
        <v>167</v>
      </c>
      <c r="G509" s="28" t="s">
        <v>168</v>
      </c>
      <c r="H509" s="28" t="s">
        <v>169</v>
      </c>
      <c r="I509" s="28" t="s">
        <v>170</v>
      </c>
      <c r="J509" s="28" t="s">
        <v>171</v>
      </c>
      <c r="K509" s="28" t="s">
        <v>172</v>
      </c>
      <c r="L509" s="28" t="s">
        <v>173</v>
      </c>
      <c r="M509" s="28" t="s">
        <v>174</v>
      </c>
      <c r="N509" s="28" t="s">
        <v>175</v>
      </c>
      <c r="O509" s="28" t="s">
        <v>176</v>
      </c>
      <c r="P509" s="28" t="s">
        <v>177</v>
      </c>
      <c r="Q509" s="28" t="s">
        <v>178</v>
      </c>
      <c r="R509" s="28" t="s">
        <v>179</v>
      </c>
      <c r="S509" s="28" t="s">
        <v>180</v>
      </c>
      <c r="T509" s="28" t="s">
        <v>181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10200</v>
      </c>
      <c r="F510" s="15" t="n">
        <f aca="false">E510*(1+IF(F$3&lt;=$O$2,$D510,$D510-($D510-$I$508)*MIN(F$3-$O$2,$Q$2)/$Q$2))</f>
        <v>12750</v>
      </c>
      <c r="G510" s="15" t="n">
        <f aca="false">F510*(1+IF(G$3&lt;=$O$2,$D510,$D510-($D510-$I$508)*MIN(G$3-$O$2,$Q$2)/$Q$2))</f>
        <v>15937.5</v>
      </c>
      <c r="H510" s="15" t="n">
        <f aca="false">G510*(1+IF(H$3&lt;=$O$2,$D510,$D510-($D510-$I$508)*MIN(H$3-$O$2,$Q$2)/$Q$2))</f>
        <v>19921.875</v>
      </c>
      <c r="I510" s="15" t="n">
        <f aca="false">H510*(1+IF(I$3&lt;=$O$2,$D510,$D510-($D510-$I$508)*MIN(I$3-$O$2,$Q$2)/$Q$2))</f>
        <v>24902.34375</v>
      </c>
      <c r="J510" s="15" t="n">
        <f aca="false">I510*(1+IF(J$3&lt;=$O$2,$D510,$D510-($D510-$I$508)*MIN(J$3-$O$2,$Q$2)/$Q$2))</f>
        <v>30023.759765625</v>
      </c>
      <c r="K510" s="15" t="n">
        <f aca="false">J510*(1+IF(K$3&lt;=$O$2,$D510,$D510-($D510-$I$508)*MIN(K$3-$O$2,$Q$2)/$Q$2))</f>
        <v>34867.1926910156</v>
      </c>
      <c r="L510" s="15" t="n">
        <f aca="false">K510*(1+IF(L$3&lt;=$O$2,$D510,$D510-($D510-$I$508)*MIN(L$3-$O$2,$Q$2)/$Q$2))</f>
        <v>38945.9568920106</v>
      </c>
      <c r="M510" s="15" t="n">
        <f aca="false">L510*(1+IF(M$3&lt;=$O$2,$D510,$D510-($D510-$I$508)*MIN(M$3-$O$2,$Q$2)/$Q$2))</f>
        <v>41774.9912006463</v>
      </c>
      <c r="N510" s="15" t="n">
        <f aca="false">M510*(1+IF(N$3&lt;=$O$2,$D510,$D510-($D510-$I$508)*MIN(N$3-$O$2,$Q$2)/$Q$2))</f>
        <v>42957.2234516246</v>
      </c>
      <c r="O510" s="15" t="n">
        <f aca="false">SUMPRODUCT(E510:N510,1/(1+$F$508)^$E$3:$N$3)*$E$2</f>
        <v>56135.9185208199</v>
      </c>
      <c r="P510" s="15" t="n">
        <f aca="false">N510*$E$2*(1+$I$508)/($F$508-$I$508)/(1+$F$508)^$N$3</f>
        <v>89510.3796829546</v>
      </c>
      <c r="Q510" s="15" t="n">
        <f aca="false">O510+P510</f>
        <v>145646.298203775</v>
      </c>
      <c r="R510" s="15" t="n">
        <f aca="false">Q510-$G$2+$I$2</f>
        <v>139526.298203775</v>
      </c>
      <c r="S510" s="42" t="n">
        <f aca="false">R510/$K$2</f>
        <v>805.672122668752</v>
      </c>
      <c r="T510" s="43" t="n">
        <f aca="false">S510-$M$2</f>
        <v>341.530766853993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7140</v>
      </c>
      <c r="F511" s="15" t="n">
        <f aca="false">E511*(1+IF(F$3&lt;=$O$2,$D511,$D511-($D511-$I$508)*MIN(F$3-$O$2,$Q$2)/$Q$2))</f>
        <v>6247.5</v>
      </c>
      <c r="G511" s="15" t="n">
        <f aca="false">F511*(1+IF(G$3&lt;=$O$2,$D511,$D511-($D511-$I$508)*MIN(G$3-$O$2,$Q$2)/$Q$2))</f>
        <v>5466.5625</v>
      </c>
      <c r="H511" s="15" t="n">
        <f aca="false">G511*(1+IF(H$3&lt;=$O$2,$D511,$D511-($D511-$I$508)*MIN(H$3-$O$2,$Q$2)/$Q$2))</f>
        <v>4783.2421875</v>
      </c>
      <c r="I511" s="15" t="n">
        <f aca="false">H511*(1+IF(I$3&lt;=$O$2,$D511,$D511-($D511-$I$508)*MIN(I$3-$O$2,$Q$2)/$Q$2))</f>
        <v>4185.3369140625</v>
      </c>
      <c r="J511" s="15" t="n">
        <f aca="false">I511*(1+IF(J$3&lt;=$O$2,$D511,$D511-($D511-$I$508)*MIN(J$3-$O$2,$Q$2)/$Q$2))</f>
        <v>3790.49222958984</v>
      </c>
      <c r="K511" s="15" t="n">
        <f aca="false">J511*(1+IF(K$3&lt;=$O$2,$D511,$D511-($D511-$I$508)*MIN(K$3-$O$2,$Q$2)/$Q$2))</f>
        <v>3549.11368440956</v>
      </c>
      <c r="L511" s="15" t="n">
        <f aca="false">K511*(1+IF(L$3&lt;=$O$2,$D511,$D511-($D511-$I$508)*MIN(L$3-$O$2,$Q$2)/$Q$2))</f>
        <v>3431.92195055036</v>
      </c>
      <c r="M511" s="15" t="n">
        <f aca="false">L511*(1+IF(M$3&lt;=$O$2,$D511,$D511-($D511-$I$508)*MIN(M$3-$O$2,$Q$2)/$Q$2))</f>
        <v>3423.82261474706</v>
      </c>
      <c r="N511" s="15" t="n">
        <f aca="false">M511*(1+IF(N$3&lt;=$O$2,$D511,$D511-($D511-$I$508)*MIN(N$3-$O$2,$Q$2)/$Q$2))</f>
        <v>3520.7167947444</v>
      </c>
      <c r="O511" s="15" t="n">
        <f aca="false">SUMPRODUCT(E511:N511,1/(1+$F$508)^$E$3:$N$3)*$E$2</f>
        <v>11374.1429144554</v>
      </c>
      <c r="P511" s="15" t="n">
        <f aca="false">N511*$E$2*(1+$I$508)/($F$508-$I$508)/(1+$F$508)^$N$3</f>
        <v>7336.15144862925</v>
      </c>
      <c r="Q511" s="15" t="n">
        <f aca="false">O511+P511</f>
        <v>18710.2943630847</v>
      </c>
      <c r="R511" s="15" t="n">
        <f aca="false">Q511-$G$2+$I$2</f>
        <v>12590.2943630847</v>
      </c>
      <c r="S511" s="42" t="n">
        <f aca="false">R511/$K$2</f>
        <v>72.7006257251684</v>
      </c>
      <c r="T511" s="43" t="n">
        <f aca="false">S511-$M$2</f>
        <v>-391.440730089591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8670</v>
      </c>
      <c r="F512" s="15" t="n">
        <f aca="false">E512*(1+IF(F$3&lt;=$O$2,$D512,$D512-($D512-$I$508)*MIN(F$3-$O$2,$Q$2)/$Q$2))</f>
        <v>9211.875</v>
      </c>
      <c r="G512" s="15" t="n">
        <f aca="false">F512*(1+IF(G$3&lt;=$O$2,$D512,$D512-($D512-$I$508)*MIN(G$3-$O$2,$Q$2)/$Q$2))</f>
        <v>9787.6171875</v>
      </c>
      <c r="H512" s="15" t="n">
        <f aca="false">G512*(1+IF(H$3&lt;=$O$2,$D512,$D512-($D512-$I$508)*MIN(H$3-$O$2,$Q$2)/$Q$2))</f>
        <v>10399.3432617188</v>
      </c>
      <c r="I512" s="15" t="n">
        <f aca="false">H512*(1+IF(I$3&lt;=$O$2,$D512,$D512-($D512-$I$508)*MIN(I$3-$O$2,$Q$2)/$Q$2))</f>
        <v>11049.3022155762</v>
      </c>
      <c r="J512" s="15" t="n">
        <f aca="false">I512*(1+IF(J$3&lt;=$O$2,$D512,$D512-($D512-$I$508)*MIN(J$3-$O$2,$Q$2)/$Q$2))</f>
        <v>11664.3063768951</v>
      </c>
      <c r="K512" s="15" t="n">
        <f aca="false">J512*(1+IF(K$3&lt;=$O$2,$D512,$D512-($D512-$I$508)*MIN(K$3-$O$2,$Q$2)/$Q$2))</f>
        <v>12233.7578142152</v>
      </c>
      <c r="L512" s="15" t="n">
        <f aca="false">K512*(1+IF(L$3&lt;=$O$2,$D512,$D512-($D512-$I$508)*MIN(L$3-$O$2,$Q$2)/$Q$2))</f>
        <v>12747.3309672559</v>
      </c>
      <c r="M512" s="15" t="n">
        <f aca="false">L512*(1+IF(M$3&lt;=$O$2,$D512,$D512-($D512-$I$508)*MIN(M$3-$O$2,$Q$2)/$Q$2))</f>
        <v>13195.2721774453</v>
      </c>
      <c r="N512" s="15" t="n">
        <f aca="false">M512*(1+IF(N$3&lt;=$O$2,$D512,$D512-($D512-$I$508)*MIN(N$3-$O$2,$Q$2)/$Q$2))</f>
        <v>13568.698380067</v>
      </c>
      <c r="O512" s="15" t="n">
        <f aca="false">SUMPRODUCT(E512:N512,1/(1+$F$508)^$E$3:$N$3)*$E$2</f>
        <v>25186.281005738</v>
      </c>
      <c r="P512" s="15" t="n">
        <f aca="false">N512*$E$2*(1+$I$508)/($F$508-$I$508)/(1+$F$508)^$N$3</f>
        <v>28273.2273227811</v>
      </c>
      <c r="Q512" s="15" t="n">
        <f aca="false">O512+P512</f>
        <v>53459.5083285191</v>
      </c>
      <c r="R512" s="15" t="n">
        <f aca="false">Q512-$G$2+$I$2</f>
        <v>47339.5083285191</v>
      </c>
      <c r="S512" s="42" t="n">
        <f aca="false">R512/$K$2</f>
        <v>273.354361522803</v>
      </c>
      <c r="T512" s="43" t="n">
        <f aca="false">S512-$M$2</f>
        <v>-190.786994291956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9435</v>
      </c>
      <c r="F513" s="15" t="n">
        <f aca="false">E513*(1+IF(F$3&lt;=$O$2,$D513,$D513-($D513-$I$508)*MIN(F$3-$O$2,$Q$2)/$Q$2))</f>
        <v>10909.21875</v>
      </c>
      <c r="G513" s="15" t="n">
        <f aca="false">F513*(1+IF(G$3&lt;=$O$2,$D513,$D513-($D513-$I$508)*MIN(G$3-$O$2,$Q$2)/$Q$2))</f>
        <v>12613.7841796875</v>
      </c>
      <c r="H513" s="15" t="n">
        <f aca="false">G513*(1+IF(H$3&lt;=$O$2,$D513,$D513-($D513-$I$508)*MIN(H$3-$O$2,$Q$2)/$Q$2))</f>
        <v>14584.6879577637</v>
      </c>
      <c r="I513" s="15" t="n">
        <f aca="false">H513*(1+IF(I$3&lt;=$O$2,$D513,$D513-($D513-$I$508)*MIN(I$3-$O$2,$Q$2)/$Q$2))</f>
        <v>16863.5454511642</v>
      </c>
      <c r="J513" s="15" t="n">
        <f aca="false">I513*(1+IF(J$3&lt;=$O$2,$D513,$D513-($D513-$I$508)*MIN(J$3-$O$2,$Q$2)/$Q$2))</f>
        <v>19066.9362998134</v>
      </c>
      <c r="K513" s="15" t="n">
        <f aca="false">J513*(1+IF(K$3&lt;=$O$2,$D513,$D513-($D513-$I$508)*MIN(K$3-$O$2,$Q$2)/$Q$2))</f>
        <v>21070.2992968348</v>
      </c>
      <c r="L513" s="15" t="n">
        <f aca="false">K513*(1+IF(L$3&lt;=$O$2,$D513,$D513-($D513-$I$508)*MIN(L$3-$O$2,$Q$2)/$Q$2))</f>
        <v>22744.9666849472</v>
      </c>
      <c r="M513" s="15" t="n">
        <f aca="false">L513*(1+IF(M$3&lt;=$O$2,$D513,$D513-($D513-$I$508)*MIN(M$3-$O$2,$Q$2)/$Q$2))</f>
        <v>23970.692939599</v>
      </c>
      <c r="N513" s="15" t="n">
        <f aca="false">M513*(1+IF(N$3&lt;=$O$2,$D513,$D513-($D513-$I$508)*MIN(N$3-$O$2,$Q$2)/$Q$2))</f>
        <v>24649.0635497896</v>
      </c>
      <c r="O513" s="15" t="n">
        <f aca="false">SUMPRODUCT(E513:N513,1/(1+$F$508)^$E$3:$N$3)*$E$2</f>
        <v>37654.8279088776</v>
      </c>
      <c r="P513" s="15" t="n">
        <f aca="false">N513*$E$2*(1+$I$508)/($F$508-$I$508)/(1+$F$508)^$N$3</f>
        <v>51361.4908015547</v>
      </c>
      <c r="Q513" s="15" t="n">
        <f aca="false">O513+P513</f>
        <v>89016.3187104323</v>
      </c>
      <c r="R513" s="15" t="n">
        <f aca="false">Q513-$G$2+$I$2</f>
        <v>82896.3187104323</v>
      </c>
      <c r="S513" s="42" t="n">
        <f aca="false">R513/$K$2</f>
        <v>478.671432673705</v>
      </c>
      <c r="T513" s="43" t="n">
        <f aca="false">S513-$M$2</f>
        <v>14.530076858946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9052.5</v>
      </c>
      <c r="F514" s="15" t="n">
        <f aca="false">E514*(1+IF(F$3&lt;=$O$2,$D514,$D514-($D514-$I$508)*MIN(F$3-$O$2,$Q$2)/$Q$2))</f>
        <v>10042.6171875</v>
      </c>
      <c r="G514" s="15" t="n">
        <f aca="false">F514*(1+IF(G$3&lt;=$O$2,$D514,$D514-($D514-$I$508)*MIN(G$3-$O$2,$Q$2)/$Q$2))</f>
        <v>11141.0284423828</v>
      </c>
      <c r="H514" s="15" t="n">
        <f aca="false">G514*(1+IF(H$3&lt;=$O$2,$D514,$D514-($D514-$I$508)*MIN(H$3-$O$2,$Q$2)/$Q$2))</f>
        <v>12359.5784282684</v>
      </c>
      <c r="I514" s="15" t="n">
        <f aca="false">H514*(1+IF(I$3&lt;=$O$2,$D514,$D514-($D514-$I$508)*MIN(I$3-$O$2,$Q$2)/$Q$2))</f>
        <v>13711.4073188603</v>
      </c>
      <c r="J514" s="15" t="n">
        <f aca="false">I514*(1+IF(J$3&lt;=$O$2,$D514,$D514-($D514-$I$508)*MIN(J$3-$O$2,$Q$2)/$Q$2))</f>
        <v>14988.7620246853</v>
      </c>
      <c r="K514" s="15" t="n">
        <f aca="false">J514*(1+IF(K$3&lt;=$O$2,$D514,$D514-($D514-$I$508)*MIN(K$3-$O$2,$Q$2)/$Q$2))</f>
        <v>16142.0723186747</v>
      </c>
      <c r="L514" s="15" t="n">
        <f aca="false">K514*(1+IF(L$3&lt;=$O$2,$D514,$D514-($D514-$I$508)*MIN(L$3-$O$2,$Q$2)/$Q$2))</f>
        <v>17122.3803705878</v>
      </c>
      <c r="M514" s="15" t="n">
        <f aca="false">L514*(1+IF(M$3&lt;=$O$2,$D514,$D514-($D514-$I$508)*MIN(M$3-$O$2,$Q$2)/$Q$2))</f>
        <v>17884.5831327846</v>
      </c>
      <c r="N514" s="15" t="n">
        <f aca="false">M514*(1+IF(N$3&lt;=$O$2,$D514,$D514-($D514-$I$508)*MIN(N$3-$O$2,$Q$2)/$Q$2))</f>
        <v>18390.7168354424</v>
      </c>
      <c r="O514" s="15" t="n">
        <f aca="false">SUMPRODUCT(E514:N514,1/(1+$F$508)^$E$3:$N$3)*$E$2</f>
        <v>30799.0671660405</v>
      </c>
      <c r="P514" s="15" t="n">
        <f aca="false">N514*$E$2*(1+$I$508)/($F$508-$I$508)/(1+$F$508)^$N$3</f>
        <v>38320.9135580176</v>
      </c>
      <c r="Q514" s="15" t="n">
        <f aca="false">O514+P514</f>
        <v>69119.980724058</v>
      </c>
      <c r="R514" s="15" t="n">
        <f aca="false">Q514-$G$2+$I$2</f>
        <v>62999.980724058</v>
      </c>
      <c r="S514" s="42" t="n">
        <f aca="false">R514/$K$2</f>
        <v>363.78323550097</v>
      </c>
      <c r="T514" s="43" t="n">
        <f aca="false">S514-$M$2</f>
        <v>-100.358120313789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0.109375</v>
      </c>
      <c r="C515" s="25" t="n">
        <f aca="false">IF(T514&gt;0,D514,C514)</f>
        <v>0.15625</v>
      </c>
      <c r="D515" s="41" t="n">
        <f aca="false">(B515+C515)/2</f>
        <v>0.1328125</v>
      </c>
      <c r="E515" s="15" t="n">
        <f aca="false">$C$2*(1+IF(E$3&lt;=$O$2,$D515,$D515-($D515-$I$508)*MIN(E$3-$O$2,$Q$2)/$Q$2))</f>
        <v>9243.75</v>
      </c>
      <c r="F515" s="15" t="n">
        <f aca="false">E515*(1+IF(F$3&lt;=$O$2,$D515,$D515-($D515-$I$508)*MIN(F$3-$O$2,$Q$2)/$Q$2))</f>
        <v>10471.435546875</v>
      </c>
      <c r="G515" s="15" t="n">
        <f aca="false">F515*(1+IF(G$3&lt;=$O$2,$D515,$D515-($D515-$I$508)*MIN(G$3-$O$2,$Q$2)/$Q$2))</f>
        <v>11862.1730804443</v>
      </c>
      <c r="H515" s="15" t="n">
        <f aca="false">G515*(1+IF(H$3&lt;=$O$2,$D515,$D515-($D515-$I$508)*MIN(H$3-$O$2,$Q$2)/$Q$2))</f>
        <v>13437.6179426909</v>
      </c>
      <c r="I515" s="15" t="n">
        <f aca="false">H515*(1+IF(I$3&lt;=$O$2,$D515,$D515-($D515-$I$508)*MIN(I$3-$O$2,$Q$2)/$Q$2))</f>
        <v>15222.3015757045</v>
      </c>
      <c r="J515" s="15" t="n">
        <f aca="false">I515*(1+IF(J$3&lt;=$O$2,$D515,$D515-($D515-$I$508)*MIN(J$3-$O$2,$Q$2)/$Q$2))</f>
        <v>16925.8293450416</v>
      </c>
      <c r="K515" s="15" t="n">
        <f aca="false">J515*(1+IF(K$3&lt;=$O$2,$D515,$D515-($D515-$I$508)*MIN(K$3-$O$2,$Q$2)/$Q$2))</f>
        <v>18466.2067591604</v>
      </c>
      <c r="L515" s="15" t="n">
        <f aca="false">K515*(1+IF(L$3&lt;=$O$2,$D515,$D515-($D515-$I$508)*MIN(L$3-$O$2,$Q$2)/$Q$2))</f>
        <v>19760.7801840114</v>
      </c>
      <c r="M515" s="15" t="n">
        <f aca="false">L515*(1+IF(M$3&lt;=$O$2,$D515,$D515-($D515-$I$508)*MIN(M$3-$O$2,$Q$2)/$Q$2))</f>
        <v>20733.0599710152</v>
      </c>
      <c r="N515" s="15" t="n">
        <f aca="false">M515*(1+IF(N$3&lt;=$O$2,$D515,$D515-($D515-$I$508)*MIN(N$3-$O$2,$Q$2)/$Q$2))</f>
        <v>21319.8055681949</v>
      </c>
      <c r="O515" s="15" t="n">
        <f aca="false">SUMPRODUCT(E515:N515,1/(1+$F$508)^$E$3:$N$3)*$E$2</f>
        <v>34056.900709969</v>
      </c>
      <c r="P515" s="15" t="n">
        <f aca="false">N515*$E$2*(1+$I$508)/($F$508-$I$508)/(1+$F$508)^$N$3</f>
        <v>44424.2839233998</v>
      </c>
      <c r="Q515" s="15" t="n">
        <f aca="false">O515+P515</f>
        <v>78481.1846333688</v>
      </c>
      <c r="R515" s="15" t="n">
        <f aca="false">Q515-$G$2+$I$2</f>
        <v>72361.1846333688</v>
      </c>
      <c r="S515" s="42" t="n">
        <f aca="false">R515/$K$2</f>
        <v>417.837998806841</v>
      </c>
      <c r="T515" s="43" t="n">
        <f aca="false">S515-$M$2</f>
        <v>-46.3033570079178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0.1328125</v>
      </c>
      <c r="C516" s="25" t="n">
        <f aca="false">IF(T515&gt;0,D515,C515)</f>
        <v>0.15625</v>
      </c>
      <c r="D516" s="41" t="n">
        <f aca="false">(B516+C516)/2</f>
        <v>0.14453125</v>
      </c>
      <c r="E516" s="15" t="n">
        <f aca="false">$C$2*(1+IF(E$3&lt;=$O$2,$D516,$D516-($D516-$I$508)*MIN(E$3-$O$2,$Q$2)/$Q$2))</f>
        <v>9339.375</v>
      </c>
      <c r="F516" s="15" t="n">
        <f aca="false">E516*(1+IF(F$3&lt;=$O$2,$D516,$D516-($D516-$I$508)*MIN(F$3-$O$2,$Q$2)/$Q$2))</f>
        <v>10689.2065429688</v>
      </c>
      <c r="G516" s="15" t="n">
        <f aca="false">F516*(1+IF(G$3&lt;=$O$2,$D516,$D516-($D516-$I$508)*MIN(G$3-$O$2,$Q$2)/$Q$2))</f>
        <v>12234.1309261322</v>
      </c>
      <c r="H516" s="15" t="n">
        <f aca="false">G516*(1+IF(H$3&lt;=$O$2,$D516,$D516-($D516-$I$508)*MIN(H$3-$O$2,$Q$2)/$Q$2))</f>
        <v>14002.3451615497</v>
      </c>
      <c r="I516" s="15" t="n">
        <f aca="false">H516*(1+IF(I$3&lt;=$O$2,$D516,$D516-($D516-$I$508)*MIN(I$3-$O$2,$Q$2)/$Q$2))</f>
        <v>16026.12161068</v>
      </c>
      <c r="J516" s="15" t="n">
        <f aca="false">I516*(1+IF(J$3&lt;=$O$2,$D516,$D516-($D516-$I$508)*MIN(J$3-$O$2,$Q$2)/$Q$2))</f>
        <v>17969.8497702313</v>
      </c>
      <c r="K516" s="15" t="n">
        <f aca="false">J516*(1+IF(K$3&lt;=$O$2,$D516,$D516-($D516-$I$508)*MIN(K$3-$O$2,$Q$2)/$Q$2))</f>
        <v>19731.5913793926</v>
      </c>
      <c r="L516" s="15" t="n">
        <f aca="false">K516*(1+IF(L$3&lt;=$O$2,$D516,$D516-($D516-$I$508)*MIN(L$3-$O$2,$Q$2)/$Q$2))</f>
        <v>21207.3664276358</v>
      </c>
      <c r="M516" s="15" t="n">
        <f aca="false">L516*(1+IF(M$3&lt;=$O$2,$D516,$D516-($D516-$I$508)*MIN(M$3-$O$2,$Q$2)/$Q$2))</f>
        <v>22300.5266393563</v>
      </c>
      <c r="N516" s="15" t="n">
        <f aca="false">M516*(1+IF(N$3&lt;=$O$2,$D516,$D516-($D516-$I$508)*MIN(N$3-$O$2,$Q$2)/$Q$2))</f>
        <v>22931.6315432501</v>
      </c>
      <c r="O516" s="15" t="n">
        <f aca="false">SUMPRODUCT(E516:N516,1/(1+$F$508)^$E$3:$N$3)*$E$2</f>
        <v>35811.3876367665</v>
      </c>
      <c r="P516" s="15" t="n">
        <f aca="false">N516*$E$2*(1+$I$508)/($F$508-$I$508)/(1+$F$508)^$N$3</f>
        <v>47782.8612106983</v>
      </c>
      <c r="Q516" s="15" t="n">
        <f aca="false">O516+P516</f>
        <v>83594.2488474649</v>
      </c>
      <c r="R516" s="15" t="n">
        <f aca="false">Q516-$G$2+$I$2</f>
        <v>77474.2488474649</v>
      </c>
      <c r="S516" s="42" t="n">
        <f aca="false">R516/$K$2</f>
        <v>447.362564080522</v>
      </c>
      <c r="T516" s="43" t="n">
        <f aca="false">S516-$M$2</f>
        <v>-16.7787917342369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0.14453125</v>
      </c>
      <c r="C517" s="25" t="n">
        <f aca="false">IF(T516&gt;0,D516,C516)</f>
        <v>0.15625</v>
      </c>
      <c r="D517" s="41" t="n">
        <f aca="false">(B517+C517)/2</f>
        <v>0.150390625</v>
      </c>
      <c r="E517" s="15" t="n">
        <f aca="false">$C$2*(1+IF(E$3&lt;=$O$2,$D517,$D517-($D517-$I$508)*MIN(E$3-$O$2,$Q$2)/$Q$2))</f>
        <v>9387.1875</v>
      </c>
      <c r="F517" s="15" t="n">
        <f aca="false">E517*(1+IF(F$3&lt;=$O$2,$D517,$D517-($D517-$I$508)*MIN(F$3-$O$2,$Q$2)/$Q$2))</f>
        <v>10798.9324951172</v>
      </c>
      <c r="G517" s="15" t="n">
        <f aca="false">F517*(1+IF(G$3&lt;=$O$2,$D517,$D517-($D517-$I$508)*MIN(G$3-$O$2,$Q$2)/$Q$2))</f>
        <v>12422.9907023907</v>
      </c>
      <c r="H517" s="15" t="n">
        <f aca="false">G517*(1+IF(H$3&lt;=$O$2,$D517,$D517-($D517-$I$508)*MIN(H$3-$O$2,$Q$2)/$Q$2))</f>
        <v>14291.2920384924</v>
      </c>
      <c r="I517" s="15" t="n">
        <f aca="false">H517*(1+IF(I$3&lt;=$O$2,$D517,$D517-($D517-$I$508)*MIN(I$3-$O$2,$Q$2)/$Q$2))</f>
        <v>16440.5683802188</v>
      </c>
      <c r="J517" s="15" t="n">
        <f aca="false">I517*(1+IF(J$3&lt;=$O$2,$D517,$D517-($D517-$I$508)*MIN(J$3-$O$2,$Q$2)/$Q$2))</f>
        <v>18511.6278804959</v>
      </c>
      <c r="K517" s="15" t="n">
        <f aca="false">J517*(1+IF(K$3&lt;=$O$2,$D517,$D517-($D517-$I$508)*MIN(K$3-$O$2,$Q$2)/$Q$2))</f>
        <v>20391.5646801322</v>
      </c>
      <c r="L517" s="15" t="n">
        <f aca="false">K517*(1+IF(L$3&lt;=$O$2,$D517,$D517-($D517-$I$508)*MIN(L$3-$O$2,$Q$2)/$Q$2))</f>
        <v>21964.4935111901</v>
      </c>
      <c r="M517" s="15" t="n">
        <f aca="false">L517*(1+IF(M$3&lt;=$O$2,$D517,$D517-($D517-$I$508)*MIN(M$3-$O$2,$Q$2)/$Q$2))</f>
        <v>23122.4204256747</v>
      </c>
      <c r="N517" s="15" t="n">
        <f aca="false">M517*(1+IF(N$3&lt;=$O$2,$D517,$D517-($D517-$I$508)*MIN(N$3-$O$2,$Q$2)/$Q$2))</f>
        <v>23776.7849237213</v>
      </c>
      <c r="O517" s="15" t="n">
        <f aca="false">SUMPRODUCT(E517:N517,1/(1+$F$508)^$E$3:$N$3)*$E$2</f>
        <v>36721.7344151189</v>
      </c>
      <c r="P517" s="15" t="n">
        <f aca="false">N517*$E$2*(1+$I$508)/($F$508-$I$508)/(1+$F$508)^$N$3</f>
        <v>49543.9154385513</v>
      </c>
      <c r="Q517" s="15" t="n">
        <f aca="false">O517+P517</f>
        <v>86265.6498536702</v>
      </c>
      <c r="R517" s="15" t="n">
        <f aca="false">Q517-$G$2+$I$2</f>
        <v>80145.6498536702</v>
      </c>
      <c r="S517" s="42" t="n">
        <f aca="false">R517/$K$2</f>
        <v>462.788138663069</v>
      </c>
      <c r="T517" s="43" t="n">
        <f aca="false">S517-$M$2</f>
        <v>-1.3532171516905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0.150390625</v>
      </c>
      <c r="C518" s="25" t="n">
        <f aca="false">IF(T517&gt;0,D517,C517)</f>
        <v>0.15625</v>
      </c>
      <c r="D518" s="41" t="n">
        <f aca="false">(B518+C518)/2</f>
        <v>0.1533203125</v>
      </c>
      <c r="E518" s="15" t="n">
        <f aca="false">$C$2*(1+IF(E$3&lt;=$O$2,$D518,$D518-($D518-$I$508)*MIN(E$3-$O$2,$Q$2)/$Q$2))</f>
        <v>9411.09375</v>
      </c>
      <c r="F518" s="15" t="n">
        <f aca="false">E518*(1+IF(F$3&lt;=$O$2,$D518,$D518-($D518-$I$508)*MIN(F$3-$O$2,$Q$2)/$Q$2))</f>
        <v>10854.0055847168</v>
      </c>
      <c r="G518" s="15" t="n">
        <f aca="false">F518*(1+IF(G$3&lt;=$O$2,$D518,$D518-($D518-$I$508)*MIN(G$3-$O$2,$Q$2)/$Q$2))</f>
        <v>12518.1451128423</v>
      </c>
      <c r="H518" s="15" t="n">
        <f aca="false">G518*(1+IF(H$3&lt;=$O$2,$D518,$D518-($D518-$I$508)*MIN(H$3-$O$2,$Q$2)/$Q$2))</f>
        <v>14437.4310334637</v>
      </c>
      <c r="I518" s="15" t="n">
        <f aca="false">H518*(1+IF(I$3&lt;=$O$2,$D518,$D518-($D518-$I$508)*MIN(I$3-$O$2,$Q$2)/$Q$2))</f>
        <v>16650.9824712115</v>
      </c>
      <c r="J518" s="15" t="n">
        <f aca="false">I518*(1+IF(J$3&lt;=$O$2,$D518,$D518-($D518-$I$508)*MIN(J$3-$O$2,$Q$2)/$Q$2))</f>
        <v>18787.5741007331</v>
      </c>
      <c r="K518" s="15" t="n">
        <f aca="false">J518*(1+IF(K$3&lt;=$O$2,$D518,$D518-($D518-$I$508)*MIN(K$3-$O$2,$Q$2)/$Q$2))</f>
        <v>20728.5594788982</v>
      </c>
      <c r="L518" s="15" t="n">
        <f aca="false">K518*(1+IF(L$3&lt;=$O$2,$D518,$D518-($D518-$I$508)*MIN(L$3-$O$2,$Q$2)/$Q$2))</f>
        <v>22351.7741056417</v>
      </c>
      <c r="M518" s="15" t="n">
        <f aca="false">L518*(1+IF(M$3&lt;=$O$2,$D518,$D518-($D518-$I$508)*MIN(M$3-$O$2,$Q$2)/$Q$2))</f>
        <v>23543.2144695547</v>
      </c>
      <c r="N518" s="15" t="n">
        <f aca="false">M518*(1+IF(N$3&lt;=$O$2,$D518,$D518-($D518-$I$508)*MIN(N$3-$O$2,$Q$2)/$Q$2))</f>
        <v>24209.4874390431</v>
      </c>
      <c r="O518" s="15" t="n">
        <f aca="false">SUMPRODUCT(E518:N518,1/(1+$F$508)^$E$3:$N$3)*$E$2</f>
        <v>37185.4055001897</v>
      </c>
      <c r="P518" s="15" t="n">
        <f aca="false">N518*$E$2*(1+$I$508)/($F$508-$I$508)/(1+$F$508)^$N$3</f>
        <v>50445.5418316035</v>
      </c>
      <c r="Q518" s="15" t="n">
        <f aca="false">O518+P518</f>
        <v>87630.9473317932</v>
      </c>
      <c r="R518" s="15" t="n">
        <f aca="false">Q518-$G$2+$I$2</f>
        <v>81510.9473317932</v>
      </c>
      <c r="S518" s="42" t="n">
        <f aca="false">R518/$K$2</f>
        <v>470.671828916695</v>
      </c>
      <c r="T518" s="43" t="n">
        <f aca="false">S518-$M$2</f>
        <v>6.53047310193546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0.150390625</v>
      </c>
      <c r="C519" s="25" t="n">
        <f aca="false">IF(T518&gt;0,D518,C518)</f>
        <v>0.1533203125</v>
      </c>
      <c r="D519" s="41" t="n">
        <f aca="false">(B519+C519)/2</f>
        <v>0.15185546875</v>
      </c>
      <c r="E519" s="15" t="n">
        <f aca="false">$C$2*(1+IF(E$3&lt;=$O$2,$D519,$D519-($D519-$I$508)*MIN(E$3-$O$2,$Q$2)/$Q$2))</f>
        <v>9399.140625</v>
      </c>
      <c r="F519" s="15" t="n">
        <f aca="false">E519*(1+IF(F$3&lt;=$O$2,$D519,$D519-($D519-$I$508)*MIN(F$3-$O$2,$Q$2)/$Q$2))</f>
        <v>10826.4515304565</v>
      </c>
      <c r="G519" s="15" t="n">
        <f aca="false">F519*(1+IF(G$3&lt;=$O$2,$D519,$D519-($D519-$I$508)*MIN(G$3-$O$2,$Q$2)/$Q$2))</f>
        <v>12470.5074025132</v>
      </c>
      <c r="H519" s="15" t="n">
        <f aca="false">G519*(1+IF(H$3&lt;=$O$2,$D519,$D519-($D519-$I$508)*MIN(H$3-$O$2,$Q$2)/$Q$2))</f>
        <v>14364.2221496722</v>
      </c>
      <c r="I519" s="15" t="n">
        <f aca="false">H519*(1+IF(I$3&lt;=$O$2,$D519,$D519-($D519-$I$508)*MIN(I$3-$O$2,$Q$2)/$Q$2))</f>
        <v>16545.5078374398</v>
      </c>
      <c r="J519" s="15" t="n">
        <f aca="false">I519*(1+IF(J$3&lt;=$O$2,$D519,$D519-($D519-$I$508)*MIN(J$3-$O$2,$Q$2)/$Q$2))</f>
        <v>18649.1760904886</v>
      </c>
      <c r="K519" s="15" t="n">
        <f aca="false">J519*(1+IF(K$3&lt;=$O$2,$D519,$D519-($D519-$I$508)*MIN(K$3-$O$2,$Q$2)/$Q$2))</f>
        <v>20559.4723900464</v>
      </c>
      <c r="L519" s="15" t="n">
        <f aca="false">K519*(1+IF(L$3&lt;=$O$2,$D519,$D519-($D519-$I$508)*MIN(L$3-$O$2,$Q$2)/$Q$2))</f>
        <v>22157.3995580467</v>
      </c>
      <c r="M519" s="15" t="n">
        <f aca="false">L519*(1+IF(M$3&lt;=$O$2,$D519,$D519-($D519-$I$508)*MIN(M$3-$O$2,$Q$2)/$Q$2))</f>
        <v>23331.9875432745</v>
      </c>
      <c r="N519" s="15" t="n">
        <f aca="false">M519*(1+IF(N$3&lt;=$O$2,$D519,$D519-($D519-$I$508)*MIN(N$3-$O$2,$Q$2)/$Q$2))</f>
        <v>23992.2827907492</v>
      </c>
      <c r="O519" s="15" t="n">
        <f aca="false">SUMPRODUCT(E519:N519,1/(1+$F$508)^$E$3:$N$3)*$E$2</f>
        <v>36952.8551072532</v>
      </c>
      <c r="P519" s="15" t="n">
        <f aca="false">N519*$E$2*(1+$I$508)/($F$508-$I$508)/(1+$F$508)^$N$3</f>
        <v>49992.9504168072</v>
      </c>
      <c r="Q519" s="15" t="n">
        <f aca="false">O519+P519</f>
        <v>86945.8055240604</v>
      </c>
      <c r="R519" s="15" t="n">
        <f aca="false">Q519-$G$2+$I$2</f>
        <v>80825.8055240604</v>
      </c>
      <c r="S519" s="42" t="n">
        <f aca="false">R519/$K$2</f>
        <v>466.715587966627</v>
      </c>
      <c r="T519" s="43" t="n">
        <f aca="false">S519-$M$2</f>
        <v>2.57423215186765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0.150390625</v>
      </c>
      <c r="C520" s="25" t="n">
        <f aca="false">IF(T519&gt;0,D519,C519)</f>
        <v>0.15185546875</v>
      </c>
      <c r="D520" s="41" t="n">
        <f aca="false">(B520+C520)/2</f>
        <v>0.151123046875</v>
      </c>
      <c r="E520" s="15" t="n">
        <f aca="false">$C$2*(1+IF(E$3&lt;=$O$2,$D520,$D520-($D520-$I$508)*MIN(E$3-$O$2,$Q$2)/$Q$2))</f>
        <v>9393.1640625</v>
      </c>
      <c r="F520" s="15" t="n">
        <f aca="false">E520*(1+IF(F$3&lt;=$O$2,$D520,$D520-($D520-$I$508)*MIN(F$3-$O$2,$Q$2)/$Q$2))</f>
        <v>10812.6876354218</v>
      </c>
      <c r="G520" s="15" t="n">
        <f aca="false">F520*(1+IF(G$3&lt;=$O$2,$D520,$D520-($D520-$I$508)*MIN(G$3-$O$2,$Q$2)/$Q$2))</f>
        <v>12446.7339357943</v>
      </c>
      <c r="H520" s="15" t="n">
        <f aca="false">G520*(1+IF(H$3&lt;=$O$2,$D520,$D520-($D520-$I$508)*MIN(H$3-$O$2,$Q$2)/$Q$2))</f>
        <v>14327.722291814</v>
      </c>
      <c r="I520" s="15" t="n">
        <f aca="false">H520*(1+IF(I$3&lt;=$O$2,$D520,$D520-($D520-$I$508)*MIN(I$3-$O$2,$Q$2)/$Q$2))</f>
        <v>16492.9713393318</v>
      </c>
      <c r="J520" s="15" t="n">
        <f aca="false">I520*(1+IF(J$3&lt;=$O$2,$D520,$D520-($D520-$I$508)*MIN(J$3-$O$2,$Q$2)/$Q$2))</f>
        <v>18580.2960217699</v>
      </c>
      <c r="K520" s="15" t="n">
        <f aca="false">J520*(1+IF(K$3&lt;=$O$2,$D520,$D520-($D520-$I$508)*MIN(K$3-$O$2,$Q$2)/$Q$2))</f>
        <v>20475.371540726</v>
      </c>
      <c r="L520" s="15" t="n">
        <f aca="false">K520*(1+IF(L$3&lt;=$O$2,$D520,$D520-($D520-$I$508)*MIN(L$3-$O$2,$Q$2)/$Q$2))</f>
        <v>22060.7635627404</v>
      </c>
      <c r="M520" s="15" t="n">
        <f aca="false">L520*(1+IF(M$3&lt;=$O$2,$D520,$D520-($D520-$I$508)*MIN(M$3-$O$2,$Q$2)/$Q$2))</f>
        <v>23226.9972109989</v>
      </c>
      <c r="N520" s="15" t="n">
        <f aca="false">M520*(1+IF(N$3&lt;=$O$2,$D520,$D520-($D520-$I$508)*MIN(N$3-$O$2,$Q$2)/$Q$2))</f>
        <v>23884.3212320701</v>
      </c>
      <c r="O520" s="15" t="n">
        <f aca="false">SUMPRODUCT(E520:N520,1/(1+$F$508)^$E$3:$N$3)*$E$2</f>
        <v>36837.1165545434</v>
      </c>
      <c r="P520" s="15" t="n">
        <f aca="false">N520*$E$2*(1+$I$508)/($F$508-$I$508)/(1+$F$508)^$N$3</f>
        <v>49767.9898785776</v>
      </c>
      <c r="Q520" s="15" t="n">
        <f aca="false">O520+P520</f>
        <v>86605.1064331211</v>
      </c>
      <c r="R520" s="15" t="n">
        <f aca="false">Q520-$G$2+$I$2</f>
        <v>80485.1064331211</v>
      </c>
      <c r="S520" s="42" t="n">
        <f aca="false">R520/$K$2</f>
        <v>464.748275973675</v>
      </c>
      <c r="T520" s="43" t="n">
        <f aca="false">S520-$M$2</f>
        <v>0.606920158915841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0.150390625</v>
      </c>
      <c r="C521" s="25" t="n">
        <f aca="false">IF(T520&gt;0,D520,C520)</f>
        <v>0.151123046875</v>
      </c>
      <c r="D521" s="41" t="n">
        <f aca="false">(B521+C521)/2</f>
        <v>0.1507568359375</v>
      </c>
      <c r="E521" s="15" t="n">
        <f aca="false">$C$2*(1+IF(E$3&lt;=$O$2,$D521,$D521-($D521-$I$508)*MIN(E$3-$O$2,$Q$2)/$Q$2))</f>
        <v>9390.17578125</v>
      </c>
      <c r="F521" s="15" t="n">
        <f aca="false">E521*(1+IF(F$3&lt;=$O$2,$D521,$D521-($D521-$I$508)*MIN(F$3-$O$2,$Q$2)/$Q$2))</f>
        <v>10805.8089709282</v>
      </c>
      <c r="G521" s="15" t="n">
        <f aca="false">F521*(1+IF(G$3&lt;=$O$2,$D521,$D521-($D521-$I$508)*MIN(G$3-$O$2,$Q$2)/$Q$2))</f>
        <v>12434.8585411304</v>
      </c>
      <c r="H521" s="15" t="n">
        <f aca="false">G521*(1+IF(H$3&lt;=$O$2,$D521,$D521-($D521-$I$508)*MIN(H$3-$O$2,$Q$2)/$Q$2))</f>
        <v>14309.4984701216</v>
      </c>
      <c r="I521" s="15" t="n">
        <f aca="false">H521*(1+IF(I$3&lt;=$O$2,$D521,$D521-($D521-$I$508)*MIN(I$3-$O$2,$Q$2)/$Q$2))</f>
        <v>16466.7531833296</v>
      </c>
      <c r="J521" s="15" t="n">
        <f aca="false">I521*(1+IF(J$3&lt;=$O$2,$D521,$D521-($D521-$I$508)*MIN(J$3-$O$2,$Q$2)/$Q$2))</f>
        <v>18545.9354928133</v>
      </c>
      <c r="K521" s="15" t="n">
        <f aca="false">J521*(1+IF(K$3&lt;=$O$2,$D521,$D521-($D521-$I$508)*MIN(K$3-$O$2,$Q$2)/$Q$2))</f>
        <v>20433.4314152304</v>
      </c>
      <c r="L521" s="15" t="n">
        <f aca="false">K521*(1+IF(L$3&lt;=$O$2,$D521,$D521-($D521-$I$508)*MIN(L$3-$O$2,$Q$2)/$Q$2))</f>
        <v>22012.5828676635</v>
      </c>
      <c r="M521" s="15" t="n">
        <f aca="false">L521*(1+IF(M$3&lt;=$O$2,$D521,$D521-($D521-$I$508)*MIN(M$3-$O$2,$Q$2)/$Q$2))</f>
        <v>23174.6572125756</v>
      </c>
      <c r="N521" s="15" t="n">
        <f aca="false">M521*(1+IF(N$3&lt;=$O$2,$D521,$D521-($D521-$I$508)*MIN(N$3-$O$2,$Q$2)/$Q$2))</f>
        <v>23830.5000116915</v>
      </c>
      <c r="O521" s="15" t="n">
        <f aca="false">SUMPRODUCT(E521:N521,1/(1+$F$508)^$E$3:$N$3)*$E$2</f>
        <v>36779.3809962797</v>
      </c>
      <c r="P521" s="15" t="n">
        <f aca="false">N521*$E$2*(1+$I$508)/($F$508-$I$508)/(1+$F$508)^$N$3</f>
        <v>49655.8420840043</v>
      </c>
      <c r="Q521" s="15" t="n">
        <f aca="false">O521+P521</f>
        <v>86435.223080284</v>
      </c>
      <c r="R521" s="15" t="n">
        <f aca="false">Q521-$G$2+$I$2</f>
        <v>80315.223080284</v>
      </c>
      <c r="S521" s="42" t="n">
        <f aca="false">R521/$K$2</f>
        <v>463.767311931424</v>
      </c>
      <c r="T521" s="43" t="n">
        <f aca="false">S521-$M$2</f>
        <v>-0.374043883335048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0.1507568359375</v>
      </c>
      <c r="C522" s="25" t="n">
        <f aca="false">IF(T521&gt;0,D521,C521)</f>
        <v>0.151123046875</v>
      </c>
      <c r="D522" s="41" t="n">
        <f aca="false">(B522+C522)/2</f>
        <v>0.15093994140625</v>
      </c>
      <c r="E522" s="15" t="n">
        <f aca="false">$C$2*(1+IF(E$3&lt;=$O$2,$D522,$D522-($D522-$I$508)*MIN(E$3-$O$2,$Q$2)/$Q$2))</f>
        <v>9391.669921875</v>
      </c>
      <c r="F522" s="15" t="n">
        <f aca="false">E522*(1+IF(F$3&lt;=$O$2,$D522,$D522-($D522-$I$508)*MIN(F$3-$O$2,$Q$2)/$Q$2))</f>
        <v>10809.2480295897</v>
      </c>
      <c r="G522" s="15" t="n">
        <f aca="false">F522*(1+IF(G$3&lt;=$O$2,$D522,$D522-($D522-$I$508)*MIN(G$3-$O$2,$Q$2)/$Q$2))</f>
        <v>12440.7952938215</v>
      </c>
      <c r="H522" s="15" t="n">
        <f aca="false">G522*(1+IF(H$3&lt;=$O$2,$D522,$D522-($D522-$I$508)*MIN(H$3-$O$2,$Q$2)/$Q$2))</f>
        <v>14318.6082065181</v>
      </c>
      <c r="I522" s="15" t="n">
        <f aca="false">H522*(1+IF(I$3&lt;=$O$2,$D522,$D522-($D522-$I$508)*MIN(I$3-$O$2,$Q$2)/$Q$2))</f>
        <v>16479.858090229</v>
      </c>
      <c r="J522" s="15" t="n">
        <f aca="false">I522*(1+IF(J$3&lt;=$O$2,$D522,$D522-($D522-$I$508)*MIN(J$3-$O$2,$Q$2)/$Q$2))</f>
        <v>18563.1091386377</v>
      </c>
      <c r="K522" s="15" t="n">
        <f aca="false">J522*(1+IF(K$3&lt;=$O$2,$D522,$D522-($D522-$I$508)*MIN(K$3-$O$2,$Q$2)/$Q$2))</f>
        <v>20454.3922975093</v>
      </c>
      <c r="L522" s="15" t="n">
        <f aca="false">K522*(1+IF(L$3&lt;=$O$2,$D522,$D522-($D522-$I$508)*MIN(L$3-$O$2,$Q$2)/$Q$2))</f>
        <v>22036.6617886757</v>
      </c>
      <c r="M522" s="15" t="n">
        <f aca="false">L522*(1+IF(M$3&lt;=$O$2,$D522,$D522-($D522-$I$508)*MIN(M$3-$O$2,$Q$2)/$Q$2))</f>
        <v>23200.8142994057</v>
      </c>
      <c r="N522" s="15" t="n">
        <f aca="false">M522*(1+IF(N$3&lt;=$O$2,$D522,$D522-($D522-$I$508)*MIN(N$3-$O$2,$Q$2)/$Q$2))</f>
        <v>23857.3973440789</v>
      </c>
      <c r="O522" s="15" t="n">
        <f aca="false">SUMPRODUCT(E522:N522,1/(1+$F$508)^$E$3:$N$3)*$E$2</f>
        <v>36808.2376453911</v>
      </c>
      <c r="P522" s="15" t="n">
        <f aca="false">N522*$E$2*(1+$I$508)/($F$508-$I$508)/(1+$F$508)^$N$3</f>
        <v>49711.8883142074</v>
      </c>
      <c r="Q522" s="15" t="n">
        <f aca="false">O522+P522</f>
        <v>86520.1259595985</v>
      </c>
      <c r="R522" s="15" t="n">
        <f aca="false">Q522-$G$2+$I$2</f>
        <v>80400.1259595985</v>
      </c>
      <c r="S522" s="42" t="n">
        <f aca="false">R522/$K$2</f>
        <v>464.257569924925</v>
      </c>
      <c r="T522" s="43" t="n">
        <f aca="false">S522-$M$2</f>
        <v>0.116214110165572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0.1507568359375</v>
      </c>
      <c r="C523" s="25" t="n">
        <f aca="false">IF(T522&gt;0,D522,C522)</f>
        <v>0.15093994140625</v>
      </c>
      <c r="D523" s="41" t="n">
        <f aca="false">(B523+C523)/2</f>
        <v>0.150848388671875</v>
      </c>
      <c r="E523" s="15" t="n">
        <f aca="false">$C$2*(1+IF(E$3&lt;=$O$2,$D523,$D523-($D523-$I$508)*MIN(E$3-$O$2,$Q$2)/$Q$2))</f>
        <v>9390.9228515625</v>
      </c>
      <c r="F523" s="15" t="n">
        <f aca="false">E523*(1+IF(F$3&lt;=$O$2,$D523,$D523-($D523-$I$508)*MIN(F$3-$O$2,$Q$2)/$Q$2))</f>
        <v>10807.5284318626</v>
      </c>
      <c r="G523" s="15" t="n">
        <f aca="false">F523*(1+IF(G$3&lt;=$O$2,$D523,$D523-($D523-$I$508)*MIN(G$3-$O$2,$Q$2)/$Q$2))</f>
        <v>12437.8266813345</v>
      </c>
      <c r="H523" s="15" t="n">
        <f aca="false">G523*(1+IF(H$3&lt;=$O$2,$D523,$D523-($D523-$I$508)*MIN(H$3-$O$2,$Q$2)/$Q$2))</f>
        <v>14314.0527947939</v>
      </c>
      <c r="I523" s="15" t="n">
        <f aca="false">H523*(1+IF(I$3&lt;=$O$2,$D523,$D523-($D523-$I$508)*MIN(I$3-$O$2,$Q$2)/$Q$2))</f>
        <v>16473.3045942527</v>
      </c>
      <c r="J523" s="15" t="n">
        <f aca="false">I523*(1+IF(J$3&lt;=$O$2,$D523,$D523-($D523-$I$508)*MIN(J$3-$O$2,$Q$2)/$Q$2))</f>
        <v>18554.5206615714</v>
      </c>
      <c r="K523" s="15" t="n">
        <f aca="false">J523*(1+IF(K$3&lt;=$O$2,$D523,$D523-($D523-$I$508)*MIN(K$3-$O$2,$Q$2)/$Q$2))</f>
        <v>20443.9095620866</v>
      </c>
      <c r="L523" s="15" t="n">
        <f aca="false">K523*(1+IF(L$3&lt;=$O$2,$D523,$D523-($D523-$I$508)*MIN(L$3-$O$2,$Q$2)/$Q$2))</f>
        <v>22024.6194726886</v>
      </c>
      <c r="M523" s="15" t="n">
        <f aca="false">L523*(1+IF(M$3&lt;=$O$2,$D523,$D523-($D523-$I$508)*MIN(M$3-$O$2,$Q$2)/$Q$2))</f>
        <v>23187.7325292635</v>
      </c>
      <c r="N523" s="15" t="n">
        <f aca="false">M523*(1+IF(N$3&lt;=$O$2,$D523,$D523-($D523-$I$508)*MIN(N$3-$O$2,$Q$2)/$Q$2))</f>
        <v>23843.9453598417</v>
      </c>
      <c r="O523" s="15" t="n">
        <f aca="false">SUMPRODUCT(E523:N523,1/(1+$F$508)^$E$3:$N$3)*$E$2</f>
        <v>36793.806539316</v>
      </c>
      <c r="P523" s="15" t="n">
        <f aca="false">N523*$E$2*(1+$I$508)/($F$508-$I$508)/(1+$F$508)^$N$3</f>
        <v>49683.8582852667</v>
      </c>
      <c r="Q523" s="15" t="n">
        <f aca="false">O523+P523</f>
        <v>86477.6648245827</v>
      </c>
      <c r="R523" s="15" t="n">
        <f aca="false">Q523-$G$2+$I$2</f>
        <v>80357.6648245827</v>
      </c>
      <c r="S523" s="42" t="n">
        <f aca="false">R523/$K$2</f>
        <v>464.012384943889</v>
      </c>
      <c r="T523" s="43" t="n">
        <f aca="false">S523-$M$2</f>
        <v>-0.128970870870262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0.150848388671875</v>
      </c>
      <c r="C524" s="25" t="n">
        <f aca="false">IF(T523&gt;0,D523,C523)</f>
        <v>0.15093994140625</v>
      </c>
      <c r="D524" s="41" t="n">
        <f aca="false">(B524+C524)/2</f>
        <v>0.150894165039063</v>
      </c>
      <c r="E524" s="15" t="n">
        <f aca="false">$C$2*(1+IF(E$3&lt;=$O$2,$D524,$D524-($D524-$I$508)*MIN(E$3-$O$2,$Q$2)/$Q$2))</f>
        <v>9391.29638671875</v>
      </c>
      <c r="F524" s="15" t="n">
        <f aca="false">E524*(1+IF(F$3&lt;=$O$2,$D524,$D524-($D524-$I$508)*MIN(F$3-$O$2,$Q$2)/$Q$2))</f>
        <v>10808.388213627</v>
      </c>
      <c r="G524" s="15" t="n">
        <f aca="false">F524*(1+IF(G$3&lt;=$O$2,$D524,$D524-($D524-$I$508)*MIN(G$3-$O$2,$Q$2)/$Q$2))</f>
        <v>12439.3109285403</v>
      </c>
      <c r="H524" s="15" t="n">
        <f aca="false">G524*(1+IF(H$3&lt;=$O$2,$D524,$D524-($D524-$I$508)*MIN(H$3-$O$2,$Q$2)/$Q$2))</f>
        <v>14316.3303647637</v>
      </c>
      <c r="I524" s="15" t="n">
        <f aca="false">H524*(1+IF(I$3&lt;=$O$2,$D524,$D524-($D524-$I$508)*MIN(I$3-$O$2,$Q$2)/$Q$2))</f>
        <v>16476.5810815781</v>
      </c>
      <c r="J524" s="15" t="n">
        <f aca="false">I524*(1+IF(J$3&lt;=$O$2,$D524,$D524-($D524-$I$508)*MIN(J$3-$O$2,$Q$2)/$Q$2))</f>
        <v>18558.8144865024</v>
      </c>
      <c r="K524" s="15" t="n">
        <f aca="false">J524*(1+IF(K$3&lt;=$O$2,$D524,$D524-($D524-$I$508)*MIN(K$3-$O$2,$Q$2)/$Q$2))</f>
        <v>20449.1503561229</v>
      </c>
      <c r="L524" s="15" t="n">
        <f aca="false">K524*(1+IF(L$3&lt;=$O$2,$D524,$D524-($D524-$I$508)*MIN(L$3-$O$2,$Q$2)/$Q$2))</f>
        <v>22030.6399166681</v>
      </c>
      <c r="M524" s="15" t="n">
        <f aca="false">L524*(1+IF(M$3&lt;=$O$2,$D524,$D524-($D524-$I$508)*MIN(M$3-$O$2,$Q$2)/$Q$2))</f>
        <v>23194.2726074818</v>
      </c>
      <c r="N524" s="15" t="n">
        <f aca="false">M524*(1+IF(N$3&lt;=$O$2,$D524,$D524-($D524-$I$508)*MIN(N$3-$O$2,$Q$2)/$Q$2))</f>
        <v>23850.6705222736</v>
      </c>
      <c r="O524" s="15" t="n">
        <f aca="false">SUMPRODUCT(E524:N524,1/(1+$F$508)^$E$3:$N$3)*$E$2</f>
        <v>36801.0213968505</v>
      </c>
      <c r="P524" s="15" t="n">
        <f aca="false">N524*$E$2*(1+$I$508)/($F$508-$I$508)/(1+$F$508)^$N$3</f>
        <v>49697.8715709109</v>
      </c>
      <c r="Q524" s="15" t="n">
        <f aca="false">O524+P524</f>
        <v>86498.8929677614</v>
      </c>
      <c r="R524" s="15" t="n">
        <f aca="false">Q524-$G$2+$I$2</f>
        <v>80378.8929677614</v>
      </c>
      <c r="S524" s="42" t="n">
        <f aca="false">R524/$K$2</f>
        <v>464.134963435509</v>
      </c>
      <c r="T524" s="43" t="n">
        <f aca="false">S524-$M$2</f>
        <v>-0.00639237925065572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0.150894165039063</v>
      </c>
      <c r="C525" s="25" t="n">
        <f aca="false">IF(T524&gt;0,D524,C524)</f>
        <v>0.15093994140625</v>
      </c>
      <c r="D525" s="41" t="n">
        <f aca="false">(B525+C525)/2</f>
        <v>0.150917053222656</v>
      </c>
      <c r="E525" s="15" t="n">
        <f aca="false">$C$2*(1+IF(E$3&lt;=$O$2,$D525,$D525-($D525-$I$508)*MIN(E$3-$O$2,$Q$2)/$Q$2))</f>
        <v>9391.48315429688</v>
      </c>
      <c r="F525" s="15" t="n">
        <f aca="false">E525*(1+IF(F$3&lt;=$O$2,$D525,$D525-($D525-$I$508)*MIN(F$3-$O$2,$Q$2)/$Q$2))</f>
        <v>10808.8181173336</v>
      </c>
      <c r="G525" s="15" t="n">
        <f aca="false">F525*(1+IF(G$3&lt;=$O$2,$D525,$D525-($D525-$I$508)*MIN(G$3-$O$2,$Q$2)/$Q$2))</f>
        <v>12440.0530964212</v>
      </c>
      <c r="H525" s="15" t="n">
        <f aca="false">G525*(1+IF(H$3&lt;=$O$2,$D525,$D525-($D525-$I$508)*MIN(H$3-$O$2,$Q$2)/$Q$2))</f>
        <v>14317.4692516665</v>
      </c>
      <c r="I525" s="15" t="n">
        <f aca="false">H525*(1+IF(I$3&lt;=$O$2,$D525,$D525-($D525-$I$508)*MIN(I$3-$O$2,$Q$2)/$Q$2))</f>
        <v>16478.219520734</v>
      </c>
      <c r="J525" s="15" t="n">
        <f aca="false">I525*(1+IF(J$3&lt;=$O$2,$D525,$D525-($D525-$I$508)*MIN(J$3-$O$2,$Q$2)/$Q$2))</f>
        <v>18560.9617091615</v>
      </c>
      <c r="K525" s="15" t="n">
        <f aca="false">J525*(1+IF(K$3&lt;=$O$2,$D525,$D525-($D525-$I$508)*MIN(K$3-$O$2,$Q$2)/$Q$2))</f>
        <v>20451.7711833844</v>
      </c>
      <c r="L525" s="15" t="n">
        <f aca="false">K525*(1+IF(L$3&lt;=$O$2,$D525,$D525-($D525-$I$508)*MIN(L$3-$O$2,$Q$2)/$Q$2))</f>
        <v>22033.6506741504</v>
      </c>
      <c r="M525" s="15" t="n">
        <f aca="false">L525*(1+IF(M$3&lt;=$O$2,$D525,$D525-($D525-$I$508)*MIN(M$3-$O$2,$Q$2)/$Q$2))</f>
        <v>23197.5432517092</v>
      </c>
      <c r="N525" s="15" t="n">
        <f aca="false">M525*(1+IF(N$3&lt;=$O$2,$D525,$D525-($D525-$I$508)*MIN(N$3-$O$2,$Q$2)/$Q$2))</f>
        <v>23854.0337257326</v>
      </c>
      <c r="O525" s="15" t="n">
        <f aca="false">SUMPRODUCT(E525:N525,1/(1+$F$508)^$E$3:$N$3)*$E$2</f>
        <v>36804.6293472297</v>
      </c>
      <c r="P525" s="15" t="n">
        <f aca="false">N525*$E$2*(1+$I$508)/($F$508-$I$508)/(1+$F$508)^$N$3</f>
        <v>49704.8795103068</v>
      </c>
      <c r="Q525" s="15" t="n">
        <f aca="false">O525+P525</f>
        <v>86509.5088575364</v>
      </c>
      <c r="R525" s="15" t="n">
        <f aca="false">Q525-$G$2+$I$2</f>
        <v>80389.5088575364</v>
      </c>
      <c r="S525" s="42" t="n">
        <f aca="false">R525/$K$2</f>
        <v>464.196263180139</v>
      </c>
      <c r="T525" s="43" t="n">
        <f aca="false">S525-$M$2</f>
        <v>0.0549073653794494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0.150894165039063</v>
      </c>
      <c r="C526" s="25" t="n">
        <f aca="false">IF(T525&gt;0,D525,C525)</f>
        <v>0.150917053222656</v>
      </c>
      <c r="D526" s="41" t="n">
        <f aca="false">(B526+C526)/2</f>
        <v>0.150905609130859</v>
      </c>
      <c r="E526" s="15" t="n">
        <f aca="false">$C$2*(1+IF(E$3&lt;=$O$2,$D526,$D526-($D526-$I$508)*MIN(E$3-$O$2,$Q$2)/$Q$2))</f>
        <v>9391.38977050781</v>
      </c>
      <c r="F526" s="15" t="n">
        <f aca="false">E526*(1+IF(F$3&lt;=$O$2,$D526,$D526-($D526-$I$508)*MIN(F$3-$O$2,$Q$2)/$Q$2))</f>
        <v>10808.6031644116</v>
      </c>
      <c r="G526" s="15" t="n">
        <f aca="false">F526*(1+IF(G$3&lt;=$O$2,$D526,$D526-($D526-$I$508)*MIN(G$3-$O$2,$Q$2)/$Q$2))</f>
        <v>12439.6820087909</v>
      </c>
      <c r="H526" s="15" t="n">
        <f aca="false">G526*(1+IF(H$3&lt;=$O$2,$D526,$D526-($D526-$I$508)*MIN(H$3-$O$2,$Q$2)/$Q$2))</f>
        <v>14316.8997997217</v>
      </c>
      <c r="I526" s="15" t="n">
        <f aca="false">H526*(1+IF(I$3&lt;=$O$2,$D526,$D526-($D526-$I$508)*MIN(I$3-$O$2,$Q$2)/$Q$2))</f>
        <v>16477.4002848641</v>
      </c>
      <c r="J526" s="15" t="n">
        <f aca="false">I526*(1+IF(J$3&lt;=$O$2,$D526,$D526-($D526-$I$508)*MIN(J$3-$O$2,$Q$2)/$Q$2))</f>
        <v>18559.8880719808</v>
      </c>
      <c r="K526" s="15" t="n">
        <f aca="false">J526*(1+IF(K$3&lt;=$O$2,$D526,$D526-($D526-$I$508)*MIN(K$3-$O$2,$Q$2)/$Q$2))</f>
        <v>20450.4607338973</v>
      </c>
      <c r="L526" s="15" t="n">
        <f aca="false">K526*(1+IF(L$3&lt;=$O$2,$D526,$D526-($D526-$I$508)*MIN(L$3-$O$2,$Q$2)/$Q$2))</f>
        <v>22032.1452507811</v>
      </c>
      <c r="M526" s="15" t="n">
        <f aca="false">L526*(1+IF(M$3&lt;=$O$2,$D526,$D526-($D526-$I$508)*MIN(M$3-$O$2,$Q$2)/$Q$2))</f>
        <v>23195.9078791645</v>
      </c>
      <c r="N526" s="15" t="n">
        <f aca="false">M526*(1+IF(N$3&lt;=$O$2,$D526,$D526-($D526-$I$508)*MIN(N$3-$O$2,$Q$2)/$Q$2))</f>
        <v>23852.3520721449</v>
      </c>
      <c r="O526" s="15" t="n">
        <f aca="false">SUMPRODUCT(E526:N526,1/(1+$F$508)^$E$3:$N$3)*$E$2</f>
        <v>36802.8253285692</v>
      </c>
      <c r="P526" s="15" t="n">
        <f aca="false">N526*$E$2*(1+$I$508)/($F$508-$I$508)/(1+$F$508)^$N$3</f>
        <v>49701.3754325515</v>
      </c>
      <c r="Q526" s="15" t="n">
        <f aca="false">O526+P526</f>
        <v>86504.2007611207</v>
      </c>
      <c r="R526" s="15" t="n">
        <f aca="false">Q526-$G$2+$I$2</f>
        <v>80384.2007611207</v>
      </c>
      <c r="S526" s="42" t="n">
        <f aca="false">R526/$K$2</f>
        <v>464.165612432848</v>
      </c>
      <c r="T526" s="43" t="n">
        <f aca="false">S526-$M$2</f>
        <v>0.0242566180891117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0.150894165039063</v>
      </c>
      <c r="C527" s="25" t="n">
        <f aca="false">IF(T526&gt;0,D526,C526)</f>
        <v>0.150905609130859</v>
      </c>
      <c r="D527" s="41" t="n">
        <f aca="false">(B527+C527)/2</f>
        <v>0.150899887084961</v>
      </c>
      <c r="E527" s="15" t="n">
        <f aca="false">$C$2*(1+IF(E$3&lt;=$O$2,$D527,$D527-($D527-$I$508)*MIN(E$3-$O$2,$Q$2)/$Q$2))</f>
        <v>9391.34307861328</v>
      </c>
      <c r="F527" s="15" t="n">
        <f aca="false">E527*(1+IF(F$3&lt;=$O$2,$D527,$D527-($D527-$I$508)*MIN(F$3-$O$2,$Q$2)/$Q$2))</f>
        <v>10808.4956887522</v>
      </c>
      <c r="G527" s="15" t="n">
        <f aca="false">F527*(1+IF(G$3&lt;=$O$2,$D527,$D527-($D527-$I$508)*MIN(G$3-$O$2,$Q$2)/$Q$2))</f>
        <v>12439.4964677431</v>
      </c>
      <c r="H527" s="15" t="n">
        <f aca="false">G527*(1+IF(H$3&lt;=$O$2,$D527,$D527-($D527-$I$508)*MIN(H$3-$O$2,$Q$2)/$Q$2))</f>
        <v>14316.6150801194</v>
      </c>
      <c r="I527" s="15" t="n">
        <f aca="false">H527*(1+IF(I$3&lt;=$O$2,$D527,$D527-($D527-$I$508)*MIN(I$3-$O$2,$Q$2)/$Q$2))</f>
        <v>16476.9906791482</v>
      </c>
      <c r="J527" s="15" t="n">
        <f aca="false">I527*(1+IF(J$3&lt;=$O$2,$D527,$D527-($D527-$I$508)*MIN(J$3-$O$2,$Q$2)/$Q$2))</f>
        <v>18559.3512727789</v>
      </c>
      <c r="K527" s="15" t="n">
        <f aca="false">J527*(1+IF(K$3&lt;=$O$2,$D527,$D527-($D527-$I$508)*MIN(K$3-$O$2,$Q$2)/$Q$2))</f>
        <v>20449.8055360463</v>
      </c>
      <c r="L527" s="15" t="n">
        <f aca="false">K527*(1+IF(L$3&lt;=$O$2,$D527,$D527-($D527-$I$508)*MIN(L$3-$O$2,$Q$2)/$Q$2))</f>
        <v>22031.3925725678</v>
      </c>
      <c r="M527" s="15" t="n">
        <f aca="false">L527*(1+IF(M$3&lt;=$O$2,$D527,$D527-($D527-$I$508)*MIN(M$3-$O$2,$Q$2)/$Q$2))</f>
        <v>23195.0902307158</v>
      </c>
      <c r="N527" s="15" t="n">
        <f aca="false">M527*(1+IF(N$3&lt;=$O$2,$D527,$D527-($D527-$I$508)*MIN(N$3-$O$2,$Q$2)/$Q$2))</f>
        <v>23851.511284245</v>
      </c>
      <c r="O527" s="15" t="n">
        <f aca="false">SUMPRODUCT(E527:N527,1/(1+$F$508)^$E$3:$N$3)*$E$2</f>
        <v>36801.9233518424</v>
      </c>
      <c r="P527" s="15" t="n">
        <f aca="false">N527*$E$2*(1+$I$508)/($F$508-$I$508)/(1+$F$508)^$N$3</f>
        <v>49699.6234747175</v>
      </c>
      <c r="Q527" s="15" t="n">
        <f aca="false">O527+P527</f>
        <v>86501.5468265599</v>
      </c>
      <c r="R527" s="15" t="n">
        <f aca="false">Q527-$G$2+$I$2</f>
        <v>80381.5468265599</v>
      </c>
      <c r="S527" s="42" t="n">
        <f aca="false">R527/$K$2</f>
        <v>464.15028771544</v>
      </c>
      <c r="T527" s="43" t="n">
        <f aca="false">S527-$M$2</f>
        <v>0.00893190068086369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0.150894165039063</v>
      </c>
      <c r="C528" s="25" t="n">
        <f aca="false">IF(T527&gt;0,D527,C527)</f>
        <v>0.150899887084961</v>
      </c>
      <c r="D528" s="41" t="n">
        <f aca="false">(B528+C528)/2</f>
        <v>0.150897026062012</v>
      </c>
      <c r="E528" s="15" t="n">
        <f aca="false">$C$2*(1+IF(E$3&lt;=$O$2,$D528,$D528-($D528-$I$508)*MIN(E$3-$O$2,$Q$2)/$Q$2))</f>
        <v>9391.31973266602</v>
      </c>
      <c r="F528" s="15" t="n">
        <f aca="false">E528*(1+IF(F$3&lt;=$O$2,$D528,$D528-($D528-$I$508)*MIN(F$3-$O$2,$Q$2)/$Q$2))</f>
        <v>10808.4419511228</v>
      </c>
      <c r="G528" s="15" t="n">
        <f aca="false">F528*(1+IF(G$3&lt;=$O$2,$D528,$D528-($D528-$I$508)*MIN(G$3-$O$2,$Q$2)/$Q$2))</f>
        <v>12439.4036979111</v>
      </c>
      <c r="H528" s="15" t="n">
        <f aca="false">G528*(1+IF(H$3&lt;=$O$2,$D528,$D528-($D528-$I$508)*MIN(H$3-$O$2,$Q$2)/$Q$2))</f>
        <v>14316.4727219107</v>
      </c>
      <c r="I528" s="15" t="n">
        <f aca="false">H528*(1+IF(I$3&lt;=$O$2,$D528,$D528-($D528-$I$508)*MIN(I$3-$O$2,$Q$2)/$Q$2))</f>
        <v>16476.7858793449</v>
      </c>
      <c r="J528" s="15" t="n">
        <f aca="false">I528*(1+IF(J$3&lt;=$O$2,$D528,$D528-($D528-$I$508)*MIN(J$3-$O$2,$Q$2)/$Q$2))</f>
        <v>18559.082878025</v>
      </c>
      <c r="K528" s="15" t="n">
        <f aca="false">J528*(1+IF(K$3&lt;=$O$2,$D528,$D528-($D528-$I$508)*MIN(K$3-$O$2,$Q$2)/$Q$2))</f>
        <v>20449.4779438437</v>
      </c>
      <c r="L528" s="15" t="n">
        <f aca="false">K528*(1+IF(L$3&lt;=$O$2,$D528,$D528-($D528-$I$508)*MIN(L$3-$O$2,$Q$2)/$Q$2))</f>
        <v>22031.0162418288</v>
      </c>
      <c r="M528" s="15" t="n">
        <f aca="false">L528*(1+IF(M$3&lt;=$O$2,$D528,$D528-($D528-$I$508)*MIN(M$3-$O$2,$Q$2)/$Q$2))</f>
        <v>23194.681415947</v>
      </c>
      <c r="N528" s="15" t="n">
        <f aca="false">M528*(1+IF(N$3&lt;=$O$2,$D528,$D528-($D528-$I$508)*MIN(N$3-$O$2,$Q$2)/$Q$2))</f>
        <v>23851.0909000183</v>
      </c>
      <c r="O528" s="15" t="n">
        <f aca="false">SUMPRODUCT(E528:N528,1/(1+$F$508)^$E$3:$N$3)*$E$2</f>
        <v>36801.4723716296</v>
      </c>
      <c r="P528" s="15" t="n">
        <f aca="false">N528*$E$2*(1+$I$508)/($F$508-$I$508)/(1+$F$508)^$N$3</f>
        <v>49698.7475160609</v>
      </c>
      <c r="Q528" s="15" t="n">
        <f aca="false">O528+P528</f>
        <v>86500.2198876905</v>
      </c>
      <c r="R528" s="15" t="n">
        <f aca="false">Q528-$G$2+$I$2</f>
        <v>80380.2198876905</v>
      </c>
      <c r="S528" s="42" t="n">
        <f aca="false">R528/$K$2</f>
        <v>464.14262552079</v>
      </c>
      <c r="T528" s="43" t="n">
        <f aca="false">S528-$M$2</f>
        <v>0.00126970603110976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0.150894165039063</v>
      </c>
      <c r="C529" s="25" t="n">
        <f aca="false">IF(T528&gt;0,D528,C528)</f>
        <v>0.150897026062012</v>
      </c>
      <c r="D529" s="41" t="n">
        <f aca="false">(B529+C529)/2</f>
        <v>0.150895595550537</v>
      </c>
      <c r="E529" s="15" t="n">
        <f aca="false">$C$2*(1+IF(E$3&lt;=$O$2,$D529,$D529-($D529-$I$508)*MIN(E$3-$O$2,$Q$2)/$Q$2))</f>
        <v>9391.30805969238</v>
      </c>
      <c r="F529" s="15" t="n">
        <f aca="false">E529*(1+IF(F$3&lt;=$O$2,$D529,$D529-($D529-$I$508)*MIN(F$3-$O$2,$Q$2)/$Q$2))</f>
        <v>10808.4150823582</v>
      </c>
      <c r="G529" s="15" t="n">
        <f aca="false">F529*(1+IF(G$3&lt;=$O$2,$D529,$D529-($D529-$I$508)*MIN(G$3-$O$2,$Q$2)/$Q$2))</f>
        <v>12439.3573131681</v>
      </c>
      <c r="H529" s="15" t="n">
        <f aca="false">G529*(1+IF(H$3&lt;=$O$2,$D529,$D529-($D529-$I$508)*MIN(H$3-$O$2,$Q$2)/$Q$2))</f>
        <v>14316.4015432045</v>
      </c>
      <c r="I529" s="15" t="n">
        <f aca="false">H529*(1+IF(I$3&lt;=$O$2,$D529,$D529-($D529-$I$508)*MIN(I$3-$O$2,$Q$2)/$Q$2))</f>
        <v>16476.683480207</v>
      </c>
      <c r="J529" s="15" t="n">
        <f aca="false">I529*(1+IF(J$3&lt;=$O$2,$D529,$D529-($D529-$I$508)*MIN(J$3-$O$2,$Q$2)/$Q$2))</f>
        <v>18558.9486818598</v>
      </c>
      <c r="K529" s="15" t="n">
        <f aca="false">J529*(1+IF(K$3&lt;=$O$2,$D529,$D529-($D529-$I$508)*MIN(K$3-$O$2,$Q$2)/$Q$2))</f>
        <v>20449.3141494231</v>
      </c>
      <c r="L529" s="15" t="n">
        <f aca="false">K529*(1+IF(L$3&lt;=$O$2,$D529,$D529-($D529-$I$508)*MIN(L$3-$O$2,$Q$2)/$Q$2))</f>
        <v>22030.8280785512</v>
      </c>
      <c r="M529" s="15" t="n">
        <f aca="false">L529*(1+IF(M$3&lt;=$O$2,$D529,$D529-($D529-$I$508)*MIN(M$3-$O$2,$Q$2)/$Q$2))</f>
        <v>23194.4770109265</v>
      </c>
      <c r="N529" s="15" t="n">
        <f aca="false">M529*(1+IF(N$3&lt;=$O$2,$D529,$D529-($D529-$I$508)*MIN(N$3-$O$2,$Q$2)/$Q$2))</f>
        <v>23850.8807103357</v>
      </c>
      <c r="O529" s="15" t="n">
        <f aca="false">SUMPRODUCT(E529:N529,1/(1+$F$508)^$E$3:$N$3)*$E$2</f>
        <v>36801.2468835609</v>
      </c>
      <c r="P529" s="15" t="n">
        <f aca="false">N529*$E$2*(1+$I$508)/($F$508-$I$508)/(1+$F$508)^$N$3</f>
        <v>49698.3095417976</v>
      </c>
      <c r="Q529" s="15" t="n">
        <f aca="false">O529+P529</f>
        <v>86499.5564253584</v>
      </c>
      <c r="R529" s="15" t="n">
        <f aca="false">Q529-$G$2+$I$2</f>
        <v>80379.5564253584</v>
      </c>
      <c r="S529" s="42" t="n">
        <f aca="false">R529/$K$2</f>
        <v>464.138794464479</v>
      </c>
      <c r="T529" s="43" t="n">
        <f aca="false">S529-$M$2</f>
        <v>-0.00256135028064364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0.150895595550537</v>
      </c>
      <c r="C530" s="25" t="n">
        <f aca="false">IF(T529&gt;0,D529,C529)</f>
        <v>0.150897026062012</v>
      </c>
      <c r="D530" s="41" t="n">
        <f aca="false">(B530+C530)/2</f>
        <v>0.150896310806274</v>
      </c>
      <c r="E530" s="15" t="n">
        <f aca="false">$C$2*(1+IF(E$3&lt;=$O$2,$D530,$D530-($D530-$I$508)*MIN(E$3-$O$2,$Q$2)/$Q$2))</f>
        <v>9391.3138961792</v>
      </c>
      <c r="F530" s="15" t="n">
        <f aca="false">E530*(1+IF(F$3&lt;=$O$2,$D530,$D530-($D530-$I$508)*MIN(F$3-$O$2,$Q$2)/$Q$2))</f>
        <v>10808.4285167363</v>
      </c>
      <c r="G530" s="15" t="n">
        <f aca="false">F530*(1+IF(G$3&lt;=$O$2,$D530,$D530-($D530-$I$508)*MIN(G$3-$O$2,$Q$2)/$Q$2))</f>
        <v>12439.3805055252</v>
      </c>
      <c r="H530" s="15" t="n">
        <f aca="false">G530*(1+IF(H$3&lt;=$O$2,$D530,$D530-($D530-$I$508)*MIN(H$3-$O$2,$Q$2)/$Q$2))</f>
        <v>14316.4371325244</v>
      </c>
      <c r="I530" s="15" t="n">
        <f aca="false">H530*(1+IF(I$3&lt;=$O$2,$D530,$D530-($D530-$I$508)*MIN(I$3-$O$2,$Q$2)/$Q$2))</f>
        <v>16476.7346797123</v>
      </c>
      <c r="J530" s="15" t="n">
        <f aca="false">I530*(1+IF(J$3&lt;=$O$2,$D530,$D530-($D530-$I$508)*MIN(J$3-$O$2,$Q$2)/$Q$2))</f>
        <v>18559.0157798414</v>
      </c>
      <c r="K530" s="15" t="n">
        <f aca="false">J530*(1+IF(K$3&lt;=$O$2,$D530,$D530-($D530-$I$508)*MIN(K$3-$O$2,$Q$2)/$Q$2))</f>
        <v>20449.3960464933</v>
      </c>
      <c r="L530" s="15" t="n">
        <f aca="false">K530*(1+IF(L$3&lt;=$O$2,$D530,$D530-($D530-$I$508)*MIN(L$3-$O$2,$Q$2)/$Q$2))</f>
        <v>22030.9221600157</v>
      </c>
      <c r="M530" s="15" t="n">
        <f aca="false">L530*(1+IF(M$3&lt;=$O$2,$D530,$D530-($D530-$I$508)*MIN(M$3-$O$2,$Q$2)/$Q$2))</f>
        <v>23194.5792132397</v>
      </c>
      <c r="N530" s="15" t="n">
        <f aca="false">M530*(1+IF(N$3&lt;=$O$2,$D530,$D530-($D530-$I$508)*MIN(N$3-$O$2,$Q$2)/$Q$2))</f>
        <v>23850.9858049744</v>
      </c>
      <c r="O530" s="15" t="n">
        <f aca="false">SUMPRODUCT(E530:N530,1/(1+$F$508)^$E$3:$N$3)*$E$2</f>
        <v>36801.3596274254</v>
      </c>
      <c r="P530" s="15" t="n">
        <f aca="false">N530*$E$2*(1+$I$508)/($F$508-$I$508)/(1+$F$508)^$N$3</f>
        <v>49698.5285285071</v>
      </c>
      <c r="Q530" s="15" t="n">
        <f aca="false">O530+P530</f>
        <v>86499.8881559326</v>
      </c>
      <c r="R530" s="15" t="n">
        <f aca="false">Q530-$G$2+$I$2</f>
        <v>80379.8881559326</v>
      </c>
      <c r="S530" s="42" t="n">
        <f aca="false">R530/$K$2</f>
        <v>464.140709989217</v>
      </c>
      <c r="T530" s="43" t="n">
        <f aca="false">S530-$M$2</f>
        <v>-0.000645825542505918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0.150896310806274</v>
      </c>
      <c r="C531" s="25" t="n">
        <f aca="false">IF(T530&gt;0,D530,C530)</f>
        <v>0.150897026062012</v>
      </c>
      <c r="D531" s="41" t="n">
        <f aca="false">(B531+C531)/2</f>
        <v>0.150896668434143</v>
      </c>
      <c r="E531" s="15" t="n">
        <f aca="false">$C$2*(1+IF(E$3&lt;=$O$2,$D531,$D531-($D531-$I$508)*MIN(E$3-$O$2,$Q$2)/$Q$2))</f>
        <v>9391.31681442261</v>
      </c>
      <c r="F531" s="15" t="n">
        <f aca="false">E531*(1+IF(F$3&lt;=$O$2,$D531,$D531-($D531-$I$508)*MIN(F$3-$O$2,$Q$2)/$Q$2))</f>
        <v>10808.4352339285</v>
      </c>
      <c r="G531" s="15" t="n">
        <f aca="false">F531*(1+IF(G$3&lt;=$O$2,$D531,$D531-($D531-$I$508)*MIN(G$3-$O$2,$Q$2)/$Q$2))</f>
        <v>12439.3921017146</v>
      </c>
      <c r="H531" s="15" t="n">
        <f aca="false">G531*(1+IF(H$3&lt;=$O$2,$D531,$D531-($D531-$I$508)*MIN(H$3-$O$2,$Q$2)/$Q$2))</f>
        <v>14316.4549272093</v>
      </c>
      <c r="I531" s="15" t="n">
        <f aca="false">H531*(1+IF(I$3&lt;=$O$2,$D531,$D531-($D531-$I$508)*MIN(I$3-$O$2,$Q$2)/$Q$2))</f>
        <v>16476.7602795127</v>
      </c>
      <c r="J531" s="15" t="n">
        <f aca="false">I531*(1+IF(J$3&lt;=$O$2,$D531,$D531-($D531-$I$508)*MIN(J$3-$O$2,$Q$2)/$Q$2))</f>
        <v>18559.049328908</v>
      </c>
      <c r="K531" s="15" t="n">
        <f aca="false">J531*(1+IF(K$3&lt;=$O$2,$D531,$D531-($D531-$I$508)*MIN(K$3-$O$2,$Q$2)/$Q$2))</f>
        <v>20449.4369951335</v>
      </c>
      <c r="L531" s="15" t="n">
        <f aca="false">K531*(1+IF(L$3&lt;=$O$2,$D531,$D531-($D531-$I$508)*MIN(L$3-$O$2,$Q$2)/$Q$2))</f>
        <v>22030.9692008787</v>
      </c>
      <c r="M531" s="15" t="n">
        <f aca="false">L531*(1+IF(M$3&lt;=$O$2,$D531,$D531-($D531-$I$508)*MIN(M$3-$O$2,$Q$2)/$Q$2))</f>
        <v>23194.6303145441</v>
      </c>
      <c r="N531" s="15" t="n">
        <f aca="false">M531*(1+IF(N$3&lt;=$O$2,$D531,$D531-($D531-$I$508)*MIN(N$3-$O$2,$Q$2)/$Q$2))</f>
        <v>23851.0383524457</v>
      </c>
      <c r="O531" s="15" t="n">
        <f aca="false">SUMPRODUCT(E531:N531,1/(1+$F$508)^$E$3:$N$3)*$E$2</f>
        <v>36801.4159994851</v>
      </c>
      <c r="P531" s="15" t="n">
        <f aca="false">N531*$E$2*(1+$I$508)/($F$508-$I$508)/(1+$F$508)^$N$3</f>
        <v>49698.6380221785</v>
      </c>
      <c r="Q531" s="15" t="n">
        <f aca="false">O531+P531</f>
        <v>86500.0540216636</v>
      </c>
      <c r="R531" s="15" t="n">
        <f aca="false">Q531-$G$2+$I$2</f>
        <v>80380.0540216636</v>
      </c>
      <c r="S531" s="42" t="n">
        <f aca="false">R531/$K$2</f>
        <v>464.141667754149</v>
      </c>
      <c r="T531" s="43" t="n">
        <f aca="false">S531-$M$2</f>
        <v>0.000311939389973759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0.150896310806274</v>
      </c>
      <c r="C532" s="25" t="n">
        <f aca="false">IF(T531&gt;0,D531,C531)</f>
        <v>0.150896668434143</v>
      </c>
      <c r="D532" s="41" t="n">
        <f aca="false">(B532+C532)/2</f>
        <v>0.150896489620209</v>
      </c>
      <c r="E532" s="15" t="n">
        <f aca="false">$C$2*(1+IF(E$3&lt;=$O$2,$D532,$D532-($D532-$I$508)*MIN(E$3-$O$2,$Q$2)/$Q$2))</f>
        <v>9391.3153553009</v>
      </c>
      <c r="F532" s="15" t="n">
        <f aca="false">E532*(1+IF(F$3&lt;=$O$2,$D532,$D532-($D532-$I$508)*MIN(F$3-$O$2,$Q$2)/$Q$2))</f>
        <v>10808.4318753322</v>
      </c>
      <c r="G532" s="15" t="n">
        <f aca="false">F532*(1+IF(G$3&lt;=$O$2,$D532,$D532-($D532-$I$508)*MIN(G$3-$O$2,$Q$2)/$Q$2))</f>
        <v>12439.386303619</v>
      </c>
      <c r="H532" s="15" t="n">
        <f aca="false">G532*(1+IF(H$3&lt;=$O$2,$D532,$D532-($D532-$I$508)*MIN(H$3-$O$2,$Q$2)/$Q$2))</f>
        <v>14316.4460298648</v>
      </c>
      <c r="I532" s="15" t="n">
        <f aca="false">H532*(1+IF(I$3&lt;=$O$2,$D532,$D532-($D532-$I$508)*MIN(I$3-$O$2,$Q$2)/$Q$2))</f>
        <v>16476.7474796085</v>
      </c>
      <c r="J532" s="15" t="n">
        <f aca="false">I532*(1+IF(J$3&lt;=$O$2,$D532,$D532-($D532-$I$508)*MIN(J$3-$O$2,$Q$2)/$Q$2))</f>
        <v>18559.0325543684</v>
      </c>
      <c r="K532" s="15" t="n">
        <f aca="false">J532*(1+IF(K$3&lt;=$O$2,$D532,$D532-($D532-$I$508)*MIN(K$3-$O$2,$Q$2)/$Q$2))</f>
        <v>20449.4165208046</v>
      </c>
      <c r="L532" s="15" t="n">
        <f aca="false">K532*(1+IF(L$3&lt;=$O$2,$D532,$D532-($D532-$I$508)*MIN(L$3-$O$2,$Q$2)/$Q$2))</f>
        <v>22030.9456804363</v>
      </c>
      <c r="M532" s="15" t="n">
        <f aca="false">L532*(1+IF(M$3&lt;=$O$2,$D532,$D532-($D532-$I$508)*MIN(M$3-$O$2,$Q$2)/$Q$2))</f>
        <v>23194.6047638796</v>
      </c>
      <c r="N532" s="15" t="n">
        <f aca="false">M532*(1+IF(N$3&lt;=$O$2,$D532,$D532-($D532-$I$508)*MIN(N$3-$O$2,$Q$2)/$Q$2))</f>
        <v>23851.0120786974</v>
      </c>
      <c r="O532" s="15" t="n">
        <f aca="false">SUMPRODUCT(E532:N532,1/(1+$F$508)^$E$3:$N$3)*$E$2</f>
        <v>36801.3878134446</v>
      </c>
      <c r="P532" s="15" t="n">
        <f aca="false">N532*$E$2*(1+$I$508)/($F$508-$I$508)/(1+$F$508)^$N$3</f>
        <v>49698.5832753164</v>
      </c>
      <c r="Q532" s="15" t="n">
        <f aca="false">O532+P532</f>
        <v>86499.9710887611</v>
      </c>
      <c r="R532" s="15" t="n">
        <f aca="false">Q532-$G$2+$I$2</f>
        <v>80379.9710887611</v>
      </c>
      <c r="S532" s="42" t="n">
        <f aca="false">R532/$K$2</f>
        <v>464.141188871469</v>
      </c>
      <c r="T532" s="43" t="n">
        <f aca="false">S532-$M$2</f>
        <v>-0.000166943289912069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0.150896489620209</v>
      </c>
      <c r="C533" s="25" t="n">
        <f aca="false">IF(T532&gt;0,D532,C532)</f>
        <v>0.150896668434143</v>
      </c>
      <c r="D533" s="41" t="n">
        <f aca="false">(B533+C533)/2</f>
        <v>0.150896579027176</v>
      </c>
      <c r="E533" s="15" t="n">
        <f aca="false">$C$2*(1+IF(E$3&lt;=$O$2,$D533,$D533-($D533-$I$508)*MIN(E$3-$O$2,$Q$2)/$Q$2))</f>
        <v>9391.31608486176</v>
      </c>
      <c r="F533" s="15" t="n">
        <f aca="false">E533*(1+IF(F$3&lt;=$O$2,$D533,$D533-($D533-$I$508)*MIN(F$3-$O$2,$Q$2)/$Q$2))</f>
        <v>10808.4335546303</v>
      </c>
      <c r="G533" s="15" t="n">
        <f aca="false">F533*(1+IF(G$3&lt;=$O$2,$D533,$D533-($D533-$I$508)*MIN(G$3-$O$2,$Q$2)/$Q$2))</f>
        <v>12439.3892026665</v>
      </c>
      <c r="H533" s="15" t="n">
        <f aca="false">G533*(1+IF(H$3&lt;=$O$2,$D533,$D533-($D533-$I$508)*MIN(H$3-$O$2,$Q$2)/$Q$2))</f>
        <v>14316.4504785365</v>
      </c>
      <c r="I533" s="15" t="n">
        <f aca="false">H533*(1+IF(I$3&lt;=$O$2,$D533,$D533-($D533-$I$508)*MIN(I$3-$O$2,$Q$2)/$Q$2))</f>
        <v>16476.7538795596</v>
      </c>
      <c r="J533" s="15" t="n">
        <f aca="false">I533*(1+IF(J$3&lt;=$O$2,$D533,$D533-($D533-$I$508)*MIN(J$3-$O$2,$Q$2)/$Q$2))</f>
        <v>18559.0409416366</v>
      </c>
      <c r="K533" s="15" t="n">
        <f aca="false">J533*(1+IF(K$3&lt;=$O$2,$D533,$D533-($D533-$I$508)*MIN(K$3-$O$2,$Q$2)/$Q$2))</f>
        <v>20449.4267579669</v>
      </c>
      <c r="L533" s="15" t="n">
        <f aca="false">K533*(1+IF(L$3&lt;=$O$2,$D533,$D533-($D533-$I$508)*MIN(L$3-$O$2,$Q$2)/$Q$2))</f>
        <v>22030.9574406547</v>
      </c>
      <c r="M533" s="15" t="n">
        <f aca="false">L533*(1+IF(M$3&lt;=$O$2,$D533,$D533-($D533-$I$508)*MIN(M$3-$O$2,$Q$2)/$Q$2))</f>
        <v>23194.6175392088</v>
      </c>
      <c r="N533" s="15" t="n">
        <f aca="false">M533*(1+IF(N$3&lt;=$O$2,$D533,$D533-($D533-$I$508)*MIN(N$3-$O$2,$Q$2)/$Q$2))</f>
        <v>23851.0252155684</v>
      </c>
      <c r="O533" s="15" t="n">
        <f aca="false">SUMPRODUCT(E533:N533,1/(1+$F$508)^$E$3:$N$3)*$E$2</f>
        <v>36801.4019064622</v>
      </c>
      <c r="P533" s="15" t="n">
        <f aca="false">N533*$E$2*(1+$I$508)/($F$508-$I$508)/(1+$F$508)^$N$3</f>
        <v>49698.6106487409</v>
      </c>
      <c r="Q533" s="15" t="n">
        <f aca="false">O533+P533</f>
        <v>86500.0125552031</v>
      </c>
      <c r="R533" s="15" t="n">
        <f aca="false">Q533-$G$2+$I$2</f>
        <v>80380.0125552031</v>
      </c>
      <c r="S533" s="42" t="n">
        <f aca="false">R533/$K$2</f>
        <v>464.141428312756</v>
      </c>
      <c r="T533" s="43" t="n">
        <f aca="false">S533-$M$2</f>
        <v>7.24979967685613E-005</v>
      </c>
    </row>
    <row r="535" customFormat="false" ht="15" hidden="false" customHeight="false" outlineLevel="0" collapsed="false">
      <c r="A535" s="38" t="s">
        <v>200</v>
      </c>
      <c r="E535" s="5" t="s">
        <v>11</v>
      </c>
      <c r="F535" s="12" t="n">
        <f aca="false">Sensitivity!$B$13</f>
        <v>0.100316051923387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162</v>
      </c>
      <c r="B536" s="28" t="s">
        <v>163</v>
      </c>
      <c r="C536" s="28" t="s">
        <v>164</v>
      </c>
      <c r="D536" s="28" t="s">
        <v>165</v>
      </c>
      <c r="E536" s="28" t="s">
        <v>166</v>
      </c>
      <c r="F536" s="28" t="s">
        <v>167</v>
      </c>
      <c r="G536" s="28" t="s">
        <v>168</v>
      </c>
      <c r="H536" s="28" t="s">
        <v>169</v>
      </c>
      <c r="I536" s="28" t="s">
        <v>170</v>
      </c>
      <c r="J536" s="28" t="s">
        <v>171</v>
      </c>
      <c r="K536" s="28" t="s">
        <v>172</v>
      </c>
      <c r="L536" s="28" t="s">
        <v>173</v>
      </c>
      <c r="M536" s="28" t="s">
        <v>174</v>
      </c>
      <c r="N536" s="28" t="s">
        <v>175</v>
      </c>
      <c r="O536" s="28" t="s">
        <v>176</v>
      </c>
      <c r="P536" s="28" t="s">
        <v>177</v>
      </c>
      <c r="Q536" s="28" t="s">
        <v>178</v>
      </c>
      <c r="R536" s="28" t="s">
        <v>179</v>
      </c>
      <c r="S536" s="28" t="s">
        <v>180</v>
      </c>
      <c r="T536" s="28" t="s">
        <v>181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10200</v>
      </c>
      <c r="F537" s="15" t="n">
        <f aca="false">E537*(1+IF(F$3&lt;=$O$2,$D537,$D537-($D537-$I$535)*MIN(F$3-$O$2,$Q$2)/$Q$2))</f>
        <v>12750</v>
      </c>
      <c r="G537" s="15" t="n">
        <f aca="false">F537*(1+IF(G$3&lt;=$O$2,$D537,$D537-($D537-$I$535)*MIN(G$3-$O$2,$Q$2)/$Q$2))</f>
        <v>15937.5</v>
      </c>
      <c r="H537" s="15" t="n">
        <f aca="false">G537*(1+IF(H$3&lt;=$O$2,$D537,$D537-($D537-$I$535)*MIN(H$3-$O$2,$Q$2)/$Q$2))</f>
        <v>19921.875</v>
      </c>
      <c r="I537" s="15" t="n">
        <f aca="false">H537*(1+IF(I$3&lt;=$O$2,$D537,$D537-($D537-$I$535)*MIN(I$3-$O$2,$Q$2)/$Q$2))</f>
        <v>24902.34375</v>
      </c>
      <c r="J537" s="15" t="n">
        <f aca="false">I537*(1+IF(J$3&lt;=$O$2,$D537,$D537-($D537-$I$535)*MIN(J$3-$O$2,$Q$2)/$Q$2))</f>
        <v>30048.662109375</v>
      </c>
      <c r="K537" s="15" t="n">
        <f aca="false">J537*(1+IF(K$3&lt;=$O$2,$D537,$D537-($D537-$I$535)*MIN(K$3-$O$2,$Q$2)/$Q$2))</f>
        <v>34956.2096050781</v>
      </c>
      <c r="L537" s="15" t="n">
        <f aca="false">K537*(1+IF(L$3&lt;=$O$2,$D537,$D537-($D537-$I$535)*MIN(L$3-$O$2,$Q$2)/$Q$2))</f>
        <v>39150.2556334954</v>
      </c>
      <c r="M537" s="15" t="n">
        <f aca="false">L537*(1+IF(M$3&lt;=$O$2,$D537,$D537-($D537-$I$535)*MIN(M$3-$O$2,$Q$2)/$Q$2))</f>
        <v>42150.7312252465</v>
      </c>
      <c r="N537" s="15" t="n">
        <f aca="false">M537*(1+IF(N$3&lt;=$O$2,$D537,$D537-($D537-$I$535)*MIN(N$3-$O$2,$Q$2)/$Q$2))</f>
        <v>43554.3505750472</v>
      </c>
      <c r="O537" s="15" t="n">
        <f aca="false">SUMPRODUCT(E537:N537,1/(1+$F$535)^$E$3:$N$3)*$E$2</f>
        <v>56342.1169326764</v>
      </c>
      <c r="P537" s="15" t="n">
        <f aca="false">N537*$E$2*(1+$I$535)/($F$535-$I$535)/(1+$F$535)^$N$3</f>
        <v>97999.938308374</v>
      </c>
      <c r="Q537" s="15" t="n">
        <f aca="false">O537+P537</f>
        <v>154342.05524105</v>
      </c>
      <c r="R537" s="15" t="n">
        <f aca="false">Q537-$G$2+$I$2</f>
        <v>148222.05524105</v>
      </c>
      <c r="S537" s="42" t="n">
        <f aca="false">R537/$K$2</f>
        <v>855.884370256671</v>
      </c>
      <c r="T537" s="43" t="n">
        <f aca="false">S537-$M$2</f>
        <v>391.743014441912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7140</v>
      </c>
      <c r="F538" s="15" t="n">
        <f aca="false">E538*(1+IF(F$3&lt;=$O$2,$D538,$D538-($D538-$I$535)*MIN(F$3-$O$2,$Q$2)/$Q$2))</f>
        <v>6247.5</v>
      </c>
      <c r="G538" s="15" t="n">
        <f aca="false">F538*(1+IF(G$3&lt;=$O$2,$D538,$D538-($D538-$I$535)*MIN(G$3-$O$2,$Q$2)/$Q$2))</f>
        <v>5466.5625</v>
      </c>
      <c r="H538" s="15" t="n">
        <f aca="false">G538*(1+IF(H$3&lt;=$O$2,$D538,$D538-($D538-$I$535)*MIN(H$3-$O$2,$Q$2)/$Q$2))</f>
        <v>4783.2421875</v>
      </c>
      <c r="I538" s="15" t="n">
        <f aca="false">H538*(1+IF(I$3&lt;=$O$2,$D538,$D538-($D538-$I$535)*MIN(I$3-$O$2,$Q$2)/$Q$2))</f>
        <v>4185.3369140625</v>
      </c>
      <c r="J538" s="15" t="n">
        <f aca="false">I538*(1+IF(J$3&lt;=$O$2,$D538,$D538-($D538-$I$535)*MIN(J$3-$O$2,$Q$2)/$Q$2))</f>
        <v>3794.67756650391</v>
      </c>
      <c r="K538" s="15" t="n">
        <f aca="false">J538*(1+IF(K$3&lt;=$O$2,$D538,$D538-($D538-$I$535)*MIN(K$3-$O$2,$Q$2)/$Q$2))</f>
        <v>3560.62185420195</v>
      </c>
      <c r="L538" s="15" t="n">
        <f aca="false">K538*(1+IF(L$3&lt;=$O$2,$D538,$D538-($D538-$I$535)*MIN(L$3-$O$2,$Q$2)/$Q$2))</f>
        <v>3453.7319861388</v>
      </c>
      <c r="M538" s="15" t="n">
        <f aca="false">L538*(1+IF(M$3&lt;=$O$2,$D538,$D538-($D538-$I$535)*MIN(M$3-$O$2,$Q$2)/$Q$2))</f>
        <v>3459.39610659607</v>
      </c>
      <c r="N538" s="15" t="n">
        <f aca="false">M538*(1+IF(N$3&lt;=$O$2,$D538,$D538-($D538-$I$535)*MIN(N$3-$O$2,$Q$2)/$Q$2))</f>
        <v>3574.59399694572</v>
      </c>
      <c r="O538" s="15" t="n">
        <f aca="false">SUMPRODUCT(E538:N538,1/(1+$F$535)^$E$3:$N$3)*$E$2</f>
        <v>11394.7030872199</v>
      </c>
      <c r="P538" s="15" t="n">
        <f aca="false">N538*$E$2*(1+$I$535)/($F$535-$I$535)/(1+$F$535)^$N$3</f>
        <v>8043.05394416468</v>
      </c>
      <c r="Q538" s="15" t="n">
        <f aca="false">O538+P538</f>
        <v>19437.7570313846</v>
      </c>
      <c r="R538" s="15" t="n">
        <f aca="false">Q538-$G$2+$I$2</f>
        <v>13317.7570313846</v>
      </c>
      <c r="S538" s="42" t="n">
        <f aca="false">R538/$K$2</f>
        <v>76.9012416640755</v>
      </c>
      <c r="T538" s="43" t="n">
        <f aca="false">S538-$M$2</f>
        <v>-387.240114150684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8670</v>
      </c>
      <c r="F539" s="15" t="n">
        <f aca="false">E539*(1+IF(F$3&lt;=$O$2,$D539,$D539-($D539-$I$535)*MIN(F$3-$O$2,$Q$2)/$Q$2))</f>
        <v>9211.875</v>
      </c>
      <c r="G539" s="15" t="n">
        <f aca="false">F539*(1+IF(G$3&lt;=$O$2,$D539,$D539-($D539-$I$535)*MIN(G$3-$O$2,$Q$2)/$Q$2))</f>
        <v>9787.6171875</v>
      </c>
      <c r="H539" s="15" t="n">
        <f aca="false">G539*(1+IF(H$3&lt;=$O$2,$D539,$D539-($D539-$I$535)*MIN(H$3-$O$2,$Q$2)/$Q$2))</f>
        <v>10399.3432617188</v>
      </c>
      <c r="I539" s="15" t="n">
        <f aca="false">H539*(1+IF(I$3&lt;=$O$2,$D539,$D539-($D539-$I$535)*MIN(I$3-$O$2,$Q$2)/$Q$2))</f>
        <v>11049.3022155762</v>
      </c>
      <c r="J539" s="15" t="n">
        <f aca="false">I539*(1+IF(J$3&lt;=$O$2,$D539,$D539-($D539-$I$535)*MIN(J$3-$O$2,$Q$2)/$Q$2))</f>
        <v>11675.3556791107</v>
      </c>
      <c r="K539" s="15" t="n">
        <f aca="false">J539*(1+IF(K$3&lt;=$O$2,$D539,$D539-($D539-$I$535)*MIN(K$3-$O$2,$Q$2)/$Q$2))</f>
        <v>12268.6972547231</v>
      </c>
      <c r="L539" s="15" t="n">
        <f aca="false">K539*(1+IF(L$3&lt;=$O$2,$D539,$D539-($D539-$I$535)*MIN(L$3-$O$2,$Q$2)/$Q$2))</f>
        <v>12820.5432572406</v>
      </c>
      <c r="M539" s="15" t="n">
        <f aca="false">L539*(1+IF(M$3&lt;=$O$2,$D539,$D539-($D539-$I$535)*MIN(M$3-$O$2,$Q$2)/$Q$2))</f>
        <v>13322.339320329</v>
      </c>
      <c r="N539" s="15" t="n">
        <f aca="false">M539*(1+IF(N$3&lt;=$O$2,$D539,$D539-($D539-$I$535)*MIN(N$3-$O$2,$Q$2)/$Q$2))</f>
        <v>13765.9732196959</v>
      </c>
      <c r="O539" s="15" t="n">
        <f aca="false">SUMPRODUCT(E539:N539,1/(1+$F$535)^$E$3:$N$3)*$E$2</f>
        <v>25257.5633398664</v>
      </c>
      <c r="P539" s="15" t="n">
        <f aca="false">N539*$E$2*(1+$I$535)/($F$535-$I$535)/(1+$F$535)^$N$3</f>
        <v>30974.2771611391</v>
      </c>
      <c r="Q539" s="15" t="n">
        <f aca="false">O539+P539</f>
        <v>56231.8405010055</v>
      </c>
      <c r="R539" s="15" t="n">
        <f aca="false">Q539-$G$2+$I$2</f>
        <v>50111.8405010055</v>
      </c>
      <c r="S539" s="42" t="n">
        <f aca="false">R539/$K$2</f>
        <v>289.362746858791</v>
      </c>
      <c r="T539" s="43" t="n">
        <f aca="false">S539-$M$2</f>
        <v>-174.778608955968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41" t="n">
        <f aca="false">(B540+C540)/2</f>
        <v>0.15625</v>
      </c>
      <c r="E540" s="15" t="n">
        <f aca="false">$C$2*(1+IF(E$3&lt;=$O$2,$D540,$D540-($D540-$I$535)*MIN(E$3-$O$2,$Q$2)/$Q$2))</f>
        <v>9435</v>
      </c>
      <c r="F540" s="15" t="n">
        <f aca="false">E540*(1+IF(F$3&lt;=$O$2,$D540,$D540-($D540-$I$535)*MIN(F$3-$O$2,$Q$2)/$Q$2))</f>
        <v>10909.21875</v>
      </c>
      <c r="G540" s="15" t="n">
        <f aca="false">F540*(1+IF(G$3&lt;=$O$2,$D540,$D540-($D540-$I$535)*MIN(G$3-$O$2,$Q$2)/$Q$2))</f>
        <v>12613.7841796875</v>
      </c>
      <c r="H540" s="15" t="n">
        <f aca="false">G540*(1+IF(H$3&lt;=$O$2,$D540,$D540-($D540-$I$535)*MIN(H$3-$O$2,$Q$2)/$Q$2))</f>
        <v>14584.6879577637</v>
      </c>
      <c r="I540" s="15" t="n">
        <f aca="false">H540*(1+IF(I$3&lt;=$O$2,$D540,$D540-($D540-$I$535)*MIN(I$3-$O$2,$Q$2)/$Q$2))</f>
        <v>16863.5454511642</v>
      </c>
      <c r="J540" s="15" t="n">
        <f aca="false">I540*(1+IF(J$3&lt;=$O$2,$D540,$D540-($D540-$I$535)*MIN(J$3-$O$2,$Q$2)/$Q$2))</f>
        <v>19083.7998452645</v>
      </c>
      <c r="K540" s="15" t="n">
        <f aca="false">J540*(1+IF(K$3&lt;=$O$2,$D540,$D540-($D540-$I$535)*MIN(K$3-$O$2,$Q$2)/$Q$2))</f>
        <v>21127.102294697</v>
      </c>
      <c r="L540" s="15" t="n">
        <f aca="false">K540*(1+IF(L$3&lt;=$O$2,$D540,$D540-($D540-$I$535)*MIN(L$3-$O$2,$Q$2)/$Q$2))</f>
        <v>22869.6656919636</v>
      </c>
      <c r="M540" s="15" t="n">
        <f aca="false">L540*(1+IF(M$3&lt;=$O$2,$D540,$D540-($D540-$I$535)*MIN(M$3-$O$2,$Q$2)/$Q$2))</f>
        <v>24193.5906388714</v>
      </c>
      <c r="N540" s="15" t="n">
        <f aca="false">M540*(1+IF(N$3&lt;=$O$2,$D540,$D540-($D540-$I$535)*MIN(N$3-$O$2,$Q$2)/$Q$2))</f>
        <v>24999.2372071458</v>
      </c>
      <c r="O540" s="15" t="n">
        <f aca="false">SUMPRODUCT(E540:N540,1/(1+$F$535)^$E$3:$N$3)*$E$2</f>
        <v>37778.4009134637</v>
      </c>
      <c r="P540" s="15" t="n">
        <f aca="false">N540*$E$2*(1+$I$535)/($F$535-$I$535)/(1+$F$535)^$N$3</f>
        <v>56249.8044790108</v>
      </c>
      <c r="Q540" s="15" t="n">
        <f aca="false">O540+P540</f>
        <v>94028.2053924745</v>
      </c>
      <c r="R540" s="15" t="n">
        <f aca="false">Q540-$G$2+$I$2</f>
        <v>87908.2053924745</v>
      </c>
      <c r="S540" s="42" t="n">
        <f aca="false">R540/$K$2</f>
        <v>507.611764594494</v>
      </c>
      <c r="T540" s="43" t="n">
        <f aca="false">S540-$M$2</f>
        <v>43.4704087797348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41" t="n">
        <f aca="false">(B541+C541)/2</f>
        <v>0.109375</v>
      </c>
      <c r="E541" s="15" t="n">
        <f aca="false">$C$2*(1+IF(E$3&lt;=$O$2,$D541,$D541-($D541-$I$535)*MIN(E$3-$O$2,$Q$2)/$Q$2))</f>
        <v>9052.5</v>
      </c>
      <c r="F541" s="15" t="n">
        <f aca="false">E541*(1+IF(F$3&lt;=$O$2,$D541,$D541-($D541-$I$535)*MIN(F$3-$O$2,$Q$2)/$Q$2))</f>
        <v>10042.6171875</v>
      </c>
      <c r="G541" s="15" t="n">
        <f aca="false">F541*(1+IF(G$3&lt;=$O$2,$D541,$D541-($D541-$I$535)*MIN(G$3-$O$2,$Q$2)/$Q$2))</f>
        <v>11141.0284423828</v>
      </c>
      <c r="H541" s="15" t="n">
        <f aca="false">G541*(1+IF(H$3&lt;=$O$2,$D541,$D541-($D541-$I$535)*MIN(H$3-$O$2,$Q$2)/$Q$2))</f>
        <v>12359.5784282684</v>
      </c>
      <c r="I541" s="15" t="n">
        <f aca="false">H541*(1+IF(I$3&lt;=$O$2,$D541,$D541-($D541-$I$535)*MIN(I$3-$O$2,$Q$2)/$Q$2))</f>
        <v>13711.4073188603</v>
      </c>
      <c r="J541" s="15" t="n">
        <f aca="false">I541*(1+IF(J$3&lt;=$O$2,$D541,$D541-($D541-$I$535)*MIN(J$3-$O$2,$Q$2)/$Q$2))</f>
        <v>15002.4734320042</v>
      </c>
      <c r="K541" s="15" t="n">
        <f aca="false">J541*(1+IF(K$3&lt;=$O$2,$D541,$D541-($D541-$I$535)*MIN(K$3-$O$2,$Q$2)/$Q$2))</f>
        <v>16186.8436970937</v>
      </c>
      <c r="L541" s="15" t="n">
        <f aca="false">K541*(1+IF(L$3&lt;=$O$2,$D541,$D541-($D541-$I$535)*MIN(L$3-$O$2,$Q$2)/$Q$2))</f>
        <v>17218.4312459095</v>
      </c>
      <c r="M541" s="15" t="n">
        <f aca="false">L541*(1+IF(M$3&lt;=$O$2,$D541,$D541-($D541-$I$535)*MIN(M$3-$O$2,$Q$2)/$Q$2))</f>
        <v>18053.7834378048</v>
      </c>
      <c r="N541" s="15" t="n">
        <f aca="false">M541*(1+IF(N$3&lt;=$O$2,$D541,$D541-($D541-$I$535)*MIN(N$3-$O$2,$Q$2)/$Q$2))</f>
        <v>18654.9744262837</v>
      </c>
      <c r="O541" s="15" t="n">
        <f aca="false">SUMPRODUCT(E541:N541,1/(1+$F$535)^$E$3:$N$3)*$E$2</f>
        <v>30893.4054970895</v>
      </c>
      <c r="P541" s="15" t="n">
        <f aca="false">N541*$E$2*(1+$I$535)/($F$535-$I$535)/(1+$F$535)^$N$3</f>
        <v>41974.8272855087</v>
      </c>
      <c r="Q541" s="15" t="n">
        <f aca="false">O541+P541</f>
        <v>72868.2327825982</v>
      </c>
      <c r="R541" s="15" t="n">
        <f aca="false">Q541-$G$2+$I$2</f>
        <v>66748.2327825982</v>
      </c>
      <c r="S541" s="42" t="n">
        <f aca="false">R541/$K$2</f>
        <v>385.426912937973</v>
      </c>
      <c r="T541" s="43" t="n">
        <f aca="false">S541-$M$2</f>
        <v>-78.7144428767863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0.109375</v>
      </c>
      <c r="C542" s="25" t="n">
        <f aca="false">IF(T541&gt;0,D541,C541)</f>
        <v>0.15625</v>
      </c>
      <c r="D542" s="41" t="n">
        <f aca="false">(B542+C542)/2</f>
        <v>0.1328125</v>
      </c>
      <c r="E542" s="15" t="n">
        <f aca="false">$C$2*(1+IF(E$3&lt;=$O$2,$D542,$D542-($D542-$I$535)*MIN(E$3-$O$2,$Q$2)/$Q$2))</f>
        <v>9243.75</v>
      </c>
      <c r="F542" s="15" t="n">
        <f aca="false">E542*(1+IF(F$3&lt;=$O$2,$D542,$D542-($D542-$I$535)*MIN(F$3-$O$2,$Q$2)/$Q$2))</f>
        <v>10471.435546875</v>
      </c>
      <c r="G542" s="15" t="n">
        <f aca="false">F542*(1+IF(G$3&lt;=$O$2,$D542,$D542-($D542-$I$535)*MIN(G$3-$O$2,$Q$2)/$Q$2))</f>
        <v>11862.1730804443</v>
      </c>
      <c r="H542" s="15" t="n">
        <f aca="false">G542*(1+IF(H$3&lt;=$O$2,$D542,$D542-($D542-$I$535)*MIN(H$3-$O$2,$Q$2)/$Q$2))</f>
        <v>13437.6179426909</v>
      </c>
      <c r="I542" s="15" t="n">
        <f aca="false">H542*(1+IF(I$3&lt;=$O$2,$D542,$D542-($D542-$I$535)*MIN(I$3-$O$2,$Q$2)/$Q$2))</f>
        <v>15222.3015757045</v>
      </c>
      <c r="J542" s="15" t="n">
        <f aca="false">I542*(1+IF(J$3&lt;=$O$2,$D542,$D542-($D542-$I$535)*MIN(J$3-$O$2,$Q$2)/$Q$2))</f>
        <v>16941.0516466173</v>
      </c>
      <c r="K542" s="15" t="n">
        <f aca="false">J542*(1+IF(K$3&lt;=$O$2,$D542,$D542-($D542-$I$535)*MIN(K$3-$O$2,$Q$2)/$Q$2))</f>
        <v>18516.69650764</v>
      </c>
      <c r="L542" s="15" t="n">
        <f aca="false">K542*(1+IF(L$3&lt;=$O$2,$D542,$D542-($D542-$I$535)*MIN(L$3-$O$2,$Q$2)/$Q$2))</f>
        <v>19870.359605831</v>
      </c>
      <c r="M542" s="15" t="n">
        <f aca="false">L542*(1+IF(M$3&lt;=$O$2,$D542,$D542-($D542-$I$535)*MIN(M$3-$O$2,$Q$2)/$Q$2))</f>
        <v>20927.5124127603</v>
      </c>
      <c r="N542" s="15" t="n">
        <f aca="false">M542*(1+IF(N$3&lt;=$O$2,$D542,$D542-($D542-$I$535)*MIN(N$3-$O$2,$Q$2)/$Q$2))</f>
        <v>21624.3985761052</v>
      </c>
      <c r="O542" s="15" t="n">
        <f aca="false">SUMPRODUCT(E542:N542,1/(1+$F$535)^$E$3:$N$3)*$E$2</f>
        <v>34165.0049838496</v>
      </c>
      <c r="P542" s="15" t="n">
        <f aca="false">N542*$E$2*(1+$I$535)/($F$535-$I$535)/(1+$F$535)^$N$3</f>
        <v>48656.2122597256</v>
      </c>
      <c r="Q542" s="15" t="n">
        <f aca="false">O542+P542</f>
        <v>82821.2172435752</v>
      </c>
      <c r="R542" s="15" t="n">
        <f aca="false">Q542-$G$2+$I$2</f>
        <v>76701.2172435752</v>
      </c>
      <c r="S542" s="42" t="n">
        <f aca="false">R542/$K$2</f>
        <v>442.898817667024</v>
      </c>
      <c r="T542" s="43" t="n">
        <f aca="false">S542-$M$2</f>
        <v>-21.2425381477353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0.1328125</v>
      </c>
      <c r="C543" s="25" t="n">
        <f aca="false">IF(T542&gt;0,D542,C542)</f>
        <v>0.15625</v>
      </c>
      <c r="D543" s="41" t="n">
        <f aca="false">(B543+C543)/2</f>
        <v>0.14453125</v>
      </c>
      <c r="E543" s="15" t="n">
        <f aca="false">$C$2*(1+IF(E$3&lt;=$O$2,$D543,$D543-($D543-$I$535)*MIN(E$3-$O$2,$Q$2)/$Q$2))</f>
        <v>9339.375</v>
      </c>
      <c r="F543" s="15" t="n">
        <f aca="false">E543*(1+IF(F$3&lt;=$O$2,$D543,$D543-($D543-$I$535)*MIN(F$3-$O$2,$Q$2)/$Q$2))</f>
        <v>10689.2065429688</v>
      </c>
      <c r="G543" s="15" t="n">
        <f aca="false">F543*(1+IF(G$3&lt;=$O$2,$D543,$D543-($D543-$I$535)*MIN(G$3-$O$2,$Q$2)/$Q$2))</f>
        <v>12234.1309261322</v>
      </c>
      <c r="H543" s="15" t="n">
        <f aca="false">G543*(1+IF(H$3&lt;=$O$2,$D543,$D543-($D543-$I$535)*MIN(H$3-$O$2,$Q$2)/$Q$2))</f>
        <v>14002.3451615497</v>
      </c>
      <c r="I543" s="15" t="n">
        <f aca="false">H543*(1+IF(I$3&lt;=$O$2,$D543,$D543-($D543-$I$535)*MIN(I$3-$O$2,$Q$2)/$Q$2))</f>
        <v>16026.12161068</v>
      </c>
      <c r="J543" s="15" t="n">
        <f aca="false">I543*(1+IF(J$3&lt;=$O$2,$D543,$D543-($D543-$I$535)*MIN(J$3-$O$2,$Q$2)/$Q$2))</f>
        <v>17985.875891842</v>
      </c>
      <c r="K543" s="15" t="n">
        <f aca="false">J543*(1+IF(K$3&lt;=$O$2,$D543,$D543-($D543-$I$535)*MIN(K$3-$O$2,$Q$2)/$Q$2))</f>
        <v>19785.160433717</v>
      </c>
      <c r="L543" s="15" t="n">
        <f aca="false">K543*(1+IF(L$3&lt;=$O$2,$D543,$D543-($D543-$I$535)*MIN(L$3-$O$2,$Q$2)/$Q$2))</f>
        <v>21324.2975267569</v>
      </c>
      <c r="M543" s="15" t="n">
        <f aca="false">L543*(1+IF(M$3&lt;=$O$2,$D543,$D543-($D543-$I$535)*MIN(M$3-$O$2,$Q$2)/$Q$2))</f>
        <v>22508.7822882525</v>
      </c>
      <c r="N543" s="15" t="n">
        <f aca="false">M543*(1+IF(N$3&lt;=$O$2,$D543,$D543-($D543-$I$535)*MIN(N$3-$O$2,$Q$2)/$Q$2))</f>
        <v>23258.3247384514</v>
      </c>
      <c r="O543" s="15" t="n">
        <f aca="false">SUMPRODUCT(E543:N543,1/(1+$F$535)^$E$3:$N$3)*$E$2</f>
        <v>35927.0028231063</v>
      </c>
      <c r="P543" s="15" t="n">
        <f aca="false">N543*$E$2*(1+$I$535)/($F$535-$I$535)/(1+$F$535)^$N$3</f>
        <v>52332.6455206109</v>
      </c>
      <c r="Q543" s="15" t="n">
        <f aca="false">O543+P543</f>
        <v>88259.6483437172</v>
      </c>
      <c r="R543" s="15" t="n">
        <f aca="false">Q543-$G$2+$I$2</f>
        <v>82139.6483437172</v>
      </c>
      <c r="S543" s="42" t="n">
        <f aca="false">R543/$K$2</f>
        <v>474.302161587465</v>
      </c>
      <c r="T543" s="43" t="n">
        <f aca="false">S543-$M$2</f>
        <v>10.1608057727061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0.1328125</v>
      </c>
      <c r="C544" s="25" t="n">
        <f aca="false">IF(T543&gt;0,D543,C543)</f>
        <v>0.14453125</v>
      </c>
      <c r="D544" s="41" t="n">
        <f aca="false">(B544+C544)/2</f>
        <v>0.138671875</v>
      </c>
      <c r="E544" s="15" t="n">
        <f aca="false">$C$2*(1+IF(E$3&lt;=$O$2,$D544,$D544-($D544-$I$535)*MIN(E$3-$O$2,$Q$2)/$Q$2))</f>
        <v>9291.5625</v>
      </c>
      <c r="F544" s="15" t="n">
        <f aca="false">E544*(1+IF(F$3&lt;=$O$2,$D544,$D544-($D544-$I$535)*MIN(F$3-$O$2,$Q$2)/$Q$2))</f>
        <v>10580.0408935547</v>
      </c>
      <c r="G544" s="15" t="n">
        <f aca="false">F544*(1+IF(G$3&lt;=$O$2,$D544,$D544-($D544-$I$535)*MIN(G$3-$O$2,$Q$2)/$Q$2))</f>
        <v>12047.1950018406</v>
      </c>
      <c r="H544" s="15" t="n">
        <f aca="false">G544*(1+IF(H$3&lt;=$O$2,$D544,$D544-($D544-$I$535)*MIN(H$3-$O$2,$Q$2)/$Q$2))</f>
        <v>13717.8021212365</v>
      </c>
      <c r="I544" s="15" t="n">
        <f aca="false">H544*(1+IF(I$3&lt;=$O$2,$D544,$D544-($D544-$I$535)*MIN(I$3-$O$2,$Q$2)/$Q$2))</f>
        <v>15620.0754622673</v>
      </c>
      <c r="J544" s="15" t="n">
        <f aca="false">I544*(1+IF(J$3&lt;=$O$2,$D544,$D544-($D544-$I$535)*MIN(J$3-$O$2,$Q$2)/$Q$2))</f>
        <v>17456.9572864413</v>
      </c>
      <c r="K544" s="15" t="n">
        <f aca="false">J544*(1+IF(K$3&lt;=$O$2,$D544,$D544-($D544-$I$535)*MIN(K$3-$O$2,$Q$2)/$Q$2))</f>
        <v>19141.9573567201</v>
      </c>
      <c r="L544" s="15" t="n">
        <f aca="false">K544*(1+IF(L$3&lt;=$O$2,$D544,$D544-($D544-$I$535)*MIN(L$3-$O$2,$Q$2)/$Q$2))</f>
        <v>20586.1941118379</v>
      </c>
      <c r="M544" s="15" t="n">
        <f aca="false">L544*(1+IF(M$3&lt;=$O$2,$D544,$D544-($D544-$I$535)*MIN(M$3-$O$2,$Q$2)/$Q$2))</f>
        <v>21705.5555502978</v>
      </c>
      <c r="N544" s="15" t="n">
        <f aca="false">M544*(1+IF(N$3&lt;=$O$2,$D544,$D544-($D544-$I$535)*MIN(N$3-$O$2,$Q$2)/$Q$2))</f>
        <v>22428.3505501227</v>
      </c>
      <c r="O544" s="15" t="n">
        <f aca="false">SUMPRODUCT(E544:N544,1/(1+$F$535)^$E$3:$N$3)*$E$2</f>
        <v>35035.0819327104</v>
      </c>
      <c r="P544" s="15" t="n">
        <f aca="false">N544*$E$2*(1+$I$535)/($F$535-$I$535)/(1+$F$535)^$N$3</f>
        <v>50465.1531075718</v>
      </c>
      <c r="Q544" s="15" t="n">
        <f aca="false">O544+P544</f>
        <v>85500.2350402822</v>
      </c>
      <c r="R544" s="15" t="n">
        <f aca="false">Q544-$G$2+$I$2</f>
        <v>79380.2350402822</v>
      </c>
      <c r="S544" s="42" t="n">
        <f aca="false">R544/$K$2</f>
        <v>458.368374178786</v>
      </c>
      <c r="T544" s="43" t="n">
        <f aca="false">S544-$M$2</f>
        <v>-5.77298163597328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0.138671875</v>
      </c>
      <c r="C545" s="25" t="n">
        <f aca="false">IF(T544&gt;0,D544,C544)</f>
        <v>0.14453125</v>
      </c>
      <c r="D545" s="41" t="n">
        <f aca="false">(B545+C545)/2</f>
        <v>0.1416015625</v>
      </c>
      <c r="E545" s="15" t="n">
        <f aca="false">$C$2*(1+IF(E$3&lt;=$O$2,$D545,$D545-($D545-$I$535)*MIN(E$3-$O$2,$Q$2)/$Q$2))</f>
        <v>9315.46875</v>
      </c>
      <c r="F545" s="15" t="n">
        <f aca="false">E545*(1+IF(F$3&lt;=$O$2,$D545,$D545-($D545-$I$535)*MIN(F$3-$O$2,$Q$2)/$Q$2))</f>
        <v>10634.5536804199</v>
      </c>
      <c r="G545" s="15" t="n">
        <f aca="false">F545*(1+IF(G$3&lt;=$O$2,$D545,$D545-($D545-$I$535)*MIN(G$3-$O$2,$Q$2)/$Q$2))</f>
        <v>12140.4230980575</v>
      </c>
      <c r="H545" s="15" t="n">
        <f aca="false">G545*(1+IF(H$3&lt;=$O$2,$D545,$D545-($D545-$I$535)*MIN(H$3-$O$2,$Q$2)/$Q$2))</f>
        <v>13859.5259781535</v>
      </c>
      <c r="I545" s="15" t="n">
        <f aca="false">H545*(1+IF(I$3&lt;=$O$2,$D545,$D545-($D545-$I$535)*MIN(I$3-$O$2,$Q$2)/$Q$2))</f>
        <v>15822.0565121694</v>
      </c>
      <c r="J545" s="15" t="n">
        <f aca="false">I545*(1+IF(J$3&lt;=$O$2,$D545,$D545-($D545-$I$535)*MIN(J$3-$O$2,$Q$2)/$Q$2))</f>
        <v>17719.7737478097</v>
      </c>
      <c r="K545" s="15" t="n">
        <f aca="false">J545*(1+IF(K$3&lt;=$O$2,$D545,$D545-($D545-$I$535)*MIN(K$3-$O$2,$Q$2)/$Q$2))</f>
        <v>19461.2897240323</v>
      </c>
      <c r="L545" s="15" t="n">
        <f aca="false">K545*(1+IF(L$3&lt;=$O$2,$D545,$D545-($D545-$I$535)*MIN(L$3-$O$2,$Q$2)/$Q$2))</f>
        <v>20952.4259059937</v>
      </c>
      <c r="M545" s="15" t="n">
        <f aca="false">L545*(1+IF(M$3&lt;=$O$2,$D545,$D545-($D545-$I$535)*MIN(M$3-$O$2,$Q$2)/$Q$2))</f>
        <v>22103.9777814202</v>
      </c>
      <c r="N545" s="15" t="n">
        <f aca="false">M545*(1+IF(N$3&lt;=$O$2,$D545,$D545-($D545-$I$535)*MIN(N$3-$O$2,$Q$2)/$Q$2))</f>
        <v>22840.0402415415</v>
      </c>
      <c r="O545" s="15" t="n">
        <f aca="false">SUMPRODUCT(E545:N545,1/(1+$F$535)^$E$3:$N$3)*$E$2</f>
        <v>35478.2806416471</v>
      </c>
      <c r="P545" s="15" t="n">
        <f aca="false">N545*$E$2*(1+$I$535)/($F$535-$I$535)/(1+$F$535)^$N$3</f>
        <v>51391.4799573251</v>
      </c>
      <c r="Q545" s="15" t="n">
        <f aca="false">O545+P545</f>
        <v>86869.7605989722</v>
      </c>
      <c r="R545" s="15" t="n">
        <f aca="false">Q545-$G$2+$I$2</f>
        <v>80749.7605989722</v>
      </c>
      <c r="S545" s="42" t="n">
        <f aca="false">R545/$K$2</f>
        <v>466.276478802241</v>
      </c>
      <c r="T545" s="43" t="n">
        <f aca="false">S545-$M$2</f>
        <v>2.13512298748208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0.138671875</v>
      </c>
      <c r="C546" s="25" t="n">
        <f aca="false">IF(T545&gt;0,D545,C545)</f>
        <v>0.1416015625</v>
      </c>
      <c r="D546" s="41" t="n">
        <f aca="false">(B546+C546)/2</f>
        <v>0.14013671875</v>
      </c>
      <c r="E546" s="15" t="n">
        <f aca="false">$C$2*(1+IF(E$3&lt;=$O$2,$D546,$D546-($D546-$I$535)*MIN(E$3-$O$2,$Q$2)/$Q$2))</f>
        <v>9303.515625</v>
      </c>
      <c r="F546" s="15" t="n">
        <f aca="false">E546*(1+IF(F$3&lt;=$O$2,$D546,$D546-($D546-$I$535)*MIN(F$3-$O$2,$Q$2)/$Q$2))</f>
        <v>10607.2797775269</v>
      </c>
      <c r="G546" s="15" t="n">
        <f aca="false">F546*(1+IF(G$3&lt;=$O$2,$D546,$D546-($D546-$I$535)*MIN(G$3-$O$2,$Q$2)/$Q$2))</f>
        <v>12093.7491604127</v>
      </c>
      <c r="H546" s="15" t="n">
        <f aca="false">G546*(1+IF(H$3&lt;=$O$2,$D546,$D546-($D546-$I$535)*MIN(H$3-$O$2,$Q$2)/$Q$2))</f>
        <v>13788.5274851385</v>
      </c>
      <c r="I546" s="15" t="n">
        <f aca="false">H546*(1+IF(I$3&lt;=$O$2,$D546,$D546-($D546-$I$535)*MIN(I$3-$O$2,$Q$2)/$Q$2))</f>
        <v>15720.8064833</v>
      </c>
      <c r="J546" s="15" t="n">
        <f aca="false">I546*(1+IF(J$3&lt;=$O$2,$D546,$D546-($D546-$I$535)*MIN(J$3-$O$2,$Q$2)/$Q$2))</f>
        <v>17587.9568438175</v>
      </c>
      <c r="K546" s="15" t="n">
        <f aca="false">J546*(1+IF(K$3&lt;=$O$2,$D546,$D546-($D546-$I$535)*MIN(K$3-$O$2,$Q$2)/$Q$2))</f>
        <v>19301.0595659427</v>
      </c>
      <c r="L546" s="15" t="n">
        <f aca="false">K546*(1+IF(L$3&lt;=$O$2,$D546,$D546-($D546-$I$535)*MIN(L$3-$O$2,$Q$2)/$Q$2))</f>
        <v>20768.609598458</v>
      </c>
      <c r="M546" s="15" t="n">
        <f aca="false">L546*(1+IF(M$3&lt;=$O$2,$D546,$D546-($D546-$I$535)*MIN(M$3-$O$2,$Q$2)/$Q$2))</f>
        <v>21903.9743185864</v>
      </c>
      <c r="N546" s="15" t="n">
        <f aca="false">M546*(1+IF(N$3&lt;=$O$2,$D546,$D546-($D546-$I$535)*MIN(N$3-$O$2,$Q$2)/$Q$2))</f>
        <v>22633.3766633954</v>
      </c>
      <c r="O546" s="15" t="n">
        <f aca="false">SUMPRODUCT(E546:N546,1/(1+$F$535)^$E$3:$N$3)*$E$2</f>
        <v>35255.9947826558</v>
      </c>
      <c r="P546" s="15" t="n">
        <f aca="false">N546*$E$2*(1+$I$535)/($F$535-$I$535)/(1+$F$535)^$N$3</f>
        <v>50926.4743346603</v>
      </c>
      <c r="Q546" s="15" t="n">
        <f aca="false">O546+P546</f>
        <v>86182.4691173161</v>
      </c>
      <c r="R546" s="15" t="n">
        <f aca="false">Q546-$G$2+$I$2</f>
        <v>80062.4691173161</v>
      </c>
      <c r="S546" s="42" t="n">
        <f aca="false">R546/$K$2</f>
        <v>462.307824906548</v>
      </c>
      <c r="T546" s="43" t="n">
        <f aca="false">S546-$M$2</f>
        <v>-1.83353090821083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0.14013671875</v>
      </c>
      <c r="C547" s="25" t="n">
        <f aca="false">IF(T546&gt;0,D546,C546)</f>
        <v>0.1416015625</v>
      </c>
      <c r="D547" s="41" t="n">
        <f aca="false">(B547+C547)/2</f>
        <v>0.140869140625</v>
      </c>
      <c r="E547" s="15" t="n">
        <f aca="false">$C$2*(1+IF(E$3&lt;=$O$2,$D547,$D547-($D547-$I$535)*MIN(E$3-$O$2,$Q$2)/$Q$2))</f>
        <v>9309.4921875</v>
      </c>
      <c r="F547" s="15" t="n">
        <f aca="false">E547*(1+IF(F$3&lt;=$O$2,$D547,$D547-($D547-$I$535)*MIN(F$3-$O$2,$Q$2)/$Q$2))</f>
        <v>10620.9123516083</v>
      </c>
      <c r="G547" s="15" t="n">
        <f aca="false">F547*(1+IF(G$3&lt;=$O$2,$D547,$D547-($D547-$I$535)*MIN(G$3-$O$2,$Q$2)/$Q$2))</f>
        <v>12117.0711472328</v>
      </c>
      <c r="H547" s="15" t="n">
        <f aca="false">G547*(1+IF(H$3&lt;=$O$2,$D547,$D547-($D547-$I$535)*MIN(H$3-$O$2,$Q$2)/$Q$2))</f>
        <v>13823.9925466354</v>
      </c>
      <c r="I547" s="15" t="n">
        <f aca="false">H547*(1+IF(I$3&lt;=$O$2,$D547,$D547-($D547-$I$535)*MIN(I$3-$O$2,$Q$2)/$Q$2))</f>
        <v>15771.3664966864</v>
      </c>
      <c r="J547" s="15" t="n">
        <f aca="false">I547*(1+IF(J$3&lt;=$O$2,$D547,$D547-($D547-$I$535)*MIN(J$3-$O$2,$Q$2)/$Q$2))</f>
        <v>17653.7628734504</v>
      </c>
      <c r="K547" s="15" t="n">
        <f aca="false">J547*(1+IF(K$3&lt;=$O$2,$D547,$D547-($D547-$I$535)*MIN(K$3-$O$2,$Q$2)/$Q$2))</f>
        <v>19381.0332377931</v>
      </c>
      <c r="L547" s="15" t="n">
        <f aca="false">K547*(1+IF(L$3&lt;=$O$2,$D547,$D547-($D547-$I$535)*MIN(L$3-$O$2,$Q$2)/$Q$2))</f>
        <v>20860.3420805372</v>
      </c>
      <c r="M547" s="15" t="n">
        <f aca="false">L547*(1+IF(M$3&lt;=$O$2,$D547,$D547-($D547-$I$535)*MIN(M$3-$O$2,$Q$2)/$Q$2))</f>
        <v>22003.7772859684</v>
      </c>
      <c r="N547" s="15" t="n">
        <f aca="false">M547*(1+IF(N$3&lt;=$O$2,$D547,$D547-($D547-$I$535)*MIN(N$3-$O$2,$Q$2)/$Q$2))</f>
        <v>22736.5030695912</v>
      </c>
      <c r="O547" s="15" t="n">
        <f aca="false">SUMPRODUCT(E547:N547,1/(1+$F$535)^$E$3:$N$3)*$E$2</f>
        <v>35366.9655963406</v>
      </c>
      <c r="P547" s="15" t="n">
        <f aca="false">N547*$E$2*(1+$I$535)/($F$535-$I$535)/(1+$F$535)^$N$3</f>
        <v>51158.5150220249</v>
      </c>
      <c r="Q547" s="15" t="n">
        <f aca="false">O547+P547</f>
        <v>86525.4806183656</v>
      </c>
      <c r="R547" s="15" t="n">
        <f aca="false">Q547-$G$2+$I$2</f>
        <v>80405.4806183656</v>
      </c>
      <c r="S547" s="42" t="n">
        <f aca="false">R547/$K$2</f>
        <v>464.288489539009</v>
      </c>
      <c r="T547" s="43" t="n">
        <f aca="false">S547-$M$2</f>
        <v>0.147133724249557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0.14013671875</v>
      </c>
      <c r="C548" s="25" t="n">
        <f aca="false">IF(T547&gt;0,D547,C547)</f>
        <v>0.140869140625</v>
      </c>
      <c r="D548" s="41" t="n">
        <f aca="false">(B548+C548)/2</f>
        <v>0.1405029296875</v>
      </c>
      <c r="E548" s="15" t="n">
        <f aca="false">$C$2*(1+IF(E$3&lt;=$O$2,$D548,$D548-($D548-$I$535)*MIN(E$3-$O$2,$Q$2)/$Q$2))</f>
        <v>9306.50390625</v>
      </c>
      <c r="F548" s="15" t="n">
        <f aca="false">E548*(1+IF(F$3&lt;=$O$2,$D548,$D548-($D548-$I$535)*MIN(F$3-$O$2,$Q$2)/$Q$2))</f>
        <v>10614.0949702263</v>
      </c>
      <c r="G548" s="15" t="n">
        <f aca="false">F548*(1+IF(G$3&lt;=$O$2,$D548,$D548-($D548-$I$535)*MIN(G$3-$O$2,$Q$2)/$Q$2))</f>
        <v>12105.4064095244</v>
      </c>
      <c r="H548" s="15" t="n">
        <f aca="false">G548*(1+IF(H$3&lt;=$O$2,$D548,$D548-($D548-$I$535)*MIN(H$3-$O$2,$Q$2)/$Q$2))</f>
        <v>13806.2514751205</v>
      </c>
      <c r="I548" s="15" t="n">
        <f aca="false">H548*(1+IF(I$3&lt;=$O$2,$D548,$D548-($D548-$I$535)*MIN(I$3-$O$2,$Q$2)/$Q$2))</f>
        <v>15746.0702553773</v>
      </c>
      <c r="J548" s="15" t="n">
        <f aca="false">I548*(1+IF(J$3&lt;=$O$2,$D548,$D548-($D548-$I$535)*MIN(J$3-$O$2,$Q$2)/$Q$2))</f>
        <v>17620.8342848346</v>
      </c>
      <c r="K548" s="15" t="n">
        <f aca="false">J548*(1+IF(K$3&lt;=$O$2,$D548,$D548-($D548-$I$535)*MIN(K$3-$O$2,$Q$2)/$Q$2))</f>
        <v>19341.011101843</v>
      </c>
      <c r="L548" s="15" t="n">
        <f aca="false">K548*(1+IF(L$3&lt;=$O$2,$D548,$D548-($D548-$I$535)*MIN(L$3-$O$2,$Q$2)/$Q$2))</f>
        <v>20814.4319928287</v>
      </c>
      <c r="M548" s="15" t="n">
        <f aca="false">L548*(1+IF(M$3&lt;=$O$2,$D548,$D548-($D548-$I$535)*MIN(M$3-$O$2,$Q$2)/$Q$2))</f>
        <v>21953.8261960724</v>
      </c>
      <c r="N548" s="15" t="n">
        <f aca="false">M548*(1+IF(N$3&lt;=$O$2,$D548,$D548-($D548-$I$535)*MIN(N$3-$O$2,$Q$2)/$Q$2))</f>
        <v>22684.8886084017</v>
      </c>
      <c r="O548" s="15" t="n">
        <f aca="false">SUMPRODUCT(E548:N548,1/(1+$F$535)^$E$3:$N$3)*$E$2</f>
        <v>35311.4372218498</v>
      </c>
      <c r="P548" s="15" t="n">
        <f aca="false">N548*$E$2*(1+$I$535)/($F$535-$I$535)/(1+$F$535)^$N$3</f>
        <v>51042.3793445183</v>
      </c>
      <c r="Q548" s="15" t="n">
        <f aca="false">O548+P548</f>
        <v>86353.8165663681</v>
      </c>
      <c r="R548" s="15" t="n">
        <f aca="false">Q548-$G$2+$I$2</f>
        <v>80233.8165663681</v>
      </c>
      <c r="S548" s="42" t="n">
        <f aca="false">R548/$K$2</f>
        <v>463.297243136437</v>
      </c>
      <c r="T548" s="43" t="n">
        <f aca="false">S548-$M$2</f>
        <v>-0.844112678322347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0.1405029296875</v>
      </c>
      <c r="C549" s="25" t="n">
        <f aca="false">IF(T548&gt;0,D548,C548)</f>
        <v>0.140869140625</v>
      </c>
      <c r="D549" s="41" t="n">
        <f aca="false">(B549+C549)/2</f>
        <v>0.14068603515625</v>
      </c>
      <c r="E549" s="15" t="n">
        <f aca="false">$C$2*(1+IF(E$3&lt;=$O$2,$D549,$D549-($D549-$I$535)*MIN(E$3-$O$2,$Q$2)/$Q$2))</f>
        <v>9307.998046875</v>
      </c>
      <c r="F549" s="15" t="n">
        <f aca="false">E549*(1+IF(F$3&lt;=$O$2,$D549,$D549-($D549-$I$535)*MIN(F$3-$O$2,$Q$2)/$Q$2))</f>
        <v>10617.503387332</v>
      </c>
      <c r="G549" s="15" t="n">
        <f aca="false">F549*(1+IF(G$3&lt;=$O$2,$D549,$D549-($D549-$I$535)*MIN(G$3-$O$2,$Q$2)/$Q$2))</f>
        <v>12111.2378421538</v>
      </c>
      <c r="H549" s="15" t="n">
        <f aca="false">G549*(1+IF(H$3&lt;=$O$2,$D549,$D549-($D549-$I$535)*MIN(H$3-$O$2,$Q$2)/$Q$2))</f>
        <v>13815.1198750007</v>
      </c>
      <c r="I549" s="15" t="n">
        <f aca="false">H549*(1+IF(I$3&lt;=$O$2,$D549,$D549-($D549-$I$535)*MIN(I$3-$O$2,$Q$2)/$Q$2))</f>
        <v>15758.7143154229</v>
      </c>
      <c r="J549" s="15" t="n">
        <f aca="false">I549*(1+IF(J$3&lt;=$O$2,$D549,$D549-($D549-$I$535)*MIN(J$3-$O$2,$Q$2)/$Q$2))</f>
        <v>17637.2921817211</v>
      </c>
      <c r="K549" s="15" t="n">
        <f aca="false">J549*(1+IF(K$3&lt;=$O$2,$D549,$D549-($D549-$I$535)*MIN(K$3-$O$2,$Q$2)/$Q$2))</f>
        <v>19361.0133383448</v>
      </c>
      <c r="L549" s="15" t="n">
        <f aca="false">K549*(1+IF(L$3&lt;=$O$2,$D549,$D549-($D549-$I$535)*MIN(L$3-$O$2,$Q$2)/$Q$2))</f>
        <v>20837.3760661165</v>
      </c>
      <c r="M549" s="15" t="n">
        <f aca="false">L549*(1+IF(M$3&lt;=$O$2,$D549,$D549-($D549-$I$535)*MIN(M$3-$O$2,$Q$2)/$Q$2))</f>
        <v>21978.7893288782</v>
      </c>
      <c r="N549" s="15" t="n">
        <f aca="false">M549*(1+IF(N$3&lt;=$O$2,$D549,$D549-($D549-$I$535)*MIN(N$3-$O$2,$Q$2)/$Q$2))</f>
        <v>22710.6830135299</v>
      </c>
      <c r="O549" s="15" t="n">
        <f aca="false">SUMPRODUCT(E549:N549,1/(1+$F$535)^$E$3:$N$3)*$E$2</f>
        <v>35339.190659526</v>
      </c>
      <c r="P549" s="15" t="n">
        <f aca="false">N549*$E$2*(1+$I$535)/($F$535-$I$535)/(1+$F$535)^$N$3</f>
        <v>51100.4183251916</v>
      </c>
      <c r="Q549" s="15" t="n">
        <f aca="false">O549+P549</f>
        <v>86439.6089847176</v>
      </c>
      <c r="R549" s="15" t="n">
        <f aca="false">Q549-$G$2+$I$2</f>
        <v>80319.6089847176</v>
      </c>
      <c r="S549" s="42" t="n">
        <f aca="false">R549/$K$2</f>
        <v>463.792637629736</v>
      </c>
      <c r="T549" s="43" t="n">
        <f aca="false">S549-$M$2</f>
        <v>-0.348718185023472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0.14068603515625</v>
      </c>
      <c r="C550" s="25" t="n">
        <f aca="false">IF(T549&gt;0,D549,C549)</f>
        <v>0.140869140625</v>
      </c>
      <c r="D550" s="41" t="n">
        <f aca="false">(B550+C550)/2</f>
        <v>0.140777587890625</v>
      </c>
      <c r="E550" s="15" t="n">
        <f aca="false">$C$2*(1+IF(E$3&lt;=$O$2,$D550,$D550-($D550-$I$535)*MIN(E$3-$O$2,$Q$2)/$Q$2))</f>
        <v>9308.7451171875</v>
      </c>
      <c r="F550" s="15" t="n">
        <f aca="false">E550*(1+IF(F$3&lt;=$O$2,$D550,$D550-($D550-$I$535)*MIN(F$3-$O$2,$Q$2)/$Q$2))</f>
        <v>10619.2078010738</v>
      </c>
      <c r="G550" s="15" t="n">
        <f aca="false">F550*(1+IF(G$3&lt;=$O$2,$D550,$D550-($D550-$I$535)*MIN(G$3-$O$2,$Q$2)/$Q$2))</f>
        <v>12114.1542606183</v>
      </c>
      <c r="H550" s="15" t="n">
        <f aca="false">G550*(1+IF(H$3&lt;=$O$2,$D550,$D550-($D550-$I$535)*MIN(H$3-$O$2,$Q$2)/$Q$2))</f>
        <v>13819.555676763</v>
      </c>
      <c r="I550" s="15" t="n">
        <f aca="false">H550*(1+IF(I$3&lt;=$O$2,$D550,$D550-($D550-$I$535)*MIN(I$3-$O$2,$Q$2)/$Q$2))</f>
        <v>15765.0393906579</v>
      </c>
      <c r="J550" s="15" t="n">
        <f aca="false">I550*(1+IF(J$3&lt;=$O$2,$D550,$D550-($D550-$I$535)*MIN(J$3-$O$2,$Q$2)/$Q$2))</f>
        <v>17645.5259277337</v>
      </c>
      <c r="K550" s="15" t="n">
        <f aca="false">J550*(1+IF(K$3&lt;=$O$2,$D550,$D550-($D550-$I$535)*MIN(K$3-$O$2,$Q$2)/$Q$2))</f>
        <v>19371.0210793919</v>
      </c>
      <c r="L550" s="15" t="n">
        <f aca="false">K550*(1+IF(L$3&lt;=$O$2,$D550,$D550-($D550-$I$535)*MIN(L$3-$O$2,$Q$2)/$Q$2))</f>
        <v>20848.8563295722</v>
      </c>
      <c r="M550" s="15" t="n">
        <f aca="false">L550*(1+IF(M$3&lt;=$O$2,$D550,$D550-($D550-$I$535)*MIN(M$3-$O$2,$Q$2)/$Q$2))</f>
        <v>21991.2802030631</v>
      </c>
      <c r="N550" s="15" t="n">
        <f aca="false">M550*(1+IF(N$3&lt;=$O$2,$D550,$D550-($D550-$I$535)*MIN(N$3-$O$2,$Q$2)/$Q$2))</f>
        <v>22723.5898338251</v>
      </c>
      <c r="O550" s="15" t="n">
        <f aca="false">SUMPRODUCT(E550:N550,1/(1+$F$535)^$E$3:$N$3)*$E$2</f>
        <v>35353.0754395833</v>
      </c>
      <c r="P550" s="15" t="n">
        <f aca="false">N550*$E$2*(1+$I$535)/($F$535-$I$535)/(1+$F$535)^$N$3</f>
        <v>51129.4594560084</v>
      </c>
      <c r="Q550" s="15" t="n">
        <f aca="false">O550+P550</f>
        <v>86482.5348955917</v>
      </c>
      <c r="R550" s="15" t="n">
        <f aca="false">Q550-$G$2+$I$2</f>
        <v>80362.5348955917</v>
      </c>
      <c r="S550" s="42" t="n">
        <f aca="false">R550/$K$2</f>
        <v>464.040506384061</v>
      </c>
      <c r="T550" s="43" t="n">
        <f aca="false">S550-$M$2</f>
        <v>-0.100849430697963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0.140777587890625</v>
      </c>
      <c r="C551" s="25" t="n">
        <f aca="false">IF(T550&gt;0,D550,C550)</f>
        <v>0.140869140625</v>
      </c>
      <c r="D551" s="41" t="n">
        <f aca="false">(B551+C551)/2</f>
        <v>0.140823364257813</v>
      </c>
      <c r="E551" s="15" t="n">
        <f aca="false">$C$2*(1+IF(E$3&lt;=$O$2,$D551,$D551-($D551-$I$535)*MIN(E$3-$O$2,$Q$2)/$Q$2))</f>
        <v>9309.11865234375</v>
      </c>
      <c r="F551" s="15" t="n">
        <f aca="false">E551*(1+IF(F$3&lt;=$O$2,$D551,$D551-($D551-$I$535)*MIN(F$3-$O$2,$Q$2)/$Q$2))</f>
        <v>10620.060059242</v>
      </c>
      <c r="G551" s="15" t="n">
        <f aca="false">F551*(1+IF(G$3&lt;=$O$2,$D551,$D551-($D551-$I$535)*MIN(G$3-$O$2,$Q$2)/$Q$2))</f>
        <v>12115.6126454044</v>
      </c>
      <c r="H551" s="15" t="n">
        <f aca="false">G551*(1+IF(H$3&lt;=$O$2,$D551,$D551-($D551-$I$535)*MIN(H$3-$O$2,$Q$2)/$Q$2))</f>
        <v>13821.7739781748</v>
      </c>
      <c r="I551" s="15" t="n">
        <f aca="false">H551*(1+IF(I$3&lt;=$O$2,$D551,$D551-($D551-$I$535)*MIN(I$3-$O$2,$Q$2)/$Q$2))</f>
        <v>15768.2026897924</v>
      </c>
      <c r="J551" s="15" t="n">
        <f aca="false">I551*(1+IF(J$3&lt;=$O$2,$D551,$D551-($D551-$I$535)*MIN(J$3-$O$2,$Q$2)/$Q$2))</f>
        <v>17649.644000567</v>
      </c>
      <c r="K551" s="15" t="n">
        <f aca="false">J551*(1+IF(K$3&lt;=$O$2,$D551,$D551-($D551-$I$535)*MIN(K$3-$O$2,$Q$2)/$Q$2))</f>
        <v>19376.0266063221</v>
      </c>
      <c r="L551" s="15" t="n">
        <f aca="false">K551*(1+IF(L$3&lt;=$O$2,$D551,$D551-($D551-$I$535)*MIN(L$3-$O$2,$Q$2)/$Q$2))</f>
        <v>20854.5985189768</v>
      </c>
      <c r="M551" s="15" t="n">
        <f aca="false">L551*(1+IF(M$3&lt;=$O$2,$D551,$D551-($D551-$I$535)*MIN(M$3-$O$2,$Q$2)/$Q$2))</f>
        <v>21997.5279682601</v>
      </c>
      <c r="N551" s="15" t="n">
        <f aca="false">M551*(1+IF(N$3&lt;=$O$2,$D551,$D551-($D551-$I$535)*MIN(N$3-$O$2,$Q$2)/$Q$2))</f>
        <v>22730.0456496031</v>
      </c>
      <c r="O551" s="15" t="n">
        <f aca="false">SUMPRODUCT(E551:N551,1/(1+$F$535)^$E$3:$N$3)*$E$2</f>
        <v>35360.0198457548</v>
      </c>
      <c r="P551" s="15" t="n">
        <f aca="false">N551*$E$2*(1+$I$535)/($F$535-$I$535)/(1+$F$535)^$N$3</f>
        <v>51143.9854342316</v>
      </c>
      <c r="Q551" s="15" t="n">
        <f aca="false">O551+P551</f>
        <v>86504.0052799863</v>
      </c>
      <c r="R551" s="15" t="n">
        <f aca="false">Q551-$G$2+$I$2</f>
        <v>80384.0052799863</v>
      </c>
      <c r="S551" s="42" t="n">
        <f aca="false">R551/$K$2</f>
        <v>464.164483658542</v>
      </c>
      <c r="T551" s="43" t="n">
        <f aca="false">S551-$M$2</f>
        <v>0.0231278437829587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0.140777587890625</v>
      </c>
      <c r="C552" s="25" t="n">
        <f aca="false">IF(T551&gt;0,D551,C551)</f>
        <v>0.140823364257813</v>
      </c>
      <c r="D552" s="41" t="n">
        <f aca="false">(B552+C552)/2</f>
        <v>0.140800476074219</v>
      </c>
      <c r="E552" s="15" t="n">
        <f aca="false">$C$2*(1+IF(E$3&lt;=$O$2,$D552,$D552-($D552-$I$535)*MIN(E$3-$O$2,$Q$2)/$Q$2))</f>
        <v>9308.93188476563</v>
      </c>
      <c r="F552" s="15" t="n">
        <f aca="false">E552*(1+IF(F$3&lt;=$O$2,$D552,$D552-($D552-$I$535)*MIN(F$3-$O$2,$Q$2)/$Q$2))</f>
        <v>10619.6339258831</v>
      </c>
      <c r="G552" s="15" t="n">
        <f aca="false">F552*(1+IF(G$3&lt;=$O$2,$D552,$D552-($D552-$I$535)*MIN(G$3-$O$2,$Q$2)/$Q$2))</f>
        <v>12114.8834383814</v>
      </c>
      <c r="H552" s="15" t="n">
        <f aca="false">G552*(1+IF(H$3&lt;=$O$2,$D552,$D552-($D552-$I$535)*MIN(H$3-$O$2,$Q$2)/$Q$2))</f>
        <v>13820.6647940891</v>
      </c>
      <c r="I552" s="15" t="n">
        <f aca="false">H552*(1+IF(I$3&lt;=$O$2,$D552,$D552-($D552-$I$535)*MIN(I$3-$O$2,$Q$2)/$Q$2))</f>
        <v>15766.6209767591</v>
      </c>
      <c r="J552" s="15" t="n">
        <f aca="false">I552*(1+IF(J$3&lt;=$O$2,$D552,$D552-($D552-$I$535)*MIN(J$3-$O$2,$Q$2)/$Q$2))</f>
        <v>17647.5848641518</v>
      </c>
      <c r="K552" s="15" t="n">
        <f aca="false">J552*(1+IF(K$3&lt;=$O$2,$D552,$D552-($D552-$I$535)*MIN(K$3-$O$2,$Q$2)/$Q$2))</f>
        <v>19373.523704802</v>
      </c>
      <c r="L552" s="15" t="n">
        <f aca="false">K552*(1+IF(L$3&lt;=$O$2,$D552,$D552-($D552-$I$535)*MIN(L$3-$O$2,$Q$2)/$Q$2))</f>
        <v>20851.7272527725</v>
      </c>
      <c r="M552" s="15" t="n">
        <f aca="false">L552*(1+IF(M$3&lt;=$O$2,$D552,$D552-($D552-$I$535)*MIN(M$3-$O$2,$Q$2)/$Q$2))</f>
        <v>21994.4038916183</v>
      </c>
      <c r="N552" s="15" t="n">
        <f aca="false">M552*(1+IF(N$3&lt;=$O$2,$D552,$D552-($D552-$I$535)*MIN(N$3-$O$2,$Q$2)/$Q$2))</f>
        <v>22726.8175412092</v>
      </c>
      <c r="O552" s="15" t="n">
        <f aca="false">SUMPRODUCT(E552:N552,1/(1+$F$535)^$E$3:$N$3)*$E$2</f>
        <v>35356.5474746322</v>
      </c>
      <c r="P552" s="15" t="n">
        <f aca="false">N552*$E$2*(1+$I$535)/($F$535-$I$535)/(1+$F$535)^$N$3</f>
        <v>51136.7219939718</v>
      </c>
      <c r="Q552" s="15" t="n">
        <f aca="false">O552+P552</f>
        <v>86493.2694686041</v>
      </c>
      <c r="R552" s="15" t="n">
        <f aca="false">Q552-$G$2+$I$2</f>
        <v>80373.2694686041</v>
      </c>
      <c r="S552" s="42" t="n">
        <f aca="false">R552/$K$2</f>
        <v>464.102491445918</v>
      </c>
      <c r="T552" s="43" t="n">
        <f aca="false">S552-$M$2</f>
        <v>-0.0388643688413026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0.140800476074219</v>
      </c>
      <c r="C553" s="25" t="n">
        <f aca="false">IF(T552&gt;0,D552,C552)</f>
        <v>0.140823364257813</v>
      </c>
      <c r="D553" s="41" t="n">
        <f aca="false">(B553+C553)/2</f>
        <v>0.140811920166016</v>
      </c>
      <c r="E553" s="15" t="n">
        <f aca="false">$C$2*(1+IF(E$3&lt;=$O$2,$D553,$D553-($D553-$I$535)*MIN(E$3-$O$2,$Q$2)/$Q$2))</f>
        <v>9309.02526855469</v>
      </c>
      <c r="F553" s="15" t="n">
        <f aca="false">E553*(1+IF(F$3&lt;=$O$2,$D553,$D553-($D553-$I$535)*MIN(F$3-$O$2,$Q$2)/$Q$2))</f>
        <v>10619.8469914938</v>
      </c>
      <c r="G553" s="15" t="n">
        <f aca="false">F553*(1+IF(G$3&lt;=$O$2,$D553,$D553-($D553-$I$535)*MIN(G$3-$O$2,$Q$2)/$Q$2))</f>
        <v>12115.2480382354</v>
      </c>
      <c r="H553" s="15" t="n">
        <f aca="false">G553*(1+IF(H$3&lt;=$O$2,$D553,$D553-($D553-$I$535)*MIN(H$3-$O$2,$Q$2)/$Q$2))</f>
        <v>13821.2193777868</v>
      </c>
      <c r="I553" s="15" t="n">
        <f aca="false">H553*(1+IF(I$3&lt;=$O$2,$D553,$D553-($D553-$I$535)*MIN(I$3-$O$2,$Q$2)/$Q$2))</f>
        <v>15767.4118174087</v>
      </c>
      <c r="J553" s="15" t="n">
        <f aca="false">I553*(1+IF(J$3&lt;=$O$2,$D553,$D553-($D553-$I$535)*MIN(J$3-$O$2,$Q$2)/$Q$2))</f>
        <v>17648.6144073588</v>
      </c>
      <c r="K553" s="15" t="n">
        <f aca="false">J553*(1+IF(K$3&lt;=$O$2,$D553,$D553-($D553-$I$535)*MIN(K$3-$O$2,$Q$2)/$Q$2))</f>
        <v>19374.7751210467</v>
      </c>
      <c r="L553" s="15" t="n">
        <f aca="false">K553*(1+IF(L$3&lt;=$O$2,$D553,$D553-($D553-$I$535)*MIN(L$3-$O$2,$Q$2)/$Q$2))</f>
        <v>20853.162842997</v>
      </c>
      <c r="M553" s="15" t="n">
        <f aca="false">L553*(1+IF(M$3&lt;=$O$2,$D553,$D553-($D553-$I$535)*MIN(M$3-$O$2,$Q$2)/$Q$2))</f>
        <v>21995.9658814258</v>
      </c>
      <c r="N553" s="15" t="n">
        <f aca="false">M553*(1+IF(N$3&lt;=$O$2,$D553,$D553-($D553-$I$535)*MIN(N$3-$O$2,$Q$2)/$Q$2))</f>
        <v>22728.4315452773</v>
      </c>
      <c r="O553" s="15" t="n">
        <f aca="false">SUMPRODUCT(E553:N553,1/(1+$F$535)^$E$3:$N$3)*$E$2</f>
        <v>35358.2836181824</v>
      </c>
      <c r="P553" s="15" t="n">
        <f aca="false">N553*$E$2*(1+$I$535)/($F$535-$I$535)/(1+$F$535)^$N$3</f>
        <v>51140.3536013087</v>
      </c>
      <c r="Q553" s="15" t="n">
        <f aca="false">O553+P553</f>
        <v>86498.637219491</v>
      </c>
      <c r="R553" s="15" t="n">
        <f aca="false">Q553-$G$2+$I$2</f>
        <v>80378.637219491</v>
      </c>
      <c r="S553" s="42" t="n">
        <f aca="false">R553/$K$2</f>
        <v>464.133486658338</v>
      </c>
      <c r="T553" s="43" t="n">
        <f aca="false">S553-$M$2</f>
        <v>-0.00786915642089525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0.140811920166016</v>
      </c>
      <c r="C554" s="25" t="n">
        <f aca="false">IF(T553&gt;0,D553,C553)</f>
        <v>0.140823364257813</v>
      </c>
      <c r="D554" s="41" t="n">
        <f aca="false">(B554+C554)/2</f>
        <v>0.140817642211914</v>
      </c>
      <c r="E554" s="15" t="n">
        <f aca="false">$C$2*(1+IF(E$3&lt;=$O$2,$D554,$D554-($D554-$I$535)*MIN(E$3-$O$2,$Q$2)/$Q$2))</f>
        <v>9309.07196044922</v>
      </c>
      <c r="F554" s="15" t="n">
        <f aca="false">E554*(1+IF(F$3&lt;=$O$2,$D554,$D554-($D554-$I$535)*MIN(F$3-$O$2,$Q$2)/$Q$2))</f>
        <v>10619.9535251007</v>
      </c>
      <c r="G554" s="15" t="n">
        <f aca="false">F554*(1+IF(G$3&lt;=$O$2,$D554,$D554-($D554-$I$535)*MIN(G$3-$O$2,$Q$2)/$Q$2))</f>
        <v>12115.4303409055</v>
      </c>
      <c r="H554" s="15" t="n">
        <f aca="false">G554*(1+IF(H$3&lt;=$O$2,$D554,$D554-($D554-$I$535)*MIN(H$3-$O$2,$Q$2)/$Q$2))</f>
        <v>13821.4966758945</v>
      </c>
      <c r="I554" s="15" t="n">
        <f aca="false">H554*(1+IF(I$3&lt;=$O$2,$D554,$D554-($D554-$I$535)*MIN(I$3-$O$2,$Q$2)/$Q$2))</f>
        <v>15767.8072496338</v>
      </c>
      <c r="J554" s="15" t="n">
        <f aca="false">I554*(1+IF(J$3&lt;=$O$2,$D554,$D554-($D554-$I$535)*MIN(J$3-$O$2,$Q$2)/$Q$2))</f>
        <v>17649.1291977126</v>
      </c>
      <c r="K554" s="15" t="n">
        <f aca="false">J554*(1+IF(K$3&lt;=$O$2,$D554,$D554-($D554-$I$535)*MIN(K$3-$O$2,$Q$2)/$Q$2))</f>
        <v>19375.4008550554</v>
      </c>
      <c r="L554" s="15" t="n">
        <f aca="false">K554*(1+IF(L$3&lt;=$O$2,$D554,$D554-($D554-$I$535)*MIN(L$3-$O$2,$Q$2)/$Q$2))</f>
        <v>20853.8806702672</v>
      </c>
      <c r="M554" s="15" t="n">
        <f aca="false">L554*(1+IF(M$3&lt;=$O$2,$D554,$D554-($D554-$I$535)*MIN(M$3-$O$2,$Q$2)/$Q$2))</f>
        <v>21996.7469127143</v>
      </c>
      <c r="N554" s="15" t="n">
        <f aca="false">M554*(1+IF(N$3&lt;=$O$2,$D554,$D554-($D554-$I$535)*MIN(N$3-$O$2,$Q$2)/$Q$2))</f>
        <v>22729.2385849076</v>
      </c>
      <c r="O554" s="15" t="n">
        <f aca="false">SUMPRODUCT(E554:N554,1/(1+$F$535)^$E$3:$N$3)*$E$2</f>
        <v>35359.1517214656</v>
      </c>
      <c r="P554" s="15" t="n">
        <f aca="false">N554*$E$2*(1+$I$535)/($F$535-$I$535)/(1+$F$535)^$N$3</f>
        <v>51142.1694895711</v>
      </c>
      <c r="Q554" s="15" t="n">
        <f aca="false">O554+P554</f>
        <v>86501.3212110367</v>
      </c>
      <c r="R554" s="15" t="n">
        <f aca="false">Q554-$G$2+$I$2</f>
        <v>80381.3212110367</v>
      </c>
      <c r="S554" s="42" t="n">
        <f aca="false">R554/$K$2</f>
        <v>464.148984934962</v>
      </c>
      <c r="T554" s="43" t="n">
        <f aca="false">S554-$M$2</f>
        <v>0.00762912020258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0.140811920166016</v>
      </c>
      <c r="C555" s="25" t="n">
        <f aca="false">IF(T554&gt;0,D554,C554)</f>
        <v>0.140817642211914</v>
      </c>
      <c r="D555" s="41" t="n">
        <f aca="false">(B555+C555)/2</f>
        <v>0.140814781188965</v>
      </c>
      <c r="E555" s="15" t="n">
        <f aca="false">$C$2*(1+IF(E$3&lt;=$O$2,$D555,$D555-($D555-$I$535)*MIN(E$3-$O$2,$Q$2)/$Q$2))</f>
        <v>9309.04861450195</v>
      </c>
      <c r="F555" s="15" t="n">
        <f aca="false">E555*(1+IF(F$3&lt;=$O$2,$D555,$D555-($D555-$I$535)*MIN(F$3-$O$2,$Q$2)/$Q$2))</f>
        <v>10619.9002582305</v>
      </c>
      <c r="G555" s="15" t="n">
        <f aca="false">F555*(1+IF(G$3&lt;=$O$2,$D555,$D555-($D555-$I$535)*MIN(G$3-$O$2,$Q$2)/$Q$2))</f>
        <v>12115.3391893418</v>
      </c>
      <c r="H555" s="15" t="n">
        <f aca="false">G555*(1+IF(H$3&lt;=$O$2,$D555,$D555-($D555-$I$535)*MIN(H$3-$O$2,$Q$2)/$Q$2))</f>
        <v>13821.3580263191</v>
      </c>
      <c r="I555" s="15" t="n">
        <f aca="false">H555*(1+IF(I$3&lt;=$O$2,$D555,$D555-($D555-$I$535)*MIN(I$3-$O$2,$Q$2)/$Q$2))</f>
        <v>15767.6095325296</v>
      </c>
      <c r="J555" s="15" t="n">
        <f aca="false">I555*(1+IF(J$3&lt;=$O$2,$D555,$D555-($D555-$I$535)*MIN(J$3-$O$2,$Q$2)/$Q$2))</f>
        <v>17648.8718009732</v>
      </c>
      <c r="K555" s="15" t="n">
        <f aca="false">J555*(1+IF(K$3&lt;=$O$2,$D555,$D555-($D555-$I$535)*MIN(K$3-$O$2,$Q$2)/$Q$2))</f>
        <v>19375.0879858938</v>
      </c>
      <c r="L555" s="15" t="n">
        <f aca="false">K555*(1+IF(L$3&lt;=$O$2,$D555,$D555-($D555-$I$535)*MIN(L$3-$O$2,$Q$2)/$Q$2))</f>
        <v>20853.5217539522</v>
      </c>
      <c r="M555" s="15" t="n">
        <f aca="false">L555*(1+IF(M$3&lt;=$O$2,$D555,$D555-($D555-$I$535)*MIN(M$3-$O$2,$Q$2)/$Q$2))</f>
        <v>21996.3563940379</v>
      </c>
      <c r="N555" s="15" t="n">
        <f aca="false">M555*(1+IF(N$3&lt;=$O$2,$D555,$D555-($D555-$I$535)*MIN(N$3-$O$2,$Q$2)/$Q$2))</f>
        <v>22728.8350619594</v>
      </c>
      <c r="O555" s="15" t="n">
        <f aca="false">SUMPRODUCT(E555:N555,1/(1+$F$535)^$E$3:$N$3)*$E$2</f>
        <v>35358.7176671983</v>
      </c>
      <c r="P555" s="15" t="n">
        <f aca="false">N555*$E$2*(1+$I$535)/($F$535-$I$535)/(1+$F$535)^$N$3</f>
        <v>51141.2615383902</v>
      </c>
      <c r="Q555" s="15" t="n">
        <f aca="false">O555+P555</f>
        <v>86499.9792055885</v>
      </c>
      <c r="R555" s="15" t="n">
        <f aca="false">Q555-$G$2+$I$2</f>
        <v>80379.9792055885</v>
      </c>
      <c r="S555" s="42" t="n">
        <f aca="false">R555/$K$2</f>
        <v>464.141235740781</v>
      </c>
      <c r="T555" s="43" t="n">
        <f aca="false">S555-$M$2</f>
        <v>-0.000120073977996071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0.140814781188965</v>
      </c>
      <c r="C556" s="25" t="n">
        <f aca="false">IF(T555&gt;0,D555,C555)</f>
        <v>0.140817642211914</v>
      </c>
      <c r="D556" s="41" t="n">
        <f aca="false">(B556+C556)/2</f>
        <v>0.140816211700439</v>
      </c>
      <c r="E556" s="15" t="n">
        <f aca="false">$C$2*(1+IF(E$3&lt;=$O$2,$D556,$D556-($D556-$I$535)*MIN(E$3-$O$2,$Q$2)/$Q$2))</f>
        <v>9309.06028747559</v>
      </c>
      <c r="F556" s="15" t="n">
        <f aca="false">E556*(1+IF(F$3&lt;=$O$2,$D556,$D556-($D556-$I$535)*MIN(F$3-$O$2,$Q$2)/$Q$2))</f>
        <v>10619.9268916489</v>
      </c>
      <c r="G556" s="15" t="n">
        <f aca="false">F556*(1+IF(G$3&lt;=$O$2,$D556,$D556-($D556-$I$535)*MIN(G$3-$O$2,$Q$2)/$Q$2))</f>
        <v>12115.3847650665</v>
      </c>
      <c r="H556" s="15" t="n">
        <f aca="false">G556*(1+IF(H$3&lt;=$O$2,$D556,$D556-($D556-$I$535)*MIN(H$3-$O$2,$Q$2)/$Q$2))</f>
        <v>13821.4273509764</v>
      </c>
      <c r="I556" s="15" t="n">
        <f aca="false">H556*(1+IF(I$3&lt;=$O$2,$D556,$D556-($D556-$I$535)*MIN(I$3-$O$2,$Q$2)/$Q$2))</f>
        <v>15767.7083908337</v>
      </c>
      <c r="J556" s="15" t="n">
        <f aca="false">I556*(1+IF(J$3&lt;=$O$2,$D556,$D556-($D556-$I$535)*MIN(J$3-$O$2,$Q$2)/$Q$2))</f>
        <v>17649.0004989523</v>
      </c>
      <c r="K556" s="15" t="n">
        <f aca="false">J556*(1+IF(K$3&lt;=$O$2,$D556,$D556-($D556-$I$535)*MIN(K$3-$O$2,$Q$2)/$Q$2))</f>
        <v>19375.2444199353</v>
      </c>
      <c r="L556" s="15" t="n">
        <f aca="false">K556*(1+IF(L$3&lt;=$O$2,$D556,$D556-($D556-$I$535)*MIN(L$3-$O$2,$Q$2)/$Q$2))</f>
        <v>20853.7012114397</v>
      </c>
      <c r="M556" s="15" t="n">
        <f aca="false">L556*(1+IF(M$3&lt;=$O$2,$D556,$D556-($D556-$I$535)*MIN(M$3-$O$2,$Q$2)/$Q$2))</f>
        <v>21996.551652618</v>
      </c>
      <c r="N556" s="15" t="n">
        <f aca="false">M556*(1+IF(N$3&lt;=$O$2,$D556,$D556-($D556-$I$535)*MIN(N$3-$O$2,$Q$2)/$Q$2))</f>
        <v>22729.0368226502</v>
      </c>
      <c r="O556" s="15" t="n">
        <f aca="false">SUMPRODUCT(E556:N556,1/(1+$F$535)^$E$3:$N$3)*$E$2</f>
        <v>35358.9346936755</v>
      </c>
      <c r="P556" s="15" t="n">
        <f aca="false">N556*$E$2*(1+$I$535)/($F$535-$I$535)/(1+$F$535)^$N$3</f>
        <v>51141.7155122182</v>
      </c>
      <c r="Q556" s="15" t="n">
        <f aca="false">O556+P556</f>
        <v>86500.6502058937</v>
      </c>
      <c r="R556" s="15" t="n">
        <f aca="false">Q556-$G$2+$I$2</f>
        <v>80380.6502058937</v>
      </c>
      <c r="S556" s="42" t="n">
        <f aca="false">R556/$K$2</f>
        <v>464.145110323904</v>
      </c>
      <c r="T556" s="43" t="n">
        <f aca="false">S556-$M$2</f>
        <v>0.00375450914481235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0.140814781188965</v>
      </c>
      <c r="C557" s="25" t="n">
        <f aca="false">IF(T556&gt;0,D556,C556)</f>
        <v>0.140816211700439</v>
      </c>
      <c r="D557" s="41" t="n">
        <f aca="false">(B557+C557)/2</f>
        <v>0.140815496444702</v>
      </c>
      <c r="E557" s="15" t="n">
        <f aca="false">$C$2*(1+IF(E$3&lt;=$O$2,$D557,$D557-($D557-$I$535)*MIN(E$3-$O$2,$Q$2)/$Q$2))</f>
        <v>9309.05445098877</v>
      </c>
      <c r="F557" s="15" t="n">
        <f aca="false">E557*(1+IF(F$3&lt;=$O$2,$D557,$D557-($D557-$I$535)*MIN(F$3-$O$2,$Q$2)/$Q$2))</f>
        <v>10619.9135749355</v>
      </c>
      <c r="G557" s="15" t="n">
        <f aca="false">F557*(1+IF(G$3&lt;=$O$2,$D557,$D557-($D557-$I$535)*MIN(G$3-$O$2,$Q$2)/$Q$2))</f>
        <v>12115.3619771899</v>
      </c>
      <c r="H557" s="15" t="n">
        <f aca="false">G557*(1+IF(H$3&lt;=$O$2,$D557,$D557-($D557-$I$535)*MIN(H$3-$O$2,$Q$2)/$Q$2))</f>
        <v>13821.3926886152</v>
      </c>
      <c r="I557" s="15" t="n">
        <f aca="false">H557*(1+IF(I$3&lt;=$O$2,$D557,$D557-($D557-$I$535)*MIN(I$3-$O$2,$Q$2)/$Q$2))</f>
        <v>15767.6589616197</v>
      </c>
      <c r="J557" s="15" t="n">
        <f aca="false">I557*(1+IF(J$3&lt;=$O$2,$D557,$D557-($D557-$I$535)*MIN(J$3-$O$2,$Q$2)/$Q$2))</f>
        <v>17648.936149865</v>
      </c>
      <c r="K557" s="15" t="n">
        <f aca="false">J557*(1+IF(K$3&lt;=$O$2,$D557,$D557-($D557-$I$535)*MIN(K$3-$O$2,$Q$2)/$Q$2))</f>
        <v>19375.1662027797</v>
      </c>
      <c r="L557" s="15" t="n">
        <f aca="false">K557*(1+IF(L$3&lt;=$O$2,$D557,$D557-($D557-$I$535)*MIN(L$3-$O$2,$Q$2)/$Q$2))</f>
        <v>20853.6114825285</v>
      </c>
      <c r="M557" s="15" t="n">
        <f aca="false">L557*(1+IF(M$3&lt;=$O$2,$D557,$D557-($D557-$I$535)*MIN(M$3-$O$2,$Q$2)/$Q$2))</f>
        <v>21996.4540231385</v>
      </c>
      <c r="N557" s="15" t="n">
        <f aca="false">M557*(1+IF(N$3&lt;=$O$2,$D557,$D557-($D557-$I$535)*MIN(N$3-$O$2,$Q$2)/$Q$2))</f>
        <v>22728.935942109</v>
      </c>
      <c r="O557" s="15" t="n">
        <f aca="false">SUMPRODUCT(E557:N557,1/(1+$F$535)^$E$3:$N$3)*$E$2</f>
        <v>35358.8261802728</v>
      </c>
      <c r="P557" s="15" t="n">
        <f aca="false">N557*$E$2*(1+$I$535)/($F$535-$I$535)/(1+$F$535)^$N$3</f>
        <v>51141.4885248636</v>
      </c>
      <c r="Q557" s="15" t="n">
        <f aca="false">O557+P557</f>
        <v>86500.3147051364</v>
      </c>
      <c r="R557" s="15" t="n">
        <f aca="false">Q557-$G$2+$I$2</f>
        <v>80380.3147051364</v>
      </c>
      <c r="S557" s="42" t="n">
        <f aca="false">R557/$K$2</f>
        <v>464.143173028851</v>
      </c>
      <c r="T557" s="43" t="n">
        <f aca="false">S557-$M$2</f>
        <v>0.00181721409154534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0.140814781188965</v>
      </c>
      <c r="C558" s="25" t="n">
        <f aca="false">IF(T557&gt;0,D557,C557)</f>
        <v>0.140815496444702</v>
      </c>
      <c r="D558" s="41" t="n">
        <f aca="false">(B558+C558)/2</f>
        <v>0.140815138816834</v>
      </c>
      <c r="E558" s="15" t="n">
        <f aca="false">$C$2*(1+IF(E$3&lt;=$O$2,$D558,$D558-($D558-$I$535)*MIN(E$3-$O$2,$Q$2)/$Q$2))</f>
        <v>9309.05153274536</v>
      </c>
      <c r="F558" s="15" t="n">
        <f aca="false">E558*(1+IF(F$3&lt;=$O$2,$D558,$D558-($D558-$I$535)*MIN(F$3-$O$2,$Q$2)/$Q$2))</f>
        <v>10619.906916582</v>
      </c>
      <c r="G558" s="15" t="n">
        <f aca="false">F558*(1+IF(G$3&lt;=$O$2,$D558,$D558-($D558-$I$535)*MIN(G$3-$O$2,$Q$2)/$Q$2))</f>
        <v>12115.3505832623</v>
      </c>
      <c r="H558" s="15" t="n">
        <f aca="false">G558*(1+IF(H$3&lt;=$O$2,$D558,$D558-($D558-$I$535)*MIN(H$3-$O$2,$Q$2)/$Q$2))</f>
        <v>13821.375357459</v>
      </c>
      <c r="I558" s="15" t="n">
        <f aca="false">H558*(1+IF(I$3&lt;=$O$2,$D558,$D558-($D558-$I$535)*MIN(I$3-$O$2,$Q$2)/$Q$2))</f>
        <v>15767.6342470591</v>
      </c>
      <c r="J558" s="15" t="n">
        <f aca="false">I558*(1+IF(J$3&lt;=$O$2,$D558,$D558-($D558-$I$535)*MIN(J$3-$O$2,$Q$2)/$Q$2))</f>
        <v>17648.9039753947</v>
      </c>
      <c r="K558" s="15" t="n">
        <f aca="false">J558*(1+IF(K$3&lt;=$O$2,$D558,$D558-($D558-$I$535)*MIN(K$3-$O$2,$Q$2)/$Q$2))</f>
        <v>19375.127094303</v>
      </c>
      <c r="L558" s="15" t="n">
        <f aca="false">K558*(1+IF(L$3&lt;=$O$2,$D558,$D558-($D558-$I$535)*MIN(L$3-$O$2,$Q$2)/$Q$2))</f>
        <v>20853.5666181985</v>
      </c>
      <c r="M558" s="15" t="n">
        <f aca="false">L558*(1+IF(M$3&lt;=$O$2,$D558,$D558-($D558-$I$535)*MIN(M$3-$O$2,$Q$2)/$Q$2))</f>
        <v>21996.4052085408</v>
      </c>
      <c r="N558" s="15" t="n">
        <f aca="false">M558*(1+IF(N$3&lt;=$O$2,$D558,$D558-($D558-$I$535)*MIN(N$3-$O$2,$Q$2)/$Q$2))</f>
        <v>22728.8855019852</v>
      </c>
      <c r="O558" s="15" t="n">
        <f aca="false">SUMPRODUCT(E558:N558,1/(1+$F$535)^$E$3:$N$3)*$E$2</f>
        <v>35358.7719236945</v>
      </c>
      <c r="P558" s="15" t="n">
        <f aca="false">N558*$E$2*(1+$I$535)/($F$535-$I$535)/(1+$F$535)^$N$3</f>
        <v>51141.3750315168</v>
      </c>
      <c r="Q558" s="15" t="n">
        <f aca="false">O558+P558</f>
        <v>86500.1469552112</v>
      </c>
      <c r="R558" s="15" t="n">
        <f aca="false">Q558-$G$2+$I$2</f>
        <v>80380.1469552112</v>
      </c>
      <c r="S558" s="42" t="n">
        <f aca="false">R558/$K$2</f>
        <v>464.142204383943</v>
      </c>
      <c r="T558" s="43" t="n">
        <f aca="false">S558-$M$2</f>
        <v>0.000848569183744985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0.140814781188965</v>
      </c>
      <c r="C559" s="25" t="n">
        <f aca="false">IF(T558&gt;0,D558,C558)</f>
        <v>0.140815138816834</v>
      </c>
      <c r="D559" s="41" t="n">
        <f aca="false">(B559+C559)/2</f>
        <v>0.140814960002899</v>
      </c>
      <c r="E559" s="15" t="n">
        <f aca="false">$C$2*(1+IF(E$3&lt;=$O$2,$D559,$D559-($D559-$I$535)*MIN(E$3-$O$2,$Q$2)/$Q$2))</f>
        <v>9309.05007362366</v>
      </c>
      <c r="F559" s="15" t="n">
        <f aca="false">E559*(1+IF(F$3&lt;=$O$2,$D559,$D559-($D559-$I$535)*MIN(F$3-$O$2,$Q$2)/$Q$2))</f>
        <v>10619.903587406</v>
      </c>
      <c r="G559" s="15" t="n">
        <f aca="false">F559*(1+IF(G$3&lt;=$O$2,$D559,$D559-($D559-$I$535)*MIN(G$3-$O$2,$Q$2)/$Q$2))</f>
        <v>12115.3448863012</v>
      </c>
      <c r="H559" s="15" t="n">
        <f aca="false">G559*(1+IF(H$3&lt;=$O$2,$D559,$D559-($D559-$I$535)*MIN(H$3-$O$2,$Q$2)/$Q$2))</f>
        <v>13821.366691887</v>
      </c>
      <c r="I559" s="15" t="n">
        <f aca="false">H559*(1+IF(I$3&lt;=$O$2,$D559,$D559-($D559-$I$535)*MIN(I$3-$O$2,$Q$2)/$Q$2))</f>
        <v>15767.6218897905</v>
      </c>
      <c r="J559" s="15" t="n">
        <f aca="false">I559*(1+IF(J$3&lt;=$O$2,$D559,$D559-($D559-$I$535)*MIN(J$3-$O$2,$Q$2)/$Q$2))</f>
        <v>17648.8878881778</v>
      </c>
      <c r="K559" s="15" t="n">
        <f aca="false">J559*(1+IF(K$3&lt;=$O$2,$D559,$D559-($D559-$I$535)*MIN(K$3-$O$2,$Q$2)/$Q$2))</f>
        <v>19375.10754009</v>
      </c>
      <c r="L559" s="15" t="n">
        <f aca="false">K559*(1+IF(L$3&lt;=$O$2,$D559,$D559-($D559-$I$535)*MIN(L$3-$O$2,$Q$2)/$Q$2))</f>
        <v>20853.5441860649</v>
      </c>
      <c r="M559" s="15" t="n">
        <f aca="false">L559*(1+IF(M$3&lt;=$O$2,$D559,$D559-($D559-$I$535)*MIN(M$3-$O$2,$Q$2)/$Q$2))</f>
        <v>21996.3808012775</v>
      </c>
      <c r="N559" s="15" t="n">
        <f aca="false">M559*(1+IF(N$3&lt;=$O$2,$D559,$D559-($D559-$I$535)*MIN(N$3-$O$2,$Q$2)/$Q$2))</f>
        <v>22728.8602819601</v>
      </c>
      <c r="O559" s="15" t="n">
        <f aca="false">SUMPRODUCT(E559:N559,1/(1+$F$535)^$E$3:$N$3)*$E$2</f>
        <v>35358.7447954361</v>
      </c>
      <c r="P559" s="15" t="n">
        <f aca="false">N559*$E$2*(1+$I$535)/($F$535-$I$535)/(1+$F$535)^$N$3</f>
        <v>51141.318284926</v>
      </c>
      <c r="Q559" s="15" t="n">
        <f aca="false">O559+P559</f>
        <v>86500.0630803621</v>
      </c>
      <c r="R559" s="15" t="n">
        <f aca="false">Q559-$G$2+$I$2</f>
        <v>80380.0630803621</v>
      </c>
      <c r="S559" s="42" t="n">
        <f aca="false">R559/$K$2</f>
        <v>464.141720062144</v>
      </c>
      <c r="T559" s="43" t="n">
        <f aca="false">S559-$M$2</f>
        <v>0.000364247384709415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0.140814781188965</v>
      </c>
      <c r="C560" s="25" t="n">
        <f aca="false">IF(T559&gt;0,D559,C559)</f>
        <v>0.140814960002899</v>
      </c>
      <c r="D560" s="41" t="n">
        <f aca="false">(B560+C560)/2</f>
        <v>0.140814870595932</v>
      </c>
      <c r="E560" s="15" t="n">
        <f aca="false">$C$2*(1+IF(E$3&lt;=$O$2,$D560,$D560-($D560-$I$535)*MIN(E$3-$O$2,$Q$2)/$Q$2))</f>
        <v>9309.04934406281</v>
      </c>
      <c r="F560" s="15" t="n">
        <f aca="false">E560*(1+IF(F$3&lt;=$O$2,$D560,$D560-($D560-$I$535)*MIN(F$3-$O$2,$Q$2)/$Q$2))</f>
        <v>10619.9019228182</v>
      </c>
      <c r="G560" s="15" t="n">
        <f aca="false">F560*(1+IF(G$3&lt;=$O$2,$D560,$D560-($D560-$I$535)*MIN(G$3-$O$2,$Q$2)/$Q$2))</f>
        <v>12115.3420378213</v>
      </c>
      <c r="H560" s="15" t="n">
        <f aca="false">G560*(1+IF(H$3&lt;=$O$2,$D560,$D560-($D560-$I$535)*MIN(H$3-$O$2,$Q$2)/$Q$2))</f>
        <v>13821.3623591025</v>
      </c>
      <c r="I560" s="15" t="n">
        <f aca="false">H560*(1+IF(I$3&lt;=$O$2,$D560,$D560-($D560-$I$535)*MIN(I$3-$O$2,$Q$2)/$Q$2))</f>
        <v>15767.6157111591</v>
      </c>
      <c r="J560" s="15" t="n">
        <f aca="false">I560*(1+IF(J$3&lt;=$O$2,$D560,$D560-($D560-$I$535)*MIN(J$3-$O$2,$Q$2)/$Q$2))</f>
        <v>17648.879844574</v>
      </c>
      <c r="K560" s="15" t="n">
        <f aca="false">J560*(1+IF(K$3&lt;=$O$2,$D560,$D560-($D560-$I$535)*MIN(K$3-$O$2,$Q$2)/$Q$2))</f>
        <v>19375.0977629898</v>
      </c>
      <c r="L560" s="15" t="n">
        <f aca="false">K560*(1+IF(L$3&lt;=$O$2,$D560,$D560-($D560-$I$535)*MIN(L$3-$O$2,$Q$2)/$Q$2))</f>
        <v>20853.5329700059</v>
      </c>
      <c r="M560" s="15" t="n">
        <f aca="false">L560*(1+IF(M$3&lt;=$O$2,$D560,$D560-($D560-$I$535)*MIN(M$3-$O$2,$Q$2)/$Q$2))</f>
        <v>21996.3685976547</v>
      </c>
      <c r="N560" s="15" t="n">
        <f aca="false">M560*(1+IF(N$3&lt;=$O$2,$D560,$D560-($D560-$I$535)*MIN(N$3-$O$2,$Q$2)/$Q$2))</f>
        <v>22728.8476719566</v>
      </c>
      <c r="O560" s="15" t="n">
        <f aca="false">SUMPRODUCT(E560:N560,1/(1+$F$535)^$E$3:$N$3)*$E$2</f>
        <v>35358.7312313146</v>
      </c>
      <c r="P560" s="15" t="n">
        <f aca="false">N560*$E$2*(1+$I$535)/($F$535-$I$535)/(1+$F$535)^$N$3</f>
        <v>51141.2899116512</v>
      </c>
      <c r="Q560" s="15" t="n">
        <f aca="false">O560+P560</f>
        <v>86500.0211429658</v>
      </c>
      <c r="R560" s="15" t="n">
        <f aca="false">Q560-$G$2+$I$2</f>
        <v>80380.0211429658</v>
      </c>
      <c r="S560" s="42" t="n">
        <f aca="false">R560/$K$2</f>
        <v>464.141477901408</v>
      </c>
      <c r="T560" s="43" t="n">
        <f aca="false">S560-$M$2</f>
        <v>0.00012208664878699</v>
      </c>
    </row>
    <row r="562" customFormat="false" ht="15" hidden="false" customHeight="false" outlineLevel="0" collapsed="false">
      <c r="A562" s="38" t="s">
        <v>201</v>
      </c>
      <c r="E562" s="5" t="s">
        <v>11</v>
      </c>
      <c r="F562" s="12" t="n">
        <f aca="false">Sensitivity!$B$13</f>
        <v>0.100316051923387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162</v>
      </c>
      <c r="B563" s="28" t="s">
        <v>163</v>
      </c>
      <c r="C563" s="28" t="s">
        <v>164</v>
      </c>
      <c r="D563" s="28" t="s">
        <v>165</v>
      </c>
      <c r="E563" s="28" t="s">
        <v>166</v>
      </c>
      <c r="F563" s="28" t="s">
        <v>167</v>
      </c>
      <c r="G563" s="28" t="s">
        <v>168</v>
      </c>
      <c r="H563" s="28" t="s">
        <v>169</v>
      </c>
      <c r="I563" s="28" t="s">
        <v>170</v>
      </c>
      <c r="J563" s="28" t="s">
        <v>171</v>
      </c>
      <c r="K563" s="28" t="s">
        <v>172</v>
      </c>
      <c r="L563" s="28" t="s">
        <v>173</v>
      </c>
      <c r="M563" s="28" t="s">
        <v>174</v>
      </c>
      <c r="N563" s="28" t="s">
        <v>175</v>
      </c>
      <c r="O563" s="28" t="s">
        <v>176</v>
      </c>
      <c r="P563" s="28" t="s">
        <v>177</v>
      </c>
      <c r="Q563" s="28" t="s">
        <v>178</v>
      </c>
      <c r="R563" s="28" t="s">
        <v>179</v>
      </c>
      <c r="S563" s="28" t="s">
        <v>180</v>
      </c>
      <c r="T563" s="28" t="s">
        <v>181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10200</v>
      </c>
      <c r="F564" s="15" t="n">
        <f aca="false">E564*(1+IF(F$3&lt;=$O$2,$D564,$D564-($D564-$I$562)*MIN(F$3-$O$2,$Q$2)/$Q$2))</f>
        <v>12750</v>
      </c>
      <c r="G564" s="15" t="n">
        <f aca="false">F564*(1+IF(G$3&lt;=$O$2,$D564,$D564-($D564-$I$562)*MIN(G$3-$O$2,$Q$2)/$Q$2))</f>
        <v>15937.5</v>
      </c>
      <c r="H564" s="15" t="n">
        <f aca="false">G564*(1+IF(H$3&lt;=$O$2,$D564,$D564-($D564-$I$562)*MIN(H$3-$O$2,$Q$2)/$Q$2))</f>
        <v>19921.875</v>
      </c>
      <c r="I564" s="15" t="n">
        <f aca="false">H564*(1+IF(I$3&lt;=$O$2,$D564,$D564-($D564-$I$562)*MIN(I$3-$O$2,$Q$2)/$Q$2))</f>
        <v>24902.34375</v>
      </c>
      <c r="J564" s="15" t="n">
        <f aca="false">I564*(1+IF(J$3&lt;=$O$2,$D564,$D564-($D564-$I$562)*MIN(J$3-$O$2,$Q$2)/$Q$2))</f>
        <v>30073.564453125</v>
      </c>
      <c r="K564" s="15" t="n">
        <f aca="false">J564*(1+IF(K$3&lt;=$O$2,$D564,$D564-($D564-$I$562)*MIN(K$3-$O$2,$Q$2)/$Q$2))</f>
        <v>35045.3261285156</v>
      </c>
      <c r="L564" s="15" t="n">
        <f aca="false">K564*(1+IF(L$3&lt;=$O$2,$D564,$D564-($D564-$I$562)*MIN(L$3-$O$2,$Q$2)/$Q$2))</f>
        <v>39355.2003358005</v>
      </c>
      <c r="M564" s="15" t="n">
        <f aca="false">L564*(1+IF(M$3&lt;=$O$2,$D564,$D564-($D564-$I$562)*MIN(M$3-$O$2,$Q$2)/$Q$2))</f>
        <v>42528.8036908794</v>
      </c>
      <c r="N564" s="15" t="n">
        <f aca="false">M564*(1+IF(N$3&lt;=$O$2,$D564,$D564-($D564-$I$562)*MIN(N$3-$O$2,$Q$2)/$Q$2))</f>
        <v>44157.6568722401</v>
      </c>
      <c r="O564" s="15" t="n">
        <f aca="false">SUMPRODUCT(E564:N564,1/(1+$F$562)^$E$3:$N$3)*$E$2</f>
        <v>56549.7250865139</v>
      </c>
      <c r="P564" s="15" t="n">
        <f aca="false">N564*$E$2*(1+$I$562)/($F$562-$I$562)/(1+$F$562)^$N$3</f>
        <v>107887.57441258</v>
      </c>
      <c r="Q564" s="15" t="n">
        <f aca="false">O564+P564</f>
        <v>164437.299499094</v>
      </c>
      <c r="R564" s="15" t="n">
        <f aca="false">Q564-$G$2+$I$2</f>
        <v>158317.299499094</v>
      </c>
      <c r="S564" s="42" t="n">
        <f aca="false">R564/$K$2</f>
        <v>914.177731257038</v>
      </c>
      <c r="T564" s="43" t="n">
        <f aca="false">S564-$M$2</f>
        <v>450.036375442279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7140</v>
      </c>
      <c r="F565" s="15" t="n">
        <f aca="false">E565*(1+IF(F$3&lt;=$O$2,$D565,$D565-($D565-$I$562)*MIN(F$3-$O$2,$Q$2)/$Q$2))</f>
        <v>6247.5</v>
      </c>
      <c r="G565" s="15" t="n">
        <f aca="false">F565*(1+IF(G$3&lt;=$O$2,$D565,$D565-($D565-$I$562)*MIN(G$3-$O$2,$Q$2)/$Q$2))</f>
        <v>5466.5625</v>
      </c>
      <c r="H565" s="15" t="n">
        <f aca="false">G565*(1+IF(H$3&lt;=$O$2,$D565,$D565-($D565-$I$562)*MIN(H$3-$O$2,$Q$2)/$Q$2))</f>
        <v>4783.2421875</v>
      </c>
      <c r="I565" s="15" t="n">
        <f aca="false">H565*(1+IF(I$3&lt;=$O$2,$D565,$D565-($D565-$I$562)*MIN(I$3-$O$2,$Q$2)/$Q$2))</f>
        <v>4185.3369140625</v>
      </c>
      <c r="J565" s="15" t="n">
        <f aca="false">I565*(1+IF(J$3&lt;=$O$2,$D565,$D565-($D565-$I$562)*MIN(J$3-$O$2,$Q$2)/$Q$2))</f>
        <v>3798.86290341797</v>
      </c>
      <c r="K565" s="15" t="n">
        <f aca="false">J565*(1+IF(K$3&lt;=$O$2,$D565,$D565-($D565-$I$562)*MIN(K$3-$O$2,$Q$2)/$Q$2))</f>
        <v>3572.14676534198</v>
      </c>
      <c r="L565" s="15" t="n">
        <f aca="false">K565*(1+IF(L$3&lt;=$O$2,$D565,$D565-($D565-$I$562)*MIN(L$3-$O$2,$Q$2)/$Q$2))</f>
        <v>3475.62735974244</v>
      </c>
      <c r="M565" s="15" t="n">
        <f aca="false">L565*(1+IF(M$3&lt;=$O$2,$D565,$D565-($D565-$I$562)*MIN(M$3-$O$2,$Q$2)/$Q$2))</f>
        <v>3495.22989805139</v>
      </c>
      <c r="N565" s="15" t="n">
        <f aca="false">M565*(1+IF(N$3&lt;=$O$2,$D565,$D565-($D565-$I$562)*MIN(N$3-$O$2,$Q$2)/$Q$2))</f>
        <v>3629.09720314676</v>
      </c>
      <c r="O565" s="15" t="n">
        <f aca="false">SUMPRODUCT(E565:N565,1/(1+$F$562)^$E$3:$N$3)*$E$2</f>
        <v>11415.414741324</v>
      </c>
      <c r="P565" s="15" t="n">
        <f aca="false">N565*$E$2*(1+$I$562)/($F$562-$I$562)/(1+$F$562)^$N$3</f>
        <v>8866.7407260262</v>
      </c>
      <c r="Q565" s="15" t="n">
        <f aca="false">O565+P565</f>
        <v>20282.1554673502</v>
      </c>
      <c r="R565" s="15" t="n">
        <f aca="false">Q565-$G$2+$I$2</f>
        <v>14162.1554673502</v>
      </c>
      <c r="S565" s="42" t="n">
        <f aca="false">R565/$K$2</f>
        <v>81.7770843477893</v>
      </c>
      <c r="T565" s="43" t="n">
        <f aca="false">S565-$M$2</f>
        <v>-382.36427146697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8670</v>
      </c>
      <c r="F566" s="15" t="n">
        <f aca="false">E566*(1+IF(F$3&lt;=$O$2,$D566,$D566-($D566-$I$562)*MIN(F$3-$O$2,$Q$2)/$Q$2))</f>
        <v>9211.875</v>
      </c>
      <c r="G566" s="15" t="n">
        <f aca="false">F566*(1+IF(G$3&lt;=$O$2,$D566,$D566-($D566-$I$562)*MIN(G$3-$O$2,$Q$2)/$Q$2))</f>
        <v>9787.6171875</v>
      </c>
      <c r="H566" s="15" t="n">
        <f aca="false">G566*(1+IF(H$3&lt;=$O$2,$D566,$D566-($D566-$I$562)*MIN(H$3-$O$2,$Q$2)/$Q$2))</f>
        <v>10399.3432617188</v>
      </c>
      <c r="I566" s="15" t="n">
        <f aca="false">H566*(1+IF(I$3&lt;=$O$2,$D566,$D566-($D566-$I$562)*MIN(I$3-$O$2,$Q$2)/$Q$2))</f>
        <v>11049.3022155762</v>
      </c>
      <c r="J566" s="15" t="n">
        <f aca="false">I566*(1+IF(J$3&lt;=$O$2,$D566,$D566-($D566-$I$562)*MIN(J$3-$O$2,$Q$2)/$Q$2))</f>
        <v>11686.4049813263</v>
      </c>
      <c r="K566" s="15" t="n">
        <f aca="false">J566*(1+IF(K$3&lt;=$O$2,$D566,$D566-($D566-$I$562)*MIN(K$3-$O$2,$Q$2)/$Q$2))</f>
        <v>12303.68089244</v>
      </c>
      <c r="L566" s="15" t="n">
        <f aca="false">K566*(1+IF(L$3&lt;=$O$2,$D566,$D566-($D566-$I$562)*MIN(L$3-$O$2,$Q$2)/$Q$2))</f>
        <v>12894.0115016592</v>
      </c>
      <c r="M566" s="15" t="n">
        <f aca="false">L566*(1+IF(M$3&lt;=$O$2,$D566,$D566-($D566-$I$562)*MIN(M$3-$O$2,$Q$2)/$Q$2))</f>
        <v>13450.2591578408</v>
      </c>
      <c r="N566" s="15" t="n">
        <f aca="false">M566*(1+IF(N$3&lt;=$O$2,$D566,$D566-($D566-$I$562)*MIN(N$3-$O$2,$Q$2)/$Q$2))</f>
        <v>13965.4040835861</v>
      </c>
      <c r="O566" s="15" t="n">
        <f aca="false">SUMPRODUCT(E566:N566,1/(1+$F$562)^$E$3:$N$3)*$E$2</f>
        <v>25329.3510346272</v>
      </c>
      <c r="P566" s="15" t="n">
        <f aca="false">N566*$E$2*(1+$I$562)/($F$562-$I$562)/(1+$F$562)^$N$3</f>
        <v>34120.7772103694</v>
      </c>
      <c r="Q566" s="15" t="n">
        <f aca="false">O566+P566</f>
        <v>59450.1282449967</v>
      </c>
      <c r="R566" s="15" t="n">
        <f aca="false">Q566-$G$2+$I$2</f>
        <v>53330.1282449967</v>
      </c>
      <c r="S566" s="42" t="n">
        <f aca="false">R566/$K$2</f>
        <v>307.946230771432</v>
      </c>
      <c r="T566" s="43" t="n">
        <f aca="false">S566-$M$2</f>
        <v>-156.195125043327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41" t="n">
        <f aca="false">(B567+C567)/2</f>
        <v>0.15625</v>
      </c>
      <c r="E567" s="15" t="n">
        <f aca="false">$C$2*(1+IF(E$3&lt;=$O$2,$D567,$D567-($D567-$I$562)*MIN(E$3-$O$2,$Q$2)/$Q$2))</f>
        <v>9435</v>
      </c>
      <c r="F567" s="15" t="n">
        <f aca="false">E567*(1+IF(F$3&lt;=$O$2,$D567,$D567-($D567-$I$562)*MIN(F$3-$O$2,$Q$2)/$Q$2))</f>
        <v>10909.21875</v>
      </c>
      <c r="G567" s="15" t="n">
        <f aca="false">F567*(1+IF(G$3&lt;=$O$2,$D567,$D567-($D567-$I$562)*MIN(G$3-$O$2,$Q$2)/$Q$2))</f>
        <v>12613.7841796875</v>
      </c>
      <c r="H567" s="15" t="n">
        <f aca="false">G567*(1+IF(H$3&lt;=$O$2,$D567,$D567-($D567-$I$562)*MIN(H$3-$O$2,$Q$2)/$Q$2))</f>
        <v>14584.6879577637</v>
      </c>
      <c r="I567" s="15" t="n">
        <f aca="false">H567*(1+IF(I$3&lt;=$O$2,$D567,$D567-($D567-$I$562)*MIN(I$3-$O$2,$Q$2)/$Q$2))</f>
        <v>16863.5454511642</v>
      </c>
      <c r="J567" s="15" t="n">
        <f aca="false">I567*(1+IF(J$3&lt;=$O$2,$D567,$D567-($D567-$I$562)*MIN(J$3-$O$2,$Q$2)/$Q$2))</f>
        <v>19100.6633907157</v>
      </c>
      <c r="K567" s="15" t="n">
        <f aca="false">J567*(1+IF(K$3&lt;=$O$2,$D567,$D567-($D567-$I$562)*MIN(K$3-$O$2,$Q$2)/$Q$2))</f>
        <v>21183.9727467411</v>
      </c>
      <c r="L567" s="15" t="n">
        <f aca="false">K567*(1+IF(L$3&lt;=$O$2,$D567,$D567-($D567-$I$562)*MIN(L$3-$O$2,$Q$2)/$Q$2))</f>
        <v>22994.7787371325</v>
      </c>
      <c r="M567" s="15" t="n">
        <f aca="false">L567*(1+IF(M$3&lt;=$O$2,$D567,$D567-($D567-$I$562)*MIN(M$3-$O$2,$Q$2)/$Q$2))</f>
        <v>24417.9255931736</v>
      </c>
      <c r="N567" s="15" t="n">
        <f aca="false">M567*(1+IF(N$3&lt;=$O$2,$D567,$D567-($D567-$I$562)*MIN(N$3-$O$2,$Q$2)/$Q$2))</f>
        <v>25353.1321433922</v>
      </c>
      <c r="O567" s="15" t="n">
        <f aca="false">SUMPRODUCT(E567:N567,1/(1+$F$562)^$E$3:$N$3)*$E$2</f>
        <v>37902.83401123</v>
      </c>
      <c r="P567" s="15" t="n">
        <f aca="false">N567*$E$2*(1+$I$562)/($F$562-$I$562)/(1+$F$562)^$N$3</f>
        <v>61943.6837109839</v>
      </c>
      <c r="Q567" s="15" t="n">
        <f aca="false">O567+P567</f>
        <v>99846.5177222138</v>
      </c>
      <c r="R567" s="15" t="n">
        <f aca="false">Q567-$G$2+$I$2</f>
        <v>93726.5177222138</v>
      </c>
      <c r="S567" s="42" t="n">
        <f aca="false">R567/$K$2</f>
        <v>541.208671452903</v>
      </c>
      <c r="T567" s="43" t="n">
        <f aca="false">S567-$M$2</f>
        <v>77.0673156381442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41" t="n">
        <f aca="false">(B568+C568)/2</f>
        <v>0.109375</v>
      </c>
      <c r="E568" s="15" t="n">
        <f aca="false">$C$2*(1+IF(E$3&lt;=$O$2,$D568,$D568-($D568-$I$562)*MIN(E$3-$O$2,$Q$2)/$Q$2))</f>
        <v>9052.5</v>
      </c>
      <c r="F568" s="15" t="n">
        <f aca="false">E568*(1+IF(F$3&lt;=$O$2,$D568,$D568-($D568-$I$562)*MIN(F$3-$O$2,$Q$2)/$Q$2))</f>
        <v>10042.6171875</v>
      </c>
      <c r="G568" s="15" t="n">
        <f aca="false">F568*(1+IF(G$3&lt;=$O$2,$D568,$D568-($D568-$I$562)*MIN(G$3-$O$2,$Q$2)/$Q$2))</f>
        <v>11141.0284423828</v>
      </c>
      <c r="H568" s="15" t="n">
        <f aca="false">G568*(1+IF(H$3&lt;=$O$2,$D568,$D568-($D568-$I$562)*MIN(H$3-$O$2,$Q$2)/$Q$2))</f>
        <v>12359.5784282684</v>
      </c>
      <c r="I568" s="15" t="n">
        <f aca="false">H568*(1+IF(I$3&lt;=$O$2,$D568,$D568-($D568-$I$562)*MIN(I$3-$O$2,$Q$2)/$Q$2))</f>
        <v>13711.4073188603</v>
      </c>
      <c r="J568" s="15" t="n">
        <f aca="false">I568*(1+IF(J$3&lt;=$O$2,$D568,$D568-($D568-$I$562)*MIN(J$3-$O$2,$Q$2)/$Q$2))</f>
        <v>15016.184839323</v>
      </c>
      <c r="K568" s="15" t="n">
        <f aca="false">J568*(1+IF(K$3&lt;=$O$2,$D568,$D568-($D568-$I$562)*MIN(K$3-$O$2,$Q$2)/$Q$2))</f>
        <v>16231.669921142</v>
      </c>
      <c r="L568" s="15" t="n">
        <f aca="false">K568*(1+IF(L$3&lt;=$O$2,$D568,$D568-($D568-$I$562)*MIN(L$3-$O$2,$Q$2)/$Q$2))</f>
        <v>17314.8092549799</v>
      </c>
      <c r="M568" s="15" t="n">
        <f aca="false">L568*(1+IF(M$3&lt;=$O$2,$D568,$D568-($D568-$I$562)*MIN(M$3-$O$2,$Q$2)/$Q$2))</f>
        <v>18224.0964630051</v>
      </c>
      <c r="N568" s="15" t="n">
        <f aca="false">M568*(1+IF(N$3&lt;=$O$2,$D568,$D568-($D568-$I$562)*MIN(N$3-$O$2,$Q$2)/$Q$2))</f>
        <v>18922.0793575382</v>
      </c>
      <c r="O568" s="15" t="n">
        <f aca="false">SUMPRODUCT(E568:N568,1/(1+$F$562)^$E$3:$N$3)*$E$2</f>
        <v>30988.4064711555</v>
      </c>
      <c r="P568" s="15" t="n">
        <f aca="false">N568*$E$2*(1+$I$562)/($F$562-$I$562)/(1+$F$562)^$N$3</f>
        <v>46231.1043956347</v>
      </c>
      <c r="Q568" s="15" t="n">
        <f aca="false">O568+P568</f>
        <v>77219.5108667902</v>
      </c>
      <c r="R568" s="15" t="n">
        <f aca="false">Q568-$G$2+$I$2</f>
        <v>71099.5108667902</v>
      </c>
      <c r="S568" s="42" t="n">
        <f aca="false">R568/$K$2</f>
        <v>410.552666975345</v>
      </c>
      <c r="T568" s="43" t="n">
        <f aca="false">S568-$M$2</f>
        <v>-53.5886888394147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0.109375</v>
      </c>
      <c r="C569" s="25" t="n">
        <f aca="false">IF(T568&gt;0,D568,C568)</f>
        <v>0.15625</v>
      </c>
      <c r="D569" s="41" t="n">
        <f aca="false">(B569+C569)/2</f>
        <v>0.1328125</v>
      </c>
      <c r="E569" s="15" t="n">
        <f aca="false">$C$2*(1+IF(E$3&lt;=$O$2,$D569,$D569-($D569-$I$562)*MIN(E$3-$O$2,$Q$2)/$Q$2))</f>
        <v>9243.75</v>
      </c>
      <c r="F569" s="15" t="n">
        <f aca="false">E569*(1+IF(F$3&lt;=$O$2,$D569,$D569-($D569-$I$562)*MIN(F$3-$O$2,$Q$2)/$Q$2))</f>
        <v>10471.435546875</v>
      </c>
      <c r="G569" s="15" t="n">
        <f aca="false">F569*(1+IF(G$3&lt;=$O$2,$D569,$D569-($D569-$I$562)*MIN(G$3-$O$2,$Q$2)/$Q$2))</f>
        <v>11862.1730804443</v>
      </c>
      <c r="H569" s="15" t="n">
        <f aca="false">G569*(1+IF(H$3&lt;=$O$2,$D569,$D569-($D569-$I$562)*MIN(H$3-$O$2,$Q$2)/$Q$2))</f>
        <v>13437.6179426909</v>
      </c>
      <c r="I569" s="15" t="n">
        <f aca="false">H569*(1+IF(I$3&lt;=$O$2,$D569,$D569-($D569-$I$562)*MIN(I$3-$O$2,$Q$2)/$Q$2))</f>
        <v>15222.3015757045</v>
      </c>
      <c r="J569" s="15" t="n">
        <f aca="false">I569*(1+IF(J$3&lt;=$O$2,$D569,$D569-($D569-$I$562)*MIN(J$3-$O$2,$Q$2)/$Q$2))</f>
        <v>16956.273948193</v>
      </c>
      <c r="K569" s="15" t="n">
        <f aca="false">J569*(1+IF(K$3&lt;=$O$2,$D569,$D569-($D569-$I$562)*MIN(K$3-$O$2,$Q$2)/$Q$2))</f>
        <v>18567.2471453259</v>
      </c>
      <c r="L569" s="15" t="n">
        <f aca="false">K569*(1+IF(L$3&lt;=$O$2,$D569,$D569-($D569-$I$562)*MIN(L$3-$O$2,$Q$2)/$Q$2))</f>
        <v>19980.307489321</v>
      </c>
      <c r="M569" s="15" t="n">
        <f aca="false">L569*(1+IF(M$3&lt;=$O$2,$D569,$D569-($D569-$I$562)*MIN(M$3-$O$2,$Q$2)/$Q$2))</f>
        <v>21123.2310284788</v>
      </c>
      <c r="N569" s="15" t="n">
        <f aca="false">M569*(1+IF(N$3&lt;=$O$2,$D569,$D569-($D569-$I$562)*MIN(N$3-$O$2,$Q$2)/$Q$2))</f>
        <v>21932.2507768696</v>
      </c>
      <c r="O569" s="15" t="n">
        <f aca="false">SUMPRODUCT(E569:N569,1/(1+$F$562)^$E$3:$N$3)*$E$2</f>
        <v>34273.8651193199</v>
      </c>
      <c r="P569" s="15" t="n">
        <f aca="false">N569*$E$2*(1+$I$562)/($F$562-$I$562)/(1+$F$562)^$N$3</f>
        <v>53585.6634008226</v>
      </c>
      <c r="Q569" s="15" t="n">
        <f aca="false">O569+P569</f>
        <v>87859.5285201425</v>
      </c>
      <c r="R569" s="15" t="n">
        <f aca="false">Q569-$G$2+$I$2</f>
        <v>81739.5285201425</v>
      </c>
      <c r="S569" s="42" t="n">
        <f aca="false">R569/$K$2</f>
        <v>471.991734150263</v>
      </c>
      <c r="T569" s="43" t="n">
        <f aca="false">S569-$M$2</f>
        <v>7.85037833550348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0.109375</v>
      </c>
      <c r="C570" s="25" t="n">
        <f aca="false">IF(T569&gt;0,D569,C569)</f>
        <v>0.1328125</v>
      </c>
      <c r="D570" s="41" t="n">
        <f aca="false">(B570+C570)/2</f>
        <v>0.12109375</v>
      </c>
      <c r="E570" s="15" t="n">
        <f aca="false">$C$2*(1+IF(E$3&lt;=$O$2,$D570,$D570-($D570-$I$562)*MIN(E$3-$O$2,$Q$2)/$Q$2))</f>
        <v>9148.125</v>
      </c>
      <c r="F570" s="15" t="n">
        <f aca="false">E570*(1+IF(F$3&lt;=$O$2,$D570,$D570-($D570-$I$562)*MIN(F$3-$O$2,$Q$2)/$Q$2))</f>
        <v>10255.9057617188</v>
      </c>
      <c r="G570" s="15" t="n">
        <f aca="false">F570*(1+IF(G$3&lt;=$O$2,$D570,$D570-($D570-$I$562)*MIN(G$3-$O$2,$Q$2)/$Q$2))</f>
        <v>11497.8318500519</v>
      </c>
      <c r="H570" s="15" t="n">
        <f aca="false">G570*(1+IF(H$3&lt;=$O$2,$D570,$D570-($D570-$I$562)*MIN(H$3-$O$2,$Q$2)/$Q$2))</f>
        <v>12890.1474256441</v>
      </c>
      <c r="I570" s="15" t="n">
        <f aca="false">H570*(1+IF(I$3&lt;=$O$2,$D570,$D570-($D570-$I$562)*MIN(I$3-$O$2,$Q$2)/$Q$2))</f>
        <v>14451.0637154682</v>
      </c>
      <c r="J570" s="15" t="n">
        <f aca="false">I570*(1+IF(J$3&lt;=$O$2,$D570,$D570-($D570-$I$562)*MIN(J$3-$O$2,$Q$2)/$Q$2))</f>
        <v>15961.7056609647</v>
      </c>
      <c r="K570" s="15" t="n">
        <f aca="false">J570*(1+IF(K$3&lt;=$O$2,$D570,$D570-($D570-$I$562)*MIN(K$3-$O$2,$Q$2)/$Q$2))</f>
        <v>17365.9566686201</v>
      </c>
      <c r="L570" s="15" t="n">
        <f aca="false">K570*(1+IF(L$3&lt;=$O$2,$D570,$D570-($D570-$I$562)*MIN(L$3-$O$2,$Q$2)/$Q$2))</f>
        <v>18606.1898790013</v>
      </c>
      <c r="M570" s="15" t="n">
        <f aca="false">L570*(1+IF(M$3&lt;=$O$2,$D570,$D570-($D570-$I$562)*MIN(M$3-$O$2,$Q$2)/$Q$2))</f>
        <v>19626.9021980259</v>
      </c>
      <c r="N570" s="15" t="n">
        <f aca="false">M570*(1+IF(N$3&lt;=$O$2,$D570,$D570-($D570-$I$562)*MIN(N$3-$O$2,$Q$2)/$Q$2))</f>
        <v>20378.6125522103</v>
      </c>
      <c r="O570" s="15" t="n">
        <f aca="false">SUMPRODUCT(E570:N570,1/(1+$F$562)^$E$3:$N$3)*$E$2</f>
        <v>32590.1442886123</v>
      </c>
      <c r="P570" s="15" t="n">
        <f aca="false">N570*$E$2*(1+$I$562)/($F$562-$I$562)/(1+$F$562)^$N$3</f>
        <v>49789.7586484913</v>
      </c>
      <c r="Q570" s="15" t="n">
        <f aca="false">O570+P570</f>
        <v>82379.9029371036</v>
      </c>
      <c r="R570" s="15" t="n">
        <f aca="false">Q570-$G$2+$I$2</f>
        <v>76259.9029371036</v>
      </c>
      <c r="S570" s="42" t="n">
        <f aca="false">R570/$K$2</f>
        <v>440.35051932731</v>
      </c>
      <c r="T570" s="43" t="n">
        <f aca="false">S570-$M$2</f>
        <v>-23.790836487449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0.12109375</v>
      </c>
      <c r="C571" s="25" t="n">
        <f aca="false">IF(T570&gt;0,D570,C570)</f>
        <v>0.1328125</v>
      </c>
      <c r="D571" s="41" t="n">
        <f aca="false">(B571+C571)/2</f>
        <v>0.126953125</v>
      </c>
      <c r="E571" s="15" t="n">
        <f aca="false">$C$2*(1+IF(E$3&lt;=$O$2,$D571,$D571-($D571-$I$562)*MIN(E$3-$O$2,$Q$2)/$Q$2))</f>
        <v>9195.9375</v>
      </c>
      <c r="F571" s="15" t="n">
        <f aca="false">E571*(1+IF(F$3&lt;=$O$2,$D571,$D571-($D571-$I$562)*MIN(F$3-$O$2,$Q$2)/$Q$2))</f>
        <v>10363.3905029297</v>
      </c>
      <c r="G571" s="15" t="n">
        <f aca="false">F571*(1+IF(G$3&lt;=$O$2,$D571,$D571-($D571-$I$562)*MIN(G$3-$O$2,$Q$2)/$Q$2))</f>
        <v>11679.0553128719</v>
      </c>
      <c r="H571" s="15" t="n">
        <f aca="false">G571*(1+IF(H$3&lt;=$O$2,$D571,$D571-($D571-$I$562)*MIN(H$3-$O$2,$Q$2)/$Q$2))</f>
        <v>13161.7478818889</v>
      </c>
      <c r="I571" s="15" t="n">
        <f aca="false">H571*(1+IF(I$3&lt;=$O$2,$D571,$D571-($D571-$I$562)*MIN(I$3-$O$2,$Q$2)/$Q$2))</f>
        <v>14832.6729059568</v>
      </c>
      <c r="J571" s="15" t="n">
        <f aca="false">I571*(1+IF(J$3&lt;=$O$2,$D571,$D571-($D571-$I$562)*MIN(J$3-$O$2,$Q$2)/$Q$2))</f>
        <v>16452.7345224277</v>
      </c>
      <c r="K571" s="15" t="n">
        <f aca="false">J571*(1+IF(K$3&lt;=$O$2,$D571,$D571-($D571-$I$562)*MIN(K$3-$O$2,$Q$2)/$Q$2))</f>
        <v>17958.0260527618</v>
      </c>
      <c r="L571" s="15" t="n">
        <f aca="false">K571*(1+IF(L$3&lt;=$O$2,$D571,$D571-($D571-$I$562)*MIN(L$3-$O$2,$Q$2)/$Q$2))</f>
        <v>19282.6325019461</v>
      </c>
      <c r="M571" s="15" t="n">
        <f aca="false">L571*(1+IF(M$3&lt;=$O$2,$D571,$D571-($D571-$I$562)*MIN(M$3-$O$2,$Q$2)/$Q$2))</f>
        <v>20363.0504526754</v>
      </c>
      <c r="N571" s="15" t="n">
        <f aca="false">M571*(1+IF(N$3&lt;=$O$2,$D571,$D571-($D571-$I$562)*MIN(N$3-$O$2,$Q$2)/$Q$2))</f>
        <v>21142.9552850129</v>
      </c>
      <c r="O571" s="15" t="n">
        <f aca="false">SUMPRODUCT(E571:N571,1/(1+$F$562)^$E$3:$N$3)*$E$2</f>
        <v>33421.5194469392</v>
      </c>
      <c r="P571" s="15" t="n">
        <f aca="false">N571*$E$2*(1+$I$562)/($F$562-$I$562)/(1+$F$562)^$N$3</f>
        <v>51657.2282857626</v>
      </c>
      <c r="Q571" s="15" t="n">
        <f aca="false">O571+P571</f>
        <v>85078.7477327018</v>
      </c>
      <c r="R571" s="15" t="n">
        <f aca="false">Q571-$G$2+$I$2</f>
        <v>78958.7477327018</v>
      </c>
      <c r="S571" s="42" t="n">
        <f aca="false">R571/$K$2</f>
        <v>455.934563648815</v>
      </c>
      <c r="T571" s="43" t="n">
        <f aca="false">S571-$M$2</f>
        <v>-8.20679216594436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0.126953125</v>
      </c>
      <c r="C572" s="25" t="n">
        <f aca="false">IF(T571&gt;0,D571,C571)</f>
        <v>0.1328125</v>
      </c>
      <c r="D572" s="41" t="n">
        <f aca="false">(B572+C572)/2</f>
        <v>0.1298828125</v>
      </c>
      <c r="E572" s="15" t="n">
        <f aca="false">$C$2*(1+IF(E$3&lt;=$O$2,$D572,$D572-($D572-$I$562)*MIN(E$3-$O$2,$Q$2)/$Q$2))</f>
        <v>9219.84375</v>
      </c>
      <c r="F572" s="15" t="n">
        <f aca="false">E572*(1+IF(F$3&lt;=$O$2,$D572,$D572-($D572-$I$562)*MIN(F$3-$O$2,$Q$2)/$Q$2))</f>
        <v>10417.3429870605</v>
      </c>
      <c r="G572" s="15" t="n">
        <f aca="false">F572*(1+IF(G$3&lt;=$O$2,$D572,$D572-($D572-$I$562)*MIN(G$3-$O$2,$Q$2)/$Q$2))</f>
        <v>11770.3767929971</v>
      </c>
      <c r="H572" s="15" t="n">
        <f aca="false">G572*(1+IF(H$3&lt;=$O$2,$D572,$D572-($D572-$I$562)*MIN(H$3-$O$2,$Q$2)/$Q$2))</f>
        <v>13299.1464350563</v>
      </c>
      <c r="I572" s="15" t="n">
        <f aca="false">H572*(1+IF(I$3&lt;=$O$2,$D572,$D572-($D572-$I$562)*MIN(I$3-$O$2,$Q$2)/$Q$2))</f>
        <v>15026.4769778908</v>
      </c>
      <c r="J572" s="15" t="n">
        <f aca="false">I572*(1+IF(J$3&lt;=$O$2,$D572,$D572-($D572-$I$562)*MIN(J$3-$O$2,$Q$2)/$Q$2))</f>
        <v>16702.9246650254</v>
      </c>
      <c r="K572" s="15" t="n">
        <f aca="false">J572*(1+IF(K$3&lt;=$O$2,$D572,$D572-($D572-$I$562)*MIN(K$3-$O$2,$Q$2)/$Q$2))</f>
        <v>18260.467170375</v>
      </c>
      <c r="L572" s="15" t="n">
        <f aca="false">K572*(1+IF(L$3&lt;=$O$2,$D572,$D572-($D572-$I$562)*MIN(L$3-$O$2,$Q$2)/$Q$2))</f>
        <v>19628.7810394112</v>
      </c>
      <c r="M572" s="15" t="n">
        <f aca="false">L572*(1+IF(M$3&lt;=$O$2,$D572,$D572-($D572-$I$562)*MIN(M$3-$O$2,$Q$2)/$Q$2))</f>
        <v>20740.0951479278</v>
      </c>
      <c r="N572" s="15" t="n">
        <f aca="false">M572*(1+IF(N$3&lt;=$O$2,$D572,$D572-($D572-$I$562)*MIN(N$3-$O$2,$Q$2)/$Q$2))</f>
        <v>21534.4407920934</v>
      </c>
      <c r="O572" s="15" t="n">
        <f aca="false">SUMPRODUCT(E572:N572,1/(1+$F$562)^$E$3:$N$3)*$E$2</f>
        <v>33845.0407765704</v>
      </c>
      <c r="P572" s="15" t="n">
        <f aca="false">N572*$E$2*(1+$I$562)/($F$562-$I$562)/(1+$F$562)^$N$3</f>
        <v>52613.7197476805</v>
      </c>
      <c r="Q572" s="15" t="n">
        <f aca="false">O572+P572</f>
        <v>86458.7605242509</v>
      </c>
      <c r="R572" s="15" t="n">
        <f aca="false">Q572-$G$2+$I$2</f>
        <v>80338.7605242509</v>
      </c>
      <c r="S572" s="42" t="n">
        <f aca="false">R572/$K$2</f>
        <v>463.903225108274</v>
      </c>
      <c r="T572" s="43" t="n">
        <f aca="false">S572-$M$2</f>
        <v>-0.238130706485322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0.1298828125</v>
      </c>
      <c r="C573" s="25" t="n">
        <f aca="false">IF(T572&gt;0,D572,C572)</f>
        <v>0.1328125</v>
      </c>
      <c r="D573" s="41" t="n">
        <f aca="false">(B573+C573)/2</f>
        <v>0.13134765625</v>
      </c>
      <c r="E573" s="15" t="n">
        <f aca="false">$C$2*(1+IF(E$3&lt;=$O$2,$D573,$D573-($D573-$I$562)*MIN(E$3-$O$2,$Q$2)/$Q$2))</f>
        <v>9231.796875</v>
      </c>
      <c r="F573" s="15" t="n">
        <f aca="false">E573*(1+IF(F$3&lt;=$O$2,$D573,$D573-($D573-$I$562)*MIN(F$3-$O$2,$Q$2)/$Q$2))</f>
        <v>10444.3717575073</v>
      </c>
      <c r="G573" s="15" t="n">
        <f aca="false">F573*(1+IF(G$3&lt;=$O$2,$D573,$D573-($D573-$I$562)*MIN(G$3-$O$2,$Q$2)/$Q$2))</f>
        <v>11816.2155088596</v>
      </c>
      <c r="H573" s="15" t="n">
        <f aca="false">G573*(1+IF(H$3&lt;=$O$2,$D573,$D573-($D573-$I$562)*MIN(H$3-$O$2,$Q$2)/$Q$2))</f>
        <v>13368.2477216932</v>
      </c>
      <c r="I573" s="15" t="n">
        <f aca="false">H573*(1+IF(I$3&lt;=$O$2,$D573,$D573-($D573-$I$562)*MIN(I$3-$O$2,$Q$2)/$Q$2))</f>
        <v>15124.135728107</v>
      </c>
      <c r="J573" s="15" t="n">
        <f aca="false">I573*(1+IF(J$3&lt;=$O$2,$D573,$D573-($D573-$I$562)*MIN(J$3-$O$2,$Q$2)/$Q$2))</f>
        <v>16829.2024323393</v>
      </c>
      <c r="K573" s="15" t="n">
        <f aca="false">J573*(1+IF(K$3&lt;=$O$2,$D573,$D573-($D573-$I$562)*MIN(K$3-$O$2,$Q$2)/$Q$2))</f>
        <v>18413.3115912295</v>
      </c>
      <c r="L573" s="15" t="n">
        <f aca="false">K573*(1+IF(L$3&lt;=$O$2,$D573,$D573-($D573-$I$562)*MIN(L$3-$O$2,$Q$2)/$Q$2))</f>
        <v>19803.8676201195</v>
      </c>
      <c r="M573" s="15" t="n">
        <f aca="false">L573*(1+IF(M$3&lt;=$O$2,$D573,$D573-($D573-$I$562)*MIN(M$3-$O$2,$Q$2)/$Q$2))</f>
        <v>20930.8964433176</v>
      </c>
      <c r="N573" s="15" t="n">
        <f aca="false">M573*(1+IF(N$3&lt;=$O$2,$D573,$D573-($D573-$I$562)*MIN(N$3-$O$2,$Q$2)/$Q$2))</f>
        <v>21732.5497770967</v>
      </c>
      <c r="O573" s="15" t="n">
        <f aca="false">SUMPRODUCT(E573:N573,1/(1+$F$562)^$E$3:$N$3)*$E$2</f>
        <v>34058.7862643818</v>
      </c>
      <c r="P573" s="15" t="n">
        <f aca="false">N573*$E$2*(1+$I$562)/($F$562-$I$562)/(1+$F$562)^$N$3</f>
        <v>53097.7467403983</v>
      </c>
      <c r="Q573" s="15" t="n">
        <f aca="false">O573+P573</f>
        <v>87156.5330047801</v>
      </c>
      <c r="R573" s="15" t="n">
        <f aca="false">Q573-$G$2+$I$2</f>
        <v>81036.5330047801</v>
      </c>
      <c r="S573" s="42" t="n">
        <f aca="false">R573/$K$2</f>
        <v>467.932399842823</v>
      </c>
      <c r="T573" s="43" t="n">
        <f aca="false">S573-$M$2</f>
        <v>3.79104402806382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0.1298828125</v>
      </c>
      <c r="C574" s="25" t="n">
        <f aca="false">IF(T573&gt;0,D573,C573)</f>
        <v>0.13134765625</v>
      </c>
      <c r="D574" s="41" t="n">
        <f aca="false">(B574+C574)/2</f>
        <v>0.130615234375</v>
      </c>
      <c r="E574" s="15" t="n">
        <f aca="false">$C$2*(1+IF(E$3&lt;=$O$2,$D574,$D574-($D574-$I$562)*MIN(E$3-$O$2,$Q$2)/$Q$2))</f>
        <v>9225.8203125</v>
      </c>
      <c r="F574" s="15" t="n">
        <f aca="false">E574*(1+IF(F$3&lt;=$O$2,$D574,$D574-($D574-$I$562)*MIN(F$3-$O$2,$Q$2)/$Q$2))</f>
        <v>10430.8529949188</v>
      </c>
      <c r="G574" s="15" t="n">
        <f aca="false">F574*(1+IF(G$3&lt;=$O$2,$D574,$D574-($D574-$I$562)*MIN(G$3-$O$2,$Q$2)/$Q$2))</f>
        <v>11793.2813035813</v>
      </c>
      <c r="H574" s="15" t="n">
        <f aca="false">G574*(1+IF(H$3&lt;=$O$2,$D574,$D574-($D574-$I$562)*MIN(H$3-$O$2,$Q$2)/$Q$2))</f>
        <v>13333.6635050989</v>
      </c>
      <c r="I574" s="15" t="n">
        <f aca="false">H574*(1+IF(I$3&lt;=$O$2,$D574,$D574-($D574-$I$562)*MIN(I$3-$O$2,$Q$2)/$Q$2))</f>
        <v>15075.2430888948</v>
      </c>
      <c r="J574" s="15" t="n">
        <f aca="false">I574*(1+IF(J$3&lt;=$O$2,$D574,$D574-($D574-$I$562)*MIN(J$3-$O$2,$Q$2)/$Q$2))</f>
        <v>16765.9645784086</v>
      </c>
      <c r="K574" s="15" t="n">
        <f aca="false">J574*(1+IF(K$3&lt;=$O$2,$D574,$D574-($D574-$I$562)*MIN(K$3-$O$2,$Q$2)/$Q$2))</f>
        <v>18336.7533915089</v>
      </c>
      <c r="L574" s="15" t="n">
        <f aca="false">K574*(1+IF(L$3&lt;=$O$2,$D574,$D574-($D574-$I$562)*MIN(L$3-$O$2,$Q$2)/$Q$2))</f>
        <v>19716.1557212091</v>
      </c>
      <c r="M574" s="15" t="n">
        <f aca="false">L574*(1+IF(M$3&lt;=$O$2,$D574,$D574-($D574-$I$562)*MIN(M$3-$O$2,$Q$2)/$Q$2))</f>
        <v>20835.3047926069</v>
      </c>
      <c r="N574" s="15" t="n">
        <f aca="false">M574*(1+IF(N$3&lt;=$O$2,$D574,$D574-($D574-$I$562)*MIN(N$3-$O$2,$Q$2)/$Q$2))</f>
        <v>21633.2969661638</v>
      </c>
      <c r="O574" s="15" t="n">
        <f aca="false">SUMPRODUCT(E574:N574,1/(1+$F$562)^$E$3:$N$3)*$E$2</f>
        <v>33951.7473269267</v>
      </c>
      <c r="P574" s="15" t="n">
        <f aca="false">N574*$E$2*(1+$I$562)/($F$562-$I$562)/(1+$F$562)^$N$3</f>
        <v>52855.24870532</v>
      </c>
      <c r="Q574" s="15" t="n">
        <f aca="false">O574+P574</f>
        <v>86806.9960322467</v>
      </c>
      <c r="R574" s="15" t="n">
        <f aca="false">Q574-$G$2+$I$2</f>
        <v>80686.9960322467</v>
      </c>
      <c r="S574" s="42" t="n">
        <f aca="false">R574/$K$2</f>
        <v>465.914054926936</v>
      </c>
      <c r="T574" s="43" t="n">
        <f aca="false">S574-$M$2</f>
        <v>1.77269911217638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0.1298828125</v>
      </c>
      <c r="C575" s="25" t="n">
        <f aca="false">IF(T574&gt;0,D574,C574)</f>
        <v>0.130615234375</v>
      </c>
      <c r="D575" s="41" t="n">
        <f aca="false">(B575+C575)/2</f>
        <v>0.1302490234375</v>
      </c>
      <c r="E575" s="15" t="n">
        <f aca="false">$C$2*(1+IF(E$3&lt;=$O$2,$D575,$D575-($D575-$I$562)*MIN(E$3-$O$2,$Q$2)/$Q$2))</f>
        <v>9222.83203125</v>
      </c>
      <c r="F575" s="15" t="n">
        <f aca="false">E575*(1+IF(F$3&lt;=$O$2,$D575,$D575-($D575-$I$562)*MIN(F$3-$O$2,$Q$2)/$Q$2))</f>
        <v>10424.0968966484</v>
      </c>
      <c r="G575" s="15" t="n">
        <f aca="false">F575*(1+IF(G$3&lt;=$O$2,$D575,$D575-($D575-$I$562)*MIN(G$3-$O$2,$Q$2)/$Q$2))</f>
        <v>11781.8253376547</v>
      </c>
      <c r="H575" s="15" t="n">
        <f aca="false">G575*(1+IF(H$3&lt;=$O$2,$D575,$D575-($D575-$I$562)*MIN(H$3-$O$2,$Q$2)/$Q$2))</f>
        <v>13316.3965821955</v>
      </c>
      <c r="I575" s="15" t="n">
        <f aca="false">H575*(1+IF(I$3&lt;=$O$2,$D575,$D575-($D575-$I$562)*MIN(I$3-$O$2,$Q$2)/$Q$2))</f>
        <v>15050.8442327329</v>
      </c>
      <c r="J575" s="15" t="n">
        <f aca="false">I575*(1+IF(J$3&lt;=$O$2,$D575,$D575-($D575-$I$562)*MIN(J$3-$O$2,$Q$2)/$Q$2))</f>
        <v>16734.4199101343</v>
      </c>
      <c r="K575" s="15" t="n">
        <f aca="false">J575*(1+IF(K$3&lt;=$O$2,$D575,$D575-($D575-$I$562)*MIN(K$3-$O$2,$Q$2)/$Q$2))</f>
        <v>18298.5763338104</v>
      </c>
      <c r="L575" s="15" t="n">
        <f aca="false">K575*(1+IF(L$3&lt;=$O$2,$D575,$D575-($D575-$I$562)*MIN(L$3-$O$2,$Q$2)/$Q$2))</f>
        <v>19672.4262970715</v>
      </c>
      <c r="M575" s="15" t="n">
        <f aca="false">L575*(1+IF(M$3&lt;=$O$2,$D575,$D575-($D575-$I$562)*MIN(M$3-$O$2,$Q$2)/$Q$2))</f>
        <v>20787.6523015817</v>
      </c>
      <c r="N575" s="15" t="n">
        <f aca="false">M575*(1+IF(N$3&lt;=$O$2,$D575,$D575-($D575-$I$562)*MIN(N$3-$O$2,$Q$2)/$Q$2))</f>
        <v>21583.8193847323</v>
      </c>
      <c r="O575" s="15" t="n">
        <f aca="false">SUMPRODUCT(E575:N575,1/(1+$F$562)^$E$3:$N$3)*$E$2</f>
        <v>33898.3525628995</v>
      </c>
      <c r="P575" s="15" t="n">
        <f aca="false">N575*$E$2*(1+$I$562)/($F$562-$I$562)/(1+$F$562)^$N$3</f>
        <v>52734.3633000123</v>
      </c>
      <c r="Q575" s="15" t="n">
        <f aca="false">O575+P575</f>
        <v>86632.7158629117</v>
      </c>
      <c r="R575" s="15" t="n">
        <f aca="false">Q575-$G$2+$I$2</f>
        <v>80512.7158629117</v>
      </c>
      <c r="S575" s="42" t="n">
        <f aca="false">R575/$K$2</f>
        <v>464.907702176416</v>
      </c>
      <c r="T575" s="43" t="n">
        <f aca="false">S575-$M$2</f>
        <v>0.766346361656815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0.1298828125</v>
      </c>
      <c r="C576" s="25" t="n">
        <f aca="false">IF(T575&gt;0,D575,C575)</f>
        <v>0.1302490234375</v>
      </c>
      <c r="D576" s="41" t="n">
        <f aca="false">(B576+C576)/2</f>
        <v>0.13006591796875</v>
      </c>
      <c r="E576" s="15" t="n">
        <f aca="false">$C$2*(1+IF(E$3&lt;=$O$2,$D576,$D576-($D576-$I$562)*MIN(E$3-$O$2,$Q$2)/$Q$2))</f>
        <v>9221.337890625</v>
      </c>
      <c r="F576" s="15" t="n">
        <f aca="false">E576*(1+IF(F$3&lt;=$O$2,$D576,$D576-($D576-$I$562)*MIN(F$3-$O$2,$Q$2)/$Q$2))</f>
        <v>10420.7196682692</v>
      </c>
      <c r="G576" s="15" t="n">
        <f aca="false">F576*(1+IF(G$3&lt;=$O$2,$D576,$D576-($D576-$I$562)*MIN(G$3-$O$2,$Q$2)/$Q$2))</f>
        <v>11776.1001378176</v>
      </c>
      <c r="H576" s="15" t="n">
        <f aca="false">G576*(1+IF(H$3&lt;=$O$2,$D576,$D576-($D576-$I$562)*MIN(H$3-$O$2,$Q$2)/$Q$2))</f>
        <v>13307.7694123348</v>
      </c>
      <c r="I576" s="15" t="n">
        <f aca="false">H576*(1+IF(I$3&lt;=$O$2,$D576,$D576-($D576-$I$562)*MIN(I$3-$O$2,$Q$2)/$Q$2))</f>
        <v>15038.6566570665</v>
      </c>
      <c r="J576" s="15" t="n">
        <f aca="false">I576*(1+IF(J$3&lt;=$O$2,$D576,$D576-($D576-$I$562)*MIN(J$3-$O$2,$Q$2)/$Q$2))</f>
        <v>16718.6661135542</v>
      </c>
      <c r="K576" s="15" t="n">
        <f aca="false">J576*(1+IF(K$3&lt;=$O$2,$D576,$D576-($D576-$I$562)*MIN(K$3-$O$2,$Q$2)/$Q$2))</f>
        <v>18279.5132715774</v>
      </c>
      <c r="L576" s="15" t="n">
        <f aca="false">K576*(1+IF(L$3&lt;=$O$2,$D576,$D576-($D576-$I$562)*MIN(L$3-$O$2,$Q$2)/$Q$2))</f>
        <v>19650.5931560341</v>
      </c>
      <c r="M576" s="15" t="n">
        <f aca="false">L576*(1+IF(M$3&lt;=$O$2,$D576,$D576-($D576-$I$562)*MIN(M$3-$O$2,$Q$2)/$Q$2))</f>
        <v>20763.861817829</v>
      </c>
      <c r="N576" s="15" t="n">
        <f aca="false">M576*(1+IF(N$3&lt;=$O$2,$D576,$D576-($D576-$I$562)*MIN(N$3-$O$2,$Q$2)/$Q$2))</f>
        <v>21559.1177254518</v>
      </c>
      <c r="O576" s="15" t="n">
        <f aca="false">SUMPRODUCT(E576:N576,1/(1+$F$562)^$E$3:$N$3)*$E$2</f>
        <v>33871.6863049569</v>
      </c>
      <c r="P576" s="15" t="n">
        <f aca="false">N576*$E$2*(1+$I$562)/($F$562-$I$562)/(1+$F$562)^$N$3</f>
        <v>52674.0113182155</v>
      </c>
      <c r="Q576" s="15" t="n">
        <f aca="false">O576+P576</f>
        <v>86545.6976231724</v>
      </c>
      <c r="R576" s="15" t="n">
        <f aca="false">Q576-$G$2+$I$2</f>
        <v>80425.6976231724</v>
      </c>
      <c r="S576" s="42" t="n">
        <f aca="false">R576/$K$2</f>
        <v>464.405229375057</v>
      </c>
      <c r="T576" s="43" t="n">
        <f aca="false">S576-$M$2</f>
        <v>0.263873560298066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0.1298828125</v>
      </c>
      <c r="C577" s="25" t="n">
        <f aca="false">IF(T576&gt;0,D576,C576)</f>
        <v>0.13006591796875</v>
      </c>
      <c r="D577" s="41" t="n">
        <f aca="false">(B577+C577)/2</f>
        <v>0.129974365234375</v>
      </c>
      <c r="E577" s="15" t="n">
        <f aca="false">$C$2*(1+IF(E$3&lt;=$O$2,$D577,$D577-($D577-$I$562)*MIN(E$3-$O$2,$Q$2)/$Q$2))</f>
        <v>9220.5908203125</v>
      </c>
      <c r="F577" s="15" t="n">
        <f aca="false">E577*(1+IF(F$3&lt;=$O$2,$D577,$D577-($D577-$I$562)*MIN(F$3-$O$2,$Q$2)/$Q$2))</f>
        <v>10419.0312592685</v>
      </c>
      <c r="G577" s="15" t="n">
        <f aca="false">F577*(1+IF(G$3&lt;=$O$2,$D577,$D577-($D577-$I$562)*MIN(G$3-$O$2,$Q$2)/$Q$2))</f>
        <v>11773.2382335491</v>
      </c>
      <c r="H577" s="15" t="n">
        <f aca="false">G577*(1+IF(H$3&lt;=$O$2,$D577,$D577-($D577-$I$562)*MIN(H$3-$O$2,$Q$2)/$Q$2))</f>
        <v>13303.4573997077</v>
      </c>
      <c r="I577" s="15" t="n">
        <f aca="false">H577*(1+IF(I$3&lt;=$O$2,$D577,$D577-($D577-$I$562)*MIN(I$3-$O$2,$Q$2)/$Q$2))</f>
        <v>15032.5658306572</v>
      </c>
      <c r="J577" s="15" t="n">
        <f aca="false">I577*(1+IF(J$3&lt;=$O$2,$D577,$D577-($D577-$I$562)*MIN(J$3-$O$2,$Q$2)/$Q$2))</f>
        <v>16710.793846267</v>
      </c>
      <c r="K577" s="15" t="n">
        <f aca="false">J577*(1+IF(K$3&lt;=$O$2,$D577,$D577-($D577-$I$562)*MIN(K$3-$O$2,$Q$2)/$Q$2))</f>
        <v>18269.9881016304</v>
      </c>
      <c r="L577" s="15" t="n">
        <f aca="false">K577*(1+IF(L$3&lt;=$O$2,$D577,$D577-($D577-$I$562)*MIN(L$3-$O$2,$Q$2)/$Q$2))</f>
        <v>19639.6844707455</v>
      </c>
      <c r="M577" s="15" t="n">
        <f aca="false">L577*(1+IF(M$3&lt;=$O$2,$D577,$D577-($D577-$I$562)*MIN(M$3-$O$2,$Q$2)/$Q$2))</f>
        <v>20751.9755074268</v>
      </c>
      <c r="N577" s="15" t="n">
        <f aca="false">M577*(1+IF(N$3&lt;=$O$2,$D577,$D577-($D577-$I$562)*MIN(N$3-$O$2,$Q$2)/$Q$2))</f>
        <v>21546.7761693613</v>
      </c>
      <c r="O577" s="15" t="n">
        <f aca="false">SUMPRODUCT(E577:N577,1/(1+$F$562)^$E$3:$N$3)*$E$2</f>
        <v>33858.3609504979</v>
      </c>
      <c r="P577" s="15" t="n">
        <f aca="false">N577*$E$2*(1+$I$562)/($F$562-$I$562)/(1+$F$562)^$N$3</f>
        <v>52643.8579847871</v>
      </c>
      <c r="Q577" s="15" t="n">
        <f aca="false">O577+P577</f>
        <v>86502.218935285</v>
      </c>
      <c r="R577" s="15" t="n">
        <f aca="false">Q577-$G$2+$I$2</f>
        <v>80382.218935285</v>
      </c>
      <c r="S577" s="42" t="n">
        <f aca="false">R577/$K$2</f>
        <v>464.154168698955</v>
      </c>
      <c r="T577" s="43" t="n">
        <f aca="false">S577-$M$2</f>
        <v>0.0128128841957391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0.1298828125</v>
      </c>
      <c r="C578" s="25" t="n">
        <f aca="false">IF(T577&gt;0,D577,C577)</f>
        <v>0.129974365234375</v>
      </c>
      <c r="D578" s="41" t="n">
        <f aca="false">(B578+C578)/2</f>
        <v>0.129928588867188</v>
      </c>
      <c r="E578" s="15" t="n">
        <f aca="false">$C$2*(1+IF(E$3&lt;=$O$2,$D578,$D578-($D578-$I$562)*MIN(E$3-$O$2,$Q$2)/$Q$2))</f>
        <v>9220.21728515625</v>
      </c>
      <c r="F578" s="15" t="n">
        <f aca="false">E578*(1+IF(F$3&lt;=$O$2,$D578,$D578-($D578-$I$562)*MIN(F$3-$O$2,$Q$2)/$Q$2))</f>
        <v>10418.1871060655</v>
      </c>
      <c r="G578" s="15" t="n">
        <f aca="false">F578*(1+IF(G$3&lt;=$O$2,$D578,$D578-($D578-$I$562)*MIN(G$3-$O$2,$Q$2)/$Q$2))</f>
        <v>11771.8074553109</v>
      </c>
      <c r="H578" s="15" t="n">
        <f aca="false">G578*(1+IF(H$3&lt;=$O$2,$D578,$D578-($D578-$I$562)*MIN(H$3-$O$2,$Q$2)/$Q$2))</f>
        <v>13301.3017863956</v>
      </c>
      <c r="I578" s="15" t="n">
        <f aca="false">H578*(1+IF(I$3&lt;=$O$2,$D578,$D578-($D578-$I$562)*MIN(I$3-$O$2,$Q$2)/$Q$2))</f>
        <v>15029.5211575986</v>
      </c>
      <c r="J578" s="15" t="n">
        <f aca="false">I578*(1+IF(J$3&lt;=$O$2,$D578,$D578-($D578-$I$562)*MIN(J$3-$O$2,$Q$2)/$Q$2))</f>
        <v>16706.8588699509</v>
      </c>
      <c r="K578" s="15" t="n">
        <f aca="false">J578*(1+IF(K$3&lt;=$O$2,$D578,$D578-($D578-$I$562)*MIN(K$3-$O$2,$Q$2)/$Q$2))</f>
        <v>18265.2271062641</v>
      </c>
      <c r="L578" s="15" t="n">
        <f aca="false">K578*(1+IF(L$3&lt;=$O$2,$D578,$D578-($D578-$I$562)*MIN(L$3-$O$2,$Q$2)/$Q$2))</f>
        <v>19634.2320984683</v>
      </c>
      <c r="M578" s="15" t="n">
        <f aca="false">L578*(1+IF(M$3&lt;=$O$2,$D578,$D578-($D578-$I$562)*MIN(M$3-$O$2,$Q$2)/$Q$2))</f>
        <v>20746.0345839744</v>
      </c>
      <c r="N578" s="15" t="n">
        <f aca="false">M578*(1+IF(N$3&lt;=$O$2,$D578,$D578-($D578-$I$562)*MIN(N$3-$O$2,$Q$2)/$Q$2))</f>
        <v>21540.6077085406</v>
      </c>
      <c r="O578" s="15" t="n">
        <f aca="false">SUMPRODUCT(E578:N578,1/(1+$F$562)^$E$3:$N$3)*$E$2</f>
        <v>33851.7002160838</v>
      </c>
      <c r="P578" s="15" t="n">
        <f aca="false">N578*$E$2*(1+$I$562)/($F$562-$I$562)/(1+$F$562)^$N$3</f>
        <v>52628.7869795993</v>
      </c>
      <c r="Q578" s="15" t="n">
        <f aca="false">O578+P578</f>
        <v>86480.4871956831</v>
      </c>
      <c r="R578" s="15" t="n">
        <f aca="false">Q578-$G$2+$I$2</f>
        <v>80360.4871956831</v>
      </c>
      <c r="S578" s="42" t="n">
        <f aca="false">R578/$K$2</f>
        <v>464.02868227095</v>
      </c>
      <c r="T578" s="43" t="n">
        <f aca="false">S578-$M$2</f>
        <v>-0.112673543809422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0.129928588867188</v>
      </c>
      <c r="C579" s="25" t="n">
        <f aca="false">IF(T578&gt;0,D578,C578)</f>
        <v>0.129974365234375</v>
      </c>
      <c r="D579" s="41" t="n">
        <f aca="false">(B579+C579)/2</f>
        <v>0.129951477050781</v>
      </c>
      <c r="E579" s="15" t="n">
        <f aca="false">$C$2*(1+IF(E$3&lt;=$O$2,$D579,$D579-($D579-$I$562)*MIN(E$3-$O$2,$Q$2)/$Q$2))</f>
        <v>9220.40405273438</v>
      </c>
      <c r="F579" s="15" t="n">
        <f aca="false">E579*(1+IF(F$3&lt;=$O$2,$D579,$D579-($D579-$I$562)*MIN(F$3-$O$2,$Q$2)/$Q$2))</f>
        <v>10418.6091783922</v>
      </c>
      <c r="G579" s="15" t="n">
        <f aca="false">F579*(1+IF(G$3&lt;=$O$2,$D579,$D579-($D579-$I$562)*MIN(G$3-$O$2,$Q$2)/$Q$2))</f>
        <v>11772.5228299391</v>
      </c>
      <c r="H579" s="15" t="n">
        <f aca="false">G579*(1+IF(H$3&lt;=$O$2,$D579,$D579-($D579-$I$562)*MIN(H$3-$O$2,$Q$2)/$Q$2))</f>
        <v>13302.3795603037</v>
      </c>
      <c r="I579" s="15" t="n">
        <f aca="false">H579*(1+IF(I$3&lt;=$O$2,$D579,$D579-($D579-$I$562)*MIN(I$3-$O$2,$Q$2)/$Q$2))</f>
        <v>15031.0434324553</v>
      </c>
      <c r="J579" s="15" t="n">
        <f aca="false">I579*(1+IF(J$3&lt;=$O$2,$D579,$D579-($D579-$I$562)*MIN(J$3-$O$2,$Q$2)/$Q$2))</f>
        <v>16708.8262616776</v>
      </c>
      <c r="K579" s="15" t="n">
        <f aca="false">J579*(1+IF(K$3&lt;=$O$2,$D579,$D579-($D579-$I$562)*MIN(K$3-$O$2,$Q$2)/$Q$2))</f>
        <v>18267.6074715004</v>
      </c>
      <c r="L579" s="15" t="n">
        <f aca="false">K579*(1+IF(L$3&lt;=$O$2,$D579,$D579-($D579-$I$562)*MIN(L$3-$O$2,$Q$2)/$Q$2))</f>
        <v>19636.9581204376</v>
      </c>
      <c r="M579" s="15" t="n">
        <f aca="false">L579*(1+IF(M$3&lt;=$O$2,$D579,$D579-($D579-$I$562)*MIN(M$3-$O$2,$Q$2)/$Q$2))</f>
        <v>20749.0048597549</v>
      </c>
      <c r="N579" s="15" t="n">
        <f aca="false">M579*(1+IF(N$3&lt;=$O$2,$D579,$D579-($D579-$I$562)*MIN(N$3-$O$2,$Q$2)/$Q$2))</f>
        <v>21543.6917458835</v>
      </c>
      <c r="O579" s="15" t="n">
        <f aca="false">SUMPRODUCT(E579:N579,1/(1+$F$562)^$E$3:$N$3)*$E$2</f>
        <v>33855.0304214137</v>
      </c>
      <c r="P579" s="15" t="n">
        <f aca="false">N579*$E$2*(1+$I$562)/($F$562-$I$562)/(1+$F$562)^$N$3</f>
        <v>52636.3220104839</v>
      </c>
      <c r="Q579" s="15" t="n">
        <f aca="false">O579+P579</f>
        <v>86491.3524318976</v>
      </c>
      <c r="R579" s="15" t="n">
        <f aca="false">Q579-$G$2+$I$2</f>
        <v>80371.3524318976</v>
      </c>
      <c r="S579" s="42" t="n">
        <f aca="false">R579/$K$2</f>
        <v>464.09142182641</v>
      </c>
      <c r="T579" s="43" t="n">
        <f aca="false">S579-$M$2</f>
        <v>-0.0499339883495509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0.129951477050781</v>
      </c>
      <c r="C580" s="25" t="n">
        <f aca="false">IF(T579&gt;0,D579,C579)</f>
        <v>0.129974365234375</v>
      </c>
      <c r="D580" s="41" t="n">
        <f aca="false">(B580+C580)/2</f>
        <v>0.129962921142578</v>
      </c>
      <c r="E580" s="15" t="n">
        <f aca="false">$C$2*(1+IF(E$3&lt;=$O$2,$D580,$D580-($D580-$I$562)*MIN(E$3-$O$2,$Q$2)/$Q$2))</f>
        <v>9220.49743652344</v>
      </c>
      <c r="F580" s="15" t="n">
        <f aca="false">E580*(1+IF(F$3&lt;=$O$2,$D580,$D580-($D580-$I$562)*MIN(F$3-$O$2,$Q$2)/$Q$2))</f>
        <v>10418.8202177617</v>
      </c>
      <c r="G580" s="15" t="n">
        <f aca="false">F580*(1+IF(G$3&lt;=$O$2,$D580,$D580-($D580-$I$562)*MIN(G$3-$O$2,$Q$2)/$Q$2))</f>
        <v>11772.8805281213</v>
      </c>
      <c r="H580" s="15" t="n">
        <f aca="false">G580*(1+IF(H$3&lt;=$O$2,$D580,$D580-($D580-$I$562)*MIN(H$3-$O$2,$Q$2)/$Q$2))</f>
        <v>13302.9184718186</v>
      </c>
      <c r="I580" s="15" t="n">
        <f aca="false">H580*(1+IF(I$3&lt;=$O$2,$D580,$D580-($D580-$I$562)*MIN(I$3-$O$2,$Q$2)/$Q$2))</f>
        <v>15031.8046161377</v>
      </c>
      <c r="J580" s="15" t="n">
        <f aca="false">I580*(1+IF(J$3&lt;=$O$2,$D580,$D580-($D580-$I$562)*MIN(J$3-$O$2,$Q$2)/$Q$2))</f>
        <v>16709.8100298635</v>
      </c>
      <c r="K580" s="15" t="n">
        <f aca="false">J580*(1+IF(K$3&lt;=$O$2,$D580,$D580-($D580-$I$562)*MIN(K$3-$O$2,$Q$2)/$Q$2))</f>
        <v>18268.7977534521</v>
      </c>
      <c r="L580" s="15" t="n">
        <f aca="false">K580*(1+IF(L$3&lt;=$O$2,$D580,$D580-($D580-$I$562)*MIN(L$3-$O$2,$Q$2)/$Q$2))</f>
        <v>19638.3212545471</v>
      </c>
      <c r="M580" s="15" t="n">
        <f aca="false">L580*(1+IF(M$3&lt;=$O$2,$D580,$D580-($D580-$I$562)*MIN(M$3-$O$2,$Q$2)/$Q$2))</f>
        <v>20750.4901371019</v>
      </c>
      <c r="N580" s="15" t="n">
        <f aca="false">M580*(1+IF(N$3&lt;=$O$2,$D580,$D580-($D580-$I$562)*MIN(N$3-$O$2,$Q$2)/$Q$2))</f>
        <v>21545.2339093529</v>
      </c>
      <c r="O580" s="15" t="n">
        <f aca="false">SUMPRODUCT(E580:N580,1/(1+$F$562)^$E$3:$N$3)*$E$2</f>
        <v>33856.6956454847</v>
      </c>
      <c r="P580" s="15" t="n">
        <f aca="false">N580*$E$2*(1+$I$562)/($F$562-$I$562)/(1+$F$562)^$N$3</f>
        <v>52640.0898797018</v>
      </c>
      <c r="Q580" s="15" t="n">
        <f aca="false">O580+P580</f>
        <v>86496.7855251866</v>
      </c>
      <c r="R580" s="15" t="n">
        <f aca="false">Q580-$G$2+$I$2</f>
        <v>80376.7855251866</v>
      </c>
      <c r="S580" s="42" t="n">
        <f aca="false">R580/$K$2</f>
        <v>464.122794348</v>
      </c>
      <c r="T580" s="43" t="n">
        <f aca="false">S580-$M$2</f>
        <v>-0.0185614667596496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0.129962921142578</v>
      </c>
      <c r="C581" s="25" t="n">
        <f aca="false">IF(T580&gt;0,D580,C580)</f>
        <v>0.129974365234375</v>
      </c>
      <c r="D581" s="41" t="n">
        <f aca="false">(B581+C581)/2</f>
        <v>0.129968643188477</v>
      </c>
      <c r="E581" s="15" t="n">
        <f aca="false">$C$2*(1+IF(E$3&lt;=$O$2,$D581,$D581-($D581-$I$562)*MIN(E$3-$O$2,$Q$2)/$Q$2))</f>
        <v>9220.54412841797</v>
      </c>
      <c r="F581" s="15" t="n">
        <f aca="false">E581*(1+IF(F$3&lt;=$O$2,$D581,$D581-($D581-$I$562)*MIN(F$3-$O$2,$Q$2)/$Q$2))</f>
        <v>10418.9257382479</v>
      </c>
      <c r="G581" s="15" t="n">
        <f aca="false">F581*(1+IF(G$3&lt;=$O$2,$D581,$D581-($D581-$I$562)*MIN(G$3-$O$2,$Q$2)/$Q$2))</f>
        <v>11773.0593799295</v>
      </c>
      <c r="H581" s="15" t="n">
        <f aca="false">G581*(1+IF(H$3&lt;=$O$2,$D581,$D581-($D581-$I$562)*MIN(H$3-$O$2,$Q$2)/$Q$2))</f>
        <v>13303.1879337163</v>
      </c>
      <c r="I581" s="15" t="n">
        <f aca="false">H581*(1+IF(I$3&lt;=$O$2,$D581,$D581-($D581-$I$562)*MIN(I$3-$O$2,$Q$2)/$Q$2))</f>
        <v>15032.1852195427</v>
      </c>
      <c r="J581" s="15" t="n">
        <f aca="false">I581*(1+IF(J$3&lt;=$O$2,$D581,$D581-($D581-$I$562)*MIN(J$3-$O$2,$Q$2)/$Q$2))</f>
        <v>16710.3019320379</v>
      </c>
      <c r="K581" s="15" t="n">
        <f aca="false">J581*(1+IF(K$3&lt;=$O$2,$D581,$D581-($D581-$I$562)*MIN(K$3-$O$2,$Q$2)/$Q$2))</f>
        <v>18269.3929192628</v>
      </c>
      <c r="L581" s="15" t="n">
        <f aca="false">K581*(1+IF(L$3&lt;=$O$2,$D581,$D581-($D581-$I$562)*MIN(L$3-$O$2,$Q$2)/$Q$2))</f>
        <v>19639.0028523849</v>
      </c>
      <c r="M581" s="15" t="n">
        <f aca="false">L581*(1+IF(M$3&lt;=$O$2,$D581,$D581-($D581-$I$562)*MIN(M$3-$O$2,$Q$2)/$Q$2))</f>
        <v>20751.2328106418</v>
      </c>
      <c r="N581" s="15" t="n">
        <f aca="false">M581*(1+IF(N$3&lt;=$O$2,$D581,$D581-($D581-$I$562)*MIN(N$3-$O$2,$Q$2)/$Q$2))</f>
        <v>21546.0050272894</v>
      </c>
      <c r="O581" s="15" t="n">
        <f aca="false">SUMPRODUCT(E581:N581,1/(1+$F$562)^$E$3:$N$3)*$E$2</f>
        <v>33857.5282878733</v>
      </c>
      <c r="P581" s="15" t="n">
        <f aca="false">N581*$E$2*(1+$I$562)/($F$562-$I$562)/(1+$F$562)^$N$3</f>
        <v>52641.9739027603</v>
      </c>
      <c r="Q581" s="15" t="n">
        <f aca="false">O581+P581</f>
        <v>86499.5021906336</v>
      </c>
      <c r="R581" s="15" t="n">
        <f aca="false">Q581-$G$2+$I$2</f>
        <v>80379.5021906336</v>
      </c>
      <c r="S581" s="42" t="n">
        <f aca="false">R581/$K$2</f>
        <v>464.138481294801</v>
      </c>
      <c r="T581" s="43" t="n">
        <f aca="false">S581-$M$2</f>
        <v>-0.00287451995848187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0.129968643188477</v>
      </c>
      <c r="C582" s="25" t="n">
        <f aca="false">IF(T581&gt;0,D581,C581)</f>
        <v>0.129974365234375</v>
      </c>
      <c r="D582" s="41" t="n">
        <f aca="false">(B582+C582)/2</f>
        <v>0.129971504211426</v>
      </c>
      <c r="E582" s="15" t="n">
        <f aca="false">$C$2*(1+IF(E$3&lt;=$O$2,$D582,$D582-($D582-$I$562)*MIN(E$3-$O$2,$Q$2)/$Q$2))</f>
        <v>9220.56747436523</v>
      </c>
      <c r="F582" s="15" t="n">
        <f aca="false">E582*(1+IF(F$3&lt;=$O$2,$D582,$D582-($D582-$I$562)*MIN(F$3-$O$2,$Q$2)/$Q$2))</f>
        <v>10418.9784986914</v>
      </c>
      <c r="G582" s="15" t="n">
        <f aca="false">F582*(1+IF(G$3&lt;=$O$2,$D582,$D582-($D582-$I$562)*MIN(G$3-$O$2,$Q$2)/$Q$2))</f>
        <v>11773.1488065129</v>
      </c>
      <c r="H582" s="15" t="n">
        <f aca="false">G582*(1+IF(H$3&lt;=$O$2,$D582,$D582-($D582-$I$562)*MIN(H$3-$O$2,$Q$2)/$Q$2))</f>
        <v>13303.3226662003</v>
      </c>
      <c r="I582" s="15" t="n">
        <f aca="false">H582*(1+IF(I$3&lt;=$O$2,$D582,$D582-($D582-$I$562)*MIN(I$3-$O$2,$Q$2)/$Q$2))</f>
        <v>15032.3755241363</v>
      </c>
      <c r="J582" s="15" t="n">
        <f aca="false">I582*(1+IF(J$3&lt;=$O$2,$D582,$D582-($D582-$I$562)*MIN(J$3-$O$2,$Q$2)/$Q$2))</f>
        <v>16710.5478876456</v>
      </c>
      <c r="K582" s="15" t="n">
        <f aca="false">J582*(1+IF(K$3&lt;=$O$2,$D582,$D582-($D582-$I$562)*MIN(K$3-$O$2,$Q$2)/$Q$2))</f>
        <v>18269.6905083769</v>
      </c>
      <c r="L582" s="15" t="n">
        <f aca="false">K582*(1+IF(L$3&lt;=$O$2,$D582,$D582-($D582-$I$562)*MIN(L$3-$O$2,$Q$2)/$Q$2))</f>
        <v>19639.3436589998</v>
      </c>
      <c r="M582" s="15" t="n">
        <f aca="false">L582*(1+IF(M$3&lt;=$O$2,$D582,$D582-($D582-$I$562)*MIN(M$3-$O$2,$Q$2)/$Q$2))</f>
        <v>20751.6041561286</v>
      </c>
      <c r="N582" s="15" t="n">
        <f aca="false">M582*(1+IF(N$3&lt;=$O$2,$D582,$D582-($D582-$I$562)*MIN(N$3-$O$2,$Q$2)/$Q$2))</f>
        <v>21546.3905953084</v>
      </c>
      <c r="O582" s="15" t="n">
        <f aca="false">SUMPRODUCT(E582:N582,1/(1+$F$562)^$E$3:$N$3)*$E$2</f>
        <v>33857.9446166561</v>
      </c>
      <c r="P582" s="15" t="n">
        <f aca="false">N582*$E$2*(1+$I$562)/($F$562-$I$562)/(1+$F$562)^$N$3</f>
        <v>52642.9159364026</v>
      </c>
      <c r="Q582" s="15" t="n">
        <f aca="false">O582+P582</f>
        <v>86500.8605530587</v>
      </c>
      <c r="R582" s="15" t="n">
        <f aca="false">Q582-$G$2+$I$2</f>
        <v>80380.8605530587</v>
      </c>
      <c r="S582" s="42" t="n">
        <f aca="false">R582/$K$2</f>
        <v>464.146324939708</v>
      </c>
      <c r="T582" s="43" t="n">
        <f aca="false">S582-$M$2</f>
        <v>0.00496912494890012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0.129968643188477</v>
      </c>
      <c r="C583" s="25" t="n">
        <f aca="false">IF(T582&gt;0,D582,C582)</f>
        <v>0.129971504211426</v>
      </c>
      <c r="D583" s="41" t="n">
        <f aca="false">(B583+C583)/2</f>
        <v>0.129970073699951</v>
      </c>
      <c r="E583" s="15" t="n">
        <f aca="false">$C$2*(1+IF(E$3&lt;=$O$2,$D583,$D583-($D583-$I$562)*MIN(E$3-$O$2,$Q$2)/$Q$2))</f>
        <v>9220.5558013916</v>
      </c>
      <c r="F583" s="15" t="n">
        <f aca="false">E583*(1+IF(F$3&lt;=$O$2,$D583,$D583-($D583-$I$562)*MIN(F$3-$O$2,$Q$2)/$Q$2))</f>
        <v>10418.952118453</v>
      </c>
      <c r="G583" s="15" t="n">
        <f aca="false">F583*(1+IF(G$3&lt;=$O$2,$D583,$D583-($D583-$I$562)*MIN(G$3-$O$2,$Q$2)/$Q$2))</f>
        <v>11773.1040931646</v>
      </c>
      <c r="H583" s="15" t="n">
        <f aca="false">G583*(1+IF(H$3&lt;=$O$2,$D583,$D583-($D583-$I$562)*MIN(H$3-$O$2,$Q$2)/$Q$2))</f>
        <v>13303.2552998304</v>
      </c>
      <c r="I583" s="15" t="n">
        <f aca="false">H583*(1+IF(I$3&lt;=$O$2,$D583,$D583-($D583-$I$562)*MIN(I$3-$O$2,$Q$2)/$Q$2))</f>
        <v>15032.2803715986</v>
      </c>
      <c r="J583" s="15" t="n">
        <f aca="false">I583*(1+IF(J$3&lt;=$O$2,$D583,$D583-($D583-$I$562)*MIN(J$3-$O$2,$Q$2)/$Q$2))</f>
        <v>16710.424909465</v>
      </c>
      <c r="K583" s="15" t="n">
        <f aca="false">J583*(1+IF(K$3&lt;=$O$2,$D583,$D583-($D583-$I$562)*MIN(K$3-$O$2,$Q$2)/$Q$2))</f>
        <v>18269.5417133024</v>
      </c>
      <c r="L583" s="15" t="n">
        <f aca="false">K583*(1+IF(L$3&lt;=$O$2,$D583,$D583-($D583-$I$562)*MIN(L$3-$O$2,$Q$2)/$Q$2))</f>
        <v>19639.173255051</v>
      </c>
      <c r="M583" s="15" t="n">
        <f aca="false">L583*(1+IF(M$3&lt;=$O$2,$D583,$D583-($D583-$I$562)*MIN(M$3-$O$2,$Q$2)/$Q$2))</f>
        <v>20751.4184826588</v>
      </c>
      <c r="N583" s="15" t="n">
        <f aca="false">M583*(1+IF(N$3&lt;=$O$2,$D583,$D583-($D583-$I$562)*MIN(N$3-$O$2,$Q$2)/$Q$2))</f>
        <v>21546.1978105447</v>
      </c>
      <c r="O583" s="15" t="n">
        <f aca="false">SUMPRODUCT(E583:N583,1/(1+$F$562)^$E$3:$N$3)*$E$2</f>
        <v>33857.7364516323</v>
      </c>
      <c r="P583" s="15" t="n">
        <f aca="false">N583*$E$2*(1+$I$562)/($F$562-$I$562)/(1+$F$562)^$N$3</f>
        <v>52642.4449177386</v>
      </c>
      <c r="Q583" s="15" t="n">
        <f aca="false">O583+P583</f>
        <v>86500.181369371</v>
      </c>
      <c r="R583" s="15" t="n">
        <f aca="false">Q583-$G$2+$I$2</f>
        <v>80380.181369371</v>
      </c>
      <c r="S583" s="42" t="n">
        <f aca="false">R583/$K$2</f>
        <v>464.142403102962</v>
      </c>
      <c r="T583" s="43" t="n">
        <f aca="false">S583-$M$2</f>
        <v>0.00104728820275568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0.129968643188477</v>
      </c>
      <c r="C584" s="25" t="n">
        <f aca="false">IF(T583&gt;0,D583,C583)</f>
        <v>0.129970073699951</v>
      </c>
      <c r="D584" s="41" t="n">
        <f aca="false">(B584+C584)/2</f>
        <v>0.129969358444214</v>
      </c>
      <c r="E584" s="15" t="n">
        <f aca="false">$C$2*(1+IF(E$3&lt;=$O$2,$D584,$D584-($D584-$I$562)*MIN(E$3-$O$2,$Q$2)/$Q$2))</f>
        <v>9220.54996490479</v>
      </c>
      <c r="F584" s="15" t="n">
        <f aca="false">E584*(1+IF(F$3&lt;=$O$2,$D584,$D584-($D584-$I$562)*MIN(F$3-$O$2,$Q$2)/$Q$2))</f>
        <v>10418.9389283463</v>
      </c>
      <c r="G584" s="15" t="n">
        <f aca="false">F584*(1+IF(G$3&lt;=$O$2,$D584,$D584-($D584-$I$562)*MIN(G$3-$O$2,$Q$2)/$Q$2))</f>
        <v>11773.0817365329</v>
      </c>
      <c r="H584" s="15" t="n">
        <f aca="false">G584*(1+IF(H$3&lt;=$O$2,$D584,$D584-($D584-$I$562)*MIN(H$3-$O$2,$Q$2)/$Q$2))</f>
        <v>13303.2216167414</v>
      </c>
      <c r="I584" s="15" t="n">
        <f aca="false">H584*(1+IF(I$3&lt;=$O$2,$D584,$D584-($D584-$I$562)*MIN(I$3-$O$2,$Q$2)/$Q$2))</f>
        <v>15032.2327955104</v>
      </c>
      <c r="J584" s="15" t="n">
        <f aca="false">I584*(1+IF(J$3&lt;=$O$2,$D584,$D584-($D584-$I$562)*MIN(J$3-$O$2,$Q$2)/$Q$2))</f>
        <v>16710.3634206573</v>
      </c>
      <c r="K584" s="15" t="n">
        <f aca="false">J584*(1+IF(K$3&lt;=$O$2,$D584,$D584-($D584-$I$562)*MIN(K$3-$O$2,$Q$2)/$Q$2))</f>
        <v>18269.4673161533</v>
      </c>
      <c r="L584" s="15" t="n">
        <f aca="false">K584*(1+IF(L$3&lt;=$O$2,$D584,$D584-($D584-$I$562)*MIN(L$3-$O$2,$Q$2)/$Q$2))</f>
        <v>19639.0880535576</v>
      </c>
      <c r="M584" s="15" t="n">
        <f aca="false">L584*(1+IF(M$3&lt;=$O$2,$D584,$D584-($D584-$I$562)*MIN(M$3-$O$2,$Q$2)/$Q$2))</f>
        <v>20751.3256464687</v>
      </c>
      <c r="N584" s="15" t="n">
        <f aca="false">M584*(1+IF(N$3&lt;=$O$2,$D584,$D584-($D584-$I$562)*MIN(N$3-$O$2,$Q$2)/$Q$2))</f>
        <v>21546.1014187285</v>
      </c>
      <c r="O584" s="15" t="n">
        <f aca="false">SUMPRODUCT(E584:N584,1/(1+$F$562)^$E$3:$N$3)*$E$2</f>
        <v>33857.6323695947</v>
      </c>
      <c r="P584" s="15" t="n">
        <f aca="false">N584*$E$2*(1+$I$562)/($F$562-$I$562)/(1+$F$562)^$N$3</f>
        <v>52642.2094097888</v>
      </c>
      <c r="Q584" s="15" t="n">
        <f aca="false">O584+P584</f>
        <v>86499.8417793835</v>
      </c>
      <c r="R584" s="15" t="n">
        <f aca="false">Q584-$G$2+$I$2</f>
        <v>80379.8417793835</v>
      </c>
      <c r="S584" s="42" t="n">
        <f aca="false">R584/$K$2</f>
        <v>464.140442195308</v>
      </c>
      <c r="T584" s="43" t="n">
        <f aca="false">S584-$M$2</f>
        <v>-0.000913619450841452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0.129969358444214</v>
      </c>
      <c r="C585" s="25" t="n">
        <f aca="false">IF(T584&gt;0,D584,C584)</f>
        <v>0.129970073699951</v>
      </c>
      <c r="D585" s="41" t="n">
        <f aca="false">(B585+C585)/2</f>
        <v>0.129969716072083</v>
      </c>
      <c r="E585" s="15" t="n">
        <f aca="false">$C$2*(1+IF(E$3&lt;=$O$2,$D585,$D585-($D585-$I$562)*MIN(E$3-$O$2,$Q$2)/$Q$2))</f>
        <v>9220.55288314819</v>
      </c>
      <c r="F585" s="15" t="n">
        <f aca="false">E585*(1+IF(F$3&lt;=$O$2,$D585,$D585-($D585-$I$562)*MIN(F$3-$O$2,$Q$2)/$Q$2))</f>
        <v>10418.9455233986</v>
      </c>
      <c r="G585" s="15" t="n">
        <f aca="false">F585*(1+IF(G$3&lt;=$O$2,$D585,$D585-($D585-$I$562)*MIN(G$3-$O$2,$Q$2)/$Q$2))</f>
        <v>11773.0929148452</v>
      </c>
      <c r="H585" s="15" t="n">
        <f aca="false">G585*(1+IF(H$3&lt;=$O$2,$D585,$D585-($D585-$I$562)*MIN(H$3-$O$2,$Q$2)/$Q$2))</f>
        <v>13303.2384582779</v>
      </c>
      <c r="I585" s="15" t="n">
        <f aca="false">H585*(1+IF(I$3&lt;=$O$2,$D585,$D585-($D585-$I$562)*MIN(I$3-$O$2,$Q$2)/$Q$2))</f>
        <v>15032.2565835395</v>
      </c>
      <c r="J585" s="15" t="n">
        <f aca="false">I585*(1+IF(J$3&lt;=$O$2,$D585,$D585-($D585-$I$562)*MIN(J$3-$O$2,$Q$2)/$Q$2))</f>
        <v>16710.3941650376</v>
      </c>
      <c r="K585" s="15" t="n">
        <f aca="false">J585*(1+IF(K$3&lt;=$O$2,$D585,$D585-($D585-$I$562)*MIN(K$3-$O$2,$Q$2)/$Q$2))</f>
        <v>18269.5045146955</v>
      </c>
      <c r="L585" s="15" t="n">
        <f aca="false">K585*(1+IF(L$3&lt;=$O$2,$D585,$D585-($D585-$I$562)*MIN(L$3-$O$2,$Q$2)/$Q$2))</f>
        <v>19639.1306542643</v>
      </c>
      <c r="M585" s="15" t="n">
        <f aca="false">L585*(1+IF(M$3&lt;=$O$2,$D585,$D585-($D585-$I$562)*MIN(M$3-$O$2,$Q$2)/$Q$2))</f>
        <v>20751.3720645184</v>
      </c>
      <c r="N585" s="15" t="n">
        <f aca="false">M585*(1+IF(N$3&lt;=$O$2,$D585,$D585-($D585-$I$562)*MIN(N$3-$O$2,$Q$2)/$Q$2))</f>
        <v>21546.1496145894</v>
      </c>
      <c r="O585" s="15" t="n">
        <f aca="false">SUMPRODUCT(E585:N585,1/(1+$F$562)^$E$3:$N$3)*$E$2</f>
        <v>33857.684410574</v>
      </c>
      <c r="P585" s="15" t="n">
        <f aca="false">N585*$E$2*(1+$I$562)/($F$562-$I$562)/(1+$F$562)^$N$3</f>
        <v>52642.3271636485</v>
      </c>
      <c r="Q585" s="15" t="n">
        <f aca="false">O585+P585</f>
        <v>86500.0115742225</v>
      </c>
      <c r="R585" s="15" t="n">
        <f aca="false">Q585-$G$2+$I$2</f>
        <v>80380.0115742225</v>
      </c>
      <c r="S585" s="42" t="n">
        <f aca="false">R585/$K$2</f>
        <v>464.141422648242</v>
      </c>
      <c r="T585" s="43" t="n">
        <f aca="false">S585-$M$2</f>
        <v>6.6833482662787E-005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0.129969358444214</v>
      </c>
      <c r="C586" s="25" t="n">
        <f aca="false">IF(T585&gt;0,D585,C585)</f>
        <v>0.129969716072083</v>
      </c>
      <c r="D586" s="41" t="n">
        <f aca="false">(B586+C586)/2</f>
        <v>0.129969537258148</v>
      </c>
      <c r="E586" s="15" t="n">
        <f aca="false">$C$2*(1+IF(E$3&lt;=$O$2,$D586,$D586-($D586-$I$562)*MIN(E$3-$O$2,$Q$2)/$Q$2))</f>
        <v>9220.55142402649</v>
      </c>
      <c r="F586" s="15" t="n">
        <f aca="false">E586*(1+IF(F$3&lt;=$O$2,$D586,$D586-($D586-$I$562)*MIN(F$3-$O$2,$Q$2)/$Q$2))</f>
        <v>10418.9422258722</v>
      </c>
      <c r="G586" s="15" t="n">
        <f aca="false">F586*(1+IF(G$3&lt;=$O$2,$D586,$D586-($D586-$I$562)*MIN(G$3-$O$2,$Q$2)/$Q$2))</f>
        <v>11773.0873256882</v>
      </c>
      <c r="H586" s="15" t="n">
        <f aca="false">G586*(1+IF(H$3&lt;=$O$2,$D586,$D586-($D586-$I$562)*MIN(H$3-$O$2,$Q$2)/$Q$2))</f>
        <v>13303.2300375076</v>
      </c>
      <c r="I586" s="15" t="n">
        <f aca="false">H586*(1+IF(I$3&lt;=$O$2,$D586,$D586-($D586-$I$562)*MIN(I$3-$O$2,$Q$2)/$Q$2))</f>
        <v>15032.2446895212</v>
      </c>
      <c r="J586" s="15" t="n">
        <f aca="false">I586*(1+IF(J$3&lt;=$O$2,$D586,$D586-($D586-$I$562)*MIN(J$3-$O$2,$Q$2)/$Q$2))</f>
        <v>16710.3787928416</v>
      </c>
      <c r="K586" s="15" t="n">
        <f aca="false">J586*(1+IF(K$3&lt;=$O$2,$D586,$D586-($D586-$I$562)*MIN(K$3-$O$2,$Q$2)/$Q$2))</f>
        <v>18269.4859154163</v>
      </c>
      <c r="L586" s="15" t="n">
        <f aca="false">K586*(1+IF(L$3&lt;=$O$2,$D586,$D586-($D586-$I$562)*MIN(L$3-$O$2,$Q$2)/$Q$2))</f>
        <v>19639.1093539009</v>
      </c>
      <c r="M586" s="15" t="n">
        <f aca="false">L586*(1+IF(M$3&lt;=$O$2,$D586,$D586-($D586-$I$562)*MIN(M$3-$O$2,$Q$2)/$Q$2))</f>
        <v>20751.3488554822</v>
      </c>
      <c r="N586" s="15" t="n">
        <f aca="false">M586*(1+IF(N$3&lt;=$O$2,$D586,$D586-($D586-$I$562)*MIN(N$3-$O$2,$Q$2)/$Q$2))</f>
        <v>21546.1255166472</v>
      </c>
      <c r="O586" s="15" t="n">
        <f aca="false">SUMPRODUCT(E586:N586,1/(1+$F$562)^$E$3:$N$3)*$E$2</f>
        <v>33857.6583900745</v>
      </c>
      <c r="P586" s="15" t="n">
        <f aca="false">N586*$E$2*(1+$I$562)/($F$562-$I$562)/(1+$F$562)^$N$3</f>
        <v>52642.2682866899</v>
      </c>
      <c r="Q586" s="15" t="n">
        <f aca="false">O586+P586</f>
        <v>86499.9266767643</v>
      </c>
      <c r="R586" s="15" t="n">
        <f aca="false">Q586-$G$2+$I$2</f>
        <v>80379.9266767643</v>
      </c>
      <c r="S586" s="42" t="n">
        <f aca="false">R586/$K$2</f>
        <v>464.140932421552</v>
      </c>
      <c r="T586" s="43" t="n">
        <f aca="false">S586-$M$2</f>
        <v>-0.000423393207427125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0.129969537258148</v>
      </c>
      <c r="C587" s="25" t="n">
        <f aca="false">IF(T586&gt;0,D586,C586)</f>
        <v>0.129969716072083</v>
      </c>
      <c r="D587" s="41" t="n">
        <f aca="false">(B587+C587)/2</f>
        <v>0.129969626665115</v>
      </c>
      <c r="E587" s="15" t="n">
        <f aca="false">$C$2*(1+IF(E$3&lt;=$O$2,$D587,$D587-($D587-$I$562)*MIN(E$3-$O$2,$Q$2)/$Q$2))</f>
        <v>9220.55215358734</v>
      </c>
      <c r="F587" s="15" t="n">
        <f aca="false">E587*(1+IF(F$3&lt;=$O$2,$D587,$D587-($D587-$I$562)*MIN(F$3-$O$2,$Q$2)/$Q$2))</f>
        <v>10418.9438746353</v>
      </c>
      <c r="G587" s="15" t="n">
        <f aca="false">F587*(1+IF(G$3&lt;=$O$2,$D587,$D587-($D587-$I$562)*MIN(G$3-$O$2,$Q$2)/$Q$2))</f>
        <v>11773.0901202665</v>
      </c>
      <c r="H587" s="15" t="n">
        <f aca="false">G587*(1+IF(H$3&lt;=$O$2,$D587,$D587-($D587-$I$562)*MIN(H$3-$O$2,$Q$2)/$Q$2))</f>
        <v>13303.2342478922</v>
      </c>
      <c r="I587" s="15" t="n">
        <f aca="false">H587*(1+IF(I$3&lt;=$O$2,$D587,$D587-($D587-$I$562)*MIN(I$3-$O$2,$Q$2)/$Q$2))</f>
        <v>15032.2506365294</v>
      </c>
      <c r="J587" s="15" t="n">
        <f aca="false">I587*(1+IF(J$3&lt;=$O$2,$D587,$D587-($D587-$I$562)*MIN(J$3-$O$2,$Q$2)/$Q$2))</f>
        <v>16710.3864789381</v>
      </c>
      <c r="K587" s="15" t="n">
        <f aca="false">J587*(1+IF(K$3&lt;=$O$2,$D587,$D587-($D587-$I$562)*MIN(K$3-$O$2,$Q$2)/$Q$2))</f>
        <v>18269.4952150539</v>
      </c>
      <c r="L587" s="15" t="n">
        <f aca="false">K587*(1+IF(L$3&lt;=$O$2,$D587,$D587-($D587-$I$562)*MIN(L$3-$O$2,$Q$2)/$Q$2))</f>
        <v>19639.1200040801</v>
      </c>
      <c r="M587" s="15" t="n">
        <f aca="false">L587*(1+IF(M$3&lt;=$O$2,$D587,$D587-($D587-$I$562)*MIN(M$3-$O$2,$Q$2)/$Q$2))</f>
        <v>20751.3604599974</v>
      </c>
      <c r="N587" s="15" t="n">
        <f aca="false">M587*(1+IF(N$3&lt;=$O$2,$D587,$D587-($D587-$I$562)*MIN(N$3-$O$2,$Q$2)/$Q$2))</f>
        <v>21546.1375656153</v>
      </c>
      <c r="O587" s="15" t="n">
        <f aca="false">SUMPRODUCT(E587:N587,1/(1+$F$562)^$E$3:$N$3)*$E$2</f>
        <v>33857.6714003218</v>
      </c>
      <c r="P587" s="15" t="n">
        <f aca="false">N587*$E$2*(1+$I$562)/($F$562-$I$562)/(1+$F$562)^$N$3</f>
        <v>52642.297725162</v>
      </c>
      <c r="Q587" s="15" t="n">
        <f aca="false">O587+P587</f>
        <v>86499.9691254838</v>
      </c>
      <c r="R587" s="15" t="n">
        <f aca="false">Q587-$G$2+$I$2</f>
        <v>80379.9691254838</v>
      </c>
      <c r="S587" s="42" t="n">
        <f aca="false">R587/$K$2</f>
        <v>464.141177534841</v>
      </c>
      <c r="T587" s="43" t="n">
        <f aca="false">S587-$M$2</f>
        <v>-0.000178279918145563</v>
      </c>
    </row>
    <row r="589" customFormat="false" ht="15" hidden="false" customHeight="false" outlineLevel="0" collapsed="false">
      <c r="A589" s="38" t="s">
        <v>202</v>
      </c>
      <c r="E589" s="5" t="s">
        <v>11</v>
      </c>
      <c r="F589" s="12" t="n">
        <f aca="false">Sensitivity!$B$14</f>
        <v>0.105316051923387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162</v>
      </c>
      <c r="B590" s="28" t="s">
        <v>163</v>
      </c>
      <c r="C590" s="28" t="s">
        <v>164</v>
      </c>
      <c r="D590" s="28" t="s">
        <v>165</v>
      </c>
      <c r="E590" s="28" t="s">
        <v>166</v>
      </c>
      <c r="F590" s="28" t="s">
        <v>167</v>
      </c>
      <c r="G590" s="28" t="s">
        <v>168</v>
      </c>
      <c r="H590" s="28" t="s">
        <v>169</v>
      </c>
      <c r="I590" s="28" t="s">
        <v>170</v>
      </c>
      <c r="J590" s="28" t="s">
        <v>171</v>
      </c>
      <c r="K590" s="28" t="s">
        <v>172</v>
      </c>
      <c r="L590" s="28" t="s">
        <v>173</v>
      </c>
      <c r="M590" s="28" t="s">
        <v>174</v>
      </c>
      <c r="N590" s="28" t="s">
        <v>175</v>
      </c>
      <c r="O590" s="28" t="s">
        <v>176</v>
      </c>
      <c r="P590" s="28" t="s">
        <v>177</v>
      </c>
      <c r="Q590" s="28" t="s">
        <v>178</v>
      </c>
      <c r="R590" s="28" t="s">
        <v>179</v>
      </c>
      <c r="S590" s="28" t="s">
        <v>180</v>
      </c>
      <c r="T590" s="28" t="s">
        <v>181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10200</v>
      </c>
      <c r="F591" s="15" t="n">
        <f aca="false">E591*(1+IF(F$3&lt;=$O$2,$D591,$D591-($D591-$I$589)*MIN(F$3-$O$2,$Q$2)/$Q$2))</f>
        <v>12750</v>
      </c>
      <c r="G591" s="15" t="n">
        <f aca="false">F591*(1+IF(G$3&lt;=$O$2,$D591,$D591-($D591-$I$589)*MIN(G$3-$O$2,$Q$2)/$Q$2))</f>
        <v>15937.5</v>
      </c>
      <c r="H591" s="15" t="n">
        <f aca="false">G591*(1+IF(H$3&lt;=$O$2,$D591,$D591-($D591-$I$589)*MIN(H$3-$O$2,$Q$2)/$Q$2))</f>
        <v>19921.875</v>
      </c>
      <c r="I591" s="15" t="n">
        <f aca="false">H591*(1+IF(I$3&lt;=$O$2,$D591,$D591-($D591-$I$589)*MIN(I$3-$O$2,$Q$2)/$Q$2))</f>
        <v>24902.34375</v>
      </c>
      <c r="J591" s="15" t="n">
        <f aca="false">I591*(1+IF(J$3&lt;=$O$2,$D591,$D591-($D591-$I$589)*MIN(J$3-$O$2,$Q$2)/$Q$2))</f>
        <v>29973.955078125</v>
      </c>
      <c r="K591" s="15" t="n">
        <f aca="false">J591*(1+IF(K$3&lt;=$O$2,$D591,$D591-($D591-$I$589)*MIN(K$3-$O$2,$Q$2)/$Q$2))</f>
        <v>34689.4576910156</v>
      </c>
      <c r="L591" s="15" t="n">
        <f aca="false">K591*(1+IF(L$3&lt;=$O$2,$D591,$D591-($D591-$I$589)*MIN(L$3-$O$2,$Q$2)/$Q$2))</f>
        <v>38539.2937055645</v>
      </c>
      <c r="M591" s="15" t="n">
        <f aca="false">L591*(1+IF(M$3&lt;=$O$2,$D591,$D591-($D591-$I$589)*MIN(M$3-$O$2,$Q$2)/$Q$2))</f>
        <v>41030.4736506922</v>
      </c>
      <c r="N591" s="15" t="n">
        <f aca="false">M591*(1+IF(N$3&lt;=$O$2,$D591,$D591-($D591-$I$589)*MIN(N$3-$O$2,$Q$2)/$Q$2))</f>
        <v>41781.3313184999</v>
      </c>
      <c r="O591" s="15" t="n">
        <f aca="false">SUMPRODUCT(E591:N591,1/(1+$F$589)^$E$3:$N$3)*$E$2</f>
        <v>54231.3178720735</v>
      </c>
      <c r="P591" s="15" t="n">
        <f aca="false">N591*$E$2*(1+$I$589)/($F$589-$I$589)/(1+$F$589)^$N$3</f>
        <v>68189.1110223092</v>
      </c>
      <c r="Q591" s="15" t="n">
        <f aca="false">O591+P591</f>
        <v>122420.428894383</v>
      </c>
      <c r="R591" s="15" t="n">
        <f aca="false">Q591-$G$2+$I$2</f>
        <v>116300.428894383</v>
      </c>
      <c r="S591" s="42" t="n">
        <f aca="false">R591/$K$2</f>
        <v>671.558083464504</v>
      </c>
      <c r="T591" s="43" t="n">
        <f aca="false">S591-$M$2</f>
        <v>207.416727649745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7140</v>
      </c>
      <c r="F592" s="15" t="n">
        <f aca="false">E592*(1+IF(F$3&lt;=$O$2,$D592,$D592-($D592-$I$589)*MIN(F$3-$O$2,$Q$2)/$Q$2))</f>
        <v>6247.5</v>
      </c>
      <c r="G592" s="15" t="n">
        <f aca="false">F592*(1+IF(G$3&lt;=$O$2,$D592,$D592-($D592-$I$589)*MIN(G$3-$O$2,$Q$2)/$Q$2))</f>
        <v>5466.5625</v>
      </c>
      <c r="H592" s="15" t="n">
        <f aca="false">G592*(1+IF(H$3&lt;=$O$2,$D592,$D592-($D592-$I$589)*MIN(H$3-$O$2,$Q$2)/$Q$2))</f>
        <v>4783.2421875</v>
      </c>
      <c r="I592" s="15" t="n">
        <f aca="false">H592*(1+IF(I$3&lt;=$O$2,$D592,$D592-($D592-$I$589)*MIN(I$3-$O$2,$Q$2)/$Q$2))</f>
        <v>4185.3369140625</v>
      </c>
      <c r="J592" s="15" t="n">
        <f aca="false">I592*(1+IF(J$3&lt;=$O$2,$D592,$D592-($D592-$I$589)*MIN(J$3-$O$2,$Q$2)/$Q$2))</f>
        <v>3782.12155576172</v>
      </c>
      <c r="K592" s="15" t="n">
        <f aca="false">J592*(1+IF(K$3&lt;=$O$2,$D592,$D592-($D592-$I$589)*MIN(K$3-$O$2,$Q$2)/$Q$2))</f>
        <v>3526.14756886777</v>
      </c>
      <c r="L592" s="15" t="n">
        <f aca="false">K592*(1+IF(L$3&lt;=$O$2,$D592,$D592-($D592-$I$589)*MIN(L$3-$O$2,$Q$2)/$Q$2))</f>
        <v>3388.55729073055</v>
      </c>
      <c r="M592" s="15" t="n">
        <f aca="false">L592*(1+IF(M$3&lt;=$O$2,$D592,$D592-($D592-$I$589)*MIN(M$3-$O$2,$Q$2)/$Q$2))</f>
        <v>3353.45183719858</v>
      </c>
      <c r="N592" s="15" t="n">
        <f aca="false">M592*(1+IF(N$3&lt;=$O$2,$D592,$D592-($D592-$I$589)*MIN(N$3-$O$2,$Q$2)/$Q$2))</f>
        <v>3414.82000581931</v>
      </c>
      <c r="O592" s="15" t="n">
        <f aca="false">SUMPRODUCT(E592:N592,1/(1+$F$589)^$E$3:$N$3)*$E$2</f>
        <v>11131.1948364286</v>
      </c>
      <c r="P592" s="15" t="n">
        <f aca="false">N592*$E$2*(1+$I$589)/($F$589-$I$589)/(1+$F$589)^$N$3</f>
        <v>5573.14793832127</v>
      </c>
      <c r="Q592" s="15" t="n">
        <f aca="false">O592+P592</f>
        <v>16704.3427747498</v>
      </c>
      <c r="R592" s="15" t="n">
        <f aca="false">Q592-$G$2+$I$2</f>
        <v>10584.3427747498</v>
      </c>
      <c r="S592" s="42" t="n">
        <f aca="false">R592/$K$2</f>
        <v>61.1175815610915</v>
      </c>
      <c r="T592" s="43" t="n">
        <f aca="false">S592-$M$2</f>
        <v>-403.023774253668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8670</v>
      </c>
      <c r="F593" s="15" t="n">
        <f aca="false">E593*(1+IF(F$3&lt;=$O$2,$D593,$D593-($D593-$I$589)*MIN(F$3-$O$2,$Q$2)/$Q$2))</f>
        <v>9211.875</v>
      </c>
      <c r="G593" s="15" t="n">
        <f aca="false">F593*(1+IF(G$3&lt;=$O$2,$D593,$D593-($D593-$I$589)*MIN(G$3-$O$2,$Q$2)/$Q$2))</f>
        <v>9787.6171875</v>
      </c>
      <c r="H593" s="15" t="n">
        <f aca="false">G593*(1+IF(H$3&lt;=$O$2,$D593,$D593-($D593-$I$589)*MIN(H$3-$O$2,$Q$2)/$Q$2))</f>
        <v>10399.3432617188</v>
      </c>
      <c r="I593" s="15" t="n">
        <f aca="false">H593*(1+IF(I$3&lt;=$O$2,$D593,$D593-($D593-$I$589)*MIN(I$3-$O$2,$Q$2)/$Q$2))</f>
        <v>11049.3022155762</v>
      </c>
      <c r="J593" s="15" t="n">
        <f aca="false">I593*(1+IF(J$3&lt;=$O$2,$D593,$D593-($D593-$I$589)*MIN(J$3-$O$2,$Q$2)/$Q$2))</f>
        <v>11642.207772464</v>
      </c>
      <c r="K593" s="15" t="n">
        <f aca="false">J593*(1+IF(K$3&lt;=$O$2,$D593,$D593-($D593-$I$589)*MIN(K$3-$O$2,$Q$2)/$Q$2))</f>
        <v>12164.0115248258</v>
      </c>
      <c r="L593" s="15" t="n">
        <f aca="false">K593*(1+IF(L$3&lt;=$O$2,$D593,$D593-($D593-$I$589)*MIN(L$3-$O$2,$Q$2)/$Q$2))</f>
        <v>12601.6726594891</v>
      </c>
      <c r="M593" s="15" t="n">
        <f aca="false">L593*(1+IF(M$3&lt;=$O$2,$D593,$D593-($D593-$I$589)*MIN(M$3-$O$2,$Q$2)/$Q$2))</f>
        <v>12943.6820554676</v>
      </c>
      <c r="N593" s="15" t="n">
        <f aca="false">M593*(1+IF(N$3&lt;=$O$2,$D593,$D593-($D593-$I$589)*MIN(N$3-$O$2,$Q$2)/$Q$2))</f>
        <v>13180.5514370826</v>
      </c>
      <c r="O593" s="15" t="n">
        <f aca="false">SUMPRODUCT(E593:N593,1/(1+$F$589)^$E$3:$N$3)*$E$2</f>
        <v>24472.8826825416</v>
      </c>
      <c r="P593" s="15" t="n">
        <f aca="false">N593*$E$2*(1+$I$589)/($F$589-$I$589)/(1+$F$589)^$N$3</f>
        <v>21511.2840332239</v>
      </c>
      <c r="Q593" s="15" t="n">
        <f aca="false">O593+P593</f>
        <v>45984.1667157656</v>
      </c>
      <c r="R593" s="15" t="n">
        <f aca="false">Q593-$G$2+$I$2</f>
        <v>39864.1667157656</v>
      </c>
      <c r="S593" s="42" t="n">
        <f aca="false">R593/$K$2</f>
        <v>230.189206119446</v>
      </c>
      <c r="T593" s="43" t="n">
        <f aca="false">S593-$M$2</f>
        <v>-233.952149695314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9435</v>
      </c>
      <c r="F594" s="15" t="n">
        <f aca="false">E594*(1+IF(F$3&lt;=$O$2,$D594,$D594-($D594-$I$589)*MIN(F$3-$O$2,$Q$2)/$Q$2))</f>
        <v>10909.21875</v>
      </c>
      <c r="G594" s="15" t="n">
        <f aca="false">F594*(1+IF(G$3&lt;=$O$2,$D594,$D594-($D594-$I$589)*MIN(G$3-$O$2,$Q$2)/$Q$2))</f>
        <v>12613.7841796875</v>
      </c>
      <c r="H594" s="15" t="n">
        <f aca="false">G594*(1+IF(H$3&lt;=$O$2,$D594,$D594-($D594-$I$589)*MIN(H$3-$O$2,$Q$2)/$Q$2))</f>
        <v>14584.6879577637</v>
      </c>
      <c r="I594" s="15" t="n">
        <f aca="false">H594*(1+IF(I$3&lt;=$O$2,$D594,$D594-($D594-$I$589)*MIN(I$3-$O$2,$Q$2)/$Q$2))</f>
        <v>16863.5454511642</v>
      </c>
      <c r="J594" s="15" t="n">
        <f aca="false">I594*(1+IF(J$3&lt;=$O$2,$D594,$D594-($D594-$I$589)*MIN(J$3-$O$2,$Q$2)/$Q$2))</f>
        <v>19033.209208911</v>
      </c>
      <c r="K594" s="15" t="n">
        <f aca="false">J594*(1+IF(K$3&lt;=$O$2,$D594,$D594-($D594-$I$589)*MIN(K$3-$O$2,$Q$2)/$Q$2))</f>
        <v>20956.8956636557</v>
      </c>
      <c r="L594" s="15" t="n">
        <f aca="false">K594*(1+IF(L$3&lt;=$O$2,$D594,$D594-($D594-$I$589)*MIN(L$3-$O$2,$Q$2)/$Q$2))</f>
        <v>22496.8083570211</v>
      </c>
      <c r="M594" s="15" t="n">
        <f aca="false">L594*(1+IF(M$3&lt;=$O$2,$D594,$D594-($D594-$I$589)*MIN(M$3-$O$2,$Q$2)/$Q$2))</f>
        <v>23529.1868925248</v>
      </c>
      <c r="N594" s="15" t="n">
        <f aca="false">M594*(1+IF(N$3&lt;=$O$2,$D594,$D594-($D594-$I$589)*MIN(N$3-$O$2,$Q$2)/$Q$2))</f>
        <v>23959.771012658</v>
      </c>
      <c r="O594" s="15" t="n">
        <f aca="false">SUMPRODUCT(E594:N594,1/(1+$F$589)^$E$3:$N$3)*$E$2</f>
        <v>36475.0899006364</v>
      </c>
      <c r="P594" s="15" t="n">
        <f aca="false">N594*$E$2*(1+$I$589)/($F$589-$I$589)/(1+$F$589)^$N$3</f>
        <v>39103.4807674458</v>
      </c>
      <c r="Q594" s="15" t="n">
        <f aca="false">O594+P594</f>
        <v>75578.5706680822</v>
      </c>
      <c r="R594" s="15" t="n">
        <f aca="false">Q594-$G$2+$I$2</f>
        <v>69458.5706680822</v>
      </c>
      <c r="S594" s="42" t="n">
        <f aca="false">R594/$K$2</f>
        <v>401.077322254776</v>
      </c>
      <c r="T594" s="43" t="n">
        <f aca="false">S594-$M$2</f>
        <v>-63.0640335599828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0.15625</v>
      </c>
      <c r="C595" s="25" t="n">
        <f aca="false">IF(T594&gt;0,D594,C594)</f>
        <v>0.25</v>
      </c>
      <c r="D595" s="41" t="n">
        <f aca="false">(B595+C595)/2</f>
        <v>0.203125</v>
      </c>
      <c r="E595" s="15" t="n">
        <f aca="false">$C$2*(1+IF(E$3&lt;=$O$2,$D595,$D595-($D595-$I$589)*MIN(E$3-$O$2,$Q$2)/$Q$2))</f>
        <v>9817.5</v>
      </c>
      <c r="F595" s="15" t="n">
        <f aca="false">E595*(1+IF(F$3&lt;=$O$2,$D595,$D595-($D595-$I$589)*MIN(F$3-$O$2,$Q$2)/$Q$2))</f>
        <v>11811.6796875</v>
      </c>
      <c r="G595" s="15" t="n">
        <f aca="false">F595*(1+IF(G$3&lt;=$O$2,$D595,$D595-($D595-$I$589)*MIN(G$3-$O$2,$Q$2)/$Q$2))</f>
        <v>14210.9271240234</v>
      </c>
      <c r="H595" s="15" t="n">
        <f aca="false">G595*(1+IF(H$3&lt;=$O$2,$D595,$D595-($D595-$I$589)*MIN(H$3-$O$2,$Q$2)/$Q$2))</f>
        <v>17097.5216960907</v>
      </c>
      <c r="I595" s="15" t="n">
        <f aca="false">H595*(1+IF(I$3&lt;=$O$2,$D595,$D595-($D595-$I$589)*MIN(I$3-$O$2,$Q$2)/$Q$2))</f>
        <v>20570.4557906091</v>
      </c>
      <c r="J595" s="15" t="n">
        <f aca="false">I595*(1+IF(J$3&lt;=$O$2,$D595,$D595-($D595-$I$589)*MIN(J$3-$O$2,$Q$2)/$Q$2))</f>
        <v>23988.4427247767</v>
      </c>
      <c r="K595" s="15" t="n">
        <f aca="false">J595*(1+IF(K$3&lt;=$O$2,$D595,$D595-($D595-$I$589)*MIN(K$3-$O$2,$Q$2)/$Q$2))</f>
        <v>27087.6295826043</v>
      </c>
      <c r="L595" s="15" t="n">
        <f aca="false">K595*(1+IF(L$3&lt;=$O$2,$D595,$D595-($D595-$I$589)*MIN(L$3-$O$2,$Q$2)/$Q$2))</f>
        <v>29585.9216590079</v>
      </c>
      <c r="M595" s="15" t="n">
        <f aca="false">L595*(1+IF(M$3&lt;=$O$2,$D595,$D595-($D595-$I$589)*MIN(M$3-$O$2,$Q$2)/$Q$2))</f>
        <v>31220.9876194929</v>
      </c>
      <c r="N595" s="15" t="n">
        <f aca="false">M595*(1+IF(N$3&lt;=$O$2,$D595,$D595-($D595-$I$589)*MIN(N$3-$O$2,$Q$2)/$Q$2))</f>
        <v>31792.3316929296</v>
      </c>
      <c r="O595" s="15" t="n">
        <f aca="false">SUMPRODUCT(E595:N595,1/(1+$F$589)^$E$3:$N$3)*$E$2</f>
        <v>44499.7618654491</v>
      </c>
      <c r="P595" s="15" t="n">
        <f aca="false">N595*$E$2*(1+$I$589)/($F$589-$I$589)/(1+$F$589)^$N$3</f>
        <v>51886.5906627385</v>
      </c>
      <c r="Q595" s="15" t="n">
        <f aca="false">O595+P595</f>
        <v>96386.3525281876</v>
      </c>
      <c r="R595" s="15" t="n">
        <f aca="false">Q595-$G$2+$I$2</f>
        <v>90266.3525281876</v>
      </c>
      <c r="S595" s="42" t="n">
        <f aca="false">R595/$K$2</f>
        <v>521.228505186439</v>
      </c>
      <c r="T595" s="43" t="n">
        <f aca="false">S595-$M$2</f>
        <v>57.0871493716802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0.15625</v>
      </c>
      <c r="C596" s="25" t="n">
        <f aca="false">IF(T595&gt;0,D595,C595)</f>
        <v>0.203125</v>
      </c>
      <c r="D596" s="41" t="n">
        <f aca="false">(B596+C596)/2</f>
        <v>0.1796875</v>
      </c>
      <c r="E596" s="15" t="n">
        <f aca="false">$C$2*(1+IF(E$3&lt;=$O$2,$D596,$D596-($D596-$I$589)*MIN(E$3-$O$2,$Q$2)/$Q$2))</f>
        <v>9626.25</v>
      </c>
      <c r="F596" s="15" t="n">
        <f aca="false">E596*(1+IF(F$3&lt;=$O$2,$D596,$D596-($D596-$I$589)*MIN(F$3-$O$2,$Q$2)/$Q$2))</f>
        <v>11355.966796875</v>
      </c>
      <c r="G596" s="15" t="n">
        <f aca="false">F596*(1+IF(G$3&lt;=$O$2,$D596,$D596-($D596-$I$589)*MIN(G$3-$O$2,$Q$2)/$Q$2))</f>
        <v>13396.4920806885</v>
      </c>
      <c r="H596" s="15" t="n">
        <f aca="false">G596*(1+IF(H$3&lt;=$O$2,$D596,$D596-($D596-$I$589)*MIN(H$3-$O$2,$Q$2)/$Q$2))</f>
        <v>15803.6742514372</v>
      </c>
      <c r="I596" s="15" t="n">
        <f aca="false">H596*(1+IF(I$3&lt;=$O$2,$D596,$D596-($D596-$I$589)*MIN(I$3-$O$2,$Q$2)/$Q$2))</f>
        <v>18643.3969684923</v>
      </c>
      <c r="J596" s="15" t="n">
        <f aca="false">I596*(1+IF(J$3&lt;=$O$2,$D596,$D596-($D596-$I$589)*MIN(J$3-$O$2,$Q$2)/$Q$2))</f>
        <v>21391.6201156178</v>
      </c>
      <c r="K596" s="15" t="n">
        <f aca="false">J596*(1+IF(K$3&lt;=$O$2,$D596,$D596-($D596-$I$589)*MIN(K$3-$O$2,$Q$2)/$Q$2))</f>
        <v>23854.4908185791</v>
      </c>
      <c r="L596" s="15" t="n">
        <f aca="false">K596*(1+IF(L$3&lt;=$O$2,$D596,$D596-($D596-$I$589)*MIN(L$3-$O$2,$Q$2)/$Q$2))</f>
        <v>25830.9546553525</v>
      </c>
      <c r="M596" s="15" t="n">
        <f aca="false">L596*(1+IF(M$3&lt;=$O$2,$D596,$D596-($D596-$I$589)*MIN(M$3-$O$2,$Q$2)/$Q$2))</f>
        <v>27137.4197644336</v>
      </c>
      <c r="N596" s="15" t="n">
        <f aca="false">M596*(1+IF(N$3&lt;=$O$2,$D596,$D596-($D596-$I$589)*MIN(N$3-$O$2,$Q$2)/$Q$2))</f>
        <v>27634.0345461227</v>
      </c>
      <c r="O596" s="15" t="n">
        <f aca="false">SUMPRODUCT(E596:N596,1/(1+$F$589)^$E$3:$N$3)*$E$2</f>
        <v>40292.470023102</v>
      </c>
      <c r="P596" s="15" t="n">
        <f aca="false">N596*$E$2*(1+$I$589)/($F$589-$I$589)/(1+$F$589)^$N$3</f>
        <v>45100.0528273149</v>
      </c>
      <c r="Q596" s="15" t="n">
        <f aca="false">O596+P596</f>
        <v>85392.5228504169</v>
      </c>
      <c r="R596" s="15" t="n">
        <f aca="false">Q596-$G$2+$I$2</f>
        <v>79272.5228504169</v>
      </c>
      <c r="S596" s="42" t="n">
        <f aca="false">R596/$K$2</f>
        <v>457.746407497499</v>
      </c>
      <c r="T596" s="43" t="n">
        <f aca="false">S596-$M$2</f>
        <v>-6.39494831726029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0.1796875</v>
      </c>
      <c r="C597" s="25" t="n">
        <f aca="false">IF(T596&gt;0,D596,C596)</f>
        <v>0.203125</v>
      </c>
      <c r="D597" s="41" t="n">
        <f aca="false">(B597+C597)/2</f>
        <v>0.19140625</v>
      </c>
      <c r="E597" s="15" t="n">
        <f aca="false">$C$2*(1+IF(E$3&lt;=$O$2,$D597,$D597-($D597-$I$589)*MIN(E$3-$O$2,$Q$2)/$Q$2))</f>
        <v>9721.875</v>
      </c>
      <c r="F597" s="15" t="n">
        <f aca="false">E597*(1+IF(F$3&lt;=$O$2,$D597,$D597-($D597-$I$589)*MIN(F$3-$O$2,$Q$2)/$Q$2))</f>
        <v>11582.7026367188</v>
      </c>
      <c r="G597" s="15" t="n">
        <f aca="false">F597*(1+IF(G$3&lt;=$O$2,$D597,$D597-($D597-$I$589)*MIN(G$3-$O$2,$Q$2)/$Q$2))</f>
        <v>13799.7043132782</v>
      </c>
      <c r="H597" s="15" t="n">
        <f aca="false">G597*(1+IF(H$3&lt;=$O$2,$D597,$D597-($D597-$I$589)*MIN(H$3-$O$2,$Q$2)/$Q$2))</f>
        <v>16441.0539669916</v>
      </c>
      <c r="I597" s="15" t="n">
        <f aca="false">H597*(1+IF(I$3&lt;=$O$2,$D597,$D597-($D597-$I$589)*MIN(I$3-$O$2,$Q$2)/$Q$2))</f>
        <v>19587.9744528611</v>
      </c>
      <c r="J597" s="15" t="n">
        <f aca="false">I597*(1+IF(J$3&lt;=$O$2,$D597,$D597-($D597-$I$589)*MIN(J$3-$O$2,$Q$2)/$Q$2))</f>
        <v>22659.0750274529</v>
      </c>
      <c r="K597" s="15" t="n">
        <f aca="false">J597*(1+IF(K$3&lt;=$O$2,$D597,$D597-($D597-$I$589)*MIN(K$3-$O$2,$Q$2)/$Q$2))</f>
        <v>25427.1926043379</v>
      </c>
      <c r="L597" s="15" t="n">
        <f aca="false">K597*(1+IF(L$3&lt;=$O$2,$D597,$D597-($D597-$I$589)*MIN(L$3-$O$2,$Q$2)/$Q$2))</f>
        <v>27653.1526129032</v>
      </c>
      <c r="M597" s="15" t="n">
        <f aca="false">L597*(1+IF(M$3&lt;=$O$2,$D597,$D597-($D597-$I$589)*MIN(M$3-$O$2,$Q$2)/$Q$2))</f>
        <v>29116.5920156188</v>
      </c>
      <c r="N597" s="15" t="n">
        <f aca="false">M597*(1+IF(N$3&lt;=$O$2,$D597,$D597-($D597-$I$589)*MIN(N$3-$O$2,$Q$2)/$Q$2))</f>
        <v>29649.4256495046</v>
      </c>
      <c r="O597" s="15" t="n">
        <f aca="false">SUMPRODUCT(E597:N597,1/(1+$F$589)^$E$3:$N$3)*$E$2</f>
        <v>42345.1855319322</v>
      </c>
      <c r="P597" s="15" t="n">
        <f aca="false">N597*$E$2*(1+$I$589)/($F$589-$I$589)/(1+$F$589)^$N$3</f>
        <v>48389.2665350895</v>
      </c>
      <c r="Q597" s="15" t="n">
        <f aca="false">O597+P597</f>
        <v>90734.4520670217</v>
      </c>
      <c r="R597" s="15" t="n">
        <f aca="false">Q597-$G$2+$I$2</f>
        <v>84614.4520670217</v>
      </c>
      <c r="S597" s="42" t="n">
        <f aca="false">R597/$K$2</f>
        <v>488.592516843871</v>
      </c>
      <c r="T597" s="43" t="n">
        <f aca="false">S597-$M$2</f>
        <v>24.4511610291123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0.1796875</v>
      </c>
      <c r="C598" s="25" t="n">
        <f aca="false">IF(T597&gt;0,D597,C597)</f>
        <v>0.19140625</v>
      </c>
      <c r="D598" s="41" t="n">
        <f aca="false">(B598+C598)/2</f>
        <v>0.185546875</v>
      </c>
      <c r="E598" s="15" t="n">
        <f aca="false">$C$2*(1+IF(E$3&lt;=$O$2,$D598,$D598-($D598-$I$589)*MIN(E$3-$O$2,$Q$2)/$Q$2))</f>
        <v>9674.0625</v>
      </c>
      <c r="F598" s="15" t="n">
        <f aca="false">E598*(1+IF(F$3&lt;=$O$2,$D598,$D598-($D598-$I$589)*MIN(F$3-$O$2,$Q$2)/$Q$2))</f>
        <v>11469.0545654297</v>
      </c>
      <c r="G598" s="15" t="n">
        <f aca="false">F598*(1+IF(G$3&lt;=$O$2,$D598,$D598-($D598-$I$589)*MIN(G$3-$O$2,$Q$2)/$Q$2))</f>
        <v>13597.1017992496</v>
      </c>
      <c r="H598" s="15" t="n">
        <f aca="false">G598*(1+IF(H$3&lt;=$O$2,$D598,$D598-($D598-$I$589)*MIN(H$3-$O$2,$Q$2)/$Q$2))</f>
        <v>16120.0015471573</v>
      </c>
      <c r="I598" s="15" t="n">
        <f aca="false">H598*(1+IF(I$3&lt;=$O$2,$D598,$D598-($D598-$I$589)*MIN(I$3-$O$2,$Q$2)/$Q$2))</f>
        <v>19111.0174592275</v>
      </c>
      <c r="J598" s="15" t="n">
        <f aca="false">I598*(1+IF(J$3&lt;=$O$2,$D598,$D598-($D598-$I$589)*MIN(J$3-$O$2,$Q$2)/$Q$2))</f>
        <v>22017.7554372324</v>
      </c>
      <c r="K598" s="15" t="n">
        <f aca="false">J598*(1+IF(K$3&lt;=$O$2,$D598,$D598-($D598-$I$589)*MIN(K$3-$O$2,$Q$2)/$Q$2))</f>
        <v>24630.1208365685</v>
      </c>
      <c r="L598" s="15" t="n">
        <f aca="false">K598*(1+IF(L$3&lt;=$O$2,$D598,$D598-($D598-$I$589)*MIN(L$3-$O$2,$Q$2)/$Q$2))</f>
        <v>26728.5763441931</v>
      </c>
      <c r="M598" s="15" t="n">
        <f aca="false">L598*(1+IF(M$3&lt;=$O$2,$D598,$D598-($D598-$I$589)*MIN(M$3-$O$2,$Q$2)/$Q$2))</f>
        <v>28111.7634646449</v>
      </c>
      <c r="N598" s="15" t="n">
        <f aca="false">M598*(1+IF(N$3&lt;=$O$2,$D598,$D598-($D598-$I$589)*MIN(N$3-$O$2,$Q$2)/$Q$2))</f>
        <v>28626.2087360479</v>
      </c>
      <c r="O598" s="15" t="n">
        <f aca="false">SUMPRODUCT(E598:N598,1/(1+$F$589)^$E$3:$N$3)*$E$2</f>
        <v>41306.3756914445</v>
      </c>
      <c r="P598" s="15" t="n">
        <f aca="false">N598*$E$2*(1+$I$589)/($F$589-$I$589)/(1+$F$589)^$N$3</f>
        <v>46719.3280838772</v>
      </c>
      <c r="Q598" s="15" t="n">
        <f aca="false">O598+P598</f>
        <v>88025.7037753216</v>
      </c>
      <c r="R598" s="15" t="n">
        <f aca="false">Q598-$G$2+$I$2</f>
        <v>81905.7037753216</v>
      </c>
      <c r="S598" s="42" t="n">
        <f aca="false">R598/$K$2</f>
        <v>472.951286380192</v>
      </c>
      <c r="T598" s="43" t="n">
        <f aca="false">S598-$M$2</f>
        <v>8.80993056543264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0.1796875</v>
      </c>
      <c r="C599" s="25" t="n">
        <f aca="false">IF(T598&gt;0,D598,C598)</f>
        <v>0.185546875</v>
      </c>
      <c r="D599" s="41" t="n">
        <f aca="false">(B599+C599)/2</f>
        <v>0.1826171875</v>
      </c>
      <c r="E599" s="15" t="n">
        <f aca="false">$C$2*(1+IF(E$3&lt;=$O$2,$D599,$D599-($D599-$I$589)*MIN(E$3-$O$2,$Q$2)/$Q$2))</f>
        <v>9650.15625</v>
      </c>
      <c r="F599" s="15" t="n">
        <f aca="false">E599*(1+IF(F$3&lt;=$O$2,$D599,$D599-($D599-$I$589)*MIN(F$3-$O$2,$Q$2)/$Q$2))</f>
        <v>11412.4406433105</v>
      </c>
      <c r="G599" s="15" t="n">
        <f aca="false">F599*(1+IF(G$3&lt;=$O$2,$D599,$D599-($D599-$I$589)*MIN(G$3-$O$2,$Q$2)/$Q$2))</f>
        <v>13496.5484561026</v>
      </c>
      <c r="H599" s="15" t="n">
        <f aca="false">G599*(1+IF(H$3&lt;=$O$2,$D599,$D599-($D599-$I$589)*MIN(H$3-$O$2,$Q$2)/$Q$2))</f>
        <v>15961.2501761135</v>
      </c>
      <c r="I599" s="15" t="n">
        <f aca="false">H599*(1+IF(I$3&lt;=$O$2,$D599,$D599-($D599-$I$589)*MIN(I$3-$O$2,$Q$2)/$Q$2))</f>
        <v>18876.0487922593</v>
      </c>
      <c r="J599" s="15" t="n">
        <f aca="false">I599*(1+IF(J$3&lt;=$O$2,$D599,$D599-($D599-$I$589)*MIN(J$3-$O$2,$Q$2)/$Q$2))</f>
        <v>21702.8078840831</v>
      </c>
      <c r="K599" s="15" t="n">
        <f aca="false">J599*(1+IF(K$3&lt;=$O$2,$D599,$D599-($D599-$I$589)*MIN(K$3-$O$2,$Q$2)/$Q$2))</f>
        <v>24239.655879781</v>
      </c>
      <c r="L599" s="15" t="n">
        <f aca="false">K599*(1+IF(L$3&lt;=$O$2,$D599,$D599-($D599-$I$589)*MIN(L$3-$O$2,$Q$2)/$Q$2))</f>
        <v>26276.4384144344</v>
      </c>
      <c r="M599" s="15" t="n">
        <f aca="false">L599*(1+IF(M$3&lt;=$O$2,$D599,$D599-($D599-$I$589)*MIN(M$3-$O$2,$Q$2)/$Q$2))</f>
        <v>27620.8313289739</v>
      </c>
      <c r="N599" s="15" t="n">
        <f aca="false">M599*(1+IF(N$3&lt;=$O$2,$D599,$D599-($D599-$I$589)*MIN(N$3-$O$2,$Q$2)/$Q$2))</f>
        <v>28126.2925422941</v>
      </c>
      <c r="O599" s="15" t="n">
        <f aca="false">SUMPRODUCT(E599:N599,1/(1+$F$589)^$E$3:$N$3)*$E$2</f>
        <v>40796.3443158933</v>
      </c>
      <c r="P599" s="15" t="n">
        <f aca="false">N599*$E$2*(1+$I$589)/($F$589-$I$589)/(1+$F$589)^$N$3</f>
        <v>45903.4411850642</v>
      </c>
      <c r="Q599" s="15" t="n">
        <f aca="false">O599+P599</f>
        <v>86699.7855009574</v>
      </c>
      <c r="R599" s="15" t="n">
        <f aca="false">Q599-$G$2+$I$2</f>
        <v>80579.7855009574</v>
      </c>
      <c r="S599" s="42" t="n">
        <f aca="false">R599/$K$2</f>
        <v>465.294984992248</v>
      </c>
      <c r="T599" s="43" t="n">
        <f aca="false">S599-$M$2</f>
        <v>1.15362917748837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0.1796875</v>
      </c>
      <c r="C600" s="25" t="n">
        <f aca="false">IF(T599&gt;0,D599,C599)</f>
        <v>0.1826171875</v>
      </c>
      <c r="D600" s="41" t="n">
        <f aca="false">(B600+C600)/2</f>
        <v>0.18115234375</v>
      </c>
      <c r="E600" s="15" t="n">
        <f aca="false">$C$2*(1+IF(E$3&lt;=$O$2,$D600,$D600-($D600-$I$589)*MIN(E$3-$O$2,$Q$2)/$Q$2))</f>
        <v>9638.203125</v>
      </c>
      <c r="F600" s="15" t="n">
        <f aca="false">E600*(1+IF(F$3&lt;=$O$2,$D600,$D600-($D600-$I$589)*MIN(F$3-$O$2,$Q$2)/$Q$2))</f>
        <v>11384.1862106323</v>
      </c>
      <c r="G600" s="15" t="n">
        <f aca="false">F600*(1+IF(G$3&lt;=$O$2,$D600,$D600-($D600-$I$589)*MIN(G$3-$O$2,$Q$2)/$Q$2))</f>
        <v>13446.4582243748</v>
      </c>
      <c r="H600" s="15" t="n">
        <f aca="false">G600*(1+IF(H$3&lt;=$O$2,$D600,$D600-($D600-$I$589)*MIN(H$3-$O$2,$Q$2)/$Q$2))</f>
        <v>15882.3156468568</v>
      </c>
      <c r="I600" s="15" t="n">
        <f aca="false">H600*(1+IF(I$3&lt;=$O$2,$D600,$D600-($D600-$I$589)*MIN(I$3-$O$2,$Q$2)/$Q$2))</f>
        <v>18759.4343504622</v>
      </c>
      <c r="J600" s="15" t="n">
        <f aca="false">I600*(1+IF(J$3&lt;=$O$2,$D600,$D600-($D600-$I$589)*MIN(J$3-$O$2,$Q$2)/$Q$2))</f>
        <v>21546.7462801932</v>
      </c>
      <c r="K600" s="15" t="n">
        <f aca="false">J600*(1+IF(K$3&lt;=$O$2,$D600,$D600-($D600-$I$589)*MIN(K$3-$O$2,$Q$2)/$Q$2))</f>
        <v>24046.4146162704</v>
      </c>
      <c r="L600" s="15" t="n">
        <f aca="false">K600*(1+IF(L$3&lt;=$O$2,$D600,$D600-($D600-$I$589)*MIN(L$3-$O$2,$Q$2)/$Q$2))</f>
        <v>26052.8699953657</v>
      </c>
      <c r="M600" s="15" t="n">
        <f aca="false">L600*(1+IF(M$3&lt;=$O$2,$D600,$D600-($D600-$I$589)*MIN(M$3-$O$2,$Q$2)/$Q$2))</f>
        <v>27378.1917043128</v>
      </c>
      <c r="N600" s="15" t="n">
        <f aca="false">M600*(1+IF(N$3&lt;=$O$2,$D600,$D600-($D600-$I$589)*MIN(N$3-$O$2,$Q$2)/$Q$2))</f>
        <v>27879.2126125017</v>
      </c>
      <c r="O600" s="15" t="n">
        <f aca="false">SUMPRODUCT(E600:N600,1/(1+$F$589)^$E$3:$N$3)*$E$2</f>
        <v>40543.6418080705</v>
      </c>
      <c r="P600" s="15" t="n">
        <f aca="false">N600*$E$2*(1+$I$589)/($F$589-$I$589)/(1+$F$589)^$N$3</f>
        <v>45500.1950406184</v>
      </c>
      <c r="Q600" s="15" t="n">
        <f aca="false">O600+P600</f>
        <v>86043.8368486888</v>
      </c>
      <c r="R600" s="15" t="n">
        <f aca="false">Q600-$G$2+$I$2</f>
        <v>79923.8368486888</v>
      </c>
      <c r="S600" s="42" t="n">
        <f aca="false">R600/$K$2</f>
        <v>461.507315213586</v>
      </c>
      <c r="T600" s="43" t="n">
        <f aca="false">S600-$M$2</f>
        <v>-2.63404060117318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0.18115234375</v>
      </c>
      <c r="C601" s="25" t="n">
        <f aca="false">IF(T600&gt;0,D600,C600)</f>
        <v>0.1826171875</v>
      </c>
      <c r="D601" s="41" t="n">
        <f aca="false">(B601+C601)/2</f>
        <v>0.181884765625</v>
      </c>
      <c r="E601" s="15" t="n">
        <f aca="false">$C$2*(1+IF(E$3&lt;=$O$2,$D601,$D601-($D601-$I$589)*MIN(E$3-$O$2,$Q$2)/$Q$2))</f>
        <v>9644.1796875</v>
      </c>
      <c r="F601" s="15" t="n">
        <f aca="false">E601*(1+IF(F$3&lt;=$O$2,$D601,$D601-($D601-$I$589)*MIN(F$3-$O$2,$Q$2)/$Q$2))</f>
        <v>11398.3090496063</v>
      </c>
      <c r="G601" s="15" t="n">
        <f aca="false">F601*(1+IF(G$3&lt;=$O$2,$D601,$D601-($D601-$I$589)*MIN(G$3-$O$2,$Q$2)/$Q$2))</f>
        <v>13471.4878196153</v>
      </c>
      <c r="H601" s="15" t="n">
        <f aca="false">G601*(1+IF(H$3&lt;=$O$2,$D601,$D601-($D601-$I$589)*MIN(H$3-$O$2,$Q$2)/$Q$2))</f>
        <v>15921.7462243061</v>
      </c>
      <c r="I601" s="15" t="n">
        <f aca="false">H601*(1+IF(I$3&lt;=$O$2,$D601,$D601-($D601-$I$589)*MIN(I$3-$O$2,$Q$2)/$Q$2))</f>
        <v>18817.6693046547</v>
      </c>
      <c r="J601" s="15" t="n">
        <f aca="false">I601*(1+IF(J$3&lt;=$O$2,$D601,$D601-($D601-$I$589)*MIN(J$3-$O$2,$Q$2)/$Q$2))</f>
        <v>21624.6598711784</v>
      </c>
      <c r="K601" s="15" t="n">
        <f aca="false">J601*(1+IF(K$3&lt;=$O$2,$D601,$D601-($D601-$I$589)*MIN(K$3-$O$2,$Q$2)/$Q$2))</f>
        <v>24142.8700968692</v>
      </c>
      <c r="L601" s="15" t="n">
        <f aca="false">K601*(1+IF(L$3&lt;=$O$2,$D601,$D601-($D601-$I$589)*MIN(L$3-$O$2,$Q$2)/$Q$2))</f>
        <v>26164.4469181664</v>
      </c>
      <c r="M601" s="15" t="n">
        <f aca="false">L601*(1+IF(M$3&lt;=$O$2,$D601,$D601-($D601-$I$589)*MIN(M$3-$O$2,$Q$2)/$Q$2))</f>
        <v>27499.2772801321</v>
      </c>
      <c r="N601" s="15" t="n">
        <f aca="false">M601*(1+IF(N$3&lt;=$O$2,$D601,$D601-($D601-$I$589)*MIN(N$3-$O$2,$Q$2)/$Q$2))</f>
        <v>28002.5140543585</v>
      </c>
      <c r="O601" s="15" t="n">
        <f aca="false">SUMPRODUCT(E601:N601,1/(1+$F$589)^$E$3:$N$3)*$E$2</f>
        <v>40669.8011889886</v>
      </c>
      <c r="P601" s="15" t="n">
        <f aca="false">N601*$E$2*(1+$I$589)/($F$589-$I$589)/(1+$F$589)^$N$3</f>
        <v>45701.4288319471</v>
      </c>
      <c r="Q601" s="15" t="n">
        <f aca="false">O601+P601</f>
        <v>86371.2300209357</v>
      </c>
      <c r="R601" s="15" t="n">
        <f aca="false">Q601-$G$2+$I$2</f>
        <v>80251.2300209357</v>
      </c>
      <c r="S601" s="42" t="n">
        <f aca="false">R601/$K$2</f>
        <v>463.397794323454</v>
      </c>
      <c r="T601" s="43" t="n">
        <f aca="false">S601-$M$2</f>
        <v>-0.74356149130557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0.181884765625</v>
      </c>
      <c r="C602" s="25" t="n">
        <f aca="false">IF(T601&gt;0,D601,C601)</f>
        <v>0.1826171875</v>
      </c>
      <c r="D602" s="41" t="n">
        <f aca="false">(B602+C602)/2</f>
        <v>0.1822509765625</v>
      </c>
      <c r="E602" s="15" t="n">
        <f aca="false">$C$2*(1+IF(E$3&lt;=$O$2,$D602,$D602-($D602-$I$589)*MIN(E$3-$O$2,$Q$2)/$Q$2))</f>
        <v>9647.16796875</v>
      </c>
      <c r="F602" s="15" t="n">
        <f aca="false">E602*(1+IF(F$3&lt;=$O$2,$D602,$D602-($D602-$I$589)*MIN(F$3-$O$2,$Q$2)/$Q$2))</f>
        <v>11405.3737521172</v>
      </c>
      <c r="G602" s="15" t="n">
        <f aca="false">F602*(1+IF(G$3&lt;=$O$2,$D602,$D602-($D602-$I$589)*MIN(G$3-$O$2,$Q$2)/$Q$2))</f>
        <v>13484.0142565008</v>
      </c>
      <c r="H602" s="15" t="n">
        <f aca="false">G602*(1+IF(H$3&lt;=$O$2,$D602,$D602-($D602-$I$589)*MIN(H$3-$O$2,$Q$2)/$Q$2))</f>
        <v>15941.4890227308</v>
      </c>
      <c r="I602" s="15" t="n">
        <f aca="false">H602*(1+IF(I$3&lt;=$O$2,$D602,$D602-($D602-$I$589)*MIN(I$3-$O$2,$Q$2)/$Q$2))</f>
        <v>18846.8409649838</v>
      </c>
      <c r="J602" s="15" t="n">
        <f aca="false">I602*(1+IF(J$3&lt;=$O$2,$D602,$D602-($D602-$I$589)*MIN(J$3-$O$2,$Q$2)/$Q$2))</f>
        <v>21663.7045397048</v>
      </c>
      <c r="K602" s="15" t="n">
        <f aca="false">J602*(1+IF(K$3&lt;=$O$2,$D602,$D602-($D602-$I$589)*MIN(K$3-$O$2,$Q$2)/$Q$2))</f>
        <v>24191.221641929</v>
      </c>
      <c r="L602" s="15" t="n">
        <f aca="false">K602*(1+IF(L$3&lt;=$O$2,$D602,$D602-($D602-$I$589)*MIN(L$3-$O$2,$Q$2)/$Q$2))</f>
        <v>26220.39076295</v>
      </c>
      <c r="M602" s="15" t="n">
        <f aca="false">L602*(1+IF(M$3&lt;=$O$2,$D602,$D602-($D602-$I$589)*MIN(M$3-$O$2,$Q$2)/$Q$2))</f>
        <v>27559.9956481992</v>
      </c>
      <c r="N602" s="15" t="n">
        <f aca="false">M602*(1+IF(N$3&lt;=$O$2,$D602,$D602-($D602-$I$589)*MIN(N$3-$O$2,$Q$2)/$Q$2))</f>
        <v>28064.3435685612</v>
      </c>
      <c r="O602" s="15" t="n">
        <f aca="false">SUMPRODUCT(E602:N602,1/(1+$F$589)^$E$3:$N$3)*$E$2</f>
        <v>40733.0247174731</v>
      </c>
      <c r="P602" s="15" t="n">
        <f aca="false">N602*$E$2*(1+$I$589)/($F$589-$I$589)/(1+$F$589)^$N$3</f>
        <v>45802.3375267009</v>
      </c>
      <c r="Q602" s="15" t="n">
        <f aca="false">O602+P602</f>
        <v>86535.3622441739</v>
      </c>
      <c r="R602" s="15" t="n">
        <f aca="false">Q602-$G$2+$I$2</f>
        <v>80415.3622441739</v>
      </c>
      <c r="S602" s="42" t="n">
        <f aca="false">R602/$K$2</f>
        <v>464.345549394699</v>
      </c>
      <c r="T602" s="43" t="n">
        <f aca="false">S602-$M$2</f>
        <v>0.204193579939613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0.181884765625</v>
      </c>
      <c r="C603" s="25" t="n">
        <f aca="false">IF(T602&gt;0,D602,C602)</f>
        <v>0.1822509765625</v>
      </c>
      <c r="D603" s="41" t="n">
        <f aca="false">(B603+C603)/2</f>
        <v>0.18206787109375</v>
      </c>
      <c r="E603" s="15" t="n">
        <f aca="false">$C$2*(1+IF(E$3&lt;=$O$2,$D603,$D603-($D603-$I$589)*MIN(E$3-$O$2,$Q$2)/$Q$2))</f>
        <v>9645.673828125</v>
      </c>
      <c r="F603" s="15" t="n">
        <f aca="false">E603*(1+IF(F$3&lt;=$O$2,$D603,$D603-($D603-$I$589)*MIN(F$3-$O$2,$Q$2)/$Q$2))</f>
        <v>11401.8411272764</v>
      </c>
      <c r="G603" s="15" t="n">
        <f aca="false">F603*(1+IF(G$3&lt;=$O$2,$D603,$D603-($D603-$I$589)*MIN(G$3-$O$2,$Q$2)/$Q$2))</f>
        <v>13477.7500678688</v>
      </c>
      <c r="H603" s="15" t="n">
        <f aca="false">G603*(1+IF(H$3&lt;=$O$2,$D603,$D603-($D603-$I$589)*MIN(H$3-$O$2,$Q$2)/$Q$2))</f>
        <v>15931.6153298593</v>
      </c>
      <c r="I603" s="15" t="n">
        <f aca="false">H603*(1+IF(I$3&lt;=$O$2,$D603,$D603-($D603-$I$589)*MIN(I$3-$O$2,$Q$2)/$Q$2))</f>
        <v>18832.2506160514</v>
      </c>
      <c r="J603" s="15" t="n">
        <f aca="false">I603*(1+IF(J$3&lt;=$O$2,$D603,$D603-($D603-$I$589)*MIN(J$3-$O$2,$Q$2)/$Q$2))</f>
        <v>21644.1748753609</v>
      </c>
      <c r="K603" s="15" t="n">
        <f aca="false">J603*(1+IF(K$3&lt;=$O$2,$D603,$D603-($D603-$I$589)*MIN(K$3-$O$2,$Q$2)/$Q$2))</f>
        <v>24167.0355401312</v>
      </c>
      <c r="L603" s="15" t="n">
        <f aca="false">K603*(1+IF(L$3&lt;=$O$2,$D603,$D603-($D603-$I$589)*MIN(L$3-$O$2,$Q$2)/$Q$2))</f>
        <v>26192.4058749373</v>
      </c>
      <c r="M603" s="15" t="n">
        <f aca="false">L603*(1+IF(M$3&lt;=$O$2,$D603,$D603-($D603-$I$589)*MIN(M$3-$O$2,$Q$2)/$Q$2))</f>
        <v>27529.621812241</v>
      </c>
      <c r="N603" s="15" t="n">
        <f aca="false">M603*(1+IF(N$3&lt;=$O$2,$D603,$D603-($D603-$I$589)*MIN(N$3-$O$2,$Q$2)/$Q$2))</f>
        <v>28033.413891405</v>
      </c>
      <c r="O603" s="15" t="n">
        <f aca="false">SUMPRODUCT(E603:N603,1/(1+$F$589)^$E$3:$N$3)*$E$2</f>
        <v>40701.4009528351</v>
      </c>
      <c r="P603" s="15" t="n">
        <f aca="false">N603*$E$2*(1+$I$589)/($F$589-$I$589)/(1+$F$589)^$N$3</f>
        <v>45751.858829088</v>
      </c>
      <c r="Q603" s="15" t="n">
        <f aca="false">O603+P603</f>
        <v>86453.2597819231</v>
      </c>
      <c r="R603" s="15" t="n">
        <f aca="false">Q603-$G$2+$I$2</f>
        <v>80333.2597819231</v>
      </c>
      <c r="S603" s="42" t="n">
        <f aca="false">R603/$K$2</f>
        <v>463.871461958212</v>
      </c>
      <c r="T603" s="43" t="n">
        <f aca="false">S603-$M$2</f>
        <v>-0.269893856547469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0.18206787109375</v>
      </c>
      <c r="C604" s="25" t="n">
        <f aca="false">IF(T603&gt;0,D603,C603)</f>
        <v>0.1822509765625</v>
      </c>
      <c r="D604" s="41" t="n">
        <f aca="false">(B604+C604)/2</f>
        <v>0.182159423828125</v>
      </c>
      <c r="E604" s="15" t="n">
        <f aca="false">$C$2*(1+IF(E$3&lt;=$O$2,$D604,$D604-($D604-$I$589)*MIN(E$3-$O$2,$Q$2)/$Q$2))</f>
        <v>9646.4208984375</v>
      </c>
      <c r="F604" s="15" t="n">
        <f aca="false">E604*(1+IF(F$3&lt;=$O$2,$D604,$D604-($D604-$I$589)*MIN(F$3-$O$2,$Q$2)/$Q$2))</f>
        <v>11403.6073713005</v>
      </c>
      <c r="G604" s="15" t="n">
        <f aca="false">F604*(1+IF(G$3&lt;=$O$2,$D604,$D604-($D604-$I$589)*MIN(G$3-$O$2,$Q$2)/$Q$2))</f>
        <v>13480.8819196187</v>
      </c>
      <c r="H604" s="15" t="n">
        <f aca="false">G604*(1+IF(H$3&lt;=$O$2,$D604,$D604-($D604-$I$589)*MIN(H$3-$O$2,$Q$2)/$Q$2))</f>
        <v>15936.5516027914</v>
      </c>
      <c r="I604" s="15" t="n">
        <f aca="false">H604*(1+IF(I$3&lt;=$O$2,$D604,$D604-($D604-$I$589)*MIN(I$3-$O$2,$Q$2)/$Q$2))</f>
        <v>18839.5446605631</v>
      </c>
      <c r="J604" s="15" t="n">
        <f aca="false">I604*(1+IF(J$3&lt;=$O$2,$D604,$D604-($D604-$I$589)*MIN(J$3-$O$2,$Q$2)/$Q$2))</f>
        <v>21653.9378744627</v>
      </c>
      <c r="K604" s="15" t="n">
        <f aca="false">J604*(1+IF(K$3&lt;=$O$2,$D604,$D604-($D604-$I$589)*MIN(K$3-$O$2,$Q$2)/$Q$2))</f>
        <v>24179.126007797</v>
      </c>
      <c r="L604" s="15" t="n">
        <f aca="false">K604*(1+IF(L$3&lt;=$O$2,$D604,$D604-($D604-$I$589)*MIN(L$3-$O$2,$Q$2)/$Q$2))</f>
        <v>26206.3950762618</v>
      </c>
      <c r="M604" s="15" t="n">
        <f aca="false">L604*(1+IF(M$3&lt;=$O$2,$D604,$D604-($D604-$I$589)*MIN(M$3-$O$2,$Q$2)/$Q$2))</f>
        <v>27544.8050657191</v>
      </c>
      <c r="N604" s="15" t="n">
        <f aca="false">M604*(1+IF(N$3&lt;=$O$2,$D604,$D604-($D604-$I$589)*MIN(N$3-$O$2,$Q$2)/$Q$2))</f>
        <v>28048.8749984218</v>
      </c>
      <c r="O604" s="15" t="n">
        <f aca="false">SUMPRODUCT(E604:N604,1/(1+$F$589)^$E$3:$N$3)*$E$2</f>
        <v>40717.2098340122</v>
      </c>
      <c r="P604" s="15" t="n">
        <f aca="false">N604*$E$2*(1+$I$589)/($F$589-$I$589)/(1+$F$589)^$N$3</f>
        <v>45777.0920878097</v>
      </c>
      <c r="Q604" s="15" t="n">
        <f aca="false">O604+P604</f>
        <v>86494.3019218219</v>
      </c>
      <c r="R604" s="15" t="n">
        <f aca="false">Q604-$G$2+$I$2</f>
        <v>80374.3019218219</v>
      </c>
      <c r="S604" s="42" t="n">
        <f aca="false">R604/$K$2</f>
        <v>464.108453180632</v>
      </c>
      <c r="T604" s="43" t="n">
        <f aca="false">S604-$M$2</f>
        <v>-0.0329026341269696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0.182159423828125</v>
      </c>
      <c r="C605" s="25" t="n">
        <f aca="false">IF(T604&gt;0,D604,C604)</f>
        <v>0.1822509765625</v>
      </c>
      <c r="D605" s="41" t="n">
        <f aca="false">(B605+C605)/2</f>
        <v>0.182205200195313</v>
      </c>
      <c r="E605" s="15" t="n">
        <f aca="false">$C$2*(1+IF(E$3&lt;=$O$2,$D605,$D605-($D605-$I$589)*MIN(E$3-$O$2,$Q$2)/$Q$2))</f>
        <v>9646.79443359375</v>
      </c>
      <c r="F605" s="15" t="n">
        <f aca="false">E605*(1+IF(F$3&lt;=$O$2,$D605,$D605-($D605-$I$589)*MIN(F$3-$O$2,$Q$2)/$Q$2))</f>
        <v>11404.4905446097</v>
      </c>
      <c r="G605" s="15" t="n">
        <f aca="false">F605*(1+IF(G$3&lt;=$O$2,$D605,$D605-($D605-$I$589)*MIN(G$3-$O$2,$Q$2)/$Q$2))</f>
        <v>13482.4480274159</v>
      </c>
      <c r="H605" s="15" t="n">
        <f aca="false">G605*(1+IF(H$3&lt;=$O$2,$D605,$D605-($D605-$I$589)*MIN(H$3-$O$2,$Q$2)/$Q$2))</f>
        <v>15939.0201693741</v>
      </c>
      <c r="I605" s="15" t="n">
        <f aca="false">H605*(1+IF(I$3&lt;=$O$2,$D605,$D605-($D605-$I$589)*MIN(I$3-$O$2,$Q$2)/$Q$2))</f>
        <v>18843.192530252</v>
      </c>
      <c r="J605" s="15" t="n">
        <f aca="false">I605*(1+IF(J$3&lt;=$O$2,$D605,$D605-($D605-$I$589)*MIN(J$3-$O$2,$Q$2)/$Q$2))</f>
        <v>21658.8207487475</v>
      </c>
      <c r="K605" s="15" t="n">
        <f aca="false">J605*(1+IF(K$3&lt;=$O$2,$D605,$D605-($D605-$I$589)*MIN(K$3-$O$2,$Q$2)/$Q$2))</f>
        <v>24185.1731789402</v>
      </c>
      <c r="L605" s="15" t="n">
        <f aca="false">K605*(1+IF(L$3&lt;=$O$2,$D605,$D605-($D605-$I$589)*MIN(L$3-$O$2,$Q$2)/$Q$2))</f>
        <v>26213.3921087759</v>
      </c>
      <c r="M605" s="15" t="n">
        <f aca="false">L605*(1+IF(M$3&lt;=$O$2,$D605,$D605-($D605-$I$589)*MIN(M$3-$O$2,$Q$2)/$Q$2))</f>
        <v>27552.3994406439</v>
      </c>
      <c r="N605" s="15" t="n">
        <f aca="false">M605*(1+IF(N$3&lt;=$O$2,$D605,$D605-($D605-$I$589)*MIN(N$3-$O$2,$Q$2)/$Q$2))</f>
        <v>28056.6083504077</v>
      </c>
      <c r="O605" s="15" t="n">
        <f aca="false">SUMPRODUCT(E605:N605,1/(1+$F$589)^$E$3:$N$3)*$E$2</f>
        <v>40725.1165253268</v>
      </c>
      <c r="P605" s="15" t="n">
        <f aca="false">N605*$E$2*(1+$I$589)/($F$589-$I$589)/(1+$F$589)^$N$3</f>
        <v>45789.7132844183</v>
      </c>
      <c r="Q605" s="15" t="n">
        <f aca="false">O605+P605</f>
        <v>86514.8298097451</v>
      </c>
      <c r="R605" s="15" t="n">
        <f aca="false">Q605-$G$2+$I$2</f>
        <v>80394.8298097451</v>
      </c>
      <c r="S605" s="42" t="n">
        <f aca="false">R605/$K$2</f>
        <v>464.226988161133</v>
      </c>
      <c r="T605" s="43" t="n">
        <f aca="false">S605-$M$2</f>
        <v>0.0856323463741546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0.182159423828125</v>
      </c>
      <c r="C606" s="25" t="n">
        <f aca="false">IF(T605&gt;0,D605,C605)</f>
        <v>0.182205200195313</v>
      </c>
      <c r="D606" s="41" t="n">
        <f aca="false">(B606+C606)/2</f>
        <v>0.182182312011719</v>
      </c>
      <c r="E606" s="15" t="n">
        <f aca="false">$C$2*(1+IF(E$3&lt;=$O$2,$D606,$D606-($D606-$I$589)*MIN(E$3-$O$2,$Q$2)/$Q$2))</f>
        <v>9646.60766601563</v>
      </c>
      <c r="F606" s="15" t="n">
        <f aca="false">E606*(1+IF(F$3&lt;=$O$2,$D606,$D606-($D606-$I$589)*MIN(F$3-$O$2,$Q$2)/$Q$2))</f>
        <v>11404.0489536803</v>
      </c>
      <c r="G606" s="15" t="n">
        <f aca="false">F606*(1+IF(G$3&lt;=$O$2,$D606,$D606-($D606-$I$589)*MIN(G$3-$O$2,$Q$2)/$Q$2))</f>
        <v>13481.6649583566</v>
      </c>
      <c r="H606" s="15" t="n">
        <f aca="false">G606*(1+IF(H$3&lt;=$O$2,$D606,$D606-($D606-$I$589)*MIN(H$3-$O$2,$Q$2)/$Q$2))</f>
        <v>15937.7858502374</v>
      </c>
      <c r="I606" s="15" t="n">
        <f aca="false">H606*(1+IF(I$3&lt;=$O$2,$D606,$D606-($D606-$I$589)*MIN(I$3-$O$2,$Q$2)/$Q$2))</f>
        <v>18841.3685247813</v>
      </c>
      <c r="J606" s="15" t="n">
        <f aca="false">I606*(1+IF(J$3&lt;=$O$2,$D606,$D606-($D606-$I$589)*MIN(J$3-$O$2,$Q$2)/$Q$2))</f>
        <v>21656.3791970296</v>
      </c>
      <c r="K606" s="15" t="n">
        <f aca="false">J606*(1+IF(K$3&lt;=$O$2,$D606,$D606-($D606-$I$589)*MIN(K$3-$O$2,$Q$2)/$Q$2))</f>
        <v>24182.1494319023</v>
      </c>
      <c r="L606" s="15" t="n">
        <f aca="false">K606*(1+IF(L$3&lt;=$O$2,$D606,$D606-($D606-$I$589)*MIN(L$3-$O$2,$Q$2)/$Q$2))</f>
        <v>26209.8933898313</v>
      </c>
      <c r="M606" s="15" t="n">
        <f aca="false">L606*(1+IF(M$3&lt;=$O$2,$D606,$D606-($D606-$I$589)*MIN(M$3-$O$2,$Q$2)/$Q$2))</f>
        <v>27548.6020241264</v>
      </c>
      <c r="N606" s="15" t="n">
        <f aca="false">M606*(1+IF(N$3&lt;=$O$2,$D606,$D606-($D606-$I$589)*MIN(N$3-$O$2,$Q$2)/$Q$2))</f>
        <v>28052.7414411679</v>
      </c>
      <c r="O606" s="15" t="n">
        <f aca="false">SUMPRODUCT(E606:N606,1/(1+$F$589)^$E$3:$N$3)*$E$2</f>
        <v>40721.1629920819</v>
      </c>
      <c r="P606" s="15" t="n">
        <f aca="false">N606*$E$2*(1+$I$589)/($F$589-$I$589)/(1+$F$589)^$N$3</f>
        <v>45783.4023054442</v>
      </c>
      <c r="Q606" s="15" t="n">
        <f aca="false">O606+P606</f>
        <v>86504.5652975261</v>
      </c>
      <c r="R606" s="15" t="n">
        <f aca="false">Q606-$G$2+$I$2</f>
        <v>80384.5652975261</v>
      </c>
      <c r="S606" s="42" t="n">
        <f aca="false">R606/$K$2</f>
        <v>464.167717389572</v>
      </c>
      <c r="T606" s="43" t="n">
        <f aca="false">S606-$M$2</f>
        <v>0.0263615748125972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0.182159423828125</v>
      </c>
      <c r="C607" s="25" t="n">
        <f aca="false">IF(T606&gt;0,D606,C606)</f>
        <v>0.182182312011719</v>
      </c>
      <c r="D607" s="41" t="n">
        <f aca="false">(B607+C607)/2</f>
        <v>0.182170867919922</v>
      </c>
      <c r="E607" s="15" t="n">
        <f aca="false">$C$2*(1+IF(E$3&lt;=$O$2,$D607,$D607-($D607-$I$589)*MIN(E$3-$O$2,$Q$2)/$Q$2))</f>
        <v>9646.51428222656</v>
      </c>
      <c r="F607" s="15" t="n">
        <f aca="false">E607*(1+IF(F$3&lt;=$O$2,$D607,$D607-($D607-$I$589)*MIN(F$3-$O$2,$Q$2)/$Q$2))</f>
        <v>11403.8281614217</v>
      </c>
      <c r="G607" s="15" t="n">
        <f aca="false">F607*(1+IF(G$3&lt;=$O$2,$D607,$D607-($D607-$I$589)*MIN(G$3-$O$2,$Q$2)/$Q$2))</f>
        <v>13481.2734351975</v>
      </c>
      <c r="H607" s="15" t="n">
        <f aca="false">G607*(1+IF(H$3&lt;=$O$2,$D607,$D607-($D607-$I$589)*MIN(H$3-$O$2,$Q$2)/$Q$2))</f>
        <v>15937.1687175533</v>
      </c>
      <c r="I607" s="15" t="n">
        <f aca="false">H607*(1+IF(I$3&lt;=$O$2,$D607,$D607-($D607-$I$589)*MIN(I$3-$O$2,$Q$2)/$Q$2))</f>
        <v>18840.4565750162</v>
      </c>
      <c r="J607" s="15" t="n">
        <f aca="false">I607*(1+IF(J$3&lt;=$O$2,$D607,$D607-($D607-$I$589)*MIN(J$3-$O$2,$Q$2)/$Q$2))</f>
        <v>21655.1585071034</v>
      </c>
      <c r="K607" s="15" t="n">
        <f aca="false">J607*(1+IF(K$3&lt;=$O$2,$D607,$D607-($D607-$I$589)*MIN(K$3-$O$2,$Q$2)/$Q$2))</f>
        <v>24180.6376794849</v>
      </c>
      <c r="L607" s="15" t="n">
        <f aca="false">K607*(1+IF(L$3&lt;=$O$2,$D607,$D607-($D607-$I$589)*MIN(L$3-$O$2,$Q$2)/$Q$2))</f>
        <v>26208.1441823772</v>
      </c>
      <c r="M607" s="15" t="n">
        <f aca="false">L607*(1+IF(M$3&lt;=$O$2,$D607,$D607-($D607-$I$589)*MIN(M$3-$O$2,$Q$2)/$Q$2))</f>
        <v>27546.703487662</v>
      </c>
      <c r="N607" s="15" t="n">
        <f aca="false">M607*(1+IF(N$3&lt;=$O$2,$D607,$D607-($D607-$I$589)*MIN(N$3-$O$2,$Q$2)/$Q$2))</f>
        <v>28050.8081614862</v>
      </c>
      <c r="O607" s="15" t="n">
        <f aca="false">SUMPRODUCT(E607:N607,1/(1+$F$589)^$E$3:$N$3)*$E$2</f>
        <v>40719.1863661522</v>
      </c>
      <c r="P607" s="15" t="n">
        <f aca="false">N607*$E$2*(1+$I$589)/($F$589-$I$589)/(1+$F$589)^$N$3</f>
        <v>45780.2471014644</v>
      </c>
      <c r="Q607" s="15" t="n">
        <f aca="false">O607+P607</f>
        <v>86499.4334676166</v>
      </c>
      <c r="R607" s="15" t="n">
        <f aca="false">Q607-$G$2+$I$2</f>
        <v>80379.4334676166</v>
      </c>
      <c r="S607" s="42" t="n">
        <f aca="false">R607/$K$2</f>
        <v>464.138084464815</v>
      </c>
      <c r="T607" s="43" t="n">
        <f aca="false">S607-$M$2</f>
        <v>-0.00327134994449807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0.182170867919922</v>
      </c>
      <c r="C608" s="25" t="n">
        <f aca="false">IF(T607&gt;0,D607,C607)</f>
        <v>0.182182312011719</v>
      </c>
      <c r="D608" s="41" t="n">
        <f aca="false">(B608+C608)/2</f>
        <v>0.18217658996582</v>
      </c>
      <c r="E608" s="15" t="n">
        <f aca="false">$C$2*(1+IF(E$3&lt;=$O$2,$D608,$D608-($D608-$I$589)*MIN(E$3-$O$2,$Q$2)/$Q$2))</f>
        <v>9646.56097412109</v>
      </c>
      <c r="F608" s="15" t="n">
        <f aca="false">E608*(1+IF(F$3&lt;=$O$2,$D608,$D608-($D608-$I$589)*MIN(F$3-$O$2,$Q$2)/$Q$2))</f>
        <v>11403.9385572838</v>
      </c>
      <c r="G608" s="15" t="n">
        <f aca="false">F608*(1+IF(G$3&lt;=$O$2,$D608,$D608-($D608-$I$589)*MIN(G$3-$O$2,$Q$2)/$Q$2))</f>
        <v>13481.4691958295</v>
      </c>
      <c r="H608" s="15" t="n">
        <f aca="false">G608*(1+IF(H$3&lt;=$O$2,$D608,$D608-($D608-$I$589)*MIN(H$3-$O$2,$Q$2)/$Q$2))</f>
        <v>15937.477281655</v>
      </c>
      <c r="I608" s="15" t="n">
        <f aca="false">H608*(1+IF(I$3&lt;=$O$2,$D608,$D608-($D608-$I$589)*MIN(I$3-$O$2,$Q$2)/$Q$2))</f>
        <v>18840.9125454847</v>
      </c>
      <c r="J608" s="15" t="n">
        <f aca="false">I608*(1+IF(J$3&lt;=$O$2,$D608,$D608-($D608-$I$589)*MIN(J$3-$O$2,$Q$2)/$Q$2))</f>
        <v>21655.7688449056</v>
      </c>
      <c r="K608" s="15" t="n">
        <f aca="false">J608*(1+IF(K$3&lt;=$O$2,$D608,$D608-($D608-$I$589)*MIN(K$3-$O$2,$Q$2)/$Q$2))</f>
        <v>24181.3935456021</v>
      </c>
      <c r="L608" s="15" t="n">
        <f aca="false">K608*(1+IF(L$3&lt;=$O$2,$D608,$D608-($D608-$I$589)*MIN(L$3-$O$2,$Q$2)/$Q$2))</f>
        <v>26209.0187734366</v>
      </c>
      <c r="M608" s="15" t="n">
        <f aca="false">L608*(1+IF(M$3&lt;=$O$2,$D608,$D608-($D608-$I$589)*MIN(M$3-$O$2,$Q$2)/$Q$2))</f>
        <v>27547.6527415786</v>
      </c>
      <c r="N608" s="15" t="n">
        <f aca="false">M608*(1+IF(N$3&lt;=$O$2,$D608,$D608-($D608-$I$589)*MIN(N$3-$O$2,$Q$2)/$Q$2))</f>
        <v>28051.7747867495</v>
      </c>
      <c r="O608" s="15" t="n">
        <f aca="false">SUMPRODUCT(E608:N608,1/(1+$F$589)^$E$3:$N$3)*$E$2</f>
        <v>40720.174667393</v>
      </c>
      <c r="P608" s="15" t="n">
        <f aca="false">N608*$E$2*(1+$I$589)/($F$589-$I$589)/(1+$F$589)^$N$3</f>
        <v>45781.8246796631</v>
      </c>
      <c r="Q608" s="15" t="n">
        <f aca="false">O608+P608</f>
        <v>86501.9993470561</v>
      </c>
      <c r="R608" s="15" t="n">
        <f aca="false">Q608-$G$2+$I$2</f>
        <v>80381.9993470561</v>
      </c>
      <c r="S608" s="42" t="n">
        <f aca="false">R608/$K$2</f>
        <v>464.152900722116</v>
      </c>
      <c r="T608" s="43" t="n">
        <f aca="false">S608-$M$2</f>
        <v>0.0115449073571767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0.182170867919922</v>
      </c>
      <c r="C609" s="25" t="n">
        <f aca="false">IF(T608&gt;0,D608,C608)</f>
        <v>0.18217658996582</v>
      </c>
      <c r="D609" s="41" t="n">
        <f aca="false">(B609+C609)/2</f>
        <v>0.182173728942871</v>
      </c>
      <c r="E609" s="15" t="n">
        <f aca="false">$C$2*(1+IF(E$3&lt;=$O$2,$D609,$D609-($D609-$I$589)*MIN(E$3-$O$2,$Q$2)/$Q$2))</f>
        <v>9646.53762817383</v>
      </c>
      <c r="F609" s="15" t="n">
        <f aca="false">E609*(1+IF(F$3&lt;=$O$2,$D609,$D609-($D609-$I$589)*MIN(F$3-$O$2,$Q$2)/$Q$2))</f>
        <v>11403.883359286</v>
      </c>
      <c r="G609" s="15" t="n">
        <f aca="false">F609*(1+IF(G$3&lt;=$O$2,$D609,$D609-($D609-$I$589)*MIN(G$3-$O$2,$Q$2)/$Q$2))</f>
        <v>13481.3713152767</v>
      </c>
      <c r="H609" s="15" t="n">
        <f aca="false">G609*(1+IF(H$3&lt;=$O$2,$D609,$D609-($D609-$I$589)*MIN(H$3-$O$2,$Q$2)/$Q$2))</f>
        <v>15937.3229990441</v>
      </c>
      <c r="I609" s="15" t="n">
        <f aca="false">H609*(1+IF(I$3&lt;=$O$2,$D609,$D609-($D609-$I$589)*MIN(I$3-$O$2,$Q$2)/$Q$2))</f>
        <v>18840.6845591469</v>
      </c>
      <c r="J609" s="15" t="n">
        <f aca="false">I609*(1+IF(J$3&lt;=$O$2,$D609,$D609-($D609-$I$589)*MIN(J$3-$O$2,$Q$2)/$Q$2))</f>
        <v>21655.4636742143</v>
      </c>
      <c r="K609" s="15" t="n">
        <f aca="false">J609*(1+IF(K$3&lt;=$O$2,$D609,$D609-($D609-$I$589)*MIN(K$3-$O$2,$Q$2)/$Q$2))</f>
        <v>24181.0156100207</v>
      </c>
      <c r="L609" s="15" t="n">
        <f aca="false">K609*(1+IF(L$3&lt;=$O$2,$D609,$D609-($D609-$I$589)*MIN(L$3-$O$2,$Q$2)/$Q$2))</f>
        <v>26208.58147474</v>
      </c>
      <c r="M609" s="15" t="n">
        <f aca="false">L609*(1+IF(M$3&lt;=$O$2,$D609,$D609-($D609-$I$589)*MIN(M$3-$O$2,$Q$2)/$Q$2))</f>
        <v>27547.1781110415</v>
      </c>
      <c r="N609" s="15" t="n">
        <f aca="false">M609*(1+IF(N$3&lt;=$O$2,$D609,$D609-($D609-$I$589)*MIN(N$3-$O$2,$Q$2)/$Q$2))</f>
        <v>28051.2914704735</v>
      </c>
      <c r="O609" s="15" t="n">
        <f aca="false">SUMPRODUCT(E609:N609,1/(1+$F$589)^$E$3:$N$3)*$E$2</f>
        <v>40719.6805138416</v>
      </c>
      <c r="P609" s="15" t="n">
        <f aca="false">N609*$E$2*(1+$I$589)/($F$589-$I$589)/(1+$F$589)^$N$3</f>
        <v>45781.035884616</v>
      </c>
      <c r="Q609" s="15" t="n">
        <f aca="false">O609+P609</f>
        <v>86500.7163984577</v>
      </c>
      <c r="R609" s="15" t="n">
        <f aca="false">Q609-$G$2+$I$2</f>
        <v>80380.7163984577</v>
      </c>
      <c r="S609" s="42" t="n">
        <f aca="false">R609/$K$2</f>
        <v>464.145492542197</v>
      </c>
      <c r="T609" s="43" t="n">
        <f aca="false">S609-$M$2</f>
        <v>0.00413672743758298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0.182170867919922</v>
      </c>
      <c r="C610" s="25" t="n">
        <f aca="false">IF(T609&gt;0,D609,C609)</f>
        <v>0.182173728942871</v>
      </c>
      <c r="D610" s="41" t="n">
        <f aca="false">(B610+C610)/2</f>
        <v>0.182172298431396</v>
      </c>
      <c r="E610" s="15" t="n">
        <f aca="false">$C$2*(1+IF(E$3&lt;=$O$2,$D610,$D610-($D610-$I$589)*MIN(E$3-$O$2,$Q$2)/$Q$2))</f>
        <v>9646.5259552002</v>
      </c>
      <c r="F610" s="15" t="n">
        <f aca="false">E610*(1+IF(F$3&lt;=$O$2,$D610,$D610-($D610-$I$589)*MIN(F$3-$O$2,$Q$2)/$Q$2))</f>
        <v>11403.8557603371</v>
      </c>
      <c r="G610" s="15" t="n">
        <f aca="false">F610*(1+IF(G$3&lt;=$O$2,$D610,$D610-($D610-$I$589)*MIN(G$3-$O$2,$Q$2)/$Q$2))</f>
        <v>13481.3223751779</v>
      </c>
      <c r="H610" s="15" t="n">
        <f aca="false">G610*(1+IF(H$3&lt;=$O$2,$D610,$D610-($D610-$I$589)*MIN(H$3-$O$2,$Q$2)/$Q$2))</f>
        <v>15937.2458581586</v>
      </c>
      <c r="I610" s="15" t="n">
        <f aca="false">H610*(1+IF(I$3&lt;=$O$2,$D610,$D610-($D610-$I$589)*MIN(I$3-$O$2,$Q$2)/$Q$2))</f>
        <v>18840.5705668057</v>
      </c>
      <c r="J610" s="15" t="n">
        <f aca="false">I610*(1+IF(J$3&lt;=$O$2,$D610,$D610-($D610-$I$589)*MIN(J$3-$O$2,$Q$2)/$Q$2))</f>
        <v>21655.3110902113</v>
      </c>
      <c r="K610" s="15" t="n">
        <f aca="false">J610*(1+IF(K$3&lt;=$O$2,$D610,$D610-($D610-$I$589)*MIN(K$3-$O$2,$Q$2)/$Q$2))</f>
        <v>24180.8266441221</v>
      </c>
      <c r="L610" s="15" t="n">
        <f aca="false">K610*(1+IF(L$3&lt;=$O$2,$D610,$D610-($D610-$I$589)*MIN(L$3-$O$2,$Q$2)/$Q$2))</f>
        <v>26208.3628277669</v>
      </c>
      <c r="M610" s="15" t="n">
        <f aca="false">L610*(1+IF(M$3&lt;=$O$2,$D610,$D610-($D610-$I$589)*MIN(M$3-$O$2,$Q$2)/$Q$2))</f>
        <v>27546.940798457</v>
      </c>
      <c r="N610" s="15" t="n">
        <f aca="false">M610*(1+IF(N$3&lt;=$O$2,$D610,$D610-($D610-$I$589)*MIN(N$3-$O$2,$Q$2)/$Q$2))</f>
        <v>28051.0498150688</v>
      </c>
      <c r="O610" s="15" t="n">
        <f aca="false">SUMPRODUCT(E610:N610,1/(1+$F$589)^$E$3:$N$3)*$E$2</f>
        <v>40719.4334392642</v>
      </c>
      <c r="P610" s="15" t="n">
        <f aca="false">N610*$E$2*(1+$I$589)/($F$589-$I$589)/(1+$F$589)^$N$3</f>
        <v>45780.6414915533</v>
      </c>
      <c r="Q610" s="15" t="n">
        <f aca="false">O610+P610</f>
        <v>86500.0749308175</v>
      </c>
      <c r="R610" s="15" t="n">
        <f aca="false">Q610-$G$2+$I$2</f>
        <v>80380.0749308175</v>
      </c>
      <c r="S610" s="42" t="n">
        <f aca="false">R610/$K$2</f>
        <v>464.141788490689</v>
      </c>
      <c r="T610" s="43" t="n">
        <f aca="false">S610-$M$2</f>
        <v>0.000432675929573634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0.182170867919922</v>
      </c>
      <c r="C611" s="25" t="n">
        <f aca="false">IF(T610&gt;0,D610,C610)</f>
        <v>0.182172298431396</v>
      </c>
      <c r="D611" s="41" t="n">
        <f aca="false">(B611+C611)/2</f>
        <v>0.182171583175659</v>
      </c>
      <c r="E611" s="15" t="n">
        <f aca="false">$C$2*(1+IF(E$3&lt;=$O$2,$D611,$D611-($D611-$I$589)*MIN(E$3-$O$2,$Q$2)/$Q$2))</f>
        <v>9646.52011871338</v>
      </c>
      <c r="F611" s="15" t="n">
        <f aca="false">E611*(1+IF(F$3&lt;=$O$2,$D611,$D611-($D611-$I$589)*MIN(F$3-$O$2,$Q$2)/$Q$2))</f>
        <v>11403.8419608752</v>
      </c>
      <c r="G611" s="15" t="n">
        <f aca="false">F611*(1+IF(G$3&lt;=$O$2,$D611,$D611-($D611-$I$589)*MIN(G$3-$O$2,$Q$2)/$Q$2))</f>
        <v>13481.2979051729</v>
      </c>
      <c r="H611" s="15" t="n">
        <f aca="false">G611*(1+IF(H$3&lt;=$O$2,$D611,$D611-($D611-$I$589)*MIN(H$3-$O$2,$Q$2)/$Q$2))</f>
        <v>15937.2072878209</v>
      </c>
      <c r="I611" s="15" t="n">
        <f aca="false">H611*(1+IF(I$3&lt;=$O$2,$D611,$D611-($D611-$I$589)*MIN(I$3-$O$2,$Q$2)/$Q$2))</f>
        <v>18840.5135708419</v>
      </c>
      <c r="J611" s="15" t="n">
        <f aca="false">I611*(1+IF(J$3&lt;=$O$2,$D611,$D611-($D611-$I$589)*MIN(J$3-$O$2,$Q$2)/$Q$2))</f>
        <v>21655.2347985454</v>
      </c>
      <c r="K611" s="15" t="n">
        <f aca="false">J611*(1+IF(K$3&lt;=$O$2,$D611,$D611-($D611-$I$589)*MIN(K$3-$O$2,$Q$2)/$Q$2))</f>
        <v>24180.7321616458</v>
      </c>
      <c r="L611" s="15" t="n">
        <f aca="false">K611*(1+IF(L$3&lt;=$O$2,$D611,$D611-($D611-$I$589)*MIN(L$3-$O$2,$Q$2)/$Q$2))</f>
        <v>26208.2535048741</v>
      </c>
      <c r="M611" s="15" t="n">
        <f aca="false">L611*(1+IF(M$3&lt;=$O$2,$D611,$D611-($D611-$I$589)*MIN(M$3-$O$2,$Q$2)/$Q$2))</f>
        <v>27546.8221428358</v>
      </c>
      <c r="N611" s="15" t="n">
        <f aca="false">M611*(1+IF(N$3&lt;=$O$2,$D611,$D611-($D611-$I$589)*MIN(N$3-$O$2,$Q$2)/$Q$2))</f>
        <v>28050.9289880497</v>
      </c>
      <c r="O611" s="15" t="n">
        <f aca="false">SUMPRODUCT(E611:N611,1/(1+$F$589)^$E$3:$N$3)*$E$2</f>
        <v>40719.309902525</v>
      </c>
      <c r="P611" s="15" t="n">
        <f aca="false">N611*$E$2*(1+$I$589)/($F$589-$I$589)/(1+$F$589)^$N$3</f>
        <v>45780.4442961371</v>
      </c>
      <c r="Q611" s="15" t="n">
        <f aca="false">O611+P611</f>
        <v>86499.7541986621</v>
      </c>
      <c r="R611" s="15" t="n">
        <f aca="false">Q611-$G$2+$I$2</f>
        <v>80379.7541986621</v>
      </c>
      <c r="S611" s="42" t="n">
        <f aca="false">R611/$K$2</f>
        <v>464.139936474547</v>
      </c>
      <c r="T611" s="43" t="n">
        <f aca="false">S611-$M$2</f>
        <v>-0.00141934021178258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0.182171583175659</v>
      </c>
      <c r="C612" s="25" t="n">
        <f aca="false">IF(T611&gt;0,D611,C611)</f>
        <v>0.182172298431396</v>
      </c>
      <c r="D612" s="41" t="n">
        <f aca="false">(B612+C612)/2</f>
        <v>0.182171940803528</v>
      </c>
      <c r="E612" s="15" t="n">
        <f aca="false">$C$2*(1+IF(E$3&lt;=$O$2,$D612,$D612-($D612-$I$589)*MIN(E$3-$O$2,$Q$2)/$Q$2))</f>
        <v>9646.52303695679</v>
      </c>
      <c r="F612" s="15" t="n">
        <f aca="false">E612*(1+IF(F$3&lt;=$O$2,$D612,$D612-($D612-$I$589)*MIN(F$3-$O$2,$Q$2)/$Q$2))</f>
        <v>11403.8488606051</v>
      </c>
      <c r="G612" s="15" t="n">
        <f aca="false">F612*(1+IF(G$3&lt;=$O$2,$D612,$D612-($D612-$I$589)*MIN(G$3-$O$2,$Q$2)/$Q$2))</f>
        <v>13481.3101401717</v>
      </c>
      <c r="H612" s="15" t="n">
        <f aca="false">G612*(1+IF(H$3&lt;=$O$2,$D612,$D612-($D612-$I$589)*MIN(H$3-$O$2,$Q$2)/$Q$2))</f>
        <v>15937.226572981</v>
      </c>
      <c r="I612" s="15" t="n">
        <f aca="false">H612*(1+IF(I$3&lt;=$O$2,$D612,$D612-($D612-$I$589)*MIN(I$3-$O$2,$Q$2)/$Q$2))</f>
        <v>18840.5420688066</v>
      </c>
      <c r="J612" s="15" t="n">
        <f aca="false">I612*(1+IF(J$3&lt;=$O$2,$D612,$D612-($D612-$I$589)*MIN(J$3-$O$2,$Q$2)/$Q$2))</f>
        <v>21655.2729443504</v>
      </c>
      <c r="K612" s="15" t="n">
        <f aca="false">J612*(1+IF(K$3&lt;=$O$2,$D612,$D612-($D612-$I$589)*MIN(K$3-$O$2,$Q$2)/$Q$2))</f>
        <v>24180.7794028445</v>
      </c>
      <c r="L612" s="15" t="n">
        <f aca="false">K612*(1+IF(L$3&lt;=$O$2,$D612,$D612-($D612-$I$589)*MIN(L$3-$O$2,$Q$2)/$Q$2))</f>
        <v>26208.308166271</v>
      </c>
      <c r="M612" s="15" t="n">
        <f aca="false">L612*(1+IF(M$3&lt;=$O$2,$D612,$D612-($D612-$I$589)*MIN(M$3-$O$2,$Q$2)/$Q$2))</f>
        <v>27546.8814705905</v>
      </c>
      <c r="N612" s="15" t="n">
        <f aca="false">M612*(1+IF(N$3&lt;=$O$2,$D612,$D612-($D612-$I$589)*MIN(N$3-$O$2,$Q$2)/$Q$2))</f>
        <v>28050.9894015023</v>
      </c>
      <c r="O612" s="15" t="n">
        <f aca="false">SUMPRODUCT(E612:N612,1/(1+$F$589)^$E$3:$N$3)*$E$2</f>
        <v>40719.3716708488</v>
      </c>
      <c r="P612" s="15" t="n">
        <f aca="false">N612*$E$2*(1+$I$589)/($F$589-$I$589)/(1+$F$589)^$N$3</f>
        <v>45780.5428937523</v>
      </c>
      <c r="Q612" s="15" t="n">
        <f aca="false">O612+P612</f>
        <v>86499.9145646011</v>
      </c>
      <c r="R612" s="15" t="n">
        <f aca="false">Q612-$G$2+$I$2</f>
        <v>80379.9145646011</v>
      </c>
      <c r="S612" s="42" t="n">
        <f aca="false">R612/$K$2</f>
        <v>464.140862481817</v>
      </c>
      <c r="T612" s="43" t="n">
        <f aca="false">S612-$M$2</f>
        <v>-0.000493332942141933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0.182171940803528</v>
      </c>
      <c r="C613" s="25" t="n">
        <f aca="false">IF(T612&gt;0,D612,C612)</f>
        <v>0.182172298431396</v>
      </c>
      <c r="D613" s="41" t="n">
        <f aca="false">(B613+C613)/2</f>
        <v>0.182172119617462</v>
      </c>
      <c r="E613" s="15" t="n">
        <f aca="false">$C$2*(1+IF(E$3&lt;=$O$2,$D613,$D613-($D613-$I$589)*MIN(E$3-$O$2,$Q$2)/$Q$2))</f>
        <v>9646.52449607849</v>
      </c>
      <c r="F613" s="15" t="n">
        <f aca="false">E613*(1+IF(F$3&lt;=$O$2,$D613,$D613-($D613-$I$589)*MIN(F$3-$O$2,$Q$2)/$Q$2))</f>
        <v>11403.8523104709</v>
      </c>
      <c r="G613" s="15" t="n">
        <f aca="false">F613*(1+IF(G$3&lt;=$O$2,$D613,$D613-($D613-$I$589)*MIN(G$3-$O$2,$Q$2)/$Q$2))</f>
        <v>13481.3162576739</v>
      </c>
      <c r="H613" s="15" t="n">
        <f aca="false">G613*(1+IF(H$3&lt;=$O$2,$D613,$D613-($D613-$I$589)*MIN(H$3-$O$2,$Q$2)/$Q$2))</f>
        <v>15937.2362155677</v>
      </c>
      <c r="I613" s="15" t="n">
        <f aca="false">H613*(1+IF(I$3&lt;=$O$2,$D613,$D613-($D613-$I$589)*MIN(I$3-$O$2,$Q$2)/$Q$2))</f>
        <v>18840.5563178018</v>
      </c>
      <c r="J613" s="15" t="n">
        <f aca="false">I613*(1+IF(J$3&lt;=$O$2,$D613,$D613-($D613-$I$589)*MIN(J$3-$O$2,$Q$2)/$Q$2))</f>
        <v>21655.2920172738</v>
      </c>
      <c r="K613" s="15" t="n">
        <f aca="false">J613*(1+IF(K$3&lt;=$O$2,$D613,$D613-($D613-$I$589)*MIN(K$3-$O$2,$Q$2)/$Q$2))</f>
        <v>24180.8030234734</v>
      </c>
      <c r="L613" s="15" t="n">
        <f aca="false">K613*(1+IF(L$3&lt;=$O$2,$D613,$D613-($D613-$I$589)*MIN(L$3-$O$2,$Q$2)/$Q$2))</f>
        <v>26208.3354970066</v>
      </c>
      <c r="M613" s="15" t="n">
        <f aca="false">L613*(1+IF(M$3&lt;=$O$2,$D613,$D613-($D613-$I$589)*MIN(M$3-$O$2,$Q$2)/$Q$2))</f>
        <v>27546.9111345098</v>
      </c>
      <c r="N613" s="15" t="n">
        <f aca="false">M613*(1+IF(N$3&lt;=$O$2,$D613,$D613-($D613-$I$589)*MIN(N$3-$O$2,$Q$2)/$Q$2))</f>
        <v>28051.0196082713</v>
      </c>
      <c r="O613" s="15" t="n">
        <f aca="false">SUMPRODUCT(E613:N613,1/(1+$F$589)^$E$3:$N$3)*$E$2</f>
        <v>40719.402555045</v>
      </c>
      <c r="P613" s="15" t="n">
        <f aca="false">N613*$E$2*(1+$I$589)/($F$589-$I$589)/(1+$F$589)^$N$3</f>
        <v>45780.5921926296</v>
      </c>
      <c r="Q613" s="15" t="n">
        <f aca="false">O613+P613</f>
        <v>86499.9947476746</v>
      </c>
      <c r="R613" s="15" t="n">
        <f aca="false">Q613-$G$2+$I$2</f>
        <v>80379.9947476746</v>
      </c>
      <c r="S613" s="42" t="n">
        <f aca="false">R613/$K$2</f>
        <v>464.141325486053</v>
      </c>
      <c r="T613" s="43" t="n">
        <f aca="false">S613-$M$2</f>
        <v>-3.03287066572011E-005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0.182172119617462</v>
      </c>
      <c r="C614" s="25" t="n">
        <f aca="false">IF(T613&gt;0,D613,C613)</f>
        <v>0.182172298431396</v>
      </c>
      <c r="D614" s="41" t="n">
        <f aca="false">(B614+C614)/2</f>
        <v>0.182172209024429</v>
      </c>
      <c r="E614" s="15" t="n">
        <f aca="false">$C$2*(1+IF(E$3&lt;=$O$2,$D614,$D614-($D614-$I$589)*MIN(E$3-$O$2,$Q$2)/$Q$2))</f>
        <v>9646.52522563934</v>
      </c>
      <c r="F614" s="15" t="n">
        <f aca="false">E614*(1+IF(F$3&lt;=$O$2,$D614,$D614-($D614-$I$589)*MIN(F$3-$O$2,$Q$2)/$Q$2))</f>
        <v>11403.8540354039</v>
      </c>
      <c r="G614" s="15" t="n">
        <f aca="false">F614*(1+IF(G$3&lt;=$O$2,$D614,$D614-($D614-$I$589)*MIN(G$3-$O$2,$Q$2)/$Q$2))</f>
        <v>13481.3193164256</v>
      </c>
      <c r="H614" s="15" t="n">
        <f aca="false">G614*(1+IF(H$3&lt;=$O$2,$D614,$D614-($D614-$I$589)*MIN(H$3-$O$2,$Q$2)/$Q$2))</f>
        <v>15937.2410368626</v>
      </c>
      <c r="I614" s="15" t="n">
        <f aca="false">H614*(1+IF(I$3&lt;=$O$2,$D614,$D614-($D614-$I$589)*MIN(I$3-$O$2,$Q$2)/$Q$2))</f>
        <v>18840.5634423026</v>
      </c>
      <c r="J614" s="15" t="n">
        <f aca="false">I614*(1+IF(J$3&lt;=$O$2,$D614,$D614-($D614-$I$589)*MIN(J$3-$O$2,$Q$2)/$Q$2))</f>
        <v>21655.3015537408</v>
      </c>
      <c r="K614" s="15" t="n">
        <f aca="false">J614*(1+IF(K$3&lt;=$O$2,$D614,$D614-($D614-$I$589)*MIN(K$3-$O$2,$Q$2)/$Q$2))</f>
        <v>24180.8148337953</v>
      </c>
      <c r="L614" s="15" t="n">
        <f aca="false">K614*(1+IF(L$3&lt;=$O$2,$D614,$D614-($D614-$I$589)*MIN(L$3-$O$2,$Q$2)/$Q$2))</f>
        <v>26208.3491623836</v>
      </c>
      <c r="M614" s="15" t="n">
        <f aca="false">L614*(1+IF(M$3&lt;=$O$2,$D614,$D614-($D614-$I$589)*MIN(M$3-$O$2,$Q$2)/$Q$2))</f>
        <v>27546.9259664799</v>
      </c>
      <c r="N614" s="15" t="n">
        <f aca="false">M614*(1+IF(N$3&lt;=$O$2,$D614,$D614-($D614-$I$589)*MIN(N$3-$O$2,$Q$2)/$Q$2))</f>
        <v>28051.0347116665</v>
      </c>
      <c r="O614" s="15" t="n">
        <f aca="false">SUMPRODUCT(E614:N614,1/(1+$F$589)^$E$3:$N$3)*$E$2</f>
        <v>40719.4179971517</v>
      </c>
      <c r="P614" s="15" t="n">
        <f aca="false">N614*$E$2*(1+$I$589)/($F$589-$I$589)/(1+$F$589)^$N$3</f>
        <v>45780.6168420856</v>
      </c>
      <c r="Q614" s="15" t="n">
        <f aca="false">O614+P614</f>
        <v>86500.0348392374</v>
      </c>
      <c r="R614" s="15" t="n">
        <f aca="false">Q614-$G$2+$I$2</f>
        <v>80380.0348392374</v>
      </c>
      <c r="S614" s="42" t="n">
        <f aca="false">R614/$K$2</f>
        <v>464.141556988321</v>
      </c>
      <c r="T614" s="43" t="n">
        <f aca="false">S614-$M$2</f>
        <v>0.000201173561436008</v>
      </c>
    </row>
    <row r="616" customFormat="false" ht="15" hidden="false" customHeight="false" outlineLevel="0" collapsed="false">
      <c r="A616" s="38" t="s">
        <v>203</v>
      </c>
      <c r="E616" s="5" t="s">
        <v>11</v>
      </c>
      <c r="F616" s="12" t="n">
        <f aca="false">Sensitivity!$B$14</f>
        <v>0.105316051923387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162</v>
      </c>
      <c r="B617" s="28" t="s">
        <v>163</v>
      </c>
      <c r="C617" s="28" t="s">
        <v>164</v>
      </c>
      <c r="D617" s="28" t="s">
        <v>165</v>
      </c>
      <c r="E617" s="28" t="s">
        <v>166</v>
      </c>
      <c r="F617" s="28" t="s">
        <v>167</v>
      </c>
      <c r="G617" s="28" t="s">
        <v>168</v>
      </c>
      <c r="H617" s="28" t="s">
        <v>169</v>
      </c>
      <c r="I617" s="28" t="s">
        <v>170</v>
      </c>
      <c r="J617" s="28" t="s">
        <v>171</v>
      </c>
      <c r="K617" s="28" t="s">
        <v>172</v>
      </c>
      <c r="L617" s="28" t="s">
        <v>173</v>
      </c>
      <c r="M617" s="28" t="s">
        <v>174</v>
      </c>
      <c r="N617" s="28" t="s">
        <v>175</v>
      </c>
      <c r="O617" s="28" t="s">
        <v>176</v>
      </c>
      <c r="P617" s="28" t="s">
        <v>177</v>
      </c>
      <c r="Q617" s="28" t="s">
        <v>178</v>
      </c>
      <c r="R617" s="28" t="s">
        <v>179</v>
      </c>
      <c r="S617" s="28" t="s">
        <v>180</v>
      </c>
      <c r="T617" s="28" t="s">
        <v>181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10200</v>
      </c>
      <c r="F618" s="15" t="n">
        <f aca="false">E618*(1+IF(F$3&lt;=$O$2,$D618,$D618-($D618-$I$616)*MIN(F$3-$O$2,$Q$2)/$Q$2))</f>
        <v>12750</v>
      </c>
      <c r="G618" s="15" t="n">
        <f aca="false">F618*(1+IF(G$3&lt;=$O$2,$D618,$D618-($D618-$I$616)*MIN(G$3-$O$2,$Q$2)/$Q$2))</f>
        <v>15937.5</v>
      </c>
      <c r="H618" s="15" t="n">
        <f aca="false">G618*(1+IF(H$3&lt;=$O$2,$D618,$D618-($D618-$I$616)*MIN(H$3-$O$2,$Q$2)/$Q$2))</f>
        <v>19921.875</v>
      </c>
      <c r="I618" s="15" t="n">
        <f aca="false">H618*(1+IF(I$3&lt;=$O$2,$D618,$D618-($D618-$I$616)*MIN(I$3-$O$2,$Q$2)/$Q$2))</f>
        <v>24902.34375</v>
      </c>
      <c r="J618" s="15" t="n">
        <f aca="false">I618*(1+IF(J$3&lt;=$O$2,$D618,$D618-($D618-$I$616)*MIN(J$3-$O$2,$Q$2)/$Q$2))</f>
        <v>29998.857421875</v>
      </c>
      <c r="K618" s="15" t="n">
        <f aca="false">J618*(1+IF(K$3&lt;=$O$2,$D618,$D618-($D618-$I$616)*MIN(K$3-$O$2,$Q$2)/$Q$2))</f>
        <v>34778.2753863281</v>
      </c>
      <c r="L618" s="15" t="n">
        <f aca="false">K618*(1+IF(L$3&lt;=$O$2,$D618,$D618-($D618-$I$616)*MIN(L$3-$O$2,$Q$2)/$Q$2))</f>
        <v>38742.3032148618</v>
      </c>
      <c r="M618" s="15" t="n">
        <f aca="false">L618*(1+IF(M$3&lt;=$O$2,$D618,$D618-($D618-$I$616)*MIN(M$3-$O$2,$Q$2)/$Q$2))</f>
        <v>41401.5749075299</v>
      </c>
      <c r="N618" s="15" t="n">
        <f aca="false">M618*(1+IF(N$3&lt;=$O$2,$D618,$D618-($D618-$I$616)*MIN(N$3-$O$2,$Q$2)/$Q$2))</f>
        <v>42366.2316028754</v>
      </c>
      <c r="O618" s="15" t="n">
        <f aca="false">SUMPRODUCT(E618:N618,1/(1+$F$616)^$E$3:$N$3)*$E$2</f>
        <v>54426.5947402733</v>
      </c>
      <c r="P618" s="15" t="n">
        <f aca="false">N618*$E$2*(1+$I$616)/($F$616-$I$616)/(1+$F$616)^$N$3</f>
        <v>73719.152880176</v>
      </c>
      <c r="Q618" s="15" t="n">
        <f aca="false">O618+P618</f>
        <v>128145.747620449</v>
      </c>
      <c r="R618" s="15" t="n">
        <f aca="false">Q618-$G$2+$I$2</f>
        <v>122025.747620449</v>
      </c>
      <c r="S618" s="42" t="n">
        <f aca="false">R618/$K$2</f>
        <v>704.618013745521</v>
      </c>
      <c r="T618" s="43" t="n">
        <f aca="false">S618-$M$2</f>
        <v>240.476657930762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7140</v>
      </c>
      <c r="F619" s="15" t="n">
        <f aca="false">E619*(1+IF(F$3&lt;=$O$2,$D619,$D619-($D619-$I$616)*MIN(F$3-$O$2,$Q$2)/$Q$2))</f>
        <v>6247.5</v>
      </c>
      <c r="G619" s="15" t="n">
        <f aca="false">F619*(1+IF(G$3&lt;=$O$2,$D619,$D619-($D619-$I$616)*MIN(G$3-$O$2,$Q$2)/$Q$2))</f>
        <v>5466.5625</v>
      </c>
      <c r="H619" s="15" t="n">
        <f aca="false">G619*(1+IF(H$3&lt;=$O$2,$D619,$D619-($D619-$I$616)*MIN(H$3-$O$2,$Q$2)/$Q$2))</f>
        <v>4783.2421875</v>
      </c>
      <c r="I619" s="15" t="n">
        <f aca="false">H619*(1+IF(I$3&lt;=$O$2,$D619,$D619-($D619-$I$616)*MIN(I$3-$O$2,$Q$2)/$Q$2))</f>
        <v>4185.3369140625</v>
      </c>
      <c r="J619" s="15" t="n">
        <f aca="false">I619*(1+IF(J$3&lt;=$O$2,$D619,$D619-($D619-$I$616)*MIN(J$3-$O$2,$Q$2)/$Q$2))</f>
        <v>3786.30689267578</v>
      </c>
      <c r="K619" s="15" t="n">
        <f aca="false">J619*(1+IF(K$3&lt;=$O$2,$D619,$D619-($D619-$I$616)*MIN(K$3-$O$2,$Q$2)/$Q$2))</f>
        <v>3537.62225596484</v>
      </c>
      <c r="L619" s="15" t="n">
        <f aca="false">K619*(1+IF(L$3&lt;=$O$2,$D619,$D619-($D619-$I$616)*MIN(L$3-$O$2,$Q$2)/$Q$2))</f>
        <v>3410.19710230498</v>
      </c>
      <c r="M619" s="15" t="n">
        <f aca="false">L619*(1+IF(M$3&lt;=$O$2,$D619,$D619-($D619-$I$616)*MIN(M$3-$O$2,$Q$2)/$Q$2))</f>
        <v>3388.50824873432</v>
      </c>
      <c r="N619" s="15" t="n">
        <f aca="false">M619*(1+IF(N$3&lt;=$O$2,$D619,$D619-($D619-$I$616)*MIN(N$3-$O$2,$Q$2)/$Q$2))</f>
        <v>3467.46049092983</v>
      </c>
      <c r="O619" s="15" t="n">
        <f aca="false">SUMPRODUCT(E619:N619,1/(1+$F$616)^$E$3:$N$3)*$E$2</f>
        <v>11150.6594511004</v>
      </c>
      <c r="P619" s="15" t="n">
        <f aca="false">N619*$E$2*(1+$I$616)/($F$616-$I$616)/(1+$F$616)^$N$3</f>
        <v>6033.5375690926</v>
      </c>
      <c r="Q619" s="15" t="n">
        <f aca="false">O619+P619</f>
        <v>17184.1970201929</v>
      </c>
      <c r="R619" s="15" t="n">
        <f aca="false">Q619-$G$2+$I$2</f>
        <v>11064.1970201929</v>
      </c>
      <c r="S619" s="42" t="n">
        <f aca="false">R619/$K$2</f>
        <v>63.8884225672303</v>
      </c>
      <c r="T619" s="43" t="n">
        <f aca="false">S619-$M$2</f>
        <v>-400.252933247529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8670</v>
      </c>
      <c r="F620" s="15" t="n">
        <f aca="false">E620*(1+IF(F$3&lt;=$O$2,$D620,$D620-($D620-$I$616)*MIN(F$3-$O$2,$Q$2)/$Q$2))</f>
        <v>9211.875</v>
      </c>
      <c r="G620" s="15" t="n">
        <f aca="false">F620*(1+IF(G$3&lt;=$O$2,$D620,$D620-($D620-$I$616)*MIN(G$3-$O$2,$Q$2)/$Q$2))</f>
        <v>9787.6171875</v>
      </c>
      <c r="H620" s="15" t="n">
        <f aca="false">G620*(1+IF(H$3&lt;=$O$2,$D620,$D620-($D620-$I$616)*MIN(H$3-$O$2,$Q$2)/$Q$2))</f>
        <v>10399.3432617188</v>
      </c>
      <c r="I620" s="15" t="n">
        <f aca="false">H620*(1+IF(I$3&lt;=$O$2,$D620,$D620-($D620-$I$616)*MIN(I$3-$O$2,$Q$2)/$Q$2))</f>
        <v>11049.3022155762</v>
      </c>
      <c r="J620" s="15" t="n">
        <f aca="false">I620*(1+IF(J$3&lt;=$O$2,$D620,$D620-($D620-$I$616)*MIN(J$3-$O$2,$Q$2)/$Q$2))</f>
        <v>11653.2570746796</v>
      </c>
      <c r="K620" s="15" t="n">
        <f aca="false">J620*(1+IF(K$3&lt;=$O$2,$D620,$D620-($D620-$I$616)*MIN(K$3-$O$2,$Q$2)/$Q$2))</f>
        <v>12198.8625709161</v>
      </c>
      <c r="L620" s="15" t="n">
        <f aca="false">K620*(1+IF(L$3&lt;=$O$2,$D620,$D620-($D620-$I$616)*MIN(L$3-$O$2,$Q$2)/$Q$2))</f>
        <v>12674.3742339304</v>
      </c>
      <c r="M620" s="15" t="n">
        <f aca="false">L620*(1+IF(M$3&lt;=$O$2,$D620,$D620-($D620-$I$616)*MIN(M$3-$O$2,$Q$2)/$Q$2))</f>
        <v>13069.054247575</v>
      </c>
      <c r="N620" s="15" t="n">
        <f aca="false">M620*(1+IF(N$3&lt;=$O$2,$D620,$D620-($D620-$I$616)*MIN(N$3-$O$2,$Q$2)/$Q$2))</f>
        <v>13373.5632115435</v>
      </c>
      <c r="O620" s="15" t="n">
        <f aca="false">SUMPRODUCT(E620:N620,1/(1+$F$616)^$E$3:$N$3)*$E$2</f>
        <v>24540.3773063605</v>
      </c>
      <c r="P620" s="15" t="n">
        <f aca="false">N620*$E$2*(1+$I$616)/($F$616-$I$616)/(1+$F$616)^$N$3</f>
        <v>23270.6028750869</v>
      </c>
      <c r="Q620" s="15" t="n">
        <f aca="false">O620+P620</f>
        <v>47810.9801814475</v>
      </c>
      <c r="R620" s="15" t="n">
        <f aca="false">Q620-$G$2+$I$2</f>
        <v>41690.9801814475</v>
      </c>
      <c r="S620" s="42" t="n">
        <f aca="false">R620/$K$2</f>
        <v>240.737846064485</v>
      </c>
      <c r="T620" s="43" t="n">
        <f aca="false">S620-$M$2</f>
        <v>-223.403509750274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9435</v>
      </c>
      <c r="F621" s="15" t="n">
        <f aca="false">E621*(1+IF(F$3&lt;=$O$2,$D621,$D621-($D621-$I$616)*MIN(F$3-$O$2,$Q$2)/$Q$2))</f>
        <v>10909.21875</v>
      </c>
      <c r="G621" s="15" t="n">
        <f aca="false">F621*(1+IF(G$3&lt;=$O$2,$D621,$D621-($D621-$I$616)*MIN(G$3-$O$2,$Q$2)/$Q$2))</f>
        <v>12613.7841796875</v>
      </c>
      <c r="H621" s="15" t="n">
        <f aca="false">G621*(1+IF(H$3&lt;=$O$2,$D621,$D621-($D621-$I$616)*MIN(H$3-$O$2,$Q$2)/$Q$2))</f>
        <v>14584.6879577637</v>
      </c>
      <c r="I621" s="15" t="n">
        <f aca="false">H621*(1+IF(I$3&lt;=$O$2,$D621,$D621-($D621-$I$616)*MIN(I$3-$O$2,$Q$2)/$Q$2))</f>
        <v>16863.5454511642</v>
      </c>
      <c r="J621" s="15" t="n">
        <f aca="false">I621*(1+IF(J$3&lt;=$O$2,$D621,$D621-($D621-$I$616)*MIN(J$3-$O$2,$Q$2)/$Q$2))</f>
        <v>19050.0727543622</v>
      </c>
      <c r="K621" s="15" t="n">
        <f aca="false">J621*(1+IF(K$3&lt;=$O$2,$D621,$D621-($D621-$I$616)*MIN(K$3-$O$2,$Q$2)/$Q$2))</f>
        <v>21013.5637531543</v>
      </c>
      <c r="L621" s="15" t="n">
        <f aca="false">K621*(1+IF(L$3&lt;=$O$2,$D621,$D621-($D621-$I$616)*MIN(L$3-$O$2,$Q$2)/$Q$2))</f>
        <v>22620.6811089956</v>
      </c>
      <c r="M621" s="15" t="n">
        <f aca="false">L621*(1+IF(M$3&lt;=$O$2,$D621,$D621-($D621-$I$616)*MIN(M$3-$O$2,$Q$2)/$Q$2))</f>
        <v>23749.2268895233</v>
      </c>
      <c r="N621" s="15" t="n">
        <f aca="false">M621*(1+IF(N$3&lt;=$O$2,$D621,$D621-($D621-$I$616)*MIN(N$3-$O$2,$Q$2)/$Q$2))</f>
        <v>24302.5838760492</v>
      </c>
      <c r="O621" s="15" t="n">
        <f aca="false">SUMPRODUCT(E621:N621,1/(1+$F$616)^$E$3:$N$3)*$E$2</f>
        <v>36592.1069637871</v>
      </c>
      <c r="P621" s="15" t="n">
        <f aca="false">N621*$E$2*(1+$I$616)/($F$616-$I$616)/(1+$F$616)^$N$3</f>
        <v>42287.5915171125</v>
      </c>
      <c r="Q621" s="15" t="n">
        <f aca="false">O621+P621</f>
        <v>78879.6984808996</v>
      </c>
      <c r="R621" s="15" t="n">
        <f aca="false">Q621-$G$2+$I$2</f>
        <v>72759.6984808996</v>
      </c>
      <c r="S621" s="42" t="n">
        <f aca="false">R621/$K$2</f>
        <v>420.1391527942</v>
      </c>
      <c r="T621" s="43" t="n">
        <f aca="false">S621-$M$2</f>
        <v>-44.002203020559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0.15625</v>
      </c>
      <c r="C622" s="25" t="n">
        <f aca="false">IF(T621&gt;0,D621,C621)</f>
        <v>0.25</v>
      </c>
      <c r="D622" s="41" t="n">
        <f aca="false">(B622+C622)/2</f>
        <v>0.203125</v>
      </c>
      <c r="E622" s="15" t="n">
        <f aca="false">$C$2*(1+IF(E$3&lt;=$O$2,$D622,$D622-($D622-$I$616)*MIN(E$3-$O$2,$Q$2)/$Q$2))</f>
        <v>9817.5</v>
      </c>
      <c r="F622" s="15" t="n">
        <f aca="false">E622*(1+IF(F$3&lt;=$O$2,$D622,$D622-($D622-$I$616)*MIN(F$3-$O$2,$Q$2)/$Q$2))</f>
        <v>11811.6796875</v>
      </c>
      <c r="G622" s="15" t="n">
        <f aca="false">F622*(1+IF(G$3&lt;=$O$2,$D622,$D622-($D622-$I$616)*MIN(G$3-$O$2,$Q$2)/$Q$2))</f>
        <v>14210.9271240234</v>
      </c>
      <c r="H622" s="15" t="n">
        <f aca="false">G622*(1+IF(H$3&lt;=$O$2,$D622,$D622-($D622-$I$616)*MIN(H$3-$O$2,$Q$2)/$Q$2))</f>
        <v>17097.5216960907</v>
      </c>
      <c r="I622" s="15" t="n">
        <f aca="false">H622*(1+IF(I$3&lt;=$O$2,$D622,$D622-($D622-$I$616)*MIN(I$3-$O$2,$Q$2)/$Q$2))</f>
        <v>20570.4557906091</v>
      </c>
      <c r="J622" s="15" t="n">
        <f aca="false">I622*(1+IF(J$3&lt;=$O$2,$D622,$D622-($D622-$I$616)*MIN(J$3-$O$2,$Q$2)/$Q$2))</f>
        <v>24009.0131805673</v>
      </c>
      <c r="K622" s="15" t="n">
        <f aca="false">J622*(1+IF(K$3&lt;=$O$2,$D622,$D622-($D622-$I$616)*MIN(K$3-$O$2,$Q$2)/$Q$2))</f>
        <v>27158.8756647919</v>
      </c>
      <c r="L622" s="15" t="n">
        <f aca="false">K622*(1+IF(L$3&lt;=$O$2,$D622,$D622-($D622-$I$616)*MIN(L$3-$O$2,$Q$2)/$Q$2))</f>
        <v>29745.21539435</v>
      </c>
      <c r="M622" s="15" t="n">
        <f aca="false">L622*(1+IF(M$3&lt;=$O$2,$D622,$D622-($D622-$I$616)*MIN(M$3-$O$2,$Q$2)/$Q$2))</f>
        <v>31508.0655846962</v>
      </c>
      <c r="N622" s="15" t="n">
        <f aca="false">M622*(1+IF(N$3&lt;=$O$2,$D622,$D622-($D622-$I$616)*MIN(N$3-$O$2,$Q$2)/$Q$2))</f>
        <v>32242.2035128196</v>
      </c>
      <c r="O622" s="15" t="n">
        <f aca="false">SUMPRODUCT(E622:N622,1/(1+$F$616)^$E$3:$N$3)*$E$2</f>
        <v>44651.5957543837</v>
      </c>
      <c r="P622" s="15" t="n">
        <f aca="false">N622*$E$2*(1+$I$616)/($F$616-$I$616)/(1+$F$616)^$N$3</f>
        <v>56102.8876071663</v>
      </c>
      <c r="Q622" s="15" t="n">
        <f aca="false">O622+P622</f>
        <v>100754.48336155</v>
      </c>
      <c r="R622" s="15" t="n">
        <f aca="false">Q622-$G$2+$I$2</f>
        <v>94634.48336155</v>
      </c>
      <c r="S622" s="42" t="n">
        <f aca="false">R622/$K$2</f>
        <v>546.451572707876</v>
      </c>
      <c r="T622" s="43" t="n">
        <f aca="false">S622-$M$2</f>
        <v>82.3102168931169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0.15625</v>
      </c>
      <c r="C623" s="25" t="n">
        <f aca="false">IF(T622&gt;0,D622,C622)</f>
        <v>0.203125</v>
      </c>
      <c r="D623" s="41" t="n">
        <f aca="false">(B623+C623)/2</f>
        <v>0.1796875</v>
      </c>
      <c r="E623" s="15" t="n">
        <f aca="false">$C$2*(1+IF(E$3&lt;=$O$2,$D623,$D623-($D623-$I$616)*MIN(E$3-$O$2,$Q$2)/$Q$2))</f>
        <v>9626.25</v>
      </c>
      <c r="F623" s="15" t="n">
        <f aca="false">E623*(1+IF(F$3&lt;=$O$2,$D623,$D623-($D623-$I$616)*MIN(F$3-$O$2,$Q$2)/$Q$2))</f>
        <v>11355.966796875</v>
      </c>
      <c r="G623" s="15" t="n">
        <f aca="false">F623*(1+IF(G$3&lt;=$O$2,$D623,$D623-($D623-$I$616)*MIN(G$3-$O$2,$Q$2)/$Q$2))</f>
        <v>13396.4920806885</v>
      </c>
      <c r="H623" s="15" t="n">
        <f aca="false">G623*(1+IF(H$3&lt;=$O$2,$D623,$D623-($D623-$I$616)*MIN(H$3-$O$2,$Q$2)/$Q$2))</f>
        <v>15803.6742514372</v>
      </c>
      <c r="I623" s="15" t="n">
        <f aca="false">H623*(1+IF(I$3&lt;=$O$2,$D623,$D623-($D623-$I$616)*MIN(I$3-$O$2,$Q$2)/$Q$2))</f>
        <v>18643.3969684923</v>
      </c>
      <c r="J623" s="15" t="n">
        <f aca="false">I623*(1+IF(J$3&lt;=$O$2,$D623,$D623-($D623-$I$616)*MIN(J$3-$O$2,$Q$2)/$Q$2))</f>
        <v>21410.2635125862</v>
      </c>
      <c r="K623" s="15" t="n">
        <f aca="false">J623*(1+IF(K$3&lt;=$O$2,$D623,$D623-($D623-$I$616)*MIN(K$3-$O$2,$Q$2)/$Q$2))</f>
        <v>23918.1012034743</v>
      </c>
      <c r="L623" s="15" t="n">
        <f aca="false">K623*(1+IF(L$3&lt;=$O$2,$D623,$D623-($D623-$I$616)*MIN(L$3-$O$2,$Q$2)/$Q$2))</f>
        <v>25971.5897822985</v>
      </c>
      <c r="M623" s="15" t="n">
        <f aca="false">L623*(1+IF(M$3&lt;=$O$2,$D623,$D623-($D623-$I$616)*MIN(M$3-$O$2,$Q$2)/$Q$2))</f>
        <v>27389.0542236419</v>
      </c>
      <c r="N623" s="15" t="n">
        <f aca="false">M623*(1+IF(N$3&lt;=$O$2,$D623,$D623-($D623-$I$616)*MIN(N$3-$O$2,$Q$2)/$Q$2))</f>
        <v>28027.2191870528</v>
      </c>
      <c r="O623" s="15" t="n">
        <f aca="false">SUMPRODUCT(E623:N623,1/(1+$F$616)^$E$3:$N$3)*$E$2</f>
        <v>40425.9162955277</v>
      </c>
      <c r="P623" s="15" t="n">
        <f aca="false">N623*$E$2*(1+$I$616)/($F$616-$I$616)/(1+$F$616)^$N$3</f>
        <v>48768.6248667045</v>
      </c>
      <c r="Q623" s="15" t="n">
        <f aca="false">O623+P623</f>
        <v>89194.5411622321</v>
      </c>
      <c r="R623" s="15" t="n">
        <f aca="false">Q623-$G$2+$I$2</f>
        <v>83074.5411622321</v>
      </c>
      <c r="S623" s="42" t="n">
        <f aca="false">R623/$K$2</f>
        <v>479.700549498973</v>
      </c>
      <c r="T623" s="43" t="n">
        <f aca="false">S623-$M$2</f>
        <v>15.5591936842137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0.15625</v>
      </c>
      <c r="C624" s="25" t="n">
        <f aca="false">IF(T623&gt;0,D623,C623)</f>
        <v>0.1796875</v>
      </c>
      <c r="D624" s="41" t="n">
        <f aca="false">(B624+C624)/2</f>
        <v>0.16796875</v>
      </c>
      <c r="E624" s="15" t="n">
        <f aca="false">$C$2*(1+IF(E$3&lt;=$O$2,$D624,$D624-($D624-$I$616)*MIN(E$3-$O$2,$Q$2)/$Q$2))</f>
        <v>9530.625</v>
      </c>
      <c r="F624" s="15" t="n">
        <f aca="false">E624*(1+IF(F$3&lt;=$O$2,$D624,$D624-($D624-$I$616)*MIN(F$3-$O$2,$Q$2)/$Q$2))</f>
        <v>11131.4721679688</v>
      </c>
      <c r="G624" s="15" t="n">
        <f aca="false">F624*(1+IF(G$3&lt;=$O$2,$D624,$D624-($D624-$I$616)*MIN(G$3-$O$2,$Q$2)/$Q$2))</f>
        <v>13001.2116336823</v>
      </c>
      <c r="H624" s="15" t="n">
        <f aca="false">G624*(1+IF(H$3&lt;=$O$2,$D624,$D624-($D624-$I$616)*MIN(H$3-$O$2,$Q$2)/$Q$2))</f>
        <v>15185.0089002773</v>
      </c>
      <c r="I624" s="15" t="n">
        <f aca="false">H624*(1+IF(I$3&lt;=$O$2,$D624,$D624-($D624-$I$616)*MIN(I$3-$O$2,$Q$2)/$Q$2))</f>
        <v>17735.6158639958</v>
      </c>
      <c r="J624" s="15" t="n">
        <f aca="false">I624*(1+IF(J$3&lt;=$O$2,$D624,$D624-($D624-$I$616)*MIN(J$3-$O$2,$Q$2)/$Q$2))</f>
        <v>20201.4872156464</v>
      </c>
      <c r="K624" s="15" t="n">
        <f aca="false">J624*(1+IF(K$3&lt;=$O$2,$D624,$D624-($D624-$I$616)*MIN(K$3-$O$2,$Q$2)/$Q$2))</f>
        <v>22425.6962099481</v>
      </c>
      <c r="L624" s="15" t="n">
        <f aca="false">K624*(1+IF(L$3&lt;=$O$2,$D624,$D624-($D624-$I$616)*MIN(L$3-$O$2,$Q$2)/$Q$2))</f>
        <v>24245.9339070691</v>
      </c>
      <c r="M624" s="15" t="n">
        <f aca="false">L624*(1+IF(M$3&lt;=$O$2,$D624,$D624-($D624-$I$616)*MIN(M$3-$O$2,$Q$2)/$Q$2))</f>
        <v>25512.3899572875</v>
      </c>
      <c r="N624" s="15" t="n">
        <f aca="false">M624*(1+IF(N$3&lt;=$O$2,$D624,$D624-($D624-$I$616)*MIN(N$3-$O$2,$Q$2)/$Q$2))</f>
        <v>26106.8286432923</v>
      </c>
      <c r="O624" s="15" t="n">
        <f aca="false">SUMPRODUCT(E624:N624,1/(1+$F$616)^$E$3:$N$3)*$E$2</f>
        <v>38462.1891139895</v>
      </c>
      <c r="P624" s="15" t="n">
        <f aca="false">N624*$E$2*(1+$I$616)/($F$616-$I$616)/(1+$F$616)^$N$3</f>
        <v>45427.058748383</v>
      </c>
      <c r="Q624" s="15" t="n">
        <f aca="false">O624+P624</f>
        <v>83889.2478623725</v>
      </c>
      <c r="R624" s="15" t="n">
        <f aca="false">Q624-$G$2+$I$2</f>
        <v>77769.2478623725</v>
      </c>
      <c r="S624" s="42" t="n">
        <f aca="false">R624/$K$2</f>
        <v>449.065988349535</v>
      </c>
      <c r="T624" s="43" t="n">
        <f aca="false">S624-$M$2</f>
        <v>-15.0753674652241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0.16796875</v>
      </c>
      <c r="C625" s="25" t="n">
        <f aca="false">IF(T624&gt;0,D624,C624)</f>
        <v>0.1796875</v>
      </c>
      <c r="D625" s="41" t="n">
        <f aca="false">(B625+C625)/2</f>
        <v>0.173828125</v>
      </c>
      <c r="E625" s="15" t="n">
        <f aca="false">$C$2*(1+IF(E$3&lt;=$O$2,$D625,$D625-($D625-$I$616)*MIN(E$3-$O$2,$Q$2)/$Q$2))</f>
        <v>9578.4375</v>
      </c>
      <c r="F625" s="15" t="n">
        <f aca="false">E625*(1+IF(F$3&lt;=$O$2,$D625,$D625-($D625-$I$616)*MIN(F$3-$O$2,$Q$2)/$Q$2))</f>
        <v>11243.4393310547</v>
      </c>
      <c r="G625" s="15" t="n">
        <f aca="false">F625*(1+IF(G$3&lt;=$O$2,$D625,$D625-($D625-$I$616)*MIN(G$3-$O$2,$Q$2)/$Q$2))</f>
        <v>13197.8653085232</v>
      </c>
      <c r="H625" s="15" t="n">
        <f aca="false">G625*(1+IF(H$3&lt;=$O$2,$D625,$D625-($D625-$I$616)*MIN(H$3-$O$2,$Q$2)/$Q$2))</f>
        <v>15492.0254891063</v>
      </c>
      <c r="I625" s="15" t="n">
        <f aca="false">H625*(1+IF(I$3&lt;=$O$2,$D625,$D625-($D625-$I$616)*MIN(I$3-$O$2,$Q$2)/$Q$2))</f>
        <v>18184.9752323299</v>
      </c>
      <c r="J625" s="15" t="n">
        <f aca="false">I625*(1+IF(J$3&lt;=$O$2,$D625,$D625-($D625-$I$616)*MIN(J$3-$O$2,$Q$2)/$Q$2))</f>
        <v>20798.5653351584</v>
      </c>
      <c r="K625" s="15" t="n">
        <f aca="false">J625*(1+IF(K$3&lt;=$O$2,$D625,$D625-($D625-$I$616)*MIN(K$3-$O$2,$Q$2)/$Q$2))</f>
        <v>23161.6333330224</v>
      </c>
      <c r="L625" s="15" t="n">
        <f aca="false">K625*(1+IF(L$3&lt;=$O$2,$D625,$D625-($D625-$I$616)*MIN(L$3-$O$2,$Q$2)/$Q$2))</f>
        <v>25095.8902847048</v>
      </c>
      <c r="M625" s="15" t="n">
        <f aca="false">L625*(1+IF(M$3&lt;=$O$2,$D625,$D625-($D625-$I$616)*MIN(M$3-$O$2,$Q$2)/$Q$2))</f>
        <v>26436.1519902909</v>
      </c>
      <c r="N625" s="15" t="n">
        <f aca="false">M625*(1+IF(N$3&lt;=$O$2,$D625,$D625-($D625-$I$616)*MIN(N$3-$O$2,$Q$2)/$Q$2))</f>
        <v>27052.1143316646</v>
      </c>
      <c r="O625" s="15" t="n">
        <f aca="false">SUMPRODUCT(E625:N625,1/(1+$F$616)^$E$3:$N$3)*$E$2</f>
        <v>39432.0834169858</v>
      </c>
      <c r="P625" s="15" t="n">
        <f aca="false">N625*$E$2*(1+$I$616)/($F$616-$I$616)/(1+$F$616)^$N$3</f>
        <v>47071.8984601085</v>
      </c>
      <c r="Q625" s="15" t="n">
        <f aca="false">O625+P625</f>
        <v>86503.9818770943</v>
      </c>
      <c r="R625" s="15" t="n">
        <f aca="false">Q625-$G$2+$I$2</f>
        <v>80383.9818770943</v>
      </c>
      <c r="S625" s="42" t="n">
        <f aca="false">R625/$K$2</f>
        <v>464.164348522314</v>
      </c>
      <c r="T625" s="43" t="n">
        <f aca="false">S625-$M$2</f>
        <v>0.0229927075545788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0.16796875</v>
      </c>
      <c r="C626" s="25" t="n">
        <f aca="false">IF(T625&gt;0,D625,C625)</f>
        <v>0.173828125</v>
      </c>
      <c r="D626" s="41" t="n">
        <f aca="false">(B626+C626)/2</f>
        <v>0.1708984375</v>
      </c>
      <c r="E626" s="15" t="n">
        <f aca="false">$C$2*(1+IF(E$3&lt;=$O$2,$D626,$D626-($D626-$I$616)*MIN(E$3-$O$2,$Q$2)/$Q$2))</f>
        <v>9554.53125</v>
      </c>
      <c r="F626" s="15" t="n">
        <f aca="false">E626*(1+IF(F$3&lt;=$O$2,$D626,$D626-($D626-$I$616)*MIN(F$3-$O$2,$Q$2)/$Q$2))</f>
        <v>11187.3857116699</v>
      </c>
      <c r="G626" s="15" t="n">
        <f aca="false">F626*(1+IF(G$3&lt;=$O$2,$D626,$D626-($D626-$I$616)*MIN(G$3-$O$2,$Q$2)/$Q$2))</f>
        <v>13099.2924495041</v>
      </c>
      <c r="H626" s="15" t="n">
        <f aca="false">G626*(1+IF(H$3&lt;=$O$2,$D626,$D626-($D626-$I$616)*MIN(H$3-$O$2,$Q$2)/$Q$2))</f>
        <v>15337.9410614799</v>
      </c>
      <c r="I626" s="15" t="n">
        <f aca="false">H626*(1+IF(I$3&lt;=$O$2,$D626,$D626-($D626-$I$616)*MIN(I$3-$O$2,$Q$2)/$Q$2))</f>
        <v>17959.171223354</v>
      </c>
      <c r="J626" s="15" t="n">
        <f aca="false">I626*(1+IF(J$3&lt;=$O$2,$D626,$D626-($D626-$I$616)*MIN(J$3-$O$2,$Q$2)/$Q$2))</f>
        <v>20498.2164019477</v>
      </c>
      <c r="K626" s="15" t="n">
        <f aca="false">J626*(1+IF(K$3&lt;=$O$2,$D626,$D626-($D626-$I$616)*MIN(K$3-$O$2,$Q$2)/$Q$2))</f>
        <v>22791.1276715917</v>
      </c>
      <c r="L626" s="15" t="n">
        <f aca="false">K626*(1+IF(L$3&lt;=$O$2,$D626,$D626-($D626-$I$616)*MIN(L$3-$O$2,$Q$2)/$Q$2))</f>
        <v>24667.7348796158</v>
      </c>
      <c r="M626" s="15" t="n">
        <f aca="false">L626*(1+IF(M$3&lt;=$O$2,$D626,$D626-($D626-$I$616)*MIN(M$3-$O$2,$Q$2)/$Q$2))</f>
        <v>25970.6769272899</v>
      </c>
      <c r="N626" s="15" t="n">
        <f aca="false">M626*(1+IF(N$3&lt;=$O$2,$D626,$D626-($D626-$I$616)*MIN(N$3-$O$2,$Q$2)/$Q$2))</f>
        <v>26575.7936996958</v>
      </c>
      <c r="O626" s="15" t="n">
        <f aca="false">SUMPRODUCT(E626:N626,1/(1+$F$616)^$E$3:$N$3)*$E$2</f>
        <v>38944.1772999064</v>
      </c>
      <c r="P626" s="15" t="n">
        <f aca="false">N626*$E$2*(1+$I$616)/($F$616-$I$616)/(1+$F$616)^$N$3</f>
        <v>46243.0790877073</v>
      </c>
      <c r="Q626" s="15" t="n">
        <f aca="false">O626+P626</f>
        <v>85187.2563876137</v>
      </c>
      <c r="R626" s="15" t="n">
        <f aca="false">Q626-$G$2+$I$2</f>
        <v>79067.2563876137</v>
      </c>
      <c r="S626" s="42" t="n">
        <f aca="false">R626/$K$2</f>
        <v>456.561129389154</v>
      </c>
      <c r="T626" s="43" t="n">
        <f aca="false">S626-$M$2</f>
        <v>-7.58022642560525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0.1708984375</v>
      </c>
      <c r="C627" s="25" t="n">
        <f aca="false">IF(T626&gt;0,D626,C626)</f>
        <v>0.173828125</v>
      </c>
      <c r="D627" s="41" t="n">
        <f aca="false">(B627+C627)/2</f>
        <v>0.17236328125</v>
      </c>
      <c r="E627" s="15" t="n">
        <f aca="false">$C$2*(1+IF(E$3&lt;=$O$2,$D627,$D627-($D627-$I$616)*MIN(E$3-$O$2,$Q$2)/$Q$2))</f>
        <v>9566.484375</v>
      </c>
      <c r="F627" s="15" t="n">
        <f aca="false">E627*(1+IF(F$3&lt;=$O$2,$D627,$D627-($D627-$I$616)*MIN(F$3-$O$2,$Q$2)/$Q$2))</f>
        <v>11215.3950119019</v>
      </c>
      <c r="G627" s="15" t="n">
        <f aca="false">F627*(1+IF(G$3&lt;=$O$2,$D627,$D627-($D627-$I$616)*MIN(G$3-$O$2,$Q$2)/$Q$2))</f>
        <v>13148.5172966681</v>
      </c>
      <c r="H627" s="15" t="n">
        <f aca="false">G627*(1+IF(H$3&lt;=$O$2,$D627,$D627-($D627-$I$616)*MIN(H$3-$O$2,$Q$2)/$Q$2))</f>
        <v>15414.8388814942</v>
      </c>
      <c r="I627" s="15" t="n">
        <f aca="false">H627*(1+IF(I$3&lt;=$O$2,$D627,$D627-($D627-$I$616)*MIN(I$3-$O$2,$Q$2)/$Q$2))</f>
        <v>18071.7910910487</v>
      </c>
      <c r="J627" s="15" t="n">
        <f aca="false">I627*(1+IF(J$3&lt;=$O$2,$D627,$D627-($D627-$I$616)*MIN(J$3-$O$2,$Q$2)/$Q$2))</f>
        <v>20647.9362059471</v>
      </c>
      <c r="K627" s="15" t="n">
        <f aca="false">J627*(1+IF(K$3&lt;=$O$2,$D627,$D627-($D627-$I$616)*MIN(K$3-$O$2,$Q$2)/$Q$2))</f>
        <v>22975.7425926852</v>
      </c>
      <c r="L627" s="15" t="n">
        <f aca="false">K627*(1+IF(L$3&lt;=$O$2,$D627,$D627-($D627-$I$616)*MIN(L$3-$O$2,$Q$2)/$Q$2))</f>
        <v>24881.0132271031</v>
      </c>
      <c r="M627" s="15" t="n">
        <f aca="false">L627*(1+IF(M$3&lt;=$O$2,$D627,$D627-($D627-$I$616)*MIN(M$3-$O$2,$Q$2)/$Q$2))</f>
        <v>26202.509929786</v>
      </c>
      <c r="N627" s="15" t="n">
        <f aca="false">M627*(1+IF(N$3&lt;=$O$2,$D627,$D627-($D627-$I$616)*MIN(N$3-$O$2,$Q$2)/$Q$2))</f>
        <v>26813.02841115</v>
      </c>
      <c r="O627" s="15" t="n">
        <f aca="false">SUMPRODUCT(E627:N627,1/(1+$F$616)^$E$3:$N$3)*$E$2</f>
        <v>39187.3864726623</v>
      </c>
      <c r="P627" s="15" t="n">
        <f aca="false">N627*$E$2*(1+$I$616)/($F$616-$I$616)/(1+$F$616)^$N$3</f>
        <v>46655.8781802986</v>
      </c>
      <c r="Q627" s="15" t="n">
        <f aca="false">O627+P627</f>
        <v>85843.2646529609</v>
      </c>
      <c r="R627" s="15" t="n">
        <f aca="false">Q627-$G$2+$I$2</f>
        <v>79723.2646529609</v>
      </c>
      <c r="S627" s="42" t="n">
        <f aca="false">R627/$K$2</f>
        <v>460.34914339393</v>
      </c>
      <c r="T627" s="43" t="n">
        <f aca="false">S627-$M$2</f>
        <v>-3.79221242082878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0.17236328125</v>
      </c>
      <c r="C628" s="25" t="n">
        <f aca="false">IF(T627&gt;0,D627,C627)</f>
        <v>0.173828125</v>
      </c>
      <c r="D628" s="41" t="n">
        <f aca="false">(B628+C628)/2</f>
        <v>0.173095703125</v>
      </c>
      <c r="E628" s="15" t="n">
        <f aca="false">$C$2*(1+IF(E$3&lt;=$O$2,$D628,$D628-($D628-$I$616)*MIN(E$3-$O$2,$Q$2)/$Q$2))</f>
        <v>9572.4609375</v>
      </c>
      <c r="F628" s="15" t="n">
        <f aca="false">E628*(1+IF(F$3&lt;=$O$2,$D628,$D628-($D628-$I$616)*MIN(F$3-$O$2,$Q$2)/$Q$2))</f>
        <v>11229.4127941132</v>
      </c>
      <c r="G628" s="15" t="n">
        <f aca="false">F628*(1+IF(G$3&lt;=$O$2,$D628,$D628-($D628-$I$616)*MIN(G$3-$O$2,$Q$2)/$Q$2))</f>
        <v>13173.175897391</v>
      </c>
      <c r="H628" s="15" t="n">
        <f aca="false">G628*(1+IF(H$3&lt;=$O$2,$D628,$D628-($D628-$I$616)*MIN(H$3-$O$2,$Q$2)/$Q$2))</f>
        <v>15453.3960417393</v>
      </c>
      <c r="I628" s="15" t="n">
        <f aca="false">H628*(1+IF(I$3&lt;=$O$2,$D628,$D628-($D628-$I$616)*MIN(I$3-$O$2,$Q$2)/$Q$2))</f>
        <v>18128.3124952532</v>
      </c>
      <c r="J628" s="15" t="n">
        <f aca="false">I628*(1+IF(J$3&lt;=$O$2,$D628,$D628-($D628-$I$616)*MIN(J$3-$O$2,$Q$2)/$Q$2))</f>
        <v>20723.1368297495</v>
      </c>
      <c r="K628" s="15" t="n">
        <f aca="false">J628*(1+IF(K$3&lt;=$O$2,$D628,$D628-($D628-$I$616)*MIN(K$3-$O$2,$Q$2)/$Q$2))</f>
        <v>23068.5280293035</v>
      </c>
      <c r="L628" s="15" t="n">
        <f aca="false">K628*(1+IF(L$3&lt;=$O$2,$D628,$D628-($D628-$I$616)*MIN(L$3-$O$2,$Q$2)/$Q$2))</f>
        <v>24988.2512828695</v>
      </c>
      <c r="M628" s="15" t="n">
        <f aca="false">L628*(1+IF(M$3&lt;=$O$2,$D628,$D628-($D628-$I$616)*MIN(M$3-$O$2,$Q$2)/$Q$2))</f>
        <v>26319.1040719167</v>
      </c>
      <c r="N628" s="15" t="n">
        <f aca="false">M628*(1+IF(N$3&lt;=$O$2,$D628,$D628-($D628-$I$616)*MIN(N$3-$O$2,$Q$2)/$Q$2))</f>
        <v>26932.3391967924</v>
      </c>
      <c r="O628" s="15" t="n">
        <f aca="false">SUMPRODUCT(E628:N628,1/(1+$F$616)^$E$3:$N$3)*$E$2</f>
        <v>39309.5484531362</v>
      </c>
      <c r="P628" s="15" t="n">
        <f aca="false">N628*$E$2*(1+$I$616)/($F$616-$I$616)/(1+$F$616)^$N$3</f>
        <v>46863.484325907</v>
      </c>
      <c r="Q628" s="15" t="n">
        <f aca="false">O628+P628</f>
        <v>86173.0327790433</v>
      </c>
      <c r="R628" s="15" t="n">
        <f aca="false">Q628-$G$2+$I$2</f>
        <v>80053.0327790433</v>
      </c>
      <c r="S628" s="42" t="n">
        <f aca="false">R628/$K$2</f>
        <v>462.253336291969</v>
      </c>
      <c r="T628" s="43" t="n">
        <f aca="false">S628-$M$2</f>
        <v>-1.88801952278988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0.173095703125</v>
      </c>
      <c r="C629" s="25" t="n">
        <f aca="false">IF(T628&gt;0,D628,C628)</f>
        <v>0.173828125</v>
      </c>
      <c r="D629" s="41" t="n">
        <f aca="false">(B629+C629)/2</f>
        <v>0.1734619140625</v>
      </c>
      <c r="E629" s="15" t="n">
        <f aca="false">$C$2*(1+IF(E$3&lt;=$O$2,$D629,$D629-($D629-$I$616)*MIN(E$3-$O$2,$Q$2)/$Q$2))</f>
        <v>9575.44921875</v>
      </c>
      <c r="F629" s="15" t="n">
        <f aca="false">E629*(1+IF(F$3&lt;=$O$2,$D629,$D629-($D629-$I$616)*MIN(F$3-$O$2,$Q$2)/$Q$2))</f>
        <v>11236.4249682426</v>
      </c>
      <c r="G629" s="15" t="n">
        <f aca="false">F629*(1+IF(G$3&lt;=$O$2,$D629,$D629-($D629-$I$616)*MIN(G$3-$O$2,$Q$2)/$Q$2))</f>
        <v>13185.5167504537</v>
      </c>
      <c r="H629" s="15" t="n">
        <f aca="false">G629*(1+IF(H$3&lt;=$O$2,$D629,$D629-($D629-$I$616)*MIN(H$3-$O$2,$Q$2)/$Q$2))</f>
        <v>15472.7017238905</v>
      </c>
      <c r="I629" s="15" t="n">
        <f aca="false">H629*(1+IF(I$3&lt;=$O$2,$D629,$D629-($D629-$I$616)*MIN(I$3-$O$2,$Q$2)/$Q$2))</f>
        <v>18156.6261806347</v>
      </c>
      <c r="J629" s="15" t="n">
        <f aca="false">I629*(1+IF(J$3&lt;=$O$2,$D629,$D629-($D629-$I$616)*MIN(J$3-$O$2,$Q$2)/$Q$2))</f>
        <v>20760.8225628046</v>
      </c>
      <c r="K629" s="15" t="n">
        <f aca="false">J629*(1+IF(K$3&lt;=$O$2,$D629,$D629-($D629-$I$616)*MIN(K$3-$O$2,$Q$2)/$Q$2))</f>
        <v>23115.0406406436</v>
      </c>
      <c r="L629" s="15" t="n">
        <f aca="false">K629*(1+IF(L$3&lt;=$O$2,$D629,$D629-($D629-$I$616)*MIN(L$3-$O$2,$Q$2)/$Q$2))</f>
        <v>25042.0205860632</v>
      </c>
      <c r="M629" s="15" t="n">
        <f aca="false">L629*(1+IF(M$3&lt;=$O$2,$D629,$D629-($D629-$I$616)*MIN(M$3-$O$2,$Q$2)/$Q$2))</f>
        <v>26377.5712143576</v>
      </c>
      <c r="N629" s="15" t="n">
        <f aca="false">M629*(1+IF(N$3&lt;=$O$2,$D629,$D629-($D629-$I$616)*MIN(N$3-$O$2,$Q$2)/$Q$2))</f>
        <v>26992.1686236522</v>
      </c>
      <c r="O629" s="15" t="n">
        <f aca="false">SUMPRODUCT(E629:N629,1/(1+$F$616)^$E$3:$N$3)*$E$2</f>
        <v>39370.7692469714</v>
      </c>
      <c r="P629" s="15" t="n">
        <f aca="false">N629*$E$2*(1+$I$616)/($F$616-$I$616)/(1+$F$616)^$N$3</f>
        <v>46967.5902257839</v>
      </c>
      <c r="Q629" s="15" t="n">
        <f aca="false">O629+P629</f>
        <v>86338.3594727552</v>
      </c>
      <c r="R629" s="15" t="n">
        <f aca="false">Q629-$G$2+$I$2</f>
        <v>80218.3594727552</v>
      </c>
      <c r="S629" s="42" t="n">
        <f aca="false">R629/$K$2</f>
        <v>463.207988640462</v>
      </c>
      <c r="T629" s="43" t="n">
        <f aca="false">S629-$M$2</f>
        <v>-0.933367174297132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0.1734619140625</v>
      </c>
      <c r="C630" s="25" t="n">
        <f aca="false">IF(T629&gt;0,D629,C629)</f>
        <v>0.173828125</v>
      </c>
      <c r="D630" s="41" t="n">
        <f aca="false">(B630+C630)/2</f>
        <v>0.17364501953125</v>
      </c>
      <c r="E630" s="15" t="n">
        <f aca="false">$C$2*(1+IF(E$3&lt;=$O$2,$D630,$D630-($D630-$I$616)*MIN(E$3-$O$2,$Q$2)/$Q$2))</f>
        <v>9576.943359375</v>
      </c>
      <c r="F630" s="15" t="n">
        <f aca="false">E630*(1+IF(F$3&lt;=$O$2,$D630,$D630-($D630-$I$616)*MIN(F$3-$O$2,$Q$2)/$Q$2))</f>
        <v>11239.9318760633</v>
      </c>
      <c r="G630" s="15" t="n">
        <f aca="false">F630*(1+IF(G$3&lt;=$O$2,$D630,$D630-($D630-$I$616)*MIN(G$3-$O$2,$Q$2)/$Q$2))</f>
        <v>13191.6900662123</v>
      </c>
      <c r="H630" s="15" t="n">
        <f aca="false">G630*(1+IF(H$3&lt;=$O$2,$D630,$D630-($D630-$I$616)*MIN(H$3-$O$2,$Q$2)/$Q$2))</f>
        <v>15482.3613454099</v>
      </c>
      <c r="I630" s="15" t="n">
        <f aca="false">H630*(1+IF(I$3&lt;=$O$2,$D630,$D630-($D630-$I$616)*MIN(I$3-$O$2,$Q$2)/$Q$2))</f>
        <v>18170.7962836235</v>
      </c>
      <c r="J630" s="15" t="n">
        <f aca="false">I630*(1+IF(J$3&lt;=$O$2,$D630,$D630-($D630-$I$616)*MIN(J$3-$O$2,$Q$2)/$Q$2))</f>
        <v>20779.6868147597</v>
      </c>
      <c r="K630" s="15" t="n">
        <f aca="false">J630*(1+IF(K$3&lt;=$O$2,$D630,$D630-($D630-$I$616)*MIN(K$3-$O$2,$Q$2)/$Q$2))</f>
        <v>23138.3269695546</v>
      </c>
      <c r="L630" s="15" t="n">
        <f aca="false">K630*(1+IF(L$3&lt;=$O$2,$D630,$D630-($D630-$I$616)*MIN(L$3-$O$2,$Q$2)/$Q$2))</f>
        <v>25068.9428760085</v>
      </c>
      <c r="M630" s="15" t="n">
        <f aca="false">L630*(1+IF(M$3&lt;=$O$2,$D630,$D630-($D630-$I$616)*MIN(M$3-$O$2,$Q$2)/$Q$2))</f>
        <v>26406.8473862837</v>
      </c>
      <c r="N630" s="15" t="n">
        <f aca="false">M630*(1+IF(N$3&lt;=$O$2,$D630,$D630-($D630-$I$616)*MIN(N$3-$O$2,$Q$2)/$Q$2))</f>
        <v>27022.1269303841</v>
      </c>
      <c r="O630" s="15" t="n">
        <f aca="false">SUMPRODUCT(E630:N630,1/(1+$F$616)^$E$3:$N$3)*$E$2</f>
        <v>39401.4146518016</v>
      </c>
      <c r="P630" s="15" t="n">
        <f aca="false">N630*$E$2*(1+$I$616)/($F$616-$I$616)/(1+$F$616)^$N$3</f>
        <v>47019.7190300331</v>
      </c>
      <c r="Q630" s="15" t="n">
        <f aca="false">O630+P630</f>
        <v>86421.1336818347</v>
      </c>
      <c r="R630" s="15" t="n">
        <f aca="false">Q630-$G$2+$I$2</f>
        <v>80301.1336818347</v>
      </c>
      <c r="S630" s="42" t="n">
        <f aca="false">R630/$K$2</f>
        <v>463.685954970751</v>
      </c>
      <c r="T630" s="43" t="n">
        <f aca="false">S630-$M$2</f>
        <v>-0.455400844007784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0.17364501953125</v>
      </c>
      <c r="C631" s="25" t="n">
        <f aca="false">IF(T630&gt;0,D630,C630)</f>
        <v>0.173828125</v>
      </c>
      <c r="D631" s="41" t="n">
        <f aca="false">(B631+C631)/2</f>
        <v>0.173736572265625</v>
      </c>
      <c r="E631" s="15" t="n">
        <f aca="false">$C$2*(1+IF(E$3&lt;=$O$2,$D631,$D631-($D631-$I$616)*MIN(E$3-$O$2,$Q$2)/$Q$2))</f>
        <v>9577.6904296875</v>
      </c>
      <c r="F631" s="15" t="n">
        <f aca="false">E631*(1+IF(F$3&lt;=$O$2,$D631,$D631-($D631-$I$616)*MIN(F$3-$O$2,$Q$2)/$Q$2))</f>
        <v>11241.6855351627</v>
      </c>
      <c r="G631" s="15" t="n">
        <f aca="false">F631*(1+IF(G$3&lt;=$O$2,$D631,$D631-($D631-$I$616)*MIN(G$3-$O$2,$Q$2)/$Q$2))</f>
        <v>13194.7774465299</v>
      </c>
      <c r="H631" s="15" t="n">
        <f aca="false">G631*(1+IF(H$3&lt;=$O$2,$D631,$D631-($D631-$I$616)*MIN(H$3-$O$2,$Q$2)/$Q$2))</f>
        <v>15487.1928518978</v>
      </c>
      <c r="I631" s="15" t="n">
        <f aca="false">H631*(1+IF(I$3&lt;=$O$2,$D631,$D631-($D631-$I$616)*MIN(I$3-$O$2,$Q$2)/$Q$2))</f>
        <v>18177.8846520032</v>
      </c>
      <c r="J631" s="15" t="n">
        <f aca="false">I631*(1+IF(J$3&lt;=$O$2,$D631,$D631-($D631-$I$616)*MIN(J$3-$O$2,$Q$2)/$Q$2))</f>
        <v>20789.1242908647</v>
      </c>
      <c r="K631" s="15" t="n">
        <f aca="false">J631*(1+IF(K$3&lt;=$O$2,$D631,$D631-($D631-$I$616)*MIN(K$3-$O$2,$Q$2)/$Q$2))</f>
        <v>23149.9776460749</v>
      </c>
      <c r="L631" s="15" t="n">
        <f aca="false">K631*(1+IF(L$3&lt;=$O$2,$D631,$D631-($D631-$I$616)*MIN(L$3-$O$2,$Q$2)/$Q$2))</f>
        <v>25082.413439269</v>
      </c>
      <c r="M631" s="15" t="n">
        <f aca="false">L631*(1+IF(M$3&lt;=$O$2,$D631,$D631-($D631-$I$616)*MIN(M$3-$O$2,$Q$2)/$Q$2))</f>
        <v>26421.4961327945</v>
      </c>
      <c r="N631" s="15" t="n">
        <f aca="false">M631*(1+IF(N$3&lt;=$O$2,$D631,$D631-($D631-$I$616)*MIN(N$3-$O$2,$Q$2)/$Q$2))</f>
        <v>27037.1169926886</v>
      </c>
      <c r="O631" s="15" t="n">
        <f aca="false">SUMPRODUCT(E631:N631,1/(1+$F$616)^$E$3:$N$3)*$E$2</f>
        <v>39416.7461133296</v>
      </c>
      <c r="P631" s="15" t="n">
        <f aca="false">N631*$E$2*(1+$I$616)/($F$616-$I$616)/(1+$F$616)^$N$3</f>
        <v>47045.8024142025</v>
      </c>
      <c r="Q631" s="15" t="n">
        <f aca="false">O631+P631</f>
        <v>86462.5485275321</v>
      </c>
      <c r="R631" s="15" t="n">
        <f aca="false">Q631-$G$2+$I$2</f>
        <v>80342.5485275321</v>
      </c>
      <c r="S631" s="42" t="n">
        <f aca="false">R631/$K$2</f>
        <v>463.92509832274</v>
      </c>
      <c r="T631" s="43" t="n">
        <f aca="false">S631-$M$2</f>
        <v>-0.216257492019054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0.173736572265625</v>
      </c>
      <c r="C632" s="25" t="n">
        <f aca="false">IF(T631&gt;0,D631,C631)</f>
        <v>0.173828125</v>
      </c>
      <c r="D632" s="41" t="n">
        <f aca="false">(B632+C632)/2</f>
        <v>0.173782348632813</v>
      </c>
      <c r="E632" s="15" t="n">
        <f aca="false">$C$2*(1+IF(E$3&lt;=$O$2,$D632,$D632-($D632-$I$616)*MIN(E$3-$O$2,$Q$2)/$Q$2))</f>
        <v>9578.06396484375</v>
      </c>
      <c r="F632" s="15" t="n">
        <f aca="false">E632*(1+IF(F$3&lt;=$O$2,$D632,$D632-($D632-$I$616)*MIN(F$3-$O$2,$Q$2)/$Q$2))</f>
        <v>11242.5624160096</v>
      </c>
      <c r="G632" s="15" t="n">
        <f aca="false">F632*(1+IF(G$3&lt;=$O$2,$D632,$D632-($D632-$I$616)*MIN(G$3-$O$2,$Q$2)/$Q$2))</f>
        <v>13196.3213173147</v>
      </c>
      <c r="H632" s="15" t="n">
        <f aca="false">G632*(1+IF(H$3&lt;=$O$2,$D632,$D632-($D632-$I$616)*MIN(H$3-$O$2,$Q$2)/$Q$2))</f>
        <v>15489.6090291509</v>
      </c>
      <c r="I632" s="15" t="n">
        <f aca="false">H632*(1+IF(I$3&lt;=$O$2,$D632,$D632-($D632-$I$616)*MIN(I$3-$O$2,$Q$2)/$Q$2))</f>
        <v>18181.4296656408</v>
      </c>
      <c r="J632" s="15" t="n">
        <f aca="false">I632*(1+IF(J$3&lt;=$O$2,$D632,$D632-($D632-$I$616)*MIN(J$3-$O$2,$Q$2)/$Q$2))</f>
        <v>20793.8443669206</v>
      </c>
      <c r="K632" s="15" t="n">
        <f aca="false">J632*(1+IF(K$3&lt;=$O$2,$D632,$D632-($D632-$I$616)*MIN(K$3-$O$2,$Q$2)/$Q$2))</f>
        <v>23155.8048631335</v>
      </c>
      <c r="L632" s="15" t="n">
        <f aca="false">K632*(1+IF(L$3&lt;=$O$2,$D632,$D632-($D632-$I$616)*MIN(L$3-$O$2,$Q$2)/$Q$2))</f>
        <v>25089.1510765594</v>
      </c>
      <c r="M632" s="15" t="n">
        <f aca="false">L632*(1+IF(M$3&lt;=$O$2,$D632,$D632-($D632-$I$616)*MIN(M$3-$O$2,$Q$2)/$Q$2))</f>
        <v>26428.8231724841</v>
      </c>
      <c r="N632" s="15" t="n">
        <f aca="false">M632*(1+IF(N$3&lt;=$O$2,$D632,$D632-($D632-$I$616)*MIN(N$3-$O$2,$Q$2)/$Q$2))</f>
        <v>27044.614752403</v>
      </c>
      <c r="O632" s="15" t="n">
        <f aca="false">SUMPRODUCT(E632:N632,1/(1+$F$616)^$E$3:$N$3)*$E$2</f>
        <v>39424.4140347642</v>
      </c>
      <c r="P632" s="15" t="n">
        <f aca="false">N632*$E$2*(1+$I$616)/($F$616-$I$616)/(1+$F$616)^$N$3</f>
        <v>47058.8488541083</v>
      </c>
      <c r="Q632" s="15" t="n">
        <f aca="false">O632+P632</f>
        <v>86483.2628888725</v>
      </c>
      <c r="R632" s="15" t="n">
        <f aca="false">Q632-$G$2+$I$2</f>
        <v>80363.2628888725</v>
      </c>
      <c r="S632" s="42" t="n">
        <f aca="false">R632/$K$2</f>
        <v>464.044710063937</v>
      </c>
      <c r="T632" s="43" t="n">
        <f aca="false">S632-$M$2</f>
        <v>-0.0966457508226881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0.173782348632813</v>
      </c>
      <c r="C633" s="25" t="n">
        <f aca="false">IF(T632&gt;0,D632,C632)</f>
        <v>0.173828125</v>
      </c>
      <c r="D633" s="41" t="n">
        <f aca="false">(B633+C633)/2</f>
        <v>0.173805236816406</v>
      </c>
      <c r="E633" s="15" t="n">
        <f aca="false">$C$2*(1+IF(E$3&lt;=$O$2,$D633,$D633-($D633-$I$616)*MIN(E$3-$O$2,$Q$2)/$Q$2))</f>
        <v>9578.25073242188</v>
      </c>
      <c r="F633" s="15" t="n">
        <f aca="false">E633*(1+IF(F$3&lt;=$O$2,$D633,$D633-($D633-$I$616)*MIN(F$3-$O$2,$Q$2)/$Q$2))</f>
        <v>11243.0008692574</v>
      </c>
      <c r="G633" s="15" t="n">
        <f aca="false">F633*(1+IF(G$3&lt;=$O$2,$D633,$D633-($D633-$I$616)*MIN(G$3-$O$2,$Q$2)/$Q$2))</f>
        <v>13197.0932978657</v>
      </c>
      <c r="H633" s="15" t="n">
        <f aca="false">G633*(1+IF(H$3&lt;=$O$2,$D633,$D633-($D633-$I$616)*MIN(H$3-$O$2,$Q$2)/$Q$2))</f>
        <v>15490.8172237895</v>
      </c>
      <c r="I633" s="15" t="n">
        <f aca="false">H633*(1+IF(I$3&lt;=$O$2,$D633,$D633-($D633-$I$616)*MIN(I$3-$O$2,$Q$2)/$Q$2))</f>
        <v>18183.2023798499</v>
      </c>
      <c r="J633" s="15" t="n">
        <f aca="false">I633*(1+IF(J$3&lt;=$O$2,$D633,$D633-($D633-$I$616)*MIN(J$3-$O$2,$Q$2)/$Q$2))</f>
        <v>20796.2047395083</v>
      </c>
      <c r="K633" s="15" t="n">
        <f aca="false">J633*(1+IF(K$3&lt;=$O$2,$D633,$D633-($D633-$I$616)*MIN(K$3-$O$2,$Q$2)/$Q$2))</f>
        <v>23158.7189414602</v>
      </c>
      <c r="L633" s="15" t="n">
        <f aca="false">K633*(1+IF(L$3&lt;=$O$2,$D633,$D633-($D633-$I$616)*MIN(L$3-$O$2,$Q$2)/$Q$2))</f>
        <v>25092.5204842558</v>
      </c>
      <c r="M633" s="15" t="n">
        <f aca="false">L633*(1+IF(M$3&lt;=$O$2,$D633,$D633-($D633-$I$616)*MIN(M$3-$O$2,$Q$2)/$Q$2))</f>
        <v>26432.4873590997</v>
      </c>
      <c r="N633" s="15" t="n">
        <f aca="false">M633*(1+IF(N$3&lt;=$O$2,$D633,$D633-($D633-$I$616)*MIN(N$3-$O$2,$Q$2)/$Q$2))</f>
        <v>27048.3643145667</v>
      </c>
      <c r="O633" s="15" t="n">
        <f aca="false">SUMPRODUCT(E633:N633,1/(1+$F$616)^$E$3:$N$3)*$E$2</f>
        <v>39428.2485432607</v>
      </c>
      <c r="P633" s="15" t="n">
        <f aca="false">N633*$E$2*(1+$I$616)/($F$616-$I$616)/(1+$F$616)^$N$3</f>
        <v>47065.3732613053</v>
      </c>
      <c r="Q633" s="15" t="n">
        <f aca="false">O633+P633</f>
        <v>86493.621804566</v>
      </c>
      <c r="R633" s="15" t="n">
        <f aca="false">Q633-$G$2+$I$2</f>
        <v>80373.621804566</v>
      </c>
      <c r="S633" s="42" t="n">
        <f aca="false">R633/$K$2</f>
        <v>464.104525953147</v>
      </c>
      <c r="T633" s="43" t="n">
        <f aca="false">S633-$M$2</f>
        <v>-0.0368298616120342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0.173805236816406</v>
      </c>
      <c r="C634" s="25" t="n">
        <f aca="false">IF(T633&gt;0,D633,C633)</f>
        <v>0.173828125</v>
      </c>
      <c r="D634" s="41" t="n">
        <f aca="false">(B634+C634)/2</f>
        <v>0.173816680908203</v>
      </c>
      <c r="E634" s="15" t="n">
        <f aca="false">$C$2*(1+IF(E$3&lt;=$O$2,$D634,$D634-($D634-$I$616)*MIN(E$3-$O$2,$Q$2)/$Q$2))</f>
        <v>9578.34411621094</v>
      </c>
      <c r="F634" s="15" t="n">
        <f aca="false">E634*(1+IF(F$3&lt;=$O$2,$D634,$D634-($D634-$I$616)*MIN(F$3-$O$2,$Q$2)/$Q$2))</f>
        <v>11243.2200990873</v>
      </c>
      <c r="G634" s="15" t="n">
        <f aca="false">F634*(1+IF(G$3&lt;=$O$2,$D634,$D634-($D634-$I$616)*MIN(G$3-$O$2,$Q$2)/$Q$2))</f>
        <v>13197.4792994311</v>
      </c>
      <c r="H634" s="15" t="n">
        <f aca="false">G634*(1+IF(H$3&lt;=$O$2,$D634,$D634-($D634-$I$616)*MIN(H$3-$O$2,$Q$2)/$Q$2))</f>
        <v>15491.4213476129</v>
      </c>
      <c r="I634" s="15" t="n">
        <f aca="false">H634*(1+IF(I$3&lt;=$O$2,$D634,$D634-($D634-$I$616)*MIN(I$3-$O$2,$Q$2)/$Q$2))</f>
        <v>18184.0887888055</v>
      </c>
      <c r="J634" s="15" t="n">
        <f aca="false">I634*(1+IF(J$3&lt;=$O$2,$D634,$D634-($D634-$I$616)*MIN(J$3-$O$2,$Q$2)/$Q$2))</f>
        <v>20797.3850094495</v>
      </c>
      <c r="K634" s="15" t="n">
        <f aca="false">J634*(1+IF(K$3&lt;=$O$2,$D634,$D634-($D634-$I$616)*MIN(K$3-$O$2,$Q$2)/$Q$2))</f>
        <v>23160.1760980851</v>
      </c>
      <c r="L634" s="15" t="n">
        <f aca="false">K634*(1+IF(L$3&lt;=$O$2,$D634,$D634-($D634-$I$616)*MIN(L$3-$O$2,$Q$2)/$Q$2))</f>
        <v>25094.2053353838</v>
      </c>
      <c r="M634" s="15" t="n">
        <f aca="false">L634*(1+IF(M$3&lt;=$O$2,$D634,$D634-($D634-$I$616)*MIN(M$3-$O$2,$Q$2)/$Q$2))</f>
        <v>26434.3196191204</v>
      </c>
      <c r="N634" s="15" t="n">
        <f aca="false">M634*(1+IF(N$3&lt;=$O$2,$D634,$D634-($D634-$I$616)*MIN(N$3-$O$2,$Q$2)/$Q$2))</f>
        <v>27050.2392662459</v>
      </c>
      <c r="O634" s="15" t="n">
        <f aca="false">SUMPRODUCT(E634:N634,1/(1+$F$616)^$E$3:$N$3)*$E$2</f>
        <v>39430.1659344677</v>
      </c>
      <c r="P634" s="15" t="n">
        <f aca="false">N634*$E$2*(1+$I$616)/($F$616-$I$616)/(1+$F$616)^$N$3</f>
        <v>47068.635761751</v>
      </c>
      <c r="Q634" s="15" t="n">
        <f aca="false">O634+P634</f>
        <v>86498.8016962187</v>
      </c>
      <c r="R634" s="15" t="n">
        <f aca="false">Q634-$G$2+$I$2</f>
        <v>80378.8016962187</v>
      </c>
      <c r="S634" s="42" t="n">
        <f aca="false">R634/$K$2</f>
        <v>464.134436402695</v>
      </c>
      <c r="T634" s="43" t="n">
        <f aca="false">S634-$M$2</f>
        <v>-0.00691941206451929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0.173816680908203</v>
      </c>
      <c r="C635" s="25" t="n">
        <f aca="false">IF(T634&gt;0,D634,C634)</f>
        <v>0.173828125</v>
      </c>
      <c r="D635" s="41" t="n">
        <f aca="false">(B635+C635)/2</f>
        <v>0.173822402954102</v>
      </c>
      <c r="E635" s="15" t="n">
        <f aca="false">$C$2*(1+IF(E$3&lt;=$O$2,$D635,$D635-($D635-$I$616)*MIN(E$3-$O$2,$Q$2)/$Q$2))</f>
        <v>9578.39080810547</v>
      </c>
      <c r="F635" s="15" t="n">
        <f aca="false">E635*(1+IF(F$3&lt;=$O$2,$D635,$D635-($D635-$I$616)*MIN(F$3-$O$2,$Q$2)/$Q$2))</f>
        <v>11243.3297148038</v>
      </c>
      <c r="G635" s="15" t="n">
        <f aca="false">F635*(1+IF(G$3&lt;=$O$2,$D635,$D635-($D635-$I$616)*MIN(G$3-$O$2,$Q$2)/$Q$2))</f>
        <v>13197.6723030363</v>
      </c>
      <c r="H635" s="15" t="n">
        <f aca="false">G635*(1+IF(H$3&lt;=$O$2,$D635,$D635-($D635-$I$616)*MIN(H$3-$O$2,$Q$2)/$Q$2))</f>
        <v>15491.7234161509</v>
      </c>
      <c r="I635" s="15" t="n">
        <f aca="false">H635*(1+IF(I$3&lt;=$O$2,$D635,$D635-($D635-$I$616)*MIN(I$3-$O$2,$Q$2)/$Q$2))</f>
        <v>18184.5320062465</v>
      </c>
      <c r="J635" s="15" t="n">
        <f aca="false">I635*(1+IF(J$3&lt;=$O$2,$D635,$D635-($D635-$I$616)*MIN(J$3-$O$2,$Q$2)/$Q$2))</f>
        <v>20797.9751653329</v>
      </c>
      <c r="K635" s="15" t="n">
        <f aca="false">J635*(1+IF(K$3&lt;=$O$2,$D635,$D635-($D635-$I$616)*MIN(K$3-$O$2,$Q$2)/$Q$2))</f>
        <v>23160.9047057645</v>
      </c>
      <c r="L635" s="15" t="n">
        <f aca="false">K635*(1+IF(L$3&lt;=$O$2,$D635,$D635-($D635-$I$616)*MIN(L$3-$O$2,$Q$2)/$Q$2))</f>
        <v>25095.0477977699</v>
      </c>
      <c r="M635" s="15" t="n">
        <f aca="false">L635*(1+IF(M$3&lt;=$O$2,$D635,$D635-($D635-$I$616)*MIN(M$3-$O$2,$Q$2)/$Q$2))</f>
        <v>26435.2357908116</v>
      </c>
      <c r="N635" s="15" t="n">
        <f aca="false">M635*(1+IF(N$3&lt;=$O$2,$D635,$D635-($D635-$I$616)*MIN(N$3-$O$2,$Q$2)/$Q$2))</f>
        <v>27051.1767847375</v>
      </c>
      <c r="O635" s="15" t="n">
        <f aca="false">SUMPRODUCT(E635:N635,1/(1+$F$616)^$E$3:$N$3)*$E$2</f>
        <v>39431.1246643126</v>
      </c>
      <c r="P635" s="15" t="n">
        <f aca="false">N635*$E$2*(1+$I$616)/($F$616-$I$616)/(1+$F$616)^$N$3</f>
        <v>47070.2670861901</v>
      </c>
      <c r="Q635" s="15" t="n">
        <f aca="false">O635+P635</f>
        <v>86501.3917505027</v>
      </c>
      <c r="R635" s="15" t="n">
        <f aca="false">Q635-$G$2+$I$2</f>
        <v>80381.3917505027</v>
      </c>
      <c r="S635" s="42" t="n">
        <f aca="false">R635/$K$2</f>
        <v>464.14939225374</v>
      </c>
      <c r="T635" s="43" t="n">
        <f aca="false">S635-$M$2</f>
        <v>0.00803643898092332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0.173816680908203</v>
      </c>
      <c r="C636" s="25" t="n">
        <f aca="false">IF(T635&gt;0,D635,C635)</f>
        <v>0.173822402954102</v>
      </c>
      <c r="D636" s="41" t="n">
        <f aca="false">(B636+C636)/2</f>
        <v>0.173819541931152</v>
      </c>
      <c r="E636" s="15" t="n">
        <f aca="false">$C$2*(1+IF(E$3&lt;=$O$2,$D636,$D636-($D636-$I$616)*MIN(E$3-$O$2,$Q$2)/$Q$2))</f>
        <v>9578.3674621582</v>
      </c>
      <c r="F636" s="15" t="n">
        <f aca="false">E636*(1+IF(F$3&lt;=$O$2,$D636,$D636-($D636-$I$616)*MIN(F$3-$O$2,$Q$2)/$Q$2))</f>
        <v>11243.2749068788</v>
      </c>
      <c r="G636" s="15" t="n">
        <f aca="false">F636*(1+IF(G$3&lt;=$O$2,$D636,$D636-($D636-$I$616)*MIN(G$3-$O$2,$Q$2)/$Q$2))</f>
        <v>13197.5758009985</v>
      </c>
      <c r="H636" s="15" t="n">
        <f aca="false">G636*(1+IF(H$3&lt;=$O$2,$D636,$D636-($D636-$I$616)*MIN(H$3-$O$2,$Q$2)/$Q$2))</f>
        <v>15491.5723813297</v>
      </c>
      <c r="I636" s="15" t="n">
        <f aca="false">H636*(1+IF(I$3&lt;=$O$2,$D636,$D636-($D636-$I$616)*MIN(I$3-$O$2,$Q$2)/$Q$2))</f>
        <v>18184.3103964457</v>
      </c>
      <c r="J636" s="15" t="n">
        <f aca="false">I636*(1+IF(J$3&lt;=$O$2,$D636,$D636-($D636-$I$616)*MIN(J$3-$O$2,$Q$2)/$Q$2))</f>
        <v>20797.6800856484</v>
      </c>
      <c r="K636" s="15" t="n">
        <f aca="false">J636*(1+IF(K$3&lt;=$O$2,$D636,$D636-($D636-$I$616)*MIN(K$3-$O$2,$Q$2)/$Q$2))</f>
        <v>23160.5403994775</v>
      </c>
      <c r="L636" s="15" t="n">
        <f aca="false">K636*(1+IF(L$3&lt;=$O$2,$D636,$D636-($D636-$I$616)*MIN(L$3-$O$2,$Q$2)/$Q$2))</f>
        <v>25094.6265635083</v>
      </c>
      <c r="M636" s="15" t="n">
        <f aca="false">L636*(1+IF(M$3&lt;=$O$2,$D636,$D636-($D636-$I$616)*MIN(M$3-$O$2,$Q$2)/$Q$2))</f>
        <v>26434.7777014925</v>
      </c>
      <c r="N636" s="15" t="n">
        <f aca="false">M636*(1+IF(N$3&lt;=$O$2,$D636,$D636-($D636-$I$616)*MIN(N$3-$O$2,$Q$2)/$Q$2))</f>
        <v>27050.7080219373</v>
      </c>
      <c r="O636" s="15" t="n">
        <f aca="false">SUMPRODUCT(E636:N636,1/(1+$F$616)^$E$3:$N$3)*$E$2</f>
        <v>39430.6452965367</v>
      </c>
      <c r="P636" s="15" t="n">
        <f aca="false">N636*$E$2*(1+$I$616)/($F$616-$I$616)/(1+$F$616)^$N$3</f>
        <v>47069.4514177857</v>
      </c>
      <c r="Q636" s="15" t="n">
        <f aca="false">O636+P636</f>
        <v>86500.0967143224</v>
      </c>
      <c r="R636" s="15" t="n">
        <f aca="false">Q636-$G$2+$I$2</f>
        <v>80380.0967143224</v>
      </c>
      <c r="S636" s="42" t="n">
        <f aca="false">R636/$K$2</f>
        <v>464.141914276027</v>
      </c>
      <c r="T636" s="43" t="n">
        <f aca="false">S636-$M$2</f>
        <v>0.000558461267928578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0.173816680908203</v>
      </c>
      <c r="C637" s="25" t="n">
        <f aca="false">IF(T636&gt;0,D636,C636)</f>
        <v>0.173819541931152</v>
      </c>
      <c r="D637" s="41" t="n">
        <f aca="false">(B637+C637)/2</f>
        <v>0.173818111419678</v>
      </c>
      <c r="E637" s="15" t="n">
        <f aca="false">$C$2*(1+IF(E$3&lt;=$O$2,$D637,$D637-($D637-$I$616)*MIN(E$3-$O$2,$Q$2)/$Q$2))</f>
        <v>9578.35578918457</v>
      </c>
      <c r="F637" s="15" t="n">
        <f aca="false">E637*(1+IF(F$3&lt;=$O$2,$D637,$D637-($D637-$I$616)*MIN(F$3-$O$2,$Q$2)/$Q$2))</f>
        <v>11243.2475029664</v>
      </c>
      <c r="G637" s="15" t="n">
        <f aca="false">F637*(1+IF(G$3&lt;=$O$2,$D637,$D637-($D637-$I$616)*MIN(G$3-$O$2,$Q$2)/$Q$2))</f>
        <v>13197.527550156</v>
      </c>
      <c r="H637" s="15" t="n">
        <f aca="false">G637*(1+IF(H$3&lt;=$O$2,$D637,$D637-($D637-$I$616)*MIN(H$3-$O$2,$Q$2)/$Q$2))</f>
        <v>15491.4968643333</v>
      </c>
      <c r="I637" s="15" t="n">
        <f aca="false">H637*(1+IF(I$3&lt;=$O$2,$D637,$D637-($D637-$I$616)*MIN(I$3-$O$2,$Q$2)/$Q$2))</f>
        <v>18184.1995923555</v>
      </c>
      <c r="J637" s="15" t="n">
        <f aca="false">I637*(1+IF(J$3&lt;=$O$2,$D637,$D637-($D637-$I$616)*MIN(J$3-$O$2,$Q$2)/$Q$2))</f>
        <v>20797.5325471133</v>
      </c>
      <c r="K637" s="15" t="n">
        <f aca="false">J637*(1+IF(K$3&lt;=$O$2,$D637,$D637-($D637-$I$616)*MIN(K$3-$O$2,$Q$2)/$Q$2))</f>
        <v>23160.3582481695</v>
      </c>
      <c r="L637" s="15" t="n">
        <f aca="false">K637*(1+IF(L$3&lt;=$O$2,$D637,$D637-($D637-$I$616)*MIN(L$3-$O$2,$Q$2)/$Q$2))</f>
        <v>25094.4159486789</v>
      </c>
      <c r="M637" s="15" t="n">
        <f aca="false">L637*(1+IF(M$3&lt;=$O$2,$D637,$D637-($D637-$I$616)*MIN(M$3-$O$2,$Q$2)/$Q$2))</f>
        <v>26434.5486594381</v>
      </c>
      <c r="N637" s="15" t="n">
        <f aca="false">M637*(1+IF(N$3&lt;=$O$2,$D637,$D637-($D637-$I$616)*MIN(N$3-$O$2,$Q$2)/$Q$2))</f>
        <v>27050.473643203</v>
      </c>
      <c r="O637" s="15" t="n">
        <f aca="false">SUMPRODUCT(E637:N637,1/(1+$F$616)^$E$3:$N$3)*$E$2</f>
        <v>39430.4056147888</v>
      </c>
      <c r="P637" s="15" t="n">
        <f aca="false">N637*$E$2*(1+$I$616)/($F$616-$I$616)/(1+$F$616)^$N$3</f>
        <v>47069.0435882221</v>
      </c>
      <c r="Q637" s="15" t="n">
        <f aca="false">O637+P637</f>
        <v>86499.4492030109</v>
      </c>
      <c r="R637" s="15" t="n">
        <f aca="false">Q637-$G$2+$I$2</f>
        <v>80379.4492030109</v>
      </c>
      <c r="S637" s="42" t="n">
        <f aca="false">R637/$K$2</f>
        <v>464.138175326313</v>
      </c>
      <c r="T637" s="43" t="n">
        <f aca="false">S637-$M$2</f>
        <v>-0.00318048844593477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0.173818111419678</v>
      </c>
      <c r="C638" s="25" t="n">
        <f aca="false">IF(T637&gt;0,D637,C637)</f>
        <v>0.173819541931152</v>
      </c>
      <c r="D638" s="41" t="n">
        <f aca="false">(B638+C638)/2</f>
        <v>0.173818826675415</v>
      </c>
      <c r="E638" s="15" t="n">
        <f aca="false">$C$2*(1+IF(E$3&lt;=$O$2,$D638,$D638-($D638-$I$616)*MIN(E$3-$O$2,$Q$2)/$Q$2))</f>
        <v>9578.36162567139</v>
      </c>
      <c r="F638" s="15" t="n">
        <f aca="false">E638*(1+IF(F$3&lt;=$O$2,$D638,$D638-($D638-$I$616)*MIN(F$3-$O$2,$Q$2)/$Q$2))</f>
        <v>11243.2612049184</v>
      </c>
      <c r="G638" s="15" t="n">
        <f aca="false">F638*(1+IF(G$3&lt;=$O$2,$D638,$D638-($D638-$I$616)*MIN(G$3-$O$2,$Q$2)/$Q$2))</f>
        <v>13197.5516755625</v>
      </c>
      <c r="H638" s="15" t="n">
        <f aca="false">G638*(1+IF(H$3&lt;=$O$2,$D638,$D638-($D638-$I$616)*MIN(H$3-$O$2,$Q$2)/$Q$2))</f>
        <v>15491.534622797</v>
      </c>
      <c r="I638" s="15" t="n">
        <f aca="false">H638*(1+IF(I$3&lt;=$O$2,$D638,$D638-($D638-$I$616)*MIN(I$3-$O$2,$Q$2)/$Q$2))</f>
        <v>18184.2549943331</v>
      </c>
      <c r="J638" s="15" t="n">
        <f aca="false">I638*(1+IF(J$3&lt;=$O$2,$D638,$D638-($D638-$I$616)*MIN(J$3-$O$2,$Q$2)/$Q$2))</f>
        <v>20797.6063162719</v>
      </c>
      <c r="K638" s="15" t="n">
        <f aca="false">J638*(1+IF(K$3&lt;=$O$2,$D638,$D638-($D638-$I$616)*MIN(K$3-$O$2,$Q$2)/$Q$2))</f>
        <v>23160.4493236706</v>
      </c>
      <c r="L638" s="15" t="n">
        <f aca="false">K638*(1+IF(L$3&lt;=$O$2,$D638,$D638-($D638-$I$616)*MIN(L$3-$O$2,$Q$2)/$Q$2))</f>
        <v>25094.5212559018</v>
      </c>
      <c r="M638" s="15" t="n">
        <f aca="false">L638*(1+IF(M$3&lt;=$O$2,$D638,$D638-($D638-$I$616)*MIN(M$3-$O$2,$Q$2)/$Q$2))</f>
        <v>26434.6631802482</v>
      </c>
      <c r="N638" s="15" t="n">
        <f aca="false">M638*(1+IF(N$3&lt;=$O$2,$D638,$D638-($D638-$I$616)*MIN(N$3-$O$2,$Q$2)/$Q$2))</f>
        <v>27050.590832348</v>
      </c>
      <c r="O638" s="15" t="n">
        <f aca="false">SUMPRODUCT(E638:N638,1/(1+$F$616)^$E$3:$N$3)*$E$2</f>
        <v>39430.5254554844</v>
      </c>
      <c r="P638" s="15" t="n">
        <f aca="false">N638*$E$2*(1+$I$616)/($F$616-$I$616)/(1+$F$616)^$N$3</f>
        <v>47069.2475026174</v>
      </c>
      <c r="Q638" s="15" t="n">
        <f aca="false">O638+P638</f>
        <v>86499.7729581018</v>
      </c>
      <c r="R638" s="15" t="n">
        <f aca="false">Q638-$G$2+$I$2</f>
        <v>80379.7729581018</v>
      </c>
      <c r="S638" s="42" t="n">
        <f aca="false">R638/$K$2</f>
        <v>464.140044797908</v>
      </c>
      <c r="T638" s="43" t="n">
        <f aca="false">S638-$M$2</f>
        <v>-0.00131101685082058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0.173818826675415</v>
      </c>
      <c r="C639" s="25" t="n">
        <f aca="false">IF(T638&gt;0,D638,C638)</f>
        <v>0.173819541931152</v>
      </c>
      <c r="D639" s="41" t="n">
        <f aca="false">(B639+C639)/2</f>
        <v>0.173819184303284</v>
      </c>
      <c r="E639" s="15" t="n">
        <f aca="false">$C$2*(1+IF(E$3&lt;=$O$2,$D639,$D639-($D639-$I$616)*MIN(E$3-$O$2,$Q$2)/$Q$2))</f>
        <v>9578.3645439148</v>
      </c>
      <c r="F639" s="15" t="n">
        <f aca="false">E639*(1+IF(F$3&lt;=$O$2,$D639,$D639-($D639-$I$616)*MIN(F$3-$O$2,$Q$2)/$Q$2))</f>
        <v>11243.2680558976</v>
      </c>
      <c r="G639" s="15" t="n">
        <f aca="false">F639*(1+IF(G$3&lt;=$O$2,$D639,$D639-($D639-$I$616)*MIN(G$3-$O$2,$Q$2)/$Q$2))</f>
        <v>13197.5637382768</v>
      </c>
      <c r="H639" s="15" t="n">
        <f aca="false">G639*(1+IF(H$3&lt;=$O$2,$D639,$D639-($D639-$I$616)*MIN(H$3-$O$2,$Q$2)/$Q$2))</f>
        <v>15491.5535020547</v>
      </c>
      <c r="I639" s="15" t="n">
        <f aca="false">H639*(1+IF(I$3&lt;=$O$2,$D639,$D639-($D639-$I$616)*MIN(I$3-$O$2,$Q$2)/$Q$2))</f>
        <v>18184.2826953725</v>
      </c>
      <c r="J639" s="15" t="n">
        <f aca="false">I639*(1+IF(J$3&lt;=$O$2,$D639,$D639-($D639-$I$616)*MIN(J$3-$O$2,$Q$2)/$Q$2))</f>
        <v>20797.643200933</v>
      </c>
      <c r="K639" s="15" t="n">
        <f aca="false">J639*(1+IF(K$3&lt;=$O$2,$D639,$D639-($D639-$I$616)*MIN(K$3-$O$2,$Q$2)/$Q$2))</f>
        <v>23160.4948615358</v>
      </c>
      <c r="L639" s="15" t="n">
        <f aca="false">K639*(1+IF(L$3&lt;=$O$2,$D639,$D639-($D639-$I$616)*MIN(L$3-$O$2,$Q$2)/$Q$2))</f>
        <v>25094.5739096571</v>
      </c>
      <c r="M639" s="15" t="n">
        <f aca="false">L639*(1+IF(M$3&lt;=$O$2,$D639,$D639-($D639-$I$616)*MIN(M$3-$O$2,$Q$2)/$Q$2))</f>
        <v>26434.7204408161</v>
      </c>
      <c r="N639" s="15" t="n">
        <f aca="false">M639*(1+IF(N$3&lt;=$O$2,$D639,$D639-($D639-$I$616)*MIN(N$3-$O$2,$Q$2)/$Q$2))</f>
        <v>27050.6494270871</v>
      </c>
      <c r="O639" s="15" t="n">
        <f aca="false">SUMPRODUCT(E639:N639,1/(1+$F$616)^$E$3:$N$3)*$E$2</f>
        <v>39430.5853759659</v>
      </c>
      <c r="P639" s="15" t="n">
        <f aca="false">N639*$E$2*(1+$I$616)/($F$616-$I$616)/(1+$F$616)^$N$3</f>
        <v>47069.3494601049</v>
      </c>
      <c r="Q639" s="15" t="n">
        <f aca="false">O639+P639</f>
        <v>86499.9348360708</v>
      </c>
      <c r="R639" s="15" t="n">
        <f aca="false">Q639-$G$2+$I$2</f>
        <v>80379.9348360708</v>
      </c>
      <c r="S639" s="42" t="n">
        <f aca="false">R639/$K$2</f>
        <v>464.140979536152</v>
      </c>
      <c r="T639" s="43" t="n">
        <f aca="false">S639-$M$2</f>
        <v>-0.000376278607006952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0.173819184303284</v>
      </c>
      <c r="C640" s="25" t="n">
        <f aca="false">IF(T639&gt;0,D639,C639)</f>
        <v>0.173819541931152</v>
      </c>
      <c r="D640" s="41" t="n">
        <f aca="false">(B640+C640)/2</f>
        <v>0.173819363117218</v>
      </c>
      <c r="E640" s="15" t="n">
        <f aca="false">$C$2*(1+IF(E$3&lt;=$O$2,$D640,$D640-($D640-$I$616)*MIN(E$3-$O$2,$Q$2)/$Q$2))</f>
        <v>9578.3660030365</v>
      </c>
      <c r="F640" s="15" t="n">
        <f aca="false">E640*(1+IF(F$3&lt;=$O$2,$D640,$D640-($D640-$I$616)*MIN(F$3-$O$2,$Q$2)/$Q$2))</f>
        <v>11243.2714813879</v>
      </c>
      <c r="G640" s="15" t="n">
        <f aca="false">F640*(1+IF(G$3&lt;=$O$2,$D640,$D640-($D640-$I$616)*MIN(G$3-$O$2,$Q$2)/$Q$2))</f>
        <v>13197.5697696367</v>
      </c>
      <c r="H640" s="15" t="n">
        <f aca="false">G640*(1+IF(H$3&lt;=$O$2,$D640,$D640-($D640-$I$616)*MIN(H$3-$O$2,$Q$2)/$Q$2))</f>
        <v>15491.5629416901</v>
      </c>
      <c r="I640" s="15" t="n">
        <f aca="false">H640*(1+IF(I$3&lt;=$O$2,$D640,$D640-($D640-$I$616)*MIN(I$3-$O$2,$Q$2)/$Q$2))</f>
        <v>18184.2965459049</v>
      </c>
      <c r="J640" s="15" t="n">
        <f aca="false">I640*(1+IF(J$3&lt;=$O$2,$D640,$D640-($D640-$I$616)*MIN(J$3-$O$2,$Q$2)/$Q$2))</f>
        <v>20797.6616432839</v>
      </c>
      <c r="K640" s="15" t="n">
        <f aca="false">J640*(1+IF(K$3&lt;=$O$2,$D640,$D640-($D640-$I$616)*MIN(K$3-$O$2,$Q$2)/$Q$2))</f>
        <v>23160.5176304971</v>
      </c>
      <c r="L640" s="15" t="n">
        <f aca="false">K640*(1+IF(L$3&lt;=$O$2,$D640,$D640-($D640-$I$616)*MIN(L$3-$O$2,$Q$2)/$Q$2))</f>
        <v>25094.6002365707</v>
      </c>
      <c r="M640" s="15" t="n">
        <f aca="false">L640*(1+IF(M$3&lt;=$O$2,$D640,$D640-($D640-$I$616)*MIN(M$3-$O$2,$Q$2)/$Q$2))</f>
        <v>26434.7490711407</v>
      </c>
      <c r="N640" s="15" t="n">
        <f aca="false">M640*(1+IF(N$3&lt;=$O$2,$D640,$D640-($D640-$I$616)*MIN(N$3-$O$2,$Q$2)/$Q$2))</f>
        <v>27050.6787244983</v>
      </c>
      <c r="O640" s="15" t="n">
        <f aca="false">SUMPRODUCT(E640:N640,1/(1+$F$616)^$E$3:$N$3)*$E$2</f>
        <v>39430.6153362401</v>
      </c>
      <c r="P640" s="15" t="n">
        <f aca="false">N640*$E$2*(1+$I$616)/($F$616-$I$616)/(1+$F$616)^$N$3</f>
        <v>47069.4004389212</v>
      </c>
      <c r="Q640" s="15" t="n">
        <f aca="false">O640+P640</f>
        <v>86500.0157751613</v>
      </c>
      <c r="R640" s="15" t="n">
        <f aca="false">Q640-$G$2+$I$2</f>
        <v>80380.0157751613</v>
      </c>
      <c r="S640" s="42" t="n">
        <f aca="false">R640/$K$2</f>
        <v>464.141446905886</v>
      </c>
      <c r="T640" s="43" t="n">
        <f aca="false">S640-$M$2</f>
        <v>9.10911263645176E-005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0.173819184303284</v>
      </c>
      <c r="C641" s="25" t="n">
        <f aca="false">IF(T640&gt;0,D640,C640)</f>
        <v>0.173819363117218</v>
      </c>
      <c r="D641" s="41" t="n">
        <f aca="false">(B641+C641)/2</f>
        <v>0.173819273710251</v>
      </c>
      <c r="E641" s="15" t="n">
        <f aca="false">$C$2*(1+IF(E$3&lt;=$O$2,$D641,$D641-($D641-$I$616)*MIN(E$3-$O$2,$Q$2)/$Q$2))</f>
        <v>9578.36527347565</v>
      </c>
      <c r="F641" s="15" t="n">
        <f aca="false">E641*(1+IF(F$3&lt;=$O$2,$D641,$D641-($D641-$I$616)*MIN(F$3-$O$2,$Q$2)/$Q$2))</f>
        <v>11243.2697686427</v>
      </c>
      <c r="G641" s="15" t="n">
        <f aca="false">F641*(1+IF(G$3&lt;=$O$2,$D641,$D641-($D641-$I$616)*MIN(G$3-$O$2,$Q$2)/$Q$2))</f>
        <v>13197.5667539566</v>
      </c>
      <c r="H641" s="15" t="n">
        <f aca="false">G641*(1+IF(H$3&lt;=$O$2,$D641,$D641-($D641-$I$616)*MIN(H$3-$O$2,$Q$2)/$Q$2))</f>
        <v>15491.5582218718</v>
      </c>
      <c r="I641" s="15" t="n">
        <f aca="false">H641*(1+IF(I$3&lt;=$O$2,$D641,$D641-($D641-$I$616)*MIN(I$3-$O$2,$Q$2)/$Q$2))</f>
        <v>18184.2896206377</v>
      </c>
      <c r="J641" s="15" t="n">
        <f aca="false">I641*(1+IF(J$3&lt;=$O$2,$D641,$D641-($D641-$I$616)*MIN(J$3-$O$2,$Q$2)/$Q$2))</f>
        <v>20797.6524221067</v>
      </c>
      <c r="K641" s="15" t="n">
        <f aca="false">J641*(1+IF(K$3&lt;=$O$2,$D641,$D641-($D641-$I$616)*MIN(K$3-$O$2,$Q$2)/$Q$2))</f>
        <v>23160.5062460141</v>
      </c>
      <c r="L641" s="15" t="n">
        <f aca="false">K641*(1+IF(L$3&lt;=$O$2,$D641,$D641-($D641-$I$616)*MIN(L$3-$O$2,$Q$2)/$Q$2))</f>
        <v>25094.5870731109</v>
      </c>
      <c r="M641" s="15" t="n">
        <f aca="false">L641*(1+IF(M$3&lt;=$O$2,$D641,$D641-($D641-$I$616)*MIN(M$3-$O$2,$Q$2)/$Q$2))</f>
        <v>26434.734755975</v>
      </c>
      <c r="N641" s="15" t="n">
        <f aca="false">M641*(1+IF(N$3&lt;=$O$2,$D641,$D641-($D641-$I$616)*MIN(N$3-$O$2,$Q$2)/$Q$2))</f>
        <v>27050.6640757892</v>
      </c>
      <c r="O641" s="15" t="n">
        <f aca="false">SUMPRODUCT(E641:N641,1/(1+$F$616)^$E$3:$N$3)*$E$2</f>
        <v>39430.6003561003</v>
      </c>
      <c r="P641" s="15" t="n">
        <f aca="false">N641*$E$2*(1+$I$616)/($F$616-$I$616)/(1+$F$616)^$N$3</f>
        <v>47069.374949507</v>
      </c>
      <c r="Q641" s="15" t="n">
        <f aca="false">O641+P641</f>
        <v>86499.9753056073</v>
      </c>
      <c r="R641" s="15" t="n">
        <f aca="false">Q641-$G$2+$I$2</f>
        <v>80379.9753056073</v>
      </c>
      <c r="S641" s="42" t="n">
        <f aca="false">R641/$K$2</f>
        <v>464.141213220968</v>
      </c>
      <c r="T641" s="43" t="n">
        <f aca="false">S641-$M$2</f>
        <v>-0.000142593791167656</v>
      </c>
    </row>
    <row r="643" customFormat="false" ht="15" hidden="false" customHeight="false" outlineLevel="0" collapsed="false">
      <c r="A643" s="38" t="s">
        <v>204</v>
      </c>
      <c r="E643" s="5" t="s">
        <v>11</v>
      </c>
      <c r="F643" s="12" t="n">
        <f aca="false">Sensitivity!$B$14</f>
        <v>0.105316051923387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162</v>
      </c>
      <c r="B644" s="28" t="s">
        <v>163</v>
      </c>
      <c r="C644" s="28" t="s">
        <v>164</v>
      </c>
      <c r="D644" s="28" t="s">
        <v>165</v>
      </c>
      <c r="E644" s="28" t="s">
        <v>166</v>
      </c>
      <c r="F644" s="28" t="s">
        <v>167</v>
      </c>
      <c r="G644" s="28" t="s">
        <v>168</v>
      </c>
      <c r="H644" s="28" t="s">
        <v>169</v>
      </c>
      <c r="I644" s="28" t="s">
        <v>170</v>
      </c>
      <c r="J644" s="28" t="s">
        <v>171</v>
      </c>
      <c r="K644" s="28" t="s">
        <v>172</v>
      </c>
      <c r="L644" s="28" t="s">
        <v>173</v>
      </c>
      <c r="M644" s="28" t="s">
        <v>174</v>
      </c>
      <c r="N644" s="28" t="s">
        <v>175</v>
      </c>
      <c r="O644" s="28" t="s">
        <v>176</v>
      </c>
      <c r="P644" s="28" t="s">
        <v>177</v>
      </c>
      <c r="Q644" s="28" t="s">
        <v>178</v>
      </c>
      <c r="R644" s="28" t="s">
        <v>179</v>
      </c>
      <c r="S644" s="28" t="s">
        <v>180</v>
      </c>
      <c r="T644" s="28" t="s">
        <v>181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10200</v>
      </c>
      <c r="F645" s="15" t="n">
        <f aca="false">E645*(1+IF(F$3&lt;=$O$2,$D645,$D645-($D645-$I$643)*MIN(F$3-$O$2,$Q$2)/$Q$2))</f>
        <v>12750</v>
      </c>
      <c r="G645" s="15" t="n">
        <f aca="false">F645*(1+IF(G$3&lt;=$O$2,$D645,$D645-($D645-$I$643)*MIN(G$3-$O$2,$Q$2)/$Q$2))</f>
        <v>15937.5</v>
      </c>
      <c r="H645" s="15" t="n">
        <f aca="false">G645*(1+IF(H$3&lt;=$O$2,$D645,$D645-($D645-$I$643)*MIN(H$3-$O$2,$Q$2)/$Q$2))</f>
        <v>19921.875</v>
      </c>
      <c r="I645" s="15" t="n">
        <f aca="false">H645*(1+IF(I$3&lt;=$O$2,$D645,$D645-($D645-$I$643)*MIN(I$3-$O$2,$Q$2)/$Q$2))</f>
        <v>24902.34375</v>
      </c>
      <c r="J645" s="15" t="n">
        <f aca="false">I645*(1+IF(J$3&lt;=$O$2,$D645,$D645-($D645-$I$643)*MIN(J$3-$O$2,$Q$2)/$Q$2))</f>
        <v>30023.759765625</v>
      </c>
      <c r="K645" s="15" t="n">
        <f aca="false">J645*(1+IF(K$3&lt;=$O$2,$D645,$D645-($D645-$I$643)*MIN(K$3-$O$2,$Q$2)/$Q$2))</f>
        <v>34867.1926910156</v>
      </c>
      <c r="L645" s="15" t="n">
        <f aca="false">K645*(1+IF(L$3&lt;=$O$2,$D645,$D645-($D645-$I$643)*MIN(L$3-$O$2,$Q$2)/$Q$2))</f>
        <v>38945.9568920106</v>
      </c>
      <c r="M645" s="15" t="n">
        <f aca="false">L645*(1+IF(M$3&lt;=$O$2,$D645,$D645-($D645-$I$643)*MIN(M$3-$O$2,$Q$2)/$Q$2))</f>
        <v>41774.9912006463</v>
      </c>
      <c r="N645" s="15" t="n">
        <f aca="false">M645*(1+IF(N$3&lt;=$O$2,$D645,$D645-($D645-$I$643)*MIN(N$3-$O$2,$Q$2)/$Q$2))</f>
        <v>42957.2234516246</v>
      </c>
      <c r="O645" s="15" t="n">
        <f aca="false">SUMPRODUCT(E645:N645,1/(1+$F$643)^$E$3:$N$3)*$E$2</f>
        <v>54623.2065287925</v>
      </c>
      <c r="P645" s="15" t="n">
        <f aca="false">N645*$E$2*(1+$I$643)/($F$643-$I$643)/(1+$F$643)^$N$3</f>
        <v>79989.1666854818</v>
      </c>
      <c r="Q645" s="15" t="n">
        <f aca="false">O645+P645</f>
        <v>134612.373214274</v>
      </c>
      <c r="R645" s="15" t="n">
        <f aca="false">Q645-$G$2+$I$2</f>
        <v>128492.373214274</v>
      </c>
      <c r="S645" s="42" t="n">
        <f aca="false">R645/$K$2</f>
        <v>741.958501064062</v>
      </c>
      <c r="T645" s="43" t="n">
        <f aca="false">S645-$M$2</f>
        <v>277.817145249303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7140</v>
      </c>
      <c r="F646" s="15" t="n">
        <f aca="false">E646*(1+IF(F$3&lt;=$O$2,$D646,$D646-($D646-$I$643)*MIN(F$3-$O$2,$Q$2)/$Q$2))</f>
        <v>6247.5</v>
      </c>
      <c r="G646" s="15" t="n">
        <f aca="false">F646*(1+IF(G$3&lt;=$O$2,$D646,$D646-($D646-$I$643)*MIN(G$3-$O$2,$Q$2)/$Q$2))</f>
        <v>5466.5625</v>
      </c>
      <c r="H646" s="15" t="n">
        <f aca="false">G646*(1+IF(H$3&lt;=$O$2,$D646,$D646-($D646-$I$643)*MIN(H$3-$O$2,$Q$2)/$Q$2))</f>
        <v>4783.2421875</v>
      </c>
      <c r="I646" s="15" t="n">
        <f aca="false">H646*(1+IF(I$3&lt;=$O$2,$D646,$D646-($D646-$I$643)*MIN(I$3-$O$2,$Q$2)/$Q$2))</f>
        <v>4185.3369140625</v>
      </c>
      <c r="J646" s="15" t="n">
        <f aca="false">I646*(1+IF(J$3&lt;=$O$2,$D646,$D646-($D646-$I$643)*MIN(J$3-$O$2,$Q$2)/$Q$2))</f>
        <v>3790.49222958984</v>
      </c>
      <c r="K646" s="15" t="n">
        <f aca="false">J646*(1+IF(K$3&lt;=$O$2,$D646,$D646-($D646-$I$643)*MIN(K$3-$O$2,$Q$2)/$Q$2))</f>
        <v>3549.11368440956</v>
      </c>
      <c r="L646" s="15" t="n">
        <f aca="false">K646*(1+IF(L$3&lt;=$O$2,$D646,$D646-($D646-$I$643)*MIN(L$3-$O$2,$Q$2)/$Q$2))</f>
        <v>3431.92195055036</v>
      </c>
      <c r="M646" s="15" t="n">
        <f aca="false">L646*(1+IF(M$3&lt;=$O$2,$D646,$D646-($D646-$I$643)*MIN(M$3-$O$2,$Q$2)/$Q$2))</f>
        <v>3423.82261474706</v>
      </c>
      <c r="N646" s="15" t="n">
        <f aca="false">M646*(1+IF(N$3&lt;=$O$2,$D646,$D646-($D646-$I$643)*MIN(N$3-$O$2,$Q$2)/$Q$2))</f>
        <v>3520.7167947444</v>
      </c>
      <c r="O646" s="15" t="n">
        <f aca="false">SUMPRODUCT(E646:N646,1/(1+$F$643)^$E$3:$N$3)*$E$2</f>
        <v>11170.267354577</v>
      </c>
      <c r="P646" s="15" t="n">
        <f aca="false">N646*$E$2*(1+$I$643)/($F$643-$I$643)/(1+$F$643)^$N$3</f>
        <v>6555.80551811792</v>
      </c>
      <c r="Q646" s="15" t="n">
        <f aca="false">O646+P646</f>
        <v>17726.0728726949</v>
      </c>
      <c r="R646" s="15" t="n">
        <f aca="false">Q646-$G$2+$I$2</f>
        <v>11606.0728726949</v>
      </c>
      <c r="S646" s="42" t="n">
        <f aca="false">R646/$K$2</f>
        <v>67.0173973478169</v>
      </c>
      <c r="T646" s="43" t="n">
        <f aca="false">S646-$M$2</f>
        <v>-397.123958466942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8670</v>
      </c>
      <c r="F647" s="15" t="n">
        <f aca="false">E647*(1+IF(F$3&lt;=$O$2,$D647,$D647-($D647-$I$643)*MIN(F$3-$O$2,$Q$2)/$Q$2))</f>
        <v>9211.875</v>
      </c>
      <c r="G647" s="15" t="n">
        <f aca="false">F647*(1+IF(G$3&lt;=$O$2,$D647,$D647-($D647-$I$643)*MIN(G$3-$O$2,$Q$2)/$Q$2))</f>
        <v>9787.6171875</v>
      </c>
      <c r="H647" s="15" t="n">
        <f aca="false">G647*(1+IF(H$3&lt;=$O$2,$D647,$D647-($D647-$I$643)*MIN(H$3-$O$2,$Q$2)/$Q$2))</f>
        <v>10399.3432617188</v>
      </c>
      <c r="I647" s="15" t="n">
        <f aca="false">H647*(1+IF(I$3&lt;=$O$2,$D647,$D647-($D647-$I$643)*MIN(I$3-$O$2,$Q$2)/$Q$2))</f>
        <v>11049.3022155762</v>
      </c>
      <c r="J647" s="15" t="n">
        <f aca="false">I647*(1+IF(J$3&lt;=$O$2,$D647,$D647-($D647-$I$643)*MIN(J$3-$O$2,$Q$2)/$Q$2))</f>
        <v>11664.3063768951</v>
      </c>
      <c r="K647" s="15" t="n">
        <f aca="false">J647*(1+IF(K$3&lt;=$O$2,$D647,$D647-($D647-$I$643)*MIN(K$3-$O$2,$Q$2)/$Q$2))</f>
        <v>12233.7578142152</v>
      </c>
      <c r="L647" s="15" t="n">
        <f aca="false">K647*(1+IF(L$3&lt;=$O$2,$D647,$D647-($D647-$I$643)*MIN(L$3-$O$2,$Q$2)/$Q$2))</f>
        <v>12747.3309672559</v>
      </c>
      <c r="M647" s="15" t="n">
        <f aca="false">L647*(1+IF(M$3&lt;=$O$2,$D647,$D647-($D647-$I$643)*MIN(M$3-$O$2,$Q$2)/$Q$2))</f>
        <v>13195.2721774453</v>
      </c>
      <c r="N647" s="15" t="n">
        <f aca="false">M647*(1+IF(N$3&lt;=$O$2,$D647,$D647-($D647-$I$643)*MIN(N$3-$O$2,$Q$2)/$Q$2))</f>
        <v>13568.698380067</v>
      </c>
      <c r="O647" s="15" t="n">
        <f aca="false">SUMPRODUCT(E647:N647,1/(1+$F$643)^$E$3:$N$3)*$E$2</f>
        <v>24608.3502322106</v>
      </c>
      <c r="P647" s="15" t="n">
        <f aca="false">N647*$E$2*(1+$I$643)/($F$643-$I$643)/(1+$F$643)^$N$3</f>
        <v>25265.8060558883</v>
      </c>
      <c r="Q647" s="15" t="n">
        <f aca="false">O647+P647</f>
        <v>49874.156288099</v>
      </c>
      <c r="R647" s="15" t="n">
        <f aca="false">Q647-$G$2+$I$2</f>
        <v>43754.156288099</v>
      </c>
      <c r="S647" s="42" t="n">
        <f aca="false">R647/$K$2</f>
        <v>252.651323987175</v>
      </c>
      <c r="T647" s="43" t="n">
        <f aca="false">S647-$M$2</f>
        <v>-211.490031827584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9435</v>
      </c>
      <c r="F648" s="15" t="n">
        <f aca="false">E648*(1+IF(F$3&lt;=$O$2,$D648,$D648-($D648-$I$643)*MIN(F$3-$O$2,$Q$2)/$Q$2))</f>
        <v>10909.21875</v>
      </c>
      <c r="G648" s="15" t="n">
        <f aca="false">F648*(1+IF(G$3&lt;=$O$2,$D648,$D648-($D648-$I$643)*MIN(G$3-$O$2,$Q$2)/$Q$2))</f>
        <v>12613.7841796875</v>
      </c>
      <c r="H648" s="15" t="n">
        <f aca="false">G648*(1+IF(H$3&lt;=$O$2,$D648,$D648-($D648-$I$643)*MIN(H$3-$O$2,$Q$2)/$Q$2))</f>
        <v>14584.6879577637</v>
      </c>
      <c r="I648" s="15" t="n">
        <f aca="false">H648*(1+IF(I$3&lt;=$O$2,$D648,$D648-($D648-$I$643)*MIN(I$3-$O$2,$Q$2)/$Q$2))</f>
        <v>16863.5454511642</v>
      </c>
      <c r="J648" s="15" t="n">
        <f aca="false">I648*(1+IF(J$3&lt;=$O$2,$D648,$D648-($D648-$I$643)*MIN(J$3-$O$2,$Q$2)/$Q$2))</f>
        <v>19066.9362998134</v>
      </c>
      <c r="K648" s="15" t="n">
        <f aca="false">J648*(1+IF(K$3&lt;=$O$2,$D648,$D648-($D648-$I$643)*MIN(K$3-$O$2,$Q$2)/$Q$2))</f>
        <v>21070.2992968348</v>
      </c>
      <c r="L648" s="15" t="n">
        <f aca="false">K648*(1+IF(L$3&lt;=$O$2,$D648,$D648-($D648-$I$643)*MIN(L$3-$O$2,$Q$2)/$Q$2))</f>
        <v>22744.9666849472</v>
      </c>
      <c r="M648" s="15" t="n">
        <f aca="false">L648*(1+IF(M$3&lt;=$O$2,$D648,$D648-($D648-$I$643)*MIN(M$3-$O$2,$Q$2)/$Q$2))</f>
        <v>23970.692939599</v>
      </c>
      <c r="N648" s="15" t="n">
        <f aca="false">M648*(1+IF(N$3&lt;=$O$2,$D648,$D648-($D648-$I$643)*MIN(N$3-$O$2,$Q$2)/$Q$2))</f>
        <v>24649.0635497896</v>
      </c>
      <c r="O648" s="15" t="n">
        <f aca="false">SUMPRODUCT(E648:N648,1/(1+$F$643)^$E$3:$N$3)*$E$2</f>
        <v>36709.938276196</v>
      </c>
      <c r="P648" s="15" t="n">
        <f aca="false">N648*$E$2*(1+$I$643)/($F$643-$I$643)/(1+$F$643)^$N$3</f>
        <v>45898.1725191224</v>
      </c>
      <c r="Q648" s="15" t="n">
        <f aca="false">O648+P648</f>
        <v>82608.1107953184</v>
      </c>
      <c r="R648" s="15" t="n">
        <f aca="false">Q648-$G$2+$I$2</f>
        <v>76488.1107953184</v>
      </c>
      <c r="S648" s="42" t="n">
        <f aca="false">R648/$K$2</f>
        <v>441.668268826183</v>
      </c>
      <c r="T648" s="43" t="n">
        <f aca="false">S648-$M$2</f>
        <v>-22.473086988576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0.15625</v>
      </c>
      <c r="C649" s="25" t="n">
        <f aca="false">IF(T648&gt;0,D648,C648)</f>
        <v>0.25</v>
      </c>
      <c r="D649" s="41" t="n">
        <f aca="false">(B649+C649)/2</f>
        <v>0.203125</v>
      </c>
      <c r="E649" s="15" t="n">
        <f aca="false">$C$2*(1+IF(E$3&lt;=$O$2,$D649,$D649-($D649-$I$643)*MIN(E$3-$O$2,$Q$2)/$Q$2))</f>
        <v>9817.5</v>
      </c>
      <c r="F649" s="15" t="n">
        <f aca="false">E649*(1+IF(F$3&lt;=$O$2,$D649,$D649-($D649-$I$643)*MIN(F$3-$O$2,$Q$2)/$Q$2))</f>
        <v>11811.6796875</v>
      </c>
      <c r="G649" s="15" t="n">
        <f aca="false">F649*(1+IF(G$3&lt;=$O$2,$D649,$D649-($D649-$I$643)*MIN(G$3-$O$2,$Q$2)/$Q$2))</f>
        <v>14210.9271240234</v>
      </c>
      <c r="H649" s="15" t="n">
        <f aca="false">G649*(1+IF(H$3&lt;=$O$2,$D649,$D649-($D649-$I$643)*MIN(H$3-$O$2,$Q$2)/$Q$2))</f>
        <v>17097.5216960907</v>
      </c>
      <c r="I649" s="15" t="n">
        <f aca="false">H649*(1+IF(I$3&lt;=$O$2,$D649,$D649-($D649-$I$643)*MIN(I$3-$O$2,$Q$2)/$Q$2))</f>
        <v>20570.4557906091</v>
      </c>
      <c r="J649" s="15" t="n">
        <f aca="false">I649*(1+IF(J$3&lt;=$O$2,$D649,$D649-($D649-$I$643)*MIN(J$3-$O$2,$Q$2)/$Q$2))</f>
        <v>24029.583636358</v>
      </c>
      <c r="K649" s="15" t="n">
        <f aca="false">J649*(1+IF(K$3&lt;=$O$2,$D649,$D649-($D649-$I$643)*MIN(K$3-$O$2,$Q$2)/$Q$2))</f>
        <v>27230.2040288027</v>
      </c>
      <c r="L649" s="15" t="n">
        <f aca="false">K649*(1+IF(L$3&lt;=$O$2,$D649,$D649-($D649-$I$643)*MIN(L$3-$O$2,$Q$2)/$Q$2))</f>
        <v>29905.0269705519</v>
      </c>
      <c r="M649" s="15" t="n">
        <f aca="false">L649*(1+IF(M$3&lt;=$O$2,$D649,$D649-($D649-$I$643)*MIN(M$3-$O$2,$Q$2)/$Q$2))</f>
        <v>31796.9685018439</v>
      </c>
      <c r="N649" s="15" t="n">
        <f aca="false">M649*(1+IF(N$3&lt;=$O$2,$D649,$D649-($D649-$I$643)*MIN(N$3-$O$2,$Q$2)/$Q$2))</f>
        <v>32696.8227104461</v>
      </c>
      <c r="O649" s="15" t="n">
        <f aca="false">SUMPRODUCT(E649:N649,1/(1+$F$643)^$E$3:$N$3)*$E$2</f>
        <v>44804.4767666879</v>
      </c>
      <c r="P649" s="15" t="n">
        <f aca="false">N649*$E$2*(1+$I$643)/($F$643-$I$643)/(1+$F$643)^$N$3</f>
        <v>60883.6277516118</v>
      </c>
      <c r="Q649" s="15" t="n">
        <f aca="false">O649+P649</f>
        <v>105688.1045183</v>
      </c>
      <c r="R649" s="15" t="n">
        <f aca="false">Q649-$G$2+$I$2</f>
        <v>99568.1045182997</v>
      </c>
      <c r="S649" s="42" t="n">
        <f aca="false">R649/$K$2</f>
        <v>574.939972966276</v>
      </c>
      <c r="T649" s="43" t="n">
        <f aca="false">S649-$M$2</f>
        <v>110.798617151517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0.15625</v>
      </c>
      <c r="C650" s="25" t="n">
        <f aca="false">IF(T649&gt;0,D649,C649)</f>
        <v>0.203125</v>
      </c>
      <c r="D650" s="41" t="n">
        <f aca="false">(B650+C650)/2</f>
        <v>0.1796875</v>
      </c>
      <c r="E650" s="15" t="n">
        <f aca="false">$C$2*(1+IF(E$3&lt;=$O$2,$D650,$D650-($D650-$I$643)*MIN(E$3-$O$2,$Q$2)/$Q$2))</f>
        <v>9626.25</v>
      </c>
      <c r="F650" s="15" t="n">
        <f aca="false">E650*(1+IF(F$3&lt;=$O$2,$D650,$D650-($D650-$I$643)*MIN(F$3-$O$2,$Q$2)/$Q$2))</f>
        <v>11355.966796875</v>
      </c>
      <c r="G650" s="15" t="n">
        <f aca="false">F650*(1+IF(G$3&lt;=$O$2,$D650,$D650-($D650-$I$643)*MIN(G$3-$O$2,$Q$2)/$Q$2))</f>
        <v>13396.4920806885</v>
      </c>
      <c r="H650" s="15" t="n">
        <f aca="false">G650*(1+IF(H$3&lt;=$O$2,$D650,$D650-($D650-$I$643)*MIN(H$3-$O$2,$Q$2)/$Q$2))</f>
        <v>15803.6742514372</v>
      </c>
      <c r="I650" s="15" t="n">
        <f aca="false">H650*(1+IF(I$3&lt;=$O$2,$D650,$D650-($D650-$I$643)*MIN(I$3-$O$2,$Q$2)/$Q$2))</f>
        <v>18643.3969684923</v>
      </c>
      <c r="J650" s="15" t="n">
        <f aca="false">I650*(1+IF(J$3&lt;=$O$2,$D650,$D650-($D650-$I$643)*MIN(J$3-$O$2,$Q$2)/$Q$2))</f>
        <v>21428.9069095547</v>
      </c>
      <c r="K650" s="15" t="n">
        <f aca="false">J650*(1+IF(K$3&lt;=$O$2,$D650,$D650-($D650-$I$643)*MIN(K$3-$O$2,$Q$2)/$Q$2))</f>
        <v>23981.7861619573</v>
      </c>
      <c r="L650" s="15" t="n">
        <f aca="false">K650*(1+IF(L$3&lt;=$O$2,$D650,$D650-($D650-$I$643)*MIN(L$3-$O$2,$Q$2)/$Q$2))</f>
        <v>26112.687771378</v>
      </c>
      <c r="M650" s="15" t="n">
        <f aca="false">L650*(1+IF(M$3&lt;=$O$2,$D650,$D650-($D650-$I$643)*MIN(M$3-$O$2,$Q$2)/$Q$2))</f>
        <v>27642.3037393059</v>
      </c>
      <c r="N650" s="15" t="n">
        <f aca="false">M650*(1+IF(N$3&lt;=$O$2,$D650,$D650-($D650-$I$643)*MIN(N$3-$O$2,$Q$2)/$Q$2))</f>
        <v>28424.5809351282</v>
      </c>
      <c r="O650" s="15" t="n">
        <f aca="false">SUMPRODUCT(E650:N650,1/(1+$F$643)^$E$3:$N$3)*$E$2</f>
        <v>40560.2869856286</v>
      </c>
      <c r="P650" s="15" t="n">
        <f aca="false">N650*$E$2*(1+$I$643)/($F$643-$I$643)/(1+$F$643)^$N$3</f>
        <v>52928.4334436879</v>
      </c>
      <c r="Q650" s="15" t="n">
        <f aca="false">O650+P650</f>
        <v>93488.7204293165</v>
      </c>
      <c r="R650" s="15" t="n">
        <f aca="false">Q650-$G$2+$I$2</f>
        <v>87368.7204293165</v>
      </c>
      <c r="S650" s="42" t="n">
        <f aca="false">R650/$K$2</f>
        <v>504.496595619104</v>
      </c>
      <c r="T650" s="43" t="n">
        <f aca="false">S650-$M$2</f>
        <v>40.3552398043451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0.15625</v>
      </c>
      <c r="C651" s="25" t="n">
        <f aca="false">IF(T650&gt;0,D650,C650)</f>
        <v>0.1796875</v>
      </c>
      <c r="D651" s="41" t="n">
        <f aca="false">(B651+C651)/2</f>
        <v>0.16796875</v>
      </c>
      <c r="E651" s="15" t="n">
        <f aca="false">$C$2*(1+IF(E$3&lt;=$O$2,$D651,$D651-($D651-$I$643)*MIN(E$3-$O$2,$Q$2)/$Q$2))</f>
        <v>9530.625</v>
      </c>
      <c r="F651" s="15" t="n">
        <f aca="false">E651*(1+IF(F$3&lt;=$O$2,$D651,$D651-($D651-$I$643)*MIN(F$3-$O$2,$Q$2)/$Q$2))</f>
        <v>11131.4721679688</v>
      </c>
      <c r="G651" s="15" t="n">
        <f aca="false">F651*(1+IF(G$3&lt;=$O$2,$D651,$D651-($D651-$I$643)*MIN(G$3-$O$2,$Q$2)/$Q$2))</f>
        <v>13001.2116336823</v>
      </c>
      <c r="H651" s="15" t="n">
        <f aca="false">G651*(1+IF(H$3&lt;=$O$2,$D651,$D651-($D651-$I$643)*MIN(H$3-$O$2,$Q$2)/$Q$2))</f>
        <v>15185.0089002773</v>
      </c>
      <c r="I651" s="15" t="n">
        <f aca="false">H651*(1+IF(I$3&lt;=$O$2,$D651,$D651-($D651-$I$643)*MIN(I$3-$O$2,$Q$2)/$Q$2))</f>
        <v>17735.6158639958</v>
      </c>
      <c r="J651" s="15" t="n">
        <f aca="false">I651*(1+IF(J$3&lt;=$O$2,$D651,$D651-($D651-$I$643)*MIN(J$3-$O$2,$Q$2)/$Q$2))</f>
        <v>20219.2228315104</v>
      </c>
      <c r="K651" s="15" t="n">
        <f aca="false">J651*(1+IF(K$3&lt;=$O$2,$D651,$D651-($D651-$I$643)*MIN(K$3-$O$2,$Q$2)/$Q$2))</f>
        <v>22485.8229849513</v>
      </c>
      <c r="L651" s="15" t="n">
        <f aca="false">K651*(1+IF(L$3&lt;=$O$2,$D651,$D651-($D651-$I$643)*MIN(L$3-$O$2,$Q$2)/$Q$2))</f>
        <v>24378.3984910372</v>
      </c>
      <c r="M651" s="15" t="n">
        <f aca="false">L651*(1+IF(M$3&lt;=$O$2,$D651,$D651-($D651-$I$643)*MIN(M$3-$O$2,$Q$2)/$Q$2))</f>
        <v>25749.2872571825</v>
      </c>
      <c r="N651" s="15" t="n">
        <f aca="false">M651*(1+IF(N$3&lt;=$O$2,$D651,$D651-($D651-$I$643)*MIN(N$3-$O$2,$Q$2)/$Q$2))</f>
        <v>26477.9920865608</v>
      </c>
      <c r="O651" s="15" t="n">
        <f aca="false">SUMPRODUCT(E651:N651,1/(1+$F$643)^$E$3:$N$3)*$E$2</f>
        <v>38588.05537295</v>
      </c>
      <c r="P651" s="15" t="n">
        <f aca="false">N651*$E$2*(1+$I$643)/($F$643-$I$643)/(1+$F$643)^$N$3</f>
        <v>49303.7573737481</v>
      </c>
      <c r="Q651" s="15" t="n">
        <f aca="false">O651+P651</f>
        <v>87891.8127466981</v>
      </c>
      <c r="R651" s="15" t="n">
        <f aca="false">Q651-$G$2+$I$2</f>
        <v>81771.8127466981</v>
      </c>
      <c r="S651" s="42" t="n">
        <f aca="false">R651/$K$2</f>
        <v>472.178154213524</v>
      </c>
      <c r="T651" s="43" t="n">
        <f aca="false">S651-$M$2</f>
        <v>8.0367983987648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0.15625</v>
      </c>
      <c r="C652" s="25" t="n">
        <f aca="false">IF(T651&gt;0,D651,C651)</f>
        <v>0.16796875</v>
      </c>
      <c r="D652" s="41" t="n">
        <f aca="false">(B652+C652)/2</f>
        <v>0.162109375</v>
      </c>
      <c r="E652" s="15" t="n">
        <f aca="false">$C$2*(1+IF(E$3&lt;=$O$2,$D652,$D652-($D652-$I$643)*MIN(E$3-$O$2,$Q$2)/$Q$2))</f>
        <v>9482.8125</v>
      </c>
      <c r="F652" s="15" t="n">
        <f aca="false">E652*(1+IF(F$3&lt;=$O$2,$D652,$D652-($D652-$I$643)*MIN(F$3-$O$2,$Q$2)/$Q$2))</f>
        <v>11020.0653076172</v>
      </c>
      <c r="G652" s="15" t="n">
        <f aca="false">F652*(1+IF(G$3&lt;=$O$2,$D652,$D652-($D652-$I$643)*MIN(G$3-$O$2,$Q$2)/$Q$2))</f>
        <v>12806.5212070942</v>
      </c>
      <c r="H652" s="15" t="n">
        <f aca="false">G652*(1+IF(H$3&lt;=$O$2,$D652,$D652-($D652-$I$643)*MIN(H$3-$O$2,$Q$2)/$Q$2))</f>
        <v>14882.5783559005</v>
      </c>
      <c r="I652" s="15" t="n">
        <f aca="false">H652*(1+IF(I$3&lt;=$O$2,$D652,$D652-($D652-$I$643)*MIN(I$3-$O$2,$Q$2)/$Q$2))</f>
        <v>17295.183831564</v>
      </c>
      <c r="J652" s="15" t="n">
        <f aca="false">I652*(1+IF(J$3&lt;=$O$2,$D652,$D652-($D652-$I$643)*MIN(J$3-$O$2,$Q$2)/$Q$2))</f>
        <v>19636.0437252066</v>
      </c>
      <c r="K652" s="15" t="n">
        <f aca="false">J652*(1+IF(K$3&lt;=$O$2,$D652,$D652-($D652-$I$643)*MIN(K$3-$O$2,$Q$2)/$Q$2))</f>
        <v>21768.2358056355</v>
      </c>
      <c r="L652" s="15" t="n">
        <f aca="false">K652*(1+IF(L$3&lt;=$O$2,$D652,$D652-($D652-$I$643)*MIN(L$3-$O$2,$Q$2)/$Q$2))</f>
        <v>23549.3944901369</v>
      </c>
      <c r="M652" s="15" t="n">
        <f aca="false">L652*(1+IF(M$3&lt;=$O$2,$D652,$D652-($D652-$I$643)*MIN(M$3-$O$2,$Q$2)/$Q$2))</f>
        <v>24846.0683058785</v>
      </c>
      <c r="N652" s="15" t="n">
        <f aca="false">M652*(1+IF(N$3&lt;=$O$2,$D652,$D652-($D652-$I$643)*MIN(N$3-$O$2,$Q$2)/$Q$2))</f>
        <v>25549.2120389349</v>
      </c>
      <c r="O652" s="15" t="n">
        <f aca="false">SUMPRODUCT(E652:N652,1/(1+$F$643)^$E$3:$N$3)*$E$2</f>
        <v>37637.4950310958</v>
      </c>
      <c r="P652" s="15" t="n">
        <f aca="false">N652*$E$2*(1+$I$643)/($F$643-$I$643)/(1+$F$643)^$N$3</f>
        <v>47574.308026833</v>
      </c>
      <c r="Q652" s="15" t="n">
        <f aca="false">O652+P652</f>
        <v>85211.8030579288</v>
      </c>
      <c r="R652" s="15" t="n">
        <f aca="false">Q652-$G$2+$I$2</f>
        <v>79091.8030579288</v>
      </c>
      <c r="S652" s="42" t="n">
        <f aca="false">R652/$K$2</f>
        <v>456.702870180903</v>
      </c>
      <c r="T652" s="43" t="n">
        <f aca="false">S652-$M$2</f>
        <v>-7.43848563385626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0.162109375</v>
      </c>
      <c r="C653" s="25" t="n">
        <f aca="false">IF(T652&gt;0,D652,C652)</f>
        <v>0.16796875</v>
      </c>
      <c r="D653" s="41" t="n">
        <f aca="false">(B653+C653)/2</f>
        <v>0.1650390625</v>
      </c>
      <c r="E653" s="15" t="n">
        <f aca="false">$C$2*(1+IF(E$3&lt;=$O$2,$D653,$D653-($D653-$I$643)*MIN(E$3-$O$2,$Q$2)/$Q$2))</f>
        <v>9506.71875</v>
      </c>
      <c r="F653" s="15" t="n">
        <f aca="false">E653*(1+IF(F$3&lt;=$O$2,$D653,$D653-($D653-$I$643)*MIN(F$3-$O$2,$Q$2)/$Q$2))</f>
        <v>11075.6986999512</v>
      </c>
      <c r="G653" s="15" t="n">
        <f aca="false">F653*(1+IF(G$3&lt;=$O$2,$D653,$D653-($D653-$I$643)*MIN(G$3-$O$2,$Q$2)/$Q$2))</f>
        <v>12903.6216299236</v>
      </c>
      <c r="H653" s="15" t="n">
        <f aca="false">G653*(1+IF(H$3&lt;=$O$2,$D653,$D653-($D653-$I$643)*MIN(H$3-$O$2,$Q$2)/$Q$2))</f>
        <v>15033.2232465809</v>
      </c>
      <c r="I653" s="15" t="n">
        <f aca="false">H653*(1+IF(I$3&lt;=$O$2,$D653,$D653-($D653-$I$643)*MIN(I$3-$O$2,$Q$2)/$Q$2))</f>
        <v>17514.2923175498</v>
      </c>
      <c r="J653" s="15" t="n">
        <f aca="false">I653*(1+IF(J$3&lt;=$O$2,$D653,$D653-($D653-$I$643)*MIN(J$3-$O$2,$Q$2)/$Q$2))</f>
        <v>19925.8571196186</v>
      </c>
      <c r="K653" s="15" t="n">
        <f aca="false">J653*(1+IF(K$3&lt;=$O$2,$D653,$D653-($D653-$I$643)*MIN(K$3-$O$2,$Q$2)/$Q$2))</f>
        <v>22124.5446893312</v>
      </c>
      <c r="L653" s="15" t="n">
        <f aca="false">K653*(1+IF(L$3&lt;=$O$2,$D653,$D653-($D653-$I$643)*MIN(L$3-$O$2,$Q$2)/$Q$2))</f>
        <v>23960.7851036627</v>
      </c>
      <c r="M653" s="15" t="n">
        <f aca="false">L653*(1+IF(M$3&lt;=$O$2,$D653,$D653-($D653-$I$643)*MIN(M$3-$O$2,$Q$2)/$Q$2))</f>
        <v>25294.1503804641</v>
      </c>
      <c r="N653" s="15" t="n">
        <f aca="false">M653*(1+IF(N$3&lt;=$O$2,$D653,$D653-($D653-$I$643)*MIN(N$3-$O$2,$Q$2)/$Q$2))</f>
        <v>26009.9748362312</v>
      </c>
      <c r="O653" s="15" t="n">
        <f aca="false">SUMPRODUCT(E653:N653,1/(1+$F$643)^$E$3:$N$3)*$E$2</f>
        <v>38109.8673358979</v>
      </c>
      <c r="P653" s="15" t="n">
        <f aca="false">N653*$E$2*(1+$I$643)/($F$643-$I$643)/(1+$F$643)^$N$3</f>
        <v>48432.2785666867</v>
      </c>
      <c r="Q653" s="15" t="n">
        <f aca="false">O653+P653</f>
        <v>86542.1459025846</v>
      </c>
      <c r="R653" s="15" t="n">
        <f aca="false">Q653-$G$2+$I$2</f>
        <v>80422.1459025846</v>
      </c>
      <c r="S653" s="42" t="n">
        <f aca="false">R653/$K$2</f>
        <v>464.384720536925</v>
      </c>
      <c r="T653" s="43" t="n">
        <f aca="false">S653-$M$2</f>
        <v>0.243364722165325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0.162109375</v>
      </c>
      <c r="C654" s="25" t="n">
        <f aca="false">IF(T653&gt;0,D653,C653)</f>
        <v>0.1650390625</v>
      </c>
      <c r="D654" s="41" t="n">
        <f aca="false">(B654+C654)/2</f>
        <v>0.16357421875</v>
      </c>
      <c r="E654" s="15" t="n">
        <f aca="false">$C$2*(1+IF(E$3&lt;=$O$2,$D654,$D654-($D654-$I$643)*MIN(E$3-$O$2,$Q$2)/$Q$2))</f>
        <v>9494.765625</v>
      </c>
      <c r="F654" s="15" t="n">
        <f aca="false">E654*(1+IF(F$3&lt;=$O$2,$D654,$D654-($D654-$I$643)*MIN(F$3-$O$2,$Q$2)/$Q$2))</f>
        <v>11047.8644943237</v>
      </c>
      <c r="G654" s="15" t="n">
        <f aca="false">F654*(1+IF(G$3&lt;=$O$2,$D654,$D654-($D654-$I$643)*MIN(G$3-$O$2,$Q$2)/$Q$2))</f>
        <v>12855.0102978386</v>
      </c>
      <c r="H654" s="15" t="n">
        <f aca="false">G654*(1+IF(H$3&lt;=$O$2,$D654,$D654-($D654-$I$643)*MIN(H$3-$O$2,$Q$2)/$Q$2))</f>
        <v>14957.7585643308</v>
      </c>
      <c r="I654" s="15" t="n">
        <f aca="false">H654*(1+IF(I$3&lt;=$O$2,$D654,$D654-($D654-$I$643)*MIN(I$3-$O$2,$Q$2)/$Q$2))</f>
        <v>17404.4622357423</v>
      </c>
      <c r="J654" s="15" t="n">
        <f aca="false">I654*(1+IF(J$3&lt;=$O$2,$D654,$D654-($D654-$I$643)*MIN(J$3-$O$2,$Q$2)/$Q$2))</f>
        <v>19780.5085423769</v>
      </c>
      <c r="K654" s="15" t="n">
        <f aca="false">J654*(1+IF(K$3&lt;=$O$2,$D654,$D654-($D654-$I$643)*MIN(K$3-$O$2,$Q$2)/$Q$2))</f>
        <v>21945.7726378548</v>
      </c>
      <c r="L654" s="15" t="n">
        <f aca="false">K654*(1+IF(L$3&lt;=$O$2,$D654,$D654-($D654-$I$643)*MIN(L$3-$O$2,$Q$2)/$Q$2))</f>
        <v>23754.3169028865</v>
      </c>
      <c r="M654" s="15" t="n">
        <f aca="false">L654*(1+IF(M$3&lt;=$O$2,$D654,$D654-($D654-$I$643)*MIN(M$3-$O$2,$Q$2)/$Q$2))</f>
        <v>25069.2334034338</v>
      </c>
      <c r="N654" s="15" t="n">
        <f aca="false">M654*(1+IF(N$3&lt;=$O$2,$D654,$D654-($D654-$I$643)*MIN(N$3-$O$2,$Q$2)/$Q$2))</f>
        <v>25778.6927087509</v>
      </c>
      <c r="O654" s="15" t="n">
        <f aca="false">SUMPRODUCT(E654:N654,1/(1+$F$643)^$E$3:$N$3)*$E$2</f>
        <v>37872.9582938027</v>
      </c>
      <c r="P654" s="15" t="n">
        <f aca="false">N654*$E$2*(1+$I$643)/($F$643-$I$643)/(1+$F$643)^$N$3</f>
        <v>48001.6160806154</v>
      </c>
      <c r="Q654" s="15" t="n">
        <f aca="false">O654+P654</f>
        <v>85874.5743744181</v>
      </c>
      <c r="R654" s="15" t="n">
        <f aca="false">Q654-$G$2+$I$2</f>
        <v>79754.5743744181</v>
      </c>
      <c r="S654" s="42" t="n">
        <f aca="false">R654/$K$2</f>
        <v>460.529936334554</v>
      </c>
      <c r="T654" s="43" t="n">
        <f aca="false">S654-$M$2</f>
        <v>-3.61141948020503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0.16357421875</v>
      </c>
      <c r="C655" s="25" t="n">
        <f aca="false">IF(T654&gt;0,D654,C654)</f>
        <v>0.1650390625</v>
      </c>
      <c r="D655" s="41" t="n">
        <f aca="false">(B655+C655)/2</f>
        <v>0.164306640625</v>
      </c>
      <c r="E655" s="15" t="n">
        <f aca="false">$C$2*(1+IF(E$3&lt;=$O$2,$D655,$D655-($D655-$I$643)*MIN(E$3-$O$2,$Q$2)/$Q$2))</f>
        <v>9500.7421875</v>
      </c>
      <c r="F655" s="15" t="n">
        <f aca="false">E655*(1+IF(F$3&lt;=$O$2,$D655,$D655-($D655-$I$643)*MIN(F$3-$O$2,$Q$2)/$Q$2))</f>
        <v>11061.7772197723</v>
      </c>
      <c r="G655" s="15" t="n">
        <f aca="false">F655*(1+IF(G$3&lt;=$O$2,$D655,$D655-($D655-$I$643)*MIN(G$3-$O$2,$Q$2)/$Q$2))</f>
        <v>12879.3006740953</v>
      </c>
      <c r="H655" s="15" t="n">
        <f aca="false">G655*(1+IF(H$3&lt;=$O$2,$D655,$D655-($D655-$I$643)*MIN(H$3-$O$2,$Q$2)/$Q$2))</f>
        <v>14995.4553014552</v>
      </c>
      <c r="I655" s="15" t="n">
        <f aca="false">H655*(1+IF(I$3&lt;=$O$2,$D655,$D655-($D655-$I$643)*MIN(I$3-$O$2,$Q$2)/$Q$2))</f>
        <v>17459.3081866796</v>
      </c>
      <c r="J655" s="15" t="n">
        <f aca="false">I655*(1+IF(J$3&lt;=$O$2,$D655,$D655-($D655-$I$643)*MIN(J$3-$O$2,$Q$2)/$Q$2))</f>
        <v>19853.0720916481</v>
      </c>
      <c r="K655" s="15" t="n">
        <f aca="false">J655*(1+IF(K$3&lt;=$O$2,$D655,$D655-($D655-$I$643)*MIN(K$3-$O$2,$Q$2)/$Q$2))</f>
        <v>22035.0038166044</v>
      </c>
      <c r="L655" s="15" t="n">
        <f aca="false">K655*(1+IF(L$3&lt;=$O$2,$D655,$D655-($D655-$I$643)*MIN(L$3-$O$2,$Q$2)/$Q$2))</f>
        <v>23857.3571627165</v>
      </c>
      <c r="M655" s="15" t="n">
        <f aca="false">L655*(1+IF(M$3&lt;=$O$2,$D655,$D655-($D655-$I$643)*MIN(M$3-$O$2,$Q$2)/$Q$2))</f>
        <v>25181.4721707997</v>
      </c>
      <c r="N655" s="15" t="n">
        <f aca="false">M655*(1+IF(N$3&lt;=$O$2,$D655,$D655-($D655-$I$643)*MIN(N$3-$O$2,$Q$2)/$Q$2))</f>
        <v>25894.1078332333</v>
      </c>
      <c r="O655" s="15" t="n">
        <f aca="false">SUMPRODUCT(E655:N655,1/(1+$F$643)^$E$3:$N$3)*$E$2</f>
        <v>37991.2315843675</v>
      </c>
      <c r="P655" s="15" t="n">
        <f aca="false">N655*$E$2*(1+$I$643)/($F$643-$I$643)/(1+$F$643)^$N$3</f>
        <v>48216.5266099388</v>
      </c>
      <c r="Q655" s="15" t="n">
        <f aca="false">O655+P655</f>
        <v>86207.7581943063</v>
      </c>
      <c r="R655" s="15" t="n">
        <f aca="false">Q655-$G$2+$I$2</f>
        <v>80087.7581943063</v>
      </c>
      <c r="S655" s="42" t="n">
        <f aca="false">R655/$K$2</f>
        <v>462.453852605995</v>
      </c>
      <c r="T655" s="43" t="n">
        <f aca="false">S655-$M$2</f>
        <v>-1.68750320876399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0.164306640625</v>
      </c>
      <c r="C656" s="25" t="n">
        <f aca="false">IF(T655&gt;0,D655,C655)</f>
        <v>0.1650390625</v>
      </c>
      <c r="D656" s="41" t="n">
        <f aca="false">(B656+C656)/2</f>
        <v>0.1646728515625</v>
      </c>
      <c r="E656" s="15" t="n">
        <f aca="false">$C$2*(1+IF(E$3&lt;=$O$2,$D656,$D656-($D656-$I$643)*MIN(E$3-$O$2,$Q$2)/$Q$2))</f>
        <v>9503.73046875</v>
      </c>
      <c r="F656" s="15" t="n">
        <f aca="false">E656*(1+IF(F$3&lt;=$O$2,$D656,$D656-($D656-$I$643)*MIN(F$3-$O$2,$Q$2)/$Q$2))</f>
        <v>11068.7368655205</v>
      </c>
      <c r="G656" s="15" t="n">
        <f aca="false">F656*(1+IF(G$3&lt;=$O$2,$D656,$D656-($D656-$I$643)*MIN(G$3-$O$2,$Q$2)/$Q$2))</f>
        <v>12891.4573283607</v>
      </c>
      <c r="H656" s="15" t="n">
        <f aca="false">G656*(1+IF(H$3&lt;=$O$2,$D656,$D656-($D656-$I$643)*MIN(H$3-$O$2,$Q$2)/$Q$2))</f>
        <v>15014.3303674181</v>
      </c>
      <c r="I656" s="15" t="n">
        <f aca="false">H656*(1+IF(I$3&lt;=$O$2,$D656,$D656-($D656-$I$643)*MIN(I$3-$O$2,$Q$2)/$Q$2))</f>
        <v>17486.7829633223</v>
      </c>
      <c r="J656" s="15" t="n">
        <f aca="false">I656*(1+IF(J$3&lt;=$O$2,$D656,$D656-($D656-$I$643)*MIN(J$3-$O$2,$Q$2)/$Q$2))</f>
        <v>19889.4368870746</v>
      </c>
      <c r="K656" s="15" t="n">
        <f aca="false">J656*(1+IF(K$3&lt;=$O$2,$D656,$D656-($D656-$I$643)*MIN(K$3-$O$2,$Q$2)/$Q$2))</f>
        <v>22079.7354855365</v>
      </c>
      <c r="L656" s="15" t="n">
        <f aca="false">K656*(1+IF(L$3&lt;=$O$2,$D656,$D656-($D656-$I$643)*MIN(L$3-$O$2,$Q$2)/$Q$2))</f>
        <v>23909.0225957405</v>
      </c>
      <c r="M656" s="15" t="n">
        <f aca="false">L656*(1+IF(M$3&lt;=$O$2,$D656,$D656-($D656-$I$643)*MIN(M$3-$O$2,$Q$2)/$Q$2))</f>
        <v>25237.7562530906</v>
      </c>
      <c r="N656" s="15" t="n">
        <f aca="false">M656*(1+IF(N$3&lt;=$O$2,$D656,$D656-($D656-$I$643)*MIN(N$3-$O$2,$Q$2)/$Q$2))</f>
        <v>25951.9847550531</v>
      </c>
      <c r="O656" s="15" t="n">
        <f aca="false">SUMPRODUCT(E656:N656,1/(1+$F$643)^$E$3:$N$3)*$E$2</f>
        <v>38050.5040888696</v>
      </c>
      <c r="P656" s="15" t="n">
        <f aca="false">N656*$E$2*(1+$I$643)/($F$643-$I$643)/(1+$F$643)^$N$3</f>
        <v>48324.2972332402</v>
      </c>
      <c r="Q656" s="15" t="n">
        <f aca="false">O656+P656</f>
        <v>86374.8013221098</v>
      </c>
      <c r="R656" s="15" t="n">
        <f aca="false">Q656-$G$2+$I$2</f>
        <v>80254.8013221098</v>
      </c>
      <c r="S656" s="42" t="n">
        <f aca="false">R656/$K$2</f>
        <v>463.418416226526</v>
      </c>
      <c r="T656" s="43" t="n">
        <f aca="false">S656-$M$2</f>
        <v>-0.722939588233089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0.1646728515625</v>
      </c>
      <c r="C657" s="25" t="n">
        <f aca="false">IF(T656&gt;0,D656,C656)</f>
        <v>0.1650390625</v>
      </c>
      <c r="D657" s="41" t="n">
        <f aca="false">(B657+C657)/2</f>
        <v>0.16485595703125</v>
      </c>
      <c r="E657" s="15" t="n">
        <f aca="false">$C$2*(1+IF(E$3&lt;=$O$2,$D657,$D657-($D657-$I$643)*MIN(E$3-$O$2,$Q$2)/$Q$2))</f>
        <v>9505.224609375</v>
      </c>
      <c r="F657" s="15" t="n">
        <f aca="false">E657*(1+IF(F$3&lt;=$O$2,$D657,$D657-($D657-$I$643)*MIN(F$3-$O$2,$Q$2)/$Q$2))</f>
        <v>11072.2175091505</v>
      </c>
      <c r="G657" s="15" t="n">
        <f aca="false">F657*(1+IF(G$3&lt;=$O$2,$D657,$D657-($D657-$I$643)*MIN(G$3-$O$2,$Q$2)/$Q$2))</f>
        <v>12897.5385230797</v>
      </c>
      <c r="H657" s="15" t="n">
        <f aca="false">G657*(1+IF(H$3&lt;=$O$2,$D657,$D657-($D657-$I$643)*MIN(H$3-$O$2,$Q$2)/$Q$2))</f>
        <v>15023.7745796494</v>
      </c>
      <c r="I657" s="15" t="n">
        <f aca="false">H657*(1+IF(I$3&lt;=$O$2,$D657,$D657-($D657-$I$643)*MIN(I$3-$O$2,$Q$2)/$Q$2))</f>
        <v>17500.5333161993</v>
      </c>
      <c r="J657" s="15" t="n">
        <f aca="false">I657*(1+IF(J$3&lt;=$O$2,$D657,$D657-($D657-$I$643)*MIN(J$3-$O$2,$Q$2)/$Q$2))</f>
        <v>19907.6400694884</v>
      </c>
      <c r="K657" s="15" t="n">
        <f aca="false">J657*(1+IF(K$3&lt;=$O$2,$D657,$D657-($D657-$I$643)*MIN(K$3-$O$2,$Q$2)/$Q$2))</f>
        <v>22102.1303886085</v>
      </c>
      <c r="L657" s="15" t="n">
        <f aca="false">K657*(1+IF(L$3&lt;=$O$2,$D657,$D657-($D657-$I$643)*MIN(L$3-$O$2,$Q$2)/$Q$2))</f>
        <v>23934.8917056645</v>
      </c>
      <c r="M657" s="15" t="n">
        <f aca="false">L657*(1+IF(M$3&lt;=$O$2,$D657,$D657-($D657-$I$643)*MIN(M$3-$O$2,$Q$2)/$Q$2))</f>
        <v>25265.9395495961</v>
      </c>
      <c r="N657" s="15" t="n">
        <f aca="false">M657*(1+IF(N$3&lt;=$O$2,$D657,$D657-($D657-$I$643)*MIN(N$3-$O$2,$Q$2)/$Q$2))</f>
        <v>25980.9656388496</v>
      </c>
      <c r="O657" s="15" t="n">
        <f aca="false">SUMPRODUCT(E657:N657,1/(1+$F$643)^$E$3:$N$3)*$E$2</f>
        <v>38080.1743616043</v>
      </c>
      <c r="P657" s="15" t="n">
        <f aca="false">N657*$E$2*(1+$I$643)/($F$643-$I$643)/(1+$F$643)^$N$3</f>
        <v>48378.2615390875</v>
      </c>
      <c r="Q657" s="15" t="n">
        <f aca="false">O657+P657</f>
        <v>86458.4359006918</v>
      </c>
      <c r="R657" s="15" t="n">
        <f aca="false">Q657-$G$2+$I$2</f>
        <v>80338.4359006918</v>
      </c>
      <c r="S657" s="42" t="n">
        <f aca="false">R657/$K$2</f>
        <v>463.901350621849</v>
      </c>
      <c r="T657" s="43" t="n">
        <f aca="false">S657-$M$2</f>
        <v>-0.240005192910417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0.16485595703125</v>
      </c>
      <c r="C658" s="25" t="n">
        <f aca="false">IF(T657&gt;0,D657,C657)</f>
        <v>0.1650390625</v>
      </c>
      <c r="D658" s="41" t="n">
        <f aca="false">(B658+C658)/2</f>
        <v>0.164947509765625</v>
      </c>
      <c r="E658" s="15" t="n">
        <f aca="false">$C$2*(1+IF(E$3&lt;=$O$2,$D658,$D658-($D658-$I$643)*MIN(E$3-$O$2,$Q$2)/$Q$2))</f>
        <v>9505.9716796875</v>
      </c>
      <c r="F658" s="15" t="n">
        <f aca="false">E658*(1+IF(F$3&lt;=$O$2,$D658,$D658-($D658-$I$643)*MIN(F$3-$O$2,$Q$2)/$Q$2))</f>
        <v>11073.9580361545</v>
      </c>
      <c r="G658" s="15" t="n">
        <f aca="false">F658*(1+IF(G$3&lt;=$O$2,$D658,$D658-($D658-$I$643)*MIN(G$3-$O$2,$Q$2)/$Q$2))</f>
        <v>12900.5798374672</v>
      </c>
      <c r="H658" s="15" t="n">
        <f aca="false">G658*(1+IF(H$3&lt;=$O$2,$D658,$D658-($D658-$I$643)*MIN(H$3-$O$2,$Q$2)/$Q$2))</f>
        <v>15028.4983561901</v>
      </c>
      <c r="I658" s="15" t="n">
        <f aca="false">H658*(1+IF(I$3&lt;=$O$2,$D658,$D658-($D658-$I$643)*MIN(I$3-$O$2,$Q$2)/$Q$2))</f>
        <v>17507.4117355604</v>
      </c>
      <c r="J658" s="15" t="n">
        <f aca="false">I658*(1+IF(J$3&lt;=$O$2,$D658,$D658-($D658-$I$643)*MIN(J$3-$O$2,$Q$2)/$Q$2))</f>
        <v>19916.7468605614</v>
      </c>
      <c r="K658" s="15" t="n">
        <f aca="false">J658*(1+IF(K$3&lt;=$O$2,$D658,$D658-($D658-$I$643)*MIN(K$3-$O$2,$Q$2)/$Q$2))</f>
        <v>22113.3351133921</v>
      </c>
      <c r="L658" s="15" t="n">
        <f aca="false">K658*(1+IF(L$3&lt;=$O$2,$D658,$D658-($D658-$I$643)*MIN(L$3-$O$2,$Q$2)/$Q$2))</f>
        <v>23947.8353674443</v>
      </c>
      <c r="M658" s="15" t="n">
        <f aca="false">L658*(1+IF(M$3&lt;=$O$2,$D658,$D658-($D658-$I$643)*MIN(M$3-$O$2,$Q$2)/$Q$2))</f>
        <v>25280.0415217906</v>
      </c>
      <c r="N658" s="15" t="n">
        <f aca="false">M658*(1+IF(N$3&lt;=$O$2,$D658,$D658-($D658-$I$643)*MIN(N$3-$O$2,$Q$2)/$Q$2))</f>
        <v>25995.4666968573</v>
      </c>
      <c r="O658" s="15" t="n">
        <f aca="false">SUMPRODUCT(E658:N658,1/(1+$F$643)^$E$3:$N$3)*$E$2</f>
        <v>38095.0180100602</v>
      </c>
      <c r="P658" s="15" t="n">
        <f aca="false">N658*$E$2*(1+$I$643)/($F$643-$I$643)/(1+$F$643)^$N$3</f>
        <v>48405.2634599029</v>
      </c>
      <c r="Q658" s="15" t="n">
        <f aca="false">O658+P658</f>
        <v>86500.2814699632</v>
      </c>
      <c r="R658" s="15" t="n">
        <f aca="false">Q658-$G$2+$I$2</f>
        <v>80380.2814699632</v>
      </c>
      <c r="S658" s="42" t="n">
        <f aca="false">R658/$K$2</f>
        <v>464.142981117699</v>
      </c>
      <c r="T658" s="43" t="n">
        <f aca="false">S658-$M$2</f>
        <v>0.00162530293999907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0.16485595703125</v>
      </c>
      <c r="C659" s="25" t="n">
        <f aca="false">IF(T658&gt;0,D658,C658)</f>
        <v>0.164947509765625</v>
      </c>
      <c r="D659" s="41" t="n">
        <f aca="false">(B659+C659)/2</f>
        <v>0.164901733398438</v>
      </c>
      <c r="E659" s="15" t="n">
        <f aca="false">$C$2*(1+IF(E$3&lt;=$O$2,$D659,$D659-($D659-$I$643)*MIN(E$3-$O$2,$Q$2)/$Q$2))</f>
        <v>9505.59814453125</v>
      </c>
      <c r="F659" s="15" t="n">
        <f aca="false">E659*(1+IF(F$3&lt;=$O$2,$D659,$D659-($D659-$I$643)*MIN(F$3-$O$2,$Q$2)/$Q$2))</f>
        <v>11073.0877555534</v>
      </c>
      <c r="G659" s="15" t="n">
        <f aca="false">F659*(1+IF(G$3&lt;=$O$2,$D659,$D659-($D659-$I$643)*MIN(G$3-$O$2,$Q$2)/$Q$2))</f>
        <v>12899.0591205172</v>
      </c>
      <c r="H659" s="15" t="n">
        <f aca="false">G659*(1+IF(H$3&lt;=$O$2,$D659,$D659-($D659-$I$643)*MIN(H$3-$O$2,$Q$2)/$Q$2))</f>
        <v>15026.1363286994</v>
      </c>
      <c r="I659" s="15" t="n">
        <f aca="false">H659*(1+IF(I$3&lt;=$O$2,$D659,$D659-($D659-$I$643)*MIN(I$3-$O$2,$Q$2)/$Q$2))</f>
        <v>17503.9722555832</v>
      </c>
      <c r="J659" s="15" t="n">
        <f aca="false">I659*(1+IF(J$3&lt;=$O$2,$D659,$D659-($D659-$I$643)*MIN(J$3-$O$2,$Q$2)/$Q$2))</f>
        <v>19912.1930315928</v>
      </c>
      <c r="K659" s="15" t="n">
        <f aca="false">J659*(1+IF(K$3&lt;=$O$2,$D659,$D659-($D659-$I$643)*MIN(K$3-$O$2,$Q$2)/$Q$2))</f>
        <v>22107.7321447148</v>
      </c>
      <c r="L659" s="15" t="n">
        <f aca="false">K659*(1+IF(L$3&lt;=$O$2,$D659,$D659-($D659-$I$643)*MIN(L$3-$O$2,$Q$2)/$Q$2))</f>
        <v>23941.3627774008</v>
      </c>
      <c r="M659" s="15" t="n">
        <f aca="false">L659*(1+IF(M$3&lt;=$O$2,$D659,$D659-($D659-$I$643)*MIN(M$3-$O$2,$Q$2)/$Q$2))</f>
        <v>25272.989675064</v>
      </c>
      <c r="N659" s="15" t="n">
        <f aca="false">M659*(1+IF(N$3&lt;=$O$2,$D659,$D659-($D659-$I$643)*MIN(N$3-$O$2,$Q$2)/$Q$2))</f>
        <v>25988.2152828683</v>
      </c>
      <c r="O659" s="15" t="n">
        <f aca="false">SUMPRODUCT(E659:N659,1/(1+$F$643)^$E$3:$N$3)*$E$2</f>
        <v>38087.5954762841</v>
      </c>
      <c r="P659" s="15" t="n">
        <f aca="false">N659*$E$2*(1+$I$643)/($F$643-$I$643)/(1+$F$643)^$N$3</f>
        <v>48391.7608515949</v>
      </c>
      <c r="Q659" s="15" t="n">
        <f aca="false">O659+P659</f>
        <v>86479.356327879</v>
      </c>
      <c r="R659" s="15" t="n">
        <f aca="false">Q659-$G$2+$I$2</f>
        <v>80359.356327879</v>
      </c>
      <c r="S659" s="42" t="n">
        <f aca="false">R659/$K$2</f>
        <v>464.022152257068</v>
      </c>
      <c r="T659" s="43" t="n">
        <f aca="false">S659-$M$2</f>
        <v>-0.119203557691719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0.164901733398438</v>
      </c>
      <c r="C660" s="25" t="n">
        <f aca="false">IF(T659&gt;0,D659,C659)</f>
        <v>0.164947509765625</v>
      </c>
      <c r="D660" s="41" t="n">
        <f aca="false">(B660+C660)/2</f>
        <v>0.164924621582031</v>
      </c>
      <c r="E660" s="15" t="n">
        <f aca="false">$C$2*(1+IF(E$3&lt;=$O$2,$D660,$D660-($D660-$I$643)*MIN(E$3-$O$2,$Q$2)/$Q$2))</f>
        <v>9505.78491210938</v>
      </c>
      <c r="F660" s="15" t="n">
        <f aca="false">E660*(1+IF(F$3&lt;=$O$2,$D660,$D660-($D660-$I$643)*MIN(F$3-$O$2,$Q$2)/$Q$2))</f>
        <v>11073.5228915792</v>
      </c>
      <c r="G660" s="15" t="n">
        <f aca="false">F660*(1+IF(G$3&lt;=$O$2,$D660,$D660-($D660-$I$643)*MIN(G$3-$O$2,$Q$2)/$Q$2))</f>
        <v>12899.8194640529</v>
      </c>
      <c r="H660" s="15" t="n">
        <f aca="false">G660*(1+IF(H$3&lt;=$O$2,$D660,$D660-($D660-$I$643)*MIN(H$3-$O$2,$Q$2)/$Q$2))</f>
        <v>15027.3173076383</v>
      </c>
      <c r="I660" s="15" t="n">
        <f aca="false">H660*(1+IF(I$3&lt;=$O$2,$D660,$D660-($D660-$I$643)*MIN(I$3-$O$2,$Q$2)/$Q$2))</f>
        <v>17505.6919279937</v>
      </c>
      <c r="J660" s="15" t="n">
        <f aca="false">I660*(1+IF(J$3&lt;=$O$2,$D660,$D660-($D660-$I$643)*MIN(J$3-$O$2,$Q$2)/$Q$2))</f>
        <v>19914.4698377109</v>
      </c>
      <c r="K660" s="15" t="n">
        <f aca="false">J660*(1+IF(K$3&lt;=$O$2,$D660,$D660-($D660-$I$643)*MIN(K$3-$O$2,$Q$2)/$Q$2))</f>
        <v>22110.5334774685</v>
      </c>
      <c r="L660" s="15" t="n">
        <f aca="false">K660*(1+IF(L$3&lt;=$O$2,$D660,$D660-($D660-$I$643)*MIN(L$3-$O$2,$Q$2)/$Q$2))</f>
        <v>23944.5988826152</v>
      </c>
      <c r="M660" s="15" t="n">
        <f aca="false">L660*(1+IF(M$3&lt;=$O$2,$D660,$D660-($D660-$I$643)*MIN(M$3-$O$2,$Q$2)/$Q$2))</f>
        <v>25276.5153832474</v>
      </c>
      <c r="N660" s="15" t="n">
        <f aca="false">M660*(1+IF(N$3&lt;=$O$2,$D660,$D660-($D660-$I$643)*MIN(N$3-$O$2,$Q$2)/$Q$2))</f>
        <v>25991.8407685933</v>
      </c>
      <c r="O660" s="15" t="n">
        <f aca="false">SUMPRODUCT(E660:N660,1/(1+$F$643)^$E$3:$N$3)*$E$2</f>
        <v>38091.3065657695</v>
      </c>
      <c r="P660" s="15" t="n">
        <f aca="false">N660*$E$2*(1+$I$643)/($F$643-$I$643)/(1+$F$643)^$N$3</f>
        <v>48398.5117437306</v>
      </c>
      <c r="Q660" s="15" t="n">
        <f aca="false">O660+P660</f>
        <v>86489.8183095001</v>
      </c>
      <c r="R660" s="15" t="n">
        <f aca="false">Q660-$G$2+$I$2</f>
        <v>80369.8183095001</v>
      </c>
      <c r="S660" s="42" t="n">
        <f aca="false">R660/$K$2</f>
        <v>464.082563283867</v>
      </c>
      <c r="T660" s="43" t="n">
        <f aca="false">S660-$M$2</f>
        <v>-0.0587925308918784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0.164924621582031</v>
      </c>
      <c r="C661" s="25" t="n">
        <f aca="false">IF(T660&gt;0,D660,C660)</f>
        <v>0.164947509765625</v>
      </c>
      <c r="D661" s="41" t="n">
        <f aca="false">(B661+C661)/2</f>
        <v>0.164936065673828</v>
      </c>
      <c r="E661" s="15" t="n">
        <f aca="false">$C$2*(1+IF(E$3&lt;=$O$2,$D661,$D661-($D661-$I$643)*MIN(E$3-$O$2,$Q$2)/$Q$2))</f>
        <v>9505.87829589844</v>
      </c>
      <c r="F661" s="15" t="n">
        <f aca="false">E661*(1+IF(F$3&lt;=$O$2,$D661,$D661-($D661-$I$643)*MIN(F$3-$O$2,$Q$2)/$Q$2))</f>
        <v>11073.7404627982</v>
      </c>
      <c r="G661" s="15" t="n">
        <f aca="false">F661*(1+IF(G$3&lt;=$O$2,$D661,$D661-($D661-$I$643)*MIN(G$3-$O$2,$Q$2)/$Q$2))</f>
        <v>12900.1996470252</v>
      </c>
      <c r="H661" s="15" t="n">
        <f aca="false">G661*(1+IF(H$3&lt;=$O$2,$D661,$D661-($D661-$I$643)*MIN(H$3-$O$2,$Q$2)/$Q$2))</f>
        <v>15027.9078232124</v>
      </c>
      <c r="I661" s="15" t="n">
        <f aca="false">H661*(1+IF(I$3&lt;=$O$2,$D661,$D661-($D661-$I$643)*MIN(I$3-$O$2,$Q$2)/$Q$2))</f>
        <v>17506.551814882</v>
      </c>
      <c r="J661" s="15" t="n">
        <f aca="false">I661*(1+IF(J$3&lt;=$O$2,$D661,$D661-($D661-$I$643)*MIN(J$3-$O$2,$Q$2)/$Q$2))</f>
        <v>19915.6083220436</v>
      </c>
      <c r="K661" s="15" t="n">
        <f aca="false">J661*(1+IF(K$3&lt;=$O$2,$D661,$D661-($D661-$I$643)*MIN(K$3-$O$2,$Q$2)/$Q$2))</f>
        <v>22111.9342575324</v>
      </c>
      <c r="L661" s="15" t="n">
        <f aca="false">K661*(1+IF(L$3&lt;=$O$2,$D661,$D661-($D661-$I$643)*MIN(L$3-$O$2,$Q$2)/$Q$2))</f>
        <v>23946.2170775756</v>
      </c>
      <c r="M661" s="15" t="n">
        <f aca="false">L661*(1+IF(M$3&lt;=$O$2,$D661,$D661-($D661-$I$643)*MIN(M$3-$O$2,$Q$2)/$Q$2))</f>
        <v>25278.2783987212</v>
      </c>
      <c r="N661" s="15" t="n">
        <f aca="false">M661*(1+IF(N$3&lt;=$O$2,$D661,$D661-($D661-$I$643)*MIN(N$3-$O$2,$Q$2)/$Q$2))</f>
        <v>25993.653677405</v>
      </c>
      <c r="O661" s="15" t="n">
        <f aca="false">SUMPRODUCT(E661:N661,1/(1+$F$643)^$E$3:$N$3)*$E$2</f>
        <v>38093.1622435623</v>
      </c>
      <c r="P661" s="15" t="n">
        <f aca="false">N661*$E$2*(1+$I$643)/($F$643-$I$643)/(1+$F$643)^$N$3</f>
        <v>48401.8874988068</v>
      </c>
      <c r="Q661" s="15" t="n">
        <f aca="false">O661+P661</f>
        <v>86495.0497423691</v>
      </c>
      <c r="R661" s="15" t="n">
        <f aca="false">Q661-$G$2+$I$2</f>
        <v>80375.0497423691</v>
      </c>
      <c r="S661" s="42" t="n">
        <f aca="false">R661/$K$2</f>
        <v>464.112771349862</v>
      </c>
      <c r="T661" s="43" t="n">
        <f aca="false">S661-$M$2</f>
        <v>-0.0285844648972216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0.164936065673828</v>
      </c>
      <c r="C662" s="25" t="n">
        <f aca="false">IF(T661&gt;0,D661,C661)</f>
        <v>0.164947509765625</v>
      </c>
      <c r="D662" s="41" t="n">
        <f aca="false">(B662+C662)/2</f>
        <v>0.164941787719727</v>
      </c>
      <c r="E662" s="15" t="n">
        <f aca="false">$C$2*(1+IF(E$3&lt;=$O$2,$D662,$D662-($D662-$I$643)*MIN(E$3-$O$2,$Q$2)/$Q$2))</f>
        <v>9505.92498779297</v>
      </c>
      <c r="F662" s="15" t="n">
        <f aca="false">E662*(1+IF(F$3&lt;=$O$2,$D662,$D662-($D662-$I$643)*MIN(F$3-$O$2,$Q$2)/$Q$2))</f>
        <v>11073.8492492092</v>
      </c>
      <c r="G662" s="15" t="n">
        <f aca="false">F662*(1+IF(G$3&lt;=$O$2,$D662,$D662-($D662-$I$643)*MIN(G$3-$O$2,$Q$2)/$Q$2))</f>
        <v>12900.3897413125</v>
      </c>
      <c r="H662" s="15" t="n">
        <f aca="false">G662*(1+IF(H$3&lt;=$O$2,$D662,$D662-($D662-$I$643)*MIN(H$3-$O$2,$Q$2)/$Q$2))</f>
        <v>15028.2030875258</v>
      </c>
      <c r="I662" s="15" t="n">
        <f aca="false">H662*(1+IF(I$3&lt;=$O$2,$D662,$D662-($D662-$I$643)*MIN(I$3-$O$2,$Q$2)/$Q$2))</f>
        <v>17506.9817709974</v>
      </c>
      <c r="J662" s="15" t="n">
        <f aca="false">I662*(1+IF(J$3&lt;=$O$2,$D662,$D662-($D662-$I$643)*MIN(J$3-$O$2,$Q$2)/$Q$2))</f>
        <v>19916.1775845292</v>
      </c>
      <c r="K662" s="15" t="n">
        <f aca="false">J662*(1+IF(K$3&lt;=$O$2,$D662,$D662-($D662-$I$643)*MIN(K$3-$O$2,$Q$2)/$Q$2))</f>
        <v>22112.6346759876</v>
      </c>
      <c r="L662" s="15" t="n">
        <f aca="false">K662*(1+IF(L$3&lt;=$O$2,$D662,$D662-($D662-$I$643)*MIN(L$3-$O$2,$Q$2)/$Q$2))</f>
        <v>23947.0262106461</v>
      </c>
      <c r="M662" s="15" t="n">
        <f aca="false">L662*(1+IF(M$3&lt;=$O$2,$D662,$D662-($D662-$I$643)*MIN(M$3-$O$2,$Q$2)/$Q$2))</f>
        <v>25279.1599468061</v>
      </c>
      <c r="N662" s="15" t="n">
        <f aca="false">M662*(1+IF(N$3&lt;=$O$2,$D662,$D662-($D662-$I$643)*MIN(N$3-$O$2,$Q$2)/$Q$2))</f>
        <v>25994.5601733007</v>
      </c>
      <c r="O662" s="15" t="n">
        <f aca="false">SUMPRODUCT(E662:N662,1/(1+$F$643)^$E$3:$N$3)*$E$2</f>
        <v>38094.0901157229</v>
      </c>
      <c r="P662" s="15" t="n">
        <f aca="false">N662*$E$2*(1+$I$643)/($F$643-$I$643)/(1+$F$643)^$N$3</f>
        <v>48403.5754536017</v>
      </c>
      <c r="Q662" s="15" t="n">
        <f aca="false">O662+P662</f>
        <v>86497.6655693246</v>
      </c>
      <c r="R662" s="15" t="n">
        <f aca="false">Q662-$G$2+$I$2</f>
        <v>80377.6655693246</v>
      </c>
      <c r="S662" s="42" t="n">
        <f aca="false">R662/$K$2</f>
        <v>464.127876021045</v>
      </c>
      <c r="T662" s="43" t="n">
        <f aca="false">S662-$M$2</f>
        <v>-0.0134797937142253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0.164941787719727</v>
      </c>
      <c r="C663" s="25" t="n">
        <f aca="false">IF(T662&gt;0,D662,C662)</f>
        <v>0.164947509765625</v>
      </c>
      <c r="D663" s="41" t="n">
        <f aca="false">(B663+C663)/2</f>
        <v>0.164944648742676</v>
      </c>
      <c r="E663" s="15" t="n">
        <f aca="false">$C$2*(1+IF(E$3&lt;=$O$2,$D663,$D663-($D663-$I$643)*MIN(E$3-$O$2,$Q$2)/$Q$2))</f>
        <v>9505.94833374023</v>
      </c>
      <c r="F663" s="15" t="n">
        <f aca="false">E663*(1+IF(F$3&lt;=$O$2,$D663,$D663-($D663-$I$643)*MIN(F$3-$O$2,$Q$2)/$Q$2))</f>
        <v>11073.903642615</v>
      </c>
      <c r="G663" s="15" t="n">
        <f aca="false">F663*(1+IF(G$3&lt;=$O$2,$D663,$D663-($D663-$I$643)*MIN(G$3-$O$2,$Q$2)/$Q$2))</f>
        <v>12900.4847891564</v>
      </c>
      <c r="H663" s="15" t="n">
        <f aca="false">G663*(1+IF(H$3&lt;=$O$2,$D663,$D663-($D663-$I$643)*MIN(H$3-$O$2,$Q$2)/$Q$2))</f>
        <v>15028.3507213141</v>
      </c>
      <c r="I663" s="15" t="n">
        <f aca="false">H663*(1+IF(I$3&lt;=$O$2,$D663,$D663-($D663-$I$643)*MIN(I$3-$O$2,$Q$2)/$Q$2))</f>
        <v>17507.1967522229</v>
      </c>
      <c r="J663" s="15" t="n">
        <f aca="false">I663*(1+IF(J$3&lt;=$O$2,$D663,$D663-($D663-$I$643)*MIN(J$3-$O$2,$Q$2)/$Q$2))</f>
        <v>19916.462220852</v>
      </c>
      <c r="K663" s="15" t="n">
        <f aca="false">J663*(1+IF(K$3&lt;=$O$2,$D663,$D663-($D663-$I$643)*MIN(K$3-$O$2,$Q$2)/$Q$2))</f>
        <v>22112.9848923211</v>
      </c>
      <c r="L663" s="15" t="n">
        <f aca="false">K663*(1+IF(L$3&lt;=$O$2,$D663,$D663-($D663-$I$643)*MIN(L$3-$O$2,$Q$2)/$Q$2))</f>
        <v>23947.4307860792</v>
      </c>
      <c r="M663" s="15" t="n">
        <f aca="false">L663*(1+IF(M$3&lt;=$O$2,$D663,$D663-($D663-$I$643)*MIN(M$3-$O$2,$Q$2)/$Q$2))</f>
        <v>25279.6007309359</v>
      </c>
      <c r="N663" s="15" t="n">
        <f aca="false">M663*(1+IF(N$3&lt;=$O$2,$D663,$D663-($D663-$I$643)*MIN(N$3-$O$2,$Q$2)/$Q$2))</f>
        <v>25995.0134316214</v>
      </c>
      <c r="O663" s="15" t="n">
        <f aca="false">SUMPRODUCT(E663:N663,1/(1+$F$643)^$E$3:$N$3)*$E$2</f>
        <v>38094.5540601194</v>
      </c>
      <c r="P663" s="15" t="n">
        <f aca="false">N663*$E$2*(1+$I$643)/($F$643-$I$643)/(1+$F$643)^$N$3</f>
        <v>48404.4194503139</v>
      </c>
      <c r="Q663" s="15" t="n">
        <f aca="false">O663+P663</f>
        <v>86498.9735104333</v>
      </c>
      <c r="R663" s="15" t="n">
        <f aca="false">Q663-$G$2+$I$2</f>
        <v>80378.9735104333</v>
      </c>
      <c r="S663" s="42" t="n">
        <f aca="false">R663/$K$2</f>
        <v>464.135428516187</v>
      </c>
      <c r="T663" s="43" t="n">
        <f aca="false">S663-$M$2</f>
        <v>-0.0059272985718053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0.164944648742676</v>
      </c>
      <c r="C664" s="25" t="n">
        <f aca="false">IF(T663&gt;0,D663,C663)</f>
        <v>0.164947509765625</v>
      </c>
      <c r="D664" s="41" t="n">
        <f aca="false">(B664+C664)/2</f>
        <v>0.16494607925415</v>
      </c>
      <c r="E664" s="15" t="n">
        <f aca="false">$C$2*(1+IF(E$3&lt;=$O$2,$D664,$D664-($D664-$I$643)*MIN(E$3-$O$2,$Q$2)/$Q$2))</f>
        <v>9505.96000671387</v>
      </c>
      <c r="F664" s="15" t="n">
        <f aca="false">E664*(1+IF(F$3&lt;=$O$2,$D664,$D664-($D664-$I$643)*MIN(F$3-$O$2,$Q$2)/$Q$2))</f>
        <v>11073.9308393681</v>
      </c>
      <c r="G664" s="15" t="n">
        <f aca="false">F664*(1+IF(G$3&lt;=$O$2,$D664,$D664-($D664-$I$643)*MIN(G$3-$O$2,$Q$2)/$Q$2))</f>
        <v>12900.5323132535</v>
      </c>
      <c r="H664" s="15" t="n">
        <f aca="false">G664*(1+IF(H$3&lt;=$O$2,$D664,$D664-($D664-$I$643)*MIN(H$3-$O$2,$Q$2)/$Q$2))</f>
        <v>15028.4245386161</v>
      </c>
      <c r="I664" s="15" t="n">
        <f aca="false">H664*(1+IF(I$3&lt;=$O$2,$D664,$D664-($D664-$I$643)*MIN(I$3-$O$2,$Q$2)/$Q$2))</f>
        <v>17507.3042436277</v>
      </c>
      <c r="J664" s="15" t="n">
        <f aca="false">I664*(1+IF(J$3&lt;=$O$2,$D664,$D664-($D664-$I$643)*MIN(J$3-$O$2,$Q$2)/$Q$2))</f>
        <v>19916.6045402834</v>
      </c>
      <c r="K664" s="15" t="n">
        <f aca="false">J664*(1+IF(K$3&lt;=$O$2,$D664,$D664-($D664-$I$643)*MIN(K$3-$O$2,$Q$2)/$Q$2))</f>
        <v>22113.1600022645</v>
      </c>
      <c r="L664" s="15" t="n">
        <f aca="false">K664*(1+IF(L$3&lt;=$O$2,$D664,$D664-($D664-$I$643)*MIN(L$3-$O$2,$Q$2)/$Q$2))</f>
        <v>23947.6330760202</v>
      </c>
      <c r="M664" s="15" t="n">
        <f aca="false">L664*(1+IF(M$3&lt;=$O$2,$D664,$D664-($D664-$I$643)*MIN(M$3-$O$2,$Q$2)/$Q$2))</f>
        <v>25279.8211255226</v>
      </c>
      <c r="N664" s="15" t="n">
        <f aca="false">M664*(1+IF(N$3&lt;=$O$2,$D664,$D664-($D664-$I$643)*MIN(N$3-$O$2,$Q$2)/$Q$2))</f>
        <v>25995.2400633749</v>
      </c>
      <c r="O664" s="15" t="n">
        <f aca="false">SUMPRODUCT(E664:N664,1/(1+$F$643)^$E$3:$N$3)*$E$2</f>
        <v>38094.7860343968</v>
      </c>
      <c r="P664" s="15" t="n">
        <f aca="false">N664*$E$2*(1+$I$643)/($F$643-$I$643)/(1+$F$643)^$N$3</f>
        <v>48404.8414534988</v>
      </c>
      <c r="Q664" s="15" t="n">
        <f aca="false">O664+P664</f>
        <v>86499.6274878956</v>
      </c>
      <c r="R664" s="15" t="n">
        <f aca="false">Q664-$G$2+$I$2</f>
        <v>80379.6274878956</v>
      </c>
      <c r="S664" s="42" t="n">
        <f aca="false">R664/$K$2</f>
        <v>464.139204803647</v>
      </c>
      <c r="T664" s="43" t="n">
        <f aca="false">S664-$M$2</f>
        <v>-0.00215101111211879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0.16494607925415</v>
      </c>
      <c r="C665" s="25" t="n">
        <f aca="false">IF(T664&gt;0,D664,C664)</f>
        <v>0.164947509765625</v>
      </c>
      <c r="D665" s="41" t="n">
        <f aca="false">(B665+C665)/2</f>
        <v>0.164946794509888</v>
      </c>
      <c r="E665" s="15" t="n">
        <f aca="false">$C$2*(1+IF(E$3&lt;=$O$2,$D665,$D665-($D665-$I$643)*MIN(E$3-$O$2,$Q$2)/$Q$2))</f>
        <v>9505.96584320068</v>
      </c>
      <c r="F665" s="15" t="n">
        <f aca="false">E665*(1+IF(F$3&lt;=$O$2,$D665,$D665-($D665-$I$643)*MIN(F$3-$O$2,$Q$2)/$Q$2))</f>
        <v>11073.9444377571</v>
      </c>
      <c r="G665" s="15" t="n">
        <f aca="false">F665*(1+IF(G$3&lt;=$O$2,$D665,$D665-($D665-$I$643)*MIN(G$3-$O$2,$Q$2)/$Q$2))</f>
        <v>12900.5560753458</v>
      </c>
      <c r="H665" s="15" t="n">
        <f aca="false">G665*(1+IF(H$3&lt;=$O$2,$D665,$D665-($D665-$I$643)*MIN(H$3-$O$2,$Q$2)/$Q$2))</f>
        <v>15028.4614473691</v>
      </c>
      <c r="I665" s="15" t="n">
        <f aca="false">H665*(1+IF(I$3&lt;=$O$2,$D665,$D665-($D665-$I$643)*MIN(I$3-$O$2,$Q$2)/$Q$2))</f>
        <v>17507.3579895281</v>
      </c>
      <c r="J665" s="15" t="n">
        <f aca="false">I665*(1+IF(J$3&lt;=$O$2,$D665,$D665-($D665-$I$643)*MIN(J$3-$O$2,$Q$2)/$Q$2))</f>
        <v>19916.6757003166</v>
      </c>
      <c r="K665" s="15" t="n">
        <f aca="false">J665*(1+IF(K$3&lt;=$O$2,$D665,$D665-($D665-$I$643)*MIN(K$3-$O$2,$Q$2)/$Q$2))</f>
        <v>22113.2475576803</v>
      </c>
      <c r="L665" s="15" t="n">
        <f aca="false">K665*(1+IF(L$3&lt;=$O$2,$D665,$D665-($D665-$I$643)*MIN(L$3-$O$2,$Q$2)/$Q$2))</f>
        <v>23947.7342215469</v>
      </c>
      <c r="M665" s="15" t="n">
        <f aca="false">L665*(1+IF(M$3&lt;=$O$2,$D665,$D665-($D665-$I$643)*MIN(M$3-$O$2,$Q$2)/$Q$2))</f>
        <v>25279.9313234465</v>
      </c>
      <c r="N665" s="15" t="n">
        <f aca="false">M665*(1+IF(N$3&lt;=$O$2,$D665,$D665-($D665-$I$643)*MIN(N$3-$O$2,$Q$2)/$Q$2))</f>
        <v>25995.3533799</v>
      </c>
      <c r="O665" s="15" t="n">
        <f aca="false">SUMPRODUCT(E665:N665,1/(1+$F$643)^$E$3:$N$3)*$E$2</f>
        <v>38094.9020220553</v>
      </c>
      <c r="P665" s="15" t="n">
        <f aca="false">N665*$E$2*(1+$I$643)/($F$643-$I$643)/(1+$F$643)^$N$3</f>
        <v>48405.0524562985</v>
      </c>
      <c r="Q665" s="15" t="n">
        <f aca="false">O665+P665</f>
        <v>86499.9544783537</v>
      </c>
      <c r="R665" s="15" t="n">
        <f aca="false">Q665-$G$2+$I$2</f>
        <v>80379.9544783537</v>
      </c>
      <c r="S665" s="42" t="n">
        <f aca="false">R665/$K$2</f>
        <v>464.141092957349</v>
      </c>
      <c r="T665" s="43" t="n">
        <f aca="false">S665-$M$2</f>
        <v>-0.000262857410064044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0.164946794509888</v>
      </c>
      <c r="C666" s="25" t="n">
        <f aca="false">IF(T665&gt;0,D665,C665)</f>
        <v>0.164947509765625</v>
      </c>
      <c r="D666" s="41" t="n">
        <f aca="false">(B666+C666)/2</f>
        <v>0.164947152137756</v>
      </c>
      <c r="E666" s="15" t="n">
        <f aca="false">$C$2*(1+IF(E$3&lt;=$O$2,$D666,$D666-($D666-$I$643)*MIN(E$3-$O$2,$Q$2)/$Q$2))</f>
        <v>9505.96876144409</v>
      </c>
      <c r="F666" s="15" t="n">
        <f aca="false">E666*(1+IF(F$3&lt;=$O$2,$D666,$D666-($D666-$I$643)*MIN(F$3-$O$2,$Q$2)/$Q$2))</f>
        <v>11073.9512369548</v>
      </c>
      <c r="G666" s="15" t="n">
        <f aca="false">F666*(1+IF(G$3&lt;=$O$2,$D666,$D666-($D666-$I$643)*MIN(G$3-$O$2,$Q$2)/$Q$2))</f>
        <v>12900.5679564028</v>
      </c>
      <c r="H666" s="15" t="n">
        <f aca="false">G666*(1+IF(H$3&lt;=$O$2,$D666,$D666-($D666-$I$643)*MIN(H$3-$O$2,$Q$2)/$Q$2))</f>
        <v>15028.4799017711</v>
      </c>
      <c r="I666" s="15" t="n">
        <f aca="false">H666*(1+IF(I$3&lt;=$O$2,$D666,$D666-($D666-$I$643)*MIN(I$3-$O$2,$Q$2)/$Q$2))</f>
        <v>17507.3848625277</v>
      </c>
      <c r="J666" s="15" t="n">
        <f aca="false">I666*(1+IF(J$3&lt;=$O$2,$D666,$D666-($D666-$I$643)*MIN(J$3-$O$2,$Q$2)/$Q$2))</f>
        <v>19916.7112804125</v>
      </c>
      <c r="K666" s="15" t="n">
        <f aca="false">J666*(1+IF(K$3&lt;=$O$2,$D666,$D666-($D666-$I$643)*MIN(K$3-$O$2,$Q$2)/$Q$2))</f>
        <v>22113.2913354992</v>
      </c>
      <c r="L666" s="15" t="n">
        <f aca="false">K666*(1+IF(L$3&lt;=$O$2,$D666,$D666-($D666-$I$643)*MIN(L$3-$O$2,$Q$2)/$Q$2))</f>
        <v>23947.7847944492</v>
      </c>
      <c r="M666" s="15" t="n">
        <f aca="false">L666*(1+IF(M$3&lt;=$O$2,$D666,$D666-($D666-$I$643)*MIN(M$3-$O$2,$Q$2)/$Q$2))</f>
        <v>25279.986422566</v>
      </c>
      <c r="N666" s="15" t="n">
        <f aca="false">M666*(1+IF(N$3&lt;=$O$2,$D666,$D666-($D666-$I$643)*MIN(N$3-$O$2,$Q$2)/$Q$2))</f>
        <v>25995.4100383246</v>
      </c>
      <c r="O666" s="15" t="n">
        <f aca="false">SUMPRODUCT(E666:N666,1/(1+$F$643)^$E$3:$N$3)*$E$2</f>
        <v>38094.9600160144</v>
      </c>
      <c r="P666" s="15" t="n">
        <f aca="false">N666*$E$2*(1+$I$643)/($F$643-$I$643)/(1+$F$643)^$N$3</f>
        <v>48405.1579580001</v>
      </c>
      <c r="Q666" s="15" t="n">
        <f aca="false">O666+P666</f>
        <v>86500.1179740145</v>
      </c>
      <c r="R666" s="15" t="n">
        <f aca="false">Q666-$G$2+$I$2</f>
        <v>80380.1179740145</v>
      </c>
      <c r="S666" s="42" t="n">
        <f aca="false">R666/$K$2</f>
        <v>464.142037036693</v>
      </c>
      <c r="T666" s="43" t="n">
        <f aca="false">S666-$M$2</f>
        <v>0.000681221933916731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0.164946794509888</v>
      </c>
      <c r="C667" s="25" t="n">
        <f aca="false">IF(T666&gt;0,D666,C666)</f>
        <v>0.164947152137756</v>
      </c>
      <c r="D667" s="41" t="n">
        <f aca="false">(B667+C667)/2</f>
        <v>0.164946973323822</v>
      </c>
      <c r="E667" s="15" t="n">
        <f aca="false">$C$2*(1+IF(E$3&lt;=$O$2,$D667,$D667-($D667-$I$643)*MIN(E$3-$O$2,$Q$2)/$Q$2))</f>
        <v>9505.96730232239</v>
      </c>
      <c r="F667" s="15" t="n">
        <f aca="false">E667*(1+IF(F$3&lt;=$O$2,$D667,$D667-($D667-$I$643)*MIN(F$3-$O$2,$Q$2)/$Q$2))</f>
        <v>11073.9478373557</v>
      </c>
      <c r="G667" s="15" t="n">
        <f aca="false">F667*(1+IF(G$3&lt;=$O$2,$D667,$D667-($D667-$I$643)*MIN(G$3-$O$2,$Q$2)/$Q$2))</f>
        <v>12900.5620158734</v>
      </c>
      <c r="H667" s="15" t="n">
        <f aca="false">G667*(1+IF(H$3&lt;=$O$2,$D667,$D667-($D667-$I$643)*MIN(H$3-$O$2,$Q$2)/$Q$2))</f>
        <v>15028.470674568</v>
      </c>
      <c r="I667" s="15" t="n">
        <f aca="false">H667*(1+IF(I$3&lt;=$O$2,$D667,$D667-($D667-$I$643)*MIN(I$3-$O$2,$Q$2)/$Q$2))</f>
        <v>17507.3714260238</v>
      </c>
      <c r="J667" s="15" t="n">
        <f aca="false">I667*(1+IF(J$3&lt;=$O$2,$D667,$D667-($D667-$I$643)*MIN(J$3-$O$2,$Q$2)/$Q$2))</f>
        <v>19916.6934903579</v>
      </c>
      <c r="K667" s="15" t="n">
        <f aca="false">J667*(1+IF(K$3&lt;=$O$2,$D667,$D667-($D667-$I$643)*MIN(K$3-$O$2,$Q$2)/$Q$2))</f>
        <v>22113.2694465805</v>
      </c>
      <c r="L667" s="15" t="n">
        <f aca="false">K667*(1+IF(L$3&lt;=$O$2,$D667,$D667-($D667-$I$643)*MIN(L$3-$O$2,$Q$2)/$Q$2))</f>
        <v>23947.7595079865</v>
      </c>
      <c r="M667" s="15" t="n">
        <f aca="false">L667*(1+IF(M$3&lt;=$O$2,$D667,$D667-($D667-$I$643)*MIN(M$3-$O$2,$Q$2)/$Q$2))</f>
        <v>25279.9588729931</v>
      </c>
      <c r="N667" s="15" t="n">
        <f aca="false">M667*(1+IF(N$3&lt;=$O$2,$D667,$D667-($D667-$I$643)*MIN(N$3-$O$2,$Q$2)/$Q$2))</f>
        <v>25995.3817090988</v>
      </c>
      <c r="O667" s="15" t="n">
        <f aca="false">SUMPRODUCT(E667:N667,1/(1+$F$643)^$E$3:$N$3)*$E$2</f>
        <v>38094.931019024</v>
      </c>
      <c r="P667" s="15" t="n">
        <f aca="false">N667*$E$2*(1+$I$643)/($F$643-$I$643)/(1+$F$643)^$N$3</f>
        <v>48405.1052071241</v>
      </c>
      <c r="Q667" s="15" t="n">
        <f aca="false">O667+P667</f>
        <v>86500.0362261482</v>
      </c>
      <c r="R667" s="15" t="n">
        <f aca="false">Q667-$G$2+$I$2</f>
        <v>80380.0362261482</v>
      </c>
      <c r="S667" s="42" t="n">
        <f aca="false">R667/$K$2</f>
        <v>464.141564996814</v>
      </c>
      <c r="T667" s="43" t="n">
        <f aca="false">S667-$M$2</f>
        <v>0.000209182054277335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0.164946794509888</v>
      </c>
      <c r="C668" s="25" t="n">
        <f aca="false">IF(T667&gt;0,D667,C667)</f>
        <v>0.164946973323822</v>
      </c>
      <c r="D668" s="41" t="n">
        <f aca="false">(B668+C668)/2</f>
        <v>0.164946883916855</v>
      </c>
      <c r="E668" s="15" t="n">
        <f aca="false">$C$2*(1+IF(E$3&lt;=$O$2,$D668,$D668-($D668-$I$643)*MIN(E$3-$O$2,$Q$2)/$Q$2))</f>
        <v>9505.96657276154</v>
      </c>
      <c r="F668" s="15" t="n">
        <f aca="false">E668*(1+IF(F$3&lt;=$O$2,$D668,$D668-($D668-$I$643)*MIN(F$3-$O$2,$Q$2)/$Q$2))</f>
        <v>11073.9461375563</v>
      </c>
      <c r="G668" s="15" t="n">
        <f aca="false">F668*(1+IF(G$3&lt;=$O$2,$D668,$D668-($D668-$I$643)*MIN(G$3-$O$2,$Q$2)/$Q$2))</f>
        <v>12900.5590456093</v>
      </c>
      <c r="H668" s="15" t="n">
        <f aca="false">G668*(1+IF(H$3&lt;=$O$2,$D668,$D668-($D668-$I$643)*MIN(H$3-$O$2,$Q$2)/$Q$2))</f>
        <v>15028.466060968</v>
      </c>
      <c r="I668" s="15" t="n">
        <f aca="false">H668*(1+IF(I$3&lt;=$O$2,$D668,$D668-($D668-$I$643)*MIN(I$3-$O$2,$Q$2)/$Q$2))</f>
        <v>17507.3647077749</v>
      </c>
      <c r="J668" s="15" t="n">
        <f aca="false">I668*(1+IF(J$3&lt;=$O$2,$D668,$D668-($D668-$I$643)*MIN(J$3-$O$2,$Q$2)/$Q$2))</f>
        <v>19916.6845953356</v>
      </c>
      <c r="K668" s="15" t="n">
        <f aca="false">J668*(1+IF(K$3&lt;=$O$2,$D668,$D668-($D668-$I$643)*MIN(K$3-$O$2,$Q$2)/$Q$2))</f>
        <v>22113.2585021281</v>
      </c>
      <c r="L668" s="15" t="n">
        <f aca="false">K668*(1+IF(L$3&lt;=$O$2,$D668,$D668-($D668-$I$643)*MIN(L$3-$O$2,$Q$2)/$Q$2))</f>
        <v>23947.7468647638</v>
      </c>
      <c r="M668" s="15" t="n">
        <f aca="false">L668*(1+IF(M$3&lt;=$O$2,$D668,$D668-($D668-$I$643)*MIN(M$3-$O$2,$Q$2)/$Q$2))</f>
        <v>25279.9450982165</v>
      </c>
      <c r="N668" s="15" t="n">
        <f aca="false">M668*(1+IF(N$3&lt;=$O$2,$D668,$D668-($D668-$I$643)*MIN(N$3-$O$2,$Q$2)/$Q$2))</f>
        <v>25995.367544496</v>
      </c>
      <c r="O668" s="15" t="n">
        <f aca="false">SUMPRODUCT(E668:N668,1/(1+$F$643)^$E$3:$N$3)*$E$2</f>
        <v>38094.9165205369</v>
      </c>
      <c r="P668" s="15" t="n">
        <f aca="false">N668*$E$2*(1+$I$643)/($F$643-$I$643)/(1+$F$643)^$N$3</f>
        <v>48405.078831705</v>
      </c>
      <c r="Q668" s="15" t="n">
        <f aca="false">O668+P668</f>
        <v>86499.995352242</v>
      </c>
      <c r="R668" s="15" t="n">
        <f aca="false">Q668-$G$2+$I$2</f>
        <v>80379.995352242</v>
      </c>
      <c r="S668" s="42" t="n">
        <f aca="false">R668/$K$2</f>
        <v>464.141328977029</v>
      </c>
      <c r="T668" s="43" t="n">
        <f aca="false">S668-$M$2</f>
        <v>-2.68377298198175E-005</v>
      </c>
    </row>
    <row r="670" customFormat="false" ht="15" hidden="false" customHeight="false" outlineLevel="0" collapsed="false">
      <c r="A670" s="38" t="s">
        <v>205</v>
      </c>
      <c r="E670" s="5" t="s">
        <v>11</v>
      </c>
      <c r="F670" s="12" t="n">
        <f aca="false">Sensitivity!$B$14</f>
        <v>0.105316051923387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162</v>
      </c>
      <c r="B671" s="28" t="s">
        <v>163</v>
      </c>
      <c r="C671" s="28" t="s">
        <v>164</v>
      </c>
      <c r="D671" s="28" t="s">
        <v>165</v>
      </c>
      <c r="E671" s="28" t="s">
        <v>166</v>
      </c>
      <c r="F671" s="28" t="s">
        <v>167</v>
      </c>
      <c r="G671" s="28" t="s">
        <v>168</v>
      </c>
      <c r="H671" s="28" t="s">
        <v>169</v>
      </c>
      <c r="I671" s="28" t="s">
        <v>170</v>
      </c>
      <c r="J671" s="28" t="s">
        <v>171</v>
      </c>
      <c r="K671" s="28" t="s">
        <v>172</v>
      </c>
      <c r="L671" s="28" t="s">
        <v>173</v>
      </c>
      <c r="M671" s="28" t="s">
        <v>174</v>
      </c>
      <c r="N671" s="28" t="s">
        <v>175</v>
      </c>
      <c r="O671" s="28" t="s">
        <v>176</v>
      </c>
      <c r="P671" s="28" t="s">
        <v>177</v>
      </c>
      <c r="Q671" s="28" t="s">
        <v>178</v>
      </c>
      <c r="R671" s="28" t="s">
        <v>179</v>
      </c>
      <c r="S671" s="28" t="s">
        <v>180</v>
      </c>
      <c r="T671" s="28" t="s">
        <v>181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10200</v>
      </c>
      <c r="F672" s="15" t="n">
        <f aca="false">E672*(1+IF(F$3&lt;=$O$2,$D672,$D672-($D672-$I$670)*MIN(F$3-$O$2,$Q$2)/$Q$2))</f>
        <v>12750</v>
      </c>
      <c r="G672" s="15" t="n">
        <f aca="false">F672*(1+IF(G$3&lt;=$O$2,$D672,$D672-($D672-$I$670)*MIN(G$3-$O$2,$Q$2)/$Q$2))</f>
        <v>15937.5</v>
      </c>
      <c r="H672" s="15" t="n">
        <f aca="false">G672*(1+IF(H$3&lt;=$O$2,$D672,$D672-($D672-$I$670)*MIN(H$3-$O$2,$Q$2)/$Q$2))</f>
        <v>19921.875</v>
      </c>
      <c r="I672" s="15" t="n">
        <f aca="false">H672*(1+IF(I$3&lt;=$O$2,$D672,$D672-($D672-$I$670)*MIN(I$3-$O$2,$Q$2)/$Q$2))</f>
        <v>24902.34375</v>
      </c>
      <c r="J672" s="15" t="n">
        <f aca="false">I672*(1+IF(J$3&lt;=$O$2,$D672,$D672-($D672-$I$670)*MIN(J$3-$O$2,$Q$2)/$Q$2))</f>
        <v>30048.662109375</v>
      </c>
      <c r="K672" s="15" t="n">
        <f aca="false">J672*(1+IF(K$3&lt;=$O$2,$D672,$D672-($D672-$I$670)*MIN(K$3-$O$2,$Q$2)/$Q$2))</f>
        <v>34956.2096050781</v>
      </c>
      <c r="L672" s="15" t="n">
        <f aca="false">K672*(1+IF(L$3&lt;=$O$2,$D672,$D672-($D672-$I$670)*MIN(L$3-$O$2,$Q$2)/$Q$2))</f>
        <v>39150.2556334954</v>
      </c>
      <c r="M672" s="15" t="n">
        <f aca="false">L672*(1+IF(M$3&lt;=$O$2,$D672,$D672-($D672-$I$670)*MIN(M$3-$O$2,$Q$2)/$Q$2))</f>
        <v>42150.7312252465</v>
      </c>
      <c r="N672" s="15" t="n">
        <f aca="false">M672*(1+IF(N$3&lt;=$O$2,$D672,$D672-($D672-$I$670)*MIN(N$3-$O$2,$Q$2)/$Q$2))</f>
        <v>43554.3505750472</v>
      </c>
      <c r="O672" s="15" t="n">
        <f aca="false">SUMPRODUCT(E672:N672,1/(1+$F$670)^$E$3:$N$3)*$E$2</f>
        <v>54821.1608266743</v>
      </c>
      <c r="P672" s="15" t="n">
        <f aca="false">N672*$E$2*(1+$I$670)/($F$670-$I$670)/(1+$F$670)^$N$3</f>
        <v>87153.5433133549</v>
      </c>
      <c r="Q672" s="15" t="n">
        <f aca="false">O672+P672</f>
        <v>141974.704140029</v>
      </c>
      <c r="R672" s="15" t="n">
        <f aca="false">Q672-$G$2+$I$2</f>
        <v>135854.704140029</v>
      </c>
      <c r="S672" s="42" t="n">
        <f aca="false">R672/$K$2</f>
        <v>784.471094468352</v>
      </c>
      <c r="T672" s="43" t="n">
        <f aca="false">S672-$M$2</f>
        <v>320.329738653592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7140</v>
      </c>
      <c r="F673" s="15" t="n">
        <f aca="false">E673*(1+IF(F$3&lt;=$O$2,$D673,$D673-($D673-$I$670)*MIN(F$3-$O$2,$Q$2)/$Q$2))</f>
        <v>6247.5</v>
      </c>
      <c r="G673" s="15" t="n">
        <f aca="false">F673*(1+IF(G$3&lt;=$O$2,$D673,$D673-($D673-$I$670)*MIN(G$3-$O$2,$Q$2)/$Q$2))</f>
        <v>5466.5625</v>
      </c>
      <c r="H673" s="15" t="n">
        <f aca="false">G673*(1+IF(H$3&lt;=$O$2,$D673,$D673-($D673-$I$670)*MIN(H$3-$O$2,$Q$2)/$Q$2))</f>
        <v>4783.2421875</v>
      </c>
      <c r="I673" s="15" t="n">
        <f aca="false">H673*(1+IF(I$3&lt;=$O$2,$D673,$D673-($D673-$I$670)*MIN(I$3-$O$2,$Q$2)/$Q$2))</f>
        <v>4185.3369140625</v>
      </c>
      <c r="J673" s="15" t="n">
        <f aca="false">I673*(1+IF(J$3&lt;=$O$2,$D673,$D673-($D673-$I$670)*MIN(J$3-$O$2,$Q$2)/$Q$2))</f>
        <v>3794.67756650391</v>
      </c>
      <c r="K673" s="15" t="n">
        <f aca="false">J673*(1+IF(K$3&lt;=$O$2,$D673,$D673-($D673-$I$670)*MIN(K$3-$O$2,$Q$2)/$Q$2))</f>
        <v>3560.62185420195</v>
      </c>
      <c r="L673" s="15" t="n">
        <f aca="false">K673*(1+IF(L$3&lt;=$O$2,$D673,$D673-($D673-$I$670)*MIN(L$3-$O$2,$Q$2)/$Q$2))</f>
        <v>3453.7319861388</v>
      </c>
      <c r="M673" s="15" t="n">
        <f aca="false">L673*(1+IF(M$3&lt;=$O$2,$D673,$D673-($D673-$I$670)*MIN(M$3-$O$2,$Q$2)/$Q$2))</f>
        <v>3459.39610659607</v>
      </c>
      <c r="N673" s="15" t="n">
        <f aca="false">M673*(1+IF(N$3&lt;=$O$2,$D673,$D673-($D673-$I$670)*MIN(N$3-$O$2,$Q$2)/$Q$2))</f>
        <v>3574.59399694572</v>
      </c>
      <c r="O673" s="15" t="n">
        <f aca="false">SUMPRODUCT(E673:N673,1/(1+$F$670)^$E$3:$N$3)*$E$2</f>
        <v>11190.019461519</v>
      </c>
      <c r="P673" s="15" t="n">
        <f aca="false">N673*$E$2*(1+$I$670)/($F$670-$I$670)/(1+$F$670)^$N$3</f>
        <v>7152.86828129062</v>
      </c>
      <c r="Q673" s="15" t="n">
        <f aca="false">O673+P673</f>
        <v>18342.8877428096</v>
      </c>
      <c r="R673" s="15" t="n">
        <f aca="false">Q673-$G$2+$I$2</f>
        <v>12222.8877428096</v>
      </c>
      <c r="S673" s="42" t="n">
        <f aca="false">R673/$K$2</f>
        <v>70.5790954083011</v>
      </c>
      <c r="T673" s="43" t="n">
        <f aca="false">S673-$M$2</f>
        <v>-393.562260406458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8670</v>
      </c>
      <c r="F674" s="15" t="n">
        <f aca="false">E674*(1+IF(F$3&lt;=$O$2,$D674,$D674-($D674-$I$670)*MIN(F$3-$O$2,$Q$2)/$Q$2))</f>
        <v>9211.875</v>
      </c>
      <c r="G674" s="15" t="n">
        <f aca="false">F674*(1+IF(G$3&lt;=$O$2,$D674,$D674-($D674-$I$670)*MIN(G$3-$O$2,$Q$2)/$Q$2))</f>
        <v>9787.6171875</v>
      </c>
      <c r="H674" s="15" t="n">
        <f aca="false">G674*(1+IF(H$3&lt;=$O$2,$D674,$D674-($D674-$I$670)*MIN(H$3-$O$2,$Q$2)/$Q$2))</f>
        <v>10399.3432617188</v>
      </c>
      <c r="I674" s="15" t="n">
        <f aca="false">H674*(1+IF(I$3&lt;=$O$2,$D674,$D674-($D674-$I$670)*MIN(I$3-$O$2,$Q$2)/$Q$2))</f>
        <v>11049.3022155762</v>
      </c>
      <c r="J674" s="15" t="n">
        <f aca="false">I674*(1+IF(J$3&lt;=$O$2,$D674,$D674-($D674-$I$670)*MIN(J$3-$O$2,$Q$2)/$Q$2))</f>
        <v>11675.3556791107</v>
      </c>
      <c r="K674" s="15" t="n">
        <f aca="false">J674*(1+IF(K$3&lt;=$O$2,$D674,$D674-($D674-$I$670)*MIN(K$3-$O$2,$Q$2)/$Q$2))</f>
        <v>12268.6972547231</v>
      </c>
      <c r="L674" s="15" t="n">
        <f aca="false">K674*(1+IF(L$3&lt;=$O$2,$D674,$D674-($D674-$I$670)*MIN(L$3-$O$2,$Q$2)/$Q$2))</f>
        <v>12820.5432572406</v>
      </c>
      <c r="M674" s="15" t="n">
        <f aca="false">L674*(1+IF(M$3&lt;=$O$2,$D674,$D674-($D674-$I$670)*MIN(M$3-$O$2,$Q$2)/$Q$2))</f>
        <v>13322.339320329</v>
      </c>
      <c r="N674" s="15" t="n">
        <f aca="false">M674*(1+IF(N$3&lt;=$O$2,$D674,$D674-($D674-$I$670)*MIN(N$3-$O$2,$Q$2)/$Q$2))</f>
        <v>13765.9732196959</v>
      </c>
      <c r="O674" s="15" t="n">
        <f aca="false">SUMPRODUCT(E674:N674,1/(1+$F$670)^$E$3:$N$3)*$E$2</f>
        <v>24676.804333607</v>
      </c>
      <c r="P674" s="15" t="n">
        <f aca="false">N674*$E$2*(1+$I$670)/($F$670-$I$670)/(1+$F$670)^$N$3</f>
        <v>27546.1194441642</v>
      </c>
      <c r="Q674" s="15" t="n">
        <f aca="false">O674+P674</f>
        <v>52222.9237777712</v>
      </c>
      <c r="R674" s="15" t="n">
        <f aca="false">Q674-$G$2+$I$2</f>
        <v>46102.9237777712</v>
      </c>
      <c r="S674" s="42" t="n">
        <f aca="false">R674/$K$2</f>
        <v>266.213903324698</v>
      </c>
      <c r="T674" s="43" t="n">
        <f aca="false">S674-$M$2</f>
        <v>-197.927452490061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9435</v>
      </c>
      <c r="F675" s="15" t="n">
        <f aca="false">E675*(1+IF(F$3&lt;=$O$2,$D675,$D675-($D675-$I$670)*MIN(F$3-$O$2,$Q$2)/$Q$2))</f>
        <v>10909.21875</v>
      </c>
      <c r="G675" s="15" t="n">
        <f aca="false">F675*(1+IF(G$3&lt;=$O$2,$D675,$D675-($D675-$I$670)*MIN(G$3-$O$2,$Q$2)/$Q$2))</f>
        <v>12613.7841796875</v>
      </c>
      <c r="H675" s="15" t="n">
        <f aca="false">G675*(1+IF(H$3&lt;=$O$2,$D675,$D675-($D675-$I$670)*MIN(H$3-$O$2,$Q$2)/$Q$2))</f>
        <v>14584.6879577637</v>
      </c>
      <c r="I675" s="15" t="n">
        <f aca="false">H675*(1+IF(I$3&lt;=$O$2,$D675,$D675-($D675-$I$670)*MIN(I$3-$O$2,$Q$2)/$Q$2))</f>
        <v>16863.5454511642</v>
      </c>
      <c r="J675" s="15" t="n">
        <f aca="false">I675*(1+IF(J$3&lt;=$O$2,$D675,$D675-($D675-$I$670)*MIN(J$3-$O$2,$Q$2)/$Q$2))</f>
        <v>19083.7998452645</v>
      </c>
      <c r="K675" s="15" t="n">
        <f aca="false">J675*(1+IF(K$3&lt;=$O$2,$D675,$D675-($D675-$I$670)*MIN(K$3-$O$2,$Q$2)/$Q$2))</f>
        <v>21127.102294697</v>
      </c>
      <c r="L675" s="15" t="n">
        <f aca="false">K675*(1+IF(L$3&lt;=$O$2,$D675,$D675-($D675-$I$670)*MIN(L$3-$O$2,$Q$2)/$Q$2))</f>
        <v>22869.6656919636</v>
      </c>
      <c r="M675" s="15" t="n">
        <f aca="false">L675*(1+IF(M$3&lt;=$O$2,$D675,$D675-($D675-$I$670)*MIN(M$3-$O$2,$Q$2)/$Q$2))</f>
        <v>24193.5906388714</v>
      </c>
      <c r="N675" s="15" t="n">
        <f aca="false">M675*(1+IF(N$3&lt;=$O$2,$D675,$D675-($D675-$I$670)*MIN(N$3-$O$2,$Q$2)/$Q$2))</f>
        <v>24999.2372071458</v>
      </c>
      <c r="O675" s="15" t="n">
        <f aca="false">SUMPRODUCT(E675:N675,1/(1+$F$670)^$E$3:$N$3)*$E$2</f>
        <v>36828.5885935841</v>
      </c>
      <c r="P675" s="15" t="n">
        <f aca="false">N675*$E$2*(1+$I$670)/($F$670-$I$670)/(1+$F$670)^$N$3</f>
        <v>50024.2128275943</v>
      </c>
      <c r="Q675" s="15" t="n">
        <f aca="false">O675+P675</f>
        <v>86852.8014211783</v>
      </c>
      <c r="R675" s="15" t="n">
        <f aca="false">Q675-$G$2+$I$2</f>
        <v>80732.8014211783</v>
      </c>
      <c r="S675" s="42" t="n">
        <f aca="false">R675/$K$2</f>
        <v>466.178550763243</v>
      </c>
      <c r="T675" s="43" t="n">
        <f aca="false">S675-$M$2</f>
        <v>2.03719494848332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9052.5</v>
      </c>
      <c r="F676" s="15" t="n">
        <f aca="false">E676*(1+IF(F$3&lt;=$O$2,$D676,$D676-($D676-$I$670)*MIN(F$3-$O$2,$Q$2)/$Q$2))</f>
        <v>10042.6171875</v>
      </c>
      <c r="G676" s="15" t="n">
        <f aca="false">F676*(1+IF(G$3&lt;=$O$2,$D676,$D676-($D676-$I$670)*MIN(G$3-$O$2,$Q$2)/$Q$2))</f>
        <v>11141.0284423828</v>
      </c>
      <c r="H676" s="15" t="n">
        <f aca="false">G676*(1+IF(H$3&lt;=$O$2,$D676,$D676-($D676-$I$670)*MIN(H$3-$O$2,$Q$2)/$Q$2))</f>
        <v>12359.5784282684</v>
      </c>
      <c r="I676" s="15" t="n">
        <f aca="false">H676*(1+IF(I$3&lt;=$O$2,$D676,$D676-($D676-$I$670)*MIN(I$3-$O$2,$Q$2)/$Q$2))</f>
        <v>13711.4073188603</v>
      </c>
      <c r="J676" s="15" t="n">
        <f aca="false">I676*(1+IF(J$3&lt;=$O$2,$D676,$D676-($D676-$I$670)*MIN(J$3-$O$2,$Q$2)/$Q$2))</f>
        <v>15002.4734320042</v>
      </c>
      <c r="K676" s="15" t="n">
        <f aca="false">J676*(1+IF(K$3&lt;=$O$2,$D676,$D676-($D676-$I$670)*MIN(K$3-$O$2,$Q$2)/$Q$2))</f>
        <v>16186.8436970937</v>
      </c>
      <c r="L676" s="15" t="n">
        <f aca="false">K676*(1+IF(L$3&lt;=$O$2,$D676,$D676-($D676-$I$670)*MIN(L$3-$O$2,$Q$2)/$Q$2))</f>
        <v>17218.4312459095</v>
      </c>
      <c r="M676" s="15" t="n">
        <f aca="false">L676*(1+IF(M$3&lt;=$O$2,$D676,$D676-($D676-$I$670)*MIN(M$3-$O$2,$Q$2)/$Q$2))</f>
        <v>18053.7834378048</v>
      </c>
      <c r="N676" s="15" t="n">
        <f aca="false">M676*(1+IF(N$3&lt;=$O$2,$D676,$D676-($D676-$I$670)*MIN(N$3-$O$2,$Q$2)/$Q$2))</f>
        <v>18654.9744262837</v>
      </c>
      <c r="O676" s="15" t="n">
        <f aca="false">SUMPRODUCT(E676:N676,1/(1+$F$670)^$E$3:$N$3)*$E$2</f>
        <v>30148.7491014577</v>
      </c>
      <c r="P676" s="15" t="n">
        <f aca="false">N676*$E$2*(1+$I$670)/($F$670-$I$670)/(1+$F$670)^$N$3</f>
        <v>37329.15541627</v>
      </c>
      <c r="Q676" s="15" t="n">
        <f aca="false">O676+P676</f>
        <v>67477.9045177277</v>
      </c>
      <c r="R676" s="15" t="n">
        <f aca="false">Q676-$G$2+$I$2</f>
        <v>61357.9045177277</v>
      </c>
      <c r="S676" s="42" t="n">
        <f aca="false">R676/$K$2</f>
        <v>354.301331087468</v>
      </c>
      <c r="T676" s="43" t="n">
        <f aca="false">S676-$M$2</f>
        <v>-109.840024727291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0.109375</v>
      </c>
      <c r="C677" s="25" t="n">
        <f aca="false">IF(T676&gt;0,D676,C676)</f>
        <v>0.15625</v>
      </c>
      <c r="D677" s="41" t="n">
        <f aca="false">(B677+C677)/2</f>
        <v>0.1328125</v>
      </c>
      <c r="E677" s="15" t="n">
        <f aca="false">$C$2*(1+IF(E$3&lt;=$O$2,$D677,$D677-($D677-$I$670)*MIN(E$3-$O$2,$Q$2)/$Q$2))</f>
        <v>9243.75</v>
      </c>
      <c r="F677" s="15" t="n">
        <f aca="false">E677*(1+IF(F$3&lt;=$O$2,$D677,$D677-($D677-$I$670)*MIN(F$3-$O$2,$Q$2)/$Q$2))</f>
        <v>10471.435546875</v>
      </c>
      <c r="G677" s="15" t="n">
        <f aca="false">F677*(1+IF(G$3&lt;=$O$2,$D677,$D677-($D677-$I$670)*MIN(G$3-$O$2,$Q$2)/$Q$2))</f>
        <v>11862.1730804443</v>
      </c>
      <c r="H677" s="15" t="n">
        <f aca="false">G677*(1+IF(H$3&lt;=$O$2,$D677,$D677-($D677-$I$670)*MIN(H$3-$O$2,$Q$2)/$Q$2))</f>
        <v>13437.6179426909</v>
      </c>
      <c r="I677" s="15" t="n">
        <f aca="false">H677*(1+IF(I$3&lt;=$O$2,$D677,$D677-($D677-$I$670)*MIN(I$3-$O$2,$Q$2)/$Q$2))</f>
        <v>15222.3015757045</v>
      </c>
      <c r="J677" s="15" t="n">
        <f aca="false">I677*(1+IF(J$3&lt;=$O$2,$D677,$D677-($D677-$I$670)*MIN(J$3-$O$2,$Q$2)/$Q$2))</f>
        <v>16941.0516466173</v>
      </c>
      <c r="K677" s="15" t="n">
        <f aca="false">J677*(1+IF(K$3&lt;=$O$2,$D677,$D677-($D677-$I$670)*MIN(K$3-$O$2,$Q$2)/$Q$2))</f>
        <v>18516.69650764</v>
      </c>
      <c r="L677" s="15" t="n">
        <f aca="false">K677*(1+IF(L$3&lt;=$O$2,$D677,$D677-($D677-$I$670)*MIN(L$3-$O$2,$Q$2)/$Q$2))</f>
        <v>19870.359605831</v>
      </c>
      <c r="M677" s="15" t="n">
        <f aca="false">L677*(1+IF(M$3&lt;=$O$2,$D677,$D677-($D677-$I$670)*MIN(M$3-$O$2,$Q$2)/$Q$2))</f>
        <v>20927.5124127603</v>
      </c>
      <c r="N677" s="15" t="n">
        <f aca="false">M677*(1+IF(N$3&lt;=$O$2,$D677,$D677-($D677-$I$670)*MIN(N$3-$O$2,$Q$2)/$Q$2))</f>
        <v>21624.3985761052</v>
      </c>
      <c r="O677" s="15" t="n">
        <f aca="false">SUMPRODUCT(E677:N677,1/(1+$F$670)^$E$3:$N$3)*$E$2</f>
        <v>33323.4480880916</v>
      </c>
      <c r="P677" s="15" t="n">
        <f aca="false">N677*$E$2*(1+$I$670)/($F$670-$I$670)/(1+$F$670)^$N$3</f>
        <v>43271.0609398357</v>
      </c>
      <c r="Q677" s="15" t="n">
        <f aca="false">O677+P677</f>
        <v>76594.5090279272</v>
      </c>
      <c r="R677" s="15" t="n">
        <f aca="false">Q677-$G$2+$I$2</f>
        <v>70474.5090279272</v>
      </c>
      <c r="S677" s="42" t="n">
        <f aca="false">R677/$K$2</f>
        <v>406.94369458325</v>
      </c>
      <c r="T677" s="43" t="n">
        <f aca="false">S677-$M$2</f>
        <v>-57.1976612315092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0.1328125</v>
      </c>
      <c r="C678" s="25" t="n">
        <f aca="false">IF(T677&gt;0,D677,C677)</f>
        <v>0.15625</v>
      </c>
      <c r="D678" s="41" t="n">
        <f aca="false">(B678+C678)/2</f>
        <v>0.14453125</v>
      </c>
      <c r="E678" s="15" t="n">
        <f aca="false">$C$2*(1+IF(E$3&lt;=$O$2,$D678,$D678-($D678-$I$670)*MIN(E$3-$O$2,$Q$2)/$Q$2))</f>
        <v>9339.375</v>
      </c>
      <c r="F678" s="15" t="n">
        <f aca="false">E678*(1+IF(F$3&lt;=$O$2,$D678,$D678-($D678-$I$670)*MIN(F$3-$O$2,$Q$2)/$Q$2))</f>
        <v>10689.2065429688</v>
      </c>
      <c r="G678" s="15" t="n">
        <f aca="false">F678*(1+IF(G$3&lt;=$O$2,$D678,$D678-($D678-$I$670)*MIN(G$3-$O$2,$Q$2)/$Q$2))</f>
        <v>12234.1309261322</v>
      </c>
      <c r="H678" s="15" t="n">
        <f aca="false">G678*(1+IF(H$3&lt;=$O$2,$D678,$D678-($D678-$I$670)*MIN(H$3-$O$2,$Q$2)/$Q$2))</f>
        <v>14002.3451615497</v>
      </c>
      <c r="I678" s="15" t="n">
        <f aca="false">H678*(1+IF(I$3&lt;=$O$2,$D678,$D678-($D678-$I$670)*MIN(I$3-$O$2,$Q$2)/$Q$2))</f>
        <v>16026.12161068</v>
      </c>
      <c r="J678" s="15" t="n">
        <f aca="false">I678*(1+IF(J$3&lt;=$O$2,$D678,$D678-($D678-$I$670)*MIN(J$3-$O$2,$Q$2)/$Q$2))</f>
        <v>17985.875891842</v>
      </c>
      <c r="K678" s="15" t="n">
        <f aca="false">J678*(1+IF(K$3&lt;=$O$2,$D678,$D678-($D678-$I$670)*MIN(K$3-$O$2,$Q$2)/$Q$2))</f>
        <v>19785.160433717</v>
      </c>
      <c r="L678" s="15" t="n">
        <f aca="false">K678*(1+IF(L$3&lt;=$O$2,$D678,$D678-($D678-$I$670)*MIN(L$3-$O$2,$Q$2)/$Q$2))</f>
        <v>21324.2975267569</v>
      </c>
      <c r="M678" s="15" t="n">
        <f aca="false">L678*(1+IF(M$3&lt;=$O$2,$D678,$D678-($D678-$I$670)*MIN(M$3-$O$2,$Q$2)/$Q$2))</f>
        <v>22508.7822882525</v>
      </c>
      <c r="N678" s="15" t="n">
        <f aca="false">M678*(1+IF(N$3&lt;=$O$2,$D678,$D678-($D678-$I$670)*MIN(N$3-$O$2,$Q$2)/$Q$2))</f>
        <v>23258.3247384514</v>
      </c>
      <c r="O678" s="15" t="n">
        <f aca="false">SUMPRODUCT(E678:N678,1/(1+$F$670)^$E$3:$N$3)*$E$2</f>
        <v>35032.80743816</v>
      </c>
      <c r="P678" s="15" t="n">
        <f aca="false">N678*$E$2*(1+$I$670)/($F$670-$I$670)/(1+$F$670)^$N$3</f>
        <v>46540.5955025308</v>
      </c>
      <c r="Q678" s="15" t="n">
        <f aca="false">O678+P678</f>
        <v>81573.4029406908</v>
      </c>
      <c r="R678" s="15" t="n">
        <f aca="false">Q678-$G$2+$I$2</f>
        <v>75453.4029406908</v>
      </c>
      <c r="S678" s="42" t="n">
        <f aca="false">R678/$K$2</f>
        <v>435.693515075013</v>
      </c>
      <c r="T678" s="43" t="n">
        <f aca="false">S678-$M$2</f>
        <v>-28.4478407397459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0.14453125</v>
      </c>
      <c r="C679" s="25" t="n">
        <f aca="false">IF(T678&gt;0,D678,C678)</f>
        <v>0.15625</v>
      </c>
      <c r="D679" s="41" t="n">
        <f aca="false">(B679+C679)/2</f>
        <v>0.150390625</v>
      </c>
      <c r="E679" s="15" t="n">
        <f aca="false">$C$2*(1+IF(E$3&lt;=$O$2,$D679,$D679-($D679-$I$670)*MIN(E$3-$O$2,$Q$2)/$Q$2))</f>
        <v>9387.1875</v>
      </c>
      <c r="F679" s="15" t="n">
        <f aca="false">E679*(1+IF(F$3&lt;=$O$2,$D679,$D679-($D679-$I$670)*MIN(F$3-$O$2,$Q$2)/$Q$2))</f>
        <v>10798.9324951172</v>
      </c>
      <c r="G679" s="15" t="n">
        <f aca="false">F679*(1+IF(G$3&lt;=$O$2,$D679,$D679-($D679-$I$670)*MIN(G$3-$O$2,$Q$2)/$Q$2))</f>
        <v>12422.9907023907</v>
      </c>
      <c r="H679" s="15" t="n">
        <f aca="false">G679*(1+IF(H$3&lt;=$O$2,$D679,$D679-($D679-$I$670)*MIN(H$3-$O$2,$Q$2)/$Q$2))</f>
        <v>14291.2920384924</v>
      </c>
      <c r="I679" s="15" t="n">
        <f aca="false">H679*(1+IF(I$3&lt;=$O$2,$D679,$D679-($D679-$I$670)*MIN(I$3-$O$2,$Q$2)/$Q$2))</f>
        <v>16440.5683802188</v>
      </c>
      <c r="J679" s="15" t="n">
        <f aca="false">I679*(1+IF(J$3&lt;=$O$2,$D679,$D679-($D679-$I$670)*MIN(J$3-$O$2,$Q$2)/$Q$2))</f>
        <v>18528.0684488761</v>
      </c>
      <c r="K679" s="15" t="n">
        <f aca="false">J679*(1+IF(K$3&lt;=$O$2,$D679,$D679-($D679-$I$670)*MIN(K$3-$O$2,$Q$2)/$Q$2))</f>
        <v>20446.7309970567</v>
      </c>
      <c r="L679" s="15" t="n">
        <f aca="false">K679*(1+IF(L$3&lt;=$O$2,$D679,$D679-($D679-$I$670)*MIN(L$3-$O$2,$Q$2)/$Q$2))</f>
        <v>22085.2553439196</v>
      </c>
      <c r="M679" s="15" t="n">
        <f aca="false">L679*(1+IF(M$3&lt;=$O$2,$D679,$D679-($D679-$I$670)*MIN(M$3-$O$2,$Q$2)/$Q$2))</f>
        <v>23337.8896171729</v>
      </c>
      <c r="N679" s="15" t="n">
        <f aca="false">M679*(1+IF(N$3&lt;=$O$2,$D679,$D679-($D679-$I$670)*MIN(N$3-$O$2,$Q$2)/$Q$2))</f>
        <v>24115.0413414248</v>
      </c>
      <c r="O679" s="15" t="n">
        <f aca="false">SUMPRODUCT(E679:N679,1/(1+$F$670)^$E$3:$N$3)*$E$2</f>
        <v>35919.6487780007</v>
      </c>
      <c r="P679" s="15" t="n">
        <f aca="false">N679*$E$2*(1+$I$670)/($F$670-$I$670)/(1+$F$670)^$N$3</f>
        <v>48254.9107564309</v>
      </c>
      <c r="Q679" s="15" t="n">
        <f aca="false">O679+P679</f>
        <v>84174.5595344317</v>
      </c>
      <c r="R679" s="15" t="n">
        <f aca="false">Q679-$G$2+$I$2</f>
        <v>78054.5595344317</v>
      </c>
      <c r="S679" s="42" t="n">
        <f aca="false">R679/$K$2</f>
        <v>450.713474618499</v>
      </c>
      <c r="T679" s="43" t="n">
        <f aca="false">S679-$M$2</f>
        <v>-13.4278811962603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0.150390625</v>
      </c>
      <c r="C680" s="25" t="n">
        <f aca="false">IF(T679&gt;0,D679,C679)</f>
        <v>0.15625</v>
      </c>
      <c r="D680" s="41" t="n">
        <f aca="false">(B680+C680)/2</f>
        <v>0.1533203125</v>
      </c>
      <c r="E680" s="15" t="n">
        <f aca="false">$C$2*(1+IF(E$3&lt;=$O$2,$D680,$D680-($D680-$I$670)*MIN(E$3-$O$2,$Q$2)/$Q$2))</f>
        <v>9411.09375</v>
      </c>
      <c r="F680" s="15" t="n">
        <f aca="false">E680*(1+IF(F$3&lt;=$O$2,$D680,$D680-($D680-$I$670)*MIN(F$3-$O$2,$Q$2)/$Q$2))</f>
        <v>10854.0055847168</v>
      </c>
      <c r="G680" s="15" t="n">
        <f aca="false">F680*(1+IF(G$3&lt;=$O$2,$D680,$D680-($D680-$I$670)*MIN(G$3-$O$2,$Q$2)/$Q$2))</f>
        <v>12518.1451128423</v>
      </c>
      <c r="H680" s="15" t="n">
        <f aca="false">G680*(1+IF(H$3&lt;=$O$2,$D680,$D680-($D680-$I$670)*MIN(H$3-$O$2,$Q$2)/$Q$2))</f>
        <v>14437.4310334637</v>
      </c>
      <c r="I680" s="15" t="n">
        <f aca="false">H680*(1+IF(I$3&lt;=$O$2,$D680,$D680-($D680-$I$670)*MIN(I$3-$O$2,$Q$2)/$Q$2))</f>
        <v>16650.9824712115</v>
      </c>
      <c r="J680" s="15" t="n">
        <f aca="false">I680*(1+IF(J$3&lt;=$O$2,$D680,$D680-($D680-$I$670)*MIN(J$3-$O$2,$Q$2)/$Q$2))</f>
        <v>18804.2250832043</v>
      </c>
      <c r="K680" s="15" t="n">
        <f aca="false">J680*(1+IF(K$3&lt;=$O$2,$D680,$D680-($D680-$I$670)*MIN(K$3-$O$2,$Q$2)/$Q$2))</f>
        <v>20784.5391609589</v>
      </c>
      <c r="L680" s="15" t="n">
        <f aca="false">K680*(1+IF(L$3&lt;=$O$2,$D680,$D680-($D680-$I$670)*MIN(L$3-$O$2,$Q$2)/$Q$2))</f>
        <v>22474.4910691256</v>
      </c>
      <c r="M680" s="15" t="n">
        <f aca="false">L680*(1+IF(M$3&lt;=$O$2,$D680,$D680-($D680-$I$670)*MIN(M$3-$O$2,$Q$2)/$Q$2))</f>
        <v>23762.3707100064</v>
      </c>
      <c r="N680" s="15" t="n">
        <f aca="false">M680*(1+IF(N$3&lt;=$O$2,$D680,$D680-($D680-$I$670)*MIN(N$3-$O$2,$Q$2)/$Q$2))</f>
        <v>24553.6576546496</v>
      </c>
      <c r="O680" s="15" t="n">
        <f aca="false">SUMPRODUCT(E680:N680,1/(1+$F$670)^$E$3:$N$3)*$E$2</f>
        <v>36371.3250309617</v>
      </c>
      <c r="P680" s="15" t="n">
        <f aca="false">N680*$E$2*(1+$I$670)/($F$670-$I$670)/(1+$F$670)^$N$3</f>
        <v>49132.5949681773</v>
      </c>
      <c r="Q680" s="15" t="n">
        <f aca="false">O680+P680</f>
        <v>85503.919999139</v>
      </c>
      <c r="R680" s="15" t="n">
        <f aca="false">Q680-$G$2+$I$2</f>
        <v>79383.919999139</v>
      </c>
      <c r="S680" s="42" t="n">
        <f aca="false">R680/$K$2</f>
        <v>458.38965237983</v>
      </c>
      <c r="T680" s="43" t="n">
        <f aca="false">S680-$M$2</f>
        <v>-5.75170343492897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0.1533203125</v>
      </c>
      <c r="C681" s="25" t="n">
        <f aca="false">IF(T680&gt;0,D680,C680)</f>
        <v>0.15625</v>
      </c>
      <c r="D681" s="41" t="n">
        <f aca="false">(B681+C681)/2</f>
        <v>0.15478515625</v>
      </c>
      <c r="E681" s="15" t="n">
        <f aca="false">$C$2*(1+IF(E$3&lt;=$O$2,$D681,$D681-($D681-$I$670)*MIN(E$3-$O$2,$Q$2)/$Q$2))</f>
        <v>9423.046875</v>
      </c>
      <c r="F681" s="15" t="n">
        <f aca="false">E681*(1+IF(F$3&lt;=$O$2,$D681,$D681-($D681-$I$670)*MIN(F$3-$O$2,$Q$2)/$Q$2))</f>
        <v>10881.594657898</v>
      </c>
      <c r="G681" s="15" t="n">
        <f aca="false">F681*(1+IF(G$3&lt;=$O$2,$D681,$D681-($D681-$I$670)*MIN(G$3-$O$2,$Q$2)/$Q$2))</f>
        <v>12565.9039872698</v>
      </c>
      <c r="H681" s="15" t="n">
        <f aca="false">G681*(1+IF(H$3&lt;=$O$2,$D681,$D681-($D681-$I$670)*MIN(H$3-$O$2,$Q$2)/$Q$2))</f>
        <v>14510.9193993619</v>
      </c>
      <c r="I681" s="15" t="n">
        <f aca="false">H681*(1+IF(I$3&lt;=$O$2,$D681,$D681-($D681-$I$670)*MIN(I$3-$O$2,$Q$2)/$Q$2))</f>
        <v>16756.9943259233</v>
      </c>
      <c r="J681" s="15" t="n">
        <f aca="false">I681*(1+IF(J$3&lt;=$O$2,$D681,$D681-($D681-$I$670)*MIN(J$3-$O$2,$Q$2)/$Q$2))</f>
        <v>18943.5830961487</v>
      </c>
      <c r="K681" s="15" t="n">
        <f aca="false">J681*(1+IF(K$3&lt;=$O$2,$D681,$D681-($D681-$I$670)*MIN(K$3-$O$2,$Q$2)/$Q$2))</f>
        <v>20955.2229046727</v>
      </c>
      <c r="L681" s="15" t="n">
        <f aca="false">K681*(1+IF(L$3&lt;=$O$2,$D681,$D681-($D681-$I$670)*MIN(L$3-$O$2,$Q$2)/$Q$2))</f>
        <v>22671.3312389294</v>
      </c>
      <c r="M681" s="15" t="n">
        <f aca="false">L681*(1+IF(M$3&lt;=$O$2,$D681,$D681-($D681-$I$670)*MIN(M$3-$O$2,$Q$2)/$Q$2))</f>
        <v>23977.1326127771</v>
      </c>
      <c r="N681" s="15" t="n">
        <f aca="false">M681*(1+IF(N$3&lt;=$O$2,$D681,$D681-($D681-$I$670)*MIN(N$3-$O$2,$Q$2)/$Q$2))</f>
        <v>24775.5711287826</v>
      </c>
      <c r="O681" s="15" t="n">
        <f aca="false">SUMPRODUCT(E681:N681,1/(1+$F$670)^$E$3:$N$3)*$E$2</f>
        <v>36599.2544467826</v>
      </c>
      <c r="P681" s="15" t="n">
        <f aca="false">N681*$E$2*(1+$I$670)/($F$670-$I$670)/(1+$F$670)^$N$3</f>
        <v>49576.650391443</v>
      </c>
      <c r="Q681" s="15" t="n">
        <f aca="false">O681+P681</f>
        <v>86175.9048382256</v>
      </c>
      <c r="R681" s="15" t="n">
        <f aca="false">Q681-$G$2+$I$2</f>
        <v>80055.9048382256</v>
      </c>
      <c r="S681" s="42" t="n">
        <f aca="false">R681/$K$2</f>
        <v>462.269920534852</v>
      </c>
      <c r="T681" s="43" t="n">
        <f aca="false">S681-$M$2</f>
        <v>-1.87143527990747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0.15478515625</v>
      </c>
      <c r="C682" s="25" t="n">
        <f aca="false">IF(T681&gt;0,D681,C681)</f>
        <v>0.15625</v>
      </c>
      <c r="D682" s="41" t="n">
        <f aca="false">(B682+C682)/2</f>
        <v>0.155517578125</v>
      </c>
      <c r="E682" s="15" t="n">
        <f aca="false">$C$2*(1+IF(E$3&lt;=$O$2,$D682,$D682-($D682-$I$670)*MIN(E$3-$O$2,$Q$2)/$Q$2))</f>
        <v>9429.0234375</v>
      </c>
      <c r="F682" s="15" t="n">
        <f aca="false">E682*(1+IF(F$3&lt;=$O$2,$D682,$D682-($D682-$I$670)*MIN(F$3-$O$2,$Q$2)/$Q$2))</f>
        <v>10895.4023265839</v>
      </c>
      <c r="G682" s="15" t="n">
        <f aca="false">F682*(1+IF(G$3&lt;=$O$2,$D682,$D682-($D682-$I$670)*MIN(G$3-$O$2,$Q$2)/$Q$2))</f>
        <v>12589.8289091117</v>
      </c>
      <c r="H682" s="15" t="n">
        <f aca="false">G682*(1+IF(H$3&lt;=$O$2,$D682,$D682-($D682-$I$670)*MIN(H$3-$O$2,$Q$2)/$Q$2))</f>
        <v>14547.7686100648</v>
      </c>
      <c r="I682" s="15" t="n">
        <f aca="false">H682*(1+IF(I$3&lt;=$O$2,$D682,$D682-($D682-$I$670)*MIN(I$3-$O$2,$Q$2)/$Q$2))</f>
        <v>16810.202351425</v>
      </c>
      <c r="J682" s="15" t="n">
        <f aca="false">I682*(1+IF(J$3&lt;=$O$2,$D682,$D682-($D682-$I$670)*MIN(J$3-$O$2,$Q$2)/$Q$2))</f>
        <v>19013.5838650733</v>
      </c>
      <c r="K682" s="15" t="n">
        <f aca="false">J682*(1+IF(K$3&lt;=$O$2,$D682,$D682-($D682-$I$670)*MIN(K$3-$O$2,$Q$2)/$Q$2))</f>
        <v>21041.0127106598</v>
      </c>
      <c r="L682" s="15" t="n">
        <f aca="false">K682*(1+IF(L$3&lt;=$O$2,$D682,$D682-($D682-$I$670)*MIN(L$3-$O$2,$Q$2)/$Q$2))</f>
        <v>22770.3110798424</v>
      </c>
      <c r="M682" s="15" t="n">
        <f aca="false">L682*(1+IF(M$3&lt;=$O$2,$D682,$D682-($D682-$I$670)*MIN(M$3-$O$2,$Q$2)/$Q$2))</f>
        <v>24085.1488934674</v>
      </c>
      <c r="N682" s="15" t="n">
        <f aca="false">M682*(1+IF(N$3&lt;=$O$2,$D682,$D682-($D682-$I$670)*MIN(N$3-$O$2,$Q$2)/$Q$2))</f>
        <v>24887.1843516199</v>
      </c>
      <c r="O682" s="15" t="n">
        <f aca="false">SUMPRODUCT(E682:N682,1/(1+$F$670)^$E$3:$N$3)*$E$2</f>
        <v>36713.7454327245</v>
      </c>
      <c r="P682" s="15" t="n">
        <f aca="false">N682*$E$2*(1+$I$670)/($F$670-$I$670)/(1+$F$670)^$N$3</f>
        <v>49799.9917505141</v>
      </c>
      <c r="Q682" s="15" t="n">
        <f aca="false">O682+P682</f>
        <v>86513.7371832386</v>
      </c>
      <c r="R682" s="15" t="n">
        <f aca="false">Q682-$G$2+$I$2</f>
        <v>80393.7371832386</v>
      </c>
      <c r="S682" s="42" t="n">
        <f aca="false">R682/$K$2</f>
        <v>464.220678965461</v>
      </c>
      <c r="T682" s="43" t="n">
        <f aca="false">S682-$M$2</f>
        <v>0.0793231507022369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0.15478515625</v>
      </c>
      <c r="C683" s="25" t="n">
        <f aca="false">IF(T682&gt;0,D682,C682)</f>
        <v>0.155517578125</v>
      </c>
      <c r="D683" s="41" t="n">
        <f aca="false">(B683+C683)/2</f>
        <v>0.1551513671875</v>
      </c>
      <c r="E683" s="15" t="n">
        <f aca="false">$C$2*(1+IF(E$3&lt;=$O$2,$D683,$D683-($D683-$I$670)*MIN(E$3-$O$2,$Q$2)/$Q$2))</f>
        <v>9426.03515625</v>
      </c>
      <c r="F683" s="15" t="n">
        <f aca="false">E683*(1+IF(F$3&lt;=$O$2,$D683,$D683-($D683-$I$670)*MIN(F$3-$O$2,$Q$2)/$Q$2))</f>
        <v>10888.4973978996</v>
      </c>
      <c r="G683" s="15" t="n">
        <f aca="false">F683*(1+IF(G$3&lt;=$O$2,$D683,$D683-($D683-$I$670)*MIN(G$3-$O$2,$Q$2)/$Q$2))</f>
        <v>12577.8626558013</v>
      </c>
      <c r="H683" s="15" t="n">
        <f aca="false">G683*(1+IF(H$3&lt;=$O$2,$D683,$D683-($D683-$I$670)*MIN(H$3-$O$2,$Q$2)/$Q$2))</f>
        <v>14529.3352431455</v>
      </c>
      <c r="I683" s="15" t="n">
        <f aca="false">H683*(1+IF(I$3&lt;=$O$2,$D683,$D683-($D683-$I$670)*MIN(I$3-$O$2,$Q$2)/$Q$2))</f>
        <v>16783.581470445</v>
      </c>
      <c r="J683" s="15" t="n">
        <f aca="false">I683*(1+IF(J$3&lt;=$O$2,$D683,$D683-($D683-$I$670)*MIN(J$3-$O$2,$Q$2)/$Q$2))</f>
        <v>18978.556612192</v>
      </c>
      <c r="K683" s="15" t="n">
        <f aca="false">J683*(1+IF(K$3&lt;=$O$2,$D683,$D683-($D683-$I$670)*MIN(K$3-$O$2,$Q$2)/$Q$2))</f>
        <v>20998.0803896426</v>
      </c>
      <c r="L683" s="15" t="n">
        <f aca="false">K683*(1+IF(L$3&lt;=$O$2,$D683,$D683-($D683-$I$670)*MIN(L$3-$O$2,$Q$2)/$Q$2))</f>
        <v>22720.7743881341</v>
      </c>
      <c r="M683" s="15" t="n">
        <f aca="false">L683*(1+IF(M$3&lt;=$O$2,$D683,$D683-($D683-$I$670)*MIN(M$3-$O$2,$Q$2)/$Q$2))</f>
        <v>24031.0876598096</v>
      </c>
      <c r="N683" s="15" t="n">
        <f aca="false">M683*(1+IF(N$3&lt;=$O$2,$D683,$D683-($D683-$I$670)*MIN(N$3-$O$2,$Q$2)/$Q$2))</f>
        <v>24831.3228788812</v>
      </c>
      <c r="O683" s="15" t="n">
        <f aca="false">SUMPRODUCT(E683:N683,1/(1+$F$670)^$E$3:$N$3)*$E$2</f>
        <v>36656.4559799943</v>
      </c>
      <c r="P683" s="15" t="n">
        <f aca="false">N683*$E$2*(1+$I$670)/($F$670-$I$670)/(1+$F$670)^$N$3</f>
        <v>49688.211291855</v>
      </c>
      <c r="Q683" s="15" t="n">
        <f aca="false">O683+P683</f>
        <v>86344.6672718493</v>
      </c>
      <c r="R683" s="15" t="n">
        <f aca="false">Q683-$G$2+$I$2</f>
        <v>80224.6672718493</v>
      </c>
      <c r="S683" s="42" t="n">
        <f aca="false">R683/$K$2</f>
        <v>463.244412009755</v>
      </c>
      <c r="T683" s="43" t="n">
        <f aca="false">S683-$M$2</f>
        <v>-0.896943805004696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0.1551513671875</v>
      </c>
      <c r="C684" s="25" t="n">
        <f aca="false">IF(T683&gt;0,D683,C683)</f>
        <v>0.155517578125</v>
      </c>
      <c r="D684" s="41" t="n">
        <f aca="false">(B684+C684)/2</f>
        <v>0.15533447265625</v>
      </c>
      <c r="E684" s="15" t="n">
        <f aca="false">$C$2*(1+IF(E$3&lt;=$O$2,$D684,$D684-($D684-$I$670)*MIN(E$3-$O$2,$Q$2)/$Q$2))</f>
        <v>9427.529296875</v>
      </c>
      <c r="F684" s="15" t="n">
        <f aca="false">E684*(1+IF(F$3&lt;=$O$2,$D684,$D684-($D684-$I$670)*MIN(F$3-$O$2,$Q$2)/$Q$2))</f>
        <v>10891.9495886564</v>
      </c>
      <c r="G684" s="15" t="n">
        <f aca="false">F684*(1+IF(G$3&lt;=$O$2,$D684,$D684-($D684-$I$670)*MIN(G$3-$O$2,$Q$2)/$Q$2))</f>
        <v>12583.8448342088</v>
      </c>
      <c r="H684" s="15" t="n">
        <f aca="false">G684*(1+IF(H$3&lt;=$O$2,$D684,$D684-($D684-$I$670)*MIN(H$3-$O$2,$Q$2)/$Q$2))</f>
        <v>14538.5497355187</v>
      </c>
      <c r="I684" s="15" t="n">
        <f aca="false">H684*(1+IF(I$3&lt;=$O$2,$D684,$D684-($D684-$I$670)*MIN(I$3-$O$2,$Q$2)/$Q$2))</f>
        <v>16796.8876918722</v>
      </c>
      <c r="J684" s="15" t="n">
        <f aca="false">I684*(1+IF(J$3&lt;=$O$2,$D684,$D684-($D684-$I$670)*MIN(J$3-$O$2,$Q$2)/$Q$2))</f>
        <v>18996.0635174067</v>
      </c>
      <c r="K684" s="15" t="n">
        <f aca="false">J684*(1+IF(K$3&lt;=$O$2,$D684,$D684-($D684-$I$670)*MIN(K$3-$O$2,$Q$2)/$Q$2))</f>
        <v>21019.5371888711</v>
      </c>
      <c r="L684" s="15" t="n">
        <f aca="false">K684*(1+IF(L$3&lt;=$O$2,$D684,$D684-($D684-$I$670)*MIN(L$3-$O$2,$Q$2)/$Q$2))</f>
        <v>22745.5310317894</v>
      </c>
      <c r="M684" s="15" t="n">
        <f aca="false">L684*(1+IF(M$3&lt;=$O$2,$D684,$D684-($D684-$I$670)*MIN(M$3-$O$2,$Q$2)/$Q$2))</f>
        <v>24058.1049920982</v>
      </c>
      <c r="N684" s="15" t="n">
        <f aca="false">M684*(1+IF(N$3&lt;=$O$2,$D684,$D684-($D684-$I$670)*MIN(N$3-$O$2,$Q$2)/$Q$2))</f>
        <v>24859.2398883351</v>
      </c>
      <c r="O684" s="15" t="n">
        <f aca="false">SUMPRODUCT(E684:N684,1/(1+$F$670)^$E$3:$N$3)*$E$2</f>
        <v>36685.0897086623</v>
      </c>
      <c r="P684" s="15" t="n">
        <f aca="false">N684*$E$2*(1+$I$670)/($F$670-$I$670)/(1+$F$670)^$N$3</f>
        <v>49744.0740532208</v>
      </c>
      <c r="Q684" s="15" t="n">
        <f aca="false">O684+P684</f>
        <v>86429.1637618831</v>
      </c>
      <c r="R684" s="15" t="n">
        <f aca="false">Q684-$G$2+$I$2</f>
        <v>80309.1637618831</v>
      </c>
      <c r="S684" s="42" t="n">
        <f aca="false">R684/$K$2</f>
        <v>463.732323373849</v>
      </c>
      <c r="T684" s="43" t="n">
        <f aca="false">S684-$M$2</f>
        <v>-0.409032440910607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0.15533447265625</v>
      </c>
      <c r="C685" s="25" t="n">
        <f aca="false">IF(T684&gt;0,D684,C684)</f>
        <v>0.155517578125</v>
      </c>
      <c r="D685" s="41" t="n">
        <f aca="false">(B685+C685)/2</f>
        <v>0.155426025390625</v>
      </c>
      <c r="E685" s="15" t="n">
        <f aca="false">$C$2*(1+IF(E$3&lt;=$O$2,$D685,$D685-($D685-$I$670)*MIN(E$3-$O$2,$Q$2)/$Q$2))</f>
        <v>9428.2763671875</v>
      </c>
      <c r="F685" s="15" t="n">
        <f aca="false">E685*(1+IF(F$3&lt;=$O$2,$D685,$D685-($D685-$I$670)*MIN(F$3-$O$2,$Q$2)/$Q$2))</f>
        <v>10893.6758892238</v>
      </c>
      <c r="G685" s="15" t="n">
        <f aca="false">F685*(1+IF(G$3&lt;=$O$2,$D685,$D685-($D685-$I$670)*MIN(G$3-$O$2,$Q$2)/$Q$2))</f>
        <v>12586.8366345796</v>
      </c>
      <c r="H685" s="15" t="n">
        <f aca="false">G685*(1+IF(H$3&lt;=$O$2,$D685,$D685-($D685-$I$670)*MIN(H$3-$O$2,$Q$2)/$Q$2))</f>
        <v>14543.1586249334</v>
      </c>
      <c r="I685" s="15" t="n">
        <f aca="false">H685*(1+IF(I$3&lt;=$O$2,$D685,$D685-($D685-$I$670)*MIN(I$3-$O$2,$Q$2)/$Q$2))</f>
        <v>16803.5439666321</v>
      </c>
      <c r="J685" s="15" t="n">
        <f aca="false">I685*(1+IF(J$3&lt;=$O$2,$D685,$D685-($D685-$I$670)*MIN(J$3-$O$2,$Q$2)/$Q$2))</f>
        <v>19004.8220104181</v>
      </c>
      <c r="K685" s="15" t="n">
        <f aca="false">J685*(1+IF(K$3&lt;=$O$2,$D685,$D685-($D685-$I$670)*MIN(K$3-$O$2,$Q$2)/$Q$2))</f>
        <v>21030.2726085982</v>
      </c>
      <c r="L685" s="15" t="n">
        <f aca="false">K685*(1+IF(L$3&lt;=$O$2,$D685,$D685-($D685-$I$670)*MIN(L$3-$O$2,$Q$2)/$Q$2))</f>
        <v>22757.9181290923</v>
      </c>
      <c r="M685" s="15" t="n">
        <f aca="false">L685*(1+IF(M$3&lt;=$O$2,$D685,$D685-($D685-$I$670)*MIN(M$3-$O$2,$Q$2)/$Q$2))</f>
        <v>24071.6236202453</v>
      </c>
      <c r="N685" s="15" t="n">
        <f aca="false">M685*(1+IF(N$3&lt;=$O$2,$D685,$D685-($D685-$I$670)*MIN(N$3-$O$2,$Q$2)/$Q$2))</f>
        <v>24873.2086867995</v>
      </c>
      <c r="O685" s="15" t="n">
        <f aca="false">SUMPRODUCT(E685:N685,1/(1+$F$670)^$E$3:$N$3)*$E$2</f>
        <v>36699.4148202989</v>
      </c>
      <c r="P685" s="15" t="n">
        <f aca="false">N685*$E$2*(1+$I$670)/($F$670-$I$670)/(1+$F$670)^$N$3</f>
        <v>49772.0260319769</v>
      </c>
      <c r="Q685" s="15" t="n">
        <f aca="false">O685+P685</f>
        <v>86471.4408522758</v>
      </c>
      <c r="R685" s="15" t="n">
        <f aca="false">Q685-$G$2+$I$2</f>
        <v>80351.4408522758</v>
      </c>
      <c r="S685" s="42" t="n">
        <f aca="false">R685/$K$2</f>
        <v>463.97644561887</v>
      </c>
      <c r="T685" s="43" t="n">
        <f aca="false">S685-$M$2</f>
        <v>-0.164910195889718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0.155426025390625</v>
      </c>
      <c r="C686" s="25" t="n">
        <f aca="false">IF(T685&gt;0,D685,C685)</f>
        <v>0.155517578125</v>
      </c>
      <c r="D686" s="41" t="n">
        <f aca="false">(B686+C686)/2</f>
        <v>0.155471801757813</v>
      </c>
      <c r="E686" s="15" t="n">
        <f aca="false">$C$2*(1+IF(E$3&lt;=$O$2,$D686,$D686-($D686-$I$670)*MIN(E$3-$O$2,$Q$2)/$Q$2))</f>
        <v>9428.64990234375</v>
      </c>
      <c r="F686" s="15" t="n">
        <f aca="false">E686*(1+IF(F$3&lt;=$O$2,$D686,$D686-($D686-$I$670)*MIN(F$3-$O$2,$Q$2)/$Q$2))</f>
        <v>10894.5390908048</v>
      </c>
      <c r="G686" s="15" t="n">
        <f aca="false">F686*(1+IF(G$3&lt;=$O$2,$D686,$D686-($D686-$I$670)*MIN(G$3-$O$2,$Q$2)/$Q$2))</f>
        <v>12588.3327125731</v>
      </c>
      <c r="H686" s="15" t="n">
        <f aca="false">G686*(1+IF(H$3&lt;=$O$2,$D686,$D686-($D686-$I$670)*MIN(H$3-$O$2,$Q$2)/$Q$2))</f>
        <v>14545.4634805236</v>
      </c>
      <c r="I686" s="15" t="n">
        <f aca="false">H686*(1+IF(I$3&lt;=$O$2,$D686,$D686-($D686-$I$670)*MIN(I$3-$O$2,$Q$2)/$Q$2))</f>
        <v>16806.8728952431</v>
      </c>
      <c r="J686" s="15" t="n">
        <f aca="false">I686*(1+IF(J$3&lt;=$O$2,$D686,$D686-($D686-$I$670)*MIN(J$3-$O$2,$Q$2)/$Q$2))</f>
        <v>19009.2025174758</v>
      </c>
      <c r="K686" s="15" t="n">
        <f aca="false">J686*(1+IF(K$3&lt;=$O$2,$D686,$D686-($D686-$I$670)*MIN(K$3-$O$2,$Q$2)/$Q$2))</f>
        <v>21035.6420742313</v>
      </c>
      <c r="L686" s="15" t="n">
        <f aca="false">K686*(1+IF(L$3&lt;=$O$2,$D686,$D686-($D686-$I$670)*MIN(L$3-$O$2,$Q$2)/$Q$2))</f>
        <v>22764.1138726397</v>
      </c>
      <c r="M686" s="15" t="n">
        <f aca="false">L686*(1+IF(M$3&lt;=$O$2,$D686,$D686-($D686-$I$670)*MIN(M$3-$O$2,$Q$2)/$Q$2))</f>
        <v>24078.3854260467</v>
      </c>
      <c r="N686" s="15" t="n">
        <f aca="false">M686*(1+IF(N$3&lt;=$O$2,$D686,$D686-($D686-$I$670)*MIN(N$3-$O$2,$Q$2)/$Q$2))</f>
        <v>24880.195660734</v>
      </c>
      <c r="O686" s="15" t="n">
        <f aca="false">SUMPRODUCT(E686:N686,1/(1+$F$670)^$E$3:$N$3)*$E$2</f>
        <v>36706.5794387918</v>
      </c>
      <c r="P686" s="15" t="n">
        <f aca="false">N686*$E$2*(1+$I$670)/($F$670-$I$670)/(1+$F$670)^$N$3</f>
        <v>49786.0071734103</v>
      </c>
      <c r="Q686" s="15" t="n">
        <f aca="false">O686+P686</f>
        <v>86492.5866122021</v>
      </c>
      <c r="R686" s="15" t="n">
        <f aca="false">Q686-$G$2+$I$2</f>
        <v>80372.5866122021</v>
      </c>
      <c r="S686" s="42" t="n">
        <f aca="false">R686/$K$2</f>
        <v>464.098548401675</v>
      </c>
      <c r="T686" s="43" t="n">
        <f aca="false">S686-$M$2</f>
        <v>-0.0428074130841196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0.155471801757813</v>
      </c>
      <c r="C687" s="25" t="n">
        <f aca="false">IF(T686&gt;0,D686,C686)</f>
        <v>0.155517578125</v>
      </c>
      <c r="D687" s="41" t="n">
        <f aca="false">(B687+C687)/2</f>
        <v>0.155494689941406</v>
      </c>
      <c r="E687" s="15" t="n">
        <f aca="false">$C$2*(1+IF(E$3&lt;=$O$2,$D687,$D687-($D687-$I$670)*MIN(E$3-$O$2,$Q$2)/$Q$2))</f>
        <v>9428.83666992188</v>
      </c>
      <c r="F687" s="15" t="n">
        <f aca="false">E687*(1+IF(F$3&lt;=$O$2,$D687,$D687-($D687-$I$670)*MIN(F$3-$O$2,$Q$2)/$Q$2))</f>
        <v>10894.9707044195</v>
      </c>
      <c r="G687" s="15" t="n">
        <f aca="false">F687*(1+IF(G$3&lt;=$O$2,$D687,$D687-($D687-$I$670)*MIN(G$3-$O$2,$Q$2)/$Q$2))</f>
        <v>12589.080796024</v>
      </c>
      <c r="H687" s="15" t="n">
        <f aca="false">G687*(1+IF(H$3&lt;=$O$2,$D687,$D687-($D687-$I$670)*MIN(H$3-$O$2,$Q$2)/$Q$2))</f>
        <v>14546.616011049</v>
      </c>
      <c r="I687" s="15" t="n">
        <f aca="false">H687*(1+IF(I$3&lt;=$O$2,$D687,$D687-($D687-$I$670)*MIN(I$3-$O$2,$Q$2)/$Q$2))</f>
        <v>16808.5375573838</v>
      </c>
      <c r="J687" s="15" t="n">
        <f aca="false">I687*(1+IF(J$3&lt;=$O$2,$D687,$D687-($D687-$I$670)*MIN(J$3-$O$2,$Q$2)/$Q$2))</f>
        <v>19011.3930861991</v>
      </c>
      <c r="K687" s="15" t="n">
        <f aca="false">J687*(1+IF(K$3&lt;=$O$2,$D687,$D687-($D687-$I$670)*MIN(K$3-$O$2,$Q$2)/$Q$2))</f>
        <v>21038.3272460829</v>
      </c>
      <c r="L687" s="15" t="n">
        <f aca="false">K687*(1+IF(L$3&lt;=$O$2,$D687,$D687-($D687-$I$670)*MIN(L$3-$O$2,$Q$2)/$Q$2))</f>
        <v>22767.2122932658</v>
      </c>
      <c r="M687" s="15" t="n">
        <f aca="false">L687*(1+IF(M$3&lt;=$O$2,$D687,$D687-($D687-$I$670)*MIN(M$3-$O$2,$Q$2)/$Q$2))</f>
        <v>24081.7669520327</v>
      </c>
      <c r="N687" s="15" t="n">
        <f aca="false">M687*(1+IF(N$3&lt;=$O$2,$D687,$D687-($D687-$I$670)*MIN(N$3-$O$2,$Q$2)/$Q$2))</f>
        <v>24883.6897915354</v>
      </c>
      <c r="O687" s="15" t="n">
        <f aca="false">SUMPRODUCT(E687:N687,1/(1+$F$670)^$E$3:$N$3)*$E$2</f>
        <v>36710.162263813</v>
      </c>
      <c r="P687" s="15" t="n">
        <f aca="false">N687*$E$2*(1+$I$670)/($F$670-$I$670)/(1+$F$670)^$N$3</f>
        <v>49792.9990324581</v>
      </c>
      <c r="Q687" s="15" t="n">
        <f aca="false">O687+P687</f>
        <v>86503.1612962711</v>
      </c>
      <c r="R687" s="15" t="n">
        <f aca="false">Q687-$G$2+$I$2</f>
        <v>80383.1612962711</v>
      </c>
      <c r="S687" s="42" t="n">
        <f aca="false">R687/$K$2</f>
        <v>464.159610210596</v>
      </c>
      <c r="T687" s="43" t="n">
        <f aca="false">S687-$M$2</f>
        <v>0.0182543958372321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0.155471801757813</v>
      </c>
      <c r="C688" s="25" t="n">
        <f aca="false">IF(T687&gt;0,D687,C687)</f>
        <v>0.155494689941406</v>
      </c>
      <c r="D688" s="41" t="n">
        <f aca="false">(B688+C688)/2</f>
        <v>0.155483245849609</v>
      </c>
      <c r="E688" s="15" t="n">
        <f aca="false">$C$2*(1+IF(E$3&lt;=$O$2,$D688,$D688-($D688-$I$670)*MIN(E$3-$O$2,$Q$2)/$Q$2))</f>
        <v>9428.74328613281</v>
      </c>
      <c r="F688" s="15" t="n">
        <f aca="false">E688*(1+IF(F$3&lt;=$O$2,$D688,$D688-($D688-$I$670)*MIN(F$3-$O$2,$Q$2)/$Q$2))</f>
        <v>10894.7548965435</v>
      </c>
      <c r="G688" s="15" t="n">
        <f aca="false">F688*(1+IF(G$3&lt;=$O$2,$D688,$D688-($D688-$I$670)*MIN(G$3-$O$2,$Q$2)/$Q$2))</f>
        <v>12588.706750594</v>
      </c>
      <c r="H688" s="15" t="n">
        <f aca="false">G688*(1+IF(H$3&lt;=$O$2,$D688,$D688-($D688-$I$670)*MIN(H$3-$O$2,$Q$2)/$Q$2))</f>
        <v>14546.0397372252</v>
      </c>
      <c r="I688" s="15" t="n">
        <f aca="false">H688*(1+IF(I$3&lt;=$O$2,$D688,$D688-($D688-$I$670)*MIN(I$3-$O$2,$Q$2)/$Q$2))</f>
        <v>16807.7052098264</v>
      </c>
      <c r="J688" s="15" t="n">
        <f aca="false">I688*(1+IF(J$3&lt;=$O$2,$D688,$D688-($D688-$I$670)*MIN(J$3-$O$2,$Q$2)/$Q$2))</f>
        <v>19010.2977755696</v>
      </c>
      <c r="K688" s="15" t="n">
        <f aca="false">J688*(1+IF(K$3&lt;=$O$2,$D688,$D688-($D688-$I$670)*MIN(K$3-$O$2,$Q$2)/$Q$2))</f>
        <v>21036.9846235681</v>
      </c>
      <c r="L688" s="15" t="n">
        <f aca="false">K688*(1+IF(L$3&lt;=$O$2,$D688,$D688-($D688-$I$670)*MIN(L$3-$O$2,$Q$2)/$Q$2))</f>
        <v>22765.6630372112</v>
      </c>
      <c r="M688" s="15" t="n">
        <f aca="false">L688*(1+IF(M$3&lt;=$O$2,$D688,$D688-($D688-$I$670)*MIN(M$3-$O$2,$Q$2)/$Q$2))</f>
        <v>24080.0761371113</v>
      </c>
      <c r="N688" s="15" t="n">
        <f aca="false">M688*(1+IF(N$3&lt;=$O$2,$D688,$D688-($D688-$I$670)*MIN(N$3-$O$2,$Q$2)/$Q$2))</f>
        <v>24881.9426724771</v>
      </c>
      <c r="O688" s="15" t="n">
        <f aca="false">SUMPRODUCT(E688:N688,1/(1+$F$670)^$E$3:$N$3)*$E$2</f>
        <v>36708.370808318</v>
      </c>
      <c r="P688" s="15" t="n">
        <f aca="false">N688*$E$2*(1+$I$670)/($F$670-$I$670)/(1+$F$670)^$N$3</f>
        <v>49789.5029955638</v>
      </c>
      <c r="Q688" s="15" t="n">
        <f aca="false">O688+P688</f>
        <v>86497.8738038818</v>
      </c>
      <c r="R688" s="15" t="n">
        <f aca="false">Q688-$G$2+$I$2</f>
        <v>80377.8738038818</v>
      </c>
      <c r="S688" s="42" t="n">
        <f aca="false">R688/$K$2</f>
        <v>464.129078437936</v>
      </c>
      <c r="T688" s="43" t="n">
        <f aca="false">S688-$M$2</f>
        <v>-0.0122773768227376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0.155483245849609</v>
      </c>
      <c r="C689" s="25" t="n">
        <f aca="false">IF(T688&gt;0,D688,C688)</f>
        <v>0.155494689941406</v>
      </c>
      <c r="D689" s="41" t="n">
        <f aca="false">(B689+C689)/2</f>
        <v>0.155488967895508</v>
      </c>
      <c r="E689" s="15" t="n">
        <f aca="false">$C$2*(1+IF(E$3&lt;=$O$2,$D689,$D689-($D689-$I$670)*MIN(E$3-$O$2,$Q$2)/$Q$2))</f>
        <v>9428.78997802734</v>
      </c>
      <c r="F689" s="15" t="n">
        <f aca="false">E689*(1+IF(F$3&lt;=$O$2,$D689,$D689-($D689-$I$670)*MIN(F$3-$O$2,$Q$2)/$Q$2))</f>
        <v>10894.8628002143</v>
      </c>
      <c r="G689" s="15" t="n">
        <f aca="false">F689*(1+IF(G$3&lt;=$O$2,$D689,$D689-($D689-$I$670)*MIN(G$3-$O$2,$Q$2)/$Q$2))</f>
        <v>12588.8937723828</v>
      </c>
      <c r="H689" s="15" t="n">
        <f aca="false">G689*(1+IF(H$3&lt;=$O$2,$D689,$D689-($D689-$I$670)*MIN(H$3-$O$2,$Q$2)/$Q$2))</f>
        <v>14546.3278719968</v>
      </c>
      <c r="I689" s="15" t="n">
        <f aca="false">H689*(1+IF(I$3&lt;=$O$2,$D689,$D689-($D689-$I$670)*MIN(I$3-$O$2,$Q$2)/$Q$2))</f>
        <v>16808.1213794832</v>
      </c>
      <c r="J689" s="15" t="n">
        <f aca="false">I689*(1+IF(J$3&lt;=$O$2,$D689,$D689-($D689-$I$670)*MIN(J$3-$O$2,$Q$2)/$Q$2))</f>
        <v>19010.8454243172</v>
      </c>
      <c r="K689" s="15" t="n">
        <f aca="false">J689*(1+IF(K$3&lt;=$O$2,$D689,$D689-($D689-$I$670)*MIN(K$3-$O$2,$Q$2)/$Q$2))</f>
        <v>21037.655925678</v>
      </c>
      <c r="L689" s="15" t="n">
        <f aca="false">K689*(1+IF(L$3&lt;=$O$2,$D689,$D689-($D689-$I$670)*MIN(L$3-$O$2,$Q$2)/$Q$2))</f>
        <v>22766.4376538028</v>
      </c>
      <c r="M689" s="15" t="n">
        <f aca="false">L689*(1+IF(M$3&lt;=$O$2,$D689,$D689-($D689-$I$670)*MIN(M$3-$O$2,$Q$2)/$Q$2))</f>
        <v>24080.9215315896</v>
      </c>
      <c r="N689" s="15" t="n">
        <f aca="false">M689*(1+IF(N$3&lt;=$O$2,$D689,$D689-($D689-$I$670)*MIN(N$3-$O$2,$Q$2)/$Q$2))</f>
        <v>24882.8162185915</v>
      </c>
      <c r="O689" s="15" t="n">
        <f aca="false">SUMPRODUCT(E689:N689,1/(1+$F$670)^$E$3:$N$3)*$E$2</f>
        <v>36709.2665253192</v>
      </c>
      <c r="P689" s="15" t="n">
        <f aca="false">N689*$E$2*(1+$I$670)/($F$670-$I$670)/(1+$F$670)^$N$3</f>
        <v>49791.2509871676</v>
      </c>
      <c r="Q689" s="15" t="n">
        <f aca="false">O689+P689</f>
        <v>86500.5175124868</v>
      </c>
      <c r="R689" s="15" t="n">
        <f aca="false">Q689-$G$2+$I$2</f>
        <v>80380.5175124868</v>
      </c>
      <c r="S689" s="42" t="n">
        <f aca="false">R689/$K$2</f>
        <v>464.144344107211</v>
      </c>
      <c r="T689" s="43" t="n">
        <f aca="false">S689-$M$2</f>
        <v>0.00298829245184606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0.155483245849609</v>
      </c>
      <c r="C690" s="25" t="n">
        <f aca="false">IF(T689&gt;0,D689,C689)</f>
        <v>0.155488967895508</v>
      </c>
      <c r="D690" s="41" t="n">
        <f aca="false">(B690+C690)/2</f>
        <v>0.155486106872559</v>
      </c>
      <c r="E690" s="15" t="n">
        <f aca="false">$C$2*(1+IF(E$3&lt;=$O$2,$D690,$D690-($D690-$I$670)*MIN(E$3-$O$2,$Q$2)/$Q$2))</f>
        <v>9428.76663208008</v>
      </c>
      <c r="F690" s="15" t="n">
        <f aca="false">E690*(1+IF(F$3&lt;=$O$2,$D690,$D690-($D690-$I$670)*MIN(F$3-$O$2,$Q$2)/$Q$2))</f>
        <v>10894.8088483121</v>
      </c>
      <c r="G690" s="15" t="n">
        <f aca="false">F690*(1+IF(G$3&lt;=$O$2,$D690,$D690-($D690-$I$670)*MIN(G$3-$O$2,$Q$2)/$Q$2))</f>
        <v>12588.8002612568</v>
      </c>
      <c r="H690" s="15" t="n">
        <f aca="false">G690*(1+IF(H$3&lt;=$O$2,$D690,$D690-($D690-$I$670)*MIN(H$3-$O$2,$Q$2)/$Q$2))</f>
        <v>14546.1838040759</v>
      </c>
      <c r="I690" s="15" t="n">
        <f aca="false">H690*(1+IF(I$3&lt;=$O$2,$D690,$D690-($D690-$I$670)*MIN(I$3-$O$2,$Q$2)/$Q$2))</f>
        <v>16807.9132936244</v>
      </c>
      <c r="J690" s="15" t="n">
        <f aca="false">I690*(1+IF(J$3&lt;=$O$2,$D690,$D690-($D690-$I$670)*MIN(J$3-$O$2,$Q$2)/$Q$2))</f>
        <v>19010.5715983016</v>
      </c>
      <c r="K690" s="15" t="n">
        <f aca="false">J690*(1+IF(K$3&lt;=$O$2,$D690,$D690-($D690-$I$670)*MIN(K$3-$O$2,$Q$2)/$Q$2))</f>
        <v>21037.3202723362</v>
      </c>
      <c r="L690" s="15" t="n">
        <f aca="false">K690*(1+IF(L$3&lt;=$O$2,$D690,$D690-($D690-$I$670)*MIN(L$3-$O$2,$Q$2)/$Q$2))</f>
        <v>22766.0503426481</v>
      </c>
      <c r="M690" s="15" t="n">
        <f aca="false">L690*(1+IF(M$3&lt;=$O$2,$D690,$D690-($D690-$I$670)*MIN(M$3-$O$2,$Q$2)/$Q$2))</f>
        <v>24080.4988311049</v>
      </c>
      <c r="N690" s="15" t="n">
        <f aca="false">M690*(1+IF(N$3&lt;=$O$2,$D690,$D690-($D690-$I$670)*MIN(N$3-$O$2,$Q$2)/$Q$2))</f>
        <v>24882.3794421807</v>
      </c>
      <c r="O690" s="15" t="n">
        <f aca="false">SUMPRODUCT(E690:N690,1/(1+$F$670)^$E$3:$N$3)*$E$2</f>
        <v>36708.8186641321</v>
      </c>
      <c r="P690" s="15" t="n">
        <f aca="false">N690*$E$2*(1+$I$670)/($F$670-$I$670)/(1+$F$670)^$N$3</f>
        <v>49790.376984655</v>
      </c>
      <c r="Q690" s="15" t="n">
        <f aca="false">O690+P690</f>
        <v>86499.1956487871</v>
      </c>
      <c r="R690" s="15" t="n">
        <f aca="false">Q690-$G$2+$I$2</f>
        <v>80379.1956487871</v>
      </c>
      <c r="S690" s="42" t="n">
        <f aca="false">R690/$K$2</f>
        <v>464.136711218311</v>
      </c>
      <c r="T690" s="43" t="n">
        <f aca="false">S690-$M$2</f>
        <v>-0.00464459644854287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0.155486106872559</v>
      </c>
      <c r="C691" s="25" t="n">
        <f aca="false">IF(T690&gt;0,D690,C690)</f>
        <v>0.155488967895508</v>
      </c>
      <c r="D691" s="41" t="n">
        <f aca="false">(B691+C691)/2</f>
        <v>0.155487537384033</v>
      </c>
      <c r="E691" s="15" t="n">
        <f aca="false">$C$2*(1+IF(E$3&lt;=$O$2,$D691,$D691-($D691-$I$670)*MIN(E$3-$O$2,$Q$2)/$Q$2))</f>
        <v>9428.77830505371</v>
      </c>
      <c r="F691" s="15" t="n">
        <f aca="false">E691*(1+IF(F$3&lt;=$O$2,$D691,$D691-($D691-$I$670)*MIN(F$3-$O$2,$Q$2)/$Q$2))</f>
        <v>10894.8358242465</v>
      </c>
      <c r="G691" s="15" t="n">
        <f aca="false">F691*(1+IF(G$3&lt;=$O$2,$D691,$D691-($D691-$I$670)*MIN(G$3-$O$2,$Q$2)/$Q$2))</f>
        <v>12588.8470167619</v>
      </c>
      <c r="H691" s="15" t="n">
        <f aca="false">G691*(1+IF(H$3&lt;=$O$2,$D691,$D691-($D691-$I$670)*MIN(H$3-$O$2,$Q$2)/$Q$2))</f>
        <v>14546.2558379026</v>
      </c>
      <c r="I691" s="15" t="n">
        <f aca="false">H691*(1+IF(I$3&lt;=$O$2,$D691,$D691-($D691-$I$670)*MIN(I$3-$O$2,$Q$2)/$Q$2))</f>
        <v>16808.0173362962</v>
      </c>
      <c r="J691" s="15" t="n">
        <f aca="false">I691*(1+IF(J$3&lt;=$O$2,$D691,$D691-($D691-$I$670)*MIN(J$3-$O$2,$Q$2)/$Q$2))</f>
        <v>19010.708510899</v>
      </c>
      <c r="K691" s="15" t="n">
        <f aca="false">J691*(1+IF(K$3&lt;=$O$2,$D691,$D691-($D691-$I$670)*MIN(K$3-$O$2,$Q$2)/$Q$2))</f>
        <v>21037.4880984354</v>
      </c>
      <c r="L691" s="15" t="n">
        <f aca="false">K691*(1+IF(L$3&lt;=$O$2,$D691,$D691-($D691-$I$670)*MIN(L$3-$O$2,$Q$2)/$Q$2))</f>
        <v>22766.2439975108</v>
      </c>
      <c r="M691" s="15" t="n">
        <f aca="false">L691*(1+IF(M$3&lt;=$O$2,$D691,$D691-($D691-$I$670)*MIN(M$3-$O$2,$Q$2)/$Q$2))</f>
        <v>24080.7101805358</v>
      </c>
      <c r="N691" s="15" t="n">
        <f aca="false">M691*(1+IF(N$3&lt;=$O$2,$D691,$D691-($D691-$I$670)*MIN(N$3-$O$2,$Q$2)/$Q$2))</f>
        <v>24882.5978295477</v>
      </c>
      <c r="O691" s="15" t="n">
        <f aca="false">SUMPRODUCT(E691:N691,1/(1+$F$670)^$E$3:$N$3)*$E$2</f>
        <v>36709.042594054</v>
      </c>
      <c r="P691" s="15" t="n">
        <f aca="false">N691*$E$2*(1+$I$670)/($F$670-$I$670)/(1+$F$670)^$N$3</f>
        <v>49790.8139842336</v>
      </c>
      <c r="Q691" s="15" t="n">
        <f aca="false">O691+P691</f>
        <v>86499.8565782876</v>
      </c>
      <c r="R691" s="15" t="n">
        <f aca="false">Q691-$G$2+$I$2</f>
        <v>80379.8565782876</v>
      </c>
      <c r="S691" s="42" t="n">
        <f aca="false">R691/$K$2</f>
        <v>464.140527649195</v>
      </c>
      <c r="T691" s="43" t="n">
        <f aca="false">S691-$M$2</f>
        <v>-0.000828165564087158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0.155487537384033</v>
      </c>
      <c r="C692" s="25" t="n">
        <f aca="false">IF(T691&gt;0,D691,C691)</f>
        <v>0.155488967895508</v>
      </c>
      <c r="D692" s="41" t="n">
        <f aca="false">(B692+C692)/2</f>
        <v>0.155488252639771</v>
      </c>
      <c r="E692" s="15" t="n">
        <f aca="false">$C$2*(1+IF(E$3&lt;=$O$2,$D692,$D692-($D692-$I$670)*MIN(E$3-$O$2,$Q$2)/$Q$2))</f>
        <v>9428.78414154053</v>
      </c>
      <c r="F692" s="15" t="n">
        <f aca="false">E692*(1+IF(F$3&lt;=$O$2,$D692,$D692-($D692-$I$670)*MIN(F$3-$O$2,$Q$2)/$Q$2))</f>
        <v>10894.8493122262</v>
      </c>
      <c r="G692" s="15" t="n">
        <f aca="false">F692*(1+IF(G$3&lt;=$O$2,$D692,$D692-($D692-$I$670)*MIN(G$3-$O$2,$Q$2)/$Q$2))</f>
        <v>12588.8703945579</v>
      </c>
      <c r="H692" s="15" t="n">
        <f aca="false">G692*(1+IF(H$3&lt;=$O$2,$D692,$D692-($D692-$I$670)*MIN(H$3-$O$2,$Q$2)/$Q$2))</f>
        <v>14546.2918549163</v>
      </c>
      <c r="I692" s="15" t="n">
        <f aca="false">H692*(1+IF(I$3&lt;=$O$2,$D692,$D692-($D692-$I$670)*MIN(I$3-$O$2,$Q$2)/$Q$2))</f>
        <v>16808.0693578253</v>
      </c>
      <c r="J692" s="15" t="n">
        <f aca="false">I692*(1+IF(J$3&lt;=$O$2,$D692,$D692-($D692-$I$670)*MIN(J$3-$O$2,$Q$2)/$Q$2))</f>
        <v>19010.7769675055</v>
      </c>
      <c r="K692" s="15" t="n">
        <f aca="false">J692*(1+IF(K$3&lt;=$O$2,$D692,$D692-($D692-$I$670)*MIN(K$3-$O$2,$Q$2)/$Q$2))</f>
        <v>21037.5720119138</v>
      </c>
      <c r="L692" s="15" t="n">
        <f aca="false">K692*(1+IF(L$3&lt;=$O$2,$D692,$D692-($D692-$I$670)*MIN(L$3-$O$2,$Q$2)/$Q$2))</f>
        <v>22766.3408254781</v>
      </c>
      <c r="M692" s="15" t="n">
        <f aca="false">L692*(1+IF(M$3&lt;=$O$2,$D692,$D692-($D692-$I$670)*MIN(M$3-$O$2,$Q$2)/$Q$2))</f>
        <v>24080.8158558599</v>
      </c>
      <c r="N692" s="15" t="n">
        <f aca="false">M692*(1+IF(N$3&lt;=$O$2,$D692,$D692-($D692-$I$670)*MIN(N$3-$O$2,$Q$2)/$Q$2))</f>
        <v>24882.70702386</v>
      </c>
      <c r="O692" s="15" t="n">
        <f aca="false">SUMPRODUCT(E692:N692,1/(1+$F$670)^$E$3:$N$3)*$E$2</f>
        <v>36709.1545595187</v>
      </c>
      <c r="P692" s="15" t="n">
        <f aca="false">N692*$E$2*(1+$I$670)/($F$670-$I$670)/(1+$F$670)^$N$3</f>
        <v>49791.0324852812</v>
      </c>
      <c r="Q692" s="15" t="n">
        <f aca="false">O692+P692</f>
        <v>86500.1870447999</v>
      </c>
      <c r="R692" s="15" t="n">
        <f aca="false">Q692-$G$2+$I$2</f>
        <v>80380.1870447999</v>
      </c>
      <c r="S692" s="42" t="n">
        <f aca="false">R692/$K$2</f>
        <v>464.142435874812</v>
      </c>
      <c r="T692" s="43" t="n">
        <f aca="false">S692-$M$2</f>
        <v>0.00108006005240213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0.155487537384033</v>
      </c>
      <c r="C693" s="25" t="n">
        <f aca="false">IF(T692&gt;0,D692,C692)</f>
        <v>0.155488252639771</v>
      </c>
      <c r="D693" s="41" t="n">
        <f aca="false">(B693+C693)/2</f>
        <v>0.155487895011902</v>
      </c>
      <c r="E693" s="15" t="n">
        <f aca="false">$C$2*(1+IF(E$3&lt;=$O$2,$D693,$D693-($D693-$I$670)*MIN(E$3-$O$2,$Q$2)/$Q$2))</f>
        <v>9428.78122329712</v>
      </c>
      <c r="F693" s="15" t="n">
        <f aca="false">E693*(1+IF(F$3&lt;=$O$2,$D693,$D693-($D693-$I$670)*MIN(F$3-$O$2,$Q$2)/$Q$2))</f>
        <v>10894.8425682353</v>
      </c>
      <c r="G693" s="15" t="n">
        <f aca="false">F693*(1+IF(G$3&lt;=$O$2,$D693,$D693-($D693-$I$670)*MIN(G$3-$O$2,$Q$2)/$Q$2))</f>
        <v>12588.8587056563</v>
      </c>
      <c r="H693" s="15" t="n">
        <f aca="false">G693*(1+IF(H$3&lt;=$O$2,$D693,$D693-($D693-$I$670)*MIN(H$3-$O$2,$Q$2)/$Q$2))</f>
        <v>14546.2738464011</v>
      </c>
      <c r="I693" s="15" t="n">
        <f aca="false">H693*(1+IF(I$3&lt;=$O$2,$D693,$D693-($D693-$I$670)*MIN(I$3-$O$2,$Q$2)/$Q$2))</f>
        <v>16808.0433470446</v>
      </c>
      <c r="J693" s="15" t="n">
        <f aca="false">I693*(1+IF(J$3&lt;=$O$2,$D693,$D693-($D693-$I$670)*MIN(J$3-$O$2,$Q$2)/$Q$2))</f>
        <v>19010.7427391766</v>
      </c>
      <c r="K693" s="15" t="n">
        <f aca="false">J693*(1+IF(K$3&lt;=$O$2,$D693,$D693-($D693-$I$670)*MIN(K$3-$O$2,$Q$2)/$Q$2))</f>
        <v>21037.5300551388</v>
      </c>
      <c r="L693" s="15" t="n">
        <f aca="false">K693*(1+IF(L$3&lt;=$O$2,$D693,$D693-($D693-$I$670)*MIN(L$3-$O$2,$Q$2)/$Q$2))</f>
        <v>22766.2924114498</v>
      </c>
      <c r="M693" s="15" t="n">
        <f aca="false">L693*(1+IF(M$3&lt;=$O$2,$D693,$D693-($D693-$I$670)*MIN(M$3-$O$2,$Q$2)/$Q$2))</f>
        <v>24080.7630181471</v>
      </c>
      <c r="N693" s="15" t="n">
        <f aca="false">M693*(1+IF(N$3&lt;=$O$2,$D693,$D693-($D693-$I$670)*MIN(N$3-$O$2,$Q$2)/$Q$2))</f>
        <v>24882.6524266514</v>
      </c>
      <c r="O693" s="15" t="n">
        <f aca="false">SUMPRODUCT(E693:N693,1/(1+$F$670)^$E$3:$N$3)*$E$2</f>
        <v>36709.0985767443</v>
      </c>
      <c r="P693" s="15" t="n">
        <f aca="false">N693*$E$2*(1+$I$670)/($F$670-$I$670)/(1+$F$670)^$N$3</f>
        <v>49790.9232346526</v>
      </c>
      <c r="Q693" s="15" t="n">
        <f aca="false">O693+P693</f>
        <v>86500.0218113969</v>
      </c>
      <c r="R693" s="15" t="n">
        <f aca="false">Q693-$G$2+$I$2</f>
        <v>80380.0218113969</v>
      </c>
      <c r="S693" s="42" t="n">
        <f aca="false">R693/$K$2</f>
        <v>464.141481761155</v>
      </c>
      <c r="T693" s="43" t="n">
        <f aca="false">S693-$M$2</f>
        <v>0.000125946396224208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0.155487537384033</v>
      </c>
      <c r="C694" s="25" t="n">
        <f aca="false">IF(T693&gt;0,D693,C693)</f>
        <v>0.155487895011902</v>
      </c>
      <c r="D694" s="41" t="n">
        <f aca="false">(B694+C694)/2</f>
        <v>0.155487716197968</v>
      </c>
      <c r="E694" s="15" t="n">
        <f aca="false">$C$2*(1+IF(E$3&lt;=$O$2,$D694,$D694-($D694-$I$670)*MIN(E$3-$O$2,$Q$2)/$Q$2))</f>
        <v>9428.77976417542</v>
      </c>
      <c r="F694" s="15" t="n">
        <f aca="false">E694*(1+IF(F$3&lt;=$O$2,$D694,$D694-($D694-$I$670)*MIN(F$3-$O$2,$Q$2)/$Q$2))</f>
        <v>10894.8391962407</v>
      </c>
      <c r="G694" s="15" t="n">
        <f aca="false">F694*(1+IF(G$3&lt;=$O$2,$D694,$D694-($D694-$I$670)*MIN(G$3-$O$2,$Q$2)/$Q$2))</f>
        <v>12588.8528612082</v>
      </c>
      <c r="H694" s="15" t="n">
        <f aca="false">G694*(1+IF(H$3&lt;=$O$2,$D694,$D694-($D694-$I$670)*MIN(H$3-$O$2,$Q$2)/$Q$2))</f>
        <v>14546.2648421497</v>
      </c>
      <c r="I694" s="15" t="n">
        <f aca="false">H694*(1+IF(I$3&lt;=$O$2,$D694,$D694-($D694-$I$670)*MIN(I$3-$O$2,$Q$2)/$Q$2))</f>
        <v>16808.0303416664</v>
      </c>
      <c r="J694" s="15" t="n">
        <f aca="false">I694*(1+IF(J$3&lt;=$O$2,$D694,$D694-($D694-$I$670)*MIN(J$3-$O$2,$Q$2)/$Q$2))</f>
        <v>19010.7256250314</v>
      </c>
      <c r="K694" s="15" t="n">
        <f aca="false">J694*(1+IF(K$3&lt;=$O$2,$D694,$D694-($D694-$I$670)*MIN(K$3-$O$2,$Q$2)/$Q$2))</f>
        <v>21037.5090767782</v>
      </c>
      <c r="L694" s="15" t="n">
        <f aca="false">K694*(1+IF(L$3&lt;=$O$2,$D694,$D694-($D694-$I$670)*MIN(L$3-$O$2,$Q$2)/$Q$2))</f>
        <v>22766.2682044691</v>
      </c>
      <c r="M694" s="15" t="n">
        <f aca="false">L694*(1+IF(M$3&lt;=$O$2,$D694,$D694-($D694-$I$670)*MIN(M$3-$O$2,$Q$2)/$Q$2))</f>
        <v>24080.7365993288</v>
      </c>
      <c r="N694" s="15" t="n">
        <f aca="false">M694*(1+IF(N$3&lt;=$O$2,$D694,$D694-($D694-$I$670)*MIN(N$3-$O$2,$Q$2)/$Q$2))</f>
        <v>24882.6251280865</v>
      </c>
      <c r="O694" s="15" t="n">
        <f aca="false">SUMPRODUCT(E694:N694,1/(1+$F$670)^$E$3:$N$3)*$E$2</f>
        <v>36709.0705853887</v>
      </c>
      <c r="P694" s="15" t="n">
        <f aca="false">N694*$E$2*(1+$I$670)/($F$670-$I$670)/(1+$F$670)^$N$3</f>
        <v>49790.8686094169</v>
      </c>
      <c r="Q694" s="15" t="n">
        <f aca="false">O694+P694</f>
        <v>86499.9391948056</v>
      </c>
      <c r="R694" s="15" t="n">
        <f aca="false">Q694-$G$2+$I$2</f>
        <v>80379.9391948056</v>
      </c>
      <c r="S694" s="42" t="n">
        <f aca="false">R694/$K$2</f>
        <v>464.141004704963</v>
      </c>
      <c r="T694" s="43" t="n">
        <f aca="false">S694-$M$2</f>
        <v>-0.000351109795872162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0.155487716197968</v>
      </c>
      <c r="C695" s="25" t="n">
        <f aca="false">IF(T694&gt;0,D694,C694)</f>
        <v>0.155487895011902</v>
      </c>
      <c r="D695" s="41" t="n">
        <f aca="false">(B695+C695)/2</f>
        <v>0.155487805604935</v>
      </c>
      <c r="E695" s="15" t="n">
        <f aca="false">$C$2*(1+IF(E$3&lt;=$O$2,$D695,$D695-($D695-$I$670)*MIN(E$3-$O$2,$Q$2)/$Q$2))</f>
        <v>9428.78049373627</v>
      </c>
      <c r="F695" s="15" t="n">
        <f aca="false">E695*(1+IF(F$3&lt;=$O$2,$D695,$D695-($D695-$I$670)*MIN(F$3-$O$2,$Q$2)/$Q$2))</f>
        <v>10894.8408822379</v>
      </c>
      <c r="G695" s="15" t="n">
        <f aca="false">F695*(1+IF(G$3&lt;=$O$2,$D695,$D695-($D695-$I$670)*MIN(G$3-$O$2,$Q$2)/$Q$2))</f>
        <v>12588.855783432</v>
      </c>
      <c r="H695" s="15" t="n">
        <f aca="false">G695*(1+IF(H$3&lt;=$O$2,$D695,$D695-($D695-$I$670)*MIN(H$3-$O$2,$Q$2)/$Q$2))</f>
        <v>14546.2693442749</v>
      </c>
      <c r="I695" s="15" t="n">
        <f aca="false">H695*(1+IF(I$3&lt;=$O$2,$D695,$D695-($D695-$I$670)*MIN(I$3-$O$2,$Q$2)/$Q$2))</f>
        <v>16808.0368443545</v>
      </c>
      <c r="J695" s="15" t="n">
        <f aca="false">I695*(1+IF(J$3&lt;=$O$2,$D695,$D695-($D695-$I$670)*MIN(J$3-$O$2,$Q$2)/$Q$2))</f>
        <v>19010.7341821024</v>
      </c>
      <c r="K695" s="15" t="n">
        <f aca="false">J695*(1+IF(K$3&lt;=$O$2,$D695,$D695-($D695-$I$670)*MIN(K$3-$O$2,$Q$2)/$Q$2))</f>
        <v>21037.5195659563</v>
      </c>
      <c r="L695" s="15" t="n">
        <f aca="false">K695*(1+IF(L$3&lt;=$O$2,$D695,$D695-($D695-$I$670)*MIN(L$3-$O$2,$Q$2)/$Q$2))</f>
        <v>22766.2803079566</v>
      </c>
      <c r="M695" s="15" t="n">
        <f aca="false">L695*(1+IF(M$3&lt;=$O$2,$D695,$D695-($D695-$I$670)*MIN(M$3-$O$2,$Q$2)/$Q$2))</f>
        <v>24080.7498087348</v>
      </c>
      <c r="N695" s="15" t="n">
        <f aca="false">M695*(1+IF(N$3&lt;=$O$2,$D695,$D695-($D695-$I$670)*MIN(N$3-$O$2,$Q$2)/$Q$2))</f>
        <v>24882.6387773657</v>
      </c>
      <c r="O695" s="15" t="n">
        <f aca="false">SUMPRODUCT(E695:N695,1/(1+$F$670)^$E$3:$N$3)*$E$2</f>
        <v>36709.0845810639</v>
      </c>
      <c r="P695" s="15" t="n">
        <f aca="false">N695*$E$2*(1+$I$670)/($F$670-$I$670)/(1+$F$670)^$N$3</f>
        <v>49790.8959220282</v>
      </c>
      <c r="Q695" s="15" t="n">
        <f aca="false">O695+P695</f>
        <v>86499.980503092</v>
      </c>
      <c r="R695" s="15" t="n">
        <f aca="false">Q695-$G$2+$I$2</f>
        <v>80379.980503092</v>
      </c>
      <c r="S695" s="42" t="n">
        <f aca="false">R695/$K$2</f>
        <v>464.141243233006</v>
      </c>
      <c r="T695" s="43" t="n">
        <f aca="false">S695-$M$2</f>
        <v>-0.000112581752944152</v>
      </c>
    </row>
    <row r="697" customFormat="false" ht="15" hidden="false" customHeight="false" outlineLevel="0" collapsed="false">
      <c r="A697" s="38" t="s">
        <v>206</v>
      </c>
      <c r="E697" s="5" t="s">
        <v>11</v>
      </c>
      <c r="F697" s="12" t="n">
        <f aca="false">Sensitivity!$B$14</f>
        <v>0.105316051923387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162</v>
      </c>
      <c r="B698" s="28" t="s">
        <v>163</v>
      </c>
      <c r="C698" s="28" t="s">
        <v>164</v>
      </c>
      <c r="D698" s="28" t="s">
        <v>165</v>
      </c>
      <c r="E698" s="28" t="s">
        <v>166</v>
      </c>
      <c r="F698" s="28" t="s">
        <v>167</v>
      </c>
      <c r="G698" s="28" t="s">
        <v>168</v>
      </c>
      <c r="H698" s="28" t="s">
        <v>169</v>
      </c>
      <c r="I698" s="28" t="s">
        <v>170</v>
      </c>
      <c r="J698" s="28" t="s">
        <v>171</v>
      </c>
      <c r="K698" s="28" t="s">
        <v>172</v>
      </c>
      <c r="L698" s="28" t="s">
        <v>173</v>
      </c>
      <c r="M698" s="28" t="s">
        <v>174</v>
      </c>
      <c r="N698" s="28" t="s">
        <v>175</v>
      </c>
      <c r="O698" s="28" t="s">
        <v>176</v>
      </c>
      <c r="P698" s="28" t="s">
        <v>177</v>
      </c>
      <c r="Q698" s="28" t="s">
        <v>178</v>
      </c>
      <c r="R698" s="28" t="s">
        <v>179</v>
      </c>
      <c r="S698" s="28" t="s">
        <v>180</v>
      </c>
      <c r="T698" s="28" t="s">
        <v>181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10200</v>
      </c>
      <c r="F699" s="15" t="n">
        <f aca="false">E699*(1+IF(F$3&lt;=$O$2,$D699,$D699-($D699-$I$697)*MIN(F$3-$O$2,$Q$2)/$Q$2))</f>
        <v>12750</v>
      </c>
      <c r="G699" s="15" t="n">
        <f aca="false">F699*(1+IF(G$3&lt;=$O$2,$D699,$D699-($D699-$I$697)*MIN(G$3-$O$2,$Q$2)/$Q$2))</f>
        <v>15937.5</v>
      </c>
      <c r="H699" s="15" t="n">
        <f aca="false">G699*(1+IF(H$3&lt;=$O$2,$D699,$D699-($D699-$I$697)*MIN(H$3-$O$2,$Q$2)/$Q$2))</f>
        <v>19921.875</v>
      </c>
      <c r="I699" s="15" t="n">
        <f aca="false">H699*(1+IF(I$3&lt;=$O$2,$D699,$D699-($D699-$I$697)*MIN(I$3-$O$2,$Q$2)/$Q$2))</f>
        <v>24902.34375</v>
      </c>
      <c r="J699" s="15" t="n">
        <f aca="false">I699*(1+IF(J$3&lt;=$O$2,$D699,$D699-($D699-$I$697)*MIN(J$3-$O$2,$Q$2)/$Q$2))</f>
        <v>30073.564453125</v>
      </c>
      <c r="K699" s="15" t="n">
        <f aca="false">J699*(1+IF(K$3&lt;=$O$2,$D699,$D699-($D699-$I$697)*MIN(K$3-$O$2,$Q$2)/$Q$2))</f>
        <v>35045.3261285156</v>
      </c>
      <c r="L699" s="15" t="n">
        <f aca="false">K699*(1+IF(L$3&lt;=$O$2,$D699,$D699-($D699-$I$697)*MIN(L$3-$O$2,$Q$2)/$Q$2))</f>
        <v>39355.2003358005</v>
      </c>
      <c r="M699" s="15" t="n">
        <f aca="false">L699*(1+IF(M$3&lt;=$O$2,$D699,$D699-($D699-$I$697)*MIN(M$3-$O$2,$Q$2)/$Q$2))</f>
        <v>42528.8036908794</v>
      </c>
      <c r="N699" s="15" t="n">
        <f aca="false">M699*(1+IF(N$3&lt;=$O$2,$D699,$D699-($D699-$I$697)*MIN(N$3-$O$2,$Q$2)/$Q$2))</f>
        <v>44157.6568722401</v>
      </c>
      <c r="O699" s="15" t="n">
        <f aca="false">SUMPRODUCT(E699:N699,1/(1+$F$697)^$E$3:$N$3)*$E$2</f>
        <v>55020.4652515034</v>
      </c>
      <c r="P699" s="15" t="n">
        <f aca="false">N699*$E$2*(1+$I$697)/($F$697-$I$697)/(1+$F$697)^$N$3</f>
        <v>95412.7516556243</v>
      </c>
      <c r="Q699" s="15" t="n">
        <f aca="false">O699+P699</f>
        <v>150433.216907128</v>
      </c>
      <c r="R699" s="15" t="n">
        <f aca="false">Q699-$G$2+$I$2</f>
        <v>144313.216907128</v>
      </c>
      <c r="S699" s="42" t="n">
        <f aca="false">R699/$K$2</f>
        <v>833.313413252845</v>
      </c>
      <c r="T699" s="43" t="n">
        <f aca="false">S699-$M$2</f>
        <v>369.172057438085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7140</v>
      </c>
      <c r="F700" s="15" t="n">
        <f aca="false">E700*(1+IF(F$3&lt;=$O$2,$D700,$D700-($D700-$I$697)*MIN(F$3-$O$2,$Q$2)/$Q$2))</f>
        <v>6247.5</v>
      </c>
      <c r="G700" s="15" t="n">
        <f aca="false">F700*(1+IF(G$3&lt;=$O$2,$D700,$D700-($D700-$I$697)*MIN(G$3-$O$2,$Q$2)/$Q$2))</f>
        <v>5466.5625</v>
      </c>
      <c r="H700" s="15" t="n">
        <f aca="false">G700*(1+IF(H$3&lt;=$O$2,$D700,$D700-($D700-$I$697)*MIN(H$3-$O$2,$Q$2)/$Q$2))</f>
        <v>4783.2421875</v>
      </c>
      <c r="I700" s="15" t="n">
        <f aca="false">H700*(1+IF(I$3&lt;=$O$2,$D700,$D700-($D700-$I$697)*MIN(I$3-$O$2,$Q$2)/$Q$2))</f>
        <v>4185.3369140625</v>
      </c>
      <c r="J700" s="15" t="n">
        <f aca="false">I700*(1+IF(J$3&lt;=$O$2,$D700,$D700-($D700-$I$697)*MIN(J$3-$O$2,$Q$2)/$Q$2))</f>
        <v>3798.86290341797</v>
      </c>
      <c r="K700" s="15" t="n">
        <f aca="false">J700*(1+IF(K$3&lt;=$O$2,$D700,$D700-($D700-$I$697)*MIN(K$3-$O$2,$Q$2)/$Q$2))</f>
        <v>3572.14676534198</v>
      </c>
      <c r="L700" s="15" t="n">
        <f aca="false">K700*(1+IF(L$3&lt;=$O$2,$D700,$D700-($D700-$I$697)*MIN(L$3-$O$2,$Q$2)/$Q$2))</f>
        <v>3475.62735974244</v>
      </c>
      <c r="M700" s="15" t="n">
        <f aca="false">L700*(1+IF(M$3&lt;=$O$2,$D700,$D700-($D700-$I$697)*MIN(M$3-$O$2,$Q$2)/$Q$2))</f>
        <v>3495.22989805139</v>
      </c>
      <c r="N700" s="15" t="n">
        <f aca="false">M700*(1+IF(N$3&lt;=$O$2,$D700,$D700-($D700-$I$697)*MIN(N$3-$O$2,$Q$2)/$Q$2))</f>
        <v>3629.09720314676</v>
      </c>
      <c r="O700" s="15" t="n">
        <f aca="false">SUMPRODUCT(E700:N700,1/(1+$F$697)^$E$3:$N$3)*$E$2</f>
        <v>11209.9166905745</v>
      </c>
      <c r="P700" s="15" t="n">
        <f aca="false">N700*$E$2*(1+$I$697)/($F$697-$I$697)/(1+$F$697)^$N$3</f>
        <v>7841.49736884344</v>
      </c>
      <c r="Q700" s="15" t="n">
        <f aca="false">O700+P700</f>
        <v>19051.414059418</v>
      </c>
      <c r="R700" s="15" t="n">
        <f aca="false">Q700-$G$2+$I$2</f>
        <v>12931.414059418</v>
      </c>
      <c r="S700" s="42" t="n">
        <f aca="false">R700/$K$2</f>
        <v>74.6703664361818</v>
      </c>
      <c r="T700" s="43" t="n">
        <f aca="false">S700-$M$2</f>
        <v>-389.470989378577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8670</v>
      </c>
      <c r="F701" s="15" t="n">
        <f aca="false">E701*(1+IF(F$3&lt;=$O$2,$D701,$D701-($D701-$I$697)*MIN(F$3-$O$2,$Q$2)/$Q$2))</f>
        <v>9211.875</v>
      </c>
      <c r="G701" s="15" t="n">
        <f aca="false">F701*(1+IF(G$3&lt;=$O$2,$D701,$D701-($D701-$I$697)*MIN(G$3-$O$2,$Q$2)/$Q$2))</f>
        <v>9787.6171875</v>
      </c>
      <c r="H701" s="15" t="n">
        <f aca="false">G701*(1+IF(H$3&lt;=$O$2,$D701,$D701-($D701-$I$697)*MIN(H$3-$O$2,$Q$2)/$Q$2))</f>
        <v>10399.3432617188</v>
      </c>
      <c r="I701" s="15" t="n">
        <f aca="false">H701*(1+IF(I$3&lt;=$O$2,$D701,$D701-($D701-$I$697)*MIN(I$3-$O$2,$Q$2)/$Q$2))</f>
        <v>11049.3022155762</v>
      </c>
      <c r="J701" s="15" t="n">
        <f aca="false">I701*(1+IF(J$3&lt;=$O$2,$D701,$D701-($D701-$I$697)*MIN(J$3-$O$2,$Q$2)/$Q$2))</f>
        <v>11686.4049813263</v>
      </c>
      <c r="K701" s="15" t="n">
        <f aca="false">J701*(1+IF(K$3&lt;=$O$2,$D701,$D701-($D701-$I$697)*MIN(K$3-$O$2,$Q$2)/$Q$2))</f>
        <v>12303.68089244</v>
      </c>
      <c r="L701" s="15" t="n">
        <f aca="false">K701*(1+IF(L$3&lt;=$O$2,$D701,$D701-($D701-$I$697)*MIN(L$3-$O$2,$Q$2)/$Q$2))</f>
        <v>12894.0115016592</v>
      </c>
      <c r="M701" s="15" t="n">
        <f aca="false">L701*(1+IF(M$3&lt;=$O$2,$D701,$D701-($D701-$I$697)*MIN(M$3-$O$2,$Q$2)/$Q$2))</f>
        <v>13450.2591578408</v>
      </c>
      <c r="N701" s="15" t="n">
        <f aca="false">M701*(1+IF(N$3&lt;=$O$2,$D701,$D701-($D701-$I$697)*MIN(N$3-$O$2,$Q$2)/$Q$2))</f>
        <v>13965.4040835861</v>
      </c>
      <c r="O701" s="15" t="n">
        <f aca="false">SUMPRODUCT(E701:N701,1/(1+$F$697)^$E$3:$N$3)*$E$2</f>
        <v>24745.7424956608</v>
      </c>
      <c r="P701" s="15" t="n">
        <f aca="false">N701*$E$2*(1+$I$697)/($F$697-$I$697)/(1+$F$697)^$N$3</f>
        <v>30175.4605198563</v>
      </c>
      <c r="Q701" s="15" t="n">
        <f aca="false">O701+P701</f>
        <v>54921.203015517</v>
      </c>
      <c r="R701" s="15" t="n">
        <f aca="false">Q701-$G$2+$I$2</f>
        <v>48801.203015517</v>
      </c>
      <c r="S701" s="42" t="n">
        <f aca="false">R701/$K$2</f>
        <v>281.794681923531</v>
      </c>
      <c r="T701" s="43" t="n">
        <f aca="false">S701-$M$2</f>
        <v>-182.346673891229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41" t="n">
        <f aca="false">(B702+C702)/2</f>
        <v>0.15625</v>
      </c>
      <c r="E702" s="15" t="n">
        <f aca="false">$C$2*(1+IF(E$3&lt;=$O$2,$D702,$D702-($D702-$I$697)*MIN(E$3-$O$2,$Q$2)/$Q$2))</f>
        <v>9435</v>
      </c>
      <c r="F702" s="15" t="n">
        <f aca="false">E702*(1+IF(F$3&lt;=$O$2,$D702,$D702-($D702-$I$697)*MIN(F$3-$O$2,$Q$2)/$Q$2))</f>
        <v>10909.21875</v>
      </c>
      <c r="G702" s="15" t="n">
        <f aca="false">F702*(1+IF(G$3&lt;=$O$2,$D702,$D702-($D702-$I$697)*MIN(G$3-$O$2,$Q$2)/$Q$2))</f>
        <v>12613.7841796875</v>
      </c>
      <c r="H702" s="15" t="n">
        <f aca="false">G702*(1+IF(H$3&lt;=$O$2,$D702,$D702-($D702-$I$697)*MIN(H$3-$O$2,$Q$2)/$Q$2))</f>
        <v>14584.6879577637</v>
      </c>
      <c r="I702" s="15" t="n">
        <f aca="false">H702*(1+IF(I$3&lt;=$O$2,$D702,$D702-($D702-$I$697)*MIN(I$3-$O$2,$Q$2)/$Q$2))</f>
        <v>16863.5454511642</v>
      </c>
      <c r="J702" s="15" t="n">
        <f aca="false">I702*(1+IF(J$3&lt;=$O$2,$D702,$D702-($D702-$I$697)*MIN(J$3-$O$2,$Q$2)/$Q$2))</f>
        <v>19100.6633907157</v>
      </c>
      <c r="K702" s="15" t="n">
        <f aca="false">J702*(1+IF(K$3&lt;=$O$2,$D702,$D702-($D702-$I$697)*MIN(K$3-$O$2,$Q$2)/$Q$2))</f>
        <v>21183.9727467411</v>
      </c>
      <c r="L702" s="15" t="n">
        <f aca="false">K702*(1+IF(L$3&lt;=$O$2,$D702,$D702-($D702-$I$697)*MIN(L$3-$O$2,$Q$2)/$Q$2))</f>
        <v>22994.7787371325</v>
      </c>
      <c r="M702" s="15" t="n">
        <f aca="false">L702*(1+IF(M$3&lt;=$O$2,$D702,$D702-($D702-$I$697)*MIN(M$3-$O$2,$Q$2)/$Q$2))</f>
        <v>24417.9255931736</v>
      </c>
      <c r="N702" s="15" t="n">
        <f aca="false">M702*(1+IF(N$3&lt;=$O$2,$D702,$D702-($D702-$I$697)*MIN(N$3-$O$2,$Q$2)/$Q$2))</f>
        <v>25353.1321433922</v>
      </c>
      <c r="O702" s="15" t="n">
        <f aca="false">SUMPRODUCT(E702:N702,1/(1+$F$697)^$E$3:$N$3)*$E$2</f>
        <v>36948.0626901853</v>
      </c>
      <c r="P702" s="15" t="n">
        <f aca="false">N702*$E$2*(1+$I$697)/($F$697-$I$697)/(1+$F$697)^$N$3</f>
        <v>54781.2604253108</v>
      </c>
      <c r="Q702" s="15" t="n">
        <f aca="false">O702+P702</f>
        <v>91729.3231154961</v>
      </c>
      <c r="R702" s="15" t="n">
        <f aca="false">Q702-$G$2+$I$2</f>
        <v>85609.3231154961</v>
      </c>
      <c r="S702" s="42" t="n">
        <f aca="false">R702/$K$2</f>
        <v>494.337239378081</v>
      </c>
      <c r="T702" s="43" t="n">
        <f aca="false">S702-$M$2</f>
        <v>30.1958835633218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41" t="n">
        <f aca="false">(B703+C703)/2</f>
        <v>0.109375</v>
      </c>
      <c r="E703" s="15" t="n">
        <f aca="false">$C$2*(1+IF(E$3&lt;=$O$2,$D703,$D703-($D703-$I$697)*MIN(E$3-$O$2,$Q$2)/$Q$2))</f>
        <v>9052.5</v>
      </c>
      <c r="F703" s="15" t="n">
        <f aca="false">E703*(1+IF(F$3&lt;=$O$2,$D703,$D703-($D703-$I$697)*MIN(F$3-$O$2,$Q$2)/$Q$2))</f>
        <v>10042.6171875</v>
      </c>
      <c r="G703" s="15" t="n">
        <f aca="false">F703*(1+IF(G$3&lt;=$O$2,$D703,$D703-($D703-$I$697)*MIN(G$3-$O$2,$Q$2)/$Q$2))</f>
        <v>11141.0284423828</v>
      </c>
      <c r="H703" s="15" t="n">
        <f aca="false">G703*(1+IF(H$3&lt;=$O$2,$D703,$D703-($D703-$I$697)*MIN(H$3-$O$2,$Q$2)/$Q$2))</f>
        <v>12359.5784282684</v>
      </c>
      <c r="I703" s="15" t="n">
        <f aca="false">H703*(1+IF(I$3&lt;=$O$2,$D703,$D703-($D703-$I$697)*MIN(I$3-$O$2,$Q$2)/$Q$2))</f>
        <v>13711.4073188603</v>
      </c>
      <c r="J703" s="15" t="n">
        <f aca="false">I703*(1+IF(J$3&lt;=$O$2,$D703,$D703-($D703-$I$697)*MIN(J$3-$O$2,$Q$2)/$Q$2))</f>
        <v>15016.184839323</v>
      </c>
      <c r="K703" s="15" t="n">
        <f aca="false">J703*(1+IF(K$3&lt;=$O$2,$D703,$D703-($D703-$I$697)*MIN(K$3-$O$2,$Q$2)/$Q$2))</f>
        <v>16231.669921142</v>
      </c>
      <c r="L703" s="15" t="n">
        <f aca="false">K703*(1+IF(L$3&lt;=$O$2,$D703,$D703-($D703-$I$697)*MIN(L$3-$O$2,$Q$2)/$Q$2))</f>
        <v>17314.8092549799</v>
      </c>
      <c r="M703" s="15" t="n">
        <f aca="false">L703*(1+IF(M$3&lt;=$O$2,$D703,$D703-($D703-$I$697)*MIN(M$3-$O$2,$Q$2)/$Q$2))</f>
        <v>18224.0964630051</v>
      </c>
      <c r="N703" s="15" t="n">
        <f aca="false">M703*(1+IF(N$3&lt;=$O$2,$D703,$D703-($D703-$I$697)*MIN(N$3-$O$2,$Q$2)/$Q$2))</f>
        <v>18922.0793575382</v>
      </c>
      <c r="O703" s="15" t="n">
        <f aca="false">SUMPRODUCT(E703:N703,1/(1+$F$697)^$E$3:$N$3)*$E$2</f>
        <v>30239.9713857637</v>
      </c>
      <c r="P703" s="15" t="n">
        <f aca="false">N703*$E$2*(1+$I$697)/($F$697-$I$697)/(1+$F$697)^$N$3</f>
        <v>40885.494983856</v>
      </c>
      <c r="Q703" s="15" t="n">
        <f aca="false">O703+P703</f>
        <v>71125.4663696197</v>
      </c>
      <c r="R703" s="15" t="n">
        <f aca="false">Q703-$G$2+$I$2</f>
        <v>65005.4663696197</v>
      </c>
      <c r="S703" s="42" t="n">
        <f aca="false">R703/$K$2</f>
        <v>375.363589153595</v>
      </c>
      <c r="T703" s="43" t="n">
        <f aca="false">S703-$M$2</f>
        <v>-88.7777666611638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0.109375</v>
      </c>
      <c r="C704" s="25" t="n">
        <f aca="false">IF(T703&gt;0,D703,C703)</f>
        <v>0.15625</v>
      </c>
      <c r="D704" s="41" t="n">
        <f aca="false">(B704+C704)/2</f>
        <v>0.1328125</v>
      </c>
      <c r="E704" s="15" t="n">
        <f aca="false">$C$2*(1+IF(E$3&lt;=$O$2,$D704,$D704-($D704-$I$697)*MIN(E$3-$O$2,$Q$2)/$Q$2))</f>
        <v>9243.75</v>
      </c>
      <c r="F704" s="15" t="n">
        <f aca="false">E704*(1+IF(F$3&lt;=$O$2,$D704,$D704-($D704-$I$697)*MIN(F$3-$O$2,$Q$2)/$Q$2))</f>
        <v>10471.435546875</v>
      </c>
      <c r="G704" s="15" t="n">
        <f aca="false">F704*(1+IF(G$3&lt;=$O$2,$D704,$D704-($D704-$I$697)*MIN(G$3-$O$2,$Q$2)/$Q$2))</f>
        <v>11862.1730804443</v>
      </c>
      <c r="H704" s="15" t="n">
        <f aca="false">G704*(1+IF(H$3&lt;=$O$2,$D704,$D704-($D704-$I$697)*MIN(H$3-$O$2,$Q$2)/$Q$2))</f>
        <v>13437.6179426909</v>
      </c>
      <c r="I704" s="15" t="n">
        <f aca="false">H704*(1+IF(I$3&lt;=$O$2,$D704,$D704-($D704-$I$697)*MIN(I$3-$O$2,$Q$2)/$Q$2))</f>
        <v>15222.3015757045</v>
      </c>
      <c r="J704" s="15" t="n">
        <f aca="false">I704*(1+IF(J$3&lt;=$O$2,$D704,$D704-($D704-$I$697)*MIN(J$3-$O$2,$Q$2)/$Q$2))</f>
        <v>16956.273948193</v>
      </c>
      <c r="K704" s="15" t="n">
        <f aca="false">J704*(1+IF(K$3&lt;=$O$2,$D704,$D704-($D704-$I$697)*MIN(K$3-$O$2,$Q$2)/$Q$2))</f>
        <v>18567.2471453259</v>
      </c>
      <c r="L704" s="15" t="n">
        <f aca="false">K704*(1+IF(L$3&lt;=$O$2,$D704,$D704-($D704-$I$697)*MIN(L$3-$O$2,$Q$2)/$Q$2))</f>
        <v>19980.307489321</v>
      </c>
      <c r="M704" s="15" t="n">
        <f aca="false">L704*(1+IF(M$3&lt;=$O$2,$D704,$D704-($D704-$I$697)*MIN(M$3-$O$2,$Q$2)/$Q$2))</f>
        <v>21123.2310284788</v>
      </c>
      <c r="N704" s="15" t="n">
        <f aca="false">M704*(1+IF(N$3&lt;=$O$2,$D704,$D704-($D704-$I$697)*MIN(N$3-$O$2,$Q$2)/$Q$2))</f>
        <v>21932.2507768696</v>
      </c>
      <c r="O704" s="15" t="n">
        <f aca="false">SUMPRODUCT(E704:N704,1/(1+$F$697)^$E$3:$N$3)*$E$2</f>
        <v>33427.9740137028</v>
      </c>
      <c r="P704" s="15" t="n">
        <f aca="false">N704*$E$2*(1+$I$697)/($F$697-$I$697)/(1+$F$697)^$N$3</f>
        <v>47389.6611560896</v>
      </c>
      <c r="Q704" s="15" t="n">
        <f aca="false">O704+P704</f>
        <v>80817.6351697924</v>
      </c>
      <c r="R704" s="15" t="n">
        <f aca="false">Q704-$G$2+$I$2</f>
        <v>74697.6351697924</v>
      </c>
      <c r="S704" s="42" t="n">
        <f aca="false">R704/$K$2</f>
        <v>431.329455882852</v>
      </c>
      <c r="T704" s="43" t="n">
        <f aca="false">S704-$M$2</f>
        <v>-32.8118999319069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0.1328125</v>
      </c>
      <c r="C705" s="25" t="n">
        <f aca="false">IF(T704&gt;0,D704,C704)</f>
        <v>0.15625</v>
      </c>
      <c r="D705" s="41" t="n">
        <f aca="false">(B705+C705)/2</f>
        <v>0.14453125</v>
      </c>
      <c r="E705" s="15" t="n">
        <f aca="false">$C$2*(1+IF(E$3&lt;=$O$2,$D705,$D705-($D705-$I$697)*MIN(E$3-$O$2,$Q$2)/$Q$2))</f>
        <v>9339.375</v>
      </c>
      <c r="F705" s="15" t="n">
        <f aca="false">E705*(1+IF(F$3&lt;=$O$2,$D705,$D705-($D705-$I$697)*MIN(F$3-$O$2,$Q$2)/$Q$2))</f>
        <v>10689.2065429688</v>
      </c>
      <c r="G705" s="15" t="n">
        <f aca="false">F705*(1+IF(G$3&lt;=$O$2,$D705,$D705-($D705-$I$697)*MIN(G$3-$O$2,$Q$2)/$Q$2))</f>
        <v>12234.1309261322</v>
      </c>
      <c r="H705" s="15" t="n">
        <f aca="false">G705*(1+IF(H$3&lt;=$O$2,$D705,$D705-($D705-$I$697)*MIN(H$3-$O$2,$Q$2)/$Q$2))</f>
        <v>14002.3451615497</v>
      </c>
      <c r="I705" s="15" t="n">
        <f aca="false">H705*(1+IF(I$3&lt;=$O$2,$D705,$D705-($D705-$I$697)*MIN(I$3-$O$2,$Q$2)/$Q$2))</f>
        <v>16026.12161068</v>
      </c>
      <c r="J705" s="15" t="n">
        <f aca="false">I705*(1+IF(J$3&lt;=$O$2,$D705,$D705-($D705-$I$697)*MIN(J$3-$O$2,$Q$2)/$Q$2))</f>
        <v>18001.9020134527</v>
      </c>
      <c r="K705" s="15" t="n">
        <f aca="false">J705*(1+IF(K$3&lt;=$O$2,$D705,$D705-($D705-$I$697)*MIN(K$3-$O$2,$Q$2)/$Q$2))</f>
        <v>19838.7935925279</v>
      </c>
      <c r="L705" s="15" t="n">
        <f aca="false">K705*(1+IF(L$3&lt;=$O$2,$D705,$D705-($D705-$I$697)*MIN(L$3-$O$2,$Q$2)/$Q$2))</f>
        <v>21441.6193238522</v>
      </c>
      <c r="M705" s="15" t="n">
        <f aca="false">L705*(1+IF(M$3&lt;=$O$2,$D705,$D705-($D705-$I$697)*MIN(M$3-$O$2,$Q$2)/$Q$2))</f>
        <v>22718.3873485151</v>
      </c>
      <c r="N705" s="15" t="n">
        <f aca="false">M705*(1+IF(N$3&lt;=$O$2,$D705,$D705-($D705-$I$697)*MIN(N$3-$O$2,$Q$2)/$Q$2))</f>
        <v>23588.5015839632</v>
      </c>
      <c r="O705" s="15" t="n">
        <f aca="false">SUMPRODUCT(E705:N705,1/(1+$F$697)^$E$3:$N$3)*$E$2</f>
        <v>35144.5916488854</v>
      </c>
      <c r="P705" s="15" t="n">
        <f aca="false">N705*$E$2*(1+$I$697)/($F$697-$I$697)/(1+$F$697)^$N$3</f>
        <v>50968.3711269078</v>
      </c>
      <c r="Q705" s="15" t="n">
        <f aca="false">O705+P705</f>
        <v>86112.9627757931</v>
      </c>
      <c r="R705" s="15" t="n">
        <f aca="false">Q705-$G$2+$I$2</f>
        <v>79992.9627757931</v>
      </c>
      <c r="S705" s="42" t="n">
        <f aca="false">R705/$K$2</f>
        <v>461.906471739191</v>
      </c>
      <c r="T705" s="43" t="n">
        <f aca="false">S705-$M$2</f>
        <v>-2.23488407556823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0.14453125</v>
      </c>
      <c r="C706" s="25" t="n">
        <f aca="false">IF(T705&gt;0,D705,C705)</f>
        <v>0.15625</v>
      </c>
      <c r="D706" s="41" t="n">
        <f aca="false">(B706+C706)/2</f>
        <v>0.150390625</v>
      </c>
      <c r="E706" s="15" t="n">
        <f aca="false">$C$2*(1+IF(E$3&lt;=$O$2,$D706,$D706-($D706-$I$697)*MIN(E$3-$O$2,$Q$2)/$Q$2))</f>
        <v>9387.1875</v>
      </c>
      <c r="F706" s="15" t="n">
        <f aca="false">E706*(1+IF(F$3&lt;=$O$2,$D706,$D706-($D706-$I$697)*MIN(F$3-$O$2,$Q$2)/$Q$2))</f>
        <v>10798.9324951172</v>
      </c>
      <c r="G706" s="15" t="n">
        <f aca="false">F706*(1+IF(G$3&lt;=$O$2,$D706,$D706-($D706-$I$697)*MIN(G$3-$O$2,$Q$2)/$Q$2))</f>
        <v>12422.9907023907</v>
      </c>
      <c r="H706" s="15" t="n">
        <f aca="false">G706*(1+IF(H$3&lt;=$O$2,$D706,$D706-($D706-$I$697)*MIN(H$3-$O$2,$Q$2)/$Q$2))</f>
        <v>14291.2920384924</v>
      </c>
      <c r="I706" s="15" t="n">
        <f aca="false">H706*(1+IF(I$3&lt;=$O$2,$D706,$D706-($D706-$I$697)*MIN(I$3-$O$2,$Q$2)/$Q$2))</f>
        <v>16440.5683802188</v>
      </c>
      <c r="J706" s="15" t="n">
        <f aca="false">I706*(1+IF(J$3&lt;=$O$2,$D706,$D706-($D706-$I$697)*MIN(J$3-$O$2,$Q$2)/$Q$2))</f>
        <v>18544.5090172563</v>
      </c>
      <c r="K706" s="15" t="n">
        <f aca="false">J706*(1+IF(K$3&lt;=$O$2,$D706,$D706-($D706-$I$697)*MIN(K$3-$O$2,$Q$2)/$Q$2))</f>
        <v>20501.9630762547</v>
      </c>
      <c r="L706" s="15" t="n">
        <f aca="false">K706*(1+IF(L$3&lt;=$O$2,$D706,$D706-($D706-$I$697)*MIN(L$3-$O$2,$Q$2)/$Q$2))</f>
        <v>22206.419404053</v>
      </c>
      <c r="M706" s="15" t="n">
        <f aca="false">L706*(1+IF(M$3&lt;=$O$2,$D706,$D706-($D706-$I$697)*MIN(M$3-$O$2,$Q$2)/$Q$2))</f>
        <v>23554.7515532307</v>
      </c>
      <c r="N706" s="15" t="n">
        <f aca="false">M706*(1+IF(N$3&lt;=$O$2,$D706,$D706-($D706-$I$697)*MIN(N$3-$O$2,$Q$2)/$Q$2))</f>
        <v>24456.8985377194</v>
      </c>
      <c r="O706" s="15" t="n">
        <f aca="false">SUMPRODUCT(E706:N706,1/(1+$F$697)^$E$3:$N$3)*$E$2</f>
        <v>36035.2226566529</v>
      </c>
      <c r="P706" s="15" t="n">
        <f aca="false">N706*$E$2*(1+$I$697)/($F$697-$I$697)/(1+$F$697)^$N$3</f>
        <v>52844.7420386834</v>
      </c>
      <c r="Q706" s="15" t="n">
        <f aca="false">O706+P706</f>
        <v>88879.9646953363</v>
      </c>
      <c r="R706" s="15" t="n">
        <f aca="false">Q706-$G$2+$I$2</f>
        <v>82759.9646953363</v>
      </c>
      <c r="S706" s="42" t="n">
        <f aca="false">R706/$K$2</f>
        <v>477.884078388592</v>
      </c>
      <c r="T706" s="43" t="n">
        <f aca="false">S706-$M$2</f>
        <v>13.7427225738325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0.14453125</v>
      </c>
      <c r="C707" s="25" t="n">
        <f aca="false">IF(T706&gt;0,D706,C706)</f>
        <v>0.150390625</v>
      </c>
      <c r="D707" s="41" t="n">
        <f aca="false">(B707+C707)/2</f>
        <v>0.1474609375</v>
      </c>
      <c r="E707" s="15" t="n">
        <f aca="false">$C$2*(1+IF(E$3&lt;=$O$2,$D707,$D707-($D707-$I$697)*MIN(E$3-$O$2,$Q$2)/$Q$2))</f>
        <v>9363.28125</v>
      </c>
      <c r="F707" s="15" t="n">
        <f aca="false">E707*(1+IF(F$3&lt;=$O$2,$D707,$D707-($D707-$I$697)*MIN(F$3-$O$2,$Q$2)/$Q$2))</f>
        <v>10743.9994812012</v>
      </c>
      <c r="G707" s="15" t="n">
        <f aca="false">F707*(1+IF(G$3&lt;=$O$2,$D707,$D707-($D707-$I$697)*MIN(G$3-$O$2,$Q$2)/$Q$2))</f>
        <v>12328.3197171986</v>
      </c>
      <c r="H707" s="15" t="n">
        <f aca="false">G707*(1+IF(H$3&lt;=$O$2,$D707,$D707-($D707-$I$697)*MIN(H$3-$O$2,$Q$2)/$Q$2))</f>
        <v>14146.2653004965</v>
      </c>
      <c r="I707" s="15" t="n">
        <f aca="false">H707*(1+IF(I$3&lt;=$O$2,$D707,$D707-($D707-$I$697)*MIN(I$3-$O$2,$Q$2)/$Q$2))</f>
        <v>16232.2868438314</v>
      </c>
      <c r="J707" s="15" t="n">
        <f aca="false">I707*(1+IF(J$3&lt;=$O$2,$D707,$D707-($D707-$I$697)*MIN(J$3-$O$2,$Q$2)/$Q$2))</f>
        <v>18271.5287496634</v>
      </c>
      <c r="K707" s="15" t="n">
        <f aca="false">J707*(1+IF(K$3&lt;=$O$2,$D707,$D707-($D707-$I$697)*MIN(K$3-$O$2,$Q$2)/$Q$2))</f>
        <v>20168.0506254983</v>
      </c>
      <c r="L707" s="15" t="n">
        <f aca="false">K707*(1+IF(L$3&lt;=$O$2,$D707,$D707-($D707-$I$697)*MIN(L$3-$O$2,$Q$2)/$Q$2))</f>
        <v>21821.1122899857</v>
      </c>
      <c r="M707" s="15" t="n">
        <f aca="false">L707*(1+IF(M$3&lt;=$O$2,$D707,$D707-($D707-$I$697)*MIN(M$3-$O$2,$Q$2)/$Q$2))</f>
        <v>23133.2635056656</v>
      </c>
      <c r="N707" s="15" t="n">
        <f aca="false">M707*(1+IF(N$3&lt;=$O$2,$D707,$D707-($D707-$I$697)*MIN(N$3-$O$2,$Q$2)/$Q$2))</f>
        <v>24019.2674979326</v>
      </c>
      <c r="O707" s="15" t="n">
        <f aca="false">SUMPRODUCT(E707:N707,1/(1+$F$697)^$E$3:$N$3)*$E$2</f>
        <v>35587.1623845685</v>
      </c>
      <c r="P707" s="15" t="n">
        <f aca="false">N707*$E$2*(1+$I$697)/($F$697-$I$697)/(1+$F$697)^$N$3</f>
        <v>51899.1397428736</v>
      </c>
      <c r="Q707" s="15" t="n">
        <f aca="false">O707+P707</f>
        <v>87486.3021274421</v>
      </c>
      <c r="R707" s="15" t="n">
        <f aca="false">Q707-$G$2+$I$2</f>
        <v>81366.3021274421</v>
      </c>
      <c r="S707" s="42" t="n">
        <f aca="false">R707/$K$2</f>
        <v>469.836598495451</v>
      </c>
      <c r="T707" s="43" t="n">
        <f aca="false">S707-$M$2</f>
        <v>5.69524268069137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0.14453125</v>
      </c>
      <c r="C708" s="25" t="n">
        <f aca="false">IF(T707&gt;0,D707,C707)</f>
        <v>0.1474609375</v>
      </c>
      <c r="D708" s="41" t="n">
        <f aca="false">(B708+C708)/2</f>
        <v>0.14599609375</v>
      </c>
      <c r="E708" s="15" t="n">
        <f aca="false">$C$2*(1+IF(E$3&lt;=$O$2,$D708,$D708-($D708-$I$697)*MIN(E$3-$O$2,$Q$2)/$Q$2))</f>
        <v>9351.328125</v>
      </c>
      <c r="F708" s="15" t="n">
        <f aca="false">E708*(1+IF(F$3&lt;=$O$2,$D708,$D708-($D708-$I$697)*MIN(F$3-$O$2,$Q$2)/$Q$2))</f>
        <v>10716.5855026245</v>
      </c>
      <c r="G708" s="15" t="n">
        <f aca="false">F708*(1+IF(G$3&lt;=$O$2,$D708,$D708-($D708-$I$697)*MIN(G$3-$O$2,$Q$2)/$Q$2))</f>
        <v>12281.1651243456</v>
      </c>
      <c r="H708" s="15" t="n">
        <f aca="false">G708*(1+IF(H$3&lt;=$O$2,$D708,$D708-($D708-$I$697)*MIN(H$3-$O$2,$Q$2)/$Q$2))</f>
        <v>14074.1672591988</v>
      </c>
      <c r="I708" s="15" t="n">
        <f aca="false">H708*(1+IF(I$3&lt;=$O$2,$D708,$D708-($D708-$I$697)*MIN(I$3-$O$2,$Q$2)/$Q$2))</f>
        <v>16128.9407018259</v>
      </c>
      <c r="J708" s="15" t="n">
        <f aca="false">I708*(1+IF(J$3&lt;=$O$2,$D708,$D708-($D708-$I$697)*MIN(J$3-$O$2,$Q$2)/$Q$2))</f>
        <v>18136.2982586355</v>
      </c>
      <c r="K708" s="15" t="n">
        <f aca="false">J708*(1+IF(K$3&lt;=$O$2,$D708,$D708-($D708-$I$697)*MIN(K$3-$O$2,$Q$2)/$Q$2))</f>
        <v>20002.8435684652</v>
      </c>
      <c r="L708" s="15" t="n">
        <f aca="false">K708*(1+IF(L$3&lt;=$O$2,$D708,$D708-($D708-$I$697)*MIN(L$3-$O$2,$Q$2)/$Q$2))</f>
        <v>21630.6437236238</v>
      </c>
      <c r="M708" s="15" t="n">
        <f aca="false">L708*(1+IF(M$3&lt;=$O$2,$D708,$D708-($D708-$I$697)*MIN(M$3-$O$2,$Q$2)/$Q$2))</f>
        <v>22925.0045451051</v>
      </c>
      <c r="N708" s="15" t="n">
        <f aca="false">M708*(1+IF(N$3&lt;=$O$2,$D708,$D708-($D708-$I$697)*MIN(N$3-$O$2,$Q$2)/$Q$2))</f>
        <v>23803.0322191826</v>
      </c>
      <c r="O708" s="15" t="n">
        <f aca="false">SUMPRODUCT(E708:N708,1/(1+$F$697)^$E$3:$N$3)*$E$2</f>
        <v>35365.1947111538</v>
      </c>
      <c r="P708" s="15" t="n">
        <f aca="false">N708*$E$2*(1+$I$697)/($F$697-$I$697)/(1+$F$697)^$N$3</f>
        <v>51431.9137981127</v>
      </c>
      <c r="Q708" s="15" t="n">
        <f aca="false">O708+P708</f>
        <v>86797.1085092665</v>
      </c>
      <c r="R708" s="15" t="n">
        <f aca="false">Q708-$G$2+$I$2</f>
        <v>80677.1085092665</v>
      </c>
      <c r="S708" s="42" t="n">
        <f aca="false">R708/$K$2</f>
        <v>465.856961018977</v>
      </c>
      <c r="T708" s="43" t="n">
        <f aca="false">S708-$M$2</f>
        <v>1.71560520421792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0.14453125</v>
      </c>
      <c r="C709" s="25" t="n">
        <f aca="false">IF(T708&gt;0,D708,C708)</f>
        <v>0.14599609375</v>
      </c>
      <c r="D709" s="41" t="n">
        <f aca="false">(B709+C709)/2</f>
        <v>0.145263671875</v>
      </c>
      <c r="E709" s="15" t="n">
        <f aca="false">$C$2*(1+IF(E$3&lt;=$O$2,$D709,$D709-($D709-$I$697)*MIN(E$3-$O$2,$Q$2)/$Q$2))</f>
        <v>9345.3515625</v>
      </c>
      <c r="F709" s="15" t="n">
        <f aca="false">E709*(1+IF(F$3&lt;=$O$2,$D709,$D709-($D709-$I$697)*MIN(F$3-$O$2,$Q$2)/$Q$2))</f>
        <v>10702.8916454315</v>
      </c>
      <c r="G709" s="15" t="n">
        <f aca="false">F709*(1+IF(G$3&lt;=$O$2,$D709,$D709-($D709-$I$697)*MIN(G$3-$O$2,$Q$2)/$Q$2))</f>
        <v>12257.6329855272</v>
      </c>
      <c r="H709" s="15" t="n">
        <f aca="false">G709*(1+IF(H$3&lt;=$O$2,$D709,$D709-($D709-$I$697)*MIN(H$3-$O$2,$Q$2)/$Q$2))</f>
        <v>14038.221761501</v>
      </c>
      <c r="I709" s="15" t="n">
        <f aca="false">H709*(1+IF(I$3&lt;=$O$2,$D709,$D709-($D709-$I$697)*MIN(I$3-$O$2,$Q$2)/$Q$2))</f>
        <v>16077.4654011721</v>
      </c>
      <c r="J709" s="15" t="n">
        <f aca="false">I709*(1+IF(J$3&lt;=$O$2,$D709,$D709-($D709-$I$697)*MIN(J$3-$O$2,$Q$2)/$Q$2))</f>
        <v>18068.9961130391</v>
      </c>
      <c r="K709" s="15" t="n">
        <f aca="false">J709*(1+IF(K$3&lt;=$O$2,$D709,$D709-($D709-$I$697)*MIN(K$3-$O$2,$Q$2)/$Q$2))</f>
        <v>19920.674366976</v>
      </c>
      <c r="L709" s="15" t="n">
        <f aca="false">K709*(1+IF(L$3&lt;=$O$2,$D709,$D709-($D709-$I$697)*MIN(L$3-$O$2,$Q$2)/$Q$2))</f>
        <v>21535.9515858383</v>
      </c>
      <c r="M709" s="15" t="n">
        <f aca="false">L709*(1+IF(M$3&lt;=$O$2,$D709,$D709-($D709-$I$697)*MIN(M$3-$O$2,$Q$2)/$Q$2))</f>
        <v>22821.4914233646</v>
      </c>
      <c r="N709" s="15" t="n">
        <f aca="false">M709*(1+IF(N$3&lt;=$O$2,$D709,$D709-($D709-$I$697)*MIN(N$3-$O$2,$Q$2)/$Q$2))</f>
        <v>23695.5545448795</v>
      </c>
      <c r="O709" s="15" t="n">
        <f aca="false">SUMPRODUCT(E709:N709,1/(1+$F$697)^$E$3:$N$3)*$E$2</f>
        <v>35254.7230873533</v>
      </c>
      <c r="P709" s="15" t="n">
        <f aca="false">N709*$E$2*(1+$I$697)/($F$697-$I$697)/(1+$F$697)^$N$3</f>
        <v>51199.6836171392</v>
      </c>
      <c r="Q709" s="15" t="n">
        <f aca="false">O709+P709</f>
        <v>86454.4067044925</v>
      </c>
      <c r="R709" s="15" t="n">
        <f aca="false">Q709-$G$2+$I$2</f>
        <v>80334.4067044925</v>
      </c>
      <c r="S709" s="42" t="n">
        <f aca="false">R709/$K$2</f>
        <v>463.878084677748</v>
      </c>
      <c r="T709" s="43" t="n">
        <f aca="false">S709-$M$2</f>
        <v>-0.263271137010861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0.145263671875</v>
      </c>
      <c r="C710" s="25" t="n">
        <f aca="false">IF(T709&gt;0,D709,C709)</f>
        <v>0.14599609375</v>
      </c>
      <c r="D710" s="41" t="n">
        <f aca="false">(B710+C710)/2</f>
        <v>0.1456298828125</v>
      </c>
      <c r="E710" s="15" t="n">
        <f aca="false">$C$2*(1+IF(E$3&lt;=$O$2,$D710,$D710-($D710-$I$697)*MIN(E$3-$O$2,$Q$2)/$Q$2))</f>
        <v>9348.33984375</v>
      </c>
      <c r="F710" s="15" t="n">
        <f aca="false">E710*(1+IF(F$3&lt;=$O$2,$D710,$D710-($D710-$I$697)*MIN(F$3-$O$2,$Q$2)/$Q$2))</f>
        <v>10709.7374796867</v>
      </c>
      <c r="G710" s="15" t="n">
        <f aca="false">F710*(1+IF(G$3&lt;=$O$2,$D710,$D710-($D710-$I$697)*MIN(G$3-$O$2,$Q$2)/$Q$2))</f>
        <v>12269.3952938062</v>
      </c>
      <c r="H710" s="15" t="n">
        <f aca="false">G710*(1+IF(H$3&lt;=$O$2,$D710,$D710-($D710-$I$697)*MIN(H$3-$O$2,$Q$2)/$Q$2))</f>
        <v>14056.1858926234</v>
      </c>
      <c r="I710" s="15" t="n">
        <f aca="false">H710*(1+IF(I$3&lt;=$O$2,$D710,$D710-($D710-$I$697)*MIN(I$3-$O$2,$Q$2)/$Q$2))</f>
        <v>16103.1865969568</v>
      </c>
      <c r="J710" s="15" t="n">
        <f aca="false">I710*(1+IF(J$3&lt;=$O$2,$D710,$D710-($D710-$I$697)*MIN(J$3-$O$2,$Q$2)/$Q$2))</f>
        <v>18102.6211479077</v>
      </c>
      <c r="K710" s="15" t="n">
        <f aca="false">J710*(1+IF(K$3&lt;=$O$2,$D710,$D710-($D710-$I$697)*MIN(K$3-$O$2,$Q$2)/$Q$2))</f>
        <v>19961.7228617149</v>
      </c>
      <c r="L710" s="15" t="n">
        <f aca="false">K710*(1+IF(L$3&lt;=$O$2,$D710,$D710-($D710-$I$697)*MIN(L$3-$O$2,$Q$2)/$Q$2))</f>
        <v>21583.252597512</v>
      </c>
      <c r="M710" s="15" t="n">
        <f aca="false">L710*(1+IF(M$3&lt;=$O$2,$D710,$D710-($D710-$I$697)*MIN(M$3-$O$2,$Q$2)/$Q$2))</f>
        <v>22873.1967663974</v>
      </c>
      <c r="N710" s="15" t="n">
        <f aca="false">M710*(1+IF(N$3&lt;=$O$2,$D710,$D710-($D710-$I$697)*MIN(N$3-$O$2,$Q$2)/$Q$2))</f>
        <v>23749.2402025504</v>
      </c>
      <c r="O710" s="15" t="n">
        <f aca="false">SUMPRODUCT(E710:N710,1/(1+$F$697)^$E$3:$N$3)*$E$2</f>
        <v>35309.9163157138</v>
      </c>
      <c r="P710" s="15" t="n">
        <f aca="false">N710*$E$2*(1+$I$697)/($F$697-$I$697)/(1+$F$697)^$N$3</f>
        <v>51315.6838011536</v>
      </c>
      <c r="Q710" s="15" t="n">
        <f aca="false">O710+P710</f>
        <v>86625.6001168674</v>
      </c>
      <c r="R710" s="15" t="n">
        <f aca="false">Q710-$G$2+$I$2</f>
        <v>80505.6001168674</v>
      </c>
      <c r="S710" s="42" t="n">
        <f aca="false">R710/$K$2</f>
        <v>464.86661344767</v>
      </c>
      <c r="T710" s="43" t="n">
        <f aca="false">S710-$M$2</f>
        <v>0.725257632910427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0.145263671875</v>
      </c>
      <c r="C711" s="25" t="n">
        <f aca="false">IF(T710&gt;0,D710,C710)</f>
        <v>0.1456298828125</v>
      </c>
      <c r="D711" s="41" t="n">
        <f aca="false">(B711+C711)/2</f>
        <v>0.14544677734375</v>
      </c>
      <c r="E711" s="15" t="n">
        <f aca="false">$C$2*(1+IF(E$3&lt;=$O$2,$D711,$D711-($D711-$I$697)*MIN(E$3-$O$2,$Q$2)/$Q$2))</f>
        <v>9346.845703125</v>
      </c>
      <c r="F711" s="15" t="n">
        <f aca="false">E711*(1+IF(F$3&lt;=$O$2,$D711,$D711-($D711-$I$697)*MIN(F$3-$O$2,$Q$2)/$Q$2))</f>
        <v>10706.3142889738</v>
      </c>
      <c r="G711" s="15" t="n">
        <f aca="false">F711*(1+IF(G$3&lt;=$O$2,$D711,$D711-($D711-$I$697)*MIN(G$3-$O$2,$Q$2)/$Q$2))</f>
        <v>12263.5131995344</v>
      </c>
      <c r="H711" s="15" t="n">
        <f aca="false">G711*(1+IF(H$3&lt;=$O$2,$D711,$D711-($D711-$I$697)*MIN(H$3-$O$2,$Q$2)/$Q$2))</f>
        <v>14047.2016733192</v>
      </c>
      <c r="I711" s="15" t="n">
        <f aca="false">H711*(1+IF(I$3&lt;=$O$2,$D711,$D711-($D711-$I$697)*MIN(I$3-$O$2,$Q$2)/$Q$2))</f>
        <v>16090.3218874012</v>
      </c>
      <c r="J711" s="15" t="n">
        <f aca="false">I711*(1+IF(J$3&lt;=$O$2,$D711,$D711-($D711-$I$697)*MIN(J$3-$O$2,$Q$2)/$Q$2))</f>
        <v>18085.8021250156</v>
      </c>
      <c r="K711" s="15" t="n">
        <f aca="false">J711*(1+IF(K$3&lt;=$O$2,$D711,$D711-($D711-$I$697)*MIN(K$3-$O$2,$Q$2)/$Q$2))</f>
        <v>19941.189594427</v>
      </c>
      <c r="L711" s="15" t="n">
        <f aca="false">K711*(1+IF(L$3&lt;=$O$2,$D711,$D711-($D711-$I$697)*MIN(L$3-$O$2,$Q$2)/$Q$2))</f>
        <v>21559.590836471</v>
      </c>
      <c r="M711" s="15" t="n">
        <f aca="false">L711*(1+IF(M$3&lt;=$O$2,$D711,$D711-($D711-$I$697)*MIN(M$3-$O$2,$Q$2)/$Q$2))</f>
        <v>22847.3313013034</v>
      </c>
      <c r="N711" s="15" t="n">
        <f aca="false">M711*(1+IF(N$3&lt;=$O$2,$D711,$D711-($D711-$I$697)*MIN(N$3-$O$2,$Q$2)/$Q$2))</f>
        <v>23722.3840901433</v>
      </c>
      <c r="O711" s="15" t="n">
        <f aca="false">SUMPRODUCT(E711:N711,1/(1+$F$697)^$E$3:$N$3)*$E$2</f>
        <v>35282.309063201</v>
      </c>
      <c r="P711" s="15" t="n">
        <f aca="false">N711*$E$2*(1+$I$697)/($F$697-$I$697)/(1+$F$697)^$N$3</f>
        <v>51257.6550069413</v>
      </c>
      <c r="Q711" s="15" t="n">
        <f aca="false">O711+P711</f>
        <v>86539.9640701423</v>
      </c>
      <c r="R711" s="15" t="n">
        <f aca="false">Q711-$G$2+$I$2</f>
        <v>80419.9640701423</v>
      </c>
      <c r="S711" s="42" t="n">
        <f aca="false">R711/$K$2</f>
        <v>464.372121897115</v>
      </c>
      <c r="T711" s="43" t="n">
        <f aca="false">S711-$M$2</f>
        <v>0.230766082355444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0.145263671875</v>
      </c>
      <c r="C712" s="25" t="n">
        <f aca="false">IF(T711&gt;0,D711,C711)</f>
        <v>0.14544677734375</v>
      </c>
      <c r="D712" s="41" t="n">
        <f aca="false">(B712+C712)/2</f>
        <v>0.145355224609375</v>
      </c>
      <c r="E712" s="15" t="n">
        <f aca="false">$C$2*(1+IF(E$3&lt;=$O$2,$D712,$D712-($D712-$I$697)*MIN(E$3-$O$2,$Q$2)/$Q$2))</f>
        <v>9346.0986328125</v>
      </c>
      <c r="F712" s="15" t="n">
        <f aca="false">E712*(1+IF(F$3&lt;=$O$2,$D712,$D712-($D712-$I$697)*MIN(F$3-$O$2,$Q$2)/$Q$2))</f>
        <v>10704.6028988063</v>
      </c>
      <c r="G712" s="15" t="n">
        <f aca="false">F712*(1+IF(G$3&lt;=$O$2,$D712,$D712-($D712-$I$697)*MIN(G$3-$O$2,$Q$2)/$Q$2))</f>
        <v>12260.5728575165</v>
      </c>
      <c r="H712" s="15" t="n">
        <f aca="false">G712*(1+IF(H$3&lt;=$O$2,$D712,$D712-($D712-$I$697)*MIN(H$3-$O$2,$Q$2)/$Q$2))</f>
        <v>14042.7111790604</v>
      </c>
      <c r="I712" s="15" t="n">
        <f aca="false">H712*(1+IF(I$3&lt;=$O$2,$D712,$D712-($D712-$I$697)*MIN(I$3-$O$2,$Q$2)/$Q$2))</f>
        <v>16083.8926166173</v>
      </c>
      <c r="J712" s="15" t="n">
        <f aca="false">I712*(1+IF(J$3&lt;=$O$2,$D712,$D712-($D712-$I$697)*MIN(J$3-$O$2,$Q$2)/$Q$2))</f>
        <v>18077.3974931658</v>
      </c>
      <c r="K712" s="15" t="n">
        <f aca="false">J712*(1+IF(K$3&lt;=$O$2,$D712,$D712-($D712-$I$697)*MIN(K$3-$O$2,$Q$2)/$Q$2))</f>
        <v>19930.9297265443</v>
      </c>
      <c r="L712" s="15" t="n">
        <f aca="false">K712*(1+IF(L$3&lt;=$O$2,$D712,$D712-($D712-$I$697)*MIN(L$3-$O$2,$Q$2)/$Q$2))</f>
        <v>21547.7683984905</v>
      </c>
      <c r="M712" s="15" t="n">
        <f aca="false">L712*(1+IF(M$3&lt;=$O$2,$D712,$D712-($D712-$I$697)*MIN(M$3-$O$2,$Q$2)/$Q$2))</f>
        <v>22834.408165299</v>
      </c>
      <c r="N712" s="15" t="n">
        <f aca="false">M712*(1+IF(N$3&lt;=$O$2,$D712,$D712-($D712-$I$697)*MIN(N$3-$O$2,$Q$2)/$Q$2))</f>
        <v>23708.9659980299</v>
      </c>
      <c r="O712" s="15" t="n">
        <f aca="false">SUMPRODUCT(E712:N712,1/(1+$F$697)^$E$3:$N$3)*$E$2</f>
        <v>35268.5134166376</v>
      </c>
      <c r="P712" s="15" t="n">
        <f aca="false">N712*$E$2*(1+$I$697)/($F$697-$I$697)/(1+$F$697)^$N$3</f>
        <v>51228.6621395387</v>
      </c>
      <c r="Q712" s="15" t="n">
        <f aca="false">O712+P712</f>
        <v>86497.1755561762</v>
      </c>
      <c r="R712" s="15" t="n">
        <f aca="false">Q712-$G$2+$I$2</f>
        <v>80377.1755561762</v>
      </c>
      <c r="S712" s="42" t="n">
        <f aca="false">R712/$K$2</f>
        <v>464.125046519091</v>
      </c>
      <c r="T712" s="43" t="n">
        <f aca="false">S712-$M$2</f>
        <v>-0.016309295667952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0.145355224609375</v>
      </c>
      <c r="C713" s="25" t="n">
        <f aca="false">IF(T712&gt;0,D712,C712)</f>
        <v>0.14544677734375</v>
      </c>
      <c r="D713" s="41" t="n">
        <f aca="false">(B713+C713)/2</f>
        <v>0.145401000976563</v>
      </c>
      <c r="E713" s="15" t="n">
        <f aca="false">$C$2*(1+IF(E$3&lt;=$O$2,$D713,$D713-($D713-$I$697)*MIN(E$3-$O$2,$Q$2)/$Q$2))</f>
        <v>9346.47216796875</v>
      </c>
      <c r="F713" s="15" t="n">
        <f aca="false">E713*(1+IF(F$3&lt;=$O$2,$D713,$D713-($D713-$I$697)*MIN(F$3-$O$2,$Q$2)/$Q$2))</f>
        <v>10705.458576791</v>
      </c>
      <c r="G713" s="15" t="n">
        <f aca="false">F713*(1+IF(G$3&lt;=$O$2,$D713,$D713-($D713-$I$697)*MIN(G$3-$O$2,$Q$2)/$Q$2))</f>
        <v>12262.0429697695</v>
      </c>
      <c r="H713" s="15" t="n">
        <f aca="false">G713*(1+IF(H$3&lt;=$O$2,$D713,$D713-($D713-$I$697)*MIN(H$3-$O$2,$Q$2)/$Q$2))</f>
        <v>14044.9562915916</v>
      </c>
      <c r="I713" s="15" t="n">
        <f aca="false">H713*(1+IF(I$3&lt;=$O$2,$D713,$D713-($D713-$I$697)*MIN(I$3-$O$2,$Q$2)/$Q$2))</f>
        <v>16087.1069950611</v>
      </c>
      <c r="J713" s="15" t="n">
        <f aca="false">I713*(1+IF(J$3&lt;=$O$2,$D713,$D713-($D713-$I$697)*MIN(J$3-$O$2,$Q$2)/$Q$2))</f>
        <v>18081.5994025625</v>
      </c>
      <c r="K713" s="15" t="n">
        <f aca="false">J713*(1+IF(K$3&lt;=$O$2,$D713,$D713-($D713-$I$697)*MIN(K$3-$O$2,$Q$2)/$Q$2))</f>
        <v>19936.0590968436</v>
      </c>
      <c r="L713" s="15" t="n">
        <f aca="false">K713*(1+IF(L$3&lt;=$O$2,$D713,$D713-($D713-$I$697)*MIN(L$3-$O$2,$Q$2)/$Q$2))</f>
        <v>21553.6789141726</v>
      </c>
      <c r="M713" s="15" t="n">
        <f aca="false">L713*(1+IF(M$3&lt;=$O$2,$D713,$D713-($D713-$I$697)*MIN(M$3-$O$2,$Q$2)/$Q$2))</f>
        <v>22840.8689338725</v>
      </c>
      <c r="N713" s="15" t="n">
        <f aca="false">M713*(1+IF(N$3&lt;=$O$2,$D713,$D713-($D713-$I$697)*MIN(N$3-$O$2,$Q$2)/$Q$2))</f>
        <v>23715.6742140398</v>
      </c>
      <c r="O713" s="15" t="n">
        <f aca="false">SUMPRODUCT(E713:N713,1/(1+$F$697)^$E$3:$N$3)*$E$2</f>
        <v>35275.4105751415</v>
      </c>
      <c r="P713" s="15" t="n">
        <f aca="false">N713*$E$2*(1+$I$697)/($F$697-$I$697)/(1+$F$697)^$N$3</f>
        <v>51243.1567797334</v>
      </c>
      <c r="Q713" s="15" t="n">
        <f aca="false">O713+P713</f>
        <v>86518.5673548749</v>
      </c>
      <c r="R713" s="15" t="n">
        <f aca="false">Q713-$G$2+$I$2</f>
        <v>80398.5673548749</v>
      </c>
      <c r="S713" s="42" t="n">
        <f aca="false">R713/$K$2</f>
        <v>464.248570013136</v>
      </c>
      <c r="T713" s="43" t="n">
        <f aca="false">S713-$M$2</f>
        <v>0.107214198376937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0.145355224609375</v>
      </c>
      <c r="C714" s="25" t="n">
        <f aca="false">IF(T713&gt;0,D713,C713)</f>
        <v>0.145401000976563</v>
      </c>
      <c r="D714" s="41" t="n">
        <f aca="false">(B714+C714)/2</f>
        <v>0.145378112792969</v>
      </c>
      <c r="E714" s="15" t="n">
        <f aca="false">$C$2*(1+IF(E$3&lt;=$O$2,$D714,$D714-($D714-$I$697)*MIN(E$3-$O$2,$Q$2)/$Q$2))</f>
        <v>9346.28540039063</v>
      </c>
      <c r="F714" s="15" t="n">
        <f aca="false">E714*(1+IF(F$3&lt;=$O$2,$D714,$D714-($D714-$I$697)*MIN(F$3-$O$2,$Q$2)/$Q$2))</f>
        <v>10705.0307335239</v>
      </c>
      <c r="G714" s="15" t="n">
        <f aca="false">F714*(1+IF(G$3&lt;=$O$2,$D714,$D714-($D714-$I$697)*MIN(G$3-$O$2,$Q$2)/$Q$2))</f>
        <v>12261.3078989543</v>
      </c>
      <c r="H714" s="15" t="n">
        <f aca="false">G714*(1+IF(H$3&lt;=$O$2,$D714,$D714-($D714-$I$697)*MIN(H$3-$O$2,$Q$2)/$Q$2))</f>
        <v>14043.8337016778</v>
      </c>
      <c r="I714" s="15" t="n">
        <f aca="false">H714*(1+IF(I$3&lt;=$O$2,$D714,$D714-($D714-$I$697)*MIN(I$3-$O$2,$Q$2)/$Q$2))</f>
        <v>16085.499741606</v>
      </c>
      <c r="J714" s="15" t="n">
        <f aca="false">I714*(1+IF(J$3&lt;=$O$2,$D714,$D714-($D714-$I$697)*MIN(J$3-$O$2,$Q$2)/$Q$2))</f>
        <v>18079.4983462399</v>
      </c>
      <c r="K714" s="15" t="n">
        <f aca="false">J714*(1+IF(K$3&lt;=$O$2,$D714,$D714-($D714-$I$697)*MIN(K$3-$O$2,$Q$2)/$Q$2))</f>
        <v>19933.4942707963</v>
      </c>
      <c r="L714" s="15" t="n">
        <f aca="false">K714*(1+IF(L$3&lt;=$O$2,$D714,$D714-($D714-$I$697)*MIN(L$3-$O$2,$Q$2)/$Q$2))</f>
        <v>21550.7234805223</v>
      </c>
      <c r="M714" s="15" t="n">
        <f aca="false">L714*(1+IF(M$3&lt;=$O$2,$D714,$D714-($D714-$I$697)*MIN(M$3-$O$2,$Q$2)/$Q$2))</f>
        <v>22837.6383497498</v>
      </c>
      <c r="N714" s="15" t="n">
        <f aca="false">M714*(1+IF(N$3&lt;=$O$2,$D714,$D714-($D714-$I$697)*MIN(N$3-$O$2,$Q$2)/$Q$2))</f>
        <v>23712.3198985452</v>
      </c>
      <c r="O714" s="15" t="n">
        <f aca="false">SUMPRODUCT(E714:N714,1/(1+$F$697)^$E$3:$N$3)*$E$2</f>
        <v>35271.9618297098</v>
      </c>
      <c r="P714" s="15" t="n">
        <f aca="false">N714*$E$2*(1+$I$697)/($F$697-$I$697)/(1+$F$697)^$N$3</f>
        <v>51235.9090113071</v>
      </c>
      <c r="Q714" s="15" t="n">
        <f aca="false">O714+P714</f>
        <v>86507.8708410169</v>
      </c>
      <c r="R714" s="15" t="n">
        <f aca="false">Q714-$G$2+$I$2</f>
        <v>80387.8708410169</v>
      </c>
      <c r="S714" s="42" t="n">
        <f aca="false">R714/$K$2</f>
        <v>464.186804717732</v>
      </c>
      <c r="T714" s="43" t="n">
        <f aca="false">S714-$M$2</f>
        <v>0.045448902973078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0.145355224609375</v>
      </c>
      <c r="C715" s="25" t="n">
        <f aca="false">IF(T714&gt;0,D714,C714)</f>
        <v>0.145378112792969</v>
      </c>
      <c r="D715" s="41" t="n">
        <f aca="false">(B715+C715)/2</f>
        <v>0.145366668701172</v>
      </c>
      <c r="E715" s="15" t="n">
        <f aca="false">$C$2*(1+IF(E$3&lt;=$O$2,$D715,$D715-($D715-$I$697)*MIN(E$3-$O$2,$Q$2)/$Q$2))</f>
        <v>9346.19201660156</v>
      </c>
      <c r="F715" s="15" t="n">
        <f aca="false">E715*(1+IF(F$3&lt;=$O$2,$D715,$D715-($D715-$I$697)*MIN(F$3-$O$2,$Q$2)/$Q$2))</f>
        <v>10704.8168150964</v>
      </c>
      <c r="G715" s="15" t="n">
        <f aca="false">F715*(1+IF(G$3&lt;=$O$2,$D715,$D715-($D715-$I$697)*MIN(G$3-$O$2,$Q$2)/$Q$2))</f>
        <v>12260.9403745633</v>
      </c>
      <c r="H715" s="15" t="n">
        <f aca="false">G715*(1+IF(H$3&lt;=$O$2,$D715,$D715-($D715-$I$697)*MIN(H$3-$O$2,$Q$2)/$Q$2))</f>
        <v>14043.2724319572</v>
      </c>
      <c r="I715" s="15" t="n">
        <f aca="false">H715*(1+IF(I$3&lt;=$O$2,$D715,$D715-($D715-$I$697)*MIN(I$3-$O$2,$Q$2)/$Q$2))</f>
        <v>16084.6961630539</v>
      </c>
      <c r="J715" s="15" t="n">
        <f aca="false">I715*(1+IF(J$3&lt;=$O$2,$D715,$D715-($D715-$I$697)*MIN(J$3-$O$2,$Q$2)/$Q$2))</f>
        <v>18078.4478942978</v>
      </c>
      <c r="K715" s="15" t="n">
        <f aca="false">J715*(1+IF(K$3&lt;=$O$2,$D715,$D715-($D715-$I$697)*MIN(K$3-$O$2,$Q$2)/$Q$2))</f>
        <v>19932.2119634475</v>
      </c>
      <c r="L715" s="15" t="n">
        <f aca="false">K715*(1+IF(L$3&lt;=$O$2,$D715,$D715-($D715-$I$697)*MIN(L$3-$O$2,$Q$2)/$Q$2))</f>
        <v>21549.2458955563</v>
      </c>
      <c r="M715" s="15" t="n">
        <f aca="false">L715*(1+IF(M$3&lt;=$O$2,$D715,$D715-($D715-$I$697)*MIN(M$3-$O$2,$Q$2)/$Q$2))</f>
        <v>22836.0232075681</v>
      </c>
      <c r="N715" s="15" t="n">
        <f aca="false">M715*(1+IF(N$3&lt;=$O$2,$D715,$D715-($D715-$I$697)*MIN(N$3-$O$2,$Q$2)/$Q$2))</f>
        <v>23710.6428964179</v>
      </c>
      <c r="O715" s="15" t="n">
        <f aca="false">SUMPRODUCT(E715:N715,1/(1+$F$697)^$E$3:$N$3)*$E$2</f>
        <v>35270.2375816306</v>
      </c>
      <c r="P715" s="15" t="n">
        <f aca="false">N715*$E$2*(1+$I$697)/($F$697-$I$697)/(1+$F$697)^$N$3</f>
        <v>51232.2854633466</v>
      </c>
      <c r="Q715" s="15" t="n">
        <f aca="false">O715+P715</f>
        <v>86502.5230449772</v>
      </c>
      <c r="R715" s="15" t="n">
        <f aca="false">Q715-$G$2+$I$2</f>
        <v>80382.5230449772</v>
      </c>
      <c r="S715" s="42" t="n">
        <f aca="false">R715/$K$2</f>
        <v>464.155924731362</v>
      </c>
      <c r="T715" s="43" t="n">
        <f aca="false">S715-$M$2</f>
        <v>0.0145689166022862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0.145355224609375</v>
      </c>
      <c r="C716" s="25" t="n">
        <f aca="false">IF(T715&gt;0,D715,C715)</f>
        <v>0.145366668701172</v>
      </c>
      <c r="D716" s="41" t="n">
        <f aca="false">(B716+C716)/2</f>
        <v>0.145360946655273</v>
      </c>
      <c r="E716" s="15" t="n">
        <f aca="false">$C$2*(1+IF(E$3&lt;=$O$2,$D716,$D716-($D716-$I$697)*MIN(E$3-$O$2,$Q$2)/$Q$2))</f>
        <v>9346.14532470703</v>
      </c>
      <c r="F716" s="15" t="n">
        <f aca="false">E716*(1+IF(F$3&lt;=$O$2,$D716,$D716-($D716-$I$697)*MIN(F$3-$O$2,$Q$2)/$Q$2))</f>
        <v>10704.7098566842</v>
      </c>
      <c r="G716" s="15" t="n">
        <f aca="false">F716*(1+IF(G$3&lt;=$O$2,$D716,$D716-($D716-$I$697)*MIN(G$3-$O$2,$Q$2)/$Q$2))</f>
        <v>12260.7566151219</v>
      </c>
      <c r="H716" s="15" t="n">
        <f aca="false">G716*(1+IF(H$3&lt;=$O$2,$D716,$D716-($D716-$I$697)*MIN(H$3-$O$2,$Q$2)/$Q$2))</f>
        <v>14042.9918034059</v>
      </c>
      <c r="I716" s="15" t="n">
        <f aca="false">H716*(1+IF(I$3&lt;=$O$2,$D716,$D716-($D716-$I$697)*MIN(I$3-$O$2,$Q$2)/$Q$2))</f>
        <v>16084.2943858212</v>
      </c>
      <c r="J716" s="15" t="n">
        <f aca="false">I716*(1+IF(J$3&lt;=$O$2,$D716,$D716-($D716-$I$697)*MIN(J$3-$O$2,$Q$2)/$Q$2))</f>
        <v>18077.9226873806</v>
      </c>
      <c r="K716" s="15" t="n">
        <f aca="false">J716*(1+IF(K$3&lt;=$O$2,$D716,$D716-($D716-$I$697)*MIN(K$3-$O$2,$Q$2)/$Q$2))</f>
        <v>19931.5708361904</v>
      </c>
      <c r="L716" s="15" t="n">
        <f aca="false">K716*(1+IF(L$3&lt;=$O$2,$D716,$D716-($D716-$I$697)*MIN(L$3-$O$2,$Q$2)/$Q$2))</f>
        <v>21548.5071360362</v>
      </c>
      <c r="M716" s="15" t="n">
        <f aca="false">L716*(1+IF(M$3&lt;=$O$2,$D716,$D716-($D716-$I$697)*MIN(M$3-$O$2,$Q$2)/$Q$2))</f>
        <v>22835.2156739448</v>
      </c>
      <c r="N716" s="15" t="n">
        <f aca="false">M716*(1+IF(N$3&lt;=$O$2,$D716,$D716-($D716-$I$697)*MIN(N$3-$O$2,$Q$2)/$Q$2))</f>
        <v>23709.8044342568</v>
      </c>
      <c r="O716" s="15" t="n">
        <f aca="false">SUMPRODUCT(E716:N716,1/(1+$F$697)^$E$3:$N$3)*$E$2</f>
        <v>35269.3754887486</v>
      </c>
      <c r="P716" s="15" t="n">
        <f aca="false">N716*$E$2*(1+$I$697)/($F$697-$I$697)/(1+$F$697)^$N$3</f>
        <v>51230.4737734243</v>
      </c>
      <c r="Q716" s="15" t="n">
        <f aca="false">O716+P716</f>
        <v>86499.8492621729</v>
      </c>
      <c r="R716" s="15" t="n">
        <f aca="false">Q716-$G$2+$I$2</f>
        <v>80379.8492621729</v>
      </c>
      <c r="S716" s="42" t="n">
        <f aca="false">R716/$K$2</f>
        <v>464.14048540347</v>
      </c>
      <c r="T716" s="43" t="n">
        <f aca="false">S716-$M$2</f>
        <v>-0.000870411289724871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0.145360946655273</v>
      </c>
      <c r="C717" s="25" t="n">
        <f aca="false">IF(T716&gt;0,D716,C716)</f>
        <v>0.145366668701172</v>
      </c>
      <c r="D717" s="41" t="n">
        <f aca="false">(B717+C717)/2</f>
        <v>0.145363807678223</v>
      </c>
      <c r="E717" s="15" t="n">
        <f aca="false">$C$2*(1+IF(E$3&lt;=$O$2,$D717,$D717-($D717-$I$697)*MIN(E$3-$O$2,$Q$2)/$Q$2))</f>
        <v>9346.1686706543</v>
      </c>
      <c r="F717" s="15" t="n">
        <f aca="false">E717*(1+IF(F$3&lt;=$O$2,$D717,$D717-($D717-$I$697)*MIN(F$3-$O$2,$Q$2)/$Q$2))</f>
        <v>10704.7633358235</v>
      </c>
      <c r="G717" s="15" t="n">
        <f aca="false">F717*(1+IF(G$3&lt;=$O$2,$D717,$D717-($D717-$I$697)*MIN(G$3-$O$2,$Q$2)/$Q$2))</f>
        <v>12260.8484946131</v>
      </c>
      <c r="H717" s="15" t="n">
        <f aca="false">G717*(1+IF(H$3&lt;=$O$2,$D717,$D717-($D717-$I$697)*MIN(H$3-$O$2,$Q$2)/$Q$2))</f>
        <v>14043.1321171558</v>
      </c>
      <c r="I717" s="15" t="n">
        <f aca="false">H717*(1+IF(I$3&lt;=$O$2,$D717,$D717-($D717-$I$697)*MIN(I$3-$O$2,$Q$2)/$Q$2))</f>
        <v>16084.4952734339</v>
      </c>
      <c r="J717" s="15" t="n">
        <f aca="false">I717*(1+IF(J$3&lt;=$O$2,$D717,$D717-($D717-$I$697)*MIN(J$3-$O$2,$Q$2)/$Q$2))</f>
        <v>18078.1852892514</v>
      </c>
      <c r="K717" s="15" t="n">
        <f aca="false">J717*(1+IF(K$3&lt;=$O$2,$D717,$D717-($D717-$I$697)*MIN(K$3-$O$2,$Q$2)/$Q$2))</f>
        <v>19931.8913976176</v>
      </c>
      <c r="L717" s="15" t="n">
        <f aca="false">K717*(1+IF(L$3&lt;=$O$2,$D717,$D717-($D717-$I$697)*MIN(L$3-$O$2,$Q$2)/$Q$2))</f>
        <v>21548.8765130494</v>
      </c>
      <c r="M717" s="15" t="n">
        <f aca="false">L717*(1+IF(M$3&lt;=$O$2,$D717,$D717-($D717-$I$697)*MIN(M$3-$O$2,$Q$2)/$Q$2))</f>
        <v>22835.6194376342</v>
      </c>
      <c r="N717" s="15" t="n">
        <f aca="false">M717*(1+IF(N$3&lt;=$O$2,$D717,$D717-($D717-$I$697)*MIN(N$3-$O$2,$Q$2)/$Q$2))</f>
        <v>23710.2236620956</v>
      </c>
      <c r="O717" s="15" t="n">
        <f aca="false">SUMPRODUCT(E717:N717,1/(1+$F$697)^$E$3:$N$3)*$E$2</f>
        <v>35269.8065325932</v>
      </c>
      <c r="P717" s="15" t="n">
        <f aca="false">N717*$E$2*(1+$I$697)/($F$697-$I$697)/(1+$F$697)^$N$3</f>
        <v>51231.3796113808</v>
      </c>
      <c r="Q717" s="15" t="n">
        <f aca="false">O717+P717</f>
        <v>86501.1861439739</v>
      </c>
      <c r="R717" s="15" t="n">
        <f aca="false">Q717-$G$2+$I$2</f>
        <v>80381.1861439739</v>
      </c>
      <c r="S717" s="42" t="n">
        <f aca="false">R717/$K$2</f>
        <v>464.148205011976</v>
      </c>
      <c r="T717" s="43" t="n">
        <f aca="false">S717-$M$2</f>
        <v>0.00684919721635424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0.145360946655273</v>
      </c>
      <c r="C718" s="25" t="n">
        <f aca="false">IF(T717&gt;0,D717,C717)</f>
        <v>0.145363807678223</v>
      </c>
      <c r="D718" s="41" t="n">
        <f aca="false">(B718+C718)/2</f>
        <v>0.145362377166748</v>
      </c>
      <c r="E718" s="15" t="n">
        <f aca="false">$C$2*(1+IF(E$3&lt;=$O$2,$D718,$D718-($D718-$I$697)*MIN(E$3-$O$2,$Q$2)/$Q$2))</f>
        <v>9346.15699768066</v>
      </c>
      <c r="F718" s="15" t="n">
        <f aca="false">E718*(1+IF(F$3&lt;=$O$2,$D718,$D718-($D718-$I$697)*MIN(F$3-$O$2,$Q$2)/$Q$2))</f>
        <v>10704.7365962372</v>
      </c>
      <c r="G718" s="15" t="n">
        <f aca="false">F718*(1+IF(G$3&lt;=$O$2,$D718,$D718-($D718-$I$697)*MIN(G$3-$O$2,$Q$2)/$Q$2))</f>
        <v>12260.8025548101</v>
      </c>
      <c r="H718" s="15" t="n">
        <f aca="false">G718*(1+IF(H$3&lt;=$O$2,$D718,$D718-($D718-$I$697)*MIN(H$3-$O$2,$Q$2)/$Q$2))</f>
        <v>14043.0619601494</v>
      </c>
      <c r="I718" s="15" t="n">
        <f aca="false">H718*(1+IF(I$3&lt;=$O$2,$D718,$D718-($D718-$I$697)*MIN(I$3-$O$2,$Q$2)/$Q$2))</f>
        <v>16084.3948293767</v>
      </c>
      <c r="J718" s="15" t="n">
        <f aca="false">I718*(1+IF(J$3&lt;=$O$2,$D718,$D718-($D718-$I$697)*MIN(J$3-$O$2,$Q$2)/$Q$2))</f>
        <v>18078.0539879191</v>
      </c>
      <c r="K718" s="15" t="n">
        <f aca="false">J718*(1+IF(K$3&lt;=$O$2,$D718,$D718-($D718-$I$697)*MIN(K$3-$O$2,$Q$2)/$Q$2))</f>
        <v>19931.7311163536</v>
      </c>
      <c r="L718" s="15" t="n">
        <f aca="false">K718*(1+IF(L$3&lt;=$O$2,$D718,$D718-($D718-$I$697)*MIN(L$3-$O$2,$Q$2)/$Q$2))</f>
        <v>21548.6918238561</v>
      </c>
      <c r="M718" s="15" t="n">
        <f aca="false">L718*(1+IF(M$3&lt;=$O$2,$D718,$D718-($D718-$I$697)*MIN(M$3-$O$2,$Q$2)/$Q$2))</f>
        <v>22835.4175550089</v>
      </c>
      <c r="N718" s="15" t="n">
        <f aca="false">M718*(1+IF(N$3&lt;=$O$2,$D718,$D718-($D718-$I$697)*MIN(N$3-$O$2,$Q$2)/$Q$2))</f>
        <v>23710.0140473658</v>
      </c>
      <c r="O718" s="15" t="n">
        <f aca="false">SUMPRODUCT(E718:N718,1/(1+$F$697)^$E$3:$N$3)*$E$2</f>
        <v>35269.5910100218</v>
      </c>
      <c r="P718" s="15" t="n">
        <f aca="false">N718*$E$2*(1+$I$697)/($F$697-$I$697)/(1+$F$697)^$N$3</f>
        <v>51230.9266906514</v>
      </c>
      <c r="Q718" s="15" t="n">
        <f aca="false">O718+P718</f>
        <v>86500.5177006732</v>
      </c>
      <c r="R718" s="15" t="n">
        <f aca="false">Q718-$G$2+$I$2</f>
        <v>80380.5177006732</v>
      </c>
      <c r="S718" s="42" t="n">
        <f aca="false">R718/$K$2</f>
        <v>464.144345193863</v>
      </c>
      <c r="T718" s="43" t="n">
        <f aca="false">S718-$M$2</f>
        <v>0.00298937910355335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0.145360946655273</v>
      </c>
      <c r="C719" s="25" t="n">
        <f aca="false">IF(T718&gt;0,D718,C718)</f>
        <v>0.145362377166748</v>
      </c>
      <c r="D719" s="41" t="n">
        <f aca="false">(B719+C719)/2</f>
        <v>0.145361661911011</v>
      </c>
      <c r="E719" s="15" t="n">
        <f aca="false">$C$2*(1+IF(E$3&lt;=$O$2,$D719,$D719-($D719-$I$697)*MIN(E$3-$O$2,$Q$2)/$Q$2))</f>
        <v>9346.15116119385</v>
      </c>
      <c r="F719" s="15" t="n">
        <f aca="false">E719*(1+IF(F$3&lt;=$O$2,$D719,$D719-($D719-$I$697)*MIN(F$3-$O$2,$Q$2)/$Q$2))</f>
        <v>10704.7232264565</v>
      </c>
      <c r="G719" s="15" t="n">
        <f aca="false">F719*(1+IF(G$3&lt;=$O$2,$D719,$D719-($D719-$I$697)*MIN(G$3-$O$2,$Q$2)/$Q$2))</f>
        <v>12260.7795849516</v>
      </c>
      <c r="H719" s="15" t="n">
        <f aca="false">G719*(1+IF(H$3&lt;=$O$2,$D719,$D719-($D719-$I$697)*MIN(H$3-$O$2,$Q$2)/$Q$2))</f>
        <v>14043.0268817448</v>
      </c>
      <c r="I719" s="15" t="n">
        <f aca="false">H719*(1+IF(I$3&lt;=$O$2,$D719,$D719-($D719-$I$697)*MIN(I$3-$O$2,$Q$2)/$Q$2))</f>
        <v>16084.3446075362</v>
      </c>
      <c r="J719" s="15" t="n">
        <f aca="false">I719*(1+IF(J$3&lt;=$O$2,$D719,$D719-($D719-$I$697)*MIN(J$3-$O$2,$Q$2)/$Q$2))</f>
        <v>18077.9883375506</v>
      </c>
      <c r="K719" s="15" t="n">
        <f aca="false">J719*(1+IF(K$3&lt;=$O$2,$D719,$D719-($D719-$I$697)*MIN(K$3-$O$2,$Q$2)/$Q$2))</f>
        <v>19931.6509761344</v>
      </c>
      <c r="L719" s="15" t="n">
        <f aca="false">K719*(1+IF(L$3&lt;=$O$2,$D719,$D719-($D719-$I$697)*MIN(L$3-$O$2,$Q$2)/$Q$2))</f>
        <v>21548.5994797745</v>
      </c>
      <c r="M719" s="15" t="n">
        <f aca="false">L719*(1+IF(M$3&lt;=$O$2,$D719,$D719-($D719-$I$697)*MIN(M$3-$O$2,$Q$2)/$Q$2))</f>
        <v>22835.3166142817</v>
      </c>
      <c r="N719" s="15" t="n">
        <f aca="false">M719*(1+IF(N$3&lt;=$O$2,$D719,$D719-($D719-$I$697)*MIN(N$3-$O$2,$Q$2)/$Q$2))</f>
        <v>23709.9092406087</v>
      </c>
      <c r="O719" s="15" t="n">
        <f aca="false">SUMPRODUCT(E719:N719,1/(1+$F$697)^$E$3:$N$3)*$E$2</f>
        <v>35269.4832492229</v>
      </c>
      <c r="P719" s="15" t="n">
        <f aca="false">N719*$E$2*(1+$I$697)/($F$697-$I$697)/(1+$F$697)^$N$3</f>
        <v>51230.7002316001</v>
      </c>
      <c r="Q719" s="15" t="n">
        <f aca="false">O719+P719</f>
        <v>86500.1834808229</v>
      </c>
      <c r="R719" s="15" t="n">
        <f aca="false">Q719-$G$2+$I$2</f>
        <v>80380.1834808229</v>
      </c>
      <c r="S719" s="42" t="n">
        <f aca="false">R719/$K$2</f>
        <v>464.142415295201</v>
      </c>
      <c r="T719" s="43" t="n">
        <f aca="false">S719-$M$2</f>
        <v>0.00105948044182469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0.145360946655273</v>
      </c>
      <c r="C720" s="25" t="n">
        <f aca="false">IF(T719&gt;0,D719,C719)</f>
        <v>0.145361661911011</v>
      </c>
      <c r="D720" s="41" t="n">
        <f aca="false">(B720+C720)/2</f>
        <v>0.145361304283142</v>
      </c>
      <c r="E720" s="15" t="n">
        <f aca="false">$C$2*(1+IF(E$3&lt;=$O$2,$D720,$D720-($D720-$I$697)*MIN(E$3-$O$2,$Q$2)/$Q$2))</f>
        <v>9346.14824295044</v>
      </c>
      <c r="F720" s="15" t="n">
        <f aca="false">E720*(1+IF(F$3&lt;=$O$2,$D720,$D720-($D720-$I$697)*MIN(F$3-$O$2,$Q$2)/$Q$2))</f>
        <v>10704.7165415693</v>
      </c>
      <c r="G720" s="15" t="n">
        <f aca="false">F720*(1+IF(G$3&lt;=$O$2,$D720,$D720-($D720-$I$697)*MIN(G$3-$O$2,$Q$2)/$Q$2))</f>
        <v>12260.7681000332</v>
      </c>
      <c r="H720" s="15" t="n">
        <f aca="false">G720*(1+IF(H$3&lt;=$O$2,$D720,$D720-($D720-$I$697)*MIN(H$3-$O$2,$Q$2)/$Q$2))</f>
        <v>14043.0093425671</v>
      </c>
      <c r="I720" s="15" t="n">
        <f aca="false">H720*(1+IF(I$3&lt;=$O$2,$D720,$D720-($D720-$I$697)*MIN(I$3-$O$2,$Q$2)/$Q$2))</f>
        <v>16084.319496663</v>
      </c>
      <c r="J720" s="15" t="n">
        <f aca="false">I720*(1+IF(J$3&lt;=$O$2,$D720,$D720-($D720-$I$697)*MIN(J$3-$O$2,$Q$2)/$Q$2))</f>
        <v>18077.9555124408</v>
      </c>
      <c r="K720" s="15" t="n">
        <f aca="false">J720*(1+IF(K$3&lt;=$O$2,$D720,$D720-($D720-$I$697)*MIN(K$3-$O$2,$Q$2)/$Q$2))</f>
        <v>19931.610906128</v>
      </c>
      <c r="L720" s="15" t="n">
        <f aca="false">K720*(1+IF(L$3&lt;=$O$2,$D720,$D720-($D720-$I$697)*MIN(L$3-$O$2,$Q$2)/$Q$2))</f>
        <v>21548.5533078624</v>
      </c>
      <c r="M720" s="15" t="n">
        <f aca="false">L720*(1+IF(M$3&lt;=$O$2,$D720,$D720-($D720-$I$697)*MIN(M$3-$O$2,$Q$2)/$Q$2))</f>
        <v>22835.2661440644</v>
      </c>
      <c r="N720" s="15" t="n">
        <f aca="false">M720*(1+IF(N$3&lt;=$O$2,$D720,$D720-($D720-$I$697)*MIN(N$3-$O$2,$Q$2)/$Q$2))</f>
        <v>23709.8568373821</v>
      </c>
      <c r="O720" s="15" t="n">
        <f aca="false">SUMPRODUCT(E720:N720,1/(1+$F$697)^$E$3:$N$3)*$E$2</f>
        <v>35269.4293689452</v>
      </c>
      <c r="P720" s="15" t="n">
        <f aca="false">N720*$E$2*(1+$I$697)/($F$697-$I$697)/(1+$F$697)^$N$3</f>
        <v>51230.5870024027</v>
      </c>
      <c r="Q720" s="15" t="n">
        <f aca="false">O720+P720</f>
        <v>86500.0163713479</v>
      </c>
      <c r="R720" s="15" t="n">
        <f aca="false">Q720-$G$2+$I$2</f>
        <v>80380.0163713479</v>
      </c>
      <c r="S720" s="42" t="n">
        <f aca="false">R720/$K$2</f>
        <v>464.141450348469</v>
      </c>
      <c r="T720" s="43" t="n">
        <f aca="false">S720-$M$2</f>
        <v>9.45337098983146E-005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0.145360946655273</v>
      </c>
      <c r="C721" s="25" t="n">
        <f aca="false">IF(T720&gt;0,D720,C720)</f>
        <v>0.145361304283142</v>
      </c>
      <c r="D721" s="41" t="n">
        <f aca="false">(B721+C721)/2</f>
        <v>0.145361125469208</v>
      </c>
      <c r="E721" s="15" t="n">
        <f aca="false">$C$2*(1+IF(E$3&lt;=$O$2,$D721,$D721-($D721-$I$697)*MIN(E$3-$O$2,$Q$2)/$Q$2))</f>
        <v>9346.14678382874</v>
      </c>
      <c r="F721" s="15" t="n">
        <f aca="false">E721*(1+IF(F$3&lt;=$O$2,$D721,$D721-($D721-$I$697)*MIN(F$3-$O$2,$Q$2)/$Q$2))</f>
        <v>10704.7131991265</v>
      </c>
      <c r="G721" s="15" t="n">
        <f aca="false">F721*(1+IF(G$3&lt;=$O$2,$D721,$D721-($D721-$I$697)*MIN(G$3-$O$2,$Q$2)/$Q$2))</f>
        <v>12260.7623575766</v>
      </c>
      <c r="H721" s="15" t="n">
        <f aca="false">G721*(1+IF(H$3&lt;=$O$2,$D721,$D721-($D721-$I$697)*MIN(H$3-$O$2,$Q$2)/$Q$2))</f>
        <v>14043.0005729844</v>
      </c>
      <c r="I721" s="15" t="n">
        <f aca="false">H721*(1+IF(I$3&lt;=$O$2,$D721,$D721-($D721-$I$697)*MIN(I$3-$O$2,$Q$2)/$Q$2))</f>
        <v>16084.3069412382</v>
      </c>
      <c r="J721" s="15" t="n">
        <f aca="false">I721*(1+IF(J$3&lt;=$O$2,$D721,$D721-($D721-$I$697)*MIN(J$3-$O$2,$Q$2)/$Q$2))</f>
        <v>18077.9390999045</v>
      </c>
      <c r="K721" s="15" t="n">
        <f aca="false">J721*(1+IF(K$3&lt;=$O$2,$D721,$D721-($D721-$I$697)*MIN(K$3-$O$2,$Q$2)/$Q$2))</f>
        <v>19931.5908711506</v>
      </c>
      <c r="L721" s="15" t="n">
        <f aca="false">K721*(1+IF(L$3&lt;=$O$2,$D721,$D721-($D721-$I$697)*MIN(L$3-$O$2,$Q$2)/$Q$2))</f>
        <v>21548.5302219386</v>
      </c>
      <c r="M721" s="15" t="n">
        <f aca="false">L721*(1+IF(M$3&lt;=$O$2,$D721,$D721-($D721-$I$697)*MIN(M$3-$O$2,$Q$2)/$Q$2))</f>
        <v>22835.2409089924</v>
      </c>
      <c r="N721" s="15" t="n">
        <f aca="false">M721*(1+IF(N$3&lt;=$O$2,$D721,$D721-($D721-$I$697)*MIN(N$3-$O$2,$Q$2)/$Q$2))</f>
        <v>23709.8306358068</v>
      </c>
      <c r="O721" s="15" t="n">
        <f aca="false">SUMPRODUCT(E721:N721,1/(1+$F$697)^$E$3:$N$3)*$E$2</f>
        <v>35269.4024288367</v>
      </c>
      <c r="P721" s="15" t="n">
        <f aca="false">N721*$E$2*(1+$I$697)/($F$697-$I$697)/(1+$F$697)^$N$3</f>
        <v>51230.5303878861</v>
      </c>
      <c r="Q721" s="15" t="n">
        <f aca="false">O721+P721</f>
        <v>86499.9328167228</v>
      </c>
      <c r="R721" s="15" t="n">
        <f aca="false">Q721-$G$2+$I$2</f>
        <v>80379.9328167228</v>
      </c>
      <c r="S721" s="42" t="n">
        <f aca="false">R721/$K$2</f>
        <v>464.140967875753</v>
      </c>
      <c r="T721" s="43" t="n">
        <f aca="false">S721-$M$2</f>
        <v>-0.000387939006714078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0.145361125469208</v>
      </c>
      <c r="C722" s="25" t="n">
        <f aca="false">IF(T721&gt;0,D721,C721)</f>
        <v>0.145361304283142</v>
      </c>
      <c r="D722" s="41" t="n">
        <f aca="false">(B722+C722)/2</f>
        <v>0.145361214876175</v>
      </c>
      <c r="E722" s="15" t="n">
        <f aca="false">$C$2*(1+IF(E$3&lt;=$O$2,$D722,$D722-($D722-$I$697)*MIN(E$3-$O$2,$Q$2)/$Q$2))</f>
        <v>9346.14751338959</v>
      </c>
      <c r="F722" s="15" t="n">
        <f aca="false">E722*(1+IF(F$3&lt;=$O$2,$D722,$D722-($D722-$I$697)*MIN(F$3-$O$2,$Q$2)/$Q$2))</f>
        <v>10704.7148703478</v>
      </c>
      <c r="G722" s="15" t="n">
        <f aca="false">F722*(1+IF(G$3&lt;=$O$2,$D722,$D722-($D722-$I$697)*MIN(G$3-$O$2,$Q$2)/$Q$2))</f>
        <v>12260.7652288047</v>
      </c>
      <c r="H722" s="15" t="n">
        <f aca="false">G722*(1+IF(H$3&lt;=$O$2,$D722,$D722-($D722-$I$697)*MIN(H$3-$O$2,$Q$2)/$Q$2))</f>
        <v>14043.0049577753</v>
      </c>
      <c r="I722" s="15" t="n">
        <f aca="false">H722*(1+IF(I$3&lt;=$O$2,$D722,$D722-($D722-$I$697)*MIN(I$3-$O$2,$Q$2)/$Q$2))</f>
        <v>16084.3132189496</v>
      </c>
      <c r="J722" s="15" t="n">
        <f aca="false">I722*(1+IF(J$3&lt;=$O$2,$D722,$D722-($D722-$I$697)*MIN(J$3-$O$2,$Q$2)/$Q$2))</f>
        <v>18077.9473061711</v>
      </c>
      <c r="K722" s="15" t="n">
        <f aca="false">J722*(1+IF(K$3&lt;=$O$2,$D722,$D722-($D722-$I$697)*MIN(K$3-$O$2,$Q$2)/$Q$2))</f>
        <v>19931.6008886372</v>
      </c>
      <c r="L722" s="15" t="n">
        <f aca="false">K722*(1+IF(L$3&lt;=$O$2,$D722,$D722-($D722-$I$697)*MIN(L$3-$O$2,$Q$2)/$Q$2))</f>
        <v>21548.5417648978</v>
      </c>
      <c r="M722" s="15" t="n">
        <f aca="false">L722*(1+IF(M$3&lt;=$O$2,$D722,$D722-($D722-$I$697)*MIN(M$3-$O$2,$Q$2)/$Q$2))</f>
        <v>22835.2535265254</v>
      </c>
      <c r="N722" s="15" t="n">
        <f aca="false">M722*(1+IF(N$3&lt;=$O$2,$D722,$D722-($D722-$I$697)*MIN(N$3-$O$2,$Q$2)/$Q$2))</f>
        <v>23709.8437365913</v>
      </c>
      <c r="O722" s="15" t="n">
        <f aca="false">SUMPRODUCT(E722:N722,1/(1+$F$697)^$E$3:$N$3)*$E$2</f>
        <v>35269.4158988884</v>
      </c>
      <c r="P722" s="15" t="n">
        <f aca="false">N722*$E$2*(1+$I$697)/($F$697-$I$697)/(1+$F$697)^$N$3</f>
        <v>51230.5586951376</v>
      </c>
      <c r="Q722" s="15" t="n">
        <f aca="false">O722+P722</f>
        <v>86499.974594026</v>
      </c>
      <c r="R722" s="15" t="n">
        <f aca="false">Q722-$G$2+$I$2</f>
        <v>80379.974594026</v>
      </c>
      <c r="S722" s="42" t="n">
        <f aca="false">R722/$K$2</f>
        <v>464.141209112057</v>
      </c>
      <c r="T722" s="43" t="n">
        <f aca="false">S722-$M$2</f>
        <v>-0.000146702702465973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207</v>
      </c>
    </row>
    <row r="3" customFormat="false" ht="15" hidden="false" customHeight="false" outlineLevel="0" collapsed="false">
      <c r="B3" s="2" t="s">
        <v>208</v>
      </c>
    </row>
    <row r="5" customFormat="false" ht="15" hidden="false" customHeight="false" outlineLevel="0" collapsed="false">
      <c r="B5" s="3" t="s">
        <v>209</v>
      </c>
    </row>
    <row r="6" customFormat="false" ht="15" hidden="false" customHeight="false" outlineLevel="0" collapsed="false">
      <c r="B6" s="28" t="s">
        <v>158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210</v>
      </c>
      <c r="C7" s="23" t="n">
        <f aca="false">IF(C$6&lt;=Inputs!$C$46,Solver!$W$7,Solver!$W$7-(Solver!$W$7-Inputs!$C$37)*MIN(C$6-Inputs!$C$46,Inputs!$C$47)/Inputs!$C$47)</f>
        <v>0.136265557175193</v>
      </c>
      <c r="D7" s="23" t="n">
        <f aca="false">IF(D$6&lt;=Inputs!$C$46,Solver!$W$7,Solver!$W$7-(Solver!$W$7-Inputs!$C$37)*MIN(D$6-Inputs!$C$46,Inputs!$C$47)/Inputs!$C$47)</f>
        <v>0.136265557175193</v>
      </c>
      <c r="E7" s="23" t="n">
        <f aca="false">IF(E$6&lt;=Inputs!$C$46,Solver!$W$7,Solver!$W$7-(Solver!$W$7-Inputs!$C$37)*MIN(E$6-Inputs!$C$46,Inputs!$C$47)/Inputs!$C$47)</f>
        <v>0.136265557175193</v>
      </c>
      <c r="F7" s="23" t="n">
        <f aca="false">IF(F$6&lt;=Inputs!$C$46,Solver!$W$7,Solver!$W$7-(Solver!$W$7-Inputs!$C$37)*MIN(F$6-Inputs!$C$46,Inputs!$C$47)/Inputs!$C$47)</f>
        <v>0.136265557175193</v>
      </c>
      <c r="G7" s="23" t="n">
        <f aca="false">IF(G$6&lt;=Inputs!$C$46,Solver!$W$7,Solver!$W$7-(Solver!$W$7-Inputs!$C$37)*MIN(G$6-Inputs!$C$46,Inputs!$C$47)/Inputs!$C$47)</f>
        <v>0.136265557175193</v>
      </c>
      <c r="H7" s="23" t="n">
        <f aca="false">IF(H$6&lt;=Inputs!$C$46,Solver!$W$7,Solver!$W$7-(Solver!$W$7-Inputs!$C$37)*MIN(H$6-Inputs!$C$46,Inputs!$C$47)/Inputs!$C$47)</f>
        <v>0.114672445740154</v>
      </c>
      <c r="I7" s="23" t="n">
        <f aca="false">IF(I$6&lt;=Inputs!$C$46,Solver!$W$7,Solver!$W$7-(Solver!$W$7-Inputs!$C$37)*MIN(I$6-Inputs!$C$46,Inputs!$C$47)/Inputs!$C$47)</f>
        <v>0.0930793343051158</v>
      </c>
      <c r="J7" s="23" t="n">
        <f aca="false">IF(J$6&lt;=Inputs!$C$46,Solver!$W$7,Solver!$W$7-(Solver!$W$7-Inputs!$C$37)*MIN(J$6-Inputs!$C$46,Inputs!$C$47)/Inputs!$C$47)</f>
        <v>0.0714862228700772</v>
      </c>
      <c r="K7" s="23" t="n">
        <f aca="false">IF(K$6&lt;=Inputs!$C$46,Solver!$W$7,Solver!$W$7-(Solver!$W$7-Inputs!$C$37)*MIN(K$6-Inputs!$C$46,Inputs!$C$47)/Inputs!$C$47)</f>
        <v>0.0498931114350386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9271.92694654957</v>
      </c>
      <c r="D8" s="15" t="n">
        <f aca="false">C8*(1+D7)</f>
        <v>10535.3712380088</v>
      </c>
      <c r="E8" s="15" t="n">
        <f aca="false">D8*(1+E7)</f>
        <v>11970.9794698036</v>
      </c>
      <c r="F8" s="15" t="n">
        <f aca="false">E8*(1+F7)</f>
        <v>13602.2116571892</v>
      </c>
      <c r="G8" s="15" t="n">
        <f aca="false">F8*(1+G7)</f>
        <v>15455.724607471</v>
      </c>
      <c r="H8" s="15" t="n">
        <f aca="false">G8*(1+H7)</f>
        <v>17228.070348896</v>
      </c>
      <c r="I8" s="15" t="n">
        <f aca="false">H8*(1+I7)</f>
        <v>18831.6476683329</v>
      </c>
      <c r="J8" s="15" t="n">
        <f aca="false">I8*(1+J7)</f>
        <v>20177.8510305621</v>
      </c>
      <c r="K8" s="15" t="n">
        <f aca="false">J8*(1+K7)</f>
        <v>21184.5868005496</v>
      </c>
      <c r="L8" s="15" t="n">
        <f aca="false">K8*(1+L7)</f>
        <v>21784.1106070051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3519.58256335016</v>
      </c>
      <c r="D9" s="15" t="n">
        <f aca="false">D8*Inputs!$C$23</f>
        <v>3999.18044236916</v>
      </c>
      <c r="E9" s="15" t="n">
        <f aca="false">E8*Inputs!$C$23</f>
        <v>4544.13099359273</v>
      </c>
      <c r="F9" s="15" t="n">
        <f aca="false">F8*Inputs!$C$23</f>
        <v>5163.33953531171</v>
      </c>
      <c r="G9" s="15" t="n">
        <f aca="false">G8*Inputs!$C$23</f>
        <v>5866.92487397566</v>
      </c>
      <c r="H9" s="15" t="n">
        <f aca="false">H8*Inputs!$C$23</f>
        <v>6539.6994982482</v>
      </c>
      <c r="I9" s="15" t="n">
        <f aca="false">I8*Inputs!$C$23</f>
        <v>7148.41037410064</v>
      </c>
      <c r="J9" s="15" t="n">
        <f aca="false">J8*Inputs!$C$23</f>
        <v>7659.42323127037</v>
      </c>
      <c r="K9" s="15" t="n">
        <f aca="false">K8*Inputs!$C$23</f>
        <v>8041.57568807627</v>
      </c>
      <c r="L9" s="15" t="n">
        <f aca="false">L8*Inputs!$C$23</f>
        <v>8269.15228004882</v>
      </c>
    </row>
    <row r="10" customFormat="false" ht="15" hidden="false" customHeight="false" outlineLevel="0" collapsed="false">
      <c r="B10" s="5" t="s">
        <v>211</v>
      </c>
      <c r="C10" s="45" t="n">
        <f aca="false">1/(1+WACC!$C$34)^C$6</f>
        <v>0.912978494420847</v>
      </c>
      <c r="D10" s="45" t="n">
        <f aca="false">1/(1+WACC!$C$34)^D$6</f>
        <v>0.833529731274957</v>
      </c>
      <c r="E10" s="45" t="n">
        <f aca="false">1/(1+WACC!$C$34)^E$6</f>
        <v>0.760994719114424</v>
      </c>
      <c r="F10" s="45" t="n">
        <f aca="false">1/(1+WACC!$C$34)^F$6</f>
        <v>0.694771812919302</v>
      </c>
      <c r="G10" s="45" t="n">
        <f aca="false">1/(1+WACC!$C$34)^G$6</f>
        <v>0.634311723725107</v>
      </c>
      <c r="H10" s="45" t="n">
        <f aca="false">1/(1+WACC!$C$34)^H$6</f>
        <v>0.57911296252004</v>
      </c>
      <c r="I10" s="45" t="n">
        <f aca="false">1/(1+WACC!$C$34)^I$6</f>
        <v>0.528717680621143</v>
      </c>
      <c r="J10" s="45" t="n">
        <f aca="false">1/(1+WACC!$C$34)^J$6</f>
        <v>0.482707872027173</v>
      </c>
      <c r="K10" s="45" t="n">
        <f aca="false">1/(1+WACC!$C$34)^K$6</f>
        <v>0.44070190624846</v>
      </c>
      <c r="L10" s="45" t="n">
        <f aca="false">1/(1+WACC!$C$34)^L$6</f>
        <v>0.402351362855116</v>
      </c>
    </row>
    <row r="11" customFormat="false" ht="15" hidden="false" customHeight="false" outlineLevel="0" collapsed="false">
      <c r="B11" s="5" t="s">
        <v>212</v>
      </c>
      <c r="C11" s="15" t="n">
        <f aca="false">C9*C10</f>
        <v>3213.30318967729</v>
      </c>
      <c r="D11" s="15" t="n">
        <f aca="false">D9*D10</f>
        <v>3333.43579944803</v>
      </c>
      <c r="E11" s="15" t="n">
        <f aca="false">E9*E10</f>
        <v>3458.05968908825</v>
      </c>
      <c r="F11" s="15" t="n">
        <f aca="false">F9*F10</f>
        <v>3587.34276966642</v>
      </c>
      <c r="G11" s="15" t="n">
        <f aca="false">G9*G10</f>
        <v>3721.45922977721</v>
      </c>
      <c r="H11" s="15" t="n">
        <f aca="false">H9*H10</f>
        <v>3787.22475042133</v>
      </c>
      <c r="I11" s="15" t="n">
        <f aca="false">I9*I10</f>
        <v>3779.49095312261</v>
      </c>
      <c r="J11" s="15" t="n">
        <f aca="false">J9*J10</f>
        <v>3697.26388892202</v>
      </c>
      <c r="K11" s="15" t="n">
        <f aca="false">K9*K10</f>
        <v>3543.93773497648</v>
      </c>
      <c r="L11" s="15" t="n">
        <f aca="false">L9*L10</f>
        <v>3327.10468953413</v>
      </c>
    </row>
    <row r="13" customFormat="false" ht="15" hidden="false" customHeight="false" outlineLevel="0" collapsed="false">
      <c r="B13" s="5" t="s">
        <v>213</v>
      </c>
      <c r="C13" s="15" t="n">
        <f aca="false">SUM(C11:L11)</f>
        <v>35448.6226946338</v>
      </c>
    </row>
    <row r="14" customFormat="false" ht="15" hidden="false" customHeight="false" outlineLevel="0" collapsed="false">
      <c r="B14" s="5" t="s">
        <v>214</v>
      </c>
      <c r="C14" s="15" t="n">
        <f aca="false">L9*(1+Inputs!$C$37)/(WACC!$C$34-Inputs!$C$37)</f>
        <v>126882.575823701</v>
      </c>
    </row>
    <row r="15" customFormat="false" ht="15" hidden="false" customHeight="false" outlineLevel="0" collapsed="false">
      <c r="B15" s="5" t="s">
        <v>215</v>
      </c>
      <c r="C15" s="15" t="n">
        <f aca="false">C14*L10</f>
        <v>51051.3773052337</v>
      </c>
    </row>
    <row r="16" customFormat="false" ht="15" hidden="false" customHeight="false" outlineLevel="0" collapsed="false">
      <c r="B16" s="7" t="s">
        <v>216</v>
      </c>
      <c r="C16" s="15" t="n">
        <f aca="false">C13+C15</f>
        <v>86499.9999998675</v>
      </c>
    </row>
    <row r="17" customFormat="false" ht="15" hidden="false" customHeight="false" outlineLevel="0" collapsed="false">
      <c r="B17" s="5" t="s">
        <v>217</v>
      </c>
      <c r="C17" s="16" t="n">
        <f aca="false">-Inputs!$C$27</f>
        <v>-7620</v>
      </c>
    </row>
    <row r="18" customFormat="false" ht="15" hidden="false" customHeight="false" outlineLevel="0" collapsed="false">
      <c r="B18" s="5" t="s">
        <v>218</v>
      </c>
      <c r="C18" s="16" t="n">
        <f aca="false">Inputs!$C$28</f>
        <v>1500</v>
      </c>
    </row>
    <row r="19" customFormat="false" ht="15" hidden="false" customHeight="false" outlineLevel="0" collapsed="false">
      <c r="B19" s="5" t="s">
        <v>219</v>
      </c>
      <c r="C19" s="15" t="n">
        <f aca="false">SUM(C16:C18)</f>
        <v>80379.9999998675</v>
      </c>
    </row>
    <row r="20" customFormat="false" ht="15" hidden="false" customHeight="false" outlineLevel="0" collapsed="false">
      <c r="B20" s="5" t="s">
        <v>220</v>
      </c>
      <c r="C20" s="36" t="n">
        <f aca="false">Inputs!$C$7</f>
        <v>173.18</v>
      </c>
    </row>
    <row r="21" customFormat="false" ht="15" hidden="false" customHeight="false" outlineLevel="0" collapsed="false">
      <c r="B21" s="7" t="s">
        <v>221</v>
      </c>
      <c r="C21" s="46" t="n">
        <f aca="false">C19/C20</f>
        <v>464.141355813994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464.141355814759</v>
      </c>
    </row>
    <row r="23" customFormat="false" ht="15" hidden="false" customHeight="false" outlineLevel="0" collapsed="false">
      <c r="B23" s="5" t="s">
        <v>222</v>
      </c>
      <c r="C23" s="23" t="n">
        <f aca="false">C21/C22-1</f>
        <v>-1.64845914696343E-012</v>
      </c>
    </row>
    <row r="24" customFormat="false" ht="15" hidden="false" customHeight="false" outlineLevel="0" collapsed="false">
      <c r="B24" s="5" t="s">
        <v>223</v>
      </c>
      <c r="C24" s="23" t="n">
        <f aca="false">C15/C16</f>
        <v>0.590189333009387</v>
      </c>
    </row>
    <row r="25" customFormat="false" ht="15" hidden="false" customHeight="false" outlineLevel="0" collapsed="false">
      <c r="B25" s="3" t="s">
        <v>224</v>
      </c>
    </row>
    <row r="26" customFormat="false" ht="15" hidden="false" customHeight="false" outlineLevel="0" collapsed="false">
      <c r="B26" s="28" t="s">
        <v>158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210</v>
      </c>
      <c r="C27" s="23" t="n">
        <f aca="false">IF(C$26&lt;=Inputs!$C$46,Inputs!$C$45,Inputs!$C$45-(Inputs!$C$45-Inputs!$C$37)*MIN(C$26-Inputs!$C$46,Inputs!$C$47)/Inputs!$C$47)</f>
        <v>0.0679801941070892</v>
      </c>
      <c r="D27" s="23" t="n">
        <f aca="false">IF(D$26&lt;=Inputs!$C$46,Inputs!$C$45,Inputs!$C$45-(Inputs!$C$45-Inputs!$C$37)*MIN(D$26-Inputs!$C$46,Inputs!$C$47)/Inputs!$C$47)</f>
        <v>0.0679801941070892</v>
      </c>
      <c r="E27" s="23" t="n">
        <f aca="false">IF(E$26&lt;=Inputs!$C$46,Inputs!$C$45,Inputs!$C$45-(Inputs!$C$45-Inputs!$C$37)*MIN(E$26-Inputs!$C$46,Inputs!$C$47)/Inputs!$C$47)</f>
        <v>0.0679801941070892</v>
      </c>
      <c r="F27" s="23" t="n">
        <f aca="false">IF(F$26&lt;=Inputs!$C$46,Inputs!$C$45,Inputs!$C$45-(Inputs!$C$45-Inputs!$C$37)*MIN(F$26-Inputs!$C$46,Inputs!$C$47)/Inputs!$C$47)</f>
        <v>0.0679801941070892</v>
      </c>
      <c r="G27" s="23" t="n">
        <f aca="false">IF(G$26&lt;=Inputs!$C$46,Inputs!$C$45,Inputs!$C$45-(Inputs!$C$45-Inputs!$C$37)*MIN(G$26-Inputs!$C$46,Inputs!$C$47)/Inputs!$C$47)</f>
        <v>0.0679801941070892</v>
      </c>
      <c r="H27" s="23" t="n">
        <f aca="false">IF(H$26&lt;=Inputs!$C$46,Inputs!$C$45,Inputs!$C$45-(Inputs!$C$45-Inputs!$C$37)*MIN(H$26-Inputs!$C$46,Inputs!$C$47)/Inputs!$C$47)</f>
        <v>0.0600441552856714</v>
      </c>
      <c r="I27" s="23" t="n">
        <f aca="false">IF(I$26&lt;=Inputs!$C$46,Inputs!$C$45,Inputs!$C$45-(Inputs!$C$45-Inputs!$C$37)*MIN(I$26-Inputs!$C$46,Inputs!$C$47)/Inputs!$C$47)</f>
        <v>0.0521081164642535</v>
      </c>
      <c r="J27" s="23" t="n">
        <f aca="false">IF(J$26&lt;=Inputs!$C$46,Inputs!$C$45,Inputs!$C$45-(Inputs!$C$45-Inputs!$C$37)*MIN(J$26-Inputs!$C$46,Inputs!$C$47)/Inputs!$C$47)</f>
        <v>0.0441720776428357</v>
      </c>
      <c r="K27" s="23" t="n">
        <f aca="false">IF(K$26&lt;=Inputs!$C$46,Inputs!$C$45,Inputs!$C$45-(Inputs!$C$45-Inputs!$C$37)*MIN(K$26-Inputs!$C$46,Inputs!$C$47)/Inputs!$C$47)</f>
        <v>0.0362360388214179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8714.71838391385</v>
      </c>
      <c r="D28" s="15" t="n">
        <f aca="false">C28*(1+D27)</f>
        <v>9307.14663124093</v>
      </c>
      <c r="E28" s="15" t="n">
        <f aca="false">D28*(1+E27)</f>
        <v>9939.84826581583</v>
      </c>
      <c r="F28" s="15" t="n">
        <f aca="false">E28*(1+F27)</f>
        <v>10615.561080321</v>
      </c>
      <c r="G28" s="15" t="n">
        <f aca="false">F28*(1+G27)</f>
        <v>11337.2089831169</v>
      </c>
      <c r="H28" s="15" t="n">
        <f aca="false">G28*(1+H27)</f>
        <v>12017.9421198053</v>
      </c>
      <c r="I28" s="15" t="n">
        <f aca="false">H28*(1+I27)</f>
        <v>12644.1744474447</v>
      </c>
      <c r="J28" s="15" t="n">
        <f aca="false">I28*(1+J27)</f>
        <v>13202.6939028668</v>
      </c>
      <c r="K28" s="15" t="n">
        <f aca="false">J28*(1+K27)</f>
        <v>13681.1072316784</v>
      </c>
      <c r="L28" s="15" t="n">
        <f aca="false">K28*(1+L27)</f>
        <v>14068.2825663349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3308.06865124671</v>
      </c>
      <c r="D29" s="15" t="n">
        <f aca="false">D28*Inputs!$C$23</f>
        <v>3532.95180027804</v>
      </c>
      <c r="E29" s="15" t="n">
        <f aca="false">E28*Inputs!$C$23</f>
        <v>3773.12254943193</v>
      </c>
      <c r="F29" s="15" t="n">
        <f aca="false">F28*Inputs!$C$23</f>
        <v>4029.62015273215</v>
      </c>
      <c r="G29" s="15" t="n">
        <f aca="false">G28*Inputs!$C$23</f>
        <v>4303.55451289272</v>
      </c>
      <c r="H29" s="15" t="n">
        <f aca="false">H28*Inputs!$C$23</f>
        <v>4561.9578083452</v>
      </c>
      <c r="I29" s="15" t="n">
        <f aca="false">I28*Inputs!$C$23</f>
        <v>4799.67283712746</v>
      </c>
      <c r="J29" s="15" t="n">
        <f aca="false">J28*Inputs!$C$23</f>
        <v>5011.68435834926</v>
      </c>
      <c r="K29" s="15" t="n">
        <f aca="false">K28*Inputs!$C$23</f>
        <v>5193.2879473191</v>
      </c>
      <c r="L29" s="15" t="n">
        <f aca="false">L28*Inputs!$C$23</f>
        <v>5340.25799622823</v>
      </c>
    </row>
    <row r="30" customFormat="false" ht="15" hidden="false" customHeight="false" outlineLevel="0" collapsed="false">
      <c r="B30" s="5" t="s">
        <v>211</v>
      </c>
      <c r="C30" s="45" t="n">
        <f aca="false">1/(1+WACC!$C$34)^C$26</f>
        <v>0.912978494420847</v>
      </c>
      <c r="D30" s="45" t="n">
        <f aca="false">1/(1+WACC!$C$34)^D$26</f>
        <v>0.833529731274957</v>
      </c>
      <c r="E30" s="45" t="n">
        <f aca="false">1/(1+WACC!$C$34)^E$26</f>
        <v>0.760994719114424</v>
      </c>
      <c r="F30" s="45" t="n">
        <f aca="false">1/(1+WACC!$C$34)^F$26</f>
        <v>0.694771812919302</v>
      </c>
      <c r="G30" s="45" t="n">
        <f aca="false">1/(1+WACC!$C$34)^G$26</f>
        <v>0.634311723725107</v>
      </c>
      <c r="H30" s="45" t="n">
        <f aca="false">1/(1+WACC!$C$34)^H$26</f>
        <v>0.57911296252004</v>
      </c>
      <c r="I30" s="45" t="n">
        <f aca="false">1/(1+WACC!$C$34)^I$26</f>
        <v>0.528717680621143</v>
      </c>
      <c r="J30" s="45" t="n">
        <f aca="false">1/(1+WACC!$C$34)^J$26</f>
        <v>0.482707872027173</v>
      </c>
      <c r="K30" s="45" t="n">
        <f aca="false">1/(1+WACC!$C$34)^K$26</f>
        <v>0.44070190624846</v>
      </c>
      <c r="L30" s="45" t="n">
        <f aca="false">1/(1+WACC!$C$34)^L$26</f>
        <v>0.402351362855116</v>
      </c>
    </row>
    <row r="31" customFormat="false" ht="15" hidden="false" customHeight="false" outlineLevel="0" collapsed="false">
      <c r="B31" s="5" t="s">
        <v>212</v>
      </c>
      <c r="C31" s="15" t="n">
        <f aca="false">C29*C30</f>
        <v>3020.19553665602</v>
      </c>
      <c r="D31" s="15" t="n">
        <f aca="false">D29*D30</f>
        <v>2944.82036469313</v>
      </c>
      <c r="E31" s="15" t="n">
        <f aca="false">E29*E30</f>
        <v>2871.32633468925</v>
      </c>
      <c r="F31" s="15" t="n">
        <f aca="false">F29*F30</f>
        <v>2799.66649888987</v>
      </c>
      <c r="G31" s="15" t="n">
        <f aca="false">G29*G30</f>
        <v>2729.79508121794</v>
      </c>
      <c r="H31" s="15" t="n">
        <f aca="false">H29*H30</f>
        <v>2641.88890128222</v>
      </c>
      <c r="I31" s="15" t="n">
        <f aca="false">I29*I30</f>
        <v>2537.67189018633</v>
      </c>
      <c r="J31" s="15" t="n">
        <f aca="false">J29*J30</f>
        <v>2419.17949189064</v>
      </c>
      <c r="K31" s="15" t="n">
        <f aca="false">K29*K30</f>
        <v>2288.69189808068</v>
      </c>
      <c r="L31" s="15" t="n">
        <f aca="false">L29*L30</f>
        <v>2148.66008278036</v>
      </c>
    </row>
    <row r="33" customFormat="false" ht="15" hidden="false" customHeight="false" outlineLevel="0" collapsed="false">
      <c r="B33" s="5" t="s">
        <v>213</v>
      </c>
      <c r="C33" s="15" t="n">
        <f aca="false">SUM(C31:L31)</f>
        <v>26401.8960803664</v>
      </c>
    </row>
    <row r="34" customFormat="false" ht="15" hidden="false" customHeight="false" outlineLevel="0" collapsed="false">
      <c r="B34" s="5" t="s">
        <v>214</v>
      </c>
      <c r="C34" s="15" t="n">
        <f aca="false">L29*(1+Inputs!$C$37)/(WACC!$C$34-Inputs!$C$37)</f>
        <v>81941.3728489898</v>
      </c>
    </row>
    <row r="35" customFormat="false" ht="15" hidden="false" customHeight="false" outlineLevel="0" collapsed="false">
      <c r="B35" s="5" t="s">
        <v>215</v>
      </c>
      <c r="C35" s="15" t="n">
        <f aca="false">C34*L30</f>
        <v>32969.2230400103</v>
      </c>
    </row>
    <row r="36" customFormat="false" ht="15" hidden="false" customHeight="false" outlineLevel="0" collapsed="false">
      <c r="B36" s="7" t="s">
        <v>216</v>
      </c>
      <c r="C36" s="15" t="n">
        <f aca="false">C33+C35</f>
        <v>59371.1191203767</v>
      </c>
    </row>
    <row r="37" customFormat="false" ht="15" hidden="false" customHeight="false" outlineLevel="0" collapsed="false">
      <c r="B37" s="5" t="s">
        <v>217</v>
      </c>
      <c r="C37" s="16" t="n">
        <f aca="false">-Inputs!$C$27</f>
        <v>-7620</v>
      </c>
    </row>
    <row r="38" customFormat="false" ht="15" hidden="false" customHeight="false" outlineLevel="0" collapsed="false">
      <c r="B38" s="5" t="s">
        <v>218</v>
      </c>
      <c r="C38" s="16" t="n">
        <f aca="false">Inputs!$C$28</f>
        <v>1500</v>
      </c>
    </row>
    <row r="39" customFormat="false" ht="15" hidden="false" customHeight="false" outlineLevel="0" collapsed="false">
      <c r="B39" s="5" t="s">
        <v>219</v>
      </c>
      <c r="C39" s="15" t="n">
        <f aca="false">SUM(C36:C38)</f>
        <v>53251.1191203767</v>
      </c>
    </row>
    <row r="40" customFormat="false" ht="15" hidden="false" customHeight="false" outlineLevel="0" collapsed="false">
      <c r="B40" s="5" t="s">
        <v>220</v>
      </c>
      <c r="C40" s="36" t="n">
        <f aca="false">Inputs!$C$7</f>
        <v>173.18</v>
      </c>
    </row>
    <row r="41" customFormat="false" ht="15" hidden="false" customHeight="false" outlineLevel="0" collapsed="false">
      <c r="B41" s="7" t="s">
        <v>221</v>
      </c>
      <c r="C41" s="46" t="n">
        <f aca="false">C39/C40</f>
        <v>307.490005314567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464.141355814759</v>
      </c>
    </row>
    <row r="43" customFormat="false" ht="15" hidden="false" customHeight="false" outlineLevel="0" collapsed="false">
      <c r="B43" s="5" t="s">
        <v>222</v>
      </c>
      <c r="C43" s="23" t="n">
        <f aca="false">C41/C42-1</f>
        <v>-0.337507848713901</v>
      </c>
    </row>
    <row r="44" customFormat="false" ht="15" hidden="false" customHeight="false" outlineLevel="0" collapsed="false">
      <c r="B44" s="5" t="s">
        <v>223</v>
      </c>
      <c r="C44" s="23" t="n">
        <f aca="false">C35/C36</f>
        <v>0.555307420989727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225</v>
      </c>
    </row>
    <row r="3" customFormat="false" ht="15" hidden="false" customHeight="false" outlineLevel="0" collapsed="false">
      <c r="B3" s="2" t="s">
        <v>226</v>
      </c>
    </row>
    <row r="5" customFormat="false" ht="15" hidden="false" customHeight="false" outlineLevel="0" collapsed="false">
      <c r="B5" s="5" t="s">
        <v>227</v>
      </c>
      <c r="C5" s="24" t="n">
        <v>0.005</v>
      </c>
      <c r="D5" s="5" t="s">
        <v>228</v>
      </c>
      <c r="F5" s="24" t="n">
        <v>0.005</v>
      </c>
    </row>
    <row r="6" customFormat="false" ht="15" hidden="false" customHeight="false" outlineLevel="0" collapsed="false">
      <c r="B6" s="5" t="s">
        <v>229</v>
      </c>
      <c r="C6" s="24" t="n">
        <v>0.02</v>
      </c>
    </row>
    <row r="8" customFormat="false" ht="15" hidden="false" customHeight="false" outlineLevel="0" collapsed="false">
      <c r="B8" s="3" t="s">
        <v>230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WACC!$C$34+(0-2)*$C$5</f>
        <v>0.0853160519233867</v>
      </c>
      <c r="C10" s="9" t="n">
        <f aca="false">Solver!$D$74</f>
        <v>0.127158492803574</v>
      </c>
      <c r="D10" s="9" t="n">
        <f aca="false">Solver!$D$101</f>
        <v>0.116457551717758</v>
      </c>
      <c r="E10" s="9" t="n">
        <f aca="false">Solver!$D$128</f>
        <v>0.104881674051285</v>
      </c>
      <c r="F10" s="9" t="n">
        <f aca="false">Solver!$D$155</f>
        <v>0.0922776162624359</v>
      </c>
      <c r="G10" s="9" t="n">
        <f aca="false">Solver!$D$182</f>
        <v>0.0784476101398468</v>
      </c>
      <c r="I10" s="19" t="s">
        <v>231</v>
      </c>
    </row>
    <row r="11" customFormat="false" ht="15" hidden="false" customHeight="false" outlineLevel="0" collapsed="false">
      <c r="B11" s="47" t="n">
        <f aca="false">WACC!$C$34+(1-2)*$C$5</f>
        <v>0.0903160519233867</v>
      </c>
      <c r="C11" s="9" t="n">
        <f aca="false">Solver!$D$209</f>
        <v>0.141705363988876</v>
      </c>
      <c r="D11" s="9" t="n">
        <f aca="false">Solver!$D$236</f>
        <v>0.131713420152664</v>
      </c>
      <c r="E11" s="9" t="n">
        <f aca="false">Solver!$D$263</f>
        <v>0.120964378118515</v>
      </c>
      <c r="F11" s="9" t="n">
        <f aca="false">Solver!$D$290</f>
        <v>0.109336823225021</v>
      </c>
      <c r="G11" s="9" t="n">
        <f aca="false">Solver!$D$317</f>
        <v>0.0966766178607941</v>
      </c>
    </row>
    <row r="12" customFormat="false" ht="15" hidden="false" customHeight="false" outlineLevel="0" collapsed="false">
      <c r="B12" s="47" t="n">
        <f aca="false">WACC!$C$34+(2-2)*$C$5</f>
        <v>0.0953160519233867</v>
      </c>
      <c r="C12" s="9" t="n">
        <f aca="false">Solver!$D$344</f>
        <v>0.15567734837532</v>
      </c>
      <c r="D12" s="9" t="n">
        <f aca="false">Solver!$D$371</f>
        <v>0.146302491426468</v>
      </c>
      <c r="E12" s="8" t="n">
        <f aca="false">Solver!$D$398</f>
        <v>0.136265486478806</v>
      </c>
      <c r="F12" s="9" t="n">
        <f aca="false">Solver!$D$425</f>
        <v>0.125468522310257</v>
      </c>
      <c r="G12" s="9" t="n">
        <f aca="false">Solver!$D$452</f>
        <v>0.113789111375809</v>
      </c>
    </row>
    <row r="13" customFormat="false" ht="15" hidden="false" customHeight="false" outlineLevel="0" collapsed="false">
      <c r="B13" s="47" t="n">
        <f aca="false">WACC!$C$34+(3-2)*$C$5</f>
        <v>0.100316051923387</v>
      </c>
      <c r="C13" s="9" t="n">
        <f aca="false">Solver!$D$479</f>
        <v>0.169146329164505</v>
      </c>
      <c r="D13" s="9" t="n">
        <f aca="false">Solver!$D$506</f>
        <v>0.160313457250595</v>
      </c>
      <c r="E13" s="9" t="n">
        <f aca="false">Solver!$D$533</f>
        <v>0.150896579027176</v>
      </c>
      <c r="F13" s="9" t="n">
        <f aca="false">Solver!$D$560</f>
        <v>0.140814870595932</v>
      </c>
      <c r="G13" s="9" t="n">
        <f aca="false">Solver!$D$587</f>
        <v>0.129969626665115</v>
      </c>
    </row>
    <row r="14" customFormat="false" ht="15" hidden="false" customHeight="false" outlineLevel="0" collapsed="false">
      <c r="B14" s="47" t="n">
        <f aca="false">WACC!$C$34+(4-2)*$C$5</f>
        <v>0.105316051923387</v>
      </c>
      <c r="C14" s="9" t="n">
        <f aca="false">Solver!$D$614</f>
        <v>0.182172209024429</v>
      </c>
      <c r="D14" s="9" t="n">
        <f aca="false">Solver!$D$641</f>
        <v>0.173819273710251</v>
      </c>
      <c r="E14" s="9" t="n">
        <f aca="false">Solver!$D$668</f>
        <v>0.164946883916855</v>
      </c>
      <c r="F14" s="9" t="n">
        <f aca="false">Solver!$D$695</f>
        <v>0.155487805604935</v>
      </c>
      <c r="G14" s="9" t="n">
        <f aca="false">Solver!$D$722</f>
        <v>0.145361214876175</v>
      </c>
    </row>
    <row r="17" customFormat="false" ht="15" hidden="false" customHeight="false" outlineLevel="0" collapsed="false">
      <c r="B17" s="3" t="s">
        <v>232</v>
      </c>
    </row>
    <row r="18" customFormat="false" ht="15" hidden="false" customHeight="false" outlineLevel="0" collapsed="false">
      <c r="C18" s="48" t="n">
        <f aca="false">Inputs!$C$45+(0-2)*$C$6</f>
        <v>0.0279801941070892</v>
      </c>
      <c r="D18" s="48" t="n">
        <f aca="false">Inputs!$C$45+(1-2)*$C$6</f>
        <v>0.0479801941070892</v>
      </c>
      <c r="E18" s="48" t="n">
        <f aca="false">Inputs!$C$45+(2-2)*$C$6</f>
        <v>0.0679801941070892</v>
      </c>
      <c r="F18" s="48" t="n">
        <f aca="false">Inputs!$C$45+(3-2)*$C$6</f>
        <v>0.0879801941070892</v>
      </c>
      <c r="G18" s="48" t="n">
        <f aca="false">Inputs!$C$45+(4-2)*$C$6</f>
        <v>0.107980194107089</v>
      </c>
    </row>
    <row r="19" customFormat="false" ht="15" hidden="false" customHeight="false" outlineLevel="0" collapsed="false">
      <c r="B19" s="47" t="n">
        <f aca="false">WACC!$C$34+(0-2)*$C$5</f>
        <v>0.0853160519233867</v>
      </c>
      <c r="C19" s="42" t="n">
        <f aca="false">(SUMPRODUCT($C28:$L28,1/(1+$B19)^$C$27:$L$27)*Inputs!$C$23+$L28*Inputs!$C$23*(1+Inputs!$C$37)/($B19-Inputs!$C$37)/(1+$B19)^$L$27-Inputs!$C$27+Inputs!$C$28)/Inputs!$C$7</f>
        <v>286.643734996103</v>
      </c>
      <c r="D19" s="42" t="n">
        <f aca="false">(SUMPRODUCT($C29:$L29,1/(1+$B19)^$C$27:$L$27)*Inputs!$C$23+$L29*Inputs!$C$23*(1+Inputs!$C$37)/($B19-Inputs!$C$37)/(1+$B19)^$L$27-Inputs!$C$27+Inputs!$C$28)/Inputs!$C$7</f>
        <v>326.017134054583</v>
      </c>
      <c r="E19" s="42" t="n">
        <f aca="false">(SUMPRODUCT($C30:$L30,1/(1+$B19)^$C$27:$L$27)*Inputs!$C$23+$L30*Inputs!$C$23*(1+Inputs!$C$37)/($B19-Inputs!$C$37)/(1+$B19)^$L$27-Inputs!$C$27+Inputs!$C$28)/Inputs!$C$7</f>
        <v>369.882451582521</v>
      </c>
      <c r="F19" s="42" t="n">
        <f aca="false">(SUMPRODUCT($C31:$L31,1/(1+$B19)^$C$27:$L$27)*Inputs!$C$23+$L31*Inputs!$C$23*(1+Inputs!$C$37)/($B19-Inputs!$C$37)/(1+$B19)^$L$27-Inputs!$C$27+Inputs!$C$28)/Inputs!$C$7</f>
        <v>418.68788916947</v>
      </c>
      <c r="G19" s="42" t="n">
        <f aca="false">(SUMPRODUCT($C32:$L32,1/(1+$B19)^$C$27:$L$27)*Inputs!$C$23+$L32*Inputs!$C$23*(1+Inputs!$C$37)/($B19-Inputs!$C$37)/(1+$B19)^$L$27-Inputs!$C$27+Inputs!$C$28)/Inputs!$C$7</f>
        <v>472.919041320103</v>
      </c>
      <c r="I19" s="19" t="s">
        <v>233</v>
      </c>
    </row>
    <row r="20" customFormat="false" ht="15" hidden="false" customHeight="false" outlineLevel="0" collapsed="false">
      <c r="B20" s="47" t="n">
        <f aca="false">WACC!$C$34+(1-2)*$C$5</f>
        <v>0.0903160519233867</v>
      </c>
      <c r="C20" s="42" t="n">
        <f aca="false">(SUMPRODUCT($C28:$L28,1/(1+$B20)^$C$27:$L$27)*Inputs!$C$23+$L28*Inputs!$C$23*(1+Inputs!$C$37)/($B20-Inputs!$C$37)/(1+$B20)^$L$27-Inputs!$C$27+Inputs!$C$28)/Inputs!$C$7</f>
        <v>260.691289315396</v>
      </c>
      <c r="D20" s="42" t="n">
        <f aca="false">(SUMPRODUCT($C29:$L29,1/(1+$B20)^$C$27:$L$27)*Inputs!$C$23+$L29*Inputs!$C$23*(1+Inputs!$C$37)/($B20-Inputs!$C$37)/(1+$B20)^$L$27-Inputs!$C$27+Inputs!$C$28)/Inputs!$C$7</f>
        <v>296.40231056187</v>
      </c>
      <c r="E20" s="42" t="n">
        <f aca="false">(SUMPRODUCT($C30:$L30,1/(1+$B20)^$C$27:$L$27)*Inputs!$C$23+$L30*Inputs!$C$23*(1+Inputs!$C$37)/($B20-Inputs!$C$37)/(1+$B20)^$L$27-Inputs!$C$27+Inputs!$C$28)/Inputs!$C$7</f>
        <v>336.157606298333</v>
      </c>
      <c r="F20" s="42" t="n">
        <f aca="false">(SUMPRODUCT($C31:$L31,1/(1+$B20)^$C$27:$L$27)*Inputs!$C$23+$L31*Inputs!$C$23*(1+Inputs!$C$37)/($B20-Inputs!$C$37)/(1+$B20)^$L$27-Inputs!$C$27+Inputs!$C$28)/Inputs!$C$7</f>
        <v>380.359029821133</v>
      </c>
      <c r="G20" s="42" t="n">
        <f aca="false">(SUMPRODUCT($C32:$L32,1/(1+$B20)^$C$27:$L$27)*Inputs!$C$23+$L32*Inputs!$C$23*(1+Inputs!$C$37)/($B20-Inputs!$C$37)/(1+$B20)^$L$27-Inputs!$C$27+Inputs!$C$28)/Inputs!$C$7</f>
        <v>429.441863890326</v>
      </c>
    </row>
    <row r="21" customFormat="false" ht="15" hidden="false" customHeight="false" outlineLevel="0" collapsed="false">
      <c r="B21" s="47" t="n">
        <f aca="false">WACC!$C$34+(2-2)*$C$5</f>
        <v>0.0953160519233867</v>
      </c>
      <c r="C21" s="42" t="n">
        <f aca="false">(SUMPRODUCT($C28:$L28,1/(1+$B21)^$C$27:$L$27)*Inputs!$C$23+$L28*Inputs!$C$23*(1+Inputs!$C$37)/($B21-Inputs!$C$37)/(1+$B21)^$L$27-Inputs!$C$27+Inputs!$C$28)/Inputs!$C$7</f>
        <v>238.611249153566</v>
      </c>
      <c r="D21" s="42" t="n">
        <f aca="false">(SUMPRODUCT($C29:$L29,1/(1+$B21)^$C$27:$L$27)*Inputs!$C$23+$L29*Inputs!$C$23*(1+Inputs!$C$37)/($B21-Inputs!$C$37)/(1+$B21)^$L$27-Inputs!$C$27+Inputs!$C$28)/Inputs!$C$7</f>
        <v>271.217787919162</v>
      </c>
      <c r="E21" s="46" t="n">
        <f aca="false">(SUMPRODUCT($C30:$L30,1/(1+$B21)^$C$27:$L$27)*Inputs!$C$23+$L30*Inputs!$C$23*(1+Inputs!$C$37)/($B21-Inputs!$C$37)/(1+$B21)^$L$27-Inputs!$C$27+Inputs!$C$28)/Inputs!$C$7</f>
        <v>307.490005314567</v>
      </c>
      <c r="F21" s="42" t="n">
        <f aca="false">(SUMPRODUCT($C31:$L31,1/(1+$B21)^$C$27:$L$27)*Inputs!$C$23+$L31*Inputs!$C$23*(1+Inputs!$C$37)/($B21-Inputs!$C$37)/(1+$B21)^$L$27-Inputs!$C$27+Inputs!$C$28)/Inputs!$C$7</f>
        <v>347.790616402174</v>
      </c>
      <c r="G21" s="42" t="n">
        <f aca="false">(SUMPRODUCT($C32:$L32,1/(1+$B21)^$C$27:$L$27)*Inputs!$C$23+$L32*Inputs!$C$23*(1+Inputs!$C$37)/($B21-Inputs!$C$37)/(1+$B21)^$L$27-Inputs!$C$27+Inputs!$C$28)/Inputs!$C$7</f>
        <v>392.512422825213</v>
      </c>
    </row>
    <row r="22" customFormat="false" ht="15" hidden="false" customHeight="false" outlineLevel="0" collapsed="false">
      <c r="B22" s="47" t="n">
        <f aca="false">WACC!$C$34+(3-2)*$C$5</f>
        <v>0.100316051923387</v>
      </c>
      <c r="C22" s="42" t="n">
        <f aca="false">(SUMPRODUCT($C28:$L28,1/(1+$B22)^$C$27:$L$27)*Inputs!$C$23+$L28*Inputs!$C$23*(1+Inputs!$C$37)/($B22-Inputs!$C$37)/(1+$B22)^$L$27-Inputs!$C$27+Inputs!$C$28)/Inputs!$C$7</f>
        <v>219.597048156399</v>
      </c>
      <c r="D22" s="42" t="n">
        <f aca="false">(SUMPRODUCT($C29:$L29,1/(1+$B22)^$C$27:$L$27)*Inputs!$C$23+$L29*Inputs!$C$23*(1+Inputs!$C$37)/($B22-Inputs!$C$37)/(1+$B22)^$L$27-Inputs!$C$27+Inputs!$C$28)/Inputs!$C$7</f>
        <v>249.540453476233</v>
      </c>
      <c r="E22" s="42" t="n">
        <f aca="false">(SUMPRODUCT($C30:$L30,1/(1+$B22)^$C$27:$L$27)*Inputs!$C$23+$L30*Inputs!$C$23*(1+Inputs!$C$37)/($B22-Inputs!$C$37)/(1+$B22)^$L$27-Inputs!$C$27+Inputs!$C$28)/Inputs!$C$7</f>
        <v>282.825534963935</v>
      </c>
      <c r="F22" s="42" t="n">
        <f aca="false">(SUMPRODUCT($C31:$L31,1/(1+$B22)^$C$27:$L$27)*Inputs!$C$23+$L31*Inputs!$C$23*(1+Inputs!$C$37)/($B22-Inputs!$C$37)/(1+$B22)^$L$27-Inputs!$C$27+Inputs!$C$28)/Inputs!$C$7</f>
        <v>319.781567681194</v>
      </c>
      <c r="G22" s="42" t="n">
        <f aca="false">(SUMPRODUCT($C32:$L32,1/(1+$B22)^$C$27:$L$27)*Inputs!$C$23+$L32*Inputs!$C$23*(1+Inputs!$C$37)/($B22-Inputs!$C$37)/(1+$B22)^$L$27-Inputs!$C$27+Inputs!$C$28)/Inputs!$C$7</f>
        <v>360.765060657238</v>
      </c>
    </row>
    <row r="23" customFormat="false" ht="15" hidden="false" customHeight="false" outlineLevel="0" collapsed="false">
      <c r="B23" s="47" t="n">
        <f aca="false">WACC!$C$34+(4-2)*$C$5</f>
        <v>0.105316051923387</v>
      </c>
      <c r="C23" s="42" t="n">
        <f aca="false">(SUMPRODUCT($C28:$L28,1/(1+$B23)^$C$27:$L$27)*Inputs!$C$23+$L28*Inputs!$C$23*(1+Inputs!$C$37)/($B23-Inputs!$C$37)/(1+$B23)^$L$27-Inputs!$C$27+Inputs!$C$28)/Inputs!$C$7</f>
        <v>203.051573881012</v>
      </c>
      <c r="D23" s="42" t="n">
        <f aca="false">(SUMPRODUCT($C29:$L29,1/(1+$B23)^$C$27:$L$27)*Inputs!$C$23+$L29*Inputs!$C$23*(1+Inputs!$C$37)/($B23-Inputs!$C$37)/(1+$B23)^$L$27-Inputs!$C$27+Inputs!$C$28)/Inputs!$C$7</f>
        <v>230.686926372975</v>
      </c>
      <c r="E23" s="42" t="n">
        <f aca="false">(SUMPRODUCT($C30:$L30,1/(1+$B23)^$C$27:$L$27)*Inputs!$C$23+$L30*Inputs!$C$23*(1+Inputs!$C$37)/($B23-Inputs!$C$37)/(1+$B23)^$L$27-Inputs!$C$27+Inputs!$C$28)/Inputs!$C$7</f>
        <v>261.38384769746</v>
      </c>
      <c r="F23" s="42" t="n">
        <f aca="false">(SUMPRODUCT($C31:$L31,1/(1+$B23)^$C$27:$L$27)*Inputs!$C$23+$L31*Inputs!$C$23*(1+Inputs!$C$37)/($B23-Inputs!$C$37)/(1+$B23)^$L$27-Inputs!$C$27+Inputs!$C$28)/Inputs!$C$7</f>
        <v>295.44275231873</v>
      </c>
      <c r="G23" s="42" t="n">
        <f aca="false">(SUMPRODUCT($C32:$L32,1/(1+$B23)^$C$27:$L$27)*Inputs!$C$23+$L32*Inputs!$C$23*(1+Inputs!$C$37)/($B23-Inputs!$C$37)/(1+$B23)^$L$27-Inputs!$C$27+Inputs!$C$28)/Inputs!$C$7</f>
        <v>333.188829905052</v>
      </c>
    </row>
    <row r="26" customFormat="false" ht="15" hidden="false" customHeight="false" outlineLevel="0" collapsed="false">
      <c r="B26" s="19" t="s">
        <v>234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0.0279801941070892</v>
      </c>
      <c r="C28" s="15" t="n">
        <f aca="false">Inputs!$C$12*(1+IF(C$27&lt;=Inputs!$C$46,$B28,$B28-($B28-Inputs!$C$37)*MIN(C$27-Inputs!$C$46,Inputs!$C$47)/Inputs!$C$47))</f>
        <v>8388.31838391385</v>
      </c>
      <c r="D28" s="15" t="n">
        <f aca="false">C28*(1+IF(D$27&lt;=Inputs!$C$46,$B28,$B28-($B28-Inputs!$C$37)*MIN(D$27-Inputs!$C$46,Inputs!$C$47)/Inputs!$C$47))</f>
        <v>8623.02516052782</v>
      </c>
      <c r="E28" s="15" t="n">
        <f aca="false">D28*(1+IF(E$27&lt;=Inputs!$C$46,$B28,$B28-($B28-Inputs!$C$37)*MIN(E$27-Inputs!$C$46,Inputs!$C$47)/Inputs!$C$47))</f>
        <v>8864.2990783097</v>
      </c>
      <c r="F28" s="15" t="n">
        <f aca="false">E28*(1+IF(F$27&lt;=Inputs!$C$46,$B28,$B28-($B28-Inputs!$C$37)*MIN(F$27-Inputs!$C$46,Inputs!$C$47)/Inputs!$C$47))</f>
        <v>9112.3238871441</v>
      </c>
      <c r="G28" s="15" t="n">
        <f aca="false">F28*(1+IF(G$27&lt;=Inputs!$C$46,$B28,$B28-($B28-Inputs!$C$37)*MIN(G$27-Inputs!$C$46,Inputs!$C$47)/Inputs!$C$47))</f>
        <v>9367.28847827306</v>
      </c>
      <c r="H28" s="15" t="n">
        <f aca="false">G28*(1+IF(H$27&lt;=Inputs!$C$46,$B28,$B28-($B28-Inputs!$C$37)*MIN(H$27-Inputs!$C$46,Inputs!$C$47)/Inputs!$C$47))</f>
        <v>9629.98617096343</v>
      </c>
      <c r="I28" s="15" t="n">
        <f aca="false">H28*(1+IF(I$27&lt;=Inputs!$C$46,$B28,$B28-($B28-Inputs!$C$37)*MIN(I$27-Inputs!$C$46,Inputs!$C$47)/Inputs!$C$47))</f>
        <v>9900.66694380602</v>
      </c>
      <c r="J28" s="15" t="n">
        <f aca="false">I28*(1+IF(J$27&lt;=Inputs!$C$46,$B28,$B28-($B28-Inputs!$C$37)*MIN(J$27-Inputs!$C$46,Inputs!$C$47)/Inputs!$C$47))</f>
        <v>10179.5893016628</v>
      </c>
      <c r="K28" s="15" t="n">
        <f aca="false">J28*(1+IF(K$27&lt;=Inputs!$C$46,$B28,$B28-($B28-Inputs!$C$37)*MIN(K$27-Inputs!$C$46,Inputs!$C$47)/Inputs!$C$47))</f>
        <v>10467.0205803706</v>
      </c>
      <c r="L28" s="15" t="n">
        <f aca="false">K28*(1+IF(L$27&lt;=Inputs!$C$46,$B28,$B28-($B28-Inputs!$C$37)*MIN(L$27-Inputs!$C$46,Inputs!$C$47)/Inputs!$C$47))</f>
        <v>10763.2372627951</v>
      </c>
    </row>
    <row r="29" customFormat="false" ht="15" hidden="false" customHeight="false" outlineLevel="0" collapsed="false">
      <c r="B29" s="23" t="n">
        <f aca="false">D$18</f>
        <v>0.0479801941070892</v>
      </c>
      <c r="C29" s="15" t="n">
        <f aca="false">Inputs!$C$12*(1+IF(C$27&lt;=Inputs!$C$46,$B29,$B29-($B29-Inputs!$C$37)*MIN(C$27-Inputs!$C$46,Inputs!$C$47)/Inputs!$C$47))</f>
        <v>8551.51838391385</v>
      </c>
      <c r="D29" s="15" t="n">
        <f aca="false">C29*(1+IF(D$27&lt;=Inputs!$C$46,$B29,$B29-($B29-Inputs!$C$37)*MIN(D$27-Inputs!$C$46,Inputs!$C$47)/Inputs!$C$47))</f>
        <v>8961.82189588438</v>
      </c>
      <c r="E29" s="15" t="n">
        <f aca="false">D29*(1+IF(E$27&lt;=Inputs!$C$46,$B29,$B29-($B29-Inputs!$C$37)*MIN(E$27-Inputs!$C$46,Inputs!$C$47)/Inputs!$C$47))</f>
        <v>9391.81185000207</v>
      </c>
      <c r="F29" s="15" t="n">
        <f aca="false">E29*(1+IF(F$27&lt;=Inputs!$C$46,$B29,$B29-($B29-Inputs!$C$37)*MIN(F$27-Inputs!$C$46,Inputs!$C$47)/Inputs!$C$47))</f>
        <v>9842.43280558243</v>
      </c>
      <c r="G29" s="15" t="n">
        <f aca="false">F29*(1+IF(G$27&lt;=Inputs!$C$46,$B29,$B29-($B29-Inputs!$C$37)*MIN(G$27-Inputs!$C$46,Inputs!$C$47)/Inputs!$C$47))</f>
        <v>10314.6746420803</v>
      </c>
      <c r="H29" s="15" t="n">
        <f aca="false">G29*(1+IF(H$27&lt;=Inputs!$C$46,$B29,$B29-($B29-Inputs!$C$37)*MIN(H$27-Inputs!$C$46,Inputs!$C$47)/Inputs!$C$47))</f>
        <v>10768.9757737372</v>
      </c>
      <c r="I29" s="15" t="n">
        <f aca="false">H29*(1+IF(I$27&lt;=Inputs!$C$46,$B29,$B29-($B29-Inputs!$C$37)*MIN(I$27-Inputs!$C$46,Inputs!$C$47)/Inputs!$C$47))</f>
        <v>11200.899108271</v>
      </c>
      <c r="J29" s="15" t="n">
        <f aca="false">I29*(1+IF(J$27&lt;=Inputs!$C$46,$B29,$B29-($B29-Inputs!$C$37)*MIN(J$27-Inputs!$C$46,Inputs!$C$47)/Inputs!$C$47))</f>
        <v>11606.0589004849</v>
      </c>
      <c r="K29" s="15" t="n">
        <f aca="false">J29*(1+IF(K$27&lt;=Inputs!$C$46,$B29,$B29-($B29-Inputs!$C$37)*MIN(K$27-Inputs!$C$46,Inputs!$C$47)/Inputs!$C$47))</f>
        <v>11980.1922657646</v>
      </c>
      <c r="L29" s="15" t="n">
        <f aca="false">K29*(1+IF(L$27&lt;=Inputs!$C$46,$B29,$B29-($B29-Inputs!$C$37)*MIN(L$27-Inputs!$C$46,Inputs!$C$47)/Inputs!$C$47))</f>
        <v>12319.2317068858</v>
      </c>
    </row>
    <row r="30" customFormat="false" ht="15" hidden="false" customHeight="false" outlineLevel="0" collapsed="false">
      <c r="B30" s="23" t="n">
        <f aca="false">E$18</f>
        <v>0.0679801941070892</v>
      </c>
      <c r="C30" s="15" t="n">
        <f aca="false">Inputs!$C$12*(1+IF(C$27&lt;=Inputs!$C$46,$B30,$B30-($B30-Inputs!$C$37)*MIN(C$27-Inputs!$C$46,Inputs!$C$47)/Inputs!$C$47))</f>
        <v>8714.71838391385</v>
      </c>
      <c r="D30" s="15" t="n">
        <f aca="false">C30*(1+IF(D$27&lt;=Inputs!$C$46,$B30,$B30-($B30-Inputs!$C$37)*MIN(D$27-Inputs!$C$46,Inputs!$C$47)/Inputs!$C$47))</f>
        <v>9307.14663124093</v>
      </c>
      <c r="E30" s="15" t="n">
        <f aca="false">D30*(1+IF(E$27&lt;=Inputs!$C$46,$B30,$B30-($B30-Inputs!$C$37)*MIN(E$27-Inputs!$C$46,Inputs!$C$47)/Inputs!$C$47))</f>
        <v>9939.84826581583</v>
      </c>
      <c r="F30" s="15" t="n">
        <f aca="false">E30*(1+IF(F$27&lt;=Inputs!$C$46,$B30,$B30-($B30-Inputs!$C$37)*MIN(F$27-Inputs!$C$46,Inputs!$C$47)/Inputs!$C$47))</f>
        <v>10615.561080321</v>
      </c>
      <c r="G30" s="15" t="n">
        <f aca="false">F30*(1+IF(G$27&lt;=Inputs!$C$46,$B30,$B30-($B30-Inputs!$C$37)*MIN(G$27-Inputs!$C$46,Inputs!$C$47)/Inputs!$C$47))</f>
        <v>11337.2089831169</v>
      </c>
      <c r="H30" s="15" t="n">
        <f aca="false">G30*(1+IF(H$27&lt;=Inputs!$C$46,$B30,$B30-($B30-Inputs!$C$37)*MIN(H$27-Inputs!$C$46,Inputs!$C$47)/Inputs!$C$47))</f>
        <v>12017.9421198053</v>
      </c>
      <c r="I30" s="15" t="n">
        <f aca="false">H30*(1+IF(I$27&lt;=Inputs!$C$46,$B30,$B30-($B30-Inputs!$C$37)*MIN(I$27-Inputs!$C$46,Inputs!$C$47)/Inputs!$C$47))</f>
        <v>12644.1744474447</v>
      </c>
      <c r="J30" s="15" t="n">
        <f aca="false">I30*(1+IF(J$27&lt;=Inputs!$C$46,$B30,$B30-($B30-Inputs!$C$37)*MIN(J$27-Inputs!$C$46,Inputs!$C$47)/Inputs!$C$47))</f>
        <v>13202.6939028668</v>
      </c>
      <c r="K30" s="15" t="n">
        <f aca="false">J30*(1+IF(K$27&lt;=Inputs!$C$46,$B30,$B30-($B30-Inputs!$C$37)*MIN(K$27-Inputs!$C$46,Inputs!$C$47)/Inputs!$C$47))</f>
        <v>13681.1072316784</v>
      </c>
      <c r="L30" s="15" t="n">
        <f aca="false">K30*(1+IF(L$27&lt;=Inputs!$C$46,$B30,$B30-($B30-Inputs!$C$37)*MIN(L$27-Inputs!$C$46,Inputs!$C$47)/Inputs!$C$47))</f>
        <v>14068.2825663349</v>
      </c>
    </row>
    <row r="31" customFormat="false" ht="15" hidden="false" customHeight="false" outlineLevel="0" collapsed="false">
      <c r="B31" s="23" t="n">
        <f aca="false">F$18</f>
        <v>0.0879801941070892</v>
      </c>
      <c r="C31" s="15" t="n">
        <f aca="false">Inputs!$C$12*(1+IF(C$27&lt;=Inputs!$C$46,$B31,$B31-($B31-Inputs!$C$37)*MIN(C$27-Inputs!$C$46,Inputs!$C$47)/Inputs!$C$47))</f>
        <v>8877.91838391385</v>
      </c>
      <c r="D31" s="15" t="n">
        <f aca="false">C31*(1+IF(D$27&lt;=Inputs!$C$46,$B31,$B31-($B31-Inputs!$C$37)*MIN(D$27-Inputs!$C$46,Inputs!$C$47)/Inputs!$C$47))</f>
        <v>9658.99936659748</v>
      </c>
      <c r="E31" s="15" t="n">
        <f aca="false">D31*(1+IF(E$27&lt;=Inputs!$C$46,$B31,$B31-($B31-Inputs!$C$37)*MIN(E$27-Inputs!$C$46,Inputs!$C$47)/Inputs!$C$47))</f>
        <v>10508.800005751</v>
      </c>
      <c r="F31" s="15" t="n">
        <f aca="false">E31*(1+IF(F$27&lt;=Inputs!$C$46,$B31,$B31-($B31-Inputs!$C$37)*MIN(F$27-Inputs!$C$46,Inputs!$C$47)/Inputs!$C$47))</f>
        <v>11433.3662700895</v>
      </c>
      <c r="G31" s="15" t="n">
        <f aca="false">F31*(1+IF(G$27&lt;=Inputs!$C$46,$B31,$B31-($B31-Inputs!$C$37)*MIN(G$27-Inputs!$C$46,Inputs!$C$47)/Inputs!$C$47))</f>
        <v>12439.2760538295</v>
      </c>
      <c r="H31" s="15" t="n">
        <f aca="false">G31*(1+IF(H$27&lt;=Inputs!$C$46,$B31,$B31-($B31-Inputs!$C$37)*MIN(H$27-Inputs!$C$46,Inputs!$C$47)/Inputs!$C$47))</f>
        <v>13385.2102937082</v>
      </c>
      <c r="I31" s="15" t="n">
        <f aca="false">H31*(1+IF(I$27&lt;=Inputs!$C$46,$B31,$B31-($B31-Inputs!$C$37)*MIN(I$27-Inputs!$C$46,Inputs!$C$47)/Inputs!$C$47))</f>
        <v>14243.3109141158</v>
      </c>
      <c r="J31" s="15" t="n">
        <f aca="false">I31*(1+IF(J$27&lt;=Inputs!$C$46,$B31,$B31-($B31-Inputs!$C$37)*MIN(J$27-Inputs!$C$46,Inputs!$C$47)/Inputs!$C$47))</f>
        <v>14986.4140370181</v>
      </c>
      <c r="K31" s="15" t="n">
        <f aca="false">J31*(1+IF(K$27&lt;=Inputs!$C$46,$B31,$B31-($B31-Inputs!$C$37)*MIN(K$27-Inputs!$C$46,Inputs!$C$47)/Inputs!$C$47))</f>
        <v>15589.4079740054</v>
      </c>
      <c r="L31" s="15" t="n">
        <f aca="false">K31*(1+IF(L$27&lt;=Inputs!$C$46,$B31,$B31-($B31-Inputs!$C$37)*MIN(L$27-Inputs!$C$46,Inputs!$C$47)/Inputs!$C$47))</f>
        <v>16030.5882196697</v>
      </c>
    </row>
    <row r="32" customFormat="false" ht="15" hidden="false" customHeight="false" outlineLevel="0" collapsed="false">
      <c r="B32" s="23" t="n">
        <f aca="false">G$18</f>
        <v>0.107980194107089</v>
      </c>
      <c r="C32" s="15" t="n">
        <f aca="false">Inputs!$C$12*(1+IF(C$27&lt;=Inputs!$C$46,$B32,$B32-($B32-Inputs!$C$37)*MIN(C$27-Inputs!$C$46,Inputs!$C$47)/Inputs!$C$47))</f>
        <v>9041.11838391385</v>
      </c>
      <c r="D32" s="15" t="n">
        <f aca="false">C32*(1+IF(D$27&lt;=Inputs!$C$46,$B32,$B32-($B32-Inputs!$C$37)*MIN(D$27-Inputs!$C$46,Inputs!$C$47)/Inputs!$C$47))</f>
        <v>10017.380101954</v>
      </c>
      <c r="E32" s="15" t="n">
        <f aca="false">D32*(1+IF(E$27&lt;=Inputs!$C$46,$B32,$B32-($B32-Inputs!$C$37)*MIN(E$27-Inputs!$C$46,Inputs!$C$47)/Inputs!$C$47))</f>
        <v>11099.0587498075</v>
      </c>
      <c r="F32" s="15" t="n">
        <f aca="false">E32*(1+IF(F$27&lt;=Inputs!$C$46,$B32,$B32-($B32-Inputs!$C$37)*MIN(F$27-Inputs!$C$46,Inputs!$C$47)/Inputs!$C$47))</f>
        <v>12297.5372680177</v>
      </c>
      <c r="G32" s="15" t="n">
        <f aca="false">F32*(1+IF(G$27&lt;=Inputs!$C$46,$B32,$B32-($B32-Inputs!$C$37)*MIN(G$27-Inputs!$C$46,Inputs!$C$47)/Inputs!$C$47))</f>
        <v>13625.4277292575</v>
      </c>
      <c r="H32" s="15" t="n">
        <f aca="false">G32*(1+IF(H$27&lt;=Inputs!$C$46,$B32,$B32-($B32-Inputs!$C$37)*MIN(H$27-Inputs!$C$46,Inputs!$C$47)/Inputs!$C$47))</f>
        <v>14879.5687150029</v>
      </c>
      <c r="I32" s="15" t="n">
        <f aca="false">H32*(1+IF(I$27&lt;=Inputs!$C$46,$B32,$B32-($B32-Inputs!$C$37)*MIN(I$27-Inputs!$C$46,Inputs!$C$47)/Inputs!$C$47))</f>
        <v>16012.0246637022</v>
      </c>
      <c r="J32" s="15" t="n">
        <f aca="false">I32*(1+IF(J$27&lt;=Inputs!$C$46,$B32,$B32-($B32-Inputs!$C$37)*MIN(J$27-Inputs!$C$46,Inputs!$C$47)/Inputs!$C$47))</f>
        <v>16975.5014549855</v>
      </c>
      <c r="K32" s="15" t="n">
        <f aca="false">J32*(1+IF(K$27&lt;=Inputs!$C$46,$B32,$B32-($B32-Inputs!$C$37)*MIN(K$27-Inputs!$C$46,Inputs!$C$47)/Inputs!$C$47))</f>
        <v>17726.4303963613</v>
      </c>
      <c r="L32" s="15" t="n">
        <f aca="false">K32*(1+IF(L$27&lt;=Inputs!$C$46,$B32,$B32-($B32-Inputs!$C$37)*MIN(L$27-Inputs!$C$46,Inputs!$C$47)/Inputs!$C$47))</f>
        <v>18228.0883765783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235</v>
      </c>
    </row>
    <row r="3" customFormat="false" ht="15" hidden="false" customHeight="false" outlineLevel="0" collapsed="false">
      <c r="B3" s="2" t="s">
        <v>236</v>
      </c>
    </row>
    <row r="5" customFormat="false" ht="15" hidden="false" customHeight="false" outlineLevel="0" collapsed="false">
      <c r="B5" s="28" t="s">
        <v>237</v>
      </c>
      <c r="C5" s="28" t="s">
        <v>238</v>
      </c>
      <c r="D5" s="28" t="s">
        <v>239</v>
      </c>
      <c r="E5" s="28" t="s">
        <v>240</v>
      </c>
      <c r="F5" s="28" t="s">
        <v>241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0.379595588235294</v>
      </c>
      <c r="D6" s="24" t="n">
        <v>0.37959559</v>
      </c>
      <c r="E6" s="49" t="n">
        <f aca="false">C6-D6</f>
        <v>-1.76470588142408E-009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131</v>
      </c>
      <c r="C7" s="50" t="n">
        <f aca="false">WACC!$C$11</f>
        <v>1.05189909086848</v>
      </c>
      <c r="D7" s="51" t="n">
        <v>1.05189909</v>
      </c>
      <c r="E7" s="49" t="n">
        <f aca="false">C7-D7</f>
        <v>8.68484839600114E-010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WACC!$C$34</f>
        <v>0.0953160519233867</v>
      </c>
      <c r="D8" s="24" t="n">
        <v>0.09531605</v>
      </c>
      <c r="E8" s="49" t="n">
        <f aca="false">C8-D8</f>
        <v>1.9233866999091E-009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242</v>
      </c>
      <c r="C10" s="12" t="n">
        <f aca="false">Inputs!$C$43</f>
        <v>0.0679801941070893</v>
      </c>
      <c r="D10" s="24" t="n">
        <v>0.06798019</v>
      </c>
      <c r="E10" s="49" t="n">
        <f aca="false">C10-D10</f>
        <v>4.10708927978121E-009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243</v>
      </c>
      <c r="C11" s="12" t="n">
        <f aca="false">Solver!$W$7</f>
        <v>0.136265557175193</v>
      </c>
      <c r="D11" s="24" t="n">
        <v>0.13626555</v>
      </c>
      <c r="E11" s="49" t="n">
        <f aca="false">C11-D11</f>
        <v>7.17519293980118E-009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244</v>
      </c>
      <c r="C12" s="12" t="n">
        <f aca="false">Sensitivity!$E$14</f>
        <v>0.164946883916855</v>
      </c>
      <c r="D12" s="24" t="n">
        <v>0.16494688</v>
      </c>
      <c r="E12" s="49" t="n">
        <f aca="false">C12-D12</f>
        <v>3.91685486822446E-009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245</v>
      </c>
      <c r="C13" s="6" t="n">
        <f aca="false">DCF!$C$41</f>
        <v>307.490005314567</v>
      </c>
      <c r="D13" s="20" t="n">
        <v>307.49000531</v>
      </c>
      <c r="E13" s="49" t="n">
        <f aca="false">C13-D13</f>
        <v>4.56680027127732E-009</v>
      </c>
      <c r="F13" s="5" t="str">
        <f aca="false">IF(ABS(E13)&lt;=0.0307490005314567,"Pass","Check")</f>
        <v>Pass</v>
      </c>
    </row>
    <row r="14" customFormat="false" ht="15" hidden="false" customHeight="false" outlineLevel="0" collapsed="false">
      <c r="B14" s="5" t="s">
        <v>246</v>
      </c>
      <c r="C14" s="6" t="n">
        <f aca="false">DCF!$C$21-DCF!$C$22</f>
        <v>-7.65112417866476E-010</v>
      </c>
      <c r="D14" s="20" t="n">
        <v>0</v>
      </c>
      <c r="E14" s="49" t="n">
        <f aca="false">C14-D14</f>
        <v>-7.65112417866476E-010</v>
      </c>
      <c r="F14" s="5" t="str">
        <f aca="false">IF(ABS(E14)&lt;=0.01,"Pass","Check")</f>
        <v>Pass</v>
      </c>
      <c r="G14" s="19" t="s">
        <v>247</v>
      </c>
    </row>
    <row r="16" customFormat="false" ht="15" hidden="false" customHeight="false" outlineLevel="0" collapsed="false">
      <c r="B16" s="38" t="s">
        <v>248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2026-10-14T16:48:47Z</dcterms:created>
  <dc:creator>openpyxl</dc:creator>
  <dc:description/>
  <dc:language>en-US</dc:language>
  <cp:lastModifiedBy/>
  <dcterms:modified xsi:type="dcterms:W3CDTF">2026-10-14T16:48:48Z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