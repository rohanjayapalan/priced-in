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puts" sheetId="2" state="visible" r:id="rId4"/>
    <sheet name="History" sheetId="3" state="visible" r:id="rId5"/>
    <sheet name="WACC" sheetId="4" state="visible" r:id="rId6"/>
    <sheet name="Solver" sheetId="5" state="visible" r:id="rId7"/>
    <sheet name="DCF" sheetId="6" state="visible" r:id="rId8"/>
    <sheet name="Sensitivity" sheetId="7" state="visible" r:id="rId9"/>
    <sheet name="Check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<sst xmlns="http://schemas.openxmlformats.org/spreadsheetml/2006/main" count="848" uniqueCount="255">
  <si>
    <t xml:space="preserve">Priced In: MarketAxess (MKTX)</t>
  </si>
  <si>
    <t xml:space="preserve">Reverse DCF, model v1.0. Inputs as of the Oct 13, 2026 close; model locked Oct 14, 2026 (commit 0735af0).</t>
  </si>
  <si>
    <t xml:space="preserve">Exchanges | US | reports in USD</t>
  </si>
  <si>
    <t xml:space="preserve">The question</t>
  </si>
  <si>
    <t xml:space="preserve">What revenue growth over the next five years does today's price imply, and is that more or less than the company has delivered and analysts expect?</t>
  </si>
  <si>
    <t xml:space="preserve">Answer</t>
  </si>
  <si>
    <t xml:space="preserve">Price at the lock ($)</t>
  </si>
  <si>
    <t xml:space="preserve">Implied 5-year revenue growth</t>
  </si>
  <si>
    <t xml:space="preserve">Anchor (history and analysts)</t>
  </si>
  <si>
    <t xml:space="preserve">Gap (implied - anchor)</t>
  </si>
  <si>
    <t xml:space="preserve">Verdict</t>
  </si>
  <si>
    <t xml:space="preserve">Deal price</t>
  </si>
  <si>
    <t xml:space="preserve">WACC</t>
  </si>
  <si>
    <t xml:space="preserve">Terminal growth</t>
  </si>
  <si>
    <t xml:space="preserve">Unlevered free-cash-flow margin</t>
  </si>
  <si>
    <t xml:space="preserve">Your view of growth (Inputs, yellow)</t>
  </si>
  <si>
    <t xml:space="preserve">Value per share at your view ($)</t>
  </si>
  <si>
    <t xml:space="preserve">Upside or downside at your view</t>
  </si>
  <si>
    <t xml:space="preserve">Fit flag: Deal price</t>
  </si>
  <si>
    <t xml:space="preserve">ICE agreed on July 30, 2026 to buy MarketAxess for $167 a share in cash; the stock trades on the deal, not on growth.</t>
  </si>
  <si>
    <t xml:space="preserve">How to use this file</t>
  </si>
  <si>
    <t xml:space="preserve">1. Change any blue cell on Inputs, History or WACC; everything recalculates, including the solver.</t>
  </si>
  <si>
    <t xml:space="preserve">2. The Solver tab finds implied growth by bisection with formulas, so you never need Goal Seek. 40 steps narrow a 150-point range to well under 0.0001%.</t>
  </si>
  <si>
    <t xml:space="preserve">3. Type your own growth view in the yellow cell on Inputs; DCF panel B and this page show what the stock is worth if you're right.</t>
  </si>
  <si>
    <t xml:space="preserve">4. Check confirms this workbook matches the Python pipeline that runs the site.</t>
  </si>
  <si>
    <t xml:space="preserve">Colour key</t>
  </si>
  <si>
    <t xml:space="preserve">Typed input with a source</t>
  </si>
  <si>
    <t xml:space="preserve">Formula</t>
  </si>
  <si>
    <t xml:space="preserve">Link to another tab</t>
  </si>
  <si>
    <t xml:space="preserve">Your view (edit this one)</t>
  </si>
  <si>
    <t xml:space="preserve">Live site</t>
  </si>
  <si>
    <t xml:space="preserve">https://claude.ai/artifact/DS3n4CgaKxaSLzkXDsBKuK</t>
  </si>
  <si>
    <t xml:space="preserve">Built by Rohan Jayapalan. Not investment advice.</t>
  </si>
  <si>
    <t xml:space="preserve">MarketAxess (MKTX): inputs</t>
  </si>
  <si>
    <t xml:space="preserve">Blue cells are typed inputs with a source. Black cells are formulas. Change a blue cell and every tab recalculates.</t>
  </si>
  <si>
    <t xml:space="preserve">Market and price</t>
  </si>
  <si>
    <t xml:space="preserve">Price per share at the lock ($)</t>
  </si>
  <si>
    <t xml:space="preserve">Market cap divided by shares from Stock Analysis at the Oct 13, 2026 close.</t>
  </si>
  <si>
    <t xml:space="preserve">Diluted shares outstanding (mm)</t>
  </si>
  <si>
    <t xml:space="preserve">Stock Analysis statistics page, Oct 13, 2026.</t>
  </si>
  <si>
    <t xml:space="preserve">Market value of equity ($mm)</t>
  </si>
  <si>
    <t xml:space="preserve">Price x shares.</t>
  </si>
  <si>
    <t xml:space="preserve">Trailing 12 months</t>
  </si>
  <si>
    <t xml:space="preserve">Revenue, reported ($mm)</t>
  </si>
  <si>
    <t xml:space="preserve">Stock Analysis income statement, trailing 12 months.</t>
  </si>
  <si>
    <t xml:space="preserve">Revenue used in the model ($mm)</t>
  </si>
  <si>
    <t xml:space="preserve">Same as reported.</t>
  </si>
  <si>
    <t xml:space="preserve">Free cash flow, reported (cash from operations - capex) ($mm)</t>
  </si>
  <si>
    <t xml:space="preserve">Stock Analysis cash flow statement, trailing 12 months.</t>
  </si>
  <si>
    <t xml:space="preserve">Free cash flow before adjustments ($mm)</t>
  </si>
  <si>
    <t xml:space="preserve">Less: adjustments ($mm)</t>
  </si>
  <si>
    <t xml:space="preserve">None for this company.</t>
  </si>
  <si>
    <t xml:space="preserve">Free cash flow used ($mm)</t>
  </si>
  <si>
    <t xml:space="preserve">Operating income ($mm)</t>
  </si>
  <si>
    <t xml:space="preserve">Stock Analysis, trailing 12 months.</t>
  </si>
  <si>
    <t xml:space="preserve">Pretax income ($mm)</t>
  </si>
  <si>
    <t xml:space="preserve">Interest proxy: operating income - pretax, floored at zero ($mm)</t>
  </si>
  <si>
    <t xml:space="preserve">Net interest and other non-operating costs. Adding it back (after tax) turns levered FCF into unlevered FCF.</t>
  </si>
  <si>
    <t xml:space="preserve">Tax rate</t>
  </si>
  <si>
    <t xml:space="preserve">Statutory blend: 25% US (21% federal plus state), 26.5% Canada (federal plus Ontario).</t>
  </si>
  <si>
    <t xml:space="preserve">After-tax interest added back ($mm)</t>
  </si>
  <si>
    <t xml:space="preserve">Unlevered free cash flow ($mm)</t>
  </si>
  <si>
    <t xml:space="preserve">Held flat for all 10 years in the model.</t>
  </si>
  <si>
    <t xml:space="preserve">EBITDA ($mm)</t>
  </si>
  <si>
    <t xml:space="preserve">Balance sheet</t>
  </si>
  <si>
    <t xml:space="preserve">Total debt ($mm)</t>
  </si>
  <si>
    <t xml:space="preserve">Stock Analysis balance sheet, latest quarter.</t>
  </si>
  <si>
    <t xml:space="preserve">Cash and equivalents ($mm)</t>
  </si>
  <si>
    <t xml:space="preserve">Net debt ($mm)</t>
  </si>
  <si>
    <t xml:space="preserve">Rates</t>
  </si>
  <si>
    <t xml:space="preserve">10-year US Treasury yield</t>
  </si>
  <si>
    <t xml:space="preserve">US Treasury daily par yield curve, Oct 13, 2026.</t>
  </si>
  <si>
    <t xml:space="preserve">10-year TIPS real yield</t>
  </si>
  <si>
    <t xml:space="preserve">US Treasury daily real yield curve, Oct 13, 2026.</t>
  </si>
  <si>
    <t xml:space="preserve">Breakeven inflation</t>
  </si>
  <si>
    <t xml:space="preserve">Nominal minus real: the market's inflation expectation.</t>
  </si>
  <si>
    <t xml:space="preserve">Risk-free rate used</t>
  </si>
  <si>
    <t xml:space="preserve">Real growth added to inflation</t>
  </si>
  <si>
    <t xml:space="preserve">Half a point of long-run real growth.</t>
  </si>
  <si>
    <t xml:space="preserve">Capped at the risk-free rate.</t>
  </si>
  <si>
    <t xml:space="preserve">Equity risk premium</t>
  </si>
  <si>
    <t xml:space="preserve">Damodaran implied equity risk premium, start of 2026.</t>
  </si>
  <si>
    <t xml:space="preserve">Growth anchor and verdict</t>
  </si>
  <si>
    <t xml:space="preserve">Past revenue growth (CAGR)</t>
  </si>
  <si>
    <t xml:space="preserve">FY2021 to the 12 months ended June 2026</t>
  </si>
  <si>
    <t xml:space="preserve">Analysts' revenue growth forecast</t>
  </si>
  <si>
    <t xml:space="preserve">Analysts' 3-year revenue CAGR forecast (stockanalysis)</t>
  </si>
  <si>
    <t xml:space="preserve">Anchor (average of the two)</t>
  </si>
  <si>
    <t xml:space="preserve">AVERAGE skips the n/a text when history isn't used.</t>
  </si>
  <si>
    <t xml:space="preserve">Verdict band (+/-)</t>
  </si>
  <si>
    <t xml:space="preserve">Set before any backtest and never changed.</t>
  </si>
  <si>
    <t xml:space="preserve">Your view of 5-year revenue growth</t>
  </si>
  <si>
    <t xml:space="preserve">Type your own view. It starts at the anchor. DCF panel B and the Cover show what the stock is worth at your view.</t>
  </si>
  <si>
    <t xml:space="preserve">Years at the solved growth rate</t>
  </si>
  <si>
    <t xml:space="preserve">Model v1.0: 5 years at the growth rate, then a straight-line fade.</t>
  </si>
  <si>
    <t xml:space="preserve">Years of fade to terminal growth</t>
  </si>
  <si>
    <t xml:space="preserve">Years 1 to 10 are on the Solver and DCF tabs; years past 10 grow at the terminal rate.</t>
  </si>
  <si>
    <t xml:space="preserve">MarketAxess (MKTX): revenue history</t>
  </si>
  <si>
    <t xml:space="preserve">Revenue from Stock Analysis income statements; the window is chosen so acquisitions and disposals don't count as growth.</t>
  </si>
  <si>
    <t xml:space="preserve">Fiscal year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</si>
  <si>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</si>
  <si>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</si>
  <si>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</si>
  <si>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</si>
  <si>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</si>
  <si>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TTM Jun-26</t>
  </si>
  <si>
    <t xml:space="preserve">Revenue ($mm)</t>
  </si>
  <si>
    <t xml:space="preserve">Growth on the prior year</t>
  </si>
  <si>
    <t xml:space="preserve">History window</t>
  </si>
  <si>
    <t xml:space="preserve">Start year</t>
  </si>
  <si>
    <t xml:space="preserve">Years from start to TTM</t>
  </si>
  <si>
    <t xml:space="preserve">Revenue CAGR, start to TTM</t>
  </si>
  <si>
    <t xml:space="preserve">Free-cash-flow margin history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</si>
  <si>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</si>
  <si>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</si>
  <si>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</si>
  <si>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</si>
  <si>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</si>
  <si>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(CFO - capex) / revenue</t>
  </si>
  <si>
    <t xml:space="preserve">SEC XBRL filings (NetCashProvidedByOperatingActivities, PaymentsToAcquirePropertyPlantAndEquipment, revenue tags).</t>
  </si>
  <si>
    <t xml:space="preserve">Plus today's interest add-back</t>
  </si>
  <si>
    <t xml:space="preserve">Range (the margin slider's shaded zone)</t>
  </si>
  <si>
    <t xml:space="preserve">MarketAxess (MKTX): cost of capital</t>
  </si>
  <si>
    <t xml:space="preserve">Bottom-up beta: the median unlevered beta of the company's group, relevered for this company's debt.</t>
  </si>
  <si>
    <t xml:space="preserve">Peer</t>
  </si>
  <si>
    <t xml:space="preserve">Raw beta</t>
  </si>
  <si>
    <t xml:space="preserve">Debt ($mm)</t>
  </si>
  <si>
    <t xml:space="preserve">Equity ($mm)</t>
  </si>
  <si>
    <t xml:space="preserve">Unlevered beta</t>
  </si>
  <si>
    <t xml:space="preserve">Intercontinental Exchange (ICE)</t>
  </si>
  <si>
    <t xml:space="preserve">Raw betas: 60 monthly returns to Sep 2026 against the S&amp;P 500 (S&amp;P/TSX for TMX); Cboe uses Stock Analysis's 5-year beta. Debt and equity from Stock Analysis, Oct 13, 2026.</t>
  </si>
  <si>
    <t xml:space="preserve">CME Group (CME)</t>
  </si>
  <si>
    <t xml:space="preserve">Nasdaq (NDAQ)</t>
  </si>
  <si>
    <t xml:space="preserve">Cboe Global Markets (CBOE)</t>
  </si>
  <si>
    <t xml:space="preserve">TMX Group (X)</t>
  </si>
  <si>
    <t xml:space="preserve">Tradeweb (TW)</t>
  </si>
  <si>
    <t xml:space="preserve">MarketAxess (MKTX)</t>
  </si>
  <si>
    <t xml:space="preserve">Group median unlevered beta</t>
  </si>
  <si>
    <t xml:space="preserve">Relevered beta</t>
  </si>
  <si>
    <t xml:space="preserve">Hamada: unlevered beta x (1 + (1 - tax) x debt / equity).</t>
  </si>
  <si>
    <t xml:space="preserve">Risk-free rate</t>
  </si>
  <si>
    <t xml:space="preserve">Cost of equity</t>
  </si>
  <si>
    <t xml:space="preserve">CAPM: risk-free + beta x premium.</t>
  </si>
  <si>
    <t xml:space="preserve">Debt-to-EBITDA spread table</t>
  </si>
  <si>
    <t xml:space="preserve">Debt / EBITDA below</t>
  </si>
  <si>
    <t xml:space="preserve">Spread</t>
  </si>
  <si>
    <t xml:space="preserve">Synthetic spread over the risk-free rate by leverage, a simplified version of Damodaran's ratings table; the last row covers anything at 4x or above.</t>
  </si>
  <si>
    <t xml:space="preserve">Debt / EBITDA</t>
  </si>
  <si>
    <t xml:space="preserve">Credit spread</t>
  </si>
  <si>
    <t xml:space="preserve">First row whose limit is above this company's leverage.</t>
  </si>
  <si>
    <t xml:space="preserve">Pre-tax cost of debt</t>
  </si>
  <si>
    <t xml:space="preserve">After-tax cost of debt</t>
  </si>
  <si>
    <t xml:space="preserve">Weight of debt</t>
  </si>
  <si>
    <t xml:space="preserve">Market-value weights.</t>
  </si>
  <si>
    <t xml:space="preserve">Weight of equity</t>
  </si>
  <si>
    <t xml:space="preserve">Solver: bisection for the growth rate that makes the model equal the price (replaces Goal Seek)</t>
  </si>
  <si>
    <t xml:space="preserve">Revenue</t>
  </si>
  <si>
    <t xml:space="preserve">Margin</t>
  </si>
  <si>
    <t xml:space="preserve">Debt</t>
  </si>
  <si>
    <t xml:space="preserve">Cash</t>
  </si>
  <si>
    <t xml:space="preserve">Shares</t>
  </si>
  <si>
    <t xml:space="preserve">Price</t>
  </si>
  <si>
    <t xml:space="preserve">Years</t>
  </si>
  <si>
    <t xml:space="preserve">Fade</t>
  </si>
  <si>
    <t xml:space="preserve">Year</t>
  </si>
  <si>
    <t xml:space="preserve">Each row tries the midpoint of the current range. If the value per share is above the price, the answer is lower, so the top of the range moves down; otherwise the bottom moves up.</t>
  </si>
  <si>
    <t xml:space="preserve">Base case: model WACC and terminal growth (40 steps)</t>
  </si>
  <si>
    <t xml:space="preserve">Implied growth</t>
  </si>
  <si>
    <t xml:space="preserve">Step</t>
  </si>
  <si>
    <t xml:space="preserve">Low</t>
  </si>
  <si>
    <t xml:space="preserve">High</t>
  </si>
  <si>
    <t xml:space="preserve">Mid</t>
  </si>
  <si>
    <t xml:space="preserve">Rev Y1</t>
  </si>
  <si>
    <t xml:space="preserve">Rev Y2</t>
  </si>
  <si>
    <t xml:space="preserve">Rev Y3</t>
  </si>
  <si>
    <t xml:space="preserve">Rev Y4</t>
  </si>
  <si>
    <t xml:space="preserve">Rev Y5</t>
  </si>
  <si>
    <t xml:space="preserve">Rev Y6</t>
  </si>
  <si>
    <t xml:space="preserve">Rev Y7</t>
  </si>
  <si>
    <t xml:space="preserve">Rev Y8</t>
  </si>
  <si>
    <t xml:space="preserve">Rev Y9</t>
  </si>
  <si>
    <t xml:space="preserve">Rev Y10</t>
  </si>
  <si>
    <t xml:space="preserve">PV of FCF</t>
  </si>
  <si>
    <t xml:space="preserve">PV of TV</t>
  </si>
  <si>
    <t xml:space="preserve">EV</t>
  </si>
  <si>
    <t xml:space="preserve">Equity</t>
  </si>
  <si>
    <t xml:space="preserve">Per share</t>
  </si>
  <si>
    <t xml:space="preserve">Value - price</t>
  </si>
  <si>
    <t xml:space="preserve">Grid block 2: row 1, column 1 of table A (24 steps)</t>
  </si>
  <si>
    <t xml:space="preserve">Grid block 3: row 1, column 2 of table A (24 steps)</t>
  </si>
  <si>
    <t xml:space="preserve">Grid block 4: row 1, column 3 of table A (24 steps)</t>
  </si>
  <si>
    <t xml:space="preserve">Grid block 5: row 1, column 4 of table A (24 steps)</t>
  </si>
  <si>
    <t xml:space="preserve">Grid block 6: row 1, column 5 of table A (24 steps)</t>
  </si>
  <si>
    <t xml:space="preserve">Grid block 7: row 2, column 1 of table A (24 steps)</t>
  </si>
  <si>
    <t xml:space="preserve">Grid block 8: row 2, column 2 of table A (24 steps)</t>
  </si>
  <si>
    <t xml:space="preserve">Grid block 9: row 2, column 3 of table A (24 steps)</t>
  </si>
  <si>
    <t xml:space="preserve">Grid block 10: row 2, column 4 of table A (24 steps)</t>
  </si>
  <si>
    <t xml:space="preserve">Grid block 11: row 2, column 5 of table A (24 steps)</t>
  </si>
  <si>
    <t xml:space="preserve">Grid block 12: row 3, column 1 of table A (24 steps)</t>
  </si>
  <si>
    <t xml:space="preserve">Grid block 13: row 3, column 2 of table A (24 steps)</t>
  </si>
  <si>
    <t xml:space="preserve">Grid block 14: row 3, column 3 of table A (24 steps)</t>
  </si>
  <si>
    <t xml:space="preserve">Grid block 15: row 3, column 4 of table A (24 steps)</t>
  </si>
  <si>
    <t xml:space="preserve">Grid block 16: row 3, column 5 of table A (24 steps)</t>
  </si>
  <si>
    <t xml:space="preserve">Grid block 17: row 4, column 1 of table A (24 steps)</t>
  </si>
  <si>
    <t xml:space="preserve">Grid block 18: row 4, column 2 of table A (24 steps)</t>
  </si>
  <si>
    <t xml:space="preserve">Grid block 19: row 4, column 3 of table A (24 steps)</t>
  </si>
  <si>
    <t xml:space="preserve">Grid block 20: row 4, column 4 of table A (24 steps)</t>
  </si>
  <si>
    <t xml:space="preserve">Grid block 21: row 4, column 5 of table A (24 steps)</t>
  </si>
  <si>
    <t xml:space="preserve">Grid block 22: row 5, column 1 of table A (24 steps)</t>
  </si>
  <si>
    <t xml:space="preserve">Grid block 23: row 5, column 2 of table A (24 steps)</t>
  </si>
  <si>
    <t xml:space="preserve">Grid block 24: row 5, column 3 of table A (24 steps)</t>
  </si>
  <si>
    <t xml:space="preserve">Grid block 25: row 5, column 4 of table A (24 steps)</t>
  </si>
  <si>
    <t xml:space="preserve">Grid block 26: row 5, column 5 of table A (24 steps)</t>
  </si>
  <si>
    <t xml:space="preserve">MarketAxess (MKTX): discounted cash flow</t>
  </si>
  <si>
    <t xml:space="preserve">Panel A runs the model at the solved growth rate, so it should land on the price. Panel B runs it at your view.</t>
  </si>
  <si>
    <t xml:space="preserve">A. At the solved (implied) growth rate</t>
  </si>
  <si>
    <t xml:space="preserve">Revenue growth</t>
  </si>
  <si>
    <t xml:space="preserve">Discount factor</t>
  </si>
  <si>
    <t xml:space="preserve">Present value ($mm)</t>
  </si>
  <si>
    <t xml:space="preserve">Sum of present values, years 1 to 10</t>
  </si>
  <si>
    <t xml:space="preserve">Terminal value at year 10</t>
  </si>
  <si>
    <t xml:space="preserve">Present value of terminal value</t>
  </si>
  <si>
    <t xml:space="preserve">Enterprise value</t>
  </si>
  <si>
    <t xml:space="preserve">Less: debt</t>
  </si>
  <si>
    <t xml:space="preserve">Plus: cash</t>
  </si>
  <si>
    <t xml:space="preserve">Equity value</t>
  </si>
  <si>
    <t xml:space="preserve">Shares (mm)</t>
  </si>
  <si>
    <t xml:space="preserve">Value per share ($)</t>
  </si>
  <si>
    <t xml:space="preserve">Value / price - 1</t>
  </si>
  <si>
    <t xml:space="preserve">Terminal value share of enterprise value</t>
  </si>
  <si>
    <t xml:space="preserve">B. At your view of growth (Inputs tab, yellow cell)</t>
  </si>
  <si>
    <t xml:space="preserve">MarketAxess (MKTX): sensitivity</t>
  </si>
  <si>
    <t xml:space="preserve">Table A re-solves implied growth for each pair of inputs (Solver tab, blocks 2 to 26). Table B values the stock at a growth view.</t>
  </si>
  <si>
    <t xml:space="preserve">WACC step</t>
  </si>
  <si>
    <t xml:space="preserve">Terminal-growth step</t>
  </si>
  <si>
    <t xml:space="preserve">Growth-view step</t>
  </si>
  <si>
    <t xml:space="preserve">A. Implied 5-year growth: WACC (rows) by terminal growth (columns)</t>
  </si>
  <si>
    <t xml:space="preserve">Centre cell = the base case. Each step changes one input by the step size above.</t>
  </si>
  <si>
    <t xml:space="preserve">B. Value per share: WACC (rows) by your growth view (columns)</t>
  </si>
  <si>
    <t xml:space="preserve">Compare with the price at the lock: $164.54.</t>
  </si>
  <si>
    <t xml:space="preserve">Helper: revenue paths for each growth view (years 1 to 10)</t>
  </si>
  <si>
    <t xml:space="preserve">MarketAxess (MKTX): check against the Python pipeline</t>
  </si>
  <si>
    <t xml:space="preserve">Python values are typed in (blue) from the pipeline that runs the site. Each row passes if the two agree within the tolerance.</t>
  </si>
  <si>
    <t xml:space="preserve">Item</t>
  </si>
  <si>
    <t xml:space="preserve">This workbook</t>
  </si>
  <si>
    <t xml:space="preserve">Python pipeline</t>
  </si>
  <si>
    <t xml:space="preserve">Difference</t>
  </si>
  <si>
    <t xml:space="preserve">Result</t>
  </si>
  <si>
    <t xml:space="preserve">Anchor</t>
  </si>
  <si>
    <t xml:space="preserve">Implied growth, base case</t>
  </si>
  <si>
    <t xml:space="preserve">Implied growth, WACC one point higher</t>
  </si>
  <si>
    <t xml:space="preserve">Value per share at the anchor ($)</t>
  </si>
  <si>
    <t xml:space="preserve">Panel A value minus price ($)</t>
  </si>
  <si>
    <t xml:space="preserve">Panel B on the DCF tab uses your view; with the yellow cell at the anchor it matches the pipeline.</t>
  </si>
  <si>
    <t xml:space="preserve">Overall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</si>
</sst>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\$#,##0.00;&quot;($&quot;#,##0.00\);\-"/>
    <numFmt numFmtId="166" formatCode="0.0%;\(0.0%\);\-"/>
    <numFmt numFmtId="167" formatCode="0.00%;\(0.00%\);\-"/>
    <numFmt numFmtId="168" formatCode="#,##0;\(#,##0\);\-"/>
    <numFmt numFmtId="169" formatCode="#,##0.0;\(#,##0.0\);\-"/>
    <numFmt numFmtId="170" formatCode="0"/>
    <numFmt numFmtId="171" formatCode="0.00"/>
    <numFmt numFmtId="172" formatCode="0.00;\(0.00\);\-"/>
    <numFmt numFmtId="173" formatCode="0.0\x"/>
    <numFmt numFmtId="174" formatCode="0.0000%"/>
    <numFmt numFmtId="175" formatCode="#,##0.0000;\(#,##0.0000\);\-"/>
    <numFmt numFmtId="176" formatCode="0.0000"/>
    <numFmt numFmtId="177" formatCode="0.000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u val="single"/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EF3F8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1F3A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3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laude.ai/artifact/DS3n4CgaKxaSLzkXDsBKuK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B2:E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3" min="3" style="0" width="18"/>
    <col collapsed="false" customWidth="true" hidden="false" outlineLevel="0" max="4" min="4" style="0" width="4"/>
    <col collapsed="false" customWidth="true" hidden="false" outlineLevel="0" max="5" min="5" style="0" width="7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 t="s">
        <v>2</v>
      </c>
    </row>
    <row r="6" customFormat="false" ht="15" hidden="false" customHeight="false" outlineLevel="0" collapsed="false">
      <c r="B6" s="3" t="s">
        <v>3</v>
      </c>
    </row>
    <row r="7" customFormat="false" ht="30" hidden="false" customHeight="true" outlineLevel="0" collapsed="false">
      <c r="B7" s="4" t="s">
        <v>4</v>
      </c>
      <c r="C7" s="4"/>
      <c r="D7" s="4"/>
      <c r="E7" s="4"/>
    </row>
    <row r="9" customFormat="false" ht="15" hidden="false" customHeight="false" outlineLevel="0" collapsed="false">
      <c r="B9" s="3" t="s">
        <v>5</v>
      </c>
    </row>
    <row r="10" customFormat="false" ht="15" hidden="false" customHeight="false" outlineLevel="0" collapsed="false">
      <c r="B10" s="5" t="s">
        <v>6</v>
      </c>
      <c r="C10" s="6" t="n">
        <f aca="false">Inputs!$C$6</f>
        <v>164.535379369139</v>
      </c>
    </row>
    <row r="11" customFormat="false" ht="15" hidden="false" customHeight="false" outlineLevel="0" collapsed="false">
      <c r="B11" s="7" t="s">
        <v>7</v>
      </c>
      <c r="C11" s="8" t="n">
        <f aca="false">Solver!$W$7</f>
        <v>0.0840076838262576</v>
      </c>
    </row>
    <row r="12" customFormat="false" ht="15" hidden="false" customHeight="false" outlineLevel="0" collapsed="false">
      <c r="B12" s="5" t="s">
        <v>8</v>
      </c>
      <c r="C12" s="9" t="n">
        <f aca="false">Inputs!$C$43</f>
        <v>0.057829158495506</v>
      </c>
    </row>
    <row r="13" customFormat="false" ht="15" hidden="false" customHeight="false" outlineLevel="0" collapsed="false">
      <c r="B13" s="7" t="s">
        <v>9</v>
      </c>
      <c r="C13" s="10" t="n">
        <f aca="false">C11-C12</f>
        <v>0.0261785253307515</v>
      </c>
    </row>
    <row r="14" customFormat="false" ht="15" hidden="false" customHeight="false" outlineLevel="0" collapsed="false">
      <c r="B14" s="7" t="s">
        <v>10</v>
      </c>
      <c r="C14" s="11" t="s">
        <v>11</v>
      </c>
    </row>
    <row r="15" customFormat="false" ht="15" hidden="false" customHeight="false" outlineLevel="0" collapsed="false">
      <c r="B15" s="5" t="s">
        <v>12</v>
      </c>
      <c r="C15" s="12" t="n">
        <f aca="false">WACC!$C$37</f>
        <v>0.0775075820986394</v>
      </c>
    </row>
    <row r="16" customFormat="false" ht="15" hidden="false" customHeight="false" outlineLevel="0" collapsed="false">
      <c r="B16" s="5" t="s">
        <v>13</v>
      </c>
      <c r="C16" s="12" t="n">
        <f aca="false">Inputs!$C$37</f>
        <v>0.0283</v>
      </c>
    </row>
    <row r="17" customFormat="false" ht="15" hidden="false" customHeight="false" outlineLevel="0" collapsed="false">
      <c r="B17" s="5" t="s">
        <v>14</v>
      </c>
      <c r="C17" s="9" t="n">
        <f aca="false">Inputs!$C$23</f>
        <v>0.223325632449456</v>
      </c>
    </row>
    <row r="18" customFormat="false" ht="15" hidden="false" customHeight="false" outlineLevel="0" collapsed="false">
      <c r="B18" s="5" t="s">
        <v>15</v>
      </c>
      <c r="C18" s="9" t="n">
        <f aca="false">Inputs!$C$45</f>
        <v>0.057829158495506</v>
      </c>
    </row>
    <row r="19" customFormat="false" ht="15" hidden="false" customHeight="false" outlineLevel="0" collapsed="false">
      <c r="B19" s="5" t="s">
        <v>16</v>
      </c>
      <c r="C19" s="6" t="n">
        <f aca="false">DCF!$C$41</f>
        <v>141.998346077453</v>
      </c>
    </row>
    <row r="20" customFormat="false" ht="15" hidden="false" customHeight="false" outlineLevel="0" collapsed="false">
      <c r="B20" s="5" t="s">
        <v>17</v>
      </c>
      <c r="C20" s="9" t="n">
        <f aca="false">DCF!$C$43</f>
        <v>-0.136973782648432</v>
      </c>
    </row>
    <row r="22" customFormat="false" ht="15" hidden="false" customHeight="false" outlineLevel="0" collapsed="false">
      <c r="B22" s="3" t="s">
        <v>18</v>
      </c>
    </row>
    <row r="23" customFormat="false" ht="30" hidden="false" customHeight="true" outlineLevel="0" collapsed="false">
      <c r="B23" s="13" t="s">
        <v>19</v>
      </c>
      <c r="C23" s="13"/>
      <c r="D23" s="13"/>
      <c r="E23" s="13"/>
    </row>
    <row r="25" customFormat="false" ht="15" hidden="false" customHeight="false" outlineLevel="0" collapsed="false">
      <c r="B25" s="3" t="s">
        <v>20</v>
      </c>
    </row>
    <row r="26" customFormat="false" ht="15" hidden="false" customHeight="false" outlineLevel="0" collapsed="false">
      <c r="B26" s="5" t="s">
        <v>21</v>
      </c>
    </row>
    <row r="27" customFormat="false" ht="15" hidden="false" customHeight="false" outlineLevel="0" collapsed="false">
      <c r="B27" s="5" t="s">
        <v>22</v>
      </c>
    </row>
    <row r="28" customFormat="false" ht="15" hidden="false" customHeight="false" outlineLevel="0" collapsed="false">
      <c r="B28" s="5" t="s">
        <v>23</v>
      </c>
    </row>
    <row r="29" customFormat="false" ht="15" hidden="false" customHeight="false" outlineLevel="0" collapsed="false">
      <c r="B29" s="5" t="s">
        <v>24</v>
      </c>
    </row>
    <row r="31" customFormat="false" ht="15" hidden="false" customHeight="false" outlineLevel="0" collapsed="false">
      <c r="B31" s="3" t="s">
        <v>25</v>
      </c>
    </row>
    <row r="32" customFormat="false" ht="15" hidden="false" customHeight="false" outlineLevel="0" collapsed="false">
      <c r="B32" s="5" t="s">
        <v>26</v>
      </c>
      <c r="C32" s="14" t="n">
        <v>1234</v>
      </c>
    </row>
    <row r="33" customFormat="false" ht="15" hidden="false" customHeight="false" outlineLevel="0" collapsed="false">
      <c r="B33" s="5" t="s">
        <v>27</v>
      </c>
      <c r="C33" s="15" t="n">
        <f aca="false">C32*2</f>
        <v>2468</v>
      </c>
    </row>
    <row r="34" customFormat="false" ht="15" hidden="false" customHeight="false" outlineLevel="0" collapsed="false">
      <c r="B34" s="5" t="s">
        <v>28</v>
      </c>
      <c r="C34" s="16" t="n">
        <f aca="false">Inputs!$C$12</f>
        <v>870.03</v>
      </c>
    </row>
    <row r="35" customFormat="false" ht="15" hidden="false" customHeight="false" outlineLevel="0" collapsed="false">
      <c r="B35" s="5" t="s">
        <v>29</v>
      </c>
      <c r="C35" s="17" t="n">
        <f aca="false">Inputs!$C$45</f>
        <v>0.057829158495506</v>
      </c>
    </row>
    <row r="37" customFormat="false" ht="15" hidden="false" customHeight="false" outlineLevel="0" collapsed="false">
      <c r="B37" s="3" t="s">
        <v>30</v>
      </c>
    </row>
    <row r="38" customFormat="false" ht="15" hidden="false" customHeight="false" outlineLevel="0" collapsed="false">
      <c r="B38" s="18" t="s">
        <v>31</v>
      </c>
    </row>
    <row r="40" customFormat="false" ht="15" hidden="false" customHeight="false" outlineLevel="0" collapsed="false">
      <c r="B40" s="19" t="s">
        <v>32</v>
      </c>
    </row>
  </sheetData>
  <mergeCells count="2">
    <mergeCell ref="B7:E7"/>
    <mergeCell ref="B23:E23"/>
  </mergeCells>
  <hyperlinks>
    <hyperlink ref="B38" r:id="rId1" display="https://claude.ai/artifact/DS3n4CgaKxaSLzkXDsBKu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3" min="3" style="0" width="14"/>
    <col collapsed="false" customWidth="true" hidden="false" outlineLevel="0" max="4" min="4" style="0" width="2"/>
    <col collapsed="false" customWidth="true" hidden="false" outlineLevel="0" max="5" min="5" style="0" width="90"/>
  </cols>
  <sheetData>
    <row r="2" customFormat="false" ht="19.7" hidden="false" customHeight="false" outlineLevel="0" collapsed="false">
      <c r="B2" s="1" t="s">
        <v>33</v>
      </c>
    </row>
    <row r="3" customFormat="false" ht="15" hidden="false" customHeight="false" outlineLevel="0" collapsed="false">
      <c r="B3" s="2" t="s">
        <v>34</v>
      </c>
    </row>
    <row r="5" customFormat="false" ht="15" hidden="false" customHeight="false" outlineLevel="0" collapsed="false">
      <c r="B5" s="3" t="s">
        <v>35</v>
      </c>
    </row>
    <row r="6" customFormat="false" ht="15" hidden="false" customHeight="false" outlineLevel="0" collapsed="false">
      <c r="B6" s="5" t="s">
        <v>36</v>
      </c>
      <c r="C6" s="20" t="n">
        <v>164.535379369139</v>
      </c>
      <c r="E6" s="19" t="s">
        <v>37</v>
      </c>
    </row>
    <row r="7" customFormat="false" ht="15" hidden="false" customHeight="false" outlineLevel="0" collapsed="false">
      <c r="B7" s="5" t="s">
        <v>38</v>
      </c>
      <c r="C7" s="21" t="n">
        <v>35.19</v>
      </c>
      <c r="E7" s="19" t="s">
        <v>39</v>
      </c>
    </row>
    <row r="8" customFormat="false" ht="15" hidden="false" customHeight="false" outlineLevel="0" collapsed="false">
      <c r="B8" s="5" t="s">
        <v>40</v>
      </c>
      <c r="C8" s="15" t="n">
        <f aca="false">C6*C7</f>
        <v>5790</v>
      </c>
      <c r="E8" s="19" t="s">
        <v>41</v>
      </c>
    </row>
    <row r="10" customFormat="false" ht="15" hidden="false" customHeight="false" outlineLevel="0" collapsed="false">
      <c r="B10" s="3" t="s">
        <v>42</v>
      </c>
    </row>
    <row r="11" customFormat="false" ht="15" hidden="false" customHeight="false" outlineLevel="0" collapsed="false">
      <c r="B11" s="5" t="s">
        <v>43</v>
      </c>
      <c r="C11" s="14" t="n">
        <v>870.03</v>
      </c>
      <c r="E11" s="19" t="s">
        <v>44</v>
      </c>
    </row>
    <row r="12" customFormat="false" ht="15" hidden="false" customHeight="false" outlineLevel="0" collapsed="false">
      <c r="B12" s="5" t="s">
        <v>45</v>
      </c>
      <c r="C12" s="15" t="n">
        <f aca="false">C11</f>
        <v>870.03</v>
      </c>
      <c r="E12" s="19" t="s">
        <v>46</v>
      </c>
    </row>
    <row r="13" customFormat="false" ht="15" hidden="false" customHeight="false" outlineLevel="0" collapsed="false">
      <c r="B13" s="5" t="s">
        <v>47</v>
      </c>
      <c r="C13" s="14" t="n">
        <v>194.3</v>
      </c>
      <c r="E13" s="19" t="s">
        <v>48</v>
      </c>
    </row>
    <row r="14" customFormat="false" ht="15" hidden="false" customHeight="false" outlineLevel="0" collapsed="false">
      <c r="B14" s="5" t="s">
        <v>49</v>
      </c>
      <c r="C14" s="15" t="n">
        <f aca="false">C13</f>
        <v>194.3</v>
      </c>
      <c r="E14" s="19" t="s">
        <v>46</v>
      </c>
    </row>
    <row r="15" customFormat="false" ht="15" hidden="false" customHeight="false" outlineLevel="0" collapsed="false">
      <c r="B15" s="5" t="s">
        <v>50</v>
      </c>
      <c r="C15" s="14" t="n">
        <v>0</v>
      </c>
      <c r="E15" s="19" t="s">
        <v>51</v>
      </c>
    </row>
    <row r="16" customFormat="false" ht="15" hidden="false" customHeight="false" outlineLevel="0" collapsed="false">
      <c r="B16" s="5" t="s">
        <v>52</v>
      </c>
      <c r="C16" s="15" t="n">
        <f aca="false">C14-C15</f>
        <v>194.3</v>
      </c>
    </row>
    <row r="17" customFormat="false" ht="15" hidden="false" customHeight="false" outlineLevel="0" collapsed="false">
      <c r="B17" s="5" t="s">
        <v>53</v>
      </c>
      <c r="C17" s="14" t="n">
        <v>357.17</v>
      </c>
      <c r="E17" s="19" t="s">
        <v>54</v>
      </c>
    </row>
    <row r="18" customFormat="false" ht="15" hidden="false" customHeight="false" outlineLevel="0" collapsed="false">
      <c r="B18" s="5" t="s">
        <v>55</v>
      </c>
      <c r="C18" s="14" t="n">
        <v>367.07</v>
      </c>
      <c r="E18" s="19" t="s">
        <v>54</v>
      </c>
    </row>
    <row r="19" customFormat="false" ht="15" hidden="false" customHeight="false" outlineLevel="0" collapsed="false">
      <c r="B19" s="5" t="s">
        <v>56</v>
      </c>
      <c r="C19" s="15" t="n">
        <f aca="false">MAX(0,C17-C18)</f>
        <v>0</v>
      </c>
      <c r="E19" s="19" t="s">
        <v>57</v>
      </c>
    </row>
    <row r="20" customFormat="false" ht="15" hidden="false" customHeight="false" outlineLevel="0" collapsed="false">
      <c r="B20" s="5" t="s">
        <v>58</v>
      </c>
      <c r="C20" s="22" t="n">
        <v>0.25</v>
      </c>
      <c r="E20" s="19" t="s">
        <v>59</v>
      </c>
    </row>
    <row r="21" customFormat="false" ht="15" hidden="false" customHeight="false" outlineLevel="0" collapsed="false">
      <c r="B21" s="5" t="s">
        <v>60</v>
      </c>
      <c r="C21" s="15" t="n">
        <f aca="false">C19*(1-C20)</f>
        <v>0</v>
      </c>
    </row>
    <row r="22" customFormat="false" ht="15" hidden="false" customHeight="false" outlineLevel="0" collapsed="false">
      <c r="B22" s="5" t="s">
        <v>61</v>
      </c>
      <c r="C22" s="15" t="n">
        <f aca="false">C16+C21</f>
        <v>194.3</v>
      </c>
    </row>
    <row r="23" customFormat="false" ht="15" hidden="false" customHeight="false" outlineLevel="0" collapsed="false">
      <c r="B23" s="5" t="s">
        <v>14</v>
      </c>
      <c r="C23" s="23" t="n">
        <f aca="false">C22/C12</f>
        <v>0.223325632449456</v>
      </c>
      <c r="E23" s="19" t="s">
        <v>62</v>
      </c>
    </row>
    <row r="24" customFormat="false" ht="15" hidden="false" customHeight="false" outlineLevel="0" collapsed="false">
      <c r="B24" s="5" t="s">
        <v>63</v>
      </c>
      <c r="C24" s="14" t="n">
        <v>434.96</v>
      </c>
      <c r="E24" s="19" t="s">
        <v>54</v>
      </c>
    </row>
    <row r="26" customFormat="false" ht="15" hidden="false" customHeight="false" outlineLevel="0" collapsed="false">
      <c r="B26" s="3" t="s">
        <v>64</v>
      </c>
    </row>
    <row r="27" customFormat="false" ht="15" hidden="false" customHeight="false" outlineLevel="0" collapsed="false">
      <c r="B27" s="5" t="s">
        <v>65</v>
      </c>
      <c r="C27" s="14" t="n">
        <v>178.91</v>
      </c>
      <c r="E27" s="19" t="s">
        <v>66</v>
      </c>
    </row>
    <row r="28" customFormat="false" ht="15" hidden="false" customHeight="false" outlineLevel="0" collapsed="false">
      <c r="B28" s="5" t="s">
        <v>67</v>
      </c>
      <c r="C28" s="14" t="n">
        <v>346.31</v>
      </c>
      <c r="E28" s="19" t="s">
        <v>66</v>
      </c>
    </row>
    <row r="29" customFormat="false" ht="15" hidden="false" customHeight="false" outlineLevel="0" collapsed="false">
      <c r="B29" s="5" t="s">
        <v>68</v>
      </c>
      <c r="C29" s="15" t="n">
        <f aca="false">C27-C28</f>
        <v>-167.4</v>
      </c>
    </row>
    <row r="31" customFormat="false" ht="15" hidden="false" customHeight="false" outlineLevel="0" collapsed="false">
      <c r="B31" s="3" t="s">
        <v>69</v>
      </c>
    </row>
    <row r="32" customFormat="false" ht="15" hidden="false" customHeight="false" outlineLevel="0" collapsed="false">
      <c r="B32" s="5" t="s">
        <v>70</v>
      </c>
      <c r="C32" s="24" t="n">
        <v>0.0521</v>
      </c>
      <c r="E32" s="19" t="s">
        <v>71</v>
      </c>
    </row>
    <row r="33" customFormat="false" ht="15" hidden="false" customHeight="false" outlineLevel="0" collapsed="false">
      <c r="B33" s="5" t="s">
        <v>72</v>
      </c>
      <c r="C33" s="24" t="n">
        <v>0.0288</v>
      </c>
      <c r="E33" s="19" t="s">
        <v>73</v>
      </c>
    </row>
    <row r="34" customFormat="false" ht="15" hidden="false" customHeight="false" outlineLevel="0" collapsed="false">
      <c r="B34" s="5" t="s">
        <v>74</v>
      </c>
      <c r="C34" s="25" t="n">
        <f aca="false">C32-C33</f>
        <v>0.0233</v>
      </c>
      <c r="E34" s="19" t="s">
        <v>75</v>
      </c>
    </row>
    <row r="35" customFormat="false" ht="15" hidden="false" customHeight="false" outlineLevel="0" collapsed="false">
      <c r="B35" s="5" t="s">
        <v>76</v>
      </c>
      <c r="C35" s="25" t="n">
        <f aca="false">C32</f>
        <v>0.0521</v>
      </c>
    </row>
    <row r="36" customFormat="false" ht="15" hidden="false" customHeight="false" outlineLevel="0" collapsed="false">
      <c r="B36" s="5" t="s">
        <v>77</v>
      </c>
      <c r="C36" s="24" t="n">
        <v>0.005</v>
      </c>
      <c r="E36" s="19" t="s">
        <v>78</v>
      </c>
    </row>
    <row r="37" customFormat="false" ht="15" hidden="false" customHeight="false" outlineLevel="0" collapsed="false">
      <c r="B37" s="5" t="s">
        <v>13</v>
      </c>
      <c r="C37" s="25" t="n">
        <f aca="false">MIN(C34+C36,C35)</f>
        <v>0.0283</v>
      </c>
      <c r="E37" s="19" t="s">
        <v>79</v>
      </c>
    </row>
    <row r="38" customFormat="false" ht="15" hidden="false" customHeight="false" outlineLevel="0" collapsed="false">
      <c r="B38" s="5" t="s">
        <v>80</v>
      </c>
      <c r="C38" s="24" t="n">
        <v>0.0423</v>
      </c>
      <c r="E38" s="19" t="s">
        <v>81</v>
      </c>
    </row>
    <row r="40" customFormat="false" ht="15" hidden="false" customHeight="false" outlineLevel="0" collapsed="false">
      <c r="B40" s="3" t="s">
        <v>82</v>
      </c>
    </row>
    <row r="41" customFormat="false" ht="15" hidden="false" customHeight="false" outlineLevel="0" collapsed="false">
      <c r="B41" s="5" t="s">
        <v>83</v>
      </c>
      <c r="C41" s="9" t="n">
        <f aca="false">History!$C$12</f>
        <v>0.0498583169910121</v>
      </c>
      <c r="E41" s="19" t="s">
        <v>84</v>
      </c>
    </row>
    <row r="42" customFormat="false" ht="15" hidden="false" customHeight="false" outlineLevel="0" collapsed="false">
      <c r="B42" s="5" t="s">
        <v>85</v>
      </c>
      <c r="C42" s="22" t="n">
        <v>0.0658</v>
      </c>
      <c r="E42" s="19" t="s">
        <v>86</v>
      </c>
    </row>
    <row r="43" customFormat="false" ht="15" hidden="false" customHeight="false" outlineLevel="0" collapsed="false">
      <c r="B43" s="5" t="s">
        <v>87</v>
      </c>
      <c r="C43" s="23" t="n">
        <f aca="false">AVERAGE(C41:C42)</f>
        <v>0.057829158495506</v>
      </c>
      <c r="E43" s="19" t="s">
        <v>88</v>
      </c>
    </row>
    <row r="44" customFormat="false" ht="15" hidden="false" customHeight="false" outlineLevel="0" collapsed="false">
      <c r="B44" s="5" t="s">
        <v>89</v>
      </c>
      <c r="C44" s="22" t="n">
        <v>0.03</v>
      </c>
      <c r="E44" s="19" t="s">
        <v>90</v>
      </c>
    </row>
    <row r="45" customFormat="false" ht="15" hidden="false" customHeight="false" outlineLevel="0" collapsed="false">
      <c r="B45" s="5" t="s">
        <v>91</v>
      </c>
      <c r="C45" s="26" t="n">
        <v>0.057829158495506</v>
      </c>
      <c r="E45" s="19" t="s">
        <v>92</v>
      </c>
    </row>
    <row r="46" customFormat="false" ht="15" hidden="false" customHeight="false" outlineLevel="0" collapsed="false">
      <c r="B46" s="5" t="s">
        <v>93</v>
      </c>
      <c r="C46" s="27" t="n">
        <v>5</v>
      </c>
      <c r="E46" s="19" t="s">
        <v>94</v>
      </c>
    </row>
    <row r="47" customFormat="false" ht="15" hidden="false" customHeight="false" outlineLevel="0" collapsed="false">
      <c r="B47" s="5" t="s">
        <v>95</v>
      </c>
      <c r="C47" s="27" t="n">
        <v>5</v>
      </c>
      <c r="E47" s="19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7" min="3" style="0" width="13"/>
    <col collapsed="false" customWidth="true" hidden="false" outlineLevel="0" max="8" min="8" style="0" width="16"/>
    <col collapsed="false" customWidth="true" hidden="false" outlineLevel="0" max="9" min="9" style="0" width="60"/>
  </cols>
  <sheetData>
    <row r="2" customFormat="false" ht="19.7" hidden="false" customHeight="false" outlineLevel="0" collapsed="false">
      <c r="B2" s="1" t="s">
        <v>97</v>
      </c>
    </row>
    <row r="3" customFormat="false" ht="15" hidden="false" customHeight="false" outlineLevel="0" collapsed="false">
      <c r="B3" s="2" t="s">
        <v>98</v>
      </c>
    </row>
    <row r="5" customFormat="false" ht="15" hidden="false" customHeight="false" outlineLevel="0" collapsed="false">
      <c r="B5" s="28" t="s">
        <v>99</v>
      </c>
      <c r="C5" s="28" t="s">
        <v>100</v>
      </c>
      <c r="D5" s="28" t="s">
        <v>101</v>
      </c>
      <c r="E5" s="28" t="s">
        <v>102</v>
      </c>
      <c r="F5" s="28" t="s">
        <v>103</v>
      </c>
      <c r="G5" s="28" t="s">
        <v>104</v>
      </c>
      <c r="H5" s="28" t="s">
        <v>105</v>
      </c>
    </row>
    <row r="6" customFormat="false" ht="15" hidden="false" customHeight="false" outlineLevel="0" collapsed="false">
      <c r="B6" s="5" t="s">
        <v>106</v>
      </c>
      <c r="C6" s="14" t="n">
        <v>698.95</v>
      </c>
      <c r="D6" s="14" t="n">
        <v>718.3</v>
      </c>
      <c r="E6" s="14" t="n">
        <v>752.55</v>
      </c>
      <c r="F6" s="14" t="n">
        <v>817.1</v>
      </c>
      <c r="G6" s="14" t="n">
        <v>846.27</v>
      </c>
      <c r="H6" s="14" t="n">
        <v>870.03</v>
      </c>
    </row>
    <row r="7" customFormat="false" ht="15" hidden="false" customHeight="false" outlineLevel="0" collapsed="false">
      <c r="B7" s="5" t="s">
        <v>107</v>
      </c>
      <c r="D7" s="23" t="n">
        <f aca="false">D6/C6-1</f>
        <v>0.0276843837184346</v>
      </c>
      <c r="E7" s="23" t="n">
        <f aca="false">E6/D6-1</f>
        <v>0.0476820270082139</v>
      </c>
      <c r="F7" s="23" t="n">
        <f aca="false">F6/E6-1</f>
        <v>0.0857750315593648</v>
      </c>
      <c r="G7" s="23" t="n">
        <f aca="false">G6/F6-1</f>
        <v>0.0356994247950067</v>
      </c>
    </row>
    <row r="10" customFormat="false" ht="15" hidden="false" customHeight="false" outlineLevel="0" collapsed="false">
      <c r="B10" s="3" t="s">
        <v>108</v>
      </c>
    </row>
    <row r="11" customFormat="false" ht="15" hidden="false" customHeight="false" outlineLevel="0" collapsed="false">
      <c r="B11" s="5" t="s">
        <v>109</v>
      </c>
      <c r="C11" s="29" t="s">
        <v>100</v>
      </c>
      <c r="E11" s="5" t="s">
        <v>110</v>
      </c>
      <c r="G11" s="30" t="n">
        <v>4.5</v>
      </c>
    </row>
    <row r="12" customFormat="false" ht="15" hidden="false" customHeight="false" outlineLevel="0" collapsed="false">
      <c r="B12" s="5" t="s">
        <v>111</v>
      </c>
      <c r="C12" s="23" t="n">
        <f aca="false">(H6/INDEX(C6:H6,MATCH(C11,C5:H5,0)))^(1/G11)-1</f>
        <v>0.0498583169910121</v>
      </c>
      <c r="I12" s="19" t="s">
        <v>84</v>
      </c>
    </row>
    <row r="15" customFormat="false" ht="15" hidden="false" customHeight="false" outlineLevel="0" collapsed="false">
      <c r="B15" s="3" t="s">
        <v>112</v>
      </c>
    </row>
    <row r="16" customFormat="false" ht="15" hidden="false" customHeight="false" outlineLevel="0" collapsed="false">
      <c r="B16" s="28" t="s">
        <v>99</v>
      </c>
      <c r="C16" s="28" t="s">
        <v>113</v>
      </c>
      <c r="D16" s="28" t="s">
        <v>114</v>
      </c>
      <c r="E16" s="28" t="s">
        <v>115</v>
      </c>
      <c r="F16" s="28" t="s">
        <v>116</v>
      </c>
      <c r="G16" s="28" t="s">
        <v>117</v>
      </c>
    </row>
    <row r="17" customFormat="false" ht="15" hidden="false" customHeight="false" outlineLevel="0" collapsed="false">
      <c r="B17" s="5" t="s">
        <v>118</v>
      </c>
      <c r="C17" s="22" t="n">
        <v>0.3786</v>
      </c>
      <c r="D17" s="22" t="n">
        <v>0.3844</v>
      </c>
      <c r="E17" s="22" t="n">
        <v>0.4311</v>
      </c>
      <c r="F17" s="22" t="n">
        <v>0.4593</v>
      </c>
      <c r="G17" s="22" t="n">
        <v>0.4419</v>
      </c>
      <c r="I17" s="19" t="s">
        <v>119</v>
      </c>
    </row>
    <row r="18" customFormat="false" ht="15" hidden="false" customHeight="false" outlineLevel="0" collapsed="false">
      <c r="B18" s="5" t="s">
        <v>120</v>
      </c>
      <c r="C18" s="23" t="n">
        <f aca="false">C17+(Inputs!$C$23-Inputs!$C$16/Inputs!$C$12)</f>
        <v>0.3786</v>
      </c>
      <c r="D18" s="23" t="n">
        <f aca="false">D17+(Inputs!$C$23-Inputs!$C$16/Inputs!$C$12)</f>
        <v>0.3844</v>
      </c>
      <c r="E18" s="23" t="n">
        <f aca="false">E17+(Inputs!$C$23-Inputs!$C$16/Inputs!$C$12)</f>
        <v>0.4311</v>
      </c>
      <c r="F18" s="23" t="n">
        <f aca="false">F17+(Inputs!$C$23-Inputs!$C$16/Inputs!$C$12)</f>
        <v>0.4593</v>
      </c>
      <c r="G18" s="23" t="n">
        <f aca="false">G17+(Inputs!$C$23-Inputs!$C$16/Inputs!$C$12)</f>
        <v>0.4419</v>
      </c>
    </row>
    <row r="19" customFormat="false" ht="15" hidden="false" customHeight="false" outlineLevel="0" collapsed="false">
      <c r="B19" s="5" t="s">
        <v>121</v>
      </c>
      <c r="C19" s="23" t="n">
        <f aca="false">MIN(C18:G18)</f>
        <v>0.3786</v>
      </c>
      <c r="D19" s="23" t="n">
        <f aca="false">MAX(C18:G18)</f>
        <v>0.4593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7" min="3" style="0" width="14"/>
    <col collapsed="false" customWidth="true" hidden="false" outlineLevel="0" max="8" min="8" style="0" width="60"/>
  </cols>
  <sheetData>
    <row r="2" customFormat="false" ht="19.7" hidden="false" customHeight="false" outlineLevel="0" collapsed="false">
      <c r="B2" s="1" t="s">
        <v>122</v>
      </c>
    </row>
    <row r="3" customFormat="false" ht="15" hidden="false" customHeight="false" outlineLevel="0" collapsed="false">
      <c r="B3" s="2" t="s">
        <v>123</v>
      </c>
    </row>
    <row r="5" customFormat="false" ht="15" hidden="false" customHeight="false" outlineLevel="0" collapsed="false">
      <c r="B5" s="28" t="s">
        <v>124</v>
      </c>
      <c r="C5" s="28" t="s">
        <v>125</v>
      </c>
      <c r="D5" s="28" t="s">
        <v>126</v>
      </c>
      <c r="E5" s="28" t="s">
        <v>127</v>
      </c>
      <c r="F5" s="28" t="s">
        <v>58</v>
      </c>
      <c r="G5" s="28" t="s">
        <v>128</v>
      </c>
    </row>
    <row r="6" customFormat="false" ht="15" hidden="false" customHeight="false" outlineLevel="0" collapsed="false">
      <c r="B6" s="5" t="s">
        <v>129</v>
      </c>
      <c r="C6" s="31" t="n">
        <v>0.937184629651022</v>
      </c>
      <c r="D6" s="14" t="n">
        <v>20530</v>
      </c>
      <c r="E6" s="14" t="n">
        <v>87470</v>
      </c>
      <c r="F6" s="22" t="n">
        <v>0.25</v>
      </c>
      <c r="G6" s="32" t="n">
        <f aca="false">C6/(1+(1-F6)*D6/E6)</f>
        <v>0.796904168523342</v>
      </c>
      <c r="H6" s="19" t="s">
        <v>130</v>
      </c>
    </row>
    <row r="7" customFormat="false" ht="15" hidden="false" customHeight="false" outlineLevel="0" collapsed="false">
      <c r="B7" s="5" t="s">
        <v>131</v>
      </c>
      <c r="C7" s="31" t="n">
        <v>0.239866317804515</v>
      </c>
      <c r="D7" s="14" t="n">
        <v>3870</v>
      </c>
      <c r="E7" s="14" t="n">
        <v>99970</v>
      </c>
      <c r="F7" s="22" t="n">
        <v>0.25</v>
      </c>
      <c r="G7" s="32" t="n">
        <f aca="false">C7/(1+(1-F7)*D7/E7)</f>
        <v>0.233098600606745</v>
      </c>
    </row>
    <row r="8" customFormat="false" ht="15" hidden="false" customHeight="false" outlineLevel="0" collapsed="false">
      <c r="B8" s="5" t="s">
        <v>132</v>
      </c>
      <c r="C8" s="31" t="n">
        <v>0.991894933766176</v>
      </c>
      <c r="D8" s="14" t="n">
        <v>9320</v>
      </c>
      <c r="E8" s="14" t="n">
        <v>52250</v>
      </c>
      <c r="F8" s="22" t="n">
        <v>0.25</v>
      </c>
      <c r="G8" s="32" t="n">
        <f aca="false">C8/(1+(1-F8)*D8/E8)</f>
        <v>0.874856689555751</v>
      </c>
    </row>
    <row r="9" customFormat="false" ht="15" hidden="false" customHeight="false" outlineLevel="0" collapsed="false">
      <c r="B9" s="5" t="s">
        <v>133</v>
      </c>
      <c r="C9" s="31" t="n">
        <v>0.41</v>
      </c>
      <c r="D9" s="14" t="n">
        <v>1580</v>
      </c>
      <c r="E9" s="14" t="n">
        <v>30520</v>
      </c>
      <c r="F9" s="22" t="n">
        <v>0.25</v>
      </c>
      <c r="G9" s="32" t="n">
        <f aca="false">C9/(1+(1-F9)*D9/E9)</f>
        <v>0.394675918624823</v>
      </c>
    </row>
    <row r="10" customFormat="false" ht="15" hidden="false" customHeight="false" outlineLevel="0" collapsed="false">
      <c r="B10" s="5" t="s">
        <v>134</v>
      </c>
      <c r="C10" s="31" t="n">
        <v>0.0712282477450855</v>
      </c>
      <c r="D10" s="14" t="n">
        <v>2070</v>
      </c>
      <c r="E10" s="14" t="n">
        <v>15010</v>
      </c>
      <c r="F10" s="22" t="n">
        <v>0.265</v>
      </c>
      <c r="G10" s="32" t="n">
        <f aca="false">C10/(1+(1-F10)*D10/E10)</f>
        <v>0.0646728507574189</v>
      </c>
    </row>
    <row r="11" customFormat="false" ht="15" hidden="false" customHeight="false" outlineLevel="0" collapsed="false">
      <c r="B11" s="5" t="s">
        <v>135</v>
      </c>
      <c r="C11" s="31" t="n">
        <v>0.611799852675033</v>
      </c>
      <c r="D11" s="14" t="n">
        <v>150.34</v>
      </c>
      <c r="E11" s="14" t="n">
        <v>25740</v>
      </c>
      <c r="F11" s="22" t="n">
        <v>0.25</v>
      </c>
      <c r="G11" s="32" t="n">
        <f aca="false">C11/(1+(1-F11)*D11/E11)</f>
        <v>0.609131529999621</v>
      </c>
    </row>
    <row r="12" customFormat="false" ht="15" hidden="false" customHeight="false" outlineLevel="0" collapsed="false">
      <c r="B12" s="7" t="s">
        <v>136</v>
      </c>
      <c r="C12" s="31" t="n">
        <v>0.798396426820285</v>
      </c>
      <c r="D12" s="14" t="n">
        <v>178.91</v>
      </c>
      <c r="E12" s="14" t="n">
        <v>5790</v>
      </c>
      <c r="F12" s="22" t="n">
        <v>0.25</v>
      </c>
      <c r="G12" s="32" t="n">
        <f aca="false">C12/(1+(1-F12)*D12/E12)</f>
        <v>0.780312779238224</v>
      </c>
    </row>
    <row r="14" customFormat="false" ht="15" hidden="false" customHeight="false" outlineLevel="0" collapsed="false">
      <c r="B14" s="5" t="s">
        <v>137</v>
      </c>
      <c r="C14" s="32" t="n">
        <f aca="false">MEDIAN(G6:G12)</f>
        <v>0.609131529999621</v>
      </c>
    </row>
    <row r="15" customFormat="false" ht="15" hidden="false" customHeight="false" outlineLevel="0" collapsed="false">
      <c r="B15" s="5" t="s">
        <v>126</v>
      </c>
      <c r="C15" s="16" t="n">
        <f aca="false">Inputs!$C$27</f>
        <v>178.91</v>
      </c>
    </row>
    <row r="16" customFormat="false" ht="15" hidden="false" customHeight="false" outlineLevel="0" collapsed="false">
      <c r="B16" s="5" t="s">
        <v>40</v>
      </c>
      <c r="C16" s="16" t="n">
        <f aca="false">Inputs!$C$8</f>
        <v>5790</v>
      </c>
    </row>
    <row r="17" customFormat="false" ht="15" hidden="false" customHeight="false" outlineLevel="0" collapsed="false">
      <c r="B17" s="5" t="s">
        <v>58</v>
      </c>
      <c r="C17" s="9" t="n">
        <f aca="false">Inputs!$C$20</f>
        <v>0.25</v>
      </c>
    </row>
    <row r="18" customFormat="false" ht="15" hidden="false" customHeight="false" outlineLevel="0" collapsed="false">
      <c r="B18" s="5" t="s">
        <v>138</v>
      </c>
      <c r="C18" s="32" t="n">
        <f aca="false">WACC!$C$14*(1+(1-WACC!$C$17)*WACC!$C$15/WACC!$C$16)</f>
        <v>0.623248074304314</v>
      </c>
      <c r="H18" s="19" t="s">
        <v>139</v>
      </c>
    </row>
    <row r="19" customFormat="false" ht="15" hidden="false" customHeight="false" outlineLevel="0" collapsed="false">
      <c r="B19" s="5" t="s">
        <v>140</v>
      </c>
      <c r="C19" s="12" t="n">
        <f aca="false">Inputs!$C$35</f>
        <v>0.0521</v>
      </c>
    </row>
    <row r="20" customFormat="false" ht="15" hidden="false" customHeight="false" outlineLevel="0" collapsed="false">
      <c r="B20" s="5" t="s">
        <v>80</v>
      </c>
      <c r="C20" s="12" t="n">
        <f aca="false">Inputs!$C$38</f>
        <v>0.0423</v>
      </c>
    </row>
    <row r="21" customFormat="false" ht="15" hidden="false" customHeight="false" outlineLevel="0" collapsed="false">
      <c r="B21" s="5" t="s">
        <v>141</v>
      </c>
      <c r="C21" s="25" t="n">
        <f aca="false">WACC!$C$19+WACC!$C$18*WACC!$C$20</f>
        <v>0.0784633935430725</v>
      </c>
      <c r="H21" s="19" t="s">
        <v>142</v>
      </c>
    </row>
    <row r="23" customFormat="false" ht="15" hidden="false" customHeight="false" outlineLevel="0" collapsed="false">
      <c r="B23" s="3" t="s">
        <v>143</v>
      </c>
    </row>
    <row r="24" customFormat="false" ht="15" hidden="false" customHeight="false" outlineLevel="0" collapsed="false">
      <c r="B24" s="28" t="s">
        <v>144</v>
      </c>
      <c r="C24" s="28" t="s">
        <v>145</v>
      </c>
    </row>
    <row r="25" customFormat="false" ht="15" hidden="false" customHeight="false" outlineLevel="0" collapsed="false">
      <c r="B25" s="33" t="n">
        <v>1</v>
      </c>
      <c r="C25" s="24" t="n">
        <v>0.01</v>
      </c>
      <c r="H25" s="19" t="s">
        <v>146</v>
      </c>
    </row>
    <row r="26" customFormat="false" ht="15" hidden="false" customHeight="false" outlineLevel="0" collapsed="false">
      <c r="B26" s="33" t="n">
        <v>2</v>
      </c>
      <c r="C26" s="24" t="n">
        <v>0.0125</v>
      </c>
    </row>
    <row r="27" customFormat="false" ht="15" hidden="false" customHeight="false" outlineLevel="0" collapsed="false">
      <c r="B27" s="33" t="n">
        <v>3</v>
      </c>
      <c r="C27" s="24" t="n">
        <v>0.016</v>
      </c>
    </row>
    <row r="28" customFormat="false" ht="15" hidden="false" customHeight="false" outlineLevel="0" collapsed="false">
      <c r="B28" s="33" t="n">
        <v>4</v>
      </c>
      <c r="C28" s="24" t="n">
        <v>0.02</v>
      </c>
    </row>
    <row r="29" customFormat="false" ht="15" hidden="false" customHeight="false" outlineLevel="0" collapsed="false">
      <c r="B29" s="33" t="n">
        <v>99</v>
      </c>
      <c r="C29" s="24" t="n">
        <v>0.0275</v>
      </c>
    </row>
    <row r="31" customFormat="false" ht="15" hidden="false" customHeight="false" outlineLevel="0" collapsed="false">
      <c r="B31" s="5" t="s">
        <v>147</v>
      </c>
      <c r="C31" s="34" t="n">
        <f aca="false">Inputs!$C$27/Inputs!$C$24</f>
        <v>0.411325179326835</v>
      </c>
    </row>
    <row r="32" customFormat="false" ht="15" hidden="false" customHeight="false" outlineLevel="0" collapsed="false">
      <c r="B32" s="5" t="s">
        <v>148</v>
      </c>
      <c r="C32" s="25" t="n">
        <f aca="false">INDEX(C25:C29,COUNTIF(B25:B29,"&lt;="&amp;WACC!$C$31)+1)</f>
        <v>0.01</v>
      </c>
      <c r="H32" s="19" t="s">
        <v>149</v>
      </c>
    </row>
    <row r="33" customFormat="false" ht="15" hidden="false" customHeight="false" outlineLevel="0" collapsed="false">
      <c r="B33" s="5" t="s">
        <v>150</v>
      </c>
      <c r="C33" s="25" t="n">
        <f aca="false">WACC!$C$19+WACC!$C$32</f>
        <v>0.0621</v>
      </c>
    </row>
    <row r="34" customFormat="false" ht="15" hidden="false" customHeight="false" outlineLevel="0" collapsed="false">
      <c r="B34" s="5" t="s">
        <v>151</v>
      </c>
      <c r="C34" s="25" t="n">
        <f aca="false">WACC!$C$33*(1-WACC!$C$17)</f>
        <v>0.046575</v>
      </c>
    </row>
    <row r="35" customFormat="false" ht="15" hidden="false" customHeight="false" outlineLevel="0" collapsed="false">
      <c r="B35" s="5" t="s">
        <v>152</v>
      </c>
      <c r="C35" s="23" t="n">
        <f aca="false">WACC!$C$15/(WACC!$C$15+WACC!$C$16)</f>
        <v>0.0299736467797303</v>
      </c>
      <c r="H35" s="19" t="s">
        <v>153</v>
      </c>
    </row>
    <row r="36" customFormat="false" ht="15" hidden="false" customHeight="false" outlineLevel="0" collapsed="false">
      <c r="B36" s="5" t="s">
        <v>154</v>
      </c>
      <c r="C36" s="23" t="n">
        <f aca="false">1-WACC!$C$35</f>
        <v>0.97002635322027</v>
      </c>
    </row>
    <row r="37" customFormat="false" ht="15" hidden="false" customHeight="false" outlineLevel="0" collapsed="false">
      <c r="B37" s="5" t="s">
        <v>12</v>
      </c>
      <c r="C37" s="35" t="n">
        <f aca="false">WACC!$C$36*WACC!$C$21+WACC!$C$35*WACC!$C$34</f>
        <v>0.0775075820986394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7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0"/>
    <col collapsed="false" customWidth="true" hidden="false" outlineLevel="0" max="20" min="4" style="0" width="11"/>
  </cols>
  <sheetData>
    <row r="1" customFormat="false" ht="15" hidden="false" customHeight="false" outlineLevel="0" collapsed="false">
      <c r="A1" s="3" t="s">
        <v>155</v>
      </c>
    </row>
    <row r="2" customFormat="false" ht="15" hidden="false" customHeight="false" outlineLevel="0" collapsed="false">
      <c r="B2" s="5" t="s">
        <v>156</v>
      </c>
      <c r="C2" s="16" t="n">
        <f aca="false">Inputs!$C$12</f>
        <v>870.03</v>
      </c>
      <c r="D2" s="5" t="s">
        <v>157</v>
      </c>
      <c r="E2" s="9" t="n">
        <f aca="false">Inputs!$C$23</f>
        <v>0.223325632449456</v>
      </c>
      <c r="F2" s="5" t="s">
        <v>158</v>
      </c>
      <c r="G2" s="16" t="n">
        <f aca="false">Inputs!$C$27</f>
        <v>178.91</v>
      </c>
      <c r="H2" s="5" t="s">
        <v>159</v>
      </c>
      <c r="I2" s="16" t="n">
        <f aca="false">Inputs!$C$28</f>
        <v>346.31</v>
      </c>
      <c r="J2" s="5" t="s">
        <v>160</v>
      </c>
      <c r="K2" s="36" t="n">
        <f aca="false">Inputs!$C$7</f>
        <v>35.19</v>
      </c>
      <c r="L2" s="5" t="s">
        <v>161</v>
      </c>
      <c r="M2" s="6" t="n">
        <f aca="false">Inputs!$C$6</f>
        <v>164.535379369139</v>
      </c>
      <c r="N2" s="5" t="s">
        <v>162</v>
      </c>
      <c r="O2" s="37" t="n">
        <f aca="false">Inputs!$C$46</f>
        <v>5</v>
      </c>
      <c r="P2" s="5" t="s">
        <v>163</v>
      </c>
      <c r="Q2" s="37" t="n">
        <f aca="false">Inputs!$C$47</f>
        <v>5</v>
      </c>
    </row>
    <row r="3" customFormat="false" ht="15" hidden="false" customHeight="false" outlineLevel="0" collapsed="false">
      <c r="D3" s="38" t="s">
        <v>164</v>
      </c>
      <c r="E3" s="39" t="n">
        <v>1</v>
      </c>
      <c r="F3" s="39" t="n">
        <v>2</v>
      </c>
      <c r="G3" s="39" t="n">
        <v>3</v>
      </c>
      <c r="H3" s="39" t="n">
        <v>4</v>
      </c>
      <c r="I3" s="39" t="n">
        <v>5</v>
      </c>
      <c r="J3" s="39" t="n">
        <v>6</v>
      </c>
      <c r="K3" s="39" t="n">
        <v>7</v>
      </c>
      <c r="L3" s="39" t="n">
        <v>8</v>
      </c>
      <c r="M3" s="39" t="n">
        <v>9</v>
      </c>
      <c r="N3" s="39" t="n">
        <v>10</v>
      </c>
    </row>
    <row r="4" customFormat="false" ht="15" hidden="false" customHeight="false" outlineLevel="0" collapsed="false">
      <c r="A4" s="19" t="s">
        <v>165</v>
      </c>
    </row>
    <row r="6" customFormat="false" ht="15" hidden="false" customHeight="false" outlineLevel="0" collapsed="false">
      <c r="A6" s="38" t="s">
        <v>166</v>
      </c>
      <c r="E6" s="5" t="s">
        <v>12</v>
      </c>
      <c r="F6" s="12" t="n">
        <f aca="false">WACC!$C$37</f>
        <v>0.0775075820986394</v>
      </c>
      <c r="G6" s="5" t="s">
        <v>13</v>
      </c>
      <c r="I6" s="12" t="n">
        <f aca="false">Inputs!$C$37</f>
        <v>0.0283</v>
      </c>
      <c r="W6" s="38" t="s">
        <v>167</v>
      </c>
    </row>
    <row r="7" customFormat="false" ht="23.85" hidden="false" customHeight="false" outlineLevel="0" collapsed="false">
      <c r="A7" s="38" t="s">
        <v>168</v>
      </c>
      <c r="B7" s="28" t="s">
        <v>169</v>
      </c>
      <c r="C7" s="28" t="s">
        <v>170</v>
      </c>
      <c r="D7" s="28" t="s">
        <v>171</v>
      </c>
      <c r="E7" s="28" t="s">
        <v>172</v>
      </c>
      <c r="F7" s="28" t="s">
        <v>173</v>
      </c>
      <c r="G7" s="28" t="s">
        <v>174</v>
      </c>
      <c r="H7" s="28" t="s">
        <v>175</v>
      </c>
      <c r="I7" s="28" t="s">
        <v>176</v>
      </c>
      <c r="J7" s="28" t="s">
        <v>177</v>
      </c>
      <c r="K7" s="28" t="s">
        <v>178</v>
      </c>
      <c r="L7" s="28" t="s">
        <v>179</v>
      </c>
      <c r="M7" s="28" t="s">
        <v>180</v>
      </c>
      <c r="N7" s="28" t="s">
        <v>181</v>
      </c>
      <c r="O7" s="28" t="s">
        <v>182</v>
      </c>
      <c r="P7" s="28" t="s">
        <v>183</v>
      </c>
      <c r="Q7" s="28" t="s">
        <v>184</v>
      </c>
      <c r="R7" s="28" t="s">
        <v>185</v>
      </c>
      <c r="S7" s="28" t="s">
        <v>186</v>
      </c>
      <c r="T7" s="28" t="s">
        <v>187</v>
      </c>
      <c r="W7" s="40" t="n">
        <f aca="false">$D$47</f>
        <v>0.0840076838262576</v>
      </c>
    </row>
    <row r="8" customFormat="false" ht="15" hidden="false" customHeight="false" outlineLevel="0" collapsed="false">
      <c r="A8" s="5" t="n">
        <v>1</v>
      </c>
      <c r="B8" s="24" t="n">
        <v>-0.5</v>
      </c>
      <c r="C8" s="24" t="n">
        <v>1</v>
      </c>
      <c r="D8" s="41" t="n">
        <f aca="false">(B8+C8)/2</f>
        <v>0.25</v>
      </c>
      <c r="E8" s="15" t="n">
        <f aca="false">$C$2*(1+IF(E$3&lt;=$O$2,$D8,$D8-($D8-$I$6)*MIN(E$3-$O$2,$Q$2)/$Q$2))</f>
        <v>1087.5375</v>
      </c>
      <c r="F8" s="15" t="n">
        <f aca="false">E8*(1+IF(F$3&lt;=$O$2,$D8,$D8-($D8-$I$6)*MIN(F$3-$O$2,$Q$2)/$Q$2))</f>
        <v>1359.421875</v>
      </c>
      <c r="G8" s="15" t="n">
        <f aca="false">F8*(1+IF(G$3&lt;=$O$2,$D8,$D8-($D8-$I$6)*MIN(G$3-$O$2,$Q$2)/$Q$2))</f>
        <v>1699.27734375</v>
      </c>
      <c r="H8" s="15" t="n">
        <f aca="false">G8*(1+IF(H$3&lt;=$O$2,$D8,$D8-($D8-$I$6)*MIN(H$3-$O$2,$Q$2)/$Q$2))</f>
        <v>2124.0966796875</v>
      </c>
      <c r="I8" s="15" t="n">
        <f aca="false">H8*(1+IF(I$3&lt;=$O$2,$D8,$D8-($D8-$I$6)*MIN(I$3-$O$2,$Q$2)/$Q$2))</f>
        <v>2655.12084960938</v>
      </c>
      <c r="J8" s="15" t="n">
        <f aca="false">I8*(1+IF(J$3&lt;=$O$2,$D8,$D8-($D8-$I$6)*MIN(J$3-$O$2,$Q$2)/$Q$2))</f>
        <v>3201.17300354004</v>
      </c>
      <c r="K8" s="15" t="n">
        <f aca="false">J8*(1+IF(K$3&lt;=$O$2,$D8,$D8-($D8-$I$6)*MIN(K$3-$O$2,$Q$2)/$Q$2))</f>
        <v>3717.58623247112</v>
      </c>
      <c r="L8" s="15" t="n">
        <f aca="false">K8*(1+IF(L$3&lt;=$O$2,$D8,$D8-($D8-$I$6)*MIN(L$3-$O$2,$Q$2)/$Q$2))</f>
        <v>4152.46946994559</v>
      </c>
      <c r="M8" s="15" t="n">
        <f aca="false">L8*(1+IF(M$3&lt;=$O$2,$D8,$D8-($D8-$I$6)*MIN(M$3-$O$2,$Q$2)/$Q$2))</f>
        <v>4454.10485224244</v>
      </c>
      <c r="N8" s="15" t="n">
        <f aca="false">M8*(1+IF(N$3&lt;=$O$2,$D8,$D8-($D8-$I$6)*MIN(N$3-$O$2,$Q$2)/$Q$2))</f>
        <v>4580.1560195609</v>
      </c>
      <c r="O8" s="15" t="n">
        <f aca="false">SUMPRODUCT(E8:N8,1/(1+$F$6)^$E$3:$N$3)*$E$2</f>
        <v>4002.81400991212</v>
      </c>
      <c r="P8" s="15" t="n">
        <f aca="false">N8*$E$2*(1+$I$6)/($F$6-$I$6)/(1+$F$6)^$N$3</f>
        <v>10132.1895622012</v>
      </c>
      <c r="Q8" s="15" t="n">
        <f aca="false">O8+P8</f>
        <v>14135.0035721133</v>
      </c>
      <c r="R8" s="15" t="n">
        <f aca="false">Q8-$G$2+$I$2</f>
        <v>14302.4035721133</v>
      </c>
      <c r="S8" s="42" t="n">
        <f aca="false">R8/$K$2</f>
        <v>406.433747431467</v>
      </c>
      <c r="T8" s="43" t="n">
        <f aca="false">S8-$M$2</f>
        <v>241.898368062328</v>
      </c>
      <c r="W8" s="5" t="str">
        <f aca="false">IF(OR(ABS(W7+0.5)&lt;0.000001,ABS(W7-1)&lt;0.000001),"Out of range","Solved")</f>
        <v>Solved</v>
      </c>
    </row>
    <row r="9" customFormat="false" ht="15" hidden="false" customHeight="false" outlineLevel="0" collapsed="false">
      <c r="A9" s="5" t="n">
        <v>2</v>
      </c>
      <c r="B9" s="25" t="n">
        <f aca="false">IF(T8&gt;0,B8,D8)</f>
        <v>-0.5</v>
      </c>
      <c r="C9" s="25" t="n">
        <f aca="false">IF(T8&gt;0,D8,C8)</f>
        <v>0.25</v>
      </c>
      <c r="D9" s="41" t="n">
        <f aca="false">(B9+C9)/2</f>
        <v>-0.125</v>
      </c>
      <c r="E9" s="15" t="n">
        <f aca="false">$C$2*(1+IF(E$3&lt;=$O$2,$D9,$D9-($D9-$I$6)*MIN(E$3-$O$2,$Q$2)/$Q$2))</f>
        <v>761.27625</v>
      </c>
      <c r="F9" s="15" t="n">
        <f aca="false">E9*(1+IF(F$3&lt;=$O$2,$D9,$D9-($D9-$I$6)*MIN(F$3-$O$2,$Q$2)/$Q$2))</f>
        <v>666.11671875</v>
      </c>
      <c r="G9" s="15" t="n">
        <f aca="false">F9*(1+IF(G$3&lt;=$O$2,$D9,$D9-($D9-$I$6)*MIN(G$3-$O$2,$Q$2)/$Q$2))</f>
        <v>582.85212890625</v>
      </c>
      <c r="H9" s="15" t="n">
        <f aca="false">G9*(1+IF(H$3&lt;=$O$2,$D9,$D9-($D9-$I$6)*MIN(H$3-$O$2,$Q$2)/$Q$2))</f>
        <v>509.995612792969</v>
      </c>
      <c r="I9" s="15" t="n">
        <f aca="false">H9*(1+IF(I$3&lt;=$O$2,$D9,$D9-($D9-$I$6)*MIN(I$3-$O$2,$Q$2)/$Q$2))</f>
        <v>446.246161193848</v>
      </c>
      <c r="J9" s="15" t="n">
        <f aca="false">I9*(1+IF(J$3&lt;=$O$2,$D9,$D9-($D9-$I$6)*MIN(J$3-$O$2,$Q$2)/$Q$2))</f>
        <v>404.14729834682</v>
      </c>
      <c r="K9" s="15" t="n">
        <f aca="false">J9*(1+IF(K$3&lt;=$O$2,$D9,$D9-($D9-$I$6)*MIN(K$3-$O$2,$Q$2)/$Q$2))</f>
        <v>378.411198388095</v>
      </c>
      <c r="L9" s="15" t="n">
        <f aca="false">K9*(1+IF(L$3&lt;=$O$2,$D9,$D9-($D9-$I$6)*MIN(L$3-$O$2,$Q$2)/$Q$2))</f>
        <v>365.91606061732</v>
      </c>
      <c r="M9" s="15" t="n">
        <f aca="false">L9*(1+IF(M$3&lt;=$O$2,$D9,$D9-($D9-$I$6)*MIN(M$3-$O$2,$Q$2)/$Q$2))</f>
        <v>365.052498714263</v>
      </c>
      <c r="N9" s="15" t="n">
        <f aca="false">M9*(1+IF(N$3&lt;=$O$2,$D9,$D9-($D9-$I$6)*MIN(N$3-$O$2,$Q$2)/$Q$2))</f>
        <v>375.383484427876</v>
      </c>
      <c r="O9" s="15" t="n">
        <f aca="false">SUMPRODUCT(E9:N9,1/(1+$F$6)^$E$3:$N$3)*$E$2</f>
        <v>777.205193641506</v>
      </c>
      <c r="P9" s="15" t="n">
        <f aca="false">N9*$E$2*(1+$I$6)/($F$6-$I$6)/(1+$F$6)^$N$3</f>
        <v>830.420755646547</v>
      </c>
      <c r="Q9" s="15" t="n">
        <f aca="false">O9+P9</f>
        <v>1607.62594928805</v>
      </c>
      <c r="R9" s="15" t="n">
        <f aca="false">Q9-$G$2+$I$2</f>
        <v>1775.02594928805</v>
      </c>
      <c r="S9" s="42" t="n">
        <f aca="false">R9/$K$2</f>
        <v>50.4412034466625</v>
      </c>
      <c r="T9" s="43" t="n">
        <f aca="false">S9-$M$2</f>
        <v>-114.094175922477</v>
      </c>
    </row>
    <row r="10" customFormat="false" ht="15" hidden="false" customHeight="false" outlineLevel="0" collapsed="false">
      <c r="A10" s="5" t="n">
        <v>3</v>
      </c>
      <c r="B10" s="25" t="n">
        <f aca="false">IF(T9&gt;0,B9,D9)</f>
        <v>-0.125</v>
      </c>
      <c r="C10" s="25" t="n">
        <f aca="false">IF(T9&gt;0,D9,C9)</f>
        <v>0.25</v>
      </c>
      <c r="D10" s="41" t="n">
        <f aca="false">(B10+C10)/2</f>
        <v>0.0625</v>
      </c>
      <c r="E10" s="15" t="n">
        <f aca="false">$C$2*(1+IF(E$3&lt;=$O$2,$D10,$D10-($D10-$I$6)*MIN(E$3-$O$2,$Q$2)/$Q$2))</f>
        <v>924.406875</v>
      </c>
      <c r="F10" s="15" t="n">
        <f aca="false">E10*(1+IF(F$3&lt;=$O$2,$D10,$D10-($D10-$I$6)*MIN(F$3-$O$2,$Q$2)/$Q$2))</f>
        <v>982.1823046875</v>
      </c>
      <c r="G10" s="15" t="n">
        <f aca="false">F10*(1+IF(G$3&lt;=$O$2,$D10,$D10-($D10-$I$6)*MIN(G$3-$O$2,$Q$2)/$Q$2))</f>
        <v>1043.56869873047</v>
      </c>
      <c r="H10" s="15" t="n">
        <f aca="false">G10*(1+IF(H$3&lt;=$O$2,$D10,$D10-($D10-$I$6)*MIN(H$3-$O$2,$Q$2)/$Q$2))</f>
        <v>1108.79174240112</v>
      </c>
      <c r="I10" s="15" t="n">
        <f aca="false">H10*(1+IF(I$3&lt;=$O$2,$D10,$D10-($D10-$I$6)*MIN(I$3-$O$2,$Q$2)/$Q$2))</f>
        <v>1178.09122630119</v>
      </c>
      <c r="J10" s="15" t="n">
        <f aca="false">I10*(1+IF(J$3&lt;=$O$2,$D10,$D10-($D10-$I$6)*MIN(J$3-$O$2,$Q$2)/$Q$2))</f>
        <v>1243.66378395712</v>
      </c>
      <c r="K10" s="15" t="n">
        <f aca="false">J10*(1+IF(K$3&lt;=$O$2,$D10,$D10-($D10-$I$6)*MIN(K$3-$O$2,$Q$2)/$Q$2))</f>
        <v>1304.3794498899</v>
      </c>
      <c r="L10" s="15" t="n">
        <f aca="false">K10*(1+IF(L$3&lt;=$O$2,$D10,$D10-($D10-$I$6)*MIN(L$3-$O$2,$Q$2)/$Q$2))</f>
        <v>1359.13729919628</v>
      </c>
      <c r="M10" s="15" t="n">
        <f aca="false">L10*(1+IF(M$3&lt;=$O$2,$D10,$D10-($D10-$I$6)*MIN(M$3-$O$2,$Q$2)/$Q$2))</f>
        <v>1406.89738389004</v>
      </c>
      <c r="N10" s="15" t="n">
        <f aca="false">M10*(1+IF(N$3&lt;=$O$2,$D10,$D10-($D10-$I$6)*MIN(N$3-$O$2,$Q$2)/$Q$2))</f>
        <v>1446.71257985413</v>
      </c>
      <c r="O10" s="15" t="n">
        <f aca="false">SUMPRODUCT(E10:N10,1/(1+$F$6)^$E$3:$N$3)*$E$2</f>
        <v>1762.53968480341</v>
      </c>
      <c r="P10" s="15" t="n">
        <f aca="false">N10*$E$2*(1+$I$6)/($F$6-$I$6)/(1+$F$6)^$N$3</f>
        <v>3200.40759277638</v>
      </c>
      <c r="Q10" s="15" t="n">
        <f aca="false">O10+P10</f>
        <v>4962.94727757979</v>
      </c>
      <c r="R10" s="15" t="n">
        <f aca="false">Q10-$G$2+$I$2</f>
        <v>5130.34727757979</v>
      </c>
      <c r="S10" s="42" t="n">
        <f aca="false">R10/$K$2</f>
        <v>145.789919794822</v>
      </c>
      <c r="T10" s="43" t="n">
        <f aca="false">S10-$M$2</f>
        <v>-18.7454595743168</v>
      </c>
    </row>
    <row r="11" customFormat="false" ht="15" hidden="false" customHeight="false" outlineLevel="0" collapsed="false">
      <c r="A11" s="5" t="n">
        <v>4</v>
      </c>
      <c r="B11" s="25" t="n">
        <f aca="false">IF(T10&gt;0,B10,D10)</f>
        <v>0.0625</v>
      </c>
      <c r="C11" s="25" t="n">
        <f aca="false">IF(T10&gt;0,D10,C10)</f>
        <v>0.25</v>
      </c>
      <c r="D11" s="41" t="n">
        <f aca="false">(B11+C11)/2</f>
        <v>0.15625</v>
      </c>
      <c r="E11" s="15" t="n">
        <f aca="false">$C$2*(1+IF(E$3&lt;=$O$2,$D11,$D11-($D11-$I$6)*MIN(E$3-$O$2,$Q$2)/$Q$2))</f>
        <v>1005.9721875</v>
      </c>
      <c r="F11" s="15" t="n">
        <f aca="false">E11*(1+IF(F$3&lt;=$O$2,$D11,$D11-($D11-$I$6)*MIN(F$3-$O$2,$Q$2)/$Q$2))</f>
        <v>1163.15534179688</v>
      </c>
      <c r="G11" s="15" t="n">
        <f aca="false">F11*(1+IF(G$3&lt;=$O$2,$D11,$D11-($D11-$I$6)*MIN(G$3-$O$2,$Q$2)/$Q$2))</f>
        <v>1344.89836395264</v>
      </c>
      <c r="H11" s="15" t="n">
        <f aca="false">G11*(1+IF(H$3&lt;=$O$2,$D11,$D11-($D11-$I$6)*MIN(H$3-$O$2,$Q$2)/$Q$2))</f>
        <v>1555.03873332024</v>
      </c>
      <c r="I11" s="15" t="n">
        <f aca="false">H11*(1+IF(I$3&lt;=$O$2,$D11,$D11-($D11-$I$6)*MIN(I$3-$O$2,$Q$2)/$Q$2))</f>
        <v>1798.01353540152</v>
      </c>
      <c r="J11" s="15" t="n">
        <f aca="false">I11*(1+IF(J$3&lt;=$O$2,$D11,$D11-($D11-$I$6)*MIN(J$3-$O$2,$Q$2)/$Q$2))</f>
        <v>2032.94198393709</v>
      </c>
      <c r="K11" s="15" t="n">
        <f aca="false">J11*(1+IF(K$3&lt;=$O$2,$D11,$D11-($D11-$I$6)*MIN(K$3-$O$2,$Q$2)/$Q$2))</f>
        <v>2246.54319818936</v>
      </c>
      <c r="L11" s="15" t="n">
        <f aca="false">K11*(1+IF(L$3&lt;=$O$2,$D11,$D11-($D11-$I$6)*MIN(L$3-$O$2,$Q$2)/$Q$2))</f>
        <v>2425.09845158145</v>
      </c>
      <c r="M11" s="15" t="n">
        <f aca="false">L11*(1+IF(M$3&lt;=$O$2,$D11,$D11-($D11-$I$6)*MIN(M$3-$O$2,$Q$2)/$Q$2))</f>
        <v>2555.78700713717</v>
      </c>
      <c r="N11" s="15" t="n">
        <f aca="false">M11*(1+IF(N$3&lt;=$O$2,$D11,$D11-($D11-$I$6)*MIN(N$3-$O$2,$Q$2)/$Q$2))</f>
        <v>2628.11577943915</v>
      </c>
      <c r="O11" s="15" t="n">
        <f aca="false">SUMPRODUCT(E11:N11,1/(1+$F$6)^$E$3:$N$3)*$E$2</f>
        <v>2661.82657662731</v>
      </c>
      <c r="P11" s="15" t="n">
        <f aca="false">N11*$E$2*(1+$I$6)/($F$6-$I$6)/(1+$F$6)^$N$3</f>
        <v>5813.89960406688</v>
      </c>
      <c r="Q11" s="15" t="n">
        <f aca="false">O11+P11</f>
        <v>8475.72618069419</v>
      </c>
      <c r="R11" s="15" t="n">
        <f aca="false">Q11-$G$2+$I$2</f>
        <v>8643.12618069419</v>
      </c>
      <c r="S11" s="42" t="n">
        <f aca="false">R11/$K$2</f>
        <v>245.613133864569</v>
      </c>
      <c r="T11" s="43" t="n">
        <f aca="false">S11-$M$2</f>
        <v>81.0777544954301</v>
      </c>
    </row>
    <row r="12" customFormat="false" ht="15" hidden="false" customHeight="false" outlineLevel="0" collapsed="false">
      <c r="A12" s="5" t="n">
        <v>5</v>
      </c>
      <c r="B12" s="25" t="n">
        <f aca="false">IF(T11&gt;0,B11,D11)</f>
        <v>0.0625</v>
      </c>
      <c r="C12" s="25" t="n">
        <f aca="false">IF(T11&gt;0,D11,C11)</f>
        <v>0.15625</v>
      </c>
      <c r="D12" s="41" t="n">
        <f aca="false">(B12+C12)/2</f>
        <v>0.109375</v>
      </c>
      <c r="E12" s="15" t="n">
        <f aca="false">$C$2*(1+IF(E$3&lt;=$O$2,$D12,$D12-($D12-$I$6)*MIN(E$3-$O$2,$Q$2)/$Q$2))</f>
        <v>965.18953125</v>
      </c>
      <c r="F12" s="15" t="n">
        <f aca="false">E12*(1+IF(F$3&lt;=$O$2,$D12,$D12-($D12-$I$6)*MIN(F$3-$O$2,$Q$2)/$Q$2))</f>
        <v>1070.75713623047</v>
      </c>
      <c r="G12" s="15" t="n">
        <f aca="false">F12*(1+IF(G$3&lt;=$O$2,$D12,$D12-($D12-$I$6)*MIN(G$3-$O$2,$Q$2)/$Q$2))</f>
        <v>1187.87119800568</v>
      </c>
      <c r="H12" s="15" t="n">
        <f aca="false">G12*(1+IF(H$3&lt;=$O$2,$D12,$D12-($D12-$I$6)*MIN(H$3-$O$2,$Q$2)/$Q$2))</f>
        <v>1317.79461028755</v>
      </c>
      <c r="I12" s="15" t="n">
        <f aca="false">H12*(1+IF(I$3&lt;=$O$2,$D12,$D12-($D12-$I$6)*MIN(I$3-$O$2,$Q$2)/$Q$2))</f>
        <v>1461.92839578775</v>
      </c>
      <c r="J12" s="15" t="n">
        <f aca="false">I12*(1+IF(J$3&lt;=$O$2,$D12,$D12-($D12-$I$6)*MIN(J$3-$O$2,$Q$2)/$Q$2))</f>
        <v>1598.12164513933</v>
      </c>
      <c r="K12" s="15" t="n">
        <f aca="false">J12*(1+IF(K$3&lt;=$O$2,$D12,$D12-($D12-$I$6)*MIN(K$3-$O$2,$Q$2)/$Q$2))</f>
        <v>1721.08911512458</v>
      </c>
      <c r="L12" s="15" t="n">
        <f aca="false">K12*(1+IF(L$3&lt;=$O$2,$D12,$D12-($D12-$I$6)*MIN(L$3-$O$2,$Q$2)/$Q$2))</f>
        <v>1825.6108570861</v>
      </c>
      <c r="M12" s="15" t="n">
        <f aca="false">L12*(1+IF(M$3&lt;=$O$2,$D12,$D12-($D12-$I$6)*MIN(M$3-$O$2,$Q$2)/$Q$2))</f>
        <v>1906.87792438928</v>
      </c>
      <c r="N12" s="15" t="n">
        <f aca="false">M12*(1+IF(N$3&lt;=$O$2,$D12,$D12-($D12-$I$6)*MIN(N$3-$O$2,$Q$2)/$Q$2))</f>
        <v>1960.8425696495</v>
      </c>
      <c r="O12" s="15" t="n">
        <f aca="false">SUMPRODUCT(E12:N12,1/(1+$F$6)^$E$3:$N$3)*$E$2</f>
        <v>2166.61506706549</v>
      </c>
      <c r="P12" s="15" t="n">
        <f aca="false">N12*$E$2*(1+$I$6)/($F$6-$I$6)/(1+$F$6)^$N$3</f>
        <v>4337.76241081568</v>
      </c>
      <c r="Q12" s="15" t="n">
        <f aca="false">O12+P12</f>
        <v>6504.37747788117</v>
      </c>
      <c r="R12" s="15" t="n">
        <f aca="false">Q12-$G$2+$I$2</f>
        <v>6671.77747788117</v>
      </c>
      <c r="S12" s="42" t="n">
        <f aca="false">R12/$K$2</f>
        <v>189.592994540528</v>
      </c>
      <c r="T12" s="43" t="n">
        <f aca="false">S12-$M$2</f>
        <v>25.0576151713888</v>
      </c>
    </row>
    <row r="13" customFormat="false" ht="15" hidden="false" customHeight="false" outlineLevel="0" collapsed="false">
      <c r="A13" s="5" t="n">
        <v>6</v>
      </c>
      <c r="B13" s="25" t="n">
        <f aca="false">IF(T12&gt;0,B12,D12)</f>
        <v>0.0625</v>
      </c>
      <c r="C13" s="25" t="n">
        <f aca="false">IF(T12&gt;0,D12,C12)</f>
        <v>0.109375</v>
      </c>
      <c r="D13" s="41" t="n">
        <f aca="false">(B13+C13)/2</f>
        <v>0.0859375</v>
      </c>
      <c r="E13" s="15" t="n">
        <f aca="false">$C$2*(1+IF(E$3&lt;=$O$2,$D13,$D13-($D13-$I$6)*MIN(E$3-$O$2,$Q$2)/$Q$2))</f>
        <v>944.798203125</v>
      </c>
      <c r="F13" s="15" t="n">
        <f aca="false">E13*(1+IF(F$3&lt;=$O$2,$D13,$D13-($D13-$I$6)*MIN(F$3-$O$2,$Q$2)/$Q$2))</f>
        <v>1025.99179870605</v>
      </c>
      <c r="G13" s="15" t="n">
        <f aca="false">F13*(1+IF(G$3&lt;=$O$2,$D13,$D13-($D13-$I$6)*MIN(G$3-$O$2,$Q$2)/$Q$2))</f>
        <v>1114.16296890736</v>
      </c>
      <c r="H13" s="15" t="n">
        <f aca="false">G13*(1+IF(H$3&lt;=$O$2,$D13,$D13-($D13-$I$6)*MIN(H$3-$O$2,$Q$2)/$Q$2))</f>
        <v>1209.91134904783</v>
      </c>
      <c r="I13" s="15" t="n">
        <f aca="false">H13*(1+IF(I$3&lt;=$O$2,$D13,$D13-($D13-$I$6)*MIN(I$3-$O$2,$Q$2)/$Q$2))</f>
        <v>1313.88810560663</v>
      </c>
      <c r="J13" s="15" t="n">
        <f aca="false">I13*(1+IF(J$3&lt;=$O$2,$D13,$D13-($D13-$I$6)*MIN(J$3-$O$2,$Q$2)/$Q$2))</f>
        <v>1411.65451954482</v>
      </c>
      <c r="K13" s="15" t="n">
        <f aca="false">J13*(1+IF(K$3&lt;=$O$2,$D13,$D13-($D13-$I$6)*MIN(K$3-$O$2,$Q$2)/$Q$2))</f>
        <v>1500.4228848701</v>
      </c>
      <c r="L13" s="15" t="n">
        <f aca="false">K13*(1+IF(L$3&lt;=$O$2,$D13,$D13-($D13-$I$6)*MIN(L$3-$O$2,$Q$2)/$Q$2))</f>
        <v>1577.4771021226</v>
      </c>
      <c r="M13" s="15" t="n">
        <f aca="false">L13*(1+IF(M$3&lt;=$O$2,$D13,$D13-($D13-$I$6)*MIN(M$3-$O$2,$Q$2)/$Q$2))</f>
        <v>1640.30407140739</v>
      </c>
      <c r="N13" s="15" t="n">
        <f aca="false">M13*(1+IF(N$3&lt;=$O$2,$D13,$D13-($D13-$I$6)*MIN(N$3-$O$2,$Q$2)/$Q$2))</f>
        <v>1686.72467662822</v>
      </c>
      <c r="O13" s="15" t="n">
        <f aca="false">SUMPRODUCT(E13:N13,1/(1+$F$6)^$E$3:$N$3)*$E$2</f>
        <v>1954.22945985779</v>
      </c>
      <c r="P13" s="15" t="n">
        <f aca="false">N13*$E$2*(1+$I$6)/($F$6-$I$6)/(1+$F$6)^$N$3</f>
        <v>3731.36069816199</v>
      </c>
      <c r="Q13" s="15" t="n">
        <f aca="false">O13+P13</f>
        <v>5685.59015801978</v>
      </c>
      <c r="R13" s="15" t="n">
        <f aca="false">Q13-$G$2+$I$2</f>
        <v>5852.99015801978</v>
      </c>
      <c r="S13" s="42" t="n">
        <f aca="false">R13/$K$2</f>
        <v>166.325381017897</v>
      </c>
      <c r="T13" s="43" t="n">
        <f aca="false">S13-$M$2</f>
        <v>1.79000164875754</v>
      </c>
    </row>
    <row r="14" customFormat="false" ht="15" hidden="false" customHeight="false" outlineLevel="0" collapsed="false">
      <c r="A14" s="5" t="n">
        <v>7</v>
      </c>
      <c r="B14" s="25" t="n">
        <f aca="false">IF(T13&gt;0,B13,D13)</f>
        <v>0.0625</v>
      </c>
      <c r="C14" s="25" t="n">
        <f aca="false">IF(T13&gt;0,D13,C13)</f>
        <v>0.0859375</v>
      </c>
      <c r="D14" s="41" t="n">
        <f aca="false">(B14+C14)/2</f>
        <v>0.07421875</v>
      </c>
      <c r="E14" s="15" t="n">
        <f aca="false">$C$2*(1+IF(E$3&lt;=$O$2,$D14,$D14-($D14-$I$6)*MIN(E$3-$O$2,$Q$2)/$Q$2))</f>
        <v>934.6025390625</v>
      </c>
      <c r="F14" s="15" t="n">
        <f aca="false">E14*(1+IF(F$3&lt;=$O$2,$D14,$D14-($D14-$I$6)*MIN(F$3-$O$2,$Q$2)/$Q$2))</f>
        <v>1003.96757125854</v>
      </c>
      <c r="G14" s="15" t="n">
        <f aca="false">F14*(1+IF(G$3&lt;=$O$2,$D14,$D14-($D14-$I$6)*MIN(G$3-$O$2,$Q$2)/$Q$2))</f>
        <v>1078.48078943789</v>
      </c>
      <c r="H14" s="15" t="n">
        <f aca="false">G14*(1+IF(H$3&lt;=$O$2,$D14,$D14-($D14-$I$6)*MIN(H$3-$O$2,$Q$2)/$Q$2))</f>
        <v>1158.52428552898</v>
      </c>
      <c r="I14" s="15" t="n">
        <f aca="false">H14*(1+IF(I$3&lt;=$O$2,$D14,$D14-($D14-$I$6)*MIN(I$3-$O$2,$Q$2)/$Q$2))</f>
        <v>1244.50850984559</v>
      </c>
      <c r="J14" s="15" t="n">
        <f aca="false">I14*(1+IF(J$3&lt;=$O$2,$D14,$D14-($D14-$I$6)*MIN(J$3-$O$2,$Q$2)/$Q$2))</f>
        <v>1325.4451207834</v>
      </c>
      <c r="K14" s="15" t="n">
        <f aca="false">J14*(1+IF(K$3&lt;=$O$2,$D14,$D14-($D14-$I$6)*MIN(K$3-$O$2,$Q$2)/$Q$2))</f>
        <v>1399.47288758555</v>
      </c>
      <c r="L14" s="15" t="n">
        <f aca="false">K14*(1+IF(L$3&lt;=$O$2,$D14,$D14-($D14-$I$6)*MIN(L$3-$O$2,$Q$2)/$Q$2))</f>
        <v>1464.78278856695</v>
      </c>
      <c r="M14" s="15" t="n">
        <f aca="false">L14*(1+IF(M$3&lt;=$O$2,$D14,$D14-($D14-$I$6)*MIN(M$3-$O$2,$Q$2)/$Q$2))</f>
        <v>1519.68834041789</v>
      </c>
      <c r="N14" s="15" t="n">
        <f aca="false">M14*(1+IF(N$3&lt;=$O$2,$D14,$D14-($D14-$I$6)*MIN(N$3-$O$2,$Q$2)/$Q$2))</f>
        <v>1562.69552045172</v>
      </c>
      <c r="O14" s="15" t="n">
        <f aca="false">SUMPRODUCT(E14:N14,1/(1+$F$6)^$E$3:$N$3)*$E$2</f>
        <v>1855.91898667169</v>
      </c>
      <c r="P14" s="15" t="n">
        <f aca="false">N14*$E$2*(1+$I$6)/($F$6-$I$6)/(1+$F$6)^$N$3</f>
        <v>3456.98425416029</v>
      </c>
      <c r="Q14" s="15" t="n">
        <f aca="false">O14+P14</f>
        <v>5312.90324083197</v>
      </c>
      <c r="R14" s="15" t="n">
        <f aca="false">Q14-$G$2+$I$2</f>
        <v>5480.30324083198</v>
      </c>
      <c r="S14" s="42" t="n">
        <f aca="false">R14/$K$2</f>
        <v>155.734675783802</v>
      </c>
      <c r="T14" s="43" t="n">
        <f aca="false">S14-$M$2</f>
        <v>-8.80070358533749</v>
      </c>
    </row>
    <row r="15" customFormat="false" ht="15" hidden="false" customHeight="false" outlineLevel="0" collapsed="false">
      <c r="A15" s="5" t="n">
        <v>8</v>
      </c>
      <c r="B15" s="25" t="n">
        <f aca="false">IF(T14&gt;0,B14,D14)</f>
        <v>0.07421875</v>
      </c>
      <c r="C15" s="25" t="n">
        <f aca="false">IF(T14&gt;0,D14,C14)</f>
        <v>0.0859375</v>
      </c>
      <c r="D15" s="41" t="n">
        <f aca="false">(B15+C15)/2</f>
        <v>0.080078125</v>
      </c>
      <c r="E15" s="15" t="n">
        <f aca="false">$C$2*(1+IF(E$3&lt;=$O$2,$D15,$D15-($D15-$I$6)*MIN(E$3-$O$2,$Q$2)/$Q$2))</f>
        <v>939.70037109375</v>
      </c>
      <c r="F15" s="15" t="n">
        <f aca="false">E15*(1+IF(F$3&lt;=$O$2,$D15,$D15-($D15-$I$6)*MIN(F$3-$O$2,$Q$2)/$Q$2))</f>
        <v>1014.94981487274</v>
      </c>
      <c r="G15" s="15" t="n">
        <f aca="false">F15*(1+IF(G$3&lt;=$O$2,$D15,$D15-($D15-$I$6)*MIN(G$3-$O$2,$Q$2)/$Q$2))</f>
        <v>1096.22509301685</v>
      </c>
      <c r="H15" s="15" t="n">
        <f aca="false">G15*(1+IF(H$3&lt;=$O$2,$D15,$D15-($D15-$I$6)*MIN(H$3-$O$2,$Q$2)/$Q$2))</f>
        <v>1184.00874304359</v>
      </c>
      <c r="I15" s="15" t="n">
        <f aca="false">H15*(1+IF(I$3&lt;=$O$2,$D15,$D15-($D15-$I$6)*MIN(I$3-$O$2,$Q$2)/$Q$2))</f>
        <v>1278.82194317013</v>
      </c>
      <c r="J15" s="15" t="n">
        <f aca="false">I15*(1+IF(J$3&lt;=$O$2,$D15,$D15-($D15-$I$6)*MIN(J$3-$O$2,$Q$2)/$Q$2))</f>
        <v>1367.9846061028</v>
      </c>
      <c r="K15" s="15" t="n">
        <f aca="false">J15*(1+IF(K$3&lt;=$O$2,$D15,$D15-($D15-$I$6)*MIN(K$3-$O$2,$Q$2)/$Q$2))</f>
        <v>1449.19757721523</v>
      </c>
      <c r="L15" s="15" t="n">
        <f aca="false">K15*(1+IF(L$3&lt;=$O$2,$D15,$D15-($D15-$I$6)*MIN(L$3-$O$2,$Q$2)/$Q$2))</f>
        <v>1520.22456197152</v>
      </c>
      <c r="M15" s="15" t="n">
        <f aca="false">L15*(1+IF(M$3&lt;=$O$2,$D15,$D15-($D15-$I$6)*MIN(M$3-$O$2,$Q$2)/$Q$2))</f>
        <v>1578.98979255488</v>
      </c>
      <c r="N15" s="15" t="n">
        <f aca="false">M15*(1+IF(N$3&lt;=$O$2,$D15,$D15-($D15-$I$6)*MIN(N$3-$O$2,$Q$2)/$Q$2))</f>
        <v>1623.67520368419</v>
      </c>
      <c r="O15" s="15" t="n">
        <f aca="false">SUMPRODUCT(E15:N15,1/(1+$F$6)^$E$3:$N$3)*$E$2</f>
        <v>1904.4430421328</v>
      </c>
      <c r="P15" s="15" t="n">
        <f aca="false">N15*$E$2*(1+$I$6)/($F$6-$I$6)/(1+$F$6)^$N$3</f>
        <v>3591.8830888977</v>
      </c>
      <c r="Q15" s="15" t="n">
        <f aca="false">O15+P15</f>
        <v>5496.3261310305</v>
      </c>
      <c r="R15" s="15" t="n">
        <f aca="false">Q15-$G$2+$I$2</f>
        <v>5663.7261310305</v>
      </c>
      <c r="S15" s="42" t="n">
        <f aca="false">R15/$K$2</f>
        <v>160.947034129881</v>
      </c>
      <c r="T15" s="43" t="n">
        <f aca="false">S15-$M$2</f>
        <v>-3.58834523925833</v>
      </c>
    </row>
    <row r="16" customFormat="false" ht="15" hidden="false" customHeight="false" outlineLevel="0" collapsed="false">
      <c r="A16" s="5" t="n">
        <v>9</v>
      </c>
      <c r="B16" s="25" t="n">
        <f aca="false">IF(T15&gt;0,B15,D15)</f>
        <v>0.080078125</v>
      </c>
      <c r="C16" s="25" t="n">
        <f aca="false">IF(T15&gt;0,D15,C15)</f>
        <v>0.0859375</v>
      </c>
      <c r="D16" s="41" t="n">
        <f aca="false">(B16+C16)/2</f>
        <v>0.0830078125</v>
      </c>
      <c r="E16" s="15" t="n">
        <f aca="false">$C$2*(1+IF(E$3&lt;=$O$2,$D16,$D16-($D16-$I$6)*MIN(E$3-$O$2,$Q$2)/$Q$2))</f>
        <v>942.249287109375</v>
      </c>
      <c r="F16" s="15" t="n">
        <f aca="false">E16*(1+IF(F$3&lt;=$O$2,$D16,$D16-($D16-$I$6)*MIN(F$3-$O$2,$Q$2)/$Q$2))</f>
        <v>1020.46333926201</v>
      </c>
      <c r="G16" s="15" t="n">
        <f aca="false">F16*(1+IF(G$3&lt;=$O$2,$D16,$D16-($D16-$I$6)*MIN(G$3-$O$2,$Q$2)/$Q$2))</f>
        <v>1105.16976879059</v>
      </c>
      <c r="H16" s="15" t="n">
        <f aca="false">G16*(1+IF(H$3&lt;=$O$2,$D16,$D16-($D16-$I$6)*MIN(H$3-$O$2,$Q$2)/$Q$2))</f>
        <v>1196.90749373903</v>
      </c>
      <c r="I16" s="15" t="n">
        <f aca="false">H16*(1+IF(I$3&lt;=$O$2,$D16,$D16-($D16-$I$6)*MIN(I$3-$O$2,$Q$2)/$Q$2))</f>
        <v>1296.26016655917</v>
      </c>
      <c r="J16" s="15" t="n">
        <f aca="false">I16*(1+IF(J$3&lt;=$O$2,$D16,$D16-($D16-$I$6)*MIN(J$3-$O$2,$Q$2)/$Q$2))</f>
        <v>1389.67677578746</v>
      </c>
      <c r="K16" s="15" t="n">
        <f aca="false">J16*(1+IF(K$3&lt;=$O$2,$D16,$D16-($D16-$I$6)*MIN(K$3-$O$2,$Q$2)/$Q$2))</f>
        <v>1474.62033443348</v>
      </c>
      <c r="L16" s="15" t="n">
        <f aca="false">K16*(1+IF(L$3&lt;=$O$2,$D16,$D16-($D16-$I$6)*MIN(L$3-$O$2,$Q$2)/$Q$2))</f>
        <v>1548.62139100389</v>
      </c>
      <c r="M16" s="15" t="n">
        <f aca="false">L16*(1+IF(M$3&lt;=$O$2,$D16,$D16-($D16-$I$6)*MIN(M$3-$O$2,$Q$2)/$Q$2))</f>
        <v>1609.39171410781</v>
      </c>
      <c r="N16" s="15" t="n">
        <f aca="false">M16*(1+IF(N$3&lt;=$O$2,$D16,$D16-($D16-$I$6)*MIN(N$3-$O$2,$Q$2)/$Q$2))</f>
        <v>1654.93749961706</v>
      </c>
      <c r="O16" s="15" t="n">
        <f aca="false">SUMPRODUCT(E16:N16,1/(1+$F$6)^$E$3:$N$3)*$E$2</f>
        <v>1929.17657406558</v>
      </c>
      <c r="P16" s="15" t="n">
        <f aca="false">N16*$E$2*(1+$I$6)/($F$6-$I$6)/(1+$F$6)^$N$3</f>
        <v>3661.04132437892</v>
      </c>
      <c r="Q16" s="15" t="n">
        <f aca="false">O16+P16</f>
        <v>5590.21789844451</v>
      </c>
      <c r="R16" s="15" t="n">
        <f aca="false">Q16-$G$2+$I$2</f>
        <v>5757.61789844451</v>
      </c>
      <c r="S16" s="42" t="n">
        <f aca="false">R16/$K$2</f>
        <v>163.615171879639</v>
      </c>
      <c r="T16" s="43" t="n">
        <f aca="false">S16-$M$2</f>
        <v>-0.920207489499717</v>
      </c>
    </row>
    <row r="17" customFormat="false" ht="15" hidden="false" customHeight="false" outlineLevel="0" collapsed="false">
      <c r="A17" s="5" t="n">
        <v>10</v>
      </c>
      <c r="B17" s="25" t="n">
        <f aca="false">IF(T16&gt;0,B16,D16)</f>
        <v>0.0830078125</v>
      </c>
      <c r="C17" s="25" t="n">
        <f aca="false">IF(T16&gt;0,D16,C16)</f>
        <v>0.0859375</v>
      </c>
      <c r="D17" s="41" t="n">
        <f aca="false">(B17+C17)/2</f>
        <v>0.08447265625</v>
      </c>
      <c r="E17" s="15" t="n">
        <f aca="false">$C$2*(1+IF(E$3&lt;=$O$2,$D17,$D17-($D17-$I$6)*MIN(E$3-$O$2,$Q$2)/$Q$2))</f>
        <v>943.523745117187</v>
      </c>
      <c r="F17" s="15" t="n">
        <f aca="false">E17*(1+IF(F$3&lt;=$O$2,$D17,$D17-($D17-$I$6)*MIN(F$3-$O$2,$Q$2)/$Q$2))</f>
        <v>1023.22570210218</v>
      </c>
      <c r="G17" s="15" t="n">
        <f aca="false">F17*(1+IF(G$3&lt;=$O$2,$D17,$D17-($D17-$I$6)*MIN(G$3-$O$2,$Q$2)/$Q$2))</f>
        <v>1109.66029510203</v>
      </c>
      <c r="H17" s="15" t="n">
        <f aca="false">G17*(1+IF(H$3&lt;=$O$2,$D17,$D17-($D17-$I$6)*MIN(H$3-$O$2,$Q$2)/$Q$2))</f>
        <v>1203.39624776445</v>
      </c>
      <c r="I17" s="15" t="n">
        <f aca="false">H17*(1+IF(I$3&lt;=$O$2,$D17,$D17-($D17-$I$6)*MIN(I$3-$O$2,$Q$2)/$Q$2))</f>
        <v>1305.0503253344</v>
      </c>
      <c r="J17" s="15" t="n">
        <f aca="false">I17*(1+IF(J$3&lt;=$O$2,$D17,$D17-($D17-$I$6)*MIN(J$3-$O$2,$Q$2)/$Q$2))</f>
        <v>1400.62976419253</v>
      </c>
      <c r="K17" s="15" t="n">
        <f aca="false">J17*(1+IF(K$3&lt;=$O$2,$D17,$D17-($D17-$I$6)*MIN(K$3-$O$2,$Q$2)/$Q$2))</f>
        <v>1487.47384308568</v>
      </c>
      <c r="L17" s="15" t="n">
        <f aca="false">K17*(1+IF(L$3&lt;=$O$2,$D17,$D17-($D17-$I$6)*MIN(L$3-$O$2,$Q$2)/$Q$2))</f>
        <v>1562.99149559242</v>
      </c>
      <c r="M17" s="15" t="n">
        <f aca="false">L17*(1+IF(M$3&lt;=$O$2,$D17,$D17-($D17-$I$6)*MIN(M$3-$O$2,$Q$2)/$Q$2))</f>
        <v>1624.7836317184</v>
      </c>
      <c r="N17" s="15" t="n">
        <f aca="false">M17*(1+IF(N$3&lt;=$O$2,$D17,$D17-($D17-$I$6)*MIN(N$3-$O$2,$Q$2)/$Q$2))</f>
        <v>1670.76500849603</v>
      </c>
      <c r="O17" s="15" t="n">
        <f aca="false">SUMPRODUCT(E17:N17,1/(1+$F$6)^$E$3:$N$3)*$E$2</f>
        <v>1941.66286039927</v>
      </c>
      <c r="P17" s="15" t="n">
        <f aca="false">N17*$E$2*(1+$I$6)/($F$6-$I$6)/(1+$F$6)^$N$3</f>
        <v>3696.05483037615</v>
      </c>
      <c r="Q17" s="15" t="n">
        <f aca="false">O17+P17</f>
        <v>5637.71769077542</v>
      </c>
      <c r="R17" s="15" t="n">
        <f aca="false">Q17-$G$2+$I$2</f>
        <v>5805.11769077542</v>
      </c>
      <c r="S17" s="42" t="n">
        <f aca="false">R17/$K$2</f>
        <v>164.964981266707</v>
      </c>
      <c r="T17" s="43" t="n">
        <f aca="false">S17-$M$2</f>
        <v>0.429601897567977</v>
      </c>
    </row>
    <row r="18" customFormat="false" ht="15" hidden="false" customHeight="false" outlineLevel="0" collapsed="false">
      <c r="A18" s="5" t="n">
        <v>11</v>
      </c>
      <c r="B18" s="25" t="n">
        <f aca="false">IF(T17&gt;0,B17,D17)</f>
        <v>0.0830078125</v>
      </c>
      <c r="C18" s="25" t="n">
        <f aca="false">IF(T17&gt;0,D17,C17)</f>
        <v>0.08447265625</v>
      </c>
      <c r="D18" s="41" t="n">
        <f aca="false">(B18+C18)/2</f>
        <v>0.083740234375</v>
      </c>
      <c r="E18" s="15" t="n">
        <f aca="false">$C$2*(1+IF(E$3&lt;=$O$2,$D18,$D18-($D18-$I$6)*MIN(E$3-$O$2,$Q$2)/$Q$2))</f>
        <v>942.886516113281</v>
      </c>
      <c r="F18" s="15" t="n">
        <f aca="false">E18*(1+IF(F$3&lt;=$O$2,$D18,$D18-($D18-$I$6)*MIN(F$3-$O$2,$Q$2)/$Q$2))</f>
        <v>1021.84405396163</v>
      </c>
      <c r="G18" s="15" t="n">
        <f aca="false">F18*(1+IF(G$3&lt;=$O$2,$D18,$D18-($D18-$I$6)*MIN(G$3-$O$2,$Q$2)/$Q$2))</f>
        <v>1107.41351453508</v>
      </c>
      <c r="H18" s="15" t="n">
        <f aca="false">G18*(1+IF(H$3&lt;=$O$2,$D18,$D18-($D18-$I$6)*MIN(H$3-$O$2,$Q$2)/$Q$2))</f>
        <v>1200.14858179229</v>
      </c>
      <c r="I18" s="15" t="n">
        <f aca="false">H18*(1+IF(I$3&lt;=$O$2,$D18,$D18-($D18-$I$6)*MIN(I$3-$O$2,$Q$2)/$Q$2))</f>
        <v>1300.6493053164</v>
      </c>
      <c r="J18" s="15" t="n">
        <f aca="false">I18*(1+IF(J$3&lt;=$O$2,$D18,$D18-($D18-$I$6)*MIN(J$3-$O$2,$Q$2)/$Q$2))</f>
        <v>1395.14432251799</v>
      </c>
      <c r="K18" s="15" t="n">
        <f aca="false">J18*(1+IF(K$3&lt;=$O$2,$D18,$D18-($D18-$I$6)*MIN(K$3-$O$2,$Q$2)/$Q$2))</f>
        <v>1481.03518378166</v>
      </c>
      <c r="L18" s="15" t="n">
        <f aca="false">K18*(1+IF(L$3&lt;=$O$2,$D18,$D18-($D18-$I$6)*MIN(L$3-$O$2,$Q$2)/$Q$2))</f>
        <v>1555.79205456527</v>
      </c>
      <c r="M18" s="15" t="n">
        <f aca="false">L18*(1+IF(M$3&lt;=$O$2,$D18,$D18-($D18-$I$6)*MIN(M$3-$O$2,$Q$2)/$Q$2))</f>
        <v>1617.07166493824</v>
      </c>
      <c r="N18" s="15" t="n">
        <f aca="false">M18*(1+IF(N$3&lt;=$O$2,$D18,$D18-($D18-$I$6)*MIN(N$3-$O$2,$Q$2)/$Q$2))</f>
        <v>1662.834793056</v>
      </c>
      <c r="O18" s="15" t="n">
        <f aca="false">SUMPRODUCT(E18:N18,1/(1+$F$6)^$E$3:$N$3)*$E$2</f>
        <v>1935.40970785342</v>
      </c>
      <c r="P18" s="15" t="n">
        <f aca="false">N18*$E$2*(1+$I$6)/($F$6-$I$6)/(1+$F$6)^$N$3</f>
        <v>3678.51166246564</v>
      </c>
      <c r="Q18" s="15" t="n">
        <f aca="false">O18+P18</f>
        <v>5613.92137031906</v>
      </c>
      <c r="R18" s="15" t="n">
        <f aca="false">Q18-$G$2+$I$2</f>
        <v>5781.32137031906</v>
      </c>
      <c r="S18" s="42" t="n">
        <f aca="false">R18/$K$2</f>
        <v>164.288757326486</v>
      </c>
      <c r="T18" s="43" t="n">
        <f aca="false">S18-$M$2</f>
        <v>-0.246622042652547</v>
      </c>
    </row>
    <row r="19" customFormat="false" ht="15" hidden="false" customHeight="false" outlineLevel="0" collapsed="false">
      <c r="A19" s="5" t="n">
        <v>12</v>
      </c>
      <c r="B19" s="25" t="n">
        <f aca="false">IF(T18&gt;0,B18,D18)</f>
        <v>0.083740234375</v>
      </c>
      <c r="C19" s="25" t="n">
        <f aca="false">IF(T18&gt;0,D18,C18)</f>
        <v>0.08447265625</v>
      </c>
      <c r="D19" s="41" t="n">
        <f aca="false">(B19+C19)/2</f>
        <v>0.0841064453125</v>
      </c>
      <c r="E19" s="15" t="n">
        <f aca="false">$C$2*(1+IF(E$3&lt;=$O$2,$D19,$D19-($D19-$I$6)*MIN(E$3-$O$2,$Q$2)/$Q$2))</f>
        <v>943.205130615234</v>
      </c>
      <c r="F19" s="15" t="n">
        <f aca="false">E19*(1+IF(F$3&lt;=$O$2,$D19,$D19-($D19-$I$6)*MIN(F$3-$O$2,$Q$2)/$Q$2))</f>
        <v>1022.53476135179</v>
      </c>
      <c r="G19" s="15" t="n">
        <f aca="false">F19*(1+IF(G$3&lt;=$O$2,$D19,$D19-($D19-$I$6)*MIN(G$3-$O$2,$Q$2)/$Q$2))</f>
        <v>1108.53652533756</v>
      </c>
      <c r="H19" s="15" t="n">
        <f aca="false">G19*(1+IF(H$3&lt;=$O$2,$D19,$D19-($D19-$I$6)*MIN(H$3-$O$2,$Q$2)/$Q$2))</f>
        <v>1201.77159198277</v>
      </c>
      <c r="I19" s="15" t="n">
        <f aca="false">H19*(1+IF(I$3&lt;=$O$2,$D19,$D19-($D19-$I$6)*MIN(I$3-$O$2,$Q$2)/$Q$2))</f>
        <v>1302.84832866199</v>
      </c>
      <c r="J19" s="15" t="n">
        <f aca="false">I19*(1+IF(J$3&lt;=$O$2,$D19,$D19-($D19-$I$6)*MIN(J$3-$O$2,$Q$2)/$Q$2))</f>
        <v>1397.88480356629</v>
      </c>
      <c r="K19" s="15" t="n">
        <f aca="false">J19*(1+IF(K$3&lt;=$O$2,$D19,$D19-($D19-$I$6)*MIN(K$3-$O$2,$Q$2)/$Q$2))</f>
        <v>1484.25153261325</v>
      </c>
      <c r="L19" s="15" t="n">
        <f aca="false">K19*(1+IF(L$3&lt;=$O$2,$D19,$D19-($D19-$I$6)*MIN(L$3-$O$2,$Q$2)/$Q$2))</f>
        <v>1559.38817178012</v>
      </c>
      <c r="M19" s="15" t="n">
        <f aca="false">L19*(1+IF(M$3&lt;=$O$2,$D19,$D19-($D19-$I$6)*MIN(M$3-$O$2,$Q$2)/$Q$2))</f>
        <v>1620.92363918737</v>
      </c>
      <c r="N19" s="15" t="n">
        <f aca="false">M19*(1+IF(N$3&lt;=$O$2,$D19,$D19-($D19-$I$6)*MIN(N$3-$O$2,$Q$2)/$Q$2))</f>
        <v>1666.79577817638</v>
      </c>
      <c r="O19" s="15" t="n">
        <f aca="false">SUMPRODUCT(E19:N19,1/(1+$F$6)^$E$3:$N$3)*$E$2</f>
        <v>1938.53377806737</v>
      </c>
      <c r="P19" s="15" t="n">
        <f aca="false">N19*$E$2*(1+$I$6)/($F$6-$I$6)/(1+$F$6)^$N$3</f>
        <v>3687.2741264344</v>
      </c>
      <c r="Q19" s="15" t="n">
        <f aca="false">O19+P19</f>
        <v>5625.80790450177</v>
      </c>
      <c r="R19" s="15" t="n">
        <f aca="false">Q19-$G$2+$I$2</f>
        <v>5793.20790450177</v>
      </c>
      <c r="S19" s="42" t="n">
        <f aca="false">R19/$K$2</f>
        <v>164.626538917356</v>
      </c>
      <c r="T19" s="43" t="n">
        <f aca="false">S19-$M$2</f>
        <v>0.0911595482174619</v>
      </c>
    </row>
    <row r="20" customFormat="false" ht="15" hidden="false" customHeight="false" outlineLevel="0" collapsed="false">
      <c r="A20" s="5" t="n">
        <v>13</v>
      </c>
      <c r="B20" s="25" t="n">
        <f aca="false">IF(T19&gt;0,B19,D19)</f>
        <v>0.083740234375</v>
      </c>
      <c r="C20" s="25" t="n">
        <f aca="false">IF(T19&gt;0,D19,C19)</f>
        <v>0.0841064453125</v>
      </c>
      <c r="D20" s="41" t="n">
        <f aca="false">(B20+C20)/2</f>
        <v>0.08392333984375</v>
      </c>
      <c r="E20" s="15" t="n">
        <f aca="false">$C$2*(1+IF(E$3&lt;=$O$2,$D20,$D20-($D20-$I$6)*MIN(E$3-$O$2,$Q$2)/$Q$2))</f>
        <v>943.045823364258</v>
      </c>
      <c r="F20" s="15" t="n">
        <f aca="false">E20*(1+IF(F$3&lt;=$O$2,$D20,$D20-($D20-$I$6)*MIN(F$3-$O$2,$Q$2)/$Q$2))</f>
        <v>1022.18937848669</v>
      </c>
      <c r="G20" s="15" t="n">
        <f aca="false">F20*(1+IF(G$3&lt;=$O$2,$D20,$D20-($D20-$I$6)*MIN(G$3-$O$2,$Q$2)/$Q$2))</f>
        <v>1107.9749250821</v>
      </c>
      <c r="H20" s="15" t="n">
        <f aca="false">G20*(1+IF(H$3&lt;=$O$2,$D20,$D20-($D20-$I$6)*MIN(H$3-$O$2,$Q$2)/$Q$2))</f>
        <v>1200.95988125811</v>
      </c>
      <c r="I20" s="15" t="n">
        <f aca="false">H20*(1+IF(I$3&lt;=$O$2,$D20,$D20-($D20-$I$6)*MIN(I$3-$O$2,$Q$2)/$Q$2))</f>
        <v>1301.74844551165</v>
      </c>
      <c r="J20" s="15" t="n">
        <f aca="false">I20*(1+IF(J$3&lt;=$O$2,$D20,$D20-($D20-$I$6)*MIN(J$3-$O$2,$Q$2)/$Q$2))</f>
        <v>1396.51400346024</v>
      </c>
      <c r="K20" s="15" t="n">
        <f aca="false">J20*(1+IF(K$3&lt;=$O$2,$D20,$D20-($D20-$I$6)*MIN(K$3-$O$2,$Q$2)/$Q$2))</f>
        <v>1482.64261356478</v>
      </c>
      <c r="L20" s="15" t="n">
        <f aca="false">K20*(1+IF(L$3&lt;=$O$2,$D20,$D20-($D20-$I$6)*MIN(L$3-$O$2,$Q$2)/$Q$2))</f>
        <v>1557.58921311312</v>
      </c>
      <c r="M20" s="15" t="n">
        <f aca="false">L20*(1+IF(M$3&lt;=$O$2,$D20,$D20-($D20-$I$6)*MIN(M$3-$O$2,$Q$2)/$Q$2))</f>
        <v>1618.99665067181</v>
      </c>
      <c r="N20" s="15" t="n">
        <f aca="false">M20*(1+IF(N$3&lt;=$O$2,$D20,$D20-($D20-$I$6)*MIN(N$3-$O$2,$Q$2)/$Q$2))</f>
        <v>1664.81425588582</v>
      </c>
      <c r="O20" s="15" t="n">
        <f aca="false">SUMPRODUCT(E20:N20,1/(1+$F$6)^$E$3:$N$3)*$E$2</f>
        <v>1936.9711169103</v>
      </c>
      <c r="P20" s="15" t="n">
        <f aca="false">N20*$E$2*(1+$I$6)/($F$6-$I$6)/(1+$F$6)^$N$3</f>
        <v>3682.89061648761</v>
      </c>
      <c r="Q20" s="15" t="n">
        <f aca="false">O20+P20</f>
        <v>5619.86173339792</v>
      </c>
      <c r="R20" s="15" t="n">
        <f aca="false">Q20-$G$2+$I$2</f>
        <v>5787.26173339792</v>
      </c>
      <c r="S20" s="42" t="n">
        <f aca="false">R20/$K$2</f>
        <v>164.457565598122</v>
      </c>
      <c r="T20" s="43" t="n">
        <f aca="false">S20-$M$2</f>
        <v>-0.0778137710169347</v>
      </c>
    </row>
    <row r="21" customFormat="false" ht="15" hidden="false" customHeight="false" outlineLevel="0" collapsed="false">
      <c r="A21" s="5" t="n">
        <v>14</v>
      </c>
      <c r="B21" s="25" t="n">
        <f aca="false">IF(T20&gt;0,B20,D20)</f>
        <v>0.08392333984375</v>
      </c>
      <c r="C21" s="25" t="n">
        <f aca="false">IF(T20&gt;0,D20,C20)</f>
        <v>0.0841064453125</v>
      </c>
      <c r="D21" s="41" t="n">
        <f aca="false">(B21+C21)/2</f>
        <v>0.084014892578125</v>
      </c>
      <c r="E21" s="15" t="n">
        <f aca="false">$C$2*(1+IF(E$3&lt;=$O$2,$D21,$D21-($D21-$I$6)*MIN(E$3-$O$2,$Q$2)/$Q$2))</f>
        <v>943.125476989746</v>
      </c>
      <c r="F21" s="15" t="n">
        <f aca="false">E21*(1+IF(F$3&lt;=$O$2,$D21,$D21-($D21-$I$6)*MIN(F$3-$O$2,$Q$2)/$Q$2))</f>
        <v>1022.36206262673</v>
      </c>
      <c r="G21" s="15" t="n">
        <f aca="false">F21*(1+IF(G$3&lt;=$O$2,$D21,$D21-($D21-$I$6)*MIN(G$3-$O$2,$Q$2)/$Q$2))</f>
        <v>1108.25570149427</v>
      </c>
      <c r="H21" s="15" t="n">
        <f aca="false">G21*(1+IF(H$3&lt;=$O$2,$D21,$D21-($D21-$I$6)*MIN(H$3-$O$2,$Q$2)/$Q$2))</f>
        <v>1201.3656852044</v>
      </c>
      <c r="I21" s="15" t="n">
        <f aca="false">H21*(1+IF(I$3&lt;=$O$2,$D21,$D21-($D21-$I$6)*MIN(I$3-$O$2,$Q$2)/$Q$2))</f>
        <v>1302.2982941939</v>
      </c>
      <c r="J21" s="15" t="n">
        <f aca="false">I21*(1+IF(J$3&lt;=$O$2,$D21,$D21-($D21-$I$6)*MIN(J$3-$O$2,$Q$2)/$Q$2))</f>
        <v>1397.19926357213</v>
      </c>
      <c r="K21" s="15" t="n">
        <f aca="false">J21*(1+IF(K$3&lt;=$O$2,$D21,$D21-($D21-$I$6)*MIN(K$3-$O$2,$Q$2)/$Q$2))</f>
        <v>1483.44688685932</v>
      </c>
      <c r="L21" s="15" t="n">
        <f aca="false">K21*(1+IF(L$3&lt;=$O$2,$D21,$D21-($D21-$I$6)*MIN(L$3-$O$2,$Q$2)/$Q$2))</f>
        <v>1558.48846733613</v>
      </c>
      <c r="M21" s="15" t="n">
        <f aca="false">L21*(1+IF(M$3&lt;=$O$2,$D21,$D21-($D21-$I$6)*MIN(M$3-$O$2,$Q$2)/$Q$2))</f>
        <v>1619.95989447012</v>
      </c>
      <c r="N21" s="15" t="n">
        <f aca="false">M21*(1+IF(N$3&lt;=$O$2,$D21,$D21-($D21-$I$6)*MIN(N$3-$O$2,$Q$2)/$Q$2))</f>
        <v>1665.80475948362</v>
      </c>
      <c r="O21" s="15" t="n">
        <f aca="false">SUMPRODUCT(E21:N21,1/(1+$F$6)^$E$3:$N$3)*$E$2</f>
        <v>1937.75229091825</v>
      </c>
      <c r="P21" s="15" t="n">
        <f aca="false">N21*$E$2*(1+$I$6)/($F$6-$I$6)/(1+$F$6)^$N$3</f>
        <v>3685.08180171625</v>
      </c>
      <c r="Q21" s="15" t="n">
        <f aca="false">O21+P21</f>
        <v>5622.8340926345</v>
      </c>
      <c r="R21" s="15" t="n">
        <f aca="false">Q21-$G$2+$I$2</f>
        <v>5790.2340926345</v>
      </c>
      <c r="S21" s="42" t="n">
        <f aca="false">R21/$K$2</f>
        <v>164.542031617917</v>
      </c>
      <c r="T21" s="43" t="n">
        <f aca="false">S21-$M$2</f>
        <v>0.0066522487781242</v>
      </c>
    </row>
    <row r="22" customFormat="false" ht="15" hidden="false" customHeight="false" outlineLevel="0" collapsed="false">
      <c r="A22" s="5" t="n">
        <v>15</v>
      </c>
      <c r="B22" s="25" t="n">
        <f aca="false">IF(T21&gt;0,B21,D21)</f>
        <v>0.08392333984375</v>
      </c>
      <c r="C22" s="25" t="n">
        <f aca="false">IF(T21&gt;0,D21,C21)</f>
        <v>0.084014892578125</v>
      </c>
      <c r="D22" s="41" t="n">
        <f aca="false">(B22+C22)/2</f>
        <v>0.0839691162109375</v>
      </c>
      <c r="E22" s="15" t="n">
        <f aca="false">$C$2*(1+IF(E$3&lt;=$O$2,$D22,$D22-($D22-$I$6)*MIN(E$3-$O$2,$Q$2)/$Q$2))</f>
        <v>943.085650177002</v>
      </c>
      <c r="F22" s="15" t="n">
        <f aca="false">E22*(1+IF(F$3&lt;=$O$2,$D22,$D22-($D22-$I$6)*MIN(F$3-$O$2,$Q$2)/$Q$2))</f>
        <v>1022.27571873358</v>
      </c>
      <c r="G22" s="15" t="n">
        <f aca="false">F22*(1+IF(G$3&lt;=$O$2,$D22,$D22-($D22-$I$6)*MIN(G$3-$O$2,$Q$2)/$Q$2))</f>
        <v>1108.11530735954</v>
      </c>
      <c r="H22" s="15" t="n">
        <f aca="false">G22*(1+IF(H$3&lt;=$O$2,$D22,$D22-($D22-$I$6)*MIN(H$3-$O$2,$Q$2)/$Q$2))</f>
        <v>1201.16277037833</v>
      </c>
      <c r="I22" s="15" t="n">
        <f aca="false">H22*(1+IF(I$3&lt;=$O$2,$D22,$D22-($D22-$I$6)*MIN(I$3-$O$2,$Q$2)/$Q$2))</f>
        <v>1302.02334663248</v>
      </c>
      <c r="J22" s="15" t="n">
        <f aca="false">I22*(1+IF(J$3&lt;=$O$2,$D22,$D22-($D22-$I$6)*MIN(J$3-$O$2,$Q$2)/$Q$2))</f>
        <v>1396.85659853661</v>
      </c>
      <c r="K22" s="15" t="n">
        <f aca="false">J22*(1+IF(K$3&lt;=$O$2,$D22,$D22-($D22-$I$6)*MIN(K$3-$O$2,$Q$2)/$Q$2))</f>
        <v>1483.04470366357</v>
      </c>
      <c r="L22" s="15" t="n">
        <f aca="false">K22*(1+IF(L$3&lt;=$O$2,$D22,$D22-($D22-$I$6)*MIN(L$3-$O$2,$Q$2)/$Q$2))</f>
        <v>1558.03878395895</v>
      </c>
      <c r="M22" s="15" t="n">
        <f aca="false">L22*(1+IF(M$3&lt;=$O$2,$D22,$D22-($D22-$I$6)*MIN(M$3-$O$2,$Q$2)/$Q$2))</f>
        <v>1619.47820997006</v>
      </c>
      <c r="N22" s="15" t="n">
        <f aca="false">M22*(1+IF(N$3&lt;=$O$2,$D22,$D22-($D22-$I$6)*MIN(N$3-$O$2,$Q$2)/$Q$2))</f>
        <v>1665.30944331222</v>
      </c>
      <c r="O22" s="15" t="n">
        <f aca="false">SUMPRODUCT(E22:N22,1/(1+$F$6)^$E$3:$N$3)*$E$2</f>
        <v>1937.36166477889</v>
      </c>
      <c r="P22" s="15" t="n">
        <f aca="false">N22*$E$2*(1+$I$6)/($F$6-$I$6)/(1+$F$6)^$N$3</f>
        <v>3683.98606669752</v>
      </c>
      <c r="Q22" s="15" t="n">
        <f aca="false">O22+P22</f>
        <v>5621.34773147641</v>
      </c>
      <c r="R22" s="15" t="n">
        <f aca="false">Q22-$G$2+$I$2</f>
        <v>5788.74773147641</v>
      </c>
      <c r="S22" s="42" t="n">
        <f aca="false">R22/$K$2</f>
        <v>164.499793449173</v>
      </c>
      <c r="T22" s="43" t="n">
        <f aca="false">S22-$M$2</f>
        <v>-0.035585919965655</v>
      </c>
    </row>
    <row r="23" customFormat="false" ht="15" hidden="false" customHeight="false" outlineLevel="0" collapsed="false">
      <c r="A23" s="5" t="n">
        <v>16</v>
      </c>
      <c r="B23" s="25" t="n">
        <f aca="false">IF(T22&gt;0,B22,D22)</f>
        <v>0.0839691162109375</v>
      </c>
      <c r="C23" s="25" t="n">
        <f aca="false">IF(T22&gt;0,D22,C22)</f>
        <v>0.084014892578125</v>
      </c>
      <c r="D23" s="41" t="n">
        <f aca="false">(B23+C23)/2</f>
        <v>0.0839920043945313</v>
      </c>
      <c r="E23" s="15" t="n">
        <f aca="false">$C$2*(1+IF(E$3&lt;=$O$2,$D23,$D23-($D23-$I$6)*MIN(E$3-$O$2,$Q$2)/$Q$2))</f>
        <v>943.105563583374</v>
      </c>
      <c r="F23" s="15" t="n">
        <f aca="false">E23*(1+IF(F$3&lt;=$O$2,$D23,$D23-($D23-$I$6)*MIN(F$3-$O$2,$Q$2)/$Q$2))</f>
        <v>1022.31889022438</v>
      </c>
      <c r="G23" s="15" t="n">
        <f aca="false">F23*(1+IF(G$3&lt;=$O$2,$D23,$D23-($D23-$I$6)*MIN(G$3-$O$2,$Q$2)/$Q$2))</f>
        <v>1108.18550294471</v>
      </c>
      <c r="H23" s="15" t="n">
        <f aca="false">G23*(1+IF(H$3&lt;=$O$2,$D23,$D23-($D23-$I$6)*MIN(H$3-$O$2,$Q$2)/$Q$2))</f>
        <v>1201.264224578</v>
      </c>
      <c r="I23" s="15" t="n">
        <f aca="false">H23*(1+IF(I$3&lt;=$O$2,$D23,$D23-($D23-$I$6)*MIN(I$3-$O$2,$Q$2)/$Q$2))</f>
        <v>1302.16081460775</v>
      </c>
      <c r="J23" s="15" t="n">
        <f aca="false">I23*(1+IF(J$3&lt;=$O$2,$D23,$D23-($D23-$I$6)*MIN(J$3-$O$2,$Q$2)/$Q$2))</f>
        <v>1397.02792230877</v>
      </c>
      <c r="K23" s="15" t="n">
        <f aca="false">J23*(1+IF(K$3&lt;=$O$2,$D23,$D23-($D23-$I$6)*MIN(K$3-$O$2,$Q$2)/$Q$2))</f>
        <v>1483.24578362321</v>
      </c>
      <c r="L23" s="15" t="n">
        <f aca="false">K23*(1+IF(L$3&lt;=$O$2,$D23,$D23-($D23-$I$6)*MIN(L$3-$O$2,$Q$2)/$Q$2))</f>
        <v>1558.26361157963</v>
      </c>
      <c r="M23" s="15" t="n">
        <f aca="false">L23*(1+IF(M$3&lt;=$O$2,$D23,$D23-($D23-$I$6)*MIN(M$3-$O$2,$Q$2)/$Q$2))</f>
        <v>1619.71903656812</v>
      </c>
      <c r="N23" s="15" t="n">
        <f aca="false">M23*(1+IF(N$3&lt;=$O$2,$D23,$D23-($D23-$I$6)*MIN(N$3-$O$2,$Q$2)/$Q$2))</f>
        <v>1665.557085303</v>
      </c>
      <c r="O23" s="15" t="n">
        <f aca="false">SUMPRODUCT(E23:N23,1/(1+$F$6)^$E$3:$N$3)*$E$2</f>
        <v>1937.55696806382</v>
      </c>
      <c r="P23" s="15" t="n">
        <f aca="false">N23*$E$2*(1+$I$6)/($F$6-$I$6)/(1+$F$6)^$N$3</f>
        <v>3684.53389860181</v>
      </c>
      <c r="Q23" s="15" t="n">
        <f aca="false">O23+P23</f>
        <v>5622.09086666563</v>
      </c>
      <c r="R23" s="15" t="n">
        <f aca="false">Q23-$G$2+$I$2</f>
        <v>5789.49086666563</v>
      </c>
      <c r="S23" s="42" t="n">
        <f aca="false">R23/$K$2</f>
        <v>164.520911243695</v>
      </c>
      <c r="T23" s="43" t="n">
        <f aca="false">S23-$M$2</f>
        <v>-0.0144681254439547</v>
      </c>
    </row>
    <row r="24" customFormat="false" ht="15" hidden="false" customHeight="false" outlineLevel="0" collapsed="false">
      <c r="A24" s="5" t="n">
        <v>17</v>
      </c>
      <c r="B24" s="25" t="n">
        <f aca="false">IF(T23&gt;0,B23,D23)</f>
        <v>0.0839920043945313</v>
      </c>
      <c r="C24" s="25" t="n">
        <f aca="false">IF(T23&gt;0,D23,C23)</f>
        <v>0.084014892578125</v>
      </c>
      <c r="D24" s="41" t="n">
        <f aca="false">(B24+C24)/2</f>
        <v>0.0840034484863281</v>
      </c>
      <c r="E24" s="15" t="n">
        <f aca="false">$C$2*(1+IF(E$3&lt;=$O$2,$D24,$D24-($D24-$I$6)*MIN(E$3-$O$2,$Q$2)/$Q$2))</f>
        <v>943.11552028656</v>
      </c>
      <c r="F24" s="15" t="n">
        <f aca="false">E24*(1+IF(F$3&lt;=$O$2,$D24,$D24-($D24-$I$6)*MIN(F$3-$O$2,$Q$2)/$Q$2))</f>
        <v>1022.34047631161</v>
      </c>
      <c r="G24" s="15" t="n">
        <f aca="false">F24*(1+IF(G$3&lt;=$O$2,$D24,$D24-($D24-$I$6)*MIN(G$3-$O$2,$Q$2)/$Q$2))</f>
        <v>1108.22060184894</v>
      </c>
      <c r="H24" s="15" t="n">
        <f aca="false">G24*(1+IF(H$3&lt;=$O$2,$D24,$D24-($D24-$I$6)*MIN(H$3-$O$2,$Q$2)/$Q$2))</f>
        <v>1201.31495408784</v>
      </c>
      <c r="I24" s="15" t="n">
        <f aca="false">H24*(1+IF(I$3&lt;=$O$2,$D24,$D24-($D24-$I$6)*MIN(I$3-$O$2,$Q$2)/$Q$2))</f>
        <v>1302.22955294942</v>
      </c>
      <c r="J24" s="15" t="n">
        <f aca="false">I24*(1+IF(J$3&lt;=$O$2,$D24,$D24-($D24-$I$6)*MIN(J$3-$O$2,$Q$2)/$Q$2))</f>
        <v>1397.11359075396</v>
      </c>
      <c r="K24" s="15" t="n">
        <f aca="false">J24*(1+IF(K$3&lt;=$O$2,$D24,$D24-($D24-$I$6)*MIN(K$3-$O$2,$Q$2)/$Q$2))</f>
        <v>1483.34633233156</v>
      </c>
      <c r="L24" s="15" t="n">
        <f aca="false">K24*(1+IF(L$3&lt;=$O$2,$D24,$D24-($D24-$I$6)*MIN(L$3-$O$2,$Q$2)/$Q$2))</f>
        <v>1558.37603594071</v>
      </c>
      <c r="M24" s="15" t="n">
        <f aca="false">L24*(1+IF(M$3&lt;=$O$2,$D24,$D24-($D24-$I$6)*MIN(M$3-$O$2,$Q$2)/$Q$2))</f>
        <v>1619.83946160591</v>
      </c>
      <c r="N24" s="15" t="n">
        <f aca="false">M24*(1+IF(N$3&lt;=$O$2,$D24,$D24-($D24-$I$6)*MIN(N$3-$O$2,$Q$2)/$Q$2))</f>
        <v>1665.68091836935</v>
      </c>
      <c r="O24" s="15" t="n">
        <f aca="false">SUMPRODUCT(E24:N24,1/(1+$F$6)^$E$3:$N$3)*$E$2</f>
        <v>1937.65462704473</v>
      </c>
      <c r="P24" s="15" t="n">
        <f aca="false">N24*$E$2*(1+$I$6)/($F$6-$I$6)/(1+$F$6)^$N$3</f>
        <v>3684.80784125726</v>
      </c>
      <c r="Q24" s="15" t="n">
        <f aca="false">O24+P24</f>
        <v>5622.462468302</v>
      </c>
      <c r="R24" s="15" t="n">
        <f aca="false">Q24-$G$2+$I$2</f>
        <v>5789.862468302</v>
      </c>
      <c r="S24" s="42" t="n">
        <f aca="false">R24/$K$2</f>
        <v>164.531471108326</v>
      </c>
      <c r="T24" s="43" t="n">
        <f aca="false">S24-$M$2</f>
        <v>-0.00390826081283535</v>
      </c>
    </row>
    <row r="25" customFormat="false" ht="15" hidden="false" customHeight="false" outlineLevel="0" collapsed="false">
      <c r="A25" s="5" t="n">
        <v>18</v>
      </c>
      <c r="B25" s="25" t="n">
        <f aca="false">IF(T24&gt;0,B24,D24)</f>
        <v>0.0840034484863281</v>
      </c>
      <c r="C25" s="25" t="n">
        <f aca="false">IF(T24&gt;0,D24,C24)</f>
        <v>0.084014892578125</v>
      </c>
      <c r="D25" s="41" t="n">
        <f aca="false">(B25+C25)/2</f>
        <v>0.0840091705322266</v>
      </c>
      <c r="E25" s="15" t="n">
        <f aca="false">$C$2*(1+IF(E$3&lt;=$O$2,$D25,$D25-($D25-$I$6)*MIN(E$3-$O$2,$Q$2)/$Q$2))</f>
        <v>943.120498638153</v>
      </c>
      <c r="F25" s="15" t="n">
        <f aca="false">E25*(1+IF(F$3&lt;=$O$2,$D25,$D25-($D25-$I$6)*MIN(F$3-$O$2,$Q$2)/$Q$2))</f>
        <v>1022.35126944068</v>
      </c>
      <c r="G25" s="15" t="n">
        <f aca="false">F25*(1+IF(G$3&lt;=$O$2,$D25,$D25-($D25-$I$6)*MIN(G$3-$O$2,$Q$2)/$Q$2))</f>
        <v>1108.23815157897</v>
      </c>
      <c r="H25" s="15" t="n">
        <f aca="false">G25*(1+IF(H$3&lt;=$O$2,$D25,$D25-($D25-$I$6)*MIN(H$3-$O$2,$Q$2)/$Q$2))</f>
        <v>1201.34031944528</v>
      </c>
      <c r="I25" s="15" t="n">
        <f aca="false">H25*(1+IF(I$3&lt;=$O$2,$D25,$D25-($D25-$I$6)*MIN(I$3-$O$2,$Q$2)/$Q$2))</f>
        <v>1302.2639232088</v>
      </c>
      <c r="J25" s="15" t="n">
        <f aca="false">I25*(1+IF(J$3&lt;=$O$2,$D25,$D25-($D25-$I$6)*MIN(J$3-$O$2,$Q$2)/$Q$2))</f>
        <v>1397.15642661641</v>
      </c>
      <c r="K25" s="15" t="n">
        <f aca="false">J25*(1+IF(K$3&lt;=$O$2,$D25,$D25-($D25-$I$6)*MIN(K$3-$O$2,$Q$2)/$Q$2))</f>
        <v>1483.396608868</v>
      </c>
      <c r="L25" s="15" t="n">
        <f aca="false">K25*(1+IF(L$3&lt;=$O$2,$D25,$D25-($D25-$I$6)*MIN(L$3-$O$2,$Q$2)/$Q$2))</f>
        <v>1558.43225075911</v>
      </c>
      <c r="M25" s="15" t="n">
        <f aca="false">L25*(1+IF(M$3&lt;=$O$2,$D25,$D25-($D25-$I$6)*MIN(M$3-$O$2,$Q$2)/$Q$2))</f>
        <v>1619.89967705968</v>
      </c>
      <c r="N25" s="15" t="n">
        <f aca="false">M25*(1+IF(N$3&lt;=$O$2,$D25,$D25-($D25-$I$6)*MIN(N$3-$O$2,$Q$2)/$Q$2))</f>
        <v>1665.74283792047</v>
      </c>
      <c r="O25" s="15" t="n">
        <f aca="false">SUMPRODUCT(E25:N25,1/(1+$F$6)^$E$3:$N$3)*$E$2</f>
        <v>1937.7034583699</v>
      </c>
      <c r="P25" s="15" t="n">
        <f aca="false">N25*$E$2*(1+$I$6)/($F$6-$I$6)/(1+$F$6)^$N$3</f>
        <v>3684.94481926125</v>
      </c>
      <c r="Q25" s="15" t="n">
        <f aca="false">O25+P25</f>
        <v>5622.64827763116</v>
      </c>
      <c r="R25" s="15" t="n">
        <f aca="false">Q25-$G$2+$I$2</f>
        <v>5790.04827763116</v>
      </c>
      <c r="S25" s="42" t="n">
        <f aca="false">R25/$K$2</f>
        <v>164.5367512825</v>
      </c>
      <c r="T25" s="43" t="n">
        <f aca="false">S25-$M$2</f>
        <v>0.00137191336051501</v>
      </c>
    </row>
    <row r="26" customFormat="false" ht="15" hidden="false" customHeight="false" outlineLevel="0" collapsed="false">
      <c r="A26" s="5" t="n">
        <v>19</v>
      </c>
      <c r="B26" s="25" t="n">
        <f aca="false">IF(T25&gt;0,B25,D25)</f>
        <v>0.0840034484863281</v>
      </c>
      <c r="C26" s="25" t="n">
        <f aca="false">IF(T25&gt;0,D25,C25)</f>
        <v>0.0840091705322266</v>
      </c>
      <c r="D26" s="41" t="n">
        <f aca="false">(B26+C26)/2</f>
        <v>0.0840063095092773</v>
      </c>
      <c r="E26" s="15" t="n">
        <f aca="false">$C$2*(1+IF(E$3&lt;=$O$2,$D26,$D26-($D26-$I$6)*MIN(E$3-$O$2,$Q$2)/$Q$2))</f>
        <v>943.118009462357</v>
      </c>
      <c r="F26" s="15" t="n">
        <f aca="false">E26*(1+IF(F$3&lt;=$O$2,$D26,$D26-($D26-$I$6)*MIN(F$3-$O$2,$Q$2)/$Q$2))</f>
        <v>1022.34587286902</v>
      </c>
      <c r="G26" s="15" t="n">
        <f aca="false">F26*(1+IF(G$3&lt;=$O$2,$D26,$D26-($D26-$I$6)*MIN(G$3-$O$2,$Q$2)/$Q$2))</f>
        <v>1108.22937669079</v>
      </c>
      <c r="H26" s="15" t="n">
        <f aca="false">G26*(1+IF(H$3&lt;=$O$2,$D26,$D26-($D26-$I$6)*MIN(H$3-$O$2,$Q$2)/$Q$2))</f>
        <v>1201.32763671635</v>
      </c>
      <c r="I26" s="15" t="n">
        <f aca="false">H26*(1+IF(I$3&lt;=$O$2,$D26,$D26-($D26-$I$6)*MIN(I$3-$O$2,$Q$2)/$Q$2))</f>
        <v>1302.2467379884</v>
      </c>
      <c r="J26" s="15" t="n">
        <f aca="false">I26*(1+IF(J$3&lt;=$O$2,$D26,$D26-($D26-$I$6)*MIN(J$3-$O$2,$Q$2)/$Q$2))</f>
        <v>1397.13500854853</v>
      </c>
      <c r="K26" s="15" t="n">
        <f aca="false">J26*(1+IF(K$3&lt;=$O$2,$D26,$D26-($D26-$I$6)*MIN(K$3-$O$2,$Q$2)/$Q$2))</f>
        <v>1483.37147041792</v>
      </c>
      <c r="L26" s="15" t="n">
        <f aca="false">K26*(1+IF(L$3&lt;=$O$2,$D26,$D26-($D26-$I$6)*MIN(L$3-$O$2,$Q$2)/$Q$2))</f>
        <v>1558.40414313008</v>
      </c>
      <c r="M26" s="15" t="n">
        <f aca="false">L26*(1+IF(M$3&lt;=$O$2,$D26,$D26-($D26-$I$6)*MIN(M$3-$O$2,$Q$2)/$Q$2))</f>
        <v>1619.86956908821</v>
      </c>
      <c r="N26" s="15" t="n">
        <f aca="false">M26*(1+IF(N$3&lt;=$O$2,$D26,$D26-($D26-$I$6)*MIN(N$3-$O$2,$Q$2)/$Q$2))</f>
        <v>1665.71187789341</v>
      </c>
      <c r="O26" s="15" t="n">
        <f aca="false">SUMPRODUCT(E26:N26,1/(1+$F$6)^$E$3:$N$3)*$E$2</f>
        <v>1937.67904255442</v>
      </c>
      <c r="P26" s="15" t="n">
        <f aca="false">N26*$E$2*(1+$I$6)/($F$6-$I$6)/(1+$F$6)^$N$3</f>
        <v>3684.87632970289</v>
      </c>
      <c r="Q26" s="15" t="n">
        <f aca="false">O26+P26</f>
        <v>5622.55537225731</v>
      </c>
      <c r="R26" s="15" t="n">
        <f aca="false">Q26-$G$2+$I$2</f>
        <v>5789.95537225731</v>
      </c>
      <c r="S26" s="42" t="n">
        <f aca="false">R26/$K$2</f>
        <v>164.534111175258</v>
      </c>
      <c r="T26" s="43" t="n">
        <f aca="false">S26-$M$2</f>
        <v>-0.00126819388142962</v>
      </c>
    </row>
    <row r="27" customFormat="false" ht="15" hidden="false" customHeight="false" outlineLevel="0" collapsed="false">
      <c r="A27" s="5" t="n">
        <v>20</v>
      </c>
      <c r="B27" s="25" t="n">
        <f aca="false">IF(T26&gt;0,B26,D26)</f>
        <v>0.0840063095092773</v>
      </c>
      <c r="C27" s="25" t="n">
        <f aca="false">IF(T26&gt;0,D26,C26)</f>
        <v>0.0840091705322266</v>
      </c>
      <c r="D27" s="41" t="n">
        <f aca="false">(B27+C27)/2</f>
        <v>0.084007740020752</v>
      </c>
      <c r="E27" s="15" t="n">
        <f aca="false">$C$2*(1+IF(E$3&lt;=$O$2,$D27,$D27-($D27-$I$6)*MIN(E$3-$O$2,$Q$2)/$Q$2))</f>
        <v>943.119254050255</v>
      </c>
      <c r="F27" s="15" t="n">
        <f aca="false">E27*(1+IF(F$3&lt;=$O$2,$D27,$D27-($D27-$I$6)*MIN(F$3-$O$2,$Q$2)/$Q$2))</f>
        <v>1022.34857115307</v>
      </c>
      <c r="G27" s="15" t="n">
        <f aca="false">F27*(1+IF(G$3&lt;=$O$2,$D27,$D27-($D27-$I$6)*MIN(G$3-$O$2,$Q$2)/$Q$2))</f>
        <v>1108.23376412909</v>
      </c>
      <c r="H27" s="15" t="n">
        <f aca="false">G27*(1+IF(H$3&lt;=$O$2,$D27,$D27-($D27-$I$6)*MIN(H$3-$O$2,$Q$2)/$Q$2))</f>
        <v>1201.33397806826</v>
      </c>
      <c r="I27" s="15" t="n">
        <f aca="false">H27*(1+IF(I$3&lt;=$O$2,$D27,$D27-($D27-$I$6)*MIN(I$3-$O$2,$Q$2)/$Q$2))</f>
        <v>1302.25533057592</v>
      </c>
      <c r="J27" s="15" t="n">
        <f aca="false">I27*(1+IF(J$3&lt;=$O$2,$D27,$D27-($D27-$I$6)*MIN(J$3-$O$2,$Q$2)/$Q$2))</f>
        <v>1397.14571754831</v>
      </c>
      <c r="K27" s="15" t="n">
        <f aca="false">J27*(1+IF(K$3&lt;=$O$2,$D27,$D27-($D27-$I$6)*MIN(K$3-$O$2,$Q$2)/$Q$2))</f>
        <v>1483.3840395975</v>
      </c>
      <c r="L27" s="15" t="n">
        <f aca="false">K27*(1+IF(L$3&lt;=$O$2,$D27,$D27-($D27-$I$6)*MIN(L$3-$O$2,$Q$2)/$Q$2))</f>
        <v>1558.41819688964</v>
      </c>
      <c r="M27" s="15" t="n">
        <f aca="false">L27*(1+IF(M$3&lt;=$O$2,$D27,$D27-($D27-$I$6)*MIN(M$3-$O$2,$Q$2)/$Q$2))</f>
        <v>1619.8846230128</v>
      </c>
      <c r="N27" s="15" t="n">
        <f aca="false">M27*(1+IF(N$3&lt;=$O$2,$D27,$D27-($D27-$I$6)*MIN(N$3-$O$2,$Q$2)/$Q$2))</f>
        <v>1665.72735784406</v>
      </c>
      <c r="O27" s="15" t="n">
        <f aca="false">SUMPRODUCT(E27:N27,1/(1+$F$6)^$E$3:$N$3)*$E$2</f>
        <v>1937.69125042394</v>
      </c>
      <c r="P27" s="15" t="n">
        <f aca="false">N27*$E$2*(1+$I$6)/($F$6-$I$6)/(1+$F$6)^$N$3</f>
        <v>3684.91057434298</v>
      </c>
      <c r="Q27" s="15" t="n">
        <f aca="false">O27+P27</f>
        <v>5622.60182476692</v>
      </c>
      <c r="R27" s="15" t="n">
        <f aca="false">Q27-$G$2+$I$2</f>
        <v>5790.00182476692</v>
      </c>
      <c r="S27" s="42" t="n">
        <f aca="false">R27/$K$2</f>
        <v>164.53543122384</v>
      </c>
      <c r="T27" s="43" t="n">
        <f aca="false">S27-$M$2</f>
        <v>5.18547007004599E-005</v>
      </c>
    </row>
    <row r="28" customFormat="false" ht="15" hidden="false" customHeight="false" outlineLevel="0" collapsed="false">
      <c r="A28" s="5" t="n">
        <v>21</v>
      </c>
      <c r="B28" s="25" t="n">
        <f aca="false">IF(T27&gt;0,B27,D27)</f>
        <v>0.0840063095092773</v>
      </c>
      <c r="C28" s="25" t="n">
        <f aca="false">IF(T27&gt;0,D27,C27)</f>
        <v>0.084007740020752</v>
      </c>
      <c r="D28" s="41" t="n">
        <f aca="false">(B28+C28)/2</f>
        <v>0.0840070247650147</v>
      </c>
      <c r="E28" s="15" t="n">
        <f aca="false">$C$2*(1+IF(E$3&lt;=$O$2,$D28,$D28-($D28-$I$6)*MIN(E$3-$O$2,$Q$2)/$Q$2))</f>
        <v>943.118631756306</v>
      </c>
      <c r="F28" s="15" t="n">
        <f aca="false">E28*(1+IF(F$3&lt;=$O$2,$D28,$D28-($D28-$I$6)*MIN(F$3-$O$2,$Q$2)/$Q$2))</f>
        <v>1022.3472220106</v>
      </c>
      <c r="G28" s="15" t="n">
        <f aca="false">F28*(1+IF(G$3&lt;=$O$2,$D28,$D28-($D28-$I$6)*MIN(G$3-$O$2,$Q$2)/$Q$2))</f>
        <v>1108.23157040849</v>
      </c>
      <c r="H28" s="15" t="n">
        <f aca="false">G28*(1+IF(H$3&lt;=$O$2,$D28,$D28-($D28-$I$6)*MIN(H$3-$O$2,$Q$2)/$Q$2))</f>
        <v>1201.33080738917</v>
      </c>
      <c r="I28" s="15" t="n">
        <f aca="false">H28*(1+IF(I$3&lt;=$O$2,$D28,$D28-($D28-$I$6)*MIN(I$3-$O$2,$Q$2)/$Q$2))</f>
        <v>1302.25103427649</v>
      </c>
      <c r="J28" s="15" t="n">
        <f aca="false">I28*(1+IF(J$3&lt;=$O$2,$D28,$D28-($D28-$I$6)*MIN(J$3-$O$2,$Q$2)/$Q$2))</f>
        <v>1397.14036303988</v>
      </c>
      <c r="K28" s="15" t="n">
        <f aca="false">J28*(1+IF(K$3&lt;=$O$2,$D28,$D28-($D28-$I$6)*MIN(K$3-$O$2,$Q$2)/$Q$2))</f>
        <v>1483.37775499634</v>
      </c>
      <c r="L28" s="15" t="n">
        <f aca="false">K28*(1+IF(L$3&lt;=$O$2,$D28,$D28-($D28-$I$6)*MIN(L$3-$O$2,$Q$2)/$Q$2))</f>
        <v>1558.41116999612</v>
      </c>
      <c r="M28" s="15" t="n">
        <f aca="false">L28*(1+IF(M$3&lt;=$O$2,$D28,$D28-($D28-$I$6)*MIN(M$3-$O$2,$Q$2)/$Q$2))</f>
        <v>1619.87709603522</v>
      </c>
      <c r="N28" s="15" t="n">
        <f aca="false">M28*(1+IF(N$3&lt;=$O$2,$D28,$D28-($D28-$I$6)*MIN(N$3-$O$2,$Q$2)/$Q$2))</f>
        <v>1665.71961785302</v>
      </c>
      <c r="O28" s="15" t="n">
        <f aca="false">SUMPRODUCT(E28:N28,1/(1+$F$6)^$E$3:$N$3)*$E$2</f>
        <v>1937.68514647963</v>
      </c>
      <c r="P28" s="15" t="n">
        <f aca="false">N28*$E$2*(1+$I$6)/($F$6-$I$6)/(1+$F$6)^$N$3</f>
        <v>3684.89345198816</v>
      </c>
      <c r="Q28" s="15" t="n">
        <f aca="false">O28+P28</f>
        <v>5622.57859846779</v>
      </c>
      <c r="R28" s="15" t="n">
        <f aca="false">Q28-$G$2+$I$2</f>
        <v>5789.97859846779</v>
      </c>
      <c r="S28" s="42" t="n">
        <f aca="false">R28/$K$2</f>
        <v>164.534771198289</v>
      </c>
      <c r="T28" s="43" t="n">
        <f aca="false">S28-$M$2</f>
        <v>-0.000608170850028955</v>
      </c>
    </row>
    <row r="29" customFormat="false" ht="15" hidden="false" customHeight="false" outlineLevel="0" collapsed="false">
      <c r="A29" s="5" t="n">
        <v>22</v>
      </c>
      <c r="B29" s="25" t="n">
        <f aca="false">IF(T28&gt;0,B28,D28)</f>
        <v>0.0840070247650147</v>
      </c>
      <c r="C29" s="25" t="n">
        <f aca="false">IF(T28&gt;0,D28,C28)</f>
        <v>0.084007740020752</v>
      </c>
      <c r="D29" s="41" t="n">
        <f aca="false">(B29+C29)/2</f>
        <v>0.0840073823928833</v>
      </c>
      <c r="E29" s="15" t="n">
        <f aca="false">$C$2*(1+IF(E$3&lt;=$O$2,$D29,$D29-($D29-$I$6)*MIN(E$3-$O$2,$Q$2)/$Q$2))</f>
        <v>943.11894290328</v>
      </c>
      <c r="F29" s="15" t="n">
        <f aca="false">E29*(1+IF(F$3&lt;=$O$2,$D29,$D29-($D29-$I$6)*MIN(F$3-$O$2,$Q$2)/$Q$2))</f>
        <v>1022.34789658173</v>
      </c>
      <c r="G29" s="15" t="n">
        <f aca="false">F29*(1+IF(G$3&lt;=$O$2,$D29,$D29-($D29-$I$6)*MIN(G$3-$O$2,$Q$2)/$Q$2))</f>
        <v>1108.23266726843</v>
      </c>
      <c r="H29" s="15" t="n">
        <f aca="false">G29*(1+IF(H$3&lt;=$O$2,$D29,$D29-($D29-$I$6)*MIN(H$3-$O$2,$Q$2)/$Q$2))</f>
        <v>1201.33239272793</v>
      </c>
      <c r="I29" s="15" t="n">
        <f aca="false">H29*(1+IF(I$3&lt;=$O$2,$D29,$D29-($D29-$I$6)*MIN(I$3-$O$2,$Q$2)/$Q$2))</f>
        <v>1302.25318242479</v>
      </c>
      <c r="J29" s="15" t="n">
        <f aca="false">I29*(1+IF(J$3&lt;=$O$2,$D29,$D29-($D29-$I$6)*MIN(J$3-$O$2,$Q$2)/$Q$2))</f>
        <v>1397.14304029196</v>
      </c>
      <c r="K29" s="15" t="n">
        <f aca="false">J29*(1+IF(K$3&lt;=$O$2,$D29,$D29-($D29-$I$6)*MIN(K$3-$O$2,$Q$2)/$Q$2))</f>
        <v>1483.38089729408</v>
      </c>
      <c r="L29" s="15" t="n">
        <f aca="false">K29*(1+IF(L$3&lt;=$O$2,$D29,$D29-($D29-$I$6)*MIN(L$3-$O$2,$Q$2)/$Q$2))</f>
        <v>1558.41468343944</v>
      </c>
      <c r="M29" s="15" t="n">
        <f aca="false">L29*(1+IF(M$3&lt;=$O$2,$D29,$D29-($D29-$I$6)*MIN(M$3-$O$2,$Q$2)/$Q$2))</f>
        <v>1619.88085952019</v>
      </c>
      <c r="N29" s="15" t="n">
        <f aca="false">M29*(1+IF(N$3&lt;=$O$2,$D29,$D29-($D29-$I$6)*MIN(N$3-$O$2,$Q$2)/$Q$2))</f>
        <v>1665.72348784461</v>
      </c>
      <c r="O29" s="15" t="n">
        <f aca="false">SUMPRODUCT(E29:N29,1/(1+$F$6)^$E$3:$N$3)*$E$2</f>
        <v>1937.68819844939</v>
      </c>
      <c r="P29" s="15" t="n">
        <f aca="false">N29*$E$2*(1+$I$6)/($F$6-$I$6)/(1+$F$6)^$N$3</f>
        <v>3684.90201315688</v>
      </c>
      <c r="Q29" s="15" t="n">
        <f aca="false">O29+P29</f>
        <v>5622.59021160627</v>
      </c>
      <c r="R29" s="15" t="n">
        <f aca="false">Q29-$G$2+$I$2</f>
        <v>5789.99021160627</v>
      </c>
      <c r="S29" s="42" t="n">
        <f aca="false">R29/$K$2</f>
        <v>164.535101210749</v>
      </c>
      <c r="T29" s="43" t="n">
        <f aca="false">S29-$M$2</f>
        <v>-0.000278158389619421</v>
      </c>
    </row>
    <row r="30" customFormat="false" ht="15" hidden="false" customHeight="false" outlineLevel="0" collapsed="false">
      <c r="A30" s="5" t="n">
        <v>23</v>
      </c>
      <c r="B30" s="25" t="n">
        <f aca="false">IF(T29&gt;0,B29,D29)</f>
        <v>0.0840073823928833</v>
      </c>
      <c r="C30" s="25" t="n">
        <f aca="false">IF(T29&gt;0,D29,C29)</f>
        <v>0.084007740020752</v>
      </c>
      <c r="D30" s="41" t="n">
        <f aca="false">(B30+C30)/2</f>
        <v>0.0840075612068176</v>
      </c>
      <c r="E30" s="15" t="n">
        <f aca="false">$C$2*(1+IF(E$3&lt;=$O$2,$D30,$D30-($D30-$I$6)*MIN(E$3-$O$2,$Q$2)/$Q$2))</f>
        <v>943.119098476768</v>
      </c>
      <c r="F30" s="15" t="n">
        <f aca="false">E30*(1+IF(F$3&lt;=$O$2,$D30,$D30-($D30-$I$6)*MIN(F$3-$O$2,$Q$2)/$Q$2))</f>
        <v>1022.34823386737</v>
      </c>
      <c r="G30" s="15" t="n">
        <f aca="false">F30*(1+IF(G$3&lt;=$O$2,$D30,$D30-($D30-$I$6)*MIN(G$3-$O$2,$Q$2)/$Q$2))</f>
        <v>1108.23321569867</v>
      </c>
      <c r="H30" s="15" t="n">
        <f aca="false">G30*(1+IF(H$3&lt;=$O$2,$D30,$D30-($D30-$I$6)*MIN(H$3-$O$2,$Q$2)/$Q$2))</f>
        <v>1201.3331853979</v>
      </c>
      <c r="I30" s="15" t="n">
        <f aca="false">H30*(1+IF(I$3&lt;=$O$2,$D30,$D30-($D30-$I$6)*MIN(I$3-$O$2,$Q$2)/$Q$2))</f>
        <v>1302.2542565</v>
      </c>
      <c r="J30" s="15" t="n">
        <f aca="false">I30*(1+IF(J$3&lt;=$O$2,$D30,$D30-($D30-$I$6)*MIN(J$3-$O$2,$Q$2)/$Q$2))</f>
        <v>1397.1443789196</v>
      </c>
      <c r="K30" s="15" t="n">
        <f aca="false">J30*(1+IF(K$3&lt;=$O$2,$D30,$D30-($D30-$I$6)*MIN(K$3-$O$2,$Q$2)/$Q$2))</f>
        <v>1483.38246844508</v>
      </c>
      <c r="L30" s="15" t="n">
        <f aca="false">K30*(1+IF(L$3&lt;=$O$2,$D30,$D30-($D30-$I$6)*MIN(L$3-$O$2,$Q$2)/$Q$2))</f>
        <v>1558.41644016368</v>
      </c>
      <c r="M30" s="15" t="n">
        <f aca="false">L30*(1+IF(M$3&lt;=$O$2,$D30,$D30-($D30-$I$6)*MIN(M$3-$O$2,$Q$2)/$Q$2))</f>
        <v>1619.88274126554</v>
      </c>
      <c r="N30" s="15" t="n">
        <f aca="false">M30*(1+IF(N$3&lt;=$O$2,$D30,$D30-($D30-$I$6)*MIN(N$3-$O$2,$Q$2)/$Q$2))</f>
        <v>1665.72542284336</v>
      </c>
      <c r="O30" s="15" t="n">
        <f aca="false">SUMPRODUCT(E30:N30,1/(1+$F$6)^$E$3:$N$3)*$E$2</f>
        <v>1937.68972443607</v>
      </c>
      <c r="P30" s="15" t="n">
        <f aca="false">N30*$E$2*(1+$I$6)/($F$6-$I$6)/(1+$F$6)^$N$3</f>
        <v>3684.90629374775</v>
      </c>
      <c r="Q30" s="15" t="n">
        <f aca="false">O30+P30</f>
        <v>5622.59601818382</v>
      </c>
      <c r="R30" s="15" t="n">
        <f aca="false">Q30-$G$2+$I$2</f>
        <v>5789.99601818383</v>
      </c>
      <c r="S30" s="42" t="n">
        <f aca="false">R30/$K$2</f>
        <v>164.535266217216</v>
      </c>
      <c r="T30" s="43" t="n">
        <f aca="false">S30-$M$2</f>
        <v>-0.000113151923159194</v>
      </c>
    </row>
    <row r="31" customFormat="false" ht="15" hidden="false" customHeight="false" outlineLevel="0" collapsed="false">
      <c r="A31" s="5" t="n">
        <v>24</v>
      </c>
      <c r="B31" s="25" t="n">
        <f aca="false">IF(T30&gt;0,B30,D30)</f>
        <v>0.0840075612068176</v>
      </c>
      <c r="C31" s="25" t="n">
        <f aca="false">IF(T30&gt;0,D30,C30)</f>
        <v>0.084007740020752</v>
      </c>
      <c r="D31" s="41" t="n">
        <f aca="false">(B31+C31)/2</f>
        <v>0.0840076506137848</v>
      </c>
      <c r="E31" s="15" t="n">
        <f aca="false">$C$2*(1+IF(E$3&lt;=$O$2,$D31,$D31-($D31-$I$6)*MIN(E$3-$O$2,$Q$2)/$Q$2))</f>
        <v>943.119176263511</v>
      </c>
      <c r="F31" s="15" t="n">
        <f aca="false">E31*(1+IF(F$3&lt;=$O$2,$D31,$D31-($D31-$I$6)*MIN(F$3-$O$2,$Q$2)/$Q$2))</f>
        <v>1022.34840251022</v>
      </c>
      <c r="G31" s="15" t="n">
        <f aca="false">F31*(1+IF(G$3&lt;=$O$2,$D31,$D31-($D31-$I$6)*MIN(G$3-$O$2,$Q$2)/$Q$2))</f>
        <v>1108.23348991386</v>
      </c>
      <c r="H31" s="15" t="n">
        <f aca="false">G31*(1+IF(H$3&lt;=$O$2,$D31,$D31-($D31-$I$6)*MIN(H$3-$O$2,$Q$2)/$Q$2))</f>
        <v>1201.33358173303</v>
      </c>
      <c r="I31" s="15" t="n">
        <f aca="false">H31*(1+IF(I$3&lt;=$O$2,$D31,$D31-($D31-$I$6)*MIN(I$3-$O$2,$Q$2)/$Q$2))</f>
        <v>1302.25479353787</v>
      </c>
      <c r="J31" s="15" t="n">
        <f aca="false">I31*(1+IF(J$3&lt;=$O$2,$D31,$D31-($D31-$I$6)*MIN(J$3-$O$2,$Q$2)/$Q$2))</f>
        <v>1397.14504823382</v>
      </c>
      <c r="K31" s="15" t="n">
        <f aca="false">J31*(1+IF(K$3&lt;=$O$2,$D31,$D31-($D31-$I$6)*MIN(K$3-$O$2,$Q$2)/$Q$2))</f>
        <v>1483.38325402111</v>
      </c>
      <c r="L31" s="15" t="n">
        <f aca="false">K31*(1+IF(L$3&lt;=$O$2,$D31,$D31-($D31-$I$6)*MIN(L$3-$O$2,$Q$2)/$Q$2))</f>
        <v>1558.41731852645</v>
      </c>
      <c r="M31" s="15" t="n">
        <f aca="false">L31*(1+IF(M$3&lt;=$O$2,$D31,$D31-($D31-$I$6)*MIN(M$3-$O$2,$Q$2)/$Q$2))</f>
        <v>1619.88368213893</v>
      </c>
      <c r="N31" s="15" t="n">
        <f aca="false">M31*(1+IF(N$3&lt;=$O$2,$D31,$D31-($D31-$I$6)*MIN(N$3-$O$2,$Q$2)/$Q$2))</f>
        <v>1665.72639034346</v>
      </c>
      <c r="O31" s="15" t="n">
        <f aca="false">SUMPRODUCT(E31:N31,1/(1+$F$6)^$E$3:$N$3)*$E$2</f>
        <v>1937.69048742986</v>
      </c>
      <c r="P31" s="15" t="n">
        <f aca="false">N31*$E$2*(1+$I$6)/($F$6-$I$6)/(1+$F$6)^$N$3</f>
        <v>3684.90843404482</v>
      </c>
      <c r="Q31" s="15" t="n">
        <f aca="false">O31+P31</f>
        <v>5622.59892147468</v>
      </c>
      <c r="R31" s="15" t="n">
        <f aca="false">Q31-$G$2+$I$2</f>
        <v>5789.99892147468</v>
      </c>
      <c r="S31" s="42" t="n">
        <f aca="false">R31/$K$2</f>
        <v>164.535348720508</v>
      </c>
      <c r="T31" s="43" t="n">
        <f aca="false">S31-$M$2</f>
        <v>-3.06486309114007E-005</v>
      </c>
    </row>
    <row r="32" customFormat="false" ht="15" hidden="false" customHeight="false" outlineLevel="0" collapsed="false">
      <c r="A32" s="5" t="n">
        <v>25</v>
      </c>
      <c r="B32" s="25" t="n">
        <f aca="false">IF(T31&gt;0,B31,D31)</f>
        <v>0.0840076506137848</v>
      </c>
      <c r="C32" s="25" t="n">
        <f aca="false">IF(T31&gt;0,D31,C31)</f>
        <v>0.084007740020752</v>
      </c>
      <c r="D32" s="41" t="n">
        <f aca="false">(B32+C32)/2</f>
        <v>0.0840076953172684</v>
      </c>
      <c r="E32" s="15" t="n">
        <f aca="false">$C$2*(1+IF(E$3&lt;=$O$2,$D32,$D32-($D32-$I$6)*MIN(E$3-$O$2,$Q$2)/$Q$2))</f>
        <v>943.119215156883</v>
      </c>
      <c r="F32" s="15" t="n">
        <f aca="false">E32*(1+IF(F$3&lt;=$O$2,$D32,$D32-($D32-$I$6)*MIN(F$3-$O$2,$Q$2)/$Q$2))</f>
        <v>1022.34848683164</v>
      </c>
      <c r="G32" s="15" t="n">
        <f aca="false">F32*(1+IF(G$3&lt;=$O$2,$D32,$D32-($D32-$I$6)*MIN(G$3-$O$2,$Q$2)/$Q$2))</f>
        <v>1108.23362702147</v>
      </c>
      <c r="H32" s="15" t="n">
        <f aca="false">G32*(1+IF(H$3&lt;=$O$2,$D32,$D32-($D32-$I$6)*MIN(H$3-$O$2,$Q$2)/$Q$2))</f>
        <v>1201.33377990064</v>
      </c>
      <c r="I32" s="15" t="n">
        <f aca="false">H32*(1+IF(I$3&lt;=$O$2,$D32,$D32-($D32-$I$6)*MIN(I$3-$O$2,$Q$2)/$Q$2))</f>
        <v>1302.25506205687</v>
      </c>
      <c r="J32" s="15" t="n">
        <f aca="false">I32*(1+IF(J$3&lt;=$O$2,$D32,$D32-($D32-$I$6)*MIN(J$3-$O$2,$Q$2)/$Q$2))</f>
        <v>1397.14538289103</v>
      </c>
      <c r="K32" s="15" t="n">
        <f aca="false">J32*(1+IF(K$3&lt;=$O$2,$D32,$D32-($D32-$I$6)*MIN(K$3-$O$2,$Q$2)/$Q$2))</f>
        <v>1483.38364680926</v>
      </c>
      <c r="L32" s="15" t="n">
        <f aca="false">K32*(1+IF(L$3&lt;=$O$2,$D32,$D32-($D32-$I$6)*MIN(L$3-$O$2,$Q$2)/$Q$2))</f>
        <v>1558.41775770799</v>
      </c>
      <c r="M32" s="15" t="n">
        <f aca="false">L32*(1+IF(M$3&lt;=$O$2,$D32,$D32-($D32-$I$6)*MIN(M$3-$O$2,$Q$2)/$Q$2))</f>
        <v>1619.88415257581</v>
      </c>
      <c r="N32" s="15" t="n">
        <f aca="false">M32*(1+IF(N$3&lt;=$O$2,$D32,$D32-($D32-$I$6)*MIN(N$3-$O$2,$Q$2)/$Q$2))</f>
        <v>1665.7268740937</v>
      </c>
      <c r="O32" s="15" t="n">
        <f aca="false">SUMPRODUCT(E32:N32,1/(1+$F$6)^$E$3:$N$3)*$E$2</f>
        <v>1937.69086892686</v>
      </c>
      <c r="P32" s="15" t="n">
        <f aca="false">N32*$E$2*(1+$I$6)/($F$6-$I$6)/(1+$F$6)^$N$3</f>
        <v>3684.90950419377</v>
      </c>
      <c r="Q32" s="15" t="n">
        <f aca="false">O32+P32</f>
        <v>5622.60037312063</v>
      </c>
      <c r="R32" s="15" t="n">
        <f aca="false">Q32-$G$2+$I$2</f>
        <v>5790.00037312063</v>
      </c>
      <c r="S32" s="42" t="n">
        <f aca="false">R32/$K$2</f>
        <v>164.535389972169</v>
      </c>
      <c r="T32" s="43" t="n">
        <f aca="false">S32-$M$2</f>
        <v>1.06030299775739E-005</v>
      </c>
    </row>
    <row r="33" customFormat="false" ht="15" hidden="false" customHeight="false" outlineLevel="0" collapsed="false">
      <c r="A33" s="5" t="n">
        <v>26</v>
      </c>
      <c r="B33" s="25" t="n">
        <f aca="false">IF(T32&gt;0,B32,D32)</f>
        <v>0.0840076506137848</v>
      </c>
      <c r="C33" s="25" t="n">
        <f aca="false">IF(T32&gt;0,D32,C32)</f>
        <v>0.0840076953172684</v>
      </c>
      <c r="D33" s="41" t="n">
        <f aca="false">(B33+C33)/2</f>
        <v>0.0840076729655266</v>
      </c>
      <c r="E33" s="15" t="n">
        <f aca="false">$C$2*(1+IF(E$3&lt;=$O$2,$D33,$D33-($D33-$I$6)*MIN(E$3-$O$2,$Q$2)/$Q$2))</f>
        <v>943.119195710197</v>
      </c>
      <c r="F33" s="15" t="n">
        <f aca="false">E33*(1+IF(F$3&lt;=$O$2,$D33,$D33-($D33-$I$6)*MIN(F$3-$O$2,$Q$2)/$Q$2))</f>
        <v>1022.34844467093</v>
      </c>
      <c r="G33" s="15" t="n">
        <f aca="false">F33*(1+IF(G$3&lt;=$O$2,$D33,$D33-($D33-$I$6)*MIN(G$3-$O$2,$Q$2)/$Q$2))</f>
        <v>1108.23355846766</v>
      </c>
      <c r="H33" s="15" t="n">
        <f aca="false">G33*(1+IF(H$3&lt;=$O$2,$D33,$D33-($D33-$I$6)*MIN(H$3-$O$2,$Q$2)/$Q$2))</f>
        <v>1201.33368081683</v>
      </c>
      <c r="I33" s="15" t="n">
        <f aca="false">H33*(1+IF(I$3&lt;=$O$2,$D33,$D33-($D33-$I$6)*MIN(I$3-$O$2,$Q$2)/$Q$2))</f>
        <v>1302.25492779737</v>
      </c>
      <c r="J33" s="15" t="n">
        <f aca="false">I33*(1+IF(J$3&lt;=$O$2,$D33,$D33-($D33-$I$6)*MIN(J$3-$O$2,$Q$2)/$Q$2))</f>
        <v>1397.14521556242</v>
      </c>
      <c r="K33" s="15" t="n">
        <f aca="false">J33*(1+IF(K$3&lt;=$O$2,$D33,$D33-($D33-$I$6)*MIN(K$3-$O$2,$Q$2)/$Q$2))</f>
        <v>1483.38345041517</v>
      </c>
      <c r="L33" s="15" t="n">
        <f aca="false">K33*(1+IF(L$3&lt;=$O$2,$D33,$D33-($D33-$I$6)*MIN(L$3-$O$2,$Q$2)/$Q$2))</f>
        <v>1558.4175381172</v>
      </c>
      <c r="M33" s="15" t="n">
        <f aca="false">L33*(1+IF(M$3&lt;=$O$2,$D33,$D33-($D33-$I$6)*MIN(M$3-$O$2,$Q$2)/$Q$2))</f>
        <v>1619.88391735736</v>
      </c>
      <c r="N33" s="15" t="n">
        <f aca="false">M33*(1+IF(N$3&lt;=$O$2,$D33,$D33-($D33-$I$6)*MIN(N$3-$O$2,$Q$2)/$Q$2))</f>
        <v>1665.72663221857</v>
      </c>
      <c r="O33" s="15" t="n">
        <f aca="false">SUMPRODUCT(E33:N33,1/(1+$F$6)^$E$3:$N$3)*$E$2</f>
        <v>1937.69067817835</v>
      </c>
      <c r="P33" s="15" t="n">
        <f aca="false">N33*$E$2*(1+$I$6)/($F$6-$I$6)/(1+$F$6)^$N$3</f>
        <v>3684.90896911926</v>
      </c>
      <c r="Q33" s="15" t="n">
        <f aca="false">O33+P33</f>
        <v>5622.59964729761</v>
      </c>
      <c r="R33" s="15" t="n">
        <f aca="false">Q33-$G$2+$I$2</f>
        <v>5789.99964729761</v>
      </c>
      <c r="S33" s="42" t="n">
        <f aca="false">R33/$K$2</f>
        <v>164.535369346337</v>
      </c>
      <c r="T33" s="43" t="n">
        <f aca="false">S33-$M$2</f>
        <v>-1.00228016890469E-005</v>
      </c>
    </row>
    <row r="34" customFormat="false" ht="15" hidden="false" customHeight="false" outlineLevel="0" collapsed="false">
      <c r="A34" s="5" t="n">
        <v>27</v>
      </c>
      <c r="B34" s="25" t="n">
        <f aca="false">IF(T33&gt;0,B33,D33)</f>
        <v>0.0840076729655266</v>
      </c>
      <c r="C34" s="25" t="n">
        <f aca="false">IF(T33&gt;0,D33,C33)</f>
        <v>0.0840076953172684</v>
      </c>
      <c r="D34" s="41" t="n">
        <f aca="false">(B34+C34)/2</f>
        <v>0.0840076841413975</v>
      </c>
      <c r="E34" s="15" t="n">
        <f aca="false">$C$2*(1+IF(E$3&lt;=$O$2,$D34,$D34-($D34-$I$6)*MIN(E$3-$O$2,$Q$2)/$Q$2))</f>
        <v>943.11920543354</v>
      </c>
      <c r="F34" s="15" t="n">
        <f aca="false">E34*(1+IF(F$3&lt;=$O$2,$D34,$D34-($D34-$I$6)*MIN(F$3-$O$2,$Q$2)/$Q$2))</f>
        <v>1022.34846575129</v>
      </c>
      <c r="G34" s="15" t="n">
        <f aca="false">F34*(1+IF(G$3&lt;=$O$2,$D34,$D34-($D34-$I$6)*MIN(G$3-$O$2,$Q$2)/$Q$2))</f>
        <v>1108.23359274456</v>
      </c>
      <c r="H34" s="15" t="n">
        <f aca="false">G34*(1+IF(H$3&lt;=$O$2,$D34,$D34-($D34-$I$6)*MIN(H$3-$O$2,$Q$2)/$Q$2))</f>
        <v>1201.33373035873</v>
      </c>
      <c r="I34" s="15" t="n">
        <f aca="false">H34*(1+IF(I$3&lt;=$O$2,$D34,$D34-($D34-$I$6)*MIN(I$3-$O$2,$Q$2)/$Q$2))</f>
        <v>1302.25499492712</v>
      </c>
      <c r="J34" s="15" t="n">
        <f aca="false">I34*(1+IF(J$3&lt;=$O$2,$D34,$D34-($D34-$I$6)*MIN(J$3-$O$2,$Q$2)/$Q$2))</f>
        <v>1397.14529922672</v>
      </c>
      <c r="K34" s="15" t="n">
        <f aca="false">J34*(1+IF(K$3&lt;=$O$2,$D34,$D34-($D34-$I$6)*MIN(K$3-$O$2,$Q$2)/$Q$2))</f>
        <v>1483.38354861221</v>
      </c>
      <c r="L34" s="15" t="n">
        <f aca="false">K34*(1+IF(L$3&lt;=$O$2,$D34,$D34-($D34-$I$6)*MIN(L$3-$O$2,$Q$2)/$Q$2))</f>
        <v>1558.41764791259</v>
      </c>
      <c r="M34" s="15" t="n">
        <f aca="false">L34*(1+IF(M$3&lt;=$O$2,$D34,$D34-($D34-$I$6)*MIN(M$3-$O$2,$Q$2)/$Q$2))</f>
        <v>1619.88403496658</v>
      </c>
      <c r="N34" s="15" t="n">
        <f aca="false">M34*(1+IF(N$3&lt;=$O$2,$D34,$D34-($D34-$I$6)*MIN(N$3-$O$2,$Q$2)/$Q$2))</f>
        <v>1665.72675315613</v>
      </c>
      <c r="O34" s="15" t="n">
        <f aca="false">SUMPRODUCT(E34:N34,1/(1+$F$6)^$E$3:$N$3)*$E$2</f>
        <v>1937.6907735526</v>
      </c>
      <c r="P34" s="15" t="n">
        <f aca="false">N34*$E$2*(1+$I$6)/($F$6-$I$6)/(1+$F$6)^$N$3</f>
        <v>3684.9092366565</v>
      </c>
      <c r="Q34" s="15" t="n">
        <f aca="false">O34+P34</f>
        <v>5622.60001020911</v>
      </c>
      <c r="R34" s="15" t="n">
        <f aca="false">Q34-$G$2+$I$2</f>
        <v>5790.00001020911</v>
      </c>
      <c r="S34" s="42" t="n">
        <f aca="false">R34/$K$2</f>
        <v>164.535379659253</v>
      </c>
      <c r="T34" s="43" t="n">
        <f aca="false">S34-$M$2</f>
        <v>2.90113803202985E-007</v>
      </c>
    </row>
    <row r="35" customFormat="false" ht="15" hidden="false" customHeight="false" outlineLevel="0" collapsed="false">
      <c r="A35" s="5" t="n">
        <v>28</v>
      </c>
      <c r="B35" s="25" t="n">
        <f aca="false">IF(T34&gt;0,B34,D34)</f>
        <v>0.0840076729655266</v>
      </c>
      <c r="C35" s="25" t="n">
        <f aca="false">IF(T34&gt;0,D34,C34)</f>
        <v>0.0840076841413975</v>
      </c>
      <c r="D35" s="41" t="n">
        <f aca="false">(B35+C35)/2</f>
        <v>0.084007678553462</v>
      </c>
      <c r="E35" s="15" t="n">
        <f aca="false">$C$2*(1+IF(E$3&lt;=$O$2,$D35,$D35-($D35-$I$6)*MIN(E$3-$O$2,$Q$2)/$Q$2))</f>
        <v>943.119200571869</v>
      </c>
      <c r="F35" s="15" t="n">
        <f aca="false">E35*(1+IF(F$3&lt;=$O$2,$D35,$D35-($D35-$I$6)*MIN(F$3-$O$2,$Q$2)/$Q$2))</f>
        <v>1022.34845521111</v>
      </c>
      <c r="G35" s="15" t="n">
        <f aca="false">F35*(1+IF(G$3&lt;=$O$2,$D35,$D35-($D35-$I$6)*MIN(G$3-$O$2,$Q$2)/$Q$2))</f>
        <v>1108.23357560611</v>
      </c>
      <c r="H35" s="15" t="n">
        <f aca="false">G35*(1+IF(H$3&lt;=$O$2,$D35,$D35-($D35-$I$6)*MIN(H$3-$O$2,$Q$2)/$Q$2))</f>
        <v>1201.33370558778</v>
      </c>
      <c r="I35" s="15" t="n">
        <f aca="false">H35*(1+IF(I$3&lt;=$O$2,$D35,$D35-($D35-$I$6)*MIN(I$3-$O$2,$Q$2)/$Q$2))</f>
        <v>1302.25496136224</v>
      </c>
      <c r="J35" s="15" t="n">
        <f aca="false">I35*(1+IF(J$3&lt;=$O$2,$D35,$D35-($D35-$I$6)*MIN(J$3-$O$2,$Q$2)/$Q$2))</f>
        <v>1397.14525739457</v>
      </c>
      <c r="K35" s="15" t="n">
        <f aca="false">J35*(1+IF(K$3&lt;=$O$2,$D35,$D35-($D35-$I$6)*MIN(K$3-$O$2,$Q$2)/$Q$2))</f>
        <v>1483.38349951369</v>
      </c>
      <c r="L35" s="15" t="n">
        <f aca="false">K35*(1+IF(L$3&lt;=$O$2,$D35,$D35-($D35-$I$6)*MIN(L$3-$O$2,$Q$2)/$Q$2))</f>
        <v>1558.4175930149</v>
      </c>
      <c r="M35" s="15" t="n">
        <f aca="false">L35*(1+IF(M$3&lt;=$O$2,$D35,$D35-($D35-$I$6)*MIN(M$3-$O$2,$Q$2)/$Q$2))</f>
        <v>1619.88397616197</v>
      </c>
      <c r="N35" s="15" t="n">
        <f aca="false">M35*(1+IF(N$3&lt;=$O$2,$D35,$D35-($D35-$I$6)*MIN(N$3-$O$2,$Q$2)/$Q$2))</f>
        <v>1665.72669268735</v>
      </c>
      <c r="O35" s="15" t="n">
        <f aca="false">SUMPRODUCT(E35:N35,1/(1+$F$6)^$E$3:$N$3)*$E$2</f>
        <v>1937.69072586548</v>
      </c>
      <c r="P35" s="15" t="n">
        <f aca="false">N35*$E$2*(1+$I$6)/($F$6-$I$6)/(1+$F$6)^$N$3</f>
        <v>3684.90910288788</v>
      </c>
      <c r="Q35" s="15" t="n">
        <f aca="false">O35+P35</f>
        <v>5622.59982875336</v>
      </c>
      <c r="R35" s="15" t="n">
        <f aca="false">Q35-$G$2+$I$2</f>
        <v>5789.99982875336</v>
      </c>
      <c r="S35" s="42" t="n">
        <f aca="false">R35/$K$2</f>
        <v>164.535374502795</v>
      </c>
      <c r="T35" s="43" t="n">
        <f aca="false">S35-$M$2</f>
        <v>-4.86634399976538E-006</v>
      </c>
    </row>
    <row r="36" customFormat="false" ht="15" hidden="false" customHeight="false" outlineLevel="0" collapsed="false">
      <c r="A36" s="5" t="n">
        <v>29</v>
      </c>
      <c r="B36" s="25" t="n">
        <f aca="false">IF(T35&gt;0,B35,D35)</f>
        <v>0.084007678553462</v>
      </c>
      <c r="C36" s="25" t="n">
        <f aca="false">IF(T35&gt;0,D35,C35)</f>
        <v>0.0840076841413975</v>
      </c>
      <c r="D36" s="41" t="n">
        <f aca="false">(B36+C36)/2</f>
        <v>0.0840076813474298</v>
      </c>
      <c r="E36" s="15" t="n">
        <f aca="false">$C$2*(1+IF(E$3&lt;=$O$2,$D36,$D36-($D36-$I$6)*MIN(E$3-$O$2,$Q$2)/$Q$2))</f>
        <v>943.119203002704</v>
      </c>
      <c r="F36" s="15" t="n">
        <f aca="false">E36*(1+IF(F$3&lt;=$O$2,$D36,$D36-($D36-$I$6)*MIN(F$3-$O$2,$Q$2)/$Q$2))</f>
        <v>1022.3484604812</v>
      </c>
      <c r="G36" s="15" t="n">
        <f aca="false">F36*(1+IF(G$3&lt;=$O$2,$D36,$D36-($D36-$I$6)*MIN(G$3-$O$2,$Q$2)/$Q$2))</f>
        <v>1108.23358417534</v>
      </c>
      <c r="H36" s="15" t="n">
        <f aca="false">G36*(1+IF(H$3&lt;=$O$2,$D36,$D36-($D36-$I$6)*MIN(H$3-$O$2,$Q$2)/$Q$2))</f>
        <v>1201.33371797326</v>
      </c>
      <c r="I36" s="15" t="n">
        <f aca="false">H36*(1+IF(I$3&lt;=$O$2,$D36,$D36-($D36-$I$6)*MIN(I$3-$O$2,$Q$2)/$Q$2))</f>
        <v>1302.25497814468</v>
      </c>
      <c r="J36" s="15" t="n">
        <f aca="false">I36*(1+IF(J$3&lt;=$O$2,$D36,$D36-($D36-$I$6)*MIN(J$3-$O$2,$Q$2)/$Q$2))</f>
        <v>1397.14527831064</v>
      </c>
      <c r="K36" s="15" t="n">
        <f aca="false">J36*(1+IF(K$3&lt;=$O$2,$D36,$D36-($D36-$I$6)*MIN(K$3-$O$2,$Q$2)/$Q$2))</f>
        <v>1483.38352406295</v>
      </c>
      <c r="L36" s="15" t="n">
        <f aca="false">K36*(1+IF(L$3&lt;=$O$2,$D36,$D36-($D36-$I$6)*MIN(L$3-$O$2,$Q$2)/$Q$2))</f>
        <v>1558.41762046374</v>
      </c>
      <c r="M36" s="15" t="n">
        <f aca="false">L36*(1+IF(M$3&lt;=$O$2,$D36,$D36-($D36-$I$6)*MIN(M$3-$O$2,$Q$2)/$Q$2))</f>
        <v>1619.88400556427</v>
      </c>
      <c r="N36" s="15" t="n">
        <f aca="false">M36*(1+IF(N$3&lt;=$O$2,$D36,$D36-($D36-$I$6)*MIN(N$3-$O$2,$Q$2)/$Q$2))</f>
        <v>1665.72672292174</v>
      </c>
      <c r="O36" s="15" t="n">
        <f aca="false">SUMPRODUCT(E36:N36,1/(1+$F$6)^$E$3:$N$3)*$E$2</f>
        <v>1937.69074970904</v>
      </c>
      <c r="P36" s="15" t="n">
        <f aca="false">N36*$E$2*(1+$I$6)/($F$6-$I$6)/(1+$F$6)^$N$3</f>
        <v>3684.90916977219</v>
      </c>
      <c r="Q36" s="15" t="n">
        <f aca="false">O36+P36</f>
        <v>5622.59991948123</v>
      </c>
      <c r="R36" s="15" t="n">
        <f aca="false">Q36-$G$2+$I$2</f>
        <v>5789.99991948123</v>
      </c>
      <c r="S36" s="42" t="n">
        <f aca="false">R36/$K$2</f>
        <v>164.535377081024</v>
      </c>
      <c r="T36" s="43" t="n">
        <f aca="false">S36-$M$2</f>
        <v>-2.28811512670291E-006</v>
      </c>
    </row>
    <row r="37" customFormat="false" ht="15" hidden="false" customHeight="false" outlineLevel="0" collapsed="false">
      <c r="A37" s="5" t="n">
        <v>30</v>
      </c>
      <c r="B37" s="25" t="n">
        <f aca="false">IF(T36&gt;0,B36,D36)</f>
        <v>0.0840076813474298</v>
      </c>
      <c r="C37" s="25" t="n">
        <f aca="false">IF(T36&gt;0,D36,C36)</f>
        <v>0.0840076841413975</v>
      </c>
      <c r="D37" s="41" t="n">
        <f aca="false">(B37+C37)/2</f>
        <v>0.0840076827444136</v>
      </c>
      <c r="E37" s="15" t="n">
        <f aca="false">$C$2*(1+IF(E$3&lt;=$O$2,$D37,$D37-($D37-$I$6)*MIN(E$3-$O$2,$Q$2)/$Q$2))</f>
        <v>943.119204218122</v>
      </c>
      <c r="F37" s="15" t="n">
        <f aca="false">E37*(1+IF(F$3&lt;=$O$2,$D37,$D37-($D37-$I$6)*MIN(F$3-$O$2,$Q$2)/$Q$2))</f>
        <v>1022.34846311624</v>
      </c>
      <c r="G37" s="15" t="n">
        <f aca="false">F37*(1+IF(G$3&lt;=$O$2,$D37,$D37-($D37-$I$6)*MIN(G$3-$O$2,$Q$2)/$Q$2))</f>
        <v>1108.23358845995</v>
      </c>
      <c r="H37" s="15" t="n">
        <f aca="false">G37*(1+IF(H$3&lt;=$O$2,$D37,$D37-($D37-$I$6)*MIN(H$3-$O$2,$Q$2)/$Q$2))</f>
        <v>1201.333724166</v>
      </c>
      <c r="I37" s="15" t="n">
        <f aca="false">H37*(1+IF(I$3&lt;=$O$2,$D37,$D37-($D37-$I$6)*MIN(I$3-$O$2,$Q$2)/$Q$2))</f>
        <v>1302.2549865359</v>
      </c>
      <c r="J37" s="15" t="n">
        <f aca="false">I37*(1+IF(J$3&lt;=$O$2,$D37,$D37-($D37-$I$6)*MIN(J$3-$O$2,$Q$2)/$Q$2))</f>
        <v>1397.14528876868</v>
      </c>
      <c r="K37" s="15" t="n">
        <f aca="false">J37*(1+IF(K$3&lt;=$O$2,$D37,$D37-($D37-$I$6)*MIN(K$3-$O$2,$Q$2)/$Q$2))</f>
        <v>1483.38353633758</v>
      </c>
      <c r="L37" s="15" t="n">
        <f aca="false">K37*(1+IF(L$3&lt;=$O$2,$D37,$D37-($D37-$I$6)*MIN(L$3-$O$2,$Q$2)/$Q$2))</f>
        <v>1558.41763418817</v>
      </c>
      <c r="M37" s="15" t="n">
        <f aca="false">L37*(1+IF(M$3&lt;=$O$2,$D37,$D37-($D37-$I$6)*MIN(M$3-$O$2,$Q$2)/$Q$2))</f>
        <v>1619.88402026542</v>
      </c>
      <c r="N37" s="15" t="n">
        <f aca="false">M37*(1+IF(N$3&lt;=$O$2,$D37,$D37-($D37-$I$6)*MIN(N$3-$O$2,$Q$2)/$Q$2))</f>
        <v>1665.72673803894</v>
      </c>
      <c r="O37" s="15" t="n">
        <f aca="false">SUMPRODUCT(E37:N37,1/(1+$F$6)^$E$3:$N$3)*$E$2</f>
        <v>1937.69076163082</v>
      </c>
      <c r="P37" s="15" t="n">
        <f aca="false">N37*$E$2*(1+$I$6)/($F$6-$I$6)/(1+$F$6)^$N$3</f>
        <v>3684.90920321435</v>
      </c>
      <c r="Q37" s="15" t="n">
        <f aca="false">O37+P37</f>
        <v>5622.59996484517</v>
      </c>
      <c r="R37" s="15" t="n">
        <f aca="false">Q37-$G$2+$I$2</f>
        <v>5789.99996484517</v>
      </c>
      <c r="S37" s="42" t="n">
        <f aca="false">R37/$K$2</f>
        <v>164.535378370138</v>
      </c>
      <c r="T37" s="43" t="n">
        <f aca="false">S37-$M$2</f>
        <v>-9.99000633328251E-007</v>
      </c>
    </row>
    <row r="38" customFormat="false" ht="15" hidden="false" customHeight="false" outlineLevel="0" collapsed="false">
      <c r="A38" s="5" t="n">
        <v>31</v>
      </c>
      <c r="B38" s="25" t="n">
        <f aca="false">IF(T37&gt;0,B37,D37)</f>
        <v>0.0840076827444136</v>
      </c>
      <c r="C38" s="25" t="n">
        <f aca="false">IF(T37&gt;0,D37,C37)</f>
        <v>0.0840076841413975</v>
      </c>
      <c r="D38" s="41" t="n">
        <f aca="false">(B38+C38)/2</f>
        <v>0.0840076834429056</v>
      </c>
      <c r="E38" s="15" t="n">
        <f aca="false">$C$2*(1+IF(E$3&lt;=$O$2,$D38,$D38-($D38-$I$6)*MIN(E$3-$O$2,$Q$2)/$Q$2))</f>
        <v>943.119204825831</v>
      </c>
      <c r="F38" s="15" t="n">
        <f aca="false">E38*(1+IF(F$3&lt;=$O$2,$D38,$D38-($D38-$I$6)*MIN(F$3-$O$2,$Q$2)/$Q$2))</f>
        <v>1022.34846443376</v>
      </c>
      <c r="G38" s="15" t="n">
        <f aca="false">F38*(1+IF(G$3&lt;=$O$2,$D38,$D38-($D38-$I$6)*MIN(G$3-$O$2,$Q$2)/$Q$2))</f>
        <v>1108.23359060226</v>
      </c>
      <c r="H38" s="15" t="n">
        <f aca="false">G38*(1+IF(H$3&lt;=$O$2,$D38,$D38-($D38-$I$6)*MIN(H$3-$O$2,$Q$2)/$Q$2))</f>
        <v>1201.33372726237</v>
      </c>
      <c r="I38" s="15" t="n">
        <f aca="false">H38*(1+IF(I$3&lt;=$O$2,$D38,$D38-($D38-$I$6)*MIN(I$3-$O$2,$Q$2)/$Q$2))</f>
        <v>1302.25499073151</v>
      </c>
      <c r="J38" s="15" t="n">
        <f aca="false">I38*(1+IF(J$3&lt;=$O$2,$D38,$D38-($D38-$I$6)*MIN(J$3-$O$2,$Q$2)/$Q$2))</f>
        <v>1397.1452939977</v>
      </c>
      <c r="K38" s="15" t="n">
        <f aca="false">J38*(1+IF(K$3&lt;=$O$2,$D38,$D38-($D38-$I$6)*MIN(K$3-$O$2,$Q$2)/$Q$2))</f>
        <v>1483.3835424749</v>
      </c>
      <c r="L38" s="15" t="n">
        <f aca="false">K38*(1+IF(L$3&lt;=$O$2,$D38,$D38-($D38-$I$6)*MIN(L$3-$O$2,$Q$2)/$Q$2))</f>
        <v>1558.41764105038</v>
      </c>
      <c r="M38" s="15" t="n">
        <f aca="false">L38*(1+IF(M$3&lt;=$O$2,$D38,$D38-($D38-$I$6)*MIN(M$3-$O$2,$Q$2)/$Q$2))</f>
        <v>1619.884027616</v>
      </c>
      <c r="N38" s="15" t="n">
        <f aca="false">M38*(1+IF(N$3&lt;=$O$2,$D38,$D38-($D38-$I$6)*MIN(N$3-$O$2,$Q$2)/$Q$2))</f>
        <v>1665.72674559753</v>
      </c>
      <c r="O38" s="15" t="n">
        <f aca="false">SUMPRODUCT(E38:N38,1/(1+$F$6)^$E$3:$N$3)*$E$2</f>
        <v>1937.69076759171</v>
      </c>
      <c r="P38" s="15" t="n">
        <f aca="false">N38*$E$2*(1+$I$6)/($F$6-$I$6)/(1+$F$6)^$N$3</f>
        <v>3684.90921993543</v>
      </c>
      <c r="Q38" s="15" t="n">
        <f aca="false">O38+P38</f>
        <v>5622.59998752714</v>
      </c>
      <c r="R38" s="15" t="n">
        <f aca="false">Q38-$G$2+$I$2</f>
        <v>5789.99998752714</v>
      </c>
      <c r="S38" s="42" t="n">
        <f aca="false">R38/$K$2</f>
        <v>164.535379014696</v>
      </c>
      <c r="T38" s="43" t="n">
        <f aca="false">S38-$M$2</f>
        <v>-3.54443443484342E-007</v>
      </c>
    </row>
    <row r="39" customFormat="false" ht="15" hidden="false" customHeight="false" outlineLevel="0" collapsed="false">
      <c r="A39" s="5" t="n">
        <v>32</v>
      </c>
      <c r="B39" s="25" t="n">
        <f aca="false">IF(T38&gt;0,B38,D38)</f>
        <v>0.0840076834429056</v>
      </c>
      <c r="C39" s="25" t="n">
        <f aca="false">IF(T38&gt;0,D38,C38)</f>
        <v>0.0840076841413975</v>
      </c>
      <c r="D39" s="41" t="n">
        <f aca="false">(B39+C39)/2</f>
        <v>0.0840076837921515</v>
      </c>
      <c r="E39" s="15" t="n">
        <f aca="false">$C$2*(1+IF(E$3&lt;=$O$2,$D39,$D39-($D39-$I$6)*MIN(E$3-$O$2,$Q$2)/$Q$2))</f>
        <v>943.119205129686</v>
      </c>
      <c r="F39" s="15" t="n">
        <f aca="false">E39*(1+IF(F$3&lt;=$O$2,$D39,$D39-($D39-$I$6)*MIN(F$3-$O$2,$Q$2)/$Q$2))</f>
        <v>1022.34846509253</v>
      </c>
      <c r="G39" s="15" t="n">
        <f aca="false">F39*(1+IF(G$3&lt;=$O$2,$D39,$D39-($D39-$I$6)*MIN(G$3-$O$2,$Q$2)/$Q$2))</f>
        <v>1108.23359167341</v>
      </c>
      <c r="H39" s="15" t="n">
        <f aca="false">G39*(1+IF(H$3&lt;=$O$2,$D39,$D39-($D39-$I$6)*MIN(H$3-$O$2,$Q$2)/$Q$2))</f>
        <v>1201.33372881055</v>
      </c>
      <c r="I39" s="15" t="n">
        <f aca="false">H39*(1+IF(I$3&lt;=$O$2,$D39,$D39-($D39-$I$6)*MIN(I$3-$O$2,$Q$2)/$Q$2))</f>
        <v>1302.25499282931</v>
      </c>
      <c r="J39" s="15" t="n">
        <f aca="false">I39*(1+IF(J$3&lt;=$O$2,$D39,$D39-($D39-$I$6)*MIN(J$3-$O$2,$Q$2)/$Q$2))</f>
        <v>1397.14529661221</v>
      </c>
      <c r="K39" s="15" t="n">
        <f aca="false">J39*(1+IF(K$3&lt;=$O$2,$D39,$D39-($D39-$I$6)*MIN(K$3-$O$2,$Q$2)/$Q$2))</f>
        <v>1483.38354554356</v>
      </c>
      <c r="L39" s="15" t="n">
        <f aca="false">K39*(1+IF(L$3&lt;=$O$2,$D39,$D39-($D39-$I$6)*MIN(L$3-$O$2,$Q$2)/$Q$2))</f>
        <v>1558.41764448149</v>
      </c>
      <c r="M39" s="15" t="n">
        <f aca="false">L39*(1+IF(M$3&lt;=$O$2,$D39,$D39-($D39-$I$6)*MIN(M$3-$O$2,$Q$2)/$Q$2))</f>
        <v>1619.88403129129</v>
      </c>
      <c r="N39" s="15" t="n">
        <f aca="false">M39*(1+IF(N$3&lt;=$O$2,$D39,$D39-($D39-$I$6)*MIN(N$3-$O$2,$Q$2)/$Q$2))</f>
        <v>1665.72674937683</v>
      </c>
      <c r="O39" s="15" t="n">
        <f aca="false">SUMPRODUCT(E39:N39,1/(1+$F$6)^$E$3:$N$3)*$E$2</f>
        <v>1937.69077057216</v>
      </c>
      <c r="P39" s="15" t="n">
        <f aca="false">N39*$E$2*(1+$I$6)/($F$6-$I$6)/(1+$F$6)^$N$3</f>
        <v>3684.90922829596</v>
      </c>
      <c r="Q39" s="15" t="n">
        <f aca="false">O39+P39</f>
        <v>5622.59999886812</v>
      </c>
      <c r="R39" s="15" t="n">
        <f aca="false">Q39-$G$2+$I$2</f>
        <v>5789.99999886812</v>
      </c>
      <c r="S39" s="42" t="n">
        <f aca="false">R39/$K$2</f>
        <v>164.535379336974</v>
      </c>
      <c r="T39" s="43" t="n">
        <f aca="false">S39-$M$2</f>
        <v>-3.21647917189694E-008</v>
      </c>
    </row>
    <row r="40" customFormat="false" ht="15" hidden="false" customHeight="false" outlineLevel="0" collapsed="false">
      <c r="A40" s="5" t="n">
        <v>33</v>
      </c>
      <c r="B40" s="25" t="n">
        <f aca="false">IF(T39&gt;0,B39,D39)</f>
        <v>0.0840076837921515</v>
      </c>
      <c r="C40" s="25" t="n">
        <f aca="false">IF(T39&gt;0,D39,C39)</f>
        <v>0.0840076841413975</v>
      </c>
      <c r="D40" s="41" t="n">
        <f aca="false">(B40+C40)/2</f>
        <v>0.0840076839667745</v>
      </c>
      <c r="E40" s="15" t="n">
        <f aca="false">$C$2*(1+IF(E$3&lt;=$O$2,$D40,$D40-($D40-$I$6)*MIN(E$3-$O$2,$Q$2)/$Q$2))</f>
        <v>943.119205281613</v>
      </c>
      <c r="F40" s="15" t="n">
        <f aca="false">E40*(1+IF(F$3&lt;=$O$2,$D40,$D40-($D40-$I$6)*MIN(F$3-$O$2,$Q$2)/$Q$2))</f>
        <v>1022.34846542191</v>
      </c>
      <c r="G40" s="15" t="n">
        <f aca="false">F40*(1+IF(G$3&lt;=$O$2,$D40,$D40-($D40-$I$6)*MIN(G$3-$O$2,$Q$2)/$Q$2))</f>
        <v>1108.23359220899</v>
      </c>
      <c r="H40" s="15" t="n">
        <f aca="false">G40*(1+IF(H$3&lt;=$O$2,$D40,$D40-($D40-$I$6)*MIN(H$3-$O$2,$Q$2)/$Q$2))</f>
        <v>1201.33372958464</v>
      </c>
      <c r="I40" s="15" t="n">
        <f aca="false">H40*(1+IF(I$3&lt;=$O$2,$D40,$D40-($D40-$I$6)*MIN(I$3-$O$2,$Q$2)/$Q$2))</f>
        <v>1302.25499387822</v>
      </c>
      <c r="J40" s="15" t="n">
        <f aca="false">I40*(1+IF(J$3&lt;=$O$2,$D40,$D40-($D40-$I$6)*MIN(J$3-$O$2,$Q$2)/$Q$2))</f>
        <v>1397.14529791947</v>
      </c>
      <c r="K40" s="15" t="n">
        <f aca="false">J40*(1+IF(K$3&lt;=$O$2,$D40,$D40-($D40-$I$6)*MIN(K$3-$O$2,$Q$2)/$Q$2))</f>
        <v>1483.38354707788</v>
      </c>
      <c r="L40" s="15" t="n">
        <f aca="false">K40*(1+IF(L$3&lt;=$O$2,$D40,$D40-($D40-$I$6)*MIN(L$3-$O$2,$Q$2)/$Q$2))</f>
        <v>1558.41764619704</v>
      </c>
      <c r="M40" s="15" t="n">
        <f aca="false">L40*(1+IF(M$3&lt;=$O$2,$D40,$D40-($D40-$I$6)*MIN(M$3-$O$2,$Q$2)/$Q$2))</f>
        <v>1619.88403312893</v>
      </c>
      <c r="N40" s="15" t="n">
        <f aca="false">M40*(1+IF(N$3&lt;=$O$2,$D40,$D40-($D40-$I$6)*MIN(N$3-$O$2,$Q$2)/$Q$2))</f>
        <v>1665.72675126648</v>
      </c>
      <c r="O40" s="15" t="n">
        <f aca="false">SUMPRODUCT(E40:N40,1/(1+$F$6)^$E$3:$N$3)*$E$2</f>
        <v>1937.69077206238</v>
      </c>
      <c r="P40" s="15" t="n">
        <f aca="false">N40*$E$2*(1+$I$6)/($F$6-$I$6)/(1+$F$6)^$N$3</f>
        <v>3684.90923247623</v>
      </c>
      <c r="Q40" s="15" t="n">
        <f aca="false">O40+P40</f>
        <v>5622.60000453861</v>
      </c>
      <c r="R40" s="15" t="n">
        <f aca="false">Q40-$G$2+$I$2</f>
        <v>5790.00000453862</v>
      </c>
      <c r="S40" s="42" t="n">
        <f aca="false">R40/$K$2</f>
        <v>164.535379498114</v>
      </c>
      <c r="T40" s="43" t="n">
        <f aca="false">S40-$M$2</f>
        <v>1.28974534163717E-007</v>
      </c>
    </row>
    <row r="41" customFormat="false" ht="15" hidden="false" customHeight="false" outlineLevel="0" collapsed="false">
      <c r="A41" s="5" t="n">
        <v>34</v>
      </c>
      <c r="B41" s="25" t="n">
        <f aca="false">IF(T40&gt;0,B40,D40)</f>
        <v>0.0840076837921515</v>
      </c>
      <c r="C41" s="25" t="n">
        <f aca="false">IF(T40&gt;0,D40,C40)</f>
        <v>0.0840076839667745</v>
      </c>
      <c r="D41" s="41" t="n">
        <f aca="false">(B41+C41)/2</f>
        <v>0.084007683879463</v>
      </c>
      <c r="E41" s="15" t="n">
        <f aca="false">$C$2*(1+IF(E$3&lt;=$O$2,$D41,$D41-($D41-$I$6)*MIN(E$3-$O$2,$Q$2)/$Q$2))</f>
        <v>943.119205205649</v>
      </c>
      <c r="F41" s="15" t="n">
        <f aca="false">E41*(1+IF(F$3&lt;=$O$2,$D41,$D41-($D41-$I$6)*MIN(F$3-$O$2,$Q$2)/$Q$2))</f>
        <v>1022.34846525722</v>
      </c>
      <c r="G41" s="15" t="n">
        <f aca="false">F41*(1+IF(G$3&lt;=$O$2,$D41,$D41-($D41-$I$6)*MIN(G$3-$O$2,$Q$2)/$Q$2))</f>
        <v>1108.2335919412</v>
      </c>
      <c r="H41" s="15" t="n">
        <f aca="false">G41*(1+IF(H$3&lt;=$O$2,$D41,$D41-($D41-$I$6)*MIN(H$3-$O$2,$Q$2)/$Q$2))</f>
        <v>1201.3337291976</v>
      </c>
      <c r="I41" s="15" t="n">
        <f aca="false">H41*(1+IF(I$3&lt;=$O$2,$D41,$D41-($D41-$I$6)*MIN(I$3-$O$2,$Q$2)/$Q$2))</f>
        <v>1302.25499335376</v>
      </c>
      <c r="J41" s="15" t="n">
        <f aca="false">I41*(1+IF(J$3&lt;=$O$2,$D41,$D41-($D41-$I$6)*MIN(J$3-$O$2,$Q$2)/$Q$2))</f>
        <v>1397.14529726584</v>
      </c>
      <c r="K41" s="15" t="n">
        <f aca="false">J41*(1+IF(K$3&lt;=$O$2,$D41,$D41-($D41-$I$6)*MIN(K$3-$O$2,$Q$2)/$Q$2))</f>
        <v>1483.38354631072</v>
      </c>
      <c r="L41" s="15" t="n">
        <f aca="false">K41*(1+IF(L$3&lt;=$O$2,$D41,$D41-($D41-$I$6)*MIN(L$3-$O$2,$Q$2)/$Q$2))</f>
        <v>1558.41764533926</v>
      </c>
      <c r="M41" s="15" t="n">
        <f aca="false">L41*(1+IF(M$3&lt;=$O$2,$D41,$D41-($D41-$I$6)*MIN(M$3-$O$2,$Q$2)/$Q$2))</f>
        <v>1619.88403221011</v>
      </c>
      <c r="N41" s="15" t="n">
        <f aca="false">M41*(1+IF(N$3&lt;=$O$2,$D41,$D41-($D41-$I$6)*MIN(N$3-$O$2,$Q$2)/$Q$2))</f>
        <v>1665.72675032166</v>
      </c>
      <c r="O41" s="15" t="n">
        <f aca="false">SUMPRODUCT(E41:N41,1/(1+$F$6)^$E$3:$N$3)*$E$2</f>
        <v>1937.69077131727</v>
      </c>
      <c r="P41" s="15" t="n">
        <f aca="false">N41*$E$2*(1+$I$6)/($F$6-$I$6)/(1+$F$6)^$N$3</f>
        <v>3684.9092303861</v>
      </c>
      <c r="Q41" s="15" t="n">
        <f aca="false">O41+P41</f>
        <v>5622.60000170337</v>
      </c>
      <c r="R41" s="15" t="n">
        <f aca="false">Q41-$G$2+$I$2</f>
        <v>5790.00000170337</v>
      </c>
      <c r="S41" s="42" t="n">
        <f aca="false">R41/$K$2</f>
        <v>164.535379417544</v>
      </c>
      <c r="T41" s="43" t="n">
        <f aca="false">S41-$M$2</f>
        <v>4.84048712223739E-008</v>
      </c>
    </row>
    <row r="42" customFormat="false" ht="15" hidden="false" customHeight="false" outlineLevel="0" collapsed="false">
      <c r="A42" s="5" t="n">
        <v>35</v>
      </c>
      <c r="B42" s="25" t="n">
        <f aca="false">IF(T41&gt;0,B41,D41)</f>
        <v>0.0840076837921515</v>
      </c>
      <c r="C42" s="25" t="n">
        <f aca="false">IF(T41&gt;0,D41,C41)</f>
        <v>0.084007683879463</v>
      </c>
      <c r="D42" s="41" t="n">
        <f aca="false">(B42+C42)/2</f>
        <v>0.0840076838358073</v>
      </c>
      <c r="E42" s="15" t="n">
        <f aca="false">$C$2*(1+IF(E$3&lt;=$O$2,$D42,$D42-($D42-$I$6)*MIN(E$3-$O$2,$Q$2)/$Q$2))</f>
        <v>943.119205167667</v>
      </c>
      <c r="F42" s="15" t="n">
        <f aca="false">E42*(1+IF(F$3&lt;=$O$2,$D42,$D42-($D42-$I$6)*MIN(F$3-$O$2,$Q$2)/$Q$2))</f>
        <v>1022.34846517487</v>
      </c>
      <c r="G42" s="15" t="n">
        <f aca="false">F42*(1+IF(G$3&lt;=$O$2,$D42,$D42-($D42-$I$6)*MIN(G$3-$O$2,$Q$2)/$Q$2))</f>
        <v>1108.2335918073</v>
      </c>
      <c r="H42" s="15" t="n">
        <f aca="false">G42*(1+IF(H$3&lt;=$O$2,$D42,$D42-($D42-$I$6)*MIN(H$3-$O$2,$Q$2)/$Q$2))</f>
        <v>1201.33372900407</v>
      </c>
      <c r="I42" s="15" t="n">
        <f aca="false">H42*(1+IF(I$3&lt;=$O$2,$D42,$D42-($D42-$I$6)*MIN(I$3-$O$2,$Q$2)/$Q$2))</f>
        <v>1302.25499309154</v>
      </c>
      <c r="J42" s="15" t="n">
        <f aca="false">I42*(1+IF(J$3&lt;=$O$2,$D42,$D42-($D42-$I$6)*MIN(J$3-$O$2,$Q$2)/$Q$2))</f>
        <v>1397.14529693903</v>
      </c>
      <c r="K42" s="15" t="n">
        <f aca="false">J42*(1+IF(K$3&lt;=$O$2,$D42,$D42-($D42-$I$6)*MIN(K$3-$O$2,$Q$2)/$Q$2))</f>
        <v>1483.38354592714</v>
      </c>
      <c r="L42" s="15" t="n">
        <f aca="false">K42*(1+IF(L$3&lt;=$O$2,$D42,$D42-($D42-$I$6)*MIN(L$3-$O$2,$Q$2)/$Q$2))</f>
        <v>1558.41764491038</v>
      </c>
      <c r="M42" s="15" t="n">
        <f aca="false">L42*(1+IF(M$3&lt;=$O$2,$D42,$D42-($D42-$I$6)*MIN(M$3-$O$2,$Q$2)/$Q$2))</f>
        <v>1619.8840317507</v>
      </c>
      <c r="N42" s="15" t="n">
        <f aca="false">M42*(1+IF(N$3&lt;=$O$2,$D42,$D42-($D42-$I$6)*MIN(N$3-$O$2,$Q$2)/$Q$2))</f>
        <v>1665.72674984925</v>
      </c>
      <c r="O42" s="15" t="n">
        <f aca="false">SUMPRODUCT(E42:N42,1/(1+$F$6)^$E$3:$N$3)*$E$2</f>
        <v>1937.69077094471</v>
      </c>
      <c r="P42" s="15" t="n">
        <f aca="false">N42*$E$2*(1+$I$6)/($F$6-$I$6)/(1+$F$6)^$N$3</f>
        <v>3684.90922934103</v>
      </c>
      <c r="Q42" s="15" t="n">
        <f aca="false">O42+P42</f>
        <v>5622.60000028574</v>
      </c>
      <c r="R42" s="15" t="n">
        <f aca="false">Q42-$G$2+$I$2</f>
        <v>5790.00000028575</v>
      </c>
      <c r="S42" s="42" t="n">
        <f aca="false">R42/$K$2</f>
        <v>164.535379377259</v>
      </c>
      <c r="T42" s="43" t="n">
        <f aca="false">S42-$M$2</f>
        <v>8.12002554084756E-009</v>
      </c>
    </row>
    <row r="43" customFormat="false" ht="15" hidden="false" customHeight="false" outlineLevel="0" collapsed="false">
      <c r="A43" s="5" t="n">
        <v>36</v>
      </c>
      <c r="B43" s="25" t="n">
        <f aca="false">IF(T42&gt;0,B42,D42)</f>
        <v>0.0840076837921515</v>
      </c>
      <c r="C43" s="25" t="n">
        <f aca="false">IF(T42&gt;0,D42,C42)</f>
        <v>0.0840076838358073</v>
      </c>
      <c r="D43" s="41" t="n">
        <f aca="false">(B43+C43)/2</f>
        <v>0.0840076838139794</v>
      </c>
      <c r="E43" s="15" t="n">
        <f aca="false">$C$2*(1+IF(E$3&lt;=$O$2,$D43,$D43-($D43-$I$6)*MIN(E$3-$O$2,$Q$2)/$Q$2))</f>
        <v>943.119205148676</v>
      </c>
      <c r="F43" s="15" t="n">
        <f aca="false">E43*(1+IF(F$3&lt;=$O$2,$D43,$D43-($D43-$I$6)*MIN(F$3-$O$2,$Q$2)/$Q$2))</f>
        <v>1022.3484651337</v>
      </c>
      <c r="G43" s="15" t="n">
        <f aca="false">F43*(1+IF(G$3&lt;=$O$2,$D43,$D43-($D43-$I$6)*MIN(G$3-$O$2,$Q$2)/$Q$2))</f>
        <v>1108.23359174036</v>
      </c>
      <c r="H43" s="15" t="n">
        <f aca="false">G43*(1+IF(H$3&lt;=$O$2,$D43,$D43-($D43-$I$6)*MIN(H$3-$O$2,$Q$2)/$Q$2))</f>
        <v>1201.33372890731</v>
      </c>
      <c r="I43" s="15" t="n">
        <f aca="false">H43*(1+IF(I$3&lt;=$O$2,$D43,$D43-($D43-$I$6)*MIN(I$3-$O$2,$Q$2)/$Q$2))</f>
        <v>1302.25499296043</v>
      </c>
      <c r="J43" s="15" t="n">
        <f aca="false">I43*(1+IF(J$3&lt;=$O$2,$D43,$D43-($D43-$I$6)*MIN(J$3-$O$2,$Q$2)/$Q$2))</f>
        <v>1397.14529677562</v>
      </c>
      <c r="K43" s="15" t="n">
        <f aca="false">J43*(1+IF(K$3&lt;=$O$2,$D43,$D43-($D43-$I$6)*MIN(K$3-$O$2,$Q$2)/$Q$2))</f>
        <v>1483.38354573535</v>
      </c>
      <c r="L43" s="15" t="n">
        <f aca="false">K43*(1+IF(L$3&lt;=$O$2,$D43,$D43-($D43-$I$6)*MIN(L$3-$O$2,$Q$2)/$Q$2))</f>
        <v>1558.41764469593</v>
      </c>
      <c r="M43" s="15" t="n">
        <f aca="false">L43*(1+IF(M$3&lt;=$O$2,$D43,$D43-($D43-$I$6)*MIN(M$3-$O$2,$Q$2)/$Q$2))</f>
        <v>1619.884031521</v>
      </c>
      <c r="N43" s="15" t="n">
        <f aca="false">M43*(1+IF(N$3&lt;=$O$2,$D43,$D43-($D43-$I$6)*MIN(N$3-$O$2,$Q$2)/$Q$2))</f>
        <v>1665.72674961304</v>
      </c>
      <c r="O43" s="15" t="n">
        <f aca="false">SUMPRODUCT(E43:N43,1/(1+$F$6)^$E$3:$N$3)*$E$2</f>
        <v>1937.69077075844</v>
      </c>
      <c r="P43" s="15" t="n">
        <f aca="false">N43*$E$2*(1+$I$6)/($F$6-$I$6)/(1+$F$6)^$N$3</f>
        <v>3684.9092288185</v>
      </c>
      <c r="Q43" s="15" t="n">
        <f aca="false">O43+P43</f>
        <v>5622.59999957693</v>
      </c>
      <c r="R43" s="15" t="n">
        <f aca="false">Q43-$G$2+$I$2</f>
        <v>5789.99999957693</v>
      </c>
      <c r="S43" s="42" t="n">
        <f aca="false">R43/$K$2</f>
        <v>164.535379357117</v>
      </c>
      <c r="T43" s="43" t="n">
        <f aca="false">S43-$M$2</f>
        <v>-1.20224115107703E-008</v>
      </c>
    </row>
    <row r="44" customFormat="false" ht="15" hidden="false" customHeight="false" outlineLevel="0" collapsed="false">
      <c r="A44" s="5" t="n">
        <v>37</v>
      </c>
      <c r="B44" s="25" t="n">
        <f aca="false">IF(T43&gt;0,B43,D43)</f>
        <v>0.0840076838139794</v>
      </c>
      <c r="C44" s="25" t="n">
        <f aca="false">IF(T43&gt;0,D43,C43)</f>
        <v>0.0840076838358073</v>
      </c>
      <c r="D44" s="41" t="n">
        <f aca="false">(B44+C44)/2</f>
        <v>0.0840076838248933</v>
      </c>
      <c r="E44" s="15" t="n">
        <f aca="false">$C$2*(1+IF(E$3&lt;=$O$2,$D44,$D44-($D44-$I$6)*MIN(E$3-$O$2,$Q$2)/$Q$2))</f>
        <v>943.119205158172</v>
      </c>
      <c r="F44" s="15" t="n">
        <f aca="false">E44*(1+IF(F$3&lt;=$O$2,$D44,$D44-($D44-$I$6)*MIN(F$3-$O$2,$Q$2)/$Q$2))</f>
        <v>1022.34846515428</v>
      </c>
      <c r="G44" s="15" t="n">
        <f aca="false">F44*(1+IF(G$3&lt;=$O$2,$D44,$D44-($D44-$I$6)*MIN(G$3-$O$2,$Q$2)/$Q$2))</f>
        <v>1108.23359177383</v>
      </c>
      <c r="H44" s="15" t="n">
        <f aca="false">G44*(1+IF(H$3&lt;=$O$2,$D44,$D44-($D44-$I$6)*MIN(H$3-$O$2,$Q$2)/$Q$2))</f>
        <v>1201.33372895569</v>
      </c>
      <c r="I44" s="15" t="n">
        <f aca="false">H44*(1+IF(I$3&lt;=$O$2,$D44,$D44-($D44-$I$6)*MIN(I$3-$O$2,$Q$2)/$Q$2))</f>
        <v>1302.25499302598</v>
      </c>
      <c r="J44" s="15" t="n">
        <f aca="false">I44*(1+IF(J$3&lt;=$O$2,$D44,$D44-($D44-$I$6)*MIN(J$3-$O$2,$Q$2)/$Q$2))</f>
        <v>1397.14529685732</v>
      </c>
      <c r="K44" s="15" t="n">
        <f aca="false">J44*(1+IF(K$3&lt;=$O$2,$D44,$D44-($D44-$I$6)*MIN(K$3-$O$2,$Q$2)/$Q$2))</f>
        <v>1483.38354583124</v>
      </c>
      <c r="L44" s="15" t="n">
        <f aca="false">K44*(1+IF(L$3&lt;=$O$2,$D44,$D44-($D44-$I$6)*MIN(L$3-$O$2,$Q$2)/$Q$2))</f>
        <v>1558.41764480315</v>
      </c>
      <c r="M44" s="15" t="n">
        <f aca="false">L44*(1+IF(M$3&lt;=$O$2,$D44,$D44-($D44-$I$6)*MIN(M$3-$O$2,$Q$2)/$Q$2))</f>
        <v>1619.88403163585</v>
      </c>
      <c r="N44" s="15" t="n">
        <f aca="false">M44*(1+IF(N$3&lt;=$O$2,$D44,$D44-($D44-$I$6)*MIN(N$3-$O$2,$Q$2)/$Q$2))</f>
        <v>1665.72674973114</v>
      </c>
      <c r="O44" s="15" t="n">
        <f aca="false">SUMPRODUCT(E44:N44,1/(1+$F$6)^$E$3:$N$3)*$E$2</f>
        <v>1937.69077085157</v>
      </c>
      <c r="P44" s="15" t="n">
        <f aca="false">N44*$E$2*(1+$I$6)/($F$6-$I$6)/(1+$F$6)^$N$3</f>
        <v>3684.90922907977</v>
      </c>
      <c r="Q44" s="15" t="n">
        <f aca="false">O44+P44</f>
        <v>5622.59999993134</v>
      </c>
      <c r="R44" s="15" t="n">
        <f aca="false">Q44-$G$2+$I$2</f>
        <v>5789.99999993134</v>
      </c>
      <c r="S44" s="42" t="n">
        <f aca="false">R44/$K$2</f>
        <v>164.535379367188</v>
      </c>
      <c r="T44" s="43" t="n">
        <f aca="false">S44-$M$2</f>
        <v>-1.9512071958161E-009</v>
      </c>
    </row>
    <row r="45" customFormat="false" ht="15" hidden="false" customHeight="false" outlineLevel="0" collapsed="false">
      <c r="A45" s="5" t="n">
        <v>38</v>
      </c>
      <c r="B45" s="25" t="n">
        <f aca="false">IF(T44&gt;0,B44,D44)</f>
        <v>0.0840076838248933</v>
      </c>
      <c r="C45" s="25" t="n">
        <f aca="false">IF(T44&gt;0,D44,C44)</f>
        <v>0.0840076838358073</v>
      </c>
      <c r="D45" s="41" t="n">
        <f aca="false">(B45+C45)/2</f>
        <v>0.0840076838303503</v>
      </c>
      <c r="E45" s="15" t="n">
        <f aca="false">$C$2*(1+IF(E$3&lt;=$O$2,$D45,$D45-($D45-$I$6)*MIN(E$3-$O$2,$Q$2)/$Q$2))</f>
        <v>943.11920516292</v>
      </c>
      <c r="F45" s="15" t="n">
        <f aca="false">E45*(1+IF(F$3&lt;=$O$2,$D45,$D45-($D45-$I$6)*MIN(F$3-$O$2,$Q$2)/$Q$2))</f>
        <v>1022.34846516458</v>
      </c>
      <c r="G45" s="15" t="n">
        <f aca="false">F45*(1+IF(G$3&lt;=$O$2,$D45,$D45-($D45-$I$6)*MIN(G$3-$O$2,$Q$2)/$Q$2))</f>
        <v>1108.23359179057</v>
      </c>
      <c r="H45" s="15" t="n">
        <f aca="false">G45*(1+IF(H$3&lt;=$O$2,$D45,$D45-($D45-$I$6)*MIN(H$3-$O$2,$Q$2)/$Q$2))</f>
        <v>1201.33372897988</v>
      </c>
      <c r="I45" s="15" t="n">
        <f aca="false">H45*(1+IF(I$3&lt;=$O$2,$D45,$D45-($D45-$I$6)*MIN(I$3-$O$2,$Q$2)/$Q$2))</f>
        <v>1302.25499305876</v>
      </c>
      <c r="J45" s="15" t="n">
        <f aca="false">I45*(1+IF(J$3&lt;=$O$2,$D45,$D45-($D45-$I$6)*MIN(J$3-$O$2,$Q$2)/$Q$2))</f>
        <v>1397.14529689817</v>
      </c>
      <c r="K45" s="15" t="n">
        <f aca="false">J45*(1+IF(K$3&lt;=$O$2,$D45,$D45-($D45-$I$6)*MIN(K$3-$O$2,$Q$2)/$Q$2))</f>
        <v>1483.38354587919</v>
      </c>
      <c r="L45" s="15" t="n">
        <f aca="false">K45*(1+IF(L$3&lt;=$O$2,$D45,$D45-($D45-$I$6)*MIN(L$3-$O$2,$Q$2)/$Q$2))</f>
        <v>1558.41764485676</v>
      </c>
      <c r="M45" s="15" t="n">
        <f aca="false">L45*(1+IF(M$3&lt;=$O$2,$D45,$D45-($D45-$I$6)*MIN(M$3-$O$2,$Q$2)/$Q$2))</f>
        <v>1619.88403169327</v>
      </c>
      <c r="N45" s="15" t="n">
        <f aca="false">M45*(1+IF(N$3&lt;=$O$2,$D45,$D45-($D45-$I$6)*MIN(N$3-$O$2,$Q$2)/$Q$2))</f>
        <v>1665.72674979019</v>
      </c>
      <c r="O45" s="15" t="n">
        <f aca="false">SUMPRODUCT(E45:N45,1/(1+$F$6)^$E$3:$N$3)*$E$2</f>
        <v>1937.69077089814</v>
      </c>
      <c r="P45" s="15" t="n">
        <f aca="false">N45*$E$2*(1+$I$6)/($F$6-$I$6)/(1+$F$6)^$N$3</f>
        <v>3684.9092292104</v>
      </c>
      <c r="Q45" s="15" t="n">
        <f aca="false">O45+P45</f>
        <v>5622.60000010854</v>
      </c>
      <c r="R45" s="15" t="n">
        <f aca="false">Q45-$G$2+$I$2</f>
        <v>5790.00000010855</v>
      </c>
      <c r="S45" s="42" t="n">
        <f aca="false">R45/$K$2</f>
        <v>164.535379372224</v>
      </c>
      <c r="T45" s="43" t="n">
        <f aca="false">S45-$M$2</f>
        <v>3.08449443764403E-009</v>
      </c>
    </row>
    <row r="46" customFormat="false" ht="15" hidden="false" customHeight="false" outlineLevel="0" collapsed="false">
      <c r="A46" s="5" t="n">
        <v>39</v>
      </c>
      <c r="B46" s="25" t="n">
        <f aca="false">IF(T45&gt;0,B45,D45)</f>
        <v>0.0840076838248933</v>
      </c>
      <c r="C46" s="25" t="n">
        <f aca="false">IF(T45&gt;0,D45,C45)</f>
        <v>0.0840076838303503</v>
      </c>
      <c r="D46" s="41" t="n">
        <f aca="false">(B46+C46)/2</f>
        <v>0.0840076838276218</v>
      </c>
      <c r="E46" s="15" t="n">
        <f aca="false">$C$2*(1+IF(E$3&lt;=$O$2,$D46,$D46-($D46-$I$6)*MIN(E$3-$O$2,$Q$2)/$Q$2))</f>
        <v>943.119205160546</v>
      </c>
      <c r="F46" s="15" t="n">
        <f aca="false">E46*(1+IF(F$3&lt;=$O$2,$D46,$D46-($D46-$I$6)*MIN(F$3-$O$2,$Q$2)/$Q$2))</f>
        <v>1022.34846515943</v>
      </c>
      <c r="G46" s="15" t="n">
        <f aca="false">F46*(1+IF(G$3&lt;=$O$2,$D46,$D46-($D46-$I$6)*MIN(G$3-$O$2,$Q$2)/$Q$2))</f>
        <v>1108.2335917822</v>
      </c>
      <c r="H46" s="15" t="n">
        <f aca="false">G46*(1+IF(H$3&lt;=$O$2,$D46,$D46-($D46-$I$6)*MIN(H$3-$O$2,$Q$2)/$Q$2))</f>
        <v>1201.33372896779</v>
      </c>
      <c r="I46" s="15" t="n">
        <f aca="false">H46*(1+IF(I$3&lt;=$O$2,$D46,$D46-($D46-$I$6)*MIN(I$3-$O$2,$Q$2)/$Q$2))</f>
        <v>1302.25499304237</v>
      </c>
      <c r="J46" s="15" t="n">
        <f aca="false">I46*(1+IF(J$3&lt;=$O$2,$D46,$D46-($D46-$I$6)*MIN(J$3-$O$2,$Q$2)/$Q$2))</f>
        <v>1397.14529687775</v>
      </c>
      <c r="K46" s="15" t="n">
        <f aca="false">J46*(1+IF(K$3&lt;=$O$2,$D46,$D46-($D46-$I$6)*MIN(K$3-$O$2,$Q$2)/$Q$2))</f>
        <v>1483.38354585522</v>
      </c>
      <c r="L46" s="15" t="n">
        <f aca="false">K46*(1+IF(L$3&lt;=$O$2,$D46,$D46-($D46-$I$6)*MIN(L$3-$O$2,$Q$2)/$Q$2))</f>
        <v>1558.41764482996</v>
      </c>
      <c r="M46" s="15" t="n">
        <f aca="false">L46*(1+IF(M$3&lt;=$O$2,$D46,$D46-($D46-$I$6)*MIN(M$3-$O$2,$Q$2)/$Q$2))</f>
        <v>1619.88403166456</v>
      </c>
      <c r="N46" s="15" t="n">
        <f aca="false">M46*(1+IF(N$3&lt;=$O$2,$D46,$D46-($D46-$I$6)*MIN(N$3-$O$2,$Q$2)/$Q$2))</f>
        <v>1665.72674976067</v>
      </c>
      <c r="O46" s="15" t="n">
        <f aca="false">SUMPRODUCT(E46:N46,1/(1+$F$6)^$E$3:$N$3)*$E$2</f>
        <v>1937.69077087486</v>
      </c>
      <c r="P46" s="15" t="n">
        <f aca="false">N46*$E$2*(1+$I$6)/($F$6-$I$6)/(1+$F$6)^$N$3</f>
        <v>3684.90922914508</v>
      </c>
      <c r="Q46" s="15" t="n">
        <f aca="false">O46+P46</f>
        <v>5622.60000001994</v>
      </c>
      <c r="R46" s="15" t="n">
        <f aca="false">Q46-$G$2+$I$2</f>
        <v>5790.00000001994</v>
      </c>
      <c r="S46" s="42" t="n">
        <f aca="false">R46/$K$2</f>
        <v>164.535379369706</v>
      </c>
      <c r="T46" s="43" t="n">
        <f aca="false">S46-$M$2</f>
        <v>5.66672042623395E-010</v>
      </c>
    </row>
    <row r="47" customFormat="false" ht="15" hidden="false" customHeight="false" outlineLevel="0" collapsed="false">
      <c r="A47" s="5" t="n">
        <v>40</v>
      </c>
      <c r="B47" s="25" t="n">
        <f aca="false">IF(T46&gt;0,B46,D46)</f>
        <v>0.0840076838248933</v>
      </c>
      <c r="C47" s="25" t="n">
        <f aca="false">IF(T46&gt;0,D46,C46)</f>
        <v>0.0840076838276218</v>
      </c>
      <c r="D47" s="41" t="n">
        <f aca="false">(B47+C47)/2</f>
        <v>0.0840076838262576</v>
      </c>
      <c r="E47" s="15" t="n">
        <f aca="false">$C$2*(1+IF(E$3&lt;=$O$2,$D47,$D47-($D47-$I$6)*MIN(E$3-$O$2,$Q$2)/$Q$2))</f>
        <v>943.119205159359</v>
      </c>
      <c r="F47" s="15" t="n">
        <f aca="false">E47*(1+IF(F$3&lt;=$O$2,$D47,$D47-($D47-$I$6)*MIN(F$3-$O$2,$Q$2)/$Q$2))</f>
        <v>1022.34846515686</v>
      </c>
      <c r="G47" s="15" t="n">
        <f aca="false">F47*(1+IF(G$3&lt;=$O$2,$D47,$D47-($D47-$I$6)*MIN(G$3-$O$2,$Q$2)/$Q$2))</f>
        <v>1108.23359177801</v>
      </c>
      <c r="H47" s="15" t="n">
        <f aca="false">G47*(1+IF(H$3&lt;=$O$2,$D47,$D47-($D47-$I$6)*MIN(H$3-$O$2,$Q$2)/$Q$2))</f>
        <v>1201.33372896174</v>
      </c>
      <c r="I47" s="15" t="n">
        <f aca="false">H47*(1+IF(I$3&lt;=$O$2,$D47,$D47-($D47-$I$6)*MIN(I$3-$O$2,$Q$2)/$Q$2))</f>
        <v>1302.25499303418</v>
      </c>
      <c r="J47" s="15" t="n">
        <f aca="false">I47*(1+IF(J$3&lt;=$O$2,$D47,$D47-($D47-$I$6)*MIN(J$3-$O$2,$Q$2)/$Q$2))</f>
        <v>1397.14529686753</v>
      </c>
      <c r="K47" s="15" t="n">
        <f aca="false">J47*(1+IF(K$3&lt;=$O$2,$D47,$D47-($D47-$I$6)*MIN(K$3-$O$2,$Q$2)/$Q$2))</f>
        <v>1483.38354584323</v>
      </c>
      <c r="L47" s="15" t="n">
        <f aca="false">K47*(1+IF(L$3&lt;=$O$2,$D47,$D47-($D47-$I$6)*MIN(L$3-$O$2,$Q$2)/$Q$2))</f>
        <v>1558.41764481656</v>
      </c>
      <c r="M47" s="15" t="n">
        <f aca="false">L47*(1+IF(M$3&lt;=$O$2,$D47,$D47-($D47-$I$6)*MIN(M$3-$O$2,$Q$2)/$Q$2))</f>
        <v>1619.8840316502</v>
      </c>
      <c r="N47" s="15" t="n">
        <f aca="false">M47*(1+IF(N$3&lt;=$O$2,$D47,$D47-($D47-$I$6)*MIN(N$3-$O$2,$Q$2)/$Q$2))</f>
        <v>1665.72674974591</v>
      </c>
      <c r="O47" s="15" t="n">
        <f aca="false">SUMPRODUCT(E47:N47,1/(1+$F$6)^$E$3:$N$3)*$E$2</f>
        <v>1937.69077086322</v>
      </c>
      <c r="P47" s="15" t="n">
        <f aca="false">N47*$E$2*(1+$I$6)/($F$6-$I$6)/(1+$F$6)^$N$3</f>
        <v>3684.90922911242</v>
      </c>
      <c r="Q47" s="15" t="n">
        <f aca="false">O47+P47</f>
        <v>5622.59999997564</v>
      </c>
      <c r="R47" s="15" t="n">
        <f aca="false">Q47-$G$2+$I$2</f>
        <v>5789.99999997564</v>
      </c>
      <c r="S47" s="42" t="n">
        <f aca="false">R47/$K$2</f>
        <v>164.535379368447</v>
      </c>
      <c r="T47" s="43" t="n">
        <f aca="false">S47-$M$2</f>
        <v>-6.9223915488692E-010</v>
      </c>
    </row>
    <row r="49" customFormat="false" ht="15" hidden="false" customHeight="false" outlineLevel="0" collapsed="false">
      <c r="A49" s="38" t="s">
        <v>188</v>
      </c>
      <c r="E49" s="5" t="s">
        <v>12</v>
      </c>
      <c r="F49" s="12" t="n">
        <f aca="false">Sensitivity!$B$10</f>
        <v>0.0675075820986394</v>
      </c>
      <c r="G49" s="5" t="s">
        <v>13</v>
      </c>
      <c r="I49" s="12" t="n">
        <f aca="false">Sensitivity!$C$9</f>
        <v>0.0183</v>
      </c>
    </row>
    <row r="50" customFormat="false" ht="23.85" hidden="false" customHeight="false" outlineLevel="0" collapsed="false">
      <c r="A50" s="38" t="s">
        <v>168</v>
      </c>
      <c r="B50" s="28" t="s">
        <v>169</v>
      </c>
      <c r="C50" s="28" t="s">
        <v>170</v>
      </c>
      <c r="D50" s="28" t="s">
        <v>171</v>
      </c>
      <c r="E50" s="28" t="s">
        <v>172</v>
      </c>
      <c r="F50" s="28" t="s">
        <v>173</v>
      </c>
      <c r="G50" s="28" t="s">
        <v>174</v>
      </c>
      <c r="H50" s="28" t="s">
        <v>175</v>
      </c>
      <c r="I50" s="28" t="s">
        <v>176</v>
      </c>
      <c r="J50" s="28" t="s">
        <v>177</v>
      </c>
      <c r="K50" s="28" t="s">
        <v>178</v>
      </c>
      <c r="L50" s="28" t="s">
        <v>179</v>
      </c>
      <c r="M50" s="28" t="s">
        <v>180</v>
      </c>
      <c r="N50" s="28" t="s">
        <v>181</v>
      </c>
      <c r="O50" s="28" t="s">
        <v>182</v>
      </c>
      <c r="P50" s="28" t="s">
        <v>183</v>
      </c>
      <c r="Q50" s="28" t="s">
        <v>184</v>
      </c>
      <c r="R50" s="28" t="s">
        <v>185</v>
      </c>
      <c r="S50" s="28" t="s">
        <v>186</v>
      </c>
      <c r="T50" s="28" t="s">
        <v>187</v>
      </c>
    </row>
    <row r="51" customFormat="false" ht="15" hidden="false" customHeight="false" outlineLevel="0" collapsed="false">
      <c r="A51" s="5" t="n">
        <v>1</v>
      </c>
      <c r="B51" s="24" t="n">
        <v>-0.5</v>
      </c>
      <c r="C51" s="24" t="n">
        <v>1</v>
      </c>
      <c r="D51" s="41" t="n">
        <f aca="false">(B51+C51)/2</f>
        <v>0.25</v>
      </c>
      <c r="E51" s="15" t="n">
        <f aca="false">$C$2*(1+IF(E$3&lt;=$O$2,$D51,$D51-($D51-$I$49)*MIN(E$3-$O$2,$Q$2)/$Q$2))</f>
        <v>1087.5375</v>
      </c>
      <c r="F51" s="15" t="n">
        <f aca="false">E51*(1+IF(F$3&lt;=$O$2,$D51,$D51-($D51-$I$49)*MIN(F$3-$O$2,$Q$2)/$Q$2))</f>
        <v>1359.421875</v>
      </c>
      <c r="G51" s="15" t="n">
        <f aca="false">F51*(1+IF(G$3&lt;=$O$2,$D51,$D51-($D51-$I$49)*MIN(G$3-$O$2,$Q$2)/$Q$2))</f>
        <v>1699.27734375</v>
      </c>
      <c r="H51" s="15" t="n">
        <f aca="false">G51*(1+IF(H$3&lt;=$O$2,$D51,$D51-($D51-$I$49)*MIN(H$3-$O$2,$Q$2)/$Q$2))</f>
        <v>2124.0966796875</v>
      </c>
      <c r="I51" s="15" t="n">
        <f aca="false">H51*(1+IF(I$3&lt;=$O$2,$D51,$D51-($D51-$I$49)*MIN(I$3-$O$2,$Q$2)/$Q$2))</f>
        <v>2655.12084960938</v>
      </c>
      <c r="J51" s="15" t="n">
        <f aca="false">I51*(1+IF(J$3&lt;=$O$2,$D51,$D51-($D51-$I$49)*MIN(J$3-$O$2,$Q$2)/$Q$2))</f>
        <v>3195.86276184082</v>
      </c>
      <c r="K51" s="15" t="n">
        <f aca="false">J51*(1+IF(K$3&lt;=$O$2,$D51,$D51-($D51-$I$49)*MIN(K$3-$O$2,$Q$2)/$Q$2))</f>
        <v>3698.63589153362</v>
      </c>
      <c r="L51" s="15" t="n">
        <f aca="false">K51*(1+IF(L$3&lt;=$O$2,$D51,$D51-($D51-$I$49)*MIN(L$3-$O$2,$Q$2)/$Q$2))</f>
        <v>4109.11050277602</v>
      </c>
      <c r="M51" s="15" t="n">
        <f aca="false">L51*(1+IF(M$3&lt;=$O$2,$D51,$D51-($D51-$I$49)*MIN(M$3-$O$2,$Q$2)/$Q$2))</f>
        <v>4374.72340567546</v>
      </c>
      <c r="N51" s="15" t="n">
        <f aca="false">M51*(1+IF(N$3&lt;=$O$2,$D51,$D51-($D51-$I$49)*MIN(N$3-$O$2,$Q$2)/$Q$2))</f>
        <v>4454.78084399932</v>
      </c>
      <c r="O51" s="15" t="n">
        <f aca="false">SUMPRODUCT(E51:N51,1/(1+$F$49)^$E$3:$N$3)*$E$2</f>
        <v>4208.54098740538</v>
      </c>
      <c r="P51" s="15" t="n">
        <f aca="false">N51*$E$2*(1+$I$49)/($F$49-$I$49)/(1+$F$49)^$N$3</f>
        <v>10712.7001896878</v>
      </c>
      <c r="Q51" s="15" t="n">
        <f aca="false">O51+P51</f>
        <v>14921.2411770932</v>
      </c>
      <c r="R51" s="15" t="n">
        <f aca="false">Q51-$G$2+$I$2</f>
        <v>15088.6411770932</v>
      </c>
      <c r="S51" s="42" t="n">
        <f aca="false">R51/$K$2</f>
        <v>428.776390369229</v>
      </c>
      <c r="T51" s="43" t="n">
        <f aca="false">S51-$M$2</f>
        <v>264.24101100009</v>
      </c>
    </row>
    <row r="52" customFormat="false" ht="15" hidden="false" customHeight="false" outlineLevel="0" collapsed="false">
      <c r="A52" s="5" t="n">
        <v>2</v>
      </c>
      <c r="B52" s="25" t="n">
        <f aca="false">IF(T51&gt;0,B51,D51)</f>
        <v>-0.5</v>
      </c>
      <c r="C52" s="25" t="n">
        <f aca="false">IF(T51&gt;0,D51,C51)</f>
        <v>0.25</v>
      </c>
      <c r="D52" s="41" t="n">
        <f aca="false">(B52+C52)/2</f>
        <v>-0.125</v>
      </c>
      <c r="E52" s="15" t="n">
        <f aca="false">$C$2*(1+IF(E$3&lt;=$O$2,$D52,$D52-($D52-$I$49)*MIN(E$3-$O$2,$Q$2)/$Q$2))</f>
        <v>761.27625</v>
      </c>
      <c r="F52" s="15" t="n">
        <f aca="false">E52*(1+IF(F$3&lt;=$O$2,$D52,$D52-($D52-$I$49)*MIN(F$3-$O$2,$Q$2)/$Q$2))</f>
        <v>666.11671875</v>
      </c>
      <c r="G52" s="15" t="n">
        <f aca="false">F52*(1+IF(G$3&lt;=$O$2,$D52,$D52-($D52-$I$49)*MIN(G$3-$O$2,$Q$2)/$Q$2))</f>
        <v>582.85212890625</v>
      </c>
      <c r="H52" s="15" t="n">
        <f aca="false">G52*(1+IF(H$3&lt;=$O$2,$D52,$D52-($D52-$I$49)*MIN(H$3-$O$2,$Q$2)/$Q$2))</f>
        <v>509.995612792969</v>
      </c>
      <c r="I52" s="15" t="n">
        <f aca="false">H52*(1+IF(I$3&lt;=$O$2,$D52,$D52-($D52-$I$49)*MIN(I$3-$O$2,$Q$2)/$Q$2))</f>
        <v>446.246161193848</v>
      </c>
      <c r="J52" s="15" t="n">
        <f aca="false">I52*(1+IF(J$3&lt;=$O$2,$D52,$D52-($D52-$I$49)*MIN(J$3-$O$2,$Q$2)/$Q$2))</f>
        <v>403.254806024432</v>
      </c>
      <c r="K52" s="15" t="n">
        <f aca="false">J52*(1+IF(K$3&lt;=$O$2,$D52,$D52-($D52-$I$49)*MIN(K$3-$O$2,$Q$2)/$Q$2))</f>
        <v>375.962520752699</v>
      </c>
      <c r="L52" s="15" t="n">
        <f aca="false">K52*(1+IF(L$3&lt;=$O$2,$D52,$D52-($D52-$I$49)*MIN(L$3-$O$2,$Q$2)/$Q$2))</f>
        <v>361.292463192929</v>
      </c>
      <c r="M52" s="15" t="n">
        <f aca="false">L52*(1+IF(M$3&lt;=$O$2,$D52,$D52-($D52-$I$49)*MIN(M$3-$O$2,$Q$2)/$Q$2))</f>
        <v>357.54947327425</v>
      </c>
      <c r="N52" s="15" t="n">
        <f aca="false">M52*(1+IF(N$3&lt;=$O$2,$D52,$D52-($D52-$I$49)*MIN(N$3-$O$2,$Q$2)/$Q$2))</f>
        <v>364.092628635169</v>
      </c>
      <c r="O52" s="15" t="n">
        <f aca="false">SUMPRODUCT(E52:N52,1/(1+$F$49)^$E$3:$N$3)*$E$2</f>
        <v>804.905626550458</v>
      </c>
      <c r="P52" s="15" t="n">
        <f aca="false">N52*$E$2*(1+$I$49)/($F$49-$I$49)/(1+$F$49)^$N$3</f>
        <v>875.557139269339</v>
      </c>
      <c r="Q52" s="15" t="n">
        <f aca="false">O52+P52</f>
        <v>1680.4627658198</v>
      </c>
      <c r="R52" s="15" t="n">
        <f aca="false">Q52-$G$2+$I$2</f>
        <v>1847.8627658198</v>
      </c>
      <c r="S52" s="42" t="n">
        <f aca="false">R52/$K$2</f>
        <v>52.511019204882</v>
      </c>
      <c r="T52" s="43" t="n">
        <f aca="false">S52-$M$2</f>
        <v>-112.024360164257</v>
      </c>
    </row>
    <row r="53" customFormat="false" ht="15" hidden="false" customHeight="false" outlineLevel="0" collapsed="false">
      <c r="A53" s="5" t="n">
        <v>3</v>
      </c>
      <c r="B53" s="25" t="n">
        <f aca="false">IF(T52&gt;0,B52,D52)</f>
        <v>-0.125</v>
      </c>
      <c r="C53" s="25" t="n">
        <f aca="false">IF(T52&gt;0,D52,C52)</f>
        <v>0.25</v>
      </c>
      <c r="D53" s="41" t="n">
        <f aca="false">(B53+C53)/2</f>
        <v>0.0625</v>
      </c>
      <c r="E53" s="15" t="n">
        <f aca="false">$C$2*(1+IF(E$3&lt;=$O$2,$D53,$D53-($D53-$I$49)*MIN(E$3-$O$2,$Q$2)/$Q$2))</f>
        <v>924.406875</v>
      </c>
      <c r="F53" s="15" t="n">
        <f aca="false">E53*(1+IF(F$3&lt;=$O$2,$D53,$D53-($D53-$I$49)*MIN(F$3-$O$2,$Q$2)/$Q$2))</f>
        <v>982.1823046875</v>
      </c>
      <c r="G53" s="15" t="n">
        <f aca="false">F53*(1+IF(G$3&lt;=$O$2,$D53,$D53-($D53-$I$49)*MIN(G$3-$O$2,$Q$2)/$Q$2))</f>
        <v>1043.56869873047</v>
      </c>
      <c r="H53" s="15" t="n">
        <f aca="false">G53*(1+IF(H$3&lt;=$O$2,$D53,$D53-($D53-$I$49)*MIN(H$3-$O$2,$Q$2)/$Q$2))</f>
        <v>1108.79174240112</v>
      </c>
      <c r="I53" s="15" t="n">
        <f aca="false">H53*(1+IF(I$3&lt;=$O$2,$D53,$D53-($D53-$I$49)*MIN(I$3-$O$2,$Q$2)/$Q$2))</f>
        <v>1178.09122630119</v>
      </c>
      <c r="J53" s="15" t="n">
        <f aca="false">I53*(1+IF(J$3&lt;=$O$2,$D53,$D53-($D53-$I$49)*MIN(J$3-$O$2,$Q$2)/$Q$2))</f>
        <v>1241.30760150452</v>
      </c>
      <c r="K53" s="15" t="n">
        <f aca="false">J53*(1+IF(K$3&lt;=$O$2,$D53,$D53-($D53-$I$49)*MIN(K$3-$O$2,$Q$2)/$Q$2))</f>
        <v>1296.94300820395</v>
      </c>
      <c r="L53" s="15" t="n">
        <f aca="false">K53*(1+IF(L$3&lt;=$O$2,$D53,$D53-($D53-$I$49)*MIN(L$3-$O$2,$Q$2)/$Q$2))</f>
        <v>1343.60701763913</v>
      </c>
      <c r="M53" s="15" t="n">
        <f aca="false">L53*(1+IF(M$3&lt;=$O$2,$D53,$D53-($D53-$I$49)*MIN(M$3-$O$2,$Q$2)/$Q$2))</f>
        <v>1380.07251209785</v>
      </c>
      <c r="N53" s="15" t="n">
        <f aca="false">M53*(1+IF(N$3&lt;=$O$2,$D53,$D53-($D53-$I$49)*MIN(N$3-$O$2,$Q$2)/$Q$2))</f>
        <v>1405.32783906924</v>
      </c>
      <c r="O53" s="15" t="n">
        <f aca="false">SUMPRODUCT(E53:N53,1/(1+$F$49)^$E$3:$N$3)*$E$2</f>
        <v>1841.01369136641</v>
      </c>
      <c r="P53" s="15" t="n">
        <f aca="false">N53*$E$2*(1+$I$49)/($F$49-$I$49)/(1+$F$49)^$N$3</f>
        <v>3379.48292752713</v>
      </c>
      <c r="Q53" s="15" t="n">
        <f aca="false">O53+P53</f>
        <v>5220.49661889353</v>
      </c>
      <c r="R53" s="15" t="n">
        <f aca="false">Q53-$G$2+$I$2</f>
        <v>5387.89661889354</v>
      </c>
      <c r="S53" s="42" t="n">
        <f aca="false">R53/$K$2</f>
        <v>153.108741656537</v>
      </c>
      <c r="T53" s="43" t="n">
        <f aca="false">S53-$M$2</f>
        <v>-11.4266377126021</v>
      </c>
    </row>
    <row r="54" customFormat="false" ht="15" hidden="false" customHeight="false" outlineLevel="0" collapsed="false">
      <c r="A54" s="5" t="n">
        <v>4</v>
      </c>
      <c r="B54" s="25" t="n">
        <f aca="false">IF(T53&gt;0,B53,D53)</f>
        <v>0.0625</v>
      </c>
      <c r="C54" s="25" t="n">
        <f aca="false">IF(T53&gt;0,D53,C53)</f>
        <v>0.25</v>
      </c>
      <c r="D54" s="41" t="n">
        <f aca="false">(B54+C54)/2</f>
        <v>0.15625</v>
      </c>
      <c r="E54" s="15" t="n">
        <f aca="false">$C$2*(1+IF(E$3&lt;=$O$2,$D54,$D54-($D54-$I$49)*MIN(E$3-$O$2,$Q$2)/$Q$2))</f>
        <v>1005.9721875</v>
      </c>
      <c r="F54" s="15" t="n">
        <f aca="false">E54*(1+IF(F$3&lt;=$O$2,$D54,$D54-($D54-$I$49)*MIN(F$3-$O$2,$Q$2)/$Q$2))</f>
        <v>1163.15534179688</v>
      </c>
      <c r="G54" s="15" t="n">
        <f aca="false">F54*(1+IF(G$3&lt;=$O$2,$D54,$D54-($D54-$I$49)*MIN(G$3-$O$2,$Q$2)/$Q$2))</f>
        <v>1344.89836395264</v>
      </c>
      <c r="H54" s="15" t="n">
        <f aca="false">G54*(1+IF(H$3&lt;=$O$2,$D54,$D54-($D54-$I$49)*MIN(H$3-$O$2,$Q$2)/$Q$2))</f>
        <v>1555.03873332024</v>
      </c>
      <c r="I54" s="15" t="n">
        <f aca="false">H54*(1+IF(I$3&lt;=$O$2,$D54,$D54-($D54-$I$49)*MIN(I$3-$O$2,$Q$2)/$Q$2))</f>
        <v>1798.01353540152</v>
      </c>
      <c r="J54" s="15" t="n">
        <f aca="false">I54*(1+IF(J$3&lt;=$O$2,$D54,$D54-($D54-$I$49)*MIN(J$3-$O$2,$Q$2)/$Q$2))</f>
        <v>2029.34595686628</v>
      </c>
      <c r="K54" s="15" t="n">
        <f aca="false">J54*(1+IF(K$3&lt;=$O$2,$D54,$D54-($D54-$I$49)*MIN(K$3-$O$2,$Q$2)/$Q$2))</f>
        <v>2234.45195272676</v>
      </c>
      <c r="L54" s="15" t="n">
        <f aca="false">K54*(1+IF(L$3&lt;=$O$2,$D54,$D54-($D54-$I$49)*MIN(L$3-$O$2,$Q$2)/$Q$2))</f>
        <v>2398.63948221312</v>
      </c>
      <c r="M54" s="15" t="n">
        <f aca="false">L54*(1+IF(M$3&lt;=$O$2,$D54,$D54-($D54-$I$49)*MIN(M$3-$O$2,$Q$2)/$Q$2))</f>
        <v>2508.71304805188</v>
      </c>
      <c r="N54" s="15" t="n">
        <f aca="false">M54*(1+IF(N$3&lt;=$O$2,$D54,$D54-($D54-$I$49)*MIN(N$3-$O$2,$Q$2)/$Q$2))</f>
        <v>2554.62249683123</v>
      </c>
      <c r="O54" s="15" t="n">
        <f aca="false">SUMPRODUCT(E54:N54,1/(1+$F$49)^$E$3:$N$3)*$E$2</f>
        <v>2790.19879320216</v>
      </c>
      <c r="P54" s="15" t="n">
        <f aca="false">N54*$E$2*(1+$I$49)/($F$49-$I$49)/(1+$F$49)^$N$3</f>
        <v>6143.26627161657</v>
      </c>
      <c r="Q54" s="15" t="n">
        <f aca="false">O54+P54</f>
        <v>8933.46506481872</v>
      </c>
      <c r="R54" s="15" t="n">
        <f aca="false">Q54-$G$2+$I$2</f>
        <v>9100.86506481872</v>
      </c>
      <c r="S54" s="42" t="n">
        <f aca="false">R54/$K$2</f>
        <v>258.620774788824</v>
      </c>
      <c r="T54" s="43" t="n">
        <f aca="false">S54-$M$2</f>
        <v>94.0853954196852</v>
      </c>
    </row>
    <row r="55" customFormat="false" ht="15" hidden="false" customHeight="false" outlineLevel="0" collapsed="false">
      <c r="A55" s="5" t="n">
        <v>5</v>
      </c>
      <c r="B55" s="25" t="n">
        <f aca="false">IF(T54&gt;0,B54,D54)</f>
        <v>0.0625</v>
      </c>
      <c r="C55" s="25" t="n">
        <f aca="false">IF(T54&gt;0,D54,C54)</f>
        <v>0.15625</v>
      </c>
      <c r="D55" s="41" t="n">
        <f aca="false">(B55+C55)/2</f>
        <v>0.109375</v>
      </c>
      <c r="E55" s="15" t="n">
        <f aca="false">$C$2*(1+IF(E$3&lt;=$O$2,$D55,$D55-($D55-$I$49)*MIN(E$3-$O$2,$Q$2)/$Q$2))</f>
        <v>965.18953125</v>
      </c>
      <c r="F55" s="15" t="n">
        <f aca="false">E55*(1+IF(F$3&lt;=$O$2,$D55,$D55-($D55-$I$49)*MIN(F$3-$O$2,$Q$2)/$Q$2))</f>
        <v>1070.75713623047</v>
      </c>
      <c r="G55" s="15" t="n">
        <f aca="false">F55*(1+IF(G$3&lt;=$O$2,$D55,$D55-($D55-$I$49)*MIN(G$3-$O$2,$Q$2)/$Q$2))</f>
        <v>1187.87119800568</v>
      </c>
      <c r="H55" s="15" t="n">
        <f aca="false">G55*(1+IF(H$3&lt;=$O$2,$D55,$D55-($D55-$I$49)*MIN(H$3-$O$2,$Q$2)/$Q$2))</f>
        <v>1317.79461028755</v>
      </c>
      <c r="I55" s="15" t="n">
        <f aca="false">H55*(1+IF(I$3&lt;=$O$2,$D55,$D55-($D55-$I$49)*MIN(I$3-$O$2,$Q$2)/$Q$2))</f>
        <v>1461.92839578775</v>
      </c>
      <c r="J55" s="15" t="n">
        <f aca="false">I55*(1+IF(J$3&lt;=$O$2,$D55,$D55-($D55-$I$49)*MIN(J$3-$O$2,$Q$2)/$Q$2))</f>
        <v>1595.19778834776</v>
      </c>
      <c r="K55" s="15" t="n">
        <f aca="false">J55*(1+IF(K$3&lt;=$O$2,$D55,$D55-($D55-$I$49)*MIN(K$3-$O$2,$Q$2)/$Q$2))</f>
        <v>1711.55949101879</v>
      </c>
      <c r="L55" s="15" t="n">
        <f aca="false">K55*(1+IF(L$3&lt;=$O$2,$D55,$D55-($D55-$I$49)*MIN(L$3-$O$2,$Q$2)/$Q$2))</f>
        <v>1805.23314196224</v>
      </c>
      <c r="M55" s="15" t="n">
        <f aca="false">L55*(1+IF(M$3&lt;=$O$2,$D55,$D55-($D55-$I$49)*MIN(M$3-$O$2,$Q$2)/$Q$2))</f>
        <v>1871.151230141</v>
      </c>
      <c r="N55" s="15" t="n">
        <f aca="false">M55*(1+IF(N$3&lt;=$O$2,$D55,$D55-($D55-$I$49)*MIN(N$3-$O$2,$Q$2)/$Q$2))</f>
        <v>1905.39329765258</v>
      </c>
      <c r="O55" s="15" t="n">
        <f aca="false">SUMPRODUCT(E55:N55,1/(1+$F$49)^$E$3:$N$3)*$E$2</f>
        <v>2267.2397411227</v>
      </c>
      <c r="P55" s="15" t="n">
        <f aca="false">N55*$E$2*(1+$I$49)/($F$49-$I$49)/(1+$F$49)^$N$3</f>
        <v>4582.02274275464</v>
      </c>
      <c r="Q55" s="15" t="n">
        <f aca="false">O55+P55</f>
        <v>6849.26248387733</v>
      </c>
      <c r="R55" s="15" t="n">
        <f aca="false">Q55-$G$2+$I$2</f>
        <v>7016.66248387733</v>
      </c>
      <c r="S55" s="42" t="n">
        <f aca="false">R55/$K$2</f>
        <v>199.393648305693</v>
      </c>
      <c r="T55" s="43" t="n">
        <f aca="false">S55-$M$2</f>
        <v>34.8582689365539</v>
      </c>
    </row>
    <row r="56" customFormat="false" ht="15" hidden="false" customHeight="false" outlineLevel="0" collapsed="false">
      <c r="A56" s="5" t="n">
        <v>6</v>
      </c>
      <c r="B56" s="25" t="n">
        <f aca="false">IF(T55&gt;0,B55,D55)</f>
        <v>0.0625</v>
      </c>
      <c r="C56" s="25" t="n">
        <f aca="false">IF(T55&gt;0,D55,C55)</f>
        <v>0.109375</v>
      </c>
      <c r="D56" s="41" t="n">
        <f aca="false">(B56+C56)/2</f>
        <v>0.0859375</v>
      </c>
      <c r="E56" s="15" t="n">
        <f aca="false">$C$2*(1+IF(E$3&lt;=$O$2,$D56,$D56-($D56-$I$49)*MIN(E$3-$O$2,$Q$2)/$Q$2))</f>
        <v>944.798203125</v>
      </c>
      <c r="F56" s="15" t="n">
        <f aca="false">E56*(1+IF(F$3&lt;=$O$2,$D56,$D56-($D56-$I$49)*MIN(F$3-$O$2,$Q$2)/$Q$2))</f>
        <v>1025.99179870605</v>
      </c>
      <c r="G56" s="15" t="n">
        <f aca="false">F56*(1+IF(G$3&lt;=$O$2,$D56,$D56-($D56-$I$49)*MIN(G$3-$O$2,$Q$2)/$Q$2))</f>
        <v>1114.16296890736</v>
      </c>
      <c r="H56" s="15" t="n">
        <f aca="false">G56*(1+IF(H$3&lt;=$O$2,$D56,$D56-($D56-$I$49)*MIN(H$3-$O$2,$Q$2)/$Q$2))</f>
        <v>1209.91134904783</v>
      </c>
      <c r="I56" s="15" t="n">
        <f aca="false">H56*(1+IF(I$3&lt;=$O$2,$D56,$D56-($D56-$I$49)*MIN(I$3-$O$2,$Q$2)/$Q$2))</f>
        <v>1313.88810560663</v>
      </c>
      <c r="J56" s="15" t="n">
        <f aca="false">I56*(1+IF(J$3&lt;=$O$2,$D56,$D56-($D56-$I$49)*MIN(J$3-$O$2,$Q$2)/$Q$2))</f>
        <v>1409.02674333361</v>
      </c>
      <c r="K56" s="15" t="n">
        <f aca="false">J56*(1+IF(K$3&lt;=$O$2,$D56,$D56-($D56-$I$49)*MIN(K$3-$O$2,$Q$2)/$Q$2))</f>
        <v>1491.99376054795</v>
      </c>
      <c r="L56" s="15" t="n">
        <f aca="false">K56*(1+IF(L$3&lt;=$O$2,$D56,$D56-($D56-$I$49)*MIN(L$3-$O$2,$Q$2)/$Q$2))</f>
        <v>1559.6631375576</v>
      </c>
      <c r="M56" s="15" t="n">
        <f aca="false">L56*(1+IF(M$3&lt;=$O$2,$D56,$D56-($D56-$I$49)*MIN(M$3-$O$2,$Q$2)/$Q$2))</f>
        <v>1609.30331606821</v>
      </c>
      <c r="N56" s="15" t="n">
        <f aca="false">M56*(1+IF(N$3&lt;=$O$2,$D56,$D56-($D56-$I$49)*MIN(N$3-$O$2,$Q$2)/$Q$2))</f>
        <v>1638.75356675226</v>
      </c>
      <c r="O56" s="15" t="n">
        <f aca="false">SUMPRODUCT(E56:N56,1/(1+$F$49)^$E$3:$N$3)*$E$2</f>
        <v>2043.14730217616</v>
      </c>
      <c r="P56" s="15" t="n">
        <f aca="false">N56*$E$2*(1+$I$49)/($F$49-$I$49)/(1+$F$49)^$N$3</f>
        <v>3940.81690214819</v>
      </c>
      <c r="Q56" s="15" t="n">
        <f aca="false">O56+P56</f>
        <v>5983.96420432435</v>
      </c>
      <c r="R56" s="15" t="n">
        <f aca="false">Q56-$G$2+$I$2</f>
        <v>6151.36420432435</v>
      </c>
      <c r="S56" s="42" t="n">
        <f aca="false">R56/$K$2</f>
        <v>174.804325215242</v>
      </c>
      <c r="T56" s="43" t="n">
        <f aca="false">S56-$M$2</f>
        <v>10.2689458461025</v>
      </c>
    </row>
    <row r="57" customFormat="false" ht="15" hidden="false" customHeight="false" outlineLevel="0" collapsed="false">
      <c r="A57" s="5" t="n">
        <v>7</v>
      </c>
      <c r="B57" s="25" t="n">
        <f aca="false">IF(T56&gt;0,B56,D56)</f>
        <v>0.0625</v>
      </c>
      <c r="C57" s="25" t="n">
        <f aca="false">IF(T56&gt;0,D56,C56)</f>
        <v>0.0859375</v>
      </c>
      <c r="D57" s="41" t="n">
        <f aca="false">(B57+C57)/2</f>
        <v>0.07421875</v>
      </c>
      <c r="E57" s="15" t="n">
        <f aca="false">$C$2*(1+IF(E$3&lt;=$O$2,$D57,$D57-($D57-$I$49)*MIN(E$3-$O$2,$Q$2)/$Q$2))</f>
        <v>934.6025390625</v>
      </c>
      <c r="F57" s="15" t="n">
        <f aca="false">E57*(1+IF(F$3&lt;=$O$2,$D57,$D57-($D57-$I$49)*MIN(F$3-$O$2,$Q$2)/$Q$2))</f>
        <v>1003.96757125854</v>
      </c>
      <c r="G57" s="15" t="n">
        <f aca="false">F57*(1+IF(G$3&lt;=$O$2,$D57,$D57-($D57-$I$49)*MIN(G$3-$O$2,$Q$2)/$Q$2))</f>
        <v>1078.48078943789</v>
      </c>
      <c r="H57" s="15" t="n">
        <f aca="false">G57*(1+IF(H$3&lt;=$O$2,$D57,$D57-($D57-$I$49)*MIN(H$3-$O$2,$Q$2)/$Q$2))</f>
        <v>1158.52428552898</v>
      </c>
      <c r="I57" s="15" t="n">
        <f aca="false">H57*(1+IF(I$3&lt;=$O$2,$D57,$D57-($D57-$I$49)*MIN(I$3-$O$2,$Q$2)/$Q$2))</f>
        <v>1244.50850984559</v>
      </c>
      <c r="J57" s="15" t="n">
        <f aca="false">I57*(1+IF(J$3&lt;=$O$2,$D57,$D57-($D57-$I$49)*MIN(J$3-$O$2,$Q$2)/$Q$2))</f>
        <v>1322.9561037637</v>
      </c>
      <c r="K57" s="15" t="n">
        <f aca="false">J57*(1+IF(K$3&lt;=$O$2,$D57,$D57-($D57-$I$49)*MIN(K$3-$O$2,$Q$2)/$Q$2))</f>
        <v>1391.55303143898</v>
      </c>
      <c r="L57" s="15" t="n">
        <f aca="false">K57*(1+IF(L$3&lt;=$O$2,$D57,$D57-($D57-$I$49)*MIN(L$3-$O$2,$Q$2)/$Q$2))</f>
        <v>1448.14401434503</v>
      </c>
      <c r="M57" s="15" t="n">
        <f aca="false">L57*(1+IF(M$3&lt;=$O$2,$D57,$D57-($D57-$I$49)*MIN(M$3-$O$2,$Q$2)/$Q$2))</f>
        <v>1490.84073042797</v>
      </c>
      <c r="N57" s="15" t="n">
        <f aca="false">M57*(1+IF(N$3&lt;=$O$2,$D57,$D57-($D57-$I$49)*MIN(N$3-$O$2,$Q$2)/$Q$2))</f>
        <v>1518.1231157948</v>
      </c>
      <c r="O57" s="15" t="n">
        <f aca="false">SUMPRODUCT(E57:N57,1/(1+$F$49)^$E$3:$N$3)*$E$2</f>
        <v>1939.46492689876</v>
      </c>
      <c r="P57" s="15" t="n">
        <f aca="false">N57*$E$2*(1+$I$49)/($F$49-$I$49)/(1+$F$49)^$N$3</f>
        <v>3650.7290392189</v>
      </c>
      <c r="Q57" s="15" t="n">
        <f aca="false">O57+P57</f>
        <v>5590.19396611766</v>
      </c>
      <c r="R57" s="15" t="n">
        <f aca="false">Q57-$G$2+$I$2</f>
        <v>5757.59396611766</v>
      </c>
      <c r="S57" s="42" t="n">
        <f aca="false">R57/$K$2</f>
        <v>163.614491790783</v>
      </c>
      <c r="T57" s="43" t="n">
        <f aca="false">S57-$M$2</f>
        <v>-0.920887578355831</v>
      </c>
    </row>
    <row r="58" customFormat="false" ht="15" hidden="false" customHeight="false" outlineLevel="0" collapsed="false">
      <c r="A58" s="5" t="n">
        <v>8</v>
      </c>
      <c r="B58" s="25" t="n">
        <f aca="false">IF(T57&gt;0,B57,D57)</f>
        <v>0.07421875</v>
      </c>
      <c r="C58" s="25" t="n">
        <f aca="false">IF(T57&gt;0,D57,C57)</f>
        <v>0.0859375</v>
      </c>
      <c r="D58" s="41" t="n">
        <f aca="false">(B58+C58)/2</f>
        <v>0.080078125</v>
      </c>
      <c r="E58" s="15" t="n">
        <f aca="false">$C$2*(1+IF(E$3&lt;=$O$2,$D58,$D58-($D58-$I$49)*MIN(E$3-$O$2,$Q$2)/$Q$2))</f>
        <v>939.70037109375</v>
      </c>
      <c r="F58" s="15" t="n">
        <f aca="false">E58*(1+IF(F$3&lt;=$O$2,$D58,$D58-($D58-$I$49)*MIN(F$3-$O$2,$Q$2)/$Q$2))</f>
        <v>1014.94981487274</v>
      </c>
      <c r="G58" s="15" t="n">
        <f aca="false">F58*(1+IF(G$3&lt;=$O$2,$D58,$D58-($D58-$I$49)*MIN(G$3-$O$2,$Q$2)/$Q$2))</f>
        <v>1096.22509301685</v>
      </c>
      <c r="H58" s="15" t="n">
        <f aca="false">G58*(1+IF(H$3&lt;=$O$2,$D58,$D58-($D58-$I$49)*MIN(H$3-$O$2,$Q$2)/$Q$2))</f>
        <v>1184.00874304359</v>
      </c>
      <c r="I58" s="15" t="n">
        <f aca="false">H58*(1+IF(I$3&lt;=$O$2,$D58,$D58-($D58-$I$49)*MIN(I$3-$O$2,$Q$2)/$Q$2))</f>
        <v>1278.82194317013</v>
      </c>
      <c r="J58" s="15" t="n">
        <f aca="false">I58*(1+IF(J$3&lt;=$O$2,$D58,$D58-($D58-$I$49)*MIN(J$3-$O$2,$Q$2)/$Q$2))</f>
        <v>1365.42696221646</v>
      </c>
      <c r="K58" s="15" t="n">
        <f aca="false">J58*(1+IF(K$3&lt;=$O$2,$D58,$D58-($D58-$I$49)*MIN(K$3-$O$2,$Q$2)/$Q$2))</f>
        <v>1441.02638615513</v>
      </c>
      <c r="L58" s="15" t="n">
        <f aca="false">K58*(1+IF(L$3&lt;=$O$2,$D58,$D58-($D58-$I$49)*MIN(L$3-$O$2,$Q$2)/$Q$2))</f>
        <v>1503.00673230665</v>
      </c>
      <c r="M58" s="15" t="n">
        <f aca="false">L58*(1+IF(M$3&lt;=$O$2,$D58,$D58-($D58-$I$49)*MIN(M$3-$O$2,$Q$2)/$Q$2))</f>
        <v>1549.08234306472</v>
      </c>
      <c r="N58" s="15" t="n">
        <f aca="false">M58*(1+IF(N$3&lt;=$O$2,$D58,$D58-($D58-$I$49)*MIN(N$3-$O$2,$Q$2)/$Q$2))</f>
        <v>1577.4305499428</v>
      </c>
      <c r="O58" s="15" t="n">
        <f aca="false">SUMPRODUCT(E58:N58,1/(1+$F$49)^$E$3:$N$3)*$E$2</f>
        <v>1990.63647764695</v>
      </c>
      <c r="P58" s="15" t="n">
        <f aca="false">N58*$E$2*(1+$I$49)/($F$49-$I$49)/(1+$F$49)^$N$3</f>
        <v>3793.34946956015</v>
      </c>
      <c r="Q58" s="15" t="n">
        <f aca="false">O58+P58</f>
        <v>5783.9859472071</v>
      </c>
      <c r="R58" s="15" t="n">
        <f aca="false">Q58-$G$2+$I$2</f>
        <v>5951.3859472071</v>
      </c>
      <c r="S58" s="42" t="n">
        <f aca="false">R58/$K$2</f>
        <v>169.121510292898</v>
      </c>
      <c r="T58" s="43" t="n">
        <f aca="false">S58-$M$2</f>
        <v>4.58613092375941</v>
      </c>
    </row>
    <row r="59" customFormat="false" ht="15" hidden="false" customHeight="false" outlineLevel="0" collapsed="false">
      <c r="A59" s="5" t="n">
        <v>9</v>
      </c>
      <c r="B59" s="25" t="n">
        <f aca="false">IF(T58&gt;0,B58,D58)</f>
        <v>0.07421875</v>
      </c>
      <c r="C59" s="25" t="n">
        <f aca="false">IF(T58&gt;0,D58,C58)</f>
        <v>0.080078125</v>
      </c>
      <c r="D59" s="41" t="n">
        <f aca="false">(B59+C59)/2</f>
        <v>0.0771484375</v>
      </c>
      <c r="E59" s="15" t="n">
        <f aca="false">$C$2*(1+IF(E$3&lt;=$O$2,$D59,$D59-($D59-$I$49)*MIN(E$3-$O$2,$Q$2)/$Q$2))</f>
        <v>937.151455078125</v>
      </c>
      <c r="F59" s="15" t="n">
        <f aca="false">E59*(1+IF(F$3&lt;=$O$2,$D59,$D59-($D59-$I$49)*MIN(F$3-$O$2,$Q$2)/$Q$2))</f>
        <v>1009.45122553825</v>
      </c>
      <c r="G59" s="15" t="n">
        <f aca="false">F59*(1+IF(G$3&lt;=$O$2,$D59,$D59-($D59-$I$49)*MIN(G$3-$O$2,$Q$2)/$Q$2))</f>
        <v>1087.32881032099</v>
      </c>
      <c r="H59" s="15" t="n">
        <f aca="false">G59*(1+IF(H$3&lt;=$O$2,$D59,$D59-($D59-$I$49)*MIN(H$3-$O$2,$Q$2)/$Q$2))</f>
        <v>1171.21452908599</v>
      </c>
      <c r="I59" s="15" t="n">
        <f aca="false">H59*(1+IF(I$3&lt;=$O$2,$D59,$D59-($D59-$I$49)*MIN(I$3-$O$2,$Q$2)/$Q$2))</f>
        <v>1261.57189998227</v>
      </c>
      <c r="J59" s="15" t="n">
        <f aca="false">I59*(1+IF(J$3&lt;=$O$2,$D59,$D59-($D59-$I$49)*MIN(J$3-$O$2,$Q$2)/$Q$2))</f>
        <v>1344.05189383824</v>
      </c>
      <c r="K59" s="15" t="n">
        <f aca="false">J59*(1+IF(K$3&lt;=$O$2,$D59,$D59-($D59-$I$49)*MIN(K$3-$O$2,$Q$2)/$Q$2))</f>
        <v>1416.10525581825</v>
      </c>
      <c r="L59" s="15" t="n">
        <f aca="false">K59*(1+IF(L$3&lt;=$O$2,$D59,$D59-($D59-$I$49)*MIN(L$3-$O$2,$Q$2)/$Q$2))</f>
        <v>1475.35421465591</v>
      </c>
      <c r="M59" s="15" t="n">
        <f aca="false">L59*(1+IF(M$3&lt;=$O$2,$D59,$D59-($D59-$I$49)*MIN(M$3-$O$2,$Q$2)/$Q$2))</f>
        <v>1519.71765484242</v>
      </c>
      <c r="N59" s="15" t="n">
        <f aca="false">M59*(1+IF(N$3&lt;=$O$2,$D59,$D59-($D59-$I$49)*MIN(N$3-$O$2,$Q$2)/$Q$2))</f>
        <v>1547.52848792603</v>
      </c>
      <c r="O59" s="15" t="n">
        <f aca="false">SUMPRODUCT(E59:N59,1/(1+$F$49)^$E$3:$N$3)*$E$2</f>
        <v>1964.88528661977</v>
      </c>
      <c r="P59" s="15" t="n">
        <f aca="false">N59*$E$2*(1+$I$49)/($F$49-$I$49)/(1+$F$49)^$N$3</f>
        <v>3721.44204321154</v>
      </c>
      <c r="Q59" s="15" t="n">
        <f aca="false">O59+P59</f>
        <v>5686.32732983131</v>
      </c>
      <c r="R59" s="15" t="n">
        <f aca="false">Q59-$G$2+$I$2</f>
        <v>5853.72732983131</v>
      </c>
      <c r="S59" s="42" t="n">
        <f aca="false">R59/$K$2</f>
        <v>166.346329350137</v>
      </c>
      <c r="T59" s="43" t="n">
        <f aca="false">S59-$M$2</f>
        <v>1.81094998099769</v>
      </c>
    </row>
    <row r="60" customFormat="false" ht="15" hidden="false" customHeight="false" outlineLevel="0" collapsed="false">
      <c r="A60" s="5" t="n">
        <v>10</v>
      </c>
      <c r="B60" s="25" t="n">
        <f aca="false">IF(T59&gt;0,B59,D59)</f>
        <v>0.07421875</v>
      </c>
      <c r="C60" s="25" t="n">
        <f aca="false">IF(T59&gt;0,D59,C59)</f>
        <v>0.0771484375</v>
      </c>
      <c r="D60" s="41" t="n">
        <f aca="false">(B60+C60)/2</f>
        <v>0.07568359375</v>
      </c>
      <c r="E60" s="15" t="n">
        <f aca="false">$C$2*(1+IF(E$3&lt;=$O$2,$D60,$D60-($D60-$I$49)*MIN(E$3-$O$2,$Q$2)/$Q$2))</f>
        <v>935.876997070312</v>
      </c>
      <c r="F60" s="15" t="n">
        <f aca="false">E60*(1+IF(F$3&lt;=$O$2,$D60,$D60-($D60-$I$49)*MIN(F$3-$O$2,$Q$2)/$Q$2))</f>
        <v>1006.70753151655</v>
      </c>
      <c r="G60" s="15" t="n">
        <f aca="false">F60*(1+IF(G$3&lt;=$O$2,$D60,$D60-($D60-$I$49)*MIN(G$3-$O$2,$Q$2)/$Q$2))</f>
        <v>1082.89877535692</v>
      </c>
      <c r="H60" s="15" t="n">
        <f aca="false">G60*(1+IF(H$3&lt;=$O$2,$D60,$D60-($D60-$I$49)*MIN(H$3-$O$2,$Q$2)/$Q$2))</f>
        <v>1164.8564463434</v>
      </c>
      <c r="I60" s="15" t="n">
        <f aca="false">H60*(1+IF(I$3&lt;=$O$2,$D60,$D60-($D60-$I$49)*MIN(I$3-$O$2,$Q$2)/$Q$2))</f>
        <v>1253.01696840552</v>
      </c>
      <c r="J60" s="15" t="n">
        <f aca="false">I60*(1+IF(J$3&lt;=$O$2,$D60,$D60-($D60-$I$49)*MIN(J$3-$O$2,$Q$2)/$Q$2))</f>
        <v>1333.46927226882</v>
      </c>
      <c r="K60" s="15" t="n">
        <f aca="false">J60*(1+IF(K$3&lt;=$O$2,$D60,$D60-($D60-$I$49)*MIN(K$3-$O$2,$Q$2)/$Q$2))</f>
        <v>1403.78331535012</v>
      </c>
      <c r="L60" s="15" t="n">
        <f aca="false">K60*(1+IF(L$3&lt;=$O$2,$D60,$D60-($D60-$I$49)*MIN(L$3-$O$2,$Q$2)/$Q$2))</f>
        <v>1461.69420261346</v>
      </c>
      <c r="M60" s="15" t="n">
        <f aca="false">L60*(1+IF(M$3&lt;=$O$2,$D60,$D60-($D60-$I$49)*MIN(M$3-$O$2,$Q$2)/$Q$2))</f>
        <v>1505.21865978319</v>
      </c>
      <c r="N60" s="15" t="n">
        <f aca="false">M60*(1+IF(N$3&lt;=$O$2,$D60,$D60-($D60-$I$49)*MIN(N$3-$O$2,$Q$2)/$Q$2))</f>
        <v>1532.76416125722</v>
      </c>
      <c r="O60" s="15" t="n">
        <f aca="false">SUMPRODUCT(E60:N60,1/(1+$F$49)^$E$3:$N$3)*$E$2</f>
        <v>1952.13399979232</v>
      </c>
      <c r="P60" s="15" t="n">
        <f aca="false">N60*$E$2*(1+$I$49)/($F$49-$I$49)/(1+$F$49)^$N$3</f>
        <v>3685.93731006207</v>
      </c>
      <c r="Q60" s="15" t="n">
        <f aca="false">O60+P60</f>
        <v>5638.07130985439</v>
      </c>
      <c r="R60" s="15" t="n">
        <f aca="false">Q60-$G$2+$I$2</f>
        <v>5805.47130985439</v>
      </c>
      <c r="S60" s="42" t="n">
        <f aca="false">R60/$K$2</f>
        <v>164.975030118056</v>
      </c>
      <c r="T60" s="43" t="n">
        <f aca="false">S60-$M$2</f>
        <v>0.439650748916961</v>
      </c>
    </row>
    <row r="61" customFormat="false" ht="15" hidden="false" customHeight="false" outlineLevel="0" collapsed="false">
      <c r="A61" s="5" t="n">
        <v>11</v>
      </c>
      <c r="B61" s="25" t="n">
        <f aca="false">IF(T60&gt;0,B60,D60)</f>
        <v>0.07421875</v>
      </c>
      <c r="C61" s="25" t="n">
        <f aca="false">IF(T60&gt;0,D60,C60)</f>
        <v>0.07568359375</v>
      </c>
      <c r="D61" s="41" t="n">
        <f aca="false">(B61+C61)/2</f>
        <v>0.074951171875</v>
      </c>
      <c r="E61" s="15" t="n">
        <f aca="false">$C$2*(1+IF(E$3&lt;=$O$2,$D61,$D61-($D61-$I$49)*MIN(E$3-$O$2,$Q$2)/$Q$2))</f>
        <v>935.239768066406</v>
      </c>
      <c r="F61" s="15" t="n">
        <f aca="false">E61*(1+IF(F$3&lt;=$O$2,$D61,$D61-($D61-$I$49)*MIN(F$3-$O$2,$Q$2)/$Q$2))</f>
        <v>1005.33708466709</v>
      </c>
      <c r="G61" s="15" t="n">
        <f aca="false">F61*(1+IF(G$3&lt;=$O$2,$D61,$D61-($D61-$I$49)*MIN(G$3-$O$2,$Q$2)/$Q$2))</f>
        <v>1080.68827729228</v>
      </c>
      <c r="H61" s="15" t="n">
        <f aca="false">G61*(1+IF(H$3&lt;=$O$2,$D61,$D61-($D61-$I$49)*MIN(H$3-$O$2,$Q$2)/$Q$2))</f>
        <v>1161.68713010691</v>
      </c>
      <c r="I61" s="15" t="n">
        <f aca="false">H61*(1+IF(I$3&lt;=$O$2,$D61,$D61-($D61-$I$49)*MIN(I$3-$O$2,$Q$2)/$Q$2))</f>
        <v>1248.75694186053</v>
      </c>
      <c r="J61" s="15" t="n">
        <f aca="false">I61*(1+IF(J$3&lt;=$O$2,$D61,$D61-($D61-$I$49)*MIN(J$3-$O$2,$Q$2)/$Q$2))</f>
        <v>1328.20402921133</v>
      </c>
      <c r="K61" s="15" t="n">
        <f aca="false">J61*(1+IF(K$3&lt;=$O$2,$D61,$D61-($D61-$I$49)*MIN(K$3-$O$2,$Q$2)/$Q$2))</f>
        <v>1397.65675179225</v>
      </c>
      <c r="L61" s="15" t="n">
        <f aca="false">K61*(1+IF(L$3&lt;=$O$2,$D61,$D61-($D61-$I$49)*MIN(L$3-$O$2,$Q$2)/$Q$2))</f>
        <v>1454.90542749726</v>
      </c>
      <c r="M61" s="15" t="n">
        <f aca="false">L61*(1+IF(M$3&lt;=$O$2,$D61,$D61-($D61-$I$49)*MIN(M$3-$O$2,$Q$2)/$Q$2))</f>
        <v>1498.01461630747</v>
      </c>
      <c r="N61" s="15" t="n">
        <f aca="false">M61*(1+IF(N$3&lt;=$O$2,$D61,$D61-($D61-$I$49)*MIN(N$3-$O$2,$Q$2)/$Q$2))</f>
        <v>1525.42828378589</v>
      </c>
      <c r="O61" s="15" t="n">
        <f aca="false">SUMPRODUCT(E61:N61,1/(1+$F$49)^$E$3:$N$3)*$E$2</f>
        <v>1945.78921733237</v>
      </c>
      <c r="P61" s="15" t="n">
        <f aca="false">N61*$E$2*(1+$I$49)/($F$49-$I$49)/(1+$F$49)^$N$3</f>
        <v>3668.29625010184</v>
      </c>
      <c r="Q61" s="15" t="n">
        <f aca="false">O61+P61</f>
        <v>5614.08546743422</v>
      </c>
      <c r="R61" s="15" t="n">
        <f aca="false">Q61-$G$2+$I$2</f>
        <v>5781.48546743422</v>
      </c>
      <c r="S61" s="42" t="n">
        <f aca="false">R61/$K$2</f>
        <v>164.293420501115</v>
      </c>
      <c r="T61" s="43" t="n">
        <f aca="false">S61-$M$2</f>
        <v>-0.241958868024483</v>
      </c>
    </row>
    <row r="62" customFormat="false" ht="15" hidden="false" customHeight="false" outlineLevel="0" collapsed="false">
      <c r="A62" s="5" t="n">
        <v>12</v>
      </c>
      <c r="B62" s="25" t="n">
        <f aca="false">IF(T61&gt;0,B61,D61)</f>
        <v>0.074951171875</v>
      </c>
      <c r="C62" s="25" t="n">
        <f aca="false">IF(T61&gt;0,D61,C61)</f>
        <v>0.07568359375</v>
      </c>
      <c r="D62" s="41" t="n">
        <f aca="false">(B62+C62)/2</f>
        <v>0.0753173828125</v>
      </c>
      <c r="E62" s="15" t="n">
        <f aca="false">$C$2*(1+IF(E$3&lt;=$O$2,$D62,$D62-($D62-$I$49)*MIN(E$3-$O$2,$Q$2)/$Q$2))</f>
        <v>935.558382568359</v>
      </c>
      <c r="F62" s="15" t="n">
        <f aca="false">E62*(1+IF(F$3&lt;=$O$2,$D62,$D62-($D62-$I$49)*MIN(F$3-$O$2,$Q$2)/$Q$2))</f>
        <v>1006.0221914117</v>
      </c>
      <c r="G62" s="15" t="n">
        <f aca="false">F62*(1+IF(G$3&lt;=$O$2,$D62,$D62-($D62-$I$49)*MIN(G$3-$O$2,$Q$2)/$Q$2))</f>
        <v>1081.79314992013</v>
      </c>
      <c r="H62" s="15" t="n">
        <f aca="false">G62*(1+IF(H$3&lt;=$O$2,$D62,$D62-($D62-$I$49)*MIN(H$3-$O$2,$Q$2)/$Q$2))</f>
        <v>1163.2709787166</v>
      </c>
      <c r="I62" s="15" t="n">
        <f aca="false">H62*(1+IF(I$3&lt;=$O$2,$D62,$D62-($D62-$I$49)*MIN(I$3-$O$2,$Q$2)/$Q$2))</f>
        <v>1250.88550433527</v>
      </c>
      <c r="J62" s="15" t="n">
        <f aca="false">I62*(1+IF(J$3&lt;=$O$2,$D62,$D62-($D62-$I$49)*MIN(J$3-$O$2,$Q$2)/$Q$2))</f>
        <v>1330.83448318884</v>
      </c>
      <c r="K62" s="15" t="n">
        <f aca="false">J62*(1+IF(K$3&lt;=$O$2,$D62,$D62-($D62-$I$49)*MIN(K$3-$O$2,$Q$2)/$Q$2))</f>
        <v>1400.71717374403</v>
      </c>
      <c r="L62" s="15" t="n">
        <f aca="false">K62*(1+IF(L$3&lt;=$O$2,$D62,$D62-($D62-$I$49)*MIN(L$3-$O$2,$Q$2)/$Q$2))</f>
        <v>1458.29638894651</v>
      </c>
      <c r="M62" s="15" t="n">
        <f aca="false">L62*(1+IF(M$3&lt;=$O$2,$D62,$D62-($D62-$I$49)*MIN(M$3-$O$2,$Q$2)/$Q$2))</f>
        <v>1501.61286155676</v>
      </c>
      <c r="N62" s="15" t="n">
        <f aca="false">M62*(1+IF(N$3&lt;=$O$2,$D62,$D62-($D62-$I$49)*MIN(N$3-$O$2,$Q$2)/$Q$2))</f>
        <v>1529.09237692325</v>
      </c>
      <c r="O62" s="15" t="n">
        <f aca="false">SUMPRODUCT(E62:N62,1/(1+$F$49)^$E$3:$N$3)*$E$2</f>
        <v>1948.9590432242</v>
      </c>
      <c r="P62" s="15" t="n">
        <f aca="false">N62*$E$2*(1+$I$49)/($F$49-$I$49)/(1+$F$49)^$N$3</f>
        <v>3677.10753232249</v>
      </c>
      <c r="Q62" s="15" t="n">
        <f aca="false">O62+P62</f>
        <v>5626.06657554669</v>
      </c>
      <c r="R62" s="15" t="n">
        <f aca="false">Q62-$G$2+$I$2</f>
        <v>5793.46657554669</v>
      </c>
      <c r="S62" s="42" t="n">
        <f aca="false">R62/$K$2</f>
        <v>164.633889614853</v>
      </c>
      <c r="T62" s="43" t="n">
        <f aca="false">S62-$M$2</f>
        <v>0.0985102457144365</v>
      </c>
    </row>
    <row r="63" customFormat="false" ht="15" hidden="false" customHeight="false" outlineLevel="0" collapsed="false">
      <c r="A63" s="5" t="n">
        <v>13</v>
      </c>
      <c r="B63" s="25" t="n">
        <f aca="false">IF(T62&gt;0,B62,D62)</f>
        <v>0.074951171875</v>
      </c>
      <c r="C63" s="25" t="n">
        <f aca="false">IF(T62&gt;0,D62,C62)</f>
        <v>0.0753173828125</v>
      </c>
      <c r="D63" s="41" t="n">
        <f aca="false">(B63+C63)/2</f>
        <v>0.07513427734375</v>
      </c>
      <c r="E63" s="15" t="n">
        <f aca="false">$C$2*(1+IF(E$3&lt;=$O$2,$D63,$D63-($D63-$I$49)*MIN(E$3-$O$2,$Q$2)/$Q$2))</f>
        <v>935.399075317383</v>
      </c>
      <c r="F63" s="15" t="n">
        <f aca="false">E63*(1+IF(F$3&lt;=$O$2,$D63,$D63-($D63-$I$49)*MIN(F$3-$O$2,$Q$2)/$Q$2))</f>
        <v>1005.67960886937</v>
      </c>
      <c r="G63" s="15" t="n">
        <f aca="false">F63*(1+IF(G$3&lt;=$O$2,$D63,$D63-($D63-$I$49)*MIN(G$3-$O$2,$Q$2)/$Q$2))</f>
        <v>1081.24061952111</v>
      </c>
      <c r="H63" s="15" t="n">
        <f aca="false">G63*(1+IF(H$3&lt;=$O$2,$D63,$D63-($D63-$I$49)*MIN(H$3-$O$2,$Q$2)/$Q$2))</f>
        <v>1162.47885210354</v>
      </c>
      <c r="I63" s="15" t="n">
        <f aca="false">H63*(1+IF(I$3&lt;=$O$2,$D63,$D63-($D63-$I$49)*MIN(I$3-$O$2,$Q$2)/$Q$2))</f>
        <v>1249.82086058373</v>
      </c>
      <c r="J63" s="15" t="n">
        <f aca="false">I63*(1+IF(J$3&lt;=$O$2,$D63,$D63-($D63-$I$49)*MIN(J$3-$O$2,$Q$2)/$Q$2))</f>
        <v>1329.51871466875</v>
      </c>
      <c r="K63" s="15" t="n">
        <f aca="false">J63*(1+IF(K$3&lt;=$O$2,$D63,$D63-($D63-$I$49)*MIN(K$3-$O$2,$Q$2)/$Q$2))</f>
        <v>1399.1862483651</v>
      </c>
      <c r="L63" s="15" t="n">
        <f aca="false">K63*(1+IF(L$3&lt;=$O$2,$D63,$D63-($D63-$I$49)*MIN(L$3-$O$2,$Q$2)/$Q$2))</f>
        <v>1456.60005242824</v>
      </c>
      <c r="M63" s="15" t="n">
        <f aca="false">L63*(1+IF(M$3&lt;=$O$2,$D63,$D63-($D63-$I$49)*MIN(M$3-$O$2,$Q$2)/$Q$2))</f>
        <v>1499.8127956594</v>
      </c>
      <c r="N63" s="15" t="n">
        <f aca="false">M63*(1+IF(N$3&lt;=$O$2,$D63,$D63-($D63-$I$49)*MIN(N$3-$O$2,$Q$2)/$Q$2))</f>
        <v>1527.25936981997</v>
      </c>
      <c r="O63" s="15" t="n">
        <f aca="false">SUMPRODUCT(E63:N63,1/(1+$F$49)^$E$3:$N$3)*$E$2</f>
        <v>1947.3734894235</v>
      </c>
      <c r="P63" s="15" t="n">
        <f aca="false">N63*$E$2*(1+$I$49)/($F$49-$I$49)/(1+$F$49)^$N$3</f>
        <v>3672.69958135236</v>
      </c>
      <c r="Q63" s="15" t="n">
        <f aca="false">O63+P63</f>
        <v>5620.07307077586</v>
      </c>
      <c r="R63" s="15" t="n">
        <f aca="false">Q63-$G$2+$I$2</f>
        <v>5787.47307077586</v>
      </c>
      <c r="S63" s="42" t="n">
        <f aca="false">R63/$K$2</f>
        <v>164.463571207043</v>
      </c>
      <c r="T63" s="43" t="n">
        <f aca="false">S63-$M$2</f>
        <v>-0.0718081620955786</v>
      </c>
    </row>
    <row r="64" customFormat="false" ht="15" hidden="false" customHeight="false" outlineLevel="0" collapsed="false">
      <c r="A64" s="5" t="n">
        <v>14</v>
      </c>
      <c r="B64" s="25" t="n">
        <f aca="false">IF(T63&gt;0,B63,D63)</f>
        <v>0.07513427734375</v>
      </c>
      <c r="C64" s="25" t="n">
        <f aca="false">IF(T63&gt;0,D63,C63)</f>
        <v>0.0753173828125</v>
      </c>
      <c r="D64" s="41" t="n">
        <f aca="false">(B64+C64)/2</f>
        <v>0.075225830078125</v>
      </c>
      <c r="E64" s="15" t="n">
        <f aca="false">$C$2*(1+IF(E$3&lt;=$O$2,$D64,$D64-($D64-$I$49)*MIN(E$3-$O$2,$Q$2)/$Q$2))</f>
        <v>935.478728942871</v>
      </c>
      <c r="F64" s="15" t="n">
        <f aca="false">E64*(1+IF(F$3&lt;=$O$2,$D64,$D64-($D64-$I$49)*MIN(F$3-$O$2,$Q$2)/$Q$2))</f>
        <v>1005.85089284803</v>
      </c>
      <c r="G64" s="15" t="n">
        <f aca="false">F64*(1+IF(G$3&lt;=$O$2,$D64,$D64-($D64-$I$49)*MIN(G$3-$O$2,$Q$2)/$Q$2))</f>
        <v>1081.51686119734</v>
      </c>
      <c r="H64" s="15" t="n">
        <f aca="false">G64*(1+IF(H$3&lt;=$O$2,$D64,$D64-($D64-$I$49)*MIN(H$3-$O$2,$Q$2)/$Q$2))</f>
        <v>1162.8748648244</v>
      </c>
      <c r="I64" s="15" t="n">
        <f aca="false">H64*(1+IF(I$3&lt;=$O$2,$D64,$D64-($D64-$I$49)*MIN(I$3-$O$2,$Q$2)/$Q$2))</f>
        <v>1250.35309180781</v>
      </c>
      <c r="J64" s="15" t="n">
        <f aca="false">I64*(1+IF(J$3&lt;=$O$2,$D64,$D64-($D64-$I$49)*MIN(J$3-$O$2,$Q$2)/$Q$2))</f>
        <v>1330.17646350142</v>
      </c>
      <c r="K64" s="15" t="n">
        <f aca="false">J64*(1+IF(K$3&lt;=$O$2,$D64,$D64-($D64-$I$49)*MIN(K$3-$O$2,$Q$2)/$Q$2))</f>
        <v>1399.95153238461</v>
      </c>
      <c r="L64" s="15" t="n">
        <f aca="false">K64*(1+IF(L$3&lt;=$O$2,$D64,$D64-($D64-$I$49)*MIN(L$3-$O$2,$Q$2)/$Q$2))</f>
        <v>1457.44800664731</v>
      </c>
      <c r="M64" s="15" t="n">
        <f aca="false">L64*(1+IF(M$3&lt;=$O$2,$D64,$D64-($D64-$I$49)*MIN(M$3-$O$2,$Q$2)/$Q$2))</f>
        <v>1500.71259268377</v>
      </c>
      <c r="N64" s="15" t="n">
        <f aca="false">M64*(1+IF(N$3&lt;=$O$2,$D64,$D64-($D64-$I$49)*MIN(N$3-$O$2,$Q$2)/$Q$2))</f>
        <v>1528.17563312989</v>
      </c>
      <c r="O64" s="15" t="n">
        <f aca="false">SUMPRODUCT(E64:N64,1/(1+$F$49)^$E$3:$N$3)*$E$2</f>
        <v>1948.16610605021</v>
      </c>
      <c r="P64" s="15" t="n">
        <f aca="false">N64*$E$2*(1+$I$49)/($F$49-$I$49)/(1+$F$49)^$N$3</f>
        <v>3674.90297911259</v>
      </c>
      <c r="Q64" s="15" t="n">
        <f aca="false">O64+P64</f>
        <v>5623.0690851628</v>
      </c>
      <c r="R64" s="15" t="n">
        <f aca="false">Q64-$G$2+$I$2</f>
        <v>5790.4690851628</v>
      </c>
      <c r="S64" s="42" t="n">
        <f aca="false">R64/$K$2</f>
        <v>164.548709439125</v>
      </c>
      <c r="T64" s="43" t="n">
        <f aca="false">S64-$M$2</f>
        <v>0.0133300699856704</v>
      </c>
    </row>
    <row r="65" customFormat="false" ht="15" hidden="false" customHeight="false" outlineLevel="0" collapsed="false">
      <c r="A65" s="5" t="n">
        <v>15</v>
      </c>
      <c r="B65" s="25" t="n">
        <f aca="false">IF(T64&gt;0,B64,D64)</f>
        <v>0.07513427734375</v>
      </c>
      <c r="C65" s="25" t="n">
        <f aca="false">IF(T64&gt;0,D64,C64)</f>
        <v>0.075225830078125</v>
      </c>
      <c r="D65" s="41" t="n">
        <f aca="false">(B65+C65)/2</f>
        <v>0.0751800537109375</v>
      </c>
      <c r="E65" s="15" t="n">
        <f aca="false">$C$2*(1+IF(E$3&lt;=$O$2,$D65,$D65-($D65-$I$49)*MIN(E$3-$O$2,$Q$2)/$Q$2))</f>
        <v>935.438902130127</v>
      </c>
      <c r="F65" s="15" t="n">
        <f aca="false">E65*(1+IF(F$3&lt;=$O$2,$D65,$D65-($D65-$I$49)*MIN(F$3-$O$2,$Q$2)/$Q$2))</f>
        <v>1005.76524903557</v>
      </c>
      <c r="G65" s="15" t="n">
        <f aca="false">F65*(1+IF(G$3&lt;=$O$2,$D65,$D65-($D65-$I$49)*MIN(G$3-$O$2,$Q$2)/$Q$2))</f>
        <v>1081.37873447866</v>
      </c>
      <c r="H65" s="15" t="n">
        <f aca="false">G65*(1+IF(H$3&lt;=$O$2,$D65,$D65-($D65-$I$49)*MIN(H$3-$O$2,$Q$2)/$Q$2))</f>
        <v>1162.67684581863</v>
      </c>
      <c r="I65" s="15" t="n">
        <f aca="false">H65*(1+IF(I$3&lt;=$O$2,$D65,$D65-($D65-$I$49)*MIN(I$3-$O$2,$Q$2)/$Q$2))</f>
        <v>1250.08695353574</v>
      </c>
      <c r="J65" s="15" t="n">
        <f aca="false">I65*(1+IF(J$3&lt;=$O$2,$D65,$D65-($D65-$I$49)*MIN(J$3-$O$2,$Q$2)/$Q$2))</f>
        <v>1329.84755523381</v>
      </c>
      <c r="K65" s="15" t="n">
        <f aca="false">J65*(1+IF(K$3&lt;=$O$2,$D65,$D65-($D65-$I$49)*MIN(K$3-$O$2,$Q$2)/$Q$2))</f>
        <v>1399.56884571602</v>
      </c>
      <c r="L65" s="15" t="n">
        <f aca="false">K65*(1+IF(L$3&lt;=$O$2,$D65,$D65-($D65-$I$49)*MIN(L$3-$O$2,$Q$2)/$Q$2))</f>
        <v>1457.02397603922</v>
      </c>
      <c r="M65" s="15" t="n">
        <f aca="false">L65*(1+IF(M$3&lt;=$O$2,$D65,$D65-($D65-$I$49)*MIN(M$3-$O$2,$Q$2)/$Q$2))</f>
        <v>1500.26263520378</v>
      </c>
      <c r="N65" s="15" t="n">
        <f aca="false">M65*(1+IF(N$3&lt;=$O$2,$D65,$D65-($D65-$I$49)*MIN(N$3-$O$2,$Q$2)/$Q$2))</f>
        <v>1527.71744142801</v>
      </c>
      <c r="O65" s="15" t="n">
        <f aca="false">SUMPRODUCT(E65:N65,1/(1+$F$49)^$E$3:$N$3)*$E$2</f>
        <v>1947.76975767594</v>
      </c>
      <c r="P65" s="15" t="n">
        <f aca="false">N65*$E$2*(1+$I$49)/($F$49-$I$49)/(1+$F$49)^$N$3</f>
        <v>3673.80113583376</v>
      </c>
      <c r="Q65" s="15" t="n">
        <f aca="false">O65+P65</f>
        <v>5621.5708935097</v>
      </c>
      <c r="R65" s="15" t="n">
        <f aca="false">Q65-$G$2+$I$2</f>
        <v>5788.9708935097</v>
      </c>
      <c r="S65" s="42" t="n">
        <f aca="false">R65/$K$2</f>
        <v>164.506135081264</v>
      </c>
      <c r="T65" s="43" t="n">
        <f aca="false">S65-$M$2</f>
        <v>-0.0292442878745476</v>
      </c>
    </row>
    <row r="66" customFormat="false" ht="15" hidden="false" customHeight="false" outlineLevel="0" collapsed="false">
      <c r="A66" s="5" t="n">
        <v>16</v>
      </c>
      <c r="B66" s="25" t="n">
        <f aca="false">IF(T65&gt;0,B65,D65)</f>
        <v>0.0751800537109375</v>
      </c>
      <c r="C66" s="25" t="n">
        <f aca="false">IF(T65&gt;0,D65,C65)</f>
        <v>0.075225830078125</v>
      </c>
      <c r="D66" s="41" t="n">
        <f aca="false">(B66+C66)/2</f>
        <v>0.0752029418945313</v>
      </c>
      <c r="E66" s="15" t="n">
        <f aca="false">$C$2*(1+IF(E$3&lt;=$O$2,$D66,$D66-($D66-$I$49)*MIN(E$3-$O$2,$Q$2)/$Q$2))</f>
        <v>935.458815536499</v>
      </c>
      <c r="F66" s="15" t="n">
        <f aca="false">E66*(1+IF(F$3&lt;=$O$2,$D66,$D66-($D66-$I$49)*MIN(F$3-$O$2,$Q$2)/$Q$2))</f>
        <v>1005.80807048602</v>
      </c>
      <c r="G66" s="15" t="n">
        <f aca="false">F66*(1+IF(G$3&lt;=$O$2,$D66,$D66-($D66-$I$49)*MIN(G$3-$O$2,$Q$2)/$Q$2))</f>
        <v>1081.44779636783</v>
      </c>
      <c r="H66" s="15" t="n">
        <f aca="false">G66*(1+IF(H$3&lt;=$O$2,$D66,$D66-($D66-$I$49)*MIN(H$3-$O$2,$Q$2)/$Q$2))</f>
        <v>1162.77585216005</v>
      </c>
      <c r="I66" s="15" t="n">
        <f aca="false">H66*(1+IF(I$3&lt;=$O$2,$D66,$D66-($D66-$I$49)*MIN(I$3-$O$2,$Q$2)/$Q$2))</f>
        <v>1250.2200170064</v>
      </c>
      <c r="J66" s="15" t="n">
        <f aca="false">I66*(1+IF(J$3&lt;=$O$2,$D66,$D66-($D66-$I$49)*MIN(J$3-$O$2,$Q$2)/$Q$2))</f>
        <v>1330.0120009041</v>
      </c>
      <c r="K66" s="15" t="n">
        <f aca="false">J66*(1+IF(K$3&lt;=$O$2,$D66,$D66-($D66-$I$49)*MIN(K$3-$O$2,$Q$2)/$Q$2))</f>
        <v>1399.76017788453</v>
      </c>
      <c r="L66" s="15" t="n">
        <f aca="false">K66*(1+IF(L$3&lt;=$O$2,$D66,$D66-($D66-$I$49)*MIN(L$3-$O$2,$Q$2)/$Q$2))</f>
        <v>1457.23597796719</v>
      </c>
      <c r="M66" s="15" t="n">
        <f aca="false">L66*(1+IF(M$3&lt;=$O$2,$D66,$D66-($D66-$I$49)*MIN(M$3-$O$2,$Q$2)/$Q$2))</f>
        <v>1500.48759920017</v>
      </c>
      <c r="N66" s="15" t="n">
        <f aca="false">M66*(1+IF(N$3&lt;=$O$2,$D66,$D66-($D66-$I$49)*MIN(N$3-$O$2,$Q$2)/$Q$2))</f>
        <v>1527.94652226553</v>
      </c>
      <c r="O66" s="15" t="n">
        <f aca="false">SUMPRODUCT(E66:N66,1/(1+$F$49)^$E$3:$N$3)*$E$2</f>
        <v>1947.96792184691</v>
      </c>
      <c r="P66" s="15" t="n">
        <f aca="false">N66*$E$2*(1+$I$49)/($F$49-$I$49)/(1+$F$49)^$N$3</f>
        <v>3674.35202136943</v>
      </c>
      <c r="Q66" s="15" t="n">
        <f aca="false">O66+P66</f>
        <v>5622.31994321634</v>
      </c>
      <c r="R66" s="15" t="n">
        <f aca="false">Q66-$G$2+$I$2</f>
        <v>5789.71994321634</v>
      </c>
      <c r="S66" s="42" t="n">
        <f aca="false">R66/$K$2</f>
        <v>164.527420949598</v>
      </c>
      <c r="T66" s="43" t="n">
        <f aca="false">S66-$M$2</f>
        <v>-0.00795841954135312</v>
      </c>
    </row>
    <row r="67" customFormat="false" ht="15" hidden="false" customHeight="false" outlineLevel="0" collapsed="false">
      <c r="A67" s="5" t="n">
        <v>17</v>
      </c>
      <c r="B67" s="25" t="n">
        <f aca="false">IF(T66&gt;0,B66,D66)</f>
        <v>0.0752029418945313</v>
      </c>
      <c r="C67" s="25" t="n">
        <f aca="false">IF(T66&gt;0,D66,C66)</f>
        <v>0.075225830078125</v>
      </c>
      <c r="D67" s="41" t="n">
        <f aca="false">(B67+C67)/2</f>
        <v>0.0752143859863281</v>
      </c>
      <c r="E67" s="15" t="n">
        <f aca="false">$C$2*(1+IF(E$3&lt;=$O$2,$D67,$D67-($D67-$I$49)*MIN(E$3-$O$2,$Q$2)/$Q$2))</f>
        <v>935.468772239685</v>
      </c>
      <c r="F67" s="15" t="n">
        <f aca="false">E67*(1+IF(F$3&lt;=$O$2,$D67,$D67-($D67-$I$49)*MIN(F$3-$O$2,$Q$2)/$Q$2))</f>
        <v>1005.82948155308</v>
      </c>
      <c r="G67" s="15" t="n">
        <f aca="false">F67*(1+IF(G$3&lt;=$O$2,$D67,$D67-($D67-$I$49)*MIN(G$3-$O$2,$Q$2)/$Q$2))</f>
        <v>1081.48232841504</v>
      </c>
      <c r="H67" s="15" t="n">
        <f aca="false">G67*(1+IF(H$3&lt;=$O$2,$D67,$D67-($D67-$I$49)*MIN(H$3-$O$2,$Q$2)/$Q$2))</f>
        <v>1162.82535770184</v>
      </c>
      <c r="I67" s="15" t="n">
        <f aca="false">H67*(1+IF(I$3&lt;=$O$2,$D67,$D67-($D67-$I$49)*MIN(I$3-$O$2,$Q$2)/$Q$2))</f>
        <v>1250.28655299072</v>
      </c>
      <c r="J67" s="15" t="n">
        <f aca="false">I67*(1+IF(J$3&lt;=$O$2,$D67,$D67-($D67-$I$49)*MIN(J$3-$O$2,$Q$2)/$Q$2))</f>
        <v>1330.09423008679</v>
      </c>
      <c r="K67" s="15" t="n">
        <f aca="false">J67*(1+IF(K$3&lt;=$O$2,$D67,$D67-($D67-$I$49)*MIN(K$3-$O$2,$Q$2)/$Q$2))</f>
        <v>1399.85585234299</v>
      </c>
      <c r="L67" s="15" t="n">
        <f aca="false">K67*(1+IF(L$3&lt;=$O$2,$D67,$D67-($D67-$I$49)*MIN(L$3-$O$2,$Q$2)/$Q$2))</f>
        <v>1457.34198896305</v>
      </c>
      <c r="M67" s="15" t="n">
        <f aca="false">L67*(1+IF(M$3&lt;=$O$2,$D67,$D67-($D67-$I$49)*MIN(M$3-$O$2,$Q$2)/$Q$2))</f>
        <v>1500.60009225586</v>
      </c>
      <c r="N67" s="15" t="n">
        <f aca="false">M67*(1+IF(N$3&lt;=$O$2,$D67,$D67-($D67-$I$49)*MIN(N$3-$O$2,$Q$2)/$Q$2))</f>
        <v>1528.06107394414</v>
      </c>
      <c r="O67" s="15" t="n">
        <f aca="false">SUMPRODUCT(E67:N67,1/(1+$F$49)^$E$3:$N$3)*$E$2</f>
        <v>1948.0670114444</v>
      </c>
      <c r="P67" s="15" t="n">
        <f aca="false">N67*$E$2*(1+$I$49)/($F$49-$I$49)/(1+$F$49)^$N$3</f>
        <v>3674.62749121457</v>
      </c>
      <c r="Q67" s="15" t="n">
        <f aca="false">O67+P67</f>
        <v>5622.69450265897</v>
      </c>
      <c r="R67" s="15" t="n">
        <f aca="false">Q67-$G$2+$I$2</f>
        <v>5790.09450265897</v>
      </c>
      <c r="S67" s="42" t="n">
        <f aca="false">R67/$K$2</f>
        <v>164.538064866694</v>
      </c>
      <c r="T67" s="43" t="n">
        <f aca="false">S67-$M$2</f>
        <v>0.00268549755517711</v>
      </c>
    </row>
    <row r="68" customFormat="false" ht="15" hidden="false" customHeight="false" outlineLevel="0" collapsed="false">
      <c r="A68" s="5" t="n">
        <v>18</v>
      </c>
      <c r="B68" s="25" t="n">
        <f aca="false">IF(T67&gt;0,B67,D67)</f>
        <v>0.0752029418945313</v>
      </c>
      <c r="C68" s="25" t="n">
        <f aca="false">IF(T67&gt;0,D67,C67)</f>
        <v>0.0752143859863281</v>
      </c>
      <c r="D68" s="41" t="n">
        <f aca="false">(B68+C68)/2</f>
        <v>0.0752086639404297</v>
      </c>
      <c r="E68" s="15" t="n">
        <f aca="false">$C$2*(1+IF(E$3&lt;=$O$2,$D68,$D68-($D68-$I$49)*MIN(E$3-$O$2,$Q$2)/$Q$2))</f>
        <v>935.463793888092</v>
      </c>
      <c r="F68" s="15" t="n">
        <f aca="false">E68*(1+IF(F$3&lt;=$O$2,$D68,$D68-($D68-$I$49)*MIN(F$3-$O$2,$Q$2)/$Q$2))</f>
        <v>1005.81877599106</v>
      </c>
      <c r="G68" s="15" t="n">
        <f aca="false">F68*(1+IF(G$3&lt;=$O$2,$D68,$D68-($D68-$I$49)*MIN(G$3-$O$2,$Q$2)/$Q$2))</f>
        <v>1081.46506229955</v>
      </c>
      <c r="H68" s="15" t="n">
        <f aca="false">G68*(1+IF(H$3&lt;=$O$2,$D68,$D68-($D68-$I$49)*MIN(H$3-$O$2,$Q$2)/$Q$2))</f>
        <v>1162.80060473335</v>
      </c>
      <c r="I68" s="15" t="n">
        <f aca="false">H68*(1+IF(I$3&lt;=$O$2,$D68,$D68-($D68-$I$49)*MIN(I$3-$O$2,$Q$2)/$Q$2))</f>
        <v>1250.25328464447</v>
      </c>
      <c r="J68" s="15" t="n">
        <f aca="false">I68*(1+IF(J$3&lt;=$O$2,$D68,$D68-($D68-$I$49)*MIN(J$3-$O$2,$Q$2)/$Q$2))</f>
        <v>1330.05311496646</v>
      </c>
      <c r="K68" s="15" t="n">
        <f aca="false">J68*(1+IF(K$3&lt;=$O$2,$D68,$D68-($D68-$I$49)*MIN(K$3-$O$2,$Q$2)/$Q$2))</f>
        <v>1399.80801441588</v>
      </c>
      <c r="L68" s="15" t="n">
        <f aca="false">K68*(1+IF(L$3&lt;=$O$2,$D68,$D68-($D68-$I$49)*MIN(L$3-$O$2,$Q$2)/$Q$2))</f>
        <v>1457.28898262909</v>
      </c>
      <c r="M68" s="15" t="n">
        <f aca="false">L68*(1+IF(M$3&lt;=$O$2,$D68,$D68-($D68-$I$49)*MIN(M$3-$O$2,$Q$2)/$Q$2))</f>
        <v>1500.54384480651</v>
      </c>
      <c r="N68" s="15" t="n">
        <f aca="false">M68*(1+IF(N$3&lt;=$O$2,$D68,$D68-($D68-$I$49)*MIN(N$3-$O$2,$Q$2)/$Q$2))</f>
        <v>1528.00379716647</v>
      </c>
      <c r="O68" s="15" t="n">
        <f aca="false">SUMPRODUCT(E68:N68,1/(1+$F$49)^$E$3:$N$3)*$E$2</f>
        <v>1948.01746601963</v>
      </c>
      <c r="P68" s="15" t="n">
        <f aca="false">N68*$E$2*(1+$I$49)/($F$49-$I$49)/(1+$F$49)^$N$3</f>
        <v>3674.48975403545</v>
      </c>
      <c r="Q68" s="15" t="n">
        <f aca="false">O68+P68</f>
        <v>5622.50722005508</v>
      </c>
      <c r="R68" s="15" t="n">
        <f aca="false">Q68-$G$2+$I$2</f>
        <v>5789.90722005508</v>
      </c>
      <c r="S68" s="42" t="n">
        <f aca="false">R68/$K$2</f>
        <v>164.532742826231</v>
      </c>
      <c r="T68" s="43" t="n">
        <f aca="false">S68-$M$2</f>
        <v>-0.00263654290762361</v>
      </c>
    </row>
    <row r="69" customFormat="false" ht="15" hidden="false" customHeight="false" outlineLevel="0" collapsed="false">
      <c r="A69" s="5" t="n">
        <v>19</v>
      </c>
      <c r="B69" s="25" t="n">
        <f aca="false">IF(T68&gt;0,B68,D68)</f>
        <v>0.0752086639404297</v>
      </c>
      <c r="C69" s="25" t="n">
        <f aca="false">IF(T68&gt;0,D68,C68)</f>
        <v>0.0752143859863281</v>
      </c>
      <c r="D69" s="41" t="n">
        <f aca="false">(B69+C69)/2</f>
        <v>0.0752115249633789</v>
      </c>
      <c r="E69" s="15" t="n">
        <f aca="false">$C$2*(1+IF(E$3&lt;=$O$2,$D69,$D69-($D69-$I$49)*MIN(E$3-$O$2,$Q$2)/$Q$2))</f>
        <v>935.466283063889</v>
      </c>
      <c r="F69" s="15" t="n">
        <f aca="false">E69*(1+IF(F$3&lt;=$O$2,$D69,$D69-($D69-$I$49)*MIN(F$3-$O$2,$Q$2)/$Q$2))</f>
        <v>1005.82412876495</v>
      </c>
      <c r="G69" s="15" t="n">
        <f aca="false">F69*(1+IF(G$3&lt;=$O$2,$D69,$D69-($D69-$I$49)*MIN(G$3-$O$2,$Q$2)/$Q$2))</f>
        <v>1081.47369533432</v>
      </c>
      <c r="H69" s="15" t="n">
        <f aca="false">G69*(1+IF(H$3&lt;=$O$2,$D69,$D69-($D69-$I$49)*MIN(H$3-$O$2,$Q$2)/$Q$2))</f>
        <v>1162.8129811682</v>
      </c>
      <c r="I69" s="15" t="n">
        <f aca="false">H69*(1+IF(I$3&lt;=$O$2,$D69,$D69-($D69-$I$49)*MIN(I$3-$O$2,$Q$2)/$Q$2))</f>
        <v>1250.26991872907</v>
      </c>
      <c r="J69" s="15" t="n">
        <f aca="false">I69*(1+IF(J$3&lt;=$O$2,$D69,$D69-($D69-$I$49)*MIN(J$3-$O$2,$Q$2)/$Q$2))</f>
        <v>1330.07367239438</v>
      </c>
      <c r="K69" s="15" t="n">
        <f aca="false">J69*(1+IF(K$3&lt;=$O$2,$D69,$D69-($D69-$I$49)*MIN(K$3-$O$2,$Q$2)/$Q$2))</f>
        <v>1399.83193320496</v>
      </c>
      <c r="L69" s="15" t="n">
        <f aca="false">K69*(1+IF(L$3&lt;=$O$2,$D69,$D69-($D69-$I$49)*MIN(L$3-$O$2,$Q$2)/$Q$2))</f>
        <v>1457.31548558706</v>
      </c>
      <c r="M69" s="15" t="n">
        <f aca="false">L69*(1+IF(M$3&lt;=$O$2,$D69,$D69-($D69-$I$49)*MIN(M$3-$O$2,$Q$2)/$Q$2))</f>
        <v>1500.57196830081</v>
      </c>
      <c r="N69" s="15" t="n">
        <f aca="false">M69*(1+IF(N$3&lt;=$O$2,$D69,$D69-($D69-$I$49)*MIN(N$3-$O$2,$Q$2)/$Q$2))</f>
        <v>1528.03243532071</v>
      </c>
      <c r="O69" s="15" t="n">
        <f aca="false">SUMPRODUCT(E69:N69,1/(1+$F$49)^$E$3:$N$3)*$E$2</f>
        <v>1948.04223857551</v>
      </c>
      <c r="P69" s="15" t="n">
        <f aca="false">N69*$E$2*(1+$I$49)/($F$49-$I$49)/(1+$F$49)^$N$3</f>
        <v>3674.55862206087</v>
      </c>
      <c r="Q69" s="15" t="n">
        <f aca="false">O69+P69</f>
        <v>5622.60086063637</v>
      </c>
      <c r="R69" s="15" t="n">
        <f aca="false">Q69-$G$2+$I$2</f>
        <v>5790.00086063637</v>
      </c>
      <c r="S69" s="42" t="n">
        <f aca="false">R69/$K$2</f>
        <v>164.535403825984</v>
      </c>
      <c r="T69" s="43" t="n">
        <f aca="false">S69-$M$2</f>
        <v>2.44568449261351E-005</v>
      </c>
    </row>
    <row r="70" customFormat="false" ht="15" hidden="false" customHeight="false" outlineLevel="0" collapsed="false">
      <c r="A70" s="5" t="n">
        <v>20</v>
      </c>
      <c r="B70" s="25" t="n">
        <f aca="false">IF(T69&gt;0,B69,D69)</f>
        <v>0.0752086639404297</v>
      </c>
      <c r="C70" s="25" t="n">
        <f aca="false">IF(T69&gt;0,D69,C69)</f>
        <v>0.0752115249633789</v>
      </c>
      <c r="D70" s="41" t="n">
        <f aca="false">(B70+C70)/2</f>
        <v>0.0752100944519043</v>
      </c>
      <c r="E70" s="15" t="n">
        <f aca="false">$C$2*(1+IF(E$3&lt;=$O$2,$D70,$D70-($D70-$I$49)*MIN(E$3-$O$2,$Q$2)/$Q$2))</f>
        <v>935.46503847599</v>
      </c>
      <c r="F70" s="15" t="n">
        <f aca="false">E70*(1+IF(F$3&lt;=$O$2,$D70,$D70-($D70-$I$49)*MIN(F$3-$O$2,$Q$2)/$Q$2))</f>
        <v>1005.82145237622</v>
      </c>
      <c r="G70" s="15" t="n">
        <f aca="false">F70*(1+IF(G$3&lt;=$O$2,$D70,$D70-($D70-$I$49)*MIN(G$3-$O$2,$Q$2)/$Q$2))</f>
        <v>1081.46937881119</v>
      </c>
      <c r="H70" s="15" t="n">
        <f aca="false">G70*(1+IF(H$3&lt;=$O$2,$D70,$D70-($D70-$I$49)*MIN(H$3-$O$2,$Q$2)/$Q$2))</f>
        <v>1162.80679293842</v>
      </c>
      <c r="I70" s="15" t="n">
        <f aca="false">H70*(1+IF(I$3&lt;=$O$2,$D70,$D70-($D70-$I$49)*MIN(I$3-$O$2,$Q$2)/$Q$2))</f>
        <v>1250.26160166464</v>
      </c>
      <c r="J70" s="15" t="n">
        <f aca="false">I70*(1+IF(J$3&lt;=$O$2,$D70,$D70-($D70-$I$49)*MIN(J$3-$O$2,$Q$2)/$Q$2))</f>
        <v>1330.06339364736</v>
      </c>
      <c r="K70" s="15" t="n">
        <f aca="false">J70*(1+IF(K$3&lt;=$O$2,$D70,$D70-($D70-$I$49)*MIN(K$3-$O$2,$Q$2)/$Q$2))</f>
        <v>1399.8199737668</v>
      </c>
      <c r="L70" s="15" t="n">
        <f aca="false">K70*(1+IF(L$3&lt;=$O$2,$D70,$D70-($D70-$I$49)*MIN(L$3-$O$2,$Q$2)/$Q$2))</f>
        <v>1457.30223405583</v>
      </c>
      <c r="M70" s="15" t="n">
        <f aca="false">L70*(1+IF(M$3&lt;=$O$2,$D70,$D70-($D70-$I$49)*MIN(M$3-$O$2,$Q$2)/$Q$2))</f>
        <v>1500.55790649607</v>
      </c>
      <c r="N70" s="15" t="n">
        <f aca="false">M70*(1+IF(N$3&lt;=$O$2,$D70,$D70-($D70-$I$49)*MIN(N$3-$O$2,$Q$2)/$Q$2))</f>
        <v>1528.01811618494</v>
      </c>
      <c r="O70" s="15" t="n">
        <f aca="false">SUMPRODUCT(E70:N70,1/(1+$F$49)^$E$3:$N$3)*$E$2</f>
        <v>1948.02985225844</v>
      </c>
      <c r="P70" s="15" t="n">
        <f aca="false">N70*$E$2*(1+$I$49)/($F$49-$I$49)/(1+$F$49)^$N$3</f>
        <v>3674.52418790712</v>
      </c>
      <c r="Q70" s="15" t="n">
        <f aca="false">O70+P70</f>
        <v>5622.55404016556</v>
      </c>
      <c r="R70" s="15" t="n">
        <f aca="false">Q70-$G$2+$I$2</f>
        <v>5789.95404016556</v>
      </c>
      <c r="S70" s="42" t="n">
        <f aca="false">R70/$K$2</f>
        <v>164.534073320988</v>
      </c>
      <c r="T70" s="43" t="n">
        <f aca="false">S70-$M$2</f>
        <v>-0.00130604815109336</v>
      </c>
    </row>
    <row r="71" customFormat="false" ht="15" hidden="false" customHeight="false" outlineLevel="0" collapsed="false">
      <c r="A71" s="5" t="n">
        <v>21</v>
      </c>
      <c r="B71" s="25" t="n">
        <f aca="false">IF(T70&gt;0,B70,D70)</f>
        <v>0.0752100944519043</v>
      </c>
      <c r="C71" s="25" t="n">
        <f aca="false">IF(T70&gt;0,D70,C70)</f>
        <v>0.0752115249633789</v>
      </c>
      <c r="D71" s="41" t="n">
        <f aca="false">(B71+C71)/2</f>
        <v>0.0752108097076416</v>
      </c>
      <c r="E71" s="15" t="n">
        <f aca="false">$C$2*(1+IF(E$3&lt;=$O$2,$D71,$D71-($D71-$I$49)*MIN(E$3-$O$2,$Q$2)/$Q$2))</f>
        <v>935.465660769939</v>
      </c>
      <c r="F71" s="15" t="n">
        <f aca="false">E71*(1+IF(F$3&lt;=$O$2,$D71,$D71-($D71-$I$49)*MIN(F$3-$O$2,$Q$2)/$Q$2))</f>
        <v>1005.82279057014</v>
      </c>
      <c r="G71" s="15" t="n">
        <f aca="false">F71*(1+IF(G$3&lt;=$O$2,$D71,$D71-($D71-$I$49)*MIN(G$3-$O$2,$Q$2)/$Q$2))</f>
        <v>1081.47153707132</v>
      </c>
      <c r="H71" s="15" t="n">
        <f aca="false">G71*(1+IF(H$3&lt;=$O$2,$D71,$D71-($D71-$I$49)*MIN(H$3-$O$2,$Q$2)/$Q$2))</f>
        <v>1162.80988705022</v>
      </c>
      <c r="I71" s="15" t="n">
        <f aca="false">H71*(1+IF(I$3&lt;=$O$2,$D71,$D71-($D71-$I$49)*MIN(I$3-$O$2,$Q$2)/$Q$2))</f>
        <v>1250.26576019132</v>
      </c>
      <c r="J71" s="15" t="n">
        <f aca="false">I71*(1+IF(J$3&lt;=$O$2,$D71,$D71-($D71-$I$49)*MIN(J$3-$O$2,$Q$2)/$Q$2))</f>
        <v>1330.0685330126</v>
      </c>
      <c r="K71" s="15" t="n">
        <f aca="false">J71*(1+IF(K$3&lt;=$O$2,$D71,$D71-($D71-$I$49)*MIN(K$3-$O$2,$Q$2)/$Q$2))</f>
        <v>1399.82595347498</v>
      </c>
      <c r="L71" s="15" t="n">
        <f aca="false">K71*(1+IF(L$3&lt;=$O$2,$D71,$D71-($D71-$I$49)*MIN(L$3-$O$2,$Q$2)/$Q$2))</f>
        <v>1457.30885980838</v>
      </c>
      <c r="M71" s="15" t="n">
        <f aca="false">L71*(1+IF(M$3&lt;=$O$2,$D71,$D71-($D71-$I$49)*MIN(M$3-$O$2,$Q$2)/$Q$2))</f>
        <v>1500.56493738404</v>
      </c>
      <c r="N71" s="15" t="n">
        <f aca="false">M71*(1+IF(N$3&lt;=$O$2,$D71,$D71-($D71-$I$49)*MIN(N$3-$O$2,$Q$2)/$Q$2))</f>
        <v>1528.02527573817</v>
      </c>
      <c r="O71" s="15" t="n">
        <f aca="false">SUMPRODUCT(E71:N71,1/(1+$F$49)^$E$3:$N$3)*$E$2</f>
        <v>1948.03604540719</v>
      </c>
      <c r="P71" s="15" t="n">
        <f aca="false">N71*$E$2*(1+$I$49)/($F$49-$I$49)/(1+$F$49)^$N$3</f>
        <v>3674.54140494873</v>
      </c>
      <c r="Q71" s="15" t="n">
        <f aca="false">O71+P71</f>
        <v>5622.57745035593</v>
      </c>
      <c r="R71" s="15" t="n">
        <f aca="false">Q71-$G$2+$I$2</f>
        <v>5789.97745035593</v>
      </c>
      <c r="S71" s="42" t="n">
        <f aca="false">R71/$K$2</f>
        <v>164.534738572206</v>
      </c>
      <c r="T71" s="43" t="n">
        <f aca="false">S71-$M$2</f>
        <v>-0.000640796933055299</v>
      </c>
    </row>
    <row r="72" customFormat="false" ht="15" hidden="false" customHeight="false" outlineLevel="0" collapsed="false">
      <c r="A72" s="5" t="n">
        <v>22</v>
      </c>
      <c r="B72" s="25" t="n">
        <f aca="false">IF(T71&gt;0,B71,D71)</f>
        <v>0.0752108097076416</v>
      </c>
      <c r="C72" s="25" t="n">
        <f aca="false">IF(T71&gt;0,D71,C71)</f>
        <v>0.0752115249633789</v>
      </c>
      <c r="D72" s="41" t="n">
        <f aca="false">(B72+C72)/2</f>
        <v>0.0752111673355103</v>
      </c>
      <c r="E72" s="15" t="n">
        <f aca="false">$C$2*(1+IF(E$3&lt;=$O$2,$D72,$D72-($D72-$I$49)*MIN(E$3-$O$2,$Q$2)/$Q$2))</f>
        <v>935.465971916914</v>
      </c>
      <c r="F72" s="15" t="n">
        <f aca="false">E72*(1+IF(F$3&lt;=$O$2,$D72,$D72-($D72-$I$49)*MIN(F$3-$O$2,$Q$2)/$Q$2))</f>
        <v>1005.82345966743</v>
      </c>
      <c r="G72" s="15" t="n">
        <f aca="false">F72*(1+IF(G$3&lt;=$O$2,$D72,$D72-($D72-$I$49)*MIN(G$3-$O$2,$Q$2)/$Q$2))</f>
        <v>1081.47261620246</v>
      </c>
      <c r="H72" s="15" t="n">
        <f aca="false">G72*(1+IF(H$3&lt;=$O$2,$D72,$D72-($D72-$I$49)*MIN(H$3-$O$2,$Q$2)/$Q$2))</f>
        <v>1162.81143410844</v>
      </c>
      <c r="I72" s="15" t="n">
        <f aca="false">H72*(1+IF(I$3&lt;=$O$2,$D72,$D72-($D72-$I$49)*MIN(I$3-$O$2,$Q$2)/$Q$2))</f>
        <v>1250.26783945881</v>
      </c>
      <c r="J72" s="15" t="n">
        <f aca="false">I72*(1+IF(J$3&lt;=$O$2,$D72,$D72-($D72-$I$49)*MIN(J$3-$O$2,$Q$2)/$Q$2))</f>
        <v>1330.07110270143</v>
      </c>
      <c r="K72" s="15" t="n">
        <f aca="false">J72*(1+IF(K$3&lt;=$O$2,$D72,$D72-($D72-$I$49)*MIN(K$3-$O$2,$Q$2)/$Q$2))</f>
        <v>1399.82894333724</v>
      </c>
      <c r="L72" s="15" t="n">
        <f aca="false">K72*(1+IF(L$3&lt;=$O$2,$D72,$D72-($D72-$I$49)*MIN(L$3-$O$2,$Q$2)/$Q$2))</f>
        <v>1457.31217269446</v>
      </c>
      <c r="M72" s="15" t="n">
        <f aca="false">L72*(1+IF(M$3&lt;=$O$2,$D72,$D72-($D72-$I$49)*MIN(M$3-$O$2,$Q$2)/$Q$2))</f>
        <v>1500.56845283882</v>
      </c>
      <c r="N72" s="15" t="n">
        <f aca="false">M72*(1+IF(N$3&lt;=$O$2,$D72,$D72-($D72-$I$49)*MIN(N$3-$O$2,$Q$2)/$Q$2))</f>
        <v>1528.02885552577</v>
      </c>
      <c r="O72" s="15" t="n">
        <f aca="false">SUMPRODUCT(E72:N72,1/(1+$F$49)^$E$3:$N$3)*$E$2</f>
        <v>1948.0391419889</v>
      </c>
      <c r="P72" s="15" t="n">
        <f aca="false">N72*$E$2*(1+$I$49)/($F$49-$I$49)/(1+$F$49)^$N$3</f>
        <v>3674.55001349599</v>
      </c>
      <c r="Q72" s="15" t="n">
        <f aca="false">O72+P72</f>
        <v>5622.58915548489</v>
      </c>
      <c r="R72" s="15" t="n">
        <f aca="false">Q72-$G$2+$I$2</f>
        <v>5789.98915548489</v>
      </c>
      <c r="S72" s="42" t="n">
        <f aca="false">R72/$K$2</f>
        <v>164.535071198775</v>
      </c>
      <c r="T72" s="43" t="n">
        <f aca="false">S72-$M$2</f>
        <v>-0.000308170364036187</v>
      </c>
    </row>
    <row r="73" customFormat="false" ht="15" hidden="false" customHeight="false" outlineLevel="0" collapsed="false">
      <c r="A73" s="5" t="n">
        <v>23</v>
      </c>
      <c r="B73" s="25" t="n">
        <f aca="false">IF(T72&gt;0,B72,D72)</f>
        <v>0.0752111673355103</v>
      </c>
      <c r="C73" s="25" t="n">
        <f aca="false">IF(T72&gt;0,D72,C72)</f>
        <v>0.0752115249633789</v>
      </c>
      <c r="D73" s="41" t="n">
        <f aca="false">(B73+C73)/2</f>
        <v>0.0752113461494446</v>
      </c>
      <c r="E73" s="15" t="n">
        <f aca="false">$C$2*(1+IF(E$3&lt;=$O$2,$D73,$D73-($D73-$I$49)*MIN(E$3-$O$2,$Q$2)/$Q$2))</f>
        <v>935.466127490401</v>
      </c>
      <c r="F73" s="15" t="n">
        <f aca="false">E73*(1+IF(F$3&lt;=$O$2,$D73,$D73-($D73-$I$49)*MIN(F$3-$O$2,$Q$2)/$Q$2))</f>
        <v>1005.82379421616</v>
      </c>
      <c r="G73" s="15" t="n">
        <f aca="false">F73*(1+IF(G$3&lt;=$O$2,$D73,$D73-($D73-$I$49)*MIN(G$3-$O$2,$Q$2)/$Q$2))</f>
        <v>1081.4731557683</v>
      </c>
      <c r="H73" s="15" t="n">
        <f aca="false">G73*(1+IF(H$3&lt;=$O$2,$D73,$D73-($D73-$I$49)*MIN(H$3-$O$2,$Q$2)/$Q$2))</f>
        <v>1162.81220763812</v>
      </c>
      <c r="I73" s="15" t="n">
        <f aca="false">H73*(1+IF(I$3&lt;=$O$2,$D73,$D73-($D73-$I$49)*MIN(I$3-$O$2,$Q$2)/$Q$2))</f>
        <v>1250.26887909359</v>
      </c>
      <c r="J73" s="15" t="n">
        <f aca="false">I73*(1+IF(J$3&lt;=$O$2,$D73,$D73-($D73-$I$49)*MIN(J$3-$O$2,$Q$2)/$Q$2))</f>
        <v>1330.07238754739</v>
      </c>
      <c r="K73" s="15" t="n">
        <f aca="false">J73*(1+IF(K$3&lt;=$O$2,$D73,$D73-($D73-$I$49)*MIN(K$3-$O$2,$Q$2)/$Q$2))</f>
        <v>1399.83043827042</v>
      </c>
      <c r="L73" s="15" t="n">
        <f aca="false">K73*(1+IF(L$3&lt;=$O$2,$D73,$D73-($D73-$I$49)*MIN(L$3-$O$2,$Q$2)/$Q$2))</f>
        <v>1457.31382913994</v>
      </c>
      <c r="M73" s="15" t="n">
        <f aca="false">L73*(1+IF(M$3&lt;=$O$2,$D73,$D73-($D73-$I$49)*MIN(M$3-$O$2,$Q$2)/$Q$2))</f>
        <v>1500.57021056892</v>
      </c>
      <c r="N73" s="15" t="n">
        <f aca="false">M73*(1+IF(N$3&lt;=$O$2,$D73,$D73-($D73-$I$49)*MIN(N$3-$O$2,$Q$2)/$Q$2))</f>
        <v>1528.03064542233</v>
      </c>
      <c r="O73" s="15" t="n">
        <f aca="false">SUMPRODUCT(E73:N73,1/(1+$F$49)^$E$3:$N$3)*$E$2</f>
        <v>1948.04069028159</v>
      </c>
      <c r="P73" s="15" t="n">
        <f aca="false">N73*$E$2*(1+$I$49)/($F$49-$I$49)/(1+$F$49)^$N$3</f>
        <v>3674.55431777622</v>
      </c>
      <c r="Q73" s="15" t="n">
        <f aca="false">O73+P73</f>
        <v>5622.59500805782</v>
      </c>
      <c r="R73" s="15" t="n">
        <f aca="false">Q73-$G$2+$I$2</f>
        <v>5789.99500805782</v>
      </c>
      <c r="S73" s="42" t="n">
        <f aca="false">R73/$K$2</f>
        <v>164.5352375123</v>
      </c>
      <c r="T73" s="43" t="n">
        <f aca="false">S73-$M$2</f>
        <v>-0.000141856839519505</v>
      </c>
    </row>
    <row r="74" customFormat="false" ht="15" hidden="false" customHeight="false" outlineLevel="0" collapsed="false">
      <c r="A74" s="5" t="n">
        <v>24</v>
      </c>
      <c r="B74" s="25" t="n">
        <f aca="false">IF(T73&gt;0,B73,D73)</f>
        <v>0.0752113461494446</v>
      </c>
      <c r="C74" s="25" t="n">
        <f aca="false">IF(T73&gt;0,D73,C73)</f>
        <v>0.0752115249633789</v>
      </c>
      <c r="D74" s="41" t="n">
        <f aca="false">(B74+C74)/2</f>
        <v>0.0752114355564117</v>
      </c>
      <c r="E74" s="15" t="n">
        <f aca="false">$C$2*(1+IF(E$3&lt;=$O$2,$D74,$D74-($D74-$I$49)*MIN(E$3-$O$2,$Q$2)/$Q$2))</f>
        <v>935.466205277145</v>
      </c>
      <c r="F74" s="15" t="n">
        <f aca="false">E74*(1+IF(F$3&lt;=$O$2,$D74,$D74-($D74-$I$49)*MIN(F$3-$O$2,$Q$2)/$Q$2))</f>
        <v>1005.82396149055</v>
      </c>
      <c r="G74" s="15" t="n">
        <f aca="false">F74*(1+IF(G$3&lt;=$O$2,$D74,$D74-($D74-$I$49)*MIN(G$3-$O$2,$Q$2)/$Q$2))</f>
        <v>1081.47342555129</v>
      </c>
      <c r="H74" s="15" t="n">
        <f aca="false">G74*(1+IF(H$3&lt;=$O$2,$D74,$D74-($D74-$I$49)*MIN(H$3-$O$2,$Q$2)/$Q$2))</f>
        <v>1162.81259440311</v>
      </c>
      <c r="I74" s="15" t="n">
        <f aca="false">H74*(1+IF(I$3&lt;=$O$2,$D74,$D74-($D74-$I$49)*MIN(I$3-$O$2,$Q$2)/$Q$2))</f>
        <v>1250.26939891125</v>
      </c>
      <c r="J74" s="15" t="n">
        <f aca="false">I74*(1+IF(J$3&lt;=$O$2,$D74,$D74-($D74-$I$49)*MIN(J$3-$O$2,$Q$2)/$Q$2))</f>
        <v>1330.07302997075</v>
      </c>
      <c r="K74" s="15" t="n">
        <f aca="false">J74*(1+IF(K$3&lt;=$O$2,$D74,$D74-($D74-$I$49)*MIN(K$3-$O$2,$Q$2)/$Q$2))</f>
        <v>1399.83118573752</v>
      </c>
      <c r="L74" s="15" t="n">
        <f aca="false">K74*(1+IF(L$3&lt;=$O$2,$D74,$D74-($D74-$I$49)*MIN(L$3-$O$2,$Q$2)/$Q$2))</f>
        <v>1457.3146573633</v>
      </c>
      <c r="M74" s="15" t="n">
        <f aca="false">L74*(1+IF(M$3&lt;=$O$2,$D74,$D74-($D74-$I$49)*MIN(M$3-$O$2,$Q$2)/$Q$2))</f>
        <v>1500.57108943464</v>
      </c>
      <c r="N74" s="15" t="n">
        <f aca="false">M74*(1+IF(N$3&lt;=$O$2,$D74,$D74-($D74-$I$49)*MIN(N$3-$O$2,$Q$2)/$Q$2))</f>
        <v>1528.03154037129</v>
      </c>
      <c r="O74" s="15" t="n">
        <f aca="false">SUMPRODUCT(E74:N74,1/(1+$F$49)^$E$3:$N$3)*$E$2</f>
        <v>1948.0414644284</v>
      </c>
      <c r="P74" s="15" t="n">
        <f aca="false">N74*$E$2*(1+$I$49)/($F$49-$I$49)/(1+$F$49)^$N$3</f>
        <v>3674.55646991799</v>
      </c>
      <c r="Q74" s="15" t="n">
        <f aca="false">O74+P74</f>
        <v>5622.59793434639</v>
      </c>
      <c r="R74" s="15" t="n">
        <f aca="false">Q74-$G$2+$I$2</f>
        <v>5789.99793434639</v>
      </c>
      <c r="S74" s="42" t="n">
        <f aca="false">R74/$K$2</f>
        <v>164.535320669122</v>
      </c>
      <c r="T74" s="43" t="n">
        <f aca="false">S74-$M$2</f>
        <v>-5.87000173482011E-005</v>
      </c>
    </row>
    <row r="76" customFormat="false" ht="15" hidden="false" customHeight="false" outlineLevel="0" collapsed="false">
      <c r="A76" s="38" t="s">
        <v>189</v>
      </c>
      <c r="E76" s="5" t="s">
        <v>12</v>
      </c>
      <c r="F76" s="12" t="n">
        <f aca="false">Sensitivity!$B$10</f>
        <v>0.0675075820986394</v>
      </c>
      <c r="G76" s="5" t="s">
        <v>13</v>
      </c>
      <c r="I76" s="12" t="n">
        <f aca="false">Sensitivity!$D$9</f>
        <v>0.0233</v>
      </c>
    </row>
    <row r="77" customFormat="false" ht="23.85" hidden="false" customHeight="false" outlineLevel="0" collapsed="false">
      <c r="A77" s="38" t="s">
        <v>168</v>
      </c>
      <c r="B77" s="28" t="s">
        <v>169</v>
      </c>
      <c r="C77" s="28" t="s">
        <v>170</v>
      </c>
      <c r="D77" s="28" t="s">
        <v>171</v>
      </c>
      <c r="E77" s="28" t="s">
        <v>172</v>
      </c>
      <c r="F77" s="28" t="s">
        <v>173</v>
      </c>
      <c r="G77" s="28" t="s">
        <v>174</v>
      </c>
      <c r="H77" s="28" t="s">
        <v>175</v>
      </c>
      <c r="I77" s="28" t="s">
        <v>176</v>
      </c>
      <c r="J77" s="28" t="s">
        <v>177</v>
      </c>
      <c r="K77" s="28" t="s">
        <v>178</v>
      </c>
      <c r="L77" s="28" t="s">
        <v>179</v>
      </c>
      <c r="M77" s="28" t="s">
        <v>180</v>
      </c>
      <c r="N77" s="28" t="s">
        <v>181</v>
      </c>
      <c r="O77" s="28" t="s">
        <v>182</v>
      </c>
      <c r="P77" s="28" t="s">
        <v>183</v>
      </c>
      <c r="Q77" s="28" t="s">
        <v>184</v>
      </c>
      <c r="R77" s="28" t="s">
        <v>185</v>
      </c>
      <c r="S77" s="28" t="s">
        <v>186</v>
      </c>
      <c r="T77" s="28" t="s">
        <v>187</v>
      </c>
    </row>
    <row r="78" customFormat="false" ht="15" hidden="false" customHeight="false" outlineLevel="0" collapsed="false">
      <c r="A78" s="5" t="n">
        <v>1</v>
      </c>
      <c r="B78" s="24" t="n">
        <v>-0.5</v>
      </c>
      <c r="C78" s="24" t="n">
        <v>1</v>
      </c>
      <c r="D78" s="41" t="n">
        <f aca="false">(B78+C78)/2</f>
        <v>0.25</v>
      </c>
      <c r="E78" s="15" t="n">
        <f aca="false">$C$2*(1+IF(E$3&lt;=$O$2,$D78,$D78-($D78-$I$76)*MIN(E$3-$O$2,$Q$2)/$Q$2))</f>
        <v>1087.5375</v>
      </c>
      <c r="F78" s="15" t="n">
        <f aca="false">E78*(1+IF(F$3&lt;=$O$2,$D78,$D78-($D78-$I$76)*MIN(F$3-$O$2,$Q$2)/$Q$2))</f>
        <v>1359.421875</v>
      </c>
      <c r="G78" s="15" t="n">
        <f aca="false">F78*(1+IF(G$3&lt;=$O$2,$D78,$D78-($D78-$I$76)*MIN(G$3-$O$2,$Q$2)/$Q$2))</f>
        <v>1699.27734375</v>
      </c>
      <c r="H78" s="15" t="n">
        <f aca="false">G78*(1+IF(H$3&lt;=$O$2,$D78,$D78-($D78-$I$76)*MIN(H$3-$O$2,$Q$2)/$Q$2))</f>
        <v>2124.0966796875</v>
      </c>
      <c r="I78" s="15" t="n">
        <f aca="false">H78*(1+IF(I$3&lt;=$O$2,$D78,$D78-($D78-$I$76)*MIN(I$3-$O$2,$Q$2)/$Q$2))</f>
        <v>2655.12084960938</v>
      </c>
      <c r="J78" s="15" t="n">
        <f aca="false">I78*(1+IF(J$3&lt;=$O$2,$D78,$D78-($D78-$I$76)*MIN(J$3-$O$2,$Q$2)/$Q$2))</f>
        <v>3198.51788269043</v>
      </c>
      <c r="K78" s="15" t="n">
        <f aca="false">J78*(1+IF(K$3&lt;=$O$2,$D78,$D78-($D78-$I$76)*MIN(K$3-$O$2,$Q$2)/$Q$2))</f>
        <v>3708.10575176067</v>
      </c>
      <c r="L78" s="15" t="n">
        <f aca="false">K78*(1+IF(L$3&lt;=$O$2,$D78,$D78-($D78-$I$76)*MIN(L$3-$O$2,$Q$2)/$Q$2))</f>
        <v>4130.75564534635</v>
      </c>
      <c r="M78" s="15" t="n">
        <f aca="false">L78*(1+IF(M$3&lt;=$O$2,$D78,$D78-($D78-$I$76)*MIN(M$3-$O$2,$Q$2)/$Q$2))</f>
        <v>4414.29071284292</v>
      </c>
      <c r="N78" s="15" t="n">
        <f aca="false">M78*(1+IF(N$3&lt;=$O$2,$D78,$D78-($D78-$I$76)*MIN(N$3-$O$2,$Q$2)/$Q$2))</f>
        <v>4517.14368645216</v>
      </c>
      <c r="O78" s="15" t="n">
        <f aca="false">SUMPRODUCT(E78:N78,1/(1+$F$76)^$E$3:$N$3)*$E$2</f>
        <v>4225.30203834931</v>
      </c>
      <c r="P78" s="15" t="n">
        <f aca="false">N78*$E$2*(1+$I$76)/($F$76-$I$76)/(1+$F$76)^$N$3</f>
        <v>12150.6358806878</v>
      </c>
      <c r="Q78" s="15" t="n">
        <f aca="false">O78+P78</f>
        <v>16375.9379190371</v>
      </c>
      <c r="R78" s="15" t="n">
        <f aca="false">Q78-$G$2+$I$2</f>
        <v>16543.3379190371</v>
      </c>
      <c r="S78" s="42" t="n">
        <f aca="false">R78/$K$2</f>
        <v>470.114746207363</v>
      </c>
      <c r="T78" s="43" t="n">
        <f aca="false">S78-$M$2</f>
        <v>305.579366838224</v>
      </c>
    </row>
    <row r="79" customFormat="false" ht="15" hidden="false" customHeight="false" outlineLevel="0" collapsed="false">
      <c r="A79" s="5" t="n">
        <v>2</v>
      </c>
      <c r="B79" s="25" t="n">
        <f aca="false">IF(T78&gt;0,B78,D78)</f>
        <v>-0.5</v>
      </c>
      <c r="C79" s="25" t="n">
        <f aca="false">IF(T78&gt;0,D78,C78)</f>
        <v>0.25</v>
      </c>
      <c r="D79" s="41" t="n">
        <f aca="false">(B79+C79)/2</f>
        <v>-0.125</v>
      </c>
      <c r="E79" s="15" t="n">
        <f aca="false">$C$2*(1+IF(E$3&lt;=$O$2,$D79,$D79-($D79-$I$76)*MIN(E$3-$O$2,$Q$2)/$Q$2))</f>
        <v>761.27625</v>
      </c>
      <c r="F79" s="15" t="n">
        <f aca="false">E79*(1+IF(F$3&lt;=$O$2,$D79,$D79-($D79-$I$76)*MIN(F$3-$O$2,$Q$2)/$Q$2))</f>
        <v>666.11671875</v>
      </c>
      <c r="G79" s="15" t="n">
        <f aca="false">F79*(1+IF(G$3&lt;=$O$2,$D79,$D79-($D79-$I$76)*MIN(G$3-$O$2,$Q$2)/$Q$2))</f>
        <v>582.85212890625</v>
      </c>
      <c r="H79" s="15" t="n">
        <f aca="false">G79*(1+IF(H$3&lt;=$O$2,$D79,$D79-($D79-$I$76)*MIN(H$3-$O$2,$Q$2)/$Q$2))</f>
        <v>509.995612792969</v>
      </c>
      <c r="I79" s="15" t="n">
        <f aca="false">H79*(1+IF(I$3&lt;=$O$2,$D79,$D79-($D79-$I$76)*MIN(I$3-$O$2,$Q$2)/$Q$2))</f>
        <v>446.246161193848</v>
      </c>
      <c r="J79" s="15" t="n">
        <f aca="false">I79*(1+IF(J$3&lt;=$O$2,$D79,$D79-($D79-$I$76)*MIN(J$3-$O$2,$Q$2)/$Q$2))</f>
        <v>403.701052185626</v>
      </c>
      <c r="K79" s="15" t="n">
        <f aca="false">J79*(1+IF(K$3&lt;=$O$2,$D79,$D79-($D79-$I$76)*MIN(K$3-$O$2,$Q$2)/$Q$2))</f>
        <v>377.185967078074</v>
      </c>
      <c r="L79" s="15" t="n">
        <f aca="false">K79*(1+IF(L$3&lt;=$O$2,$D79,$D79-($D79-$I$76)*MIN(L$3-$O$2,$Q$2)/$Q$2))</f>
        <v>363.599728543922</v>
      </c>
      <c r="M79" s="15" t="n">
        <f aca="false">L79*(1+IF(M$3&lt;=$O$2,$D79,$D79-($D79-$I$76)*MIN(M$3-$O$2,$Q$2)/$Q$2))</f>
        <v>361.287234270383</v>
      </c>
      <c r="N79" s="15" t="n">
        <f aca="false">M79*(1+IF(N$3&lt;=$O$2,$D79,$D79-($D79-$I$76)*MIN(N$3-$O$2,$Q$2)/$Q$2))</f>
        <v>369.705226828883</v>
      </c>
      <c r="O79" s="15" t="n">
        <f aca="false">SUMPRODUCT(E79:N79,1/(1+$F$76)^$E$3:$N$3)*$E$2</f>
        <v>806.56735204136</v>
      </c>
      <c r="P79" s="15" t="n">
        <f aca="false">N79*$E$2*(1+$I$76)/($F$76-$I$76)/(1+$F$76)^$N$3</f>
        <v>994.467722569404</v>
      </c>
      <c r="Q79" s="15" t="n">
        <f aca="false">O79+P79</f>
        <v>1801.03507461076</v>
      </c>
      <c r="R79" s="15" t="n">
        <f aca="false">Q79-$G$2+$I$2</f>
        <v>1968.43507461076</v>
      </c>
      <c r="S79" s="42" t="n">
        <f aca="false">R79/$K$2</f>
        <v>55.937342273679</v>
      </c>
      <c r="T79" s="43" t="n">
        <f aca="false">S79-$M$2</f>
        <v>-108.59803709546</v>
      </c>
    </row>
    <row r="80" customFormat="false" ht="15" hidden="false" customHeight="false" outlineLevel="0" collapsed="false">
      <c r="A80" s="5" t="n">
        <v>3</v>
      </c>
      <c r="B80" s="25" t="n">
        <f aca="false">IF(T79&gt;0,B79,D79)</f>
        <v>-0.125</v>
      </c>
      <c r="C80" s="25" t="n">
        <f aca="false">IF(T79&gt;0,D79,C79)</f>
        <v>0.25</v>
      </c>
      <c r="D80" s="41" t="n">
        <f aca="false">(B80+C80)/2</f>
        <v>0.0625</v>
      </c>
      <c r="E80" s="15" t="n">
        <f aca="false">$C$2*(1+IF(E$3&lt;=$O$2,$D80,$D80-($D80-$I$76)*MIN(E$3-$O$2,$Q$2)/$Q$2))</f>
        <v>924.406875</v>
      </c>
      <c r="F80" s="15" t="n">
        <f aca="false">E80*(1+IF(F$3&lt;=$O$2,$D80,$D80-($D80-$I$76)*MIN(F$3-$O$2,$Q$2)/$Q$2))</f>
        <v>982.1823046875</v>
      </c>
      <c r="G80" s="15" t="n">
        <f aca="false">F80*(1+IF(G$3&lt;=$O$2,$D80,$D80-($D80-$I$76)*MIN(G$3-$O$2,$Q$2)/$Q$2))</f>
        <v>1043.56869873047</v>
      </c>
      <c r="H80" s="15" t="n">
        <f aca="false">G80*(1+IF(H$3&lt;=$O$2,$D80,$D80-($D80-$I$76)*MIN(H$3-$O$2,$Q$2)/$Q$2))</f>
        <v>1108.79174240112</v>
      </c>
      <c r="I80" s="15" t="n">
        <f aca="false">H80*(1+IF(I$3&lt;=$O$2,$D80,$D80-($D80-$I$76)*MIN(I$3-$O$2,$Q$2)/$Q$2))</f>
        <v>1178.09122630119</v>
      </c>
      <c r="J80" s="15" t="n">
        <f aca="false">I80*(1+IF(J$3&lt;=$O$2,$D80,$D80-($D80-$I$76)*MIN(J$3-$O$2,$Q$2)/$Q$2))</f>
        <v>1242.48569273082</v>
      </c>
      <c r="K80" s="15" t="n">
        <f aca="false">J80*(1+IF(K$3&lt;=$O$2,$D80,$D80-($D80-$I$76)*MIN(K$3-$O$2,$Q$2)/$Q$2))</f>
        <v>1300.65887286447</v>
      </c>
      <c r="L80" s="15" t="n">
        <f aca="false">K80*(1+IF(L$3&lt;=$O$2,$D80,$D80-($D80-$I$76)*MIN(L$3-$O$2,$Q$2)/$Q$2))</f>
        <v>1351.35855572873</v>
      </c>
      <c r="M80" s="15" t="n">
        <f aca="false">L80*(1+IF(M$3&lt;=$O$2,$D80,$D80-($D80-$I$76)*MIN(M$3-$O$2,$Q$2)/$Q$2))</f>
        <v>1393.43986115412</v>
      </c>
      <c r="N80" s="15" t="n">
        <f aca="false">M80*(1+IF(N$3&lt;=$O$2,$D80,$D80-($D80-$I$76)*MIN(N$3-$O$2,$Q$2)/$Q$2))</f>
        <v>1425.90700991901</v>
      </c>
      <c r="O80" s="15" t="n">
        <f aca="false">SUMPRODUCT(E80:N80,1/(1+$F$76)^$E$3:$N$3)*$E$2</f>
        <v>1846.79292389881</v>
      </c>
      <c r="P80" s="15" t="n">
        <f aca="false">N80*$E$2*(1+$I$76)/($F$76-$I$76)/(1+$F$76)^$N$3</f>
        <v>3835.53813645767</v>
      </c>
      <c r="Q80" s="15" t="n">
        <f aca="false">O80+P80</f>
        <v>5682.33106035648</v>
      </c>
      <c r="R80" s="15" t="n">
        <f aca="false">Q80-$G$2+$I$2</f>
        <v>5849.73106035648</v>
      </c>
      <c r="S80" s="42" t="n">
        <f aca="false">R80/$K$2</f>
        <v>166.232766705214</v>
      </c>
      <c r="T80" s="43" t="n">
        <f aca="false">S80-$M$2</f>
        <v>1.69738733607485</v>
      </c>
    </row>
    <row r="81" customFormat="false" ht="15" hidden="false" customHeight="false" outlineLevel="0" collapsed="false">
      <c r="A81" s="5" t="n">
        <v>4</v>
      </c>
      <c r="B81" s="25" t="n">
        <f aca="false">IF(T80&gt;0,B80,D80)</f>
        <v>-0.125</v>
      </c>
      <c r="C81" s="25" t="n">
        <f aca="false">IF(T80&gt;0,D80,C80)</f>
        <v>0.0625</v>
      </c>
      <c r="D81" s="41" t="n">
        <f aca="false">(B81+C81)/2</f>
        <v>-0.03125</v>
      </c>
      <c r="E81" s="15" t="n">
        <f aca="false">$C$2*(1+IF(E$3&lt;=$O$2,$D81,$D81-($D81-$I$76)*MIN(E$3-$O$2,$Q$2)/$Q$2))</f>
        <v>842.8415625</v>
      </c>
      <c r="F81" s="15" t="n">
        <f aca="false">E81*(1+IF(F$3&lt;=$O$2,$D81,$D81-($D81-$I$76)*MIN(F$3-$O$2,$Q$2)/$Q$2))</f>
        <v>816.502763671875</v>
      </c>
      <c r="G81" s="15" t="n">
        <f aca="false">F81*(1+IF(G$3&lt;=$O$2,$D81,$D81-($D81-$I$76)*MIN(G$3-$O$2,$Q$2)/$Q$2))</f>
        <v>790.987052307129</v>
      </c>
      <c r="H81" s="15" t="n">
        <f aca="false">G81*(1+IF(H$3&lt;=$O$2,$D81,$D81-($D81-$I$76)*MIN(H$3-$O$2,$Q$2)/$Q$2))</f>
        <v>766.268706922531</v>
      </c>
      <c r="I81" s="15" t="n">
        <f aca="false">H81*(1+IF(I$3&lt;=$O$2,$D81,$D81-($D81-$I$76)*MIN(I$3-$O$2,$Q$2)/$Q$2))</f>
        <v>742.322809831202</v>
      </c>
      <c r="J81" s="15" t="n">
        <f aca="false">I81*(1+IF(J$3&lt;=$O$2,$D81,$D81-($D81-$I$76)*MIN(J$3-$O$2,$Q$2)/$Q$2))</f>
        <v>727.223963879235</v>
      </c>
      <c r="K81" s="15" t="n">
        <f aca="false">J81*(1+IF(K$3&lt;=$O$2,$D81,$D81-($D81-$I$76)*MIN(K$3-$O$2,$Q$2)/$Q$2))</f>
        <v>720.366241899854</v>
      </c>
      <c r="L81" s="15" t="n">
        <f aca="false">K81*(1+IF(L$3&lt;=$O$2,$D81,$D81-($D81-$I$76)*MIN(L$3-$O$2,$Q$2)/$Q$2))</f>
        <v>721.432383937866</v>
      </c>
      <c r="M81" s="15" t="n">
        <f aca="false">L81*(1+IF(M$3&lt;=$O$2,$D81,$D81-($D81-$I$76)*MIN(M$3-$O$2,$Q$2)/$Q$2))</f>
        <v>730.370931174856</v>
      </c>
      <c r="N81" s="15" t="n">
        <f aca="false">M81*(1+IF(N$3&lt;=$O$2,$D81,$D81-($D81-$I$76)*MIN(N$3-$O$2,$Q$2)/$Q$2))</f>
        <v>747.38857387123</v>
      </c>
      <c r="O81" s="15" t="n">
        <f aca="false">SUMPRODUCT(E81:N81,1/(1+$F$76)^$E$3:$N$3)*$E$2</f>
        <v>1217.47651853095</v>
      </c>
      <c r="P81" s="15" t="n">
        <f aca="false">N81*$E$2*(1+$I$76)/($F$76-$I$76)/(1+$F$76)^$N$3</f>
        <v>2010.39573962023</v>
      </c>
      <c r="Q81" s="15" t="n">
        <f aca="false">O81+P81</f>
        <v>3227.87225815118</v>
      </c>
      <c r="R81" s="15" t="n">
        <f aca="false">Q81-$G$2+$I$2</f>
        <v>3395.27225815118</v>
      </c>
      <c r="S81" s="42" t="n">
        <f aca="false">R81/$K$2</f>
        <v>96.4840084726111</v>
      </c>
      <c r="T81" s="43" t="n">
        <f aca="false">S81-$M$2</f>
        <v>-68.0513708965279</v>
      </c>
    </row>
    <row r="82" customFormat="false" ht="15" hidden="false" customHeight="false" outlineLevel="0" collapsed="false">
      <c r="A82" s="5" t="n">
        <v>5</v>
      </c>
      <c r="B82" s="25" t="n">
        <f aca="false">IF(T81&gt;0,B81,D81)</f>
        <v>-0.03125</v>
      </c>
      <c r="C82" s="25" t="n">
        <f aca="false">IF(T81&gt;0,D81,C81)</f>
        <v>0.0625</v>
      </c>
      <c r="D82" s="41" t="n">
        <f aca="false">(B82+C82)/2</f>
        <v>0.015625</v>
      </c>
      <c r="E82" s="15" t="n">
        <f aca="false">$C$2*(1+IF(E$3&lt;=$O$2,$D82,$D82-($D82-$I$76)*MIN(E$3-$O$2,$Q$2)/$Q$2))</f>
        <v>883.62421875</v>
      </c>
      <c r="F82" s="15" t="n">
        <f aca="false">E82*(1+IF(F$3&lt;=$O$2,$D82,$D82-($D82-$I$76)*MIN(F$3-$O$2,$Q$2)/$Q$2))</f>
        <v>897.430847167969</v>
      </c>
      <c r="G82" s="15" t="n">
        <f aca="false">F82*(1+IF(G$3&lt;=$O$2,$D82,$D82-($D82-$I$76)*MIN(G$3-$O$2,$Q$2)/$Q$2))</f>
        <v>911.453204154968</v>
      </c>
      <c r="H82" s="15" t="n">
        <f aca="false">G82*(1+IF(H$3&lt;=$O$2,$D82,$D82-($D82-$I$76)*MIN(H$3-$O$2,$Q$2)/$Q$2))</f>
        <v>925.69466046989</v>
      </c>
      <c r="I82" s="15" t="n">
        <f aca="false">H82*(1+IF(I$3&lt;=$O$2,$D82,$D82-($D82-$I$76)*MIN(I$3-$O$2,$Q$2)/$Q$2))</f>
        <v>940.158639539732</v>
      </c>
      <c r="J82" s="15" t="n">
        <f aca="false">I82*(1+IF(J$3&lt;=$O$2,$D82,$D82-($D82-$I$76)*MIN(J$3-$O$2,$Q$2)/$Q$2))</f>
        <v>956.291761794234</v>
      </c>
      <c r="K82" s="15" t="n">
        <f aca="false">J82*(1+IF(K$3&lt;=$O$2,$D82,$D82-($D82-$I$76)*MIN(K$3-$O$2,$Q$2)/$Q$2))</f>
        <v>974.169636280977</v>
      </c>
      <c r="L82" s="15" t="n">
        <f aca="false">K82*(1+IF(L$3&lt;=$O$2,$D82,$D82-($D82-$I$76)*MIN(L$3-$O$2,$Q$2)/$Q$2))</f>
        <v>993.877088022941</v>
      </c>
      <c r="M82" s="15" t="n">
        <f aca="false">L82*(1+IF(M$3&lt;=$O$2,$D82,$D82-($D82-$I$76)*MIN(M$3-$O$2,$Q$2)/$Q$2))</f>
        <v>1015.50882284376</v>
      </c>
      <c r="N82" s="15" t="n">
        <f aca="false">M82*(1+IF(N$3&lt;=$O$2,$D82,$D82-($D82-$I$76)*MIN(N$3-$O$2,$Q$2)/$Q$2))</f>
        <v>1039.17017841602</v>
      </c>
      <c r="O82" s="15" t="n">
        <f aca="false">SUMPRODUCT(E82:N82,1/(1+$F$76)^$E$3:$N$3)*$E$2</f>
        <v>1499.0744632223</v>
      </c>
      <c r="P82" s="15" t="n">
        <f aca="false">N82*$E$2*(1+$I$76)/($F$76-$I$76)/(1+$F$76)^$N$3</f>
        <v>2795.25720952205</v>
      </c>
      <c r="Q82" s="15" t="n">
        <f aca="false">O82+P82</f>
        <v>4294.33167274435</v>
      </c>
      <c r="R82" s="15" t="n">
        <f aca="false">Q82-$G$2+$I$2</f>
        <v>4461.73167274435</v>
      </c>
      <c r="S82" s="42" t="n">
        <f aca="false">R82/$K$2</f>
        <v>126.789760521295</v>
      </c>
      <c r="T82" s="43" t="n">
        <f aca="false">S82-$M$2</f>
        <v>-37.7456188478445</v>
      </c>
    </row>
    <row r="83" customFormat="false" ht="15" hidden="false" customHeight="false" outlineLevel="0" collapsed="false">
      <c r="A83" s="5" t="n">
        <v>6</v>
      </c>
      <c r="B83" s="25" t="n">
        <f aca="false">IF(T82&gt;0,B82,D82)</f>
        <v>0.015625</v>
      </c>
      <c r="C83" s="25" t="n">
        <f aca="false">IF(T82&gt;0,D82,C82)</f>
        <v>0.0625</v>
      </c>
      <c r="D83" s="41" t="n">
        <f aca="false">(B83+C83)/2</f>
        <v>0.0390625</v>
      </c>
      <c r="E83" s="15" t="n">
        <f aca="false">$C$2*(1+IF(E$3&lt;=$O$2,$D83,$D83-($D83-$I$76)*MIN(E$3-$O$2,$Q$2)/$Q$2))</f>
        <v>904.015546875</v>
      </c>
      <c r="F83" s="15" t="n">
        <f aca="false">E83*(1+IF(F$3&lt;=$O$2,$D83,$D83-($D83-$I$76)*MIN(F$3-$O$2,$Q$2)/$Q$2))</f>
        <v>939.328654174805</v>
      </c>
      <c r="G83" s="15" t="n">
        <f aca="false">F83*(1+IF(G$3&lt;=$O$2,$D83,$D83-($D83-$I$76)*MIN(G$3-$O$2,$Q$2)/$Q$2))</f>
        <v>976.021179728508</v>
      </c>
      <c r="H83" s="15" t="n">
        <f aca="false">G83*(1+IF(H$3&lt;=$O$2,$D83,$D83-($D83-$I$76)*MIN(H$3-$O$2,$Q$2)/$Q$2))</f>
        <v>1014.14700706165</v>
      </c>
      <c r="I83" s="15" t="n">
        <f aca="false">H83*(1+IF(I$3&lt;=$O$2,$D83,$D83-($D83-$I$76)*MIN(I$3-$O$2,$Q$2)/$Q$2))</f>
        <v>1053.762124525</v>
      </c>
      <c r="J83" s="15" t="n">
        <f aca="false">I83*(1+IF(J$3&lt;=$O$2,$D83,$D83-($D83-$I$76)*MIN(J$3-$O$2,$Q$2)/$Q$2))</f>
        <v>1091.60272241669</v>
      </c>
      <c r="K83" s="15" t="n">
        <f aca="false">J83*(1+IF(K$3&lt;=$O$2,$D83,$D83-($D83-$I$76)*MIN(K$3-$O$2,$Q$2)/$Q$2))</f>
        <v>1127.36089859626</v>
      </c>
      <c r="L83" s="15" t="n">
        <f aca="false">K83*(1+IF(L$3&lt;=$O$2,$D83,$D83-($D83-$I$76)*MIN(L$3-$O$2,$Q$2)/$Q$2))</f>
        <v>1160.7364179992</v>
      </c>
      <c r="M83" s="15" t="n">
        <f aca="false">L83*(1+IF(M$3&lt;=$O$2,$D83,$D83-($D83-$I$76)*MIN(M$3-$O$2,$Q$2)/$Q$2))</f>
        <v>1191.44079809632</v>
      </c>
      <c r="N83" s="15" t="n">
        <f aca="false">M83*(1+IF(N$3&lt;=$O$2,$D83,$D83-($D83-$I$76)*MIN(N$3-$O$2,$Q$2)/$Q$2))</f>
        <v>1219.20136869197</v>
      </c>
      <c r="O83" s="15" t="n">
        <f aca="false">SUMPRODUCT(E83:N83,1/(1+$F$76)^$E$3:$N$3)*$E$2</f>
        <v>1663.83390977294</v>
      </c>
      <c r="P83" s="15" t="n">
        <f aca="false">N83*$E$2*(1+$I$76)/($F$76-$I$76)/(1+$F$76)^$N$3</f>
        <v>3279.5219555762</v>
      </c>
      <c r="Q83" s="15" t="n">
        <f aca="false">O83+P83</f>
        <v>4943.35586534914</v>
      </c>
      <c r="R83" s="15" t="n">
        <f aca="false">Q83-$G$2+$I$2</f>
        <v>5110.75586534914</v>
      </c>
      <c r="S83" s="42" t="n">
        <f aca="false">R83/$K$2</f>
        <v>145.233187421118</v>
      </c>
      <c r="T83" s="43" t="n">
        <f aca="false">S83-$M$2</f>
        <v>-19.302191948021</v>
      </c>
    </row>
    <row r="84" customFormat="false" ht="15" hidden="false" customHeight="false" outlineLevel="0" collapsed="false">
      <c r="A84" s="5" t="n">
        <v>7</v>
      </c>
      <c r="B84" s="25" t="n">
        <f aca="false">IF(T83&gt;0,B83,D83)</f>
        <v>0.0390625</v>
      </c>
      <c r="C84" s="25" t="n">
        <f aca="false">IF(T83&gt;0,D83,C83)</f>
        <v>0.0625</v>
      </c>
      <c r="D84" s="41" t="n">
        <f aca="false">(B84+C84)/2</f>
        <v>0.05078125</v>
      </c>
      <c r="E84" s="15" t="n">
        <f aca="false">$C$2*(1+IF(E$3&lt;=$O$2,$D84,$D84-($D84-$I$76)*MIN(E$3-$O$2,$Q$2)/$Q$2))</f>
        <v>914.2112109375</v>
      </c>
      <c r="F84" s="15" t="n">
        <f aca="false">E84*(1+IF(F$3&lt;=$O$2,$D84,$D84-($D84-$I$76)*MIN(F$3-$O$2,$Q$2)/$Q$2))</f>
        <v>960.63599899292</v>
      </c>
      <c r="G84" s="15" t="n">
        <f aca="false">F84*(1+IF(G$3&lt;=$O$2,$D84,$D84-($D84-$I$76)*MIN(G$3-$O$2,$Q$2)/$Q$2))</f>
        <v>1009.41829581678</v>
      </c>
      <c r="H84" s="15" t="n">
        <f aca="false">G84*(1+IF(H$3&lt;=$O$2,$D84,$D84-($D84-$I$76)*MIN(H$3-$O$2,$Q$2)/$Q$2))</f>
        <v>1060.67781865123</v>
      </c>
      <c r="I84" s="15" t="n">
        <f aca="false">H84*(1+IF(I$3&lt;=$O$2,$D84,$D84-($D84-$I$76)*MIN(I$3-$O$2,$Q$2)/$Q$2))</f>
        <v>1114.54036412961</v>
      </c>
      <c r="J84" s="15" t="n">
        <f aca="false">I84*(1+IF(J$3&lt;=$O$2,$D84,$D84-($D84-$I$76)*MIN(J$3-$O$2,$Q$2)/$Q$2))</f>
        <v>1165.01232451922</v>
      </c>
      <c r="K84" s="15" t="n">
        <f aca="false">J84*(1+IF(K$3&lt;=$O$2,$D84,$D84-($D84-$I$76)*MIN(K$3-$O$2,$Q$2)/$Q$2))</f>
        <v>1211.36670864643</v>
      </c>
      <c r="L84" s="15" t="n">
        <f aca="false">K84*(1+IF(L$3&lt;=$O$2,$D84,$D84-($D84-$I$76)*MIN(L$3-$O$2,$Q$2)/$Q$2))</f>
        <v>1252.90750150269</v>
      </c>
      <c r="M84" s="15" t="n">
        <f aca="false">L84*(1+IF(M$3&lt;=$O$2,$D84,$D84-($D84-$I$76)*MIN(M$3-$O$2,$Q$2)/$Q$2))</f>
        <v>1288.98653914284</v>
      </c>
      <c r="N84" s="15" t="n">
        <f aca="false">M84*(1+IF(N$3&lt;=$O$2,$D84,$D84-($D84-$I$76)*MIN(N$3-$O$2,$Q$2)/$Q$2))</f>
        <v>1319.01992550486</v>
      </c>
      <c r="O84" s="15" t="n">
        <f aca="false">SUMPRODUCT(E84:N84,1/(1+$F$76)^$E$3:$N$3)*$E$2</f>
        <v>1752.92616192126</v>
      </c>
      <c r="P84" s="15" t="n">
        <f aca="false">N84*$E$2*(1+$I$76)/($F$76-$I$76)/(1+$F$76)^$N$3</f>
        <v>3548.02325244813</v>
      </c>
      <c r="Q84" s="15" t="n">
        <f aca="false">O84+P84</f>
        <v>5300.9494143694</v>
      </c>
      <c r="R84" s="15" t="n">
        <f aca="false">Q84-$G$2+$I$2</f>
        <v>5468.3494143694</v>
      </c>
      <c r="S84" s="42" t="n">
        <f aca="false">R84/$K$2</f>
        <v>155.394981937181</v>
      </c>
      <c r="T84" s="43" t="n">
        <f aca="false">S84-$M$2</f>
        <v>-9.14039743195804</v>
      </c>
    </row>
    <row r="85" customFormat="false" ht="15" hidden="false" customHeight="false" outlineLevel="0" collapsed="false">
      <c r="A85" s="5" t="n">
        <v>8</v>
      </c>
      <c r="B85" s="25" t="n">
        <f aca="false">IF(T84&gt;0,B84,D84)</f>
        <v>0.05078125</v>
      </c>
      <c r="C85" s="25" t="n">
        <f aca="false">IF(T84&gt;0,D84,C84)</f>
        <v>0.0625</v>
      </c>
      <c r="D85" s="41" t="n">
        <f aca="false">(B85+C85)/2</f>
        <v>0.056640625</v>
      </c>
      <c r="E85" s="15" t="n">
        <f aca="false">$C$2*(1+IF(E$3&lt;=$O$2,$D85,$D85-($D85-$I$76)*MIN(E$3-$O$2,$Q$2)/$Q$2))</f>
        <v>919.30904296875</v>
      </c>
      <c r="F85" s="15" t="n">
        <f aca="false">E85*(1+IF(F$3&lt;=$O$2,$D85,$D85-($D85-$I$76)*MIN(F$3-$O$2,$Q$2)/$Q$2))</f>
        <v>971.379281730652</v>
      </c>
      <c r="G85" s="15" t="n">
        <f aca="false">F85*(1+IF(G$3&lt;=$O$2,$D85,$D85-($D85-$I$76)*MIN(G$3-$O$2,$Q$2)/$Q$2))</f>
        <v>1026.39881135993</v>
      </c>
      <c r="H85" s="15" t="n">
        <f aca="false">G85*(1+IF(H$3&lt;=$O$2,$D85,$D85-($D85-$I$76)*MIN(H$3-$O$2,$Q$2)/$Q$2))</f>
        <v>1084.53468153461</v>
      </c>
      <c r="I85" s="15" t="n">
        <f aca="false">H85*(1+IF(I$3&lt;=$O$2,$D85,$D85-($D85-$I$76)*MIN(I$3-$O$2,$Q$2)/$Q$2))</f>
        <v>1145.96340373091</v>
      </c>
      <c r="J85" s="15" t="n">
        <f aca="false">I85*(1+IF(J$3&lt;=$O$2,$D85,$D85-($D85-$I$76)*MIN(J$3-$O$2,$Q$2)/$Q$2))</f>
        <v>1203.23005992385</v>
      </c>
      <c r="K85" s="15" t="n">
        <f aca="false">J85*(1+IF(K$3&lt;=$O$2,$D85,$D85-($D85-$I$76)*MIN(K$3-$O$2,$Q$2)/$Q$2))</f>
        <v>1255.33518565006</v>
      </c>
      <c r="L85" s="15" t="n">
        <f aca="false">K85*(1+IF(L$3&lt;=$O$2,$D85,$D85-($D85-$I$76)*MIN(L$3-$O$2,$Q$2)/$Q$2))</f>
        <v>1301.32595934534</v>
      </c>
      <c r="M85" s="15" t="n">
        <f aca="false">L85*(1+IF(M$3&lt;=$O$2,$D85,$D85-($D85-$I$76)*MIN(M$3-$O$2,$Q$2)/$Q$2))</f>
        <v>1340.32425836074</v>
      </c>
      <c r="N85" s="15" t="n">
        <f aca="false">M85*(1+IF(N$3&lt;=$O$2,$D85,$D85-($D85-$I$76)*MIN(N$3-$O$2,$Q$2)/$Q$2))</f>
        <v>1371.55381358055</v>
      </c>
      <c r="O85" s="15" t="n">
        <f aca="false">SUMPRODUCT(E85:N85,1/(1+$F$76)^$E$3:$N$3)*$E$2</f>
        <v>1799.24816586795</v>
      </c>
      <c r="P85" s="15" t="n">
        <f aca="false">N85*$E$2*(1+$I$76)/($F$76-$I$76)/(1+$F$76)^$N$3</f>
        <v>3689.33382162903</v>
      </c>
      <c r="Q85" s="15" t="n">
        <f aca="false">O85+P85</f>
        <v>5488.58198749698</v>
      </c>
      <c r="R85" s="15" t="n">
        <f aca="false">Q85-$G$2+$I$2</f>
        <v>5655.98198749698</v>
      </c>
      <c r="S85" s="42" t="n">
        <f aca="false">R85/$K$2</f>
        <v>160.726967533304</v>
      </c>
      <c r="T85" s="43" t="n">
        <f aca="false">S85-$M$2</f>
        <v>-3.8084118358347</v>
      </c>
    </row>
    <row r="86" customFormat="false" ht="15" hidden="false" customHeight="false" outlineLevel="0" collapsed="false">
      <c r="A86" s="5" t="n">
        <v>9</v>
      </c>
      <c r="B86" s="25" t="n">
        <f aca="false">IF(T85&gt;0,B85,D85)</f>
        <v>0.056640625</v>
      </c>
      <c r="C86" s="25" t="n">
        <f aca="false">IF(T85&gt;0,D85,C85)</f>
        <v>0.0625</v>
      </c>
      <c r="D86" s="41" t="n">
        <f aca="false">(B86+C86)/2</f>
        <v>0.0595703125</v>
      </c>
      <c r="E86" s="15" t="n">
        <f aca="false">$C$2*(1+IF(E$3&lt;=$O$2,$D86,$D86-($D86-$I$76)*MIN(E$3-$O$2,$Q$2)/$Q$2))</f>
        <v>921.857958984375</v>
      </c>
      <c r="F86" s="15" t="n">
        <f aca="false">E86*(1+IF(F$3&lt;=$O$2,$D86,$D86-($D86-$I$76)*MIN(F$3-$O$2,$Q$2)/$Q$2))</f>
        <v>976.773325681686</v>
      </c>
      <c r="G86" s="15" t="n">
        <f aca="false">F86*(1+IF(G$3&lt;=$O$2,$D86,$D86-($D86-$I$76)*MIN(G$3-$O$2,$Q$2)/$Q$2))</f>
        <v>1034.96001793421</v>
      </c>
      <c r="H86" s="15" t="n">
        <f aca="false">G86*(1+IF(H$3&lt;=$O$2,$D86,$D86-($D86-$I$76)*MIN(H$3-$O$2,$Q$2)/$Q$2))</f>
        <v>1096.61290962756</v>
      </c>
      <c r="I86" s="15" t="n">
        <f aca="false">H86*(1+IF(I$3&lt;=$O$2,$D86,$D86-($D86-$I$76)*MIN(I$3-$O$2,$Q$2)/$Q$2))</f>
        <v>1161.9384833456</v>
      </c>
      <c r="J86" s="15" t="n">
        <f aca="false">I86*(1+IF(J$3&lt;=$O$2,$D86,$D86-($D86-$I$76)*MIN(J$3-$O$2,$Q$2)/$Q$2))</f>
        <v>1222.72674752493</v>
      </c>
      <c r="K86" s="15" t="n">
        <f aca="false">J86*(1+IF(K$3&lt;=$O$2,$D86,$D86-($D86-$I$76)*MIN(K$3-$O$2,$Q$2)/$Q$2))</f>
        <v>1277.82548948317</v>
      </c>
      <c r="L86" s="15" t="n">
        <f aca="false">K86*(1+IF(L$3&lt;=$O$2,$D86,$D86-($D86-$I$76)*MIN(L$3-$O$2,$Q$2)/$Q$2))</f>
        <v>1326.13767531773</v>
      </c>
      <c r="M86" s="15" t="n">
        <f aca="false">L86*(1+IF(M$3&lt;=$O$2,$D86,$D86-($D86-$I$76)*MIN(M$3-$O$2,$Q$2)/$Q$2))</f>
        <v>1366.65656873299</v>
      </c>
      <c r="N86" s="15" t="n">
        <f aca="false">M86*(1+IF(N$3&lt;=$O$2,$D86,$D86-($D86-$I$76)*MIN(N$3-$O$2,$Q$2)/$Q$2))</f>
        <v>1398.49966678447</v>
      </c>
      <c r="O86" s="15" t="n">
        <f aca="false">SUMPRODUCT(E86:N86,1/(1+$F$76)^$E$3:$N$3)*$E$2</f>
        <v>1822.86584655372</v>
      </c>
      <c r="P86" s="15" t="n">
        <f aca="false">N86*$E$2*(1+$I$76)/($F$76-$I$76)/(1+$F$76)^$N$3</f>
        <v>3761.81529963853</v>
      </c>
      <c r="Q86" s="15" t="n">
        <f aca="false">O86+P86</f>
        <v>5584.68114619226</v>
      </c>
      <c r="R86" s="15" t="n">
        <f aca="false">Q86-$G$2+$I$2</f>
        <v>5752.08114619226</v>
      </c>
      <c r="S86" s="42" t="n">
        <f aca="false">R86/$K$2</f>
        <v>163.457833083042</v>
      </c>
      <c r="T86" s="43" t="n">
        <f aca="false">S86-$M$2</f>
        <v>-1.07754628609672</v>
      </c>
    </row>
    <row r="87" customFormat="false" ht="15" hidden="false" customHeight="false" outlineLevel="0" collapsed="false">
      <c r="A87" s="5" t="n">
        <v>10</v>
      </c>
      <c r="B87" s="25" t="n">
        <f aca="false">IF(T86&gt;0,B86,D86)</f>
        <v>0.0595703125</v>
      </c>
      <c r="C87" s="25" t="n">
        <f aca="false">IF(T86&gt;0,D86,C86)</f>
        <v>0.0625</v>
      </c>
      <c r="D87" s="41" t="n">
        <f aca="false">(B87+C87)/2</f>
        <v>0.06103515625</v>
      </c>
      <c r="E87" s="15" t="n">
        <f aca="false">$C$2*(1+IF(E$3&lt;=$O$2,$D87,$D87-($D87-$I$76)*MIN(E$3-$O$2,$Q$2)/$Q$2))</f>
        <v>923.132416992188</v>
      </c>
      <c r="F87" s="15" t="n">
        <f aca="false">E87*(1+IF(F$3&lt;=$O$2,$D87,$D87-($D87-$I$76)*MIN(F$3-$O$2,$Q$2)/$Q$2))</f>
        <v>979.475948302746</v>
      </c>
      <c r="G87" s="15" t="n">
        <f aca="false">F87*(1+IF(G$3&lt;=$O$2,$D87,$D87-($D87-$I$76)*MIN(G$3-$O$2,$Q$2)/$Q$2))</f>
        <v>1039.25841585052</v>
      </c>
      <c r="H87" s="15" t="n">
        <f aca="false">G87*(1+IF(H$3&lt;=$O$2,$D87,$D87-($D87-$I$76)*MIN(H$3-$O$2,$Q$2)/$Q$2))</f>
        <v>1102.68971564608</v>
      </c>
      <c r="I87" s="15" t="n">
        <f aca="false">H87*(1+IF(I$3&lt;=$O$2,$D87,$D87-($D87-$I$76)*MIN(I$3-$O$2,$Q$2)/$Q$2))</f>
        <v>1169.99255473581</v>
      </c>
      <c r="J87" s="15" t="n">
        <f aca="false">I87*(1+IF(J$3&lt;=$O$2,$D87,$D87-($D87-$I$76)*MIN(J$3-$O$2,$Q$2)/$Q$2))</f>
        <v>1232.57326275259</v>
      </c>
      <c r="K87" s="15" t="n">
        <f aca="false">J87*(1+IF(K$3&lt;=$O$2,$D87,$D87-($D87-$I$76)*MIN(K$3-$O$2,$Q$2)/$Q$2))</f>
        <v>1289.19902657045</v>
      </c>
      <c r="L87" s="15" t="n">
        <f aca="false">K87*(1+IF(L$3&lt;=$O$2,$D87,$D87-($D87-$I$76)*MIN(L$3-$O$2,$Q$2)/$Q$2))</f>
        <v>1338.69661457154</v>
      </c>
      <c r="M87" s="15" t="n">
        <f aca="false">L87*(1+IF(M$3&lt;=$O$2,$D87,$D87-($D87-$I$76)*MIN(M$3-$O$2,$Q$2)/$Q$2))</f>
        <v>1379.99143087549</v>
      </c>
      <c r="N87" s="15" t="n">
        <f aca="false">M87*(1+IF(N$3&lt;=$O$2,$D87,$D87-($D87-$I$76)*MIN(N$3-$O$2,$Q$2)/$Q$2))</f>
        <v>1412.14523121489</v>
      </c>
      <c r="O87" s="15" t="n">
        <f aca="false">SUMPRODUCT(E87:N87,1/(1+$F$76)^$E$3:$N$3)*$E$2</f>
        <v>1834.79047675438</v>
      </c>
      <c r="P87" s="15" t="n">
        <f aca="false">N87*$E$2*(1+$I$76)/($F$76-$I$76)/(1+$F$76)^$N$3</f>
        <v>3798.52041603272</v>
      </c>
      <c r="Q87" s="15" t="n">
        <f aca="false">O87+P87</f>
        <v>5633.31089278709</v>
      </c>
      <c r="R87" s="15" t="n">
        <f aca="false">Q87-$G$2+$I$2</f>
        <v>5800.7108927871</v>
      </c>
      <c r="S87" s="42" t="n">
        <f aca="false">R87/$K$2</f>
        <v>164.839752565703</v>
      </c>
      <c r="T87" s="43" t="n">
        <f aca="false">S87-$M$2</f>
        <v>0.304373196564171</v>
      </c>
    </row>
    <row r="88" customFormat="false" ht="15" hidden="false" customHeight="false" outlineLevel="0" collapsed="false">
      <c r="A88" s="5" t="n">
        <v>11</v>
      </c>
      <c r="B88" s="25" t="n">
        <f aca="false">IF(T87&gt;0,B87,D87)</f>
        <v>0.0595703125</v>
      </c>
      <c r="C88" s="25" t="n">
        <f aca="false">IF(T87&gt;0,D87,C87)</f>
        <v>0.06103515625</v>
      </c>
      <c r="D88" s="41" t="n">
        <f aca="false">(B88+C88)/2</f>
        <v>0.060302734375</v>
      </c>
      <c r="E88" s="15" t="n">
        <f aca="false">$C$2*(1+IF(E$3&lt;=$O$2,$D88,$D88-($D88-$I$76)*MIN(E$3-$O$2,$Q$2)/$Q$2))</f>
        <v>922.495187988281</v>
      </c>
      <c r="F88" s="15" t="n">
        <f aca="false">E88*(1+IF(F$3&lt;=$O$2,$D88,$D88-($D88-$I$76)*MIN(F$3-$O$2,$Q$2)/$Q$2))</f>
        <v>978.124170271754</v>
      </c>
      <c r="G88" s="15" t="n">
        <f aca="false">F88*(1+IF(G$3&lt;=$O$2,$D88,$D88-($D88-$I$76)*MIN(G$3-$O$2,$Q$2)/$Q$2))</f>
        <v>1037.10773229742</v>
      </c>
      <c r="H88" s="15" t="n">
        <f aca="false">G88*(1+IF(H$3&lt;=$O$2,$D88,$D88-($D88-$I$76)*MIN(H$3-$O$2,$Q$2)/$Q$2))</f>
        <v>1099.64816439641</v>
      </c>
      <c r="I88" s="15" t="n">
        <f aca="false">H88*(1+IF(I$3&lt;=$O$2,$D88,$D88-($D88-$I$76)*MIN(I$3-$O$2,$Q$2)/$Q$2))</f>
        <v>1165.95995555996</v>
      </c>
      <c r="J88" s="15" t="n">
        <f aca="false">I88*(1+IF(J$3&lt;=$O$2,$D88,$D88-($D88-$I$76)*MIN(J$3-$O$2,$Q$2)/$Q$2))</f>
        <v>1227.64178774649</v>
      </c>
      <c r="K88" s="15" t="n">
        <f aca="false">J88*(1+IF(K$3&lt;=$O$2,$D88,$D88-($D88-$I$76)*MIN(K$3-$O$2,$Q$2)/$Q$2))</f>
        <v>1283.50150318876</v>
      </c>
      <c r="L88" s="15" t="n">
        <f aca="false">K88*(1+IF(L$3&lt;=$O$2,$D88,$D88-($D88-$I$76)*MIN(L$3-$O$2,$Q$2)/$Q$2))</f>
        <v>1332.40431429002</v>
      </c>
      <c r="M88" s="15" t="n">
        <f aca="false">L88*(1+IF(M$3&lt;=$O$2,$D88,$D88-($D88-$I$76)*MIN(M$3-$O$2,$Q$2)/$Q$2))</f>
        <v>1373.30985539733</v>
      </c>
      <c r="N88" s="15" t="n">
        <f aca="false">M88*(1+IF(N$3&lt;=$O$2,$D88,$D88-($D88-$I$76)*MIN(N$3-$O$2,$Q$2)/$Q$2))</f>
        <v>1405.30797502809</v>
      </c>
      <c r="O88" s="15" t="n">
        <f aca="false">SUMPRODUCT(E88:N88,1/(1+$F$76)^$E$3:$N$3)*$E$2</f>
        <v>1828.81846386792</v>
      </c>
      <c r="P88" s="15" t="n">
        <f aca="false">N88*$E$2*(1+$I$76)/($F$76-$I$76)/(1+$F$76)^$N$3</f>
        <v>3780.12892439212</v>
      </c>
      <c r="Q88" s="15" t="n">
        <f aca="false">O88+P88</f>
        <v>5608.94738826004</v>
      </c>
      <c r="R88" s="15" t="n">
        <f aca="false">Q88-$G$2+$I$2</f>
        <v>5776.34738826004</v>
      </c>
      <c r="S88" s="42" t="n">
        <f aca="false">R88/$K$2</f>
        <v>164.147410862746</v>
      </c>
      <c r="T88" s="43" t="n">
        <f aca="false">S88-$M$2</f>
        <v>-0.387968506392809</v>
      </c>
    </row>
    <row r="89" customFormat="false" ht="15" hidden="false" customHeight="false" outlineLevel="0" collapsed="false">
      <c r="A89" s="5" t="n">
        <v>12</v>
      </c>
      <c r="B89" s="25" t="n">
        <f aca="false">IF(T88&gt;0,B88,D88)</f>
        <v>0.060302734375</v>
      </c>
      <c r="C89" s="25" t="n">
        <f aca="false">IF(T88&gt;0,D88,C88)</f>
        <v>0.06103515625</v>
      </c>
      <c r="D89" s="41" t="n">
        <f aca="false">(B89+C89)/2</f>
        <v>0.0606689453125</v>
      </c>
      <c r="E89" s="15" t="n">
        <f aca="false">$C$2*(1+IF(E$3&lt;=$O$2,$D89,$D89-($D89-$I$76)*MIN(E$3-$O$2,$Q$2)/$Q$2))</f>
        <v>922.813802490234</v>
      </c>
      <c r="F89" s="15" t="n">
        <f aca="false">E89*(1+IF(F$3&lt;=$O$2,$D89,$D89-($D89-$I$76)*MIN(F$3-$O$2,$Q$2)/$Q$2))</f>
        <v>978.799942607135</v>
      </c>
      <c r="G89" s="15" t="n">
        <f aca="false">F89*(1+IF(G$3&lt;=$O$2,$D89,$D89-($D89-$I$76)*MIN(G$3-$O$2,$Q$2)/$Q$2))</f>
        <v>1038.18270279704</v>
      </c>
      <c r="H89" s="15" t="n">
        <f aca="false">G89*(1+IF(H$3&lt;=$O$2,$D89,$D89-($D89-$I$76)*MIN(H$3-$O$2,$Q$2)/$Q$2))</f>
        <v>1101.16815241742</v>
      </c>
      <c r="I89" s="15" t="n">
        <f aca="false">H89*(1+IF(I$3&lt;=$O$2,$D89,$D89-($D89-$I$76)*MIN(I$3-$O$2,$Q$2)/$Q$2))</f>
        <v>1167.9748628363</v>
      </c>
      <c r="J89" s="15" t="n">
        <f aca="false">I89*(1+IF(J$3&lt;=$O$2,$D89,$D89-($D89-$I$76)*MIN(J$3-$O$2,$Q$2)/$Q$2))</f>
        <v>1230.10546816095</v>
      </c>
      <c r="K89" s="15" t="n">
        <f aca="false">J89*(1+IF(K$3&lt;=$O$2,$D89,$D89-($D89-$I$76)*MIN(K$3-$O$2,$Q$2)/$Q$2))</f>
        <v>1286.34757195009</v>
      </c>
      <c r="L89" s="15" t="n">
        <f aca="false">K89*(1+IF(L$3&lt;=$O$2,$D89,$D89-($D89-$I$76)*MIN(L$3-$O$2,$Q$2)/$Q$2))</f>
        <v>1335.54725120415</v>
      </c>
      <c r="M89" s="15" t="n">
        <f aca="false">L89*(1+IF(M$3&lt;=$O$2,$D89,$D89-($D89-$I$76)*MIN(M$3-$O$2,$Q$2)/$Q$2))</f>
        <v>1376.64710059571</v>
      </c>
      <c r="N89" s="15" t="n">
        <f aca="false">M89*(1+IF(N$3&lt;=$O$2,$D89,$D89-($D89-$I$76)*MIN(N$3-$O$2,$Q$2)/$Q$2))</f>
        <v>1408.72297803959</v>
      </c>
      <c r="O89" s="15" t="n">
        <f aca="false">SUMPRODUCT(E89:N89,1/(1+$F$76)^$E$3:$N$3)*$E$2</f>
        <v>1831.80204220413</v>
      </c>
      <c r="P89" s="15" t="n">
        <f aca="false">N89*$E$2*(1+$I$76)/($F$76-$I$76)/(1+$F$76)^$N$3</f>
        <v>3789.31491912783</v>
      </c>
      <c r="Q89" s="15" t="n">
        <f aca="false">O89+P89</f>
        <v>5621.11696133196</v>
      </c>
      <c r="R89" s="15" t="n">
        <f aca="false">Q89-$G$2+$I$2</f>
        <v>5788.51696133196</v>
      </c>
      <c r="S89" s="42" t="n">
        <f aca="false">R89/$K$2</f>
        <v>164.49323561614</v>
      </c>
      <c r="T89" s="43" t="n">
        <f aca="false">S89-$M$2</f>
        <v>-0.0421437529992659</v>
      </c>
    </row>
    <row r="90" customFormat="false" ht="15" hidden="false" customHeight="false" outlineLevel="0" collapsed="false">
      <c r="A90" s="5" t="n">
        <v>13</v>
      </c>
      <c r="B90" s="25" t="n">
        <f aca="false">IF(T89&gt;0,B89,D89)</f>
        <v>0.0606689453125</v>
      </c>
      <c r="C90" s="25" t="n">
        <f aca="false">IF(T89&gt;0,D89,C89)</f>
        <v>0.06103515625</v>
      </c>
      <c r="D90" s="41" t="n">
        <f aca="false">(B90+C90)/2</f>
        <v>0.06085205078125</v>
      </c>
      <c r="E90" s="15" t="n">
        <f aca="false">$C$2*(1+IF(E$3&lt;=$O$2,$D90,$D90-($D90-$I$76)*MIN(E$3-$O$2,$Q$2)/$Q$2))</f>
        <v>922.973109741211</v>
      </c>
      <c r="F90" s="15" t="n">
        <f aca="false">E90*(1+IF(F$3&lt;=$O$2,$D90,$D90-($D90-$I$76)*MIN(F$3-$O$2,$Q$2)/$Q$2))</f>
        <v>979.137916284911</v>
      </c>
      <c r="G90" s="15" t="n">
        <f aca="false">F90*(1+IF(G$3&lt;=$O$2,$D90,$D90-($D90-$I$76)*MIN(G$3-$O$2,$Q$2)/$Q$2))</f>
        <v>1038.72046648853</v>
      </c>
      <c r="H90" s="15" t="n">
        <f aca="false">G90*(1+IF(H$3&lt;=$O$2,$D90,$D90-($D90-$I$76)*MIN(H$3-$O$2,$Q$2)/$Q$2))</f>
        <v>1101.92873706281</v>
      </c>
      <c r="I90" s="15" t="n">
        <f aca="false">H90*(1+IF(I$3&lt;=$O$2,$D90,$D90-($D90-$I$76)*MIN(I$3-$O$2,$Q$2)/$Q$2))</f>
        <v>1168.98336052788</v>
      </c>
      <c r="J90" s="15" t="n">
        <f aca="false">I90*(1+IF(J$3&lt;=$O$2,$D90,$D90-($D90-$I$76)*MIN(J$3-$O$2,$Q$2)/$Q$2))</f>
        <v>1231.33885084176</v>
      </c>
      <c r="K90" s="15" t="n">
        <f aca="false">J90*(1+IF(K$3&lt;=$O$2,$D90,$D90-($D90-$I$76)*MIN(K$3-$O$2,$Q$2)/$Q$2))</f>
        <v>1287.77262549981</v>
      </c>
      <c r="L90" s="15" t="n">
        <f aca="false">K90*(1+IF(L$3&lt;=$O$2,$D90,$D90-($D90-$I$76)*MIN(L$3-$O$2,$Q$2)/$Q$2))</f>
        <v>1337.12112888495</v>
      </c>
      <c r="M90" s="15" t="n">
        <f aca="false">L90*(1+IF(M$3&lt;=$O$2,$D90,$D90-($D90-$I$76)*MIN(M$3-$O$2,$Q$2)/$Q$2))</f>
        <v>1378.31837929448</v>
      </c>
      <c r="N90" s="15" t="n">
        <f aca="false">M90*(1+IF(N$3&lt;=$O$2,$D90,$D90-($D90-$I$76)*MIN(N$3-$O$2,$Q$2)/$Q$2))</f>
        <v>1410.43319753204</v>
      </c>
      <c r="O90" s="15" t="n">
        <f aca="false">SUMPRODUCT(E90:N90,1/(1+$F$76)^$E$3:$N$3)*$E$2</f>
        <v>1833.29565199441</v>
      </c>
      <c r="P90" s="15" t="n">
        <f aca="false">N90*$E$2*(1+$I$76)/($F$76-$I$76)/(1+$F$76)^$N$3</f>
        <v>3793.91522759071</v>
      </c>
      <c r="Q90" s="15" t="n">
        <f aca="false">O90+P90</f>
        <v>5627.21087958512</v>
      </c>
      <c r="R90" s="15" t="n">
        <f aca="false">Q90-$G$2+$I$2</f>
        <v>5794.61087958512</v>
      </c>
      <c r="S90" s="42" t="n">
        <f aca="false">R90/$K$2</f>
        <v>164.666407490342</v>
      </c>
      <c r="T90" s="43" t="n">
        <f aca="false">S90-$M$2</f>
        <v>0.131028121202576</v>
      </c>
    </row>
    <row r="91" customFormat="false" ht="15" hidden="false" customHeight="false" outlineLevel="0" collapsed="false">
      <c r="A91" s="5" t="n">
        <v>14</v>
      </c>
      <c r="B91" s="25" t="n">
        <f aca="false">IF(T90&gt;0,B90,D90)</f>
        <v>0.0606689453125</v>
      </c>
      <c r="C91" s="25" t="n">
        <f aca="false">IF(T90&gt;0,D90,C90)</f>
        <v>0.06085205078125</v>
      </c>
      <c r="D91" s="41" t="n">
        <f aca="false">(B91+C91)/2</f>
        <v>0.060760498046875</v>
      </c>
      <c r="E91" s="15" t="n">
        <f aca="false">$C$2*(1+IF(E$3&lt;=$O$2,$D91,$D91-($D91-$I$76)*MIN(E$3-$O$2,$Q$2)/$Q$2))</f>
        <v>922.893456115723</v>
      </c>
      <c r="F91" s="15" t="n">
        <f aca="false">E91*(1+IF(F$3&lt;=$O$2,$D91,$D91-($D91-$I$76)*MIN(F$3-$O$2,$Q$2)/$Q$2))</f>
        <v>978.968922153516</v>
      </c>
      <c r="G91" s="15" t="n">
        <f aca="false">F91*(1+IF(G$3&lt;=$O$2,$D91,$D91-($D91-$I$76)*MIN(G$3-$O$2,$Q$2)/$Q$2))</f>
        <v>1038.45156143598</v>
      </c>
      <c r="H91" s="15" t="n">
        <f aca="false">G91*(1+IF(H$3&lt;=$O$2,$D91,$D91-($D91-$I$76)*MIN(H$3-$O$2,$Q$2)/$Q$2))</f>
        <v>1101.54839550638</v>
      </c>
      <c r="I91" s="15" t="n">
        <f aca="false">H91*(1+IF(I$3&lt;=$O$2,$D91,$D91-($D91-$I$76)*MIN(I$3-$O$2,$Q$2)/$Q$2))</f>
        <v>1168.47902464008</v>
      </c>
      <c r="J91" s="15" t="n">
        <f aca="false">I91*(1+IF(J$3&lt;=$O$2,$D91,$D91-($D91-$I$76)*MIN(J$3-$O$2,$Q$2)/$Q$2))</f>
        <v>1230.72203089047</v>
      </c>
      <c r="K91" s="15" t="n">
        <f aca="false">J91*(1+IF(K$3&lt;=$O$2,$D91,$D91-($D91-$I$76)*MIN(K$3-$O$2,$Q$2)/$Q$2))</f>
        <v>1287.05993035087</v>
      </c>
      <c r="L91" s="15" t="n">
        <f aca="false">K91*(1+IF(L$3&lt;=$O$2,$D91,$D91-($D91-$I$76)*MIN(L$3-$O$2,$Q$2)/$Q$2))</f>
        <v>1336.3339891309</v>
      </c>
      <c r="M91" s="15" t="n">
        <f aca="false">L91*(1+IF(M$3&lt;=$O$2,$D91,$D91-($D91-$I$76)*MIN(M$3-$O$2,$Q$2)/$Q$2))</f>
        <v>1377.48251843561</v>
      </c>
      <c r="N91" s="15" t="n">
        <f aca="false">M91*(1+IF(N$3&lt;=$O$2,$D91,$D91-($D91-$I$76)*MIN(N$3-$O$2,$Q$2)/$Q$2))</f>
        <v>1409.57786111516</v>
      </c>
      <c r="O91" s="15" t="n">
        <f aca="false">SUMPRODUCT(E91:N91,1/(1+$F$76)^$E$3:$N$3)*$E$2</f>
        <v>1832.54869528534</v>
      </c>
      <c r="P91" s="15" t="n">
        <f aca="false">N91*$E$2*(1+$I$76)/($F$76-$I$76)/(1+$F$76)^$N$3</f>
        <v>3791.61446363931</v>
      </c>
      <c r="Q91" s="15" t="n">
        <f aca="false">O91+P91</f>
        <v>5624.16315892465</v>
      </c>
      <c r="R91" s="15" t="n">
        <f aca="false">Q91-$G$2+$I$2</f>
        <v>5791.56315892465</v>
      </c>
      <c r="S91" s="42" t="n">
        <f aca="false">R91/$K$2</f>
        <v>164.579799912607</v>
      </c>
      <c r="T91" s="43" t="n">
        <f aca="false">S91-$M$2</f>
        <v>0.044420543468334</v>
      </c>
    </row>
    <row r="92" customFormat="false" ht="15" hidden="false" customHeight="false" outlineLevel="0" collapsed="false">
      <c r="A92" s="5" t="n">
        <v>15</v>
      </c>
      <c r="B92" s="25" t="n">
        <f aca="false">IF(T91&gt;0,B91,D91)</f>
        <v>0.0606689453125</v>
      </c>
      <c r="C92" s="25" t="n">
        <f aca="false">IF(T91&gt;0,D91,C91)</f>
        <v>0.060760498046875</v>
      </c>
      <c r="D92" s="41" t="n">
        <f aca="false">(B92+C92)/2</f>
        <v>0.0607147216796875</v>
      </c>
      <c r="E92" s="15" t="n">
        <f aca="false">$C$2*(1+IF(E$3&lt;=$O$2,$D92,$D92-($D92-$I$76)*MIN(E$3-$O$2,$Q$2)/$Q$2))</f>
        <v>922.853629302978</v>
      </c>
      <c r="F92" s="15" t="n">
        <f aca="false">E92*(1+IF(F$3&lt;=$O$2,$D92,$D92-($D92-$I$76)*MIN(F$3-$O$2,$Q$2)/$Q$2))</f>
        <v>978.884430557198</v>
      </c>
      <c r="G92" s="15" t="n">
        <f aca="false">F92*(1+IF(G$3&lt;=$O$2,$D92,$D92-($D92-$I$76)*MIN(G$3-$O$2,$Q$2)/$Q$2))</f>
        <v>1038.31712631506</v>
      </c>
      <c r="H92" s="15" t="n">
        <f aca="false">G92*(1+IF(H$3&lt;=$O$2,$D92,$D92-($D92-$I$76)*MIN(H$3-$O$2,$Q$2)/$Q$2))</f>
        <v>1101.35826165453</v>
      </c>
      <c r="I92" s="15" t="n">
        <f aca="false">H92*(1+IF(I$3&lt;=$O$2,$D92,$D92-($D92-$I$76)*MIN(I$3-$O$2,$Q$2)/$Q$2))</f>
        <v>1168.22692198051</v>
      </c>
      <c r="J92" s="15" t="n">
        <f aca="false">I92*(1+IF(J$3&lt;=$O$2,$D92,$D92-($D92-$I$76)*MIN(J$3-$O$2,$Q$2)/$Q$2))</f>
        <v>1230.41371737835</v>
      </c>
      <c r="K92" s="15" t="n">
        <f aca="false">J92*(1+IF(K$3&lt;=$O$2,$D92,$D92-($D92-$I$76)*MIN(K$3-$O$2,$Q$2)/$Q$2))</f>
        <v>1286.70370906521</v>
      </c>
      <c r="L92" s="15" t="n">
        <f aca="false">K92*(1+IF(L$3&lt;=$O$2,$D92,$D92-($D92-$I$76)*MIN(L$3-$O$2,$Q$2)/$Q$2))</f>
        <v>1335.94056994999</v>
      </c>
      <c r="M92" s="15" t="n">
        <f aca="false">L92*(1+IF(M$3&lt;=$O$2,$D92,$D92-($D92-$I$76)*MIN(M$3-$O$2,$Q$2)/$Q$2))</f>
        <v>1377.06475415088</v>
      </c>
      <c r="N92" s="15" t="n">
        <f aca="false">M92*(1+IF(N$3&lt;=$O$2,$D92,$D92-($D92-$I$76)*MIN(N$3-$O$2,$Q$2)/$Q$2))</f>
        <v>1409.1503629226</v>
      </c>
      <c r="O92" s="15" t="n">
        <f aca="false">SUMPRODUCT(E92:N92,1/(1+$F$76)^$E$3:$N$3)*$E$2</f>
        <v>1832.17533079841</v>
      </c>
      <c r="P92" s="15" t="n">
        <f aca="false">N92*$E$2*(1+$I$76)/($F$76-$I$76)/(1+$F$76)^$N$3</f>
        <v>3790.46453898825</v>
      </c>
      <c r="Q92" s="15" t="n">
        <f aca="false">O92+P92</f>
        <v>5622.63986978666</v>
      </c>
      <c r="R92" s="15" t="n">
        <f aca="false">Q92-$G$2+$I$2</f>
        <v>5790.03986978666</v>
      </c>
      <c r="S92" s="42" t="n">
        <f aca="false">R92/$K$2</f>
        <v>164.536512355404</v>
      </c>
      <c r="T92" s="43" t="n">
        <f aca="false">S92-$M$2</f>
        <v>0.00113298626484948</v>
      </c>
    </row>
    <row r="93" customFormat="false" ht="15" hidden="false" customHeight="false" outlineLevel="0" collapsed="false">
      <c r="A93" s="5" t="n">
        <v>16</v>
      </c>
      <c r="B93" s="25" t="n">
        <f aca="false">IF(T92&gt;0,B92,D92)</f>
        <v>0.0606689453125</v>
      </c>
      <c r="C93" s="25" t="n">
        <f aca="false">IF(T92&gt;0,D92,C92)</f>
        <v>0.0607147216796875</v>
      </c>
      <c r="D93" s="41" t="n">
        <f aca="false">(B93+C93)/2</f>
        <v>0.0606918334960938</v>
      </c>
      <c r="E93" s="15" t="n">
        <f aca="false">$C$2*(1+IF(E$3&lt;=$O$2,$D93,$D93-($D93-$I$76)*MIN(E$3-$O$2,$Q$2)/$Q$2))</f>
        <v>922.833715896607</v>
      </c>
      <c r="F93" s="15" t="n">
        <f aca="false">E93*(1+IF(F$3&lt;=$O$2,$D93,$D93-($D93-$I$76)*MIN(F$3-$O$2,$Q$2)/$Q$2))</f>
        <v>978.842186126385</v>
      </c>
      <c r="G93" s="15" t="n">
        <f aca="false">F93*(1+IF(G$3&lt;=$O$2,$D93,$D93-($D93-$I$76)*MIN(G$3-$O$2,$Q$2)/$Q$2))</f>
        <v>1038.24991310572</v>
      </c>
      <c r="H93" s="15" t="n">
        <f aca="false">G93*(1+IF(H$3&lt;=$O$2,$D93,$D93-($D93-$I$76)*MIN(H$3-$O$2,$Q$2)/$Q$2))</f>
        <v>1101.26320395927</v>
      </c>
      <c r="I93" s="15" t="n">
        <f aca="false">H93*(1+IF(I$3&lt;=$O$2,$D93,$D93-($D93-$I$76)*MIN(I$3-$O$2,$Q$2)/$Q$2))</f>
        <v>1168.10088696934</v>
      </c>
      <c r="J93" s="15" t="n">
        <f aca="false">I93*(1+IF(J$3&lt;=$O$2,$D93,$D93-($D93-$I$76)*MIN(J$3-$O$2,$Q$2)/$Q$2))</f>
        <v>1230.25958473348</v>
      </c>
      <c r="K93" s="15" t="n">
        <f aca="false">J93*(1+IF(K$3&lt;=$O$2,$D93,$D93-($D93-$I$76)*MIN(K$3-$O$2,$Q$2)/$Q$2))</f>
        <v>1286.52562998737</v>
      </c>
      <c r="L93" s="15" t="n">
        <f aca="false">K93*(1+IF(L$3&lt;=$O$2,$D93,$D93-($D93-$I$76)*MIN(L$3-$O$2,$Q$2)/$Q$2))</f>
        <v>1335.74389802405</v>
      </c>
      <c r="M93" s="15" t="n">
        <f aca="false">L93*(1+IF(M$3&lt;=$O$2,$D93,$D93-($D93-$I$76)*MIN(M$3-$O$2,$Q$2)/$Q$2))</f>
        <v>1376.85591353368</v>
      </c>
      <c r="N93" s="15" t="n">
        <f aca="false">M93*(1+IF(N$3&lt;=$O$2,$D93,$D93-($D93-$I$76)*MIN(N$3-$O$2,$Q$2)/$Q$2))</f>
        <v>1408.93665631901</v>
      </c>
      <c r="O93" s="15" t="n">
        <f aca="false">SUMPRODUCT(E93:N93,1/(1+$F$76)^$E$3:$N$3)*$E$2</f>
        <v>1831.98867701559</v>
      </c>
      <c r="P93" s="15" t="n">
        <f aca="false">N93*$E$2*(1+$I$76)/($F$76-$I$76)/(1+$F$76)^$N$3</f>
        <v>3789.88969096354</v>
      </c>
      <c r="Q93" s="15" t="n">
        <f aca="false">O93+P93</f>
        <v>5621.87836797913</v>
      </c>
      <c r="R93" s="15" t="n">
        <f aca="false">Q93-$G$2+$I$2</f>
        <v>5789.27836797913</v>
      </c>
      <c r="S93" s="42" t="n">
        <f aca="false">R93/$K$2</f>
        <v>164.514872633678</v>
      </c>
      <c r="T93" s="43" t="n">
        <f aca="false">S93-$M$2</f>
        <v>-0.0205067354610549</v>
      </c>
    </row>
    <row r="94" customFormat="false" ht="15" hidden="false" customHeight="false" outlineLevel="0" collapsed="false">
      <c r="A94" s="5" t="n">
        <v>17</v>
      </c>
      <c r="B94" s="25" t="n">
        <f aca="false">IF(T93&gt;0,B93,D93)</f>
        <v>0.0606918334960938</v>
      </c>
      <c r="C94" s="25" t="n">
        <f aca="false">IF(T93&gt;0,D93,C93)</f>
        <v>0.0607147216796875</v>
      </c>
      <c r="D94" s="41" t="n">
        <f aca="false">(B94+C94)/2</f>
        <v>0.0607032775878906</v>
      </c>
      <c r="E94" s="15" t="n">
        <f aca="false">$C$2*(1+IF(E$3&lt;=$O$2,$D94,$D94-($D94-$I$76)*MIN(E$3-$O$2,$Q$2)/$Q$2))</f>
        <v>922.843672599792</v>
      </c>
      <c r="F94" s="15" t="n">
        <f aca="false">E94*(1+IF(F$3&lt;=$O$2,$D94,$D94-($D94-$I$76)*MIN(F$3-$O$2,$Q$2)/$Q$2))</f>
        <v>978.863308227846</v>
      </c>
      <c r="G94" s="15" t="n">
        <f aca="false">F94*(1+IF(G$3&lt;=$O$2,$D94,$D94-($D94-$I$76)*MIN(G$3-$O$2,$Q$2)/$Q$2))</f>
        <v>1038.2835193478</v>
      </c>
      <c r="H94" s="15" t="n">
        <f aca="false">G94*(1+IF(H$3&lt;=$O$2,$D94,$D94-($D94-$I$76)*MIN(H$3-$O$2,$Q$2)/$Q$2))</f>
        <v>1101.3107320377</v>
      </c>
      <c r="I94" s="15" t="n">
        <f aca="false">H94*(1+IF(I$3&lt;=$O$2,$D94,$D94-($D94-$I$76)*MIN(I$3-$O$2,$Q$2)/$Q$2))</f>
        <v>1168.16390311511</v>
      </c>
      <c r="J94" s="15" t="n">
        <f aca="false">I94*(1+IF(J$3&lt;=$O$2,$D94,$D94-($D94-$I$76)*MIN(J$3-$O$2,$Q$2)/$Q$2))</f>
        <v>1230.33664904679</v>
      </c>
      <c r="K94" s="15" t="n">
        <f aca="false">J94*(1+IF(K$3&lt;=$O$2,$D94,$D94-($D94-$I$76)*MIN(K$3-$O$2,$Q$2)/$Q$2))</f>
        <v>1286.61466689609</v>
      </c>
      <c r="L94" s="15" t="n">
        <f aca="false">K94*(1+IF(L$3&lt;=$O$2,$D94,$D94-($D94-$I$76)*MIN(L$3-$O$2,$Q$2)/$Q$2))</f>
        <v>1335.84223084859</v>
      </c>
      <c r="M94" s="15" t="n">
        <f aca="false">L94*(1+IF(M$3&lt;=$O$2,$D94,$D94-($D94-$I$76)*MIN(M$3-$O$2,$Q$2)/$Q$2))</f>
        <v>1376.96033038218</v>
      </c>
      <c r="N94" s="15" t="n">
        <f aca="false">M94*(1+IF(N$3&lt;=$O$2,$D94,$D94-($D94-$I$76)*MIN(N$3-$O$2,$Q$2)/$Q$2))</f>
        <v>1409.04350608008</v>
      </c>
      <c r="O94" s="15" t="n">
        <f aca="false">SUMPRODUCT(E94:N94,1/(1+$F$76)^$E$3:$N$3)*$E$2</f>
        <v>1832.08200153547</v>
      </c>
      <c r="P94" s="15" t="n">
        <f aca="false">N94*$E$2*(1+$I$76)/($F$76-$I$76)/(1+$F$76)^$N$3</f>
        <v>3790.17710545173</v>
      </c>
      <c r="Q94" s="15" t="n">
        <f aca="false">O94+P94</f>
        <v>5622.25910698719</v>
      </c>
      <c r="R94" s="15" t="n">
        <f aca="false">Q94-$G$2+$I$2</f>
        <v>5789.65910698719</v>
      </c>
      <c r="S94" s="42" t="n">
        <f aca="false">R94/$K$2</f>
        <v>164.525692156499</v>
      </c>
      <c r="T94" s="43" t="n">
        <f aca="false">S94-$M$2</f>
        <v>-0.00968721264015926</v>
      </c>
    </row>
    <row r="95" customFormat="false" ht="15" hidden="false" customHeight="false" outlineLevel="0" collapsed="false">
      <c r="A95" s="5" t="n">
        <v>18</v>
      </c>
      <c r="B95" s="25" t="n">
        <f aca="false">IF(T94&gt;0,B94,D94)</f>
        <v>0.0607032775878906</v>
      </c>
      <c r="C95" s="25" t="n">
        <f aca="false">IF(T94&gt;0,D94,C94)</f>
        <v>0.0607147216796875</v>
      </c>
      <c r="D95" s="41" t="n">
        <f aca="false">(B95+C95)/2</f>
        <v>0.0607089996337891</v>
      </c>
      <c r="E95" s="15" t="n">
        <f aca="false">$C$2*(1+IF(E$3&lt;=$O$2,$D95,$D95-($D95-$I$76)*MIN(E$3-$O$2,$Q$2)/$Q$2))</f>
        <v>922.848650951386</v>
      </c>
      <c r="F95" s="15" t="n">
        <f aca="false">E95*(1+IF(F$3&lt;=$O$2,$D95,$D95-($D95-$I$76)*MIN(F$3-$O$2,$Q$2)/$Q$2))</f>
        <v>978.873869364036</v>
      </c>
      <c r="G95" s="15" t="n">
        <f aca="false">F95*(1+IF(G$3&lt;=$O$2,$D95,$D95-($D95-$I$76)*MIN(G$3-$O$2,$Q$2)/$Q$2))</f>
        <v>1038.30032274078</v>
      </c>
      <c r="H95" s="15" t="n">
        <f aca="false">G95*(1+IF(H$3&lt;=$O$2,$D95,$D95-($D95-$I$76)*MIN(H$3-$O$2,$Q$2)/$Q$2))</f>
        <v>1101.33449665382</v>
      </c>
      <c r="I95" s="15" t="n">
        <f aca="false">H95*(1+IF(I$3&lt;=$O$2,$D95,$D95-($D95-$I$76)*MIN(I$3-$O$2,$Q$2)/$Q$2))</f>
        <v>1168.19541220785</v>
      </c>
      <c r="J95" s="15" t="n">
        <f aca="false">I95*(1+IF(J$3&lt;=$O$2,$D95,$D95-($D95-$I$76)*MIN(J$3-$O$2,$Q$2)/$Q$2))</f>
        <v>1230.37518271028</v>
      </c>
      <c r="K95" s="15" t="n">
        <f aca="false">J95*(1+IF(K$3&lt;=$O$2,$D95,$D95-($D95-$I$76)*MIN(K$3-$O$2,$Q$2)/$Q$2))</f>
        <v>1286.65918732309</v>
      </c>
      <c r="L95" s="15" t="n">
        <f aca="false">K95*(1+IF(L$3&lt;=$O$2,$D95,$D95-($D95-$I$76)*MIN(L$3-$O$2,$Q$2)/$Q$2))</f>
        <v>1335.89139961467</v>
      </c>
      <c r="M95" s="15" t="n">
        <f aca="false">L95*(1+IF(M$3&lt;=$O$2,$D95,$D95-($D95-$I$76)*MIN(M$3-$O$2,$Q$2)/$Q$2))</f>
        <v>1377.01254140148</v>
      </c>
      <c r="N95" s="15" t="n">
        <f aca="false">M95*(1+IF(N$3&lt;=$O$2,$D95,$D95-($D95-$I$76)*MIN(N$3-$O$2,$Q$2)/$Q$2))</f>
        <v>1409.09693361614</v>
      </c>
      <c r="O95" s="15" t="n">
        <f aca="false">SUMPRODUCT(E95:N95,1/(1+$F$76)^$E$3:$N$3)*$E$2</f>
        <v>1832.12866557404</v>
      </c>
      <c r="P95" s="15" t="n">
        <f aca="false">N95*$E$2*(1+$I$76)/($F$76-$I$76)/(1+$F$76)^$N$3</f>
        <v>3790.32081983888</v>
      </c>
      <c r="Q95" s="15" t="n">
        <f aca="false">O95+P95</f>
        <v>5622.44948541292</v>
      </c>
      <c r="R95" s="15" t="n">
        <f aca="false">Q95-$G$2+$I$2</f>
        <v>5789.84948541292</v>
      </c>
      <c r="S95" s="42" t="n">
        <f aca="false">R95/$K$2</f>
        <v>164.531102171439</v>
      </c>
      <c r="T95" s="43" t="n">
        <f aca="false">S95-$M$2</f>
        <v>-0.00427719770044632</v>
      </c>
    </row>
    <row r="96" customFormat="false" ht="15" hidden="false" customHeight="false" outlineLevel="0" collapsed="false">
      <c r="A96" s="5" t="n">
        <v>19</v>
      </c>
      <c r="B96" s="25" t="n">
        <f aca="false">IF(T95&gt;0,B95,D95)</f>
        <v>0.0607089996337891</v>
      </c>
      <c r="C96" s="25" t="n">
        <f aca="false">IF(T95&gt;0,D95,C95)</f>
        <v>0.0607147216796875</v>
      </c>
      <c r="D96" s="41" t="n">
        <f aca="false">(B96+C96)/2</f>
        <v>0.0607118606567383</v>
      </c>
      <c r="E96" s="15" t="n">
        <f aca="false">$C$2*(1+IF(E$3&lt;=$O$2,$D96,$D96-($D96-$I$76)*MIN(E$3-$O$2,$Q$2)/$Q$2))</f>
        <v>922.851140127182</v>
      </c>
      <c r="F96" s="15" t="n">
        <f aca="false">E96*(1+IF(F$3&lt;=$O$2,$D96,$D96-($D96-$I$76)*MIN(F$3-$O$2,$Q$2)/$Q$2))</f>
        <v>978.879149953496</v>
      </c>
      <c r="G96" s="15" t="n">
        <f aca="false">F96*(1+IF(G$3&lt;=$O$2,$D96,$D96-($D96-$I$76)*MIN(G$3-$O$2,$Q$2)/$Q$2))</f>
        <v>1038.30872450526</v>
      </c>
      <c r="H96" s="15" t="n">
        <f aca="false">G96*(1+IF(H$3&lt;=$O$2,$D96,$D96-($D96-$I$76)*MIN(H$3-$O$2,$Q$2)/$Q$2))</f>
        <v>1101.3463791061</v>
      </c>
      <c r="I96" s="15" t="n">
        <f aca="false">H96*(1+IF(I$3&lt;=$O$2,$D96,$D96-($D96-$I$76)*MIN(I$3-$O$2,$Q$2)/$Q$2))</f>
        <v>1168.21116700919</v>
      </c>
      <c r="J96" s="15" t="n">
        <f aca="false">I96*(1+IF(J$3&lt;=$O$2,$D96,$D96-($D96-$I$76)*MIN(J$3-$O$2,$Q$2)/$Q$2))</f>
        <v>1230.39444991874</v>
      </c>
      <c r="K96" s="15" t="n">
        <f aca="false">J96*(1+IF(K$3&lt;=$O$2,$D96,$D96-($D96-$I$76)*MIN(K$3-$O$2,$Q$2)/$Q$2))</f>
        <v>1286.68144802976</v>
      </c>
      <c r="L96" s="15" t="n">
        <f aca="false">K96*(1+IF(L$3&lt;=$O$2,$D96,$D96-($D96-$I$76)*MIN(L$3-$O$2,$Q$2)/$Q$2))</f>
        <v>1335.91598458617</v>
      </c>
      <c r="M96" s="15" t="n">
        <f aca="false">L96*(1+IF(M$3&lt;=$O$2,$D96,$D96-($D96-$I$76)*MIN(M$3-$O$2,$Q$2)/$Q$2))</f>
        <v>1377.03864755992</v>
      </c>
      <c r="N96" s="15" t="n">
        <f aca="false">M96*(1+IF(N$3&lt;=$O$2,$D96,$D96-($D96-$I$76)*MIN(N$3-$O$2,$Q$2)/$Q$2))</f>
        <v>1409.12364804806</v>
      </c>
      <c r="O96" s="15" t="n">
        <f aca="false">SUMPRODUCT(E96:N96,1/(1+$F$76)^$E$3:$N$3)*$E$2</f>
        <v>1832.151998038</v>
      </c>
      <c r="P96" s="15" t="n">
        <f aca="false">N96*$E$2*(1+$I$76)/($F$76-$I$76)/(1+$F$76)^$N$3</f>
        <v>3790.39267881828</v>
      </c>
      <c r="Q96" s="15" t="n">
        <f aca="false">O96+P96</f>
        <v>5622.54467685628</v>
      </c>
      <c r="R96" s="15" t="n">
        <f aca="false">Q96-$G$2+$I$2</f>
        <v>5789.94467685628</v>
      </c>
      <c r="S96" s="42" t="n">
        <f aca="false">R96/$K$2</f>
        <v>164.533807242293</v>
      </c>
      <c r="T96" s="43" t="n">
        <f aca="false">S96-$M$2</f>
        <v>-0.00157212684629826</v>
      </c>
    </row>
    <row r="97" customFormat="false" ht="15" hidden="false" customHeight="false" outlineLevel="0" collapsed="false">
      <c r="A97" s="5" t="n">
        <v>20</v>
      </c>
      <c r="B97" s="25" t="n">
        <f aca="false">IF(T96&gt;0,B96,D96)</f>
        <v>0.0607118606567383</v>
      </c>
      <c r="C97" s="25" t="n">
        <f aca="false">IF(T96&gt;0,D96,C96)</f>
        <v>0.0607147216796875</v>
      </c>
      <c r="D97" s="41" t="n">
        <f aca="false">(B97+C97)/2</f>
        <v>0.0607132911682129</v>
      </c>
      <c r="E97" s="15" t="n">
        <f aca="false">$C$2*(1+IF(E$3&lt;=$O$2,$D97,$D97-($D97-$I$76)*MIN(E$3-$O$2,$Q$2)/$Q$2))</f>
        <v>922.85238471508</v>
      </c>
      <c r="F97" s="15" t="n">
        <f aca="false">E97*(1+IF(F$3&lt;=$O$2,$D97,$D97-($D97-$I$76)*MIN(F$3-$O$2,$Q$2)/$Q$2))</f>
        <v>978.881790253567</v>
      </c>
      <c r="G97" s="15" t="n">
        <f aca="false">F97*(1+IF(G$3&lt;=$O$2,$D97,$D97-($D97-$I$76)*MIN(G$3-$O$2,$Q$2)/$Q$2))</f>
        <v>1038.31292540449</v>
      </c>
      <c r="H97" s="15" t="n">
        <f aca="false">G97*(1+IF(H$3&lt;=$O$2,$D97,$D97-($D97-$I$76)*MIN(H$3-$O$2,$Q$2)/$Q$2))</f>
        <v>1101.35232036829</v>
      </c>
      <c r="I97" s="15" t="n">
        <f aca="false">H97*(1+IF(I$3&lt;=$O$2,$D97,$D97-($D97-$I$76)*MIN(I$3-$O$2,$Q$2)/$Q$2))</f>
        <v>1168.2190444736</v>
      </c>
      <c r="J97" s="15" t="n">
        <f aca="false">I97*(1+IF(J$3&lt;=$O$2,$D97,$D97-($D97-$I$76)*MIN(J$3-$O$2,$Q$2)/$Q$2))</f>
        <v>1230.40408361715</v>
      </c>
      <c r="K97" s="15" t="n">
        <f aca="false">J97*(1+IF(K$3&lt;=$O$2,$D97,$D97-($D97-$I$76)*MIN(K$3-$O$2,$Q$2)/$Q$2))</f>
        <v>1286.69257850639</v>
      </c>
      <c r="L97" s="15" t="n">
        <f aca="false">K97*(1+IF(L$3&lt;=$O$2,$D97,$D97-($D97-$I$76)*MIN(L$3-$O$2,$Q$2)/$Q$2))</f>
        <v>1335.92827721904</v>
      </c>
      <c r="M97" s="15" t="n">
        <f aca="false">L97*(1+IF(M$3&lt;=$O$2,$D97,$D97-($D97-$I$76)*MIN(M$3-$O$2,$Q$2)/$Q$2))</f>
        <v>1377.05170080133</v>
      </c>
      <c r="N97" s="15" t="n">
        <f aca="false">M97*(1+IF(N$3&lt;=$O$2,$D97,$D97-($D97-$I$76)*MIN(N$3-$O$2,$Q$2)/$Q$2))</f>
        <v>1409.13700543</v>
      </c>
      <c r="O97" s="15" t="n">
        <f aca="false">SUMPRODUCT(E97:N97,1/(1+$F$76)^$E$3:$N$3)*$E$2</f>
        <v>1832.16366438115</v>
      </c>
      <c r="P97" s="15" t="n">
        <f aca="false">N97*$E$2*(1+$I$76)/($F$76-$I$76)/(1+$F$76)^$N$3</f>
        <v>3790.42860875444</v>
      </c>
      <c r="Q97" s="15" t="n">
        <f aca="false">O97+P97</f>
        <v>5622.59227313559</v>
      </c>
      <c r="R97" s="15" t="n">
        <f aca="false">Q97-$G$2+$I$2</f>
        <v>5789.99227313559</v>
      </c>
      <c r="S97" s="42" t="n">
        <f aca="false">R97/$K$2</f>
        <v>164.535159793566</v>
      </c>
      <c r="T97" s="43" t="n">
        <f aca="false">S97-$M$2</f>
        <v>-0.000219575572884878</v>
      </c>
    </row>
    <row r="98" customFormat="false" ht="15" hidden="false" customHeight="false" outlineLevel="0" collapsed="false">
      <c r="A98" s="5" t="n">
        <v>21</v>
      </c>
      <c r="B98" s="25" t="n">
        <f aca="false">IF(T97&gt;0,B97,D97)</f>
        <v>0.0607132911682129</v>
      </c>
      <c r="C98" s="25" t="n">
        <f aca="false">IF(T97&gt;0,D97,C97)</f>
        <v>0.0607147216796875</v>
      </c>
      <c r="D98" s="41" t="n">
        <f aca="false">(B98+C98)/2</f>
        <v>0.0607140064239502</v>
      </c>
      <c r="E98" s="15" t="n">
        <f aca="false">$C$2*(1+IF(E$3&lt;=$O$2,$D98,$D98-($D98-$I$76)*MIN(E$3-$O$2,$Q$2)/$Q$2))</f>
        <v>922.853007009029</v>
      </c>
      <c r="F98" s="15" t="n">
        <f aca="false">E98*(1+IF(F$3&lt;=$O$2,$D98,$D98-($D98-$I$76)*MIN(F$3-$O$2,$Q$2)/$Q$2))</f>
        <v>978.883110404937</v>
      </c>
      <c r="G98" s="15" t="n">
        <f aca="false">F98*(1+IF(G$3&lt;=$O$2,$D98,$D98-($D98-$I$76)*MIN(G$3-$O$2,$Q$2)/$Q$2))</f>
        <v>1038.31502585836</v>
      </c>
      <c r="H98" s="15" t="n">
        <f aca="false">G98*(1+IF(H$3&lt;=$O$2,$D98,$D98-($D98-$I$76)*MIN(H$3-$O$2,$Q$2)/$Q$2))</f>
        <v>1101.35529100841</v>
      </c>
      <c r="I98" s="15" t="n">
        <f aca="false">H98*(1+IF(I$3&lt;=$O$2,$D98,$D98-($D98-$I$76)*MIN(I$3-$O$2,$Q$2)/$Q$2))</f>
        <v>1168.22298322174</v>
      </c>
      <c r="J98" s="15" t="n">
        <f aca="false">I98*(1+IF(J$3&lt;=$O$2,$D98,$D98-($D98-$I$76)*MIN(J$3-$O$2,$Q$2)/$Q$2))</f>
        <v>1230.4089004899</v>
      </c>
      <c r="K98" s="15" t="n">
        <f aca="false">J98*(1+IF(K$3&lt;=$O$2,$D98,$D98-($D98-$I$76)*MIN(K$3-$O$2,$Q$2)/$Q$2))</f>
        <v>1286.69814377553</v>
      </c>
      <c r="L98" s="15" t="n">
        <f aca="false">K98*(1+IF(L$3&lt;=$O$2,$D98,$D98-($D98-$I$76)*MIN(L$3-$O$2,$Q$2)/$Q$2))</f>
        <v>1335.93442357226</v>
      </c>
      <c r="M98" s="15" t="n">
        <f aca="false">L98*(1+IF(M$3&lt;=$O$2,$D98,$D98-($D98-$I$76)*MIN(M$3-$O$2,$Q$2)/$Q$2))</f>
        <v>1377.05822746259</v>
      </c>
      <c r="N98" s="15" t="n">
        <f aca="false">M98*(1+IF(N$3&lt;=$O$2,$D98,$D98-($D98-$I$76)*MIN(N$3-$O$2,$Q$2)/$Q$2))</f>
        <v>1409.14368416247</v>
      </c>
      <c r="O98" s="15" t="n">
        <f aca="false">SUMPRODUCT(E98:N98,1/(1+$F$76)^$E$3:$N$3)*$E$2</f>
        <v>1832.16949758052</v>
      </c>
      <c r="P98" s="15" t="n">
        <f aca="false">N98*$E$2*(1+$I$76)/($F$76-$I$76)/(1+$F$76)^$N$3</f>
        <v>3790.44657383414</v>
      </c>
      <c r="Q98" s="15" t="n">
        <f aca="false">O98+P98</f>
        <v>5622.61607141466</v>
      </c>
      <c r="R98" s="15" t="n">
        <f aca="false">Q98-$G$2+$I$2</f>
        <v>5790.01607141466</v>
      </c>
      <c r="S98" s="42" t="n">
        <f aca="false">R98/$K$2</f>
        <v>164.535836073164</v>
      </c>
      <c r="T98" s="43" t="n">
        <f aca="false">S98-$M$2</f>
        <v>0.000456704025452837</v>
      </c>
    </row>
    <row r="99" customFormat="false" ht="15" hidden="false" customHeight="false" outlineLevel="0" collapsed="false">
      <c r="A99" s="5" t="n">
        <v>22</v>
      </c>
      <c r="B99" s="25" t="n">
        <f aca="false">IF(T98&gt;0,B98,D98)</f>
        <v>0.0607132911682129</v>
      </c>
      <c r="C99" s="25" t="n">
        <f aca="false">IF(T98&gt;0,D98,C98)</f>
        <v>0.0607140064239502</v>
      </c>
      <c r="D99" s="41" t="n">
        <f aca="false">(B99+C99)/2</f>
        <v>0.0607136487960815</v>
      </c>
      <c r="E99" s="15" t="n">
        <f aca="false">$C$2*(1+IF(E$3&lt;=$O$2,$D99,$D99-($D99-$I$76)*MIN(E$3-$O$2,$Q$2)/$Q$2))</f>
        <v>922.852695862055</v>
      </c>
      <c r="F99" s="15" t="n">
        <f aca="false">E99*(1+IF(F$3&lt;=$O$2,$D99,$D99-($D99-$I$76)*MIN(F$3-$O$2,$Q$2)/$Q$2))</f>
        <v>978.882450329141</v>
      </c>
      <c r="G99" s="15" t="n">
        <f aca="false">F99*(1+IF(G$3&lt;=$O$2,$D99,$D99-($D99-$I$76)*MIN(G$3-$O$2,$Q$2)/$Q$2))</f>
        <v>1038.31397563107</v>
      </c>
      <c r="H99" s="15" t="n">
        <f aca="false">G99*(1+IF(H$3&lt;=$O$2,$D99,$D99-($D99-$I$76)*MIN(H$3-$O$2,$Q$2)/$Q$2))</f>
        <v>1101.3538056876</v>
      </c>
      <c r="I99" s="15" t="n">
        <f aca="false">H99*(1+IF(I$3&lt;=$O$2,$D99,$D99-($D99-$I$76)*MIN(I$3-$O$2,$Q$2)/$Q$2))</f>
        <v>1168.22101384634</v>
      </c>
      <c r="J99" s="15" t="n">
        <f aca="false">I99*(1+IF(J$3&lt;=$O$2,$D99,$D99-($D99-$I$76)*MIN(J$3-$O$2,$Q$2)/$Q$2))</f>
        <v>1230.40649205156</v>
      </c>
      <c r="K99" s="15" t="n">
        <f aca="false">J99*(1+IF(K$3&lt;=$O$2,$D99,$D99-($D99-$I$76)*MIN(K$3-$O$2,$Q$2)/$Q$2))</f>
        <v>1286.69536113839</v>
      </c>
      <c r="L99" s="15" t="n">
        <f aca="false">K99*(1+IF(L$3&lt;=$O$2,$D99,$D99-($D99-$I$76)*MIN(L$3-$O$2,$Q$2)/$Q$2))</f>
        <v>1335.93135039258</v>
      </c>
      <c r="M99" s="15" t="n">
        <f aca="false">L99*(1+IF(M$3&lt;=$O$2,$D99,$D99-($D99-$I$76)*MIN(M$3-$O$2,$Q$2)/$Q$2))</f>
        <v>1377.05496412858</v>
      </c>
      <c r="N99" s="15" t="n">
        <f aca="false">M99*(1+IF(N$3&lt;=$O$2,$D99,$D99-($D99-$I$76)*MIN(N$3-$O$2,$Q$2)/$Q$2))</f>
        <v>1409.14034479278</v>
      </c>
      <c r="O99" s="15" t="n">
        <f aca="false">SUMPRODUCT(E99:N99,1/(1+$F$76)^$E$3:$N$3)*$E$2</f>
        <v>1832.16658097852</v>
      </c>
      <c r="P99" s="15" t="n">
        <f aca="false">N99*$E$2*(1+$I$76)/($F$76-$I$76)/(1+$F$76)^$N$3</f>
        <v>3790.43759128499</v>
      </c>
      <c r="Q99" s="15" t="n">
        <f aca="false">O99+P99</f>
        <v>5622.60417226351</v>
      </c>
      <c r="R99" s="15" t="n">
        <f aca="false">Q99-$G$2+$I$2</f>
        <v>5790.00417226351</v>
      </c>
      <c r="S99" s="42" t="n">
        <f aca="false">R99/$K$2</f>
        <v>164.535497933035</v>
      </c>
      <c r="T99" s="43" t="n">
        <f aca="false">S99-$M$2</f>
        <v>0.000118563896137402</v>
      </c>
    </row>
    <row r="100" customFormat="false" ht="15" hidden="false" customHeight="false" outlineLevel="0" collapsed="false">
      <c r="A100" s="5" t="n">
        <v>23</v>
      </c>
      <c r="B100" s="25" t="n">
        <f aca="false">IF(T99&gt;0,B99,D99)</f>
        <v>0.0607132911682129</v>
      </c>
      <c r="C100" s="25" t="n">
        <f aca="false">IF(T99&gt;0,D99,C99)</f>
        <v>0.0607136487960815</v>
      </c>
      <c r="D100" s="41" t="n">
        <f aca="false">(B100+C100)/2</f>
        <v>0.0607134699821472</v>
      </c>
      <c r="E100" s="15" t="n">
        <f aca="false">$C$2*(1+IF(E$3&lt;=$O$2,$D100,$D100-($D100-$I$76)*MIN(E$3-$O$2,$Q$2)/$Q$2))</f>
        <v>922.852540288568</v>
      </c>
      <c r="F100" s="15" t="n">
        <f aca="false">E100*(1+IF(F$3&lt;=$O$2,$D100,$D100-($D100-$I$76)*MIN(F$3-$O$2,$Q$2)/$Q$2))</f>
        <v>978.882120291326</v>
      </c>
      <c r="G100" s="15" t="n">
        <f aca="false">F100*(1+IF(G$3&lt;=$O$2,$D100,$D100-($D100-$I$76)*MIN(G$3-$O$2,$Q$2)/$Q$2))</f>
        <v>1038.31345051769</v>
      </c>
      <c r="H100" s="15" t="n">
        <f aca="false">G100*(1+IF(H$3&lt;=$O$2,$D100,$D100-($D100-$I$76)*MIN(H$3-$O$2,$Q$2)/$Q$2))</f>
        <v>1101.35306302776</v>
      </c>
      <c r="I100" s="15" t="n">
        <f aca="false">H100*(1+IF(I$3&lt;=$O$2,$D100,$D100-($D100-$I$76)*MIN(I$3-$O$2,$Q$2)/$Q$2))</f>
        <v>1168.22002915964</v>
      </c>
      <c r="J100" s="15" t="n">
        <f aca="false">I100*(1+IF(J$3&lt;=$O$2,$D100,$D100-($D100-$I$76)*MIN(J$3-$O$2,$Q$2)/$Q$2))</f>
        <v>1230.40528783387</v>
      </c>
      <c r="K100" s="15" t="n">
        <f aca="false">J100*(1+IF(K$3&lt;=$O$2,$D100,$D100-($D100-$I$76)*MIN(K$3-$O$2,$Q$2)/$Q$2))</f>
        <v>1286.69396982174</v>
      </c>
      <c r="L100" s="15" t="n">
        <f aca="false">K100*(1+IF(L$3&lt;=$O$2,$D100,$D100-($D100-$I$76)*MIN(L$3-$O$2,$Q$2)/$Q$2))</f>
        <v>1335.92981380505</v>
      </c>
      <c r="M100" s="15" t="n">
        <f aca="false">L100*(1+IF(M$3&lt;=$O$2,$D100,$D100-($D100-$I$76)*MIN(M$3-$O$2,$Q$2)/$Q$2))</f>
        <v>1377.05333246411</v>
      </c>
      <c r="N100" s="15" t="n">
        <f aca="false">M100*(1+IF(N$3&lt;=$O$2,$D100,$D100-($D100-$I$76)*MIN(N$3-$O$2,$Q$2)/$Q$2))</f>
        <v>1409.13867511053</v>
      </c>
      <c r="O100" s="15" t="n">
        <f aca="false">SUMPRODUCT(E100:N100,1/(1+$F$76)^$E$3:$N$3)*$E$2</f>
        <v>1832.16512267926</v>
      </c>
      <c r="P100" s="15" t="n">
        <f aca="false">N100*$E$2*(1+$I$76)/($F$76-$I$76)/(1+$F$76)^$N$3</f>
        <v>3790.43310001739</v>
      </c>
      <c r="Q100" s="15" t="n">
        <f aca="false">O100+P100</f>
        <v>5622.59822269665</v>
      </c>
      <c r="R100" s="15" t="n">
        <f aca="false">Q100-$G$2+$I$2</f>
        <v>5789.99822269665</v>
      </c>
      <c r="S100" s="42" t="n">
        <f aca="false">R100/$K$2</f>
        <v>164.535328863218</v>
      </c>
      <c r="T100" s="43" t="n">
        <f aca="false">S100-$M$2</f>
        <v>-5.05059208819603E-005</v>
      </c>
    </row>
    <row r="101" customFormat="false" ht="15" hidden="false" customHeight="false" outlineLevel="0" collapsed="false">
      <c r="A101" s="5" t="n">
        <v>24</v>
      </c>
      <c r="B101" s="25" t="n">
        <f aca="false">IF(T100&gt;0,B100,D100)</f>
        <v>0.0607134699821472</v>
      </c>
      <c r="C101" s="25" t="n">
        <f aca="false">IF(T100&gt;0,D100,C100)</f>
        <v>0.0607136487960815</v>
      </c>
      <c r="D101" s="41" t="n">
        <f aca="false">(B101+C101)/2</f>
        <v>0.0607135593891144</v>
      </c>
      <c r="E101" s="15" t="n">
        <f aca="false">$C$2*(1+IF(E$3&lt;=$O$2,$D101,$D101-($D101-$I$76)*MIN(E$3-$O$2,$Q$2)/$Q$2))</f>
        <v>922.852618075311</v>
      </c>
      <c r="F101" s="15" t="n">
        <f aca="false">E101*(1+IF(F$3&lt;=$O$2,$D101,$D101-($D101-$I$76)*MIN(F$3-$O$2,$Q$2)/$Q$2))</f>
        <v>978.882285310226</v>
      </c>
      <c r="G101" s="15" t="n">
        <f aca="false">F101*(1+IF(G$3&lt;=$O$2,$D101,$D101-($D101-$I$76)*MIN(G$3-$O$2,$Q$2)/$Q$2))</f>
        <v>1038.31371307436</v>
      </c>
      <c r="H101" s="15" t="n">
        <f aca="false">G101*(1+IF(H$3&lt;=$O$2,$D101,$D101-($D101-$I$76)*MIN(H$3-$O$2,$Q$2)/$Q$2))</f>
        <v>1101.35343435763</v>
      </c>
      <c r="I101" s="15" t="n">
        <f aca="false">H101*(1+IF(I$3&lt;=$O$2,$D101,$D101-($D101-$I$76)*MIN(I$3-$O$2,$Q$2)/$Q$2))</f>
        <v>1168.22052150291</v>
      </c>
      <c r="J101" s="15" t="n">
        <f aca="false">I101*(1+IF(J$3&lt;=$O$2,$D101,$D101-($D101-$I$76)*MIN(J$3-$O$2,$Q$2)/$Q$2))</f>
        <v>1230.40588994259</v>
      </c>
      <c r="K101" s="15" t="n">
        <f aca="false">J101*(1+IF(K$3&lt;=$O$2,$D101,$D101-($D101-$I$76)*MIN(K$3-$O$2,$Q$2)/$Q$2))</f>
        <v>1286.69466547991</v>
      </c>
      <c r="L101" s="15" t="n">
        <f aca="false">K101*(1+IF(L$3&lt;=$O$2,$D101,$D101-($D101-$I$76)*MIN(L$3-$O$2,$Q$2)/$Q$2))</f>
        <v>1335.93058209862</v>
      </c>
      <c r="M101" s="15" t="n">
        <f aca="false">L101*(1+IF(M$3&lt;=$O$2,$D101,$D101-($D101-$I$76)*MIN(M$3-$O$2,$Q$2)/$Q$2))</f>
        <v>1377.05414829614</v>
      </c>
      <c r="N101" s="15" t="n">
        <f aca="false">M101*(1+IF(N$3&lt;=$O$2,$D101,$D101-($D101-$I$76)*MIN(N$3-$O$2,$Q$2)/$Q$2))</f>
        <v>1409.13950995144</v>
      </c>
      <c r="O101" s="15" t="n">
        <f aca="false">SUMPRODUCT(E101:N101,1/(1+$F$76)^$E$3:$N$3)*$E$2</f>
        <v>1832.16585182874</v>
      </c>
      <c r="P101" s="15" t="n">
        <f aca="false">N101*$E$2*(1+$I$76)/($F$76-$I$76)/(1+$F$76)^$N$3</f>
        <v>3790.43534565061</v>
      </c>
      <c r="Q101" s="15" t="n">
        <f aca="false">O101+P101</f>
        <v>5622.60119747935</v>
      </c>
      <c r="R101" s="15" t="n">
        <f aca="false">Q101-$G$2+$I$2</f>
        <v>5790.00119747935</v>
      </c>
      <c r="S101" s="42" t="n">
        <f aca="false">R101/$K$2</f>
        <v>164.535413398106</v>
      </c>
      <c r="T101" s="43" t="n">
        <f aca="false">S101-$M$2</f>
        <v>3.40289670077709E-005</v>
      </c>
    </row>
    <row r="103" customFormat="false" ht="15" hidden="false" customHeight="false" outlineLevel="0" collapsed="false">
      <c r="A103" s="38" t="s">
        <v>190</v>
      </c>
      <c r="E103" s="5" t="s">
        <v>12</v>
      </c>
      <c r="F103" s="12" t="n">
        <f aca="false">Sensitivity!$B$10</f>
        <v>0.0675075820986394</v>
      </c>
      <c r="G103" s="5" t="s">
        <v>13</v>
      </c>
      <c r="I103" s="12" t="n">
        <f aca="false">Sensitivity!$E$9</f>
        <v>0.0283</v>
      </c>
    </row>
    <row r="104" customFormat="false" ht="23.85" hidden="false" customHeight="false" outlineLevel="0" collapsed="false">
      <c r="A104" s="38" t="s">
        <v>168</v>
      </c>
      <c r="B104" s="28" t="s">
        <v>169</v>
      </c>
      <c r="C104" s="28" t="s">
        <v>170</v>
      </c>
      <c r="D104" s="28" t="s">
        <v>171</v>
      </c>
      <c r="E104" s="28" t="s">
        <v>172</v>
      </c>
      <c r="F104" s="28" t="s">
        <v>173</v>
      </c>
      <c r="G104" s="28" t="s">
        <v>174</v>
      </c>
      <c r="H104" s="28" t="s">
        <v>175</v>
      </c>
      <c r="I104" s="28" t="s">
        <v>176</v>
      </c>
      <c r="J104" s="28" t="s">
        <v>177</v>
      </c>
      <c r="K104" s="28" t="s">
        <v>178</v>
      </c>
      <c r="L104" s="28" t="s">
        <v>179</v>
      </c>
      <c r="M104" s="28" t="s">
        <v>180</v>
      </c>
      <c r="N104" s="28" t="s">
        <v>181</v>
      </c>
      <c r="O104" s="28" t="s">
        <v>182</v>
      </c>
      <c r="P104" s="28" t="s">
        <v>183</v>
      </c>
      <c r="Q104" s="28" t="s">
        <v>184</v>
      </c>
      <c r="R104" s="28" t="s">
        <v>185</v>
      </c>
      <c r="S104" s="28" t="s">
        <v>186</v>
      </c>
      <c r="T104" s="28" t="s">
        <v>187</v>
      </c>
    </row>
    <row r="105" customFormat="false" ht="15" hidden="false" customHeight="false" outlineLevel="0" collapsed="false">
      <c r="A105" s="5" t="n">
        <v>1</v>
      </c>
      <c r="B105" s="24" t="n">
        <v>-0.5</v>
      </c>
      <c r="C105" s="24" t="n">
        <v>1</v>
      </c>
      <c r="D105" s="41" t="n">
        <f aca="false">(B105+C105)/2</f>
        <v>0.25</v>
      </c>
      <c r="E105" s="15" t="n">
        <f aca="false">$C$2*(1+IF(E$3&lt;=$O$2,$D105,$D105-($D105-$I$103)*MIN(E$3-$O$2,$Q$2)/$Q$2))</f>
        <v>1087.5375</v>
      </c>
      <c r="F105" s="15" t="n">
        <f aca="false">E105*(1+IF(F$3&lt;=$O$2,$D105,$D105-($D105-$I$103)*MIN(F$3-$O$2,$Q$2)/$Q$2))</f>
        <v>1359.421875</v>
      </c>
      <c r="G105" s="15" t="n">
        <f aca="false">F105*(1+IF(G$3&lt;=$O$2,$D105,$D105-($D105-$I$103)*MIN(G$3-$O$2,$Q$2)/$Q$2))</f>
        <v>1699.27734375</v>
      </c>
      <c r="H105" s="15" t="n">
        <f aca="false">G105*(1+IF(H$3&lt;=$O$2,$D105,$D105-($D105-$I$103)*MIN(H$3-$O$2,$Q$2)/$Q$2))</f>
        <v>2124.0966796875</v>
      </c>
      <c r="I105" s="15" t="n">
        <f aca="false">H105*(1+IF(I$3&lt;=$O$2,$D105,$D105-($D105-$I$103)*MIN(I$3-$O$2,$Q$2)/$Q$2))</f>
        <v>2655.12084960938</v>
      </c>
      <c r="J105" s="15" t="n">
        <f aca="false">I105*(1+IF(J$3&lt;=$O$2,$D105,$D105-($D105-$I$103)*MIN(J$3-$O$2,$Q$2)/$Q$2))</f>
        <v>3201.17300354004</v>
      </c>
      <c r="K105" s="15" t="n">
        <f aca="false">J105*(1+IF(K$3&lt;=$O$2,$D105,$D105-($D105-$I$103)*MIN(K$3-$O$2,$Q$2)/$Q$2))</f>
        <v>3717.58623247112</v>
      </c>
      <c r="L105" s="15" t="n">
        <f aca="false">K105*(1+IF(L$3&lt;=$O$2,$D105,$D105-($D105-$I$103)*MIN(L$3-$O$2,$Q$2)/$Q$2))</f>
        <v>4152.46946994559</v>
      </c>
      <c r="M105" s="15" t="n">
        <f aca="false">L105*(1+IF(M$3&lt;=$O$2,$D105,$D105-($D105-$I$103)*MIN(M$3-$O$2,$Q$2)/$Q$2))</f>
        <v>4454.10485224244</v>
      </c>
      <c r="N105" s="15" t="n">
        <f aca="false">M105*(1+IF(N$3&lt;=$O$2,$D105,$D105-($D105-$I$103)*MIN(N$3-$O$2,$Q$2)/$Q$2))</f>
        <v>4580.1560195609</v>
      </c>
      <c r="O105" s="15" t="n">
        <f aca="false">SUMPRODUCT(E105:N105,1/(1+$F$103)^$E$3:$N$3)*$E$2</f>
        <v>4242.17978041874</v>
      </c>
      <c r="P105" s="15" t="n">
        <f aca="false">N105*$E$2*(1+$I$103)/($F$103-$I$103)/(1+$F$103)^$N$3</f>
        <v>13959.1487983082</v>
      </c>
      <c r="Q105" s="15" t="n">
        <f aca="false">O105+P105</f>
        <v>18201.328578727</v>
      </c>
      <c r="R105" s="15" t="n">
        <f aca="false">Q105-$G$2+$I$2</f>
        <v>18368.728578727</v>
      </c>
      <c r="S105" s="42" t="n">
        <f aca="false">R105/$K$2</f>
        <v>521.987171887666</v>
      </c>
      <c r="T105" s="43" t="n">
        <f aca="false">S105-$M$2</f>
        <v>357.451792518527</v>
      </c>
    </row>
    <row r="106" customFormat="false" ht="15" hidden="false" customHeight="false" outlineLevel="0" collapsed="false">
      <c r="A106" s="5" t="n">
        <v>2</v>
      </c>
      <c r="B106" s="25" t="n">
        <f aca="false">IF(T105&gt;0,B105,D105)</f>
        <v>-0.5</v>
      </c>
      <c r="C106" s="25" t="n">
        <f aca="false">IF(T105&gt;0,D105,C105)</f>
        <v>0.25</v>
      </c>
      <c r="D106" s="41" t="n">
        <f aca="false">(B106+C106)/2</f>
        <v>-0.125</v>
      </c>
      <c r="E106" s="15" t="n">
        <f aca="false">$C$2*(1+IF(E$3&lt;=$O$2,$D106,$D106-($D106-$I$103)*MIN(E$3-$O$2,$Q$2)/$Q$2))</f>
        <v>761.27625</v>
      </c>
      <c r="F106" s="15" t="n">
        <f aca="false">E106*(1+IF(F$3&lt;=$O$2,$D106,$D106-($D106-$I$103)*MIN(F$3-$O$2,$Q$2)/$Q$2))</f>
        <v>666.11671875</v>
      </c>
      <c r="G106" s="15" t="n">
        <f aca="false">F106*(1+IF(G$3&lt;=$O$2,$D106,$D106-($D106-$I$103)*MIN(G$3-$O$2,$Q$2)/$Q$2))</f>
        <v>582.85212890625</v>
      </c>
      <c r="H106" s="15" t="n">
        <f aca="false">G106*(1+IF(H$3&lt;=$O$2,$D106,$D106-($D106-$I$103)*MIN(H$3-$O$2,$Q$2)/$Q$2))</f>
        <v>509.995612792969</v>
      </c>
      <c r="I106" s="15" t="n">
        <f aca="false">H106*(1+IF(I$3&lt;=$O$2,$D106,$D106-($D106-$I$103)*MIN(I$3-$O$2,$Q$2)/$Q$2))</f>
        <v>446.246161193848</v>
      </c>
      <c r="J106" s="15" t="n">
        <f aca="false">I106*(1+IF(J$3&lt;=$O$2,$D106,$D106-($D106-$I$103)*MIN(J$3-$O$2,$Q$2)/$Q$2))</f>
        <v>404.14729834682</v>
      </c>
      <c r="K106" s="15" t="n">
        <f aca="false">J106*(1+IF(K$3&lt;=$O$2,$D106,$D106-($D106-$I$103)*MIN(K$3-$O$2,$Q$2)/$Q$2))</f>
        <v>378.411198388095</v>
      </c>
      <c r="L106" s="15" t="n">
        <f aca="false">K106*(1+IF(L$3&lt;=$O$2,$D106,$D106-($D106-$I$103)*MIN(L$3-$O$2,$Q$2)/$Q$2))</f>
        <v>365.91606061732</v>
      </c>
      <c r="M106" s="15" t="n">
        <f aca="false">L106*(1+IF(M$3&lt;=$O$2,$D106,$D106-($D106-$I$103)*MIN(M$3-$O$2,$Q$2)/$Q$2))</f>
        <v>365.052498714263</v>
      </c>
      <c r="N106" s="15" t="n">
        <f aca="false">M106*(1+IF(N$3&lt;=$O$2,$D106,$D106-($D106-$I$103)*MIN(N$3-$O$2,$Q$2)/$Q$2))</f>
        <v>375.383484427876</v>
      </c>
      <c r="O106" s="15" t="n">
        <f aca="false">SUMPRODUCT(E106:N106,1/(1+$F$103)^$E$3:$N$3)*$E$2</f>
        <v>808.241572379333</v>
      </c>
      <c r="P106" s="15" t="n">
        <f aca="false">N106*$E$2*(1+$I$103)/($F$103-$I$103)/(1+$F$103)^$N$3</f>
        <v>1144.0732353171</v>
      </c>
      <c r="Q106" s="15" t="n">
        <f aca="false">O106+P106</f>
        <v>1952.31480769644</v>
      </c>
      <c r="R106" s="15" t="n">
        <f aca="false">Q106-$G$2+$I$2</f>
        <v>2119.71480769644</v>
      </c>
      <c r="S106" s="42" t="n">
        <f aca="false">R106/$K$2</f>
        <v>60.236283253664</v>
      </c>
      <c r="T106" s="43" t="n">
        <f aca="false">S106-$M$2</f>
        <v>-104.299096115475</v>
      </c>
    </row>
    <row r="107" customFormat="false" ht="15" hidden="false" customHeight="false" outlineLevel="0" collapsed="false">
      <c r="A107" s="5" t="n">
        <v>3</v>
      </c>
      <c r="B107" s="25" t="n">
        <f aca="false">IF(T106&gt;0,B106,D106)</f>
        <v>-0.125</v>
      </c>
      <c r="C107" s="25" t="n">
        <f aca="false">IF(T106&gt;0,D106,C106)</f>
        <v>0.25</v>
      </c>
      <c r="D107" s="41" t="n">
        <f aca="false">(B107+C107)/2</f>
        <v>0.0625</v>
      </c>
      <c r="E107" s="15" t="n">
        <f aca="false">$C$2*(1+IF(E$3&lt;=$O$2,$D107,$D107-($D107-$I$103)*MIN(E$3-$O$2,$Q$2)/$Q$2))</f>
        <v>924.406875</v>
      </c>
      <c r="F107" s="15" t="n">
        <f aca="false">E107*(1+IF(F$3&lt;=$O$2,$D107,$D107-($D107-$I$103)*MIN(F$3-$O$2,$Q$2)/$Q$2))</f>
        <v>982.1823046875</v>
      </c>
      <c r="G107" s="15" t="n">
        <f aca="false">F107*(1+IF(G$3&lt;=$O$2,$D107,$D107-($D107-$I$103)*MIN(G$3-$O$2,$Q$2)/$Q$2))</f>
        <v>1043.56869873047</v>
      </c>
      <c r="H107" s="15" t="n">
        <f aca="false">G107*(1+IF(H$3&lt;=$O$2,$D107,$D107-($D107-$I$103)*MIN(H$3-$O$2,$Q$2)/$Q$2))</f>
        <v>1108.79174240112</v>
      </c>
      <c r="I107" s="15" t="n">
        <f aca="false">H107*(1+IF(I$3&lt;=$O$2,$D107,$D107-($D107-$I$103)*MIN(I$3-$O$2,$Q$2)/$Q$2))</f>
        <v>1178.09122630119</v>
      </c>
      <c r="J107" s="15" t="n">
        <f aca="false">I107*(1+IF(J$3&lt;=$O$2,$D107,$D107-($D107-$I$103)*MIN(J$3-$O$2,$Q$2)/$Q$2))</f>
        <v>1243.66378395712</v>
      </c>
      <c r="K107" s="15" t="n">
        <f aca="false">J107*(1+IF(K$3&lt;=$O$2,$D107,$D107-($D107-$I$103)*MIN(K$3-$O$2,$Q$2)/$Q$2))</f>
        <v>1304.3794498899</v>
      </c>
      <c r="L107" s="15" t="n">
        <f aca="false">K107*(1+IF(L$3&lt;=$O$2,$D107,$D107-($D107-$I$103)*MIN(L$3-$O$2,$Q$2)/$Q$2))</f>
        <v>1359.13729919628</v>
      </c>
      <c r="M107" s="15" t="n">
        <f aca="false">L107*(1+IF(M$3&lt;=$O$2,$D107,$D107-($D107-$I$103)*MIN(M$3-$O$2,$Q$2)/$Q$2))</f>
        <v>1406.89738389004</v>
      </c>
      <c r="N107" s="15" t="n">
        <f aca="false">M107*(1+IF(N$3&lt;=$O$2,$D107,$D107-($D107-$I$103)*MIN(N$3-$O$2,$Q$2)/$Q$2))</f>
        <v>1446.71257985413</v>
      </c>
      <c r="O107" s="15" t="n">
        <f aca="false">SUMPRODUCT(E107:N107,1/(1+$F$103)^$E$3:$N$3)*$E$2</f>
        <v>1852.61392035074</v>
      </c>
      <c r="P107" s="15" t="n">
        <f aca="false">N107*$E$2*(1+$I$103)/($F$103-$I$103)/(1+$F$103)^$N$3</f>
        <v>4409.21140771624</v>
      </c>
      <c r="Q107" s="15" t="n">
        <f aca="false">O107+P107</f>
        <v>6261.82532806698</v>
      </c>
      <c r="R107" s="15" t="n">
        <f aca="false">Q107-$G$2+$I$2</f>
        <v>6429.22532806698</v>
      </c>
      <c r="S107" s="42" t="n">
        <f aca="false">R107/$K$2</f>
        <v>182.700350328701</v>
      </c>
      <c r="T107" s="43" t="n">
        <f aca="false">S107-$M$2</f>
        <v>18.1649709595618</v>
      </c>
    </row>
    <row r="108" customFormat="false" ht="15" hidden="false" customHeight="false" outlineLevel="0" collapsed="false">
      <c r="A108" s="5" t="n">
        <v>4</v>
      </c>
      <c r="B108" s="25" t="n">
        <f aca="false">IF(T107&gt;0,B107,D107)</f>
        <v>-0.125</v>
      </c>
      <c r="C108" s="25" t="n">
        <f aca="false">IF(T107&gt;0,D107,C107)</f>
        <v>0.0625</v>
      </c>
      <c r="D108" s="41" t="n">
        <f aca="false">(B108+C108)/2</f>
        <v>-0.03125</v>
      </c>
      <c r="E108" s="15" t="n">
        <f aca="false">$C$2*(1+IF(E$3&lt;=$O$2,$D108,$D108-($D108-$I$103)*MIN(E$3-$O$2,$Q$2)/$Q$2))</f>
        <v>842.8415625</v>
      </c>
      <c r="F108" s="15" t="n">
        <f aca="false">E108*(1+IF(F$3&lt;=$O$2,$D108,$D108-($D108-$I$103)*MIN(F$3-$O$2,$Q$2)/$Q$2))</f>
        <v>816.502763671875</v>
      </c>
      <c r="G108" s="15" t="n">
        <f aca="false">F108*(1+IF(G$3&lt;=$O$2,$D108,$D108-($D108-$I$103)*MIN(G$3-$O$2,$Q$2)/$Q$2))</f>
        <v>790.987052307129</v>
      </c>
      <c r="H108" s="15" t="n">
        <f aca="false">G108*(1+IF(H$3&lt;=$O$2,$D108,$D108-($D108-$I$103)*MIN(H$3-$O$2,$Q$2)/$Q$2))</f>
        <v>766.268706922531</v>
      </c>
      <c r="I108" s="15" t="n">
        <f aca="false">H108*(1+IF(I$3&lt;=$O$2,$D108,$D108-($D108-$I$103)*MIN(I$3-$O$2,$Q$2)/$Q$2))</f>
        <v>742.322809831202</v>
      </c>
      <c r="J108" s="15" t="n">
        <f aca="false">I108*(1+IF(J$3&lt;=$O$2,$D108,$D108-($D108-$I$103)*MIN(J$3-$O$2,$Q$2)/$Q$2))</f>
        <v>727.966286689067</v>
      </c>
      <c r="K108" s="15" t="n">
        <f aca="false">J108*(1+IF(K$3&lt;=$O$2,$D108,$D108-($D108-$I$103)*MIN(K$3-$O$2,$Q$2)/$Q$2))</f>
        <v>722.557497178967</v>
      </c>
      <c r="L108" s="15" t="n">
        <f aca="false">K108*(1+IF(L$3&lt;=$O$2,$D108,$D108-($D108-$I$103)*MIN(L$3-$O$2,$Q$2)/$Q$2))</f>
        <v>725.794554766329</v>
      </c>
      <c r="M108" s="15" t="n">
        <f aca="false">L108*(1+IF(M$3&lt;=$O$2,$D108,$D108-($D108-$I$103)*MIN(M$3-$O$2,$Q$2)/$Q$2))</f>
        <v>737.690327518949</v>
      </c>
      <c r="N108" s="15" t="n">
        <f aca="false">M108*(1+IF(N$3&lt;=$O$2,$D108,$D108-($D108-$I$103)*MIN(N$3-$O$2,$Q$2)/$Q$2))</f>
        <v>758.566963787735</v>
      </c>
      <c r="O108" s="15" t="n">
        <f aca="false">SUMPRODUCT(E108:N108,1/(1+$F$103)^$E$3:$N$3)*$E$2</f>
        <v>1220.68294399486</v>
      </c>
      <c r="P108" s="15" t="n">
        <f aca="false">N108*$E$2*(1+$I$103)/($F$103-$I$103)/(1+$F$103)^$N$3</f>
        <v>2311.91886821555</v>
      </c>
      <c r="Q108" s="15" t="n">
        <f aca="false">O108+P108</f>
        <v>3532.60181221041</v>
      </c>
      <c r="R108" s="15" t="n">
        <f aca="false">Q108-$G$2+$I$2</f>
        <v>3700.00181221041</v>
      </c>
      <c r="S108" s="42" t="n">
        <f aca="false">R108/$K$2</f>
        <v>105.143558175914</v>
      </c>
      <c r="T108" s="43" t="n">
        <f aca="false">S108-$M$2</f>
        <v>-59.3918211932251</v>
      </c>
    </row>
    <row r="109" customFormat="false" ht="15" hidden="false" customHeight="false" outlineLevel="0" collapsed="false">
      <c r="A109" s="5" t="n">
        <v>5</v>
      </c>
      <c r="B109" s="25" t="n">
        <f aca="false">IF(T108&gt;0,B108,D108)</f>
        <v>-0.03125</v>
      </c>
      <c r="C109" s="25" t="n">
        <f aca="false">IF(T108&gt;0,D108,C108)</f>
        <v>0.0625</v>
      </c>
      <c r="D109" s="41" t="n">
        <f aca="false">(B109+C109)/2</f>
        <v>0.015625</v>
      </c>
      <c r="E109" s="15" t="n">
        <f aca="false">$C$2*(1+IF(E$3&lt;=$O$2,$D109,$D109-($D109-$I$103)*MIN(E$3-$O$2,$Q$2)/$Q$2))</f>
        <v>883.62421875</v>
      </c>
      <c r="F109" s="15" t="n">
        <f aca="false">E109*(1+IF(F$3&lt;=$O$2,$D109,$D109-($D109-$I$103)*MIN(F$3-$O$2,$Q$2)/$Q$2))</f>
        <v>897.430847167969</v>
      </c>
      <c r="G109" s="15" t="n">
        <f aca="false">F109*(1+IF(G$3&lt;=$O$2,$D109,$D109-($D109-$I$103)*MIN(G$3-$O$2,$Q$2)/$Q$2))</f>
        <v>911.453204154968</v>
      </c>
      <c r="H109" s="15" t="n">
        <f aca="false">G109*(1+IF(H$3&lt;=$O$2,$D109,$D109-($D109-$I$103)*MIN(H$3-$O$2,$Q$2)/$Q$2))</f>
        <v>925.69466046989</v>
      </c>
      <c r="I109" s="15" t="n">
        <f aca="false">H109*(1+IF(I$3&lt;=$O$2,$D109,$D109-($D109-$I$103)*MIN(I$3-$O$2,$Q$2)/$Q$2))</f>
        <v>940.158639539732</v>
      </c>
      <c r="J109" s="15" t="n">
        <f aca="false">I109*(1+IF(J$3&lt;=$O$2,$D109,$D109-($D109-$I$103)*MIN(J$3-$O$2,$Q$2)/$Q$2))</f>
        <v>957.231920433773</v>
      </c>
      <c r="K109" s="15" t="n">
        <f aca="false">J109*(1+IF(K$3&lt;=$O$2,$D109,$D109-($D109-$I$103)*MIN(K$3-$O$2,$Q$2)/$Q$2))</f>
        <v>977.04183502715</v>
      </c>
      <c r="L109" s="15" t="n">
        <f aca="false">K109*(1+IF(L$3&lt;=$O$2,$D109,$D109-($D109-$I$103)*MIN(L$3-$O$2,$Q$2)/$Q$2))</f>
        <v>999.738516854831</v>
      </c>
      <c r="M109" s="15" t="n">
        <f aca="false">L109*(1+IF(M$3&lt;=$O$2,$D109,$D109-($D109-$I$103)*MIN(M$3-$O$2,$Q$2)/$Q$2))</f>
        <v>1025.4967797416</v>
      </c>
      <c r="N109" s="15" t="n">
        <f aca="false">M109*(1+IF(N$3&lt;=$O$2,$D109,$D109-($D109-$I$103)*MIN(N$3-$O$2,$Q$2)/$Q$2))</f>
        <v>1054.51833860828</v>
      </c>
      <c r="O109" s="15" t="n">
        <f aca="false">SUMPRODUCT(E109:N109,1/(1+$F$103)^$E$3:$N$3)*$E$2</f>
        <v>1503.42113489904</v>
      </c>
      <c r="P109" s="15" t="n">
        <f aca="false">N109*$E$2*(1+$I$103)/($F$103-$I$103)/(1+$F$103)^$N$3</f>
        <v>3213.90326799152</v>
      </c>
      <c r="Q109" s="15" t="n">
        <f aca="false">O109+P109</f>
        <v>4717.32440289056</v>
      </c>
      <c r="R109" s="15" t="n">
        <f aca="false">Q109-$G$2+$I$2</f>
        <v>4884.72440289056</v>
      </c>
      <c r="S109" s="42" t="n">
        <f aca="false">R109/$K$2</f>
        <v>138.810014290723</v>
      </c>
      <c r="T109" s="43" t="n">
        <f aca="false">S109-$M$2</f>
        <v>-25.7253650784156</v>
      </c>
    </row>
    <row r="110" customFormat="false" ht="15" hidden="false" customHeight="false" outlineLevel="0" collapsed="false">
      <c r="A110" s="5" t="n">
        <v>6</v>
      </c>
      <c r="B110" s="25" t="n">
        <f aca="false">IF(T109&gt;0,B109,D109)</f>
        <v>0.015625</v>
      </c>
      <c r="C110" s="25" t="n">
        <f aca="false">IF(T109&gt;0,D109,C109)</f>
        <v>0.0625</v>
      </c>
      <c r="D110" s="41" t="n">
        <f aca="false">(B110+C110)/2</f>
        <v>0.0390625</v>
      </c>
      <c r="E110" s="15" t="n">
        <f aca="false">$C$2*(1+IF(E$3&lt;=$O$2,$D110,$D110-($D110-$I$103)*MIN(E$3-$O$2,$Q$2)/$Q$2))</f>
        <v>904.015546875</v>
      </c>
      <c r="F110" s="15" t="n">
        <f aca="false">E110*(1+IF(F$3&lt;=$O$2,$D110,$D110-($D110-$I$103)*MIN(F$3-$O$2,$Q$2)/$Q$2))</f>
        <v>939.328654174805</v>
      </c>
      <c r="G110" s="15" t="n">
        <f aca="false">F110*(1+IF(G$3&lt;=$O$2,$D110,$D110-($D110-$I$103)*MIN(G$3-$O$2,$Q$2)/$Q$2))</f>
        <v>976.021179728508</v>
      </c>
      <c r="H110" s="15" t="n">
        <f aca="false">G110*(1+IF(H$3&lt;=$O$2,$D110,$D110-($D110-$I$103)*MIN(H$3-$O$2,$Q$2)/$Q$2))</f>
        <v>1014.14700706165</v>
      </c>
      <c r="I110" s="15" t="n">
        <f aca="false">H110*(1+IF(I$3&lt;=$O$2,$D110,$D110-($D110-$I$103)*MIN(I$3-$O$2,$Q$2)/$Q$2))</f>
        <v>1053.762124525</v>
      </c>
      <c r="J110" s="15" t="n">
        <f aca="false">I110*(1+IF(J$3&lt;=$O$2,$D110,$D110-($D110-$I$103)*MIN(J$3-$O$2,$Q$2)/$Q$2))</f>
        <v>1092.65648454122</v>
      </c>
      <c r="K110" s="15" t="n">
        <f aca="false">J110*(1+IF(K$3&lt;=$O$2,$D110,$D110-($D110-$I$103)*MIN(K$3-$O$2,$Q$2)/$Q$2))</f>
        <v>1130.63449230266</v>
      </c>
      <c r="L110" s="15" t="n">
        <f aca="false">K110*(1+IF(L$3&lt;=$O$2,$D110,$D110-($D110-$I$103)*MIN(L$3-$O$2,$Q$2)/$Q$2))</f>
        <v>1167.49882992419</v>
      </c>
      <c r="M110" s="15" t="n">
        <f aca="false">L110*(1+IF(M$3&lt;=$O$2,$D110,$D110-($D110-$I$103)*MIN(M$3-$O$2,$Q$2)/$Q$2))</f>
        <v>1203.05208804245</v>
      </c>
      <c r="N110" s="15" t="n">
        <f aca="false">M110*(1+IF(N$3&lt;=$O$2,$D110,$D110-($D110-$I$103)*MIN(N$3-$O$2,$Q$2)/$Q$2))</f>
        <v>1237.09846213405</v>
      </c>
      <c r="O110" s="15" t="n">
        <f aca="false">SUMPRODUCT(E110:N110,1/(1+$F$103)^$E$3:$N$3)*$E$2</f>
        <v>1668.87135871113</v>
      </c>
      <c r="P110" s="15" t="n">
        <f aca="false">N110*$E$2*(1+$I$103)/($F$103-$I$103)/(1+$F$103)^$N$3</f>
        <v>3770.36097402269</v>
      </c>
      <c r="Q110" s="15" t="n">
        <f aca="false">O110+P110</f>
        <v>5439.23233273382</v>
      </c>
      <c r="R110" s="15" t="n">
        <f aca="false">Q110-$G$2+$I$2</f>
        <v>5606.63233273382</v>
      </c>
      <c r="S110" s="42" t="n">
        <f aca="false">R110/$K$2</f>
        <v>159.324590302183</v>
      </c>
      <c r="T110" s="43" t="n">
        <f aca="false">S110-$M$2</f>
        <v>-5.21078906695601</v>
      </c>
    </row>
    <row r="111" customFormat="false" ht="15" hidden="false" customHeight="false" outlineLevel="0" collapsed="false">
      <c r="A111" s="5" t="n">
        <v>7</v>
      </c>
      <c r="B111" s="25" t="n">
        <f aca="false">IF(T110&gt;0,B110,D110)</f>
        <v>0.0390625</v>
      </c>
      <c r="C111" s="25" t="n">
        <f aca="false">IF(T110&gt;0,D110,C110)</f>
        <v>0.0625</v>
      </c>
      <c r="D111" s="41" t="n">
        <f aca="false">(B111+C111)/2</f>
        <v>0.05078125</v>
      </c>
      <c r="E111" s="15" t="n">
        <f aca="false">$C$2*(1+IF(E$3&lt;=$O$2,$D111,$D111-($D111-$I$103)*MIN(E$3-$O$2,$Q$2)/$Q$2))</f>
        <v>914.2112109375</v>
      </c>
      <c r="F111" s="15" t="n">
        <f aca="false">E111*(1+IF(F$3&lt;=$O$2,$D111,$D111-($D111-$I$103)*MIN(F$3-$O$2,$Q$2)/$Q$2))</f>
        <v>960.63599899292</v>
      </c>
      <c r="G111" s="15" t="n">
        <f aca="false">F111*(1+IF(G$3&lt;=$O$2,$D111,$D111-($D111-$I$103)*MIN(G$3-$O$2,$Q$2)/$Q$2))</f>
        <v>1009.41829581678</v>
      </c>
      <c r="H111" s="15" t="n">
        <f aca="false">G111*(1+IF(H$3&lt;=$O$2,$D111,$D111-($D111-$I$103)*MIN(H$3-$O$2,$Q$2)/$Q$2))</f>
        <v>1060.67781865123</v>
      </c>
      <c r="I111" s="15" t="n">
        <f aca="false">H111*(1+IF(I$3&lt;=$O$2,$D111,$D111-($D111-$I$103)*MIN(I$3-$O$2,$Q$2)/$Q$2))</f>
        <v>1114.54036412961</v>
      </c>
      <c r="J111" s="15" t="n">
        <f aca="false">I111*(1+IF(J$3&lt;=$O$2,$D111,$D111-($D111-$I$103)*MIN(J$3-$O$2,$Q$2)/$Q$2))</f>
        <v>1166.12686488335</v>
      </c>
      <c r="K111" s="15" t="n">
        <f aca="false">J111*(1+IF(K$3&lt;=$O$2,$D111,$D111-($D111-$I$103)*MIN(K$3-$O$2,$Q$2)/$Q$2))</f>
        <v>1214.85784890824</v>
      </c>
      <c r="L111" s="15" t="n">
        <f aca="false">K111*(1+IF(L$3&lt;=$O$2,$D111,$D111-($D111-$I$103)*MIN(L$3-$O$2,$Q$2)/$Q$2))</f>
        <v>1260.16293523865</v>
      </c>
      <c r="M111" s="15" t="n">
        <f aca="false">L111*(1+IF(M$3&lt;=$O$2,$D111,$D111-($D111-$I$103)*MIN(M$3-$O$2,$Q$2)/$Q$2))</f>
        <v>1301.49155390347</v>
      </c>
      <c r="N111" s="15" t="n">
        <f aca="false">M111*(1+IF(N$3&lt;=$O$2,$D111,$D111-($D111-$I$103)*MIN(N$3-$O$2,$Q$2)/$Q$2))</f>
        <v>1338.32376487894</v>
      </c>
      <c r="O111" s="15" t="n">
        <f aca="false">SUMPRODUCT(E111:N111,1/(1+$F$103)^$E$3:$N$3)*$E$2</f>
        <v>1758.34316459067</v>
      </c>
      <c r="P111" s="15" t="n">
        <f aca="false">N111*$E$2*(1+$I$103)/($F$103-$I$103)/(1+$F$103)^$N$3</f>
        <v>4078.86991064733</v>
      </c>
      <c r="Q111" s="15" t="n">
        <f aca="false">O111+P111</f>
        <v>5837.213075238</v>
      </c>
      <c r="R111" s="15" t="n">
        <f aca="false">Q111-$G$2+$I$2</f>
        <v>6004.613075238</v>
      </c>
      <c r="S111" s="42" t="n">
        <f aca="false">R111/$K$2</f>
        <v>170.634074317647</v>
      </c>
      <c r="T111" s="43" t="n">
        <f aca="false">S111-$M$2</f>
        <v>6.09869494850804</v>
      </c>
    </row>
    <row r="112" customFormat="false" ht="15" hidden="false" customHeight="false" outlineLevel="0" collapsed="false">
      <c r="A112" s="5" t="n">
        <v>8</v>
      </c>
      <c r="B112" s="25" t="n">
        <f aca="false">IF(T111&gt;0,B111,D111)</f>
        <v>0.0390625</v>
      </c>
      <c r="C112" s="25" t="n">
        <f aca="false">IF(T111&gt;0,D111,C111)</f>
        <v>0.05078125</v>
      </c>
      <c r="D112" s="41" t="n">
        <f aca="false">(B112+C112)/2</f>
        <v>0.044921875</v>
      </c>
      <c r="E112" s="15" t="n">
        <f aca="false">$C$2*(1+IF(E$3&lt;=$O$2,$D112,$D112-($D112-$I$103)*MIN(E$3-$O$2,$Q$2)/$Q$2))</f>
        <v>909.11337890625</v>
      </c>
      <c r="F112" s="15" t="n">
        <f aca="false">E112*(1+IF(F$3&lt;=$O$2,$D112,$D112-($D112-$I$103)*MIN(F$3-$O$2,$Q$2)/$Q$2))</f>
        <v>949.952456474304</v>
      </c>
      <c r="G112" s="15" t="n">
        <f aca="false">F112*(1+IF(G$3&lt;=$O$2,$D112,$D112-($D112-$I$103)*MIN(G$3-$O$2,$Q$2)/$Q$2))</f>
        <v>992.626101979986</v>
      </c>
      <c r="H112" s="15" t="n">
        <f aca="false">G112*(1+IF(H$3&lt;=$O$2,$D112,$D112-($D112-$I$103)*MIN(H$3-$O$2,$Q$2)/$Q$2))</f>
        <v>1037.21672765487</v>
      </c>
      <c r="I112" s="15" t="n">
        <f aca="false">H112*(1+IF(I$3&lt;=$O$2,$D112,$D112-($D112-$I$103)*MIN(I$3-$O$2,$Q$2)/$Q$2))</f>
        <v>1083.81044784249</v>
      </c>
      <c r="J112" s="15" t="n">
        <f aca="false">I112*(1+IF(J$3&lt;=$O$2,$D112,$D112-($D112-$I$103)*MIN(J$3-$O$2,$Q$2)/$Q$2))</f>
        <v>1128.89425294662</v>
      </c>
      <c r="K112" s="15" t="n">
        <f aca="false">J112*(1+IF(K$3&lt;=$O$2,$D112,$D112-($D112-$I$103)*MIN(K$3-$O$2,$Q$2)/$Q$2))</f>
        <v>1172.10056380142</v>
      </c>
      <c r="L112" s="15" t="n">
        <f aca="false">K112*(1+IF(L$3&lt;=$O$2,$D112,$D112-($D112-$I$103)*MIN(L$3-$O$2,$Q$2)/$Q$2))</f>
        <v>1213.06401338058</v>
      </c>
      <c r="M112" s="15" t="n">
        <f aca="false">L112*(1+IF(M$3&lt;=$O$2,$D112,$D112-($D112-$I$103)*MIN(M$3-$O$2,$Q$2)/$Q$2))</f>
        <v>1251.42640463873</v>
      </c>
      <c r="N112" s="15" t="n">
        <f aca="false">M112*(1+IF(N$3&lt;=$O$2,$D112,$D112-($D112-$I$103)*MIN(N$3-$O$2,$Q$2)/$Q$2))</f>
        <v>1286.84177189001</v>
      </c>
      <c r="O112" s="15" t="n">
        <f aca="false">SUMPRODUCT(E112:N112,1/(1+$F$103)^$E$3:$N$3)*$E$2</f>
        <v>1713.02188380132</v>
      </c>
      <c r="P112" s="15" t="n">
        <f aca="false">N112*$E$2*(1+$I$103)/($F$103-$I$103)/(1+$F$103)^$N$3</f>
        <v>3921.9659105441</v>
      </c>
      <c r="Q112" s="15" t="n">
        <f aca="false">O112+P112</f>
        <v>5634.98779434543</v>
      </c>
      <c r="R112" s="15" t="n">
        <f aca="false">Q112-$G$2+$I$2</f>
        <v>5802.38779434543</v>
      </c>
      <c r="S112" s="42" t="n">
        <f aca="false">R112/$K$2</f>
        <v>164.887405352243</v>
      </c>
      <c r="T112" s="43" t="n">
        <f aca="false">S112-$M$2</f>
        <v>0.352025983103829</v>
      </c>
    </row>
    <row r="113" customFormat="false" ht="15" hidden="false" customHeight="false" outlineLevel="0" collapsed="false">
      <c r="A113" s="5" t="n">
        <v>9</v>
      </c>
      <c r="B113" s="25" t="n">
        <f aca="false">IF(T112&gt;0,B112,D112)</f>
        <v>0.0390625</v>
      </c>
      <c r="C113" s="25" t="n">
        <f aca="false">IF(T112&gt;0,D112,C112)</f>
        <v>0.044921875</v>
      </c>
      <c r="D113" s="41" t="n">
        <f aca="false">(B113+C113)/2</f>
        <v>0.0419921875</v>
      </c>
      <c r="E113" s="15" t="n">
        <f aca="false">$C$2*(1+IF(E$3&lt;=$O$2,$D113,$D113-($D113-$I$103)*MIN(E$3-$O$2,$Q$2)/$Q$2))</f>
        <v>906.564462890625</v>
      </c>
      <c r="F113" s="15" t="n">
        <f aca="false">E113*(1+IF(F$3&lt;=$O$2,$D113,$D113-($D113-$I$103)*MIN(F$3-$O$2,$Q$2)/$Q$2))</f>
        <v>944.633087797165</v>
      </c>
      <c r="G113" s="15" t="n">
        <f aca="false">F113*(1+IF(G$3&lt;=$O$2,$D113,$D113-($D113-$I$103)*MIN(G$3-$O$2,$Q$2)/$Q$2))</f>
        <v>984.300297538647</v>
      </c>
      <c r="H113" s="15" t="n">
        <f aca="false">G113*(1+IF(H$3&lt;=$O$2,$D113,$D113-($D113-$I$103)*MIN(H$3-$O$2,$Q$2)/$Q$2))</f>
        <v>1025.6332201892</v>
      </c>
      <c r="I113" s="15" t="n">
        <f aca="false">H113*(1+IF(I$3&lt;=$O$2,$D113,$D113-($D113-$I$103)*MIN(I$3-$O$2,$Q$2)/$Q$2))</f>
        <v>1068.70180267761</v>
      </c>
      <c r="J113" s="15" t="n">
        <f aca="false">I113*(1+IF(J$3&lt;=$O$2,$D113,$D113-($D113-$I$103)*MIN(J$3-$O$2,$Q$2)/$Q$2))</f>
        <v>1110.65235606447</v>
      </c>
      <c r="K113" s="15" t="n">
        <f aca="false">J113*(1+IF(K$3&lt;=$O$2,$D113,$D113-($D113-$I$103)*MIN(K$3-$O$2,$Q$2)/$Q$2))</f>
        <v>1151.20817392502</v>
      </c>
      <c r="L113" s="15" t="n">
        <f aca="false">K113*(1+IF(L$3&lt;=$O$2,$D113,$D113-($D113-$I$103)*MIN(L$3-$O$2,$Q$2)/$Q$2))</f>
        <v>1190.09238851467</v>
      </c>
      <c r="M113" s="15" t="n">
        <f aca="false">L113*(1+IF(M$3&lt;=$O$2,$D113,$D113-($D113-$I$103)*MIN(M$3-$O$2,$Q$2)/$Q$2))</f>
        <v>1227.0309967348</v>
      </c>
      <c r="N113" s="15" t="n">
        <f aca="false">M113*(1+IF(N$3&lt;=$O$2,$D113,$D113-($D113-$I$103)*MIN(N$3-$O$2,$Q$2)/$Q$2))</f>
        <v>1261.7559739424</v>
      </c>
      <c r="O113" s="15" t="n">
        <f aca="false">SUMPRODUCT(E113:N113,1/(1+$F$103)^$E$3:$N$3)*$E$2</f>
        <v>1690.80205488951</v>
      </c>
      <c r="P113" s="15" t="n">
        <f aca="false">N113*$E$2*(1+$I$103)/($F$103-$I$103)/(1+$F$103)^$N$3</f>
        <v>3845.51078875798</v>
      </c>
      <c r="Q113" s="15" t="n">
        <f aca="false">O113+P113</f>
        <v>5536.31284364749</v>
      </c>
      <c r="R113" s="15" t="n">
        <f aca="false">Q113-$G$2+$I$2</f>
        <v>5703.71284364749</v>
      </c>
      <c r="S113" s="42" t="n">
        <f aca="false">R113/$K$2</f>
        <v>162.08334309882</v>
      </c>
      <c r="T113" s="43" t="n">
        <f aca="false">S113-$M$2</f>
        <v>-2.45203627031864</v>
      </c>
    </row>
    <row r="114" customFormat="false" ht="15" hidden="false" customHeight="false" outlineLevel="0" collapsed="false">
      <c r="A114" s="5" t="n">
        <v>10</v>
      </c>
      <c r="B114" s="25" t="n">
        <f aca="false">IF(T113&gt;0,B113,D113)</f>
        <v>0.0419921875</v>
      </c>
      <c r="C114" s="25" t="n">
        <f aca="false">IF(T113&gt;0,D113,C113)</f>
        <v>0.044921875</v>
      </c>
      <c r="D114" s="41" t="n">
        <f aca="false">(B114+C114)/2</f>
        <v>0.04345703125</v>
      </c>
      <c r="E114" s="15" t="n">
        <f aca="false">$C$2*(1+IF(E$3&lt;=$O$2,$D114,$D114-($D114-$I$103)*MIN(E$3-$O$2,$Q$2)/$Q$2))</f>
        <v>907.838920898437</v>
      </c>
      <c r="F114" s="15" t="n">
        <f aca="false">E114*(1+IF(F$3&lt;=$O$2,$D114,$D114-($D114-$I$103)*MIN(F$3-$O$2,$Q$2)/$Q$2))</f>
        <v>947.290905253887</v>
      </c>
      <c r="G114" s="15" t="n">
        <f aca="false">F114*(1+IF(G$3&lt;=$O$2,$D114,$D114-($D114-$I$103)*MIN(G$3-$O$2,$Q$2)/$Q$2))</f>
        <v>988.457355726346</v>
      </c>
      <c r="H114" s="15" t="n">
        <f aca="false">G114*(1+IF(H$3&lt;=$O$2,$D114,$D114-($D114-$I$103)*MIN(H$3-$O$2,$Q$2)/$Q$2))</f>
        <v>1031.41277792344</v>
      </c>
      <c r="I114" s="15" t="n">
        <f aca="false">H114*(1+IF(I$3&lt;=$O$2,$D114,$D114-($D114-$I$103)*MIN(I$3-$O$2,$Q$2)/$Q$2))</f>
        <v>1076.23491524531</v>
      </c>
      <c r="J114" s="15" t="n">
        <f aca="false">I114*(1+IF(J$3&lt;=$O$2,$D114,$D114-($D114-$I$103)*MIN(J$3-$O$2,$Q$2)/$Q$2))</f>
        <v>1119.74238434092</v>
      </c>
      <c r="K114" s="15" t="n">
        <f aca="false">J114*(1+IF(K$3&lt;=$O$2,$D114,$D114-($D114-$I$103)*MIN(K$3-$O$2,$Q$2)/$Q$2))</f>
        <v>1161.61427600461</v>
      </c>
      <c r="L114" s="15" t="n">
        <f aca="false">K114*(1+IF(L$3&lt;=$O$2,$D114,$D114-($D114-$I$103)*MIN(L$3-$O$2,$Q$2)/$Q$2))</f>
        <v>1201.53060956828</v>
      </c>
      <c r="M114" s="15" t="n">
        <f aca="false">L114*(1+IF(M$3&lt;=$O$2,$D114,$D114-($D114-$I$103)*MIN(M$3-$O$2,$Q$2)/$Q$2))</f>
        <v>1239.17625321847</v>
      </c>
      <c r="N114" s="15" t="n">
        <f aca="false">M114*(1+IF(N$3&lt;=$O$2,$D114,$D114-($D114-$I$103)*MIN(N$3-$O$2,$Q$2)/$Q$2))</f>
        <v>1274.24494118456</v>
      </c>
      <c r="O114" s="15" t="n">
        <f aca="false">SUMPRODUCT(E114:N114,1/(1+$F$103)^$E$3:$N$3)*$E$2</f>
        <v>1701.87560696007</v>
      </c>
      <c r="P114" s="15" t="n">
        <f aca="false">N114*$E$2*(1+$I$103)/($F$103-$I$103)/(1+$F$103)^$N$3</f>
        <v>3883.57397947156</v>
      </c>
      <c r="Q114" s="15" t="n">
        <f aca="false">O114+P114</f>
        <v>5585.44958643163</v>
      </c>
      <c r="R114" s="15" t="n">
        <f aca="false">Q114-$G$2+$I$2</f>
        <v>5752.84958643163</v>
      </c>
      <c r="S114" s="42" t="n">
        <f aca="false">R114/$K$2</f>
        <v>163.479669975323</v>
      </c>
      <c r="T114" s="43" t="n">
        <f aca="false">S114-$M$2</f>
        <v>-1.0557093938157</v>
      </c>
    </row>
    <row r="115" customFormat="false" ht="15" hidden="false" customHeight="false" outlineLevel="0" collapsed="false">
      <c r="A115" s="5" t="n">
        <v>11</v>
      </c>
      <c r="B115" s="25" t="n">
        <f aca="false">IF(T114&gt;0,B114,D114)</f>
        <v>0.04345703125</v>
      </c>
      <c r="C115" s="25" t="n">
        <f aca="false">IF(T114&gt;0,D114,C114)</f>
        <v>0.044921875</v>
      </c>
      <c r="D115" s="41" t="n">
        <f aca="false">(B115+C115)/2</f>
        <v>0.044189453125</v>
      </c>
      <c r="E115" s="15" t="n">
        <f aca="false">$C$2*(1+IF(E$3&lt;=$O$2,$D115,$D115-($D115-$I$103)*MIN(E$3-$O$2,$Q$2)/$Q$2))</f>
        <v>908.476149902344</v>
      </c>
      <c r="F115" s="15" t="n">
        <f aca="false">E115*(1+IF(F$3&lt;=$O$2,$D115,$D115-($D115-$I$103)*MIN(F$3-$O$2,$Q$2)/$Q$2))</f>
        <v>948.621214143634</v>
      </c>
      <c r="G115" s="15" t="n">
        <f aca="false">F115*(1+IF(G$3&lt;=$O$2,$D115,$D115-($D115-$I$103)*MIN(G$3-$O$2,$Q$2)/$Q$2))</f>
        <v>990.540266819415</v>
      </c>
      <c r="H115" s="15" t="n">
        <f aca="false">G115*(1+IF(H$3&lt;=$O$2,$D115,$D115-($D115-$I$103)*MIN(H$3-$O$2,$Q$2)/$Q$2))</f>
        <v>1034.31169950846</v>
      </c>
      <c r="I115" s="15" t="n">
        <f aca="false">H115*(1+IF(I$3&lt;=$O$2,$D115,$D115-($D115-$I$103)*MIN(I$3-$O$2,$Q$2)/$Q$2))</f>
        <v>1080.01736787052</v>
      </c>
      <c r="J115" s="15" t="n">
        <f aca="false">I115*(1+IF(J$3&lt;=$O$2,$D115,$D115-($D115-$I$103)*MIN(J$3-$O$2,$Q$2)/$Q$2))</f>
        <v>1124.31056765403</v>
      </c>
      <c r="K115" s="15" t="n">
        <f aca="false">J115*(1+IF(K$3&lt;=$O$2,$D115,$D115-($D115-$I$103)*MIN(K$3-$O$2,$Q$2)/$Q$2))</f>
        <v>1166.84736475625</v>
      </c>
      <c r="L115" s="15" t="n">
        <f aca="false">K115*(1+IF(L$3&lt;=$O$2,$D115,$D115-($D115-$I$103)*MIN(L$3-$O$2,$Q$2)/$Q$2))</f>
        <v>1207.28537178138</v>
      </c>
      <c r="M115" s="15" t="n">
        <f aca="false">L115*(1+IF(M$3&lt;=$O$2,$D115,$D115-($D115-$I$103)*MIN(M$3-$O$2,$Q$2)/$Q$2))</f>
        <v>1245.28816866748</v>
      </c>
      <c r="N115" s="15" t="n">
        <f aca="false">M115*(1+IF(N$3&lt;=$O$2,$D115,$D115-($D115-$I$103)*MIN(N$3-$O$2,$Q$2)/$Q$2))</f>
        <v>1280.52982384077</v>
      </c>
      <c r="O115" s="15" t="n">
        <f aca="false">SUMPRODUCT(E115:N115,1/(1+$F$103)^$E$3:$N$3)*$E$2</f>
        <v>1707.43962705718</v>
      </c>
      <c r="P115" s="15" t="n">
        <f aca="false">N115*$E$2*(1+$I$103)/($F$103-$I$103)/(1+$F$103)^$N$3</f>
        <v>3902.72870079617</v>
      </c>
      <c r="Q115" s="15" t="n">
        <f aca="false">O115+P115</f>
        <v>5610.16832785335</v>
      </c>
      <c r="R115" s="15" t="n">
        <f aca="false">Q115-$G$2+$I$2</f>
        <v>5777.56832785335</v>
      </c>
      <c r="S115" s="42" t="n">
        <f aca="false">R115/$K$2</f>
        <v>164.182106503363</v>
      </c>
      <c r="T115" s="43" t="n">
        <f aca="false">S115-$M$2</f>
        <v>-0.353272865775836</v>
      </c>
    </row>
    <row r="116" customFormat="false" ht="15" hidden="false" customHeight="false" outlineLevel="0" collapsed="false">
      <c r="A116" s="5" t="n">
        <v>12</v>
      </c>
      <c r="B116" s="25" t="n">
        <f aca="false">IF(T115&gt;0,B115,D115)</f>
        <v>0.044189453125</v>
      </c>
      <c r="C116" s="25" t="n">
        <f aca="false">IF(T115&gt;0,D115,C115)</f>
        <v>0.044921875</v>
      </c>
      <c r="D116" s="41" t="n">
        <f aca="false">(B116+C116)/2</f>
        <v>0.0445556640625</v>
      </c>
      <c r="E116" s="15" t="n">
        <f aca="false">$C$2*(1+IF(E$3&lt;=$O$2,$D116,$D116-($D116-$I$103)*MIN(E$3-$O$2,$Q$2)/$Q$2))</f>
        <v>908.794764404297</v>
      </c>
      <c r="F116" s="15" t="n">
        <f aca="false">E116*(1+IF(F$3&lt;=$O$2,$D116,$D116-($D116-$I$103)*MIN(F$3-$O$2,$Q$2)/$Q$2))</f>
        <v>949.286718628854</v>
      </c>
      <c r="G116" s="15" t="n">
        <f aca="false">F116*(1+IF(G$3&lt;=$O$2,$D116,$D116-($D116-$I$103)*MIN(G$3-$O$2,$Q$2)/$Q$2))</f>
        <v>991.582818763074</v>
      </c>
      <c r="H116" s="15" t="n">
        <f aca="false">G116*(1+IF(H$3&lt;=$O$2,$D116,$D116-($D116-$I$103)*MIN(H$3-$O$2,$Q$2)/$Q$2))</f>
        <v>1035.76344972603</v>
      </c>
      <c r="I116" s="15" t="n">
        <f aca="false">H116*(1+IF(I$3&lt;=$O$2,$D116,$D116-($D116-$I$103)*MIN(I$3-$O$2,$Q$2)/$Q$2))</f>
        <v>1081.91257804024</v>
      </c>
      <c r="J116" s="15" t="n">
        <f aca="false">I116*(1+IF(J$3&lt;=$O$2,$D116,$D116-($D116-$I$103)*MIN(J$3-$O$2,$Q$2)/$Q$2))</f>
        <v>1126.60046992967</v>
      </c>
      <c r="K116" s="15" t="n">
        <f aca="false">J116*(1+IF(K$3&lt;=$O$2,$D116,$D116-($D116-$I$103)*MIN(K$3-$O$2,$Q$2)/$Q$2))</f>
        <v>1169.47144649178</v>
      </c>
      <c r="L116" s="15" t="n">
        <f aca="false">K116*(1+IF(L$3&lt;=$O$2,$D116,$D116-($D116-$I$103)*MIN(L$3-$O$2,$Q$2)/$Q$2))</f>
        <v>1210.17170241344</v>
      </c>
      <c r="M116" s="15" t="n">
        <f aca="false">L116*(1+IF(M$3&lt;=$O$2,$D116,$D116-($D116-$I$103)*MIN(M$3-$O$2,$Q$2)/$Q$2))</f>
        <v>1248.35399052221</v>
      </c>
      <c r="N116" s="15" t="n">
        <f aca="false">M116*(1+IF(N$3&lt;=$O$2,$D116,$D116-($D116-$I$103)*MIN(N$3-$O$2,$Q$2)/$Q$2))</f>
        <v>1283.68240845399</v>
      </c>
      <c r="O116" s="15" t="n">
        <f aca="false">SUMPRODUCT(E116:N116,1/(1+$F$103)^$E$3:$N$3)*$E$2</f>
        <v>1710.22847237445</v>
      </c>
      <c r="P116" s="15" t="n">
        <f aca="false">N116*$E$2*(1+$I$103)/($F$103-$I$103)/(1+$F$103)^$N$3</f>
        <v>3912.33697560762</v>
      </c>
      <c r="Q116" s="15" t="n">
        <f aca="false">O116+P116</f>
        <v>5622.56544798207</v>
      </c>
      <c r="R116" s="15" t="n">
        <f aca="false">Q116-$G$2+$I$2</f>
        <v>5789.96544798207</v>
      </c>
      <c r="S116" s="42" t="n">
        <f aca="false">R116/$K$2</f>
        <v>164.53439749878</v>
      </c>
      <c r="T116" s="43" t="n">
        <f aca="false">S116-$M$2</f>
        <v>-0.000981870359026971</v>
      </c>
    </row>
    <row r="117" customFormat="false" ht="15" hidden="false" customHeight="false" outlineLevel="0" collapsed="false">
      <c r="A117" s="5" t="n">
        <v>13</v>
      </c>
      <c r="B117" s="25" t="n">
        <f aca="false">IF(T116&gt;0,B116,D116)</f>
        <v>0.0445556640625</v>
      </c>
      <c r="C117" s="25" t="n">
        <f aca="false">IF(T116&gt;0,D116,C116)</f>
        <v>0.044921875</v>
      </c>
      <c r="D117" s="41" t="n">
        <f aca="false">(B117+C117)/2</f>
        <v>0.04473876953125</v>
      </c>
      <c r="E117" s="15" t="n">
        <f aca="false">$C$2*(1+IF(E$3&lt;=$O$2,$D117,$D117-($D117-$I$103)*MIN(E$3-$O$2,$Q$2)/$Q$2))</f>
        <v>908.954071655273</v>
      </c>
      <c r="F117" s="15" t="n">
        <f aca="false">E117*(1+IF(F$3&lt;=$O$2,$D117,$D117-($D117-$I$103)*MIN(F$3-$O$2,$Q$2)/$Q$2))</f>
        <v>949.61955838155</v>
      </c>
      <c r="G117" s="15" t="n">
        <f aca="false">F117*(1+IF(G$3&lt;=$O$2,$D117,$D117-($D117-$I$103)*MIN(G$3-$O$2,$Q$2)/$Q$2))</f>
        <v>992.10436894635</v>
      </c>
      <c r="H117" s="15" t="n">
        <f aca="false">G117*(1+IF(H$3&lt;=$O$2,$D117,$D117-($D117-$I$103)*MIN(H$3-$O$2,$Q$2)/$Q$2))</f>
        <v>1036.48989765959</v>
      </c>
      <c r="I117" s="15" t="n">
        <f aca="false">H117*(1+IF(I$3&lt;=$O$2,$D117,$D117-($D117-$I$103)*MIN(I$3-$O$2,$Q$2)/$Q$2))</f>
        <v>1082.86118031245</v>
      </c>
      <c r="J117" s="15" t="n">
        <f aca="false">I117*(1+IF(J$3&lt;=$O$2,$D117,$D117-($D117-$I$103)*MIN(J$3-$O$2,$Q$2)/$Q$2))</f>
        <v>1127.74687601728</v>
      </c>
      <c r="K117" s="15" t="n">
        <f aca="false">J117*(1+IF(K$3&lt;=$O$2,$D117,$D117-($D117-$I$103)*MIN(K$3-$O$2,$Q$2)/$Q$2))</f>
        <v>1170.78537519924</v>
      </c>
      <c r="L117" s="15" t="n">
        <f aca="false">K117*(1+IF(L$3&lt;=$O$2,$D117,$D117-($D117-$I$103)*MIN(L$3-$O$2,$Q$2)/$Q$2))</f>
        <v>1211.61710969876</v>
      </c>
      <c r="M117" s="15" t="n">
        <f aca="false">L117*(1+IF(M$3&lt;=$O$2,$D117,$D117-($D117-$I$103)*MIN(M$3-$O$2,$Q$2)/$Q$2))</f>
        <v>1249.88937278852</v>
      </c>
      <c r="N117" s="15" t="n">
        <f aca="false">M117*(1+IF(N$3&lt;=$O$2,$D117,$D117-($D117-$I$103)*MIN(N$3-$O$2,$Q$2)/$Q$2))</f>
        <v>1285.26124203844</v>
      </c>
      <c r="O117" s="15" t="n">
        <f aca="false">SUMPRODUCT(E117:N117,1/(1+$F$103)^$E$3:$N$3)*$E$2</f>
        <v>1711.62460688944</v>
      </c>
      <c r="P117" s="15" t="n">
        <f aca="false">N117*$E$2*(1+$I$103)/($F$103-$I$103)/(1+$F$103)^$N$3</f>
        <v>3917.14885818082</v>
      </c>
      <c r="Q117" s="15" t="n">
        <f aca="false">O117+P117</f>
        <v>5628.77346507026</v>
      </c>
      <c r="R117" s="15" t="n">
        <f aca="false">Q117-$G$2+$I$2</f>
        <v>5796.17346507026</v>
      </c>
      <c r="S117" s="42" t="n">
        <f aca="false">R117/$K$2</f>
        <v>164.710811738285</v>
      </c>
      <c r="T117" s="43" t="n">
        <f aca="false">S117-$M$2</f>
        <v>0.175432369146336</v>
      </c>
    </row>
    <row r="118" customFormat="false" ht="15" hidden="false" customHeight="false" outlineLevel="0" collapsed="false">
      <c r="A118" s="5" t="n">
        <v>14</v>
      </c>
      <c r="B118" s="25" t="n">
        <f aca="false">IF(T117&gt;0,B117,D117)</f>
        <v>0.0445556640625</v>
      </c>
      <c r="C118" s="25" t="n">
        <f aca="false">IF(T117&gt;0,D117,C117)</f>
        <v>0.04473876953125</v>
      </c>
      <c r="D118" s="41" t="n">
        <f aca="false">(B118+C118)/2</f>
        <v>0.044647216796875</v>
      </c>
      <c r="E118" s="15" t="n">
        <f aca="false">$C$2*(1+IF(E$3&lt;=$O$2,$D118,$D118-($D118-$I$103)*MIN(E$3-$O$2,$Q$2)/$Q$2))</f>
        <v>908.874418029785</v>
      </c>
      <c r="F118" s="15" t="n">
        <f aca="false">E118*(1+IF(F$3&lt;=$O$2,$D118,$D118-($D118-$I$103)*MIN(F$3-$O$2,$Q$2)/$Q$2))</f>
        <v>949.453131212695</v>
      </c>
      <c r="G118" s="15" t="n">
        <f aca="false">F118*(1+IF(G$3&lt;=$O$2,$D118,$D118-($D118-$I$103)*MIN(G$3-$O$2,$Q$2)/$Q$2))</f>
        <v>991.84357100042</v>
      </c>
      <c r="H118" s="15" t="n">
        <f aca="false">G118*(1+IF(H$3&lt;=$O$2,$D118,$D118-($D118-$I$103)*MIN(H$3-$O$2,$Q$2)/$Q$2))</f>
        <v>1036.12662594346</v>
      </c>
      <c r="I118" s="15" t="n">
        <f aca="false">H118*(1+IF(I$3&lt;=$O$2,$D118,$D118-($D118-$I$103)*MIN(I$3-$O$2,$Q$2)/$Q$2))</f>
        <v>1082.38679604097</v>
      </c>
      <c r="J118" s="15" t="n">
        <f aca="false">I118*(1+IF(J$3&lt;=$O$2,$D118,$D118-($D118-$I$103)*MIN(J$3-$O$2,$Q$2)/$Q$2))</f>
        <v>1127.1735516593</v>
      </c>
      <c r="K118" s="15" t="n">
        <f aca="false">J118*(1+IF(K$3&lt;=$O$2,$D118,$D118-($D118-$I$103)*MIN(K$3-$O$2,$Q$2)/$Q$2))</f>
        <v>1170.12825342126</v>
      </c>
      <c r="L118" s="15" t="n">
        <f aca="false">K118*(1+IF(L$3&lt;=$O$2,$D118,$D118-($D118-$I$103)*MIN(L$3-$O$2,$Q$2)/$Q$2))</f>
        <v>1210.89421908862</v>
      </c>
      <c r="M118" s="15" t="n">
        <f aca="false">L118*(1+IF(M$3&lt;=$O$2,$D118,$D118-($D118-$I$103)*MIN(M$3-$O$2,$Q$2)/$Q$2))</f>
        <v>1249.12147555233</v>
      </c>
      <c r="N118" s="15" t="n">
        <f aca="false">M118*(1+IF(N$3&lt;=$O$2,$D118,$D118-($D118-$I$103)*MIN(N$3-$O$2,$Q$2)/$Q$2))</f>
        <v>1284.47161331046</v>
      </c>
      <c r="O118" s="15" t="n">
        <f aca="false">SUMPRODUCT(E118:N118,1/(1+$F$103)^$E$3:$N$3)*$E$2</f>
        <v>1710.9263968867</v>
      </c>
      <c r="P118" s="15" t="n">
        <f aca="false">N118*$E$2*(1+$I$103)/($F$103-$I$103)/(1+$F$103)^$N$3</f>
        <v>3914.74227096803</v>
      </c>
      <c r="Q118" s="15" t="n">
        <f aca="false">O118+P118</f>
        <v>5625.66866785473</v>
      </c>
      <c r="R118" s="15" t="n">
        <f aca="false">Q118-$G$2+$I$2</f>
        <v>5793.06866785473</v>
      </c>
      <c r="S118" s="42" t="n">
        <f aca="false">R118/$K$2</f>
        <v>164.622582206727</v>
      </c>
      <c r="T118" s="43" t="n">
        <f aca="false">S118-$M$2</f>
        <v>0.0872028375881939</v>
      </c>
    </row>
    <row r="119" customFormat="false" ht="15" hidden="false" customHeight="false" outlineLevel="0" collapsed="false">
      <c r="A119" s="5" t="n">
        <v>15</v>
      </c>
      <c r="B119" s="25" t="n">
        <f aca="false">IF(T118&gt;0,B118,D118)</f>
        <v>0.0445556640625</v>
      </c>
      <c r="C119" s="25" t="n">
        <f aca="false">IF(T118&gt;0,D118,C118)</f>
        <v>0.044647216796875</v>
      </c>
      <c r="D119" s="41" t="n">
        <f aca="false">(B119+C119)/2</f>
        <v>0.0446014404296875</v>
      </c>
      <c r="E119" s="15" t="n">
        <f aca="false">$C$2*(1+IF(E$3&lt;=$O$2,$D119,$D119-($D119-$I$103)*MIN(E$3-$O$2,$Q$2)/$Q$2))</f>
        <v>908.834591217041</v>
      </c>
      <c r="F119" s="15" t="n">
        <f aca="false">E119*(1+IF(F$3&lt;=$O$2,$D119,$D119-($D119-$I$103)*MIN(F$3-$O$2,$Q$2)/$Q$2))</f>
        <v>949.369923097647</v>
      </c>
      <c r="G119" s="15" t="n">
        <f aca="false">F119*(1+IF(G$3&lt;=$O$2,$D119,$D119-($D119-$I$103)*MIN(G$3-$O$2,$Q$2)/$Q$2))</f>
        <v>991.713189168424</v>
      </c>
      <c r="H119" s="15" t="n">
        <f aca="false">G119*(1+IF(H$3&lt;=$O$2,$D119,$D119-($D119-$I$103)*MIN(H$3-$O$2,$Q$2)/$Q$2))</f>
        <v>1035.94502589845</v>
      </c>
      <c r="I119" s="15" t="n">
        <f aca="false">H119*(1+IF(I$3&lt;=$O$2,$D119,$D119-($D119-$I$103)*MIN(I$3-$O$2,$Q$2)/$Q$2))</f>
        <v>1082.1496662595</v>
      </c>
      <c r="J119" s="15" t="n">
        <f aca="false">I119*(1+IF(J$3&lt;=$O$2,$D119,$D119-($D119-$I$103)*MIN(J$3-$O$2,$Q$2)/$Q$2))</f>
        <v>1126.88698047107</v>
      </c>
      <c r="K119" s="15" t="n">
        <f aca="false">J119*(1+IF(K$3&lt;=$O$2,$D119,$D119-($D119-$I$103)*MIN(K$3-$O$2,$Q$2)/$Q$2))</f>
        <v>1169.79981060828</v>
      </c>
      <c r="L119" s="15" t="n">
        <f aca="false">K119*(1+IF(L$3&lt;=$O$2,$D119,$D119-($D119-$I$103)*MIN(L$3-$O$2,$Q$2)/$Q$2))</f>
        <v>1210.53291401941</v>
      </c>
      <c r="M119" s="15" t="n">
        <f aca="false">L119*(1+IF(M$3&lt;=$O$2,$D119,$D119-($D119-$I$103)*MIN(M$3-$O$2,$Q$2)/$Q$2))</f>
        <v>1248.73768152338</v>
      </c>
      <c r="N119" s="15" t="n">
        <f aca="false">M119*(1+IF(N$3&lt;=$O$2,$D119,$D119-($D119-$I$103)*MIN(N$3-$O$2,$Q$2)/$Q$2))</f>
        <v>1284.07695791049</v>
      </c>
      <c r="O119" s="15" t="n">
        <f aca="false">SUMPRODUCT(E119:N119,1/(1+$F$103)^$E$3:$N$3)*$E$2</f>
        <v>1710.57739895105</v>
      </c>
      <c r="P119" s="15" t="n">
        <f aca="false">N119*$E$2*(1+$I$103)/($F$103-$I$103)/(1+$F$103)^$N$3</f>
        <v>3913.53946184346</v>
      </c>
      <c r="Q119" s="15" t="n">
        <f aca="false">O119+P119</f>
        <v>5624.11686079451</v>
      </c>
      <c r="R119" s="15" t="n">
        <f aca="false">Q119-$G$2+$I$2</f>
        <v>5791.51686079451</v>
      </c>
      <c r="S119" s="42" t="n">
        <f aca="false">R119/$K$2</f>
        <v>164.578484251052</v>
      </c>
      <c r="T119" s="43" t="n">
        <f aca="false">S119-$M$2</f>
        <v>0.0431048819128534</v>
      </c>
    </row>
    <row r="120" customFormat="false" ht="15" hidden="false" customHeight="false" outlineLevel="0" collapsed="false">
      <c r="A120" s="5" t="n">
        <v>16</v>
      </c>
      <c r="B120" s="25" t="n">
        <f aca="false">IF(T119&gt;0,B119,D119)</f>
        <v>0.0445556640625</v>
      </c>
      <c r="C120" s="25" t="n">
        <f aca="false">IF(T119&gt;0,D119,C119)</f>
        <v>0.0446014404296875</v>
      </c>
      <c r="D120" s="41" t="n">
        <f aca="false">(B120+C120)/2</f>
        <v>0.0445785522460938</v>
      </c>
      <c r="E120" s="15" t="n">
        <f aca="false">$C$2*(1+IF(E$3&lt;=$O$2,$D120,$D120-($D120-$I$103)*MIN(E$3-$O$2,$Q$2)/$Q$2))</f>
        <v>908.814677810669</v>
      </c>
      <c r="F120" s="15" t="n">
        <f aca="false">E120*(1+IF(F$3&lt;=$O$2,$D120,$D120-($D120-$I$103)*MIN(F$3-$O$2,$Q$2)/$Q$2))</f>
        <v>949.328320407469</v>
      </c>
      <c r="G120" s="15" t="n">
        <f aca="false">F120*(1+IF(G$3&lt;=$O$2,$D120,$D120-($D120-$I$103)*MIN(G$3-$O$2,$Q$2)/$Q$2))</f>
        <v>991.648002537449</v>
      </c>
      <c r="H120" s="15" t="n">
        <f aca="false">G120*(1+IF(H$3&lt;=$O$2,$D120,$D120-($D120-$I$103)*MIN(H$3-$O$2,$Q$2)/$Q$2))</f>
        <v>1035.8542348283</v>
      </c>
      <c r="I120" s="15" t="n">
        <f aca="false">H120*(1+IF(I$3&lt;=$O$2,$D120,$D120-($D120-$I$103)*MIN(I$3-$O$2,$Q$2)/$Q$2))</f>
        <v>1082.03111695493</v>
      </c>
      <c r="J120" s="15" t="n">
        <f aca="false">I120*(1+IF(J$3&lt;=$O$2,$D120,$D120-($D120-$I$103)*MIN(J$3-$O$2,$Q$2)/$Q$2))</f>
        <v>1126.74371762016</v>
      </c>
      <c r="K120" s="15" t="n">
        <f aca="false">J120*(1+IF(K$3&lt;=$O$2,$D120,$D120-($D120-$I$103)*MIN(K$3-$O$2,$Q$2)/$Q$2))</f>
        <v>1169.63561871395</v>
      </c>
      <c r="L120" s="15" t="n">
        <f aca="false">K120*(1+IF(L$3&lt;=$O$2,$D120,$D120-($D120-$I$103)*MIN(L$3-$O$2,$Q$2)/$Q$2))</f>
        <v>1210.3522965348</v>
      </c>
      <c r="M120" s="15" t="n">
        <f aca="false">L120*(1+IF(M$3&lt;=$O$2,$D120,$D120-($D120-$I$103)*MIN(M$3-$O$2,$Q$2)/$Q$2))</f>
        <v>1248.5458231458</v>
      </c>
      <c r="N120" s="15" t="n">
        <f aca="false">M120*(1+IF(N$3&lt;=$O$2,$D120,$D120-($D120-$I$103)*MIN(N$3-$O$2,$Q$2)/$Q$2))</f>
        <v>1283.87966994083</v>
      </c>
      <c r="O120" s="15" t="n">
        <f aca="false">SUMPRODUCT(E120:N120,1/(1+$F$103)^$E$3:$N$3)*$E$2</f>
        <v>1710.40292674372</v>
      </c>
      <c r="P120" s="15" t="n">
        <f aca="false">N120*$E$2*(1+$I$103)/($F$103-$I$103)/(1+$F$103)^$N$3</f>
        <v>3912.9381783691</v>
      </c>
      <c r="Q120" s="15" t="n">
        <f aca="false">O120+P120</f>
        <v>5623.34110511282</v>
      </c>
      <c r="R120" s="15" t="n">
        <f aca="false">Q120-$G$2+$I$2</f>
        <v>5790.74110511282</v>
      </c>
      <c r="S120" s="42" t="n">
        <f aca="false">R120/$K$2</f>
        <v>164.556439474647</v>
      </c>
      <c r="T120" s="43" t="n">
        <f aca="false">S120-$M$2</f>
        <v>0.0210601055076722</v>
      </c>
    </row>
    <row r="121" customFormat="false" ht="15" hidden="false" customHeight="false" outlineLevel="0" collapsed="false">
      <c r="A121" s="5" t="n">
        <v>17</v>
      </c>
      <c r="B121" s="25" t="n">
        <f aca="false">IF(T120&gt;0,B120,D120)</f>
        <v>0.0445556640625</v>
      </c>
      <c r="C121" s="25" t="n">
        <f aca="false">IF(T120&gt;0,D120,C120)</f>
        <v>0.0445785522460938</v>
      </c>
      <c r="D121" s="41" t="n">
        <f aca="false">(B121+C121)/2</f>
        <v>0.0445671081542969</v>
      </c>
      <c r="E121" s="15" t="n">
        <f aca="false">$C$2*(1+IF(E$3&lt;=$O$2,$D121,$D121-($D121-$I$103)*MIN(E$3-$O$2,$Q$2)/$Q$2))</f>
        <v>908.804721107483</v>
      </c>
      <c r="F121" s="15" t="n">
        <f aca="false">E121*(1+IF(F$3&lt;=$O$2,$D121,$D121-($D121-$I$103)*MIN(F$3-$O$2,$Q$2)/$Q$2))</f>
        <v>949.307519404216</v>
      </c>
      <c r="G121" s="15" t="n">
        <f aca="false">F121*(1+IF(G$3&lt;=$O$2,$D121,$D121-($D121-$I$103)*MIN(G$3-$O$2,$Q$2)/$Q$2))</f>
        <v>991.615410293191</v>
      </c>
      <c r="H121" s="15" t="n">
        <f aca="false">G121*(1+IF(H$3&lt;=$O$2,$D121,$D121-($D121-$I$103)*MIN(H$3-$O$2,$Q$2)/$Q$2))</f>
        <v>1035.80884153119</v>
      </c>
      <c r="I121" s="15" t="n">
        <f aca="false">H121*(1+IF(I$3&lt;=$O$2,$D121,$D121-($D121-$I$103)*MIN(I$3-$O$2,$Q$2)/$Q$2))</f>
        <v>1081.97184619889</v>
      </c>
      <c r="J121" s="15" t="n">
        <f aca="false">I121*(1+IF(J$3&lt;=$O$2,$D121,$D121-($D121-$I$103)*MIN(J$3-$O$2,$Q$2)/$Q$2))</f>
        <v>1126.67209187994</v>
      </c>
      <c r="K121" s="15" t="n">
        <f aca="false">J121*(1+IF(K$3&lt;=$O$2,$D121,$D121-($D121-$I$103)*MIN(K$3-$O$2,$Q$2)/$Q$2))</f>
        <v>1169.55353014396</v>
      </c>
      <c r="L121" s="15" t="n">
        <f aca="false">K121*(1+IF(L$3&lt;=$O$2,$D121,$D121-($D121-$I$103)*MIN(L$3-$O$2,$Q$2)/$Q$2))</f>
        <v>1210.26199655388</v>
      </c>
      <c r="M121" s="15" t="n">
        <f aca="false">L121*(1+IF(M$3&lt;=$O$2,$D121,$D121-($D121-$I$103)*MIN(M$3-$O$2,$Q$2)/$Q$2))</f>
        <v>1248.44990361495</v>
      </c>
      <c r="N121" s="15" t="n">
        <f aca="false">M121*(1+IF(N$3&lt;=$O$2,$D121,$D121-($D121-$I$103)*MIN(N$3-$O$2,$Q$2)/$Q$2))</f>
        <v>1283.78103588725</v>
      </c>
      <c r="O121" s="15" t="n">
        <f aca="false">SUMPRODUCT(E121:N121,1/(1+$F$103)^$E$3:$N$3)*$E$2</f>
        <v>1710.31569732943</v>
      </c>
      <c r="P121" s="15" t="n">
        <f aca="false">N121*$E$2*(1+$I$103)/($F$103-$I$103)/(1+$F$103)^$N$3</f>
        <v>3912.63756689983</v>
      </c>
      <c r="Q121" s="15" t="n">
        <f aca="false">O121+P121</f>
        <v>5622.95326422926</v>
      </c>
      <c r="R121" s="15" t="n">
        <f aca="false">Q121-$G$2+$I$2</f>
        <v>5790.35326422926</v>
      </c>
      <c r="S121" s="42" t="n">
        <f aca="false">R121/$K$2</f>
        <v>164.545418136666</v>
      </c>
      <c r="T121" s="43" t="n">
        <f aca="false">S121-$M$2</f>
        <v>0.0100387675265665</v>
      </c>
    </row>
    <row r="122" customFormat="false" ht="15" hidden="false" customHeight="false" outlineLevel="0" collapsed="false">
      <c r="A122" s="5" t="n">
        <v>18</v>
      </c>
      <c r="B122" s="25" t="n">
        <f aca="false">IF(T121&gt;0,B121,D121)</f>
        <v>0.0445556640625</v>
      </c>
      <c r="C122" s="25" t="n">
        <f aca="false">IF(T121&gt;0,D121,C121)</f>
        <v>0.0445671081542969</v>
      </c>
      <c r="D122" s="41" t="n">
        <f aca="false">(B122+C122)/2</f>
        <v>0.0445613861083984</v>
      </c>
      <c r="E122" s="15" t="n">
        <f aca="false">$C$2*(1+IF(E$3&lt;=$O$2,$D122,$D122-($D122-$I$103)*MIN(E$3-$O$2,$Q$2)/$Q$2))</f>
        <v>908.79974275589</v>
      </c>
      <c r="F122" s="15" t="n">
        <f aca="false">E122*(1+IF(F$3&lt;=$O$2,$D122,$D122-($D122-$I$103)*MIN(F$3-$O$2,$Q$2)/$Q$2))</f>
        <v>949.297118988048</v>
      </c>
      <c r="G122" s="15" t="n">
        <f aca="false">F122*(1+IF(G$3&lt;=$O$2,$D122,$D122-($D122-$I$103)*MIN(G$3-$O$2,$Q$2)/$Q$2))</f>
        <v>991.599114438865</v>
      </c>
      <c r="H122" s="15" t="n">
        <f aca="false">G122*(1+IF(H$3&lt;=$O$2,$D122,$D122-($D122-$I$103)*MIN(H$3-$O$2,$Q$2)/$Q$2))</f>
        <v>1035.78614544212</v>
      </c>
      <c r="I122" s="15" t="n">
        <f aca="false">H122*(1+IF(I$3&lt;=$O$2,$D122,$D122-($D122-$I$103)*MIN(I$3-$O$2,$Q$2)/$Q$2))</f>
        <v>1081.9422117949</v>
      </c>
      <c r="J122" s="15" t="n">
        <f aca="false">I122*(1+IF(J$3&lt;=$O$2,$D122,$D122-($D122-$I$103)*MIN(J$3-$O$2,$Q$2)/$Q$2))</f>
        <v>1126.63628043107</v>
      </c>
      <c r="K122" s="15" t="n">
        <f aca="false">J122*(1+IF(K$3&lt;=$O$2,$D122,$D122-($D122-$I$103)*MIN(K$3-$O$2,$Q$2)/$Q$2))</f>
        <v>1169.51248770316</v>
      </c>
      <c r="L122" s="15" t="n">
        <f aca="false">K122*(1+IF(L$3&lt;=$O$2,$D122,$D122-($D122-$I$103)*MIN(L$3-$O$2,$Q$2)/$Q$2))</f>
        <v>1210.21684875361</v>
      </c>
      <c r="M122" s="15" t="n">
        <f aca="false">L122*(1+IF(M$3&lt;=$O$2,$D122,$D122-($D122-$I$103)*MIN(M$3-$O$2,$Q$2)/$Q$2))</f>
        <v>1248.40194626384</v>
      </c>
      <c r="N122" s="15" t="n">
        <f aca="false">M122*(1+IF(N$3&lt;=$O$2,$D122,$D122-($D122-$I$103)*MIN(N$3-$O$2,$Q$2)/$Q$2))</f>
        <v>1283.7317213431</v>
      </c>
      <c r="O122" s="15" t="n">
        <f aca="false">SUMPRODUCT(E122:N122,1/(1+$F$103)^$E$3:$N$3)*$E$2</f>
        <v>1710.27208429454</v>
      </c>
      <c r="P122" s="15" t="n">
        <f aca="false">N122*$E$2*(1+$I$103)/($F$103-$I$103)/(1+$F$103)^$N$3</f>
        <v>3912.48726873166</v>
      </c>
      <c r="Q122" s="15" t="n">
        <f aca="false">O122+P122</f>
        <v>5622.7593530262</v>
      </c>
      <c r="R122" s="15" t="n">
        <f aca="false">Q122-$G$2+$I$2</f>
        <v>5790.1593530262</v>
      </c>
      <c r="S122" s="42" t="n">
        <f aca="false">R122/$K$2</f>
        <v>164.539907730213</v>
      </c>
      <c r="T122" s="43" t="n">
        <f aca="false">S122-$M$2</f>
        <v>0.0045283610741933</v>
      </c>
    </row>
    <row r="123" customFormat="false" ht="15" hidden="false" customHeight="false" outlineLevel="0" collapsed="false">
      <c r="A123" s="5" t="n">
        <v>19</v>
      </c>
      <c r="B123" s="25" t="n">
        <f aca="false">IF(T122&gt;0,B122,D122)</f>
        <v>0.0445556640625</v>
      </c>
      <c r="C123" s="25" t="n">
        <f aca="false">IF(T122&gt;0,D122,C122)</f>
        <v>0.0445613861083984</v>
      </c>
      <c r="D123" s="41" t="n">
        <f aca="false">(B123+C123)/2</f>
        <v>0.0445585250854492</v>
      </c>
      <c r="E123" s="15" t="n">
        <f aca="false">$C$2*(1+IF(E$3&lt;=$O$2,$D123,$D123-($D123-$I$103)*MIN(E$3-$O$2,$Q$2)/$Q$2))</f>
        <v>908.797253580093</v>
      </c>
      <c r="F123" s="15" t="n">
        <f aca="false">E123*(1+IF(F$3&lt;=$O$2,$D123,$D123-($D123-$I$103)*MIN(F$3-$O$2,$Q$2)/$Q$2))</f>
        <v>949.291918801329</v>
      </c>
      <c r="G123" s="15" t="n">
        <f aca="false">F123*(1+IF(G$3&lt;=$O$2,$D123,$D123-($D123-$I$103)*MIN(G$3-$O$2,$Q$2)/$Q$2))</f>
        <v>991.590966578653</v>
      </c>
      <c r="H123" s="15" t="n">
        <f aca="false">G123*(1+IF(H$3&lt;=$O$2,$D123,$D123-($D123-$I$103)*MIN(H$3-$O$2,$Q$2)/$Q$2))</f>
        <v>1035.77479753745</v>
      </c>
      <c r="I123" s="15" t="n">
        <f aca="false">H123*(1+IF(I$3&lt;=$O$2,$D123,$D123-($D123-$I$103)*MIN(I$3-$O$2,$Q$2)/$Q$2))</f>
        <v>1081.9273948364</v>
      </c>
      <c r="J123" s="15" t="n">
        <f aca="false">I123*(1+IF(J$3&lt;=$O$2,$D123,$D123-($D123-$I$103)*MIN(J$3-$O$2,$Q$2)/$Q$2))</f>
        <v>1126.61837506194</v>
      </c>
      <c r="K123" s="15" t="n">
        <f aca="false">J123*(1+IF(K$3&lt;=$O$2,$D123,$D123-($D123-$I$103)*MIN(K$3-$O$2,$Q$2)/$Q$2))</f>
        <v>1169.49196694379</v>
      </c>
      <c r="L123" s="15" t="n">
        <f aca="false">K123*(1+IF(L$3&lt;=$O$2,$D123,$D123-($D123-$I$103)*MIN(L$3-$O$2,$Q$2)/$Q$2))</f>
        <v>1210.19427540102</v>
      </c>
      <c r="M123" s="15" t="n">
        <f aca="false">L123*(1+IF(M$3&lt;=$O$2,$D123,$D123-($D123-$I$103)*MIN(M$3-$O$2,$Q$2)/$Q$2))</f>
        <v>1248.37796819184</v>
      </c>
      <c r="N123" s="15" t="n">
        <f aca="false">M123*(1+IF(N$3&lt;=$O$2,$D123,$D123-($D123-$I$103)*MIN(N$3-$O$2,$Q$2)/$Q$2))</f>
        <v>1283.70706469167</v>
      </c>
      <c r="O123" s="15" t="n">
        <f aca="false">SUMPRODUCT(E123:N123,1/(1+$F$103)^$E$3:$N$3)*$E$2</f>
        <v>1710.25027819515</v>
      </c>
      <c r="P123" s="15" t="n">
        <f aca="false">N123*$E$2*(1+$I$103)/($F$103-$I$103)/(1+$F$103)^$N$3</f>
        <v>3912.41212153913</v>
      </c>
      <c r="Q123" s="15" t="n">
        <f aca="false">O123+P123</f>
        <v>5622.66239973428</v>
      </c>
      <c r="R123" s="15" t="n">
        <f aca="false">Q123-$G$2+$I$2</f>
        <v>5790.06239973428</v>
      </c>
      <c r="S123" s="42" t="n">
        <f aca="false">R123/$K$2</f>
        <v>164.53715259262</v>
      </c>
      <c r="T123" s="43" t="n">
        <f aca="false">S123-$M$2</f>
        <v>0.00177322348048392</v>
      </c>
    </row>
    <row r="124" customFormat="false" ht="15" hidden="false" customHeight="false" outlineLevel="0" collapsed="false">
      <c r="A124" s="5" t="n">
        <v>20</v>
      </c>
      <c r="B124" s="25" t="n">
        <f aca="false">IF(T123&gt;0,B123,D123)</f>
        <v>0.0445556640625</v>
      </c>
      <c r="C124" s="25" t="n">
        <f aca="false">IF(T123&gt;0,D123,C123)</f>
        <v>0.0445585250854492</v>
      </c>
      <c r="D124" s="41" t="n">
        <f aca="false">(B124+C124)/2</f>
        <v>0.0445570945739746</v>
      </c>
      <c r="E124" s="15" t="n">
        <f aca="false">$C$2*(1+IF(E$3&lt;=$O$2,$D124,$D124-($D124-$I$103)*MIN(E$3-$O$2,$Q$2)/$Q$2))</f>
        <v>908.796008992195</v>
      </c>
      <c r="F124" s="15" t="n">
        <f aca="false">E124*(1+IF(F$3&lt;=$O$2,$D124,$D124-($D124-$I$103)*MIN(F$3-$O$2,$Q$2)/$Q$2))</f>
        <v>949.289318713311</v>
      </c>
      <c r="G124" s="15" t="n">
        <f aca="false">F124*(1+IF(G$3&lt;=$O$2,$D124,$D124-($D124-$I$103)*MIN(G$3-$O$2,$Q$2)/$Q$2))</f>
        <v>991.586892665284</v>
      </c>
      <c r="H124" s="15" t="n">
        <f aca="false">G124*(1+IF(H$3&lt;=$O$2,$D124,$D124-($D124-$I$103)*MIN(H$3-$O$2,$Q$2)/$Q$2))</f>
        <v>1035.76912362008</v>
      </c>
      <c r="I124" s="15" t="n">
        <f aca="false">H124*(1+IF(I$3&lt;=$O$2,$D124,$D124-($D124-$I$103)*MIN(I$3-$O$2,$Q$2)/$Q$2))</f>
        <v>1081.91998641803</v>
      </c>
      <c r="J124" s="15" t="n">
        <f aca="false">I124*(1+IF(J$3&lt;=$O$2,$D124,$D124-($D124-$I$103)*MIN(J$3-$O$2,$Q$2)/$Q$2))</f>
        <v>1126.60942246619</v>
      </c>
      <c r="K124" s="15" t="n">
        <f aca="false">J124*(1+IF(K$3&lt;=$O$2,$D124,$D124-($D124-$I$103)*MIN(K$3-$O$2,$Q$2)/$Q$2))</f>
        <v>1169.48170667937</v>
      </c>
      <c r="L124" s="15" t="n">
        <f aca="false">K124*(1+IF(L$3&lt;=$O$2,$D124,$D124-($D124-$I$103)*MIN(L$3-$O$2,$Q$2)/$Q$2))</f>
        <v>1210.1829888616</v>
      </c>
      <c r="M124" s="15" t="n">
        <f aca="false">L124*(1+IF(M$3&lt;=$O$2,$D124,$D124-($D124-$I$103)*MIN(M$3-$O$2,$Q$2)/$Q$2))</f>
        <v>1248.36597930673</v>
      </c>
      <c r="N124" s="15" t="n">
        <f aca="false">M124*(1+IF(N$3&lt;=$O$2,$D124,$D124-($D124-$I$103)*MIN(N$3-$O$2,$Q$2)/$Q$2))</f>
        <v>1283.69473652111</v>
      </c>
      <c r="O124" s="15" t="n">
        <f aca="false">SUMPRODUCT(E124:N124,1/(1+$F$103)^$E$3:$N$3)*$E$2</f>
        <v>1710.23937524996</v>
      </c>
      <c r="P124" s="15" t="n">
        <f aca="false">N124*$E$2*(1+$I$103)/($F$103-$I$103)/(1+$F$103)^$N$3</f>
        <v>3912.37454841575</v>
      </c>
      <c r="Q124" s="15" t="n">
        <f aca="false">O124+P124</f>
        <v>5622.61392366571</v>
      </c>
      <c r="R124" s="15" t="n">
        <f aca="false">Q124-$G$2+$I$2</f>
        <v>5790.01392366571</v>
      </c>
      <c r="S124" s="42" t="n">
        <f aca="false">R124/$K$2</f>
        <v>164.535775040231</v>
      </c>
      <c r="T124" s="43" t="n">
        <f aca="false">S124-$M$2</f>
        <v>0.000395671091524719</v>
      </c>
    </row>
    <row r="125" customFormat="false" ht="15" hidden="false" customHeight="false" outlineLevel="0" collapsed="false">
      <c r="A125" s="5" t="n">
        <v>21</v>
      </c>
      <c r="B125" s="25" t="n">
        <f aca="false">IF(T124&gt;0,B124,D124)</f>
        <v>0.0445556640625</v>
      </c>
      <c r="C125" s="25" t="n">
        <f aca="false">IF(T124&gt;0,D124,C124)</f>
        <v>0.0445570945739746</v>
      </c>
      <c r="D125" s="41" t="n">
        <f aca="false">(B125+C125)/2</f>
        <v>0.0445563793182373</v>
      </c>
      <c r="E125" s="15" t="n">
        <f aca="false">$C$2*(1+IF(E$3&lt;=$O$2,$D125,$D125-($D125-$I$103)*MIN(E$3-$O$2,$Q$2)/$Q$2))</f>
        <v>908.795386698246</v>
      </c>
      <c r="F125" s="15" t="n">
        <f aca="false">E125*(1+IF(F$3&lt;=$O$2,$D125,$D125-($D125-$I$103)*MIN(F$3-$O$2,$Q$2)/$Q$2))</f>
        <v>949.288018670637</v>
      </c>
      <c r="G125" s="15" t="n">
        <f aca="false">F125*(1+IF(G$3&lt;=$O$2,$D125,$D125-($D125-$I$103)*MIN(G$3-$O$2,$Q$2)/$Q$2))</f>
        <v>991.584855712784</v>
      </c>
      <c r="H125" s="15" t="n">
        <f aca="false">G125*(1+IF(H$3&lt;=$O$2,$D125,$D125-($D125-$I$103)*MIN(H$3-$O$2,$Q$2)/$Q$2))</f>
        <v>1035.76628667014</v>
      </c>
      <c r="I125" s="15" t="n">
        <f aca="false">H125*(1+IF(I$3&lt;=$O$2,$D125,$D125-($D125-$I$103)*MIN(I$3-$O$2,$Q$2)/$Q$2))</f>
        <v>1081.91628222406</v>
      </c>
      <c r="J125" s="15" t="n">
        <f aca="false">I125*(1+IF(J$3&lt;=$O$2,$D125,$D125-($D125-$I$103)*MIN(J$3-$O$2,$Q$2)/$Q$2))</f>
        <v>1126.60494619053</v>
      </c>
      <c r="K125" s="15" t="n">
        <f aca="false">J125*(1+IF(K$3&lt;=$O$2,$D125,$D125-($D125-$I$103)*MIN(K$3-$O$2,$Q$2)/$Q$2))</f>
        <v>1169.47657657597</v>
      </c>
      <c r="L125" s="15" t="n">
        <f aca="false">K125*(1+IF(L$3&lt;=$O$2,$D125,$D125-($D125-$I$103)*MIN(L$3-$O$2,$Q$2)/$Q$2))</f>
        <v>1210.17734562611</v>
      </c>
      <c r="M125" s="15" t="n">
        <f aca="false">L125*(1+IF(M$3&lt;=$O$2,$D125,$D125-($D125-$I$103)*MIN(M$3-$O$2,$Q$2)/$Q$2))</f>
        <v>1248.3599849019</v>
      </c>
      <c r="N125" s="15" t="n">
        <f aca="false">M125*(1+IF(N$3&lt;=$O$2,$D125,$D125-($D125-$I$103)*MIN(N$3-$O$2,$Q$2)/$Q$2))</f>
        <v>1283.68857247462</v>
      </c>
      <c r="O125" s="15" t="n">
        <f aca="false">SUMPRODUCT(E125:N125,1/(1+$F$103)^$E$3:$N$3)*$E$2</f>
        <v>1710.23392380349</v>
      </c>
      <c r="P125" s="15" t="n">
        <f aca="false">N125*$E$2*(1+$I$103)/($F$103-$I$103)/(1+$F$103)^$N$3</f>
        <v>3912.35576197228</v>
      </c>
      <c r="Q125" s="15" t="n">
        <f aca="false">O125+P125</f>
        <v>5622.58968577577</v>
      </c>
      <c r="R125" s="15" t="n">
        <f aca="false">Q125-$G$2+$I$2</f>
        <v>5789.98968577577</v>
      </c>
      <c r="S125" s="42" t="n">
        <f aca="false">R125/$K$2</f>
        <v>164.535086268138</v>
      </c>
      <c r="T125" s="43" t="n">
        <f aca="false">S125-$M$2</f>
        <v>-0.000293101001062723</v>
      </c>
    </row>
    <row r="126" customFormat="false" ht="15" hidden="false" customHeight="false" outlineLevel="0" collapsed="false">
      <c r="A126" s="5" t="n">
        <v>22</v>
      </c>
      <c r="B126" s="25" t="n">
        <f aca="false">IF(T125&gt;0,B125,D125)</f>
        <v>0.0445563793182373</v>
      </c>
      <c r="C126" s="25" t="n">
        <f aca="false">IF(T125&gt;0,D125,C125)</f>
        <v>0.0445570945739746</v>
      </c>
      <c r="D126" s="41" t="n">
        <f aca="false">(B126+C126)/2</f>
        <v>0.044556736946106</v>
      </c>
      <c r="E126" s="15" t="n">
        <f aca="false">$C$2*(1+IF(E$3&lt;=$O$2,$D126,$D126-($D126-$I$103)*MIN(E$3-$O$2,$Q$2)/$Q$2))</f>
        <v>908.795697845221</v>
      </c>
      <c r="F126" s="15" t="n">
        <f aca="false">E126*(1+IF(F$3&lt;=$O$2,$D126,$D126-($D126-$I$103)*MIN(F$3-$O$2,$Q$2)/$Q$2))</f>
        <v>949.288668691863</v>
      </c>
      <c r="G126" s="15" t="n">
        <f aca="false">F126*(1+IF(G$3&lt;=$O$2,$D126,$D126-($D126-$I$103)*MIN(G$3-$O$2,$Q$2)/$Q$2))</f>
        <v>991.585874188685</v>
      </c>
      <c r="H126" s="15" t="n">
        <f aca="false">G126*(1+IF(H$3&lt;=$O$2,$D126,$D126-($D126-$I$103)*MIN(H$3-$O$2,$Q$2)/$Q$2))</f>
        <v>1035.76770514439</v>
      </c>
      <c r="I126" s="15" t="n">
        <f aca="false">H126*(1+IF(I$3&lt;=$O$2,$D126,$D126-($D126-$I$103)*MIN(I$3-$O$2,$Q$2)/$Q$2))</f>
        <v>1081.91813431978</v>
      </c>
      <c r="J126" s="15" t="n">
        <f aca="false">I126*(1+IF(J$3&lt;=$O$2,$D126,$D126-($D126-$I$103)*MIN(J$3-$O$2,$Q$2)/$Q$2))</f>
        <v>1126.60718432651</v>
      </c>
      <c r="K126" s="15" t="n">
        <f aca="false">J126*(1+IF(K$3&lt;=$O$2,$D126,$D126-($D126-$I$103)*MIN(K$3-$O$2,$Q$2)/$Q$2))</f>
        <v>1169.47914162527</v>
      </c>
      <c r="L126" s="15" t="n">
        <f aca="false">K126*(1+IF(L$3&lt;=$O$2,$D126,$D126-($D126-$I$103)*MIN(L$3-$O$2,$Q$2)/$Q$2))</f>
        <v>1210.180167241</v>
      </c>
      <c r="M126" s="15" t="n">
        <f aca="false">L126*(1+IF(M$3&lt;=$O$2,$D126,$D126-($D126-$I$103)*MIN(M$3-$O$2,$Q$2)/$Q$2))</f>
        <v>1248.36298210117</v>
      </c>
      <c r="N126" s="15" t="n">
        <f aca="false">M126*(1+IF(N$3&lt;=$O$2,$D126,$D126-($D126-$I$103)*MIN(N$3-$O$2,$Q$2)/$Q$2))</f>
        <v>1283.69165449463</v>
      </c>
      <c r="O126" s="15" t="n">
        <f aca="false">SUMPRODUCT(E126:N126,1/(1+$F$103)^$E$3:$N$3)*$E$2</f>
        <v>1710.23664952455</v>
      </c>
      <c r="P126" s="15" t="n">
        <f aca="false">N126*$E$2*(1+$I$103)/($F$103-$I$103)/(1+$F$103)^$N$3</f>
        <v>3912.36515518416</v>
      </c>
      <c r="Q126" s="15" t="n">
        <f aca="false">O126+P126</f>
        <v>5622.60180470871</v>
      </c>
      <c r="R126" s="15" t="n">
        <f aca="false">Q126-$G$2+$I$2</f>
        <v>5790.00180470871</v>
      </c>
      <c r="S126" s="42" t="n">
        <f aca="false">R126/$K$2</f>
        <v>164.535430653842</v>
      </c>
      <c r="T126" s="43" t="n">
        <f aca="false">S126-$M$2</f>
        <v>5.12847033746766E-005</v>
      </c>
    </row>
    <row r="127" customFormat="false" ht="15" hidden="false" customHeight="false" outlineLevel="0" collapsed="false">
      <c r="A127" s="5" t="n">
        <v>23</v>
      </c>
      <c r="B127" s="25" t="n">
        <f aca="false">IF(T126&gt;0,B126,D126)</f>
        <v>0.0445563793182373</v>
      </c>
      <c r="C127" s="25" t="n">
        <f aca="false">IF(T126&gt;0,D126,C126)</f>
        <v>0.044556736946106</v>
      </c>
      <c r="D127" s="41" t="n">
        <f aca="false">(B127+C127)/2</f>
        <v>0.0445565581321716</v>
      </c>
      <c r="E127" s="15" t="n">
        <f aca="false">$C$2*(1+IF(E$3&lt;=$O$2,$D127,$D127-($D127-$I$103)*MIN(E$3-$O$2,$Q$2)/$Q$2))</f>
        <v>908.795542271733</v>
      </c>
      <c r="F127" s="15" t="n">
        <f aca="false">E127*(1+IF(F$3&lt;=$O$2,$D127,$D127-($D127-$I$103)*MIN(F$3-$O$2,$Q$2)/$Q$2))</f>
        <v>949.288343681222</v>
      </c>
      <c r="G127" s="15" t="n">
        <f aca="false">F127*(1+IF(G$3&lt;=$O$2,$D127,$D127-($D127-$I$103)*MIN(G$3-$O$2,$Q$2)/$Q$2))</f>
        <v>991.585364950647</v>
      </c>
      <c r="H127" s="15" t="n">
        <f aca="false">G127*(1+IF(H$3&lt;=$O$2,$D127,$D127-($D127-$I$103)*MIN(H$3-$O$2,$Q$2)/$Q$2))</f>
        <v>1035.76699590708</v>
      </c>
      <c r="I127" s="15" t="n">
        <f aca="false">H127*(1+IF(I$3&lt;=$O$2,$D127,$D127-($D127-$I$103)*MIN(I$3-$O$2,$Q$2)/$Q$2))</f>
        <v>1081.9172082716</v>
      </c>
      <c r="J127" s="15" t="n">
        <f aca="false">I127*(1+IF(J$3&lt;=$O$2,$D127,$D127-($D127-$I$103)*MIN(J$3-$O$2,$Q$2)/$Q$2))</f>
        <v>1126.60606525806</v>
      </c>
      <c r="K127" s="15" t="n">
        <f aca="false">J127*(1+IF(K$3&lt;=$O$2,$D127,$D127-($D127-$I$103)*MIN(K$3-$O$2,$Q$2)/$Q$2))</f>
        <v>1169.47785910002</v>
      </c>
      <c r="L127" s="15" t="n">
        <f aca="false">K127*(1+IF(L$3&lt;=$O$2,$D127,$D127-($D127-$I$103)*MIN(L$3-$O$2,$Q$2)/$Q$2))</f>
        <v>1210.17875643285</v>
      </c>
      <c r="M127" s="15" t="n">
        <f aca="false">L127*(1+IF(M$3&lt;=$O$2,$D127,$D127-($D127-$I$103)*MIN(M$3-$O$2,$Q$2)/$Q$2))</f>
        <v>1248.36148350075</v>
      </c>
      <c r="N127" s="15" t="n">
        <f aca="false">M127*(1+IF(N$3&lt;=$O$2,$D127,$D127-($D127-$I$103)*MIN(N$3-$O$2,$Q$2)/$Q$2))</f>
        <v>1283.69011348382</v>
      </c>
      <c r="O127" s="15" t="n">
        <f aca="false">SUMPRODUCT(E127:N127,1/(1+$F$103)^$E$3:$N$3)*$E$2</f>
        <v>1710.23528666348</v>
      </c>
      <c r="P127" s="15" t="n">
        <f aca="false">N127*$E$2*(1+$I$103)/($F$103-$I$103)/(1+$F$103)^$N$3</f>
        <v>3912.36045857576</v>
      </c>
      <c r="Q127" s="15" t="n">
        <f aca="false">O127+P127</f>
        <v>5622.59574523924</v>
      </c>
      <c r="R127" s="15" t="n">
        <f aca="false">Q127-$G$2+$I$2</f>
        <v>5789.99574523924</v>
      </c>
      <c r="S127" s="42" t="n">
        <f aca="false">R127/$K$2</f>
        <v>164.535258460905</v>
      </c>
      <c r="T127" s="43" t="n">
        <f aca="false">S127-$M$2</f>
        <v>-0.000120908234293893</v>
      </c>
    </row>
    <row r="128" customFormat="false" ht="15" hidden="false" customHeight="false" outlineLevel="0" collapsed="false">
      <c r="A128" s="5" t="n">
        <v>24</v>
      </c>
      <c r="B128" s="25" t="n">
        <f aca="false">IF(T127&gt;0,B127,D127)</f>
        <v>0.0445565581321716</v>
      </c>
      <c r="C128" s="25" t="n">
        <f aca="false">IF(T127&gt;0,D127,C127)</f>
        <v>0.044556736946106</v>
      </c>
      <c r="D128" s="41" t="n">
        <f aca="false">(B128+C128)/2</f>
        <v>0.0445566475391388</v>
      </c>
      <c r="E128" s="15" t="n">
        <f aca="false">$C$2*(1+IF(E$3&lt;=$O$2,$D128,$D128-($D128-$I$103)*MIN(E$3-$O$2,$Q$2)/$Q$2))</f>
        <v>908.795620058477</v>
      </c>
      <c r="F128" s="15" t="n">
        <f aca="false">E128*(1+IF(F$3&lt;=$O$2,$D128,$D128-($D128-$I$103)*MIN(F$3-$O$2,$Q$2)/$Q$2))</f>
        <v>949.288506186536</v>
      </c>
      <c r="G128" s="15" t="n">
        <f aca="false">F128*(1+IF(G$3&lt;=$O$2,$D128,$D128-($D128-$I$103)*MIN(G$3-$O$2,$Q$2)/$Q$2))</f>
        <v>991.585619569645</v>
      </c>
      <c r="H128" s="15" t="n">
        <f aca="false">G128*(1+IF(H$3&lt;=$O$2,$D128,$D128-($D128-$I$103)*MIN(H$3-$O$2,$Q$2)/$Q$2))</f>
        <v>1035.76735052569</v>
      </c>
      <c r="I128" s="15" t="n">
        <f aca="false">H128*(1+IF(I$3&lt;=$O$2,$D128,$D128-($D128-$I$103)*MIN(I$3-$O$2,$Q$2)/$Q$2))</f>
        <v>1081.91767129561</v>
      </c>
      <c r="J128" s="15" t="n">
        <f aca="false">I128*(1+IF(J$3&lt;=$O$2,$D128,$D128-($D128-$I$103)*MIN(J$3-$O$2,$Q$2)/$Q$2))</f>
        <v>1126.60662479217</v>
      </c>
      <c r="K128" s="15" t="n">
        <f aca="false">J128*(1+IF(K$3&lt;=$O$2,$D128,$D128-($D128-$I$103)*MIN(K$3-$O$2,$Q$2)/$Q$2))</f>
        <v>1169.47850036249</v>
      </c>
      <c r="L128" s="15" t="n">
        <f aca="false">K128*(1+IF(L$3&lt;=$O$2,$D128,$D128-($D128-$I$103)*MIN(L$3-$O$2,$Q$2)/$Q$2))</f>
        <v>1210.17946183675</v>
      </c>
      <c r="M128" s="15" t="n">
        <f aca="false">L128*(1+IF(M$3&lt;=$O$2,$D128,$D128-($D128-$I$103)*MIN(M$3-$O$2,$Q$2)/$Q$2))</f>
        <v>1248.36223280076</v>
      </c>
      <c r="N128" s="15" t="n">
        <f aca="false">M128*(1+IF(N$3&lt;=$O$2,$D128,$D128-($D128-$I$103)*MIN(N$3-$O$2,$Q$2)/$Q$2))</f>
        <v>1283.69088398903</v>
      </c>
      <c r="O128" s="15" t="n">
        <f aca="false">SUMPRODUCT(E128:N128,1/(1+$F$103)^$E$3:$N$3)*$E$2</f>
        <v>1710.23596809388</v>
      </c>
      <c r="P128" s="15" t="n">
        <f aca="false">N128*$E$2*(1+$I$103)/($F$103-$I$103)/(1+$F$103)^$N$3</f>
        <v>3912.36280687935</v>
      </c>
      <c r="Q128" s="15" t="n">
        <f aca="false">O128+P128</f>
        <v>5622.59877497322</v>
      </c>
      <c r="R128" s="15" t="n">
        <f aca="false">Q128-$G$2+$I$2</f>
        <v>5789.99877497322</v>
      </c>
      <c r="S128" s="42" t="n">
        <f aca="false">R128/$K$2</f>
        <v>164.535344557352</v>
      </c>
      <c r="T128" s="43" t="n">
        <f aca="false">S128-$M$2</f>
        <v>-3.48117868043119E-005</v>
      </c>
    </row>
    <row r="130" customFormat="false" ht="15" hidden="false" customHeight="false" outlineLevel="0" collapsed="false">
      <c r="A130" s="38" t="s">
        <v>191</v>
      </c>
      <c r="E130" s="5" t="s">
        <v>12</v>
      </c>
      <c r="F130" s="12" t="n">
        <f aca="false">Sensitivity!$B$10</f>
        <v>0.0675075820986394</v>
      </c>
      <c r="G130" s="5" t="s">
        <v>13</v>
      </c>
      <c r="I130" s="12" t="n">
        <f aca="false">Sensitivity!$F$9</f>
        <v>0.0333</v>
      </c>
    </row>
    <row r="131" customFormat="false" ht="23.85" hidden="false" customHeight="false" outlineLevel="0" collapsed="false">
      <c r="A131" s="38" t="s">
        <v>168</v>
      </c>
      <c r="B131" s="28" t="s">
        <v>169</v>
      </c>
      <c r="C131" s="28" t="s">
        <v>170</v>
      </c>
      <c r="D131" s="28" t="s">
        <v>171</v>
      </c>
      <c r="E131" s="28" t="s">
        <v>172</v>
      </c>
      <c r="F131" s="28" t="s">
        <v>173</v>
      </c>
      <c r="G131" s="28" t="s">
        <v>174</v>
      </c>
      <c r="H131" s="28" t="s">
        <v>175</v>
      </c>
      <c r="I131" s="28" t="s">
        <v>176</v>
      </c>
      <c r="J131" s="28" t="s">
        <v>177</v>
      </c>
      <c r="K131" s="28" t="s">
        <v>178</v>
      </c>
      <c r="L131" s="28" t="s">
        <v>179</v>
      </c>
      <c r="M131" s="28" t="s">
        <v>180</v>
      </c>
      <c r="N131" s="28" t="s">
        <v>181</v>
      </c>
      <c r="O131" s="28" t="s">
        <v>182</v>
      </c>
      <c r="P131" s="28" t="s">
        <v>183</v>
      </c>
      <c r="Q131" s="28" t="s">
        <v>184</v>
      </c>
      <c r="R131" s="28" t="s">
        <v>185</v>
      </c>
      <c r="S131" s="28" t="s">
        <v>186</v>
      </c>
      <c r="T131" s="28" t="s">
        <v>187</v>
      </c>
    </row>
    <row r="132" customFormat="false" ht="15" hidden="false" customHeight="false" outlineLevel="0" collapsed="false">
      <c r="A132" s="5" t="n">
        <v>1</v>
      </c>
      <c r="B132" s="24" t="n">
        <v>-0.5</v>
      </c>
      <c r="C132" s="24" t="n">
        <v>1</v>
      </c>
      <c r="D132" s="41" t="n">
        <f aca="false">(B132+C132)/2</f>
        <v>0.25</v>
      </c>
      <c r="E132" s="15" t="n">
        <f aca="false">$C$2*(1+IF(E$3&lt;=$O$2,$D132,$D132-($D132-$I$130)*MIN(E$3-$O$2,$Q$2)/$Q$2))</f>
        <v>1087.5375</v>
      </c>
      <c r="F132" s="15" t="n">
        <f aca="false">E132*(1+IF(F$3&lt;=$O$2,$D132,$D132-($D132-$I$130)*MIN(F$3-$O$2,$Q$2)/$Q$2))</f>
        <v>1359.421875</v>
      </c>
      <c r="G132" s="15" t="n">
        <f aca="false">F132*(1+IF(G$3&lt;=$O$2,$D132,$D132-($D132-$I$130)*MIN(G$3-$O$2,$Q$2)/$Q$2))</f>
        <v>1699.27734375</v>
      </c>
      <c r="H132" s="15" t="n">
        <f aca="false">G132*(1+IF(H$3&lt;=$O$2,$D132,$D132-($D132-$I$130)*MIN(H$3-$O$2,$Q$2)/$Q$2))</f>
        <v>2124.0966796875</v>
      </c>
      <c r="I132" s="15" t="n">
        <f aca="false">H132*(1+IF(I$3&lt;=$O$2,$D132,$D132-($D132-$I$130)*MIN(I$3-$O$2,$Q$2)/$Q$2))</f>
        <v>2655.12084960938</v>
      </c>
      <c r="J132" s="15" t="n">
        <f aca="false">I132*(1+IF(J$3&lt;=$O$2,$D132,$D132-($D132-$I$130)*MIN(J$3-$O$2,$Q$2)/$Q$2))</f>
        <v>3203.82812438965</v>
      </c>
      <c r="K132" s="15" t="n">
        <f aca="false">J132*(1+IF(K$3&lt;=$O$2,$D132,$D132-($D132-$I$130)*MIN(K$3-$O$2,$Q$2)/$Q$2))</f>
        <v>3727.07733366497</v>
      </c>
      <c r="L132" s="15" t="n">
        <f aca="false">K132*(1+IF(L$3&lt;=$O$2,$D132,$D132-($D132-$I$130)*MIN(L$3-$O$2,$Q$2)/$Q$2))</f>
        <v>4174.25207215809</v>
      </c>
      <c r="M132" s="15" t="n">
        <f aca="false">L132*(1+IF(M$3&lt;=$O$2,$D132,$D132-($D132-$I$130)*MIN(M$3-$O$2,$Q$2)/$Q$2))</f>
        <v>4494.16675096829</v>
      </c>
      <c r="N132" s="15" t="n">
        <f aca="false">M132*(1+IF(N$3&lt;=$O$2,$D132,$D132-($D132-$I$130)*MIN(N$3-$O$2,$Q$2)/$Q$2))</f>
        <v>4643.82250377553</v>
      </c>
      <c r="O132" s="15" t="n">
        <f aca="false">SUMPRODUCT(E132:N132,1/(1+$F$130)^$E$3:$N$3)*$E$2</f>
        <v>4259.17488285101</v>
      </c>
      <c r="P132" s="15" t="n">
        <f aca="false">N132*$E$2*(1+$I$130)/($F$130-$I$130)/(1+$F$130)^$N$3</f>
        <v>16300.786243082</v>
      </c>
      <c r="Q132" s="15" t="n">
        <f aca="false">O132+P132</f>
        <v>20559.961125933</v>
      </c>
      <c r="R132" s="15" t="n">
        <f aca="false">Q132-$G$2+$I$2</f>
        <v>20727.361125933</v>
      </c>
      <c r="S132" s="42" t="n">
        <f aca="false">R132/$K$2</f>
        <v>589.012819719608</v>
      </c>
      <c r="T132" s="43" t="n">
        <f aca="false">S132-$M$2</f>
        <v>424.477440350469</v>
      </c>
    </row>
    <row r="133" customFormat="false" ht="15" hidden="false" customHeight="false" outlineLevel="0" collapsed="false">
      <c r="A133" s="5" t="n">
        <v>2</v>
      </c>
      <c r="B133" s="25" t="n">
        <f aca="false">IF(T132&gt;0,B132,D132)</f>
        <v>-0.5</v>
      </c>
      <c r="C133" s="25" t="n">
        <f aca="false">IF(T132&gt;0,D132,C132)</f>
        <v>0.25</v>
      </c>
      <c r="D133" s="41" t="n">
        <f aca="false">(B133+C133)/2</f>
        <v>-0.125</v>
      </c>
      <c r="E133" s="15" t="n">
        <f aca="false">$C$2*(1+IF(E$3&lt;=$O$2,$D133,$D133-($D133-$I$130)*MIN(E$3-$O$2,$Q$2)/$Q$2))</f>
        <v>761.27625</v>
      </c>
      <c r="F133" s="15" t="n">
        <f aca="false">E133*(1+IF(F$3&lt;=$O$2,$D133,$D133-($D133-$I$130)*MIN(F$3-$O$2,$Q$2)/$Q$2))</f>
        <v>666.11671875</v>
      </c>
      <c r="G133" s="15" t="n">
        <f aca="false">F133*(1+IF(G$3&lt;=$O$2,$D133,$D133-($D133-$I$130)*MIN(G$3-$O$2,$Q$2)/$Q$2))</f>
        <v>582.85212890625</v>
      </c>
      <c r="H133" s="15" t="n">
        <f aca="false">G133*(1+IF(H$3&lt;=$O$2,$D133,$D133-($D133-$I$130)*MIN(H$3-$O$2,$Q$2)/$Q$2))</f>
        <v>509.995612792969</v>
      </c>
      <c r="I133" s="15" t="n">
        <f aca="false">H133*(1+IF(I$3&lt;=$O$2,$D133,$D133-($D133-$I$130)*MIN(I$3-$O$2,$Q$2)/$Q$2))</f>
        <v>446.246161193848</v>
      </c>
      <c r="J133" s="15" t="n">
        <f aca="false">I133*(1+IF(J$3&lt;=$O$2,$D133,$D133-($D133-$I$130)*MIN(J$3-$O$2,$Q$2)/$Q$2))</f>
        <v>404.593544508014</v>
      </c>
      <c r="K133" s="15" t="n">
        <f aca="false">J133*(1+IF(K$3&lt;=$O$2,$D133,$D133-($D133-$I$130)*MIN(K$3-$O$2,$Q$2)/$Q$2))</f>
        <v>379.63821468276</v>
      </c>
      <c r="L133" s="15" t="n">
        <f aca="false">K133*(1+IF(L$3&lt;=$O$2,$D133,$D133-($D133-$I$130)*MIN(L$3-$O$2,$Q$2)/$Q$2))</f>
        <v>368.241475477983</v>
      </c>
      <c r="M133" s="15" t="n">
        <f aca="false">L133*(1+IF(M$3&lt;=$O$2,$D133,$D133-($D133-$I$130)*MIN(M$3-$O$2,$Q$2)/$Q$2))</f>
        <v>368.845391497767</v>
      </c>
      <c r="N133" s="15" t="n">
        <f aca="false">M133*(1+IF(N$3&lt;=$O$2,$D133,$D133-($D133-$I$130)*MIN(N$3-$O$2,$Q$2)/$Q$2))</f>
        <v>381.127943034643</v>
      </c>
      <c r="O133" s="15" t="n">
        <f aca="false">SUMPRODUCT(E133:N133,1/(1+$F$130)^$E$3:$N$3)*$E$2</f>
        <v>809.928368122227</v>
      </c>
      <c r="P133" s="15" t="n">
        <f aca="false">N133*$E$2*(1+$I$130)/($F$130-$I$130)/(1+$F$130)^$N$3</f>
        <v>1337.83862876374</v>
      </c>
      <c r="Q133" s="15" t="n">
        <f aca="false">O133+P133</f>
        <v>2147.76699688597</v>
      </c>
      <c r="R133" s="15" t="n">
        <f aca="false">Q133-$G$2+$I$2</f>
        <v>2315.16699688597</v>
      </c>
      <c r="S133" s="42" t="n">
        <f aca="false">R133/$K$2</f>
        <v>65.790480161579</v>
      </c>
      <c r="T133" s="43" t="n">
        <f aca="false">S133-$M$2</f>
        <v>-98.74489920756</v>
      </c>
    </row>
    <row r="134" customFormat="false" ht="15" hidden="false" customHeight="false" outlineLevel="0" collapsed="false">
      <c r="A134" s="5" t="n">
        <v>3</v>
      </c>
      <c r="B134" s="25" t="n">
        <f aca="false">IF(T133&gt;0,B133,D133)</f>
        <v>-0.125</v>
      </c>
      <c r="C134" s="25" t="n">
        <f aca="false">IF(T133&gt;0,D133,C133)</f>
        <v>0.25</v>
      </c>
      <c r="D134" s="41" t="n">
        <f aca="false">(B134+C134)/2</f>
        <v>0.0625</v>
      </c>
      <c r="E134" s="15" t="n">
        <f aca="false">$C$2*(1+IF(E$3&lt;=$O$2,$D134,$D134-($D134-$I$130)*MIN(E$3-$O$2,$Q$2)/$Q$2))</f>
        <v>924.406875</v>
      </c>
      <c r="F134" s="15" t="n">
        <f aca="false">E134*(1+IF(F$3&lt;=$O$2,$D134,$D134-($D134-$I$130)*MIN(F$3-$O$2,$Q$2)/$Q$2))</f>
        <v>982.1823046875</v>
      </c>
      <c r="G134" s="15" t="n">
        <f aca="false">F134*(1+IF(G$3&lt;=$O$2,$D134,$D134-($D134-$I$130)*MIN(G$3-$O$2,$Q$2)/$Q$2))</f>
        <v>1043.56869873047</v>
      </c>
      <c r="H134" s="15" t="n">
        <f aca="false">G134*(1+IF(H$3&lt;=$O$2,$D134,$D134-($D134-$I$130)*MIN(H$3-$O$2,$Q$2)/$Q$2))</f>
        <v>1108.79174240112</v>
      </c>
      <c r="I134" s="15" t="n">
        <f aca="false">H134*(1+IF(I$3&lt;=$O$2,$D134,$D134-($D134-$I$130)*MIN(I$3-$O$2,$Q$2)/$Q$2))</f>
        <v>1178.09122630119</v>
      </c>
      <c r="J134" s="15" t="n">
        <f aca="false">I134*(1+IF(J$3&lt;=$O$2,$D134,$D134-($D134-$I$130)*MIN(J$3-$O$2,$Q$2)/$Q$2))</f>
        <v>1244.84187518342</v>
      </c>
      <c r="K134" s="15" t="n">
        <f aca="false">J134*(1+IF(K$3&lt;=$O$2,$D134,$D134-($D134-$I$130)*MIN(K$3-$O$2,$Q$2)/$Q$2))</f>
        <v>1308.10473928024</v>
      </c>
      <c r="L134" s="15" t="n">
        <f aca="false">K134*(1+IF(L$3&lt;=$O$2,$D134,$D134-($D134-$I$130)*MIN(L$3-$O$2,$Q$2)/$Q$2))</f>
        <v>1366.94329045307</v>
      </c>
      <c r="M134" s="15" t="n">
        <f aca="false">L134*(1+IF(M$3&lt;=$O$2,$D134,$D134-($D134-$I$130)*MIN(M$3-$O$2,$Q$2)/$Q$2))</f>
        <v>1420.4454508414</v>
      </c>
      <c r="N134" s="15" t="n">
        <f aca="false">M134*(1+IF(N$3&lt;=$O$2,$D134,$D134-($D134-$I$130)*MIN(N$3-$O$2,$Q$2)/$Q$2))</f>
        <v>1467.74628435442</v>
      </c>
      <c r="O134" s="15" t="n">
        <f aca="false">SUMPRODUCT(E134:N134,1/(1+$F$130)^$E$3:$N$3)*$E$2</f>
        <v>1858.47693397714</v>
      </c>
      <c r="P134" s="15" t="n">
        <f aca="false">N134*$E$2*(1+$I$130)/($F$130-$I$130)/(1+$F$130)^$N$3</f>
        <v>5152.09580488646</v>
      </c>
      <c r="Q134" s="15" t="n">
        <f aca="false">O134+P134</f>
        <v>7010.57273886359</v>
      </c>
      <c r="R134" s="15" t="n">
        <f aca="false">Q134-$G$2+$I$2</f>
        <v>7177.97273886359</v>
      </c>
      <c r="S134" s="42" t="n">
        <f aca="false">R134/$K$2</f>
        <v>203.977628271202</v>
      </c>
      <c r="T134" s="43" t="n">
        <f aca="false">S134-$M$2</f>
        <v>39.4422489020629</v>
      </c>
    </row>
    <row r="135" customFormat="false" ht="15" hidden="false" customHeight="false" outlineLevel="0" collapsed="false">
      <c r="A135" s="5" t="n">
        <v>4</v>
      </c>
      <c r="B135" s="25" t="n">
        <f aca="false">IF(T134&gt;0,B134,D134)</f>
        <v>-0.125</v>
      </c>
      <c r="C135" s="25" t="n">
        <f aca="false">IF(T134&gt;0,D134,C134)</f>
        <v>0.0625</v>
      </c>
      <c r="D135" s="41" t="n">
        <f aca="false">(B135+C135)/2</f>
        <v>-0.03125</v>
      </c>
      <c r="E135" s="15" t="n">
        <f aca="false">$C$2*(1+IF(E$3&lt;=$O$2,$D135,$D135-($D135-$I$130)*MIN(E$3-$O$2,$Q$2)/$Q$2))</f>
        <v>842.8415625</v>
      </c>
      <c r="F135" s="15" t="n">
        <f aca="false">E135*(1+IF(F$3&lt;=$O$2,$D135,$D135-($D135-$I$130)*MIN(F$3-$O$2,$Q$2)/$Q$2))</f>
        <v>816.502763671875</v>
      </c>
      <c r="G135" s="15" t="n">
        <f aca="false">F135*(1+IF(G$3&lt;=$O$2,$D135,$D135-($D135-$I$130)*MIN(G$3-$O$2,$Q$2)/$Q$2))</f>
        <v>790.987052307129</v>
      </c>
      <c r="H135" s="15" t="n">
        <f aca="false">G135*(1+IF(H$3&lt;=$O$2,$D135,$D135-($D135-$I$130)*MIN(H$3-$O$2,$Q$2)/$Q$2))</f>
        <v>766.268706922531</v>
      </c>
      <c r="I135" s="15" t="n">
        <f aca="false">H135*(1+IF(I$3&lt;=$O$2,$D135,$D135-($D135-$I$130)*MIN(I$3-$O$2,$Q$2)/$Q$2))</f>
        <v>742.322809831202</v>
      </c>
      <c r="J135" s="15" t="n">
        <f aca="false">I135*(1+IF(J$3&lt;=$O$2,$D135,$D135-($D135-$I$130)*MIN(J$3-$O$2,$Q$2)/$Q$2))</f>
        <v>728.708609498898</v>
      </c>
      <c r="K135" s="15" t="n">
        <f aca="false">J135*(1+IF(K$3&lt;=$O$2,$D135,$D135-($D135-$I$130)*MIN(K$3-$O$2,$Q$2)/$Q$2))</f>
        <v>724.751721749319</v>
      </c>
      <c r="L135" s="15" t="n">
        <f aca="false">K135*(1+IF(L$3&lt;=$O$2,$D135,$D135-($D135-$I$130)*MIN(L$3-$O$2,$Q$2)/$Q$2))</f>
        <v>730.172864628004</v>
      </c>
      <c r="M135" s="15" t="n">
        <f aca="false">L135*(1+IF(M$3&lt;=$O$2,$D135,$D135-($D135-$I$130)*MIN(M$3-$O$2,$Q$2)/$Q$2))</f>
        <v>745.061089337768</v>
      </c>
      <c r="N135" s="15" t="n">
        <f aca="false">M135*(1+IF(N$3&lt;=$O$2,$D135,$D135-($D135-$I$130)*MIN(N$3-$O$2,$Q$2)/$Q$2))</f>
        <v>769.871623612716</v>
      </c>
      <c r="O135" s="15" t="n">
        <f aca="false">SUMPRODUCT(E135:N135,1/(1+$F$130)^$E$3:$N$3)*$E$2</f>
        <v>1223.91297169298</v>
      </c>
      <c r="P135" s="15" t="n">
        <f aca="false">N135*$E$2*(1+$I$130)/($F$130-$I$130)/(1+$F$130)^$N$3</f>
        <v>2702.41008585542</v>
      </c>
      <c r="Q135" s="15" t="n">
        <f aca="false">O135+P135</f>
        <v>3926.3230575484</v>
      </c>
      <c r="R135" s="15" t="n">
        <f aca="false">Q135-$G$2+$I$2</f>
        <v>4093.7230575484</v>
      </c>
      <c r="S135" s="42" t="n">
        <f aca="false">R135/$K$2</f>
        <v>116.331999361989</v>
      </c>
      <c r="T135" s="43" t="n">
        <f aca="false">S135-$M$2</f>
        <v>-48.2033800071498</v>
      </c>
    </row>
    <row r="136" customFormat="false" ht="15" hidden="false" customHeight="false" outlineLevel="0" collapsed="false">
      <c r="A136" s="5" t="n">
        <v>5</v>
      </c>
      <c r="B136" s="25" t="n">
        <f aca="false">IF(T135&gt;0,B135,D135)</f>
        <v>-0.03125</v>
      </c>
      <c r="C136" s="25" t="n">
        <f aca="false">IF(T135&gt;0,D135,C135)</f>
        <v>0.0625</v>
      </c>
      <c r="D136" s="41" t="n">
        <f aca="false">(B136+C136)/2</f>
        <v>0.015625</v>
      </c>
      <c r="E136" s="15" t="n">
        <f aca="false">$C$2*(1+IF(E$3&lt;=$O$2,$D136,$D136-($D136-$I$130)*MIN(E$3-$O$2,$Q$2)/$Q$2))</f>
        <v>883.62421875</v>
      </c>
      <c r="F136" s="15" t="n">
        <f aca="false">E136*(1+IF(F$3&lt;=$O$2,$D136,$D136-($D136-$I$130)*MIN(F$3-$O$2,$Q$2)/$Q$2))</f>
        <v>897.430847167969</v>
      </c>
      <c r="G136" s="15" t="n">
        <f aca="false">F136*(1+IF(G$3&lt;=$O$2,$D136,$D136-($D136-$I$130)*MIN(G$3-$O$2,$Q$2)/$Q$2))</f>
        <v>911.453204154968</v>
      </c>
      <c r="H136" s="15" t="n">
        <f aca="false">G136*(1+IF(H$3&lt;=$O$2,$D136,$D136-($D136-$I$130)*MIN(H$3-$O$2,$Q$2)/$Q$2))</f>
        <v>925.69466046989</v>
      </c>
      <c r="I136" s="15" t="n">
        <f aca="false">H136*(1+IF(I$3&lt;=$O$2,$D136,$D136-($D136-$I$130)*MIN(I$3-$O$2,$Q$2)/$Q$2))</f>
        <v>940.158639539732</v>
      </c>
      <c r="J136" s="15" t="n">
        <f aca="false">I136*(1+IF(J$3&lt;=$O$2,$D136,$D136-($D136-$I$130)*MIN(J$3-$O$2,$Q$2)/$Q$2))</f>
        <v>958.172079073313</v>
      </c>
      <c r="K136" s="15" t="n">
        <f aca="false">J136*(1+IF(K$3&lt;=$O$2,$D136,$D136-($D136-$I$130)*MIN(K$3-$O$2,$Q$2)/$Q$2))</f>
        <v>979.917794407882</v>
      </c>
      <c r="L136" s="15" t="n">
        <f aca="false">K136*(1+IF(L$3&lt;=$O$2,$D136,$D136-($D136-$I$130)*MIN(L$3-$O$2,$Q$2)/$Q$2))</f>
        <v>1005.6210381552</v>
      </c>
      <c r="M136" s="15" t="n">
        <f aca="false">L136*(1+IF(M$3&lt;=$O$2,$D136,$D136-($D136-$I$130)*MIN(M$3-$O$2,$Q$2)/$Q$2))</f>
        <v>1035.55334835589</v>
      </c>
      <c r="N136" s="15" t="n">
        <f aca="false">M136*(1+IF(N$3&lt;=$O$2,$D136,$D136-($D136-$I$130)*MIN(N$3-$O$2,$Q$2)/$Q$2))</f>
        <v>1070.03727485614</v>
      </c>
      <c r="O136" s="15" t="n">
        <f aca="false">SUMPRODUCT(E136:N136,1/(1+$F$130)^$E$3:$N$3)*$E$2</f>
        <v>1507.799487935</v>
      </c>
      <c r="P136" s="15" t="n">
        <f aca="false">N136*$E$2*(1+$I$130)/($F$130-$I$130)/(1+$F$130)^$N$3</f>
        <v>3756.05417204875</v>
      </c>
      <c r="Q136" s="15" t="n">
        <f aca="false">O136+P136</f>
        <v>5263.85365998375</v>
      </c>
      <c r="R136" s="15" t="n">
        <f aca="false">Q136-$G$2+$I$2</f>
        <v>5431.25365998375</v>
      </c>
      <c r="S136" s="42" t="n">
        <f aca="false">R136/$K$2</f>
        <v>154.340825802323</v>
      </c>
      <c r="T136" s="43" t="n">
        <f aca="false">S136-$M$2</f>
        <v>-10.1945535668159</v>
      </c>
    </row>
    <row r="137" customFormat="false" ht="15" hidden="false" customHeight="false" outlineLevel="0" collapsed="false">
      <c r="A137" s="5" t="n">
        <v>6</v>
      </c>
      <c r="B137" s="25" t="n">
        <f aca="false">IF(T136&gt;0,B136,D136)</f>
        <v>0.015625</v>
      </c>
      <c r="C137" s="25" t="n">
        <f aca="false">IF(T136&gt;0,D136,C136)</f>
        <v>0.0625</v>
      </c>
      <c r="D137" s="41" t="n">
        <f aca="false">(B137+C137)/2</f>
        <v>0.0390625</v>
      </c>
      <c r="E137" s="15" t="n">
        <f aca="false">$C$2*(1+IF(E$3&lt;=$O$2,$D137,$D137-($D137-$I$130)*MIN(E$3-$O$2,$Q$2)/$Q$2))</f>
        <v>904.015546875</v>
      </c>
      <c r="F137" s="15" t="n">
        <f aca="false">E137*(1+IF(F$3&lt;=$O$2,$D137,$D137-($D137-$I$130)*MIN(F$3-$O$2,$Q$2)/$Q$2))</f>
        <v>939.328654174805</v>
      </c>
      <c r="G137" s="15" t="n">
        <f aca="false">F137*(1+IF(G$3&lt;=$O$2,$D137,$D137-($D137-$I$130)*MIN(G$3-$O$2,$Q$2)/$Q$2))</f>
        <v>976.021179728508</v>
      </c>
      <c r="H137" s="15" t="n">
        <f aca="false">G137*(1+IF(H$3&lt;=$O$2,$D137,$D137-($D137-$I$130)*MIN(H$3-$O$2,$Q$2)/$Q$2))</f>
        <v>1014.14700706165</v>
      </c>
      <c r="I137" s="15" t="n">
        <f aca="false">H137*(1+IF(I$3&lt;=$O$2,$D137,$D137-($D137-$I$130)*MIN(I$3-$O$2,$Q$2)/$Q$2))</f>
        <v>1053.762124525</v>
      </c>
      <c r="J137" s="15" t="n">
        <f aca="false">I137*(1+IF(J$3&lt;=$O$2,$D137,$D137-($D137-$I$130)*MIN(J$3-$O$2,$Q$2)/$Q$2))</f>
        <v>1093.71024666574</v>
      </c>
      <c r="K137" s="15" t="n">
        <f aca="false">J137*(1+IF(K$3&lt;=$O$2,$D137,$D137-($D137-$I$130)*MIN(K$3-$O$2,$Q$2)/$Q$2))</f>
        <v>1133.91230105756</v>
      </c>
      <c r="L137" s="15" t="n">
        <f aca="false">K137*(1+IF(L$3&lt;=$O$2,$D137,$D137-($D137-$I$130)*MIN(L$3-$O$2,$Q$2)/$Q$2))</f>
        <v>1174.28524853671</v>
      </c>
      <c r="M137" s="15" t="n">
        <f aca="false">L137*(1+IF(M$3&lt;=$O$2,$D137,$D137-($D137-$I$130)*MIN(M$3-$O$2,$Q$2)/$Q$2))</f>
        <v>1214.74231106192</v>
      </c>
      <c r="N137" s="15" t="n">
        <f aca="false">M137*(1+IF(N$3&lt;=$O$2,$D137,$D137-($D137-$I$130)*MIN(N$3-$O$2,$Q$2)/$Q$2))</f>
        <v>1255.19323002028</v>
      </c>
      <c r="O137" s="15" t="n">
        <f aca="false">SUMPRODUCT(E137:N137,1/(1+$F$130)^$E$3:$N$3)*$E$2</f>
        <v>1673.94534529295</v>
      </c>
      <c r="P137" s="15" t="n">
        <f aca="false">N137*$E$2*(1+$I$130)/($F$130-$I$130)/(1+$F$130)^$N$3</f>
        <v>4405.99022027422</v>
      </c>
      <c r="Q137" s="15" t="n">
        <f aca="false">O137+P137</f>
        <v>6079.93556556717</v>
      </c>
      <c r="R137" s="15" t="n">
        <f aca="false">Q137-$G$2+$I$2</f>
        <v>6247.33556556717</v>
      </c>
      <c r="S137" s="42" t="n">
        <f aca="false">R137/$K$2</f>
        <v>177.531559123819</v>
      </c>
      <c r="T137" s="43" t="n">
        <f aca="false">S137-$M$2</f>
        <v>12.9961797546795</v>
      </c>
    </row>
    <row r="138" customFormat="false" ht="15" hidden="false" customHeight="false" outlineLevel="0" collapsed="false">
      <c r="A138" s="5" t="n">
        <v>7</v>
      </c>
      <c r="B138" s="25" t="n">
        <f aca="false">IF(T137&gt;0,B137,D137)</f>
        <v>0.015625</v>
      </c>
      <c r="C138" s="25" t="n">
        <f aca="false">IF(T137&gt;0,D137,C137)</f>
        <v>0.0390625</v>
      </c>
      <c r="D138" s="41" t="n">
        <f aca="false">(B138+C138)/2</f>
        <v>0.02734375</v>
      </c>
      <c r="E138" s="15" t="n">
        <f aca="false">$C$2*(1+IF(E$3&lt;=$O$2,$D138,$D138-($D138-$I$130)*MIN(E$3-$O$2,$Q$2)/$Q$2))</f>
        <v>893.8198828125</v>
      </c>
      <c r="F138" s="15" t="n">
        <f aca="false">E138*(1+IF(F$3&lt;=$O$2,$D138,$D138-($D138-$I$130)*MIN(F$3-$O$2,$Q$2)/$Q$2))</f>
        <v>918.260270233154</v>
      </c>
      <c r="G138" s="15" t="n">
        <f aca="false">F138*(1+IF(G$3&lt;=$O$2,$D138,$D138-($D138-$I$130)*MIN(G$3-$O$2,$Q$2)/$Q$2))</f>
        <v>943.368949497342</v>
      </c>
      <c r="H138" s="15" t="n">
        <f aca="false">G138*(1+IF(H$3&lt;=$O$2,$D138,$D138-($D138-$I$130)*MIN(H$3-$O$2,$Q$2)/$Q$2))</f>
        <v>969.16419421016</v>
      </c>
      <c r="I138" s="15" t="n">
        <f aca="false">H138*(1+IF(I$3&lt;=$O$2,$D138,$D138-($D138-$I$130)*MIN(I$3-$O$2,$Q$2)/$Q$2))</f>
        <v>995.664777645594</v>
      </c>
      <c r="J138" s="15" t="n">
        <f aca="false">I138*(1+IF(J$3&lt;=$O$2,$D138,$D138-($D138-$I$130)*MIN(J$3-$O$2,$Q$2)/$Q$2))</f>
        <v>1024.07607207571</v>
      </c>
      <c r="K138" s="15" t="n">
        <f aca="false">J138*(1+IF(K$3&lt;=$O$2,$D138,$D138-($D138-$I$130)*MIN(K$3-$O$2,$Q$2)/$Q$2))</f>
        <v>1054.51801341325</v>
      </c>
      <c r="L138" s="15" t="n">
        <f aca="false">K138*(1+IF(L$3&lt;=$O$2,$D138,$D138-($D138-$I$130)*MIN(L$3-$O$2,$Q$2)/$Q$2))</f>
        <v>1087.12107409296</v>
      </c>
      <c r="M138" s="15" t="n">
        <f aca="false">L138*(1+IF(M$3&lt;=$O$2,$D138,$D138-($D138-$I$130)*MIN(M$3-$O$2,$Q$2)/$Q$2))</f>
        <v>1122.02717288074</v>
      </c>
      <c r="N138" s="15" t="n">
        <f aca="false">M138*(1+IF(N$3&lt;=$O$2,$D138,$D138-($D138-$I$130)*MIN(N$3-$O$2,$Q$2)/$Q$2))</f>
        <v>1159.39067773767</v>
      </c>
      <c r="O138" s="15" t="n">
        <f aca="false">SUMPRODUCT(E138:N138,1/(1+$F$130)^$E$3:$N$3)*$E$2</f>
        <v>1588.68537648855</v>
      </c>
      <c r="P138" s="15" t="n">
        <f aca="false">N138*$E$2*(1+$I$130)/($F$130-$I$130)/(1+$F$130)^$N$3</f>
        <v>4069.70326593198</v>
      </c>
      <c r="Q138" s="15" t="n">
        <f aca="false">O138+P138</f>
        <v>5658.38864242053</v>
      </c>
      <c r="R138" s="15" t="n">
        <f aca="false">Q138-$G$2+$I$2</f>
        <v>5825.78864242053</v>
      </c>
      <c r="S138" s="42" t="n">
        <f aca="false">R138/$K$2</f>
        <v>165.552391088961</v>
      </c>
      <c r="T138" s="43" t="n">
        <f aca="false">S138-$M$2</f>
        <v>1.01701171982174</v>
      </c>
    </row>
    <row r="139" customFormat="false" ht="15" hidden="false" customHeight="false" outlineLevel="0" collapsed="false">
      <c r="A139" s="5" t="n">
        <v>8</v>
      </c>
      <c r="B139" s="25" t="n">
        <f aca="false">IF(T138&gt;0,B138,D138)</f>
        <v>0.015625</v>
      </c>
      <c r="C139" s="25" t="n">
        <f aca="false">IF(T138&gt;0,D138,C138)</f>
        <v>0.02734375</v>
      </c>
      <c r="D139" s="41" t="n">
        <f aca="false">(B139+C139)/2</f>
        <v>0.021484375</v>
      </c>
      <c r="E139" s="15" t="n">
        <f aca="false">$C$2*(1+IF(E$3&lt;=$O$2,$D139,$D139-($D139-$I$130)*MIN(E$3-$O$2,$Q$2)/$Q$2))</f>
        <v>888.72205078125</v>
      </c>
      <c r="F139" s="15" t="n">
        <f aca="false">E139*(1+IF(F$3&lt;=$O$2,$D139,$D139-($D139-$I$130)*MIN(F$3-$O$2,$Q$2)/$Q$2))</f>
        <v>907.815688591003</v>
      </c>
      <c r="G139" s="15" t="n">
        <f aca="false">F139*(1+IF(G$3&lt;=$O$2,$D139,$D139-($D139-$I$130)*MIN(G$3-$O$2,$Q$2)/$Q$2))</f>
        <v>927.319541275576</v>
      </c>
      <c r="H139" s="15" t="n">
        <f aca="false">G139*(1+IF(H$3&lt;=$O$2,$D139,$D139-($D139-$I$130)*MIN(H$3-$O$2,$Q$2)/$Q$2))</f>
        <v>947.242422045168</v>
      </c>
      <c r="I139" s="15" t="n">
        <f aca="false">H139*(1+IF(I$3&lt;=$O$2,$D139,$D139-($D139-$I$130)*MIN(I$3-$O$2,$Q$2)/$Q$2))</f>
        <v>967.593333456295</v>
      </c>
      <c r="J139" s="15" t="n">
        <f aca="false">I139*(1+IF(J$3&lt;=$O$2,$D139,$D139-($D139-$I$130)*MIN(J$3-$O$2,$Q$2)/$Q$2))</f>
        <v>990.668015475894</v>
      </c>
      <c r="K139" s="15" t="n">
        <f aca="false">J139*(1+IF(K$3&lt;=$O$2,$D139,$D139-($D139-$I$130)*MIN(K$3-$O$2,$Q$2)/$Q$2))</f>
        <v>1016.63404332903</v>
      </c>
      <c r="L139" s="15" t="n">
        <f aca="false">K139*(1+IF(L$3&lt;=$O$2,$D139,$D139-($D139-$I$130)*MIN(L$3-$O$2,$Q$2)/$Q$2))</f>
        <v>1045.6830903246</v>
      </c>
      <c r="M139" s="15" t="n">
        <f aca="false">L139*(1+IF(M$3&lt;=$O$2,$D139,$D139-($D139-$I$130)*MIN(M$3-$O$2,$Q$2)/$Q$2))</f>
        <v>1078.03325737959</v>
      </c>
      <c r="N139" s="15" t="n">
        <f aca="false">M139*(1+IF(N$3&lt;=$O$2,$D139,$D139-($D139-$I$130)*MIN(N$3-$O$2,$Q$2)/$Q$2))</f>
        <v>1113.93176485033</v>
      </c>
      <c r="O139" s="15" t="n">
        <f aca="false">SUMPRODUCT(E139:N139,1/(1+$F$130)^$E$3:$N$3)*$E$2</f>
        <v>1547.70905674479</v>
      </c>
      <c r="P139" s="15" t="n">
        <f aca="false">N139*$E$2*(1+$I$130)/($F$130-$I$130)/(1+$F$130)^$N$3</f>
        <v>3910.13299355034</v>
      </c>
      <c r="Q139" s="15" t="n">
        <f aca="false">O139+P139</f>
        <v>5457.84205029513</v>
      </c>
      <c r="R139" s="15" t="n">
        <f aca="false">Q139-$G$2+$I$2</f>
        <v>5625.24205029513</v>
      </c>
      <c r="S139" s="42" t="n">
        <f aca="false">R139/$K$2</f>
        <v>159.853425697503</v>
      </c>
      <c r="T139" s="43" t="n">
        <f aca="false">S139-$M$2</f>
        <v>-4.68195367163602</v>
      </c>
    </row>
    <row r="140" customFormat="false" ht="15" hidden="false" customHeight="false" outlineLevel="0" collapsed="false">
      <c r="A140" s="5" t="n">
        <v>9</v>
      </c>
      <c r="B140" s="25" t="n">
        <f aca="false">IF(T139&gt;0,B139,D139)</f>
        <v>0.021484375</v>
      </c>
      <c r="C140" s="25" t="n">
        <f aca="false">IF(T139&gt;0,D139,C139)</f>
        <v>0.02734375</v>
      </c>
      <c r="D140" s="41" t="n">
        <f aca="false">(B140+C140)/2</f>
        <v>0.0244140625</v>
      </c>
      <c r="E140" s="15" t="n">
        <f aca="false">$C$2*(1+IF(E$3&lt;=$O$2,$D140,$D140-($D140-$I$130)*MIN(E$3-$O$2,$Q$2)/$Q$2))</f>
        <v>891.270966796875</v>
      </c>
      <c r="F140" s="15" t="n">
        <f aca="false">E140*(1+IF(F$3&lt;=$O$2,$D140,$D140-($D140-$I$130)*MIN(F$3-$O$2,$Q$2)/$Q$2))</f>
        <v>913.030511884689</v>
      </c>
      <c r="G140" s="15" t="n">
        <f aca="false">F140*(1+IF(G$3&lt;=$O$2,$D140,$D140-($D140-$I$130)*MIN(G$3-$O$2,$Q$2)/$Q$2))</f>
        <v>935.321295866249</v>
      </c>
      <c r="H140" s="15" t="n">
        <f aca="false">G140*(1+IF(H$3&lt;=$O$2,$D140,$D140-($D140-$I$130)*MIN(H$3-$O$2,$Q$2)/$Q$2))</f>
        <v>958.156288441109</v>
      </c>
      <c r="I140" s="15" t="n">
        <f aca="false">H140*(1+IF(I$3&lt;=$O$2,$D140,$D140-($D140-$I$130)*MIN(I$3-$O$2,$Q$2)/$Q$2))</f>
        <v>981.548775951878</v>
      </c>
      <c r="J140" s="15" t="n">
        <f aca="false">I140*(1+IF(J$3&lt;=$O$2,$D140,$D140-($D140-$I$130)*MIN(J$3-$O$2,$Q$2)/$Q$2))</f>
        <v>1007.25676533003</v>
      </c>
      <c r="K140" s="15" t="n">
        <f aca="false">J140*(1+IF(K$3&lt;=$O$2,$D140,$D140-($D140-$I$130)*MIN(K$3-$O$2,$Q$2)/$Q$2))</f>
        <v>1035.42816321761</v>
      </c>
      <c r="L140" s="15" t="n">
        <f aca="false">K140*(1+IF(L$3&lt;=$O$2,$D140,$D140-($D140-$I$130)*MIN(L$3-$O$2,$Q$2)/$Q$2))</f>
        <v>1066.22762107512</v>
      </c>
      <c r="M140" s="15" t="n">
        <f aca="false">L140*(1+IF(M$3&lt;=$O$2,$D140,$D140-($D140-$I$130)*MIN(M$3-$O$2,$Q$2)/$Q$2))</f>
        <v>1099.8381144566</v>
      </c>
      <c r="N140" s="15" t="n">
        <f aca="false">M140*(1+IF(N$3&lt;=$O$2,$D140,$D140-($D140-$I$130)*MIN(N$3-$O$2,$Q$2)/$Q$2))</f>
        <v>1136.462723668</v>
      </c>
      <c r="O140" s="15" t="n">
        <f aca="false">SUMPRODUCT(E140:N140,1/(1+$F$130)^$E$3:$N$3)*$E$2</f>
        <v>1568.06222203738</v>
      </c>
      <c r="P140" s="15" t="n">
        <f aca="false">N140*$E$2*(1+$I$130)/($F$130-$I$130)/(1+$F$130)^$N$3</f>
        <v>3989.22136164365</v>
      </c>
      <c r="Q140" s="15" t="n">
        <f aca="false">O140+P140</f>
        <v>5557.28358368103</v>
      </c>
      <c r="R140" s="15" t="n">
        <f aca="false">Q140-$G$2+$I$2</f>
        <v>5724.68358368103</v>
      </c>
      <c r="S140" s="42" t="n">
        <f aca="false">R140/$K$2</f>
        <v>162.679272056863</v>
      </c>
      <c r="T140" s="43" t="n">
        <f aca="false">S140-$M$2</f>
        <v>-1.85610731227553</v>
      </c>
    </row>
    <row r="141" customFormat="false" ht="15" hidden="false" customHeight="false" outlineLevel="0" collapsed="false">
      <c r="A141" s="5" t="n">
        <v>10</v>
      </c>
      <c r="B141" s="25" t="n">
        <f aca="false">IF(T140&gt;0,B140,D140)</f>
        <v>0.0244140625</v>
      </c>
      <c r="C141" s="25" t="n">
        <f aca="false">IF(T140&gt;0,D140,C140)</f>
        <v>0.02734375</v>
      </c>
      <c r="D141" s="41" t="n">
        <f aca="false">(B141+C141)/2</f>
        <v>0.02587890625</v>
      </c>
      <c r="E141" s="15" t="n">
        <f aca="false">$C$2*(1+IF(E$3&lt;=$O$2,$D141,$D141-($D141-$I$130)*MIN(E$3-$O$2,$Q$2)/$Q$2))</f>
        <v>892.545424804688</v>
      </c>
      <c r="F141" s="15" t="n">
        <f aca="false">E141*(1+IF(F$3&lt;=$O$2,$D141,$D141-($D141-$I$130)*MIN(F$3-$O$2,$Q$2)/$Q$2))</f>
        <v>915.643524177075</v>
      </c>
      <c r="G141" s="15" t="n">
        <f aca="false">F141*(1+IF(G$3&lt;=$O$2,$D141,$D141-($D141-$I$130)*MIN(G$3-$O$2,$Q$2)/$Q$2))</f>
        <v>939.339377097673</v>
      </c>
      <c r="H141" s="15" t="n">
        <f aca="false">G141*(1+IF(H$3&lt;=$O$2,$D141,$D141-($D141-$I$130)*MIN(H$3-$O$2,$Q$2)/$Q$2))</f>
        <v>963.648452774517</v>
      </c>
      <c r="I141" s="15" t="n">
        <f aca="false">H141*(1+IF(I$3&lt;=$O$2,$D141,$D141-($D141-$I$130)*MIN(I$3-$O$2,$Q$2)/$Q$2))</f>
        <v>988.586620741826</v>
      </c>
      <c r="J141" s="15" t="n">
        <f aca="false">I141*(1+IF(J$3&lt;=$O$2,$D141,$D141-($D141-$I$130)*MIN(J$3-$O$2,$Q$2)/$Q$2))</f>
        <v>1015.63744001851</v>
      </c>
      <c r="K141" s="15" t="n">
        <f aca="false">J141*(1+IF(K$3&lt;=$O$2,$D141,$D141-($D141-$I$130)*MIN(K$3-$O$2,$Q$2)/$Q$2))</f>
        <v>1044.9358823761</v>
      </c>
      <c r="L141" s="15" t="n">
        <f aca="false">K141*(1+IF(L$3&lt;=$O$2,$D141,$D141-($D141-$I$130)*MIN(L$3-$O$2,$Q$2)/$Q$2))</f>
        <v>1076.63042040088</v>
      </c>
      <c r="M141" s="15" t="n">
        <f aca="false">L141*(1+IF(M$3&lt;=$O$2,$D141,$D141-($D141-$I$130)*MIN(M$3-$O$2,$Q$2)/$Q$2))</f>
        <v>1110.88425834345</v>
      </c>
      <c r="N141" s="15" t="n">
        <f aca="false">M141*(1+IF(N$3&lt;=$O$2,$D141,$D141-($D141-$I$130)*MIN(N$3-$O$2,$Q$2)/$Q$2))</f>
        <v>1147.87670414629</v>
      </c>
      <c r="O141" s="15" t="n">
        <f aca="false">SUMPRODUCT(E141:N141,1/(1+$F$130)^$E$3:$N$3)*$E$2</f>
        <v>1578.33984233828</v>
      </c>
      <c r="P141" s="15" t="n">
        <f aca="false">N141*$E$2*(1+$I$130)/($F$130-$I$130)/(1+$F$130)^$N$3</f>
        <v>4029.28681543909</v>
      </c>
      <c r="Q141" s="15" t="n">
        <f aca="false">O141+P141</f>
        <v>5607.62665777737</v>
      </c>
      <c r="R141" s="15" t="n">
        <f aca="false">Q141-$G$2+$I$2</f>
        <v>5775.02665777737</v>
      </c>
      <c r="S141" s="42" t="n">
        <f aca="false">R141/$K$2</f>
        <v>164.109879448064</v>
      </c>
      <c r="T141" s="43" t="n">
        <f aca="false">S141-$M$2</f>
        <v>-0.425499921075016</v>
      </c>
    </row>
    <row r="142" customFormat="false" ht="15" hidden="false" customHeight="false" outlineLevel="0" collapsed="false">
      <c r="A142" s="5" t="n">
        <v>11</v>
      </c>
      <c r="B142" s="25" t="n">
        <f aca="false">IF(T141&gt;0,B141,D141)</f>
        <v>0.02587890625</v>
      </c>
      <c r="C142" s="25" t="n">
        <f aca="false">IF(T141&gt;0,D141,C141)</f>
        <v>0.02734375</v>
      </c>
      <c r="D142" s="41" t="n">
        <f aca="false">(B142+C142)/2</f>
        <v>0.026611328125</v>
      </c>
      <c r="E142" s="15" t="n">
        <f aca="false">$C$2*(1+IF(E$3&lt;=$O$2,$D142,$D142-($D142-$I$130)*MIN(E$3-$O$2,$Q$2)/$Q$2))</f>
        <v>893.182653808594</v>
      </c>
      <c r="F142" s="15" t="n">
        <f aca="false">E142*(1+IF(F$3&lt;=$O$2,$D142,$D142-($D142-$I$130)*MIN(F$3-$O$2,$Q$2)/$Q$2))</f>
        <v>916.951430484653</v>
      </c>
      <c r="G142" s="15" t="n">
        <f aca="false">F142*(1+IF(G$3&lt;=$O$2,$D142,$D142-($D142-$I$130)*MIN(G$3-$O$2,$Q$2)/$Q$2))</f>
        <v>941.352725875968</v>
      </c>
      <c r="H142" s="15" t="n">
        <f aca="false">G142*(1+IF(H$3&lt;=$O$2,$D142,$D142-($D142-$I$130)*MIN(H$3-$O$2,$Q$2)/$Q$2))</f>
        <v>966.403372145616</v>
      </c>
      <c r="I142" s="15" t="n">
        <f aca="false">H142*(1+IF(I$3&lt;=$O$2,$D142,$D142-($D142-$I$130)*MIN(I$3-$O$2,$Q$2)/$Q$2))</f>
        <v>992.12064938289</v>
      </c>
      <c r="J142" s="15" t="n">
        <f aca="false">I142*(1+IF(J$3&lt;=$O$2,$D142,$D142-($D142-$I$130)*MIN(J$3-$O$2,$Q$2)/$Q$2))</f>
        <v>1019.84949142003</v>
      </c>
      <c r="K142" s="15" t="n">
        <f aca="false">J142*(1+IF(K$3&lt;=$O$2,$D142,$D142-($D142-$I$130)*MIN(K$3-$O$2,$Q$2)/$Q$2))</f>
        <v>1049.71761631832</v>
      </c>
      <c r="L142" s="15" t="n">
        <f aca="false">K142*(1+IF(L$3&lt;=$O$2,$D142,$D142-($D142-$I$130)*MIN(L$3-$O$2,$Q$2)/$Q$2))</f>
        <v>1081.86472626294</v>
      </c>
      <c r="M142" s="15" t="n">
        <f aca="false">L142*(1+IF(M$3&lt;=$O$2,$D142,$D142-($D142-$I$130)*MIN(M$3-$O$2,$Q$2)/$Q$2))</f>
        <v>1116.44357401407</v>
      </c>
      <c r="N142" s="15" t="n">
        <f aca="false">M142*(1+IF(N$3&lt;=$O$2,$D142,$D142-($D142-$I$130)*MIN(N$3-$O$2,$Q$2)/$Q$2))</f>
        <v>1153.62114502874</v>
      </c>
      <c r="O142" s="15" t="n">
        <f aca="false">SUMPRODUCT(E142:N142,1/(1+$F$130)^$E$3:$N$3)*$E$2</f>
        <v>1583.50409402516</v>
      </c>
      <c r="P142" s="15" t="n">
        <f aca="false">N142*$E$2*(1+$I$130)/($F$130-$I$130)/(1+$F$130)^$N$3</f>
        <v>4049.45100191151</v>
      </c>
      <c r="Q142" s="15" t="n">
        <f aca="false">O142+P142</f>
        <v>5632.95509593667</v>
      </c>
      <c r="R142" s="15" t="n">
        <f aca="false">Q142-$G$2+$I$2</f>
        <v>5800.35509593667</v>
      </c>
      <c r="S142" s="42" t="n">
        <f aca="false">R142/$K$2</f>
        <v>164.829641828266</v>
      </c>
      <c r="T142" s="43" t="n">
        <f aca="false">S142-$M$2</f>
        <v>0.294262459126571</v>
      </c>
    </row>
    <row r="143" customFormat="false" ht="15" hidden="false" customHeight="false" outlineLevel="0" collapsed="false">
      <c r="A143" s="5" t="n">
        <v>12</v>
      </c>
      <c r="B143" s="25" t="n">
        <f aca="false">IF(T142&gt;0,B142,D142)</f>
        <v>0.02587890625</v>
      </c>
      <c r="C143" s="25" t="n">
        <f aca="false">IF(T142&gt;0,D142,C142)</f>
        <v>0.026611328125</v>
      </c>
      <c r="D143" s="41" t="n">
        <f aca="false">(B143+C143)/2</f>
        <v>0.0262451171875</v>
      </c>
      <c r="E143" s="15" t="n">
        <f aca="false">$C$2*(1+IF(E$3&lt;=$O$2,$D143,$D143-($D143-$I$130)*MIN(E$3-$O$2,$Q$2)/$Q$2))</f>
        <v>892.864039306641</v>
      </c>
      <c r="F143" s="15" t="n">
        <f aca="false">E143*(1+IF(F$3&lt;=$O$2,$D143,$D143-($D143-$I$130)*MIN(F$3-$O$2,$Q$2)/$Q$2))</f>
        <v>916.297360650748</v>
      </c>
      <c r="G143" s="15" t="n">
        <f aca="false">F143*(1+IF(G$3&lt;=$O$2,$D143,$D143-($D143-$I$130)*MIN(G$3-$O$2,$Q$2)/$Q$2))</f>
        <v>940.345692259624</v>
      </c>
      <c r="H143" s="15" t="n">
        <f aca="false">G143*(1+IF(H$3&lt;=$O$2,$D143,$D143-($D143-$I$130)*MIN(H$3-$O$2,$Q$2)/$Q$2))</f>
        <v>965.025175149739</v>
      </c>
      <c r="I143" s="15" t="n">
        <f aca="false">H143*(1+IF(I$3&lt;=$O$2,$D143,$D143-($D143-$I$130)*MIN(I$3-$O$2,$Q$2)/$Q$2))</f>
        <v>990.352373960431</v>
      </c>
      <c r="J143" s="15" t="n">
        <f aca="false">I143*(1+IF(J$3&lt;=$O$2,$D143,$D143-($D143-$I$130)*MIN(J$3-$O$2,$Q$2)/$Q$2))</f>
        <v>1017.74165206022</v>
      </c>
      <c r="K143" s="15" t="n">
        <f aca="false">J143*(1+IF(K$3&lt;=$O$2,$D143,$D143-($D143-$I$130)*MIN(K$3-$O$2,$Q$2)/$Q$2))</f>
        <v>1047.32442022061</v>
      </c>
      <c r="L143" s="15" t="n">
        <f aca="false">K143*(1+IF(L$3&lt;=$O$2,$D143,$D143-($D143-$I$130)*MIN(L$3-$O$2,$Q$2)/$Q$2))</f>
        <v>1079.24482299343</v>
      </c>
      <c r="M143" s="15" t="n">
        <f aca="false">L143*(1+IF(M$3&lt;=$O$2,$D143,$D143-($D143-$I$130)*MIN(M$3-$O$2,$Q$2)/$Q$2))</f>
        <v>1113.66088644866</v>
      </c>
      <c r="N143" s="15" t="n">
        <f aca="false">M143*(1+IF(N$3&lt;=$O$2,$D143,$D143-($D143-$I$130)*MIN(N$3-$O$2,$Q$2)/$Q$2))</f>
        <v>1150.7457939674</v>
      </c>
      <c r="O143" s="15" t="n">
        <f aca="false">SUMPRODUCT(E143:N143,1/(1+$F$130)^$E$3:$N$3)*$E$2</f>
        <v>1580.91984260976</v>
      </c>
      <c r="P143" s="15" t="n">
        <f aca="false">N143*$E$2*(1+$I$130)/($F$130-$I$130)/(1+$F$130)^$N$3</f>
        <v>4039.3579195453</v>
      </c>
      <c r="Q143" s="15" t="n">
        <f aca="false">O143+P143</f>
        <v>5620.27776215505</v>
      </c>
      <c r="R143" s="15" t="n">
        <f aca="false">Q143-$G$2+$I$2</f>
        <v>5787.67776215505</v>
      </c>
      <c r="S143" s="42" t="n">
        <f aca="false">R143/$K$2</f>
        <v>164.469387955529</v>
      </c>
      <c r="T143" s="43" t="n">
        <f aca="false">S143-$M$2</f>
        <v>-0.0659914136103339</v>
      </c>
    </row>
    <row r="144" customFormat="false" ht="15" hidden="false" customHeight="false" outlineLevel="0" collapsed="false">
      <c r="A144" s="5" t="n">
        <v>13</v>
      </c>
      <c r="B144" s="25" t="n">
        <f aca="false">IF(T143&gt;0,B143,D143)</f>
        <v>0.0262451171875</v>
      </c>
      <c r="C144" s="25" t="n">
        <f aca="false">IF(T143&gt;0,D143,C143)</f>
        <v>0.026611328125</v>
      </c>
      <c r="D144" s="41" t="n">
        <f aca="false">(B144+C144)/2</f>
        <v>0.02642822265625</v>
      </c>
      <c r="E144" s="15" t="n">
        <f aca="false">$C$2*(1+IF(E$3&lt;=$O$2,$D144,$D144-($D144-$I$130)*MIN(E$3-$O$2,$Q$2)/$Q$2))</f>
        <v>893.023346557617</v>
      </c>
      <c r="F144" s="15" t="n">
        <f aca="false">E144*(1+IF(F$3&lt;=$O$2,$D144,$D144-($D144-$I$130)*MIN(F$3-$O$2,$Q$2)/$Q$2))</f>
        <v>916.624366397671</v>
      </c>
      <c r="G144" s="15" t="n">
        <f aca="false">F144*(1+IF(G$3&lt;=$O$2,$D144,$D144-($D144-$I$130)*MIN(G$3-$O$2,$Q$2)/$Q$2))</f>
        <v>940.849119244973</v>
      </c>
      <c r="H144" s="15" t="n">
        <f aca="false">G144*(1+IF(H$3&lt;=$O$2,$D144,$D144-($D144-$I$130)*MIN(H$3-$O$2,$Q$2)/$Q$2))</f>
        <v>965.714089254316</v>
      </c>
      <c r="I144" s="15" t="n">
        <f aca="false">H144*(1+IF(I$3&lt;=$O$2,$D144,$D144-($D144-$I$130)*MIN(I$3-$O$2,$Q$2)/$Q$2))</f>
        <v>991.236196227407</v>
      </c>
      <c r="J144" s="15" t="n">
        <f aca="false">I144*(1+IF(J$3&lt;=$O$2,$D144,$D144-($D144-$I$130)*MIN(J$3-$O$2,$Q$2)/$Q$2))</f>
        <v>1018.79511801335</v>
      </c>
      <c r="K144" s="15" t="n">
        <f aca="false">J144*(1+IF(K$3&lt;=$O$2,$D144,$D144-($D144-$I$130)*MIN(K$3-$O$2,$Q$2)/$Q$2))</f>
        <v>1048.52043551726</v>
      </c>
      <c r="L144" s="15" t="n">
        <f aca="false">K144*(1+IF(L$3&lt;=$O$2,$D144,$D144-($D144-$I$130)*MIN(L$3-$O$2,$Q$2)/$Q$2))</f>
        <v>1080.55408643069</v>
      </c>
      <c r="M144" s="15" t="n">
        <f aca="false">L144*(1+IF(M$3&lt;=$O$2,$D144,$D144-($D144-$I$130)*MIN(M$3-$O$2,$Q$2)/$Q$2))</f>
        <v>1115.05147209086</v>
      </c>
      <c r="N144" s="15" t="n">
        <f aca="false">M144*(1+IF(N$3&lt;=$O$2,$D144,$D144-($D144-$I$130)*MIN(N$3-$O$2,$Q$2)/$Q$2))</f>
        <v>1152.18268611149</v>
      </c>
      <c r="O144" s="15" t="n">
        <f aca="false">SUMPRODUCT(E144:N144,1/(1+$F$130)^$E$3:$N$3)*$E$2</f>
        <v>1582.21143651542</v>
      </c>
      <c r="P144" s="15" t="n">
        <f aca="false">N144*$E$2*(1+$I$130)/($F$130-$I$130)/(1+$F$130)^$N$3</f>
        <v>4044.40171087798</v>
      </c>
      <c r="Q144" s="15" t="n">
        <f aca="false">O144+P144</f>
        <v>5626.6131473934</v>
      </c>
      <c r="R144" s="15" t="n">
        <f aca="false">Q144-$G$2+$I$2</f>
        <v>5794.0131473934</v>
      </c>
      <c r="S144" s="42" t="n">
        <f aca="false">R144/$K$2</f>
        <v>164.649421636641</v>
      </c>
      <c r="T144" s="43" t="n">
        <f aca="false">S144-$M$2</f>
        <v>0.114042267501958</v>
      </c>
    </row>
    <row r="145" customFormat="false" ht="15" hidden="false" customHeight="false" outlineLevel="0" collapsed="false">
      <c r="A145" s="5" t="n">
        <v>14</v>
      </c>
      <c r="B145" s="25" t="n">
        <f aca="false">IF(T144&gt;0,B144,D144)</f>
        <v>0.0262451171875</v>
      </c>
      <c r="C145" s="25" t="n">
        <f aca="false">IF(T144&gt;0,D144,C144)</f>
        <v>0.02642822265625</v>
      </c>
      <c r="D145" s="41" t="n">
        <f aca="false">(B145+C145)/2</f>
        <v>0.026336669921875</v>
      </c>
      <c r="E145" s="15" t="n">
        <f aca="false">$C$2*(1+IF(E$3&lt;=$O$2,$D145,$D145-($D145-$I$130)*MIN(E$3-$O$2,$Q$2)/$Q$2))</f>
        <v>892.943692932129</v>
      </c>
      <c r="F145" s="15" t="n">
        <f aca="false">E145*(1+IF(F$3&lt;=$O$2,$D145,$D145-($D145-$I$130)*MIN(F$3-$O$2,$Q$2)/$Q$2))</f>
        <v>916.460856231703</v>
      </c>
      <c r="G145" s="15" t="n">
        <f aca="false">F145*(1+IF(G$3&lt;=$O$2,$D145,$D145-($D145-$I$130)*MIN(G$3-$O$2,$Q$2)/$Q$2))</f>
        <v>940.597383298596</v>
      </c>
      <c r="H145" s="15" t="n">
        <f aca="false">G145*(1+IF(H$3&lt;=$O$2,$D145,$D145-($D145-$I$130)*MIN(H$3-$O$2,$Q$2)/$Q$2))</f>
        <v>965.36958611191</v>
      </c>
      <c r="I145" s="15" t="n">
        <f aca="false">H145*(1+IF(I$3&lt;=$O$2,$D145,$D145-($D145-$I$130)*MIN(I$3-$O$2,$Q$2)/$Q$2))</f>
        <v>990.794206253957</v>
      </c>
      <c r="J145" s="15" t="n">
        <f aca="false">I145*(1+IF(J$3&lt;=$O$2,$D145,$D145-($D145-$I$130)*MIN(J$3-$O$2,$Q$2)/$Q$2))</f>
        <v>1018.2682716441</v>
      </c>
      <c r="K145" s="15" t="n">
        <f aca="false">J145*(1+IF(K$3&lt;=$O$2,$D145,$D145-($D145-$I$130)*MIN(K$3-$O$2,$Q$2)/$Q$2))</f>
        <v>1047.92228223973</v>
      </c>
      <c r="L145" s="15" t="n">
        <f aca="false">K145*(1+IF(L$3&lt;=$O$2,$D145,$D145-($D145-$I$130)*MIN(L$3-$O$2,$Q$2)/$Q$2))</f>
        <v>1079.89928273933</v>
      </c>
      <c r="M145" s="15" t="n">
        <f aca="false">L145*(1+IF(M$3&lt;=$O$2,$D145,$D145-($D145-$I$130)*MIN(M$3-$O$2,$Q$2)/$Q$2))</f>
        <v>1114.35598982318</v>
      </c>
      <c r="N145" s="15" t="n">
        <f aca="false">M145*(1+IF(N$3&lt;=$O$2,$D145,$D145-($D145-$I$130)*MIN(N$3-$O$2,$Q$2)/$Q$2))</f>
        <v>1151.46404428429</v>
      </c>
      <c r="O145" s="15" t="n">
        <f aca="false">SUMPRODUCT(E145:N145,1/(1+$F$130)^$E$3:$N$3)*$E$2</f>
        <v>1581.56550666323</v>
      </c>
      <c r="P145" s="15" t="n">
        <f aca="false">N145*$E$2*(1+$I$130)/($F$130-$I$130)/(1+$F$130)^$N$3</f>
        <v>4041.87912807018</v>
      </c>
      <c r="Q145" s="15" t="n">
        <f aca="false">O145+P145</f>
        <v>5623.44463473341</v>
      </c>
      <c r="R145" s="15" t="n">
        <f aca="false">Q145-$G$2+$I$2</f>
        <v>5790.84463473341</v>
      </c>
      <c r="S145" s="42" t="n">
        <f aca="false">R145/$K$2</f>
        <v>164.559381492851</v>
      </c>
      <c r="T145" s="43" t="n">
        <f aca="false">S145-$M$2</f>
        <v>0.0240021237115116</v>
      </c>
    </row>
    <row r="146" customFormat="false" ht="15" hidden="false" customHeight="false" outlineLevel="0" collapsed="false">
      <c r="A146" s="5" t="n">
        <v>15</v>
      </c>
      <c r="B146" s="25" t="n">
        <f aca="false">IF(T145&gt;0,B145,D145)</f>
        <v>0.0262451171875</v>
      </c>
      <c r="C146" s="25" t="n">
        <f aca="false">IF(T145&gt;0,D145,C145)</f>
        <v>0.026336669921875</v>
      </c>
      <c r="D146" s="41" t="n">
        <f aca="false">(B146+C146)/2</f>
        <v>0.0262908935546875</v>
      </c>
      <c r="E146" s="15" t="n">
        <f aca="false">$C$2*(1+IF(E$3&lt;=$O$2,$D146,$D146-($D146-$I$130)*MIN(E$3-$O$2,$Q$2)/$Q$2))</f>
        <v>892.903866119385</v>
      </c>
      <c r="F146" s="15" t="n">
        <f aca="false">E146*(1+IF(F$3&lt;=$O$2,$D146,$D146-($D146-$I$130)*MIN(F$3-$O$2,$Q$2)/$Q$2))</f>
        <v>916.379106618098</v>
      </c>
      <c r="G146" s="15" t="n">
        <f aca="false">F146*(1+IF(G$3&lt;=$O$2,$D146,$D146-($D146-$I$130)*MIN(G$3-$O$2,$Q$2)/$Q$2))</f>
        <v>940.471532165934</v>
      </c>
      <c r="H146" s="15" t="n">
        <f aca="false">G146*(1+IF(H$3&lt;=$O$2,$D146,$D146-($D146-$I$130)*MIN(H$3-$O$2,$Q$2)/$Q$2))</f>
        <v>965.197369109323</v>
      </c>
      <c r="I146" s="15" t="n">
        <f aca="false">H146*(1+IF(I$3&lt;=$O$2,$D146,$D146-($D146-$I$130)*MIN(I$3-$O$2,$Q$2)/$Q$2))</f>
        <v>990.573270399841</v>
      </c>
      <c r="J146" s="15" t="n">
        <f aca="false">I146*(1+IF(J$3&lt;=$O$2,$D146,$D146-($D146-$I$130)*MIN(J$3-$O$2,$Q$2)/$Q$2))</f>
        <v>1018.00493350886</v>
      </c>
      <c r="K146" s="15" t="n">
        <f aca="false">J146*(1+IF(K$3&lt;=$O$2,$D146,$D146-($D146-$I$130)*MIN(K$3-$O$2,$Q$2)/$Q$2))</f>
        <v>1047.62331483022</v>
      </c>
      <c r="L146" s="15" t="n">
        <f aca="false">K146*(1+IF(L$3&lt;=$O$2,$D146,$D146-($D146-$I$130)*MIN(L$3-$O$2,$Q$2)/$Q$2))</f>
        <v>1079.57200988277</v>
      </c>
      <c r="M146" s="15" t="n">
        <f aca="false">L146*(1+IF(M$3&lt;=$O$2,$D146,$D146-($D146-$I$130)*MIN(M$3-$O$2,$Q$2)/$Q$2))</f>
        <v>1114.00839078534</v>
      </c>
      <c r="N146" s="15" t="n">
        <f aca="false">M146*(1+IF(N$3&lt;=$O$2,$D146,$D146-($D146-$I$130)*MIN(N$3-$O$2,$Q$2)/$Q$2))</f>
        <v>1151.10487019849</v>
      </c>
      <c r="O146" s="15" t="n">
        <f aca="false">SUMPRODUCT(E146:N146,1/(1+$F$130)^$E$3:$N$3)*$E$2</f>
        <v>1581.24264141805</v>
      </c>
      <c r="P146" s="15" t="n">
        <f aca="false">N146*$E$2*(1+$I$130)/($F$130-$I$130)/(1+$F$130)^$N$3</f>
        <v>4040.6183520625</v>
      </c>
      <c r="Q146" s="15" t="n">
        <f aca="false">O146+P146</f>
        <v>5621.86099348055</v>
      </c>
      <c r="R146" s="15" t="n">
        <f aca="false">Q146-$G$2+$I$2</f>
        <v>5789.26099348055</v>
      </c>
      <c r="S146" s="42" t="n">
        <f aca="false">R146/$K$2</f>
        <v>164.514378899703</v>
      </c>
      <c r="T146" s="43" t="n">
        <f aca="false">S146-$M$2</f>
        <v>-0.0210004694359895</v>
      </c>
    </row>
    <row r="147" customFormat="false" ht="15" hidden="false" customHeight="false" outlineLevel="0" collapsed="false">
      <c r="A147" s="5" t="n">
        <v>16</v>
      </c>
      <c r="B147" s="25" t="n">
        <f aca="false">IF(T146&gt;0,B146,D146)</f>
        <v>0.0262908935546875</v>
      </c>
      <c r="C147" s="25" t="n">
        <f aca="false">IF(T146&gt;0,D146,C146)</f>
        <v>0.026336669921875</v>
      </c>
      <c r="D147" s="41" t="n">
        <f aca="false">(B147+C147)/2</f>
        <v>0.0263137817382813</v>
      </c>
      <c r="E147" s="15" t="n">
        <f aca="false">$C$2*(1+IF(E$3&lt;=$O$2,$D147,$D147-($D147-$I$130)*MIN(E$3-$O$2,$Q$2)/$Q$2))</f>
        <v>892.923779525757</v>
      </c>
      <c r="F147" s="15" t="n">
        <f aca="false">E147*(1+IF(F$3&lt;=$O$2,$D147,$D147-($D147-$I$130)*MIN(F$3-$O$2,$Q$2)/$Q$2))</f>
        <v>916.419980969119</v>
      </c>
      <c r="G147" s="15" t="n">
        <f aca="false">F147*(1+IF(G$3&lt;=$O$2,$D147,$D147-($D147-$I$130)*MIN(G$3-$O$2,$Q$2)/$Q$2))</f>
        <v>940.53445632894</v>
      </c>
      <c r="H147" s="15" t="n">
        <f aca="false">G147*(1+IF(H$3&lt;=$O$2,$D147,$D147-($D147-$I$130)*MIN(H$3-$O$2,$Q$2)/$Q$2))</f>
        <v>965.283474730113</v>
      </c>
      <c r="I147" s="15" t="n">
        <f aca="false">H147*(1+IF(I$3&lt;=$O$2,$D147,$D147-($D147-$I$130)*MIN(I$3-$O$2,$Q$2)/$Q$2))</f>
        <v>990.683733399731</v>
      </c>
      <c r="J147" s="15" t="n">
        <f aca="false">I147*(1+IF(J$3&lt;=$O$2,$D147,$D147-($D147-$I$130)*MIN(J$3-$O$2,$Q$2)/$Q$2))</f>
        <v>1018.13659549005</v>
      </c>
      <c r="K147" s="15" t="n">
        <f aca="false">J147*(1+IF(K$3&lt;=$O$2,$D147,$D147-($D147-$I$130)*MIN(K$3-$O$2,$Q$2)/$Q$2))</f>
        <v>1047.77278943407</v>
      </c>
      <c r="L147" s="15" t="n">
        <f aca="false">K147*(1+IF(L$3&lt;=$O$2,$D147,$D147-($D147-$I$130)*MIN(L$3-$O$2,$Q$2)/$Q$2))</f>
        <v>1079.73563556395</v>
      </c>
      <c r="M147" s="15" t="n">
        <f aca="false">L147*(1+IF(M$3&lt;=$O$2,$D147,$D147-($D147-$I$130)*MIN(M$3-$O$2,$Q$2)/$Q$2))</f>
        <v>1114.18217846523</v>
      </c>
      <c r="N147" s="15" t="n">
        <f aca="false">M147*(1+IF(N$3&lt;=$O$2,$D147,$D147-($D147-$I$130)*MIN(N$3-$O$2,$Q$2)/$Q$2))</f>
        <v>1151.28444500812</v>
      </c>
      <c r="O147" s="15" t="n">
        <f aca="false">SUMPRODUCT(E147:N147,1/(1+$F$130)^$E$3:$N$3)*$E$2</f>
        <v>1581.40406573523</v>
      </c>
      <c r="P147" s="15" t="n">
        <f aca="false">N147*$E$2*(1+$I$130)/($F$130-$I$130)/(1+$F$130)^$N$3</f>
        <v>4041.24869712502</v>
      </c>
      <c r="Q147" s="15" t="n">
        <f aca="false">O147+P147</f>
        <v>5622.65276286024</v>
      </c>
      <c r="R147" s="15" t="n">
        <f aca="false">Q147-$G$2+$I$2</f>
        <v>5790.05276286024</v>
      </c>
      <c r="S147" s="42" t="n">
        <f aca="false">R147/$K$2</f>
        <v>164.53687873999</v>
      </c>
      <c r="T147" s="43" t="n">
        <f aca="false">S147-$M$2</f>
        <v>0.00149937085089391</v>
      </c>
    </row>
    <row r="148" customFormat="false" ht="15" hidden="false" customHeight="false" outlineLevel="0" collapsed="false">
      <c r="A148" s="5" t="n">
        <v>17</v>
      </c>
      <c r="B148" s="25" t="n">
        <f aca="false">IF(T147&gt;0,B147,D147)</f>
        <v>0.0262908935546875</v>
      </c>
      <c r="C148" s="25" t="n">
        <f aca="false">IF(T147&gt;0,D147,C147)</f>
        <v>0.0263137817382813</v>
      </c>
      <c r="D148" s="41" t="n">
        <f aca="false">(B148+C148)/2</f>
        <v>0.0263023376464844</v>
      </c>
      <c r="E148" s="15" t="n">
        <f aca="false">$C$2*(1+IF(E$3&lt;=$O$2,$D148,$D148-($D148-$I$130)*MIN(E$3-$O$2,$Q$2)/$Q$2))</f>
        <v>892.913822822571</v>
      </c>
      <c r="F148" s="15" t="n">
        <f aca="false">E148*(1+IF(F$3&lt;=$O$2,$D148,$D148-($D148-$I$130)*MIN(F$3-$O$2,$Q$2)/$Q$2))</f>
        <v>916.399543679663</v>
      </c>
      <c r="G148" s="15" t="n">
        <f aca="false">F148*(1+IF(G$3&lt;=$O$2,$D148,$D148-($D148-$I$130)*MIN(G$3-$O$2,$Q$2)/$Q$2))</f>
        <v>940.50299389661</v>
      </c>
      <c r="H148" s="15" t="n">
        <f aca="false">G148*(1+IF(H$3&lt;=$O$2,$D148,$D148-($D148-$I$130)*MIN(H$3-$O$2,$Q$2)/$Q$2))</f>
        <v>965.240421199608</v>
      </c>
      <c r="I148" s="15" t="n">
        <f aca="false">H148*(1+IF(I$3&lt;=$O$2,$D148,$D148-($D148-$I$130)*MIN(I$3-$O$2,$Q$2)/$Q$2))</f>
        <v>990.628500668035</v>
      </c>
      <c r="J148" s="15" t="n">
        <f aca="false">I148*(1+IF(J$3&lt;=$O$2,$D148,$D148-($D148-$I$130)*MIN(J$3-$O$2,$Q$2)/$Q$2))</f>
        <v>1018.07076272793</v>
      </c>
      <c r="K148" s="15" t="n">
        <f aca="false">J148*(1+IF(K$3&lt;=$O$2,$D148,$D148-($D148-$I$130)*MIN(K$3-$O$2,$Q$2)/$Q$2))</f>
        <v>1047.69804985703</v>
      </c>
      <c r="L148" s="15" t="n">
        <f aca="false">K148*(1+IF(L$3&lt;=$O$2,$D148,$D148-($D148-$I$130)*MIN(L$3-$O$2,$Q$2)/$Q$2))</f>
        <v>1079.65382003674</v>
      </c>
      <c r="M148" s="15" t="n">
        <f aca="false">L148*(1+IF(M$3&lt;=$O$2,$D148,$D148-($D148-$I$130)*MIN(M$3-$O$2,$Q$2)/$Q$2))</f>
        <v>1114.0952816657</v>
      </c>
      <c r="N148" s="15" t="n">
        <f aca="false">M148*(1+IF(N$3&lt;=$O$2,$D148,$D148-($D148-$I$130)*MIN(N$3-$O$2,$Q$2)/$Q$2))</f>
        <v>1151.19465454517</v>
      </c>
      <c r="O148" s="15" t="n">
        <f aca="false">SUMPRODUCT(E148:N148,1/(1+$F$130)^$E$3:$N$3)*$E$2</f>
        <v>1581.32335150038</v>
      </c>
      <c r="P148" s="15" t="n">
        <f aca="false">N148*$E$2*(1+$I$130)/($F$130-$I$130)/(1+$F$130)^$N$3</f>
        <v>4040.93351385906</v>
      </c>
      <c r="Q148" s="15" t="n">
        <f aca="false">O148+P148</f>
        <v>5622.25686535944</v>
      </c>
      <c r="R148" s="15" t="n">
        <f aca="false">Q148-$G$2+$I$2</f>
        <v>5789.65686535944</v>
      </c>
      <c r="S148" s="42" t="n">
        <f aca="false">R148/$K$2</f>
        <v>164.525628455795</v>
      </c>
      <c r="T148" s="43" t="n">
        <f aca="false">S148-$M$2</f>
        <v>-0.00975091334356648</v>
      </c>
    </row>
    <row r="149" customFormat="false" ht="15" hidden="false" customHeight="false" outlineLevel="0" collapsed="false">
      <c r="A149" s="5" t="n">
        <v>18</v>
      </c>
      <c r="B149" s="25" t="n">
        <f aca="false">IF(T148&gt;0,B148,D148)</f>
        <v>0.0263023376464844</v>
      </c>
      <c r="C149" s="25" t="n">
        <f aca="false">IF(T148&gt;0,D148,C148)</f>
        <v>0.0263137817382813</v>
      </c>
      <c r="D149" s="41" t="n">
        <f aca="false">(B149+C149)/2</f>
        <v>0.0263080596923828</v>
      </c>
      <c r="E149" s="15" t="n">
        <f aca="false">$C$2*(1+IF(E$3&lt;=$O$2,$D149,$D149-($D149-$I$130)*MIN(E$3-$O$2,$Q$2)/$Q$2))</f>
        <v>892.918801174164</v>
      </c>
      <c r="F149" s="15" t="n">
        <f aca="false">E149*(1+IF(F$3&lt;=$O$2,$D149,$D149-($D149-$I$130)*MIN(F$3-$O$2,$Q$2)/$Q$2))</f>
        <v>916.409762295905</v>
      </c>
      <c r="G149" s="15" t="n">
        <f aca="false">F149*(1+IF(G$3&lt;=$O$2,$D149,$D149-($D149-$I$130)*MIN(G$3-$O$2,$Q$2)/$Q$2))</f>
        <v>940.518725025068</v>
      </c>
      <c r="H149" s="15" t="n">
        <f aca="false">G149*(1+IF(H$3&lt;=$O$2,$D149,$D149-($D149-$I$130)*MIN(H$3-$O$2,$Q$2)/$Q$2))</f>
        <v>965.261947784831</v>
      </c>
      <c r="I149" s="15" t="n">
        <f aca="false">H149*(1+IF(I$3&lt;=$O$2,$D149,$D149-($D149-$I$130)*MIN(I$3-$O$2,$Q$2)/$Q$2))</f>
        <v>990.65611672594</v>
      </c>
      <c r="J149" s="15" t="n">
        <f aca="false">I149*(1+IF(J$3&lt;=$O$2,$D149,$D149-($D149-$I$130)*MIN(J$3-$O$2,$Q$2)/$Q$2))</f>
        <v>1018.10367866609</v>
      </c>
      <c r="K149" s="15" t="n">
        <f aca="false">J149*(1+IF(K$3&lt;=$O$2,$D149,$D149-($D149-$I$130)*MIN(K$3-$O$2,$Q$2)/$Q$2))</f>
        <v>1047.73541907676</v>
      </c>
      <c r="L149" s="15" t="n">
        <f aca="false">K149*(1+IF(L$3&lt;=$O$2,$D149,$D149-($D149-$I$130)*MIN(L$3-$O$2,$Q$2)/$Q$2))</f>
        <v>1079.69472712867</v>
      </c>
      <c r="M149" s="15" t="n">
        <f aca="false">L149*(1+IF(M$3&lt;=$O$2,$D149,$D149-($D149-$I$130)*MIN(M$3-$O$2,$Q$2)/$Q$2))</f>
        <v>1114.13872932555</v>
      </c>
      <c r="N149" s="15" t="n">
        <f aca="false">M149*(1+IF(N$3&lt;=$O$2,$D149,$D149-($D149-$I$130)*MIN(N$3-$O$2,$Q$2)/$Q$2))</f>
        <v>1151.23954901209</v>
      </c>
      <c r="O149" s="15" t="n">
        <f aca="false">SUMPRODUCT(E149:N149,1/(1+$F$130)^$E$3:$N$3)*$E$2</f>
        <v>1581.36370809873</v>
      </c>
      <c r="P149" s="15" t="n">
        <f aca="false">N149*$E$2*(1+$I$130)/($F$130-$I$130)/(1+$F$130)^$N$3</f>
        <v>4041.09110280828</v>
      </c>
      <c r="Q149" s="15" t="n">
        <f aca="false">O149+P149</f>
        <v>5622.45481090701</v>
      </c>
      <c r="R149" s="15" t="n">
        <f aca="false">Q149-$G$2+$I$2</f>
        <v>5789.85481090701</v>
      </c>
      <c r="S149" s="42" t="n">
        <f aca="false">R149/$K$2</f>
        <v>164.531253506877</v>
      </c>
      <c r="T149" s="43" t="n">
        <f aca="false">S149-$M$2</f>
        <v>-0.00412586226173062</v>
      </c>
    </row>
    <row r="150" customFormat="false" ht="15" hidden="false" customHeight="false" outlineLevel="0" collapsed="false">
      <c r="A150" s="5" t="n">
        <v>19</v>
      </c>
      <c r="B150" s="25" t="n">
        <f aca="false">IF(T149&gt;0,B149,D149)</f>
        <v>0.0263080596923828</v>
      </c>
      <c r="C150" s="25" t="n">
        <f aca="false">IF(T149&gt;0,D149,C149)</f>
        <v>0.0263137817382813</v>
      </c>
      <c r="D150" s="41" t="n">
        <f aca="false">(B150+C150)/2</f>
        <v>0.026310920715332</v>
      </c>
      <c r="E150" s="15" t="n">
        <f aca="false">$C$2*(1+IF(E$3&lt;=$O$2,$D150,$D150-($D150-$I$130)*MIN(E$3-$O$2,$Q$2)/$Q$2))</f>
        <v>892.92129034996</v>
      </c>
      <c r="F150" s="15" t="n">
        <f aca="false">E150*(1+IF(F$3&lt;=$O$2,$D150,$D150-($D150-$I$130)*MIN(F$3-$O$2,$Q$2)/$Q$2))</f>
        <v>916.41487162539</v>
      </c>
      <c r="G150" s="15" t="n">
        <f aca="false">F150*(1+IF(G$3&lt;=$O$2,$D150,$D150-($D150-$I$130)*MIN(G$3-$O$2,$Q$2)/$Q$2))</f>
        <v>940.526590655077</v>
      </c>
      <c r="H150" s="15" t="n">
        <f aca="false">G150*(1+IF(H$3&lt;=$O$2,$D150,$D150-($D150-$I$130)*MIN(H$3-$O$2,$Q$2)/$Q$2))</f>
        <v>965.272711212464</v>
      </c>
      <c r="I150" s="15" t="n">
        <f aca="false">H150*(1+IF(I$3&lt;=$O$2,$D150,$D150-($D150-$I$130)*MIN(I$3-$O$2,$Q$2)/$Q$2))</f>
        <v>990.669924985849</v>
      </c>
      <c r="J150" s="15" t="n">
        <f aca="false">I150*(1+IF(J$3&lt;=$O$2,$D150,$D150-($D150-$I$130)*MIN(J$3-$O$2,$Q$2)/$Q$2))</f>
        <v>1018.12013696735</v>
      </c>
      <c r="K150" s="15" t="n">
        <f aca="false">J150*(1+IF(K$3&lt;=$O$2,$D150,$D150-($D150-$I$130)*MIN(K$3-$O$2,$Q$2)/$Q$2))</f>
        <v>1047.75410411321</v>
      </c>
      <c r="L150" s="15" t="n">
        <f aca="false">K150*(1+IF(L$3&lt;=$O$2,$D150,$D150-($D150-$I$130)*MIN(L$3-$O$2,$Q$2)/$Q$2))</f>
        <v>1079.71518117839</v>
      </c>
      <c r="M150" s="15" t="n">
        <f aca="false">L150*(1+IF(M$3&lt;=$O$2,$D150,$D150-($D150-$I$130)*MIN(M$3-$O$2,$Q$2)/$Q$2))</f>
        <v>1114.16045371041</v>
      </c>
      <c r="N150" s="15" t="n">
        <f aca="false">M150*(1+IF(N$3&lt;=$O$2,$D150,$D150-($D150-$I$130)*MIN(N$3-$O$2,$Q$2)/$Q$2))</f>
        <v>1151.26199681896</v>
      </c>
      <c r="O150" s="15" t="n">
        <f aca="false">SUMPRODUCT(E150:N150,1/(1+$F$130)^$E$3:$N$3)*$E$2</f>
        <v>1581.38388678721</v>
      </c>
      <c r="P150" s="15" t="n">
        <f aca="false">N150*$E$2*(1+$I$130)/($F$130-$I$130)/(1+$F$130)^$N$3</f>
        <v>4041.1698992957</v>
      </c>
      <c r="Q150" s="15" t="n">
        <f aca="false">O150+P150</f>
        <v>5622.55378608291</v>
      </c>
      <c r="R150" s="15" t="n">
        <f aca="false">Q150-$G$2+$I$2</f>
        <v>5789.95378608291</v>
      </c>
      <c r="S150" s="42" t="n">
        <f aca="false">R150/$K$2</f>
        <v>164.534066100679</v>
      </c>
      <c r="T150" s="43" t="n">
        <f aca="false">S150-$M$2</f>
        <v>-0.00131326845956892</v>
      </c>
    </row>
    <row r="151" customFormat="false" ht="15" hidden="false" customHeight="false" outlineLevel="0" collapsed="false">
      <c r="A151" s="5" t="n">
        <v>20</v>
      </c>
      <c r="B151" s="25" t="n">
        <f aca="false">IF(T150&gt;0,B150,D150)</f>
        <v>0.026310920715332</v>
      </c>
      <c r="C151" s="25" t="n">
        <f aca="false">IF(T150&gt;0,D150,C150)</f>
        <v>0.0263137817382813</v>
      </c>
      <c r="D151" s="41" t="n">
        <f aca="false">(B151+C151)/2</f>
        <v>0.0263123512268066</v>
      </c>
      <c r="E151" s="15" t="n">
        <f aca="false">$C$2*(1+IF(E$3&lt;=$O$2,$D151,$D151-($D151-$I$130)*MIN(E$3-$O$2,$Q$2)/$Q$2))</f>
        <v>892.922534937859</v>
      </c>
      <c r="F151" s="15" t="n">
        <f aca="false">E151*(1+IF(F$3&lt;=$O$2,$D151,$D151-($D151-$I$130)*MIN(F$3-$O$2,$Q$2)/$Q$2))</f>
        <v>916.417426295474</v>
      </c>
      <c r="G151" s="15" t="n">
        <f aca="false">F151*(1+IF(G$3&lt;=$O$2,$D151,$D151-($D151-$I$130)*MIN(G$3-$O$2,$Q$2)/$Q$2))</f>
        <v>940.530523486527</v>
      </c>
      <c r="H151" s="15" t="n">
        <f aca="false">G151*(1+IF(H$3&lt;=$O$2,$D151,$D151-($D151-$I$130)*MIN(H$3-$O$2,$Q$2)/$Q$2))</f>
        <v>965.278092960037</v>
      </c>
      <c r="I151" s="15" t="n">
        <f aca="false">H151*(1+IF(I$3&lt;=$O$2,$D151,$D151-($D151-$I$130)*MIN(I$3-$O$2,$Q$2)/$Q$2))</f>
        <v>990.676829173543</v>
      </c>
      <c r="J151" s="15" t="n">
        <f aca="false">I151*(1+IF(J$3&lt;=$O$2,$D151,$D151-($D151-$I$130)*MIN(J$3-$O$2,$Q$2)/$Q$2))</f>
        <v>1018.12836620102</v>
      </c>
      <c r="K151" s="15" t="n">
        <f aca="false">J151*(1+IF(K$3&lt;=$O$2,$D151,$D151-($D151-$I$130)*MIN(K$3-$O$2,$Q$2)/$Q$2))</f>
        <v>1047.76344673809</v>
      </c>
      <c r="L151" s="15" t="n">
        <f aca="false">K151*(1+IF(L$3&lt;=$O$2,$D151,$D151-($D151-$I$130)*MIN(L$3-$O$2,$Q$2)/$Q$2))</f>
        <v>1079.72540832919</v>
      </c>
      <c r="M151" s="15" t="n">
        <f aca="false">L151*(1+IF(M$3&lt;=$O$2,$D151,$D151-($D151-$I$130)*MIN(M$3-$O$2,$Q$2)/$Q$2))</f>
        <v>1114.17131604157</v>
      </c>
      <c r="N151" s="15" t="n">
        <f aca="false">M151*(1+IF(N$3&lt;=$O$2,$D151,$D151-($D151-$I$130)*MIN(N$3-$O$2,$Q$2)/$Q$2))</f>
        <v>1151.27322086576</v>
      </c>
      <c r="O151" s="15" t="n">
        <f aca="false">SUMPRODUCT(E151:N151,1/(1+$F$130)^$E$3:$N$3)*$E$2</f>
        <v>1581.39397622878</v>
      </c>
      <c r="P151" s="15" t="n">
        <f aca="false">N151*$E$2*(1+$I$130)/($F$130-$I$130)/(1+$F$130)^$N$3</f>
        <v>4041.20929804262</v>
      </c>
      <c r="Q151" s="15" t="n">
        <f aca="false">O151+P151</f>
        <v>5622.6032742714</v>
      </c>
      <c r="R151" s="15" t="n">
        <f aca="false">Q151-$G$2+$I$2</f>
        <v>5790.0032742714</v>
      </c>
      <c r="S151" s="42" t="n">
        <f aca="false">R151/$K$2</f>
        <v>164.535472414646</v>
      </c>
      <c r="T151" s="43" t="n">
        <f aca="false">S151-$M$2</f>
        <v>9.30455070715652E-005</v>
      </c>
    </row>
    <row r="152" customFormat="false" ht="15" hidden="false" customHeight="false" outlineLevel="0" collapsed="false">
      <c r="A152" s="5" t="n">
        <v>21</v>
      </c>
      <c r="B152" s="25" t="n">
        <f aca="false">IF(T151&gt;0,B151,D151)</f>
        <v>0.026310920715332</v>
      </c>
      <c r="C152" s="25" t="n">
        <f aca="false">IF(T151&gt;0,D151,C151)</f>
        <v>0.0263123512268066</v>
      </c>
      <c r="D152" s="41" t="n">
        <f aca="false">(B152+C152)/2</f>
        <v>0.0263116359710693</v>
      </c>
      <c r="E152" s="15" t="n">
        <f aca="false">$C$2*(1+IF(E$3&lt;=$O$2,$D152,$D152-($D152-$I$130)*MIN(E$3-$O$2,$Q$2)/$Q$2))</f>
        <v>892.921912643909</v>
      </c>
      <c r="F152" s="15" t="n">
        <f aca="false">E152*(1+IF(F$3&lt;=$O$2,$D152,$D152-($D152-$I$130)*MIN(F$3-$O$2,$Q$2)/$Q$2))</f>
        <v>916.416148959987</v>
      </c>
      <c r="G152" s="15" t="n">
        <f aca="false">F152*(1+IF(G$3&lt;=$O$2,$D152,$D152-($D152-$I$130)*MIN(G$3-$O$2,$Q$2)/$Q$2))</f>
        <v>940.528557069431</v>
      </c>
      <c r="H152" s="15" t="n">
        <f aca="false">G152*(1+IF(H$3&lt;=$O$2,$D152,$D152-($D152-$I$130)*MIN(H$3-$O$2,$Q$2)/$Q$2))</f>
        <v>965.275402083437</v>
      </c>
      <c r="I152" s="15" t="n">
        <f aca="false">H152*(1+IF(I$3&lt;=$O$2,$D152,$D152-($D152-$I$130)*MIN(I$3-$O$2,$Q$2)/$Q$2))</f>
        <v>990.673377074884</v>
      </c>
      <c r="J152" s="15" t="n">
        <f aca="false">I152*(1+IF(J$3&lt;=$O$2,$D152,$D152-($D152-$I$130)*MIN(J$3-$O$2,$Q$2)/$Q$2))</f>
        <v>1018.12425157726</v>
      </c>
      <c r="K152" s="15" t="n">
        <f aca="false">J152*(1+IF(K$3&lt;=$O$2,$D152,$D152-($D152-$I$130)*MIN(K$3-$O$2,$Q$2)/$Q$2))</f>
        <v>1047.75877541676</v>
      </c>
      <c r="L152" s="15" t="n">
        <f aca="false">K152*(1+IF(L$3&lt;=$O$2,$D152,$D152-($D152-$I$130)*MIN(L$3-$O$2,$Q$2)/$Q$2))</f>
        <v>1079.72029474329</v>
      </c>
      <c r="M152" s="15" t="n">
        <f aca="false">L152*(1+IF(M$3&lt;=$O$2,$D152,$D152-($D152-$I$130)*MIN(M$3-$O$2,$Q$2)/$Q$2))</f>
        <v>1114.16588486443</v>
      </c>
      <c r="N152" s="15" t="n">
        <f aca="false">M152*(1+IF(N$3&lt;=$O$2,$D152,$D152-($D152-$I$130)*MIN(N$3-$O$2,$Q$2)/$Q$2))</f>
        <v>1151.26760883041</v>
      </c>
      <c r="O152" s="15" t="n">
        <f aca="false">SUMPRODUCT(E152:N152,1/(1+$F$130)^$E$3:$N$3)*$E$2</f>
        <v>1581.38893149988</v>
      </c>
      <c r="P152" s="15" t="n">
        <f aca="false">N152*$E$2*(1+$I$130)/($F$130-$I$130)/(1+$F$130)^$N$3</f>
        <v>4041.18959862722</v>
      </c>
      <c r="Q152" s="15" t="n">
        <f aca="false">O152+P152</f>
        <v>5622.57853012711</v>
      </c>
      <c r="R152" s="15" t="n">
        <f aca="false">Q152-$G$2+$I$2</f>
        <v>5789.97853012711</v>
      </c>
      <c r="S152" s="42" t="n">
        <f aca="false">R152/$K$2</f>
        <v>164.534769256241</v>
      </c>
      <c r="T152" s="43" t="n">
        <f aca="false">S152-$M$2</f>
        <v>-0.000610112898414172</v>
      </c>
    </row>
    <row r="153" customFormat="false" ht="15" hidden="false" customHeight="false" outlineLevel="0" collapsed="false">
      <c r="A153" s="5" t="n">
        <v>22</v>
      </c>
      <c r="B153" s="25" t="n">
        <f aca="false">IF(T152&gt;0,B152,D152)</f>
        <v>0.0263116359710693</v>
      </c>
      <c r="C153" s="25" t="n">
        <f aca="false">IF(T152&gt;0,D152,C152)</f>
        <v>0.0263123512268066</v>
      </c>
      <c r="D153" s="41" t="n">
        <f aca="false">(B153+C153)/2</f>
        <v>0.026311993598938</v>
      </c>
      <c r="E153" s="15" t="n">
        <f aca="false">$C$2*(1+IF(E$3&lt;=$O$2,$D153,$D153-($D153-$I$130)*MIN(E$3-$O$2,$Q$2)/$Q$2))</f>
        <v>892.922223790884</v>
      </c>
      <c r="F153" s="15" t="n">
        <f aca="false">E153*(1+IF(F$3&lt;=$O$2,$D153,$D153-($D153-$I$130)*MIN(F$3-$O$2,$Q$2)/$Q$2))</f>
        <v>916.416787627619</v>
      </c>
      <c r="G153" s="15" t="n">
        <f aca="false">F153*(1+IF(G$3&lt;=$O$2,$D153,$D153-($D153-$I$130)*MIN(G$3-$O$2,$Q$2)/$Q$2))</f>
        <v>940.529540277636</v>
      </c>
      <c r="H153" s="15" t="n">
        <f aca="false">G153*(1+IF(H$3&lt;=$O$2,$D153,$D153-($D153-$I$130)*MIN(H$3-$O$2,$Q$2)/$Q$2))</f>
        <v>965.276747521034</v>
      </c>
      <c r="I153" s="15" t="n">
        <f aca="false">H153*(1+IF(I$3&lt;=$O$2,$D153,$D153-($D153-$I$130)*MIN(I$3-$O$2,$Q$2)/$Q$2))</f>
        <v>990.675103123011</v>
      </c>
      <c r="J153" s="15" t="n">
        <f aca="false">I153*(1+IF(J$3&lt;=$O$2,$D153,$D153-($D153-$I$130)*MIN(J$3-$O$2,$Q$2)/$Q$2))</f>
        <v>1018.12630888741</v>
      </c>
      <c r="K153" s="15" t="n">
        <f aca="false">J153*(1+IF(K$3&lt;=$O$2,$D153,$D153-($D153-$I$130)*MIN(K$3-$O$2,$Q$2)/$Q$2))</f>
        <v>1047.7611110752</v>
      </c>
      <c r="L153" s="15" t="n">
        <f aca="false">K153*(1+IF(L$3&lt;=$O$2,$D153,$D153-($D153-$I$130)*MIN(L$3-$O$2,$Q$2)/$Q$2))</f>
        <v>1079.72285153362</v>
      </c>
      <c r="M153" s="15" t="n">
        <f aca="false">L153*(1+IF(M$3&lt;=$O$2,$D153,$D153-($D153-$I$130)*MIN(M$3-$O$2,$Q$2)/$Q$2))</f>
        <v>1114.16860045011</v>
      </c>
      <c r="N153" s="15" t="n">
        <f aca="false">M153*(1+IF(N$3&lt;=$O$2,$D153,$D153-($D153-$I$130)*MIN(N$3-$O$2,$Q$2)/$Q$2))</f>
        <v>1151.2704148451</v>
      </c>
      <c r="O153" s="15" t="n">
        <f aca="false">SUMPRODUCT(E153:N153,1/(1+$F$130)^$E$3:$N$3)*$E$2</f>
        <v>1581.3914538623</v>
      </c>
      <c r="P153" s="15" t="n">
        <f aca="false">N153*$E$2*(1+$I$130)/($F$130-$I$130)/(1+$F$130)^$N$3</f>
        <v>4041.19944832444</v>
      </c>
      <c r="Q153" s="15" t="n">
        <f aca="false">O153+P153</f>
        <v>5622.59090218674</v>
      </c>
      <c r="R153" s="15" t="n">
        <f aca="false">Q153-$G$2+$I$2</f>
        <v>5789.99090218674</v>
      </c>
      <c r="S153" s="42" t="n">
        <f aca="false">R153/$K$2</f>
        <v>164.535120835088</v>
      </c>
      <c r="T153" s="43" t="n">
        <f aca="false">S153-$M$2</f>
        <v>-0.000258534051283732</v>
      </c>
    </row>
    <row r="154" customFormat="false" ht="15" hidden="false" customHeight="false" outlineLevel="0" collapsed="false">
      <c r="A154" s="5" t="n">
        <v>23</v>
      </c>
      <c r="B154" s="25" t="n">
        <f aca="false">IF(T153&gt;0,B153,D153)</f>
        <v>0.026311993598938</v>
      </c>
      <c r="C154" s="25" t="n">
        <f aca="false">IF(T153&gt;0,D153,C153)</f>
        <v>0.0263123512268066</v>
      </c>
      <c r="D154" s="41" t="n">
        <f aca="false">(B154+C154)/2</f>
        <v>0.0263121724128723</v>
      </c>
      <c r="E154" s="15" t="n">
        <f aca="false">$C$2*(1+IF(E$3&lt;=$O$2,$D154,$D154-($D154-$I$130)*MIN(E$3-$O$2,$Q$2)/$Q$2))</f>
        <v>892.922379364371</v>
      </c>
      <c r="F154" s="15" t="n">
        <f aca="false">E154*(1+IF(F$3&lt;=$O$2,$D154,$D154-($D154-$I$130)*MIN(F$3-$O$2,$Q$2)/$Q$2))</f>
        <v>916.417106961519</v>
      </c>
      <c r="G154" s="15" t="n">
        <f aca="false">F154*(1+IF(G$3&lt;=$O$2,$D154,$D154-($D154-$I$130)*MIN(G$3-$O$2,$Q$2)/$Q$2))</f>
        <v>940.530031881996</v>
      </c>
      <c r="H154" s="15" t="n">
        <f aca="false">G154*(1+IF(H$3&lt;=$O$2,$D154,$D154-($D154-$I$130)*MIN(H$3-$O$2,$Q$2)/$Q$2))</f>
        <v>965.277420240359</v>
      </c>
      <c r="I154" s="15" t="n">
        <f aca="false">H154*(1+IF(I$3&lt;=$O$2,$D154,$D154-($D154-$I$130)*MIN(I$3-$O$2,$Q$2)/$Q$2))</f>
        <v>990.675966147976</v>
      </c>
      <c r="J154" s="15" t="n">
        <f aca="false">I154*(1+IF(J$3&lt;=$O$2,$D154,$D154-($D154-$I$130)*MIN(J$3-$O$2,$Q$2)/$Q$2))</f>
        <v>1018.12733754378</v>
      </c>
      <c r="K154" s="15" t="n">
        <f aca="false">J154*(1+IF(K$3&lt;=$O$2,$D154,$D154-($D154-$I$130)*MIN(K$3-$O$2,$Q$2)/$Q$2))</f>
        <v>1047.76227890609</v>
      </c>
      <c r="L154" s="15" t="n">
        <f aca="false">K154*(1+IF(L$3&lt;=$O$2,$D154,$D154-($D154-$I$130)*MIN(L$3-$O$2,$Q$2)/$Q$2))</f>
        <v>1079.72412993075</v>
      </c>
      <c r="M154" s="15" t="n">
        <f aca="false">L154*(1+IF(M$3&lt;=$O$2,$D154,$D154-($D154-$I$130)*MIN(M$3-$O$2,$Q$2)/$Q$2))</f>
        <v>1114.16995824512</v>
      </c>
      <c r="N154" s="15" t="n">
        <f aca="false">M154*(1+IF(N$3&lt;=$O$2,$D154,$D154-($D154-$I$130)*MIN(N$3-$O$2,$Q$2)/$Q$2))</f>
        <v>1151.27181785468</v>
      </c>
      <c r="O154" s="15" t="n">
        <f aca="false">SUMPRODUCT(E154:N154,1/(1+$F$130)^$E$3:$N$3)*$E$2</f>
        <v>1581.39271504503</v>
      </c>
      <c r="P154" s="15" t="n">
        <f aca="false">N154*$E$2*(1+$I$130)/($F$130-$I$130)/(1+$F$130)^$N$3</f>
        <v>4041.20437318091</v>
      </c>
      <c r="Q154" s="15" t="n">
        <f aca="false">O154+P154</f>
        <v>5622.59708822594</v>
      </c>
      <c r="R154" s="15" t="n">
        <f aca="false">Q154-$G$2+$I$2</f>
        <v>5789.99708822594</v>
      </c>
      <c r="S154" s="42" t="n">
        <f aca="false">R154/$K$2</f>
        <v>164.535296624778</v>
      </c>
      <c r="T154" s="43" t="n">
        <f aca="false">S154-$M$2</f>
        <v>-8.27443608955036E-005</v>
      </c>
    </row>
    <row r="155" customFormat="false" ht="15" hidden="false" customHeight="false" outlineLevel="0" collapsed="false">
      <c r="A155" s="5" t="n">
        <v>24</v>
      </c>
      <c r="B155" s="25" t="n">
        <f aca="false">IF(T154&gt;0,B154,D154)</f>
        <v>0.0263121724128723</v>
      </c>
      <c r="C155" s="25" t="n">
        <f aca="false">IF(T154&gt;0,D154,C154)</f>
        <v>0.0263123512268066</v>
      </c>
      <c r="D155" s="41" t="n">
        <f aca="false">(B155+C155)/2</f>
        <v>0.0263122618198395</v>
      </c>
      <c r="E155" s="15" t="n">
        <f aca="false">$C$2*(1+IF(E$3&lt;=$O$2,$D155,$D155-($D155-$I$130)*MIN(E$3-$O$2,$Q$2)/$Q$2))</f>
        <v>892.922457151115</v>
      </c>
      <c r="F155" s="15" t="n">
        <f aca="false">E155*(1+IF(F$3&lt;=$O$2,$D155,$D155-($D155-$I$130)*MIN(F$3-$O$2,$Q$2)/$Q$2))</f>
        <v>916.41726662849</v>
      </c>
      <c r="G155" s="15" t="n">
        <f aca="false">F155*(1+IF(G$3&lt;=$O$2,$D155,$D155-($D155-$I$130)*MIN(G$3-$O$2,$Q$2)/$Q$2))</f>
        <v>940.53027768424</v>
      </c>
      <c r="H155" s="15" t="n">
        <f aca="false">G155*(1+IF(H$3&lt;=$O$2,$D155,$D155-($D155-$I$130)*MIN(H$3-$O$2,$Q$2)/$Q$2))</f>
        <v>965.277756600154</v>
      </c>
      <c r="I155" s="15" t="n">
        <f aca="false">H155*(1+IF(I$3&lt;=$O$2,$D155,$D155-($D155-$I$130)*MIN(I$3-$O$2,$Q$2)/$Q$2))</f>
        <v>990.676397660685</v>
      </c>
      <c r="J155" s="15" t="n">
        <f aca="false">I155*(1+IF(J$3&lt;=$O$2,$D155,$D155-($D155-$I$130)*MIN(J$3-$O$2,$Q$2)/$Q$2))</f>
        <v>1018.12785187229</v>
      </c>
      <c r="K155" s="15" t="n">
        <f aca="false">J155*(1+IF(K$3&lt;=$O$2,$D155,$D155-($D155-$I$130)*MIN(K$3-$O$2,$Q$2)/$Q$2))</f>
        <v>1047.76286282195</v>
      </c>
      <c r="L155" s="15" t="n">
        <f aca="false">K155*(1+IF(L$3&lt;=$O$2,$D155,$D155-($D155-$I$130)*MIN(L$3-$O$2,$Q$2)/$Q$2))</f>
        <v>1079.7247691298</v>
      </c>
      <c r="M155" s="15" t="n">
        <f aca="false">L155*(1+IF(M$3&lt;=$O$2,$D155,$D155-($D155-$I$130)*MIN(M$3-$O$2,$Q$2)/$Q$2))</f>
        <v>1114.17063714316</v>
      </c>
      <c r="N155" s="15" t="n">
        <f aca="false">M155*(1+IF(N$3&lt;=$O$2,$D155,$D155-($D155-$I$130)*MIN(N$3-$O$2,$Q$2)/$Q$2))</f>
        <v>1151.27251936003</v>
      </c>
      <c r="O155" s="15" t="n">
        <f aca="false">SUMPRODUCT(E155:N155,1/(1+$F$130)^$E$3:$N$3)*$E$2</f>
        <v>1581.39334563678</v>
      </c>
      <c r="P155" s="15" t="n">
        <f aca="false">N155*$E$2*(1+$I$130)/($F$130-$I$130)/(1+$F$130)^$N$3</f>
        <v>4041.20683561111</v>
      </c>
      <c r="Q155" s="15" t="n">
        <f aca="false">O155+P155</f>
        <v>5622.60018124788</v>
      </c>
      <c r="R155" s="15" t="n">
        <f aca="false">Q155-$G$2+$I$2</f>
        <v>5790.00018124789</v>
      </c>
      <c r="S155" s="42" t="n">
        <f aca="false">R155/$K$2</f>
        <v>164.53538451969</v>
      </c>
      <c r="T155" s="43" t="n">
        <f aca="false">S155-$M$2</f>
        <v>5.15055083383231E-006</v>
      </c>
    </row>
    <row r="157" customFormat="false" ht="15" hidden="false" customHeight="false" outlineLevel="0" collapsed="false">
      <c r="A157" s="38" t="s">
        <v>192</v>
      </c>
      <c r="E157" s="5" t="s">
        <v>12</v>
      </c>
      <c r="F157" s="12" t="n">
        <f aca="false">Sensitivity!$B$10</f>
        <v>0.0675075820986394</v>
      </c>
      <c r="G157" s="5" t="s">
        <v>13</v>
      </c>
      <c r="I157" s="12" t="n">
        <f aca="false">Sensitivity!$G$9</f>
        <v>0.0383</v>
      </c>
    </row>
    <row r="158" customFormat="false" ht="23.85" hidden="false" customHeight="false" outlineLevel="0" collapsed="false">
      <c r="A158" s="38" t="s">
        <v>168</v>
      </c>
      <c r="B158" s="28" t="s">
        <v>169</v>
      </c>
      <c r="C158" s="28" t="s">
        <v>170</v>
      </c>
      <c r="D158" s="28" t="s">
        <v>171</v>
      </c>
      <c r="E158" s="28" t="s">
        <v>172</v>
      </c>
      <c r="F158" s="28" t="s">
        <v>173</v>
      </c>
      <c r="G158" s="28" t="s">
        <v>174</v>
      </c>
      <c r="H158" s="28" t="s">
        <v>175</v>
      </c>
      <c r="I158" s="28" t="s">
        <v>176</v>
      </c>
      <c r="J158" s="28" t="s">
        <v>177</v>
      </c>
      <c r="K158" s="28" t="s">
        <v>178</v>
      </c>
      <c r="L158" s="28" t="s">
        <v>179</v>
      </c>
      <c r="M158" s="28" t="s">
        <v>180</v>
      </c>
      <c r="N158" s="28" t="s">
        <v>181</v>
      </c>
      <c r="O158" s="28" t="s">
        <v>182</v>
      </c>
      <c r="P158" s="28" t="s">
        <v>183</v>
      </c>
      <c r="Q158" s="28" t="s">
        <v>184</v>
      </c>
      <c r="R158" s="28" t="s">
        <v>185</v>
      </c>
      <c r="S158" s="28" t="s">
        <v>186</v>
      </c>
      <c r="T158" s="28" t="s">
        <v>187</v>
      </c>
    </row>
    <row r="159" customFormat="false" ht="15" hidden="false" customHeight="false" outlineLevel="0" collapsed="false">
      <c r="A159" s="5" t="n">
        <v>1</v>
      </c>
      <c r="B159" s="24" t="n">
        <v>-0.5</v>
      </c>
      <c r="C159" s="24" t="n">
        <v>1</v>
      </c>
      <c r="D159" s="41" t="n">
        <f aca="false">(B159+C159)/2</f>
        <v>0.25</v>
      </c>
      <c r="E159" s="15" t="n">
        <f aca="false">$C$2*(1+IF(E$3&lt;=$O$2,$D159,$D159-($D159-$I$157)*MIN(E$3-$O$2,$Q$2)/$Q$2))</f>
        <v>1087.5375</v>
      </c>
      <c r="F159" s="15" t="n">
        <f aca="false">E159*(1+IF(F$3&lt;=$O$2,$D159,$D159-($D159-$I$157)*MIN(F$3-$O$2,$Q$2)/$Q$2))</f>
        <v>1359.421875</v>
      </c>
      <c r="G159" s="15" t="n">
        <f aca="false">F159*(1+IF(G$3&lt;=$O$2,$D159,$D159-($D159-$I$157)*MIN(G$3-$O$2,$Q$2)/$Q$2))</f>
        <v>1699.27734375</v>
      </c>
      <c r="H159" s="15" t="n">
        <f aca="false">G159*(1+IF(H$3&lt;=$O$2,$D159,$D159-($D159-$I$157)*MIN(H$3-$O$2,$Q$2)/$Q$2))</f>
        <v>2124.0966796875</v>
      </c>
      <c r="I159" s="15" t="n">
        <f aca="false">H159*(1+IF(I$3&lt;=$O$2,$D159,$D159-($D159-$I$157)*MIN(I$3-$O$2,$Q$2)/$Q$2))</f>
        <v>2655.12084960938</v>
      </c>
      <c r="J159" s="15" t="n">
        <f aca="false">I159*(1+IF(J$3&lt;=$O$2,$D159,$D159-($D159-$I$157)*MIN(J$3-$O$2,$Q$2)/$Q$2))</f>
        <v>3206.48324523926</v>
      </c>
      <c r="K159" s="15" t="n">
        <f aca="false">J159*(1+IF(K$3&lt;=$O$2,$D159,$D159-($D159-$I$157)*MIN(K$3-$O$2,$Q$2)/$Q$2))</f>
        <v>3736.57905534221</v>
      </c>
      <c r="L159" s="15" t="n">
        <f aca="false">K159*(1+IF(L$3&lt;=$O$2,$D159,$D159-($D159-$I$157)*MIN(L$3-$O$2,$Q$2)/$Q$2))</f>
        <v>4196.1035475682</v>
      </c>
      <c r="M159" s="15" t="n">
        <f aca="false">L159*(1+IF(M$3&lt;=$O$2,$D159,$D159-($D159-$I$157)*MIN(M$3-$O$2,$Q$2)/$Q$2))</f>
        <v>4534.4773376441</v>
      </c>
      <c r="N159" s="15" t="n">
        <f aca="false">M159*(1+IF(N$3&lt;=$O$2,$D159,$D159-($D159-$I$157)*MIN(N$3-$O$2,$Q$2)/$Q$2))</f>
        <v>4708.14781967587</v>
      </c>
      <c r="O159" s="15" t="n">
        <f aca="false">SUMPRODUCT(E159:N159,1/(1+$F$157)^$E$3:$N$3)*$E$2</f>
        <v>4276.28801741235</v>
      </c>
      <c r="P159" s="15" t="n">
        <f aca="false">N159*$E$2*(1+$I$157)/($F$157-$I$157)/(1+$F$157)^$N$3</f>
        <v>19449.4008355078</v>
      </c>
      <c r="Q159" s="15" t="n">
        <f aca="false">O159+P159</f>
        <v>23725.6888529201</v>
      </c>
      <c r="R159" s="15" t="n">
        <f aca="false">Q159-$G$2+$I$2</f>
        <v>23893.0888529201</v>
      </c>
      <c r="S159" s="42" t="n">
        <f aca="false">R159/$K$2</f>
        <v>678.973823612394</v>
      </c>
      <c r="T159" s="43" t="n">
        <f aca="false">S159-$M$2</f>
        <v>514.438444243255</v>
      </c>
    </row>
    <row r="160" customFormat="false" ht="15" hidden="false" customHeight="false" outlineLevel="0" collapsed="false">
      <c r="A160" s="5" t="n">
        <v>2</v>
      </c>
      <c r="B160" s="25" t="n">
        <f aca="false">IF(T159&gt;0,B159,D159)</f>
        <v>-0.5</v>
      </c>
      <c r="C160" s="25" t="n">
        <f aca="false">IF(T159&gt;0,D159,C159)</f>
        <v>0.25</v>
      </c>
      <c r="D160" s="41" t="n">
        <f aca="false">(B160+C160)/2</f>
        <v>-0.125</v>
      </c>
      <c r="E160" s="15" t="n">
        <f aca="false">$C$2*(1+IF(E$3&lt;=$O$2,$D160,$D160-($D160-$I$157)*MIN(E$3-$O$2,$Q$2)/$Q$2))</f>
        <v>761.27625</v>
      </c>
      <c r="F160" s="15" t="n">
        <f aca="false">E160*(1+IF(F$3&lt;=$O$2,$D160,$D160-($D160-$I$157)*MIN(F$3-$O$2,$Q$2)/$Q$2))</f>
        <v>666.11671875</v>
      </c>
      <c r="G160" s="15" t="n">
        <f aca="false">F160*(1+IF(G$3&lt;=$O$2,$D160,$D160-($D160-$I$157)*MIN(G$3-$O$2,$Q$2)/$Q$2))</f>
        <v>582.85212890625</v>
      </c>
      <c r="H160" s="15" t="n">
        <f aca="false">G160*(1+IF(H$3&lt;=$O$2,$D160,$D160-($D160-$I$157)*MIN(H$3-$O$2,$Q$2)/$Q$2))</f>
        <v>509.995612792969</v>
      </c>
      <c r="I160" s="15" t="n">
        <f aca="false">H160*(1+IF(I$3&lt;=$O$2,$D160,$D160-($D160-$I$157)*MIN(I$3-$O$2,$Q$2)/$Q$2))</f>
        <v>446.246161193848</v>
      </c>
      <c r="J160" s="15" t="n">
        <f aca="false">I160*(1+IF(J$3&lt;=$O$2,$D160,$D160-($D160-$I$157)*MIN(J$3-$O$2,$Q$2)/$Q$2))</f>
        <v>405.039790669208</v>
      </c>
      <c r="K160" s="15" t="n">
        <f aca="false">J160*(1+IF(K$3&lt;=$O$2,$D160,$D160-($D160-$I$157)*MIN(K$3-$O$2,$Q$2)/$Q$2))</f>
        <v>380.86701596207</v>
      </c>
      <c r="L160" s="15" t="n">
        <f aca="false">K160*(1+IF(L$3&lt;=$O$2,$D160,$D160-($D160-$I$157)*MIN(L$3-$O$2,$Q$2)/$Q$2))</f>
        <v>370.575989190774</v>
      </c>
      <c r="M160" s="15" t="n">
        <f aca="false">L160*(1+IF(M$3&lt;=$O$2,$D160,$D160-($D160-$I$157)*MIN(M$3-$O$2,$Q$2)/$Q$2))</f>
        <v>372.66603776981</v>
      </c>
      <c r="N160" s="15" t="n">
        <f aca="false">M160*(1+IF(N$3&lt;=$O$2,$D160,$D160-($D160-$I$157)*MIN(N$3-$O$2,$Q$2)/$Q$2))</f>
        <v>386.939147016394</v>
      </c>
      <c r="O160" s="15" t="n">
        <f aca="false">SUMPRODUCT(E160:N160,1/(1+$F$157)^$E$3:$N$3)*$E$2</f>
        <v>811.627820181053</v>
      </c>
      <c r="P160" s="15" t="n">
        <f aca="false">N160*$E$2*(1+$I$157)/($F$157-$I$157)/(1+$F$157)^$N$3</f>
        <v>1598.44908390949</v>
      </c>
      <c r="Q160" s="15" t="n">
        <f aca="false">O160+P160</f>
        <v>2410.07690409054</v>
      </c>
      <c r="R160" s="15" t="n">
        <f aca="false">Q160-$G$2+$I$2</f>
        <v>2577.47690409054</v>
      </c>
      <c r="S160" s="42" t="n">
        <f aca="false">R160/$K$2</f>
        <v>73.2445838047894</v>
      </c>
      <c r="T160" s="43" t="n">
        <f aca="false">S160-$M$2</f>
        <v>-91.2907955643496</v>
      </c>
    </row>
    <row r="161" customFormat="false" ht="15" hidden="false" customHeight="false" outlineLevel="0" collapsed="false">
      <c r="A161" s="5" t="n">
        <v>3</v>
      </c>
      <c r="B161" s="25" t="n">
        <f aca="false">IF(T160&gt;0,B160,D160)</f>
        <v>-0.125</v>
      </c>
      <c r="C161" s="25" t="n">
        <f aca="false">IF(T160&gt;0,D160,C160)</f>
        <v>0.25</v>
      </c>
      <c r="D161" s="41" t="n">
        <f aca="false">(B161+C161)/2</f>
        <v>0.0625</v>
      </c>
      <c r="E161" s="15" t="n">
        <f aca="false">$C$2*(1+IF(E$3&lt;=$O$2,$D161,$D161-($D161-$I$157)*MIN(E$3-$O$2,$Q$2)/$Q$2))</f>
        <v>924.406875</v>
      </c>
      <c r="F161" s="15" t="n">
        <f aca="false">E161*(1+IF(F$3&lt;=$O$2,$D161,$D161-($D161-$I$157)*MIN(F$3-$O$2,$Q$2)/$Q$2))</f>
        <v>982.1823046875</v>
      </c>
      <c r="G161" s="15" t="n">
        <f aca="false">F161*(1+IF(G$3&lt;=$O$2,$D161,$D161-($D161-$I$157)*MIN(G$3-$O$2,$Q$2)/$Q$2))</f>
        <v>1043.56869873047</v>
      </c>
      <c r="H161" s="15" t="n">
        <f aca="false">G161*(1+IF(H$3&lt;=$O$2,$D161,$D161-($D161-$I$157)*MIN(H$3-$O$2,$Q$2)/$Q$2))</f>
        <v>1108.79174240112</v>
      </c>
      <c r="I161" s="15" t="n">
        <f aca="false">H161*(1+IF(I$3&lt;=$O$2,$D161,$D161-($D161-$I$157)*MIN(I$3-$O$2,$Q$2)/$Q$2))</f>
        <v>1178.09122630119</v>
      </c>
      <c r="J161" s="15" t="n">
        <f aca="false">I161*(1+IF(J$3&lt;=$O$2,$D161,$D161-($D161-$I$157)*MIN(J$3-$O$2,$Q$2)/$Q$2))</f>
        <v>1246.01996640972</v>
      </c>
      <c r="K161" s="15" t="n">
        <f aca="false">J161*(1+IF(K$3&lt;=$O$2,$D161,$D161-($D161-$I$157)*MIN(K$3-$O$2,$Q$2)/$Q$2))</f>
        <v>1311.83474103548</v>
      </c>
      <c r="L161" s="15" t="n">
        <f aca="false">K161*(1+IF(L$3&lt;=$O$2,$D161,$D161-($D161-$I$157)*MIN(L$3-$O$2,$Q$2)/$Q$2))</f>
        <v>1374.77657191036</v>
      </c>
      <c r="M161" s="15" t="n">
        <f aca="false">L161*(1+IF(M$3&lt;=$O$2,$D161,$D161-($D161-$I$157)*MIN(M$3-$O$2,$Q$2)/$Q$2))</f>
        <v>1434.08443322258</v>
      </c>
      <c r="N161" s="15" t="n">
        <f aca="false">M161*(1+IF(N$3&lt;=$O$2,$D161,$D161-($D161-$I$157)*MIN(N$3-$O$2,$Q$2)/$Q$2))</f>
        <v>1489.009867015</v>
      </c>
      <c r="O161" s="15" t="n">
        <f aca="false">SUMPRODUCT(E161:N161,1/(1+$F$157)^$E$3:$N$3)*$E$2</f>
        <v>1864.38221906017</v>
      </c>
      <c r="P161" s="15" t="n">
        <f aca="false">N161*$E$2*(1+$I$157)/($F$157-$I$157)/(1+$F$157)^$N$3</f>
        <v>6151.11310451479</v>
      </c>
      <c r="Q161" s="15" t="n">
        <f aca="false">O161+P161</f>
        <v>8015.49532357496</v>
      </c>
      <c r="R161" s="15" t="n">
        <f aca="false">Q161-$G$2+$I$2</f>
        <v>8182.89532357496</v>
      </c>
      <c r="S161" s="42" t="n">
        <f aca="false">R161/$K$2</f>
        <v>232.534678135122</v>
      </c>
      <c r="T161" s="43" t="n">
        <f aca="false">S161-$M$2</f>
        <v>67.9992987659834</v>
      </c>
    </row>
    <row r="162" customFormat="false" ht="15" hidden="false" customHeight="false" outlineLevel="0" collapsed="false">
      <c r="A162" s="5" t="n">
        <v>4</v>
      </c>
      <c r="B162" s="25" t="n">
        <f aca="false">IF(T161&gt;0,B161,D161)</f>
        <v>-0.125</v>
      </c>
      <c r="C162" s="25" t="n">
        <f aca="false">IF(T161&gt;0,D161,C161)</f>
        <v>0.0625</v>
      </c>
      <c r="D162" s="41" t="n">
        <f aca="false">(B162+C162)/2</f>
        <v>-0.03125</v>
      </c>
      <c r="E162" s="15" t="n">
        <f aca="false">$C$2*(1+IF(E$3&lt;=$O$2,$D162,$D162-($D162-$I$157)*MIN(E$3-$O$2,$Q$2)/$Q$2))</f>
        <v>842.8415625</v>
      </c>
      <c r="F162" s="15" t="n">
        <f aca="false">E162*(1+IF(F$3&lt;=$O$2,$D162,$D162-($D162-$I$157)*MIN(F$3-$O$2,$Q$2)/$Q$2))</f>
        <v>816.502763671875</v>
      </c>
      <c r="G162" s="15" t="n">
        <f aca="false">F162*(1+IF(G$3&lt;=$O$2,$D162,$D162-($D162-$I$157)*MIN(G$3-$O$2,$Q$2)/$Q$2))</f>
        <v>790.987052307129</v>
      </c>
      <c r="H162" s="15" t="n">
        <f aca="false">G162*(1+IF(H$3&lt;=$O$2,$D162,$D162-($D162-$I$157)*MIN(H$3-$O$2,$Q$2)/$Q$2))</f>
        <v>766.268706922531</v>
      </c>
      <c r="I162" s="15" t="n">
        <f aca="false">H162*(1+IF(I$3&lt;=$O$2,$D162,$D162-($D162-$I$157)*MIN(I$3-$O$2,$Q$2)/$Q$2))</f>
        <v>742.322809831202</v>
      </c>
      <c r="J162" s="15" t="n">
        <f aca="false">I162*(1+IF(J$3&lt;=$O$2,$D162,$D162-($D162-$I$157)*MIN(J$3-$O$2,$Q$2)/$Q$2))</f>
        <v>729.450932308729</v>
      </c>
      <c r="K162" s="15" t="n">
        <f aca="false">J162*(1+IF(K$3&lt;=$O$2,$D162,$D162-($D162-$I$157)*MIN(K$3-$O$2,$Q$2)/$Q$2))</f>
        <v>726.94891561091</v>
      </c>
      <c r="L162" s="15" t="n">
        <f aca="false">K162*(1+IF(L$3&lt;=$O$2,$D162,$D162-($D162-$I$157)*MIN(L$3-$O$2,$Q$2)/$Q$2))</f>
        <v>734.567340246513</v>
      </c>
      <c r="M162" s="15" t="n">
        <f aca="false">L162*(1+IF(M$3&lt;=$O$2,$D162,$D162-($D162-$I$157)*MIN(M$3-$O$2,$Q$2)/$Q$2))</f>
        <v>752.483437675125</v>
      </c>
      <c r="N162" s="15" t="n">
        <f aca="false">M162*(1+IF(N$3&lt;=$O$2,$D162,$D162-($D162-$I$157)*MIN(N$3-$O$2,$Q$2)/$Q$2))</f>
        <v>781.303553338082</v>
      </c>
      <c r="O162" s="15" t="n">
        <f aca="false">SUMPRODUCT(E162:N162,1/(1+$F$157)^$E$3:$N$3)*$E$2</f>
        <v>1227.16674879002</v>
      </c>
      <c r="P162" s="15" t="n">
        <f aca="false">N162*$E$2*(1+$I$157)/($F$157-$I$157)/(1+$F$157)^$N$3</f>
        <v>3227.57198055117</v>
      </c>
      <c r="Q162" s="15" t="n">
        <f aca="false">O162+P162</f>
        <v>4454.73872934119</v>
      </c>
      <c r="R162" s="15" t="n">
        <f aca="false">Q162-$G$2+$I$2</f>
        <v>4622.13872934119</v>
      </c>
      <c r="S162" s="42" t="n">
        <f aca="false">R162/$K$2</f>
        <v>131.348074150076</v>
      </c>
      <c r="T162" s="43" t="n">
        <f aca="false">S162-$M$2</f>
        <v>-33.1873052190626</v>
      </c>
    </row>
    <row r="163" customFormat="false" ht="15" hidden="false" customHeight="false" outlineLevel="0" collapsed="false">
      <c r="A163" s="5" t="n">
        <v>5</v>
      </c>
      <c r="B163" s="25" t="n">
        <f aca="false">IF(T162&gt;0,B162,D162)</f>
        <v>-0.03125</v>
      </c>
      <c r="C163" s="25" t="n">
        <f aca="false">IF(T162&gt;0,D162,C162)</f>
        <v>0.0625</v>
      </c>
      <c r="D163" s="41" t="n">
        <f aca="false">(B163+C163)/2</f>
        <v>0.015625</v>
      </c>
      <c r="E163" s="15" t="n">
        <f aca="false">$C$2*(1+IF(E$3&lt;=$O$2,$D163,$D163-($D163-$I$157)*MIN(E$3-$O$2,$Q$2)/$Q$2))</f>
        <v>883.62421875</v>
      </c>
      <c r="F163" s="15" t="n">
        <f aca="false">E163*(1+IF(F$3&lt;=$O$2,$D163,$D163-($D163-$I$157)*MIN(F$3-$O$2,$Q$2)/$Q$2))</f>
        <v>897.430847167969</v>
      </c>
      <c r="G163" s="15" t="n">
        <f aca="false">F163*(1+IF(G$3&lt;=$O$2,$D163,$D163-($D163-$I$157)*MIN(G$3-$O$2,$Q$2)/$Q$2))</f>
        <v>911.453204154968</v>
      </c>
      <c r="H163" s="15" t="n">
        <f aca="false">G163*(1+IF(H$3&lt;=$O$2,$D163,$D163-($D163-$I$157)*MIN(H$3-$O$2,$Q$2)/$Q$2))</f>
        <v>925.69466046989</v>
      </c>
      <c r="I163" s="15" t="n">
        <f aca="false">H163*(1+IF(I$3&lt;=$O$2,$D163,$D163-($D163-$I$157)*MIN(I$3-$O$2,$Q$2)/$Q$2))</f>
        <v>940.158639539732</v>
      </c>
      <c r="J163" s="15" t="n">
        <f aca="false">I163*(1+IF(J$3&lt;=$O$2,$D163,$D163-($D163-$I$157)*MIN(J$3-$O$2,$Q$2)/$Q$2))</f>
        <v>959.112237712853</v>
      </c>
      <c r="K163" s="15" t="n">
        <f aca="false">J163*(1+IF(K$3&lt;=$O$2,$D163,$D163-($D163-$I$157)*MIN(K$3-$O$2,$Q$2)/$Q$2))</f>
        <v>982.797514423171</v>
      </c>
      <c r="L163" s="15" t="n">
        <f aca="false">K163*(1+IF(L$3&lt;=$O$2,$D163,$D163-($D163-$I$157)*MIN(L$3-$O$2,$Q$2)/$Q$2))</f>
        <v>1011.52468576976</v>
      </c>
      <c r="M163" s="15" t="n">
        <f aca="false">L163*(1+IF(M$3&lt;=$O$2,$D163,$D163-($D163-$I$157)*MIN(M$3-$O$2,$Q$2)/$Q$2))</f>
        <v>1045.67881678478</v>
      </c>
      <c r="N163" s="15" t="n">
        <f aca="false">M163*(1+IF(N$3&lt;=$O$2,$D163,$D163-($D163-$I$157)*MIN(N$3-$O$2,$Q$2)/$Q$2))</f>
        <v>1085.72831546763</v>
      </c>
      <c r="O163" s="15" t="n">
        <f aca="false">SUMPRODUCT(E163:N163,1/(1+$F$157)^$E$3:$N$3)*$E$2</f>
        <v>1512.20971690852</v>
      </c>
      <c r="P163" s="15" t="n">
        <f aca="false">N163*$E$2*(1+$I$157)/($F$157-$I$157)/(1+$F$157)^$N$3</f>
        <v>4485.15340103414</v>
      </c>
      <c r="Q163" s="15" t="n">
        <f aca="false">O163+P163</f>
        <v>5997.36311794266</v>
      </c>
      <c r="R163" s="15" t="n">
        <f aca="false">Q163-$G$2+$I$2</f>
        <v>6164.76311794266</v>
      </c>
      <c r="S163" s="42" t="n">
        <f aca="false">R163/$K$2</f>
        <v>175.185084340513</v>
      </c>
      <c r="T163" s="43" t="n">
        <f aca="false">S163-$M$2</f>
        <v>10.6497049713741</v>
      </c>
    </row>
    <row r="164" customFormat="false" ht="15" hidden="false" customHeight="false" outlineLevel="0" collapsed="false">
      <c r="A164" s="5" t="n">
        <v>6</v>
      </c>
      <c r="B164" s="25" t="n">
        <f aca="false">IF(T163&gt;0,B163,D163)</f>
        <v>-0.03125</v>
      </c>
      <c r="C164" s="25" t="n">
        <f aca="false">IF(T163&gt;0,D163,C163)</f>
        <v>0.015625</v>
      </c>
      <c r="D164" s="41" t="n">
        <f aca="false">(B164+C164)/2</f>
        <v>-0.0078125</v>
      </c>
      <c r="E164" s="15" t="n">
        <f aca="false">$C$2*(1+IF(E$3&lt;=$O$2,$D164,$D164-($D164-$I$157)*MIN(E$3-$O$2,$Q$2)/$Q$2))</f>
        <v>863.232890625</v>
      </c>
      <c r="F164" s="15" t="n">
        <f aca="false">E164*(1+IF(F$3&lt;=$O$2,$D164,$D164-($D164-$I$157)*MIN(F$3-$O$2,$Q$2)/$Q$2))</f>
        <v>856.488883666992</v>
      </c>
      <c r="G164" s="15" t="n">
        <f aca="false">F164*(1+IF(G$3&lt;=$O$2,$D164,$D164-($D164-$I$157)*MIN(G$3-$O$2,$Q$2)/$Q$2))</f>
        <v>849.797564263344</v>
      </c>
      <c r="H164" s="15" t="n">
        <f aca="false">G164*(1+IF(H$3&lt;=$O$2,$D164,$D164-($D164-$I$157)*MIN(H$3-$O$2,$Q$2)/$Q$2))</f>
        <v>843.158520792537</v>
      </c>
      <c r="I164" s="15" t="n">
        <f aca="false">H164*(1+IF(I$3&lt;=$O$2,$D164,$D164-($D164-$I$157)*MIN(I$3-$O$2,$Q$2)/$Q$2))</f>
        <v>836.571344848845</v>
      </c>
      <c r="J164" s="15" t="n">
        <f aca="false">I164*(1+IF(J$3&lt;=$O$2,$D164,$D164-($D164-$I$157)*MIN(J$3-$O$2,$Q$2)/$Q$2))</f>
        <v>837.750910445082</v>
      </c>
      <c r="K164" s="15" t="n">
        <f aca="false">J164*(1+IF(K$3&lt;=$O$2,$D164,$D164-($D164-$I$157)*MIN(K$3-$O$2,$Q$2)/$Q$2))</f>
        <v>846.658297000389</v>
      </c>
      <c r="L164" s="15" t="n">
        <f aca="false">K164*(1+IF(L$3&lt;=$O$2,$D164,$D164-($D164-$I$157)*MIN(L$3-$O$2,$Q$2)/$Q$2))</f>
        <v>863.468697487332</v>
      </c>
      <c r="M164" s="15" t="n">
        <f aca="false">L164*(1+IF(M$3&lt;=$O$2,$D164,$D164-($D164-$I$157)*MIN(M$3-$O$2,$Q$2)/$Q$2))</f>
        <v>888.57620853852</v>
      </c>
      <c r="N164" s="15" t="n">
        <f aca="false">M164*(1+IF(N$3&lt;=$O$2,$D164,$D164-($D164-$I$157)*MIN(N$3-$O$2,$Q$2)/$Q$2))</f>
        <v>922.608677325545</v>
      </c>
      <c r="O164" s="15" t="n">
        <f aca="false">SUMPRODUCT(E164:N164,1/(1+$F$157)^$E$3:$N$3)*$E$2</f>
        <v>1362.10995393943</v>
      </c>
      <c r="P164" s="15" t="n">
        <f aca="false">N164*$E$2*(1+$I$157)/($F$157-$I$157)/(1+$F$157)^$N$3</f>
        <v>3811.30471406005</v>
      </c>
      <c r="Q164" s="15" t="n">
        <f aca="false">O164+P164</f>
        <v>5173.41466799949</v>
      </c>
      <c r="R164" s="15" t="n">
        <f aca="false">Q164-$G$2+$I$2</f>
        <v>5340.81466799949</v>
      </c>
      <c r="S164" s="42" t="n">
        <f aca="false">R164/$K$2</f>
        <v>151.770806138093</v>
      </c>
      <c r="T164" s="43" t="n">
        <f aca="false">S164-$M$2</f>
        <v>-12.7645732310461</v>
      </c>
    </row>
    <row r="165" customFormat="false" ht="15" hidden="false" customHeight="false" outlineLevel="0" collapsed="false">
      <c r="A165" s="5" t="n">
        <v>7</v>
      </c>
      <c r="B165" s="25" t="n">
        <f aca="false">IF(T164&gt;0,B164,D164)</f>
        <v>-0.0078125</v>
      </c>
      <c r="C165" s="25" t="n">
        <f aca="false">IF(T164&gt;0,D164,C164)</f>
        <v>0.015625</v>
      </c>
      <c r="D165" s="41" t="n">
        <f aca="false">(B165+C165)/2</f>
        <v>0.00390625</v>
      </c>
      <c r="E165" s="15" t="n">
        <f aca="false">$C$2*(1+IF(E$3&lt;=$O$2,$D165,$D165-($D165-$I$157)*MIN(E$3-$O$2,$Q$2)/$Q$2))</f>
        <v>873.4285546875</v>
      </c>
      <c r="F165" s="15" t="n">
        <f aca="false">E165*(1+IF(F$3&lt;=$O$2,$D165,$D165-($D165-$I$157)*MIN(F$3-$O$2,$Q$2)/$Q$2))</f>
        <v>876.840384979248</v>
      </c>
      <c r="G165" s="15" t="n">
        <f aca="false">F165*(1+IF(G$3&lt;=$O$2,$D165,$D165-($D165-$I$157)*MIN(G$3-$O$2,$Q$2)/$Q$2))</f>
        <v>880.265542733073</v>
      </c>
      <c r="H165" s="15" t="n">
        <f aca="false">G165*(1+IF(H$3&lt;=$O$2,$D165,$D165-($D165-$I$157)*MIN(H$3-$O$2,$Q$2)/$Q$2))</f>
        <v>883.704080009374</v>
      </c>
      <c r="I165" s="15" t="n">
        <f aca="false">H165*(1+IF(I$3&lt;=$O$2,$D165,$D165-($D165-$I$157)*MIN(I$3-$O$2,$Q$2)/$Q$2))</f>
        <v>887.156049071911</v>
      </c>
      <c r="J165" s="15" t="n">
        <f aca="false">I165*(1+IF(J$3&lt;=$O$2,$D165,$D165-($D165-$I$157)*MIN(J$3-$O$2,$Q$2)/$Q$2))</f>
        <v>896.724027061151</v>
      </c>
      <c r="K165" s="15" t="n">
        <f aca="false">J165*(1+IF(K$3&lt;=$O$2,$D165,$D165-($D165-$I$157)*MIN(K$3-$O$2,$Q$2)/$Q$2))</f>
        <v>912.563536094153</v>
      </c>
      <c r="L165" s="15" t="n">
        <f aca="false">K165*(1+IF(L$3&lt;=$O$2,$D165,$D165-($D165-$I$157)*MIN(L$3-$O$2,$Q$2)/$Q$2))</f>
        <v>934.960126678744</v>
      </c>
      <c r="M165" s="15" t="n">
        <f aca="false">L165*(1+IF(M$3&lt;=$O$2,$D165,$D165-($D165-$I$157)*MIN(M$3-$O$2,$Q$2)/$Q$2))</f>
        <v>964.337742559148</v>
      </c>
      <c r="N165" s="15" t="n">
        <f aca="false">M165*(1+IF(N$3&lt;=$O$2,$D165,$D165-($D165-$I$157)*MIN(N$3-$O$2,$Q$2)/$Q$2))</f>
        <v>1001.27187809916</v>
      </c>
      <c r="O165" s="15" t="n">
        <f aca="false">SUMPRODUCT(E165:N165,1/(1+$F$157)^$E$3:$N$3)*$E$2</f>
        <v>1435.16912231559</v>
      </c>
      <c r="P165" s="15" t="n">
        <f aca="false">N165*$E$2*(1+$I$157)/($F$157-$I$157)/(1+$F$157)^$N$3</f>
        <v>4136.26310140216</v>
      </c>
      <c r="Q165" s="15" t="n">
        <f aca="false">O165+P165</f>
        <v>5571.43222371775</v>
      </c>
      <c r="R165" s="15" t="n">
        <f aca="false">Q165-$G$2+$I$2</f>
        <v>5738.83222371775</v>
      </c>
      <c r="S165" s="42" t="n">
        <f aca="false">R165/$K$2</f>
        <v>163.081336280698</v>
      </c>
      <c r="T165" s="43" t="n">
        <f aca="false">S165-$M$2</f>
        <v>-1.45404308844141</v>
      </c>
    </row>
    <row r="166" customFormat="false" ht="15" hidden="false" customHeight="false" outlineLevel="0" collapsed="false">
      <c r="A166" s="5" t="n">
        <v>8</v>
      </c>
      <c r="B166" s="25" t="n">
        <f aca="false">IF(T165&gt;0,B165,D165)</f>
        <v>0.00390625</v>
      </c>
      <c r="C166" s="25" t="n">
        <f aca="false">IF(T165&gt;0,D165,C165)</f>
        <v>0.015625</v>
      </c>
      <c r="D166" s="41" t="n">
        <f aca="false">(B166+C166)/2</f>
        <v>0.009765625</v>
      </c>
      <c r="E166" s="15" t="n">
        <f aca="false">$C$2*(1+IF(E$3&lt;=$O$2,$D166,$D166-($D166-$I$157)*MIN(E$3-$O$2,$Q$2)/$Q$2))</f>
        <v>878.52638671875</v>
      </c>
      <c r="F166" s="15" t="n">
        <f aca="false">E166*(1+IF(F$3&lt;=$O$2,$D166,$D166-($D166-$I$157)*MIN(F$3-$O$2,$Q$2)/$Q$2))</f>
        <v>887.10574596405</v>
      </c>
      <c r="G166" s="15" t="n">
        <f aca="false">F166*(1+IF(G$3&lt;=$O$2,$D166,$D166-($D166-$I$157)*MIN(G$3-$O$2,$Q$2)/$Q$2))</f>
        <v>895.768888014481</v>
      </c>
      <c r="H166" s="15" t="n">
        <f aca="false">G166*(1+IF(H$3&lt;=$O$2,$D166,$D166-($D166-$I$157)*MIN(H$3-$O$2,$Q$2)/$Q$2))</f>
        <v>904.516631061497</v>
      </c>
      <c r="I166" s="15" t="n">
        <f aca="false">H166*(1+IF(I$3&lt;=$O$2,$D166,$D166-($D166-$I$157)*MIN(I$3-$O$2,$Q$2)/$Q$2))</f>
        <v>913.349801286707</v>
      </c>
      <c r="J166" s="15" t="n">
        <f aca="false">I166*(1+IF(J$3&lt;=$O$2,$D166,$D166-($D166-$I$157)*MIN(J$3-$O$2,$Q$2)/$Q$2))</f>
        <v>927.481606087116</v>
      </c>
      <c r="K166" s="15" t="n">
        <f aca="false">J166*(1+IF(K$3&lt;=$O$2,$D166,$D166-($D166-$I$157)*MIN(K$3-$O$2,$Q$2)/$Q$2))</f>
        <v>947.125086828037</v>
      </c>
      <c r="L166" s="15" t="n">
        <f aca="false">K166*(1+IF(L$3&lt;=$O$2,$D166,$D166-($D166-$I$157)*MIN(L$3-$O$2,$Q$2)/$Q$2))</f>
        <v>972.589728693767</v>
      </c>
      <c r="M166" s="15" t="n">
        <f aca="false">L166*(1+IF(M$3&lt;=$O$2,$D166,$D166-($D166-$I$157)*MIN(M$3-$O$2,$Q$2)/$Q$2))</f>
        <v>1004.2894672948</v>
      </c>
      <c r="N166" s="15" t="n">
        <f aca="false">M166*(1+IF(N$3&lt;=$O$2,$D166,$D166-($D166-$I$157)*MIN(N$3-$O$2,$Q$2)/$Q$2))</f>
        <v>1042.75375389219</v>
      </c>
      <c r="O166" s="15" t="n">
        <f aca="false">SUMPRODUCT(E166:N166,1/(1+$F$157)^$E$3:$N$3)*$E$2</f>
        <v>1473.1792600996</v>
      </c>
      <c r="P166" s="15" t="n">
        <f aca="false">N166*$E$2*(1+$I$157)/($F$157-$I$157)/(1+$F$157)^$N$3</f>
        <v>4307.62510204616</v>
      </c>
      <c r="Q166" s="15" t="n">
        <f aca="false">O166+P166</f>
        <v>5780.80436214576</v>
      </c>
      <c r="R166" s="15" t="n">
        <f aca="false">Q166-$G$2+$I$2</f>
        <v>5948.20436214576</v>
      </c>
      <c r="S166" s="42" t="n">
        <f aca="false">R166/$K$2</f>
        <v>169.031098668535</v>
      </c>
      <c r="T166" s="43" t="n">
        <f aca="false">S166-$M$2</f>
        <v>4.49571929939629</v>
      </c>
    </row>
    <row r="167" customFormat="false" ht="15" hidden="false" customHeight="false" outlineLevel="0" collapsed="false">
      <c r="A167" s="5" t="n">
        <v>9</v>
      </c>
      <c r="B167" s="25" t="n">
        <f aca="false">IF(T166&gt;0,B166,D166)</f>
        <v>0.00390625</v>
      </c>
      <c r="C167" s="25" t="n">
        <f aca="false">IF(T166&gt;0,D166,C166)</f>
        <v>0.009765625</v>
      </c>
      <c r="D167" s="41" t="n">
        <f aca="false">(B167+C167)/2</f>
        <v>0.0068359375</v>
      </c>
      <c r="E167" s="15" t="n">
        <f aca="false">$C$2*(1+IF(E$3&lt;=$O$2,$D167,$D167-($D167-$I$157)*MIN(E$3-$O$2,$Q$2)/$Q$2))</f>
        <v>875.977470703125</v>
      </c>
      <c r="F167" s="15" t="n">
        <f aca="false">E167*(1+IF(F$3&lt;=$O$2,$D167,$D167-($D167-$I$157)*MIN(F$3-$O$2,$Q$2)/$Q$2))</f>
        <v>881.96559794426</v>
      </c>
      <c r="G167" s="15" t="n">
        <f aca="false">F167*(1+IF(G$3&lt;=$O$2,$D167,$D167-($D167-$I$157)*MIN(G$3-$O$2,$Q$2)/$Q$2))</f>
        <v>887.994659648957</v>
      </c>
      <c r="H167" s="15" t="n">
        <f aca="false">G167*(1+IF(H$3&lt;=$O$2,$D167,$D167-($D167-$I$157)*MIN(H$3-$O$2,$Q$2)/$Q$2))</f>
        <v>894.064935642651</v>
      </c>
      <c r="I167" s="15" t="n">
        <f aca="false">H167*(1+IF(I$3&lt;=$O$2,$D167,$D167-($D167-$I$157)*MIN(I$3-$O$2,$Q$2)/$Q$2))</f>
        <v>900.176707663645</v>
      </c>
      <c r="J167" s="15" t="n">
        <f aca="false">I167*(1+IF(J$3&lt;=$O$2,$D167,$D167-($D167-$I$157)*MIN(J$3-$O$2,$Q$2)/$Q$2))</f>
        <v>911.994902614384</v>
      </c>
      <c r="K167" s="15" t="n">
        <f aca="false">J167*(1+IF(K$3&lt;=$O$2,$D167,$D167-($D167-$I$157)*MIN(K$3-$O$2,$Q$2)/$Q$2))</f>
        <v>929.707268615191</v>
      </c>
      <c r="L167" s="15" t="n">
        <f aca="false">K167*(1+IF(L$3&lt;=$O$2,$D167,$D167-($D167-$I$157)*MIN(L$3-$O$2,$Q$2)/$Q$2))</f>
        <v>953.614109960588</v>
      </c>
      <c r="M167" s="15" t="n">
        <f aca="false">L167*(1+IF(M$3&lt;=$O$2,$D167,$D167-($D167-$I$157)*MIN(M$3-$O$2,$Q$2)/$Q$2))</f>
        <v>984.136615580742</v>
      </c>
      <c r="N167" s="15" t="n">
        <f aca="false">M167*(1+IF(N$3&lt;=$O$2,$D167,$D167-($D167-$I$157)*MIN(N$3-$O$2,$Q$2)/$Q$2))</f>
        <v>1021.82904795748</v>
      </c>
      <c r="O167" s="15" t="n">
        <f aca="false">SUMPRODUCT(E167:N167,1/(1+$F$157)^$E$3:$N$3)*$E$2</f>
        <v>1454.04823265235</v>
      </c>
      <c r="P167" s="15" t="n">
        <f aca="false">N167*$E$2*(1+$I$157)/($F$157-$I$157)/(1+$F$157)^$N$3</f>
        <v>4221.18495431154</v>
      </c>
      <c r="Q167" s="15" t="n">
        <f aca="false">O167+P167</f>
        <v>5675.23318696389</v>
      </c>
      <c r="R167" s="15" t="n">
        <f aca="false">Q167-$G$2+$I$2</f>
        <v>5842.63318696389</v>
      </c>
      <c r="S167" s="42" t="n">
        <f aca="false">R167/$K$2</f>
        <v>166.0310652732</v>
      </c>
      <c r="T167" s="43" t="n">
        <f aca="false">S167-$M$2</f>
        <v>1.49568590406054</v>
      </c>
    </row>
    <row r="168" customFormat="false" ht="15" hidden="false" customHeight="false" outlineLevel="0" collapsed="false">
      <c r="A168" s="5" t="n">
        <v>10</v>
      </c>
      <c r="B168" s="25" t="n">
        <f aca="false">IF(T167&gt;0,B167,D167)</f>
        <v>0.00390625</v>
      </c>
      <c r="C168" s="25" t="n">
        <f aca="false">IF(T167&gt;0,D167,C167)</f>
        <v>0.0068359375</v>
      </c>
      <c r="D168" s="41" t="n">
        <f aca="false">(B168+C168)/2</f>
        <v>0.00537109375</v>
      </c>
      <c r="E168" s="15" t="n">
        <f aca="false">$C$2*(1+IF(E$3&lt;=$O$2,$D168,$D168-($D168-$I$157)*MIN(E$3-$O$2,$Q$2)/$Q$2))</f>
        <v>874.703012695313</v>
      </c>
      <c r="F168" s="15" t="n">
        <f aca="false">E168*(1+IF(F$3&lt;=$O$2,$D168,$D168-($D168-$I$157)*MIN(F$3-$O$2,$Q$2)/$Q$2))</f>
        <v>879.401124579906</v>
      </c>
      <c r="G168" s="15" t="n">
        <f aca="false">F168*(1+IF(G$3&lt;=$O$2,$D168,$D168-($D168-$I$157)*MIN(G$3-$O$2,$Q$2)/$Q$2))</f>
        <v>884.124470463881</v>
      </c>
      <c r="H168" s="15" t="n">
        <f aca="false">G168*(1+IF(H$3&lt;=$O$2,$D168,$D168-($D168-$I$157)*MIN(H$3-$O$2,$Q$2)/$Q$2))</f>
        <v>888.873185881411</v>
      </c>
      <c r="I168" s="15" t="n">
        <f aca="false">H168*(1+IF(I$3&lt;=$O$2,$D168,$D168-($D168-$I$157)*MIN(I$3-$O$2,$Q$2)/$Q$2))</f>
        <v>893.647407094642</v>
      </c>
      <c r="J168" s="15" t="n">
        <f aca="false">I168*(1+IF(J$3&lt;=$O$2,$D168,$D168-($D168-$I$157)*MIN(J$3-$O$2,$Q$2)/$Q$2))</f>
        <v>904.332637435346</v>
      </c>
      <c r="K168" s="15" t="n">
        <f aca="false">J168*(1+IF(K$3&lt;=$O$2,$D168,$D168-($D168-$I$157)*MIN(K$3-$O$2,$Q$2)/$Q$2))</f>
        <v>921.101366666966</v>
      </c>
      <c r="L168" s="15" t="n">
        <f aca="false">K168*(1+IF(L$3&lt;=$O$2,$D168,$D168-($D168-$I$157)*MIN(L$3-$O$2,$Q$2)/$Q$2))</f>
        <v>944.247204790421</v>
      </c>
      <c r="M168" s="15" t="n">
        <f aca="false">L168*(1+IF(M$3&lt;=$O$2,$D168,$D168-($D168-$I$157)*MIN(M$3-$O$2,$Q$2)/$Q$2))</f>
        <v>974.193267197221</v>
      </c>
      <c r="N168" s="15" t="n">
        <f aca="false">M168*(1+IF(N$3&lt;=$O$2,$D168,$D168-($D168-$I$157)*MIN(N$3-$O$2,$Q$2)/$Q$2))</f>
        <v>1011.50486933087</v>
      </c>
      <c r="O168" s="15" t="n">
        <f aca="false">SUMPRODUCT(E168:N168,1/(1+$F$157)^$E$3:$N$3)*$E$2</f>
        <v>1444.57738364338</v>
      </c>
      <c r="P168" s="15" t="n">
        <f aca="false">N168*$E$2*(1+$I$157)/($F$157-$I$157)/(1+$F$157)^$N$3</f>
        <v>4178.53567988409</v>
      </c>
      <c r="Q168" s="15" t="n">
        <f aca="false">O168+P168</f>
        <v>5623.11306352748</v>
      </c>
      <c r="R168" s="15" t="n">
        <f aca="false">Q168-$G$2+$I$2</f>
        <v>5790.51306352748</v>
      </c>
      <c r="S168" s="42" t="n">
        <f aca="false">R168/$K$2</f>
        <v>164.549959179525</v>
      </c>
      <c r="T168" s="43" t="n">
        <f aca="false">S168-$M$2</f>
        <v>0.014579810385726</v>
      </c>
    </row>
    <row r="169" customFormat="false" ht="15" hidden="false" customHeight="false" outlineLevel="0" collapsed="false">
      <c r="A169" s="5" t="n">
        <v>11</v>
      </c>
      <c r="B169" s="25" t="n">
        <f aca="false">IF(T168&gt;0,B168,D168)</f>
        <v>0.00390625</v>
      </c>
      <c r="C169" s="25" t="n">
        <f aca="false">IF(T168&gt;0,D168,C168)</f>
        <v>0.00537109375</v>
      </c>
      <c r="D169" s="41" t="n">
        <f aca="false">(B169+C169)/2</f>
        <v>0.004638671875</v>
      </c>
      <c r="E169" s="15" t="n">
        <f aca="false">$C$2*(1+IF(E$3&lt;=$O$2,$D169,$D169-($D169-$I$157)*MIN(E$3-$O$2,$Q$2)/$Q$2))</f>
        <v>874.065783691406</v>
      </c>
      <c r="F169" s="15" t="n">
        <f aca="false">E169*(1+IF(F$3&lt;=$O$2,$D169,$D169-($D169-$I$157)*MIN(F$3-$O$2,$Q$2)/$Q$2))</f>
        <v>878.120288059115</v>
      </c>
      <c r="G169" s="15" t="n">
        <f aca="false">F169*(1+IF(G$3&lt;=$O$2,$D169,$D169-($D169-$I$157)*MIN(G$3-$O$2,$Q$2)/$Q$2))</f>
        <v>882.193599942202</v>
      </c>
      <c r="H169" s="15" t="n">
        <f aca="false">G169*(1+IF(H$3&lt;=$O$2,$D169,$D169-($D169-$I$157)*MIN(H$3-$O$2,$Q$2)/$Q$2))</f>
        <v>886.285806582559</v>
      </c>
      <c r="I169" s="15" t="n">
        <f aca="false">H169*(1+IF(I$3&lt;=$O$2,$D169,$D169-($D169-$I$157)*MIN(I$3-$O$2,$Q$2)/$Q$2))</f>
        <v>890.396995626765</v>
      </c>
      <c r="J169" s="15" t="n">
        <f aca="false">I169*(1+IF(J$3&lt;=$O$2,$D169,$D169-($D169-$I$157)*MIN(J$3-$O$2,$Q$2)/$Q$2))</f>
        <v>900.521644214225</v>
      </c>
      <c r="K169" s="15" t="n">
        <f aca="false">J169*(1+IF(K$3&lt;=$O$2,$D169,$D169-($D169-$I$157)*MIN(K$3-$O$2,$Q$2)/$Q$2))</f>
        <v>916.823970457894</v>
      </c>
      <c r="L169" s="15" t="n">
        <f aca="false">K169*(1+IF(L$3&lt;=$O$2,$D169,$D169-($D169-$I$157)*MIN(L$3-$O$2,$Q$2)/$Q$2))</f>
        <v>939.593723525452</v>
      </c>
      <c r="M169" s="15" t="n">
        <f aca="false">L169*(1+IF(M$3&lt;=$O$2,$D169,$D169-($D169-$I$157)*MIN(M$3-$O$2,$Q$2)/$Q$2))</f>
        <v>969.254568610121</v>
      </c>
      <c r="N169" s="15" t="n">
        <f aca="false">M169*(1+IF(N$3&lt;=$O$2,$D169,$D169-($D169-$I$157)*MIN(N$3-$O$2,$Q$2)/$Q$2))</f>
        <v>1006.37701858789</v>
      </c>
      <c r="O169" s="15" t="n">
        <f aca="false">SUMPRODUCT(E169:N169,1/(1+$F$157)^$E$3:$N$3)*$E$2</f>
        <v>1439.8654538782</v>
      </c>
      <c r="P169" s="15" t="n">
        <f aca="false">N169*$E$2*(1+$I$157)/($F$157-$I$157)/(1+$F$157)^$N$3</f>
        <v>4157.35248251119</v>
      </c>
      <c r="Q169" s="15" t="n">
        <f aca="false">O169+P169</f>
        <v>5597.21793638939</v>
      </c>
      <c r="R169" s="15" t="n">
        <f aca="false">Q169-$G$2+$I$2</f>
        <v>5764.61793638939</v>
      </c>
      <c r="S169" s="42" t="n">
        <f aca="false">R169/$K$2</f>
        <v>163.814093105695</v>
      </c>
      <c r="T169" s="43" t="n">
        <f aca="false">S169-$M$2</f>
        <v>-0.721286263444512</v>
      </c>
    </row>
    <row r="170" customFormat="false" ht="15" hidden="false" customHeight="false" outlineLevel="0" collapsed="false">
      <c r="A170" s="5" t="n">
        <v>12</v>
      </c>
      <c r="B170" s="25" t="n">
        <f aca="false">IF(T169&gt;0,B169,D169)</f>
        <v>0.004638671875</v>
      </c>
      <c r="C170" s="25" t="n">
        <f aca="false">IF(T169&gt;0,D169,C169)</f>
        <v>0.00537109375</v>
      </c>
      <c r="D170" s="41" t="n">
        <f aca="false">(B170+C170)/2</f>
        <v>0.0050048828125</v>
      </c>
      <c r="E170" s="15" t="n">
        <f aca="false">$C$2*(1+IF(E$3&lt;=$O$2,$D170,$D170-($D170-$I$157)*MIN(E$3-$O$2,$Q$2)/$Q$2))</f>
        <v>874.384398193359</v>
      </c>
      <c r="F170" s="15" t="n">
        <f aca="false">E170*(1+IF(F$3&lt;=$O$2,$D170,$D170-($D170-$I$157)*MIN(F$3-$O$2,$Q$2)/$Q$2))</f>
        <v>878.760589639395</v>
      </c>
      <c r="G170" s="15" t="n">
        <f aca="false">F170*(1+IF(G$3&lt;=$O$2,$D170,$D170-($D170-$I$157)*MIN(G$3-$O$2,$Q$2)/$Q$2))</f>
        <v>883.158683410784</v>
      </c>
      <c r="H170" s="15" t="n">
        <f aca="false">G170*(1+IF(H$3&lt;=$O$2,$D170,$D170-($D170-$I$157)*MIN(H$3-$O$2,$Q$2)/$Q$2))</f>
        <v>887.578789126097</v>
      </c>
      <c r="I170" s="15" t="n">
        <f aca="false">H170*(1+IF(I$3&lt;=$O$2,$D170,$D170-($D170-$I$157)*MIN(I$3-$O$2,$Q$2)/$Q$2))</f>
        <v>892.021016952534</v>
      </c>
      <c r="J170" s="15" t="n">
        <f aca="false">I170*(1+IF(J$3&lt;=$O$2,$D170,$D170-($D170-$I$157)*MIN(J$3-$O$2,$Q$2)/$Q$2))</f>
        <v>902.425466467298</v>
      </c>
      <c r="K170" s="15" t="n">
        <f aca="false">J170*(1+IF(K$3&lt;=$O$2,$D170,$D170-($D170-$I$157)*MIN(K$3-$O$2,$Q$2)/$Q$2))</f>
        <v>918.960544837587</v>
      </c>
      <c r="L170" s="15" t="n">
        <f aca="false">K170*(1+IF(L$3&lt;=$O$2,$D170,$D170-($D170-$I$157)*MIN(L$3-$O$2,$Q$2)/$Q$2))</f>
        <v>941.917974092444</v>
      </c>
      <c r="M170" s="15" t="n">
        <f aca="false">L170*(1+IF(M$3&lt;=$O$2,$D170,$D170-($D170-$I$157)*MIN(M$3-$O$2,$Q$2)/$Q$2))</f>
        <v>971.721178634501</v>
      </c>
      <c r="N170" s="15" t="n">
        <f aca="false">M170*(1+IF(N$3&lt;=$O$2,$D170,$D170-($D170-$I$157)*MIN(N$3-$O$2,$Q$2)/$Q$2))</f>
        <v>1008.9380997762</v>
      </c>
      <c r="O170" s="15" t="n">
        <f aca="false">SUMPRODUCT(E170:N170,1/(1+$F$157)^$E$3:$N$3)*$E$2</f>
        <v>1442.21946594577</v>
      </c>
      <c r="P170" s="15" t="n">
        <f aca="false">N170*$E$2*(1+$I$157)/($F$157-$I$157)/(1+$F$157)^$N$3</f>
        <v>4167.93233185144</v>
      </c>
      <c r="Q170" s="15" t="n">
        <f aca="false">O170+P170</f>
        <v>5610.15179779721</v>
      </c>
      <c r="R170" s="15" t="n">
        <f aca="false">Q170-$G$2+$I$2</f>
        <v>5777.55179779721</v>
      </c>
      <c r="S170" s="42" t="n">
        <f aca="false">R170/$K$2</f>
        <v>164.181636766048</v>
      </c>
      <c r="T170" s="43" t="n">
        <f aca="false">S170-$M$2</f>
        <v>-0.35374260309149</v>
      </c>
    </row>
    <row r="171" customFormat="false" ht="15" hidden="false" customHeight="false" outlineLevel="0" collapsed="false">
      <c r="A171" s="5" t="n">
        <v>13</v>
      </c>
      <c r="B171" s="25" t="n">
        <f aca="false">IF(T170&gt;0,B170,D170)</f>
        <v>0.0050048828125</v>
      </c>
      <c r="C171" s="25" t="n">
        <f aca="false">IF(T170&gt;0,D170,C170)</f>
        <v>0.00537109375</v>
      </c>
      <c r="D171" s="41" t="n">
        <f aca="false">(B171+C171)/2</f>
        <v>0.00518798828125</v>
      </c>
      <c r="E171" s="15" t="n">
        <f aca="false">$C$2*(1+IF(E$3&lt;=$O$2,$D171,$D171-($D171-$I$157)*MIN(E$3-$O$2,$Q$2)/$Q$2))</f>
        <v>874.543705444336</v>
      </c>
      <c r="F171" s="15" t="n">
        <f aca="false">E171*(1+IF(F$3&lt;=$O$2,$D171,$D171-($D171-$I$157)*MIN(F$3-$O$2,$Q$2)/$Q$2))</f>
        <v>879.080827939622</v>
      </c>
      <c r="G171" s="15" t="n">
        <f aca="false">F171*(1+IF(G$3&lt;=$O$2,$D171,$D171-($D171-$I$157)*MIN(G$3-$O$2,$Q$2)/$Q$2))</f>
        <v>883.641488973245</v>
      </c>
      <c r="H171" s="15" t="n">
        <f aca="false">G171*(1+IF(H$3&lt;=$O$2,$D171,$D171-($D171-$I$157)*MIN(H$3-$O$2,$Q$2)/$Q$2))</f>
        <v>888.225810662864</v>
      </c>
      <c r="I171" s="15" t="n">
        <f aca="false">H171*(1+IF(I$3&lt;=$O$2,$D171,$D171-($D171-$I$157)*MIN(I$3-$O$2,$Q$2)/$Q$2))</f>
        <v>892.833915759687</v>
      </c>
      <c r="J171" s="15" t="n">
        <f aca="false">I171*(1+IF(J$3&lt;=$O$2,$D171,$D171-($D171-$I$157)*MIN(J$3-$O$2,$Q$2)/$Q$2))</f>
        <v>903.378633068057</v>
      </c>
      <c r="K171" s="15" t="n">
        <f aca="false">J171*(1+IF(K$3&lt;=$O$2,$D171,$D171-($D171-$I$157)*MIN(K$3-$O$2,$Q$2)/$Q$2))</f>
        <v>920.030424383793</v>
      </c>
      <c r="L171" s="15" t="n">
        <f aca="false">K171*(1+IF(L$3&lt;=$O$2,$D171,$D171-($D171-$I$157)*MIN(L$3-$O$2,$Q$2)/$Q$2))</f>
        <v>943.081966360171</v>
      </c>
      <c r="M171" s="15" t="n">
        <f aca="false">L171*(1+IF(M$3&lt;=$O$2,$D171,$D171-($D171-$I$157)*MIN(M$3-$O$2,$Q$2)/$Q$2))</f>
        <v>972.956537447394</v>
      </c>
      <c r="N171" s="15" t="n">
        <f aca="false">M171*(1+IF(N$3&lt;=$O$2,$D171,$D171-($D171-$I$157)*MIN(N$3-$O$2,$Q$2)/$Q$2))</f>
        <v>1010.22077283163</v>
      </c>
      <c r="O171" s="15" t="n">
        <f aca="false">SUMPRODUCT(E171:N171,1/(1+$F$157)^$E$3:$N$3)*$E$2</f>
        <v>1443.39793621041</v>
      </c>
      <c r="P171" s="15" t="n">
        <f aca="false">N171*$E$2*(1+$I$157)/($F$157-$I$157)/(1+$F$157)^$N$3</f>
        <v>4173.23106573818</v>
      </c>
      <c r="Q171" s="15" t="n">
        <f aca="false">O171+P171</f>
        <v>5616.62900194859</v>
      </c>
      <c r="R171" s="15" t="n">
        <f aca="false">Q171-$G$2+$I$2</f>
        <v>5784.02900194859</v>
      </c>
      <c r="S171" s="42" t="n">
        <f aca="false">R171/$K$2</f>
        <v>164.365700538465</v>
      </c>
      <c r="T171" s="43" t="n">
        <f aca="false">S171-$M$2</f>
        <v>-0.16967883067386</v>
      </c>
    </row>
    <row r="172" customFormat="false" ht="15" hidden="false" customHeight="false" outlineLevel="0" collapsed="false">
      <c r="A172" s="5" t="n">
        <v>14</v>
      </c>
      <c r="B172" s="25" t="n">
        <f aca="false">IF(T171&gt;0,B171,D171)</f>
        <v>0.00518798828125</v>
      </c>
      <c r="C172" s="25" t="n">
        <f aca="false">IF(T171&gt;0,D171,C171)</f>
        <v>0.00537109375</v>
      </c>
      <c r="D172" s="41" t="n">
        <f aca="false">(B172+C172)/2</f>
        <v>0.005279541015625</v>
      </c>
      <c r="E172" s="15" t="n">
        <f aca="false">$C$2*(1+IF(E$3&lt;=$O$2,$D172,$D172-($D172-$I$157)*MIN(E$3-$O$2,$Q$2)/$Q$2))</f>
        <v>874.623359069824</v>
      </c>
      <c r="F172" s="15" t="n">
        <f aca="false">E172*(1+IF(F$3&lt;=$O$2,$D172,$D172-($D172-$I$157)*MIN(F$3-$O$2,$Q$2)/$Q$2))</f>
        <v>879.240968967257</v>
      </c>
      <c r="G172" s="15" t="n">
        <f aca="false">F172*(1+IF(G$3&lt;=$O$2,$D172,$D172-($D172-$I$157)*MIN(G$3-$O$2,$Q$2)/$Q$2))</f>
        <v>883.882957725538</v>
      </c>
      <c r="H172" s="15" t="n">
        <f aca="false">G172*(1+IF(H$3&lt;=$O$2,$D172,$D172-($D172-$I$157)*MIN(H$3-$O$2,$Q$2)/$Q$2))</f>
        <v>888.549454053862</v>
      </c>
      <c r="I172" s="15" t="n">
        <f aca="false">H172*(1+IF(I$3&lt;=$O$2,$D172,$D172-($D172-$I$157)*MIN(I$3-$O$2,$Q$2)/$Q$2))</f>
        <v>893.24058734095</v>
      </c>
      <c r="J172" s="15" t="n">
        <f aca="false">I172*(1+IF(J$3&lt;=$O$2,$D172,$D172-($D172-$I$157)*MIN(J$3-$O$2,$Q$2)/$Q$2))</f>
        <v>903.855530494132</v>
      </c>
      <c r="K172" s="15" t="n">
        <f aca="false">J172*(1+IF(K$3&lt;=$O$2,$D172,$D172-($D172-$I$157)*MIN(K$3-$O$2,$Q$2)/$Q$2))</f>
        <v>920.565762628568</v>
      </c>
      <c r="L172" s="15" t="n">
        <f aca="false">K172*(1+IF(L$3&lt;=$O$2,$D172,$D172-($D172-$I$157)*MIN(L$3-$O$2,$Q$2)/$Q$2))</f>
        <v>943.664429734323</v>
      </c>
      <c r="M172" s="15" t="n">
        <f aca="false">L172*(1+IF(M$3&lt;=$O$2,$D172,$D172-($D172-$I$157)*MIN(M$3-$O$2,$Q$2)/$Q$2))</f>
        <v>973.574730873737</v>
      </c>
      <c r="N172" s="15" t="n">
        <f aca="false">M172*(1+IF(N$3&lt;=$O$2,$D172,$D172-($D172-$I$157)*MIN(N$3-$O$2,$Q$2)/$Q$2))</f>
        <v>1010.8626430662</v>
      </c>
      <c r="O172" s="15" t="n">
        <f aca="false">SUMPRODUCT(E172:N172,1/(1+$F$157)^$E$3:$N$3)*$E$2</f>
        <v>1443.98753773327</v>
      </c>
      <c r="P172" s="15" t="n">
        <f aca="false">N172*$E$2*(1+$I$157)/($F$157-$I$157)/(1+$F$157)^$N$3</f>
        <v>4175.88263742937</v>
      </c>
      <c r="Q172" s="15" t="n">
        <f aca="false">O172+P172</f>
        <v>5619.87017516264</v>
      </c>
      <c r="R172" s="15" t="n">
        <f aca="false">Q172-$G$2+$I$2</f>
        <v>5787.27017516264</v>
      </c>
      <c r="S172" s="42" t="n">
        <f aca="false">R172/$K$2</f>
        <v>164.457805489134</v>
      </c>
      <c r="T172" s="43" t="n">
        <f aca="false">S172-$M$2</f>
        <v>-0.0775738800045929</v>
      </c>
    </row>
    <row r="173" customFormat="false" ht="15" hidden="false" customHeight="false" outlineLevel="0" collapsed="false">
      <c r="A173" s="5" t="n">
        <v>15</v>
      </c>
      <c r="B173" s="25" t="n">
        <f aca="false">IF(T172&gt;0,B172,D172)</f>
        <v>0.005279541015625</v>
      </c>
      <c r="C173" s="25" t="n">
        <f aca="false">IF(T172&gt;0,D172,C172)</f>
        <v>0.00537109375</v>
      </c>
      <c r="D173" s="41" t="n">
        <f aca="false">(B173+C173)/2</f>
        <v>0.0053253173828125</v>
      </c>
      <c r="E173" s="15" t="n">
        <f aca="false">$C$2*(1+IF(E$3&lt;=$O$2,$D173,$D173-($D173-$I$157)*MIN(E$3-$O$2,$Q$2)/$Q$2))</f>
        <v>874.663185882568</v>
      </c>
      <c r="F173" s="15" t="n">
        <f aca="false">E173*(1+IF(F$3&lt;=$O$2,$D173,$D173-($D173-$I$157)*MIN(F$3-$O$2,$Q$2)/$Q$2))</f>
        <v>879.321044950455</v>
      </c>
      <c r="G173" s="15" t="n">
        <f aca="false">F173*(1+IF(G$3&lt;=$O$2,$D173,$D173-($D173-$I$157)*MIN(G$3-$O$2,$Q$2)/$Q$2))</f>
        <v>884.003708596203</v>
      </c>
      <c r="H173" s="15" t="n">
        <f aca="false">G173*(1+IF(H$3&lt;=$O$2,$D173,$D173-($D173-$I$157)*MIN(H$3-$O$2,$Q$2)/$Q$2))</f>
        <v>888.711308912061</v>
      </c>
      <c r="I173" s="15" t="n">
        <f aca="false">H173*(1+IF(I$3&lt;=$O$2,$D173,$D173-($D173-$I$157)*MIN(I$3-$O$2,$Q$2)/$Q$2))</f>
        <v>893.443978693712</v>
      </c>
      <c r="J173" s="15" t="n">
        <f aca="false">I173*(1+IF(J$3&lt;=$O$2,$D173,$D173-($D173-$I$157)*MIN(J$3-$O$2,$Q$2)/$Q$2))</f>
        <v>904.094057770751</v>
      </c>
      <c r="K173" s="15" t="n">
        <f aca="false">J173*(1+IF(K$3&lt;=$O$2,$D173,$D173-($D173-$I$157)*MIN(K$3-$O$2,$Q$2)/$Q$2))</f>
        <v>920.833531416726</v>
      </c>
      <c r="L173" s="15" t="n">
        <f aca="false">K173*(1+IF(L$3&lt;=$O$2,$D173,$D173-($D173-$I$157)*MIN(L$3-$O$2,$Q$2)/$Q$2))</f>
        <v>943.955778293294</v>
      </c>
      <c r="M173" s="15" t="n">
        <f aca="false">L173*(1+IF(M$3&lt;=$O$2,$D173,$D173-($D173-$I$157)*MIN(M$3-$O$2,$Q$2)/$Q$2))</f>
        <v>973.883956163151</v>
      </c>
      <c r="N173" s="15" t="n">
        <f aca="false">M173*(1+IF(N$3&lt;=$O$2,$D173,$D173-($D173-$I$157)*MIN(N$3-$O$2,$Q$2)/$Q$2))</f>
        <v>1011.1837116842</v>
      </c>
      <c r="O173" s="15" t="n">
        <f aca="false">SUMPRODUCT(E173:N173,1/(1+$F$157)^$E$3:$N$3)*$E$2</f>
        <v>1444.28243013397</v>
      </c>
      <c r="P173" s="15" t="n">
        <f aca="false">N173*$E$2*(1+$I$157)/($F$157-$I$157)/(1+$F$157)^$N$3</f>
        <v>4177.2089747676</v>
      </c>
      <c r="Q173" s="15" t="n">
        <f aca="false">O173+P173</f>
        <v>5621.49140490157</v>
      </c>
      <c r="R173" s="15" t="n">
        <f aca="false">Q173-$G$2+$I$2</f>
        <v>5788.89140490157</v>
      </c>
      <c r="S173" s="42" t="n">
        <f aca="false">R173/$K$2</f>
        <v>164.503876240454</v>
      </c>
      <c r="T173" s="43" t="n">
        <f aca="false">S173-$M$2</f>
        <v>-0.031503128685074</v>
      </c>
    </row>
    <row r="174" customFormat="false" ht="15" hidden="false" customHeight="false" outlineLevel="0" collapsed="false">
      <c r="A174" s="5" t="n">
        <v>16</v>
      </c>
      <c r="B174" s="25" t="n">
        <f aca="false">IF(T173&gt;0,B173,D173)</f>
        <v>0.0053253173828125</v>
      </c>
      <c r="C174" s="25" t="n">
        <f aca="false">IF(T173&gt;0,D173,C173)</f>
        <v>0.00537109375</v>
      </c>
      <c r="D174" s="41" t="n">
        <f aca="false">(B174+C174)/2</f>
        <v>0.00534820556640625</v>
      </c>
      <c r="E174" s="15" t="n">
        <f aca="false">$C$2*(1+IF(E$3&lt;=$O$2,$D174,$D174-($D174-$I$157)*MIN(E$3-$O$2,$Q$2)/$Q$2))</f>
        <v>874.68309928894</v>
      </c>
      <c r="F174" s="15" t="n">
        <f aca="false">E174*(1+IF(F$3&lt;=$O$2,$D174,$D174-($D174-$I$157)*MIN(F$3-$O$2,$Q$2)/$Q$2))</f>
        <v>879.361084309399</v>
      </c>
      <c r="G174" s="15" t="n">
        <f aca="false">F174*(1+IF(G$3&lt;=$O$2,$D174,$D174-($D174-$I$157)*MIN(G$3-$O$2,$Q$2)/$Q$2))</f>
        <v>884.064088155384</v>
      </c>
      <c r="H174" s="15" t="n">
        <f aca="false">G174*(1+IF(H$3&lt;=$O$2,$D174,$D174-($D174-$I$157)*MIN(H$3-$O$2,$Q$2)/$Q$2))</f>
        <v>888.792244632716</v>
      </c>
      <c r="I174" s="15" t="n">
        <f aca="false">H174*(1+IF(I$3&lt;=$O$2,$D174,$D174-($D174-$I$157)*MIN(I$3-$O$2,$Q$2)/$Q$2))</f>
        <v>893.545688262839</v>
      </c>
      <c r="J174" s="15" t="n">
        <f aca="false">I174*(1+IF(J$3&lt;=$O$2,$D174,$D174-($D174-$I$157)*MIN(J$3-$O$2,$Q$2)/$Q$2))</f>
        <v>904.213341053977</v>
      </c>
      <c r="K174" s="15" t="n">
        <f aca="false">J174*(1+IF(K$3&lt;=$O$2,$D174,$D174-($D174-$I$157)*MIN(K$3-$O$2,$Q$2)/$Q$2))</f>
        <v>920.96744073323</v>
      </c>
      <c r="L174" s="15" t="n">
        <f aca="false">K174*(1+IF(L$3&lt;=$O$2,$D174,$D174-($D174-$I$157)*MIN(L$3-$O$2,$Q$2)/$Q$2))</f>
        <v>944.101481798483</v>
      </c>
      <c r="M174" s="15" t="n">
        <f aca="false">L174*(1+IF(M$3&lt;=$O$2,$D174,$D174-($D174-$I$157)*MIN(M$3-$O$2,$Q$2)/$Q$2))</f>
        <v>974.03860096083</v>
      </c>
      <c r="N174" s="15" t="n">
        <f aca="false">M174*(1+IF(N$3&lt;=$O$2,$D174,$D174-($D174-$I$157)*MIN(N$3-$O$2,$Q$2)/$Q$2))</f>
        <v>1011.34427937763</v>
      </c>
      <c r="O174" s="15" t="n">
        <f aca="false">SUMPRODUCT(E174:N174,1/(1+$F$157)^$E$3:$N$3)*$E$2</f>
        <v>1444.42989924934</v>
      </c>
      <c r="P174" s="15" t="n">
        <f aca="false">N174*$E$2*(1+$I$157)/($F$157-$I$157)/(1+$F$157)^$N$3</f>
        <v>4177.8722813481</v>
      </c>
      <c r="Q174" s="15" t="n">
        <f aca="false">O174+P174</f>
        <v>5622.30218059745</v>
      </c>
      <c r="R174" s="15" t="n">
        <f aca="false">Q174-$G$2+$I$2</f>
        <v>5789.70218059745</v>
      </c>
      <c r="S174" s="42" t="n">
        <f aca="false">R174/$K$2</f>
        <v>164.526916186344</v>
      </c>
      <c r="T174" s="43" t="n">
        <f aca="false">S174-$M$2</f>
        <v>-0.00846318279494085</v>
      </c>
    </row>
    <row r="175" customFormat="false" ht="15" hidden="false" customHeight="false" outlineLevel="0" collapsed="false">
      <c r="A175" s="5" t="n">
        <v>17</v>
      </c>
      <c r="B175" s="25" t="n">
        <f aca="false">IF(T174&gt;0,B174,D174)</f>
        <v>0.00534820556640625</v>
      </c>
      <c r="C175" s="25" t="n">
        <f aca="false">IF(T174&gt;0,D174,C174)</f>
        <v>0.00537109375</v>
      </c>
      <c r="D175" s="41" t="n">
        <f aca="false">(B175+C175)/2</f>
        <v>0.00535964965820313</v>
      </c>
      <c r="E175" s="15" t="n">
        <f aca="false">$C$2*(1+IF(E$3&lt;=$O$2,$D175,$D175-($D175-$I$157)*MIN(E$3-$O$2,$Q$2)/$Q$2))</f>
        <v>874.693055992127</v>
      </c>
      <c r="F175" s="15" t="n">
        <f aca="false">E175*(1+IF(F$3&lt;=$O$2,$D175,$D175-($D175-$I$157)*MIN(F$3-$O$2,$Q$2)/$Q$2))</f>
        <v>879.381104330707</v>
      </c>
      <c r="G175" s="15" t="n">
        <f aca="false">F175*(1+IF(G$3&lt;=$O$2,$D175,$D175-($D175-$I$157)*MIN(G$3-$O$2,$Q$2)/$Q$2))</f>
        <v>884.094278965964</v>
      </c>
      <c r="H175" s="15" t="n">
        <f aca="false">G175*(1+IF(H$3&lt;=$O$2,$D175,$D175-($D175-$I$157)*MIN(H$3-$O$2,$Q$2)/$Q$2))</f>
        <v>888.832714566043</v>
      </c>
      <c r="I175" s="15" t="n">
        <f aca="false">H175*(1+IF(I$3&lt;=$O$2,$D175,$D175-($D175-$I$157)*MIN(I$3-$O$2,$Q$2)/$Q$2))</f>
        <v>893.596546520867</v>
      </c>
      <c r="J175" s="15" t="n">
        <f aca="false">I175*(1+IF(J$3&lt;=$O$2,$D175,$D175-($D175-$I$157)*MIN(J$3-$O$2,$Q$2)/$Q$2))</f>
        <v>904.272987607322</v>
      </c>
      <c r="K175" s="15" t="n">
        <f aca="false">J175*(1+IF(K$3&lt;=$O$2,$D175,$D175-($D175-$I$157)*MIN(K$3-$O$2,$Q$2)/$Q$2))</f>
        <v>921.034401622837</v>
      </c>
      <c r="L175" s="15" t="n">
        <f aca="false">K175*(1+IF(L$3&lt;=$O$2,$D175,$D175-($D175-$I$157)*MIN(L$3-$O$2,$Q$2)/$Q$2))</f>
        <v>944.174340858471</v>
      </c>
      <c r="M175" s="15" t="n">
        <f aca="false">L175*(1+IF(M$3&lt;=$O$2,$D175,$D175-($D175-$I$157)*MIN(M$3-$O$2,$Q$2)/$Q$2))</f>
        <v>974.115931399028</v>
      </c>
      <c r="N175" s="15" t="n">
        <f aca="false">M175*(1+IF(N$3&lt;=$O$2,$D175,$D175-($D175-$I$157)*MIN(N$3-$O$2,$Q$2)/$Q$2))</f>
        <v>1011.42457157161</v>
      </c>
      <c r="O175" s="15" t="n">
        <f aca="false">SUMPRODUCT(E175:N175,1/(1+$F$157)^$E$3:$N$3)*$E$2</f>
        <v>1444.50363953644</v>
      </c>
      <c r="P175" s="15" t="n">
        <f aca="false">N175*$E$2*(1+$I$157)/($F$157-$I$157)/(1+$F$157)^$N$3</f>
        <v>4178.20396912098</v>
      </c>
      <c r="Q175" s="15" t="n">
        <f aca="false">O175+P175</f>
        <v>5622.70760865742</v>
      </c>
      <c r="R175" s="15" t="n">
        <f aca="false">Q175-$G$2+$I$2</f>
        <v>5790.10760865742</v>
      </c>
      <c r="S175" s="42" t="n">
        <f aca="false">R175/$K$2</f>
        <v>164.538437302001</v>
      </c>
      <c r="T175" s="43" t="n">
        <f aca="false">S175-$M$2</f>
        <v>0.00305793286204903</v>
      </c>
    </row>
    <row r="176" customFormat="false" ht="15" hidden="false" customHeight="false" outlineLevel="0" collapsed="false">
      <c r="A176" s="5" t="n">
        <v>18</v>
      </c>
      <c r="B176" s="25" t="n">
        <f aca="false">IF(T175&gt;0,B175,D175)</f>
        <v>0.00534820556640625</v>
      </c>
      <c r="C176" s="25" t="n">
        <f aca="false">IF(T175&gt;0,D175,C175)</f>
        <v>0.00535964965820313</v>
      </c>
      <c r="D176" s="41" t="n">
        <f aca="false">(B176+C176)/2</f>
        <v>0.00535392761230469</v>
      </c>
      <c r="E176" s="15" t="n">
        <f aca="false">$C$2*(1+IF(E$3&lt;=$O$2,$D176,$D176-($D176-$I$157)*MIN(E$3-$O$2,$Q$2)/$Q$2))</f>
        <v>874.688077640533</v>
      </c>
      <c r="F176" s="15" t="n">
        <f aca="false">E176*(1+IF(F$3&lt;=$O$2,$D176,$D176-($D176-$I$157)*MIN(F$3-$O$2,$Q$2)/$Q$2))</f>
        <v>879.371094291567</v>
      </c>
      <c r="G176" s="15" t="n">
        <f aca="false">F176*(1+IF(G$3&lt;=$O$2,$D176,$D176-($D176-$I$157)*MIN(G$3-$O$2,$Q$2)/$Q$2))</f>
        <v>884.079183474757</v>
      </c>
      <c r="H176" s="15" t="n">
        <f aca="false">G176*(1+IF(H$3&lt;=$O$2,$D176,$D176-($D176-$I$157)*MIN(H$3-$O$2,$Q$2)/$Q$2))</f>
        <v>888.812479426626</v>
      </c>
      <c r="I176" s="15" t="n">
        <f aca="false">H176*(1+IF(I$3&lt;=$O$2,$D176,$D176-($D176-$I$157)*MIN(I$3-$O$2,$Q$2)/$Q$2))</f>
        <v>893.571117102389</v>
      </c>
      <c r="J176" s="15" t="n">
        <f aca="false">I176*(1+IF(J$3&lt;=$O$2,$D176,$D176-($D176-$I$157)*MIN(J$3-$O$2,$Q$2)/$Q$2))</f>
        <v>904.243163921324</v>
      </c>
      <c r="K176" s="15" t="n">
        <f aca="false">J176*(1+IF(K$3&lt;=$O$2,$D176,$D176-($D176-$I$157)*MIN(K$3-$O$2,$Q$2)/$Q$2))</f>
        <v>921.000920658732</v>
      </c>
      <c r="L176" s="15" t="n">
        <f aca="false">K176*(1+IF(L$3&lt;=$O$2,$D176,$D176-($D176-$I$157)*MIN(L$3-$O$2,$Q$2)/$Q$2))</f>
        <v>944.137910719499</v>
      </c>
      <c r="M176" s="15" t="n">
        <f aca="false">L176*(1+IF(M$3&lt;=$O$2,$D176,$D176-($D176-$I$157)*MIN(M$3-$O$2,$Q$2)/$Q$2))</f>
        <v>974.077265509949</v>
      </c>
      <c r="N176" s="15" t="n">
        <f aca="false">M176*(1+IF(N$3&lt;=$O$2,$D176,$D176-($D176-$I$157)*MIN(N$3-$O$2,$Q$2)/$Q$2))</f>
        <v>1011.38442477898</v>
      </c>
      <c r="O176" s="15" t="n">
        <f aca="false">SUMPRODUCT(E176:N176,1/(1+$F$157)^$E$3:$N$3)*$E$2</f>
        <v>1444.46676891542</v>
      </c>
      <c r="P176" s="15" t="n">
        <f aca="false">N176*$E$2*(1+$I$157)/($F$157-$I$157)/(1+$F$157)^$N$3</f>
        <v>4178.03812236085</v>
      </c>
      <c r="Q176" s="15" t="n">
        <f aca="false">O176+P176</f>
        <v>5622.50489127627</v>
      </c>
      <c r="R176" s="15" t="n">
        <f aca="false">Q176-$G$2+$I$2</f>
        <v>5789.90489127627</v>
      </c>
      <c r="S176" s="42" t="n">
        <f aca="false">R176/$K$2</f>
        <v>164.532676648942</v>
      </c>
      <c r="T176" s="43" t="n">
        <f aca="false">S176-$M$2</f>
        <v>-0.00270272019707818</v>
      </c>
    </row>
    <row r="177" customFormat="false" ht="15" hidden="false" customHeight="false" outlineLevel="0" collapsed="false">
      <c r="A177" s="5" t="n">
        <v>19</v>
      </c>
      <c r="B177" s="25" t="n">
        <f aca="false">IF(T176&gt;0,B176,D176)</f>
        <v>0.00535392761230469</v>
      </c>
      <c r="C177" s="25" t="n">
        <f aca="false">IF(T176&gt;0,D176,C176)</f>
        <v>0.00535964965820313</v>
      </c>
      <c r="D177" s="41" t="n">
        <f aca="false">(B177+C177)/2</f>
        <v>0.00535678863525391</v>
      </c>
      <c r="E177" s="15" t="n">
        <f aca="false">$C$2*(1+IF(E$3&lt;=$O$2,$D177,$D177-($D177-$I$157)*MIN(E$3-$O$2,$Q$2)/$Q$2))</f>
        <v>874.69056681633</v>
      </c>
      <c r="F177" s="15" t="n">
        <f aca="false">E177*(1+IF(F$3&lt;=$O$2,$D177,$D177-($D177-$I$157)*MIN(F$3-$O$2,$Q$2)/$Q$2))</f>
        <v>879.376099304015</v>
      </c>
      <c r="G177" s="15" t="n">
        <f aca="false">F177*(1+IF(G$3&lt;=$O$2,$D177,$D177-($D177-$I$157)*MIN(G$3-$O$2,$Q$2)/$Q$2))</f>
        <v>884.086731198881</v>
      </c>
      <c r="H177" s="15" t="n">
        <f aca="false">G177*(1+IF(H$3&lt;=$O$2,$D177,$D177-($D177-$I$157)*MIN(H$3-$O$2,$Q$2)/$Q$2))</f>
        <v>888.822596953146</v>
      </c>
      <c r="I177" s="15" t="n">
        <f aca="false">H177*(1+IF(I$3&lt;=$O$2,$D177,$D177-($D177-$I$157)*MIN(I$3-$O$2,$Q$2)/$Q$2))</f>
        <v>893.583831739261</v>
      </c>
      <c r="J177" s="15" t="n">
        <f aca="false">I177*(1+IF(J$3&lt;=$O$2,$D177,$D177-($D177-$I$157)*MIN(J$3-$O$2,$Q$2)/$Q$2))</f>
        <v>904.25807566199</v>
      </c>
      <c r="K177" s="15" t="n">
        <f aca="false">J177*(1+IF(K$3&lt;=$O$2,$D177,$D177-($D177-$I$157)*MIN(K$3-$O$2,$Q$2)/$Q$2))</f>
        <v>921.017661010958</v>
      </c>
      <c r="L177" s="15" t="n">
        <f aca="false">K177*(1+IF(L$3&lt;=$O$2,$D177,$D177-($D177-$I$157)*MIN(L$3-$O$2,$Q$2)/$Q$2))</f>
        <v>944.156125636738</v>
      </c>
      <c r="M177" s="15" t="n">
        <f aca="false">L177*(1+IF(M$3&lt;=$O$2,$D177,$D177-($D177-$I$157)*MIN(M$3-$O$2,$Q$2)/$Q$2))</f>
        <v>974.096598286991</v>
      </c>
      <c r="N177" s="15" t="n">
        <f aca="false">M177*(1+IF(N$3&lt;=$O$2,$D177,$D177-($D177-$I$157)*MIN(N$3-$O$2,$Q$2)/$Q$2))</f>
        <v>1011.40449800138</v>
      </c>
      <c r="O177" s="15" t="n">
        <f aca="false">SUMPRODUCT(E177:N177,1/(1+$F$157)^$E$3:$N$3)*$E$2</f>
        <v>1444.48520410656</v>
      </c>
      <c r="P177" s="15" t="n">
        <f aca="false">N177*$E$2*(1+$I$157)/($F$157-$I$157)/(1+$F$157)^$N$3</f>
        <v>4178.12104502248</v>
      </c>
      <c r="Q177" s="15" t="n">
        <f aca="false">O177+P177</f>
        <v>5622.60624912904</v>
      </c>
      <c r="R177" s="15" t="n">
        <f aca="false">Q177-$G$2+$I$2</f>
        <v>5790.00624912904</v>
      </c>
      <c r="S177" s="42" t="n">
        <f aca="false">R177/$K$2</f>
        <v>164.535556951663</v>
      </c>
      <c r="T177" s="43" t="n">
        <f aca="false">S177-$M$2</f>
        <v>0.000177582524457875</v>
      </c>
    </row>
    <row r="178" customFormat="false" ht="15" hidden="false" customHeight="false" outlineLevel="0" collapsed="false">
      <c r="A178" s="5" t="n">
        <v>20</v>
      </c>
      <c r="B178" s="25" t="n">
        <f aca="false">IF(T177&gt;0,B177,D177)</f>
        <v>0.00535392761230469</v>
      </c>
      <c r="C178" s="25" t="n">
        <f aca="false">IF(T177&gt;0,D177,C177)</f>
        <v>0.00535678863525391</v>
      </c>
      <c r="D178" s="41" t="n">
        <f aca="false">(B178+C178)/2</f>
        <v>0.0053553581237793</v>
      </c>
      <c r="E178" s="15" t="n">
        <f aca="false">$C$2*(1+IF(E$3&lt;=$O$2,$D178,$D178-($D178-$I$157)*MIN(E$3-$O$2,$Q$2)/$Q$2))</f>
        <v>874.689322228432</v>
      </c>
      <c r="F178" s="15" t="n">
        <f aca="false">E178*(1+IF(F$3&lt;=$O$2,$D178,$D178-($D178-$I$157)*MIN(F$3-$O$2,$Q$2)/$Q$2))</f>
        <v>879.373596796011</v>
      </c>
      <c r="G178" s="15" t="n">
        <f aca="false">F178*(1+IF(G$3&lt;=$O$2,$D178,$D178-($D178-$I$157)*MIN(G$3-$O$2,$Q$2)/$Q$2))</f>
        <v>884.082957331449</v>
      </c>
      <c r="H178" s="15" t="n">
        <f aca="false">G178*(1+IF(H$3&lt;=$O$2,$D178,$D178-($D178-$I$157)*MIN(H$3-$O$2,$Q$2)/$Q$2))</f>
        <v>888.817538179089</v>
      </c>
      <c r="I178" s="15" t="n">
        <f aca="false">H178*(1+IF(I$3&lt;=$O$2,$D178,$D178-($D178-$I$157)*MIN(I$3-$O$2,$Q$2)/$Q$2))</f>
        <v>893.577474402734</v>
      </c>
      <c r="J178" s="15" t="n">
        <f aca="false">I178*(1+IF(J$3&lt;=$O$2,$D178,$D178-($D178-$I$157)*MIN(J$3-$O$2,$Q$2)/$Q$2))</f>
        <v>904.250619766074</v>
      </c>
      <c r="K178" s="15" t="n">
        <f aca="false">J178*(1+IF(K$3&lt;=$O$2,$D178,$D178-($D178-$I$157)*MIN(K$3-$O$2,$Q$2)/$Q$2))</f>
        <v>921.009290802388</v>
      </c>
      <c r="L178" s="15" t="n">
        <f aca="false">K178*(1+IF(L$3&lt;=$O$2,$D178,$D178-($D178-$I$157)*MIN(L$3-$O$2,$Q$2)/$Q$2))</f>
        <v>944.147018140057</v>
      </c>
      <c r="M178" s="15" t="n">
        <f aca="false">L178*(1+IF(M$3&lt;=$O$2,$D178,$D178-($D178-$I$157)*MIN(M$3-$O$2,$Q$2)/$Q$2))</f>
        <v>974.086931856596</v>
      </c>
      <c r="N178" s="15" t="n">
        <f aca="false">M178*(1+IF(N$3&lt;=$O$2,$D178,$D178-($D178-$I$157)*MIN(N$3-$O$2,$Q$2)/$Q$2))</f>
        <v>1011.3944613467</v>
      </c>
      <c r="O178" s="15" t="n">
        <f aca="false">SUMPRODUCT(E178:N178,1/(1+$F$157)^$E$3:$N$3)*$E$2</f>
        <v>1444.47598648115</v>
      </c>
      <c r="P178" s="15" t="n">
        <f aca="false">N178*$E$2*(1+$I$157)/($F$157-$I$157)/(1+$F$157)^$N$3</f>
        <v>4178.07958351206</v>
      </c>
      <c r="Q178" s="15" t="n">
        <f aca="false">O178+P178</f>
        <v>5622.5555699932</v>
      </c>
      <c r="R178" s="15" t="n">
        <f aca="false">Q178-$G$2+$I$2</f>
        <v>5789.9555699932</v>
      </c>
      <c r="S178" s="42" t="n">
        <f aca="false">R178/$K$2</f>
        <v>164.534116794351</v>
      </c>
      <c r="T178" s="43" t="n">
        <f aca="false">S178-$M$2</f>
        <v>-0.00126257478822822</v>
      </c>
    </row>
    <row r="179" customFormat="false" ht="15" hidden="false" customHeight="false" outlineLevel="0" collapsed="false">
      <c r="A179" s="5" t="n">
        <v>21</v>
      </c>
      <c r="B179" s="25" t="n">
        <f aca="false">IF(T178&gt;0,B178,D178)</f>
        <v>0.0053553581237793</v>
      </c>
      <c r="C179" s="25" t="n">
        <f aca="false">IF(T178&gt;0,D178,C178)</f>
        <v>0.00535678863525391</v>
      </c>
      <c r="D179" s="41" t="n">
        <f aca="false">(B179+C179)/2</f>
        <v>0.0053560733795166</v>
      </c>
      <c r="E179" s="15" t="n">
        <f aca="false">$C$2*(1+IF(E$3&lt;=$O$2,$D179,$D179-($D179-$I$157)*MIN(E$3-$O$2,$Q$2)/$Q$2))</f>
        <v>874.689944522381</v>
      </c>
      <c r="F179" s="15" t="n">
        <f aca="false">E179*(1+IF(F$3&lt;=$O$2,$D179,$D179-($D179-$I$157)*MIN(F$3-$O$2,$Q$2)/$Q$2))</f>
        <v>879.374848049568</v>
      </c>
      <c r="G179" s="15" t="n">
        <f aca="false">F179*(1+IF(G$3&lt;=$O$2,$D179,$D179-($D179-$I$157)*MIN(G$3-$O$2,$Q$2)/$Q$2))</f>
        <v>884.084844263823</v>
      </c>
      <c r="H179" s="15" t="n">
        <f aca="false">G179*(1+IF(H$3&lt;=$O$2,$D179,$D179-($D179-$I$157)*MIN(H$3-$O$2,$Q$2)/$Q$2))</f>
        <v>888.820067563418</v>
      </c>
      <c r="I179" s="15" t="n">
        <f aca="false">H179*(1+IF(I$3&lt;=$O$2,$D179,$D179-($D179-$I$157)*MIN(I$3-$O$2,$Q$2)/$Q$2))</f>
        <v>893.580653066475</v>
      </c>
      <c r="J179" s="15" t="n">
        <f aca="false">I179*(1+IF(J$3&lt;=$O$2,$D179,$D179-($D179-$I$157)*MIN(J$3-$O$2,$Q$2)/$Q$2))</f>
        <v>904.254347707636</v>
      </c>
      <c r="K179" s="15" t="n">
        <f aca="false">J179*(1+IF(K$3&lt;=$O$2,$D179,$D179-($D179-$I$157)*MIN(K$3-$O$2,$Q$2)/$Q$2))</f>
        <v>921.013475898559</v>
      </c>
      <c r="L179" s="15" t="n">
        <f aca="false">K179*(1+IF(L$3&lt;=$O$2,$D179,$D179-($D179-$I$157)*MIN(L$3-$O$2,$Q$2)/$Q$2))</f>
        <v>944.151571878882</v>
      </c>
      <c r="M179" s="15" t="n">
        <f aca="false">L179*(1+IF(M$3&lt;=$O$2,$D179,$D179-($D179-$I$157)*MIN(M$3-$O$2,$Q$2)/$Q$2))</f>
        <v>974.091765061325</v>
      </c>
      <c r="N179" s="15" t="n">
        <f aca="false">M179*(1+IF(N$3&lt;=$O$2,$D179,$D179-($D179-$I$157)*MIN(N$3-$O$2,$Q$2)/$Q$2))</f>
        <v>1011.39947966317</v>
      </c>
      <c r="O179" s="15" t="n">
        <f aca="false">SUMPRODUCT(E179:N179,1/(1+$F$157)^$E$3:$N$3)*$E$2</f>
        <v>1444.48059528639</v>
      </c>
      <c r="P179" s="15" t="n">
        <f aca="false">N179*$E$2*(1+$I$157)/($F$157-$I$157)/(1+$F$157)^$N$3</f>
        <v>4178.10031422237</v>
      </c>
      <c r="Q179" s="15" t="n">
        <f aca="false">O179+P179</f>
        <v>5622.58090950876</v>
      </c>
      <c r="R179" s="15" t="n">
        <f aca="false">Q179-$G$2+$I$2</f>
        <v>5789.98090950876</v>
      </c>
      <c r="S179" s="42" t="n">
        <f aca="false">R179/$K$2</f>
        <v>164.534836871519</v>
      </c>
      <c r="T179" s="43" t="n">
        <f aca="false">S179-$M$2</f>
        <v>-0.000542497619846927</v>
      </c>
    </row>
    <row r="180" customFormat="false" ht="15" hidden="false" customHeight="false" outlineLevel="0" collapsed="false">
      <c r="A180" s="5" t="n">
        <v>22</v>
      </c>
      <c r="B180" s="25" t="n">
        <f aca="false">IF(T179&gt;0,B179,D179)</f>
        <v>0.0053560733795166</v>
      </c>
      <c r="C180" s="25" t="n">
        <f aca="false">IF(T179&gt;0,D179,C179)</f>
        <v>0.00535678863525391</v>
      </c>
      <c r="D180" s="41" t="n">
        <f aca="false">(B180+C180)/2</f>
        <v>0.00535643100738525</v>
      </c>
      <c r="E180" s="15" t="n">
        <f aca="false">$C$2*(1+IF(E$3&lt;=$O$2,$D180,$D180-($D180-$I$157)*MIN(E$3-$O$2,$Q$2)/$Q$2))</f>
        <v>874.690255669355</v>
      </c>
      <c r="F180" s="15" t="n">
        <f aca="false">E180*(1+IF(F$3&lt;=$O$2,$D180,$D180-($D180-$I$157)*MIN(F$3-$O$2,$Q$2)/$Q$2))</f>
        <v>879.37547367668</v>
      </c>
      <c r="G180" s="15" t="n">
        <f aca="false">F180*(1+IF(G$3&lt;=$O$2,$D180,$D180-($D180-$I$157)*MIN(G$3-$O$2,$Q$2)/$Q$2))</f>
        <v>884.085787731016</v>
      </c>
      <c r="H180" s="15" t="n">
        <f aca="false">G180*(1+IF(H$3&lt;=$O$2,$D180,$D180-($D180-$I$157)*MIN(H$3-$O$2,$Q$2)/$Q$2))</f>
        <v>888.821332257607</v>
      </c>
      <c r="I180" s="15" t="n">
        <f aca="false">H180*(1+IF(I$3&lt;=$O$2,$D180,$D180-($D180-$I$157)*MIN(I$3-$O$2,$Q$2)/$Q$2))</f>
        <v>893.582242401737</v>
      </c>
      <c r="J180" s="15" t="n">
        <f aca="false">I180*(1+IF(J$3&lt;=$O$2,$D180,$D180-($D180-$I$157)*MIN(J$3-$O$2,$Q$2)/$Q$2))</f>
        <v>904.256211683214</v>
      </c>
      <c r="K180" s="15" t="n">
        <f aca="false">J180*(1+IF(K$3&lt;=$O$2,$D180,$D180-($D180-$I$157)*MIN(K$3-$O$2,$Q$2)/$Q$2))</f>
        <v>921.01556845273</v>
      </c>
      <c r="L180" s="15" t="n">
        <f aca="false">K180*(1+IF(L$3&lt;=$O$2,$D180,$D180-($D180-$I$157)*MIN(L$3-$O$2,$Q$2)/$Q$2))</f>
        <v>944.153848755431</v>
      </c>
      <c r="M180" s="15" t="n">
        <f aca="false">L180*(1+IF(M$3&lt;=$O$2,$D180,$D180-($D180-$I$157)*MIN(M$3-$O$2,$Q$2)/$Q$2))</f>
        <v>974.094181671541</v>
      </c>
      <c r="N180" s="15" t="n">
        <f aca="false">M180*(1+IF(N$3&lt;=$O$2,$D180,$D180-($D180-$I$157)*MIN(N$3-$O$2,$Q$2)/$Q$2))</f>
        <v>1011.40198882956</v>
      </c>
      <c r="O180" s="15" t="n">
        <f aca="false">SUMPRODUCT(E180:N180,1/(1+$F$157)^$E$3:$N$3)*$E$2</f>
        <v>1444.48289969461</v>
      </c>
      <c r="P180" s="15" t="n">
        <f aca="false">N180*$E$2*(1+$I$157)/($F$157-$I$157)/(1+$F$157)^$N$3</f>
        <v>4178.1106796112</v>
      </c>
      <c r="Q180" s="15" t="n">
        <f aca="false">O180+P180</f>
        <v>5622.59357930581</v>
      </c>
      <c r="R180" s="15" t="n">
        <f aca="false">Q180-$G$2+$I$2</f>
        <v>5789.99357930581</v>
      </c>
      <c r="S180" s="42" t="n">
        <f aca="false">R180/$K$2</f>
        <v>164.535196911219</v>
      </c>
      <c r="T180" s="43" t="n">
        <f aca="false">S180-$M$2</f>
        <v>-0.000182457919692069</v>
      </c>
    </row>
    <row r="181" customFormat="false" ht="15" hidden="false" customHeight="false" outlineLevel="0" collapsed="false">
      <c r="A181" s="5" t="n">
        <v>23</v>
      </c>
      <c r="B181" s="25" t="n">
        <f aca="false">IF(T180&gt;0,B180,D180)</f>
        <v>0.00535643100738525</v>
      </c>
      <c r="C181" s="25" t="n">
        <f aca="false">IF(T180&gt;0,D180,C180)</f>
        <v>0.00535678863525391</v>
      </c>
      <c r="D181" s="41" t="n">
        <f aca="false">(B181+C181)/2</f>
        <v>0.00535660982131958</v>
      </c>
      <c r="E181" s="15" t="n">
        <f aca="false">$C$2*(1+IF(E$3&lt;=$O$2,$D181,$D181-($D181-$I$157)*MIN(E$3-$O$2,$Q$2)/$Q$2))</f>
        <v>874.690411242843</v>
      </c>
      <c r="F181" s="15" t="n">
        <f aca="false">E181*(1+IF(F$3&lt;=$O$2,$D181,$D181-($D181-$I$157)*MIN(F$3-$O$2,$Q$2)/$Q$2))</f>
        <v>879.37578649032</v>
      </c>
      <c r="G181" s="15" t="n">
        <f aca="false">F181*(1+IF(G$3&lt;=$O$2,$D181,$D181-($D181-$I$157)*MIN(G$3-$O$2,$Q$2)/$Q$2))</f>
        <v>884.086259464865</v>
      </c>
      <c r="H181" s="15" t="n">
        <f aca="false">G181*(1+IF(H$3&lt;=$O$2,$D181,$D181-($D181-$I$157)*MIN(H$3-$O$2,$Q$2)/$Q$2))</f>
        <v>888.821964605208</v>
      </c>
      <c r="I181" s="15" t="n">
        <f aca="false">H181*(1+IF(I$3&lt;=$O$2,$D181,$D181-($D181-$I$157)*MIN(I$3-$O$2,$Q$2)/$Q$2))</f>
        <v>893.583037070217</v>
      </c>
      <c r="J181" s="15" t="n">
        <f aca="false">I181*(1+IF(J$3&lt;=$O$2,$D181,$D181-($D181-$I$157)*MIN(J$3-$O$2,$Q$2)/$Q$2))</f>
        <v>904.257143672203</v>
      </c>
      <c r="K181" s="15" t="n">
        <f aca="false">J181*(1+IF(K$3&lt;=$O$2,$D181,$D181-($D181-$I$157)*MIN(K$3-$O$2,$Q$2)/$Q$2))</f>
        <v>921.016614731336</v>
      </c>
      <c r="L181" s="15" t="n">
        <f aca="false">K181*(1+IF(L$3&lt;=$O$2,$D181,$D181-($D181-$I$157)*MIN(L$3-$O$2,$Q$2)/$Q$2))</f>
        <v>944.15498719549</v>
      </c>
      <c r="M181" s="15" t="n">
        <f aca="false">L181*(1+IF(M$3&lt;=$O$2,$D181,$D181-($D181-$I$157)*MIN(M$3-$O$2,$Q$2)/$Q$2))</f>
        <v>974.095389978612</v>
      </c>
      <c r="N181" s="15" t="n">
        <f aca="false">M181*(1+IF(N$3&lt;=$O$2,$D181,$D181-($D181-$I$157)*MIN(N$3-$O$2,$Q$2)/$Q$2))</f>
        <v>1011.40324341479</v>
      </c>
      <c r="O181" s="15" t="n">
        <f aca="false">SUMPRODUCT(E181:N181,1/(1+$F$157)^$E$3:$N$3)*$E$2</f>
        <v>1444.48405190012</v>
      </c>
      <c r="P181" s="15" t="n">
        <f aca="false">N181*$E$2*(1+$I$157)/($F$157-$I$157)/(1+$F$157)^$N$3</f>
        <v>4178.11586231403</v>
      </c>
      <c r="Q181" s="15" t="n">
        <f aca="false">O181+P181</f>
        <v>5622.59991421415</v>
      </c>
      <c r="R181" s="15" t="n">
        <f aca="false">Q181-$G$2+$I$2</f>
        <v>5789.99991421415</v>
      </c>
      <c r="S181" s="42" t="n">
        <f aca="false">R181/$K$2</f>
        <v>164.535376931348</v>
      </c>
      <c r="T181" s="43" t="n">
        <f aca="false">S181-$M$2</f>
        <v>-2.43779058450855E-006</v>
      </c>
    </row>
    <row r="182" customFormat="false" ht="15" hidden="false" customHeight="false" outlineLevel="0" collapsed="false">
      <c r="A182" s="5" t="n">
        <v>24</v>
      </c>
      <c r="B182" s="25" t="n">
        <f aca="false">IF(T181&gt;0,B181,D181)</f>
        <v>0.00535660982131958</v>
      </c>
      <c r="C182" s="25" t="n">
        <f aca="false">IF(T181&gt;0,D181,C181)</f>
        <v>0.00535678863525391</v>
      </c>
      <c r="D182" s="41" t="n">
        <f aca="false">(B182+C182)/2</f>
        <v>0.00535669922828674</v>
      </c>
      <c r="E182" s="15" t="n">
        <f aca="false">$C$2*(1+IF(E$3&lt;=$O$2,$D182,$D182-($D182-$I$157)*MIN(E$3-$O$2,$Q$2)/$Q$2))</f>
        <v>874.690489029586</v>
      </c>
      <c r="F182" s="15" t="n">
        <f aca="false">E182*(1+IF(F$3&lt;=$O$2,$D182,$D182-($D182-$I$157)*MIN(F$3-$O$2,$Q$2)/$Q$2))</f>
        <v>879.375942897161</v>
      </c>
      <c r="G182" s="15" t="n">
        <f aca="false">F182*(1+IF(G$3&lt;=$O$2,$D182,$D182-($D182-$I$157)*MIN(G$3-$O$2,$Q$2)/$Q$2))</f>
        <v>884.086495331852</v>
      </c>
      <c r="H182" s="15" t="n">
        <f aca="false">G182*(1+IF(H$3&lt;=$O$2,$D182,$D182-($D182-$I$157)*MIN(H$3-$O$2,$Q$2)/$Q$2))</f>
        <v>888.822280779135</v>
      </c>
      <c r="I182" s="15" t="n">
        <f aca="false">H182*(1+IF(I$3&lt;=$O$2,$D182,$D182-($D182-$I$157)*MIN(I$3-$O$2,$Q$2)/$Q$2))</f>
        <v>893.583434404669</v>
      </c>
      <c r="J182" s="15" t="n">
        <f aca="false">I182*(1+IF(J$3&lt;=$O$2,$D182,$D182-($D182-$I$157)*MIN(J$3-$O$2,$Q$2)/$Q$2))</f>
        <v>904.257609666997</v>
      </c>
      <c r="K182" s="15" t="n">
        <f aca="false">J182*(1+IF(K$3&lt;=$O$2,$D182,$D182-($D182-$I$157)*MIN(K$3-$O$2,$Q$2)/$Q$2))</f>
        <v>921.01713787102</v>
      </c>
      <c r="L182" s="15" t="n">
        <f aca="false">K182*(1+IF(L$3&lt;=$O$2,$D182,$D182-($D182-$I$157)*MIN(L$3-$O$2,$Q$2)/$Q$2))</f>
        <v>944.155556415965</v>
      </c>
      <c r="M182" s="15" t="n">
        <f aca="false">L182*(1+IF(M$3&lt;=$O$2,$D182,$D182-($D182-$I$157)*MIN(M$3-$O$2,$Q$2)/$Q$2))</f>
        <v>974.095994132638</v>
      </c>
      <c r="N182" s="15" t="n">
        <f aca="false">M182*(1+IF(N$3&lt;=$O$2,$D182,$D182-($D182-$I$157)*MIN(N$3-$O$2,$Q$2)/$Q$2))</f>
        <v>1011.40387070792</v>
      </c>
      <c r="O182" s="15" t="n">
        <f aca="false">SUMPRODUCT(E182:N182,1/(1+$F$157)^$E$3:$N$3)*$E$2</f>
        <v>1444.48462800322</v>
      </c>
      <c r="P182" s="15" t="n">
        <f aca="false">N182*$E$2*(1+$I$157)/($F$157-$I$157)/(1+$F$157)^$N$3</f>
        <v>4178.11845366755</v>
      </c>
      <c r="Q182" s="15" t="n">
        <f aca="false">O182+P182</f>
        <v>5622.60308167078</v>
      </c>
      <c r="R182" s="15" t="n">
        <f aca="false">Q182-$G$2+$I$2</f>
        <v>5790.00308167078</v>
      </c>
      <c r="S182" s="42" t="n">
        <f aca="false">R182/$K$2</f>
        <v>164.535466941483</v>
      </c>
      <c r="T182" s="43" t="n">
        <f aca="false">S182-$M$2</f>
        <v>8.75723436877252E-005</v>
      </c>
    </row>
    <row r="184" customFormat="false" ht="15" hidden="false" customHeight="false" outlineLevel="0" collapsed="false">
      <c r="A184" s="38" t="s">
        <v>193</v>
      </c>
      <c r="E184" s="5" t="s">
        <v>12</v>
      </c>
      <c r="F184" s="12" t="n">
        <f aca="false">Sensitivity!$B$11</f>
        <v>0.0725075820986394</v>
      </c>
      <c r="G184" s="5" t="s">
        <v>13</v>
      </c>
      <c r="I184" s="12" t="n">
        <f aca="false">Sensitivity!$C$9</f>
        <v>0.0183</v>
      </c>
    </row>
    <row r="185" customFormat="false" ht="23.85" hidden="false" customHeight="false" outlineLevel="0" collapsed="false">
      <c r="A185" s="38" t="s">
        <v>168</v>
      </c>
      <c r="B185" s="28" t="s">
        <v>169</v>
      </c>
      <c r="C185" s="28" t="s">
        <v>170</v>
      </c>
      <c r="D185" s="28" t="s">
        <v>171</v>
      </c>
      <c r="E185" s="28" t="s">
        <v>172</v>
      </c>
      <c r="F185" s="28" t="s">
        <v>173</v>
      </c>
      <c r="G185" s="28" t="s">
        <v>174</v>
      </c>
      <c r="H185" s="28" t="s">
        <v>175</v>
      </c>
      <c r="I185" s="28" t="s">
        <v>176</v>
      </c>
      <c r="J185" s="28" t="s">
        <v>177</v>
      </c>
      <c r="K185" s="28" t="s">
        <v>178</v>
      </c>
      <c r="L185" s="28" t="s">
        <v>179</v>
      </c>
      <c r="M185" s="28" t="s">
        <v>180</v>
      </c>
      <c r="N185" s="28" t="s">
        <v>181</v>
      </c>
      <c r="O185" s="28" t="s">
        <v>182</v>
      </c>
      <c r="P185" s="28" t="s">
        <v>183</v>
      </c>
      <c r="Q185" s="28" t="s">
        <v>184</v>
      </c>
      <c r="R185" s="28" t="s">
        <v>185</v>
      </c>
      <c r="S185" s="28" t="s">
        <v>186</v>
      </c>
      <c r="T185" s="28" t="s">
        <v>187</v>
      </c>
    </row>
    <row r="186" customFormat="false" ht="15" hidden="false" customHeight="false" outlineLevel="0" collapsed="false">
      <c r="A186" s="5" t="n">
        <v>1</v>
      </c>
      <c r="B186" s="24" t="n">
        <v>-0.5</v>
      </c>
      <c r="C186" s="24" t="n">
        <v>1</v>
      </c>
      <c r="D186" s="41" t="n">
        <f aca="false">(B186+C186)/2</f>
        <v>0.25</v>
      </c>
      <c r="E186" s="15" t="n">
        <f aca="false">$C$2*(1+IF(E$3&lt;=$O$2,$D186,$D186-($D186-$I$184)*MIN(E$3-$O$2,$Q$2)/$Q$2))</f>
        <v>1087.5375</v>
      </c>
      <c r="F186" s="15" t="n">
        <f aca="false">E186*(1+IF(F$3&lt;=$O$2,$D186,$D186-($D186-$I$184)*MIN(F$3-$O$2,$Q$2)/$Q$2))</f>
        <v>1359.421875</v>
      </c>
      <c r="G186" s="15" t="n">
        <f aca="false">F186*(1+IF(G$3&lt;=$O$2,$D186,$D186-($D186-$I$184)*MIN(G$3-$O$2,$Q$2)/$Q$2))</f>
        <v>1699.27734375</v>
      </c>
      <c r="H186" s="15" t="n">
        <f aca="false">G186*(1+IF(H$3&lt;=$O$2,$D186,$D186-($D186-$I$184)*MIN(H$3-$O$2,$Q$2)/$Q$2))</f>
        <v>2124.0966796875</v>
      </c>
      <c r="I186" s="15" t="n">
        <f aca="false">H186*(1+IF(I$3&lt;=$O$2,$D186,$D186-($D186-$I$184)*MIN(I$3-$O$2,$Q$2)/$Q$2))</f>
        <v>2655.12084960938</v>
      </c>
      <c r="J186" s="15" t="n">
        <f aca="false">I186*(1+IF(J$3&lt;=$O$2,$D186,$D186-($D186-$I$184)*MIN(J$3-$O$2,$Q$2)/$Q$2))</f>
        <v>3195.86276184082</v>
      </c>
      <c r="K186" s="15" t="n">
        <f aca="false">J186*(1+IF(K$3&lt;=$O$2,$D186,$D186-($D186-$I$184)*MIN(K$3-$O$2,$Q$2)/$Q$2))</f>
        <v>3698.63589153362</v>
      </c>
      <c r="L186" s="15" t="n">
        <f aca="false">K186*(1+IF(L$3&lt;=$O$2,$D186,$D186-($D186-$I$184)*MIN(L$3-$O$2,$Q$2)/$Q$2))</f>
        <v>4109.11050277602</v>
      </c>
      <c r="M186" s="15" t="n">
        <f aca="false">L186*(1+IF(M$3&lt;=$O$2,$D186,$D186-($D186-$I$184)*MIN(M$3-$O$2,$Q$2)/$Q$2))</f>
        <v>4374.72340567546</v>
      </c>
      <c r="N186" s="15" t="n">
        <f aca="false">M186*(1+IF(N$3&lt;=$O$2,$D186,$D186-($D186-$I$184)*MIN(N$3-$O$2,$Q$2)/$Q$2))</f>
        <v>4454.78084399932</v>
      </c>
      <c r="O186" s="15" t="n">
        <f aca="false">SUMPRODUCT(E186:N186,1/(1+$F$184)^$E$3:$N$3)*$E$2</f>
        <v>4087.9072863624</v>
      </c>
      <c r="P186" s="15" t="n">
        <f aca="false">N186*$E$2*(1+$I$184)/($F$184-$I$184)/(1+$F$184)^$N$3</f>
        <v>9280.61832943499</v>
      </c>
      <c r="Q186" s="15" t="n">
        <f aca="false">O186+P186</f>
        <v>13368.5256157974</v>
      </c>
      <c r="R186" s="15" t="n">
        <f aca="false">Q186-$G$2+$I$2</f>
        <v>13535.9256157974</v>
      </c>
      <c r="S186" s="42" t="n">
        <f aca="false">R186/$K$2</f>
        <v>384.652617669719</v>
      </c>
      <c r="T186" s="43" t="n">
        <f aca="false">S186-$M$2</f>
        <v>220.11723830058</v>
      </c>
    </row>
    <row r="187" customFormat="false" ht="15" hidden="false" customHeight="false" outlineLevel="0" collapsed="false">
      <c r="A187" s="5" t="n">
        <v>2</v>
      </c>
      <c r="B187" s="25" t="n">
        <f aca="false">IF(T186&gt;0,B186,D186)</f>
        <v>-0.5</v>
      </c>
      <c r="C187" s="25" t="n">
        <f aca="false">IF(T186&gt;0,D186,C186)</f>
        <v>0.25</v>
      </c>
      <c r="D187" s="41" t="n">
        <f aca="false">(B187+C187)/2</f>
        <v>-0.125</v>
      </c>
      <c r="E187" s="15" t="n">
        <f aca="false">$C$2*(1+IF(E$3&lt;=$O$2,$D187,$D187-($D187-$I$184)*MIN(E$3-$O$2,$Q$2)/$Q$2))</f>
        <v>761.27625</v>
      </c>
      <c r="F187" s="15" t="n">
        <f aca="false">E187*(1+IF(F$3&lt;=$O$2,$D187,$D187-($D187-$I$184)*MIN(F$3-$O$2,$Q$2)/$Q$2))</f>
        <v>666.11671875</v>
      </c>
      <c r="G187" s="15" t="n">
        <f aca="false">F187*(1+IF(G$3&lt;=$O$2,$D187,$D187-($D187-$I$184)*MIN(G$3-$O$2,$Q$2)/$Q$2))</f>
        <v>582.85212890625</v>
      </c>
      <c r="H187" s="15" t="n">
        <f aca="false">G187*(1+IF(H$3&lt;=$O$2,$D187,$D187-($D187-$I$184)*MIN(H$3-$O$2,$Q$2)/$Q$2))</f>
        <v>509.995612792969</v>
      </c>
      <c r="I187" s="15" t="n">
        <f aca="false">H187*(1+IF(I$3&lt;=$O$2,$D187,$D187-($D187-$I$184)*MIN(I$3-$O$2,$Q$2)/$Q$2))</f>
        <v>446.246161193848</v>
      </c>
      <c r="J187" s="15" t="n">
        <f aca="false">I187*(1+IF(J$3&lt;=$O$2,$D187,$D187-($D187-$I$184)*MIN(J$3-$O$2,$Q$2)/$Q$2))</f>
        <v>403.254806024432</v>
      </c>
      <c r="K187" s="15" t="n">
        <f aca="false">J187*(1+IF(K$3&lt;=$O$2,$D187,$D187-($D187-$I$184)*MIN(K$3-$O$2,$Q$2)/$Q$2))</f>
        <v>375.962520752699</v>
      </c>
      <c r="L187" s="15" t="n">
        <f aca="false">K187*(1+IF(L$3&lt;=$O$2,$D187,$D187-($D187-$I$184)*MIN(L$3-$O$2,$Q$2)/$Q$2))</f>
        <v>361.292463192929</v>
      </c>
      <c r="M187" s="15" t="n">
        <f aca="false">L187*(1+IF(M$3&lt;=$O$2,$D187,$D187-($D187-$I$184)*MIN(M$3-$O$2,$Q$2)/$Q$2))</f>
        <v>357.54947327425</v>
      </c>
      <c r="N187" s="15" t="n">
        <f aca="false">M187*(1+IF(N$3&lt;=$O$2,$D187,$D187-($D187-$I$184)*MIN(N$3-$O$2,$Q$2)/$Q$2))</f>
        <v>364.092628635169</v>
      </c>
      <c r="O187" s="15" t="n">
        <f aca="false">SUMPRODUCT(E187:N187,1/(1+$F$184)^$E$3:$N$3)*$E$2</f>
        <v>789.268389385469</v>
      </c>
      <c r="P187" s="15" t="n">
        <f aca="false">N187*$E$2*(1+$I$184)/($F$184-$I$184)/(1+$F$184)^$N$3</f>
        <v>758.511998962934</v>
      </c>
      <c r="Q187" s="15" t="n">
        <f aca="false">O187+P187</f>
        <v>1547.7803883484</v>
      </c>
      <c r="R187" s="15" t="n">
        <f aca="false">Q187-$G$2+$I$2</f>
        <v>1715.1803883484</v>
      </c>
      <c r="S187" s="42" t="n">
        <f aca="false">R187/$K$2</f>
        <v>48.7405623287412</v>
      </c>
      <c r="T187" s="43" t="n">
        <f aca="false">S187-$M$2</f>
        <v>-115.794817040398</v>
      </c>
    </row>
    <row r="188" customFormat="false" ht="15" hidden="false" customHeight="false" outlineLevel="0" collapsed="false">
      <c r="A188" s="5" t="n">
        <v>3</v>
      </c>
      <c r="B188" s="25" t="n">
        <f aca="false">IF(T187&gt;0,B187,D187)</f>
        <v>-0.125</v>
      </c>
      <c r="C188" s="25" t="n">
        <f aca="false">IF(T187&gt;0,D187,C187)</f>
        <v>0.25</v>
      </c>
      <c r="D188" s="41" t="n">
        <f aca="false">(B188+C188)/2</f>
        <v>0.0625</v>
      </c>
      <c r="E188" s="15" t="n">
        <f aca="false">$C$2*(1+IF(E$3&lt;=$O$2,$D188,$D188-($D188-$I$184)*MIN(E$3-$O$2,$Q$2)/$Q$2))</f>
        <v>924.406875</v>
      </c>
      <c r="F188" s="15" t="n">
        <f aca="false">E188*(1+IF(F$3&lt;=$O$2,$D188,$D188-($D188-$I$184)*MIN(F$3-$O$2,$Q$2)/$Q$2))</f>
        <v>982.1823046875</v>
      </c>
      <c r="G188" s="15" t="n">
        <f aca="false">F188*(1+IF(G$3&lt;=$O$2,$D188,$D188-($D188-$I$184)*MIN(G$3-$O$2,$Q$2)/$Q$2))</f>
        <v>1043.56869873047</v>
      </c>
      <c r="H188" s="15" t="n">
        <f aca="false">G188*(1+IF(H$3&lt;=$O$2,$D188,$D188-($D188-$I$184)*MIN(H$3-$O$2,$Q$2)/$Q$2))</f>
        <v>1108.79174240112</v>
      </c>
      <c r="I188" s="15" t="n">
        <f aca="false">H188*(1+IF(I$3&lt;=$O$2,$D188,$D188-($D188-$I$184)*MIN(I$3-$O$2,$Q$2)/$Q$2))</f>
        <v>1178.09122630119</v>
      </c>
      <c r="J188" s="15" t="n">
        <f aca="false">I188*(1+IF(J$3&lt;=$O$2,$D188,$D188-($D188-$I$184)*MIN(J$3-$O$2,$Q$2)/$Q$2))</f>
        <v>1241.30760150452</v>
      </c>
      <c r="K188" s="15" t="n">
        <f aca="false">J188*(1+IF(K$3&lt;=$O$2,$D188,$D188-($D188-$I$184)*MIN(K$3-$O$2,$Q$2)/$Q$2))</f>
        <v>1296.94300820395</v>
      </c>
      <c r="L188" s="15" t="n">
        <f aca="false">K188*(1+IF(L$3&lt;=$O$2,$D188,$D188-($D188-$I$184)*MIN(L$3-$O$2,$Q$2)/$Q$2))</f>
        <v>1343.60701763913</v>
      </c>
      <c r="M188" s="15" t="n">
        <f aca="false">L188*(1+IF(M$3&lt;=$O$2,$D188,$D188-($D188-$I$184)*MIN(M$3-$O$2,$Q$2)/$Q$2))</f>
        <v>1380.07251209785</v>
      </c>
      <c r="N188" s="15" t="n">
        <f aca="false">M188*(1+IF(N$3&lt;=$O$2,$D188,$D188-($D188-$I$184)*MIN(N$3-$O$2,$Q$2)/$Q$2))</f>
        <v>1405.32783906924</v>
      </c>
      <c r="O188" s="15" t="n">
        <f aca="false">SUMPRODUCT(E188:N188,1/(1+$F$184)^$E$3:$N$3)*$E$2</f>
        <v>1795.62676983717</v>
      </c>
      <c r="P188" s="15" t="n">
        <f aca="false">N188*$E$2*(1+$I$184)/($F$184-$I$184)/(1+$F$184)^$N$3</f>
        <v>2927.71109485656</v>
      </c>
      <c r="Q188" s="15" t="n">
        <f aca="false">O188+P188</f>
        <v>4723.33786469372</v>
      </c>
      <c r="R188" s="15" t="n">
        <f aca="false">Q188-$G$2+$I$2</f>
        <v>4890.73786469372</v>
      </c>
      <c r="S188" s="42" t="n">
        <f aca="false">R188/$K$2</f>
        <v>138.980899820794</v>
      </c>
      <c r="T188" s="43" t="n">
        <f aca="false">S188-$M$2</f>
        <v>-25.5544795483455</v>
      </c>
    </row>
    <row r="189" customFormat="false" ht="15" hidden="false" customHeight="false" outlineLevel="0" collapsed="false">
      <c r="A189" s="5" t="n">
        <v>4</v>
      </c>
      <c r="B189" s="25" t="n">
        <f aca="false">IF(T188&gt;0,B188,D188)</f>
        <v>0.0625</v>
      </c>
      <c r="C189" s="25" t="n">
        <f aca="false">IF(T188&gt;0,D188,C188)</f>
        <v>0.25</v>
      </c>
      <c r="D189" s="41" t="n">
        <f aca="false">(B189+C189)/2</f>
        <v>0.15625</v>
      </c>
      <c r="E189" s="15" t="n">
        <f aca="false">$C$2*(1+IF(E$3&lt;=$O$2,$D189,$D189-($D189-$I$184)*MIN(E$3-$O$2,$Q$2)/$Q$2))</f>
        <v>1005.9721875</v>
      </c>
      <c r="F189" s="15" t="n">
        <f aca="false">E189*(1+IF(F$3&lt;=$O$2,$D189,$D189-($D189-$I$184)*MIN(F$3-$O$2,$Q$2)/$Q$2))</f>
        <v>1163.15534179688</v>
      </c>
      <c r="G189" s="15" t="n">
        <f aca="false">F189*(1+IF(G$3&lt;=$O$2,$D189,$D189-($D189-$I$184)*MIN(G$3-$O$2,$Q$2)/$Q$2))</f>
        <v>1344.89836395264</v>
      </c>
      <c r="H189" s="15" t="n">
        <f aca="false">G189*(1+IF(H$3&lt;=$O$2,$D189,$D189-($D189-$I$184)*MIN(H$3-$O$2,$Q$2)/$Q$2))</f>
        <v>1555.03873332024</v>
      </c>
      <c r="I189" s="15" t="n">
        <f aca="false">H189*(1+IF(I$3&lt;=$O$2,$D189,$D189-($D189-$I$184)*MIN(I$3-$O$2,$Q$2)/$Q$2))</f>
        <v>1798.01353540152</v>
      </c>
      <c r="J189" s="15" t="n">
        <f aca="false">I189*(1+IF(J$3&lt;=$O$2,$D189,$D189-($D189-$I$184)*MIN(J$3-$O$2,$Q$2)/$Q$2))</f>
        <v>2029.34595686628</v>
      </c>
      <c r="K189" s="15" t="n">
        <f aca="false">J189*(1+IF(K$3&lt;=$O$2,$D189,$D189-($D189-$I$184)*MIN(K$3-$O$2,$Q$2)/$Q$2))</f>
        <v>2234.45195272676</v>
      </c>
      <c r="L189" s="15" t="n">
        <f aca="false">K189*(1+IF(L$3&lt;=$O$2,$D189,$D189-($D189-$I$184)*MIN(L$3-$O$2,$Q$2)/$Q$2))</f>
        <v>2398.63948221312</v>
      </c>
      <c r="M189" s="15" t="n">
        <f aca="false">L189*(1+IF(M$3&lt;=$O$2,$D189,$D189-($D189-$I$184)*MIN(M$3-$O$2,$Q$2)/$Q$2))</f>
        <v>2508.71304805188</v>
      </c>
      <c r="N189" s="15" t="n">
        <f aca="false">M189*(1+IF(N$3&lt;=$O$2,$D189,$D189-($D189-$I$184)*MIN(N$3-$O$2,$Q$2)/$Q$2))</f>
        <v>2554.62249683123</v>
      </c>
      <c r="O189" s="15" t="n">
        <f aca="false">SUMPRODUCT(E189:N189,1/(1+$F$184)^$E$3:$N$3)*$E$2</f>
        <v>2715.36223461926</v>
      </c>
      <c r="P189" s="15" t="n">
        <f aca="false">N189*$E$2*(1+$I$184)/($F$184-$I$184)/(1+$F$184)^$N$3</f>
        <v>5322.02979206366</v>
      </c>
      <c r="Q189" s="15" t="n">
        <f aca="false">O189+P189</f>
        <v>8037.39202668292</v>
      </c>
      <c r="R189" s="15" t="n">
        <f aca="false">Q189-$G$2+$I$2</f>
        <v>8204.79202668292</v>
      </c>
      <c r="S189" s="42" t="n">
        <f aca="false">R189/$K$2</f>
        <v>233.156920337679</v>
      </c>
      <c r="T189" s="43" t="n">
        <f aca="false">S189-$M$2</f>
        <v>68.62154096854</v>
      </c>
    </row>
    <row r="190" customFormat="false" ht="15" hidden="false" customHeight="false" outlineLevel="0" collapsed="false">
      <c r="A190" s="5" t="n">
        <v>5</v>
      </c>
      <c r="B190" s="25" t="n">
        <f aca="false">IF(T189&gt;0,B189,D189)</f>
        <v>0.0625</v>
      </c>
      <c r="C190" s="25" t="n">
        <f aca="false">IF(T189&gt;0,D189,C189)</f>
        <v>0.15625</v>
      </c>
      <c r="D190" s="41" t="n">
        <f aca="false">(B190+C190)/2</f>
        <v>0.109375</v>
      </c>
      <c r="E190" s="15" t="n">
        <f aca="false">$C$2*(1+IF(E$3&lt;=$O$2,$D190,$D190-($D190-$I$184)*MIN(E$3-$O$2,$Q$2)/$Q$2))</f>
        <v>965.18953125</v>
      </c>
      <c r="F190" s="15" t="n">
        <f aca="false">E190*(1+IF(F$3&lt;=$O$2,$D190,$D190-($D190-$I$184)*MIN(F$3-$O$2,$Q$2)/$Q$2))</f>
        <v>1070.75713623047</v>
      </c>
      <c r="G190" s="15" t="n">
        <f aca="false">F190*(1+IF(G$3&lt;=$O$2,$D190,$D190-($D190-$I$184)*MIN(G$3-$O$2,$Q$2)/$Q$2))</f>
        <v>1187.87119800568</v>
      </c>
      <c r="H190" s="15" t="n">
        <f aca="false">G190*(1+IF(H$3&lt;=$O$2,$D190,$D190-($D190-$I$184)*MIN(H$3-$O$2,$Q$2)/$Q$2))</f>
        <v>1317.79461028755</v>
      </c>
      <c r="I190" s="15" t="n">
        <f aca="false">H190*(1+IF(I$3&lt;=$O$2,$D190,$D190-($D190-$I$184)*MIN(I$3-$O$2,$Q$2)/$Q$2))</f>
        <v>1461.92839578775</v>
      </c>
      <c r="J190" s="15" t="n">
        <f aca="false">I190*(1+IF(J$3&lt;=$O$2,$D190,$D190-($D190-$I$184)*MIN(J$3-$O$2,$Q$2)/$Q$2))</f>
        <v>1595.19778834776</v>
      </c>
      <c r="K190" s="15" t="n">
        <f aca="false">J190*(1+IF(K$3&lt;=$O$2,$D190,$D190-($D190-$I$184)*MIN(K$3-$O$2,$Q$2)/$Q$2))</f>
        <v>1711.55949101879</v>
      </c>
      <c r="L190" s="15" t="n">
        <f aca="false">K190*(1+IF(L$3&lt;=$O$2,$D190,$D190-($D190-$I$184)*MIN(L$3-$O$2,$Q$2)/$Q$2))</f>
        <v>1805.23314196224</v>
      </c>
      <c r="M190" s="15" t="n">
        <f aca="false">L190*(1+IF(M$3&lt;=$O$2,$D190,$D190-($D190-$I$184)*MIN(M$3-$O$2,$Q$2)/$Q$2))</f>
        <v>1871.151230141</v>
      </c>
      <c r="N190" s="15" t="n">
        <f aca="false">M190*(1+IF(N$3&lt;=$O$2,$D190,$D190-($D190-$I$184)*MIN(N$3-$O$2,$Q$2)/$Q$2))</f>
        <v>1905.39329765258</v>
      </c>
      <c r="O190" s="15" t="n">
        <f aca="false">SUMPRODUCT(E190:N190,1/(1+$F$184)^$E$3:$N$3)*$E$2</f>
        <v>2208.79364007348</v>
      </c>
      <c r="P190" s="15" t="n">
        <f aca="false">N190*$E$2*(1+$I$184)/($F$184-$I$184)/(1+$F$184)^$N$3</f>
        <v>3969.4944784538</v>
      </c>
      <c r="Q190" s="15" t="n">
        <f aca="false">O190+P190</f>
        <v>6178.28811852728</v>
      </c>
      <c r="R190" s="15" t="n">
        <f aca="false">Q190-$G$2+$I$2</f>
        <v>6345.68811852728</v>
      </c>
      <c r="S190" s="42" t="n">
        <f aca="false">R190/$K$2</f>
        <v>180.326459747863</v>
      </c>
      <c r="T190" s="43" t="n">
        <f aca="false">S190-$M$2</f>
        <v>15.7910803787235</v>
      </c>
    </row>
    <row r="191" customFormat="false" ht="15" hidden="false" customHeight="false" outlineLevel="0" collapsed="false">
      <c r="A191" s="5" t="n">
        <v>6</v>
      </c>
      <c r="B191" s="25" t="n">
        <f aca="false">IF(T190&gt;0,B190,D190)</f>
        <v>0.0625</v>
      </c>
      <c r="C191" s="25" t="n">
        <f aca="false">IF(T190&gt;0,D190,C190)</f>
        <v>0.109375</v>
      </c>
      <c r="D191" s="41" t="n">
        <f aca="false">(B191+C191)/2</f>
        <v>0.0859375</v>
      </c>
      <c r="E191" s="15" t="n">
        <f aca="false">$C$2*(1+IF(E$3&lt;=$O$2,$D191,$D191-($D191-$I$184)*MIN(E$3-$O$2,$Q$2)/$Q$2))</f>
        <v>944.798203125</v>
      </c>
      <c r="F191" s="15" t="n">
        <f aca="false">E191*(1+IF(F$3&lt;=$O$2,$D191,$D191-($D191-$I$184)*MIN(F$3-$O$2,$Q$2)/$Q$2))</f>
        <v>1025.99179870605</v>
      </c>
      <c r="G191" s="15" t="n">
        <f aca="false">F191*(1+IF(G$3&lt;=$O$2,$D191,$D191-($D191-$I$184)*MIN(G$3-$O$2,$Q$2)/$Q$2))</f>
        <v>1114.16296890736</v>
      </c>
      <c r="H191" s="15" t="n">
        <f aca="false">G191*(1+IF(H$3&lt;=$O$2,$D191,$D191-($D191-$I$184)*MIN(H$3-$O$2,$Q$2)/$Q$2))</f>
        <v>1209.91134904783</v>
      </c>
      <c r="I191" s="15" t="n">
        <f aca="false">H191*(1+IF(I$3&lt;=$O$2,$D191,$D191-($D191-$I$184)*MIN(I$3-$O$2,$Q$2)/$Q$2))</f>
        <v>1313.88810560663</v>
      </c>
      <c r="J191" s="15" t="n">
        <f aca="false">I191*(1+IF(J$3&lt;=$O$2,$D191,$D191-($D191-$I$184)*MIN(J$3-$O$2,$Q$2)/$Q$2))</f>
        <v>1409.02674333361</v>
      </c>
      <c r="K191" s="15" t="n">
        <f aca="false">J191*(1+IF(K$3&lt;=$O$2,$D191,$D191-($D191-$I$184)*MIN(K$3-$O$2,$Q$2)/$Q$2))</f>
        <v>1491.99376054795</v>
      </c>
      <c r="L191" s="15" t="n">
        <f aca="false">K191*(1+IF(L$3&lt;=$O$2,$D191,$D191-($D191-$I$184)*MIN(L$3-$O$2,$Q$2)/$Q$2))</f>
        <v>1559.6631375576</v>
      </c>
      <c r="M191" s="15" t="n">
        <f aca="false">L191*(1+IF(M$3&lt;=$O$2,$D191,$D191-($D191-$I$184)*MIN(M$3-$O$2,$Q$2)/$Q$2))</f>
        <v>1609.30331606821</v>
      </c>
      <c r="N191" s="15" t="n">
        <f aca="false">M191*(1+IF(N$3&lt;=$O$2,$D191,$D191-($D191-$I$184)*MIN(N$3-$O$2,$Q$2)/$Q$2))</f>
        <v>1638.75356675226</v>
      </c>
      <c r="O191" s="15" t="n">
        <f aca="false">SUMPRODUCT(E191:N191,1/(1+$F$184)^$E$3:$N$3)*$E$2</f>
        <v>1991.60656837682</v>
      </c>
      <c r="P191" s="15" t="n">
        <f aca="false">N191*$E$2*(1+$I$184)/($F$184-$I$184)/(1+$F$184)^$N$3</f>
        <v>3414.00551937686</v>
      </c>
      <c r="Q191" s="15" t="n">
        <f aca="false">O191+P191</f>
        <v>5405.61208775369</v>
      </c>
      <c r="R191" s="15" t="n">
        <f aca="false">Q191-$G$2+$I$2</f>
        <v>5573.01208775369</v>
      </c>
      <c r="S191" s="42" t="n">
        <f aca="false">R191/$K$2</f>
        <v>158.369198287971</v>
      </c>
      <c r="T191" s="43" t="n">
        <f aca="false">S191-$M$2</f>
        <v>-6.16618108116839</v>
      </c>
    </row>
    <row r="192" customFormat="false" ht="15" hidden="false" customHeight="false" outlineLevel="0" collapsed="false">
      <c r="A192" s="5" t="n">
        <v>7</v>
      </c>
      <c r="B192" s="25" t="n">
        <f aca="false">IF(T191&gt;0,B191,D191)</f>
        <v>0.0859375</v>
      </c>
      <c r="C192" s="25" t="n">
        <f aca="false">IF(T191&gt;0,D191,C191)</f>
        <v>0.109375</v>
      </c>
      <c r="D192" s="41" t="n">
        <f aca="false">(B192+C192)/2</f>
        <v>0.09765625</v>
      </c>
      <c r="E192" s="15" t="n">
        <f aca="false">$C$2*(1+IF(E$3&lt;=$O$2,$D192,$D192-($D192-$I$184)*MIN(E$3-$O$2,$Q$2)/$Q$2))</f>
        <v>954.9938671875</v>
      </c>
      <c r="F192" s="15" t="n">
        <f aca="false">E192*(1+IF(F$3&lt;=$O$2,$D192,$D192-($D192-$I$184)*MIN(F$3-$O$2,$Q$2)/$Q$2))</f>
        <v>1048.25498703003</v>
      </c>
      <c r="G192" s="15" t="n">
        <f aca="false">F192*(1+IF(G$3&lt;=$O$2,$D192,$D192-($D192-$I$184)*MIN(G$3-$O$2,$Q$2)/$Q$2))</f>
        <v>1150.62363810718</v>
      </c>
      <c r="H192" s="15" t="n">
        <f aca="false">G192*(1+IF(H$3&lt;=$O$2,$D192,$D192-($D192-$I$184)*MIN(H$3-$O$2,$Q$2)/$Q$2))</f>
        <v>1262.98922776609</v>
      </c>
      <c r="I192" s="15" t="n">
        <f aca="false">H192*(1+IF(I$3&lt;=$O$2,$D192,$D192-($D192-$I$184)*MIN(I$3-$O$2,$Q$2)/$Q$2))</f>
        <v>1386.32801954012</v>
      </c>
      <c r="J192" s="15" t="n">
        <f aca="false">I192*(1+IF(J$3&lt;=$O$2,$D192,$D192-($D192-$I$184)*MIN(J$3-$O$2,$Q$2)/$Q$2))</f>
        <v>1499.70885661821</v>
      </c>
      <c r="K192" s="15" t="n">
        <f aca="false">J192*(1+IF(K$3&lt;=$O$2,$D192,$D192-($D192-$I$184)*MIN(K$3-$O$2,$Q$2)/$Q$2))</f>
        <v>1598.56029126612</v>
      </c>
      <c r="L192" s="15" t="n">
        <f aca="false">K192*(1+IF(L$3&lt;=$O$2,$D192,$D192-($D192-$I$184)*MIN(L$3-$O$2,$Q$2)/$Q$2))</f>
        <v>1678.55624464181</v>
      </c>
      <c r="M192" s="15" t="n">
        <f aca="false">L192*(1+IF(M$3&lt;=$O$2,$D192,$D192-($D192-$I$184)*MIN(M$3-$O$2,$Q$2)/$Q$2))</f>
        <v>1735.91460971652</v>
      </c>
      <c r="N192" s="15" t="n">
        <f aca="false">M192*(1+IF(N$3&lt;=$O$2,$D192,$D192-($D192-$I$184)*MIN(N$3-$O$2,$Q$2)/$Q$2))</f>
        <v>1767.68184707434</v>
      </c>
      <c r="O192" s="15" t="n">
        <f aca="false">SUMPRODUCT(E192:N192,1/(1+$F$184)^$E$3:$N$3)*$E$2</f>
        <v>2097.42203187169</v>
      </c>
      <c r="P192" s="15" t="n">
        <f aca="false">N192*$E$2*(1+$I$184)/($F$184-$I$184)/(1+$F$184)^$N$3</f>
        <v>3682.60103584348</v>
      </c>
      <c r="Q192" s="15" t="n">
        <f aca="false">O192+P192</f>
        <v>5780.02306771517</v>
      </c>
      <c r="R192" s="15" t="n">
        <f aca="false">Q192-$G$2+$I$2</f>
        <v>5947.42306771517</v>
      </c>
      <c r="S192" s="42" t="n">
        <f aca="false">R192/$K$2</f>
        <v>169.008896496595</v>
      </c>
      <c r="T192" s="43" t="n">
        <f aca="false">S192-$M$2</f>
        <v>4.47351712745581</v>
      </c>
    </row>
    <row r="193" customFormat="false" ht="15" hidden="false" customHeight="false" outlineLevel="0" collapsed="false">
      <c r="A193" s="5" t="n">
        <v>8</v>
      </c>
      <c r="B193" s="25" t="n">
        <f aca="false">IF(T192&gt;0,B192,D192)</f>
        <v>0.0859375</v>
      </c>
      <c r="C193" s="25" t="n">
        <f aca="false">IF(T192&gt;0,D192,C192)</f>
        <v>0.09765625</v>
      </c>
      <c r="D193" s="41" t="n">
        <f aca="false">(B193+C193)/2</f>
        <v>0.091796875</v>
      </c>
      <c r="E193" s="15" t="n">
        <f aca="false">$C$2*(1+IF(E$3&lt;=$O$2,$D193,$D193-($D193-$I$184)*MIN(E$3-$O$2,$Q$2)/$Q$2))</f>
        <v>949.89603515625</v>
      </c>
      <c r="F193" s="15" t="n">
        <f aca="false">E193*(1+IF(F$3&lt;=$O$2,$D193,$D193-($D193-$I$184)*MIN(F$3-$O$2,$Q$2)/$Q$2))</f>
        <v>1037.09352275848</v>
      </c>
      <c r="G193" s="15" t="n">
        <f aca="false">F193*(1+IF(G$3&lt;=$O$2,$D193,$D193-($D193-$I$184)*MIN(G$3-$O$2,$Q$2)/$Q$2))</f>
        <v>1132.29546723045</v>
      </c>
      <c r="H193" s="15" t="n">
        <f aca="false">G193*(1+IF(H$3&lt;=$O$2,$D193,$D193-($D193-$I$184)*MIN(H$3-$O$2,$Q$2)/$Q$2))</f>
        <v>1236.23665269887</v>
      </c>
      <c r="I193" s="15" t="n">
        <f aca="false">H193*(1+IF(I$3&lt;=$O$2,$D193,$D193-($D193-$I$184)*MIN(I$3-$O$2,$Q$2)/$Q$2))</f>
        <v>1349.71931417709</v>
      </c>
      <c r="J193" s="15" t="n">
        <f aca="false">I193*(1+IF(J$3&lt;=$O$2,$D193,$D193-($D193-$I$184)*MIN(J$3-$O$2,$Q$2)/$Q$2))</f>
        <v>1453.77929900186</v>
      </c>
      <c r="K193" s="15" t="n">
        <f aca="false">J193*(1+IF(K$3&lt;=$O$2,$D193,$D193-($D193-$I$184)*MIN(K$3-$O$2,$Q$2)/$Q$2))</f>
        <v>1544.49240142339</v>
      </c>
      <c r="L193" s="15" t="n">
        <f aca="false">K193*(1+IF(L$3&lt;=$O$2,$D193,$D193-($D193-$I$184)*MIN(L$3-$O$2,$Q$2)/$Q$2))</f>
        <v>1618.16275835578</v>
      </c>
      <c r="M193" s="15" t="n">
        <f aca="false">L193*(1+IF(M$3&lt;=$O$2,$D193,$D193-($D193-$I$184)*MIN(M$3-$O$2,$Q$2)/$Q$2))</f>
        <v>1671.5611180298</v>
      </c>
      <c r="N193" s="15" t="n">
        <f aca="false">M193*(1+IF(N$3&lt;=$O$2,$D193,$D193-($D193-$I$184)*MIN(N$3-$O$2,$Q$2)/$Q$2))</f>
        <v>1702.15068648975</v>
      </c>
      <c r="O193" s="15" t="n">
        <f aca="false">SUMPRODUCT(E193:N193,1/(1+$F$184)^$E$3:$N$3)*$E$2</f>
        <v>2043.83608587243</v>
      </c>
      <c r="P193" s="15" t="n">
        <f aca="false">N193*$E$2*(1+$I$184)/($F$184-$I$184)/(1+$F$184)^$N$3</f>
        <v>3546.08036033377</v>
      </c>
      <c r="Q193" s="15" t="n">
        <f aca="false">O193+P193</f>
        <v>5589.9164462062</v>
      </c>
      <c r="R193" s="15" t="n">
        <f aca="false">Q193-$G$2+$I$2</f>
        <v>5757.3164462062</v>
      </c>
      <c r="S193" s="42" t="n">
        <f aca="false">R193/$K$2</f>
        <v>163.606605461955</v>
      </c>
      <c r="T193" s="43" t="n">
        <f aca="false">S193-$M$2</f>
        <v>-0.928773907183881</v>
      </c>
    </row>
    <row r="194" customFormat="false" ht="15" hidden="false" customHeight="false" outlineLevel="0" collapsed="false">
      <c r="A194" s="5" t="n">
        <v>9</v>
      </c>
      <c r="B194" s="25" t="n">
        <f aca="false">IF(T193&gt;0,B193,D193)</f>
        <v>0.091796875</v>
      </c>
      <c r="C194" s="25" t="n">
        <f aca="false">IF(T193&gt;0,D193,C193)</f>
        <v>0.09765625</v>
      </c>
      <c r="D194" s="41" t="n">
        <f aca="false">(B194+C194)/2</f>
        <v>0.0947265625</v>
      </c>
      <c r="E194" s="15" t="n">
        <f aca="false">$C$2*(1+IF(E$3&lt;=$O$2,$D194,$D194-($D194-$I$184)*MIN(E$3-$O$2,$Q$2)/$Q$2))</f>
        <v>952.444951171875</v>
      </c>
      <c r="F194" s="15" t="n">
        <f aca="false">E194*(1+IF(F$3&lt;=$O$2,$D194,$D194-($D194-$I$184)*MIN(F$3-$O$2,$Q$2)/$Q$2))</f>
        <v>1042.66678736687</v>
      </c>
      <c r="G194" s="15" t="n">
        <f aca="false">F194*(1+IF(G$3&lt;=$O$2,$D194,$D194-($D194-$I$184)*MIN(G$3-$O$2,$Q$2)/$Q$2))</f>
        <v>1141.43502796705</v>
      </c>
      <c r="H194" s="15" t="n">
        <f aca="false">G194*(1+IF(H$3&lt;=$O$2,$D194,$D194-($D194-$I$184)*MIN(H$3-$O$2,$Q$2)/$Q$2))</f>
        <v>1249.55924448346</v>
      </c>
      <c r="I194" s="15" t="n">
        <f aca="false">H194*(1+IF(I$3&lt;=$O$2,$D194,$D194-($D194-$I$184)*MIN(I$3-$O$2,$Q$2)/$Q$2))</f>
        <v>1367.92569635347</v>
      </c>
      <c r="J194" s="15" t="n">
        <f aca="false">I194*(1+IF(J$3&lt;=$O$2,$D194,$D194-($D194-$I$184)*MIN(J$3-$O$2,$Q$2)/$Q$2))</f>
        <v>1476.59542357891</v>
      </c>
      <c r="K194" s="15" t="n">
        <f aca="false">J194*(1+IF(K$3&lt;=$O$2,$D194,$D194-($D194-$I$184)*MIN(K$3-$O$2,$Q$2)/$Q$2))</f>
        <v>1571.32778728683</v>
      </c>
      <c r="L194" s="15" t="n">
        <f aca="false">K194*(1+IF(L$3&lt;=$O$2,$D194,$D194-($D194-$I$184)*MIN(L$3-$O$2,$Q$2)/$Q$2))</f>
        <v>1648.1195583314</v>
      </c>
      <c r="M194" s="15" t="n">
        <f aca="false">L194*(1+IF(M$3&lt;=$O$2,$D194,$D194-($D194-$I$184)*MIN(M$3-$O$2,$Q$2)/$Q$2))</f>
        <v>1703.47216873533</v>
      </c>
      <c r="N194" s="15" t="n">
        <f aca="false">M194*(1+IF(N$3&lt;=$O$2,$D194,$D194-($D194-$I$184)*MIN(N$3-$O$2,$Q$2)/$Q$2))</f>
        <v>1734.64570942318</v>
      </c>
      <c r="O194" s="15" t="n">
        <f aca="false">SUMPRODUCT(E194:N194,1/(1+$F$184)^$E$3:$N$3)*$E$2</f>
        <v>2070.45749333233</v>
      </c>
      <c r="P194" s="15" t="n">
        <f aca="false">N194*$E$2*(1+$I$184)/($F$184-$I$184)/(1+$F$184)^$N$3</f>
        <v>3613.77704755862</v>
      </c>
      <c r="Q194" s="15" t="n">
        <f aca="false">O194+P194</f>
        <v>5684.23454089094</v>
      </c>
      <c r="R194" s="15" t="n">
        <f aca="false">Q194-$G$2+$I$2</f>
        <v>5851.63454089094</v>
      </c>
      <c r="S194" s="42" t="n">
        <f aca="false">R194/$K$2</f>
        <v>166.28685822367</v>
      </c>
      <c r="T194" s="43" t="n">
        <f aca="false">S194-$M$2</f>
        <v>1.75147885453089</v>
      </c>
    </row>
    <row r="195" customFormat="false" ht="15" hidden="false" customHeight="false" outlineLevel="0" collapsed="false">
      <c r="A195" s="5" t="n">
        <v>10</v>
      </c>
      <c r="B195" s="25" t="n">
        <f aca="false">IF(T194&gt;0,B194,D194)</f>
        <v>0.091796875</v>
      </c>
      <c r="C195" s="25" t="n">
        <f aca="false">IF(T194&gt;0,D194,C194)</f>
        <v>0.0947265625</v>
      </c>
      <c r="D195" s="41" t="n">
        <f aca="false">(B195+C195)/2</f>
        <v>0.09326171875</v>
      </c>
      <c r="E195" s="15" t="n">
        <f aca="false">$C$2*(1+IF(E$3&lt;=$O$2,$D195,$D195-($D195-$I$184)*MIN(E$3-$O$2,$Q$2)/$Q$2))</f>
        <v>951.170493164063</v>
      </c>
      <c r="F195" s="15" t="n">
        <f aca="false">E195*(1+IF(F$3&lt;=$O$2,$D195,$D195-($D195-$I$184)*MIN(F$3-$O$2,$Q$2)/$Q$2))</f>
        <v>1039.87828818083</v>
      </c>
      <c r="G195" s="15" t="n">
        <f aca="false">F195*(1+IF(G$3&lt;=$O$2,$D195,$D195-($D195-$I$184)*MIN(G$3-$O$2,$Q$2)/$Q$2))</f>
        <v>1136.85912462738</v>
      </c>
      <c r="H195" s="15" t="n">
        <f aca="false">G195*(1+IF(H$3&lt;=$O$2,$D195,$D195-($D195-$I$184)*MIN(H$3-$O$2,$Q$2)/$Q$2))</f>
        <v>1242.88456056675</v>
      </c>
      <c r="I195" s="15" t="n">
        <f aca="false">H195*(1+IF(I$3&lt;=$O$2,$D195,$D195-($D195-$I$184)*MIN(I$3-$O$2,$Q$2)/$Q$2))</f>
        <v>1358.79811089304</v>
      </c>
      <c r="J195" s="15" t="n">
        <f aca="false">I195*(1+IF(J$3&lt;=$O$2,$D195,$D195-($D195-$I$184)*MIN(J$3-$O$2,$Q$2)/$Q$2))</f>
        <v>1465.15038978382</v>
      </c>
      <c r="K195" s="15" t="n">
        <f aca="false">J195*(1+IF(K$3&lt;=$O$2,$D195,$D195-($D195-$I$184)*MIN(K$3-$O$2,$Q$2)/$Q$2))</f>
        <v>1557.86075678412</v>
      </c>
      <c r="L195" s="15" t="n">
        <f aca="false">K195*(1+IF(L$3&lt;=$O$2,$D195,$D195-($D195-$I$184)*MIN(L$3-$O$2,$Q$2)/$Q$2))</f>
        <v>1633.08157659396</v>
      </c>
      <c r="M195" s="15" t="n">
        <f aca="false">L195*(1+IF(M$3&lt;=$O$2,$D195,$D195-($D195-$I$184)*MIN(M$3-$O$2,$Q$2)/$Q$2))</f>
        <v>1687.45068981372</v>
      </c>
      <c r="N195" s="15" t="n">
        <f aca="false">M195*(1+IF(N$3&lt;=$O$2,$D195,$D195-($D195-$I$184)*MIN(N$3-$O$2,$Q$2)/$Q$2))</f>
        <v>1718.33103743731</v>
      </c>
      <c r="O195" s="15" t="n">
        <f aca="false">SUMPRODUCT(E195:N195,1/(1+$F$184)^$E$3:$N$3)*$E$2</f>
        <v>2057.10415132468</v>
      </c>
      <c r="P195" s="15" t="n">
        <f aca="false">N195*$E$2*(1+$I$184)/($F$184-$I$184)/(1+$F$184)^$N$3</f>
        <v>3579.7887888377</v>
      </c>
      <c r="Q195" s="15" t="n">
        <f aca="false">O195+P195</f>
        <v>5636.89294016238</v>
      </c>
      <c r="R195" s="15" t="n">
        <f aca="false">Q195-$G$2+$I$2</f>
        <v>5804.29294016238</v>
      </c>
      <c r="S195" s="42" t="n">
        <f aca="false">R195/$K$2</f>
        <v>164.941544193304</v>
      </c>
      <c r="T195" s="43" t="n">
        <f aca="false">S195-$M$2</f>
        <v>0.406164824165415</v>
      </c>
    </row>
    <row r="196" customFormat="false" ht="15" hidden="false" customHeight="false" outlineLevel="0" collapsed="false">
      <c r="A196" s="5" t="n">
        <v>11</v>
      </c>
      <c r="B196" s="25" t="n">
        <f aca="false">IF(T195&gt;0,B195,D195)</f>
        <v>0.091796875</v>
      </c>
      <c r="C196" s="25" t="n">
        <f aca="false">IF(T195&gt;0,D195,C195)</f>
        <v>0.09326171875</v>
      </c>
      <c r="D196" s="41" t="n">
        <f aca="false">(B196+C196)/2</f>
        <v>0.092529296875</v>
      </c>
      <c r="E196" s="15" t="n">
        <f aca="false">$C$2*(1+IF(E$3&lt;=$O$2,$D196,$D196-($D196-$I$184)*MIN(E$3-$O$2,$Q$2)/$Q$2))</f>
        <v>950.533264160156</v>
      </c>
      <c r="F196" s="15" t="n">
        <f aca="false">E196*(1+IF(F$3&lt;=$O$2,$D196,$D196-($D196-$I$184)*MIN(F$3-$O$2,$Q$2)/$Q$2))</f>
        <v>1038.48543874919</v>
      </c>
      <c r="G196" s="15" t="n">
        <f aca="false">F196*(1+IF(G$3&lt;=$O$2,$D196,$D196-($D196-$I$184)*MIN(G$3-$O$2,$Q$2)/$Q$2))</f>
        <v>1134.57576621158</v>
      </c>
      <c r="H196" s="15" t="n">
        <f aca="false">G196*(1+IF(H$3&lt;=$O$2,$D196,$D196-($D196-$I$184)*MIN(H$3-$O$2,$Q$2)/$Q$2))</f>
        <v>1239.55726411056</v>
      </c>
      <c r="I196" s="15" t="n">
        <f aca="false">H196*(1+IF(I$3&lt;=$O$2,$D196,$D196-($D196-$I$184)*MIN(I$3-$O$2,$Q$2)/$Q$2))</f>
        <v>1354.252626195</v>
      </c>
      <c r="J196" s="15" t="n">
        <f aca="false">I196*(1+IF(J$3&lt;=$O$2,$D196,$D196-($D196-$I$184)*MIN(J$3-$O$2,$Q$2)/$Q$2))</f>
        <v>1459.45562544123</v>
      </c>
      <c r="K196" s="15" t="n">
        <f aca="false">J196*(1+IF(K$3&lt;=$O$2,$D196,$D196-($D196-$I$184)*MIN(K$3-$O$2,$Q$2)/$Q$2))</f>
        <v>1551.16428232487</v>
      </c>
      <c r="L196" s="15" t="n">
        <f aca="false">K196*(1+IF(L$3&lt;=$O$2,$D196,$D196-($D196-$I$184)*MIN(L$3-$O$2,$Q$2)/$Q$2))</f>
        <v>1625.60732229725</v>
      </c>
      <c r="M196" s="15" t="n">
        <f aca="false">L196*(1+IF(M$3&lt;=$O$2,$D196,$D196-($D196-$I$184)*MIN(M$3-$O$2,$Q$2)/$Q$2))</f>
        <v>1679.48947400108</v>
      </c>
      <c r="N196" s="15" t="n">
        <f aca="false">M196*(1+IF(N$3&lt;=$O$2,$D196,$D196-($D196-$I$184)*MIN(N$3-$O$2,$Q$2)/$Q$2))</f>
        <v>1710.2241313753</v>
      </c>
      <c r="O196" s="15" t="n">
        <f aca="false">SUMPRODUCT(E196:N196,1/(1+$F$184)^$E$3:$N$3)*$E$2</f>
        <v>2050.45949052612</v>
      </c>
      <c r="P196" s="15" t="n">
        <f aca="false">N196*$E$2*(1+$I$184)/($F$184-$I$184)/(1+$F$184)^$N$3</f>
        <v>3562.8997198512</v>
      </c>
      <c r="Q196" s="15" t="n">
        <f aca="false">O196+P196</f>
        <v>5613.35921037732</v>
      </c>
      <c r="R196" s="15" t="n">
        <f aca="false">Q196-$G$2+$I$2</f>
        <v>5780.75921037732</v>
      </c>
      <c r="S196" s="42" t="n">
        <f aca="false">R196/$K$2</f>
        <v>164.272782335246</v>
      </c>
      <c r="T196" s="43" t="n">
        <f aca="false">S196-$M$2</f>
        <v>-0.262597033892746</v>
      </c>
    </row>
    <row r="197" customFormat="false" ht="15" hidden="false" customHeight="false" outlineLevel="0" collapsed="false">
      <c r="A197" s="5" t="n">
        <v>12</v>
      </c>
      <c r="B197" s="25" t="n">
        <f aca="false">IF(T196&gt;0,B196,D196)</f>
        <v>0.092529296875</v>
      </c>
      <c r="C197" s="25" t="n">
        <f aca="false">IF(T196&gt;0,D196,C196)</f>
        <v>0.09326171875</v>
      </c>
      <c r="D197" s="41" t="n">
        <f aca="false">(B197+C197)/2</f>
        <v>0.0928955078125</v>
      </c>
      <c r="E197" s="15" t="n">
        <f aca="false">$C$2*(1+IF(E$3&lt;=$O$2,$D197,$D197-($D197-$I$184)*MIN(E$3-$O$2,$Q$2)/$Q$2))</f>
        <v>950.851878662109</v>
      </c>
      <c r="F197" s="15" t="n">
        <f aca="false">E197*(1+IF(F$3&lt;=$O$2,$D197,$D197-($D197-$I$184)*MIN(F$3-$O$2,$Q$2)/$Q$2))</f>
        <v>1039.1817467849</v>
      </c>
      <c r="G197" s="15" t="n">
        <f aca="false">F197*(1+IF(G$3&lt;=$O$2,$D197,$D197-($D197-$I$184)*MIN(G$3-$O$2,$Q$2)/$Q$2))</f>
        <v>1135.71706286196</v>
      </c>
      <c r="H197" s="15" t="n">
        <f aca="false">G197*(1+IF(H$3&lt;=$O$2,$D197,$D197-($D197-$I$184)*MIN(H$3-$O$2,$Q$2)/$Q$2))</f>
        <v>1241.22007614784</v>
      </c>
      <c r="I197" s="15" t="n">
        <f aca="false">H197*(1+IF(I$3&lt;=$O$2,$D197,$D197-($D197-$I$184)*MIN(I$3-$O$2,$Q$2)/$Q$2))</f>
        <v>1356.52384542867</v>
      </c>
      <c r="J197" s="15" t="n">
        <f aca="false">I197*(1+IF(J$3&lt;=$O$2,$D197,$D197-($D197-$I$184)*MIN(J$3-$O$2,$Q$2)/$Q$2))</f>
        <v>1462.30069988762</v>
      </c>
      <c r="K197" s="15" t="n">
        <f aca="false">J197*(1+IF(K$3&lt;=$O$2,$D197,$D197-($D197-$I$184)*MIN(K$3-$O$2,$Q$2)/$Q$2))</f>
        <v>1554.50944066518</v>
      </c>
      <c r="L197" s="15" t="n">
        <f aca="false">K197*(1+IF(L$3&lt;=$O$2,$D197,$D197-($D197-$I$184)*MIN(L$3-$O$2,$Q$2)/$Q$2))</f>
        <v>1629.34073187965</v>
      </c>
      <c r="M197" s="15" t="n">
        <f aca="false">L197*(1+IF(M$3&lt;=$O$2,$D197,$D197-($D197-$I$184)*MIN(M$3-$O$2,$Q$2)/$Q$2))</f>
        <v>1683.46596713188</v>
      </c>
      <c r="N197" s="15" t="n">
        <f aca="false">M197*(1+IF(N$3&lt;=$O$2,$D197,$D197-($D197-$I$184)*MIN(N$3-$O$2,$Q$2)/$Q$2))</f>
        <v>1714.27339433039</v>
      </c>
      <c r="O197" s="15" t="n">
        <f aca="false">SUMPRODUCT(E197:N197,1/(1+$F$184)^$E$3:$N$3)*$E$2</f>
        <v>2053.77915997646</v>
      </c>
      <c r="P197" s="15" t="n">
        <f aca="false">N197*$E$2*(1+$I$184)/($F$184-$I$184)/(1+$F$184)^$N$3</f>
        <v>3571.33552518433</v>
      </c>
      <c r="Q197" s="15" t="n">
        <f aca="false">O197+P197</f>
        <v>5625.11468516079</v>
      </c>
      <c r="R197" s="15" t="n">
        <f aca="false">Q197-$G$2+$I$2</f>
        <v>5792.51468516079</v>
      </c>
      <c r="S197" s="42" t="n">
        <f aca="false">R197/$K$2</f>
        <v>164.606839589679</v>
      </c>
      <c r="T197" s="43" t="n">
        <f aca="false">S197-$M$2</f>
        <v>0.0714602205395636</v>
      </c>
    </row>
    <row r="198" customFormat="false" ht="15" hidden="false" customHeight="false" outlineLevel="0" collapsed="false">
      <c r="A198" s="5" t="n">
        <v>13</v>
      </c>
      <c r="B198" s="25" t="n">
        <f aca="false">IF(T197&gt;0,B197,D197)</f>
        <v>0.092529296875</v>
      </c>
      <c r="C198" s="25" t="n">
        <f aca="false">IF(T197&gt;0,D197,C197)</f>
        <v>0.0928955078125</v>
      </c>
      <c r="D198" s="41" t="n">
        <f aca="false">(B198+C198)/2</f>
        <v>0.09271240234375</v>
      </c>
      <c r="E198" s="15" t="n">
        <f aca="false">$C$2*(1+IF(E$3&lt;=$O$2,$D198,$D198-($D198-$I$184)*MIN(E$3-$O$2,$Q$2)/$Q$2))</f>
        <v>950.692571411133</v>
      </c>
      <c r="F198" s="15" t="n">
        <f aca="false">E198*(1+IF(F$3&lt;=$O$2,$D198,$D198-($D198-$I$184)*MIN(F$3-$O$2,$Q$2)/$Q$2))</f>
        <v>1038.83356359702</v>
      </c>
      <c r="G198" s="15" t="n">
        <f aca="false">F198*(1+IF(G$3&lt;=$O$2,$D198,$D198-($D198-$I$184)*MIN(G$3-$O$2,$Q$2)/$Q$2))</f>
        <v>1135.14631891341</v>
      </c>
      <c r="H198" s="15" t="n">
        <f aca="false">G198*(1+IF(H$3&lt;=$O$2,$D198,$D198-($D198-$I$184)*MIN(H$3-$O$2,$Q$2)/$Q$2))</f>
        <v>1240.38846115154</v>
      </c>
      <c r="I198" s="15" t="n">
        <f aca="false">H198*(1+IF(I$3&lt;=$O$2,$D198,$D198-($D198-$I$184)*MIN(I$3-$O$2,$Q$2)/$Q$2))</f>
        <v>1355.38785522437</v>
      </c>
      <c r="J198" s="15" t="n">
        <f aca="false">I198*(1+IF(J$3&lt;=$O$2,$D198,$D198-($D198-$I$184)*MIN(J$3-$O$2,$Q$2)/$Q$2))</f>
        <v>1460.8775861068</v>
      </c>
      <c r="K198" s="15" t="n">
        <f aca="false">J198*(1+IF(K$3&lt;=$O$2,$D198,$D198-($D198-$I$184)*MIN(K$3-$O$2,$Q$2)/$Q$2))</f>
        <v>1552.83609235997</v>
      </c>
      <c r="L198" s="15" t="n">
        <f aca="false">K198*(1+IF(L$3&lt;=$O$2,$D198,$D198-($D198-$I$184)*MIN(L$3-$O$2,$Q$2)/$Q$2))</f>
        <v>1627.47309848159</v>
      </c>
      <c r="M198" s="15" t="n">
        <f aca="false">L198*(1+IF(M$3&lt;=$O$2,$D198,$D198-($D198-$I$184)*MIN(M$3-$O$2,$Q$2)/$Q$2))</f>
        <v>1681.47669278537</v>
      </c>
      <c r="N198" s="15" t="n">
        <f aca="false">M198*(1+IF(N$3&lt;=$O$2,$D198,$D198-($D198-$I$184)*MIN(N$3-$O$2,$Q$2)/$Q$2))</f>
        <v>1712.24771626334</v>
      </c>
      <c r="O198" s="15" t="n">
        <f aca="false">SUMPRODUCT(E198:N198,1/(1+$F$184)^$E$3:$N$3)*$E$2</f>
        <v>2052.1186605058</v>
      </c>
      <c r="P198" s="15" t="n">
        <f aca="false">N198*$E$2*(1+$I$184)/($F$184-$I$184)/(1+$F$184)^$N$3</f>
        <v>3567.11544216409</v>
      </c>
      <c r="Q198" s="15" t="n">
        <f aca="false">O198+P198</f>
        <v>5619.23410266989</v>
      </c>
      <c r="R198" s="15" t="n">
        <f aca="false">Q198-$G$2+$I$2</f>
        <v>5786.6341026699</v>
      </c>
      <c r="S198" s="42" t="n">
        <f aca="false">R198/$K$2</f>
        <v>164.439730112813</v>
      </c>
      <c r="T198" s="43" t="n">
        <f aca="false">S198-$M$2</f>
        <v>-0.0956492563258564</v>
      </c>
    </row>
    <row r="199" customFormat="false" ht="15" hidden="false" customHeight="false" outlineLevel="0" collapsed="false">
      <c r="A199" s="5" t="n">
        <v>14</v>
      </c>
      <c r="B199" s="25" t="n">
        <f aca="false">IF(T198&gt;0,B198,D198)</f>
        <v>0.09271240234375</v>
      </c>
      <c r="C199" s="25" t="n">
        <f aca="false">IF(T198&gt;0,D198,C198)</f>
        <v>0.0928955078125</v>
      </c>
      <c r="D199" s="41" t="n">
        <f aca="false">(B199+C199)/2</f>
        <v>0.092803955078125</v>
      </c>
      <c r="E199" s="15" t="n">
        <f aca="false">$C$2*(1+IF(E$3&lt;=$O$2,$D199,$D199-($D199-$I$184)*MIN(E$3-$O$2,$Q$2)/$Q$2))</f>
        <v>950.772225036621</v>
      </c>
      <c r="F199" s="15" t="n">
        <f aca="false">E199*(1+IF(F$3&lt;=$O$2,$D199,$D199-($D199-$I$184)*MIN(F$3-$O$2,$Q$2)/$Q$2))</f>
        <v>1039.00764789845</v>
      </c>
      <c r="G199" s="15" t="n">
        <f aca="false">F199*(1+IF(G$3&lt;=$O$2,$D199,$D199-($D199-$I$184)*MIN(G$3-$O$2,$Q$2)/$Q$2))</f>
        <v>1135.43166697984</v>
      </c>
      <c r="H199" s="15" t="n">
        <f aca="false">G199*(1+IF(H$3&lt;=$O$2,$D199,$D199-($D199-$I$184)*MIN(H$3-$O$2,$Q$2)/$Q$2))</f>
        <v>1240.80421639652</v>
      </c>
      <c r="I199" s="15" t="n">
        <f aca="false">H199*(1+IF(I$3&lt;=$O$2,$D199,$D199-($D199-$I$184)*MIN(I$3-$O$2,$Q$2)/$Q$2))</f>
        <v>1355.95575515573</v>
      </c>
      <c r="J199" s="15" t="n">
        <f aca="false">I199*(1+IF(J$3&lt;=$O$2,$D199,$D199-($D199-$I$184)*MIN(J$3-$O$2,$Q$2)/$Q$2))</f>
        <v>1461.58899881112</v>
      </c>
      <c r="K199" s="15" t="n">
        <f aca="false">J199*(1+IF(K$3&lt;=$O$2,$D199,$D199-($D199-$I$184)*MIN(K$3-$O$2,$Q$2)/$Q$2))</f>
        <v>1553.67257415543</v>
      </c>
      <c r="L199" s="15" t="n">
        <f aca="false">K199*(1+IF(L$3&lt;=$O$2,$D199,$D199-($D199-$I$184)*MIN(L$3-$O$2,$Q$2)/$Q$2))</f>
        <v>1628.40668293087</v>
      </c>
      <c r="M199" s="15" t="n">
        <f aca="false">L199*(1+IF(M$3&lt;=$O$2,$D199,$D199-($D199-$I$184)*MIN(M$3-$O$2,$Q$2)/$Q$2))</f>
        <v>1682.4710728993</v>
      </c>
      <c r="N199" s="15" t="n">
        <f aca="false">M199*(1+IF(N$3&lt;=$O$2,$D199,$D199-($D199-$I$184)*MIN(N$3-$O$2,$Q$2)/$Q$2))</f>
        <v>1713.26029353336</v>
      </c>
      <c r="O199" s="15" t="n">
        <f aca="false">SUMPRODUCT(E199:N199,1/(1+$F$184)^$E$3:$N$3)*$E$2</f>
        <v>2052.94874399332</v>
      </c>
      <c r="P199" s="15" t="n">
        <f aca="false">N199*$E$2*(1+$I$184)/($F$184-$I$184)/(1+$F$184)^$N$3</f>
        <v>3569.22493834386</v>
      </c>
      <c r="Q199" s="15" t="n">
        <f aca="false">O199+P199</f>
        <v>5622.17368233718</v>
      </c>
      <c r="R199" s="15" t="n">
        <f aca="false">Q199-$G$2+$I$2</f>
        <v>5789.57368233718</v>
      </c>
      <c r="S199" s="42" t="n">
        <f aca="false">R199/$K$2</f>
        <v>164.523264630212</v>
      </c>
      <c r="T199" s="43" t="n">
        <f aca="false">S199-$M$2</f>
        <v>-0.0121147389265559</v>
      </c>
    </row>
    <row r="200" customFormat="false" ht="15" hidden="false" customHeight="false" outlineLevel="0" collapsed="false">
      <c r="A200" s="5" t="n">
        <v>15</v>
      </c>
      <c r="B200" s="25" t="n">
        <f aca="false">IF(T199&gt;0,B199,D199)</f>
        <v>0.092803955078125</v>
      </c>
      <c r="C200" s="25" t="n">
        <f aca="false">IF(T199&gt;0,D199,C199)</f>
        <v>0.0928955078125</v>
      </c>
      <c r="D200" s="41" t="n">
        <f aca="false">(B200+C200)/2</f>
        <v>0.0928497314453125</v>
      </c>
      <c r="E200" s="15" t="n">
        <f aca="false">$C$2*(1+IF(E$3&lt;=$O$2,$D200,$D200-($D200-$I$184)*MIN(E$3-$O$2,$Q$2)/$Q$2))</f>
        <v>950.812051849365</v>
      </c>
      <c r="F200" s="15" t="n">
        <f aca="false">E200*(1+IF(F$3&lt;=$O$2,$D200,$D200-($D200-$I$184)*MIN(F$3-$O$2,$Q$2)/$Q$2))</f>
        <v>1039.09469551855</v>
      </c>
      <c r="G200" s="15" t="n">
        <f aca="false">F200*(1+IF(G$3&lt;=$O$2,$D200,$D200-($D200-$I$184)*MIN(G$3-$O$2,$Q$2)/$Q$2))</f>
        <v>1135.57435894369</v>
      </c>
      <c r="H200" s="15" t="n">
        <f aca="false">G200*(1+IF(H$3&lt;=$O$2,$D200,$D200-($D200-$I$184)*MIN(H$3-$O$2,$Q$2)/$Q$2))</f>
        <v>1241.0121332078</v>
      </c>
      <c r="I200" s="15" t="n">
        <f aca="false">H200*(1+IF(I$3&lt;=$O$2,$D200,$D200-($D200-$I$184)*MIN(I$3-$O$2,$Q$2)/$Q$2))</f>
        <v>1356.23977649651</v>
      </c>
      <c r="J200" s="15" t="n">
        <f aca="false">I200*(1+IF(J$3&lt;=$O$2,$D200,$D200-($D200-$I$184)*MIN(J$3-$O$2,$Q$2)/$Q$2))</f>
        <v>1461.94481329701</v>
      </c>
      <c r="K200" s="15" t="n">
        <f aca="false">J200*(1+IF(K$3&lt;=$O$2,$D200,$D200-($D200-$I$184)*MIN(K$3-$O$2,$Q$2)/$Q$2))</f>
        <v>1554.09095931184</v>
      </c>
      <c r="L200" s="15" t="n">
        <f aca="false">K200*(1+IF(L$3&lt;=$O$2,$D200,$D200-($D200-$I$184)*MIN(L$3-$O$2,$Q$2)/$Q$2))</f>
        <v>1628.87364933056</v>
      </c>
      <c r="M200" s="15" t="n">
        <f aca="false">L200*(1+IF(M$3&lt;=$O$2,$D200,$D200-($D200-$I$184)*MIN(M$3-$O$2,$Q$2)/$Q$2))</f>
        <v>1682.9684557365</v>
      </c>
      <c r="N200" s="15" t="n">
        <f aca="false">M200*(1+IF(N$3&lt;=$O$2,$D200,$D200-($D200-$I$184)*MIN(N$3-$O$2,$Q$2)/$Q$2))</f>
        <v>1713.76677847648</v>
      </c>
      <c r="O200" s="15" t="n">
        <f aca="false">SUMPRODUCT(E200:N200,1/(1+$F$184)^$E$3:$N$3)*$E$2</f>
        <v>2053.36391041525</v>
      </c>
      <c r="P200" s="15" t="n">
        <f aca="false">N200*$E$2*(1+$I$184)/($F$184-$I$184)/(1+$F$184)^$N$3</f>
        <v>3570.28009540125</v>
      </c>
      <c r="Q200" s="15" t="n">
        <f aca="false">O200+P200</f>
        <v>5623.64400581651</v>
      </c>
      <c r="R200" s="15" t="n">
        <f aca="false">Q200-$G$2+$I$2</f>
        <v>5791.04400581651</v>
      </c>
      <c r="S200" s="42" t="n">
        <f aca="false">R200/$K$2</f>
        <v>164.565047053609</v>
      </c>
      <c r="T200" s="43" t="n">
        <f aca="false">S200-$M$2</f>
        <v>0.0296676844701551</v>
      </c>
    </row>
    <row r="201" customFormat="false" ht="15" hidden="false" customHeight="false" outlineLevel="0" collapsed="false">
      <c r="A201" s="5" t="n">
        <v>16</v>
      </c>
      <c r="B201" s="25" t="n">
        <f aca="false">IF(T200&gt;0,B200,D200)</f>
        <v>0.092803955078125</v>
      </c>
      <c r="C201" s="25" t="n">
        <f aca="false">IF(T200&gt;0,D200,C200)</f>
        <v>0.0928497314453125</v>
      </c>
      <c r="D201" s="41" t="n">
        <f aca="false">(B201+C201)/2</f>
        <v>0.0928268432617188</v>
      </c>
      <c r="E201" s="15" t="n">
        <f aca="false">$C$2*(1+IF(E$3&lt;=$O$2,$D201,$D201-($D201-$I$184)*MIN(E$3-$O$2,$Q$2)/$Q$2))</f>
        <v>950.792138442993</v>
      </c>
      <c r="F201" s="15" t="n">
        <f aca="false">E201*(1+IF(F$3&lt;=$O$2,$D201,$D201-($D201-$I$184)*MIN(F$3-$O$2,$Q$2)/$Q$2))</f>
        <v>1039.05117125272</v>
      </c>
      <c r="G201" s="15" t="n">
        <f aca="false">F201*(1+IF(G$3&lt;=$O$2,$D201,$D201-($D201-$I$184)*MIN(G$3-$O$2,$Q$2)/$Q$2))</f>
        <v>1135.5030114675</v>
      </c>
      <c r="H201" s="15" t="n">
        <f aca="false">G201*(1+IF(H$3&lt;=$O$2,$D201,$D201-($D201-$I$184)*MIN(H$3-$O$2,$Q$2)/$Q$2))</f>
        <v>1240.9081715362</v>
      </c>
      <c r="I201" s="15" t="n">
        <f aca="false">H201*(1+IF(I$3&lt;=$O$2,$D201,$D201-($D201-$I$184)*MIN(I$3-$O$2,$Q$2)/$Q$2))</f>
        <v>1356.09775987758</v>
      </c>
      <c r="J201" s="15" t="n">
        <f aca="false">I201*(1+IF(J$3&lt;=$O$2,$D201,$D201-($D201-$I$184)*MIN(J$3-$O$2,$Q$2)/$Q$2))</f>
        <v>1461.76689704171</v>
      </c>
      <c r="K201" s="15" t="n">
        <f aca="false">J201*(1+IF(K$3&lt;=$O$2,$D201,$D201-($D201-$I$184)*MIN(K$3-$O$2,$Q$2)/$Q$2))</f>
        <v>1553.88175471017</v>
      </c>
      <c r="L201" s="15" t="n">
        <f aca="false">K201*(1+IF(L$3&lt;=$O$2,$D201,$D201-($D201-$I$184)*MIN(L$3-$O$2,$Q$2)/$Q$2))</f>
        <v>1628.64015161358</v>
      </c>
      <c r="M201" s="15" t="n">
        <f aca="false">L201*(1+IF(M$3&lt;=$O$2,$D201,$D201-($D201-$I$184)*MIN(M$3-$O$2,$Q$2)/$Q$2))</f>
        <v>1682.71974824991</v>
      </c>
      <c r="N201" s="15" t="n">
        <f aca="false">M201*(1+IF(N$3&lt;=$O$2,$D201,$D201-($D201-$I$184)*MIN(N$3-$O$2,$Q$2)/$Q$2))</f>
        <v>1713.51351964289</v>
      </c>
      <c r="O201" s="15" t="n">
        <f aca="false">SUMPRODUCT(E201:N201,1/(1+$F$184)^$E$3:$N$3)*$E$2</f>
        <v>2053.15631681284</v>
      </c>
      <c r="P201" s="15" t="n">
        <f aca="false">N201*$E$2*(1+$I$184)/($F$184-$I$184)/(1+$F$184)^$N$3</f>
        <v>3569.75248278563</v>
      </c>
      <c r="Q201" s="15" t="n">
        <f aca="false">O201+P201</f>
        <v>5622.90879959846</v>
      </c>
      <c r="R201" s="15" t="n">
        <f aca="false">Q201-$G$2+$I$2</f>
        <v>5790.30879959846</v>
      </c>
      <c r="S201" s="42" t="n">
        <f aca="false">R201/$K$2</f>
        <v>164.544154577961</v>
      </c>
      <c r="T201" s="43" t="n">
        <f aca="false">S201-$M$2</f>
        <v>0.0087752088224704</v>
      </c>
    </row>
    <row r="202" customFormat="false" ht="15" hidden="false" customHeight="false" outlineLevel="0" collapsed="false">
      <c r="A202" s="5" t="n">
        <v>17</v>
      </c>
      <c r="B202" s="25" t="n">
        <f aca="false">IF(T201&gt;0,B201,D201)</f>
        <v>0.092803955078125</v>
      </c>
      <c r="C202" s="25" t="n">
        <f aca="false">IF(T201&gt;0,D201,C201)</f>
        <v>0.0928268432617188</v>
      </c>
      <c r="D202" s="41" t="n">
        <f aca="false">(B202+C202)/2</f>
        <v>0.0928153991699219</v>
      </c>
      <c r="E202" s="15" t="n">
        <f aca="false">$C$2*(1+IF(E$3&lt;=$O$2,$D202,$D202-($D202-$I$184)*MIN(E$3-$O$2,$Q$2)/$Q$2))</f>
        <v>950.782181739807</v>
      </c>
      <c r="F202" s="15" t="n">
        <f aca="false">E202*(1+IF(F$3&lt;=$O$2,$D202,$D202-($D202-$I$184)*MIN(F$3-$O$2,$Q$2)/$Q$2))</f>
        <v>1039.02940946164</v>
      </c>
      <c r="G202" s="15" t="n">
        <f aca="false">F202*(1+IF(G$3&lt;=$O$2,$D202,$D202-($D202-$I$184)*MIN(G$3-$O$2,$Q$2)/$Q$2))</f>
        <v>1135.46733885011</v>
      </c>
      <c r="H202" s="15" t="n">
        <f aca="false">G202*(1+IF(H$3&lt;=$O$2,$D202,$D202-($D202-$I$184)*MIN(H$3-$O$2,$Q$2)/$Q$2))</f>
        <v>1240.85619314989</v>
      </c>
      <c r="I202" s="15" t="n">
        <f aca="false">H202*(1+IF(I$3&lt;=$O$2,$D202,$D202-($D202-$I$184)*MIN(I$3-$O$2,$Q$2)/$Q$2))</f>
        <v>1356.02675602956</v>
      </c>
      <c r="J202" s="15" t="n">
        <f aca="false">I202*(1+IF(J$3&lt;=$O$2,$D202,$D202-($D202-$I$184)*MIN(J$3-$O$2,$Q$2)/$Q$2))</f>
        <v>1461.67794567342</v>
      </c>
      <c r="K202" s="15" t="n">
        <f aca="false">J202*(1+IF(K$3&lt;=$O$2,$D202,$D202-($D202-$I$184)*MIN(K$3-$O$2,$Q$2)/$Q$2))</f>
        <v>1553.77716142707</v>
      </c>
      <c r="L202" s="15" t="n">
        <f aca="false">K202*(1+IF(L$3&lt;=$O$2,$D202,$D202-($D202-$I$184)*MIN(L$3-$O$2,$Q$2)/$Q$2))</f>
        <v>1628.52341364313</v>
      </c>
      <c r="M202" s="15" t="n">
        <f aca="false">L202*(1+IF(M$3&lt;=$O$2,$D202,$D202-($D202-$I$184)*MIN(M$3-$O$2,$Q$2)/$Q$2))</f>
        <v>1682.59540655783</v>
      </c>
      <c r="N202" s="15" t="n">
        <f aca="false">M202*(1+IF(N$3&lt;=$O$2,$D202,$D202-($D202-$I$184)*MIN(N$3-$O$2,$Q$2)/$Q$2))</f>
        <v>1713.38690249784</v>
      </c>
      <c r="O202" s="15" t="n">
        <f aca="false">SUMPRODUCT(E202:N202,1/(1+$F$184)^$E$3:$N$3)*$E$2</f>
        <v>2053.05252780533</v>
      </c>
      <c r="P202" s="15" t="n">
        <f aca="false">N202*$E$2*(1+$I$184)/($F$184-$I$184)/(1+$F$184)^$N$3</f>
        <v>3569.48870204348</v>
      </c>
      <c r="Q202" s="15" t="n">
        <f aca="false">O202+P202</f>
        <v>5622.54122984882</v>
      </c>
      <c r="R202" s="15" t="n">
        <f aca="false">Q202-$G$2+$I$2</f>
        <v>5789.94122984882</v>
      </c>
      <c r="S202" s="42" t="n">
        <f aca="false">R202/$K$2</f>
        <v>164.533709288116</v>
      </c>
      <c r="T202" s="43" t="n">
        <f aca="false">S202-$M$2</f>
        <v>-0.00167008102252453</v>
      </c>
    </row>
    <row r="203" customFormat="false" ht="15" hidden="false" customHeight="false" outlineLevel="0" collapsed="false">
      <c r="A203" s="5" t="n">
        <v>18</v>
      </c>
      <c r="B203" s="25" t="n">
        <f aca="false">IF(T202&gt;0,B202,D202)</f>
        <v>0.0928153991699219</v>
      </c>
      <c r="C203" s="25" t="n">
        <f aca="false">IF(T202&gt;0,D202,C202)</f>
        <v>0.0928268432617188</v>
      </c>
      <c r="D203" s="41" t="n">
        <f aca="false">(B203+C203)/2</f>
        <v>0.0928211212158203</v>
      </c>
      <c r="E203" s="15" t="n">
        <f aca="false">$C$2*(1+IF(E$3&lt;=$O$2,$D203,$D203-($D203-$I$184)*MIN(E$3-$O$2,$Q$2)/$Q$2))</f>
        <v>950.7871600914</v>
      </c>
      <c r="F203" s="15" t="n">
        <f aca="false">E203*(1+IF(F$3&lt;=$O$2,$D203,$D203-($D203-$I$184)*MIN(F$3-$O$2,$Q$2)/$Q$2))</f>
        <v>1039.04029032869</v>
      </c>
      <c r="G203" s="15" t="n">
        <f aca="false">F203*(1+IF(G$3&lt;=$O$2,$D203,$D203-($D203-$I$184)*MIN(G$3-$O$2,$Q$2)/$Q$2))</f>
        <v>1135.48517506541</v>
      </c>
      <c r="H203" s="15" t="n">
        <f aca="false">G203*(1+IF(H$3&lt;=$O$2,$D203,$D203-($D203-$I$184)*MIN(H$3-$O$2,$Q$2)/$Q$2))</f>
        <v>1240.88218213892</v>
      </c>
      <c r="I203" s="15" t="n">
        <f aca="false">H203*(1+IF(I$3&lt;=$O$2,$D203,$D203-($D203-$I$184)*MIN(I$3-$O$2,$Q$2)/$Q$2))</f>
        <v>1356.06225758179</v>
      </c>
      <c r="J203" s="15" t="n">
        <f aca="false">I203*(1+IF(J$3&lt;=$O$2,$D203,$D203-($D203-$I$184)*MIN(J$3-$O$2,$Q$2)/$Q$2))</f>
        <v>1461.7224207943</v>
      </c>
      <c r="K203" s="15" t="n">
        <f aca="false">J203*(1+IF(K$3&lt;=$O$2,$D203,$D203-($D203-$I$184)*MIN(K$3-$O$2,$Q$2)/$Q$2))</f>
        <v>1553.82945731717</v>
      </c>
      <c r="L203" s="15" t="n">
        <f aca="false">K203*(1+IF(L$3&lt;=$O$2,$D203,$D203-($D203-$I$184)*MIN(L$3-$O$2,$Q$2)/$Q$2))</f>
        <v>1628.58178172105</v>
      </c>
      <c r="M203" s="15" t="n">
        <f aca="false">L203*(1+IF(M$3&lt;=$O$2,$D203,$D203-($D203-$I$184)*MIN(M$3-$O$2,$Q$2)/$Q$2))</f>
        <v>1682.65757639965</v>
      </c>
      <c r="N203" s="15" t="n">
        <f aca="false">M203*(1+IF(N$3&lt;=$O$2,$D203,$D203-($D203-$I$184)*MIN(N$3-$O$2,$Q$2)/$Q$2))</f>
        <v>1713.45021004777</v>
      </c>
      <c r="O203" s="15" t="n">
        <f aca="false">SUMPRODUCT(E203:N203,1/(1+$F$184)^$E$3:$N$3)*$E$2</f>
        <v>2053.10442165963</v>
      </c>
      <c r="P203" s="15" t="n">
        <f aca="false">N203*$E$2*(1+$I$184)/($F$184-$I$184)/(1+$F$184)^$N$3</f>
        <v>3569.62059028418</v>
      </c>
      <c r="Q203" s="15" t="n">
        <f aca="false">O203+P203</f>
        <v>5622.72501194382</v>
      </c>
      <c r="R203" s="15" t="n">
        <f aca="false">Q203-$G$2+$I$2</f>
        <v>5790.12501194382</v>
      </c>
      <c r="S203" s="42" t="n">
        <f aca="false">R203/$K$2</f>
        <v>164.538931854044</v>
      </c>
      <c r="T203" s="43" t="n">
        <f aca="false">S203-$M$2</f>
        <v>0.0035524849052706</v>
      </c>
    </row>
    <row r="204" customFormat="false" ht="15" hidden="false" customHeight="false" outlineLevel="0" collapsed="false">
      <c r="A204" s="5" t="n">
        <v>19</v>
      </c>
      <c r="B204" s="25" t="n">
        <f aca="false">IF(T203&gt;0,B203,D203)</f>
        <v>0.0928153991699219</v>
      </c>
      <c r="C204" s="25" t="n">
        <f aca="false">IF(T203&gt;0,D203,C203)</f>
        <v>0.0928211212158203</v>
      </c>
      <c r="D204" s="41" t="n">
        <f aca="false">(B204+C204)/2</f>
        <v>0.0928182601928711</v>
      </c>
      <c r="E204" s="15" t="n">
        <f aca="false">$C$2*(1+IF(E$3&lt;=$O$2,$D204,$D204-($D204-$I$184)*MIN(E$3-$O$2,$Q$2)/$Q$2))</f>
        <v>950.784670915604</v>
      </c>
      <c r="F204" s="15" t="n">
        <f aca="false">E204*(1+IF(F$3&lt;=$O$2,$D204,$D204-($D204-$I$184)*MIN(F$3-$O$2,$Q$2)/$Q$2))</f>
        <v>1039.03484988804</v>
      </c>
      <c r="G204" s="15" t="n">
        <f aca="false">F204*(1+IF(G$3&lt;=$O$2,$D204,$D204-($D204-$I$184)*MIN(G$3-$O$2,$Q$2)/$Q$2))</f>
        <v>1135.47625693441</v>
      </c>
      <c r="H204" s="15" t="n">
        <f aca="false">G204*(1+IF(H$3&lt;=$O$2,$D204,$D204-($D204-$I$184)*MIN(H$3-$O$2,$Q$2)/$Q$2))</f>
        <v>1240.86918759338</v>
      </c>
      <c r="I204" s="15" t="n">
        <f aca="false">H204*(1+IF(I$3&lt;=$O$2,$D204,$D204-($D204-$I$184)*MIN(I$3-$O$2,$Q$2)/$Q$2))</f>
        <v>1356.04450671273</v>
      </c>
      <c r="J204" s="15" t="n">
        <f aca="false">I204*(1+IF(J$3&lt;=$O$2,$D204,$D204-($D204-$I$184)*MIN(J$3-$O$2,$Q$2)/$Q$2))</f>
        <v>1461.70018309304</v>
      </c>
      <c r="K204" s="15" t="n">
        <f aca="false">J204*(1+IF(K$3&lt;=$O$2,$D204,$D204-($D204-$I$184)*MIN(K$3-$O$2,$Q$2)/$Q$2))</f>
        <v>1553.80330918426</v>
      </c>
      <c r="L204" s="15" t="n">
        <f aca="false">K204*(1+IF(L$3&lt;=$O$2,$D204,$D204-($D204-$I$184)*MIN(L$3-$O$2,$Q$2)/$Q$2))</f>
        <v>1628.55259745527</v>
      </c>
      <c r="M204" s="15" t="n">
        <f aca="false">L204*(1+IF(M$3&lt;=$O$2,$D204,$D204-($D204-$I$184)*MIN(M$3-$O$2,$Q$2)/$Q$2))</f>
        <v>1682.62649122769</v>
      </c>
      <c r="N204" s="15" t="n">
        <f aca="false">M204*(1+IF(N$3&lt;=$O$2,$D204,$D204-($D204-$I$184)*MIN(N$3-$O$2,$Q$2)/$Q$2))</f>
        <v>1713.41855601716</v>
      </c>
      <c r="O204" s="15" t="n">
        <f aca="false">SUMPRODUCT(E204:N204,1/(1+$F$184)^$E$3:$N$3)*$E$2</f>
        <v>2053.07847457012</v>
      </c>
      <c r="P204" s="15" t="n">
        <f aca="false">N204*$E$2*(1+$I$184)/($F$184-$I$184)/(1+$F$184)^$N$3</f>
        <v>3569.55464563125</v>
      </c>
      <c r="Q204" s="15" t="n">
        <f aca="false">O204+P204</f>
        <v>5622.63312020137</v>
      </c>
      <c r="R204" s="15" t="n">
        <f aca="false">Q204-$G$2+$I$2</f>
        <v>5790.03312020137</v>
      </c>
      <c r="S204" s="42" t="n">
        <f aca="false">R204/$K$2</f>
        <v>164.536320551332</v>
      </c>
      <c r="T204" s="43" t="n">
        <f aca="false">S204-$M$2</f>
        <v>0.000941182192974566</v>
      </c>
    </row>
    <row r="205" customFormat="false" ht="15" hidden="false" customHeight="false" outlineLevel="0" collapsed="false">
      <c r="A205" s="5" t="n">
        <v>20</v>
      </c>
      <c r="B205" s="25" t="n">
        <f aca="false">IF(T204&gt;0,B204,D204)</f>
        <v>0.0928153991699219</v>
      </c>
      <c r="C205" s="25" t="n">
        <f aca="false">IF(T204&gt;0,D204,C204)</f>
        <v>0.0928182601928711</v>
      </c>
      <c r="D205" s="41" t="n">
        <f aca="false">(B205+C205)/2</f>
        <v>0.0928168296813965</v>
      </c>
      <c r="E205" s="15" t="n">
        <f aca="false">$C$2*(1+IF(E$3&lt;=$O$2,$D205,$D205-($D205-$I$184)*MIN(E$3-$O$2,$Q$2)/$Q$2))</f>
        <v>950.783426327705</v>
      </c>
      <c r="F205" s="15" t="n">
        <f aca="false">E205*(1+IF(F$3&lt;=$O$2,$D205,$D205-($D205-$I$184)*MIN(F$3-$O$2,$Q$2)/$Q$2))</f>
        <v>1039.03212967306</v>
      </c>
      <c r="G205" s="15" t="n">
        <f aca="false">F205*(1+IF(G$3&lt;=$O$2,$D205,$D205-($D205-$I$184)*MIN(G$3-$O$2,$Q$2)/$Q$2))</f>
        <v>1135.47179788642</v>
      </c>
      <c r="H205" s="15" t="n">
        <f aca="false">G205*(1+IF(H$3&lt;=$O$2,$D205,$D205-($D205-$I$184)*MIN(H$3-$O$2,$Q$2)/$Q$2))</f>
        <v>1240.86269035887</v>
      </c>
      <c r="I205" s="15" t="n">
        <f aca="false">H205*(1+IF(I$3&lt;=$O$2,$D205,$D205-($D205-$I$184)*MIN(I$3-$O$2,$Q$2)/$Q$2))</f>
        <v>1356.03563134791</v>
      </c>
      <c r="J205" s="15" t="n">
        <f aca="false">I205*(1+IF(J$3&lt;=$O$2,$D205,$D205-($D205-$I$184)*MIN(J$3-$O$2,$Q$2)/$Q$2))</f>
        <v>1461.68906434803</v>
      </c>
      <c r="K205" s="15" t="n">
        <f aca="false">J205*(1+IF(K$3&lt;=$O$2,$D205,$D205-($D205-$I$184)*MIN(K$3-$O$2,$Q$2)/$Q$2))</f>
        <v>1553.7902352587</v>
      </c>
      <c r="L205" s="15" t="n">
        <f aca="false">K205*(1+IF(L$3&lt;=$O$2,$D205,$D205-($D205-$I$184)*MIN(L$3-$O$2,$Q$2)/$Q$2))</f>
        <v>1628.53800549249</v>
      </c>
      <c r="M205" s="15" t="n">
        <f aca="false">L205*(1+IF(M$3&lt;=$O$2,$D205,$D205-($D205-$I$184)*MIN(M$3-$O$2,$Q$2)/$Q$2))</f>
        <v>1682.61094883</v>
      </c>
      <c r="N205" s="15" t="n">
        <f aca="false">M205*(1+IF(N$3&lt;=$O$2,$D205,$D205-($D205-$I$184)*MIN(N$3-$O$2,$Q$2)/$Q$2))</f>
        <v>1713.40272919359</v>
      </c>
      <c r="O205" s="15" t="n">
        <f aca="false">SUMPRODUCT(E205:N205,1/(1+$F$184)^$E$3:$N$3)*$E$2</f>
        <v>2053.06550114714</v>
      </c>
      <c r="P205" s="15" t="n">
        <f aca="false">N205*$E$2*(1+$I$184)/($F$184-$I$184)/(1+$F$184)^$N$3</f>
        <v>3569.52167370422</v>
      </c>
      <c r="Q205" s="15" t="n">
        <f aca="false">O205+P205</f>
        <v>5622.58717485136</v>
      </c>
      <c r="R205" s="15" t="n">
        <f aca="false">Q205-$G$2+$I$2</f>
        <v>5789.98717485136</v>
      </c>
      <c r="S205" s="42" t="n">
        <f aca="false">R205/$K$2</f>
        <v>164.535014914787</v>
      </c>
      <c r="T205" s="43" t="n">
        <f aca="false">S205-$M$2</f>
        <v>-0.000364454351881705</v>
      </c>
    </row>
    <row r="206" customFormat="false" ht="15" hidden="false" customHeight="false" outlineLevel="0" collapsed="false">
      <c r="A206" s="5" t="n">
        <v>21</v>
      </c>
      <c r="B206" s="25" t="n">
        <f aca="false">IF(T205&gt;0,B205,D205)</f>
        <v>0.0928168296813965</v>
      </c>
      <c r="C206" s="25" t="n">
        <f aca="false">IF(T205&gt;0,D205,C205)</f>
        <v>0.0928182601928711</v>
      </c>
      <c r="D206" s="41" t="n">
        <f aca="false">(B206+C206)/2</f>
        <v>0.0928175449371338</v>
      </c>
      <c r="E206" s="15" t="n">
        <f aca="false">$C$2*(1+IF(E$3&lt;=$O$2,$D206,$D206-($D206-$I$184)*MIN(E$3-$O$2,$Q$2)/$Q$2))</f>
        <v>950.784048621655</v>
      </c>
      <c r="F206" s="15" t="n">
        <f aca="false">E206*(1+IF(F$3&lt;=$O$2,$D206,$D206-($D206-$I$184)*MIN(F$3-$O$2,$Q$2)/$Q$2))</f>
        <v>1039.03348978011</v>
      </c>
      <c r="G206" s="15" t="n">
        <f aca="false">F206*(1+IF(G$3&lt;=$O$2,$D206,$D206-($D206-$I$184)*MIN(G$3-$O$2,$Q$2)/$Q$2))</f>
        <v>1135.47402740896</v>
      </c>
      <c r="H206" s="15" t="n">
        <f aca="false">G206*(1+IF(H$3&lt;=$O$2,$D206,$D206-($D206-$I$184)*MIN(H$3-$O$2,$Q$2)/$Q$2))</f>
        <v>1240.86593897294</v>
      </c>
      <c r="I206" s="15" t="n">
        <f aca="false">H206*(1+IF(I$3&lt;=$O$2,$D206,$D206-($D206-$I$184)*MIN(I$3-$O$2,$Q$2)/$Q$2))</f>
        <v>1356.04006902452</v>
      </c>
      <c r="J206" s="15" t="n">
        <f aca="false">I206*(1+IF(J$3&lt;=$O$2,$D206,$D206-($D206-$I$184)*MIN(J$3-$O$2,$Q$2)/$Q$2))</f>
        <v>1461.69462371173</v>
      </c>
      <c r="K206" s="15" t="n">
        <f aca="false">J206*(1+IF(K$3&lt;=$O$2,$D206,$D206-($D206-$I$184)*MIN(K$3-$O$2,$Q$2)/$Q$2))</f>
        <v>1553.79677220974</v>
      </c>
      <c r="L206" s="15" t="n">
        <f aca="false">K206*(1+IF(L$3&lt;=$O$2,$D206,$D206-($D206-$I$184)*MIN(L$3-$O$2,$Q$2)/$Q$2))</f>
        <v>1628.54530145971</v>
      </c>
      <c r="M206" s="15" t="n">
        <f aca="false">L206*(1+IF(M$3&lt;=$O$2,$D206,$D206-($D206-$I$184)*MIN(M$3-$O$2,$Q$2)/$Q$2))</f>
        <v>1682.61872001315</v>
      </c>
      <c r="N206" s="15" t="n">
        <f aca="false">M206*(1+IF(N$3&lt;=$O$2,$D206,$D206-($D206-$I$184)*MIN(N$3-$O$2,$Q$2)/$Q$2))</f>
        <v>1713.4106425894</v>
      </c>
      <c r="O206" s="15" t="n">
        <f aca="false">SUMPRODUCT(E206:N206,1/(1+$F$184)^$E$3:$N$3)*$E$2</f>
        <v>2053.07198784848</v>
      </c>
      <c r="P206" s="15" t="n">
        <f aca="false">N206*$E$2*(1+$I$184)/($F$184-$I$184)/(1+$F$184)^$N$3</f>
        <v>3569.53815963445</v>
      </c>
      <c r="Q206" s="15" t="n">
        <f aca="false">O206+P206</f>
        <v>5622.61014748293</v>
      </c>
      <c r="R206" s="15" t="n">
        <f aca="false">Q206-$G$2+$I$2</f>
        <v>5790.01014748293</v>
      </c>
      <c r="S206" s="42" t="n">
        <f aca="false">R206/$K$2</f>
        <v>164.535667731825</v>
      </c>
      <c r="T206" s="43" t="n">
        <f aca="false">S206-$M$2</f>
        <v>0.000288362686262644</v>
      </c>
    </row>
    <row r="207" customFormat="false" ht="15" hidden="false" customHeight="false" outlineLevel="0" collapsed="false">
      <c r="A207" s="5" t="n">
        <v>22</v>
      </c>
      <c r="B207" s="25" t="n">
        <f aca="false">IF(T206&gt;0,B206,D206)</f>
        <v>0.0928168296813965</v>
      </c>
      <c r="C207" s="25" t="n">
        <f aca="false">IF(T206&gt;0,D206,C206)</f>
        <v>0.0928175449371338</v>
      </c>
      <c r="D207" s="41" t="n">
        <f aca="false">(B207+C207)/2</f>
        <v>0.0928171873092651</v>
      </c>
      <c r="E207" s="15" t="n">
        <f aca="false">$C$2*(1+IF(E$3&lt;=$O$2,$D207,$D207-($D207-$I$184)*MIN(E$3-$O$2,$Q$2)/$Q$2))</f>
        <v>950.78373747468</v>
      </c>
      <c r="F207" s="15" t="n">
        <f aca="false">E207*(1+IF(F$3&lt;=$O$2,$D207,$D207-($D207-$I$184)*MIN(F$3-$O$2,$Q$2)/$Q$2))</f>
        <v>1039.03280972647</v>
      </c>
      <c r="G207" s="15" t="n">
        <f aca="false">F207*(1+IF(G$3&lt;=$O$2,$D207,$D207-($D207-$I$184)*MIN(G$3-$O$2,$Q$2)/$Q$2))</f>
        <v>1135.47291264732</v>
      </c>
      <c r="H207" s="15" t="n">
        <f aca="false">G207*(1+IF(H$3&lt;=$O$2,$D207,$D207-($D207-$I$184)*MIN(H$3-$O$2,$Q$2)/$Q$2))</f>
        <v>1240.86431466511</v>
      </c>
      <c r="I207" s="15" t="n">
        <f aca="false">H207*(1+IF(I$3&lt;=$O$2,$D207,$D207-($D207-$I$184)*MIN(I$3-$O$2,$Q$2)/$Q$2))</f>
        <v>1356.03785018476</v>
      </c>
      <c r="J207" s="15" t="n">
        <f aca="false">I207*(1+IF(J$3&lt;=$O$2,$D207,$D207-($D207-$I$184)*MIN(J$3-$O$2,$Q$2)/$Q$2))</f>
        <v>1461.69184402768</v>
      </c>
      <c r="K207" s="15" t="n">
        <f aca="false">J207*(1+IF(K$3&lt;=$O$2,$D207,$D207-($D207-$I$184)*MIN(K$3-$O$2,$Q$2)/$Q$2))</f>
        <v>1553.79350373129</v>
      </c>
      <c r="L207" s="15" t="n">
        <f aca="false">K207*(1+IF(L$3&lt;=$O$2,$D207,$D207-($D207-$I$184)*MIN(L$3-$O$2,$Q$2)/$Q$2))</f>
        <v>1628.54165347256</v>
      </c>
      <c r="M207" s="15" t="n">
        <f aca="false">L207*(1+IF(M$3&lt;=$O$2,$D207,$D207-($D207-$I$184)*MIN(M$3-$O$2,$Q$2)/$Q$2))</f>
        <v>1682.61483441766</v>
      </c>
      <c r="N207" s="15" t="n">
        <f aca="false">M207*(1+IF(N$3&lt;=$O$2,$D207,$D207-($D207-$I$184)*MIN(N$3-$O$2,$Q$2)/$Q$2))</f>
        <v>1713.4066858875</v>
      </c>
      <c r="O207" s="15" t="n">
        <f aca="false">SUMPRODUCT(E207:N207,1/(1+$F$184)^$E$3:$N$3)*$E$2</f>
        <v>2053.06874449527</v>
      </c>
      <c r="P207" s="15" t="n">
        <f aca="false">N207*$E$2*(1+$I$184)/($F$184-$I$184)/(1+$F$184)^$N$3</f>
        <v>3569.52991666101</v>
      </c>
      <c r="Q207" s="15" t="n">
        <f aca="false">O207+P207</f>
        <v>5622.59866115629</v>
      </c>
      <c r="R207" s="15" t="n">
        <f aca="false">Q207-$G$2+$I$2</f>
        <v>5789.99866115629</v>
      </c>
      <c r="S207" s="42" t="n">
        <f aca="false">R207/$K$2</f>
        <v>164.535341322998</v>
      </c>
      <c r="T207" s="43" t="n">
        <f aca="false">S207-$M$2</f>
        <v>-3.8046141327186E-005</v>
      </c>
    </row>
    <row r="208" customFormat="false" ht="15" hidden="false" customHeight="false" outlineLevel="0" collapsed="false">
      <c r="A208" s="5" t="n">
        <v>23</v>
      </c>
      <c r="B208" s="25" t="n">
        <f aca="false">IF(T207&gt;0,B207,D207)</f>
        <v>0.0928171873092651</v>
      </c>
      <c r="C208" s="25" t="n">
        <f aca="false">IF(T207&gt;0,D207,C207)</f>
        <v>0.0928175449371338</v>
      </c>
      <c r="D208" s="41" t="n">
        <f aca="false">(B208+C208)/2</f>
        <v>0.0928173661231995</v>
      </c>
      <c r="E208" s="15" t="n">
        <f aca="false">$C$2*(1+IF(E$3&lt;=$O$2,$D208,$D208-($D208-$I$184)*MIN(E$3-$O$2,$Q$2)/$Q$2))</f>
        <v>950.783893048167</v>
      </c>
      <c r="F208" s="15" t="n">
        <f aca="false">E208*(1+IF(F$3&lt;=$O$2,$D208,$D208-($D208-$I$184)*MIN(F$3-$O$2,$Q$2)/$Q$2))</f>
        <v>1039.03314975326</v>
      </c>
      <c r="G208" s="15" t="n">
        <f aca="false">F208*(1+IF(G$3&lt;=$O$2,$D208,$D208-($D208-$I$184)*MIN(G$3-$O$2,$Q$2)/$Q$2))</f>
        <v>1135.47347002805</v>
      </c>
      <c r="H208" s="15" t="n">
        <f aca="false">G208*(1+IF(H$3&lt;=$O$2,$D208,$D208-($D208-$I$184)*MIN(H$3-$O$2,$Q$2)/$Q$2))</f>
        <v>1240.86512681882</v>
      </c>
      <c r="I208" s="15" t="n">
        <f aca="false">H208*(1+IF(I$3&lt;=$O$2,$D208,$D208-($D208-$I$184)*MIN(I$3-$O$2,$Q$2)/$Q$2))</f>
        <v>1356.03895960428</v>
      </c>
      <c r="J208" s="15" t="n">
        <f aca="false">I208*(1+IF(J$3&lt;=$O$2,$D208,$D208-($D208-$I$184)*MIN(J$3-$O$2,$Q$2)/$Q$2))</f>
        <v>1461.69323386916</v>
      </c>
      <c r="K208" s="15" t="n">
        <f aca="false">J208*(1+IF(K$3&lt;=$O$2,$D208,$D208-($D208-$I$184)*MIN(K$3-$O$2,$Q$2)/$Q$2))</f>
        <v>1553.79513796978</v>
      </c>
      <c r="L208" s="15" t="n">
        <f aca="false">K208*(1+IF(L$3&lt;=$O$2,$D208,$D208-($D208-$I$184)*MIN(L$3-$O$2,$Q$2)/$Q$2))</f>
        <v>1628.54347746525</v>
      </c>
      <c r="M208" s="15" t="n">
        <f aca="false">L208*(1+IF(M$3&lt;=$O$2,$D208,$D208-($D208-$I$184)*MIN(M$3-$O$2,$Q$2)/$Q$2))</f>
        <v>1682.61677721442</v>
      </c>
      <c r="N208" s="15" t="n">
        <f aca="false">M208*(1+IF(N$3&lt;=$O$2,$D208,$D208-($D208-$I$184)*MIN(N$3-$O$2,$Q$2)/$Q$2))</f>
        <v>1713.40866423745</v>
      </c>
      <c r="O208" s="15" t="n">
        <f aca="false">SUMPRODUCT(E208:N208,1/(1+$F$184)^$E$3:$N$3)*$E$2</f>
        <v>2053.07036617124</v>
      </c>
      <c r="P208" s="15" t="n">
        <f aca="false">N208*$E$2*(1+$I$184)/($F$184-$I$184)/(1+$F$184)^$N$3</f>
        <v>3569.53403814565</v>
      </c>
      <c r="Q208" s="15" t="n">
        <f aca="false">O208+P208</f>
        <v>5622.60440431689</v>
      </c>
      <c r="R208" s="15" t="n">
        <f aca="false">Q208-$G$2+$I$2</f>
        <v>5790.00440431689</v>
      </c>
      <c r="S208" s="42" t="n">
        <f aca="false">R208/$K$2</f>
        <v>164.535504527334</v>
      </c>
      <c r="T208" s="43" t="n">
        <f aca="false">S208-$M$2</f>
        <v>0.000125158195288577</v>
      </c>
    </row>
    <row r="209" customFormat="false" ht="15" hidden="false" customHeight="false" outlineLevel="0" collapsed="false">
      <c r="A209" s="5" t="n">
        <v>24</v>
      </c>
      <c r="B209" s="25" t="n">
        <f aca="false">IF(T208&gt;0,B208,D208)</f>
        <v>0.0928171873092651</v>
      </c>
      <c r="C209" s="25" t="n">
        <f aca="false">IF(T208&gt;0,D208,C208)</f>
        <v>0.0928173661231995</v>
      </c>
      <c r="D209" s="41" t="n">
        <f aca="false">(B209+C209)/2</f>
        <v>0.0928172767162323</v>
      </c>
      <c r="E209" s="15" t="n">
        <f aca="false">$C$2*(1+IF(E$3&lt;=$O$2,$D209,$D209-($D209-$I$184)*MIN(E$3-$O$2,$Q$2)/$Q$2))</f>
        <v>950.783815261424</v>
      </c>
      <c r="F209" s="15" t="n">
        <f aca="false">E209*(1+IF(F$3&lt;=$O$2,$D209,$D209-($D209-$I$184)*MIN(F$3-$O$2,$Q$2)/$Q$2))</f>
        <v>1039.03297973986</v>
      </c>
      <c r="G209" s="15" t="n">
        <f aca="false">F209*(1+IF(G$3&lt;=$O$2,$D209,$D209-($D209-$I$184)*MIN(G$3-$O$2,$Q$2)/$Q$2))</f>
        <v>1135.47319133766</v>
      </c>
      <c r="H209" s="15" t="n">
        <f aca="false">G209*(1+IF(H$3&lt;=$O$2,$D209,$D209-($D209-$I$184)*MIN(H$3-$O$2,$Q$2)/$Q$2))</f>
        <v>1240.86472074192</v>
      </c>
      <c r="I209" s="15" t="n">
        <f aca="false">H209*(1+IF(I$3&lt;=$O$2,$D209,$D209-($D209-$I$184)*MIN(I$3-$O$2,$Q$2)/$Q$2))</f>
        <v>1356.03840489443</v>
      </c>
      <c r="J209" s="15" t="n">
        <f aca="false">I209*(1+IF(J$3&lt;=$O$2,$D209,$D209-($D209-$I$184)*MIN(J$3-$O$2,$Q$2)/$Q$2))</f>
        <v>1461.69253894828</v>
      </c>
      <c r="K209" s="15" t="n">
        <f aca="false">J209*(1+IF(K$3&lt;=$O$2,$D209,$D209-($D209-$I$184)*MIN(K$3-$O$2,$Q$2)/$Q$2))</f>
        <v>1553.79432085035</v>
      </c>
      <c r="L209" s="15" t="n">
        <f aca="false">K209*(1+IF(L$3&lt;=$O$2,$D209,$D209-($D209-$I$184)*MIN(L$3-$O$2,$Q$2)/$Q$2))</f>
        <v>1628.54256546868</v>
      </c>
      <c r="M209" s="15" t="n">
        <f aca="false">L209*(1+IF(M$3&lt;=$O$2,$D209,$D209-($D209-$I$184)*MIN(M$3-$O$2,$Q$2)/$Q$2))</f>
        <v>1682.61580581579</v>
      </c>
      <c r="N209" s="15" t="n">
        <f aca="false">M209*(1+IF(N$3&lt;=$O$2,$D209,$D209-($D209-$I$184)*MIN(N$3-$O$2,$Q$2)/$Q$2))</f>
        <v>1713.40767506222</v>
      </c>
      <c r="O209" s="15" t="n">
        <f aca="false">SUMPRODUCT(E209:N209,1/(1+$F$184)^$E$3:$N$3)*$E$2</f>
        <v>2053.0695553331</v>
      </c>
      <c r="P209" s="15" t="n">
        <f aca="false">N209*$E$2*(1+$I$184)/($F$184-$I$184)/(1+$F$184)^$N$3</f>
        <v>3569.53197740281</v>
      </c>
      <c r="Q209" s="15" t="n">
        <f aca="false">O209+P209</f>
        <v>5622.60153273591</v>
      </c>
      <c r="R209" s="15" t="n">
        <f aca="false">Q209-$G$2+$I$2</f>
        <v>5790.00153273591</v>
      </c>
      <c r="S209" s="42" t="n">
        <f aca="false">R209/$K$2</f>
        <v>164.535422925147</v>
      </c>
      <c r="T209" s="43" t="n">
        <f aca="false">S209-$M$2</f>
        <v>4.35560076823549E-005</v>
      </c>
    </row>
    <row r="211" customFormat="false" ht="15" hidden="false" customHeight="false" outlineLevel="0" collapsed="false">
      <c r="A211" s="38" t="s">
        <v>194</v>
      </c>
      <c r="E211" s="5" t="s">
        <v>12</v>
      </c>
      <c r="F211" s="12" t="n">
        <f aca="false">Sensitivity!$B$11</f>
        <v>0.0725075820986394</v>
      </c>
      <c r="G211" s="5" t="s">
        <v>13</v>
      </c>
      <c r="I211" s="12" t="n">
        <f aca="false">Sensitivity!$D$9</f>
        <v>0.0233</v>
      </c>
    </row>
    <row r="212" customFormat="false" ht="23.85" hidden="false" customHeight="false" outlineLevel="0" collapsed="false">
      <c r="A212" s="38" t="s">
        <v>168</v>
      </c>
      <c r="B212" s="28" t="s">
        <v>169</v>
      </c>
      <c r="C212" s="28" t="s">
        <v>170</v>
      </c>
      <c r="D212" s="28" t="s">
        <v>171</v>
      </c>
      <c r="E212" s="28" t="s">
        <v>172</v>
      </c>
      <c r="F212" s="28" t="s">
        <v>173</v>
      </c>
      <c r="G212" s="28" t="s">
        <v>174</v>
      </c>
      <c r="H212" s="28" t="s">
        <v>175</v>
      </c>
      <c r="I212" s="28" t="s">
        <v>176</v>
      </c>
      <c r="J212" s="28" t="s">
        <v>177</v>
      </c>
      <c r="K212" s="28" t="s">
        <v>178</v>
      </c>
      <c r="L212" s="28" t="s">
        <v>179</v>
      </c>
      <c r="M212" s="28" t="s">
        <v>180</v>
      </c>
      <c r="N212" s="28" t="s">
        <v>181</v>
      </c>
      <c r="O212" s="28" t="s">
        <v>182</v>
      </c>
      <c r="P212" s="28" t="s">
        <v>183</v>
      </c>
      <c r="Q212" s="28" t="s">
        <v>184</v>
      </c>
      <c r="R212" s="28" t="s">
        <v>185</v>
      </c>
      <c r="S212" s="28" t="s">
        <v>186</v>
      </c>
      <c r="T212" s="28" t="s">
        <v>187</v>
      </c>
    </row>
    <row r="213" customFormat="false" ht="15" hidden="false" customHeight="false" outlineLevel="0" collapsed="false">
      <c r="A213" s="5" t="n">
        <v>1</v>
      </c>
      <c r="B213" s="24" t="n">
        <v>-0.5</v>
      </c>
      <c r="C213" s="24" t="n">
        <v>1</v>
      </c>
      <c r="D213" s="41" t="n">
        <f aca="false">(B213+C213)/2</f>
        <v>0.25</v>
      </c>
      <c r="E213" s="15" t="n">
        <f aca="false">$C$2*(1+IF(E$3&lt;=$O$2,$D213,$D213-($D213-$I$211)*MIN(E$3-$O$2,$Q$2)/$Q$2))</f>
        <v>1087.5375</v>
      </c>
      <c r="F213" s="15" t="n">
        <f aca="false">E213*(1+IF(F$3&lt;=$O$2,$D213,$D213-($D213-$I$211)*MIN(F$3-$O$2,$Q$2)/$Q$2))</f>
        <v>1359.421875</v>
      </c>
      <c r="G213" s="15" t="n">
        <f aca="false">F213*(1+IF(G$3&lt;=$O$2,$D213,$D213-($D213-$I$211)*MIN(G$3-$O$2,$Q$2)/$Q$2))</f>
        <v>1699.27734375</v>
      </c>
      <c r="H213" s="15" t="n">
        <f aca="false">G213*(1+IF(H$3&lt;=$O$2,$D213,$D213-($D213-$I$211)*MIN(H$3-$O$2,$Q$2)/$Q$2))</f>
        <v>2124.0966796875</v>
      </c>
      <c r="I213" s="15" t="n">
        <f aca="false">H213*(1+IF(I$3&lt;=$O$2,$D213,$D213-($D213-$I$211)*MIN(I$3-$O$2,$Q$2)/$Q$2))</f>
        <v>2655.12084960938</v>
      </c>
      <c r="J213" s="15" t="n">
        <f aca="false">I213*(1+IF(J$3&lt;=$O$2,$D213,$D213-($D213-$I$211)*MIN(J$3-$O$2,$Q$2)/$Q$2))</f>
        <v>3198.51788269043</v>
      </c>
      <c r="K213" s="15" t="n">
        <f aca="false">J213*(1+IF(K$3&lt;=$O$2,$D213,$D213-($D213-$I$211)*MIN(K$3-$O$2,$Q$2)/$Q$2))</f>
        <v>3708.10575176067</v>
      </c>
      <c r="L213" s="15" t="n">
        <f aca="false">K213*(1+IF(L$3&lt;=$O$2,$D213,$D213-($D213-$I$211)*MIN(L$3-$O$2,$Q$2)/$Q$2))</f>
        <v>4130.75564534635</v>
      </c>
      <c r="M213" s="15" t="n">
        <f aca="false">L213*(1+IF(M$3&lt;=$O$2,$D213,$D213-($D213-$I$211)*MIN(M$3-$O$2,$Q$2)/$Q$2))</f>
        <v>4414.29071284292</v>
      </c>
      <c r="N213" s="15" t="n">
        <f aca="false">M213*(1+IF(N$3&lt;=$O$2,$D213,$D213-($D213-$I$211)*MIN(N$3-$O$2,$Q$2)/$Q$2))</f>
        <v>4517.14368645216</v>
      </c>
      <c r="O213" s="15" t="n">
        <f aca="false">SUMPRODUCT(E213:N213,1/(1+$F$211)^$E$3:$N$3)*$E$2</f>
        <v>4103.97600866378</v>
      </c>
      <c r="P213" s="15" t="n">
        <f aca="false">N213*$E$2*(1+$I$211)/($F$211-$I$211)/(1+$F$211)^$N$3</f>
        <v>10417.6488654382</v>
      </c>
      <c r="Q213" s="15" t="n">
        <f aca="false">O213+P213</f>
        <v>14521.624874102</v>
      </c>
      <c r="R213" s="15" t="n">
        <f aca="false">Q213-$G$2+$I$2</f>
        <v>14689.024874102</v>
      </c>
      <c r="S213" s="42" t="n">
        <f aca="false">R213/$K$2</f>
        <v>417.420428363228</v>
      </c>
      <c r="T213" s="43" t="n">
        <f aca="false">S213-$M$2</f>
        <v>252.885048994089</v>
      </c>
    </row>
    <row r="214" customFormat="false" ht="15" hidden="false" customHeight="false" outlineLevel="0" collapsed="false">
      <c r="A214" s="5" t="n">
        <v>2</v>
      </c>
      <c r="B214" s="25" t="n">
        <f aca="false">IF(T213&gt;0,B213,D213)</f>
        <v>-0.5</v>
      </c>
      <c r="C214" s="25" t="n">
        <f aca="false">IF(T213&gt;0,D213,C213)</f>
        <v>0.25</v>
      </c>
      <c r="D214" s="41" t="n">
        <f aca="false">(B214+C214)/2</f>
        <v>-0.125</v>
      </c>
      <c r="E214" s="15" t="n">
        <f aca="false">$C$2*(1+IF(E$3&lt;=$O$2,$D214,$D214-($D214-$I$211)*MIN(E$3-$O$2,$Q$2)/$Q$2))</f>
        <v>761.27625</v>
      </c>
      <c r="F214" s="15" t="n">
        <f aca="false">E214*(1+IF(F$3&lt;=$O$2,$D214,$D214-($D214-$I$211)*MIN(F$3-$O$2,$Q$2)/$Q$2))</f>
        <v>666.11671875</v>
      </c>
      <c r="G214" s="15" t="n">
        <f aca="false">F214*(1+IF(G$3&lt;=$O$2,$D214,$D214-($D214-$I$211)*MIN(G$3-$O$2,$Q$2)/$Q$2))</f>
        <v>582.85212890625</v>
      </c>
      <c r="H214" s="15" t="n">
        <f aca="false">G214*(1+IF(H$3&lt;=$O$2,$D214,$D214-($D214-$I$211)*MIN(H$3-$O$2,$Q$2)/$Q$2))</f>
        <v>509.995612792969</v>
      </c>
      <c r="I214" s="15" t="n">
        <f aca="false">H214*(1+IF(I$3&lt;=$O$2,$D214,$D214-($D214-$I$211)*MIN(I$3-$O$2,$Q$2)/$Q$2))</f>
        <v>446.246161193848</v>
      </c>
      <c r="J214" s="15" t="n">
        <f aca="false">I214*(1+IF(J$3&lt;=$O$2,$D214,$D214-($D214-$I$211)*MIN(J$3-$O$2,$Q$2)/$Q$2))</f>
        <v>403.701052185626</v>
      </c>
      <c r="K214" s="15" t="n">
        <f aca="false">J214*(1+IF(K$3&lt;=$O$2,$D214,$D214-($D214-$I$211)*MIN(K$3-$O$2,$Q$2)/$Q$2))</f>
        <v>377.185967078074</v>
      </c>
      <c r="L214" s="15" t="n">
        <f aca="false">K214*(1+IF(L$3&lt;=$O$2,$D214,$D214-($D214-$I$211)*MIN(L$3-$O$2,$Q$2)/$Q$2))</f>
        <v>363.599728543922</v>
      </c>
      <c r="M214" s="15" t="n">
        <f aca="false">L214*(1+IF(M$3&lt;=$O$2,$D214,$D214-($D214-$I$211)*MIN(M$3-$O$2,$Q$2)/$Q$2))</f>
        <v>361.287234270383</v>
      </c>
      <c r="N214" s="15" t="n">
        <f aca="false">M214*(1+IF(N$3&lt;=$O$2,$D214,$D214-($D214-$I$211)*MIN(N$3-$O$2,$Q$2)/$Q$2))</f>
        <v>369.705226828883</v>
      </c>
      <c r="O214" s="15" t="n">
        <f aca="false">SUMPRODUCT(E214:N214,1/(1+$F$211)^$E$3:$N$3)*$E$2</f>
        <v>790.86260411059</v>
      </c>
      <c r="P214" s="15" t="n">
        <f aca="false">N214*$E$2*(1+$I$211)/($F$211-$I$211)/(1+$F$211)^$N$3</f>
        <v>852.631553070097</v>
      </c>
      <c r="Q214" s="15" t="n">
        <f aca="false">O214+P214</f>
        <v>1643.49415718069</v>
      </c>
      <c r="R214" s="15" t="n">
        <f aca="false">Q214-$G$2+$I$2</f>
        <v>1810.89415718069</v>
      </c>
      <c r="S214" s="42" t="n">
        <f aca="false">R214/$K$2</f>
        <v>51.4604761915512</v>
      </c>
      <c r="T214" s="43" t="n">
        <f aca="false">S214-$M$2</f>
        <v>-113.074903177588</v>
      </c>
    </row>
    <row r="215" customFormat="false" ht="15" hidden="false" customHeight="false" outlineLevel="0" collapsed="false">
      <c r="A215" s="5" t="n">
        <v>3</v>
      </c>
      <c r="B215" s="25" t="n">
        <f aca="false">IF(T214&gt;0,B214,D214)</f>
        <v>-0.125</v>
      </c>
      <c r="C215" s="25" t="n">
        <f aca="false">IF(T214&gt;0,D214,C214)</f>
        <v>0.25</v>
      </c>
      <c r="D215" s="41" t="n">
        <f aca="false">(B215+C215)/2</f>
        <v>0.0625</v>
      </c>
      <c r="E215" s="15" t="n">
        <f aca="false">$C$2*(1+IF(E$3&lt;=$O$2,$D215,$D215-($D215-$I$211)*MIN(E$3-$O$2,$Q$2)/$Q$2))</f>
        <v>924.406875</v>
      </c>
      <c r="F215" s="15" t="n">
        <f aca="false">E215*(1+IF(F$3&lt;=$O$2,$D215,$D215-($D215-$I$211)*MIN(F$3-$O$2,$Q$2)/$Q$2))</f>
        <v>982.1823046875</v>
      </c>
      <c r="G215" s="15" t="n">
        <f aca="false">F215*(1+IF(G$3&lt;=$O$2,$D215,$D215-($D215-$I$211)*MIN(G$3-$O$2,$Q$2)/$Q$2))</f>
        <v>1043.56869873047</v>
      </c>
      <c r="H215" s="15" t="n">
        <f aca="false">G215*(1+IF(H$3&lt;=$O$2,$D215,$D215-($D215-$I$211)*MIN(H$3-$O$2,$Q$2)/$Q$2))</f>
        <v>1108.79174240112</v>
      </c>
      <c r="I215" s="15" t="n">
        <f aca="false">H215*(1+IF(I$3&lt;=$O$2,$D215,$D215-($D215-$I$211)*MIN(I$3-$O$2,$Q$2)/$Q$2))</f>
        <v>1178.09122630119</v>
      </c>
      <c r="J215" s="15" t="n">
        <f aca="false">I215*(1+IF(J$3&lt;=$O$2,$D215,$D215-($D215-$I$211)*MIN(J$3-$O$2,$Q$2)/$Q$2))</f>
        <v>1242.48569273082</v>
      </c>
      <c r="K215" s="15" t="n">
        <f aca="false">J215*(1+IF(K$3&lt;=$O$2,$D215,$D215-($D215-$I$211)*MIN(K$3-$O$2,$Q$2)/$Q$2))</f>
        <v>1300.65887286447</v>
      </c>
      <c r="L215" s="15" t="n">
        <f aca="false">K215*(1+IF(L$3&lt;=$O$2,$D215,$D215-($D215-$I$211)*MIN(L$3-$O$2,$Q$2)/$Q$2))</f>
        <v>1351.35855572873</v>
      </c>
      <c r="M215" s="15" t="n">
        <f aca="false">L215*(1+IF(M$3&lt;=$O$2,$D215,$D215-($D215-$I$211)*MIN(M$3-$O$2,$Q$2)/$Q$2))</f>
        <v>1393.43986115412</v>
      </c>
      <c r="N215" s="15" t="n">
        <f aca="false">M215*(1+IF(N$3&lt;=$O$2,$D215,$D215-($D215-$I$211)*MIN(N$3-$O$2,$Q$2)/$Q$2))</f>
        <v>1425.90700991901</v>
      </c>
      <c r="O215" s="15" t="n">
        <f aca="false">SUMPRODUCT(E215:N215,1/(1+$F$211)^$E$3:$N$3)*$E$2</f>
        <v>1801.1690476776</v>
      </c>
      <c r="P215" s="15" t="n">
        <f aca="false">N215*$E$2*(1+$I$211)/($F$211-$I$211)/(1+$F$211)^$N$3</f>
        <v>3288.49369761144</v>
      </c>
      <c r="Q215" s="15" t="n">
        <f aca="false">O215+P215</f>
        <v>5089.66274528904</v>
      </c>
      <c r="R215" s="15" t="n">
        <f aca="false">Q215-$G$2+$I$2</f>
        <v>5257.06274528904</v>
      </c>
      <c r="S215" s="42" t="n">
        <f aca="false">R215/$K$2</f>
        <v>149.390814017876</v>
      </c>
      <c r="T215" s="43" t="n">
        <f aca="false">S215-$M$2</f>
        <v>-15.1445653512635</v>
      </c>
    </row>
    <row r="216" customFormat="false" ht="15" hidden="false" customHeight="false" outlineLevel="0" collapsed="false">
      <c r="A216" s="5" t="n">
        <v>4</v>
      </c>
      <c r="B216" s="25" t="n">
        <f aca="false">IF(T215&gt;0,B215,D215)</f>
        <v>0.0625</v>
      </c>
      <c r="C216" s="25" t="n">
        <f aca="false">IF(T215&gt;0,D215,C215)</f>
        <v>0.25</v>
      </c>
      <c r="D216" s="41" t="n">
        <f aca="false">(B216+C216)/2</f>
        <v>0.15625</v>
      </c>
      <c r="E216" s="15" t="n">
        <f aca="false">$C$2*(1+IF(E$3&lt;=$O$2,$D216,$D216-($D216-$I$211)*MIN(E$3-$O$2,$Q$2)/$Q$2))</f>
        <v>1005.9721875</v>
      </c>
      <c r="F216" s="15" t="n">
        <f aca="false">E216*(1+IF(F$3&lt;=$O$2,$D216,$D216-($D216-$I$211)*MIN(F$3-$O$2,$Q$2)/$Q$2))</f>
        <v>1163.15534179688</v>
      </c>
      <c r="G216" s="15" t="n">
        <f aca="false">F216*(1+IF(G$3&lt;=$O$2,$D216,$D216-($D216-$I$211)*MIN(G$3-$O$2,$Q$2)/$Q$2))</f>
        <v>1344.89836395264</v>
      </c>
      <c r="H216" s="15" t="n">
        <f aca="false">G216*(1+IF(H$3&lt;=$O$2,$D216,$D216-($D216-$I$211)*MIN(H$3-$O$2,$Q$2)/$Q$2))</f>
        <v>1555.03873332024</v>
      </c>
      <c r="I216" s="15" t="n">
        <f aca="false">H216*(1+IF(I$3&lt;=$O$2,$D216,$D216-($D216-$I$211)*MIN(I$3-$O$2,$Q$2)/$Q$2))</f>
        <v>1798.01353540152</v>
      </c>
      <c r="J216" s="15" t="n">
        <f aca="false">I216*(1+IF(J$3&lt;=$O$2,$D216,$D216-($D216-$I$211)*MIN(J$3-$O$2,$Q$2)/$Q$2))</f>
        <v>2031.14397040168</v>
      </c>
      <c r="K216" s="15" t="n">
        <f aca="false">J216*(1+IF(K$3&lt;=$O$2,$D216,$D216-($D216-$I$211)*MIN(K$3-$O$2,$Q$2)/$Q$2))</f>
        <v>2240.49397943099</v>
      </c>
      <c r="L216" s="15" t="n">
        <f aca="false">K216*(1+IF(L$3&lt;=$O$2,$D216,$D216-($D216-$I$211)*MIN(L$3-$O$2,$Q$2)/$Q$2))</f>
        <v>2411.84695897787</v>
      </c>
      <c r="M216" s="15" t="n">
        <f aca="false">L216*(1+IF(M$3&lt;=$O$2,$D216,$D216-($D216-$I$211)*MIN(M$3-$O$2,$Q$2)/$Q$2))</f>
        <v>2532.17400376127</v>
      </c>
      <c r="N216" s="15" t="n">
        <f aca="false">M216*(1+IF(N$3&lt;=$O$2,$D216,$D216-($D216-$I$211)*MIN(N$3-$O$2,$Q$2)/$Q$2))</f>
        <v>2591.17365804891</v>
      </c>
      <c r="O216" s="15" t="n">
        <f aca="false">SUMPRODUCT(E216:N216,1/(1+$F$211)^$E$3:$N$3)*$E$2</f>
        <v>2724.98158717058</v>
      </c>
      <c r="P216" s="15" t="n">
        <f aca="false">N216*$E$2*(1+$I$211)/($F$211-$I$211)/(1+$F$211)^$N$3</f>
        <v>5975.8863548855</v>
      </c>
      <c r="Q216" s="15" t="n">
        <f aca="false">O216+P216</f>
        <v>8700.86794205607</v>
      </c>
      <c r="R216" s="15" t="n">
        <f aca="false">Q216-$G$2+$I$2</f>
        <v>8868.26794205607</v>
      </c>
      <c r="S216" s="42" t="n">
        <f aca="false">R216/$K$2</f>
        <v>252.011024213017</v>
      </c>
      <c r="T216" s="43" t="n">
        <f aca="false">S216-$M$2</f>
        <v>87.4756448438781</v>
      </c>
    </row>
    <row r="217" customFormat="false" ht="15" hidden="false" customHeight="false" outlineLevel="0" collapsed="false">
      <c r="A217" s="5" t="n">
        <v>5</v>
      </c>
      <c r="B217" s="25" t="n">
        <f aca="false">IF(T216&gt;0,B216,D216)</f>
        <v>0.0625</v>
      </c>
      <c r="C217" s="25" t="n">
        <f aca="false">IF(T216&gt;0,D216,C216)</f>
        <v>0.15625</v>
      </c>
      <c r="D217" s="41" t="n">
        <f aca="false">(B217+C217)/2</f>
        <v>0.109375</v>
      </c>
      <c r="E217" s="15" t="n">
        <f aca="false">$C$2*(1+IF(E$3&lt;=$O$2,$D217,$D217-($D217-$I$211)*MIN(E$3-$O$2,$Q$2)/$Q$2))</f>
        <v>965.18953125</v>
      </c>
      <c r="F217" s="15" t="n">
        <f aca="false">E217*(1+IF(F$3&lt;=$O$2,$D217,$D217-($D217-$I$211)*MIN(F$3-$O$2,$Q$2)/$Q$2))</f>
        <v>1070.75713623047</v>
      </c>
      <c r="G217" s="15" t="n">
        <f aca="false">F217*(1+IF(G$3&lt;=$O$2,$D217,$D217-($D217-$I$211)*MIN(G$3-$O$2,$Q$2)/$Q$2))</f>
        <v>1187.87119800568</v>
      </c>
      <c r="H217" s="15" t="n">
        <f aca="false">G217*(1+IF(H$3&lt;=$O$2,$D217,$D217-($D217-$I$211)*MIN(H$3-$O$2,$Q$2)/$Q$2))</f>
        <v>1317.79461028755</v>
      </c>
      <c r="I217" s="15" t="n">
        <f aca="false">H217*(1+IF(I$3&lt;=$O$2,$D217,$D217-($D217-$I$211)*MIN(I$3-$O$2,$Q$2)/$Q$2))</f>
        <v>1461.92839578775</v>
      </c>
      <c r="J217" s="15" t="n">
        <f aca="false">I217*(1+IF(J$3&lt;=$O$2,$D217,$D217-($D217-$I$211)*MIN(J$3-$O$2,$Q$2)/$Q$2))</f>
        <v>1596.65971674355</v>
      </c>
      <c r="K217" s="15" t="n">
        <f aca="false">J217*(1+IF(K$3&lt;=$O$2,$D217,$D217-($D217-$I$211)*MIN(K$3-$O$2,$Q$2)/$Q$2))</f>
        <v>1716.32137921489</v>
      </c>
      <c r="L217" s="15" t="n">
        <f aca="false">K217*(1+IF(L$3&lt;=$O$2,$D217,$D217-($D217-$I$211)*MIN(L$3-$O$2,$Q$2)/$Q$2))</f>
        <v>1815.40461243697</v>
      </c>
      <c r="M217" s="15" t="n">
        <f aca="false">L217*(1+IF(M$3&lt;=$O$2,$D217,$D217-($D217-$I$211)*MIN(M$3-$O$2,$Q$2)/$Q$2))</f>
        <v>1888.95573030985</v>
      </c>
      <c r="N217" s="15" t="n">
        <f aca="false">M217*(1+IF(N$3&lt;=$O$2,$D217,$D217-($D217-$I$211)*MIN(N$3-$O$2,$Q$2)/$Q$2))</f>
        <v>1932.96839882607</v>
      </c>
      <c r="O217" s="15" t="n">
        <f aca="false">SUMPRODUCT(E217:N217,1/(1+$F$211)^$E$3:$N$3)*$E$2</f>
        <v>2216.13299925367</v>
      </c>
      <c r="P217" s="15" t="n">
        <f aca="false">N217*$E$2*(1+$I$211)/($F$211-$I$211)/(1+$F$211)^$N$3</f>
        <v>4457.90248101987</v>
      </c>
      <c r="Q217" s="15" t="n">
        <f aca="false">O217+P217</f>
        <v>6674.03548027355</v>
      </c>
      <c r="R217" s="15" t="n">
        <f aca="false">Q217-$G$2+$I$2</f>
        <v>6841.43548027355</v>
      </c>
      <c r="S217" s="42" t="n">
        <f aca="false">R217/$K$2</f>
        <v>194.414193812832</v>
      </c>
      <c r="T217" s="43" t="n">
        <f aca="false">S217-$M$2</f>
        <v>29.8788144436927</v>
      </c>
    </row>
    <row r="218" customFormat="false" ht="15" hidden="false" customHeight="false" outlineLevel="0" collapsed="false">
      <c r="A218" s="5" t="n">
        <v>6</v>
      </c>
      <c r="B218" s="25" t="n">
        <f aca="false">IF(T217&gt;0,B217,D217)</f>
        <v>0.0625</v>
      </c>
      <c r="C218" s="25" t="n">
        <f aca="false">IF(T217&gt;0,D217,C217)</f>
        <v>0.109375</v>
      </c>
      <c r="D218" s="41" t="n">
        <f aca="false">(B218+C218)/2</f>
        <v>0.0859375</v>
      </c>
      <c r="E218" s="15" t="n">
        <f aca="false">$C$2*(1+IF(E$3&lt;=$O$2,$D218,$D218-($D218-$I$211)*MIN(E$3-$O$2,$Q$2)/$Q$2))</f>
        <v>944.798203125</v>
      </c>
      <c r="F218" s="15" t="n">
        <f aca="false">E218*(1+IF(F$3&lt;=$O$2,$D218,$D218-($D218-$I$211)*MIN(F$3-$O$2,$Q$2)/$Q$2))</f>
        <v>1025.99179870605</v>
      </c>
      <c r="G218" s="15" t="n">
        <f aca="false">F218*(1+IF(G$3&lt;=$O$2,$D218,$D218-($D218-$I$211)*MIN(G$3-$O$2,$Q$2)/$Q$2))</f>
        <v>1114.16296890736</v>
      </c>
      <c r="H218" s="15" t="n">
        <f aca="false">G218*(1+IF(H$3&lt;=$O$2,$D218,$D218-($D218-$I$211)*MIN(H$3-$O$2,$Q$2)/$Q$2))</f>
        <v>1209.91134904783</v>
      </c>
      <c r="I218" s="15" t="n">
        <f aca="false">H218*(1+IF(I$3&lt;=$O$2,$D218,$D218-($D218-$I$211)*MIN(I$3-$O$2,$Q$2)/$Q$2))</f>
        <v>1313.88810560663</v>
      </c>
      <c r="J218" s="15" t="n">
        <f aca="false">I218*(1+IF(J$3&lt;=$O$2,$D218,$D218-($D218-$I$211)*MIN(J$3-$O$2,$Q$2)/$Q$2))</f>
        <v>1410.34063143921</v>
      </c>
      <c r="K218" s="15" t="n">
        <f aca="false">J218*(1+IF(K$3&lt;=$O$2,$D218,$D218-($D218-$I$211)*MIN(K$3-$O$2,$Q$2)/$Q$2))</f>
        <v>1496.20569493281</v>
      </c>
      <c r="L218" s="15" t="n">
        <f aca="false">K218*(1+IF(L$3&lt;=$O$2,$D218,$D218-($D218-$I$211)*MIN(L$3-$O$2,$Q$2)/$Q$2))</f>
        <v>1568.55472131129</v>
      </c>
      <c r="M218" s="15" t="n">
        <f aca="false">L218*(1+IF(M$3&lt;=$O$2,$D218,$D218-($D218-$I$211)*MIN(M$3-$O$2,$Q$2)/$Q$2))</f>
        <v>1624.75211558907</v>
      </c>
      <c r="N218" s="15" t="n">
        <f aca="false">M218*(1+IF(N$3&lt;=$O$2,$D218,$D218-($D218-$I$211)*MIN(N$3-$O$2,$Q$2)/$Q$2))</f>
        <v>1662.60883988229</v>
      </c>
      <c r="O218" s="15" t="n">
        <f aca="false">SUMPRODUCT(E218:N218,1/(1+$F$211)^$E$3:$N$3)*$E$2</f>
        <v>1997.99296830869</v>
      </c>
      <c r="P218" s="15" t="n">
        <f aca="false">N218*$E$2*(1+$I$211)/($F$211-$I$211)/(1+$F$211)^$N$3</f>
        <v>3834.38657185402</v>
      </c>
      <c r="Q218" s="15" t="n">
        <f aca="false">O218+P218</f>
        <v>5832.37954016271</v>
      </c>
      <c r="R218" s="15" t="n">
        <f aca="false">Q218-$G$2+$I$2</f>
        <v>5999.77954016271</v>
      </c>
      <c r="S218" s="42" t="n">
        <f aca="false">R218/$K$2</f>
        <v>170.496718958872</v>
      </c>
      <c r="T218" s="43" t="n">
        <f aca="false">S218-$M$2</f>
        <v>5.96133958973309</v>
      </c>
    </row>
    <row r="219" customFormat="false" ht="15" hidden="false" customHeight="false" outlineLevel="0" collapsed="false">
      <c r="A219" s="5" t="n">
        <v>7</v>
      </c>
      <c r="B219" s="25" t="n">
        <f aca="false">IF(T218&gt;0,B218,D218)</f>
        <v>0.0625</v>
      </c>
      <c r="C219" s="25" t="n">
        <f aca="false">IF(T218&gt;0,D218,C218)</f>
        <v>0.0859375</v>
      </c>
      <c r="D219" s="41" t="n">
        <f aca="false">(B219+C219)/2</f>
        <v>0.07421875</v>
      </c>
      <c r="E219" s="15" t="n">
        <f aca="false">$C$2*(1+IF(E$3&lt;=$O$2,$D219,$D219-($D219-$I$211)*MIN(E$3-$O$2,$Q$2)/$Q$2))</f>
        <v>934.6025390625</v>
      </c>
      <c r="F219" s="15" t="n">
        <f aca="false">E219*(1+IF(F$3&lt;=$O$2,$D219,$D219-($D219-$I$211)*MIN(F$3-$O$2,$Q$2)/$Q$2))</f>
        <v>1003.96757125854</v>
      </c>
      <c r="G219" s="15" t="n">
        <f aca="false">F219*(1+IF(G$3&lt;=$O$2,$D219,$D219-($D219-$I$211)*MIN(G$3-$O$2,$Q$2)/$Q$2))</f>
        <v>1078.48078943789</v>
      </c>
      <c r="H219" s="15" t="n">
        <f aca="false">G219*(1+IF(H$3&lt;=$O$2,$D219,$D219-($D219-$I$211)*MIN(H$3-$O$2,$Q$2)/$Q$2))</f>
        <v>1158.52428552898</v>
      </c>
      <c r="I219" s="15" t="n">
        <f aca="false">H219*(1+IF(I$3&lt;=$O$2,$D219,$D219-($D219-$I$211)*MIN(I$3-$O$2,$Q$2)/$Q$2))</f>
        <v>1244.50850984559</v>
      </c>
      <c r="J219" s="15" t="n">
        <f aca="false">I219*(1+IF(J$3&lt;=$O$2,$D219,$D219-($D219-$I$211)*MIN(J$3-$O$2,$Q$2)/$Q$2))</f>
        <v>1324.20061227355</v>
      </c>
      <c r="K219" s="15" t="n">
        <f aca="false">J219*(1+IF(K$3&lt;=$O$2,$D219,$D219-($D219-$I$211)*MIN(K$3-$O$2,$Q$2)/$Q$2))</f>
        <v>1395.51047049525</v>
      </c>
      <c r="L219" s="15" t="n">
        <f aca="false">K219*(1+IF(L$3&lt;=$O$2,$D219,$D219-($D219-$I$211)*MIN(L$3-$O$2,$Q$2)/$Q$2))</f>
        <v>1456.4489239656</v>
      </c>
      <c r="M219" s="15" t="n">
        <f aca="false">L219*(1+IF(M$3&lt;=$O$2,$D219,$D219-($D219-$I$211)*MIN(M$3-$O$2,$Q$2)/$Q$2))</f>
        <v>1505.21629562343</v>
      </c>
      <c r="N219" s="15" t="n">
        <f aca="false">M219*(1+IF(N$3&lt;=$O$2,$D219,$D219-($D219-$I$211)*MIN(N$3-$O$2,$Q$2)/$Q$2))</f>
        <v>1540.28783531146</v>
      </c>
      <c r="O219" s="15" t="n">
        <f aca="false">SUMPRODUCT(E219:N219,1/(1+$F$211)^$E$3:$N$3)*$E$2</f>
        <v>1897.04175978993</v>
      </c>
      <c r="P219" s="15" t="n">
        <f aca="false">N219*$E$2*(1+$I$211)/($F$211-$I$211)/(1+$F$211)^$N$3</f>
        <v>3552.28412771249</v>
      </c>
      <c r="Q219" s="15" t="n">
        <f aca="false">O219+P219</f>
        <v>5449.32588750242</v>
      </c>
      <c r="R219" s="15" t="n">
        <f aca="false">Q219-$G$2+$I$2</f>
        <v>5616.72588750242</v>
      </c>
      <c r="S219" s="42" t="n">
        <f aca="false">R219/$K$2</f>
        <v>159.611420503053</v>
      </c>
      <c r="T219" s="43" t="n">
        <f aca="false">S219-$M$2</f>
        <v>-4.92395886608639</v>
      </c>
    </row>
    <row r="220" customFormat="false" ht="15" hidden="false" customHeight="false" outlineLevel="0" collapsed="false">
      <c r="A220" s="5" t="n">
        <v>8</v>
      </c>
      <c r="B220" s="25" t="n">
        <f aca="false">IF(T219&gt;0,B219,D219)</f>
        <v>0.07421875</v>
      </c>
      <c r="C220" s="25" t="n">
        <f aca="false">IF(T219&gt;0,D219,C219)</f>
        <v>0.0859375</v>
      </c>
      <c r="D220" s="41" t="n">
        <f aca="false">(B220+C220)/2</f>
        <v>0.080078125</v>
      </c>
      <c r="E220" s="15" t="n">
        <f aca="false">$C$2*(1+IF(E$3&lt;=$O$2,$D220,$D220-($D220-$I$211)*MIN(E$3-$O$2,$Q$2)/$Q$2))</f>
        <v>939.70037109375</v>
      </c>
      <c r="F220" s="15" t="n">
        <f aca="false">E220*(1+IF(F$3&lt;=$O$2,$D220,$D220-($D220-$I$211)*MIN(F$3-$O$2,$Q$2)/$Q$2))</f>
        <v>1014.94981487274</v>
      </c>
      <c r="G220" s="15" t="n">
        <f aca="false">F220*(1+IF(G$3&lt;=$O$2,$D220,$D220-($D220-$I$211)*MIN(G$3-$O$2,$Q$2)/$Q$2))</f>
        <v>1096.22509301685</v>
      </c>
      <c r="H220" s="15" t="n">
        <f aca="false">G220*(1+IF(H$3&lt;=$O$2,$D220,$D220-($D220-$I$211)*MIN(H$3-$O$2,$Q$2)/$Q$2))</f>
        <v>1184.00874304359</v>
      </c>
      <c r="I220" s="15" t="n">
        <f aca="false">H220*(1+IF(I$3&lt;=$O$2,$D220,$D220-($D220-$I$211)*MIN(I$3-$O$2,$Q$2)/$Q$2))</f>
        <v>1278.82194317013</v>
      </c>
      <c r="J220" s="15" t="n">
        <f aca="false">I220*(1+IF(J$3&lt;=$O$2,$D220,$D220-($D220-$I$211)*MIN(J$3-$O$2,$Q$2)/$Q$2))</f>
        <v>1366.70578415963</v>
      </c>
      <c r="K220" s="15" t="n">
        <f aca="false">J220*(1+IF(K$3&lt;=$O$2,$D220,$D220-($D220-$I$211)*MIN(K$3-$O$2,$Q$2)/$Q$2))</f>
        <v>1445.1094240413</v>
      </c>
      <c r="L220" s="15" t="n">
        <f aca="false">K220*(1+IF(L$3&lt;=$O$2,$D220,$D220-($D220-$I$211)*MIN(L$3-$O$2,$Q$2)/$Q$2))</f>
        <v>1511.60071502822</v>
      </c>
      <c r="M220" s="15" t="n">
        <f aca="false">L220*(1+IF(M$3&lt;=$O$2,$D220,$D220-($D220-$I$211)*MIN(M$3-$O$2,$Q$2)/$Q$2))</f>
        <v>1563.98618255797</v>
      </c>
      <c r="N220" s="15" t="n">
        <f aca="false">M220*(1+IF(N$3&lt;=$O$2,$D220,$D220-($D220-$I$211)*MIN(N$3-$O$2,$Q$2)/$Q$2))</f>
        <v>1600.42706061157</v>
      </c>
      <c r="O220" s="15" t="n">
        <f aca="false">SUMPRODUCT(E220:N220,1/(1+$F$211)^$E$3:$N$3)*$E$2</f>
        <v>1946.86729628894</v>
      </c>
      <c r="P220" s="15" t="n">
        <f aca="false">N220*$E$2*(1+$I$211)/($F$211-$I$211)/(1+$F$211)^$N$3</f>
        <v>3690.9800328472</v>
      </c>
      <c r="Q220" s="15" t="n">
        <f aca="false">O220+P220</f>
        <v>5637.84732913614</v>
      </c>
      <c r="R220" s="15" t="n">
        <f aca="false">Q220-$G$2+$I$2</f>
        <v>5805.24732913614</v>
      </c>
      <c r="S220" s="42" t="n">
        <f aca="false">R220/$K$2</f>
        <v>164.96866522126</v>
      </c>
      <c r="T220" s="43" t="n">
        <f aca="false">S220-$M$2</f>
        <v>0.433285852121003</v>
      </c>
    </row>
    <row r="221" customFormat="false" ht="15" hidden="false" customHeight="false" outlineLevel="0" collapsed="false">
      <c r="A221" s="5" t="n">
        <v>9</v>
      </c>
      <c r="B221" s="25" t="n">
        <f aca="false">IF(T220&gt;0,B220,D220)</f>
        <v>0.07421875</v>
      </c>
      <c r="C221" s="25" t="n">
        <f aca="false">IF(T220&gt;0,D220,C220)</f>
        <v>0.080078125</v>
      </c>
      <c r="D221" s="41" t="n">
        <f aca="false">(B221+C221)/2</f>
        <v>0.0771484375</v>
      </c>
      <c r="E221" s="15" t="n">
        <f aca="false">$C$2*(1+IF(E$3&lt;=$O$2,$D221,$D221-($D221-$I$211)*MIN(E$3-$O$2,$Q$2)/$Q$2))</f>
        <v>937.151455078125</v>
      </c>
      <c r="F221" s="15" t="n">
        <f aca="false">E221*(1+IF(F$3&lt;=$O$2,$D221,$D221-($D221-$I$211)*MIN(F$3-$O$2,$Q$2)/$Q$2))</f>
        <v>1009.45122553825</v>
      </c>
      <c r="G221" s="15" t="n">
        <f aca="false">F221*(1+IF(G$3&lt;=$O$2,$D221,$D221-($D221-$I$211)*MIN(G$3-$O$2,$Q$2)/$Q$2))</f>
        <v>1087.32881032099</v>
      </c>
      <c r="H221" s="15" t="n">
        <f aca="false">G221*(1+IF(H$3&lt;=$O$2,$D221,$D221-($D221-$I$211)*MIN(H$3-$O$2,$Q$2)/$Q$2))</f>
        <v>1171.21452908599</v>
      </c>
      <c r="I221" s="15" t="n">
        <f aca="false">H221*(1+IF(I$3&lt;=$O$2,$D221,$D221-($D221-$I$211)*MIN(I$3-$O$2,$Q$2)/$Q$2))</f>
        <v>1261.57189998227</v>
      </c>
      <c r="J221" s="15" t="n">
        <f aca="false">I221*(1+IF(J$3&lt;=$O$2,$D221,$D221-($D221-$I$211)*MIN(J$3-$O$2,$Q$2)/$Q$2))</f>
        <v>1345.31346573822</v>
      </c>
      <c r="K221" s="15" t="n">
        <f aca="false">J221*(1+IF(K$3&lt;=$O$2,$D221,$D221-($D221-$I$211)*MIN(K$3-$O$2,$Q$2)/$Q$2))</f>
        <v>1420.12508633655</v>
      </c>
      <c r="L221" s="15" t="n">
        <f aca="false">K221*(1+IF(L$3&lt;=$O$2,$D221,$D221-($D221-$I$211)*MIN(L$3-$O$2,$Q$2)/$Q$2))</f>
        <v>1483.8026076297</v>
      </c>
      <c r="M221" s="15" t="n">
        <f aca="false">L221*(1+IF(M$3&lt;=$O$2,$D221,$D221-($D221-$I$211)*MIN(M$3-$O$2,$Q$2)/$Q$2))</f>
        <v>1534.35529878333</v>
      </c>
      <c r="N221" s="15" t="n">
        <f aca="false">M221*(1+IF(N$3&lt;=$O$2,$D221,$D221-($D221-$I$211)*MIN(N$3-$O$2,$Q$2)/$Q$2))</f>
        <v>1570.10577724498</v>
      </c>
      <c r="O221" s="15" t="n">
        <f aca="false">SUMPRODUCT(E221:N221,1/(1+$F$211)^$E$3:$N$3)*$E$2</f>
        <v>1921.79394274973</v>
      </c>
      <c r="P221" s="15" t="n">
        <f aca="false">N221*$E$2*(1+$I$211)/($F$211-$I$211)/(1+$F$211)^$N$3</f>
        <v>3621.05166545656</v>
      </c>
      <c r="Q221" s="15" t="n">
        <f aca="false">O221+P221</f>
        <v>5542.84560820629</v>
      </c>
      <c r="R221" s="15" t="n">
        <f aca="false">Q221-$G$2+$I$2</f>
        <v>5710.24560820629</v>
      </c>
      <c r="S221" s="42" t="n">
        <f aca="false">R221/$K$2</f>
        <v>162.268985740446</v>
      </c>
      <c r="T221" s="43" t="n">
        <f aca="false">S221-$M$2</f>
        <v>-2.26639362869324</v>
      </c>
    </row>
    <row r="222" customFormat="false" ht="15" hidden="false" customHeight="false" outlineLevel="0" collapsed="false">
      <c r="A222" s="5" t="n">
        <v>10</v>
      </c>
      <c r="B222" s="25" t="n">
        <f aca="false">IF(T221&gt;0,B221,D221)</f>
        <v>0.0771484375</v>
      </c>
      <c r="C222" s="25" t="n">
        <f aca="false">IF(T221&gt;0,D221,C221)</f>
        <v>0.080078125</v>
      </c>
      <c r="D222" s="41" t="n">
        <f aca="false">(B222+C222)/2</f>
        <v>0.07861328125</v>
      </c>
      <c r="E222" s="15" t="n">
        <f aca="false">$C$2*(1+IF(E$3&lt;=$O$2,$D222,$D222-($D222-$I$211)*MIN(E$3-$O$2,$Q$2)/$Q$2))</f>
        <v>938.425913085938</v>
      </c>
      <c r="F222" s="15" t="n">
        <f aca="false">E222*(1+IF(F$3&lt;=$O$2,$D222,$D222-($D222-$I$211)*MIN(F$3-$O$2,$Q$2)/$Q$2))</f>
        <v>1012.19865332365</v>
      </c>
      <c r="G222" s="15" t="n">
        <f aca="false">F222*(1+IF(G$3&lt;=$O$2,$D222,$D222-($D222-$I$211)*MIN(G$3-$O$2,$Q$2)/$Q$2))</f>
        <v>1091.77091073825</v>
      </c>
      <c r="H222" s="15" t="n">
        <f aca="false">G222*(1+IF(H$3&lt;=$O$2,$D222,$D222-($D222-$I$211)*MIN(H$3-$O$2,$Q$2)/$Q$2))</f>
        <v>1177.59860440469</v>
      </c>
      <c r="I222" s="15" t="n">
        <f aca="false">H222*(1+IF(I$3&lt;=$O$2,$D222,$D222-($D222-$I$211)*MIN(I$3-$O$2,$Q$2)/$Q$2))</f>
        <v>1270.17349469236</v>
      </c>
      <c r="J222" s="15" t="n">
        <f aca="false">I222*(1+IF(J$3&lt;=$O$2,$D222,$D222-($D222-$I$211)*MIN(J$3-$O$2,$Q$2)/$Q$2))</f>
        <v>1355.97450811727</v>
      </c>
      <c r="K222" s="15" t="n">
        <f aca="false">J222*(1+IF(K$3&lt;=$O$2,$D222,$D222-($D222-$I$211)*MIN(K$3-$O$2,$Q$2)/$Q$2))</f>
        <v>1432.57075375759</v>
      </c>
      <c r="L222" s="15" t="n">
        <f aca="false">K222*(1+IF(L$3&lt;=$O$2,$D222,$D222-($D222-$I$211)*MIN(L$3-$O$2,$Q$2)/$Q$2))</f>
        <v>1497.64572792539</v>
      </c>
      <c r="M222" s="15" t="n">
        <f aca="false">L222*(1+IF(M$3&lt;=$O$2,$D222,$D222-($D222-$I$211)*MIN(M$3-$O$2,$Q$2)/$Q$2))</f>
        <v>1549.10881325837</v>
      </c>
      <c r="N222" s="15" t="n">
        <f aca="false">M222*(1+IF(N$3&lt;=$O$2,$D222,$D222-($D222-$I$211)*MIN(N$3-$O$2,$Q$2)/$Q$2))</f>
        <v>1585.20304860729</v>
      </c>
      <c r="O222" s="15" t="n">
        <f aca="false">SUMPRODUCT(E222:N222,1/(1+$F$211)^$E$3:$N$3)*$E$2</f>
        <v>1934.29023329801</v>
      </c>
      <c r="P222" s="15" t="n">
        <f aca="false">N222*$E$2*(1+$I$211)/($F$211-$I$211)/(1+$F$211)^$N$3</f>
        <v>3655.86970154217</v>
      </c>
      <c r="Q222" s="15" t="n">
        <f aca="false">O222+P222</f>
        <v>5590.15993484018</v>
      </c>
      <c r="R222" s="15" t="n">
        <f aca="false">Q222-$G$2+$I$2</f>
        <v>5757.55993484018</v>
      </c>
      <c r="S222" s="42" t="n">
        <f aca="false">R222/$K$2</f>
        <v>163.613524718391</v>
      </c>
      <c r="T222" s="43" t="n">
        <f aca="false">S222-$M$2</f>
        <v>-0.921854650748088</v>
      </c>
    </row>
    <row r="223" customFormat="false" ht="15" hidden="false" customHeight="false" outlineLevel="0" collapsed="false">
      <c r="A223" s="5" t="n">
        <v>11</v>
      </c>
      <c r="B223" s="25" t="n">
        <f aca="false">IF(T222&gt;0,B222,D222)</f>
        <v>0.07861328125</v>
      </c>
      <c r="C223" s="25" t="n">
        <f aca="false">IF(T222&gt;0,D222,C222)</f>
        <v>0.080078125</v>
      </c>
      <c r="D223" s="41" t="n">
        <f aca="false">(B223+C223)/2</f>
        <v>0.079345703125</v>
      </c>
      <c r="E223" s="15" t="n">
        <f aca="false">$C$2*(1+IF(E$3&lt;=$O$2,$D223,$D223-($D223-$I$211)*MIN(E$3-$O$2,$Q$2)/$Q$2))</f>
        <v>939.063142089844</v>
      </c>
      <c r="F223" s="15" t="n">
        <f aca="false">E223*(1+IF(F$3&lt;=$O$2,$D223,$D223-($D223-$I$211)*MIN(F$3-$O$2,$Q$2)/$Q$2))</f>
        <v>1013.57376737773</v>
      </c>
      <c r="G223" s="15" t="n">
        <f aca="false">F223*(1+IF(G$3&lt;=$O$2,$D223,$D223-($D223-$I$211)*MIN(G$3-$O$2,$Q$2)/$Q$2))</f>
        <v>1093.99649061938</v>
      </c>
      <c r="H223" s="15" t="n">
        <f aca="false">G223*(1+IF(H$3&lt;=$O$2,$D223,$D223-($D223-$I$211)*MIN(H$3-$O$2,$Q$2)/$Q$2))</f>
        <v>1180.80041138385</v>
      </c>
      <c r="I223" s="15" t="n">
        <f aca="false">H223*(1+IF(I$3&lt;=$O$2,$D223,$D223-($D223-$I$211)*MIN(I$3-$O$2,$Q$2)/$Q$2))</f>
        <v>1274.49185027539</v>
      </c>
      <c r="J223" s="15" t="n">
        <f aca="false">I223*(1+IF(J$3&lt;=$O$2,$D223,$D223-($D223-$I$211)*MIN(J$3-$O$2,$Q$2)/$Q$2))</f>
        <v>1361.33134388742</v>
      </c>
      <c r="K223" s="15" t="n">
        <f aca="false">J223*(1+IF(K$3&lt;=$O$2,$D223,$D223-($D223-$I$211)*MIN(K$3-$O$2,$Q$2)/$Q$2))</f>
        <v>1438.82842761256</v>
      </c>
      <c r="L223" s="15" t="n">
        <f aca="false">K223*(1+IF(L$3&lt;=$O$2,$D223,$D223-($D223-$I$211)*MIN(L$3-$O$2,$Q$2)/$Q$2))</f>
        <v>1504.60919033665</v>
      </c>
      <c r="M223" s="15" t="n">
        <f aca="false">L223*(1+IF(M$3&lt;=$O$2,$D223,$D223-($D223-$I$211)*MIN(M$3-$O$2,$Q$2)/$Q$2))</f>
        <v>1556.53196047164</v>
      </c>
      <c r="N223" s="15" t="n">
        <f aca="false">M223*(1+IF(N$3&lt;=$O$2,$D223,$D223-($D223-$I$211)*MIN(N$3-$O$2,$Q$2)/$Q$2))</f>
        <v>1592.79915515063</v>
      </c>
      <c r="O223" s="15" t="n">
        <f aca="false">SUMPRODUCT(E223:N223,1/(1+$F$211)^$E$3:$N$3)*$E$2</f>
        <v>1940.56863811503</v>
      </c>
      <c r="P223" s="15" t="n">
        <f aca="false">N223*$E$2*(1+$I$211)/($F$211-$I$211)/(1+$F$211)^$N$3</f>
        <v>3673.38819911628</v>
      </c>
      <c r="Q223" s="15" t="n">
        <f aca="false">O223+P223</f>
        <v>5613.95683723131</v>
      </c>
      <c r="R223" s="15" t="n">
        <f aca="false">Q223-$G$2+$I$2</f>
        <v>5781.35683723131</v>
      </c>
      <c r="S223" s="42" t="n">
        <f aca="false">R223/$K$2</f>
        <v>164.289765195547</v>
      </c>
      <c r="T223" s="43" t="n">
        <f aca="false">S223-$M$2</f>
        <v>-0.245614173591775</v>
      </c>
    </row>
    <row r="224" customFormat="false" ht="15" hidden="false" customHeight="false" outlineLevel="0" collapsed="false">
      <c r="A224" s="5" t="n">
        <v>12</v>
      </c>
      <c r="B224" s="25" t="n">
        <f aca="false">IF(T223&gt;0,B223,D223)</f>
        <v>0.079345703125</v>
      </c>
      <c r="C224" s="25" t="n">
        <f aca="false">IF(T223&gt;0,D223,C223)</f>
        <v>0.080078125</v>
      </c>
      <c r="D224" s="41" t="n">
        <f aca="false">(B224+C224)/2</f>
        <v>0.0797119140625</v>
      </c>
      <c r="E224" s="15" t="n">
        <f aca="false">$C$2*(1+IF(E$3&lt;=$O$2,$D224,$D224-($D224-$I$211)*MIN(E$3-$O$2,$Q$2)/$Q$2))</f>
        <v>939.381756591797</v>
      </c>
      <c r="F224" s="15" t="n">
        <f aca="false">E224*(1+IF(F$3&lt;=$O$2,$D224,$D224-($D224-$I$211)*MIN(F$3-$O$2,$Q$2)/$Q$2))</f>
        <v>1014.26167444512</v>
      </c>
      <c r="G224" s="15" t="n">
        <f aca="false">F224*(1+IF(G$3&lt;=$O$2,$D224,$D224-($D224-$I$211)*MIN(G$3-$O$2,$Q$2)/$Q$2))</f>
        <v>1095.11041387538</v>
      </c>
      <c r="H224" s="15" t="n">
        <f aca="false">G224*(1+IF(H$3&lt;=$O$2,$D224,$D224-($D224-$I$211)*MIN(H$3-$O$2,$Q$2)/$Q$2))</f>
        <v>1182.40376107516</v>
      </c>
      <c r="I224" s="15" t="n">
        <f aca="false">H224*(1+IF(I$3&lt;=$O$2,$D224,$D224-($D224-$I$211)*MIN(I$3-$O$2,$Q$2)/$Q$2))</f>
        <v>1276.65542806516</v>
      </c>
      <c r="J224" s="15" t="n">
        <f aca="false">I224*(1+IF(J$3&lt;=$O$2,$D224,$D224-($D224-$I$211)*MIN(J$3-$O$2,$Q$2)/$Q$2))</f>
        <v>1364.01636057543</v>
      </c>
      <c r="K224" s="15" t="n">
        <f aca="false">J224*(1+IF(K$3&lt;=$O$2,$D224,$D224-($D224-$I$211)*MIN(K$3-$O$2,$Q$2)/$Q$2))</f>
        <v>1441.96600600441</v>
      </c>
      <c r="L224" s="15" t="n">
        <f aca="false">K224*(1+IF(L$3&lt;=$O$2,$D224,$D224-($D224-$I$211)*MIN(L$3-$O$2,$Q$2)/$Q$2))</f>
        <v>1508.10143890902</v>
      </c>
      <c r="M224" s="15" t="n">
        <f aca="false">L224*(1+IF(M$3&lt;=$O$2,$D224,$D224-($D224-$I$211)*MIN(M$3-$O$2,$Q$2)/$Q$2))</f>
        <v>1560.25518018946</v>
      </c>
      <c r="N224" s="15" t="n">
        <f aca="false">M224*(1+IF(N$3&lt;=$O$2,$D224,$D224-($D224-$I$211)*MIN(N$3-$O$2,$Q$2)/$Q$2))</f>
        <v>1596.60912588787</v>
      </c>
      <c r="O224" s="15" t="n">
        <f aca="false">SUMPRODUCT(E224:N224,1/(1+$F$211)^$E$3:$N$3)*$E$2</f>
        <v>1943.71543175847</v>
      </c>
      <c r="P224" s="15" t="n">
        <f aca="false">N224*$E$2*(1+$I$211)/($F$211-$I$211)/(1+$F$211)^$N$3</f>
        <v>3682.17493252198</v>
      </c>
      <c r="Q224" s="15" t="n">
        <f aca="false">O224+P224</f>
        <v>5625.89036428045</v>
      </c>
      <c r="R224" s="15" t="n">
        <f aca="false">Q224-$G$2+$I$2</f>
        <v>5793.29036428045</v>
      </c>
      <c r="S224" s="42" t="n">
        <f aca="false">R224/$K$2</f>
        <v>164.628882190408</v>
      </c>
      <c r="T224" s="43" t="n">
        <f aca="false">S224-$M$2</f>
        <v>0.0935028212689133</v>
      </c>
    </row>
    <row r="225" customFormat="false" ht="15" hidden="false" customHeight="false" outlineLevel="0" collapsed="false">
      <c r="A225" s="5" t="n">
        <v>13</v>
      </c>
      <c r="B225" s="25" t="n">
        <f aca="false">IF(T224&gt;0,B224,D224)</f>
        <v>0.079345703125</v>
      </c>
      <c r="C225" s="25" t="n">
        <f aca="false">IF(T224&gt;0,D224,C224)</f>
        <v>0.0797119140625</v>
      </c>
      <c r="D225" s="41" t="n">
        <f aca="false">(B225+C225)/2</f>
        <v>0.07952880859375</v>
      </c>
      <c r="E225" s="15" t="n">
        <f aca="false">$C$2*(1+IF(E$3&lt;=$O$2,$D225,$D225-($D225-$I$211)*MIN(E$3-$O$2,$Q$2)/$Q$2))</f>
        <v>939.22244934082</v>
      </c>
      <c r="F225" s="15" t="n">
        <f aca="false">E225*(1+IF(F$3&lt;=$O$2,$D225,$D225-($D225-$I$211)*MIN(F$3-$O$2,$Q$2)/$Q$2))</f>
        <v>1013.9176917414</v>
      </c>
      <c r="G225" s="15" t="n">
        <f aca="false">F225*(1+IF(G$3&lt;=$O$2,$D225,$D225-($D225-$I$211)*MIN(G$3-$O$2,$Q$2)/$Q$2))</f>
        <v>1094.55335777772</v>
      </c>
      <c r="H225" s="15" t="n">
        <f aca="false">G225*(1+IF(H$3&lt;=$O$2,$D225,$D225-($D225-$I$211)*MIN(H$3-$O$2,$Q$2)/$Q$2))</f>
        <v>1181.60188226407</v>
      </c>
      <c r="I225" s="15" t="n">
        <f aca="false">H225*(1+IF(I$3&lt;=$O$2,$D225,$D225-($D225-$I$211)*MIN(I$3-$O$2,$Q$2)/$Q$2))</f>
        <v>1275.57327219266</v>
      </c>
      <c r="J225" s="15" t="n">
        <f aca="false">I225*(1+IF(J$3&lt;=$O$2,$D225,$D225-($D225-$I$211)*MIN(J$3-$O$2,$Q$2)/$Q$2))</f>
        <v>1362.67330173029</v>
      </c>
      <c r="K225" s="15" t="n">
        <f aca="false">J225*(1+IF(K$3&lt;=$O$2,$D225,$D225-($D225-$I$211)*MIN(K$3-$O$2,$Q$2)/$Q$2))</f>
        <v>1440.39648741589</v>
      </c>
      <c r="L225" s="15" t="n">
        <f aca="false">K225*(1+IF(L$3&lt;=$O$2,$D225,$D225-($D225-$I$211)*MIN(L$3-$O$2,$Q$2)/$Q$2))</f>
        <v>1506.35443692869</v>
      </c>
      <c r="M225" s="15" t="n">
        <f aca="false">L225*(1+IF(M$3&lt;=$O$2,$D225,$D225-($D225-$I$211)*MIN(M$3-$O$2,$Q$2)/$Q$2))</f>
        <v>1558.39259837081</v>
      </c>
      <c r="N225" s="15" t="n">
        <f aca="false">M225*(1+IF(N$3&lt;=$O$2,$D225,$D225-($D225-$I$211)*MIN(N$3-$O$2,$Q$2)/$Q$2))</f>
        <v>1594.70314591285</v>
      </c>
      <c r="O225" s="15" t="n">
        <f aca="false">SUMPRODUCT(E225:N225,1/(1+$F$211)^$E$3:$N$3)*$E$2</f>
        <v>1942.14140154799</v>
      </c>
      <c r="P225" s="15" t="n">
        <f aca="false">N225*$E$2*(1+$I$211)/($F$211-$I$211)/(1+$F$211)^$N$3</f>
        <v>3677.77927201114</v>
      </c>
      <c r="Q225" s="15" t="n">
        <f aca="false">O225+P225</f>
        <v>5619.92067355913</v>
      </c>
      <c r="R225" s="15" t="n">
        <f aca="false">Q225-$G$2+$I$2</f>
        <v>5787.32067355913</v>
      </c>
      <c r="S225" s="42" t="n">
        <f aca="false">R225/$K$2</f>
        <v>164.459240510348</v>
      </c>
      <c r="T225" s="43" t="n">
        <f aca="false">S225-$M$2</f>
        <v>-0.0761388587914667</v>
      </c>
    </row>
    <row r="226" customFormat="false" ht="15" hidden="false" customHeight="false" outlineLevel="0" collapsed="false">
      <c r="A226" s="5" t="n">
        <v>14</v>
      </c>
      <c r="B226" s="25" t="n">
        <f aca="false">IF(T225&gt;0,B225,D225)</f>
        <v>0.07952880859375</v>
      </c>
      <c r="C226" s="25" t="n">
        <f aca="false">IF(T225&gt;0,D225,C225)</f>
        <v>0.0797119140625</v>
      </c>
      <c r="D226" s="41" t="n">
        <f aca="false">(B226+C226)/2</f>
        <v>0.079620361328125</v>
      </c>
      <c r="E226" s="15" t="n">
        <f aca="false">$C$2*(1+IF(E$3&lt;=$O$2,$D226,$D226-($D226-$I$211)*MIN(E$3-$O$2,$Q$2)/$Q$2))</f>
        <v>939.302102966309</v>
      </c>
      <c r="F226" s="15" t="n">
        <f aca="false">E226*(1+IF(F$3&lt;=$O$2,$D226,$D226-($D226-$I$211)*MIN(F$3-$O$2,$Q$2)/$Q$2))</f>
        <v>1014.08967580075</v>
      </c>
      <c r="G226" s="15" t="n">
        <f aca="false">F226*(1+IF(G$3&lt;=$O$2,$D226,$D226-($D226-$I$211)*MIN(G$3-$O$2,$Q$2)/$Q$2))</f>
        <v>1094.83186220713</v>
      </c>
      <c r="H226" s="15" t="n">
        <f aca="false">G226*(1+IF(H$3&lt;=$O$2,$D226,$D226-($D226-$I$211)*MIN(H$3-$O$2,$Q$2)/$Q$2))</f>
        <v>1182.00277066961</v>
      </c>
      <c r="I226" s="15" t="n">
        <f aca="false">H226*(1+IF(I$3&lt;=$O$2,$D226,$D226-($D226-$I$211)*MIN(I$3-$O$2,$Q$2)/$Q$2))</f>
        <v>1276.11425836117</v>
      </c>
      <c r="J226" s="15" t="n">
        <f aca="false">I226*(1+IF(J$3&lt;=$O$2,$D226,$D226-($D226-$I$211)*MIN(J$3-$O$2,$Q$2)/$Q$2))</f>
        <v>1363.34469348248</v>
      </c>
      <c r="K226" s="15" t="n">
        <f aca="false">J226*(1+IF(K$3&lt;=$O$2,$D226,$D226-($D226-$I$211)*MIN(K$3-$O$2,$Q$2)/$Q$2))</f>
        <v>1441.18106429165</v>
      </c>
      <c r="L226" s="15" t="n">
        <f aca="false">K226*(1+IF(L$3&lt;=$O$2,$D226,$D226-($D226-$I$211)*MIN(L$3-$O$2,$Q$2)/$Q$2))</f>
        <v>1507.22771840171</v>
      </c>
      <c r="M226" s="15" t="n">
        <f aca="false">L226*(1+IF(M$3&lt;=$O$2,$D226,$D226-($D226-$I$211)*MIN(M$3-$O$2,$Q$2)/$Q$2))</f>
        <v>1559.3236461813</v>
      </c>
      <c r="N226" s="15" t="n">
        <f aca="false">M226*(1+IF(N$3&lt;=$O$2,$D226,$D226-($D226-$I$211)*MIN(N$3-$O$2,$Q$2)/$Q$2))</f>
        <v>1595.65588713732</v>
      </c>
      <c r="O226" s="15" t="n">
        <f aca="false">SUMPRODUCT(E226:N226,1/(1+$F$211)^$E$3:$N$3)*$E$2</f>
        <v>1942.92825824705</v>
      </c>
      <c r="P226" s="15" t="n">
        <f aca="false">N226*$E$2*(1+$I$211)/($F$211-$I$211)/(1+$F$211)^$N$3</f>
        <v>3679.97652855757</v>
      </c>
      <c r="Q226" s="15" t="n">
        <f aca="false">O226+P226</f>
        <v>5622.90478680462</v>
      </c>
      <c r="R226" s="15" t="n">
        <f aca="false">Q226-$G$2+$I$2</f>
        <v>5790.30478680462</v>
      </c>
      <c r="S226" s="42" t="n">
        <f aca="false">R226/$K$2</f>
        <v>164.544040545741</v>
      </c>
      <c r="T226" s="43" t="n">
        <f aca="false">S226-$M$2</f>
        <v>0.00866117660171994</v>
      </c>
    </row>
    <row r="227" customFormat="false" ht="15" hidden="false" customHeight="false" outlineLevel="0" collapsed="false">
      <c r="A227" s="5" t="n">
        <v>15</v>
      </c>
      <c r="B227" s="25" t="n">
        <f aca="false">IF(T226&gt;0,B226,D226)</f>
        <v>0.07952880859375</v>
      </c>
      <c r="C227" s="25" t="n">
        <f aca="false">IF(T226&gt;0,D226,C226)</f>
        <v>0.079620361328125</v>
      </c>
      <c r="D227" s="41" t="n">
        <f aca="false">(B227+C227)/2</f>
        <v>0.0795745849609375</v>
      </c>
      <c r="E227" s="15" t="n">
        <f aca="false">$C$2*(1+IF(E$3&lt;=$O$2,$D227,$D227-($D227-$I$211)*MIN(E$3-$O$2,$Q$2)/$Q$2))</f>
        <v>939.262276153565</v>
      </c>
      <c r="F227" s="15" t="n">
        <f aca="false">E227*(1+IF(F$3&lt;=$O$2,$D227,$D227-($D227-$I$211)*MIN(F$3-$O$2,$Q$2)/$Q$2))</f>
        <v>1014.00368194795</v>
      </c>
      <c r="G227" s="15" t="n">
        <f aca="false">F227*(1+IF(G$3&lt;=$O$2,$D227,$D227-($D227-$I$211)*MIN(G$3-$O$2,$Q$2)/$Q$2))</f>
        <v>1094.69260408782</v>
      </c>
      <c r="H227" s="15" t="n">
        <f aca="false">G227*(1+IF(H$3&lt;=$O$2,$D227,$D227-($D227-$I$211)*MIN(H$3-$O$2,$Q$2)/$Q$2))</f>
        <v>1181.80231371792</v>
      </c>
      <c r="I227" s="15" t="n">
        <f aca="false">H227*(1+IF(I$3&lt;=$O$2,$D227,$D227-($D227-$I$211)*MIN(I$3-$O$2,$Q$2)/$Q$2))</f>
        <v>1275.8437423379</v>
      </c>
      <c r="J227" s="15" t="n">
        <f aca="false">I227*(1+IF(J$3&lt;=$O$2,$D227,$D227-($D227-$I$211)*MIN(J$3-$O$2,$Q$2)/$Q$2))</f>
        <v>1363.00896319443</v>
      </c>
      <c r="K227" s="15" t="n">
        <f aca="false">J227*(1+IF(K$3&lt;=$O$2,$D227,$D227-($D227-$I$211)*MIN(K$3-$O$2,$Q$2)/$Q$2))</f>
        <v>1440.78873025794</v>
      </c>
      <c r="L227" s="15" t="n">
        <f aca="false">K227*(1+IF(L$3&lt;=$O$2,$D227,$D227-($D227-$I$211)*MIN(L$3-$O$2,$Q$2)/$Q$2))</f>
        <v>1506.79102279762</v>
      </c>
      <c r="M227" s="15" t="n">
        <f aca="false">L227*(1+IF(M$3&lt;=$O$2,$D227,$D227-($D227-$I$211)*MIN(M$3-$O$2,$Q$2)/$Q$2))</f>
        <v>1558.85806151496</v>
      </c>
      <c r="N227" s="15" t="n">
        <f aca="false">M227*(1+IF(N$3&lt;=$O$2,$D227,$D227-($D227-$I$211)*MIN(N$3-$O$2,$Q$2)/$Q$2))</f>
        <v>1595.17945434826</v>
      </c>
      <c r="O227" s="15" t="n">
        <f aca="false">SUMPRODUCT(E227:N227,1/(1+$F$211)^$E$3:$N$3)*$E$2</f>
        <v>1942.53479030335</v>
      </c>
      <c r="P227" s="15" t="n">
        <f aca="false">N227*$E$2*(1+$I$211)/($F$211-$I$211)/(1+$F$211)^$N$3</f>
        <v>3678.87775688924</v>
      </c>
      <c r="Q227" s="15" t="n">
        <f aca="false">O227+P227</f>
        <v>5621.41254719259</v>
      </c>
      <c r="R227" s="15" t="n">
        <f aca="false">Q227-$G$2+$I$2</f>
        <v>5788.81254719259</v>
      </c>
      <c r="S227" s="42" t="n">
        <f aca="false">R227/$K$2</f>
        <v>164.501635328008</v>
      </c>
      <c r="T227" s="43" t="n">
        <f aca="false">S227-$M$2</f>
        <v>-0.0337440411313992</v>
      </c>
    </row>
    <row r="228" customFormat="false" ht="15" hidden="false" customHeight="false" outlineLevel="0" collapsed="false">
      <c r="A228" s="5" t="n">
        <v>16</v>
      </c>
      <c r="B228" s="25" t="n">
        <f aca="false">IF(T227&gt;0,B227,D227)</f>
        <v>0.0795745849609375</v>
      </c>
      <c r="C228" s="25" t="n">
        <f aca="false">IF(T227&gt;0,D227,C227)</f>
        <v>0.079620361328125</v>
      </c>
      <c r="D228" s="41" t="n">
        <f aca="false">(B228+C228)/2</f>
        <v>0.0795974731445313</v>
      </c>
      <c r="E228" s="15" t="n">
        <f aca="false">$C$2*(1+IF(E$3&lt;=$O$2,$D228,$D228-($D228-$I$211)*MIN(E$3-$O$2,$Q$2)/$Q$2))</f>
        <v>939.282189559937</v>
      </c>
      <c r="F228" s="15" t="n">
        <f aca="false">E228*(1+IF(F$3&lt;=$O$2,$D228,$D228-($D228-$I$211)*MIN(F$3-$O$2,$Q$2)/$Q$2))</f>
        <v>1014.04667841857</v>
      </c>
      <c r="G228" s="15" t="n">
        <f aca="false">F228*(1+IF(G$3&lt;=$O$2,$D228,$D228-($D228-$I$211)*MIN(G$3-$O$2,$Q$2)/$Q$2))</f>
        <v>1094.76223167129</v>
      </c>
      <c r="H228" s="15" t="n">
        <f aca="false">G228*(1+IF(H$3&lt;=$O$2,$D228,$D228-($D228-$I$211)*MIN(H$3-$O$2,$Q$2)/$Q$2))</f>
        <v>1181.9025390064</v>
      </c>
      <c r="I228" s="15" t="n">
        <f aca="false">H228*(1+IF(I$3&lt;=$O$2,$D228,$D228-($D228-$I$211)*MIN(I$3-$O$2,$Q$2)/$Q$2))</f>
        <v>1275.97899461441</v>
      </c>
      <c r="J228" s="15" t="n">
        <f aca="false">I228*(1+IF(J$3&lt;=$O$2,$D228,$D228-($D228-$I$211)*MIN(J$3-$O$2,$Q$2)/$Q$2))</f>
        <v>1363.17681973476</v>
      </c>
      <c r="K228" s="15" t="n">
        <f aca="false">J228*(1+IF(K$3&lt;=$O$2,$D228,$D228-($D228-$I$211)*MIN(K$3-$O$2,$Q$2)/$Q$2))</f>
        <v>1440.98488587474</v>
      </c>
      <c r="L228" s="15" t="n">
        <f aca="false">K228*(1+IF(L$3&lt;=$O$2,$D228,$D228-($D228-$I$211)*MIN(L$3-$O$2,$Q$2)/$Q$2))</f>
        <v>1507.0093568813</v>
      </c>
      <c r="M228" s="15" t="n">
        <f aca="false">L228*(1+IF(M$3&lt;=$O$2,$D228,$D228-($D228-$I$211)*MIN(M$3-$O$2,$Q$2)/$Q$2))</f>
        <v>1559.09083865615</v>
      </c>
      <c r="N228" s="15" t="n">
        <f aca="false">M228*(1+IF(N$3&lt;=$O$2,$D228,$D228-($D228-$I$211)*MIN(N$3-$O$2,$Q$2)/$Q$2))</f>
        <v>1595.41765519684</v>
      </c>
      <c r="O228" s="15" t="n">
        <f aca="false">SUMPRODUCT(E228:N228,1/(1+$F$211)^$E$3:$N$3)*$E$2</f>
        <v>1942.73151437574</v>
      </c>
      <c r="P228" s="15" t="n">
        <f aca="false">N228*$E$2*(1+$I$211)/($F$211-$I$211)/(1+$F$211)^$N$3</f>
        <v>3679.4271068706</v>
      </c>
      <c r="Q228" s="15" t="n">
        <f aca="false">O228+P228</f>
        <v>5622.15862124634</v>
      </c>
      <c r="R228" s="15" t="n">
        <f aca="false">Q228-$G$2+$I$2</f>
        <v>5789.55862124634</v>
      </c>
      <c r="S228" s="42" t="n">
        <f aca="false">R228/$K$2</f>
        <v>164.522836636725</v>
      </c>
      <c r="T228" s="43" t="n">
        <f aca="false">S228-$M$2</f>
        <v>-0.0125427324143459</v>
      </c>
    </row>
    <row r="229" customFormat="false" ht="15" hidden="false" customHeight="false" outlineLevel="0" collapsed="false">
      <c r="A229" s="5" t="n">
        <v>17</v>
      </c>
      <c r="B229" s="25" t="n">
        <f aca="false">IF(T228&gt;0,B228,D228)</f>
        <v>0.0795974731445313</v>
      </c>
      <c r="C229" s="25" t="n">
        <f aca="false">IF(T228&gt;0,D228,C228)</f>
        <v>0.079620361328125</v>
      </c>
      <c r="D229" s="41" t="n">
        <f aca="false">(B229+C229)/2</f>
        <v>0.0796089172363281</v>
      </c>
      <c r="E229" s="15" t="n">
        <f aca="false">$C$2*(1+IF(E$3&lt;=$O$2,$D229,$D229-($D229-$I$211)*MIN(E$3-$O$2,$Q$2)/$Q$2))</f>
        <v>939.292146263123</v>
      </c>
      <c r="F229" s="15" t="n">
        <f aca="false">E229*(1+IF(F$3&lt;=$O$2,$D229,$D229-($D229-$I$211)*MIN(F$3-$O$2,$Q$2)/$Q$2))</f>
        <v>1014.06817699572</v>
      </c>
      <c r="G229" s="15" t="n">
        <f aca="false">F229*(1+IF(G$3&lt;=$O$2,$D229,$D229-($D229-$I$211)*MIN(G$3-$O$2,$Q$2)/$Q$2))</f>
        <v>1094.79704657016</v>
      </c>
      <c r="H229" s="15" t="n">
        <f aca="false">G229*(1+IF(H$3&lt;=$O$2,$D229,$D229-($D229-$I$211)*MIN(H$3-$O$2,$Q$2)/$Q$2))</f>
        <v>1181.95265404114</v>
      </c>
      <c r="I229" s="15" t="n">
        <f aca="false">H229*(1+IF(I$3&lt;=$O$2,$D229,$D229-($D229-$I$211)*MIN(I$3-$O$2,$Q$2)/$Q$2))</f>
        <v>1276.04662505396</v>
      </c>
      <c r="J229" s="15" t="n">
        <f aca="false">I229*(1+IF(J$3&lt;=$O$2,$D229,$D229-($D229-$I$211)*MIN(J$3-$O$2,$Q$2)/$Q$2))</f>
        <v>1363.26075445761</v>
      </c>
      <c r="K229" s="15" t="n">
        <f aca="false">J229*(1+IF(K$3&lt;=$O$2,$D229,$D229-($D229-$I$211)*MIN(K$3-$O$2,$Q$2)/$Q$2))</f>
        <v>1441.08297223304</v>
      </c>
      <c r="L229" s="15" t="n">
        <f aca="false">K229*(1+IF(L$3&lt;=$O$2,$D229,$D229-($D229-$I$211)*MIN(L$3-$O$2,$Q$2)/$Q$2))</f>
        <v>1507.11853421173</v>
      </c>
      <c r="M229" s="15" t="n">
        <f aca="false">L229*(1+IF(M$3&lt;=$O$2,$D229,$D229-($D229-$I$211)*MIN(M$3-$O$2,$Q$2)/$Q$2))</f>
        <v>1559.20723862052</v>
      </c>
      <c r="N229" s="15" t="n">
        <f aca="false">M229*(1+IF(N$3&lt;=$O$2,$D229,$D229-($D229-$I$211)*MIN(N$3-$O$2,$Q$2)/$Q$2))</f>
        <v>1595.53676728038</v>
      </c>
      <c r="O229" s="15" t="n">
        <f aca="false">SUMPRODUCT(E229:N229,1/(1+$F$211)^$E$3:$N$3)*$E$2</f>
        <v>1942.82988383641</v>
      </c>
      <c r="P229" s="15" t="n">
        <f aca="false">N229*$E$2*(1+$I$211)/($F$211-$I$211)/(1+$F$211)^$N$3</f>
        <v>3679.70180875039</v>
      </c>
      <c r="Q229" s="15" t="n">
        <f aca="false">O229+P229</f>
        <v>5622.5316925868</v>
      </c>
      <c r="R229" s="15" t="n">
        <f aca="false">Q229-$G$2+$I$2</f>
        <v>5789.9316925868</v>
      </c>
      <c r="S229" s="42" t="n">
        <f aca="false">R229/$K$2</f>
        <v>164.533438266178</v>
      </c>
      <c r="T229" s="43" t="n">
        <f aca="false">S229-$M$2</f>
        <v>-0.00194110296115468</v>
      </c>
    </row>
    <row r="230" customFormat="false" ht="15" hidden="false" customHeight="false" outlineLevel="0" collapsed="false">
      <c r="A230" s="5" t="n">
        <v>18</v>
      </c>
      <c r="B230" s="25" t="n">
        <f aca="false">IF(T229&gt;0,B229,D229)</f>
        <v>0.0796089172363281</v>
      </c>
      <c r="C230" s="25" t="n">
        <f aca="false">IF(T229&gt;0,D229,C229)</f>
        <v>0.079620361328125</v>
      </c>
      <c r="D230" s="41" t="n">
        <f aca="false">(B230+C230)/2</f>
        <v>0.0796146392822266</v>
      </c>
      <c r="E230" s="15" t="n">
        <f aca="false">$C$2*(1+IF(E$3&lt;=$O$2,$D230,$D230-($D230-$I$211)*MIN(E$3-$O$2,$Q$2)/$Q$2))</f>
        <v>939.297124614716</v>
      </c>
      <c r="F230" s="15" t="n">
        <f aca="false">E230*(1+IF(F$3&lt;=$O$2,$D230,$D230-($D230-$I$211)*MIN(F$3-$O$2,$Q$2)/$Q$2))</f>
        <v>1014.07892636975</v>
      </c>
      <c r="G230" s="15" t="n">
        <f aca="false">F230*(1+IF(G$3&lt;=$O$2,$D230,$D230-($D230-$I$211)*MIN(G$3-$O$2,$Q$2)/$Q$2))</f>
        <v>1094.81445429638</v>
      </c>
      <c r="H230" s="15" t="n">
        <f aca="false">G230*(1+IF(H$3&lt;=$O$2,$D230,$D230-($D230-$I$211)*MIN(H$3-$O$2,$Q$2)/$Q$2))</f>
        <v>1181.97771215616</v>
      </c>
      <c r="I230" s="15" t="n">
        <f aca="false">H230*(1+IF(I$3&lt;=$O$2,$D230,$D230-($D230-$I$211)*MIN(I$3-$O$2,$Q$2)/$Q$2))</f>
        <v>1276.0804413491</v>
      </c>
      <c r="J230" s="15" t="n">
        <f aca="false">I230*(1+IF(J$3&lt;=$O$2,$D230,$D230-($D230-$I$211)*MIN(J$3-$O$2,$Q$2)/$Q$2))</f>
        <v>1363.30272343228</v>
      </c>
      <c r="K230" s="15" t="n">
        <f aca="false">J230*(1+IF(K$3&lt;=$O$2,$D230,$D230-($D230-$I$211)*MIN(K$3-$O$2,$Q$2)/$Q$2))</f>
        <v>1441.13201754979</v>
      </c>
      <c r="L230" s="15" t="n">
        <f aca="false">K230*(1+IF(L$3&lt;=$O$2,$D230,$D230-($D230-$I$211)*MIN(L$3-$O$2,$Q$2)/$Q$2))</f>
        <v>1507.17312544926</v>
      </c>
      <c r="M230" s="15" t="n">
        <f aca="false">L230*(1+IF(M$3&lt;=$O$2,$D230,$D230-($D230-$I$211)*MIN(M$3-$O$2,$Q$2)/$Q$2))</f>
        <v>1559.26544145133</v>
      </c>
      <c r="N230" s="15" t="n">
        <f aca="false">M230*(1+IF(N$3&lt;=$O$2,$D230,$D230-($D230-$I$211)*MIN(N$3-$O$2,$Q$2)/$Q$2))</f>
        <v>1595.59632623715</v>
      </c>
      <c r="O230" s="15" t="n">
        <f aca="false">SUMPRODUCT(E230:N230,1/(1+$F$211)^$E$3:$N$3)*$E$2</f>
        <v>1942.87907042297</v>
      </c>
      <c r="P230" s="15" t="n">
        <f aca="false">N230*$E$2*(1+$I$211)/($F$211-$I$211)/(1+$F$211)^$N$3</f>
        <v>3679.83916641299</v>
      </c>
      <c r="Q230" s="15" t="n">
        <f aca="false">O230+P230</f>
        <v>5622.71823683596</v>
      </c>
      <c r="R230" s="15" t="n">
        <f aca="false">Q230-$G$2+$I$2</f>
        <v>5790.11823683596</v>
      </c>
      <c r="S230" s="42" t="n">
        <f aca="false">R230/$K$2</f>
        <v>164.538739324693</v>
      </c>
      <c r="T230" s="43" t="n">
        <f aca="false">S230-$M$2</f>
        <v>0.00335995555434465</v>
      </c>
    </row>
    <row r="231" customFormat="false" ht="15" hidden="false" customHeight="false" outlineLevel="0" collapsed="false">
      <c r="A231" s="5" t="n">
        <v>19</v>
      </c>
      <c r="B231" s="25" t="n">
        <f aca="false">IF(T230&gt;0,B230,D230)</f>
        <v>0.0796089172363281</v>
      </c>
      <c r="C231" s="25" t="n">
        <f aca="false">IF(T230&gt;0,D230,C230)</f>
        <v>0.0796146392822266</v>
      </c>
      <c r="D231" s="41" t="n">
        <f aca="false">(B231+C231)/2</f>
        <v>0.0796117782592773</v>
      </c>
      <c r="E231" s="15" t="n">
        <f aca="false">$C$2*(1+IF(E$3&lt;=$O$2,$D231,$D231-($D231-$I$211)*MIN(E$3-$O$2,$Q$2)/$Q$2))</f>
        <v>939.294635438919</v>
      </c>
      <c r="F231" s="15" t="n">
        <f aca="false">E231*(1+IF(F$3&lt;=$O$2,$D231,$D231-($D231-$I$211)*MIN(F$3-$O$2,$Q$2)/$Q$2))</f>
        <v>1014.07355167561</v>
      </c>
      <c r="G231" s="15" t="n">
        <f aca="false">F231*(1+IF(G$3&lt;=$O$2,$D231,$D231-($D231-$I$211)*MIN(G$3-$O$2,$Q$2)/$Q$2))</f>
        <v>1094.80575041021</v>
      </c>
      <c r="H231" s="15" t="n">
        <f aca="false">G231*(1+IF(H$3&lt;=$O$2,$D231,$D231-($D231-$I$211)*MIN(H$3-$O$2,$Q$2)/$Q$2))</f>
        <v>1181.96518304885</v>
      </c>
      <c r="I231" s="15" t="n">
        <f aca="false">H231*(1+IF(I$3&lt;=$O$2,$D231,$D231-($D231-$I$211)*MIN(I$3-$O$2,$Q$2)/$Q$2))</f>
        <v>1276.06353311192</v>
      </c>
      <c r="J231" s="15" t="n">
        <f aca="false">I231*(1+IF(J$3&lt;=$O$2,$D231,$D231-($D231-$I$211)*MIN(J$3-$O$2,$Q$2)/$Q$2))</f>
        <v>1363.2817388105</v>
      </c>
      <c r="K231" s="15" t="n">
        <f aca="false">J231*(1+IF(K$3&lt;=$O$2,$D231,$D231-($D231-$I$211)*MIN(K$3-$O$2,$Q$2)/$Q$2))</f>
        <v>1441.10749471328</v>
      </c>
      <c r="L231" s="15" t="n">
        <f aca="false">K231*(1+IF(L$3&lt;=$O$2,$D231,$D231-($D231-$I$211)*MIN(L$3-$O$2,$Q$2)/$Q$2))</f>
        <v>1507.14582961613</v>
      </c>
      <c r="M231" s="15" t="n">
        <f aca="false">L231*(1+IF(M$3&lt;=$O$2,$D231,$D231-($D231-$I$211)*MIN(M$3-$O$2,$Q$2)/$Q$2))</f>
        <v>1559.23633979853</v>
      </c>
      <c r="N231" s="15" t="n">
        <f aca="false">M231*(1+IF(N$3&lt;=$O$2,$D231,$D231-($D231-$I$211)*MIN(N$3-$O$2,$Q$2)/$Q$2))</f>
        <v>1595.56654651584</v>
      </c>
      <c r="O231" s="15" t="n">
        <f aca="false">SUMPRODUCT(E231:N231,1/(1+$F$211)^$E$3:$N$3)*$E$2</f>
        <v>1942.854476975</v>
      </c>
      <c r="P231" s="15" t="n">
        <f aca="false">N231*$E$2*(1+$I$211)/($F$211-$I$211)/(1+$F$211)^$N$3</f>
        <v>3679.77048702145</v>
      </c>
      <c r="Q231" s="15" t="n">
        <f aca="false">O231+P231</f>
        <v>5622.62496399645</v>
      </c>
      <c r="R231" s="15" t="n">
        <f aca="false">Q231-$G$2+$I$2</f>
        <v>5790.02496399645</v>
      </c>
      <c r="S231" s="42" t="n">
        <f aca="false">R231/$K$2</f>
        <v>164.536088775119</v>
      </c>
      <c r="T231" s="43" t="n">
        <f aca="false">S231-$M$2</f>
        <v>0.000709405980359179</v>
      </c>
    </row>
    <row r="232" customFormat="false" ht="15" hidden="false" customHeight="false" outlineLevel="0" collapsed="false">
      <c r="A232" s="5" t="n">
        <v>20</v>
      </c>
      <c r="B232" s="25" t="n">
        <f aca="false">IF(T231&gt;0,B231,D231)</f>
        <v>0.0796089172363281</v>
      </c>
      <c r="C232" s="25" t="n">
        <f aca="false">IF(T231&gt;0,D231,C231)</f>
        <v>0.0796117782592773</v>
      </c>
      <c r="D232" s="41" t="n">
        <f aca="false">(B232+C232)/2</f>
        <v>0.0796103477478027</v>
      </c>
      <c r="E232" s="15" t="n">
        <f aca="false">$C$2*(1+IF(E$3&lt;=$O$2,$D232,$D232-($D232-$I$211)*MIN(E$3-$O$2,$Q$2)/$Q$2))</f>
        <v>939.293390851021</v>
      </c>
      <c r="F232" s="15" t="n">
        <f aca="false">E232*(1+IF(F$3&lt;=$O$2,$D232,$D232-($D232-$I$211)*MIN(F$3-$O$2,$Q$2)/$Q$2))</f>
        <v>1014.07086433388</v>
      </c>
      <c r="G232" s="15" t="n">
        <f aca="false">F232*(1+IF(G$3&lt;=$O$2,$D232,$D232-($D232-$I$211)*MIN(G$3-$O$2,$Q$2)/$Q$2))</f>
        <v>1094.80139848442</v>
      </c>
      <c r="H232" s="15" t="n">
        <f aca="false">G232*(1+IF(H$3&lt;=$O$2,$D232,$D232-($D232-$I$211)*MIN(H$3-$O$2,$Q$2)/$Q$2))</f>
        <v>1181.95891853254</v>
      </c>
      <c r="I232" s="15" t="n">
        <f aca="false">H232*(1+IF(I$3&lt;=$O$2,$D232,$D232-($D232-$I$211)*MIN(I$3-$O$2,$Q$2)/$Q$2))</f>
        <v>1276.05507906054</v>
      </c>
      <c r="J232" s="15" t="n">
        <f aca="false">I232*(1+IF(J$3&lt;=$O$2,$D232,$D232-($D232-$I$211)*MIN(J$3-$O$2,$Q$2)/$Q$2))</f>
        <v>1363.27124660045</v>
      </c>
      <c r="K232" s="15" t="n">
        <f aca="false">J232*(1+IF(K$3&lt;=$O$2,$D232,$D232-($D232-$I$211)*MIN(K$3-$O$2,$Q$2)/$Q$2))</f>
        <v>1441.09523342863</v>
      </c>
      <c r="L232" s="15" t="n">
        <f aca="false">K232*(1+IF(L$3&lt;=$O$2,$D232,$D232-($D232-$I$211)*MIN(L$3-$O$2,$Q$2)/$Q$2))</f>
        <v>1507.13218186034</v>
      </c>
      <c r="M232" s="15" t="n">
        <f aca="false">L232*(1+IF(M$3&lt;=$O$2,$D232,$D232-($D232-$I$211)*MIN(M$3-$O$2,$Q$2)/$Q$2))</f>
        <v>1559.22178915018</v>
      </c>
      <c r="N232" s="15" t="n">
        <f aca="false">M232*(1+IF(N$3&lt;=$O$2,$D232,$D232-($D232-$I$211)*MIN(N$3-$O$2,$Q$2)/$Q$2))</f>
        <v>1595.55165683738</v>
      </c>
      <c r="O232" s="15" t="n">
        <f aca="false">SUMPRODUCT(E232:N232,1/(1+$F$211)^$E$3:$N$3)*$E$2</f>
        <v>1942.84218036704</v>
      </c>
      <c r="P232" s="15" t="n">
        <f aca="false">N232*$E$2*(1+$I$211)/($F$211-$I$211)/(1+$F$211)^$N$3</f>
        <v>3679.73614774586</v>
      </c>
      <c r="Q232" s="15" t="n">
        <f aca="false">O232+P232</f>
        <v>5622.57832811289</v>
      </c>
      <c r="R232" s="15" t="n">
        <f aca="false">Q232-$G$2+$I$2</f>
        <v>5789.97832811289</v>
      </c>
      <c r="S232" s="42" t="n">
        <f aca="false">R232/$K$2</f>
        <v>164.53476351557</v>
      </c>
      <c r="T232" s="43" t="n">
        <f aca="false">S232-$M$2</f>
        <v>-0.00061585356939986</v>
      </c>
    </row>
    <row r="233" customFormat="false" ht="15" hidden="false" customHeight="false" outlineLevel="0" collapsed="false">
      <c r="A233" s="5" t="n">
        <v>21</v>
      </c>
      <c r="B233" s="25" t="n">
        <f aca="false">IF(T232&gt;0,B232,D232)</f>
        <v>0.0796103477478027</v>
      </c>
      <c r="C233" s="25" t="n">
        <f aca="false">IF(T232&gt;0,D232,C232)</f>
        <v>0.0796117782592773</v>
      </c>
      <c r="D233" s="41" t="n">
        <f aca="false">(B233+C233)/2</f>
        <v>0.07961106300354</v>
      </c>
      <c r="E233" s="15" t="n">
        <f aca="false">$C$2*(1+IF(E$3&lt;=$O$2,$D233,$D233-($D233-$I$211)*MIN(E$3-$O$2,$Q$2)/$Q$2))</f>
        <v>939.29401314497</v>
      </c>
      <c r="F233" s="15" t="n">
        <f aca="false">E233*(1+IF(F$3&lt;=$O$2,$D233,$D233-($D233-$I$211)*MIN(F$3-$O$2,$Q$2)/$Q$2))</f>
        <v>1014.0722080043</v>
      </c>
      <c r="G233" s="15" t="n">
        <f aca="false">F233*(1+IF(G$3&lt;=$O$2,$D233,$D233-($D233-$I$211)*MIN(G$3-$O$2,$Q$2)/$Q$2))</f>
        <v>1094.80357444587</v>
      </c>
      <c r="H233" s="15" t="n">
        <f aca="false">G233*(1+IF(H$3&lt;=$O$2,$D233,$D233-($D233-$I$211)*MIN(H$3-$O$2,$Q$2)/$Q$2))</f>
        <v>1181.96205078758</v>
      </c>
      <c r="I233" s="15" t="n">
        <f aca="false">H233*(1+IF(I$3&lt;=$O$2,$D233,$D233-($D233-$I$211)*MIN(I$3-$O$2,$Q$2)/$Q$2))</f>
        <v>1276.05930608063</v>
      </c>
      <c r="J233" s="15" t="n">
        <f aca="false">I233*(1+IF(J$3&lt;=$O$2,$D233,$D233-($D233-$I$211)*MIN(J$3-$O$2,$Q$2)/$Q$2))</f>
        <v>1363.27649269707</v>
      </c>
      <c r="K233" s="15" t="n">
        <f aca="false">J233*(1+IF(K$3&lt;=$O$2,$D233,$D233-($D233-$I$211)*MIN(K$3-$O$2,$Q$2)/$Q$2))</f>
        <v>1441.10136405982</v>
      </c>
      <c r="L233" s="15" t="n">
        <f aca="false">K233*(1+IF(L$3&lt;=$O$2,$D233,$D233-($D233-$I$211)*MIN(L$3-$O$2,$Q$2)/$Q$2))</f>
        <v>1507.13900572484</v>
      </c>
      <c r="M233" s="15" t="n">
        <f aca="false">L233*(1+IF(M$3&lt;=$O$2,$D233,$D233-($D233-$I$211)*MIN(M$3-$O$2,$Q$2)/$Q$2))</f>
        <v>1559.22906445952</v>
      </c>
      <c r="N233" s="15" t="n">
        <f aca="false">M233*(1+IF(N$3&lt;=$O$2,$D233,$D233-($D233-$I$211)*MIN(N$3-$O$2,$Q$2)/$Q$2))</f>
        <v>1595.55910166143</v>
      </c>
      <c r="O233" s="15" t="n">
        <f aca="false">SUMPRODUCT(E233:N233,1/(1+$F$211)^$E$3:$N$3)*$E$2</f>
        <v>1942.84832866135</v>
      </c>
      <c r="P233" s="15" t="n">
        <f aca="false">N233*$E$2*(1+$I$211)/($F$211-$I$211)/(1+$F$211)^$N$3</f>
        <v>3679.75331734864</v>
      </c>
      <c r="Q233" s="15" t="n">
        <f aca="false">O233+P233</f>
        <v>5622.60164600999</v>
      </c>
      <c r="R233" s="15" t="n">
        <f aca="false">Q233-$G$2+$I$2</f>
        <v>5790.00164600999</v>
      </c>
      <c r="S233" s="42" t="n">
        <f aca="false">R233/$K$2</f>
        <v>164.535426144075</v>
      </c>
      <c r="T233" s="43" t="n">
        <f aca="false">S233-$M$2</f>
        <v>4.67749356687364E-005</v>
      </c>
    </row>
    <row r="234" customFormat="false" ht="15" hidden="false" customHeight="false" outlineLevel="0" collapsed="false">
      <c r="A234" s="5" t="n">
        <v>22</v>
      </c>
      <c r="B234" s="25" t="n">
        <f aca="false">IF(T233&gt;0,B233,D233)</f>
        <v>0.0796103477478027</v>
      </c>
      <c r="C234" s="25" t="n">
        <f aca="false">IF(T233&gt;0,D233,C233)</f>
        <v>0.07961106300354</v>
      </c>
      <c r="D234" s="41" t="n">
        <f aca="false">(B234+C234)/2</f>
        <v>0.0796107053756714</v>
      </c>
      <c r="E234" s="15" t="n">
        <f aca="false">$C$2*(1+IF(E$3&lt;=$O$2,$D234,$D234-($D234-$I$211)*MIN(E$3-$O$2,$Q$2)/$Q$2))</f>
        <v>939.293701997995</v>
      </c>
      <c r="F234" s="15" t="n">
        <f aca="false">E234*(1+IF(F$3&lt;=$O$2,$D234,$D234-($D234-$I$211)*MIN(F$3-$O$2,$Q$2)/$Q$2))</f>
        <v>1014.07153616898</v>
      </c>
      <c r="G234" s="15" t="n">
        <f aca="false">F234*(1+IF(G$3&lt;=$O$2,$D234,$D234-($D234-$I$211)*MIN(G$3-$O$2,$Q$2)/$Q$2))</f>
        <v>1094.80248646478</v>
      </c>
      <c r="H234" s="15" t="n">
        <f aca="false">G234*(1+IF(H$3&lt;=$O$2,$D234,$D234-($D234-$I$211)*MIN(H$3-$O$2,$Q$2)/$Q$2))</f>
        <v>1181.96048465929</v>
      </c>
      <c r="I234" s="15" t="n">
        <f aca="false">H234*(1+IF(I$3&lt;=$O$2,$D234,$D234-($D234-$I$211)*MIN(I$3-$O$2,$Q$2)/$Q$2))</f>
        <v>1276.05719256918</v>
      </c>
      <c r="J234" s="15" t="n">
        <f aca="false">I234*(1+IF(J$3&lt;=$O$2,$D234,$D234-($D234-$I$211)*MIN(J$3-$O$2,$Q$2)/$Q$2))</f>
        <v>1363.27386964666</v>
      </c>
      <c r="K234" s="15" t="n">
        <f aca="false">J234*(1+IF(K$3&lt;=$O$2,$D234,$D234-($D234-$I$211)*MIN(K$3-$O$2,$Q$2)/$Q$2))</f>
        <v>1441.09829874144</v>
      </c>
      <c r="L234" s="15" t="n">
        <f aca="false">K234*(1+IF(L$3&lt;=$O$2,$D234,$D234-($D234-$I$211)*MIN(L$3-$O$2,$Q$2)/$Q$2))</f>
        <v>1507.13559378924</v>
      </c>
      <c r="M234" s="15" t="n">
        <f aca="false">L234*(1+IF(M$3&lt;=$O$2,$D234,$D234-($D234-$I$211)*MIN(M$3-$O$2,$Q$2)/$Q$2))</f>
        <v>1559.22542680114</v>
      </c>
      <c r="N234" s="15" t="n">
        <f aca="false">M234*(1+IF(N$3&lt;=$O$2,$D234,$D234-($D234-$I$211)*MIN(N$3-$O$2,$Q$2)/$Q$2))</f>
        <v>1595.55537924561</v>
      </c>
      <c r="O234" s="15" t="n">
        <f aca="false">SUMPRODUCT(E234:N234,1/(1+$F$211)^$E$3:$N$3)*$E$2</f>
        <v>1942.84525451178</v>
      </c>
      <c r="P234" s="15" t="n">
        <f aca="false">N234*$E$2*(1+$I$211)/($F$211-$I$211)/(1+$F$211)^$N$3</f>
        <v>3679.74473253849</v>
      </c>
      <c r="Q234" s="15" t="n">
        <f aca="false">O234+P234</f>
        <v>5622.58998705027</v>
      </c>
      <c r="R234" s="15" t="n">
        <f aca="false">Q234-$G$2+$I$2</f>
        <v>5789.98998705027</v>
      </c>
      <c r="S234" s="42" t="n">
        <f aca="false">R234/$K$2</f>
        <v>164.535094829505</v>
      </c>
      <c r="T234" s="43" t="n">
        <f aca="false">S234-$M$2</f>
        <v>-0.000284539634321845</v>
      </c>
    </row>
    <row r="235" customFormat="false" ht="15" hidden="false" customHeight="false" outlineLevel="0" collapsed="false">
      <c r="A235" s="5" t="n">
        <v>23</v>
      </c>
      <c r="B235" s="25" t="n">
        <f aca="false">IF(T234&gt;0,B234,D234)</f>
        <v>0.0796107053756714</v>
      </c>
      <c r="C235" s="25" t="n">
        <f aca="false">IF(T234&gt;0,D234,C234)</f>
        <v>0.07961106300354</v>
      </c>
      <c r="D235" s="41" t="n">
        <f aca="false">(B235+C235)/2</f>
        <v>0.0796108841896057</v>
      </c>
      <c r="E235" s="15" t="n">
        <f aca="false">$C$2*(1+IF(E$3&lt;=$O$2,$D235,$D235-($D235-$I$211)*MIN(E$3-$O$2,$Q$2)/$Q$2))</f>
        <v>939.293857571483</v>
      </c>
      <c r="F235" s="15" t="n">
        <f aca="false">E235*(1+IF(F$3&lt;=$O$2,$D235,$D235-($D235-$I$211)*MIN(F$3-$O$2,$Q$2)/$Q$2))</f>
        <v>1014.07187208661</v>
      </c>
      <c r="G235" s="15" t="n">
        <f aca="false">F235*(1+IF(G$3&lt;=$O$2,$D235,$D235-($D235-$I$211)*MIN(G$3-$O$2,$Q$2)/$Q$2))</f>
        <v>1094.80303045524</v>
      </c>
      <c r="H235" s="15" t="n">
        <f aca="false">G235*(1+IF(H$3&lt;=$O$2,$D235,$D235-($D235-$I$211)*MIN(H$3-$O$2,$Q$2)/$Q$2))</f>
        <v>1181.96126772324</v>
      </c>
      <c r="I235" s="15" t="n">
        <f aca="false">H235*(1+IF(I$3&lt;=$O$2,$D235,$D235-($D235-$I$211)*MIN(I$3-$O$2,$Q$2)/$Q$2))</f>
        <v>1276.05824932455</v>
      </c>
      <c r="J235" s="15" t="n">
        <f aca="false">I235*(1+IF(J$3&lt;=$O$2,$D235,$D235-($D235-$I$211)*MIN(J$3-$O$2,$Q$2)/$Q$2))</f>
        <v>1363.27518117134</v>
      </c>
      <c r="K235" s="15" t="n">
        <f aca="false">J235*(1+IF(K$3&lt;=$O$2,$D235,$D235-($D235-$I$211)*MIN(K$3-$O$2,$Q$2)/$Q$2))</f>
        <v>1441.09983139993</v>
      </c>
      <c r="L235" s="15" t="n">
        <f aca="false">K235*(1+IF(L$3&lt;=$O$2,$D235,$D235-($D235-$I$211)*MIN(L$3-$O$2,$Q$2)/$Q$2))</f>
        <v>1507.1372997562</v>
      </c>
      <c r="M235" s="15" t="n">
        <f aca="false">L235*(1+IF(M$3&lt;=$O$2,$D235,$D235-($D235-$I$211)*MIN(M$3-$O$2,$Q$2)/$Q$2))</f>
        <v>1559.2272456294</v>
      </c>
      <c r="N235" s="15" t="n">
        <f aca="false">M235*(1+IF(N$3&lt;=$O$2,$D235,$D235-($D235-$I$211)*MIN(N$3-$O$2,$Q$2)/$Q$2))</f>
        <v>1595.55724045257</v>
      </c>
      <c r="O235" s="15" t="n">
        <f aca="false">SUMPRODUCT(E235:N235,1/(1+$F$211)^$E$3:$N$3)*$E$2</f>
        <v>1942.84679158596</v>
      </c>
      <c r="P235" s="15" t="n">
        <f aca="false">N235*$E$2*(1+$I$211)/($F$211-$I$211)/(1+$F$211)^$N$3</f>
        <v>3679.74902494138</v>
      </c>
      <c r="Q235" s="15" t="n">
        <f aca="false">O235+P235</f>
        <v>5622.59581652734</v>
      </c>
      <c r="R235" s="15" t="n">
        <f aca="false">Q235-$G$2+$I$2</f>
        <v>5789.99581652734</v>
      </c>
      <c r="S235" s="42" t="n">
        <f aca="false">R235/$K$2</f>
        <v>164.53526048671</v>
      </c>
      <c r="T235" s="43" t="n">
        <f aca="false">S235-$M$2</f>
        <v>-0.000118882428637335</v>
      </c>
    </row>
    <row r="236" customFormat="false" ht="15" hidden="false" customHeight="false" outlineLevel="0" collapsed="false">
      <c r="A236" s="5" t="n">
        <v>24</v>
      </c>
      <c r="B236" s="25" t="n">
        <f aca="false">IF(T235&gt;0,B235,D235)</f>
        <v>0.0796108841896057</v>
      </c>
      <c r="C236" s="25" t="n">
        <f aca="false">IF(T235&gt;0,D235,C235)</f>
        <v>0.07961106300354</v>
      </c>
      <c r="D236" s="41" t="n">
        <f aca="false">(B236+C236)/2</f>
        <v>0.0796109735965729</v>
      </c>
      <c r="E236" s="15" t="n">
        <f aca="false">$C$2*(1+IF(E$3&lt;=$O$2,$D236,$D236-($D236-$I$211)*MIN(E$3-$O$2,$Q$2)/$Q$2))</f>
        <v>939.293935358226</v>
      </c>
      <c r="F236" s="15" t="n">
        <f aca="false">E236*(1+IF(F$3&lt;=$O$2,$D236,$D236-($D236-$I$211)*MIN(F$3-$O$2,$Q$2)/$Q$2))</f>
        <v>1014.07204004545</v>
      </c>
      <c r="G236" s="15" t="n">
        <f aca="false">F236*(1+IF(G$3&lt;=$O$2,$D236,$D236-($D236-$I$211)*MIN(G$3-$O$2,$Q$2)/$Q$2))</f>
        <v>1094.80330245053</v>
      </c>
      <c r="H236" s="15" t="n">
        <f aca="false">G236*(1+IF(H$3&lt;=$O$2,$D236,$D236-($D236-$I$211)*MIN(H$3-$O$2,$Q$2)/$Q$2))</f>
        <v>1181.96165925536</v>
      </c>
      <c r="I236" s="15" t="n">
        <f aca="false">H236*(1+IF(I$3&lt;=$O$2,$D236,$D236-($D236-$I$211)*MIN(I$3-$O$2,$Q$2)/$Q$2))</f>
        <v>1276.0587777025</v>
      </c>
      <c r="J236" s="15" t="n">
        <f aca="false">I236*(1+IF(J$3&lt;=$O$2,$D236,$D236-($D236-$I$211)*MIN(J$3-$O$2,$Q$2)/$Q$2))</f>
        <v>1363.27583693408</v>
      </c>
      <c r="K236" s="15" t="n">
        <f aca="false">J236*(1+IF(K$3&lt;=$O$2,$D236,$D236-($D236-$I$211)*MIN(K$3-$O$2,$Q$2)/$Q$2))</f>
        <v>1441.1005977297</v>
      </c>
      <c r="L236" s="15" t="n">
        <f aca="false">K236*(1+IF(L$3&lt;=$O$2,$D236,$D236-($D236-$I$211)*MIN(L$3-$O$2,$Q$2)/$Q$2))</f>
        <v>1507.13815274031</v>
      </c>
      <c r="M236" s="15" t="n">
        <f aca="false">L236*(1+IF(M$3&lt;=$O$2,$D236,$D236-($D236-$I$211)*MIN(M$3-$O$2,$Q$2)/$Q$2))</f>
        <v>1559.22815504423</v>
      </c>
      <c r="N236" s="15" t="n">
        <f aca="false">M236*(1+IF(N$3&lt;=$O$2,$D236,$D236-($D236-$I$211)*MIN(N$3-$O$2,$Q$2)/$Q$2))</f>
        <v>1595.55817105676</v>
      </c>
      <c r="O236" s="15" t="n">
        <f aca="false">SUMPRODUCT(E236:N236,1/(1+$F$211)^$E$3:$N$3)*$E$2</f>
        <v>1942.84756012351</v>
      </c>
      <c r="P236" s="15" t="n">
        <f aca="false">N236*$E$2*(1+$I$211)/($F$211-$I$211)/(1+$F$211)^$N$3</f>
        <v>3679.75117114446</v>
      </c>
      <c r="Q236" s="15" t="n">
        <f aca="false">O236+P236</f>
        <v>5622.59873126796</v>
      </c>
      <c r="R236" s="15" t="n">
        <f aca="false">Q236-$G$2+$I$2</f>
        <v>5789.99873126797</v>
      </c>
      <c r="S236" s="42" t="n">
        <f aca="false">R236/$K$2</f>
        <v>164.535343315373</v>
      </c>
      <c r="T236" s="43" t="n">
        <f aca="false">S236-$M$2</f>
        <v>-3.60537663084415E-005</v>
      </c>
    </row>
    <row r="238" customFormat="false" ht="15" hidden="false" customHeight="false" outlineLevel="0" collapsed="false">
      <c r="A238" s="38" t="s">
        <v>195</v>
      </c>
      <c r="E238" s="5" t="s">
        <v>12</v>
      </c>
      <c r="F238" s="12" t="n">
        <f aca="false">Sensitivity!$B$11</f>
        <v>0.0725075820986394</v>
      </c>
      <c r="G238" s="5" t="s">
        <v>13</v>
      </c>
      <c r="I238" s="12" t="n">
        <f aca="false">Sensitivity!$E$9</f>
        <v>0.0283</v>
      </c>
    </row>
    <row r="239" customFormat="false" ht="23.85" hidden="false" customHeight="false" outlineLevel="0" collapsed="false">
      <c r="A239" s="38" t="s">
        <v>168</v>
      </c>
      <c r="B239" s="28" t="s">
        <v>169</v>
      </c>
      <c r="C239" s="28" t="s">
        <v>170</v>
      </c>
      <c r="D239" s="28" t="s">
        <v>171</v>
      </c>
      <c r="E239" s="28" t="s">
        <v>172</v>
      </c>
      <c r="F239" s="28" t="s">
        <v>173</v>
      </c>
      <c r="G239" s="28" t="s">
        <v>174</v>
      </c>
      <c r="H239" s="28" t="s">
        <v>175</v>
      </c>
      <c r="I239" s="28" t="s">
        <v>176</v>
      </c>
      <c r="J239" s="28" t="s">
        <v>177</v>
      </c>
      <c r="K239" s="28" t="s">
        <v>178</v>
      </c>
      <c r="L239" s="28" t="s">
        <v>179</v>
      </c>
      <c r="M239" s="28" t="s">
        <v>180</v>
      </c>
      <c r="N239" s="28" t="s">
        <v>181</v>
      </c>
      <c r="O239" s="28" t="s">
        <v>182</v>
      </c>
      <c r="P239" s="28" t="s">
        <v>183</v>
      </c>
      <c r="Q239" s="28" t="s">
        <v>184</v>
      </c>
      <c r="R239" s="28" t="s">
        <v>185</v>
      </c>
      <c r="S239" s="28" t="s">
        <v>186</v>
      </c>
      <c r="T239" s="28" t="s">
        <v>187</v>
      </c>
    </row>
    <row r="240" customFormat="false" ht="15" hidden="false" customHeight="false" outlineLevel="0" collapsed="false">
      <c r="A240" s="5" t="n">
        <v>1</v>
      </c>
      <c r="B240" s="24" t="n">
        <v>-0.5</v>
      </c>
      <c r="C240" s="24" t="n">
        <v>1</v>
      </c>
      <c r="D240" s="41" t="n">
        <f aca="false">(B240+C240)/2</f>
        <v>0.25</v>
      </c>
      <c r="E240" s="15" t="n">
        <f aca="false">$C$2*(1+IF(E$3&lt;=$O$2,$D240,$D240-($D240-$I$238)*MIN(E$3-$O$2,$Q$2)/$Q$2))</f>
        <v>1087.5375</v>
      </c>
      <c r="F240" s="15" t="n">
        <f aca="false">E240*(1+IF(F$3&lt;=$O$2,$D240,$D240-($D240-$I$238)*MIN(F$3-$O$2,$Q$2)/$Q$2))</f>
        <v>1359.421875</v>
      </c>
      <c r="G240" s="15" t="n">
        <f aca="false">F240*(1+IF(G$3&lt;=$O$2,$D240,$D240-($D240-$I$238)*MIN(G$3-$O$2,$Q$2)/$Q$2))</f>
        <v>1699.27734375</v>
      </c>
      <c r="H240" s="15" t="n">
        <f aca="false">G240*(1+IF(H$3&lt;=$O$2,$D240,$D240-($D240-$I$238)*MIN(H$3-$O$2,$Q$2)/$Q$2))</f>
        <v>2124.0966796875</v>
      </c>
      <c r="I240" s="15" t="n">
        <f aca="false">H240*(1+IF(I$3&lt;=$O$2,$D240,$D240-($D240-$I$238)*MIN(I$3-$O$2,$Q$2)/$Q$2))</f>
        <v>2655.12084960938</v>
      </c>
      <c r="J240" s="15" t="n">
        <f aca="false">I240*(1+IF(J$3&lt;=$O$2,$D240,$D240-($D240-$I$238)*MIN(J$3-$O$2,$Q$2)/$Q$2))</f>
        <v>3201.17300354004</v>
      </c>
      <c r="K240" s="15" t="n">
        <f aca="false">J240*(1+IF(K$3&lt;=$O$2,$D240,$D240-($D240-$I$238)*MIN(K$3-$O$2,$Q$2)/$Q$2))</f>
        <v>3717.58623247112</v>
      </c>
      <c r="L240" s="15" t="n">
        <f aca="false">K240*(1+IF(L$3&lt;=$O$2,$D240,$D240-($D240-$I$238)*MIN(L$3-$O$2,$Q$2)/$Q$2))</f>
        <v>4152.46946994559</v>
      </c>
      <c r="M240" s="15" t="n">
        <f aca="false">L240*(1+IF(M$3&lt;=$O$2,$D240,$D240-($D240-$I$238)*MIN(M$3-$O$2,$Q$2)/$Q$2))</f>
        <v>4454.10485224244</v>
      </c>
      <c r="N240" s="15" t="n">
        <f aca="false">M240*(1+IF(N$3&lt;=$O$2,$D240,$D240-($D240-$I$238)*MIN(N$3-$O$2,$Q$2)/$Q$2))</f>
        <v>4580.1560195609</v>
      </c>
      <c r="O240" s="15" t="n">
        <f aca="false">SUMPRODUCT(E240:N240,1/(1+$F$238)^$E$3:$N$3)*$E$2</f>
        <v>4120.15633330191</v>
      </c>
      <c r="P240" s="15" t="n">
        <f aca="false">N240*$E$2*(1+$I$238)/($F$238-$I$238)/(1+$F$238)^$N$3</f>
        <v>11815.1219142361</v>
      </c>
      <c r="Q240" s="15" t="n">
        <f aca="false">O240+P240</f>
        <v>15935.2782475381</v>
      </c>
      <c r="R240" s="15" t="n">
        <f aca="false">Q240-$G$2+$I$2</f>
        <v>16102.6782475381</v>
      </c>
      <c r="S240" s="42" t="n">
        <f aca="false">R240/$K$2</f>
        <v>457.592448068714</v>
      </c>
      <c r="T240" s="43" t="n">
        <f aca="false">S240-$M$2</f>
        <v>293.057068699575</v>
      </c>
    </row>
    <row r="241" customFormat="false" ht="15" hidden="false" customHeight="false" outlineLevel="0" collapsed="false">
      <c r="A241" s="5" t="n">
        <v>2</v>
      </c>
      <c r="B241" s="25" t="n">
        <f aca="false">IF(T240&gt;0,B240,D240)</f>
        <v>-0.5</v>
      </c>
      <c r="C241" s="25" t="n">
        <f aca="false">IF(T240&gt;0,D240,C240)</f>
        <v>0.25</v>
      </c>
      <c r="D241" s="41" t="n">
        <f aca="false">(B241+C241)/2</f>
        <v>-0.125</v>
      </c>
      <c r="E241" s="15" t="n">
        <f aca="false">$C$2*(1+IF(E$3&lt;=$O$2,$D241,$D241-($D241-$I$238)*MIN(E$3-$O$2,$Q$2)/$Q$2))</f>
        <v>761.27625</v>
      </c>
      <c r="F241" s="15" t="n">
        <f aca="false">E241*(1+IF(F$3&lt;=$O$2,$D241,$D241-($D241-$I$238)*MIN(F$3-$O$2,$Q$2)/$Q$2))</f>
        <v>666.11671875</v>
      </c>
      <c r="G241" s="15" t="n">
        <f aca="false">F241*(1+IF(G$3&lt;=$O$2,$D241,$D241-($D241-$I$238)*MIN(G$3-$O$2,$Q$2)/$Q$2))</f>
        <v>582.85212890625</v>
      </c>
      <c r="H241" s="15" t="n">
        <f aca="false">G241*(1+IF(H$3&lt;=$O$2,$D241,$D241-($D241-$I$238)*MIN(H$3-$O$2,$Q$2)/$Q$2))</f>
        <v>509.995612792969</v>
      </c>
      <c r="I241" s="15" t="n">
        <f aca="false">H241*(1+IF(I$3&lt;=$O$2,$D241,$D241-($D241-$I$238)*MIN(I$3-$O$2,$Q$2)/$Q$2))</f>
        <v>446.246161193848</v>
      </c>
      <c r="J241" s="15" t="n">
        <f aca="false">I241*(1+IF(J$3&lt;=$O$2,$D241,$D241-($D241-$I$238)*MIN(J$3-$O$2,$Q$2)/$Q$2))</f>
        <v>404.14729834682</v>
      </c>
      <c r="K241" s="15" t="n">
        <f aca="false">J241*(1+IF(K$3&lt;=$O$2,$D241,$D241-($D241-$I$238)*MIN(K$3-$O$2,$Q$2)/$Q$2))</f>
        <v>378.411198388095</v>
      </c>
      <c r="L241" s="15" t="n">
        <f aca="false">K241*(1+IF(L$3&lt;=$O$2,$D241,$D241-($D241-$I$238)*MIN(L$3-$O$2,$Q$2)/$Q$2))</f>
        <v>365.91606061732</v>
      </c>
      <c r="M241" s="15" t="n">
        <f aca="false">L241*(1+IF(M$3&lt;=$O$2,$D241,$D241-($D241-$I$238)*MIN(M$3-$O$2,$Q$2)/$Q$2))</f>
        <v>365.052498714263</v>
      </c>
      <c r="N241" s="15" t="n">
        <f aca="false">M241*(1+IF(N$3&lt;=$O$2,$D241,$D241-($D241-$I$238)*MIN(N$3-$O$2,$Q$2)/$Q$2))</f>
        <v>375.383484427876</v>
      </c>
      <c r="O241" s="15" t="n">
        <f aca="false">SUMPRODUCT(E241:N241,1/(1+$F$238)^$E$3:$N$3)*$E$2</f>
        <v>792.468772655619</v>
      </c>
      <c r="P241" s="15" t="n">
        <f aca="false">N241*$E$2*(1+$I$238)/($F$238-$I$238)/(1+$F$238)^$N$3</f>
        <v>968.351648757007</v>
      </c>
      <c r="Q241" s="15" t="n">
        <f aca="false">O241+P241</f>
        <v>1760.82042141263</v>
      </c>
      <c r="R241" s="15" t="n">
        <f aca="false">Q241-$G$2+$I$2</f>
        <v>1928.22042141263</v>
      </c>
      <c r="S241" s="42" t="n">
        <f aca="false">R241/$K$2</f>
        <v>54.79455587987</v>
      </c>
      <c r="T241" s="43" t="n">
        <f aca="false">S241-$M$2</f>
        <v>-109.740823489269</v>
      </c>
    </row>
    <row r="242" customFormat="false" ht="15" hidden="false" customHeight="false" outlineLevel="0" collapsed="false">
      <c r="A242" s="5" t="n">
        <v>3</v>
      </c>
      <c r="B242" s="25" t="n">
        <f aca="false">IF(T241&gt;0,B241,D241)</f>
        <v>-0.125</v>
      </c>
      <c r="C242" s="25" t="n">
        <f aca="false">IF(T241&gt;0,D241,C241)</f>
        <v>0.25</v>
      </c>
      <c r="D242" s="41" t="n">
        <f aca="false">(B242+C242)/2</f>
        <v>0.0625</v>
      </c>
      <c r="E242" s="15" t="n">
        <f aca="false">$C$2*(1+IF(E$3&lt;=$O$2,$D242,$D242-($D242-$I$238)*MIN(E$3-$O$2,$Q$2)/$Q$2))</f>
        <v>924.406875</v>
      </c>
      <c r="F242" s="15" t="n">
        <f aca="false">E242*(1+IF(F$3&lt;=$O$2,$D242,$D242-($D242-$I$238)*MIN(F$3-$O$2,$Q$2)/$Q$2))</f>
        <v>982.1823046875</v>
      </c>
      <c r="G242" s="15" t="n">
        <f aca="false">F242*(1+IF(G$3&lt;=$O$2,$D242,$D242-($D242-$I$238)*MIN(G$3-$O$2,$Q$2)/$Q$2))</f>
        <v>1043.56869873047</v>
      </c>
      <c r="H242" s="15" t="n">
        <f aca="false">G242*(1+IF(H$3&lt;=$O$2,$D242,$D242-($D242-$I$238)*MIN(H$3-$O$2,$Q$2)/$Q$2))</f>
        <v>1108.79174240112</v>
      </c>
      <c r="I242" s="15" t="n">
        <f aca="false">H242*(1+IF(I$3&lt;=$O$2,$D242,$D242-($D242-$I$238)*MIN(I$3-$O$2,$Q$2)/$Q$2))</f>
        <v>1178.09122630119</v>
      </c>
      <c r="J242" s="15" t="n">
        <f aca="false">I242*(1+IF(J$3&lt;=$O$2,$D242,$D242-($D242-$I$238)*MIN(J$3-$O$2,$Q$2)/$Q$2))</f>
        <v>1243.66378395712</v>
      </c>
      <c r="K242" s="15" t="n">
        <f aca="false">J242*(1+IF(K$3&lt;=$O$2,$D242,$D242-($D242-$I$238)*MIN(K$3-$O$2,$Q$2)/$Q$2))</f>
        <v>1304.3794498899</v>
      </c>
      <c r="L242" s="15" t="n">
        <f aca="false">K242*(1+IF(L$3&lt;=$O$2,$D242,$D242-($D242-$I$238)*MIN(L$3-$O$2,$Q$2)/$Q$2))</f>
        <v>1359.13729919628</v>
      </c>
      <c r="M242" s="15" t="n">
        <f aca="false">L242*(1+IF(M$3&lt;=$O$2,$D242,$D242-($D242-$I$238)*MIN(M$3-$O$2,$Q$2)/$Q$2))</f>
        <v>1406.89738389004</v>
      </c>
      <c r="N242" s="15" t="n">
        <f aca="false">M242*(1+IF(N$3&lt;=$O$2,$D242,$D242-($D242-$I$238)*MIN(N$3-$O$2,$Q$2)/$Q$2))</f>
        <v>1446.71257985413</v>
      </c>
      <c r="O242" s="15" t="n">
        <f aca="false">SUMPRODUCT(E242:N242,1/(1+$F$238)^$E$3:$N$3)*$E$2</f>
        <v>1806.75127401808</v>
      </c>
      <c r="P242" s="15" t="n">
        <f aca="false">N242*$E$2*(1+$I$238)/($F$238-$I$238)/(1+$F$238)^$N$3</f>
        <v>3731.98760759122</v>
      </c>
      <c r="Q242" s="15" t="n">
        <f aca="false">O242+P242</f>
        <v>5538.73888160931</v>
      </c>
      <c r="R242" s="15" t="n">
        <f aca="false">Q242-$G$2+$I$2</f>
        <v>5706.13888160931</v>
      </c>
      <c r="S242" s="42" t="n">
        <f aca="false">R242/$K$2</f>
        <v>162.152284217372</v>
      </c>
      <c r="T242" s="43" t="n">
        <f aca="false">S242-$M$2</f>
        <v>-2.38309515176738</v>
      </c>
    </row>
    <row r="243" customFormat="false" ht="15" hidden="false" customHeight="false" outlineLevel="0" collapsed="false">
      <c r="A243" s="5" t="n">
        <v>4</v>
      </c>
      <c r="B243" s="25" t="n">
        <f aca="false">IF(T242&gt;0,B242,D242)</f>
        <v>0.0625</v>
      </c>
      <c r="C243" s="25" t="n">
        <f aca="false">IF(T242&gt;0,D242,C242)</f>
        <v>0.25</v>
      </c>
      <c r="D243" s="41" t="n">
        <f aca="false">(B243+C243)/2</f>
        <v>0.15625</v>
      </c>
      <c r="E243" s="15" t="n">
        <f aca="false">$C$2*(1+IF(E$3&lt;=$O$2,$D243,$D243-($D243-$I$238)*MIN(E$3-$O$2,$Q$2)/$Q$2))</f>
        <v>1005.9721875</v>
      </c>
      <c r="F243" s="15" t="n">
        <f aca="false">E243*(1+IF(F$3&lt;=$O$2,$D243,$D243-($D243-$I$238)*MIN(F$3-$O$2,$Q$2)/$Q$2))</f>
        <v>1163.15534179688</v>
      </c>
      <c r="G243" s="15" t="n">
        <f aca="false">F243*(1+IF(G$3&lt;=$O$2,$D243,$D243-($D243-$I$238)*MIN(G$3-$O$2,$Q$2)/$Q$2))</f>
        <v>1344.89836395264</v>
      </c>
      <c r="H243" s="15" t="n">
        <f aca="false">G243*(1+IF(H$3&lt;=$O$2,$D243,$D243-($D243-$I$238)*MIN(H$3-$O$2,$Q$2)/$Q$2))</f>
        <v>1555.03873332024</v>
      </c>
      <c r="I243" s="15" t="n">
        <f aca="false">H243*(1+IF(I$3&lt;=$O$2,$D243,$D243-($D243-$I$238)*MIN(I$3-$O$2,$Q$2)/$Q$2))</f>
        <v>1798.01353540152</v>
      </c>
      <c r="J243" s="15" t="n">
        <f aca="false">I243*(1+IF(J$3&lt;=$O$2,$D243,$D243-($D243-$I$238)*MIN(J$3-$O$2,$Q$2)/$Q$2))</f>
        <v>2032.94198393709</v>
      </c>
      <c r="K243" s="15" t="n">
        <f aca="false">J243*(1+IF(K$3&lt;=$O$2,$D243,$D243-($D243-$I$238)*MIN(K$3-$O$2,$Q$2)/$Q$2))</f>
        <v>2246.54319818936</v>
      </c>
      <c r="L243" s="15" t="n">
        <f aca="false">K243*(1+IF(L$3&lt;=$O$2,$D243,$D243-($D243-$I$238)*MIN(L$3-$O$2,$Q$2)/$Q$2))</f>
        <v>2425.09845158145</v>
      </c>
      <c r="M243" s="15" t="n">
        <f aca="false">L243*(1+IF(M$3&lt;=$O$2,$D243,$D243-($D243-$I$238)*MIN(M$3-$O$2,$Q$2)/$Q$2))</f>
        <v>2555.78700713717</v>
      </c>
      <c r="N243" s="15" t="n">
        <f aca="false">M243*(1+IF(N$3&lt;=$O$2,$D243,$D243-($D243-$I$238)*MIN(N$3-$O$2,$Q$2)/$Q$2))</f>
        <v>2628.11577943915</v>
      </c>
      <c r="O243" s="15" t="n">
        <f aca="false">SUMPRODUCT(E243:N243,1/(1+$F$238)^$E$3:$N$3)*$E$2</f>
        <v>2734.66898130849</v>
      </c>
      <c r="P243" s="15" t="n">
        <f aca="false">N243*$E$2*(1+$I$238)/($F$238-$I$238)/(1+$F$238)^$N$3</f>
        <v>6779.5743651934</v>
      </c>
      <c r="Q243" s="15" t="n">
        <f aca="false">O243+P243</f>
        <v>9514.24334650189</v>
      </c>
      <c r="R243" s="15" t="n">
        <f aca="false">Q243-$G$2+$I$2</f>
        <v>9681.64334650189</v>
      </c>
      <c r="S243" s="42" t="n">
        <f aca="false">R243/$K$2</f>
        <v>275.124846447908</v>
      </c>
      <c r="T243" s="43" t="n">
        <f aca="false">S243-$M$2</f>
        <v>110.589467078769</v>
      </c>
    </row>
    <row r="244" customFormat="false" ht="15" hidden="false" customHeight="false" outlineLevel="0" collapsed="false">
      <c r="A244" s="5" t="n">
        <v>5</v>
      </c>
      <c r="B244" s="25" t="n">
        <f aca="false">IF(T243&gt;0,B243,D243)</f>
        <v>0.0625</v>
      </c>
      <c r="C244" s="25" t="n">
        <f aca="false">IF(T243&gt;0,D243,C243)</f>
        <v>0.15625</v>
      </c>
      <c r="D244" s="41" t="n">
        <f aca="false">(B244+C244)/2</f>
        <v>0.109375</v>
      </c>
      <c r="E244" s="15" t="n">
        <f aca="false">$C$2*(1+IF(E$3&lt;=$O$2,$D244,$D244-($D244-$I$238)*MIN(E$3-$O$2,$Q$2)/$Q$2))</f>
        <v>965.18953125</v>
      </c>
      <c r="F244" s="15" t="n">
        <f aca="false">E244*(1+IF(F$3&lt;=$O$2,$D244,$D244-($D244-$I$238)*MIN(F$3-$O$2,$Q$2)/$Q$2))</f>
        <v>1070.75713623047</v>
      </c>
      <c r="G244" s="15" t="n">
        <f aca="false">F244*(1+IF(G$3&lt;=$O$2,$D244,$D244-($D244-$I$238)*MIN(G$3-$O$2,$Q$2)/$Q$2))</f>
        <v>1187.87119800568</v>
      </c>
      <c r="H244" s="15" t="n">
        <f aca="false">G244*(1+IF(H$3&lt;=$O$2,$D244,$D244-($D244-$I$238)*MIN(H$3-$O$2,$Q$2)/$Q$2))</f>
        <v>1317.79461028755</v>
      </c>
      <c r="I244" s="15" t="n">
        <f aca="false">H244*(1+IF(I$3&lt;=$O$2,$D244,$D244-($D244-$I$238)*MIN(I$3-$O$2,$Q$2)/$Q$2))</f>
        <v>1461.92839578775</v>
      </c>
      <c r="J244" s="15" t="n">
        <f aca="false">I244*(1+IF(J$3&lt;=$O$2,$D244,$D244-($D244-$I$238)*MIN(J$3-$O$2,$Q$2)/$Q$2))</f>
        <v>1598.12164513933</v>
      </c>
      <c r="K244" s="15" t="n">
        <f aca="false">J244*(1+IF(K$3&lt;=$O$2,$D244,$D244-($D244-$I$238)*MIN(K$3-$O$2,$Q$2)/$Q$2))</f>
        <v>1721.08911512458</v>
      </c>
      <c r="L244" s="15" t="n">
        <f aca="false">K244*(1+IF(L$3&lt;=$O$2,$D244,$D244-($D244-$I$238)*MIN(L$3-$O$2,$Q$2)/$Q$2))</f>
        <v>1825.6108570861</v>
      </c>
      <c r="M244" s="15" t="n">
        <f aca="false">L244*(1+IF(M$3&lt;=$O$2,$D244,$D244-($D244-$I$238)*MIN(M$3-$O$2,$Q$2)/$Q$2))</f>
        <v>1906.87792438928</v>
      </c>
      <c r="N244" s="15" t="n">
        <f aca="false">M244*(1+IF(N$3&lt;=$O$2,$D244,$D244-($D244-$I$238)*MIN(N$3-$O$2,$Q$2)/$Q$2))</f>
        <v>1960.8425696495</v>
      </c>
      <c r="O244" s="15" t="n">
        <f aca="false">SUMPRODUCT(E244:N244,1/(1+$F$238)^$E$3:$N$3)*$E$2</f>
        <v>2223.52476032843</v>
      </c>
      <c r="P244" s="15" t="n">
        <f aca="false">N244*$E$2*(1+$I$238)/($F$238-$I$238)/(1+$F$238)^$N$3</f>
        <v>5058.25432934794</v>
      </c>
      <c r="Q244" s="15" t="n">
        <f aca="false">O244+P244</f>
        <v>7281.77908967637</v>
      </c>
      <c r="R244" s="15" t="n">
        <f aca="false">Q244-$G$2+$I$2</f>
        <v>7449.17908967637</v>
      </c>
      <c r="S244" s="42" t="n">
        <f aca="false">R244/$K$2</f>
        <v>211.68454361115</v>
      </c>
      <c r="T244" s="43" t="n">
        <f aca="false">S244-$M$2</f>
        <v>47.149164242011</v>
      </c>
    </row>
    <row r="245" customFormat="false" ht="15" hidden="false" customHeight="false" outlineLevel="0" collapsed="false">
      <c r="A245" s="5" t="n">
        <v>6</v>
      </c>
      <c r="B245" s="25" t="n">
        <f aca="false">IF(T244&gt;0,B244,D244)</f>
        <v>0.0625</v>
      </c>
      <c r="C245" s="25" t="n">
        <f aca="false">IF(T244&gt;0,D244,C244)</f>
        <v>0.109375</v>
      </c>
      <c r="D245" s="41" t="n">
        <f aca="false">(B245+C245)/2</f>
        <v>0.0859375</v>
      </c>
      <c r="E245" s="15" t="n">
        <f aca="false">$C$2*(1+IF(E$3&lt;=$O$2,$D245,$D245-($D245-$I$238)*MIN(E$3-$O$2,$Q$2)/$Q$2))</f>
        <v>944.798203125</v>
      </c>
      <c r="F245" s="15" t="n">
        <f aca="false">E245*(1+IF(F$3&lt;=$O$2,$D245,$D245-($D245-$I$238)*MIN(F$3-$O$2,$Q$2)/$Q$2))</f>
        <v>1025.99179870605</v>
      </c>
      <c r="G245" s="15" t="n">
        <f aca="false">F245*(1+IF(G$3&lt;=$O$2,$D245,$D245-($D245-$I$238)*MIN(G$3-$O$2,$Q$2)/$Q$2))</f>
        <v>1114.16296890736</v>
      </c>
      <c r="H245" s="15" t="n">
        <f aca="false">G245*(1+IF(H$3&lt;=$O$2,$D245,$D245-($D245-$I$238)*MIN(H$3-$O$2,$Q$2)/$Q$2))</f>
        <v>1209.91134904783</v>
      </c>
      <c r="I245" s="15" t="n">
        <f aca="false">H245*(1+IF(I$3&lt;=$O$2,$D245,$D245-($D245-$I$238)*MIN(I$3-$O$2,$Q$2)/$Q$2))</f>
        <v>1313.88810560663</v>
      </c>
      <c r="J245" s="15" t="n">
        <f aca="false">I245*(1+IF(J$3&lt;=$O$2,$D245,$D245-($D245-$I$238)*MIN(J$3-$O$2,$Q$2)/$Q$2))</f>
        <v>1411.65451954482</v>
      </c>
      <c r="K245" s="15" t="n">
        <f aca="false">J245*(1+IF(K$3&lt;=$O$2,$D245,$D245-($D245-$I$238)*MIN(K$3-$O$2,$Q$2)/$Q$2))</f>
        <v>1500.4228848701</v>
      </c>
      <c r="L245" s="15" t="n">
        <f aca="false">K245*(1+IF(L$3&lt;=$O$2,$D245,$D245-($D245-$I$238)*MIN(L$3-$O$2,$Q$2)/$Q$2))</f>
        <v>1577.4771021226</v>
      </c>
      <c r="M245" s="15" t="n">
        <f aca="false">L245*(1+IF(M$3&lt;=$O$2,$D245,$D245-($D245-$I$238)*MIN(M$3-$O$2,$Q$2)/$Q$2))</f>
        <v>1640.30407140739</v>
      </c>
      <c r="N245" s="15" t="n">
        <f aca="false">M245*(1+IF(N$3&lt;=$O$2,$D245,$D245-($D245-$I$238)*MIN(N$3-$O$2,$Q$2)/$Q$2))</f>
        <v>1686.72467662822</v>
      </c>
      <c r="O245" s="15" t="n">
        <f aca="false">SUMPRODUCT(E245:N245,1/(1+$F$238)^$E$3:$N$3)*$E$2</f>
        <v>2004.42518228799</v>
      </c>
      <c r="P245" s="15" t="n">
        <f aca="false">N245*$E$2*(1+$I$238)/($F$238-$I$238)/(1+$F$238)^$N$3</f>
        <v>4351.13074860352</v>
      </c>
      <c r="Q245" s="15" t="n">
        <f aca="false">O245+P245</f>
        <v>6355.55593089151</v>
      </c>
      <c r="R245" s="15" t="n">
        <f aca="false">Q245-$G$2+$I$2</f>
        <v>6522.95593089151</v>
      </c>
      <c r="S245" s="42" t="n">
        <f aca="false">R245/$K$2</f>
        <v>185.363908237895</v>
      </c>
      <c r="T245" s="43" t="n">
        <f aca="false">S245-$M$2</f>
        <v>20.8285288687555</v>
      </c>
    </row>
    <row r="246" customFormat="false" ht="15" hidden="false" customHeight="false" outlineLevel="0" collapsed="false">
      <c r="A246" s="5" t="n">
        <v>7</v>
      </c>
      <c r="B246" s="25" t="n">
        <f aca="false">IF(T245&gt;0,B245,D245)</f>
        <v>0.0625</v>
      </c>
      <c r="C246" s="25" t="n">
        <f aca="false">IF(T245&gt;0,D245,C245)</f>
        <v>0.0859375</v>
      </c>
      <c r="D246" s="41" t="n">
        <f aca="false">(B246+C246)/2</f>
        <v>0.07421875</v>
      </c>
      <c r="E246" s="15" t="n">
        <f aca="false">$C$2*(1+IF(E$3&lt;=$O$2,$D246,$D246-($D246-$I$238)*MIN(E$3-$O$2,$Q$2)/$Q$2))</f>
        <v>934.6025390625</v>
      </c>
      <c r="F246" s="15" t="n">
        <f aca="false">E246*(1+IF(F$3&lt;=$O$2,$D246,$D246-($D246-$I$238)*MIN(F$3-$O$2,$Q$2)/$Q$2))</f>
        <v>1003.96757125854</v>
      </c>
      <c r="G246" s="15" t="n">
        <f aca="false">F246*(1+IF(G$3&lt;=$O$2,$D246,$D246-($D246-$I$238)*MIN(G$3-$O$2,$Q$2)/$Q$2))</f>
        <v>1078.48078943789</v>
      </c>
      <c r="H246" s="15" t="n">
        <f aca="false">G246*(1+IF(H$3&lt;=$O$2,$D246,$D246-($D246-$I$238)*MIN(H$3-$O$2,$Q$2)/$Q$2))</f>
        <v>1158.52428552898</v>
      </c>
      <c r="I246" s="15" t="n">
        <f aca="false">H246*(1+IF(I$3&lt;=$O$2,$D246,$D246-($D246-$I$238)*MIN(I$3-$O$2,$Q$2)/$Q$2))</f>
        <v>1244.50850984559</v>
      </c>
      <c r="J246" s="15" t="n">
        <f aca="false">I246*(1+IF(J$3&lt;=$O$2,$D246,$D246-($D246-$I$238)*MIN(J$3-$O$2,$Q$2)/$Q$2))</f>
        <v>1325.4451207834</v>
      </c>
      <c r="K246" s="15" t="n">
        <f aca="false">J246*(1+IF(K$3&lt;=$O$2,$D246,$D246-($D246-$I$238)*MIN(K$3-$O$2,$Q$2)/$Q$2))</f>
        <v>1399.47288758555</v>
      </c>
      <c r="L246" s="15" t="n">
        <f aca="false">K246*(1+IF(L$3&lt;=$O$2,$D246,$D246-($D246-$I$238)*MIN(L$3-$O$2,$Q$2)/$Q$2))</f>
        <v>1464.78278856695</v>
      </c>
      <c r="M246" s="15" t="n">
        <f aca="false">L246*(1+IF(M$3&lt;=$O$2,$D246,$D246-($D246-$I$238)*MIN(M$3-$O$2,$Q$2)/$Q$2))</f>
        <v>1519.68834041789</v>
      </c>
      <c r="N246" s="15" t="n">
        <f aca="false">M246*(1+IF(N$3&lt;=$O$2,$D246,$D246-($D246-$I$238)*MIN(N$3-$O$2,$Q$2)/$Q$2))</f>
        <v>1562.69552045172</v>
      </c>
      <c r="O246" s="15" t="n">
        <f aca="false">SUMPRODUCT(E246:N246,1/(1+$F$238)^$E$3:$N$3)*$E$2</f>
        <v>1903.03597935535</v>
      </c>
      <c r="P246" s="15" t="n">
        <f aca="false">N246*$E$2*(1+$I$238)/($F$238-$I$238)/(1+$F$238)^$N$3</f>
        <v>4031.18103621673</v>
      </c>
      <c r="Q246" s="15" t="n">
        <f aca="false">O246+P246</f>
        <v>5934.21701557208</v>
      </c>
      <c r="R246" s="15" t="n">
        <f aca="false">Q246-$G$2+$I$2</f>
        <v>6101.61701557208</v>
      </c>
      <c r="S246" s="42" t="n">
        <f aca="false">R246/$K$2</f>
        <v>173.390651195569</v>
      </c>
      <c r="T246" s="43" t="n">
        <f aca="false">S246-$M$2</f>
        <v>8.85527182643011</v>
      </c>
    </row>
    <row r="247" customFormat="false" ht="15" hidden="false" customHeight="false" outlineLevel="0" collapsed="false">
      <c r="A247" s="5" t="n">
        <v>8</v>
      </c>
      <c r="B247" s="25" t="n">
        <f aca="false">IF(T246&gt;0,B246,D246)</f>
        <v>0.0625</v>
      </c>
      <c r="C247" s="25" t="n">
        <f aca="false">IF(T246&gt;0,D246,C246)</f>
        <v>0.07421875</v>
      </c>
      <c r="D247" s="41" t="n">
        <f aca="false">(B247+C247)/2</f>
        <v>0.068359375</v>
      </c>
      <c r="E247" s="15" t="n">
        <f aca="false">$C$2*(1+IF(E$3&lt;=$O$2,$D247,$D247-($D247-$I$238)*MIN(E$3-$O$2,$Q$2)/$Q$2))</f>
        <v>929.50470703125</v>
      </c>
      <c r="F247" s="15" t="n">
        <f aca="false">E247*(1+IF(F$3&lt;=$O$2,$D247,$D247-($D247-$I$238)*MIN(F$3-$O$2,$Q$2)/$Q$2))</f>
        <v>993.045067863464</v>
      </c>
      <c r="G247" s="15" t="n">
        <f aca="false">F247*(1+IF(G$3&lt;=$O$2,$D247,$D247-($D247-$I$238)*MIN(G$3-$O$2,$Q$2)/$Q$2))</f>
        <v>1060.92900804944</v>
      </c>
      <c r="H247" s="15" t="n">
        <f aca="false">G247*(1+IF(H$3&lt;=$O$2,$D247,$D247-($D247-$I$238)*MIN(H$3-$O$2,$Q$2)/$Q$2))</f>
        <v>1133.45345195907</v>
      </c>
      <c r="I247" s="15" t="n">
        <f aca="false">H247*(1+IF(I$3&lt;=$O$2,$D247,$D247-($D247-$I$238)*MIN(I$3-$O$2,$Q$2)/$Q$2))</f>
        <v>1210.93562152659</v>
      </c>
      <c r="J247" s="15" t="n">
        <f aca="false">I247*(1+IF(J$3&lt;=$O$2,$D247,$D247-($D247-$I$238)*MIN(J$3-$O$2,$Q$2)/$Q$2))</f>
        <v>1284.01255894666</v>
      </c>
      <c r="K247" s="15" t="n">
        <f aca="false">J247*(1+IF(K$3&lt;=$O$2,$D247,$D247-($D247-$I$238)*MIN(K$3-$O$2,$Q$2)/$Q$2))</f>
        <v>1351.21215872699</v>
      </c>
      <c r="L247" s="15" t="n">
        <f aca="false">K247*(1+IF(L$3&lt;=$O$2,$D247,$D247-($D247-$I$238)*MIN(L$3-$O$2,$Q$2)/$Q$2))</f>
        <v>1411.10294864736</v>
      </c>
      <c r="M247" s="15" t="n">
        <f aca="false">L247*(1+IF(M$3&lt;=$O$2,$D247,$D247-($D247-$I$238)*MIN(M$3-$O$2,$Q$2)/$Q$2))</f>
        <v>1462.34274253078</v>
      </c>
      <c r="N247" s="15" t="n">
        <f aca="false">M247*(1+IF(N$3&lt;=$O$2,$D247,$D247-($D247-$I$238)*MIN(N$3-$O$2,$Q$2)/$Q$2))</f>
        <v>1503.7270421444</v>
      </c>
      <c r="O247" s="15" t="n">
        <f aca="false">SUMPRODUCT(E247:N247,1/(1+$F$238)^$E$3:$N$3)*$E$2</f>
        <v>1854.27074662107</v>
      </c>
      <c r="P247" s="15" t="n">
        <f aca="false">N247*$E$2*(1+$I$238)/($F$238-$I$238)/(1+$F$238)^$N$3</f>
        <v>3879.0639997397</v>
      </c>
      <c r="Q247" s="15" t="n">
        <f aca="false">O247+P247</f>
        <v>5733.33474636077</v>
      </c>
      <c r="R247" s="15" t="n">
        <f aca="false">Q247-$G$2+$I$2</f>
        <v>5900.73474636077</v>
      </c>
      <c r="S247" s="42" t="n">
        <f aca="false">R247/$K$2</f>
        <v>167.682146813321</v>
      </c>
      <c r="T247" s="43" t="n">
        <f aca="false">S247-$M$2</f>
        <v>3.14676744418207</v>
      </c>
    </row>
    <row r="248" customFormat="false" ht="15" hidden="false" customHeight="false" outlineLevel="0" collapsed="false">
      <c r="A248" s="5" t="n">
        <v>9</v>
      </c>
      <c r="B248" s="25" t="n">
        <f aca="false">IF(T247&gt;0,B247,D247)</f>
        <v>0.0625</v>
      </c>
      <c r="C248" s="25" t="n">
        <f aca="false">IF(T247&gt;0,D247,C247)</f>
        <v>0.068359375</v>
      </c>
      <c r="D248" s="41" t="n">
        <f aca="false">(B248+C248)/2</f>
        <v>0.0654296875</v>
      </c>
      <c r="E248" s="15" t="n">
        <f aca="false">$C$2*(1+IF(E$3&lt;=$O$2,$D248,$D248-($D248-$I$238)*MIN(E$3-$O$2,$Q$2)/$Q$2))</f>
        <v>926.955791015625</v>
      </c>
      <c r="F248" s="15" t="n">
        <f aca="false">E248*(1+IF(F$3&lt;=$O$2,$D248,$D248-($D248-$I$238)*MIN(F$3-$O$2,$Q$2)/$Q$2))</f>
        <v>987.606218748093</v>
      </c>
      <c r="G248" s="15" t="n">
        <f aca="false">F248*(1+IF(G$3&lt;=$O$2,$D248,$D248-($D248-$I$238)*MIN(G$3-$O$2,$Q$2)/$Q$2))</f>
        <v>1052.22498501384</v>
      </c>
      <c r="H248" s="15" t="n">
        <f aca="false">G248*(1+IF(H$3&lt;=$O$2,$D248,$D248-($D248-$I$238)*MIN(H$3-$O$2,$Q$2)/$Q$2))</f>
        <v>1121.07173696298</v>
      </c>
      <c r="I248" s="15" t="n">
        <f aca="false">H248*(1+IF(I$3&lt;=$O$2,$D248,$D248-($D248-$I$238)*MIN(I$3-$O$2,$Q$2)/$Q$2))</f>
        <v>1194.42311037755</v>
      </c>
      <c r="J248" s="15" t="n">
        <f aca="false">I248*(1+IF(J$3&lt;=$O$2,$D248,$D248-($D248-$I$238)*MIN(J$3-$O$2,$Q$2)/$Q$2))</f>
        <v>1263.70412986612</v>
      </c>
      <c r="K248" s="15" t="n">
        <f aca="false">J248*(1+IF(K$3&lt;=$O$2,$D248,$D248-($D248-$I$238)*MIN(K$3-$O$2,$Q$2)/$Q$2))</f>
        <v>1327.61952040196</v>
      </c>
      <c r="L248" s="15" t="n">
        <f aca="false">K248*(1+IF(L$3&lt;=$O$2,$D248,$D248-($D248-$I$238)*MIN(L$3-$O$2,$Q$2)/$Q$2))</f>
        <v>1384.90879199391</v>
      </c>
      <c r="M248" s="15" t="n">
        <f aca="false">L248*(1+IF(M$3&lt;=$O$2,$D248,$D248-($D248-$I$238)*MIN(M$3-$O$2,$Q$2)/$Q$2))</f>
        <v>1434.38595693988</v>
      </c>
      <c r="N248" s="15" t="n">
        <f aca="false">M248*(1+IF(N$3&lt;=$O$2,$D248,$D248-($D248-$I$238)*MIN(N$3-$O$2,$Q$2)/$Q$2))</f>
        <v>1474.97907952128</v>
      </c>
      <c r="O248" s="15" t="n">
        <f aca="false">SUMPRODUCT(E248:N248,1/(1+$F$238)^$E$3:$N$3)*$E$2</f>
        <v>1830.35715378351</v>
      </c>
      <c r="P248" s="15" t="n">
        <f aca="false">N248*$E$2*(1+$I$238)/($F$238-$I$238)/(1+$F$238)^$N$3</f>
        <v>3804.9048047849</v>
      </c>
      <c r="Q248" s="15" t="n">
        <f aca="false">O248+P248</f>
        <v>5635.26195856841</v>
      </c>
      <c r="R248" s="15" t="n">
        <f aca="false">Q248-$G$2+$I$2</f>
        <v>5802.66195856841</v>
      </c>
      <c r="S248" s="42" t="n">
        <f aca="false">R248/$K$2</f>
        <v>164.895196321921</v>
      </c>
      <c r="T248" s="43" t="n">
        <f aca="false">S248-$M$2</f>
        <v>0.359816952782182</v>
      </c>
    </row>
    <row r="249" customFormat="false" ht="15" hidden="false" customHeight="false" outlineLevel="0" collapsed="false">
      <c r="A249" s="5" t="n">
        <v>10</v>
      </c>
      <c r="B249" s="25" t="n">
        <f aca="false">IF(T248&gt;0,B248,D248)</f>
        <v>0.0625</v>
      </c>
      <c r="C249" s="25" t="n">
        <f aca="false">IF(T248&gt;0,D248,C248)</f>
        <v>0.0654296875</v>
      </c>
      <c r="D249" s="41" t="n">
        <f aca="false">(B249+C249)/2</f>
        <v>0.06396484375</v>
      </c>
      <c r="E249" s="15" t="n">
        <f aca="false">$C$2*(1+IF(E$3&lt;=$O$2,$D249,$D249-($D249-$I$238)*MIN(E$3-$O$2,$Q$2)/$Q$2))</f>
        <v>925.681333007812</v>
      </c>
      <c r="F249" s="15" t="n">
        <f aca="false">E249*(1+IF(F$3&lt;=$O$2,$D249,$D249-($D249-$I$238)*MIN(F$3-$O$2,$Q$2)/$Q$2))</f>
        <v>984.892394835949</v>
      </c>
      <c r="G249" s="15" t="n">
        <f aca="false">F249*(1+IF(G$3&lt;=$O$2,$D249,$D249-($D249-$I$238)*MIN(G$3-$O$2,$Q$2)/$Q$2))</f>
        <v>1047.89088298219</v>
      </c>
      <c r="H249" s="15" t="n">
        <f aca="false">G249*(1+IF(H$3&lt;=$O$2,$D249,$D249-($D249-$I$238)*MIN(H$3-$O$2,$Q$2)/$Q$2))</f>
        <v>1114.9190595792</v>
      </c>
      <c r="I249" s="15" t="n">
        <f aca="false">H249*(1+IF(I$3&lt;=$O$2,$D249,$D249-($D249-$I$238)*MIN(I$3-$O$2,$Q$2)/$Q$2))</f>
        <v>1186.23468301908</v>
      </c>
      <c r="J249" s="15" t="n">
        <f aca="false">I249*(1+IF(J$3&lt;=$O$2,$D249,$D249-($D249-$I$238)*MIN(J$3-$O$2,$Q$2)/$Q$2))</f>
        <v>1253.65062424508</v>
      </c>
      <c r="K249" s="15" t="n">
        <f aca="false">J249*(1+IF(K$3&lt;=$O$2,$D249,$D249-($D249-$I$238)*MIN(K$3-$O$2,$Q$2)/$Q$2))</f>
        <v>1315.9556890897</v>
      </c>
      <c r="L249" s="15" t="n">
        <f aca="false">K249*(1+IF(L$3&lt;=$O$2,$D249,$D249-($D249-$I$238)*MIN(L$3-$O$2,$Q$2)/$Q$2))</f>
        <v>1371.97057670426</v>
      </c>
      <c r="M249" s="15" t="n">
        <f aca="false">L249*(1+IF(M$3&lt;=$O$2,$D249,$D249-($D249-$I$238)*MIN(M$3-$O$2,$Q$2)/$Q$2))</f>
        <v>1420.58356727454</v>
      </c>
      <c r="N249" s="15" t="n">
        <f aca="false">M249*(1+IF(N$3&lt;=$O$2,$D249,$D249-($D249-$I$238)*MIN(N$3-$O$2,$Q$2)/$Q$2))</f>
        <v>1460.78608222841</v>
      </c>
      <c r="O249" s="15" t="n">
        <f aca="false">SUMPRODUCT(E249:N249,1/(1+$F$238)^$E$3:$N$3)*$E$2</f>
        <v>1818.51598058633</v>
      </c>
      <c r="P249" s="15" t="n">
        <f aca="false">N249*$E$2*(1+$I$238)/($F$238-$I$238)/(1+$F$238)^$N$3</f>
        <v>3768.29207966647</v>
      </c>
      <c r="Q249" s="15" t="n">
        <f aca="false">O249+P249</f>
        <v>5586.8080602528</v>
      </c>
      <c r="R249" s="15" t="n">
        <f aca="false">Q249-$G$2+$I$2</f>
        <v>5754.2080602528</v>
      </c>
      <c r="S249" s="42" t="n">
        <f aca="false">R249/$K$2</f>
        <v>163.518273948644</v>
      </c>
      <c r="T249" s="43" t="n">
        <f aca="false">S249-$M$2</f>
        <v>-1.0171054204946</v>
      </c>
    </row>
    <row r="250" customFormat="false" ht="15" hidden="false" customHeight="false" outlineLevel="0" collapsed="false">
      <c r="A250" s="5" t="n">
        <v>11</v>
      </c>
      <c r="B250" s="25" t="n">
        <f aca="false">IF(T249&gt;0,B249,D249)</f>
        <v>0.06396484375</v>
      </c>
      <c r="C250" s="25" t="n">
        <f aca="false">IF(T249&gt;0,D249,C249)</f>
        <v>0.0654296875</v>
      </c>
      <c r="D250" s="41" t="n">
        <f aca="false">(B250+C250)/2</f>
        <v>0.064697265625</v>
      </c>
      <c r="E250" s="15" t="n">
        <f aca="false">$C$2*(1+IF(E$3&lt;=$O$2,$D250,$D250-($D250-$I$238)*MIN(E$3-$O$2,$Q$2)/$Q$2))</f>
        <v>926.318562011719</v>
      </c>
      <c r="F250" s="15" t="n">
        <f aca="false">E250*(1+IF(F$3&lt;=$O$2,$D250,$D250-($D250-$I$238)*MIN(F$3-$O$2,$Q$2)/$Q$2))</f>
        <v>986.248840071559</v>
      </c>
      <c r="G250" s="15" t="n">
        <f aca="false">F250*(1+IF(G$3&lt;=$O$2,$D250,$D250-($D250-$I$238)*MIN(G$3-$O$2,$Q$2)/$Q$2))</f>
        <v>1050.05644325002</v>
      </c>
      <c r="H250" s="15" t="n">
        <f aca="false">G250*(1+IF(H$3&lt;=$O$2,$D250,$D250-($D250-$I$238)*MIN(H$3-$O$2,$Q$2)/$Q$2))</f>
        <v>1117.99222388021</v>
      </c>
      <c r="I250" s="15" t="n">
        <f aca="false">H250*(1+IF(I$3&lt;=$O$2,$D250,$D250-($D250-$I$238)*MIN(I$3-$O$2,$Q$2)/$Q$2))</f>
        <v>1190.32326375527</v>
      </c>
      <c r="J250" s="15" t="n">
        <f aca="false">I250*(1+IF(J$3&lt;=$O$2,$D250,$D250-($D250-$I$238)*MIN(J$3-$O$2,$Q$2)/$Q$2))</f>
        <v>1258.66902172796</v>
      </c>
      <c r="K250" s="15" t="n">
        <f aca="false">J250*(1+IF(K$3&lt;=$O$2,$D250,$D250-($D250-$I$238)*MIN(K$3-$O$2,$Q$2)/$Q$2))</f>
        <v>1321.77662147353</v>
      </c>
      <c r="L250" s="15" t="n">
        <f aca="false">K250*(1+IF(L$3&lt;=$O$2,$D250,$D250-($D250-$I$238)*MIN(L$3-$O$2,$Q$2)/$Q$2))</f>
        <v>1378.42652177671</v>
      </c>
      <c r="M250" s="15" t="n">
        <f aca="false">L250*(1+IF(M$3&lt;=$O$2,$D250,$D250-($D250-$I$238)*MIN(M$3-$O$2,$Q$2)/$Q$2))</f>
        <v>1427.47018359452</v>
      </c>
      <c r="N250" s="15" t="n">
        <f aca="false">M250*(1+IF(N$3&lt;=$O$2,$D250,$D250-($D250-$I$238)*MIN(N$3-$O$2,$Q$2)/$Q$2))</f>
        <v>1467.86758979024</v>
      </c>
      <c r="O250" s="15" t="n">
        <f aca="false">SUMPRODUCT(E250:N250,1/(1+$F$238)^$E$3:$N$3)*$E$2</f>
        <v>1824.42698009778</v>
      </c>
      <c r="P250" s="15" t="n">
        <f aca="false">N250*$E$2*(1+$I$238)/($F$238-$I$238)/(1+$F$238)^$N$3</f>
        <v>3786.55977072816</v>
      </c>
      <c r="Q250" s="15" t="n">
        <f aca="false">O250+P250</f>
        <v>5610.98675082593</v>
      </c>
      <c r="R250" s="15" t="n">
        <f aca="false">Q250-$G$2+$I$2</f>
        <v>5778.38675082593</v>
      </c>
      <c r="S250" s="42" t="n">
        <f aca="false">R250/$K$2</f>
        <v>164.205363763169</v>
      </c>
      <c r="T250" s="43" t="n">
        <f aca="false">S250-$M$2</f>
        <v>-0.33001560596955</v>
      </c>
    </row>
    <row r="251" customFormat="false" ht="15" hidden="false" customHeight="false" outlineLevel="0" collapsed="false">
      <c r="A251" s="5" t="n">
        <v>12</v>
      </c>
      <c r="B251" s="25" t="n">
        <f aca="false">IF(T250&gt;0,B250,D250)</f>
        <v>0.064697265625</v>
      </c>
      <c r="C251" s="25" t="n">
        <f aca="false">IF(T250&gt;0,D250,C250)</f>
        <v>0.0654296875</v>
      </c>
      <c r="D251" s="41" t="n">
        <f aca="false">(B251+C251)/2</f>
        <v>0.0650634765625</v>
      </c>
      <c r="E251" s="15" t="n">
        <f aca="false">$C$2*(1+IF(E$3&lt;=$O$2,$D251,$D251-($D251-$I$238)*MIN(E$3-$O$2,$Q$2)/$Q$2))</f>
        <v>926.637176513672</v>
      </c>
      <c r="F251" s="15" t="n">
        <f aca="false">E251*(1+IF(F$3&lt;=$O$2,$D251,$D251-($D251-$I$238)*MIN(F$3-$O$2,$Q$2)/$Q$2))</f>
        <v>986.92741272971</v>
      </c>
      <c r="G251" s="15" t="n">
        <f aca="false">F251*(1+IF(G$3&lt;=$O$2,$D251,$D251-($D251-$I$238)*MIN(G$3-$O$2,$Q$2)/$Q$2))</f>
        <v>1051.14034131674</v>
      </c>
      <c r="H251" s="15" t="n">
        <f aca="false">G251*(1+IF(H$3&lt;=$O$2,$D251,$D251-($D251-$I$238)*MIN(H$3-$O$2,$Q$2)/$Q$2))</f>
        <v>1119.5311862779</v>
      </c>
      <c r="I251" s="15" t="n">
        <f aca="false">H251*(1+IF(I$3&lt;=$O$2,$D251,$D251-($D251-$I$238)*MIN(I$3-$O$2,$Q$2)/$Q$2))</f>
        <v>1192.37177737728</v>
      </c>
      <c r="J251" s="15" t="n">
        <f aca="false">I251*(1+IF(J$3&lt;=$O$2,$D251,$D251-($D251-$I$238)*MIN(J$3-$O$2,$Q$2)/$Q$2))</f>
        <v>1261.18448419017</v>
      </c>
      <c r="K251" s="15" t="n">
        <f aca="false">J251*(1+IF(K$3&lt;=$O$2,$D251,$D251-($D251-$I$238)*MIN(K$3-$O$2,$Q$2)/$Q$2))</f>
        <v>1324.69532082806</v>
      </c>
      <c r="L251" s="15" t="n">
        <f aca="false">K251*(1+IF(L$3&lt;=$O$2,$D251,$D251-($D251-$I$238)*MIN(L$3-$O$2,$Q$2)/$Q$2))</f>
        <v>1381.66436055938</v>
      </c>
      <c r="M251" s="15" t="n">
        <f aca="false">L251*(1+IF(M$3&lt;=$O$2,$D251,$D251-($D251-$I$238)*MIN(M$3-$O$2,$Q$2)/$Q$2))</f>
        <v>1430.92441903055</v>
      </c>
      <c r="N251" s="15" t="n">
        <f aca="false">M251*(1+IF(N$3&lt;=$O$2,$D251,$D251-($D251-$I$238)*MIN(N$3-$O$2,$Q$2)/$Q$2))</f>
        <v>1471.41958008911</v>
      </c>
      <c r="O251" s="15" t="n">
        <f aca="false">SUMPRODUCT(E251:N251,1/(1+$F$238)^$E$3:$N$3)*$E$2</f>
        <v>1827.38966656584</v>
      </c>
      <c r="P251" s="15" t="n">
        <f aca="false">N251*$E$2*(1+$I$238)/($F$238-$I$238)/(1+$F$238)^$N$3</f>
        <v>3795.72260235225</v>
      </c>
      <c r="Q251" s="15" t="n">
        <f aca="false">O251+P251</f>
        <v>5623.11226891809</v>
      </c>
      <c r="R251" s="15" t="n">
        <f aca="false">Q251-$G$2+$I$2</f>
        <v>5790.51226891809</v>
      </c>
      <c r="S251" s="42" t="n">
        <f aca="false">R251/$K$2</f>
        <v>164.549936598979</v>
      </c>
      <c r="T251" s="43" t="n">
        <f aca="false">S251-$M$2</f>
        <v>0.0145572298404488</v>
      </c>
    </row>
    <row r="252" customFormat="false" ht="15" hidden="false" customHeight="false" outlineLevel="0" collapsed="false">
      <c r="A252" s="5" t="n">
        <v>13</v>
      </c>
      <c r="B252" s="25" t="n">
        <f aca="false">IF(T251&gt;0,B251,D251)</f>
        <v>0.064697265625</v>
      </c>
      <c r="C252" s="25" t="n">
        <f aca="false">IF(T251&gt;0,D251,C251)</f>
        <v>0.0650634765625</v>
      </c>
      <c r="D252" s="41" t="n">
        <f aca="false">(B252+C252)/2</f>
        <v>0.06488037109375</v>
      </c>
      <c r="E252" s="15" t="n">
        <f aca="false">$C$2*(1+IF(E$3&lt;=$O$2,$D252,$D252-($D252-$I$238)*MIN(E$3-$O$2,$Q$2)/$Q$2))</f>
        <v>926.477869262695</v>
      </c>
      <c r="F252" s="15" t="n">
        <f aca="false">E252*(1+IF(F$3&lt;=$O$2,$D252,$D252-($D252-$I$238)*MIN(F$3-$O$2,$Q$2)/$Q$2))</f>
        <v>986.588097230606</v>
      </c>
      <c r="G252" s="15" t="n">
        <f aca="false">F252*(1+IF(G$3&lt;=$O$2,$D252,$D252-($D252-$I$238)*MIN(G$3-$O$2,$Q$2)/$Q$2))</f>
        <v>1050.5982990956</v>
      </c>
      <c r="H252" s="15" t="n">
        <f aca="false">G252*(1+IF(H$3&lt;=$O$2,$D252,$D252-($D252-$I$238)*MIN(H$3-$O$2,$Q$2)/$Q$2))</f>
        <v>1118.76150661139</v>
      </c>
      <c r="I252" s="15" t="n">
        <f aca="false">H252*(1+IF(I$3&lt;=$O$2,$D252,$D252-($D252-$I$238)*MIN(I$3-$O$2,$Q$2)/$Q$2))</f>
        <v>1191.34716832574</v>
      </c>
      <c r="J252" s="15" t="n">
        <f aca="false">I252*(1+IF(J$3&lt;=$O$2,$D252,$D252-($D252-$I$238)*MIN(J$3-$O$2,$Q$2)/$Q$2))</f>
        <v>1259.92623040443</v>
      </c>
      <c r="K252" s="15" t="n">
        <f aca="false">J252*(1+IF(K$3&lt;=$O$2,$D252,$D252-($D252-$I$238)*MIN(K$3-$O$2,$Q$2)/$Q$2))</f>
        <v>1323.23528416024</v>
      </c>
      <c r="L252" s="15" t="n">
        <f aca="false">K252*(1+IF(L$3&lt;=$O$2,$D252,$D252-($D252-$I$238)*MIN(L$3-$O$2,$Q$2)/$Q$2))</f>
        <v>1380.04461779755</v>
      </c>
      <c r="M252" s="15" t="n">
        <f aca="false">L252*(1+IF(M$3&lt;=$O$2,$D252,$D252-($D252-$I$238)*MIN(M$3-$O$2,$Q$2)/$Q$2))</f>
        <v>1429.19638933021</v>
      </c>
      <c r="N252" s="15" t="n">
        <f aca="false">M252*(1+IF(N$3&lt;=$O$2,$D252,$D252-($D252-$I$238)*MIN(N$3-$O$2,$Q$2)/$Q$2))</f>
        <v>1469.64264714826</v>
      </c>
      <c r="O252" s="15" t="n">
        <f aca="false">SUMPRODUCT(E252:N252,1/(1+$F$238)^$E$3:$N$3)*$E$2</f>
        <v>1825.90772368885</v>
      </c>
      <c r="P252" s="15" t="n">
        <f aca="false">N252*$E$2*(1+$I$238)/($F$238-$I$238)/(1+$F$238)^$N$3</f>
        <v>3791.13876738245</v>
      </c>
      <c r="Q252" s="15" t="n">
        <f aca="false">O252+P252</f>
        <v>5617.0464910713</v>
      </c>
      <c r="R252" s="15" t="n">
        <f aca="false">Q252-$G$2+$I$2</f>
        <v>5784.4464910713</v>
      </c>
      <c r="S252" s="42" t="n">
        <f aca="false">R252/$K$2</f>
        <v>164.37756439532</v>
      </c>
      <c r="T252" s="43" t="n">
        <f aca="false">S252-$M$2</f>
        <v>-0.157814973819313</v>
      </c>
    </row>
    <row r="253" customFormat="false" ht="15" hidden="false" customHeight="false" outlineLevel="0" collapsed="false">
      <c r="A253" s="5" t="n">
        <v>14</v>
      </c>
      <c r="B253" s="25" t="n">
        <f aca="false">IF(T252&gt;0,B252,D252)</f>
        <v>0.06488037109375</v>
      </c>
      <c r="C253" s="25" t="n">
        <f aca="false">IF(T252&gt;0,D252,C252)</f>
        <v>0.0650634765625</v>
      </c>
      <c r="D253" s="41" t="n">
        <f aca="false">(B253+C253)/2</f>
        <v>0.064971923828125</v>
      </c>
      <c r="E253" s="15" t="n">
        <f aca="false">$C$2*(1+IF(E$3&lt;=$O$2,$D253,$D253-($D253-$I$238)*MIN(E$3-$O$2,$Q$2)/$Q$2))</f>
        <v>926.557522888184</v>
      </c>
      <c r="F253" s="15" t="n">
        <f aca="false">E253*(1+IF(F$3&lt;=$O$2,$D253,$D253-($D253-$I$238)*MIN(F$3-$O$2,$Q$2)/$Q$2))</f>
        <v>986.757747687651</v>
      </c>
      <c r="G253" s="15" t="n">
        <f aca="false">F253*(1+IF(G$3&lt;=$O$2,$D253,$D253-($D253-$I$238)*MIN(G$3-$O$2,$Q$2)/$Q$2))</f>
        <v>1050.86929690723</v>
      </c>
      <c r="H253" s="15" t="n">
        <f aca="false">G253*(1+IF(H$3&lt;=$O$2,$D253,$D253-($D253-$I$238)*MIN(H$3-$O$2,$Q$2)/$Q$2))</f>
        <v>1119.1462968192</v>
      </c>
      <c r="I253" s="15" t="n">
        <f aca="false">H253*(1+IF(I$3&lt;=$O$2,$D253,$D253-($D253-$I$238)*MIN(I$3-$O$2,$Q$2)/$Q$2))</f>
        <v>1191.85938476866</v>
      </c>
      <c r="J253" s="15" t="n">
        <f aca="false">I253*(1+IF(J$3&lt;=$O$2,$D253,$D253-($D253-$I$238)*MIN(J$3-$O$2,$Q$2)/$Q$2))</f>
        <v>1260.55522661527</v>
      </c>
      <c r="K253" s="15" t="n">
        <f aca="false">J253*(1+IF(K$3&lt;=$O$2,$D253,$D253-($D253-$I$238)*MIN(K$3-$O$2,$Q$2)/$Q$2))</f>
        <v>1323.96513067943</v>
      </c>
      <c r="L253" s="15" t="n">
        <f aca="false">K253*(1+IF(L$3&lt;=$O$2,$D253,$D253-($D253-$I$238)*MIN(L$3-$O$2,$Q$2)/$Q$2))</f>
        <v>1380.85428324701</v>
      </c>
      <c r="M253" s="15" t="n">
        <f aca="false">L253*(1+IF(M$3&lt;=$O$2,$D253,$D253-($D253-$I$238)*MIN(M$3-$O$2,$Q$2)/$Q$2))</f>
        <v>1430.06017608149</v>
      </c>
      <c r="N253" s="15" t="n">
        <f aca="false">M253*(1+IF(N$3&lt;=$O$2,$D253,$D253-($D253-$I$238)*MIN(N$3-$O$2,$Q$2)/$Q$2))</f>
        <v>1470.5308790646</v>
      </c>
      <c r="O253" s="15" t="n">
        <f aca="false">SUMPRODUCT(E253:N253,1/(1+$F$238)^$E$3:$N$3)*$E$2</f>
        <v>1826.64854516029</v>
      </c>
      <c r="P253" s="15" t="n">
        <f aca="false">N253*$E$2*(1+$I$238)/($F$238-$I$238)/(1+$F$238)^$N$3</f>
        <v>3793.43007980388</v>
      </c>
      <c r="Q253" s="15" t="n">
        <f aca="false">O253+P253</f>
        <v>5620.07862496416</v>
      </c>
      <c r="R253" s="15" t="n">
        <f aca="false">Q253-$G$2+$I$2</f>
        <v>5787.47862496416</v>
      </c>
      <c r="S253" s="42" t="n">
        <f aca="false">R253/$K$2</f>
        <v>164.463729041323</v>
      </c>
      <c r="T253" s="43" t="n">
        <f aca="false">S253-$M$2</f>
        <v>-0.0716503278158314</v>
      </c>
    </row>
    <row r="254" customFormat="false" ht="15" hidden="false" customHeight="false" outlineLevel="0" collapsed="false">
      <c r="A254" s="5" t="n">
        <v>15</v>
      </c>
      <c r="B254" s="25" t="n">
        <f aca="false">IF(T253&gt;0,B253,D253)</f>
        <v>0.064971923828125</v>
      </c>
      <c r="C254" s="25" t="n">
        <f aca="false">IF(T253&gt;0,D253,C253)</f>
        <v>0.0650634765625</v>
      </c>
      <c r="D254" s="41" t="n">
        <f aca="false">(B254+C254)/2</f>
        <v>0.0650177001953125</v>
      </c>
      <c r="E254" s="15" t="n">
        <f aca="false">$C$2*(1+IF(E$3&lt;=$O$2,$D254,$D254-($D254-$I$238)*MIN(E$3-$O$2,$Q$2)/$Q$2))</f>
        <v>926.597349700928</v>
      </c>
      <c r="F254" s="15" t="n">
        <f aca="false">E254*(1+IF(F$3&lt;=$O$2,$D254,$D254-($D254-$I$238)*MIN(F$3-$O$2,$Q$2)/$Q$2))</f>
        <v>986.842578385554</v>
      </c>
      <c r="G254" s="15" t="n">
        <f aca="false">F254*(1+IF(G$3&lt;=$O$2,$D254,$D254-($D254-$I$238)*MIN(G$3-$O$2,$Q$2)/$Q$2))</f>
        <v>1051.00481328699</v>
      </c>
      <c r="H254" s="15" t="n">
        <f aca="false">G254*(1+IF(H$3&lt;=$O$2,$D254,$D254-($D254-$I$238)*MIN(H$3-$O$2,$Q$2)/$Q$2))</f>
        <v>1119.33872914112</v>
      </c>
      <c r="I254" s="15" t="n">
        <f aca="false">H254*(1+IF(I$3&lt;=$O$2,$D254,$D254-($D254-$I$238)*MIN(I$3-$O$2,$Q$2)/$Q$2))</f>
        <v>1192.11555904942</v>
      </c>
      <c r="J254" s="15" t="n">
        <f aca="false">I254*(1+IF(J$3&lt;=$O$2,$D254,$D254-($D254-$I$238)*MIN(J$3-$O$2,$Q$2)/$Q$2))</f>
        <v>1260.86982272679</v>
      </c>
      <c r="K254" s="15" t="n">
        <f aca="false">J254*(1+IF(K$3&lt;=$O$2,$D254,$D254-($D254-$I$238)*MIN(K$3-$O$2,$Q$2)/$Q$2))</f>
        <v>1324.33018279168</v>
      </c>
      <c r="L254" s="15" t="n">
        <f aca="false">K254*(1+IF(L$3&lt;=$O$2,$D254,$D254-($D254-$I$238)*MIN(L$3-$O$2,$Q$2)/$Q$2))</f>
        <v>1381.25927040922</v>
      </c>
      <c r="M254" s="15" t="n">
        <f aca="false">L254*(1+IF(M$3&lt;=$O$2,$D254,$D254-($D254-$I$238)*MIN(M$3-$O$2,$Q$2)/$Q$2))</f>
        <v>1430.49224051838</v>
      </c>
      <c r="N254" s="15" t="n">
        <f aca="false">M254*(1+IF(N$3&lt;=$O$2,$D254,$D254-($D254-$I$238)*MIN(N$3-$O$2,$Q$2)/$Q$2))</f>
        <v>1470.97517092505</v>
      </c>
      <c r="O254" s="15" t="n">
        <f aca="false">SUMPRODUCT(E254:N254,1/(1+$F$238)^$E$3:$N$3)*$E$2</f>
        <v>1827.01906836426</v>
      </c>
      <c r="P254" s="15" t="n">
        <f aca="false">N254*$E$2*(1+$I$238)/($F$238-$I$238)/(1+$F$238)^$N$3</f>
        <v>3794.57618977793</v>
      </c>
      <c r="Q254" s="15" t="n">
        <f aca="false">O254+P254</f>
        <v>5621.59525814218</v>
      </c>
      <c r="R254" s="15" t="n">
        <f aca="false">Q254-$G$2+$I$2</f>
        <v>5788.99525814218</v>
      </c>
      <c r="S254" s="42" t="n">
        <f aca="false">R254/$K$2</f>
        <v>164.506827455021</v>
      </c>
      <c r="T254" s="43" t="n">
        <f aca="false">S254-$M$2</f>
        <v>-0.0285519141182249</v>
      </c>
    </row>
    <row r="255" customFormat="false" ht="15" hidden="false" customHeight="false" outlineLevel="0" collapsed="false">
      <c r="A255" s="5" t="n">
        <v>16</v>
      </c>
      <c r="B255" s="25" t="n">
        <f aca="false">IF(T254&gt;0,B254,D254)</f>
        <v>0.0650177001953125</v>
      </c>
      <c r="C255" s="25" t="n">
        <f aca="false">IF(T254&gt;0,D254,C254)</f>
        <v>0.0650634765625</v>
      </c>
      <c r="D255" s="41" t="n">
        <f aca="false">(B255+C255)/2</f>
        <v>0.0650405883789063</v>
      </c>
      <c r="E255" s="15" t="n">
        <f aca="false">$C$2*(1+IF(E$3&lt;=$O$2,$D255,$D255-($D255-$I$238)*MIN(E$3-$O$2,$Q$2)/$Q$2))</f>
        <v>926.6172631073</v>
      </c>
      <c r="F255" s="15" t="n">
        <f aca="false">E255*(1+IF(F$3&lt;=$O$2,$D255,$D255-($D255-$I$238)*MIN(F$3-$O$2,$Q$2)/$Q$2))</f>
        <v>986.88499510185</v>
      </c>
      <c r="G255" s="15" t="n">
        <f aca="false">F255*(1+IF(G$3&lt;=$O$2,$D255,$D255-($D255-$I$238)*MIN(G$3-$O$2,$Q$2)/$Q$2))</f>
        <v>1051.07257584559</v>
      </c>
      <c r="H255" s="15" t="n">
        <f aca="false">G255*(1+IF(H$3&lt;=$O$2,$D255,$D255-($D255-$I$238)*MIN(H$3-$O$2,$Q$2)/$Q$2))</f>
        <v>1119.43495460752</v>
      </c>
      <c r="I255" s="15" t="n">
        <f aca="false">H255*(1+IF(I$3&lt;=$O$2,$D255,$D255-($D255-$I$238)*MIN(I$3-$O$2,$Q$2)/$Q$2))</f>
        <v>1192.24366270711</v>
      </c>
      <c r="J255" s="15" t="n">
        <f aca="false">I255*(1+IF(J$3&lt;=$O$2,$D255,$D255-($D255-$I$238)*MIN(J$3-$O$2,$Q$2)/$Q$2))</f>
        <v>1261.02714528882</v>
      </c>
      <c r="K255" s="15" t="n">
        <f aca="false">J255*(1+IF(K$3&lt;=$O$2,$D255,$D255-($D255-$I$238)*MIN(K$3-$O$2,$Q$2)/$Q$2))</f>
        <v>1324.51274106831</v>
      </c>
      <c r="L255" s="15" t="n">
        <f aca="false">K255*(1+IF(L$3&lt;=$O$2,$D255,$D255-($D255-$I$238)*MIN(L$3-$O$2,$Q$2)/$Q$2))</f>
        <v>1381.46180260942</v>
      </c>
      <c r="M255" s="15" t="n">
        <f aca="false">L255*(1+IF(M$3&lt;=$O$2,$D255,$D255-($D255-$I$238)*MIN(M$3-$O$2,$Q$2)/$Q$2))</f>
        <v>1430.70831551344</v>
      </c>
      <c r="N255" s="15" t="n">
        <f aca="false">M255*(1+IF(N$3&lt;=$O$2,$D255,$D255-($D255-$I$238)*MIN(N$3-$O$2,$Q$2)/$Q$2))</f>
        <v>1471.19736084247</v>
      </c>
      <c r="O255" s="15" t="n">
        <f aca="false">SUMPRODUCT(E255:N255,1/(1+$F$238)^$E$3:$N$3)*$E$2</f>
        <v>1827.20435808947</v>
      </c>
      <c r="P255" s="15" t="n">
        <f aca="false">N255*$E$2*(1+$I$238)/($F$238-$I$238)/(1+$F$238)^$N$3</f>
        <v>3795.14935823577</v>
      </c>
      <c r="Q255" s="15" t="n">
        <f aca="false">O255+P255</f>
        <v>5622.35371632523</v>
      </c>
      <c r="R255" s="15" t="n">
        <f aca="false">Q255-$G$2+$I$2</f>
        <v>5789.75371632524</v>
      </c>
      <c r="S255" s="42" t="n">
        <f aca="false">R255/$K$2</f>
        <v>164.528380685571</v>
      </c>
      <c r="T255" s="43" t="n">
        <f aca="false">S255-$M$2</f>
        <v>-0.0069986835682414</v>
      </c>
    </row>
    <row r="256" customFormat="false" ht="15" hidden="false" customHeight="false" outlineLevel="0" collapsed="false">
      <c r="A256" s="5" t="n">
        <v>17</v>
      </c>
      <c r="B256" s="25" t="n">
        <f aca="false">IF(T255&gt;0,B255,D255)</f>
        <v>0.0650405883789063</v>
      </c>
      <c r="C256" s="25" t="n">
        <f aca="false">IF(T255&gt;0,D255,C255)</f>
        <v>0.0650634765625</v>
      </c>
      <c r="D256" s="41" t="n">
        <f aca="false">(B256+C256)/2</f>
        <v>0.0650520324707031</v>
      </c>
      <c r="E256" s="15" t="n">
        <f aca="false">$C$2*(1+IF(E$3&lt;=$O$2,$D256,$D256-($D256-$I$238)*MIN(E$3-$O$2,$Q$2)/$Q$2))</f>
        <v>926.627219810486</v>
      </c>
      <c r="F256" s="15" t="n">
        <f aca="false">E256*(1+IF(F$3&lt;=$O$2,$D256,$D256-($D256-$I$238)*MIN(F$3-$O$2,$Q$2)/$Q$2))</f>
        <v>986.906203801835</v>
      </c>
      <c r="G256" s="15" t="n">
        <f aca="false">F256*(1+IF(G$3&lt;=$O$2,$D256,$D256-($D256-$I$238)*MIN(G$3-$O$2,$Q$2)/$Q$2))</f>
        <v>1051.10645821709</v>
      </c>
      <c r="H256" s="15" t="n">
        <f aca="false">G256*(1+IF(H$3&lt;=$O$2,$D256,$D256-($D256-$I$238)*MIN(H$3-$O$2,$Q$2)/$Q$2))</f>
        <v>1119.48306966719</v>
      </c>
      <c r="I256" s="15" t="n">
        <f aca="false">H256*(1+IF(I$3&lt;=$O$2,$D256,$D256-($D256-$I$238)*MIN(I$3-$O$2,$Q$2)/$Q$2))</f>
        <v>1192.30771866559</v>
      </c>
      <c r="J256" s="15" t="n">
        <f aca="false">I256*(1+IF(J$3&lt;=$O$2,$D256,$D256-($D256-$I$238)*MIN(J$3-$O$2,$Q$2)/$Q$2))</f>
        <v>1261.105812697</v>
      </c>
      <c r="K256" s="15" t="n">
        <f aca="false">J256*(1+IF(K$3&lt;=$O$2,$D256,$D256-($D256-$I$238)*MIN(K$3-$O$2,$Q$2)/$Q$2))</f>
        <v>1324.60402826266</v>
      </c>
      <c r="L256" s="15" t="n">
        <f aca="false">K256*(1+IF(L$3&lt;=$O$2,$D256,$D256-($D256-$I$238)*MIN(L$3-$O$2,$Q$2)/$Q$2))</f>
        <v>1381.56307836551</v>
      </c>
      <c r="M256" s="15" t="n">
        <f aca="false">L256*(1+IF(M$3&lt;=$O$2,$D256,$D256-($D256-$I$238)*MIN(M$3-$O$2,$Q$2)/$Q$2))</f>
        <v>1430.81636370653</v>
      </c>
      <c r="N256" s="15" t="n">
        <f aca="false">M256*(1+IF(N$3&lt;=$O$2,$D256,$D256-($D256-$I$238)*MIN(N$3-$O$2,$Q$2)/$Q$2))</f>
        <v>1471.30846679943</v>
      </c>
      <c r="O256" s="15" t="n">
        <f aca="false">SUMPRODUCT(E256:N256,1/(1+$F$238)^$E$3:$N$3)*$E$2</f>
        <v>1827.29700998365</v>
      </c>
      <c r="P256" s="15" t="n">
        <f aca="false">N256*$E$2*(1+$I$238)/($F$238-$I$238)/(1+$F$238)^$N$3</f>
        <v>3795.43597083614</v>
      </c>
      <c r="Q256" s="15" t="n">
        <f aca="false">O256+P256</f>
        <v>5622.73298081979</v>
      </c>
      <c r="R256" s="15" t="n">
        <f aca="false">Q256-$G$2+$I$2</f>
        <v>5790.13298081979</v>
      </c>
      <c r="S256" s="42" t="n">
        <f aca="false">R256/$K$2</f>
        <v>164.539158306899</v>
      </c>
      <c r="T256" s="43" t="n">
        <f aca="false">S256-$M$2</f>
        <v>0.00377893776038718</v>
      </c>
    </row>
    <row r="257" customFormat="false" ht="15" hidden="false" customHeight="false" outlineLevel="0" collapsed="false">
      <c r="A257" s="5" t="n">
        <v>18</v>
      </c>
      <c r="B257" s="25" t="n">
        <f aca="false">IF(T256&gt;0,B256,D256)</f>
        <v>0.0650405883789063</v>
      </c>
      <c r="C257" s="25" t="n">
        <f aca="false">IF(T256&gt;0,D256,C256)</f>
        <v>0.0650520324707031</v>
      </c>
      <c r="D257" s="41" t="n">
        <f aca="false">(B257+C257)/2</f>
        <v>0.0650463104248047</v>
      </c>
      <c r="E257" s="15" t="n">
        <f aca="false">$C$2*(1+IF(E$3&lt;=$O$2,$D257,$D257-($D257-$I$238)*MIN(E$3-$O$2,$Q$2)/$Q$2))</f>
        <v>926.622241458893</v>
      </c>
      <c r="F257" s="15" t="n">
        <f aca="false">E257*(1+IF(F$3&lt;=$O$2,$D257,$D257-($D257-$I$238)*MIN(F$3-$O$2,$Q$2)/$Q$2))</f>
        <v>986.895599423356</v>
      </c>
      <c r="G257" s="15" t="n">
        <f aca="false">F257*(1+IF(G$3&lt;=$O$2,$D257,$D257-($D257-$I$238)*MIN(G$3-$O$2,$Q$2)/$Q$2))</f>
        <v>1051.08951694032</v>
      </c>
      <c r="H257" s="15" t="n">
        <f aca="false">G257*(1+IF(H$3&lt;=$O$2,$D257,$D257-($D257-$I$238)*MIN(H$3-$O$2,$Q$2)/$Q$2))</f>
        <v>1119.45901194348</v>
      </c>
      <c r="I257" s="15" t="n">
        <f aca="false">H257*(1+IF(I$3&lt;=$O$2,$D257,$D257-($D257-$I$238)*MIN(I$3-$O$2,$Q$2)/$Q$2))</f>
        <v>1192.2756903422</v>
      </c>
      <c r="J257" s="15" t="n">
        <f aca="false">I257*(1+IF(J$3&lt;=$O$2,$D257,$D257-($D257-$I$238)*MIN(J$3-$O$2,$Q$2)/$Q$2))</f>
        <v>1261.0664784823</v>
      </c>
      <c r="K257" s="15" t="n">
        <f aca="false">J257*(1+IF(K$3&lt;=$O$2,$D257,$D257-($D257-$I$238)*MIN(K$3-$O$2,$Q$2)/$Q$2))</f>
        <v>1324.55838399412</v>
      </c>
      <c r="L257" s="15" t="n">
        <f aca="false">K257*(1+IF(L$3&lt;=$O$2,$D257,$D257-($D257-$I$238)*MIN(L$3-$O$2,$Q$2)/$Q$2))</f>
        <v>1381.51243968276</v>
      </c>
      <c r="M257" s="15" t="n">
        <f aca="false">L257*(1+IF(M$3&lt;=$O$2,$D257,$D257-($D257-$I$238)*MIN(M$3-$O$2,$Q$2)/$Q$2))</f>
        <v>1430.76233871865</v>
      </c>
      <c r="N257" s="15" t="n">
        <f aca="false">M257*(1+IF(N$3&lt;=$O$2,$D257,$D257-($D257-$I$238)*MIN(N$3-$O$2,$Q$2)/$Q$2))</f>
        <v>1471.25291290439</v>
      </c>
      <c r="O257" s="15" t="n">
        <f aca="false">SUMPRODUCT(E257:N257,1/(1+$F$238)^$E$3:$N$3)*$E$2</f>
        <v>1827.25068345057</v>
      </c>
      <c r="P257" s="15" t="n">
        <f aca="false">N257*$E$2*(1+$I$238)/($F$238-$I$238)/(1+$F$238)^$N$3</f>
        <v>3795.29266217156</v>
      </c>
      <c r="Q257" s="15" t="n">
        <f aca="false">O257+P257</f>
        <v>5622.54334562212</v>
      </c>
      <c r="R257" s="15" t="n">
        <f aca="false">Q257-$G$2+$I$2</f>
        <v>5789.94334562213</v>
      </c>
      <c r="S257" s="42" t="n">
        <f aca="false">R257/$K$2</f>
        <v>164.533769412393</v>
      </c>
      <c r="T257" s="43" t="n">
        <f aca="false">S257-$M$2</f>
        <v>-0.0016099567455683</v>
      </c>
    </row>
    <row r="258" customFormat="false" ht="15" hidden="false" customHeight="false" outlineLevel="0" collapsed="false">
      <c r="A258" s="5" t="n">
        <v>19</v>
      </c>
      <c r="B258" s="25" t="n">
        <f aca="false">IF(T257&gt;0,B257,D257)</f>
        <v>0.0650463104248047</v>
      </c>
      <c r="C258" s="25" t="n">
        <f aca="false">IF(T257&gt;0,D257,C257)</f>
        <v>0.0650520324707031</v>
      </c>
      <c r="D258" s="41" t="n">
        <f aca="false">(B258+C258)/2</f>
        <v>0.0650491714477539</v>
      </c>
      <c r="E258" s="15" t="n">
        <f aca="false">$C$2*(1+IF(E$3&lt;=$O$2,$D258,$D258-($D258-$I$238)*MIN(E$3-$O$2,$Q$2)/$Q$2))</f>
        <v>926.624730634689</v>
      </c>
      <c r="F258" s="15" t="n">
        <f aca="false">E258*(1+IF(F$3&lt;=$O$2,$D258,$D258-($D258-$I$238)*MIN(F$3-$O$2,$Q$2)/$Q$2))</f>
        <v>986.900901605474</v>
      </c>
      <c r="G258" s="15" t="n">
        <f aca="false">F258*(1+IF(G$3&lt;=$O$2,$D258,$D258-($D258-$I$238)*MIN(G$3-$O$2,$Q$2)/$Q$2))</f>
        <v>1051.09798755595</v>
      </c>
      <c r="H258" s="15" t="n">
        <f aca="false">G258*(1+IF(H$3&lt;=$O$2,$D258,$D258-($D258-$I$238)*MIN(H$3-$O$2,$Q$2)/$Q$2))</f>
        <v>1119.47104075687</v>
      </c>
      <c r="I258" s="15" t="n">
        <f aca="false">H258*(1+IF(I$3&lt;=$O$2,$D258,$D258-($D258-$I$238)*MIN(I$3-$O$2,$Q$2)/$Q$2))</f>
        <v>1192.29170441786</v>
      </c>
      <c r="J258" s="15" t="n">
        <f aca="false">I258*(1+IF(J$3&lt;=$O$2,$D258,$D258-($D258-$I$238)*MIN(J$3-$O$2,$Q$2)/$Q$2))</f>
        <v>1261.08614546199</v>
      </c>
      <c r="K258" s="15" t="n">
        <f aca="false">J258*(1+IF(K$3&lt;=$O$2,$D258,$D258-($D258-$I$238)*MIN(K$3-$O$2,$Q$2)/$Q$2))</f>
        <v>1324.58120596055</v>
      </c>
      <c r="L258" s="15" t="n">
        <f aca="false">K258*(1+IF(L$3&lt;=$O$2,$D258,$D258-($D258-$I$238)*MIN(L$3-$O$2,$Q$2)/$Q$2))</f>
        <v>1381.53775882296</v>
      </c>
      <c r="M258" s="15" t="n">
        <f aca="false">L258*(1+IF(M$3&lt;=$O$2,$D258,$D258-($D258-$I$238)*MIN(M$3-$O$2,$Q$2)/$Q$2))</f>
        <v>1430.78935098975</v>
      </c>
      <c r="N258" s="15" t="n">
        <f aca="false">M258*(1+IF(N$3&lt;=$O$2,$D258,$D258-($D258-$I$238)*MIN(N$3-$O$2,$Q$2)/$Q$2))</f>
        <v>1471.28068962276</v>
      </c>
      <c r="O258" s="15" t="n">
        <f aca="false">SUMPRODUCT(E258:N258,1/(1+$F$238)^$E$3:$N$3)*$E$2</f>
        <v>1827.27384657061</v>
      </c>
      <c r="P258" s="15" t="n">
        <f aca="false">N258*$E$2*(1+$I$238)/($F$238-$I$238)/(1+$F$238)^$N$3</f>
        <v>3795.36431591274</v>
      </c>
      <c r="Q258" s="15" t="n">
        <f aca="false">O258+P258</f>
        <v>5622.63816248335</v>
      </c>
      <c r="R258" s="15" t="n">
        <f aca="false">Q258-$G$2+$I$2</f>
        <v>5790.03816248335</v>
      </c>
      <c r="S258" s="42" t="n">
        <f aca="false">R258/$K$2</f>
        <v>164.536463838686</v>
      </c>
      <c r="T258" s="43" t="n">
        <f aca="false">S258-$M$2</f>
        <v>0.00108446954678243</v>
      </c>
    </row>
    <row r="259" customFormat="false" ht="15" hidden="false" customHeight="false" outlineLevel="0" collapsed="false">
      <c r="A259" s="5" t="n">
        <v>20</v>
      </c>
      <c r="B259" s="25" t="n">
        <f aca="false">IF(T258&gt;0,B258,D258)</f>
        <v>0.0650463104248047</v>
      </c>
      <c r="C259" s="25" t="n">
        <f aca="false">IF(T258&gt;0,D258,C258)</f>
        <v>0.0650491714477539</v>
      </c>
      <c r="D259" s="41" t="n">
        <f aca="false">(B259+C259)/2</f>
        <v>0.0650477409362793</v>
      </c>
      <c r="E259" s="15" t="n">
        <f aca="false">$C$2*(1+IF(E$3&lt;=$O$2,$D259,$D259-($D259-$I$238)*MIN(E$3-$O$2,$Q$2)/$Q$2))</f>
        <v>926.623486046791</v>
      </c>
      <c r="F259" s="15" t="n">
        <f aca="false">E259*(1+IF(F$3&lt;=$O$2,$D259,$D259-($D259-$I$238)*MIN(F$3-$O$2,$Q$2)/$Q$2))</f>
        <v>986.898250512635</v>
      </c>
      <c r="G259" s="15" t="n">
        <f aca="false">F259*(1+IF(G$3&lt;=$O$2,$D259,$D259-($D259-$I$238)*MIN(G$3-$O$2,$Q$2)/$Q$2))</f>
        <v>1051.09375224245</v>
      </c>
      <c r="H259" s="15" t="n">
        <f aca="false">G259*(1+IF(H$3&lt;=$O$2,$D259,$D259-($D259-$I$238)*MIN(H$3-$O$2,$Q$2)/$Q$2))</f>
        <v>1119.46502633806</v>
      </c>
      <c r="I259" s="15" t="n">
        <f aca="false">H259*(1+IF(I$3&lt;=$O$2,$D259,$D259-($D259-$I$238)*MIN(I$3-$O$2,$Q$2)/$Q$2))</f>
        <v>1192.28369735852</v>
      </c>
      <c r="J259" s="15" t="n">
        <f aca="false">I259*(1+IF(J$3&lt;=$O$2,$D259,$D259-($D259-$I$238)*MIN(J$3-$O$2,$Q$2)/$Q$2))</f>
        <v>1261.07631194023</v>
      </c>
      <c r="K259" s="15" t="n">
        <f aca="false">J259*(1+IF(K$3&lt;=$O$2,$D259,$D259-($D259-$I$238)*MIN(K$3-$O$2,$Q$2)/$Q$2))</f>
        <v>1324.56979493537</v>
      </c>
      <c r="L259" s="15" t="n">
        <f aca="false">K259*(1+IF(L$3&lt;=$O$2,$D259,$D259-($D259-$I$238)*MIN(L$3-$O$2,$Q$2)/$Q$2))</f>
        <v>1381.52509920257</v>
      </c>
      <c r="M259" s="15" t="n">
        <f aca="false">L259*(1+IF(M$3&lt;=$O$2,$D259,$D259-($D259-$I$238)*MIN(M$3-$O$2,$Q$2)/$Q$2))</f>
        <v>1430.77584479849</v>
      </c>
      <c r="N259" s="15" t="n">
        <f aca="false">M259*(1+IF(N$3&lt;=$O$2,$D259,$D259-($D259-$I$238)*MIN(N$3-$O$2,$Q$2)/$Q$2))</f>
        <v>1471.26680120629</v>
      </c>
      <c r="O259" s="15" t="n">
        <f aca="false">SUMPRODUCT(E259:N259,1/(1+$F$238)^$E$3:$N$3)*$E$2</f>
        <v>1827.26226497397</v>
      </c>
      <c r="P259" s="15" t="n">
        <f aca="false">N259*$E$2*(1+$I$238)/($F$238-$I$238)/(1+$F$238)^$N$3</f>
        <v>3795.32848889437</v>
      </c>
      <c r="Q259" s="15" t="n">
        <f aca="false">O259+P259</f>
        <v>5622.59075386834</v>
      </c>
      <c r="R259" s="15" t="n">
        <f aca="false">Q259-$G$2+$I$2</f>
        <v>5789.99075386834</v>
      </c>
      <c r="S259" s="42" t="n">
        <f aca="false">R259/$K$2</f>
        <v>164.535116620299</v>
      </c>
      <c r="T259" s="43" t="n">
        <f aca="false">S259-$M$2</f>
        <v>-0.000262748839531923</v>
      </c>
    </row>
    <row r="260" customFormat="false" ht="15" hidden="false" customHeight="false" outlineLevel="0" collapsed="false">
      <c r="A260" s="5" t="n">
        <v>21</v>
      </c>
      <c r="B260" s="25" t="n">
        <f aca="false">IF(T259&gt;0,B259,D259)</f>
        <v>0.0650477409362793</v>
      </c>
      <c r="C260" s="25" t="n">
        <f aca="false">IF(T259&gt;0,D259,C259)</f>
        <v>0.0650491714477539</v>
      </c>
      <c r="D260" s="41" t="n">
        <f aca="false">(B260+C260)/2</f>
        <v>0.0650484561920166</v>
      </c>
      <c r="E260" s="15" t="n">
        <f aca="false">$C$2*(1+IF(E$3&lt;=$O$2,$D260,$D260-($D260-$I$238)*MIN(E$3-$O$2,$Q$2)/$Q$2))</f>
        <v>926.62410834074</v>
      </c>
      <c r="F260" s="15" t="n">
        <f aca="false">E260*(1+IF(F$3&lt;=$O$2,$D260,$D260-($D260-$I$238)*MIN(F$3-$O$2,$Q$2)/$Q$2))</f>
        <v>986.899576058609</v>
      </c>
      <c r="G260" s="15" t="n">
        <f aca="false">F260*(1+IF(G$3&lt;=$O$2,$D260,$D260-($D260-$I$238)*MIN(G$3-$O$2,$Q$2)/$Q$2))</f>
        <v>1051.09586989778</v>
      </c>
      <c r="H260" s="15" t="n">
        <f aca="false">G260*(1+IF(H$3&lt;=$O$2,$D260,$D260-($D260-$I$238)*MIN(H$3-$O$2,$Q$2)/$Q$2))</f>
        <v>1119.46803354443</v>
      </c>
      <c r="I260" s="15" t="n">
        <f aca="false">H260*(1+IF(I$3&lt;=$O$2,$D260,$D260-($D260-$I$238)*MIN(I$3-$O$2,$Q$2)/$Q$2))</f>
        <v>1192.28770088281</v>
      </c>
      <c r="J260" s="15" t="n">
        <f aca="false">I260*(1+IF(J$3&lt;=$O$2,$D260,$D260-($D260-$I$238)*MIN(J$3-$O$2,$Q$2)/$Q$2))</f>
        <v>1261.08122869313</v>
      </c>
      <c r="K260" s="15" t="n">
        <f aca="false">J260*(1+IF(K$3&lt;=$O$2,$D260,$D260-($D260-$I$238)*MIN(K$3-$O$2,$Q$2)/$Q$2))</f>
        <v>1324.57550043747</v>
      </c>
      <c r="L260" s="15" t="n">
        <f aca="false">K260*(1+IF(L$3&lt;=$O$2,$D260,$D260-($D260-$I$238)*MIN(L$3-$O$2,$Q$2)/$Q$2))</f>
        <v>1381.53142900019</v>
      </c>
      <c r="M260" s="15" t="n">
        <f aca="false">L260*(1+IF(M$3&lt;=$O$2,$D260,$D260-($D260-$I$238)*MIN(M$3-$O$2,$Q$2)/$Q$2))</f>
        <v>1430.78259788019</v>
      </c>
      <c r="N260" s="15" t="n">
        <f aca="false">M260*(1+IF(N$3&lt;=$O$2,$D260,$D260-($D260-$I$238)*MIN(N$3-$O$2,$Q$2)/$Q$2))</f>
        <v>1471.2737454002</v>
      </c>
      <c r="O260" s="15" t="n">
        <f aca="false">SUMPRODUCT(E260:N260,1/(1+$F$238)^$E$3:$N$3)*$E$2</f>
        <v>1827.26805576313</v>
      </c>
      <c r="P260" s="15" t="n">
        <f aca="false">N260*$E$2*(1+$I$238)/($F$238-$I$238)/(1+$F$238)^$N$3</f>
        <v>3795.34640236661</v>
      </c>
      <c r="Q260" s="15" t="n">
        <f aca="false">O260+P260</f>
        <v>5622.61445812974</v>
      </c>
      <c r="R260" s="15" t="n">
        <f aca="false">Q260-$G$2+$I$2</f>
        <v>5790.01445812974</v>
      </c>
      <c r="S260" s="42" t="n">
        <f aca="false">R260/$K$2</f>
        <v>164.535790228183</v>
      </c>
      <c r="T260" s="43" t="n">
        <f aca="false">S260-$M$2</f>
        <v>0.000410859043540768</v>
      </c>
    </row>
    <row r="261" customFormat="false" ht="15" hidden="false" customHeight="false" outlineLevel="0" collapsed="false">
      <c r="A261" s="5" t="n">
        <v>22</v>
      </c>
      <c r="B261" s="25" t="n">
        <f aca="false">IF(T260&gt;0,B260,D260)</f>
        <v>0.0650477409362793</v>
      </c>
      <c r="C261" s="25" t="n">
        <f aca="false">IF(T260&gt;0,D260,C260)</f>
        <v>0.0650484561920166</v>
      </c>
      <c r="D261" s="41" t="n">
        <f aca="false">(B261+C261)/2</f>
        <v>0.065048098564148</v>
      </c>
      <c r="E261" s="15" t="n">
        <f aca="false">$C$2*(1+IF(E$3&lt;=$O$2,$D261,$D261-($D261-$I$238)*MIN(E$3-$O$2,$Q$2)/$Q$2))</f>
        <v>926.623797193766</v>
      </c>
      <c r="F261" s="15" t="n">
        <f aca="false">E261*(1+IF(F$3&lt;=$O$2,$D261,$D261-($D261-$I$238)*MIN(F$3-$O$2,$Q$2)/$Q$2))</f>
        <v>986.898913285511</v>
      </c>
      <c r="G261" s="15" t="n">
        <f aca="false">F261*(1+IF(G$3&lt;=$O$2,$D261,$D261-($D261-$I$238)*MIN(G$3-$O$2,$Q$2)/$Q$2))</f>
        <v>1051.09481106976</v>
      </c>
      <c r="H261" s="15" t="n">
        <f aca="false">G261*(1+IF(H$3&lt;=$O$2,$D261,$D261-($D261-$I$238)*MIN(H$3-$O$2,$Q$2)/$Q$2))</f>
        <v>1119.46652994049</v>
      </c>
      <c r="I261" s="15" t="n">
        <f aca="false">H261*(1+IF(I$3&lt;=$O$2,$D261,$D261-($D261-$I$238)*MIN(I$3-$O$2,$Q$2)/$Q$2))</f>
        <v>1192.28569911932</v>
      </c>
      <c r="J261" s="15" t="n">
        <f aca="false">I261*(1+IF(J$3&lt;=$O$2,$D261,$D261-($D261-$I$238)*MIN(J$3-$O$2,$Q$2)/$Q$2))</f>
        <v>1261.07877031469</v>
      </c>
      <c r="K261" s="15" t="n">
        <f aca="false">J261*(1+IF(K$3&lt;=$O$2,$D261,$D261-($D261-$I$238)*MIN(K$3-$O$2,$Q$2)/$Q$2))</f>
        <v>1324.5726476838</v>
      </c>
      <c r="L261" s="15" t="n">
        <f aca="false">K261*(1+IF(L$3&lt;=$O$2,$D261,$D261-($D261-$I$238)*MIN(L$3-$O$2,$Q$2)/$Q$2))</f>
        <v>1381.52826409823</v>
      </c>
      <c r="M261" s="15" t="n">
        <f aca="false">L261*(1+IF(M$3&lt;=$O$2,$D261,$D261-($D261-$I$238)*MIN(M$3-$O$2,$Q$2)/$Q$2))</f>
        <v>1430.77922133586</v>
      </c>
      <c r="N261" s="15" t="n">
        <f aca="false">M261*(1+IF(N$3&lt;=$O$2,$D261,$D261-($D261-$I$238)*MIN(N$3-$O$2,$Q$2)/$Q$2))</f>
        <v>1471.27027329967</v>
      </c>
      <c r="O261" s="15" t="n">
        <f aca="false">SUMPRODUCT(E261:N261,1/(1+$F$238)^$E$3:$N$3)*$E$2</f>
        <v>1827.26516036626</v>
      </c>
      <c r="P261" s="15" t="n">
        <f aca="false">N261*$E$2*(1+$I$238)/($F$238-$I$238)/(1+$F$238)^$N$3</f>
        <v>3795.33744562126</v>
      </c>
      <c r="Q261" s="15" t="n">
        <f aca="false">O261+P261</f>
        <v>5622.60260598752</v>
      </c>
      <c r="R261" s="15" t="n">
        <f aca="false">Q261-$G$2+$I$2</f>
        <v>5790.00260598752</v>
      </c>
      <c r="S261" s="42" t="n">
        <f aca="false">R261/$K$2</f>
        <v>164.535453423914</v>
      </c>
      <c r="T261" s="43" t="n">
        <f aca="false">S261-$M$2</f>
        <v>7.40547745294862E-005</v>
      </c>
    </row>
    <row r="262" customFormat="false" ht="15" hidden="false" customHeight="false" outlineLevel="0" collapsed="false">
      <c r="A262" s="5" t="n">
        <v>23</v>
      </c>
      <c r="B262" s="25" t="n">
        <f aca="false">IF(T261&gt;0,B261,D261)</f>
        <v>0.0650477409362793</v>
      </c>
      <c r="C262" s="25" t="n">
        <f aca="false">IF(T261&gt;0,D261,C261)</f>
        <v>0.065048098564148</v>
      </c>
      <c r="D262" s="41" t="n">
        <f aca="false">(B262+C262)/2</f>
        <v>0.0650479197502136</v>
      </c>
      <c r="E262" s="15" t="n">
        <f aca="false">$C$2*(1+IF(E$3&lt;=$O$2,$D262,$D262-($D262-$I$238)*MIN(E$3-$O$2,$Q$2)/$Q$2))</f>
        <v>926.623641620278</v>
      </c>
      <c r="F262" s="15" t="n">
        <f aca="false">E262*(1+IF(F$3&lt;=$O$2,$D262,$D262-($D262-$I$238)*MIN(F$3-$O$2,$Q$2)/$Q$2))</f>
        <v>986.898581899045</v>
      </c>
      <c r="G262" s="15" t="n">
        <f aca="false">F262*(1+IF(G$3&lt;=$O$2,$D262,$D262-($D262-$I$238)*MIN(G$3-$O$2,$Q$2)/$Q$2))</f>
        <v>1051.09428165601</v>
      </c>
      <c r="H262" s="15" t="n">
        <f aca="false">G262*(1+IF(H$3&lt;=$O$2,$D262,$D262-($D262-$I$238)*MIN(H$3-$O$2,$Q$2)/$Q$2))</f>
        <v>1119.46577813908</v>
      </c>
      <c r="I262" s="15" t="n">
        <f aca="false">H262*(1+IF(I$3&lt;=$O$2,$D262,$D262-($D262-$I$238)*MIN(I$3-$O$2,$Q$2)/$Q$2))</f>
        <v>1192.28469823858</v>
      </c>
      <c r="J262" s="15" t="n">
        <f aca="false">I262*(1+IF(J$3&lt;=$O$2,$D262,$D262-($D262-$I$238)*MIN(J$3-$O$2,$Q$2)/$Q$2))</f>
        <v>1261.07754112696</v>
      </c>
      <c r="K262" s="15" t="n">
        <f aca="false">J262*(1+IF(K$3&lt;=$O$2,$D262,$D262-($D262-$I$238)*MIN(K$3-$O$2,$Q$2)/$Q$2))</f>
        <v>1324.57122130893</v>
      </c>
      <c r="L262" s="15" t="n">
        <f aca="false">K262*(1+IF(L$3&lt;=$O$2,$D262,$D262-($D262-$I$238)*MIN(L$3-$O$2,$Q$2)/$Q$2))</f>
        <v>1381.52668164961</v>
      </c>
      <c r="M262" s="15" t="n">
        <f aca="false">L262*(1+IF(M$3&lt;=$O$2,$D262,$D262-($D262-$I$238)*MIN(M$3-$O$2,$Q$2)/$Q$2))</f>
        <v>1430.77753306631</v>
      </c>
      <c r="N262" s="15" t="n">
        <f aca="false">M262*(1+IF(N$3&lt;=$O$2,$D262,$D262-($D262-$I$238)*MIN(N$3-$O$2,$Q$2)/$Q$2))</f>
        <v>1471.26853725208</v>
      </c>
      <c r="O262" s="15" t="n">
        <f aca="false">SUMPRODUCT(E262:N262,1/(1+$F$238)^$E$3:$N$3)*$E$2</f>
        <v>1827.26371266954</v>
      </c>
      <c r="P262" s="15" t="n">
        <f aca="false">N262*$E$2*(1+$I$238)/($F$238-$I$238)/(1+$F$238)^$N$3</f>
        <v>3795.33296725551</v>
      </c>
      <c r="Q262" s="15" t="n">
        <f aca="false">O262+P262</f>
        <v>5622.59667992505</v>
      </c>
      <c r="R262" s="15" t="n">
        <f aca="false">Q262-$G$2+$I$2</f>
        <v>5789.99667992505</v>
      </c>
      <c r="S262" s="42" t="n">
        <f aca="false">R262/$K$2</f>
        <v>164.535285022025</v>
      </c>
      <c r="T262" s="43" t="n">
        <f aca="false">S262-$M$2</f>
        <v>-9.43471143557417E-005</v>
      </c>
    </row>
    <row r="263" customFormat="false" ht="15" hidden="false" customHeight="false" outlineLevel="0" collapsed="false">
      <c r="A263" s="5" t="n">
        <v>24</v>
      </c>
      <c r="B263" s="25" t="n">
        <f aca="false">IF(T262&gt;0,B262,D262)</f>
        <v>0.0650479197502136</v>
      </c>
      <c r="C263" s="25" t="n">
        <f aca="false">IF(T262&gt;0,D262,C262)</f>
        <v>0.065048098564148</v>
      </c>
      <c r="D263" s="41" t="n">
        <f aca="false">(B263+C263)/2</f>
        <v>0.0650480091571808</v>
      </c>
      <c r="E263" s="15" t="n">
        <f aca="false">$C$2*(1+IF(E$3&lt;=$O$2,$D263,$D263-($D263-$I$238)*MIN(E$3-$O$2,$Q$2)/$Q$2))</f>
        <v>926.623719407022</v>
      </c>
      <c r="F263" s="15" t="n">
        <f aca="false">E263*(1+IF(F$3&lt;=$O$2,$D263,$D263-($D263-$I$238)*MIN(F$3-$O$2,$Q$2)/$Q$2))</f>
        <v>986.898747592271</v>
      </c>
      <c r="G263" s="15" t="n">
        <f aca="false">F263*(1+IF(G$3&lt;=$O$2,$D263,$D263-($D263-$I$238)*MIN(G$3-$O$2,$Q$2)/$Q$2))</f>
        <v>1051.09454636286</v>
      </c>
      <c r="H263" s="15" t="n">
        <f aca="false">G263*(1+IF(H$3&lt;=$O$2,$D263,$D263-($D263-$I$238)*MIN(H$3-$O$2,$Q$2)/$Q$2))</f>
        <v>1119.46615403974</v>
      </c>
      <c r="I263" s="15" t="n">
        <f aca="false">H263*(1+IF(I$3&lt;=$O$2,$D263,$D263-($D263-$I$238)*MIN(I$3-$O$2,$Q$2)/$Q$2))</f>
        <v>1192.28519867887</v>
      </c>
      <c r="J263" s="15" t="n">
        <f aca="false">I263*(1+IF(J$3&lt;=$O$2,$D263,$D263-($D263-$I$238)*MIN(J$3-$O$2,$Q$2)/$Q$2))</f>
        <v>1261.0781557207</v>
      </c>
      <c r="K263" s="15" t="n">
        <f aca="false">J263*(1+IF(K$3&lt;=$O$2,$D263,$D263-($D263-$I$238)*MIN(K$3-$O$2,$Q$2)/$Q$2))</f>
        <v>1324.5719344962</v>
      </c>
      <c r="L263" s="15" t="n">
        <f aca="false">K263*(1+IF(L$3&lt;=$O$2,$D263,$D263-($D263-$I$238)*MIN(L$3-$O$2,$Q$2)/$Q$2))</f>
        <v>1381.52747287373</v>
      </c>
      <c r="M263" s="15" t="n">
        <f aca="false">L263*(1+IF(M$3&lt;=$O$2,$D263,$D263-($D263-$I$238)*MIN(M$3-$O$2,$Q$2)/$Q$2))</f>
        <v>1430.77837720087</v>
      </c>
      <c r="N263" s="15" t="n">
        <f aca="false">M263*(1+IF(N$3&lt;=$O$2,$D263,$D263-($D263-$I$238)*MIN(N$3-$O$2,$Q$2)/$Q$2))</f>
        <v>1471.26940527565</v>
      </c>
      <c r="O263" s="15" t="n">
        <f aca="false">SUMPRODUCT(E263:N263,1/(1+$F$238)^$E$3:$N$3)*$E$2</f>
        <v>1827.26443651776</v>
      </c>
      <c r="P263" s="15" t="n">
        <f aca="false">N263*$E$2*(1+$I$238)/($F$238-$I$238)/(1+$F$238)^$N$3</f>
        <v>3795.3352064378</v>
      </c>
      <c r="Q263" s="15" t="n">
        <f aca="false">O263+P263</f>
        <v>5622.59964295556</v>
      </c>
      <c r="R263" s="15" t="n">
        <f aca="false">Q263-$G$2+$I$2</f>
        <v>5789.99964295556</v>
      </c>
      <c r="S263" s="42" t="n">
        <f aca="false">R263/$K$2</f>
        <v>164.535369222949</v>
      </c>
      <c r="T263" s="43" t="n">
        <f aca="false">S263-$M$2</f>
        <v>-1.01461903625477E-005</v>
      </c>
    </row>
    <row r="265" customFormat="false" ht="15" hidden="false" customHeight="false" outlineLevel="0" collapsed="false">
      <c r="A265" s="38" t="s">
        <v>196</v>
      </c>
      <c r="E265" s="5" t="s">
        <v>12</v>
      </c>
      <c r="F265" s="12" t="n">
        <f aca="false">Sensitivity!$B$11</f>
        <v>0.0725075820986394</v>
      </c>
      <c r="G265" s="5" t="s">
        <v>13</v>
      </c>
      <c r="I265" s="12" t="n">
        <f aca="false">Sensitivity!$F$9</f>
        <v>0.0333</v>
      </c>
    </row>
    <row r="266" customFormat="false" ht="23.85" hidden="false" customHeight="false" outlineLevel="0" collapsed="false">
      <c r="A266" s="38" t="s">
        <v>168</v>
      </c>
      <c r="B266" s="28" t="s">
        <v>169</v>
      </c>
      <c r="C266" s="28" t="s">
        <v>170</v>
      </c>
      <c r="D266" s="28" t="s">
        <v>171</v>
      </c>
      <c r="E266" s="28" t="s">
        <v>172</v>
      </c>
      <c r="F266" s="28" t="s">
        <v>173</v>
      </c>
      <c r="G266" s="28" t="s">
        <v>174</v>
      </c>
      <c r="H266" s="28" t="s">
        <v>175</v>
      </c>
      <c r="I266" s="28" t="s">
        <v>176</v>
      </c>
      <c r="J266" s="28" t="s">
        <v>177</v>
      </c>
      <c r="K266" s="28" t="s">
        <v>178</v>
      </c>
      <c r="L266" s="28" t="s">
        <v>179</v>
      </c>
      <c r="M266" s="28" t="s">
        <v>180</v>
      </c>
      <c r="N266" s="28" t="s">
        <v>181</v>
      </c>
      <c r="O266" s="28" t="s">
        <v>182</v>
      </c>
      <c r="P266" s="28" t="s">
        <v>183</v>
      </c>
      <c r="Q266" s="28" t="s">
        <v>184</v>
      </c>
      <c r="R266" s="28" t="s">
        <v>185</v>
      </c>
      <c r="S266" s="28" t="s">
        <v>186</v>
      </c>
      <c r="T266" s="28" t="s">
        <v>187</v>
      </c>
    </row>
    <row r="267" customFormat="false" ht="15" hidden="false" customHeight="false" outlineLevel="0" collapsed="false">
      <c r="A267" s="5" t="n">
        <v>1</v>
      </c>
      <c r="B267" s="24" t="n">
        <v>-0.5</v>
      </c>
      <c r="C267" s="24" t="n">
        <v>1</v>
      </c>
      <c r="D267" s="41" t="n">
        <f aca="false">(B267+C267)/2</f>
        <v>0.25</v>
      </c>
      <c r="E267" s="15" t="n">
        <f aca="false">$C$2*(1+IF(E$3&lt;=$O$2,$D267,$D267-($D267-$I$265)*MIN(E$3-$O$2,$Q$2)/$Q$2))</f>
        <v>1087.5375</v>
      </c>
      <c r="F267" s="15" t="n">
        <f aca="false">E267*(1+IF(F$3&lt;=$O$2,$D267,$D267-($D267-$I$265)*MIN(F$3-$O$2,$Q$2)/$Q$2))</f>
        <v>1359.421875</v>
      </c>
      <c r="G267" s="15" t="n">
        <f aca="false">F267*(1+IF(G$3&lt;=$O$2,$D267,$D267-($D267-$I$265)*MIN(G$3-$O$2,$Q$2)/$Q$2))</f>
        <v>1699.27734375</v>
      </c>
      <c r="H267" s="15" t="n">
        <f aca="false">G267*(1+IF(H$3&lt;=$O$2,$D267,$D267-($D267-$I$265)*MIN(H$3-$O$2,$Q$2)/$Q$2))</f>
        <v>2124.0966796875</v>
      </c>
      <c r="I267" s="15" t="n">
        <f aca="false">H267*(1+IF(I$3&lt;=$O$2,$D267,$D267-($D267-$I$265)*MIN(I$3-$O$2,$Q$2)/$Q$2))</f>
        <v>2655.12084960938</v>
      </c>
      <c r="J267" s="15" t="n">
        <f aca="false">I267*(1+IF(J$3&lt;=$O$2,$D267,$D267-($D267-$I$265)*MIN(J$3-$O$2,$Q$2)/$Q$2))</f>
        <v>3203.82812438965</v>
      </c>
      <c r="K267" s="15" t="n">
        <f aca="false">J267*(1+IF(K$3&lt;=$O$2,$D267,$D267-($D267-$I$265)*MIN(K$3-$O$2,$Q$2)/$Q$2))</f>
        <v>3727.07733366497</v>
      </c>
      <c r="L267" s="15" t="n">
        <f aca="false">K267*(1+IF(L$3&lt;=$O$2,$D267,$D267-($D267-$I$265)*MIN(L$3-$O$2,$Q$2)/$Q$2))</f>
        <v>4174.25207215809</v>
      </c>
      <c r="M267" s="15" t="n">
        <f aca="false">L267*(1+IF(M$3&lt;=$O$2,$D267,$D267-($D267-$I$265)*MIN(M$3-$O$2,$Q$2)/$Q$2))</f>
        <v>4494.16675096829</v>
      </c>
      <c r="N267" s="15" t="n">
        <f aca="false">M267*(1+IF(N$3&lt;=$O$2,$D267,$D267-($D267-$I$265)*MIN(N$3-$O$2,$Q$2)/$Q$2))</f>
        <v>4643.82250377553</v>
      </c>
      <c r="O267" s="15" t="n">
        <f aca="false">SUMPRODUCT(E267:N267,1/(1+$F$265)^$E$3:$N$3)*$E$2</f>
        <v>4136.44889958845</v>
      </c>
      <c r="P267" s="15" t="n">
        <f aca="false">N267*$E$2*(1+$I$265)/($F$265-$I$265)/(1+$F$265)^$N$3</f>
        <v>13572.7185063224</v>
      </c>
      <c r="Q267" s="15" t="n">
        <f aca="false">O267+P267</f>
        <v>17709.1674059109</v>
      </c>
      <c r="R267" s="15" t="n">
        <f aca="false">Q267-$G$2+$I$2</f>
        <v>17876.5674059109</v>
      </c>
      <c r="S267" s="42" t="n">
        <f aca="false">R267/$K$2</f>
        <v>508.001347141542</v>
      </c>
      <c r="T267" s="43" t="n">
        <f aca="false">S267-$M$2</f>
        <v>343.465967772403</v>
      </c>
    </row>
    <row r="268" customFormat="false" ht="15" hidden="false" customHeight="false" outlineLevel="0" collapsed="false">
      <c r="A268" s="5" t="n">
        <v>2</v>
      </c>
      <c r="B268" s="25" t="n">
        <f aca="false">IF(T267&gt;0,B267,D267)</f>
        <v>-0.5</v>
      </c>
      <c r="C268" s="25" t="n">
        <f aca="false">IF(T267&gt;0,D267,C267)</f>
        <v>0.25</v>
      </c>
      <c r="D268" s="41" t="n">
        <f aca="false">(B268+C268)/2</f>
        <v>-0.125</v>
      </c>
      <c r="E268" s="15" t="n">
        <f aca="false">$C$2*(1+IF(E$3&lt;=$O$2,$D268,$D268-($D268-$I$265)*MIN(E$3-$O$2,$Q$2)/$Q$2))</f>
        <v>761.27625</v>
      </c>
      <c r="F268" s="15" t="n">
        <f aca="false">E268*(1+IF(F$3&lt;=$O$2,$D268,$D268-($D268-$I$265)*MIN(F$3-$O$2,$Q$2)/$Q$2))</f>
        <v>666.11671875</v>
      </c>
      <c r="G268" s="15" t="n">
        <f aca="false">F268*(1+IF(G$3&lt;=$O$2,$D268,$D268-($D268-$I$265)*MIN(G$3-$O$2,$Q$2)/$Q$2))</f>
        <v>582.85212890625</v>
      </c>
      <c r="H268" s="15" t="n">
        <f aca="false">G268*(1+IF(H$3&lt;=$O$2,$D268,$D268-($D268-$I$265)*MIN(H$3-$O$2,$Q$2)/$Q$2))</f>
        <v>509.995612792969</v>
      </c>
      <c r="I268" s="15" t="n">
        <f aca="false">H268*(1+IF(I$3&lt;=$O$2,$D268,$D268-($D268-$I$265)*MIN(I$3-$O$2,$Q$2)/$Q$2))</f>
        <v>446.246161193848</v>
      </c>
      <c r="J268" s="15" t="n">
        <f aca="false">I268*(1+IF(J$3&lt;=$O$2,$D268,$D268-($D268-$I$265)*MIN(J$3-$O$2,$Q$2)/$Q$2))</f>
        <v>404.593544508014</v>
      </c>
      <c r="K268" s="15" t="n">
        <f aca="false">J268*(1+IF(K$3&lt;=$O$2,$D268,$D268-($D268-$I$265)*MIN(K$3-$O$2,$Q$2)/$Q$2))</f>
        <v>379.63821468276</v>
      </c>
      <c r="L268" s="15" t="n">
        <f aca="false">K268*(1+IF(L$3&lt;=$O$2,$D268,$D268-($D268-$I$265)*MIN(L$3-$O$2,$Q$2)/$Q$2))</f>
        <v>368.241475477983</v>
      </c>
      <c r="M268" s="15" t="n">
        <f aca="false">L268*(1+IF(M$3&lt;=$O$2,$D268,$D268-($D268-$I$265)*MIN(M$3-$O$2,$Q$2)/$Q$2))</f>
        <v>368.845391497767</v>
      </c>
      <c r="N268" s="15" t="n">
        <f aca="false">M268*(1+IF(N$3&lt;=$O$2,$D268,$D268-($D268-$I$265)*MIN(N$3-$O$2,$Q$2)/$Q$2))</f>
        <v>381.127943034643</v>
      </c>
      <c r="O268" s="15" t="n">
        <f aca="false">SUMPRODUCT(E268:N268,1/(1+$F$265)^$E$3:$N$3)*$E$2</f>
        <v>794.086971988956</v>
      </c>
      <c r="P268" s="15" t="n">
        <f aca="false">N268*$E$2*(1+$I$265)/($F$265-$I$265)/(1+$F$265)^$N$3</f>
        <v>1113.94056975631</v>
      </c>
      <c r="Q268" s="15" t="n">
        <f aca="false">O268+P268</f>
        <v>1908.02754174527</v>
      </c>
      <c r="R268" s="15" t="n">
        <f aca="false">Q268-$G$2+$I$2</f>
        <v>2075.42754174527</v>
      </c>
      <c r="S268" s="42" t="n">
        <f aca="false">R268/$K$2</f>
        <v>58.9777647554779</v>
      </c>
      <c r="T268" s="43" t="n">
        <f aca="false">S268-$M$2</f>
        <v>-105.557614613661</v>
      </c>
    </row>
    <row r="269" customFormat="false" ht="15" hidden="false" customHeight="false" outlineLevel="0" collapsed="false">
      <c r="A269" s="5" t="n">
        <v>3</v>
      </c>
      <c r="B269" s="25" t="n">
        <f aca="false">IF(T268&gt;0,B268,D268)</f>
        <v>-0.125</v>
      </c>
      <c r="C269" s="25" t="n">
        <f aca="false">IF(T268&gt;0,D268,C268)</f>
        <v>0.25</v>
      </c>
      <c r="D269" s="41" t="n">
        <f aca="false">(B269+C269)/2</f>
        <v>0.0625</v>
      </c>
      <c r="E269" s="15" t="n">
        <f aca="false">$C$2*(1+IF(E$3&lt;=$O$2,$D269,$D269-($D269-$I$265)*MIN(E$3-$O$2,$Q$2)/$Q$2))</f>
        <v>924.406875</v>
      </c>
      <c r="F269" s="15" t="n">
        <f aca="false">E269*(1+IF(F$3&lt;=$O$2,$D269,$D269-($D269-$I$265)*MIN(F$3-$O$2,$Q$2)/$Q$2))</f>
        <v>982.1823046875</v>
      </c>
      <c r="G269" s="15" t="n">
        <f aca="false">F269*(1+IF(G$3&lt;=$O$2,$D269,$D269-($D269-$I$265)*MIN(G$3-$O$2,$Q$2)/$Q$2))</f>
        <v>1043.56869873047</v>
      </c>
      <c r="H269" s="15" t="n">
        <f aca="false">G269*(1+IF(H$3&lt;=$O$2,$D269,$D269-($D269-$I$265)*MIN(H$3-$O$2,$Q$2)/$Q$2))</f>
        <v>1108.79174240112</v>
      </c>
      <c r="I269" s="15" t="n">
        <f aca="false">H269*(1+IF(I$3&lt;=$O$2,$D269,$D269-($D269-$I$265)*MIN(I$3-$O$2,$Q$2)/$Q$2))</f>
        <v>1178.09122630119</v>
      </c>
      <c r="J269" s="15" t="n">
        <f aca="false">I269*(1+IF(J$3&lt;=$O$2,$D269,$D269-($D269-$I$265)*MIN(J$3-$O$2,$Q$2)/$Q$2))</f>
        <v>1244.84187518342</v>
      </c>
      <c r="K269" s="15" t="n">
        <f aca="false">J269*(1+IF(K$3&lt;=$O$2,$D269,$D269-($D269-$I$265)*MIN(K$3-$O$2,$Q$2)/$Q$2))</f>
        <v>1308.10473928024</v>
      </c>
      <c r="L269" s="15" t="n">
        <f aca="false">K269*(1+IF(L$3&lt;=$O$2,$D269,$D269-($D269-$I$265)*MIN(L$3-$O$2,$Q$2)/$Q$2))</f>
        <v>1366.94329045307</v>
      </c>
      <c r="M269" s="15" t="n">
        <f aca="false">L269*(1+IF(M$3&lt;=$O$2,$D269,$D269-($D269-$I$265)*MIN(M$3-$O$2,$Q$2)/$Q$2))</f>
        <v>1420.4454508414</v>
      </c>
      <c r="N269" s="15" t="n">
        <f aca="false">M269*(1+IF(N$3&lt;=$O$2,$D269,$D269-($D269-$I$265)*MIN(N$3-$O$2,$Q$2)/$Q$2))</f>
        <v>1467.74628435442</v>
      </c>
      <c r="O269" s="15" t="n">
        <f aca="false">SUMPRODUCT(E269:N269,1/(1+$F$265)^$E$3:$N$3)*$E$2</f>
        <v>1812.37369080731</v>
      </c>
      <c r="P269" s="15" t="n">
        <f aca="false">N269*$E$2*(1+$I$265)/($F$265-$I$265)/(1+$F$265)^$N$3</f>
        <v>4289.85111727391</v>
      </c>
      <c r="Q269" s="15" t="n">
        <f aca="false">O269+P269</f>
        <v>6102.22480808122</v>
      </c>
      <c r="R269" s="15" t="n">
        <f aca="false">Q269-$G$2+$I$2</f>
        <v>6269.62480808122</v>
      </c>
      <c r="S269" s="42" t="n">
        <f aca="false">R269/$K$2</f>
        <v>178.164956183041</v>
      </c>
      <c r="T269" s="43" t="n">
        <f aca="false">S269-$M$2</f>
        <v>13.6295768139023</v>
      </c>
    </row>
    <row r="270" customFormat="false" ht="15" hidden="false" customHeight="false" outlineLevel="0" collapsed="false">
      <c r="A270" s="5" t="n">
        <v>4</v>
      </c>
      <c r="B270" s="25" t="n">
        <f aca="false">IF(T269&gt;0,B269,D269)</f>
        <v>-0.125</v>
      </c>
      <c r="C270" s="25" t="n">
        <f aca="false">IF(T269&gt;0,D269,C269)</f>
        <v>0.0625</v>
      </c>
      <c r="D270" s="41" t="n">
        <f aca="false">(B270+C270)/2</f>
        <v>-0.03125</v>
      </c>
      <c r="E270" s="15" t="n">
        <f aca="false">$C$2*(1+IF(E$3&lt;=$O$2,$D270,$D270-($D270-$I$265)*MIN(E$3-$O$2,$Q$2)/$Q$2))</f>
        <v>842.8415625</v>
      </c>
      <c r="F270" s="15" t="n">
        <f aca="false">E270*(1+IF(F$3&lt;=$O$2,$D270,$D270-($D270-$I$265)*MIN(F$3-$O$2,$Q$2)/$Q$2))</f>
        <v>816.502763671875</v>
      </c>
      <c r="G270" s="15" t="n">
        <f aca="false">F270*(1+IF(G$3&lt;=$O$2,$D270,$D270-($D270-$I$265)*MIN(G$3-$O$2,$Q$2)/$Q$2))</f>
        <v>790.987052307129</v>
      </c>
      <c r="H270" s="15" t="n">
        <f aca="false">G270*(1+IF(H$3&lt;=$O$2,$D270,$D270-($D270-$I$265)*MIN(H$3-$O$2,$Q$2)/$Q$2))</f>
        <v>766.268706922531</v>
      </c>
      <c r="I270" s="15" t="n">
        <f aca="false">H270*(1+IF(I$3&lt;=$O$2,$D270,$D270-($D270-$I$265)*MIN(I$3-$O$2,$Q$2)/$Q$2))</f>
        <v>742.322809831202</v>
      </c>
      <c r="J270" s="15" t="n">
        <f aca="false">I270*(1+IF(J$3&lt;=$O$2,$D270,$D270-($D270-$I$265)*MIN(J$3-$O$2,$Q$2)/$Q$2))</f>
        <v>728.708609498898</v>
      </c>
      <c r="K270" s="15" t="n">
        <f aca="false">J270*(1+IF(K$3&lt;=$O$2,$D270,$D270-($D270-$I$265)*MIN(K$3-$O$2,$Q$2)/$Q$2))</f>
        <v>724.751721749319</v>
      </c>
      <c r="L270" s="15" t="n">
        <f aca="false">K270*(1+IF(L$3&lt;=$O$2,$D270,$D270-($D270-$I$265)*MIN(L$3-$O$2,$Q$2)/$Q$2))</f>
        <v>730.172864628004</v>
      </c>
      <c r="M270" s="15" t="n">
        <f aca="false">L270*(1+IF(M$3&lt;=$O$2,$D270,$D270-($D270-$I$265)*MIN(M$3-$O$2,$Q$2)/$Q$2))</f>
        <v>745.061089337768</v>
      </c>
      <c r="N270" s="15" t="n">
        <f aca="false">M270*(1+IF(N$3&lt;=$O$2,$D270,$D270-($D270-$I$265)*MIN(N$3-$O$2,$Q$2)/$Q$2))</f>
        <v>769.871623612716</v>
      </c>
      <c r="O270" s="15" t="n">
        <f aca="false">SUMPRODUCT(E270:N270,1/(1+$F$265)^$E$3:$N$3)*$E$2</f>
        <v>1196.60299378135</v>
      </c>
      <c r="P270" s="15" t="n">
        <f aca="false">N270*$E$2*(1+$I$265)/($F$265-$I$265)/(1+$F$265)^$N$3</f>
        <v>2250.14001392287</v>
      </c>
      <c r="Q270" s="15" t="n">
        <f aca="false">O270+P270</f>
        <v>3446.74300770422</v>
      </c>
      <c r="R270" s="15" t="n">
        <f aca="false">Q270-$G$2+$I$2</f>
        <v>3614.14300770422</v>
      </c>
      <c r="S270" s="42" t="n">
        <f aca="false">R270/$K$2</f>
        <v>102.703694450248</v>
      </c>
      <c r="T270" s="43" t="n">
        <f aca="false">S270-$M$2</f>
        <v>-61.8316849188913</v>
      </c>
    </row>
    <row r="271" customFormat="false" ht="15" hidden="false" customHeight="false" outlineLevel="0" collapsed="false">
      <c r="A271" s="5" t="n">
        <v>5</v>
      </c>
      <c r="B271" s="25" t="n">
        <f aca="false">IF(T270&gt;0,B270,D270)</f>
        <v>-0.03125</v>
      </c>
      <c r="C271" s="25" t="n">
        <f aca="false">IF(T270&gt;0,D270,C270)</f>
        <v>0.0625</v>
      </c>
      <c r="D271" s="41" t="n">
        <f aca="false">(B271+C271)/2</f>
        <v>0.015625</v>
      </c>
      <c r="E271" s="15" t="n">
        <f aca="false">$C$2*(1+IF(E$3&lt;=$O$2,$D271,$D271-($D271-$I$265)*MIN(E$3-$O$2,$Q$2)/$Q$2))</f>
        <v>883.62421875</v>
      </c>
      <c r="F271" s="15" t="n">
        <f aca="false">E271*(1+IF(F$3&lt;=$O$2,$D271,$D271-($D271-$I$265)*MIN(F$3-$O$2,$Q$2)/$Q$2))</f>
        <v>897.430847167969</v>
      </c>
      <c r="G271" s="15" t="n">
        <f aca="false">F271*(1+IF(G$3&lt;=$O$2,$D271,$D271-($D271-$I$265)*MIN(G$3-$O$2,$Q$2)/$Q$2))</f>
        <v>911.453204154968</v>
      </c>
      <c r="H271" s="15" t="n">
        <f aca="false">G271*(1+IF(H$3&lt;=$O$2,$D271,$D271-($D271-$I$265)*MIN(H$3-$O$2,$Q$2)/$Q$2))</f>
        <v>925.69466046989</v>
      </c>
      <c r="I271" s="15" t="n">
        <f aca="false">H271*(1+IF(I$3&lt;=$O$2,$D271,$D271-($D271-$I$265)*MIN(I$3-$O$2,$Q$2)/$Q$2))</f>
        <v>940.158639539732</v>
      </c>
      <c r="J271" s="15" t="n">
        <f aca="false">I271*(1+IF(J$3&lt;=$O$2,$D271,$D271-($D271-$I$265)*MIN(J$3-$O$2,$Q$2)/$Q$2))</f>
        <v>958.172079073313</v>
      </c>
      <c r="K271" s="15" t="n">
        <f aca="false">J271*(1+IF(K$3&lt;=$O$2,$D271,$D271-($D271-$I$265)*MIN(K$3-$O$2,$Q$2)/$Q$2))</f>
        <v>979.917794407882</v>
      </c>
      <c r="L271" s="15" t="n">
        <f aca="false">K271*(1+IF(L$3&lt;=$O$2,$D271,$D271-($D271-$I$265)*MIN(L$3-$O$2,$Q$2)/$Q$2))</f>
        <v>1005.6210381552</v>
      </c>
      <c r="M271" s="15" t="n">
        <f aca="false">L271*(1+IF(M$3&lt;=$O$2,$D271,$D271-($D271-$I$265)*MIN(M$3-$O$2,$Q$2)/$Q$2))</f>
        <v>1035.55334835589</v>
      </c>
      <c r="N271" s="15" t="n">
        <f aca="false">M271*(1+IF(N$3&lt;=$O$2,$D271,$D271-($D271-$I$265)*MIN(N$3-$O$2,$Q$2)/$Q$2))</f>
        <v>1070.03727485614</v>
      </c>
      <c r="O271" s="15" t="n">
        <f aca="false">SUMPRODUCT(E271:N271,1/(1+$F$265)^$E$3:$N$3)*$E$2</f>
        <v>1472.21747798068</v>
      </c>
      <c r="P271" s="15" t="n">
        <f aca="false">N271*$E$2*(1+$I$265)/($F$265-$I$265)/(1+$F$265)^$N$3</f>
        <v>3127.44828448697</v>
      </c>
      <c r="Q271" s="15" t="n">
        <f aca="false">O271+P271</f>
        <v>4599.66576246765</v>
      </c>
      <c r="R271" s="15" t="n">
        <f aca="false">Q271-$G$2+$I$2</f>
        <v>4767.06576246765</v>
      </c>
      <c r="S271" s="42" t="n">
        <f aca="false">R271/$K$2</f>
        <v>135.466489413687</v>
      </c>
      <c r="T271" s="43" t="n">
        <f aca="false">S271-$M$2</f>
        <v>-29.068889955452</v>
      </c>
    </row>
    <row r="272" customFormat="false" ht="15" hidden="false" customHeight="false" outlineLevel="0" collapsed="false">
      <c r="A272" s="5" t="n">
        <v>6</v>
      </c>
      <c r="B272" s="25" t="n">
        <f aca="false">IF(T271&gt;0,B271,D271)</f>
        <v>0.015625</v>
      </c>
      <c r="C272" s="25" t="n">
        <f aca="false">IF(T271&gt;0,D271,C271)</f>
        <v>0.0625</v>
      </c>
      <c r="D272" s="41" t="n">
        <f aca="false">(B272+C272)/2</f>
        <v>0.0390625</v>
      </c>
      <c r="E272" s="15" t="n">
        <f aca="false">$C$2*(1+IF(E$3&lt;=$O$2,$D272,$D272-($D272-$I$265)*MIN(E$3-$O$2,$Q$2)/$Q$2))</f>
        <v>904.015546875</v>
      </c>
      <c r="F272" s="15" t="n">
        <f aca="false">E272*(1+IF(F$3&lt;=$O$2,$D272,$D272-($D272-$I$265)*MIN(F$3-$O$2,$Q$2)/$Q$2))</f>
        <v>939.328654174805</v>
      </c>
      <c r="G272" s="15" t="n">
        <f aca="false">F272*(1+IF(G$3&lt;=$O$2,$D272,$D272-($D272-$I$265)*MIN(G$3-$O$2,$Q$2)/$Q$2))</f>
        <v>976.021179728508</v>
      </c>
      <c r="H272" s="15" t="n">
        <f aca="false">G272*(1+IF(H$3&lt;=$O$2,$D272,$D272-($D272-$I$265)*MIN(H$3-$O$2,$Q$2)/$Q$2))</f>
        <v>1014.14700706165</v>
      </c>
      <c r="I272" s="15" t="n">
        <f aca="false">H272*(1+IF(I$3&lt;=$O$2,$D272,$D272-($D272-$I$265)*MIN(I$3-$O$2,$Q$2)/$Q$2))</f>
        <v>1053.762124525</v>
      </c>
      <c r="J272" s="15" t="n">
        <f aca="false">I272*(1+IF(J$3&lt;=$O$2,$D272,$D272-($D272-$I$265)*MIN(J$3-$O$2,$Q$2)/$Q$2))</f>
        <v>1093.71024666574</v>
      </c>
      <c r="K272" s="15" t="n">
        <f aca="false">J272*(1+IF(K$3&lt;=$O$2,$D272,$D272-($D272-$I$265)*MIN(K$3-$O$2,$Q$2)/$Q$2))</f>
        <v>1133.91230105756</v>
      </c>
      <c r="L272" s="15" t="n">
        <f aca="false">K272*(1+IF(L$3&lt;=$O$2,$D272,$D272-($D272-$I$265)*MIN(L$3-$O$2,$Q$2)/$Q$2))</f>
        <v>1174.28524853671</v>
      </c>
      <c r="M272" s="15" t="n">
        <f aca="false">L272*(1+IF(M$3&lt;=$O$2,$D272,$D272-($D272-$I$265)*MIN(M$3-$O$2,$Q$2)/$Q$2))</f>
        <v>1214.74231106192</v>
      </c>
      <c r="N272" s="15" t="n">
        <f aca="false">M272*(1+IF(N$3&lt;=$O$2,$D272,$D272-($D272-$I$265)*MIN(N$3-$O$2,$Q$2)/$Q$2))</f>
        <v>1255.19323002028</v>
      </c>
      <c r="O272" s="15" t="n">
        <f aca="false">SUMPRODUCT(E272:N272,1/(1+$F$265)^$E$3:$N$3)*$E$2</f>
        <v>1633.41437799599</v>
      </c>
      <c r="P272" s="15" t="n">
        <f aca="false">N272*$E$2*(1+$I$265)/($F$265-$I$265)/(1+$F$265)^$N$3</f>
        <v>3668.61230554268</v>
      </c>
      <c r="Q272" s="15" t="n">
        <f aca="false">O272+P272</f>
        <v>5302.02668353868</v>
      </c>
      <c r="R272" s="15" t="n">
        <f aca="false">Q272-$G$2+$I$2</f>
        <v>5469.42668353868</v>
      </c>
      <c r="S272" s="42" t="n">
        <f aca="false">R272/$K$2</f>
        <v>155.425594871801</v>
      </c>
      <c r="T272" s="43" t="n">
        <f aca="false">S272-$M$2</f>
        <v>-9.10978449733804</v>
      </c>
    </row>
    <row r="273" customFormat="false" ht="15" hidden="false" customHeight="false" outlineLevel="0" collapsed="false">
      <c r="A273" s="5" t="n">
        <v>7</v>
      </c>
      <c r="B273" s="25" t="n">
        <f aca="false">IF(T272&gt;0,B272,D272)</f>
        <v>0.0390625</v>
      </c>
      <c r="C273" s="25" t="n">
        <f aca="false">IF(T272&gt;0,D272,C272)</f>
        <v>0.0625</v>
      </c>
      <c r="D273" s="41" t="n">
        <f aca="false">(B273+C273)/2</f>
        <v>0.05078125</v>
      </c>
      <c r="E273" s="15" t="n">
        <f aca="false">$C$2*(1+IF(E$3&lt;=$O$2,$D273,$D273-($D273-$I$265)*MIN(E$3-$O$2,$Q$2)/$Q$2))</f>
        <v>914.2112109375</v>
      </c>
      <c r="F273" s="15" t="n">
        <f aca="false">E273*(1+IF(F$3&lt;=$O$2,$D273,$D273-($D273-$I$265)*MIN(F$3-$O$2,$Q$2)/$Q$2))</f>
        <v>960.63599899292</v>
      </c>
      <c r="G273" s="15" t="n">
        <f aca="false">F273*(1+IF(G$3&lt;=$O$2,$D273,$D273-($D273-$I$265)*MIN(G$3-$O$2,$Q$2)/$Q$2))</f>
        <v>1009.41829581678</v>
      </c>
      <c r="H273" s="15" t="n">
        <f aca="false">G273*(1+IF(H$3&lt;=$O$2,$D273,$D273-($D273-$I$265)*MIN(H$3-$O$2,$Q$2)/$Q$2))</f>
        <v>1060.67781865123</v>
      </c>
      <c r="I273" s="15" t="n">
        <f aca="false">H273*(1+IF(I$3&lt;=$O$2,$D273,$D273-($D273-$I$265)*MIN(I$3-$O$2,$Q$2)/$Q$2))</f>
        <v>1114.54036412961</v>
      </c>
      <c r="J273" s="15" t="n">
        <f aca="false">I273*(1+IF(J$3&lt;=$O$2,$D273,$D273-($D273-$I$265)*MIN(J$3-$O$2,$Q$2)/$Q$2))</f>
        <v>1167.24140524748</v>
      </c>
      <c r="K273" s="15" t="n">
        <f aca="false">J273*(1+IF(K$3&lt;=$O$2,$D273,$D273-($D273-$I$265)*MIN(K$3-$O$2,$Q$2)/$Q$2))</f>
        <v>1218.35344733151</v>
      </c>
      <c r="L273" s="15" t="n">
        <f aca="false">K273*(1+IF(L$3&lt;=$O$2,$D273,$D273-($D273-$I$265)*MIN(L$3-$O$2,$Q$2)/$Q$2))</f>
        <v>1267.44395360811</v>
      </c>
      <c r="M273" s="15" t="n">
        <f aca="false">L273*(1+IF(M$3&lt;=$O$2,$D273,$D273-($D273-$I$265)*MIN(M$3-$O$2,$Q$2)/$Q$2))</f>
        <v>1314.08113818606</v>
      </c>
      <c r="N273" s="15" t="n">
        <f aca="false">M273*(1+IF(N$3&lt;=$O$2,$D273,$D273-($D273-$I$265)*MIN(N$3-$O$2,$Q$2)/$Q$2))</f>
        <v>1357.84004008766</v>
      </c>
      <c r="O273" s="15" t="n">
        <f aca="false">SUMPRODUCT(E273:N273,1/(1+$F$265)^$E$3:$N$3)*$E$2</f>
        <v>1720.56429136208</v>
      </c>
      <c r="P273" s="15" t="n">
        <f aca="false">N273*$E$2*(1+$I$265)/($F$265-$I$265)/(1+$F$265)^$N$3</f>
        <v>3968.62296647637</v>
      </c>
      <c r="Q273" s="15" t="n">
        <f aca="false">O273+P273</f>
        <v>5689.18725783845</v>
      </c>
      <c r="R273" s="15" t="n">
        <f aca="false">Q273-$G$2+$I$2</f>
        <v>5856.58725783845</v>
      </c>
      <c r="S273" s="42" t="n">
        <f aca="false">R273/$K$2</f>
        <v>166.42760039325</v>
      </c>
      <c r="T273" s="43" t="n">
        <f aca="false">S273-$M$2</f>
        <v>1.89222102411051</v>
      </c>
    </row>
    <row r="274" customFormat="false" ht="15" hidden="false" customHeight="false" outlineLevel="0" collapsed="false">
      <c r="A274" s="5" t="n">
        <v>8</v>
      </c>
      <c r="B274" s="25" t="n">
        <f aca="false">IF(T273&gt;0,B273,D273)</f>
        <v>0.0390625</v>
      </c>
      <c r="C274" s="25" t="n">
        <f aca="false">IF(T273&gt;0,D273,C273)</f>
        <v>0.05078125</v>
      </c>
      <c r="D274" s="41" t="n">
        <f aca="false">(B274+C274)/2</f>
        <v>0.044921875</v>
      </c>
      <c r="E274" s="15" t="n">
        <f aca="false">$C$2*(1+IF(E$3&lt;=$O$2,$D274,$D274-($D274-$I$265)*MIN(E$3-$O$2,$Q$2)/$Q$2))</f>
        <v>909.11337890625</v>
      </c>
      <c r="F274" s="15" t="n">
        <f aca="false">E274*(1+IF(F$3&lt;=$O$2,$D274,$D274-($D274-$I$265)*MIN(F$3-$O$2,$Q$2)/$Q$2))</f>
        <v>949.952456474304</v>
      </c>
      <c r="G274" s="15" t="n">
        <f aca="false">F274*(1+IF(G$3&lt;=$O$2,$D274,$D274-($D274-$I$265)*MIN(G$3-$O$2,$Q$2)/$Q$2))</f>
        <v>992.626101979986</v>
      </c>
      <c r="H274" s="15" t="n">
        <f aca="false">G274*(1+IF(H$3&lt;=$O$2,$D274,$D274-($D274-$I$265)*MIN(H$3-$O$2,$Q$2)/$Q$2))</f>
        <v>1037.21672765487</v>
      </c>
      <c r="I274" s="15" t="n">
        <f aca="false">H274*(1+IF(I$3&lt;=$O$2,$D274,$D274-($D274-$I$265)*MIN(I$3-$O$2,$Q$2)/$Q$2))</f>
        <v>1083.81044784249</v>
      </c>
      <c r="J274" s="15" t="n">
        <f aca="false">I274*(1+IF(J$3&lt;=$O$2,$D274,$D274-($D274-$I$265)*MIN(J$3-$O$2,$Q$2)/$Q$2))</f>
        <v>1129.97806339446</v>
      </c>
      <c r="K274" s="15" t="n">
        <f aca="false">J274*(1+IF(K$3&lt;=$O$2,$D274,$D274-($D274-$I$265)*MIN(K$3-$O$2,$Q$2)/$Q$2))</f>
        <v>1175.4858111888</v>
      </c>
      <c r="L274" s="15" t="n">
        <f aca="false">K274*(1+IF(L$3&lt;=$O$2,$D274,$D274-($D274-$I$265)*MIN(L$3-$O$2,$Q$2)/$Q$2))</f>
        <v>1220.09402836615</v>
      </c>
      <c r="M274" s="15" t="n">
        <f aca="false">L274*(1+IF(M$3&lt;=$O$2,$D274,$D274-($D274-$I$265)*MIN(M$3-$O$2,$Q$2)/$Q$2))</f>
        <v>1263.55911556793</v>
      </c>
      <c r="N274" s="15" t="n">
        <f aca="false">M274*(1+IF(N$3&lt;=$O$2,$D274,$D274-($D274-$I$265)*MIN(N$3-$O$2,$Q$2)/$Q$2))</f>
        <v>1305.63563411634</v>
      </c>
      <c r="O274" s="15" t="n">
        <f aca="false">SUMPRODUCT(E274:N274,1/(1+$F$265)^$E$3:$N$3)*$E$2</f>
        <v>1676.42094125338</v>
      </c>
      <c r="P274" s="15" t="n">
        <f aca="false">N274*$E$2*(1+$I$265)/($F$265-$I$265)/(1+$F$265)^$N$3</f>
        <v>3816.0426931213</v>
      </c>
      <c r="Q274" s="15" t="n">
        <f aca="false">O274+P274</f>
        <v>5492.46363437469</v>
      </c>
      <c r="R274" s="15" t="n">
        <f aca="false">Q274-$G$2+$I$2</f>
        <v>5659.86363437469</v>
      </c>
      <c r="S274" s="42" t="n">
        <f aca="false">R274/$K$2</f>
        <v>160.83727292909</v>
      </c>
      <c r="T274" s="43" t="n">
        <f aca="false">S274-$M$2</f>
        <v>-3.69810644004875</v>
      </c>
    </row>
    <row r="275" customFormat="false" ht="15" hidden="false" customHeight="false" outlineLevel="0" collapsed="false">
      <c r="A275" s="5" t="n">
        <v>9</v>
      </c>
      <c r="B275" s="25" t="n">
        <f aca="false">IF(T274&gt;0,B274,D274)</f>
        <v>0.044921875</v>
      </c>
      <c r="C275" s="25" t="n">
        <f aca="false">IF(T274&gt;0,D274,C274)</f>
        <v>0.05078125</v>
      </c>
      <c r="D275" s="41" t="n">
        <f aca="false">(B275+C275)/2</f>
        <v>0.0478515625</v>
      </c>
      <c r="E275" s="15" t="n">
        <f aca="false">$C$2*(1+IF(E$3&lt;=$O$2,$D275,$D275-($D275-$I$265)*MIN(E$3-$O$2,$Q$2)/$Q$2))</f>
        <v>911.662294921875</v>
      </c>
      <c r="F275" s="15" t="n">
        <f aca="false">E275*(1+IF(F$3&lt;=$O$2,$D275,$D275-($D275-$I$265)*MIN(F$3-$O$2,$Q$2)/$Q$2))</f>
        <v>955.286760206222</v>
      </c>
      <c r="G275" s="15" t="n">
        <f aca="false">F275*(1+IF(G$3&lt;=$O$2,$D275,$D275-($D275-$I$265)*MIN(G$3-$O$2,$Q$2)/$Q$2))</f>
        <v>1000.99872431765</v>
      </c>
      <c r="H275" s="15" t="n">
        <f aca="false">G275*(1+IF(H$3&lt;=$O$2,$D275,$D275-($D275-$I$265)*MIN(H$3-$O$2,$Q$2)/$Q$2))</f>
        <v>1048.89807733676</v>
      </c>
      <c r="I275" s="15" t="n">
        <f aca="false">H275*(1+IF(I$3&lt;=$O$2,$D275,$D275-($D275-$I$265)*MIN(I$3-$O$2,$Q$2)/$Q$2))</f>
        <v>1099.08948924057</v>
      </c>
      <c r="J275" s="15" t="n">
        <f aca="false">I275*(1+IF(J$3&lt;=$O$2,$D275,$D275-($D275-$I$265)*MIN(J$3-$O$2,$Q$2)/$Q$2))</f>
        <v>1148.4839447489</v>
      </c>
      <c r="K275" s="15" t="n">
        <f aca="false">J275*(1+IF(K$3&lt;=$O$2,$D275,$D275-($D275-$I$265)*MIN(K$3-$O$2,$Q$2)/$Q$2))</f>
        <v>1196.7558016504</v>
      </c>
      <c r="L275" s="15" t="n">
        <f aca="false">K275*(1+IF(L$3&lt;=$O$2,$D275,$D275-($D275-$I$265)*MIN(L$3-$O$2,$Q$2)/$Q$2))</f>
        <v>1243.57363658334</v>
      </c>
      <c r="M275" s="15" t="n">
        <f aca="false">L275*(1+IF(M$3&lt;=$O$2,$D275,$D275-($D275-$I$265)*MIN(M$3-$O$2,$Q$2)/$Q$2))</f>
        <v>1288.60382658078</v>
      </c>
      <c r="N275" s="15" t="n">
        <f aca="false">M275*(1+IF(N$3&lt;=$O$2,$D275,$D275-($D275-$I$265)*MIN(N$3-$O$2,$Q$2)/$Q$2))</f>
        <v>1331.51433400592</v>
      </c>
      <c r="O275" s="15" t="n">
        <f aca="false">SUMPRODUCT(E275:N275,1/(1+$F$265)^$E$3:$N$3)*$E$2</f>
        <v>1698.34878572875</v>
      </c>
      <c r="P275" s="15" t="n">
        <f aca="false">N275*$E$2*(1+$I$265)/($F$265-$I$265)/(1+$F$265)^$N$3</f>
        <v>3891.67958678493</v>
      </c>
      <c r="Q275" s="15" t="n">
        <f aca="false">O275+P275</f>
        <v>5590.02837251368</v>
      </c>
      <c r="R275" s="15" t="n">
        <f aca="false">Q275-$G$2+$I$2</f>
        <v>5757.42837251368</v>
      </c>
      <c r="S275" s="42" t="n">
        <f aca="false">R275/$K$2</f>
        <v>163.609786090187</v>
      </c>
      <c r="T275" s="43" t="n">
        <f aca="false">S275-$M$2</f>
        <v>-0.925593278951993</v>
      </c>
    </row>
    <row r="276" customFormat="false" ht="15" hidden="false" customHeight="false" outlineLevel="0" collapsed="false">
      <c r="A276" s="5" t="n">
        <v>10</v>
      </c>
      <c r="B276" s="25" t="n">
        <f aca="false">IF(T275&gt;0,B275,D275)</f>
        <v>0.0478515625</v>
      </c>
      <c r="C276" s="25" t="n">
        <f aca="false">IF(T275&gt;0,D275,C275)</f>
        <v>0.05078125</v>
      </c>
      <c r="D276" s="41" t="n">
        <f aca="false">(B276+C276)/2</f>
        <v>0.04931640625</v>
      </c>
      <c r="E276" s="15" t="n">
        <f aca="false">$C$2*(1+IF(E$3&lt;=$O$2,$D276,$D276-($D276-$I$265)*MIN(E$3-$O$2,$Q$2)/$Q$2))</f>
        <v>912.936752929688</v>
      </c>
      <c r="F276" s="15" t="n">
        <f aca="false">E276*(1+IF(F$3&lt;=$O$2,$D276,$D276-($D276-$I$265)*MIN(F$3-$O$2,$Q$2)/$Q$2))</f>
        <v>957.959512717724</v>
      </c>
      <c r="G276" s="15" t="n">
        <f aca="false">F276*(1+IF(G$3&lt;=$O$2,$D276,$D276-($D276-$I$265)*MIN(G$3-$O$2,$Q$2)/$Q$2))</f>
        <v>1005.20263321796</v>
      </c>
      <c r="H276" s="15" t="n">
        <f aca="false">G276*(1+IF(H$3&lt;=$O$2,$D276,$D276-($D276-$I$265)*MIN(H$3-$O$2,$Q$2)/$Q$2))</f>
        <v>1054.77561464131</v>
      </c>
      <c r="I276" s="15" t="n">
        <f aca="false">H276*(1+IF(I$3&lt;=$O$2,$D276,$D276-($D276-$I$265)*MIN(I$3-$O$2,$Q$2)/$Q$2))</f>
        <v>1106.79335735555</v>
      </c>
      <c r="J276" s="15" t="n">
        <f aca="false">I276*(1+IF(J$3&lt;=$O$2,$D276,$D276-($D276-$I$265)*MIN(J$3-$O$2,$Q$2)/$Q$2))</f>
        <v>1157.83105779246</v>
      </c>
      <c r="K276" s="15" t="n">
        <f aca="false">J276*(1+IF(K$3&lt;=$O$2,$D276,$D276-($D276-$I$265)*MIN(K$3-$O$2,$Q$2)/$Q$2))</f>
        <v>1207.51340757123</v>
      </c>
      <c r="L276" s="15" t="n">
        <f aca="false">K276*(1+IF(L$3&lt;=$O$2,$D276,$D276-($D276-$I$265)*MIN(L$3-$O$2,$Q$2)/$Q$2))</f>
        <v>1255.45961415855</v>
      </c>
      <c r="M276" s="15" t="n">
        <f aca="false">L276*(1+IF(M$3&lt;=$O$2,$D276,$D276-($D276-$I$265)*MIN(M$3-$O$2,$Q$2)/$Q$2))</f>
        <v>1301.28800955219</v>
      </c>
      <c r="N276" s="15" t="n">
        <f aca="false">M276*(1+IF(N$3&lt;=$O$2,$D276,$D276-($D276-$I$265)*MIN(N$3-$O$2,$Q$2)/$Q$2))</f>
        <v>1344.62090027028</v>
      </c>
      <c r="O276" s="15" t="n">
        <f aca="false">SUMPRODUCT(E276:N276,1/(1+$F$265)^$E$3:$N$3)*$E$2</f>
        <v>1709.42036237005</v>
      </c>
      <c r="P276" s="15" t="n">
        <f aca="false">N276*$E$2*(1+$I$265)/($F$265-$I$265)/(1+$F$265)^$N$3</f>
        <v>3929.98676462087</v>
      </c>
      <c r="Q276" s="15" t="n">
        <f aca="false">O276+P276</f>
        <v>5639.40712699092</v>
      </c>
      <c r="R276" s="15" t="n">
        <f aca="false">Q276-$G$2+$I$2</f>
        <v>5806.80712699092</v>
      </c>
      <c r="S276" s="42" t="n">
        <f aca="false">R276/$K$2</f>
        <v>165.012990252655</v>
      </c>
      <c r="T276" s="43" t="n">
        <f aca="false">S276-$M$2</f>
        <v>0.477610883515581</v>
      </c>
    </row>
    <row r="277" customFormat="false" ht="15" hidden="false" customHeight="false" outlineLevel="0" collapsed="false">
      <c r="A277" s="5" t="n">
        <v>11</v>
      </c>
      <c r="B277" s="25" t="n">
        <f aca="false">IF(T276&gt;0,B276,D276)</f>
        <v>0.0478515625</v>
      </c>
      <c r="C277" s="25" t="n">
        <f aca="false">IF(T276&gt;0,D276,C276)</f>
        <v>0.04931640625</v>
      </c>
      <c r="D277" s="41" t="n">
        <f aca="false">(B277+C277)/2</f>
        <v>0.048583984375</v>
      </c>
      <c r="E277" s="15" t="n">
        <f aca="false">$C$2*(1+IF(E$3&lt;=$O$2,$D277,$D277-($D277-$I$265)*MIN(E$3-$O$2,$Q$2)/$Q$2))</f>
        <v>912.299523925781</v>
      </c>
      <c r="F277" s="15" t="n">
        <f aca="false">E277*(1+IF(F$3&lt;=$O$2,$D277,$D277-($D277-$I$265)*MIN(F$3-$O$2,$Q$2)/$Q$2))</f>
        <v>956.622669741511</v>
      </c>
      <c r="G277" s="15" t="n">
        <f aca="false">F277*(1+IF(G$3&lt;=$O$2,$D277,$D277-($D277-$I$265)*MIN(G$3-$O$2,$Q$2)/$Q$2))</f>
        <v>1003.099210581</v>
      </c>
      <c r="H277" s="15" t="n">
        <f aca="false">G277*(1+IF(H$3&lt;=$O$2,$D277,$D277-($D277-$I$265)*MIN(H$3-$O$2,$Q$2)/$Q$2))</f>
        <v>1051.83376695445</v>
      </c>
      <c r="I277" s="15" t="n">
        <f aca="false">H277*(1+IF(I$3&lt;=$O$2,$D277,$D277-($D277-$I$265)*MIN(I$3-$O$2,$Q$2)/$Q$2))</f>
        <v>1102.93604225326</v>
      </c>
      <c r="J277" s="15" t="n">
        <f aca="false">I277*(1+IF(J$3&lt;=$O$2,$D277,$D277-($D277-$I$265)*MIN(J$3-$O$2,$Q$2)/$Q$2))</f>
        <v>1153.14961824943</v>
      </c>
      <c r="K277" s="15" t="n">
        <f aca="false">J277*(1+IF(K$3&lt;=$O$2,$D277,$D277-($D277-$I$265)*MIN(K$3-$O$2,$Q$2)/$Q$2))</f>
        <v>1202.12433298555</v>
      </c>
      <c r="L277" s="15" t="n">
        <f aca="false">K277*(1+IF(L$3&lt;=$O$2,$D277,$D277-($D277-$I$265)*MIN(L$3-$O$2,$Q$2)/$Q$2))</f>
        <v>1249.50437308284</v>
      </c>
      <c r="M277" s="15" t="n">
        <f aca="false">L277*(1+IF(M$3&lt;=$O$2,$D277,$D277-($D277-$I$265)*MIN(M$3-$O$2,$Q$2)/$Q$2))</f>
        <v>1294.93234976943</v>
      </c>
      <c r="N277" s="15" t="n">
        <f aca="false">M277*(1+IF(N$3&lt;=$O$2,$D277,$D277-($D277-$I$265)*MIN(N$3-$O$2,$Q$2)/$Q$2))</f>
        <v>1338.05359701675</v>
      </c>
      <c r="O277" s="15" t="n">
        <f aca="false">SUMPRODUCT(E277:N277,1/(1+$F$265)^$E$3:$N$3)*$E$2</f>
        <v>1703.8755574118</v>
      </c>
      <c r="P277" s="15" t="n">
        <f aca="false">N277*$E$2*(1+$I$265)/($F$265-$I$265)/(1+$F$265)^$N$3</f>
        <v>3910.79219843465</v>
      </c>
      <c r="Q277" s="15" t="n">
        <f aca="false">O277+P277</f>
        <v>5614.66775584645</v>
      </c>
      <c r="R277" s="15" t="n">
        <f aca="false">Q277-$G$2+$I$2</f>
        <v>5782.06775584645</v>
      </c>
      <c r="S277" s="42" t="n">
        <f aca="false">R277/$K$2</f>
        <v>164.309967486401</v>
      </c>
      <c r="T277" s="43" t="n">
        <f aca="false">S277-$M$2</f>
        <v>-0.225411882738086</v>
      </c>
    </row>
    <row r="278" customFormat="false" ht="15" hidden="false" customHeight="false" outlineLevel="0" collapsed="false">
      <c r="A278" s="5" t="n">
        <v>12</v>
      </c>
      <c r="B278" s="25" t="n">
        <f aca="false">IF(T277&gt;0,B277,D277)</f>
        <v>0.048583984375</v>
      </c>
      <c r="C278" s="25" t="n">
        <f aca="false">IF(T277&gt;0,D277,C277)</f>
        <v>0.04931640625</v>
      </c>
      <c r="D278" s="41" t="n">
        <f aca="false">(B278+C278)/2</f>
        <v>0.0489501953125</v>
      </c>
      <c r="E278" s="15" t="n">
        <f aca="false">$C$2*(1+IF(E$3&lt;=$O$2,$D278,$D278-($D278-$I$265)*MIN(E$3-$O$2,$Q$2)/$Q$2))</f>
        <v>912.618138427734</v>
      </c>
      <c r="F278" s="15" t="n">
        <f aca="false">E278*(1+IF(F$3&lt;=$O$2,$D278,$D278-($D278-$I$265)*MIN(F$3-$O$2,$Q$2)/$Q$2))</f>
        <v>957.290974549502</v>
      </c>
      <c r="G278" s="15" t="n">
        <f aca="false">F278*(1+IF(G$3&lt;=$O$2,$D278,$D278-($D278-$I$265)*MIN(G$3-$O$2,$Q$2)/$Q$2))</f>
        <v>1004.15055472459</v>
      </c>
      <c r="H278" s="15" t="n">
        <f aca="false">G278*(1+IF(H$3&lt;=$O$2,$D278,$D278-($D278-$I$265)*MIN(H$3-$O$2,$Q$2)/$Q$2))</f>
        <v>1053.30392050152</v>
      </c>
      <c r="I278" s="15" t="n">
        <f aca="false">H278*(1+IF(I$3&lt;=$O$2,$D278,$D278-($D278-$I$265)*MIN(I$3-$O$2,$Q$2)/$Q$2))</f>
        <v>1104.86335313349</v>
      </c>
      <c r="J278" s="15" t="n">
        <f aca="false">I278*(1+IF(J$3&lt;=$O$2,$D278,$D278-($D278-$I$265)*MIN(J$3-$O$2,$Q$2)/$Q$2))</f>
        <v>1155.48836460896</v>
      </c>
      <c r="K278" s="15" t="n">
        <f aca="false">J278*(1+IF(K$3&lt;=$O$2,$D278,$D278-($D278-$I$265)*MIN(K$3-$O$2,$Q$2)/$Q$2))</f>
        <v>1204.81629830291</v>
      </c>
      <c r="L278" s="15" t="n">
        <f aca="false">K278*(1+IF(L$3&lt;=$O$2,$D278,$D278-($D278-$I$265)*MIN(L$3-$O$2,$Q$2)/$Q$2))</f>
        <v>1252.47892519005</v>
      </c>
      <c r="M278" s="15" t="n">
        <f aca="false">L278*(1+IF(M$3&lt;=$O$2,$D278,$D278-($D278-$I$265)*MIN(M$3-$O$2,$Q$2)/$Q$2))</f>
        <v>1298.10678135968</v>
      </c>
      <c r="N278" s="15" t="n">
        <f aca="false">M278*(1+IF(N$3&lt;=$O$2,$D278,$D278-($D278-$I$265)*MIN(N$3-$O$2,$Q$2)/$Q$2))</f>
        <v>1341.33373717896</v>
      </c>
      <c r="O278" s="15" t="n">
        <f aca="false">SUMPRODUCT(E278:N278,1/(1+$F$265)^$E$3:$N$3)*$E$2</f>
        <v>1706.64570231138</v>
      </c>
      <c r="P278" s="15" t="n">
        <f aca="false">N278*$E$2*(1+$I$265)/($F$265-$I$265)/(1+$F$265)^$N$3</f>
        <v>3920.37921840509</v>
      </c>
      <c r="Q278" s="15" t="n">
        <f aca="false">O278+P278</f>
        <v>5627.02492071647</v>
      </c>
      <c r="R278" s="15" t="n">
        <f aca="false">Q278-$G$2+$I$2</f>
        <v>5794.42492071647</v>
      </c>
      <c r="S278" s="42" t="n">
        <f aca="false">R278/$K$2</f>
        <v>164.66112306668</v>
      </c>
      <c r="T278" s="43" t="n">
        <f aca="false">S278-$M$2</f>
        <v>0.125743697541026</v>
      </c>
    </row>
    <row r="279" customFormat="false" ht="15" hidden="false" customHeight="false" outlineLevel="0" collapsed="false">
      <c r="A279" s="5" t="n">
        <v>13</v>
      </c>
      <c r="B279" s="25" t="n">
        <f aca="false">IF(T278&gt;0,B278,D278)</f>
        <v>0.048583984375</v>
      </c>
      <c r="C279" s="25" t="n">
        <f aca="false">IF(T278&gt;0,D278,C278)</f>
        <v>0.0489501953125</v>
      </c>
      <c r="D279" s="41" t="n">
        <f aca="false">(B279+C279)/2</f>
        <v>0.04876708984375</v>
      </c>
      <c r="E279" s="15" t="n">
        <f aca="false">$C$2*(1+IF(E$3&lt;=$O$2,$D279,$D279-($D279-$I$265)*MIN(E$3-$O$2,$Q$2)/$Q$2))</f>
        <v>912.458831176758</v>
      </c>
      <c r="F279" s="15" t="n">
        <f aca="false">E279*(1+IF(F$3&lt;=$O$2,$D279,$D279-($D279-$I$265)*MIN(F$3-$O$2,$Q$2)/$Q$2))</f>
        <v>956.956792975478</v>
      </c>
      <c r="G279" s="15" t="n">
        <f aca="false">F279*(1+IF(G$3&lt;=$O$2,$D279,$D279-($D279-$I$265)*MIN(G$3-$O$2,$Q$2)/$Q$2))</f>
        <v>1003.6247908751</v>
      </c>
      <c r="H279" s="15" t="n">
        <f aca="false">G279*(1+IF(H$3&lt;=$O$2,$D279,$D279-($D279-$I$265)*MIN(H$3-$O$2,$Q$2)/$Q$2))</f>
        <v>1052.56865122112</v>
      </c>
      <c r="I279" s="15" t="n">
        <f aca="false">H279*(1+IF(I$3&lt;=$O$2,$D279,$D279-($D279-$I$265)*MIN(I$3-$O$2,$Q$2)/$Q$2))</f>
        <v>1103.89936120194</v>
      </c>
      <c r="J279" s="15" t="n">
        <f aca="false">I279*(1+IF(J$3&lt;=$O$2,$D279,$D279-($D279-$I$265)*MIN(J$3-$O$2,$Q$2)/$Q$2))</f>
        <v>1154.3184984085</v>
      </c>
      <c r="K279" s="15" t="n">
        <f aca="false">J279*(1+IF(K$3&lt;=$O$2,$D279,$D279-($D279-$I$265)*MIN(K$3-$O$2,$Q$2)/$Q$2))</f>
        <v>1203.46967315941</v>
      </c>
      <c r="L279" s="15" t="n">
        <f aca="false">K279*(1+IF(L$3&lt;=$O$2,$D279,$D279-($D279-$I$265)*MIN(L$3-$O$2,$Q$2)/$Q$2))</f>
        <v>1250.99088269921</v>
      </c>
      <c r="M279" s="15" t="n">
        <f aca="false">L279*(1+IF(M$3&lt;=$O$2,$D279,$D279-($D279-$I$265)*MIN(M$3-$O$2,$Q$2)/$Q$2))</f>
        <v>1296.51871676838</v>
      </c>
      <c r="N279" s="15" t="n">
        <f aca="false">M279*(1+IF(N$3&lt;=$O$2,$D279,$D279-($D279-$I$265)*MIN(N$3-$O$2,$Q$2)/$Q$2))</f>
        <v>1339.69279003677</v>
      </c>
      <c r="O279" s="15" t="n">
        <f aca="false">SUMPRODUCT(E279:N279,1/(1+$F$265)^$E$3:$N$3)*$E$2</f>
        <v>1705.26006589457</v>
      </c>
      <c r="P279" s="15" t="n">
        <f aca="false">N279*$E$2*(1+$I$265)/($F$265-$I$265)/(1+$F$265)^$N$3</f>
        <v>3915.58314499216</v>
      </c>
      <c r="Q279" s="15" t="n">
        <f aca="false">O279+P279</f>
        <v>5620.84321088673</v>
      </c>
      <c r="R279" s="15" t="n">
        <f aca="false">Q279-$G$2+$I$2</f>
        <v>5788.24321088673</v>
      </c>
      <c r="S279" s="42" t="n">
        <f aca="false">R279/$K$2</f>
        <v>164.485456404852</v>
      </c>
      <c r="T279" s="43" t="n">
        <f aca="false">S279-$M$2</f>
        <v>-0.0499229642872479</v>
      </c>
    </row>
    <row r="280" customFormat="false" ht="15" hidden="false" customHeight="false" outlineLevel="0" collapsed="false">
      <c r="A280" s="5" t="n">
        <v>14</v>
      </c>
      <c r="B280" s="25" t="n">
        <f aca="false">IF(T279&gt;0,B279,D279)</f>
        <v>0.04876708984375</v>
      </c>
      <c r="C280" s="25" t="n">
        <f aca="false">IF(T279&gt;0,D279,C279)</f>
        <v>0.0489501953125</v>
      </c>
      <c r="D280" s="41" t="n">
        <f aca="false">(B280+C280)/2</f>
        <v>0.048858642578125</v>
      </c>
      <c r="E280" s="15" t="n">
        <f aca="false">$C$2*(1+IF(E$3&lt;=$O$2,$D280,$D280-($D280-$I$265)*MIN(E$3-$O$2,$Q$2)/$Q$2))</f>
        <v>912.538484802246</v>
      </c>
      <c r="F280" s="15" t="n">
        <f aca="false">E280*(1+IF(F$3&lt;=$O$2,$D280,$D280-($D280-$I$265)*MIN(F$3-$O$2,$Q$2)/$Q$2))</f>
        <v>957.123876469983</v>
      </c>
      <c r="G280" s="15" t="n">
        <f aca="false">F280*(1+IF(G$3&lt;=$O$2,$D280,$D280-($D280-$I$265)*MIN(G$3-$O$2,$Q$2)/$Q$2))</f>
        <v>1003.88764985342</v>
      </c>
      <c r="H280" s="15" t="n">
        <f aca="false">G280*(1+IF(H$3&lt;=$O$2,$D280,$D280-($D280-$I$265)*MIN(H$3-$O$2,$Q$2)/$Q$2))</f>
        <v>1052.9362377262</v>
      </c>
      <c r="I280" s="15" t="n">
        <f aca="false">H280*(1+IF(I$3&lt;=$O$2,$D280,$D280-($D280-$I$265)*MIN(I$3-$O$2,$Q$2)/$Q$2))</f>
        <v>1104.38127302282</v>
      </c>
      <c r="J280" s="15" t="n">
        <f aca="false">I280*(1+IF(J$3&lt;=$O$2,$D280,$D280-($D280-$I$265)*MIN(J$3-$O$2,$Q$2)/$Q$2))</f>
        <v>1154.90330821203</v>
      </c>
      <c r="K280" s="15" t="n">
        <f aca="false">J280*(1+IF(K$3&lt;=$O$2,$D280,$D280-($D280-$I$265)*MIN(K$3-$O$2,$Q$2)/$Q$2))</f>
        <v>1204.14282504635</v>
      </c>
      <c r="L280" s="15" t="n">
        <f aca="false">K280*(1+IF(L$3&lt;=$O$2,$D280,$D280-($D280-$I$265)*MIN(L$3-$O$2,$Q$2)/$Q$2))</f>
        <v>1251.73471225156</v>
      </c>
      <c r="M280" s="15" t="n">
        <f aca="false">L280*(1+IF(M$3&lt;=$O$2,$D280,$D280-($D280-$I$265)*MIN(M$3-$O$2,$Q$2)/$Q$2))</f>
        <v>1297.31253676765</v>
      </c>
      <c r="N280" s="15" t="n">
        <f aca="false">M280*(1+IF(N$3&lt;=$O$2,$D280,$D280-($D280-$I$265)*MIN(N$3-$O$2,$Q$2)/$Q$2))</f>
        <v>1340.51304424201</v>
      </c>
      <c r="O280" s="15" t="n">
        <f aca="false">SUMPRODUCT(E280:N280,1/(1+$F$265)^$E$3:$N$3)*$E$2</f>
        <v>1705.95274305776</v>
      </c>
      <c r="P280" s="15" t="n">
        <f aca="false">N280*$E$2*(1+$I$265)/($F$265-$I$265)/(1+$F$265)^$N$3</f>
        <v>3917.98054054772</v>
      </c>
      <c r="Q280" s="15" t="n">
        <f aca="false">O280+P280</f>
        <v>5623.93328360548</v>
      </c>
      <c r="R280" s="15" t="n">
        <f aca="false">Q280-$G$2+$I$2</f>
        <v>5791.33328360548</v>
      </c>
      <c r="S280" s="42" t="n">
        <f aca="false">R280/$K$2</f>
        <v>164.57326750797</v>
      </c>
      <c r="T280" s="43" t="n">
        <f aca="false">S280-$M$2</f>
        <v>0.037888138831363</v>
      </c>
    </row>
    <row r="281" customFormat="false" ht="15" hidden="false" customHeight="false" outlineLevel="0" collapsed="false">
      <c r="A281" s="5" t="n">
        <v>15</v>
      </c>
      <c r="B281" s="25" t="n">
        <f aca="false">IF(T280&gt;0,B280,D280)</f>
        <v>0.04876708984375</v>
      </c>
      <c r="C281" s="25" t="n">
        <f aca="false">IF(T280&gt;0,D280,C280)</f>
        <v>0.048858642578125</v>
      </c>
      <c r="D281" s="41" t="n">
        <f aca="false">(B281+C281)/2</f>
        <v>0.0488128662109375</v>
      </c>
      <c r="E281" s="15" t="n">
        <f aca="false">$C$2*(1+IF(E$3&lt;=$O$2,$D281,$D281-($D281-$I$265)*MIN(E$3-$O$2,$Q$2)/$Q$2))</f>
        <v>912.498657989502</v>
      </c>
      <c r="F281" s="15" t="n">
        <f aca="false">E281*(1+IF(F$3&lt;=$O$2,$D281,$D281-($D281-$I$265)*MIN(F$3-$O$2,$Q$2)/$Q$2))</f>
        <v>957.040332899604</v>
      </c>
      <c r="G281" s="15" t="n">
        <f aca="false">F281*(1+IF(G$3&lt;=$O$2,$D281,$D281-($D281-$I$265)*MIN(G$3-$O$2,$Q$2)/$Q$2))</f>
        <v>1003.7562146279</v>
      </c>
      <c r="H281" s="15" t="n">
        <f aca="false">G281*(1+IF(H$3&lt;=$O$2,$D281,$D281-($D281-$I$265)*MIN(H$3-$O$2,$Q$2)/$Q$2))</f>
        <v>1052.75243244093</v>
      </c>
      <c r="I281" s="15" t="n">
        <f aca="false">H281*(1+IF(I$3&lt;=$O$2,$D281,$D281-($D281-$I$265)*MIN(I$3-$O$2,$Q$2)/$Q$2))</f>
        <v>1104.14029607891</v>
      </c>
      <c r="J281" s="15" t="n">
        <f aca="false">I281*(1+IF(J$3&lt;=$O$2,$D281,$D281-($D281-$I$265)*MIN(J$3-$O$2,$Q$2)/$Q$2))</f>
        <v>1154.61087249128</v>
      </c>
      <c r="K281" s="15" t="n">
        <f aca="false">J281*(1+IF(K$3&lt;=$O$2,$D281,$D281-($D281-$I$265)*MIN(K$3-$O$2,$Q$2)/$Q$2))</f>
        <v>1203.80620893963</v>
      </c>
      <c r="L281" s="15" t="n">
        <f aca="false">K281*(1+IF(L$3&lt;=$O$2,$D281,$D281-($D281-$I$265)*MIN(L$3-$O$2,$Q$2)/$Q$2))</f>
        <v>1251.36274956259</v>
      </c>
      <c r="M281" s="15" t="n">
        <f aca="false">L281*(1+IF(M$3&lt;=$O$2,$D281,$D281-($D281-$I$265)*MIN(M$3-$O$2,$Q$2)/$Q$2))</f>
        <v>1296.91557370609</v>
      </c>
      <c r="N281" s="15" t="n">
        <f aca="false">M281*(1+IF(N$3&lt;=$O$2,$D281,$D281-($D281-$I$265)*MIN(N$3-$O$2,$Q$2)/$Q$2))</f>
        <v>1340.1028623105</v>
      </c>
      <c r="O281" s="15" t="n">
        <f aca="false">SUMPRODUCT(E281:N281,1/(1+$F$265)^$E$3:$N$3)*$E$2</f>
        <v>1705.60636922155</v>
      </c>
      <c r="P281" s="15" t="n">
        <f aca="false">N281*$E$2*(1+$I$265)/($F$265-$I$265)/(1+$F$265)^$N$3</f>
        <v>3916.78168251897</v>
      </c>
      <c r="Q281" s="15" t="n">
        <f aca="false">O281+P281</f>
        <v>5622.38805174052</v>
      </c>
      <c r="R281" s="15" t="n">
        <f aca="false">Q281-$G$2+$I$2</f>
        <v>5789.78805174052</v>
      </c>
      <c r="S281" s="42" t="n">
        <f aca="false">R281/$K$2</f>
        <v>164.529356400697</v>
      </c>
      <c r="T281" s="43" t="n">
        <f aca="false">S281-$M$2</f>
        <v>-0.006022968442295</v>
      </c>
    </row>
    <row r="282" customFormat="false" ht="15" hidden="false" customHeight="false" outlineLevel="0" collapsed="false">
      <c r="A282" s="5" t="n">
        <v>16</v>
      </c>
      <c r="B282" s="25" t="n">
        <f aca="false">IF(T281&gt;0,B281,D281)</f>
        <v>0.0488128662109375</v>
      </c>
      <c r="C282" s="25" t="n">
        <f aca="false">IF(T281&gt;0,D281,C281)</f>
        <v>0.048858642578125</v>
      </c>
      <c r="D282" s="41" t="n">
        <f aca="false">(B282+C282)/2</f>
        <v>0.0488357543945313</v>
      </c>
      <c r="E282" s="15" t="n">
        <f aca="false">$C$2*(1+IF(E$3&lt;=$O$2,$D282,$D282-($D282-$I$265)*MIN(E$3-$O$2,$Q$2)/$Q$2))</f>
        <v>912.518571395874</v>
      </c>
      <c r="F282" s="15" t="n">
        <f aca="false">E282*(1+IF(F$3&lt;=$O$2,$D282,$D282-($D282-$I$265)*MIN(F$3-$O$2,$Q$2)/$Q$2))</f>
        <v>957.082104229011</v>
      </c>
      <c r="G282" s="15" t="n">
        <f aca="false">F282*(1+IF(G$3&lt;=$O$2,$D282,$D282-($D282-$I$265)*MIN(G$3-$O$2,$Q$2)/$Q$2))</f>
        <v>1003.82193080654</v>
      </c>
      <c r="H282" s="15" t="n">
        <f aca="false">G282*(1+IF(H$3&lt;=$O$2,$D282,$D282-($D282-$I$265)*MIN(H$3-$O$2,$Q$2)/$Q$2))</f>
        <v>1052.84433207525</v>
      </c>
      <c r="I282" s="15" t="n">
        <f aca="false">H282*(1+IF(I$3&lt;=$O$2,$D282,$D282-($D282-$I$265)*MIN(I$3-$O$2,$Q$2)/$Q$2))</f>
        <v>1104.26077929215</v>
      </c>
      <c r="J282" s="15" t="n">
        <f aca="false">I282*(1+IF(J$3&lt;=$O$2,$D282,$D282-($D282-$I$265)*MIN(J$3-$O$2,$Q$2)/$Q$2))</f>
        <v>1154.75708264626</v>
      </c>
      <c r="K282" s="15" t="n">
        <f aca="false">J282*(1+IF(K$3&lt;=$O$2,$D282,$D282-($D282-$I$265)*MIN(K$3-$O$2,$Q$2)/$Q$2))</f>
        <v>1203.97450695118</v>
      </c>
      <c r="L282" s="15" t="n">
        <f aca="false">K282*(1+IF(L$3&lt;=$O$2,$D282,$D282-($D282-$I$265)*MIN(L$3-$O$2,$Q$2)/$Q$2))</f>
        <v>1251.54871892757</v>
      </c>
      <c r="M282" s="15" t="n">
        <f aca="false">L282*(1+IF(M$3&lt;=$O$2,$D282,$D282-($D282-$I$265)*MIN(M$3-$O$2,$Q$2)/$Q$2))</f>
        <v>1297.11404196986</v>
      </c>
      <c r="N282" s="15" t="n">
        <f aca="false">M282*(1+IF(N$3&lt;=$O$2,$D282,$D282-($D282-$I$265)*MIN(N$3-$O$2,$Q$2)/$Q$2))</f>
        <v>1340.30793956746</v>
      </c>
      <c r="O282" s="15" t="n">
        <f aca="false">SUMPRODUCT(E282:N282,1/(1+$F$265)^$E$3:$N$3)*$E$2</f>
        <v>1705.77954732516</v>
      </c>
      <c r="P282" s="15" t="n">
        <f aca="false">N282*$E$2*(1+$I$265)/($F$265-$I$265)/(1+$F$265)^$N$3</f>
        <v>3917.38107146601</v>
      </c>
      <c r="Q282" s="15" t="n">
        <f aca="false">O282+P282</f>
        <v>5623.16061879117</v>
      </c>
      <c r="R282" s="15" t="n">
        <f aca="false">Q282-$G$2+$I$2</f>
        <v>5790.56061879117</v>
      </c>
      <c r="S282" s="42" t="n">
        <f aca="false">R282/$K$2</f>
        <v>164.551310565251</v>
      </c>
      <c r="T282" s="43" t="n">
        <f aca="false">S282-$M$2</f>
        <v>0.0159311961116373</v>
      </c>
    </row>
    <row r="283" customFormat="false" ht="15" hidden="false" customHeight="false" outlineLevel="0" collapsed="false">
      <c r="A283" s="5" t="n">
        <v>17</v>
      </c>
      <c r="B283" s="25" t="n">
        <f aca="false">IF(T282&gt;0,B282,D282)</f>
        <v>0.0488128662109375</v>
      </c>
      <c r="C283" s="25" t="n">
        <f aca="false">IF(T282&gt;0,D282,C282)</f>
        <v>0.0488357543945313</v>
      </c>
      <c r="D283" s="41" t="n">
        <f aca="false">(B283+C283)/2</f>
        <v>0.0488243103027344</v>
      </c>
      <c r="E283" s="15" t="n">
        <f aca="false">$C$2*(1+IF(E$3&lt;=$O$2,$D283,$D283-($D283-$I$265)*MIN(E$3-$O$2,$Q$2)/$Q$2))</f>
        <v>912.508614692688</v>
      </c>
      <c r="F283" s="15" t="n">
        <f aca="false">E283*(1+IF(F$3&lt;=$O$2,$D283,$D283-($D283-$I$265)*MIN(F$3-$O$2,$Q$2)/$Q$2))</f>
        <v>957.061218450362</v>
      </c>
      <c r="G283" s="15" t="n">
        <f aca="false">F283*(1+IF(G$3&lt;=$O$2,$D283,$D283-($D283-$I$265)*MIN(G$3-$O$2,$Q$2)/$Q$2))</f>
        <v>1003.7890723587</v>
      </c>
      <c r="H283" s="15" t="n">
        <f aca="false">G283*(1+IF(H$3&lt;=$O$2,$D283,$D283-($D283-$I$265)*MIN(H$3-$O$2,$Q$2)/$Q$2))</f>
        <v>1052.79838150603</v>
      </c>
      <c r="I283" s="15" t="n">
        <f aca="false">H283*(1+IF(I$3&lt;=$O$2,$D283,$D283-($D283-$I$265)*MIN(I$3-$O$2,$Q$2)/$Q$2))</f>
        <v>1104.2005363709</v>
      </c>
      <c r="J283" s="15" t="n">
        <f aca="false">I283*(1+IF(J$3&lt;=$O$2,$D283,$D283-($D283-$I$265)*MIN(J$3-$O$2,$Q$2)/$Q$2))</f>
        <v>1154.6839756425</v>
      </c>
      <c r="K283" s="15" t="n">
        <f aca="false">J283*(1+IF(K$3&lt;=$O$2,$D283,$D283-($D283-$I$265)*MIN(K$3-$O$2,$Q$2)/$Q$2))</f>
        <v>1203.89035543508</v>
      </c>
      <c r="L283" s="15" t="n">
        <f aca="false">K283*(1+IF(L$3&lt;=$O$2,$D283,$D283-($D283-$I$265)*MIN(L$3-$O$2,$Q$2)/$Q$2))</f>
        <v>1251.45573125036</v>
      </c>
      <c r="M283" s="15" t="n">
        <f aca="false">L283*(1+IF(M$3&lt;=$O$2,$D283,$D283-($D283-$I$265)*MIN(M$3-$O$2,$Q$2)/$Q$2))</f>
        <v>1297.01480452141</v>
      </c>
      <c r="N283" s="15" t="n">
        <f aca="false">M283*(1+IF(N$3&lt;=$O$2,$D283,$D283-($D283-$I$265)*MIN(N$3-$O$2,$Q$2)/$Q$2))</f>
        <v>1340.20539751198</v>
      </c>
      <c r="O283" s="15" t="n">
        <f aca="false">SUMPRODUCT(E283:N283,1/(1+$F$265)^$E$3:$N$3)*$E$2</f>
        <v>1705.69295606984</v>
      </c>
      <c r="P283" s="15" t="n">
        <f aca="false">N283*$E$2*(1+$I$265)/($F$265-$I$265)/(1+$F$265)^$N$3</f>
        <v>3917.08136697623</v>
      </c>
      <c r="Q283" s="15" t="n">
        <f aca="false">O283+P283</f>
        <v>5622.77432304606</v>
      </c>
      <c r="R283" s="15" t="n">
        <f aca="false">Q283-$G$2+$I$2</f>
        <v>5790.17432304606</v>
      </c>
      <c r="S283" s="42" t="n">
        <f aca="false">R283/$K$2</f>
        <v>164.540333135722</v>
      </c>
      <c r="T283" s="43" t="n">
        <f aca="false">S283-$M$2</f>
        <v>0.00495376658321334</v>
      </c>
    </row>
    <row r="284" customFormat="false" ht="15" hidden="false" customHeight="false" outlineLevel="0" collapsed="false">
      <c r="A284" s="5" t="n">
        <v>18</v>
      </c>
      <c r="B284" s="25" t="n">
        <f aca="false">IF(T283&gt;0,B283,D283)</f>
        <v>0.0488128662109375</v>
      </c>
      <c r="C284" s="25" t="n">
        <f aca="false">IF(T283&gt;0,D283,C283)</f>
        <v>0.0488243103027344</v>
      </c>
      <c r="D284" s="41" t="n">
        <f aca="false">(B284+C284)/2</f>
        <v>0.0488185882568359</v>
      </c>
      <c r="E284" s="15" t="n">
        <f aca="false">$C$2*(1+IF(E$3&lt;=$O$2,$D284,$D284-($D284-$I$265)*MIN(E$3-$O$2,$Q$2)/$Q$2))</f>
        <v>912.503636341095</v>
      </c>
      <c r="F284" s="15" t="n">
        <f aca="false">E284*(1+IF(F$3&lt;=$O$2,$D284,$D284-($D284-$I$265)*MIN(F$3-$O$2,$Q$2)/$Q$2))</f>
        <v>957.050775646497</v>
      </c>
      <c r="G284" s="15" t="n">
        <f aca="false">F284*(1+IF(G$3&lt;=$O$2,$D284,$D284-($D284-$I$265)*MIN(G$3-$O$2,$Q$2)/$Q$2))</f>
        <v>1003.77264340367</v>
      </c>
      <c r="H284" s="15" t="n">
        <f aca="false">G284*(1+IF(H$3&lt;=$O$2,$D284,$D284-($D284-$I$265)*MIN(H$3-$O$2,$Q$2)/$Q$2))</f>
        <v>1052.77540678547</v>
      </c>
      <c r="I284" s="15" t="n">
        <f aca="false">H284*(1+IF(I$3&lt;=$O$2,$D284,$D284-($D284-$I$265)*MIN(I$3-$O$2,$Q$2)/$Q$2))</f>
        <v>1104.17041589625</v>
      </c>
      <c r="J284" s="15" t="n">
        <f aca="false">I284*(1+IF(J$3&lt;=$O$2,$D284,$D284-($D284-$I$265)*MIN(J$3-$O$2,$Q$2)/$Q$2))</f>
        <v>1154.64742358533</v>
      </c>
      <c r="K284" s="15" t="n">
        <f aca="false">J284*(1+IF(K$3&lt;=$O$2,$D284,$D284-($D284-$I$265)*MIN(K$3-$O$2,$Q$2)/$Q$2))</f>
        <v>1203.84828155979</v>
      </c>
      <c r="L284" s="15" t="n">
        <f aca="false">K284*(1+IF(L$3&lt;=$O$2,$D284,$D284-($D284-$I$265)*MIN(L$3-$O$2,$Q$2)/$Q$2))</f>
        <v>1251.40923965782</v>
      </c>
      <c r="M284" s="15" t="n">
        <f aca="false">L284*(1+IF(M$3&lt;=$O$2,$D284,$D284-($D284-$I$265)*MIN(M$3-$O$2,$Q$2)/$Q$2))</f>
        <v>1296.96518828463</v>
      </c>
      <c r="N284" s="15" t="n">
        <f aca="false">M284*(1+IF(N$3&lt;=$O$2,$D284,$D284-($D284-$I$265)*MIN(N$3-$O$2,$Q$2)/$Q$2))</f>
        <v>1340.15412905451</v>
      </c>
      <c r="O284" s="15" t="n">
        <f aca="false">SUMPRODUCT(E284:N284,1/(1+$F$265)^$E$3:$N$3)*$E$2</f>
        <v>1705.64966209482</v>
      </c>
      <c r="P284" s="15" t="n">
        <f aca="false">N284*$E$2*(1+$I$265)/($F$265-$I$265)/(1+$F$265)^$N$3</f>
        <v>3916.93152224361</v>
      </c>
      <c r="Q284" s="15" t="n">
        <f aca="false">O284+P284</f>
        <v>5622.58118433843</v>
      </c>
      <c r="R284" s="15" t="n">
        <f aca="false">Q284-$G$2+$I$2</f>
        <v>5789.98118433843</v>
      </c>
      <c r="S284" s="42" t="n">
        <f aca="false">R284/$K$2</f>
        <v>164.534844681399</v>
      </c>
      <c r="T284" s="43" t="n">
        <f aca="false">S284-$M$2</f>
        <v>-0.000534687740014306</v>
      </c>
    </row>
    <row r="285" customFormat="false" ht="15" hidden="false" customHeight="false" outlineLevel="0" collapsed="false">
      <c r="A285" s="5" t="n">
        <v>19</v>
      </c>
      <c r="B285" s="25" t="n">
        <f aca="false">IF(T284&gt;0,B284,D284)</f>
        <v>0.0488185882568359</v>
      </c>
      <c r="C285" s="25" t="n">
        <f aca="false">IF(T284&gt;0,D284,C284)</f>
        <v>0.0488243103027344</v>
      </c>
      <c r="D285" s="41" t="n">
        <f aca="false">(B285+C285)/2</f>
        <v>0.0488214492797852</v>
      </c>
      <c r="E285" s="15" t="n">
        <f aca="false">$C$2*(1+IF(E$3&lt;=$O$2,$D285,$D285-($D285-$I$265)*MIN(E$3-$O$2,$Q$2)/$Q$2))</f>
        <v>912.506125516891</v>
      </c>
      <c r="F285" s="15" t="n">
        <f aca="false">E285*(1+IF(F$3&lt;=$O$2,$D285,$D285-($D285-$I$265)*MIN(F$3-$O$2,$Q$2)/$Q$2))</f>
        <v>957.055997041308</v>
      </c>
      <c r="G285" s="15" t="n">
        <f aca="false">F285*(1+IF(G$3&lt;=$O$2,$D285,$D285-($D285-$I$265)*MIN(G$3-$O$2,$Q$2)/$Q$2))</f>
        <v>1003.78085785877</v>
      </c>
      <c r="H285" s="15" t="n">
        <f aca="false">G285*(1+IF(H$3&lt;=$O$2,$D285,$D285-($D285-$I$265)*MIN(H$3-$O$2,$Q$2)/$Q$2))</f>
        <v>1052.78689409875</v>
      </c>
      <c r="I285" s="15" t="n">
        <f aca="false">H285*(1+IF(I$3&lt;=$O$2,$D285,$D285-($D285-$I$265)*MIN(I$3-$O$2,$Q$2)/$Q$2))</f>
        <v>1104.18547605141</v>
      </c>
      <c r="J285" s="15" t="n">
        <f aca="false">I285*(1+IF(J$3&lt;=$O$2,$D285,$D285-($D285-$I$265)*MIN(J$3-$O$2,$Q$2)/$Q$2))</f>
        <v>1154.66569949353</v>
      </c>
      <c r="K285" s="15" t="n">
        <f aca="false">J285*(1+IF(K$3&lt;=$O$2,$D285,$D285-($D285-$I$265)*MIN(K$3-$O$2,$Q$2)/$Q$2))</f>
        <v>1203.86931834054</v>
      </c>
      <c r="L285" s="15" t="n">
        <f aca="false">K285*(1+IF(L$3&lt;=$O$2,$D285,$D285-($D285-$I$265)*MIN(L$3-$O$2,$Q$2)/$Q$2))</f>
        <v>1251.43248526693</v>
      </c>
      <c r="M285" s="15" t="n">
        <f aca="false">L285*(1+IF(M$3&lt;=$O$2,$D285,$D285-($D285-$I$265)*MIN(M$3-$O$2,$Q$2)/$Q$2))</f>
        <v>1296.98999619574</v>
      </c>
      <c r="N285" s="15" t="n">
        <f aca="false">M285*(1+IF(N$3&lt;=$O$2,$D285,$D285-($D285-$I$265)*MIN(N$3-$O$2,$Q$2)/$Q$2))</f>
        <v>1340.17976306906</v>
      </c>
      <c r="O285" s="15" t="n">
        <f aca="false">SUMPRODUCT(E285:N285,1/(1+$F$265)^$E$3:$N$3)*$E$2</f>
        <v>1705.67130894461</v>
      </c>
      <c r="P285" s="15" t="n">
        <f aca="false">N285*$E$2*(1+$I$265)/($F$265-$I$265)/(1+$F$265)^$N$3</f>
        <v>3917.00644398391</v>
      </c>
      <c r="Q285" s="15" t="n">
        <f aca="false">O285+P285</f>
        <v>5622.67775292852</v>
      </c>
      <c r="R285" s="15" t="n">
        <f aca="false">Q285-$G$2+$I$2</f>
        <v>5790.07775292852</v>
      </c>
      <c r="S285" s="42" t="n">
        <f aca="false">R285/$K$2</f>
        <v>164.537588886858</v>
      </c>
      <c r="T285" s="43" t="n">
        <f aca="false">S285-$M$2</f>
        <v>0.00220951771871114</v>
      </c>
    </row>
    <row r="286" customFormat="false" ht="15" hidden="false" customHeight="false" outlineLevel="0" collapsed="false">
      <c r="A286" s="5" t="n">
        <v>20</v>
      </c>
      <c r="B286" s="25" t="n">
        <f aca="false">IF(T285&gt;0,B285,D285)</f>
        <v>0.0488185882568359</v>
      </c>
      <c r="C286" s="25" t="n">
        <f aca="false">IF(T285&gt;0,D285,C285)</f>
        <v>0.0488214492797852</v>
      </c>
      <c r="D286" s="41" t="n">
        <f aca="false">(B286+C286)/2</f>
        <v>0.0488200187683106</v>
      </c>
      <c r="E286" s="15" t="n">
        <f aca="false">$C$2*(1+IF(E$3&lt;=$O$2,$D286,$D286-($D286-$I$265)*MIN(E$3-$O$2,$Q$2)/$Q$2))</f>
        <v>912.504880928993</v>
      </c>
      <c r="F286" s="15" t="n">
        <f aca="false">E286*(1+IF(F$3&lt;=$O$2,$D286,$D286-($D286-$I$265)*MIN(F$3-$O$2,$Q$2)/$Q$2))</f>
        <v>957.053386342122</v>
      </c>
      <c r="G286" s="15" t="n">
        <f aca="false">F286*(1+IF(G$3&lt;=$O$2,$D286,$D286-($D286-$I$265)*MIN(G$3-$O$2,$Q$2)/$Q$2))</f>
        <v>1003.77675062562</v>
      </c>
      <c r="H286" s="15" t="n">
        <f aca="false">G286*(1+IF(H$3&lt;=$O$2,$D286,$D286-($D286-$I$265)*MIN(H$3-$O$2,$Q$2)/$Q$2))</f>
        <v>1052.78115043036</v>
      </c>
      <c r="I286" s="15" t="n">
        <f aca="false">H286*(1+IF(I$3&lt;=$O$2,$D286,$D286-($D286-$I$265)*MIN(I$3-$O$2,$Q$2)/$Q$2))</f>
        <v>1104.17794595329</v>
      </c>
      <c r="J286" s="15" t="n">
        <f aca="false">I286*(1+IF(J$3&lt;=$O$2,$D286,$D286-($D286-$I$265)*MIN(J$3-$O$2,$Q$2)/$Q$2))</f>
        <v>1154.65656150933</v>
      </c>
      <c r="K286" s="15" t="n">
        <f aca="false">J286*(1+IF(K$3&lt;=$O$2,$D286,$D286-($D286-$I$265)*MIN(K$3-$O$2,$Q$2)/$Q$2))</f>
        <v>1203.85879991094</v>
      </c>
      <c r="L286" s="15" t="n">
        <f aca="false">K286*(1+IF(L$3&lt;=$O$2,$D286,$D286-($D286-$I$265)*MIN(L$3-$O$2,$Q$2)/$Q$2))</f>
        <v>1251.42086241558</v>
      </c>
      <c r="M286" s="15" t="n">
        <f aca="false">L286*(1+IF(M$3&lt;=$O$2,$D286,$D286-($D286-$I$265)*MIN(M$3-$O$2,$Q$2)/$Q$2))</f>
        <v>1296.97759218837</v>
      </c>
      <c r="N286" s="15" t="n">
        <f aca="false">M286*(1+IF(N$3&lt;=$O$2,$D286,$D286-($D286-$I$265)*MIN(N$3-$O$2,$Q$2)/$Q$2))</f>
        <v>1340.16694600824</v>
      </c>
      <c r="O286" s="15" t="n">
        <f aca="false">SUMPRODUCT(E286:N286,1/(1+$F$265)^$E$3:$N$3)*$E$2</f>
        <v>1705.66048548529</v>
      </c>
      <c r="P286" s="15" t="n">
        <f aca="false">N286*$E$2*(1+$I$265)/($F$265-$I$265)/(1+$F$265)^$N$3</f>
        <v>3916.96898295726</v>
      </c>
      <c r="Q286" s="15" t="n">
        <f aca="false">O286+P286</f>
        <v>5622.62946844255</v>
      </c>
      <c r="R286" s="15" t="n">
        <f aca="false">Q286-$G$2+$I$2</f>
        <v>5790.02946844255</v>
      </c>
      <c r="S286" s="42" t="n">
        <f aca="false">R286/$K$2</f>
        <v>164.536216778703</v>
      </c>
      <c r="T286" s="43" t="n">
        <f aca="false">S286-$M$2</f>
        <v>0.00083740956370093</v>
      </c>
    </row>
    <row r="287" customFormat="false" ht="15" hidden="false" customHeight="false" outlineLevel="0" collapsed="false">
      <c r="A287" s="5" t="n">
        <v>21</v>
      </c>
      <c r="B287" s="25" t="n">
        <f aca="false">IF(T286&gt;0,B286,D286)</f>
        <v>0.0488185882568359</v>
      </c>
      <c r="C287" s="25" t="n">
        <f aca="false">IF(T286&gt;0,D286,C286)</f>
        <v>0.0488200187683106</v>
      </c>
      <c r="D287" s="41" t="n">
        <f aca="false">(B287+C287)/2</f>
        <v>0.0488193035125732</v>
      </c>
      <c r="E287" s="15" t="n">
        <f aca="false">$C$2*(1+IF(E$3&lt;=$O$2,$D287,$D287-($D287-$I$265)*MIN(E$3-$O$2,$Q$2)/$Q$2))</f>
        <v>912.504258635044</v>
      </c>
      <c r="F287" s="15" t="n">
        <f aca="false">E287*(1+IF(F$3&lt;=$O$2,$D287,$D287-($D287-$I$265)*MIN(F$3-$O$2,$Q$2)/$Q$2))</f>
        <v>957.052080993864</v>
      </c>
      <c r="G287" s="15" t="n">
        <f aca="false">F287*(1+IF(G$3&lt;=$O$2,$D287,$D287-($D287-$I$265)*MIN(G$3-$O$2,$Q$2)/$Q$2))</f>
        <v>1003.77469701324</v>
      </c>
      <c r="H287" s="15" t="n">
        <f aca="false">G287*(1+IF(H$3&lt;=$O$2,$D287,$D287-($D287-$I$265)*MIN(H$3-$O$2,$Q$2)/$Q$2))</f>
        <v>1052.77827860497</v>
      </c>
      <c r="I287" s="15" t="n">
        <f aca="false">H287*(1+IF(I$3&lt;=$O$2,$D287,$D287-($D287-$I$265)*MIN(I$3-$O$2,$Q$2)/$Q$2))</f>
        <v>1104.17418091963</v>
      </c>
      <c r="J287" s="15" t="n">
        <f aca="false">I287*(1+IF(J$3&lt;=$O$2,$D287,$D287-($D287-$I$265)*MIN(J$3-$O$2,$Q$2)/$Q$2))</f>
        <v>1154.65199253981</v>
      </c>
      <c r="K287" s="15" t="n">
        <f aca="false">J287*(1+IF(K$3&lt;=$O$2,$D287,$D287-($D287-$I$265)*MIN(K$3-$O$2,$Q$2)/$Q$2))</f>
        <v>1203.85354072556</v>
      </c>
      <c r="L287" s="15" t="n">
        <f aca="false">K287*(1+IF(L$3&lt;=$O$2,$D287,$D287-($D287-$I$265)*MIN(L$3-$O$2,$Q$2)/$Q$2))</f>
        <v>1251.415051025</v>
      </c>
      <c r="M287" s="15" t="n">
        <f aca="false">L287*(1+IF(M$3&lt;=$O$2,$D287,$D287-($D287-$I$265)*MIN(M$3-$O$2,$Q$2)/$Q$2))</f>
        <v>1296.97139022355</v>
      </c>
      <c r="N287" s="15" t="n">
        <f aca="false">M287*(1+IF(N$3&lt;=$O$2,$D287,$D287-($D287-$I$265)*MIN(N$3-$O$2,$Q$2)/$Q$2))</f>
        <v>1340.16053751799</v>
      </c>
      <c r="O287" s="15" t="n">
        <f aca="false">SUMPRODUCT(E287:N287,1/(1+$F$265)^$E$3:$N$3)*$E$2</f>
        <v>1705.65507378145</v>
      </c>
      <c r="P287" s="15" t="n">
        <f aca="false">N287*$E$2*(1+$I$265)/($F$265-$I$265)/(1+$F$265)^$N$3</f>
        <v>3916.95025256131</v>
      </c>
      <c r="Q287" s="15" t="n">
        <f aca="false">O287+P287</f>
        <v>5622.60532634276</v>
      </c>
      <c r="R287" s="15" t="n">
        <f aca="false">Q287-$G$2+$I$2</f>
        <v>5790.00532634276</v>
      </c>
      <c r="S287" s="42" t="n">
        <f aca="false">R287/$K$2</f>
        <v>164.535530728694</v>
      </c>
      <c r="T287" s="43" t="n">
        <f aca="false">S287-$M$2</f>
        <v>0.000151359555388808</v>
      </c>
    </row>
    <row r="288" customFormat="false" ht="15" hidden="false" customHeight="false" outlineLevel="0" collapsed="false">
      <c r="A288" s="5" t="n">
        <v>22</v>
      </c>
      <c r="B288" s="25" t="n">
        <f aca="false">IF(T287&gt;0,B287,D287)</f>
        <v>0.0488185882568359</v>
      </c>
      <c r="C288" s="25" t="n">
        <f aca="false">IF(T287&gt;0,D287,C287)</f>
        <v>0.0488193035125732</v>
      </c>
      <c r="D288" s="41" t="n">
        <f aca="false">(B288+C288)/2</f>
        <v>0.0488189458847046</v>
      </c>
      <c r="E288" s="15" t="n">
        <f aca="false">$C$2*(1+IF(E$3&lt;=$O$2,$D288,$D288-($D288-$I$265)*MIN(E$3-$O$2,$Q$2)/$Q$2))</f>
        <v>912.50394748807</v>
      </c>
      <c r="F288" s="15" t="n">
        <f aca="false">E288*(1+IF(F$3&lt;=$O$2,$D288,$D288-($D288-$I$265)*MIN(F$3-$O$2,$Q$2)/$Q$2))</f>
        <v>957.051428320069</v>
      </c>
      <c r="G288" s="15" t="n">
        <f aca="false">F288*(1+IF(G$3&lt;=$O$2,$D288,$D288-($D288-$I$265)*MIN(G$3-$O$2,$Q$2)/$Q$2))</f>
        <v>1003.77367020811</v>
      </c>
      <c r="H288" s="15" t="n">
        <f aca="false">G288*(1+IF(H$3&lt;=$O$2,$D288,$D288-($D288-$I$265)*MIN(H$3-$O$2,$Q$2)/$Q$2))</f>
        <v>1052.77684269449</v>
      </c>
      <c r="I288" s="15" t="n">
        <f aca="false">H288*(1+IF(I$3&lt;=$O$2,$D288,$D288-($D288-$I$265)*MIN(I$3-$O$2,$Q$2)/$Q$2))</f>
        <v>1104.17229840666</v>
      </c>
      <c r="J288" s="15" t="n">
        <f aca="false">I288*(1+IF(J$3&lt;=$O$2,$D288,$D288-($D288-$I$265)*MIN(J$3-$O$2,$Q$2)/$Q$2))</f>
        <v>1154.64970806069</v>
      </c>
      <c r="K288" s="15" t="n">
        <f aca="false">J288*(1+IF(K$3&lt;=$O$2,$D288,$D288-($D288-$I$265)*MIN(K$3-$O$2,$Q$2)/$Q$2))</f>
        <v>1203.85091114022</v>
      </c>
      <c r="L288" s="15" t="n">
        <f aca="false">K288*(1+IF(L$3&lt;=$O$2,$D288,$D288-($D288-$I$265)*MIN(L$3-$O$2,$Q$2)/$Q$2))</f>
        <v>1251.41214533849</v>
      </c>
      <c r="M288" s="15" t="n">
        <f aca="false">L288*(1+IF(M$3&lt;=$O$2,$D288,$D288-($D288-$I$265)*MIN(M$3-$O$2,$Q$2)/$Q$2))</f>
        <v>1296.96828925085</v>
      </c>
      <c r="N288" s="15" t="n">
        <f aca="false">M288*(1+IF(N$3&lt;=$O$2,$D288,$D288-($D288-$I$265)*MIN(N$3-$O$2,$Q$2)/$Q$2))</f>
        <v>1340.15733328291</v>
      </c>
      <c r="O288" s="15" t="n">
        <f aca="false">SUMPRODUCT(E288:N288,1/(1+$F$265)^$E$3:$N$3)*$E$2</f>
        <v>1705.65236793599</v>
      </c>
      <c r="P288" s="15" t="n">
        <f aca="false">N288*$E$2*(1+$I$265)/($F$265-$I$265)/(1+$F$265)^$N$3</f>
        <v>3916.94088739267</v>
      </c>
      <c r="Q288" s="15" t="n">
        <f aca="false">O288+P288</f>
        <v>5622.59325532866</v>
      </c>
      <c r="R288" s="15" t="n">
        <f aca="false">Q288-$G$2+$I$2</f>
        <v>5789.99325532866</v>
      </c>
      <c r="S288" s="42" t="n">
        <f aca="false">R288/$K$2</f>
        <v>164.535187704708</v>
      </c>
      <c r="T288" s="43" t="n">
        <f aca="false">S288-$M$2</f>
        <v>-0.000191664431440586</v>
      </c>
    </row>
    <row r="289" customFormat="false" ht="15" hidden="false" customHeight="false" outlineLevel="0" collapsed="false">
      <c r="A289" s="5" t="n">
        <v>23</v>
      </c>
      <c r="B289" s="25" t="n">
        <f aca="false">IF(T288&gt;0,B288,D288)</f>
        <v>0.0488189458847046</v>
      </c>
      <c r="C289" s="25" t="n">
        <f aca="false">IF(T288&gt;0,D288,C288)</f>
        <v>0.0488193035125732</v>
      </c>
      <c r="D289" s="41" t="n">
        <f aca="false">(B289+C289)/2</f>
        <v>0.0488191246986389</v>
      </c>
      <c r="E289" s="15" t="n">
        <f aca="false">$C$2*(1+IF(E$3&lt;=$O$2,$D289,$D289-($D289-$I$265)*MIN(E$3-$O$2,$Q$2)/$Q$2))</f>
        <v>912.504103061557</v>
      </c>
      <c r="F289" s="15" t="n">
        <f aca="false">E289*(1+IF(F$3&lt;=$O$2,$D289,$D289-($D289-$I$265)*MIN(F$3-$O$2,$Q$2)/$Q$2))</f>
        <v>957.051754656939</v>
      </c>
      <c r="G289" s="15" t="n">
        <f aca="false">F289*(1+IF(G$3&lt;=$O$2,$D289,$D289-($D289-$I$265)*MIN(G$3-$O$2,$Q$2)/$Q$2))</f>
        <v>1003.77418361059</v>
      </c>
      <c r="H289" s="15" t="n">
        <f aca="false">G289*(1+IF(H$3&lt;=$O$2,$D289,$D289-($D289-$I$265)*MIN(H$3-$O$2,$Q$2)/$Q$2))</f>
        <v>1052.77756064955</v>
      </c>
      <c r="I289" s="15" t="n">
        <f aca="false">H289*(1+IF(I$3&lt;=$O$2,$D289,$D289-($D289-$I$265)*MIN(I$3-$O$2,$Q$2)/$Q$2))</f>
        <v>1104.17323966283</v>
      </c>
      <c r="J289" s="15" t="n">
        <f aca="false">I289*(1+IF(J$3&lt;=$O$2,$D289,$D289-($D289-$I$265)*MIN(J$3-$O$2,$Q$2)/$Q$2))</f>
        <v>1154.65085029978</v>
      </c>
      <c r="K289" s="15" t="n">
        <f aca="false">J289*(1+IF(K$3&lt;=$O$2,$D289,$D289-($D289-$I$265)*MIN(K$3-$O$2,$Q$2)/$Q$2))</f>
        <v>1203.85222593228</v>
      </c>
      <c r="L289" s="15" t="n">
        <f aca="false">K289*(1+IF(L$3&lt;=$O$2,$D289,$D289-($D289-$I$265)*MIN(L$3-$O$2,$Q$2)/$Q$2))</f>
        <v>1251.41359818101</v>
      </c>
      <c r="M289" s="15" t="n">
        <f aca="false">L289*(1+IF(M$3&lt;=$O$2,$D289,$D289-($D289-$I$265)*MIN(M$3-$O$2,$Q$2)/$Q$2))</f>
        <v>1296.96983973639</v>
      </c>
      <c r="N289" s="15" t="n">
        <f aca="false">M289*(1+IF(N$3&lt;=$O$2,$D289,$D289-($D289-$I$265)*MIN(N$3-$O$2,$Q$2)/$Q$2))</f>
        <v>1340.15893539961</v>
      </c>
      <c r="O289" s="15" t="n">
        <f aca="false">SUMPRODUCT(E289:N289,1/(1+$F$265)^$E$3:$N$3)*$E$2</f>
        <v>1705.65372085818</v>
      </c>
      <c r="P289" s="15" t="n">
        <f aca="false">N289*$E$2*(1+$I$265)/($F$265-$I$265)/(1+$F$265)^$N$3</f>
        <v>3916.94556997454</v>
      </c>
      <c r="Q289" s="15" t="n">
        <f aca="false">O289+P289</f>
        <v>5622.59929083272</v>
      </c>
      <c r="R289" s="15" t="n">
        <f aca="false">Q289-$G$2+$I$2</f>
        <v>5789.99929083272</v>
      </c>
      <c r="S289" s="42" t="n">
        <f aca="false">R289/$K$2</f>
        <v>164.535359216616</v>
      </c>
      <c r="T289" s="43" t="n">
        <f aca="false">S289-$M$2</f>
        <v>-2.01525228078481E-005</v>
      </c>
    </row>
    <row r="290" customFormat="false" ht="15" hidden="false" customHeight="false" outlineLevel="0" collapsed="false">
      <c r="A290" s="5" t="n">
        <v>24</v>
      </c>
      <c r="B290" s="25" t="n">
        <f aca="false">IF(T289&gt;0,B289,D289)</f>
        <v>0.0488191246986389</v>
      </c>
      <c r="C290" s="25" t="n">
        <f aca="false">IF(T289&gt;0,D289,C289)</f>
        <v>0.0488193035125732</v>
      </c>
      <c r="D290" s="41" t="n">
        <f aca="false">(B290+C290)/2</f>
        <v>0.0488192141056061</v>
      </c>
      <c r="E290" s="15" t="n">
        <f aca="false">$C$2*(1+IF(E$3&lt;=$O$2,$D290,$D290-($D290-$I$265)*MIN(E$3-$O$2,$Q$2)/$Q$2))</f>
        <v>912.5041808483</v>
      </c>
      <c r="F290" s="15" t="n">
        <f aca="false">E290*(1+IF(F$3&lt;=$O$2,$D290,$D290-($D290-$I$265)*MIN(F$3-$O$2,$Q$2)/$Q$2))</f>
        <v>957.051917825394</v>
      </c>
      <c r="G290" s="15" t="n">
        <f aca="false">F290*(1+IF(G$3&lt;=$O$2,$D290,$D290-($D290-$I$265)*MIN(G$3-$O$2,$Q$2)/$Q$2))</f>
        <v>1003.77444031189</v>
      </c>
      <c r="H290" s="15" t="n">
        <f aca="false">G290*(1+IF(H$3&lt;=$O$2,$D290,$D290-($D290-$I$265)*MIN(H$3-$O$2,$Q$2)/$Q$2))</f>
        <v>1052.77791962721</v>
      </c>
      <c r="I290" s="15" t="n">
        <f aca="false">H290*(1+IF(I$3&lt;=$O$2,$D290,$D290-($D290-$I$265)*MIN(I$3-$O$2,$Q$2)/$Q$2))</f>
        <v>1104.17371029115</v>
      </c>
      <c r="J290" s="15" t="n">
        <f aca="false">I290*(1+IF(J$3&lt;=$O$2,$D290,$D290-($D290-$I$265)*MIN(J$3-$O$2,$Q$2)/$Q$2))</f>
        <v>1154.65142141968</v>
      </c>
      <c r="K290" s="15" t="n">
        <f aca="false">J290*(1+IF(K$3&lt;=$O$2,$D290,$D290-($D290-$I$265)*MIN(K$3-$O$2,$Q$2)/$Q$2))</f>
        <v>1203.85288332876</v>
      </c>
      <c r="L290" s="15" t="n">
        <f aca="false">K290*(1+IF(L$3&lt;=$O$2,$D290,$D290-($D290-$I$265)*MIN(L$3-$O$2,$Q$2)/$Q$2))</f>
        <v>1251.41432460283</v>
      </c>
      <c r="M290" s="15" t="n">
        <f aca="false">L290*(1+IF(M$3&lt;=$O$2,$D290,$D290-($D290-$I$265)*MIN(M$3-$O$2,$Q$2)/$Q$2))</f>
        <v>1296.97061497977</v>
      </c>
      <c r="N290" s="15" t="n">
        <f aca="false">M290*(1+IF(N$3&lt;=$O$2,$D290,$D290-($D290-$I$265)*MIN(N$3-$O$2,$Q$2)/$Q$2))</f>
        <v>1340.15973645859</v>
      </c>
      <c r="O290" s="15" t="n">
        <f aca="false">SUMPRODUCT(E290:N290,1/(1+$F$265)^$E$3:$N$3)*$E$2</f>
        <v>1705.65439731968</v>
      </c>
      <c r="P290" s="15" t="n">
        <f aca="false">N290*$E$2*(1+$I$265)/($F$265-$I$265)/(1+$F$265)^$N$3</f>
        <v>3916.94791126732</v>
      </c>
      <c r="Q290" s="15" t="n">
        <f aca="false">O290+P290</f>
        <v>5622.602308587</v>
      </c>
      <c r="R290" s="15" t="n">
        <f aca="false">Q290-$G$2+$I$2</f>
        <v>5790.002308587</v>
      </c>
      <c r="S290" s="42" t="n">
        <f aca="false">R290/$K$2</f>
        <v>164.535444972634</v>
      </c>
      <c r="T290" s="43" t="n">
        <f aca="false">S290-$M$2</f>
        <v>6.56034951305173E-005</v>
      </c>
    </row>
    <row r="292" customFormat="false" ht="15" hidden="false" customHeight="false" outlineLevel="0" collapsed="false">
      <c r="A292" s="38" t="s">
        <v>197</v>
      </c>
      <c r="E292" s="5" t="s">
        <v>12</v>
      </c>
      <c r="F292" s="12" t="n">
        <f aca="false">Sensitivity!$B$11</f>
        <v>0.0725075820986394</v>
      </c>
      <c r="G292" s="5" t="s">
        <v>13</v>
      </c>
      <c r="I292" s="12" t="n">
        <f aca="false">Sensitivity!$G$9</f>
        <v>0.0383</v>
      </c>
    </row>
    <row r="293" customFormat="false" ht="23.85" hidden="false" customHeight="false" outlineLevel="0" collapsed="false">
      <c r="A293" s="38" t="s">
        <v>168</v>
      </c>
      <c r="B293" s="28" t="s">
        <v>169</v>
      </c>
      <c r="C293" s="28" t="s">
        <v>170</v>
      </c>
      <c r="D293" s="28" t="s">
        <v>171</v>
      </c>
      <c r="E293" s="28" t="s">
        <v>172</v>
      </c>
      <c r="F293" s="28" t="s">
        <v>173</v>
      </c>
      <c r="G293" s="28" t="s">
        <v>174</v>
      </c>
      <c r="H293" s="28" t="s">
        <v>175</v>
      </c>
      <c r="I293" s="28" t="s">
        <v>176</v>
      </c>
      <c r="J293" s="28" t="s">
        <v>177</v>
      </c>
      <c r="K293" s="28" t="s">
        <v>178</v>
      </c>
      <c r="L293" s="28" t="s">
        <v>179</v>
      </c>
      <c r="M293" s="28" t="s">
        <v>180</v>
      </c>
      <c r="N293" s="28" t="s">
        <v>181</v>
      </c>
      <c r="O293" s="28" t="s">
        <v>182</v>
      </c>
      <c r="P293" s="28" t="s">
        <v>183</v>
      </c>
      <c r="Q293" s="28" t="s">
        <v>184</v>
      </c>
      <c r="R293" s="28" t="s">
        <v>185</v>
      </c>
      <c r="S293" s="28" t="s">
        <v>186</v>
      </c>
      <c r="T293" s="28" t="s">
        <v>187</v>
      </c>
    </row>
    <row r="294" customFormat="false" ht="15" hidden="false" customHeight="false" outlineLevel="0" collapsed="false">
      <c r="A294" s="5" t="n">
        <v>1</v>
      </c>
      <c r="B294" s="24" t="n">
        <v>-0.5</v>
      </c>
      <c r="C294" s="24" t="n">
        <v>1</v>
      </c>
      <c r="D294" s="41" t="n">
        <f aca="false">(B294+C294)/2</f>
        <v>0.25</v>
      </c>
      <c r="E294" s="15" t="n">
        <f aca="false">$C$2*(1+IF(E$3&lt;=$O$2,$D294,$D294-($D294-$I$292)*MIN(E$3-$O$2,$Q$2)/$Q$2))</f>
        <v>1087.5375</v>
      </c>
      <c r="F294" s="15" t="n">
        <f aca="false">E294*(1+IF(F$3&lt;=$O$2,$D294,$D294-($D294-$I$292)*MIN(F$3-$O$2,$Q$2)/$Q$2))</f>
        <v>1359.421875</v>
      </c>
      <c r="G294" s="15" t="n">
        <f aca="false">F294*(1+IF(G$3&lt;=$O$2,$D294,$D294-($D294-$I$292)*MIN(G$3-$O$2,$Q$2)/$Q$2))</f>
        <v>1699.27734375</v>
      </c>
      <c r="H294" s="15" t="n">
        <f aca="false">G294*(1+IF(H$3&lt;=$O$2,$D294,$D294-($D294-$I$292)*MIN(H$3-$O$2,$Q$2)/$Q$2))</f>
        <v>2124.0966796875</v>
      </c>
      <c r="I294" s="15" t="n">
        <f aca="false">H294*(1+IF(I$3&lt;=$O$2,$D294,$D294-($D294-$I$292)*MIN(I$3-$O$2,$Q$2)/$Q$2))</f>
        <v>2655.12084960938</v>
      </c>
      <c r="J294" s="15" t="n">
        <f aca="false">I294*(1+IF(J$3&lt;=$O$2,$D294,$D294-($D294-$I$292)*MIN(J$3-$O$2,$Q$2)/$Q$2))</f>
        <v>3206.48324523926</v>
      </c>
      <c r="K294" s="15" t="n">
        <f aca="false">J294*(1+IF(K$3&lt;=$O$2,$D294,$D294-($D294-$I$292)*MIN(K$3-$O$2,$Q$2)/$Q$2))</f>
        <v>3736.57905534221</v>
      </c>
      <c r="L294" s="15" t="n">
        <f aca="false">K294*(1+IF(L$3&lt;=$O$2,$D294,$D294-($D294-$I$292)*MIN(L$3-$O$2,$Q$2)/$Q$2))</f>
        <v>4196.1035475682</v>
      </c>
      <c r="M294" s="15" t="n">
        <f aca="false">L294*(1+IF(M$3&lt;=$O$2,$D294,$D294-($D294-$I$292)*MIN(M$3-$O$2,$Q$2)/$Q$2))</f>
        <v>4534.4773376441</v>
      </c>
      <c r="N294" s="15" t="n">
        <f aca="false">M294*(1+IF(N$3&lt;=$O$2,$D294,$D294-($D294-$I$292)*MIN(N$3-$O$2,$Q$2)/$Q$2))</f>
        <v>4708.14781967587</v>
      </c>
      <c r="O294" s="15" t="n">
        <f aca="false">SUMPRODUCT(E294:N294,1/(1+$F$292)^$E$3:$N$3)*$E$2</f>
        <v>4152.85434924932</v>
      </c>
      <c r="P294" s="15" t="n">
        <f aca="false">N294*$E$2*(1+$I$292)/($F$292-$I$292)/(1+$F$292)^$N$3</f>
        <v>15848.4001217997</v>
      </c>
      <c r="Q294" s="15" t="n">
        <f aca="false">O294+P294</f>
        <v>20001.254471049</v>
      </c>
      <c r="R294" s="15" t="n">
        <f aca="false">Q294-$G$2+$I$2</f>
        <v>20168.654471049</v>
      </c>
      <c r="S294" s="42" t="n">
        <f aca="false">R294/$K$2</f>
        <v>573.135961098296</v>
      </c>
      <c r="T294" s="43" t="n">
        <f aca="false">S294-$M$2</f>
        <v>408.600581729157</v>
      </c>
    </row>
    <row r="295" customFormat="false" ht="15" hidden="false" customHeight="false" outlineLevel="0" collapsed="false">
      <c r="A295" s="5" t="n">
        <v>2</v>
      </c>
      <c r="B295" s="25" t="n">
        <f aca="false">IF(T294&gt;0,B294,D294)</f>
        <v>-0.5</v>
      </c>
      <c r="C295" s="25" t="n">
        <f aca="false">IF(T294&gt;0,D294,C294)</f>
        <v>0.25</v>
      </c>
      <c r="D295" s="41" t="n">
        <f aca="false">(B295+C295)/2</f>
        <v>-0.125</v>
      </c>
      <c r="E295" s="15" t="n">
        <f aca="false">$C$2*(1+IF(E$3&lt;=$O$2,$D295,$D295-($D295-$I$292)*MIN(E$3-$O$2,$Q$2)/$Q$2))</f>
        <v>761.27625</v>
      </c>
      <c r="F295" s="15" t="n">
        <f aca="false">E295*(1+IF(F$3&lt;=$O$2,$D295,$D295-($D295-$I$292)*MIN(F$3-$O$2,$Q$2)/$Q$2))</f>
        <v>666.11671875</v>
      </c>
      <c r="G295" s="15" t="n">
        <f aca="false">F295*(1+IF(G$3&lt;=$O$2,$D295,$D295-($D295-$I$292)*MIN(G$3-$O$2,$Q$2)/$Q$2))</f>
        <v>582.85212890625</v>
      </c>
      <c r="H295" s="15" t="n">
        <f aca="false">G295*(1+IF(H$3&lt;=$O$2,$D295,$D295-($D295-$I$292)*MIN(H$3-$O$2,$Q$2)/$Q$2))</f>
        <v>509.995612792969</v>
      </c>
      <c r="I295" s="15" t="n">
        <f aca="false">H295*(1+IF(I$3&lt;=$O$2,$D295,$D295-($D295-$I$292)*MIN(I$3-$O$2,$Q$2)/$Q$2))</f>
        <v>446.246161193848</v>
      </c>
      <c r="J295" s="15" t="n">
        <f aca="false">I295*(1+IF(J$3&lt;=$O$2,$D295,$D295-($D295-$I$292)*MIN(J$3-$O$2,$Q$2)/$Q$2))</f>
        <v>405.039790669208</v>
      </c>
      <c r="K295" s="15" t="n">
        <f aca="false">J295*(1+IF(K$3&lt;=$O$2,$D295,$D295-($D295-$I$292)*MIN(K$3-$O$2,$Q$2)/$Q$2))</f>
        <v>380.86701596207</v>
      </c>
      <c r="L295" s="15" t="n">
        <f aca="false">K295*(1+IF(L$3&lt;=$O$2,$D295,$D295-($D295-$I$292)*MIN(L$3-$O$2,$Q$2)/$Q$2))</f>
        <v>370.575989190774</v>
      </c>
      <c r="M295" s="15" t="n">
        <f aca="false">L295*(1+IF(M$3&lt;=$O$2,$D295,$D295-($D295-$I$292)*MIN(M$3-$O$2,$Q$2)/$Q$2))</f>
        <v>372.66603776981</v>
      </c>
      <c r="N295" s="15" t="n">
        <f aca="false">M295*(1+IF(N$3&lt;=$O$2,$D295,$D295-($D295-$I$292)*MIN(N$3-$O$2,$Q$2)/$Q$2))</f>
        <v>386.939147016394</v>
      </c>
      <c r="O295" s="15" t="n">
        <f aca="false">SUMPRODUCT(E295:N295,1/(1+$F$292)^$E$3:$N$3)*$E$2</f>
        <v>795.717279416179</v>
      </c>
      <c r="P295" s="15" t="n">
        <f aca="false">N295*$E$2*(1+$I$292)/($F$292-$I$292)/(1+$F$292)^$N$3</f>
        <v>1302.50082613716</v>
      </c>
      <c r="Q295" s="15" t="n">
        <f aca="false">O295+P295</f>
        <v>2098.21810555334</v>
      </c>
      <c r="R295" s="15" t="n">
        <f aca="false">Q295-$G$2+$I$2</f>
        <v>2265.61810555334</v>
      </c>
      <c r="S295" s="42" t="n">
        <f aca="false">R295/$K$2</f>
        <v>64.382441192195</v>
      </c>
      <c r="T295" s="43" t="n">
        <f aca="false">S295-$M$2</f>
        <v>-100.152938176944</v>
      </c>
    </row>
    <row r="296" customFormat="false" ht="15" hidden="false" customHeight="false" outlineLevel="0" collapsed="false">
      <c r="A296" s="5" t="n">
        <v>3</v>
      </c>
      <c r="B296" s="25" t="n">
        <f aca="false">IF(T295&gt;0,B295,D295)</f>
        <v>-0.125</v>
      </c>
      <c r="C296" s="25" t="n">
        <f aca="false">IF(T295&gt;0,D295,C295)</f>
        <v>0.25</v>
      </c>
      <c r="D296" s="41" t="n">
        <f aca="false">(B296+C296)/2</f>
        <v>0.0625</v>
      </c>
      <c r="E296" s="15" t="n">
        <f aca="false">$C$2*(1+IF(E$3&lt;=$O$2,$D296,$D296-($D296-$I$292)*MIN(E$3-$O$2,$Q$2)/$Q$2))</f>
        <v>924.406875</v>
      </c>
      <c r="F296" s="15" t="n">
        <f aca="false">E296*(1+IF(F$3&lt;=$O$2,$D296,$D296-($D296-$I$292)*MIN(F$3-$O$2,$Q$2)/$Q$2))</f>
        <v>982.1823046875</v>
      </c>
      <c r="G296" s="15" t="n">
        <f aca="false">F296*(1+IF(G$3&lt;=$O$2,$D296,$D296-($D296-$I$292)*MIN(G$3-$O$2,$Q$2)/$Q$2))</f>
        <v>1043.56869873047</v>
      </c>
      <c r="H296" s="15" t="n">
        <f aca="false">G296*(1+IF(H$3&lt;=$O$2,$D296,$D296-($D296-$I$292)*MIN(H$3-$O$2,$Q$2)/$Q$2))</f>
        <v>1108.79174240112</v>
      </c>
      <c r="I296" s="15" t="n">
        <f aca="false">H296*(1+IF(I$3&lt;=$O$2,$D296,$D296-($D296-$I$292)*MIN(I$3-$O$2,$Q$2)/$Q$2))</f>
        <v>1178.09122630119</v>
      </c>
      <c r="J296" s="15" t="n">
        <f aca="false">I296*(1+IF(J$3&lt;=$O$2,$D296,$D296-($D296-$I$292)*MIN(J$3-$O$2,$Q$2)/$Q$2))</f>
        <v>1246.01996640972</v>
      </c>
      <c r="K296" s="15" t="n">
        <f aca="false">J296*(1+IF(K$3&lt;=$O$2,$D296,$D296-($D296-$I$292)*MIN(K$3-$O$2,$Q$2)/$Q$2))</f>
        <v>1311.83474103548</v>
      </c>
      <c r="L296" s="15" t="n">
        <f aca="false">K296*(1+IF(L$3&lt;=$O$2,$D296,$D296-($D296-$I$292)*MIN(L$3-$O$2,$Q$2)/$Q$2))</f>
        <v>1374.77657191036</v>
      </c>
      <c r="M296" s="15" t="n">
        <f aca="false">L296*(1+IF(M$3&lt;=$O$2,$D296,$D296-($D296-$I$292)*MIN(M$3-$O$2,$Q$2)/$Q$2))</f>
        <v>1434.08443322258</v>
      </c>
      <c r="N296" s="15" t="n">
        <f aca="false">M296*(1+IF(N$3&lt;=$O$2,$D296,$D296-($D296-$I$292)*MIN(N$3-$O$2,$Q$2)/$Q$2))</f>
        <v>1489.009867015</v>
      </c>
      <c r="O296" s="15" t="n">
        <f aca="false">SUMPRODUCT(E296:N296,1/(1+$F$292)^$E$3:$N$3)*$E$2</f>
        <v>1818.03654097469</v>
      </c>
      <c r="P296" s="15" t="n">
        <f aca="false">N296*$E$2*(1+$I$292)/($F$292-$I$292)/(1+$F$292)^$N$3</f>
        <v>5012.2521767777</v>
      </c>
      <c r="Q296" s="15" t="n">
        <f aca="false">O296+P296</f>
        <v>6830.28871775239</v>
      </c>
      <c r="R296" s="15" t="n">
        <f aca="false">Q296-$G$2+$I$2</f>
        <v>6997.6887177524</v>
      </c>
      <c r="S296" s="42" t="n">
        <f aca="false">R296/$K$2</f>
        <v>198.854467682648</v>
      </c>
      <c r="T296" s="43" t="n">
        <f aca="false">S296-$M$2</f>
        <v>34.3190883135094</v>
      </c>
    </row>
    <row r="297" customFormat="false" ht="15" hidden="false" customHeight="false" outlineLevel="0" collapsed="false">
      <c r="A297" s="5" t="n">
        <v>4</v>
      </c>
      <c r="B297" s="25" t="n">
        <f aca="false">IF(T296&gt;0,B296,D296)</f>
        <v>-0.125</v>
      </c>
      <c r="C297" s="25" t="n">
        <f aca="false">IF(T296&gt;0,D296,C296)</f>
        <v>0.0625</v>
      </c>
      <c r="D297" s="41" t="n">
        <f aca="false">(B297+C297)/2</f>
        <v>-0.03125</v>
      </c>
      <c r="E297" s="15" t="n">
        <f aca="false">$C$2*(1+IF(E$3&lt;=$O$2,$D297,$D297-($D297-$I$292)*MIN(E$3-$O$2,$Q$2)/$Q$2))</f>
        <v>842.8415625</v>
      </c>
      <c r="F297" s="15" t="n">
        <f aca="false">E297*(1+IF(F$3&lt;=$O$2,$D297,$D297-($D297-$I$292)*MIN(F$3-$O$2,$Q$2)/$Q$2))</f>
        <v>816.502763671875</v>
      </c>
      <c r="G297" s="15" t="n">
        <f aca="false">F297*(1+IF(G$3&lt;=$O$2,$D297,$D297-($D297-$I$292)*MIN(G$3-$O$2,$Q$2)/$Q$2))</f>
        <v>790.987052307129</v>
      </c>
      <c r="H297" s="15" t="n">
        <f aca="false">G297*(1+IF(H$3&lt;=$O$2,$D297,$D297-($D297-$I$292)*MIN(H$3-$O$2,$Q$2)/$Q$2))</f>
        <v>766.268706922531</v>
      </c>
      <c r="I297" s="15" t="n">
        <f aca="false">H297*(1+IF(I$3&lt;=$O$2,$D297,$D297-($D297-$I$292)*MIN(I$3-$O$2,$Q$2)/$Q$2))</f>
        <v>742.322809831202</v>
      </c>
      <c r="J297" s="15" t="n">
        <f aca="false">I297*(1+IF(J$3&lt;=$O$2,$D297,$D297-($D297-$I$292)*MIN(J$3-$O$2,$Q$2)/$Q$2))</f>
        <v>729.450932308729</v>
      </c>
      <c r="K297" s="15" t="n">
        <f aca="false">J297*(1+IF(K$3&lt;=$O$2,$D297,$D297-($D297-$I$292)*MIN(K$3-$O$2,$Q$2)/$Q$2))</f>
        <v>726.94891561091</v>
      </c>
      <c r="L297" s="15" t="n">
        <f aca="false">K297*(1+IF(L$3&lt;=$O$2,$D297,$D297-($D297-$I$292)*MIN(L$3-$O$2,$Q$2)/$Q$2))</f>
        <v>734.567340246513</v>
      </c>
      <c r="M297" s="15" t="n">
        <f aca="false">L297*(1+IF(M$3&lt;=$O$2,$D297,$D297-($D297-$I$292)*MIN(M$3-$O$2,$Q$2)/$Q$2))</f>
        <v>752.483437675125</v>
      </c>
      <c r="N297" s="15" t="n">
        <f aca="false">M297*(1+IF(N$3&lt;=$O$2,$D297,$D297-($D297-$I$292)*MIN(N$3-$O$2,$Q$2)/$Q$2))</f>
        <v>781.303553338082</v>
      </c>
      <c r="O297" s="15" t="n">
        <f aca="false">SUMPRODUCT(E297:N297,1/(1+$F$292)^$E$3:$N$3)*$E$2</f>
        <v>1199.72375598871</v>
      </c>
      <c r="P297" s="15" t="n">
        <f aca="false">N297*$E$2*(1+$I$292)/($F$292-$I$292)/(1+$F$292)^$N$3</f>
        <v>2629.99629666222</v>
      </c>
      <c r="Q297" s="15" t="n">
        <f aca="false">O297+P297</f>
        <v>3829.72005265093</v>
      </c>
      <c r="R297" s="15" t="n">
        <f aca="false">Q297-$G$2+$I$2</f>
        <v>3997.12005265093</v>
      </c>
      <c r="S297" s="42" t="n">
        <f aca="false">R297/$K$2</f>
        <v>113.586815932109</v>
      </c>
      <c r="T297" s="43" t="n">
        <f aca="false">S297-$M$2</f>
        <v>-50.9485634370296</v>
      </c>
    </row>
    <row r="298" customFormat="false" ht="15" hidden="false" customHeight="false" outlineLevel="0" collapsed="false">
      <c r="A298" s="5" t="n">
        <v>5</v>
      </c>
      <c r="B298" s="25" t="n">
        <f aca="false">IF(T297&gt;0,B297,D297)</f>
        <v>-0.03125</v>
      </c>
      <c r="C298" s="25" t="n">
        <f aca="false">IF(T297&gt;0,D297,C297)</f>
        <v>0.0625</v>
      </c>
      <c r="D298" s="41" t="n">
        <f aca="false">(B298+C298)/2</f>
        <v>0.015625</v>
      </c>
      <c r="E298" s="15" t="n">
        <f aca="false">$C$2*(1+IF(E$3&lt;=$O$2,$D298,$D298-($D298-$I$292)*MIN(E$3-$O$2,$Q$2)/$Q$2))</f>
        <v>883.62421875</v>
      </c>
      <c r="F298" s="15" t="n">
        <f aca="false">E298*(1+IF(F$3&lt;=$O$2,$D298,$D298-($D298-$I$292)*MIN(F$3-$O$2,$Q$2)/$Q$2))</f>
        <v>897.430847167969</v>
      </c>
      <c r="G298" s="15" t="n">
        <f aca="false">F298*(1+IF(G$3&lt;=$O$2,$D298,$D298-($D298-$I$292)*MIN(G$3-$O$2,$Q$2)/$Q$2))</f>
        <v>911.453204154968</v>
      </c>
      <c r="H298" s="15" t="n">
        <f aca="false">G298*(1+IF(H$3&lt;=$O$2,$D298,$D298-($D298-$I$292)*MIN(H$3-$O$2,$Q$2)/$Q$2))</f>
        <v>925.69466046989</v>
      </c>
      <c r="I298" s="15" t="n">
        <f aca="false">H298*(1+IF(I$3&lt;=$O$2,$D298,$D298-($D298-$I$292)*MIN(I$3-$O$2,$Q$2)/$Q$2))</f>
        <v>940.158639539732</v>
      </c>
      <c r="J298" s="15" t="n">
        <f aca="false">I298*(1+IF(J$3&lt;=$O$2,$D298,$D298-($D298-$I$292)*MIN(J$3-$O$2,$Q$2)/$Q$2))</f>
        <v>959.112237712853</v>
      </c>
      <c r="K298" s="15" t="n">
        <f aca="false">J298*(1+IF(K$3&lt;=$O$2,$D298,$D298-($D298-$I$292)*MIN(K$3-$O$2,$Q$2)/$Q$2))</f>
        <v>982.797514423171</v>
      </c>
      <c r="L298" s="15" t="n">
        <f aca="false">K298*(1+IF(L$3&lt;=$O$2,$D298,$D298-($D298-$I$292)*MIN(L$3-$O$2,$Q$2)/$Q$2))</f>
        <v>1011.52468576976</v>
      </c>
      <c r="M298" s="15" t="n">
        <f aca="false">L298*(1+IF(M$3&lt;=$O$2,$D298,$D298-($D298-$I$292)*MIN(M$3-$O$2,$Q$2)/$Q$2))</f>
        <v>1045.67881678478</v>
      </c>
      <c r="N298" s="15" t="n">
        <f aca="false">M298*(1+IF(N$3&lt;=$O$2,$D298,$D298-($D298-$I$292)*MIN(N$3-$O$2,$Q$2)/$Q$2))</f>
        <v>1085.72831546763</v>
      </c>
      <c r="O298" s="15" t="n">
        <f aca="false">SUMPRODUCT(E298:N298,1/(1+$F$292)^$E$3:$N$3)*$E$2</f>
        <v>1476.44702294559</v>
      </c>
      <c r="P298" s="15" t="n">
        <f aca="false">N298*$E$2*(1+$I$292)/($F$292-$I$292)/(1+$F$292)^$N$3</f>
        <v>3654.74012841918</v>
      </c>
      <c r="Q298" s="15" t="n">
        <f aca="false">O298+P298</f>
        <v>5131.18715136477</v>
      </c>
      <c r="R298" s="15" t="n">
        <f aca="false">Q298-$G$2+$I$2</f>
        <v>5298.58715136477</v>
      </c>
      <c r="S298" s="42" t="n">
        <f aca="false">R298/$K$2</f>
        <v>150.570819873963</v>
      </c>
      <c r="T298" s="43" t="n">
        <f aca="false">S298-$M$2</f>
        <v>-13.9645594951757</v>
      </c>
    </row>
    <row r="299" customFormat="false" ht="15" hidden="false" customHeight="false" outlineLevel="0" collapsed="false">
      <c r="A299" s="5" t="n">
        <v>6</v>
      </c>
      <c r="B299" s="25" t="n">
        <f aca="false">IF(T298&gt;0,B298,D298)</f>
        <v>0.015625</v>
      </c>
      <c r="C299" s="25" t="n">
        <f aca="false">IF(T298&gt;0,D298,C298)</f>
        <v>0.0625</v>
      </c>
      <c r="D299" s="41" t="n">
        <f aca="false">(B299+C299)/2</f>
        <v>0.0390625</v>
      </c>
      <c r="E299" s="15" t="n">
        <f aca="false">$C$2*(1+IF(E$3&lt;=$O$2,$D299,$D299-($D299-$I$292)*MIN(E$3-$O$2,$Q$2)/$Q$2))</f>
        <v>904.015546875</v>
      </c>
      <c r="F299" s="15" t="n">
        <f aca="false">E299*(1+IF(F$3&lt;=$O$2,$D299,$D299-($D299-$I$292)*MIN(F$3-$O$2,$Q$2)/$Q$2))</f>
        <v>939.328654174805</v>
      </c>
      <c r="G299" s="15" t="n">
        <f aca="false">F299*(1+IF(G$3&lt;=$O$2,$D299,$D299-($D299-$I$292)*MIN(G$3-$O$2,$Q$2)/$Q$2))</f>
        <v>976.021179728508</v>
      </c>
      <c r="H299" s="15" t="n">
        <f aca="false">G299*(1+IF(H$3&lt;=$O$2,$D299,$D299-($D299-$I$292)*MIN(H$3-$O$2,$Q$2)/$Q$2))</f>
        <v>1014.14700706165</v>
      </c>
      <c r="I299" s="15" t="n">
        <f aca="false">H299*(1+IF(I$3&lt;=$O$2,$D299,$D299-($D299-$I$292)*MIN(I$3-$O$2,$Q$2)/$Q$2))</f>
        <v>1053.762124525</v>
      </c>
      <c r="J299" s="15" t="n">
        <f aca="false">I299*(1+IF(J$3&lt;=$O$2,$D299,$D299-($D299-$I$292)*MIN(J$3-$O$2,$Q$2)/$Q$2))</f>
        <v>1094.76400879027</v>
      </c>
      <c r="K299" s="15" t="n">
        <f aca="false">J299*(1+IF(K$3&lt;=$O$2,$D299,$D299-($D299-$I$292)*MIN(K$3-$O$2,$Q$2)/$Q$2))</f>
        <v>1137.19432486096</v>
      </c>
      <c r="L299" s="15" t="n">
        <f aca="false">K299*(1+IF(L$3&lt;=$O$2,$D299,$D299-($D299-$I$292)*MIN(L$3-$O$2,$Q$2)/$Q$2))</f>
        <v>1181.09571177221</v>
      </c>
      <c r="M299" s="15" t="n">
        <f aca="false">L299*(1+IF(M$3&lt;=$O$2,$D299,$D299-($D299-$I$292)*MIN(M$3-$O$2,$Q$2)/$Q$2))</f>
        <v>1226.51179462913</v>
      </c>
      <c r="N299" s="15" t="n">
        <f aca="false">M299*(1+IF(N$3&lt;=$O$2,$D299,$D299-($D299-$I$292)*MIN(N$3-$O$2,$Q$2)/$Q$2))</f>
        <v>1273.48719636343</v>
      </c>
      <c r="O299" s="15" t="n">
        <f aca="false">SUMPRODUCT(E299:N299,1/(1+$F$292)^$E$3:$N$3)*$E$2</f>
        <v>1638.3155222811</v>
      </c>
      <c r="P299" s="15" t="n">
        <f aca="false">N299*$E$2*(1+$I$292)/($F$292-$I$292)/(1+$F$292)^$N$3</f>
        <v>4286.76741066002</v>
      </c>
      <c r="Q299" s="15" t="n">
        <f aca="false">O299+P299</f>
        <v>5925.08293294112</v>
      </c>
      <c r="R299" s="15" t="n">
        <f aca="false">Q299-$G$2+$I$2</f>
        <v>6092.48293294112</v>
      </c>
      <c r="S299" s="42" t="n">
        <f aca="false">R299/$K$2</f>
        <v>173.131086471757</v>
      </c>
      <c r="T299" s="43" t="n">
        <f aca="false">S299-$M$2</f>
        <v>8.59570710261784</v>
      </c>
    </row>
    <row r="300" customFormat="false" ht="15" hidden="false" customHeight="false" outlineLevel="0" collapsed="false">
      <c r="A300" s="5" t="n">
        <v>7</v>
      </c>
      <c r="B300" s="25" t="n">
        <f aca="false">IF(T299&gt;0,B299,D299)</f>
        <v>0.015625</v>
      </c>
      <c r="C300" s="25" t="n">
        <f aca="false">IF(T299&gt;0,D299,C299)</f>
        <v>0.0390625</v>
      </c>
      <c r="D300" s="41" t="n">
        <f aca="false">(B300+C300)/2</f>
        <v>0.02734375</v>
      </c>
      <c r="E300" s="15" t="n">
        <f aca="false">$C$2*(1+IF(E$3&lt;=$O$2,$D300,$D300-($D300-$I$292)*MIN(E$3-$O$2,$Q$2)/$Q$2))</f>
        <v>893.8198828125</v>
      </c>
      <c r="F300" s="15" t="n">
        <f aca="false">E300*(1+IF(F$3&lt;=$O$2,$D300,$D300-($D300-$I$292)*MIN(F$3-$O$2,$Q$2)/$Q$2))</f>
        <v>918.260270233154</v>
      </c>
      <c r="G300" s="15" t="n">
        <f aca="false">F300*(1+IF(G$3&lt;=$O$2,$D300,$D300-($D300-$I$292)*MIN(G$3-$O$2,$Q$2)/$Q$2))</f>
        <v>943.368949497342</v>
      </c>
      <c r="H300" s="15" t="n">
        <f aca="false">G300*(1+IF(H$3&lt;=$O$2,$D300,$D300-($D300-$I$292)*MIN(H$3-$O$2,$Q$2)/$Q$2))</f>
        <v>969.16419421016</v>
      </c>
      <c r="I300" s="15" t="n">
        <f aca="false">H300*(1+IF(I$3&lt;=$O$2,$D300,$D300-($D300-$I$292)*MIN(I$3-$O$2,$Q$2)/$Q$2))</f>
        <v>995.664777645594</v>
      </c>
      <c r="J300" s="15" t="n">
        <f aca="false">I300*(1+IF(J$3&lt;=$O$2,$D300,$D300-($D300-$I$292)*MIN(J$3-$O$2,$Q$2)/$Q$2))</f>
        <v>1025.07173685336</v>
      </c>
      <c r="K300" s="15" t="n">
        <f aca="false">J300*(1+IF(K$3&lt;=$O$2,$D300,$D300-($D300-$I$292)*MIN(K$3-$O$2,$Q$2)/$Q$2))</f>
        <v>1057.5934190447</v>
      </c>
      <c r="L300" s="15" t="n">
        <f aca="false">K300*(1+IF(L$3&lt;=$O$2,$D300,$D300-($D300-$I$292)*MIN(L$3-$O$2,$Q$2)/$Q$2))</f>
        <v>1093.46434383515</v>
      </c>
      <c r="M300" s="15" t="n">
        <f aca="false">L300*(1+IF(M$3&lt;=$O$2,$D300,$D300-($D300-$I$292)*MIN(M$3-$O$2,$Q$2)/$Q$2))</f>
        <v>1132.94797446061</v>
      </c>
      <c r="N300" s="15" t="n">
        <f aca="false">M300*(1+IF(N$3&lt;=$O$2,$D300,$D300-($D300-$I$292)*MIN(N$3-$O$2,$Q$2)/$Q$2))</f>
        <v>1176.33988188245</v>
      </c>
      <c r="O300" s="15" t="n">
        <f aca="false">SUMPRODUCT(E300:N300,1/(1+$F$292)^$E$3:$N$3)*$E$2</f>
        <v>1555.25744753566</v>
      </c>
      <c r="P300" s="15" t="n">
        <f aca="false">N300*$E$2*(1+$I$292)/($F$292-$I$292)/(1+$F$292)^$N$3</f>
        <v>3959.75356793006</v>
      </c>
      <c r="Q300" s="15" t="n">
        <f aca="false">O300+P300</f>
        <v>5515.01101546573</v>
      </c>
      <c r="R300" s="15" t="n">
        <f aca="false">Q300-$G$2+$I$2</f>
        <v>5682.41101546573</v>
      </c>
      <c r="S300" s="42" t="n">
        <f aca="false">R300/$K$2</f>
        <v>161.478005554582</v>
      </c>
      <c r="T300" s="43" t="n">
        <f aca="false">S300-$M$2</f>
        <v>-3.05737381455737</v>
      </c>
    </row>
    <row r="301" customFormat="false" ht="15" hidden="false" customHeight="false" outlineLevel="0" collapsed="false">
      <c r="A301" s="5" t="n">
        <v>8</v>
      </c>
      <c r="B301" s="25" t="n">
        <f aca="false">IF(T300&gt;0,B300,D300)</f>
        <v>0.02734375</v>
      </c>
      <c r="C301" s="25" t="n">
        <f aca="false">IF(T300&gt;0,D300,C300)</f>
        <v>0.0390625</v>
      </c>
      <c r="D301" s="41" t="n">
        <f aca="false">(B301+C301)/2</f>
        <v>0.033203125</v>
      </c>
      <c r="E301" s="15" t="n">
        <f aca="false">$C$2*(1+IF(E$3&lt;=$O$2,$D301,$D301-($D301-$I$292)*MIN(E$3-$O$2,$Q$2)/$Q$2))</f>
        <v>898.91771484375</v>
      </c>
      <c r="F301" s="15" t="n">
        <f aca="false">E301*(1+IF(F$3&lt;=$O$2,$D301,$D301-($D301-$I$292)*MIN(F$3-$O$2,$Q$2)/$Q$2))</f>
        <v>928.764592094421</v>
      </c>
      <c r="G301" s="15" t="n">
        <f aca="false">F301*(1+IF(G$3&lt;=$O$2,$D301,$D301-($D301-$I$292)*MIN(G$3-$O$2,$Q$2)/$Q$2))</f>
        <v>959.602478941307</v>
      </c>
      <c r="H301" s="15" t="n">
        <f aca="false">G301*(1+IF(H$3&lt;=$O$2,$D301,$D301-($D301-$I$292)*MIN(H$3-$O$2,$Q$2)/$Q$2))</f>
        <v>991.464279999905</v>
      </c>
      <c r="I301" s="15" t="n">
        <f aca="false">H301*(1+IF(I$3&lt;=$O$2,$D301,$D301-($D301-$I$292)*MIN(I$3-$O$2,$Q$2)/$Q$2))</f>
        <v>1024.38399242178</v>
      </c>
      <c r="J301" s="15" t="n">
        <f aca="false">I301*(1+IF(J$3&lt;=$O$2,$D301,$D301-($D301-$I$292)*MIN(J$3-$O$2,$Q$2)/$Q$2))</f>
        <v>1059.44097360243</v>
      </c>
      <c r="K301" s="15" t="n">
        <f aca="false">J301*(1+IF(K$3&lt;=$O$2,$D301,$D301-($D301-$I$292)*MIN(K$3-$O$2,$Q$2)/$Q$2))</f>
        <v>1096.77765996401</v>
      </c>
      <c r="L301" s="15" t="n">
        <f aca="false">K301*(1+IF(L$3&lt;=$O$2,$D301,$D301-($D301-$I$292)*MIN(L$3-$O$2,$Q$2)/$Q$2))</f>
        <v>1136.54818888638</v>
      </c>
      <c r="M301" s="15" t="n">
        <f aca="false">L301*(1+IF(M$3&lt;=$O$2,$D301,$D301-($D301-$I$292)*MIN(M$3-$O$2,$Q$2)/$Q$2))</f>
        <v>1178.91941571068</v>
      </c>
      <c r="N301" s="15" t="n">
        <f aca="false">M301*(1+IF(N$3&lt;=$O$2,$D301,$D301-($D301-$I$292)*MIN(N$3-$O$2,$Q$2)/$Q$2))</f>
        <v>1224.0720293324</v>
      </c>
      <c r="O301" s="15" t="n">
        <f aca="false">SUMPRODUCT(E301:N301,1/(1+$F$292)^$E$3:$N$3)*$E$2</f>
        <v>1596.24241782367</v>
      </c>
      <c r="P301" s="15" t="n">
        <f aca="false">N301*$E$2*(1+$I$292)/($F$292-$I$292)/(1+$F$292)^$N$3</f>
        <v>4120.42782889913</v>
      </c>
      <c r="Q301" s="15" t="n">
        <f aca="false">O301+P301</f>
        <v>5716.6702467228</v>
      </c>
      <c r="R301" s="15" t="n">
        <f aca="false">Q301-$G$2+$I$2</f>
        <v>5884.0702467228</v>
      </c>
      <c r="S301" s="42" t="n">
        <f aca="false">R301/$K$2</f>
        <v>167.20858899468</v>
      </c>
      <c r="T301" s="43" t="n">
        <f aca="false">S301-$M$2</f>
        <v>2.6732096255412</v>
      </c>
    </row>
    <row r="302" customFormat="false" ht="15" hidden="false" customHeight="false" outlineLevel="0" collapsed="false">
      <c r="A302" s="5" t="n">
        <v>9</v>
      </c>
      <c r="B302" s="25" t="n">
        <f aca="false">IF(T301&gt;0,B301,D301)</f>
        <v>0.02734375</v>
      </c>
      <c r="C302" s="25" t="n">
        <f aca="false">IF(T301&gt;0,D301,C301)</f>
        <v>0.033203125</v>
      </c>
      <c r="D302" s="41" t="n">
        <f aca="false">(B302+C302)/2</f>
        <v>0.0302734375</v>
      </c>
      <c r="E302" s="15" t="n">
        <f aca="false">$C$2*(1+IF(E$3&lt;=$O$2,$D302,$D302-($D302-$I$292)*MIN(E$3-$O$2,$Q$2)/$Q$2))</f>
        <v>896.368798828125</v>
      </c>
      <c r="F302" s="15" t="n">
        <f aca="false">E302*(1+IF(F$3&lt;=$O$2,$D302,$D302-($D302-$I$292)*MIN(F$3-$O$2,$Q$2)/$Q$2))</f>
        <v>923.504963636398</v>
      </c>
      <c r="G302" s="15" t="n">
        <f aca="false">F302*(1+IF(G$3&lt;=$O$2,$D302,$D302-($D302-$I$292)*MIN(G$3-$O$2,$Q$2)/$Q$2))</f>
        <v>951.462633433985</v>
      </c>
      <c r="H302" s="15" t="n">
        <f aca="false">G302*(1+IF(H$3&lt;=$O$2,$D302,$D302-($D302-$I$292)*MIN(H$3-$O$2,$Q$2)/$Q$2))</f>
        <v>980.266678000834</v>
      </c>
      <c r="I302" s="15" t="n">
        <f aca="false">H302*(1+IF(I$3&lt;=$O$2,$D302,$D302-($D302-$I$292)*MIN(I$3-$O$2,$Q$2)/$Q$2))</f>
        <v>1009.94272001062</v>
      </c>
      <c r="J302" s="15" t="n">
        <f aca="false">I302*(1+IF(J$3&lt;=$O$2,$D302,$D302-($D302-$I$292)*MIN(J$3-$O$2,$Q$2)/$Q$2))</f>
        <v>1042.13843149616</v>
      </c>
      <c r="K302" s="15" t="n">
        <f aca="false">J302*(1+IF(K$3&lt;=$O$2,$D302,$D302-($D302-$I$292)*MIN(K$3-$O$2,$Q$2)/$Q$2))</f>
        <v>1077.03345987003</v>
      </c>
      <c r="L302" s="15" t="n">
        <f aca="false">K302*(1+IF(L$3&lt;=$O$2,$D302,$D302-($D302-$I$292)*MIN(L$3-$O$2,$Q$2)/$Q$2))</f>
        <v>1114.82589083096</v>
      </c>
      <c r="M302" s="15" t="n">
        <f aca="false">L302*(1+IF(M$3&lt;=$O$2,$D302,$D302-($D302-$I$292)*MIN(M$3-$O$2,$Q$2)/$Q$2))</f>
        <v>1155.73407851191</v>
      </c>
      <c r="N302" s="15" t="n">
        <f aca="false">M302*(1+IF(N$3&lt;=$O$2,$D302,$D302-($D302-$I$292)*MIN(N$3-$O$2,$Q$2)/$Q$2))</f>
        <v>1199.99869371892</v>
      </c>
      <c r="O302" s="15" t="n">
        <f aca="false">SUMPRODUCT(E302:N302,1/(1+$F$292)^$E$3:$N$3)*$E$2</f>
        <v>1575.61557662377</v>
      </c>
      <c r="P302" s="15" t="n">
        <f aca="false">N302*$E$2*(1+$I$292)/($F$292-$I$292)/(1+$F$292)^$N$3</f>
        <v>4039.3930208002</v>
      </c>
      <c r="Q302" s="15" t="n">
        <f aca="false">O302+P302</f>
        <v>5615.00859742398</v>
      </c>
      <c r="R302" s="15" t="n">
        <f aca="false">Q302-$G$2+$I$2</f>
        <v>5782.40859742398</v>
      </c>
      <c r="S302" s="42" t="n">
        <f aca="false">R302/$K$2</f>
        <v>164.319653237396</v>
      </c>
      <c r="T302" s="43" t="n">
        <f aca="false">S302-$M$2</f>
        <v>-0.215726131742656</v>
      </c>
    </row>
    <row r="303" customFormat="false" ht="15" hidden="false" customHeight="false" outlineLevel="0" collapsed="false">
      <c r="A303" s="5" t="n">
        <v>10</v>
      </c>
      <c r="B303" s="25" t="n">
        <f aca="false">IF(T302&gt;0,B302,D302)</f>
        <v>0.0302734375</v>
      </c>
      <c r="C303" s="25" t="n">
        <f aca="false">IF(T302&gt;0,D302,C302)</f>
        <v>0.033203125</v>
      </c>
      <c r="D303" s="41" t="n">
        <f aca="false">(B303+C303)/2</f>
        <v>0.03173828125</v>
      </c>
      <c r="E303" s="15" t="n">
        <f aca="false">$C$2*(1+IF(E$3&lt;=$O$2,$D303,$D303-($D303-$I$292)*MIN(E$3-$O$2,$Q$2)/$Q$2))</f>
        <v>897.643256835937</v>
      </c>
      <c r="F303" s="15" t="n">
        <f aca="false">E303*(1+IF(F$3&lt;=$O$2,$D303,$D303-($D303-$I$292)*MIN(F$3-$O$2,$Q$2)/$Q$2))</f>
        <v>926.132910983562</v>
      </c>
      <c r="G303" s="15" t="n">
        <f aca="false">F303*(1+IF(G$3&lt;=$O$2,$D303,$D303-($D303-$I$292)*MIN(G$3-$O$2,$Q$2)/$Q$2))</f>
        <v>955.52677778724</v>
      </c>
      <c r="H303" s="15" t="n">
        <f aca="false">G303*(1+IF(H$3&lt;=$O$2,$D303,$D303-($D303-$I$292)*MIN(H$3-$O$2,$Q$2)/$Q$2))</f>
        <v>985.853555402558</v>
      </c>
      <c r="I303" s="15" t="n">
        <f aca="false">H303*(1+IF(I$3&lt;=$O$2,$D303,$D303-($D303-$I$292)*MIN(I$3-$O$2,$Q$2)/$Q$2))</f>
        <v>1017.14285281524</v>
      </c>
      <c r="J303" s="15" t="n">
        <f aca="false">I303*(1+IF(J$3&lt;=$O$2,$D303,$D303-($D303-$I$292)*MIN(J$3-$O$2,$Q$2)/$Q$2))</f>
        <v>1050.76005981506</v>
      </c>
      <c r="K303" s="15" t="n">
        <f aca="false">J303*(1+IF(K$3&lt;=$O$2,$D303,$D303-($D303-$I$292)*MIN(K$3-$O$2,$Q$2)/$Q$2))</f>
        <v>1086.86729491424</v>
      </c>
      <c r="L303" s="15" t="n">
        <f aca="false">K303*(1+IF(L$3&lt;=$O$2,$D303,$D303-($D303-$I$292)*MIN(L$3-$O$2,$Q$2)/$Q$2))</f>
        <v>1125.64162530633</v>
      </c>
      <c r="M303" s="15" t="n">
        <f aca="false">L303*(1+IF(M$3&lt;=$O$2,$D303,$D303-($D303-$I$292)*MIN(M$3-$O$2,$Q$2)/$Q$2))</f>
        <v>1167.27647080385</v>
      </c>
      <c r="N303" s="15" t="n">
        <f aca="false">M303*(1+IF(N$3&lt;=$O$2,$D303,$D303-($D303-$I$292)*MIN(N$3-$O$2,$Q$2)/$Q$2))</f>
        <v>1211.98315963564</v>
      </c>
      <c r="O303" s="15" t="n">
        <f aca="false">SUMPRODUCT(E303:N303,1/(1+$F$292)^$E$3:$N$3)*$E$2</f>
        <v>1585.89520200002</v>
      </c>
      <c r="P303" s="15" t="n">
        <f aca="false">N303*$E$2*(1+$I$292)/($F$292-$I$292)/(1+$F$292)^$N$3</f>
        <v>4079.73470469988</v>
      </c>
      <c r="Q303" s="15" t="n">
        <f aca="false">O303+P303</f>
        <v>5665.6299066999</v>
      </c>
      <c r="R303" s="15" t="n">
        <f aca="false">Q303-$G$2+$I$2</f>
        <v>5833.0299066999</v>
      </c>
      <c r="S303" s="42" t="n">
        <f aca="false">R303/$K$2</f>
        <v>165.758167283316</v>
      </c>
      <c r="T303" s="43" t="n">
        <f aca="false">S303-$M$2</f>
        <v>1.22278791417719</v>
      </c>
    </row>
    <row r="304" customFormat="false" ht="15" hidden="false" customHeight="false" outlineLevel="0" collapsed="false">
      <c r="A304" s="5" t="n">
        <v>11</v>
      </c>
      <c r="B304" s="25" t="n">
        <f aca="false">IF(T303&gt;0,B303,D303)</f>
        <v>0.0302734375</v>
      </c>
      <c r="C304" s="25" t="n">
        <f aca="false">IF(T303&gt;0,D303,C303)</f>
        <v>0.03173828125</v>
      </c>
      <c r="D304" s="41" t="n">
        <f aca="false">(B304+C304)/2</f>
        <v>0.031005859375</v>
      </c>
      <c r="E304" s="15" t="n">
        <f aca="false">$C$2*(1+IF(E$3&lt;=$O$2,$D304,$D304-($D304-$I$292)*MIN(E$3-$O$2,$Q$2)/$Q$2))</f>
        <v>897.006027832031</v>
      </c>
      <c r="F304" s="15" t="n">
        <f aca="false">E304*(1+IF(F$3&lt;=$O$2,$D304,$D304-($D304-$I$292)*MIN(F$3-$O$2,$Q$2)/$Q$2))</f>
        <v>924.818470589519</v>
      </c>
      <c r="G304" s="15" t="n">
        <f aca="false">F304*(1+IF(G$3&lt;=$O$2,$D304,$D304-($D304-$I$292)*MIN(G$3-$O$2,$Q$2)/$Q$2))</f>
        <v>953.49326203602</v>
      </c>
      <c r="H304" s="15" t="n">
        <f aca="false">G304*(1+IF(H$3&lt;=$O$2,$D304,$D304-($D304-$I$292)*MIN(H$3-$O$2,$Q$2)/$Q$2))</f>
        <v>983.057140033719</v>
      </c>
      <c r="I304" s="15" t="n">
        <f aca="false">H304*(1+IF(I$3&lt;=$O$2,$D304,$D304-($D304-$I$292)*MIN(I$3-$O$2,$Q$2)/$Q$2))</f>
        <v>1013.53767147519</v>
      </c>
      <c r="J304" s="15" t="n">
        <f aca="false">I304*(1+IF(J$3&lt;=$O$2,$D304,$D304-($D304-$I$292)*MIN(J$3-$O$2,$Q$2)/$Q$2))</f>
        <v>1046.44185524911</v>
      </c>
      <c r="K304" s="15" t="n">
        <f aca="false">J304*(1+IF(K$3&lt;=$O$2,$D304,$D304-($D304-$I$292)*MIN(K$3-$O$2,$Q$2)/$Q$2))</f>
        <v>1081.94084187631</v>
      </c>
      <c r="L304" s="15" t="n">
        <f aca="false">K304*(1+IF(L$3&lt;=$O$2,$D304,$D304-($D304-$I$292)*MIN(L$3-$O$2,$Q$2)/$Q$2))</f>
        <v>1120.22244466074</v>
      </c>
      <c r="M304" s="15" t="n">
        <f aca="false">L304*(1+IF(M$3&lt;=$O$2,$D304,$D304-($D304-$I$292)*MIN(M$3-$O$2,$Q$2)/$Q$2))</f>
        <v>1161.49275228272</v>
      </c>
      <c r="N304" s="15" t="n">
        <f aca="false">M304*(1+IF(N$3&lt;=$O$2,$D304,$D304-($D304-$I$292)*MIN(N$3-$O$2,$Q$2)/$Q$2))</f>
        <v>1205.97792469515</v>
      </c>
      <c r="O304" s="15" t="n">
        <f aca="false">SUMPRODUCT(E304:N304,1/(1+$F$292)^$E$3:$N$3)*$E$2</f>
        <v>1580.746966368</v>
      </c>
      <c r="P304" s="15" t="n">
        <f aca="false">N304*$E$2*(1+$I$292)/($F$292-$I$292)/(1+$F$292)^$N$3</f>
        <v>4059.52009593918</v>
      </c>
      <c r="Q304" s="15" t="n">
        <f aca="false">O304+P304</f>
        <v>5640.26706230718</v>
      </c>
      <c r="R304" s="15" t="n">
        <f aca="false">Q304-$G$2+$I$2</f>
        <v>5807.66706230718</v>
      </c>
      <c r="S304" s="42" t="n">
        <f aca="false">R304/$K$2</f>
        <v>165.037427175538</v>
      </c>
      <c r="T304" s="43" t="n">
        <f aca="false">S304-$M$2</f>
        <v>0.502047806398878</v>
      </c>
    </row>
    <row r="305" customFormat="false" ht="15" hidden="false" customHeight="false" outlineLevel="0" collapsed="false">
      <c r="A305" s="5" t="n">
        <v>12</v>
      </c>
      <c r="B305" s="25" t="n">
        <f aca="false">IF(T304&gt;0,B304,D304)</f>
        <v>0.0302734375</v>
      </c>
      <c r="C305" s="25" t="n">
        <f aca="false">IF(T304&gt;0,D304,C304)</f>
        <v>0.031005859375</v>
      </c>
      <c r="D305" s="41" t="n">
        <f aca="false">(B305+C305)/2</f>
        <v>0.0306396484375</v>
      </c>
      <c r="E305" s="15" t="n">
        <f aca="false">$C$2*(1+IF(E$3&lt;=$O$2,$D305,$D305-($D305-$I$292)*MIN(E$3-$O$2,$Q$2)/$Q$2))</f>
        <v>896.687413330078</v>
      </c>
      <c r="F305" s="15" t="n">
        <f aca="false">E305*(1+IF(F$3&lt;=$O$2,$D305,$D305-($D305-$I$292)*MIN(F$3-$O$2,$Q$2)/$Q$2))</f>
        <v>924.161600432843</v>
      </c>
      <c r="G305" s="15" t="n">
        <f aca="false">F305*(1+IF(G$3&lt;=$O$2,$D305,$D305-($D305-$I$292)*MIN(G$3-$O$2,$Q$2)/$Q$2))</f>
        <v>952.477586969543</v>
      </c>
      <c r="H305" s="15" t="n">
        <f aca="false">G305*(1+IF(H$3&lt;=$O$2,$D305,$D305-($D305-$I$292)*MIN(H$3-$O$2,$Q$2)/$Q$2))</f>
        <v>981.661165378888</v>
      </c>
      <c r="I305" s="15" t="n">
        <f aca="false">H305*(1+IF(I$3&lt;=$O$2,$D305,$D305-($D305-$I$292)*MIN(I$3-$O$2,$Q$2)/$Q$2))</f>
        <v>1011.73891837084</v>
      </c>
      <c r="J305" s="15" t="n">
        <f aca="false">I305*(1+IF(J$3&lt;=$O$2,$D305,$D305-($D305-$I$292)*MIN(J$3-$O$2,$Q$2)/$Q$2))</f>
        <v>1044.2882983011</v>
      </c>
      <c r="K305" s="15" t="n">
        <f aca="false">J305*(1+IF(K$3&lt;=$O$2,$D305,$D305-($D305-$I$292)*MIN(K$3-$O$2,$Q$2)/$Q$2))</f>
        <v>1079.48477082748</v>
      </c>
      <c r="L305" s="15" t="n">
        <f aca="false">K305*(1+IF(L$3&lt;=$O$2,$D305,$D305-($D305-$I$292)*MIN(L$3-$O$2,$Q$2)/$Q$2))</f>
        <v>1117.52134440981</v>
      </c>
      <c r="M305" s="15" t="n">
        <f aca="false">L305*(1+IF(M$3&lt;=$O$2,$D305,$D305-($D305-$I$292)*MIN(M$3-$O$2,$Q$2)/$Q$2))</f>
        <v>1158.61029062535</v>
      </c>
      <c r="N305" s="15" t="n">
        <f aca="false">M305*(1+IF(N$3&lt;=$O$2,$D305,$D305-($D305-$I$292)*MIN(N$3-$O$2,$Q$2)/$Q$2))</f>
        <v>1202.9850647563</v>
      </c>
      <c r="O305" s="15" t="n">
        <f aca="false">SUMPRODUCT(E305:N305,1/(1+$F$292)^$E$3:$N$3)*$E$2</f>
        <v>1578.17916898514</v>
      </c>
      <c r="P305" s="15" t="n">
        <f aca="false">N305*$E$2*(1+$I$292)/($F$292-$I$292)/(1+$F$292)^$N$3</f>
        <v>4049.44563701476</v>
      </c>
      <c r="Q305" s="15" t="n">
        <f aca="false">O305+P305</f>
        <v>5627.6248059999</v>
      </c>
      <c r="R305" s="15" t="n">
        <f aca="false">Q305-$G$2+$I$2</f>
        <v>5795.0248059999</v>
      </c>
      <c r="S305" s="42" t="n">
        <f aca="false">R305/$K$2</f>
        <v>164.678170105141</v>
      </c>
      <c r="T305" s="43" t="n">
        <f aca="false">S305-$M$2</f>
        <v>0.142790736001729</v>
      </c>
    </row>
    <row r="306" customFormat="false" ht="15" hidden="false" customHeight="false" outlineLevel="0" collapsed="false">
      <c r="A306" s="5" t="n">
        <v>13</v>
      </c>
      <c r="B306" s="25" t="n">
        <f aca="false">IF(T305&gt;0,B305,D305)</f>
        <v>0.0302734375</v>
      </c>
      <c r="C306" s="25" t="n">
        <f aca="false">IF(T305&gt;0,D305,C305)</f>
        <v>0.0306396484375</v>
      </c>
      <c r="D306" s="41" t="n">
        <f aca="false">(B306+C306)/2</f>
        <v>0.03045654296875</v>
      </c>
      <c r="E306" s="15" t="n">
        <f aca="false">$C$2*(1+IF(E$3&lt;=$O$2,$D306,$D306-($D306-$I$292)*MIN(E$3-$O$2,$Q$2)/$Q$2))</f>
        <v>896.528106079102</v>
      </c>
      <c r="F306" s="15" t="n">
        <f aca="false">E306*(1+IF(F$3&lt;=$O$2,$D306,$D306-($D306-$I$292)*MIN(F$3-$O$2,$Q$2)/$Q$2))</f>
        <v>923.833252864592</v>
      </c>
      <c r="G306" s="15" t="n">
        <f aca="false">F306*(1+IF(G$3&lt;=$O$2,$D306,$D306-($D306-$I$292)*MIN(G$3-$O$2,$Q$2)/$Q$2))</f>
        <v>951.970020026422</v>
      </c>
      <c r="H306" s="15" t="n">
        <f aca="false">G306*(1+IF(H$3&lt;=$O$2,$D306,$D306-($D306-$I$292)*MIN(H$3-$O$2,$Q$2)/$Q$2))</f>
        <v>980.963735846319</v>
      </c>
      <c r="I306" s="15" t="n">
        <f aca="false">H306*(1+IF(I$3&lt;=$O$2,$D306,$D306-($D306-$I$292)*MIN(I$3-$O$2,$Q$2)/$Q$2))</f>
        <v>1010.84050001791</v>
      </c>
      <c r="J306" s="15" t="n">
        <f aca="false">I306*(1+IF(J$3&lt;=$O$2,$D306,$D306-($D306-$I$292)*MIN(J$3-$O$2,$Q$2)/$Q$2))</f>
        <v>1043.21290394672</v>
      </c>
      <c r="K306" s="15" t="n">
        <f aca="false">J306*(1+IF(K$3&lt;=$O$2,$D306,$D306-($D306-$I$292)*MIN(K$3-$O$2,$Q$2)/$Q$2))</f>
        <v>1078.25852081595</v>
      </c>
      <c r="L306" s="15" t="n">
        <f aca="false">K306*(1+IF(L$3&lt;=$O$2,$D306,$D306-($D306-$I$292)*MIN(L$3-$O$2,$Q$2)/$Q$2))</f>
        <v>1116.17291241256</v>
      </c>
      <c r="M306" s="15" t="n">
        <f aca="false">L306*(1+IF(M$3&lt;=$O$2,$D306,$D306-($D306-$I$292)*MIN(M$3-$O$2,$Q$2)/$Q$2))</f>
        <v>1157.17140410237</v>
      </c>
      <c r="N306" s="15" t="n">
        <f aca="false">M306*(1+IF(N$3&lt;=$O$2,$D306,$D306-($D306-$I$292)*MIN(N$3-$O$2,$Q$2)/$Q$2))</f>
        <v>1201.49106887949</v>
      </c>
      <c r="O306" s="15" t="n">
        <f aca="false">SUMPRODUCT(E306:N306,1/(1+$F$292)^$E$3:$N$3)*$E$2</f>
        <v>1576.89684757946</v>
      </c>
      <c r="P306" s="15" t="n">
        <f aca="false">N306*$E$2*(1+$I$292)/($F$292-$I$292)/(1+$F$292)^$N$3</f>
        <v>4044.41660110875</v>
      </c>
      <c r="Q306" s="15" t="n">
        <f aca="false">O306+P306</f>
        <v>5621.31344868821</v>
      </c>
      <c r="R306" s="15" t="n">
        <f aca="false">Q306-$G$2+$I$2</f>
        <v>5788.71344868821</v>
      </c>
      <c r="S306" s="42" t="n">
        <f aca="false">R306/$K$2</f>
        <v>164.49881922956</v>
      </c>
      <c r="T306" s="43" t="n">
        <f aca="false">S306-$M$2</f>
        <v>-0.0365601395791373</v>
      </c>
    </row>
    <row r="307" customFormat="false" ht="15" hidden="false" customHeight="false" outlineLevel="0" collapsed="false">
      <c r="A307" s="5" t="n">
        <v>14</v>
      </c>
      <c r="B307" s="25" t="n">
        <f aca="false">IF(T306&gt;0,B306,D306)</f>
        <v>0.03045654296875</v>
      </c>
      <c r="C307" s="25" t="n">
        <f aca="false">IF(T306&gt;0,D306,C306)</f>
        <v>0.0306396484375</v>
      </c>
      <c r="D307" s="41" t="n">
        <f aca="false">(B307+C307)/2</f>
        <v>0.030548095703125</v>
      </c>
      <c r="E307" s="15" t="n">
        <f aca="false">$C$2*(1+IF(E$3&lt;=$O$2,$D307,$D307-($D307-$I$292)*MIN(E$3-$O$2,$Q$2)/$Q$2))</f>
        <v>896.60775970459</v>
      </c>
      <c r="F307" s="15" t="n">
        <f aca="false">E307*(1+IF(F$3&lt;=$O$2,$D307,$D307-($D307-$I$292)*MIN(F$3-$O$2,$Q$2)/$Q$2))</f>
        <v>923.99741935621</v>
      </c>
      <c r="G307" s="15" t="n">
        <f aca="false">F307*(1+IF(G$3&lt;=$O$2,$D307,$D307-($D307-$I$292)*MIN(G$3-$O$2,$Q$2)/$Q$2))</f>
        <v>952.223780952144</v>
      </c>
      <c r="H307" s="15" t="n">
        <f aca="false">G307*(1+IF(H$3&lt;=$O$2,$D307,$D307-($D307-$I$292)*MIN(H$3-$O$2,$Q$2)/$Q$2))</f>
        <v>981.312404143462</v>
      </c>
      <c r="I307" s="15" t="n">
        <f aca="false">H307*(1+IF(I$3&lt;=$O$2,$D307,$D307-($D307-$I$292)*MIN(I$3-$O$2,$Q$2)/$Q$2))</f>
        <v>1011.2896293799</v>
      </c>
      <c r="J307" s="15" t="n">
        <f aca="false">I307*(1+IF(J$3&lt;=$O$2,$D307,$D307-($D307-$I$292)*MIN(J$3-$O$2,$Q$2)/$Q$2))</f>
        <v>1043.75048584645</v>
      </c>
      <c r="K307" s="15" t="n">
        <f aca="false">J307*(1+IF(K$3&lt;=$O$2,$D307,$D307-($D307-$I$292)*MIN(K$3-$O$2,$Q$2)/$Q$2))</f>
        <v>1078.87149712871</v>
      </c>
      <c r="L307" s="15" t="n">
        <f aca="false">K307*(1+IF(L$3&lt;=$O$2,$D307,$D307-($D307-$I$292)*MIN(L$3-$O$2,$Q$2)/$Q$2))</f>
        <v>1116.84695203099</v>
      </c>
      <c r="M307" s="15" t="n">
        <f aca="false">L307*(1+IF(M$3&lt;=$O$2,$D307,$D307-($D307-$I$292)*MIN(M$3-$O$2,$Q$2)/$Q$2))</f>
        <v>1157.8906521565</v>
      </c>
      <c r="N307" s="15" t="n">
        <f aca="false">M307*(1+IF(N$3&lt;=$O$2,$D307,$D307-($D307-$I$292)*MIN(N$3-$O$2,$Q$2)/$Q$2))</f>
        <v>1202.23786413409</v>
      </c>
      <c r="O307" s="15" t="n">
        <f aca="false">SUMPRODUCT(E307:N307,1/(1+$F$292)^$E$3:$N$3)*$E$2</f>
        <v>1577.53787692574</v>
      </c>
      <c r="P307" s="15" t="n">
        <f aca="false">N307*$E$2*(1+$I$292)/($F$292-$I$292)/(1+$F$292)^$N$3</f>
        <v>4046.93043679473</v>
      </c>
      <c r="Q307" s="15" t="n">
        <f aca="false">O307+P307</f>
        <v>5624.46831372046</v>
      </c>
      <c r="R307" s="15" t="n">
        <f aca="false">Q307-$G$2+$I$2</f>
        <v>5791.86831372046</v>
      </c>
      <c r="S307" s="42" t="n">
        <f aca="false">R307/$K$2</f>
        <v>164.588471546475</v>
      </c>
      <c r="T307" s="43" t="n">
        <f aca="false">S307-$M$2</f>
        <v>0.0530921773361968</v>
      </c>
    </row>
    <row r="308" customFormat="false" ht="15" hidden="false" customHeight="false" outlineLevel="0" collapsed="false">
      <c r="A308" s="5" t="n">
        <v>15</v>
      </c>
      <c r="B308" s="25" t="n">
        <f aca="false">IF(T307&gt;0,B307,D307)</f>
        <v>0.03045654296875</v>
      </c>
      <c r="C308" s="25" t="n">
        <f aca="false">IF(T307&gt;0,D307,C307)</f>
        <v>0.030548095703125</v>
      </c>
      <c r="D308" s="41" t="n">
        <f aca="false">(B308+C308)/2</f>
        <v>0.0305023193359375</v>
      </c>
      <c r="E308" s="15" t="n">
        <f aca="false">$C$2*(1+IF(E$3&lt;=$O$2,$D308,$D308-($D308-$I$292)*MIN(E$3-$O$2,$Q$2)/$Q$2))</f>
        <v>896.567932891846</v>
      </c>
      <c r="F308" s="15" t="n">
        <f aca="false">E308*(1+IF(F$3&lt;=$O$2,$D308,$D308-($D308-$I$292)*MIN(F$3-$O$2,$Q$2)/$Q$2))</f>
        <v>923.915334287274</v>
      </c>
      <c r="G308" s="15" t="n">
        <f aca="false">F308*(1+IF(G$3&lt;=$O$2,$D308,$D308-($D308-$I$292)*MIN(G$3-$O$2,$Q$2)/$Q$2))</f>
        <v>952.096894853074</v>
      </c>
      <c r="H308" s="15" t="n">
        <f aca="false">G308*(1+IF(H$3&lt;=$O$2,$D308,$D308-($D308-$I$292)*MIN(H$3-$O$2,$Q$2)/$Q$2))</f>
        <v>981.138058378637</v>
      </c>
      <c r="I308" s="15" t="n">
        <f aca="false">H308*(1+IF(I$3&lt;=$O$2,$D308,$D308-($D308-$I$292)*MIN(I$3-$O$2,$Q$2)/$Q$2))</f>
        <v>1011.06504474794</v>
      </c>
      <c r="J308" s="15" t="n">
        <f aca="false">I308*(1+IF(J$3&lt;=$O$2,$D308,$D308-($D308-$I$292)*MIN(J$3-$O$2,$Q$2)/$Q$2))</f>
        <v>1043.48166608216</v>
      </c>
      <c r="K308" s="15" t="n">
        <f aca="false">J308*(1+IF(K$3&lt;=$O$2,$D308,$D308-($D308-$I$292)*MIN(K$3-$O$2,$Q$2)/$Q$2))</f>
        <v>1078.56497180656</v>
      </c>
      <c r="L308" s="15" t="n">
        <f aca="false">K308*(1+IF(L$3&lt;=$O$2,$D308,$D308-($D308-$I$292)*MIN(L$3-$O$2,$Q$2)/$Q$2))</f>
        <v>1116.50988813651</v>
      </c>
      <c r="M308" s="15" t="n">
        <f aca="false">L308*(1+IF(M$3&lt;=$O$2,$D308,$D308-($D308-$I$292)*MIN(M$3-$O$2,$Q$2)/$Q$2))</f>
        <v>1157.53097933895</v>
      </c>
      <c r="N308" s="15" t="n">
        <f aca="false">M308*(1+IF(N$3&lt;=$O$2,$D308,$D308-($D308-$I$292)*MIN(N$3-$O$2,$Q$2)/$Q$2))</f>
        <v>1201.86441584763</v>
      </c>
      <c r="O308" s="15" t="n">
        <f aca="false">SUMPRODUCT(E308:N308,1/(1+$F$292)^$E$3:$N$3)*$E$2</f>
        <v>1577.21732941975</v>
      </c>
      <c r="P308" s="15" t="n">
        <f aca="false">N308*$E$2*(1+$I$292)/($F$292-$I$292)/(1+$F$292)^$N$3</f>
        <v>4045.67334842466</v>
      </c>
      <c r="Q308" s="15" t="n">
        <f aca="false">O308+P308</f>
        <v>5622.89067784441</v>
      </c>
      <c r="R308" s="15" t="n">
        <f aca="false">Q308-$G$2+$I$2</f>
        <v>5790.29067784441</v>
      </c>
      <c r="S308" s="42" t="n">
        <f aca="false">R308/$K$2</f>
        <v>164.543639609105</v>
      </c>
      <c r="T308" s="43" t="n">
        <f aca="false">S308-$M$2</f>
        <v>0.00826023996603453</v>
      </c>
    </row>
    <row r="309" customFormat="false" ht="15" hidden="false" customHeight="false" outlineLevel="0" collapsed="false">
      <c r="A309" s="5" t="n">
        <v>16</v>
      </c>
      <c r="B309" s="25" t="n">
        <f aca="false">IF(T308&gt;0,B308,D308)</f>
        <v>0.03045654296875</v>
      </c>
      <c r="C309" s="25" t="n">
        <f aca="false">IF(T308&gt;0,D308,C308)</f>
        <v>0.0305023193359375</v>
      </c>
      <c r="D309" s="41" t="n">
        <f aca="false">(B309+C309)/2</f>
        <v>0.0304794311523438</v>
      </c>
      <c r="E309" s="15" t="n">
        <f aca="false">$C$2*(1+IF(E$3&lt;=$O$2,$D309,$D309-($D309-$I$292)*MIN(E$3-$O$2,$Q$2)/$Q$2))</f>
        <v>896.548019485474</v>
      </c>
      <c r="F309" s="15" t="n">
        <f aca="false">E309*(1+IF(F$3&lt;=$O$2,$D309,$D309-($D309-$I$292)*MIN(F$3-$O$2,$Q$2)/$Q$2))</f>
        <v>923.874293120151</v>
      </c>
      <c r="G309" s="15" t="n">
        <f aca="false">F309*(1+IF(G$3&lt;=$O$2,$D309,$D309-($D309-$I$292)*MIN(G$3-$O$2,$Q$2)/$Q$2))</f>
        <v>952.033456030727</v>
      </c>
      <c r="H309" s="15" t="n">
        <f aca="false">G309*(1+IF(H$3&lt;=$O$2,$D309,$D309-($D309-$I$292)*MIN(H$3-$O$2,$Q$2)/$Q$2))</f>
        <v>981.050894208544</v>
      </c>
      <c r="I309" s="15" t="n">
        <f aca="false">H309*(1+IF(I$3&lt;=$O$2,$D309,$D309-($D309-$I$292)*MIN(I$3-$O$2,$Q$2)/$Q$2))</f>
        <v>1010.95276739552</v>
      </c>
      <c r="J309" s="15" t="n">
        <f aca="false">I309*(1+IF(J$3&lt;=$O$2,$D309,$D309-($D309-$I$292)*MIN(J$3-$O$2,$Q$2)/$Q$2))</f>
        <v>1043.34727781145</v>
      </c>
      <c r="K309" s="15" t="n">
        <f aca="false">J309*(1+IF(K$3&lt;=$O$2,$D309,$D309-($D309-$I$292)*MIN(K$3-$O$2,$Q$2)/$Q$2))</f>
        <v>1078.41173702075</v>
      </c>
      <c r="L309" s="15" t="n">
        <f aca="false">K309*(1+IF(L$3&lt;=$O$2,$D309,$D309-($D309-$I$292)*MIN(L$3-$O$2,$Q$2)/$Q$2))</f>
        <v>1116.34138925444</v>
      </c>
      <c r="M309" s="15" t="n">
        <f aca="false">L309*(1+IF(M$3&lt;=$O$2,$D309,$D309-($D309-$I$292)*MIN(M$3-$O$2,$Q$2)/$Q$2))</f>
        <v>1157.35117952446</v>
      </c>
      <c r="N309" s="15" t="n">
        <f aca="false">M309*(1+IF(N$3&lt;=$O$2,$D309,$D309-($D309-$I$292)*MIN(N$3-$O$2,$Q$2)/$Q$2))</f>
        <v>1201.67772970025</v>
      </c>
      <c r="O309" s="15" t="n">
        <f aca="false">SUMPRODUCT(E309:N309,1/(1+$F$292)^$E$3:$N$3)*$E$2</f>
        <v>1577.05708029217</v>
      </c>
      <c r="P309" s="15" t="n">
        <f aca="false">N309*$E$2*(1+$I$292)/($F$292-$I$292)/(1+$F$292)^$N$3</f>
        <v>4045.0449321399</v>
      </c>
      <c r="Q309" s="15" t="n">
        <f aca="false">O309+P309</f>
        <v>5622.10201243207</v>
      </c>
      <c r="R309" s="15" t="n">
        <f aca="false">Q309-$G$2+$I$2</f>
        <v>5789.50201243207</v>
      </c>
      <c r="S309" s="42" t="n">
        <f aca="false">R309/$K$2</f>
        <v>164.521227974768</v>
      </c>
      <c r="T309" s="43" t="n">
        <f aca="false">S309-$M$2</f>
        <v>-0.0141513943713676</v>
      </c>
    </row>
    <row r="310" customFormat="false" ht="15" hidden="false" customHeight="false" outlineLevel="0" collapsed="false">
      <c r="A310" s="5" t="n">
        <v>17</v>
      </c>
      <c r="B310" s="25" t="n">
        <f aca="false">IF(T309&gt;0,B309,D309)</f>
        <v>0.0304794311523438</v>
      </c>
      <c r="C310" s="25" t="n">
        <f aca="false">IF(T309&gt;0,D309,C309)</f>
        <v>0.0305023193359375</v>
      </c>
      <c r="D310" s="41" t="n">
        <f aca="false">(B310+C310)/2</f>
        <v>0.0304908752441406</v>
      </c>
      <c r="E310" s="15" t="n">
        <f aca="false">$C$2*(1+IF(E$3&lt;=$O$2,$D310,$D310-($D310-$I$292)*MIN(E$3-$O$2,$Q$2)/$Q$2))</f>
        <v>896.55797618866</v>
      </c>
      <c r="F310" s="15" t="n">
        <f aca="false">E310*(1+IF(F$3&lt;=$O$2,$D310,$D310-($D310-$I$292)*MIN(F$3-$O$2,$Q$2)/$Q$2))</f>
        <v>923.894813589767</v>
      </c>
      <c r="G310" s="15" t="n">
        <f aca="false">F310*(1+IF(G$3&lt;=$O$2,$D310,$D310-($D310-$I$292)*MIN(G$3-$O$2,$Q$2)/$Q$2))</f>
        <v>952.065175089641</v>
      </c>
      <c r="H310" s="15" t="n">
        <f aca="false">G310*(1+IF(H$3&lt;=$O$2,$D310,$D310-($D310-$I$292)*MIN(H$3-$O$2,$Q$2)/$Q$2))</f>
        <v>981.094475567591</v>
      </c>
      <c r="I310" s="15" t="n">
        <f aca="false">H310*(1+IF(I$3&lt;=$O$2,$D310,$D310-($D310-$I$292)*MIN(I$3-$O$2,$Q$2)/$Q$2))</f>
        <v>1011.00890482484</v>
      </c>
      <c r="J310" s="15" t="n">
        <f aca="false">I310*(1+IF(J$3&lt;=$O$2,$D310,$D310-($D310-$I$292)*MIN(J$3-$O$2,$Q$2)/$Q$2))</f>
        <v>1043.41447014598</v>
      </c>
      <c r="K310" s="15" t="n">
        <f aca="false">J310*(1+IF(K$3&lt;=$O$2,$D310,$D310-($D310-$I$292)*MIN(K$3-$O$2,$Q$2)/$Q$2))</f>
        <v>1078.48835209091</v>
      </c>
      <c r="L310" s="15" t="n">
        <f aca="false">K310*(1+IF(L$3&lt;=$O$2,$D310,$D310-($D310-$I$292)*MIN(L$3-$O$2,$Q$2)/$Q$2))</f>
        <v>1116.4256359403</v>
      </c>
      <c r="M310" s="15" t="n">
        <f aca="false">L310*(1+IF(M$3&lt;=$O$2,$D310,$D310-($D310-$I$292)*MIN(M$3-$O$2,$Q$2)/$Q$2))</f>
        <v>1157.44107638248</v>
      </c>
      <c r="N310" s="15" t="n">
        <f aca="false">M310*(1+IF(N$3&lt;=$O$2,$D310,$D310-($D310-$I$292)*MIN(N$3-$O$2,$Q$2)/$Q$2))</f>
        <v>1201.77106960792</v>
      </c>
      <c r="O310" s="15" t="n">
        <f aca="false">SUMPRODUCT(E310:N310,1/(1+$F$292)^$E$3:$N$3)*$E$2</f>
        <v>1577.13720280401</v>
      </c>
      <c r="P310" s="15" t="n">
        <f aca="false">N310*$E$2*(1+$I$292)/($F$292-$I$292)/(1+$F$292)^$N$3</f>
        <v>4045.35912962496</v>
      </c>
      <c r="Q310" s="15" t="n">
        <f aca="false">O310+P310</f>
        <v>5622.49633242896</v>
      </c>
      <c r="R310" s="15" t="n">
        <f aca="false">Q310-$G$2+$I$2</f>
        <v>5789.89633242896</v>
      </c>
      <c r="S310" s="42" t="n">
        <f aca="false">R310/$K$2</f>
        <v>164.532433430775</v>
      </c>
      <c r="T310" s="43" t="n">
        <f aca="false">S310-$M$2</f>
        <v>-0.00294593836426316</v>
      </c>
    </row>
    <row r="311" customFormat="false" ht="15" hidden="false" customHeight="false" outlineLevel="0" collapsed="false">
      <c r="A311" s="5" t="n">
        <v>18</v>
      </c>
      <c r="B311" s="25" t="n">
        <f aca="false">IF(T310&gt;0,B310,D310)</f>
        <v>0.0304908752441406</v>
      </c>
      <c r="C311" s="25" t="n">
        <f aca="false">IF(T310&gt;0,D310,C310)</f>
        <v>0.0305023193359375</v>
      </c>
      <c r="D311" s="41" t="n">
        <f aca="false">(B311+C311)/2</f>
        <v>0.0304965972900391</v>
      </c>
      <c r="E311" s="15" t="n">
        <f aca="false">$C$2*(1+IF(E$3&lt;=$O$2,$D311,$D311-($D311-$I$292)*MIN(E$3-$O$2,$Q$2)/$Q$2))</f>
        <v>896.562954540253</v>
      </c>
      <c r="F311" s="15" t="n">
        <f aca="false">E311*(1+IF(F$3&lt;=$O$2,$D311,$D311-($D311-$I$292)*MIN(F$3-$O$2,$Q$2)/$Q$2))</f>
        <v>923.905073910034</v>
      </c>
      <c r="G311" s="15" t="n">
        <f aca="false">F311*(1+IF(G$3&lt;=$O$2,$D311,$D311-($D311-$I$292)*MIN(G$3-$O$2,$Q$2)/$Q$2))</f>
        <v>952.081034883292</v>
      </c>
      <c r="H311" s="15" t="n">
        <f aca="false">G311*(1+IF(H$3&lt;=$O$2,$D311,$D311-($D311-$I$292)*MIN(H$3-$O$2,$Q$2)/$Q$2))</f>
        <v>981.116266791612</v>
      </c>
      <c r="I311" s="15" t="n">
        <f aca="false">H311*(1+IF(I$3&lt;=$O$2,$D311,$D311-($D311-$I$292)*MIN(I$3-$O$2,$Q$2)/$Q$2))</f>
        <v>1011.03697447466</v>
      </c>
      <c r="J311" s="15" t="n">
        <f aca="false">I311*(1+IF(J$3&lt;=$O$2,$D311,$D311-($D311-$I$292)*MIN(J$3-$O$2,$Q$2)/$Q$2))</f>
        <v>1043.44806766385</v>
      </c>
      <c r="K311" s="15" t="n">
        <f aca="false">J311*(1+IF(K$3&lt;=$O$2,$D311,$D311-($D311-$I$292)*MIN(K$3-$O$2,$Q$2)/$Q$2))</f>
        <v>1078.52666136803</v>
      </c>
      <c r="L311" s="15" t="n">
        <f aca="false">K311*(1+IF(L$3&lt;=$O$2,$D311,$D311-($D311-$I$292)*MIN(L$3-$O$2,$Q$2)/$Q$2))</f>
        <v>1116.46776134959</v>
      </c>
      <c r="M311" s="15" t="n">
        <f aca="false">L311*(1+IF(M$3&lt;=$O$2,$D311,$D311-($D311-$I$292)*MIN(M$3-$O$2,$Q$2)/$Q$2))</f>
        <v>1157.48602709838</v>
      </c>
      <c r="N311" s="15" t="n">
        <f aca="false">M311*(1+IF(N$3&lt;=$O$2,$D311,$D311-($D311-$I$292)*MIN(N$3-$O$2,$Q$2)/$Q$2))</f>
        <v>1201.81774193625</v>
      </c>
      <c r="O311" s="15" t="n">
        <f aca="false">SUMPRODUCT(E311:N311,1/(1+$F$292)^$E$3:$N$3)*$E$2</f>
        <v>1577.17726559887</v>
      </c>
      <c r="P311" s="15" t="n">
        <f aca="false">N311*$E$2*(1+$I$292)/($F$292-$I$292)/(1+$F$292)^$N$3</f>
        <v>4045.5162363604</v>
      </c>
      <c r="Q311" s="15" t="n">
        <f aca="false">O311+P311</f>
        <v>5622.69350195928</v>
      </c>
      <c r="R311" s="15" t="n">
        <f aca="false">Q311-$G$2+$I$2</f>
        <v>5790.09350195928</v>
      </c>
      <c r="S311" s="42" t="n">
        <f aca="false">R311/$K$2</f>
        <v>164.538036429647</v>
      </c>
      <c r="T311" s="43" t="n">
        <f aca="false">S311-$M$2</f>
        <v>0.00265706050797121</v>
      </c>
    </row>
    <row r="312" customFormat="false" ht="15" hidden="false" customHeight="false" outlineLevel="0" collapsed="false">
      <c r="A312" s="5" t="n">
        <v>19</v>
      </c>
      <c r="B312" s="25" t="n">
        <f aca="false">IF(T311&gt;0,B311,D311)</f>
        <v>0.0304908752441406</v>
      </c>
      <c r="C312" s="25" t="n">
        <f aca="false">IF(T311&gt;0,D311,C311)</f>
        <v>0.0304965972900391</v>
      </c>
      <c r="D312" s="41" t="n">
        <f aca="false">(B312+C312)/2</f>
        <v>0.0304937362670898</v>
      </c>
      <c r="E312" s="15" t="n">
        <f aca="false">$C$2*(1+IF(E$3&lt;=$O$2,$D312,$D312-($D312-$I$292)*MIN(E$3-$O$2,$Q$2)/$Q$2))</f>
        <v>896.560465364456</v>
      </c>
      <c r="F312" s="15" t="n">
        <f aca="false">E312*(1+IF(F$3&lt;=$O$2,$D312,$D312-($D312-$I$292)*MIN(F$3-$O$2,$Q$2)/$Q$2))</f>
        <v>923.899943742779</v>
      </c>
      <c r="G312" s="15" t="n">
        <f aca="false">F312*(1+IF(G$3&lt;=$O$2,$D312,$D312-($D312-$I$292)*MIN(G$3-$O$2,$Q$2)/$Q$2))</f>
        <v>952.073104964451</v>
      </c>
      <c r="H312" s="15" t="n">
        <f aca="false">G312*(1+IF(H$3&lt;=$O$2,$D312,$D312-($D312-$I$292)*MIN(H$3-$O$2,$Q$2)/$Q$2))</f>
        <v>981.105371134226</v>
      </c>
      <c r="I312" s="15" t="n">
        <f aca="false">H312*(1+IF(I$3&lt;=$O$2,$D312,$D312-($D312-$I$292)*MIN(I$3-$O$2,$Q$2)/$Q$2))</f>
        <v>1011.02293957182</v>
      </c>
      <c r="J312" s="15" t="n">
        <f aca="false">I312*(1+IF(J$3&lt;=$O$2,$D312,$D312-($D312-$I$292)*MIN(J$3-$O$2,$Q$2)/$Q$2))</f>
        <v>1043.43126879236</v>
      </c>
      <c r="K312" s="15" t="n">
        <f aca="false">J312*(1+IF(K$3&lt;=$O$2,$D312,$D312-($D312-$I$292)*MIN(K$3-$O$2,$Q$2)/$Q$2))</f>
        <v>1078.5075065843</v>
      </c>
      <c r="L312" s="15" t="n">
        <f aca="false">K312*(1+IF(L$3&lt;=$O$2,$D312,$D312-($D312-$I$292)*MIN(L$3-$O$2,$Q$2)/$Q$2))</f>
        <v>1116.44669847275</v>
      </c>
      <c r="M312" s="15" t="n">
        <f aca="false">L312*(1+IF(M$3&lt;=$O$2,$D312,$D312-($D312-$I$292)*MIN(M$3-$O$2,$Q$2)/$Q$2))</f>
        <v>1157.46355154985</v>
      </c>
      <c r="N312" s="15" t="n">
        <f aca="false">M312*(1+IF(N$3&lt;=$O$2,$D312,$D312-($D312-$I$292)*MIN(N$3-$O$2,$Q$2)/$Q$2))</f>
        <v>1201.79440557421</v>
      </c>
      <c r="O312" s="15" t="n">
        <f aca="false">SUMPRODUCT(E312:N312,1/(1+$F$292)^$E$3:$N$3)*$E$2</f>
        <v>1577.15723407319</v>
      </c>
      <c r="P312" s="15" t="n">
        <f aca="false">N312*$E$2*(1+$I$292)/($F$292-$I$292)/(1+$F$292)^$N$3</f>
        <v>4045.43768232659</v>
      </c>
      <c r="Q312" s="15" t="n">
        <f aca="false">O312+P312</f>
        <v>5622.59491639978</v>
      </c>
      <c r="R312" s="15" t="n">
        <f aca="false">Q312-$G$2+$I$2</f>
        <v>5789.99491639978</v>
      </c>
      <c r="S312" s="42" t="n">
        <f aca="false">R312/$K$2</f>
        <v>164.535234907638</v>
      </c>
      <c r="T312" s="43" t="n">
        <f aca="false">S312-$M$2</f>
        <v>-0.000144461501093929</v>
      </c>
    </row>
    <row r="313" customFormat="false" ht="15" hidden="false" customHeight="false" outlineLevel="0" collapsed="false">
      <c r="A313" s="5" t="n">
        <v>20</v>
      </c>
      <c r="B313" s="25" t="n">
        <f aca="false">IF(T312&gt;0,B312,D312)</f>
        <v>0.0304937362670898</v>
      </c>
      <c r="C313" s="25" t="n">
        <f aca="false">IF(T312&gt;0,D312,C312)</f>
        <v>0.0304965972900391</v>
      </c>
      <c r="D313" s="41" t="n">
        <f aca="false">(B313+C313)/2</f>
        <v>0.0304951667785645</v>
      </c>
      <c r="E313" s="15" t="n">
        <f aca="false">$C$2*(1+IF(E$3&lt;=$O$2,$D313,$D313-($D313-$I$292)*MIN(E$3-$O$2,$Q$2)/$Q$2))</f>
        <v>896.561709952354</v>
      </c>
      <c r="F313" s="15" t="n">
        <f aca="false">E313*(1+IF(F$3&lt;=$O$2,$D313,$D313-($D313-$I$292)*MIN(F$3-$O$2,$Q$2)/$Q$2))</f>
        <v>923.902508824626</v>
      </c>
      <c r="G313" s="15" t="n">
        <f aca="false">F313*(1+IF(G$3&lt;=$O$2,$D313,$D313-($D313-$I$292)*MIN(G$3-$O$2,$Q$2)/$Q$2))</f>
        <v>952.077069918367</v>
      </c>
      <c r="H313" s="15" t="n">
        <f aca="false">G313*(1+IF(H$3&lt;=$O$2,$D313,$D313-($D313-$I$292)*MIN(H$3-$O$2,$Q$2)/$Q$2))</f>
        <v>981.110818951575</v>
      </c>
      <c r="I313" s="15" t="n">
        <f aca="false">H313*(1+IF(I$3&lt;=$O$2,$D313,$D313-($D313-$I$292)*MIN(I$3-$O$2,$Q$2)/$Q$2))</f>
        <v>1011.02995700376</v>
      </c>
      <c r="J313" s="15" t="n">
        <f aca="false">I313*(1+IF(J$3&lt;=$O$2,$D313,$D313-($D313-$I$292)*MIN(J$3-$O$2,$Q$2)/$Q$2))</f>
        <v>1043.43966819997</v>
      </c>
      <c r="K313" s="15" t="n">
        <f aca="false">J313*(1+IF(K$3&lt;=$O$2,$D313,$D313-($D313-$I$292)*MIN(K$3-$O$2,$Q$2)/$Q$2))</f>
        <v>1078.51708393987</v>
      </c>
      <c r="L313" s="15" t="n">
        <f aca="false">K313*(1+IF(L$3&lt;=$O$2,$D313,$D313-($D313-$I$292)*MIN(L$3-$O$2,$Q$2)/$Q$2))</f>
        <v>1116.45722986812</v>
      </c>
      <c r="M313" s="15" t="n">
        <f aca="false">L313*(1+IF(M$3&lt;=$O$2,$D313,$D313-($D313-$I$292)*MIN(M$3-$O$2,$Q$2)/$Q$2))</f>
        <v>1157.47478927647</v>
      </c>
      <c r="N313" s="15" t="n">
        <f aca="false">M313*(1+IF(N$3&lt;=$O$2,$D313,$D313-($D313-$I$292)*MIN(N$3-$O$2,$Q$2)/$Q$2))</f>
        <v>1201.80607370576</v>
      </c>
      <c r="O313" s="15" t="n">
        <f aca="false">SUMPRODUCT(E313:N313,1/(1+$F$292)^$E$3:$N$3)*$E$2</f>
        <v>1577.16724980397</v>
      </c>
      <c r="P313" s="15" t="n">
        <f aca="false">N313*$E$2*(1+$I$292)/($F$292-$I$292)/(1+$F$292)^$N$3</f>
        <v>4045.47695917697</v>
      </c>
      <c r="Q313" s="15" t="n">
        <f aca="false">O313+P313</f>
        <v>5622.64420898094</v>
      </c>
      <c r="R313" s="15" t="n">
        <f aca="false">Q313-$G$2+$I$2</f>
        <v>5790.04420898094</v>
      </c>
      <c r="S313" s="42" t="n">
        <f aca="false">R313/$K$2</f>
        <v>164.536635662999</v>
      </c>
      <c r="T313" s="43" t="n">
        <f aca="false">S313-$M$2</f>
        <v>0.00125629386019455</v>
      </c>
    </row>
    <row r="314" customFormat="false" ht="15" hidden="false" customHeight="false" outlineLevel="0" collapsed="false">
      <c r="A314" s="5" t="n">
        <v>21</v>
      </c>
      <c r="B314" s="25" t="n">
        <f aca="false">IF(T313&gt;0,B313,D313)</f>
        <v>0.0304937362670898</v>
      </c>
      <c r="C314" s="25" t="n">
        <f aca="false">IF(T313&gt;0,D313,C313)</f>
        <v>0.0304951667785645</v>
      </c>
      <c r="D314" s="41" t="n">
        <f aca="false">(B314+C314)/2</f>
        <v>0.0304944515228272</v>
      </c>
      <c r="E314" s="15" t="n">
        <f aca="false">$C$2*(1+IF(E$3&lt;=$O$2,$D314,$D314-($D314-$I$292)*MIN(E$3-$O$2,$Q$2)/$Q$2))</f>
        <v>896.561087658405</v>
      </c>
      <c r="F314" s="15" t="n">
        <f aca="false">E314*(1+IF(F$3&lt;=$O$2,$D314,$D314-($D314-$I$292)*MIN(F$3-$O$2,$Q$2)/$Q$2))</f>
        <v>923.901226283258</v>
      </c>
      <c r="G314" s="15" t="n">
        <f aca="false">F314*(1+IF(G$3&lt;=$O$2,$D314,$D314-($D314-$I$292)*MIN(G$3-$O$2,$Q$2)/$Q$2))</f>
        <v>952.075087440033</v>
      </c>
      <c r="H314" s="15" t="n">
        <f aca="false">G314*(1+IF(H$3&lt;=$O$2,$D314,$D314-($D314-$I$292)*MIN(H$3-$O$2,$Q$2)/$Q$2))</f>
        <v>981.108095040065</v>
      </c>
      <c r="I314" s="15" t="n">
        <f aca="false">H314*(1+IF(I$3&lt;=$O$2,$D314,$D314-($D314-$I$292)*MIN(I$3-$O$2,$Q$2)/$Q$2))</f>
        <v>1011.02644828292</v>
      </c>
      <c r="J314" s="15" t="n">
        <f aca="false">I314*(1+IF(J$3&lt;=$O$2,$D314,$D314-($D314-$I$292)*MIN(J$3-$O$2,$Q$2)/$Q$2))</f>
        <v>1043.43546848913</v>
      </c>
      <c r="K314" s="15" t="n">
        <f aca="false">J314*(1+IF(K$3&lt;=$O$2,$D314,$D314-($D314-$I$292)*MIN(K$3-$O$2,$Q$2)/$Q$2))</f>
        <v>1078.51229525301</v>
      </c>
      <c r="L314" s="15" t="n">
        <f aca="false">K314*(1+IF(L$3&lt;=$O$2,$D314,$D314-($D314-$I$292)*MIN(L$3-$O$2,$Q$2)/$Q$2))</f>
        <v>1116.45196415967</v>
      </c>
      <c r="M314" s="15" t="n">
        <f aca="false">L314*(1+IF(M$3&lt;=$O$2,$D314,$D314-($D314-$I$292)*MIN(M$3-$O$2,$Q$2)/$Q$2))</f>
        <v>1157.46917040125</v>
      </c>
      <c r="N314" s="15" t="n">
        <f aca="false">M314*(1+IF(N$3&lt;=$O$2,$D314,$D314-($D314-$I$292)*MIN(N$3-$O$2,$Q$2)/$Q$2))</f>
        <v>1201.80023962762</v>
      </c>
      <c r="O314" s="15" t="n">
        <f aca="false">SUMPRODUCT(E314:N314,1/(1+$F$292)^$E$3:$N$3)*$E$2</f>
        <v>1577.16224193057</v>
      </c>
      <c r="P314" s="15" t="n">
        <f aca="false">N314*$E$2*(1+$I$292)/($F$292-$I$292)/(1+$F$292)^$N$3</f>
        <v>4045.45732071015</v>
      </c>
      <c r="Q314" s="15" t="n">
        <f aca="false">O314+P314</f>
        <v>5622.61956264071</v>
      </c>
      <c r="R314" s="15" t="n">
        <f aca="false">Q314-$G$2+$I$2</f>
        <v>5790.01956264071</v>
      </c>
      <c r="S314" s="42" t="n">
        <f aca="false">R314/$K$2</f>
        <v>164.535935283908</v>
      </c>
      <c r="T314" s="43" t="n">
        <f aca="false">S314-$M$2</f>
        <v>0.000555914768710863</v>
      </c>
    </row>
    <row r="315" customFormat="false" ht="15" hidden="false" customHeight="false" outlineLevel="0" collapsed="false">
      <c r="A315" s="5" t="n">
        <v>22</v>
      </c>
      <c r="B315" s="25" t="n">
        <f aca="false">IF(T314&gt;0,B314,D314)</f>
        <v>0.0304937362670898</v>
      </c>
      <c r="C315" s="25" t="n">
        <f aca="false">IF(T314&gt;0,D314,C314)</f>
        <v>0.0304944515228272</v>
      </c>
      <c r="D315" s="41" t="n">
        <f aca="false">(B315+C315)/2</f>
        <v>0.0304940938949585</v>
      </c>
      <c r="E315" s="15" t="n">
        <f aca="false">$C$2*(1+IF(E$3&lt;=$O$2,$D315,$D315-($D315-$I$292)*MIN(E$3-$O$2,$Q$2)/$Q$2))</f>
        <v>896.560776511431</v>
      </c>
      <c r="F315" s="15" t="n">
        <f aca="false">E315*(1+IF(F$3&lt;=$O$2,$D315,$D315-($D315-$I$292)*MIN(F$3-$O$2,$Q$2)/$Q$2))</f>
        <v>923.900585012907</v>
      </c>
      <c r="G315" s="15" t="n">
        <f aca="false">F315*(1+IF(G$3&lt;=$O$2,$D315,$D315-($D315-$I$292)*MIN(G$3-$O$2,$Q$2)/$Q$2))</f>
        <v>952.074096201898</v>
      </c>
      <c r="H315" s="15" t="n">
        <f aca="false">G315*(1+IF(H$3&lt;=$O$2,$D315,$D315-($D315-$I$292)*MIN(H$3-$O$2,$Q$2)/$Q$2))</f>
        <v>981.106733086436</v>
      </c>
      <c r="I315" s="15" t="n">
        <f aca="false">H315*(1+IF(I$3&lt;=$O$2,$D315,$D315-($D315-$I$292)*MIN(I$3-$O$2,$Q$2)/$Q$2))</f>
        <v>1011.02469392615</v>
      </c>
      <c r="J315" s="15" t="n">
        <f aca="false">I315*(1+IF(J$3&lt;=$O$2,$D315,$D315-($D315-$I$292)*MIN(J$3-$O$2,$Q$2)/$Q$2))</f>
        <v>1043.43336863899</v>
      </c>
      <c r="K315" s="15" t="n">
        <f aca="false">J315*(1+IF(K$3&lt;=$O$2,$D315,$D315-($D315-$I$292)*MIN(K$3-$O$2,$Q$2)/$Q$2))</f>
        <v>1078.50990091638</v>
      </c>
      <c r="L315" s="15" t="n">
        <f aca="false">K315*(1+IF(L$3&lt;=$O$2,$D315,$D315-($D315-$I$292)*MIN(L$3-$O$2,$Q$2)/$Q$2))</f>
        <v>1116.44933131352</v>
      </c>
      <c r="M315" s="15" t="n">
        <f aca="false">L315*(1+IF(M$3&lt;=$O$2,$D315,$D315-($D315-$I$292)*MIN(M$3-$O$2,$Q$2)/$Q$2))</f>
        <v>1157.46636097257</v>
      </c>
      <c r="N315" s="15" t="n">
        <f aca="false">M315*(1+IF(N$3&lt;=$O$2,$D315,$D315-($D315-$I$292)*MIN(N$3-$O$2,$Q$2)/$Q$2))</f>
        <v>1201.79732259782</v>
      </c>
      <c r="O315" s="15" t="n">
        <f aca="false">SUMPRODUCT(E315:N315,1/(1+$F$292)^$E$3:$N$3)*$E$2</f>
        <v>1577.15973799987</v>
      </c>
      <c r="P315" s="15" t="n">
        <f aca="false">N315*$E$2*(1+$I$292)/($F$292-$I$292)/(1+$F$292)^$N$3</f>
        <v>4045.44750150796</v>
      </c>
      <c r="Q315" s="15" t="n">
        <f aca="false">O315+P315</f>
        <v>5622.60723950783</v>
      </c>
      <c r="R315" s="15" t="n">
        <f aca="false">Q315-$G$2+$I$2</f>
        <v>5790.00723950784</v>
      </c>
      <c r="S315" s="42" t="n">
        <f aca="false">R315/$K$2</f>
        <v>164.53558509542</v>
      </c>
      <c r="T315" s="43" t="n">
        <f aca="false">S315-$M$2</f>
        <v>0.000205726281137686</v>
      </c>
    </row>
    <row r="316" customFormat="false" ht="15" hidden="false" customHeight="false" outlineLevel="0" collapsed="false">
      <c r="A316" s="5" t="n">
        <v>23</v>
      </c>
      <c r="B316" s="25" t="n">
        <f aca="false">IF(T315&gt;0,B315,D315)</f>
        <v>0.0304937362670898</v>
      </c>
      <c r="C316" s="25" t="n">
        <f aca="false">IF(T315&gt;0,D315,C315)</f>
        <v>0.0304940938949585</v>
      </c>
      <c r="D316" s="41" t="n">
        <f aca="false">(B316+C316)/2</f>
        <v>0.0304939150810242</v>
      </c>
      <c r="E316" s="15" t="n">
        <f aca="false">$C$2*(1+IF(E$3&lt;=$O$2,$D316,$D316-($D316-$I$292)*MIN(E$3-$O$2,$Q$2)/$Q$2))</f>
        <v>896.560620937943</v>
      </c>
      <c r="F316" s="15" t="n">
        <f aca="false">E316*(1+IF(F$3&lt;=$O$2,$D316,$D316-($D316-$I$292)*MIN(F$3-$O$2,$Q$2)/$Q$2))</f>
        <v>923.900264377815</v>
      </c>
      <c r="G316" s="15" t="n">
        <f aca="false">F316*(1+IF(G$3&lt;=$O$2,$D316,$D316-($D316-$I$292)*MIN(G$3-$O$2,$Q$2)/$Q$2))</f>
        <v>952.073600583088</v>
      </c>
      <c r="H316" s="15" t="n">
        <f aca="false">G316*(1+IF(H$3&lt;=$O$2,$D316,$D316-($D316-$I$292)*MIN(H$3-$O$2,$Q$2)/$Q$2))</f>
        <v>981.106052110154</v>
      </c>
      <c r="I316" s="15" t="n">
        <f aca="false">H316*(1+IF(I$3&lt;=$O$2,$D316,$D316-($D316-$I$292)*MIN(I$3-$O$2,$Q$2)/$Q$2))</f>
        <v>1011.02381674868</v>
      </c>
      <c r="J316" s="15" t="n">
        <f aca="false">I316*(1+IF(J$3&lt;=$O$2,$D316,$D316-($D316-$I$292)*MIN(J$3-$O$2,$Q$2)/$Q$2))</f>
        <v>1043.43231871524</v>
      </c>
      <c r="K316" s="15" t="n">
        <f aca="false">J316*(1+IF(K$3&lt;=$O$2,$D316,$D316-($D316-$I$292)*MIN(K$3-$O$2,$Q$2)/$Q$2))</f>
        <v>1078.50870374977</v>
      </c>
      <c r="L316" s="15" t="n">
        <f aca="false">K316*(1+IF(L$3&lt;=$O$2,$D316,$D316-($D316-$I$292)*MIN(L$3-$O$2,$Q$2)/$Q$2))</f>
        <v>1116.44801489246</v>
      </c>
      <c r="M316" s="15" t="n">
        <f aca="false">L316*(1+IF(M$3&lt;=$O$2,$D316,$D316-($D316-$I$292)*MIN(M$3-$O$2,$Q$2)/$Q$2))</f>
        <v>1157.46495626047</v>
      </c>
      <c r="N316" s="15" t="n">
        <f aca="false">M316*(1+IF(N$3&lt;=$O$2,$D316,$D316-($D316-$I$292)*MIN(N$3-$O$2,$Q$2)/$Q$2))</f>
        <v>1201.79586408524</v>
      </c>
      <c r="O316" s="15" t="n">
        <f aca="false">SUMPRODUCT(E316:N316,1/(1+$F$292)^$E$3:$N$3)*$E$2</f>
        <v>1577.15848603603</v>
      </c>
      <c r="P316" s="15" t="n">
        <f aca="false">N316*$E$2*(1+$I$292)/($F$292-$I$292)/(1+$F$292)^$N$3</f>
        <v>4045.44259191467</v>
      </c>
      <c r="Q316" s="15" t="n">
        <f aca="false">O316+P316</f>
        <v>5622.6010779507</v>
      </c>
      <c r="R316" s="15" t="n">
        <f aca="false">Q316-$G$2+$I$2</f>
        <v>5790.0010779507</v>
      </c>
      <c r="S316" s="42" t="n">
        <f aca="false">R316/$K$2</f>
        <v>164.535410001441</v>
      </c>
      <c r="T316" s="43" t="n">
        <f aca="false">S316-$M$2</f>
        <v>3.06323018435251E-005</v>
      </c>
    </row>
    <row r="317" customFormat="false" ht="15" hidden="false" customHeight="false" outlineLevel="0" collapsed="false">
      <c r="A317" s="5" t="n">
        <v>24</v>
      </c>
      <c r="B317" s="25" t="n">
        <f aca="false">IF(T316&gt;0,B316,D316)</f>
        <v>0.0304937362670898</v>
      </c>
      <c r="C317" s="25" t="n">
        <f aca="false">IF(T316&gt;0,D316,C316)</f>
        <v>0.0304939150810242</v>
      </c>
      <c r="D317" s="41" t="n">
        <f aca="false">(B317+C317)/2</f>
        <v>0.030493825674057</v>
      </c>
      <c r="E317" s="15" t="n">
        <f aca="false">$C$2*(1+IF(E$3&lt;=$O$2,$D317,$D317-($D317-$I$292)*MIN(E$3-$O$2,$Q$2)/$Q$2))</f>
        <v>896.5605431512</v>
      </c>
      <c r="F317" s="15" t="n">
        <f aca="false">E317*(1+IF(F$3&lt;=$O$2,$D317,$D317-($D317-$I$292)*MIN(F$3-$O$2,$Q$2)/$Q$2))</f>
        <v>923.90010406029</v>
      </c>
      <c r="G317" s="15" t="n">
        <f aca="false">F317*(1+IF(G$3&lt;=$O$2,$D317,$D317-($D317-$I$292)*MIN(G$3-$O$2,$Q$2)/$Q$2))</f>
        <v>952.073352773748</v>
      </c>
      <c r="H317" s="15" t="n">
        <f aca="false">G317*(1+IF(H$3&lt;=$O$2,$D317,$D317-($D317-$I$292)*MIN(H$3-$O$2,$Q$2)/$Q$2))</f>
        <v>981.105711622146</v>
      </c>
      <c r="I317" s="15" t="n">
        <f aca="false">H317*(1+IF(I$3&lt;=$O$2,$D317,$D317-($D317-$I$292)*MIN(I$3-$O$2,$Q$2)/$Q$2))</f>
        <v>1011.02337816017</v>
      </c>
      <c r="J317" s="15" t="n">
        <f aca="false">I317*(1+IF(J$3&lt;=$O$2,$D317,$D317-($D317-$I$292)*MIN(J$3-$O$2,$Q$2)/$Q$2))</f>
        <v>1043.43179375369</v>
      </c>
      <c r="K317" s="15" t="n">
        <f aca="false">J317*(1+IF(K$3&lt;=$O$2,$D317,$D317-($D317-$I$292)*MIN(K$3-$O$2,$Q$2)/$Q$2))</f>
        <v>1078.50810516689</v>
      </c>
      <c r="L317" s="15" t="n">
        <f aca="false">K317*(1+IF(L$3&lt;=$O$2,$D317,$D317-($D317-$I$292)*MIN(L$3-$O$2,$Q$2)/$Q$2))</f>
        <v>1116.44735668243</v>
      </c>
      <c r="M317" s="15" t="n">
        <f aca="false">L317*(1+IF(M$3&lt;=$O$2,$D317,$D317-($D317-$I$292)*MIN(M$3-$O$2,$Q$2)/$Q$2))</f>
        <v>1157.46425390497</v>
      </c>
      <c r="N317" s="15" t="n">
        <f aca="false">M317*(1+IF(N$3&lt;=$O$2,$D317,$D317-($D317-$I$292)*MIN(N$3-$O$2,$Q$2)/$Q$2))</f>
        <v>1201.79513482953</v>
      </c>
      <c r="O317" s="15" t="n">
        <f aca="false">SUMPRODUCT(E317:N317,1/(1+$F$292)^$E$3:$N$3)*$E$2</f>
        <v>1577.15786005449</v>
      </c>
      <c r="P317" s="15" t="n">
        <f aca="false">N317*$E$2*(1+$I$292)/($F$292-$I$292)/(1+$F$292)^$N$3</f>
        <v>4045.44013711998</v>
      </c>
      <c r="Q317" s="15" t="n">
        <f aca="false">O317+P317</f>
        <v>5622.59799717447</v>
      </c>
      <c r="R317" s="15" t="n">
        <f aca="false">Q317-$G$2+$I$2</f>
        <v>5789.99799717447</v>
      </c>
      <c r="S317" s="42" t="n">
        <f aca="false">R317/$K$2</f>
        <v>164.535322454517</v>
      </c>
      <c r="T317" s="43" t="n">
        <f aca="false">S317-$M$2</f>
        <v>-5.69146216662375E-005</v>
      </c>
    </row>
    <row r="319" customFormat="false" ht="15" hidden="false" customHeight="false" outlineLevel="0" collapsed="false">
      <c r="A319" s="38" t="s">
        <v>198</v>
      </c>
      <c r="E319" s="5" t="s">
        <v>12</v>
      </c>
      <c r="F319" s="12" t="n">
        <f aca="false">Sensitivity!$B$12</f>
        <v>0.0775075820986394</v>
      </c>
      <c r="G319" s="5" t="s">
        <v>13</v>
      </c>
      <c r="I319" s="12" t="n">
        <f aca="false">Sensitivity!$C$9</f>
        <v>0.0183</v>
      </c>
    </row>
    <row r="320" customFormat="false" ht="23.85" hidden="false" customHeight="false" outlineLevel="0" collapsed="false">
      <c r="A320" s="38" t="s">
        <v>168</v>
      </c>
      <c r="B320" s="28" t="s">
        <v>169</v>
      </c>
      <c r="C320" s="28" t="s">
        <v>170</v>
      </c>
      <c r="D320" s="28" t="s">
        <v>171</v>
      </c>
      <c r="E320" s="28" t="s">
        <v>172</v>
      </c>
      <c r="F320" s="28" t="s">
        <v>173</v>
      </c>
      <c r="G320" s="28" t="s">
        <v>174</v>
      </c>
      <c r="H320" s="28" t="s">
        <v>175</v>
      </c>
      <c r="I320" s="28" t="s">
        <v>176</v>
      </c>
      <c r="J320" s="28" t="s">
        <v>177</v>
      </c>
      <c r="K320" s="28" t="s">
        <v>178</v>
      </c>
      <c r="L320" s="28" t="s">
        <v>179</v>
      </c>
      <c r="M320" s="28" t="s">
        <v>180</v>
      </c>
      <c r="N320" s="28" t="s">
        <v>181</v>
      </c>
      <c r="O320" s="28" t="s">
        <v>182</v>
      </c>
      <c r="P320" s="28" t="s">
        <v>183</v>
      </c>
      <c r="Q320" s="28" t="s">
        <v>184</v>
      </c>
      <c r="R320" s="28" t="s">
        <v>185</v>
      </c>
      <c r="S320" s="28" t="s">
        <v>186</v>
      </c>
      <c r="T320" s="28" t="s">
        <v>187</v>
      </c>
    </row>
    <row r="321" customFormat="false" ht="15" hidden="false" customHeight="false" outlineLevel="0" collapsed="false">
      <c r="A321" s="5" t="n">
        <v>1</v>
      </c>
      <c r="B321" s="24" t="n">
        <v>-0.5</v>
      </c>
      <c r="C321" s="24" t="n">
        <v>1</v>
      </c>
      <c r="D321" s="41" t="n">
        <f aca="false">(B321+C321)/2</f>
        <v>0.25</v>
      </c>
      <c r="E321" s="15" t="n">
        <f aca="false">$C$2*(1+IF(E$3&lt;=$O$2,$D321,$D321-($D321-$I$319)*MIN(E$3-$O$2,$Q$2)/$Q$2))</f>
        <v>1087.5375</v>
      </c>
      <c r="F321" s="15" t="n">
        <f aca="false">E321*(1+IF(F$3&lt;=$O$2,$D321,$D321-($D321-$I$319)*MIN(F$3-$O$2,$Q$2)/$Q$2))</f>
        <v>1359.421875</v>
      </c>
      <c r="G321" s="15" t="n">
        <f aca="false">F321*(1+IF(G$3&lt;=$O$2,$D321,$D321-($D321-$I$319)*MIN(G$3-$O$2,$Q$2)/$Q$2))</f>
        <v>1699.27734375</v>
      </c>
      <c r="H321" s="15" t="n">
        <f aca="false">G321*(1+IF(H$3&lt;=$O$2,$D321,$D321-($D321-$I$319)*MIN(H$3-$O$2,$Q$2)/$Q$2))</f>
        <v>2124.0966796875</v>
      </c>
      <c r="I321" s="15" t="n">
        <f aca="false">H321*(1+IF(I$3&lt;=$O$2,$D321,$D321-($D321-$I$319)*MIN(I$3-$O$2,$Q$2)/$Q$2))</f>
        <v>2655.12084960938</v>
      </c>
      <c r="J321" s="15" t="n">
        <f aca="false">I321*(1+IF(J$3&lt;=$O$2,$D321,$D321-($D321-$I$319)*MIN(J$3-$O$2,$Q$2)/$Q$2))</f>
        <v>3195.86276184082</v>
      </c>
      <c r="K321" s="15" t="n">
        <f aca="false">J321*(1+IF(K$3&lt;=$O$2,$D321,$D321-($D321-$I$319)*MIN(K$3-$O$2,$Q$2)/$Q$2))</f>
        <v>3698.63589153362</v>
      </c>
      <c r="L321" s="15" t="n">
        <f aca="false">K321*(1+IF(L$3&lt;=$O$2,$D321,$D321-($D321-$I$319)*MIN(L$3-$O$2,$Q$2)/$Q$2))</f>
        <v>4109.11050277602</v>
      </c>
      <c r="M321" s="15" t="n">
        <f aca="false">L321*(1+IF(M$3&lt;=$O$2,$D321,$D321-($D321-$I$319)*MIN(M$3-$O$2,$Q$2)/$Q$2))</f>
        <v>4374.72340567546</v>
      </c>
      <c r="N321" s="15" t="n">
        <f aca="false">M321*(1+IF(N$3&lt;=$O$2,$D321,$D321-($D321-$I$319)*MIN(N$3-$O$2,$Q$2)/$Q$2))</f>
        <v>4454.78084399932</v>
      </c>
      <c r="O321" s="15" t="n">
        <f aca="false">SUMPRODUCT(E321:N321,1/(1+$F$319)^$E$3:$N$3)*$E$2</f>
        <v>3971.89046064147</v>
      </c>
      <c r="P321" s="15" t="n">
        <f aca="false">N321*$E$2*(1+$I$319)/($F$319-$I$319)/(1+$F$319)^$N$3</f>
        <v>8110.73076965683</v>
      </c>
      <c r="Q321" s="15" t="n">
        <f aca="false">O321+P321</f>
        <v>12082.6212302983</v>
      </c>
      <c r="R321" s="15" t="n">
        <f aca="false">Q321-$G$2+$I$2</f>
        <v>12250.0212302983</v>
      </c>
      <c r="S321" s="42" t="n">
        <f aca="false">R321/$K$2</f>
        <v>348.11086190106</v>
      </c>
      <c r="T321" s="43" t="n">
        <f aca="false">S321-$M$2</f>
        <v>183.575482531921</v>
      </c>
    </row>
    <row r="322" customFormat="false" ht="15" hidden="false" customHeight="false" outlineLevel="0" collapsed="false">
      <c r="A322" s="5" t="n">
        <v>2</v>
      </c>
      <c r="B322" s="25" t="n">
        <f aca="false">IF(T321&gt;0,B321,D321)</f>
        <v>-0.5</v>
      </c>
      <c r="C322" s="25" t="n">
        <f aca="false">IF(T321&gt;0,D321,C321)</f>
        <v>0.25</v>
      </c>
      <c r="D322" s="41" t="n">
        <f aca="false">(B322+C322)/2</f>
        <v>-0.125</v>
      </c>
      <c r="E322" s="15" t="n">
        <f aca="false">$C$2*(1+IF(E$3&lt;=$O$2,$D322,$D322-($D322-$I$319)*MIN(E$3-$O$2,$Q$2)/$Q$2))</f>
        <v>761.27625</v>
      </c>
      <c r="F322" s="15" t="n">
        <f aca="false">E322*(1+IF(F$3&lt;=$O$2,$D322,$D322-($D322-$I$319)*MIN(F$3-$O$2,$Q$2)/$Q$2))</f>
        <v>666.11671875</v>
      </c>
      <c r="G322" s="15" t="n">
        <f aca="false">F322*(1+IF(G$3&lt;=$O$2,$D322,$D322-($D322-$I$319)*MIN(G$3-$O$2,$Q$2)/$Q$2))</f>
        <v>582.85212890625</v>
      </c>
      <c r="H322" s="15" t="n">
        <f aca="false">G322*(1+IF(H$3&lt;=$O$2,$D322,$D322-($D322-$I$319)*MIN(H$3-$O$2,$Q$2)/$Q$2))</f>
        <v>509.995612792969</v>
      </c>
      <c r="I322" s="15" t="n">
        <f aca="false">H322*(1+IF(I$3&lt;=$O$2,$D322,$D322-($D322-$I$319)*MIN(I$3-$O$2,$Q$2)/$Q$2))</f>
        <v>446.246161193848</v>
      </c>
      <c r="J322" s="15" t="n">
        <f aca="false">I322*(1+IF(J$3&lt;=$O$2,$D322,$D322-($D322-$I$319)*MIN(J$3-$O$2,$Q$2)/$Q$2))</f>
        <v>403.254806024432</v>
      </c>
      <c r="K322" s="15" t="n">
        <f aca="false">J322*(1+IF(K$3&lt;=$O$2,$D322,$D322-($D322-$I$319)*MIN(K$3-$O$2,$Q$2)/$Q$2))</f>
        <v>375.962520752699</v>
      </c>
      <c r="L322" s="15" t="n">
        <f aca="false">K322*(1+IF(L$3&lt;=$O$2,$D322,$D322-($D322-$I$319)*MIN(L$3-$O$2,$Q$2)/$Q$2))</f>
        <v>361.292463192929</v>
      </c>
      <c r="M322" s="15" t="n">
        <f aca="false">L322*(1+IF(M$3&lt;=$O$2,$D322,$D322-($D322-$I$319)*MIN(M$3-$O$2,$Q$2)/$Q$2))</f>
        <v>357.54947327425</v>
      </c>
      <c r="N322" s="15" t="n">
        <f aca="false">M322*(1+IF(N$3&lt;=$O$2,$D322,$D322-($D322-$I$319)*MIN(N$3-$O$2,$Q$2)/$Q$2))</f>
        <v>364.092628635169</v>
      </c>
      <c r="O322" s="15" t="n">
        <f aca="false">SUMPRODUCT(E322:N322,1/(1+$F$319)^$E$3:$N$3)*$E$2</f>
        <v>774.134181901637</v>
      </c>
      <c r="P322" s="15" t="n">
        <f aca="false">N322*$E$2*(1+$I$319)/($F$319-$I$319)/(1+$F$319)^$N$3</f>
        <v>662.896198374007</v>
      </c>
      <c r="Q322" s="15" t="n">
        <f aca="false">O322+P322</f>
        <v>1437.03038027564</v>
      </c>
      <c r="R322" s="15" t="n">
        <f aca="false">Q322-$G$2+$I$2</f>
        <v>1604.43038027564</v>
      </c>
      <c r="S322" s="42" t="n">
        <f aca="false">R322/$K$2</f>
        <v>45.593361189987</v>
      </c>
      <c r="T322" s="43" t="n">
        <f aca="false">S322-$M$2</f>
        <v>-118.942018179152</v>
      </c>
    </row>
    <row r="323" customFormat="false" ht="15" hidden="false" customHeight="false" outlineLevel="0" collapsed="false">
      <c r="A323" s="5" t="n">
        <v>3</v>
      </c>
      <c r="B323" s="25" t="n">
        <f aca="false">IF(T322&gt;0,B322,D322)</f>
        <v>-0.125</v>
      </c>
      <c r="C323" s="25" t="n">
        <f aca="false">IF(T322&gt;0,D322,C322)</f>
        <v>0.25</v>
      </c>
      <c r="D323" s="41" t="n">
        <f aca="false">(B323+C323)/2</f>
        <v>0.0625</v>
      </c>
      <c r="E323" s="15" t="n">
        <f aca="false">$C$2*(1+IF(E$3&lt;=$O$2,$D323,$D323-($D323-$I$319)*MIN(E$3-$O$2,$Q$2)/$Q$2))</f>
        <v>924.406875</v>
      </c>
      <c r="F323" s="15" t="n">
        <f aca="false">E323*(1+IF(F$3&lt;=$O$2,$D323,$D323-($D323-$I$319)*MIN(F$3-$O$2,$Q$2)/$Q$2))</f>
        <v>982.1823046875</v>
      </c>
      <c r="G323" s="15" t="n">
        <f aca="false">F323*(1+IF(G$3&lt;=$O$2,$D323,$D323-($D323-$I$319)*MIN(G$3-$O$2,$Q$2)/$Q$2))</f>
        <v>1043.56869873047</v>
      </c>
      <c r="H323" s="15" t="n">
        <f aca="false">G323*(1+IF(H$3&lt;=$O$2,$D323,$D323-($D323-$I$319)*MIN(H$3-$O$2,$Q$2)/$Q$2))</f>
        <v>1108.79174240112</v>
      </c>
      <c r="I323" s="15" t="n">
        <f aca="false">H323*(1+IF(I$3&lt;=$O$2,$D323,$D323-($D323-$I$319)*MIN(I$3-$O$2,$Q$2)/$Q$2))</f>
        <v>1178.09122630119</v>
      </c>
      <c r="J323" s="15" t="n">
        <f aca="false">I323*(1+IF(J$3&lt;=$O$2,$D323,$D323-($D323-$I$319)*MIN(J$3-$O$2,$Q$2)/$Q$2))</f>
        <v>1241.30760150452</v>
      </c>
      <c r="K323" s="15" t="n">
        <f aca="false">J323*(1+IF(K$3&lt;=$O$2,$D323,$D323-($D323-$I$319)*MIN(K$3-$O$2,$Q$2)/$Q$2))</f>
        <v>1296.94300820395</v>
      </c>
      <c r="L323" s="15" t="n">
        <f aca="false">K323*(1+IF(L$3&lt;=$O$2,$D323,$D323-($D323-$I$319)*MIN(L$3-$O$2,$Q$2)/$Q$2))</f>
        <v>1343.60701763913</v>
      </c>
      <c r="M323" s="15" t="n">
        <f aca="false">L323*(1+IF(M$3&lt;=$O$2,$D323,$D323-($D323-$I$319)*MIN(M$3-$O$2,$Q$2)/$Q$2))</f>
        <v>1380.07251209785</v>
      </c>
      <c r="N323" s="15" t="n">
        <f aca="false">M323*(1+IF(N$3&lt;=$O$2,$D323,$D323-($D323-$I$319)*MIN(N$3-$O$2,$Q$2)/$Q$2))</f>
        <v>1405.32783906924</v>
      </c>
      <c r="O323" s="15" t="n">
        <f aca="false">SUMPRODUCT(E323:N323,1/(1+$F$319)^$E$3:$N$3)*$E$2</f>
        <v>1751.86903234487</v>
      </c>
      <c r="P323" s="15" t="n">
        <f aca="false">N323*$E$2*(1+$I$319)/($F$319-$I$319)/(1+$F$319)^$N$3</f>
        <v>2558.65241073484</v>
      </c>
      <c r="Q323" s="15" t="n">
        <f aca="false">O323+P323</f>
        <v>4310.52144307971</v>
      </c>
      <c r="R323" s="15" t="n">
        <f aca="false">Q323-$G$2+$I$2</f>
        <v>4477.92144307971</v>
      </c>
      <c r="S323" s="42" t="n">
        <f aca="false">R323/$K$2</f>
        <v>127.249827879503</v>
      </c>
      <c r="T323" s="43" t="n">
        <f aca="false">S323-$M$2</f>
        <v>-37.285551489636</v>
      </c>
    </row>
    <row r="324" customFormat="false" ht="15" hidden="false" customHeight="false" outlineLevel="0" collapsed="false">
      <c r="A324" s="5" t="n">
        <v>4</v>
      </c>
      <c r="B324" s="25" t="n">
        <f aca="false">IF(T323&gt;0,B323,D323)</f>
        <v>0.0625</v>
      </c>
      <c r="C324" s="25" t="n">
        <f aca="false">IF(T323&gt;0,D323,C323)</f>
        <v>0.25</v>
      </c>
      <c r="D324" s="41" t="n">
        <f aca="false">(B324+C324)/2</f>
        <v>0.15625</v>
      </c>
      <c r="E324" s="15" t="n">
        <f aca="false">$C$2*(1+IF(E$3&lt;=$O$2,$D324,$D324-($D324-$I$319)*MIN(E$3-$O$2,$Q$2)/$Q$2))</f>
        <v>1005.9721875</v>
      </c>
      <c r="F324" s="15" t="n">
        <f aca="false">E324*(1+IF(F$3&lt;=$O$2,$D324,$D324-($D324-$I$319)*MIN(F$3-$O$2,$Q$2)/$Q$2))</f>
        <v>1163.15534179688</v>
      </c>
      <c r="G324" s="15" t="n">
        <f aca="false">F324*(1+IF(G$3&lt;=$O$2,$D324,$D324-($D324-$I$319)*MIN(G$3-$O$2,$Q$2)/$Q$2))</f>
        <v>1344.89836395264</v>
      </c>
      <c r="H324" s="15" t="n">
        <f aca="false">G324*(1+IF(H$3&lt;=$O$2,$D324,$D324-($D324-$I$319)*MIN(H$3-$O$2,$Q$2)/$Q$2))</f>
        <v>1555.03873332024</v>
      </c>
      <c r="I324" s="15" t="n">
        <f aca="false">H324*(1+IF(I$3&lt;=$O$2,$D324,$D324-($D324-$I$319)*MIN(I$3-$O$2,$Q$2)/$Q$2))</f>
        <v>1798.01353540152</v>
      </c>
      <c r="J324" s="15" t="n">
        <f aca="false">I324*(1+IF(J$3&lt;=$O$2,$D324,$D324-($D324-$I$319)*MIN(J$3-$O$2,$Q$2)/$Q$2))</f>
        <v>2029.34595686628</v>
      </c>
      <c r="K324" s="15" t="n">
        <f aca="false">J324*(1+IF(K$3&lt;=$O$2,$D324,$D324-($D324-$I$319)*MIN(K$3-$O$2,$Q$2)/$Q$2))</f>
        <v>2234.45195272676</v>
      </c>
      <c r="L324" s="15" t="n">
        <f aca="false">K324*(1+IF(L$3&lt;=$O$2,$D324,$D324-($D324-$I$319)*MIN(L$3-$O$2,$Q$2)/$Q$2))</f>
        <v>2398.63948221312</v>
      </c>
      <c r="M324" s="15" t="n">
        <f aca="false">L324*(1+IF(M$3&lt;=$O$2,$D324,$D324-($D324-$I$319)*MIN(M$3-$O$2,$Q$2)/$Q$2))</f>
        <v>2508.71304805188</v>
      </c>
      <c r="N324" s="15" t="n">
        <f aca="false">M324*(1+IF(N$3&lt;=$O$2,$D324,$D324-($D324-$I$319)*MIN(N$3-$O$2,$Q$2)/$Q$2))</f>
        <v>2554.62249683123</v>
      </c>
      <c r="O324" s="15" t="n">
        <f aca="false">SUMPRODUCT(E324:N324,1/(1+$F$319)^$E$3:$N$3)*$E$2</f>
        <v>2643.31057647154</v>
      </c>
      <c r="P324" s="15" t="n">
        <f aca="false">N324*$E$2*(1+$I$319)/($F$319-$I$319)/(1+$F$319)^$N$3</f>
        <v>4651.15030693747</v>
      </c>
      <c r="Q324" s="15" t="n">
        <f aca="false">O324+P324</f>
        <v>7294.46088340902</v>
      </c>
      <c r="R324" s="15" t="n">
        <f aca="false">Q324-$G$2+$I$2</f>
        <v>7461.86088340902</v>
      </c>
      <c r="S324" s="42" t="n">
        <f aca="false">R324/$K$2</f>
        <v>212.044924223047</v>
      </c>
      <c r="T324" s="43" t="n">
        <f aca="false">S324-$M$2</f>
        <v>47.5095448539078</v>
      </c>
    </row>
    <row r="325" customFormat="false" ht="15" hidden="false" customHeight="false" outlineLevel="0" collapsed="false">
      <c r="A325" s="5" t="n">
        <v>5</v>
      </c>
      <c r="B325" s="25" t="n">
        <f aca="false">IF(T324&gt;0,B324,D324)</f>
        <v>0.0625</v>
      </c>
      <c r="C325" s="25" t="n">
        <f aca="false">IF(T324&gt;0,D324,C324)</f>
        <v>0.15625</v>
      </c>
      <c r="D325" s="41" t="n">
        <f aca="false">(B325+C325)/2</f>
        <v>0.109375</v>
      </c>
      <c r="E325" s="15" t="n">
        <f aca="false">$C$2*(1+IF(E$3&lt;=$O$2,$D325,$D325-($D325-$I$319)*MIN(E$3-$O$2,$Q$2)/$Q$2))</f>
        <v>965.18953125</v>
      </c>
      <c r="F325" s="15" t="n">
        <f aca="false">E325*(1+IF(F$3&lt;=$O$2,$D325,$D325-($D325-$I$319)*MIN(F$3-$O$2,$Q$2)/$Q$2))</f>
        <v>1070.75713623047</v>
      </c>
      <c r="G325" s="15" t="n">
        <f aca="false">F325*(1+IF(G$3&lt;=$O$2,$D325,$D325-($D325-$I$319)*MIN(G$3-$O$2,$Q$2)/$Q$2))</f>
        <v>1187.87119800568</v>
      </c>
      <c r="H325" s="15" t="n">
        <f aca="false">G325*(1+IF(H$3&lt;=$O$2,$D325,$D325-($D325-$I$319)*MIN(H$3-$O$2,$Q$2)/$Q$2))</f>
        <v>1317.79461028755</v>
      </c>
      <c r="I325" s="15" t="n">
        <f aca="false">H325*(1+IF(I$3&lt;=$O$2,$D325,$D325-($D325-$I$319)*MIN(I$3-$O$2,$Q$2)/$Q$2))</f>
        <v>1461.92839578775</v>
      </c>
      <c r="J325" s="15" t="n">
        <f aca="false">I325*(1+IF(J$3&lt;=$O$2,$D325,$D325-($D325-$I$319)*MIN(J$3-$O$2,$Q$2)/$Q$2))</f>
        <v>1595.19778834776</v>
      </c>
      <c r="K325" s="15" t="n">
        <f aca="false">J325*(1+IF(K$3&lt;=$O$2,$D325,$D325-($D325-$I$319)*MIN(K$3-$O$2,$Q$2)/$Q$2))</f>
        <v>1711.55949101879</v>
      </c>
      <c r="L325" s="15" t="n">
        <f aca="false">K325*(1+IF(L$3&lt;=$O$2,$D325,$D325-($D325-$I$319)*MIN(L$3-$O$2,$Q$2)/$Q$2))</f>
        <v>1805.23314196224</v>
      </c>
      <c r="M325" s="15" t="n">
        <f aca="false">L325*(1+IF(M$3&lt;=$O$2,$D325,$D325-($D325-$I$319)*MIN(M$3-$O$2,$Q$2)/$Q$2))</f>
        <v>1871.151230141</v>
      </c>
      <c r="N325" s="15" t="n">
        <f aca="false">M325*(1+IF(N$3&lt;=$O$2,$D325,$D325-($D325-$I$319)*MIN(N$3-$O$2,$Q$2)/$Q$2))</f>
        <v>1905.39329765258</v>
      </c>
      <c r="O325" s="15" t="n">
        <f aca="false">SUMPRODUCT(E325:N325,1/(1+$F$319)^$E$3:$N$3)*$E$2</f>
        <v>2152.48614344405</v>
      </c>
      <c r="P325" s="15" t="n">
        <f aca="false">N325*$E$2*(1+$I$319)/($F$319-$I$319)/(1+$F$319)^$N$3</f>
        <v>3469.11163281706</v>
      </c>
      <c r="Q325" s="15" t="n">
        <f aca="false">O325+P325</f>
        <v>5621.59777626111</v>
      </c>
      <c r="R325" s="15" t="n">
        <f aca="false">Q325-$G$2+$I$2</f>
        <v>5788.99777626111</v>
      </c>
      <c r="S325" s="42" t="n">
        <f aca="false">R325/$K$2</f>
        <v>164.506899012819</v>
      </c>
      <c r="T325" s="43" t="n">
        <f aca="false">S325-$M$2</f>
        <v>-0.0284803563197897</v>
      </c>
    </row>
    <row r="326" customFormat="false" ht="15" hidden="false" customHeight="false" outlineLevel="0" collapsed="false">
      <c r="A326" s="5" t="n">
        <v>6</v>
      </c>
      <c r="B326" s="25" t="n">
        <f aca="false">IF(T325&gt;0,B325,D325)</f>
        <v>0.109375</v>
      </c>
      <c r="C326" s="25" t="n">
        <f aca="false">IF(T325&gt;0,D325,C325)</f>
        <v>0.15625</v>
      </c>
      <c r="D326" s="41" t="n">
        <f aca="false">(B326+C326)/2</f>
        <v>0.1328125</v>
      </c>
      <c r="E326" s="15" t="n">
        <f aca="false">$C$2*(1+IF(E$3&lt;=$O$2,$D326,$D326-($D326-$I$319)*MIN(E$3-$O$2,$Q$2)/$Q$2))</f>
        <v>985.580859375</v>
      </c>
      <c r="F326" s="15" t="n">
        <f aca="false">E326*(1+IF(F$3&lt;=$O$2,$D326,$D326-($D326-$I$319)*MIN(F$3-$O$2,$Q$2)/$Q$2))</f>
        <v>1116.47831726074</v>
      </c>
      <c r="G326" s="15" t="n">
        <f aca="false">F326*(1+IF(G$3&lt;=$O$2,$D326,$D326-($D326-$I$319)*MIN(G$3-$O$2,$Q$2)/$Q$2))</f>
        <v>1264.76059377193</v>
      </c>
      <c r="H326" s="15" t="n">
        <f aca="false">G326*(1+IF(H$3&lt;=$O$2,$D326,$D326-($D326-$I$319)*MIN(H$3-$O$2,$Q$2)/$Q$2))</f>
        <v>1432.73661013227</v>
      </c>
      <c r="I326" s="15" t="n">
        <f aca="false">H326*(1+IF(I$3&lt;=$O$2,$D326,$D326-($D326-$I$319)*MIN(I$3-$O$2,$Q$2)/$Q$2))</f>
        <v>1623.02194116546</v>
      </c>
      <c r="J326" s="15" t="n">
        <f aca="false">I326*(1+IF(J$3&lt;=$O$2,$D326,$D326-($D326-$I$319)*MIN(J$3-$O$2,$Q$2)/$Q$2))</f>
        <v>1801.40828271896</v>
      </c>
      <c r="K326" s="15" t="n">
        <f aca="false">J326*(1+IF(K$3&lt;=$O$2,$D326,$D326-($D326-$I$319)*MIN(K$3-$O$2,$Q$2)/$Q$2))</f>
        <v>1958.14431387763</v>
      </c>
      <c r="L326" s="15" t="n">
        <f aca="false">K326*(1+IF(L$3&lt;=$O$2,$D326,$D326-($D326-$I$319)*MIN(L$3-$O$2,$Q$2)/$Q$2))</f>
        <v>2083.67115511875</v>
      </c>
      <c r="M326" s="15" t="n">
        <f aca="false">L326*(1+IF(M$3&lt;=$O$2,$D326,$D326-($D326-$I$319)*MIN(M$3-$O$2,$Q$2)/$Q$2))</f>
        <v>2169.52361588753</v>
      </c>
      <c r="N326" s="15" t="n">
        <f aca="false">M326*(1+IF(N$3&lt;=$O$2,$D326,$D326-($D326-$I$319)*MIN(N$3-$O$2,$Q$2)/$Q$2))</f>
        <v>2209.22589805827</v>
      </c>
      <c r="O326" s="15" t="n">
        <f aca="false">SUMPRODUCT(E326:N326,1/(1+$F$319)^$E$3:$N$3)*$E$2</f>
        <v>2385.5471511077</v>
      </c>
      <c r="P326" s="15" t="n">
        <f aca="false">N326*$E$2*(1+$I$319)/($F$319-$I$319)/(1+$F$319)^$N$3</f>
        <v>4022.29359781873</v>
      </c>
      <c r="Q326" s="15" t="n">
        <f aca="false">O326+P326</f>
        <v>6407.84074892643</v>
      </c>
      <c r="R326" s="15" t="n">
        <f aca="false">Q326-$G$2+$I$2</f>
        <v>6575.24074892643</v>
      </c>
      <c r="S326" s="42" t="n">
        <f aca="false">R326/$K$2</f>
        <v>186.84969448498</v>
      </c>
      <c r="T326" s="43" t="n">
        <f aca="false">S326-$M$2</f>
        <v>22.3143151158406</v>
      </c>
    </row>
    <row r="327" customFormat="false" ht="15" hidden="false" customHeight="false" outlineLevel="0" collapsed="false">
      <c r="A327" s="5" t="n">
        <v>7</v>
      </c>
      <c r="B327" s="25" t="n">
        <f aca="false">IF(T326&gt;0,B326,D326)</f>
        <v>0.109375</v>
      </c>
      <c r="C327" s="25" t="n">
        <f aca="false">IF(T326&gt;0,D326,C326)</f>
        <v>0.1328125</v>
      </c>
      <c r="D327" s="41" t="n">
        <f aca="false">(B327+C327)/2</f>
        <v>0.12109375</v>
      </c>
      <c r="E327" s="15" t="n">
        <f aca="false">$C$2*(1+IF(E$3&lt;=$O$2,$D327,$D327-($D327-$I$319)*MIN(E$3-$O$2,$Q$2)/$Q$2))</f>
        <v>975.3851953125</v>
      </c>
      <c r="F327" s="15" t="n">
        <f aca="false">E327*(1+IF(F$3&lt;=$O$2,$D327,$D327-($D327-$I$319)*MIN(F$3-$O$2,$Q$2)/$Q$2))</f>
        <v>1093.49824630737</v>
      </c>
      <c r="G327" s="15" t="n">
        <f aca="false">F327*(1+IF(G$3&lt;=$O$2,$D327,$D327-($D327-$I$319)*MIN(G$3-$O$2,$Q$2)/$Q$2))</f>
        <v>1225.91404957116</v>
      </c>
      <c r="H327" s="15" t="n">
        <f aca="false">G327*(1+IF(H$3&lt;=$O$2,$D327,$D327-($D327-$I$319)*MIN(H$3-$O$2,$Q$2)/$Q$2))</f>
        <v>1374.36457901141</v>
      </c>
      <c r="I327" s="15" t="n">
        <f aca="false">H327*(1+IF(I$3&lt;=$O$2,$D327,$D327-($D327-$I$319)*MIN(I$3-$O$2,$Q$2)/$Q$2))</f>
        <v>1540.79153975108</v>
      </c>
      <c r="J327" s="15" t="n">
        <f aca="false">I327*(1+IF(J$3&lt;=$O$2,$D327,$D327-($D327-$I$319)*MIN(J$3-$O$2,$Q$2)/$Q$2))</f>
        <v>1695.69501719995</v>
      </c>
      <c r="K327" s="15" t="n">
        <f aca="false">J327*(1+IF(K$3&lt;=$O$2,$D327,$D327-($D327-$I$319)*MIN(K$3-$O$2,$Q$2)/$Q$2))</f>
        <v>1831.31034581929</v>
      </c>
      <c r="L327" s="15" t="n">
        <f aca="false">K327*(1+IF(L$3&lt;=$O$2,$D327,$D327-($D327-$I$319)*MIN(L$3-$O$2,$Q$2)/$Q$2))</f>
        <v>1940.12222829201</v>
      </c>
      <c r="M327" s="15" t="n">
        <f aca="false">L327*(1+IF(M$3&lt;=$O$2,$D327,$D327-($D327-$I$319)*MIN(M$3-$O$2,$Q$2)/$Q$2))</f>
        <v>2015.51295293065</v>
      </c>
      <c r="N327" s="15" t="n">
        <f aca="false">M327*(1+IF(N$3&lt;=$O$2,$D327,$D327-($D327-$I$319)*MIN(N$3-$O$2,$Q$2)/$Q$2))</f>
        <v>2052.39683996928</v>
      </c>
      <c r="O327" s="15" t="n">
        <f aca="false">SUMPRODUCT(E327:N327,1/(1+$F$319)^$E$3:$N$3)*$E$2</f>
        <v>2266.07005033042</v>
      </c>
      <c r="P327" s="15" t="n">
        <f aca="false">N327*$E$2*(1+$I$319)/($F$319-$I$319)/(1+$F$319)^$N$3</f>
        <v>3736.75805486781</v>
      </c>
      <c r="Q327" s="15" t="n">
        <f aca="false">O327+P327</f>
        <v>6002.82810519823</v>
      </c>
      <c r="R327" s="15" t="n">
        <f aca="false">Q327-$G$2+$I$2</f>
        <v>6170.22810519823</v>
      </c>
      <c r="S327" s="42" t="n">
        <f aca="false">R327/$K$2</f>
        <v>175.340383779432</v>
      </c>
      <c r="T327" s="43" t="n">
        <f aca="false">S327-$M$2</f>
        <v>10.8050044102934</v>
      </c>
    </row>
    <row r="328" customFormat="false" ht="15" hidden="false" customHeight="false" outlineLevel="0" collapsed="false">
      <c r="A328" s="5" t="n">
        <v>8</v>
      </c>
      <c r="B328" s="25" t="n">
        <f aca="false">IF(T327&gt;0,B327,D327)</f>
        <v>0.109375</v>
      </c>
      <c r="C328" s="25" t="n">
        <f aca="false">IF(T327&gt;0,D327,C327)</f>
        <v>0.12109375</v>
      </c>
      <c r="D328" s="41" t="n">
        <f aca="false">(B328+C328)/2</f>
        <v>0.115234375</v>
      </c>
      <c r="E328" s="15" t="n">
        <f aca="false">$C$2*(1+IF(E$3&lt;=$O$2,$D328,$D328-($D328-$I$319)*MIN(E$3-$O$2,$Q$2)/$Q$2))</f>
        <v>970.28736328125</v>
      </c>
      <c r="F328" s="15" t="n">
        <f aca="false">E328*(1+IF(F$3&lt;=$O$2,$D328,$D328-($D328-$I$319)*MIN(F$3-$O$2,$Q$2)/$Q$2))</f>
        <v>1082.09782115936</v>
      </c>
      <c r="G328" s="15" t="n">
        <f aca="false">F328*(1+IF(G$3&lt;=$O$2,$D328,$D328-($D328-$I$319)*MIN(G$3-$O$2,$Q$2)/$Q$2))</f>
        <v>1206.79268726952</v>
      </c>
      <c r="H328" s="15" t="n">
        <f aca="false">G328*(1+IF(H$3&lt;=$O$2,$D328,$D328-($D328-$I$319)*MIN(H$3-$O$2,$Q$2)/$Q$2))</f>
        <v>1345.8566883416</v>
      </c>
      <c r="I328" s="15" t="n">
        <f aca="false">H328*(1+IF(I$3&lt;=$O$2,$D328,$D328-($D328-$I$319)*MIN(I$3-$O$2,$Q$2)/$Q$2))</f>
        <v>1500.94564266221</v>
      </c>
      <c r="J328" s="15" t="n">
        <f aca="false">I328*(1+IF(J$3&lt;=$O$2,$D328,$D328-($D328-$I$319)*MIN(J$3-$O$2,$Q$2)/$Q$2))</f>
        <v>1644.80753014728</v>
      </c>
      <c r="K328" s="15" t="n">
        <f aca="false">J328*(1+IF(K$3&lt;=$O$2,$D328,$D328-($D328-$I$319)*MIN(K$3-$O$2,$Q$2)/$Q$2))</f>
        <v>1770.57054190705</v>
      </c>
      <c r="L328" s="15" t="n">
        <f aca="false">K328*(1+IF(L$3&lt;=$O$2,$D328,$D328-($D328-$I$319)*MIN(L$3-$O$2,$Q$2)/$Q$2))</f>
        <v>1871.62364237321</v>
      </c>
      <c r="M328" s="15" t="n">
        <f aca="false">L328*(1+IF(M$3&lt;=$O$2,$D328,$D328-($D328-$I$319)*MIN(M$3-$O$2,$Q$2)/$Q$2))</f>
        <v>1942.15928863038</v>
      </c>
      <c r="N328" s="15" t="n">
        <f aca="false">M328*(1+IF(N$3&lt;=$O$2,$D328,$D328-($D328-$I$319)*MIN(N$3-$O$2,$Q$2)/$Q$2))</f>
        <v>1977.70080361231</v>
      </c>
      <c r="O328" s="15" t="n">
        <f aca="false">SUMPRODUCT(E328:N328,1/(1+$F$319)^$E$3:$N$3)*$E$2</f>
        <v>2208.55848612564</v>
      </c>
      <c r="P328" s="15" t="n">
        <f aca="false">N328*$E$2*(1+$I$319)/($F$319-$I$319)/(1+$F$319)^$N$3</f>
        <v>3600.76046897805</v>
      </c>
      <c r="Q328" s="15" t="n">
        <f aca="false">O328+P328</f>
        <v>5809.31895510368</v>
      </c>
      <c r="R328" s="15" t="n">
        <f aca="false">Q328-$G$2+$I$2</f>
        <v>5976.71895510368</v>
      </c>
      <c r="S328" s="42" t="n">
        <f aca="false">R328/$K$2</f>
        <v>169.841402532074</v>
      </c>
      <c r="T328" s="43" t="n">
        <f aca="false">S328-$M$2</f>
        <v>5.30602316293499</v>
      </c>
    </row>
    <row r="329" customFormat="false" ht="15" hidden="false" customHeight="false" outlineLevel="0" collapsed="false">
      <c r="A329" s="5" t="n">
        <v>9</v>
      </c>
      <c r="B329" s="25" t="n">
        <f aca="false">IF(T328&gt;0,B328,D328)</f>
        <v>0.109375</v>
      </c>
      <c r="C329" s="25" t="n">
        <f aca="false">IF(T328&gt;0,D328,C328)</f>
        <v>0.115234375</v>
      </c>
      <c r="D329" s="41" t="n">
        <f aca="false">(B329+C329)/2</f>
        <v>0.1123046875</v>
      </c>
      <c r="E329" s="15" t="n">
        <f aca="false">$C$2*(1+IF(E$3&lt;=$O$2,$D329,$D329-($D329-$I$319)*MIN(E$3-$O$2,$Q$2)/$Q$2))</f>
        <v>967.738447265625</v>
      </c>
      <c r="F329" s="15" t="n">
        <f aca="false">E329*(1+IF(F$3&lt;=$O$2,$D329,$D329-($D329-$I$319)*MIN(F$3-$O$2,$Q$2)/$Q$2))</f>
        <v>1076.42001116753</v>
      </c>
      <c r="G329" s="15" t="n">
        <f aca="false">F329*(1+IF(G$3&lt;=$O$2,$D329,$D329-($D329-$I$319)*MIN(G$3-$O$2,$Q$2)/$Q$2))</f>
        <v>1197.30702414044</v>
      </c>
      <c r="H329" s="15" t="n">
        <f aca="false">G329*(1+IF(H$3&lt;=$O$2,$D329,$D329-($D329-$I$319)*MIN(H$3-$O$2,$Q$2)/$Q$2))</f>
        <v>1331.77021532809</v>
      </c>
      <c r="I329" s="15" t="n">
        <f aca="false">H329*(1+IF(I$3&lt;=$O$2,$D329,$D329-($D329-$I$319)*MIN(I$3-$O$2,$Q$2)/$Q$2))</f>
        <v>1481.33425318232</v>
      </c>
      <c r="J329" s="15" t="n">
        <f aca="false">I329*(1+IF(J$3&lt;=$O$2,$D329,$D329-($D329-$I$319)*MIN(J$3-$O$2,$Q$2)/$Q$2))</f>
        <v>1619.84456085831</v>
      </c>
      <c r="K329" s="15" t="n">
        <f aca="false">J329*(1+IF(K$3&lt;=$O$2,$D329,$D329-($D329-$I$319)*MIN(K$3-$O$2,$Q$2)/$Q$2))</f>
        <v>1740.85150536726</v>
      </c>
      <c r="L329" s="15" t="n">
        <f aca="false">K329*(1+IF(L$3&lt;=$O$2,$D329,$D329-($D329-$I$319)*MIN(L$3-$O$2,$Q$2)/$Q$2))</f>
        <v>1838.16836861386</v>
      </c>
      <c r="M329" s="15" t="n">
        <f aca="false">L329*(1+IF(M$3&lt;=$O$2,$D329,$D329-($D329-$I$319)*MIN(M$3-$O$2,$Q$2)/$Q$2))</f>
        <v>1906.36613837228</v>
      </c>
      <c r="N329" s="15" t="n">
        <f aca="false">M329*(1+IF(N$3&lt;=$O$2,$D329,$D329-($D329-$I$319)*MIN(N$3-$O$2,$Q$2)/$Q$2))</f>
        <v>1941.25263870449</v>
      </c>
      <c r="O329" s="15" t="n">
        <f aca="false">SUMPRODUCT(E329:N329,1/(1+$F$319)^$E$3:$N$3)*$E$2</f>
        <v>2180.34450458355</v>
      </c>
      <c r="P329" s="15" t="n">
        <f aca="false">N329*$E$2*(1+$I$319)/($F$319-$I$319)/(1+$F$319)^$N$3</f>
        <v>3534.40002096328</v>
      </c>
      <c r="Q329" s="15" t="n">
        <f aca="false">O329+P329</f>
        <v>5714.74452554683</v>
      </c>
      <c r="R329" s="15" t="n">
        <f aca="false">Q329-$G$2+$I$2</f>
        <v>5882.14452554683</v>
      </c>
      <c r="S329" s="42" t="n">
        <f aca="false">R329/$K$2</f>
        <v>167.153865460268</v>
      </c>
      <c r="T329" s="43" t="n">
        <f aca="false">S329-$M$2</f>
        <v>2.61848609112906</v>
      </c>
    </row>
    <row r="330" customFormat="false" ht="15" hidden="false" customHeight="false" outlineLevel="0" collapsed="false">
      <c r="A330" s="5" t="n">
        <v>10</v>
      </c>
      <c r="B330" s="25" t="n">
        <f aca="false">IF(T329&gt;0,B329,D329)</f>
        <v>0.109375</v>
      </c>
      <c r="C330" s="25" t="n">
        <f aca="false">IF(T329&gt;0,D329,C329)</f>
        <v>0.1123046875</v>
      </c>
      <c r="D330" s="41" t="n">
        <f aca="false">(B330+C330)/2</f>
        <v>0.11083984375</v>
      </c>
      <c r="E330" s="15" t="n">
        <f aca="false">$C$2*(1+IF(E$3&lt;=$O$2,$D330,$D330-($D330-$I$319)*MIN(E$3-$O$2,$Q$2)/$Q$2))</f>
        <v>966.463989257813</v>
      </c>
      <c r="F330" s="15" t="n">
        <f aca="false">E330*(1+IF(F$3&lt;=$O$2,$D330,$D330-($D330-$I$319)*MIN(F$3-$O$2,$Q$2)/$Q$2))</f>
        <v>1073.58670681715</v>
      </c>
      <c r="G330" s="15" t="n">
        <f aca="false">F330*(1+IF(G$3&lt;=$O$2,$D330,$D330-($D330-$I$319)*MIN(G$3-$O$2,$Q$2)/$Q$2))</f>
        <v>1192.58288965284</v>
      </c>
      <c r="H330" s="15" t="n">
        <f aca="false">G330*(1+IF(H$3&lt;=$O$2,$D330,$D330-($D330-$I$319)*MIN(H$3-$O$2,$Q$2)/$Q$2))</f>
        <v>1324.76859080088</v>
      </c>
      <c r="I330" s="15" t="n">
        <f aca="false">H330*(1+IF(I$3&lt;=$O$2,$D330,$D330-($D330-$I$319)*MIN(I$3-$O$2,$Q$2)/$Q$2))</f>
        <v>1471.60573441016</v>
      </c>
      <c r="J330" s="15" t="n">
        <f aca="false">I330*(1+IF(J$3&lt;=$O$2,$D330,$D330-($D330-$I$319)*MIN(J$3-$O$2,$Q$2)/$Q$2))</f>
        <v>1607.481851129</v>
      </c>
      <c r="K330" s="15" t="n">
        <f aca="false">J330*(1+IF(K$3&lt;=$O$2,$D330,$D330-($D330-$I$319)*MIN(K$3-$O$2,$Q$2)/$Q$2))</f>
        <v>1726.15244060533</v>
      </c>
      <c r="L330" s="15" t="n">
        <f aca="false">K330*(1+IF(L$3&lt;=$O$2,$D330,$D330-($D330-$I$319)*MIN(L$3-$O$2,$Q$2)/$Q$2))</f>
        <v>1821.63618112533</v>
      </c>
      <c r="M330" s="15" t="n">
        <f aca="false">L330*(1+IF(M$3&lt;=$O$2,$D330,$D330-($D330-$I$319)*MIN(M$3-$O$2,$Q$2)/$Q$2))</f>
        <v>1888.68690875406</v>
      </c>
      <c r="N330" s="15" t="n">
        <f aca="false">M330*(1+IF(N$3&lt;=$O$2,$D330,$D330-($D330-$I$319)*MIN(N$3-$O$2,$Q$2)/$Q$2))</f>
        <v>1923.24987918425</v>
      </c>
      <c r="O330" s="15" t="n">
        <f aca="false">SUMPRODUCT(E330:N330,1/(1+$F$319)^$E$3:$N$3)*$E$2</f>
        <v>2166.37113072103</v>
      </c>
      <c r="P330" s="15" t="n">
        <f aca="false">N330*$E$2*(1+$I$319)/($F$319-$I$319)/(1+$F$319)^$N$3</f>
        <v>3501.62275521379</v>
      </c>
      <c r="Q330" s="15" t="n">
        <f aca="false">O330+P330</f>
        <v>5667.99388593482</v>
      </c>
      <c r="R330" s="15" t="n">
        <f aca="false">Q330-$G$2+$I$2</f>
        <v>5835.39388593482</v>
      </c>
      <c r="S330" s="42" t="n">
        <f aca="false">R330/$K$2</f>
        <v>165.82534486885</v>
      </c>
      <c r="T330" s="43" t="n">
        <f aca="false">S330-$M$2</f>
        <v>1.28996549971055</v>
      </c>
    </row>
    <row r="331" customFormat="false" ht="15" hidden="false" customHeight="false" outlineLevel="0" collapsed="false">
      <c r="A331" s="5" t="n">
        <v>11</v>
      </c>
      <c r="B331" s="25" t="n">
        <f aca="false">IF(T330&gt;0,B330,D330)</f>
        <v>0.109375</v>
      </c>
      <c r="C331" s="25" t="n">
        <f aca="false">IF(T330&gt;0,D330,C330)</f>
        <v>0.11083984375</v>
      </c>
      <c r="D331" s="41" t="n">
        <f aca="false">(B331+C331)/2</f>
        <v>0.110107421875</v>
      </c>
      <c r="E331" s="15" t="n">
        <f aca="false">$C$2*(1+IF(E$3&lt;=$O$2,$D331,$D331-($D331-$I$319)*MIN(E$3-$O$2,$Q$2)/$Q$2))</f>
        <v>965.826760253906</v>
      </c>
      <c r="F331" s="15" t="n">
        <f aca="false">E331*(1+IF(F$3&lt;=$O$2,$D331,$D331-($D331-$I$319)*MIN(F$3-$O$2,$Q$2)/$Q$2))</f>
        <v>1072.17145480335</v>
      </c>
      <c r="G331" s="15" t="n">
        <f aca="false">F331*(1+IF(G$3&lt;=$O$2,$D331,$D331-($D331-$I$319)*MIN(G$3-$O$2,$Q$2)/$Q$2))</f>
        <v>1190.22548949971</v>
      </c>
      <c r="H331" s="15" t="n">
        <f aca="false">G331*(1+IF(H$3&lt;=$O$2,$D331,$D331-($D331-$I$319)*MIN(H$3-$O$2,$Q$2)/$Q$2))</f>
        <v>1321.27814959844</v>
      </c>
      <c r="I331" s="15" t="n">
        <f aca="false">H331*(1+IF(I$3&lt;=$O$2,$D331,$D331-($D331-$I$319)*MIN(I$3-$O$2,$Q$2)/$Q$2))</f>
        <v>1466.76068023049</v>
      </c>
      <c r="J331" s="15" t="n">
        <f aca="false">I331*(1+IF(J$3&lt;=$O$2,$D331,$D331-($D331-$I$319)*MIN(J$3-$O$2,$Q$2)/$Q$2))</f>
        <v>1601.33001392637</v>
      </c>
      <c r="K331" s="15" t="n">
        <f aca="false">J331*(1+IF(K$3&lt;=$O$2,$D331,$D331-($D331-$I$319)*MIN(K$3-$O$2,$Q$2)/$Q$2))</f>
        <v>1718.84274127101</v>
      </c>
      <c r="L331" s="15" t="n">
        <f aca="false">K331*(1+IF(L$3&lt;=$O$2,$D331,$D331-($D331-$I$319)*MIN(L$3-$O$2,$Q$2)/$Q$2))</f>
        <v>1813.41857171013</v>
      </c>
      <c r="M331" s="15" t="n">
        <f aca="false">L331*(1+IF(M$3&lt;=$O$2,$D331,$D331-($D331-$I$319)*MIN(M$3-$O$2,$Q$2)/$Q$2))</f>
        <v>1879.90118834221</v>
      </c>
      <c r="N331" s="15" t="n">
        <f aca="false">M331*(1+IF(N$3&lt;=$O$2,$D331,$D331-($D331-$I$319)*MIN(N$3-$O$2,$Q$2)/$Q$2))</f>
        <v>1914.30338008888</v>
      </c>
      <c r="O331" s="15" t="n">
        <f aca="false">SUMPRODUCT(E331:N331,1/(1+$F$319)^$E$3:$N$3)*$E$2</f>
        <v>2159.41762102346</v>
      </c>
      <c r="P331" s="15" t="n">
        <f aca="false">N331*$E$2*(1+$I$319)/($F$319-$I$319)/(1+$F$319)^$N$3</f>
        <v>3485.33404247244</v>
      </c>
      <c r="Q331" s="15" t="n">
        <f aca="false">O331+P331</f>
        <v>5644.7516634959</v>
      </c>
      <c r="R331" s="15" t="n">
        <f aca="false">Q331-$G$2+$I$2</f>
        <v>5812.1516634959</v>
      </c>
      <c r="S331" s="42" t="n">
        <f aca="false">R331/$K$2</f>
        <v>165.164866822844</v>
      </c>
      <c r="T331" s="43" t="n">
        <f aca="false">S331-$M$2</f>
        <v>0.629487453705423</v>
      </c>
    </row>
    <row r="332" customFormat="false" ht="15" hidden="false" customHeight="false" outlineLevel="0" collapsed="false">
      <c r="A332" s="5" t="n">
        <v>12</v>
      </c>
      <c r="B332" s="25" t="n">
        <f aca="false">IF(T331&gt;0,B331,D331)</f>
        <v>0.109375</v>
      </c>
      <c r="C332" s="25" t="n">
        <f aca="false">IF(T331&gt;0,D331,C331)</f>
        <v>0.110107421875</v>
      </c>
      <c r="D332" s="41" t="n">
        <f aca="false">(B332+C332)/2</f>
        <v>0.1097412109375</v>
      </c>
      <c r="E332" s="15" t="n">
        <f aca="false">$C$2*(1+IF(E$3&lt;=$O$2,$D332,$D332-($D332-$I$319)*MIN(E$3-$O$2,$Q$2)/$Q$2))</f>
        <v>965.508145751953</v>
      </c>
      <c r="F332" s="15" t="n">
        <f aca="false">E332*(1+IF(F$3&lt;=$O$2,$D332,$D332-($D332-$I$319)*MIN(F$3-$O$2,$Q$2)/$Q$2))</f>
        <v>1071.46417883679</v>
      </c>
      <c r="G332" s="15" t="n">
        <f aca="false">F332*(1+IF(G$3&lt;=$O$2,$D332,$D332-($D332-$I$319)*MIN(G$3-$O$2,$Q$2)/$Q$2))</f>
        <v>1189.0479552985</v>
      </c>
      <c r="H332" s="15" t="n">
        <f aca="false">G332*(1+IF(H$3&lt;=$O$2,$D332,$D332-($D332-$I$319)*MIN(H$3-$O$2,$Q$2)/$Q$2))</f>
        <v>1319.53551777571</v>
      </c>
      <c r="I332" s="15" t="n">
        <f aca="false">H332*(1+IF(I$3&lt;=$O$2,$D332,$D332-($D332-$I$319)*MIN(I$3-$O$2,$Q$2)/$Q$2))</f>
        <v>1464.34294337146</v>
      </c>
      <c r="J332" s="15" t="n">
        <f aca="false">I332*(1+IF(J$3&lt;=$O$2,$D332,$D332-($D332-$I$319)*MIN(J$3-$O$2,$Q$2)/$Q$2))</f>
        <v>1598.26145281089</v>
      </c>
      <c r="K332" s="15" t="n">
        <f aca="false">J332*(1+IF(K$3&lt;=$O$2,$D332,$D332-($D332-$I$319)*MIN(K$3-$O$2,$Q$2)/$Q$2))</f>
        <v>1715.19781498119</v>
      </c>
      <c r="L332" s="15" t="n">
        <f aca="false">K332*(1+IF(L$3&lt;=$O$2,$D332,$D332-($D332-$I$319)*MIN(L$3-$O$2,$Q$2)/$Q$2))</f>
        <v>1809.32184107503</v>
      </c>
      <c r="M332" s="15" t="n">
        <f aca="false">L332*(1+IF(M$3&lt;=$O$2,$D332,$D332-($D332-$I$319)*MIN(M$3-$O$2,$Q$2)/$Q$2))</f>
        <v>1875.52174679142</v>
      </c>
      <c r="N332" s="15" t="n">
        <f aca="false">M332*(1+IF(N$3&lt;=$O$2,$D332,$D332-($D332-$I$319)*MIN(N$3-$O$2,$Q$2)/$Q$2))</f>
        <v>1909.8437947577</v>
      </c>
      <c r="O332" s="15" t="n">
        <f aca="false">SUMPRODUCT(E332:N332,1/(1+$F$319)^$E$3:$N$3)*$E$2</f>
        <v>2155.94913224308</v>
      </c>
      <c r="P332" s="15" t="n">
        <f aca="false">N332*$E$2*(1+$I$319)/($F$319-$I$319)/(1+$F$319)^$N$3</f>
        <v>3477.21456426866</v>
      </c>
      <c r="Q332" s="15" t="n">
        <f aca="false">O332+P332</f>
        <v>5633.16369651174</v>
      </c>
      <c r="R332" s="15" t="n">
        <f aca="false">Q332-$G$2+$I$2</f>
        <v>5800.56369651175</v>
      </c>
      <c r="S332" s="42" t="n">
        <f aca="false">R332/$K$2</f>
        <v>164.835569665011</v>
      </c>
      <c r="T332" s="43" t="n">
        <f aca="false">S332-$M$2</f>
        <v>0.300190295872227</v>
      </c>
    </row>
    <row r="333" customFormat="false" ht="15" hidden="false" customHeight="false" outlineLevel="0" collapsed="false">
      <c r="A333" s="5" t="n">
        <v>13</v>
      </c>
      <c r="B333" s="25" t="n">
        <f aca="false">IF(T332&gt;0,B332,D332)</f>
        <v>0.109375</v>
      </c>
      <c r="C333" s="25" t="n">
        <f aca="false">IF(T332&gt;0,D332,C332)</f>
        <v>0.1097412109375</v>
      </c>
      <c r="D333" s="41" t="n">
        <f aca="false">(B333+C333)/2</f>
        <v>0.10955810546875</v>
      </c>
      <c r="E333" s="15" t="n">
        <f aca="false">$C$2*(1+IF(E$3&lt;=$O$2,$D333,$D333-($D333-$I$319)*MIN(E$3-$O$2,$Q$2)/$Q$2))</f>
        <v>965.348838500977</v>
      </c>
      <c r="F333" s="15" t="n">
        <f aca="false">E333*(1+IF(F$3&lt;=$O$2,$D333,$D333-($D333-$I$319)*MIN(F$3-$O$2,$Q$2)/$Q$2))</f>
        <v>1071.1106283636</v>
      </c>
      <c r="G333" s="15" t="n">
        <f aca="false">F333*(1+IF(G$3&lt;=$O$2,$D333,$D333-($D333-$I$319)*MIN(G$3-$O$2,$Q$2)/$Q$2))</f>
        <v>1188.45947955456</v>
      </c>
      <c r="H333" s="15" t="n">
        <f aca="false">G333*(1+IF(H$3&lt;=$O$2,$D333,$D333-($D333-$I$319)*MIN(H$3-$O$2,$Q$2)/$Q$2))</f>
        <v>1318.66484856093</v>
      </c>
      <c r="I333" s="15" t="n">
        <f aca="false">H333*(1+IF(I$3&lt;=$O$2,$D333,$D333-($D333-$I$319)*MIN(I$3-$O$2,$Q$2)/$Q$2))</f>
        <v>1463.13527111751</v>
      </c>
      <c r="J333" s="15" t="n">
        <f aca="false">I333*(1+IF(J$3&lt;=$O$2,$D333,$D333-($D333-$I$319)*MIN(J$3-$O$2,$Q$2)/$Q$2))</f>
        <v>1596.72900888831</v>
      </c>
      <c r="K333" s="15" t="n">
        <f aca="false">J333*(1+IF(K$3&lt;=$O$2,$D333,$D333-($D333-$I$319)*MIN(K$3-$O$2,$Q$2)/$Q$2))</f>
        <v>1713.37782832985</v>
      </c>
      <c r="L333" s="15" t="n">
        <f aca="false">K333*(1+IF(L$3&lt;=$O$2,$D333,$D333-($D333-$I$319)*MIN(L$3-$O$2,$Q$2)/$Q$2))</f>
        <v>1807.2764884145</v>
      </c>
      <c r="M333" s="15" t="n">
        <f aca="false">L333*(1+IF(M$3&lt;=$O$2,$D333,$D333-($D333-$I$319)*MIN(M$3-$O$2,$Q$2)/$Q$2))</f>
        <v>1873.33537383067</v>
      </c>
      <c r="N333" s="15" t="n">
        <f aca="false">M333*(1+IF(N$3&lt;=$O$2,$D333,$D333-($D333-$I$319)*MIN(N$3-$O$2,$Q$2)/$Q$2))</f>
        <v>1907.61741117177</v>
      </c>
      <c r="O333" s="15" t="n">
        <f aca="false">SUMPRODUCT(E333:N333,1/(1+$F$319)^$E$3:$N$3)*$E$2</f>
        <v>2154.21695084836</v>
      </c>
      <c r="P333" s="15" t="n">
        <f aca="false">N333*$E$2*(1+$I$319)/($F$319-$I$319)/(1+$F$319)^$N$3</f>
        <v>3473.16103201022</v>
      </c>
      <c r="Q333" s="15" t="n">
        <f aca="false">O333+P333</f>
        <v>5627.37798285857</v>
      </c>
      <c r="R333" s="15" t="n">
        <f aca="false">Q333-$G$2+$I$2</f>
        <v>5794.77798285857</v>
      </c>
      <c r="S333" s="42" t="n">
        <f aca="false">R333/$K$2</f>
        <v>164.671156091463</v>
      </c>
      <c r="T333" s="43" t="n">
        <f aca="false">S333-$M$2</f>
        <v>0.135776722323669</v>
      </c>
    </row>
    <row r="334" customFormat="false" ht="15" hidden="false" customHeight="false" outlineLevel="0" collapsed="false">
      <c r="A334" s="5" t="n">
        <v>14</v>
      </c>
      <c r="B334" s="25" t="n">
        <f aca="false">IF(T333&gt;0,B333,D333)</f>
        <v>0.109375</v>
      </c>
      <c r="C334" s="25" t="n">
        <f aca="false">IF(T333&gt;0,D333,C333)</f>
        <v>0.10955810546875</v>
      </c>
      <c r="D334" s="41" t="n">
        <f aca="false">(B334+C334)/2</f>
        <v>0.109466552734375</v>
      </c>
      <c r="E334" s="15" t="n">
        <f aca="false">$C$2*(1+IF(E$3&lt;=$O$2,$D334,$D334-($D334-$I$319)*MIN(E$3-$O$2,$Q$2)/$Q$2))</f>
        <v>965.269184875488</v>
      </c>
      <c r="F334" s="15" t="n">
        <f aca="false">E334*(1+IF(F$3&lt;=$O$2,$D334,$D334-($D334-$I$319)*MIN(F$3-$O$2,$Q$2)/$Q$2))</f>
        <v>1070.93387500453</v>
      </c>
      <c r="G334" s="15" t="n">
        <f aca="false">F334*(1+IF(G$3&lt;=$O$2,$D334,$D334-($D334-$I$319)*MIN(G$3-$O$2,$Q$2)/$Q$2))</f>
        <v>1188.16531450774</v>
      </c>
      <c r="H334" s="15" t="n">
        <f aca="false">G334*(1+IF(H$3&lt;=$O$2,$D334,$D334-($D334-$I$319)*MIN(H$3-$O$2,$Q$2)/$Q$2))</f>
        <v>1318.22967556546</v>
      </c>
      <c r="I334" s="15" t="n">
        <f aca="false">H334*(1+IF(I$3&lt;=$O$2,$D334,$D334-($D334-$I$319)*MIN(I$3-$O$2,$Q$2)/$Q$2))</f>
        <v>1462.53173386176</v>
      </c>
      <c r="J334" s="15" t="n">
        <f aca="false">I334*(1+IF(J$3&lt;=$O$2,$D334,$D334-($D334-$I$319)*MIN(J$3-$O$2,$Q$2)/$Q$2))</f>
        <v>1595.96324574407</v>
      </c>
      <c r="K334" s="15" t="n">
        <f aca="false">J334*(1+IF(K$3&lt;=$O$2,$D334,$D334-($D334-$I$319)*MIN(K$3-$O$2,$Q$2)/$Q$2))</f>
        <v>1712.46845358434</v>
      </c>
      <c r="L334" s="15" t="n">
        <f aca="false">K334*(1+IF(L$3&lt;=$O$2,$D334,$D334-($D334-$I$319)*MIN(L$3-$O$2,$Q$2)/$Q$2))</f>
        <v>1806.2545645168</v>
      </c>
      <c r="M334" s="15" t="n">
        <f aca="false">L334*(1+IF(M$3&lt;=$O$2,$D334,$D334-($D334-$I$319)*MIN(M$3-$O$2,$Q$2)/$Q$2))</f>
        <v>1872.243023449</v>
      </c>
      <c r="N334" s="15" t="n">
        <f aca="false">M334*(1+IF(N$3&lt;=$O$2,$D334,$D334-($D334-$I$319)*MIN(N$3-$O$2,$Q$2)/$Q$2))</f>
        <v>1906.50507077812</v>
      </c>
      <c r="O334" s="15" t="n">
        <f aca="false">SUMPRODUCT(E334:N334,1/(1+$F$319)^$E$3:$N$3)*$E$2</f>
        <v>2153.35137546017</v>
      </c>
      <c r="P334" s="15" t="n">
        <f aca="false">N334*$E$2*(1+$I$319)/($F$319-$I$319)/(1+$F$319)^$N$3</f>
        <v>3471.13581600675</v>
      </c>
      <c r="Q334" s="15" t="n">
        <f aca="false">O334+P334</f>
        <v>5624.48719146692</v>
      </c>
      <c r="R334" s="15" t="n">
        <f aca="false">Q334-$G$2+$I$2</f>
        <v>5791.88719146692</v>
      </c>
      <c r="S334" s="42" t="n">
        <f aca="false">R334/$K$2</f>
        <v>164.589007998492</v>
      </c>
      <c r="T334" s="43" t="n">
        <f aca="false">S334-$M$2</f>
        <v>0.0536286293527155</v>
      </c>
    </row>
    <row r="335" customFormat="false" ht="15" hidden="false" customHeight="false" outlineLevel="0" collapsed="false">
      <c r="A335" s="5" t="n">
        <v>15</v>
      </c>
      <c r="B335" s="25" t="n">
        <f aca="false">IF(T334&gt;0,B334,D334)</f>
        <v>0.109375</v>
      </c>
      <c r="C335" s="25" t="n">
        <f aca="false">IF(T334&gt;0,D334,C334)</f>
        <v>0.109466552734375</v>
      </c>
      <c r="D335" s="41" t="n">
        <f aca="false">(B335+C335)/2</f>
        <v>0.109420776367188</v>
      </c>
      <c r="E335" s="15" t="n">
        <f aca="false">$C$2*(1+IF(E$3&lt;=$O$2,$D335,$D335-($D335-$I$319)*MIN(E$3-$O$2,$Q$2)/$Q$2))</f>
        <v>965.229358062744</v>
      </c>
      <c r="F335" s="15" t="n">
        <f aca="false">E335*(1+IF(F$3&lt;=$O$2,$D335,$D335-($D335-$I$319)*MIN(F$3-$O$2,$Q$2)/$Q$2))</f>
        <v>1070.84550379437</v>
      </c>
      <c r="G335" s="15" t="n">
        <f aca="false">F335*(1+IF(G$3&lt;=$O$2,$D335,$D335-($D335-$I$319)*MIN(G$3-$O$2,$Q$2)/$Q$2))</f>
        <v>1188.01825018886</v>
      </c>
      <c r="H335" s="15" t="n">
        <f aca="false">G335*(1+IF(H$3&lt;=$O$2,$D335,$D335-($D335-$I$319)*MIN(H$3-$O$2,$Q$2)/$Q$2))</f>
        <v>1318.01212946292</v>
      </c>
      <c r="I335" s="15" t="n">
        <f aca="false">H335*(1+IF(I$3&lt;=$O$2,$D335,$D335-($D335-$I$319)*MIN(I$3-$O$2,$Q$2)/$Q$2))</f>
        <v>1462.23003993012</v>
      </c>
      <c r="J335" s="15" t="n">
        <f aca="false">I335*(1+IF(J$3&lt;=$O$2,$D335,$D335-($D335-$I$319)*MIN(J$3-$O$2,$Q$2)/$Q$2))</f>
        <v>1595.58047883353</v>
      </c>
      <c r="K335" s="15" t="n">
        <f aca="false">J335*(1+IF(K$3&lt;=$O$2,$D335,$D335-($D335-$I$319)*MIN(K$3-$O$2,$Q$2)/$Q$2))</f>
        <v>1712.01392078876</v>
      </c>
      <c r="L335" s="15" t="n">
        <f aca="false">K335*(1+IF(L$3&lt;=$O$2,$D335,$D335-($D335-$I$319)*MIN(L$3-$O$2,$Q$2)/$Q$2))</f>
        <v>1805.74379058468</v>
      </c>
      <c r="M335" s="15" t="n">
        <f aca="false">L335*(1+IF(M$3&lt;=$O$2,$D335,$D335-($D335-$I$319)*MIN(M$3-$O$2,$Q$2)/$Q$2))</f>
        <v>1871.69705717604</v>
      </c>
      <c r="N335" s="15" t="n">
        <f aca="false">M335*(1+IF(N$3&lt;=$O$2,$D335,$D335-($D335-$I$319)*MIN(N$3-$O$2,$Q$2)/$Q$2))</f>
        <v>1905.94911332236</v>
      </c>
      <c r="O335" s="15" t="n">
        <f aca="false">SUMPRODUCT(E335:N335,1/(1+$F$319)^$E$3:$N$3)*$E$2</f>
        <v>2152.91871653845</v>
      </c>
      <c r="P335" s="15" t="n">
        <f aca="false">N335*$E$2*(1+$I$319)/($F$319-$I$319)/(1+$F$319)^$N$3</f>
        <v>3470.12359533846</v>
      </c>
      <c r="Q335" s="15" t="n">
        <f aca="false">O335+P335</f>
        <v>5623.04231187691</v>
      </c>
      <c r="R335" s="15" t="n">
        <f aca="false">Q335-$G$2+$I$2</f>
        <v>5790.44231187691</v>
      </c>
      <c r="S335" s="42" t="n">
        <f aca="false">R335/$K$2</f>
        <v>164.54794861827</v>
      </c>
      <c r="T335" s="43" t="n">
        <f aca="false">S335-$M$2</f>
        <v>0.0125692491305927</v>
      </c>
    </row>
    <row r="336" customFormat="false" ht="15" hidden="false" customHeight="false" outlineLevel="0" collapsed="false">
      <c r="A336" s="5" t="n">
        <v>16</v>
      </c>
      <c r="B336" s="25" t="n">
        <f aca="false">IF(T335&gt;0,B335,D335)</f>
        <v>0.109375</v>
      </c>
      <c r="C336" s="25" t="n">
        <f aca="false">IF(T335&gt;0,D335,C335)</f>
        <v>0.109420776367188</v>
      </c>
      <c r="D336" s="41" t="n">
        <f aca="false">(B336+C336)/2</f>
        <v>0.109397888183594</v>
      </c>
      <c r="E336" s="15" t="n">
        <f aca="false">$C$2*(1+IF(E$3&lt;=$O$2,$D336,$D336-($D336-$I$319)*MIN(E$3-$O$2,$Q$2)/$Q$2))</f>
        <v>965.209444656372</v>
      </c>
      <c r="F336" s="15" t="n">
        <f aca="false">E336*(1+IF(F$3&lt;=$O$2,$D336,$D336-($D336-$I$319)*MIN(F$3-$O$2,$Q$2)/$Q$2))</f>
        <v>1070.80131955664</v>
      </c>
      <c r="G336" s="15" t="n">
        <f aca="false">F336*(1+IF(G$3&lt;=$O$2,$D336,$D336-($D336-$I$319)*MIN(G$3-$O$2,$Q$2)/$Q$2))</f>
        <v>1187.94472258034</v>
      </c>
      <c r="H336" s="15" t="n">
        <f aca="false">G336*(1+IF(H$3&lt;=$O$2,$D336,$D336-($D336-$I$319)*MIN(H$3-$O$2,$Q$2)/$Q$2))</f>
        <v>1317.90336650947</v>
      </c>
      <c r="I336" s="15" t="n">
        <f aca="false">H336*(1+IF(I$3&lt;=$O$2,$D336,$D336-($D336-$I$319)*MIN(I$3-$O$2,$Q$2)/$Q$2))</f>
        <v>1462.07921163566</v>
      </c>
      <c r="J336" s="15" t="n">
        <f aca="false">I336*(1+IF(J$3&lt;=$O$2,$D336,$D336-($D336-$I$319)*MIN(J$3-$O$2,$Q$2)/$Q$2))</f>
        <v>1595.38912403831</v>
      </c>
      <c r="K336" s="15" t="n">
        <f aca="false">J336*(1+IF(K$3&lt;=$O$2,$D336,$D336-($D336-$I$319)*MIN(K$3-$O$2,$Q$2)/$Q$2))</f>
        <v>1711.78669302678</v>
      </c>
      <c r="L336" s="15" t="n">
        <f aca="false">K336*(1+IF(L$3&lt;=$O$2,$D336,$D336-($D336-$I$319)*MIN(L$3-$O$2,$Q$2)/$Q$2))</f>
        <v>1805.48845061138</v>
      </c>
      <c r="M336" s="15" t="n">
        <f aca="false">L336*(1+IF(M$3&lt;=$O$2,$D336,$D336-($D336-$I$319)*MIN(M$3-$O$2,$Q$2)/$Q$2))</f>
        <v>1871.42412625568</v>
      </c>
      <c r="N336" s="15" t="n">
        <f aca="false">M336*(1+IF(N$3&lt;=$O$2,$D336,$D336-($D336-$I$319)*MIN(N$3-$O$2,$Q$2)/$Q$2))</f>
        <v>1905.67118776616</v>
      </c>
      <c r="O336" s="15" t="n">
        <f aca="false">SUMPRODUCT(E336:N336,1/(1+$F$319)^$E$3:$N$3)*$E$2</f>
        <v>2152.70241926381</v>
      </c>
      <c r="P336" s="15" t="n">
        <f aca="false">N336*$E$2*(1+$I$319)/($F$319-$I$319)/(1+$F$319)^$N$3</f>
        <v>3469.61758181293</v>
      </c>
      <c r="Q336" s="15" t="n">
        <f aca="false">O336+P336</f>
        <v>5622.32000107674</v>
      </c>
      <c r="R336" s="15" t="n">
        <f aca="false">Q336-$G$2+$I$2</f>
        <v>5789.72000107674</v>
      </c>
      <c r="S336" s="42" t="n">
        <f aca="false">R336/$K$2</f>
        <v>164.527422593826</v>
      </c>
      <c r="T336" s="43" t="n">
        <f aca="false">S336-$M$2</f>
        <v>-0.00795677531286287</v>
      </c>
    </row>
    <row r="337" customFormat="false" ht="15" hidden="false" customHeight="false" outlineLevel="0" collapsed="false">
      <c r="A337" s="5" t="n">
        <v>17</v>
      </c>
      <c r="B337" s="25" t="n">
        <f aca="false">IF(T336&gt;0,B336,D336)</f>
        <v>0.109397888183594</v>
      </c>
      <c r="C337" s="25" t="n">
        <f aca="false">IF(T336&gt;0,D336,C336)</f>
        <v>0.109420776367188</v>
      </c>
      <c r="D337" s="41" t="n">
        <f aca="false">(B337+C337)/2</f>
        <v>0.109409332275391</v>
      </c>
      <c r="E337" s="15" t="n">
        <f aca="false">$C$2*(1+IF(E$3&lt;=$O$2,$D337,$D337-($D337-$I$319)*MIN(E$3-$O$2,$Q$2)/$Q$2))</f>
        <v>965.219401359558</v>
      </c>
      <c r="F337" s="15" t="n">
        <f aca="false">E337*(1+IF(F$3&lt;=$O$2,$D337,$D337-($D337-$I$319)*MIN(F$3-$O$2,$Q$2)/$Q$2))</f>
        <v>1070.82341156156</v>
      </c>
      <c r="G337" s="15" t="n">
        <f aca="false">F337*(1+IF(G$3&lt;=$O$2,$D337,$D337-($D337-$I$319)*MIN(G$3-$O$2,$Q$2)/$Q$2))</f>
        <v>1187.98148600537</v>
      </c>
      <c r="H337" s="15" t="n">
        <f aca="false">G337*(1+IF(H$3&lt;=$O$2,$D337,$D337-($D337-$I$319)*MIN(H$3-$O$2,$Q$2)/$Q$2))</f>
        <v>1317.95774714474</v>
      </c>
      <c r="I337" s="15" t="n">
        <f aca="false">H337*(1+IF(I$3&lt;=$O$2,$D337,$D337-($D337-$I$319)*MIN(I$3-$O$2,$Q$2)/$Q$2))</f>
        <v>1462.15462422702</v>
      </c>
      <c r="J337" s="15" t="n">
        <f aca="false">I337*(1+IF(J$3&lt;=$O$2,$D337,$D337-($D337-$I$319)*MIN(J$3-$O$2,$Q$2)/$Q$2))</f>
        <v>1595.48479904774</v>
      </c>
      <c r="K337" s="15" t="n">
        <f aca="false">J337*(1+IF(K$3&lt;=$O$2,$D337,$D337-($D337-$I$319)*MIN(K$3-$O$2,$Q$2)/$Q$2))</f>
        <v>1711.90030368838</v>
      </c>
      <c r="L337" s="15" t="n">
        <f aca="false">K337*(1+IF(L$3&lt;=$O$2,$D337,$D337-($D337-$I$319)*MIN(L$3-$O$2,$Q$2)/$Q$2))</f>
        <v>1805.61611668231</v>
      </c>
      <c r="M337" s="15" t="n">
        <f aca="false">L337*(1+IF(M$3&lt;=$O$2,$D337,$D337-($D337-$I$319)*MIN(M$3-$O$2,$Q$2)/$Q$2))</f>
        <v>1871.56058736492</v>
      </c>
      <c r="N337" s="15" t="n">
        <f aca="false">M337*(1+IF(N$3&lt;=$O$2,$D337,$D337-($D337-$I$319)*MIN(N$3-$O$2,$Q$2)/$Q$2))</f>
        <v>1905.81014611369</v>
      </c>
      <c r="O337" s="15" t="n">
        <f aca="false">SUMPRODUCT(E337:N337,1/(1+$F$319)^$E$3:$N$3)*$E$2</f>
        <v>2152.81056521915</v>
      </c>
      <c r="P337" s="15" t="n">
        <f aca="false">N337*$E$2*(1+$I$319)/($F$319-$I$319)/(1+$F$319)^$N$3</f>
        <v>3469.87058050905</v>
      </c>
      <c r="Q337" s="15" t="n">
        <f aca="false">O337+P337</f>
        <v>5622.6811457282</v>
      </c>
      <c r="R337" s="15" t="n">
        <f aca="false">Q337-$G$2+$I$2</f>
        <v>5790.0811457282</v>
      </c>
      <c r="S337" s="42" t="n">
        <f aca="false">R337/$K$2</f>
        <v>164.537685300602</v>
      </c>
      <c r="T337" s="43" t="n">
        <f aca="false">S337-$M$2</f>
        <v>0.00230593146329738</v>
      </c>
    </row>
    <row r="338" customFormat="false" ht="15" hidden="false" customHeight="false" outlineLevel="0" collapsed="false">
      <c r="A338" s="5" t="n">
        <v>18</v>
      </c>
      <c r="B338" s="25" t="n">
        <f aca="false">IF(T337&gt;0,B337,D337)</f>
        <v>0.109397888183594</v>
      </c>
      <c r="C338" s="25" t="n">
        <f aca="false">IF(T337&gt;0,D337,C337)</f>
        <v>0.109409332275391</v>
      </c>
      <c r="D338" s="41" t="n">
        <f aca="false">(B338+C338)/2</f>
        <v>0.109403610229492</v>
      </c>
      <c r="E338" s="15" t="n">
        <f aca="false">$C$2*(1+IF(E$3&lt;=$O$2,$D338,$D338-($D338-$I$319)*MIN(E$3-$O$2,$Q$2)/$Q$2))</f>
        <v>965.214423007965</v>
      </c>
      <c r="F338" s="15" t="n">
        <f aca="false">E338*(1+IF(F$3&lt;=$O$2,$D338,$D338-($D338-$I$319)*MIN(F$3-$O$2,$Q$2)/$Q$2))</f>
        <v>1070.81236553061</v>
      </c>
      <c r="G338" s="15" t="n">
        <f aca="false">F338*(1+IF(G$3&lt;=$O$2,$D338,$D338-($D338-$I$319)*MIN(G$3-$O$2,$Q$2)/$Q$2))</f>
        <v>1187.96310419804</v>
      </c>
      <c r="H338" s="15" t="n">
        <f aca="false">G338*(1+IF(H$3&lt;=$O$2,$D338,$D338-($D338-$I$319)*MIN(H$3-$O$2,$Q$2)/$Q$2))</f>
        <v>1317.93055661674</v>
      </c>
      <c r="I338" s="15" t="n">
        <f aca="false">H338*(1+IF(I$3&lt;=$O$2,$D338,$D338-($D338-$I$319)*MIN(I$3-$O$2,$Q$2)/$Q$2))</f>
        <v>1462.11691754238</v>
      </c>
      <c r="J338" s="15" t="n">
        <f aca="false">I338*(1+IF(J$3&lt;=$O$2,$D338,$D338-($D338-$I$319)*MIN(J$3-$O$2,$Q$2)/$Q$2))</f>
        <v>1595.43696094599</v>
      </c>
      <c r="K338" s="15" t="n">
        <f aca="false">J338*(1+IF(K$3&lt;=$O$2,$D338,$D338-($D338-$I$319)*MIN(K$3-$O$2,$Q$2)/$Q$2))</f>
        <v>1711.84349755275</v>
      </c>
      <c r="L338" s="15" t="n">
        <f aca="false">K338*(1+IF(L$3&lt;=$O$2,$D338,$D338-($D338-$I$319)*MIN(L$3-$O$2,$Q$2)/$Q$2))</f>
        <v>1805.55228266794</v>
      </c>
      <c r="M338" s="15" t="n">
        <f aca="false">L338*(1+IF(M$3&lt;=$O$2,$D338,$D338-($D338-$I$319)*MIN(M$3-$O$2,$Q$2)/$Q$2))</f>
        <v>1871.49235572259</v>
      </c>
      <c r="N338" s="15" t="n">
        <f aca="false">M338*(1+IF(N$3&lt;=$O$2,$D338,$D338-($D338-$I$319)*MIN(N$3-$O$2,$Q$2)/$Q$2))</f>
        <v>1905.74066583232</v>
      </c>
      <c r="O338" s="15" t="n">
        <f aca="false">SUMPRODUCT(E338:N338,1/(1+$F$319)^$E$3:$N$3)*$E$2</f>
        <v>2152.756491571</v>
      </c>
      <c r="P338" s="15" t="n">
        <f aca="false">N338*$E$2*(1+$I$319)/($F$319-$I$319)/(1+$F$319)^$N$3</f>
        <v>3469.74407914438</v>
      </c>
      <c r="Q338" s="15" t="n">
        <f aca="false">O338+P338</f>
        <v>5622.50057071538</v>
      </c>
      <c r="R338" s="15" t="n">
        <f aca="false">Q338-$G$2+$I$2</f>
        <v>5789.90057071538</v>
      </c>
      <c r="S338" s="42" t="n">
        <f aca="false">R338/$K$2</f>
        <v>164.532553870855</v>
      </c>
      <c r="T338" s="43" t="n">
        <f aca="false">S338-$M$2</f>
        <v>-0.00282549828415313</v>
      </c>
    </row>
    <row r="339" customFormat="false" ht="15" hidden="false" customHeight="false" outlineLevel="0" collapsed="false">
      <c r="A339" s="5" t="n">
        <v>19</v>
      </c>
      <c r="B339" s="25" t="n">
        <f aca="false">IF(T338&gt;0,B338,D338)</f>
        <v>0.109403610229492</v>
      </c>
      <c r="C339" s="25" t="n">
        <f aca="false">IF(T338&gt;0,D338,C338)</f>
        <v>0.109409332275391</v>
      </c>
      <c r="D339" s="41" t="n">
        <f aca="false">(B339+C339)/2</f>
        <v>0.109406471252441</v>
      </c>
      <c r="E339" s="15" t="n">
        <f aca="false">$C$2*(1+IF(E$3&lt;=$O$2,$D339,$D339-($D339-$I$319)*MIN(E$3-$O$2,$Q$2)/$Q$2))</f>
        <v>965.216912183762</v>
      </c>
      <c r="F339" s="15" t="n">
        <f aca="false">E339*(1+IF(F$3&lt;=$O$2,$D339,$D339-($D339-$I$319)*MIN(F$3-$O$2,$Q$2)/$Q$2))</f>
        <v>1070.81788853896</v>
      </c>
      <c r="G339" s="15" t="n">
        <f aca="false">F339*(1+IF(G$3&lt;=$O$2,$D339,$D339-($D339-$I$319)*MIN(G$3-$O$2,$Q$2)/$Q$2))</f>
        <v>1187.972295078</v>
      </c>
      <c r="H339" s="15" t="n">
        <f aca="false">G339*(1+IF(H$3&lt;=$O$2,$D339,$D339-($D339-$I$319)*MIN(H$3-$O$2,$Q$2)/$Q$2))</f>
        <v>1317.94415182815</v>
      </c>
      <c r="I339" s="15" t="n">
        <f aca="false">H339*(1+IF(I$3&lt;=$O$2,$D339,$D339-($D339-$I$319)*MIN(I$3-$O$2,$Q$2)/$Q$2))</f>
        <v>1462.13577078746</v>
      </c>
      <c r="J339" s="15" t="n">
        <f aca="false">I339*(1+IF(J$3&lt;=$O$2,$D339,$D339-($D339-$I$319)*MIN(J$3-$O$2,$Q$2)/$Q$2))</f>
        <v>1595.4608798476</v>
      </c>
      <c r="K339" s="15" t="n">
        <f aca="false">J339*(1+IF(K$3&lt;=$O$2,$D339,$D339-($D339-$I$319)*MIN(K$3-$O$2,$Q$2)/$Q$2))</f>
        <v>1711.87190041935</v>
      </c>
      <c r="L339" s="15" t="n">
        <f aca="false">K339*(1+IF(L$3&lt;=$O$2,$D339,$D339-($D339-$I$319)*MIN(L$3-$O$2,$Q$2)/$Q$2))</f>
        <v>1805.58419943039</v>
      </c>
      <c r="M339" s="15" t="n">
        <f aca="false">L339*(1+IF(M$3&lt;=$O$2,$D339,$D339-($D339-$I$319)*MIN(M$3-$O$2,$Q$2)/$Q$2))</f>
        <v>1871.52647127182</v>
      </c>
      <c r="N339" s="15" t="n">
        <f aca="false">M339*(1+IF(N$3&lt;=$O$2,$D339,$D339-($D339-$I$319)*MIN(N$3-$O$2,$Q$2)/$Q$2))</f>
        <v>1905.7754056961</v>
      </c>
      <c r="O339" s="15" t="n">
        <f aca="false">SUMPRODUCT(E339:N339,1/(1+$F$319)^$E$3:$N$3)*$E$2</f>
        <v>2152.78352822745</v>
      </c>
      <c r="P339" s="15" t="n">
        <f aca="false">N339*$E$2*(1+$I$319)/($F$319-$I$319)/(1+$F$319)^$N$3</f>
        <v>3469.80732932256</v>
      </c>
      <c r="Q339" s="15" t="n">
        <f aca="false">O339+P339</f>
        <v>5622.59085755001</v>
      </c>
      <c r="R339" s="15" t="n">
        <f aca="false">Q339-$G$2+$I$2</f>
        <v>5789.99085755001</v>
      </c>
      <c r="S339" s="42" t="n">
        <f aca="false">R339/$K$2</f>
        <v>164.535119566638</v>
      </c>
      <c r="T339" s="43" t="n">
        <f aca="false">S339-$M$2</f>
        <v>-0.00025980250052271</v>
      </c>
    </row>
    <row r="340" customFormat="false" ht="15" hidden="false" customHeight="false" outlineLevel="0" collapsed="false">
      <c r="A340" s="5" t="n">
        <v>20</v>
      </c>
      <c r="B340" s="25" t="n">
        <f aca="false">IF(T339&gt;0,B339,D339)</f>
        <v>0.109406471252441</v>
      </c>
      <c r="C340" s="25" t="n">
        <f aca="false">IF(T339&gt;0,D339,C339)</f>
        <v>0.109409332275391</v>
      </c>
      <c r="D340" s="41" t="n">
        <f aca="false">(B340+C340)/2</f>
        <v>0.109407901763916</v>
      </c>
      <c r="E340" s="15" t="n">
        <f aca="false">$C$2*(1+IF(E$3&lt;=$O$2,$D340,$D340-($D340-$I$319)*MIN(E$3-$O$2,$Q$2)/$Q$2))</f>
        <v>965.21815677166</v>
      </c>
      <c r="F340" s="15" t="n">
        <f aca="false">E340*(1+IF(F$3&lt;=$O$2,$D340,$D340-($D340-$I$319)*MIN(F$3-$O$2,$Q$2)/$Q$2))</f>
        <v>1070.82065004848</v>
      </c>
      <c r="G340" s="15" t="n">
        <f aca="false">F340*(1+IF(G$3&lt;=$O$2,$D340,$D340-($D340-$I$319)*MIN(G$3-$O$2,$Q$2)/$Q$2))</f>
        <v>1187.97689053576</v>
      </c>
      <c r="H340" s="15" t="n">
        <f aca="false">G340*(1+IF(H$3&lt;=$O$2,$D340,$D340-($D340-$I$319)*MIN(H$3-$O$2,$Q$2)/$Q$2))</f>
        <v>1317.9509494733</v>
      </c>
      <c r="I340" s="15" t="n">
        <f aca="false">H340*(1+IF(I$3&lt;=$O$2,$D340,$D340-($D340-$I$319)*MIN(I$3-$O$2,$Q$2)/$Q$2))</f>
        <v>1462.14519748293</v>
      </c>
      <c r="J340" s="15" t="n">
        <f aca="false">I340*(1+IF(J$3&lt;=$O$2,$D340,$D340-($D340-$I$319)*MIN(J$3-$O$2,$Q$2)/$Q$2))</f>
        <v>1595.47283941035</v>
      </c>
      <c r="K340" s="15" t="n">
        <f aca="false">J340*(1+IF(K$3&lt;=$O$2,$D340,$D340-($D340-$I$319)*MIN(K$3-$O$2,$Q$2)/$Q$2))</f>
        <v>1711.88610200356</v>
      </c>
      <c r="L340" s="15" t="n">
        <f aca="false">K340*(1+IF(L$3&lt;=$O$2,$D340,$D340-($D340-$I$319)*MIN(L$3-$O$2,$Q$2)/$Q$2))</f>
        <v>1805.60015799517</v>
      </c>
      <c r="M340" s="15" t="n">
        <f aca="false">L340*(1+IF(M$3&lt;=$O$2,$D340,$D340-($D340-$I$319)*MIN(M$3-$O$2,$Q$2)/$Q$2))</f>
        <v>1871.54352925039</v>
      </c>
      <c r="N340" s="15" t="n">
        <f aca="false">M340*(1+IF(N$3&lt;=$O$2,$D340,$D340-($D340-$I$319)*MIN(N$3-$O$2,$Q$2)/$Q$2))</f>
        <v>1905.79277583567</v>
      </c>
      <c r="O340" s="15" t="n">
        <f aca="false">SUMPRODUCT(E340:N340,1/(1+$F$319)^$E$3:$N$3)*$E$2</f>
        <v>2152.79704668139</v>
      </c>
      <c r="P340" s="15" t="n">
        <f aca="false">N340*$E$2*(1+$I$319)/($F$319-$I$319)/(1+$F$319)^$N$3</f>
        <v>3469.83895478976</v>
      </c>
      <c r="Q340" s="15" t="n">
        <f aca="false">O340+P340</f>
        <v>5622.63600147116</v>
      </c>
      <c r="R340" s="15" t="n">
        <f aca="false">Q340-$G$2+$I$2</f>
        <v>5790.03600147116</v>
      </c>
      <c r="S340" s="42" t="n">
        <f aca="false">R340/$K$2</f>
        <v>164.536402428848</v>
      </c>
      <c r="T340" s="43" t="n">
        <f aca="false">S340-$M$2</f>
        <v>0.00102305970884231</v>
      </c>
    </row>
    <row r="341" customFormat="false" ht="15" hidden="false" customHeight="false" outlineLevel="0" collapsed="false">
      <c r="A341" s="5" t="n">
        <v>21</v>
      </c>
      <c r="B341" s="25" t="n">
        <f aca="false">IF(T340&gt;0,B340,D340)</f>
        <v>0.109406471252441</v>
      </c>
      <c r="C341" s="25" t="n">
        <f aca="false">IF(T340&gt;0,D340,C340)</f>
        <v>0.109407901763916</v>
      </c>
      <c r="D341" s="41" t="n">
        <f aca="false">(B341+C341)/2</f>
        <v>0.109407186508179</v>
      </c>
      <c r="E341" s="15" t="n">
        <f aca="false">$C$2*(1+IF(E$3&lt;=$O$2,$D341,$D341-($D341-$I$319)*MIN(E$3-$O$2,$Q$2)/$Q$2))</f>
        <v>965.217534477711</v>
      </c>
      <c r="F341" s="15" t="n">
        <f aca="false">E341*(1+IF(F$3&lt;=$O$2,$D341,$D341-($D341-$I$319)*MIN(F$3-$O$2,$Q$2)/$Q$2))</f>
        <v>1070.81926929328</v>
      </c>
      <c r="G341" s="15" t="n">
        <f aca="false">F341*(1+IF(G$3&lt;=$O$2,$D341,$D341-($D341-$I$319)*MIN(G$3-$O$2,$Q$2)/$Q$2))</f>
        <v>1187.9745928054</v>
      </c>
      <c r="H341" s="15" t="n">
        <f aca="false">G341*(1+IF(H$3&lt;=$O$2,$D341,$D341-($D341-$I$319)*MIN(H$3-$O$2,$Q$2)/$Q$2))</f>
        <v>1317.94755064744</v>
      </c>
      <c r="I341" s="15" t="n">
        <f aca="false">H341*(1+IF(I$3&lt;=$O$2,$D341,$D341-($D341-$I$319)*MIN(I$3-$O$2,$Q$2)/$Q$2))</f>
        <v>1462.14048412912</v>
      </c>
      <c r="J341" s="15" t="n">
        <f aca="false">I341*(1+IF(J$3&lt;=$O$2,$D341,$D341-($D341-$I$319)*MIN(J$3-$O$2,$Q$2)/$Q$2))</f>
        <v>1595.46685961965</v>
      </c>
      <c r="K341" s="15" t="n">
        <f aca="false">J341*(1+IF(K$3&lt;=$O$2,$D341,$D341-($D341-$I$319)*MIN(K$3-$O$2,$Q$2)/$Q$2))</f>
        <v>1711.87900119888</v>
      </c>
      <c r="L341" s="15" t="n">
        <f aca="false">K341*(1+IF(L$3&lt;=$O$2,$D341,$D341-($D341-$I$319)*MIN(L$3-$O$2,$Q$2)/$Q$2))</f>
        <v>1805.59217869748</v>
      </c>
      <c r="M341" s="15" t="n">
        <f aca="false">L341*(1+IF(M$3&lt;=$O$2,$D341,$D341-($D341-$I$319)*MIN(M$3-$O$2,$Q$2)/$Q$2))</f>
        <v>1871.53500024411</v>
      </c>
      <c r="N341" s="15" t="n">
        <f aca="false">M341*(1+IF(N$3&lt;=$O$2,$D341,$D341-($D341-$I$319)*MIN(N$3-$O$2,$Q$2)/$Q$2))</f>
        <v>1905.78409074858</v>
      </c>
      <c r="O341" s="15" t="n">
        <f aca="false">SUMPRODUCT(E341:N341,1/(1+$F$319)^$E$3:$N$3)*$E$2</f>
        <v>2152.79028744395</v>
      </c>
      <c r="P341" s="15" t="n">
        <f aca="false">N341*$E$2*(1+$I$319)/($F$319-$I$319)/(1+$F$319)^$N$3</f>
        <v>3469.82314202465</v>
      </c>
      <c r="Q341" s="15" t="n">
        <f aca="false">O341+P341</f>
        <v>5622.6134294686</v>
      </c>
      <c r="R341" s="15" t="n">
        <f aca="false">Q341-$G$2+$I$2</f>
        <v>5790.0134294686</v>
      </c>
      <c r="S341" s="42" t="n">
        <f aca="false">R341/$K$2</f>
        <v>164.53576099655</v>
      </c>
      <c r="T341" s="43" t="n">
        <f aca="false">S341-$M$2</f>
        <v>0.000381627411030649</v>
      </c>
    </row>
    <row r="342" customFormat="false" ht="15" hidden="false" customHeight="false" outlineLevel="0" collapsed="false">
      <c r="A342" s="5" t="n">
        <v>22</v>
      </c>
      <c r="B342" s="25" t="n">
        <f aca="false">IF(T341&gt;0,B341,D341)</f>
        <v>0.109406471252441</v>
      </c>
      <c r="C342" s="25" t="n">
        <f aca="false">IF(T341&gt;0,D341,C341)</f>
        <v>0.109407186508179</v>
      </c>
      <c r="D342" s="41" t="n">
        <f aca="false">(B342+C342)/2</f>
        <v>0.10940682888031</v>
      </c>
      <c r="E342" s="15" t="n">
        <f aca="false">$C$2*(1+IF(E$3&lt;=$O$2,$D342,$D342-($D342-$I$319)*MIN(E$3-$O$2,$Q$2)/$Q$2))</f>
        <v>965.217223330736</v>
      </c>
      <c r="F342" s="15" t="n">
        <f aca="false">E342*(1+IF(F$3&lt;=$O$2,$D342,$D342-($D342-$I$319)*MIN(F$3-$O$2,$Q$2)/$Q$2))</f>
        <v>1070.81857891601</v>
      </c>
      <c r="G342" s="15" t="n">
        <f aca="false">F342*(1+IF(G$3&lt;=$O$2,$D342,$D342-($D342-$I$319)*MIN(G$3-$O$2,$Q$2)/$Q$2))</f>
        <v>1187.97344394133</v>
      </c>
      <c r="H342" s="15" t="n">
        <f aca="false">G342*(1+IF(H$3&lt;=$O$2,$D342,$D342-($D342-$I$319)*MIN(H$3-$O$2,$Q$2)/$Q$2))</f>
        <v>1317.94585123697</v>
      </c>
      <c r="I342" s="15" t="n">
        <f aca="false">H342*(1+IF(I$3&lt;=$O$2,$D342,$D342-($D342-$I$319)*MIN(I$3-$O$2,$Q$2)/$Q$2))</f>
        <v>1462.13812745677</v>
      </c>
      <c r="J342" s="15" t="n">
        <f aca="false">I342*(1+IF(J$3&lt;=$O$2,$D342,$D342-($D342-$I$319)*MIN(J$3-$O$2,$Q$2)/$Q$2))</f>
        <v>1595.46386973129</v>
      </c>
      <c r="K342" s="15" t="n">
        <f aca="false">J342*(1+IF(K$3&lt;=$O$2,$D342,$D342-($D342-$I$319)*MIN(K$3-$O$2,$Q$2)/$Q$2))</f>
        <v>1711.87545080597</v>
      </c>
      <c r="L342" s="15" t="n">
        <f aca="false">K342*(1+IF(L$3&lt;=$O$2,$D342,$D342-($D342-$I$319)*MIN(L$3-$O$2,$Q$2)/$Q$2))</f>
        <v>1805.58818906012</v>
      </c>
      <c r="M342" s="15" t="n">
        <f aca="false">L342*(1+IF(M$3&lt;=$O$2,$D342,$D342-($D342-$I$319)*MIN(M$3-$O$2,$Q$2)/$Q$2))</f>
        <v>1871.53073575372</v>
      </c>
      <c r="N342" s="15" t="n">
        <f aca="false">M342*(1+IF(N$3&lt;=$O$2,$D342,$D342-($D342-$I$319)*MIN(N$3-$O$2,$Q$2)/$Q$2))</f>
        <v>1905.77974821801</v>
      </c>
      <c r="O342" s="15" t="n">
        <f aca="false">SUMPRODUCT(E342:N342,1/(1+$F$319)^$E$3:$N$3)*$E$2</f>
        <v>2152.78690783308</v>
      </c>
      <c r="P342" s="15" t="n">
        <f aca="false">N342*$E$2*(1+$I$319)/($F$319-$I$319)/(1+$F$319)^$N$3</f>
        <v>3469.81523566572</v>
      </c>
      <c r="Q342" s="15" t="n">
        <f aca="false">O342+P342</f>
        <v>5622.60214349881</v>
      </c>
      <c r="R342" s="15" t="n">
        <f aca="false">Q342-$G$2+$I$2</f>
        <v>5790.00214349881</v>
      </c>
      <c r="S342" s="42" t="n">
        <f aca="false">R342/$K$2</f>
        <v>164.535440281296</v>
      </c>
      <c r="T342" s="43" t="n">
        <f aca="false">S342-$M$2</f>
        <v>6.09121569823401E-005</v>
      </c>
    </row>
    <row r="343" customFormat="false" ht="15" hidden="false" customHeight="false" outlineLevel="0" collapsed="false">
      <c r="A343" s="5" t="n">
        <v>23</v>
      </c>
      <c r="B343" s="25" t="n">
        <f aca="false">IF(T342&gt;0,B342,D342)</f>
        <v>0.109406471252441</v>
      </c>
      <c r="C343" s="25" t="n">
        <f aca="false">IF(T342&gt;0,D342,C342)</f>
        <v>0.10940682888031</v>
      </c>
      <c r="D343" s="41" t="n">
        <f aca="false">(B343+C343)/2</f>
        <v>0.109406650066376</v>
      </c>
      <c r="E343" s="15" t="n">
        <f aca="false">$C$2*(1+IF(E$3&lt;=$O$2,$D343,$D343-($D343-$I$319)*MIN(E$3-$O$2,$Q$2)/$Q$2))</f>
        <v>965.217067757249</v>
      </c>
      <c r="F343" s="15" t="n">
        <f aca="false">E343*(1+IF(F$3&lt;=$O$2,$D343,$D343-($D343-$I$319)*MIN(F$3-$O$2,$Q$2)/$Q$2))</f>
        <v>1070.81823372746</v>
      </c>
      <c r="G343" s="15" t="n">
        <f aca="false">F343*(1+IF(G$3&lt;=$O$2,$D343,$D343-($D343-$I$319)*MIN(G$3-$O$2,$Q$2)/$Q$2))</f>
        <v>1187.97286950957</v>
      </c>
      <c r="H343" s="15" t="n">
        <f aca="false">G343*(1+IF(H$3&lt;=$O$2,$D343,$D343-($D343-$I$319)*MIN(H$3-$O$2,$Q$2)/$Q$2))</f>
        <v>1317.94500153236</v>
      </c>
      <c r="I343" s="15" t="n">
        <f aca="false">H343*(1+IF(I$3&lt;=$O$2,$D343,$D343-($D343-$I$319)*MIN(I$3-$O$2,$Q$2)/$Q$2))</f>
        <v>1462.13694912174</v>
      </c>
      <c r="J343" s="15" t="n">
        <f aca="false">I343*(1+IF(J$3&lt;=$O$2,$D343,$D343-($D343-$I$319)*MIN(J$3-$O$2,$Q$2)/$Q$2))</f>
        <v>1595.46237478887</v>
      </c>
      <c r="K343" s="15" t="n">
        <f aca="false">J343*(1+IF(K$3&lt;=$O$2,$D343,$D343-($D343-$I$319)*MIN(K$3-$O$2,$Q$2)/$Q$2))</f>
        <v>1711.87367561188</v>
      </c>
      <c r="L343" s="15" t="n">
        <f aca="false">K343*(1+IF(L$3&lt;=$O$2,$D343,$D343-($D343-$I$319)*MIN(L$3-$O$2,$Q$2)/$Q$2))</f>
        <v>1805.5861942443</v>
      </c>
      <c r="M343" s="15" t="n">
        <f aca="false">L343*(1+IF(M$3&lt;=$O$2,$D343,$D343-($D343-$I$319)*MIN(M$3-$O$2,$Q$2)/$Q$2))</f>
        <v>1871.52860351171</v>
      </c>
      <c r="N343" s="15" t="n">
        <f aca="false">M343*(1+IF(N$3&lt;=$O$2,$D343,$D343-($D343-$I$319)*MIN(N$3-$O$2,$Q$2)/$Q$2))</f>
        <v>1905.77757695597</v>
      </c>
      <c r="O343" s="15" t="n">
        <f aca="false">SUMPRODUCT(E343:N343,1/(1+$F$319)^$E$3:$N$3)*$E$2</f>
        <v>2152.78521802961</v>
      </c>
      <c r="P343" s="15" t="n">
        <f aca="false">N343*$E$2*(1+$I$319)/($F$319-$I$319)/(1+$F$319)^$N$3</f>
        <v>3469.81128249217</v>
      </c>
      <c r="Q343" s="15" t="n">
        <f aca="false">O343+P343</f>
        <v>5622.59650052178</v>
      </c>
      <c r="R343" s="15" t="n">
        <f aca="false">Q343-$G$2+$I$2</f>
        <v>5789.99650052178</v>
      </c>
      <c r="S343" s="42" t="n">
        <f aca="false">R343/$K$2</f>
        <v>164.535279923893</v>
      </c>
      <c r="T343" s="43" t="n">
        <f aca="false">S343-$M$2</f>
        <v>-9.94452463487505E-005</v>
      </c>
    </row>
    <row r="344" customFormat="false" ht="15" hidden="false" customHeight="false" outlineLevel="0" collapsed="false">
      <c r="A344" s="5" t="n">
        <v>24</v>
      </c>
      <c r="B344" s="25" t="n">
        <f aca="false">IF(T343&gt;0,B343,D343)</f>
        <v>0.109406650066376</v>
      </c>
      <c r="C344" s="25" t="n">
        <f aca="false">IF(T343&gt;0,D343,C343)</f>
        <v>0.10940682888031</v>
      </c>
      <c r="D344" s="41" t="n">
        <f aca="false">(B344+C344)/2</f>
        <v>0.109406739473343</v>
      </c>
      <c r="E344" s="15" t="n">
        <f aca="false">$C$2*(1+IF(E$3&lt;=$O$2,$D344,$D344-($D344-$I$319)*MIN(E$3-$O$2,$Q$2)/$Q$2))</f>
        <v>965.217145543993</v>
      </c>
      <c r="F344" s="15" t="n">
        <f aca="false">E344*(1+IF(F$3&lt;=$O$2,$D344,$D344-($D344-$I$319)*MIN(F$3-$O$2,$Q$2)/$Q$2))</f>
        <v>1070.81840632173</v>
      </c>
      <c r="G344" s="15" t="n">
        <f aca="false">F344*(1+IF(G$3&lt;=$O$2,$D344,$D344-($D344-$I$319)*MIN(G$3-$O$2,$Q$2)/$Q$2))</f>
        <v>1187.97315672543</v>
      </c>
      <c r="H344" s="15" t="n">
        <f aca="false">G344*(1+IF(H$3&lt;=$O$2,$D344,$D344-($D344-$I$319)*MIN(H$3-$O$2,$Q$2)/$Q$2))</f>
        <v>1317.94542638461</v>
      </c>
      <c r="I344" s="15" t="n">
        <f aca="false">H344*(1+IF(I$3&lt;=$O$2,$D344,$D344-($D344-$I$319)*MIN(I$3-$O$2,$Q$2)/$Q$2))</f>
        <v>1462.13753828916</v>
      </c>
      <c r="J344" s="15" t="n">
        <f aca="false">I344*(1+IF(J$3&lt;=$O$2,$D344,$D344-($D344-$I$319)*MIN(J$3-$O$2,$Q$2)/$Q$2))</f>
        <v>1595.46312225993</v>
      </c>
      <c r="K344" s="15" t="n">
        <f aca="false">J344*(1+IF(K$3&lt;=$O$2,$D344,$D344-($D344-$I$319)*MIN(K$3-$O$2,$Q$2)/$Q$2))</f>
        <v>1711.87456320873</v>
      </c>
      <c r="L344" s="15" t="n">
        <f aca="false">K344*(1+IF(L$3&lt;=$O$2,$D344,$D344-($D344-$I$319)*MIN(L$3-$O$2,$Q$2)/$Q$2))</f>
        <v>1805.58719165197</v>
      </c>
      <c r="M344" s="15" t="n">
        <f aca="false">L344*(1+IF(M$3&lt;=$O$2,$D344,$D344-($D344-$I$319)*MIN(M$3-$O$2,$Q$2)/$Q$2))</f>
        <v>1871.52966963245</v>
      </c>
      <c r="N344" s="15" t="n">
        <f aca="false">M344*(1+IF(N$3&lt;=$O$2,$D344,$D344-($D344-$I$319)*MIN(N$3-$O$2,$Q$2)/$Q$2))</f>
        <v>1905.77866258672</v>
      </c>
      <c r="O344" s="15" t="n">
        <f aca="false">SUMPRODUCT(E344:N344,1/(1+$F$319)^$E$3:$N$3)*$E$2</f>
        <v>2152.78606293118</v>
      </c>
      <c r="P344" s="15" t="n">
        <f aca="false">N344*$E$2*(1+$I$319)/($F$319-$I$319)/(1+$F$319)^$N$3</f>
        <v>3469.81325907845</v>
      </c>
      <c r="Q344" s="15" t="n">
        <f aca="false">O344+P344</f>
        <v>5622.59932200964</v>
      </c>
      <c r="R344" s="15" t="n">
        <f aca="false">Q344-$G$2+$I$2</f>
        <v>5789.99932200964</v>
      </c>
      <c r="S344" s="42" t="n">
        <f aca="false">R344/$K$2</f>
        <v>164.535360102576</v>
      </c>
      <c r="T344" s="43" t="n">
        <f aca="false">S344-$M$2</f>
        <v>-1.92665633562683E-005</v>
      </c>
    </row>
    <row r="346" customFormat="false" ht="15" hidden="false" customHeight="false" outlineLevel="0" collapsed="false">
      <c r="A346" s="38" t="s">
        <v>199</v>
      </c>
      <c r="E346" s="5" t="s">
        <v>12</v>
      </c>
      <c r="F346" s="12" t="n">
        <f aca="false">Sensitivity!$B$12</f>
        <v>0.0775075820986394</v>
      </c>
      <c r="G346" s="5" t="s">
        <v>13</v>
      </c>
      <c r="I346" s="12" t="n">
        <f aca="false">Sensitivity!$D$9</f>
        <v>0.0233</v>
      </c>
    </row>
    <row r="347" customFormat="false" ht="23.85" hidden="false" customHeight="false" outlineLevel="0" collapsed="false">
      <c r="A347" s="38" t="s">
        <v>168</v>
      </c>
      <c r="B347" s="28" t="s">
        <v>169</v>
      </c>
      <c r="C347" s="28" t="s">
        <v>170</v>
      </c>
      <c r="D347" s="28" t="s">
        <v>171</v>
      </c>
      <c r="E347" s="28" t="s">
        <v>172</v>
      </c>
      <c r="F347" s="28" t="s">
        <v>173</v>
      </c>
      <c r="G347" s="28" t="s">
        <v>174</v>
      </c>
      <c r="H347" s="28" t="s">
        <v>175</v>
      </c>
      <c r="I347" s="28" t="s">
        <v>176</v>
      </c>
      <c r="J347" s="28" t="s">
        <v>177</v>
      </c>
      <c r="K347" s="28" t="s">
        <v>178</v>
      </c>
      <c r="L347" s="28" t="s">
        <v>179</v>
      </c>
      <c r="M347" s="28" t="s">
        <v>180</v>
      </c>
      <c r="N347" s="28" t="s">
        <v>181</v>
      </c>
      <c r="O347" s="28" t="s">
        <v>182</v>
      </c>
      <c r="P347" s="28" t="s">
        <v>183</v>
      </c>
      <c r="Q347" s="28" t="s">
        <v>184</v>
      </c>
      <c r="R347" s="28" t="s">
        <v>185</v>
      </c>
      <c r="S347" s="28" t="s">
        <v>186</v>
      </c>
      <c r="T347" s="28" t="s">
        <v>187</v>
      </c>
    </row>
    <row r="348" customFormat="false" ht="15" hidden="false" customHeight="false" outlineLevel="0" collapsed="false">
      <c r="A348" s="5" t="n">
        <v>1</v>
      </c>
      <c r="B348" s="24" t="n">
        <v>-0.5</v>
      </c>
      <c r="C348" s="24" t="n">
        <v>1</v>
      </c>
      <c r="D348" s="41" t="n">
        <f aca="false">(B348+C348)/2</f>
        <v>0.25</v>
      </c>
      <c r="E348" s="15" t="n">
        <f aca="false">$C$2*(1+IF(E$3&lt;=$O$2,$D348,$D348-($D348-$I$346)*MIN(E$3-$O$2,$Q$2)/$Q$2))</f>
        <v>1087.5375</v>
      </c>
      <c r="F348" s="15" t="n">
        <f aca="false">E348*(1+IF(F$3&lt;=$O$2,$D348,$D348-($D348-$I$346)*MIN(F$3-$O$2,$Q$2)/$Q$2))</f>
        <v>1359.421875</v>
      </c>
      <c r="G348" s="15" t="n">
        <f aca="false">F348*(1+IF(G$3&lt;=$O$2,$D348,$D348-($D348-$I$346)*MIN(G$3-$O$2,$Q$2)/$Q$2))</f>
        <v>1699.27734375</v>
      </c>
      <c r="H348" s="15" t="n">
        <f aca="false">G348*(1+IF(H$3&lt;=$O$2,$D348,$D348-($D348-$I$346)*MIN(H$3-$O$2,$Q$2)/$Q$2))</f>
        <v>2124.0966796875</v>
      </c>
      <c r="I348" s="15" t="n">
        <f aca="false">H348*(1+IF(I$3&lt;=$O$2,$D348,$D348-($D348-$I$346)*MIN(I$3-$O$2,$Q$2)/$Q$2))</f>
        <v>2655.12084960938</v>
      </c>
      <c r="J348" s="15" t="n">
        <f aca="false">I348*(1+IF(J$3&lt;=$O$2,$D348,$D348-($D348-$I$346)*MIN(J$3-$O$2,$Q$2)/$Q$2))</f>
        <v>3198.51788269043</v>
      </c>
      <c r="K348" s="15" t="n">
        <f aca="false">J348*(1+IF(K$3&lt;=$O$2,$D348,$D348-($D348-$I$346)*MIN(K$3-$O$2,$Q$2)/$Q$2))</f>
        <v>3708.10575176067</v>
      </c>
      <c r="L348" s="15" t="n">
        <f aca="false">K348*(1+IF(L$3&lt;=$O$2,$D348,$D348-($D348-$I$346)*MIN(L$3-$O$2,$Q$2)/$Q$2))</f>
        <v>4130.75564534635</v>
      </c>
      <c r="M348" s="15" t="n">
        <f aca="false">L348*(1+IF(M$3&lt;=$O$2,$D348,$D348-($D348-$I$346)*MIN(M$3-$O$2,$Q$2)/$Q$2))</f>
        <v>4414.29071284292</v>
      </c>
      <c r="N348" s="15" t="n">
        <f aca="false">M348*(1+IF(N$3&lt;=$O$2,$D348,$D348-($D348-$I$346)*MIN(N$3-$O$2,$Q$2)/$Q$2))</f>
        <v>4517.14368645216</v>
      </c>
      <c r="O348" s="15" t="n">
        <f aca="false">SUMPRODUCT(E348:N348,1/(1+$F$346)^$E$3:$N$3)*$E$2</f>
        <v>3987.29885591563</v>
      </c>
      <c r="P348" s="15" t="n">
        <f aca="false">N348*$E$2*(1+$I$346)/($F$346-$I$346)/(1+$F$346)^$N$3</f>
        <v>9026.97141757979</v>
      </c>
      <c r="Q348" s="15" t="n">
        <f aca="false">O348+P348</f>
        <v>13014.2702734954</v>
      </c>
      <c r="R348" s="15" t="n">
        <f aca="false">Q348-$G$2+$I$2</f>
        <v>13181.6702734954</v>
      </c>
      <c r="S348" s="42" t="n">
        <f aca="false">R348/$K$2</f>
        <v>374.585685521325</v>
      </c>
      <c r="T348" s="43" t="n">
        <f aca="false">S348-$M$2</f>
        <v>210.050306152186</v>
      </c>
    </row>
    <row r="349" customFormat="false" ht="15" hidden="false" customHeight="false" outlineLevel="0" collapsed="false">
      <c r="A349" s="5" t="n">
        <v>2</v>
      </c>
      <c r="B349" s="25" t="n">
        <f aca="false">IF(T348&gt;0,B348,D348)</f>
        <v>-0.5</v>
      </c>
      <c r="C349" s="25" t="n">
        <f aca="false">IF(T348&gt;0,D348,C348)</f>
        <v>0.25</v>
      </c>
      <c r="D349" s="41" t="n">
        <f aca="false">(B349+C349)/2</f>
        <v>-0.125</v>
      </c>
      <c r="E349" s="15" t="n">
        <f aca="false">$C$2*(1+IF(E$3&lt;=$O$2,$D349,$D349-($D349-$I$346)*MIN(E$3-$O$2,$Q$2)/$Q$2))</f>
        <v>761.27625</v>
      </c>
      <c r="F349" s="15" t="n">
        <f aca="false">E349*(1+IF(F$3&lt;=$O$2,$D349,$D349-($D349-$I$346)*MIN(F$3-$O$2,$Q$2)/$Q$2))</f>
        <v>666.11671875</v>
      </c>
      <c r="G349" s="15" t="n">
        <f aca="false">F349*(1+IF(G$3&lt;=$O$2,$D349,$D349-($D349-$I$346)*MIN(G$3-$O$2,$Q$2)/$Q$2))</f>
        <v>582.85212890625</v>
      </c>
      <c r="H349" s="15" t="n">
        <f aca="false">G349*(1+IF(H$3&lt;=$O$2,$D349,$D349-($D349-$I$346)*MIN(H$3-$O$2,$Q$2)/$Q$2))</f>
        <v>509.995612792969</v>
      </c>
      <c r="I349" s="15" t="n">
        <f aca="false">H349*(1+IF(I$3&lt;=$O$2,$D349,$D349-($D349-$I$346)*MIN(I$3-$O$2,$Q$2)/$Q$2))</f>
        <v>446.246161193848</v>
      </c>
      <c r="J349" s="15" t="n">
        <f aca="false">I349*(1+IF(J$3&lt;=$O$2,$D349,$D349-($D349-$I$346)*MIN(J$3-$O$2,$Q$2)/$Q$2))</f>
        <v>403.701052185626</v>
      </c>
      <c r="K349" s="15" t="n">
        <f aca="false">J349*(1+IF(K$3&lt;=$O$2,$D349,$D349-($D349-$I$346)*MIN(K$3-$O$2,$Q$2)/$Q$2))</f>
        <v>377.185967078074</v>
      </c>
      <c r="L349" s="15" t="n">
        <f aca="false">K349*(1+IF(L$3&lt;=$O$2,$D349,$D349-($D349-$I$346)*MIN(L$3-$O$2,$Q$2)/$Q$2))</f>
        <v>363.599728543922</v>
      </c>
      <c r="M349" s="15" t="n">
        <f aca="false">L349*(1+IF(M$3&lt;=$O$2,$D349,$D349-($D349-$I$346)*MIN(M$3-$O$2,$Q$2)/$Q$2))</f>
        <v>361.287234270383</v>
      </c>
      <c r="N349" s="15" t="n">
        <f aca="false">M349*(1+IF(N$3&lt;=$O$2,$D349,$D349-($D349-$I$346)*MIN(N$3-$O$2,$Q$2)/$Q$2))</f>
        <v>369.705226828883</v>
      </c>
      <c r="O349" s="15" t="n">
        <f aca="false">SUMPRODUCT(E349:N349,1/(1+$F$346)^$E$3:$N$3)*$E$2</f>
        <v>775.663968414456</v>
      </c>
      <c r="P349" s="15" t="n">
        <f aca="false">N349*$E$2*(1+$I$346)/($F$346-$I$346)/(1+$F$346)^$N$3</f>
        <v>738.811679939134</v>
      </c>
      <c r="Q349" s="15" t="n">
        <f aca="false">O349+P349</f>
        <v>1514.47564835359</v>
      </c>
      <c r="R349" s="15" t="n">
        <f aca="false">Q349-$G$2+$I$2</f>
        <v>1681.87564835359</v>
      </c>
      <c r="S349" s="42" t="n">
        <f aca="false">R349/$K$2</f>
        <v>47.7941360714291</v>
      </c>
      <c r="T349" s="43" t="n">
        <f aca="false">S349-$M$2</f>
        <v>-116.74124329771</v>
      </c>
    </row>
    <row r="350" customFormat="false" ht="15" hidden="false" customHeight="false" outlineLevel="0" collapsed="false">
      <c r="A350" s="5" t="n">
        <v>3</v>
      </c>
      <c r="B350" s="25" t="n">
        <f aca="false">IF(T349&gt;0,B349,D349)</f>
        <v>-0.125</v>
      </c>
      <c r="C350" s="25" t="n">
        <f aca="false">IF(T349&gt;0,D349,C349)</f>
        <v>0.25</v>
      </c>
      <c r="D350" s="41" t="n">
        <f aca="false">(B350+C350)/2</f>
        <v>0.0625</v>
      </c>
      <c r="E350" s="15" t="n">
        <f aca="false">$C$2*(1+IF(E$3&lt;=$O$2,$D350,$D350-($D350-$I$346)*MIN(E$3-$O$2,$Q$2)/$Q$2))</f>
        <v>924.406875</v>
      </c>
      <c r="F350" s="15" t="n">
        <f aca="false">E350*(1+IF(F$3&lt;=$O$2,$D350,$D350-($D350-$I$346)*MIN(F$3-$O$2,$Q$2)/$Q$2))</f>
        <v>982.1823046875</v>
      </c>
      <c r="G350" s="15" t="n">
        <f aca="false">F350*(1+IF(G$3&lt;=$O$2,$D350,$D350-($D350-$I$346)*MIN(G$3-$O$2,$Q$2)/$Q$2))</f>
        <v>1043.56869873047</v>
      </c>
      <c r="H350" s="15" t="n">
        <f aca="false">G350*(1+IF(H$3&lt;=$O$2,$D350,$D350-($D350-$I$346)*MIN(H$3-$O$2,$Q$2)/$Q$2))</f>
        <v>1108.79174240112</v>
      </c>
      <c r="I350" s="15" t="n">
        <f aca="false">H350*(1+IF(I$3&lt;=$O$2,$D350,$D350-($D350-$I$346)*MIN(I$3-$O$2,$Q$2)/$Q$2))</f>
        <v>1178.09122630119</v>
      </c>
      <c r="J350" s="15" t="n">
        <f aca="false">I350*(1+IF(J$3&lt;=$O$2,$D350,$D350-($D350-$I$346)*MIN(J$3-$O$2,$Q$2)/$Q$2))</f>
        <v>1242.48569273082</v>
      </c>
      <c r="K350" s="15" t="n">
        <f aca="false">J350*(1+IF(K$3&lt;=$O$2,$D350,$D350-($D350-$I$346)*MIN(K$3-$O$2,$Q$2)/$Q$2))</f>
        <v>1300.65887286447</v>
      </c>
      <c r="L350" s="15" t="n">
        <f aca="false">K350*(1+IF(L$3&lt;=$O$2,$D350,$D350-($D350-$I$346)*MIN(L$3-$O$2,$Q$2)/$Q$2))</f>
        <v>1351.35855572873</v>
      </c>
      <c r="M350" s="15" t="n">
        <f aca="false">L350*(1+IF(M$3&lt;=$O$2,$D350,$D350-($D350-$I$346)*MIN(M$3-$O$2,$Q$2)/$Q$2))</f>
        <v>1393.43986115412</v>
      </c>
      <c r="N350" s="15" t="n">
        <f aca="false">M350*(1+IF(N$3&lt;=$O$2,$D350,$D350-($D350-$I$346)*MIN(N$3-$O$2,$Q$2)/$Q$2))</f>
        <v>1425.90700991901</v>
      </c>
      <c r="O350" s="15" t="n">
        <f aca="false">SUMPRODUCT(E350:N350,1/(1+$F$346)^$E$3:$N$3)*$E$2</f>
        <v>1757.18524841159</v>
      </c>
      <c r="P350" s="15" t="n">
        <f aca="false">N350*$E$2*(1+$I$346)/($F$346-$I$346)/(1+$F$346)^$N$3</f>
        <v>2849.50462418768</v>
      </c>
      <c r="Q350" s="15" t="n">
        <f aca="false">O350+P350</f>
        <v>4606.68987259926</v>
      </c>
      <c r="R350" s="15" t="n">
        <f aca="false">Q350-$G$2+$I$2</f>
        <v>4774.08987259926</v>
      </c>
      <c r="S350" s="42" t="n">
        <f aca="false">R350/$K$2</f>
        <v>135.66609470302</v>
      </c>
      <c r="T350" s="43" t="n">
        <f aca="false">S350-$M$2</f>
        <v>-28.8692846661193</v>
      </c>
    </row>
    <row r="351" customFormat="false" ht="15" hidden="false" customHeight="false" outlineLevel="0" collapsed="false">
      <c r="A351" s="5" t="n">
        <v>4</v>
      </c>
      <c r="B351" s="25" t="n">
        <f aca="false">IF(T350&gt;0,B350,D350)</f>
        <v>0.0625</v>
      </c>
      <c r="C351" s="25" t="n">
        <f aca="false">IF(T350&gt;0,D350,C350)</f>
        <v>0.25</v>
      </c>
      <c r="D351" s="41" t="n">
        <f aca="false">(B351+C351)/2</f>
        <v>0.15625</v>
      </c>
      <c r="E351" s="15" t="n">
        <f aca="false">$C$2*(1+IF(E$3&lt;=$O$2,$D351,$D351-($D351-$I$346)*MIN(E$3-$O$2,$Q$2)/$Q$2))</f>
        <v>1005.9721875</v>
      </c>
      <c r="F351" s="15" t="n">
        <f aca="false">E351*(1+IF(F$3&lt;=$O$2,$D351,$D351-($D351-$I$346)*MIN(F$3-$O$2,$Q$2)/$Q$2))</f>
        <v>1163.15534179688</v>
      </c>
      <c r="G351" s="15" t="n">
        <f aca="false">F351*(1+IF(G$3&lt;=$O$2,$D351,$D351-($D351-$I$346)*MIN(G$3-$O$2,$Q$2)/$Q$2))</f>
        <v>1344.89836395264</v>
      </c>
      <c r="H351" s="15" t="n">
        <f aca="false">G351*(1+IF(H$3&lt;=$O$2,$D351,$D351-($D351-$I$346)*MIN(H$3-$O$2,$Q$2)/$Q$2))</f>
        <v>1555.03873332024</v>
      </c>
      <c r="I351" s="15" t="n">
        <f aca="false">H351*(1+IF(I$3&lt;=$O$2,$D351,$D351-($D351-$I$346)*MIN(I$3-$O$2,$Q$2)/$Q$2))</f>
        <v>1798.01353540152</v>
      </c>
      <c r="J351" s="15" t="n">
        <f aca="false">I351*(1+IF(J$3&lt;=$O$2,$D351,$D351-($D351-$I$346)*MIN(J$3-$O$2,$Q$2)/$Q$2))</f>
        <v>2031.14397040168</v>
      </c>
      <c r="K351" s="15" t="n">
        <f aca="false">J351*(1+IF(K$3&lt;=$O$2,$D351,$D351-($D351-$I$346)*MIN(K$3-$O$2,$Q$2)/$Q$2))</f>
        <v>2240.49397943099</v>
      </c>
      <c r="L351" s="15" t="n">
        <f aca="false">K351*(1+IF(L$3&lt;=$O$2,$D351,$D351-($D351-$I$346)*MIN(L$3-$O$2,$Q$2)/$Q$2))</f>
        <v>2411.84695897787</v>
      </c>
      <c r="M351" s="15" t="n">
        <f aca="false">L351*(1+IF(M$3&lt;=$O$2,$D351,$D351-($D351-$I$346)*MIN(M$3-$O$2,$Q$2)/$Q$2))</f>
        <v>2532.17400376127</v>
      </c>
      <c r="N351" s="15" t="n">
        <f aca="false">M351*(1+IF(N$3&lt;=$O$2,$D351,$D351-($D351-$I$346)*MIN(N$3-$O$2,$Q$2)/$Q$2))</f>
        <v>2591.17365804891</v>
      </c>
      <c r="O351" s="15" t="n">
        <f aca="false">SUMPRODUCT(E351:N351,1/(1+$F$346)^$E$3:$N$3)*$E$2</f>
        <v>2652.53602999158</v>
      </c>
      <c r="P351" s="15" t="n">
        <f aca="false">N351*$E$2*(1+$I$346)/($F$346-$I$346)/(1+$F$346)^$N$3</f>
        <v>5178.15065731602</v>
      </c>
      <c r="Q351" s="15" t="n">
        <f aca="false">O351+P351</f>
        <v>7830.68668730761</v>
      </c>
      <c r="R351" s="15" t="n">
        <f aca="false">Q351-$G$2+$I$2</f>
        <v>7998.08668730761</v>
      </c>
      <c r="S351" s="42" t="n">
        <f aca="false">R351/$K$2</f>
        <v>227.282940815789</v>
      </c>
      <c r="T351" s="43" t="n">
        <f aca="false">S351-$M$2</f>
        <v>62.7475614466497</v>
      </c>
    </row>
    <row r="352" customFormat="false" ht="15" hidden="false" customHeight="false" outlineLevel="0" collapsed="false">
      <c r="A352" s="5" t="n">
        <v>5</v>
      </c>
      <c r="B352" s="25" t="n">
        <f aca="false">IF(T351&gt;0,B351,D351)</f>
        <v>0.0625</v>
      </c>
      <c r="C352" s="25" t="n">
        <f aca="false">IF(T351&gt;0,D351,C351)</f>
        <v>0.15625</v>
      </c>
      <c r="D352" s="41" t="n">
        <f aca="false">(B352+C352)/2</f>
        <v>0.109375</v>
      </c>
      <c r="E352" s="15" t="n">
        <f aca="false">$C$2*(1+IF(E$3&lt;=$O$2,$D352,$D352-($D352-$I$346)*MIN(E$3-$O$2,$Q$2)/$Q$2))</f>
        <v>965.18953125</v>
      </c>
      <c r="F352" s="15" t="n">
        <f aca="false">E352*(1+IF(F$3&lt;=$O$2,$D352,$D352-($D352-$I$346)*MIN(F$3-$O$2,$Q$2)/$Q$2))</f>
        <v>1070.75713623047</v>
      </c>
      <c r="G352" s="15" t="n">
        <f aca="false">F352*(1+IF(G$3&lt;=$O$2,$D352,$D352-($D352-$I$346)*MIN(G$3-$O$2,$Q$2)/$Q$2))</f>
        <v>1187.87119800568</v>
      </c>
      <c r="H352" s="15" t="n">
        <f aca="false">G352*(1+IF(H$3&lt;=$O$2,$D352,$D352-($D352-$I$346)*MIN(H$3-$O$2,$Q$2)/$Q$2))</f>
        <v>1317.79461028755</v>
      </c>
      <c r="I352" s="15" t="n">
        <f aca="false">H352*(1+IF(I$3&lt;=$O$2,$D352,$D352-($D352-$I$346)*MIN(I$3-$O$2,$Q$2)/$Q$2))</f>
        <v>1461.92839578775</v>
      </c>
      <c r="J352" s="15" t="n">
        <f aca="false">I352*(1+IF(J$3&lt;=$O$2,$D352,$D352-($D352-$I$346)*MIN(J$3-$O$2,$Q$2)/$Q$2))</f>
        <v>1596.65971674355</v>
      </c>
      <c r="K352" s="15" t="n">
        <f aca="false">J352*(1+IF(K$3&lt;=$O$2,$D352,$D352-($D352-$I$346)*MIN(K$3-$O$2,$Q$2)/$Q$2))</f>
        <v>1716.32137921489</v>
      </c>
      <c r="L352" s="15" t="n">
        <f aca="false">K352*(1+IF(L$3&lt;=$O$2,$D352,$D352-($D352-$I$346)*MIN(L$3-$O$2,$Q$2)/$Q$2))</f>
        <v>1815.40461243697</v>
      </c>
      <c r="M352" s="15" t="n">
        <f aca="false">L352*(1+IF(M$3&lt;=$O$2,$D352,$D352-($D352-$I$346)*MIN(M$3-$O$2,$Q$2)/$Q$2))</f>
        <v>1888.95573030985</v>
      </c>
      <c r="N352" s="15" t="n">
        <f aca="false">M352*(1+IF(N$3&lt;=$O$2,$D352,$D352-($D352-$I$346)*MIN(N$3-$O$2,$Q$2)/$Q$2))</f>
        <v>1932.96839882607</v>
      </c>
      <c r="O352" s="15" t="n">
        <f aca="false">SUMPRODUCT(E352:N352,1/(1+$F$346)^$E$3:$N$3)*$E$2</f>
        <v>2159.52553874366</v>
      </c>
      <c r="P352" s="15" t="n">
        <f aca="false">N352*$E$2*(1+$I$346)/($F$346-$I$346)/(1+$F$346)^$N$3</f>
        <v>3862.80616656507</v>
      </c>
      <c r="Q352" s="15" t="n">
        <f aca="false">O352+P352</f>
        <v>6022.33170530873</v>
      </c>
      <c r="R352" s="15" t="n">
        <f aca="false">Q352-$G$2+$I$2</f>
        <v>6189.73170530873</v>
      </c>
      <c r="S352" s="42" t="n">
        <f aca="false">R352/$K$2</f>
        <v>175.89462078172</v>
      </c>
      <c r="T352" s="43" t="n">
        <f aca="false">S352-$M$2</f>
        <v>11.3592414125811</v>
      </c>
    </row>
    <row r="353" customFormat="false" ht="15" hidden="false" customHeight="false" outlineLevel="0" collapsed="false">
      <c r="A353" s="5" t="n">
        <v>6</v>
      </c>
      <c r="B353" s="25" t="n">
        <f aca="false">IF(T352&gt;0,B352,D352)</f>
        <v>0.0625</v>
      </c>
      <c r="C353" s="25" t="n">
        <f aca="false">IF(T352&gt;0,D352,C352)</f>
        <v>0.109375</v>
      </c>
      <c r="D353" s="41" t="n">
        <f aca="false">(B353+C353)/2</f>
        <v>0.0859375</v>
      </c>
      <c r="E353" s="15" t="n">
        <f aca="false">$C$2*(1+IF(E$3&lt;=$O$2,$D353,$D353-($D353-$I$346)*MIN(E$3-$O$2,$Q$2)/$Q$2))</f>
        <v>944.798203125</v>
      </c>
      <c r="F353" s="15" t="n">
        <f aca="false">E353*(1+IF(F$3&lt;=$O$2,$D353,$D353-($D353-$I$346)*MIN(F$3-$O$2,$Q$2)/$Q$2))</f>
        <v>1025.99179870605</v>
      </c>
      <c r="G353" s="15" t="n">
        <f aca="false">F353*(1+IF(G$3&lt;=$O$2,$D353,$D353-($D353-$I$346)*MIN(G$3-$O$2,$Q$2)/$Q$2))</f>
        <v>1114.16296890736</v>
      </c>
      <c r="H353" s="15" t="n">
        <f aca="false">G353*(1+IF(H$3&lt;=$O$2,$D353,$D353-($D353-$I$346)*MIN(H$3-$O$2,$Q$2)/$Q$2))</f>
        <v>1209.91134904783</v>
      </c>
      <c r="I353" s="15" t="n">
        <f aca="false">H353*(1+IF(I$3&lt;=$O$2,$D353,$D353-($D353-$I$346)*MIN(I$3-$O$2,$Q$2)/$Q$2))</f>
        <v>1313.88810560663</v>
      </c>
      <c r="J353" s="15" t="n">
        <f aca="false">I353*(1+IF(J$3&lt;=$O$2,$D353,$D353-($D353-$I$346)*MIN(J$3-$O$2,$Q$2)/$Q$2))</f>
        <v>1410.34063143921</v>
      </c>
      <c r="K353" s="15" t="n">
        <f aca="false">J353*(1+IF(K$3&lt;=$O$2,$D353,$D353-($D353-$I$346)*MIN(K$3-$O$2,$Q$2)/$Q$2))</f>
        <v>1496.20569493281</v>
      </c>
      <c r="L353" s="15" t="n">
        <f aca="false">K353*(1+IF(L$3&lt;=$O$2,$D353,$D353-($D353-$I$346)*MIN(L$3-$O$2,$Q$2)/$Q$2))</f>
        <v>1568.55472131129</v>
      </c>
      <c r="M353" s="15" t="n">
        <f aca="false">L353*(1+IF(M$3&lt;=$O$2,$D353,$D353-($D353-$I$346)*MIN(M$3-$O$2,$Q$2)/$Q$2))</f>
        <v>1624.75211558907</v>
      </c>
      <c r="N353" s="15" t="n">
        <f aca="false">M353*(1+IF(N$3&lt;=$O$2,$D353,$D353-($D353-$I$346)*MIN(N$3-$O$2,$Q$2)/$Q$2))</f>
        <v>1662.60883988229</v>
      </c>
      <c r="O353" s="15" t="n">
        <f aca="false">SUMPRODUCT(E353:N353,1/(1+$F$346)^$E$3:$N$3)*$E$2</f>
        <v>1948.05998606211</v>
      </c>
      <c r="P353" s="15" t="n">
        <f aca="false">N353*$E$2*(1+$I$346)/($F$346-$I$346)/(1+$F$346)^$N$3</f>
        <v>3322.52492238535</v>
      </c>
      <c r="Q353" s="15" t="n">
        <f aca="false">O353+P353</f>
        <v>5270.58490844746</v>
      </c>
      <c r="R353" s="15" t="n">
        <f aca="false">Q353-$G$2+$I$2</f>
        <v>5437.98490844746</v>
      </c>
      <c r="S353" s="42" t="n">
        <f aca="false">R353/$K$2</f>
        <v>154.532108793619</v>
      </c>
      <c r="T353" s="43" t="n">
        <f aca="false">S353-$M$2</f>
        <v>-10.0032705755198</v>
      </c>
    </row>
    <row r="354" customFormat="false" ht="15" hidden="false" customHeight="false" outlineLevel="0" collapsed="false">
      <c r="A354" s="5" t="n">
        <v>7</v>
      </c>
      <c r="B354" s="25" t="n">
        <f aca="false">IF(T353&gt;0,B353,D353)</f>
        <v>0.0859375</v>
      </c>
      <c r="C354" s="25" t="n">
        <f aca="false">IF(T353&gt;0,D353,C353)</f>
        <v>0.109375</v>
      </c>
      <c r="D354" s="41" t="n">
        <f aca="false">(B354+C354)/2</f>
        <v>0.09765625</v>
      </c>
      <c r="E354" s="15" t="n">
        <f aca="false">$C$2*(1+IF(E$3&lt;=$O$2,$D354,$D354-($D354-$I$346)*MIN(E$3-$O$2,$Q$2)/$Q$2))</f>
        <v>954.9938671875</v>
      </c>
      <c r="F354" s="15" t="n">
        <f aca="false">E354*(1+IF(F$3&lt;=$O$2,$D354,$D354-($D354-$I$346)*MIN(F$3-$O$2,$Q$2)/$Q$2))</f>
        <v>1048.25498703003</v>
      </c>
      <c r="G354" s="15" t="n">
        <f aca="false">F354*(1+IF(G$3&lt;=$O$2,$D354,$D354-($D354-$I$346)*MIN(G$3-$O$2,$Q$2)/$Q$2))</f>
        <v>1150.62363810718</v>
      </c>
      <c r="H354" s="15" t="n">
        <f aca="false">G354*(1+IF(H$3&lt;=$O$2,$D354,$D354-($D354-$I$346)*MIN(H$3-$O$2,$Q$2)/$Q$2))</f>
        <v>1262.98922776609</v>
      </c>
      <c r="I354" s="15" t="n">
        <f aca="false">H354*(1+IF(I$3&lt;=$O$2,$D354,$D354-($D354-$I$346)*MIN(I$3-$O$2,$Q$2)/$Q$2))</f>
        <v>1386.32801954012</v>
      </c>
      <c r="J354" s="15" t="n">
        <f aca="false">I354*(1+IF(J$3&lt;=$O$2,$D354,$D354-($D354-$I$346)*MIN(J$3-$O$2,$Q$2)/$Q$2))</f>
        <v>1501.09518463775</v>
      </c>
      <c r="K354" s="15" t="n">
        <f aca="false">J354*(1+IF(K$3&lt;=$O$2,$D354,$D354-($D354-$I$346)*MIN(K$3-$O$2,$Q$2)/$Q$2))</f>
        <v>1603.04018773344</v>
      </c>
      <c r="L354" s="15" t="n">
        <f aca="false">K354*(1+IF(L$3&lt;=$O$2,$D354,$D354-($D354-$I$346)*MIN(L$3-$O$2,$Q$2)/$Q$2))</f>
        <v>1688.06944689129</v>
      </c>
      <c r="M354" s="15" t="n">
        <f aca="false">L354*(1+IF(M$3&lt;=$O$2,$D354,$D354-($D354-$I$346)*MIN(M$3-$O$2,$Q$2)/$Q$2))</f>
        <v>1752.50516776594</v>
      </c>
      <c r="N354" s="15" t="n">
        <f aca="false">M354*(1+IF(N$3&lt;=$O$2,$D354,$D354-($D354-$I$346)*MIN(N$3-$O$2,$Q$2)/$Q$2))</f>
        <v>1793.33853817488</v>
      </c>
      <c r="O354" s="15" t="n">
        <f aca="false">SUMPRODUCT(E354:N354,1/(1+$F$346)^$E$3:$N$3)*$E$2</f>
        <v>2051.09567862518</v>
      </c>
      <c r="P354" s="15" t="n">
        <f aca="false">N354*$E$2*(1+$I$346)/($F$346-$I$346)/(1+$F$346)^$N$3</f>
        <v>3583.77258945766</v>
      </c>
      <c r="Q354" s="15" t="n">
        <f aca="false">O354+P354</f>
        <v>5634.86826808284</v>
      </c>
      <c r="R354" s="15" t="n">
        <f aca="false">Q354-$G$2+$I$2</f>
        <v>5802.26826808284</v>
      </c>
      <c r="S354" s="42" t="n">
        <f aca="false">R354/$K$2</f>
        <v>164.884008754841</v>
      </c>
      <c r="T354" s="43" t="n">
        <f aca="false">S354-$M$2</f>
        <v>0.348629385701685</v>
      </c>
    </row>
    <row r="355" customFormat="false" ht="15" hidden="false" customHeight="false" outlineLevel="0" collapsed="false">
      <c r="A355" s="5" t="n">
        <v>8</v>
      </c>
      <c r="B355" s="25" t="n">
        <f aca="false">IF(T354&gt;0,B354,D354)</f>
        <v>0.0859375</v>
      </c>
      <c r="C355" s="25" t="n">
        <f aca="false">IF(T354&gt;0,D354,C354)</f>
        <v>0.09765625</v>
      </c>
      <c r="D355" s="41" t="n">
        <f aca="false">(B355+C355)/2</f>
        <v>0.091796875</v>
      </c>
      <c r="E355" s="15" t="n">
        <f aca="false">$C$2*(1+IF(E$3&lt;=$O$2,$D355,$D355-($D355-$I$346)*MIN(E$3-$O$2,$Q$2)/$Q$2))</f>
        <v>949.89603515625</v>
      </c>
      <c r="F355" s="15" t="n">
        <f aca="false">E355*(1+IF(F$3&lt;=$O$2,$D355,$D355-($D355-$I$346)*MIN(F$3-$O$2,$Q$2)/$Q$2))</f>
        <v>1037.09352275848</v>
      </c>
      <c r="G355" s="15" t="n">
        <f aca="false">F355*(1+IF(G$3&lt;=$O$2,$D355,$D355-($D355-$I$346)*MIN(G$3-$O$2,$Q$2)/$Q$2))</f>
        <v>1132.29546723045</v>
      </c>
      <c r="H355" s="15" t="n">
        <f aca="false">G355*(1+IF(H$3&lt;=$O$2,$D355,$D355-($D355-$I$346)*MIN(H$3-$O$2,$Q$2)/$Q$2))</f>
        <v>1236.23665269887</v>
      </c>
      <c r="I355" s="15" t="n">
        <f aca="false">H355*(1+IF(I$3&lt;=$O$2,$D355,$D355-($D355-$I$346)*MIN(I$3-$O$2,$Q$2)/$Q$2))</f>
        <v>1349.71931417709</v>
      </c>
      <c r="J355" s="15" t="n">
        <f aca="false">I355*(1+IF(J$3&lt;=$O$2,$D355,$D355-($D355-$I$346)*MIN(J$3-$O$2,$Q$2)/$Q$2))</f>
        <v>1455.12901831604</v>
      </c>
      <c r="K355" s="15" t="n">
        <f aca="false">J355*(1+IF(K$3&lt;=$O$2,$D355,$D355-($D355-$I$346)*MIN(K$3-$O$2,$Q$2)/$Q$2))</f>
        <v>1548.83659872868</v>
      </c>
      <c r="L355" s="15" t="n">
        <f aca="false">K355*(1+IF(L$3&lt;=$O$2,$D355,$D355-($D355-$I$346)*MIN(L$3-$O$2,$Q$2)/$Q$2))</f>
        <v>1627.36067823848</v>
      </c>
      <c r="M355" s="15" t="n">
        <f aca="false">L355*(1+IF(M$3&lt;=$O$2,$D355,$D355-($D355-$I$346)*MIN(M$3-$O$2,$Q$2)/$Q$2))</f>
        <v>1687.57200623288</v>
      </c>
      <c r="N355" s="15" t="n">
        <f aca="false">M355*(1+IF(N$3&lt;=$O$2,$D355,$D355-($D355-$I$346)*MIN(N$3-$O$2,$Q$2)/$Q$2))</f>
        <v>1726.8924339781</v>
      </c>
      <c r="O355" s="15" t="n">
        <f aca="false">SUMPRODUCT(E355:N355,1/(1+$F$346)^$E$3:$N$3)*$E$2</f>
        <v>1998.91936059182</v>
      </c>
      <c r="P355" s="15" t="n">
        <f aca="false">N355*$E$2*(1+$I$346)/($F$346-$I$346)/(1+$F$346)^$N$3</f>
        <v>3450.98799701868</v>
      </c>
      <c r="Q355" s="15" t="n">
        <f aca="false">O355+P355</f>
        <v>5449.90735761049</v>
      </c>
      <c r="R355" s="15" t="n">
        <f aca="false">Q355-$G$2+$I$2</f>
        <v>5617.30735761049</v>
      </c>
      <c r="S355" s="42" t="n">
        <f aca="false">R355/$K$2</f>
        <v>159.627944234456</v>
      </c>
      <c r="T355" s="43" t="n">
        <f aca="false">S355-$M$2</f>
        <v>-4.90743513468334</v>
      </c>
    </row>
    <row r="356" customFormat="false" ht="15" hidden="false" customHeight="false" outlineLevel="0" collapsed="false">
      <c r="A356" s="5" t="n">
        <v>9</v>
      </c>
      <c r="B356" s="25" t="n">
        <f aca="false">IF(T355&gt;0,B355,D355)</f>
        <v>0.091796875</v>
      </c>
      <c r="C356" s="25" t="n">
        <f aca="false">IF(T355&gt;0,D355,C355)</f>
        <v>0.09765625</v>
      </c>
      <c r="D356" s="41" t="n">
        <f aca="false">(B356+C356)/2</f>
        <v>0.0947265625</v>
      </c>
      <c r="E356" s="15" t="n">
        <f aca="false">$C$2*(1+IF(E$3&lt;=$O$2,$D356,$D356-($D356-$I$346)*MIN(E$3-$O$2,$Q$2)/$Q$2))</f>
        <v>952.444951171875</v>
      </c>
      <c r="F356" s="15" t="n">
        <f aca="false">E356*(1+IF(F$3&lt;=$O$2,$D356,$D356-($D356-$I$346)*MIN(F$3-$O$2,$Q$2)/$Q$2))</f>
        <v>1042.66678736687</v>
      </c>
      <c r="G356" s="15" t="n">
        <f aca="false">F356*(1+IF(G$3&lt;=$O$2,$D356,$D356-($D356-$I$346)*MIN(G$3-$O$2,$Q$2)/$Q$2))</f>
        <v>1141.43502796705</v>
      </c>
      <c r="H356" s="15" t="n">
        <f aca="false">G356*(1+IF(H$3&lt;=$O$2,$D356,$D356-($D356-$I$346)*MIN(H$3-$O$2,$Q$2)/$Q$2))</f>
        <v>1249.55924448346</v>
      </c>
      <c r="I356" s="15" t="n">
        <f aca="false">H356*(1+IF(I$3&lt;=$O$2,$D356,$D356-($D356-$I$346)*MIN(I$3-$O$2,$Q$2)/$Q$2))</f>
        <v>1367.92569635347</v>
      </c>
      <c r="J356" s="15" t="n">
        <f aca="false">I356*(1+IF(J$3&lt;=$O$2,$D356,$D356-($D356-$I$346)*MIN(J$3-$O$2,$Q$2)/$Q$2))</f>
        <v>1477.96334927527</v>
      </c>
      <c r="K356" s="15" t="n">
        <f aca="false">J356*(1+IF(K$3&lt;=$O$2,$D356,$D356-($D356-$I$346)*MIN(K$3-$O$2,$Q$2)/$Q$2))</f>
        <v>1575.73940023721</v>
      </c>
      <c r="L356" s="15" t="n">
        <f aca="false">K356*(1+IF(L$3&lt;=$O$2,$D356,$D356-($D356-$I$346)*MIN(L$3-$O$2,$Q$2)/$Q$2))</f>
        <v>1657.47398776464</v>
      </c>
      <c r="M356" s="15" t="n">
        <f aca="false">L356*(1+IF(M$3&lt;=$O$2,$D356,$D356-($D356-$I$346)*MIN(M$3-$O$2,$Q$2)/$Q$2))</f>
        <v>1719.7706655554</v>
      </c>
      <c r="N356" s="15" t="n">
        <f aca="false">M356*(1+IF(N$3&lt;=$O$2,$D356,$D356-($D356-$I$346)*MIN(N$3-$O$2,$Q$2)/$Q$2))</f>
        <v>1759.84132206284</v>
      </c>
      <c r="O356" s="15" t="n">
        <f aca="false">SUMPRODUCT(E356:N356,1/(1+$F$346)^$E$3:$N$3)*$E$2</f>
        <v>2024.84095193131</v>
      </c>
      <c r="P356" s="15" t="n">
        <f aca="false">N356*$E$2*(1+$I$346)/($F$346-$I$346)/(1+$F$346)^$N$3</f>
        <v>3516.83240924626</v>
      </c>
      <c r="Q356" s="15" t="n">
        <f aca="false">O356+P356</f>
        <v>5541.67336117756</v>
      </c>
      <c r="R356" s="15" t="n">
        <f aca="false">Q356-$G$2+$I$2</f>
        <v>5709.07336117756</v>
      </c>
      <c r="S356" s="42" t="n">
        <f aca="false">R356/$K$2</f>
        <v>162.235673804421</v>
      </c>
      <c r="T356" s="43" t="n">
        <f aca="false">S356-$M$2</f>
        <v>-2.29970556471832</v>
      </c>
    </row>
    <row r="357" customFormat="false" ht="15" hidden="false" customHeight="false" outlineLevel="0" collapsed="false">
      <c r="A357" s="5" t="n">
        <v>10</v>
      </c>
      <c r="B357" s="25" t="n">
        <f aca="false">IF(T356&gt;0,B356,D356)</f>
        <v>0.0947265625</v>
      </c>
      <c r="C357" s="25" t="n">
        <f aca="false">IF(T356&gt;0,D356,C356)</f>
        <v>0.09765625</v>
      </c>
      <c r="D357" s="41" t="n">
        <f aca="false">(B357+C357)/2</f>
        <v>0.09619140625</v>
      </c>
      <c r="E357" s="15" t="n">
        <f aca="false">$C$2*(1+IF(E$3&lt;=$O$2,$D357,$D357-($D357-$I$346)*MIN(E$3-$O$2,$Q$2)/$Q$2))</f>
        <v>953.719409179687</v>
      </c>
      <c r="F357" s="15" t="n">
        <f aca="false">E357*(1+IF(F$3&lt;=$O$2,$D357,$D357-($D357-$I$346)*MIN(F$3-$O$2,$Q$2)/$Q$2))</f>
        <v>1045.4590203166</v>
      </c>
      <c r="G357" s="15" t="n">
        <f aca="false">F357*(1+IF(G$3&lt;=$O$2,$D357,$D357-($D357-$I$346)*MIN(G$3-$O$2,$Q$2)/$Q$2))</f>
        <v>1146.0231936576</v>
      </c>
      <c r="H357" s="15" t="n">
        <f aca="false">G357*(1+IF(H$3&lt;=$O$2,$D357,$D357-($D357-$I$346)*MIN(H$3-$O$2,$Q$2)/$Q$2))</f>
        <v>1256.26077625064</v>
      </c>
      <c r="I357" s="15" t="n">
        <f aca="false">H357*(1+IF(I$3&lt;=$O$2,$D357,$D357-($D357-$I$346)*MIN(I$3-$O$2,$Q$2)/$Q$2))</f>
        <v>1377.10226693491</v>
      </c>
      <c r="J357" s="15" t="n">
        <f aca="false">I357*(1+IF(J$3&lt;=$O$2,$D357,$D357-($D357-$I$346)*MIN(J$3-$O$2,$Q$2)/$Q$2))</f>
        <v>1489.49188638405</v>
      </c>
      <c r="K357" s="15" t="n">
        <f aca="false">J357*(1+IF(K$3&lt;=$O$2,$D357,$D357-($D357-$I$346)*MIN(K$3-$O$2,$Q$2)/$Q$2))</f>
        <v>1589.3397422547</v>
      </c>
      <c r="L357" s="15" t="n">
        <f aca="false">K357*(1+IF(L$3&lt;=$O$2,$D357,$D357-($D357-$I$346)*MIN(L$3-$O$2,$Q$2)/$Q$2))</f>
        <v>1672.71104177802</v>
      </c>
      <c r="M357" s="15" t="n">
        <f aca="false">L357*(1+IF(M$3&lt;=$O$2,$D357,$D357-($D357-$I$346)*MIN(M$3-$O$2,$Q$2)/$Q$2))</f>
        <v>1736.07046106846</v>
      </c>
      <c r="N357" s="15" t="n">
        <f aca="false">M357*(1+IF(N$3&lt;=$O$2,$D357,$D357-($D357-$I$346)*MIN(N$3-$O$2,$Q$2)/$Q$2))</f>
        <v>1776.52090281136</v>
      </c>
      <c r="O357" s="15" t="n">
        <f aca="false">SUMPRODUCT(E357:N357,1/(1+$F$346)^$E$3:$N$3)*$E$2</f>
        <v>2037.92642745671</v>
      </c>
      <c r="P357" s="15" t="n">
        <f aca="false">N357*$E$2*(1+$I$346)/($F$346-$I$346)/(1+$F$346)^$N$3</f>
        <v>3550.16455653342</v>
      </c>
      <c r="Q357" s="15" t="n">
        <f aca="false">O357+P357</f>
        <v>5588.09098399013</v>
      </c>
      <c r="R357" s="15" t="n">
        <f aca="false">Q357-$G$2+$I$2</f>
        <v>5755.49098399013</v>
      </c>
      <c r="S357" s="42" t="n">
        <f aca="false">R357/$K$2</f>
        <v>163.554731002845</v>
      </c>
      <c r="T357" s="43" t="n">
        <f aca="false">S357-$M$2</f>
        <v>-0.980648366293565</v>
      </c>
    </row>
    <row r="358" customFormat="false" ht="15" hidden="false" customHeight="false" outlineLevel="0" collapsed="false">
      <c r="A358" s="5" t="n">
        <v>11</v>
      </c>
      <c r="B358" s="25" t="n">
        <f aca="false">IF(T357&gt;0,B357,D357)</f>
        <v>0.09619140625</v>
      </c>
      <c r="C358" s="25" t="n">
        <f aca="false">IF(T357&gt;0,D357,C357)</f>
        <v>0.09765625</v>
      </c>
      <c r="D358" s="41" t="n">
        <f aca="false">(B358+C358)/2</f>
        <v>0.096923828125</v>
      </c>
      <c r="E358" s="15" t="n">
        <f aca="false">$C$2*(1+IF(E$3&lt;=$O$2,$D358,$D358-($D358-$I$346)*MIN(E$3-$O$2,$Q$2)/$Q$2))</f>
        <v>954.356638183594</v>
      </c>
      <c r="F358" s="15" t="n">
        <f aca="false">E358*(1+IF(F$3&lt;=$O$2,$D358,$D358-($D358-$I$346)*MIN(F$3-$O$2,$Q$2)/$Q$2))</f>
        <v>1046.85653695285</v>
      </c>
      <c r="G358" s="15" t="n">
        <f aca="false">F358*(1+IF(G$3&lt;=$O$2,$D358,$D358-($D358-$I$346)*MIN(G$3-$O$2,$Q$2)/$Q$2))</f>
        <v>1148.321880012</v>
      </c>
      <c r="H358" s="15" t="n">
        <f aca="false">G358*(1+IF(H$3&lt;=$O$2,$D358,$D358-($D358-$I$346)*MIN(H$3-$O$2,$Q$2)/$Q$2))</f>
        <v>1259.62163254246</v>
      </c>
      <c r="I358" s="15" t="n">
        <f aca="false">H358*(1+IF(I$3&lt;=$O$2,$D358,$D358-($D358-$I$346)*MIN(I$3-$O$2,$Q$2)/$Q$2))</f>
        <v>1381.70898315754</v>
      </c>
      <c r="J358" s="15" t="n">
        <f aca="false">I358*(1+IF(J$3&lt;=$O$2,$D358,$D358-($D358-$I$346)*MIN(J$3-$O$2,$Q$2)/$Q$2))</f>
        <v>1495.28416622092</v>
      </c>
      <c r="K358" s="15" t="n">
        <f aca="false">J358*(1+IF(K$3&lt;=$O$2,$D358,$D358-($D358-$I$346)*MIN(K$3-$O$2,$Q$2)/$Q$2))</f>
        <v>1596.177413965</v>
      </c>
      <c r="L358" s="15" t="n">
        <f aca="false">K358*(1+IF(L$3&lt;=$O$2,$D358,$D358-($D358-$I$346)*MIN(L$3-$O$2,$Q$2)/$Q$2))</f>
        <v>1680.37502434349</v>
      </c>
      <c r="M358" s="15" t="n">
        <f aca="false">L358*(1+IF(M$3&lt;=$O$2,$D358,$D358-($D358-$I$346)*MIN(M$3-$O$2,$Q$2)/$Q$2))</f>
        <v>1744.27089080625</v>
      </c>
      <c r="N358" s="15" t="n">
        <f aca="false">M358*(1+IF(N$3&lt;=$O$2,$D358,$D358-($D358-$I$346)*MIN(N$3-$O$2,$Q$2)/$Q$2))</f>
        <v>1784.91240256204</v>
      </c>
      <c r="O358" s="15" t="n">
        <f aca="false">SUMPRODUCT(E358:N358,1/(1+$F$346)^$E$3:$N$3)*$E$2</f>
        <v>2044.50055021037</v>
      </c>
      <c r="P358" s="15" t="n">
        <f aca="false">N358*$E$2*(1+$I$346)/($F$346-$I$346)/(1+$F$346)^$N$3</f>
        <v>3566.93396518146</v>
      </c>
      <c r="Q358" s="15" t="n">
        <f aca="false">O358+P358</f>
        <v>5611.43451539183</v>
      </c>
      <c r="R358" s="15" t="n">
        <f aca="false">Q358-$G$2+$I$2</f>
        <v>5778.83451539183</v>
      </c>
      <c r="S358" s="42" t="n">
        <f aca="false">R358/$K$2</f>
        <v>164.218087962257</v>
      </c>
      <c r="T358" s="43" t="n">
        <f aca="false">S358-$M$2</f>
        <v>-0.317291406881907</v>
      </c>
    </row>
    <row r="359" customFormat="false" ht="15" hidden="false" customHeight="false" outlineLevel="0" collapsed="false">
      <c r="A359" s="5" t="n">
        <v>12</v>
      </c>
      <c r="B359" s="25" t="n">
        <f aca="false">IF(T358&gt;0,B358,D358)</f>
        <v>0.096923828125</v>
      </c>
      <c r="C359" s="25" t="n">
        <f aca="false">IF(T358&gt;0,D358,C358)</f>
        <v>0.09765625</v>
      </c>
      <c r="D359" s="41" t="n">
        <f aca="false">(B359+C359)/2</f>
        <v>0.0972900390625</v>
      </c>
      <c r="E359" s="15" t="n">
        <f aca="false">$C$2*(1+IF(E$3&lt;=$O$2,$D359,$D359-($D359-$I$346)*MIN(E$3-$O$2,$Q$2)/$Q$2))</f>
        <v>954.675252685547</v>
      </c>
      <c r="F359" s="15" t="n">
        <f aca="false">E359*(1+IF(F$3&lt;=$O$2,$D359,$D359-($D359-$I$346)*MIN(F$3-$O$2,$Q$2)/$Q$2))</f>
        <v>1047.55564531133</v>
      </c>
      <c r="G359" s="15" t="n">
        <f aca="false">F359*(1+IF(G$3&lt;=$O$2,$D359,$D359-($D359-$I$346)*MIN(G$3-$O$2,$Q$2)/$Q$2))</f>
        <v>1149.47237496381</v>
      </c>
      <c r="H359" s="15" t="n">
        <f aca="false">G359*(1+IF(H$3&lt;=$O$2,$D359,$D359-($D359-$I$346)*MIN(H$3-$O$2,$Q$2)/$Q$2))</f>
        <v>1261.3045872253</v>
      </c>
      <c r="I359" s="15" t="n">
        <f aca="false">H359*(1+IF(I$3&lt;=$O$2,$D359,$D359-($D359-$I$346)*MIN(I$3-$O$2,$Q$2)/$Q$2))</f>
        <v>1384.01695978616</v>
      </c>
      <c r="J359" s="15" t="n">
        <f aca="false">I359*(1+IF(J$3&lt;=$O$2,$D359,$D359-($D359-$I$346)*MIN(J$3-$O$2,$Q$2)/$Q$2))</f>
        <v>1498.18733008337</v>
      </c>
      <c r="K359" s="15" t="n">
        <f aca="false">J359*(1+IF(K$3&lt;=$O$2,$D359,$D359-($D359-$I$346)*MIN(K$3-$O$2,$Q$2)/$Q$2))</f>
        <v>1599.6056583198</v>
      </c>
      <c r="L359" s="15" t="n">
        <f aca="false">K359*(1+IF(L$3&lt;=$O$2,$D359,$D359-($D359-$I$346)*MIN(L$3-$O$2,$Q$2)/$Q$2))</f>
        <v>1684.21842421612</v>
      </c>
      <c r="M359" s="15" t="n">
        <f aca="false">L359*(1+IF(M$3&lt;=$O$2,$D359,$D359-($D359-$I$346)*MIN(M$3-$O$2,$Q$2)/$Q$2))</f>
        <v>1748.38379089986</v>
      </c>
      <c r="N359" s="15" t="n">
        <f aca="false">M359*(1+IF(N$3&lt;=$O$2,$D359,$D359-($D359-$I$346)*MIN(N$3-$O$2,$Q$2)/$Q$2))</f>
        <v>1789.12113322783</v>
      </c>
      <c r="O359" s="15" t="n">
        <f aca="false">SUMPRODUCT(E359:N359,1/(1+$F$346)^$E$3:$N$3)*$E$2</f>
        <v>2047.79548484212</v>
      </c>
      <c r="P359" s="15" t="n">
        <f aca="false">N359*$E$2*(1+$I$346)/($F$346-$I$346)/(1+$F$346)^$N$3</f>
        <v>3575.34461006272</v>
      </c>
      <c r="Q359" s="15" t="n">
        <f aca="false">O359+P359</f>
        <v>5623.14009490484</v>
      </c>
      <c r="R359" s="15" t="n">
        <f aca="false">Q359-$G$2+$I$2</f>
        <v>5790.54009490484</v>
      </c>
      <c r="S359" s="42" t="n">
        <f aca="false">R359/$K$2</f>
        <v>164.550727334608</v>
      </c>
      <c r="T359" s="43" t="n">
        <f aca="false">S359-$M$2</f>
        <v>0.0153479654685498</v>
      </c>
    </row>
    <row r="360" customFormat="false" ht="15" hidden="false" customHeight="false" outlineLevel="0" collapsed="false">
      <c r="A360" s="5" t="n">
        <v>13</v>
      </c>
      <c r="B360" s="25" t="n">
        <f aca="false">IF(T359&gt;0,B359,D359)</f>
        <v>0.096923828125</v>
      </c>
      <c r="C360" s="25" t="n">
        <f aca="false">IF(T359&gt;0,D359,C359)</f>
        <v>0.0972900390625</v>
      </c>
      <c r="D360" s="41" t="n">
        <f aca="false">(B360+C360)/2</f>
        <v>0.09710693359375</v>
      </c>
      <c r="E360" s="15" t="n">
        <f aca="false">$C$2*(1+IF(E$3&lt;=$O$2,$D360,$D360-($D360-$I$346)*MIN(E$3-$O$2,$Q$2)/$Q$2))</f>
        <v>954.51594543457</v>
      </c>
      <c r="F360" s="15" t="n">
        <f aca="false">E360*(1+IF(F$3&lt;=$O$2,$D360,$D360-($D360-$I$346)*MIN(F$3-$O$2,$Q$2)/$Q$2))</f>
        <v>1047.20606196206</v>
      </c>
      <c r="G360" s="15" t="n">
        <f aca="false">F360*(1+IF(G$3&lt;=$O$2,$D360,$D360-($D360-$I$346)*MIN(G$3-$O$2,$Q$2)/$Q$2))</f>
        <v>1148.89703147998</v>
      </c>
      <c r="H360" s="15" t="n">
        <f aca="false">G360*(1+IF(H$3&lt;=$O$2,$D360,$D360-($D360-$I$346)*MIN(H$3-$O$2,$Q$2)/$Q$2))</f>
        <v>1260.46289922197</v>
      </c>
      <c r="I360" s="15" t="n">
        <f aca="false">H360*(1+IF(I$3&lt;=$O$2,$D360,$D360-($D360-$I$346)*MIN(I$3-$O$2,$Q$2)/$Q$2))</f>
        <v>1382.8625862741</v>
      </c>
      <c r="J360" s="15" t="n">
        <f aca="false">I360*(1+IF(J$3&lt;=$O$2,$D360,$D360-($D360-$I$346)*MIN(J$3-$O$2,$Q$2)/$Q$2))</f>
        <v>1496.73516219382</v>
      </c>
      <c r="K360" s="15" t="n">
        <f aca="false">J360*(1+IF(K$3&lt;=$O$2,$D360,$D360-($D360-$I$346)*MIN(K$3-$O$2,$Q$2)/$Q$2))</f>
        <v>1597.89075110701</v>
      </c>
      <c r="L360" s="15" t="n">
        <f aca="false">K360*(1+IF(L$3&lt;=$O$2,$D360,$D360-($D360-$I$346)*MIN(L$3-$O$2,$Q$2)/$Q$2))</f>
        <v>1682.29577223062</v>
      </c>
      <c r="M360" s="15" t="n">
        <f aca="false">L360*(1+IF(M$3&lt;=$O$2,$D360,$D360-($D360-$I$346)*MIN(M$3-$O$2,$Q$2)/$Q$2))</f>
        <v>1746.3262821928</v>
      </c>
      <c r="N360" s="15" t="n">
        <f aca="false">M360*(1+IF(N$3&lt;=$O$2,$D360,$D360-($D360-$I$346)*MIN(N$3-$O$2,$Q$2)/$Q$2))</f>
        <v>1787.0156845679</v>
      </c>
      <c r="O360" s="15" t="n">
        <f aca="false">SUMPRODUCT(E360:N360,1/(1+$F$346)^$E$3:$N$3)*$E$2</f>
        <v>2046.14736061622</v>
      </c>
      <c r="P360" s="15" t="n">
        <f aca="false">N360*$E$2*(1+$I$346)/($F$346-$I$346)/(1+$F$346)^$N$3</f>
        <v>3571.13712272257</v>
      </c>
      <c r="Q360" s="15" t="n">
        <f aca="false">O360+P360</f>
        <v>5617.28448333878</v>
      </c>
      <c r="R360" s="15" t="n">
        <f aca="false">Q360-$G$2+$I$2</f>
        <v>5784.68448333878</v>
      </c>
      <c r="S360" s="42" t="n">
        <f aca="false">R360/$K$2</f>
        <v>164.384327460608</v>
      </c>
      <c r="T360" s="43" t="n">
        <f aca="false">S360-$M$2</f>
        <v>-0.151051908531343</v>
      </c>
    </row>
    <row r="361" customFormat="false" ht="15" hidden="false" customHeight="false" outlineLevel="0" collapsed="false">
      <c r="A361" s="5" t="n">
        <v>14</v>
      </c>
      <c r="B361" s="25" t="n">
        <f aca="false">IF(T360&gt;0,B360,D360)</f>
        <v>0.09710693359375</v>
      </c>
      <c r="C361" s="25" t="n">
        <f aca="false">IF(T360&gt;0,D360,C360)</f>
        <v>0.0972900390625</v>
      </c>
      <c r="D361" s="41" t="n">
        <f aca="false">(B361+C361)/2</f>
        <v>0.097198486328125</v>
      </c>
      <c r="E361" s="15" t="n">
        <f aca="false">$C$2*(1+IF(E$3&lt;=$O$2,$D361,$D361-($D361-$I$346)*MIN(E$3-$O$2,$Q$2)/$Q$2))</f>
        <v>954.595599060059</v>
      </c>
      <c r="F361" s="15" t="n">
        <f aca="false">E361*(1+IF(F$3&lt;=$O$2,$D361,$D361-($D361-$I$346)*MIN(F$3-$O$2,$Q$2)/$Q$2))</f>
        <v>1047.38084634419</v>
      </c>
      <c r="G361" s="15" t="n">
        <f aca="false">F361*(1+IF(G$3&lt;=$O$2,$D361,$D361-($D361-$I$346)*MIN(G$3-$O$2,$Q$2)/$Q$2))</f>
        <v>1149.18467921791</v>
      </c>
      <c r="H361" s="15" t="n">
        <f aca="false">G361*(1+IF(H$3&lt;=$O$2,$D361,$D361-($D361-$I$346)*MIN(H$3-$O$2,$Q$2)/$Q$2))</f>
        <v>1260.88369054936</v>
      </c>
      <c r="I361" s="15" t="n">
        <f aca="false">H361*(1+IF(I$3&lt;=$O$2,$D361,$D361-($D361-$I$346)*MIN(I$3-$O$2,$Q$2)/$Q$2))</f>
        <v>1383.43967670658</v>
      </c>
      <c r="J361" s="15" t="n">
        <f aca="false">I361*(1+IF(J$3&lt;=$O$2,$D361,$D361-($D361-$I$346)*MIN(J$3-$O$2,$Q$2)/$Q$2))</f>
        <v>1497.46109960176</v>
      </c>
      <c r="K361" s="15" t="n">
        <f aca="false">J361*(1+IF(K$3&lt;=$O$2,$D361,$D361-($D361-$I$346)*MIN(K$3-$O$2,$Q$2)/$Q$2))</f>
        <v>1598.74800837997</v>
      </c>
      <c r="L361" s="15" t="n">
        <f aca="false">K361*(1+IF(L$3&lt;=$O$2,$D361,$D361-($D361-$I$346)*MIN(L$3-$O$2,$Q$2)/$Q$2))</f>
        <v>1683.25686011098</v>
      </c>
      <c r="M361" s="15" t="n">
        <f aca="false">L361*(1+IF(M$3&lt;=$O$2,$D361,$D361-($D361-$I$346)*MIN(M$3-$O$2,$Q$2)/$Q$2))</f>
        <v>1747.35477176429</v>
      </c>
      <c r="N361" s="15" t="n">
        <f aca="false">M361*(1+IF(N$3&lt;=$O$2,$D361,$D361-($D361-$I$346)*MIN(N$3-$O$2,$Q$2)/$Q$2))</f>
        <v>1788.0681379464</v>
      </c>
      <c r="O361" s="15" t="n">
        <f aca="false">SUMPRODUCT(E361:N361,1/(1+$F$346)^$E$3:$N$3)*$E$2</f>
        <v>2046.9712584412</v>
      </c>
      <c r="P361" s="15" t="n">
        <f aca="false">N361*$E$2*(1+$I$346)/($F$346-$I$346)/(1+$F$346)^$N$3</f>
        <v>3573.24032492854</v>
      </c>
      <c r="Q361" s="15" t="n">
        <f aca="false">O361+P361</f>
        <v>5620.21158336974</v>
      </c>
      <c r="R361" s="15" t="n">
        <f aca="false">Q361-$G$2+$I$2</f>
        <v>5787.61158336974</v>
      </c>
      <c r="S361" s="42" t="n">
        <f aca="false">R361/$K$2</f>
        <v>164.467507342135</v>
      </c>
      <c r="T361" s="43" t="n">
        <f aca="false">S361-$M$2</f>
        <v>-0.0678720270037729</v>
      </c>
    </row>
    <row r="362" customFormat="false" ht="15" hidden="false" customHeight="false" outlineLevel="0" collapsed="false">
      <c r="A362" s="5" t="n">
        <v>15</v>
      </c>
      <c r="B362" s="25" t="n">
        <f aca="false">IF(T361&gt;0,B361,D361)</f>
        <v>0.097198486328125</v>
      </c>
      <c r="C362" s="25" t="n">
        <f aca="false">IF(T361&gt;0,D361,C361)</f>
        <v>0.0972900390625</v>
      </c>
      <c r="D362" s="41" t="n">
        <f aca="false">(B362+C362)/2</f>
        <v>0.0972442626953125</v>
      </c>
      <c r="E362" s="15" t="n">
        <f aca="false">$C$2*(1+IF(E$3&lt;=$O$2,$D362,$D362-($D362-$I$346)*MIN(E$3-$O$2,$Q$2)/$Q$2))</f>
        <v>954.635425872803</v>
      </c>
      <c r="F362" s="15" t="n">
        <f aca="false">E362*(1+IF(F$3&lt;=$O$2,$D362,$D362-($D362-$I$346)*MIN(F$3-$O$2,$Q$2)/$Q$2))</f>
        <v>1047.46824400463</v>
      </c>
      <c r="G362" s="15" t="n">
        <f aca="false">F362*(1+IF(G$3&lt;=$O$2,$D362,$D362-($D362-$I$346)*MIN(G$3-$O$2,$Q$2)/$Q$2))</f>
        <v>1149.32852108961</v>
      </c>
      <c r="H362" s="15" t="n">
        <f aca="false">G362*(1+IF(H$3&lt;=$O$2,$D362,$D362-($D362-$I$346)*MIN(H$3-$O$2,$Q$2)/$Q$2))</f>
        <v>1261.09412571767</v>
      </c>
      <c r="I362" s="15" t="n">
        <f aca="false">H362*(1+IF(I$3&lt;=$O$2,$D362,$D362-($D362-$I$346)*MIN(I$3-$O$2,$Q$2)/$Q$2))</f>
        <v>1383.72829416247</v>
      </c>
      <c r="J362" s="15" t="n">
        <f aca="false">I362*(1+IF(J$3&lt;=$O$2,$D362,$D362-($D362-$I$346)*MIN(J$3-$O$2,$Q$2)/$Q$2))</f>
        <v>1497.82417820245</v>
      </c>
      <c r="K362" s="15" t="n">
        <f aca="false">J362*(1+IF(K$3&lt;=$O$2,$D362,$D362-($D362-$I$346)*MIN(K$3-$O$2,$Q$2)/$Q$2))</f>
        <v>1599.1767842572</v>
      </c>
      <c r="L362" s="15" t="n">
        <f aca="false">K362*(1+IF(L$3&lt;=$O$2,$D362,$D362-($D362-$I$346)*MIN(L$3-$O$2,$Q$2)/$Q$2))</f>
        <v>1683.73758262293</v>
      </c>
      <c r="M362" s="15" t="n">
        <f aca="false">L362*(1+IF(M$3&lt;=$O$2,$D362,$D362-($D362-$I$346)*MIN(M$3-$O$2,$Q$2)/$Q$2))</f>
        <v>1747.86921512194</v>
      </c>
      <c r="N362" s="15" t="n">
        <f aca="false">M362*(1+IF(N$3&lt;=$O$2,$D362,$D362-($D362-$I$346)*MIN(N$3-$O$2,$Q$2)/$Q$2))</f>
        <v>1788.59456783428</v>
      </c>
      <c r="O362" s="15" t="n">
        <f aca="false">SUMPRODUCT(E362:N362,1/(1+$F$346)^$E$3:$N$3)*$E$2</f>
        <v>2047.38333056211</v>
      </c>
      <c r="P362" s="15" t="n">
        <f aca="false">N362*$E$2*(1+$I$346)/($F$346-$I$346)/(1+$F$346)^$N$3</f>
        <v>3574.29233209969</v>
      </c>
      <c r="Q362" s="15" t="n">
        <f aca="false">O362+P362</f>
        <v>5621.6756626618</v>
      </c>
      <c r="R362" s="15" t="n">
        <f aca="false">Q362-$G$2+$I$2</f>
        <v>5789.0756626618</v>
      </c>
      <c r="S362" s="42" t="n">
        <f aca="false">R362/$K$2</f>
        <v>164.509112323438</v>
      </c>
      <c r="T362" s="43" t="n">
        <f aca="false">S362-$M$2</f>
        <v>-0.0262670457006209</v>
      </c>
    </row>
    <row r="363" customFormat="false" ht="15" hidden="false" customHeight="false" outlineLevel="0" collapsed="false">
      <c r="A363" s="5" t="n">
        <v>16</v>
      </c>
      <c r="B363" s="25" t="n">
        <f aca="false">IF(T362&gt;0,B362,D362)</f>
        <v>0.0972442626953125</v>
      </c>
      <c r="C363" s="25" t="n">
        <f aca="false">IF(T362&gt;0,D362,C362)</f>
        <v>0.0972900390625</v>
      </c>
      <c r="D363" s="41" t="n">
        <f aca="false">(B363+C363)/2</f>
        <v>0.0972671508789063</v>
      </c>
      <c r="E363" s="15" t="n">
        <f aca="false">$C$2*(1+IF(E$3&lt;=$O$2,$D363,$D363-($D363-$I$346)*MIN(E$3-$O$2,$Q$2)/$Q$2))</f>
        <v>954.655339279175</v>
      </c>
      <c r="F363" s="15" t="n">
        <f aca="false">E363*(1+IF(F$3&lt;=$O$2,$D363,$D363-($D363-$I$346)*MIN(F$3-$O$2,$Q$2)/$Q$2))</f>
        <v>1047.5119442022</v>
      </c>
      <c r="G363" s="15" t="n">
        <f aca="false">F363*(1+IF(G$3&lt;=$O$2,$D363,$D363-($D363-$I$346)*MIN(G$3-$O$2,$Q$2)/$Q$2))</f>
        <v>1149.40044652637</v>
      </c>
      <c r="H363" s="15" t="n">
        <f aca="false">G363*(1+IF(H$3&lt;=$O$2,$D363,$D363-($D363-$I$346)*MIN(H$3-$O$2,$Q$2)/$Q$2))</f>
        <v>1261.19935317893</v>
      </c>
      <c r="I363" s="15" t="n">
        <f aca="false">H363*(1+IF(I$3&lt;=$O$2,$D363,$D363-($D363-$I$346)*MIN(I$3-$O$2,$Q$2)/$Q$2))</f>
        <v>1383.87262095296</v>
      </c>
      <c r="J363" s="15" t="n">
        <f aca="false">I363*(1+IF(J$3&lt;=$O$2,$D363,$D363-($D363-$I$346)*MIN(J$3-$O$2,$Q$2)/$Q$2))</f>
        <v>1498.00574498214</v>
      </c>
      <c r="K363" s="15" t="n">
        <f aca="false">J363*(1+IF(K$3&lt;=$O$2,$D363,$D363-($D363-$I$346)*MIN(K$3-$O$2,$Q$2)/$Q$2))</f>
        <v>1599.39120901416</v>
      </c>
      <c r="L363" s="15" t="n">
        <f aca="false">K363*(1+IF(L$3&lt;=$O$2,$D363,$D363-($D363-$I$346)*MIN(L$3-$O$2,$Q$2)/$Q$2))</f>
        <v>1683.97798853281</v>
      </c>
      <c r="M363" s="15" t="n">
        <f aca="false">L363*(1+IF(M$3&lt;=$O$2,$D363,$D363-($D363-$I$346)*MIN(M$3-$O$2,$Q$2)/$Q$2))</f>
        <v>1748.12648645654</v>
      </c>
      <c r="N363" s="15" t="n">
        <f aca="false">M363*(1+IF(N$3&lt;=$O$2,$D363,$D363-($D363-$I$346)*MIN(N$3-$O$2,$Q$2)/$Q$2))</f>
        <v>1788.85783359097</v>
      </c>
      <c r="O363" s="15" t="n">
        <f aca="false">SUMPRODUCT(E363:N363,1/(1+$F$346)^$E$3:$N$3)*$E$2</f>
        <v>2047.58939743128</v>
      </c>
      <c r="P363" s="15" t="n">
        <f aca="false">N363*$E$2*(1+$I$346)/($F$346-$I$346)/(1+$F$346)^$N$3</f>
        <v>3574.81843722848</v>
      </c>
      <c r="Q363" s="15" t="n">
        <f aca="false">O363+P363</f>
        <v>5622.40783465976</v>
      </c>
      <c r="R363" s="15" t="n">
        <f aca="false">Q363-$G$2+$I$2</f>
        <v>5789.80783465976</v>
      </c>
      <c r="S363" s="42" t="n">
        <f aca="false">R363/$K$2</f>
        <v>164.529918575157</v>
      </c>
      <c r="T363" s="43" t="n">
        <f aca="false">S363-$M$2</f>
        <v>-0.00546079398242227</v>
      </c>
    </row>
    <row r="364" customFormat="false" ht="15" hidden="false" customHeight="false" outlineLevel="0" collapsed="false">
      <c r="A364" s="5" t="n">
        <v>17</v>
      </c>
      <c r="B364" s="25" t="n">
        <f aca="false">IF(T363&gt;0,B363,D363)</f>
        <v>0.0972671508789063</v>
      </c>
      <c r="C364" s="25" t="n">
        <f aca="false">IF(T363&gt;0,D363,C363)</f>
        <v>0.0972900390625</v>
      </c>
      <c r="D364" s="41" t="n">
        <f aca="false">(B364+C364)/2</f>
        <v>0.0972785949707031</v>
      </c>
      <c r="E364" s="15" t="n">
        <f aca="false">$C$2*(1+IF(E$3&lt;=$O$2,$D364,$D364-($D364-$I$346)*MIN(E$3-$O$2,$Q$2)/$Q$2))</f>
        <v>954.665295982361</v>
      </c>
      <c r="F364" s="15" t="n">
        <f aca="false">E364*(1+IF(F$3&lt;=$O$2,$D364,$D364-($D364-$I$346)*MIN(F$3-$O$2,$Q$2)/$Q$2))</f>
        <v>1047.53379464282</v>
      </c>
      <c r="G364" s="15" t="n">
        <f aca="false">F364*(1+IF(G$3&lt;=$O$2,$D364,$D364-($D364-$I$346)*MIN(G$3-$O$2,$Q$2)/$Q$2))</f>
        <v>1149.43641037</v>
      </c>
      <c r="H364" s="15" t="n">
        <f aca="false">G364*(1+IF(H$3&lt;=$O$2,$D364,$D364-($D364-$I$346)*MIN(H$3-$O$2,$Q$2)/$Q$2))</f>
        <v>1261.25196937896</v>
      </c>
      <c r="I364" s="15" t="n">
        <f aca="false">H364*(1+IF(I$3&lt;=$O$2,$D364,$D364-($D364-$I$346)*MIN(I$3-$O$2,$Q$2)/$Q$2))</f>
        <v>1383.94478886418</v>
      </c>
      <c r="J364" s="15" t="n">
        <f aca="false">I364*(1+IF(J$3&lt;=$O$2,$D364,$D364-($D364-$I$346)*MIN(J$3-$O$2,$Q$2)/$Q$2))</f>
        <v>1498.09653524247</v>
      </c>
      <c r="K364" s="15" t="n">
        <f aca="false">J364*(1+IF(K$3&lt;=$O$2,$D364,$D364-($D364-$I$346)*MIN(K$3-$O$2,$Q$2)/$Q$2))</f>
        <v>1599.49843059825</v>
      </c>
      <c r="L364" s="15" t="n">
        <f aca="false">K364*(1+IF(L$3&lt;=$O$2,$D364,$D364-($D364-$I$346)*MIN(L$3-$O$2,$Q$2)/$Q$2))</f>
        <v>1684.09820265259</v>
      </c>
      <c r="M364" s="15" t="n">
        <f aca="false">L364*(1+IF(M$3&lt;=$O$2,$D364,$D364-($D364-$I$346)*MIN(M$3-$O$2,$Q$2)/$Q$2))</f>
        <v>1748.25513453938</v>
      </c>
      <c r="N364" s="15" t="n">
        <f aca="false">M364*(1+IF(N$3&lt;=$O$2,$D364,$D364-($D364-$I$346)*MIN(N$3-$O$2,$Q$2)/$Q$2))</f>
        <v>1788.98947917415</v>
      </c>
      <c r="O364" s="15" t="n">
        <f aca="false">SUMPRODUCT(E364:N364,1/(1+$F$346)^$E$3:$N$3)*$E$2</f>
        <v>2047.69243856887</v>
      </c>
      <c r="P364" s="15" t="n">
        <f aca="false">N364*$E$2*(1+$I$346)/($F$346-$I$346)/(1+$F$346)^$N$3</f>
        <v>3575.08151518195</v>
      </c>
      <c r="Q364" s="15" t="n">
        <f aca="false">O364+P364</f>
        <v>5622.77395375082</v>
      </c>
      <c r="R364" s="15" t="n">
        <f aca="false">Q364-$G$2+$I$2</f>
        <v>5790.17395375083</v>
      </c>
      <c r="S364" s="42" t="n">
        <f aca="false">R364/$K$2</f>
        <v>164.540322641399</v>
      </c>
      <c r="T364" s="43" t="n">
        <f aca="false">S364-$M$2</f>
        <v>0.00494327225982261</v>
      </c>
    </row>
    <row r="365" customFormat="false" ht="15" hidden="false" customHeight="false" outlineLevel="0" collapsed="false">
      <c r="A365" s="5" t="n">
        <v>18</v>
      </c>
      <c r="B365" s="25" t="n">
        <f aca="false">IF(T364&gt;0,B364,D364)</f>
        <v>0.0972671508789063</v>
      </c>
      <c r="C365" s="25" t="n">
        <f aca="false">IF(T364&gt;0,D364,C364)</f>
        <v>0.0972785949707031</v>
      </c>
      <c r="D365" s="41" t="n">
        <f aca="false">(B365+C365)/2</f>
        <v>0.0972728729248047</v>
      </c>
      <c r="E365" s="15" t="n">
        <f aca="false">$C$2*(1+IF(E$3&lt;=$O$2,$D365,$D365-($D365-$I$346)*MIN(E$3-$O$2,$Q$2)/$Q$2))</f>
        <v>954.660317630768</v>
      </c>
      <c r="F365" s="15" t="n">
        <f aca="false">E365*(1+IF(F$3&lt;=$O$2,$D365,$D365-($D365-$I$346)*MIN(F$3-$O$2,$Q$2)/$Q$2))</f>
        <v>1047.52286939402</v>
      </c>
      <c r="G365" s="15" t="n">
        <f aca="false">F365*(1+IF(G$3&lt;=$O$2,$D365,$D365-($D365-$I$346)*MIN(G$3-$O$2,$Q$2)/$Q$2))</f>
        <v>1149.41842835441</v>
      </c>
      <c r="H365" s="15" t="n">
        <f aca="false">G365*(1+IF(H$3&lt;=$O$2,$D365,$D365-($D365-$I$346)*MIN(H$3-$O$2,$Q$2)/$Q$2))</f>
        <v>1261.22566107316</v>
      </c>
      <c r="I365" s="15" t="n">
        <f aca="false">H365*(1+IF(I$3&lt;=$O$2,$D365,$D365-($D365-$I$346)*MIN(I$3-$O$2,$Q$2)/$Q$2))</f>
        <v>1383.90870453223</v>
      </c>
      <c r="J365" s="15" t="n">
        <f aca="false">I365*(1+IF(J$3&lt;=$O$2,$D365,$D365-($D365-$I$346)*MIN(J$3-$O$2,$Q$2)/$Q$2))</f>
        <v>1498.05113953975</v>
      </c>
      <c r="K365" s="15" t="n">
        <f aca="false">J365*(1+IF(K$3&lt;=$O$2,$D365,$D365-($D365-$I$346)*MIN(K$3-$O$2,$Q$2)/$Q$2))</f>
        <v>1599.44481903904</v>
      </c>
      <c r="L365" s="15" t="n">
        <f aca="false">K365*(1+IF(L$3&lt;=$O$2,$D365,$D365-($D365-$I$346)*MIN(L$3-$O$2,$Q$2)/$Q$2))</f>
        <v>1684.03809466226</v>
      </c>
      <c r="M365" s="15" t="n">
        <f aca="false">L365*(1+IF(M$3&lt;=$O$2,$D365,$D365-($D365-$I$346)*MIN(M$3-$O$2,$Q$2)/$Q$2))</f>
        <v>1748.19080946328</v>
      </c>
      <c r="N365" s="15" t="n">
        <f aca="false">M365*(1+IF(N$3&lt;=$O$2,$D365,$D365-($D365-$I$346)*MIN(N$3-$O$2,$Q$2)/$Q$2))</f>
        <v>1788.92365532378</v>
      </c>
      <c r="O365" s="15" t="n">
        <f aca="false">SUMPRODUCT(E365:N365,1/(1+$F$346)^$E$3:$N$3)*$E$2</f>
        <v>2047.64091735813</v>
      </c>
      <c r="P365" s="15" t="n">
        <f aca="false">N365*$E$2*(1+$I$346)/($F$346-$I$346)/(1+$F$346)^$N$3</f>
        <v>3574.94997408936</v>
      </c>
      <c r="Q365" s="15" t="n">
        <f aca="false">O365+P365</f>
        <v>5622.5908914475</v>
      </c>
      <c r="R365" s="15" t="n">
        <f aca="false">Q365-$G$2+$I$2</f>
        <v>5789.9908914475</v>
      </c>
      <c r="S365" s="42" t="n">
        <f aca="false">R365/$K$2</f>
        <v>164.535120529909</v>
      </c>
      <c r="T365" s="43" t="n">
        <f aca="false">S365-$M$2</f>
        <v>-0.000258839230014019</v>
      </c>
    </row>
    <row r="366" customFormat="false" ht="15" hidden="false" customHeight="false" outlineLevel="0" collapsed="false">
      <c r="A366" s="5" t="n">
        <v>19</v>
      </c>
      <c r="B366" s="25" t="n">
        <f aca="false">IF(T365&gt;0,B365,D365)</f>
        <v>0.0972728729248047</v>
      </c>
      <c r="C366" s="25" t="n">
        <f aca="false">IF(T365&gt;0,D365,C365)</f>
        <v>0.0972785949707031</v>
      </c>
      <c r="D366" s="41" t="n">
        <f aca="false">(B366+C366)/2</f>
        <v>0.0972757339477539</v>
      </c>
      <c r="E366" s="15" t="n">
        <f aca="false">$C$2*(1+IF(E$3&lt;=$O$2,$D366,$D366-($D366-$I$346)*MIN(E$3-$O$2,$Q$2)/$Q$2))</f>
        <v>954.662806806564</v>
      </c>
      <c r="F366" s="15" t="n">
        <f aca="false">E366*(1+IF(F$3&lt;=$O$2,$D366,$D366-($D366-$I$346)*MIN(F$3-$O$2,$Q$2)/$Q$2))</f>
        <v>1047.5283320113</v>
      </c>
      <c r="G366" s="15" t="n">
        <f aca="false">F366*(1+IF(G$3&lt;=$O$2,$D366,$D366-($D366-$I$346)*MIN(G$3-$O$2,$Q$2)/$Q$2))</f>
        <v>1149.42741933876</v>
      </c>
      <c r="H366" s="15" t="n">
        <f aca="false">G366*(1+IF(H$3&lt;=$O$2,$D366,$D366-($D366-$I$346)*MIN(H$3-$O$2,$Q$2)/$Q$2))</f>
        <v>1261.23881517461</v>
      </c>
      <c r="I366" s="15" t="n">
        <f aca="false">H366*(1+IF(I$3&lt;=$O$2,$D366,$D366-($D366-$I$346)*MIN(I$3-$O$2,$Q$2)/$Q$2))</f>
        <v>1383.92674660412</v>
      </c>
      <c r="J366" s="15" t="n">
        <f aca="false">I366*(1+IF(J$3&lt;=$O$2,$D366,$D366-($D366-$I$346)*MIN(J$3-$O$2,$Q$2)/$Q$2))</f>
        <v>1498.07383724797</v>
      </c>
      <c r="K366" s="15" t="n">
        <f aca="false">J366*(1+IF(K$3&lt;=$O$2,$D366,$D366-($D366-$I$346)*MIN(K$3-$O$2,$Q$2)/$Q$2))</f>
        <v>1599.47162462685</v>
      </c>
      <c r="L366" s="15" t="n">
        <f aca="false">K366*(1+IF(L$3&lt;=$O$2,$D366,$D366-($D366-$I$346)*MIN(L$3-$O$2,$Q$2)/$Q$2))</f>
        <v>1684.06814842481</v>
      </c>
      <c r="M366" s="15" t="n">
        <f aca="false">L366*(1+IF(M$3&lt;=$O$2,$D366,$D366-($D366-$I$346)*MIN(M$3-$O$2,$Q$2)/$Q$2))</f>
        <v>1748.22297174266</v>
      </c>
      <c r="N366" s="15" t="n">
        <f aca="false">M366*(1+IF(N$3&lt;=$O$2,$D366,$D366-($D366-$I$346)*MIN(N$3-$O$2,$Q$2)/$Q$2))</f>
        <v>1788.95656698426</v>
      </c>
      <c r="O366" s="15" t="n">
        <f aca="false">SUMPRODUCT(E366:N366,1/(1+$F$346)^$E$3:$N$3)*$E$2</f>
        <v>2047.66667780301</v>
      </c>
      <c r="P366" s="15" t="n">
        <f aca="false">N366*$E$2*(1+$I$346)/($F$346-$I$346)/(1+$F$346)^$N$3</f>
        <v>3575.01574410669</v>
      </c>
      <c r="Q366" s="15" t="n">
        <f aca="false">O366+P366</f>
        <v>5622.6824219097</v>
      </c>
      <c r="R366" s="15" t="n">
        <f aca="false">Q366-$G$2+$I$2</f>
        <v>5790.0824219097</v>
      </c>
      <c r="S366" s="42" t="n">
        <f aca="false">R366/$K$2</f>
        <v>164.537721566061</v>
      </c>
      <c r="T366" s="43" t="n">
        <f aca="false">S366-$M$2</f>
        <v>0.00234219692245574</v>
      </c>
    </row>
    <row r="367" customFormat="false" ht="15" hidden="false" customHeight="false" outlineLevel="0" collapsed="false">
      <c r="A367" s="5" t="n">
        <v>20</v>
      </c>
      <c r="B367" s="25" t="n">
        <f aca="false">IF(T366&gt;0,B366,D366)</f>
        <v>0.0972728729248047</v>
      </c>
      <c r="C367" s="25" t="n">
        <f aca="false">IF(T366&gt;0,D366,C366)</f>
        <v>0.0972757339477539</v>
      </c>
      <c r="D367" s="41" t="n">
        <f aca="false">(B367+C367)/2</f>
        <v>0.0972743034362793</v>
      </c>
      <c r="E367" s="15" t="n">
        <f aca="false">$C$2*(1+IF(E$3&lt;=$O$2,$D367,$D367-($D367-$I$346)*MIN(E$3-$O$2,$Q$2)/$Q$2))</f>
        <v>954.661562218666</v>
      </c>
      <c r="F367" s="15" t="n">
        <f aca="false">E367*(1+IF(F$3&lt;=$O$2,$D367,$D367-($D367-$I$346)*MIN(F$3-$O$2,$Q$2)/$Q$2))</f>
        <v>1047.52560070088</v>
      </c>
      <c r="G367" s="15" t="n">
        <f aca="false">F367*(1+IF(G$3&lt;=$O$2,$D367,$D367-($D367-$I$346)*MIN(G$3-$O$2,$Q$2)/$Q$2))</f>
        <v>1149.42292384073</v>
      </c>
      <c r="H367" s="15" t="n">
        <f aca="false">G367*(1+IF(H$3&lt;=$O$2,$D367,$D367-($D367-$I$346)*MIN(H$3-$O$2,$Q$2)/$Q$2))</f>
        <v>1261.23223811102</v>
      </c>
      <c r="I367" s="15" t="n">
        <f aca="false">H367*(1+IF(I$3&lt;=$O$2,$D367,$D367-($D367-$I$346)*MIN(I$3-$O$2,$Q$2)/$Q$2))</f>
        <v>1383.91772554465</v>
      </c>
      <c r="J367" s="15" t="n">
        <f aca="false">I367*(1+IF(J$3&lt;=$O$2,$D367,$D367-($D367-$I$346)*MIN(J$3-$O$2,$Q$2)/$Q$2))</f>
        <v>1498.06248835807</v>
      </c>
      <c r="K367" s="15" t="n">
        <f aca="false">J367*(1+IF(K$3&lt;=$O$2,$D367,$D367-($D367-$I$346)*MIN(K$3-$O$2,$Q$2)/$Q$2))</f>
        <v>1599.458221785</v>
      </c>
      <c r="L367" s="15" t="n">
        <f aca="false">K367*(1+IF(L$3&lt;=$O$2,$D367,$D367-($D367-$I$346)*MIN(L$3-$O$2,$Q$2)/$Q$2))</f>
        <v>1684.05312148538</v>
      </c>
      <c r="M367" s="15" t="n">
        <f aca="false">L367*(1+IF(M$3&lt;=$O$2,$D367,$D367-($D367-$I$346)*MIN(M$3-$O$2,$Q$2)/$Q$2))</f>
        <v>1748.2068905383</v>
      </c>
      <c r="N367" s="15" t="n">
        <f aca="false">M367*(1+IF(N$3&lt;=$O$2,$D367,$D367-($D367-$I$346)*MIN(N$3-$O$2,$Q$2)/$Q$2))</f>
        <v>1788.94011108785</v>
      </c>
      <c r="O367" s="15" t="n">
        <f aca="false">SUMPRODUCT(E367:N367,1/(1+$F$346)^$E$3:$N$3)*$E$2</f>
        <v>2047.65379754045</v>
      </c>
      <c r="P367" s="15" t="n">
        <f aca="false">N367*$E$2*(1+$I$346)/($F$346-$I$346)/(1+$F$346)^$N$3</f>
        <v>3574.98285896578</v>
      </c>
      <c r="Q367" s="15" t="n">
        <f aca="false">O367+P367</f>
        <v>5622.63665650624</v>
      </c>
      <c r="R367" s="15" t="n">
        <f aca="false">Q367-$G$2+$I$2</f>
        <v>5790.03665650624</v>
      </c>
      <c r="S367" s="42" t="n">
        <f aca="false">R367/$K$2</f>
        <v>164.536421043087</v>
      </c>
      <c r="T367" s="43" t="n">
        <f aca="false">S367-$M$2</f>
        <v>0.00104167394815136</v>
      </c>
    </row>
    <row r="368" customFormat="false" ht="15" hidden="false" customHeight="false" outlineLevel="0" collapsed="false">
      <c r="A368" s="5" t="n">
        <v>21</v>
      </c>
      <c r="B368" s="25" t="n">
        <f aca="false">IF(T367&gt;0,B367,D367)</f>
        <v>0.0972728729248047</v>
      </c>
      <c r="C368" s="25" t="n">
        <f aca="false">IF(T367&gt;0,D367,C367)</f>
        <v>0.0972743034362793</v>
      </c>
      <c r="D368" s="41" t="n">
        <f aca="false">(B368+C368)/2</f>
        <v>0.097273588180542</v>
      </c>
      <c r="E368" s="15" t="n">
        <f aca="false">$C$2*(1+IF(E$3&lt;=$O$2,$D368,$D368-($D368-$I$346)*MIN(E$3-$O$2,$Q$2)/$Q$2))</f>
        <v>954.660939924717</v>
      </c>
      <c r="F368" s="15" t="n">
        <f aca="false">E368*(1+IF(F$3&lt;=$O$2,$D368,$D368-($D368-$I$346)*MIN(F$3-$O$2,$Q$2)/$Q$2))</f>
        <v>1047.524235047</v>
      </c>
      <c r="G368" s="15" t="n">
        <f aca="false">F368*(1+IF(G$3&lt;=$O$2,$D368,$D368-($D368-$I$346)*MIN(G$3-$O$2,$Q$2)/$Q$2))</f>
        <v>1149.4206760961</v>
      </c>
      <c r="H368" s="15" t="n">
        <f aca="false">G368*(1+IF(H$3&lt;=$O$2,$D368,$D368-($D368-$I$346)*MIN(H$3-$O$2,$Q$2)/$Q$2))</f>
        <v>1261.22894958888</v>
      </c>
      <c r="I368" s="15" t="n">
        <f aca="false">H368*(1+IF(I$3&lt;=$O$2,$D368,$D368-($D368-$I$346)*MIN(I$3-$O$2,$Q$2)/$Q$2))</f>
        <v>1383.91321503256</v>
      </c>
      <c r="J368" s="15" t="n">
        <f aca="false">I368*(1+IF(J$3&lt;=$O$2,$D368,$D368-($D368-$I$346)*MIN(J$3-$O$2,$Q$2)/$Q$2))</f>
        <v>1498.05681393996</v>
      </c>
      <c r="K368" s="15" t="n">
        <f aca="false">J368*(1+IF(K$3&lt;=$O$2,$D368,$D368-($D368-$I$346)*MIN(K$3-$O$2,$Q$2)/$Q$2))</f>
        <v>1599.45152040003</v>
      </c>
      <c r="L368" s="15" t="n">
        <f aca="false">K368*(1+IF(L$3&lt;=$O$2,$D368,$D368-($D368-$I$346)*MIN(L$3-$O$2,$Q$2)/$Q$2))</f>
        <v>1684.04560805928</v>
      </c>
      <c r="M368" s="15" t="n">
        <f aca="false">L368*(1+IF(M$3&lt;=$O$2,$D368,$D368-($D368-$I$346)*MIN(M$3-$O$2,$Q$2)/$Q$2))</f>
        <v>1748.19884998463</v>
      </c>
      <c r="N368" s="15" t="n">
        <f aca="false">M368*(1+IF(N$3&lt;=$O$2,$D368,$D368-($D368-$I$346)*MIN(N$3-$O$2,$Q$2)/$Q$2))</f>
        <v>1788.93188318927</v>
      </c>
      <c r="O368" s="15" t="n">
        <f aca="false">SUMPRODUCT(E368:N368,1/(1+$F$346)^$E$3:$N$3)*$E$2</f>
        <v>2047.64735743926</v>
      </c>
      <c r="P368" s="15" t="n">
        <f aca="false">N368*$E$2*(1+$I$346)/($F$346-$I$346)/(1+$F$346)^$N$3</f>
        <v>3574.96641649451</v>
      </c>
      <c r="Q368" s="15" t="n">
        <f aca="false">O368+P368</f>
        <v>5622.61377393378</v>
      </c>
      <c r="R368" s="15" t="n">
        <f aca="false">Q368-$G$2+$I$2</f>
        <v>5790.01377393378</v>
      </c>
      <c r="S368" s="42" t="n">
        <f aca="false">R368/$K$2</f>
        <v>164.535770785274</v>
      </c>
      <c r="T368" s="43" t="n">
        <f aca="false">S368-$M$2</f>
        <v>0.00039141613456195</v>
      </c>
    </row>
    <row r="369" customFormat="false" ht="15" hidden="false" customHeight="false" outlineLevel="0" collapsed="false">
      <c r="A369" s="5" t="n">
        <v>22</v>
      </c>
      <c r="B369" s="25" t="n">
        <f aca="false">IF(T368&gt;0,B368,D368)</f>
        <v>0.0972728729248047</v>
      </c>
      <c r="C369" s="25" t="n">
        <f aca="false">IF(T368&gt;0,D368,C368)</f>
        <v>0.097273588180542</v>
      </c>
      <c r="D369" s="41" t="n">
        <f aca="false">(B369+C369)/2</f>
        <v>0.0972732305526733</v>
      </c>
      <c r="E369" s="15" t="n">
        <f aca="false">$C$2*(1+IF(E$3&lt;=$O$2,$D369,$D369-($D369-$I$346)*MIN(E$3-$O$2,$Q$2)/$Q$2))</f>
        <v>954.660628777742</v>
      </c>
      <c r="F369" s="15" t="n">
        <f aca="false">E369*(1+IF(F$3&lt;=$O$2,$D369,$D369-($D369-$I$346)*MIN(F$3-$O$2,$Q$2)/$Q$2))</f>
        <v>1047.5235522204</v>
      </c>
      <c r="G369" s="15" t="n">
        <f aca="false">F369*(1+IF(G$3&lt;=$O$2,$D369,$D369-($D369-$I$346)*MIN(G$3-$O$2,$Q$2)/$Q$2))</f>
        <v>1149.41955222489</v>
      </c>
      <c r="H369" s="15" t="n">
        <f aca="false">G369*(1+IF(H$3&lt;=$O$2,$D369,$D369-($D369-$I$346)*MIN(H$3-$O$2,$Q$2)/$Q$2))</f>
        <v>1261.22730533021</v>
      </c>
      <c r="I369" s="15" t="n">
        <f aca="false">H369*(1+IF(I$3&lt;=$O$2,$D369,$D369-($D369-$I$346)*MIN(I$3-$O$2,$Q$2)/$Q$2))</f>
        <v>1383.91095978093</v>
      </c>
      <c r="J369" s="15" t="n">
        <f aca="false">I369*(1+IF(J$3&lt;=$O$2,$D369,$D369-($D369-$I$346)*MIN(J$3-$O$2,$Q$2)/$Q$2))</f>
        <v>1498.05397673762</v>
      </c>
      <c r="K369" s="15" t="n">
        <f aca="false">J369*(1+IF(K$3&lt;=$O$2,$D369,$D369-($D369-$I$346)*MIN(K$3-$O$2,$Q$2)/$Q$2))</f>
        <v>1599.44816971654</v>
      </c>
      <c r="L369" s="15" t="n">
        <f aca="false">K369*(1+IF(L$3&lt;=$O$2,$D369,$D369-($D369-$I$346)*MIN(L$3-$O$2,$Q$2)/$Q$2))</f>
        <v>1684.04185135713</v>
      </c>
      <c r="M369" s="15" t="n">
        <f aca="false">L369*(1+IF(M$3&lt;=$O$2,$D369,$D369-($D369-$I$346)*MIN(M$3-$O$2,$Q$2)/$Q$2))</f>
        <v>1748.19482971991</v>
      </c>
      <c r="N369" s="15" t="n">
        <f aca="false">M369*(1+IF(N$3&lt;=$O$2,$D369,$D369-($D369-$I$346)*MIN(N$3-$O$2,$Q$2)/$Q$2))</f>
        <v>1788.92776925239</v>
      </c>
      <c r="O369" s="15" t="n">
        <f aca="false">SUMPRODUCT(E369:N369,1/(1+$F$346)^$E$3:$N$3)*$E$2</f>
        <v>2047.64413739619</v>
      </c>
      <c r="P369" s="15" t="n">
        <f aca="false">N369*$E$2*(1+$I$346)/($F$346-$I$346)/(1+$F$346)^$N$3</f>
        <v>3574.95819528367</v>
      </c>
      <c r="Q369" s="15" t="n">
        <f aca="false">O369+P369</f>
        <v>5622.60233267986</v>
      </c>
      <c r="R369" s="15" t="n">
        <f aca="false">Q369-$G$2+$I$2</f>
        <v>5790.00233267987</v>
      </c>
      <c r="S369" s="42" t="n">
        <f aca="false">R369/$K$2</f>
        <v>164.535445657285</v>
      </c>
      <c r="T369" s="43" t="n">
        <f aca="false">S369-$M$2</f>
        <v>6.62881461437337E-005</v>
      </c>
    </row>
    <row r="370" customFormat="false" ht="15" hidden="false" customHeight="false" outlineLevel="0" collapsed="false">
      <c r="A370" s="5" t="n">
        <v>23</v>
      </c>
      <c r="B370" s="25" t="n">
        <f aca="false">IF(T369&gt;0,B369,D369)</f>
        <v>0.0972728729248047</v>
      </c>
      <c r="C370" s="25" t="n">
        <f aca="false">IF(T369&gt;0,D369,C369)</f>
        <v>0.0972732305526733</v>
      </c>
      <c r="D370" s="41" t="n">
        <f aca="false">(B370+C370)/2</f>
        <v>0.097273051738739</v>
      </c>
      <c r="E370" s="15" t="n">
        <f aca="false">$C$2*(1+IF(E$3&lt;=$O$2,$D370,$D370-($D370-$I$346)*MIN(E$3-$O$2,$Q$2)/$Q$2))</f>
        <v>954.660473204255</v>
      </c>
      <c r="F370" s="15" t="n">
        <f aca="false">E370*(1+IF(F$3&lt;=$O$2,$D370,$D370-($D370-$I$346)*MIN(F$3-$O$2,$Q$2)/$Q$2))</f>
        <v>1047.52321080718</v>
      </c>
      <c r="G370" s="15" t="n">
        <f aca="false">F370*(1+IF(G$3&lt;=$O$2,$D370,$D370-($D370-$I$346)*MIN(G$3-$O$2,$Q$2)/$Q$2))</f>
        <v>1149.41899028956</v>
      </c>
      <c r="H370" s="15" t="n">
        <f aca="false">G370*(1+IF(H$3&lt;=$O$2,$D370,$D370-($D370-$I$346)*MIN(H$3-$O$2,$Q$2)/$Q$2))</f>
        <v>1261.22648320148</v>
      </c>
      <c r="I370" s="15" t="n">
        <f aca="false">H370*(1+IF(I$3&lt;=$O$2,$D370,$D370-($D370-$I$346)*MIN(I$3-$O$2,$Q$2)/$Q$2))</f>
        <v>1383.90983215621</v>
      </c>
      <c r="J370" s="15" t="n">
        <f aca="false">I370*(1+IF(J$3&lt;=$O$2,$D370,$D370-($D370-$I$346)*MIN(J$3-$O$2,$Q$2)/$Q$2))</f>
        <v>1498.05255813812</v>
      </c>
      <c r="K370" s="15" t="n">
        <f aca="false">J370*(1+IF(K$3&lt;=$O$2,$D370,$D370-($D370-$I$346)*MIN(K$3-$O$2,$Q$2)/$Q$2))</f>
        <v>1599.44649437704</v>
      </c>
      <c r="L370" s="15" t="n">
        <f aca="false">K370*(1+IF(L$3&lt;=$O$2,$D370,$D370-($D370-$I$346)*MIN(L$3-$O$2,$Q$2)/$Q$2))</f>
        <v>1684.03997300879</v>
      </c>
      <c r="M370" s="15" t="n">
        <f aca="false">L370*(1+IF(M$3&lt;=$O$2,$D370,$D370-($D370-$I$346)*MIN(M$3-$O$2,$Q$2)/$Q$2))</f>
        <v>1748.19281959059</v>
      </c>
      <c r="N370" s="15" t="n">
        <f aca="false">M370*(1+IF(N$3&lt;=$O$2,$D370,$D370-($D370-$I$346)*MIN(N$3-$O$2,$Q$2)/$Q$2))</f>
        <v>1788.92571228705</v>
      </c>
      <c r="O370" s="15" t="n">
        <f aca="false">SUMPRODUCT(E370:N370,1/(1+$F$346)^$E$3:$N$3)*$E$2</f>
        <v>2047.64252737653</v>
      </c>
      <c r="P370" s="15" t="n">
        <f aca="false">N370*$E$2*(1+$I$346)/($F$346-$I$346)/(1+$F$346)^$N$3</f>
        <v>3574.95408468445</v>
      </c>
      <c r="Q370" s="15" t="n">
        <f aca="false">O370+P370</f>
        <v>5622.59661206099</v>
      </c>
      <c r="R370" s="15" t="n">
        <f aca="false">Q370-$G$2+$I$2</f>
        <v>5789.99661206099</v>
      </c>
      <c r="S370" s="42" t="n">
        <f aca="false">R370/$K$2</f>
        <v>164.535283093521</v>
      </c>
      <c r="T370" s="43" t="n">
        <f aca="false">S370-$M$2</f>
        <v>-9.62756184890168E-005</v>
      </c>
    </row>
    <row r="371" customFormat="false" ht="15" hidden="false" customHeight="false" outlineLevel="0" collapsed="false">
      <c r="A371" s="5" t="n">
        <v>24</v>
      </c>
      <c r="B371" s="25" t="n">
        <f aca="false">IF(T370&gt;0,B370,D370)</f>
        <v>0.097273051738739</v>
      </c>
      <c r="C371" s="25" t="n">
        <f aca="false">IF(T370&gt;0,D370,C370)</f>
        <v>0.0972732305526733</v>
      </c>
      <c r="D371" s="41" t="n">
        <f aca="false">(B371+C371)/2</f>
        <v>0.0972731411457062</v>
      </c>
      <c r="E371" s="15" t="n">
        <f aca="false">$C$2*(1+IF(E$3&lt;=$O$2,$D371,$D371-($D371-$I$346)*MIN(E$3-$O$2,$Q$2)/$Q$2))</f>
        <v>954.660550990999</v>
      </c>
      <c r="F371" s="15" t="n">
        <f aca="false">E371*(1+IF(F$3&lt;=$O$2,$D371,$D371-($D371-$I$346)*MIN(F$3-$O$2,$Q$2)/$Q$2))</f>
        <v>1047.52338151378</v>
      </c>
      <c r="G371" s="15" t="n">
        <f aca="false">F371*(1+IF(G$3&lt;=$O$2,$D371,$D371-($D371-$I$346)*MIN(G$3-$O$2,$Q$2)/$Q$2))</f>
        <v>1149.4192712572</v>
      </c>
      <c r="H371" s="15" t="n">
        <f aca="false">G371*(1+IF(H$3&lt;=$O$2,$D371,$D371-($D371-$I$346)*MIN(H$3-$O$2,$Q$2)/$Q$2))</f>
        <v>1261.2268942658</v>
      </c>
      <c r="I371" s="15" t="n">
        <f aca="false">H371*(1+IF(I$3&lt;=$O$2,$D371,$D371-($D371-$I$346)*MIN(I$3-$O$2,$Q$2)/$Q$2))</f>
        <v>1383.91039596848</v>
      </c>
      <c r="J371" s="15" t="n">
        <f aca="false">I371*(1+IF(J$3&lt;=$O$2,$D371,$D371-($D371-$I$346)*MIN(J$3-$O$2,$Q$2)/$Q$2))</f>
        <v>1498.05326743773</v>
      </c>
      <c r="K371" s="15" t="n">
        <f aca="false">J371*(1+IF(K$3&lt;=$O$2,$D371,$D371-($D371-$I$346)*MIN(K$3-$O$2,$Q$2)/$Q$2))</f>
        <v>1599.4473320466</v>
      </c>
      <c r="L371" s="15" t="n">
        <f aca="false">K371*(1+IF(L$3&lt;=$O$2,$D371,$D371-($D371-$I$346)*MIN(L$3-$O$2,$Q$2)/$Q$2))</f>
        <v>1684.04091218273</v>
      </c>
      <c r="M371" s="15" t="n">
        <f aca="false">L371*(1+IF(M$3&lt;=$O$2,$D371,$D371-($D371-$I$346)*MIN(M$3-$O$2,$Q$2)/$Q$2))</f>
        <v>1748.193824655</v>
      </c>
      <c r="N371" s="15" t="n">
        <f aca="false">M371*(1+IF(N$3&lt;=$O$2,$D371,$D371-($D371-$I$346)*MIN(N$3-$O$2,$Q$2)/$Q$2))</f>
        <v>1788.92674076946</v>
      </c>
      <c r="O371" s="15" t="n">
        <f aca="false">SUMPRODUCT(E371:N371,1/(1+$F$346)^$E$3:$N$3)*$E$2</f>
        <v>2047.64333238621</v>
      </c>
      <c r="P371" s="15" t="n">
        <f aca="false">N371*$E$2*(1+$I$346)/($F$346-$I$346)/(1+$F$346)^$N$3</f>
        <v>3574.95613998355</v>
      </c>
      <c r="Q371" s="15" t="n">
        <f aca="false">O371+P371</f>
        <v>5622.59947236975</v>
      </c>
      <c r="R371" s="15" t="n">
        <f aca="false">Q371-$G$2+$I$2</f>
        <v>5789.99947236975</v>
      </c>
      <c r="S371" s="42" t="n">
        <f aca="false">R371/$K$2</f>
        <v>164.535364375384</v>
      </c>
      <c r="T371" s="43" t="n">
        <f aca="false">S371-$M$2</f>
        <v>-1.49937553146628E-005</v>
      </c>
    </row>
    <row r="373" customFormat="false" ht="15" hidden="false" customHeight="false" outlineLevel="0" collapsed="false">
      <c r="A373" s="38" t="s">
        <v>200</v>
      </c>
      <c r="E373" s="5" t="s">
        <v>12</v>
      </c>
      <c r="F373" s="12" t="n">
        <f aca="false">Sensitivity!$B$12</f>
        <v>0.0775075820986394</v>
      </c>
      <c r="G373" s="5" t="s">
        <v>13</v>
      </c>
      <c r="I373" s="12" t="n">
        <f aca="false">Sensitivity!$E$9</f>
        <v>0.0283</v>
      </c>
    </row>
    <row r="374" customFormat="false" ht="23.85" hidden="false" customHeight="false" outlineLevel="0" collapsed="false">
      <c r="A374" s="38" t="s">
        <v>168</v>
      </c>
      <c r="B374" s="28" t="s">
        <v>169</v>
      </c>
      <c r="C374" s="28" t="s">
        <v>170</v>
      </c>
      <c r="D374" s="28" t="s">
        <v>171</v>
      </c>
      <c r="E374" s="28" t="s">
        <v>172</v>
      </c>
      <c r="F374" s="28" t="s">
        <v>173</v>
      </c>
      <c r="G374" s="28" t="s">
        <v>174</v>
      </c>
      <c r="H374" s="28" t="s">
        <v>175</v>
      </c>
      <c r="I374" s="28" t="s">
        <v>176</v>
      </c>
      <c r="J374" s="28" t="s">
        <v>177</v>
      </c>
      <c r="K374" s="28" t="s">
        <v>178</v>
      </c>
      <c r="L374" s="28" t="s">
        <v>179</v>
      </c>
      <c r="M374" s="28" t="s">
        <v>180</v>
      </c>
      <c r="N374" s="28" t="s">
        <v>181</v>
      </c>
      <c r="O374" s="28" t="s">
        <v>182</v>
      </c>
      <c r="P374" s="28" t="s">
        <v>183</v>
      </c>
      <c r="Q374" s="28" t="s">
        <v>184</v>
      </c>
      <c r="R374" s="28" t="s">
        <v>185</v>
      </c>
      <c r="S374" s="28" t="s">
        <v>186</v>
      </c>
      <c r="T374" s="28" t="s">
        <v>187</v>
      </c>
    </row>
    <row r="375" customFormat="false" ht="15" hidden="false" customHeight="false" outlineLevel="0" collapsed="false">
      <c r="A375" s="5" t="n">
        <v>1</v>
      </c>
      <c r="B375" s="24" t="n">
        <v>-0.5</v>
      </c>
      <c r="C375" s="24" t="n">
        <v>1</v>
      </c>
      <c r="D375" s="41" t="n">
        <f aca="false">(B375+C375)/2</f>
        <v>0.25</v>
      </c>
      <c r="E375" s="15" t="n">
        <f aca="false">$C$2*(1+IF(E$3&lt;=$O$2,$D375,$D375-($D375-$I$373)*MIN(E$3-$O$2,$Q$2)/$Q$2))</f>
        <v>1087.5375</v>
      </c>
      <c r="F375" s="15" t="n">
        <f aca="false">E375*(1+IF(F$3&lt;=$O$2,$D375,$D375-($D375-$I$373)*MIN(F$3-$O$2,$Q$2)/$Q$2))</f>
        <v>1359.421875</v>
      </c>
      <c r="G375" s="15" t="n">
        <f aca="false">F375*(1+IF(G$3&lt;=$O$2,$D375,$D375-($D375-$I$373)*MIN(G$3-$O$2,$Q$2)/$Q$2))</f>
        <v>1699.27734375</v>
      </c>
      <c r="H375" s="15" t="n">
        <f aca="false">G375*(1+IF(H$3&lt;=$O$2,$D375,$D375-($D375-$I$373)*MIN(H$3-$O$2,$Q$2)/$Q$2))</f>
        <v>2124.0966796875</v>
      </c>
      <c r="I375" s="15" t="n">
        <f aca="false">H375*(1+IF(I$3&lt;=$O$2,$D375,$D375-($D375-$I$373)*MIN(I$3-$O$2,$Q$2)/$Q$2))</f>
        <v>2655.12084960938</v>
      </c>
      <c r="J375" s="15" t="n">
        <f aca="false">I375*(1+IF(J$3&lt;=$O$2,$D375,$D375-($D375-$I$373)*MIN(J$3-$O$2,$Q$2)/$Q$2))</f>
        <v>3201.17300354004</v>
      </c>
      <c r="K375" s="15" t="n">
        <f aca="false">J375*(1+IF(K$3&lt;=$O$2,$D375,$D375-($D375-$I$373)*MIN(K$3-$O$2,$Q$2)/$Q$2))</f>
        <v>3717.58623247112</v>
      </c>
      <c r="L375" s="15" t="n">
        <f aca="false">K375*(1+IF(L$3&lt;=$O$2,$D375,$D375-($D375-$I$373)*MIN(L$3-$O$2,$Q$2)/$Q$2))</f>
        <v>4152.46946994559</v>
      </c>
      <c r="M375" s="15" t="n">
        <f aca="false">L375*(1+IF(M$3&lt;=$O$2,$D375,$D375-($D375-$I$373)*MIN(M$3-$O$2,$Q$2)/$Q$2))</f>
        <v>4454.10485224244</v>
      </c>
      <c r="N375" s="15" t="n">
        <f aca="false">M375*(1+IF(N$3&lt;=$O$2,$D375,$D375-($D375-$I$373)*MIN(N$3-$O$2,$Q$2)/$Q$2))</f>
        <v>4580.1560195609</v>
      </c>
      <c r="O375" s="15" t="n">
        <f aca="false">SUMPRODUCT(E375:N375,1/(1+$F$373)^$E$3:$N$3)*$E$2</f>
        <v>4002.81400991212</v>
      </c>
      <c r="P375" s="15" t="n">
        <f aca="false">N375*$E$2*(1+$I$373)/($F$373-$I$373)/(1+$F$373)^$N$3</f>
        <v>10132.1895622012</v>
      </c>
      <c r="Q375" s="15" t="n">
        <f aca="false">O375+P375</f>
        <v>14135.0035721133</v>
      </c>
      <c r="R375" s="15" t="n">
        <f aca="false">Q375-$G$2+$I$2</f>
        <v>14302.4035721133</v>
      </c>
      <c r="S375" s="42" t="n">
        <f aca="false">R375/$K$2</f>
        <v>406.433747431467</v>
      </c>
      <c r="T375" s="43" t="n">
        <f aca="false">S375-$M$2</f>
        <v>241.898368062328</v>
      </c>
    </row>
    <row r="376" customFormat="false" ht="15" hidden="false" customHeight="false" outlineLevel="0" collapsed="false">
      <c r="A376" s="5" t="n">
        <v>2</v>
      </c>
      <c r="B376" s="25" t="n">
        <f aca="false">IF(T375&gt;0,B375,D375)</f>
        <v>-0.5</v>
      </c>
      <c r="C376" s="25" t="n">
        <f aca="false">IF(T375&gt;0,D375,C375)</f>
        <v>0.25</v>
      </c>
      <c r="D376" s="41" t="n">
        <f aca="false">(B376+C376)/2</f>
        <v>-0.125</v>
      </c>
      <c r="E376" s="15" t="n">
        <f aca="false">$C$2*(1+IF(E$3&lt;=$O$2,$D376,$D376-($D376-$I$373)*MIN(E$3-$O$2,$Q$2)/$Q$2))</f>
        <v>761.27625</v>
      </c>
      <c r="F376" s="15" t="n">
        <f aca="false">E376*(1+IF(F$3&lt;=$O$2,$D376,$D376-($D376-$I$373)*MIN(F$3-$O$2,$Q$2)/$Q$2))</f>
        <v>666.11671875</v>
      </c>
      <c r="G376" s="15" t="n">
        <f aca="false">F376*(1+IF(G$3&lt;=$O$2,$D376,$D376-($D376-$I$373)*MIN(G$3-$O$2,$Q$2)/$Q$2))</f>
        <v>582.85212890625</v>
      </c>
      <c r="H376" s="15" t="n">
        <f aca="false">G376*(1+IF(H$3&lt;=$O$2,$D376,$D376-($D376-$I$373)*MIN(H$3-$O$2,$Q$2)/$Q$2))</f>
        <v>509.995612792969</v>
      </c>
      <c r="I376" s="15" t="n">
        <f aca="false">H376*(1+IF(I$3&lt;=$O$2,$D376,$D376-($D376-$I$373)*MIN(I$3-$O$2,$Q$2)/$Q$2))</f>
        <v>446.246161193848</v>
      </c>
      <c r="J376" s="15" t="n">
        <f aca="false">I376*(1+IF(J$3&lt;=$O$2,$D376,$D376-($D376-$I$373)*MIN(J$3-$O$2,$Q$2)/$Q$2))</f>
        <v>404.14729834682</v>
      </c>
      <c r="K376" s="15" t="n">
        <f aca="false">J376*(1+IF(K$3&lt;=$O$2,$D376,$D376-($D376-$I$373)*MIN(K$3-$O$2,$Q$2)/$Q$2))</f>
        <v>378.411198388095</v>
      </c>
      <c r="L376" s="15" t="n">
        <f aca="false">K376*(1+IF(L$3&lt;=$O$2,$D376,$D376-($D376-$I$373)*MIN(L$3-$O$2,$Q$2)/$Q$2))</f>
        <v>365.91606061732</v>
      </c>
      <c r="M376" s="15" t="n">
        <f aca="false">L376*(1+IF(M$3&lt;=$O$2,$D376,$D376-($D376-$I$373)*MIN(M$3-$O$2,$Q$2)/$Q$2))</f>
        <v>365.052498714263</v>
      </c>
      <c r="N376" s="15" t="n">
        <f aca="false">M376*(1+IF(N$3&lt;=$O$2,$D376,$D376-($D376-$I$373)*MIN(N$3-$O$2,$Q$2)/$Q$2))</f>
        <v>375.383484427876</v>
      </c>
      <c r="O376" s="15" t="n">
        <f aca="false">SUMPRODUCT(E376:N376,1/(1+$F$373)^$E$3:$N$3)*$E$2</f>
        <v>777.205193641506</v>
      </c>
      <c r="P376" s="15" t="n">
        <f aca="false">N376*$E$2*(1+$I$373)/($F$373-$I$373)/(1+$F$373)^$N$3</f>
        <v>830.420755646547</v>
      </c>
      <c r="Q376" s="15" t="n">
        <f aca="false">O376+P376</f>
        <v>1607.62594928805</v>
      </c>
      <c r="R376" s="15" t="n">
        <f aca="false">Q376-$G$2+$I$2</f>
        <v>1775.02594928805</v>
      </c>
      <c r="S376" s="42" t="n">
        <f aca="false">R376/$K$2</f>
        <v>50.4412034466625</v>
      </c>
      <c r="T376" s="43" t="n">
        <f aca="false">S376-$M$2</f>
        <v>-114.094175922477</v>
      </c>
    </row>
    <row r="377" customFormat="false" ht="15" hidden="false" customHeight="false" outlineLevel="0" collapsed="false">
      <c r="A377" s="5" t="n">
        <v>3</v>
      </c>
      <c r="B377" s="25" t="n">
        <f aca="false">IF(T376&gt;0,B376,D376)</f>
        <v>-0.125</v>
      </c>
      <c r="C377" s="25" t="n">
        <f aca="false">IF(T376&gt;0,D376,C376)</f>
        <v>0.25</v>
      </c>
      <c r="D377" s="41" t="n">
        <f aca="false">(B377+C377)/2</f>
        <v>0.0625</v>
      </c>
      <c r="E377" s="15" t="n">
        <f aca="false">$C$2*(1+IF(E$3&lt;=$O$2,$D377,$D377-($D377-$I$373)*MIN(E$3-$O$2,$Q$2)/$Q$2))</f>
        <v>924.406875</v>
      </c>
      <c r="F377" s="15" t="n">
        <f aca="false">E377*(1+IF(F$3&lt;=$O$2,$D377,$D377-($D377-$I$373)*MIN(F$3-$O$2,$Q$2)/$Q$2))</f>
        <v>982.1823046875</v>
      </c>
      <c r="G377" s="15" t="n">
        <f aca="false">F377*(1+IF(G$3&lt;=$O$2,$D377,$D377-($D377-$I$373)*MIN(G$3-$O$2,$Q$2)/$Q$2))</f>
        <v>1043.56869873047</v>
      </c>
      <c r="H377" s="15" t="n">
        <f aca="false">G377*(1+IF(H$3&lt;=$O$2,$D377,$D377-($D377-$I$373)*MIN(H$3-$O$2,$Q$2)/$Q$2))</f>
        <v>1108.79174240112</v>
      </c>
      <c r="I377" s="15" t="n">
        <f aca="false">H377*(1+IF(I$3&lt;=$O$2,$D377,$D377-($D377-$I$373)*MIN(I$3-$O$2,$Q$2)/$Q$2))</f>
        <v>1178.09122630119</v>
      </c>
      <c r="J377" s="15" t="n">
        <f aca="false">I377*(1+IF(J$3&lt;=$O$2,$D377,$D377-($D377-$I$373)*MIN(J$3-$O$2,$Q$2)/$Q$2))</f>
        <v>1243.66378395712</v>
      </c>
      <c r="K377" s="15" t="n">
        <f aca="false">J377*(1+IF(K$3&lt;=$O$2,$D377,$D377-($D377-$I$373)*MIN(K$3-$O$2,$Q$2)/$Q$2))</f>
        <v>1304.3794498899</v>
      </c>
      <c r="L377" s="15" t="n">
        <f aca="false">K377*(1+IF(L$3&lt;=$O$2,$D377,$D377-($D377-$I$373)*MIN(L$3-$O$2,$Q$2)/$Q$2))</f>
        <v>1359.13729919628</v>
      </c>
      <c r="M377" s="15" t="n">
        <f aca="false">L377*(1+IF(M$3&lt;=$O$2,$D377,$D377-($D377-$I$373)*MIN(M$3-$O$2,$Q$2)/$Q$2))</f>
        <v>1406.89738389004</v>
      </c>
      <c r="N377" s="15" t="n">
        <f aca="false">M377*(1+IF(N$3&lt;=$O$2,$D377,$D377-($D377-$I$373)*MIN(N$3-$O$2,$Q$2)/$Q$2))</f>
        <v>1446.71257985413</v>
      </c>
      <c r="O377" s="15" t="n">
        <f aca="false">SUMPRODUCT(E377:N377,1/(1+$F$373)^$E$3:$N$3)*$E$2</f>
        <v>1762.53968480341</v>
      </c>
      <c r="P377" s="15" t="n">
        <f aca="false">N377*$E$2*(1+$I$373)/($F$373-$I$373)/(1+$F$373)^$N$3</f>
        <v>3200.40759277638</v>
      </c>
      <c r="Q377" s="15" t="n">
        <f aca="false">O377+P377</f>
        <v>4962.94727757979</v>
      </c>
      <c r="R377" s="15" t="n">
        <f aca="false">Q377-$G$2+$I$2</f>
        <v>5130.34727757979</v>
      </c>
      <c r="S377" s="42" t="n">
        <f aca="false">R377/$K$2</f>
        <v>145.789919794822</v>
      </c>
      <c r="T377" s="43" t="n">
        <f aca="false">S377-$M$2</f>
        <v>-18.7454595743168</v>
      </c>
    </row>
    <row r="378" customFormat="false" ht="15" hidden="false" customHeight="false" outlineLevel="0" collapsed="false">
      <c r="A378" s="5" t="n">
        <v>4</v>
      </c>
      <c r="B378" s="25" t="n">
        <f aca="false">IF(T377&gt;0,B377,D377)</f>
        <v>0.0625</v>
      </c>
      <c r="C378" s="25" t="n">
        <f aca="false">IF(T377&gt;0,D377,C377)</f>
        <v>0.25</v>
      </c>
      <c r="D378" s="41" t="n">
        <f aca="false">(B378+C378)/2</f>
        <v>0.15625</v>
      </c>
      <c r="E378" s="15" t="n">
        <f aca="false">$C$2*(1+IF(E$3&lt;=$O$2,$D378,$D378-($D378-$I$373)*MIN(E$3-$O$2,$Q$2)/$Q$2))</f>
        <v>1005.9721875</v>
      </c>
      <c r="F378" s="15" t="n">
        <f aca="false">E378*(1+IF(F$3&lt;=$O$2,$D378,$D378-($D378-$I$373)*MIN(F$3-$O$2,$Q$2)/$Q$2))</f>
        <v>1163.15534179688</v>
      </c>
      <c r="G378" s="15" t="n">
        <f aca="false">F378*(1+IF(G$3&lt;=$O$2,$D378,$D378-($D378-$I$373)*MIN(G$3-$O$2,$Q$2)/$Q$2))</f>
        <v>1344.89836395264</v>
      </c>
      <c r="H378" s="15" t="n">
        <f aca="false">G378*(1+IF(H$3&lt;=$O$2,$D378,$D378-($D378-$I$373)*MIN(H$3-$O$2,$Q$2)/$Q$2))</f>
        <v>1555.03873332024</v>
      </c>
      <c r="I378" s="15" t="n">
        <f aca="false">H378*(1+IF(I$3&lt;=$O$2,$D378,$D378-($D378-$I$373)*MIN(I$3-$O$2,$Q$2)/$Q$2))</f>
        <v>1798.01353540152</v>
      </c>
      <c r="J378" s="15" t="n">
        <f aca="false">I378*(1+IF(J$3&lt;=$O$2,$D378,$D378-($D378-$I$373)*MIN(J$3-$O$2,$Q$2)/$Q$2))</f>
        <v>2032.94198393709</v>
      </c>
      <c r="K378" s="15" t="n">
        <f aca="false">J378*(1+IF(K$3&lt;=$O$2,$D378,$D378-($D378-$I$373)*MIN(K$3-$O$2,$Q$2)/$Q$2))</f>
        <v>2246.54319818936</v>
      </c>
      <c r="L378" s="15" t="n">
        <f aca="false">K378*(1+IF(L$3&lt;=$O$2,$D378,$D378-($D378-$I$373)*MIN(L$3-$O$2,$Q$2)/$Q$2))</f>
        <v>2425.09845158145</v>
      </c>
      <c r="M378" s="15" t="n">
        <f aca="false">L378*(1+IF(M$3&lt;=$O$2,$D378,$D378-($D378-$I$373)*MIN(M$3-$O$2,$Q$2)/$Q$2))</f>
        <v>2555.78700713717</v>
      </c>
      <c r="N378" s="15" t="n">
        <f aca="false">M378*(1+IF(N$3&lt;=$O$2,$D378,$D378-($D378-$I$373)*MIN(N$3-$O$2,$Q$2)/$Q$2))</f>
        <v>2628.11577943915</v>
      </c>
      <c r="O378" s="15" t="n">
        <f aca="false">SUMPRODUCT(E378:N378,1/(1+$F$373)^$E$3:$N$3)*$E$2</f>
        <v>2661.82657662731</v>
      </c>
      <c r="P378" s="15" t="n">
        <f aca="false">N378*$E$2*(1+$I$373)/($F$373-$I$373)/(1+$F$373)^$N$3</f>
        <v>5813.89960406688</v>
      </c>
      <c r="Q378" s="15" t="n">
        <f aca="false">O378+P378</f>
        <v>8475.72618069419</v>
      </c>
      <c r="R378" s="15" t="n">
        <f aca="false">Q378-$G$2+$I$2</f>
        <v>8643.12618069419</v>
      </c>
      <c r="S378" s="42" t="n">
        <f aca="false">R378/$K$2</f>
        <v>245.613133864569</v>
      </c>
      <c r="T378" s="43" t="n">
        <f aca="false">S378-$M$2</f>
        <v>81.0777544954301</v>
      </c>
    </row>
    <row r="379" customFormat="false" ht="15" hidden="false" customHeight="false" outlineLevel="0" collapsed="false">
      <c r="A379" s="5" t="n">
        <v>5</v>
      </c>
      <c r="B379" s="25" t="n">
        <f aca="false">IF(T378&gt;0,B378,D378)</f>
        <v>0.0625</v>
      </c>
      <c r="C379" s="25" t="n">
        <f aca="false">IF(T378&gt;0,D378,C378)</f>
        <v>0.15625</v>
      </c>
      <c r="D379" s="41" t="n">
        <f aca="false">(B379+C379)/2</f>
        <v>0.109375</v>
      </c>
      <c r="E379" s="15" t="n">
        <f aca="false">$C$2*(1+IF(E$3&lt;=$O$2,$D379,$D379-($D379-$I$373)*MIN(E$3-$O$2,$Q$2)/$Q$2))</f>
        <v>965.18953125</v>
      </c>
      <c r="F379" s="15" t="n">
        <f aca="false">E379*(1+IF(F$3&lt;=$O$2,$D379,$D379-($D379-$I$373)*MIN(F$3-$O$2,$Q$2)/$Q$2))</f>
        <v>1070.75713623047</v>
      </c>
      <c r="G379" s="15" t="n">
        <f aca="false">F379*(1+IF(G$3&lt;=$O$2,$D379,$D379-($D379-$I$373)*MIN(G$3-$O$2,$Q$2)/$Q$2))</f>
        <v>1187.87119800568</v>
      </c>
      <c r="H379" s="15" t="n">
        <f aca="false">G379*(1+IF(H$3&lt;=$O$2,$D379,$D379-($D379-$I$373)*MIN(H$3-$O$2,$Q$2)/$Q$2))</f>
        <v>1317.79461028755</v>
      </c>
      <c r="I379" s="15" t="n">
        <f aca="false">H379*(1+IF(I$3&lt;=$O$2,$D379,$D379-($D379-$I$373)*MIN(I$3-$O$2,$Q$2)/$Q$2))</f>
        <v>1461.92839578775</v>
      </c>
      <c r="J379" s="15" t="n">
        <f aca="false">I379*(1+IF(J$3&lt;=$O$2,$D379,$D379-($D379-$I$373)*MIN(J$3-$O$2,$Q$2)/$Q$2))</f>
        <v>1598.12164513933</v>
      </c>
      <c r="K379" s="15" t="n">
        <f aca="false">J379*(1+IF(K$3&lt;=$O$2,$D379,$D379-($D379-$I$373)*MIN(K$3-$O$2,$Q$2)/$Q$2))</f>
        <v>1721.08911512458</v>
      </c>
      <c r="L379" s="15" t="n">
        <f aca="false">K379*(1+IF(L$3&lt;=$O$2,$D379,$D379-($D379-$I$373)*MIN(L$3-$O$2,$Q$2)/$Q$2))</f>
        <v>1825.6108570861</v>
      </c>
      <c r="M379" s="15" t="n">
        <f aca="false">L379*(1+IF(M$3&lt;=$O$2,$D379,$D379-($D379-$I$373)*MIN(M$3-$O$2,$Q$2)/$Q$2))</f>
        <v>1906.87792438928</v>
      </c>
      <c r="N379" s="15" t="n">
        <f aca="false">M379*(1+IF(N$3&lt;=$O$2,$D379,$D379-($D379-$I$373)*MIN(N$3-$O$2,$Q$2)/$Q$2))</f>
        <v>1960.8425696495</v>
      </c>
      <c r="O379" s="15" t="n">
        <f aca="false">SUMPRODUCT(E379:N379,1/(1+$F$373)^$E$3:$N$3)*$E$2</f>
        <v>2166.61506706549</v>
      </c>
      <c r="P379" s="15" t="n">
        <f aca="false">N379*$E$2*(1+$I$373)/($F$373-$I$373)/(1+$F$373)^$N$3</f>
        <v>4337.76241081568</v>
      </c>
      <c r="Q379" s="15" t="n">
        <f aca="false">O379+P379</f>
        <v>6504.37747788117</v>
      </c>
      <c r="R379" s="15" t="n">
        <f aca="false">Q379-$G$2+$I$2</f>
        <v>6671.77747788117</v>
      </c>
      <c r="S379" s="42" t="n">
        <f aca="false">R379/$K$2</f>
        <v>189.592994540528</v>
      </c>
      <c r="T379" s="43" t="n">
        <f aca="false">S379-$M$2</f>
        <v>25.0576151713888</v>
      </c>
    </row>
    <row r="380" customFormat="false" ht="15" hidden="false" customHeight="false" outlineLevel="0" collapsed="false">
      <c r="A380" s="5" t="n">
        <v>6</v>
      </c>
      <c r="B380" s="25" t="n">
        <f aca="false">IF(T379&gt;0,B379,D379)</f>
        <v>0.0625</v>
      </c>
      <c r="C380" s="25" t="n">
        <f aca="false">IF(T379&gt;0,D379,C379)</f>
        <v>0.109375</v>
      </c>
      <c r="D380" s="41" t="n">
        <f aca="false">(B380+C380)/2</f>
        <v>0.0859375</v>
      </c>
      <c r="E380" s="15" t="n">
        <f aca="false">$C$2*(1+IF(E$3&lt;=$O$2,$D380,$D380-($D380-$I$373)*MIN(E$3-$O$2,$Q$2)/$Q$2))</f>
        <v>944.798203125</v>
      </c>
      <c r="F380" s="15" t="n">
        <f aca="false">E380*(1+IF(F$3&lt;=$O$2,$D380,$D380-($D380-$I$373)*MIN(F$3-$O$2,$Q$2)/$Q$2))</f>
        <v>1025.99179870605</v>
      </c>
      <c r="G380" s="15" t="n">
        <f aca="false">F380*(1+IF(G$3&lt;=$O$2,$D380,$D380-($D380-$I$373)*MIN(G$3-$O$2,$Q$2)/$Q$2))</f>
        <v>1114.16296890736</v>
      </c>
      <c r="H380" s="15" t="n">
        <f aca="false">G380*(1+IF(H$3&lt;=$O$2,$D380,$D380-($D380-$I$373)*MIN(H$3-$O$2,$Q$2)/$Q$2))</f>
        <v>1209.91134904783</v>
      </c>
      <c r="I380" s="15" t="n">
        <f aca="false">H380*(1+IF(I$3&lt;=$O$2,$D380,$D380-($D380-$I$373)*MIN(I$3-$O$2,$Q$2)/$Q$2))</f>
        <v>1313.88810560663</v>
      </c>
      <c r="J380" s="15" t="n">
        <f aca="false">I380*(1+IF(J$3&lt;=$O$2,$D380,$D380-($D380-$I$373)*MIN(J$3-$O$2,$Q$2)/$Q$2))</f>
        <v>1411.65451954482</v>
      </c>
      <c r="K380" s="15" t="n">
        <f aca="false">J380*(1+IF(K$3&lt;=$O$2,$D380,$D380-($D380-$I$373)*MIN(K$3-$O$2,$Q$2)/$Q$2))</f>
        <v>1500.4228848701</v>
      </c>
      <c r="L380" s="15" t="n">
        <f aca="false">K380*(1+IF(L$3&lt;=$O$2,$D380,$D380-($D380-$I$373)*MIN(L$3-$O$2,$Q$2)/$Q$2))</f>
        <v>1577.4771021226</v>
      </c>
      <c r="M380" s="15" t="n">
        <f aca="false">L380*(1+IF(M$3&lt;=$O$2,$D380,$D380-($D380-$I$373)*MIN(M$3-$O$2,$Q$2)/$Q$2))</f>
        <v>1640.30407140739</v>
      </c>
      <c r="N380" s="15" t="n">
        <f aca="false">M380*(1+IF(N$3&lt;=$O$2,$D380,$D380-($D380-$I$373)*MIN(N$3-$O$2,$Q$2)/$Q$2))</f>
        <v>1686.72467662822</v>
      </c>
      <c r="O380" s="15" t="n">
        <f aca="false">SUMPRODUCT(E380:N380,1/(1+$F$373)^$E$3:$N$3)*$E$2</f>
        <v>1954.22945985779</v>
      </c>
      <c r="P380" s="15" t="n">
        <f aca="false">N380*$E$2*(1+$I$373)/($F$373-$I$373)/(1+$F$373)^$N$3</f>
        <v>3731.36069816199</v>
      </c>
      <c r="Q380" s="15" t="n">
        <f aca="false">O380+P380</f>
        <v>5685.59015801978</v>
      </c>
      <c r="R380" s="15" t="n">
        <f aca="false">Q380-$G$2+$I$2</f>
        <v>5852.99015801978</v>
      </c>
      <c r="S380" s="42" t="n">
        <f aca="false">R380/$K$2</f>
        <v>166.325381017897</v>
      </c>
      <c r="T380" s="43" t="n">
        <f aca="false">S380-$M$2</f>
        <v>1.79000164875754</v>
      </c>
    </row>
    <row r="381" customFormat="false" ht="15" hidden="false" customHeight="false" outlineLevel="0" collapsed="false">
      <c r="A381" s="5" t="n">
        <v>7</v>
      </c>
      <c r="B381" s="25" t="n">
        <f aca="false">IF(T380&gt;0,B380,D380)</f>
        <v>0.0625</v>
      </c>
      <c r="C381" s="25" t="n">
        <f aca="false">IF(T380&gt;0,D380,C380)</f>
        <v>0.0859375</v>
      </c>
      <c r="D381" s="41" t="n">
        <f aca="false">(B381+C381)/2</f>
        <v>0.07421875</v>
      </c>
      <c r="E381" s="15" t="n">
        <f aca="false">$C$2*(1+IF(E$3&lt;=$O$2,$D381,$D381-($D381-$I$373)*MIN(E$3-$O$2,$Q$2)/$Q$2))</f>
        <v>934.6025390625</v>
      </c>
      <c r="F381" s="15" t="n">
        <f aca="false">E381*(1+IF(F$3&lt;=$O$2,$D381,$D381-($D381-$I$373)*MIN(F$3-$O$2,$Q$2)/$Q$2))</f>
        <v>1003.96757125854</v>
      </c>
      <c r="G381" s="15" t="n">
        <f aca="false">F381*(1+IF(G$3&lt;=$O$2,$D381,$D381-($D381-$I$373)*MIN(G$3-$O$2,$Q$2)/$Q$2))</f>
        <v>1078.48078943789</v>
      </c>
      <c r="H381" s="15" t="n">
        <f aca="false">G381*(1+IF(H$3&lt;=$O$2,$D381,$D381-($D381-$I$373)*MIN(H$3-$O$2,$Q$2)/$Q$2))</f>
        <v>1158.52428552898</v>
      </c>
      <c r="I381" s="15" t="n">
        <f aca="false">H381*(1+IF(I$3&lt;=$O$2,$D381,$D381-($D381-$I$373)*MIN(I$3-$O$2,$Q$2)/$Q$2))</f>
        <v>1244.50850984559</v>
      </c>
      <c r="J381" s="15" t="n">
        <f aca="false">I381*(1+IF(J$3&lt;=$O$2,$D381,$D381-($D381-$I$373)*MIN(J$3-$O$2,$Q$2)/$Q$2))</f>
        <v>1325.4451207834</v>
      </c>
      <c r="K381" s="15" t="n">
        <f aca="false">J381*(1+IF(K$3&lt;=$O$2,$D381,$D381-($D381-$I$373)*MIN(K$3-$O$2,$Q$2)/$Q$2))</f>
        <v>1399.47288758555</v>
      </c>
      <c r="L381" s="15" t="n">
        <f aca="false">K381*(1+IF(L$3&lt;=$O$2,$D381,$D381-($D381-$I$373)*MIN(L$3-$O$2,$Q$2)/$Q$2))</f>
        <v>1464.78278856695</v>
      </c>
      <c r="M381" s="15" t="n">
        <f aca="false">L381*(1+IF(M$3&lt;=$O$2,$D381,$D381-($D381-$I$373)*MIN(M$3-$O$2,$Q$2)/$Q$2))</f>
        <v>1519.68834041789</v>
      </c>
      <c r="N381" s="15" t="n">
        <f aca="false">M381*(1+IF(N$3&lt;=$O$2,$D381,$D381-($D381-$I$373)*MIN(N$3-$O$2,$Q$2)/$Q$2))</f>
        <v>1562.69552045172</v>
      </c>
      <c r="O381" s="15" t="n">
        <f aca="false">SUMPRODUCT(E381:N381,1/(1+$F$373)^$E$3:$N$3)*$E$2</f>
        <v>1855.91898667169</v>
      </c>
      <c r="P381" s="15" t="n">
        <f aca="false">N381*$E$2*(1+$I$373)/($F$373-$I$373)/(1+$F$373)^$N$3</f>
        <v>3456.98425416029</v>
      </c>
      <c r="Q381" s="15" t="n">
        <f aca="false">O381+P381</f>
        <v>5312.90324083197</v>
      </c>
      <c r="R381" s="15" t="n">
        <f aca="false">Q381-$G$2+$I$2</f>
        <v>5480.30324083198</v>
      </c>
      <c r="S381" s="42" t="n">
        <f aca="false">R381/$K$2</f>
        <v>155.734675783802</v>
      </c>
      <c r="T381" s="43" t="n">
        <f aca="false">S381-$M$2</f>
        <v>-8.80070358533749</v>
      </c>
    </row>
    <row r="382" customFormat="false" ht="15" hidden="false" customHeight="false" outlineLevel="0" collapsed="false">
      <c r="A382" s="5" t="n">
        <v>8</v>
      </c>
      <c r="B382" s="25" t="n">
        <f aca="false">IF(T381&gt;0,B381,D381)</f>
        <v>0.07421875</v>
      </c>
      <c r="C382" s="25" t="n">
        <f aca="false">IF(T381&gt;0,D381,C381)</f>
        <v>0.0859375</v>
      </c>
      <c r="D382" s="41" t="n">
        <f aca="false">(B382+C382)/2</f>
        <v>0.080078125</v>
      </c>
      <c r="E382" s="15" t="n">
        <f aca="false">$C$2*(1+IF(E$3&lt;=$O$2,$D382,$D382-($D382-$I$373)*MIN(E$3-$O$2,$Q$2)/$Q$2))</f>
        <v>939.70037109375</v>
      </c>
      <c r="F382" s="15" t="n">
        <f aca="false">E382*(1+IF(F$3&lt;=$O$2,$D382,$D382-($D382-$I$373)*MIN(F$3-$O$2,$Q$2)/$Q$2))</f>
        <v>1014.94981487274</v>
      </c>
      <c r="G382" s="15" t="n">
        <f aca="false">F382*(1+IF(G$3&lt;=$O$2,$D382,$D382-($D382-$I$373)*MIN(G$3-$O$2,$Q$2)/$Q$2))</f>
        <v>1096.22509301685</v>
      </c>
      <c r="H382" s="15" t="n">
        <f aca="false">G382*(1+IF(H$3&lt;=$O$2,$D382,$D382-($D382-$I$373)*MIN(H$3-$O$2,$Q$2)/$Q$2))</f>
        <v>1184.00874304359</v>
      </c>
      <c r="I382" s="15" t="n">
        <f aca="false">H382*(1+IF(I$3&lt;=$O$2,$D382,$D382-($D382-$I$373)*MIN(I$3-$O$2,$Q$2)/$Q$2))</f>
        <v>1278.82194317013</v>
      </c>
      <c r="J382" s="15" t="n">
        <f aca="false">I382*(1+IF(J$3&lt;=$O$2,$D382,$D382-($D382-$I$373)*MIN(J$3-$O$2,$Q$2)/$Q$2))</f>
        <v>1367.9846061028</v>
      </c>
      <c r="K382" s="15" t="n">
        <f aca="false">J382*(1+IF(K$3&lt;=$O$2,$D382,$D382-($D382-$I$373)*MIN(K$3-$O$2,$Q$2)/$Q$2))</f>
        <v>1449.19757721523</v>
      </c>
      <c r="L382" s="15" t="n">
        <f aca="false">K382*(1+IF(L$3&lt;=$O$2,$D382,$D382-($D382-$I$373)*MIN(L$3-$O$2,$Q$2)/$Q$2))</f>
        <v>1520.22456197152</v>
      </c>
      <c r="M382" s="15" t="n">
        <f aca="false">L382*(1+IF(M$3&lt;=$O$2,$D382,$D382-($D382-$I$373)*MIN(M$3-$O$2,$Q$2)/$Q$2))</f>
        <v>1578.98979255488</v>
      </c>
      <c r="N382" s="15" t="n">
        <f aca="false">M382*(1+IF(N$3&lt;=$O$2,$D382,$D382-($D382-$I$373)*MIN(N$3-$O$2,$Q$2)/$Q$2))</f>
        <v>1623.67520368419</v>
      </c>
      <c r="O382" s="15" t="n">
        <f aca="false">SUMPRODUCT(E382:N382,1/(1+$F$373)^$E$3:$N$3)*$E$2</f>
        <v>1904.4430421328</v>
      </c>
      <c r="P382" s="15" t="n">
        <f aca="false">N382*$E$2*(1+$I$373)/($F$373-$I$373)/(1+$F$373)^$N$3</f>
        <v>3591.8830888977</v>
      </c>
      <c r="Q382" s="15" t="n">
        <f aca="false">O382+P382</f>
        <v>5496.3261310305</v>
      </c>
      <c r="R382" s="15" t="n">
        <f aca="false">Q382-$G$2+$I$2</f>
        <v>5663.7261310305</v>
      </c>
      <c r="S382" s="42" t="n">
        <f aca="false">R382/$K$2</f>
        <v>160.947034129881</v>
      </c>
      <c r="T382" s="43" t="n">
        <f aca="false">S382-$M$2</f>
        <v>-3.58834523925833</v>
      </c>
    </row>
    <row r="383" customFormat="false" ht="15" hidden="false" customHeight="false" outlineLevel="0" collapsed="false">
      <c r="A383" s="5" t="n">
        <v>9</v>
      </c>
      <c r="B383" s="25" t="n">
        <f aca="false">IF(T382&gt;0,B382,D382)</f>
        <v>0.080078125</v>
      </c>
      <c r="C383" s="25" t="n">
        <f aca="false">IF(T382&gt;0,D382,C382)</f>
        <v>0.0859375</v>
      </c>
      <c r="D383" s="41" t="n">
        <f aca="false">(B383+C383)/2</f>
        <v>0.0830078125</v>
      </c>
      <c r="E383" s="15" t="n">
        <f aca="false">$C$2*(1+IF(E$3&lt;=$O$2,$D383,$D383-($D383-$I$373)*MIN(E$3-$O$2,$Q$2)/$Q$2))</f>
        <v>942.249287109375</v>
      </c>
      <c r="F383" s="15" t="n">
        <f aca="false">E383*(1+IF(F$3&lt;=$O$2,$D383,$D383-($D383-$I$373)*MIN(F$3-$O$2,$Q$2)/$Q$2))</f>
        <v>1020.46333926201</v>
      </c>
      <c r="G383" s="15" t="n">
        <f aca="false">F383*(1+IF(G$3&lt;=$O$2,$D383,$D383-($D383-$I$373)*MIN(G$3-$O$2,$Q$2)/$Q$2))</f>
        <v>1105.16976879059</v>
      </c>
      <c r="H383" s="15" t="n">
        <f aca="false">G383*(1+IF(H$3&lt;=$O$2,$D383,$D383-($D383-$I$373)*MIN(H$3-$O$2,$Q$2)/$Q$2))</f>
        <v>1196.90749373903</v>
      </c>
      <c r="I383" s="15" t="n">
        <f aca="false">H383*(1+IF(I$3&lt;=$O$2,$D383,$D383-($D383-$I$373)*MIN(I$3-$O$2,$Q$2)/$Q$2))</f>
        <v>1296.26016655917</v>
      </c>
      <c r="J383" s="15" t="n">
        <f aca="false">I383*(1+IF(J$3&lt;=$O$2,$D383,$D383-($D383-$I$373)*MIN(J$3-$O$2,$Q$2)/$Q$2))</f>
        <v>1389.67677578746</v>
      </c>
      <c r="K383" s="15" t="n">
        <f aca="false">J383*(1+IF(K$3&lt;=$O$2,$D383,$D383-($D383-$I$373)*MIN(K$3-$O$2,$Q$2)/$Q$2))</f>
        <v>1474.62033443348</v>
      </c>
      <c r="L383" s="15" t="n">
        <f aca="false">K383*(1+IF(L$3&lt;=$O$2,$D383,$D383-($D383-$I$373)*MIN(L$3-$O$2,$Q$2)/$Q$2))</f>
        <v>1548.62139100389</v>
      </c>
      <c r="M383" s="15" t="n">
        <f aca="false">L383*(1+IF(M$3&lt;=$O$2,$D383,$D383-($D383-$I$373)*MIN(M$3-$O$2,$Q$2)/$Q$2))</f>
        <v>1609.39171410781</v>
      </c>
      <c r="N383" s="15" t="n">
        <f aca="false">M383*(1+IF(N$3&lt;=$O$2,$D383,$D383-($D383-$I$373)*MIN(N$3-$O$2,$Q$2)/$Q$2))</f>
        <v>1654.93749961706</v>
      </c>
      <c r="O383" s="15" t="n">
        <f aca="false">SUMPRODUCT(E383:N383,1/(1+$F$373)^$E$3:$N$3)*$E$2</f>
        <v>1929.17657406558</v>
      </c>
      <c r="P383" s="15" t="n">
        <f aca="false">N383*$E$2*(1+$I$373)/($F$373-$I$373)/(1+$F$373)^$N$3</f>
        <v>3661.04132437892</v>
      </c>
      <c r="Q383" s="15" t="n">
        <f aca="false">O383+P383</f>
        <v>5590.21789844451</v>
      </c>
      <c r="R383" s="15" t="n">
        <f aca="false">Q383-$G$2+$I$2</f>
        <v>5757.61789844451</v>
      </c>
      <c r="S383" s="42" t="n">
        <f aca="false">R383/$K$2</f>
        <v>163.615171879639</v>
      </c>
      <c r="T383" s="43" t="n">
        <f aca="false">S383-$M$2</f>
        <v>-0.920207489499717</v>
      </c>
    </row>
    <row r="384" customFormat="false" ht="15" hidden="false" customHeight="false" outlineLevel="0" collapsed="false">
      <c r="A384" s="5" t="n">
        <v>10</v>
      </c>
      <c r="B384" s="25" t="n">
        <f aca="false">IF(T383&gt;0,B383,D383)</f>
        <v>0.0830078125</v>
      </c>
      <c r="C384" s="25" t="n">
        <f aca="false">IF(T383&gt;0,D383,C383)</f>
        <v>0.0859375</v>
      </c>
      <c r="D384" s="41" t="n">
        <f aca="false">(B384+C384)/2</f>
        <v>0.08447265625</v>
      </c>
      <c r="E384" s="15" t="n">
        <f aca="false">$C$2*(1+IF(E$3&lt;=$O$2,$D384,$D384-($D384-$I$373)*MIN(E$3-$O$2,$Q$2)/$Q$2))</f>
        <v>943.523745117187</v>
      </c>
      <c r="F384" s="15" t="n">
        <f aca="false">E384*(1+IF(F$3&lt;=$O$2,$D384,$D384-($D384-$I$373)*MIN(F$3-$O$2,$Q$2)/$Q$2))</f>
        <v>1023.22570210218</v>
      </c>
      <c r="G384" s="15" t="n">
        <f aca="false">F384*(1+IF(G$3&lt;=$O$2,$D384,$D384-($D384-$I$373)*MIN(G$3-$O$2,$Q$2)/$Q$2))</f>
        <v>1109.66029510203</v>
      </c>
      <c r="H384" s="15" t="n">
        <f aca="false">G384*(1+IF(H$3&lt;=$O$2,$D384,$D384-($D384-$I$373)*MIN(H$3-$O$2,$Q$2)/$Q$2))</f>
        <v>1203.39624776445</v>
      </c>
      <c r="I384" s="15" t="n">
        <f aca="false">H384*(1+IF(I$3&lt;=$O$2,$D384,$D384-($D384-$I$373)*MIN(I$3-$O$2,$Q$2)/$Q$2))</f>
        <v>1305.0503253344</v>
      </c>
      <c r="J384" s="15" t="n">
        <f aca="false">I384*(1+IF(J$3&lt;=$O$2,$D384,$D384-($D384-$I$373)*MIN(J$3-$O$2,$Q$2)/$Q$2))</f>
        <v>1400.62976419253</v>
      </c>
      <c r="K384" s="15" t="n">
        <f aca="false">J384*(1+IF(K$3&lt;=$O$2,$D384,$D384-($D384-$I$373)*MIN(K$3-$O$2,$Q$2)/$Q$2))</f>
        <v>1487.47384308568</v>
      </c>
      <c r="L384" s="15" t="n">
        <f aca="false">K384*(1+IF(L$3&lt;=$O$2,$D384,$D384-($D384-$I$373)*MIN(L$3-$O$2,$Q$2)/$Q$2))</f>
        <v>1562.99149559242</v>
      </c>
      <c r="M384" s="15" t="n">
        <f aca="false">L384*(1+IF(M$3&lt;=$O$2,$D384,$D384-($D384-$I$373)*MIN(M$3-$O$2,$Q$2)/$Q$2))</f>
        <v>1624.7836317184</v>
      </c>
      <c r="N384" s="15" t="n">
        <f aca="false">M384*(1+IF(N$3&lt;=$O$2,$D384,$D384-($D384-$I$373)*MIN(N$3-$O$2,$Q$2)/$Q$2))</f>
        <v>1670.76500849603</v>
      </c>
      <c r="O384" s="15" t="n">
        <f aca="false">SUMPRODUCT(E384:N384,1/(1+$F$373)^$E$3:$N$3)*$E$2</f>
        <v>1941.66286039927</v>
      </c>
      <c r="P384" s="15" t="n">
        <f aca="false">N384*$E$2*(1+$I$373)/($F$373-$I$373)/(1+$F$373)^$N$3</f>
        <v>3696.05483037615</v>
      </c>
      <c r="Q384" s="15" t="n">
        <f aca="false">O384+P384</f>
        <v>5637.71769077542</v>
      </c>
      <c r="R384" s="15" t="n">
        <f aca="false">Q384-$G$2+$I$2</f>
        <v>5805.11769077542</v>
      </c>
      <c r="S384" s="42" t="n">
        <f aca="false">R384/$K$2</f>
        <v>164.964981266707</v>
      </c>
      <c r="T384" s="43" t="n">
        <f aca="false">S384-$M$2</f>
        <v>0.429601897567977</v>
      </c>
    </row>
    <row r="385" customFormat="false" ht="15" hidden="false" customHeight="false" outlineLevel="0" collapsed="false">
      <c r="A385" s="5" t="n">
        <v>11</v>
      </c>
      <c r="B385" s="25" t="n">
        <f aca="false">IF(T384&gt;0,B384,D384)</f>
        <v>0.0830078125</v>
      </c>
      <c r="C385" s="25" t="n">
        <f aca="false">IF(T384&gt;0,D384,C384)</f>
        <v>0.08447265625</v>
      </c>
      <c r="D385" s="41" t="n">
        <f aca="false">(B385+C385)/2</f>
        <v>0.083740234375</v>
      </c>
      <c r="E385" s="15" t="n">
        <f aca="false">$C$2*(1+IF(E$3&lt;=$O$2,$D385,$D385-($D385-$I$373)*MIN(E$3-$O$2,$Q$2)/$Q$2))</f>
        <v>942.886516113281</v>
      </c>
      <c r="F385" s="15" t="n">
        <f aca="false">E385*(1+IF(F$3&lt;=$O$2,$D385,$D385-($D385-$I$373)*MIN(F$3-$O$2,$Q$2)/$Q$2))</f>
        <v>1021.84405396163</v>
      </c>
      <c r="G385" s="15" t="n">
        <f aca="false">F385*(1+IF(G$3&lt;=$O$2,$D385,$D385-($D385-$I$373)*MIN(G$3-$O$2,$Q$2)/$Q$2))</f>
        <v>1107.41351453508</v>
      </c>
      <c r="H385" s="15" t="n">
        <f aca="false">G385*(1+IF(H$3&lt;=$O$2,$D385,$D385-($D385-$I$373)*MIN(H$3-$O$2,$Q$2)/$Q$2))</f>
        <v>1200.14858179229</v>
      </c>
      <c r="I385" s="15" t="n">
        <f aca="false">H385*(1+IF(I$3&lt;=$O$2,$D385,$D385-($D385-$I$373)*MIN(I$3-$O$2,$Q$2)/$Q$2))</f>
        <v>1300.6493053164</v>
      </c>
      <c r="J385" s="15" t="n">
        <f aca="false">I385*(1+IF(J$3&lt;=$O$2,$D385,$D385-($D385-$I$373)*MIN(J$3-$O$2,$Q$2)/$Q$2))</f>
        <v>1395.14432251799</v>
      </c>
      <c r="K385" s="15" t="n">
        <f aca="false">J385*(1+IF(K$3&lt;=$O$2,$D385,$D385-($D385-$I$373)*MIN(K$3-$O$2,$Q$2)/$Q$2))</f>
        <v>1481.03518378166</v>
      </c>
      <c r="L385" s="15" t="n">
        <f aca="false">K385*(1+IF(L$3&lt;=$O$2,$D385,$D385-($D385-$I$373)*MIN(L$3-$O$2,$Q$2)/$Q$2))</f>
        <v>1555.79205456527</v>
      </c>
      <c r="M385" s="15" t="n">
        <f aca="false">L385*(1+IF(M$3&lt;=$O$2,$D385,$D385-($D385-$I$373)*MIN(M$3-$O$2,$Q$2)/$Q$2))</f>
        <v>1617.07166493824</v>
      </c>
      <c r="N385" s="15" t="n">
        <f aca="false">M385*(1+IF(N$3&lt;=$O$2,$D385,$D385-($D385-$I$373)*MIN(N$3-$O$2,$Q$2)/$Q$2))</f>
        <v>1662.834793056</v>
      </c>
      <c r="O385" s="15" t="n">
        <f aca="false">SUMPRODUCT(E385:N385,1/(1+$F$373)^$E$3:$N$3)*$E$2</f>
        <v>1935.40970785342</v>
      </c>
      <c r="P385" s="15" t="n">
        <f aca="false">N385*$E$2*(1+$I$373)/($F$373-$I$373)/(1+$F$373)^$N$3</f>
        <v>3678.51166246564</v>
      </c>
      <c r="Q385" s="15" t="n">
        <f aca="false">O385+P385</f>
        <v>5613.92137031906</v>
      </c>
      <c r="R385" s="15" t="n">
        <f aca="false">Q385-$G$2+$I$2</f>
        <v>5781.32137031906</v>
      </c>
      <c r="S385" s="42" t="n">
        <f aca="false">R385/$K$2</f>
        <v>164.288757326486</v>
      </c>
      <c r="T385" s="43" t="n">
        <f aca="false">S385-$M$2</f>
        <v>-0.246622042652547</v>
      </c>
    </row>
    <row r="386" customFormat="false" ht="15" hidden="false" customHeight="false" outlineLevel="0" collapsed="false">
      <c r="A386" s="5" t="n">
        <v>12</v>
      </c>
      <c r="B386" s="25" t="n">
        <f aca="false">IF(T385&gt;0,B385,D385)</f>
        <v>0.083740234375</v>
      </c>
      <c r="C386" s="25" t="n">
        <f aca="false">IF(T385&gt;0,D385,C385)</f>
        <v>0.08447265625</v>
      </c>
      <c r="D386" s="41" t="n">
        <f aca="false">(B386+C386)/2</f>
        <v>0.0841064453125</v>
      </c>
      <c r="E386" s="15" t="n">
        <f aca="false">$C$2*(1+IF(E$3&lt;=$O$2,$D386,$D386-($D386-$I$373)*MIN(E$3-$O$2,$Q$2)/$Q$2))</f>
        <v>943.205130615234</v>
      </c>
      <c r="F386" s="15" t="n">
        <f aca="false">E386*(1+IF(F$3&lt;=$O$2,$D386,$D386-($D386-$I$373)*MIN(F$3-$O$2,$Q$2)/$Q$2))</f>
        <v>1022.53476135179</v>
      </c>
      <c r="G386" s="15" t="n">
        <f aca="false">F386*(1+IF(G$3&lt;=$O$2,$D386,$D386-($D386-$I$373)*MIN(G$3-$O$2,$Q$2)/$Q$2))</f>
        <v>1108.53652533756</v>
      </c>
      <c r="H386" s="15" t="n">
        <f aca="false">G386*(1+IF(H$3&lt;=$O$2,$D386,$D386-($D386-$I$373)*MIN(H$3-$O$2,$Q$2)/$Q$2))</f>
        <v>1201.77159198277</v>
      </c>
      <c r="I386" s="15" t="n">
        <f aca="false">H386*(1+IF(I$3&lt;=$O$2,$D386,$D386-($D386-$I$373)*MIN(I$3-$O$2,$Q$2)/$Q$2))</f>
        <v>1302.84832866199</v>
      </c>
      <c r="J386" s="15" t="n">
        <f aca="false">I386*(1+IF(J$3&lt;=$O$2,$D386,$D386-($D386-$I$373)*MIN(J$3-$O$2,$Q$2)/$Q$2))</f>
        <v>1397.88480356629</v>
      </c>
      <c r="K386" s="15" t="n">
        <f aca="false">J386*(1+IF(K$3&lt;=$O$2,$D386,$D386-($D386-$I$373)*MIN(K$3-$O$2,$Q$2)/$Q$2))</f>
        <v>1484.25153261325</v>
      </c>
      <c r="L386" s="15" t="n">
        <f aca="false">K386*(1+IF(L$3&lt;=$O$2,$D386,$D386-($D386-$I$373)*MIN(L$3-$O$2,$Q$2)/$Q$2))</f>
        <v>1559.38817178012</v>
      </c>
      <c r="M386" s="15" t="n">
        <f aca="false">L386*(1+IF(M$3&lt;=$O$2,$D386,$D386-($D386-$I$373)*MIN(M$3-$O$2,$Q$2)/$Q$2))</f>
        <v>1620.92363918737</v>
      </c>
      <c r="N386" s="15" t="n">
        <f aca="false">M386*(1+IF(N$3&lt;=$O$2,$D386,$D386-($D386-$I$373)*MIN(N$3-$O$2,$Q$2)/$Q$2))</f>
        <v>1666.79577817638</v>
      </c>
      <c r="O386" s="15" t="n">
        <f aca="false">SUMPRODUCT(E386:N386,1/(1+$F$373)^$E$3:$N$3)*$E$2</f>
        <v>1938.53377806737</v>
      </c>
      <c r="P386" s="15" t="n">
        <f aca="false">N386*$E$2*(1+$I$373)/($F$373-$I$373)/(1+$F$373)^$N$3</f>
        <v>3687.2741264344</v>
      </c>
      <c r="Q386" s="15" t="n">
        <f aca="false">O386+P386</f>
        <v>5625.80790450177</v>
      </c>
      <c r="R386" s="15" t="n">
        <f aca="false">Q386-$G$2+$I$2</f>
        <v>5793.20790450177</v>
      </c>
      <c r="S386" s="42" t="n">
        <f aca="false">R386/$K$2</f>
        <v>164.626538917356</v>
      </c>
      <c r="T386" s="43" t="n">
        <f aca="false">S386-$M$2</f>
        <v>0.0911595482174619</v>
      </c>
    </row>
    <row r="387" customFormat="false" ht="15" hidden="false" customHeight="false" outlineLevel="0" collapsed="false">
      <c r="A387" s="5" t="n">
        <v>13</v>
      </c>
      <c r="B387" s="25" t="n">
        <f aca="false">IF(T386&gt;0,B386,D386)</f>
        <v>0.083740234375</v>
      </c>
      <c r="C387" s="25" t="n">
        <f aca="false">IF(T386&gt;0,D386,C386)</f>
        <v>0.0841064453125</v>
      </c>
      <c r="D387" s="41" t="n">
        <f aca="false">(B387+C387)/2</f>
        <v>0.08392333984375</v>
      </c>
      <c r="E387" s="15" t="n">
        <f aca="false">$C$2*(1+IF(E$3&lt;=$O$2,$D387,$D387-($D387-$I$373)*MIN(E$3-$O$2,$Q$2)/$Q$2))</f>
        <v>943.045823364258</v>
      </c>
      <c r="F387" s="15" t="n">
        <f aca="false">E387*(1+IF(F$3&lt;=$O$2,$D387,$D387-($D387-$I$373)*MIN(F$3-$O$2,$Q$2)/$Q$2))</f>
        <v>1022.18937848669</v>
      </c>
      <c r="G387" s="15" t="n">
        <f aca="false">F387*(1+IF(G$3&lt;=$O$2,$D387,$D387-($D387-$I$373)*MIN(G$3-$O$2,$Q$2)/$Q$2))</f>
        <v>1107.9749250821</v>
      </c>
      <c r="H387" s="15" t="n">
        <f aca="false">G387*(1+IF(H$3&lt;=$O$2,$D387,$D387-($D387-$I$373)*MIN(H$3-$O$2,$Q$2)/$Q$2))</f>
        <v>1200.95988125811</v>
      </c>
      <c r="I387" s="15" t="n">
        <f aca="false">H387*(1+IF(I$3&lt;=$O$2,$D387,$D387-($D387-$I$373)*MIN(I$3-$O$2,$Q$2)/$Q$2))</f>
        <v>1301.74844551165</v>
      </c>
      <c r="J387" s="15" t="n">
        <f aca="false">I387*(1+IF(J$3&lt;=$O$2,$D387,$D387-($D387-$I$373)*MIN(J$3-$O$2,$Q$2)/$Q$2))</f>
        <v>1396.51400346024</v>
      </c>
      <c r="K387" s="15" t="n">
        <f aca="false">J387*(1+IF(K$3&lt;=$O$2,$D387,$D387-($D387-$I$373)*MIN(K$3-$O$2,$Q$2)/$Q$2))</f>
        <v>1482.64261356478</v>
      </c>
      <c r="L387" s="15" t="n">
        <f aca="false">K387*(1+IF(L$3&lt;=$O$2,$D387,$D387-($D387-$I$373)*MIN(L$3-$O$2,$Q$2)/$Q$2))</f>
        <v>1557.58921311312</v>
      </c>
      <c r="M387" s="15" t="n">
        <f aca="false">L387*(1+IF(M$3&lt;=$O$2,$D387,$D387-($D387-$I$373)*MIN(M$3-$O$2,$Q$2)/$Q$2))</f>
        <v>1618.99665067181</v>
      </c>
      <c r="N387" s="15" t="n">
        <f aca="false">M387*(1+IF(N$3&lt;=$O$2,$D387,$D387-($D387-$I$373)*MIN(N$3-$O$2,$Q$2)/$Q$2))</f>
        <v>1664.81425588582</v>
      </c>
      <c r="O387" s="15" t="n">
        <f aca="false">SUMPRODUCT(E387:N387,1/(1+$F$373)^$E$3:$N$3)*$E$2</f>
        <v>1936.9711169103</v>
      </c>
      <c r="P387" s="15" t="n">
        <f aca="false">N387*$E$2*(1+$I$373)/($F$373-$I$373)/(1+$F$373)^$N$3</f>
        <v>3682.89061648761</v>
      </c>
      <c r="Q387" s="15" t="n">
        <f aca="false">O387+P387</f>
        <v>5619.86173339792</v>
      </c>
      <c r="R387" s="15" t="n">
        <f aca="false">Q387-$G$2+$I$2</f>
        <v>5787.26173339792</v>
      </c>
      <c r="S387" s="42" t="n">
        <f aca="false">R387/$K$2</f>
        <v>164.457565598122</v>
      </c>
      <c r="T387" s="43" t="n">
        <f aca="false">S387-$M$2</f>
        <v>-0.0778137710169347</v>
      </c>
    </row>
    <row r="388" customFormat="false" ht="15" hidden="false" customHeight="false" outlineLevel="0" collapsed="false">
      <c r="A388" s="5" t="n">
        <v>14</v>
      </c>
      <c r="B388" s="25" t="n">
        <f aca="false">IF(T387&gt;0,B387,D387)</f>
        <v>0.08392333984375</v>
      </c>
      <c r="C388" s="25" t="n">
        <f aca="false">IF(T387&gt;0,D387,C387)</f>
        <v>0.0841064453125</v>
      </c>
      <c r="D388" s="41" t="n">
        <f aca="false">(B388+C388)/2</f>
        <v>0.084014892578125</v>
      </c>
      <c r="E388" s="15" t="n">
        <f aca="false">$C$2*(1+IF(E$3&lt;=$O$2,$D388,$D388-($D388-$I$373)*MIN(E$3-$O$2,$Q$2)/$Q$2))</f>
        <v>943.125476989746</v>
      </c>
      <c r="F388" s="15" t="n">
        <f aca="false">E388*(1+IF(F$3&lt;=$O$2,$D388,$D388-($D388-$I$373)*MIN(F$3-$O$2,$Q$2)/$Q$2))</f>
        <v>1022.36206262673</v>
      </c>
      <c r="G388" s="15" t="n">
        <f aca="false">F388*(1+IF(G$3&lt;=$O$2,$D388,$D388-($D388-$I$373)*MIN(G$3-$O$2,$Q$2)/$Q$2))</f>
        <v>1108.25570149427</v>
      </c>
      <c r="H388" s="15" t="n">
        <f aca="false">G388*(1+IF(H$3&lt;=$O$2,$D388,$D388-($D388-$I$373)*MIN(H$3-$O$2,$Q$2)/$Q$2))</f>
        <v>1201.3656852044</v>
      </c>
      <c r="I388" s="15" t="n">
        <f aca="false">H388*(1+IF(I$3&lt;=$O$2,$D388,$D388-($D388-$I$373)*MIN(I$3-$O$2,$Q$2)/$Q$2))</f>
        <v>1302.2982941939</v>
      </c>
      <c r="J388" s="15" t="n">
        <f aca="false">I388*(1+IF(J$3&lt;=$O$2,$D388,$D388-($D388-$I$373)*MIN(J$3-$O$2,$Q$2)/$Q$2))</f>
        <v>1397.19926357213</v>
      </c>
      <c r="K388" s="15" t="n">
        <f aca="false">J388*(1+IF(K$3&lt;=$O$2,$D388,$D388-($D388-$I$373)*MIN(K$3-$O$2,$Q$2)/$Q$2))</f>
        <v>1483.44688685932</v>
      </c>
      <c r="L388" s="15" t="n">
        <f aca="false">K388*(1+IF(L$3&lt;=$O$2,$D388,$D388-($D388-$I$373)*MIN(L$3-$O$2,$Q$2)/$Q$2))</f>
        <v>1558.48846733613</v>
      </c>
      <c r="M388" s="15" t="n">
        <f aca="false">L388*(1+IF(M$3&lt;=$O$2,$D388,$D388-($D388-$I$373)*MIN(M$3-$O$2,$Q$2)/$Q$2))</f>
        <v>1619.95989447012</v>
      </c>
      <c r="N388" s="15" t="n">
        <f aca="false">M388*(1+IF(N$3&lt;=$O$2,$D388,$D388-($D388-$I$373)*MIN(N$3-$O$2,$Q$2)/$Q$2))</f>
        <v>1665.80475948362</v>
      </c>
      <c r="O388" s="15" t="n">
        <f aca="false">SUMPRODUCT(E388:N388,1/(1+$F$373)^$E$3:$N$3)*$E$2</f>
        <v>1937.75229091825</v>
      </c>
      <c r="P388" s="15" t="n">
        <f aca="false">N388*$E$2*(1+$I$373)/($F$373-$I$373)/(1+$F$373)^$N$3</f>
        <v>3685.08180171625</v>
      </c>
      <c r="Q388" s="15" t="n">
        <f aca="false">O388+P388</f>
        <v>5622.8340926345</v>
      </c>
      <c r="R388" s="15" t="n">
        <f aca="false">Q388-$G$2+$I$2</f>
        <v>5790.2340926345</v>
      </c>
      <c r="S388" s="42" t="n">
        <f aca="false">R388/$K$2</f>
        <v>164.542031617917</v>
      </c>
      <c r="T388" s="43" t="n">
        <f aca="false">S388-$M$2</f>
        <v>0.0066522487781242</v>
      </c>
    </row>
    <row r="389" customFormat="false" ht="15" hidden="false" customHeight="false" outlineLevel="0" collapsed="false">
      <c r="A389" s="5" t="n">
        <v>15</v>
      </c>
      <c r="B389" s="25" t="n">
        <f aca="false">IF(T388&gt;0,B388,D388)</f>
        <v>0.08392333984375</v>
      </c>
      <c r="C389" s="25" t="n">
        <f aca="false">IF(T388&gt;0,D388,C388)</f>
        <v>0.084014892578125</v>
      </c>
      <c r="D389" s="41" t="n">
        <f aca="false">(B389+C389)/2</f>
        <v>0.0839691162109375</v>
      </c>
      <c r="E389" s="15" t="n">
        <f aca="false">$C$2*(1+IF(E$3&lt;=$O$2,$D389,$D389-($D389-$I$373)*MIN(E$3-$O$2,$Q$2)/$Q$2))</f>
        <v>943.085650177002</v>
      </c>
      <c r="F389" s="15" t="n">
        <f aca="false">E389*(1+IF(F$3&lt;=$O$2,$D389,$D389-($D389-$I$373)*MIN(F$3-$O$2,$Q$2)/$Q$2))</f>
        <v>1022.27571873358</v>
      </c>
      <c r="G389" s="15" t="n">
        <f aca="false">F389*(1+IF(G$3&lt;=$O$2,$D389,$D389-($D389-$I$373)*MIN(G$3-$O$2,$Q$2)/$Q$2))</f>
        <v>1108.11530735954</v>
      </c>
      <c r="H389" s="15" t="n">
        <f aca="false">G389*(1+IF(H$3&lt;=$O$2,$D389,$D389-($D389-$I$373)*MIN(H$3-$O$2,$Q$2)/$Q$2))</f>
        <v>1201.16277037833</v>
      </c>
      <c r="I389" s="15" t="n">
        <f aca="false">H389*(1+IF(I$3&lt;=$O$2,$D389,$D389-($D389-$I$373)*MIN(I$3-$O$2,$Q$2)/$Q$2))</f>
        <v>1302.02334663248</v>
      </c>
      <c r="J389" s="15" t="n">
        <f aca="false">I389*(1+IF(J$3&lt;=$O$2,$D389,$D389-($D389-$I$373)*MIN(J$3-$O$2,$Q$2)/$Q$2))</f>
        <v>1396.85659853661</v>
      </c>
      <c r="K389" s="15" t="n">
        <f aca="false">J389*(1+IF(K$3&lt;=$O$2,$D389,$D389-($D389-$I$373)*MIN(K$3-$O$2,$Q$2)/$Q$2))</f>
        <v>1483.04470366357</v>
      </c>
      <c r="L389" s="15" t="n">
        <f aca="false">K389*(1+IF(L$3&lt;=$O$2,$D389,$D389-($D389-$I$373)*MIN(L$3-$O$2,$Q$2)/$Q$2))</f>
        <v>1558.03878395895</v>
      </c>
      <c r="M389" s="15" t="n">
        <f aca="false">L389*(1+IF(M$3&lt;=$O$2,$D389,$D389-($D389-$I$373)*MIN(M$3-$O$2,$Q$2)/$Q$2))</f>
        <v>1619.47820997006</v>
      </c>
      <c r="N389" s="15" t="n">
        <f aca="false">M389*(1+IF(N$3&lt;=$O$2,$D389,$D389-($D389-$I$373)*MIN(N$3-$O$2,$Q$2)/$Q$2))</f>
        <v>1665.30944331222</v>
      </c>
      <c r="O389" s="15" t="n">
        <f aca="false">SUMPRODUCT(E389:N389,1/(1+$F$373)^$E$3:$N$3)*$E$2</f>
        <v>1937.36166477889</v>
      </c>
      <c r="P389" s="15" t="n">
        <f aca="false">N389*$E$2*(1+$I$373)/($F$373-$I$373)/(1+$F$373)^$N$3</f>
        <v>3683.98606669752</v>
      </c>
      <c r="Q389" s="15" t="n">
        <f aca="false">O389+P389</f>
        <v>5621.34773147641</v>
      </c>
      <c r="R389" s="15" t="n">
        <f aca="false">Q389-$G$2+$I$2</f>
        <v>5788.74773147641</v>
      </c>
      <c r="S389" s="42" t="n">
        <f aca="false">R389/$K$2</f>
        <v>164.499793449173</v>
      </c>
      <c r="T389" s="43" t="n">
        <f aca="false">S389-$M$2</f>
        <v>-0.035585919965655</v>
      </c>
    </row>
    <row r="390" customFormat="false" ht="15" hidden="false" customHeight="false" outlineLevel="0" collapsed="false">
      <c r="A390" s="5" t="n">
        <v>16</v>
      </c>
      <c r="B390" s="25" t="n">
        <f aca="false">IF(T389&gt;0,B389,D389)</f>
        <v>0.0839691162109375</v>
      </c>
      <c r="C390" s="25" t="n">
        <f aca="false">IF(T389&gt;0,D389,C389)</f>
        <v>0.084014892578125</v>
      </c>
      <c r="D390" s="41" t="n">
        <f aca="false">(B390+C390)/2</f>
        <v>0.0839920043945313</v>
      </c>
      <c r="E390" s="15" t="n">
        <f aca="false">$C$2*(1+IF(E$3&lt;=$O$2,$D390,$D390-($D390-$I$373)*MIN(E$3-$O$2,$Q$2)/$Q$2))</f>
        <v>943.105563583374</v>
      </c>
      <c r="F390" s="15" t="n">
        <f aca="false">E390*(1+IF(F$3&lt;=$O$2,$D390,$D390-($D390-$I$373)*MIN(F$3-$O$2,$Q$2)/$Q$2))</f>
        <v>1022.31889022438</v>
      </c>
      <c r="G390" s="15" t="n">
        <f aca="false">F390*(1+IF(G$3&lt;=$O$2,$D390,$D390-($D390-$I$373)*MIN(G$3-$O$2,$Q$2)/$Q$2))</f>
        <v>1108.18550294471</v>
      </c>
      <c r="H390" s="15" t="n">
        <f aca="false">G390*(1+IF(H$3&lt;=$O$2,$D390,$D390-($D390-$I$373)*MIN(H$3-$O$2,$Q$2)/$Q$2))</f>
        <v>1201.264224578</v>
      </c>
      <c r="I390" s="15" t="n">
        <f aca="false">H390*(1+IF(I$3&lt;=$O$2,$D390,$D390-($D390-$I$373)*MIN(I$3-$O$2,$Q$2)/$Q$2))</f>
        <v>1302.16081460775</v>
      </c>
      <c r="J390" s="15" t="n">
        <f aca="false">I390*(1+IF(J$3&lt;=$O$2,$D390,$D390-($D390-$I$373)*MIN(J$3-$O$2,$Q$2)/$Q$2))</f>
        <v>1397.02792230877</v>
      </c>
      <c r="K390" s="15" t="n">
        <f aca="false">J390*(1+IF(K$3&lt;=$O$2,$D390,$D390-($D390-$I$373)*MIN(K$3-$O$2,$Q$2)/$Q$2))</f>
        <v>1483.24578362321</v>
      </c>
      <c r="L390" s="15" t="n">
        <f aca="false">K390*(1+IF(L$3&lt;=$O$2,$D390,$D390-($D390-$I$373)*MIN(L$3-$O$2,$Q$2)/$Q$2))</f>
        <v>1558.26361157963</v>
      </c>
      <c r="M390" s="15" t="n">
        <f aca="false">L390*(1+IF(M$3&lt;=$O$2,$D390,$D390-($D390-$I$373)*MIN(M$3-$O$2,$Q$2)/$Q$2))</f>
        <v>1619.71903656812</v>
      </c>
      <c r="N390" s="15" t="n">
        <f aca="false">M390*(1+IF(N$3&lt;=$O$2,$D390,$D390-($D390-$I$373)*MIN(N$3-$O$2,$Q$2)/$Q$2))</f>
        <v>1665.557085303</v>
      </c>
      <c r="O390" s="15" t="n">
        <f aca="false">SUMPRODUCT(E390:N390,1/(1+$F$373)^$E$3:$N$3)*$E$2</f>
        <v>1937.55696806382</v>
      </c>
      <c r="P390" s="15" t="n">
        <f aca="false">N390*$E$2*(1+$I$373)/($F$373-$I$373)/(1+$F$373)^$N$3</f>
        <v>3684.53389860181</v>
      </c>
      <c r="Q390" s="15" t="n">
        <f aca="false">O390+P390</f>
        <v>5622.09086666563</v>
      </c>
      <c r="R390" s="15" t="n">
        <f aca="false">Q390-$G$2+$I$2</f>
        <v>5789.49086666563</v>
      </c>
      <c r="S390" s="42" t="n">
        <f aca="false">R390/$K$2</f>
        <v>164.520911243695</v>
      </c>
      <c r="T390" s="43" t="n">
        <f aca="false">S390-$M$2</f>
        <v>-0.0144681254439547</v>
      </c>
    </row>
    <row r="391" customFormat="false" ht="15" hidden="false" customHeight="false" outlineLevel="0" collapsed="false">
      <c r="A391" s="5" t="n">
        <v>17</v>
      </c>
      <c r="B391" s="25" t="n">
        <f aca="false">IF(T390&gt;0,B390,D390)</f>
        <v>0.0839920043945313</v>
      </c>
      <c r="C391" s="25" t="n">
        <f aca="false">IF(T390&gt;0,D390,C390)</f>
        <v>0.084014892578125</v>
      </c>
      <c r="D391" s="41" t="n">
        <f aca="false">(B391+C391)/2</f>
        <v>0.0840034484863281</v>
      </c>
      <c r="E391" s="15" t="n">
        <f aca="false">$C$2*(1+IF(E$3&lt;=$O$2,$D391,$D391-($D391-$I$373)*MIN(E$3-$O$2,$Q$2)/$Q$2))</f>
        <v>943.11552028656</v>
      </c>
      <c r="F391" s="15" t="n">
        <f aca="false">E391*(1+IF(F$3&lt;=$O$2,$D391,$D391-($D391-$I$373)*MIN(F$3-$O$2,$Q$2)/$Q$2))</f>
        <v>1022.34047631161</v>
      </c>
      <c r="G391" s="15" t="n">
        <f aca="false">F391*(1+IF(G$3&lt;=$O$2,$D391,$D391-($D391-$I$373)*MIN(G$3-$O$2,$Q$2)/$Q$2))</f>
        <v>1108.22060184894</v>
      </c>
      <c r="H391" s="15" t="n">
        <f aca="false">G391*(1+IF(H$3&lt;=$O$2,$D391,$D391-($D391-$I$373)*MIN(H$3-$O$2,$Q$2)/$Q$2))</f>
        <v>1201.31495408784</v>
      </c>
      <c r="I391" s="15" t="n">
        <f aca="false">H391*(1+IF(I$3&lt;=$O$2,$D391,$D391-($D391-$I$373)*MIN(I$3-$O$2,$Q$2)/$Q$2))</f>
        <v>1302.22955294942</v>
      </c>
      <c r="J391" s="15" t="n">
        <f aca="false">I391*(1+IF(J$3&lt;=$O$2,$D391,$D391-($D391-$I$373)*MIN(J$3-$O$2,$Q$2)/$Q$2))</f>
        <v>1397.11359075396</v>
      </c>
      <c r="K391" s="15" t="n">
        <f aca="false">J391*(1+IF(K$3&lt;=$O$2,$D391,$D391-($D391-$I$373)*MIN(K$3-$O$2,$Q$2)/$Q$2))</f>
        <v>1483.34633233156</v>
      </c>
      <c r="L391" s="15" t="n">
        <f aca="false">K391*(1+IF(L$3&lt;=$O$2,$D391,$D391-($D391-$I$373)*MIN(L$3-$O$2,$Q$2)/$Q$2))</f>
        <v>1558.37603594071</v>
      </c>
      <c r="M391" s="15" t="n">
        <f aca="false">L391*(1+IF(M$3&lt;=$O$2,$D391,$D391-($D391-$I$373)*MIN(M$3-$O$2,$Q$2)/$Q$2))</f>
        <v>1619.83946160591</v>
      </c>
      <c r="N391" s="15" t="n">
        <f aca="false">M391*(1+IF(N$3&lt;=$O$2,$D391,$D391-($D391-$I$373)*MIN(N$3-$O$2,$Q$2)/$Q$2))</f>
        <v>1665.68091836935</v>
      </c>
      <c r="O391" s="15" t="n">
        <f aca="false">SUMPRODUCT(E391:N391,1/(1+$F$373)^$E$3:$N$3)*$E$2</f>
        <v>1937.65462704473</v>
      </c>
      <c r="P391" s="15" t="n">
        <f aca="false">N391*$E$2*(1+$I$373)/($F$373-$I$373)/(1+$F$373)^$N$3</f>
        <v>3684.80784125726</v>
      </c>
      <c r="Q391" s="15" t="n">
        <f aca="false">O391+P391</f>
        <v>5622.462468302</v>
      </c>
      <c r="R391" s="15" t="n">
        <f aca="false">Q391-$G$2+$I$2</f>
        <v>5789.862468302</v>
      </c>
      <c r="S391" s="42" t="n">
        <f aca="false">R391/$K$2</f>
        <v>164.531471108326</v>
      </c>
      <c r="T391" s="43" t="n">
        <f aca="false">S391-$M$2</f>
        <v>-0.00390826081283535</v>
      </c>
    </row>
    <row r="392" customFormat="false" ht="15" hidden="false" customHeight="false" outlineLevel="0" collapsed="false">
      <c r="A392" s="5" t="n">
        <v>18</v>
      </c>
      <c r="B392" s="25" t="n">
        <f aca="false">IF(T391&gt;0,B391,D391)</f>
        <v>0.0840034484863281</v>
      </c>
      <c r="C392" s="25" t="n">
        <f aca="false">IF(T391&gt;0,D391,C391)</f>
        <v>0.084014892578125</v>
      </c>
      <c r="D392" s="41" t="n">
        <f aca="false">(B392+C392)/2</f>
        <v>0.0840091705322266</v>
      </c>
      <c r="E392" s="15" t="n">
        <f aca="false">$C$2*(1+IF(E$3&lt;=$O$2,$D392,$D392-($D392-$I$373)*MIN(E$3-$O$2,$Q$2)/$Q$2))</f>
        <v>943.120498638153</v>
      </c>
      <c r="F392" s="15" t="n">
        <f aca="false">E392*(1+IF(F$3&lt;=$O$2,$D392,$D392-($D392-$I$373)*MIN(F$3-$O$2,$Q$2)/$Q$2))</f>
        <v>1022.35126944068</v>
      </c>
      <c r="G392" s="15" t="n">
        <f aca="false">F392*(1+IF(G$3&lt;=$O$2,$D392,$D392-($D392-$I$373)*MIN(G$3-$O$2,$Q$2)/$Q$2))</f>
        <v>1108.23815157897</v>
      </c>
      <c r="H392" s="15" t="n">
        <f aca="false">G392*(1+IF(H$3&lt;=$O$2,$D392,$D392-($D392-$I$373)*MIN(H$3-$O$2,$Q$2)/$Q$2))</f>
        <v>1201.34031944528</v>
      </c>
      <c r="I392" s="15" t="n">
        <f aca="false">H392*(1+IF(I$3&lt;=$O$2,$D392,$D392-($D392-$I$373)*MIN(I$3-$O$2,$Q$2)/$Q$2))</f>
        <v>1302.2639232088</v>
      </c>
      <c r="J392" s="15" t="n">
        <f aca="false">I392*(1+IF(J$3&lt;=$O$2,$D392,$D392-($D392-$I$373)*MIN(J$3-$O$2,$Q$2)/$Q$2))</f>
        <v>1397.15642661641</v>
      </c>
      <c r="K392" s="15" t="n">
        <f aca="false">J392*(1+IF(K$3&lt;=$O$2,$D392,$D392-($D392-$I$373)*MIN(K$3-$O$2,$Q$2)/$Q$2))</f>
        <v>1483.396608868</v>
      </c>
      <c r="L392" s="15" t="n">
        <f aca="false">K392*(1+IF(L$3&lt;=$O$2,$D392,$D392-($D392-$I$373)*MIN(L$3-$O$2,$Q$2)/$Q$2))</f>
        <v>1558.43225075911</v>
      </c>
      <c r="M392" s="15" t="n">
        <f aca="false">L392*(1+IF(M$3&lt;=$O$2,$D392,$D392-($D392-$I$373)*MIN(M$3-$O$2,$Q$2)/$Q$2))</f>
        <v>1619.89967705968</v>
      </c>
      <c r="N392" s="15" t="n">
        <f aca="false">M392*(1+IF(N$3&lt;=$O$2,$D392,$D392-($D392-$I$373)*MIN(N$3-$O$2,$Q$2)/$Q$2))</f>
        <v>1665.74283792047</v>
      </c>
      <c r="O392" s="15" t="n">
        <f aca="false">SUMPRODUCT(E392:N392,1/(1+$F$373)^$E$3:$N$3)*$E$2</f>
        <v>1937.7034583699</v>
      </c>
      <c r="P392" s="15" t="n">
        <f aca="false">N392*$E$2*(1+$I$373)/($F$373-$I$373)/(1+$F$373)^$N$3</f>
        <v>3684.94481926125</v>
      </c>
      <c r="Q392" s="15" t="n">
        <f aca="false">O392+P392</f>
        <v>5622.64827763116</v>
      </c>
      <c r="R392" s="15" t="n">
        <f aca="false">Q392-$G$2+$I$2</f>
        <v>5790.04827763116</v>
      </c>
      <c r="S392" s="42" t="n">
        <f aca="false">R392/$K$2</f>
        <v>164.5367512825</v>
      </c>
      <c r="T392" s="43" t="n">
        <f aca="false">S392-$M$2</f>
        <v>0.00137191336051501</v>
      </c>
    </row>
    <row r="393" customFormat="false" ht="15" hidden="false" customHeight="false" outlineLevel="0" collapsed="false">
      <c r="A393" s="5" t="n">
        <v>19</v>
      </c>
      <c r="B393" s="25" t="n">
        <f aca="false">IF(T392&gt;0,B392,D392)</f>
        <v>0.0840034484863281</v>
      </c>
      <c r="C393" s="25" t="n">
        <f aca="false">IF(T392&gt;0,D392,C392)</f>
        <v>0.0840091705322266</v>
      </c>
      <c r="D393" s="41" t="n">
        <f aca="false">(B393+C393)/2</f>
        <v>0.0840063095092773</v>
      </c>
      <c r="E393" s="15" t="n">
        <f aca="false">$C$2*(1+IF(E$3&lt;=$O$2,$D393,$D393-($D393-$I$373)*MIN(E$3-$O$2,$Q$2)/$Q$2))</f>
        <v>943.118009462357</v>
      </c>
      <c r="F393" s="15" t="n">
        <f aca="false">E393*(1+IF(F$3&lt;=$O$2,$D393,$D393-($D393-$I$373)*MIN(F$3-$O$2,$Q$2)/$Q$2))</f>
        <v>1022.34587286902</v>
      </c>
      <c r="G393" s="15" t="n">
        <f aca="false">F393*(1+IF(G$3&lt;=$O$2,$D393,$D393-($D393-$I$373)*MIN(G$3-$O$2,$Q$2)/$Q$2))</f>
        <v>1108.22937669079</v>
      </c>
      <c r="H393" s="15" t="n">
        <f aca="false">G393*(1+IF(H$3&lt;=$O$2,$D393,$D393-($D393-$I$373)*MIN(H$3-$O$2,$Q$2)/$Q$2))</f>
        <v>1201.32763671635</v>
      </c>
      <c r="I393" s="15" t="n">
        <f aca="false">H393*(1+IF(I$3&lt;=$O$2,$D393,$D393-($D393-$I$373)*MIN(I$3-$O$2,$Q$2)/$Q$2))</f>
        <v>1302.2467379884</v>
      </c>
      <c r="J393" s="15" t="n">
        <f aca="false">I393*(1+IF(J$3&lt;=$O$2,$D393,$D393-($D393-$I$373)*MIN(J$3-$O$2,$Q$2)/$Q$2))</f>
        <v>1397.13500854853</v>
      </c>
      <c r="K393" s="15" t="n">
        <f aca="false">J393*(1+IF(K$3&lt;=$O$2,$D393,$D393-($D393-$I$373)*MIN(K$3-$O$2,$Q$2)/$Q$2))</f>
        <v>1483.37147041792</v>
      </c>
      <c r="L393" s="15" t="n">
        <f aca="false">K393*(1+IF(L$3&lt;=$O$2,$D393,$D393-($D393-$I$373)*MIN(L$3-$O$2,$Q$2)/$Q$2))</f>
        <v>1558.40414313008</v>
      </c>
      <c r="M393" s="15" t="n">
        <f aca="false">L393*(1+IF(M$3&lt;=$O$2,$D393,$D393-($D393-$I$373)*MIN(M$3-$O$2,$Q$2)/$Q$2))</f>
        <v>1619.86956908821</v>
      </c>
      <c r="N393" s="15" t="n">
        <f aca="false">M393*(1+IF(N$3&lt;=$O$2,$D393,$D393-($D393-$I$373)*MIN(N$3-$O$2,$Q$2)/$Q$2))</f>
        <v>1665.71187789341</v>
      </c>
      <c r="O393" s="15" t="n">
        <f aca="false">SUMPRODUCT(E393:N393,1/(1+$F$373)^$E$3:$N$3)*$E$2</f>
        <v>1937.67904255442</v>
      </c>
      <c r="P393" s="15" t="n">
        <f aca="false">N393*$E$2*(1+$I$373)/($F$373-$I$373)/(1+$F$373)^$N$3</f>
        <v>3684.87632970289</v>
      </c>
      <c r="Q393" s="15" t="n">
        <f aca="false">O393+P393</f>
        <v>5622.55537225731</v>
      </c>
      <c r="R393" s="15" t="n">
        <f aca="false">Q393-$G$2+$I$2</f>
        <v>5789.95537225731</v>
      </c>
      <c r="S393" s="42" t="n">
        <f aca="false">R393/$K$2</f>
        <v>164.534111175258</v>
      </c>
      <c r="T393" s="43" t="n">
        <f aca="false">S393-$M$2</f>
        <v>-0.00126819388142962</v>
      </c>
    </row>
    <row r="394" customFormat="false" ht="15" hidden="false" customHeight="false" outlineLevel="0" collapsed="false">
      <c r="A394" s="5" t="n">
        <v>20</v>
      </c>
      <c r="B394" s="25" t="n">
        <f aca="false">IF(T393&gt;0,B393,D393)</f>
        <v>0.0840063095092773</v>
      </c>
      <c r="C394" s="25" t="n">
        <f aca="false">IF(T393&gt;0,D393,C393)</f>
        <v>0.0840091705322266</v>
      </c>
      <c r="D394" s="41" t="n">
        <f aca="false">(B394+C394)/2</f>
        <v>0.084007740020752</v>
      </c>
      <c r="E394" s="15" t="n">
        <f aca="false">$C$2*(1+IF(E$3&lt;=$O$2,$D394,$D394-($D394-$I$373)*MIN(E$3-$O$2,$Q$2)/$Q$2))</f>
        <v>943.119254050255</v>
      </c>
      <c r="F394" s="15" t="n">
        <f aca="false">E394*(1+IF(F$3&lt;=$O$2,$D394,$D394-($D394-$I$373)*MIN(F$3-$O$2,$Q$2)/$Q$2))</f>
        <v>1022.34857115307</v>
      </c>
      <c r="G394" s="15" t="n">
        <f aca="false">F394*(1+IF(G$3&lt;=$O$2,$D394,$D394-($D394-$I$373)*MIN(G$3-$O$2,$Q$2)/$Q$2))</f>
        <v>1108.23376412909</v>
      </c>
      <c r="H394" s="15" t="n">
        <f aca="false">G394*(1+IF(H$3&lt;=$O$2,$D394,$D394-($D394-$I$373)*MIN(H$3-$O$2,$Q$2)/$Q$2))</f>
        <v>1201.33397806826</v>
      </c>
      <c r="I394" s="15" t="n">
        <f aca="false">H394*(1+IF(I$3&lt;=$O$2,$D394,$D394-($D394-$I$373)*MIN(I$3-$O$2,$Q$2)/$Q$2))</f>
        <v>1302.25533057592</v>
      </c>
      <c r="J394" s="15" t="n">
        <f aca="false">I394*(1+IF(J$3&lt;=$O$2,$D394,$D394-($D394-$I$373)*MIN(J$3-$O$2,$Q$2)/$Q$2))</f>
        <v>1397.14571754831</v>
      </c>
      <c r="K394" s="15" t="n">
        <f aca="false">J394*(1+IF(K$3&lt;=$O$2,$D394,$D394-($D394-$I$373)*MIN(K$3-$O$2,$Q$2)/$Q$2))</f>
        <v>1483.3840395975</v>
      </c>
      <c r="L394" s="15" t="n">
        <f aca="false">K394*(1+IF(L$3&lt;=$O$2,$D394,$D394-($D394-$I$373)*MIN(L$3-$O$2,$Q$2)/$Q$2))</f>
        <v>1558.41819688964</v>
      </c>
      <c r="M394" s="15" t="n">
        <f aca="false">L394*(1+IF(M$3&lt;=$O$2,$D394,$D394-($D394-$I$373)*MIN(M$3-$O$2,$Q$2)/$Q$2))</f>
        <v>1619.8846230128</v>
      </c>
      <c r="N394" s="15" t="n">
        <f aca="false">M394*(1+IF(N$3&lt;=$O$2,$D394,$D394-($D394-$I$373)*MIN(N$3-$O$2,$Q$2)/$Q$2))</f>
        <v>1665.72735784406</v>
      </c>
      <c r="O394" s="15" t="n">
        <f aca="false">SUMPRODUCT(E394:N394,1/(1+$F$373)^$E$3:$N$3)*$E$2</f>
        <v>1937.69125042394</v>
      </c>
      <c r="P394" s="15" t="n">
        <f aca="false">N394*$E$2*(1+$I$373)/($F$373-$I$373)/(1+$F$373)^$N$3</f>
        <v>3684.91057434298</v>
      </c>
      <c r="Q394" s="15" t="n">
        <f aca="false">O394+P394</f>
        <v>5622.60182476692</v>
      </c>
      <c r="R394" s="15" t="n">
        <f aca="false">Q394-$G$2+$I$2</f>
        <v>5790.00182476692</v>
      </c>
      <c r="S394" s="42" t="n">
        <f aca="false">R394/$K$2</f>
        <v>164.53543122384</v>
      </c>
      <c r="T394" s="43" t="n">
        <f aca="false">S394-$M$2</f>
        <v>5.18547007004599E-005</v>
      </c>
    </row>
    <row r="395" customFormat="false" ht="15" hidden="false" customHeight="false" outlineLevel="0" collapsed="false">
      <c r="A395" s="5" t="n">
        <v>21</v>
      </c>
      <c r="B395" s="25" t="n">
        <f aca="false">IF(T394&gt;0,B394,D394)</f>
        <v>0.0840063095092773</v>
      </c>
      <c r="C395" s="25" t="n">
        <f aca="false">IF(T394&gt;0,D394,C394)</f>
        <v>0.084007740020752</v>
      </c>
      <c r="D395" s="41" t="n">
        <f aca="false">(B395+C395)/2</f>
        <v>0.0840070247650147</v>
      </c>
      <c r="E395" s="15" t="n">
        <f aca="false">$C$2*(1+IF(E$3&lt;=$O$2,$D395,$D395-($D395-$I$373)*MIN(E$3-$O$2,$Q$2)/$Q$2))</f>
        <v>943.118631756306</v>
      </c>
      <c r="F395" s="15" t="n">
        <f aca="false">E395*(1+IF(F$3&lt;=$O$2,$D395,$D395-($D395-$I$373)*MIN(F$3-$O$2,$Q$2)/$Q$2))</f>
        <v>1022.3472220106</v>
      </c>
      <c r="G395" s="15" t="n">
        <f aca="false">F395*(1+IF(G$3&lt;=$O$2,$D395,$D395-($D395-$I$373)*MIN(G$3-$O$2,$Q$2)/$Q$2))</f>
        <v>1108.23157040849</v>
      </c>
      <c r="H395" s="15" t="n">
        <f aca="false">G395*(1+IF(H$3&lt;=$O$2,$D395,$D395-($D395-$I$373)*MIN(H$3-$O$2,$Q$2)/$Q$2))</f>
        <v>1201.33080738917</v>
      </c>
      <c r="I395" s="15" t="n">
        <f aca="false">H395*(1+IF(I$3&lt;=$O$2,$D395,$D395-($D395-$I$373)*MIN(I$3-$O$2,$Q$2)/$Q$2))</f>
        <v>1302.25103427649</v>
      </c>
      <c r="J395" s="15" t="n">
        <f aca="false">I395*(1+IF(J$3&lt;=$O$2,$D395,$D395-($D395-$I$373)*MIN(J$3-$O$2,$Q$2)/$Q$2))</f>
        <v>1397.14036303988</v>
      </c>
      <c r="K395" s="15" t="n">
        <f aca="false">J395*(1+IF(K$3&lt;=$O$2,$D395,$D395-($D395-$I$373)*MIN(K$3-$O$2,$Q$2)/$Q$2))</f>
        <v>1483.37775499634</v>
      </c>
      <c r="L395" s="15" t="n">
        <f aca="false">K395*(1+IF(L$3&lt;=$O$2,$D395,$D395-($D395-$I$373)*MIN(L$3-$O$2,$Q$2)/$Q$2))</f>
        <v>1558.41116999612</v>
      </c>
      <c r="M395" s="15" t="n">
        <f aca="false">L395*(1+IF(M$3&lt;=$O$2,$D395,$D395-($D395-$I$373)*MIN(M$3-$O$2,$Q$2)/$Q$2))</f>
        <v>1619.87709603522</v>
      </c>
      <c r="N395" s="15" t="n">
        <f aca="false">M395*(1+IF(N$3&lt;=$O$2,$D395,$D395-($D395-$I$373)*MIN(N$3-$O$2,$Q$2)/$Q$2))</f>
        <v>1665.71961785302</v>
      </c>
      <c r="O395" s="15" t="n">
        <f aca="false">SUMPRODUCT(E395:N395,1/(1+$F$373)^$E$3:$N$3)*$E$2</f>
        <v>1937.68514647963</v>
      </c>
      <c r="P395" s="15" t="n">
        <f aca="false">N395*$E$2*(1+$I$373)/($F$373-$I$373)/(1+$F$373)^$N$3</f>
        <v>3684.89345198816</v>
      </c>
      <c r="Q395" s="15" t="n">
        <f aca="false">O395+P395</f>
        <v>5622.57859846779</v>
      </c>
      <c r="R395" s="15" t="n">
        <f aca="false">Q395-$G$2+$I$2</f>
        <v>5789.97859846779</v>
      </c>
      <c r="S395" s="42" t="n">
        <f aca="false">R395/$K$2</f>
        <v>164.534771198289</v>
      </c>
      <c r="T395" s="43" t="n">
        <f aca="false">S395-$M$2</f>
        <v>-0.000608170850028955</v>
      </c>
    </row>
    <row r="396" customFormat="false" ht="15" hidden="false" customHeight="false" outlineLevel="0" collapsed="false">
      <c r="A396" s="5" t="n">
        <v>22</v>
      </c>
      <c r="B396" s="25" t="n">
        <f aca="false">IF(T395&gt;0,B395,D395)</f>
        <v>0.0840070247650147</v>
      </c>
      <c r="C396" s="25" t="n">
        <f aca="false">IF(T395&gt;0,D395,C395)</f>
        <v>0.084007740020752</v>
      </c>
      <c r="D396" s="41" t="n">
        <f aca="false">(B396+C396)/2</f>
        <v>0.0840073823928833</v>
      </c>
      <c r="E396" s="15" t="n">
        <f aca="false">$C$2*(1+IF(E$3&lt;=$O$2,$D396,$D396-($D396-$I$373)*MIN(E$3-$O$2,$Q$2)/$Q$2))</f>
        <v>943.11894290328</v>
      </c>
      <c r="F396" s="15" t="n">
        <f aca="false">E396*(1+IF(F$3&lt;=$O$2,$D396,$D396-($D396-$I$373)*MIN(F$3-$O$2,$Q$2)/$Q$2))</f>
        <v>1022.34789658173</v>
      </c>
      <c r="G396" s="15" t="n">
        <f aca="false">F396*(1+IF(G$3&lt;=$O$2,$D396,$D396-($D396-$I$373)*MIN(G$3-$O$2,$Q$2)/$Q$2))</f>
        <v>1108.23266726843</v>
      </c>
      <c r="H396" s="15" t="n">
        <f aca="false">G396*(1+IF(H$3&lt;=$O$2,$D396,$D396-($D396-$I$373)*MIN(H$3-$O$2,$Q$2)/$Q$2))</f>
        <v>1201.33239272793</v>
      </c>
      <c r="I396" s="15" t="n">
        <f aca="false">H396*(1+IF(I$3&lt;=$O$2,$D396,$D396-($D396-$I$373)*MIN(I$3-$O$2,$Q$2)/$Q$2))</f>
        <v>1302.25318242479</v>
      </c>
      <c r="J396" s="15" t="n">
        <f aca="false">I396*(1+IF(J$3&lt;=$O$2,$D396,$D396-($D396-$I$373)*MIN(J$3-$O$2,$Q$2)/$Q$2))</f>
        <v>1397.14304029196</v>
      </c>
      <c r="K396" s="15" t="n">
        <f aca="false">J396*(1+IF(K$3&lt;=$O$2,$D396,$D396-($D396-$I$373)*MIN(K$3-$O$2,$Q$2)/$Q$2))</f>
        <v>1483.38089729408</v>
      </c>
      <c r="L396" s="15" t="n">
        <f aca="false">K396*(1+IF(L$3&lt;=$O$2,$D396,$D396-($D396-$I$373)*MIN(L$3-$O$2,$Q$2)/$Q$2))</f>
        <v>1558.41468343944</v>
      </c>
      <c r="M396" s="15" t="n">
        <f aca="false">L396*(1+IF(M$3&lt;=$O$2,$D396,$D396-($D396-$I$373)*MIN(M$3-$O$2,$Q$2)/$Q$2))</f>
        <v>1619.88085952019</v>
      </c>
      <c r="N396" s="15" t="n">
        <f aca="false">M396*(1+IF(N$3&lt;=$O$2,$D396,$D396-($D396-$I$373)*MIN(N$3-$O$2,$Q$2)/$Q$2))</f>
        <v>1665.72348784461</v>
      </c>
      <c r="O396" s="15" t="n">
        <f aca="false">SUMPRODUCT(E396:N396,1/(1+$F$373)^$E$3:$N$3)*$E$2</f>
        <v>1937.68819844939</v>
      </c>
      <c r="P396" s="15" t="n">
        <f aca="false">N396*$E$2*(1+$I$373)/($F$373-$I$373)/(1+$F$373)^$N$3</f>
        <v>3684.90201315688</v>
      </c>
      <c r="Q396" s="15" t="n">
        <f aca="false">O396+P396</f>
        <v>5622.59021160627</v>
      </c>
      <c r="R396" s="15" t="n">
        <f aca="false">Q396-$G$2+$I$2</f>
        <v>5789.99021160627</v>
      </c>
      <c r="S396" s="42" t="n">
        <f aca="false">R396/$K$2</f>
        <v>164.535101210749</v>
      </c>
      <c r="T396" s="43" t="n">
        <f aca="false">S396-$M$2</f>
        <v>-0.000278158389619421</v>
      </c>
    </row>
    <row r="397" customFormat="false" ht="15" hidden="false" customHeight="false" outlineLevel="0" collapsed="false">
      <c r="A397" s="5" t="n">
        <v>23</v>
      </c>
      <c r="B397" s="25" t="n">
        <f aca="false">IF(T396&gt;0,B396,D396)</f>
        <v>0.0840073823928833</v>
      </c>
      <c r="C397" s="25" t="n">
        <f aca="false">IF(T396&gt;0,D396,C396)</f>
        <v>0.084007740020752</v>
      </c>
      <c r="D397" s="41" t="n">
        <f aca="false">(B397+C397)/2</f>
        <v>0.0840075612068176</v>
      </c>
      <c r="E397" s="15" t="n">
        <f aca="false">$C$2*(1+IF(E$3&lt;=$O$2,$D397,$D397-($D397-$I$373)*MIN(E$3-$O$2,$Q$2)/$Q$2))</f>
        <v>943.119098476768</v>
      </c>
      <c r="F397" s="15" t="n">
        <f aca="false">E397*(1+IF(F$3&lt;=$O$2,$D397,$D397-($D397-$I$373)*MIN(F$3-$O$2,$Q$2)/$Q$2))</f>
        <v>1022.34823386737</v>
      </c>
      <c r="G397" s="15" t="n">
        <f aca="false">F397*(1+IF(G$3&lt;=$O$2,$D397,$D397-($D397-$I$373)*MIN(G$3-$O$2,$Q$2)/$Q$2))</f>
        <v>1108.23321569867</v>
      </c>
      <c r="H397" s="15" t="n">
        <f aca="false">G397*(1+IF(H$3&lt;=$O$2,$D397,$D397-($D397-$I$373)*MIN(H$3-$O$2,$Q$2)/$Q$2))</f>
        <v>1201.3331853979</v>
      </c>
      <c r="I397" s="15" t="n">
        <f aca="false">H397*(1+IF(I$3&lt;=$O$2,$D397,$D397-($D397-$I$373)*MIN(I$3-$O$2,$Q$2)/$Q$2))</f>
        <v>1302.2542565</v>
      </c>
      <c r="J397" s="15" t="n">
        <f aca="false">I397*(1+IF(J$3&lt;=$O$2,$D397,$D397-($D397-$I$373)*MIN(J$3-$O$2,$Q$2)/$Q$2))</f>
        <v>1397.1443789196</v>
      </c>
      <c r="K397" s="15" t="n">
        <f aca="false">J397*(1+IF(K$3&lt;=$O$2,$D397,$D397-($D397-$I$373)*MIN(K$3-$O$2,$Q$2)/$Q$2))</f>
        <v>1483.38246844508</v>
      </c>
      <c r="L397" s="15" t="n">
        <f aca="false">K397*(1+IF(L$3&lt;=$O$2,$D397,$D397-($D397-$I$373)*MIN(L$3-$O$2,$Q$2)/$Q$2))</f>
        <v>1558.41644016368</v>
      </c>
      <c r="M397" s="15" t="n">
        <f aca="false">L397*(1+IF(M$3&lt;=$O$2,$D397,$D397-($D397-$I$373)*MIN(M$3-$O$2,$Q$2)/$Q$2))</f>
        <v>1619.88274126554</v>
      </c>
      <c r="N397" s="15" t="n">
        <f aca="false">M397*(1+IF(N$3&lt;=$O$2,$D397,$D397-($D397-$I$373)*MIN(N$3-$O$2,$Q$2)/$Q$2))</f>
        <v>1665.72542284336</v>
      </c>
      <c r="O397" s="15" t="n">
        <f aca="false">SUMPRODUCT(E397:N397,1/(1+$F$373)^$E$3:$N$3)*$E$2</f>
        <v>1937.68972443607</v>
      </c>
      <c r="P397" s="15" t="n">
        <f aca="false">N397*$E$2*(1+$I$373)/($F$373-$I$373)/(1+$F$373)^$N$3</f>
        <v>3684.90629374775</v>
      </c>
      <c r="Q397" s="15" t="n">
        <f aca="false">O397+P397</f>
        <v>5622.59601818382</v>
      </c>
      <c r="R397" s="15" t="n">
        <f aca="false">Q397-$G$2+$I$2</f>
        <v>5789.99601818383</v>
      </c>
      <c r="S397" s="42" t="n">
        <f aca="false">R397/$K$2</f>
        <v>164.535266217216</v>
      </c>
      <c r="T397" s="43" t="n">
        <f aca="false">S397-$M$2</f>
        <v>-0.000113151923159194</v>
      </c>
    </row>
    <row r="398" customFormat="false" ht="15" hidden="false" customHeight="false" outlineLevel="0" collapsed="false">
      <c r="A398" s="5" t="n">
        <v>24</v>
      </c>
      <c r="B398" s="25" t="n">
        <f aca="false">IF(T397&gt;0,B397,D397)</f>
        <v>0.0840075612068176</v>
      </c>
      <c r="C398" s="25" t="n">
        <f aca="false">IF(T397&gt;0,D397,C397)</f>
        <v>0.084007740020752</v>
      </c>
      <c r="D398" s="41" t="n">
        <f aca="false">(B398+C398)/2</f>
        <v>0.0840076506137848</v>
      </c>
      <c r="E398" s="15" t="n">
        <f aca="false">$C$2*(1+IF(E$3&lt;=$O$2,$D398,$D398-($D398-$I$373)*MIN(E$3-$O$2,$Q$2)/$Q$2))</f>
        <v>943.119176263511</v>
      </c>
      <c r="F398" s="15" t="n">
        <f aca="false">E398*(1+IF(F$3&lt;=$O$2,$D398,$D398-($D398-$I$373)*MIN(F$3-$O$2,$Q$2)/$Q$2))</f>
        <v>1022.34840251022</v>
      </c>
      <c r="G398" s="15" t="n">
        <f aca="false">F398*(1+IF(G$3&lt;=$O$2,$D398,$D398-($D398-$I$373)*MIN(G$3-$O$2,$Q$2)/$Q$2))</f>
        <v>1108.23348991386</v>
      </c>
      <c r="H398" s="15" t="n">
        <f aca="false">G398*(1+IF(H$3&lt;=$O$2,$D398,$D398-($D398-$I$373)*MIN(H$3-$O$2,$Q$2)/$Q$2))</f>
        <v>1201.33358173303</v>
      </c>
      <c r="I398" s="15" t="n">
        <f aca="false">H398*(1+IF(I$3&lt;=$O$2,$D398,$D398-($D398-$I$373)*MIN(I$3-$O$2,$Q$2)/$Q$2))</f>
        <v>1302.25479353787</v>
      </c>
      <c r="J398" s="15" t="n">
        <f aca="false">I398*(1+IF(J$3&lt;=$O$2,$D398,$D398-($D398-$I$373)*MIN(J$3-$O$2,$Q$2)/$Q$2))</f>
        <v>1397.14504823382</v>
      </c>
      <c r="K398" s="15" t="n">
        <f aca="false">J398*(1+IF(K$3&lt;=$O$2,$D398,$D398-($D398-$I$373)*MIN(K$3-$O$2,$Q$2)/$Q$2))</f>
        <v>1483.38325402111</v>
      </c>
      <c r="L398" s="15" t="n">
        <f aca="false">K398*(1+IF(L$3&lt;=$O$2,$D398,$D398-($D398-$I$373)*MIN(L$3-$O$2,$Q$2)/$Q$2))</f>
        <v>1558.41731852645</v>
      </c>
      <c r="M398" s="15" t="n">
        <f aca="false">L398*(1+IF(M$3&lt;=$O$2,$D398,$D398-($D398-$I$373)*MIN(M$3-$O$2,$Q$2)/$Q$2))</f>
        <v>1619.88368213893</v>
      </c>
      <c r="N398" s="15" t="n">
        <f aca="false">M398*(1+IF(N$3&lt;=$O$2,$D398,$D398-($D398-$I$373)*MIN(N$3-$O$2,$Q$2)/$Q$2))</f>
        <v>1665.72639034346</v>
      </c>
      <c r="O398" s="15" t="n">
        <f aca="false">SUMPRODUCT(E398:N398,1/(1+$F$373)^$E$3:$N$3)*$E$2</f>
        <v>1937.69048742986</v>
      </c>
      <c r="P398" s="15" t="n">
        <f aca="false">N398*$E$2*(1+$I$373)/($F$373-$I$373)/(1+$F$373)^$N$3</f>
        <v>3684.90843404482</v>
      </c>
      <c r="Q398" s="15" t="n">
        <f aca="false">O398+P398</f>
        <v>5622.59892147468</v>
      </c>
      <c r="R398" s="15" t="n">
        <f aca="false">Q398-$G$2+$I$2</f>
        <v>5789.99892147468</v>
      </c>
      <c r="S398" s="42" t="n">
        <f aca="false">R398/$K$2</f>
        <v>164.535348720508</v>
      </c>
      <c r="T398" s="43" t="n">
        <f aca="false">S398-$M$2</f>
        <v>-3.06486309114007E-005</v>
      </c>
    </row>
    <row r="400" customFormat="false" ht="15" hidden="false" customHeight="false" outlineLevel="0" collapsed="false">
      <c r="A400" s="38" t="s">
        <v>201</v>
      </c>
      <c r="E400" s="5" t="s">
        <v>12</v>
      </c>
      <c r="F400" s="12" t="n">
        <f aca="false">Sensitivity!$B$12</f>
        <v>0.0775075820986394</v>
      </c>
      <c r="G400" s="5" t="s">
        <v>13</v>
      </c>
      <c r="I400" s="12" t="n">
        <f aca="false">Sensitivity!$F$9</f>
        <v>0.0333</v>
      </c>
    </row>
    <row r="401" customFormat="false" ht="23.85" hidden="false" customHeight="false" outlineLevel="0" collapsed="false">
      <c r="A401" s="38" t="s">
        <v>168</v>
      </c>
      <c r="B401" s="28" t="s">
        <v>169</v>
      </c>
      <c r="C401" s="28" t="s">
        <v>170</v>
      </c>
      <c r="D401" s="28" t="s">
        <v>171</v>
      </c>
      <c r="E401" s="28" t="s">
        <v>172</v>
      </c>
      <c r="F401" s="28" t="s">
        <v>173</v>
      </c>
      <c r="G401" s="28" t="s">
        <v>174</v>
      </c>
      <c r="H401" s="28" t="s">
        <v>175</v>
      </c>
      <c r="I401" s="28" t="s">
        <v>176</v>
      </c>
      <c r="J401" s="28" t="s">
        <v>177</v>
      </c>
      <c r="K401" s="28" t="s">
        <v>178</v>
      </c>
      <c r="L401" s="28" t="s">
        <v>179</v>
      </c>
      <c r="M401" s="28" t="s">
        <v>180</v>
      </c>
      <c r="N401" s="28" t="s">
        <v>181</v>
      </c>
      <c r="O401" s="28" t="s">
        <v>182</v>
      </c>
      <c r="P401" s="28" t="s">
        <v>183</v>
      </c>
      <c r="Q401" s="28" t="s">
        <v>184</v>
      </c>
      <c r="R401" s="28" t="s">
        <v>185</v>
      </c>
      <c r="S401" s="28" t="s">
        <v>186</v>
      </c>
      <c r="T401" s="28" t="s">
        <v>187</v>
      </c>
    </row>
    <row r="402" customFormat="false" ht="15" hidden="false" customHeight="false" outlineLevel="0" collapsed="false">
      <c r="A402" s="5" t="n">
        <v>1</v>
      </c>
      <c r="B402" s="24" t="n">
        <v>-0.5</v>
      </c>
      <c r="C402" s="24" t="n">
        <v>1</v>
      </c>
      <c r="D402" s="41" t="n">
        <f aca="false">(B402+C402)/2</f>
        <v>0.25</v>
      </c>
      <c r="E402" s="15" t="n">
        <f aca="false">$C$2*(1+IF(E$3&lt;=$O$2,$D402,$D402-($D402-$I$400)*MIN(E$3-$O$2,$Q$2)/$Q$2))</f>
        <v>1087.5375</v>
      </c>
      <c r="F402" s="15" t="n">
        <f aca="false">E402*(1+IF(F$3&lt;=$O$2,$D402,$D402-($D402-$I$400)*MIN(F$3-$O$2,$Q$2)/$Q$2))</f>
        <v>1359.421875</v>
      </c>
      <c r="G402" s="15" t="n">
        <f aca="false">F402*(1+IF(G$3&lt;=$O$2,$D402,$D402-($D402-$I$400)*MIN(G$3-$O$2,$Q$2)/$Q$2))</f>
        <v>1699.27734375</v>
      </c>
      <c r="H402" s="15" t="n">
        <f aca="false">G402*(1+IF(H$3&lt;=$O$2,$D402,$D402-($D402-$I$400)*MIN(H$3-$O$2,$Q$2)/$Q$2))</f>
        <v>2124.0966796875</v>
      </c>
      <c r="I402" s="15" t="n">
        <f aca="false">H402*(1+IF(I$3&lt;=$O$2,$D402,$D402-($D402-$I$400)*MIN(I$3-$O$2,$Q$2)/$Q$2))</f>
        <v>2655.12084960938</v>
      </c>
      <c r="J402" s="15" t="n">
        <f aca="false">I402*(1+IF(J$3&lt;=$O$2,$D402,$D402-($D402-$I$400)*MIN(J$3-$O$2,$Q$2)/$Q$2))</f>
        <v>3203.82812438965</v>
      </c>
      <c r="K402" s="15" t="n">
        <f aca="false">J402*(1+IF(K$3&lt;=$O$2,$D402,$D402-($D402-$I$400)*MIN(K$3-$O$2,$Q$2)/$Q$2))</f>
        <v>3727.07733366497</v>
      </c>
      <c r="L402" s="15" t="n">
        <f aca="false">K402*(1+IF(L$3&lt;=$O$2,$D402,$D402-($D402-$I$400)*MIN(L$3-$O$2,$Q$2)/$Q$2))</f>
        <v>4174.25207215809</v>
      </c>
      <c r="M402" s="15" t="n">
        <f aca="false">L402*(1+IF(M$3&lt;=$O$2,$D402,$D402-($D402-$I$400)*MIN(M$3-$O$2,$Q$2)/$Q$2))</f>
        <v>4494.16675096829</v>
      </c>
      <c r="N402" s="15" t="n">
        <f aca="false">M402*(1+IF(N$3&lt;=$O$2,$D402,$D402-($D402-$I$400)*MIN(N$3-$O$2,$Q$2)/$Q$2))</f>
        <v>4643.82250377553</v>
      </c>
      <c r="O402" s="15" t="n">
        <f aca="false">SUMPRODUCT(E402:N402,1/(1+$F$400)^$E$3:$N$3)*$E$2</f>
        <v>4018.43653348769</v>
      </c>
      <c r="P402" s="15" t="n">
        <f aca="false">N402*$E$2*(1+$I$400)/($F$400-$I$400)/(1+$F$400)^$N$3</f>
        <v>11490.5416997112</v>
      </c>
      <c r="Q402" s="15" t="n">
        <f aca="false">O402+P402</f>
        <v>15508.9782331989</v>
      </c>
      <c r="R402" s="15" t="n">
        <f aca="false">Q402-$G$2+$I$2</f>
        <v>15676.3782331989</v>
      </c>
      <c r="S402" s="42" t="n">
        <f aca="false">R402/$K$2</f>
        <v>445.478210662089</v>
      </c>
      <c r="T402" s="43" t="n">
        <f aca="false">S402-$M$2</f>
        <v>280.94283129295</v>
      </c>
    </row>
    <row r="403" customFormat="false" ht="15" hidden="false" customHeight="false" outlineLevel="0" collapsed="false">
      <c r="A403" s="5" t="n">
        <v>2</v>
      </c>
      <c r="B403" s="25" t="n">
        <f aca="false">IF(T402&gt;0,B402,D402)</f>
        <v>-0.5</v>
      </c>
      <c r="C403" s="25" t="n">
        <f aca="false">IF(T402&gt;0,D402,C402)</f>
        <v>0.25</v>
      </c>
      <c r="D403" s="41" t="n">
        <f aca="false">(B403+C403)/2</f>
        <v>-0.125</v>
      </c>
      <c r="E403" s="15" t="n">
        <f aca="false">$C$2*(1+IF(E$3&lt;=$O$2,$D403,$D403-($D403-$I$400)*MIN(E$3-$O$2,$Q$2)/$Q$2))</f>
        <v>761.27625</v>
      </c>
      <c r="F403" s="15" t="n">
        <f aca="false">E403*(1+IF(F$3&lt;=$O$2,$D403,$D403-($D403-$I$400)*MIN(F$3-$O$2,$Q$2)/$Q$2))</f>
        <v>666.11671875</v>
      </c>
      <c r="G403" s="15" t="n">
        <f aca="false">F403*(1+IF(G$3&lt;=$O$2,$D403,$D403-($D403-$I$400)*MIN(G$3-$O$2,$Q$2)/$Q$2))</f>
        <v>582.85212890625</v>
      </c>
      <c r="H403" s="15" t="n">
        <f aca="false">G403*(1+IF(H$3&lt;=$O$2,$D403,$D403-($D403-$I$400)*MIN(H$3-$O$2,$Q$2)/$Q$2))</f>
        <v>509.995612792969</v>
      </c>
      <c r="I403" s="15" t="n">
        <f aca="false">H403*(1+IF(I$3&lt;=$O$2,$D403,$D403-($D403-$I$400)*MIN(I$3-$O$2,$Q$2)/$Q$2))</f>
        <v>446.246161193848</v>
      </c>
      <c r="J403" s="15" t="n">
        <f aca="false">I403*(1+IF(J$3&lt;=$O$2,$D403,$D403-($D403-$I$400)*MIN(J$3-$O$2,$Q$2)/$Q$2))</f>
        <v>404.593544508014</v>
      </c>
      <c r="K403" s="15" t="n">
        <f aca="false">J403*(1+IF(K$3&lt;=$O$2,$D403,$D403-($D403-$I$400)*MIN(K$3-$O$2,$Q$2)/$Q$2))</f>
        <v>379.63821468276</v>
      </c>
      <c r="L403" s="15" t="n">
        <f aca="false">K403*(1+IF(L$3&lt;=$O$2,$D403,$D403-($D403-$I$400)*MIN(L$3-$O$2,$Q$2)/$Q$2))</f>
        <v>368.241475477983</v>
      </c>
      <c r="M403" s="15" t="n">
        <f aca="false">L403*(1+IF(M$3&lt;=$O$2,$D403,$D403-($D403-$I$400)*MIN(M$3-$O$2,$Q$2)/$Q$2))</f>
        <v>368.845391497767</v>
      </c>
      <c r="N403" s="15" t="n">
        <f aca="false">M403*(1+IF(N$3&lt;=$O$2,$D403,$D403-($D403-$I$400)*MIN(N$3-$O$2,$Q$2)/$Q$2))</f>
        <v>381.127943034643</v>
      </c>
      <c r="O403" s="15" t="n">
        <f aca="false">SUMPRODUCT(E403:N403,1/(1+$F$400)^$E$3:$N$3)*$E$2</f>
        <v>778.757931137643</v>
      </c>
      <c r="P403" s="15" t="n">
        <f aca="false">N403*$E$2*(1+$I$400)/($F$400-$I$400)/(1+$F$400)^$N$3</f>
        <v>943.052090988448</v>
      </c>
      <c r="Q403" s="15" t="n">
        <f aca="false">O403+P403</f>
        <v>1721.81002212609</v>
      </c>
      <c r="R403" s="15" t="n">
        <f aca="false">Q403-$G$2+$I$2</f>
        <v>1889.21002212609</v>
      </c>
      <c r="S403" s="42" t="n">
        <f aca="false">R403/$K$2</f>
        <v>53.685990966925</v>
      </c>
      <c r="T403" s="43" t="n">
        <f aca="false">S403-$M$2</f>
        <v>-110.849388402214</v>
      </c>
    </row>
    <row r="404" customFormat="false" ht="15" hidden="false" customHeight="false" outlineLevel="0" collapsed="false">
      <c r="A404" s="5" t="n">
        <v>3</v>
      </c>
      <c r="B404" s="25" t="n">
        <f aca="false">IF(T403&gt;0,B403,D403)</f>
        <v>-0.125</v>
      </c>
      <c r="C404" s="25" t="n">
        <f aca="false">IF(T403&gt;0,D403,C403)</f>
        <v>0.25</v>
      </c>
      <c r="D404" s="41" t="n">
        <f aca="false">(B404+C404)/2</f>
        <v>0.0625</v>
      </c>
      <c r="E404" s="15" t="n">
        <f aca="false">$C$2*(1+IF(E$3&lt;=$O$2,$D404,$D404-($D404-$I$400)*MIN(E$3-$O$2,$Q$2)/$Q$2))</f>
        <v>924.406875</v>
      </c>
      <c r="F404" s="15" t="n">
        <f aca="false">E404*(1+IF(F$3&lt;=$O$2,$D404,$D404-($D404-$I$400)*MIN(F$3-$O$2,$Q$2)/$Q$2))</f>
        <v>982.1823046875</v>
      </c>
      <c r="G404" s="15" t="n">
        <f aca="false">F404*(1+IF(G$3&lt;=$O$2,$D404,$D404-($D404-$I$400)*MIN(G$3-$O$2,$Q$2)/$Q$2))</f>
        <v>1043.56869873047</v>
      </c>
      <c r="H404" s="15" t="n">
        <f aca="false">G404*(1+IF(H$3&lt;=$O$2,$D404,$D404-($D404-$I$400)*MIN(H$3-$O$2,$Q$2)/$Q$2))</f>
        <v>1108.79174240112</v>
      </c>
      <c r="I404" s="15" t="n">
        <f aca="false">H404*(1+IF(I$3&lt;=$O$2,$D404,$D404-($D404-$I$400)*MIN(I$3-$O$2,$Q$2)/$Q$2))</f>
        <v>1178.09122630119</v>
      </c>
      <c r="J404" s="15" t="n">
        <f aca="false">I404*(1+IF(J$3&lt;=$O$2,$D404,$D404-($D404-$I$400)*MIN(J$3-$O$2,$Q$2)/$Q$2))</f>
        <v>1244.84187518342</v>
      </c>
      <c r="K404" s="15" t="n">
        <f aca="false">J404*(1+IF(K$3&lt;=$O$2,$D404,$D404-($D404-$I$400)*MIN(K$3-$O$2,$Q$2)/$Q$2))</f>
        <v>1308.10473928024</v>
      </c>
      <c r="L404" s="15" t="n">
        <f aca="false">K404*(1+IF(L$3&lt;=$O$2,$D404,$D404-($D404-$I$400)*MIN(L$3-$O$2,$Q$2)/$Q$2))</f>
        <v>1366.94329045307</v>
      </c>
      <c r="M404" s="15" t="n">
        <f aca="false">L404*(1+IF(M$3&lt;=$O$2,$D404,$D404-($D404-$I$400)*MIN(M$3-$O$2,$Q$2)/$Q$2))</f>
        <v>1420.4454508414</v>
      </c>
      <c r="N404" s="15" t="n">
        <f aca="false">M404*(1+IF(N$3&lt;=$O$2,$D404,$D404-($D404-$I$400)*MIN(N$3-$O$2,$Q$2)/$Q$2))</f>
        <v>1467.74628435442</v>
      </c>
      <c r="O404" s="15" t="n">
        <f aca="false">SUMPRODUCT(E404:N404,1/(1+$F$400)^$E$3:$N$3)*$E$2</f>
        <v>1767.93257271775</v>
      </c>
      <c r="P404" s="15" t="n">
        <f aca="false">N404*$E$2*(1+$I$400)/($F$400-$I$400)/(1+$F$400)^$N$3</f>
        <v>3631.74946313276</v>
      </c>
      <c r="Q404" s="15" t="n">
        <f aca="false">O404+P404</f>
        <v>5399.68203585052</v>
      </c>
      <c r="R404" s="15" t="n">
        <f aca="false">Q404-$G$2+$I$2</f>
        <v>5567.08203585052</v>
      </c>
      <c r="S404" s="42" t="n">
        <f aca="false">R404/$K$2</f>
        <v>158.200683030705</v>
      </c>
      <c r="T404" s="43" t="n">
        <f aca="false">S404-$M$2</f>
        <v>-6.33469633843379</v>
      </c>
    </row>
    <row r="405" customFormat="false" ht="15" hidden="false" customHeight="false" outlineLevel="0" collapsed="false">
      <c r="A405" s="5" t="n">
        <v>4</v>
      </c>
      <c r="B405" s="25" t="n">
        <f aca="false">IF(T404&gt;0,B404,D404)</f>
        <v>0.0625</v>
      </c>
      <c r="C405" s="25" t="n">
        <f aca="false">IF(T404&gt;0,D404,C404)</f>
        <v>0.25</v>
      </c>
      <c r="D405" s="41" t="n">
        <f aca="false">(B405+C405)/2</f>
        <v>0.15625</v>
      </c>
      <c r="E405" s="15" t="n">
        <f aca="false">$C$2*(1+IF(E$3&lt;=$O$2,$D405,$D405-($D405-$I$400)*MIN(E$3-$O$2,$Q$2)/$Q$2))</f>
        <v>1005.9721875</v>
      </c>
      <c r="F405" s="15" t="n">
        <f aca="false">E405*(1+IF(F$3&lt;=$O$2,$D405,$D405-($D405-$I$400)*MIN(F$3-$O$2,$Q$2)/$Q$2))</f>
        <v>1163.15534179688</v>
      </c>
      <c r="G405" s="15" t="n">
        <f aca="false">F405*(1+IF(G$3&lt;=$O$2,$D405,$D405-($D405-$I$400)*MIN(G$3-$O$2,$Q$2)/$Q$2))</f>
        <v>1344.89836395264</v>
      </c>
      <c r="H405" s="15" t="n">
        <f aca="false">G405*(1+IF(H$3&lt;=$O$2,$D405,$D405-($D405-$I$400)*MIN(H$3-$O$2,$Q$2)/$Q$2))</f>
        <v>1555.03873332024</v>
      </c>
      <c r="I405" s="15" t="n">
        <f aca="false">H405*(1+IF(I$3&lt;=$O$2,$D405,$D405-($D405-$I$400)*MIN(I$3-$O$2,$Q$2)/$Q$2))</f>
        <v>1798.01353540152</v>
      </c>
      <c r="J405" s="15" t="n">
        <f aca="false">I405*(1+IF(J$3&lt;=$O$2,$D405,$D405-($D405-$I$400)*MIN(J$3-$O$2,$Q$2)/$Q$2))</f>
        <v>2034.73999747249</v>
      </c>
      <c r="K405" s="15" t="n">
        <f aca="false">J405*(1+IF(K$3&lt;=$O$2,$D405,$D405-($D405-$I$400)*MIN(K$3-$O$2,$Q$2)/$Q$2))</f>
        <v>2252.59960900187</v>
      </c>
      <c r="L405" s="15" t="n">
        <f aca="false">K405*(1+IF(L$3&lt;=$O$2,$D405,$D405-($D405-$I$400)*MIN(L$3-$O$2,$Q$2)/$Q$2))</f>
        <v>2438.39402475234</v>
      </c>
      <c r="M405" s="15" t="n">
        <f aca="false">L405*(1+IF(M$3&lt;=$O$2,$D405,$D405-($D405-$I$400)*MIN(M$3-$O$2,$Q$2)/$Q$2))</f>
        <v>2579.55265484525</v>
      </c>
      <c r="N405" s="15" t="n">
        <f aca="false">M405*(1+IF(N$3&lt;=$O$2,$D405,$D405-($D405-$I$400)*MIN(N$3-$O$2,$Q$2)/$Q$2))</f>
        <v>2665.4517582516</v>
      </c>
      <c r="O405" s="15" t="n">
        <f aca="false">SUMPRODUCT(E405:N405,1/(1+$F$400)^$E$3:$N$3)*$E$2</f>
        <v>2671.18259909866</v>
      </c>
      <c r="P405" s="15" t="n">
        <f aca="false">N405*$E$2*(1+$I$400)/($F$400-$I$400)/(1+$F$400)^$N$3</f>
        <v>6595.31766165864</v>
      </c>
      <c r="Q405" s="15" t="n">
        <f aca="false">O405+P405</f>
        <v>9266.5002607573</v>
      </c>
      <c r="R405" s="15" t="n">
        <f aca="false">Q405-$G$2+$I$2</f>
        <v>9433.9002607573</v>
      </c>
      <c r="S405" s="42" t="n">
        <f aca="false">R405/$K$2</f>
        <v>268.084690558605</v>
      </c>
      <c r="T405" s="43" t="n">
        <f aca="false">S405-$M$2</f>
        <v>103.549311189466</v>
      </c>
    </row>
    <row r="406" customFormat="false" ht="15" hidden="false" customHeight="false" outlineLevel="0" collapsed="false">
      <c r="A406" s="5" t="n">
        <v>5</v>
      </c>
      <c r="B406" s="25" t="n">
        <f aca="false">IF(T405&gt;0,B405,D405)</f>
        <v>0.0625</v>
      </c>
      <c r="C406" s="25" t="n">
        <f aca="false">IF(T405&gt;0,D405,C405)</f>
        <v>0.15625</v>
      </c>
      <c r="D406" s="41" t="n">
        <f aca="false">(B406+C406)/2</f>
        <v>0.109375</v>
      </c>
      <c r="E406" s="15" t="n">
        <f aca="false">$C$2*(1+IF(E$3&lt;=$O$2,$D406,$D406-($D406-$I$400)*MIN(E$3-$O$2,$Q$2)/$Q$2))</f>
        <v>965.18953125</v>
      </c>
      <c r="F406" s="15" t="n">
        <f aca="false">E406*(1+IF(F$3&lt;=$O$2,$D406,$D406-($D406-$I$400)*MIN(F$3-$O$2,$Q$2)/$Q$2))</f>
        <v>1070.75713623047</v>
      </c>
      <c r="G406" s="15" t="n">
        <f aca="false">F406*(1+IF(G$3&lt;=$O$2,$D406,$D406-($D406-$I$400)*MIN(G$3-$O$2,$Q$2)/$Q$2))</f>
        <v>1187.87119800568</v>
      </c>
      <c r="H406" s="15" t="n">
        <f aca="false">G406*(1+IF(H$3&lt;=$O$2,$D406,$D406-($D406-$I$400)*MIN(H$3-$O$2,$Q$2)/$Q$2))</f>
        <v>1317.79461028755</v>
      </c>
      <c r="I406" s="15" t="n">
        <f aca="false">H406*(1+IF(I$3&lt;=$O$2,$D406,$D406-($D406-$I$400)*MIN(I$3-$O$2,$Q$2)/$Q$2))</f>
        <v>1461.92839578775</v>
      </c>
      <c r="J406" s="15" t="n">
        <f aca="false">I406*(1+IF(J$3&lt;=$O$2,$D406,$D406-($D406-$I$400)*MIN(J$3-$O$2,$Q$2)/$Q$2))</f>
        <v>1599.58357353512</v>
      </c>
      <c r="K406" s="15" t="n">
        <f aca="false">J406*(1+IF(K$3&lt;=$O$2,$D406,$D406-($D406-$I$400)*MIN(K$3-$O$2,$Q$2)/$Q$2))</f>
        <v>1725.86269874785</v>
      </c>
      <c r="L406" s="15" t="n">
        <f aca="false">K406*(1+IF(L$3&lt;=$O$2,$D406,$D406-($D406-$I$400)*MIN(L$3-$O$2,$Q$2)/$Q$2))</f>
        <v>1835.85192853905</v>
      </c>
      <c r="M406" s="15" t="n">
        <f aca="false">L406*(1+IF(M$3&lt;=$O$2,$D406,$D406-($D406-$I$400)*MIN(M$3-$O$2,$Q$2)/$Q$2))</f>
        <v>1924.91828485213</v>
      </c>
      <c r="N406" s="15" t="n">
        <f aca="false">M406*(1+IF(N$3&lt;=$O$2,$D406,$D406-($D406-$I$400)*MIN(N$3-$O$2,$Q$2)/$Q$2))</f>
        <v>1989.0180637377</v>
      </c>
      <c r="O406" s="15" t="n">
        <f aca="false">SUMPRODUCT(E406:N406,1/(1+$F$400)^$E$3:$N$3)*$E$2</f>
        <v>2173.75502734058</v>
      </c>
      <c r="P406" s="15" t="n">
        <f aca="false">N406*$E$2*(1+$I$400)/($F$400-$I$400)/(1+$F$400)^$N$3</f>
        <v>4921.56945797894</v>
      </c>
      <c r="Q406" s="15" t="n">
        <f aca="false">O406+P406</f>
        <v>7095.32448531951</v>
      </c>
      <c r="R406" s="15" t="n">
        <f aca="false">Q406-$G$2+$I$2</f>
        <v>7262.72448531951</v>
      </c>
      <c r="S406" s="42" t="n">
        <f aca="false">R406/$K$2</f>
        <v>206.386032546732</v>
      </c>
      <c r="T406" s="43" t="n">
        <f aca="false">S406-$M$2</f>
        <v>41.8506531775934</v>
      </c>
    </row>
    <row r="407" customFormat="false" ht="15" hidden="false" customHeight="false" outlineLevel="0" collapsed="false">
      <c r="A407" s="5" t="n">
        <v>6</v>
      </c>
      <c r="B407" s="25" t="n">
        <f aca="false">IF(T406&gt;0,B406,D406)</f>
        <v>0.0625</v>
      </c>
      <c r="C407" s="25" t="n">
        <f aca="false">IF(T406&gt;0,D406,C406)</f>
        <v>0.109375</v>
      </c>
      <c r="D407" s="41" t="n">
        <f aca="false">(B407+C407)/2</f>
        <v>0.0859375</v>
      </c>
      <c r="E407" s="15" t="n">
        <f aca="false">$C$2*(1+IF(E$3&lt;=$O$2,$D407,$D407-($D407-$I$400)*MIN(E$3-$O$2,$Q$2)/$Q$2))</f>
        <v>944.798203125</v>
      </c>
      <c r="F407" s="15" t="n">
        <f aca="false">E407*(1+IF(F$3&lt;=$O$2,$D407,$D407-($D407-$I$400)*MIN(F$3-$O$2,$Q$2)/$Q$2))</f>
        <v>1025.99179870605</v>
      </c>
      <c r="G407" s="15" t="n">
        <f aca="false">F407*(1+IF(G$3&lt;=$O$2,$D407,$D407-($D407-$I$400)*MIN(G$3-$O$2,$Q$2)/$Q$2))</f>
        <v>1114.16296890736</v>
      </c>
      <c r="H407" s="15" t="n">
        <f aca="false">G407*(1+IF(H$3&lt;=$O$2,$D407,$D407-($D407-$I$400)*MIN(H$3-$O$2,$Q$2)/$Q$2))</f>
        <v>1209.91134904783</v>
      </c>
      <c r="I407" s="15" t="n">
        <f aca="false">H407*(1+IF(I$3&lt;=$O$2,$D407,$D407-($D407-$I$400)*MIN(I$3-$O$2,$Q$2)/$Q$2))</f>
        <v>1313.88810560663</v>
      </c>
      <c r="J407" s="15" t="n">
        <f aca="false">I407*(1+IF(J$3&lt;=$O$2,$D407,$D407-($D407-$I$400)*MIN(J$3-$O$2,$Q$2)/$Q$2))</f>
        <v>1412.96840765043</v>
      </c>
      <c r="K407" s="15" t="n">
        <f aca="false">J407*(1+IF(K$3&lt;=$O$2,$D407,$D407-($D407-$I$400)*MIN(K$3-$O$2,$Q$2)/$Q$2))</f>
        <v>1504.6453303598</v>
      </c>
      <c r="L407" s="15" t="n">
        <f aca="false">K407*(1+IF(L$3&lt;=$O$2,$D407,$D407-($D407-$I$400)*MIN(L$3-$O$2,$Q$2)/$Q$2))</f>
        <v>1586.43032729151</v>
      </c>
      <c r="M407" s="15" t="n">
        <f aca="false">L407*(1+IF(M$3&lt;=$O$2,$D407,$D407-($D407-$I$400)*MIN(M$3-$O$2,$Q$2)/$Q$2))</f>
        <v>1655.95960246088</v>
      </c>
      <c r="N407" s="15" t="n">
        <f aca="false">M407*(1+IF(N$3&lt;=$O$2,$D407,$D407-($D407-$I$400)*MIN(N$3-$O$2,$Q$2)/$Q$2))</f>
        <v>1711.10305722283</v>
      </c>
      <c r="O407" s="15" t="n">
        <f aca="false">SUMPRODUCT(E407:N407,1/(1+$F$400)^$E$3:$N$3)*$E$2</f>
        <v>1960.44302814341</v>
      </c>
      <c r="P407" s="15" t="n">
        <f aca="false">N407*$E$2*(1+$I$400)/($F$400-$I$400)/(1+$F$400)^$N$3</f>
        <v>4233.90450766304</v>
      </c>
      <c r="Q407" s="15" t="n">
        <f aca="false">O407+P407</f>
        <v>6194.34753580645</v>
      </c>
      <c r="R407" s="15" t="n">
        <f aca="false">Q407-$G$2+$I$2</f>
        <v>6361.74753580645</v>
      </c>
      <c r="S407" s="42" t="n">
        <f aca="false">R407/$K$2</f>
        <v>180.7828228419</v>
      </c>
      <c r="T407" s="43" t="n">
        <f aca="false">S407-$M$2</f>
        <v>16.2474434727606</v>
      </c>
    </row>
    <row r="408" customFormat="false" ht="15" hidden="false" customHeight="false" outlineLevel="0" collapsed="false">
      <c r="A408" s="5" t="n">
        <v>7</v>
      </c>
      <c r="B408" s="25" t="n">
        <f aca="false">IF(T407&gt;0,B407,D407)</f>
        <v>0.0625</v>
      </c>
      <c r="C408" s="25" t="n">
        <f aca="false">IF(T407&gt;0,D407,C407)</f>
        <v>0.0859375</v>
      </c>
      <c r="D408" s="41" t="n">
        <f aca="false">(B408+C408)/2</f>
        <v>0.07421875</v>
      </c>
      <c r="E408" s="15" t="n">
        <f aca="false">$C$2*(1+IF(E$3&lt;=$O$2,$D408,$D408-($D408-$I$400)*MIN(E$3-$O$2,$Q$2)/$Q$2))</f>
        <v>934.6025390625</v>
      </c>
      <c r="F408" s="15" t="n">
        <f aca="false">E408*(1+IF(F$3&lt;=$O$2,$D408,$D408-($D408-$I$400)*MIN(F$3-$O$2,$Q$2)/$Q$2))</f>
        <v>1003.96757125854</v>
      </c>
      <c r="G408" s="15" t="n">
        <f aca="false">F408*(1+IF(G$3&lt;=$O$2,$D408,$D408-($D408-$I$400)*MIN(G$3-$O$2,$Q$2)/$Q$2))</f>
        <v>1078.48078943789</v>
      </c>
      <c r="H408" s="15" t="n">
        <f aca="false">G408*(1+IF(H$3&lt;=$O$2,$D408,$D408-($D408-$I$400)*MIN(H$3-$O$2,$Q$2)/$Q$2))</f>
        <v>1158.52428552898</v>
      </c>
      <c r="I408" s="15" t="n">
        <f aca="false">H408*(1+IF(I$3&lt;=$O$2,$D408,$D408-($D408-$I$400)*MIN(I$3-$O$2,$Q$2)/$Q$2))</f>
        <v>1244.50850984559</v>
      </c>
      <c r="J408" s="15" t="n">
        <f aca="false">I408*(1+IF(J$3&lt;=$O$2,$D408,$D408-($D408-$I$400)*MIN(J$3-$O$2,$Q$2)/$Q$2))</f>
        <v>1326.68962929324</v>
      </c>
      <c r="K408" s="15" t="n">
        <f aca="false">J408*(1+IF(K$3&lt;=$O$2,$D408,$D408-($D408-$I$400)*MIN(K$3-$O$2,$Q$2)/$Q$2))</f>
        <v>1403.44028270989</v>
      </c>
      <c r="L408" s="15" t="n">
        <f aca="false">K408*(1+IF(L$3&lt;=$O$2,$D408,$D408-($D408-$I$400)*MIN(L$3-$O$2,$Q$2)/$Q$2))</f>
        <v>1473.14565295139</v>
      </c>
      <c r="M408" s="15" t="n">
        <f aca="false">L408*(1+IF(M$3&lt;=$O$2,$D408,$D408-($D408-$I$400)*MIN(M$3-$O$2,$Q$2)/$Q$2))</f>
        <v>1534.25725893201</v>
      </c>
      <c r="N408" s="15" t="n">
        <f aca="false">M408*(1+IF(N$3&lt;=$O$2,$D408,$D408-($D408-$I$400)*MIN(N$3-$O$2,$Q$2)/$Q$2))</f>
        <v>1585.34802565444</v>
      </c>
      <c r="O408" s="15" t="n">
        <f aca="false">SUMPRODUCT(E408:N408,1/(1+$F$400)^$E$3:$N$3)*$E$2</f>
        <v>1861.70967028884</v>
      </c>
      <c r="P408" s="15" t="n">
        <f aca="false">N408*$E$2*(1+$I$400)/($F$400-$I$400)/(1+$F$400)^$N$3</f>
        <v>3922.73985117364</v>
      </c>
      <c r="Q408" s="15" t="n">
        <f aca="false">O408+P408</f>
        <v>5784.44952146249</v>
      </c>
      <c r="R408" s="15" t="n">
        <f aca="false">Q408-$G$2+$I$2</f>
        <v>5951.84952146249</v>
      </c>
      <c r="S408" s="42" t="n">
        <f aca="false">R408/$K$2</f>
        <v>169.134683758525</v>
      </c>
      <c r="T408" s="43" t="n">
        <f aca="false">S408-$M$2</f>
        <v>4.59930438938574</v>
      </c>
    </row>
    <row r="409" customFormat="false" ht="15" hidden="false" customHeight="false" outlineLevel="0" collapsed="false">
      <c r="A409" s="5" t="n">
        <v>8</v>
      </c>
      <c r="B409" s="25" t="n">
        <f aca="false">IF(T408&gt;0,B408,D408)</f>
        <v>0.0625</v>
      </c>
      <c r="C409" s="25" t="n">
        <f aca="false">IF(T408&gt;0,D408,C408)</f>
        <v>0.07421875</v>
      </c>
      <c r="D409" s="41" t="n">
        <f aca="false">(B409+C409)/2</f>
        <v>0.068359375</v>
      </c>
      <c r="E409" s="15" t="n">
        <f aca="false">$C$2*(1+IF(E$3&lt;=$O$2,$D409,$D409-($D409-$I$400)*MIN(E$3-$O$2,$Q$2)/$Q$2))</f>
        <v>929.50470703125</v>
      </c>
      <c r="F409" s="15" t="n">
        <f aca="false">E409*(1+IF(F$3&lt;=$O$2,$D409,$D409-($D409-$I$400)*MIN(F$3-$O$2,$Q$2)/$Q$2))</f>
        <v>993.045067863464</v>
      </c>
      <c r="G409" s="15" t="n">
        <f aca="false">F409*(1+IF(G$3&lt;=$O$2,$D409,$D409-($D409-$I$400)*MIN(G$3-$O$2,$Q$2)/$Q$2))</f>
        <v>1060.92900804944</v>
      </c>
      <c r="H409" s="15" t="n">
        <f aca="false">G409*(1+IF(H$3&lt;=$O$2,$D409,$D409-($D409-$I$400)*MIN(H$3-$O$2,$Q$2)/$Q$2))</f>
        <v>1133.45345195907</v>
      </c>
      <c r="I409" s="15" t="n">
        <f aca="false">H409*(1+IF(I$3&lt;=$O$2,$D409,$D409-($D409-$I$400)*MIN(I$3-$O$2,$Q$2)/$Q$2))</f>
        <v>1210.93562152659</v>
      </c>
      <c r="J409" s="15" t="n">
        <f aca="false">I409*(1+IF(J$3&lt;=$O$2,$D409,$D409-($D409-$I$400)*MIN(J$3-$O$2,$Q$2)/$Q$2))</f>
        <v>1285.22349456819</v>
      </c>
      <c r="K409" s="15" t="n">
        <f aca="false">J409*(1+IF(K$3&lt;=$O$2,$D409,$D409-($D409-$I$400)*MIN(K$3-$O$2,$Q$2)/$Q$2))</f>
        <v>1355.05691641024</v>
      </c>
      <c r="L409" s="15" t="n">
        <f aca="false">K409*(1+IF(L$3&lt;=$O$2,$D409,$D409-($D409-$I$400)*MIN(L$3-$O$2,$Q$2)/$Q$2))</f>
        <v>1419.18329115821</v>
      </c>
      <c r="M409" s="15" t="n">
        <f aca="false">L409*(1+IF(M$3&lt;=$O$2,$D409,$D409-($D409-$I$400)*MIN(M$3-$O$2,$Q$2)/$Q$2))</f>
        <v>1476.39323059347</v>
      </c>
      <c r="N409" s="15" t="n">
        <f aca="false">M409*(1+IF(N$3&lt;=$O$2,$D409,$D409-($D409-$I$400)*MIN(N$3-$O$2,$Q$2)/$Q$2))</f>
        <v>1525.55712517223</v>
      </c>
      <c r="O409" s="15" t="n">
        <f aca="false">SUMPRODUCT(E409:N409,1/(1+$F$400)^$E$3:$N$3)*$E$2</f>
        <v>1814.21630220302</v>
      </c>
      <c r="P409" s="15" t="n">
        <f aca="false">N409*$E$2*(1+$I$400)/($F$400-$I$400)/(1+$F$400)^$N$3</f>
        <v>3774.79495562787</v>
      </c>
      <c r="Q409" s="15" t="n">
        <f aca="false">O409+P409</f>
        <v>5589.01125783089</v>
      </c>
      <c r="R409" s="15" t="n">
        <f aca="false">Q409-$G$2+$I$2</f>
        <v>5756.41125783089</v>
      </c>
      <c r="S409" s="42" t="n">
        <f aca="false">R409/$K$2</f>
        <v>163.580882575473</v>
      </c>
      <c r="T409" s="43" t="n">
        <f aca="false">S409-$M$2</f>
        <v>-0.954496793666237</v>
      </c>
    </row>
    <row r="410" customFormat="false" ht="15" hidden="false" customHeight="false" outlineLevel="0" collapsed="false">
      <c r="A410" s="5" t="n">
        <v>9</v>
      </c>
      <c r="B410" s="25" t="n">
        <f aca="false">IF(T409&gt;0,B409,D409)</f>
        <v>0.068359375</v>
      </c>
      <c r="C410" s="25" t="n">
        <f aca="false">IF(T409&gt;0,D409,C409)</f>
        <v>0.07421875</v>
      </c>
      <c r="D410" s="41" t="n">
        <f aca="false">(B410+C410)/2</f>
        <v>0.0712890625</v>
      </c>
      <c r="E410" s="15" t="n">
        <f aca="false">$C$2*(1+IF(E$3&lt;=$O$2,$D410,$D410-($D410-$I$400)*MIN(E$3-$O$2,$Q$2)/$Q$2))</f>
        <v>932.053623046875</v>
      </c>
      <c r="F410" s="15" t="n">
        <f aca="false">E410*(1+IF(F$3&lt;=$O$2,$D410,$D410-($D410-$I$400)*MIN(F$3-$O$2,$Q$2)/$Q$2))</f>
        <v>998.498852033615</v>
      </c>
      <c r="G410" s="15" t="n">
        <f aca="false">F410*(1+IF(G$3&lt;=$O$2,$D410,$D410-($D410-$I$400)*MIN(G$3-$O$2,$Q$2)/$Q$2))</f>
        <v>1069.68089910242</v>
      </c>
      <c r="H410" s="15" t="n">
        <f aca="false">G410*(1+IF(H$3&lt;=$O$2,$D410,$D410-($D410-$I$400)*MIN(H$3-$O$2,$Q$2)/$Q$2))</f>
        <v>1145.93744757359</v>
      </c>
      <c r="I410" s="15" t="n">
        <f aca="false">H410*(1+IF(I$3&lt;=$O$2,$D410,$D410-($D410-$I$400)*MIN(I$3-$O$2,$Q$2)/$Q$2))</f>
        <v>1227.63025389475</v>
      </c>
      <c r="J410" s="15" t="n">
        <f aca="false">I410*(1+IF(J$3&lt;=$O$2,$D410,$D410-($D410-$I$400)*MIN(J$3-$O$2,$Q$2)/$Q$2))</f>
        <v>1305.81955930312</v>
      </c>
      <c r="K410" s="15" t="n">
        <f aca="false">J410*(1+IF(K$3&lt;=$O$2,$D410,$D410-($D410-$I$400)*MIN(K$3-$O$2,$Q$2)/$Q$2))</f>
        <v>1379.06746713917</v>
      </c>
      <c r="L410" s="15" t="n">
        <f aca="false">K410*(1+IF(L$3&lt;=$O$2,$D410,$D410-($D410-$I$400)*MIN(L$3-$O$2,$Q$2)/$Q$2))</f>
        <v>1445.94620587525</v>
      </c>
      <c r="M410" s="15" t="n">
        <f aca="false">L410*(1+IF(M$3&lt;=$O$2,$D410,$D410-($D410-$I$400)*MIN(M$3-$O$2,$Q$2)/$Q$2))</f>
        <v>1505.08224268822</v>
      </c>
      <c r="N410" s="15" t="n">
        <f aca="false">M410*(1+IF(N$3&lt;=$O$2,$D410,$D410-($D410-$I$400)*MIN(N$3-$O$2,$Q$2)/$Q$2))</f>
        <v>1555.20148136974</v>
      </c>
      <c r="O410" s="15" t="n">
        <f aca="false">SUMPRODUCT(E410:N410,1/(1+$F$400)^$E$3:$N$3)*$E$2</f>
        <v>1837.80996604498</v>
      </c>
      <c r="P410" s="15" t="n">
        <f aca="false">N410*$E$2*(1+$I$400)/($F$400-$I$400)/(1+$F$400)^$N$3</f>
        <v>3848.14610347465</v>
      </c>
      <c r="Q410" s="15" t="n">
        <f aca="false">O410+P410</f>
        <v>5685.95606951963</v>
      </c>
      <c r="R410" s="15" t="n">
        <f aca="false">Q410-$G$2+$I$2</f>
        <v>5853.35606951963</v>
      </c>
      <c r="S410" s="42" t="n">
        <f aca="false">R410/$K$2</f>
        <v>166.335779184985</v>
      </c>
      <c r="T410" s="43" t="n">
        <f aca="false">S410-$M$2</f>
        <v>1.80039981584622</v>
      </c>
    </row>
    <row r="411" customFormat="false" ht="15" hidden="false" customHeight="false" outlineLevel="0" collapsed="false">
      <c r="A411" s="5" t="n">
        <v>10</v>
      </c>
      <c r="B411" s="25" t="n">
        <f aca="false">IF(T410&gt;0,B410,D410)</f>
        <v>0.068359375</v>
      </c>
      <c r="C411" s="25" t="n">
        <f aca="false">IF(T410&gt;0,D410,C410)</f>
        <v>0.0712890625</v>
      </c>
      <c r="D411" s="41" t="n">
        <f aca="false">(B411+C411)/2</f>
        <v>0.06982421875</v>
      </c>
      <c r="E411" s="15" t="n">
        <f aca="false">$C$2*(1+IF(E$3&lt;=$O$2,$D411,$D411-($D411-$I$400)*MIN(E$3-$O$2,$Q$2)/$Q$2))</f>
        <v>930.779165039063</v>
      </c>
      <c r="F411" s="15" t="n">
        <f aca="false">E411*(1+IF(F$3&lt;=$O$2,$D411,$D411-($D411-$I$400)*MIN(F$3-$O$2,$Q$2)/$Q$2))</f>
        <v>995.770093066692</v>
      </c>
      <c r="G411" s="15" t="n">
        <f aca="false">F411*(1+IF(G$3&lt;=$O$2,$D411,$D411-($D411-$I$400)*MIN(G$3-$O$2,$Q$2)/$Q$2))</f>
        <v>1065.29896186969</v>
      </c>
      <c r="H411" s="15" t="n">
        <f aca="false">G411*(1+IF(H$3&lt;=$O$2,$D411,$D411-($D411-$I$400)*MIN(H$3-$O$2,$Q$2)/$Q$2))</f>
        <v>1139.68262961743</v>
      </c>
      <c r="I411" s="15" t="n">
        <f aca="false">H411*(1+IF(I$3&lt;=$O$2,$D411,$D411-($D411-$I$400)*MIN(I$3-$O$2,$Q$2)/$Q$2))</f>
        <v>1219.26007885341</v>
      </c>
      <c r="J411" s="15" t="n">
        <f aca="false">I411*(1+IF(J$3&lt;=$O$2,$D411,$D411-($D411-$I$400)*MIN(J$3-$O$2,$Q$2)/$Q$2))</f>
        <v>1295.48745694577</v>
      </c>
      <c r="K411" s="15" t="n">
        <f aca="false">J411*(1+IF(K$3&lt;=$O$2,$D411,$D411-($D411-$I$400)*MIN(K$3-$O$2,$Q$2)/$Q$2))</f>
        <v>1367.01718962129</v>
      </c>
      <c r="L411" s="15" t="n">
        <f aca="false">K411*(1+IF(L$3&lt;=$O$2,$D411,$D411-($D411-$I$400)*MIN(L$3-$O$2,$Q$2)/$Q$2))</f>
        <v>1432.51055598317</v>
      </c>
      <c r="M411" s="15" t="n">
        <f aca="false">L411*(1+IF(M$3&lt;=$O$2,$D411,$D411-($D411-$I$400)*MIN(M$3-$O$2,$Q$2)/$Q$2))</f>
        <v>1490.6774232791</v>
      </c>
      <c r="N411" s="15" t="n">
        <f aca="false">M411*(1+IF(N$3&lt;=$O$2,$D411,$D411-($D411-$I$400)*MIN(N$3-$O$2,$Q$2)/$Q$2))</f>
        <v>1540.31698147429</v>
      </c>
      <c r="O411" s="15" t="n">
        <f aca="false">SUMPRODUCT(E411:N411,1/(1+$F$400)^$E$3:$N$3)*$E$2</f>
        <v>1825.97510746797</v>
      </c>
      <c r="P411" s="15" t="n">
        <f aca="false">N411*$E$2*(1+$I$400)/($F$400-$I$400)/(1+$F$400)^$N$3</f>
        <v>3811.31632227845</v>
      </c>
      <c r="Q411" s="15" t="n">
        <f aca="false">O411+P411</f>
        <v>5637.29142974642</v>
      </c>
      <c r="R411" s="15" t="n">
        <f aca="false">Q411-$G$2+$I$2</f>
        <v>5804.69142974642</v>
      </c>
      <c r="S411" s="42" t="n">
        <f aca="false">R411/$K$2</f>
        <v>164.952868137153</v>
      </c>
      <c r="T411" s="43" t="n">
        <f aca="false">S411-$M$2</f>
        <v>0.417488768014209</v>
      </c>
    </row>
    <row r="412" customFormat="false" ht="15" hidden="false" customHeight="false" outlineLevel="0" collapsed="false">
      <c r="A412" s="5" t="n">
        <v>11</v>
      </c>
      <c r="B412" s="25" t="n">
        <f aca="false">IF(T411&gt;0,B411,D411)</f>
        <v>0.068359375</v>
      </c>
      <c r="C412" s="25" t="n">
        <f aca="false">IF(T411&gt;0,D411,C411)</f>
        <v>0.06982421875</v>
      </c>
      <c r="D412" s="41" t="n">
        <f aca="false">(B412+C412)/2</f>
        <v>0.069091796875</v>
      </c>
      <c r="E412" s="15" t="n">
        <f aca="false">$C$2*(1+IF(E$3&lt;=$O$2,$D412,$D412-($D412-$I$400)*MIN(E$3-$O$2,$Q$2)/$Q$2))</f>
        <v>930.141936035156</v>
      </c>
      <c r="F412" s="15" t="n">
        <f aca="false">E412*(1+IF(F$3&lt;=$O$2,$D412,$D412-($D412-$I$400)*MIN(F$3-$O$2,$Q$2)/$Q$2))</f>
        <v>994.407113744617</v>
      </c>
      <c r="G412" s="15" t="n">
        <f aca="false">F412*(1+IF(G$3&lt;=$O$2,$D412,$D412-($D412-$I$400)*MIN(G$3-$O$2,$Q$2)/$Q$2))</f>
        <v>1063.11248805851</v>
      </c>
      <c r="H412" s="15" t="n">
        <f aca="false">G412*(1+IF(H$3&lt;=$O$2,$D412,$D412-($D412-$I$400)*MIN(H$3-$O$2,$Q$2)/$Q$2))</f>
        <v>1136.56484013873</v>
      </c>
      <c r="I412" s="15" t="n">
        <f aca="false">H412*(1+IF(I$3&lt;=$O$2,$D412,$D412-($D412-$I$400)*MIN(I$3-$O$2,$Q$2)/$Q$2))</f>
        <v>1215.09214720886</v>
      </c>
      <c r="J412" s="15" t="n">
        <f aca="false">I412*(1+IF(J$3&lt;=$O$2,$D412,$D412-($D412-$I$400)*MIN(J$3-$O$2,$Q$2)/$Q$2))</f>
        <v>1290.34698076476</v>
      </c>
      <c r="K412" s="15" t="n">
        <f aca="false">J412*(1+IF(K$3&lt;=$O$2,$D412,$D412-($D412-$I$400)*MIN(K$3-$O$2,$Q$2)/$Q$2))</f>
        <v>1361.02583744451</v>
      </c>
      <c r="L412" s="15" t="n">
        <f aca="false">K412*(1+IF(L$3&lt;=$O$2,$D412,$D412-($D412-$I$400)*MIN(L$3-$O$2,$Q$2)/$Q$2))</f>
        <v>1425.83342195759</v>
      </c>
      <c r="M412" s="15" t="n">
        <f aca="false">L412*(1+IF(M$3&lt;=$O$2,$D412,$D412-($D412-$I$400)*MIN(M$3-$O$2,$Q$2)/$Q$2))</f>
        <v>1483.52030295203</v>
      </c>
      <c r="N412" s="15" t="n">
        <f aca="false">M412*(1+IF(N$3&lt;=$O$2,$D412,$D412-($D412-$I$400)*MIN(N$3-$O$2,$Q$2)/$Q$2))</f>
        <v>1532.92152904034</v>
      </c>
      <c r="O412" s="15" t="n">
        <f aca="false">SUMPRODUCT(E412:N412,1/(1+$F$400)^$E$3:$N$3)*$E$2</f>
        <v>1820.08622659145</v>
      </c>
      <c r="P412" s="15" t="n">
        <f aca="false">N412*$E$2*(1+$I$400)/($F$400-$I$400)/(1+$F$400)^$N$3</f>
        <v>3793.01722611113</v>
      </c>
      <c r="Q412" s="15" t="n">
        <f aca="false">O412+P412</f>
        <v>5613.10345270258</v>
      </c>
      <c r="R412" s="15" t="n">
        <f aca="false">Q412-$G$2+$I$2</f>
        <v>5780.50345270258</v>
      </c>
      <c r="S412" s="42" t="n">
        <f aca="false">R412/$K$2</f>
        <v>164.265514427467</v>
      </c>
      <c r="T412" s="43" t="n">
        <f aca="false">S412-$M$2</f>
        <v>-0.269864941671642</v>
      </c>
    </row>
    <row r="413" customFormat="false" ht="15" hidden="false" customHeight="false" outlineLevel="0" collapsed="false">
      <c r="A413" s="5" t="n">
        <v>12</v>
      </c>
      <c r="B413" s="25" t="n">
        <f aca="false">IF(T412&gt;0,B412,D412)</f>
        <v>0.069091796875</v>
      </c>
      <c r="C413" s="25" t="n">
        <f aca="false">IF(T412&gt;0,D412,C412)</f>
        <v>0.06982421875</v>
      </c>
      <c r="D413" s="41" t="n">
        <f aca="false">(B413+C413)/2</f>
        <v>0.0694580078125</v>
      </c>
      <c r="E413" s="15" t="n">
        <f aca="false">$C$2*(1+IF(E$3&lt;=$O$2,$D413,$D413-($D413-$I$400)*MIN(E$3-$O$2,$Q$2)/$Q$2))</f>
        <v>930.460550537109</v>
      </c>
      <c r="F413" s="15" t="n">
        <f aca="false">E413*(1+IF(F$3&lt;=$O$2,$D413,$D413-($D413-$I$400)*MIN(F$3-$O$2,$Q$2)/$Q$2))</f>
        <v>995.088486725539</v>
      </c>
      <c r="G413" s="15" t="n">
        <f aca="false">F413*(1+IF(G$3&lt;=$O$2,$D413,$D413-($D413-$I$400)*MIN(G$3-$O$2,$Q$2)/$Q$2))</f>
        <v>1064.20535061065</v>
      </c>
      <c r="H413" s="15" t="n">
        <f aca="false">G413*(1+IF(H$3&lt;=$O$2,$D413,$D413-($D413-$I$400)*MIN(H$3-$O$2,$Q$2)/$Q$2))</f>
        <v>1138.12293416747</v>
      </c>
      <c r="I413" s="15" t="n">
        <f aca="false">H413*(1+IF(I$3&lt;=$O$2,$D413,$D413-($D413-$I$400)*MIN(I$3-$O$2,$Q$2)/$Q$2))</f>
        <v>1217.17468582046</v>
      </c>
      <c r="J413" s="15" t="n">
        <f aca="false">I413*(1+IF(J$3&lt;=$O$2,$D413,$D413-($D413-$I$400)*MIN(J$3-$O$2,$Q$2)/$Q$2))</f>
        <v>1292.91509229754</v>
      </c>
      <c r="K413" s="15" t="n">
        <f aca="false">J413*(1+IF(K$3&lt;=$O$2,$D413,$D413-($D413-$I$400)*MIN(K$3-$O$2,$Q$2)/$Q$2))</f>
        <v>1364.01870527596</v>
      </c>
      <c r="L413" s="15" t="n">
        <f aca="false">K413*(1+IF(L$3&lt;=$O$2,$D413,$D413-($D413-$I$400)*MIN(L$3-$O$2,$Q$2)/$Q$2))</f>
        <v>1429.16860776236</v>
      </c>
      <c r="M413" s="15" t="n">
        <f aca="false">L413*(1+IF(M$3&lt;=$O$2,$D413,$D413-($D413-$I$400)*MIN(M$3-$O$2,$Q$2)/$Q$2))</f>
        <v>1487.09510033781</v>
      </c>
      <c r="N413" s="15" t="n">
        <f aca="false">M413*(1+IF(N$3&lt;=$O$2,$D413,$D413-($D413-$I$400)*MIN(N$3-$O$2,$Q$2)/$Q$2))</f>
        <v>1536.61536717906</v>
      </c>
      <c r="O413" s="15" t="n">
        <f aca="false">SUMPRODUCT(E413:N413,1/(1+$F$400)^$E$3:$N$3)*$E$2</f>
        <v>1823.02829392196</v>
      </c>
      <c r="P413" s="15" t="n">
        <f aca="false">N413*$E$2*(1+$I$400)/($F$400-$I$400)/(1+$F$400)^$N$3</f>
        <v>3802.15715364507</v>
      </c>
      <c r="Q413" s="15" t="n">
        <f aca="false">O413+P413</f>
        <v>5625.18544756703</v>
      </c>
      <c r="R413" s="15" t="n">
        <f aca="false">Q413-$G$2+$I$2</f>
        <v>5792.58544756703</v>
      </c>
      <c r="S413" s="42" t="n">
        <f aca="false">R413/$K$2</f>
        <v>164.60885045658</v>
      </c>
      <c r="T413" s="43" t="n">
        <f aca="false">S413-$M$2</f>
        <v>0.073471087440538</v>
      </c>
    </row>
    <row r="414" customFormat="false" ht="15" hidden="false" customHeight="false" outlineLevel="0" collapsed="false">
      <c r="A414" s="5" t="n">
        <v>13</v>
      </c>
      <c r="B414" s="25" t="n">
        <f aca="false">IF(T413&gt;0,B413,D413)</f>
        <v>0.069091796875</v>
      </c>
      <c r="C414" s="25" t="n">
        <f aca="false">IF(T413&gt;0,D413,C413)</f>
        <v>0.0694580078125</v>
      </c>
      <c r="D414" s="41" t="n">
        <f aca="false">(B414+C414)/2</f>
        <v>0.06927490234375</v>
      </c>
      <c r="E414" s="15" t="n">
        <f aca="false">$C$2*(1+IF(E$3&lt;=$O$2,$D414,$D414-($D414-$I$400)*MIN(E$3-$O$2,$Q$2)/$Q$2))</f>
        <v>930.301243286133</v>
      </c>
      <c r="F414" s="15" t="n">
        <f aca="false">E414*(1+IF(F$3&lt;=$O$2,$D414,$D414-($D414-$I$400)*MIN(F$3-$O$2,$Q$2)/$Q$2))</f>
        <v>994.747771065049</v>
      </c>
      <c r="G414" s="15" t="n">
        <f aca="false">F414*(1+IF(G$3&lt;=$O$2,$D414,$D414-($D414-$I$400)*MIN(G$3-$O$2,$Q$2)/$Q$2))</f>
        <v>1063.65882576224</v>
      </c>
      <c r="H414" s="15" t="n">
        <f aca="false">G414*(1+IF(H$3&lt;=$O$2,$D414,$D414-($D414-$I$400)*MIN(H$3-$O$2,$Q$2)/$Q$2))</f>
        <v>1137.34368704399</v>
      </c>
      <c r="I414" s="15" t="n">
        <f aca="false">H414*(1+IF(I$3&lt;=$O$2,$D414,$D414-($D414-$I$400)*MIN(I$3-$O$2,$Q$2)/$Q$2))</f>
        <v>1216.13305989524</v>
      </c>
      <c r="J414" s="15" t="n">
        <f aca="false">I414*(1+IF(J$3&lt;=$O$2,$D414,$D414-($D414-$I$400)*MIN(J$3-$O$2,$Q$2)/$Q$2))</f>
        <v>1291.63050524314</v>
      </c>
      <c r="K414" s="15" t="n">
        <f aca="false">J414*(1+IF(K$3&lt;=$O$2,$D414,$D414-($D414-$I$400)*MIN(K$3-$O$2,$Q$2)/$Q$2))</f>
        <v>1362.52156984194</v>
      </c>
      <c r="L414" s="15" t="n">
        <f aca="false">K414*(1+IF(L$3&lt;=$O$2,$D414,$D414-($D414-$I$400)*MIN(L$3-$O$2,$Q$2)/$Q$2))</f>
        <v>1427.5001702842</v>
      </c>
      <c r="M414" s="15" t="n">
        <f aca="false">L414*(1+IF(M$3&lt;=$O$2,$D414,$D414-($D414-$I$400)*MIN(M$3-$O$2,$Q$2)/$Q$2))</f>
        <v>1485.306761799</v>
      </c>
      <c r="N414" s="15" t="n">
        <f aca="false">M414*(1+IF(N$3&lt;=$O$2,$D414,$D414-($D414-$I$400)*MIN(N$3-$O$2,$Q$2)/$Q$2))</f>
        <v>1534.76747696691</v>
      </c>
      <c r="O414" s="15" t="n">
        <f aca="false">SUMPRODUCT(E414:N414,1/(1+$F$400)^$E$3:$N$3)*$E$2</f>
        <v>1821.55666742347</v>
      </c>
      <c r="P414" s="15" t="n">
        <f aca="false">N414*$E$2*(1+$I$400)/($F$400-$I$400)/(1+$F$400)^$N$3</f>
        <v>3797.58478691012</v>
      </c>
      <c r="Q414" s="15" t="n">
        <f aca="false">O414+P414</f>
        <v>5619.14145433359</v>
      </c>
      <c r="R414" s="15" t="n">
        <f aca="false">Q414-$G$2+$I$2</f>
        <v>5786.54145433359</v>
      </c>
      <c r="S414" s="42" t="n">
        <f aca="false">R414/$K$2</f>
        <v>164.437097309849</v>
      </c>
      <c r="T414" s="43" t="n">
        <f aca="false">S414-$M$2</f>
        <v>-0.0982820592898577</v>
      </c>
    </row>
    <row r="415" customFormat="false" ht="15" hidden="false" customHeight="false" outlineLevel="0" collapsed="false">
      <c r="A415" s="5" t="n">
        <v>14</v>
      </c>
      <c r="B415" s="25" t="n">
        <f aca="false">IF(T414&gt;0,B414,D414)</f>
        <v>0.06927490234375</v>
      </c>
      <c r="C415" s="25" t="n">
        <f aca="false">IF(T414&gt;0,D414,C414)</f>
        <v>0.0694580078125</v>
      </c>
      <c r="D415" s="41" t="n">
        <f aca="false">(B415+C415)/2</f>
        <v>0.069366455078125</v>
      </c>
      <c r="E415" s="15" t="n">
        <f aca="false">$C$2*(1+IF(E$3&lt;=$O$2,$D415,$D415-($D415-$I$400)*MIN(E$3-$O$2,$Q$2)/$Q$2))</f>
        <v>930.380896911621</v>
      </c>
      <c r="F415" s="15" t="n">
        <f aca="false">E415*(1+IF(F$3&lt;=$O$2,$D415,$D415-($D415-$I$400)*MIN(F$3-$O$2,$Q$2)/$Q$2))</f>
        <v>994.918121602787</v>
      </c>
      <c r="G415" s="15" t="n">
        <f aca="false">F415*(1+IF(G$3&lt;=$O$2,$D415,$D415-($D415-$I$400)*MIN(G$3-$O$2,$Q$2)/$Q$2))</f>
        <v>1063.93206479136</v>
      </c>
      <c r="H415" s="15" t="n">
        <f aca="false">G415*(1+IF(H$3&lt;=$O$2,$D415,$D415-($D415-$I$400)*MIN(H$3-$O$2,$Q$2)/$Q$2))</f>
        <v>1137.73326056989</v>
      </c>
      <c r="I415" s="15" t="n">
        <f aca="false">H415*(1+IF(I$3&lt;=$O$2,$D415,$D415-($D415-$I$400)*MIN(I$3-$O$2,$Q$2)/$Q$2))</f>
        <v>1216.6537836801</v>
      </c>
      <c r="J415" s="15" t="n">
        <f aca="false">I415*(1+IF(J$3&lt;=$O$2,$D415,$D415-($D415-$I$400)*MIN(J$3-$O$2,$Q$2)/$Q$2))</f>
        <v>1292.27266590443</v>
      </c>
      <c r="K415" s="15" t="n">
        <f aca="false">J415*(1+IF(K$3&lt;=$O$2,$D415,$D415-($D415-$I$400)*MIN(K$3-$O$2,$Q$2)/$Q$2))</f>
        <v>1363.26996211116</v>
      </c>
      <c r="L415" s="15" t="n">
        <f aca="false">K415*(1+IF(L$3&lt;=$O$2,$D415,$D415-($D415-$I$400)*MIN(L$3-$O$2,$Q$2)/$Q$2))</f>
        <v>1428.3341777886</v>
      </c>
      <c r="M415" s="15" t="n">
        <f aca="false">L415*(1+IF(M$3&lt;=$O$2,$D415,$D415-($D415-$I$400)*MIN(M$3-$O$2,$Q$2)/$Q$2))</f>
        <v>1486.20069600091</v>
      </c>
      <c r="N415" s="15" t="n">
        <f aca="false">M415*(1+IF(N$3&lt;=$O$2,$D415,$D415-($D415-$I$400)*MIN(N$3-$O$2,$Q$2)/$Q$2))</f>
        <v>1535.69117917774</v>
      </c>
      <c r="O415" s="15" t="n">
        <f aca="false">SUMPRODUCT(E415:N415,1/(1+$F$400)^$E$3:$N$3)*$E$2</f>
        <v>1822.29233240897</v>
      </c>
      <c r="P415" s="15" t="n">
        <f aca="false">N415*$E$2*(1+$I$400)/($F$400-$I$400)/(1+$F$400)^$N$3</f>
        <v>3799.87036926455</v>
      </c>
      <c r="Q415" s="15" t="n">
        <f aca="false">O415+P415</f>
        <v>5622.16270167352</v>
      </c>
      <c r="R415" s="15" t="n">
        <f aca="false">Q415-$G$2+$I$2</f>
        <v>5789.56270167352</v>
      </c>
      <c r="S415" s="42" t="n">
        <f aca="false">R415/$K$2</f>
        <v>164.522952590893</v>
      </c>
      <c r="T415" s="43" t="n">
        <f aca="false">S415-$M$2</f>
        <v>-0.0124267782462368</v>
      </c>
    </row>
    <row r="416" customFormat="false" ht="15" hidden="false" customHeight="false" outlineLevel="0" collapsed="false">
      <c r="A416" s="5" t="n">
        <v>15</v>
      </c>
      <c r="B416" s="25" t="n">
        <f aca="false">IF(T415&gt;0,B415,D415)</f>
        <v>0.069366455078125</v>
      </c>
      <c r="C416" s="25" t="n">
        <f aca="false">IF(T415&gt;0,D415,C415)</f>
        <v>0.0694580078125</v>
      </c>
      <c r="D416" s="41" t="n">
        <f aca="false">(B416+C416)/2</f>
        <v>0.0694122314453125</v>
      </c>
      <c r="E416" s="15" t="n">
        <f aca="false">$C$2*(1+IF(E$3&lt;=$O$2,$D416,$D416-($D416-$I$400)*MIN(E$3-$O$2,$Q$2)/$Q$2))</f>
        <v>930.420723724365</v>
      </c>
      <c r="F416" s="15" t="n">
        <f aca="false">E416*(1+IF(F$3&lt;=$O$2,$D416,$D416-($D416-$I$400)*MIN(F$3-$O$2,$Q$2)/$Q$2))</f>
        <v>995.003302341036</v>
      </c>
      <c r="G416" s="15" t="n">
        <f aca="false">F416*(1+IF(G$3&lt;=$O$2,$D416,$D416-($D416-$I$400)*MIN(G$3-$O$2,$Q$2)/$Q$2))</f>
        <v>1064.06870185198</v>
      </c>
      <c r="H416" s="15" t="n">
        <f aca="false">G416*(1+IF(H$3&lt;=$O$2,$D416,$D416-($D416-$I$400)*MIN(H$3-$O$2,$Q$2)/$Q$2))</f>
        <v>1137.92808485865</v>
      </c>
      <c r="I416" s="15" t="n">
        <f aca="false">H416*(1+IF(I$3&lt;=$O$2,$D416,$D416-($D416-$I$400)*MIN(I$3-$O$2,$Q$2)/$Q$2))</f>
        <v>1216.91421245297</v>
      </c>
      <c r="J416" s="15" t="n">
        <f aca="false">I416*(1+IF(J$3&lt;=$O$2,$D416,$D416-($D416-$I$400)*MIN(J$3-$O$2,$Q$2)/$Q$2))</f>
        <v>1292.59384587901</v>
      </c>
      <c r="K416" s="15" t="n">
        <f aca="false">J416*(1+IF(K$3&lt;=$O$2,$D416,$D416-($D416-$I$400)*MIN(K$3-$O$2,$Q$2)/$Q$2))</f>
        <v>1363.64428982309</v>
      </c>
      <c r="L416" s="15" t="n">
        <f aca="false">K416*(1+IF(L$3&lt;=$O$2,$D416,$D416-($D416-$I$400)*MIN(L$3-$O$2,$Q$2)/$Q$2))</f>
        <v>1428.75133995546</v>
      </c>
      <c r="M416" s="15" t="n">
        <f aca="false">L416*(1+IF(M$3&lt;=$O$2,$D416,$D416-($D416-$I$400)*MIN(M$3-$O$2,$Q$2)/$Q$2))</f>
        <v>1486.64783938923</v>
      </c>
      <c r="N416" s="15" t="n">
        <f aca="false">M416*(1+IF(N$3&lt;=$O$2,$D416,$D416-($D416-$I$400)*MIN(N$3-$O$2,$Q$2)/$Q$2))</f>
        <v>1536.15321244089</v>
      </c>
      <c r="O416" s="15" t="n">
        <f aca="false">SUMPRODUCT(E416:N416,1/(1+$F$400)^$E$3:$N$3)*$E$2</f>
        <v>1822.6602760926</v>
      </c>
      <c r="P416" s="15" t="n">
        <f aca="false">N416*$E$2*(1+$I$400)/($F$400-$I$400)/(1+$F$400)^$N$3</f>
        <v>3801.01361116765</v>
      </c>
      <c r="Q416" s="15" t="n">
        <f aca="false">O416+P416</f>
        <v>5623.67388726025</v>
      </c>
      <c r="R416" s="15" t="n">
        <f aca="false">Q416-$G$2+$I$2</f>
        <v>5791.07388726025</v>
      </c>
      <c r="S416" s="42" t="n">
        <f aca="false">R416/$K$2</f>
        <v>164.565896199496</v>
      </c>
      <c r="T416" s="43" t="n">
        <f aca="false">S416-$M$2</f>
        <v>0.0305168303566461</v>
      </c>
    </row>
    <row r="417" customFormat="false" ht="15" hidden="false" customHeight="false" outlineLevel="0" collapsed="false">
      <c r="A417" s="5" t="n">
        <v>16</v>
      </c>
      <c r="B417" s="25" t="n">
        <f aca="false">IF(T416&gt;0,B416,D416)</f>
        <v>0.069366455078125</v>
      </c>
      <c r="C417" s="25" t="n">
        <f aca="false">IF(T416&gt;0,D416,C416)</f>
        <v>0.0694122314453125</v>
      </c>
      <c r="D417" s="41" t="n">
        <f aca="false">(B417+C417)/2</f>
        <v>0.0693893432617188</v>
      </c>
      <c r="E417" s="15" t="n">
        <f aca="false">$C$2*(1+IF(E$3&lt;=$O$2,$D417,$D417-($D417-$I$400)*MIN(E$3-$O$2,$Q$2)/$Q$2))</f>
        <v>930.400810317993</v>
      </c>
      <c r="F417" s="15" t="n">
        <f aca="false">E417*(1+IF(F$3&lt;=$O$2,$D417,$D417-($D417-$I$400)*MIN(F$3-$O$2,$Q$2)/$Q$2))</f>
        <v>994.96071151613</v>
      </c>
      <c r="G417" s="15" t="n">
        <f aca="false">F417*(1+IF(G$3&lt;=$O$2,$D417,$D417-($D417-$I$400)*MIN(G$3-$O$2,$Q$2)/$Q$2))</f>
        <v>1064.00038185945</v>
      </c>
      <c r="H417" s="15" t="n">
        <f aca="false">G417*(1+IF(H$3&lt;=$O$2,$D417,$D417-($D417-$I$400)*MIN(H$3-$O$2,$Q$2)/$Q$2))</f>
        <v>1137.83066958689</v>
      </c>
      <c r="I417" s="15" t="n">
        <f aca="false">H417*(1+IF(I$3&lt;=$O$2,$D417,$D417-($D417-$I$400)*MIN(I$3-$O$2,$Q$2)/$Q$2))</f>
        <v>1216.78399249257</v>
      </c>
      <c r="J417" s="15" t="n">
        <f aca="false">I417*(1+IF(J$3&lt;=$O$2,$D417,$D417-($D417-$I$400)*MIN(J$3-$O$2,$Q$2)/$Q$2))</f>
        <v>1292.43324758691</v>
      </c>
      <c r="K417" s="15" t="n">
        <f aca="false">J417*(1+IF(K$3&lt;=$O$2,$D417,$D417-($D417-$I$400)*MIN(K$3-$O$2,$Q$2)/$Q$2))</f>
        <v>1363.45711500057</v>
      </c>
      <c r="L417" s="15" t="n">
        <f aca="false">K417*(1+IF(L$3&lt;=$O$2,$D417,$D417-($D417-$I$400)*MIN(L$3-$O$2,$Q$2)/$Q$2))</f>
        <v>1428.54274566845</v>
      </c>
      <c r="M417" s="15" t="n">
        <f aca="false">L417*(1+IF(M$3&lt;=$O$2,$D417,$D417-($D417-$I$400)*MIN(M$3-$O$2,$Q$2)/$Q$2))</f>
        <v>1486.4242530017</v>
      </c>
      <c r="N417" s="15" t="n">
        <f aca="false">M417*(1+IF(N$3&lt;=$O$2,$D417,$D417-($D417-$I$400)*MIN(N$3-$O$2,$Q$2)/$Q$2))</f>
        <v>1535.92218062665</v>
      </c>
      <c r="O417" s="15" t="n">
        <f aca="false">SUMPRODUCT(E417:N417,1/(1+$F$400)^$E$3:$N$3)*$E$2</f>
        <v>1822.47629498343</v>
      </c>
      <c r="P417" s="15" t="n">
        <f aca="false">N417*$E$2*(1+$I$400)/($F$400-$I$400)/(1+$F$400)^$N$3</f>
        <v>3800.44195264855</v>
      </c>
      <c r="Q417" s="15" t="n">
        <f aca="false">O417+P417</f>
        <v>5622.91824763198</v>
      </c>
      <c r="R417" s="15" t="n">
        <f aca="false">Q417-$G$2+$I$2</f>
        <v>5790.31824763198</v>
      </c>
      <c r="S417" s="42" t="n">
        <f aca="false">R417/$K$2</f>
        <v>164.544423064279</v>
      </c>
      <c r="T417" s="43" t="n">
        <f aca="false">S417-$M$2</f>
        <v>0.00904369514009318</v>
      </c>
    </row>
    <row r="418" customFormat="false" ht="15" hidden="false" customHeight="false" outlineLevel="0" collapsed="false">
      <c r="A418" s="5" t="n">
        <v>17</v>
      </c>
      <c r="B418" s="25" t="n">
        <f aca="false">IF(T417&gt;0,B417,D417)</f>
        <v>0.069366455078125</v>
      </c>
      <c r="C418" s="25" t="n">
        <f aca="false">IF(T417&gt;0,D417,C417)</f>
        <v>0.0693893432617188</v>
      </c>
      <c r="D418" s="41" t="n">
        <f aca="false">(B418+C418)/2</f>
        <v>0.0693778991699219</v>
      </c>
      <c r="E418" s="15" t="n">
        <f aca="false">$C$2*(1+IF(E$3&lt;=$O$2,$D418,$D418-($D418-$I$400)*MIN(E$3-$O$2,$Q$2)/$Q$2))</f>
        <v>930.390853614807</v>
      </c>
      <c r="F418" s="15" t="n">
        <f aca="false">E418*(1+IF(F$3&lt;=$O$2,$D418,$D418-($D418-$I$400)*MIN(F$3-$O$2,$Q$2)/$Q$2))</f>
        <v>994.939416445513</v>
      </c>
      <c r="G418" s="15" t="n">
        <f aca="false">F418*(1+IF(G$3&lt;=$O$2,$D418,$D418-($D418-$I$400)*MIN(G$3-$O$2,$Q$2)/$Q$2))</f>
        <v>1063.96622295985</v>
      </c>
      <c r="H418" s="15" t="n">
        <f aca="false">G418*(1+IF(H$3&lt;=$O$2,$D418,$D418-($D418-$I$400)*MIN(H$3-$O$2,$Q$2)/$Q$2))</f>
        <v>1137.78196429656</v>
      </c>
      <c r="I418" s="15" t="n">
        <f aca="false">H418*(1+IF(I$3&lt;=$O$2,$D418,$D418-($D418-$I$400)*MIN(I$3-$O$2,$Q$2)/$Q$2))</f>
        <v>1216.71888669288</v>
      </c>
      <c r="J418" s="15" t="n">
        <f aca="false">I418*(1+IF(J$3&lt;=$O$2,$D418,$D418-($D418-$I$400)*MIN(J$3-$O$2,$Q$2)/$Q$2))</f>
        <v>1292.35295466955</v>
      </c>
      <c r="K418" s="15" t="n">
        <f aca="false">J418*(1+IF(K$3&lt;=$O$2,$D418,$D418-($D418-$I$400)*MIN(K$3-$O$2,$Q$2)/$Q$2))</f>
        <v>1363.36353581436</v>
      </c>
      <c r="L418" s="15" t="n">
        <f aca="false">K418*(1+IF(L$3&lt;=$O$2,$D418,$D418-($D418-$I$400)*MIN(L$3-$O$2,$Q$2)/$Q$2))</f>
        <v>1428.4384584278</v>
      </c>
      <c r="M418" s="15" t="n">
        <f aca="false">L418*(1+IF(M$3&lt;=$O$2,$D418,$D418-($D418-$I$400)*MIN(M$3-$O$2,$Q$2)/$Q$2))</f>
        <v>1486.31247082817</v>
      </c>
      <c r="N418" s="15" t="n">
        <f aca="false">M418*(1+IF(N$3&lt;=$O$2,$D418,$D418-($D418-$I$400)*MIN(N$3-$O$2,$Q$2)/$Q$2))</f>
        <v>1535.80667610675</v>
      </c>
      <c r="O418" s="15" t="n">
        <f aca="false">SUMPRODUCT(E418:N418,1/(1+$F$400)^$E$3:$N$3)*$E$2</f>
        <v>1822.38431137947</v>
      </c>
      <c r="P418" s="15" t="n">
        <f aca="false">N418*$E$2*(1+$I$400)/($F$400-$I$400)/(1+$F$400)^$N$3</f>
        <v>3800.15615156519</v>
      </c>
      <c r="Q418" s="15" t="n">
        <f aca="false">O418+P418</f>
        <v>5622.54046294466</v>
      </c>
      <c r="R418" s="15" t="n">
        <f aca="false">Q418-$G$2+$I$2</f>
        <v>5789.94046294466</v>
      </c>
      <c r="S418" s="42" t="n">
        <f aca="false">R418/$K$2</f>
        <v>164.533687494875</v>
      </c>
      <c r="T418" s="43" t="n">
        <f aca="false">S418-$M$2</f>
        <v>-0.00169187426371309</v>
      </c>
    </row>
    <row r="419" customFormat="false" ht="15" hidden="false" customHeight="false" outlineLevel="0" collapsed="false">
      <c r="A419" s="5" t="n">
        <v>18</v>
      </c>
      <c r="B419" s="25" t="n">
        <f aca="false">IF(T418&gt;0,B418,D418)</f>
        <v>0.0693778991699219</v>
      </c>
      <c r="C419" s="25" t="n">
        <f aca="false">IF(T418&gt;0,D418,C418)</f>
        <v>0.0693893432617188</v>
      </c>
      <c r="D419" s="41" t="n">
        <f aca="false">(B419+C419)/2</f>
        <v>0.0693836212158203</v>
      </c>
      <c r="E419" s="15" t="n">
        <f aca="false">$C$2*(1+IF(E$3&lt;=$O$2,$D419,$D419-($D419-$I$400)*MIN(E$3-$O$2,$Q$2)/$Q$2))</f>
        <v>930.3958319664</v>
      </c>
      <c r="F419" s="15" t="n">
        <f aca="false">E419*(1+IF(F$3&lt;=$O$2,$D419,$D419-($D419-$I$400)*MIN(F$3-$O$2,$Q$2)/$Q$2))</f>
        <v>994.950063952335</v>
      </c>
      <c r="G419" s="15" t="n">
        <f aca="false">F419*(1+IF(G$3&lt;=$O$2,$D419,$D419-($D419-$I$400)*MIN(G$3-$O$2,$Q$2)/$Q$2))</f>
        <v>1063.98330231826</v>
      </c>
      <c r="H419" s="15" t="n">
        <f aca="false">G419*(1+IF(H$3&lt;=$O$2,$D419,$D419-($D419-$I$400)*MIN(H$3-$O$2,$Q$2)/$Q$2))</f>
        <v>1137.80631674627</v>
      </c>
      <c r="I419" s="15" t="n">
        <f aca="false">H419*(1+IF(I$3&lt;=$O$2,$D419,$D419-($D419-$I$400)*MIN(I$3-$O$2,$Q$2)/$Q$2))</f>
        <v>1216.75143924436</v>
      </c>
      <c r="J419" s="15" t="n">
        <f aca="false">I419*(1+IF(J$3&lt;=$O$2,$D419,$D419-($D419-$I$400)*MIN(J$3-$O$2,$Q$2)/$Q$2))</f>
        <v>1292.39310060919</v>
      </c>
      <c r="K419" s="15" t="n">
        <f aca="false">J419*(1+IF(K$3&lt;=$O$2,$D419,$D419-($D419-$I$400)*MIN(K$3-$O$2,$Q$2)/$Q$2))</f>
        <v>1363.41032472207</v>
      </c>
      <c r="L419" s="15" t="n">
        <f aca="false">K419*(1+IF(L$3&lt;=$O$2,$D419,$D419-($D419-$I$400)*MIN(L$3-$O$2,$Q$2)/$Q$2))</f>
        <v>1428.49060122292</v>
      </c>
      <c r="M419" s="15" t="n">
        <f aca="false">L419*(1+IF(M$3&lt;=$O$2,$D419,$D419-($D419-$I$400)*MIN(M$3-$O$2,$Q$2)/$Q$2))</f>
        <v>1486.36836099662</v>
      </c>
      <c r="N419" s="15" t="n">
        <f aca="false">M419*(1+IF(N$3&lt;=$O$2,$D419,$D419-($D419-$I$400)*MIN(N$3-$O$2,$Q$2)/$Q$2))</f>
        <v>1535.86442741781</v>
      </c>
      <c r="O419" s="15" t="n">
        <f aca="false">SUMPRODUCT(E419:N419,1/(1+$F$400)^$E$3:$N$3)*$E$2</f>
        <v>1822.43030260225</v>
      </c>
      <c r="P419" s="15" t="n">
        <f aca="false">N419*$E$2*(1+$I$400)/($F$400-$I$400)/(1+$F$400)^$N$3</f>
        <v>3800.29904975896</v>
      </c>
      <c r="Q419" s="15" t="n">
        <f aca="false">O419+P419</f>
        <v>5622.72935236122</v>
      </c>
      <c r="R419" s="15" t="n">
        <f aca="false">Q419-$G$2+$I$2</f>
        <v>5790.12935236122</v>
      </c>
      <c r="S419" s="42" t="n">
        <f aca="false">R419/$K$2</f>
        <v>164.539055196397</v>
      </c>
      <c r="T419" s="43" t="n">
        <f aca="false">S419-$M$2</f>
        <v>0.0036758272582631</v>
      </c>
    </row>
    <row r="420" customFormat="false" ht="15" hidden="false" customHeight="false" outlineLevel="0" collapsed="false">
      <c r="A420" s="5" t="n">
        <v>19</v>
      </c>
      <c r="B420" s="25" t="n">
        <f aca="false">IF(T419&gt;0,B419,D419)</f>
        <v>0.0693778991699219</v>
      </c>
      <c r="C420" s="25" t="n">
        <f aca="false">IF(T419&gt;0,D419,C419)</f>
        <v>0.0693836212158203</v>
      </c>
      <c r="D420" s="41" t="n">
        <f aca="false">(B420+C420)/2</f>
        <v>0.0693807601928711</v>
      </c>
      <c r="E420" s="15" t="n">
        <f aca="false">$C$2*(1+IF(E$3&lt;=$O$2,$D420,$D420-($D420-$I$400)*MIN(E$3-$O$2,$Q$2)/$Q$2))</f>
        <v>930.393342790604</v>
      </c>
      <c r="F420" s="15" t="n">
        <f aca="false">E420*(1+IF(F$3&lt;=$O$2,$D420,$D420-($D420-$I$400)*MIN(F$3-$O$2,$Q$2)/$Q$2))</f>
        <v>994.944740191802</v>
      </c>
      <c r="G420" s="15" t="n">
        <f aca="false">F420*(1+IF(G$3&lt;=$O$2,$D420,$D420-($D420-$I$400)*MIN(G$3-$O$2,$Q$2)/$Q$2))</f>
        <v>1063.97476261621</v>
      </c>
      <c r="H420" s="15" t="n">
        <f aca="false">G420*(1+IF(H$3&lt;=$O$2,$D420,$D420-($D420-$I$400)*MIN(H$3-$O$2,$Q$2)/$Q$2))</f>
        <v>1137.79414047255</v>
      </c>
      <c r="I420" s="15" t="n">
        <f aca="false">H420*(1+IF(I$3&lt;=$O$2,$D420,$D420-($D420-$I$400)*MIN(I$3-$O$2,$Q$2)/$Q$2))</f>
        <v>1216.73516288153</v>
      </c>
      <c r="J420" s="15" t="n">
        <f aca="false">I420*(1+IF(J$3&lt;=$O$2,$D420,$D420-($D420-$I$400)*MIN(J$3-$O$2,$Q$2)/$Q$2))</f>
        <v>1292.37302750961</v>
      </c>
      <c r="K420" s="15" t="n">
        <f aca="false">J420*(1+IF(K$3&lt;=$O$2,$D420,$D420-($D420-$I$400)*MIN(K$3-$O$2,$Q$2)/$Q$2))</f>
        <v>1363.38693009687</v>
      </c>
      <c r="L420" s="15" t="n">
        <f aca="false">K420*(1+IF(L$3&lt;=$O$2,$D420,$D420-($D420-$I$400)*MIN(L$3-$O$2,$Q$2)/$Q$2))</f>
        <v>1428.46452961906</v>
      </c>
      <c r="M420" s="15" t="n">
        <f aca="false">L420*(1+IF(M$3&lt;=$O$2,$D420,$D420-($D420-$I$400)*MIN(M$3-$O$2,$Q$2)/$Q$2))</f>
        <v>1486.34041568282</v>
      </c>
      <c r="N420" s="15" t="n">
        <f aca="false">M420*(1+IF(N$3&lt;=$O$2,$D420,$D420-($D420-$I$400)*MIN(N$3-$O$2,$Q$2)/$Q$2))</f>
        <v>1535.83555152506</v>
      </c>
      <c r="O420" s="15" t="n">
        <f aca="false">SUMPRODUCT(E420:N420,1/(1+$F$400)^$E$3:$N$3)*$E$2</f>
        <v>1822.40730684606</v>
      </c>
      <c r="P420" s="15" t="n">
        <f aca="false">N420*$E$2*(1+$I$400)/($F$400-$I$400)/(1+$F$400)^$N$3</f>
        <v>3800.22760007511</v>
      </c>
      <c r="Q420" s="15" t="n">
        <f aca="false">O420+P420</f>
        <v>5622.63490692117</v>
      </c>
      <c r="R420" s="15" t="n">
        <f aca="false">Q420-$G$2+$I$2</f>
        <v>5790.03490692117</v>
      </c>
      <c r="S420" s="42" t="n">
        <f aca="false">R420/$K$2</f>
        <v>164.536371324842</v>
      </c>
      <c r="T420" s="43" t="n">
        <f aca="false">S420-$M$2</f>
        <v>0.000991955702545511</v>
      </c>
    </row>
    <row r="421" customFormat="false" ht="15" hidden="false" customHeight="false" outlineLevel="0" collapsed="false">
      <c r="A421" s="5" t="n">
        <v>20</v>
      </c>
      <c r="B421" s="25" t="n">
        <f aca="false">IF(T420&gt;0,B420,D420)</f>
        <v>0.0693778991699219</v>
      </c>
      <c r="C421" s="25" t="n">
        <f aca="false">IF(T420&gt;0,D420,C420)</f>
        <v>0.0693807601928711</v>
      </c>
      <c r="D421" s="41" t="n">
        <f aca="false">(B421+C421)/2</f>
        <v>0.0693793296813965</v>
      </c>
      <c r="E421" s="15" t="n">
        <f aca="false">$C$2*(1+IF(E$3&lt;=$O$2,$D421,$D421-($D421-$I$400)*MIN(E$3-$O$2,$Q$2)/$Q$2))</f>
        <v>930.392098202705</v>
      </c>
      <c r="F421" s="15" t="n">
        <f aca="false">E421*(1+IF(F$3&lt;=$O$2,$D421,$D421-($D421-$I$400)*MIN(F$3-$O$2,$Q$2)/$Q$2))</f>
        <v>994.942078316877</v>
      </c>
      <c r="G421" s="15" t="n">
        <f aca="false">F421*(1+IF(G$3&lt;=$O$2,$D421,$D421-($D421-$I$400)*MIN(G$3-$O$2,$Q$2)/$Q$2))</f>
        <v>1063.97049278232</v>
      </c>
      <c r="H421" s="15" t="n">
        <f aca="false">G421*(1+IF(H$3&lt;=$O$2,$D421,$D421-($D421-$I$400)*MIN(H$3-$O$2,$Q$2)/$Q$2))</f>
        <v>1137.78805237234</v>
      </c>
      <c r="I421" s="15" t="n">
        <f aca="false">H421*(1+IF(I$3&lt;=$O$2,$D421,$D421-($D421-$I$400)*MIN(I$3-$O$2,$Q$2)/$Q$2))</f>
        <v>1216.72702476543</v>
      </c>
      <c r="J421" s="15" t="n">
        <f aca="false">I421*(1+IF(J$3&lt;=$O$2,$D421,$D421-($D421-$I$400)*MIN(J$3-$O$2,$Q$2)/$Q$2))</f>
        <v>1292.36299105714</v>
      </c>
      <c r="K421" s="15" t="n">
        <f aca="false">J421*(1+IF(K$3&lt;=$O$2,$D421,$D421-($D421-$I$400)*MIN(K$3-$O$2,$Q$2)/$Q$2))</f>
        <v>1363.37523291278</v>
      </c>
      <c r="L421" s="15" t="n">
        <f aca="false">K421*(1+IF(L$3&lt;=$O$2,$D421,$D421-($D421-$I$400)*MIN(L$3-$O$2,$Q$2)/$Q$2))</f>
        <v>1428.45149397186</v>
      </c>
      <c r="M421" s="15" t="n">
        <f aca="false">L421*(1+IF(M$3&lt;=$O$2,$D421,$D421-($D421-$I$400)*MIN(M$3-$O$2,$Q$2)/$Q$2))</f>
        <v>1486.3264431981</v>
      </c>
      <c r="N421" s="15" t="n">
        <f aca="false">M421*(1+IF(N$3&lt;=$O$2,$D421,$D421-($D421-$I$400)*MIN(N$3-$O$2,$Q$2)/$Q$2))</f>
        <v>1535.8211137566</v>
      </c>
      <c r="O421" s="15" t="n">
        <f aca="false">SUMPRODUCT(E421:N421,1/(1+$F$400)^$E$3:$N$3)*$E$2</f>
        <v>1822.39580907657</v>
      </c>
      <c r="P421" s="15" t="n">
        <f aca="false">N421*$E$2*(1+$I$400)/($F$400-$I$400)/(1+$F$400)^$N$3</f>
        <v>3800.19187567341</v>
      </c>
      <c r="Q421" s="15" t="n">
        <f aca="false">O421+P421</f>
        <v>5622.58768474998</v>
      </c>
      <c r="R421" s="15" t="n">
        <f aca="false">Q421-$G$2+$I$2</f>
        <v>5789.98768474998</v>
      </c>
      <c r="S421" s="42" t="n">
        <f aca="false">R421/$K$2</f>
        <v>164.53502940466</v>
      </c>
      <c r="T421" s="43" t="n">
        <f aca="false">S421-$M$2</f>
        <v>-0.000349964479227083</v>
      </c>
    </row>
    <row r="422" customFormat="false" ht="15" hidden="false" customHeight="false" outlineLevel="0" collapsed="false">
      <c r="A422" s="5" t="n">
        <v>21</v>
      </c>
      <c r="B422" s="25" t="n">
        <f aca="false">IF(T421&gt;0,B421,D421)</f>
        <v>0.0693793296813965</v>
      </c>
      <c r="C422" s="25" t="n">
        <f aca="false">IF(T421&gt;0,D421,C421)</f>
        <v>0.0693807601928711</v>
      </c>
      <c r="D422" s="41" t="n">
        <f aca="false">(B422+C422)/2</f>
        <v>0.0693800449371338</v>
      </c>
      <c r="E422" s="15" t="n">
        <f aca="false">$C$2*(1+IF(E$3&lt;=$O$2,$D422,$D422-($D422-$I$400)*MIN(E$3-$O$2,$Q$2)/$Q$2))</f>
        <v>930.392720496655</v>
      </c>
      <c r="F422" s="15" t="n">
        <f aca="false">E422*(1+IF(F$3&lt;=$O$2,$D422,$D422-($D422-$I$400)*MIN(F$3-$O$2,$Q$2)/$Q$2))</f>
        <v>994.943409253895</v>
      </c>
      <c r="G422" s="15" t="n">
        <f aca="false">F422*(1+IF(G$3&lt;=$O$2,$D422,$D422-($D422-$I$400)*MIN(G$3-$O$2,$Q$2)/$Q$2))</f>
        <v>1063.97262769784</v>
      </c>
      <c r="H422" s="15" t="n">
        <f aca="false">G422*(1+IF(H$3&lt;=$O$2,$D422,$D422-($D422-$I$400)*MIN(H$3-$O$2,$Q$2)/$Q$2))</f>
        <v>1137.79109641939</v>
      </c>
      <c r="I422" s="15" t="n">
        <f aca="false">H422*(1+IF(I$3&lt;=$O$2,$D422,$D422-($D422-$I$400)*MIN(I$3-$O$2,$Q$2)/$Q$2))</f>
        <v>1216.73109381804</v>
      </c>
      <c r="J422" s="15" t="n">
        <f aca="false">I422*(1+IF(J$3&lt;=$O$2,$D422,$D422-($D422-$I$400)*MIN(J$3-$O$2,$Q$2)/$Q$2))</f>
        <v>1292.36800927527</v>
      </c>
      <c r="K422" s="15" t="n">
        <f aca="false">J422*(1+IF(K$3&lt;=$O$2,$D422,$D422-($D422-$I$400)*MIN(K$3-$O$2,$Q$2)/$Q$2))</f>
        <v>1363.38108149412</v>
      </c>
      <c r="L422" s="15" t="n">
        <f aca="false">K422*(1+IF(L$3&lt;=$O$2,$D422,$D422-($D422-$I$400)*MIN(L$3-$O$2,$Q$2)/$Q$2))</f>
        <v>1428.45801178257</v>
      </c>
      <c r="M422" s="15" t="n">
        <f aca="false">L422*(1+IF(M$3&lt;=$O$2,$D422,$D422-($D422-$I$400)*MIN(M$3-$O$2,$Q$2)/$Q$2))</f>
        <v>1486.33342942611</v>
      </c>
      <c r="N422" s="15" t="n">
        <f aca="false">M422*(1+IF(N$3&lt;=$O$2,$D422,$D422-($D422-$I$400)*MIN(N$3-$O$2,$Q$2)/$Q$2))</f>
        <v>1535.828332626</v>
      </c>
      <c r="O422" s="15" t="n">
        <f aca="false">SUMPRODUCT(E422:N422,1/(1+$F$400)^$E$3:$N$3)*$E$2</f>
        <v>1822.40155795227</v>
      </c>
      <c r="P422" s="15" t="n">
        <f aca="false">N422*$E$2*(1+$I$400)/($F$400-$I$400)/(1+$F$400)^$N$3</f>
        <v>3800.20973783757</v>
      </c>
      <c r="Q422" s="15" t="n">
        <f aca="false">O422+P422</f>
        <v>5622.61129578984</v>
      </c>
      <c r="R422" s="15" t="n">
        <f aca="false">Q422-$G$2+$I$2</f>
        <v>5790.01129578984</v>
      </c>
      <c r="S422" s="42" t="n">
        <f aca="false">R422/$K$2</f>
        <v>164.535700363451</v>
      </c>
      <c r="T422" s="43" t="n">
        <f aca="false">S422-$M$2</f>
        <v>0.000320994312033918</v>
      </c>
    </row>
    <row r="423" customFormat="false" ht="15" hidden="false" customHeight="false" outlineLevel="0" collapsed="false">
      <c r="A423" s="5" t="n">
        <v>22</v>
      </c>
      <c r="B423" s="25" t="n">
        <f aca="false">IF(T422&gt;0,B422,D422)</f>
        <v>0.0693793296813965</v>
      </c>
      <c r="C423" s="25" t="n">
        <f aca="false">IF(T422&gt;0,D422,C422)</f>
        <v>0.0693800449371338</v>
      </c>
      <c r="D423" s="41" t="n">
        <f aca="false">(B423+C423)/2</f>
        <v>0.0693796873092651</v>
      </c>
      <c r="E423" s="15" t="n">
        <f aca="false">$C$2*(1+IF(E$3&lt;=$O$2,$D423,$D423-($D423-$I$400)*MIN(E$3-$O$2,$Q$2)/$Q$2))</f>
        <v>930.39240934968</v>
      </c>
      <c r="F423" s="15" t="n">
        <f aca="false">E423*(1+IF(F$3&lt;=$O$2,$D423,$D423-($D423-$I$400)*MIN(F$3-$O$2,$Q$2)/$Q$2))</f>
        <v>994.942743785275</v>
      </c>
      <c r="G423" s="15" t="n">
        <f aca="false">F423*(1+IF(G$3&lt;=$O$2,$D423,$D423-($D423-$I$400)*MIN(G$3-$O$2,$Q$2)/$Q$2))</f>
        <v>1063.97156023972</v>
      </c>
      <c r="H423" s="15" t="n">
        <f aca="false">G423*(1+IF(H$3&lt;=$O$2,$D423,$D423-($D423-$I$400)*MIN(H$3-$O$2,$Q$2)/$Q$2))</f>
        <v>1137.7895743951</v>
      </c>
      <c r="I423" s="15" t="n">
        <f aca="false">H423*(1+IF(I$3&lt;=$O$2,$D423,$D423-($D423-$I$400)*MIN(I$3-$O$2,$Q$2)/$Q$2))</f>
        <v>1216.72905929038</v>
      </c>
      <c r="J423" s="15" t="n">
        <f aca="false">I423*(1+IF(J$3&lt;=$O$2,$D423,$D423-($D423-$I$400)*MIN(J$3-$O$2,$Q$2)/$Q$2))</f>
        <v>1292.36550016418</v>
      </c>
      <c r="K423" s="15" t="n">
        <f aca="false">J423*(1+IF(K$3&lt;=$O$2,$D423,$D423-($D423-$I$400)*MIN(K$3-$O$2,$Q$2)/$Q$2))</f>
        <v>1363.37815720077</v>
      </c>
      <c r="L423" s="15" t="n">
        <f aca="false">K423*(1+IF(L$3&lt;=$O$2,$D423,$D423-($D423-$I$400)*MIN(L$3-$O$2,$Q$2)/$Q$2))</f>
        <v>1428.45475287399</v>
      </c>
      <c r="M423" s="15" t="n">
        <f aca="false">L423*(1+IF(M$3&lt;=$O$2,$D423,$D423-($D423-$I$400)*MIN(M$3-$O$2,$Q$2)/$Q$2))</f>
        <v>1486.32993630852</v>
      </c>
      <c r="N423" s="15" t="n">
        <f aca="false">M423*(1+IF(N$3&lt;=$O$2,$D423,$D423-($D423-$I$400)*MIN(N$3-$O$2,$Q$2)/$Q$2))</f>
        <v>1535.82472318759</v>
      </c>
      <c r="O423" s="15" t="n">
        <f aca="false">SUMPRODUCT(E423:N423,1/(1+$F$400)^$E$3:$N$3)*$E$2</f>
        <v>1822.39868351216</v>
      </c>
      <c r="P423" s="15" t="n">
        <f aca="false">N423*$E$2*(1+$I$400)/($F$400-$I$400)/(1+$F$400)^$N$3</f>
        <v>3800.20080674632</v>
      </c>
      <c r="Q423" s="15" t="n">
        <f aca="false">O423+P423</f>
        <v>5622.59949025848</v>
      </c>
      <c r="R423" s="15" t="n">
        <f aca="false">Q423-$G$2+$I$2</f>
        <v>5789.99949025848</v>
      </c>
      <c r="S423" s="42" t="n">
        <f aca="false">R423/$K$2</f>
        <v>164.535364883731</v>
      </c>
      <c r="T423" s="43" t="n">
        <f aca="false">S423-$M$2</f>
        <v>-1.44854085135648E-005</v>
      </c>
    </row>
    <row r="424" customFormat="false" ht="15" hidden="false" customHeight="false" outlineLevel="0" collapsed="false">
      <c r="A424" s="5" t="n">
        <v>23</v>
      </c>
      <c r="B424" s="25" t="n">
        <f aca="false">IF(T423&gt;0,B423,D423)</f>
        <v>0.0693796873092651</v>
      </c>
      <c r="C424" s="25" t="n">
        <f aca="false">IF(T423&gt;0,D423,C423)</f>
        <v>0.0693800449371338</v>
      </c>
      <c r="D424" s="41" t="n">
        <f aca="false">(B424+C424)/2</f>
        <v>0.0693798661231995</v>
      </c>
      <c r="E424" s="15" t="n">
        <f aca="false">$C$2*(1+IF(E$3&lt;=$O$2,$D424,$D424-($D424-$I$400)*MIN(E$3-$O$2,$Q$2)/$Q$2))</f>
        <v>930.392564923167</v>
      </c>
      <c r="F424" s="15" t="n">
        <f aca="false">E424*(1+IF(F$3&lt;=$O$2,$D424,$D424-($D424-$I$400)*MIN(F$3-$O$2,$Q$2)/$Q$2))</f>
        <v>994.943076519557</v>
      </c>
      <c r="G424" s="15" t="n">
        <f aca="false">F424*(1+IF(G$3&lt;=$O$2,$D424,$D424-($D424-$I$400)*MIN(G$3-$O$2,$Q$2)/$Q$2))</f>
        <v>1063.97209396869</v>
      </c>
      <c r="H424" s="15" t="n">
        <f aca="false">G424*(1+IF(H$3&lt;=$O$2,$D424,$D424-($D424-$I$400)*MIN(H$3-$O$2,$Q$2)/$Q$2))</f>
        <v>1137.79033540706</v>
      </c>
      <c r="I424" s="15" t="n">
        <f aca="false">H424*(1+IF(I$3&lt;=$O$2,$D424,$D424-($D424-$I$400)*MIN(I$3-$O$2,$Q$2)/$Q$2))</f>
        <v>1216.73007655387</v>
      </c>
      <c r="J424" s="15" t="n">
        <f aca="false">I424*(1+IF(J$3&lt;=$O$2,$D424,$D424-($D424-$I$400)*MIN(J$3-$O$2,$Q$2)/$Q$2))</f>
        <v>1292.36675471922</v>
      </c>
      <c r="K424" s="15" t="n">
        <f aca="false">J424*(1+IF(K$3&lt;=$O$2,$D424,$D424-($D424-$I$400)*MIN(K$3-$O$2,$Q$2)/$Q$2))</f>
        <v>1363.37961934677</v>
      </c>
      <c r="L424" s="15" t="n">
        <f aca="false">K424*(1+IF(L$3&lt;=$O$2,$D424,$D424-($D424-$I$400)*MIN(L$3-$O$2,$Q$2)/$Q$2))</f>
        <v>1428.45638232747</v>
      </c>
      <c r="M424" s="15" t="n">
        <f aca="false">L424*(1+IF(M$3&lt;=$O$2,$D424,$D424-($D424-$I$400)*MIN(M$3-$O$2,$Q$2)/$Q$2))</f>
        <v>1486.33168286642</v>
      </c>
      <c r="N424" s="15" t="n">
        <f aca="false">M424*(1+IF(N$3&lt;=$O$2,$D424,$D424-($D424-$I$400)*MIN(N$3-$O$2,$Q$2)/$Q$2))</f>
        <v>1535.82652790587</v>
      </c>
      <c r="O424" s="15" t="n">
        <f aca="false">SUMPRODUCT(E424:N424,1/(1+$F$400)^$E$3:$N$3)*$E$2</f>
        <v>1822.40012073165</v>
      </c>
      <c r="P424" s="15" t="n">
        <f aca="false">N424*$E$2*(1+$I$400)/($F$400-$I$400)/(1+$F$400)^$N$3</f>
        <v>3800.20527228965</v>
      </c>
      <c r="Q424" s="15" t="n">
        <f aca="false">O424+P424</f>
        <v>5622.6053930213</v>
      </c>
      <c r="R424" s="15" t="n">
        <f aca="false">Q424-$G$2+$I$2</f>
        <v>5790.0053930213</v>
      </c>
      <c r="S424" s="42" t="n">
        <f aca="false">R424/$K$2</f>
        <v>164.53553262351</v>
      </c>
      <c r="T424" s="43" t="n">
        <f aca="false">S424-$M$2</f>
        <v>0.000153254370502509</v>
      </c>
    </row>
    <row r="425" customFormat="false" ht="15" hidden="false" customHeight="false" outlineLevel="0" collapsed="false">
      <c r="A425" s="5" t="n">
        <v>24</v>
      </c>
      <c r="B425" s="25" t="n">
        <f aca="false">IF(T424&gt;0,B424,D424)</f>
        <v>0.0693796873092651</v>
      </c>
      <c r="C425" s="25" t="n">
        <f aca="false">IF(T424&gt;0,D424,C424)</f>
        <v>0.0693798661231995</v>
      </c>
      <c r="D425" s="41" t="n">
        <f aca="false">(B425+C425)/2</f>
        <v>0.0693797767162323</v>
      </c>
      <c r="E425" s="15" t="n">
        <f aca="false">$C$2*(1+IF(E$3&lt;=$O$2,$D425,$D425-($D425-$I$400)*MIN(E$3-$O$2,$Q$2)/$Q$2))</f>
        <v>930.392487136424</v>
      </c>
      <c r="F425" s="15" t="n">
        <f aca="false">E425*(1+IF(F$3&lt;=$O$2,$D425,$D425-($D425-$I$400)*MIN(F$3-$O$2,$Q$2)/$Q$2))</f>
        <v>994.942910152409</v>
      </c>
      <c r="G425" s="15" t="n">
        <f aca="false">F425*(1+IF(G$3&lt;=$O$2,$D425,$D425-($D425-$I$400)*MIN(G$3-$O$2,$Q$2)/$Q$2))</f>
        <v>1063.97182710418</v>
      </c>
      <c r="H425" s="15" t="n">
        <f aca="false">G425*(1+IF(H$3&lt;=$O$2,$D425,$D425-($D425-$I$400)*MIN(H$3-$O$2,$Q$2)/$Q$2))</f>
        <v>1137.78995490103</v>
      </c>
      <c r="I425" s="15" t="n">
        <f aca="false">H425*(1+IF(I$3&lt;=$O$2,$D425,$D425-($D425-$I$400)*MIN(I$3-$O$2,$Q$2)/$Q$2))</f>
        <v>1216.72956792204</v>
      </c>
      <c r="J425" s="15" t="n">
        <f aca="false">I425*(1+IF(J$3&lt;=$O$2,$D425,$D425-($D425-$I$400)*MIN(J$3-$O$2,$Q$2)/$Q$2))</f>
        <v>1292.36612744157</v>
      </c>
      <c r="K425" s="15" t="n">
        <f aca="false">J425*(1+IF(K$3&lt;=$O$2,$D425,$D425-($D425-$I$400)*MIN(K$3-$O$2,$Q$2)/$Q$2))</f>
        <v>1363.3788882736</v>
      </c>
      <c r="L425" s="15" t="n">
        <f aca="false">K425*(1+IF(L$3&lt;=$O$2,$D425,$D425-($D425-$I$400)*MIN(L$3-$O$2,$Q$2)/$Q$2))</f>
        <v>1428.45556760053</v>
      </c>
      <c r="M425" s="15" t="n">
        <f aca="false">L425*(1+IF(M$3&lt;=$O$2,$D425,$D425-($D425-$I$400)*MIN(M$3-$O$2,$Q$2)/$Q$2))</f>
        <v>1486.33080958724</v>
      </c>
      <c r="N425" s="15" t="n">
        <f aca="false">M425*(1+IF(N$3&lt;=$O$2,$D425,$D425-($D425-$I$400)*MIN(N$3-$O$2,$Q$2)/$Q$2))</f>
        <v>1535.8256255465</v>
      </c>
      <c r="O425" s="15" t="n">
        <f aca="false">SUMPRODUCT(E425:N425,1/(1+$F$400)^$E$3:$N$3)*$E$2</f>
        <v>1822.39940212176</v>
      </c>
      <c r="P425" s="15" t="n">
        <f aca="false">N425*$E$2*(1+$I$400)/($F$400-$I$400)/(1+$F$400)^$N$3</f>
        <v>3800.20303951741</v>
      </c>
      <c r="Q425" s="15" t="n">
        <f aca="false">O425+P425</f>
        <v>5622.60244163917</v>
      </c>
      <c r="R425" s="15" t="n">
        <f aca="false">Q425-$G$2+$I$2</f>
        <v>5790.00244163917</v>
      </c>
      <c r="S425" s="42" t="n">
        <f aca="false">R425/$K$2</f>
        <v>164.5354487536</v>
      </c>
      <c r="T425" s="43" t="n">
        <f aca="false">S425-$M$2</f>
        <v>6.93844606303173E-005</v>
      </c>
    </row>
    <row r="427" customFormat="false" ht="15" hidden="false" customHeight="false" outlineLevel="0" collapsed="false">
      <c r="A427" s="38" t="s">
        <v>202</v>
      </c>
      <c r="E427" s="5" t="s">
        <v>12</v>
      </c>
      <c r="F427" s="12" t="n">
        <f aca="false">Sensitivity!$B$12</f>
        <v>0.0775075820986394</v>
      </c>
      <c r="G427" s="5" t="s">
        <v>13</v>
      </c>
      <c r="I427" s="12" t="n">
        <f aca="false">Sensitivity!$G$9</f>
        <v>0.0383</v>
      </c>
    </row>
    <row r="428" customFormat="false" ht="23.85" hidden="false" customHeight="false" outlineLevel="0" collapsed="false">
      <c r="A428" s="38" t="s">
        <v>168</v>
      </c>
      <c r="B428" s="28" t="s">
        <v>169</v>
      </c>
      <c r="C428" s="28" t="s">
        <v>170</v>
      </c>
      <c r="D428" s="28" t="s">
        <v>171</v>
      </c>
      <c r="E428" s="28" t="s">
        <v>172</v>
      </c>
      <c r="F428" s="28" t="s">
        <v>173</v>
      </c>
      <c r="G428" s="28" t="s">
        <v>174</v>
      </c>
      <c r="H428" s="28" t="s">
        <v>175</v>
      </c>
      <c r="I428" s="28" t="s">
        <v>176</v>
      </c>
      <c r="J428" s="28" t="s">
        <v>177</v>
      </c>
      <c r="K428" s="28" t="s">
        <v>178</v>
      </c>
      <c r="L428" s="28" t="s">
        <v>179</v>
      </c>
      <c r="M428" s="28" t="s">
        <v>180</v>
      </c>
      <c r="N428" s="28" t="s">
        <v>181</v>
      </c>
      <c r="O428" s="28" t="s">
        <v>182</v>
      </c>
      <c r="P428" s="28" t="s">
        <v>183</v>
      </c>
      <c r="Q428" s="28" t="s">
        <v>184</v>
      </c>
      <c r="R428" s="28" t="s">
        <v>185</v>
      </c>
      <c r="S428" s="28" t="s">
        <v>186</v>
      </c>
      <c r="T428" s="28" t="s">
        <v>187</v>
      </c>
    </row>
    <row r="429" customFormat="false" ht="15" hidden="false" customHeight="false" outlineLevel="0" collapsed="false">
      <c r="A429" s="5" t="n">
        <v>1</v>
      </c>
      <c r="B429" s="24" t="n">
        <v>-0.5</v>
      </c>
      <c r="C429" s="24" t="n">
        <v>1</v>
      </c>
      <c r="D429" s="41" t="n">
        <f aca="false">(B429+C429)/2</f>
        <v>0.25</v>
      </c>
      <c r="E429" s="15" t="n">
        <f aca="false">$C$2*(1+IF(E$3&lt;=$O$2,$D429,$D429-($D429-$I$427)*MIN(E$3-$O$2,$Q$2)/$Q$2))</f>
        <v>1087.5375</v>
      </c>
      <c r="F429" s="15" t="n">
        <f aca="false">E429*(1+IF(F$3&lt;=$O$2,$D429,$D429-($D429-$I$427)*MIN(F$3-$O$2,$Q$2)/$Q$2))</f>
        <v>1359.421875</v>
      </c>
      <c r="G429" s="15" t="n">
        <f aca="false">F429*(1+IF(G$3&lt;=$O$2,$D429,$D429-($D429-$I$427)*MIN(G$3-$O$2,$Q$2)/$Q$2))</f>
        <v>1699.27734375</v>
      </c>
      <c r="H429" s="15" t="n">
        <f aca="false">G429*(1+IF(H$3&lt;=$O$2,$D429,$D429-($D429-$I$427)*MIN(H$3-$O$2,$Q$2)/$Q$2))</f>
        <v>2124.0966796875</v>
      </c>
      <c r="I429" s="15" t="n">
        <f aca="false">H429*(1+IF(I$3&lt;=$O$2,$D429,$D429-($D429-$I$427)*MIN(I$3-$O$2,$Q$2)/$Q$2))</f>
        <v>2655.12084960938</v>
      </c>
      <c r="J429" s="15" t="n">
        <f aca="false">I429*(1+IF(J$3&lt;=$O$2,$D429,$D429-($D429-$I$427)*MIN(J$3-$O$2,$Q$2)/$Q$2))</f>
        <v>3206.48324523926</v>
      </c>
      <c r="K429" s="15" t="n">
        <f aca="false">J429*(1+IF(K$3&lt;=$O$2,$D429,$D429-($D429-$I$427)*MIN(K$3-$O$2,$Q$2)/$Q$2))</f>
        <v>3736.57905534221</v>
      </c>
      <c r="L429" s="15" t="n">
        <f aca="false">K429*(1+IF(L$3&lt;=$O$2,$D429,$D429-($D429-$I$427)*MIN(L$3-$O$2,$Q$2)/$Q$2))</f>
        <v>4196.1035475682</v>
      </c>
      <c r="M429" s="15" t="n">
        <f aca="false">L429*(1+IF(M$3&lt;=$O$2,$D429,$D429-($D429-$I$427)*MIN(M$3-$O$2,$Q$2)/$Q$2))</f>
        <v>4534.4773376441</v>
      </c>
      <c r="N429" s="15" t="n">
        <f aca="false">M429*(1+IF(N$3&lt;=$O$2,$D429,$D429-($D429-$I$427)*MIN(N$3-$O$2,$Q$2)/$Q$2))</f>
        <v>4708.14781967587</v>
      </c>
      <c r="O429" s="15" t="n">
        <f aca="false">SUMPRODUCT(E429:N429,1/(1+$F$427)^$E$3:$N$3)*$E$2</f>
        <v>4034.16703980453</v>
      </c>
      <c r="P429" s="15" t="n">
        <f aca="false">N429*$E$2*(1+$I$427)/($F$427-$I$427)/(1+$F$427)^$N$3</f>
        <v>13198.9112106136</v>
      </c>
      <c r="Q429" s="15" t="n">
        <f aca="false">O429+P429</f>
        <v>17233.0782504182</v>
      </c>
      <c r="R429" s="15" t="n">
        <f aca="false">Q429-$G$2+$I$2</f>
        <v>17400.4782504182</v>
      </c>
      <c r="S429" s="42" t="n">
        <f aca="false">R429/$K$2</f>
        <v>494.472243546978</v>
      </c>
      <c r="T429" s="43" t="n">
        <f aca="false">S429-$M$2</f>
        <v>329.936864177839</v>
      </c>
    </row>
    <row r="430" customFormat="false" ht="15" hidden="false" customHeight="false" outlineLevel="0" collapsed="false">
      <c r="A430" s="5" t="n">
        <v>2</v>
      </c>
      <c r="B430" s="25" t="n">
        <f aca="false">IF(T429&gt;0,B429,D429)</f>
        <v>-0.5</v>
      </c>
      <c r="C430" s="25" t="n">
        <f aca="false">IF(T429&gt;0,D429,C429)</f>
        <v>0.25</v>
      </c>
      <c r="D430" s="41" t="n">
        <f aca="false">(B430+C430)/2</f>
        <v>-0.125</v>
      </c>
      <c r="E430" s="15" t="n">
        <f aca="false">$C$2*(1+IF(E$3&lt;=$O$2,$D430,$D430-($D430-$I$427)*MIN(E$3-$O$2,$Q$2)/$Q$2))</f>
        <v>761.27625</v>
      </c>
      <c r="F430" s="15" t="n">
        <f aca="false">E430*(1+IF(F$3&lt;=$O$2,$D430,$D430-($D430-$I$427)*MIN(F$3-$O$2,$Q$2)/$Q$2))</f>
        <v>666.11671875</v>
      </c>
      <c r="G430" s="15" t="n">
        <f aca="false">F430*(1+IF(G$3&lt;=$O$2,$D430,$D430-($D430-$I$427)*MIN(G$3-$O$2,$Q$2)/$Q$2))</f>
        <v>582.85212890625</v>
      </c>
      <c r="H430" s="15" t="n">
        <f aca="false">G430*(1+IF(H$3&lt;=$O$2,$D430,$D430-($D430-$I$427)*MIN(H$3-$O$2,$Q$2)/$Q$2))</f>
        <v>509.995612792969</v>
      </c>
      <c r="I430" s="15" t="n">
        <f aca="false">H430*(1+IF(I$3&lt;=$O$2,$D430,$D430-($D430-$I$427)*MIN(I$3-$O$2,$Q$2)/$Q$2))</f>
        <v>446.246161193848</v>
      </c>
      <c r="J430" s="15" t="n">
        <f aca="false">I430*(1+IF(J$3&lt;=$O$2,$D430,$D430-($D430-$I$427)*MIN(J$3-$O$2,$Q$2)/$Q$2))</f>
        <v>405.039790669208</v>
      </c>
      <c r="K430" s="15" t="n">
        <f aca="false">J430*(1+IF(K$3&lt;=$O$2,$D430,$D430-($D430-$I$427)*MIN(K$3-$O$2,$Q$2)/$Q$2))</f>
        <v>380.86701596207</v>
      </c>
      <c r="L430" s="15" t="n">
        <f aca="false">K430*(1+IF(L$3&lt;=$O$2,$D430,$D430-($D430-$I$427)*MIN(L$3-$O$2,$Q$2)/$Q$2))</f>
        <v>370.575989190774</v>
      </c>
      <c r="M430" s="15" t="n">
        <f aca="false">L430*(1+IF(M$3&lt;=$O$2,$D430,$D430-($D430-$I$427)*MIN(M$3-$O$2,$Q$2)/$Q$2))</f>
        <v>372.66603776981</v>
      </c>
      <c r="N430" s="15" t="n">
        <f aca="false">M430*(1+IF(N$3&lt;=$O$2,$D430,$D430-($D430-$I$427)*MIN(N$3-$O$2,$Q$2)/$Q$2))</f>
        <v>386.939147016394</v>
      </c>
      <c r="O430" s="15" t="n">
        <f aca="false">SUMPRODUCT(E430:N430,1/(1+$F$427)^$E$3:$N$3)*$E$2</f>
        <v>780.322254779718</v>
      </c>
      <c r="P430" s="15" t="n">
        <f aca="false">N430*$E$2*(1+$I$427)/($F$427-$I$427)/(1+$F$427)^$N$3</f>
        <v>1084.75256958512</v>
      </c>
      <c r="Q430" s="15" t="n">
        <f aca="false">O430+P430</f>
        <v>1865.07482436483</v>
      </c>
      <c r="R430" s="15" t="n">
        <f aca="false">Q430-$G$2+$I$2</f>
        <v>2032.47482436483</v>
      </c>
      <c r="S430" s="42" t="n">
        <f aca="false">R430/$K$2</f>
        <v>57.7571703428484</v>
      </c>
      <c r="T430" s="43" t="n">
        <f aca="false">S430-$M$2</f>
        <v>-106.778209026291</v>
      </c>
    </row>
    <row r="431" customFormat="false" ht="15" hidden="false" customHeight="false" outlineLevel="0" collapsed="false">
      <c r="A431" s="5" t="n">
        <v>3</v>
      </c>
      <c r="B431" s="25" t="n">
        <f aca="false">IF(T430&gt;0,B430,D430)</f>
        <v>-0.125</v>
      </c>
      <c r="C431" s="25" t="n">
        <f aca="false">IF(T430&gt;0,D430,C430)</f>
        <v>0.25</v>
      </c>
      <c r="D431" s="41" t="n">
        <f aca="false">(B431+C431)/2</f>
        <v>0.0625</v>
      </c>
      <c r="E431" s="15" t="n">
        <f aca="false">$C$2*(1+IF(E$3&lt;=$O$2,$D431,$D431-($D431-$I$427)*MIN(E$3-$O$2,$Q$2)/$Q$2))</f>
        <v>924.406875</v>
      </c>
      <c r="F431" s="15" t="n">
        <f aca="false">E431*(1+IF(F$3&lt;=$O$2,$D431,$D431-($D431-$I$427)*MIN(F$3-$O$2,$Q$2)/$Q$2))</f>
        <v>982.1823046875</v>
      </c>
      <c r="G431" s="15" t="n">
        <f aca="false">F431*(1+IF(G$3&lt;=$O$2,$D431,$D431-($D431-$I$427)*MIN(G$3-$O$2,$Q$2)/$Q$2))</f>
        <v>1043.56869873047</v>
      </c>
      <c r="H431" s="15" t="n">
        <f aca="false">G431*(1+IF(H$3&lt;=$O$2,$D431,$D431-($D431-$I$427)*MIN(H$3-$O$2,$Q$2)/$Q$2))</f>
        <v>1108.79174240112</v>
      </c>
      <c r="I431" s="15" t="n">
        <f aca="false">H431*(1+IF(I$3&lt;=$O$2,$D431,$D431-($D431-$I$427)*MIN(I$3-$O$2,$Q$2)/$Q$2))</f>
        <v>1178.09122630119</v>
      </c>
      <c r="J431" s="15" t="n">
        <f aca="false">I431*(1+IF(J$3&lt;=$O$2,$D431,$D431-($D431-$I$427)*MIN(J$3-$O$2,$Q$2)/$Q$2))</f>
        <v>1246.01996640972</v>
      </c>
      <c r="K431" s="15" t="n">
        <f aca="false">J431*(1+IF(K$3&lt;=$O$2,$D431,$D431-($D431-$I$427)*MIN(K$3-$O$2,$Q$2)/$Q$2))</f>
        <v>1311.83474103548</v>
      </c>
      <c r="L431" s="15" t="n">
        <f aca="false">K431*(1+IF(L$3&lt;=$O$2,$D431,$D431-($D431-$I$427)*MIN(L$3-$O$2,$Q$2)/$Q$2))</f>
        <v>1374.77657191036</v>
      </c>
      <c r="M431" s="15" t="n">
        <f aca="false">L431*(1+IF(M$3&lt;=$O$2,$D431,$D431-($D431-$I$427)*MIN(M$3-$O$2,$Q$2)/$Q$2))</f>
        <v>1434.08443322258</v>
      </c>
      <c r="N431" s="15" t="n">
        <f aca="false">M431*(1+IF(N$3&lt;=$O$2,$D431,$D431-($D431-$I$427)*MIN(N$3-$O$2,$Q$2)/$Q$2))</f>
        <v>1489.009867015</v>
      </c>
      <c r="O431" s="15" t="n">
        <f aca="false">SUMPRODUCT(E431:N431,1/(1+$F$427)^$E$3:$N$3)*$E$2</f>
        <v>1773.36414428852</v>
      </c>
      <c r="P431" s="15" t="n">
        <f aca="false">N431*$E$2*(1+$I$427)/($F$427-$I$427)/(1+$F$427)^$N$3</f>
        <v>4174.31860238654</v>
      </c>
      <c r="Q431" s="15" t="n">
        <f aca="false">O431+P431</f>
        <v>5947.68274667506</v>
      </c>
      <c r="R431" s="15" t="n">
        <f aca="false">Q431-$G$2+$I$2</f>
        <v>6115.08274667506</v>
      </c>
      <c r="S431" s="42" t="n">
        <f aca="false">R431/$K$2</f>
        <v>173.773309084259</v>
      </c>
      <c r="T431" s="43" t="n">
        <f aca="false">S431-$M$2</f>
        <v>9.23792971511972</v>
      </c>
    </row>
    <row r="432" customFormat="false" ht="15" hidden="false" customHeight="false" outlineLevel="0" collapsed="false">
      <c r="A432" s="5" t="n">
        <v>4</v>
      </c>
      <c r="B432" s="25" t="n">
        <f aca="false">IF(T431&gt;0,B431,D431)</f>
        <v>-0.125</v>
      </c>
      <c r="C432" s="25" t="n">
        <f aca="false">IF(T431&gt;0,D431,C431)</f>
        <v>0.0625</v>
      </c>
      <c r="D432" s="41" t="n">
        <f aca="false">(B432+C432)/2</f>
        <v>-0.03125</v>
      </c>
      <c r="E432" s="15" t="n">
        <f aca="false">$C$2*(1+IF(E$3&lt;=$O$2,$D432,$D432-($D432-$I$427)*MIN(E$3-$O$2,$Q$2)/$Q$2))</f>
        <v>842.8415625</v>
      </c>
      <c r="F432" s="15" t="n">
        <f aca="false">E432*(1+IF(F$3&lt;=$O$2,$D432,$D432-($D432-$I$427)*MIN(F$3-$O$2,$Q$2)/$Q$2))</f>
        <v>816.502763671875</v>
      </c>
      <c r="G432" s="15" t="n">
        <f aca="false">F432*(1+IF(G$3&lt;=$O$2,$D432,$D432-($D432-$I$427)*MIN(G$3-$O$2,$Q$2)/$Q$2))</f>
        <v>790.987052307129</v>
      </c>
      <c r="H432" s="15" t="n">
        <f aca="false">G432*(1+IF(H$3&lt;=$O$2,$D432,$D432-($D432-$I$427)*MIN(H$3-$O$2,$Q$2)/$Q$2))</f>
        <v>766.268706922531</v>
      </c>
      <c r="I432" s="15" t="n">
        <f aca="false">H432*(1+IF(I$3&lt;=$O$2,$D432,$D432-($D432-$I$427)*MIN(I$3-$O$2,$Q$2)/$Q$2))</f>
        <v>742.322809831202</v>
      </c>
      <c r="J432" s="15" t="n">
        <f aca="false">I432*(1+IF(J$3&lt;=$O$2,$D432,$D432-($D432-$I$427)*MIN(J$3-$O$2,$Q$2)/$Q$2))</f>
        <v>729.450932308729</v>
      </c>
      <c r="K432" s="15" t="n">
        <f aca="false">J432*(1+IF(K$3&lt;=$O$2,$D432,$D432-($D432-$I$427)*MIN(K$3-$O$2,$Q$2)/$Q$2))</f>
        <v>726.94891561091</v>
      </c>
      <c r="L432" s="15" t="n">
        <f aca="false">K432*(1+IF(L$3&lt;=$O$2,$D432,$D432-($D432-$I$427)*MIN(L$3-$O$2,$Q$2)/$Q$2))</f>
        <v>734.567340246513</v>
      </c>
      <c r="M432" s="15" t="n">
        <f aca="false">L432*(1+IF(M$3&lt;=$O$2,$D432,$D432-($D432-$I$427)*MIN(M$3-$O$2,$Q$2)/$Q$2))</f>
        <v>752.483437675125</v>
      </c>
      <c r="N432" s="15" t="n">
        <f aca="false">M432*(1+IF(N$3&lt;=$O$2,$D432,$D432-($D432-$I$427)*MIN(N$3-$O$2,$Q$2)/$Q$2))</f>
        <v>781.303553338082</v>
      </c>
      <c r="O432" s="15" t="n">
        <f aca="false">SUMPRODUCT(E432:N432,1/(1+$F$427)^$E$3:$N$3)*$E$2</f>
        <v>1173.22659008107</v>
      </c>
      <c r="P432" s="15" t="n">
        <f aca="false">N432*$E$2*(1+$I$427)/($F$427-$I$427)/(1+$F$427)^$N$3</f>
        <v>2190.321252436</v>
      </c>
      <c r="Q432" s="15" t="n">
        <f aca="false">O432+P432</f>
        <v>3363.54784251707</v>
      </c>
      <c r="R432" s="15" t="n">
        <f aca="false">Q432-$G$2+$I$2</f>
        <v>3530.94784251707</v>
      </c>
      <c r="S432" s="42" t="n">
        <f aca="false">R432/$K$2</f>
        <v>100.33952379986</v>
      </c>
      <c r="T432" s="43" t="n">
        <f aca="false">S432-$M$2</f>
        <v>-64.195855569279</v>
      </c>
    </row>
    <row r="433" customFormat="false" ht="15" hidden="false" customHeight="false" outlineLevel="0" collapsed="false">
      <c r="A433" s="5" t="n">
        <v>5</v>
      </c>
      <c r="B433" s="25" t="n">
        <f aca="false">IF(T432&gt;0,B432,D432)</f>
        <v>-0.03125</v>
      </c>
      <c r="C433" s="25" t="n">
        <f aca="false">IF(T432&gt;0,D432,C432)</f>
        <v>0.0625</v>
      </c>
      <c r="D433" s="41" t="n">
        <f aca="false">(B433+C433)/2</f>
        <v>0.015625</v>
      </c>
      <c r="E433" s="15" t="n">
        <f aca="false">$C$2*(1+IF(E$3&lt;=$O$2,$D433,$D433-($D433-$I$427)*MIN(E$3-$O$2,$Q$2)/$Q$2))</f>
        <v>883.62421875</v>
      </c>
      <c r="F433" s="15" t="n">
        <f aca="false">E433*(1+IF(F$3&lt;=$O$2,$D433,$D433-($D433-$I$427)*MIN(F$3-$O$2,$Q$2)/$Q$2))</f>
        <v>897.430847167969</v>
      </c>
      <c r="G433" s="15" t="n">
        <f aca="false">F433*(1+IF(G$3&lt;=$O$2,$D433,$D433-($D433-$I$427)*MIN(G$3-$O$2,$Q$2)/$Q$2))</f>
        <v>911.453204154968</v>
      </c>
      <c r="H433" s="15" t="n">
        <f aca="false">G433*(1+IF(H$3&lt;=$O$2,$D433,$D433-($D433-$I$427)*MIN(H$3-$O$2,$Q$2)/$Q$2))</f>
        <v>925.69466046989</v>
      </c>
      <c r="I433" s="15" t="n">
        <f aca="false">H433*(1+IF(I$3&lt;=$O$2,$D433,$D433-($D433-$I$427)*MIN(I$3-$O$2,$Q$2)/$Q$2))</f>
        <v>940.158639539732</v>
      </c>
      <c r="J433" s="15" t="n">
        <f aca="false">I433*(1+IF(J$3&lt;=$O$2,$D433,$D433-($D433-$I$427)*MIN(J$3-$O$2,$Q$2)/$Q$2))</f>
        <v>959.112237712853</v>
      </c>
      <c r="K433" s="15" t="n">
        <f aca="false">J433*(1+IF(K$3&lt;=$O$2,$D433,$D433-($D433-$I$427)*MIN(K$3-$O$2,$Q$2)/$Q$2))</f>
        <v>982.797514423171</v>
      </c>
      <c r="L433" s="15" t="n">
        <f aca="false">K433*(1+IF(L$3&lt;=$O$2,$D433,$D433-($D433-$I$427)*MIN(L$3-$O$2,$Q$2)/$Q$2))</f>
        <v>1011.52468576976</v>
      </c>
      <c r="M433" s="15" t="n">
        <f aca="false">L433*(1+IF(M$3&lt;=$O$2,$D433,$D433-($D433-$I$427)*MIN(M$3-$O$2,$Q$2)/$Q$2))</f>
        <v>1045.67881678478</v>
      </c>
      <c r="N433" s="15" t="n">
        <f aca="false">M433*(1+IF(N$3&lt;=$O$2,$D433,$D433-($D433-$I$427)*MIN(N$3-$O$2,$Q$2)/$Q$2))</f>
        <v>1085.72831546763</v>
      </c>
      <c r="O433" s="15" t="n">
        <f aca="false">SUMPRODUCT(E433:N433,1/(1+$F$427)^$E$3:$N$3)*$E$2</f>
        <v>1441.94790276427</v>
      </c>
      <c r="P433" s="15" t="n">
        <f aca="false">N433*$E$2*(1+$I$427)/($F$427-$I$427)/(1+$F$427)^$N$3</f>
        <v>3043.75142488474</v>
      </c>
      <c r="Q433" s="15" t="n">
        <f aca="false">O433+P433</f>
        <v>4485.69932764901</v>
      </c>
      <c r="R433" s="15" t="n">
        <f aca="false">Q433-$G$2+$I$2</f>
        <v>4653.09932764901</v>
      </c>
      <c r="S433" s="42" t="n">
        <f aca="false">R433/$K$2</f>
        <v>132.227886548707</v>
      </c>
      <c r="T433" s="43" t="n">
        <f aca="false">S433-$M$2</f>
        <v>-32.3074928204317</v>
      </c>
    </row>
    <row r="434" customFormat="false" ht="15" hidden="false" customHeight="false" outlineLevel="0" collapsed="false">
      <c r="A434" s="5" t="n">
        <v>6</v>
      </c>
      <c r="B434" s="25" t="n">
        <f aca="false">IF(T433&gt;0,B433,D433)</f>
        <v>0.015625</v>
      </c>
      <c r="C434" s="25" t="n">
        <f aca="false">IF(T433&gt;0,D433,C433)</f>
        <v>0.0625</v>
      </c>
      <c r="D434" s="41" t="n">
        <f aca="false">(B434+C434)/2</f>
        <v>0.0390625</v>
      </c>
      <c r="E434" s="15" t="n">
        <f aca="false">$C$2*(1+IF(E$3&lt;=$O$2,$D434,$D434-($D434-$I$427)*MIN(E$3-$O$2,$Q$2)/$Q$2))</f>
        <v>904.015546875</v>
      </c>
      <c r="F434" s="15" t="n">
        <f aca="false">E434*(1+IF(F$3&lt;=$O$2,$D434,$D434-($D434-$I$427)*MIN(F$3-$O$2,$Q$2)/$Q$2))</f>
        <v>939.328654174805</v>
      </c>
      <c r="G434" s="15" t="n">
        <f aca="false">F434*(1+IF(G$3&lt;=$O$2,$D434,$D434-($D434-$I$427)*MIN(G$3-$O$2,$Q$2)/$Q$2))</f>
        <v>976.021179728508</v>
      </c>
      <c r="H434" s="15" t="n">
        <f aca="false">G434*(1+IF(H$3&lt;=$O$2,$D434,$D434-($D434-$I$427)*MIN(H$3-$O$2,$Q$2)/$Q$2))</f>
        <v>1014.14700706165</v>
      </c>
      <c r="I434" s="15" t="n">
        <f aca="false">H434*(1+IF(I$3&lt;=$O$2,$D434,$D434-($D434-$I$427)*MIN(I$3-$O$2,$Q$2)/$Q$2))</f>
        <v>1053.762124525</v>
      </c>
      <c r="J434" s="15" t="n">
        <f aca="false">I434*(1+IF(J$3&lt;=$O$2,$D434,$D434-($D434-$I$427)*MIN(J$3-$O$2,$Q$2)/$Q$2))</f>
        <v>1094.76400879027</v>
      </c>
      <c r="K434" s="15" t="n">
        <f aca="false">J434*(1+IF(K$3&lt;=$O$2,$D434,$D434-($D434-$I$427)*MIN(K$3-$O$2,$Q$2)/$Q$2))</f>
        <v>1137.19432486096</v>
      </c>
      <c r="L434" s="15" t="n">
        <f aca="false">K434*(1+IF(L$3&lt;=$O$2,$D434,$D434-($D434-$I$427)*MIN(L$3-$O$2,$Q$2)/$Q$2))</f>
        <v>1181.09571177221</v>
      </c>
      <c r="M434" s="15" t="n">
        <f aca="false">L434*(1+IF(M$3&lt;=$O$2,$D434,$D434-($D434-$I$427)*MIN(M$3-$O$2,$Q$2)/$Q$2))</f>
        <v>1226.51179462913</v>
      </c>
      <c r="N434" s="15" t="n">
        <f aca="false">M434*(1+IF(N$3&lt;=$O$2,$D434,$D434-($D434-$I$427)*MIN(N$3-$O$2,$Q$2)/$Q$2))</f>
        <v>1273.48719636343</v>
      </c>
      <c r="O434" s="15" t="n">
        <f aca="false">SUMPRODUCT(E434:N434,1/(1+$F$427)^$E$3:$N$3)*$E$2</f>
        <v>1599.03058914717</v>
      </c>
      <c r="P434" s="15" t="n">
        <f aca="false">N434*$E$2*(1+$I$427)/($F$427-$I$427)/(1+$F$427)^$N$3</f>
        <v>3570.11824531274</v>
      </c>
      <c r="Q434" s="15" t="n">
        <f aca="false">O434+P434</f>
        <v>5169.1488344599</v>
      </c>
      <c r="R434" s="15" t="n">
        <f aca="false">Q434-$G$2+$I$2</f>
        <v>5336.5488344599</v>
      </c>
      <c r="S434" s="42" t="n">
        <f aca="false">R434/$K$2</f>
        <v>151.649583246942</v>
      </c>
      <c r="T434" s="43" t="n">
        <f aca="false">S434-$M$2</f>
        <v>-12.8857961221966</v>
      </c>
    </row>
    <row r="435" customFormat="false" ht="15" hidden="false" customHeight="false" outlineLevel="0" collapsed="false">
      <c r="A435" s="5" t="n">
        <v>7</v>
      </c>
      <c r="B435" s="25" t="n">
        <f aca="false">IF(T434&gt;0,B434,D434)</f>
        <v>0.0390625</v>
      </c>
      <c r="C435" s="25" t="n">
        <f aca="false">IF(T434&gt;0,D434,C434)</f>
        <v>0.0625</v>
      </c>
      <c r="D435" s="41" t="n">
        <f aca="false">(B435+C435)/2</f>
        <v>0.05078125</v>
      </c>
      <c r="E435" s="15" t="n">
        <f aca="false">$C$2*(1+IF(E$3&lt;=$O$2,$D435,$D435-($D435-$I$427)*MIN(E$3-$O$2,$Q$2)/$Q$2))</f>
        <v>914.2112109375</v>
      </c>
      <c r="F435" s="15" t="n">
        <f aca="false">E435*(1+IF(F$3&lt;=$O$2,$D435,$D435-($D435-$I$427)*MIN(F$3-$O$2,$Q$2)/$Q$2))</f>
        <v>960.63599899292</v>
      </c>
      <c r="G435" s="15" t="n">
        <f aca="false">F435*(1+IF(G$3&lt;=$O$2,$D435,$D435-($D435-$I$427)*MIN(G$3-$O$2,$Q$2)/$Q$2))</f>
        <v>1009.41829581678</v>
      </c>
      <c r="H435" s="15" t="n">
        <f aca="false">G435*(1+IF(H$3&lt;=$O$2,$D435,$D435-($D435-$I$427)*MIN(H$3-$O$2,$Q$2)/$Q$2))</f>
        <v>1060.67781865123</v>
      </c>
      <c r="I435" s="15" t="n">
        <f aca="false">H435*(1+IF(I$3&lt;=$O$2,$D435,$D435-($D435-$I$427)*MIN(I$3-$O$2,$Q$2)/$Q$2))</f>
        <v>1114.54036412961</v>
      </c>
      <c r="J435" s="15" t="n">
        <f aca="false">I435*(1+IF(J$3&lt;=$O$2,$D435,$D435-($D435-$I$427)*MIN(J$3-$O$2,$Q$2)/$Q$2))</f>
        <v>1168.35594561161</v>
      </c>
      <c r="K435" s="15" t="n">
        <f aca="false">J435*(1+IF(K$3&lt;=$O$2,$D435,$D435-($D435-$I$427)*MIN(K$3-$O$2,$Q$2)/$Q$2))</f>
        <v>1221.85350391623</v>
      </c>
      <c r="L435" s="15" t="n">
        <f aca="false">K435*(1+IF(L$3&lt;=$O$2,$D435,$D435-($D435-$I$427)*MIN(L$3-$O$2,$Q$2)/$Q$2))</f>
        <v>1274.75059673452</v>
      </c>
      <c r="M435" s="15" t="n">
        <f aca="false">L435*(1+IF(M$3&lt;=$O$2,$D435,$D435-($D435-$I$427)*MIN(M$3-$O$2,$Q$2)/$Q$2))</f>
        <v>1326.75564076655</v>
      </c>
      <c r="N435" s="15" t="n">
        <f aca="false">M435*(1+IF(N$3&lt;=$O$2,$D435,$D435-($D435-$I$427)*MIN(N$3-$O$2,$Q$2)/$Q$2))</f>
        <v>1377.57038180791</v>
      </c>
      <c r="O435" s="15" t="n">
        <f aca="false">SUMPRODUCT(E435:N435,1/(1+$F$427)^$E$3:$N$3)*$E$2</f>
        <v>1683.9349317232</v>
      </c>
      <c r="P435" s="15" t="n">
        <f aca="false">N435*$E$2*(1+$I$427)/($F$427-$I$427)/(1+$F$427)^$N$3</f>
        <v>3861.90702846401</v>
      </c>
      <c r="Q435" s="15" t="n">
        <f aca="false">O435+P435</f>
        <v>5545.84196018721</v>
      </c>
      <c r="R435" s="15" t="n">
        <f aca="false">Q435-$G$2+$I$2</f>
        <v>5713.24196018721</v>
      </c>
      <c r="S435" s="42" t="n">
        <f aca="false">R435/$K$2</f>
        <v>162.354133565991</v>
      </c>
      <c r="T435" s="43" t="n">
        <f aca="false">S435-$M$2</f>
        <v>-2.18124580314833</v>
      </c>
    </row>
    <row r="436" customFormat="false" ht="15" hidden="false" customHeight="false" outlineLevel="0" collapsed="false">
      <c r="A436" s="5" t="n">
        <v>8</v>
      </c>
      <c r="B436" s="25" t="n">
        <f aca="false">IF(T435&gt;0,B435,D435)</f>
        <v>0.05078125</v>
      </c>
      <c r="C436" s="25" t="n">
        <f aca="false">IF(T435&gt;0,D435,C435)</f>
        <v>0.0625</v>
      </c>
      <c r="D436" s="41" t="n">
        <f aca="false">(B436+C436)/2</f>
        <v>0.056640625</v>
      </c>
      <c r="E436" s="15" t="n">
        <f aca="false">$C$2*(1+IF(E$3&lt;=$O$2,$D436,$D436-($D436-$I$427)*MIN(E$3-$O$2,$Q$2)/$Q$2))</f>
        <v>919.30904296875</v>
      </c>
      <c r="F436" s="15" t="n">
        <f aca="false">E436*(1+IF(F$3&lt;=$O$2,$D436,$D436-($D436-$I$427)*MIN(F$3-$O$2,$Q$2)/$Q$2))</f>
        <v>971.379281730652</v>
      </c>
      <c r="G436" s="15" t="n">
        <f aca="false">F436*(1+IF(G$3&lt;=$O$2,$D436,$D436-($D436-$I$427)*MIN(G$3-$O$2,$Q$2)/$Q$2))</f>
        <v>1026.39881135993</v>
      </c>
      <c r="H436" s="15" t="n">
        <f aca="false">G436*(1+IF(H$3&lt;=$O$2,$D436,$D436-($D436-$I$427)*MIN(H$3-$O$2,$Q$2)/$Q$2))</f>
        <v>1084.53468153461</v>
      </c>
      <c r="I436" s="15" t="n">
        <f aca="false">H436*(1+IF(I$3&lt;=$O$2,$D436,$D436-($D436-$I$427)*MIN(I$3-$O$2,$Q$2)/$Q$2))</f>
        <v>1145.96340373091</v>
      </c>
      <c r="J436" s="15" t="n">
        <f aca="false">I436*(1+IF(J$3&lt;=$O$2,$D436,$D436-($D436-$I$427)*MIN(J$3-$O$2,$Q$2)/$Q$2))</f>
        <v>1206.66795013504</v>
      </c>
      <c r="K436" s="15" t="n">
        <f aca="false">J436*(1+IF(K$3&lt;=$O$2,$D436,$D436-($D436-$I$427)*MIN(K$3-$O$2,$Q$2)/$Q$2))</f>
        <v>1266.16195924898</v>
      </c>
      <c r="L436" s="15" t="n">
        <f aca="false">K436*(1+IF(L$3&lt;=$O$2,$D436,$D436-($D436-$I$427)*MIN(L$3-$O$2,$Q$2)/$Q$2))</f>
        <v>1323.94484296176</v>
      </c>
      <c r="M436" s="15" t="n">
        <f aca="false">L436*(1+IF(M$3&lt;=$O$2,$D436,$D436-($D436-$I$427)*MIN(M$3-$O$2,$Q$2)/$Q$2))</f>
        <v>1379.50832562428</v>
      </c>
      <c r="N436" s="15" t="n">
        <f aca="false">M436*(1+IF(N$3&lt;=$O$2,$D436,$D436-($D436-$I$427)*MIN(N$3-$O$2,$Q$2)/$Q$2))</f>
        <v>1432.34349449569</v>
      </c>
      <c r="O436" s="15" t="n">
        <f aca="false">SUMPRODUCT(E436:N436,1/(1+$F$427)^$E$3:$N$3)*$E$2</f>
        <v>1728.07017562172</v>
      </c>
      <c r="P436" s="15" t="n">
        <f aca="false">N436*$E$2*(1+$I$427)/($F$427-$I$427)/(1+$F$427)^$N$3</f>
        <v>4015.45901510166</v>
      </c>
      <c r="Q436" s="15" t="n">
        <f aca="false">O436+P436</f>
        <v>5743.52919072338</v>
      </c>
      <c r="R436" s="15" t="n">
        <f aca="false">Q436-$G$2+$I$2</f>
        <v>5910.92919072338</v>
      </c>
      <c r="S436" s="42" t="n">
        <f aca="false">R436/$K$2</f>
        <v>167.971844010326</v>
      </c>
      <c r="T436" s="43" t="n">
        <f aca="false">S436-$M$2</f>
        <v>3.43646464118731</v>
      </c>
    </row>
    <row r="437" customFormat="false" ht="15" hidden="false" customHeight="false" outlineLevel="0" collapsed="false">
      <c r="A437" s="5" t="n">
        <v>9</v>
      </c>
      <c r="B437" s="25" t="n">
        <f aca="false">IF(T436&gt;0,B436,D436)</f>
        <v>0.05078125</v>
      </c>
      <c r="C437" s="25" t="n">
        <f aca="false">IF(T436&gt;0,D436,C436)</f>
        <v>0.056640625</v>
      </c>
      <c r="D437" s="41" t="n">
        <f aca="false">(B437+C437)/2</f>
        <v>0.0537109375</v>
      </c>
      <c r="E437" s="15" t="n">
        <f aca="false">$C$2*(1+IF(E$3&lt;=$O$2,$D437,$D437-($D437-$I$427)*MIN(E$3-$O$2,$Q$2)/$Q$2))</f>
        <v>916.760126953125</v>
      </c>
      <c r="F437" s="15" t="n">
        <f aca="false">E437*(1+IF(F$3&lt;=$O$2,$D437,$D437-($D437-$I$427)*MIN(F$3-$O$2,$Q$2)/$Q$2))</f>
        <v>966.000172834396</v>
      </c>
      <c r="G437" s="15" t="n">
        <f aca="false">F437*(1+IF(G$3&lt;=$O$2,$D437,$D437-($D437-$I$427)*MIN(G$3-$O$2,$Q$2)/$Q$2))</f>
        <v>1017.88494774249</v>
      </c>
      <c r="H437" s="15" t="n">
        <f aca="false">G437*(1+IF(H$3&lt;=$O$2,$D437,$D437-($D437-$I$427)*MIN(H$3-$O$2,$Q$2)/$Q$2))</f>
        <v>1072.55650255288</v>
      </c>
      <c r="I437" s="15" t="n">
        <f aca="false">H437*(1+IF(I$3&lt;=$O$2,$D437,$D437-($D437-$I$427)*MIN(I$3-$O$2,$Q$2)/$Q$2))</f>
        <v>1130.16451782672</v>
      </c>
      <c r="J437" s="15" t="n">
        <f aca="false">I437*(1+IF(J$3&lt;=$O$2,$D437,$D437-($D437-$I$427)*MIN(J$3-$O$2,$Q$2)/$Q$2))</f>
        <v>1187.38333465864</v>
      </c>
      <c r="K437" s="15" t="n">
        <f aca="false">J437*(1+IF(K$3&lt;=$O$2,$D437,$D437-($D437-$I$427)*MIN(K$3-$O$2,$Q$2)/$Q$2))</f>
        <v>1243.83933059144</v>
      </c>
      <c r="L437" s="15" t="n">
        <f aca="false">K437*(1+IF(L$3&lt;=$O$2,$D437,$D437-($D437-$I$427)*MIN(L$3-$O$2,$Q$2)/$Q$2))</f>
        <v>1299.14586902661</v>
      </c>
      <c r="M437" s="15" t="n">
        <f aca="false">L437*(1+IF(M$3&lt;=$O$2,$D437,$D437-($D437-$I$427)*MIN(M$3-$O$2,$Q$2)/$Q$2))</f>
        <v>1352.90736696852</v>
      </c>
      <c r="N437" s="15" t="n">
        <f aca="false">M437*(1+IF(N$3&lt;=$O$2,$D437,$D437-($D437-$I$427)*MIN(N$3-$O$2,$Q$2)/$Q$2))</f>
        <v>1404.72371912341</v>
      </c>
      <c r="O437" s="15" t="n">
        <f aca="false">SUMPRODUCT(E437:N437,1/(1+$F$427)^$E$3:$N$3)*$E$2</f>
        <v>1705.8594548379</v>
      </c>
      <c r="P437" s="15" t="n">
        <f aca="false">N437*$E$2*(1+$I$427)/($F$427-$I$427)/(1+$F$427)^$N$3</f>
        <v>3938.02921111966</v>
      </c>
      <c r="Q437" s="15" t="n">
        <f aca="false">O437+P437</f>
        <v>5643.88866595756</v>
      </c>
      <c r="R437" s="15" t="n">
        <f aca="false">Q437-$G$2+$I$2</f>
        <v>5811.28866595756</v>
      </c>
      <c r="S437" s="42" t="n">
        <f aca="false">R437/$K$2</f>
        <v>165.140342880294</v>
      </c>
      <c r="T437" s="43" t="n">
        <f aca="false">S437-$M$2</f>
        <v>0.604963511155319</v>
      </c>
    </row>
    <row r="438" customFormat="false" ht="15" hidden="false" customHeight="false" outlineLevel="0" collapsed="false">
      <c r="A438" s="5" t="n">
        <v>10</v>
      </c>
      <c r="B438" s="25" t="n">
        <f aca="false">IF(T437&gt;0,B437,D437)</f>
        <v>0.05078125</v>
      </c>
      <c r="C438" s="25" t="n">
        <f aca="false">IF(T437&gt;0,D437,C437)</f>
        <v>0.0537109375</v>
      </c>
      <c r="D438" s="41" t="n">
        <f aca="false">(B438+C438)/2</f>
        <v>0.05224609375</v>
      </c>
      <c r="E438" s="15" t="n">
        <f aca="false">$C$2*(1+IF(E$3&lt;=$O$2,$D438,$D438-($D438-$I$427)*MIN(E$3-$O$2,$Q$2)/$Q$2))</f>
        <v>915.485668945313</v>
      </c>
      <c r="F438" s="15" t="n">
        <f aca="false">E438*(1+IF(F$3&lt;=$O$2,$D438,$D438-($D438-$I$427)*MIN(F$3-$O$2,$Q$2)/$Q$2))</f>
        <v>963.316219031811</v>
      </c>
      <c r="G438" s="15" t="n">
        <f aca="false">F438*(1+IF(G$3&lt;=$O$2,$D438,$D438-($D438-$I$427)*MIN(G$3-$O$2,$Q$2)/$Q$2))</f>
        <v>1013.64572852224</v>
      </c>
      <c r="H438" s="15" t="n">
        <f aca="false">G438*(1+IF(H$3&lt;=$O$2,$D438,$D438-($D438-$I$427)*MIN(H$3-$O$2,$Q$2)/$Q$2))</f>
        <v>1066.6047582839</v>
      </c>
      <c r="I438" s="15" t="n">
        <f aca="false">H438*(1+IF(I$3&lt;=$O$2,$D438,$D438-($D438-$I$427)*MIN(I$3-$O$2,$Q$2)/$Q$2))</f>
        <v>1122.3306904794</v>
      </c>
      <c r="J438" s="15" t="n">
        <f aca="false">I438*(1+IF(J$3&lt;=$O$2,$D438,$D438-($D438-$I$427)*MIN(J$3-$O$2,$Q$2)/$Q$2))</f>
        <v>1177.8376591471</v>
      </c>
      <c r="K438" s="15" t="n">
        <f aca="false">J438*(1+IF(K$3&lt;=$O$2,$D438,$D438-($D438-$I$427)*MIN(K$3-$O$2,$Q$2)/$Q$2))</f>
        <v>1232.80458214248</v>
      </c>
      <c r="L438" s="15" t="n">
        <f aca="false">K438*(1+IF(L$3&lt;=$O$2,$D438,$D438-($D438-$I$427)*MIN(L$3-$O$2,$Q$2)/$Q$2))</f>
        <v>1286.89812094974</v>
      </c>
      <c r="M438" s="15" t="n">
        <f aca="false">L438*(1+IF(M$3&lt;=$O$2,$D438,$D438-($D438-$I$427)*MIN(M$3-$O$2,$Q$2)/$Q$2))</f>
        <v>1339.7757593504</v>
      </c>
      <c r="N438" s="15" t="n">
        <f aca="false">M438*(1+IF(N$3&lt;=$O$2,$D438,$D438-($D438-$I$427)*MIN(N$3-$O$2,$Q$2)/$Q$2))</f>
        <v>1391.08917093353</v>
      </c>
      <c r="O438" s="15" t="n">
        <f aca="false">SUMPRODUCT(E438:N438,1/(1+$F$427)^$E$3:$N$3)*$E$2</f>
        <v>1694.861634303</v>
      </c>
      <c r="P438" s="15" t="n">
        <f aca="false">N438*$E$2*(1+$I$427)/($F$427-$I$427)/(1+$F$427)^$N$3</f>
        <v>3899.80585920979</v>
      </c>
      <c r="Q438" s="15" t="n">
        <f aca="false">O438+P438</f>
        <v>5594.66749351279</v>
      </c>
      <c r="R438" s="15" t="n">
        <f aca="false">Q438-$G$2+$I$2</f>
        <v>5762.06749351279</v>
      </c>
      <c r="S438" s="42" t="n">
        <f aca="false">R438/$K$2</f>
        <v>163.741616752282</v>
      </c>
      <c r="T438" s="43" t="n">
        <f aca="false">S438-$M$2</f>
        <v>-0.79376261685735</v>
      </c>
    </row>
    <row r="439" customFormat="false" ht="15" hidden="false" customHeight="false" outlineLevel="0" collapsed="false">
      <c r="A439" s="5" t="n">
        <v>11</v>
      </c>
      <c r="B439" s="25" t="n">
        <f aca="false">IF(T438&gt;0,B438,D438)</f>
        <v>0.05224609375</v>
      </c>
      <c r="C439" s="25" t="n">
        <f aca="false">IF(T438&gt;0,D438,C438)</f>
        <v>0.0537109375</v>
      </c>
      <c r="D439" s="41" t="n">
        <f aca="false">(B439+C439)/2</f>
        <v>0.052978515625</v>
      </c>
      <c r="E439" s="15" t="n">
        <f aca="false">$C$2*(1+IF(E$3&lt;=$O$2,$D439,$D439-($D439-$I$427)*MIN(E$3-$O$2,$Q$2)/$Q$2))</f>
        <v>916.122897949219</v>
      </c>
      <c r="F439" s="15" t="n">
        <f aca="false">E439*(1+IF(F$3&lt;=$O$2,$D439,$D439-($D439-$I$427)*MIN(F$3-$O$2,$Q$2)/$Q$2))</f>
        <v>964.657729212642</v>
      </c>
      <c r="G439" s="15" t="n">
        <f aca="false">F439*(1+IF(G$3&lt;=$O$2,$D439,$D439-($D439-$I$427)*MIN(G$3-$O$2,$Q$2)/$Q$2))</f>
        <v>1015.76386379251</v>
      </c>
      <c r="H439" s="15" t="n">
        <f aca="false">G439*(1+IF(H$3&lt;=$O$2,$D439,$D439-($D439-$I$427)*MIN(H$3-$O$2,$Q$2)/$Q$2))</f>
        <v>1069.57752552175</v>
      </c>
      <c r="I439" s="15" t="n">
        <f aca="false">H439*(1+IF(I$3&lt;=$O$2,$D439,$D439-($D439-$I$427)*MIN(I$3-$O$2,$Q$2)/$Q$2))</f>
        <v>1126.24215516976</v>
      </c>
      <c r="J439" s="15" t="n">
        <f aca="false">I439*(1+IF(J$3&lt;=$O$2,$D439,$D439-($D439-$I$427)*MIN(J$3-$O$2,$Q$2)/$Q$2))</f>
        <v>1182.60248017051</v>
      </c>
      <c r="K439" s="15" t="n">
        <f aca="false">J439*(1+IF(K$3&lt;=$O$2,$D439,$D439-($D439-$I$427)*MIN(K$3-$O$2,$Q$2)/$Q$2))</f>
        <v>1238.31146455105</v>
      </c>
      <c r="L439" s="15" t="n">
        <f aca="false">K439*(1+IF(L$3&lt;=$O$2,$D439,$D439-($D439-$I$427)*MIN(L$3-$O$2,$Q$2)/$Q$2))</f>
        <v>1293.00942331577</v>
      </c>
      <c r="M439" s="15" t="n">
        <f aca="false">L439*(1+IF(M$3&lt;=$O$2,$D439,$D439-($D439-$I$427)*MIN(M$3-$O$2,$Q$2)/$Q$2))</f>
        <v>1346.32757603344</v>
      </c>
      <c r="N439" s="15" t="n">
        <f aca="false">M439*(1+IF(N$3&lt;=$O$2,$D439,$D439-($D439-$I$427)*MIN(N$3-$O$2,$Q$2)/$Q$2))</f>
        <v>1397.89192219552</v>
      </c>
      <c r="O439" s="15" t="n">
        <f aca="false">SUMPRODUCT(E439:N439,1/(1+$F$427)^$E$3:$N$3)*$E$2</f>
        <v>1700.35162794798</v>
      </c>
      <c r="P439" s="15" t="n">
        <f aca="false">N439*$E$2*(1+$I$427)/($F$427-$I$427)/(1+$F$427)^$N$3</f>
        <v>3918.87682157842</v>
      </c>
      <c r="Q439" s="15" t="n">
        <f aca="false">O439+P439</f>
        <v>5619.2284495264</v>
      </c>
      <c r="R439" s="15" t="n">
        <f aca="false">Q439-$G$2+$I$2</f>
        <v>5786.6284495264</v>
      </c>
      <c r="S439" s="42" t="n">
        <f aca="false">R439/$K$2</f>
        <v>164.439569466508</v>
      </c>
      <c r="T439" s="43" t="n">
        <f aca="false">S439-$M$2</f>
        <v>-0.0958099026313732</v>
      </c>
    </row>
    <row r="440" customFormat="false" ht="15" hidden="false" customHeight="false" outlineLevel="0" collapsed="false">
      <c r="A440" s="5" t="n">
        <v>12</v>
      </c>
      <c r="B440" s="25" t="n">
        <f aca="false">IF(T439&gt;0,B439,D439)</f>
        <v>0.052978515625</v>
      </c>
      <c r="C440" s="25" t="n">
        <f aca="false">IF(T439&gt;0,D439,C439)</f>
        <v>0.0537109375</v>
      </c>
      <c r="D440" s="41" t="n">
        <f aca="false">(B440+C440)/2</f>
        <v>0.0533447265625</v>
      </c>
      <c r="E440" s="15" t="n">
        <f aca="false">$C$2*(1+IF(E$3&lt;=$O$2,$D440,$D440-($D440-$I$427)*MIN(E$3-$O$2,$Q$2)/$Q$2))</f>
        <v>916.441512451172</v>
      </c>
      <c r="F440" s="15" t="n">
        <f aca="false">E440*(1+IF(F$3&lt;=$O$2,$D440,$D440-($D440-$I$427)*MIN(F$3-$O$2,$Q$2)/$Q$2))</f>
        <v>965.328834343404</v>
      </c>
      <c r="G440" s="15" t="n">
        <f aca="false">F440*(1+IF(G$3&lt;=$O$2,$D440,$D440-($D440-$I$427)*MIN(G$3-$O$2,$Q$2)/$Q$2))</f>
        <v>1016.82403705435</v>
      </c>
      <c r="H440" s="15" t="n">
        <f aca="false">G440*(1+IF(H$3&lt;=$O$2,$D440,$D440-($D440-$I$427)*MIN(H$3-$O$2,$Q$2)/$Q$2))</f>
        <v>1071.06623727319</v>
      </c>
      <c r="I440" s="15" t="n">
        <f aca="false">H440*(1+IF(I$3&lt;=$O$2,$D440,$D440-($D440-$I$427)*MIN(I$3-$O$2,$Q$2)/$Q$2))</f>
        <v>1128.20197283086</v>
      </c>
      <c r="J440" s="15" t="n">
        <f aca="false">I440*(1+IF(J$3&lt;=$O$2,$D440,$D440-($D440-$I$427)*MIN(J$3-$O$2,$Q$2)/$Q$2))</f>
        <v>1184.99090054109</v>
      </c>
      <c r="K440" s="15" t="n">
        <f aca="false">J440*(1+IF(K$3&lt;=$O$2,$D440,$D440-($D440-$I$427)*MIN(K$3-$O$2,$Q$2)/$Q$2))</f>
        <v>1241.07277047843</v>
      </c>
      <c r="L440" s="15" t="n">
        <f aca="false">K440*(1+IF(L$3&lt;=$O$2,$D440,$D440-($D440-$I$427)*MIN(L$3-$O$2,$Q$2)/$Q$2))</f>
        <v>1296.07449777815</v>
      </c>
      <c r="M440" s="15" t="n">
        <f aca="false">L440*(1+IF(M$3&lt;=$O$2,$D440,$D440-($D440-$I$427)*MIN(M$3-$O$2,$Q$2)/$Q$2))</f>
        <v>1349.6139683278</v>
      </c>
      <c r="N440" s="15" t="n">
        <f aca="false">M440*(1+IF(N$3&lt;=$O$2,$D440,$D440-($D440-$I$427)*MIN(N$3-$O$2,$Q$2)/$Q$2))</f>
        <v>1401.30418331475</v>
      </c>
      <c r="O440" s="15" t="n">
        <f aca="false">SUMPRODUCT(E440:N440,1/(1+$F$427)^$E$3:$N$3)*$E$2</f>
        <v>1703.10330886985</v>
      </c>
      <c r="P440" s="15" t="n">
        <f aca="false">N440*$E$2*(1+$I$427)/($F$427-$I$427)/(1+$F$427)^$N$3</f>
        <v>3928.44281934763</v>
      </c>
      <c r="Q440" s="15" t="n">
        <f aca="false">O440+P440</f>
        <v>5631.54612821748</v>
      </c>
      <c r="R440" s="15" t="n">
        <f aca="false">Q440-$G$2+$I$2</f>
        <v>5798.94612821748</v>
      </c>
      <c r="S440" s="42" t="n">
        <f aca="false">R440/$K$2</f>
        <v>164.789602961565</v>
      </c>
      <c r="T440" s="43" t="n">
        <f aca="false">S440-$M$2</f>
        <v>0.254223592426257</v>
      </c>
    </row>
    <row r="441" customFormat="false" ht="15" hidden="false" customHeight="false" outlineLevel="0" collapsed="false">
      <c r="A441" s="5" t="n">
        <v>13</v>
      </c>
      <c r="B441" s="25" t="n">
        <f aca="false">IF(T440&gt;0,B440,D440)</f>
        <v>0.052978515625</v>
      </c>
      <c r="C441" s="25" t="n">
        <f aca="false">IF(T440&gt;0,D440,C440)</f>
        <v>0.0533447265625</v>
      </c>
      <c r="D441" s="41" t="n">
        <f aca="false">(B441+C441)/2</f>
        <v>0.05316162109375</v>
      </c>
      <c r="E441" s="15" t="n">
        <f aca="false">$C$2*(1+IF(E$3&lt;=$O$2,$D441,$D441-($D441-$I$427)*MIN(E$3-$O$2,$Q$2)/$Q$2))</f>
        <v>916.282205200195</v>
      </c>
      <c r="F441" s="15" t="n">
        <f aca="false">E441*(1+IF(F$3&lt;=$O$2,$D441,$D441-($D441-$I$427)*MIN(F$3-$O$2,$Q$2)/$Q$2))</f>
        <v>964.993252607994</v>
      </c>
      <c r="G441" s="15" t="n">
        <f aca="false">F441*(1+IF(G$3&lt;=$O$2,$D441,$D441-($D441-$I$427)*MIN(G$3-$O$2,$Q$2)/$Q$2))</f>
        <v>1016.29385826117</v>
      </c>
      <c r="H441" s="15" t="n">
        <f aca="false">G441*(1+IF(H$3&lt;=$O$2,$D441,$D441-($D441-$I$427)*MIN(H$3-$O$2,$Q$2)/$Q$2))</f>
        <v>1070.32168727395</v>
      </c>
      <c r="I441" s="15" t="n">
        <f aca="false">H441*(1+IF(I$3&lt;=$O$2,$D441,$D441-($D441-$I$427)*MIN(I$3-$O$2,$Q$2)/$Q$2))</f>
        <v>1127.22172326123</v>
      </c>
      <c r="J441" s="15" t="n">
        <f aca="false">I441*(1+IF(J$3&lt;=$O$2,$D441,$D441-($D441-$I$427)*MIN(J$3-$O$2,$Q$2)/$Q$2))</f>
        <v>1183.79618897394</v>
      </c>
      <c r="K441" s="15" t="n">
        <f aca="false">J441*(1+IF(K$3&lt;=$O$2,$D441,$D441-($D441-$I$427)*MIN(K$3-$O$2,$Q$2)/$Q$2))</f>
        <v>1239.69146125929</v>
      </c>
      <c r="L441" s="15" t="n">
        <f aca="false">K441*(1+IF(L$3&lt;=$O$2,$D441,$D441-($D441-$I$427)*MIN(L$3-$O$2,$Q$2)/$Q$2))</f>
        <v>1294.54117413368</v>
      </c>
      <c r="M441" s="15" t="n">
        <f aca="false">L441*(1+IF(M$3&lt;=$O$2,$D441,$D441-($D441-$I$427)*MIN(M$3-$O$2,$Q$2)/$Q$2))</f>
        <v>1347.96989718705</v>
      </c>
      <c r="N441" s="15" t="n">
        <f aca="false">M441*(1+IF(N$3&lt;=$O$2,$D441,$D441-($D441-$I$427)*MIN(N$3-$O$2,$Q$2)/$Q$2))</f>
        <v>1399.59714424931</v>
      </c>
      <c r="O441" s="15" t="n">
        <f aca="false">SUMPRODUCT(E441:N441,1/(1+$F$427)^$E$3:$N$3)*$E$2</f>
        <v>1701.72691069942</v>
      </c>
      <c r="P441" s="15" t="n">
        <f aca="false">N441*$E$2*(1+$I$427)/($F$427-$I$427)/(1+$F$427)^$N$3</f>
        <v>3923.6572735405</v>
      </c>
      <c r="Q441" s="15" t="n">
        <f aca="false">O441+P441</f>
        <v>5625.38418423992</v>
      </c>
      <c r="R441" s="15" t="n">
        <f aca="false">Q441-$G$2+$I$2</f>
        <v>5792.78418423992</v>
      </c>
      <c r="S441" s="42" t="n">
        <f aca="false">R441/$K$2</f>
        <v>164.614497989199</v>
      </c>
      <c r="T441" s="43" t="n">
        <f aca="false">S441-$M$2</f>
        <v>0.0791186200603136</v>
      </c>
    </row>
    <row r="442" customFormat="false" ht="15" hidden="false" customHeight="false" outlineLevel="0" collapsed="false">
      <c r="A442" s="5" t="n">
        <v>14</v>
      </c>
      <c r="B442" s="25" t="n">
        <f aca="false">IF(T441&gt;0,B441,D441)</f>
        <v>0.052978515625</v>
      </c>
      <c r="C442" s="25" t="n">
        <f aca="false">IF(T441&gt;0,D441,C441)</f>
        <v>0.05316162109375</v>
      </c>
      <c r="D442" s="41" t="n">
        <f aca="false">(B442+C442)/2</f>
        <v>0.053070068359375</v>
      </c>
      <c r="E442" s="15" t="n">
        <f aca="false">$C$2*(1+IF(E$3&lt;=$O$2,$D442,$D442-($D442-$I$427)*MIN(E$3-$O$2,$Q$2)/$Q$2))</f>
        <v>916.202551574707</v>
      </c>
      <c r="F442" s="15" t="n">
        <f aca="false">E442*(1+IF(F$3&lt;=$O$2,$D442,$D442-($D442-$I$427)*MIN(F$3-$O$2,$Q$2)/$Q$2))</f>
        <v>964.825483617811</v>
      </c>
      <c r="G442" s="15" t="n">
        <f aca="false">F442*(1+IF(G$3&lt;=$O$2,$D442,$D442-($D442-$I$427)*MIN(G$3-$O$2,$Q$2)/$Q$2))</f>
        <v>1016.02883798827</v>
      </c>
      <c r="H442" s="15" t="n">
        <f aca="false">G442*(1+IF(H$3&lt;=$O$2,$D442,$D442-($D442-$I$427)*MIN(H$3-$O$2,$Q$2)/$Q$2))</f>
        <v>1069.94955787541</v>
      </c>
      <c r="I442" s="15" t="n">
        <f aca="false">H442*(1+IF(I$3&lt;=$O$2,$D442,$D442-($D442-$I$427)*MIN(I$3-$O$2,$Q$2)/$Q$2))</f>
        <v>1126.73185405294</v>
      </c>
      <c r="J442" s="15" t="n">
        <f aca="false">I442*(1+IF(J$3&lt;=$O$2,$D442,$D442-($D442-$I$427)*MIN(J$3-$O$2,$Q$2)/$Q$2))</f>
        <v>1183.19920926881</v>
      </c>
      <c r="K442" s="15" t="n">
        <f aca="false">J442*(1+IF(K$3&lt;=$O$2,$D442,$D442-($D442-$I$427)*MIN(K$3-$O$2,$Q$2)/$Q$2))</f>
        <v>1239.001298906</v>
      </c>
      <c r="L442" s="15" t="n">
        <f aca="false">K442*(1+IF(L$3&lt;=$O$2,$D442,$D442-($D442-$I$427)*MIN(L$3-$O$2,$Q$2)/$Q$2))</f>
        <v>1293.77510220697</v>
      </c>
      <c r="M442" s="15" t="n">
        <f aca="false">L442*(1+IF(M$3&lt;=$O$2,$D442,$D442-($D442-$I$427)*MIN(M$3-$O$2,$Q$2)/$Q$2))</f>
        <v>1347.14851796175</v>
      </c>
      <c r="N442" s="15" t="n">
        <f aca="false">M442*(1+IF(N$3&lt;=$O$2,$D442,$D442-($D442-$I$427)*MIN(N$3-$O$2,$Q$2)/$Q$2))</f>
        <v>1398.74430619969</v>
      </c>
      <c r="O442" s="15" t="n">
        <f aca="false">SUMPRODUCT(E442:N442,1/(1+$F$427)^$E$3:$N$3)*$E$2</f>
        <v>1701.03912994896</v>
      </c>
      <c r="P442" s="15" t="n">
        <f aca="false">N442*$E$2*(1+$I$427)/($F$427-$I$427)/(1+$F$427)^$N$3</f>
        <v>3921.26641111962</v>
      </c>
      <c r="Q442" s="15" t="n">
        <f aca="false">O442+P442</f>
        <v>5622.30554106857</v>
      </c>
      <c r="R442" s="15" t="n">
        <f aca="false">Q442-$G$2+$I$2</f>
        <v>5789.70554106857</v>
      </c>
      <c r="S442" s="42" t="n">
        <f aca="false">R442/$K$2</f>
        <v>164.527011681403</v>
      </c>
      <c r="T442" s="43" t="n">
        <f aca="false">S442-$M$2</f>
        <v>-0.00836768773598351</v>
      </c>
    </row>
    <row r="443" customFormat="false" ht="15" hidden="false" customHeight="false" outlineLevel="0" collapsed="false">
      <c r="A443" s="5" t="n">
        <v>15</v>
      </c>
      <c r="B443" s="25" t="n">
        <f aca="false">IF(T442&gt;0,B442,D442)</f>
        <v>0.053070068359375</v>
      </c>
      <c r="C443" s="25" t="n">
        <f aca="false">IF(T442&gt;0,D442,C442)</f>
        <v>0.05316162109375</v>
      </c>
      <c r="D443" s="41" t="n">
        <f aca="false">(B443+C443)/2</f>
        <v>0.0531158447265625</v>
      </c>
      <c r="E443" s="15" t="n">
        <f aca="false">$C$2*(1+IF(E$3&lt;=$O$2,$D443,$D443-($D443-$I$427)*MIN(E$3-$O$2,$Q$2)/$Q$2))</f>
        <v>916.242378387451</v>
      </c>
      <c r="F443" s="15" t="n">
        <f aca="false">E443*(1+IF(F$3&lt;=$O$2,$D443,$D443-($D443-$I$427)*MIN(F$3-$O$2,$Q$2)/$Q$2))</f>
        <v>964.909366289775</v>
      </c>
      <c r="G443" s="15" t="n">
        <f aca="false">F443*(1+IF(G$3&lt;=$O$2,$D443,$D443-($D443-$I$427)*MIN(G$3-$O$2,$Q$2)/$Q$2))</f>
        <v>1016.16134236483</v>
      </c>
      <c r="H443" s="15" t="n">
        <f aca="false">G443*(1+IF(H$3&lt;=$O$2,$D443,$D443-($D443-$I$427)*MIN(H$3-$O$2,$Q$2)/$Q$2))</f>
        <v>1070.13561044301</v>
      </c>
      <c r="I443" s="15" t="n">
        <f aca="false">H443*(1+IF(I$3&lt;=$O$2,$D443,$D443-($D443-$I$427)*MIN(I$3-$O$2,$Q$2)/$Q$2))</f>
        <v>1126.97676736367</v>
      </c>
      <c r="J443" s="15" t="n">
        <f aca="false">I443*(1+IF(J$3&lt;=$O$2,$D443,$D443-($D443-$I$427)*MIN(J$3-$O$2,$Q$2)/$Q$2))</f>
        <v>1183.49766779026</v>
      </c>
      <c r="K443" s="15" t="n">
        <f aca="false">J443*(1+IF(K$3&lt;=$O$2,$D443,$D443-($D443-$I$427)*MIN(K$3-$O$2,$Q$2)/$Q$2))</f>
        <v>1239.34633907477</v>
      </c>
      <c r="L443" s="15" t="n">
        <f aca="false">K443*(1+IF(L$3&lt;=$O$2,$D443,$D443-($D443-$I$427)*MIN(L$3-$O$2,$Q$2)/$Q$2))</f>
        <v>1294.1580890302</v>
      </c>
      <c r="M443" s="15" t="n">
        <f aca="false">L443*(1+IF(M$3&lt;=$O$2,$D443,$D443-($D443-$I$427)*MIN(M$3-$O$2,$Q$2)/$Q$2))</f>
        <v>1347.55915289979</v>
      </c>
      <c r="N443" s="15" t="n">
        <f aca="false">M443*(1+IF(N$3&lt;=$O$2,$D443,$D443-($D443-$I$427)*MIN(N$3-$O$2,$Q$2)/$Q$2))</f>
        <v>1399.17066845585</v>
      </c>
      <c r="O443" s="15" t="n">
        <f aca="false">SUMPRODUCT(E443:N443,1/(1+$F$427)^$E$3:$N$3)*$E$2</f>
        <v>1701.38298547393</v>
      </c>
      <c r="P443" s="15" t="n">
        <f aca="false">N443*$E$2*(1+$I$427)/($F$427-$I$427)/(1+$F$427)^$N$3</f>
        <v>3922.46168318376</v>
      </c>
      <c r="Q443" s="15" t="n">
        <f aca="false">O443+P443</f>
        <v>5623.84466865768</v>
      </c>
      <c r="R443" s="15" t="n">
        <f aca="false">Q443-$G$2+$I$2</f>
        <v>5791.24466865768</v>
      </c>
      <c r="S443" s="42" t="n">
        <f aca="false">R443/$K$2</f>
        <v>164.570749322469</v>
      </c>
      <c r="T443" s="43" t="n">
        <f aca="false">S443-$M$2</f>
        <v>0.0353699533299903</v>
      </c>
    </row>
    <row r="444" customFormat="false" ht="15" hidden="false" customHeight="false" outlineLevel="0" collapsed="false">
      <c r="A444" s="5" t="n">
        <v>16</v>
      </c>
      <c r="B444" s="25" t="n">
        <f aca="false">IF(T443&gt;0,B443,D443)</f>
        <v>0.053070068359375</v>
      </c>
      <c r="C444" s="25" t="n">
        <f aca="false">IF(T443&gt;0,D443,C443)</f>
        <v>0.0531158447265625</v>
      </c>
      <c r="D444" s="41" t="n">
        <f aca="false">(B444+C444)/2</f>
        <v>0.0530929565429688</v>
      </c>
      <c r="E444" s="15" t="n">
        <f aca="false">$C$2*(1+IF(E$3&lt;=$O$2,$D444,$D444-($D444-$I$427)*MIN(E$3-$O$2,$Q$2)/$Q$2))</f>
        <v>916.222464981079</v>
      </c>
      <c r="F444" s="15" t="n">
        <f aca="false">E444*(1+IF(F$3&lt;=$O$2,$D444,$D444-($D444-$I$427)*MIN(F$3-$O$2,$Q$2)/$Q$2))</f>
        <v>964.867424498011</v>
      </c>
      <c r="G444" s="15" t="n">
        <f aca="false">F444*(1+IF(G$3&lt;=$O$2,$D444,$D444-($D444-$I$427)*MIN(G$3-$O$2,$Q$2)/$Q$2))</f>
        <v>1016.09508873661</v>
      </c>
      <c r="H444" s="15" t="n">
        <f aca="false">G444*(1+IF(H$3&lt;=$O$2,$D444,$D444-($D444-$I$427)*MIN(H$3-$O$2,$Q$2)/$Q$2))</f>
        <v>1070.04258112643</v>
      </c>
      <c r="I444" s="15" t="n">
        <f aca="false">H444*(1+IF(I$3&lt;=$O$2,$D444,$D444-($D444-$I$427)*MIN(I$3-$O$2,$Q$2)/$Q$2))</f>
        <v>1126.8543053853</v>
      </c>
      <c r="J444" s="15" t="n">
        <f aca="false">I444*(1+IF(J$3&lt;=$O$2,$D444,$D444-($D444-$I$427)*MIN(J$3-$O$2,$Q$2)/$Q$2))</f>
        <v>1183.34843069741</v>
      </c>
      <c r="K444" s="15" t="n">
        <f aca="false">J444*(1+IF(K$3&lt;=$O$2,$D444,$D444-($D444-$I$427)*MIN(K$3-$O$2,$Q$2)/$Q$2))</f>
        <v>1239.17380873942</v>
      </c>
      <c r="L444" s="15" t="n">
        <f aca="false">K444*(1+IF(L$3&lt;=$O$2,$D444,$D444-($D444-$I$427)*MIN(L$3-$O$2,$Q$2)/$Q$2))</f>
        <v>1293.96658333489</v>
      </c>
      <c r="M444" s="15" t="n">
        <f aca="false">L444*(1+IF(M$3&lt;=$O$2,$D444,$D444-($D444-$I$427)*MIN(M$3-$O$2,$Q$2)/$Q$2))</f>
        <v>1347.35382176368</v>
      </c>
      <c r="N444" s="15" t="n">
        <f aca="false">M444*(1+IF(N$3&lt;=$O$2,$D444,$D444-($D444-$I$427)*MIN(N$3-$O$2,$Q$2)/$Q$2))</f>
        <v>1398.95747313723</v>
      </c>
      <c r="O444" s="15" t="n">
        <f aca="false">SUMPRODUCT(E444:N444,1/(1+$F$427)^$E$3:$N$3)*$E$2</f>
        <v>1701.2110489997</v>
      </c>
      <c r="P444" s="15" t="n">
        <f aca="false">N444*$E$2*(1+$I$427)/($F$427-$I$427)/(1+$F$427)^$N$3</f>
        <v>3921.86400736965</v>
      </c>
      <c r="Q444" s="15" t="n">
        <f aca="false">O444+P444</f>
        <v>5623.07505636935</v>
      </c>
      <c r="R444" s="15" t="n">
        <f aca="false">Q444-$G$2+$I$2</f>
        <v>5790.47505636935</v>
      </c>
      <c r="S444" s="42" t="n">
        <f aca="false">R444/$K$2</f>
        <v>164.54887912388</v>
      </c>
      <c r="T444" s="43" t="n">
        <f aca="false">S444-$M$2</f>
        <v>0.0134997547414173</v>
      </c>
    </row>
    <row r="445" customFormat="false" ht="15" hidden="false" customHeight="false" outlineLevel="0" collapsed="false">
      <c r="A445" s="5" t="n">
        <v>17</v>
      </c>
      <c r="B445" s="25" t="n">
        <f aca="false">IF(T444&gt;0,B444,D444)</f>
        <v>0.053070068359375</v>
      </c>
      <c r="C445" s="25" t="n">
        <f aca="false">IF(T444&gt;0,D444,C444)</f>
        <v>0.0530929565429688</v>
      </c>
      <c r="D445" s="41" t="n">
        <f aca="false">(B445+C445)/2</f>
        <v>0.0530815124511719</v>
      </c>
      <c r="E445" s="15" t="n">
        <f aca="false">$C$2*(1+IF(E$3&lt;=$O$2,$D445,$D445-($D445-$I$427)*MIN(E$3-$O$2,$Q$2)/$Q$2))</f>
        <v>916.212508277893</v>
      </c>
      <c r="F445" s="15" t="n">
        <f aca="false">E445*(1+IF(F$3&lt;=$O$2,$D445,$D445-($D445-$I$427)*MIN(F$3-$O$2,$Q$2)/$Q$2))</f>
        <v>964.846453943965</v>
      </c>
      <c r="G445" s="15" t="n">
        <f aca="false">F445*(1+IF(G$3&lt;=$O$2,$D445,$D445-($D445-$I$427)*MIN(G$3-$O$2,$Q$2)/$Q$2))</f>
        <v>1016.06196300246</v>
      </c>
      <c r="H445" s="15" t="n">
        <f aca="false">G445*(1+IF(H$3&lt;=$O$2,$D445,$D445-($D445-$I$427)*MIN(H$3-$O$2,$Q$2)/$Q$2))</f>
        <v>1069.99606874274</v>
      </c>
      <c r="I445" s="15" t="n">
        <f aca="false">H445*(1+IF(I$3&lt;=$O$2,$D445,$D445-($D445-$I$427)*MIN(I$3-$O$2,$Q$2)/$Q$2))</f>
        <v>1126.79307838841</v>
      </c>
      <c r="J445" s="15" t="n">
        <f aca="false">I445*(1+IF(J$3&lt;=$O$2,$D445,$D445-($D445-$I$427)*MIN(J$3-$O$2,$Q$2)/$Q$2))</f>
        <v>1183.27381802516</v>
      </c>
      <c r="K445" s="15" t="n">
        <f aca="false">J445*(1+IF(K$3&lt;=$O$2,$D445,$D445-($D445-$I$427)*MIN(K$3-$O$2,$Q$2)/$Q$2))</f>
        <v>1239.0875512601</v>
      </c>
      <c r="L445" s="15" t="n">
        <f aca="false">K445*(1+IF(L$3&lt;=$O$2,$D445,$D445-($D445-$I$427)*MIN(L$3-$O$2,$Q$2)/$Q$2))</f>
        <v>1293.87083970017</v>
      </c>
      <c r="M445" s="15" t="n">
        <f aca="false">L445*(1+IF(M$3&lt;=$O$2,$D445,$D445-($D445-$I$427)*MIN(M$3-$O$2,$Q$2)/$Q$2))</f>
        <v>1347.25116644614</v>
      </c>
      <c r="N445" s="15" t="n">
        <f aca="false">M445*(1+IF(N$3&lt;=$O$2,$D445,$D445-($D445-$I$427)*MIN(N$3-$O$2,$Q$2)/$Q$2))</f>
        <v>1398.85088612103</v>
      </c>
      <c r="O445" s="15" t="n">
        <f aca="false">SUMPRODUCT(E445:N445,1/(1+$F$427)^$E$3:$N$3)*$E$2</f>
        <v>1701.12508729649</v>
      </c>
      <c r="P445" s="15" t="n">
        <f aca="false">N445*$E$2*(1+$I$427)/($F$427-$I$427)/(1+$F$427)^$N$3</f>
        <v>3921.5651992997</v>
      </c>
      <c r="Q445" s="15" t="n">
        <f aca="false">O445+P445</f>
        <v>5622.69028659619</v>
      </c>
      <c r="R445" s="15" t="n">
        <f aca="false">Q445-$G$2+$I$2</f>
        <v>5790.09028659619</v>
      </c>
      <c r="S445" s="42" t="n">
        <f aca="false">R445/$K$2</f>
        <v>164.537945058147</v>
      </c>
      <c r="T445" s="43" t="n">
        <f aca="false">S445-$M$2</f>
        <v>0.00256568900792331</v>
      </c>
    </row>
    <row r="446" customFormat="false" ht="15" hidden="false" customHeight="false" outlineLevel="0" collapsed="false">
      <c r="A446" s="5" t="n">
        <v>18</v>
      </c>
      <c r="B446" s="25" t="n">
        <f aca="false">IF(T445&gt;0,B445,D445)</f>
        <v>0.053070068359375</v>
      </c>
      <c r="C446" s="25" t="n">
        <f aca="false">IF(T445&gt;0,D445,C445)</f>
        <v>0.0530815124511719</v>
      </c>
      <c r="D446" s="41" t="n">
        <f aca="false">(B446+C446)/2</f>
        <v>0.0530757904052734</v>
      </c>
      <c r="E446" s="15" t="n">
        <f aca="false">$C$2*(1+IF(E$3&lt;=$O$2,$D446,$D446-($D446-$I$427)*MIN(E$3-$O$2,$Q$2)/$Q$2))</f>
        <v>916.2075299263</v>
      </c>
      <c r="F446" s="15" t="n">
        <f aca="false">E446*(1+IF(F$3&lt;=$O$2,$D446,$D446-($D446-$I$427)*MIN(F$3-$O$2,$Q$2)/$Q$2))</f>
        <v>964.835968752402</v>
      </c>
      <c r="G446" s="15" t="n">
        <f aca="false">F446*(1+IF(G$3&lt;=$O$2,$D446,$D446-($D446-$I$427)*MIN(G$3-$O$2,$Q$2)/$Q$2))</f>
        <v>1016.04540040537</v>
      </c>
      <c r="H446" s="15" t="n">
        <f aca="false">G446*(1+IF(H$3&lt;=$O$2,$D446,$D446-($D446-$I$427)*MIN(H$3-$O$2,$Q$2)/$Q$2))</f>
        <v>1069.97281311953</v>
      </c>
      <c r="I446" s="15" t="n">
        <f aca="false">H446*(1+IF(I$3&lt;=$O$2,$D446,$D446-($D446-$I$427)*MIN(I$3-$O$2,$Q$2)/$Q$2))</f>
        <v>1126.762465888</v>
      </c>
      <c r="J446" s="15" t="n">
        <f aca="false">I446*(1+IF(J$3&lt;=$O$2,$D446,$D446-($D446-$I$427)*MIN(J$3-$O$2,$Q$2)/$Q$2))</f>
        <v>1183.23651315751</v>
      </c>
      <c r="K446" s="15" t="n">
        <f aca="false">J446*(1+IF(K$3&lt;=$O$2,$D446,$D446-($D446-$I$427)*MIN(K$3-$O$2,$Q$2)/$Q$2))</f>
        <v>1239.04442444241</v>
      </c>
      <c r="L446" s="15" t="n">
        <f aca="false">K446*(1+IF(L$3&lt;=$O$2,$D446,$D446-($D446-$I$427)*MIN(L$3-$O$2,$Q$2)/$Q$2))</f>
        <v>1293.82297018591</v>
      </c>
      <c r="M446" s="15" t="n">
        <f aca="false">L446*(1+IF(M$3&lt;=$O$2,$D446,$D446-($D446-$I$427)*MIN(M$3-$O$2,$Q$2)/$Q$2))</f>
        <v>1347.19984134983</v>
      </c>
      <c r="N446" s="15" t="n">
        <f aca="false">M446*(1+IF(N$3&lt;=$O$2,$D446,$D446-($D446-$I$427)*MIN(N$3-$O$2,$Q$2)/$Q$2))</f>
        <v>1398.79759527352</v>
      </c>
      <c r="O446" s="15" t="n">
        <f aca="false">SUMPRODUCT(E446:N446,1/(1+$F$427)^$E$3:$N$3)*$E$2</f>
        <v>1701.08210807828</v>
      </c>
      <c r="P446" s="15" t="n">
        <f aca="false">N446*$E$2*(1+$I$427)/($F$427-$I$427)/(1+$F$427)^$N$3</f>
        <v>3921.41580272349</v>
      </c>
      <c r="Q446" s="15" t="n">
        <f aca="false">O446+P446</f>
        <v>5622.49791080177</v>
      </c>
      <c r="R446" s="15" t="n">
        <f aca="false">Q446-$G$2+$I$2</f>
        <v>5789.89791080177</v>
      </c>
      <c r="S446" s="42" t="n">
        <f aca="false">R446/$K$2</f>
        <v>164.532478283654</v>
      </c>
      <c r="T446" s="43" t="n">
        <f aca="false">S446-$M$2</f>
        <v>-0.0029010854853766</v>
      </c>
    </row>
    <row r="447" customFormat="false" ht="15" hidden="false" customHeight="false" outlineLevel="0" collapsed="false">
      <c r="A447" s="5" t="n">
        <v>19</v>
      </c>
      <c r="B447" s="25" t="n">
        <f aca="false">IF(T446&gt;0,B446,D446)</f>
        <v>0.0530757904052734</v>
      </c>
      <c r="C447" s="25" t="n">
        <f aca="false">IF(T446&gt;0,D446,C446)</f>
        <v>0.0530815124511719</v>
      </c>
      <c r="D447" s="41" t="n">
        <f aca="false">(B447+C447)/2</f>
        <v>0.0530786514282227</v>
      </c>
      <c r="E447" s="15" t="n">
        <f aca="false">$C$2*(1+IF(E$3&lt;=$O$2,$D447,$D447-($D447-$I$427)*MIN(E$3-$O$2,$Q$2)/$Q$2))</f>
        <v>916.210019102097</v>
      </c>
      <c r="F447" s="15" t="n">
        <f aca="false">E447*(1+IF(F$3&lt;=$O$2,$D447,$D447-($D447-$I$427)*MIN(F$3-$O$2,$Q$2)/$Q$2))</f>
        <v>964.841211341062</v>
      </c>
      <c r="G447" s="15" t="n">
        <f aca="false">F447*(1+IF(G$3&lt;=$O$2,$D447,$D447-($D447-$I$427)*MIN(G$3-$O$2,$Q$2)/$Q$2))</f>
        <v>1016.05368168142</v>
      </c>
      <c r="H447" s="15" t="n">
        <f aca="false">G447*(1+IF(H$3&lt;=$O$2,$D447,$D447-($D447-$I$427)*MIN(H$3-$O$2,$Q$2)/$Q$2))</f>
        <v>1069.98444088375</v>
      </c>
      <c r="I447" s="15" t="n">
        <f aca="false">H447*(1+IF(I$3&lt;=$O$2,$D447,$D447-($D447-$I$427)*MIN(I$3-$O$2,$Q$2)/$Q$2))</f>
        <v>1126.77777205504</v>
      </c>
      <c r="J447" s="15" t="n">
        <f aca="false">I447*(1+IF(J$3&lt;=$O$2,$D447,$D447-($D447-$I$427)*MIN(J$3-$O$2,$Q$2)/$Q$2))</f>
        <v>1183.25516546896</v>
      </c>
      <c r="K447" s="15" t="n">
        <f aca="false">J447*(1+IF(K$3&lt;=$O$2,$D447,$D447-($D447-$I$427)*MIN(K$3-$O$2,$Q$2)/$Q$2))</f>
        <v>1239.06598769109</v>
      </c>
      <c r="L447" s="15" t="n">
        <f aca="false">K447*(1+IF(L$3&lt;=$O$2,$D447,$D447-($D447-$I$427)*MIN(L$3-$O$2,$Q$2)/$Q$2))</f>
        <v>1293.84690475112</v>
      </c>
      <c r="M447" s="15" t="n">
        <f aca="false">L447*(1+IF(M$3&lt;=$O$2,$D447,$D447-($D447-$I$427)*MIN(M$3-$O$2,$Q$2)/$Q$2))</f>
        <v>1347.22550368445</v>
      </c>
      <c r="N447" s="15" t="n">
        <f aca="false">M447*(1+IF(N$3&lt;=$O$2,$D447,$D447-($D447-$I$427)*MIN(N$3-$O$2,$Q$2)/$Q$2))</f>
        <v>1398.82424047556</v>
      </c>
      <c r="O447" s="15" t="n">
        <f aca="false">SUMPRODUCT(E447:N447,1/(1+$F$427)^$E$3:$N$3)*$E$2</f>
        <v>1701.10359755127</v>
      </c>
      <c r="P447" s="15" t="n">
        <f aca="false">N447*$E$2*(1+$I$427)/($F$427-$I$427)/(1+$F$427)^$N$3</f>
        <v>3921.49050039004</v>
      </c>
      <c r="Q447" s="15" t="n">
        <f aca="false">O447+P447</f>
        <v>5622.59409794132</v>
      </c>
      <c r="R447" s="15" t="n">
        <f aca="false">Q447-$G$2+$I$2</f>
        <v>5789.99409794132</v>
      </c>
      <c r="S447" s="42" t="n">
        <f aca="false">R447/$K$2</f>
        <v>164.53521164937</v>
      </c>
      <c r="T447" s="43" t="n">
        <f aca="false">S447-$M$2</f>
        <v>-0.000167719769365249</v>
      </c>
    </row>
    <row r="448" customFormat="false" ht="15" hidden="false" customHeight="false" outlineLevel="0" collapsed="false">
      <c r="A448" s="5" t="n">
        <v>20</v>
      </c>
      <c r="B448" s="25" t="n">
        <f aca="false">IF(T447&gt;0,B447,D447)</f>
        <v>0.0530786514282227</v>
      </c>
      <c r="C448" s="25" t="n">
        <f aca="false">IF(T447&gt;0,D447,C447)</f>
        <v>0.0530815124511719</v>
      </c>
      <c r="D448" s="41" t="n">
        <f aca="false">(B448+C448)/2</f>
        <v>0.0530800819396973</v>
      </c>
      <c r="E448" s="15" t="n">
        <f aca="false">$C$2*(1+IF(E$3&lt;=$O$2,$D448,$D448-($D448-$I$427)*MIN(E$3-$O$2,$Q$2)/$Q$2))</f>
        <v>916.211263689995</v>
      </c>
      <c r="F448" s="15" t="n">
        <f aca="false">E448*(1+IF(F$3&lt;=$O$2,$D448,$D448-($D448-$I$427)*MIN(F$3-$O$2,$Q$2)/$Q$2))</f>
        <v>964.843832640733</v>
      </c>
      <c r="G448" s="15" t="n">
        <f aca="false">F448*(1+IF(G$3&lt;=$O$2,$D448,$D448-($D448-$I$427)*MIN(G$3-$O$2,$Q$2)/$Q$2))</f>
        <v>1016.05782233631</v>
      </c>
      <c r="H448" s="15" t="n">
        <f aca="false">G448*(1+IF(H$3&lt;=$O$2,$D448,$D448-($D448-$I$427)*MIN(H$3-$O$2,$Q$2)/$Q$2))</f>
        <v>1069.9902548014</v>
      </c>
      <c r="I448" s="15" t="n">
        <f aca="false">H448*(1+IF(I$3&lt;=$O$2,$D448,$D448-($D448-$I$427)*MIN(I$3-$O$2,$Q$2)/$Q$2))</f>
        <v>1126.78542520093</v>
      </c>
      <c r="J448" s="15" t="n">
        <f aca="false">I448*(1+IF(J$3&lt;=$O$2,$D448,$D448-($D448-$I$427)*MIN(J$3-$O$2,$Q$2)/$Q$2))</f>
        <v>1183.26449171647</v>
      </c>
      <c r="K448" s="15" t="n">
        <f aca="false">J448*(1+IF(K$3&lt;=$O$2,$D448,$D448-($D448-$I$427)*MIN(K$3-$O$2,$Q$2)/$Q$2))</f>
        <v>1239.07676943555</v>
      </c>
      <c r="L448" s="15" t="n">
        <f aca="false">K448*(1+IF(L$3&lt;=$O$2,$D448,$D448-($D448-$I$427)*MIN(L$3-$O$2,$Q$2)/$Q$2))</f>
        <v>1293.85887217767</v>
      </c>
      <c r="M448" s="15" t="n">
        <f aca="false">L448*(1+IF(M$3&lt;=$O$2,$D448,$D448-($D448-$I$427)*MIN(M$3-$O$2,$Q$2)/$Q$2))</f>
        <v>1347.23833501191</v>
      </c>
      <c r="N448" s="15" t="n">
        <f aca="false">M448*(1+IF(N$3&lt;=$O$2,$D448,$D448-($D448-$I$427)*MIN(N$3-$O$2,$Q$2)/$Q$2))</f>
        <v>1398.83756324287</v>
      </c>
      <c r="O448" s="15" t="n">
        <f aca="false">SUMPRODUCT(E448:N448,1/(1+$F$427)^$E$3:$N$3)*$E$2</f>
        <v>1701.11434238986</v>
      </c>
      <c r="P448" s="15" t="n">
        <f aca="false">N448*$E$2*(1+$I$427)/($F$427-$I$427)/(1+$F$427)^$N$3</f>
        <v>3921.52784968948</v>
      </c>
      <c r="Q448" s="15" t="n">
        <f aca="false">O448+P448</f>
        <v>5622.64219207934</v>
      </c>
      <c r="R448" s="15" t="n">
        <f aca="false">Q448-$G$2+$I$2</f>
        <v>5790.04219207934</v>
      </c>
      <c r="S448" s="42" t="n">
        <f aca="false">R448/$K$2</f>
        <v>164.536578348376</v>
      </c>
      <c r="T448" s="43" t="n">
        <f aca="false">S448-$M$2</f>
        <v>0.00119897923653411</v>
      </c>
    </row>
    <row r="449" customFormat="false" ht="15" hidden="false" customHeight="false" outlineLevel="0" collapsed="false">
      <c r="A449" s="5" t="n">
        <v>21</v>
      </c>
      <c r="B449" s="25" t="n">
        <f aca="false">IF(T448&gt;0,B448,D448)</f>
        <v>0.0530786514282227</v>
      </c>
      <c r="C449" s="25" t="n">
        <f aca="false">IF(T448&gt;0,D448,C448)</f>
        <v>0.0530800819396973</v>
      </c>
      <c r="D449" s="41" t="n">
        <f aca="false">(B449+C449)/2</f>
        <v>0.05307936668396</v>
      </c>
      <c r="E449" s="15" t="n">
        <f aca="false">$C$2*(1+IF(E$3&lt;=$O$2,$D449,$D449-($D449-$I$427)*MIN(E$3-$O$2,$Q$2)/$Q$2))</f>
        <v>916.210641396046</v>
      </c>
      <c r="F449" s="15" t="n">
        <f aca="false">E449*(1+IF(F$3&lt;=$O$2,$D449,$D449-($D449-$I$427)*MIN(F$3-$O$2,$Q$2)/$Q$2))</f>
        <v>964.842521990453</v>
      </c>
      <c r="G449" s="15" t="n">
        <f aca="false">F449*(1+IF(G$3&lt;=$O$2,$D449,$D449-($D449-$I$427)*MIN(G$3-$O$2,$Q$2)/$Q$2))</f>
        <v>1016.05575200746</v>
      </c>
      <c r="H449" s="15" t="n">
        <f aca="false">G449*(1+IF(H$3&lt;=$O$2,$D449,$D449-($D449-$I$427)*MIN(H$3-$O$2,$Q$2)/$Q$2))</f>
        <v>1069.98734783961</v>
      </c>
      <c r="I449" s="15" t="n">
        <f aca="false">H449*(1+IF(I$3&lt;=$O$2,$D449,$D449-($D449-$I$427)*MIN(I$3-$O$2,$Q$2)/$Q$2))</f>
        <v>1126.78159862279</v>
      </c>
      <c r="J449" s="15" t="n">
        <f aca="false">I449*(1+IF(J$3&lt;=$O$2,$D449,$D449-($D449-$I$427)*MIN(J$3-$O$2,$Q$2)/$Q$2))</f>
        <v>1183.25982858507</v>
      </c>
      <c r="K449" s="15" t="n">
        <f aca="false">J449*(1+IF(K$3&lt;=$O$2,$D449,$D449-($D449-$I$427)*MIN(K$3-$O$2,$Q$2)/$Q$2))</f>
        <v>1239.07137855331</v>
      </c>
      <c r="L449" s="15" t="n">
        <f aca="false">K449*(1+IF(L$3&lt;=$O$2,$D449,$D449-($D449-$I$427)*MIN(L$3-$O$2,$Q$2)/$Q$2))</f>
        <v>1293.8528884524</v>
      </c>
      <c r="M449" s="15" t="n">
        <f aca="false">L449*(1+IF(M$3&lt;=$O$2,$D449,$D449-($D449-$I$427)*MIN(M$3-$O$2,$Q$2)/$Q$2))</f>
        <v>1347.23191933483</v>
      </c>
      <c r="N449" s="15" t="n">
        <f aca="false">M449*(1+IF(N$3&lt;=$O$2,$D449,$D449-($D449-$I$427)*MIN(N$3-$O$2,$Q$2)/$Q$2))</f>
        <v>1398.83090184536</v>
      </c>
      <c r="O449" s="15" t="n">
        <f aca="false">SUMPRODUCT(E449:N449,1/(1+$F$427)^$E$3:$N$3)*$E$2</f>
        <v>1701.10896996206</v>
      </c>
      <c r="P449" s="15" t="n">
        <f aca="false">N449*$E$2*(1+$I$427)/($F$427-$I$427)/(1+$F$427)^$N$3</f>
        <v>3921.50917500091</v>
      </c>
      <c r="Q449" s="15" t="n">
        <f aca="false">O449+P449</f>
        <v>5622.61814496297</v>
      </c>
      <c r="R449" s="15" t="n">
        <f aca="false">Q449-$G$2+$I$2</f>
        <v>5790.01814496297</v>
      </c>
      <c r="S449" s="42" t="n">
        <f aca="false">R449/$K$2</f>
        <v>164.535894997527</v>
      </c>
      <c r="T449" s="43" t="n">
        <f aca="false">S449-$M$2</f>
        <v>0.000515628387944389</v>
      </c>
    </row>
    <row r="450" customFormat="false" ht="15" hidden="false" customHeight="false" outlineLevel="0" collapsed="false">
      <c r="A450" s="5" t="n">
        <v>22</v>
      </c>
      <c r="B450" s="25" t="n">
        <f aca="false">IF(T449&gt;0,B449,D449)</f>
        <v>0.0530786514282227</v>
      </c>
      <c r="C450" s="25" t="n">
        <f aca="false">IF(T449&gt;0,D449,C449)</f>
        <v>0.05307936668396</v>
      </c>
      <c r="D450" s="41" t="n">
        <f aca="false">(B450+C450)/2</f>
        <v>0.0530790090560913</v>
      </c>
      <c r="E450" s="15" t="n">
        <f aca="false">$C$2*(1+IF(E$3&lt;=$O$2,$D450,$D450-($D450-$I$427)*MIN(E$3-$O$2,$Q$2)/$Q$2))</f>
        <v>916.210330249071</v>
      </c>
      <c r="F450" s="15" t="n">
        <f aca="false">E450*(1+IF(F$3&lt;=$O$2,$D450,$D450-($D450-$I$427)*MIN(F$3-$O$2,$Q$2)/$Q$2))</f>
        <v>964.841866665646</v>
      </c>
      <c r="G450" s="15" t="n">
        <f aca="false">F450*(1+IF(G$3&lt;=$O$2,$D450,$D450-($D450-$I$427)*MIN(G$3-$O$2,$Q$2)/$Q$2))</f>
        <v>1016.05471684409</v>
      </c>
      <c r="H450" s="15" t="n">
        <f aca="false">G450*(1+IF(H$3&lt;=$O$2,$D450,$D450-($D450-$I$427)*MIN(H$3-$O$2,$Q$2)/$Q$2))</f>
        <v>1069.98589436094</v>
      </c>
      <c r="I450" s="15" t="n">
        <f aca="false">H450*(1+IF(I$3&lt;=$O$2,$D450,$D450-($D450-$I$427)*MIN(I$3-$O$2,$Q$2)/$Q$2))</f>
        <v>1126.77968533761</v>
      </c>
      <c r="J450" s="15" t="n">
        <f aca="false">I450*(1+IF(J$3&lt;=$O$2,$D450,$D450-($D450-$I$427)*MIN(J$3-$O$2,$Q$2)/$Q$2))</f>
        <v>1183.2574970251</v>
      </c>
      <c r="K450" s="15" t="n">
        <f aca="false">J450*(1+IF(K$3&lt;=$O$2,$D450,$D450-($D450-$I$427)*MIN(K$3-$O$2,$Q$2)/$Q$2))</f>
        <v>1239.0686831197</v>
      </c>
      <c r="L450" s="15" t="n">
        <f aca="false">K450*(1+IF(L$3&lt;=$O$2,$D450,$D450-($D450-$I$427)*MIN(L$3-$O$2,$Q$2)/$Q$2))</f>
        <v>1293.84989659876</v>
      </c>
      <c r="M450" s="15" t="n">
        <f aca="false">L450*(1+IF(M$3&lt;=$O$2,$D450,$D450-($D450-$I$427)*MIN(M$3-$O$2,$Q$2)/$Q$2))</f>
        <v>1347.2287115063</v>
      </c>
      <c r="N450" s="15" t="n">
        <f aca="false">M450*(1+IF(N$3&lt;=$O$2,$D450,$D450-($D450-$I$427)*MIN(N$3-$O$2,$Q$2)/$Q$2))</f>
        <v>1398.827571157</v>
      </c>
      <c r="O450" s="15" t="n">
        <f aca="false">SUMPRODUCT(E450:N450,1/(1+$F$427)^$E$3:$N$3)*$E$2</f>
        <v>1701.10628375454</v>
      </c>
      <c r="P450" s="15" t="n">
        <f aca="false">N450*$E$2*(1+$I$427)/($F$427-$I$427)/(1+$F$427)^$N$3</f>
        <v>3921.49983768577</v>
      </c>
      <c r="Q450" s="15" t="n">
        <f aca="false">O450+P450</f>
        <v>5622.60612144031</v>
      </c>
      <c r="R450" s="15" t="n">
        <f aca="false">Q450-$G$2+$I$2</f>
        <v>5790.00612144031</v>
      </c>
      <c r="S450" s="42" t="n">
        <f aca="false">R450/$K$2</f>
        <v>164.535553323112</v>
      </c>
      <c r="T450" s="43" t="n">
        <f aca="false">S450-$M$2</f>
        <v>0.000173953972847585</v>
      </c>
    </row>
    <row r="451" customFormat="false" ht="15" hidden="false" customHeight="false" outlineLevel="0" collapsed="false">
      <c r="A451" s="5" t="n">
        <v>23</v>
      </c>
      <c r="B451" s="25" t="n">
        <f aca="false">IF(T450&gt;0,B450,D450)</f>
        <v>0.0530786514282227</v>
      </c>
      <c r="C451" s="25" t="n">
        <f aca="false">IF(T450&gt;0,D450,C450)</f>
        <v>0.0530790090560913</v>
      </c>
      <c r="D451" s="41" t="n">
        <f aca="false">(B451+C451)/2</f>
        <v>0.053078830242157</v>
      </c>
      <c r="E451" s="15" t="n">
        <f aca="false">$C$2*(1+IF(E$3&lt;=$O$2,$D451,$D451-($D451-$I$427)*MIN(E$3-$O$2,$Q$2)/$Q$2))</f>
        <v>916.210174675584</v>
      </c>
      <c r="F451" s="15" t="n">
        <f aca="false">E451*(1+IF(F$3&lt;=$O$2,$D451,$D451-($D451-$I$427)*MIN(F$3-$O$2,$Q$2)/$Q$2))</f>
        <v>964.841539003326</v>
      </c>
      <c r="G451" s="15" t="n">
        <f aca="false">F451*(1+IF(G$3&lt;=$O$2,$D451,$D451-($D451-$I$427)*MIN(G$3-$O$2,$Q$2)/$Q$2))</f>
        <v>1016.05419926267</v>
      </c>
      <c r="H451" s="15" t="n">
        <f aca="false">G451*(1+IF(H$3&lt;=$O$2,$D451,$D451-($D451-$I$427)*MIN(H$3-$O$2,$Q$2)/$Q$2))</f>
        <v>1069.98516762216</v>
      </c>
      <c r="I451" s="15" t="n">
        <f aca="false">H451*(1+IF(I$3&lt;=$O$2,$D451,$D451-($D451-$I$427)*MIN(I$3-$O$2,$Q$2)/$Q$2))</f>
        <v>1126.778728696</v>
      </c>
      <c r="J451" s="15" t="n">
        <f aca="false">I451*(1+IF(J$3&lt;=$O$2,$D451,$D451-($D451-$I$427)*MIN(J$3-$O$2,$Q$2)/$Q$2))</f>
        <v>1183.25633124656</v>
      </c>
      <c r="K451" s="15" t="n">
        <f aca="false">J451*(1+IF(K$3&lt;=$O$2,$D451,$D451-($D451-$I$427)*MIN(K$3-$O$2,$Q$2)/$Q$2))</f>
        <v>1239.06733540477</v>
      </c>
      <c r="L451" s="15" t="n">
        <f aca="false">K451*(1+IF(L$3&lt;=$O$2,$D451,$D451-($D451-$I$427)*MIN(L$3-$O$2,$Q$2)/$Q$2))</f>
        <v>1293.84840067419</v>
      </c>
      <c r="M451" s="15" t="n">
        <f aca="false">L451*(1+IF(M$3&lt;=$O$2,$D451,$D451-($D451-$I$427)*MIN(M$3-$O$2,$Q$2)/$Q$2))</f>
        <v>1347.22710759454</v>
      </c>
      <c r="N451" s="15" t="n">
        <f aca="false">M451*(1+IF(N$3&lt;=$O$2,$D451,$D451-($D451-$I$427)*MIN(N$3-$O$2,$Q$2)/$Q$2))</f>
        <v>1398.82590581541</v>
      </c>
      <c r="O451" s="15" t="n">
        <f aca="false">SUMPRODUCT(E451:N451,1/(1+$F$427)^$E$3:$N$3)*$E$2</f>
        <v>1701.10494065238</v>
      </c>
      <c r="P451" s="15" t="n">
        <f aca="false">N451*$E$2*(1+$I$427)/($F$427-$I$427)/(1+$F$427)^$N$3</f>
        <v>3921.49516903548</v>
      </c>
      <c r="Q451" s="15" t="n">
        <f aca="false">O451+P451</f>
        <v>5622.60010968785</v>
      </c>
      <c r="R451" s="15" t="n">
        <f aca="false">Q451-$G$2+$I$2</f>
        <v>5790.00010968785</v>
      </c>
      <c r="S451" s="42" t="n">
        <f aca="false">R451/$K$2</f>
        <v>164.535382486157</v>
      </c>
      <c r="T451" s="43" t="n">
        <f aca="false">S451-$M$2</f>
        <v>3.11701768396233E-006</v>
      </c>
    </row>
    <row r="452" customFormat="false" ht="15" hidden="false" customHeight="false" outlineLevel="0" collapsed="false">
      <c r="A452" s="5" t="n">
        <v>24</v>
      </c>
      <c r="B452" s="25" t="n">
        <f aca="false">IF(T451&gt;0,B451,D451)</f>
        <v>0.0530786514282227</v>
      </c>
      <c r="C452" s="25" t="n">
        <f aca="false">IF(T451&gt;0,D451,C451)</f>
        <v>0.053078830242157</v>
      </c>
      <c r="D452" s="41" t="n">
        <f aca="false">(B452+C452)/2</f>
        <v>0.0530787408351898</v>
      </c>
      <c r="E452" s="15" t="n">
        <f aca="false">$C$2*(1+IF(E$3&lt;=$O$2,$D452,$D452-($D452-$I$427)*MIN(E$3-$O$2,$Q$2)/$Q$2))</f>
        <v>916.21009688884</v>
      </c>
      <c r="F452" s="15" t="n">
        <f aca="false">E452*(1+IF(F$3&lt;=$O$2,$D452,$D452-($D452-$I$427)*MIN(F$3-$O$2,$Q$2)/$Q$2))</f>
        <v>964.841375172187</v>
      </c>
      <c r="G452" s="15" t="n">
        <f aca="false">F452*(1+IF(G$3&lt;=$O$2,$D452,$D452-($D452-$I$427)*MIN(G$3-$O$2,$Q$2)/$Q$2))</f>
        <v>1016.05394047202</v>
      </c>
      <c r="H452" s="15" t="n">
        <f aca="false">G452*(1+IF(H$3&lt;=$O$2,$D452,$D452-($D452-$I$427)*MIN(H$3-$O$2,$Q$2)/$Q$2))</f>
        <v>1069.98480425291</v>
      </c>
      <c r="I452" s="15" t="n">
        <f aca="false">H452*(1+IF(I$3&lt;=$O$2,$D452,$D452-($D452-$I$427)*MIN(I$3-$O$2,$Q$2)/$Q$2))</f>
        <v>1126.77825037544</v>
      </c>
      <c r="J452" s="15" t="n">
        <f aca="false">I452*(1+IF(J$3&lt;=$O$2,$D452,$D452-($D452-$I$427)*MIN(J$3-$O$2,$Q$2)/$Q$2))</f>
        <v>1183.25574835764</v>
      </c>
      <c r="K452" s="15" t="n">
        <f aca="false">J452*(1+IF(K$3&lt;=$O$2,$D452,$D452-($D452-$I$427)*MIN(K$3-$O$2,$Q$2)/$Q$2))</f>
        <v>1239.06666154777</v>
      </c>
      <c r="L452" s="15" t="n">
        <f aca="false">K452*(1+IF(L$3&lt;=$O$2,$D452,$D452-($D452-$I$427)*MIN(L$3-$O$2,$Q$2)/$Q$2))</f>
        <v>1293.84765271247</v>
      </c>
      <c r="M452" s="15" t="n">
        <f aca="false">L452*(1+IF(M$3&lt;=$O$2,$D452,$D452-($D452-$I$427)*MIN(M$3-$O$2,$Q$2)/$Q$2))</f>
        <v>1347.22630563929</v>
      </c>
      <c r="N452" s="15" t="n">
        <f aca="false">M452*(1+IF(N$3&lt;=$O$2,$D452,$D452-($D452-$I$427)*MIN(N$3-$O$2,$Q$2)/$Q$2))</f>
        <v>1398.82507314527</v>
      </c>
      <c r="O452" s="15" t="n">
        <f aca="false">SUMPRODUCT(E452:N452,1/(1+$F$427)^$E$3:$N$3)*$E$2</f>
        <v>1701.10426910169</v>
      </c>
      <c r="P452" s="15" t="n">
        <f aca="false">N452*$E$2*(1+$I$427)/($F$427-$I$427)/(1+$F$427)^$N$3</f>
        <v>3921.49283471215</v>
      </c>
      <c r="Q452" s="15" t="n">
        <f aca="false">O452+P452</f>
        <v>5622.59710381384</v>
      </c>
      <c r="R452" s="15" t="n">
        <f aca="false">Q452-$G$2+$I$2</f>
        <v>5789.99710381384</v>
      </c>
      <c r="S452" s="42" t="n">
        <f aca="false">R452/$K$2</f>
        <v>164.535297067742</v>
      </c>
      <c r="T452" s="43" t="n">
        <f aca="false">S452-$M$2</f>
        <v>-8.23013969295516E-005</v>
      </c>
    </row>
    <row r="454" customFormat="false" ht="15" hidden="false" customHeight="false" outlineLevel="0" collapsed="false">
      <c r="A454" s="38" t="s">
        <v>203</v>
      </c>
      <c r="E454" s="5" t="s">
        <v>12</v>
      </c>
      <c r="F454" s="12" t="n">
        <f aca="false">Sensitivity!$B$13</f>
        <v>0.0825075820986394</v>
      </c>
      <c r="G454" s="5" t="s">
        <v>13</v>
      </c>
      <c r="I454" s="12" t="n">
        <f aca="false">Sensitivity!$C$9</f>
        <v>0.0183</v>
      </c>
    </row>
    <row r="455" customFormat="false" ht="23.85" hidden="false" customHeight="false" outlineLevel="0" collapsed="false">
      <c r="A455" s="38" t="s">
        <v>168</v>
      </c>
      <c r="B455" s="28" t="s">
        <v>169</v>
      </c>
      <c r="C455" s="28" t="s">
        <v>170</v>
      </c>
      <c r="D455" s="28" t="s">
        <v>171</v>
      </c>
      <c r="E455" s="28" t="s">
        <v>172</v>
      </c>
      <c r="F455" s="28" t="s">
        <v>173</v>
      </c>
      <c r="G455" s="28" t="s">
        <v>174</v>
      </c>
      <c r="H455" s="28" t="s">
        <v>175</v>
      </c>
      <c r="I455" s="28" t="s">
        <v>176</v>
      </c>
      <c r="J455" s="28" t="s">
        <v>177</v>
      </c>
      <c r="K455" s="28" t="s">
        <v>178</v>
      </c>
      <c r="L455" s="28" t="s">
        <v>179</v>
      </c>
      <c r="M455" s="28" t="s">
        <v>180</v>
      </c>
      <c r="N455" s="28" t="s">
        <v>181</v>
      </c>
      <c r="O455" s="28" t="s">
        <v>182</v>
      </c>
      <c r="P455" s="28" t="s">
        <v>183</v>
      </c>
      <c r="Q455" s="28" t="s">
        <v>184</v>
      </c>
      <c r="R455" s="28" t="s">
        <v>185</v>
      </c>
      <c r="S455" s="28" t="s">
        <v>186</v>
      </c>
      <c r="T455" s="28" t="s">
        <v>187</v>
      </c>
    </row>
    <row r="456" customFormat="false" ht="15" hidden="false" customHeight="false" outlineLevel="0" collapsed="false">
      <c r="A456" s="5" t="n">
        <v>1</v>
      </c>
      <c r="B456" s="24" t="n">
        <v>-0.5</v>
      </c>
      <c r="C456" s="24" t="n">
        <v>1</v>
      </c>
      <c r="D456" s="41" t="n">
        <f aca="false">(B456+C456)/2</f>
        <v>0.25</v>
      </c>
      <c r="E456" s="15" t="n">
        <f aca="false">$C$2*(1+IF(E$3&lt;=$O$2,$D456,$D456-($D456-$I$454)*MIN(E$3-$O$2,$Q$2)/$Q$2))</f>
        <v>1087.5375</v>
      </c>
      <c r="F456" s="15" t="n">
        <f aca="false">E456*(1+IF(F$3&lt;=$O$2,$D456,$D456-($D456-$I$454)*MIN(F$3-$O$2,$Q$2)/$Q$2))</f>
        <v>1359.421875</v>
      </c>
      <c r="G456" s="15" t="n">
        <f aca="false">F456*(1+IF(G$3&lt;=$O$2,$D456,$D456-($D456-$I$454)*MIN(G$3-$O$2,$Q$2)/$Q$2))</f>
        <v>1699.27734375</v>
      </c>
      <c r="H456" s="15" t="n">
        <f aca="false">G456*(1+IF(H$3&lt;=$O$2,$D456,$D456-($D456-$I$454)*MIN(H$3-$O$2,$Q$2)/$Q$2))</f>
        <v>2124.0966796875</v>
      </c>
      <c r="I456" s="15" t="n">
        <f aca="false">H456*(1+IF(I$3&lt;=$O$2,$D456,$D456-($D456-$I$454)*MIN(I$3-$O$2,$Q$2)/$Q$2))</f>
        <v>2655.12084960938</v>
      </c>
      <c r="J456" s="15" t="n">
        <f aca="false">I456*(1+IF(J$3&lt;=$O$2,$D456,$D456-($D456-$I$454)*MIN(J$3-$O$2,$Q$2)/$Q$2))</f>
        <v>3195.86276184082</v>
      </c>
      <c r="K456" s="15" t="n">
        <f aca="false">J456*(1+IF(K$3&lt;=$O$2,$D456,$D456-($D456-$I$454)*MIN(K$3-$O$2,$Q$2)/$Q$2))</f>
        <v>3698.63589153362</v>
      </c>
      <c r="L456" s="15" t="n">
        <f aca="false">K456*(1+IF(L$3&lt;=$O$2,$D456,$D456-($D456-$I$454)*MIN(L$3-$O$2,$Q$2)/$Q$2))</f>
        <v>4109.11050277602</v>
      </c>
      <c r="M456" s="15" t="n">
        <f aca="false">L456*(1+IF(M$3&lt;=$O$2,$D456,$D456-($D456-$I$454)*MIN(M$3-$O$2,$Q$2)/$Q$2))</f>
        <v>4374.72340567546</v>
      </c>
      <c r="N456" s="15" t="n">
        <f aca="false">M456*(1+IF(N$3&lt;=$O$2,$D456,$D456-($D456-$I$454)*MIN(N$3-$O$2,$Q$2)/$Q$2))</f>
        <v>4454.78084399932</v>
      </c>
      <c r="O456" s="15" t="n">
        <f aca="false">SUMPRODUCT(E456:N456,1/(1+$F$454)^$E$3:$N$3)*$E$2</f>
        <v>3860.28178197004</v>
      </c>
      <c r="P456" s="15" t="n">
        <f aca="false">N456*$E$2*(1+$I$454)/($F$454-$I$454)/(1+$F$454)^$N$3</f>
        <v>7140.7672036173</v>
      </c>
      <c r="Q456" s="15" t="n">
        <f aca="false">O456+P456</f>
        <v>11001.0489855873</v>
      </c>
      <c r="R456" s="15" t="n">
        <f aca="false">Q456-$G$2+$I$2</f>
        <v>11168.4489855873</v>
      </c>
      <c r="S456" s="42" t="n">
        <f aca="false">R456/$K$2</f>
        <v>317.375646080913</v>
      </c>
      <c r="T456" s="43" t="n">
        <f aca="false">S456-$M$2</f>
        <v>152.840266711774</v>
      </c>
    </row>
    <row r="457" customFormat="false" ht="15" hidden="false" customHeight="false" outlineLevel="0" collapsed="false">
      <c r="A457" s="5" t="n">
        <v>2</v>
      </c>
      <c r="B457" s="25" t="n">
        <f aca="false">IF(T456&gt;0,B456,D456)</f>
        <v>-0.5</v>
      </c>
      <c r="C457" s="25" t="n">
        <f aca="false">IF(T456&gt;0,D456,C456)</f>
        <v>0.25</v>
      </c>
      <c r="D457" s="41" t="n">
        <f aca="false">(B457+C457)/2</f>
        <v>-0.125</v>
      </c>
      <c r="E457" s="15" t="n">
        <f aca="false">$C$2*(1+IF(E$3&lt;=$O$2,$D457,$D457-($D457-$I$454)*MIN(E$3-$O$2,$Q$2)/$Q$2))</f>
        <v>761.27625</v>
      </c>
      <c r="F457" s="15" t="n">
        <f aca="false">E457*(1+IF(F$3&lt;=$O$2,$D457,$D457-($D457-$I$454)*MIN(F$3-$O$2,$Q$2)/$Q$2))</f>
        <v>666.11671875</v>
      </c>
      <c r="G457" s="15" t="n">
        <f aca="false">F457*(1+IF(G$3&lt;=$O$2,$D457,$D457-($D457-$I$454)*MIN(G$3-$O$2,$Q$2)/$Q$2))</f>
        <v>582.85212890625</v>
      </c>
      <c r="H457" s="15" t="n">
        <f aca="false">G457*(1+IF(H$3&lt;=$O$2,$D457,$D457-($D457-$I$454)*MIN(H$3-$O$2,$Q$2)/$Q$2))</f>
        <v>509.995612792969</v>
      </c>
      <c r="I457" s="15" t="n">
        <f aca="false">H457*(1+IF(I$3&lt;=$O$2,$D457,$D457-($D457-$I$454)*MIN(I$3-$O$2,$Q$2)/$Q$2))</f>
        <v>446.246161193848</v>
      </c>
      <c r="J457" s="15" t="n">
        <f aca="false">I457*(1+IF(J$3&lt;=$O$2,$D457,$D457-($D457-$I$454)*MIN(J$3-$O$2,$Q$2)/$Q$2))</f>
        <v>403.254806024432</v>
      </c>
      <c r="K457" s="15" t="n">
        <f aca="false">J457*(1+IF(K$3&lt;=$O$2,$D457,$D457-($D457-$I$454)*MIN(K$3-$O$2,$Q$2)/$Q$2))</f>
        <v>375.962520752699</v>
      </c>
      <c r="L457" s="15" t="n">
        <f aca="false">K457*(1+IF(L$3&lt;=$O$2,$D457,$D457-($D457-$I$454)*MIN(L$3-$O$2,$Q$2)/$Q$2))</f>
        <v>361.292463192929</v>
      </c>
      <c r="M457" s="15" t="n">
        <f aca="false">L457*(1+IF(M$3&lt;=$O$2,$D457,$D457-($D457-$I$454)*MIN(M$3-$O$2,$Q$2)/$Q$2))</f>
        <v>357.54947327425</v>
      </c>
      <c r="N457" s="15" t="n">
        <f aca="false">M457*(1+IF(N$3&lt;=$O$2,$D457,$D457-($D457-$I$454)*MIN(N$3-$O$2,$Q$2)/$Q$2))</f>
        <v>364.092628635169</v>
      </c>
      <c r="O457" s="15" t="n">
        <f aca="false">SUMPRODUCT(E457:N457,1/(1+$F$454)^$E$3:$N$3)*$E$2</f>
        <v>759.482257360838</v>
      </c>
      <c r="P457" s="15" t="n">
        <f aca="false">N457*$E$2*(1+$I$454)/($F$454-$I$454)/(1+$F$454)^$N$3</f>
        <v>583.620337942986</v>
      </c>
      <c r="Q457" s="15" t="n">
        <f aca="false">O457+P457</f>
        <v>1343.10259530382</v>
      </c>
      <c r="R457" s="15" t="n">
        <f aca="false">Q457-$G$2+$I$2</f>
        <v>1510.50259530382</v>
      </c>
      <c r="S457" s="42" t="n">
        <f aca="false">R457/$K$2</f>
        <v>42.9241999233823</v>
      </c>
      <c r="T457" s="43" t="n">
        <f aca="false">S457-$M$2</f>
        <v>-121.611179445757</v>
      </c>
    </row>
    <row r="458" customFormat="false" ht="15" hidden="false" customHeight="false" outlineLevel="0" collapsed="false">
      <c r="A458" s="5" t="n">
        <v>3</v>
      </c>
      <c r="B458" s="25" t="n">
        <f aca="false">IF(T457&gt;0,B457,D457)</f>
        <v>-0.125</v>
      </c>
      <c r="C458" s="25" t="n">
        <f aca="false">IF(T457&gt;0,D457,C457)</f>
        <v>0.25</v>
      </c>
      <c r="D458" s="41" t="n">
        <f aca="false">(B458+C458)/2</f>
        <v>0.0625</v>
      </c>
      <c r="E458" s="15" t="n">
        <f aca="false">$C$2*(1+IF(E$3&lt;=$O$2,$D458,$D458-($D458-$I$454)*MIN(E$3-$O$2,$Q$2)/$Q$2))</f>
        <v>924.406875</v>
      </c>
      <c r="F458" s="15" t="n">
        <f aca="false">E458*(1+IF(F$3&lt;=$O$2,$D458,$D458-($D458-$I$454)*MIN(F$3-$O$2,$Q$2)/$Q$2))</f>
        <v>982.1823046875</v>
      </c>
      <c r="G458" s="15" t="n">
        <f aca="false">F458*(1+IF(G$3&lt;=$O$2,$D458,$D458-($D458-$I$454)*MIN(G$3-$O$2,$Q$2)/$Q$2))</f>
        <v>1043.56869873047</v>
      </c>
      <c r="H458" s="15" t="n">
        <f aca="false">G458*(1+IF(H$3&lt;=$O$2,$D458,$D458-($D458-$I$454)*MIN(H$3-$O$2,$Q$2)/$Q$2))</f>
        <v>1108.79174240112</v>
      </c>
      <c r="I458" s="15" t="n">
        <f aca="false">H458*(1+IF(I$3&lt;=$O$2,$D458,$D458-($D458-$I$454)*MIN(I$3-$O$2,$Q$2)/$Q$2))</f>
        <v>1178.09122630119</v>
      </c>
      <c r="J458" s="15" t="n">
        <f aca="false">I458*(1+IF(J$3&lt;=$O$2,$D458,$D458-($D458-$I$454)*MIN(J$3-$O$2,$Q$2)/$Q$2))</f>
        <v>1241.30760150452</v>
      </c>
      <c r="K458" s="15" t="n">
        <f aca="false">J458*(1+IF(K$3&lt;=$O$2,$D458,$D458-($D458-$I$454)*MIN(K$3-$O$2,$Q$2)/$Q$2))</f>
        <v>1296.94300820395</v>
      </c>
      <c r="L458" s="15" t="n">
        <f aca="false">K458*(1+IF(L$3&lt;=$O$2,$D458,$D458-($D458-$I$454)*MIN(L$3-$O$2,$Q$2)/$Q$2))</f>
        <v>1343.60701763913</v>
      </c>
      <c r="M458" s="15" t="n">
        <f aca="false">L458*(1+IF(M$3&lt;=$O$2,$D458,$D458-($D458-$I$454)*MIN(M$3-$O$2,$Q$2)/$Q$2))</f>
        <v>1380.07251209785</v>
      </c>
      <c r="N458" s="15" t="n">
        <f aca="false">M458*(1+IF(N$3&lt;=$O$2,$D458,$D458-($D458-$I$454)*MIN(N$3-$O$2,$Q$2)/$Q$2))</f>
        <v>1405.32783906924</v>
      </c>
      <c r="O458" s="15" t="n">
        <f aca="false">SUMPRODUCT(E458:N458,1/(1+$F$454)^$E$3:$N$3)*$E$2</f>
        <v>1709.66928629584</v>
      </c>
      <c r="P458" s="15" t="n">
        <f aca="false">N458*$E$2*(1+$I$454)/($F$454-$I$454)/(1+$F$454)^$N$3</f>
        <v>2252.66276725454</v>
      </c>
      <c r="Q458" s="15" t="n">
        <f aca="false">O458+P458</f>
        <v>3962.33205355037</v>
      </c>
      <c r="R458" s="15" t="n">
        <f aca="false">Q458-$G$2+$I$2</f>
        <v>4129.73205355038</v>
      </c>
      <c r="S458" s="42" t="n">
        <f aca="false">R458/$K$2</f>
        <v>117.355272905666</v>
      </c>
      <c r="T458" s="43" t="n">
        <f aca="false">S458-$M$2</f>
        <v>-47.1801064634733</v>
      </c>
    </row>
    <row r="459" customFormat="false" ht="15" hidden="false" customHeight="false" outlineLevel="0" collapsed="false">
      <c r="A459" s="5" t="n">
        <v>4</v>
      </c>
      <c r="B459" s="25" t="n">
        <f aca="false">IF(T458&gt;0,B458,D458)</f>
        <v>0.0625</v>
      </c>
      <c r="C459" s="25" t="n">
        <f aca="false">IF(T458&gt;0,D458,C458)</f>
        <v>0.25</v>
      </c>
      <c r="D459" s="41" t="n">
        <f aca="false">(B459+C459)/2</f>
        <v>0.15625</v>
      </c>
      <c r="E459" s="15" t="n">
        <f aca="false">$C$2*(1+IF(E$3&lt;=$O$2,$D459,$D459-($D459-$I$454)*MIN(E$3-$O$2,$Q$2)/$Q$2))</f>
        <v>1005.9721875</v>
      </c>
      <c r="F459" s="15" t="n">
        <f aca="false">E459*(1+IF(F$3&lt;=$O$2,$D459,$D459-($D459-$I$454)*MIN(F$3-$O$2,$Q$2)/$Q$2))</f>
        <v>1163.15534179688</v>
      </c>
      <c r="G459" s="15" t="n">
        <f aca="false">F459*(1+IF(G$3&lt;=$O$2,$D459,$D459-($D459-$I$454)*MIN(G$3-$O$2,$Q$2)/$Q$2))</f>
        <v>1344.89836395264</v>
      </c>
      <c r="H459" s="15" t="n">
        <f aca="false">G459*(1+IF(H$3&lt;=$O$2,$D459,$D459-($D459-$I$454)*MIN(H$3-$O$2,$Q$2)/$Q$2))</f>
        <v>1555.03873332024</v>
      </c>
      <c r="I459" s="15" t="n">
        <f aca="false">H459*(1+IF(I$3&lt;=$O$2,$D459,$D459-($D459-$I$454)*MIN(I$3-$O$2,$Q$2)/$Q$2))</f>
        <v>1798.01353540152</v>
      </c>
      <c r="J459" s="15" t="n">
        <f aca="false">I459*(1+IF(J$3&lt;=$O$2,$D459,$D459-($D459-$I$454)*MIN(J$3-$O$2,$Q$2)/$Q$2))</f>
        <v>2029.34595686628</v>
      </c>
      <c r="K459" s="15" t="n">
        <f aca="false">J459*(1+IF(K$3&lt;=$O$2,$D459,$D459-($D459-$I$454)*MIN(K$3-$O$2,$Q$2)/$Q$2))</f>
        <v>2234.45195272676</v>
      </c>
      <c r="L459" s="15" t="n">
        <f aca="false">K459*(1+IF(L$3&lt;=$O$2,$D459,$D459-($D459-$I$454)*MIN(L$3-$O$2,$Q$2)/$Q$2))</f>
        <v>2398.63948221312</v>
      </c>
      <c r="M459" s="15" t="n">
        <f aca="false">L459*(1+IF(M$3&lt;=$O$2,$D459,$D459-($D459-$I$454)*MIN(M$3-$O$2,$Q$2)/$Q$2))</f>
        <v>2508.71304805188</v>
      </c>
      <c r="N459" s="15" t="n">
        <f aca="false">M459*(1+IF(N$3&lt;=$O$2,$D459,$D459-($D459-$I$454)*MIN(N$3-$O$2,$Q$2)/$Q$2))</f>
        <v>2554.62249683123</v>
      </c>
      <c r="O459" s="15" t="n">
        <f aca="false">SUMPRODUCT(E459:N459,1/(1+$F$454)^$E$3:$N$3)*$E$2</f>
        <v>2573.91978707653</v>
      </c>
      <c r="P459" s="15" t="n">
        <f aca="false">N459*$E$2*(1+$I$454)/($F$454-$I$454)/(1+$F$454)^$N$3</f>
        <v>4094.91851155095</v>
      </c>
      <c r="Q459" s="15" t="n">
        <f aca="false">O459+P459</f>
        <v>6668.83829862749</v>
      </c>
      <c r="R459" s="15" t="n">
        <f aca="false">Q459-$G$2+$I$2</f>
        <v>6836.23829862749</v>
      </c>
      <c r="S459" s="42" t="n">
        <f aca="false">R459/$K$2</f>
        <v>194.266504649829</v>
      </c>
      <c r="T459" s="43" t="n">
        <f aca="false">S459-$M$2</f>
        <v>29.7311252806901</v>
      </c>
    </row>
    <row r="460" customFormat="false" ht="15" hidden="false" customHeight="false" outlineLevel="0" collapsed="false">
      <c r="A460" s="5" t="n">
        <v>5</v>
      </c>
      <c r="B460" s="25" t="n">
        <f aca="false">IF(T459&gt;0,B459,D459)</f>
        <v>0.0625</v>
      </c>
      <c r="C460" s="25" t="n">
        <f aca="false">IF(T459&gt;0,D459,C459)</f>
        <v>0.15625</v>
      </c>
      <c r="D460" s="41" t="n">
        <f aca="false">(B460+C460)/2</f>
        <v>0.109375</v>
      </c>
      <c r="E460" s="15" t="n">
        <f aca="false">$C$2*(1+IF(E$3&lt;=$O$2,$D460,$D460-($D460-$I$454)*MIN(E$3-$O$2,$Q$2)/$Q$2))</f>
        <v>965.18953125</v>
      </c>
      <c r="F460" s="15" t="n">
        <f aca="false">E460*(1+IF(F$3&lt;=$O$2,$D460,$D460-($D460-$I$454)*MIN(F$3-$O$2,$Q$2)/$Q$2))</f>
        <v>1070.75713623047</v>
      </c>
      <c r="G460" s="15" t="n">
        <f aca="false">F460*(1+IF(G$3&lt;=$O$2,$D460,$D460-($D460-$I$454)*MIN(G$3-$O$2,$Q$2)/$Q$2))</f>
        <v>1187.87119800568</v>
      </c>
      <c r="H460" s="15" t="n">
        <f aca="false">G460*(1+IF(H$3&lt;=$O$2,$D460,$D460-($D460-$I$454)*MIN(H$3-$O$2,$Q$2)/$Q$2))</f>
        <v>1317.79461028755</v>
      </c>
      <c r="I460" s="15" t="n">
        <f aca="false">H460*(1+IF(I$3&lt;=$O$2,$D460,$D460-($D460-$I$454)*MIN(I$3-$O$2,$Q$2)/$Q$2))</f>
        <v>1461.92839578775</v>
      </c>
      <c r="J460" s="15" t="n">
        <f aca="false">I460*(1+IF(J$3&lt;=$O$2,$D460,$D460-($D460-$I$454)*MIN(J$3-$O$2,$Q$2)/$Q$2))</f>
        <v>1595.19778834776</v>
      </c>
      <c r="K460" s="15" t="n">
        <f aca="false">J460*(1+IF(K$3&lt;=$O$2,$D460,$D460-($D460-$I$454)*MIN(K$3-$O$2,$Q$2)/$Q$2))</f>
        <v>1711.55949101879</v>
      </c>
      <c r="L460" s="15" t="n">
        <f aca="false">K460*(1+IF(L$3&lt;=$O$2,$D460,$D460-($D460-$I$454)*MIN(L$3-$O$2,$Q$2)/$Q$2))</f>
        <v>1805.23314196224</v>
      </c>
      <c r="M460" s="15" t="n">
        <f aca="false">L460*(1+IF(M$3&lt;=$O$2,$D460,$D460-($D460-$I$454)*MIN(M$3-$O$2,$Q$2)/$Q$2))</f>
        <v>1871.151230141</v>
      </c>
      <c r="N460" s="15" t="n">
        <f aca="false">M460*(1+IF(N$3&lt;=$O$2,$D460,$D460-($D460-$I$454)*MIN(N$3-$O$2,$Q$2)/$Q$2))</f>
        <v>1905.39329765258</v>
      </c>
      <c r="O460" s="15" t="n">
        <f aca="false">SUMPRODUCT(E460:N460,1/(1+$F$454)^$E$3:$N$3)*$E$2</f>
        <v>2098.22284912557</v>
      </c>
      <c r="P460" s="15" t="n">
        <f aca="false">N460*$E$2*(1+$I$454)/($F$454-$I$454)/(1+$F$454)^$N$3</f>
        <v>3054.24002803578</v>
      </c>
      <c r="Q460" s="15" t="n">
        <f aca="false">O460+P460</f>
        <v>5152.46287716135</v>
      </c>
      <c r="R460" s="15" t="n">
        <f aca="false">Q460-$G$2+$I$2</f>
        <v>5319.86287716135</v>
      </c>
      <c r="S460" s="42" t="n">
        <f aca="false">R460/$K$2</f>
        <v>151.175415662442</v>
      </c>
      <c r="T460" s="43" t="n">
        <f aca="false">S460-$M$2</f>
        <v>-13.3599637066966</v>
      </c>
    </row>
    <row r="461" customFormat="false" ht="15" hidden="false" customHeight="false" outlineLevel="0" collapsed="false">
      <c r="A461" s="5" t="n">
        <v>6</v>
      </c>
      <c r="B461" s="25" t="n">
        <f aca="false">IF(T460&gt;0,B460,D460)</f>
        <v>0.109375</v>
      </c>
      <c r="C461" s="25" t="n">
        <f aca="false">IF(T460&gt;0,D460,C460)</f>
        <v>0.15625</v>
      </c>
      <c r="D461" s="41" t="n">
        <f aca="false">(B461+C461)/2</f>
        <v>0.1328125</v>
      </c>
      <c r="E461" s="15" t="n">
        <f aca="false">$C$2*(1+IF(E$3&lt;=$O$2,$D461,$D461-($D461-$I$454)*MIN(E$3-$O$2,$Q$2)/$Q$2))</f>
        <v>985.580859375</v>
      </c>
      <c r="F461" s="15" t="n">
        <f aca="false">E461*(1+IF(F$3&lt;=$O$2,$D461,$D461-($D461-$I$454)*MIN(F$3-$O$2,$Q$2)/$Q$2))</f>
        <v>1116.47831726074</v>
      </c>
      <c r="G461" s="15" t="n">
        <f aca="false">F461*(1+IF(G$3&lt;=$O$2,$D461,$D461-($D461-$I$454)*MIN(G$3-$O$2,$Q$2)/$Q$2))</f>
        <v>1264.76059377193</v>
      </c>
      <c r="H461" s="15" t="n">
        <f aca="false">G461*(1+IF(H$3&lt;=$O$2,$D461,$D461-($D461-$I$454)*MIN(H$3-$O$2,$Q$2)/$Q$2))</f>
        <v>1432.73661013227</v>
      </c>
      <c r="I461" s="15" t="n">
        <f aca="false">H461*(1+IF(I$3&lt;=$O$2,$D461,$D461-($D461-$I$454)*MIN(I$3-$O$2,$Q$2)/$Q$2))</f>
        <v>1623.02194116546</v>
      </c>
      <c r="J461" s="15" t="n">
        <f aca="false">I461*(1+IF(J$3&lt;=$O$2,$D461,$D461-($D461-$I$454)*MIN(J$3-$O$2,$Q$2)/$Q$2))</f>
        <v>1801.40828271896</v>
      </c>
      <c r="K461" s="15" t="n">
        <f aca="false">J461*(1+IF(K$3&lt;=$O$2,$D461,$D461-($D461-$I$454)*MIN(K$3-$O$2,$Q$2)/$Q$2))</f>
        <v>1958.14431387763</v>
      </c>
      <c r="L461" s="15" t="n">
        <f aca="false">K461*(1+IF(L$3&lt;=$O$2,$D461,$D461-($D461-$I$454)*MIN(L$3-$O$2,$Q$2)/$Q$2))</f>
        <v>2083.67115511875</v>
      </c>
      <c r="M461" s="15" t="n">
        <f aca="false">L461*(1+IF(M$3&lt;=$O$2,$D461,$D461-($D461-$I$454)*MIN(M$3-$O$2,$Q$2)/$Q$2))</f>
        <v>2169.52361588753</v>
      </c>
      <c r="N461" s="15" t="n">
        <f aca="false">M461*(1+IF(N$3&lt;=$O$2,$D461,$D461-($D461-$I$454)*MIN(N$3-$O$2,$Q$2)/$Q$2))</f>
        <v>2209.22589805827</v>
      </c>
      <c r="O461" s="15" t="n">
        <f aca="false">SUMPRODUCT(E461:N461,1/(1+$F$454)^$E$3:$N$3)*$E$2</f>
        <v>2324.14197544518</v>
      </c>
      <c r="P461" s="15" t="n">
        <f aca="false">N461*$E$2*(1+$I$454)/($F$454-$I$454)/(1+$F$454)^$N$3</f>
        <v>3541.26687499936</v>
      </c>
      <c r="Q461" s="15" t="n">
        <f aca="false">O461+P461</f>
        <v>5865.40885044454</v>
      </c>
      <c r="R461" s="15" t="n">
        <f aca="false">Q461-$G$2+$I$2</f>
        <v>6032.80885044454</v>
      </c>
      <c r="S461" s="42" t="n">
        <f aca="false">R461/$K$2</f>
        <v>171.435318284869</v>
      </c>
      <c r="T461" s="43" t="n">
        <f aca="false">S461-$M$2</f>
        <v>6.89993891573005</v>
      </c>
    </row>
    <row r="462" customFormat="false" ht="15" hidden="false" customHeight="false" outlineLevel="0" collapsed="false">
      <c r="A462" s="5" t="n">
        <v>7</v>
      </c>
      <c r="B462" s="25" t="n">
        <f aca="false">IF(T461&gt;0,B461,D461)</f>
        <v>0.109375</v>
      </c>
      <c r="C462" s="25" t="n">
        <f aca="false">IF(T461&gt;0,D461,C461)</f>
        <v>0.1328125</v>
      </c>
      <c r="D462" s="41" t="n">
        <f aca="false">(B462+C462)/2</f>
        <v>0.12109375</v>
      </c>
      <c r="E462" s="15" t="n">
        <f aca="false">$C$2*(1+IF(E$3&lt;=$O$2,$D462,$D462-($D462-$I$454)*MIN(E$3-$O$2,$Q$2)/$Q$2))</f>
        <v>975.3851953125</v>
      </c>
      <c r="F462" s="15" t="n">
        <f aca="false">E462*(1+IF(F$3&lt;=$O$2,$D462,$D462-($D462-$I$454)*MIN(F$3-$O$2,$Q$2)/$Q$2))</f>
        <v>1093.49824630737</v>
      </c>
      <c r="G462" s="15" t="n">
        <f aca="false">F462*(1+IF(G$3&lt;=$O$2,$D462,$D462-($D462-$I$454)*MIN(G$3-$O$2,$Q$2)/$Q$2))</f>
        <v>1225.91404957116</v>
      </c>
      <c r="H462" s="15" t="n">
        <f aca="false">G462*(1+IF(H$3&lt;=$O$2,$D462,$D462-($D462-$I$454)*MIN(H$3-$O$2,$Q$2)/$Q$2))</f>
        <v>1374.36457901141</v>
      </c>
      <c r="I462" s="15" t="n">
        <f aca="false">H462*(1+IF(I$3&lt;=$O$2,$D462,$D462-($D462-$I$454)*MIN(I$3-$O$2,$Q$2)/$Q$2))</f>
        <v>1540.79153975108</v>
      </c>
      <c r="J462" s="15" t="n">
        <f aca="false">I462*(1+IF(J$3&lt;=$O$2,$D462,$D462-($D462-$I$454)*MIN(J$3-$O$2,$Q$2)/$Q$2))</f>
        <v>1695.69501719995</v>
      </c>
      <c r="K462" s="15" t="n">
        <f aca="false">J462*(1+IF(K$3&lt;=$O$2,$D462,$D462-($D462-$I$454)*MIN(K$3-$O$2,$Q$2)/$Q$2))</f>
        <v>1831.31034581929</v>
      </c>
      <c r="L462" s="15" t="n">
        <f aca="false">K462*(1+IF(L$3&lt;=$O$2,$D462,$D462-($D462-$I$454)*MIN(L$3-$O$2,$Q$2)/$Q$2))</f>
        <v>1940.12222829201</v>
      </c>
      <c r="M462" s="15" t="n">
        <f aca="false">L462*(1+IF(M$3&lt;=$O$2,$D462,$D462-($D462-$I$454)*MIN(M$3-$O$2,$Q$2)/$Q$2))</f>
        <v>2015.51295293065</v>
      </c>
      <c r="N462" s="15" t="n">
        <f aca="false">M462*(1+IF(N$3&lt;=$O$2,$D462,$D462-($D462-$I$454)*MIN(N$3-$O$2,$Q$2)/$Q$2))</f>
        <v>2052.39683996928</v>
      </c>
      <c r="O462" s="15" t="n">
        <f aca="false">SUMPRODUCT(E462:N462,1/(1+$F$454)^$E$3:$N$3)*$E$2</f>
        <v>2208.33616656544</v>
      </c>
      <c r="P462" s="15" t="n">
        <f aca="false">N462*$E$2*(1+$I$454)/($F$454-$I$454)/(1+$F$454)^$N$3</f>
        <v>3289.87857245591</v>
      </c>
      <c r="Q462" s="15" t="n">
        <f aca="false">O462+P462</f>
        <v>5498.21473902135</v>
      </c>
      <c r="R462" s="15" t="n">
        <f aca="false">Q462-$G$2+$I$2</f>
        <v>5665.61473902135</v>
      </c>
      <c r="S462" s="42" t="n">
        <f aca="false">R462/$K$2</f>
        <v>161.000703012826</v>
      </c>
      <c r="T462" s="43" t="n">
        <f aca="false">S462-$M$2</f>
        <v>-3.53467635631304</v>
      </c>
    </row>
    <row r="463" customFormat="false" ht="15" hidden="false" customHeight="false" outlineLevel="0" collapsed="false">
      <c r="A463" s="5" t="n">
        <v>8</v>
      </c>
      <c r="B463" s="25" t="n">
        <f aca="false">IF(T462&gt;0,B462,D462)</f>
        <v>0.12109375</v>
      </c>
      <c r="C463" s="25" t="n">
        <f aca="false">IF(T462&gt;0,D462,C462)</f>
        <v>0.1328125</v>
      </c>
      <c r="D463" s="41" t="n">
        <f aca="false">(B463+C463)/2</f>
        <v>0.126953125</v>
      </c>
      <c r="E463" s="15" t="n">
        <f aca="false">$C$2*(1+IF(E$3&lt;=$O$2,$D463,$D463-($D463-$I$454)*MIN(E$3-$O$2,$Q$2)/$Q$2))</f>
        <v>980.48302734375</v>
      </c>
      <c r="F463" s="15" t="n">
        <f aca="false">E463*(1+IF(F$3&lt;=$O$2,$D463,$D463-($D463-$I$454)*MIN(F$3-$O$2,$Q$2)/$Q$2))</f>
        <v>1104.9584116745</v>
      </c>
      <c r="G463" s="15" t="n">
        <f aca="false">F463*(1+IF(G$3&lt;=$O$2,$D463,$D463-($D463-$I$454)*MIN(G$3-$O$2,$Q$2)/$Q$2))</f>
        <v>1245.23633503161</v>
      </c>
      <c r="H463" s="15" t="n">
        <f aca="false">G463*(1+IF(H$3&lt;=$O$2,$D463,$D463-($D463-$I$454)*MIN(H$3-$O$2,$Q$2)/$Q$2))</f>
        <v>1403.32297912742</v>
      </c>
      <c r="I463" s="15" t="n">
        <f aca="false">H463*(1+IF(I$3&lt;=$O$2,$D463,$D463-($D463-$I$454)*MIN(I$3-$O$2,$Q$2)/$Q$2))</f>
        <v>1581.47921671196</v>
      </c>
      <c r="J463" s="15" t="n">
        <f aca="false">I463*(1+IF(J$3&lt;=$O$2,$D463,$D463-($D463-$I$454)*MIN(J$3-$O$2,$Q$2)/$Q$2))</f>
        <v>1747.88641359243</v>
      </c>
      <c r="K463" s="15" t="n">
        <f aca="false">J463*(1+IF(K$3&lt;=$O$2,$D463,$D463-($D463-$I$454)*MIN(K$3-$O$2,$Q$2)/$Q$2))</f>
        <v>1893.82072755029</v>
      </c>
      <c r="L463" s="15" t="n">
        <f aca="false">K463*(1+IF(L$3&lt;=$O$2,$D463,$D463-($D463-$I$454)*MIN(L$3-$O$2,$Q$2)/$Q$2))</f>
        <v>2010.78546295971</v>
      </c>
      <c r="M463" s="15" t="n">
        <f aca="false">L463*(1+IF(M$3&lt;=$O$2,$D463,$D463-($D463-$I$454)*MIN(M$3-$O$2,$Q$2)/$Q$2))</f>
        <v>2091.2784617829</v>
      </c>
      <c r="N463" s="15" t="n">
        <f aca="false">M463*(1+IF(N$3&lt;=$O$2,$D463,$D463-($D463-$I$454)*MIN(N$3-$O$2,$Q$2)/$Q$2))</f>
        <v>2129.54885763353</v>
      </c>
      <c r="O463" s="15" t="n">
        <f aca="false">SUMPRODUCT(E463:N463,1/(1+$F$454)^$E$3:$N$3)*$E$2</f>
        <v>2265.51092187009</v>
      </c>
      <c r="P463" s="15" t="n">
        <f aca="false">N463*$E$2*(1+$I$454)/($F$454-$I$454)/(1+$F$454)^$N$3</f>
        <v>3413.54898784163</v>
      </c>
      <c r="Q463" s="15" t="n">
        <f aca="false">O463+P463</f>
        <v>5679.05990971172</v>
      </c>
      <c r="R463" s="15" t="n">
        <f aca="false">Q463-$G$2+$I$2</f>
        <v>5846.45990971172</v>
      </c>
      <c r="S463" s="42" t="n">
        <f aca="false">R463/$K$2</f>
        <v>166.139809880981</v>
      </c>
      <c r="T463" s="43" t="n">
        <f aca="false">S463-$M$2</f>
        <v>1.60443051184205</v>
      </c>
    </row>
    <row r="464" customFormat="false" ht="15" hidden="false" customHeight="false" outlineLevel="0" collapsed="false">
      <c r="A464" s="5" t="n">
        <v>9</v>
      </c>
      <c r="B464" s="25" t="n">
        <f aca="false">IF(T463&gt;0,B463,D463)</f>
        <v>0.12109375</v>
      </c>
      <c r="C464" s="25" t="n">
        <f aca="false">IF(T463&gt;0,D463,C463)</f>
        <v>0.126953125</v>
      </c>
      <c r="D464" s="41" t="n">
        <f aca="false">(B464+C464)/2</f>
        <v>0.1240234375</v>
      </c>
      <c r="E464" s="15" t="n">
        <f aca="false">$C$2*(1+IF(E$3&lt;=$O$2,$D464,$D464-($D464-$I$454)*MIN(E$3-$O$2,$Q$2)/$Q$2))</f>
        <v>977.934111328125</v>
      </c>
      <c r="F464" s="15" t="n">
        <f aca="false">E464*(1+IF(F$3&lt;=$O$2,$D464,$D464-($D464-$I$454)*MIN(F$3-$O$2,$Q$2)/$Q$2))</f>
        <v>1099.22086146355</v>
      </c>
      <c r="G464" s="15" t="n">
        <f aca="false">F464*(1+IF(G$3&lt;=$O$2,$D464,$D464-($D464-$I$454)*MIN(G$3-$O$2,$Q$2)/$Q$2))</f>
        <v>1235.55001127397</v>
      </c>
      <c r="H464" s="15" t="n">
        <f aca="false">G464*(1+IF(H$3&lt;=$O$2,$D464,$D464-($D464-$I$454)*MIN(H$3-$O$2,$Q$2)/$Q$2))</f>
        <v>1388.78717087533</v>
      </c>
      <c r="I464" s="15" t="n">
        <f aca="false">H464*(1+IF(I$3&lt;=$O$2,$D464,$D464-($D464-$I$454)*MIN(I$3-$O$2,$Q$2)/$Q$2))</f>
        <v>1561.02932976319</v>
      </c>
      <c r="J464" s="15" t="n">
        <f aca="false">I464*(1+IF(J$3&lt;=$O$2,$D464,$D464-($D464-$I$454)*MIN(J$3-$O$2,$Q$2)/$Q$2))</f>
        <v>1721.62607592256</v>
      </c>
      <c r="K464" s="15" t="n">
        <f aca="false">J464*(1+IF(K$3&lt;=$O$2,$D464,$D464-($D464-$I$454)*MIN(K$3-$O$2,$Q$2)/$Q$2))</f>
        <v>1862.34156921365</v>
      </c>
      <c r="L464" s="15" t="n">
        <f aca="false">K464*(1+IF(L$3&lt;=$O$2,$D464,$D464-($D464-$I$454)*MIN(L$3-$O$2,$Q$2)/$Q$2))</f>
        <v>1975.17968092882</v>
      </c>
      <c r="M464" s="15" t="n">
        <f aca="false">L464*(1+IF(M$3&lt;=$O$2,$D464,$D464-($D464-$I$454)*MIN(M$3-$O$2,$Q$2)/$Q$2))</f>
        <v>2053.09002619941</v>
      </c>
      <c r="N464" s="15" t="n">
        <f aca="false">M464*(1+IF(N$3&lt;=$O$2,$D464,$D464-($D464-$I$454)*MIN(N$3-$O$2,$Q$2)/$Q$2))</f>
        <v>2090.66157367886</v>
      </c>
      <c r="O464" s="15" t="n">
        <f aca="false">SUMPRODUCT(E464:N464,1/(1+$F$454)^$E$3:$N$3)*$E$2</f>
        <v>2236.74360639035</v>
      </c>
      <c r="P464" s="15" t="n">
        <f aca="false">N464*$E$2*(1+$I$454)/($F$454-$I$454)/(1+$F$454)^$N$3</f>
        <v>3351.21482335062</v>
      </c>
      <c r="Q464" s="15" t="n">
        <f aca="false">O464+P464</f>
        <v>5587.95842974097</v>
      </c>
      <c r="R464" s="15" t="n">
        <f aca="false">Q464-$G$2+$I$2</f>
        <v>5755.35842974097</v>
      </c>
      <c r="S464" s="42" t="n">
        <f aca="false">R464/$K$2</f>
        <v>163.550964187013</v>
      </c>
      <c r="T464" s="43" t="n">
        <f aca="false">S464-$M$2</f>
        <v>-0.98441518212644</v>
      </c>
    </row>
    <row r="465" customFormat="false" ht="15" hidden="false" customHeight="false" outlineLevel="0" collapsed="false">
      <c r="A465" s="5" t="n">
        <v>10</v>
      </c>
      <c r="B465" s="25" t="n">
        <f aca="false">IF(T464&gt;0,B464,D464)</f>
        <v>0.1240234375</v>
      </c>
      <c r="C465" s="25" t="n">
        <f aca="false">IF(T464&gt;0,D464,C464)</f>
        <v>0.126953125</v>
      </c>
      <c r="D465" s="41" t="n">
        <f aca="false">(B465+C465)/2</f>
        <v>0.12548828125</v>
      </c>
      <c r="E465" s="15" t="n">
        <f aca="false">$C$2*(1+IF(E$3&lt;=$O$2,$D465,$D465-($D465-$I$454)*MIN(E$3-$O$2,$Q$2)/$Q$2))</f>
        <v>979.208569335938</v>
      </c>
      <c r="F465" s="15" t="n">
        <f aca="false">E465*(1+IF(F$3&lt;=$O$2,$D465,$D465-($D465-$I$454)*MIN(F$3-$O$2,$Q$2)/$Q$2))</f>
        <v>1102.08776968718</v>
      </c>
      <c r="G465" s="15" t="n">
        <f aca="false">F465*(1+IF(G$3&lt;=$O$2,$D465,$D465-($D465-$I$454)*MIN(G$3-$O$2,$Q$2)/$Q$2))</f>
        <v>1240.38686969187</v>
      </c>
      <c r="H465" s="15" t="n">
        <f aca="false">G465*(1+IF(H$3&lt;=$O$2,$D465,$D465-($D465-$I$454)*MIN(H$3-$O$2,$Q$2)/$Q$2))</f>
        <v>1396.04088605457</v>
      </c>
      <c r="I465" s="15" t="n">
        <f aca="false">H465*(1+IF(I$3&lt;=$O$2,$D465,$D465-($D465-$I$454)*MIN(I$3-$O$2,$Q$2)/$Q$2))</f>
        <v>1571.22765740028</v>
      </c>
      <c r="J465" s="15" t="n">
        <f aca="false">I465*(1+IF(J$3&lt;=$O$2,$D465,$D465-($D465-$I$454)*MIN(J$3-$O$2,$Q$2)/$Q$2))</f>
        <v>1734.71487717006</v>
      </c>
      <c r="K465" s="15" t="n">
        <f aca="false">J465*(1+IF(K$3&lt;=$O$2,$D465,$D465-($D465-$I$454)*MIN(K$3-$O$2,$Q$2)/$Q$2))</f>
        <v>1878.02482310788</v>
      </c>
      <c r="L465" s="15" t="n">
        <f aca="false">K465*(1+IF(L$3&lt;=$O$2,$D465,$D465-($D465-$I$454)*MIN(L$3-$O$2,$Q$2)/$Q$2))</f>
        <v>1992.91357854426</v>
      </c>
      <c r="M465" s="15" t="n">
        <f aca="false">L465*(1+IF(M$3&lt;=$O$2,$D465,$D465-($D465-$I$454)*MIN(M$3-$O$2,$Q$2)/$Q$2))</f>
        <v>2072.10729326441</v>
      </c>
      <c r="N465" s="15" t="n">
        <f aca="false">M465*(1+IF(N$3&lt;=$O$2,$D465,$D465-($D465-$I$454)*MIN(N$3-$O$2,$Q$2)/$Q$2))</f>
        <v>2110.02685673114</v>
      </c>
      <c r="O465" s="15" t="n">
        <f aca="false">SUMPRODUCT(E465:N465,1/(1+$F$454)^$E$3:$N$3)*$E$2</f>
        <v>2251.08201888066</v>
      </c>
      <c r="P465" s="15" t="n">
        <f aca="false">N465*$E$2*(1+$I$454)/($F$454-$I$454)/(1+$F$454)^$N$3</f>
        <v>3382.25630057498</v>
      </c>
      <c r="Q465" s="15" t="n">
        <f aca="false">O465+P465</f>
        <v>5633.33831945565</v>
      </c>
      <c r="R465" s="15" t="n">
        <f aca="false">Q465-$G$2+$I$2</f>
        <v>5800.73831945565</v>
      </c>
      <c r="S465" s="42" t="n">
        <f aca="false">R465/$K$2</f>
        <v>164.840531953841</v>
      </c>
      <c r="T465" s="43" t="n">
        <f aca="false">S465-$M$2</f>
        <v>0.305152584701546</v>
      </c>
    </row>
    <row r="466" customFormat="false" ht="15" hidden="false" customHeight="false" outlineLevel="0" collapsed="false">
      <c r="A466" s="5" t="n">
        <v>11</v>
      </c>
      <c r="B466" s="25" t="n">
        <f aca="false">IF(T465&gt;0,B465,D465)</f>
        <v>0.1240234375</v>
      </c>
      <c r="C466" s="25" t="n">
        <f aca="false">IF(T465&gt;0,D465,C465)</f>
        <v>0.12548828125</v>
      </c>
      <c r="D466" s="41" t="n">
        <f aca="false">(B466+C466)/2</f>
        <v>0.124755859375</v>
      </c>
      <c r="E466" s="15" t="n">
        <f aca="false">$C$2*(1+IF(E$3&lt;=$O$2,$D466,$D466-($D466-$I$454)*MIN(E$3-$O$2,$Q$2)/$Q$2))</f>
        <v>978.571340332031</v>
      </c>
      <c r="F466" s="15" t="n">
        <f aca="false">E466*(1+IF(F$3&lt;=$O$2,$D466,$D466-($D466-$I$454)*MIN(F$3-$O$2,$Q$2)/$Q$2))</f>
        <v>1100.6538488549</v>
      </c>
      <c r="G466" s="15" t="n">
        <f aca="false">F466*(1+IF(G$3&lt;=$O$2,$D466,$D466-($D466-$I$454)*MIN(G$3-$O$2,$Q$2)/$Q$2))</f>
        <v>1237.96686564319</v>
      </c>
      <c r="H466" s="15" t="n">
        <f aca="false">G466*(1+IF(H$3&lt;=$O$2,$D466,$D466-($D466-$I$454)*MIN(H$3-$O$2,$Q$2)/$Q$2))</f>
        <v>1392.41048584429</v>
      </c>
      <c r="I466" s="15" t="n">
        <f aca="false">H466*(1+IF(I$3&lt;=$O$2,$D466,$D466-($D466-$I$454)*MIN(I$3-$O$2,$Q$2)/$Q$2))</f>
        <v>1566.12185260855</v>
      </c>
      <c r="J466" s="15" t="n">
        <f aca="false">I466*(1+IF(J$3&lt;=$O$2,$D466,$D466-($D466-$I$454)*MIN(J$3-$O$2,$Q$2)/$Q$2))</f>
        <v>1728.16016067562</v>
      </c>
      <c r="K466" s="15" t="n">
        <f aca="false">J466*(1+IF(K$3&lt;=$O$2,$D466,$D466-($D466-$I$454)*MIN(K$3-$O$2,$Q$2)/$Q$2))</f>
        <v>1870.1691566414</v>
      </c>
      <c r="L466" s="15" t="n">
        <f aca="false">K466*(1+IF(L$3&lt;=$O$2,$D466,$D466-($D466-$I$454)*MIN(L$3-$O$2,$Q$2)/$Q$2))</f>
        <v>1984.02943810669</v>
      </c>
      <c r="M466" s="15" t="n">
        <f aca="false">L466*(1+IF(M$3&lt;=$O$2,$D466,$D466-($D466-$I$454)*MIN(M$3-$O$2,$Q$2)/$Q$2))</f>
        <v>2062.57948859583</v>
      </c>
      <c r="N466" s="15" t="n">
        <f aca="false">M466*(1+IF(N$3&lt;=$O$2,$D466,$D466-($D466-$I$454)*MIN(N$3-$O$2,$Q$2)/$Q$2))</f>
        <v>2100.32469323713</v>
      </c>
      <c r="O466" s="15" t="n">
        <f aca="false">SUMPRODUCT(E466:N466,1/(1+$F$454)^$E$3:$N$3)*$E$2</f>
        <v>2243.9015340242</v>
      </c>
      <c r="P466" s="15" t="n">
        <f aca="false">N466*$E$2*(1+$I$454)/($F$454-$I$454)/(1+$F$454)^$N$3</f>
        <v>3366.70426932848</v>
      </c>
      <c r="Q466" s="15" t="n">
        <f aca="false">O466+P466</f>
        <v>5610.60580335269</v>
      </c>
      <c r="R466" s="15" t="n">
        <f aca="false">Q466-$G$2+$I$2</f>
        <v>5778.00580335269</v>
      </c>
      <c r="S466" s="42" t="n">
        <f aca="false">R466/$K$2</f>
        <v>164.194538316359</v>
      </c>
      <c r="T466" s="43" t="n">
        <f aca="false">S466-$M$2</f>
        <v>-0.340841052779609</v>
      </c>
    </row>
    <row r="467" customFormat="false" ht="15" hidden="false" customHeight="false" outlineLevel="0" collapsed="false">
      <c r="A467" s="5" t="n">
        <v>12</v>
      </c>
      <c r="B467" s="25" t="n">
        <f aca="false">IF(T466&gt;0,B466,D466)</f>
        <v>0.124755859375</v>
      </c>
      <c r="C467" s="25" t="n">
        <f aca="false">IF(T466&gt;0,D466,C466)</f>
        <v>0.12548828125</v>
      </c>
      <c r="D467" s="41" t="n">
        <f aca="false">(B467+C467)/2</f>
        <v>0.1251220703125</v>
      </c>
      <c r="E467" s="15" t="n">
        <f aca="false">$C$2*(1+IF(E$3&lt;=$O$2,$D467,$D467-($D467-$I$454)*MIN(E$3-$O$2,$Q$2)/$Q$2))</f>
        <v>978.889954833984</v>
      </c>
      <c r="F467" s="15" t="n">
        <f aca="false">E467*(1+IF(F$3&lt;=$O$2,$D467,$D467-($D467-$I$454)*MIN(F$3-$O$2,$Q$2)/$Q$2))</f>
        <v>1101.37069259092</v>
      </c>
      <c r="G467" s="15" t="n">
        <f aca="false">F467*(1+IF(G$3&lt;=$O$2,$D467,$D467-($D467-$I$454)*MIN(G$3-$O$2,$Q$2)/$Q$2))</f>
        <v>1239.17647382941</v>
      </c>
      <c r="H467" s="15" t="n">
        <f aca="false">G467*(1+IF(H$3&lt;=$O$2,$D467,$D467-($D467-$I$454)*MIN(H$3-$O$2,$Q$2)/$Q$2))</f>
        <v>1394.22479971749</v>
      </c>
      <c r="I467" s="15" t="n">
        <f aca="false">H467*(1+IF(I$3&lt;=$O$2,$D467,$D467-($D467-$I$454)*MIN(I$3-$O$2,$Q$2)/$Q$2))</f>
        <v>1568.67309313917</v>
      </c>
      <c r="J467" s="15" t="n">
        <f aca="false">I467*(1+IF(J$3&lt;=$O$2,$D467,$D467-($D467-$I$454)*MIN(J$3-$O$2,$Q$2)/$Q$2))</f>
        <v>1731.43493670573</v>
      </c>
      <c r="K467" s="15" t="n">
        <f aca="false">J467*(1+IF(K$3&lt;=$O$2,$D467,$D467-($D467-$I$454)*MIN(K$3-$O$2,$Q$2)/$Q$2))</f>
        <v>1874.09347477763</v>
      </c>
      <c r="L467" s="15" t="n">
        <f aca="false">K467*(1+IF(L$3&lt;=$O$2,$D467,$D467-($D467-$I$454)*MIN(L$3-$O$2,$Q$2)/$Q$2))</f>
        <v>1988.46720334001</v>
      </c>
      <c r="M467" s="15" t="n">
        <f aca="false">L467*(1+IF(M$3&lt;=$O$2,$D467,$D467-($D467-$I$454)*MIN(M$3-$O$2,$Q$2)/$Q$2))</f>
        <v>2067.33858984299</v>
      </c>
      <c r="N467" s="15" t="n">
        <f aca="false">M467*(1+IF(N$3&lt;=$O$2,$D467,$D467-($D467-$I$454)*MIN(N$3-$O$2,$Q$2)/$Q$2))</f>
        <v>2105.17088603712</v>
      </c>
      <c r="O467" s="15" t="n">
        <f aca="false">SUMPRODUCT(E467:N467,1/(1+$F$454)^$E$3:$N$3)*$E$2</f>
        <v>2247.48895271836</v>
      </c>
      <c r="P467" s="15" t="n">
        <f aca="false">N467*$E$2*(1+$I$454)/($F$454-$I$454)/(1+$F$454)^$N$3</f>
        <v>3374.47244824018</v>
      </c>
      <c r="Q467" s="15" t="n">
        <f aca="false">O467+P467</f>
        <v>5621.96140095854</v>
      </c>
      <c r="R467" s="15" t="n">
        <f aca="false">Q467-$G$2+$I$2</f>
        <v>5789.36140095854</v>
      </c>
      <c r="S467" s="42" t="n">
        <f aca="false">R467/$K$2</f>
        <v>164.517232195469</v>
      </c>
      <c r="T467" s="43" t="n">
        <f aca="false">S467-$M$2</f>
        <v>-0.018147173670485</v>
      </c>
    </row>
    <row r="468" customFormat="false" ht="15" hidden="false" customHeight="false" outlineLevel="0" collapsed="false">
      <c r="A468" s="5" t="n">
        <v>13</v>
      </c>
      <c r="B468" s="25" t="n">
        <f aca="false">IF(T467&gt;0,B467,D467)</f>
        <v>0.1251220703125</v>
      </c>
      <c r="C468" s="25" t="n">
        <f aca="false">IF(T467&gt;0,D467,C467)</f>
        <v>0.12548828125</v>
      </c>
      <c r="D468" s="41" t="n">
        <f aca="false">(B468+C468)/2</f>
        <v>0.12530517578125</v>
      </c>
      <c r="E468" s="15" t="n">
        <f aca="false">$C$2*(1+IF(E$3&lt;=$O$2,$D468,$D468-($D468-$I$454)*MIN(E$3-$O$2,$Q$2)/$Q$2))</f>
        <v>979.049262084961</v>
      </c>
      <c r="F468" s="15" t="n">
        <f aca="false">E468*(1+IF(F$3&lt;=$O$2,$D468,$D468-($D468-$I$454)*MIN(F$3-$O$2,$Q$2)/$Q$2))</f>
        <v>1101.72920196902</v>
      </c>
      <c r="G468" s="15" t="n">
        <f aca="false">F468*(1+IF(G$3&lt;=$O$2,$D468,$D468-($D468-$I$454)*MIN(G$3-$O$2,$Q$2)/$Q$2))</f>
        <v>1239.78157328508</v>
      </c>
      <c r="H468" s="15" t="n">
        <f aca="false">G468*(1+IF(H$3&lt;=$O$2,$D468,$D468-($D468-$I$454)*MIN(H$3-$O$2,$Q$2)/$Q$2))</f>
        <v>1395.13262125593</v>
      </c>
      <c r="I468" s="15" t="n">
        <f aca="false">H468*(1+IF(I$3&lt;=$O$2,$D468,$D468-($D468-$I$454)*MIN(I$3-$O$2,$Q$2)/$Q$2))</f>
        <v>1569.94995960056</v>
      </c>
      <c r="J468" s="15" t="n">
        <f aca="false">I468*(1+IF(J$3&lt;=$O$2,$D468,$D468-($D468-$I$454)*MIN(J$3-$O$2,$Q$2)/$Q$2))</f>
        <v>1733.07426097711</v>
      </c>
      <c r="K468" s="15" t="n">
        <f aca="false">J468*(1+IF(K$3&lt;=$O$2,$D468,$D468-($D468-$I$454)*MIN(K$3-$O$2,$Q$2)/$Q$2))</f>
        <v>1876.05826951568</v>
      </c>
      <c r="L468" s="15" t="n">
        <f aca="false">K468*(1+IF(L$3&lt;=$O$2,$D468,$D468-($D468-$I$454)*MIN(L$3-$O$2,$Q$2)/$Q$2))</f>
        <v>1990.68931380997</v>
      </c>
      <c r="M468" s="15" t="n">
        <f aca="false">L468*(1+IF(M$3&lt;=$O$2,$D468,$D468-($D468-$I$454)*MIN(M$3-$O$2,$Q$2)/$Q$2))</f>
        <v>2069.72174024271</v>
      </c>
      <c r="N468" s="15" t="n">
        <f aca="false">M468*(1+IF(N$3&lt;=$O$2,$D468,$D468-($D468-$I$454)*MIN(N$3-$O$2,$Q$2)/$Q$2))</f>
        <v>2107.59764808915</v>
      </c>
      <c r="O468" s="15" t="n">
        <f aca="false">SUMPRODUCT(E468:N468,1/(1+$F$454)^$E$3:$N$3)*$E$2</f>
        <v>2249.28477935528</v>
      </c>
      <c r="P468" s="15" t="n">
        <f aca="false">N468*$E$2*(1+$I$454)/($F$454-$I$454)/(1+$F$454)^$N$3</f>
        <v>3378.36241353341</v>
      </c>
      <c r="Q468" s="15" t="n">
        <f aca="false">O468+P468</f>
        <v>5627.6471928887</v>
      </c>
      <c r="R468" s="15" t="n">
        <f aca="false">Q468-$G$2+$I$2</f>
        <v>5795.0471928887</v>
      </c>
      <c r="S468" s="42" t="n">
        <f aca="false">R468/$K$2</f>
        <v>164.67880627703</v>
      </c>
      <c r="T468" s="43" t="n">
        <f aca="false">S468-$M$2</f>
        <v>0.143426907891268</v>
      </c>
    </row>
    <row r="469" customFormat="false" ht="15" hidden="false" customHeight="false" outlineLevel="0" collapsed="false">
      <c r="A469" s="5" t="n">
        <v>14</v>
      </c>
      <c r="B469" s="25" t="n">
        <f aca="false">IF(T468&gt;0,B468,D468)</f>
        <v>0.1251220703125</v>
      </c>
      <c r="C469" s="25" t="n">
        <f aca="false">IF(T468&gt;0,D468,C468)</f>
        <v>0.12530517578125</v>
      </c>
      <c r="D469" s="41" t="n">
        <f aca="false">(B469+C469)/2</f>
        <v>0.125213623046875</v>
      </c>
      <c r="E469" s="15" t="n">
        <f aca="false">$C$2*(1+IF(E$3&lt;=$O$2,$D469,$D469-($D469-$I$454)*MIN(E$3-$O$2,$Q$2)/$Q$2))</f>
        <v>978.969608459473</v>
      </c>
      <c r="F469" s="15" t="n">
        <f aca="false">E469*(1+IF(F$3&lt;=$O$2,$D469,$D469-($D469-$I$454)*MIN(F$3-$O$2,$Q$2)/$Q$2))</f>
        <v>1101.54993998746</v>
      </c>
      <c r="G469" s="15" t="n">
        <f aca="false">F469*(1+IF(G$3&lt;=$O$2,$D469,$D469-($D469-$I$454)*MIN(G$3-$O$2,$Q$2)/$Q$2))</f>
        <v>1239.47899894036</v>
      </c>
      <c r="H469" s="15" t="n">
        <f aca="false">G469*(1+IF(H$3&lt;=$O$2,$D469,$D469-($D469-$I$454)*MIN(H$3-$O$2,$Q$2)/$Q$2))</f>
        <v>1394.6786550882</v>
      </c>
      <c r="I469" s="15" t="n">
        <f aca="false">H469*(1+IF(I$3&lt;=$O$2,$D469,$D469-($D469-$I$454)*MIN(I$3-$O$2,$Q$2)/$Q$2))</f>
        <v>1569.31142247793</v>
      </c>
      <c r="J469" s="15" t="n">
        <f aca="false">I469*(1+IF(J$3&lt;=$O$2,$D469,$D469-($D469-$I$454)*MIN(J$3-$O$2,$Q$2)/$Q$2))</f>
        <v>1732.25443740205</v>
      </c>
      <c r="K469" s="15" t="n">
        <f aca="false">J469*(1+IF(K$3&lt;=$O$2,$D469,$D469-($D469-$I$454)*MIN(K$3-$O$2,$Q$2)/$Q$2))</f>
        <v>1875.07565237152</v>
      </c>
      <c r="L469" s="15" t="n">
        <f aca="false">K469*(1+IF(L$3&lt;=$O$2,$D469,$D469-($D469-$I$454)*MIN(L$3-$O$2,$Q$2)/$Q$2))</f>
        <v>1989.57798940272</v>
      </c>
      <c r="M469" s="15" t="n">
        <f aca="false">L469*(1+IF(M$3&lt;=$O$2,$D469,$D469-($D469-$I$454)*MIN(M$3-$O$2,$Q$2)/$Q$2))</f>
        <v>2068.52986484506</v>
      </c>
      <c r="N469" s="15" t="n">
        <f aca="false">M469*(1+IF(N$3&lt;=$O$2,$D469,$D469-($D469-$I$454)*MIN(N$3-$O$2,$Q$2)/$Q$2))</f>
        <v>2106.38396137173</v>
      </c>
      <c r="O469" s="15" t="n">
        <f aca="false">SUMPRODUCT(E469:N469,1/(1+$F$454)^$E$3:$N$3)*$E$2</f>
        <v>2248.38668948963</v>
      </c>
      <c r="P469" s="15" t="n">
        <f aca="false">N469*$E$2*(1+$I$454)/($F$454-$I$454)/(1+$F$454)^$N$3</f>
        <v>3376.41694088039</v>
      </c>
      <c r="Q469" s="15" t="n">
        <f aca="false">O469+P469</f>
        <v>5624.80363037001</v>
      </c>
      <c r="R469" s="15" t="n">
        <f aca="false">Q469-$G$2+$I$2</f>
        <v>5792.20363037001</v>
      </c>
      <c r="S469" s="42" t="n">
        <f aca="false">R469/$K$2</f>
        <v>164.598000294686</v>
      </c>
      <c r="T469" s="43" t="n">
        <f aca="false">S469-$M$2</f>
        <v>0.0626209255473498</v>
      </c>
    </row>
    <row r="470" customFormat="false" ht="15" hidden="false" customHeight="false" outlineLevel="0" collapsed="false">
      <c r="A470" s="5" t="n">
        <v>15</v>
      </c>
      <c r="B470" s="25" t="n">
        <f aca="false">IF(T469&gt;0,B469,D469)</f>
        <v>0.1251220703125</v>
      </c>
      <c r="C470" s="25" t="n">
        <f aca="false">IF(T469&gt;0,D469,C469)</f>
        <v>0.125213623046875</v>
      </c>
      <c r="D470" s="41" t="n">
        <f aca="false">(B470+C470)/2</f>
        <v>0.125167846679688</v>
      </c>
      <c r="E470" s="15" t="n">
        <f aca="false">$C$2*(1+IF(E$3&lt;=$O$2,$D470,$D470-($D470-$I$454)*MIN(E$3-$O$2,$Q$2)/$Q$2))</f>
        <v>978.929781646728</v>
      </c>
      <c r="F470" s="15" t="n">
        <f aca="false">E470*(1+IF(F$3&lt;=$O$2,$D470,$D470-($D470-$I$454)*MIN(F$3-$O$2,$Q$2)/$Q$2))</f>
        <v>1101.46031446607</v>
      </c>
      <c r="G470" s="15" t="n">
        <f aca="false">F470*(1+IF(G$3&lt;=$O$2,$D470,$D470-($D470-$I$454)*MIN(G$3-$O$2,$Q$2)/$Q$2))</f>
        <v>1239.32773023092</v>
      </c>
      <c r="H470" s="15" t="n">
        <f aca="false">G470*(1+IF(H$3&lt;=$O$2,$D470,$D470-($D470-$I$454)*MIN(H$3-$O$2,$Q$2)/$Q$2))</f>
        <v>1394.45171355434</v>
      </c>
      <c r="I470" s="15" t="n">
        <f aca="false">H470*(1+IF(I$3&lt;=$O$2,$D470,$D470-($D470-$I$454)*MIN(I$3-$O$2,$Q$2)/$Q$2))</f>
        <v>1568.99223183874</v>
      </c>
      <c r="J470" s="15" t="n">
        <f aca="false">I470*(1+IF(J$3&lt;=$O$2,$D470,$D470-($D470-$I$454)*MIN(J$3-$O$2,$Q$2)/$Q$2))</f>
        <v>1731.8446467004</v>
      </c>
      <c r="K470" s="15" t="n">
        <f aca="false">J470*(1+IF(K$3&lt;=$O$2,$D470,$D470-($D470-$I$454)*MIN(K$3-$O$2,$Q$2)/$Q$2))</f>
        <v>1874.58450864099</v>
      </c>
      <c r="L470" s="15" t="n">
        <f aca="false">K470*(1+IF(L$3&lt;=$O$2,$D470,$D470-($D470-$I$454)*MIN(L$3-$O$2,$Q$2)/$Q$2))</f>
        <v>1989.02252909214</v>
      </c>
      <c r="M470" s="15" t="n">
        <f aca="false">L470*(1+IF(M$3&lt;=$O$2,$D470,$D470-($D470-$I$454)*MIN(M$3-$O$2,$Q$2)/$Q$2))</f>
        <v>2067.93415231082</v>
      </c>
      <c r="N470" s="15" t="n">
        <f aca="false">M470*(1+IF(N$3&lt;=$O$2,$D470,$D470-($D470-$I$454)*MIN(N$3-$O$2,$Q$2)/$Q$2))</f>
        <v>2105.77734729811</v>
      </c>
      <c r="O470" s="15" t="n">
        <f aca="false">SUMPRODUCT(E470:N470,1/(1+$F$454)^$E$3:$N$3)*$E$2</f>
        <v>2247.93777697518</v>
      </c>
      <c r="P470" s="15" t="n">
        <f aca="false">N470*$E$2*(1+$I$454)/($F$454-$I$454)/(1+$F$454)^$N$3</f>
        <v>3375.44457208519</v>
      </c>
      <c r="Q470" s="15" t="n">
        <f aca="false">O470+P470</f>
        <v>5623.38234906036</v>
      </c>
      <c r="R470" s="15" t="n">
        <f aca="false">Q470-$G$2+$I$2</f>
        <v>5790.78234906036</v>
      </c>
      <c r="S470" s="42" t="n">
        <f aca="false">R470/$K$2</f>
        <v>164.557611510667</v>
      </c>
      <c r="T470" s="43" t="n">
        <f aca="false">S470-$M$2</f>
        <v>0.0222321415277236</v>
      </c>
    </row>
    <row r="471" customFormat="false" ht="15" hidden="false" customHeight="false" outlineLevel="0" collapsed="false">
      <c r="A471" s="5" t="n">
        <v>16</v>
      </c>
      <c r="B471" s="25" t="n">
        <f aca="false">IF(T470&gt;0,B470,D470)</f>
        <v>0.1251220703125</v>
      </c>
      <c r="C471" s="25" t="n">
        <f aca="false">IF(T470&gt;0,D470,C470)</f>
        <v>0.125167846679688</v>
      </c>
      <c r="D471" s="41" t="n">
        <f aca="false">(B471+C471)/2</f>
        <v>0.125144958496094</v>
      </c>
      <c r="E471" s="15" t="n">
        <f aca="false">$C$2*(1+IF(E$3&lt;=$O$2,$D471,$D471-($D471-$I$454)*MIN(E$3-$O$2,$Q$2)/$Q$2))</f>
        <v>978.909868240356</v>
      </c>
      <c r="F471" s="15" t="n">
        <f aca="false">E471*(1+IF(F$3&lt;=$O$2,$D471,$D471-($D471-$I$454)*MIN(F$3-$O$2,$Q$2)/$Q$2))</f>
        <v>1101.41550307271</v>
      </c>
      <c r="G471" s="15" t="n">
        <f aca="false">F471*(1+IF(G$3&lt;=$O$2,$D471,$D471-($D471-$I$454)*MIN(G$3-$O$2,$Q$2)/$Q$2))</f>
        <v>1239.2521004917</v>
      </c>
      <c r="H471" s="15" t="n">
        <f aca="false">G471*(1+IF(H$3&lt;=$O$2,$D471,$D471-($D471-$I$454)*MIN(H$3-$O$2,$Q$2)/$Q$2))</f>
        <v>1394.33825317393</v>
      </c>
      <c r="I471" s="15" t="n">
        <f aca="false">H471*(1+IF(I$3&lt;=$O$2,$D471,$D471-($D471-$I$454)*MIN(I$3-$O$2,$Q$2)/$Q$2))</f>
        <v>1568.8326559969</v>
      </c>
      <c r="J471" s="15" t="n">
        <f aca="false">I471*(1+IF(J$3&lt;=$O$2,$D471,$D471-($D471-$I$454)*MIN(J$3-$O$2,$Q$2)/$Q$2))</f>
        <v>1731.63978161549</v>
      </c>
      <c r="K471" s="15" t="n">
        <f aca="false">J471*(1+IF(K$3&lt;=$O$2,$D471,$D471-($D471-$I$454)*MIN(K$3-$O$2,$Q$2)/$Q$2))</f>
        <v>1874.33897797719</v>
      </c>
      <c r="L471" s="15" t="n">
        <f aca="false">K471*(1+IF(L$3&lt;=$O$2,$D471,$D471-($D471-$I$454)*MIN(L$3-$O$2,$Q$2)/$Q$2))</f>
        <v>1988.744849398</v>
      </c>
      <c r="M471" s="15" t="n">
        <f aca="false">L471*(1+IF(M$3&lt;=$O$2,$D471,$D471-($D471-$I$454)*MIN(M$3-$O$2,$Q$2)/$Q$2))</f>
        <v>2067.63635232063</v>
      </c>
      <c r="N471" s="15" t="n">
        <f aca="false">M471*(1+IF(N$3&lt;=$O$2,$D471,$D471-($D471-$I$454)*MIN(N$3-$O$2,$Q$2)/$Q$2))</f>
        <v>2105.4740975681</v>
      </c>
      <c r="O471" s="15" t="n">
        <f aca="false">SUMPRODUCT(E471:N471,1/(1+$F$454)^$E$3:$N$3)*$E$2</f>
        <v>2247.71335381556</v>
      </c>
      <c r="P471" s="15" t="n">
        <f aca="false">N471*$E$2*(1+$I$454)/($F$454-$I$454)/(1+$F$454)^$N$3</f>
        <v>3374.95847954722</v>
      </c>
      <c r="Q471" s="15" t="n">
        <f aca="false">O471+P471</f>
        <v>5622.67183336278</v>
      </c>
      <c r="R471" s="15" t="n">
        <f aca="false">Q471-$G$2+$I$2</f>
        <v>5790.07183336278</v>
      </c>
      <c r="S471" s="42" t="n">
        <f aca="false">R471/$K$2</f>
        <v>164.537420669587</v>
      </c>
      <c r="T471" s="43" t="n">
        <f aca="false">S471-$M$2</f>
        <v>0.00204130044843964</v>
      </c>
    </row>
    <row r="472" customFormat="false" ht="15" hidden="false" customHeight="false" outlineLevel="0" collapsed="false">
      <c r="A472" s="5" t="n">
        <v>17</v>
      </c>
      <c r="B472" s="25" t="n">
        <f aca="false">IF(T471&gt;0,B471,D471)</f>
        <v>0.1251220703125</v>
      </c>
      <c r="C472" s="25" t="n">
        <f aca="false">IF(T471&gt;0,D471,C471)</f>
        <v>0.125144958496094</v>
      </c>
      <c r="D472" s="41" t="n">
        <f aca="false">(B472+C472)/2</f>
        <v>0.125133514404297</v>
      </c>
      <c r="E472" s="15" t="n">
        <f aca="false">$C$2*(1+IF(E$3&lt;=$O$2,$D472,$D472-($D472-$I$454)*MIN(E$3-$O$2,$Q$2)/$Q$2))</f>
        <v>978.89991153717</v>
      </c>
      <c r="F472" s="15" t="n">
        <f aca="false">E472*(1+IF(F$3&lt;=$O$2,$D472,$D472-($D472-$I$454)*MIN(F$3-$O$2,$Q$2)/$Q$2))</f>
        <v>1101.39309771787</v>
      </c>
      <c r="G472" s="15" t="n">
        <f aca="false">F472*(1+IF(G$3&lt;=$O$2,$D472,$D472-($D472-$I$454)*MIN(G$3-$O$2,$Q$2)/$Q$2))</f>
        <v>1239.21428677594</v>
      </c>
      <c r="H472" s="15" t="n">
        <f aca="false">G472*(1+IF(H$3&lt;=$O$2,$D472,$D472-($D472-$I$454)*MIN(H$3-$O$2,$Q$2)/$Q$2))</f>
        <v>1394.28152558023</v>
      </c>
      <c r="I472" s="15" t="n">
        <f aca="false">H472*(1+IF(I$3&lt;=$O$2,$D472,$D472-($D472-$I$454)*MIN(I$3-$O$2,$Q$2)/$Q$2))</f>
        <v>1568.75287294507</v>
      </c>
      <c r="J472" s="15" t="n">
        <f aca="false">I472*(1+IF(J$3&lt;=$O$2,$D472,$D472-($D472-$I$454)*MIN(J$3-$O$2,$Q$2)/$Q$2))</f>
        <v>1731.53735663881</v>
      </c>
      <c r="K472" s="15" t="n">
        <f aca="false">J472*(1+IF(K$3&lt;=$O$2,$D472,$D472-($D472-$I$454)*MIN(K$3-$O$2,$Q$2)/$Q$2))</f>
        <v>1874.21622294453</v>
      </c>
      <c r="L472" s="15" t="n">
        <f aca="false">K472*(1+IF(L$3&lt;=$O$2,$D472,$D472-($D472-$I$454)*MIN(L$3-$O$2,$Q$2)/$Q$2))</f>
        <v>1988.6060221647</v>
      </c>
      <c r="M472" s="15" t="n">
        <f aca="false">L472*(1+IF(M$3&lt;=$O$2,$D472,$D472-($D472-$I$454)*MIN(M$3-$O$2,$Q$2)/$Q$2))</f>
        <v>2067.487466393</v>
      </c>
      <c r="N472" s="15" t="n">
        <f aca="false">M472*(1+IF(N$3&lt;=$O$2,$D472,$D472-($D472-$I$454)*MIN(N$3-$O$2,$Q$2)/$Q$2))</f>
        <v>2105.32248702799</v>
      </c>
      <c r="O472" s="15" t="n">
        <f aca="false">SUMPRODUCT(E472:N472,1/(1+$F$454)^$E$3:$N$3)*$E$2</f>
        <v>2247.60115050928</v>
      </c>
      <c r="P472" s="15" t="n">
        <f aca="false">N472*$E$2*(1+$I$454)/($F$454-$I$454)/(1+$F$454)^$N$3</f>
        <v>3374.71545624025</v>
      </c>
      <c r="Q472" s="15" t="n">
        <f aca="false">O472+P472</f>
        <v>5622.31660674953</v>
      </c>
      <c r="R472" s="15" t="n">
        <f aca="false">Q472-$G$2+$I$2</f>
        <v>5789.71660674953</v>
      </c>
      <c r="S472" s="42" t="n">
        <f aca="false">R472/$K$2</f>
        <v>164.527326136673</v>
      </c>
      <c r="T472" s="43" t="n">
        <f aca="false">S472-$M$2</f>
        <v>-0.0080532324657554</v>
      </c>
    </row>
    <row r="473" customFormat="false" ht="15" hidden="false" customHeight="false" outlineLevel="0" collapsed="false">
      <c r="A473" s="5" t="n">
        <v>18</v>
      </c>
      <c r="B473" s="25" t="n">
        <f aca="false">IF(T472&gt;0,B472,D472)</f>
        <v>0.125133514404297</v>
      </c>
      <c r="C473" s="25" t="n">
        <f aca="false">IF(T472&gt;0,D472,C472)</f>
        <v>0.125144958496094</v>
      </c>
      <c r="D473" s="41" t="n">
        <f aca="false">(B473+C473)/2</f>
        <v>0.125139236450195</v>
      </c>
      <c r="E473" s="15" t="n">
        <f aca="false">$C$2*(1+IF(E$3&lt;=$O$2,$D473,$D473-($D473-$I$454)*MIN(E$3-$O$2,$Q$2)/$Q$2))</f>
        <v>978.904889888763</v>
      </c>
      <c r="F473" s="15" t="n">
        <f aca="false">E473*(1+IF(F$3&lt;=$O$2,$D473,$D473-($D473-$I$454)*MIN(F$3-$O$2,$Q$2)/$Q$2))</f>
        <v>1101.40430036681</v>
      </c>
      <c r="G473" s="15" t="n">
        <f aca="false">F473*(1+IF(G$3&lt;=$O$2,$D473,$D473-($D473-$I$454)*MIN(G$3-$O$2,$Q$2)/$Q$2))</f>
        <v>1239.23319353767</v>
      </c>
      <c r="H473" s="15" t="n">
        <f aca="false">G473*(1+IF(H$3&lt;=$O$2,$D473,$D473-($D473-$I$454)*MIN(H$3-$O$2,$Q$2)/$Q$2))</f>
        <v>1394.30988916071</v>
      </c>
      <c r="I473" s="15" t="n">
        <f aca="false">H473*(1+IF(I$3&lt;=$O$2,$D473,$D473-($D473-$I$454)*MIN(I$3-$O$2,$Q$2)/$Q$2))</f>
        <v>1568.79276406524</v>
      </c>
      <c r="J473" s="15" t="n">
        <f aca="false">I473*(1+IF(J$3&lt;=$O$2,$D473,$D473-($D473-$I$454)*MIN(J$3-$O$2,$Q$2)/$Q$2))</f>
        <v>1731.58856849669</v>
      </c>
      <c r="K473" s="15" t="n">
        <f aca="false">J473*(1+IF(K$3&lt;=$O$2,$D473,$D473-($D473-$I$454)*MIN(K$3-$O$2,$Q$2)/$Q$2))</f>
        <v>1874.27759960262</v>
      </c>
      <c r="L473" s="15" t="n">
        <f aca="false">K473*(1+IF(L$3&lt;=$O$2,$D473,$D473-($D473-$I$454)*MIN(L$3-$O$2,$Q$2)/$Q$2))</f>
        <v>1988.67543473025</v>
      </c>
      <c r="M473" s="15" t="n">
        <f aca="false">L473*(1+IF(M$3&lt;=$O$2,$D473,$D473-($D473-$I$454)*MIN(M$3-$O$2,$Q$2)/$Q$2))</f>
        <v>2067.56190818458</v>
      </c>
      <c r="N473" s="15" t="n">
        <f aca="false">M473*(1+IF(N$3&lt;=$O$2,$D473,$D473-($D473-$I$454)*MIN(N$3-$O$2,$Q$2)/$Q$2))</f>
        <v>2105.39829110436</v>
      </c>
      <c r="O473" s="15" t="n">
        <f aca="false">SUMPRODUCT(E473:N473,1/(1+$F$454)^$E$3:$N$3)*$E$2</f>
        <v>2247.65725147299</v>
      </c>
      <c r="P473" s="15" t="n">
        <f aca="false">N473*$E$2*(1+$I$454)/($F$454-$I$454)/(1+$F$454)^$N$3</f>
        <v>3374.83696598032</v>
      </c>
      <c r="Q473" s="15" t="n">
        <f aca="false">O473+P473</f>
        <v>5622.49421745331</v>
      </c>
      <c r="R473" s="15" t="n">
        <f aca="false">Q473-$G$2+$I$2</f>
        <v>5789.89421745331</v>
      </c>
      <c r="S473" s="42" t="n">
        <f aca="false">R473/$K$2</f>
        <v>164.532373329165</v>
      </c>
      <c r="T473" s="43" t="n">
        <f aca="false">S473-$M$2</f>
        <v>-0.003006039974224</v>
      </c>
    </row>
    <row r="474" customFormat="false" ht="15" hidden="false" customHeight="false" outlineLevel="0" collapsed="false">
      <c r="A474" s="5" t="n">
        <v>19</v>
      </c>
      <c r="B474" s="25" t="n">
        <f aca="false">IF(T473&gt;0,B473,D473)</f>
        <v>0.125139236450195</v>
      </c>
      <c r="C474" s="25" t="n">
        <f aca="false">IF(T473&gt;0,D473,C473)</f>
        <v>0.125144958496094</v>
      </c>
      <c r="D474" s="41" t="n">
        <f aca="false">(B474+C474)/2</f>
        <v>0.125142097473145</v>
      </c>
      <c r="E474" s="15" t="n">
        <f aca="false">$C$2*(1+IF(E$3&lt;=$O$2,$D474,$D474-($D474-$I$454)*MIN(E$3-$O$2,$Q$2)/$Q$2))</f>
        <v>978.90737906456</v>
      </c>
      <c r="F474" s="15" t="n">
        <f aca="false">E474*(1+IF(F$3&lt;=$O$2,$D474,$D474-($D474-$I$454)*MIN(F$3-$O$2,$Q$2)/$Q$2))</f>
        <v>1101.40990171264</v>
      </c>
      <c r="G474" s="15" t="n">
        <f aca="false">F474*(1+IF(G$3&lt;=$O$2,$D474,$D474-($D474-$I$454)*MIN(G$3-$O$2,$Q$2)/$Q$2))</f>
        <v>1239.24264699065</v>
      </c>
      <c r="H474" s="15" t="n">
        <f aca="false">G474*(1+IF(H$3&lt;=$O$2,$D474,$D474-($D474-$I$454)*MIN(H$3-$O$2,$Q$2)/$Q$2))</f>
        <v>1394.32407111323</v>
      </c>
      <c r="I474" s="15" t="n">
        <f aca="false">H474*(1+IF(I$3&lt;=$O$2,$D474,$D474-($D474-$I$454)*MIN(I$3-$O$2,$Q$2)/$Q$2))</f>
        <v>1568.81270992963</v>
      </c>
      <c r="J474" s="15" t="n">
        <f aca="false">I474*(1+IF(J$3&lt;=$O$2,$D474,$D474-($D474-$I$454)*MIN(J$3-$O$2,$Q$2)/$Q$2))</f>
        <v>1731.61417489847</v>
      </c>
      <c r="K474" s="15" t="n">
        <f aca="false">J474*(1+IF(K$3&lt;=$O$2,$D474,$D474-($D474-$I$454)*MIN(K$3-$O$2,$Q$2)/$Q$2))</f>
        <v>1874.30828857534</v>
      </c>
      <c r="L474" s="15" t="n">
        <f aca="false">K474*(1+IF(L$3&lt;=$O$2,$D474,$D474-($D474-$I$454)*MIN(L$3-$O$2,$Q$2)/$Q$2))</f>
        <v>1988.71014180135</v>
      </c>
      <c r="M474" s="15" t="n">
        <f aca="false">L474*(1+IF(M$3&lt;=$O$2,$D474,$D474-($D474-$I$454)*MIN(M$3-$O$2,$Q$2)/$Q$2))</f>
        <v>2067.59912995955</v>
      </c>
      <c r="N474" s="15" t="n">
        <f aca="false">M474*(1+IF(N$3&lt;=$O$2,$D474,$D474-($D474-$I$454)*MIN(N$3-$O$2,$Q$2)/$Q$2))</f>
        <v>2105.43619403781</v>
      </c>
      <c r="O474" s="15" t="n">
        <f aca="false">SUMPRODUCT(E474:N474,1/(1+$F$454)^$E$3:$N$3)*$E$2</f>
        <v>2247.68530247191</v>
      </c>
      <c r="P474" s="15" t="n">
        <f aca="false">N474*$E$2*(1+$I$454)/($F$454-$I$454)/(1+$F$454)^$N$3</f>
        <v>3374.89772228541</v>
      </c>
      <c r="Q474" s="15" t="n">
        <f aca="false">O474+P474</f>
        <v>5622.58302475733</v>
      </c>
      <c r="R474" s="15" t="n">
        <f aca="false">Q474-$G$2+$I$2</f>
        <v>5789.98302475733</v>
      </c>
      <c r="S474" s="42" t="n">
        <f aca="false">R474/$K$2</f>
        <v>164.534896980885</v>
      </c>
      <c r="T474" s="43" t="n">
        <f aca="false">S474-$M$2</f>
        <v>-0.000482388254511079</v>
      </c>
    </row>
    <row r="475" customFormat="false" ht="15" hidden="false" customHeight="false" outlineLevel="0" collapsed="false">
      <c r="A475" s="5" t="n">
        <v>20</v>
      </c>
      <c r="B475" s="25" t="n">
        <f aca="false">IF(T474&gt;0,B474,D474)</f>
        <v>0.125142097473145</v>
      </c>
      <c r="C475" s="25" t="n">
        <f aca="false">IF(T474&gt;0,D474,C474)</f>
        <v>0.125144958496094</v>
      </c>
      <c r="D475" s="41" t="n">
        <f aca="false">(B475+C475)/2</f>
        <v>0.125143527984619</v>
      </c>
      <c r="E475" s="15" t="n">
        <f aca="false">$C$2*(1+IF(E$3&lt;=$O$2,$D475,$D475-($D475-$I$454)*MIN(E$3-$O$2,$Q$2)/$Q$2))</f>
        <v>978.908623652458</v>
      </c>
      <c r="F475" s="15" t="n">
        <f aca="false">E475*(1+IF(F$3&lt;=$O$2,$D475,$D475-($D475-$I$454)*MIN(F$3-$O$2,$Q$2)/$Q$2))</f>
        <v>1101.41270239089</v>
      </c>
      <c r="G475" s="15" t="n">
        <f aca="false">F475*(1+IF(G$3&lt;=$O$2,$D475,$D475-($D475-$I$454)*MIN(G$3-$O$2,$Q$2)/$Q$2))</f>
        <v>1239.24737373516</v>
      </c>
      <c r="H475" s="15" t="n">
        <f aca="false">G475*(1+IF(H$3&lt;=$O$2,$D475,$D475-($D475-$I$454)*MIN(H$3-$O$2,$Q$2)/$Q$2))</f>
        <v>1394.33116213006</v>
      </c>
      <c r="I475" s="15" t="n">
        <f aca="false">H475*(1+IF(I$3&lt;=$O$2,$D475,$D475-($D475-$I$454)*MIN(I$3-$O$2,$Q$2)/$Q$2))</f>
        <v>1568.82268293791</v>
      </c>
      <c r="J475" s="15" t="n">
        <f aca="false">I475*(1+IF(J$3&lt;=$O$2,$D475,$D475-($D475-$I$454)*MIN(J$3-$O$2,$Q$2)/$Q$2))</f>
        <v>1731.62697821758</v>
      </c>
      <c r="K475" s="15" t="n">
        <f aca="false">J475*(1+IF(K$3&lt;=$O$2,$D475,$D475-($D475-$I$454)*MIN(K$3-$O$2,$Q$2)/$Q$2))</f>
        <v>1874.32363322262</v>
      </c>
      <c r="L475" s="15" t="n">
        <f aca="false">K475*(1+IF(L$3&lt;=$O$2,$D475,$D475-($D475-$I$454)*MIN(L$3-$O$2,$Q$2)/$Q$2))</f>
        <v>1988.72749553398</v>
      </c>
      <c r="M475" s="15" t="n">
        <f aca="false">L475*(1+IF(M$3&lt;=$O$2,$D475,$D475-($D475-$I$454)*MIN(M$3-$O$2,$Q$2)/$Q$2))</f>
        <v>2067.61774106682</v>
      </c>
      <c r="N475" s="15" t="n">
        <f aca="false">M475*(1+IF(N$3&lt;=$O$2,$D475,$D475-($D475-$I$454)*MIN(N$3-$O$2,$Q$2)/$Q$2))</f>
        <v>2105.45514572835</v>
      </c>
      <c r="O475" s="15" t="n">
        <f aca="false">SUMPRODUCT(E475:N475,1/(1+$F$454)^$E$3:$N$3)*$E$2</f>
        <v>2247.69932810065</v>
      </c>
      <c r="P475" s="15" t="n">
        <f aca="false">N475*$E$2*(1+$I$454)/($F$454-$I$454)/(1+$F$454)^$N$3</f>
        <v>3374.92810079672</v>
      </c>
      <c r="Q475" s="15" t="n">
        <f aca="false">O475+P475</f>
        <v>5622.62742889737</v>
      </c>
      <c r="R475" s="15" t="n">
        <f aca="false">Q475-$G$2+$I$2</f>
        <v>5790.02742889737</v>
      </c>
      <c r="S475" s="42" t="n">
        <f aca="false">R475/$K$2</f>
        <v>164.536158820613</v>
      </c>
      <c r="T475" s="43" t="n">
        <f aca="false">S475-$M$2</f>
        <v>0.000779451473988502</v>
      </c>
    </row>
    <row r="476" customFormat="false" ht="15" hidden="false" customHeight="false" outlineLevel="0" collapsed="false">
      <c r="A476" s="5" t="n">
        <v>21</v>
      </c>
      <c r="B476" s="25" t="n">
        <f aca="false">IF(T475&gt;0,B475,D475)</f>
        <v>0.125142097473145</v>
      </c>
      <c r="C476" s="25" t="n">
        <f aca="false">IF(T475&gt;0,D475,C475)</f>
        <v>0.125143527984619</v>
      </c>
      <c r="D476" s="41" t="n">
        <f aca="false">(B476+C476)/2</f>
        <v>0.125142812728882</v>
      </c>
      <c r="E476" s="15" t="n">
        <f aca="false">$C$2*(1+IF(E$3&lt;=$O$2,$D476,$D476-($D476-$I$454)*MIN(E$3-$O$2,$Q$2)/$Q$2))</f>
        <v>978.908001358509</v>
      </c>
      <c r="F476" s="15" t="n">
        <f aca="false">E476*(1+IF(F$3&lt;=$O$2,$D476,$D476-($D476-$I$454)*MIN(F$3-$O$2,$Q$2)/$Q$2))</f>
        <v>1101.41130205132</v>
      </c>
      <c r="G476" s="15" t="n">
        <f aca="false">F476*(1+IF(G$3&lt;=$O$2,$D476,$D476-($D476-$I$454)*MIN(G$3-$O$2,$Q$2)/$Q$2))</f>
        <v>1239.2450103614</v>
      </c>
      <c r="H476" s="15" t="n">
        <f aca="false">G476*(1+IF(H$3&lt;=$O$2,$D476,$D476-($D476-$I$454)*MIN(H$3-$O$2,$Q$2)/$Q$2))</f>
        <v>1394.32761661826</v>
      </c>
      <c r="I476" s="15" t="n">
        <f aca="false">H476*(1+IF(I$3&lt;=$O$2,$D476,$D476-($D476-$I$454)*MIN(I$3-$O$2,$Q$2)/$Q$2))</f>
        <v>1568.81769642743</v>
      </c>
      <c r="J476" s="15" t="n">
        <f aca="false">I476*(1+IF(J$3&lt;=$O$2,$D476,$D476-($D476-$I$454)*MIN(J$3-$O$2,$Q$2)/$Q$2))</f>
        <v>1731.62057654817</v>
      </c>
      <c r="K476" s="15" t="n">
        <f aca="false">J476*(1+IF(K$3&lt;=$O$2,$D476,$D476-($D476-$I$454)*MIN(K$3-$O$2,$Q$2)/$Q$2))</f>
        <v>1874.31596088557</v>
      </c>
      <c r="L476" s="15" t="n">
        <f aca="false">K476*(1+IF(L$3&lt;=$O$2,$D476,$D476-($D476-$I$454)*MIN(L$3-$O$2,$Q$2)/$Q$2))</f>
        <v>1988.71881865124</v>
      </c>
      <c r="M476" s="15" t="n">
        <f aca="false">L476*(1+IF(M$3&lt;=$O$2,$D476,$D476-($D476-$I$454)*MIN(M$3-$O$2,$Q$2)/$Q$2))</f>
        <v>2067.60843549487</v>
      </c>
      <c r="N476" s="15" t="n">
        <f aca="false">M476*(1+IF(N$3&lt;=$O$2,$D476,$D476-($D476-$I$454)*MIN(N$3-$O$2,$Q$2)/$Q$2))</f>
        <v>2105.44566986442</v>
      </c>
      <c r="O476" s="15" t="n">
        <f aca="false">SUMPRODUCT(E476:N476,1/(1+$F$454)^$E$3:$N$3)*$E$2</f>
        <v>2247.69231527551</v>
      </c>
      <c r="P476" s="15" t="n">
        <f aca="false">N476*$E$2*(1+$I$454)/($F$454-$I$454)/(1+$F$454)^$N$3</f>
        <v>3374.91291151117</v>
      </c>
      <c r="Q476" s="15" t="n">
        <f aca="false">O476+P476</f>
        <v>5622.60522678668</v>
      </c>
      <c r="R476" s="15" t="n">
        <f aca="false">Q476-$G$2+$I$2</f>
        <v>5790.00522678668</v>
      </c>
      <c r="S476" s="42" t="n">
        <f aca="false">R476/$K$2</f>
        <v>164.535527899593</v>
      </c>
      <c r="T476" s="43" t="n">
        <f aca="false">S476-$M$2</f>
        <v>0.000148530453969897</v>
      </c>
    </row>
    <row r="477" customFormat="false" ht="15" hidden="false" customHeight="false" outlineLevel="0" collapsed="false">
      <c r="A477" s="5" t="n">
        <v>22</v>
      </c>
      <c r="B477" s="25" t="n">
        <f aca="false">IF(T476&gt;0,B476,D476)</f>
        <v>0.125142097473145</v>
      </c>
      <c r="C477" s="25" t="n">
        <f aca="false">IF(T476&gt;0,D476,C476)</f>
        <v>0.125142812728882</v>
      </c>
      <c r="D477" s="41" t="n">
        <f aca="false">(B477+C477)/2</f>
        <v>0.125142455101013</v>
      </c>
      <c r="E477" s="15" t="n">
        <f aca="false">$C$2*(1+IF(E$3&lt;=$O$2,$D477,$D477-($D477-$I$454)*MIN(E$3-$O$2,$Q$2)/$Q$2))</f>
        <v>978.907690211535</v>
      </c>
      <c r="F477" s="15" t="n">
        <f aca="false">E477*(1+IF(F$3&lt;=$O$2,$D477,$D477-($D477-$I$454)*MIN(F$3-$O$2,$Q$2)/$Q$2))</f>
        <v>1101.41060188187</v>
      </c>
      <c r="G477" s="15" t="n">
        <f aca="false">F477*(1+IF(G$3&lt;=$O$2,$D477,$D477-($D477-$I$454)*MIN(G$3-$O$2,$Q$2)/$Q$2))</f>
        <v>1239.24382867565</v>
      </c>
      <c r="H477" s="15" t="n">
        <f aca="false">G477*(1+IF(H$3&lt;=$O$2,$D477,$D477-($D477-$I$454)*MIN(H$3-$O$2,$Q$2)/$Q$2))</f>
        <v>1394.3258438649</v>
      </c>
      <c r="I477" s="15" t="n">
        <f aca="false">H477*(1+IF(I$3&lt;=$O$2,$D477,$D477-($D477-$I$454)*MIN(I$3-$O$2,$Q$2)/$Q$2))</f>
        <v>1568.81520317695</v>
      </c>
      <c r="J477" s="15" t="n">
        <f aca="false">I477*(1+IF(J$3&lt;=$O$2,$D477,$D477-($D477-$I$454)*MIN(J$3-$O$2,$Q$2)/$Q$2))</f>
        <v>1731.61737572086</v>
      </c>
      <c r="K477" s="15" t="n">
        <f aca="false">J477*(1+IF(K$3&lt;=$O$2,$D477,$D477-($D477-$I$454)*MIN(K$3-$O$2,$Q$2)/$Q$2))</f>
        <v>1874.3121247271</v>
      </c>
      <c r="L477" s="15" t="n">
        <f aca="false">K477*(1+IF(L$3&lt;=$O$2,$D477,$D477-($D477-$I$454)*MIN(L$3-$O$2,$Q$2)/$Q$2))</f>
        <v>1988.71448022219</v>
      </c>
      <c r="M477" s="15" t="n">
        <f aca="false">L477*(1+IF(M$3&lt;=$O$2,$D477,$D477-($D477-$I$454)*MIN(M$3-$O$2,$Q$2)/$Q$2))</f>
        <v>2067.60378272263</v>
      </c>
      <c r="N477" s="15" t="n">
        <f aca="false">M477*(1+IF(N$3&lt;=$O$2,$D477,$D477-($D477-$I$454)*MIN(N$3-$O$2,$Q$2)/$Q$2))</f>
        <v>2105.44093194645</v>
      </c>
      <c r="O477" s="15" t="n">
        <f aca="false">SUMPRODUCT(E477:N477,1/(1+$F$454)^$E$3:$N$3)*$E$2</f>
        <v>2247.68880887102</v>
      </c>
      <c r="P477" s="15" t="n">
        <f aca="false">N477*$E$2*(1+$I$454)/($F$454-$I$454)/(1+$F$454)^$N$3</f>
        <v>3374.90531689081</v>
      </c>
      <c r="Q477" s="15" t="n">
        <f aca="false">O477+P477</f>
        <v>5622.59412576183</v>
      </c>
      <c r="R477" s="15" t="n">
        <f aca="false">Q477-$G$2+$I$2</f>
        <v>5789.99412576183</v>
      </c>
      <c r="S477" s="42" t="n">
        <f aca="false">R477/$K$2</f>
        <v>164.53521243995</v>
      </c>
      <c r="T477" s="43" t="n">
        <f aca="false">S477-$M$2</f>
        <v>-0.0001669291892199</v>
      </c>
    </row>
    <row r="478" customFormat="false" ht="15" hidden="false" customHeight="false" outlineLevel="0" collapsed="false">
      <c r="A478" s="5" t="n">
        <v>23</v>
      </c>
      <c r="B478" s="25" t="n">
        <f aca="false">IF(T477&gt;0,B477,D477)</f>
        <v>0.125142455101013</v>
      </c>
      <c r="C478" s="25" t="n">
        <f aca="false">IF(T477&gt;0,D477,C477)</f>
        <v>0.125142812728882</v>
      </c>
      <c r="D478" s="41" t="n">
        <f aca="false">(B478+C478)/2</f>
        <v>0.125142633914948</v>
      </c>
      <c r="E478" s="15" t="n">
        <f aca="false">$C$2*(1+IF(E$3&lt;=$O$2,$D478,$D478-($D478-$I$454)*MIN(E$3-$O$2,$Q$2)/$Q$2))</f>
        <v>978.907845785022</v>
      </c>
      <c r="F478" s="15" t="n">
        <f aca="false">E478*(1+IF(F$3&lt;=$O$2,$D478,$D478-($D478-$I$454)*MIN(F$3-$O$2,$Q$2)/$Q$2))</f>
        <v>1101.41095196657</v>
      </c>
      <c r="G478" s="15" t="n">
        <f aca="false">F478*(1+IF(G$3&lt;=$O$2,$D478,$D478-($D478-$I$454)*MIN(G$3-$O$2,$Q$2)/$Q$2))</f>
        <v>1239.24441951843</v>
      </c>
      <c r="H478" s="15" t="n">
        <f aca="false">G478*(1+IF(H$3&lt;=$O$2,$D478,$D478-($D478-$I$454)*MIN(H$3-$O$2,$Q$2)/$Q$2))</f>
        <v>1394.32673024137</v>
      </c>
      <c r="I478" s="15" t="n">
        <f aca="false">H478*(1+IF(I$3&lt;=$O$2,$D478,$D478-($D478-$I$454)*MIN(I$3-$O$2,$Q$2)/$Q$2))</f>
        <v>1568.81644980179</v>
      </c>
      <c r="J478" s="15" t="n">
        <f aca="false">I478*(1+IF(J$3&lt;=$O$2,$D478,$D478-($D478-$I$454)*MIN(J$3-$O$2,$Q$2)/$Q$2))</f>
        <v>1731.6189761339</v>
      </c>
      <c r="K478" s="15" t="n">
        <f aca="false">J478*(1+IF(K$3&lt;=$O$2,$D478,$D478-($D478-$I$454)*MIN(K$3-$O$2,$Q$2)/$Q$2))</f>
        <v>1874.3140428055</v>
      </c>
      <c r="L478" s="15" t="n">
        <f aca="false">K478*(1+IF(L$3&lt;=$O$2,$D478,$D478-($D478-$I$454)*MIN(L$3-$O$2,$Q$2)/$Q$2))</f>
        <v>1988.71664943569</v>
      </c>
      <c r="M478" s="15" t="n">
        <f aca="false">L478*(1+IF(M$3&lt;=$O$2,$D478,$D478-($D478-$I$454)*MIN(M$3-$O$2,$Q$2)/$Q$2))</f>
        <v>2067.6061091076</v>
      </c>
      <c r="N478" s="15" t="n">
        <f aca="false">M478*(1+IF(N$3&lt;=$O$2,$D478,$D478-($D478-$I$454)*MIN(N$3-$O$2,$Q$2)/$Q$2))</f>
        <v>2105.44330090427</v>
      </c>
      <c r="O478" s="15" t="n">
        <f aca="false">SUMPRODUCT(E478:N478,1/(1+$F$454)^$E$3:$N$3)*$E$2</f>
        <v>2247.69056207259</v>
      </c>
      <c r="P478" s="15" t="n">
        <f aca="false">N478*$E$2*(1+$I$454)/($F$454-$I$454)/(1+$F$454)^$N$3</f>
        <v>3374.90911419912</v>
      </c>
      <c r="Q478" s="15" t="n">
        <f aca="false">O478+P478</f>
        <v>5622.59967627171</v>
      </c>
      <c r="R478" s="15" t="n">
        <f aca="false">Q478-$G$2+$I$2</f>
        <v>5789.99967627171</v>
      </c>
      <c r="S478" s="42" t="n">
        <f aca="false">R478/$K$2</f>
        <v>164.535370169699</v>
      </c>
      <c r="T478" s="43" t="n">
        <f aca="false">S478-$M$2</f>
        <v>-9.1994398303541E-006</v>
      </c>
    </row>
    <row r="479" customFormat="false" ht="15" hidden="false" customHeight="false" outlineLevel="0" collapsed="false">
      <c r="A479" s="5" t="n">
        <v>24</v>
      </c>
      <c r="B479" s="25" t="n">
        <f aca="false">IF(T478&gt;0,B478,D478)</f>
        <v>0.125142633914948</v>
      </c>
      <c r="C479" s="25" t="n">
        <f aca="false">IF(T478&gt;0,D478,C478)</f>
        <v>0.125142812728882</v>
      </c>
      <c r="D479" s="41" t="n">
        <f aca="false">(B479+C479)/2</f>
        <v>0.125142723321915</v>
      </c>
      <c r="E479" s="15" t="n">
        <f aca="false">$C$2*(1+IF(E$3&lt;=$O$2,$D479,$D479-($D479-$I$454)*MIN(E$3-$O$2,$Q$2)/$Q$2))</f>
        <v>978.907923571765</v>
      </c>
      <c r="F479" s="15" t="n">
        <f aca="false">E479*(1+IF(F$3&lt;=$O$2,$D479,$D479-($D479-$I$454)*MIN(F$3-$O$2,$Q$2)/$Q$2))</f>
        <v>1101.41112700894</v>
      </c>
      <c r="G479" s="15" t="n">
        <f aca="false">F479*(1+IF(G$3&lt;=$O$2,$D479,$D479-($D479-$I$454)*MIN(G$3-$O$2,$Q$2)/$Q$2))</f>
        <v>1239.24471493989</v>
      </c>
      <c r="H479" s="15" t="n">
        <f aca="false">G479*(1+IF(H$3&lt;=$O$2,$D479,$D479-($D479-$I$454)*MIN(H$3-$O$2,$Q$2)/$Q$2))</f>
        <v>1394.32717342976</v>
      </c>
      <c r="I479" s="15" t="n">
        <f aca="false">H479*(1+IF(I$3&lt;=$O$2,$D479,$D479-($D479-$I$454)*MIN(I$3-$O$2,$Q$2)/$Q$2))</f>
        <v>1568.81707311451</v>
      </c>
      <c r="J479" s="15" t="n">
        <f aca="false">I479*(1+IF(J$3&lt;=$O$2,$D479,$D479-($D479-$I$454)*MIN(J$3-$O$2,$Q$2)/$Q$2))</f>
        <v>1731.61977634088</v>
      </c>
      <c r="K479" s="15" t="n">
        <f aca="false">J479*(1+IF(K$3&lt;=$O$2,$D479,$D479-($D479-$I$454)*MIN(K$3-$O$2,$Q$2)/$Q$2))</f>
        <v>1874.31500184533</v>
      </c>
      <c r="L479" s="15" t="n">
        <f aca="false">K479*(1+IF(L$3&lt;=$O$2,$D479,$D479-($D479-$I$454)*MIN(L$3-$O$2,$Q$2)/$Q$2))</f>
        <v>1988.71773404321</v>
      </c>
      <c r="M479" s="15" t="n">
        <f aca="false">L479*(1+IF(M$3&lt;=$O$2,$D479,$D479-($D479-$I$454)*MIN(M$3-$O$2,$Q$2)/$Q$2))</f>
        <v>2067.60727230095</v>
      </c>
      <c r="N479" s="15" t="n">
        <f aca="false">M479*(1+IF(N$3&lt;=$O$2,$D479,$D479-($D479-$I$454)*MIN(N$3-$O$2,$Q$2)/$Q$2))</f>
        <v>2105.44448538406</v>
      </c>
      <c r="O479" s="15" t="n">
        <f aca="false">SUMPRODUCT(E479:N479,1/(1+$F$454)^$E$3:$N$3)*$E$2</f>
        <v>2247.69143867388</v>
      </c>
      <c r="P479" s="15" t="n">
        <f aca="false">N479*$E$2*(1+$I$454)/($F$454-$I$454)/(1+$F$454)^$N$3</f>
        <v>3374.91101285468</v>
      </c>
      <c r="Q479" s="15" t="n">
        <f aca="false">O479+P479</f>
        <v>5622.60245152856</v>
      </c>
      <c r="R479" s="15" t="n">
        <f aca="false">Q479-$G$2+$I$2</f>
        <v>5790.00245152856</v>
      </c>
      <c r="S479" s="42" t="n">
        <f aca="false">R479/$K$2</f>
        <v>164.535449034628</v>
      </c>
      <c r="T479" s="43" t="n">
        <f aca="false">S479-$M$2</f>
        <v>6.96654890077753E-005</v>
      </c>
    </row>
    <row r="481" customFormat="false" ht="15" hidden="false" customHeight="false" outlineLevel="0" collapsed="false">
      <c r="A481" s="38" t="s">
        <v>204</v>
      </c>
      <c r="E481" s="5" t="s">
        <v>12</v>
      </c>
      <c r="F481" s="12" t="n">
        <f aca="false">Sensitivity!$B$13</f>
        <v>0.0825075820986394</v>
      </c>
      <c r="G481" s="5" t="s">
        <v>13</v>
      </c>
      <c r="I481" s="12" t="n">
        <f aca="false">Sensitivity!$D$9</f>
        <v>0.0233</v>
      </c>
    </row>
    <row r="482" customFormat="false" ht="23.85" hidden="false" customHeight="false" outlineLevel="0" collapsed="false">
      <c r="A482" s="38" t="s">
        <v>168</v>
      </c>
      <c r="B482" s="28" t="s">
        <v>169</v>
      </c>
      <c r="C482" s="28" t="s">
        <v>170</v>
      </c>
      <c r="D482" s="28" t="s">
        <v>171</v>
      </c>
      <c r="E482" s="28" t="s">
        <v>172</v>
      </c>
      <c r="F482" s="28" t="s">
        <v>173</v>
      </c>
      <c r="G482" s="28" t="s">
        <v>174</v>
      </c>
      <c r="H482" s="28" t="s">
        <v>175</v>
      </c>
      <c r="I482" s="28" t="s">
        <v>176</v>
      </c>
      <c r="J482" s="28" t="s">
        <v>177</v>
      </c>
      <c r="K482" s="28" t="s">
        <v>178</v>
      </c>
      <c r="L482" s="28" t="s">
        <v>179</v>
      </c>
      <c r="M482" s="28" t="s">
        <v>180</v>
      </c>
      <c r="N482" s="28" t="s">
        <v>181</v>
      </c>
      <c r="O482" s="28" t="s">
        <v>182</v>
      </c>
      <c r="P482" s="28" t="s">
        <v>183</v>
      </c>
      <c r="Q482" s="28" t="s">
        <v>184</v>
      </c>
      <c r="R482" s="28" t="s">
        <v>185</v>
      </c>
      <c r="S482" s="28" t="s">
        <v>186</v>
      </c>
      <c r="T482" s="28" t="s">
        <v>187</v>
      </c>
    </row>
    <row r="483" customFormat="false" ht="15" hidden="false" customHeight="false" outlineLevel="0" collapsed="false">
      <c r="A483" s="5" t="n">
        <v>1</v>
      </c>
      <c r="B483" s="24" t="n">
        <v>-0.5</v>
      </c>
      <c r="C483" s="24" t="n">
        <v>1</v>
      </c>
      <c r="D483" s="41" t="n">
        <f aca="false">(B483+C483)/2</f>
        <v>0.25</v>
      </c>
      <c r="E483" s="15" t="n">
        <f aca="false">$C$2*(1+IF(E$3&lt;=$O$2,$D483,$D483-($D483-$I$481)*MIN(E$3-$O$2,$Q$2)/$Q$2))</f>
        <v>1087.5375</v>
      </c>
      <c r="F483" s="15" t="n">
        <f aca="false">E483*(1+IF(F$3&lt;=$O$2,$D483,$D483-($D483-$I$481)*MIN(F$3-$O$2,$Q$2)/$Q$2))</f>
        <v>1359.421875</v>
      </c>
      <c r="G483" s="15" t="n">
        <f aca="false">F483*(1+IF(G$3&lt;=$O$2,$D483,$D483-($D483-$I$481)*MIN(G$3-$O$2,$Q$2)/$Q$2))</f>
        <v>1699.27734375</v>
      </c>
      <c r="H483" s="15" t="n">
        <f aca="false">G483*(1+IF(H$3&lt;=$O$2,$D483,$D483-($D483-$I$481)*MIN(H$3-$O$2,$Q$2)/$Q$2))</f>
        <v>2124.0966796875</v>
      </c>
      <c r="I483" s="15" t="n">
        <f aca="false">H483*(1+IF(I$3&lt;=$O$2,$D483,$D483-($D483-$I$481)*MIN(I$3-$O$2,$Q$2)/$Q$2))</f>
        <v>2655.12084960938</v>
      </c>
      <c r="J483" s="15" t="n">
        <f aca="false">I483*(1+IF(J$3&lt;=$O$2,$D483,$D483-($D483-$I$481)*MIN(J$3-$O$2,$Q$2)/$Q$2))</f>
        <v>3198.51788269043</v>
      </c>
      <c r="K483" s="15" t="n">
        <f aca="false">J483*(1+IF(K$3&lt;=$O$2,$D483,$D483-($D483-$I$481)*MIN(K$3-$O$2,$Q$2)/$Q$2))</f>
        <v>3708.10575176067</v>
      </c>
      <c r="L483" s="15" t="n">
        <f aca="false">K483*(1+IF(L$3&lt;=$O$2,$D483,$D483-($D483-$I$481)*MIN(L$3-$O$2,$Q$2)/$Q$2))</f>
        <v>4130.75564534635</v>
      </c>
      <c r="M483" s="15" t="n">
        <f aca="false">L483*(1+IF(M$3&lt;=$O$2,$D483,$D483-($D483-$I$481)*MIN(M$3-$O$2,$Q$2)/$Q$2))</f>
        <v>4414.29071284292</v>
      </c>
      <c r="N483" s="15" t="n">
        <f aca="false">M483*(1+IF(N$3&lt;=$O$2,$D483,$D483-($D483-$I$481)*MIN(N$3-$O$2,$Q$2)/$Q$2))</f>
        <v>4517.14368645216</v>
      </c>
      <c r="O483" s="15" t="n">
        <f aca="false">SUMPRODUCT(E483:N483,1/(1+$F$481)^$E$3:$N$3)*$E$2</f>
        <v>3875.06022063293</v>
      </c>
      <c r="P483" s="15" t="n">
        <f aca="false">N483*$E$2*(1+$I$481)/($F$481-$I$481)/(1+$F$481)^$N$3</f>
        <v>7890.7567761502</v>
      </c>
      <c r="Q483" s="15" t="n">
        <f aca="false">O483+P483</f>
        <v>11765.8169967831</v>
      </c>
      <c r="R483" s="15" t="n">
        <f aca="false">Q483-$G$2+$I$2</f>
        <v>11933.2169967831</v>
      </c>
      <c r="S483" s="42" t="n">
        <f aca="false">R483/$K$2</f>
        <v>339.108184051808</v>
      </c>
      <c r="T483" s="43" t="n">
        <f aca="false">S483-$M$2</f>
        <v>174.572804682669</v>
      </c>
    </row>
    <row r="484" customFormat="false" ht="15" hidden="false" customHeight="false" outlineLevel="0" collapsed="false">
      <c r="A484" s="5" t="n">
        <v>2</v>
      </c>
      <c r="B484" s="25" t="n">
        <f aca="false">IF(T483&gt;0,B483,D483)</f>
        <v>-0.5</v>
      </c>
      <c r="C484" s="25" t="n">
        <f aca="false">IF(T483&gt;0,D483,C483)</f>
        <v>0.25</v>
      </c>
      <c r="D484" s="41" t="n">
        <f aca="false">(B484+C484)/2</f>
        <v>-0.125</v>
      </c>
      <c r="E484" s="15" t="n">
        <f aca="false">$C$2*(1+IF(E$3&lt;=$O$2,$D484,$D484-($D484-$I$481)*MIN(E$3-$O$2,$Q$2)/$Q$2))</f>
        <v>761.27625</v>
      </c>
      <c r="F484" s="15" t="n">
        <f aca="false">E484*(1+IF(F$3&lt;=$O$2,$D484,$D484-($D484-$I$481)*MIN(F$3-$O$2,$Q$2)/$Q$2))</f>
        <v>666.11671875</v>
      </c>
      <c r="G484" s="15" t="n">
        <f aca="false">F484*(1+IF(G$3&lt;=$O$2,$D484,$D484-($D484-$I$481)*MIN(G$3-$O$2,$Q$2)/$Q$2))</f>
        <v>582.85212890625</v>
      </c>
      <c r="H484" s="15" t="n">
        <f aca="false">G484*(1+IF(H$3&lt;=$O$2,$D484,$D484-($D484-$I$481)*MIN(H$3-$O$2,$Q$2)/$Q$2))</f>
        <v>509.995612792969</v>
      </c>
      <c r="I484" s="15" t="n">
        <f aca="false">H484*(1+IF(I$3&lt;=$O$2,$D484,$D484-($D484-$I$481)*MIN(I$3-$O$2,$Q$2)/$Q$2))</f>
        <v>446.246161193848</v>
      </c>
      <c r="J484" s="15" t="n">
        <f aca="false">I484*(1+IF(J$3&lt;=$O$2,$D484,$D484-($D484-$I$481)*MIN(J$3-$O$2,$Q$2)/$Q$2))</f>
        <v>403.701052185626</v>
      </c>
      <c r="K484" s="15" t="n">
        <f aca="false">J484*(1+IF(K$3&lt;=$O$2,$D484,$D484-($D484-$I$481)*MIN(K$3-$O$2,$Q$2)/$Q$2))</f>
        <v>377.185967078074</v>
      </c>
      <c r="L484" s="15" t="n">
        <f aca="false">K484*(1+IF(L$3&lt;=$O$2,$D484,$D484-($D484-$I$481)*MIN(L$3-$O$2,$Q$2)/$Q$2))</f>
        <v>363.599728543922</v>
      </c>
      <c r="M484" s="15" t="n">
        <f aca="false">L484*(1+IF(M$3&lt;=$O$2,$D484,$D484-($D484-$I$481)*MIN(M$3-$O$2,$Q$2)/$Q$2))</f>
        <v>361.287234270383</v>
      </c>
      <c r="N484" s="15" t="n">
        <f aca="false">M484*(1+IF(N$3&lt;=$O$2,$D484,$D484-($D484-$I$481)*MIN(N$3-$O$2,$Q$2)/$Q$2))</f>
        <v>369.705226828883</v>
      </c>
      <c r="O484" s="15" t="n">
        <f aca="false">SUMPRODUCT(E484:N484,1/(1+$F$481)^$E$3:$N$3)*$E$2</f>
        <v>760.950542548649</v>
      </c>
      <c r="P484" s="15" t="n">
        <f aca="false">N484*$E$2*(1+$I$481)/($F$481-$I$481)/(1+$F$481)^$N$3</f>
        <v>645.818292769299</v>
      </c>
      <c r="Q484" s="15" t="n">
        <f aca="false">O484+P484</f>
        <v>1406.76883531795</v>
      </c>
      <c r="R484" s="15" t="n">
        <f aca="false">Q484-$G$2+$I$2</f>
        <v>1574.16883531795</v>
      </c>
      <c r="S484" s="42" t="n">
        <f aca="false">R484/$K$2</f>
        <v>44.7334139050283</v>
      </c>
      <c r="T484" s="43" t="n">
        <f aca="false">S484-$M$2</f>
        <v>-119.801965464111</v>
      </c>
    </row>
    <row r="485" customFormat="false" ht="15" hidden="false" customHeight="false" outlineLevel="0" collapsed="false">
      <c r="A485" s="5" t="n">
        <v>3</v>
      </c>
      <c r="B485" s="25" t="n">
        <f aca="false">IF(T484&gt;0,B484,D484)</f>
        <v>-0.125</v>
      </c>
      <c r="C485" s="25" t="n">
        <f aca="false">IF(T484&gt;0,D484,C484)</f>
        <v>0.25</v>
      </c>
      <c r="D485" s="41" t="n">
        <f aca="false">(B485+C485)/2</f>
        <v>0.0625</v>
      </c>
      <c r="E485" s="15" t="n">
        <f aca="false">$C$2*(1+IF(E$3&lt;=$O$2,$D485,$D485-($D485-$I$481)*MIN(E$3-$O$2,$Q$2)/$Q$2))</f>
        <v>924.406875</v>
      </c>
      <c r="F485" s="15" t="n">
        <f aca="false">E485*(1+IF(F$3&lt;=$O$2,$D485,$D485-($D485-$I$481)*MIN(F$3-$O$2,$Q$2)/$Q$2))</f>
        <v>982.1823046875</v>
      </c>
      <c r="G485" s="15" t="n">
        <f aca="false">F485*(1+IF(G$3&lt;=$O$2,$D485,$D485-($D485-$I$481)*MIN(G$3-$O$2,$Q$2)/$Q$2))</f>
        <v>1043.56869873047</v>
      </c>
      <c r="H485" s="15" t="n">
        <f aca="false">G485*(1+IF(H$3&lt;=$O$2,$D485,$D485-($D485-$I$481)*MIN(H$3-$O$2,$Q$2)/$Q$2))</f>
        <v>1108.79174240112</v>
      </c>
      <c r="I485" s="15" t="n">
        <f aca="false">H485*(1+IF(I$3&lt;=$O$2,$D485,$D485-($D485-$I$481)*MIN(I$3-$O$2,$Q$2)/$Q$2))</f>
        <v>1178.09122630119</v>
      </c>
      <c r="J485" s="15" t="n">
        <f aca="false">I485*(1+IF(J$3&lt;=$O$2,$D485,$D485-($D485-$I$481)*MIN(J$3-$O$2,$Q$2)/$Q$2))</f>
        <v>1242.48569273082</v>
      </c>
      <c r="K485" s="15" t="n">
        <f aca="false">J485*(1+IF(K$3&lt;=$O$2,$D485,$D485-($D485-$I$481)*MIN(K$3-$O$2,$Q$2)/$Q$2))</f>
        <v>1300.65887286447</v>
      </c>
      <c r="L485" s="15" t="n">
        <f aca="false">K485*(1+IF(L$3&lt;=$O$2,$D485,$D485-($D485-$I$481)*MIN(L$3-$O$2,$Q$2)/$Q$2))</f>
        <v>1351.35855572873</v>
      </c>
      <c r="M485" s="15" t="n">
        <f aca="false">L485*(1+IF(M$3&lt;=$O$2,$D485,$D485-($D485-$I$481)*MIN(M$3-$O$2,$Q$2)/$Q$2))</f>
        <v>1393.43986115412</v>
      </c>
      <c r="N485" s="15" t="n">
        <f aca="false">M485*(1+IF(N$3&lt;=$O$2,$D485,$D485-($D485-$I$481)*MIN(N$3-$O$2,$Q$2)/$Q$2))</f>
        <v>1425.90700991901</v>
      </c>
      <c r="O485" s="15" t="n">
        <f aca="false">SUMPRODUCT(E485:N485,1/(1+$F$481)^$E$3:$N$3)*$E$2</f>
        <v>1714.76978058536</v>
      </c>
      <c r="P485" s="15" t="n">
        <f aca="false">N485*$E$2*(1+$I$481)/($F$481-$I$481)/(1+$F$481)^$N$3</f>
        <v>2490.84071299836</v>
      </c>
      <c r="Q485" s="15" t="n">
        <f aca="false">O485+P485</f>
        <v>4205.61049358372</v>
      </c>
      <c r="R485" s="15" t="n">
        <f aca="false">Q485-$G$2+$I$2</f>
        <v>4373.01049358372</v>
      </c>
      <c r="S485" s="42" t="n">
        <f aca="false">R485/$K$2</f>
        <v>124.268556225738</v>
      </c>
      <c r="T485" s="43" t="n">
        <f aca="false">S485-$M$2</f>
        <v>-40.266823143401</v>
      </c>
    </row>
    <row r="486" customFormat="false" ht="15" hidden="false" customHeight="false" outlineLevel="0" collapsed="false">
      <c r="A486" s="5" t="n">
        <v>4</v>
      </c>
      <c r="B486" s="25" t="n">
        <f aca="false">IF(T485&gt;0,B485,D485)</f>
        <v>0.0625</v>
      </c>
      <c r="C486" s="25" t="n">
        <f aca="false">IF(T485&gt;0,D485,C485)</f>
        <v>0.25</v>
      </c>
      <c r="D486" s="41" t="n">
        <f aca="false">(B486+C486)/2</f>
        <v>0.15625</v>
      </c>
      <c r="E486" s="15" t="n">
        <f aca="false">$C$2*(1+IF(E$3&lt;=$O$2,$D486,$D486-($D486-$I$481)*MIN(E$3-$O$2,$Q$2)/$Q$2))</f>
        <v>1005.9721875</v>
      </c>
      <c r="F486" s="15" t="n">
        <f aca="false">E486*(1+IF(F$3&lt;=$O$2,$D486,$D486-($D486-$I$481)*MIN(F$3-$O$2,$Q$2)/$Q$2))</f>
        <v>1163.15534179688</v>
      </c>
      <c r="G486" s="15" t="n">
        <f aca="false">F486*(1+IF(G$3&lt;=$O$2,$D486,$D486-($D486-$I$481)*MIN(G$3-$O$2,$Q$2)/$Q$2))</f>
        <v>1344.89836395264</v>
      </c>
      <c r="H486" s="15" t="n">
        <f aca="false">G486*(1+IF(H$3&lt;=$O$2,$D486,$D486-($D486-$I$481)*MIN(H$3-$O$2,$Q$2)/$Q$2))</f>
        <v>1555.03873332024</v>
      </c>
      <c r="I486" s="15" t="n">
        <f aca="false">H486*(1+IF(I$3&lt;=$O$2,$D486,$D486-($D486-$I$481)*MIN(I$3-$O$2,$Q$2)/$Q$2))</f>
        <v>1798.01353540152</v>
      </c>
      <c r="J486" s="15" t="n">
        <f aca="false">I486*(1+IF(J$3&lt;=$O$2,$D486,$D486-($D486-$I$481)*MIN(J$3-$O$2,$Q$2)/$Q$2))</f>
        <v>2031.14397040168</v>
      </c>
      <c r="K486" s="15" t="n">
        <f aca="false">J486*(1+IF(K$3&lt;=$O$2,$D486,$D486-($D486-$I$481)*MIN(K$3-$O$2,$Q$2)/$Q$2))</f>
        <v>2240.49397943099</v>
      </c>
      <c r="L486" s="15" t="n">
        <f aca="false">K486*(1+IF(L$3&lt;=$O$2,$D486,$D486-($D486-$I$481)*MIN(L$3-$O$2,$Q$2)/$Q$2))</f>
        <v>2411.84695897787</v>
      </c>
      <c r="M486" s="15" t="n">
        <f aca="false">L486*(1+IF(M$3&lt;=$O$2,$D486,$D486-($D486-$I$481)*MIN(M$3-$O$2,$Q$2)/$Q$2))</f>
        <v>2532.17400376127</v>
      </c>
      <c r="N486" s="15" t="n">
        <f aca="false">M486*(1+IF(N$3&lt;=$O$2,$D486,$D486-($D486-$I$481)*MIN(N$3-$O$2,$Q$2)/$Q$2))</f>
        <v>2591.17365804891</v>
      </c>
      <c r="O486" s="15" t="n">
        <f aca="false">SUMPRODUCT(E486:N486,1/(1+$F$481)^$E$3:$N$3)*$E$2</f>
        <v>2582.76941066295</v>
      </c>
      <c r="P486" s="15" t="n">
        <f aca="false">N486*$E$2*(1+$I$481)/($F$481-$I$481)/(1+$F$481)^$N$3</f>
        <v>4526.38271431437</v>
      </c>
      <c r="Q486" s="15" t="n">
        <f aca="false">O486+P486</f>
        <v>7109.15212497732</v>
      </c>
      <c r="R486" s="15" t="n">
        <f aca="false">Q486-$G$2+$I$2</f>
        <v>7276.55212497732</v>
      </c>
      <c r="S486" s="42" t="n">
        <f aca="false">R486/$K$2</f>
        <v>206.778974850165</v>
      </c>
      <c r="T486" s="43" t="n">
        <f aca="false">S486-$M$2</f>
        <v>42.2435954810263</v>
      </c>
    </row>
    <row r="487" customFormat="false" ht="15" hidden="false" customHeight="false" outlineLevel="0" collapsed="false">
      <c r="A487" s="5" t="n">
        <v>5</v>
      </c>
      <c r="B487" s="25" t="n">
        <f aca="false">IF(T486&gt;0,B486,D486)</f>
        <v>0.0625</v>
      </c>
      <c r="C487" s="25" t="n">
        <f aca="false">IF(T486&gt;0,D486,C486)</f>
        <v>0.15625</v>
      </c>
      <c r="D487" s="41" t="n">
        <f aca="false">(B487+C487)/2</f>
        <v>0.109375</v>
      </c>
      <c r="E487" s="15" t="n">
        <f aca="false">$C$2*(1+IF(E$3&lt;=$O$2,$D487,$D487-($D487-$I$481)*MIN(E$3-$O$2,$Q$2)/$Q$2))</f>
        <v>965.18953125</v>
      </c>
      <c r="F487" s="15" t="n">
        <f aca="false">E487*(1+IF(F$3&lt;=$O$2,$D487,$D487-($D487-$I$481)*MIN(F$3-$O$2,$Q$2)/$Q$2))</f>
        <v>1070.75713623047</v>
      </c>
      <c r="G487" s="15" t="n">
        <f aca="false">F487*(1+IF(G$3&lt;=$O$2,$D487,$D487-($D487-$I$481)*MIN(G$3-$O$2,$Q$2)/$Q$2))</f>
        <v>1187.87119800568</v>
      </c>
      <c r="H487" s="15" t="n">
        <f aca="false">G487*(1+IF(H$3&lt;=$O$2,$D487,$D487-($D487-$I$481)*MIN(H$3-$O$2,$Q$2)/$Q$2))</f>
        <v>1317.79461028755</v>
      </c>
      <c r="I487" s="15" t="n">
        <f aca="false">H487*(1+IF(I$3&lt;=$O$2,$D487,$D487-($D487-$I$481)*MIN(I$3-$O$2,$Q$2)/$Q$2))</f>
        <v>1461.92839578775</v>
      </c>
      <c r="J487" s="15" t="n">
        <f aca="false">I487*(1+IF(J$3&lt;=$O$2,$D487,$D487-($D487-$I$481)*MIN(J$3-$O$2,$Q$2)/$Q$2))</f>
        <v>1596.65971674355</v>
      </c>
      <c r="K487" s="15" t="n">
        <f aca="false">J487*(1+IF(K$3&lt;=$O$2,$D487,$D487-($D487-$I$481)*MIN(K$3-$O$2,$Q$2)/$Q$2))</f>
        <v>1716.32137921489</v>
      </c>
      <c r="L487" s="15" t="n">
        <f aca="false">K487*(1+IF(L$3&lt;=$O$2,$D487,$D487-($D487-$I$481)*MIN(L$3-$O$2,$Q$2)/$Q$2))</f>
        <v>1815.40461243697</v>
      </c>
      <c r="M487" s="15" t="n">
        <f aca="false">L487*(1+IF(M$3&lt;=$O$2,$D487,$D487-($D487-$I$481)*MIN(M$3-$O$2,$Q$2)/$Q$2))</f>
        <v>1888.95573030985</v>
      </c>
      <c r="N487" s="15" t="n">
        <f aca="false">M487*(1+IF(N$3&lt;=$O$2,$D487,$D487-($D487-$I$481)*MIN(N$3-$O$2,$Q$2)/$Q$2))</f>
        <v>1932.96839882607</v>
      </c>
      <c r="O487" s="15" t="n">
        <f aca="false">SUMPRODUCT(E487:N487,1/(1+$F$481)^$E$3:$N$3)*$E$2</f>
        <v>2104.97602119772</v>
      </c>
      <c r="P487" s="15" t="n">
        <f aca="false">N487*$E$2*(1+$I$481)/($F$481-$I$481)/(1+$F$481)^$N$3</f>
        <v>3376.59914092763</v>
      </c>
      <c r="Q487" s="15" t="n">
        <f aca="false">O487+P487</f>
        <v>5481.57516212535</v>
      </c>
      <c r="R487" s="15" t="n">
        <f aca="false">Q487-$G$2+$I$2</f>
        <v>5648.97516212535</v>
      </c>
      <c r="S487" s="42" t="n">
        <f aca="false">R487/$K$2</f>
        <v>160.52785342783</v>
      </c>
      <c r="T487" s="43" t="n">
        <f aca="false">S487-$M$2</f>
        <v>-4.00752594130876</v>
      </c>
    </row>
    <row r="488" customFormat="false" ht="15" hidden="false" customHeight="false" outlineLevel="0" collapsed="false">
      <c r="A488" s="5" t="n">
        <v>6</v>
      </c>
      <c r="B488" s="25" t="n">
        <f aca="false">IF(T487&gt;0,B487,D487)</f>
        <v>0.109375</v>
      </c>
      <c r="C488" s="25" t="n">
        <f aca="false">IF(T487&gt;0,D487,C487)</f>
        <v>0.15625</v>
      </c>
      <c r="D488" s="41" t="n">
        <f aca="false">(B488+C488)/2</f>
        <v>0.1328125</v>
      </c>
      <c r="E488" s="15" t="n">
        <f aca="false">$C$2*(1+IF(E$3&lt;=$O$2,$D488,$D488-($D488-$I$481)*MIN(E$3-$O$2,$Q$2)/$Q$2))</f>
        <v>985.580859375</v>
      </c>
      <c r="F488" s="15" t="n">
        <f aca="false">E488*(1+IF(F$3&lt;=$O$2,$D488,$D488-($D488-$I$481)*MIN(F$3-$O$2,$Q$2)/$Q$2))</f>
        <v>1116.47831726074</v>
      </c>
      <c r="G488" s="15" t="n">
        <f aca="false">F488*(1+IF(G$3&lt;=$O$2,$D488,$D488-($D488-$I$481)*MIN(G$3-$O$2,$Q$2)/$Q$2))</f>
        <v>1264.76059377193</v>
      </c>
      <c r="H488" s="15" t="n">
        <f aca="false">G488*(1+IF(H$3&lt;=$O$2,$D488,$D488-($D488-$I$481)*MIN(H$3-$O$2,$Q$2)/$Q$2))</f>
        <v>1432.73661013227</v>
      </c>
      <c r="I488" s="15" t="n">
        <f aca="false">H488*(1+IF(I$3&lt;=$O$2,$D488,$D488-($D488-$I$481)*MIN(I$3-$O$2,$Q$2)/$Q$2))</f>
        <v>1623.02194116546</v>
      </c>
      <c r="J488" s="15" t="n">
        <f aca="false">I488*(1+IF(J$3&lt;=$O$2,$D488,$D488-($D488-$I$481)*MIN(J$3-$O$2,$Q$2)/$Q$2))</f>
        <v>1803.03130466012</v>
      </c>
      <c r="K488" s="15" t="n">
        <f aca="false">J488*(1+IF(K$3&lt;=$O$2,$D488,$D488-($D488-$I$481)*MIN(K$3-$O$2,$Q$2)/$Q$2))</f>
        <v>1963.51461350966</v>
      </c>
      <c r="L488" s="15" t="n">
        <f aca="false">K488*(1+IF(L$3&lt;=$O$2,$D488,$D488-($D488-$I$481)*MIN(L$3-$O$2,$Q$2)/$Q$2))</f>
        <v>2095.27626164922</v>
      </c>
      <c r="M488" s="15" t="n">
        <f aca="false">L488*(1+IF(M$3&lt;=$O$2,$D488,$D488-($D488-$I$481)*MIN(M$3-$O$2,$Q$2)/$Q$2))</f>
        <v>2189.98798686642</v>
      </c>
      <c r="N488" s="15" t="n">
        <f aca="false">M488*(1+IF(N$3&lt;=$O$2,$D488,$D488-($D488-$I$481)*MIN(N$3-$O$2,$Q$2)/$Q$2))</f>
        <v>2241.01470696041</v>
      </c>
      <c r="O488" s="15" t="n">
        <f aca="false">SUMPRODUCT(E488:N488,1/(1+$F$481)^$E$3:$N$3)*$E$2</f>
        <v>2331.88221145971</v>
      </c>
      <c r="P488" s="15" t="n">
        <f aca="false">N488*$E$2*(1+$I$481)/($F$481-$I$481)/(1+$F$481)^$N$3</f>
        <v>3914.70876550506</v>
      </c>
      <c r="Q488" s="15" t="n">
        <f aca="false">O488+P488</f>
        <v>6246.59097696477</v>
      </c>
      <c r="R488" s="15" t="n">
        <f aca="false">Q488-$G$2+$I$2</f>
        <v>6413.99097696477</v>
      </c>
      <c r="S488" s="42" t="n">
        <f aca="false">R488/$K$2</f>
        <v>182.267433275498</v>
      </c>
      <c r="T488" s="43" t="n">
        <f aca="false">S488-$M$2</f>
        <v>17.732053906359</v>
      </c>
    </row>
    <row r="489" customFormat="false" ht="15" hidden="false" customHeight="false" outlineLevel="0" collapsed="false">
      <c r="A489" s="5" t="n">
        <v>7</v>
      </c>
      <c r="B489" s="25" t="n">
        <f aca="false">IF(T488&gt;0,B488,D488)</f>
        <v>0.109375</v>
      </c>
      <c r="C489" s="25" t="n">
        <f aca="false">IF(T488&gt;0,D488,C488)</f>
        <v>0.1328125</v>
      </c>
      <c r="D489" s="41" t="n">
        <f aca="false">(B489+C489)/2</f>
        <v>0.12109375</v>
      </c>
      <c r="E489" s="15" t="n">
        <f aca="false">$C$2*(1+IF(E$3&lt;=$O$2,$D489,$D489-($D489-$I$481)*MIN(E$3-$O$2,$Q$2)/$Q$2))</f>
        <v>975.3851953125</v>
      </c>
      <c r="F489" s="15" t="n">
        <f aca="false">E489*(1+IF(F$3&lt;=$O$2,$D489,$D489-($D489-$I$481)*MIN(F$3-$O$2,$Q$2)/$Q$2))</f>
        <v>1093.49824630737</v>
      </c>
      <c r="G489" s="15" t="n">
        <f aca="false">F489*(1+IF(G$3&lt;=$O$2,$D489,$D489-($D489-$I$481)*MIN(G$3-$O$2,$Q$2)/$Q$2))</f>
        <v>1225.91404957116</v>
      </c>
      <c r="H489" s="15" t="n">
        <f aca="false">G489*(1+IF(H$3&lt;=$O$2,$D489,$D489-($D489-$I$481)*MIN(H$3-$O$2,$Q$2)/$Q$2))</f>
        <v>1374.36457901141</v>
      </c>
      <c r="I489" s="15" t="n">
        <f aca="false">H489*(1+IF(I$3&lt;=$O$2,$D489,$D489-($D489-$I$481)*MIN(I$3-$O$2,$Q$2)/$Q$2))</f>
        <v>1540.79153975108</v>
      </c>
      <c r="J489" s="15" t="n">
        <f aca="false">I489*(1+IF(J$3&lt;=$O$2,$D489,$D489-($D489-$I$481)*MIN(J$3-$O$2,$Q$2)/$Q$2))</f>
        <v>1697.2358087397</v>
      </c>
      <c r="K489" s="15" t="n">
        <f aca="false">J489*(1+IF(K$3&lt;=$O$2,$D489,$D489-($D489-$I$481)*MIN(K$3-$O$2,$Q$2)/$Q$2))</f>
        <v>1836.3688357059</v>
      </c>
      <c r="L489" s="15" t="n">
        <f aca="false">K489*(1+IF(L$3&lt;=$O$2,$D489,$D489-($D489-$I$481)*MIN(L$3-$O$2,$Q$2)/$Q$2))</f>
        <v>1950.99038750857</v>
      </c>
      <c r="M489" s="15" t="n">
        <f aca="false">L489*(1+IF(M$3&lt;=$O$2,$D489,$D489-($D489-$I$481)*MIN(M$3-$O$2,$Q$2)/$Q$2))</f>
        <v>2034.60739677921</v>
      </c>
      <c r="N489" s="15" t="n">
        <f aca="false">M489*(1+IF(N$3&lt;=$O$2,$D489,$D489-($D489-$I$481)*MIN(N$3-$O$2,$Q$2)/$Q$2))</f>
        <v>2082.01374912416</v>
      </c>
      <c r="O489" s="15" t="n">
        <f aca="false">SUMPRODUCT(E489:N489,1/(1+$F$481)^$E$3:$N$3)*$E$2</f>
        <v>2215.56832814022</v>
      </c>
      <c r="P489" s="15" t="n">
        <f aca="false">N489*$E$2*(1+$I$481)/($F$481-$I$481)/(1+$F$481)^$N$3</f>
        <v>3636.95849397315</v>
      </c>
      <c r="Q489" s="15" t="n">
        <f aca="false">O489+P489</f>
        <v>5852.52682211336</v>
      </c>
      <c r="R489" s="15" t="n">
        <f aca="false">Q489-$G$2+$I$2</f>
        <v>6019.92682211336</v>
      </c>
      <c r="S489" s="42" t="n">
        <f aca="false">R489/$K$2</f>
        <v>171.069247573554</v>
      </c>
      <c r="T489" s="43" t="n">
        <f aca="false">S489-$M$2</f>
        <v>6.53386820441494</v>
      </c>
    </row>
    <row r="490" customFormat="false" ht="15" hidden="false" customHeight="false" outlineLevel="0" collapsed="false">
      <c r="A490" s="5" t="n">
        <v>8</v>
      </c>
      <c r="B490" s="25" t="n">
        <f aca="false">IF(T489&gt;0,B489,D489)</f>
        <v>0.109375</v>
      </c>
      <c r="C490" s="25" t="n">
        <f aca="false">IF(T489&gt;0,D489,C489)</f>
        <v>0.12109375</v>
      </c>
      <c r="D490" s="41" t="n">
        <f aca="false">(B490+C490)/2</f>
        <v>0.115234375</v>
      </c>
      <c r="E490" s="15" t="n">
        <f aca="false">$C$2*(1+IF(E$3&lt;=$O$2,$D490,$D490-($D490-$I$481)*MIN(E$3-$O$2,$Q$2)/$Q$2))</f>
        <v>970.28736328125</v>
      </c>
      <c r="F490" s="15" t="n">
        <f aca="false">E490*(1+IF(F$3&lt;=$O$2,$D490,$D490-($D490-$I$481)*MIN(F$3-$O$2,$Q$2)/$Q$2))</f>
        <v>1082.09782115936</v>
      </c>
      <c r="G490" s="15" t="n">
        <f aca="false">F490*(1+IF(G$3&lt;=$O$2,$D490,$D490-($D490-$I$481)*MIN(G$3-$O$2,$Q$2)/$Q$2))</f>
        <v>1206.79268726952</v>
      </c>
      <c r="H490" s="15" t="n">
        <f aca="false">G490*(1+IF(H$3&lt;=$O$2,$D490,$D490-($D490-$I$481)*MIN(H$3-$O$2,$Q$2)/$Q$2))</f>
        <v>1345.8566883416</v>
      </c>
      <c r="I490" s="15" t="n">
        <f aca="false">H490*(1+IF(I$3&lt;=$O$2,$D490,$D490-($D490-$I$481)*MIN(I$3-$O$2,$Q$2)/$Q$2))</f>
        <v>1500.94564266221</v>
      </c>
      <c r="J490" s="15" t="n">
        <f aca="false">I490*(1+IF(J$3&lt;=$O$2,$D490,$D490-($D490-$I$481)*MIN(J$3-$O$2,$Q$2)/$Q$2))</f>
        <v>1646.30847578994</v>
      </c>
      <c r="K490" s="15" t="n">
        <f aca="false">J490*(1+IF(K$3&lt;=$O$2,$D490,$D490-($D490-$I$481)*MIN(K$3-$O$2,$Q$2)/$Q$2))</f>
        <v>1775.47886774322</v>
      </c>
      <c r="L490" s="15" t="n">
        <f aca="false">K490*(1+IF(L$3&lt;=$O$2,$D490,$D490-($D490-$I$481)*MIN(L$3-$O$2,$Q$2)/$Q$2))</f>
        <v>1882.13854137431</v>
      </c>
      <c r="M490" s="15" t="n">
        <f aca="false">L490*(1+IF(M$3&lt;=$O$2,$D490,$D490-($D490-$I$481)*MIN(M$3-$O$2,$Q$2)/$Q$2))</f>
        <v>1960.59901548126</v>
      </c>
      <c r="N490" s="15" t="n">
        <f aca="false">M490*(1+IF(N$3&lt;=$O$2,$D490,$D490-($D490-$I$481)*MIN(N$3-$O$2,$Q$2)/$Q$2))</f>
        <v>2006.28097254197</v>
      </c>
      <c r="O490" s="15" t="n">
        <f aca="false">SUMPRODUCT(E490:N490,1/(1+$F$481)^$E$3:$N$3)*$E$2</f>
        <v>2159.5734899828</v>
      </c>
      <c r="P490" s="15" t="n">
        <f aca="false">N490*$E$2*(1+$I$481)/($F$481-$I$481)/(1+$F$481)^$N$3</f>
        <v>3504.66495596042</v>
      </c>
      <c r="Q490" s="15" t="n">
        <f aca="false">O490+P490</f>
        <v>5664.23844594323</v>
      </c>
      <c r="R490" s="15" t="n">
        <f aca="false">Q490-$G$2+$I$2</f>
        <v>5831.63844594323</v>
      </c>
      <c r="S490" s="42" t="n">
        <f aca="false">R490/$K$2</f>
        <v>165.71862591484</v>
      </c>
      <c r="T490" s="43" t="n">
        <f aca="false">S490-$M$2</f>
        <v>1.18324654570122</v>
      </c>
    </row>
    <row r="491" customFormat="false" ht="15" hidden="false" customHeight="false" outlineLevel="0" collapsed="false">
      <c r="A491" s="5" t="n">
        <v>9</v>
      </c>
      <c r="B491" s="25" t="n">
        <f aca="false">IF(T490&gt;0,B490,D490)</f>
        <v>0.109375</v>
      </c>
      <c r="C491" s="25" t="n">
        <f aca="false">IF(T490&gt;0,D490,C490)</f>
        <v>0.115234375</v>
      </c>
      <c r="D491" s="41" t="n">
        <f aca="false">(B491+C491)/2</f>
        <v>0.1123046875</v>
      </c>
      <c r="E491" s="15" t="n">
        <f aca="false">$C$2*(1+IF(E$3&lt;=$O$2,$D491,$D491-($D491-$I$481)*MIN(E$3-$O$2,$Q$2)/$Q$2))</f>
        <v>967.738447265625</v>
      </c>
      <c r="F491" s="15" t="n">
        <f aca="false">E491*(1+IF(F$3&lt;=$O$2,$D491,$D491-($D491-$I$481)*MIN(F$3-$O$2,$Q$2)/$Q$2))</f>
        <v>1076.42001116753</v>
      </c>
      <c r="G491" s="15" t="n">
        <f aca="false">F491*(1+IF(G$3&lt;=$O$2,$D491,$D491-($D491-$I$481)*MIN(G$3-$O$2,$Q$2)/$Q$2))</f>
        <v>1197.30702414044</v>
      </c>
      <c r="H491" s="15" t="n">
        <f aca="false">G491*(1+IF(H$3&lt;=$O$2,$D491,$D491-($D491-$I$481)*MIN(H$3-$O$2,$Q$2)/$Q$2))</f>
        <v>1331.77021532809</v>
      </c>
      <c r="I491" s="15" t="n">
        <f aca="false">H491*(1+IF(I$3&lt;=$O$2,$D491,$D491-($D491-$I$481)*MIN(I$3-$O$2,$Q$2)/$Q$2))</f>
        <v>1481.33425318232</v>
      </c>
      <c r="J491" s="15" t="n">
        <f aca="false">I491*(1+IF(J$3&lt;=$O$2,$D491,$D491-($D491-$I$481)*MIN(J$3-$O$2,$Q$2)/$Q$2))</f>
        <v>1621.3258951115</v>
      </c>
      <c r="K491" s="15" t="n">
        <f aca="false">J491*(1+IF(K$3&lt;=$O$2,$D491,$D491-($D491-$I$481)*MIN(K$3-$O$2,$Q$2)/$Q$2))</f>
        <v>1745.68615124563</v>
      </c>
      <c r="L491" s="15" t="n">
        <f aca="false">K491*(1+IF(L$3&lt;=$O$2,$D491,$D491-($D491-$I$481)*MIN(L$3-$O$2,$Q$2)/$Q$2))</f>
        <v>1848.51033871553</v>
      </c>
      <c r="M491" s="15" t="n">
        <f aca="false">L491*(1+IF(M$3&lt;=$O$2,$D491,$D491-($D491-$I$481)*MIN(M$3-$O$2,$Q$2)/$Q$2))</f>
        <v>1924.48584661518</v>
      </c>
      <c r="N491" s="15" t="n">
        <f aca="false">M491*(1+IF(N$3&lt;=$O$2,$D491,$D491-($D491-$I$481)*MIN(N$3-$O$2,$Q$2)/$Q$2))</f>
        <v>1969.32636684131</v>
      </c>
      <c r="O491" s="15" t="n">
        <f aca="false">SUMPRODUCT(E491:N491,1/(1+$F$481)^$E$3:$N$3)*$E$2</f>
        <v>2132.1021123496</v>
      </c>
      <c r="P491" s="15" t="n">
        <f aca="false">N491*$E$2*(1+$I$481)/($F$481-$I$481)/(1+$F$481)^$N$3</f>
        <v>3440.11093120868</v>
      </c>
      <c r="Q491" s="15" t="n">
        <f aca="false">O491+P491</f>
        <v>5572.21304355827</v>
      </c>
      <c r="R491" s="15" t="n">
        <f aca="false">Q491-$G$2+$I$2</f>
        <v>5739.61304355827</v>
      </c>
      <c r="S491" s="42" t="n">
        <f aca="false">R491/$K$2</f>
        <v>163.103524966135</v>
      </c>
      <c r="T491" s="43" t="n">
        <f aca="false">S491-$M$2</f>
        <v>-1.43185440300448</v>
      </c>
    </row>
    <row r="492" customFormat="false" ht="15" hidden="false" customHeight="false" outlineLevel="0" collapsed="false">
      <c r="A492" s="5" t="n">
        <v>10</v>
      </c>
      <c r="B492" s="25" t="n">
        <f aca="false">IF(T491&gt;0,B491,D491)</f>
        <v>0.1123046875</v>
      </c>
      <c r="C492" s="25" t="n">
        <f aca="false">IF(T491&gt;0,D491,C491)</f>
        <v>0.115234375</v>
      </c>
      <c r="D492" s="41" t="n">
        <f aca="false">(B492+C492)/2</f>
        <v>0.11376953125</v>
      </c>
      <c r="E492" s="15" t="n">
        <f aca="false">$C$2*(1+IF(E$3&lt;=$O$2,$D492,$D492-($D492-$I$481)*MIN(E$3-$O$2,$Q$2)/$Q$2))</f>
        <v>969.012905273438</v>
      </c>
      <c r="F492" s="15" t="n">
        <f aca="false">E492*(1+IF(F$3&lt;=$O$2,$D492,$D492-($D492-$I$481)*MIN(F$3-$O$2,$Q$2)/$Q$2))</f>
        <v>1079.2570492816</v>
      </c>
      <c r="G492" s="15" t="n">
        <f aca="false">F492*(1+IF(G$3&lt;=$O$2,$D492,$D492-($D492-$I$481)*MIN(G$3-$O$2,$Q$2)/$Q$2))</f>
        <v>1202.04361787662</v>
      </c>
      <c r="H492" s="15" t="n">
        <f aca="false">G492*(1+IF(H$3&lt;=$O$2,$D492,$D492-($D492-$I$481)*MIN(H$3-$O$2,$Q$2)/$Q$2))</f>
        <v>1338.7995568245</v>
      </c>
      <c r="I492" s="15" t="n">
        <f aca="false">H492*(1+IF(I$3&lt;=$O$2,$D492,$D492-($D492-$I$481)*MIN(I$3-$O$2,$Q$2)/$Q$2))</f>
        <v>1491.11415484213</v>
      </c>
      <c r="J492" s="15" t="n">
        <f aca="false">I492*(1+IF(J$3&lt;=$O$2,$D492,$D492-($D492-$I$481)*MIN(J$3-$O$2,$Q$2)/$Q$2))</f>
        <v>1633.777433553</v>
      </c>
      <c r="K492" s="15" t="n">
        <f aca="false">J492*(1+IF(K$3&lt;=$O$2,$D492,$D492-($D492-$I$481)*MIN(K$3-$O$2,$Q$2)/$Q$2))</f>
        <v>1760.528694903</v>
      </c>
      <c r="L492" s="15" t="n">
        <f aca="false">K492*(1+IF(L$3&lt;=$O$2,$D492,$D492-($D492-$I$481)*MIN(L$3-$O$2,$Q$2)/$Q$2))</f>
        <v>1865.25869580626</v>
      </c>
      <c r="M492" s="15" t="n">
        <f aca="false">L492*(1+IF(M$3&lt;=$O$2,$D492,$D492-($D492-$I$481)*MIN(M$3-$O$2,$Q$2)/$Q$2))</f>
        <v>1942.46903939247</v>
      </c>
      <c r="N492" s="15" t="n">
        <f aca="false">M492*(1+IF(N$3&lt;=$O$2,$D492,$D492-($D492-$I$481)*MIN(N$3-$O$2,$Q$2)/$Q$2))</f>
        <v>1987.72856801031</v>
      </c>
      <c r="O492" s="15" t="n">
        <f aca="false">SUMPRODUCT(E492:N492,1/(1+$F$481)^$E$3:$N$3)*$E$2</f>
        <v>2145.7943884596</v>
      </c>
      <c r="P492" s="15" t="n">
        <f aca="false">N492*$E$2*(1+$I$481)/($F$481-$I$481)/(1+$F$481)^$N$3</f>
        <v>3472.25675247309</v>
      </c>
      <c r="Q492" s="15" t="n">
        <f aca="false">O492+P492</f>
        <v>5618.05114093268</v>
      </c>
      <c r="R492" s="15" t="n">
        <f aca="false">Q492-$G$2+$I$2</f>
        <v>5785.45114093268</v>
      </c>
      <c r="S492" s="42" t="n">
        <f aca="false">R492/$K$2</f>
        <v>164.40611369516</v>
      </c>
      <c r="T492" s="43" t="n">
        <f aca="false">S492-$M$2</f>
        <v>-0.129265673978978</v>
      </c>
    </row>
    <row r="493" customFormat="false" ht="15" hidden="false" customHeight="false" outlineLevel="0" collapsed="false">
      <c r="A493" s="5" t="n">
        <v>11</v>
      </c>
      <c r="B493" s="25" t="n">
        <f aca="false">IF(T492&gt;0,B492,D492)</f>
        <v>0.11376953125</v>
      </c>
      <c r="C493" s="25" t="n">
        <f aca="false">IF(T492&gt;0,D492,C492)</f>
        <v>0.115234375</v>
      </c>
      <c r="D493" s="41" t="n">
        <f aca="false">(B493+C493)/2</f>
        <v>0.114501953125</v>
      </c>
      <c r="E493" s="15" t="n">
        <f aca="false">$C$2*(1+IF(E$3&lt;=$O$2,$D493,$D493-($D493-$I$481)*MIN(E$3-$O$2,$Q$2)/$Q$2))</f>
        <v>969.650134277344</v>
      </c>
      <c r="F493" s="15" t="n">
        <f aca="false">E493*(1+IF(F$3&lt;=$O$2,$D493,$D493-($D493-$I$481)*MIN(F$3-$O$2,$Q$2)/$Q$2))</f>
        <v>1080.67696850002</v>
      </c>
      <c r="G493" s="15" t="n">
        <f aca="false">F493*(1+IF(G$3&lt;=$O$2,$D493,$D493-($D493-$I$481)*MIN(G$3-$O$2,$Q$2)/$Q$2))</f>
        <v>1204.41659209047</v>
      </c>
      <c r="H493" s="15" t="n">
        <f aca="false">G493*(1+IF(H$3&lt;=$O$2,$D493,$D493-($D493-$I$481)*MIN(H$3-$O$2,$Q$2)/$Q$2))</f>
        <v>1342.32464426099</v>
      </c>
      <c r="I493" s="15" t="n">
        <f aca="false">H493*(1+IF(I$3&lt;=$O$2,$D493,$D493-($D493-$I$481)*MIN(I$3-$O$2,$Q$2)/$Q$2))</f>
        <v>1496.02343775669</v>
      </c>
      <c r="J493" s="15" t="n">
        <f aca="false">I493*(1+IF(J$3&lt;=$O$2,$D493,$D493-($D493-$I$481)*MIN(J$3-$O$2,$Q$2)/$Q$2))</f>
        <v>1640.03299141178</v>
      </c>
      <c r="K493" s="15" t="n">
        <f aca="false">J493*(1+IF(K$3&lt;=$O$2,$D493,$D493-($D493-$I$481)*MIN(K$3-$O$2,$Q$2)/$Q$2))</f>
        <v>1767.99028731538</v>
      </c>
      <c r="L493" s="15" t="n">
        <f aca="false">K493*(1+IF(L$3&lt;=$O$2,$D493,$D493-($D493-$I$481)*MIN(L$3-$O$2,$Q$2)/$Q$2))</f>
        <v>1873.68212793351</v>
      </c>
      <c r="M493" s="15" t="n">
        <f aca="false">L493*(1+IF(M$3&lt;=$O$2,$D493,$D493-($D493-$I$481)*MIN(M$3-$O$2,$Q$2)/$Q$2))</f>
        <v>1951.51561543495</v>
      </c>
      <c r="N493" s="15" t="n">
        <f aca="false">M493*(1+IF(N$3&lt;=$O$2,$D493,$D493-($D493-$I$481)*MIN(N$3-$O$2,$Q$2)/$Q$2))</f>
        <v>1996.98592927458</v>
      </c>
      <c r="O493" s="15" t="n">
        <f aca="false">SUMPRODUCT(E493:N493,1/(1+$F$481)^$E$3:$N$3)*$E$2</f>
        <v>2152.67305441846</v>
      </c>
      <c r="P493" s="15" t="n">
        <f aca="false">N493*$E$2*(1+$I$481)/($F$481-$I$481)/(1+$F$481)^$N$3</f>
        <v>3488.42794187855</v>
      </c>
      <c r="Q493" s="15" t="n">
        <f aca="false">O493+P493</f>
        <v>5641.10099629701</v>
      </c>
      <c r="R493" s="15" t="n">
        <f aca="false">Q493-$G$2+$I$2</f>
        <v>5808.50099629701</v>
      </c>
      <c r="S493" s="42" t="n">
        <f aca="false">R493/$K$2</f>
        <v>165.061125214465</v>
      </c>
      <c r="T493" s="43" t="n">
        <f aca="false">S493-$M$2</f>
        <v>0.525745845325702</v>
      </c>
    </row>
    <row r="494" customFormat="false" ht="15" hidden="false" customHeight="false" outlineLevel="0" collapsed="false">
      <c r="A494" s="5" t="n">
        <v>12</v>
      </c>
      <c r="B494" s="25" t="n">
        <f aca="false">IF(T493&gt;0,B493,D493)</f>
        <v>0.11376953125</v>
      </c>
      <c r="C494" s="25" t="n">
        <f aca="false">IF(T493&gt;0,D493,C493)</f>
        <v>0.114501953125</v>
      </c>
      <c r="D494" s="41" t="n">
        <f aca="false">(B494+C494)/2</f>
        <v>0.1141357421875</v>
      </c>
      <c r="E494" s="15" t="n">
        <f aca="false">$C$2*(1+IF(E$3&lt;=$O$2,$D494,$D494-($D494-$I$481)*MIN(E$3-$O$2,$Q$2)/$Q$2))</f>
        <v>969.331519775391</v>
      </c>
      <c r="F494" s="15" t="n">
        <f aca="false">E494*(1+IF(F$3&lt;=$O$2,$D494,$D494-($D494-$I$481)*MIN(F$3-$O$2,$Q$2)/$Q$2))</f>
        <v>1079.96689221069</v>
      </c>
      <c r="G494" s="15" t="n">
        <f aca="false">F494*(1+IF(G$3&lt;=$O$2,$D494,$D494-($D494-$I$481)*MIN(G$3-$O$2,$Q$2)/$Q$2))</f>
        <v>1203.22971499109</v>
      </c>
      <c r="H494" s="15" t="n">
        <f aca="false">G494*(1+IF(H$3&lt;=$O$2,$D494,$D494-($D494-$I$481)*MIN(H$3-$O$2,$Q$2)/$Q$2))</f>
        <v>1340.56123153365</v>
      </c>
      <c r="I494" s="15" t="n">
        <f aca="false">H494*(1+IF(I$3&lt;=$O$2,$D494,$D494-($D494-$I$481)*MIN(I$3-$O$2,$Q$2)/$Q$2))</f>
        <v>1493.56718264253</v>
      </c>
      <c r="J494" s="15" t="n">
        <f aca="false">I494*(1+IF(J$3&lt;=$O$2,$D494,$D494-($D494-$I$481)*MIN(J$3-$O$2,$Q$2)/$Q$2))</f>
        <v>1636.90272483188</v>
      </c>
      <c r="K494" s="15" t="n">
        <f aca="false">J494*(1+IF(K$3&lt;=$O$2,$D494,$D494-($D494-$I$481)*MIN(K$3-$O$2,$Q$2)/$Q$2))</f>
        <v>1764.25612265977</v>
      </c>
      <c r="L494" s="15" t="n">
        <f aca="false">K494*(1+IF(L$3&lt;=$O$2,$D494,$D494-($D494-$I$481)*MIN(L$3-$O$2,$Q$2)/$Q$2))</f>
        <v>1869.466296042</v>
      </c>
      <c r="M494" s="15" t="n">
        <f aca="false">L494*(1+IF(M$3&lt;=$O$2,$D494,$D494-($D494-$I$481)*MIN(M$3-$O$2,$Q$2)/$Q$2))</f>
        <v>1946.98773243888</v>
      </c>
      <c r="N494" s="15" t="n">
        <f aca="false">M494*(1+IF(N$3&lt;=$O$2,$D494,$D494-($D494-$I$481)*MIN(N$3-$O$2,$Q$2)/$Q$2))</f>
        <v>1992.35254660471</v>
      </c>
      <c r="O494" s="15" t="n">
        <f aca="false">SUMPRODUCT(E494:N494,1/(1+$F$481)^$E$3:$N$3)*$E$2</f>
        <v>2149.23100419783</v>
      </c>
      <c r="P494" s="15" t="n">
        <f aca="false">N494*$E$2*(1+$I$481)/($F$481-$I$481)/(1+$F$481)^$N$3</f>
        <v>3480.33413343751</v>
      </c>
      <c r="Q494" s="15" t="n">
        <f aca="false">O494+P494</f>
        <v>5629.56513763533</v>
      </c>
      <c r="R494" s="15" t="n">
        <f aca="false">Q494-$G$2+$I$2</f>
        <v>5796.96513763534</v>
      </c>
      <c r="S494" s="42" t="n">
        <f aca="false">R494/$K$2</f>
        <v>164.733308827375</v>
      </c>
      <c r="T494" s="43" t="n">
        <f aca="false">S494-$M$2</f>
        <v>0.197929458236246</v>
      </c>
    </row>
    <row r="495" customFormat="false" ht="15" hidden="false" customHeight="false" outlineLevel="0" collapsed="false">
      <c r="A495" s="5" t="n">
        <v>13</v>
      </c>
      <c r="B495" s="25" t="n">
        <f aca="false">IF(T494&gt;0,B494,D494)</f>
        <v>0.11376953125</v>
      </c>
      <c r="C495" s="25" t="n">
        <f aca="false">IF(T494&gt;0,D494,C494)</f>
        <v>0.1141357421875</v>
      </c>
      <c r="D495" s="41" t="n">
        <f aca="false">(B495+C495)/2</f>
        <v>0.11395263671875</v>
      </c>
      <c r="E495" s="15" t="n">
        <f aca="false">$C$2*(1+IF(E$3&lt;=$O$2,$D495,$D495-($D495-$I$481)*MIN(E$3-$O$2,$Q$2)/$Q$2))</f>
        <v>969.172212524414</v>
      </c>
      <c r="F495" s="15" t="n">
        <f aca="false">E495*(1+IF(F$3&lt;=$O$2,$D495,$D495-($D495-$I$481)*MIN(F$3-$O$2,$Q$2)/$Q$2))</f>
        <v>1079.61194157612</v>
      </c>
      <c r="G495" s="15" t="n">
        <f aca="false">F495*(1+IF(G$3&lt;=$O$2,$D495,$D495-($D495-$I$481)*MIN(G$3-$O$2,$Q$2)/$Q$2))</f>
        <v>1202.63656895176</v>
      </c>
      <c r="H495" s="15" t="n">
        <f aca="false">G495*(1+IF(H$3&lt;=$O$2,$D495,$D495-($D495-$I$481)*MIN(H$3-$O$2,$Q$2)/$Q$2))</f>
        <v>1339.68017699821</v>
      </c>
      <c r="I495" s="15" t="n">
        <f aca="false">H495*(1+IF(I$3&lt;=$O$2,$D495,$D495-($D495-$I$481)*MIN(I$3-$O$2,$Q$2)/$Q$2))</f>
        <v>1492.34026552699</v>
      </c>
      <c r="J495" s="15" t="n">
        <f aca="false">I495*(1+IF(J$3&lt;=$O$2,$D495,$D495-($D495-$I$481)*MIN(J$3-$O$2,$Q$2)/$Q$2))</f>
        <v>1635.33945767504</v>
      </c>
      <c r="K495" s="15" t="n">
        <f aca="false">J495*(1+IF(K$3&lt;=$O$2,$D495,$D495-($D495-$I$481)*MIN(K$3-$O$2,$Q$2)/$Q$2))</f>
        <v>1762.39156729994</v>
      </c>
      <c r="L495" s="15" t="n">
        <f aca="false">K495*(1+IF(L$3&lt;=$O$2,$D495,$D495-($D495-$I$481)*MIN(L$3-$O$2,$Q$2)/$Q$2))</f>
        <v>1867.36146782068</v>
      </c>
      <c r="M495" s="15" t="n">
        <f aca="false">L495*(1+IF(M$3&lt;=$O$2,$D495,$D495-($D495-$I$481)*MIN(M$3-$O$2,$Q$2)/$Q$2))</f>
        <v>1944.72723817389</v>
      </c>
      <c r="N495" s="15" t="n">
        <f aca="false">M495*(1+IF(N$3&lt;=$O$2,$D495,$D495-($D495-$I$481)*MIN(N$3-$O$2,$Q$2)/$Q$2))</f>
        <v>1990.03938282334</v>
      </c>
      <c r="O495" s="15" t="n">
        <f aca="false">SUMPRODUCT(E495:N495,1/(1+$F$481)^$E$3:$N$3)*$E$2</f>
        <v>2147.5120175128</v>
      </c>
      <c r="P495" s="15" t="n">
        <f aca="false">N495*$E$2*(1+$I$481)/($F$481-$I$481)/(1+$F$481)^$N$3</f>
        <v>3476.2933913117</v>
      </c>
      <c r="Q495" s="15" t="n">
        <f aca="false">O495+P495</f>
        <v>5623.80540882451</v>
      </c>
      <c r="R495" s="15" t="n">
        <f aca="false">Q495-$G$2+$I$2</f>
        <v>5791.20540882451</v>
      </c>
      <c r="S495" s="42" t="n">
        <f aca="false">R495/$K$2</f>
        <v>164.569633669352</v>
      </c>
      <c r="T495" s="43" t="n">
        <f aca="false">S495-$M$2</f>
        <v>0.0342543002132629</v>
      </c>
    </row>
    <row r="496" customFormat="false" ht="15" hidden="false" customHeight="false" outlineLevel="0" collapsed="false">
      <c r="A496" s="5" t="n">
        <v>14</v>
      </c>
      <c r="B496" s="25" t="n">
        <f aca="false">IF(T495&gt;0,B495,D495)</f>
        <v>0.11376953125</v>
      </c>
      <c r="C496" s="25" t="n">
        <f aca="false">IF(T495&gt;0,D495,C495)</f>
        <v>0.11395263671875</v>
      </c>
      <c r="D496" s="41" t="n">
        <f aca="false">(B496+C496)/2</f>
        <v>0.113861083984375</v>
      </c>
      <c r="E496" s="15" t="n">
        <f aca="false">$C$2*(1+IF(E$3&lt;=$O$2,$D496,$D496-($D496-$I$481)*MIN(E$3-$O$2,$Q$2)/$Q$2))</f>
        <v>969.092558898926</v>
      </c>
      <c r="F496" s="15" t="n">
        <f aca="false">E496*(1+IF(F$3&lt;=$O$2,$D496,$D496-($D496-$I$481)*MIN(F$3-$O$2,$Q$2)/$Q$2))</f>
        <v>1079.43448813635</v>
      </c>
      <c r="G496" s="15" t="n">
        <f aca="false">F496*(1+IF(G$3&lt;=$O$2,$D496,$D496-($D496-$I$481)*MIN(G$3-$O$2,$Q$2)/$Q$2))</f>
        <v>1202.34006904567</v>
      </c>
      <c r="H496" s="15" t="n">
        <f aca="false">G496*(1+IF(H$3&lt;=$O$2,$D496,$D496-($D496-$I$481)*MIN(H$3-$O$2,$Q$2)/$Q$2))</f>
        <v>1339.23981262506</v>
      </c>
      <c r="I496" s="15" t="n">
        <f aca="false">H496*(1+IF(I$3&lt;=$O$2,$D496,$D496-($D496-$I$481)*MIN(I$3-$O$2,$Q$2)/$Q$2))</f>
        <v>1491.72710940558</v>
      </c>
      <c r="J496" s="15" t="n">
        <f aca="false">I496*(1+IF(J$3&lt;=$O$2,$D496,$D496-($D496-$I$481)*MIN(J$3-$O$2,$Q$2)/$Q$2))</f>
        <v>1634.55829028405</v>
      </c>
      <c r="K496" s="15" t="n">
        <f aca="false">J496*(1+IF(K$3&lt;=$O$2,$D496,$D496-($D496-$I$481)*MIN(K$3-$O$2,$Q$2)/$Q$2))</f>
        <v>1761.45992080993</v>
      </c>
      <c r="L496" s="15" t="n">
        <f aca="false">K496*(1+IF(L$3&lt;=$O$2,$D496,$D496-($D496-$I$481)*MIN(L$3-$O$2,$Q$2)/$Q$2))</f>
        <v>1866.30982489423</v>
      </c>
      <c r="M496" s="15" t="n">
        <f aca="false">L496*(1+IF(M$3&lt;=$O$2,$D496,$D496-($D496-$I$481)*MIN(M$3-$O$2,$Q$2)/$Q$2))</f>
        <v>1943.59785197289</v>
      </c>
      <c r="N496" s="15" t="n">
        <f aca="false">M496*(1+IF(N$3&lt;=$O$2,$D496,$D496-($D496-$I$481)*MIN(N$3-$O$2,$Q$2)/$Q$2))</f>
        <v>1988.88368192386</v>
      </c>
      <c r="O496" s="15" t="n">
        <f aca="false">SUMPRODUCT(E496:N496,1/(1+$F$481)^$E$3:$N$3)*$E$2</f>
        <v>2146.65303334399</v>
      </c>
      <c r="P496" s="15" t="n">
        <f aca="false">N496*$E$2*(1+$I$481)/($F$481-$I$481)/(1+$F$481)^$N$3</f>
        <v>3474.27455920523</v>
      </c>
      <c r="Q496" s="15" t="n">
        <f aca="false">O496+P496</f>
        <v>5620.92759254921</v>
      </c>
      <c r="R496" s="15" t="n">
        <f aca="false">Q496-$G$2+$I$2</f>
        <v>5788.32759254921</v>
      </c>
      <c r="S496" s="42" t="n">
        <f aca="false">R496/$K$2</f>
        <v>164.48785429239</v>
      </c>
      <c r="T496" s="43" t="n">
        <f aca="false">S496-$M$2</f>
        <v>-0.047525076748741</v>
      </c>
    </row>
    <row r="497" customFormat="false" ht="15" hidden="false" customHeight="false" outlineLevel="0" collapsed="false">
      <c r="A497" s="5" t="n">
        <v>15</v>
      </c>
      <c r="B497" s="25" t="n">
        <f aca="false">IF(T496&gt;0,B496,D496)</f>
        <v>0.113861083984375</v>
      </c>
      <c r="C497" s="25" t="n">
        <f aca="false">IF(T496&gt;0,D496,C496)</f>
        <v>0.11395263671875</v>
      </c>
      <c r="D497" s="41" t="n">
        <f aca="false">(B497+C497)/2</f>
        <v>0.113906860351563</v>
      </c>
      <c r="E497" s="15" t="n">
        <f aca="false">$C$2*(1+IF(E$3&lt;=$O$2,$D497,$D497-($D497-$I$481)*MIN(E$3-$O$2,$Q$2)/$Q$2))</f>
        <v>969.13238571167</v>
      </c>
      <c r="F497" s="15" t="n">
        <f aca="false">E497*(1+IF(F$3&lt;=$O$2,$D497,$D497-($D497-$I$481)*MIN(F$3-$O$2,$Q$2)/$Q$2))</f>
        <v>1079.52321303311</v>
      </c>
      <c r="G497" s="15" t="n">
        <f aca="false">F497*(1+IF(G$3&lt;=$O$2,$D497,$D497-($D497-$I$481)*MIN(G$3-$O$2,$Q$2)/$Q$2))</f>
        <v>1202.48831290634</v>
      </c>
      <c r="H497" s="15" t="n">
        <f aca="false">G497*(1+IF(H$3&lt;=$O$2,$D497,$D497-($D497-$I$481)*MIN(H$3-$O$2,$Q$2)/$Q$2))</f>
        <v>1339.45998123895</v>
      </c>
      <c r="I497" s="15" t="n">
        <f aca="false">H497*(1+IF(I$3&lt;=$O$2,$D497,$D497-($D497-$I$481)*MIN(I$3-$O$2,$Q$2)/$Q$2))</f>
        <v>1492.03366226844</v>
      </c>
      <c r="J497" s="15" t="n">
        <f aca="false">I497*(1+IF(J$3&lt;=$O$2,$D497,$D497-($D497-$I$481)*MIN(J$3-$O$2,$Q$2)/$Q$2))</f>
        <v>1634.94883514088</v>
      </c>
      <c r="K497" s="15" t="n">
        <f aca="false">J497*(1+IF(K$3&lt;=$O$2,$D497,$D497-($D497-$I$481)*MIN(K$3-$O$2,$Q$2)/$Q$2))</f>
        <v>1761.9256914722</v>
      </c>
      <c r="L497" s="15" t="n">
        <f aca="false">K497*(1+IF(L$3&lt;=$O$2,$D497,$D497-($D497-$I$481)*MIN(L$3-$O$2,$Q$2)/$Q$2))</f>
        <v>1866.83558211432</v>
      </c>
      <c r="M497" s="15" t="n">
        <f aca="false">L497*(1+IF(M$3&lt;=$O$2,$D497,$D497-($D497-$I$481)*MIN(M$3-$O$2,$Q$2)/$Q$2))</f>
        <v>1944.16247335518</v>
      </c>
      <c r="N497" s="15" t="n">
        <f aca="false">M497*(1+IF(N$3&lt;=$O$2,$D497,$D497-($D497-$I$481)*MIN(N$3-$O$2,$Q$2)/$Q$2))</f>
        <v>1989.46145898435</v>
      </c>
      <c r="O497" s="15" t="n">
        <f aca="false">SUMPRODUCT(E497:N497,1/(1+$F$481)^$E$3:$N$3)*$E$2</f>
        <v>2147.08248301012</v>
      </c>
      <c r="P497" s="15" t="n">
        <f aca="false">N497*$E$2*(1+$I$481)/($F$481-$I$481)/(1+$F$481)^$N$3</f>
        <v>3475.28384705871</v>
      </c>
      <c r="Q497" s="15" t="n">
        <f aca="false">O497+P497</f>
        <v>5622.36633006884</v>
      </c>
      <c r="R497" s="15" t="n">
        <f aca="false">Q497-$G$2+$I$2</f>
        <v>5789.76633006884</v>
      </c>
      <c r="S497" s="42" t="n">
        <f aca="false">R497/$K$2</f>
        <v>164.528739132391</v>
      </c>
      <c r="T497" s="43" t="n">
        <f aca="false">S497-$M$2</f>
        <v>-0.00664023674809755</v>
      </c>
    </row>
    <row r="498" customFormat="false" ht="15" hidden="false" customHeight="false" outlineLevel="0" collapsed="false">
      <c r="A498" s="5" t="n">
        <v>16</v>
      </c>
      <c r="B498" s="25" t="n">
        <f aca="false">IF(T497&gt;0,B497,D497)</f>
        <v>0.113906860351563</v>
      </c>
      <c r="C498" s="25" t="n">
        <f aca="false">IF(T497&gt;0,D497,C497)</f>
        <v>0.11395263671875</v>
      </c>
      <c r="D498" s="41" t="n">
        <f aca="false">(B498+C498)/2</f>
        <v>0.113929748535156</v>
      </c>
      <c r="E498" s="15" t="n">
        <f aca="false">$C$2*(1+IF(E$3&lt;=$O$2,$D498,$D498-($D498-$I$481)*MIN(E$3-$O$2,$Q$2)/$Q$2))</f>
        <v>969.152299118042</v>
      </c>
      <c r="F498" s="15" t="n">
        <f aca="false">E498*(1+IF(F$3&lt;=$O$2,$D498,$D498-($D498-$I$481)*MIN(F$3-$O$2,$Q$2)/$Q$2))</f>
        <v>1079.56757684883</v>
      </c>
      <c r="G498" s="15" t="n">
        <f aca="false">F498*(1+IF(G$3&lt;=$O$2,$D498,$D498-($D498-$I$481)*MIN(G$3-$O$2,$Q$2)/$Q$2))</f>
        <v>1202.56243940592</v>
      </c>
      <c r="H498" s="15" t="n">
        <f aca="false">G498*(1+IF(H$3&lt;=$O$2,$D498,$D498-($D498-$I$481)*MIN(H$3-$O$2,$Q$2)/$Q$2))</f>
        <v>1339.57007572527</v>
      </c>
      <c r="I498" s="15" t="n">
        <f aca="false">H498*(1+IF(I$3&lt;=$O$2,$D498,$D498-($D498-$I$481)*MIN(I$3-$O$2,$Q$2)/$Q$2))</f>
        <v>1492.18695759786</v>
      </c>
      <c r="J498" s="15" t="n">
        <f aca="false">I498*(1+IF(J$3&lt;=$O$2,$D498,$D498-($D498-$I$481)*MIN(J$3-$O$2,$Q$2)/$Q$2))</f>
        <v>1635.14413669752</v>
      </c>
      <c r="K498" s="15" t="n">
        <f aca="false">J498*(1+IF(K$3&lt;=$O$2,$D498,$D498-($D498-$I$481)*MIN(K$3-$O$2,$Q$2)/$Q$2))</f>
        <v>1762.15861623915</v>
      </c>
      <c r="L498" s="15" t="n">
        <f aca="false">K498*(1+IF(L$3&lt;=$O$2,$D498,$D498-($D498-$I$481)*MIN(L$3-$O$2,$Q$2)/$Q$2))</f>
        <v>1867.09850890505</v>
      </c>
      <c r="M498" s="15" t="n">
        <f aca="false">L498*(1+IF(M$3&lt;=$O$2,$D498,$D498-($D498-$I$481)*MIN(M$3-$O$2,$Q$2)/$Q$2))</f>
        <v>1944.44483783302</v>
      </c>
      <c r="N498" s="15" t="n">
        <f aca="false">M498*(1+IF(N$3&lt;=$O$2,$D498,$D498-($D498-$I$481)*MIN(N$3-$O$2,$Q$2)/$Q$2))</f>
        <v>1989.75040255453</v>
      </c>
      <c r="O498" s="15" t="n">
        <f aca="false">SUMPRODUCT(E498:N498,1/(1+$F$481)^$E$3:$N$3)*$E$2</f>
        <v>2147.29723965593</v>
      </c>
      <c r="P498" s="15" t="n">
        <f aca="false">N498*$E$2*(1+$I$481)/($F$481-$I$481)/(1+$F$481)^$N$3</f>
        <v>3475.78858713178</v>
      </c>
      <c r="Q498" s="15" t="n">
        <f aca="false">O498+P498</f>
        <v>5623.0858267877</v>
      </c>
      <c r="R498" s="15" t="n">
        <f aca="false">Q498-$G$2+$I$2</f>
        <v>5790.4858267877</v>
      </c>
      <c r="S498" s="42" t="n">
        <f aca="false">R498/$K$2</f>
        <v>164.549185188625</v>
      </c>
      <c r="T498" s="43" t="n">
        <f aca="false">S498-$M$2</f>
        <v>0.0138058194856967</v>
      </c>
    </row>
    <row r="499" customFormat="false" ht="15" hidden="false" customHeight="false" outlineLevel="0" collapsed="false">
      <c r="A499" s="5" t="n">
        <v>17</v>
      </c>
      <c r="B499" s="25" t="n">
        <f aca="false">IF(T498&gt;0,B498,D498)</f>
        <v>0.113906860351563</v>
      </c>
      <c r="C499" s="25" t="n">
        <f aca="false">IF(T498&gt;0,D498,C498)</f>
        <v>0.113929748535156</v>
      </c>
      <c r="D499" s="41" t="n">
        <f aca="false">(B499+C499)/2</f>
        <v>0.113918304443359</v>
      </c>
      <c r="E499" s="15" t="n">
        <f aca="false">$C$2*(1+IF(E$3&lt;=$O$2,$D499,$D499-($D499-$I$481)*MIN(E$3-$O$2,$Q$2)/$Q$2))</f>
        <v>969.142342414856</v>
      </c>
      <c r="F499" s="15" t="n">
        <f aca="false">E499*(1+IF(F$3&lt;=$O$2,$D499,$D499-($D499-$I$481)*MIN(F$3-$O$2,$Q$2)/$Q$2))</f>
        <v>1079.54539482702</v>
      </c>
      <c r="G499" s="15" t="n">
        <f aca="false">F499*(1+IF(G$3&lt;=$O$2,$D499,$D499-($D499-$I$481)*MIN(G$3-$O$2,$Q$2)/$Q$2))</f>
        <v>1202.52537577535</v>
      </c>
      <c r="H499" s="15" t="n">
        <f aca="false">G499*(1+IF(H$3&lt;=$O$2,$D499,$D499-($D499-$I$481)*MIN(H$3-$O$2,$Q$2)/$Q$2))</f>
        <v>1339.5150276338</v>
      </c>
      <c r="I499" s="15" t="n">
        <f aca="false">H499*(1+IF(I$3&lt;=$O$2,$D499,$D499-($D499-$I$481)*MIN(I$3-$O$2,$Q$2)/$Q$2))</f>
        <v>1492.11030835824</v>
      </c>
      <c r="J499" s="15" t="n">
        <f aca="false">I499*(1+IF(J$3&lt;=$O$2,$D499,$D499-($D499-$I$481)*MIN(J$3-$O$2,$Q$2)/$Q$2))</f>
        <v>1635.04648349169</v>
      </c>
      <c r="K499" s="15" t="n">
        <f aca="false">J499*(1+IF(K$3&lt;=$O$2,$D499,$D499-($D499-$I$481)*MIN(K$3-$O$2,$Q$2)/$Q$2))</f>
        <v>1762.0421505691</v>
      </c>
      <c r="L499" s="15" t="n">
        <f aca="false">K499*(1+IF(L$3&lt;=$O$2,$D499,$D499-($D499-$I$481)*MIN(L$3-$O$2,$Q$2)/$Q$2))</f>
        <v>1866.96704149428</v>
      </c>
      <c r="M499" s="15" t="n">
        <f aca="false">L499*(1+IF(M$3&lt;=$O$2,$D499,$D499-($D499-$I$481)*MIN(M$3-$O$2,$Q$2)/$Q$2))</f>
        <v>1944.30365111147</v>
      </c>
      <c r="N499" s="15" t="n">
        <f aca="false">M499*(1+IF(N$3&lt;=$O$2,$D499,$D499-($D499-$I$481)*MIN(N$3-$O$2,$Q$2)/$Q$2))</f>
        <v>1989.60592618237</v>
      </c>
      <c r="O499" s="15" t="n">
        <f aca="false">SUMPRODUCT(E499:N499,1/(1+$F$481)^$E$3:$N$3)*$E$2</f>
        <v>2147.18985868176</v>
      </c>
      <c r="P499" s="15" t="n">
        <f aca="false">N499*$E$2*(1+$I$481)/($F$481-$I$481)/(1+$F$481)^$N$3</f>
        <v>3475.53620908232</v>
      </c>
      <c r="Q499" s="15" t="n">
        <f aca="false">O499+P499</f>
        <v>5622.72606776408</v>
      </c>
      <c r="R499" s="15" t="n">
        <f aca="false">Q499-$G$2+$I$2</f>
        <v>5790.12606776409</v>
      </c>
      <c r="S499" s="42" t="n">
        <f aca="false">R499/$K$2</f>
        <v>164.538961857462</v>
      </c>
      <c r="T499" s="43" t="n">
        <f aca="false">S499-$M$2</f>
        <v>0.00358248832290542</v>
      </c>
    </row>
    <row r="500" customFormat="false" ht="15" hidden="false" customHeight="false" outlineLevel="0" collapsed="false">
      <c r="A500" s="5" t="n">
        <v>18</v>
      </c>
      <c r="B500" s="25" t="n">
        <f aca="false">IF(T499&gt;0,B499,D499)</f>
        <v>0.113906860351563</v>
      </c>
      <c r="C500" s="25" t="n">
        <f aca="false">IF(T499&gt;0,D499,C499)</f>
        <v>0.113918304443359</v>
      </c>
      <c r="D500" s="41" t="n">
        <f aca="false">(B500+C500)/2</f>
        <v>0.113912582397461</v>
      </c>
      <c r="E500" s="15" t="n">
        <f aca="false">$C$2*(1+IF(E$3&lt;=$O$2,$D500,$D500-($D500-$I$481)*MIN(E$3-$O$2,$Q$2)/$Q$2))</f>
        <v>969.137364063263</v>
      </c>
      <c r="F500" s="15" t="n">
        <f aca="false">E500*(1+IF(F$3&lt;=$O$2,$D500,$D500-($D500-$I$481)*MIN(F$3-$O$2,$Q$2)/$Q$2))</f>
        <v>1079.53430390158</v>
      </c>
      <c r="G500" s="15" t="n">
        <f aca="false">F500*(1+IF(G$3&lt;=$O$2,$D500,$D500-($D500-$I$481)*MIN(G$3-$O$2,$Q$2)/$Q$2))</f>
        <v>1202.50684424565</v>
      </c>
      <c r="H500" s="15" t="n">
        <f aca="false">G500*(1+IF(H$3&lt;=$O$2,$D500,$D500-($D500-$I$481)*MIN(H$3-$O$2,$Q$2)/$Q$2))</f>
        <v>1339.4875042243</v>
      </c>
      <c r="I500" s="15" t="n">
        <f aca="false">H500*(1+IF(I$3&lt;=$O$2,$D500,$D500-($D500-$I$481)*MIN(I$3-$O$2,$Q$2)/$Q$2))</f>
        <v>1492.07198491961</v>
      </c>
      <c r="J500" s="15" t="n">
        <f aca="false">I500*(1+IF(J$3&lt;=$O$2,$D500,$D500-($D500-$I$481)*MIN(J$3-$O$2,$Q$2)/$Q$2))</f>
        <v>1634.99765870942</v>
      </c>
      <c r="K500" s="15" t="n">
        <f aca="false">J500*(1+IF(K$3&lt;=$O$2,$D500,$D500-($D500-$I$481)*MIN(K$3-$O$2,$Q$2)/$Q$2))</f>
        <v>1761.98392019903</v>
      </c>
      <c r="L500" s="15" t="n">
        <f aca="false">K500*(1+IF(L$3&lt;=$O$2,$D500,$D500-($D500-$I$481)*MIN(L$3-$O$2,$Q$2)/$Q$2))</f>
        <v>1866.90131080048</v>
      </c>
      <c r="M500" s="15" t="n">
        <f aca="false">L500*(1+IF(M$3&lt;=$O$2,$D500,$D500-($D500-$I$481)*MIN(M$3-$O$2,$Q$2)/$Q$2))</f>
        <v>1944.2330611127</v>
      </c>
      <c r="N500" s="15" t="n">
        <f aca="false">M500*(1+IF(N$3&lt;=$O$2,$D500,$D500-($D500-$I$481)*MIN(N$3-$O$2,$Q$2)/$Q$2))</f>
        <v>1989.53369143662</v>
      </c>
      <c r="O500" s="15" t="n">
        <f aca="false">SUMPRODUCT(E500:N500,1/(1+$F$481)^$E$3:$N$3)*$E$2</f>
        <v>2147.13617018314</v>
      </c>
      <c r="P500" s="15" t="n">
        <f aca="false">N500*$E$2*(1+$I$481)/($F$481-$I$481)/(1+$F$481)^$N$3</f>
        <v>3475.41002606734</v>
      </c>
      <c r="Q500" s="15" t="n">
        <f aca="false">O500+P500</f>
        <v>5622.54619625048</v>
      </c>
      <c r="R500" s="15" t="n">
        <f aca="false">Q500-$G$2+$I$2</f>
        <v>5789.94619625048</v>
      </c>
      <c r="S500" s="42" t="n">
        <f aca="false">R500/$K$2</f>
        <v>164.533850419167</v>
      </c>
      <c r="T500" s="43" t="n">
        <f aca="false">S500-$M$2</f>
        <v>-0.00152894997208364</v>
      </c>
    </row>
    <row r="501" customFormat="false" ht="15" hidden="false" customHeight="false" outlineLevel="0" collapsed="false">
      <c r="A501" s="5" t="n">
        <v>19</v>
      </c>
      <c r="B501" s="25" t="n">
        <f aca="false">IF(T500&gt;0,B500,D500)</f>
        <v>0.113912582397461</v>
      </c>
      <c r="C501" s="25" t="n">
        <f aca="false">IF(T500&gt;0,D500,C500)</f>
        <v>0.113918304443359</v>
      </c>
      <c r="D501" s="41" t="n">
        <f aca="false">(B501+C501)/2</f>
        <v>0.11391544342041</v>
      </c>
      <c r="E501" s="15" t="n">
        <f aca="false">$C$2*(1+IF(E$3&lt;=$O$2,$D501,$D501-($D501-$I$481)*MIN(E$3-$O$2,$Q$2)/$Q$2))</f>
        <v>969.139853239059</v>
      </c>
      <c r="F501" s="15" t="n">
        <f aca="false">E501*(1+IF(F$3&lt;=$O$2,$D501,$D501-($D501-$I$481)*MIN(F$3-$O$2,$Q$2)/$Q$2))</f>
        <v>1079.53984935718</v>
      </c>
      <c r="G501" s="15" t="n">
        <f aca="false">F501*(1+IF(G$3&lt;=$O$2,$D501,$D501-($D501-$I$481)*MIN(G$3-$O$2,$Q$2)/$Q$2))</f>
        <v>1202.5161099867</v>
      </c>
      <c r="H501" s="15" t="n">
        <f aca="false">G501*(1+IF(H$3&lt;=$O$2,$D501,$D501-($D501-$I$481)*MIN(H$3-$O$2,$Q$2)/$Q$2))</f>
        <v>1339.50126587603</v>
      </c>
      <c r="I501" s="15" t="n">
        <f aca="false">H501*(1+IF(I$3&lt;=$O$2,$D501,$D501-($D501-$I$481)*MIN(I$3-$O$2,$Q$2)/$Q$2))</f>
        <v>1492.09114654049</v>
      </c>
      <c r="J501" s="15" t="n">
        <f aca="false">I501*(1+IF(J$3&lt;=$O$2,$D501,$D501-($D501-$I$481)*MIN(J$3-$O$2,$Q$2)/$Q$2))</f>
        <v>1635.02207094884</v>
      </c>
      <c r="K501" s="15" t="n">
        <f aca="false">J501*(1+IF(K$3&lt;=$O$2,$D501,$D501-($D501-$I$481)*MIN(K$3-$O$2,$Q$2)/$Q$2))</f>
        <v>1762.01303517866</v>
      </c>
      <c r="L501" s="15" t="n">
        <f aca="false">K501*(1+IF(L$3&lt;=$O$2,$D501,$D501-($D501-$I$481)*MIN(L$3-$O$2,$Q$2)/$Q$2))</f>
        <v>1866.93417589642</v>
      </c>
      <c r="M501" s="15" t="n">
        <f aca="false">L501*(1+IF(M$3&lt;=$O$2,$D501,$D501-($D501-$I$481)*MIN(M$3-$O$2,$Q$2)/$Q$2))</f>
        <v>1944.26835583192</v>
      </c>
      <c r="N501" s="15" t="n">
        <f aca="false">M501*(1+IF(N$3&lt;=$O$2,$D501,$D501-($D501-$I$481)*MIN(N$3-$O$2,$Q$2)/$Q$2))</f>
        <v>1989.56980852281</v>
      </c>
      <c r="O501" s="15" t="n">
        <f aca="false">SUMPRODUCT(E501:N501,1/(1+$F$481)^$E$3:$N$3)*$E$2</f>
        <v>2147.16301426675</v>
      </c>
      <c r="P501" s="15" t="n">
        <f aca="false">N501*$E$2*(1+$I$481)/($F$481-$I$481)/(1+$F$481)^$N$3</f>
        <v>3475.47311707403</v>
      </c>
      <c r="Q501" s="15" t="n">
        <f aca="false">O501+P501</f>
        <v>5622.63613134078</v>
      </c>
      <c r="R501" s="15" t="n">
        <f aca="false">Q501-$G$2+$I$2</f>
        <v>5790.03613134078</v>
      </c>
      <c r="S501" s="42" t="n">
        <f aca="false">R501/$K$2</f>
        <v>164.536406119374</v>
      </c>
      <c r="T501" s="43" t="n">
        <f aca="false">S501-$M$2</f>
        <v>0.00102675023535426</v>
      </c>
    </row>
    <row r="502" customFormat="false" ht="15" hidden="false" customHeight="false" outlineLevel="0" collapsed="false">
      <c r="A502" s="5" t="n">
        <v>20</v>
      </c>
      <c r="B502" s="25" t="n">
        <f aca="false">IF(T501&gt;0,B501,D501)</f>
        <v>0.113912582397461</v>
      </c>
      <c r="C502" s="25" t="n">
        <f aca="false">IF(T501&gt;0,D501,C501)</f>
        <v>0.11391544342041</v>
      </c>
      <c r="D502" s="41" t="n">
        <f aca="false">(B502+C502)/2</f>
        <v>0.113914012908936</v>
      </c>
      <c r="E502" s="15" t="n">
        <f aca="false">$C$2*(1+IF(E$3&lt;=$O$2,$D502,$D502-($D502-$I$481)*MIN(E$3-$O$2,$Q$2)/$Q$2))</f>
        <v>969.138608651161</v>
      </c>
      <c r="F502" s="15" t="n">
        <f aca="false">E502*(1+IF(F$3&lt;=$O$2,$D502,$D502-($D502-$I$481)*MIN(F$3-$O$2,$Q$2)/$Q$2))</f>
        <v>1079.5370766276</v>
      </c>
      <c r="G502" s="15" t="n">
        <f aca="false">F502*(1+IF(G$3&lt;=$O$2,$D502,$D502-($D502-$I$481)*MIN(G$3-$O$2,$Q$2)/$Q$2))</f>
        <v>1202.51147711023</v>
      </c>
      <c r="H502" s="15" t="n">
        <f aca="false">G502*(1+IF(H$3&lt;=$O$2,$D502,$D502-($D502-$I$481)*MIN(H$3-$O$2,$Q$2)/$Q$2))</f>
        <v>1339.49438503691</v>
      </c>
      <c r="I502" s="15" t="n">
        <f aca="false">H502*(1+IF(I$3&lt;=$O$2,$D502,$D502-($D502-$I$481)*MIN(I$3-$O$2,$Q$2)/$Q$2))</f>
        <v>1492.08156570545</v>
      </c>
      <c r="J502" s="15" t="n">
        <f aca="false">I502*(1+IF(J$3&lt;=$O$2,$D502,$D502-($D502-$I$481)*MIN(J$3-$O$2,$Q$2)/$Q$2))</f>
        <v>1635.0098647912</v>
      </c>
      <c r="K502" s="15" t="n">
        <f aca="false">J502*(1+IF(K$3&lt;=$O$2,$D502,$D502-($D502-$I$481)*MIN(K$3-$O$2,$Q$2)/$Q$2))</f>
        <v>1761.99847763749</v>
      </c>
      <c r="L502" s="15" t="n">
        <f aca="false">K502*(1+IF(L$3&lt;=$O$2,$D502,$D502-($D502-$I$481)*MIN(L$3-$O$2,$Q$2)/$Q$2))</f>
        <v>1866.91774328571</v>
      </c>
      <c r="M502" s="15" t="n">
        <f aca="false">L502*(1+IF(M$3&lt;=$O$2,$D502,$D502-($D502-$I$481)*MIN(M$3-$O$2,$Q$2)/$Q$2))</f>
        <v>1944.25070840227</v>
      </c>
      <c r="N502" s="15" t="n">
        <f aca="false">M502*(1+IF(N$3&lt;=$O$2,$D502,$D502-($D502-$I$481)*MIN(N$3-$O$2,$Q$2)/$Q$2))</f>
        <v>1989.55174990804</v>
      </c>
      <c r="O502" s="15" t="n">
        <f aca="false">SUMPRODUCT(E502:N502,1/(1+$F$481)^$E$3:$N$3)*$E$2</f>
        <v>2147.14959218352</v>
      </c>
      <c r="P502" s="15" t="n">
        <f aca="false">N502*$E$2*(1+$I$481)/($F$481-$I$481)/(1+$F$481)^$N$3</f>
        <v>3475.44157144549</v>
      </c>
      <c r="Q502" s="15" t="n">
        <f aca="false">O502+P502</f>
        <v>5622.59116362901</v>
      </c>
      <c r="R502" s="15" t="n">
        <f aca="false">Q502-$G$2+$I$2</f>
        <v>5789.99116362901</v>
      </c>
      <c r="S502" s="42" t="n">
        <f aca="false">R502/$K$2</f>
        <v>164.535128264536</v>
      </c>
      <c r="T502" s="43" t="n">
        <f aca="false">S502-$M$2</f>
        <v>-0.000251104603364638</v>
      </c>
    </row>
    <row r="503" customFormat="false" ht="15" hidden="false" customHeight="false" outlineLevel="0" collapsed="false">
      <c r="A503" s="5" t="n">
        <v>21</v>
      </c>
      <c r="B503" s="25" t="n">
        <f aca="false">IF(T502&gt;0,B502,D502)</f>
        <v>0.113914012908936</v>
      </c>
      <c r="C503" s="25" t="n">
        <f aca="false">IF(T502&gt;0,D502,C502)</f>
        <v>0.11391544342041</v>
      </c>
      <c r="D503" s="41" t="n">
        <f aca="false">(B503+C503)/2</f>
        <v>0.113914728164673</v>
      </c>
      <c r="E503" s="15" t="n">
        <f aca="false">$C$2*(1+IF(E$3&lt;=$O$2,$D503,$D503-($D503-$I$481)*MIN(E$3-$O$2,$Q$2)/$Q$2))</f>
        <v>969.13923094511</v>
      </c>
      <c r="F503" s="15" t="n">
        <f aca="false">E503*(1+IF(F$3&lt;=$O$2,$D503,$D503-($D503-$I$481)*MIN(F$3-$O$2,$Q$2)/$Q$2))</f>
        <v>1079.53846299194</v>
      </c>
      <c r="G503" s="15" t="n">
        <f aca="false">F503*(1+IF(G$3&lt;=$O$2,$D503,$D503-($D503-$I$481)*MIN(G$3-$O$2,$Q$2)/$Q$2))</f>
        <v>1202.51379354698</v>
      </c>
      <c r="H503" s="15" t="n">
        <f aca="false">G503*(1+IF(H$3&lt;=$O$2,$D503,$D503-($D503-$I$481)*MIN(H$3-$O$2,$Q$2)/$Q$2))</f>
        <v>1339.49782545315</v>
      </c>
      <c r="I503" s="15" t="n">
        <f aca="false">H503*(1+IF(I$3&lt;=$O$2,$D503,$D503-($D503-$I$481)*MIN(I$3-$O$2,$Q$2)/$Q$2))</f>
        <v>1492.08635611682</v>
      </c>
      <c r="J503" s="15" t="n">
        <f aca="false">I503*(1+IF(J$3&lt;=$O$2,$D503,$D503-($D503-$I$481)*MIN(J$3-$O$2,$Q$2)/$Q$2))</f>
        <v>1635.01596786053</v>
      </c>
      <c r="K503" s="15" t="n">
        <f aca="false">J503*(1+IF(K$3&lt;=$O$2,$D503,$D503-($D503-$I$481)*MIN(K$3-$O$2,$Q$2)/$Q$2))</f>
        <v>1762.00575639523</v>
      </c>
      <c r="L503" s="15" t="n">
        <f aca="false">K503*(1+IF(L$3&lt;=$O$2,$D503,$D503-($D503-$I$481)*MIN(L$3-$O$2,$Q$2)/$Q$2))</f>
        <v>1866.92595957538</v>
      </c>
      <c r="M503" s="15" t="n">
        <f aca="false">L503*(1+IF(M$3&lt;=$O$2,$D503,$D503-($D503-$I$481)*MIN(M$3-$O$2,$Q$2)/$Q$2))</f>
        <v>1944.25953209959</v>
      </c>
      <c r="N503" s="15" t="n">
        <f aca="false">M503*(1+IF(N$3&lt;=$O$2,$D503,$D503-($D503-$I$481)*MIN(N$3-$O$2,$Q$2)/$Q$2))</f>
        <v>1989.56077919751</v>
      </c>
      <c r="O503" s="15" t="n">
        <f aca="false">SUMPRODUCT(E503:N503,1/(1+$F$481)^$E$3:$N$3)*$E$2</f>
        <v>2147.15630321478</v>
      </c>
      <c r="P503" s="15" t="n">
        <f aca="false">N503*$E$2*(1+$I$481)/($F$481-$I$481)/(1+$F$481)^$N$3</f>
        <v>3475.45734422846</v>
      </c>
      <c r="Q503" s="15" t="n">
        <f aca="false">O503+P503</f>
        <v>5622.61364744324</v>
      </c>
      <c r="R503" s="15" t="n">
        <f aca="false">Q503-$G$2+$I$2</f>
        <v>5790.01364744324</v>
      </c>
      <c r="S503" s="42" t="n">
        <f aca="false">R503/$K$2</f>
        <v>164.535767190771</v>
      </c>
      <c r="T503" s="43" t="n">
        <f aca="false">S503-$M$2</f>
        <v>0.000387821632216401</v>
      </c>
    </row>
    <row r="504" customFormat="false" ht="15" hidden="false" customHeight="false" outlineLevel="0" collapsed="false">
      <c r="A504" s="5" t="n">
        <v>22</v>
      </c>
      <c r="B504" s="25" t="n">
        <f aca="false">IF(T503&gt;0,B503,D503)</f>
        <v>0.113914012908936</v>
      </c>
      <c r="C504" s="25" t="n">
        <f aca="false">IF(T503&gt;0,D503,C503)</f>
        <v>0.113914728164673</v>
      </c>
      <c r="D504" s="41" t="n">
        <f aca="false">(B504+C504)/2</f>
        <v>0.113914370536804</v>
      </c>
      <c r="E504" s="15" t="n">
        <f aca="false">$C$2*(1+IF(E$3&lt;=$O$2,$D504,$D504-($D504-$I$481)*MIN(E$3-$O$2,$Q$2)/$Q$2))</f>
        <v>969.138919798136</v>
      </c>
      <c r="F504" s="15" t="n">
        <f aca="false">E504*(1+IF(F$3&lt;=$O$2,$D504,$D504-($D504-$I$481)*MIN(F$3-$O$2,$Q$2)/$Q$2))</f>
        <v>1079.53776980966</v>
      </c>
      <c r="G504" s="15" t="n">
        <f aca="false">F504*(1+IF(G$3&lt;=$O$2,$D504,$D504-($D504-$I$481)*MIN(G$3-$O$2,$Q$2)/$Q$2))</f>
        <v>1202.51263532823</v>
      </c>
      <c r="H504" s="15" t="n">
        <f aca="false">G504*(1+IF(H$3&lt;=$O$2,$D504,$D504-($D504-$I$481)*MIN(H$3-$O$2,$Q$2)/$Q$2))</f>
        <v>1339.4961052442</v>
      </c>
      <c r="I504" s="15" t="n">
        <f aca="false">H504*(1+IF(I$3&lt;=$O$2,$D504,$D504-($D504-$I$481)*MIN(I$3-$O$2,$Q$2)/$Q$2))</f>
        <v>1492.08396090959</v>
      </c>
      <c r="J504" s="15" t="n">
        <f aca="false">I504*(1+IF(J$3&lt;=$O$2,$D504,$D504-($D504-$I$481)*MIN(J$3-$O$2,$Q$2)/$Q$2))</f>
        <v>1635.0129163235</v>
      </c>
      <c r="K504" s="15" t="n">
        <f aca="false">J504*(1+IF(K$3&lt;=$O$2,$D504,$D504-($D504-$I$481)*MIN(K$3-$O$2,$Q$2)/$Q$2))</f>
        <v>1762.00211701315</v>
      </c>
      <c r="L504" s="15" t="n">
        <f aca="false">K504*(1+IF(L$3&lt;=$O$2,$D504,$D504-($D504-$I$481)*MIN(L$3-$O$2,$Q$2)/$Q$2))</f>
        <v>1866.92185142662</v>
      </c>
      <c r="M504" s="15" t="n">
        <f aca="false">L504*(1+IF(M$3&lt;=$O$2,$D504,$D504-($D504-$I$481)*MIN(M$3-$O$2,$Q$2)/$Q$2))</f>
        <v>1944.25512024655</v>
      </c>
      <c r="N504" s="15" t="n">
        <f aca="false">M504*(1+IF(N$3&lt;=$O$2,$D504,$D504-($D504-$I$481)*MIN(N$3-$O$2,$Q$2)/$Q$2))</f>
        <v>1989.55626454829</v>
      </c>
      <c r="O504" s="15" t="n">
        <f aca="false">SUMPRODUCT(E504:N504,1/(1+$F$481)^$E$3:$N$3)*$E$2</f>
        <v>2147.15294769656</v>
      </c>
      <c r="P504" s="15" t="n">
        <f aca="false">N504*$E$2*(1+$I$481)/($F$481-$I$481)/(1+$F$481)^$N$3</f>
        <v>3475.44945782915</v>
      </c>
      <c r="Q504" s="15" t="n">
        <f aca="false">O504+P504</f>
        <v>5622.60240552571</v>
      </c>
      <c r="R504" s="15" t="n">
        <f aca="false">Q504-$G$2+$I$2</f>
        <v>5790.00240552571</v>
      </c>
      <c r="S504" s="42" t="n">
        <f aca="false">R504/$K$2</f>
        <v>164.535447727358</v>
      </c>
      <c r="T504" s="43" t="n">
        <f aca="false">S504-$M$2</f>
        <v>6.83582184990428E-005</v>
      </c>
    </row>
    <row r="505" customFormat="false" ht="15" hidden="false" customHeight="false" outlineLevel="0" collapsed="false">
      <c r="A505" s="5" t="n">
        <v>23</v>
      </c>
      <c r="B505" s="25" t="n">
        <f aca="false">IF(T504&gt;0,B504,D504)</f>
        <v>0.113914012908936</v>
      </c>
      <c r="C505" s="25" t="n">
        <f aca="false">IF(T504&gt;0,D504,C504)</f>
        <v>0.113914370536804</v>
      </c>
      <c r="D505" s="41" t="n">
        <f aca="false">(B505+C505)/2</f>
        <v>0.11391419172287</v>
      </c>
      <c r="E505" s="15" t="n">
        <f aca="false">$C$2*(1+IF(E$3&lt;=$O$2,$D505,$D505-($D505-$I$481)*MIN(E$3-$O$2,$Q$2)/$Q$2))</f>
        <v>969.138764224648</v>
      </c>
      <c r="F505" s="15" t="n">
        <f aca="false">E505*(1+IF(F$3&lt;=$O$2,$D505,$D505-($D505-$I$481)*MIN(F$3-$O$2,$Q$2)/$Q$2))</f>
        <v>1079.5374232186</v>
      </c>
      <c r="G505" s="15" t="n">
        <f aca="false">F505*(1+IF(G$3&lt;=$O$2,$D505,$D505-($D505-$I$481)*MIN(G$3-$O$2,$Q$2)/$Q$2))</f>
        <v>1202.51205621914</v>
      </c>
      <c r="H505" s="15" t="n">
        <f aca="false">G505*(1+IF(H$3&lt;=$O$2,$D505,$D505-($D505-$I$481)*MIN(H$3-$O$2,$Q$2)/$Q$2))</f>
        <v>1339.49524514035</v>
      </c>
      <c r="I505" s="15" t="n">
        <f aca="false">H505*(1+IF(I$3&lt;=$O$2,$D505,$D505-($D505-$I$481)*MIN(I$3-$O$2,$Q$2)/$Q$2))</f>
        <v>1492.08276330714</v>
      </c>
      <c r="J505" s="15" t="n">
        <f aca="false">I505*(1+IF(J$3&lt;=$O$2,$D505,$D505-($D505-$I$481)*MIN(J$3-$O$2,$Q$2)/$Q$2))</f>
        <v>1635.01139055675</v>
      </c>
      <c r="K505" s="15" t="n">
        <f aca="false">J505*(1+IF(K$3&lt;=$O$2,$D505,$D505-($D505-$I$481)*MIN(K$3-$O$2,$Q$2)/$Q$2))</f>
        <v>1762.00029732452</v>
      </c>
      <c r="L505" s="15" t="n">
        <f aca="false">K505*(1+IF(L$3&lt;=$O$2,$D505,$D505-($D505-$I$481)*MIN(L$3-$O$2,$Q$2)/$Q$2))</f>
        <v>1866.91979735519</v>
      </c>
      <c r="M505" s="15" t="n">
        <f aca="false">L505*(1+IF(M$3&lt;=$O$2,$D505,$D505-($D505-$I$481)*MIN(M$3-$O$2,$Q$2)/$Q$2))</f>
        <v>1944.25291432332</v>
      </c>
      <c r="N505" s="15" t="n">
        <f aca="false">M505*(1+IF(N$3&lt;=$O$2,$D505,$D505-($D505-$I$481)*MIN(N$3-$O$2,$Q$2)/$Q$2))</f>
        <v>1989.55400722705</v>
      </c>
      <c r="O505" s="15" t="n">
        <f aca="false">SUMPRODUCT(E505:N505,1/(1+$F$481)^$E$3:$N$3)*$E$2</f>
        <v>2147.15126993939</v>
      </c>
      <c r="P505" s="15" t="n">
        <f aca="false">N505*$E$2*(1+$I$481)/($F$481-$I$481)/(1+$F$481)^$N$3</f>
        <v>3475.44551463536</v>
      </c>
      <c r="Q505" s="15" t="n">
        <f aca="false">O505+P505</f>
        <v>5622.59678457476</v>
      </c>
      <c r="R505" s="15" t="n">
        <f aca="false">Q505-$G$2+$I$2</f>
        <v>5789.99678457476</v>
      </c>
      <c r="S505" s="42" t="n">
        <f aca="false">R505/$K$2</f>
        <v>164.535287995873</v>
      </c>
      <c r="T505" s="43" t="n">
        <f aca="false">S505-$M$2</f>
        <v>-9.13732664002964E-005</v>
      </c>
    </row>
    <row r="506" customFormat="false" ht="15" hidden="false" customHeight="false" outlineLevel="0" collapsed="false">
      <c r="A506" s="5" t="n">
        <v>24</v>
      </c>
      <c r="B506" s="25" t="n">
        <f aca="false">IF(T505&gt;0,B505,D505)</f>
        <v>0.11391419172287</v>
      </c>
      <c r="C506" s="25" t="n">
        <f aca="false">IF(T505&gt;0,D505,C505)</f>
        <v>0.113914370536804</v>
      </c>
      <c r="D506" s="41" t="n">
        <f aca="false">(B506+C506)/2</f>
        <v>0.113914281129837</v>
      </c>
      <c r="E506" s="15" t="n">
        <f aca="false">$C$2*(1+IF(E$3&lt;=$O$2,$D506,$D506-($D506-$I$481)*MIN(E$3-$O$2,$Q$2)/$Q$2))</f>
        <v>969.138842011392</v>
      </c>
      <c r="F506" s="15" t="n">
        <f aca="false">E506*(1+IF(F$3&lt;=$O$2,$D506,$D506-($D506-$I$481)*MIN(F$3-$O$2,$Q$2)/$Q$2))</f>
        <v>1079.53759651412</v>
      </c>
      <c r="G506" s="15" t="n">
        <f aca="false">F506*(1+IF(G$3&lt;=$O$2,$D506,$D506-($D506-$I$481)*MIN(G$3-$O$2,$Q$2)/$Q$2))</f>
        <v>1202.51234577366</v>
      </c>
      <c r="H506" s="15" t="n">
        <f aca="false">G506*(1+IF(H$3&lt;=$O$2,$D506,$D506-($D506-$I$481)*MIN(H$3-$O$2,$Q$2)/$Q$2))</f>
        <v>1339.49567519222</v>
      </c>
      <c r="I506" s="15" t="n">
        <f aca="false">H506*(1+IF(I$3&lt;=$O$2,$D506,$D506-($D506-$I$481)*MIN(I$3-$O$2,$Q$2)/$Q$2))</f>
        <v>1492.08336210827</v>
      </c>
      <c r="J506" s="15" t="n">
        <f aca="false">I506*(1+IF(J$3&lt;=$O$2,$D506,$D506-($D506-$I$481)*MIN(J$3-$O$2,$Q$2)/$Q$2))</f>
        <v>1635.01215343998</v>
      </c>
      <c r="K506" s="15" t="n">
        <f aca="false">J506*(1+IF(K$3&lt;=$O$2,$D506,$D506-($D506-$I$481)*MIN(K$3-$O$2,$Q$2)/$Q$2))</f>
        <v>1762.00120716863</v>
      </c>
      <c r="L506" s="15" t="n">
        <f aca="false">K506*(1+IF(L$3&lt;=$O$2,$D506,$D506-($D506-$I$481)*MIN(L$3-$O$2,$Q$2)/$Q$2))</f>
        <v>1866.92082439066</v>
      </c>
      <c r="M506" s="15" t="n">
        <f aca="false">L506*(1+IF(M$3&lt;=$O$2,$D506,$D506-($D506-$I$481)*MIN(M$3-$O$2,$Q$2)/$Q$2))</f>
        <v>1944.25401728466</v>
      </c>
      <c r="N506" s="15" t="n">
        <f aca="false">M506*(1+IF(N$3&lt;=$O$2,$D506,$D506-($D506-$I$481)*MIN(N$3-$O$2,$Q$2)/$Q$2))</f>
        <v>1989.55513588739</v>
      </c>
      <c r="O506" s="15" t="n">
        <f aca="false">SUMPRODUCT(E506:N506,1/(1+$F$481)^$E$3:$N$3)*$E$2</f>
        <v>2147.15210881781</v>
      </c>
      <c r="P506" s="15" t="n">
        <f aca="false">N506*$E$2*(1+$I$481)/($F$481-$I$481)/(1+$F$481)^$N$3</f>
        <v>3475.44748623177</v>
      </c>
      <c r="Q506" s="15" t="n">
        <f aca="false">O506+P506</f>
        <v>5622.59959504958</v>
      </c>
      <c r="R506" s="15" t="n">
        <f aca="false">Q506-$G$2+$I$2</f>
        <v>5789.99959504958</v>
      </c>
      <c r="S506" s="42" t="n">
        <f aca="false">R506/$K$2</f>
        <v>164.535367861597</v>
      </c>
      <c r="T506" s="43" t="n">
        <f aca="false">S506-$M$2</f>
        <v>-1.15075424957922E-005</v>
      </c>
    </row>
    <row r="508" customFormat="false" ht="15" hidden="false" customHeight="false" outlineLevel="0" collapsed="false">
      <c r="A508" s="38" t="s">
        <v>205</v>
      </c>
      <c r="E508" s="5" t="s">
        <v>12</v>
      </c>
      <c r="F508" s="12" t="n">
        <f aca="false">Sensitivity!$B$13</f>
        <v>0.0825075820986394</v>
      </c>
      <c r="G508" s="5" t="s">
        <v>13</v>
      </c>
      <c r="I508" s="12" t="n">
        <f aca="false">Sensitivity!$E$9</f>
        <v>0.0283</v>
      </c>
    </row>
    <row r="509" customFormat="false" ht="23.85" hidden="false" customHeight="false" outlineLevel="0" collapsed="false">
      <c r="A509" s="38" t="s">
        <v>168</v>
      </c>
      <c r="B509" s="28" t="s">
        <v>169</v>
      </c>
      <c r="C509" s="28" t="s">
        <v>170</v>
      </c>
      <c r="D509" s="28" t="s">
        <v>171</v>
      </c>
      <c r="E509" s="28" t="s">
        <v>172</v>
      </c>
      <c r="F509" s="28" t="s">
        <v>173</v>
      </c>
      <c r="G509" s="28" t="s">
        <v>174</v>
      </c>
      <c r="H509" s="28" t="s">
        <v>175</v>
      </c>
      <c r="I509" s="28" t="s">
        <v>176</v>
      </c>
      <c r="J509" s="28" t="s">
        <v>177</v>
      </c>
      <c r="K509" s="28" t="s">
        <v>178</v>
      </c>
      <c r="L509" s="28" t="s">
        <v>179</v>
      </c>
      <c r="M509" s="28" t="s">
        <v>180</v>
      </c>
      <c r="N509" s="28" t="s">
        <v>181</v>
      </c>
      <c r="O509" s="28" t="s">
        <v>182</v>
      </c>
      <c r="P509" s="28" t="s">
        <v>183</v>
      </c>
      <c r="Q509" s="28" t="s">
        <v>184</v>
      </c>
      <c r="R509" s="28" t="s">
        <v>185</v>
      </c>
      <c r="S509" s="28" t="s">
        <v>186</v>
      </c>
      <c r="T509" s="28" t="s">
        <v>187</v>
      </c>
    </row>
    <row r="510" customFormat="false" ht="15" hidden="false" customHeight="false" outlineLevel="0" collapsed="false">
      <c r="A510" s="5" t="n">
        <v>1</v>
      </c>
      <c r="B510" s="24" t="n">
        <v>-0.5</v>
      </c>
      <c r="C510" s="24" t="n">
        <v>1</v>
      </c>
      <c r="D510" s="41" t="n">
        <f aca="false">(B510+C510)/2</f>
        <v>0.25</v>
      </c>
      <c r="E510" s="15" t="n">
        <f aca="false">$C$2*(1+IF(E$3&lt;=$O$2,$D510,$D510-($D510-$I$508)*MIN(E$3-$O$2,$Q$2)/$Q$2))</f>
        <v>1087.5375</v>
      </c>
      <c r="F510" s="15" t="n">
        <f aca="false">E510*(1+IF(F$3&lt;=$O$2,$D510,$D510-($D510-$I$508)*MIN(F$3-$O$2,$Q$2)/$Q$2))</f>
        <v>1359.421875</v>
      </c>
      <c r="G510" s="15" t="n">
        <f aca="false">F510*(1+IF(G$3&lt;=$O$2,$D510,$D510-($D510-$I$508)*MIN(G$3-$O$2,$Q$2)/$Q$2))</f>
        <v>1699.27734375</v>
      </c>
      <c r="H510" s="15" t="n">
        <f aca="false">G510*(1+IF(H$3&lt;=$O$2,$D510,$D510-($D510-$I$508)*MIN(H$3-$O$2,$Q$2)/$Q$2))</f>
        <v>2124.0966796875</v>
      </c>
      <c r="I510" s="15" t="n">
        <f aca="false">H510*(1+IF(I$3&lt;=$O$2,$D510,$D510-($D510-$I$508)*MIN(I$3-$O$2,$Q$2)/$Q$2))</f>
        <v>2655.12084960938</v>
      </c>
      <c r="J510" s="15" t="n">
        <f aca="false">I510*(1+IF(J$3&lt;=$O$2,$D510,$D510-($D510-$I$508)*MIN(J$3-$O$2,$Q$2)/$Q$2))</f>
        <v>3201.17300354004</v>
      </c>
      <c r="K510" s="15" t="n">
        <f aca="false">J510*(1+IF(K$3&lt;=$O$2,$D510,$D510-($D510-$I$508)*MIN(K$3-$O$2,$Q$2)/$Q$2))</f>
        <v>3717.58623247112</v>
      </c>
      <c r="L510" s="15" t="n">
        <f aca="false">K510*(1+IF(L$3&lt;=$O$2,$D510,$D510-($D510-$I$508)*MIN(L$3-$O$2,$Q$2)/$Q$2))</f>
        <v>4152.46946994559</v>
      </c>
      <c r="M510" s="15" t="n">
        <f aca="false">L510*(1+IF(M$3&lt;=$O$2,$D510,$D510-($D510-$I$508)*MIN(M$3-$O$2,$Q$2)/$Q$2))</f>
        <v>4454.10485224244</v>
      </c>
      <c r="N510" s="15" t="n">
        <f aca="false">M510*(1+IF(N$3&lt;=$O$2,$D510,$D510-($D510-$I$508)*MIN(N$3-$O$2,$Q$2)/$Q$2))</f>
        <v>4580.1560195609</v>
      </c>
      <c r="O510" s="15" t="n">
        <f aca="false">SUMPRODUCT(E510:N510,1/(1+$F$508)^$E$3:$N$3)*$E$2</f>
        <v>3889.94080666619</v>
      </c>
      <c r="P510" s="15" t="n">
        <f aca="false">N510*$E$2*(1+$I$508)/($F$508-$I$508)/(1+$F$508)^$N$3</f>
        <v>8781.50949207202</v>
      </c>
      <c r="Q510" s="15" t="n">
        <f aca="false">O510+P510</f>
        <v>12671.4502987382</v>
      </c>
      <c r="R510" s="15" t="n">
        <f aca="false">Q510-$G$2+$I$2</f>
        <v>12838.8502987382</v>
      </c>
      <c r="S510" s="42" t="n">
        <f aca="false">R510/$K$2</f>
        <v>364.843714087474</v>
      </c>
      <c r="T510" s="43" t="n">
        <f aca="false">S510-$M$2</f>
        <v>200.308334718335</v>
      </c>
    </row>
    <row r="511" customFormat="false" ht="15" hidden="false" customHeight="false" outlineLevel="0" collapsed="false">
      <c r="A511" s="5" t="n">
        <v>2</v>
      </c>
      <c r="B511" s="25" t="n">
        <f aca="false">IF(T510&gt;0,B510,D510)</f>
        <v>-0.5</v>
      </c>
      <c r="C511" s="25" t="n">
        <f aca="false">IF(T510&gt;0,D510,C510)</f>
        <v>0.25</v>
      </c>
      <c r="D511" s="41" t="n">
        <f aca="false">(B511+C511)/2</f>
        <v>-0.125</v>
      </c>
      <c r="E511" s="15" t="n">
        <f aca="false">$C$2*(1+IF(E$3&lt;=$O$2,$D511,$D511-($D511-$I$508)*MIN(E$3-$O$2,$Q$2)/$Q$2))</f>
        <v>761.27625</v>
      </c>
      <c r="F511" s="15" t="n">
        <f aca="false">E511*(1+IF(F$3&lt;=$O$2,$D511,$D511-($D511-$I$508)*MIN(F$3-$O$2,$Q$2)/$Q$2))</f>
        <v>666.11671875</v>
      </c>
      <c r="G511" s="15" t="n">
        <f aca="false">F511*(1+IF(G$3&lt;=$O$2,$D511,$D511-($D511-$I$508)*MIN(G$3-$O$2,$Q$2)/$Q$2))</f>
        <v>582.85212890625</v>
      </c>
      <c r="H511" s="15" t="n">
        <f aca="false">G511*(1+IF(H$3&lt;=$O$2,$D511,$D511-($D511-$I$508)*MIN(H$3-$O$2,$Q$2)/$Q$2))</f>
        <v>509.995612792969</v>
      </c>
      <c r="I511" s="15" t="n">
        <f aca="false">H511*(1+IF(I$3&lt;=$O$2,$D511,$D511-($D511-$I$508)*MIN(I$3-$O$2,$Q$2)/$Q$2))</f>
        <v>446.246161193848</v>
      </c>
      <c r="J511" s="15" t="n">
        <f aca="false">I511*(1+IF(J$3&lt;=$O$2,$D511,$D511-($D511-$I$508)*MIN(J$3-$O$2,$Q$2)/$Q$2))</f>
        <v>404.14729834682</v>
      </c>
      <c r="K511" s="15" t="n">
        <f aca="false">J511*(1+IF(K$3&lt;=$O$2,$D511,$D511-($D511-$I$508)*MIN(K$3-$O$2,$Q$2)/$Q$2))</f>
        <v>378.411198388095</v>
      </c>
      <c r="L511" s="15" t="n">
        <f aca="false">K511*(1+IF(L$3&lt;=$O$2,$D511,$D511-($D511-$I$508)*MIN(L$3-$O$2,$Q$2)/$Q$2))</f>
        <v>365.91606061732</v>
      </c>
      <c r="M511" s="15" t="n">
        <f aca="false">L511*(1+IF(M$3&lt;=$O$2,$D511,$D511-($D511-$I$508)*MIN(M$3-$O$2,$Q$2)/$Q$2))</f>
        <v>365.052498714263</v>
      </c>
      <c r="N511" s="15" t="n">
        <f aca="false">M511*(1+IF(N$3&lt;=$O$2,$D511,$D511-($D511-$I$508)*MIN(N$3-$O$2,$Q$2)/$Q$2))</f>
        <v>375.383484427876</v>
      </c>
      <c r="O511" s="15" t="n">
        <f aca="false">SUMPRODUCT(E511:N511,1/(1+$F$508)^$E$3:$N$3)*$E$2</f>
        <v>762.429775907466</v>
      </c>
      <c r="P511" s="15" t="n">
        <f aca="false">N511*$E$2*(1+$I$508)/($F$508-$I$508)/(1+$F$508)^$N$3</f>
        <v>719.72081684381</v>
      </c>
      <c r="Q511" s="15" t="n">
        <f aca="false">O511+P511</f>
        <v>1482.15059275128</v>
      </c>
      <c r="R511" s="15" t="n">
        <f aca="false">Q511-$G$2+$I$2</f>
        <v>1649.55059275128</v>
      </c>
      <c r="S511" s="42" t="n">
        <f aca="false">R511/$K$2</f>
        <v>46.8755496661346</v>
      </c>
      <c r="T511" s="43" t="n">
        <f aca="false">S511-$M$2</f>
        <v>-117.659829703004</v>
      </c>
    </row>
    <row r="512" customFormat="false" ht="15" hidden="false" customHeight="false" outlineLevel="0" collapsed="false">
      <c r="A512" s="5" t="n">
        <v>3</v>
      </c>
      <c r="B512" s="25" t="n">
        <f aca="false">IF(T511&gt;0,B511,D511)</f>
        <v>-0.125</v>
      </c>
      <c r="C512" s="25" t="n">
        <f aca="false">IF(T511&gt;0,D511,C511)</f>
        <v>0.25</v>
      </c>
      <c r="D512" s="41" t="n">
        <f aca="false">(B512+C512)/2</f>
        <v>0.0625</v>
      </c>
      <c r="E512" s="15" t="n">
        <f aca="false">$C$2*(1+IF(E$3&lt;=$O$2,$D512,$D512-($D512-$I$508)*MIN(E$3-$O$2,$Q$2)/$Q$2))</f>
        <v>924.406875</v>
      </c>
      <c r="F512" s="15" t="n">
        <f aca="false">E512*(1+IF(F$3&lt;=$O$2,$D512,$D512-($D512-$I$508)*MIN(F$3-$O$2,$Q$2)/$Q$2))</f>
        <v>982.1823046875</v>
      </c>
      <c r="G512" s="15" t="n">
        <f aca="false">F512*(1+IF(G$3&lt;=$O$2,$D512,$D512-($D512-$I$508)*MIN(G$3-$O$2,$Q$2)/$Q$2))</f>
        <v>1043.56869873047</v>
      </c>
      <c r="H512" s="15" t="n">
        <f aca="false">G512*(1+IF(H$3&lt;=$O$2,$D512,$D512-($D512-$I$508)*MIN(H$3-$O$2,$Q$2)/$Q$2))</f>
        <v>1108.79174240112</v>
      </c>
      <c r="I512" s="15" t="n">
        <f aca="false">H512*(1+IF(I$3&lt;=$O$2,$D512,$D512-($D512-$I$508)*MIN(I$3-$O$2,$Q$2)/$Q$2))</f>
        <v>1178.09122630119</v>
      </c>
      <c r="J512" s="15" t="n">
        <f aca="false">I512*(1+IF(J$3&lt;=$O$2,$D512,$D512-($D512-$I$508)*MIN(J$3-$O$2,$Q$2)/$Q$2))</f>
        <v>1243.66378395712</v>
      </c>
      <c r="K512" s="15" t="n">
        <f aca="false">J512*(1+IF(K$3&lt;=$O$2,$D512,$D512-($D512-$I$508)*MIN(K$3-$O$2,$Q$2)/$Q$2))</f>
        <v>1304.3794498899</v>
      </c>
      <c r="L512" s="15" t="n">
        <f aca="false">K512*(1+IF(L$3&lt;=$O$2,$D512,$D512-($D512-$I$508)*MIN(L$3-$O$2,$Q$2)/$Q$2))</f>
        <v>1359.13729919628</v>
      </c>
      <c r="M512" s="15" t="n">
        <f aca="false">L512*(1+IF(M$3&lt;=$O$2,$D512,$D512-($D512-$I$508)*MIN(M$3-$O$2,$Q$2)/$Q$2))</f>
        <v>1406.89738389004</v>
      </c>
      <c r="N512" s="15" t="n">
        <f aca="false">M512*(1+IF(N$3&lt;=$O$2,$D512,$D512-($D512-$I$508)*MIN(N$3-$O$2,$Q$2)/$Q$2))</f>
        <v>1446.71257985413</v>
      </c>
      <c r="O512" s="15" t="n">
        <f aca="false">SUMPRODUCT(E512:N512,1/(1+$F$508)^$E$3:$N$3)*$E$2</f>
        <v>1719.9068496843</v>
      </c>
      <c r="P512" s="15" t="n">
        <f aca="false">N512*$E$2*(1+$I$508)/($F$508-$I$508)/(1+$F$508)^$N$3</f>
        <v>2773.7745609607</v>
      </c>
      <c r="Q512" s="15" t="n">
        <f aca="false">O512+P512</f>
        <v>4493.68141064499</v>
      </c>
      <c r="R512" s="15" t="n">
        <f aca="false">Q512-$G$2+$I$2</f>
        <v>4661.08141064499</v>
      </c>
      <c r="S512" s="42" t="n">
        <f aca="false">R512/$K$2</f>
        <v>132.454714710003</v>
      </c>
      <c r="T512" s="43" t="n">
        <f aca="false">S512-$M$2</f>
        <v>-32.0806646591363</v>
      </c>
    </row>
    <row r="513" customFormat="false" ht="15" hidden="false" customHeight="false" outlineLevel="0" collapsed="false">
      <c r="A513" s="5" t="n">
        <v>4</v>
      </c>
      <c r="B513" s="25" t="n">
        <f aca="false">IF(T512&gt;0,B512,D512)</f>
        <v>0.0625</v>
      </c>
      <c r="C513" s="25" t="n">
        <f aca="false">IF(T512&gt;0,D512,C512)</f>
        <v>0.25</v>
      </c>
      <c r="D513" s="41" t="n">
        <f aca="false">(B513+C513)/2</f>
        <v>0.15625</v>
      </c>
      <c r="E513" s="15" t="n">
        <f aca="false">$C$2*(1+IF(E$3&lt;=$O$2,$D513,$D513-($D513-$I$508)*MIN(E$3-$O$2,$Q$2)/$Q$2))</f>
        <v>1005.9721875</v>
      </c>
      <c r="F513" s="15" t="n">
        <f aca="false">E513*(1+IF(F$3&lt;=$O$2,$D513,$D513-($D513-$I$508)*MIN(F$3-$O$2,$Q$2)/$Q$2))</f>
        <v>1163.15534179688</v>
      </c>
      <c r="G513" s="15" t="n">
        <f aca="false">F513*(1+IF(G$3&lt;=$O$2,$D513,$D513-($D513-$I$508)*MIN(G$3-$O$2,$Q$2)/$Q$2))</f>
        <v>1344.89836395264</v>
      </c>
      <c r="H513" s="15" t="n">
        <f aca="false">G513*(1+IF(H$3&lt;=$O$2,$D513,$D513-($D513-$I$508)*MIN(H$3-$O$2,$Q$2)/$Q$2))</f>
        <v>1555.03873332024</v>
      </c>
      <c r="I513" s="15" t="n">
        <f aca="false">H513*(1+IF(I$3&lt;=$O$2,$D513,$D513-($D513-$I$508)*MIN(I$3-$O$2,$Q$2)/$Q$2))</f>
        <v>1798.01353540152</v>
      </c>
      <c r="J513" s="15" t="n">
        <f aca="false">I513*(1+IF(J$3&lt;=$O$2,$D513,$D513-($D513-$I$508)*MIN(J$3-$O$2,$Q$2)/$Q$2))</f>
        <v>2032.94198393709</v>
      </c>
      <c r="K513" s="15" t="n">
        <f aca="false">J513*(1+IF(K$3&lt;=$O$2,$D513,$D513-($D513-$I$508)*MIN(K$3-$O$2,$Q$2)/$Q$2))</f>
        <v>2246.54319818936</v>
      </c>
      <c r="L513" s="15" t="n">
        <f aca="false">K513*(1+IF(L$3&lt;=$O$2,$D513,$D513-($D513-$I$508)*MIN(L$3-$O$2,$Q$2)/$Q$2))</f>
        <v>2425.09845158145</v>
      </c>
      <c r="M513" s="15" t="n">
        <f aca="false">L513*(1+IF(M$3&lt;=$O$2,$D513,$D513-($D513-$I$508)*MIN(M$3-$O$2,$Q$2)/$Q$2))</f>
        <v>2555.78700713717</v>
      </c>
      <c r="N513" s="15" t="n">
        <f aca="false">M513*(1+IF(N$3&lt;=$O$2,$D513,$D513-($D513-$I$508)*MIN(N$3-$O$2,$Q$2)/$Q$2))</f>
        <v>2628.11577943915</v>
      </c>
      <c r="O513" s="15" t="n">
        <f aca="false">SUMPRODUCT(E513:N513,1/(1+$F$508)^$E$3:$N$3)*$E$2</f>
        <v>2591.68132010794</v>
      </c>
      <c r="P513" s="15" t="n">
        <f aca="false">N513*$E$2*(1+$I$508)/($F$508-$I$508)/(1+$F$508)^$N$3</f>
        <v>5038.87281674342</v>
      </c>
      <c r="Q513" s="15" t="n">
        <f aca="false">O513+P513</f>
        <v>7630.55413685136</v>
      </c>
      <c r="R513" s="15" t="n">
        <f aca="false">Q513-$G$2+$I$2</f>
        <v>7797.95413685136</v>
      </c>
      <c r="S513" s="42" t="n">
        <f aca="false">R513/$K$2</f>
        <v>221.595741314332</v>
      </c>
      <c r="T513" s="43" t="n">
        <f aca="false">S513-$M$2</f>
        <v>57.0603619451934</v>
      </c>
    </row>
    <row r="514" customFormat="false" ht="15" hidden="false" customHeight="false" outlineLevel="0" collapsed="false">
      <c r="A514" s="5" t="n">
        <v>5</v>
      </c>
      <c r="B514" s="25" t="n">
        <f aca="false">IF(T513&gt;0,B513,D513)</f>
        <v>0.0625</v>
      </c>
      <c r="C514" s="25" t="n">
        <f aca="false">IF(T513&gt;0,D513,C513)</f>
        <v>0.15625</v>
      </c>
      <c r="D514" s="41" t="n">
        <f aca="false">(B514+C514)/2</f>
        <v>0.109375</v>
      </c>
      <c r="E514" s="15" t="n">
        <f aca="false">$C$2*(1+IF(E$3&lt;=$O$2,$D514,$D514-($D514-$I$508)*MIN(E$3-$O$2,$Q$2)/$Q$2))</f>
        <v>965.18953125</v>
      </c>
      <c r="F514" s="15" t="n">
        <f aca="false">E514*(1+IF(F$3&lt;=$O$2,$D514,$D514-($D514-$I$508)*MIN(F$3-$O$2,$Q$2)/$Q$2))</f>
        <v>1070.75713623047</v>
      </c>
      <c r="G514" s="15" t="n">
        <f aca="false">F514*(1+IF(G$3&lt;=$O$2,$D514,$D514-($D514-$I$508)*MIN(G$3-$O$2,$Q$2)/$Q$2))</f>
        <v>1187.87119800568</v>
      </c>
      <c r="H514" s="15" t="n">
        <f aca="false">G514*(1+IF(H$3&lt;=$O$2,$D514,$D514-($D514-$I$508)*MIN(H$3-$O$2,$Q$2)/$Q$2))</f>
        <v>1317.79461028755</v>
      </c>
      <c r="I514" s="15" t="n">
        <f aca="false">H514*(1+IF(I$3&lt;=$O$2,$D514,$D514-($D514-$I$508)*MIN(I$3-$O$2,$Q$2)/$Q$2))</f>
        <v>1461.92839578775</v>
      </c>
      <c r="J514" s="15" t="n">
        <f aca="false">I514*(1+IF(J$3&lt;=$O$2,$D514,$D514-($D514-$I$508)*MIN(J$3-$O$2,$Q$2)/$Q$2))</f>
        <v>1598.12164513933</v>
      </c>
      <c r="K514" s="15" t="n">
        <f aca="false">J514*(1+IF(K$3&lt;=$O$2,$D514,$D514-($D514-$I$508)*MIN(K$3-$O$2,$Q$2)/$Q$2))</f>
        <v>1721.08911512458</v>
      </c>
      <c r="L514" s="15" t="n">
        <f aca="false">K514*(1+IF(L$3&lt;=$O$2,$D514,$D514-($D514-$I$508)*MIN(L$3-$O$2,$Q$2)/$Q$2))</f>
        <v>1825.6108570861</v>
      </c>
      <c r="M514" s="15" t="n">
        <f aca="false">L514*(1+IF(M$3&lt;=$O$2,$D514,$D514-($D514-$I$508)*MIN(M$3-$O$2,$Q$2)/$Q$2))</f>
        <v>1906.87792438928</v>
      </c>
      <c r="N514" s="15" t="n">
        <f aca="false">M514*(1+IF(N$3&lt;=$O$2,$D514,$D514-($D514-$I$508)*MIN(N$3-$O$2,$Q$2)/$Q$2))</f>
        <v>1960.8425696495</v>
      </c>
      <c r="O514" s="15" t="n">
        <f aca="false">SUMPRODUCT(E514:N514,1/(1+$F$508)^$E$3:$N$3)*$E$2</f>
        <v>2111.77716601442</v>
      </c>
      <c r="P514" s="15" t="n">
        <f aca="false">N514*$E$2*(1+$I$508)/($F$508-$I$508)/(1+$F$508)^$N$3</f>
        <v>3759.51333629171</v>
      </c>
      <c r="Q514" s="15" t="n">
        <f aca="false">O514+P514</f>
        <v>5871.29050230613</v>
      </c>
      <c r="R514" s="15" t="n">
        <f aca="false">Q514-$G$2+$I$2</f>
        <v>6038.69050230613</v>
      </c>
      <c r="S514" s="42" t="n">
        <f aca="false">R514/$K$2</f>
        <v>171.602458150217</v>
      </c>
      <c r="T514" s="43" t="n">
        <f aca="false">S514-$M$2</f>
        <v>7.06707878107784</v>
      </c>
    </row>
    <row r="515" customFormat="false" ht="15" hidden="false" customHeight="false" outlineLevel="0" collapsed="false">
      <c r="A515" s="5" t="n">
        <v>6</v>
      </c>
      <c r="B515" s="25" t="n">
        <f aca="false">IF(T514&gt;0,B514,D514)</f>
        <v>0.0625</v>
      </c>
      <c r="C515" s="25" t="n">
        <f aca="false">IF(T514&gt;0,D514,C514)</f>
        <v>0.109375</v>
      </c>
      <c r="D515" s="41" t="n">
        <f aca="false">(B515+C515)/2</f>
        <v>0.0859375</v>
      </c>
      <c r="E515" s="15" t="n">
        <f aca="false">$C$2*(1+IF(E$3&lt;=$O$2,$D515,$D515-($D515-$I$508)*MIN(E$3-$O$2,$Q$2)/$Q$2))</f>
        <v>944.798203125</v>
      </c>
      <c r="F515" s="15" t="n">
        <f aca="false">E515*(1+IF(F$3&lt;=$O$2,$D515,$D515-($D515-$I$508)*MIN(F$3-$O$2,$Q$2)/$Q$2))</f>
        <v>1025.99179870605</v>
      </c>
      <c r="G515" s="15" t="n">
        <f aca="false">F515*(1+IF(G$3&lt;=$O$2,$D515,$D515-($D515-$I$508)*MIN(G$3-$O$2,$Q$2)/$Q$2))</f>
        <v>1114.16296890736</v>
      </c>
      <c r="H515" s="15" t="n">
        <f aca="false">G515*(1+IF(H$3&lt;=$O$2,$D515,$D515-($D515-$I$508)*MIN(H$3-$O$2,$Q$2)/$Q$2))</f>
        <v>1209.91134904783</v>
      </c>
      <c r="I515" s="15" t="n">
        <f aca="false">H515*(1+IF(I$3&lt;=$O$2,$D515,$D515-($D515-$I$508)*MIN(I$3-$O$2,$Q$2)/$Q$2))</f>
        <v>1313.88810560663</v>
      </c>
      <c r="J515" s="15" t="n">
        <f aca="false">I515*(1+IF(J$3&lt;=$O$2,$D515,$D515-($D515-$I$508)*MIN(J$3-$O$2,$Q$2)/$Q$2))</f>
        <v>1411.65451954482</v>
      </c>
      <c r="K515" s="15" t="n">
        <f aca="false">J515*(1+IF(K$3&lt;=$O$2,$D515,$D515-($D515-$I$508)*MIN(K$3-$O$2,$Q$2)/$Q$2))</f>
        <v>1500.4228848701</v>
      </c>
      <c r="L515" s="15" t="n">
        <f aca="false">K515*(1+IF(L$3&lt;=$O$2,$D515,$D515-($D515-$I$508)*MIN(L$3-$O$2,$Q$2)/$Q$2))</f>
        <v>1577.4771021226</v>
      </c>
      <c r="M515" s="15" t="n">
        <f aca="false">L515*(1+IF(M$3&lt;=$O$2,$D515,$D515-($D515-$I$508)*MIN(M$3-$O$2,$Q$2)/$Q$2))</f>
        <v>1640.30407140739</v>
      </c>
      <c r="N515" s="15" t="n">
        <f aca="false">M515*(1+IF(N$3&lt;=$O$2,$D515,$D515-($D515-$I$508)*MIN(N$3-$O$2,$Q$2)/$Q$2))</f>
        <v>1686.72467662822</v>
      </c>
      <c r="O515" s="15" t="n">
        <f aca="false">SUMPRODUCT(E515:N515,1/(1+$F$508)^$E$3:$N$3)*$E$2</f>
        <v>1905.84413578616</v>
      </c>
      <c r="P515" s="15" t="n">
        <f aca="false">N515*$E$2*(1+$I$508)/($F$508-$I$508)/(1+$F$508)^$N$3</f>
        <v>3233.94851508635</v>
      </c>
      <c r="Q515" s="15" t="n">
        <f aca="false">O515+P515</f>
        <v>5139.79265087251</v>
      </c>
      <c r="R515" s="15" t="n">
        <f aca="false">Q515-$G$2+$I$2</f>
        <v>5307.19265087251</v>
      </c>
      <c r="S515" s="42" t="n">
        <f aca="false">R515/$K$2</f>
        <v>150.815363764493</v>
      </c>
      <c r="T515" s="43" t="n">
        <f aca="false">S515-$M$2</f>
        <v>-13.720015604646</v>
      </c>
    </row>
    <row r="516" customFormat="false" ht="15" hidden="false" customHeight="false" outlineLevel="0" collapsed="false">
      <c r="A516" s="5" t="n">
        <v>7</v>
      </c>
      <c r="B516" s="25" t="n">
        <f aca="false">IF(T515&gt;0,B515,D515)</f>
        <v>0.0859375</v>
      </c>
      <c r="C516" s="25" t="n">
        <f aca="false">IF(T515&gt;0,D515,C515)</f>
        <v>0.109375</v>
      </c>
      <c r="D516" s="41" t="n">
        <f aca="false">(B516+C516)/2</f>
        <v>0.09765625</v>
      </c>
      <c r="E516" s="15" t="n">
        <f aca="false">$C$2*(1+IF(E$3&lt;=$O$2,$D516,$D516-($D516-$I$508)*MIN(E$3-$O$2,$Q$2)/$Q$2))</f>
        <v>954.9938671875</v>
      </c>
      <c r="F516" s="15" t="n">
        <f aca="false">E516*(1+IF(F$3&lt;=$O$2,$D516,$D516-($D516-$I$508)*MIN(F$3-$O$2,$Q$2)/$Q$2))</f>
        <v>1048.25498703003</v>
      </c>
      <c r="G516" s="15" t="n">
        <f aca="false">F516*(1+IF(G$3&lt;=$O$2,$D516,$D516-($D516-$I$508)*MIN(G$3-$O$2,$Q$2)/$Q$2))</f>
        <v>1150.62363810718</v>
      </c>
      <c r="H516" s="15" t="n">
        <f aca="false">G516*(1+IF(H$3&lt;=$O$2,$D516,$D516-($D516-$I$508)*MIN(H$3-$O$2,$Q$2)/$Q$2))</f>
        <v>1262.98922776609</v>
      </c>
      <c r="I516" s="15" t="n">
        <f aca="false">H516*(1+IF(I$3&lt;=$O$2,$D516,$D516-($D516-$I$508)*MIN(I$3-$O$2,$Q$2)/$Q$2))</f>
        <v>1386.32801954012</v>
      </c>
      <c r="J516" s="15" t="n">
        <f aca="false">I516*(1+IF(J$3&lt;=$O$2,$D516,$D516-($D516-$I$508)*MIN(J$3-$O$2,$Q$2)/$Q$2))</f>
        <v>1502.48151265729</v>
      </c>
      <c r="K516" s="15" t="n">
        <f aca="false">J516*(1+IF(K$3&lt;=$O$2,$D516,$D516-($D516-$I$508)*MIN(K$3-$O$2,$Q$2)/$Q$2))</f>
        <v>1607.52562951283</v>
      </c>
      <c r="L516" s="15" t="n">
        <f aca="false">K516*(1+IF(L$3&lt;=$O$2,$D516,$D516-($D516-$I$508)*MIN(L$3-$O$2,$Q$2)/$Q$2))</f>
        <v>1697.6153846048</v>
      </c>
      <c r="M516" s="15" t="n">
        <f aca="false">L516*(1+IF(M$3&lt;=$O$2,$D516,$D516-($D516-$I$508)*MIN(M$3-$O$2,$Q$2)/$Q$2))</f>
        <v>1769.20594739282</v>
      </c>
      <c r="N516" s="15" t="n">
        <f aca="false">M516*(1+IF(N$3&lt;=$O$2,$D516,$D516-($D516-$I$508)*MIN(N$3-$O$2,$Q$2)/$Q$2))</f>
        <v>1819.27447570403</v>
      </c>
      <c r="O516" s="15" t="n">
        <f aca="false">SUMPRODUCT(E516:N516,1/(1+$F$508)^$E$3:$N$3)*$E$2</f>
        <v>2006.19174035366</v>
      </c>
      <c r="P516" s="15" t="n">
        <f aca="false">N516*$E$2*(1+$I$508)/($F$508-$I$508)/(1+$F$508)^$N$3</f>
        <v>3488.08556058991</v>
      </c>
      <c r="Q516" s="15" t="n">
        <f aca="false">O516+P516</f>
        <v>5494.27730094356</v>
      </c>
      <c r="R516" s="15" t="n">
        <f aca="false">Q516-$G$2+$I$2</f>
        <v>5661.67730094356</v>
      </c>
      <c r="S516" s="42" t="n">
        <f aca="false">R516/$K$2</f>
        <v>160.88881218936</v>
      </c>
      <c r="T516" s="43" t="n">
        <f aca="false">S516-$M$2</f>
        <v>-3.64656717977948</v>
      </c>
    </row>
    <row r="517" customFormat="false" ht="15" hidden="false" customHeight="false" outlineLevel="0" collapsed="false">
      <c r="A517" s="5" t="n">
        <v>8</v>
      </c>
      <c r="B517" s="25" t="n">
        <f aca="false">IF(T516&gt;0,B516,D516)</f>
        <v>0.09765625</v>
      </c>
      <c r="C517" s="25" t="n">
        <f aca="false">IF(T516&gt;0,D516,C516)</f>
        <v>0.109375</v>
      </c>
      <c r="D517" s="41" t="n">
        <f aca="false">(B517+C517)/2</f>
        <v>0.103515625</v>
      </c>
      <c r="E517" s="15" t="n">
        <f aca="false">$C$2*(1+IF(E$3&lt;=$O$2,$D517,$D517-($D517-$I$508)*MIN(E$3-$O$2,$Q$2)/$Q$2))</f>
        <v>960.09169921875</v>
      </c>
      <c r="F517" s="15" t="n">
        <f aca="false">E517*(1+IF(F$3&lt;=$O$2,$D517,$D517-($D517-$I$508)*MIN(F$3-$O$2,$Q$2)/$Q$2))</f>
        <v>1059.47619152069</v>
      </c>
      <c r="G517" s="15" t="n">
        <f aca="false">F517*(1+IF(G$3&lt;=$O$2,$D517,$D517-($D517-$I$508)*MIN(G$3-$O$2,$Q$2)/$Q$2))</f>
        <v>1169.14853165858</v>
      </c>
      <c r="H517" s="15" t="n">
        <f aca="false">G517*(1+IF(H$3&lt;=$O$2,$D517,$D517-($D517-$I$508)*MIN(H$3-$O$2,$Q$2)/$Q$2))</f>
        <v>1290.17367263104</v>
      </c>
      <c r="I517" s="15" t="n">
        <f aca="false">H517*(1+IF(I$3&lt;=$O$2,$D517,$D517-($D517-$I$508)*MIN(I$3-$O$2,$Q$2)/$Q$2))</f>
        <v>1423.72680671199</v>
      </c>
      <c r="J517" s="15" t="n">
        <f aca="false">I517*(1+IF(J$3&lt;=$O$2,$D517,$D517-($D517-$I$508)*MIN(J$3-$O$2,$Q$2)/$Q$2))</f>
        <v>1549.68747661882</v>
      </c>
      <c r="K517" s="15" t="n">
        <f aca="false">J517*(1+IF(K$3&lt;=$O$2,$D517,$D517-($D517-$I$508)*MIN(K$3-$O$2,$Q$2)/$Q$2))</f>
        <v>1663.48005947227</v>
      </c>
      <c r="L517" s="15" t="n">
        <f aca="false">K517*(1+IF(L$3&lt;=$O$2,$D517,$D517-($D517-$I$508)*MIN(L$3-$O$2,$Q$2)/$Q$2))</f>
        <v>1760.60442209463</v>
      </c>
      <c r="M517" s="15" t="n">
        <f aca="false">L517*(1+IF(M$3&lt;=$O$2,$D517,$D517-($D517-$I$508)*MIN(M$3-$O$2,$Q$2)/$Q$2))</f>
        <v>1836.91451963703</v>
      </c>
      <c r="N517" s="15" t="n">
        <f aca="false">M517*(1+IF(N$3&lt;=$O$2,$D517,$D517-($D517-$I$508)*MIN(N$3-$O$2,$Q$2)/$Q$2))</f>
        <v>1888.89920054276</v>
      </c>
      <c r="O517" s="15" t="n">
        <f aca="false">SUMPRODUCT(E517:N517,1/(1+$F$508)^$E$3:$N$3)*$E$2</f>
        <v>2058.31425614485</v>
      </c>
      <c r="P517" s="15" t="n">
        <f aca="false">N517*$E$2*(1+$I$508)/($F$508-$I$508)/(1+$F$508)^$N$3</f>
        <v>3621.57668609807</v>
      </c>
      <c r="Q517" s="15" t="n">
        <f aca="false">O517+P517</f>
        <v>5679.89094224291</v>
      </c>
      <c r="R517" s="15" t="n">
        <f aca="false">Q517-$G$2+$I$2</f>
        <v>5847.29094224291</v>
      </c>
      <c r="S517" s="42" t="n">
        <f aca="false">R517/$K$2</f>
        <v>166.163425468682</v>
      </c>
      <c r="T517" s="43" t="n">
        <f aca="false">S517-$M$2</f>
        <v>1.62804609954273</v>
      </c>
    </row>
    <row r="518" customFormat="false" ht="15" hidden="false" customHeight="false" outlineLevel="0" collapsed="false">
      <c r="A518" s="5" t="n">
        <v>9</v>
      </c>
      <c r="B518" s="25" t="n">
        <f aca="false">IF(T517&gt;0,B517,D517)</f>
        <v>0.09765625</v>
      </c>
      <c r="C518" s="25" t="n">
        <f aca="false">IF(T517&gt;0,D517,C517)</f>
        <v>0.103515625</v>
      </c>
      <c r="D518" s="41" t="n">
        <f aca="false">(B518+C518)/2</f>
        <v>0.1005859375</v>
      </c>
      <c r="E518" s="15" t="n">
        <f aca="false">$C$2*(1+IF(E$3&lt;=$O$2,$D518,$D518-($D518-$I$508)*MIN(E$3-$O$2,$Q$2)/$Q$2))</f>
        <v>957.542783203125</v>
      </c>
      <c r="F518" s="15" t="n">
        <f aca="false">E518*(1+IF(F$3&lt;=$O$2,$D518,$D518-($D518-$I$508)*MIN(F$3-$O$2,$Q$2)/$Q$2))</f>
        <v>1053.85812174797</v>
      </c>
      <c r="G518" s="15" t="n">
        <f aca="false">F518*(1+IF(G$3&lt;=$O$2,$D518,$D518-($D518-$I$508)*MIN(G$3-$O$2,$Q$2)/$Q$2))</f>
        <v>1159.86142891598</v>
      </c>
      <c r="H518" s="15" t="n">
        <f aca="false">G518*(1+IF(H$3&lt;=$O$2,$D518,$D518-($D518-$I$508)*MIN(H$3-$O$2,$Q$2)/$Q$2))</f>
        <v>1276.52717811358</v>
      </c>
      <c r="I518" s="15" t="n">
        <f aca="false">H518*(1+IF(I$3&lt;=$O$2,$D518,$D518-($D518-$I$508)*MIN(I$3-$O$2,$Q$2)/$Q$2))</f>
        <v>1404.92786106837</v>
      </c>
      <c r="J518" s="15" t="n">
        <f aca="false">I518*(1+IF(J$3&lt;=$O$2,$D518,$D518-($D518-$I$508)*MIN(J$3-$O$2,$Q$2)/$Q$2))</f>
        <v>1525.93254158236</v>
      </c>
      <c r="K518" s="15" t="n">
        <f aca="false">J518*(1+IF(K$3&lt;=$O$2,$D518,$D518-($D518-$I$508)*MIN(K$3-$O$2,$Q$2)/$Q$2))</f>
        <v>1635.29851110716</v>
      </c>
      <c r="L518" s="15" t="n">
        <f aca="false">K518*(1+IF(L$3&lt;=$O$2,$D518,$D518-($D518-$I$508)*MIN(L$3-$O$2,$Q$2)/$Q$2))</f>
        <v>1728.86109335859</v>
      </c>
      <c r="M518" s="15" t="n">
        <f aca="false">L518*(1+IF(M$3&lt;=$O$2,$D518,$D518-($D518-$I$508)*MIN(M$3-$O$2,$Q$2)/$Q$2))</f>
        <v>1802.78233128878</v>
      </c>
      <c r="N518" s="15" t="n">
        <f aca="false">M518*(1+IF(N$3&lt;=$O$2,$D518,$D518-($D518-$I$508)*MIN(N$3-$O$2,$Q$2)/$Q$2))</f>
        <v>1853.80107126425</v>
      </c>
      <c r="O518" s="15" t="n">
        <f aca="false">SUMPRODUCT(E518:N518,1/(1+$F$508)^$E$3:$N$3)*$E$2</f>
        <v>2032.08740725938</v>
      </c>
      <c r="P518" s="15" t="n">
        <f aca="false">N518*$E$2*(1+$I$508)/($F$508-$I$508)/(1+$F$508)^$N$3</f>
        <v>3554.28322402017</v>
      </c>
      <c r="Q518" s="15" t="n">
        <f aca="false">O518+P518</f>
        <v>5586.37063127955</v>
      </c>
      <c r="R518" s="15" t="n">
        <f aca="false">Q518-$G$2+$I$2</f>
        <v>5753.77063127955</v>
      </c>
      <c r="S518" s="42" t="n">
        <f aca="false">R518/$K$2</f>
        <v>163.505843457788</v>
      </c>
      <c r="T518" s="43" t="n">
        <f aca="false">S518-$M$2</f>
        <v>-1.02953591135142</v>
      </c>
    </row>
    <row r="519" customFormat="false" ht="15" hidden="false" customHeight="false" outlineLevel="0" collapsed="false">
      <c r="A519" s="5" t="n">
        <v>10</v>
      </c>
      <c r="B519" s="25" t="n">
        <f aca="false">IF(T518&gt;0,B518,D518)</f>
        <v>0.1005859375</v>
      </c>
      <c r="C519" s="25" t="n">
        <f aca="false">IF(T518&gt;0,D518,C518)</f>
        <v>0.103515625</v>
      </c>
      <c r="D519" s="41" t="n">
        <f aca="false">(B519+C519)/2</f>
        <v>0.10205078125</v>
      </c>
      <c r="E519" s="15" t="n">
        <f aca="false">$C$2*(1+IF(E$3&lt;=$O$2,$D519,$D519-($D519-$I$508)*MIN(E$3-$O$2,$Q$2)/$Q$2))</f>
        <v>958.817241210938</v>
      </c>
      <c r="F519" s="15" t="n">
        <f aca="false">E519*(1+IF(F$3&lt;=$O$2,$D519,$D519-($D519-$I$508)*MIN(F$3-$O$2,$Q$2)/$Q$2))</f>
        <v>1056.66528975248</v>
      </c>
      <c r="G519" s="15" t="n">
        <f aca="false">F519*(1+IF(G$3&lt;=$O$2,$D519,$D519-($D519-$I$508)*MIN(G$3-$O$2,$Q$2)/$Q$2))</f>
        <v>1164.49880809148</v>
      </c>
      <c r="H519" s="15" t="n">
        <f aca="false">G519*(1+IF(H$3&lt;=$O$2,$D519,$D519-($D519-$I$508)*MIN(H$3-$O$2,$Q$2)/$Q$2))</f>
        <v>1283.33682122191</v>
      </c>
      <c r="I519" s="15" t="n">
        <f aca="false">H519*(1+IF(I$3&lt;=$O$2,$D519,$D519-($D519-$I$508)*MIN(I$3-$O$2,$Q$2)/$Q$2))</f>
        <v>1414.3023464345</v>
      </c>
      <c r="J519" s="15" t="n">
        <f aca="false">I519*(1+IF(J$3&lt;=$O$2,$D519,$D519-($D519-$I$508)*MIN(J$3-$O$2,$Q$2)/$Q$2))</f>
        <v>1537.7718252172</v>
      </c>
      <c r="K519" s="15" t="n">
        <f aca="false">J519*(1+IF(K$3&lt;=$O$2,$D519,$D519-($D519-$I$508)*MIN(K$3-$O$2,$Q$2)/$Q$2))</f>
        <v>1649.33789196725</v>
      </c>
      <c r="L519" s="15" t="n">
        <f aca="false">K519*(1+IF(L$3&lt;=$O$2,$D519,$D519-($D519-$I$508)*MIN(L$3-$O$2,$Q$2)/$Q$2))</f>
        <v>1744.67013754105</v>
      </c>
      <c r="M519" s="15" t="n">
        <f aca="false">L519*(1+IF(M$3&lt;=$O$2,$D519,$D519-($D519-$I$508)*MIN(M$3-$O$2,$Q$2)/$Q$2))</f>
        <v>1819.7784595669</v>
      </c>
      <c r="N519" s="15" t="n">
        <f aca="false">M519*(1+IF(N$3&lt;=$O$2,$D519,$D519-($D519-$I$508)*MIN(N$3-$O$2,$Q$2)/$Q$2))</f>
        <v>1871.27818997264</v>
      </c>
      <c r="O519" s="15" t="n">
        <f aca="false">SUMPRODUCT(E519:N519,1/(1+$F$508)^$E$3:$N$3)*$E$2</f>
        <v>2045.15919072224</v>
      </c>
      <c r="P519" s="15" t="n">
        <f aca="false">N519*$E$2*(1+$I$508)/($F$508-$I$508)/(1+$F$508)^$N$3</f>
        <v>3587.79201349728</v>
      </c>
      <c r="Q519" s="15" t="n">
        <f aca="false">O519+P519</f>
        <v>5632.95120421952</v>
      </c>
      <c r="R519" s="15" t="n">
        <f aca="false">Q519-$G$2+$I$2</f>
        <v>5800.35120421952</v>
      </c>
      <c r="S519" s="42" t="n">
        <f aca="false">R519/$K$2</f>
        <v>164.829531236701</v>
      </c>
      <c r="T519" s="43" t="n">
        <f aca="false">S519-$M$2</f>
        <v>0.294151867562363</v>
      </c>
    </row>
    <row r="520" customFormat="false" ht="15" hidden="false" customHeight="false" outlineLevel="0" collapsed="false">
      <c r="A520" s="5" t="n">
        <v>11</v>
      </c>
      <c r="B520" s="25" t="n">
        <f aca="false">IF(T519&gt;0,B519,D519)</f>
        <v>0.1005859375</v>
      </c>
      <c r="C520" s="25" t="n">
        <f aca="false">IF(T519&gt;0,D519,C519)</f>
        <v>0.10205078125</v>
      </c>
      <c r="D520" s="41" t="n">
        <f aca="false">(B520+C520)/2</f>
        <v>0.101318359375</v>
      </c>
      <c r="E520" s="15" t="n">
        <f aca="false">$C$2*(1+IF(E$3&lt;=$O$2,$D520,$D520-($D520-$I$508)*MIN(E$3-$O$2,$Q$2)/$Q$2))</f>
        <v>958.180012207031</v>
      </c>
      <c r="F520" s="15" t="n">
        <f aca="false">E520*(1+IF(F$3&lt;=$O$2,$D520,$D520-($D520-$I$508)*MIN(F$3-$O$2,$Q$2)/$Q$2))</f>
        <v>1055.26123902977</v>
      </c>
      <c r="G520" s="15" t="n">
        <f aca="false">F520*(1+IF(G$3&lt;=$O$2,$D520,$D520-($D520-$I$508)*MIN(G$3-$O$2,$Q$2)/$Q$2))</f>
        <v>1162.17857648029</v>
      </c>
      <c r="H520" s="15" t="n">
        <f aca="false">G520*(1+IF(H$3&lt;=$O$2,$D520,$D520-($D520-$I$508)*MIN(H$3-$O$2,$Q$2)/$Q$2))</f>
        <v>1279.92860315005</v>
      </c>
      <c r="I520" s="15" t="n">
        <f aca="false">H520*(1+IF(I$3&lt;=$O$2,$D520,$D520-($D520-$I$508)*MIN(I$3-$O$2,$Q$2)/$Q$2))</f>
        <v>1409.60886933835</v>
      </c>
      <c r="J520" s="15" t="n">
        <f aca="false">I520*(1+IF(J$3&lt;=$O$2,$D520,$D520-($D520-$I$508)*MIN(J$3-$O$2,$Q$2)/$Q$2))</f>
        <v>1531.84266194025</v>
      </c>
      <c r="K520" s="15" t="n">
        <f aca="false">J520*(1+IF(K$3&lt;=$O$2,$D520,$D520-($D520-$I$508)*MIN(K$3-$O$2,$Q$2)/$Q$2))</f>
        <v>1642.30539207046</v>
      </c>
      <c r="L520" s="15" t="n">
        <f aca="false">K520*(1+IF(L$3&lt;=$O$2,$D520,$D520-($D520-$I$508)*MIN(L$3-$O$2,$Q$2)/$Q$2))</f>
        <v>1736.75001279474</v>
      </c>
      <c r="M520" s="15" t="n">
        <f aca="false">L520*(1+IF(M$3&lt;=$O$2,$D520,$D520-($D520-$I$508)*MIN(M$3-$O$2,$Q$2)/$Q$2))</f>
        <v>1811.26296547258</v>
      </c>
      <c r="N520" s="15" t="n">
        <f aca="false">M520*(1+IF(N$3&lt;=$O$2,$D520,$D520-($D520-$I$508)*MIN(N$3-$O$2,$Q$2)/$Q$2))</f>
        <v>1862.52170739546</v>
      </c>
      <c r="O520" s="15" t="n">
        <f aca="false">SUMPRODUCT(E520:N520,1/(1+$F$508)^$E$3:$N$3)*$E$2</f>
        <v>2038.6129192464</v>
      </c>
      <c r="P520" s="15" t="n">
        <f aca="false">N520*$E$2*(1+$I$508)/($F$508-$I$508)/(1+$F$508)^$N$3</f>
        <v>3571.00325465582</v>
      </c>
      <c r="Q520" s="15" t="n">
        <f aca="false">O520+P520</f>
        <v>5609.61617390222</v>
      </c>
      <c r="R520" s="15" t="n">
        <f aca="false">Q520-$G$2+$I$2</f>
        <v>5777.01617390222</v>
      </c>
      <c r="S520" s="42" t="n">
        <f aca="false">R520/$K$2</f>
        <v>164.166415853999</v>
      </c>
      <c r="T520" s="43" t="n">
        <f aca="false">S520-$M$2</f>
        <v>-0.368963515140081</v>
      </c>
    </row>
    <row r="521" customFormat="false" ht="15" hidden="false" customHeight="false" outlineLevel="0" collapsed="false">
      <c r="A521" s="5" t="n">
        <v>12</v>
      </c>
      <c r="B521" s="25" t="n">
        <f aca="false">IF(T520&gt;0,B520,D520)</f>
        <v>0.101318359375</v>
      </c>
      <c r="C521" s="25" t="n">
        <f aca="false">IF(T520&gt;0,D520,C520)</f>
        <v>0.10205078125</v>
      </c>
      <c r="D521" s="41" t="n">
        <f aca="false">(B521+C521)/2</f>
        <v>0.1016845703125</v>
      </c>
      <c r="E521" s="15" t="n">
        <f aca="false">$C$2*(1+IF(E$3&lt;=$O$2,$D521,$D521-($D521-$I$508)*MIN(E$3-$O$2,$Q$2)/$Q$2))</f>
        <v>958.498626708984</v>
      </c>
      <c r="F521" s="15" t="n">
        <f aca="false">E521*(1+IF(F$3&lt;=$O$2,$D521,$D521-($D521-$I$508)*MIN(F$3-$O$2,$Q$2)/$Q$2))</f>
        <v>1055.96314771101</v>
      </c>
      <c r="G521" s="15" t="n">
        <f aca="false">F521*(1+IF(G$3&lt;=$O$2,$D521,$D521-($D521-$I$508)*MIN(G$3-$O$2,$Q$2)/$Q$2))</f>
        <v>1163.33830665184</v>
      </c>
      <c r="H521" s="15" t="n">
        <f aca="false">G521*(1+IF(H$3&lt;=$O$2,$D521,$D521-($D521-$I$508)*MIN(H$3-$O$2,$Q$2)/$Q$2))</f>
        <v>1281.6318624918</v>
      </c>
      <c r="I521" s="15" t="n">
        <f aca="false">H521*(1+IF(I$3&lt;=$O$2,$D521,$D521-($D521-$I$508)*MIN(I$3-$O$2,$Q$2)/$Q$2))</f>
        <v>1411.95404772809</v>
      </c>
      <c r="J521" s="15" t="n">
        <f aca="false">I521*(1+IF(J$3&lt;=$O$2,$D521,$D521-($D521-$I$508)*MIN(J$3-$O$2,$Q$2)/$Q$2))</f>
        <v>1534.80486015361</v>
      </c>
      <c r="K521" s="15" t="n">
        <f aca="false">J521*(1+IF(K$3&lt;=$O$2,$D521,$D521-($D521-$I$508)*MIN(K$3-$O$2,$Q$2)/$Q$2))</f>
        <v>1645.8184348015</v>
      </c>
      <c r="L521" s="15" t="n">
        <f aca="false">K521*(1+IF(L$3&lt;=$O$2,$D521,$D521-($D521-$I$508)*MIN(L$3-$O$2,$Q$2)/$Q$2))</f>
        <v>1740.70616796651</v>
      </c>
      <c r="M521" s="15" t="n">
        <f aca="false">L521*(1+IF(M$3&lt;=$O$2,$D521,$D521-($D521-$I$508)*MIN(M$3-$O$2,$Q$2)/$Q$2))</f>
        <v>1815.51634735527</v>
      </c>
      <c r="N521" s="15" t="n">
        <f aca="false">M521*(1+IF(N$3&lt;=$O$2,$D521,$D521-($D521-$I$508)*MIN(N$3-$O$2,$Q$2)/$Q$2))</f>
        <v>1866.89545998542</v>
      </c>
      <c r="O521" s="15" t="n">
        <f aca="false">SUMPRODUCT(E521:N521,1/(1+$F$508)^$E$3:$N$3)*$E$2</f>
        <v>2041.8834562417</v>
      </c>
      <c r="P521" s="15" t="n">
        <f aca="false">N521*$E$2*(1+$I$508)/($F$508-$I$508)/(1+$F$508)^$N$3</f>
        <v>3579.38902791784</v>
      </c>
      <c r="Q521" s="15" t="n">
        <f aca="false">O521+P521</f>
        <v>5621.27248415954</v>
      </c>
      <c r="R521" s="15" t="n">
        <f aca="false">Q521-$G$2+$I$2</f>
        <v>5788.67248415954</v>
      </c>
      <c r="S521" s="42" t="n">
        <f aca="false">R521/$K$2</f>
        <v>164.497655133832</v>
      </c>
      <c r="T521" s="43" t="n">
        <f aca="false">S521-$M$2</f>
        <v>-0.037724235307337</v>
      </c>
    </row>
    <row r="522" customFormat="false" ht="15" hidden="false" customHeight="false" outlineLevel="0" collapsed="false">
      <c r="A522" s="5" t="n">
        <v>13</v>
      </c>
      <c r="B522" s="25" t="n">
        <f aca="false">IF(T521&gt;0,B521,D521)</f>
        <v>0.1016845703125</v>
      </c>
      <c r="C522" s="25" t="n">
        <f aca="false">IF(T521&gt;0,D521,C521)</f>
        <v>0.10205078125</v>
      </c>
      <c r="D522" s="41" t="n">
        <f aca="false">(B522+C522)/2</f>
        <v>0.10186767578125</v>
      </c>
      <c r="E522" s="15" t="n">
        <f aca="false">$C$2*(1+IF(E$3&lt;=$O$2,$D522,$D522-($D522-$I$508)*MIN(E$3-$O$2,$Q$2)/$Q$2))</f>
        <v>958.657933959961</v>
      </c>
      <c r="F522" s="15" t="n">
        <f aca="false">E522*(1+IF(F$3&lt;=$O$2,$D522,$D522-($D522-$I$508)*MIN(F$3-$O$2,$Q$2)/$Q$2))</f>
        <v>1056.31418956172</v>
      </c>
      <c r="G522" s="15" t="n">
        <f aca="false">F522*(1+IF(G$3&lt;=$O$2,$D522,$D522-($D522-$I$508)*MIN(G$3-$O$2,$Q$2)/$Q$2))</f>
        <v>1163.91846094712</v>
      </c>
      <c r="H522" s="15" t="n">
        <f aca="false">G522*(1+IF(H$3&lt;=$O$2,$D522,$D522-($D522-$I$508)*MIN(H$3-$O$2,$Q$2)/$Q$2))</f>
        <v>1282.4841293627</v>
      </c>
      <c r="I522" s="15" t="n">
        <f aca="false">H522*(1+IF(I$3&lt;=$O$2,$D522,$D522-($D522-$I$508)*MIN(I$3-$O$2,$Q$2)/$Q$2))</f>
        <v>1413.12780684722</v>
      </c>
      <c r="J522" s="15" t="n">
        <f aca="false">I522*(1+IF(J$3&lt;=$O$2,$D522,$D522-($D522-$I$508)*MIN(J$3-$O$2,$Q$2)/$Q$2))</f>
        <v>1536.28774644628</v>
      </c>
      <c r="K522" s="15" t="n">
        <f aca="false">J522*(1+IF(K$3&lt;=$O$2,$D522,$D522-($D522-$I$508)*MIN(K$3-$O$2,$Q$2)/$Q$2))</f>
        <v>1647.57736097307</v>
      </c>
      <c r="L522" s="15" t="n">
        <f aca="false">K522*(1+IF(L$3&lt;=$O$2,$D522,$D522-($D522-$I$508)*MIN(L$3-$O$2,$Q$2)/$Q$2))</f>
        <v>1742.68717513524</v>
      </c>
      <c r="M522" s="15" t="n">
        <f aca="false">L522*(1+IF(M$3&lt;=$O$2,$D522,$D522-($D522-$I$508)*MIN(M$3-$O$2,$Q$2)/$Q$2))</f>
        <v>1817.64631120927</v>
      </c>
      <c r="N522" s="15" t="n">
        <f aca="false">M522*(1+IF(N$3&lt;=$O$2,$D522,$D522-($D522-$I$508)*MIN(N$3-$O$2,$Q$2)/$Q$2))</f>
        <v>1869.08570181649</v>
      </c>
      <c r="O522" s="15" t="n">
        <f aca="false">SUMPRODUCT(E522:N522,1/(1+$F$508)^$E$3:$N$3)*$E$2</f>
        <v>2043.52067331997</v>
      </c>
      <c r="P522" s="15" t="n">
        <f aca="false">N522*$E$2*(1+$I$508)/($F$508-$I$508)/(1+$F$508)^$N$3</f>
        <v>3583.58836727381</v>
      </c>
      <c r="Q522" s="15" t="n">
        <f aca="false">O522+P522</f>
        <v>5627.10904059378</v>
      </c>
      <c r="R522" s="15" t="n">
        <f aca="false">Q522-$G$2+$I$2</f>
        <v>5794.50904059378</v>
      </c>
      <c r="S522" s="42" t="n">
        <f aca="false">R522/$K$2</f>
        <v>164.663513515027</v>
      </c>
      <c r="T522" s="43" t="n">
        <f aca="false">S522-$M$2</f>
        <v>0.128134145887543</v>
      </c>
    </row>
    <row r="523" customFormat="false" ht="15" hidden="false" customHeight="false" outlineLevel="0" collapsed="false">
      <c r="A523" s="5" t="n">
        <v>14</v>
      </c>
      <c r="B523" s="25" t="n">
        <f aca="false">IF(T522&gt;0,B522,D522)</f>
        <v>0.1016845703125</v>
      </c>
      <c r="C523" s="25" t="n">
        <f aca="false">IF(T522&gt;0,D522,C522)</f>
        <v>0.10186767578125</v>
      </c>
      <c r="D523" s="41" t="n">
        <f aca="false">(B523+C523)/2</f>
        <v>0.101776123046875</v>
      </c>
      <c r="E523" s="15" t="n">
        <f aca="false">$C$2*(1+IF(E$3&lt;=$O$2,$D523,$D523-($D523-$I$508)*MIN(E$3-$O$2,$Q$2)/$Q$2))</f>
        <v>958.578280334473</v>
      </c>
      <c r="F523" s="15" t="n">
        <f aca="false">E523*(1+IF(F$3&lt;=$O$2,$D523,$D523-($D523-$I$508)*MIN(F$3-$O$2,$Q$2)/$Q$2))</f>
        <v>1056.13866134386</v>
      </c>
      <c r="G523" s="15" t="n">
        <f aca="false">F523*(1+IF(G$3&lt;=$O$2,$D523,$D523-($D523-$I$508)*MIN(G$3-$O$2,$Q$2)/$Q$2))</f>
        <v>1163.62835969535</v>
      </c>
      <c r="H523" s="15" t="n">
        <f aca="false">G523*(1+IF(H$3&lt;=$O$2,$D523,$D523-($D523-$I$508)*MIN(H$3-$O$2,$Q$2)/$Q$2))</f>
        <v>1282.05794281254</v>
      </c>
      <c r="I523" s="15" t="n">
        <f aca="false">H523*(1+IF(I$3&lt;=$O$2,$D523,$D523-($D523-$I$508)*MIN(I$3-$O$2,$Q$2)/$Q$2))</f>
        <v>1412.54082975345</v>
      </c>
      <c r="J523" s="15" t="n">
        <f aca="false">I523*(1+IF(J$3&lt;=$O$2,$D523,$D523-($D523-$I$508)*MIN(J$3-$O$2,$Q$2)/$Q$2))</f>
        <v>1535.54615428803</v>
      </c>
      <c r="K523" s="15" t="n">
        <f aca="false">J523*(1+IF(K$3&lt;=$O$2,$D523,$D523-($D523-$I$508)*MIN(K$3-$O$2,$Q$2)/$Q$2))</f>
        <v>1646.69769736036</v>
      </c>
      <c r="L523" s="15" t="n">
        <f aca="false">K523*(1+IF(L$3&lt;=$O$2,$D523,$D523-($D523-$I$508)*MIN(L$3-$O$2,$Q$2)/$Q$2))</f>
        <v>1741.69642724856</v>
      </c>
      <c r="M523" s="15" t="n">
        <f aca="false">L523*(1+IF(M$3&lt;=$O$2,$D523,$D523-($D523-$I$508)*MIN(M$3-$O$2,$Q$2)/$Q$2))</f>
        <v>1816.58105633945</v>
      </c>
      <c r="N523" s="15" t="n">
        <f aca="false">M523*(1+IF(N$3&lt;=$O$2,$D523,$D523-($D523-$I$508)*MIN(N$3-$O$2,$Q$2)/$Q$2))</f>
        <v>1867.99030023386</v>
      </c>
      <c r="O523" s="15" t="n">
        <f aca="false">SUMPRODUCT(E523:N523,1/(1+$F$508)^$E$3:$N$3)*$E$2</f>
        <v>2042.7019022999</v>
      </c>
      <c r="P523" s="15" t="n">
        <f aca="false">N523*$E$2*(1+$I$508)/($F$508-$I$508)/(1+$F$508)^$N$3</f>
        <v>3581.48815947426</v>
      </c>
      <c r="Q523" s="15" t="n">
        <f aca="false">O523+P523</f>
        <v>5624.19006177416</v>
      </c>
      <c r="R523" s="15" t="n">
        <f aca="false">Q523-$G$2+$I$2</f>
        <v>5791.59006177416</v>
      </c>
      <c r="S523" s="42" t="n">
        <f aca="false">R523/$K$2</f>
        <v>164.580564415293</v>
      </c>
      <c r="T523" s="43" t="n">
        <f aca="false">S523-$M$2</f>
        <v>0.0451850461539323</v>
      </c>
    </row>
    <row r="524" customFormat="false" ht="15" hidden="false" customHeight="false" outlineLevel="0" collapsed="false">
      <c r="A524" s="5" t="n">
        <v>15</v>
      </c>
      <c r="B524" s="25" t="n">
        <f aca="false">IF(T523&gt;0,B523,D523)</f>
        <v>0.1016845703125</v>
      </c>
      <c r="C524" s="25" t="n">
        <f aca="false">IF(T523&gt;0,D523,C523)</f>
        <v>0.101776123046875</v>
      </c>
      <c r="D524" s="41" t="n">
        <f aca="false">(B524+C524)/2</f>
        <v>0.101730346679688</v>
      </c>
      <c r="E524" s="15" t="n">
        <f aca="false">$C$2*(1+IF(E$3&lt;=$O$2,$D524,$D524-($D524-$I$508)*MIN(E$3-$O$2,$Q$2)/$Q$2))</f>
        <v>958.538453521729</v>
      </c>
      <c r="F524" s="15" t="n">
        <f aca="false">E524*(1+IF(F$3&lt;=$O$2,$D524,$D524-($D524-$I$508)*MIN(F$3-$O$2,$Q$2)/$Q$2))</f>
        <v>1056.05090270431</v>
      </c>
      <c r="G524" s="15" t="n">
        <f aca="false">F524*(1+IF(G$3&lt;=$O$2,$D524,$D524-($D524-$I$508)*MIN(G$3-$O$2,$Q$2)/$Q$2))</f>
        <v>1163.48332714781</v>
      </c>
      <c r="H524" s="15" t="n">
        <f aca="false">G524*(1+IF(H$3&lt;=$O$2,$D524,$D524-($D524-$I$508)*MIN(H$3-$O$2,$Q$2)/$Q$2))</f>
        <v>1281.84488937459</v>
      </c>
      <c r="I524" s="15" t="n">
        <f aca="false">H524*(1+IF(I$3&lt;=$O$2,$D524,$D524-($D524-$I$508)*MIN(I$3-$O$2,$Q$2)/$Q$2))</f>
        <v>1412.24741436026</v>
      </c>
      <c r="J524" s="15" t="n">
        <f aca="false">I524*(1+IF(J$3&lt;=$O$2,$D524,$D524-($D524-$I$508)*MIN(J$3-$O$2,$Q$2)/$Q$2))</f>
        <v>1535.17546997383</v>
      </c>
      <c r="K524" s="15" t="n">
        <f aca="false">J524*(1+IF(K$3&lt;=$O$2,$D524,$D524-($D524-$I$508)*MIN(K$3-$O$2,$Q$2)/$Q$2))</f>
        <v>1646.25801595868</v>
      </c>
      <c r="L524" s="15" t="n">
        <f aca="false">K524*(1+IF(L$3&lt;=$O$2,$D524,$D524-($D524-$I$508)*MIN(L$3-$O$2,$Q$2)/$Q$2))</f>
        <v>1741.20123654474</v>
      </c>
      <c r="M524" s="15" t="n">
        <f aca="false">L524*(1+IF(M$3&lt;=$O$2,$D524,$D524-($D524-$I$508)*MIN(M$3-$O$2,$Q$2)/$Q$2))</f>
        <v>1816.04863362667</v>
      </c>
      <c r="N524" s="15" t="n">
        <f aca="false">M524*(1+IF(N$3&lt;=$O$2,$D524,$D524-($D524-$I$508)*MIN(N$3-$O$2,$Q$2)/$Q$2))</f>
        <v>1867.4428099583</v>
      </c>
      <c r="O524" s="15" t="n">
        <f aca="false">SUMPRODUCT(E524:N524,1/(1+$F$508)^$E$3:$N$3)*$E$2</f>
        <v>2042.29263865801</v>
      </c>
      <c r="P524" s="15" t="n">
        <f aca="false">N524*$E$2*(1+$I$508)/($F$508-$I$508)/(1+$F$508)^$N$3</f>
        <v>3580.43845919525</v>
      </c>
      <c r="Q524" s="15" t="n">
        <f aca="false">O524+P524</f>
        <v>5622.73109785326</v>
      </c>
      <c r="R524" s="15" t="n">
        <f aca="false">Q524-$G$2+$I$2</f>
        <v>5790.13109785326</v>
      </c>
      <c r="S524" s="42" t="n">
        <f aca="false">R524/$K$2</f>
        <v>164.539104798331</v>
      </c>
      <c r="T524" s="43" t="n">
        <f aca="false">S524-$M$2</f>
        <v>0.00372542919186003</v>
      </c>
    </row>
    <row r="525" customFormat="false" ht="15" hidden="false" customHeight="false" outlineLevel="0" collapsed="false">
      <c r="A525" s="5" t="n">
        <v>16</v>
      </c>
      <c r="B525" s="25" t="n">
        <f aca="false">IF(T524&gt;0,B524,D524)</f>
        <v>0.1016845703125</v>
      </c>
      <c r="C525" s="25" t="n">
        <f aca="false">IF(T524&gt;0,D524,C524)</f>
        <v>0.101730346679688</v>
      </c>
      <c r="D525" s="41" t="n">
        <f aca="false">(B525+C525)/2</f>
        <v>0.101707458496094</v>
      </c>
      <c r="E525" s="15" t="n">
        <f aca="false">$C$2*(1+IF(E$3&lt;=$O$2,$D525,$D525-($D525-$I$508)*MIN(E$3-$O$2,$Q$2)/$Q$2))</f>
        <v>958.518540115356</v>
      </c>
      <c r="F525" s="15" t="n">
        <f aca="false">E525*(1+IF(F$3&lt;=$O$2,$D525,$D525-($D525-$I$508)*MIN(F$3-$O$2,$Q$2)/$Q$2))</f>
        <v>1056.00702475188</v>
      </c>
      <c r="G525" s="15" t="n">
        <f aca="false">F525*(1+IF(G$3&lt;=$O$2,$D525,$D525-($D525-$I$508)*MIN(G$3-$O$2,$Q$2)/$Q$2))</f>
        <v>1163.41081539341</v>
      </c>
      <c r="H525" s="15" t="n">
        <f aca="false">G525*(1+IF(H$3&lt;=$O$2,$D525,$D525-($D525-$I$508)*MIN(H$3-$O$2,$Q$2)/$Q$2))</f>
        <v>1281.73837261394</v>
      </c>
      <c r="I525" s="15" t="n">
        <f aca="false">H525*(1+IF(I$3&lt;=$O$2,$D525,$D525-($D525-$I$508)*MIN(I$3-$O$2,$Q$2)/$Q$2))</f>
        <v>1412.10072494943</v>
      </c>
      <c r="J525" s="15" t="n">
        <f aca="false">I525*(1+IF(J$3&lt;=$O$2,$D525,$D525-($D525-$I$508)*MIN(J$3-$O$2,$Q$2)/$Q$2))</f>
        <v>1534.99015575272</v>
      </c>
      <c r="K525" s="15" t="n">
        <f aca="false">J525*(1+IF(K$3&lt;=$O$2,$D525,$D525-($D525-$I$508)*MIN(K$3-$O$2,$Q$2)/$Q$2))</f>
        <v>1646.03821285072</v>
      </c>
      <c r="L525" s="15" t="n">
        <f aca="false">K525*(1+IF(L$3&lt;=$O$2,$D525,$D525-($D525-$I$508)*MIN(L$3-$O$2,$Q$2)/$Q$2))</f>
        <v>1740.95368699152</v>
      </c>
      <c r="M525" s="15" t="n">
        <f aca="false">L525*(1+IF(M$3&lt;=$O$2,$D525,$D525-($D525-$I$508)*MIN(M$3-$O$2,$Q$2)/$Q$2))</f>
        <v>1815.78247343767</v>
      </c>
      <c r="N525" s="15" t="n">
        <f aca="false">M525*(1+IF(N$3&lt;=$O$2,$D525,$D525-($D525-$I$508)*MIN(N$3-$O$2,$Q$2)/$Q$2))</f>
        <v>1867.16911743596</v>
      </c>
      <c r="O525" s="15" t="n">
        <f aca="false">SUMPRODUCT(E525:N525,1/(1+$F$508)^$E$3:$N$3)*$E$2</f>
        <v>2042.08803729759</v>
      </c>
      <c r="P525" s="15" t="n">
        <f aca="false">N525*$E$2*(1+$I$508)/($F$508-$I$508)/(1+$F$508)^$N$3</f>
        <v>3579.91370993505</v>
      </c>
      <c r="Q525" s="15" t="n">
        <f aca="false">O525+P525</f>
        <v>5622.00174723263</v>
      </c>
      <c r="R525" s="15" t="n">
        <f aca="false">Q525-$G$2+$I$2</f>
        <v>5789.40174723263</v>
      </c>
      <c r="S525" s="42" t="n">
        <f aca="false">R525/$K$2</f>
        <v>164.518378722155</v>
      </c>
      <c r="T525" s="43" t="n">
        <f aca="false">S525-$M$2</f>
        <v>-0.0170006469840018</v>
      </c>
    </row>
    <row r="526" customFormat="false" ht="15" hidden="false" customHeight="false" outlineLevel="0" collapsed="false">
      <c r="A526" s="5" t="n">
        <v>17</v>
      </c>
      <c r="B526" s="25" t="n">
        <f aca="false">IF(T525&gt;0,B525,D525)</f>
        <v>0.101707458496094</v>
      </c>
      <c r="C526" s="25" t="n">
        <f aca="false">IF(T525&gt;0,D525,C525)</f>
        <v>0.101730346679688</v>
      </c>
      <c r="D526" s="41" t="n">
        <f aca="false">(B526+C526)/2</f>
        <v>0.101718902587891</v>
      </c>
      <c r="E526" s="15" t="n">
        <f aca="false">$C$2*(1+IF(E$3&lt;=$O$2,$D526,$D526-($D526-$I$508)*MIN(E$3-$O$2,$Q$2)/$Q$2))</f>
        <v>958.528496818542</v>
      </c>
      <c r="F526" s="15" t="n">
        <f aca="false">E526*(1+IF(F$3&lt;=$O$2,$D526,$D526-($D526-$I$508)*MIN(F$3-$O$2,$Q$2)/$Q$2))</f>
        <v>1056.02896361415</v>
      </c>
      <c r="G526" s="15" t="n">
        <f aca="false">F526*(1+IF(G$3&lt;=$O$2,$D526,$D526-($D526-$I$508)*MIN(G$3-$O$2,$Q$2)/$Q$2))</f>
        <v>1163.447070894</v>
      </c>
      <c r="H526" s="15" t="n">
        <f aca="false">G526*(1+IF(H$3&lt;=$O$2,$D526,$D526-($D526-$I$508)*MIN(H$3-$O$2,$Q$2)/$Q$2))</f>
        <v>1281.79163016444</v>
      </c>
      <c r="I526" s="15" t="n">
        <f aca="false">H526*(1+IF(I$3&lt;=$O$2,$D526,$D526-($D526-$I$508)*MIN(I$3-$O$2,$Q$2)/$Q$2))</f>
        <v>1412.17406813111</v>
      </c>
      <c r="J526" s="15" t="n">
        <f aca="false">I526*(1+IF(J$3&lt;=$O$2,$D526,$D526-($D526-$I$508)*MIN(J$3-$O$2,$Q$2)/$Q$2))</f>
        <v>1535.08281053543</v>
      </c>
      <c r="K526" s="15" t="n">
        <f aca="false">J526*(1+IF(K$3&lt;=$O$2,$D526,$D526-($D526-$I$508)*MIN(K$3-$O$2,$Q$2)/$Q$2))</f>
        <v>1646.14811127221</v>
      </c>
      <c r="L526" s="15" t="n">
        <f aca="false">K526*(1+IF(L$3&lt;=$O$2,$D526,$D526-($D526-$I$508)*MIN(L$3-$O$2,$Q$2)/$Q$2))</f>
        <v>1741.0774579519</v>
      </c>
      <c r="M526" s="15" t="n">
        <f aca="false">L526*(1+IF(M$3&lt;=$O$2,$D526,$D526-($D526-$I$508)*MIN(M$3-$O$2,$Q$2)/$Q$2))</f>
        <v>1815.91554926861</v>
      </c>
      <c r="N526" s="15" t="n">
        <f aca="false">M526*(1+IF(N$3&lt;=$O$2,$D526,$D526-($D526-$I$508)*MIN(N$3-$O$2,$Q$2)/$Q$2))</f>
        <v>1867.30595931291</v>
      </c>
      <c r="O526" s="15" t="n">
        <f aca="false">SUMPRODUCT(E526:N526,1/(1+$F$508)^$E$3:$N$3)*$E$2</f>
        <v>2042.19033543961</v>
      </c>
      <c r="P526" s="15" t="n">
        <f aca="false">N526*$E$2*(1+$I$508)/($F$508-$I$508)/(1+$F$508)^$N$3</f>
        <v>3580.17607615931</v>
      </c>
      <c r="Q526" s="15" t="n">
        <f aca="false">O526+P526</f>
        <v>5622.36641159893</v>
      </c>
      <c r="R526" s="15" t="n">
        <f aca="false">Q526-$G$2+$I$2</f>
        <v>5789.76641159893</v>
      </c>
      <c r="S526" s="42" t="n">
        <f aca="false">R526/$K$2</f>
        <v>164.528741449245</v>
      </c>
      <c r="T526" s="43" t="n">
        <f aca="false">S526-$M$2</f>
        <v>-0.00663791989410356</v>
      </c>
    </row>
    <row r="527" customFormat="false" ht="15" hidden="false" customHeight="false" outlineLevel="0" collapsed="false">
      <c r="A527" s="5" t="n">
        <v>18</v>
      </c>
      <c r="B527" s="25" t="n">
        <f aca="false">IF(T526&gt;0,B526,D526)</f>
        <v>0.101718902587891</v>
      </c>
      <c r="C527" s="25" t="n">
        <f aca="false">IF(T526&gt;0,D526,C526)</f>
        <v>0.101730346679688</v>
      </c>
      <c r="D527" s="41" t="n">
        <f aca="false">(B527+C527)/2</f>
        <v>0.101724624633789</v>
      </c>
      <c r="E527" s="15" t="n">
        <f aca="false">$C$2*(1+IF(E$3&lt;=$O$2,$D527,$D527-($D527-$I$508)*MIN(E$3-$O$2,$Q$2)/$Q$2))</f>
        <v>958.533475170136</v>
      </c>
      <c r="F527" s="15" t="n">
        <f aca="false">E527*(1+IF(F$3&lt;=$O$2,$D527,$D527-($D527-$I$508)*MIN(F$3-$O$2,$Q$2)/$Q$2))</f>
        <v>1056.03993313074</v>
      </c>
      <c r="G527" s="15" t="n">
        <f aca="false">F527*(1+IF(G$3&lt;=$O$2,$D527,$D527-($D527-$I$508)*MIN(G$3-$O$2,$Q$2)/$Q$2))</f>
        <v>1163.46519892676</v>
      </c>
      <c r="H527" s="15" t="n">
        <f aca="false">G527*(1+IF(H$3&lt;=$O$2,$D527,$D527-($D527-$I$508)*MIN(H$3-$O$2,$Q$2)/$Q$2))</f>
        <v>1281.81825956206</v>
      </c>
      <c r="I527" s="15" t="n">
        <f aca="false">H527*(1+IF(I$3&lt;=$O$2,$D527,$D527-($D527-$I$508)*MIN(I$3-$O$2,$Q$2)/$Q$2))</f>
        <v>1412.21074086474</v>
      </c>
      <c r="J527" s="15" t="n">
        <f aca="false">I527*(1+IF(J$3&lt;=$O$2,$D527,$D527-($D527-$I$508)*MIN(J$3-$O$2,$Q$2)/$Q$2))</f>
        <v>1535.12913967265</v>
      </c>
      <c r="K527" s="15" t="n">
        <f aca="false">J527*(1+IF(K$3&lt;=$O$2,$D527,$D527-($D527-$I$508)*MIN(K$3-$O$2,$Q$2)/$Q$2))</f>
        <v>1646.2030628323</v>
      </c>
      <c r="L527" s="15" t="n">
        <f aca="false">K527*(1+IF(L$3&lt;=$O$2,$D527,$D527-($D527-$I$508)*MIN(L$3-$O$2,$Q$2)/$Q$2))</f>
        <v>1741.13934629424</v>
      </c>
      <c r="M527" s="15" t="n">
        <f aca="false">L527*(1+IF(M$3&lt;=$O$2,$D527,$D527-($D527-$I$508)*MIN(M$3-$O$2,$Q$2)/$Q$2))</f>
        <v>1815.98209038172</v>
      </c>
      <c r="N527" s="15" t="n">
        <f aca="false">M527*(1+IF(N$3&lt;=$O$2,$D527,$D527-($D527-$I$508)*MIN(N$3-$O$2,$Q$2)/$Q$2))</f>
        <v>1867.37438353953</v>
      </c>
      <c r="O527" s="15" t="n">
        <f aca="false">SUMPRODUCT(E527:N527,1/(1+$F$508)^$E$3:$N$3)*$E$2</f>
        <v>2042.24148641425</v>
      </c>
      <c r="P527" s="15" t="n">
        <f aca="false">N527*$E$2*(1+$I$508)/($F$508-$I$508)/(1+$F$508)^$N$3</f>
        <v>3580.30726557577</v>
      </c>
      <c r="Q527" s="15" t="n">
        <f aca="false">O527+P527</f>
        <v>5622.54875199002</v>
      </c>
      <c r="R527" s="15" t="n">
        <f aca="false">Q527-$G$2+$I$2</f>
        <v>5789.94875199002</v>
      </c>
      <c r="S527" s="42" t="n">
        <f aca="false">R527/$K$2</f>
        <v>164.533923046036</v>
      </c>
      <c r="T527" s="43" t="n">
        <f aca="false">S527-$M$2</f>
        <v>-0.00145632310264432</v>
      </c>
    </row>
    <row r="528" customFormat="false" ht="15" hidden="false" customHeight="false" outlineLevel="0" collapsed="false">
      <c r="A528" s="5" t="n">
        <v>19</v>
      </c>
      <c r="B528" s="25" t="n">
        <f aca="false">IF(T527&gt;0,B527,D527)</f>
        <v>0.101724624633789</v>
      </c>
      <c r="C528" s="25" t="n">
        <f aca="false">IF(T527&gt;0,D527,C527)</f>
        <v>0.101730346679688</v>
      </c>
      <c r="D528" s="41" t="n">
        <f aca="false">(B528+C528)/2</f>
        <v>0.101727485656738</v>
      </c>
      <c r="E528" s="15" t="n">
        <f aca="false">$C$2*(1+IF(E$3&lt;=$O$2,$D528,$D528-($D528-$I$508)*MIN(E$3-$O$2,$Q$2)/$Q$2))</f>
        <v>958.535964345932</v>
      </c>
      <c r="F528" s="15" t="n">
        <f aca="false">E528*(1+IF(F$3&lt;=$O$2,$D528,$D528-($D528-$I$508)*MIN(F$3-$O$2,$Q$2)/$Q$2))</f>
        <v>1056.0454179104</v>
      </c>
      <c r="G528" s="15" t="n">
        <f aca="false">F528*(1+IF(G$3&lt;=$O$2,$D528,$D528-($D528-$I$508)*MIN(G$3-$O$2,$Q$2)/$Q$2))</f>
        <v>1163.47426301375</v>
      </c>
      <c r="H528" s="15" t="n">
        <f aca="false">G528*(1+IF(H$3&lt;=$O$2,$D528,$D528-($D528-$I$508)*MIN(H$3-$O$2,$Q$2)/$Q$2))</f>
        <v>1281.83157441646</v>
      </c>
      <c r="I528" s="15" t="n">
        <f aca="false">H528*(1+IF(I$3&lt;=$O$2,$D528,$D528-($D528-$I$508)*MIN(I$3-$O$2,$Q$2)/$Q$2))</f>
        <v>1412.22907751726</v>
      </c>
      <c r="J528" s="15" t="n">
        <f aca="false">I528*(1+IF(J$3&lt;=$O$2,$D528,$D528-($D528-$I$508)*MIN(J$3-$O$2,$Q$2)/$Q$2))</f>
        <v>1535.15230467775</v>
      </c>
      <c r="K528" s="15" t="n">
        <f aca="false">J528*(1+IF(K$3&lt;=$O$2,$D528,$D528-($D528-$I$508)*MIN(K$3-$O$2,$Q$2)/$Q$2))</f>
        <v>1646.23053919971</v>
      </c>
      <c r="L528" s="15" t="n">
        <f aca="false">K528*(1+IF(L$3&lt;=$O$2,$D528,$D528-($D528-$I$508)*MIN(L$3-$O$2,$Q$2)/$Q$2))</f>
        <v>1741.17029118097</v>
      </c>
      <c r="M528" s="15" t="n">
        <f aca="false">L528*(1+IF(M$3&lt;=$O$2,$D528,$D528-($D528-$I$508)*MIN(M$3-$O$2,$Q$2)/$Q$2))</f>
        <v>1816.01536173771</v>
      </c>
      <c r="N528" s="15" t="n">
        <f aca="false">M528*(1+IF(N$3&lt;=$O$2,$D528,$D528-($D528-$I$508)*MIN(N$3-$O$2,$Q$2)/$Q$2))</f>
        <v>1867.40859647489</v>
      </c>
      <c r="O528" s="15" t="n">
        <f aca="false">SUMPRODUCT(E528:N528,1/(1+$F$508)^$E$3:$N$3)*$E$2</f>
        <v>2042.26706237749</v>
      </c>
      <c r="P528" s="15" t="n">
        <f aca="false">N528*$E$2*(1+$I$508)/($F$508-$I$508)/(1+$F$508)^$N$3</f>
        <v>3580.37286186012</v>
      </c>
      <c r="Q528" s="15" t="n">
        <f aca="false">O528+P528</f>
        <v>5622.63992423761</v>
      </c>
      <c r="R528" s="15" t="n">
        <f aca="false">Q528-$G$2+$I$2</f>
        <v>5790.03992423761</v>
      </c>
      <c r="S528" s="42" t="n">
        <f aca="false">R528/$K$2</f>
        <v>164.536513902745</v>
      </c>
      <c r="T528" s="43" t="n">
        <f aca="false">S528-$M$2</f>
        <v>0.00113453360643234</v>
      </c>
    </row>
    <row r="529" customFormat="false" ht="15" hidden="false" customHeight="false" outlineLevel="0" collapsed="false">
      <c r="A529" s="5" t="n">
        <v>20</v>
      </c>
      <c r="B529" s="25" t="n">
        <f aca="false">IF(T528&gt;0,B528,D528)</f>
        <v>0.101724624633789</v>
      </c>
      <c r="C529" s="25" t="n">
        <f aca="false">IF(T528&gt;0,D528,C528)</f>
        <v>0.101727485656738</v>
      </c>
      <c r="D529" s="41" t="n">
        <f aca="false">(B529+C529)/2</f>
        <v>0.101726055145264</v>
      </c>
      <c r="E529" s="15" t="n">
        <f aca="false">$C$2*(1+IF(E$3&lt;=$O$2,$D529,$D529-($D529-$I$508)*MIN(E$3-$O$2,$Q$2)/$Q$2))</f>
        <v>958.534719758034</v>
      </c>
      <c r="F529" s="15" t="n">
        <f aca="false">E529*(1+IF(F$3&lt;=$O$2,$D529,$D529-($D529-$I$508)*MIN(F$3-$O$2,$Q$2)/$Q$2))</f>
        <v>1056.04267551879</v>
      </c>
      <c r="G529" s="15" t="n">
        <f aca="false">F529*(1+IF(G$3&lt;=$O$2,$D529,$D529-($D529-$I$508)*MIN(G$3-$O$2,$Q$2)/$Q$2))</f>
        <v>1163.46973096437</v>
      </c>
      <c r="H529" s="15" t="n">
        <f aca="false">G529*(1+IF(H$3&lt;=$O$2,$D529,$D529-($D529-$I$508)*MIN(H$3-$O$2,$Q$2)/$Q$2))</f>
        <v>1281.82491697629</v>
      </c>
      <c r="I529" s="15" t="n">
        <f aca="false">H529*(1+IF(I$3&lt;=$O$2,$D529,$D529-($D529-$I$508)*MIN(I$3-$O$2,$Q$2)/$Q$2))</f>
        <v>1412.21990916719</v>
      </c>
      <c r="J529" s="15" t="n">
        <f aca="false">I529*(1+IF(J$3&lt;=$O$2,$D529,$D529-($D529-$I$508)*MIN(J$3-$O$2,$Q$2)/$Q$2))</f>
        <v>1535.14072213883</v>
      </c>
      <c r="K529" s="15" t="n">
        <f aca="false">J529*(1+IF(K$3&lt;=$O$2,$D529,$D529-($D529-$I$508)*MIN(K$3-$O$2,$Q$2)/$Q$2))</f>
        <v>1646.21680096706</v>
      </c>
      <c r="L529" s="15" t="n">
        <f aca="false">K529*(1+IF(L$3&lt;=$O$2,$D529,$D529-($D529-$I$508)*MIN(L$3-$O$2,$Q$2)/$Q$2))</f>
        <v>1741.15481867797</v>
      </c>
      <c r="M529" s="15" t="n">
        <f aca="false">L529*(1+IF(M$3&lt;=$O$2,$D529,$D529-($D529-$I$508)*MIN(M$3-$O$2,$Q$2)/$Q$2))</f>
        <v>1815.9987259931</v>
      </c>
      <c r="N529" s="15" t="n">
        <f aca="false">M529*(1+IF(N$3&lt;=$O$2,$D529,$D529-($D529-$I$508)*MIN(N$3-$O$2,$Q$2)/$Q$2))</f>
        <v>1867.3914899387</v>
      </c>
      <c r="O529" s="15" t="n">
        <f aca="false">SUMPRODUCT(E529:N529,1/(1+$F$508)^$E$3:$N$3)*$E$2</f>
        <v>2042.25427435621</v>
      </c>
      <c r="P529" s="15" t="n">
        <f aca="false">N529*$E$2*(1+$I$508)/($F$508-$I$508)/(1+$F$508)^$N$3</f>
        <v>3580.3400635866</v>
      </c>
      <c r="Q529" s="15" t="n">
        <f aca="false">O529+P529</f>
        <v>5622.59433794281</v>
      </c>
      <c r="R529" s="15" t="n">
        <f aca="false">Q529-$G$2+$I$2</f>
        <v>5789.99433794281</v>
      </c>
      <c r="S529" s="42" t="n">
        <f aca="false">R529/$K$2</f>
        <v>164.535218469531</v>
      </c>
      <c r="T529" s="43" t="n">
        <f aca="false">S529-$M$2</f>
        <v>-0.000160899607607234</v>
      </c>
    </row>
    <row r="530" customFormat="false" ht="15" hidden="false" customHeight="false" outlineLevel="0" collapsed="false">
      <c r="A530" s="5" t="n">
        <v>21</v>
      </c>
      <c r="B530" s="25" t="n">
        <f aca="false">IF(T529&gt;0,B529,D529)</f>
        <v>0.101726055145264</v>
      </c>
      <c r="C530" s="25" t="n">
        <f aca="false">IF(T529&gt;0,D529,C529)</f>
        <v>0.101727485656738</v>
      </c>
      <c r="D530" s="41" t="n">
        <f aca="false">(B530+C530)/2</f>
        <v>0.101726770401001</v>
      </c>
      <c r="E530" s="15" t="n">
        <f aca="false">$C$2*(1+IF(E$3&lt;=$O$2,$D530,$D530-($D530-$I$508)*MIN(E$3-$O$2,$Q$2)/$Q$2))</f>
        <v>958.535342051983</v>
      </c>
      <c r="F530" s="15" t="n">
        <f aca="false">E530*(1+IF(F$3&lt;=$O$2,$D530,$D530-($D530-$I$508)*MIN(F$3-$O$2,$Q$2)/$Q$2))</f>
        <v>1056.04404671415</v>
      </c>
      <c r="G530" s="15" t="n">
        <f aca="false">F530*(1+IF(G$3&lt;=$O$2,$D530,$D530-($D530-$I$508)*MIN(G$3-$O$2,$Q$2)/$Q$2))</f>
        <v>1163.47199698758</v>
      </c>
      <c r="H530" s="15" t="n">
        <f aca="false">G530*(1+IF(H$3&lt;=$O$2,$D530,$D530-($D530-$I$508)*MIN(H$3-$O$2,$Q$2)/$Q$2))</f>
        <v>1281.82824569313</v>
      </c>
      <c r="I530" s="15" t="n">
        <f aca="false">H530*(1+IF(I$3&lt;=$O$2,$D530,$D530-($D530-$I$508)*MIN(I$3-$O$2,$Q$2)/$Q$2))</f>
        <v>1412.22449333628</v>
      </c>
      <c r="J530" s="15" t="n">
        <f aca="false">I530*(1+IF(J$3&lt;=$O$2,$D530,$D530-($D530-$I$508)*MIN(J$3-$O$2,$Q$2)/$Q$2))</f>
        <v>1535.14651339919</v>
      </c>
      <c r="K530" s="15" t="n">
        <f aca="false">J530*(1+IF(K$3&lt;=$O$2,$D530,$D530-($D530-$I$508)*MIN(K$3-$O$2,$Q$2)/$Q$2))</f>
        <v>1646.22367007115</v>
      </c>
      <c r="L530" s="15" t="n">
        <f aca="false">K530*(1+IF(L$3&lt;=$O$2,$D530,$D530-($D530-$I$508)*MIN(L$3-$O$2,$Q$2)/$Q$2))</f>
        <v>1741.16255491456</v>
      </c>
      <c r="M530" s="15" t="n">
        <f aca="false">L530*(1+IF(M$3&lt;=$O$2,$D530,$D530-($D530-$I$508)*MIN(M$3-$O$2,$Q$2)/$Q$2))</f>
        <v>1816.00704384875</v>
      </c>
      <c r="N530" s="15" t="n">
        <f aca="false">M530*(1+IF(N$3&lt;=$O$2,$D530,$D530-($D530-$I$508)*MIN(N$3-$O$2,$Q$2)/$Q$2))</f>
        <v>1867.40004318967</v>
      </c>
      <c r="O530" s="15" t="n">
        <f aca="false">SUMPRODUCT(E530:N530,1/(1+$F$508)^$E$3:$N$3)*$E$2</f>
        <v>2042.26066835693</v>
      </c>
      <c r="P530" s="15" t="n">
        <f aca="false">N530*$E$2*(1+$I$508)/($F$508-$I$508)/(1+$F$508)^$N$3</f>
        <v>3580.35646269053</v>
      </c>
      <c r="Q530" s="15" t="n">
        <f aca="false">O530+P530</f>
        <v>5622.61713104746</v>
      </c>
      <c r="R530" s="15" t="n">
        <f aca="false">Q530-$G$2+$I$2</f>
        <v>5790.01713104746</v>
      </c>
      <c r="S530" s="42" t="n">
        <f aca="false">R530/$K$2</f>
        <v>164.535866184924</v>
      </c>
      <c r="T530" s="43" t="n">
        <f aca="false">S530-$M$2</f>
        <v>0.000486815784540795</v>
      </c>
    </row>
    <row r="531" customFormat="false" ht="15" hidden="false" customHeight="false" outlineLevel="0" collapsed="false">
      <c r="A531" s="5" t="n">
        <v>22</v>
      </c>
      <c r="B531" s="25" t="n">
        <f aca="false">IF(T530&gt;0,B530,D530)</f>
        <v>0.101726055145264</v>
      </c>
      <c r="C531" s="25" t="n">
        <f aca="false">IF(T530&gt;0,D530,C530)</f>
        <v>0.101726770401001</v>
      </c>
      <c r="D531" s="41" t="n">
        <f aca="false">(B531+C531)/2</f>
        <v>0.101726412773132</v>
      </c>
      <c r="E531" s="15" t="n">
        <f aca="false">$C$2*(1+IF(E$3&lt;=$O$2,$D531,$D531-($D531-$I$508)*MIN(E$3-$O$2,$Q$2)/$Q$2))</f>
        <v>958.535030905008</v>
      </c>
      <c r="F531" s="15" t="n">
        <f aca="false">E531*(1+IF(F$3&lt;=$O$2,$D531,$D531-($D531-$I$508)*MIN(F$3-$O$2,$Q$2)/$Q$2))</f>
        <v>1056.04336111636</v>
      </c>
      <c r="G531" s="15" t="n">
        <f aca="false">F531*(1+IF(G$3&lt;=$O$2,$D531,$D531-($D531-$I$508)*MIN(G$3-$O$2,$Q$2)/$Q$2))</f>
        <v>1163.47086397561</v>
      </c>
      <c r="H531" s="15" t="n">
        <f aca="false">G531*(1+IF(H$3&lt;=$O$2,$D531,$D531-($D531-$I$508)*MIN(H$3-$O$2,$Q$2)/$Q$2))</f>
        <v>1281.8265813339</v>
      </c>
      <c r="I531" s="15" t="n">
        <f aca="false">H531*(1+IF(I$3&lt;=$O$2,$D531,$D531-($D531-$I$508)*MIN(I$3-$O$2,$Q$2)/$Q$2))</f>
        <v>1412.22220125025</v>
      </c>
      <c r="J531" s="15" t="n">
        <f aca="false">I531*(1+IF(J$3&lt;=$O$2,$D531,$D531-($D531-$I$508)*MIN(J$3-$O$2,$Q$2)/$Q$2))</f>
        <v>1535.14361776674</v>
      </c>
      <c r="K531" s="15" t="n">
        <f aca="false">J531*(1+IF(K$3&lt;=$O$2,$D531,$D531-($D531-$I$508)*MIN(K$3-$O$2,$Q$2)/$Q$2))</f>
        <v>1646.22023551604</v>
      </c>
      <c r="L531" s="15" t="n">
        <f aca="false">K531*(1+IF(L$3&lt;=$O$2,$D531,$D531-($D531-$I$508)*MIN(L$3-$O$2,$Q$2)/$Q$2))</f>
        <v>1741.15868679254</v>
      </c>
      <c r="M531" s="15" t="n">
        <f aca="false">L531*(1+IF(M$3&lt;=$O$2,$D531,$D531-($D531-$I$508)*MIN(M$3-$O$2,$Q$2)/$Q$2))</f>
        <v>1816.00288491676</v>
      </c>
      <c r="N531" s="15" t="n">
        <f aca="false">M531*(1+IF(N$3&lt;=$O$2,$D531,$D531-($D531-$I$508)*MIN(N$3-$O$2,$Q$2)/$Q$2))</f>
        <v>1867.3957665599</v>
      </c>
      <c r="O531" s="15" t="n">
        <f aca="false">SUMPRODUCT(E531:N531,1/(1+$F$508)^$E$3:$N$3)*$E$2</f>
        <v>2042.25747135409</v>
      </c>
      <c r="P531" s="15" t="n">
        <f aca="false">N531*$E$2*(1+$I$508)/($F$508-$I$508)/(1+$F$508)^$N$3</f>
        <v>3580.34826313035</v>
      </c>
      <c r="Q531" s="15" t="n">
        <f aca="false">O531+P531</f>
        <v>5622.60573448445</v>
      </c>
      <c r="R531" s="15" t="n">
        <f aca="false">Q531-$G$2+$I$2</f>
        <v>5790.00573448445</v>
      </c>
      <c r="S531" s="42" t="n">
        <f aca="false">R531/$K$2</f>
        <v>164.535542326924</v>
      </c>
      <c r="T531" s="43" t="n">
        <f aca="false">S531-$M$2</f>
        <v>0.000162957784766604</v>
      </c>
    </row>
    <row r="532" customFormat="false" ht="15" hidden="false" customHeight="false" outlineLevel="0" collapsed="false">
      <c r="A532" s="5" t="n">
        <v>23</v>
      </c>
      <c r="B532" s="25" t="n">
        <f aca="false">IF(T531&gt;0,B531,D531)</f>
        <v>0.101726055145264</v>
      </c>
      <c r="C532" s="25" t="n">
        <f aca="false">IF(T531&gt;0,D531,C531)</f>
        <v>0.101726412773132</v>
      </c>
      <c r="D532" s="41" t="n">
        <f aca="false">(B532+C532)/2</f>
        <v>0.101726233959198</v>
      </c>
      <c r="E532" s="15" t="n">
        <f aca="false">$C$2*(1+IF(E$3&lt;=$O$2,$D532,$D532-($D532-$I$508)*MIN(E$3-$O$2,$Q$2)/$Q$2))</f>
        <v>958.534875331521</v>
      </c>
      <c r="F532" s="15" t="n">
        <f aca="false">E532*(1+IF(F$3&lt;=$O$2,$D532,$D532-($D532-$I$508)*MIN(F$3-$O$2,$Q$2)/$Q$2))</f>
        <v>1056.04301831755</v>
      </c>
      <c r="G532" s="15" t="n">
        <f aca="false">F532*(1+IF(G$3&lt;=$O$2,$D532,$D532-($D532-$I$508)*MIN(G$3-$O$2,$Q$2)/$Q$2))</f>
        <v>1163.47029746989</v>
      </c>
      <c r="H532" s="15" t="n">
        <f aca="false">G532*(1+IF(H$3&lt;=$O$2,$D532,$D532-($D532-$I$508)*MIN(H$3-$O$2,$Q$2)/$Q$2))</f>
        <v>1281.82574915489</v>
      </c>
      <c r="I532" s="15" t="n">
        <f aca="false">H532*(1+IF(I$3&lt;=$O$2,$D532,$D532-($D532-$I$508)*MIN(I$3-$O$2,$Q$2)/$Q$2))</f>
        <v>1412.22105520835</v>
      </c>
      <c r="J532" s="15" t="n">
        <f aca="false">I532*(1+IF(J$3&lt;=$O$2,$D532,$D532-($D532-$I$508)*MIN(J$3-$O$2,$Q$2)/$Q$2))</f>
        <v>1535.14216995221</v>
      </c>
      <c r="K532" s="15" t="n">
        <f aca="false">J532*(1+IF(K$3&lt;=$O$2,$D532,$D532-($D532-$I$508)*MIN(K$3-$O$2,$Q$2)/$Q$2))</f>
        <v>1646.21851824079</v>
      </c>
      <c r="L532" s="15" t="n">
        <f aca="false">K532*(1+IF(L$3&lt;=$O$2,$D532,$D532-($D532-$I$508)*MIN(L$3-$O$2,$Q$2)/$Q$2))</f>
        <v>1741.15675273432</v>
      </c>
      <c r="M532" s="15" t="n">
        <f aca="false">L532*(1+IF(M$3&lt;=$O$2,$D532,$D532-($D532-$I$508)*MIN(M$3-$O$2,$Q$2)/$Q$2))</f>
        <v>1816.00080545389</v>
      </c>
      <c r="N532" s="15" t="n">
        <f aca="false">M532*(1+IF(N$3&lt;=$O$2,$D532,$D532-($D532-$I$508)*MIN(N$3-$O$2,$Q$2)/$Q$2))</f>
        <v>1867.39362824823</v>
      </c>
      <c r="O532" s="15" t="n">
        <f aca="false">SUMPRODUCT(E532:N532,1/(1+$F$508)^$E$3:$N$3)*$E$2</f>
        <v>2042.25587285453</v>
      </c>
      <c r="P532" s="15" t="n">
        <f aca="false">N532*$E$2*(1+$I$508)/($F$508-$I$508)/(1+$F$508)^$N$3</f>
        <v>3580.34416335642</v>
      </c>
      <c r="Q532" s="15" t="n">
        <f aca="false">O532+P532</f>
        <v>5622.60003621096</v>
      </c>
      <c r="R532" s="15" t="n">
        <f aca="false">Q532-$G$2+$I$2</f>
        <v>5790.00003621096</v>
      </c>
      <c r="S532" s="42" t="n">
        <f aca="false">R532/$K$2</f>
        <v>164.535380398152</v>
      </c>
      <c r="T532" s="43" t="n">
        <f aca="false">S532-$M$2</f>
        <v>1.02901262266641E-006</v>
      </c>
    </row>
    <row r="533" customFormat="false" ht="15" hidden="false" customHeight="false" outlineLevel="0" collapsed="false">
      <c r="A533" s="5" t="n">
        <v>24</v>
      </c>
      <c r="B533" s="25" t="n">
        <f aca="false">IF(T532&gt;0,B532,D532)</f>
        <v>0.101726055145264</v>
      </c>
      <c r="C533" s="25" t="n">
        <f aca="false">IF(T532&gt;0,D532,C532)</f>
        <v>0.101726233959198</v>
      </c>
      <c r="D533" s="41" t="n">
        <f aca="false">(B533+C533)/2</f>
        <v>0.101726144552231</v>
      </c>
      <c r="E533" s="15" t="n">
        <f aca="false">$C$2*(1+IF(E$3&lt;=$O$2,$D533,$D533-($D533-$I$508)*MIN(E$3-$O$2,$Q$2)/$Q$2))</f>
        <v>958.534797544777</v>
      </c>
      <c r="F533" s="15" t="n">
        <f aca="false">E533*(1+IF(F$3&lt;=$O$2,$D533,$D533-($D533-$I$508)*MIN(F$3-$O$2,$Q$2)/$Q$2))</f>
        <v>1056.04284691816</v>
      </c>
      <c r="G533" s="15" t="n">
        <f aca="false">F533*(1+IF(G$3&lt;=$O$2,$D533,$D533-($D533-$I$508)*MIN(G$3-$O$2,$Q$2)/$Q$2))</f>
        <v>1163.47001421711</v>
      </c>
      <c r="H533" s="15" t="n">
        <f aca="false">G533*(1+IF(H$3&lt;=$O$2,$D533,$D533-($D533-$I$508)*MIN(H$3-$O$2,$Q$2)/$Q$2))</f>
        <v>1281.82533306554</v>
      </c>
      <c r="I533" s="15" t="n">
        <f aca="false">H533*(1+IF(I$3&lt;=$O$2,$D533,$D533-($D533-$I$508)*MIN(I$3-$O$2,$Q$2)/$Q$2))</f>
        <v>1412.22048218768</v>
      </c>
      <c r="J533" s="15" t="n">
        <f aca="false">I533*(1+IF(J$3&lt;=$O$2,$D533,$D533-($D533-$I$508)*MIN(J$3-$O$2,$Q$2)/$Q$2))</f>
        <v>1535.14144604538</v>
      </c>
      <c r="K533" s="15" t="n">
        <f aca="false">J533*(1+IF(K$3&lt;=$O$2,$D533,$D533-($D533-$I$508)*MIN(K$3-$O$2,$Q$2)/$Q$2))</f>
        <v>1646.21765960373</v>
      </c>
      <c r="L533" s="15" t="n">
        <f aca="false">K533*(1+IF(L$3&lt;=$O$2,$D533,$D533-($D533-$I$508)*MIN(L$3-$O$2,$Q$2)/$Q$2))</f>
        <v>1741.15578570592</v>
      </c>
      <c r="M533" s="15" t="n">
        <f aca="false">L533*(1+IF(M$3&lt;=$O$2,$D533,$D533-($D533-$I$508)*MIN(M$3-$O$2,$Q$2)/$Q$2))</f>
        <v>1815.99976572323</v>
      </c>
      <c r="N533" s="15" t="n">
        <f aca="false">M533*(1+IF(N$3&lt;=$O$2,$D533,$D533-($D533-$I$508)*MIN(N$3-$O$2,$Q$2)/$Q$2))</f>
        <v>1867.3925590932</v>
      </c>
      <c r="O533" s="15" t="n">
        <f aca="false">SUMPRODUCT(E533:N533,1/(1+$F$508)^$E$3:$N$3)*$E$2</f>
        <v>2042.25507360522</v>
      </c>
      <c r="P533" s="15" t="n">
        <f aca="false">N533*$E$2*(1+$I$508)/($F$508-$I$508)/(1+$F$508)^$N$3</f>
        <v>3580.342113471</v>
      </c>
      <c r="Q533" s="15" t="n">
        <f aca="false">O533+P533</f>
        <v>5622.59718707621</v>
      </c>
      <c r="R533" s="15" t="n">
        <f aca="false">Q533-$G$2+$I$2</f>
        <v>5789.99718707622</v>
      </c>
      <c r="S533" s="42" t="n">
        <f aca="false">R533/$K$2</f>
        <v>164.535299433823</v>
      </c>
      <c r="T533" s="43" t="n">
        <f aca="false">S533-$M$2</f>
        <v>-7.99353164779859E-005</v>
      </c>
    </row>
    <row r="535" customFormat="false" ht="15" hidden="false" customHeight="false" outlineLevel="0" collapsed="false">
      <c r="A535" s="38" t="s">
        <v>206</v>
      </c>
      <c r="E535" s="5" t="s">
        <v>12</v>
      </c>
      <c r="F535" s="12" t="n">
        <f aca="false">Sensitivity!$B$13</f>
        <v>0.0825075820986394</v>
      </c>
      <c r="G535" s="5" t="s">
        <v>13</v>
      </c>
      <c r="I535" s="12" t="n">
        <f aca="false">Sensitivity!$F$9</f>
        <v>0.0333</v>
      </c>
    </row>
    <row r="536" customFormat="false" ht="23.85" hidden="false" customHeight="false" outlineLevel="0" collapsed="false">
      <c r="A536" s="38" t="s">
        <v>168</v>
      </c>
      <c r="B536" s="28" t="s">
        <v>169</v>
      </c>
      <c r="C536" s="28" t="s">
        <v>170</v>
      </c>
      <c r="D536" s="28" t="s">
        <v>171</v>
      </c>
      <c r="E536" s="28" t="s">
        <v>172</v>
      </c>
      <c r="F536" s="28" t="s">
        <v>173</v>
      </c>
      <c r="G536" s="28" t="s">
        <v>174</v>
      </c>
      <c r="H536" s="28" t="s">
        <v>175</v>
      </c>
      <c r="I536" s="28" t="s">
        <v>176</v>
      </c>
      <c r="J536" s="28" t="s">
        <v>177</v>
      </c>
      <c r="K536" s="28" t="s">
        <v>178</v>
      </c>
      <c r="L536" s="28" t="s">
        <v>179</v>
      </c>
      <c r="M536" s="28" t="s">
        <v>180</v>
      </c>
      <c r="N536" s="28" t="s">
        <v>181</v>
      </c>
      <c r="O536" s="28" t="s">
        <v>182</v>
      </c>
      <c r="P536" s="28" t="s">
        <v>183</v>
      </c>
      <c r="Q536" s="28" t="s">
        <v>184</v>
      </c>
      <c r="R536" s="28" t="s">
        <v>185</v>
      </c>
      <c r="S536" s="28" t="s">
        <v>186</v>
      </c>
      <c r="T536" s="28" t="s">
        <v>187</v>
      </c>
    </row>
    <row r="537" customFormat="false" ht="15" hidden="false" customHeight="false" outlineLevel="0" collapsed="false">
      <c r="A537" s="5" t="n">
        <v>1</v>
      </c>
      <c r="B537" s="24" t="n">
        <v>-0.5</v>
      </c>
      <c r="C537" s="24" t="n">
        <v>1</v>
      </c>
      <c r="D537" s="41" t="n">
        <f aca="false">(B537+C537)/2</f>
        <v>0.25</v>
      </c>
      <c r="E537" s="15" t="n">
        <f aca="false">$C$2*(1+IF(E$3&lt;=$O$2,$D537,$D537-($D537-$I$535)*MIN(E$3-$O$2,$Q$2)/$Q$2))</f>
        <v>1087.5375</v>
      </c>
      <c r="F537" s="15" t="n">
        <f aca="false">E537*(1+IF(F$3&lt;=$O$2,$D537,$D537-($D537-$I$535)*MIN(F$3-$O$2,$Q$2)/$Q$2))</f>
        <v>1359.421875</v>
      </c>
      <c r="G537" s="15" t="n">
        <f aca="false">F537*(1+IF(G$3&lt;=$O$2,$D537,$D537-($D537-$I$535)*MIN(G$3-$O$2,$Q$2)/$Q$2))</f>
        <v>1699.27734375</v>
      </c>
      <c r="H537" s="15" t="n">
        <f aca="false">G537*(1+IF(H$3&lt;=$O$2,$D537,$D537-($D537-$I$535)*MIN(H$3-$O$2,$Q$2)/$Q$2))</f>
        <v>2124.0966796875</v>
      </c>
      <c r="I537" s="15" t="n">
        <f aca="false">H537*(1+IF(I$3&lt;=$O$2,$D537,$D537-($D537-$I$535)*MIN(I$3-$O$2,$Q$2)/$Q$2))</f>
        <v>2655.12084960938</v>
      </c>
      <c r="J537" s="15" t="n">
        <f aca="false">I537*(1+IF(J$3&lt;=$O$2,$D537,$D537-($D537-$I$535)*MIN(J$3-$O$2,$Q$2)/$Q$2))</f>
        <v>3203.82812438965</v>
      </c>
      <c r="K537" s="15" t="n">
        <f aca="false">J537*(1+IF(K$3&lt;=$O$2,$D537,$D537-($D537-$I$535)*MIN(K$3-$O$2,$Q$2)/$Q$2))</f>
        <v>3727.07733366497</v>
      </c>
      <c r="L537" s="15" t="n">
        <f aca="false">K537*(1+IF(L$3&lt;=$O$2,$D537,$D537-($D537-$I$535)*MIN(L$3-$O$2,$Q$2)/$Q$2))</f>
        <v>4174.25207215809</v>
      </c>
      <c r="M537" s="15" t="n">
        <f aca="false">L537*(1+IF(M$3&lt;=$O$2,$D537,$D537-($D537-$I$535)*MIN(M$3-$O$2,$Q$2)/$Q$2))</f>
        <v>4494.16675096829</v>
      </c>
      <c r="N537" s="15" t="n">
        <f aca="false">M537*(1+IF(N$3&lt;=$O$2,$D537,$D537-($D537-$I$535)*MIN(N$3-$O$2,$Q$2)/$Q$2))</f>
        <v>4643.82250377553</v>
      </c>
      <c r="O537" s="15" t="n">
        <f aca="false">SUMPRODUCT(E537:N537,1/(1+$F$535)^$E$3:$N$3)*$E$2</f>
        <v>3904.92412386382</v>
      </c>
      <c r="P537" s="15" t="n">
        <f aca="false">N537*$E$2*(1+$I$535)/($F$535-$I$535)/(1+$F$535)^$N$3</f>
        <v>9855.96423318169</v>
      </c>
      <c r="Q537" s="15" t="n">
        <f aca="false">O537+P537</f>
        <v>13760.8883570455</v>
      </c>
      <c r="R537" s="15" t="n">
        <f aca="false">Q537-$G$2+$I$2</f>
        <v>13928.2883570455</v>
      </c>
      <c r="S537" s="42" t="n">
        <f aca="false">R537/$K$2</f>
        <v>395.802454022322</v>
      </c>
      <c r="T537" s="43" t="n">
        <f aca="false">S537-$M$2</f>
        <v>231.267074653183</v>
      </c>
    </row>
    <row r="538" customFormat="false" ht="15" hidden="false" customHeight="false" outlineLevel="0" collapsed="false">
      <c r="A538" s="5" t="n">
        <v>2</v>
      </c>
      <c r="B538" s="25" t="n">
        <f aca="false">IF(T537&gt;0,B537,D537)</f>
        <v>-0.5</v>
      </c>
      <c r="C538" s="25" t="n">
        <f aca="false">IF(T537&gt;0,D537,C537)</f>
        <v>0.25</v>
      </c>
      <c r="D538" s="41" t="n">
        <f aca="false">(B538+C538)/2</f>
        <v>-0.125</v>
      </c>
      <c r="E538" s="15" t="n">
        <f aca="false">$C$2*(1+IF(E$3&lt;=$O$2,$D538,$D538-($D538-$I$535)*MIN(E$3-$O$2,$Q$2)/$Q$2))</f>
        <v>761.27625</v>
      </c>
      <c r="F538" s="15" t="n">
        <f aca="false">E538*(1+IF(F$3&lt;=$O$2,$D538,$D538-($D538-$I$535)*MIN(F$3-$O$2,$Q$2)/$Q$2))</f>
        <v>666.11671875</v>
      </c>
      <c r="G538" s="15" t="n">
        <f aca="false">F538*(1+IF(G$3&lt;=$O$2,$D538,$D538-($D538-$I$535)*MIN(G$3-$O$2,$Q$2)/$Q$2))</f>
        <v>582.85212890625</v>
      </c>
      <c r="H538" s="15" t="n">
        <f aca="false">G538*(1+IF(H$3&lt;=$O$2,$D538,$D538-($D538-$I$535)*MIN(H$3-$O$2,$Q$2)/$Q$2))</f>
        <v>509.995612792969</v>
      </c>
      <c r="I538" s="15" t="n">
        <f aca="false">H538*(1+IF(I$3&lt;=$O$2,$D538,$D538-($D538-$I$535)*MIN(I$3-$O$2,$Q$2)/$Q$2))</f>
        <v>446.246161193848</v>
      </c>
      <c r="J538" s="15" t="n">
        <f aca="false">I538*(1+IF(J$3&lt;=$O$2,$D538,$D538-($D538-$I$535)*MIN(J$3-$O$2,$Q$2)/$Q$2))</f>
        <v>404.593544508014</v>
      </c>
      <c r="K538" s="15" t="n">
        <f aca="false">J538*(1+IF(K$3&lt;=$O$2,$D538,$D538-($D538-$I$535)*MIN(K$3-$O$2,$Q$2)/$Q$2))</f>
        <v>379.63821468276</v>
      </c>
      <c r="L538" s="15" t="n">
        <f aca="false">K538*(1+IF(L$3&lt;=$O$2,$D538,$D538-($D538-$I$535)*MIN(L$3-$O$2,$Q$2)/$Q$2))</f>
        <v>368.241475477983</v>
      </c>
      <c r="M538" s="15" t="n">
        <f aca="false">L538*(1+IF(M$3&lt;=$O$2,$D538,$D538-($D538-$I$535)*MIN(M$3-$O$2,$Q$2)/$Q$2))</f>
        <v>368.845391497767</v>
      </c>
      <c r="N538" s="15" t="n">
        <f aca="false">M538*(1+IF(N$3&lt;=$O$2,$D538,$D538-($D538-$I$535)*MIN(N$3-$O$2,$Q$2)/$Q$2))</f>
        <v>381.127943034643</v>
      </c>
      <c r="O538" s="15" t="n">
        <f aca="false">SUMPRODUCT(E538:N538,1/(1+$F$535)^$E$3:$N$3)*$E$2</f>
        <v>763.920027745123</v>
      </c>
      <c r="P538" s="15" t="n">
        <f aca="false">N538*$E$2*(1+$I$535)/($F$535-$I$535)/(1+$F$535)^$N$3</f>
        <v>808.89899899523</v>
      </c>
      <c r="Q538" s="15" t="n">
        <f aca="false">O538+P538</f>
        <v>1572.81902674035</v>
      </c>
      <c r="R538" s="15" t="n">
        <f aca="false">Q538-$G$2+$I$2</f>
        <v>1740.21902674035</v>
      </c>
      <c r="S538" s="42" t="n">
        <f aca="false">R538/$K$2</f>
        <v>49.4520894214366</v>
      </c>
      <c r="T538" s="43" t="n">
        <f aca="false">S538-$M$2</f>
        <v>-115.083289947702</v>
      </c>
    </row>
    <row r="539" customFormat="false" ht="15" hidden="false" customHeight="false" outlineLevel="0" collapsed="false">
      <c r="A539" s="5" t="n">
        <v>3</v>
      </c>
      <c r="B539" s="25" t="n">
        <f aca="false">IF(T538&gt;0,B538,D538)</f>
        <v>-0.125</v>
      </c>
      <c r="C539" s="25" t="n">
        <f aca="false">IF(T538&gt;0,D538,C538)</f>
        <v>0.25</v>
      </c>
      <c r="D539" s="41" t="n">
        <f aca="false">(B539+C539)/2</f>
        <v>0.0625</v>
      </c>
      <c r="E539" s="15" t="n">
        <f aca="false">$C$2*(1+IF(E$3&lt;=$O$2,$D539,$D539-($D539-$I$535)*MIN(E$3-$O$2,$Q$2)/$Q$2))</f>
        <v>924.406875</v>
      </c>
      <c r="F539" s="15" t="n">
        <f aca="false">E539*(1+IF(F$3&lt;=$O$2,$D539,$D539-($D539-$I$535)*MIN(F$3-$O$2,$Q$2)/$Q$2))</f>
        <v>982.1823046875</v>
      </c>
      <c r="G539" s="15" t="n">
        <f aca="false">F539*(1+IF(G$3&lt;=$O$2,$D539,$D539-($D539-$I$535)*MIN(G$3-$O$2,$Q$2)/$Q$2))</f>
        <v>1043.56869873047</v>
      </c>
      <c r="H539" s="15" t="n">
        <f aca="false">G539*(1+IF(H$3&lt;=$O$2,$D539,$D539-($D539-$I$535)*MIN(H$3-$O$2,$Q$2)/$Q$2))</f>
        <v>1108.79174240112</v>
      </c>
      <c r="I539" s="15" t="n">
        <f aca="false">H539*(1+IF(I$3&lt;=$O$2,$D539,$D539-($D539-$I$535)*MIN(I$3-$O$2,$Q$2)/$Q$2))</f>
        <v>1178.09122630119</v>
      </c>
      <c r="J539" s="15" t="n">
        <f aca="false">I539*(1+IF(J$3&lt;=$O$2,$D539,$D539-($D539-$I$535)*MIN(J$3-$O$2,$Q$2)/$Q$2))</f>
        <v>1244.84187518342</v>
      </c>
      <c r="K539" s="15" t="n">
        <f aca="false">J539*(1+IF(K$3&lt;=$O$2,$D539,$D539-($D539-$I$535)*MIN(K$3-$O$2,$Q$2)/$Q$2))</f>
        <v>1308.10473928024</v>
      </c>
      <c r="L539" s="15" t="n">
        <f aca="false">K539*(1+IF(L$3&lt;=$O$2,$D539,$D539-($D539-$I$535)*MIN(L$3-$O$2,$Q$2)/$Q$2))</f>
        <v>1366.94329045307</v>
      </c>
      <c r="M539" s="15" t="n">
        <f aca="false">L539*(1+IF(M$3&lt;=$O$2,$D539,$D539-($D539-$I$535)*MIN(M$3-$O$2,$Q$2)/$Q$2))</f>
        <v>1420.4454508414</v>
      </c>
      <c r="N539" s="15" t="n">
        <f aca="false">M539*(1+IF(N$3&lt;=$O$2,$D539,$D539-($D539-$I$535)*MIN(N$3-$O$2,$Q$2)/$Q$2))</f>
        <v>1467.74628435442</v>
      </c>
      <c r="O539" s="15" t="n">
        <f aca="false">SUMPRODUCT(E539:N539,1/(1+$F$535)^$E$3:$N$3)*$E$2</f>
        <v>1725.08071456406</v>
      </c>
      <c r="P539" s="15" t="n">
        <f aca="false">N539*$E$2*(1+$I$535)/($F$535-$I$535)/(1+$F$535)^$N$3</f>
        <v>3115.11795944424</v>
      </c>
      <c r="Q539" s="15" t="n">
        <f aca="false">O539+P539</f>
        <v>4840.1986740083</v>
      </c>
      <c r="R539" s="15" t="n">
        <f aca="false">Q539-$G$2+$I$2</f>
        <v>5007.5986740083</v>
      </c>
      <c r="S539" s="42" t="n">
        <f aca="false">R539/$K$2</f>
        <v>142.301752600406</v>
      </c>
      <c r="T539" s="43" t="n">
        <f aca="false">S539-$M$2</f>
        <v>-22.2336267687326</v>
      </c>
    </row>
    <row r="540" customFormat="false" ht="15" hidden="false" customHeight="false" outlineLevel="0" collapsed="false">
      <c r="A540" s="5" t="n">
        <v>4</v>
      </c>
      <c r="B540" s="25" t="n">
        <f aca="false">IF(T539&gt;0,B539,D539)</f>
        <v>0.0625</v>
      </c>
      <c r="C540" s="25" t="n">
        <f aca="false">IF(T539&gt;0,D539,C539)</f>
        <v>0.25</v>
      </c>
      <c r="D540" s="41" t="n">
        <f aca="false">(B540+C540)/2</f>
        <v>0.15625</v>
      </c>
      <c r="E540" s="15" t="n">
        <f aca="false">$C$2*(1+IF(E$3&lt;=$O$2,$D540,$D540-($D540-$I$535)*MIN(E$3-$O$2,$Q$2)/$Q$2))</f>
        <v>1005.9721875</v>
      </c>
      <c r="F540" s="15" t="n">
        <f aca="false">E540*(1+IF(F$3&lt;=$O$2,$D540,$D540-($D540-$I$535)*MIN(F$3-$O$2,$Q$2)/$Q$2))</f>
        <v>1163.15534179688</v>
      </c>
      <c r="G540" s="15" t="n">
        <f aca="false">F540*(1+IF(G$3&lt;=$O$2,$D540,$D540-($D540-$I$535)*MIN(G$3-$O$2,$Q$2)/$Q$2))</f>
        <v>1344.89836395264</v>
      </c>
      <c r="H540" s="15" t="n">
        <f aca="false">G540*(1+IF(H$3&lt;=$O$2,$D540,$D540-($D540-$I$535)*MIN(H$3-$O$2,$Q$2)/$Q$2))</f>
        <v>1555.03873332024</v>
      </c>
      <c r="I540" s="15" t="n">
        <f aca="false">H540*(1+IF(I$3&lt;=$O$2,$D540,$D540-($D540-$I$535)*MIN(I$3-$O$2,$Q$2)/$Q$2))</f>
        <v>1798.01353540152</v>
      </c>
      <c r="J540" s="15" t="n">
        <f aca="false">I540*(1+IF(J$3&lt;=$O$2,$D540,$D540-($D540-$I$535)*MIN(J$3-$O$2,$Q$2)/$Q$2))</f>
        <v>2034.73999747249</v>
      </c>
      <c r="K540" s="15" t="n">
        <f aca="false">J540*(1+IF(K$3&lt;=$O$2,$D540,$D540-($D540-$I$535)*MIN(K$3-$O$2,$Q$2)/$Q$2))</f>
        <v>2252.59960900187</v>
      </c>
      <c r="L540" s="15" t="n">
        <f aca="false">K540*(1+IF(L$3&lt;=$O$2,$D540,$D540-($D540-$I$535)*MIN(L$3-$O$2,$Q$2)/$Q$2))</f>
        <v>2438.39402475234</v>
      </c>
      <c r="M540" s="15" t="n">
        <f aca="false">L540*(1+IF(M$3&lt;=$O$2,$D540,$D540-($D540-$I$535)*MIN(M$3-$O$2,$Q$2)/$Q$2))</f>
        <v>2579.55265484525</v>
      </c>
      <c r="N540" s="15" t="n">
        <f aca="false">M540*(1+IF(N$3&lt;=$O$2,$D540,$D540-($D540-$I$535)*MIN(N$3-$O$2,$Q$2)/$Q$2))</f>
        <v>2665.4517582516</v>
      </c>
      <c r="O540" s="15" t="n">
        <f aca="false">SUMPRODUCT(E540:N540,1/(1+$F$535)^$E$3:$N$3)*$E$2</f>
        <v>2600.65588118909</v>
      </c>
      <c r="P540" s="15" t="n">
        <f aca="false">N540*$E$2*(1+$I$535)/($F$535-$I$535)/(1+$F$535)^$N$3</f>
        <v>5657.10622514975</v>
      </c>
      <c r="Q540" s="15" t="n">
        <f aca="false">O540+P540</f>
        <v>8257.76210633883</v>
      </c>
      <c r="R540" s="15" t="n">
        <f aca="false">Q540-$G$2+$I$2</f>
        <v>8425.16210633883</v>
      </c>
      <c r="S540" s="42" t="n">
        <f aca="false">R540/$K$2</f>
        <v>239.41921302469</v>
      </c>
      <c r="T540" s="43" t="n">
        <f aca="false">S540-$M$2</f>
        <v>74.8838336555508</v>
      </c>
    </row>
    <row r="541" customFormat="false" ht="15" hidden="false" customHeight="false" outlineLevel="0" collapsed="false">
      <c r="A541" s="5" t="n">
        <v>5</v>
      </c>
      <c r="B541" s="25" t="n">
        <f aca="false">IF(T540&gt;0,B540,D540)</f>
        <v>0.0625</v>
      </c>
      <c r="C541" s="25" t="n">
        <f aca="false">IF(T540&gt;0,D540,C540)</f>
        <v>0.15625</v>
      </c>
      <c r="D541" s="41" t="n">
        <f aca="false">(B541+C541)/2</f>
        <v>0.109375</v>
      </c>
      <c r="E541" s="15" t="n">
        <f aca="false">$C$2*(1+IF(E$3&lt;=$O$2,$D541,$D541-($D541-$I$535)*MIN(E$3-$O$2,$Q$2)/$Q$2))</f>
        <v>965.18953125</v>
      </c>
      <c r="F541" s="15" t="n">
        <f aca="false">E541*(1+IF(F$3&lt;=$O$2,$D541,$D541-($D541-$I$535)*MIN(F$3-$O$2,$Q$2)/$Q$2))</f>
        <v>1070.75713623047</v>
      </c>
      <c r="G541" s="15" t="n">
        <f aca="false">F541*(1+IF(G$3&lt;=$O$2,$D541,$D541-($D541-$I$535)*MIN(G$3-$O$2,$Q$2)/$Q$2))</f>
        <v>1187.87119800568</v>
      </c>
      <c r="H541" s="15" t="n">
        <f aca="false">G541*(1+IF(H$3&lt;=$O$2,$D541,$D541-($D541-$I$535)*MIN(H$3-$O$2,$Q$2)/$Q$2))</f>
        <v>1317.79461028755</v>
      </c>
      <c r="I541" s="15" t="n">
        <f aca="false">H541*(1+IF(I$3&lt;=$O$2,$D541,$D541-($D541-$I$535)*MIN(I$3-$O$2,$Q$2)/$Q$2))</f>
        <v>1461.92839578775</v>
      </c>
      <c r="J541" s="15" t="n">
        <f aca="false">I541*(1+IF(J$3&lt;=$O$2,$D541,$D541-($D541-$I$535)*MIN(J$3-$O$2,$Q$2)/$Q$2))</f>
        <v>1599.58357353512</v>
      </c>
      <c r="K541" s="15" t="n">
        <f aca="false">J541*(1+IF(K$3&lt;=$O$2,$D541,$D541-($D541-$I$535)*MIN(K$3-$O$2,$Q$2)/$Q$2))</f>
        <v>1725.86269874785</v>
      </c>
      <c r="L541" s="15" t="n">
        <f aca="false">K541*(1+IF(L$3&lt;=$O$2,$D541,$D541-($D541-$I$535)*MIN(L$3-$O$2,$Q$2)/$Q$2))</f>
        <v>1835.85192853905</v>
      </c>
      <c r="M541" s="15" t="n">
        <f aca="false">L541*(1+IF(M$3&lt;=$O$2,$D541,$D541-($D541-$I$535)*MIN(M$3-$O$2,$Q$2)/$Q$2))</f>
        <v>1924.91828485213</v>
      </c>
      <c r="N541" s="15" t="n">
        <f aca="false">M541*(1+IF(N$3&lt;=$O$2,$D541,$D541-($D541-$I$535)*MIN(N$3-$O$2,$Q$2)/$Q$2))</f>
        <v>1989.0180637377</v>
      </c>
      <c r="O541" s="15" t="n">
        <f aca="false">SUMPRODUCT(E541:N541,1/(1+$F$535)^$E$3:$N$3)*$E$2</f>
        <v>2118.62656927903</v>
      </c>
      <c r="P541" s="15" t="n">
        <f aca="false">N541*$E$2*(1+$I$535)/($F$535-$I$535)/(1+$F$535)^$N$3</f>
        <v>4221.45568212671</v>
      </c>
      <c r="Q541" s="15" t="n">
        <f aca="false">O541+P541</f>
        <v>6340.08225140574</v>
      </c>
      <c r="R541" s="15" t="n">
        <f aca="false">Q541-$G$2+$I$2</f>
        <v>6507.48225140574</v>
      </c>
      <c r="S541" s="42" t="n">
        <f aca="false">R541/$K$2</f>
        <v>184.924190150774</v>
      </c>
      <c r="T541" s="43" t="n">
        <f aca="false">S541-$M$2</f>
        <v>20.388810781635</v>
      </c>
    </row>
    <row r="542" customFormat="false" ht="15" hidden="false" customHeight="false" outlineLevel="0" collapsed="false">
      <c r="A542" s="5" t="n">
        <v>6</v>
      </c>
      <c r="B542" s="25" t="n">
        <f aca="false">IF(T541&gt;0,B541,D541)</f>
        <v>0.0625</v>
      </c>
      <c r="C542" s="25" t="n">
        <f aca="false">IF(T541&gt;0,D541,C541)</f>
        <v>0.109375</v>
      </c>
      <c r="D542" s="41" t="n">
        <f aca="false">(B542+C542)/2</f>
        <v>0.0859375</v>
      </c>
      <c r="E542" s="15" t="n">
        <f aca="false">$C$2*(1+IF(E$3&lt;=$O$2,$D542,$D542-($D542-$I$535)*MIN(E$3-$O$2,$Q$2)/$Q$2))</f>
        <v>944.798203125</v>
      </c>
      <c r="F542" s="15" t="n">
        <f aca="false">E542*(1+IF(F$3&lt;=$O$2,$D542,$D542-($D542-$I$535)*MIN(F$3-$O$2,$Q$2)/$Q$2))</f>
        <v>1025.99179870605</v>
      </c>
      <c r="G542" s="15" t="n">
        <f aca="false">F542*(1+IF(G$3&lt;=$O$2,$D542,$D542-($D542-$I$535)*MIN(G$3-$O$2,$Q$2)/$Q$2))</f>
        <v>1114.16296890736</v>
      </c>
      <c r="H542" s="15" t="n">
        <f aca="false">G542*(1+IF(H$3&lt;=$O$2,$D542,$D542-($D542-$I$535)*MIN(H$3-$O$2,$Q$2)/$Q$2))</f>
        <v>1209.91134904783</v>
      </c>
      <c r="I542" s="15" t="n">
        <f aca="false">H542*(1+IF(I$3&lt;=$O$2,$D542,$D542-($D542-$I$535)*MIN(I$3-$O$2,$Q$2)/$Q$2))</f>
        <v>1313.88810560663</v>
      </c>
      <c r="J542" s="15" t="n">
        <f aca="false">I542*(1+IF(J$3&lt;=$O$2,$D542,$D542-($D542-$I$535)*MIN(J$3-$O$2,$Q$2)/$Q$2))</f>
        <v>1412.96840765043</v>
      </c>
      <c r="K542" s="15" t="n">
        <f aca="false">J542*(1+IF(K$3&lt;=$O$2,$D542,$D542-($D542-$I$535)*MIN(K$3-$O$2,$Q$2)/$Q$2))</f>
        <v>1504.6453303598</v>
      </c>
      <c r="L542" s="15" t="n">
        <f aca="false">K542*(1+IF(L$3&lt;=$O$2,$D542,$D542-($D542-$I$535)*MIN(L$3-$O$2,$Q$2)/$Q$2))</f>
        <v>1586.43032729151</v>
      </c>
      <c r="M542" s="15" t="n">
        <f aca="false">L542*(1+IF(M$3&lt;=$O$2,$D542,$D542-($D542-$I$535)*MIN(M$3-$O$2,$Q$2)/$Q$2))</f>
        <v>1655.95960246088</v>
      </c>
      <c r="N542" s="15" t="n">
        <f aca="false">M542*(1+IF(N$3&lt;=$O$2,$D542,$D542-($D542-$I$535)*MIN(N$3-$O$2,$Q$2)/$Q$2))</f>
        <v>1711.10305722283</v>
      </c>
      <c r="O542" s="15" t="n">
        <f aca="false">SUMPRODUCT(E542:N542,1/(1+$F$535)^$E$3:$N$3)*$E$2</f>
        <v>1911.80509513676</v>
      </c>
      <c r="P542" s="15" t="n">
        <f aca="false">N542*$E$2*(1+$I$535)/($F$535-$I$535)/(1+$F$535)^$N$3</f>
        <v>3631.61393820818</v>
      </c>
      <c r="Q542" s="15" t="n">
        <f aca="false">O542+P542</f>
        <v>5543.41903334494</v>
      </c>
      <c r="R542" s="15" t="n">
        <f aca="false">Q542-$G$2+$I$2</f>
        <v>5710.81903334495</v>
      </c>
      <c r="S542" s="42" t="n">
        <f aca="false">R542/$K$2</f>
        <v>162.285280856634</v>
      </c>
      <c r="T542" s="43" t="n">
        <f aca="false">S542-$M$2</f>
        <v>-2.25009851250516</v>
      </c>
    </row>
    <row r="543" customFormat="false" ht="15" hidden="false" customHeight="false" outlineLevel="0" collapsed="false">
      <c r="A543" s="5" t="n">
        <v>7</v>
      </c>
      <c r="B543" s="25" t="n">
        <f aca="false">IF(T542&gt;0,B542,D542)</f>
        <v>0.0859375</v>
      </c>
      <c r="C543" s="25" t="n">
        <f aca="false">IF(T542&gt;0,D542,C542)</f>
        <v>0.109375</v>
      </c>
      <c r="D543" s="41" t="n">
        <f aca="false">(B543+C543)/2</f>
        <v>0.09765625</v>
      </c>
      <c r="E543" s="15" t="n">
        <f aca="false">$C$2*(1+IF(E$3&lt;=$O$2,$D543,$D543-($D543-$I$535)*MIN(E$3-$O$2,$Q$2)/$Q$2))</f>
        <v>954.9938671875</v>
      </c>
      <c r="F543" s="15" t="n">
        <f aca="false">E543*(1+IF(F$3&lt;=$O$2,$D543,$D543-($D543-$I$535)*MIN(F$3-$O$2,$Q$2)/$Q$2))</f>
        <v>1048.25498703003</v>
      </c>
      <c r="G543" s="15" t="n">
        <f aca="false">F543*(1+IF(G$3&lt;=$O$2,$D543,$D543-($D543-$I$535)*MIN(G$3-$O$2,$Q$2)/$Q$2))</f>
        <v>1150.62363810718</v>
      </c>
      <c r="H543" s="15" t="n">
        <f aca="false">G543*(1+IF(H$3&lt;=$O$2,$D543,$D543-($D543-$I$535)*MIN(H$3-$O$2,$Q$2)/$Q$2))</f>
        <v>1262.98922776609</v>
      </c>
      <c r="I543" s="15" t="n">
        <f aca="false">H543*(1+IF(I$3&lt;=$O$2,$D543,$D543-($D543-$I$535)*MIN(I$3-$O$2,$Q$2)/$Q$2))</f>
        <v>1386.32801954012</v>
      </c>
      <c r="J543" s="15" t="n">
        <f aca="false">I543*(1+IF(J$3&lt;=$O$2,$D543,$D543-($D543-$I$535)*MIN(J$3-$O$2,$Q$2)/$Q$2))</f>
        <v>1503.86784067683</v>
      </c>
      <c r="K543" s="15" t="n">
        <f aca="false">J543*(1+IF(K$3&lt;=$O$2,$D543,$D543-($D543-$I$535)*MIN(K$3-$O$2,$Q$2)/$Q$2))</f>
        <v>1612.0166166043</v>
      </c>
      <c r="L543" s="15" t="n">
        <f aca="false">K543*(1+IF(L$3&lt;=$O$2,$D543,$D543-($D543-$I$535)*MIN(L$3-$O$2,$Q$2)/$Q$2))</f>
        <v>1707.19410769016</v>
      </c>
      <c r="M543" s="15" t="n">
        <f aca="false">L543*(1+IF(M$3&lt;=$O$2,$D543,$D543-($D543-$I$535)*MIN(M$3-$O$2,$Q$2)/$Q$2))</f>
        <v>1786.01739363485</v>
      </c>
      <c r="N543" s="15" t="n">
        <f aca="false">M543*(1+IF(N$3&lt;=$O$2,$D543,$D543-($D543-$I$535)*MIN(N$3-$O$2,$Q$2)/$Q$2))</f>
        <v>1845.49177284289</v>
      </c>
      <c r="O543" s="15" t="n">
        <f aca="false">SUMPRODUCT(E543:N543,1/(1+$F$535)^$E$3:$N$3)*$E$2</f>
        <v>2012.58359773563</v>
      </c>
      <c r="P543" s="15" t="n">
        <f aca="false">N543*$E$2*(1+$I$535)/($F$535-$I$535)/(1+$F$535)^$N$3</f>
        <v>3916.83809856695</v>
      </c>
      <c r="Q543" s="15" t="n">
        <f aca="false">O543+P543</f>
        <v>5929.42169630258</v>
      </c>
      <c r="R543" s="15" t="n">
        <f aca="false">Q543-$G$2+$I$2</f>
        <v>6096.82169630258</v>
      </c>
      <c r="S543" s="42" t="n">
        <f aca="false">R543/$K$2</f>
        <v>173.254381821614</v>
      </c>
      <c r="T543" s="43" t="n">
        <f aca="false">S543-$M$2</f>
        <v>8.71900245247448</v>
      </c>
    </row>
    <row r="544" customFormat="false" ht="15" hidden="false" customHeight="false" outlineLevel="0" collapsed="false">
      <c r="A544" s="5" t="n">
        <v>8</v>
      </c>
      <c r="B544" s="25" t="n">
        <f aca="false">IF(T543&gt;0,B543,D543)</f>
        <v>0.0859375</v>
      </c>
      <c r="C544" s="25" t="n">
        <f aca="false">IF(T543&gt;0,D543,C543)</f>
        <v>0.09765625</v>
      </c>
      <c r="D544" s="41" t="n">
        <f aca="false">(B544+C544)/2</f>
        <v>0.091796875</v>
      </c>
      <c r="E544" s="15" t="n">
        <f aca="false">$C$2*(1+IF(E$3&lt;=$O$2,$D544,$D544-($D544-$I$535)*MIN(E$3-$O$2,$Q$2)/$Q$2))</f>
        <v>949.89603515625</v>
      </c>
      <c r="F544" s="15" t="n">
        <f aca="false">E544*(1+IF(F$3&lt;=$O$2,$D544,$D544-($D544-$I$535)*MIN(F$3-$O$2,$Q$2)/$Q$2))</f>
        <v>1037.09352275848</v>
      </c>
      <c r="G544" s="15" t="n">
        <f aca="false">F544*(1+IF(G$3&lt;=$O$2,$D544,$D544-($D544-$I$535)*MIN(G$3-$O$2,$Q$2)/$Q$2))</f>
        <v>1132.29546723045</v>
      </c>
      <c r="H544" s="15" t="n">
        <f aca="false">G544*(1+IF(H$3&lt;=$O$2,$D544,$D544-($D544-$I$535)*MIN(H$3-$O$2,$Q$2)/$Q$2))</f>
        <v>1236.23665269887</v>
      </c>
      <c r="I544" s="15" t="n">
        <f aca="false">H544*(1+IF(I$3&lt;=$O$2,$D544,$D544-($D544-$I$535)*MIN(I$3-$O$2,$Q$2)/$Q$2))</f>
        <v>1349.71931417709</v>
      </c>
      <c r="J544" s="15" t="n">
        <f aca="false">I544*(1+IF(J$3&lt;=$O$2,$D544,$D544-($D544-$I$535)*MIN(J$3-$O$2,$Q$2)/$Q$2))</f>
        <v>1457.82845694439</v>
      </c>
      <c r="K544" s="15" t="n">
        <f aca="false">J544*(1+IF(K$3&lt;=$O$2,$D544,$D544-($D544-$I$535)*MIN(K$3-$O$2,$Q$2)/$Q$2))</f>
        <v>1557.54118997103</v>
      </c>
      <c r="L544" s="15" t="n">
        <f aca="false">K544*(1+IF(L$3&lt;=$O$2,$D544,$D544-($D544-$I$535)*MIN(L$3-$O$2,$Q$2)/$Q$2))</f>
        <v>1645.8518285159</v>
      </c>
      <c r="M544" s="15" t="n">
        <f aca="false">L544*(1+IF(M$3&lt;=$O$2,$D544,$D544-($D544-$I$535)*MIN(M$3-$O$2,$Q$2)/$Q$2))</f>
        <v>1719.91413214172</v>
      </c>
      <c r="N544" s="15" t="n">
        <f aca="false">M544*(1+IF(N$3&lt;=$O$2,$D544,$D544-($D544-$I$535)*MIN(N$3-$O$2,$Q$2)/$Q$2))</f>
        <v>1777.18727274204</v>
      </c>
      <c r="O544" s="15" t="n">
        <f aca="false">SUMPRODUCT(E544:N544,1/(1+$F$535)^$E$3:$N$3)*$E$2</f>
        <v>1961.55168466159</v>
      </c>
      <c r="P544" s="15" t="n">
        <f aca="false">N544*$E$2*(1+$I$535)/($F$535-$I$535)/(1+$F$535)^$N$3</f>
        <v>3771.86987262551</v>
      </c>
      <c r="Q544" s="15" t="n">
        <f aca="false">O544+P544</f>
        <v>5733.4215572871</v>
      </c>
      <c r="R544" s="15" t="n">
        <f aca="false">Q544-$G$2+$I$2</f>
        <v>5900.8215572871</v>
      </c>
      <c r="S544" s="42" t="n">
        <f aca="false">R544/$K$2</f>
        <v>167.684613733649</v>
      </c>
      <c r="T544" s="43" t="n">
        <f aca="false">S544-$M$2</f>
        <v>3.14923436450982</v>
      </c>
    </row>
    <row r="545" customFormat="false" ht="15" hidden="false" customHeight="false" outlineLevel="0" collapsed="false">
      <c r="A545" s="5" t="n">
        <v>9</v>
      </c>
      <c r="B545" s="25" t="n">
        <f aca="false">IF(T544&gt;0,B544,D544)</f>
        <v>0.0859375</v>
      </c>
      <c r="C545" s="25" t="n">
        <f aca="false">IF(T544&gt;0,D544,C544)</f>
        <v>0.091796875</v>
      </c>
      <c r="D545" s="41" t="n">
        <f aca="false">(B545+C545)/2</f>
        <v>0.0888671875</v>
      </c>
      <c r="E545" s="15" t="n">
        <f aca="false">$C$2*(1+IF(E$3&lt;=$O$2,$D545,$D545-($D545-$I$535)*MIN(E$3-$O$2,$Q$2)/$Q$2))</f>
        <v>947.347119140625</v>
      </c>
      <c r="F545" s="15" t="n">
        <f aca="false">E545*(1+IF(F$3&lt;=$O$2,$D545,$D545-($D545-$I$535)*MIN(F$3-$O$2,$Q$2)/$Q$2))</f>
        <v>1031.53519320488</v>
      </c>
      <c r="G545" s="15" t="n">
        <f aca="false">F545*(1+IF(G$3&lt;=$O$2,$D545,$D545-($D545-$I$535)*MIN(G$3-$O$2,$Q$2)/$Q$2))</f>
        <v>1123.20482463227</v>
      </c>
      <c r="H545" s="15" t="n">
        <f aca="false">G545*(1+IF(H$3&lt;=$O$2,$D545,$D545-($D545-$I$535)*MIN(H$3-$O$2,$Q$2)/$Q$2))</f>
        <v>1223.02087838377</v>
      </c>
      <c r="I545" s="15" t="n">
        <f aca="false">H545*(1+IF(I$3&lt;=$O$2,$D545,$D545-($D545-$I$535)*MIN(I$3-$O$2,$Q$2)/$Q$2))</f>
        <v>1331.70730409951</v>
      </c>
      <c r="J545" s="15" t="n">
        <f aca="false">I545*(1+IF(J$3&lt;=$O$2,$D545,$D545-($D545-$I$535)*MIN(J$3-$O$2,$Q$2)/$Q$2))</f>
        <v>1435.25254089564</v>
      </c>
      <c r="K545" s="15" t="n">
        <f aca="false">J545*(1+IF(K$3&lt;=$O$2,$D545,$D545-($D545-$I$535)*MIN(K$3-$O$2,$Q$2)/$Q$2))</f>
        <v>1530.89821873734</v>
      </c>
      <c r="L545" s="15" t="n">
        <f aca="false">K545*(1+IF(L$3&lt;=$O$2,$D545,$D545-($D545-$I$535)*MIN(L$3-$O$2,$Q$2)/$Q$2))</f>
        <v>1615.90421276689</v>
      </c>
      <c r="M545" s="15" t="n">
        <f aca="false">L545*(1+IF(M$3&lt;=$O$2,$D545,$D545-($D545-$I$535)*MIN(M$3-$O$2,$Q$2)/$Q$2))</f>
        <v>1687.6720735266</v>
      </c>
      <c r="N545" s="15" t="n">
        <f aca="false">M545*(1+IF(N$3&lt;=$O$2,$D545,$D545-($D545-$I$535)*MIN(N$3-$O$2,$Q$2)/$Q$2))</f>
        <v>1743.87155357504</v>
      </c>
      <c r="O545" s="15" t="n">
        <f aca="false">SUMPRODUCT(E545:N545,1/(1+$F$535)^$E$3:$N$3)*$E$2</f>
        <v>1936.51961489623</v>
      </c>
      <c r="P545" s="15" t="n">
        <f aca="false">N545*$E$2*(1+$I$535)/($F$535-$I$535)/(1+$F$535)^$N$3</f>
        <v>3701.16119755325</v>
      </c>
      <c r="Q545" s="15" t="n">
        <f aca="false">O545+P545</f>
        <v>5637.68081244948</v>
      </c>
      <c r="R545" s="15" t="n">
        <f aca="false">Q545-$G$2+$I$2</f>
        <v>5805.08081244948</v>
      </c>
      <c r="S545" s="42" t="n">
        <f aca="false">R545/$K$2</f>
        <v>164.963933289272</v>
      </c>
      <c r="T545" s="43" t="n">
        <f aca="false">S545-$M$2</f>
        <v>0.428553920133083</v>
      </c>
    </row>
    <row r="546" customFormat="false" ht="15" hidden="false" customHeight="false" outlineLevel="0" collapsed="false">
      <c r="A546" s="5" t="n">
        <v>10</v>
      </c>
      <c r="B546" s="25" t="n">
        <f aca="false">IF(T545&gt;0,B545,D545)</f>
        <v>0.0859375</v>
      </c>
      <c r="C546" s="25" t="n">
        <f aca="false">IF(T545&gt;0,D545,C545)</f>
        <v>0.0888671875</v>
      </c>
      <c r="D546" s="41" t="n">
        <f aca="false">(B546+C546)/2</f>
        <v>0.08740234375</v>
      </c>
      <c r="E546" s="15" t="n">
        <f aca="false">$C$2*(1+IF(E$3&lt;=$O$2,$D546,$D546-($D546-$I$535)*MIN(E$3-$O$2,$Q$2)/$Q$2))</f>
        <v>946.072661132812</v>
      </c>
      <c r="F546" s="15" t="n">
        <f aca="false">E546*(1+IF(F$3&lt;=$O$2,$D546,$D546-($D546-$I$535)*MIN(F$3-$O$2,$Q$2)/$Q$2))</f>
        <v>1028.76162907362</v>
      </c>
      <c r="G546" s="15" t="n">
        <f aca="false">F546*(1+IF(G$3&lt;=$O$2,$D546,$D546-($D546-$I$535)*MIN(G$3-$O$2,$Q$2)/$Q$2))</f>
        <v>1118.67780661472</v>
      </c>
      <c r="H546" s="15" t="n">
        <f aca="false">G546*(1+IF(H$3&lt;=$O$2,$D546,$D546-($D546-$I$535)*MIN(H$3-$O$2,$Q$2)/$Q$2))</f>
        <v>1216.45286881396</v>
      </c>
      <c r="I546" s="15" t="n">
        <f aca="false">H546*(1+IF(I$3&lt;=$O$2,$D546,$D546-($D546-$I$535)*MIN(I$3-$O$2,$Q$2)/$Q$2))</f>
        <v>1322.77370060971</v>
      </c>
      <c r="J546" s="15" t="n">
        <f aca="false">I546*(1+IF(J$3&lt;=$O$2,$D546,$D546-($D546-$I$535)*MIN(J$3-$O$2,$Q$2)/$Q$2))</f>
        <v>1424.07419080309</v>
      </c>
      <c r="K546" s="15" t="n">
        <f aca="false">J546*(1+IF(K$3&lt;=$O$2,$D546,$D546-($D546-$I$535)*MIN(K$3-$O$2,$Q$2)/$Q$2))</f>
        <v>1517.72331219463</v>
      </c>
      <c r="L546" s="15" t="n">
        <f aca="false">K546*(1+IF(L$3&lt;=$O$2,$D546,$D546-($D546-$I$535)*MIN(L$3-$O$2,$Q$2)/$Q$2))</f>
        <v>1601.10845383221</v>
      </c>
      <c r="M546" s="15" t="n">
        <f aca="false">L546*(1+IF(M$3&lt;=$O$2,$D546,$D546-($D546-$I$535)*MIN(M$3-$O$2,$Q$2)/$Q$2))</f>
        <v>1671.75010933488</v>
      </c>
      <c r="N546" s="15" t="n">
        <f aca="false">M546*(1+IF(N$3&lt;=$O$2,$D546,$D546-($D546-$I$535)*MIN(N$3-$O$2,$Q$2)/$Q$2))</f>
        <v>1727.41938797573</v>
      </c>
      <c r="O546" s="15" t="n">
        <f aca="false">SUMPRODUCT(E546:N546,1/(1+$F$535)^$E$3:$N$3)*$E$2</f>
        <v>1924.12289546238</v>
      </c>
      <c r="P546" s="15" t="n">
        <f aca="false">N546*$E$2*(1+$I$535)/($F$535-$I$535)/(1+$F$535)^$N$3</f>
        <v>3666.24342117972</v>
      </c>
      <c r="Q546" s="15" t="n">
        <f aca="false">O546+P546</f>
        <v>5590.3663166421</v>
      </c>
      <c r="R546" s="15" t="n">
        <f aca="false">Q546-$G$2+$I$2</f>
        <v>5757.7663166421</v>
      </c>
      <c r="S546" s="42" t="n">
        <f aca="false">R546/$K$2</f>
        <v>163.619389503896</v>
      </c>
      <c r="T546" s="43" t="n">
        <f aca="false">S546-$M$2</f>
        <v>-0.915989865242977</v>
      </c>
    </row>
    <row r="547" customFormat="false" ht="15" hidden="false" customHeight="false" outlineLevel="0" collapsed="false">
      <c r="A547" s="5" t="n">
        <v>11</v>
      </c>
      <c r="B547" s="25" t="n">
        <f aca="false">IF(T546&gt;0,B546,D546)</f>
        <v>0.08740234375</v>
      </c>
      <c r="C547" s="25" t="n">
        <f aca="false">IF(T546&gt;0,D546,C546)</f>
        <v>0.0888671875</v>
      </c>
      <c r="D547" s="41" t="n">
        <f aca="false">(B547+C547)/2</f>
        <v>0.088134765625</v>
      </c>
      <c r="E547" s="15" t="n">
        <f aca="false">$C$2*(1+IF(E$3&lt;=$O$2,$D547,$D547-($D547-$I$535)*MIN(E$3-$O$2,$Q$2)/$Q$2))</f>
        <v>946.709890136719</v>
      </c>
      <c r="F547" s="15" t="n">
        <f aca="false">E547*(1+IF(F$3&lt;=$O$2,$D547,$D547-($D547-$I$535)*MIN(F$3-$O$2,$Q$2)/$Q$2))</f>
        <v>1030.14794441879</v>
      </c>
      <c r="G547" s="15" t="n">
        <f aca="false">F547*(1+IF(G$3&lt;=$O$2,$D547,$D547-($D547-$I$535)*MIN(G$3-$O$2,$Q$2)/$Q$2))</f>
        <v>1120.93979205921</v>
      </c>
      <c r="H547" s="15" t="n">
        <f aca="false">G547*(1+IF(H$3&lt;=$O$2,$D547,$D547-($D547-$I$535)*MIN(H$3-$O$2,$Q$2)/$Q$2))</f>
        <v>1219.73355791209</v>
      </c>
      <c r="I547" s="15" t="n">
        <f aca="false">H547*(1+IF(I$3&lt;=$O$2,$D547,$D547-($D547-$I$535)*MIN(I$3-$O$2,$Q$2)/$Q$2))</f>
        <v>1327.23448916362</v>
      </c>
      <c r="J547" s="15" t="n">
        <f aca="false">I547*(1+IF(J$3&lt;=$O$2,$D547,$D547-($D547-$I$535)*MIN(J$3-$O$2,$Q$2)/$Q$2))</f>
        <v>1429.65427136693</v>
      </c>
      <c r="K547" s="15" t="n">
        <f aca="false">J547*(1+IF(K$3&lt;=$O$2,$D547,$D547-($D547-$I$535)*MIN(K$3-$O$2,$Q$2)/$Q$2))</f>
        <v>1524.29861274056</v>
      </c>
      <c r="L547" s="15" t="n">
        <f aca="false">K547*(1+IF(L$3&lt;=$O$2,$D547,$D547-($D547-$I$535)*MIN(L$3-$O$2,$Q$2)/$Q$2))</f>
        <v>1608.49157941368</v>
      </c>
      <c r="M547" s="15" t="n">
        <f aca="false">L547*(1+IF(M$3&lt;=$O$2,$D547,$D547-($D547-$I$535)*MIN(M$3-$O$2,$Q$2)/$Q$2))</f>
        <v>1679.69460076154</v>
      </c>
      <c r="N547" s="15" t="n">
        <f aca="false">M547*(1+IF(N$3&lt;=$O$2,$D547,$D547-($D547-$I$535)*MIN(N$3-$O$2,$Q$2)/$Q$2))</f>
        <v>1735.6284309669</v>
      </c>
      <c r="O547" s="15" t="n">
        <f aca="false">SUMPRODUCT(E547:N547,1/(1+$F$535)^$E$3:$N$3)*$E$2</f>
        <v>1930.31136110981</v>
      </c>
      <c r="P547" s="15" t="n">
        <f aca="false">N547*$E$2*(1+$I$535)/($F$535-$I$535)/(1+$F$535)^$N$3</f>
        <v>3683.66614438756</v>
      </c>
      <c r="Q547" s="15" t="n">
        <f aca="false">O547+P547</f>
        <v>5613.97750549738</v>
      </c>
      <c r="R547" s="15" t="n">
        <f aca="false">Q547-$G$2+$I$2</f>
        <v>5781.37750549738</v>
      </c>
      <c r="S547" s="42" t="n">
        <f aca="false">R547/$K$2</f>
        <v>164.290352529053</v>
      </c>
      <c r="T547" s="43" t="n">
        <f aca="false">S547-$M$2</f>
        <v>-0.245026840085956</v>
      </c>
    </row>
    <row r="548" customFormat="false" ht="15" hidden="false" customHeight="false" outlineLevel="0" collapsed="false">
      <c r="A548" s="5" t="n">
        <v>12</v>
      </c>
      <c r="B548" s="25" t="n">
        <f aca="false">IF(T547&gt;0,B547,D547)</f>
        <v>0.088134765625</v>
      </c>
      <c r="C548" s="25" t="n">
        <f aca="false">IF(T547&gt;0,D547,C547)</f>
        <v>0.0888671875</v>
      </c>
      <c r="D548" s="41" t="n">
        <f aca="false">(B548+C548)/2</f>
        <v>0.0885009765625</v>
      </c>
      <c r="E548" s="15" t="n">
        <f aca="false">$C$2*(1+IF(E$3&lt;=$O$2,$D548,$D548-($D548-$I$535)*MIN(E$3-$O$2,$Q$2)/$Q$2))</f>
        <v>947.028504638672</v>
      </c>
      <c r="F548" s="15" t="n">
        <f aca="false">E548*(1+IF(F$3&lt;=$O$2,$D548,$D548-($D548-$I$535)*MIN(F$3-$O$2,$Q$2)/$Q$2))</f>
        <v>1030.84145213172</v>
      </c>
      <c r="G548" s="15" t="n">
        <f aca="false">F548*(1+IF(G$3&lt;=$O$2,$D548,$D548-($D548-$I$535)*MIN(G$3-$O$2,$Q$2)/$Q$2))</f>
        <v>1122.07192732648</v>
      </c>
      <c r="H548" s="15" t="n">
        <f aca="false">G548*(1+IF(H$3&lt;=$O$2,$D548,$D548-($D548-$I$535)*MIN(H$3-$O$2,$Q$2)/$Q$2))</f>
        <v>1221.37638866824</v>
      </c>
      <c r="I548" s="15" t="n">
        <f aca="false">H548*(1+IF(I$3&lt;=$O$2,$D548,$D548-($D548-$I$535)*MIN(I$3-$O$2,$Q$2)/$Q$2))</f>
        <v>1329.46939181576</v>
      </c>
      <c r="J548" s="15" t="n">
        <f aca="false">I548*(1+IF(J$3&lt;=$O$2,$D548,$D548-($D548-$I$535)*MIN(J$3-$O$2,$Q$2)/$Q$2))</f>
        <v>1432.45112955377</v>
      </c>
      <c r="K548" s="15" t="n">
        <f aca="false">J548*(1+IF(K$3&lt;=$O$2,$D548,$D548-($D548-$I$535)*MIN(K$3-$O$2,$Q$2)/$Q$2))</f>
        <v>1527.59537290557</v>
      </c>
      <c r="L548" s="15" t="n">
        <f aca="false">K548*(1+IF(L$3&lt;=$O$2,$D548,$D548-($D548-$I$535)*MIN(L$3-$O$2,$Q$2)/$Q$2))</f>
        <v>1612.19420137402</v>
      </c>
      <c r="M548" s="15" t="n">
        <f aca="false">L548*(1+IF(M$3&lt;=$O$2,$D548,$D548-($D548-$I$535)*MIN(M$3-$O$2,$Q$2)/$Q$2))</f>
        <v>1683.67920714462</v>
      </c>
      <c r="N548" s="15" t="n">
        <f aca="false">M548*(1+IF(N$3&lt;=$O$2,$D548,$D548-($D548-$I$535)*MIN(N$3-$O$2,$Q$2)/$Q$2))</f>
        <v>1739.74572474254</v>
      </c>
      <c r="O548" s="15" t="n">
        <f aca="false">SUMPRODUCT(E548:N548,1/(1+$F$535)^$E$3:$N$3)*$E$2</f>
        <v>1933.41301082985</v>
      </c>
      <c r="P548" s="15" t="n">
        <f aca="false">N548*$E$2*(1+$I$535)/($F$535-$I$535)/(1+$F$535)^$N$3</f>
        <v>3692.40461364586</v>
      </c>
      <c r="Q548" s="15" t="n">
        <f aca="false">O548+P548</f>
        <v>5625.81762447571</v>
      </c>
      <c r="R548" s="15" t="n">
        <f aca="false">Q548-$G$2+$I$2</f>
        <v>5793.21762447571</v>
      </c>
      <c r="S548" s="42" t="n">
        <f aca="false">R548/$K$2</f>
        <v>164.62681513145</v>
      </c>
      <c r="T548" s="43" t="n">
        <f aca="false">S548-$M$2</f>
        <v>0.0914357623105673</v>
      </c>
    </row>
    <row r="549" customFormat="false" ht="15" hidden="false" customHeight="false" outlineLevel="0" collapsed="false">
      <c r="A549" s="5" t="n">
        <v>13</v>
      </c>
      <c r="B549" s="25" t="n">
        <f aca="false">IF(T548&gt;0,B548,D548)</f>
        <v>0.088134765625</v>
      </c>
      <c r="C549" s="25" t="n">
        <f aca="false">IF(T548&gt;0,D548,C548)</f>
        <v>0.0885009765625</v>
      </c>
      <c r="D549" s="41" t="n">
        <f aca="false">(B549+C549)/2</f>
        <v>0.08831787109375</v>
      </c>
      <c r="E549" s="15" t="n">
        <f aca="false">$C$2*(1+IF(E$3&lt;=$O$2,$D549,$D549-($D549-$I$535)*MIN(E$3-$O$2,$Q$2)/$Q$2))</f>
        <v>946.869197387695</v>
      </c>
      <c r="F549" s="15" t="n">
        <f aca="false">E549*(1+IF(F$3&lt;=$O$2,$D549,$D549-($D549-$I$535)*MIN(F$3-$O$2,$Q$2)/$Q$2))</f>
        <v>1030.49466910522</v>
      </c>
      <c r="G549" s="15" t="n">
        <f aca="false">F549*(1+IF(G$3&lt;=$O$2,$D549,$D549-($D549-$I$535)*MIN(G$3-$O$2,$Q$2)/$Q$2))</f>
        <v>1121.50576445406</v>
      </c>
      <c r="H549" s="15" t="n">
        <f aca="false">G549*(1+IF(H$3&lt;=$O$2,$D549,$D549-($D549-$I$535)*MIN(H$3-$O$2,$Q$2)/$Q$2))</f>
        <v>1220.55476599001</v>
      </c>
      <c r="I549" s="15" t="n">
        <f aca="false">H549*(1+IF(I$3&lt;=$O$2,$D549,$D549-($D549-$I$535)*MIN(I$3-$O$2,$Q$2)/$Q$2))</f>
        <v>1328.35156447557</v>
      </c>
      <c r="J549" s="15" t="n">
        <f aca="false">I549*(1+IF(J$3&lt;=$O$2,$D549,$D549-($D549-$I$535)*MIN(J$3-$O$2,$Q$2)/$Q$2))</f>
        <v>1431.05213168581</v>
      </c>
      <c r="K549" s="15" t="n">
        <f aca="false">J549*(1+IF(K$3&lt;=$O$2,$D549,$D549-($D549-$I$535)*MIN(K$3-$O$2,$Q$2)/$Q$2))</f>
        <v>1525.94623269666</v>
      </c>
      <c r="L549" s="15" t="n">
        <f aca="false">K549*(1+IF(L$3&lt;=$O$2,$D549,$D549-($D549-$I$535)*MIN(L$3-$O$2,$Q$2)/$Q$2))</f>
        <v>1610.34196749606</v>
      </c>
      <c r="M549" s="15" t="n">
        <f aca="false">L549*(1+IF(M$3&lt;=$O$2,$D549,$D549-($D549-$I$535)*MIN(M$3-$O$2,$Q$2)/$Q$2))</f>
        <v>1681.68587237059</v>
      </c>
      <c r="N549" s="15" t="n">
        <f aca="false">M549*(1+IF(N$3&lt;=$O$2,$D549,$D549-($D549-$I$535)*MIN(N$3-$O$2,$Q$2)/$Q$2))</f>
        <v>1737.68601192053</v>
      </c>
      <c r="O549" s="15" t="n">
        <f aca="false">SUMPRODUCT(E549:N549,1/(1+$F$535)^$E$3:$N$3)*$E$2</f>
        <v>1931.86156713388</v>
      </c>
      <c r="P549" s="15" t="n">
        <f aca="false">N549*$E$2*(1+$I$535)/($F$535-$I$535)/(1+$F$535)^$N$3</f>
        <v>3688.03311669742</v>
      </c>
      <c r="Q549" s="15" t="n">
        <f aca="false">O549+P549</f>
        <v>5619.8946838313</v>
      </c>
      <c r="R549" s="15" t="n">
        <f aca="false">Q549-$G$2+$I$2</f>
        <v>5787.2946838313</v>
      </c>
      <c r="S549" s="42" t="n">
        <f aca="false">R549/$K$2</f>
        <v>164.45850195599</v>
      </c>
      <c r="T549" s="43" t="n">
        <f aca="false">S549-$M$2</f>
        <v>-0.0768774131485941</v>
      </c>
    </row>
    <row r="550" customFormat="false" ht="15" hidden="false" customHeight="false" outlineLevel="0" collapsed="false">
      <c r="A550" s="5" t="n">
        <v>14</v>
      </c>
      <c r="B550" s="25" t="n">
        <f aca="false">IF(T549&gt;0,B549,D549)</f>
        <v>0.08831787109375</v>
      </c>
      <c r="C550" s="25" t="n">
        <f aca="false">IF(T549&gt;0,D549,C549)</f>
        <v>0.0885009765625</v>
      </c>
      <c r="D550" s="41" t="n">
        <f aca="false">(B550+C550)/2</f>
        <v>0.088409423828125</v>
      </c>
      <c r="E550" s="15" t="n">
        <f aca="false">$C$2*(1+IF(E$3&lt;=$O$2,$D550,$D550-($D550-$I$535)*MIN(E$3-$O$2,$Q$2)/$Q$2))</f>
        <v>946.948851013184</v>
      </c>
      <c r="F550" s="15" t="n">
        <f aca="false">E550*(1+IF(F$3&lt;=$O$2,$D550,$D550-($D550-$I$535)*MIN(F$3-$O$2,$Q$2)/$Q$2))</f>
        <v>1030.66805332596</v>
      </c>
      <c r="G550" s="15" t="n">
        <f aca="false">F550*(1+IF(G$3&lt;=$O$2,$D550,$D550-($D550-$I$535)*MIN(G$3-$O$2,$Q$2)/$Q$2))</f>
        <v>1121.78882207857</v>
      </c>
      <c r="H550" s="15" t="n">
        <f aca="false">G550*(1+IF(H$3&lt;=$O$2,$D550,$D550-($D550-$I$535)*MIN(H$3-$O$2,$Q$2)/$Q$2))</f>
        <v>1220.96552549537</v>
      </c>
      <c r="I550" s="15" t="n">
        <f aca="false">H550*(1+IF(I$3&lt;=$O$2,$D550,$D550-($D550-$I$535)*MIN(I$3-$O$2,$Q$2)/$Q$2))</f>
        <v>1328.91038411841</v>
      </c>
      <c r="J550" s="15" t="n">
        <f aca="false">I550*(1+IF(J$3&lt;=$O$2,$D550,$D550-($D550-$I$535)*MIN(J$3-$O$2,$Q$2)/$Q$2))</f>
        <v>1431.75148837994</v>
      </c>
      <c r="K550" s="15" t="n">
        <f aca="false">J550*(1+IF(K$3&lt;=$O$2,$D550,$D550-($D550-$I$535)*MIN(K$3-$O$2,$Q$2)/$Q$2))</f>
        <v>1526.7706126968</v>
      </c>
      <c r="L550" s="15" t="n">
        <f aca="false">K550*(1+IF(L$3&lt;=$O$2,$D550,$D550-($D550-$I$535)*MIN(L$3-$O$2,$Q$2)/$Q$2))</f>
        <v>1611.26785361298</v>
      </c>
      <c r="M550" s="15" t="n">
        <f aca="false">L550*(1+IF(M$3&lt;=$O$2,$D550,$D550-($D550-$I$535)*MIN(M$3-$O$2,$Q$2)/$Q$2))</f>
        <v>1682.68228174737</v>
      </c>
      <c r="N550" s="15" t="n">
        <f aca="false">M550*(1+IF(N$3&lt;=$O$2,$D550,$D550-($D550-$I$535)*MIN(N$3-$O$2,$Q$2)/$Q$2))</f>
        <v>1738.71560172955</v>
      </c>
      <c r="O550" s="15" t="n">
        <f aca="false">SUMPRODUCT(E550:N550,1/(1+$F$535)^$E$3:$N$3)*$E$2</f>
        <v>1932.63713421573</v>
      </c>
      <c r="P550" s="15" t="n">
        <f aca="false">N550*$E$2*(1+$I$535)/($F$535-$I$535)/(1+$F$535)^$N$3</f>
        <v>3690.21829934045</v>
      </c>
      <c r="Q550" s="15" t="n">
        <f aca="false">O550+P550</f>
        <v>5622.85543355619</v>
      </c>
      <c r="R550" s="15" t="n">
        <f aca="false">Q550-$G$2+$I$2</f>
        <v>5790.25543355619</v>
      </c>
      <c r="S550" s="42" t="n">
        <f aca="false">R550/$K$2</f>
        <v>164.542638066388</v>
      </c>
      <c r="T550" s="43" t="n">
        <f aca="false">S550-$M$2</f>
        <v>0.00725869724882955</v>
      </c>
    </row>
    <row r="551" customFormat="false" ht="15" hidden="false" customHeight="false" outlineLevel="0" collapsed="false">
      <c r="A551" s="5" t="n">
        <v>15</v>
      </c>
      <c r="B551" s="25" t="n">
        <f aca="false">IF(T550&gt;0,B550,D550)</f>
        <v>0.08831787109375</v>
      </c>
      <c r="C551" s="25" t="n">
        <f aca="false">IF(T550&gt;0,D550,C550)</f>
        <v>0.088409423828125</v>
      </c>
      <c r="D551" s="41" t="n">
        <f aca="false">(B551+C551)/2</f>
        <v>0.0883636474609375</v>
      </c>
      <c r="E551" s="15" t="n">
        <f aca="false">$C$2*(1+IF(E$3&lt;=$O$2,$D551,$D551-($D551-$I$535)*MIN(E$3-$O$2,$Q$2)/$Q$2))</f>
        <v>946.909024200439</v>
      </c>
      <c r="F551" s="15" t="n">
        <f aca="false">E551*(1+IF(F$3&lt;=$O$2,$D551,$D551-($D551-$I$535)*MIN(F$3-$O$2,$Q$2)/$Q$2))</f>
        <v>1030.58135939247</v>
      </c>
      <c r="G551" s="15" t="n">
        <f aca="false">F551*(1+IF(G$3&lt;=$O$2,$D551,$D551-($D551-$I$535)*MIN(G$3-$O$2,$Q$2)/$Q$2))</f>
        <v>1121.64728731364</v>
      </c>
      <c r="H551" s="15" t="n">
        <f aca="false">G551*(1+IF(H$3&lt;=$O$2,$D551,$D551-($D551-$I$535)*MIN(H$3-$O$2,$Q$2)/$Q$2))</f>
        <v>1220.76013278534</v>
      </c>
      <c r="I551" s="15" t="n">
        <f aca="false">H551*(1+IF(I$3&lt;=$O$2,$D551,$D551-($D551-$I$535)*MIN(I$3-$O$2,$Q$2)/$Q$2))</f>
        <v>1328.63095079315</v>
      </c>
      <c r="J551" s="15" t="n">
        <f aca="false">I551*(1+IF(J$3&lt;=$O$2,$D551,$D551-($D551-$I$535)*MIN(J$3-$O$2,$Q$2)/$Q$2))</f>
        <v>1431.40177447869</v>
      </c>
      <c r="K551" s="15" t="n">
        <f aca="false">J551*(1+IF(K$3&lt;=$O$2,$D551,$D551-($D551-$I$535)*MIN(K$3-$O$2,$Q$2)/$Q$2))</f>
        <v>1526.35837517974</v>
      </c>
      <c r="L551" s="15" t="n">
        <f aca="false">K551*(1+IF(L$3&lt;=$O$2,$D551,$D551-($D551-$I$535)*MIN(L$3-$O$2,$Q$2)/$Q$2))</f>
        <v>1610.80485286121</v>
      </c>
      <c r="M551" s="15" t="n">
        <f aca="false">L551*(1+IF(M$3&lt;=$O$2,$D551,$D551-($D551-$I$535)*MIN(M$3-$O$2,$Q$2)/$Q$2))</f>
        <v>1682.18401257075</v>
      </c>
      <c r="N551" s="15" t="n">
        <f aca="false">M551*(1+IF(N$3&lt;=$O$2,$D551,$D551-($D551-$I$535)*MIN(N$3-$O$2,$Q$2)/$Q$2))</f>
        <v>1738.20074018936</v>
      </c>
      <c r="O551" s="15" t="n">
        <f aca="false">SUMPRODUCT(E551:N551,1/(1+$F$535)^$E$3:$N$3)*$E$2</f>
        <v>1932.24931199042</v>
      </c>
      <c r="P551" s="15" t="n">
        <f aca="false">N551*$E$2*(1+$I$535)/($F$535-$I$535)/(1+$F$535)^$N$3</f>
        <v>3689.12556659257</v>
      </c>
      <c r="Q551" s="15" t="n">
        <f aca="false">O551+P551</f>
        <v>5621.37487858299</v>
      </c>
      <c r="R551" s="15" t="n">
        <f aca="false">Q551-$G$2+$I$2</f>
        <v>5788.77487858299</v>
      </c>
      <c r="S551" s="42" t="n">
        <f aca="false">R551/$K$2</f>
        <v>164.500564892952</v>
      </c>
      <c r="T551" s="43" t="n">
        <f aca="false">S551-$M$2</f>
        <v>-0.0348144761868241</v>
      </c>
    </row>
    <row r="552" customFormat="false" ht="15" hidden="false" customHeight="false" outlineLevel="0" collapsed="false">
      <c r="A552" s="5" t="n">
        <v>16</v>
      </c>
      <c r="B552" s="25" t="n">
        <f aca="false">IF(T551&gt;0,B551,D551)</f>
        <v>0.0883636474609375</v>
      </c>
      <c r="C552" s="25" t="n">
        <f aca="false">IF(T551&gt;0,D551,C551)</f>
        <v>0.088409423828125</v>
      </c>
      <c r="D552" s="41" t="n">
        <f aca="false">(B552+C552)/2</f>
        <v>0.0883865356445313</v>
      </c>
      <c r="E552" s="15" t="n">
        <f aca="false">$C$2*(1+IF(E$3&lt;=$O$2,$D552,$D552-($D552-$I$535)*MIN(E$3-$O$2,$Q$2)/$Q$2))</f>
        <v>946.928937606812</v>
      </c>
      <c r="F552" s="15" t="n">
        <f aca="false">E552*(1+IF(F$3&lt;=$O$2,$D552,$D552-($D552-$I$535)*MIN(F$3-$O$2,$Q$2)/$Q$2))</f>
        <v>1030.62470590343</v>
      </c>
      <c r="G552" s="15" t="n">
        <f aca="false">F552*(1+IF(G$3&lt;=$O$2,$D552,$D552-($D552-$I$535)*MIN(G$3-$O$2,$Q$2)/$Q$2))</f>
        <v>1121.7180532079</v>
      </c>
      <c r="H552" s="15" t="n">
        <f aca="false">G552*(1+IF(H$3&lt;=$O$2,$D552,$D552-($D552-$I$535)*MIN(H$3-$O$2,$Q$2)/$Q$2))</f>
        <v>1220.86282590088</v>
      </c>
      <c r="I552" s="15" t="n">
        <f aca="false">H552*(1+IF(I$3&lt;=$O$2,$D552,$D552-($D552-$I$535)*MIN(I$3-$O$2,$Q$2)/$Q$2))</f>
        <v>1328.77066157945</v>
      </c>
      <c r="J552" s="15" t="n">
        <f aca="false">I552*(1+IF(J$3&lt;=$O$2,$D552,$D552-($D552-$I$535)*MIN(J$3-$O$2,$Q$2)/$Q$2))</f>
        <v>1431.57662254005</v>
      </c>
      <c r="K552" s="15" t="n">
        <f aca="false">J552*(1+IF(K$3&lt;=$O$2,$D552,$D552-($D552-$I$535)*MIN(K$3-$O$2,$Q$2)/$Q$2))</f>
        <v>1526.56448205789</v>
      </c>
      <c r="L552" s="15" t="n">
        <f aca="false">K552*(1+IF(L$3&lt;=$O$2,$D552,$D552-($D552-$I$535)*MIN(L$3-$O$2,$Q$2)/$Q$2))</f>
        <v>1611.03633881224</v>
      </c>
      <c r="M552" s="15" t="n">
        <f aca="false">L552*(1+IF(M$3&lt;=$O$2,$D552,$D552-($D552-$I$535)*MIN(M$3-$O$2,$Q$2)/$Q$2))</f>
        <v>1682.43313103521</v>
      </c>
      <c r="N552" s="15" t="n">
        <f aca="false">M552*(1+IF(N$3&lt;=$O$2,$D552,$D552-($D552-$I$535)*MIN(N$3-$O$2,$Q$2)/$Q$2))</f>
        <v>1738.45815429868</v>
      </c>
      <c r="O552" s="15" t="n">
        <f aca="false">SUMPRODUCT(E552:N552,1/(1+$F$535)^$E$3:$N$3)*$E$2</f>
        <v>1932.44321343109</v>
      </c>
      <c r="P552" s="15" t="n">
        <f aca="false">N552*$E$2*(1+$I$535)/($F$535-$I$535)/(1+$F$535)^$N$3</f>
        <v>3689.67189760599</v>
      </c>
      <c r="Q552" s="15" t="n">
        <f aca="false">O552+P552</f>
        <v>5622.11511103708</v>
      </c>
      <c r="R552" s="15" t="n">
        <f aca="false">Q552-$G$2+$I$2</f>
        <v>5789.51511103708</v>
      </c>
      <c r="S552" s="42" t="n">
        <f aca="false">R552/$K$2</f>
        <v>164.521600199974</v>
      </c>
      <c r="T552" s="43" t="n">
        <f aca="false">S552-$M$2</f>
        <v>-0.0137791691652183</v>
      </c>
    </row>
    <row r="553" customFormat="false" ht="15" hidden="false" customHeight="false" outlineLevel="0" collapsed="false">
      <c r="A553" s="5" t="n">
        <v>17</v>
      </c>
      <c r="B553" s="25" t="n">
        <f aca="false">IF(T552&gt;0,B552,D552)</f>
        <v>0.0883865356445313</v>
      </c>
      <c r="C553" s="25" t="n">
        <f aca="false">IF(T552&gt;0,D552,C552)</f>
        <v>0.088409423828125</v>
      </c>
      <c r="D553" s="41" t="n">
        <f aca="false">(B553+C553)/2</f>
        <v>0.0883979797363281</v>
      </c>
      <c r="E553" s="15" t="n">
        <f aca="false">$C$2*(1+IF(E$3&lt;=$O$2,$D553,$D553-($D553-$I$535)*MIN(E$3-$O$2,$Q$2)/$Q$2))</f>
        <v>946.938894309998</v>
      </c>
      <c r="F553" s="15" t="n">
        <f aca="false">E553*(1+IF(F$3&lt;=$O$2,$D553,$D553-($D553-$I$535)*MIN(F$3-$O$2,$Q$2)/$Q$2))</f>
        <v>1030.64637950075</v>
      </c>
      <c r="G553" s="15" t="n">
        <f aca="false">F553*(1+IF(G$3&lt;=$O$2,$D553,$D553-($D553-$I$535)*MIN(G$3-$O$2,$Q$2)/$Q$2))</f>
        <v>1121.75343727118</v>
      </c>
      <c r="H553" s="15" t="n">
        <f aca="false">G553*(1+IF(H$3&lt;=$O$2,$D553,$D553-($D553-$I$535)*MIN(H$3-$O$2,$Q$2)/$Q$2))</f>
        <v>1220.91417488824</v>
      </c>
      <c r="I553" s="15" t="n">
        <f aca="false">H553*(1+IF(I$3&lt;=$O$2,$D553,$D553-($D553-$I$535)*MIN(I$3-$O$2,$Q$2)/$Q$2))</f>
        <v>1328.8405213798</v>
      </c>
      <c r="J553" s="15" t="n">
        <f aca="false">I553*(1+IF(J$3&lt;=$O$2,$D553,$D553-($D553-$I$535)*MIN(J$3-$O$2,$Q$2)/$Q$2))</f>
        <v>1431.66405323759</v>
      </c>
      <c r="K553" s="15" t="n">
        <f aca="false">J553*(1+IF(K$3&lt;=$O$2,$D553,$D553-($D553-$I$535)*MIN(K$3-$O$2,$Q$2)/$Q$2))</f>
        <v>1526.66754440711</v>
      </c>
      <c r="L553" s="15" t="n">
        <f aca="false">K553*(1+IF(L$3&lt;=$O$2,$D553,$D553-($D553-$I$535)*MIN(L$3-$O$2,$Q$2)/$Q$2))</f>
        <v>1611.1520926062</v>
      </c>
      <c r="M553" s="15" t="n">
        <f aca="false">L553*(1+IF(M$3&lt;=$O$2,$D553,$D553-($D553-$I$535)*MIN(M$3-$O$2,$Q$2)/$Q$2))</f>
        <v>1682.5577023601</v>
      </c>
      <c r="N553" s="15" t="n">
        <f aca="false">M553*(1+IF(N$3&lt;=$O$2,$D553,$D553-($D553-$I$535)*MIN(N$3-$O$2,$Q$2)/$Q$2))</f>
        <v>1738.58687384869</v>
      </c>
      <c r="O553" s="15" t="n">
        <f aca="false">SUMPRODUCT(E553:N553,1/(1+$F$535)^$E$3:$N$3)*$E$2</f>
        <v>1932.5401714053</v>
      </c>
      <c r="P553" s="15" t="n">
        <f aca="false">N553*$E$2*(1+$I$535)/($F$535-$I$535)/(1+$F$535)^$N$3</f>
        <v>3689.9450896326</v>
      </c>
      <c r="Q553" s="15" t="n">
        <f aca="false">O553+P553</f>
        <v>5622.4852610379</v>
      </c>
      <c r="R553" s="15" t="n">
        <f aca="false">Q553-$G$2+$I$2</f>
        <v>5789.8852610379</v>
      </c>
      <c r="S553" s="42" t="n">
        <f aca="false">R553/$K$2</f>
        <v>164.53211881324</v>
      </c>
      <c r="T553" s="43" t="n">
        <f aca="false">S553-$M$2</f>
        <v>-0.00326055589937369</v>
      </c>
    </row>
    <row r="554" customFormat="false" ht="15" hidden="false" customHeight="false" outlineLevel="0" collapsed="false">
      <c r="A554" s="5" t="n">
        <v>18</v>
      </c>
      <c r="B554" s="25" t="n">
        <f aca="false">IF(T553&gt;0,B553,D553)</f>
        <v>0.0883979797363281</v>
      </c>
      <c r="C554" s="25" t="n">
        <f aca="false">IF(T553&gt;0,D553,C553)</f>
        <v>0.088409423828125</v>
      </c>
      <c r="D554" s="41" t="n">
        <f aca="false">(B554+C554)/2</f>
        <v>0.0884037017822266</v>
      </c>
      <c r="E554" s="15" t="n">
        <f aca="false">$C$2*(1+IF(E$3&lt;=$O$2,$D554,$D554-($D554-$I$535)*MIN(E$3-$O$2,$Q$2)/$Q$2))</f>
        <v>946.943872661591</v>
      </c>
      <c r="F554" s="15" t="n">
        <f aca="false">E554*(1+IF(F$3&lt;=$O$2,$D554,$D554-($D554-$I$535)*MIN(F$3-$O$2,$Q$2)/$Q$2))</f>
        <v>1030.65721638487</v>
      </c>
      <c r="G554" s="15" t="n">
        <f aca="false">F554*(1+IF(G$3&lt;=$O$2,$D554,$D554-($D554-$I$535)*MIN(G$3-$O$2,$Q$2)/$Q$2))</f>
        <v>1121.77112958186</v>
      </c>
      <c r="H554" s="15" t="n">
        <f aca="false">G554*(1+IF(H$3&lt;=$O$2,$D554,$D554-($D554-$I$535)*MIN(H$3-$O$2,$Q$2)/$Q$2))</f>
        <v>1220.93984998933</v>
      </c>
      <c r="I554" s="15" t="n">
        <f aca="false">H554*(1+IF(I$3&lt;=$O$2,$D554,$D554-($D554-$I$535)*MIN(I$3-$O$2,$Q$2)/$Q$2))</f>
        <v>1328.87545238182</v>
      </c>
      <c r="J554" s="15" t="n">
        <f aca="false">I554*(1+IF(J$3&lt;=$O$2,$D554,$D554-($D554-$I$535)*MIN(J$3-$O$2,$Q$2)/$Q$2))</f>
        <v>1431.70777025315</v>
      </c>
      <c r="K554" s="15" t="n">
        <f aca="false">J554*(1+IF(K$3&lt;=$O$2,$D554,$D554-($D554-$I$535)*MIN(K$3-$O$2,$Q$2)/$Q$2))</f>
        <v>1526.71907780938</v>
      </c>
      <c r="L554" s="15" t="n">
        <f aca="false">K554*(1+IF(L$3&lt;=$O$2,$D554,$D554-($D554-$I$535)*MIN(L$3-$O$2,$Q$2)/$Q$2))</f>
        <v>1611.20997220797</v>
      </c>
      <c r="M554" s="15" t="n">
        <f aca="false">L554*(1+IF(M$3&lt;=$O$2,$D554,$D554-($D554-$I$535)*MIN(M$3-$O$2,$Q$2)/$Q$2))</f>
        <v>1682.61999104591</v>
      </c>
      <c r="N554" s="15" t="n">
        <f aca="false">M554*(1+IF(N$3&lt;=$O$2,$D554,$D554-($D554-$I$535)*MIN(N$3-$O$2,$Q$2)/$Q$2))</f>
        <v>1738.65123674774</v>
      </c>
      <c r="O554" s="15" t="n">
        <f aca="false">SUMPRODUCT(E554:N554,1/(1+$F$535)^$E$3:$N$3)*$E$2</f>
        <v>1932.58865220598</v>
      </c>
      <c r="P554" s="15" t="n">
        <f aca="false">N554*$E$2*(1+$I$535)/($F$535-$I$535)/(1+$F$535)^$N$3</f>
        <v>3690.08169227631</v>
      </c>
      <c r="Q554" s="15" t="n">
        <f aca="false">O554+P554</f>
        <v>5622.67034448229</v>
      </c>
      <c r="R554" s="15" t="n">
        <f aca="false">Q554-$G$2+$I$2</f>
        <v>5790.07034448229</v>
      </c>
      <c r="S554" s="42" t="n">
        <f aca="false">R554/$K$2</f>
        <v>164.537378359826</v>
      </c>
      <c r="T554" s="43" t="n">
        <f aca="false">S554-$M$2</f>
        <v>0.0019989906872695</v>
      </c>
    </row>
    <row r="555" customFormat="false" ht="15" hidden="false" customHeight="false" outlineLevel="0" collapsed="false">
      <c r="A555" s="5" t="n">
        <v>19</v>
      </c>
      <c r="B555" s="25" t="n">
        <f aca="false">IF(T554&gt;0,B554,D554)</f>
        <v>0.0883979797363281</v>
      </c>
      <c r="C555" s="25" t="n">
        <f aca="false">IF(T554&gt;0,D554,C554)</f>
        <v>0.0884037017822266</v>
      </c>
      <c r="D555" s="41" t="n">
        <f aca="false">(B555+C555)/2</f>
        <v>0.0884008407592773</v>
      </c>
      <c r="E555" s="15" t="n">
        <f aca="false">$C$2*(1+IF(E$3&lt;=$O$2,$D555,$D555-($D555-$I$535)*MIN(E$3-$O$2,$Q$2)/$Q$2))</f>
        <v>946.941383485794</v>
      </c>
      <c r="F555" s="15" t="n">
        <f aca="false">E555*(1+IF(F$3&lt;=$O$2,$D555,$D555-($D555-$I$535)*MIN(F$3-$O$2,$Q$2)/$Q$2))</f>
        <v>1030.65179793569</v>
      </c>
      <c r="G555" s="15" t="n">
        <f aca="false">F555*(1+IF(G$3&lt;=$O$2,$D555,$D555-($D555-$I$535)*MIN(G$3-$O$2,$Q$2)/$Q$2))</f>
        <v>1121.76228340327</v>
      </c>
      <c r="H555" s="15" t="n">
        <f aca="false">G555*(1+IF(H$3&lt;=$O$2,$D555,$D555-($D555-$I$535)*MIN(H$3-$O$2,$Q$2)/$Q$2))</f>
        <v>1220.92701238816</v>
      </c>
      <c r="I555" s="15" t="n">
        <f aca="false">H555*(1+IF(I$3&lt;=$O$2,$D555,$D555-($D555-$I$535)*MIN(I$3-$O$2,$Q$2)/$Q$2))</f>
        <v>1328.85798678899</v>
      </c>
      <c r="J555" s="15" t="n">
        <f aca="false">I555*(1+IF(J$3&lt;=$O$2,$D555,$D555-($D555-$I$535)*MIN(J$3-$O$2,$Q$2)/$Q$2))</f>
        <v>1431.68591160647</v>
      </c>
      <c r="K555" s="15" t="n">
        <f aca="false">J555*(1+IF(K$3&lt;=$O$2,$D555,$D555-($D555-$I$535)*MIN(K$3-$O$2,$Q$2)/$Q$2))</f>
        <v>1526.6933109226</v>
      </c>
      <c r="L555" s="15" t="n">
        <f aca="false">K555*(1+IF(L$3&lt;=$O$2,$D555,$D555-($D555-$I$535)*MIN(L$3-$O$2,$Q$2)/$Q$2))</f>
        <v>1611.18103218168</v>
      </c>
      <c r="M555" s="15" t="n">
        <f aca="false">L555*(1+IF(M$3&lt;=$O$2,$D555,$D555-($D555-$I$535)*MIN(M$3-$O$2,$Q$2)/$Q$2))</f>
        <v>1682.58884645105</v>
      </c>
      <c r="N555" s="15" t="n">
        <f aca="false">M555*(1+IF(N$3&lt;=$O$2,$D555,$D555-($D555-$I$535)*MIN(N$3-$O$2,$Q$2)/$Q$2))</f>
        <v>1738.61905503787</v>
      </c>
      <c r="O555" s="15" t="n">
        <f aca="false">SUMPRODUCT(E555:N555,1/(1+$F$535)^$E$3:$N$3)*$E$2</f>
        <v>1932.56441165451</v>
      </c>
      <c r="P555" s="15" t="n">
        <f aca="false">N555*$E$2*(1+$I$535)/($F$535-$I$535)/(1+$F$535)^$N$3</f>
        <v>3690.01339040191</v>
      </c>
      <c r="Q555" s="15" t="n">
        <f aca="false">O555+P555</f>
        <v>5622.57780205642</v>
      </c>
      <c r="R555" s="15" t="n">
        <f aca="false">Q555-$G$2+$I$2</f>
        <v>5789.97780205642</v>
      </c>
      <c r="S555" s="42" t="n">
        <f aca="false">R555/$K$2</f>
        <v>164.534748566536</v>
      </c>
      <c r="T555" s="43" t="n">
        <f aca="false">S555-$M$2</f>
        <v>-0.000630802602614722</v>
      </c>
    </row>
    <row r="556" customFormat="false" ht="15" hidden="false" customHeight="false" outlineLevel="0" collapsed="false">
      <c r="A556" s="5" t="n">
        <v>20</v>
      </c>
      <c r="B556" s="25" t="n">
        <f aca="false">IF(T555&gt;0,B555,D555)</f>
        <v>0.0884008407592773</v>
      </c>
      <c r="C556" s="25" t="n">
        <f aca="false">IF(T555&gt;0,D555,C555)</f>
        <v>0.0884037017822266</v>
      </c>
      <c r="D556" s="41" t="n">
        <f aca="false">(B556+C556)/2</f>
        <v>0.088402271270752</v>
      </c>
      <c r="E556" s="15" t="n">
        <f aca="false">$C$2*(1+IF(E$3&lt;=$O$2,$D556,$D556-($D556-$I$535)*MIN(E$3-$O$2,$Q$2)/$Q$2))</f>
        <v>946.942628073692</v>
      </c>
      <c r="F556" s="15" t="n">
        <f aca="false">E556*(1+IF(F$3&lt;=$O$2,$D556,$D556-($D556-$I$535)*MIN(F$3-$O$2,$Q$2)/$Q$2))</f>
        <v>1030.6545071585</v>
      </c>
      <c r="G556" s="15" t="n">
        <f aca="false">F556*(1+IF(G$3&lt;=$O$2,$D556,$D556-($D556-$I$535)*MIN(G$3-$O$2,$Q$2)/$Q$2))</f>
        <v>1121.76670648675</v>
      </c>
      <c r="H556" s="15" t="n">
        <f aca="false">G556*(1+IF(H$3&lt;=$O$2,$D556,$D556-($D556-$I$535)*MIN(H$3-$O$2,$Q$2)/$Q$2))</f>
        <v>1220.93343117609</v>
      </c>
      <c r="I556" s="15" t="n">
        <f aca="false">H556*(1+IF(I$3&lt;=$O$2,$D556,$D556-($D556-$I$535)*MIN(I$3-$O$2,$Q$2)/$Q$2))</f>
        <v>1328.86671956245</v>
      </c>
      <c r="J556" s="15" t="n">
        <f aca="false">I556*(1+IF(J$3&lt;=$O$2,$D556,$D556-($D556-$I$535)*MIN(J$3-$O$2,$Q$2)/$Q$2))</f>
        <v>1431.69684089508</v>
      </c>
      <c r="K556" s="15" t="n">
        <f aca="false">J556*(1+IF(K$3&lt;=$O$2,$D556,$D556-($D556-$I$535)*MIN(K$3-$O$2,$Q$2)/$Q$2))</f>
        <v>1526.70619431958</v>
      </c>
      <c r="L556" s="15" t="n">
        <f aca="false">K556*(1+IF(L$3&lt;=$O$2,$D556,$D556-($D556-$I$535)*MIN(L$3-$O$2,$Q$2)/$Q$2))</f>
        <v>1611.19550213847</v>
      </c>
      <c r="M556" s="15" t="n">
        <f aca="false">L556*(1+IF(M$3&lt;=$O$2,$D556,$D556-($D556-$I$535)*MIN(M$3-$O$2,$Q$2)/$Q$2))</f>
        <v>1682.60441868549</v>
      </c>
      <c r="N556" s="15" t="n">
        <f aca="false">M556*(1+IF(N$3&lt;=$O$2,$D556,$D556-($D556-$I$535)*MIN(N$3-$O$2,$Q$2)/$Q$2))</f>
        <v>1738.63514582772</v>
      </c>
      <c r="O556" s="15" t="n">
        <f aca="false">SUMPRODUCT(E556:N556,1/(1+$F$535)^$E$3:$N$3)*$E$2</f>
        <v>1932.57653189246</v>
      </c>
      <c r="P556" s="15" t="n">
        <f aca="false">N556*$E$2*(1+$I$535)/($F$535-$I$535)/(1+$F$535)^$N$3</f>
        <v>3690.04754120097</v>
      </c>
      <c r="Q556" s="15" t="n">
        <f aca="false">O556+P556</f>
        <v>5622.62407309343</v>
      </c>
      <c r="R556" s="15" t="n">
        <f aca="false">Q556-$G$2+$I$2</f>
        <v>5790.02407309343</v>
      </c>
      <c r="S556" s="42" t="n">
        <f aca="false">R556/$K$2</f>
        <v>164.536063458182</v>
      </c>
      <c r="T556" s="43" t="n">
        <f aca="false">S556-$M$2</f>
        <v>0.000684089043147651</v>
      </c>
    </row>
    <row r="557" customFormat="false" ht="15" hidden="false" customHeight="false" outlineLevel="0" collapsed="false">
      <c r="A557" s="5" t="n">
        <v>21</v>
      </c>
      <c r="B557" s="25" t="n">
        <f aca="false">IF(T556&gt;0,B556,D556)</f>
        <v>0.0884008407592773</v>
      </c>
      <c r="C557" s="25" t="n">
        <f aca="false">IF(T556&gt;0,D556,C556)</f>
        <v>0.088402271270752</v>
      </c>
      <c r="D557" s="41" t="n">
        <f aca="false">(B557+C557)/2</f>
        <v>0.0884015560150147</v>
      </c>
      <c r="E557" s="15" t="n">
        <f aca="false">$C$2*(1+IF(E$3&lt;=$O$2,$D557,$D557-($D557-$I$535)*MIN(E$3-$O$2,$Q$2)/$Q$2))</f>
        <v>946.942005779743</v>
      </c>
      <c r="F557" s="15" t="n">
        <f aca="false">E557*(1+IF(F$3&lt;=$O$2,$D557,$D557-($D557-$I$535)*MIN(F$3-$O$2,$Q$2)/$Q$2))</f>
        <v>1030.65315254665</v>
      </c>
      <c r="G557" s="15" t="n">
        <f aca="false">F557*(1+IF(G$3&lt;=$O$2,$D557,$D557-($D557-$I$535)*MIN(G$3-$O$2,$Q$2)/$Q$2))</f>
        <v>1121.76449494356</v>
      </c>
      <c r="H557" s="15" t="n">
        <f aca="false">G557*(1+IF(H$3&lt;=$O$2,$D557,$D557-($D557-$I$535)*MIN(H$3-$O$2,$Q$2)/$Q$2))</f>
        <v>1220.93022177896</v>
      </c>
      <c r="I557" s="15" t="n">
        <f aca="false">H557*(1+IF(I$3&lt;=$O$2,$D557,$D557-($D557-$I$535)*MIN(I$3-$O$2,$Q$2)/$Q$2))</f>
        <v>1328.86235316998</v>
      </c>
      <c r="J557" s="15" t="n">
        <f aca="false">I557*(1+IF(J$3&lt;=$O$2,$D557,$D557-($D557-$I$535)*MIN(J$3-$O$2,$Q$2)/$Q$2))</f>
        <v>1431.69137624209</v>
      </c>
      <c r="K557" s="15" t="n">
        <f aca="false">J557*(1+IF(K$3&lt;=$O$2,$D557,$D557-($D557-$I$535)*MIN(K$3-$O$2,$Q$2)/$Q$2))</f>
        <v>1526.69975260948</v>
      </c>
      <c r="L557" s="15" t="n">
        <f aca="false">K557*(1+IF(L$3&lt;=$O$2,$D557,$D557-($D557-$I$535)*MIN(L$3-$O$2,$Q$2)/$Q$2))</f>
        <v>1611.18826714599</v>
      </c>
      <c r="M557" s="15" t="n">
        <f aca="false">L557*(1+IF(M$3&lt;=$O$2,$D557,$D557-($D557-$I$535)*MIN(M$3-$O$2,$Q$2)/$Q$2))</f>
        <v>1682.59663255253</v>
      </c>
      <c r="N557" s="15" t="n">
        <f aca="false">M557*(1+IF(N$3&lt;=$O$2,$D557,$D557-($D557-$I$535)*MIN(N$3-$O$2,$Q$2)/$Q$2))</f>
        <v>1738.62710041653</v>
      </c>
      <c r="O557" s="15" t="n">
        <f aca="false">SUMPRODUCT(E557:N557,1/(1+$F$535)^$E$3:$N$3)*$E$2</f>
        <v>1932.57047176404</v>
      </c>
      <c r="P557" s="15" t="n">
        <f aca="false">N557*$E$2*(1+$I$535)/($F$535-$I$535)/(1+$F$535)^$N$3</f>
        <v>3690.03046576691</v>
      </c>
      <c r="Q557" s="15" t="n">
        <f aca="false">O557+P557</f>
        <v>5622.60093753094</v>
      </c>
      <c r="R557" s="15" t="n">
        <f aca="false">Q557-$G$2+$I$2</f>
        <v>5790.00093753094</v>
      </c>
      <c r="S557" s="42" t="n">
        <f aca="false">R557/$K$2</f>
        <v>164.535406011109</v>
      </c>
      <c r="T557" s="43" t="n">
        <f aca="false">S557-$M$2</f>
        <v>2.6641970464425E-005</v>
      </c>
    </row>
    <row r="558" customFormat="false" ht="15" hidden="false" customHeight="false" outlineLevel="0" collapsed="false">
      <c r="A558" s="5" t="n">
        <v>22</v>
      </c>
      <c r="B558" s="25" t="n">
        <f aca="false">IF(T557&gt;0,B557,D557)</f>
        <v>0.0884008407592773</v>
      </c>
      <c r="C558" s="25" t="n">
        <f aca="false">IF(T557&gt;0,D557,C557)</f>
        <v>0.0884015560150147</v>
      </c>
      <c r="D558" s="41" t="n">
        <f aca="false">(B558+C558)/2</f>
        <v>0.088401198387146</v>
      </c>
      <c r="E558" s="15" t="n">
        <f aca="false">$C$2*(1+IF(E$3&lt;=$O$2,$D558,$D558-($D558-$I$535)*MIN(E$3-$O$2,$Q$2)/$Q$2))</f>
        <v>946.941694632769</v>
      </c>
      <c r="F558" s="15" t="n">
        <f aca="false">E558*(1+IF(F$3&lt;=$O$2,$D558,$D558-($D558-$I$535)*MIN(F$3-$O$2,$Q$2)/$Q$2))</f>
        <v>1030.65247524106</v>
      </c>
      <c r="G558" s="15" t="n">
        <f aca="false">F558*(1+IF(G$3&lt;=$O$2,$D558,$D558-($D558-$I$535)*MIN(G$3-$O$2,$Q$2)/$Q$2))</f>
        <v>1121.76338917305</v>
      </c>
      <c r="H558" s="15" t="n">
        <f aca="false">G558*(1+IF(H$3&lt;=$O$2,$D558,$D558-($D558-$I$535)*MIN(H$3-$O$2,$Q$2)/$Q$2))</f>
        <v>1220.92861708277</v>
      </c>
      <c r="I558" s="15" t="n">
        <f aca="false">H558*(1+IF(I$3&lt;=$O$2,$D558,$D558-($D558-$I$535)*MIN(I$3-$O$2,$Q$2)/$Q$2))</f>
        <v>1328.86016997805</v>
      </c>
      <c r="J558" s="15" t="n">
        <f aca="false">I558*(1+IF(J$3&lt;=$O$2,$D558,$D558-($D558-$I$535)*MIN(J$3-$O$2,$Q$2)/$Q$2))</f>
        <v>1431.68864392211</v>
      </c>
      <c r="K558" s="15" t="n">
        <f aca="false">J558*(1+IF(K$3&lt;=$O$2,$D558,$D558-($D558-$I$535)*MIN(K$3-$O$2,$Q$2)/$Q$2))</f>
        <v>1526.69653176314</v>
      </c>
      <c r="L558" s="15" t="n">
        <f aca="false">K558*(1+IF(L$3&lt;=$O$2,$D558,$D558-($D558-$I$535)*MIN(L$3-$O$2,$Q$2)/$Q$2))</f>
        <v>1611.18464966031</v>
      </c>
      <c r="M558" s="15" t="n">
        <f aca="false">L558*(1+IF(M$3&lt;=$O$2,$D558,$D558-($D558-$I$535)*MIN(M$3-$O$2,$Q$2)/$Q$2))</f>
        <v>1682.59273949785</v>
      </c>
      <c r="N558" s="15" t="n">
        <f aca="false">M558*(1+IF(N$3&lt;=$O$2,$D558,$D558-($D558-$I$535)*MIN(N$3-$O$2,$Q$2)/$Q$2))</f>
        <v>1738.62307772313</v>
      </c>
      <c r="O558" s="15" t="n">
        <f aca="false">SUMPRODUCT(E558:N558,1/(1+$F$535)^$E$3:$N$3)*$E$2</f>
        <v>1932.56744170691</v>
      </c>
      <c r="P558" s="15" t="n">
        <f aca="false">N558*$E$2*(1+$I$535)/($F$535-$I$535)/(1+$F$535)^$N$3</f>
        <v>3690.02192807577</v>
      </c>
      <c r="Q558" s="15" t="n">
        <f aca="false">O558+P558</f>
        <v>5622.58936978268</v>
      </c>
      <c r="R558" s="15" t="n">
        <f aca="false">Q558-$G$2+$I$2</f>
        <v>5789.98936978268</v>
      </c>
      <c r="S558" s="42" t="n">
        <f aca="false">R558/$K$2</f>
        <v>164.53507728851</v>
      </c>
      <c r="T558" s="43" t="n">
        <f aca="false">S558-$M$2</f>
        <v>-0.000302080628529211</v>
      </c>
    </row>
    <row r="559" customFormat="false" ht="15" hidden="false" customHeight="false" outlineLevel="0" collapsed="false">
      <c r="A559" s="5" t="n">
        <v>23</v>
      </c>
      <c r="B559" s="25" t="n">
        <f aca="false">IF(T558&gt;0,B558,D558)</f>
        <v>0.088401198387146</v>
      </c>
      <c r="C559" s="25" t="n">
        <f aca="false">IF(T558&gt;0,D558,C558)</f>
        <v>0.0884015560150147</v>
      </c>
      <c r="D559" s="41" t="n">
        <f aca="false">(B559+C559)/2</f>
        <v>0.0884013772010803</v>
      </c>
      <c r="E559" s="15" t="n">
        <f aca="false">$C$2*(1+IF(E$3&lt;=$O$2,$D559,$D559-($D559-$I$535)*MIN(E$3-$O$2,$Q$2)/$Q$2))</f>
        <v>946.941850206256</v>
      </c>
      <c r="F559" s="15" t="n">
        <f aca="false">E559*(1+IF(F$3&lt;=$O$2,$D559,$D559-($D559-$I$535)*MIN(F$3-$O$2,$Q$2)/$Q$2))</f>
        <v>1030.65281389383</v>
      </c>
      <c r="G559" s="15" t="n">
        <f aca="false">F559*(1+IF(G$3&lt;=$O$2,$D559,$D559-($D559-$I$535)*MIN(G$3-$O$2,$Q$2)/$Q$2))</f>
        <v>1121.76394205821</v>
      </c>
      <c r="H559" s="15" t="n">
        <f aca="false">G559*(1+IF(H$3&lt;=$O$2,$D559,$D559-($D559-$I$535)*MIN(H$3-$O$2,$Q$2)/$Q$2))</f>
        <v>1220.92941943067</v>
      </c>
      <c r="I559" s="15" t="n">
        <f aca="false">H559*(1+IF(I$3&lt;=$O$2,$D559,$D559-($D559-$I$535)*MIN(I$3-$O$2,$Q$2)/$Q$2))</f>
        <v>1328.86126157366</v>
      </c>
      <c r="J559" s="15" t="n">
        <f aca="false">I559*(1+IF(J$3&lt;=$O$2,$D559,$D559-($D559-$I$535)*MIN(J$3-$O$2,$Q$2)/$Q$2))</f>
        <v>1431.69001008156</v>
      </c>
      <c r="K559" s="15" t="n">
        <f aca="false">J559*(1+IF(K$3&lt;=$O$2,$D559,$D559-($D559-$I$535)*MIN(K$3-$O$2,$Q$2)/$Q$2))</f>
        <v>1526.69814218559</v>
      </c>
      <c r="L559" s="15" t="n">
        <f aca="false">K559*(1+IF(L$3&lt;=$O$2,$D559,$D559-($D559-$I$535)*MIN(L$3-$O$2,$Q$2)/$Q$2))</f>
        <v>1611.18645840227</v>
      </c>
      <c r="M559" s="15" t="n">
        <f aca="false">L559*(1+IF(M$3&lt;=$O$2,$D559,$D559-($D559-$I$535)*MIN(M$3-$O$2,$Q$2)/$Q$2))</f>
        <v>1682.59468602421</v>
      </c>
      <c r="N559" s="15" t="n">
        <f aca="false">M559*(1+IF(N$3&lt;=$O$2,$D559,$D559-($D559-$I$535)*MIN(N$3-$O$2,$Q$2)/$Q$2))</f>
        <v>1738.62508906881</v>
      </c>
      <c r="O559" s="15" t="n">
        <f aca="false">SUMPRODUCT(E559:N559,1/(1+$F$535)^$E$3:$N$3)*$E$2</f>
        <v>1932.56895673488</v>
      </c>
      <c r="P559" s="15" t="n">
        <f aca="false">N559*$E$2*(1+$I$535)/($F$535-$I$535)/(1+$F$535)^$N$3</f>
        <v>3690.02619691918</v>
      </c>
      <c r="Q559" s="15" t="n">
        <f aca="false">O559+P559</f>
        <v>5622.59515365406</v>
      </c>
      <c r="R559" s="15" t="n">
        <f aca="false">Q559-$G$2+$I$2</f>
        <v>5789.99515365407</v>
      </c>
      <c r="S559" s="42" t="n">
        <f aca="false">R559/$K$2</f>
        <v>164.535241649732</v>
      </c>
      <c r="T559" s="43" t="n">
        <f aca="false">S559-$M$2</f>
        <v>-0.00013771940712104</v>
      </c>
    </row>
    <row r="560" customFormat="false" ht="15" hidden="false" customHeight="false" outlineLevel="0" collapsed="false">
      <c r="A560" s="5" t="n">
        <v>24</v>
      </c>
      <c r="B560" s="25" t="n">
        <f aca="false">IF(T559&gt;0,B559,D559)</f>
        <v>0.0884013772010803</v>
      </c>
      <c r="C560" s="25" t="n">
        <f aca="false">IF(T559&gt;0,D559,C559)</f>
        <v>0.0884015560150147</v>
      </c>
      <c r="D560" s="41" t="n">
        <f aca="false">(B560+C560)/2</f>
        <v>0.0884014666080475</v>
      </c>
      <c r="E560" s="15" t="n">
        <f aca="false">$C$2*(1+IF(E$3&lt;=$O$2,$D560,$D560-($D560-$I$535)*MIN(E$3-$O$2,$Q$2)/$Q$2))</f>
        <v>946.941927993</v>
      </c>
      <c r="F560" s="15" t="n">
        <f aca="false">E560*(1+IF(F$3&lt;=$O$2,$D560,$D560-($D560-$I$535)*MIN(F$3-$O$2,$Q$2)/$Q$2))</f>
        <v>1030.65298322023</v>
      </c>
      <c r="G560" s="15" t="n">
        <f aca="false">F560*(1+IF(G$3&lt;=$O$2,$D560,$D560-($D560-$I$535)*MIN(G$3-$O$2,$Q$2)/$Q$2))</f>
        <v>1121.76421850086</v>
      </c>
      <c r="H560" s="15" t="n">
        <f aca="false">G560*(1+IF(H$3&lt;=$O$2,$D560,$D560-($D560-$I$535)*MIN(H$3-$O$2,$Q$2)/$Q$2))</f>
        <v>1220.92982060477</v>
      </c>
      <c r="I560" s="15" t="n">
        <f aca="false">H560*(1+IF(I$3&lt;=$O$2,$D560,$D560-($D560-$I$535)*MIN(I$3-$O$2,$Q$2)/$Q$2))</f>
        <v>1328.86180737173</v>
      </c>
      <c r="J560" s="15" t="n">
        <f aca="false">I560*(1+IF(J$3&lt;=$O$2,$D560,$D560-($D560-$I$535)*MIN(J$3-$O$2,$Q$2)/$Q$2))</f>
        <v>1431.69069316169</v>
      </c>
      <c r="K560" s="15" t="n">
        <f aca="false">J560*(1+IF(K$3&lt;=$O$2,$D560,$D560-($D560-$I$535)*MIN(K$3-$O$2,$Q$2)/$Q$2))</f>
        <v>1526.69894739735</v>
      </c>
      <c r="L560" s="15" t="n">
        <f aca="false">K560*(1+IF(L$3&lt;=$O$2,$D560,$D560-($D560-$I$535)*MIN(L$3-$O$2,$Q$2)/$Q$2))</f>
        <v>1611.18736277391</v>
      </c>
      <c r="M560" s="15" t="n">
        <f aca="false">L560*(1+IF(M$3&lt;=$O$2,$D560,$D560-($D560-$I$535)*MIN(M$3-$O$2,$Q$2)/$Q$2))</f>
        <v>1682.59565928812</v>
      </c>
      <c r="N560" s="15" t="n">
        <f aca="false">M560*(1+IF(N$3&lt;=$O$2,$D560,$D560-($D560-$I$535)*MIN(N$3-$O$2,$Q$2)/$Q$2))</f>
        <v>1738.62609474241</v>
      </c>
      <c r="O560" s="15" t="n">
        <f aca="false">SUMPRODUCT(E560:N560,1/(1+$F$535)^$E$3:$N$3)*$E$2</f>
        <v>1932.56971424931</v>
      </c>
      <c r="P560" s="15" t="n">
        <f aca="false">N560*$E$2*(1+$I$535)/($F$535-$I$535)/(1+$F$535)^$N$3</f>
        <v>3690.0283313425</v>
      </c>
      <c r="Q560" s="15" t="n">
        <f aca="false">O560+P560</f>
        <v>5622.59804559181</v>
      </c>
      <c r="R560" s="15" t="n">
        <f aca="false">Q560-$G$2+$I$2</f>
        <v>5789.99804559182</v>
      </c>
      <c r="S560" s="42" t="n">
        <f aca="false">R560/$K$2</f>
        <v>164.535323830401</v>
      </c>
      <c r="T560" s="43" t="n">
        <f aca="false">S560-$M$2</f>
        <v>-5.55387378824435E-005</v>
      </c>
    </row>
    <row r="562" customFormat="false" ht="15" hidden="false" customHeight="false" outlineLevel="0" collapsed="false">
      <c r="A562" s="38" t="s">
        <v>207</v>
      </c>
      <c r="E562" s="5" t="s">
        <v>12</v>
      </c>
      <c r="F562" s="12" t="n">
        <f aca="false">Sensitivity!$B$13</f>
        <v>0.0825075820986394</v>
      </c>
      <c r="G562" s="5" t="s">
        <v>13</v>
      </c>
      <c r="I562" s="12" t="n">
        <f aca="false">Sensitivity!$G$9</f>
        <v>0.0383</v>
      </c>
    </row>
    <row r="563" customFormat="false" ht="23.85" hidden="false" customHeight="false" outlineLevel="0" collapsed="false">
      <c r="A563" s="38" t="s">
        <v>168</v>
      </c>
      <c r="B563" s="28" t="s">
        <v>169</v>
      </c>
      <c r="C563" s="28" t="s">
        <v>170</v>
      </c>
      <c r="D563" s="28" t="s">
        <v>171</v>
      </c>
      <c r="E563" s="28" t="s">
        <v>172</v>
      </c>
      <c r="F563" s="28" t="s">
        <v>173</v>
      </c>
      <c r="G563" s="28" t="s">
        <v>174</v>
      </c>
      <c r="H563" s="28" t="s">
        <v>175</v>
      </c>
      <c r="I563" s="28" t="s">
        <v>176</v>
      </c>
      <c r="J563" s="28" t="s">
        <v>177</v>
      </c>
      <c r="K563" s="28" t="s">
        <v>178</v>
      </c>
      <c r="L563" s="28" t="s">
        <v>179</v>
      </c>
      <c r="M563" s="28" t="s">
        <v>180</v>
      </c>
      <c r="N563" s="28" t="s">
        <v>181</v>
      </c>
      <c r="O563" s="28" t="s">
        <v>182</v>
      </c>
      <c r="P563" s="28" t="s">
        <v>183</v>
      </c>
      <c r="Q563" s="28" t="s">
        <v>184</v>
      </c>
      <c r="R563" s="28" t="s">
        <v>185</v>
      </c>
      <c r="S563" s="28" t="s">
        <v>186</v>
      </c>
      <c r="T563" s="28" t="s">
        <v>187</v>
      </c>
    </row>
    <row r="564" customFormat="false" ht="15" hidden="false" customHeight="false" outlineLevel="0" collapsed="false">
      <c r="A564" s="5" t="n">
        <v>1</v>
      </c>
      <c r="B564" s="24" t="n">
        <v>-0.5</v>
      </c>
      <c r="C564" s="24" t="n">
        <v>1</v>
      </c>
      <c r="D564" s="41" t="n">
        <f aca="false">(B564+C564)/2</f>
        <v>0.25</v>
      </c>
      <c r="E564" s="15" t="n">
        <f aca="false">$C$2*(1+IF(E$3&lt;=$O$2,$D564,$D564-($D564-$I$562)*MIN(E$3-$O$2,$Q$2)/$Q$2))</f>
        <v>1087.5375</v>
      </c>
      <c r="F564" s="15" t="n">
        <f aca="false">E564*(1+IF(F$3&lt;=$O$2,$D564,$D564-($D564-$I$562)*MIN(F$3-$O$2,$Q$2)/$Q$2))</f>
        <v>1359.421875</v>
      </c>
      <c r="G564" s="15" t="n">
        <f aca="false">F564*(1+IF(G$3&lt;=$O$2,$D564,$D564-($D564-$I$562)*MIN(G$3-$O$2,$Q$2)/$Q$2))</f>
        <v>1699.27734375</v>
      </c>
      <c r="H564" s="15" t="n">
        <f aca="false">G564*(1+IF(H$3&lt;=$O$2,$D564,$D564-($D564-$I$562)*MIN(H$3-$O$2,$Q$2)/$Q$2))</f>
        <v>2124.0966796875</v>
      </c>
      <c r="I564" s="15" t="n">
        <f aca="false">H564*(1+IF(I$3&lt;=$O$2,$D564,$D564-($D564-$I$562)*MIN(I$3-$O$2,$Q$2)/$Q$2))</f>
        <v>2655.12084960938</v>
      </c>
      <c r="J564" s="15" t="n">
        <f aca="false">I564*(1+IF(J$3&lt;=$O$2,$D564,$D564-($D564-$I$562)*MIN(J$3-$O$2,$Q$2)/$Q$2))</f>
        <v>3206.48324523926</v>
      </c>
      <c r="K564" s="15" t="n">
        <f aca="false">J564*(1+IF(K$3&lt;=$O$2,$D564,$D564-($D564-$I$562)*MIN(K$3-$O$2,$Q$2)/$Q$2))</f>
        <v>3736.57905534221</v>
      </c>
      <c r="L564" s="15" t="n">
        <f aca="false">K564*(1+IF(L$3&lt;=$O$2,$D564,$D564-($D564-$I$562)*MIN(L$3-$O$2,$Q$2)/$Q$2))</f>
        <v>4196.1035475682</v>
      </c>
      <c r="M564" s="15" t="n">
        <f aca="false">L564*(1+IF(M$3&lt;=$O$2,$D564,$D564-($D564-$I$562)*MIN(M$3-$O$2,$Q$2)/$Q$2))</f>
        <v>4534.4773376441</v>
      </c>
      <c r="N564" s="15" t="n">
        <f aca="false">M564*(1+IF(N$3&lt;=$O$2,$D564,$D564-($D564-$I$562)*MIN(N$3-$O$2,$Q$2)/$Q$2))</f>
        <v>4708.14781967587</v>
      </c>
      <c r="O564" s="15" t="n">
        <f aca="false">SUMPRODUCT(E564:N564,1/(1+$F$562)^$E$3:$N$3)*$E$2</f>
        <v>3920.01075822171</v>
      </c>
      <c r="P564" s="15" t="n">
        <f aca="false">N564*$E$2*(1+$I$562)/($F$562-$I$562)/(1+$F$562)^$N$3</f>
        <v>11176.4861680929</v>
      </c>
      <c r="Q564" s="15" t="n">
        <f aca="false">O564+P564</f>
        <v>15096.4969263146</v>
      </c>
      <c r="R564" s="15" t="n">
        <f aca="false">Q564-$G$2+$I$2</f>
        <v>15263.8969263146</v>
      </c>
      <c r="S564" s="42" t="n">
        <f aca="false">R564/$K$2</f>
        <v>433.756661731021</v>
      </c>
      <c r="T564" s="43" t="n">
        <f aca="false">S564-$M$2</f>
        <v>269.221282361882</v>
      </c>
    </row>
    <row r="565" customFormat="false" ht="15" hidden="false" customHeight="false" outlineLevel="0" collapsed="false">
      <c r="A565" s="5" t="n">
        <v>2</v>
      </c>
      <c r="B565" s="25" t="n">
        <f aca="false">IF(T564&gt;0,B564,D564)</f>
        <v>-0.5</v>
      </c>
      <c r="C565" s="25" t="n">
        <f aca="false">IF(T564&gt;0,D564,C564)</f>
        <v>0.25</v>
      </c>
      <c r="D565" s="41" t="n">
        <f aca="false">(B565+C565)/2</f>
        <v>-0.125</v>
      </c>
      <c r="E565" s="15" t="n">
        <f aca="false">$C$2*(1+IF(E$3&lt;=$O$2,$D565,$D565-($D565-$I$562)*MIN(E$3-$O$2,$Q$2)/$Q$2))</f>
        <v>761.27625</v>
      </c>
      <c r="F565" s="15" t="n">
        <f aca="false">E565*(1+IF(F$3&lt;=$O$2,$D565,$D565-($D565-$I$562)*MIN(F$3-$O$2,$Q$2)/$Q$2))</f>
        <v>666.11671875</v>
      </c>
      <c r="G565" s="15" t="n">
        <f aca="false">F565*(1+IF(G$3&lt;=$O$2,$D565,$D565-($D565-$I$562)*MIN(G$3-$O$2,$Q$2)/$Q$2))</f>
        <v>582.85212890625</v>
      </c>
      <c r="H565" s="15" t="n">
        <f aca="false">G565*(1+IF(H$3&lt;=$O$2,$D565,$D565-($D565-$I$562)*MIN(H$3-$O$2,$Q$2)/$Q$2))</f>
        <v>509.995612792969</v>
      </c>
      <c r="I565" s="15" t="n">
        <f aca="false">H565*(1+IF(I$3&lt;=$O$2,$D565,$D565-($D565-$I$562)*MIN(I$3-$O$2,$Q$2)/$Q$2))</f>
        <v>446.246161193848</v>
      </c>
      <c r="J565" s="15" t="n">
        <f aca="false">I565*(1+IF(J$3&lt;=$O$2,$D565,$D565-($D565-$I$562)*MIN(J$3-$O$2,$Q$2)/$Q$2))</f>
        <v>405.039790669208</v>
      </c>
      <c r="K565" s="15" t="n">
        <f aca="false">J565*(1+IF(K$3&lt;=$O$2,$D565,$D565-($D565-$I$562)*MIN(K$3-$O$2,$Q$2)/$Q$2))</f>
        <v>380.86701596207</v>
      </c>
      <c r="L565" s="15" t="n">
        <f aca="false">K565*(1+IF(L$3&lt;=$O$2,$D565,$D565-($D565-$I$562)*MIN(L$3-$O$2,$Q$2)/$Q$2))</f>
        <v>370.575989190774</v>
      </c>
      <c r="M565" s="15" t="n">
        <f aca="false">L565*(1+IF(M$3&lt;=$O$2,$D565,$D565-($D565-$I$562)*MIN(M$3-$O$2,$Q$2)/$Q$2))</f>
        <v>372.66603776981</v>
      </c>
      <c r="N565" s="15" t="n">
        <f aca="false">M565*(1+IF(N$3&lt;=$O$2,$D565,$D565-($D565-$I$562)*MIN(N$3-$O$2,$Q$2)/$Q$2))</f>
        <v>386.939147016394</v>
      </c>
      <c r="O565" s="15" t="n">
        <f aca="false">SUMPRODUCT(E565:N565,1/(1+$F$562)^$E$3:$N$3)*$E$2</f>
        <v>765.421368677006</v>
      </c>
      <c r="P565" s="15" t="n">
        <f aca="false">N565*$E$2*(1+$I$562)/($F$562-$I$562)/(1+$F$562)^$N$3</f>
        <v>918.539559537478</v>
      </c>
      <c r="Q565" s="15" t="n">
        <f aca="false">O565+P565</f>
        <v>1683.96092821448</v>
      </c>
      <c r="R565" s="15" t="n">
        <f aca="false">Q565-$G$2+$I$2</f>
        <v>1851.36092821448</v>
      </c>
      <c r="S565" s="42" t="n">
        <f aca="false">R565/$K$2</f>
        <v>52.6104270592351</v>
      </c>
      <c r="T565" s="43" t="n">
        <f aca="false">S565-$M$2</f>
        <v>-111.924952309904</v>
      </c>
    </row>
    <row r="566" customFormat="false" ht="15" hidden="false" customHeight="false" outlineLevel="0" collapsed="false">
      <c r="A566" s="5" t="n">
        <v>3</v>
      </c>
      <c r="B566" s="25" t="n">
        <f aca="false">IF(T565&gt;0,B565,D565)</f>
        <v>-0.125</v>
      </c>
      <c r="C566" s="25" t="n">
        <f aca="false">IF(T565&gt;0,D565,C565)</f>
        <v>0.25</v>
      </c>
      <c r="D566" s="41" t="n">
        <f aca="false">(B566+C566)/2</f>
        <v>0.0625</v>
      </c>
      <c r="E566" s="15" t="n">
        <f aca="false">$C$2*(1+IF(E$3&lt;=$O$2,$D566,$D566-($D566-$I$562)*MIN(E$3-$O$2,$Q$2)/$Q$2))</f>
        <v>924.406875</v>
      </c>
      <c r="F566" s="15" t="n">
        <f aca="false">E566*(1+IF(F$3&lt;=$O$2,$D566,$D566-($D566-$I$562)*MIN(F$3-$O$2,$Q$2)/$Q$2))</f>
        <v>982.1823046875</v>
      </c>
      <c r="G566" s="15" t="n">
        <f aca="false">F566*(1+IF(G$3&lt;=$O$2,$D566,$D566-($D566-$I$562)*MIN(G$3-$O$2,$Q$2)/$Q$2))</f>
        <v>1043.56869873047</v>
      </c>
      <c r="H566" s="15" t="n">
        <f aca="false">G566*(1+IF(H$3&lt;=$O$2,$D566,$D566-($D566-$I$562)*MIN(H$3-$O$2,$Q$2)/$Q$2))</f>
        <v>1108.79174240112</v>
      </c>
      <c r="I566" s="15" t="n">
        <f aca="false">H566*(1+IF(I$3&lt;=$O$2,$D566,$D566-($D566-$I$562)*MIN(I$3-$O$2,$Q$2)/$Q$2))</f>
        <v>1178.09122630119</v>
      </c>
      <c r="J566" s="15" t="n">
        <f aca="false">I566*(1+IF(J$3&lt;=$O$2,$D566,$D566-($D566-$I$562)*MIN(J$3-$O$2,$Q$2)/$Q$2))</f>
        <v>1246.01996640972</v>
      </c>
      <c r="K566" s="15" t="n">
        <f aca="false">J566*(1+IF(K$3&lt;=$O$2,$D566,$D566-($D566-$I$562)*MIN(K$3-$O$2,$Q$2)/$Q$2))</f>
        <v>1311.83474103548</v>
      </c>
      <c r="L566" s="15" t="n">
        <f aca="false">K566*(1+IF(L$3&lt;=$O$2,$D566,$D566-($D566-$I$562)*MIN(L$3-$O$2,$Q$2)/$Q$2))</f>
        <v>1374.77657191036</v>
      </c>
      <c r="M566" s="15" t="n">
        <f aca="false">L566*(1+IF(M$3&lt;=$O$2,$D566,$D566-($D566-$I$562)*MIN(M$3-$O$2,$Q$2)/$Q$2))</f>
        <v>1434.08443322258</v>
      </c>
      <c r="N566" s="15" t="n">
        <f aca="false">M566*(1+IF(N$3&lt;=$O$2,$D566,$D566-($D566-$I$562)*MIN(N$3-$O$2,$Q$2)/$Q$2))</f>
        <v>1489.009867015</v>
      </c>
      <c r="O566" s="15" t="n">
        <f aca="false">SUMPRODUCT(E566:N566,1/(1+$F$562)^$E$3:$N$3)*$E$2</f>
        <v>1730.29159709055</v>
      </c>
      <c r="P566" s="15" t="n">
        <f aca="false">N566*$E$2*(1+$I$562)/($F$562-$I$562)/(1+$F$562)^$N$3</f>
        <v>3534.70171715908</v>
      </c>
      <c r="Q566" s="15" t="n">
        <f aca="false">O566+P566</f>
        <v>5264.99331424963</v>
      </c>
      <c r="R566" s="15" t="n">
        <f aca="false">Q566-$G$2+$I$2</f>
        <v>5432.39331424963</v>
      </c>
      <c r="S566" s="42" t="n">
        <f aca="false">R566/$K$2</f>
        <v>154.373211544462</v>
      </c>
      <c r="T566" s="43" t="n">
        <f aca="false">S566-$M$2</f>
        <v>-10.1621678246766</v>
      </c>
    </row>
    <row r="567" customFormat="false" ht="15" hidden="false" customHeight="false" outlineLevel="0" collapsed="false">
      <c r="A567" s="5" t="n">
        <v>4</v>
      </c>
      <c r="B567" s="25" t="n">
        <f aca="false">IF(T566&gt;0,B566,D566)</f>
        <v>0.0625</v>
      </c>
      <c r="C567" s="25" t="n">
        <f aca="false">IF(T566&gt;0,D566,C566)</f>
        <v>0.25</v>
      </c>
      <c r="D567" s="41" t="n">
        <f aca="false">(B567+C567)/2</f>
        <v>0.15625</v>
      </c>
      <c r="E567" s="15" t="n">
        <f aca="false">$C$2*(1+IF(E$3&lt;=$O$2,$D567,$D567-($D567-$I$562)*MIN(E$3-$O$2,$Q$2)/$Q$2))</f>
        <v>1005.9721875</v>
      </c>
      <c r="F567" s="15" t="n">
        <f aca="false">E567*(1+IF(F$3&lt;=$O$2,$D567,$D567-($D567-$I$562)*MIN(F$3-$O$2,$Q$2)/$Q$2))</f>
        <v>1163.15534179688</v>
      </c>
      <c r="G567" s="15" t="n">
        <f aca="false">F567*(1+IF(G$3&lt;=$O$2,$D567,$D567-($D567-$I$562)*MIN(G$3-$O$2,$Q$2)/$Q$2))</f>
        <v>1344.89836395264</v>
      </c>
      <c r="H567" s="15" t="n">
        <f aca="false">G567*(1+IF(H$3&lt;=$O$2,$D567,$D567-($D567-$I$562)*MIN(H$3-$O$2,$Q$2)/$Q$2))</f>
        <v>1555.03873332024</v>
      </c>
      <c r="I567" s="15" t="n">
        <f aca="false">H567*(1+IF(I$3&lt;=$O$2,$D567,$D567-($D567-$I$562)*MIN(I$3-$O$2,$Q$2)/$Q$2))</f>
        <v>1798.01353540152</v>
      </c>
      <c r="J567" s="15" t="n">
        <f aca="false">I567*(1+IF(J$3&lt;=$O$2,$D567,$D567-($D567-$I$562)*MIN(J$3-$O$2,$Q$2)/$Q$2))</f>
        <v>2036.53801100789</v>
      </c>
      <c r="K567" s="15" t="n">
        <f aca="false">J567*(1+IF(K$3&lt;=$O$2,$D567,$D567-($D567-$I$562)*MIN(K$3-$O$2,$Q$2)/$Q$2))</f>
        <v>2258.66321186852</v>
      </c>
      <c r="L567" s="15" t="n">
        <f aca="false">K567*(1+IF(L$3&lt;=$O$2,$D567,$D567-($D567-$I$562)*MIN(L$3-$O$2,$Q$2)/$Q$2))</f>
        <v>2451.73374321904</v>
      </c>
      <c r="M567" s="15" t="n">
        <f aca="false">L567*(1+IF(M$3&lt;=$O$2,$D567,$D567-($D567-$I$562)*MIN(M$3-$O$2,$Q$2)/$Q$2))</f>
        <v>2603.47154458687</v>
      </c>
      <c r="N567" s="15" t="n">
        <f aca="false">M567*(1+IF(N$3&lt;=$O$2,$D567,$D567-($D567-$I$562)*MIN(N$3-$O$2,$Q$2)/$Q$2))</f>
        <v>2703.18450474454</v>
      </c>
      <c r="O567" s="15" t="n">
        <f aca="false">SUMPRODUCT(E567:N567,1/(1+$F$562)^$E$3:$N$3)*$E$2</f>
        <v>2609.69346111211</v>
      </c>
      <c r="P567" s="15" t="n">
        <f aca="false">N567*$E$2*(1+$I$562)/($F$562-$I$562)/(1+$F$562)^$N$3</f>
        <v>6416.98293771084</v>
      </c>
      <c r="Q567" s="15" t="n">
        <f aca="false">O567+P567</f>
        <v>9026.67639882295</v>
      </c>
      <c r="R567" s="15" t="n">
        <f aca="false">Q567-$G$2+$I$2</f>
        <v>9194.07639882295</v>
      </c>
      <c r="S567" s="42" t="n">
        <f aca="false">R567/$K$2</f>
        <v>261.269576550809</v>
      </c>
      <c r="T567" s="43" t="n">
        <f aca="false">S567-$M$2</f>
        <v>96.7341971816696</v>
      </c>
    </row>
    <row r="568" customFormat="false" ht="15" hidden="false" customHeight="false" outlineLevel="0" collapsed="false">
      <c r="A568" s="5" t="n">
        <v>5</v>
      </c>
      <c r="B568" s="25" t="n">
        <f aca="false">IF(T567&gt;0,B567,D567)</f>
        <v>0.0625</v>
      </c>
      <c r="C568" s="25" t="n">
        <f aca="false">IF(T567&gt;0,D567,C567)</f>
        <v>0.15625</v>
      </c>
      <c r="D568" s="41" t="n">
        <f aca="false">(B568+C568)/2</f>
        <v>0.109375</v>
      </c>
      <c r="E568" s="15" t="n">
        <f aca="false">$C$2*(1+IF(E$3&lt;=$O$2,$D568,$D568-($D568-$I$562)*MIN(E$3-$O$2,$Q$2)/$Q$2))</f>
        <v>965.18953125</v>
      </c>
      <c r="F568" s="15" t="n">
        <f aca="false">E568*(1+IF(F$3&lt;=$O$2,$D568,$D568-($D568-$I$562)*MIN(F$3-$O$2,$Q$2)/$Q$2))</f>
        <v>1070.75713623047</v>
      </c>
      <c r="G568" s="15" t="n">
        <f aca="false">F568*(1+IF(G$3&lt;=$O$2,$D568,$D568-($D568-$I$562)*MIN(G$3-$O$2,$Q$2)/$Q$2))</f>
        <v>1187.87119800568</v>
      </c>
      <c r="H568" s="15" t="n">
        <f aca="false">G568*(1+IF(H$3&lt;=$O$2,$D568,$D568-($D568-$I$562)*MIN(H$3-$O$2,$Q$2)/$Q$2))</f>
        <v>1317.79461028755</v>
      </c>
      <c r="I568" s="15" t="n">
        <f aca="false">H568*(1+IF(I$3&lt;=$O$2,$D568,$D568-($D568-$I$562)*MIN(I$3-$O$2,$Q$2)/$Q$2))</f>
        <v>1461.92839578775</v>
      </c>
      <c r="J568" s="15" t="n">
        <f aca="false">I568*(1+IF(J$3&lt;=$O$2,$D568,$D568-($D568-$I$562)*MIN(J$3-$O$2,$Q$2)/$Q$2))</f>
        <v>1601.04550193091</v>
      </c>
      <c r="K568" s="15" t="n">
        <f aca="false">J568*(1+IF(K$3&lt;=$O$2,$D568,$D568-($D568-$I$562)*MIN(K$3-$O$2,$Q$2)/$Q$2))</f>
        <v>1730.64213008471</v>
      </c>
      <c r="L568" s="15" t="n">
        <f aca="false">K568*(1+IF(L$3&lt;=$O$2,$D568,$D568-($D568-$I$562)*MIN(L$3-$O$2,$Q$2)/$Q$2))</f>
        <v>1846.12787942526</v>
      </c>
      <c r="M568" s="15" t="n">
        <f aca="false">L568*(1+IF(M$3&lt;=$O$2,$D568,$D568-($D568-$I$562)*MIN(M$3-$O$2,$Q$2)/$Q$2))</f>
        <v>1943.07728501328</v>
      </c>
      <c r="N568" s="15" t="n">
        <f aca="false">M568*(1+IF(N$3&lt;=$O$2,$D568,$D568-($D568-$I$562)*MIN(N$3-$O$2,$Q$2)/$Q$2))</f>
        <v>2017.49714502929</v>
      </c>
      <c r="O568" s="15" t="n">
        <f aca="false">SUMPRODUCT(E568:N568,1/(1+$F$562)^$E$3:$N$3)*$E$2</f>
        <v>2125.52451783051</v>
      </c>
      <c r="P568" s="15" t="n">
        <f aca="false">N568*$E$2*(1+$I$562)/($F$562-$I$562)/(1+$F$562)^$N$3</f>
        <v>4789.25679464736</v>
      </c>
      <c r="Q568" s="15" t="n">
        <f aca="false">O568+P568</f>
        <v>6914.78131247787</v>
      </c>
      <c r="R568" s="15" t="n">
        <f aca="false">Q568-$G$2+$I$2</f>
        <v>7082.18131247787</v>
      </c>
      <c r="S568" s="42" t="n">
        <f aca="false">R568/$K$2</f>
        <v>201.255507600963</v>
      </c>
      <c r="T568" s="43" t="n">
        <f aca="false">S568-$M$2</f>
        <v>36.7201282318236</v>
      </c>
    </row>
    <row r="569" customFormat="false" ht="15" hidden="false" customHeight="false" outlineLevel="0" collapsed="false">
      <c r="A569" s="5" t="n">
        <v>6</v>
      </c>
      <c r="B569" s="25" t="n">
        <f aca="false">IF(T568&gt;0,B568,D568)</f>
        <v>0.0625</v>
      </c>
      <c r="C569" s="25" t="n">
        <f aca="false">IF(T568&gt;0,D568,C568)</f>
        <v>0.109375</v>
      </c>
      <c r="D569" s="41" t="n">
        <f aca="false">(B569+C569)/2</f>
        <v>0.0859375</v>
      </c>
      <c r="E569" s="15" t="n">
        <f aca="false">$C$2*(1+IF(E$3&lt;=$O$2,$D569,$D569-($D569-$I$562)*MIN(E$3-$O$2,$Q$2)/$Q$2))</f>
        <v>944.798203125</v>
      </c>
      <c r="F569" s="15" t="n">
        <f aca="false">E569*(1+IF(F$3&lt;=$O$2,$D569,$D569-($D569-$I$562)*MIN(F$3-$O$2,$Q$2)/$Q$2))</f>
        <v>1025.99179870605</v>
      </c>
      <c r="G569" s="15" t="n">
        <f aca="false">F569*(1+IF(G$3&lt;=$O$2,$D569,$D569-($D569-$I$562)*MIN(G$3-$O$2,$Q$2)/$Q$2))</f>
        <v>1114.16296890736</v>
      </c>
      <c r="H569" s="15" t="n">
        <f aca="false">G569*(1+IF(H$3&lt;=$O$2,$D569,$D569-($D569-$I$562)*MIN(H$3-$O$2,$Q$2)/$Q$2))</f>
        <v>1209.91134904783</v>
      </c>
      <c r="I569" s="15" t="n">
        <f aca="false">H569*(1+IF(I$3&lt;=$O$2,$D569,$D569-($D569-$I$562)*MIN(I$3-$O$2,$Q$2)/$Q$2))</f>
        <v>1313.88810560663</v>
      </c>
      <c r="J569" s="15" t="n">
        <f aca="false">I569*(1+IF(J$3&lt;=$O$2,$D569,$D569-($D569-$I$562)*MIN(J$3-$O$2,$Q$2)/$Q$2))</f>
        <v>1414.28229575603</v>
      </c>
      <c r="K569" s="15" t="n">
        <f aca="false">J569*(1+IF(K$3&lt;=$O$2,$D569,$D569-($D569-$I$562)*MIN(K$3-$O$2,$Q$2)/$Q$2))</f>
        <v>1508.87303140194</v>
      </c>
      <c r="L569" s="15" t="n">
        <f aca="false">K569*(1+IF(L$3&lt;=$O$2,$D569,$D569-($D569-$I$562)*MIN(L$3-$O$2,$Q$2)/$Q$2))</f>
        <v>1595.41444411799</v>
      </c>
      <c r="M569" s="15" t="n">
        <f aca="false">L569*(1+IF(M$3&lt;=$O$2,$D569,$D569-($D569-$I$562)*MIN(M$3-$O$2,$Q$2)/$Q$2))</f>
        <v>1671.71912844405</v>
      </c>
      <c r="N569" s="15" t="n">
        <f aca="false">M569*(1+IF(N$3&lt;=$O$2,$D569,$D569-($D569-$I$562)*MIN(N$3-$O$2,$Q$2)/$Q$2))</f>
        <v>1735.74597106345</v>
      </c>
      <c r="O569" s="15" t="n">
        <f aca="false">SUMPRODUCT(E569:N569,1/(1+$F$562)^$E$3:$N$3)*$E$2</f>
        <v>1917.8085020082</v>
      </c>
      <c r="P569" s="15" t="n">
        <f aca="false">N569*$E$2*(1+$I$562)/($F$562-$I$562)/(1+$F$562)^$N$3</f>
        <v>4120.41881009787</v>
      </c>
      <c r="Q569" s="15" t="n">
        <f aca="false">O569+P569</f>
        <v>6038.22731210608</v>
      </c>
      <c r="R569" s="15" t="n">
        <f aca="false">Q569-$G$2+$I$2</f>
        <v>6205.62731210608</v>
      </c>
      <c r="S569" s="42" t="n">
        <f aca="false">R569/$K$2</f>
        <v>176.346328846436</v>
      </c>
      <c r="T569" s="43" t="n">
        <f aca="false">S569-$M$2</f>
        <v>11.8109494772968</v>
      </c>
    </row>
    <row r="570" customFormat="false" ht="15" hidden="false" customHeight="false" outlineLevel="0" collapsed="false">
      <c r="A570" s="5" t="n">
        <v>7</v>
      </c>
      <c r="B570" s="25" t="n">
        <f aca="false">IF(T569&gt;0,B569,D569)</f>
        <v>0.0625</v>
      </c>
      <c r="C570" s="25" t="n">
        <f aca="false">IF(T569&gt;0,D569,C569)</f>
        <v>0.0859375</v>
      </c>
      <c r="D570" s="41" t="n">
        <f aca="false">(B570+C570)/2</f>
        <v>0.07421875</v>
      </c>
      <c r="E570" s="15" t="n">
        <f aca="false">$C$2*(1+IF(E$3&lt;=$O$2,$D570,$D570-($D570-$I$562)*MIN(E$3-$O$2,$Q$2)/$Q$2))</f>
        <v>934.6025390625</v>
      </c>
      <c r="F570" s="15" t="n">
        <f aca="false">E570*(1+IF(F$3&lt;=$O$2,$D570,$D570-($D570-$I$562)*MIN(F$3-$O$2,$Q$2)/$Q$2))</f>
        <v>1003.96757125854</v>
      </c>
      <c r="G570" s="15" t="n">
        <f aca="false">F570*(1+IF(G$3&lt;=$O$2,$D570,$D570-($D570-$I$562)*MIN(G$3-$O$2,$Q$2)/$Q$2))</f>
        <v>1078.48078943789</v>
      </c>
      <c r="H570" s="15" t="n">
        <f aca="false">G570*(1+IF(H$3&lt;=$O$2,$D570,$D570-($D570-$I$562)*MIN(H$3-$O$2,$Q$2)/$Q$2))</f>
        <v>1158.52428552898</v>
      </c>
      <c r="I570" s="15" t="n">
        <f aca="false">H570*(1+IF(I$3&lt;=$O$2,$D570,$D570-($D570-$I$562)*MIN(I$3-$O$2,$Q$2)/$Q$2))</f>
        <v>1244.50850984559</v>
      </c>
      <c r="J570" s="15" t="n">
        <f aca="false">I570*(1+IF(J$3&lt;=$O$2,$D570,$D570-($D570-$I$562)*MIN(J$3-$O$2,$Q$2)/$Q$2))</f>
        <v>1327.93413780309</v>
      </c>
      <c r="K570" s="15" t="n">
        <f aca="false">J570*(1+IF(K$3&lt;=$O$2,$D570,$D570-($D570-$I$562)*MIN(K$3-$O$2,$Q$2)/$Q$2))</f>
        <v>1407.41265586827</v>
      </c>
      <c r="L570" s="15" t="n">
        <f aca="false">K570*(1+IF(L$3&lt;=$O$2,$D570,$D570-($D570-$I$562)*MIN(L$3-$O$2,$Q$2)/$Q$2))</f>
        <v>1481.53756192122</v>
      </c>
      <c r="M570" s="15" t="n">
        <f aca="false">L570*(1+IF(M$3&lt;=$O$2,$D570,$D570-($D570-$I$562)*MIN(M$3-$O$2,$Q$2)/$Q$2))</f>
        <v>1548.92344600325</v>
      </c>
      <c r="N570" s="15" t="n">
        <f aca="false">M570*(1+IF(N$3&lt;=$O$2,$D570,$D570-($D570-$I$562)*MIN(N$3-$O$2,$Q$2)/$Q$2))</f>
        <v>1608.24721398517</v>
      </c>
      <c r="O570" s="15" t="n">
        <f aca="false">SUMPRODUCT(E570:N570,1/(1+$F$562)^$E$3:$N$3)*$E$2</f>
        <v>1821.64346724534</v>
      </c>
      <c r="P570" s="15" t="n">
        <f aca="false">N570*$E$2*(1+$I$562)/($F$562-$I$562)/(1+$F$562)^$N$3</f>
        <v>3817.75454603648</v>
      </c>
      <c r="Q570" s="15" t="n">
        <f aca="false">O570+P570</f>
        <v>5639.39801328183</v>
      </c>
      <c r="R570" s="15" t="n">
        <f aca="false">Q570-$G$2+$I$2</f>
        <v>5806.79801328183</v>
      </c>
      <c r="S570" s="42" t="n">
        <f aca="false">R570/$K$2</f>
        <v>165.012731266889</v>
      </c>
      <c r="T570" s="43" t="n">
        <f aca="false">S570-$M$2</f>
        <v>0.47735189775014</v>
      </c>
    </row>
    <row r="571" customFormat="false" ht="15" hidden="false" customHeight="false" outlineLevel="0" collapsed="false">
      <c r="A571" s="5" t="n">
        <v>8</v>
      </c>
      <c r="B571" s="25" t="n">
        <f aca="false">IF(T570&gt;0,B570,D570)</f>
        <v>0.0625</v>
      </c>
      <c r="C571" s="25" t="n">
        <f aca="false">IF(T570&gt;0,D570,C570)</f>
        <v>0.07421875</v>
      </c>
      <c r="D571" s="41" t="n">
        <f aca="false">(B571+C571)/2</f>
        <v>0.068359375</v>
      </c>
      <c r="E571" s="15" t="n">
        <f aca="false">$C$2*(1+IF(E$3&lt;=$O$2,$D571,$D571-($D571-$I$562)*MIN(E$3-$O$2,$Q$2)/$Q$2))</f>
        <v>929.50470703125</v>
      </c>
      <c r="F571" s="15" t="n">
        <f aca="false">E571*(1+IF(F$3&lt;=$O$2,$D571,$D571-($D571-$I$562)*MIN(F$3-$O$2,$Q$2)/$Q$2))</f>
        <v>993.045067863464</v>
      </c>
      <c r="G571" s="15" t="n">
        <f aca="false">F571*(1+IF(G$3&lt;=$O$2,$D571,$D571-($D571-$I$562)*MIN(G$3-$O$2,$Q$2)/$Q$2))</f>
        <v>1060.92900804944</v>
      </c>
      <c r="H571" s="15" t="n">
        <f aca="false">G571*(1+IF(H$3&lt;=$O$2,$D571,$D571-($D571-$I$562)*MIN(H$3-$O$2,$Q$2)/$Q$2))</f>
        <v>1133.45345195907</v>
      </c>
      <c r="I571" s="15" t="n">
        <f aca="false">H571*(1+IF(I$3&lt;=$O$2,$D571,$D571-($D571-$I$562)*MIN(I$3-$O$2,$Q$2)/$Q$2))</f>
        <v>1210.93562152659</v>
      </c>
      <c r="J571" s="15" t="n">
        <f aca="false">I571*(1+IF(J$3&lt;=$O$2,$D571,$D571-($D571-$I$562)*MIN(J$3-$O$2,$Q$2)/$Q$2))</f>
        <v>1286.43443018972</v>
      </c>
      <c r="K571" s="15" t="n">
        <f aca="false">J571*(1+IF(K$3&lt;=$O$2,$D571,$D571-($D571-$I$562)*MIN(K$3-$O$2,$Q$2)/$Q$2))</f>
        <v>1358.90651783597</v>
      </c>
      <c r="L571" s="15" t="n">
        <f aca="false">K571*(1+IF(L$3&lt;=$O$2,$D571,$D571-($D571-$I$562)*MIN(L$3-$O$2,$Q$2)/$Q$2))</f>
        <v>1427.29178971292</v>
      </c>
      <c r="M571" s="15" t="n">
        <f aca="false">L571*(1+IF(M$3&lt;=$O$2,$D571,$D571-($D571-$I$562)*MIN(M$3-$O$2,$Q$2)/$Q$2))</f>
        <v>1490.53776508721</v>
      </c>
      <c r="N571" s="15" t="n">
        <f aca="false">M571*(1+IF(N$3&lt;=$O$2,$D571,$D571-($D571-$I$562)*MIN(N$3-$O$2,$Q$2)/$Q$2))</f>
        <v>1547.62536149005</v>
      </c>
      <c r="O571" s="15" t="n">
        <f aca="false">SUMPRODUCT(E571:N571,1/(1+$F$562)^$E$3:$N$3)*$E$2</f>
        <v>1775.38014784962</v>
      </c>
      <c r="P571" s="15" t="n">
        <f aca="false">N571*$E$2*(1+$I$562)/($F$562-$I$562)/(1+$F$562)^$N$3</f>
        <v>3673.84672456485</v>
      </c>
      <c r="Q571" s="15" t="n">
        <f aca="false">O571+P571</f>
        <v>5449.22687241447</v>
      </c>
      <c r="R571" s="15" t="n">
        <f aca="false">Q571-$G$2+$I$2</f>
        <v>5616.62687241447</v>
      </c>
      <c r="S571" s="42" t="n">
        <f aca="false">R571/$K$2</f>
        <v>159.608606775063</v>
      </c>
      <c r="T571" s="43" t="n">
        <f aca="false">S571-$M$2</f>
        <v>-4.92677259407591</v>
      </c>
    </row>
    <row r="572" customFormat="false" ht="15" hidden="false" customHeight="false" outlineLevel="0" collapsed="false">
      <c r="A572" s="5" t="n">
        <v>9</v>
      </c>
      <c r="B572" s="25" t="n">
        <f aca="false">IF(T571&gt;0,B571,D571)</f>
        <v>0.068359375</v>
      </c>
      <c r="C572" s="25" t="n">
        <f aca="false">IF(T571&gt;0,D571,C571)</f>
        <v>0.07421875</v>
      </c>
      <c r="D572" s="41" t="n">
        <f aca="false">(B572+C572)/2</f>
        <v>0.0712890625</v>
      </c>
      <c r="E572" s="15" t="n">
        <f aca="false">$C$2*(1+IF(E$3&lt;=$O$2,$D572,$D572-($D572-$I$562)*MIN(E$3-$O$2,$Q$2)/$Q$2))</f>
        <v>932.053623046875</v>
      </c>
      <c r="F572" s="15" t="n">
        <f aca="false">E572*(1+IF(F$3&lt;=$O$2,$D572,$D572-($D572-$I$562)*MIN(F$3-$O$2,$Q$2)/$Q$2))</f>
        <v>998.498852033615</v>
      </c>
      <c r="G572" s="15" t="n">
        <f aca="false">F572*(1+IF(G$3&lt;=$O$2,$D572,$D572-($D572-$I$562)*MIN(G$3-$O$2,$Q$2)/$Q$2))</f>
        <v>1069.68089910242</v>
      </c>
      <c r="H572" s="15" t="n">
        <f aca="false">G572*(1+IF(H$3&lt;=$O$2,$D572,$D572-($D572-$I$562)*MIN(H$3-$O$2,$Q$2)/$Q$2))</f>
        <v>1145.93744757359</v>
      </c>
      <c r="I572" s="15" t="n">
        <f aca="false">H572*(1+IF(I$3&lt;=$O$2,$D572,$D572-($D572-$I$562)*MIN(I$3-$O$2,$Q$2)/$Q$2))</f>
        <v>1227.63025389475</v>
      </c>
      <c r="J572" s="15" t="n">
        <f aca="false">I572*(1+IF(J$3&lt;=$O$2,$D572,$D572-($D572-$I$562)*MIN(J$3-$O$2,$Q$2)/$Q$2))</f>
        <v>1307.04718955702</v>
      </c>
      <c r="K572" s="15" t="n">
        <f aca="false">J572*(1+IF(K$3&lt;=$O$2,$D572,$D572-($D572-$I$562)*MIN(K$3-$O$2,$Q$2)/$Q$2))</f>
        <v>1382.9780537731</v>
      </c>
      <c r="L572" s="15" t="n">
        <f aca="false">K572*(1+IF(L$3&lt;=$O$2,$D572,$D572-($D572-$I$562)*MIN(L$3-$O$2,$Q$2)/$Q$2))</f>
        <v>1454.19537301343</v>
      </c>
      <c r="M572" s="15" t="n">
        <f aca="false">L572*(1+IF(M$3&lt;=$O$2,$D572,$D572-($D572-$I$562)*MIN(M$3-$O$2,$Q$2)/$Q$2))</f>
        <v>1519.48556420935</v>
      </c>
      <c r="N572" s="15" t="n">
        <f aca="false">M572*(1+IF(N$3&lt;=$O$2,$D572,$D572-($D572-$I$562)*MIN(N$3-$O$2,$Q$2)/$Q$2))</f>
        <v>1577.68186131857</v>
      </c>
      <c r="O572" s="15" t="n">
        <f aca="false">SUMPRODUCT(E572:N572,1/(1+$F$562)^$E$3:$N$3)*$E$2</f>
        <v>1798.36320182342</v>
      </c>
      <c r="P572" s="15" t="n">
        <f aca="false">N572*$E$2*(1+$I$562)/($F$562-$I$562)/(1+$F$562)^$N$3</f>
        <v>3745.19666247269</v>
      </c>
      <c r="Q572" s="15" t="n">
        <f aca="false">O572+P572</f>
        <v>5543.55986429611</v>
      </c>
      <c r="R572" s="15" t="n">
        <f aca="false">Q572-$G$2+$I$2</f>
        <v>5710.95986429611</v>
      </c>
      <c r="S572" s="42" t="n">
        <f aca="false">R572/$K$2</f>
        <v>162.289282872865</v>
      </c>
      <c r="T572" s="43" t="n">
        <f aca="false">S572-$M$2</f>
        <v>-2.24609649627428</v>
      </c>
    </row>
    <row r="573" customFormat="false" ht="15" hidden="false" customHeight="false" outlineLevel="0" collapsed="false">
      <c r="A573" s="5" t="n">
        <v>10</v>
      </c>
      <c r="B573" s="25" t="n">
        <f aca="false">IF(T572&gt;0,B572,D572)</f>
        <v>0.0712890625</v>
      </c>
      <c r="C573" s="25" t="n">
        <f aca="false">IF(T572&gt;0,D572,C572)</f>
        <v>0.07421875</v>
      </c>
      <c r="D573" s="41" t="n">
        <f aca="false">(B573+C573)/2</f>
        <v>0.07275390625</v>
      </c>
      <c r="E573" s="15" t="n">
        <f aca="false">$C$2*(1+IF(E$3&lt;=$O$2,$D573,$D573-($D573-$I$562)*MIN(E$3-$O$2,$Q$2)/$Q$2))</f>
        <v>933.328081054688</v>
      </c>
      <c r="F573" s="15" t="n">
        <f aca="false">E573*(1+IF(F$3&lt;=$O$2,$D573,$D573-($D573-$I$562)*MIN(F$3-$O$2,$Q$2)/$Q$2))</f>
        <v>1001.23134476423</v>
      </c>
      <c r="G573" s="15" t="n">
        <f aca="false">F573*(1+IF(G$3&lt;=$O$2,$D573,$D573-($D573-$I$562)*MIN(G$3-$O$2,$Q$2)/$Q$2))</f>
        <v>1074.07483615577</v>
      </c>
      <c r="H573" s="15" t="n">
        <f aca="false">G573*(1+IF(H$3&lt;=$O$2,$D573,$D573-($D573-$I$562)*MIN(H$3-$O$2,$Q$2)/$Q$2))</f>
        <v>1152.21797609093</v>
      </c>
      <c r="I573" s="15" t="n">
        <f aca="false">H573*(1+IF(I$3&lt;=$O$2,$D573,$D573-($D573-$I$562)*MIN(I$3-$O$2,$Q$2)/$Q$2))</f>
        <v>1236.04633470302</v>
      </c>
      <c r="J573" s="15" t="n">
        <f aca="false">I573*(1+IF(J$3&lt;=$O$2,$D573,$D573-($D573-$I$562)*MIN(J$3-$O$2,$Q$2)/$Q$2))</f>
        <v>1317.45620895135</v>
      </c>
      <c r="K573" s="15" t="n">
        <f aca="false">J573*(1+IF(K$3&lt;=$O$2,$D573,$D573-($D573-$I$562)*MIN(K$3-$O$2,$Q$2)/$Q$2))</f>
        <v>1395.1496893812</v>
      </c>
      <c r="L573" s="15" t="n">
        <f aca="false">K573*(1+IF(L$3&lt;=$O$2,$D573,$D573-($D573-$I$562)*MIN(L$3-$O$2,$Q$2)/$Q$2))</f>
        <v>1467.81126512557</v>
      </c>
      <c r="M573" s="15" t="n">
        <f aca="false">L573*(1+IF(M$3&lt;=$O$2,$D573,$D573-($D573-$I$562)*MIN(M$3-$O$2,$Q$2)/$Q$2))</f>
        <v>1534.14280292414</v>
      </c>
      <c r="N573" s="15" t="n">
        <f aca="false">M573*(1+IF(N$3&lt;=$O$2,$D573,$D573-($D573-$I$562)*MIN(N$3-$O$2,$Q$2)/$Q$2))</f>
        <v>1592.90047227614</v>
      </c>
      <c r="O573" s="15" t="n">
        <f aca="false">SUMPRODUCT(E573:N573,1/(1+$F$562)^$E$3:$N$3)*$E$2</f>
        <v>1809.96596114963</v>
      </c>
      <c r="P573" s="15" t="n">
        <f aca="false">N573*$E$2*(1+$I$562)/($F$562-$I$562)/(1+$F$562)^$N$3</f>
        <v>3781.32352198929</v>
      </c>
      <c r="Q573" s="15" t="n">
        <f aca="false">O573+P573</f>
        <v>5591.28948313892</v>
      </c>
      <c r="R573" s="15" t="n">
        <f aca="false">Q573-$G$2+$I$2</f>
        <v>5758.68948313892</v>
      </c>
      <c r="S573" s="42" t="n">
        <f aca="false">R573/$K$2</f>
        <v>163.645623277605</v>
      </c>
      <c r="T573" s="43" t="n">
        <f aca="false">S573-$M$2</f>
        <v>-0.889756091533968</v>
      </c>
    </row>
    <row r="574" customFormat="false" ht="15" hidden="false" customHeight="false" outlineLevel="0" collapsed="false">
      <c r="A574" s="5" t="n">
        <v>11</v>
      </c>
      <c r="B574" s="25" t="n">
        <f aca="false">IF(T573&gt;0,B573,D573)</f>
        <v>0.07275390625</v>
      </c>
      <c r="C574" s="25" t="n">
        <f aca="false">IF(T573&gt;0,D573,C573)</f>
        <v>0.07421875</v>
      </c>
      <c r="D574" s="41" t="n">
        <f aca="false">(B574+C574)/2</f>
        <v>0.073486328125</v>
      </c>
      <c r="E574" s="15" t="n">
        <f aca="false">$C$2*(1+IF(E$3&lt;=$O$2,$D574,$D574-($D574-$I$562)*MIN(E$3-$O$2,$Q$2)/$Q$2))</f>
        <v>933.965310058594</v>
      </c>
      <c r="F574" s="15" t="n">
        <f aca="false">E574*(1+IF(F$3&lt;=$O$2,$D574,$D574-($D574-$I$562)*MIN(F$3-$O$2,$Q$2)/$Q$2))</f>
        <v>1002.59899129093</v>
      </c>
      <c r="G574" s="15" t="n">
        <f aca="false">F574*(1+IF(G$3&lt;=$O$2,$D574,$D574-($D574-$I$562)*MIN(G$3-$O$2,$Q$2)/$Q$2))</f>
        <v>1076.27630974273</v>
      </c>
      <c r="H574" s="15" t="n">
        <f aca="false">G574*(1+IF(H$3&lt;=$O$2,$D574,$D574-($D574-$I$562)*MIN(H$3-$O$2,$Q$2)/$Q$2))</f>
        <v>1155.36790379364</v>
      </c>
      <c r="I574" s="15" t="n">
        <f aca="false">H574*(1+IF(I$3&lt;=$O$2,$D574,$D574-($D574-$I$562)*MIN(I$3-$O$2,$Q$2)/$Q$2))</f>
        <v>1240.27164867692</v>
      </c>
      <c r="J574" s="15" t="n">
        <f aca="false">I574*(1+IF(J$3&lt;=$O$2,$D574,$D574-($D574-$I$562)*MIN(J$3-$O$2,$Q$2)/$Q$2))</f>
        <v>1322.68653697683</v>
      </c>
      <c r="K574" s="15" t="n">
        <f aca="false">J574*(1+IF(K$3&lt;=$O$2,$D574,$D574-($D574-$I$562)*MIN(K$3-$O$2,$Q$2)/$Q$2))</f>
        <v>1401.26972084099</v>
      </c>
      <c r="L574" s="15" t="n">
        <f aca="false">K574*(1+IF(L$3&lt;=$O$2,$D574,$D574-($D574-$I$562)*MIN(L$3-$O$2,$Q$2)/$Q$2))</f>
        <v>1474.66056562486</v>
      </c>
      <c r="M574" s="15" t="n">
        <f aca="false">L574*(1+IF(M$3&lt;=$O$2,$D574,$D574-($D574-$I$562)*MIN(M$3-$O$2,$Q$2)/$Q$2))</f>
        <v>1541.5176433953</v>
      </c>
      <c r="N574" s="15" t="n">
        <f aca="false">M574*(1+IF(N$3&lt;=$O$2,$D574,$D574-($D574-$I$562)*MIN(N$3-$O$2,$Q$2)/$Q$2))</f>
        <v>1600.55776913734</v>
      </c>
      <c r="O574" s="15" t="n">
        <f aca="false">SUMPRODUCT(E574:N574,1/(1+$F$562)^$E$3:$N$3)*$E$2</f>
        <v>1815.7953429814</v>
      </c>
      <c r="P574" s="15" t="n">
        <f aca="false">N574*$E$2*(1+$I$562)/($F$562-$I$562)/(1+$F$562)^$N$3</f>
        <v>3799.50087659498</v>
      </c>
      <c r="Q574" s="15" t="n">
        <f aca="false">O574+P574</f>
        <v>5615.29621957638</v>
      </c>
      <c r="R574" s="15" t="n">
        <f aca="false">Q574-$G$2+$I$2</f>
        <v>5782.69621957638</v>
      </c>
      <c r="S574" s="42" t="n">
        <f aca="false">R574/$K$2</f>
        <v>164.327826643262</v>
      </c>
      <c r="T574" s="43" t="n">
        <f aca="false">S574-$M$2</f>
        <v>-0.207552725877235</v>
      </c>
    </row>
    <row r="575" customFormat="false" ht="15" hidden="false" customHeight="false" outlineLevel="0" collapsed="false">
      <c r="A575" s="5" t="n">
        <v>12</v>
      </c>
      <c r="B575" s="25" t="n">
        <f aca="false">IF(T574&gt;0,B574,D574)</f>
        <v>0.073486328125</v>
      </c>
      <c r="C575" s="25" t="n">
        <f aca="false">IF(T574&gt;0,D574,C574)</f>
        <v>0.07421875</v>
      </c>
      <c r="D575" s="41" t="n">
        <f aca="false">(B575+C575)/2</f>
        <v>0.0738525390625</v>
      </c>
      <c r="E575" s="15" t="n">
        <f aca="false">$C$2*(1+IF(E$3&lt;=$O$2,$D575,$D575-($D575-$I$562)*MIN(E$3-$O$2,$Q$2)/$Q$2))</f>
        <v>934.283924560547</v>
      </c>
      <c r="F575" s="15" t="n">
        <f aca="false">E575*(1+IF(F$3&lt;=$O$2,$D575,$D575-($D575-$I$562)*MIN(F$3-$O$2,$Q$2)/$Q$2))</f>
        <v>1003.28316459462</v>
      </c>
      <c r="G575" s="15" t="n">
        <f aca="false">F575*(1+IF(G$3&lt;=$O$2,$D575,$D575-($D575-$I$562)*MIN(G$3-$O$2,$Q$2)/$Q$2))</f>
        <v>1077.37817369859</v>
      </c>
      <c r="H575" s="15" t="n">
        <f aca="false">G575*(1+IF(H$3&lt;=$O$2,$D575,$D575-($D575-$I$562)*MIN(H$3-$O$2,$Q$2)/$Q$2))</f>
        <v>1156.94528735675</v>
      </c>
      <c r="I575" s="15" t="n">
        <f aca="false">H575*(1+IF(I$3&lt;=$O$2,$D575,$D575-($D575-$I$562)*MIN(I$3-$O$2,$Q$2)/$Q$2))</f>
        <v>1242.38863438444</v>
      </c>
      <c r="J575" s="15" t="n">
        <f aca="false">I575*(1+IF(J$3&lt;=$O$2,$D575,$D575-($D575-$I$562)*MIN(J$3-$O$2,$Q$2)/$Q$2))</f>
        <v>1325.30817544517</v>
      </c>
      <c r="K575" s="15" t="n">
        <f aca="false">J575*(1+IF(K$3&lt;=$O$2,$D575,$D575-($D575-$I$562)*MIN(K$3-$O$2,$Q$2)/$Q$2))</f>
        <v>1404.33832097114</v>
      </c>
      <c r="L575" s="15" t="n">
        <f aca="false">K575*(1+IF(L$3&lt;=$O$2,$D575,$D575-($D575-$I$562)*MIN(L$3-$O$2,$Q$2)/$Q$2))</f>
        <v>1478.09559586966</v>
      </c>
      <c r="M575" s="15" t="n">
        <f aca="false">L575*(1+IF(M$3&lt;=$O$2,$D575,$D575-($D575-$I$562)*MIN(M$3-$O$2,$Q$2)/$Q$2))</f>
        <v>1545.21666747352</v>
      </c>
      <c r="N575" s="15" t="n">
        <f aca="false">M575*(1+IF(N$3&lt;=$O$2,$D575,$D575-($D575-$I$562)*MIN(N$3-$O$2,$Q$2)/$Q$2))</f>
        <v>1604.39846583775</v>
      </c>
      <c r="O575" s="15" t="n">
        <f aca="false">SUMPRODUCT(E575:N575,1/(1+$F$562)^$E$3:$N$3)*$E$2</f>
        <v>1818.71705881773</v>
      </c>
      <c r="P575" s="15" t="n">
        <f aca="false">N575*$E$2*(1+$I$562)/($F$562-$I$562)/(1+$F$562)^$N$3</f>
        <v>3808.61815480969</v>
      </c>
      <c r="Q575" s="15" t="n">
        <f aca="false">O575+P575</f>
        <v>5627.33521362742</v>
      </c>
      <c r="R575" s="15" t="n">
        <f aca="false">Q575-$G$2+$I$2</f>
        <v>5794.73521362742</v>
      </c>
      <c r="S575" s="42" t="n">
        <f aca="false">R575/$K$2</f>
        <v>164.669940711208</v>
      </c>
      <c r="T575" s="43" t="n">
        <f aca="false">S575-$M$2</f>
        <v>0.134561342069304</v>
      </c>
    </row>
    <row r="576" customFormat="false" ht="15" hidden="false" customHeight="false" outlineLevel="0" collapsed="false">
      <c r="A576" s="5" t="n">
        <v>13</v>
      </c>
      <c r="B576" s="25" t="n">
        <f aca="false">IF(T575&gt;0,B575,D575)</f>
        <v>0.073486328125</v>
      </c>
      <c r="C576" s="25" t="n">
        <f aca="false">IF(T575&gt;0,D575,C575)</f>
        <v>0.0738525390625</v>
      </c>
      <c r="D576" s="41" t="n">
        <f aca="false">(B576+C576)/2</f>
        <v>0.07366943359375</v>
      </c>
      <c r="E576" s="15" t="n">
        <f aca="false">$C$2*(1+IF(E$3&lt;=$O$2,$D576,$D576-($D576-$I$562)*MIN(E$3-$O$2,$Q$2)/$Q$2))</f>
        <v>934.12461730957</v>
      </c>
      <c r="F576" s="15" t="n">
        <f aca="false">E576*(1+IF(F$3&lt;=$O$2,$D576,$D576-($D576-$I$562)*MIN(F$3-$O$2,$Q$2)/$Q$2))</f>
        <v>1002.94104877274</v>
      </c>
      <c r="G576" s="15" t="n">
        <f aca="false">F576*(1+IF(G$3&lt;=$O$2,$D576,$D576-($D576-$I$562)*MIN(G$3-$O$2,$Q$2)/$Q$2))</f>
        <v>1076.82714776375</v>
      </c>
      <c r="H576" s="15" t="n">
        <f aca="false">G576*(1+IF(H$3&lt;=$O$2,$D576,$D576-($D576-$I$562)*MIN(H$3-$O$2,$Q$2)/$Q$2))</f>
        <v>1156.15639381788</v>
      </c>
      <c r="I576" s="15" t="n">
        <f aca="false">H576*(1+IF(I$3&lt;=$O$2,$D576,$D576-($D576-$I$562)*MIN(I$3-$O$2,$Q$2)/$Q$2))</f>
        <v>1241.32978049624</v>
      </c>
      <c r="J576" s="15" t="n">
        <f aca="false">I576*(1+IF(J$3&lt;=$O$2,$D576,$D576-($D576-$I$562)*MIN(J$3-$O$2,$Q$2)/$Q$2))</f>
        <v>1323.99681608061</v>
      </c>
      <c r="K576" s="15" t="n">
        <f aca="false">J576*(1+IF(K$3&lt;=$O$2,$D576,$D576-($D576-$I$562)*MIN(K$3-$O$2,$Q$2)/$Q$2))</f>
        <v>1402.80330461532</v>
      </c>
      <c r="L576" s="15" t="n">
        <f aca="false">K576*(1+IF(L$3&lt;=$O$2,$D576,$D576-($D576-$I$562)*MIN(L$3-$O$2,$Q$2)/$Q$2))</f>
        <v>1476.37721451316</v>
      </c>
      <c r="M576" s="15" t="n">
        <f aca="false">L576*(1+IF(M$3&lt;=$O$2,$D576,$D576-($D576-$I$562)*MIN(M$3-$O$2,$Q$2)/$Q$2))</f>
        <v>1543.36618699862</v>
      </c>
      <c r="N576" s="15" t="n">
        <f aca="false">M576*(1+IF(N$3&lt;=$O$2,$D576,$D576-($D576-$I$562)*MIN(N$3-$O$2,$Q$2)/$Q$2))</f>
        <v>1602.47711196067</v>
      </c>
      <c r="O576" s="15" t="n">
        <f aca="false">SUMPRODUCT(E576:N576,1/(1+$F$562)^$E$3:$N$3)*$E$2</f>
        <v>1817.25561476246</v>
      </c>
      <c r="P576" s="15" t="n">
        <f aca="false">N576*$E$2*(1+$I$562)/($F$562-$I$562)/(1+$F$562)^$N$3</f>
        <v>3804.05712872179</v>
      </c>
      <c r="Q576" s="15" t="n">
        <f aca="false">O576+P576</f>
        <v>5621.31274348425</v>
      </c>
      <c r="R576" s="15" t="n">
        <f aca="false">Q576-$G$2+$I$2</f>
        <v>5788.71274348425</v>
      </c>
      <c r="S576" s="42" t="n">
        <f aca="false">R576/$K$2</f>
        <v>164.498799189663</v>
      </c>
      <c r="T576" s="43" t="n">
        <f aca="false">S576-$M$2</f>
        <v>-0.036580179475834</v>
      </c>
    </row>
    <row r="577" customFormat="false" ht="15" hidden="false" customHeight="false" outlineLevel="0" collapsed="false">
      <c r="A577" s="5" t="n">
        <v>14</v>
      </c>
      <c r="B577" s="25" t="n">
        <f aca="false">IF(T576&gt;0,B576,D576)</f>
        <v>0.07366943359375</v>
      </c>
      <c r="C577" s="25" t="n">
        <f aca="false">IF(T576&gt;0,D576,C576)</f>
        <v>0.0738525390625</v>
      </c>
      <c r="D577" s="41" t="n">
        <f aca="false">(B577+C577)/2</f>
        <v>0.073760986328125</v>
      </c>
      <c r="E577" s="15" t="n">
        <f aca="false">$C$2*(1+IF(E$3&lt;=$O$2,$D577,$D577-($D577-$I$562)*MIN(E$3-$O$2,$Q$2)/$Q$2))</f>
        <v>934.204270935059</v>
      </c>
      <c r="F577" s="15" t="n">
        <f aca="false">E577*(1+IF(F$3&lt;=$O$2,$D577,$D577-($D577-$I$562)*MIN(F$3-$O$2,$Q$2)/$Q$2))</f>
        <v>1003.11209939118</v>
      </c>
      <c r="G577" s="15" t="n">
        <f aca="false">F577*(1+IF(G$3&lt;=$O$2,$D577,$D577-($D577-$I$562)*MIN(G$3-$O$2,$Q$2)/$Q$2))</f>
        <v>1077.10263723994</v>
      </c>
      <c r="H577" s="15" t="n">
        <f aca="false">G577*(1+IF(H$3&lt;=$O$2,$D577,$D577-($D577-$I$562)*MIN(H$3-$O$2,$Q$2)/$Q$2))</f>
        <v>1156.55079013939</v>
      </c>
      <c r="I577" s="15" t="n">
        <f aca="false">H577*(1+IF(I$3&lt;=$O$2,$D577,$D577-($D577-$I$562)*MIN(I$3-$O$2,$Q$2)/$Q$2))</f>
        <v>1241.85911715864</v>
      </c>
      <c r="J577" s="15" t="n">
        <f aca="false">I577*(1+IF(J$3&lt;=$O$2,$D577,$D577-($D577-$I$562)*MIN(J$3-$O$2,$Q$2)/$Q$2))</f>
        <v>1324.65236068583</v>
      </c>
      <c r="K577" s="15" t="n">
        <f aca="false">J577*(1+IF(K$3&lt;=$O$2,$D577,$D577-($D577-$I$562)*MIN(K$3-$O$2,$Q$2)/$Q$2))</f>
        <v>1403.57063365118</v>
      </c>
      <c r="L577" s="15" t="n">
        <f aca="false">K577*(1+IF(L$3&lt;=$O$2,$D577,$D577-($D577-$I$562)*MIN(L$3-$O$2,$Q$2)/$Q$2))</f>
        <v>1477.2361885402</v>
      </c>
      <c r="M577" s="15" t="n">
        <f aca="false">L577*(1+IF(M$3&lt;=$O$2,$D577,$D577-($D577-$I$562)*MIN(M$3-$O$2,$Q$2)/$Q$2))</f>
        <v>1544.29118501834</v>
      </c>
      <c r="N577" s="15" t="n">
        <f aca="false">M577*(1+IF(N$3&lt;=$O$2,$D577,$D577-($D577-$I$562)*MIN(N$3-$O$2,$Q$2)/$Q$2))</f>
        <v>1603.43753740454</v>
      </c>
      <c r="O577" s="15" t="n">
        <f aca="false">SUMPRODUCT(E577:N577,1/(1+$F$562)^$E$3:$N$3)*$E$2</f>
        <v>1817.98619020124</v>
      </c>
      <c r="P577" s="15" t="n">
        <f aca="false">N577*$E$2*(1+$I$562)/($F$562-$I$562)/(1+$F$562)^$N$3</f>
        <v>3806.33704475248</v>
      </c>
      <c r="Q577" s="15" t="n">
        <f aca="false">O577+P577</f>
        <v>5624.32323495372</v>
      </c>
      <c r="R577" s="15" t="n">
        <f aca="false">Q577-$G$2+$I$2</f>
        <v>5791.72323495372</v>
      </c>
      <c r="S577" s="42" t="n">
        <f aca="false">R577/$K$2</f>
        <v>164.584348819373</v>
      </c>
      <c r="T577" s="43" t="n">
        <f aca="false">S577-$M$2</f>
        <v>0.0489694502335851</v>
      </c>
    </row>
    <row r="578" customFormat="false" ht="15" hidden="false" customHeight="false" outlineLevel="0" collapsed="false">
      <c r="A578" s="5" t="n">
        <v>15</v>
      </c>
      <c r="B578" s="25" t="n">
        <f aca="false">IF(T577&gt;0,B577,D577)</f>
        <v>0.07366943359375</v>
      </c>
      <c r="C578" s="25" t="n">
        <f aca="false">IF(T577&gt;0,D577,C577)</f>
        <v>0.073760986328125</v>
      </c>
      <c r="D578" s="41" t="n">
        <f aca="false">(B578+C578)/2</f>
        <v>0.0737152099609375</v>
      </c>
      <c r="E578" s="15" t="n">
        <f aca="false">$C$2*(1+IF(E$3&lt;=$O$2,$D578,$D578-($D578-$I$562)*MIN(E$3-$O$2,$Q$2)/$Q$2))</f>
        <v>934.164444122314</v>
      </c>
      <c r="F578" s="15" t="n">
        <f aca="false">E578*(1+IF(F$3&lt;=$O$2,$D578,$D578-($D578-$I$562)*MIN(F$3-$O$2,$Q$2)/$Q$2))</f>
        <v>1003.02657225883</v>
      </c>
      <c r="G578" s="15" t="n">
        <f aca="false">F578*(1+IF(G$3&lt;=$O$2,$D578,$D578-($D578-$I$562)*MIN(G$3-$O$2,$Q$2)/$Q$2))</f>
        <v>1076.96488662929</v>
      </c>
      <c r="H578" s="15" t="n">
        <f aca="false">G578*(1+IF(H$3&lt;=$O$2,$D578,$D578-($D578-$I$562)*MIN(H$3-$O$2,$Q$2)/$Q$2))</f>
        <v>1156.35357936773</v>
      </c>
      <c r="I578" s="15" t="n">
        <f aca="false">H578*(1+IF(I$3&lt;=$O$2,$D578,$D578-($D578-$I$562)*MIN(I$3-$O$2,$Q$2)/$Q$2))</f>
        <v>1241.5944262599</v>
      </c>
      <c r="J578" s="15" t="n">
        <f aca="false">I578*(1+IF(J$3&lt;=$O$2,$D578,$D578-($D578-$I$562)*MIN(J$3-$O$2,$Q$2)/$Q$2))</f>
        <v>1324.32455461952</v>
      </c>
      <c r="K578" s="15" t="n">
        <f aca="false">J578*(1+IF(K$3&lt;=$O$2,$D578,$D578-($D578-$I$562)*MIN(K$3-$O$2,$Q$2)/$Q$2))</f>
        <v>1403.18692435641</v>
      </c>
      <c r="L578" s="15" t="n">
        <f aca="false">K578*(1+IF(L$3&lt;=$O$2,$D578,$D578-($D578-$I$562)*MIN(L$3-$O$2,$Q$2)/$Q$2))</f>
        <v>1476.80664737547</v>
      </c>
      <c r="M578" s="15" t="n">
        <f aca="false">L578*(1+IF(M$3&lt;=$O$2,$D578,$D578-($D578-$I$562)*MIN(M$3-$O$2,$Q$2)/$Q$2))</f>
        <v>1543.82862546765</v>
      </c>
      <c r="N578" s="15" t="n">
        <f aca="false">M578*(1+IF(N$3&lt;=$O$2,$D578,$D578-($D578-$I$562)*MIN(N$3-$O$2,$Q$2)/$Q$2))</f>
        <v>1602.95726182306</v>
      </c>
      <c r="O578" s="15" t="n">
        <f aca="false">SUMPRODUCT(E578:N578,1/(1+$F$562)^$E$3:$N$3)*$E$2</f>
        <v>1817.62086584146</v>
      </c>
      <c r="P578" s="15" t="n">
        <f aca="false">N578*$E$2*(1+$I$562)/($F$562-$I$562)/(1+$F$562)^$N$3</f>
        <v>3805.19693751735</v>
      </c>
      <c r="Q578" s="15" t="n">
        <f aca="false">O578+P578</f>
        <v>5622.8178033588</v>
      </c>
      <c r="R578" s="15" t="n">
        <f aca="false">Q578-$G$2+$I$2</f>
        <v>5790.2178033588</v>
      </c>
      <c r="S578" s="42" t="n">
        <f aca="false">R578/$K$2</f>
        <v>164.541568722899</v>
      </c>
      <c r="T578" s="43" t="n">
        <f aca="false">S578-$M$2</f>
        <v>0.00618935375965179</v>
      </c>
    </row>
    <row r="579" customFormat="false" ht="15" hidden="false" customHeight="false" outlineLevel="0" collapsed="false">
      <c r="A579" s="5" t="n">
        <v>16</v>
      </c>
      <c r="B579" s="25" t="n">
        <f aca="false">IF(T578&gt;0,B578,D578)</f>
        <v>0.07366943359375</v>
      </c>
      <c r="C579" s="25" t="n">
        <f aca="false">IF(T578&gt;0,D578,C578)</f>
        <v>0.0737152099609375</v>
      </c>
      <c r="D579" s="41" t="n">
        <f aca="false">(B579+C579)/2</f>
        <v>0.0736923217773438</v>
      </c>
      <c r="E579" s="15" t="n">
        <f aca="false">$C$2*(1+IF(E$3&lt;=$O$2,$D579,$D579-($D579-$I$562)*MIN(E$3-$O$2,$Q$2)/$Q$2))</f>
        <v>934.144530715942</v>
      </c>
      <c r="F579" s="15" t="n">
        <f aca="false">E579*(1+IF(F$3&lt;=$O$2,$D579,$D579-($D579-$I$562)*MIN(F$3-$O$2,$Q$2)/$Q$2))</f>
        <v>1002.98381006001</v>
      </c>
      <c r="G579" s="15" t="n">
        <f aca="false">F579*(1+IF(G$3&lt;=$O$2,$D579,$D579-($D579-$I$562)*MIN(G$3-$O$2,$Q$2)/$Q$2))</f>
        <v>1076.89601572842</v>
      </c>
      <c r="H579" s="15" t="n">
        <f aca="false">G579*(1+IF(H$3&lt;=$O$2,$D579,$D579-($D579-$I$562)*MIN(H$3-$O$2,$Q$2)/$Q$2))</f>
        <v>1156.25498344021</v>
      </c>
      <c r="I579" s="15" t="n">
        <f aca="false">H579*(1+IF(I$3&lt;=$O$2,$D579,$D579-($D579-$I$562)*MIN(I$3-$O$2,$Q$2)/$Q$2))</f>
        <v>1241.46209773655</v>
      </c>
      <c r="J579" s="15" t="n">
        <f aca="false">I579*(1+IF(J$3&lt;=$O$2,$D579,$D579-($D579-$I$562)*MIN(J$3-$O$2,$Q$2)/$Q$2))</f>
        <v>1324.16067690983</v>
      </c>
      <c r="K579" s="15" t="n">
        <f aca="false">J579*(1+IF(K$3&lt;=$O$2,$D579,$D579-($D579-$I$562)*MIN(K$3-$O$2,$Q$2)/$Q$2))</f>
        <v>1402.99510329274</v>
      </c>
      <c r="L579" s="15" t="n">
        <f aca="false">K579*(1+IF(L$3&lt;=$O$2,$D579,$D579-($D579-$I$562)*MIN(L$3-$O$2,$Q$2)/$Q$2))</f>
        <v>1476.59191740796</v>
      </c>
      <c r="M579" s="15" t="n">
        <f aca="false">L579*(1+IF(M$3&lt;=$O$2,$D579,$D579-($D579-$I$562)*MIN(M$3-$O$2,$Q$2)/$Q$2))</f>
        <v>1543.59739109963</v>
      </c>
      <c r="N579" s="15" t="n">
        <f aca="false">M579*(1+IF(N$3&lt;=$O$2,$D579,$D579-($D579-$I$562)*MIN(N$3-$O$2,$Q$2)/$Q$2))</f>
        <v>1602.71717117874</v>
      </c>
      <c r="O579" s="15" t="n">
        <f aca="false">SUMPRODUCT(E579:N579,1/(1+$F$562)^$E$3:$N$3)*$E$2</f>
        <v>1817.43823114271</v>
      </c>
      <c r="P579" s="15" t="n">
        <f aca="false">N579*$E$2*(1+$I$562)/($F$562-$I$562)/(1+$F$562)^$N$3</f>
        <v>3804.62699581881</v>
      </c>
      <c r="Q579" s="15" t="n">
        <f aca="false">O579+P579</f>
        <v>5622.06522696152</v>
      </c>
      <c r="R579" s="15" t="n">
        <f aca="false">Q579-$G$2+$I$2</f>
        <v>5789.46522696152</v>
      </c>
      <c r="S579" s="42" t="n">
        <f aca="false">R579/$K$2</f>
        <v>164.520182636019</v>
      </c>
      <c r="T579" s="43" t="n">
        <f aca="false">S579-$M$2</f>
        <v>-0.015196733119609</v>
      </c>
    </row>
    <row r="580" customFormat="false" ht="15" hidden="false" customHeight="false" outlineLevel="0" collapsed="false">
      <c r="A580" s="5" t="n">
        <v>17</v>
      </c>
      <c r="B580" s="25" t="n">
        <f aca="false">IF(T579&gt;0,B579,D579)</f>
        <v>0.0736923217773438</v>
      </c>
      <c r="C580" s="25" t="n">
        <f aca="false">IF(T579&gt;0,D579,C579)</f>
        <v>0.0737152099609375</v>
      </c>
      <c r="D580" s="41" t="n">
        <f aca="false">(B580+C580)/2</f>
        <v>0.0737037658691406</v>
      </c>
      <c r="E580" s="15" t="n">
        <f aca="false">$C$2*(1+IF(E$3&lt;=$O$2,$D580,$D580-($D580-$I$562)*MIN(E$3-$O$2,$Q$2)/$Q$2))</f>
        <v>934.154487419128</v>
      </c>
      <c r="F580" s="15" t="n">
        <f aca="false">E580*(1+IF(F$3&lt;=$O$2,$D580,$D580-($D580-$I$562)*MIN(F$3-$O$2,$Q$2)/$Q$2))</f>
        <v>1003.00519104547</v>
      </c>
      <c r="G580" s="15" t="n">
        <f aca="false">F580*(1+IF(G$3&lt;=$O$2,$D580,$D580-($D580-$I$562)*MIN(G$3-$O$2,$Q$2)/$Q$2))</f>
        <v>1076.93045081182</v>
      </c>
      <c r="H580" s="15" t="n">
        <f aca="false">G580*(1+IF(H$3&lt;=$O$2,$D580,$D580-($D580-$I$562)*MIN(H$3-$O$2,$Q$2)/$Q$2))</f>
        <v>1156.30428061581</v>
      </c>
      <c r="I580" s="15" t="n">
        <f aca="false">H580*(1+IF(I$3&lt;=$O$2,$D580,$D580-($D580-$I$562)*MIN(I$3-$O$2,$Q$2)/$Q$2))</f>
        <v>1241.5282605878</v>
      </c>
      <c r="J580" s="15" t="n">
        <f aca="false">I580*(1+IF(J$3&lt;=$O$2,$D580,$D580-($D580-$I$562)*MIN(J$3-$O$2,$Q$2)/$Q$2))</f>
        <v>1324.24261365453</v>
      </c>
      <c r="K580" s="15" t="n">
        <f aca="false">J580*(1+IF(K$3&lt;=$O$2,$D580,$D580-($D580-$I$562)*MIN(K$3-$O$2,$Q$2)/$Q$2))</f>
        <v>1403.09101102616</v>
      </c>
      <c r="L580" s="15" t="n">
        <f aca="false">K580*(1+IF(L$3&lt;=$O$2,$D580,$D580-($D580-$I$562)*MIN(L$3-$O$2,$Q$2)/$Q$2))</f>
        <v>1476.69927900744</v>
      </c>
      <c r="M580" s="15" t="n">
        <f aca="false">L580*(1+IF(M$3&lt;=$O$2,$D580,$D580-($D580-$I$562)*MIN(M$3-$O$2,$Q$2)/$Q$2))</f>
        <v>1543.71300450005</v>
      </c>
      <c r="N580" s="15" t="n">
        <f aca="false">M580*(1+IF(N$3&lt;=$O$2,$D580,$D580-($D580-$I$562)*MIN(N$3-$O$2,$Q$2)/$Q$2))</f>
        <v>1602.8372125724</v>
      </c>
      <c r="O580" s="15" t="n">
        <f aca="false">SUMPRODUCT(E580:N580,1/(1+$F$562)^$E$3:$N$3)*$E$2</f>
        <v>1817.52954620217</v>
      </c>
      <c r="P580" s="15" t="n">
        <f aca="false">N580*$E$2*(1+$I$562)/($F$562-$I$562)/(1+$F$562)^$N$3</f>
        <v>3804.91195734237</v>
      </c>
      <c r="Q580" s="15" t="n">
        <f aca="false">O580+P580</f>
        <v>5622.44150354453</v>
      </c>
      <c r="R580" s="15" t="n">
        <f aca="false">Q580-$G$2+$I$2</f>
        <v>5789.84150354453</v>
      </c>
      <c r="S580" s="42" t="n">
        <f aca="false">R580/$K$2</f>
        <v>164.530875349376</v>
      </c>
      <c r="T580" s="43" t="n">
        <f aca="false">S580-$M$2</f>
        <v>-0.00450401976323178</v>
      </c>
    </row>
    <row r="581" customFormat="false" ht="15" hidden="false" customHeight="false" outlineLevel="0" collapsed="false">
      <c r="A581" s="5" t="n">
        <v>18</v>
      </c>
      <c r="B581" s="25" t="n">
        <f aca="false">IF(T580&gt;0,B580,D580)</f>
        <v>0.0737037658691406</v>
      </c>
      <c r="C581" s="25" t="n">
        <f aca="false">IF(T580&gt;0,D580,C580)</f>
        <v>0.0737152099609375</v>
      </c>
      <c r="D581" s="41" t="n">
        <f aca="false">(B581+C581)/2</f>
        <v>0.0737094879150391</v>
      </c>
      <c r="E581" s="15" t="n">
        <f aca="false">$C$2*(1+IF(E$3&lt;=$O$2,$D581,$D581-($D581-$I$562)*MIN(E$3-$O$2,$Q$2)/$Q$2))</f>
        <v>934.159465770722</v>
      </c>
      <c r="F581" s="15" t="n">
        <f aca="false">E581*(1+IF(F$3&lt;=$O$2,$D581,$D581-($D581-$I$562)*MIN(F$3-$O$2,$Q$2)/$Q$2))</f>
        <v>1003.01588162367</v>
      </c>
      <c r="G581" s="15" t="n">
        <f aca="false">F581*(1+IF(G$3&lt;=$O$2,$D581,$D581-($D581-$I$562)*MIN(G$3-$O$2,$Q$2)/$Q$2))</f>
        <v>1076.9476686288</v>
      </c>
      <c r="H581" s="15" t="n">
        <f aca="false">G581*(1+IF(H$3&lt;=$O$2,$D581,$D581-($D581-$I$562)*MIN(H$3-$O$2,$Q$2)/$Q$2))</f>
        <v>1156.32892979472</v>
      </c>
      <c r="I581" s="15" t="n">
        <f aca="false">H581*(1+IF(I$3&lt;=$O$2,$D581,$D581-($D581-$I$562)*MIN(I$3-$O$2,$Q$2)/$Q$2))</f>
        <v>1241.56134307124</v>
      </c>
      <c r="J581" s="15" t="n">
        <f aca="false">I581*(1+IF(J$3&lt;=$O$2,$D581,$D581-($D581-$I$562)*MIN(J$3-$O$2,$Q$2)/$Q$2))</f>
        <v>1324.28358360948</v>
      </c>
      <c r="K581" s="15" t="n">
        <f aca="false">J581*(1+IF(K$3&lt;=$O$2,$D581,$D581-($D581-$I$562)*MIN(K$3-$O$2,$Q$2)/$Q$2))</f>
        <v>1403.13896699166</v>
      </c>
      <c r="L581" s="15" t="n">
        <f aca="false">K581*(1+IF(L$3&lt;=$O$2,$D581,$D581-($D581-$I$562)*MIN(L$3-$O$2,$Q$2)/$Q$2))</f>
        <v>1476.75296234537</v>
      </c>
      <c r="M581" s="15" t="n">
        <f aca="false">L581*(1+IF(M$3&lt;=$O$2,$D581,$D581-($D581-$I$562)*MIN(M$3-$O$2,$Q$2)/$Q$2))</f>
        <v>1543.77081403793</v>
      </c>
      <c r="N581" s="15" t="n">
        <f aca="false">M581*(1+IF(N$3&lt;=$O$2,$D581,$D581-($D581-$I$562)*MIN(N$3-$O$2,$Q$2)/$Q$2))</f>
        <v>1602.89723621558</v>
      </c>
      <c r="O581" s="15" t="n">
        <f aca="false">SUMPRODUCT(E581:N581,1/(1+$F$562)^$E$3:$N$3)*$E$2</f>
        <v>1817.57520544932</v>
      </c>
      <c r="P581" s="15" t="n">
        <f aca="false">N581*$E$2*(1+$I$562)/($F$562-$I$562)/(1+$F$562)^$N$3</f>
        <v>3805.05444509836</v>
      </c>
      <c r="Q581" s="15" t="n">
        <f aca="false">O581+P581</f>
        <v>5622.62965054768</v>
      </c>
      <c r="R581" s="15" t="n">
        <f aca="false">Q581-$G$2+$I$2</f>
        <v>5790.02965054768</v>
      </c>
      <c r="S581" s="42" t="n">
        <f aca="false">R581/$K$2</f>
        <v>164.536221953614</v>
      </c>
      <c r="T581" s="43" t="n">
        <f aca="false">S581-$M$2</f>
        <v>0.000842584475122976</v>
      </c>
    </row>
    <row r="582" customFormat="false" ht="15" hidden="false" customHeight="false" outlineLevel="0" collapsed="false">
      <c r="A582" s="5" t="n">
        <v>19</v>
      </c>
      <c r="B582" s="25" t="n">
        <f aca="false">IF(T581&gt;0,B581,D581)</f>
        <v>0.0737037658691406</v>
      </c>
      <c r="C582" s="25" t="n">
        <f aca="false">IF(T581&gt;0,D581,C581)</f>
        <v>0.0737094879150391</v>
      </c>
      <c r="D582" s="41" t="n">
        <f aca="false">(B582+C582)/2</f>
        <v>0.0737066268920898</v>
      </c>
      <c r="E582" s="15" t="n">
        <f aca="false">$C$2*(1+IF(E$3&lt;=$O$2,$D582,$D582-($D582-$I$562)*MIN(E$3-$O$2,$Q$2)/$Q$2))</f>
        <v>934.156976594925</v>
      </c>
      <c r="F582" s="15" t="n">
        <f aca="false">E582*(1+IF(F$3&lt;=$O$2,$D582,$D582-($D582-$I$562)*MIN(F$3-$O$2,$Q$2)/$Q$2))</f>
        <v>1003.01053632745</v>
      </c>
      <c r="G582" s="15" t="n">
        <f aca="false">F582*(1+IF(G$3&lt;=$O$2,$D582,$D582-($D582-$I$562)*MIN(G$3-$O$2,$Q$2)/$Q$2))</f>
        <v>1076.93905969737</v>
      </c>
      <c r="H582" s="15" t="n">
        <f aca="false">G582*(1+IF(H$3&lt;=$O$2,$D582,$D582-($D582-$I$562)*MIN(H$3-$O$2,$Q$2)/$Q$2))</f>
        <v>1156.316605156</v>
      </c>
      <c r="I582" s="15" t="n">
        <f aca="false">H582*(1+IF(I$3&lt;=$O$2,$D582,$D582-($D582-$I$562)*MIN(I$3-$O$2,$Q$2)/$Q$2))</f>
        <v>1241.54480174137</v>
      </c>
      <c r="J582" s="15" t="n">
        <f aca="false">I582*(1+IF(J$3&lt;=$O$2,$D582,$D582-($D582-$I$562)*MIN(J$3-$O$2,$Q$2)/$Q$2))</f>
        <v>1324.26309850012</v>
      </c>
      <c r="K582" s="15" t="n">
        <f aca="false">J582*(1+IF(K$3&lt;=$O$2,$D582,$D582-($D582-$I$562)*MIN(K$3-$O$2,$Q$2)/$Q$2))</f>
        <v>1403.114988834</v>
      </c>
      <c r="L582" s="15" t="n">
        <f aca="false">K582*(1+IF(L$3&lt;=$O$2,$D582,$D582-($D582-$I$562)*MIN(L$3-$O$2,$Q$2)/$Q$2))</f>
        <v>1476.72612046488</v>
      </c>
      <c r="M582" s="15" t="n">
        <f aca="false">L582*(1+IF(M$3&lt;=$O$2,$D582,$D582-($D582-$I$562)*MIN(M$3-$O$2,$Q$2)/$Q$2))</f>
        <v>1543.74190903251</v>
      </c>
      <c r="N582" s="15" t="n">
        <f aca="false">M582*(1+IF(N$3&lt;=$O$2,$D582,$D582-($D582-$I$562)*MIN(N$3-$O$2,$Q$2)/$Q$2))</f>
        <v>1602.86722414846</v>
      </c>
      <c r="O582" s="15" t="n">
        <f aca="false">SUMPRODUCT(E582:N582,1/(1+$F$562)^$E$3:$N$3)*$E$2</f>
        <v>1817.55237568262</v>
      </c>
      <c r="P582" s="15" t="n">
        <f aca="false">N582*$E$2*(1+$I$562)/($F$562-$I$562)/(1+$F$562)^$N$3</f>
        <v>3804.9832006375</v>
      </c>
      <c r="Q582" s="15" t="n">
        <f aca="false">O582+P582</f>
        <v>5622.53557632012</v>
      </c>
      <c r="R582" s="15" t="n">
        <f aca="false">Q582-$G$2+$I$2</f>
        <v>5789.93557632012</v>
      </c>
      <c r="S582" s="42" t="n">
        <f aca="false">R582/$K$2</f>
        <v>164.533548630864</v>
      </c>
      <c r="T582" s="43" t="n">
        <f aca="false">S582-$M$2</f>
        <v>-0.00183073827457747</v>
      </c>
    </row>
    <row r="583" customFormat="false" ht="15" hidden="false" customHeight="false" outlineLevel="0" collapsed="false">
      <c r="A583" s="5" t="n">
        <v>20</v>
      </c>
      <c r="B583" s="25" t="n">
        <f aca="false">IF(T582&gt;0,B582,D582)</f>
        <v>0.0737066268920898</v>
      </c>
      <c r="C583" s="25" t="n">
        <f aca="false">IF(T582&gt;0,D582,C582)</f>
        <v>0.0737094879150391</v>
      </c>
      <c r="D583" s="41" t="n">
        <f aca="false">(B583+C583)/2</f>
        <v>0.0737080574035645</v>
      </c>
      <c r="E583" s="15" t="n">
        <f aca="false">$C$2*(1+IF(E$3&lt;=$O$2,$D583,$D583-($D583-$I$562)*MIN(E$3-$O$2,$Q$2)/$Q$2))</f>
        <v>934.158221182823</v>
      </c>
      <c r="F583" s="15" t="n">
        <f aca="false">E583*(1+IF(F$3&lt;=$O$2,$D583,$D583-($D583-$I$562)*MIN(F$3-$O$2,$Q$2)/$Q$2))</f>
        <v>1003.01320897378</v>
      </c>
      <c r="G583" s="15" t="n">
        <f aca="false">F583*(1+IF(G$3&lt;=$O$2,$D583,$D583-($D583-$I$562)*MIN(G$3-$O$2,$Q$2)/$Q$2))</f>
        <v>1076.94336415735</v>
      </c>
      <c r="H583" s="15" t="n">
        <f aca="false">G583*(1+IF(H$3&lt;=$O$2,$D583,$D583-($D583-$I$562)*MIN(H$3-$O$2,$Q$2)/$Q$2))</f>
        <v>1156.32276746305</v>
      </c>
      <c r="I583" s="15" t="n">
        <f aca="false">H583*(1+IF(I$3&lt;=$O$2,$D583,$D583-($D583-$I$562)*MIN(I$3-$O$2,$Q$2)/$Q$2))</f>
        <v>1241.55307238426</v>
      </c>
      <c r="J583" s="15" t="n">
        <f aca="false">I583*(1+IF(J$3&lt;=$O$2,$D583,$D583-($D583-$I$562)*MIN(J$3-$O$2,$Q$2)/$Q$2))</f>
        <v>1324.27334102182</v>
      </c>
      <c r="K583" s="15" t="n">
        <f aca="false">J583*(1+IF(K$3&lt;=$O$2,$D583,$D583-($D583-$I$562)*MIN(K$3-$O$2,$Q$2)/$Q$2))</f>
        <v>1403.12697786911</v>
      </c>
      <c r="L583" s="15" t="n">
        <f aca="false">K583*(1+IF(L$3&lt;=$O$2,$D583,$D583-($D583-$I$562)*MIN(L$3-$O$2,$Q$2)/$Q$2))</f>
        <v>1476.73954135225</v>
      </c>
      <c r="M583" s="15" t="n">
        <f aca="false">L583*(1+IF(M$3&lt;=$O$2,$D583,$D583-($D583-$I$562)*MIN(M$3-$O$2,$Q$2)/$Q$2))</f>
        <v>1543.7563614761</v>
      </c>
      <c r="N583" s="15" t="n">
        <f aca="false">M583*(1+IF(N$3&lt;=$O$2,$D583,$D583-($D583-$I$562)*MIN(N$3-$O$2,$Q$2)/$Q$2))</f>
        <v>1602.88223012063</v>
      </c>
      <c r="O583" s="15" t="n">
        <f aca="false">SUMPRODUCT(E583:N583,1/(1+$F$562)^$E$3:$N$3)*$E$2</f>
        <v>1817.56379053019</v>
      </c>
      <c r="P583" s="15" t="n">
        <f aca="false">N583*$E$2*(1+$I$562)/($F$562-$I$562)/(1+$F$562)^$N$3</f>
        <v>3805.01882272221</v>
      </c>
      <c r="Q583" s="15" t="n">
        <f aca="false">O583+P583</f>
        <v>5622.5826132524</v>
      </c>
      <c r="R583" s="15" t="n">
        <f aca="false">Q583-$G$2+$I$2</f>
        <v>5789.9826132524</v>
      </c>
      <c r="S583" s="42" t="n">
        <f aca="false">R583/$K$2</f>
        <v>164.534885287082</v>
      </c>
      <c r="T583" s="43" t="n">
        <f aca="false">S583-$M$2</f>
        <v>-0.000494082057372225</v>
      </c>
    </row>
    <row r="584" customFormat="false" ht="15" hidden="false" customHeight="false" outlineLevel="0" collapsed="false">
      <c r="A584" s="5" t="n">
        <v>21</v>
      </c>
      <c r="B584" s="25" t="n">
        <f aca="false">IF(T583&gt;0,B583,D583)</f>
        <v>0.0737080574035645</v>
      </c>
      <c r="C584" s="25" t="n">
        <f aca="false">IF(T583&gt;0,D583,C583)</f>
        <v>0.0737094879150391</v>
      </c>
      <c r="D584" s="41" t="n">
        <f aca="false">(B584+C584)/2</f>
        <v>0.0737087726593018</v>
      </c>
      <c r="E584" s="15" t="n">
        <f aca="false">$C$2*(1+IF(E$3&lt;=$O$2,$D584,$D584-($D584-$I$562)*MIN(E$3-$O$2,$Q$2)/$Q$2))</f>
        <v>934.158843476772</v>
      </c>
      <c r="F584" s="15" t="n">
        <f aca="false">E584*(1+IF(F$3&lt;=$O$2,$D584,$D584-($D584-$I$562)*MIN(F$3-$O$2,$Q$2)/$Q$2))</f>
        <v>1003.01454529828</v>
      </c>
      <c r="G584" s="15" t="n">
        <f aca="false">F584*(1+IF(G$3&lt;=$O$2,$D584,$D584-($D584-$I$562)*MIN(G$3-$O$2,$Q$2)/$Q$2))</f>
        <v>1076.94551639164</v>
      </c>
      <c r="H584" s="15" t="n">
        <f aca="false">G584*(1+IF(H$3&lt;=$O$2,$D584,$D584-($D584-$I$562)*MIN(H$3-$O$2,$Q$2)/$Q$2))</f>
        <v>1156.32584862581</v>
      </c>
      <c r="I584" s="15" t="n">
        <f aca="false">H584*(1+IF(I$3&lt;=$O$2,$D584,$D584-($D584-$I$562)*MIN(I$3-$O$2,$Q$2)/$Q$2))</f>
        <v>1241.55720772224</v>
      </c>
      <c r="J584" s="15" t="n">
        <f aca="false">I584*(1+IF(J$3&lt;=$O$2,$D584,$D584-($D584-$I$562)*MIN(J$3-$O$2,$Q$2)/$Q$2))</f>
        <v>1324.27846230741</v>
      </c>
      <c r="K584" s="15" t="n">
        <f aca="false">J584*(1+IF(K$3&lt;=$O$2,$D584,$D584-($D584-$I$562)*MIN(K$3-$O$2,$Q$2)/$Q$2))</f>
        <v>1403.13297241945</v>
      </c>
      <c r="L584" s="15" t="n">
        <f aca="false">K584*(1+IF(L$3&lt;=$O$2,$D584,$D584-($D584-$I$562)*MIN(L$3-$O$2,$Q$2)/$Q$2))</f>
        <v>1476.74625183559</v>
      </c>
      <c r="M584" s="15" t="n">
        <f aca="false">L584*(1+IF(M$3&lt;=$O$2,$D584,$D584-($D584-$I$562)*MIN(M$3-$O$2,$Q$2)/$Q$2))</f>
        <v>1543.76358774223</v>
      </c>
      <c r="N584" s="15" t="n">
        <f aca="false">M584*(1+IF(N$3&lt;=$O$2,$D584,$D584-($D584-$I$562)*MIN(N$3-$O$2,$Q$2)/$Q$2))</f>
        <v>1602.88973315276</v>
      </c>
      <c r="O584" s="15" t="n">
        <f aca="false">SUMPRODUCT(E584:N584,1/(1+$F$562)^$E$3:$N$3)*$E$2</f>
        <v>1817.56949798081</v>
      </c>
      <c r="P584" s="15" t="n">
        <f aca="false">N584*$E$2*(1+$I$562)/($F$562-$I$562)/(1+$F$562)^$N$3</f>
        <v>3805.03663387386</v>
      </c>
      <c r="Q584" s="15" t="n">
        <f aca="false">O584+P584</f>
        <v>5622.60613185467</v>
      </c>
      <c r="R584" s="15" t="n">
        <f aca="false">Q584-$G$2+$I$2</f>
        <v>5790.00613185467</v>
      </c>
      <c r="S584" s="42" t="n">
        <f aca="false">R584/$K$2</f>
        <v>164.535553619058</v>
      </c>
      <c r="T584" s="43" t="n">
        <f aca="false">S584-$M$2</f>
        <v>0.000174249919439262</v>
      </c>
    </row>
    <row r="585" customFormat="false" ht="15" hidden="false" customHeight="false" outlineLevel="0" collapsed="false">
      <c r="A585" s="5" t="n">
        <v>22</v>
      </c>
      <c r="B585" s="25" t="n">
        <f aca="false">IF(T584&gt;0,B584,D584)</f>
        <v>0.0737080574035645</v>
      </c>
      <c r="C585" s="25" t="n">
        <f aca="false">IF(T584&gt;0,D584,C584)</f>
        <v>0.0737087726593018</v>
      </c>
      <c r="D585" s="41" t="n">
        <f aca="false">(B585+C585)/2</f>
        <v>0.0737084150314331</v>
      </c>
      <c r="E585" s="15" t="n">
        <f aca="false">$C$2*(1+IF(E$3&lt;=$O$2,$D585,$D585-($D585-$I$562)*MIN(E$3-$O$2,$Q$2)/$Q$2))</f>
        <v>934.158532329798</v>
      </c>
      <c r="F585" s="15" t="n">
        <f aca="false">E585*(1+IF(F$3&lt;=$O$2,$D585,$D585-($D585-$I$562)*MIN(F$3-$O$2,$Q$2)/$Q$2))</f>
        <v>1003.01387713592</v>
      </c>
      <c r="G585" s="15" t="n">
        <f aca="false">F585*(1+IF(G$3&lt;=$O$2,$D585,$D585-($D585-$I$562)*MIN(G$3-$O$2,$Q$2)/$Q$2))</f>
        <v>1076.94444027414</v>
      </c>
      <c r="H585" s="15" t="n">
        <f aca="false">G585*(1+IF(H$3&lt;=$O$2,$D585,$D585-($D585-$I$562)*MIN(H$3-$O$2,$Q$2)/$Q$2))</f>
        <v>1156.32430804366</v>
      </c>
      <c r="I585" s="15" t="n">
        <f aca="false">H585*(1+IF(I$3&lt;=$O$2,$D585,$D585-($D585-$I$562)*MIN(I$3-$O$2,$Q$2)/$Q$2))</f>
        <v>1241.55514005188</v>
      </c>
      <c r="J585" s="15" t="n">
        <f aca="false">I585*(1+IF(J$3&lt;=$O$2,$D585,$D585-($D585-$I$562)*MIN(J$3-$O$2,$Q$2)/$Q$2))</f>
        <v>1324.27590166255</v>
      </c>
      <c r="K585" s="15" t="n">
        <f aca="false">J585*(1+IF(K$3&lt;=$O$2,$D585,$D585-($D585-$I$562)*MIN(K$3-$O$2,$Q$2)/$Q$2))</f>
        <v>1403.12997514155</v>
      </c>
      <c r="L585" s="15" t="n">
        <f aca="false">K585*(1+IF(L$3&lt;=$O$2,$D585,$D585-($D585-$I$562)*MIN(L$3-$O$2,$Q$2)/$Q$2))</f>
        <v>1476.74289659061</v>
      </c>
      <c r="M585" s="15" t="n">
        <f aca="false">L585*(1+IF(M$3&lt;=$O$2,$D585,$D585-($D585-$I$562)*MIN(M$3-$O$2,$Q$2)/$Q$2))</f>
        <v>1543.75997460547</v>
      </c>
      <c r="N585" s="15" t="n">
        <f aca="false">M585*(1+IF(N$3&lt;=$O$2,$D585,$D585-($D585-$I$562)*MIN(N$3-$O$2,$Q$2)/$Q$2))</f>
        <v>1602.88598163286</v>
      </c>
      <c r="O585" s="15" t="n">
        <f aca="false">SUMPRODUCT(E585:N585,1/(1+$F$562)^$E$3:$N$3)*$E$2</f>
        <v>1817.56664425326</v>
      </c>
      <c r="P585" s="15" t="n">
        <f aca="false">N585*$E$2*(1+$I$562)/($F$562-$I$562)/(1+$F$562)^$N$3</f>
        <v>3805.02772828893</v>
      </c>
      <c r="Q585" s="15" t="n">
        <f aca="false">O585+P585</f>
        <v>5622.59437254219</v>
      </c>
      <c r="R585" s="15" t="n">
        <f aca="false">Q585-$G$2+$I$2</f>
        <v>5789.99437254219</v>
      </c>
      <c r="S585" s="42" t="n">
        <f aca="false">R585/$K$2</f>
        <v>164.535219452748</v>
      </c>
      <c r="T585" s="43" t="n">
        <f aca="false">S585-$M$2</f>
        <v>-0.000159916391339721</v>
      </c>
    </row>
    <row r="586" customFormat="false" ht="15" hidden="false" customHeight="false" outlineLevel="0" collapsed="false">
      <c r="A586" s="5" t="n">
        <v>23</v>
      </c>
      <c r="B586" s="25" t="n">
        <f aca="false">IF(T585&gt;0,B585,D585)</f>
        <v>0.0737084150314331</v>
      </c>
      <c r="C586" s="25" t="n">
        <f aca="false">IF(T585&gt;0,D585,C585)</f>
        <v>0.0737087726593018</v>
      </c>
      <c r="D586" s="41" t="n">
        <f aca="false">(B586+C586)/2</f>
        <v>0.0737085938453674</v>
      </c>
      <c r="E586" s="15" t="n">
        <f aca="false">$C$2*(1+IF(E$3&lt;=$O$2,$D586,$D586-($D586-$I$562)*MIN(E$3-$O$2,$Q$2)/$Q$2))</f>
        <v>934.158687903285</v>
      </c>
      <c r="F586" s="15" t="n">
        <f aca="false">E586*(1+IF(F$3&lt;=$O$2,$D586,$D586-($D586-$I$562)*MIN(F$3-$O$2,$Q$2)/$Q$2))</f>
        <v>1003.01421121707</v>
      </c>
      <c r="G586" s="15" t="n">
        <f aca="false">F586*(1+IF(G$3&lt;=$O$2,$D586,$D586-($D586-$I$562)*MIN(G$3-$O$2,$Q$2)/$Q$2))</f>
        <v>1076.9449783328</v>
      </c>
      <c r="H586" s="15" t="n">
        <f aca="false">G586*(1+IF(H$3&lt;=$O$2,$D586,$D586-($D586-$I$562)*MIN(H$3-$O$2,$Q$2)/$Q$2))</f>
        <v>1156.32507833454</v>
      </c>
      <c r="I586" s="15" t="n">
        <f aca="false">H586*(1+IF(I$3&lt;=$O$2,$D586,$D586-($D586-$I$562)*MIN(I$3-$O$2,$Q$2)/$Q$2))</f>
        <v>1241.55617388671</v>
      </c>
      <c r="J586" s="15" t="n">
        <f aca="false">I586*(1+IF(J$3&lt;=$O$2,$D586,$D586-($D586-$I$562)*MIN(J$3-$O$2,$Q$2)/$Q$2))</f>
        <v>1324.27718198447</v>
      </c>
      <c r="K586" s="15" t="n">
        <f aca="false">J586*(1+IF(K$3&lt;=$O$2,$D586,$D586-($D586-$I$562)*MIN(K$3-$O$2,$Q$2)/$Q$2))</f>
        <v>1403.13147377982</v>
      </c>
      <c r="L586" s="15" t="n">
        <f aca="false">K586*(1+IF(L$3&lt;=$O$2,$D586,$D586-($D586-$I$562)*MIN(L$3-$O$2,$Q$2)/$Q$2))</f>
        <v>1476.74457421227</v>
      </c>
      <c r="M586" s="15" t="n">
        <f aca="false">L586*(1+IF(M$3&lt;=$O$2,$D586,$D586-($D586-$I$562)*MIN(M$3-$O$2,$Q$2)/$Q$2))</f>
        <v>1543.76178117293</v>
      </c>
      <c r="N586" s="15" t="n">
        <f aca="false">M586*(1+IF(N$3&lt;=$O$2,$D586,$D586-($D586-$I$562)*MIN(N$3-$O$2,$Q$2)/$Q$2))</f>
        <v>1602.88785739185</v>
      </c>
      <c r="O586" s="15" t="n">
        <f aca="false">SUMPRODUCT(E586:N586,1/(1+$F$562)^$E$3:$N$3)*$E$2</f>
        <v>1817.56807111648</v>
      </c>
      <c r="P586" s="15" t="n">
        <f aca="false">N586*$E$2*(1+$I$562)/($F$562-$I$562)/(1+$F$562)^$N$3</f>
        <v>3805.03218107911</v>
      </c>
      <c r="Q586" s="15" t="n">
        <f aca="false">O586+P586</f>
        <v>5622.60025219559</v>
      </c>
      <c r="R586" s="15" t="n">
        <f aca="false">Q586-$G$2+$I$2</f>
        <v>5790.00025219559</v>
      </c>
      <c r="S586" s="42" t="n">
        <f aca="false">R586/$K$2</f>
        <v>164.535386535822</v>
      </c>
      <c r="T586" s="43" t="n">
        <f aca="false">S586-$M$2</f>
        <v>7.16668347422456E-006</v>
      </c>
    </row>
    <row r="587" customFormat="false" ht="15" hidden="false" customHeight="false" outlineLevel="0" collapsed="false">
      <c r="A587" s="5" t="n">
        <v>24</v>
      </c>
      <c r="B587" s="25" t="n">
        <f aca="false">IF(T586&gt;0,B586,D586)</f>
        <v>0.0737084150314331</v>
      </c>
      <c r="C587" s="25" t="n">
        <f aca="false">IF(T586&gt;0,D586,C586)</f>
        <v>0.0737085938453674</v>
      </c>
      <c r="D587" s="41" t="n">
        <f aca="false">(B587+C587)/2</f>
        <v>0.0737085044384003</v>
      </c>
      <c r="E587" s="15" t="n">
        <f aca="false">$C$2*(1+IF(E$3&lt;=$O$2,$D587,$D587-($D587-$I$562)*MIN(E$3-$O$2,$Q$2)/$Q$2))</f>
        <v>934.158610116541</v>
      </c>
      <c r="F587" s="15" t="n">
        <f aca="false">E587*(1+IF(F$3&lt;=$O$2,$D587,$D587-($D587-$I$562)*MIN(F$3-$O$2,$Q$2)/$Q$2))</f>
        <v>1003.01404417649</v>
      </c>
      <c r="G587" s="15" t="n">
        <f aca="false">F587*(1+IF(G$3&lt;=$O$2,$D587,$D587-($D587-$I$562)*MIN(G$3-$O$2,$Q$2)/$Q$2))</f>
        <v>1076.94470930345</v>
      </c>
      <c r="H587" s="15" t="n">
        <f aca="false">G587*(1+IF(H$3&lt;=$O$2,$D587,$D587-($D587-$I$562)*MIN(H$3-$O$2,$Q$2)/$Q$2))</f>
        <v>1156.32469318905</v>
      </c>
      <c r="I587" s="15" t="n">
        <f aca="false">H587*(1+IF(I$3&lt;=$O$2,$D587,$D587-($D587-$I$562)*MIN(I$3-$O$2,$Q$2)/$Q$2))</f>
        <v>1241.55565696921</v>
      </c>
      <c r="J587" s="15" t="n">
        <f aca="false">I587*(1+IF(J$3&lt;=$O$2,$D587,$D587-($D587-$I$562)*MIN(J$3-$O$2,$Q$2)/$Q$2))</f>
        <v>1324.27654182338</v>
      </c>
      <c r="K587" s="15" t="n">
        <f aca="false">J587*(1+IF(K$3&lt;=$O$2,$D587,$D587-($D587-$I$562)*MIN(K$3-$O$2,$Q$2)/$Q$2))</f>
        <v>1403.13072446051</v>
      </c>
      <c r="L587" s="15" t="n">
        <f aca="false">K587*(1+IF(L$3&lt;=$O$2,$D587,$D587-($D587-$I$562)*MIN(L$3-$O$2,$Q$2)/$Q$2))</f>
        <v>1476.74373540123</v>
      </c>
      <c r="M587" s="15" t="n">
        <f aca="false">L587*(1+IF(M$3&lt;=$O$2,$D587,$D587-($D587-$I$562)*MIN(M$3-$O$2,$Q$2)/$Q$2))</f>
        <v>1543.76087788897</v>
      </c>
      <c r="N587" s="15" t="n">
        <f aca="false">M587*(1+IF(N$3&lt;=$O$2,$D587,$D587-($D587-$I$562)*MIN(N$3-$O$2,$Q$2)/$Q$2))</f>
        <v>1602.88691951212</v>
      </c>
      <c r="O587" s="15" t="n">
        <f aca="false">SUMPRODUCT(E587:N587,1/(1+$F$562)^$E$3:$N$3)*$E$2</f>
        <v>1817.56735768473</v>
      </c>
      <c r="P587" s="15" t="n">
        <f aca="false">N587*$E$2*(1+$I$562)/($F$562-$I$562)/(1+$F$562)^$N$3</f>
        <v>3805.02995468345</v>
      </c>
      <c r="Q587" s="15" t="n">
        <f aca="false">O587+P587</f>
        <v>5622.59731236819</v>
      </c>
      <c r="R587" s="15" t="n">
        <f aca="false">Q587-$G$2+$I$2</f>
        <v>5789.99731236819</v>
      </c>
      <c r="S587" s="42" t="n">
        <f aca="false">R587/$K$2</f>
        <v>164.535302994265</v>
      </c>
      <c r="T587" s="43" t="n">
        <f aca="false">S587-$M$2</f>
        <v>-7.63748739984749E-005</v>
      </c>
    </row>
    <row r="589" customFormat="false" ht="15" hidden="false" customHeight="false" outlineLevel="0" collapsed="false">
      <c r="A589" s="38" t="s">
        <v>208</v>
      </c>
      <c r="E589" s="5" t="s">
        <v>12</v>
      </c>
      <c r="F589" s="12" t="n">
        <f aca="false">Sensitivity!$B$14</f>
        <v>0.0875075820986394</v>
      </c>
      <c r="G589" s="5" t="s">
        <v>13</v>
      </c>
      <c r="I589" s="12" t="n">
        <f aca="false">Sensitivity!$C$9</f>
        <v>0.0183</v>
      </c>
    </row>
    <row r="590" customFormat="false" ht="23.85" hidden="false" customHeight="false" outlineLevel="0" collapsed="false">
      <c r="A590" s="38" t="s">
        <v>168</v>
      </c>
      <c r="B590" s="28" t="s">
        <v>169</v>
      </c>
      <c r="C590" s="28" t="s">
        <v>170</v>
      </c>
      <c r="D590" s="28" t="s">
        <v>171</v>
      </c>
      <c r="E590" s="28" t="s">
        <v>172</v>
      </c>
      <c r="F590" s="28" t="s">
        <v>173</v>
      </c>
      <c r="G590" s="28" t="s">
        <v>174</v>
      </c>
      <c r="H590" s="28" t="s">
        <v>175</v>
      </c>
      <c r="I590" s="28" t="s">
        <v>176</v>
      </c>
      <c r="J590" s="28" t="s">
        <v>177</v>
      </c>
      <c r="K590" s="28" t="s">
        <v>178</v>
      </c>
      <c r="L590" s="28" t="s">
        <v>179</v>
      </c>
      <c r="M590" s="28" t="s">
        <v>180</v>
      </c>
      <c r="N590" s="28" t="s">
        <v>181</v>
      </c>
      <c r="O590" s="28" t="s">
        <v>182</v>
      </c>
      <c r="P590" s="28" t="s">
        <v>183</v>
      </c>
      <c r="Q590" s="28" t="s">
        <v>184</v>
      </c>
      <c r="R590" s="28" t="s">
        <v>185</v>
      </c>
      <c r="S590" s="28" t="s">
        <v>186</v>
      </c>
      <c r="T590" s="28" t="s">
        <v>187</v>
      </c>
    </row>
    <row r="591" customFormat="false" ht="15" hidden="false" customHeight="false" outlineLevel="0" collapsed="false">
      <c r="A591" s="5" t="n">
        <v>1</v>
      </c>
      <c r="B591" s="24" t="n">
        <v>-0.5</v>
      </c>
      <c r="C591" s="24" t="n">
        <v>1</v>
      </c>
      <c r="D591" s="41" t="n">
        <f aca="false">(B591+C591)/2</f>
        <v>0.25</v>
      </c>
      <c r="E591" s="15" t="n">
        <f aca="false">$C$2*(1+IF(E$3&lt;=$O$2,$D591,$D591-($D591-$I$589)*MIN(E$3-$O$2,$Q$2)/$Q$2))</f>
        <v>1087.5375</v>
      </c>
      <c r="F591" s="15" t="n">
        <f aca="false">E591*(1+IF(F$3&lt;=$O$2,$D591,$D591-($D591-$I$589)*MIN(F$3-$O$2,$Q$2)/$Q$2))</f>
        <v>1359.421875</v>
      </c>
      <c r="G591" s="15" t="n">
        <f aca="false">F591*(1+IF(G$3&lt;=$O$2,$D591,$D591-($D591-$I$589)*MIN(G$3-$O$2,$Q$2)/$Q$2))</f>
        <v>1699.27734375</v>
      </c>
      <c r="H591" s="15" t="n">
        <f aca="false">G591*(1+IF(H$3&lt;=$O$2,$D591,$D591-($D591-$I$589)*MIN(H$3-$O$2,$Q$2)/$Q$2))</f>
        <v>2124.0966796875</v>
      </c>
      <c r="I591" s="15" t="n">
        <f aca="false">H591*(1+IF(I$3&lt;=$O$2,$D591,$D591-($D591-$I$589)*MIN(I$3-$O$2,$Q$2)/$Q$2))</f>
        <v>2655.12084960938</v>
      </c>
      <c r="J591" s="15" t="n">
        <f aca="false">I591*(1+IF(J$3&lt;=$O$2,$D591,$D591-($D591-$I$589)*MIN(J$3-$O$2,$Q$2)/$Q$2))</f>
        <v>3195.86276184082</v>
      </c>
      <c r="K591" s="15" t="n">
        <f aca="false">J591*(1+IF(K$3&lt;=$O$2,$D591,$D591-($D591-$I$589)*MIN(K$3-$O$2,$Q$2)/$Q$2))</f>
        <v>3698.63589153362</v>
      </c>
      <c r="L591" s="15" t="n">
        <f aca="false">K591*(1+IF(L$3&lt;=$O$2,$D591,$D591-($D591-$I$589)*MIN(L$3-$O$2,$Q$2)/$Q$2))</f>
        <v>4109.11050277602</v>
      </c>
      <c r="M591" s="15" t="n">
        <f aca="false">L591*(1+IF(M$3&lt;=$O$2,$D591,$D591-($D591-$I$589)*MIN(M$3-$O$2,$Q$2)/$Q$2))</f>
        <v>4374.72340567546</v>
      </c>
      <c r="N591" s="15" t="n">
        <f aca="false">M591*(1+IF(N$3&lt;=$O$2,$D591,$D591-($D591-$I$589)*MIN(N$3-$O$2,$Q$2)/$Q$2))</f>
        <v>4454.78084399932</v>
      </c>
      <c r="O591" s="15" t="n">
        <f aca="false">SUMPRODUCT(E591:N591,1/(1+$F$589)^$E$3:$N$3)*$E$2</f>
        <v>3752.88319086787</v>
      </c>
      <c r="P591" s="15" t="n">
        <f aca="false">N591*$E$2*(1+$I$589)/($F$589-$I$589)/(1+$F$589)^$N$3</f>
        <v>6326.50780067769</v>
      </c>
      <c r="Q591" s="15" t="n">
        <f aca="false">O591+P591</f>
        <v>10079.3909915456</v>
      </c>
      <c r="R591" s="15" t="n">
        <f aca="false">Q591-$G$2+$I$2</f>
        <v>10246.7909915456</v>
      </c>
      <c r="S591" s="42" t="n">
        <f aca="false">R591/$K$2</f>
        <v>291.184739742698</v>
      </c>
      <c r="T591" s="43" t="n">
        <f aca="false">S591-$M$2</f>
        <v>126.649360373559</v>
      </c>
    </row>
    <row r="592" customFormat="false" ht="15" hidden="false" customHeight="false" outlineLevel="0" collapsed="false">
      <c r="A592" s="5" t="n">
        <v>2</v>
      </c>
      <c r="B592" s="25" t="n">
        <f aca="false">IF(T591&gt;0,B591,D591)</f>
        <v>-0.5</v>
      </c>
      <c r="C592" s="25" t="n">
        <f aca="false">IF(T591&gt;0,D591,C591)</f>
        <v>0.25</v>
      </c>
      <c r="D592" s="41" t="n">
        <f aca="false">(B592+C592)/2</f>
        <v>-0.125</v>
      </c>
      <c r="E592" s="15" t="n">
        <f aca="false">$C$2*(1+IF(E$3&lt;=$O$2,$D592,$D592-($D592-$I$589)*MIN(E$3-$O$2,$Q$2)/$Q$2))</f>
        <v>761.27625</v>
      </c>
      <c r="F592" s="15" t="n">
        <f aca="false">E592*(1+IF(F$3&lt;=$O$2,$D592,$D592-($D592-$I$589)*MIN(F$3-$O$2,$Q$2)/$Q$2))</f>
        <v>666.11671875</v>
      </c>
      <c r="G592" s="15" t="n">
        <f aca="false">F592*(1+IF(G$3&lt;=$O$2,$D592,$D592-($D592-$I$589)*MIN(G$3-$O$2,$Q$2)/$Q$2))</f>
        <v>582.85212890625</v>
      </c>
      <c r="H592" s="15" t="n">
        <f aca="false">G592*(1+IF(H$3&lt;=$O$2,$D592,$D592-($D592-$I$589)*MIN(H$3-$O$2,$Q$2)/$Q$2))</f>
        <v>509.995612792969</v>
      </c>
      <c r="I592" s="15" t="n">
        <f aca="false">H592*(1+IF(I$3&lt;=$O$2,$D592,$D592-($D592-$I$589)*MIN(I$3-$O$2,$Q$2)/$Q$2))</f>
        <v>446.246161193848</v>
      </c>
      <c r="J592" s="15" t="n">
        <f aca="false">I592*(1+IF(J$3&lt;=$O$2,$D592,$D592-($D592-$I$589)*MIN(J$3-$O$2,$Q$2)/$Q$2))</f>
        <v>403.254806024432</v>
      </c>
      <c r="K592" s="15" t="n">
        <f aca="false">J592*(1+IF(K$3&lt;=$O$2,$D592,$D592-($D592-$I$589)*MIN(K$3-$O$2,$Q$2)/$Q$2))</f>
        <v>375.962520752699</v>
      </c>
      <c r="L592" s="15" t="n">
        <f aca="false">K592*(1+IF(L$3&lt;=$O$2,$D592,$D592-($D592-$I$589)*MIN(L$3-$O$2,$Q$2)/$Q$2))</f>
        <v>361.292463192929</v>
      </c>
      <c r="M592" s="15" t="n">
        <f aca="false">L592*(1+IF(M$3&lt;=$O$2,$D592,$D592-($D592-$I$589)*MIN(M$3-$O$2,$Q$2)/$Q$2))</f>
        <v>357.54947327425</v>
      </c>
      <c r="N592" s="15" t="n">
        <f aca="false">M592*(1+IF(N$3&lt;=$O$2,$D592,$D592-($D592-$I$589)*MIN(N$3-$O$2,$Q$2)/$Q$2))</f>
        <v>364.092628635169</v>
      </c>
      <c r="O592" s="15" t="n">
        <f aca="false">SUMPRODUCT(E592:N592,1/(1+$F$589)^$E$3:$N$3)*$E$2</f>
        <v>745.292873630148</v>
      </c>
      <c r="P592" s="15" t="n">
        <f aca="false">N592*$E$2*(1+$I$589)/($F$589-$I$589)/(1+$F$589)^$N$3</f>
        <v>517.070297258823</v>
      </c>
      <c r="Q592" s="15" t="n">
        <f aca="false">O592+P592</f>
        <v>1262.36317088897</v>
      </c>
      <c r="R592" s="15" t="n">
        <f aca="false">Q592-$G$2+$I$2</f>
        <v>1429.76317088897</v>
      </c>
      <c r="S592" s="42" t="n">
        <f aca="false">R592/$K$2</f>
        <v>40.6298144611813</v>
      </c>
      <c r="T592" s="43" t="n">
        <f aca="false">S592-$M$2</f>
        <v>-123.905564907958</v>
      </c>
    </row>
    <row r="593" customFormat="false" ht="15" hidden="false" customHeight="false" outlineLevel="0" collapsed="false">
      <c r="A593" s="5" t="n">
        <v>3</v>
      </c>
      <c r="B593" s="25" t="n">
        <f aca="false">IF(T592&gt;0,B592,D592)</f>
        <v>-0.125</v>
      </c>
      <c r="C593" s="25" t="n">
        <f aca="false">IF(T592&gt;0,D592,C592)</f>
        <v>0.25</v>
      </c>
      <c r="D593" s="41" t="n">
        <f aca="false">(B593+C593)/2</f>
        <v>0.0625</v>
      </c>
      <c r="E593" s="15" t="n">
        <f aca="false">$C$2*(1+IF(E$3&lt;=$O$2,$D593,$D593-($D593-$I$589)*MIN(E$3-$O$2,$Q$2)/$Q$2))</f>
        <v>924.406875</v>
      </c>
      <c r="F593" s="15" t="n">
        <f aca="false">E593*(1+IF(F$3&lt;=$O$2,$D593,$D593-($D593-$I$589)*MIN(F$3-$O$2,$Q$2)/$Q$2))</f>
        <v>982.1823046875</v>
      </c>
      <c r="G593" s="15" t="n">
        <f aca="false">F593*(1+IF(G$3&lt;=$O$2,$D593,$D593-($D593-$I$589)*MIN(G$3-$O$2,$Q$2)/$Q$2))</f>
        <v>1043.56869873047</v>
      </c>
      <c r="H593" s="15" t="n">
        <f aca="false">G593*(1+IF(H$3&lt;=$O$2,$D593,$D593-($D593-$I$589)*MIN(H$3-$O$2,$Q$2)/$Q$2))</f>
        <v>1108.79174240112</v>
      </c>
      <c r="I593" s="15" t="n">
        <f aca="false">H593*(1+IF(I$3&lt;=$O$2,$D593,$D593-($D593-$I$589)*MIN(I$3-$O$2,$Q$2)/$Q$2))</f>
        <v>1178.09122630119</v>
      </c>
      <c r="J593" s="15" t="n">
        <f aca="false">I593*(1+IF(J$3&lt;=$O$2,$D593,$D593-($D593-$I$589)*MIN(J$3-$O$2,$Q$2)/$Q$2))</f>
        <v>1241.30760150452</v>
      </c>
      <c r="K593" s="15" t="n">
        <f aca="false">J593*(1+IF(K$3&lt;=$O$2,$D593,$D593-($D593-$I$589)*MIN(K$3-$O$2,$Q$2)/$Q$2))</f>
        <v>1296.94300820395</v>
      </c>
      <c r="L593" s="15" t="n">
        <f aca="false">K593*(1+IF(L$3&lt;=$O$2,$D593,$D593-($D593-$I$589)*MIN(L$3-$O$2,$Q$2)/$Q$2))</f>
        <v>1343.60701763913</v>
      </c>
      <c r="M593" s="15" t="n">
        <f aca="false">L593*(1+IF(M$3&lt;=$O$2,$D593,$D593-($D593-$I$589)*MIN(M$3-$O$2,$Q$2)/$Q$2))</f>
        <v>1380.07251209785</v>
      </c>
      <c r="N593" s="15" t="n">
        <f aca="false">M593*(1+IF(N$3&lt;=$O$2,$D593,$D593-($D593-$I$589)*MIN(N$3-$O$2,$Q$2)/$Q$2))</f>
        <v>1405.32783906924</v>
      </c>
      <c r="O593" s="15" t="n">
        <f aca="false">SUMPRODUCT(E593:N593,1/(1+$F$589)^$E$3:$N$3)*$E$2</f>
        <v>1668.95990455776</v>
      </c>
      <c r="P593" s="15" t="n">
        <f aca="false">N593*$E$2*(1+$I$589)/($F$589-$I$589)/(1+$F$589)^$N$3</f>
        <v>1995.7923515715</v>
      </c>
      <c r="Q593" s="15" t="n">
        <f aca="false">O593+P593</f>
        <v>3664.75225612926</v>
      </c>
      <c r="R593" s="15" t="n">
        <f aca="false">Q593-$G$2+$I$2</f>
        <v>3832.15225612926</v>
      </c>
      <c r="S593" s="42" t="n">
        <f aca="false">R593/$K$2</f>
        <v>108.898899009072</v>
      </c>
      <c r="T593" s="43" t="n">
        <f aca="false">S593-$M$2</f>
        <v>-55.6364803600667</v>
      </c>
    </row>
    <row r="594" customFormat="false" ht="15" hidden="false" customHeight="false" outlineLevel="0" collapsed="false">
      <c r="A594" s="5" t="n">
        <v>4</v>
      </c>
      <c r="B594" s="25" t="n">
        <f aca="false">IF(T593&gt;0,B593,D593)</f>
        <v>0.0625</v>
      </c>
      <c r="C594" s="25" t="n">
        <f aca="false">IF(T593&gt;0,D593,C593)</f>
        <v>0.25</v>
      </c>
      <c r="D594" s="41" t="n">
        <f aca="false">(B594+C594)/2</f>
        <v>0.15625</v>
      </c>
      <c r="E594" s="15" t="n">
        <f aca="false">$C$2*(1+IF(E$3&lt;=$O$2,$D594,$D594-($D594-$I$589)*MIN(E$3-$O$2,$Q$2)/$Q$2))</f>
        <v>1005.9721875</v>
      </c>
      <c r="F594" s="15" t="n">
        <f aca="false">E594*(1+IF(F$3&lt;=$O$2,$D594,$D594-($D594-$I$589)*MIN(F$3-$O$2,$Q$2)/$Q$2))</f>
        <v>1163.15534179688</v>
      </c>
      <c r="G594" s="15" t="n">
        <f aca="false">F594*(1+IF(G$3&lt;=$O$2,$D594,$D594-($D594-$I$589)*MIN(G$3-$O$2,$Q$2)/$Q$2))</f>
        <v>1344.89836395264</v>
      </c>
      <c r="H594" s="15" t="n">
        <f aca="false">G594*(1+IF(H$3&lt;=$O$2,$D594,$D594-($D594-$I$589)*MIN(H$3-$O$2,$Q$2)/$Q$2))</f>
        <v>1555.03873332024</v>
      </c>
      <c r="I594" s="15" t="n">
        <f aca="false">H594*(1+IF(I$3&lt;=$O$2,$D594,$D594-($D594-$I$589)*MIN(I$3-$O$2,$Q$2)/$Q$2))</f>
        <v>1798.01353540152</v>
      </c>
      <c r="J594" s="15" t="n">
        <f aca="false">I594*(1+IF(J$3&lt;=$O$2,$D594,$D594-($D594-$I$589)*MIN(J$3-$O$2,$Q$2)/$Q$2))</f>
        <v>2029.34595686628</v>
      </c>
      <c r="K594" s="15" t="n">
        <f aca="false">J594*(1+IF(K$3&lt;=$O$2,$D594,$D594-($D594-$I$589)*MIN(K$3-$O$2,$Q$2)/$Q$2))</f>
        <v>2234.45195272676</v>
      </c>
      <c r="L594" s="15" t="n">
        <f aca="false">K594*(1+IF(L$3&lt;=$O$2,$D594,$D594-($D594-$I$589)*MIN(L$3-$O$2,$Q$2)/$Q$2))</f>
        <v>2398.63948221312</v>
      </c>
      <c r="M594" s="15" t="n">
        <f aca="false">L594*(1+IF(M$3&lt;=$O$2,$D594,$D594-($D594-$I$589)*MIN(M$3-$O$2,$Q$2)/$Q$2))</f>
        <v>2508.71304805188</v>
      </c>
      <c r="N594" s="15" t="n">
        <f aca="false">M594*(1+IF(N$3&lt;=$O$2,$D594,$D594-($D594-$I$589)*MIN(N$3-$O$2,$Q$2)/$Q$2))</f>
        <v>2554.62249683123</v>
      </c>
      <c r="O594" s="15" t="n">
        <f aca="false">SUMPRODUCT(E594:N594,1/(1+$F$589)^$E$3:$N$3)*$E$2</f>
        <v>2507.07211717676</v>
      </c>
      <c r="P594" s="15" t="n">
        <f aca="false">N594*$E$2*(1+$I$589)/($F$589-$I$589)/(1+$F$589)^$N$3</f>
        <v>3627.97626189845</v>
      </c>
      <c r="Q594" s="15" t="n">
        <f aca="false">O594+P594</f>
        <v>6135.04837907521</v>
      </c>
      <c r="R594" s="15" t="n">
        <f aca="false">Q594-$G$2+$I$2</f>
        <v>6302.44837907521</v>
      </c>
      <c r="S594" s="42" t="n">
        <f aca="false">R594/$K$2</f>
        <v>179.097708981961</v>
      </c>
      <c r="T594" s="43" t="n">
        <f aca="false">S594-$M$2</f>
        <v>14.5623296128221</v>
      </c>
    </row>
    <row r="595" customFormat="false" ht="15" hidden="false" customHeight="false" outlineLevel="0" collapsed="false">
      <c r="A595" s="5" t="n">
        <v>5</v>
      </c>
      <c r="B595" s="25" t="n">
        <f aca="false">IF(T594&gt;0,B594,D594)</f>
        <v>0.0625</v>
      </c>
      <c r="C595" s="25" t="n">
        <f aca="false">IF(T594&gt;0,D594,C594)</f>
        <v>0.15625</v>
      </c>
      <c r="D595" s="41" t="n">
        <f aca="false">(B595+C595)/2</f>
        <v>0.109375</v>
      </c>
      <c r="E595" s="15" t="n">
        <f aca="false">$C$2*(1+IF(E$3&lt;=$O$2,$D595,$D595-($D595-$I$589)*MIN(E$3-$O$2,$Q$2)/$Q$2))</f>
        <v>965.18953125</v>
      </c>
      <c r="F595" s="15" t="n">
        <f aca="false">E595*(1+IF(F$3&lt;=$O$2,$D595,$D595-($D595-$I$589)*MIN(F$3-$O$2,$Q$2)/$Q$2))</f>
        <v>1070.75713623047</v>
      </c>
      <c r="G595" s="15" t="n">
        <f aca="false">F595*(1+IF(G$3&lt;=$O$2,$D595,$D595-($D595-$I$589)*MIN(G$3-$O$2,$Q$2)/$Q$2))</f>
        <v>1187.87119800568</v>
      </c>
      <c r="H595" s="15" t="n">
        <f aca="false">G595*(1+IF(H$3&lt;=$O$2,$D595,$D595-($D595-$I$589)*MIN(H$3-$O$2,$Q$2)/$Q$2))</f>
        <v>1317.79461028755</v>
      </c>
      <c r="I595" s="15" t="n">
        <f aca="false">H595*(1+IF(I$3&lt;=$O$2,$D595,$D595-($D595-$I$589)*MIN(I$3-$O$2,$Q$2)/$Q$2))</f>
        <v>1461.92839578775</v>
      </c>
      <c r="J595" s="15" t="n">
        <f aca="false">I595*(1+IF(J$3&lt;=$O$2,$D595,$D595-($D595-$I$589)*MIN(J$3-$O$2,$Q$2)/$Q$2))</f>
        <v>1595.19778834776</v>
      </c>
      <c r="K595" s="15" t="n">
        <f aca="false">J595*(1+IF(K$3&lt;=$O$2,$D595,$D595-($D595-$I$589)*MIN(K$3-$O$2,$Q$2)/$Q$2))</f>
        <v>1711.55949101879</v>
      </c>
      <c r="L595" s="15" t="n">
        <f aca="false">K595*(1+IF(L$3&lt;=$O$2,$D595,$D595-($D595-$I$589)*MIN(L$3-$O$2,$Q$2)/$Q$2))</f>
        <v>1805.23314196224</v>
      </c>
      <c r="M595" s="15" t="n">
        <f aca="false">L595*(1+IF(M$3&lt;=$O$2,$D595,$D595-($D595-$I$589)*MIN(M$3-$O$2,$Q$2)/$Q$2))</f>
        <v>1871.151230141</v>
      </c>
      <c r="N595" s="15" t="n">
        <f aca="false">M595*(1+IF(N$3&lt;=$O$2,$D595,$D595-($D595-$I$589)*MIN(N$3-$O$2,$Q$2)/$Q$2))</f>
        <v>1905.39329765258</v>
      </c>
      <c r="O595" s="15" t="n">
        <f aca="false">SUMPRODUCT(E595:N595,1/(1+$F$589)^$E$3:$N$3)*$E$2</f>
        <v>2045.91411123798</v>
      </c>
      <c r="P595" s="15" t="n">
        <f aca="false">N595*$E$2*(1+$I$589)/($F$589-$I$589)/(1+$F$589)^$N$3</f>
        <v>2705.96601338888</v>
      </c>
      <c r="Q595" s="15" t="n">
        <f aca="false">O595+P595</f>
        <v>4751.88012462686</v>
      </c>
      <c r="R595" s="15" t="n">
        <f aca="false">Q595-$G$2+$I$2</f>
        <v>4919.28012462687</v>
      </c>
      <c r="S595" s="42" t="n">
        <f aca="false">R595/$K$2</f>
        <v>139.791989901303</v>
      </c>
      <c r="T595" s="43" t="n">
        <f aca="false">S595-$M$2</f>
        <v>-24.7433894678357</v>
      </c>
    </row>
    <row r="596" customFormat="false" ht="15" hidden="false" customHeight="false" outlineLevel="0" collapsed="false">
      <c r="A596" s="5" t="n">
        <v>6</v>
      </c>
      <c r="B596" s="25" t="n">
        <f aca="false">IF(T595&gt;0,B595,D595)</f>
        <v>0.109375</v>
      </c>
      <c r="C596" s="25" t="n">
        <f aca="false">IF(T595&gt;0,D595,C595)</f>
        <v>0.15625</v>
      </c>
      <c r="D596" s="41" t="n">
        <f aca="false">(B596+C596)/2</f>
        <v>0.1328125</v>
      </c>
      <c r="E596" s="15" t="n">
        <f aca="false">$C$2*(1+IF(E$3&lt;=$O$2,$D596,$D596-($D596-$I$589)*MIN(E$3-$O$2,$Q$2)/$Q$2))</f>
        <v>985.580859375</v>
      </c>
      <c r="F596" s="15" t="n">
        <f aca="false">E596*(1+IF(F$3&lt;=$O$2,$D596,$D596-($D596-$I$589)*MIN(F$3-$O$2,$Q$2)/$Q$2))</f>
        <v>1116.47831726074</v>
      </c>
      <c r="G596" s="15" t="n">
        <f aca="false">F596*(1+IF(G$3&lt;=$O$2,$D596,$D596-($D596-$I$589)*MIN(G$3-$O$2,$Q$2)/$Q$2))</f>
        <v>1264.76059377193</v>
      </c>
      <c r="H596" s="15" t="n">
        <f aca="false">G596*(1+IF(H$3&lt;=$O$2,$D596,$D596-($D596-$I$589)*MIN(H$3-$O$2,$Q$2)/$Q$2))</f>
        <v>1432.73661013227</v>
      </c>
      <c r="I596" s="15" t="n">
        <f aca="false">H596*(1+IF(I$3&lt;=$O$2,$D596,$D596-($D596-$I$589)*MIN(I$3-$O$2,$Q$2)/$Q$2))</f>
        <v>1623.02194116546</v>
      </c>
      <c r="J596" s="15" t="n">
        <f aca="false">I596*(1+IF(J$3&lt;=$O$2,$D596,$D596-($D596-$I$589)*MIN(J$3-$O$2,$Q$2)/$Q$2))</f>
        <v>1801.40828271896</v>
      </c>
      <c r="K596" s="15" t="n">
        <f aca="false">J596*(1+IF(K$3&lt;=$O$2,$D596,$D596-($D596-$I$589)*MIN(K$3-$O$2,$Q$2)/$Q$2))</f>
        <v>1958.14431387763</v>
      </c>
      <c r="L596" s="15" t="n">
        <f aca="false">K596*(1+IF(L$3&lt;=$O$2,$D596,$D596-($D596-$I$589)*MIN(L$3-$O$2,$Q$2)/$Q$2))</f>
        <v>2083.67115511875</v>
      </c>
      <c r="M596" s="15" t="n">
        <f aca="false">L596*(1+IF(M$3&lt;=$O$2,$D596,$D596-($D596-$I$589)*MIN(M$3-$O$2,$Q$2)/$Q$2))</f>
        <v>2169.52361588753</v>
      </c>
      <c r="N596" s="15" t="n">
        <f aca="false">M596*(1+IF(N$3&lt;=$O$2,$D596,$D596-($D596-$I$589)*MIN(N$3-$O$2,$Q$2)/$Q$2))</f>
        <v>2209.22589805827</v>
      </c>
      <c r="O596" s="15" t="n">
        <f aca="false">SUMPRODUCT(E596:N596,1/(1+$F$589)^$E$3:$N$3)*$E$2</f>
        <v>2264.9684585989</v>
      </c>
      <c r="P596" s="15" t="n">
        <f aca="false">N596*$E$2*(1+$I$589)/($F$589-$I$589)/(1+$F$589)^$N$3</f>
        <v>3137.45734458558</v>
      </c>
      <c r="Q596" s="15" t="n">
        <f aca="false">O596+P596</f>
        <v>5402.42580318448</v>
      </c>
      <c r="R596" s="15" t="n">
        <f aca="false">Q596-$G$2+$I$2</f>
        <v>5569.82580318448</v>
      </c>
      <c r="S596" s="42" t="n">
        <f aca="false">R596/$K$2</f>
        <v>158.278653116922</v>
      </c>
      <c r="T596" s="43" t="n">
        <f aca="false">S596-$M$2</f>
        <v>-6.25672625221702</v>
      </c>
    </row>
    <row r="597" customFormat="false" ht="15" hidden="false" customHeight="false" outlineLevel="0" collapsed="false">
      <c r="A597" s="5" t="n">
        <v>7</v>
      </c>
      <c r="B597" s="25" t="n">
        <f aca="false">IF(T596&gt;0,B596,D596)</f>
        <v>0.1328125</v>
      </c>
      <c r="C597" s="25" t="n">
        <f aca="false">IF(T596&gt;0,D596,C596)</f>
        <v>0.15625</v>
      </c>
      <c r="D597" s="41" t="n">
        <f aca="false">(B597+C597)/2</f>
        <v>0.14453125</v>
      </c>
      <c r="E597" s="15" t="n">
        <f aca="false">$C$2*(1+IF(E$3&lt;=$O$2,$D597,$D597-($D597-$I$589)*MIN(E$3-$O$2,$Q$2)/$Q$2))</f>
        <v>995.7765234375</v>
      </c>
      <c r="F597" s="15" t="n">
        <f aca="false">E597*(1+IF(F$3&lt;=$O$2,$D597,$D597-($D597-$I$589)*MIN(F$3-$O$2,$Q$2)/$Q$2))</f>
        <v>1139.69734909058</v>
      </c>
      <c r="G597" s="15" t="n">
        <f aca="false">F597*(1+IF(G$3&lt;=$O$2,$D597,$D597-($D597-$I$589)*MIN(G$3-$O$2,$Q$2)/$Q$2))</f>
        <v>1304.41923157632</v>
      </c>
      <c r="H597" s="15" t="n">
        <f aca="false">G597*(1+IF(H$3&lt;=$O$2,$D597,$D597-($D597-$I$589)*MIN(H$3-$O$2,$Q$2)/$Q$2))</f>
        <v>1492.94857364009</v>
      </c>
      <c r="I597" s="15" t="n">
        <f aca="false">H597*(1+IF(I$3&lt;=$O$2,$D597,$D597-($D597-$I$589)*MIN(I$3-$O$2,$Q$2)/$Q$2))</f>
        <v>1708.72629717401</v>
      </c>
      <c r="J597" s="15" t="n">
        <f aca="false">I597*(1+IF(J$3&lt;=$O$2,$D597,$D597-($D597-$I$589)*MIN(J$3-$O$2,$Q$2)/$Q$2))</f>
        <v>1912.55171353241</v>
      </c>
      <c r="K597" s="15" t="n">
        <f aca="false">J597*(1+IF(K$3&lt;=$O$2,$D597,$D597-($D597-$I$589)*MIN(K$3-$O$2,$Q$2)/$Q$2))</f>
        <v>2092.40568598336</v>
      </c>
      <c r="L597" s="15" t="n">
        <f aca="false">K597*(1+IF(L$3&lt;=$O$2,$D597,$D597-($D597-$I$589)*MIN(L$3-$O$2,$Q$2)/$Q$2))</f>
        <v>2236.34750413637</v>
      </c>
      <c r="M597" s="15" t="n">
        <f aca="false">L597*(1+IF(M$3&lt;=$O$2,$D597,$D597-($D597-$I$589)*MIN(M$3-$O$2,$Q$2)/$Q$2))</f>
        <v>2333.73205163836</v>
      </c>
      <c r="N597" s="15" t="n">
        <f aca="false">M597*(1+IF(N$3&lt;=$O$2,$D597,$D597-($D597-$I$589)*MIN(N$3-$O$2,$Q$2)/$Q$2))</f>
        <v>2376.43934818335</v>
      </c>
      <c r="O597" s="15" t="n">
        <f aca="false">SUMPRODUCT(E597:N597,1/(1+$F$589)^$E$3:$N$3)*$E$2</f>
        <v>2383.00529950931</v>
      </c>
      <c r="P597" s="15" t="n">
        <f aca="false">N597*$E$2*(1+$I$589)/($F$589-$I$589)/(1+$F$589)^$N$3</f>
        <v>3374.92743203545</v>
      </c>
      <c r="Q597" s="15" t="n">
        <f aca="false">O597+P597</f>
        <v>5757.93273154476</v>
      </c>
      <c r="R597" s="15" t="n">
        <f aca="false">Q597-$G$2+$I$2</f>
        <v>5925.33273154476</v>
      </c>
      <c r="S597" s="42" t="n">
        <f aca="false">R597/$K$2</f>
        <v>168.381151791553</v>
      </c>
      <c r="T597" s="43" t="n">
        <f aca="false">S597-$M$2</f>
        <v>3.8457724224142</v>
      </c>
    </row>
    <row r="598" customFormat="false" ht="15" hidden="false" customHeight="false" outlineLevel="0" collapsed="false">
      <c r="A598" s="5" t="n">
        <v>8</v>
      </c>
      <c r="B598" s="25" t="n">
        <f aca="false">IF(T597&gt;0,B597,D597)</f>
        <v>0.1328125</v>
      </c>
      <c r="C598" s="25" t="n">
        <f aca="false">IF(T597&gt;0,D597,C597)</f>
        <v>0.14453125</v>
      </c>
      <c r="D598" s="41" t="n">
        <f aca="false">(B598+C598)/2</f>
        <v>0.138671875</v>
      </c>
      <c r="E598" s="15" t="n">
        <f aca="false">$C$2*(1+IF(E$3&lt;=$O$2,$D598,$D598-($D598-$I$589)*MIN(E$3-$O$2,$Q$2)/$Q$2))</f>
        <v>990.67869140625</v>
      </c>
      <c r="F598" s="15" t="n">
        <f aca="false">E598*(1+IF(F$3&lt;=$O$2,$D598,$D598-($D598-$I$589)*MIN(F$3-$O$2,$Q$2)/$Q$2))</f>
        <v>1128.0579630661</v>
      </c>
      <c r="G598" s="15" t="n">
        <f aca="false">F598*(1+IF(G$3&lt;=$O$2,$D598,$D598-($D598-$I$589)*MIN(G$3-$O$2,$Q$2)/$Q$2))</f>
        <v>1284.48787591316</v>
      </c>
      <c r="H598" s="15" t="n">
        <f aca="false">G598*(1+IF(H$3&lt;=$O$2,$D598,$D598-($D598-$I$589)*MIN(H$3-$O$2,$Q$2)/$Q$2))</f>
        <v>1462.6102180808</v>
      </c>
      <c r="I598" s="15" t="n">
        <f aca="false">H598*(1+IF(I$3&lt;=$O$2,$D598,$D598-($D598-$I$589)*MIN(I$3-$O$2,$Q$2)/$Q$2))</f>
        <v>1665.43311941623</v>
      </c>
      <c r="J598" s="15" t="n">
        <f aca="false">I598*(1+IF(J$3&lt;=$O$2,$D598,$D598-($D598-$I$589)*MIN(J$3-$O$2,$Q$2)/$Q$2))</f>
        <v>1856.28759131853</v>
      </c>
      <c r="K598" s="15" t="n">
        <f aca="false">J598*(1+IF(K$3&lt;=$O$2,$D598,$D598-($D598-$I$589)*MIN(K$3-$O$2,$Q$2)/$Q$2))</f>
        <v>2024.3245449834</v>
      </c>
      <c r="L598" s="15" t="n">
        <f aca="false">K598*(1+IF(L$3&lt;=$O$2,$D598,$D598-($D598-$I$589)*MIN(L$3-$O$2,$Q$2)/$Q$2))</f>
        <v>2158.83838059187</v>
      </c>
      <c r="M598" s="15" t="n">
        <f aca="false">L598*(1+IF(M$3&lt;=$O$2,$D598,$D598-($D598-$I$589)*MIN(M$3-$O$2,$Q$2)/$Q$2))</f>
        <v>2250.31780769546</v>
      </c>
      <c r="N598" s="15" t="n">
        <f aca="false">M598*(1+IF(N$3&lt;=$O$2,$D598,$D598-($D598-$I$589)*MIN(N$3-$O$2,$Q$2)/$Q$2))</f>
        <v>2291.49862357629</v>
      </c>
      <c r="O598" s="15" t="n">
        <f aca="false">SUMPRODUCT(E598:N598,1/(1+$F$589)^$E$3:$N$3)*$E$2</f>
        <v>2323.25027574865</v>
      </c>
      <c r="P598" s="15" t="n">
        <f aca="false">N598*$E$2*(1+$I$589)/($F$589-$I$589)/(1+$F$589)^$N$3</f>
        <v>3254.2978936496</v>
      </c>
      <c r="Q598" s="15" t="n">
        <f aca="false">O598+P598</f>
        <v>5577.54816939825</v>
      </c>
      <c r="R598" s="15" t="n">
        <f aca="false">Q598-$G$2+$I$2</f>
        <v>5744.94816939825</v>
      </c>
      <c r="S598" s="42" t="n">
        <f aca="false">R598/$K$2</f>
        <v>163.255134111914</v>
      </c>
      <c r="T598" s="43" t="n">
        <f aca="false">S598-$M$2</f>
        <v>-1.28024525722512</v>
      </c>
    </row>
    <row r="599" customFormat="false" ht="15" hidden="false" customHeight="false" outlineLevel="0" collapsed="false">
      <c r="A599" s="5" t="n">
        <v>9</v>
      </c>
      <c r="B599" s="25" t="n">
        <f aca="false">IF(T598&gt;0,B598,D598)</f>
        <v>0.138671875</v>
      </c>
      <c r="C599" s="25" t="n">
        <f aca="false">IF(T598&gt;0,D598,C598)</f>
        <v>0.14453125</v>
      </c>
      <c r="D599" s="41" t="n">
        <f aca="false">(B599+C599)/2</f>
        <v>0.1416015625</v>
      </c>
      <c r="E599" s="15" t="n">
        <f aca="false">$C$2*(1+IF(E$3&lt;=$O$2,$D599,$D599-($D599-$I$589)*MIN(E$3-$O$2,$Q$2)/$Q$2))</f>
        <v>993.227607421875</v>
      </c>
      <c r="F599" s="15" t="n">
        <f aca="false">E599*(1+IF(F$3&lt;=$O$2,$D599,$D599-($D599-$I$589)*MIN(F$3-$O$2,$Q$2)/$Q$2))</f>
        <v>1133.87018855095</v>
      </c>
      <c r="G599" s="15" t="n">
        <f aca="false">F599*(1+IF(G$3&lt;=$O$2,$D599,$D599-($D599-$I$589)*MIN(G$3-$O$2,$Q$2)/$Q$2))</f>
        <v>1294.42797892193</v>
      </c>
      <c r="H599" s="15" t="n">
        <f aca="false">G599*(1+IF(H$3&lt;=$O$2,$D599,$D599-($D599-$I$589)*MIN(H$3-$O$2,$Q$2)/$Q$2))</f>
        <v>1477.721003281</v>
      </c>
      <c r="I599" s="15" t="n">
        <f aca="false">H599*(1+IF(I$3&lt;=$O$2,$D599,$D599-($D599-$I$589)*MIN(I$3-$O$2,$Q$2)/$Q$2))</f>
        <v>1686.96860628465</v>
      </c>
      <c r="J599" s="15" t="n">
        <f aca="false">I599*(1+IF(J$3&lt;=$O$2,$D599,$D599-($D599-$I$589)*MIN(J$3-$O$2,$Q$2)/$Q$2))</f>
        <v>1884.24482381434</v>
      </c>
      <c r="K599" s="15" t="n">
        <f aca="false">J599*(1+IF(K$3&lt;=$O$2,$D599,$D599-($D599-$I$589)*MIN(K$3-$O$2,$Q$2)/$Q$2))</f>
        <v>2058.12470263545</v>
      </c>
      <c r="L599" s="15" t="n">
        <f aca="false">K599*(1+IF(L$3&lt;=$O$2,$D599,$D599-($D599-$I$589)*MIN(L$3-$O$2,$Q$2)/$Q$2))</f>
        <v>2197.2963813556</v>
      </c>
      <c r="M599" s="15" t="n">
        <f aca="false">L599*(1+IF(M$3&lt;=$O$2,$D599,$D599-($D599-$I$589)*MIN(M$3-$O$2,$Q$2)/$Q$2))</f>
        <v>2291.69292055375</v>
      </c>
      <c r="N599" s="15" t="n">
        <f aca="false">M599*(1+IF(N$3&lt;=$O$2,$D599,$D599-($D599-$I$589)*MIN(N$3-$O$2,$Q$2)/$Q$2))</f>
        <v>2333.63090099988</v>
      </c>
      <c r="O599" s="15" t="n">
        <f aca="false">SUMPRODUCT(E599:N599,1/(1+$F$589)^$E$3:$N$3)*$E$2</f>
        <v>2352.9415202803</v>
      </c>
      <c r="P599" s="15" t="n">
        <f aca="false">N599*$E$2*(1+$I$589)/($F$589-$I$589)/(1+$F$589)^$N$3</f>
        <v>3314.13252774608</v>
      </c>
      <c r="Q599" s="15" t="n">
        <f aca="false">O599+P599</f>
        <v>5667.07404802637</v>
      </c>
      <c r="R599" s="15" t="n">
        <f aca="false">Q599-$G$2+$I$2</f>
        <v>5834.47404802637</v>
      </c>
      <c r="S599" s="42" t="n">
        <f aca="false">R599/$K$2</f>
        <v>165.799205684182</v>
      </c>
      <c r="T599" s="43" t="n">
        <f aca="false">S599-$M$2</f>
        <v>1.26382631504322</v>
      </c>
    </row>
    <row r="600" customFormat="false" ht="15" hidden="false" customHeight="false" outlineLevel="0" collapsed="false">
      <c r="A600" s="5" t="n">
        <v>10</v>
      </c>
      <c r="B600" s="25" t="n">
        <f aca="false">IF(T599&gt;0,B599,D599)</f>
        <v>0.138671875</v>
      </c>
      <c r="C600" s="25" t="n">
        <f aca="false">IF(T599&gt;0,D599,C599)</f>
        <v>0.1416015625</v>
      </c>
      <c r="D600" s="41" t="n">
        <f aca="false">(B600+C600)/2</f>
        <v>0.14013671875</v>
      </c>
      <c r="E600" s="15" t="n">
        <f aca="false">$C$2*(1+IF(E$3&lt;=$O$2,$D600,$D600-($D600-$I$589)*MIN(E$3-$O$2,$Q$2)/$Q$2))</f>
        <v>991.953149414063</v>
      </c>
      <c r="F600" s="15" t="n">
        <f aca="false">E600*(1+IF(F$3&lt;=$O$2,$D600,$D600-($D600-$I$589)*MIN(F$3-$O$2,$Q$2)/$Q$2))</f>
        <v>1130.96220892668</v>
      </c>
      <c r="G600" s="15" t="n">
        <f aca="false">F600*(1+IF(G$3&lt;=$O$2,$D600,$D600-($D600-$I$589)*MIN(G$3-$O$2,$Q$2)/$Q$2))</f>
        <v>1289.45154191591</v>
      </c>
      <c r="H600" s="15" t="n">
        <f aca="false">G600*(1+IF(H$3&lt;=$O$2,$D600,$D600-($D600-$I$589)*MIN(H$3-$O$2,$Q$2)/$Q$2))</f>
        <v>1470.15104998714</v>
      </c>
      <c r="I600" s="15" t="n">
        <f aca="false">H600*(1+IF(I$3&lt;=$O$2,$D600,$D600-($D600-$I$589)*MIN(I$3-$O$2,$Q$2)/$Q$2))</f>
        <v>1676.1731941992</v>
      </c>
      <c r="J600" s="15" t="n">
        <f aca="false">I600*(1+IF(J$3&lt;=$O$2,$D600,$D600-($D600-$I$589)*MIN(J$3-$O$2,$Q$2)/$Q$2))</f>
        <v>1870.2227172834</v>
      </c>
      <c r="K600" s="15" t="n">
        <f aca="false">J600*(1+IF(K$3&lt;=$O$2,$D600,$D600-($D600-$I$589)*MIN(K$3-$O$2,$Q$2)/$Q$2))</f>
        <v>2041.164872533</v>
      </c>
      <c r="L600" s="15" t="n">
        <f aca="false">K600*(1+IF(L$3&lt;=$O$2,$D600,$D600-($D600-$I$589)*MIN(L$3-$O$2,$Q$2)/$Q$2))</f>
        <v>2177.99372189922</v>
      </c>
      <c r="M600" s="15" t="n">
        <f aca="false">L600*(1+IF(M$3&lt;=$O$2,$D600,$D600-($D600-$I$589)*MIN(M$3-$O$2,$Q$2)/$Q$2))</f>
        <v>2270.92292871684</v>
      </c>
      <c r="N600" s="15" t="n">
        <f aca="false">M600*(1+IF(N$3&lt;=$O$2,$D600,$D600-($D600-$I$589)*MIN(N$3-$O$2,$Q$2)/$Q$2))</f>
        <v>2312.48081831236</v>
      </c>
      <c r="O600" s="15" t="n">
        <f aca="false">SUMPRODUCT(E600:N600,1/(1+$F$589)^$E$3:$N$3)*$E$2</f>
        <v>2338.049597381</v>
      </c>
      <c r="P600" s="15" t="n">
        <f aca="false">N600*$E$2*(1+$I$589)/($F$589-$I$589)/(1+$F$589)^$N$3</f>
        <v>3284.09599670373</v>
      </c>
      <c r="Q600" s="15" t="n">
        <f aca="false">O600+P600</f>
        <v>5622.14559408473</v>
      </c>
      <c r="R600" s="15" t="n">
        <f aca="false">Q600-$G$2+$I$2</f>
        <v>5789.54559408474</v>
      </c>
      <c r="S600" s="42" t="n">
        <f aca="false">R600/$K$2</f>
        <v>164.522466441737</v>
      </c>
      <c r="T600" s="43" t="n">
        <f aca="false">S600-$M$2</f>
        <v>-0.0129129274017146</v>
      </c>
    </row>
    <row r="601" customFormat="false" ht="15" hidden="false" customHeight="false" outlineLevel="0" collapsed="false">
      <c r="A601" s="5" t="n">
        <v>11</v>
      </c>
      <c r="B601" s="25" t="n">
        <f aca="false">IF(T600&gt;0,B600,D600)</f>
        <v>0.14013671875</v>
      </c>
      <c r="C601" s="25" t="n">
        <f aca="false">IF(T600&gt;0,D600,C600)</f>
        <v>0.1416015625</v>
      </c>
      <c r="D601" s="41" t="n">
        <f aca="false">(B601+C601)/2</f>
        <v>0.140869140625</v>
      </c>
      <c r="E601" s="15" t="n">
        <f aca="false">$C$2*(1+IF(E$3&lt;=$O$2,$D601,$D601-($D601-$I$589)*MIN(E$3-$O$2,$Q$2)/$Q$2))</f>
        <v>992.590378417969</v>
      </c>
      <c r="F601" s="15" t="n">
        <f aca="false">E601*(1+IF(F$3&lt;=$O$2,$D601,$D601-($D601-$I$589)*MIN(F$3-$O$2,$Q$2)/$Q$2))</f>
        <v>1132.41573201835</v>
      </c>
      <c r="G601" s="15" t="n">
        <f aca="false">F601*(1+IF(G$3&lt;=$O$2,$D601,$D601-($D601-$I$589)*MIN(G$3-$O$2,$Q$2)/$Q$2))</f>
        <v>1291.93816301801</v>
      </c>
      <c r="H601" s="15" t="n">
        <f aca="false">G601*(1+IF(H$3&lt;=$O$2,$D601,$D601-($D601-$I$589)*MIN(H$3-$O$2,$Q$2)/$Q$2))</f>
        <v>1473.93238178299</v>
      </c>
      <c r="I601" s="15" t="n">
        <f aca="false">H601*(1+IF(I$3&lt;=$O$2,$D601,$D601-($D601-$I$589)*MIN(I$3-$O$2,$Q$2)/$Q$2))</f>
        <v>1681.56396974412</v>
      </c>
      <c r="J601" s="15" t="n">
        <f aca="false">I601*(1+IF(J$3&lt;=$O$2,$D601,$D601-($D601-$I$589)*MIN(J$3-$O$2,$Q$2)/$Q$2))</f>
        <v>1877.22287093244</v>
      </c>
      <c r="K601" s="15" t="n">
        <f aca="false">J601*(1+IF(K$3&lt;=$O$2,$D601,$D601-($D601-$I$589)*MIN(K$3-$O$2,$Q$2)/$Q$2))</f>
        <v>2049.62980590158</v>
      </c>
      <c r="L601" s="15" t="n">
        <f aca="false">K601*(1+IF(L$3&lt;=$O$2,$D601,$D601-($D601-$I$589)*MIN(L$3-$O$2,$Q$2)/$Q$2))</f>
        <v>2187.62657691307</v>
      </c>
      <c r="M601" s="15" t="n">
        <f aca="false">L601*(1+IF(M$3&lt;=$O$2,$D601,$D601-($D601-$I$589)*MIN(M$3-$O$2,$Q$2)/$Q$2))</f>
        <v>2281.28724517871</v>
      </c>
      <c r="N601" s="15" t="n">
        <f aca="false">M601*(1+IF(N$3&lt;=$O$2,$D601,$D601-($D601-$I$589)*MIN(N$3-$O$2,$Q$2)/$Q$2))</f>
        <v>2323.03480176548</v>
      </c>
      <c r="O601" s="15" t="n">
        <f aca="false">SUMPRODUCT(E601:N601,1/(1+$F$589)^$E$3:$N$3)*$E$2</f>
        <v>2345.48395049968</v>
      </c>
      <c r="P601" s="15" t="n">
        <f aca="false">N601*$E$2*(1+$I$589)/($F$589-$I$589)/(1+$F$589)^$N$3</f>
        <v>3299.08435662145</v>
      </c>
      <c r="Q601" s="15" t="n">
        <f aca="false">O601+P601</f>
        <v>5644.56830712113</v>
      </c>
      <c r="R601" s="15" t="n">
        <f aca="false">Q601-$G$2+$I$2</f>
        <v>5811.96830712113</v>
      </c>
      <c r="S601" s="42" t="n">
        <f aca="false">R601/$K$2</f>
        <v>165.159656354678</v>
      </c>
      <c r="T601" s="43" t="n">
        <f aca="false">S601-$M$2</f>
        <v>0.624276985539353</v>
      </c>
    </row>
    <row r="602" customFormat="false" ht="15" hidden="false" customHeight="false" outlineLevel="0" collapsed="false">
      <c r="A602" s="5" t="n">
        <v>12</v>
      </c>
      <c r="B602" s="25" t="n">
        <f aca="false">IF(T601&gt;0,B601,D601)</f>
        <v>0.14013671875</v>
      </c>
      <c r="C602" s="25" t="n">
        <f aca="false">IF(T601&gt;0,D601,C601)</f>
        <v>0.140869140625</v>
      </c>
      <c r="D602" s="41" t="n">
        <f aca="false">(B602+C602)/2</f>
        <v>0.1405029296875</v>
      </c>
      <c r="E602" s="15" t="n">
        <f aca="false">$C$2*(1+IF(E$3&lt;=$O$2,$D602,$D602-($D602-$I$589)*MIN(E$3-$O$2,$Q$2)/$Q$2))</f>
        <v>992.271763916016</v>
      </c>
      <c r="F602" s="15" t="n">
        <f aca="false">E602*(1+IF(F$3&lt;=$O$2,$D602,$D602-($D602-$I$589)*MIN(F$3-$O$2,$Q$2)/$Q$2))</f>
        <v>1131.6888537924</v>
      </c>
      <c r="G602" s="15" t="n">
        <f aca="false">F602*(1+IF(G$3&lt;=$O$2,$D602,$D602-($D602-$I$589)*MIN(G$3-$O$2,$Q$2)/$Q$2))</f>
        <v>1290.69445324492</v>
      </c>
      <c r="H602" s="15" t="n">
        <f aca="false">G602*(1+IF(H$3&lt;=$O$2,$D602,$D602-($D602-$I$589)*MIN(H$3-$O$2,$Q$2)/$Q$2))</f>
        <v>1472.04080525724</v>
      </c>
      <c r="I602" s="15" t="n">
        <f aca="false">H602*(1+IF(I$3&lt;=$O$2,$D602,$D602-($D602-$I$589)*MIN(I$3-$O$2,$Q$2)/$Q$2))</f>
        <v>1678.86685101543</v>
      </c>
      <c r="J602" s="15" t="n">
        <f aca="false">I602*(1+IF(J$3&lt;=$O$2,$D602,$D602-($D602-$I$589)*MIN(J$3-$O$2,$Q$2)/$Q$2))</f>
        <v>1873.72007258846</v>
      </c>
      <c r="K602" s="15" t="n">
        <f aca="false">J602*(1+IF(K$3&lt;=$O$2,$D602,$D602-($D602-$I$589)*MIN(K$3-$O$2,$Q$2)/$Q$2))</f>
        <v>2045.39359928758</v>
      </c>
      <c r="L602" s="15" t="n">
        <f aca="false">K602*(1+IF(L$3&lt;=$O$2,$D602,$D602-($D602-$I$589)*MIN(L$3-$O$2,$Q$2)/$Q$2))</f>
        <v>2182.80553823334</v>
      </c>
      <c r="M602" s="15" t="n">
        <f aca="false">L602*(1+IF(M$3&lt;=$O$2,$D602,$D602-($D602-$I$589)*MIN(M$3-$O$2,$Q$2)/$Q$2))</f>
        <v>2276.09992592506</v>
      </c>
      <c r="N602" s="15" t="n">
        <f aca="false">M602*(1+IF(N$3&lt;=$O$2,$D602,$D602-($D602-$I$589)*MIN(N$3-$O$2,$Q$2)/$Q$2))</f>
        <v>2317.75255456948</v>
      </c>
      <c r="O602" s="15" t="n">
        <f aca="false">SUMPRODUCT(E602:N602,1/(1+$F$589)^$E$3:$N$3)*$E$2</f>
        <v>2341.76387601059</v>
      </c>
      <c r="P602" s="15" t="n">
        <f aca="false">N602*$E$2*(1+$I$589)/($F$589-$I$589)/(1+$F$589)^$N$3</f>
        <v>3291.58271304776</v>
      </c>
      <c r="Q602" s="15" t="n">
        <f aca="false">O602+P602</f>
        <v>5633.34658905835</v>
      </c>
      <c r="R602" s="15" t="n">
        <f aca="false">Q602-$G$2+$I$2</f>
        <v>5800.74658905835</v>
      </c>
      <c r="S602" s="42" t="n">
        <f aca="false">R602/$K$2</f>
        <v>164.840766952496</v>
      </c>
      <c r="T602" s="43" t="n">
        <f aca="false">S602-$M$2</f>
        <v>0.305387583357373</v>
      </c>
    </row>
    <row r="603" customFormat="false" ht="15" hidden="false" customHeight="false" outlineLevel="0" collapsed="false">
      <c r="A603" s="5" t="n">
        <v>13</v>
      </c>
      <c r="B603" s="25" t="n">
        <f aca="false">IF(T602&gt;0,B602,D602)</f>
        <v>0.14013671875</v>
      </c>
      <c r="C603" s="25" t="n">
        <f aca="false">IF(T602&gt;0,D602,C602)</f>
        <v>0.1405029296875</v>
      </c>
      <c r="D603" s="41" t="n">
        <f aca="false">(B603+C603)/2</f>
        <v>0.14031982421875</v>
      </c>
      <c r="E603" s="15" t="n">
        <f aca="false">$C$2*(1+IF(E$3&lt;=$O$2,$D603,$D603-($D603-$I$589)*MIN(E$3-$O$2,$Q$2)/$Q$2))</f>
        <v>992.112456665039</v>
      </c>
      <c r="F603" s="15" t="n">
        <f aca="false">E603*(1+IF(F$3&lt;=$O$2,$D603,$D603-($D603-$I$589)*MIN(F$3-$O$2,$Q$2)/$Q$2))</f>
        <v>1131.32550218951</v>
      </c>
      <c r="G603" s="15" t="n">
        <f aca="false">F603*(1+IF(G$3&lt;=$O$2,$D603,$D603-($D603-$I$589)*MIN(G$3-$O$2,$Q$2)/$Q$2))</f>
        <v>1290.07289779093</v>
      </c>
      <c r="H603" s="15" t="n">
        <f aca="false">G603*(1+IF(H$3&lt;=$O$2,$D603,$D603-($D603-$I$589)*MIN(H$3-$O$2,$Q$2)/$Q$2))</f>
        <v>1471.09570003833</v>
      </c>
      <c r="I603" s="15" t="n">
        <f aca="false">H603*(1+IF(I$3&lt;=$O$2,$D603,$D603-($D603-$I$589)*MIN(I$3-$O$2,$Q$2)/$Q$2))</f>
        <v>1677.51959007666</v>
      </c>
      <c r="J603" s="15" t="n">
        <f aca="false">I603*(1+IF(J$3&lt;=$O$2,$D603,$D603-($D603-$I$589)*MIN(J$3-$O$2,$Q$2)/$Q$2))</f>
        <v>1871.9707149788</v>
      </c>
      <c r="K603" s="15" t="n">
        <f aca="false">J603*(1+IF(K$3&lt;=$O$2,$D603,$D603-($D603-$I$589)*MIN(K$3-$O$2,$Q$2)/$Q$2))</f>
        <v>2043.27830161353</v>
      </c>
      <c r="L603" s="15" t="n">
        <f aca="false">K603*(1+IF(L$3&lt;=$O$2,$D603,$D603-($D603-$I$589)*MIN(L$3-$O$2,$Q$2)/$Q$2))</f>
        <v>2180.3984782102</v>
      </c>
      <c r="M603" s="15" t="n">
        <f aca="false">L603*(1+IF(M$3&lt;=$O$2,$D603,$D603-($D603-$I$589)*MIN(M$3-$O$2,$Q$2)/$Q$2))</f>
        <v>2273.51013816906</v>
      </c>
      <c r="N603" s="15" t="n">
        <f aca="false">M603*(1+IF(N$3&lt;=$O$2,$D603,$D603-($D603-$I$589)*MIN(N$3-$O$2,$Q$2)/$Q$2))</f>
        <v>2315.11537369755</v>
      </c>
      <c r="O603" s="15" t="n">
        <f aca="false">SUMPRODUCT(E603:N603,1/(1+$F$589)^$E$3:$N$3)*$E$2</f>
        <v>2339.90601273192</v>
      </c>
      <c r="P603" s="15" t="n">
        <f aca="false">N603*$E$2*(1+$I$589)/($F$589-$I$589)/(1+$F$589)^$N$3</f>
        <v>3287.83749056828</v>
      </c>
      <c r="Q603" s="15" t="n">
        <f aca="false">O603+P603</f>
        <v>5627.7435033002</v>
      </c>
      <c r="R603" s="15" t="n">
        <f aca="false">Q603-$G$2+$I$2</f>
        <v>5795.1435033002</v>
      </c>
      <c r="S603" s="42" t="n">
        <f aca="false">R603/$K$2</f>
        <v>164.681543145786</v>
      </c>
      <c r="T603" s="43" t="n">
        <f aca="false">S603-$M$2</f>
        <v>0.146163776646802</v>
      </c>
    </row>
    <row r="604" customFormat="false" ht="15" hidden="false" customHeight="false" outlineLevel="0" collapsed="false">
      <c r="A604" s="5" t="n">
        <v>14</v>
      </c>
      <c r="B604" s="25" t="n">
        <f aca="false">IF(T603&gt;0,B603,D603)</f>
        <v>0.14013671875</v>
      </c>
      <c r="C604" s="25" t="n">
        <f aca="false">IF(T603&gt;0,D603,C603)</f>
        <v>0.14031982421875</v>
      </c>
      <c r="D604" s="41" t="n">
        <f aca="false">(B604+C604)/2</f>
        <v>0.140228271484375</v>
      </c>
      <c r="E604" s="15" t="n">
        <f aca="false">$C$2*(1+IF(E$3&lt;=$O$2,$D604,$D604-($D604-$I$589)*MIN(E$3-$O$2,$Q$2)/$Q$2))</f>
        <v>992.032803039551</v>
      </c>
      <c r="F604" s="15" t="n">
        <f aca="false">E604*(1+IF(F$3&lt;=$O$2,$D604,$D604-($D604-$I$589)*MIN(F$3-$O$2,$Q$2)/$Q$2))</f>
        <v>1131.14384826559</v>
      </c>
      <c r="G604" s="15" t="n">
        <f aca="false">F604*(1+IF(G$3&lt;=$O$2,$D604,$D604-($D604-$I$589)*MIN(G$3-$O$2,$Q$2)/$Q$2))</f>
        <v>1289.76219490805</v>
      </c>
      <c r="H604" s="15" t="n">
        <f aca="false">G604*(1+IF(H$3&lt;=$O$2,$D604,$D604-($D604-$I$589)*MIN(H$3-$O$2,$Q$2)/$Q$2))</f>
        <v>1470.6233181259</v>
      </c>
      <c r="I604" s="15" t="n">
        <f aca="false">H604*(1+IF(I$3&lt;=$O$2,$D604,$D604-($D604-$I$589)*MIN(I$3-$O$2,$Q$2)/$Q$2))</f>
        <v>1676.84628403132</v>
      </c>
      <c r="J604" s="15" t="n">
        <f aca="false">I604*(1+IF(J$3&lt;=$O$2,$D604,$D604-($D604-$I$589)*MIN(J$3-$O$2,$Q$2)/$Q$2))</f>
        <v>1871.09654619464</v>
      </c>
      <c r="K604" s="15" t="n">
        <f aca="false">J604*(1+IF(K$3&lt;=$O$2,$D604,$D604-($D604-$I$589)*MIN(K$3-$O$2,$Q$2)/$Q$2))</f>
        <v>2042.22135358474</v>
      </c>
      <c r="L604" s="15" t="n">
        <f aca="false">K604*(1+IF(L$3&lt;=$O$2,$D604,$D604-($D604-$I$589)*MIN(L$3-$O$2,$Q$2)/$Q$2))</f>
        <v>2179.19581220776</v>
      </c>
      <c r="M604" s="15" t="n">
        <f aca="false">L604*(1+IF(M$3&lt;=$O$2,$D604,$D604-($D604-$I$589)*MIN(M$3-$O$2,$Q$2)/$Q$2))</f>
        <v>2272.21621129286</v>
      </c>
      <c r="N604" s="15" t="n">
        <f aca="false">M604*(1+IF(N$3&lt;=$O$2,$D604,$D604-($D604-$I$589)*MIN(N$3-$O$2,$Q$2)/$Q$2))</f>
        <v>2313.79776795952</v>
      </c>
      <c r="O604" s="15" t="n">
        <f aca="false">SUMPRODUCT(E604:N604,1/(1+$F$589)^$E$3:$N$3)*$E$2</f>
        <v>2338.97762413028</v>
      </c>
      <c r="P604" s="15" t="n">
        <f aca="false">N604*$E$2*(1+$I$589)/($F$589-$I$589)/(1+$F$589)^$N$3</f>
        <v>3285.96627775855</v>
      </c>
      <c r="Q604" s="15" t="n">
        <f aca="false">O604+P604</f>
        <v>5624.94390188883</v>
      </c>
      <c r="R604" s="15" t="n">
        <f aca="false">Q604-$G$2+$I$2</f>
        <v>5792.34390188883</v>
      </c>
      <c r="S604" s="42" t="n">
        <f aca="false">R604/$K$2</f>
        <v>164.601986413436</v>
      </c>
      <c r="T604" s="43" t="n">
        <f aca="false">S604-$M$2</f>
        <v>0.0666070442973989</v>
      </c>
    </row>
    <row r="605" customFormat="false" ht="15" hidden="false" customHeight="false" outlineLevel="0" collapsed="false">
      <c r="A605" s="5" t="n">
        <v>15</v>
      </c>
      <c r="B605" s="25" t="n">
        <f aca="false">IF(T604&gt;0,B604,D604)</f>
        <v>0.14013671875</v>
      </c>
      <c r="C605" s="25" t="n">
        <f aca="false">IF(T604&gt;0,D604,C604)</f>
        <v>0.140228271484375</v>
      </c>
      <c r="D605" s="41" t="n">
        <f aca="false">(B605+C605)/2</f>
        <v>0.140182495117188</v>
      </c>
      <c r="E605" s="15" t="n">
        <f aca="false">$C$2*(1+IF(E$3&lt;=$O$2,$D605,$D605-($D605-$I$589)*MIN(E$3-$O$2,$Q$2)/$Q$2))</f>
        <v>991.992976226807</v>
      </c>
      <c r="F605" s="15" t="n">
        <f aca="false">E605*(1+IF(F$3&lt;=$O$2,$D605,$D605-($D605-$I$589)*MIN(F$3-$O$2,$Q$2)/$Q$2))</f>
        <v>1131.05302677301</v>
      </c>
      <c r="G605" s="15" t="n">
        <f aca="false">F605*(1+IF(G$3&lt;=$O$2,$D605,$D605-($D605-$I$589)*MIN(G$3-$O$2,$Q$2)/$Q$2))</f>
        <v>1289.60686217589</v>
      </c>
      <c r="H605" s="15" t="n">
        <f aca="false">G605*(1+IF(H$3&lt;=$O$2,$D605,$D605-($D605-$I$589)*MIN(H$3-$O$2,$Q$2)/$Q$2))</f>
        <v>1470.38716983596</v>
      </c>
      <c r="I605" s="15" t="n">
        <f aca="false">H605*(1+IF(I$3&lt;=$O$2,$D605,$D605-($D605-$I$589)*MIN(I$3-$O$2,$Q$2)/$Q$2))</f>
        <v>1676.50971209186</v>
      </c>
      <c r="J605" s="15" t="n">
        <f aca="false">I605*(1+IF(J$3&lt;=$O$2,$D605,$D605-($D605-$I$589)*MIN(J$3-$O$2,$Q$2)/$Q$2))</f>
        <v>1870.6595892615</v>
      </c>
      <c r="K605" s="15" t="n">
        <f aca="false">J605*(1+IF(K$3&lt;=$O$2,$D605,$D605-($D605-$I$589)*MIN(K$3-$O$2,$Q$2)/$Q$2))</f>
        <v>2041.69305469744</v>
      </c>
      <c r="L605" s="15" t="n">
        <f aca="false">K605*(1+IF(L$3&lt;=$O$2,$D605,$D605-($D605-$I$589)*MIN(L$3-$O$2,$Q$2)/$Q$2))</f>
        <v>2178.59469510639</v>
      </c>
      <c r="M605" s="15" t="n">
        <f aca="false">L605*(1+IF(M$3&lt;=$O$2,$D605,$D605-($D605-$I$589)*MIN(M$3-$O$2,$Q$2)/$Q$2))</f>
        <v>2271.56948948456</v>
      </c>
      <c r="N605" s="15" t="n">
        <f aca="false">M605*(1+IF(N$3&lt;=$O$2,$D605,$D605-($D605-$I$589)*MIN(N$3-$O$2,$Q$2)/$Q$2))</f>
        <v>2313.13921114213</v>
      </c>
      <c r="O605" s="15" t="n">
        <f aca="false">SUMPRODUCT(E605:N605,1/(1+$F$589)^$E$3:$N$3)*$E$2</f>
        <v>2338.51356553219</v>
      </c>
      <c r="P605" s="15" t="n">
        <f aca="false">N605*$E$2*(1+$I$589)/($F$589-$I$589)/(1+$F$589)^$N$3</f>
        <v>3285.03102078669</v>
      </c>
      <c r="Q605" s="15" t="n">
        <f aca="false">O605+P605</f>
        <v>5623.54458631888</v>
      </c>
      <c r="R605" s="15" t="n">
        <f aca="false">Q605-$G$2+$I$2</f>
        <v>5790.94458631888</v>
      </c>
      <c r="S605" s="42" t="n">
        <f aca="false">R605/$K$2</f>
        <v>164.562221833444</v>
      </c>
      <c r="T605" s="43" t="n">
        <f aca="false">S605-$M$2</f>
        <v>0.0268424643047069</v>
      </c>
    </row>
    <row r="606" customFormat="false" ht="15" hidden="false" customHeight="false" outlineLevel="0" collapsed="false">
      <c r="A606" s="5" t="n">
        <v>16</v>
      </c>
      <c r="B606" s="25" t="n">
        <f aca="false">IF(T605&gt;0,B605,D605)</f>
        <v>0.14013671875</v>
      </c>
      <c r="C606" s="25" t="n">
        <f aca="false">IF(T605&gt;0,D605,C605)</f>
        <v>0.140182495117188</v>
      </c>
      <c r="D606" s="41" t="n">
        <f aca="false">(B606+C606)/2</f>
        <v>0.140159606933594</v>
      </c>
      <c r="E606" s="15" t="n">
        <f aca="false">$C$2*(1+IF(E$3&lt;=$O$2,$D606,$D606-($D606-$I$589)*MIN(E$3-$O$2,$Q$2)/$Q$2))</f>
        <v>991.973062820435</v>
      </c>
      <c r="F606" s="15" t="n">
        <f aca="false">E606*(1+IF(F$3&lt;=$O$2,$D606,$D606-($D606-$I$589)*MIN(F$3-$O$2,$Q$2)/$Q$2))</f>
        <v>1131.00761739406</v>
      </c>
      <c r="G606" s="15" t="n">
        <f aca="false">F606*(1+IF(G$3&lt;=$O$2,$D606,$D606-($D606-$I$589)*MIN(G$3-$O$2,$Q$2)/$Q$2))</f>
        <v>1289.52920048691</v>
      </c>
      <c r="H606" s="15" t="n">
        <f aca="false">G606*(1+IF(H$3&lt;=$O$2,$D606,$D606-($D606-$I$589)*MIN(H$3-$O$2,$Q$2)/$Q$2))</f>
        <v>1470.26910635655</v>
      </c>
      <c r="I606" s="15" t="n">
        <f aca="false">H606*(1+IF(I$3&lt;=$O$2,$D606,$D606-($D606-$I$589)*MIN(I$3-$O$2,$Q$2)/$Q$2))</f>
        <v>1676.34144639009</v>
      </c>
      <c r="J606" s="15" t="n">
        <f aca="false">I606*(1+IF(J$3&lt;=$O$2,$D606,$D606-($D606-$I$589)*MIN(J$3-$O$2,$Q$2)/$Q$2))</f>
        <v>1870.4411426539</v>
      </c>
      <c r="K606" s="15" t="n">
        <f aca="false">J606*(1+IF(K$3&lt;=$O$2,$D606,$D606-($D606-$I$589)*MIN(K$3-$O$2,$Q$2)/$Q$2))</f>
        <v>2041.4289490262</v>
      </c>
      <c r="L606" s="15" t="n">
        <f aca="false">K606*(1+IF(L$3&lt;=$O$2,$D606,$D606-($D606-$I$589)*MIN(L$3-$O$2,$Q$2)/$Q$2))</f>
        <v>2178.29419051786</v>
      </c>
      <c r="M606" s="15" t="n">
        <f aca="false">L606*(1+IF(M$3&lt;=$O$2,$D606,$D606-($D606-$I$589)*MIN(M$3-$O$2,$Q$2)/$Q$2))</f>
        <v>2271.24618897278</v>
      </c>
      <c r="N606" s="15" t="n">
        <f aca="false">M606*(1+IF(N$3&lt;=$O$2,$D606,$D606-($D606-$I$589)*MIN(N$3-$O$2,$Q$2)/$Q$2))</f>
        <v>2312.80999423098</v>
      </c>
      <c r="O606" s="15" t="n">
        <f aca="false">SUMPRODUCT(E606:N606,1/(1+$F$589)^$E$3:$N$3)*$E$2</f>
        <v>2338.28157015175</v>
      </c>
      <c r="P606" s="15" t="n">
        <f aca="false">N606*$E$2*(1+$I$589)/($F$589-$I$589)/(1+$F$589)^$N$3</f>
        <v>3284.56347963721</v>
      </c>
      <c r="Q606" s="15" t="n">
        <f aca="false">O606+P606</f>
        <v>5622.84504978896</v>
      </c>
      <c r="R606" s="15" t="n">
        <f aca="false">Q606-$G$2+$I$2</f>
        <v>5790.24504978896</v>
      </c>
      <c r="S606" s="42" t="n">
        <f aca="false">R606/$K$2</f>
        <v>164.542342989172</v>
      </c>
      <c r="T606" s="43" t="n">
        <f aca="false">S606-$M$2</f>
        <v>0.00696362003296258</v>
      </c>
    </row>
    <row r="607" customFormat="false" ht="15" hidden="false" customHeight="false" outlineLevel="0" collapsed="false">
      <c r="A607" s="5" t="n">
        <v>17</v>
      </c>
      <c r="B607" s="25" t="n">
        <f aca="false">IF(T606&gt;0,B606,D606)</f>
        <v>0.14013671875</v>
      </c>
      <c r="C607" s="25" t="n">
        <f aca="false">IF(T606&gt;0,D606,C606)</f>
        <v>0.140159606933594</v>
      </c>
      <c r="D607" s="41" t="n">
        <f aca="false">(B607+C607)/2</f>
        <v>0.140148162841797</v>
      </c>
      <c r="E607" s="15" t="n">
        <f aca="false">$C$2*(1+IF(E$3&lt;=$O$2,$D607,$D607-($D607-$I$589)*MIN(E$3-$O$2,$Q$2)/$Q$2))</f>
        <v>991.963106117249</v>
      </c>
      <c r="F607" s="15" t="n">
        <f aca="false">E607*(1+IF(F$3&lt;=$O$2,$D607,$D607-($D607-$I$589)*MIN(F$3-$O$2,$Q$2)/$Q$2))</f>
        <v>1130.98491304642</v>
      </c>
      <c r="G607" s="15" t="n">
        <f aca="false">F607*(1+IF(G$3&lt;=$O$2,$D607,$D607-($D607-$I$589)*MIN(G$3-$O$2,$Q$2)/$Q$2))</f>
        <v>1289.49037081167</v>
      </c>
      <c r="H607" s="15" t="n">
        <f aca="false">G607*(1+IF(H$3&lt;=$O$2,$D607,$D607-($D607-$I$589)*MIN(H$3-$O$2,$Q$2)/$Q$2))</f>
        <v>1470.21007728311</v>
      </c>
      <c r="I607" s="15" t="n">
        <f aca="false">H607*(1+IF(I$3&lt;=$O$2,$D607,$D607-($D607-$I$589)*MIN(I$3-$O$2,$Q$2)/$Q$2))</f>
        <v>1676.25731860584</v>
      </c>
      <c r="J607" s="15" t="n">
        <f aca="false">I607*(1+IF(J$3&lt;=$O$2,$D607,$D607-($D607-$I$589)*MIN(J$3-$O$2,$Q$2)/$Q$2))</f>
        <v>1870.33192731411</v>
      </c>
      <c r="K607" s="15" t="n">
        <f aca="false">J607*(1+IF(K$3&lt;=$O$2,$D607,$D607-($D607-$I$589)*MIN(K$3-$O$2,$Q$2)/$Q$2))</f>
        <v>2041.29690713251</v>
      </c>
      <c r="L607" s="15" t="n">
        <f aca="false">K607*(1+IF(L$3&lt;=$O$2,$D607,$D607-($D607-$I$589)*MIN(L$3-$O$2,$Q$2)/$Q$2))</f>
        <v>2178.14395171253</v>
      </c>
      <c r="M607" s="15" t="n">
        <f aca="false">L607*(1+IF(M$3&lt;=$O$2,$D607,$D607-($D607-$I$589)*MIN(M$3-$O$2,$Q$2)/$Q$2))</f>
        <v>2271.0845538131</v>
      </c>
      <c r="N607" s="15" t="n">
        <f aca="false">M607*(1+IF(N$3&lt;=$O$2,$D607,$D607-($D607-$I$589)*MIN(N$3-$O$2,$Q$2)/$Q$2))</f>
        <v>2312.64540114788</v>
      </c>
      <c r="O607" s="15" t="n">
        <f aca="false">SUMPRODUCT(E607:N607,1/(1+$F$589)^$E$3:$N$3)*$E$2</f>
        <v>2338.16558094029</v>
      </c>
      <c r="P607" s="15" t="n">
        <f aca="false">N607*$E$2*(1+$I$589)/($F$589-$I$589)/(1+$F$589)^$N$3</f>
        <v>3284.32973089386</v>
      </c>
      <c r="Q607" s="15" t="n">
        <f aca="false">O607+P607</f>
        <v>5622.49531183415</v>
      </c>
      <c r="R607" s="15" t="n">
        <f aca="false">Q607-$G$2+$I$2</f>
        <v>5789.89531183415</v>
      </c>
      <c r="S607" s="42" t="n">
        <f aca="false">R607/$K$2</f>
        <v>164.532404428365</v>
      </c>
      <c r="T607" s="43" t="n">
        <f aca="false">S607-$M$2</f>
        <v>-0.0029749407743509</v>
      </c>
    </row>
    <row r="608" customFormat="false" ht="15" hidden="false" customHeight="false" outlineLevel="0" collapsed="false">
      <c r="A608" s="5" t="n">
        <v>18</v>
      </c>
      <c r="B608" s="25" t="n">
        <f aca="false">IF(T607&gt;0,B607,D607)</f>
        <v>0.140148162841797</v>
      </c>
      <c r="C608" s="25" t="n">
        <f aca="false">IF(T607&gt;0,D607,C607)</f>
        <v>0.140159606933594</v>
      </c>
      <c r="D608" s="41" t="n">
        <f aca="false">(B608+C608)/2</f>
        <v>0.140153884887695</v>
      </c>
      <c r="E608" s="15" t="n">
        <f aca="false">$C$2*(1+IF(E$3&lt;=$O$2,$D608,$D608-($D608-$I$589)*MIN(E$3-$O$2,$Q$2)/$Q$2))</f>
        <v>991.968084468842</v>
      </c>
      <c r="F608" s="15" t="n">
        <f aca="false">E608*(1+IF(F$3&lt;=$O$2,$D608,$D608-($D608-$I$589)*MIN(F$3-$O$2,$Q$2)/$Q$2))</f>
        <v>1130.99626519176</v>
      </c>
      <c r="G608" s="15" t="n">
        <f aca="false">F608*(1+IF(G$3&lt;=$O$2,$D608,$D608-($D608-$I$589)*MIN(G$3-$O$2,$Q$2)/$Q$2))</f>
        <v>1289.50978555185</v>
      </c>
      <c r="H608" s="15" t="n">
        <f aca="false">G608*(1+IF(H$3&lt;=$O$2,$D608,$D608-($D608-$I$589)*MIN(H$3-$O$2,$Q$2)/$Q$2))</f>
        <v>1470.23959159764</v>
      </c>
      <c r="I608" s="15" t="n">
        <f aca="false">H608*(1+IF(I$3&lt;=$O$2,$D608,$D608-($D608-$I$589)*MIN(I$3-$O$2,$Q$2)/$Q$2))</f>
        <v>1676.29938207575</v>
      </c>
      <c r="J608" s="15" t="n">
        <f aca="false">I608*(1+IF(J$3&lt;=$O$2,$D608,$D608-($D608-$I$589)*MIN(J$3-$O$2,$Q$2)/$Q$2))</f>
        <v>1870.38653432036</v>
      </c>
      <c r="K608" s="15" t="n">
        <f aca="false">J608*(1+IF(K$3&lt;=$O$2,$D608,$D608-($D608-$I$589)*MIN(K$3-$O$2,$Q$2)/$Q$2))</f>
        <v>2041.36292716756</v>
      </c>
      <c r="L608" s="15" t="n">
        <f aca="false">K608*(1+IF(L$3&lt;=$O$2,$D608,$D608-($D608-$I$589)*MIN(L$3-$O$2,$Q$2)/$Q$2))</f>
        <v>2178.21906999116</v>
      </c>
      <c r="M608" s="15" t="n">
        <f aca="false">L608*(1+IF(M$3&lt;=$O$2,$D608,$D608-($D608-$I$589)*MIN(M$3-$O$2,$Q$2)/$Q$2))</f>
        <v>2271.16537013498</v>
      </c>
      <c r="N608" s="15" t="n">
        <f aca="false">M608*(1+IF(N$3&lt;=$O$2,$D608,$D608-($D608-$I$589)*MIN(N$3-$O$2,$Q$2)/$Q$2))</f>
        <v>2312.72769640845</v>
      </c>
      <c r="O608" s="15" t="n">
        <f aca="false">SUMPRODUCT(E608:N608,1/(1+$F$589)^$E$3:$N$3)*$E$2</f>
        <v>2338.22357483948</v>
      </c>
      <c r="P608" s="15" t="n">
        <f aca="false">N608*$E$2*(1+$I$589)/($F$589-$I$589)/(1+$F$589)^$N$3</f>
        <v>3284.44660344634</v>
      </c>
      <c r="Q608" s="15" t="n">
        <f aca="false">O608+P608</f>
        <v>5622.67017828582</v>
      </c>
      <c r="R608" s="15" t="n">
        <f aca="false">Q608-$G$2+$I$2</f>
        <v>5790.07017828582</v>
      </c>
      <c r="S608" s="42" t="n">
        <f aca="false">R608/$K$2</f>
        <v>164.537373636994</v>
      </c>
      <c r="T608" s="43" t="n">
        <f aca="false">S608-$M$2</f>
        <v>0.00199426785493984</v>
      </c>
    </row>
    <row r="609" customFormat="false" ht="15" hidden="false" customHeight="false" outlineLevel="0" collapsed="false">
      <c r="A609" s="5" t="n">
        <v>19</v>
      </c>
      <c r="B609" s="25" t="n">
        <f aca="false">IF(T608&gt;0,B608,D608)</f>
        <v>0.140148162841797</v>
      </c>
      <c r="C609" s="25" t="n">
        <f aca="false">IF(T608&gt;0,D608,C608)</f>
        <v>0.140153884887695</v>
      </c>
      <c r="D609" s="41" t="n">
        <f aca="false">(B609+C609)/2</f>
        <v>0.140151023864746</v>
      </c>
      <c r="E609" s="15" t="n">
        <f aca="false">$C$2*(1+IF(E$3&lt;=$O$2,$D609,$D609-($D609-$I$589)*MIN(E$3-$O$2,$Q$2)/$Q$2))</f>
        <v>991.965595293045</v>
      </c>
      <c r="F609" s="15" t="n">
        <f aca="false">E609*(1+IF(F$3&lt;=$O$2,$D609,$D609-($D609-$I$589)*MIN(F$3-$O$2,$Q$2)/$Q$2))</f>
        <v>1130.99058911197</v>
      </c>
      <c r="G609" s="15" t="n">
        <f aca="false">F609*(1+IF(G$3&lt;=$O$2,$D609,$D609-($D609-$I$589)*MIN(G$3-$O$2,$Q$2)/$Q$2))</f>
        <v>1289.5000781574</v>
      </c>
      <c r="H609" s="15" t="n">
        <f aca="false">G609*(1+IF(H$3&lt;=$O$2,$D609,$D609-($D609-$I$589)*MIN(H$3-$O$2,$Q$2)/$Q$2))</f>
        <v>1470.22483438483</v>
      </c>
      <c r="I609" s="15" t="n">
        <f aca="false">H609*(1+IF(I$3&lt;=$O$2,$D609,$D609-($D609-$I$589)*MIN(I$3-$O$2,$Q$2)/$Q$2))</f>
        <v>1676.27835023524</v>
      </c>
      <c r="J609" s="15" t="n">
        <f aca="false">I609*(1+IF(J$3&lt;=$O$2,$D609,$D609-($D609-$I$589)*MIN(J$3-$O$2,$Q$2)/$Q$2))</f>
        <v>1870.35923065133</v>
      </c>
      <c r="K609" s="15" t="n">
        <f aca="false">J609*(1+IF(K$3&lt;=$O$2,$D609,$D609-($D609-$I$589)*MIN(K$3-$O$2,$Q$2)/$Q$2))</f>
        <v>2041.32991692209</v>
      </c>
      <c r="L609" s="15" t="n">
        <f aca="false">K609*(1+IF(L$3&lt;=$O$2,$D609,$D609-($D609-$I$589)*MIN(L$3-$O$2,$Q$2)/$Q$2))</f>
        <v>2178.18151057084</v>
      </c>
      <c r="M609" s="15" t="n">
        <f aca="false">L609*(1+IF(M$3&lt;=$O$2,$D609,$D609-($D609-$I$589)*MIN(M$3-$O$2,$Q$2)/$Q$2))</f>
        <v>2271.12496165955</v>
      </c>
      <c r="N609" s="15" t="n">
        <f aca="false">M609*(1+IF(N$3&lt;=$O$2,$D609,$D609-($D609-$I$589)*MIN(N$3-$O$2,$Q$2)/$Q$2))</f>
        <v>2312.68654845792</v>
      </c>
      <c r="O609" s="15" t="n">
        <f aca="false">SUMPRODUCT(E609:N609,1/(1+$F$589)^$E$3:$N$3)*$E$2</f>
        <v>2338.19457771325</v>
      </c>
      <c r="P609" s="15" t="n">
        <f aca="false">N609*$E$2*(1+$I$589)/($F$589-$I$589)/(1+$F$589)^$N$3</f>
        <v>3284.38816671531</v>
      </c>
      <c r="Q609" s="15" t="n">
        <f aca="false">O609+P609</f>
        <v>5622.58274442856</v>
      </c>
      <c r="R609" s="15" t="n">
        <f aca="false">Q609-$G$2+$I$2</f>
        <v>5789.98274442856</v>
      </c>
      <c r="S609" s="42" t="n">
        <f aca="false">R609/$K$2</f>
        <v>164.534889014736</v>
      </c>
      <c r="T609" s="43" t="n">
        <f aca="false">S609-$M$2</f>
        <v>-0.000490354403012816</v>
      </c>
    </row>
    <row r="610" customFormat="false" ht="15" hidden="false" customHeight="false" outlineLevel="0" collapsed="false">
      <c r="A610" s="5" t="n">
        <v>20</v>
      </c>
      <c r="B610" s="25" t="n">
        <f aca="false">IF(T609&gt;0,B609,D609)</f>
        <v>0.140151023864746</v>
      </c>
      <c r="C610" s="25" t="n">
        <f aca="false">IF(T609&gt;0,D609,C609)</f>
        <v>0.140153884887695</v>
      </c>
      <c r="D610" s="41" t="n">
        <f aca="false">(B610+C610)/2</f>
        <v>0.140152454376221</v>
      </c>
      <c r="E610" s="15" t="n">
        <f aca="false">$C$2*(1+IF(E$3&lt;=$O$2,$D610,$D610-($D610-$I$589)*MIN(E$3-$O$2,$Q$2)/$Q$2))</f>
        <v>991.966839880943</v>
      </c>
      <c r="F610" s="15" t="n">
        <f aca="false">E610*(1+IF(F$3&lt;=$O$2,$D610,$D610-($D610-$I$589)*MIN(F$3-$O$2,$Q$2)/$Q$2))</f>
        <v>1130.99342715008</v>
      </c>
      <c r="G610" s="15" t="n">
        <f aca="false">F610*(1+IF(G$3&lt;=$O$2,$D610,$D610-($D610-$I$589)*MIN(G$3-$O$2,$Q$2)/$Q$2))</f>
        <v>1289.50493184854</v>
      </c>
      <c r="H610" s="15" t="n">
        <f aca="false">G610*(1+IF(H$3&lt;=$O$2,$D610,$D610-($D610-$I$589)*MIN(H$3-$O$2,$Q$2)/$Q$2))</f>
        <v>1470.23221297735</v>
      </c>
      <c r="I610" s="15" t="n">
        <f aca="false">H610*(1+IF(I$3&lt;=$O$2,$D610,$D610-($D610-$I$589)*MIN(I$3-$O$2,$Q$2)/$Q$2))</f>
        <v>1676.28886612911</v>
      </c>
      <c r="J610" s="15" t="n">
        <f aca="false">I610*(1+IF(J$3&lt;=$O$2,$D610,$D610-($D610-$I$589)*MIN(J$3-$O$2,$Q$2)/$Q$2))</f>
        <v>1870.37288244436</v>
      </c>
      <c r="K610" s="15" t="n">
        <f aca="false">J610*(1+IF(K$3&lt;=$O$2,$D610,$D610-($D610-$I$589)*MIN(K$3-$O$2,$Q$2)/$Q$2))</f>
        <v>2041.34642198784</v>
      </c>
      <c r="L610" s="15" t="n">
        <f aca="false">K610*(1+IF(L$3&lt;=$O$2,$D610,$D610-($D610-$I$589)*MIN(L$3-$O$2,$Q$2)/$Q$2))</f>
        <v>2178.20029021075</v>
      </c>
      <c r="M610" s="15" t="n">
        <f aca="false">L610*(1+IF(M$3&lt;=$O$2,$D610,$D610-($D610-$I$589)*MIN(M$3-$O$2,$Q$2)/$Q$2))</f>
        <v>2271.14516581864</v>
      </c>
      <c r="N610" s="15" t="n">
        <f aca="false">M610*(1+IF(N$3&lt;=$O$2,$D610,$D610-($D610-$I$589)*MIN(N$3-$O$2,$Q$2)/$Q$2))</f>
        <v>2312.70712235312</v>
      </c>
      <c r="O610" s="15" t="n">
        <f aca="false">SUMPRODUCT(E610:N610,1/(1+$F$589)^$E$3:$N$3)*$E$2</f>
        <v>2338.20907623221</v>
      </c>
      <c r="P610" s="15" t="n">
        <f aca="false">N610*$E$2*(1+$I$589)/($F$589-$I$589)/(1+$F$589)^$N$3</f>
        <v>3284.41738496712</v>
      </c>
      <c r="Q610" s="15" t="n">
        <f aca="false">O610+P610</f>
        <v>5622.62646119933</v>
      </c>
      <c r="R610" s="15" t="n">
        <f aca="false">Q610-$G$2+$I$2</f>
        <v>5790.02646119933</v>
      </c>
      <c r="S610" s="42" t="n">
        <f aca="false">R610/$K$2</f>
        <v>164.536131321379</v>
      </c>
      <c r="T610" s="43" t="n">
        <f aca="false">S610-$M$2</f>
        <v>0.000751952240108267</v>
      </c>
    </row>
    <row r="611" customFormat="false" ht="15" hidden="false" customHeight="false" outlineLevel="0" collapsed="false">
      <c r="A611" s="5" t="n">
        <v>21</v>
      </c>
      <c r="B611" s="25" t="n">
        <f aca="false">IF(T610&gt;0,B610,D610)</f>
        <v>0.140151023864746</v>
      </c>
      <c r="C611" s="25" t="n">
        <f aca="false">IF(T610&gt;0,D610,C610)</f>
        <v>0.140152454376221</v>
      </c>
      <c r="D611" s="41" t="n">
        <f aca="false">(B611+C611)/2</f>
        <v>0.140151739120483</v>
      </c>
      <c r="E611" s="15" t="n">
        <f aca="false">$C$2*(1+IF(E$3&lt;=$O$2,$D611,$D611-($D611-$I$589)*MIN(E$3-$O$2,$Q$2)/$Q$2))</f>
        <v>991.966217586994</v>
      </c>
      <c r="F611" s="15" t="n">
        <f aca="false">E611*(1+IF(F$3&lt;=$O$2,$D611,$D611-($D611-$I$589)*MIN(F$3-$O$2,$Q$2)/$Q$2))</f>
        <v>1130.99200813058</v>
      </c>
      <c r="G611" s="15" t="n">
        <f aca="false">F611*(1+IF(G$3&lt;=$O$2,$D611,$D611-($D611-$I$589)*MIN(G$3-$O$2,$Q$2)/$Q$2))</f>
        <v>1289.50250500145</v>
      </c>
      <c r="H611" s="15" t="n">
        <f aca="false">G611*(1+IF(H$3&lt;=$O$2,$D611,$D611-($D611-$I$589)*MIN(H$3-$O$2,$Q$2)/$Q$2))</f>
        <v>1470.22852367762</v>
      </c>
      <c r="I611" s="15" t="n">
        <f aca="false">H611*(1+IF(I$3&lt;=$O$2,$D611,$D611-($D611-$I$589)*MIN(I$3-$O$2,$Q$2)/$Q$2))</f>
        <v>1676.28360817558</v>
      </c>
      <c r="J611" s="15" t="n">
        <f aca="false">I611*(1+IF(J$3&lt;=$O$2,$D611,$D611-($D611-$I$589)*MIN(J$3-$O$2,$Q$2)/$Q$2))</f>
        <v>1870.36605653748</v>
      </c>
      <c r="K611" s="15" t="n">
        <f aca="false">J611*(1+IF(K$3&lt;=$O$2,$D611,$D611-($D611-$I$589)*MIN(K$3-$O$2,$Q$2)/$Q$2))</f>
        <v>2041.33816944072</v>
      </c>
      <c r="L611" s="15" t="n">
        <f aca="false">K611*(1+IF(L$3&lt;=$O$2,$D611,$D611-($D611-$I$589)*MIN(L$3-$O$2,$Q$2)/$Q$2))</f>
        <v>2178.19090037323</v>
      </c>
      <c r="M611" s="15" t="n">
        <f aca="false">L611*(1+IF(M$3&lt;=$O$2,$D611,$D611-($D611-$I$589)*MIN(M$3-$O$2,$Q$2)/$Q$2))</f>
        <v>2271.13506371944</v>
      </c>
      <c r="N611" s="15" t="n">
        <f aca="false">M611*(1+IF(N$3&lt;=$O$2,$D611,$D611-($D611-$I$589)*MIN(N$3-$O$2,$Q$2)/$Q$2))</f>
        <v>2312.69683538551</v>
      </c>
      <c r="O611" s="15" t="n">
        <f aca="false">SUMPRODUCT(E611:N611,1/(1+$F$589)^$E$3:$N$3)*$E$2</f>
        <v>2338.20182696169</v>
      </c>
      <c r="P611" s="15" t="n">
        <f aca="false">N611*$E$2*(1+$I$589)/($F$589-$I$589)/(1+$F$589)^$N$3</f>
        <v>3284.40277581279</v>
      </c>
      <c r="Q611" s="15" t="n">
        <f aca="false">O611+P611</f>
        <v>5622.60460277448</v>
      </c>
      <c r="R611" s="15" t="n">
        <f aca="false">Q611-$G$2+$I$2</f>
        <v>5790.00460277448</v>
      </c>
      <c r="S611" s="42" t="n">
        <f aca="false">R611/$K$2</f>
        <v>164.535510166936</v>
      </c>
      <c r="T611" s="43" t="n">
        <f aca="false">S611-$M$2</f>
        <v>0.000130797797055493</v>
      </c>
    </row>
    <row r="612" customFormat="false" ht="15" hidden="false" customHeight="false" outlineLevel="0" collapsed="false">
      <c r="A612" s="5" t="n">
        <v>22</v>
      </c>
      <c r="B612" s="25" t="n">
        <f aca="false">IF(T611&gt;0,B611,D611)</f>
        <v>0.140151023864746</v>
      </c>
      <c r="C612" s="25" t="n">
        <f aca="false">IF(T611&gt;0,D611,C611)</f>
        <v>0.140151739120483</v>
      </c>
      <c r="D612" s="41" t="n">
        <f aca="false">(B612+C612)/2</f>
        <v>0.140151381492615</v>
      </c>
      <c r="E612" s="15" t="n">
        <f aca="false">$C$2*(1+IF(E$3&lt;=$O$2,$D612,$D612-($D612-$I$589)*MIN(E$3-$O$2,$Q$2)/$Q$2))</f>
        <v>991.96590644002</v>
      </c>
      <c r="F612" s="15" t="n">
        <f aca="false">E612*(1+IF(F$3&lt;=$O$2,$D612,$D612-($D612-$I$589)*MIN(F$3-$O$2,$Q$2)/$Q$2))</f>
        <v>1130.99129862116</v>
      </c>
      <c r="G612" s="15" t="n">
        <f aca="false">F612*(1+IF(G$3&lt;=$O$2,$D612,$D612-($D612-$I$589)*MIN(G$3-$O$2,$Q$2)/$Q$2))</f>
        <v>1289.50129157904</v>
      </c>
      <c r="H612" s="15" t="n">
        <f aca="false">G612*(1+IF(H$3&lt;=$O$2,$D612,$D612-($D612-$I$589)*MIN(H$3-$O$2,$Q$2)/$Q$2))</f>
        <v>1470.22667903036</v>
      </c>
      <c r="I612" s="15" t="n">
        <f aca="false">H612*(1+IF(I$3&lt;=$O$2,$D612,$D612-($D612-$I$589)*MIN(I$3-$O$2,$Q$2)/$Q$2))</f>
        <v>1676.28097920376</v>
      </c>
      <c r="J612" s="15" t="n">
        <f aca="false">I612*(1+IF(J$3&lt;=$O$2,$D612,$D612-($D612-$I$589)*MIN(J$3-$O$2,$Q$2)/$Q$2))</f>
        <v>1870.36264359181</v>
      </c>
      <c r="K612" s="15" t="n">
        <f aca="false">J612*(1+IF(K$3&lt;=$O$2,$D612,$D612-($D612-$I$589)*MIN(K$3-$O$2,$Q$2)/$Q$2))</f>
        <v>2041.33404317784</v>
      </c>
      <c r="L612" s="15" t="n">
        <f aca="false">K612*(1+IF(L$3&lt;=$O$2,$D612,$D612-($D612-$I$589)*MIN(L$3-$O$2,$Q$2)/$Q$2))</f>
        <v>2178.18620546765</v>
      </c>
      <c r="M612" s="15" t="n">
        <f aca="false">L612*(1+IF(M$3&lt;=$O$2,$D612,$D612-($D612-$I$589)*MIN(M$3-$O$2,$Q$2)/$Q$2))</f>
        <v>2271.13001268458</v>
      </c>
      <c r="N612" s="15" t="n">
        <f aca="false">M612*(1+IF(N$3&lt;=$O$2,$D612,$D612-($D612-$I$589)*MIN(N$3-$O$2,$Q$2)/$Q$2))</f>
        <v>2312.69169191671</v>
      </c>
      <c r="O612" s="15" t="n">
        <f aca="false">SUMPRODUCT(E612:N612,1/(1+$F$589)^$E$3:$N$3)*$E$2</f>
        <v>2338.19820233471</v>
      </c>
      <c r="P612" s="15" t="n">
        <f aca="false">N612*$E$2*(1+$I$589)/($F$589-$I$589)/(1+$F$589)^$N$3</f>
        <v>3284.39547125694</v>
      </c>
      <c r="Q612" s="15" t="n">
        <f aca="false">O612+P612</f>
        <v>5622.59367359165</v>
      </c>
      <c r="R612" s="15" t="n">
        <f aca="false">Q612-$G$2+$I$2</f>
        <v>5789.99367359165</v>
      </c>
      <c r="S612" s="42" t="n">
        <f aca="false">R612/$K$2</f>
        <v>164.535199590556</v>
      </c>
      <c r="T612" s="43" t="n">
        <f aca="false">S612-$M$2</f>
        <v>-0.000179778583316192</v>
      </c>
    </row>
    <row r="613" customFormat="false" ht="15" hidden="false" customHeight="false" outlineLevel="0" collapsed="false">
      <c r="A613" s="5" t="n">
        <v>23</v>
      </c>
      <c r="B613" s="25" t="n">
        <f aca="false">IF(T612&gt;0,B612,D612)</f>
        <v>0.140151381492615</v>
      </c>
      <c r="C613" s="25" t="n">
        <f aca="false">IF(T612&gt;0,D612,C612)</f>
        <v>0.140151739120483</v>
      </c>
      <c r="D613" s="41" t="n">
        <f aca="false">(B613+C613)/2</f>
        <v>0.140151560306549</v>
      </c>
      <c r="E613" s="15" t="n">
        <f aca="false">$C$2*(1+IF(E$3&lt;=$O$2,$D613,$D613-($D613-$I$589)*MIN(E$3-$O$2,$Q$2)/$Q$2))</f>
        <v>991.966062013507</v>
      </c>
      <c r="F613" s="15" t="n">
        <f aca="false">E613*(1+IF(F$3&lt;=$O$2,$D613,$D613-($D613-$I$589)*MIN(F$3-$O$2,$Q$2)/$Q$2))</f>
        <v>1130.99165337584</v>
      </c>
      <c r="G613" s="15" t="n">
        <f aca="false">F613*(1+IF(G$3&lt;=$O$2,$D613,$D613-($D613-$I$589)*MIN(G$3-$O$2,$Q$2)/$Q$2))</f>
        <v>1289.50189829015</v>
      </c>
      <c r="H613" s="15" t="n">
        <f aca="false">G613*(1+IF(H$3&lt;=$O$2,$D613,$D613-($D613-$I$589)*MIN(H$3-$O$2,$Q$2)/$Q$2))</f>
        <v>1470.22760135377</v>
      </c>
      <c r="I613" s="15" t="n">
        <f aca="false">H613*(1+IF(I$3&lt;=$O$2,$D613,$D613-($D613-$I$589)*MIN(I$3-$O$2,$Q$2)/$Q$2))</f>
        <v>1676.28229368926</v>
      </c>
      <c r="J613" s="15" t="n">
        <f aca="false">I613*(1+IF(J$3&lt;=$O$2,$D613,$D613-($D613-$I$589)*MIN(J$3-$O$2,$Q$2)/$Q$2))</f>
        <v>1870.36435006399</v>
      </c>
      <c r="K613" s="15" t="n">
        <f aca="false">J613*(1+IF(K$3&lt;=$O$2,$D613,$D613-($D613-$I$589)*MIN(K$3-$O$2,$Q$2)/$Q$2))</f>
        <v>2041.33610630839</v>
      </c>
      <c r="L613" s="15" t="n">
        <f aca="false">K613*(1+IF(L$3&lt;=$O$2,$D613,$D613-($D613-$I$589)*MIN(L$3-$O$2,$Q$2)/$Q$2))</f>
        <v>2178.18855291934</v>
      </c>
      <c r="M613" s="15" t="n">
        <f aca="false">L613*(1+IF(M$3&lt;=$O$2,$D613,$D613-($D613-$I$589)*MIN(M$3-$O$2,$Q$2)/$Q$2))</f>
        <v>2271.13253820078</v>
      </c>
      <c r="N613" s="15" t="n">
        <f aca="false">M613*(1+IF(N$3&lt;=$O$2,$D613,$D613-($D613-$I$589)*MIN(N$3-$O$2,$Q$2)/$Q$2))</f>
        <v>2312.69426364986</v>
      </c>
      <c r="O613" s="15" t="n">
        <f aca="false">SUMPRODUCT(E613:N613,1/(1+$F$589)^$E$3:$N$3)*$E$2</f>
        <v>2338.20001464751</v>
      </c>
      <c r="P613" s="15" t="n">
        <f aca="false">N613*$E$2*(1+$I$589)/($F$589-$I$589)/(1+$F$589)^$N$3</f>
        <v>3284.39912353309</v>
      </c>
      <c r="Q613" s="15" t="n">
        <f aca="false">O613+P613</f>
        <v>5622.5991381806</v>
      </c>
      <c r="R613" s="15" t="n">
        <f aca="false">Q613-$G$2+$I$2</f>
        <v>5789.9991381806</v>
      </c>
      <c r="S613" s="42" t="n">
        <f aca="false">R613/$K$2</f>
        <v>164.535354878676</v>
      </c>
      <c r="T613" s="43" t="n">
        <f aca="false">S613-$M$2</f>
        <v>-2.44904632893395E-005</v>
      </c>
    </row>
    <row r="614" customFormat="false" ht="15" hidden="false" customHeight="false" outlineLevel="0" collapsed="false">
      <c r="A614" s="5" t="n">
        <v>24</v>
      </c>
      <c r="B614" s="25" t="n">
        <f aca="false">IF(T613&gt;0,B613,D613)</f>
        <v>0.140151560306549</v>
      </c>
      <c r="C614" s="25" t="n">
        <f aca="false">IF(T613&gt;0,D613,C613)</f>
        <v>0.140151739120483</v>
      </c>
      <c r="D614" s="41" t="n">
        <f aca="false">(B614+C614)/2</f>
        <v>0.140151649713516</v>
      </c>
      <c r="E614" s="15" t="n">
        <f aca="false">$C$2*(1+IF(E$3&lt;=$O$2,$D614,$D614-($D614-$I$589)*MIN(E$3-$O$2,$Q$2)/$Q$2))</f>
        <v>991.966139800251</v>
      </c>
      <c r="F614" s="15" t="n">
        <f aca="false">E614*(1+IF(F$3&lt;=$O$2,$D614,$D614-($D614-$I$589)*MIN(F$3-$O$2,$Q$2)/$Q$2))</f>
        <v>1130.9918307532</v>
      </c>
      <c r="G614" s="15" t="n">
        <f aca="false">F614*(1+IF(G$3&lt;=$O$2,$D614,$D614-($D614-$I$589)*MIN(G$3-$O$2,$Q$2)/$Q$2))</f>
        <v>1289.50220164578</v>
      </c>
      <c r="H614" s="15" t="n">
        <f aca="false">G614*(1+IF(H$3&lt;=$O$2,$D614,$D614-($D614-$I$589)*MIN(H$3-$O$2,$Q$2)/$Q$2))</f>
        <v>1470.22806251564</v>
      </c>
      <c r="I614" s="15" t="n">
        <f aca="false">H614*(1+IF(I$3&lt;=$O$2,$D614,$D614-($D614-$I$589)*MIN(I$3-$O$2,$Q$2)/$Q$2))</f>
        <v>1676.28295093232</v>
      </c>
      <c r="J614" s="15" t="n">
        <f aca="false">I614*(1+IF(J$3&lt;=$O$2,$D614,$D614-($D614-$I$589)*MIN(J$3-$O$2,$Q$2)/$Q$2))</f>
        <v>1870.36520330057</v>
      </c>
      <c r="K614" s="15" t="n">
        <f aca="false">J614*(1+IF(K$3&lt;=$O$2,$D614,$D614-($D614-$I$589)*MIN(K$3-$O$2,$Q$2)/$Q$2))</f>
        <v>2041.33713787433</v>
      </c>
      <c r="L614" s="15" t="n">
        <f aca="false">K614*(1+IF(L$3&lt;=$O$2,$D614,$D614-($D614-$I$589)*MIN(L$3-$O$2,$Q$2)/$Q$2))</f>
        <v>2178.18972664601</v>
      </c>
      <c r="M614" s="15" t="n">
        <f aca="false">L614*(1+IF(M$3&lt;=$O$2,$D614,$D614-($D614-$I$589)*MIN(M$3-$O$2,$Q$2)/$Q$2))</f>
        <v>2271.13380095981</v>
      </c>
      <c r="N614" s="15" t="n">
        <f aca="false">M614*(1+IF(N$3&lt;=$O$2,$D614,$D614-($D614-$I$589)*MIN(N$3-$O$2,$Q$2)/$Q$2))</f>
        <v>2312.69554951737</v>
      </c>
      <c r="O614" s="15" t="n">
        <f aca="false">SUMPRODUCT(E614:N614,1/(1+$F$589)^$E$3:$N$3)*$E$2</f>
        <v>2338.20092080443</v>
      </c>
      <c r="P614" s="15" t="n">
        <f aca="false">N614*$E$2*(1+$I$589)/($F$589-$I$589)/(1+$F$589)^$N$3</f>
        <v>3284.4009496725</v>
      </c>
      <c r="Q614" s="15" t="n">
        <f aca="false">O614+P614</f>
        <v>5622.60187047692</v>
      </c>
      <c r="R614" s="15" t="n">
        <f aca="false">Q614-$G$2+$I$2</f>
        <v>5790.00187047692</v>
      </c>
      <c r="S614" s="42" t="n">
        <f aca="false">R614/$K$2</f>
        <v>164.535432522788</v>
      </c>
      <c r="T614" s="43" t="n">
        <f aca="false">S614-$M$2</f>
        <v>5.31536493895146E-005</v>
      </c>
    </row>
    <row r="616" customFormat="false" ht="15" hidden="false" customHeight="false" outlineLevel="0" collapsed="false">
      <c r="A616" s="38" t="s">
        <v>209</v>
      </c>
      <c r="E616" s="5" t="s">
        <v>12</v>
      </c>
      <c r="F616" s="12" t="n">
        <f aca="false">Sensitivity!$B$14</f>
        <v>0.0875075820986394</v>
      </c>
      <c r="G616" s="5" t="s">
        <v>13</v>
      </c>
      <c r="I616" s="12" t="n">
        <f aca="false">Sensitivity!$D$9</f>
        <v>0.0233</v>
      </c>
    </row>
    <row r="617" customFormat="false" ht="23.85" hidden="false" customHeight="false" outlineLevel="0" collapsed="false">
      <c r="A617" s="38" t="s">
        <v>168</v>
      </c>
      <c r="B617" s="28" t="s">
        <v>169</v>
      </c>
      <c r="C617" s="28" t="s">
        <v>170</v>
      </c>
      <c r="D617" s="28" t="s">
        <v>171</v>
      </c>
      <c r="E617" s="28" t="s">
        <v>172</v>
      </c>
      <c r="F617" s="28" t="s">
        <v>173</v>
      </c>
      <c r="G617" s="28" t="s">
        <v>174</v>
      </c>
      <c r="H617" s="28" t="s">
        <v>175</v>
      </c>
      <c r="I617" s="28" t="s">
        <v>176</v>
      </c>
      <c r="J617" s="28" t="s">
        <v>177</v>
      </c>
      <c r="K617" s="28" t="s">
        <v>178</v>
      </c>
      <c r="L617" s="28" t="s">
        <v>179</v>
      </c>
      <c r="M617" s="28" t="s">
        <v>180</v>
      </c>
      <c r="N617" s="28" t="s">
        <v>181</v>
      </c>
      <c r="O617" s="28" t="s">
        <v>182</v>
      </c>
      <c r="P617" s="28" t="s">
        <v>183</v>
      </c>
      <c r="Q617" s="28" t="s">
        <v>184</v>
      </c>
      <c r="R617" s="28" t="s">
        <v>185</v>
      </c>
      <c r="S617" s="28" t="s">
        <v>186</v>
      </c>
      <c r="T617" s="28" t="s">
        <v>187</v>
      </c>
    </row>
    <row r="618" customFormat="false" ht="15" hidden="false" customHeight="false" outlineLevel="0" collapsed="false">
      <c r="A618" s="5" t="n">
        <v>1</v>
      </c>
      <c r="B618" s="24" t="n">
        <v>-0.5</v>
      </c>
      <c r="C618" s="24" t="n">
        <v>1</v>
      </c>
      <c r="D618" s="41" t="n">
        <f aca="false">(B618+C618)/2</f>
        <v>0.25</v>
      </c>
      <c r="E618" s="15" t="n">
        <f aca="false">$C$2*(1+IF(E$3&lt;=$O$2,$D618,$D618-($D618-$I$616)*MIN(E$3-$O$2,$Q$2)/$Q$2))</f>
        <v>1087.5375</v>
      </c>
      <c r="F618" s="15" t="n">
        <f aca="false">E618*(1+IF(F$3&lt;=$O$2,$D618,$D618-($D618-$I$616)*MIN(F$3-$O$2,$Q$2)/$Q$2))</f>
        <v>1359.421875</v>
      </c>
      <c r="G618" s="15" t="n">
        <f aca="false">F618*(1+IF(G$3&lt;=$O$2,$D618,$D618-($D618-$I$616)*MIN(G$3-$O$2,$Q$2)/$Q$2))</f>
        <v>1699.27734375</v>
      </c>
      <c r="H618" s="15" t="n">
        <f aca="false">G618*(1+IF(H$3&lt;=$O$2,$D618,$D618-($D618-$I$616)*MIN(H$3-$O$2,$Q$2)/$Q$2))</f>
        <v>2124.0966796875</v>
      </c>
      <c r="I618" s="15" t="n">
        <f aca="false">H618*(1+IF(I$3&lt;=$O$2,$D618,$D618-($D618-$I$616)*MIN(I$3-$O$2,$Q$2)/$Q$2))</f>
        <v>2655.12084960938</v>
      </c>
      <c r="J618" s="15" t="n">
        <f aca="false">I618*(1+IF(J$3&lt;=$O$2,$D618,$D618-($D618-$I$616)*MIN(J$3-$O$2,$Q$2)/$Q$2))</f>
        <v>3198.51788269043</v>
      </c>
      <c r="K618" s="15" t="n">
        <f aca="false">J618*(1+IF(K$3&lt;=$O$2,$D618,$D618-($D618-$I$616)*MIN(K$3-$O$2,$Q$2)/$Q$2))</f>
        <v>3708.10575176067</v>
      </c>
      <c r="L618" s="15" t="n">
        <f aca="false">K618*(1+IF(L$3&lt;=$O$2,$D618,$D618-($D618-$I$616)*MIN(L$3-$O$2,$Q$2)/$Q$2))</f>
        <v>4130.75564534635</v>
      </c>
      <c r="M618" s="15" t="n">
        <f aca="false">L618*(1+IF(M$3&lt;=$O$2,$D618,$D618-($D618-$I$616)*MIN(M$3-$O$2,$Q$2)/$Q$2))</f>
        <v>4414.29071284292</v>
      </c>
      <c r="N618" s="15" t="n">
        <f aca="false">M618*(1+IF(N$3&lt;=$O$2,$D618,$D618-($D618-$I$616)*MIN(N$3-$O$2,$Q$2)/$Q$2))</f>
        <v>4517.14368645216</v>
      </c>
      <c r="O618" s="15" t="n">
        <f aca="false">SUMPRODUCT(E618:N618,1/(1+$F$616)^$E$3:$N$3)*$E$2</f>
        <v>3767.06050281678</v>
      </c>
      <c r="P618" s="15" t="n">
        <f aca="false">N618*$E$2*(1+$I$616)/($F$616-$I$616)/(1+$F$616)^$N$3</f>
        <v>6948.58222262732</v>
      </c>
      <c r="Q618" s="15" t="n">
        <f aca="false">O618+P618</f>
        <v>10715.6427254441</v>
      </c>
      <c r="R618" s="15" t="n">
        <f aca="false">Q618-$G$2+$I$2</f>
        <v>10883.0427254441</v>
      </c>
      <c r="S618" s="42" t="n">
        <f aca="false">R618/$K$2</f>
        <v>309.265209589204</v>
      </c>
      <c r="T618" s="43" t="n">
        <f aca="false">S618-$M$2</f>
        <v>144.729830220065</v>
      </c>
    </row>
    <row r="619" customFormat="false" ht="15" hidden="false" customHeight="false" outlineLevel="0" collapsed="false">
      <c r="A619" s="5" t="n">
        <v>2</v>
      </c>
      <c r="B619" s="25" t="n">
        <f aca="false">IF(T618&gt;0,B618,D618)</f>
        <v>-0.5</v>
      </c>
      <c r="C619" s="25" t="n">
        <f aca="false">IF(T618&gt;0,D618,C618)</f>
        <v>0.25</v>
      </c>
      <c r="D619" s="41" t="n">
        <f aca="false">(B619+C619)/2</f>
        <v>-0.125</v>
      </c>
      <c r="E619" s="15" t="n">
        <f aca="false">$C$2*(1+IF(E$3&lt;=$O$2,$D619,$D619-($D619-$I$616)*MIN(E$3-$O$2,$Q$2)/$Q$2))</f>
        <v>761.27625</v>
      </c>
      <c r="F619" s="15" t="n">
        <f aca="false">E619*(1+IF(F$3&lt;=$O$2,$D619,$D619-($D619-$I$616)*MIN(F$3-$O$2,$Q$2)/$Q$2))</f>
        <v>666.11671875</v>
      </c>
      <c r="G619" s="15" t="n">
        <f aca="false">F619*(1+IF(G$3&lt;=$O$2,$D619,$D619-($D619-$I$616)*MIN(G$3-$O$2,$Q$2)/$Q$2))</f>
        <v>582.85212890625</v>
      </c>
      <c r="H619" s="15" t="n">
        <f aca="false">G619*(1+IF(H$3&lt;=$O$2,$D619,$D619-($D619-$I$616)*MIN(H$3-$O$2,$Q$2)/$Q$2))</f>
        <v>509.995612792969</v>
      </c>
      <c r="I619" s="15" t="n">
        <f aca="false">H619*(1+IF(I$3&lt;=$O$2,$D619,$D619-($D619-$I$616)*MIN(I$3-$O$2,$Q$2)/$Q$2))</f>
        <v>446.246161193848</v>
      </c>
      <c r="J619" s="15" t="n">
        <f aca="false">I619*(1+IF(J$3&lt;=$O$2,$D619,$D619-($D619-$I$616)*MIN(J$3-$O$2,$Q$2)/$Q$2))</f>
        <v>403.701052185626</v>
      </c>
      <c r="K619" s="15" t="n">
        <f aca="false">J619*(1+IF(K$3&lt;=$O$2,$D619,$D619-($D619-$I$616)*MIN(K$3-$O$2,$Q$2)/$Q$2))</f>
        <v>377.185967078074</v>
      </c>
      <c r="L619" s="15" t="n">
        <f aca="false">K619*(1+IF(L$3&lt;=$O$2,$D619,$D619-($D619-$I$616)*MIN(L$3-$O$2,$Q$2)/$Q$2))</f>
        <v>363.599728543922</v>
      </c>
      <c r="M619" s="15" t="n">
        <f aca="false">L619*(1+IF(M$3&lt;=$O$2,$D619,$D619-($D619-$I$616)*MIN(M$3-$O$2,$Q$2)/$Q$2))</f>
        <v>361.287234270383</v>
      </c>
      <c r="N619" s="15" t="n">
        <f aca="false">M619*(1+IF(N$3&lt;=$O$2,$D619,$D619-($D619-$I$616)*MIN(N$3-$O$2,$Q$2)/$Q$2))</f>
        <v>369.705226828883</v>
      </c>
      <c r="O619" s="15" t="n">
        <f aca="false">SUMPRODUCT(E619:N619,1/(1+$F$616)^$E$3:$N$3)*$E$2</f>
        <v>746.702437304992</v>
      </c>
      <c r="P619" s="15" t="n">
        <f aca="false">N619*$E$2*(1+$I$616)/($F$616-$I$616)/(1+$F$616)^$N$3</f>
        <v>568.706099489443</v>
      </c>
      <c r="Q619" s="15" t="n">
        <f aca="false">O619+P619</f>
        <v>1315.40853679444</v>
      </c>
      <c r="R619" s="15" t="n">
        <f aca="false">Q619-$G$2+$I$2</f>
        <v>1482.80853679443</v>
      </c>
      <c r="S619" s="42" t="n">
        <f aca="false">R619/$K$2</f>
        <v>42.1372133218083</v>
      </c>
      <c r="T619" s="43" t="n">
        <f aca="false">S619-$M$2</f>
        <v>-122.398166047331</v>
      </c>
    </row>
    <row r="620" customFormat="false" ht="15" hidden="false" customHeight="false" outlineLevel="0" collapsed="false">
      <c r="A620" s="5" t="n">
        <v>3</v>
      </c>
      <c r="B620" s="25" t="n">
        <f aca="false">IF(T619&gt;0,B619,D619)</f>
        <v>-0.125</v>
      </c>
      <c r="C620" s="25" t="n">
        <f aca="false">IF(T619&gt;0,D619,C619)</f>
        <v>0.25</v>
      </c>
      <c r="D620" s="41" t="n">
        <f aca="false">(B620+C620)/2</f>
        <v>0.0625</v>
      </c>
      <c r="E620" s="15" t="n">
        <f aca="false">$C$2*(1+IF(E$3&lt;=$O$2,$D620,$D620-($D620-$I$616)*MIN(E$3-$O$2,$Q$2)/$Q$2))</f>
        <v>924.406875</v>
      </c>
      <c r="F620" s="15" t="n">
        <f aca="false">E620*(1+IF(F$3&lt;=$O$2,$D620,$D620-($D620-$I$616)*MIN(F$3-$O$2,$Q$2)/$Q$2))</f>
        <v>982.1823046875</v>
      </c>
      <c r="G620" s="15" t="n">
        <f aca="false">F620*(1+IF(G$3&lt;=$O$2,$D620,$D620-($D620-$I$616)*MIN(G$3-$O$2,$Q$2)/$Q$2))</f>
        <v>1043.56869873047</v>
      </c>
      <c r="H620" s="15" t="n">
        <f aca="false">G620*(1+IF(H$3&lt;=$O$2,$D620,$D620-($D620-$I$616)*MIN(H$3-$O$2,$Q$2)/$Q$2))</f>
        <v>1108.79174240112</v>
      </c>
      <c r="I620" s="15" t="n">
        <f aca="false">H620*(1+IF(I$3&lt;=$O$2,$D620,$D620-($D620-$I$616)*MIN(I$3-$O$2,$Q$2)/$Q$2))</f>
        <v>1178.09122630119</v>
      </c>
      <c r="J620" s="15" t="n">
        <f aca="false">I620*(1+IF(J$3&lt;=$O$2,$D620,$D620-($D620-$I$616)*MIN(J$3-$O$2,$Q$2)/$Q$2))</f>
        <v>1242.48569273082</v>
      </c>
      <c r="K620" s="15" t="n">
        <f aca="false">J620*(1+IF(K$3&lt;=$O$2,$D620,$D620-($D620-$I$616)*MIN(K$3-$O$2,$Q$2)/$Q$2))</f>
        <v>1300.65887286447</v>
      </c>
      <c r="L620" s="15" t="n">
        <f aca="false">K620*(1+IF(L$3&lt;=$O$2,$D620,$D620-($D620-$I$616)*MIN(L$3-$O$2,$Q$2)/$Q$2))</f>
        <v>1351.35855572873</v>
      </c>
      <c r="M620" s="15" t="n">
        <f aca="false">L620*(1+IF(M$3&lt;=$O$2,$D620,$D620-($D620-$I$616)*MIN(M$3-$O$2,$Q$2)/$Q$2))</f>
        <v>1393.43986115412</v>
      </c>
      <c r="N620" s="15" t="n">
        <f aca="false">M620*(1+IF(N$3&lt;=$O$2,$D620,$D620-($D620-$I$616)*MIN(N$3-$O$2,$Q$2)/$Q$2))</f>
        <v>1425.90700991901</v>
      </c>
      <c r="O620" s="15" t="n">
        <f aca="false">SUMPRODUCT(E620:N620,1/(1+$F$616)^$E$3:$N$3)*$E$2</f>
        <v>1673.85449478226</v>
      </c>
      <c r="P620" s="15" t="n">
        <f aca="false">N620*$E$2*(1+$I$616)/($F$616-$I$616)/(1+$F$616)^$N$3</f>
        <v>2193.42858850365</v>
      </c>
      <c r="Q620" s="15" t="n">
        <f aca="false">O620+P620</f>
        <v>3867.28308328591</v>
      </c>
      <c r="R620" s="15" t="n">
        <f aca="false">Q620-$G$2+$I$2</f>
        <v>4034.68308328591</v>
      </c>
      <c r="S620" s="42" t="n">
        <f aca="false">R620/$K$2</f>
        <v>114.654250732763</v>
      </c>
      <c r="T620" s="43" t="n">
        <f aca="false">S620-$M$2</f>
        <v>-49.8811286363764</v>
      </c>
    </row>
    <row r="621" customFormat="false" ht="15" hidden="false" customHeight="false" outlineLevel="0" collapsed="false">
      <c r="A621" s="5" t="n">
        <v>4</v>
      </c>
      <c r="B621" s="25" t="n">
        <f aca="false">IF(T620&gt;0,B620,D620)</f>
        <v>0.0625</v>
      </c>
      <c r="C621" s="25" t="n">
        <f aca="false">IF(T620&gt;0,D620,C620)</f>
        <v>0.25</v>
      </c>
      <c r="D621" s="41" t="n">
        <f aca="false">(B621+C621)/2</f>
        <v>0.15625</v>
      </c>
      <c r="E621" s="15" t="n">
        <f aca="false">$C$2*(1+IF(E$3&lt;=$O$2,$D621,$D621-($D621-$I$616)*MIN(E$3-$O$2,$Q$2)/$Q$2))</f>
        <v>1005.9721875</v>
      </c>
      <c r="F621" s="15" t="n">
        <f aca="false">E621*(1+IF(F$3&lt;=$O$2,$D621,$D621-($D621-$I$616)*MIN(F$3-$O$2,$Q$2)/$Q$2))</f>
        <v>1163.15534179688</v>
      </c>
      <c r="G621" s="15" t="n">
        <f aca="false">F621*(1+IF(G$3&lt;=$O$2,$D621,$D621-($D621-$I$616)*MIN(G$3-$O$2,$Q$2)/$Q$2))</f>
        <v>1344.89836395264</v>
      </c>
      <c r="H621" s="15" t="n">
        <f aca="false">G621*(1+IF(H$3&lt;=$O$2,$D621,$D621-($D621-$I$616)*MIN(H$3-$O$2,$Q$2)/$Q$2))</f>
        <v>1555.03873332024</v>
      </c>
      <c r="I621" s="15" t="n">
        <f aca="false">H621*(1+IF(I$3&lt;=$O$2,$D621,$D621-($D621-$I$616)*MIN(I$3-$O$2,$Q$2)/$Q$2))</f>
        <v>1798.01353540152</v>
      </c>
      <c r="J621" s="15" t="n">
        <f aca="false">I621*(1+IF(J$3&lt;=$O$2,$D621,$D621-($D621-$I$616)*MIN(J$3-$O$2,$Q$2)/$Q$2))</f>
        <v>2031.14397040168</v>
      </c>
      <c r="K621" s="15" t="n">
        <f aca="false">J621*(1+IF(K$3&lt;=$O$2,$D621,$D621-($D621-$I$616)*MIN(K$3-$O$2,$Q$2)/$Q$2))</f>
        <v>2240.49397943099</v>
      </c>
      <c r="L621" s="15" t="n">
        <f aca="false">K621*(1+IF(L$3&lt;=$O$2,$D621,$D621-($D621-$I$616)*MIN(L$3-$O$2,$Q$2)/$Q$2))</f>
        <v>2411.84695897787</v>
      </c>
      <c r="M621" s="15" t="n">
        <f aca="false">L621*(1+IF(M$3&lt;=$O$2,$D621,$D621-($D621-$I$616)*MIN(M$3-$O$2,$Q$2)/$Q$2))</f>
        <v>2532.17400376127</v>
      </c>
      <c r="N621" s="15" t="n">
        <f aca="false">M621*(1+IF(N$3&lt;=$O$2,$D621,$D621-($D621-$I$616)*MIN(N$3-$O$2,$Q$2)/$Q$2))</f>
        <v>2591.17365804891</v>
      </c>
      <c r="O621" s="15" t="n">
        <f aca="false">SUMPRODUCT(E621:N621,1/(1+$F$616)^$E$3:$N$3)*$E$2</f>
        <v>2515.56306521988</v>
      </c>
      <c r="P621" s="15" t="n">
        <f aca="false">N621*$E$2*(1+$I$616)/($F$616-$I$616)/(1+$F$616)^$N$3</f>
        <v>3985.92218132434</v>
      </c>
      <c r="Q621" s="15" t="n">
        <f aca="false">O621+P621</f>
        <v>6501.48524654421</v>
      </c>
      <c r="R621" s="15" t="n">
        <f aca="false">Q621-$G$2+$I$2</f>
        <v>6668.88524654422</v>
      </c>
      <c r="S621" s="42" t="n">
        <f aca="false">R621/$K$2</f>
        <v>189.510805528395</v>
      </c>
      <c r="T621" s="43" t="n">
        <f aca="false">S621-$M$2</f>
        <v>24.9754261592559</v>
      </c>
    </row>
    <row r="622" customFormat="false" ht="15" hidden="false" customHeight="false" outlineLevel="0" collapsed="false">
      <c r="A622" s="5" t="n">
        <v>5</v>
      </c>
      <c r="B622" s="25" t="n">
        <f aca="false">IF(T621&gt;0,B621,D621)</f>
        <v>0.0625</v>
      </c>
      <c r="C622" s="25" t="n">
        <f aca="false">IF(T621&gt;0,D621,C621)</f>
        <v>0.15625</v>
      </c>
      <c r="D622" s="41" t="n">
        <f aca="false">(B622+C622)/2</f>
        <v>0.109375</v>
      </c>
      <c r="E622" s="15" t="n">
        <f aca="false">$C$2*(1+IF(E$3&lt;=$O$2,$D622,$D622-($D622-$I$616)*MIN(E$3-$O$2,$Q$2)/$Q$2))</f>
        <v>965.18953125</v>
      </c>
      <c r="F622" s="15" t="n">
        <f aca="false">E622*(1+IF(F$3&lt;=$O$2,$D622,$D622-($D622-$I$616)*MIN(F$3-$O$2,$Q$2)/$Q$2))</f>
        <v>1070.75713623047</v>
      </c>
      <c r="G622" s="15" t="n">
        <f aca="false">F622*(1+IF(G$3&lt;=$O$2,$D622,$D622-($D622-$I$616)*MIN(G$3-$O$2,$Q$2)/$Q$2))</f>
        <v>1187.87119800568</v>
      </c>
      <c r="H622" s="15" t="n">
        <f aca="false">G622*(1+IF(H$3&lt;=$O$2,$D622,$D622-($D622-$I$616)*MIN(H$3-$O$2,$Q$2)/$Q$2))</f>
        <v>1317.79461028755</v>
      </c>
      <c r="I622" s="15" t="n">
        <f aca="false">H622*(1+IF(I$3&lt;=$O$2,$D622,$D622-($D622-$I$616)*MIN(I$3-$O$2,$Q$2)/$Q$2))</f>
        <v>1461.92839578775</v>
      </c>
      <c r="J622" s="15" t="n">
        <f aca="false">I622*(1+IF(J$3&lt;=$O$2,$D622,$D622-($D622-$I$616)*MIN(J$3-$O$2,$Q$2)/$Q$2))</f>
        <v>1596.65971674355</v>
      </c>
      <c r="K622" s="15" t="n">
        <f aca="false">J622*(1+IF(K$3&lt;=$O$2,$D622,$D622-($D622-$I$616)*MIN(K$3-$O$2,$Q$2)/$Q$2))</f>
        <v>1716.32137921489</v>
      </c>
      <c r="L622" s="15" t="n">
        <f aca="false">K622*(1+IF(L$3&lt;=$O$2,$D622,$D622-($D622-$I$616)*MIN(L$3-$O$2,$Q$2)/$Q$2))</f>
        <v>1815.40461243697</v>
      </c>
      <c r="M622" s="15" t="n">
        <f aca="false">L622*(1+IF(M$3&lt;=$O$2,$D622,$D622-($D622-$I$616)*MIN(M$3-$O$2,$Q$2)/$Q$2))</f>
        <v>1888.95573030985</v>
      </c>
      <c r="N622" s="15" t="n">
        <f aca="false">M622*(1+IF(N$3&lt;=$O$2,$D622,$D622-($D622-$I$616)*MIN(N$3-$O$2,$Q$2)/$Q$2))</f>
        <v>1932.96839882607</v>
      </c>
      <c r="O622" s="15" t="n">
        <f aca="false">SUMPRODUCT(E622:N622,1/(1+$F$616)^$E$3:$N$3)*$E$2</f>
        <v>2052.39410589466</v>
      </c>
      <c r="P622" s="15" t="n">
        <f aca="false">N622*$E$2*(1+$I$616)/($F$616-$I$616)/(1+$F$616)^$N$3</f>
        <v>2973.42541776271</v>
      </c>
      <c r="Q622" s="15" t="n">
        <f aca="false">O622+P622</f>
        <v>5025.81952365738</v>
      </c>
      <c r="R622" s="15" t="n">
        <f aca="false">Q622-$G$2+$I$2</f>
        <v>5193.21952365738</v>
      </c>
      <c r="S622" s="42" t="n">
        <f aca="false">R622/$K$2</f>
        <v>147.576570720585</v>
      </c>
      <c r="T622" s="43" t="n">
        <f aca="false">S622-$M$2</f>
        <v>-16.9588086485543</v>
      </c>
    </row>
    <row r="623" customFormat="false" ht="15" hidden="false" customHeight="false" outlineLevel="0" collapsed="false">
      <c r="A623" s="5" t="n">
        <v>6</v>
      </c>
      <c r="B623" s="25" t="n">
        <f aca="false">IF(T622&gt;0,B622,D622)</f>
        <v>0.109375</v>
      </c>
      <c r="C623" s="25" t="n">
        <f aca="false">IF(T622&gt;0,D622,C622)</f>
        <v>0.15625</v>
      </c>
      <c r="D623" s="41" t="n">
        <f aca="false">(B623+C623)/2</f>
        <v>0.1328125</v>
      </c>
      <c r="E623" s="15" t="n">
        <f aca="false">$C$2*(1+IF(E$3&lt;=$O$2,$D623,$D623-($D623-$I$616)*MIN(E$3-$O$2,$Q$2)/$Q$2))</f>
        <v>985.580859375</v>
      </c>
      <c r="F623" s="15" t="n">
        <f aca="false">E623*(1+IF(F$3&lt;=$O$2,$D623,$D623-($D623-$I$616)*MIN(F$3-$O$2,$Q$2)/$Q$2))</f>
        <v>1116.47831726074</v>
      </c>
      <c r="G623" s="15" t="n">
        <f aca="false">F623*(1+IF(G$3&lt;=$O$2,$D623,$D623-($D623-$I$616)*MIN(G$3-$O$2,$Q$2)/$Q$2))</f>
        <v>1264.76059377193</v>
      </c>
      <c r="H623" s="15" t="n">
        <f aca="false">G623*(1+IF(H$3&lt;=$O$2,$D623,$D623-($D623-$I$616)*MIN(H$3-$O$2,$Q$2)/$Q$2))</f>
        <v>1432.73661013227</v>
      </c>
      <c r="I623" s="15" t="n">
        <f aca="false">H623*(1+IF(I$3&lt;=$O$2,$D623,$D623-($D623-$I$616)*MIN(I$3-$O$2,$Q$2)/$Q$2))</f>
        <v>1623.02194116546</v>
      </c>
      <c r="J623" s="15" t="n">
        <f aca="false">I623*(1+IF(J$3&lt;=$O$2,$D623,$D623-($D623-$I$616)*MIN(J$3-$O$2,$Q$2)/$Q$2))</f>
        <v>1803.03130466012</v>
      </c>
      <c r="K623" s="15" t="n">
        <f aca="false">J623*(1+IF(K$3&lt;=$O$2,$D623,$D623-($D623-$I$616)*MIN(K$3-$O$2,$Q$2)/$Q$2))</f>
        <v>1963.51461350966</v>
      </c>
      <c r="L623" s="15" t="n">
        <f aca="false">K623*(1+IF(L$3&lt;=$O$2,$D623,$D623-($D623-$I$616)*MIN(L$3-$O$2,$Q$2)/$Q$2))</f>
        <v>2095.27626164922</v>
      </c>
      <c r="M623" s="15" t="n">
        <f aca="false">L623*(1+IF(M$3&lt;=$O$2,$D623,$D623-($D623-$I$616)*MIN(M$3-$O$2,$Q$2)/$Q$2))</f>
        <v>2189.98798686642</v>
      </c>
      <c r="N623" s="15" t="n">
        <f aca="false">M623*(1+IF(N$3&lt;=$O$2,$D623,$D623-($D623-$I$616)*MIN(N$3-$O$2,$Q$2)/$Q$2))</f>
        <v>2241.01470696041</v>
      </c>
      <c r="O623" s="15" t="n">
        <f aca="false">SUMPRODUCT(E623:N623,1/(1+$F$616)^$E$3:$N$3)*$E$2</f>
        <v>2272.39528198619</v>
      </c>
      <c r="P623" s="15" t="n">
        <f aca="false">N623*$E$2*(1+$I$616)/($F$616-$I$616)/(1+$F$616)^$N$3</f>
        <v>3447.28351239628</v>
      </c>
      <c r="Q623" s="15" t="n">
        <f aca="false">O623+P623</f>
        <v>5719.67879438247</v>
      </c>
      <c r="R623" s="15" t="n">
        <f aca="false">Q623-$G$2+$I$2</f>
        <v>5887.07879438247</v>
      </c>
      <c r="S623" s="42" t="n">
        <f aca="false">R623/$K$2</f>
        <v>167.294083386828</v>
      </c>
      <c r="T623" s="43" t="n">
        <f aca="false">S623-$M$2</f>
        <v>2.7587040176889</v>
      </c>
    </row>
    <row r="624" customFormat="false" ht="15" hidden="false" customHeight="false" outlineLevel="0" collapsed="false">
      <c r="A624" s="5" t="n">
        <v>7</v>
      </c>
      <c r="B624" s="25" t="n">
        <f aca="false">IF(T623&gt;0,B623,D623)</f>
        <v>0.109375</v>
      </c>
      <c r="C624" s="25" t="n">
        <f aca="false">IF(T623&gt;0,D623,C623)</f>
        <v>0.1328125</v>
      </c>
      <c r="D624" s="41" t="n">
        <f aca="false">(B624+C624)/2</f>
        <v>0.12109375</v>
      </c>
      <c r="E624" s="15" t="n">
        <f aca="false">$C$2*(1+IF(E$3&lt;=$O$2,$D624,$D624-($D624-$I$616)*MIN(E$3-$O$2,$Q$2)/$Q$2))</f>
        <v>975.3851953125</v>
      </c>
      <c r="F624" s="15" t="n">
        <f aca="false">E624*(1+IF(F$3&lt;=$O$2,$D624,$D624-($D624-$I$616)*MIN(F$3-$O$2,$Q$2)/$Q$2))</f>
        <v>1093.49824630737</v>
      </c>
      <c r="G624" s="15" t="n">
        <f aca="false">F624*(1+IF(G$3&lt;=$O$2,$D624,$D624-($D624-$I$616)*MIN(G$3-$O$2,$Q$2)/$Q$2))</f>
        <v>1225.91404957116</v>
      </c>
      <c r="H624" s="15" t="n">
        <f aca="false">G624*(1+IF(H$3&lt;=$O$2,$D624,$D624-($D624-$I$616)*MIN(H$3-$O$2,$Q$2)/$Q$2))</f>
        <v>1374.36457901141</v>
      </c>
      <c r="I624" s="15" t="n">
        <f aca="false">H624*(1+IF(I$3&lt;=$O$2,$D624,$D624-($D624-$I$616)*MIN(I$3-$O$2,$Q$2)/$Q$2))</f>
        <v>1540.79153975108</v>
      </c>
      <c r="J624" s="15" t="n">
        <f aca="false">I624*(1+IF(J$3&lt;=$O$2,$D624,$D624-($D624-$I$616)*MIN(J$3-$O$2,$Q$2)/$Q$2))</f>
        <v>1697.2358087397</v>
      </c>
      <c r="K624" s="15" t="n">
        <f aca="false">J624*(1+IF(K$3&lt;=$O$2,$D624,$D624-($D624-$I$616)*MIN(K$3-$O$2,$Q$2)/$Q$2))</f>
        <v>1836.3688357059</v>
      </c>
      <c r="L624" s="15" t="n">
        <f aca="false">K624*(1+IF(L$3&lt;=$O$2,$D624,$D624-($D624-$I$616)*MIN(L$3-$O$2,$Q$2)/$Q$2))</f>
        <v>1950.99038750857</v>
      </c>
      <c r="M624" s="15" t="n">
        <f aca="false">L624*(1+IF(M$3&lt;=$O$2,$D624,$D624-($D624-$I$616)*MIN(M$3-$O$2,$Q$2)/$Q$2))</f>
        <v>2034.60739677921</v>
      </c>
      <c r="N624" s="15" t="n">
        <f aca="false">M624*(1+IF(N$3&lt;=$O$2,$D624,$D624-($D624-$I$616)*MIN(N$3-$O$2,$Q$2)/$Q$2))</f>
        <v>2082.01374912416</v>
      </c>
      <c r="O624" s="15" t="n">
        <f aca="false">SUMPRODUCT(E624:N624,1/(1+$F$616)^$E$3:$N$3)*$E$2</f>
        <v>2159.63077479281</v>
      </c>
      <c r="P624" s="15" t="n">
        <f aca="false">N624*$E$2*(1+$I$616)/($F$616-$I$616)/(1+$F$616)^$N$3</f>
        <v>3202.69726371987</v>
      </c>
      <c r="Q624" s="15" t="n">
        <f aca="false">O624+P624</f>
        <v>5362.32803851267</v>
      </c>
      <c r="R624" s="15" t="n">
        <f aca="false">Q624-$G$2+$I$2</f>
        <v>5529.72803851268</v>
      </c>
      <c r="S624" s="42" t="n">
        <f aca="false">R624/$K$2</f>
        <v>157.139188363532</v>
      </c>
      <c r="T624" s="43" t="n">
        <f aca="false">S624-$M$2</f>
        <v>-7.39619100560745</v>
      </c>
    </row>
    <row r="625" customFormat="false" ht="15" hidden="false" customHeight="false" outlineLevel="0" collapsed="false">
      <c r="A625" s="5" t="n">
        <v>8</v>
      </c>
      <c r="B625" s="25" t="n">
        <f aca="false">IF(T624&gt;0,B624,D624)</f>
        <v>0.12109375</v>
      </c>
      <c r="C625" s="25" t="n">
        <f aca="false">IF(T624&gt;0,D624,C624)</f>
        <v>0.1328125</v>
      </c>
      <c r="D625" s="41" t="n">
        <f aca="false">(B625+C625)/2</f>
        <v>0.126953125</v>
      </c>
      <c r="E625" s="15" t="n">
        <f aca="false">$C$2*(1+IF(E$3&lt;=$O$2,$D625,$D625-($D625-$I$616)*MIN(E$3-$O$2,$Q$2)/$Q$2))</f>
        <v>980.48302734375</v>
      </c>
      <c r="F625" s="15" t="n">
        <f aca="false">E625*(1+IF(F$3&lt;=$O$2,$D625,$D625-($D625-$I$616)*MIN(F$3-$O$2,$Q$2)/$Q$2))</f>
        <v>1104.9584116745</v>
      </c>
      <c r="G625" s="15" t="n">
        <f aca="false">F625*(1+IF(G$3&lt;=$O$2,$D625,$D625-($D625-$I$616)*MIN(G$3-$O$2,$Q$2)/$Q$2))</f>
        <v>1245.23633503161</v>
      </c>
      <c r="H625" s="15" t="n">
        <f aca="false">G625*(1+IF(H$3&lt;=$O$2,$D625,$D625-($D625-$I$616)*MIN(H$3-$O$2,$Q$2)/$Q$2))</f>
        <v>1403.32297912742</v>
      </c>
      <c r="I625" s="15" t="n">
        <f aca="false">H625*(1+IF(I$3&lt;=$O$2,$D625,$D625-($D625-$I$616)*MIN(I$3-$O$2,$Q$2)/$Q$2))</f>
        <v>1581.47921671196</v>
      </c>
      <c r="J625" s="15" t="n">
        <f aca="false">I625*(1+IF(J$3&lt;=$O$2,$D625,$D625-($D625-$I$616)*MIN(J$3-$O$2,$Q$2)/$Q$2))</f>
        <v>1749.46789280915</v>
      </c>
      <c r="K625" s="15" t="n">
        <f aca="false">J625*(1+IF(K$3&lt;=$O$2,$D625,$D625-($D625-$I$616)*MIN(K$3-$O$2,$Q$2)/$Q$2))</f>
        <v>1899.0331832177</v>
      </c>
      <c r="L625" s="15" t="n">
        <f aca="false">K625*(1+IF(L$3&lt;=$O$2,$D625,$D625-($D625-$I$616)*MIN(L$3-$O$2,$Q$2)/$Q$2))</f>
        <v>2022.01694595436</v>
      </c>
      <c r="M625" s="15" t="n">
        <f aca="false">L625*(1+IF(M$3&lt;=$O$2,$D625,$D625-($D625-$I$616)*MIN(M$3-$O$2,$Q$2)/$Q$2))</f>
        <v>2111.04761584532</v>
      </c>
      <c r="N625" s="15" t="n">
        <f aca="false">M625*(1+IF(N$3&lt;=$O$2,$D625,$D625-($D625-$I$616)*MIN(N$3-$O$2,$Q$2)/$Q$2))</f>
        <v>2160.23502529451</v>
      </c>
      <c r="O625" s="15" t="n">
        <f aca="false">SUMPRODUCT(E625:N625,1/(1+$F$616)^$E$3:$N$3)*$E$2</f>
        <v>2215.30597017239</v>
      </c>
      <c r="P625" s="15" t="n">
        <f aca="false">N625*$E$2*(1+$I$616)/($F$616-$I$616)/(1+$F$616)^$N$3</f>
        <v>3323.02263009213</v>
      </c>
      <c r="Q625" s="15" t="n">
        <f aca="false">O625+P625</f>
        <v>5538.32860026452</v>
      </c>
      <c r="R625" s="15" t="n">
        <f aca="false">Q625-$G$2+$I$2</f>
        <v>5705.72860026452</v>
      </c>
      <c r="S625" s="42" t="n">
        <f aca="false">R625/$K$2</f>
        <v>162.140625185124</v>
      </c>
      <c r="T625" s="43" t="n">
        <f aca="false">S625-$M$2</f>
        <v>-2.39475418401469</v>
      </c>
    </row>
    <row r="626" customFormat="false" ht="15" hidden="false" customHeight="false" outlineLevel="0" collapsed="false">
      <c r="A626" s="5" t="n">
        <v>9</v>
      </c>
      <c r="B626" s="25" t="n">
        <f aca="false">IF(T625&gt;0,B625,D625)</f>
        <v>0.126953125</v>
      </c>
      <c r="C626" s="25" t="n">
        <f aca="false">IF(T625&gt;0,D625,C625)</f>
        <v>0.1328125</v>
      </c>
      <c r="D626" s="41" t="n">
        <f aca="false">(B626+C626)/2</f>
        <v>0.1298828125</v>
      </c>
      <c r="E626" s="15" t="n">
        <f aca="false">$C$2*(1+IF(E$3&lt;=$O$2,$D626,$D626-($D626-$I$616)*MIN(E$3-$O$2,$Q$2)/$Q$2))</f>
        <v>983.031943359375</v>
      </c>
      <c r="F626" s="15" t="n">
        <f aca="false">E626*(1+IF(F$3&lt;=$O$2,$D626,$D626-($D626-$I$616)*MIN(F$3-$O$2,$Q$2)/$Q$2))</f>
        <v>1110.71089694023</v>
      </c>
      <c r="G626" s="15" t="n">
        <f aca="false">F626*(1+IF(G$3&lt;=$O$2,$D626,$D626-($D626-$I$616)*MIN(G$3-$O$2,$Q$2)/$Q$2))</f>
        <v>1254.97315210923</v>
      </c>
      <c r="H626" s="15" t="n">
        <f aca="false">G626*(1+IF(H$3&lt;=$O$2,$D626,$D626-($D626-$I$616)*MIN(H$3-$O$2,$Q$2)/$Q$2))</f>
        <v>1417.97259471716</v>
      </c>
      <c r="I626" s="15" t="n">
        <f aca="false">H626*(1+IF(I$3&lt;=$O$2,$D626,$D626-($D626-$I$616)*MIN(I$3-$O$2,$Q$2)/$Q$2))</f>
        <v>1602.14286336695</v>
      </c>
      <c r="J626" s="15" t="n">
        <f aca="false">I626*(1+IF(J$3&lt;=$O$2,$D626,$D626-($D626-$I$616)*MIN(J$3-$O$2,$Q$2)/$Q$2))</f>
        <v>1776.08150600696</v>
      </c>
      <c r="K626" s="15" t="n">
        <f aca="false">J626*(1+IF(K$3&lt;=$O$2,$D626,$D626-($D626-$I$616)*MIN(K$3-$O$2,$Q$2)/$Q$2))</f>
        <v>1931.0440623806</v>
      </c>
      <c r="L626" s="15" t="n">
        <f aca="false">K626*(1+IF(L$3&lt;=$O$2,$D626,$D626-($D626-$I$616)*MIN(L$3-$O$2,$Q$2)/$Q$2))</f>
        <v>2058.36383192605</v>
      </c>
      <c r="M626" s="15" t="n">
        <f aca="false">L626*(1+IF(M$3&lt;=$O$2,$D626,$D626-($D626-$I$616)*MIN(M$3-$O$2,$Q$2)/$Q$2))</f>
        <v>2150.20095048092</v>
      </c>
      <c r="N626" s="15" t="n">
        <f aca="false">M626*(1+IF(N$3&lt;=$O$2,$D626,$D626-($D626-$I$616)*MIN(N$3-$O$2,$Q$2)/$Q$2))</f>
        <v>2200.30063262712</v>
      </c>
      <c r="O626" s="15" t="n">
        <f aca="false">SUMPRODUCT(E626:N626,1/(1+$F$616)^$E$3:$N$3)*$E$2</f>
        <v>2243.67181638402</v>
      </c>
      <c r="P626" s="15" t="n">
        <f aca="false">N626*$E$2*(1+$I$616)/($F$616-$I$616)/(1+$F$616)^$N$3</f>
        <v>3384.65431289317</v>
      </c>
      <c r="Q626" s="15" t="n">
        <f aca="false">O626+P626</f>
        <v>5628.32612927718</v>
      </c>
      <c r="R626" s="15" t="n">
        <f aca="false">Q626-$G$2+$I$2</f>
        <v>5795.72612927719</v>
      </c>
      <c r="S626" s="42" t="n">
        <f aca="false">R626/$K$2</f>
        <v>164.698099723705</v>
      </c>
      <c r="T626" s="43" t="n">
        <f aca="false">S626-$M$2</f>
        <v>0.162720354566176</v>
      </c>
    </row>
    <row r="627" customFormat="false" ht="15" hidden="false" customHeight="false" outlineLevel="0" collapsed="false">
      <c r="A627" s="5" t="n">
        <v>10</v>
      </c>
      <c r="B627" s="25" t="n">
        <f aca="false">IF(T626&gt;0,B626,D626)</f>
        <v>0.126953125</v>
      </c>
      <c r="C627" s="25" t="n">
        <f aca="false">IF(T626&gt;0,D626,C626)</f>
        <v>0.1298828125</v>
      </c>
      <c r="D627" s="41" t="n">
        <f aca="false">(B627+C627)/2</f>
        <v>0.12841796875</v>
      </c>
      <c r="E627" s="15" t="n">
        <f aca="false">$C$2*(1+IF(E$3&lt;=$O$2,$D627,$D627-($D627-$I$616)*MIN(E$3-$O$2,$Q$2)/$Q$2))</f>
        <v>981.757485351562</v>
      </c>
      <c r="F627" s="15" t="n">
        <f aca="false">E627*(1+IF(F$3&lt;=$O$2,$D627,$D627-($D627-$I$616)*MIN(F$3-$O$2,$Q$2)/$Q$2))</f>
        <v>1107.83278742552</v>
      </c>
      <c r="G627" s="15" t="n">
        <f aca="false">F627*(1+IF(G$3&lt;=$O$2,$D627,$D627-($D627-$I$616)*MIN(G$3-$O$2,$Q$2)/$Q$2))</f>
        <v>1250.09842370135</v>
      </c>
      <c r="H627" s="15" t="n">
        <f aca="false">G627*(1+IF(H$3&lt;=$O$2,$D627,$D627-($D627-$I$616)*MIN(H$3-$O$2,$Q$2)/$Q$2))</f>
        <v>1410.63352401066</v>
      </c>
      <c r="I627" s="15" t="n">
        <f aca="false">H627*(1+IF(I$3&lt;=$O$2,$D627,$D627-($D627-$I$616)*MIN(I$3-$O$2,$Q$2)/$Q$2))</f>
        <v>1591.78421581476</v>
      </c>
      <c r="J627" s="15" t="n">
        <f aca="false">I627*(1+IF(J$3&lt;=$O$2,$D627,$D627-($D627-$I$616)*MIN(J$3-$O$2,$Q$2)/$Q$2))</f>
        <v>1762.73288680705</v>
      </c>
      <c r="K627" s="15" t="n">
        <f aca="false">J627*(1+IF(K$3&lt;=$O$2,$D627,$D627-($D627-$I$616)*MIN(K$3-$O$2,$Q$2)/$Q$2))</f>
        <v>1914.98150337565</v>
      </c>
      <c r="L627" s="15" t="n">
        <f aca="false">K627*(1+IF(L$3&lt;=$O$2,$D627,$D627-($D627-$I$616)*MIN(L$3-$O$2,$Q$2)/$Q$2))</f>
        <v>2040.12015873577</v>
      </c>
      <c r="M627" s="15" t="n">
        <f aca="false">L627*(1+IF(M$3&lt;=$O$2,$D627,$D627-($D627-$I$616)*MIN(M$3-$O$2,$Q$2)/$Q$2))</f>
        <v>2130.54561585275</v>
      </c>
      <c r="N627" s="15" t="n">
        <f aca="false">M627*(1+IF(N$3&lt;=$O$2,$D627,$D627-($D627-$I$616)*MIN(N$3-$O$2,$Q$2)/$Q$2))</f>
        <v>2180.18732870212</v>
      </c>
      <c r="O627" s="15" t="n">
        <f aca="false">SUMPRODUCT(E627:N627,1/(1+$F$616)^$E$3:$N$3)*$E$2</f>
        <v>2229.44444809148</v>
      </c>
      <c r="P627" s="15" t="n">
        <f aca="false">N627*$E$2*(1+$I$616)/($F$616-$I$616)/(1+$F$616)^$N$3</f>
        <v>3353.71464043805</v>
      </c>
      <c r="Q627" s="15" t="n">
        <f aca="false">O627+P627</f>
        <v>5583.15908852953</v>
      </c>
      <c r="R627" s="15" t="n">
        <f aca="false">Q627-$G$2+$I$2</f>
        <v>5750.55908852954</v>
      </c>
      <c r="S627" s="42" t="n">
        <f aca="false">R627/$K$2</f>
        <v>163.414580520873</v>
      </c>
      <c r="T627" s="43" t="n">
        <f aca="false">S627-$M$2</f>
        <v>-1.12079884826559</v>
      </c>
    </row>
    <row r="628" customFormat="false" ht="15" hidden="false" customHeight="false" outlineLevel="0" collapsed="false">
      <c r="A628" s="5" t="n">
        <v>11</v>
      </c>
      <c r="B628" s="25" t="n">
        <f aca="false">IF(T627&gt;0,B627,D627)</f>
        <v>0.12841796875</v>
      </c>
      <c r="C628" s="25" t="n">
        <f aca="false">IF(T627&gt;0,D627,C627)</f>
        <v>0.1298828125</v>
      </c>
      <c r="D628" s="41" t="n">
        <f aca="false">(B628+C628)/2</f>
        <v>0.129150390625</v>
      </c>
      <c r="E628" s="15" t="n">
        <f aca="false">$C$2*(1+IF(E$3&lt;=$O$2,$D628,$D628-($D628-$I$616)*MIN(E$3-$O$2,$Q$2)/$Q$2))</f>
        <v>982.394714355469</v>
      </c>
      <c r="F628" s="15" t="n">
        <f aca="false">E628*(1+IF(F$3&lt;=$O$2,$D628,$D628-($D628-$I$616)*MIN(F$3-$O$2,$Q$2)/$Q$2))</f>
        <v>1109.27137546241</v>
      </c>
      <c r="G628" s="15" t="n">
        <f aca="false">F628*(1+IF(G$3&lt;=$O$2,$D628,$D628-($D628-$I$616)*MIN(G$3-$O$2,$Q$2)/$Q$2))</f>
        <v>1252.53420691251</v>
      </c>
      <c r="H628" s="15" t="n">
        <f aca="false">G628*(1+IF(H$3&lt;=$O$2,$D628,$D628-($D628-$I$616)*MIN(H$3-$O$2,$Q$2)/$Q$2))</f>
        <v>1414.29948900644</v>
      </c>
      <c r="I628" s="15" t="n">
        <f aca="false">H628*(1+IF(I$3&lt;=$O$2,$D628,$D628-($D628-$I$616)*MIN(I$3-$O$2,$Q$2)/$Q$2))</f>
        <v>1596.95682047236</v>
      </c>
      <c r="J628" s="15" t="n">
        <f aca="false">I628*(1+IF(J$3&lt;=$O$2,$D628,$D628-($D628-$I$616)*MIN(J$3-$O$2,$Q$2)/$Q$2))</f>
        <v>1769.39671699597</v>
      </c>
      <c r="K628" s="15" t="n">
        <f aca="false">J628*(1+IF(K$3&lt;=$O$2,$D628,$D628-($D628-$I$616)*MIN(K$3-$O$2,$Q$2)/$Q$2))</f>
        <v>1922.99846070075</v>
      </c>
      <c r="L628" s="15" t="n">
        <f aca="false">K628*(1+IF(L$3&lt;=$O$2,$D628,$D628-($D628-$I$616)*MIN(L$3-$O$2,$Q$2)/$Q$2))</f>
        <v>2049.22438012965</v>
      </c>
      <c r="M628" s="15" t="n">
        <f aca="false">L628*(1+IF(M$3&lt;=$O$2,$D628,$D628-($D628-$I$616)*MIN(M$3-$O$2,$Q$2)/$Q$2))</f>
        <v>2140.35354840967</v>
      </c>
      <c r="N628" s="15" t="n">
        <f aca="false">M628*(1+IF(N$3&lt;=$O$2,$D628,$D628-($D628-$I$616)*MIN(N$3-$O$2,$Q$2)/$Q$2))</f>
        <v>2190.22378608762</v>
      </c>
      <c r="O628" s="15" t="n">
        <f aca="false">SUMPRODUCT(E628:N628,1/(1+$F$616)^$E$3:$N$3)*$E$2</f>
        <v>2236.54698888654</v>
      </c>
      <c r="P628" s="15" t="n">
        <f aca="false">N628*$E$2*(1+$I$616)/($F$616-$I$616)/(1+$F$616)^$N$3</f>
        <v>3369.1534119733</v>
      </c>
      <c r="Q628" s="15" t="n">
        <f aca="false">O628+P628</f>
        <v>5605.70040085984</v>
      </c>
      <c r="R628" s="15" t="n">
        <f aca="false">Q628-$G$2+$I$2</f>
        <v>5773.10040085984</v>
      </c>
      <c r="S628" s="42" t="n">
        <f aca="false">R628/$K$2</f>
        <v>164.055140689396</v>
      </c>
      <c r="T628" s="43" t="n">
        <f aca="false">S628-$M$2</f>
        <v>-0.480238679743252</v>
      </c>
    </row>
    <row r="629" customFormat="false" ht="15" hidden="false" customHeight="false" outlineLevel="0" collapsed="false">
      <c r="A629" s="5" t="n">
        <v>12</v>
      </c>
      <c r="B629" s="25" t="n">
        <f aca="false">IF(T628&gt;0,B628,D628)</f>
        <v>0.129150390625</v>
      </c>
      <c r="C629" s="25" t="n">
        <f aca="false">IF(T628&gt;0,D628,C628)</f>
        <v>0.1298828125</v>
      </c>
      <c r="D629" s="41" t="n">
        <f aca="false">(B629+C629)/2</f>
        <v>0.1295166015625</v>
      </c>
      <c r="E629" s="15" t="n">
        <f aca="false">$C$2*(1+IF(E$3&lt;=$O$2,$D629,$D629-($D629-$I$616)*MIN(E$3-$O$2,$Q$2)/$Q$2))</f>
        <v>982.713328857422</v>
      </c>
      <c r="F629" s="15" t="n">
        <f aca="false">E629*(1+IF(F$3&lt;=$O$2,$D629,$D629-($D629-$I$616)*MIN(F$3-$O$2,$Q$2)/$Q$2))</f>
        <v>1109.99101952121</v>
      </c>
      <c r="G629" s="15" t="n">
        <f aca="false">F629*(1+IF(G$3&lt;=$O$2,$D629,$D629-($D629-$I$616)*MIN(G$3-$O$2,$Q$2)/$Q$2))</f>
        <v>1253.75328413449</v>
      </c>
      <c r="H629" s="15" t="n">
        <f aca="false">G629*(1+IF(H$3&lt;=$O$2,$D629,$D629-($D629-$I$616)*MIN(H$3-$O$2,$Q$2)/$Q$2))</f>
        <v>1416.13514869341</v>
      </c>
      <c r="I629" s="15" t="n">
        <f aca="false">H629*(1+IF(I$3&lt;=$O$2,$D629,$D629-($D629-$I$616)*MIN(I$3-$O$2,$Q$2)/$Q$2))</f>
        <v>1599.54816050539</v>
      </c>
      <c r="J629" s="15" t="n">
        <f aca="false">I629*(1+IF(J$3&lt;=$O$2,$D629,$D629-($D629-$I$616)*MIN(J$3-$O$2,$Q$2)/$Q$2))</f>
        <v>1772.73648836071</v>
      </c>
      <c r="K629" s="15" t="n">
        <f aca="false">J629*(1+IF(K$3&lt;=$O$2,$D629,$D629-($D629-$I$616)*MIN(K$3-$O$2,$Q$2)/$Q$2))</f>
        <v>1927.01767569522</v>
      </c>
      <c r="L629" s="15" t="n">
        <f aca="false">K629*(1+IF(L$3&lt;=$O$2,$D629,$D629-($D629-$I$616)*MIN(L$3-$O$2,$Q$2)/$Q$2))</f>
        <v>2053.7896950042</v>
      </c>
      <c r="M629" s="15" t="n">
        <f aca="false">L629*(1+IF(M$3&lt;=$O$2,$D629,$D629-($D629-$I$616)*MIN(M$3-$O$2,$Q$2)/$Q$2))</f>
        <v>2145.27230724329</v>
      </c>
      <c r="N629" s="15" t="n">
        <f aca="false">M629*(1+IF(N$3&lt;=$O$2,$D629,$D629-($D629-$I$616)*MIN(N$3-$O$2,$Q$2)/$Q$2))</f>
        <v>2195.25715200206</v>
      </c>
      <c r="O629" s="15" t="n">
        <f aca="false">SUMPRODUCT(E629:N629,1/(1+$F$616)^$E$3:$N$3)*$E$2</f>
        <v>2240.10661278192</v>
      </c>
      <c r="P629" s="15" t="n">
        <f aca="false">N629*$E$2*(1+$I$616)/($F$616-$I$616)/(1+$F$616)^$N$3</f>
        <v>3376.8960828602</v>
      </c>
      <c r="Q629" s="15" t="n">
        <f aca="false">O629+P629</f>
        <v>5617.00269564211</v>
      </c>
      <c r="R629" s="15" t="n">
        <f aca="false">Q629-$G$2+$I$2</f>
        <v>5784.40269564211</v>
      </c>
      <c r="S629" s="42" t="n">
        <f aca="false">R629/$K$2</f>
        <v>164.376319853427</v>
      </c>
      <c r="T629" s="43" t="n">
        <f aca="false">S629-$M$2</f>
        <v>-0.159059515711533</v>
      </c>
    </row>
    <row r="630" customFormat="false" ht="15" hidden="false" customHeight="false" outlineLevel="0" collapsed="false">
      <c r="A630" s="5" t="n">
        <v>13</v>
      </c>
      <c r="B630" s="25" t="n">
        <f aca="false">IF(T629&gt;0,B629,D629)</f>
        <v>0.1295166015625</v>
      </c>
      <c r="C630" s="25" t="n">
        <f aca="false">IF(T629&gt;0,D629,C629)</f>
        <v>0.1298828125</v>
      </c>
      <c r="D630" s="41" t="n">
        <f aca="false">(B630+C630)/2</f>
        <v>0.12969970703125</v>
      </c>
      <c r="E630" s="15" t="n">
        <f aca="false">$C$2*(1+IF(E$3&lt;=$O$2,$D630,$D630-($D630-$I$616)*MIN(E$3-$O$2,$Q$2)/$Q$2))</f>
        <v>982.872636108398</v>
      </c>
      <c r="F630" s="15" t="n">
        <f aca="false">E630*(1+IF(F$3&lt;=$O$2,$D630,$D630-($D630-$I$616)*MIN(F$3-$O$2,$Q$2)/$Q$2))</f>
        <v>1110.35092906069</v>
      </c>
      <c r="G630" s="15" t="n">
        <f aca="false">F630*(1+IF(G$3&lt;=$O$2,$D630,$D630-($D630-$I$616)*MIN(G$3-$O$2,$Q$2)/$Q$2))</f>
        <v>1254.36311926174</v>
      </c>
      <c r="H630" s="15" t="n">
        <f aca="false">G630*(1+IF(H$3&lt;=$O$2,$D630,$D630-($D630-$I$616)*MIN(H$3-$O$2,$Q$2)/$Q$2))</f>
        <v>1417.05364834079</v>
      </c>
      <c r="I630" s="15" t="n">
        <f aca="false">H630*(1+IF(I$3&lt;=$O$2,$D630,$D630-($D630-$I$616)*MIN(I$3-$O$2,$Q$2)/$Q$2))</f>
        <v>1600.84509137815</v>
      </c>
      <c r="J630" s="15" t="n">
        <f aca="false">I630*(1+IF(J$3&lt;=$O$2,$D630,$D630-($D630-$I$616)*MIN(J$3-$O$2,$Q$2)/$Q$2))</f>
        <v>1774.40834098731</v>
      </c>
      <c r="K630" s="15" t="n">
        <f aca="false">J630*(1+IF(K$3&lt;=$O$2,$D630,$D630-($D630-$I$616)*MIN(K$3-$O$2,$Q$2)/$Q$2))</f>
        <v>1929.02997191322</v>
      </c>
      <c r="L630" s="15" t="n">
        <f aca="false">K630*(1+IF(L$3&lt;=$O$2,$D630,$D630-($D630-$I$616)*MIN(L$3-$O$2,$Q$2)/$Q$2))</f>
        <v>2056.07565980523</v>
      </c>
      <c r="M630" s="15" t="n">
        <f aca="false">L630*(1+IF(M$3&lt;=$O$2,$D630,$D630-($D630-$I$616)*MIN(M$3-$O$2,$Q$2)/$Q$2))</f>
        <v>2147.73539224616</v>
      </c>
      <c r="N630" s="15" t="n">
        <f aca="false">M630*(1+IF(N$3&lt;=$O$2,$D630,$D630-($D630-$I$616)*MIN(N$3-$O$2,$Q$2)/$Q$2))</f>
        <v>2197.7776268855</v>
      </c>
      <c r="O630" s="15" t="n">
        <f aca="false">SUMPRODUCT(E630:N630,1/(1+$F$616)^$E$3:$N$3)*$E$2</f>
        <v>2241.88851661713</v>
      </c>
      <c r="P630" s="15" t="n">
        <f aca="false">N630*$E$2*(1+$I$616)/($F$616-$I$616)/(1+$F$616)^$N$3</f>
        <v>3380.77325130631</v>
      </c>
      <c r="Q630" s="15" t="n">
        <f aca="false">O630+P630</f>
        <v>5622.66176792344</v>
      </c>
      <c r="R630" s="15" t="n">
        <f aca="false">Q630-$G$2+$I$2</f>
        <v>5790.06176792344</v>
      </c>
      <c r="S630" s="42" t="n">
        <f aca="false">R630/$K$2</f>
        <v>164.537134638347</v>
      </c>
      <c r="T630" s="43" t="n">
        <f aca="false">S630-$M$2</f>
        <v>0.00175526920830293</v>
      </c>
    </row>
    <row r="631" customFormat="false" ht="15" hidden="false" customHeight="false" outlineLevel="0" collapsed="false">
      <c r="A631" s="5" t="n">
        <v>14</v>
      </c>
      <c r="B631" s="25" t="n">
        <f aca="false">IF(T630&gt;0,B630,D630)</f>
        <v>0.1295166015625</v>
      </c>
      <c r="C631" s="25" t="n">
        <f aca="false">IF(T630&gt;0,D630,C630)</f>
        <v>0.12969970703125</v>
      </c>
      <c r="D631" s="41" t="n">
        <f aca="false">(B631+C631)/2</f>
        <v>0.129608154296875</v>
      </c>
      <c r="E631" s="15" t="n">
        <f aca="false">$C$2*(1+IF(E$3&lt;=$O$2,$D631,$D631-($D631-$I$616)*MIN(E$3-$O$2,$Q$2)/$Q$2))</f>
        <v>982.79298248291</v>
      </c>
      <c r="F631" s="15" t="n">
        <f aca="false">E631*(1+IF(F$3&lt;=$O$2,$D631,$D631-($D631-$I$616)*MIN(F$3-$O$2,$Q$2)/$Q$2))</f>
        <v>1110.17096699844</v>
      </c>
      <c r="G631" s="15" t="n">
        <f aca="false">F631*(1+IF(G$3&lt;=$O$2,$D631,$D631-($D631-$I$616)*MIN(G$3-$O$2,$Q$2)/$Q$2))</f>
        <v>1254.05817698509</v>
      </c>
      <c r="H631" s="15" t="n">
        <f aca="false">G631*(1+IF(H$3&lt;=$O$2,$D631,$D631-($D631-$I$616)*MIN(H$3-$O$2,$Q$2)/$Q$2))</f>
        <v>1416.59434268503</v>
      </c>
      <c r="I631" s="15" t="n">
        <f aca="false">H631*(1+IF(I$3&lt;=$O$2,$D631,$D631-($D631-$I$616)*MIN(I$3-$O$2,$Q$2)/$Q$2))</f>
        <v>1600.19652082783</v>
      </c>
      <c r="J631" s="15" t="n">
        <f aca="false">I631*(1+IF(J$3&lt;=$O$2,$D631,$D631-($D631-$I$616)*MIN(J$3-$O$2,$Q$2)/$Q$2))</f>
        <v>1773.57225067631</v>
      </c>
      <c r="K631" s="15" t="n">
        <f aca="false">J631*(1+IF(K$3&lt;=$O$2,$D631,$D631-($D631-$I$616)*MIN(K$3-$O$2,$Q$2)/$Q$2))</f>
        <v>1928.023599606</v>
      </c>
      <c r="L631" s="15" t="n">
        <f aca="false">K631*(1+IF(L$3&lt;=$O$2,$D631,$D631-($D631-$I$616)*MIN(L$3-$O$2,$Q$2)/$Q$2))</f>
        <v>2054.93240160279</v>
      </c>
      <c r="M631" s="15" t="n">
        <f aca="false">L631*(1+IF(M$3&lt;=$O$2,$D631,$D631-($D631-$I$616)*MIN(M$3-$O$2,$Q$2)/$Q$2))</f>
        <v>2146.50354072398</v>
      </c>
      <c r="N631" s="15" t="n">
        <f aca="false">M631*(1+IF(N$3&lt;=$O$2,$D631,$D631-($D631-$I$616)*MIN(N$3-$O$2,$Q$2)/$Q$2))</f>
        <v>2196.51707322285</v>
      </c>
      <c r="O631" s="15" t="n">
        <f aca="false">SUMPRODUCT(E631:N631,1/(1+$F$616)^$E$3:$N$3)*$E$2</f>
        <v>2240.9973902709</v>
      </c>
      <c r="P631" s="15" t="n">
        <f aca="false">N631*$E$2*(1+$I$616)/($F$616-$I$616)/(1+$F$616)^$N$3</f>
        <v>3378.83418065039</v>
      </c>
      <c r="Q631" s="15" t="n">
        <f aca="false">O631+P631</f>
        <v>5619.83157092129</v>
      </c>
      <c r="R631" s="15" t="n">
        <f aca="false">Q631-$G$2+$I$2</f>
        <v>5787.23157092129</v>
      </c>
      <c r="S631" s="42" t="n">
        <f aca="false">R631/$K$2</f>
        <v>164.456708466078</v>
      </c>
      <c r="T631" s="43" t="n">
        <f aca="false">S631-$M$2</f>
        <v>-0.0786709030607256</v>
      </c>
    </row>
    <row r="632" customFormat="false" ht="15" hidden="false" customHeight="false" outlineLevel="0" collapsed="false">
      <c r="A632" s="5" t="n">
        <v>15</v>
      </c>
      <c r="B632" s="25" t="n">
        <f aca="false">IF(T631&gt;0,B631,D631)</f>
        <v>0.129608154296875</v>
      </c>
      <c r="C632" s="25" t="n">
        <f aca="false">IF(T631&gt;0,D631,C631)</f>
        <v>0.12969970703125</v>
      </c>
      <c r="D632" s="41" t="n">
        <f aca="false">(B632+C632)/2</f>
        <v>0.129653930664063</v>
      </c>
      <c r="E632" s="15" t="n">
        <f aca="false">$C$2*(1+IF(E$3&lt;=$O$2,$D632,$D632-($D632-$I$616)*MIN(E$3-$O$2,$Q$2)/$Q$2))</f>
        <v>982.832809295654</v>
      </c>
      <c r="F632" s="15" t="n">
        <f aca="false">E632*(1+IF(F$3&lt;=$O$2,$D632,$D632-($D632-$I$616)*MIN(F$3-$O$2,$Q$2)/$Q$2))</f>
        <v>1110.26094620644</v>
      </c>
      <c r="G632" s="15" t="n">
        <f aca="false">F632*(1+IF(G$3&lt;=$O$2,$D632,$D632-($D632-$I$616)*MIN(G$3-$O$2,$Q$2)/$Q$2))</f>
        <v>1254.2106419449</v>
      </c>
      <c r="H632" s="15" t="n">
        <f aca="false">G632*(1+IF(H$3&lt;=$O$2,$D632,$D632-($D632-$I$616)*MIN(H$3-$O$2,$Q$2)/$Q$2))</f>
        <v>1416.82398155376</v>
      </c>
      <c r="I632" s="15" t="n">
        <f aca="false">H632*(1+IF(I$3&lt;=$O$2,$D632,$D632-($D632-$I$616)*MIN(I$3-$O$2,$Q$2)/$Q$2))</f>
        <v>1600.52077982131</v>
      </c>
      <c r="J632" s="15" t="n">
        <f aca="false">I632*(1+IF(J$3&lt;=$O$2,$D632,$D632-($D632-$I$616)*MIN(J$3-$O$2,$Q$2)/$Q$2))</f>
        <v>1773.99025482595</v>
      </c>
      <c r="K632" s="15" t="n">
        <f aca="false">J632*(1+IF(K$3&lt;=$O$2,$D632,$D632-($D632-$I$616)*MIN(K$3-$O$2,$Q$2)/$Q$2))</f>
        <v>1928.52672969969</v>
      </c>
      <c r="L632" s="15" t="n">
        <f aca="false">K632*(1+IF(L$3&lt;=$O$2,$D632,$D632-($D632-$I$616)*MIN(L$3-$O$2,$Q$2)/$Q$2))</f>
        <v>2055.5039617394</v>
      </c>
      <c r="M632" s="15" t="n">
        <f aca="false">L632*(1+IF(M$3&lt;=$O$2,$D632,$D632-($D632-$I$616)*MIN(M$3-$O$2,$Q$2)/$Q$2))</f>
        <v>2147.11938921323</v>
      </c>
      <c r="N632" s="15" t="n">
        <f aca="false">M632*(1+IF(N$3&lt;=$O$2,$D632,$D632-($D632-$I$616)*MIN(N$3-$O$2,$Q$2)/$Q$2))</f>
        <v>2197.1472709819</v>
      </c>
      <c r="O632" s="15" t="n">
        <f aca="false">SUMPRODUCT(E632:N632,1/(1+$F$616)^$E$3:$N$3)*$E$2</f>
        <v>2241.44290982901</v>
      </c>
      <c r="P632" s="15" t="n">
        <f aca="false">N632*$E$2*(1+$I$616)/($F$616-$I$616)/(1+$F$616)^$N$3</f>
        <v>3379.80359434392</v>
      </c>
      <c r="Q632" s="15" t="n">
        <f aca="false">O632+P632</f>
        <v>5621.24650417293</v>
      </c>
      <c r="R632" s="15" t="n">
        <f aca="false">Q632-$G$2+$I$2</f>
        <v>5788.64650417293</v>
      </c>
      <c r="S632" s="42" t="n">
        <f aca="false">R632/$K$2</f>
        <v>164.496916856292</v>
      </c>
      <c r="T632" s="43" t="n">
        <f aca="false">S632-$M$2</f>
        <v>-0.0384625128465643</v>
      </c>
    </row>
    <row r="633" customFormat="false" ht="15" hidden="false" customHeight="false" outlineLevel="0" collapsed="false">
      <c r="A633" s="5" t="n">
        <v>16</v>
      </c>
      <c r="B633" s="25" t="n">
        <f aca="false">IF(T632&gt;0,B632,D632)</f>
        <v>0.129653930664063</v>
      </c>
      <c r="C633" s="25" t="n">
        <f aca="false">IF(T632&gt;0,D632,C632)</f>
        <v>0.12969970703125</v>
      </c>
      <c r="D633" s="41" t="n">
        <f aca="false">(B633+C633)/2</f>
        <v>0.129676818847656</v>
      </c>
      <c r="E633" s="15" t="n">
        <f aca="false">$C$2*(1+IF(E$3&lt;=$O$2,$D633,$D633-($D633-$I$616)*MIN(E$3-$O$2,$Q$2)/$Q$2))</f>
        <v>982.852722702026</v>
      </c>
      <c r="F633" s="15" t="n">
        <f aca="false">E633*(1+IF(F$3&lt;=$O$2,$D633,$D633-($D633-$I$616)*MIN(F$3-$O$2,$Q$2)/$Q$2))</f>
        <v>1110.30593717778</v>
      </c>
      <c r="G633" s="15" t="n">
        <f aca="false">F633*(1+IF(G$3&lt;=$O$2,$D633,$D633-($D633-$I$616)*MIN(G$3-$O$2,$Q$2)/$Q$2))</f>
        <v>1254.28687905866</v>
      </c>
      <c r="H633" s="15" t="n">
        <f aca="false">G633*(1+IF(H$3&lt;=$O$2,$D633,$D633-($D633-$I$616)*MIN(H$3-$O$2,$Q$2)/$Q$2))</f>
        <v>1416.93881145735</v>
      </c>
      <c r="I633" s="15" t="n">
        <f aca="false">H633*(1+IF(I$3&lt;=$O$2,$D633,$D633-($D633-$I$616)*MIN(I$3-$O$2,$Q$2)/$Q$2))</f>
        <v>1600.68292902891</v>
      </c>
      <c r="J633" s="15" t="n">
        <f aca="false">I633*(1+IF(J$3&lt;=$O$2,$D633,$D633-($D633-$I$616)*MIN(J$3-$O$2,$Q$2)/$Q$2))</f>
        <v>1774.19928765436</v>
      </c>
      <c r="K633" s="15" t="n">
        <f aca="false">J633*(1+IF(K$3&lt;=$O$2,$D633,$D633-($D633-$I$616)*MIN(K$3-$O$2,$Q$2)/$Q$2))</f>
        <v>1928.77833679018</v>
      </c>
      <c r="L633" s="15" t="n">
        <f aca="false">K633*(1+IF(L$3&lt;=$O$2,$D633,$D633-($D633-$I$616)*MIN(L$3-$O$2,$Q$2)/$Q$2))</f>
        <v>2055.78979352939</v>
      </c>
      <c r="M633" s="15" t="n">
        <f aca="false">L633*(1+IF(M$3&lt;=$O$2,$D633,$D633-($D633-$I$616)*MIN(M$3-$O$2,$Q$2)/$Q$2))</f>
        <v>2147.42737140966</v>
      </c>
      <c r="N633" s="15" t="n">
        <f aca="false">M633*(1+IF(N$3&lt;=$O$2,$D633,$D633-($D633-$I$616)*MIN(N$3-$O$2,$Q$2)/$Q$2))</f>
        <v>2197.4624291635</v>
      </c>
      <c r="O633" s="15" t="n">
        <f aca="false">SUMPRODUCT(E633:N633,1/(1+$F$616)^$E$3:$N$3)*$E$2</f>
        <v>2241.66570231834</v>
      </c>
      <c r="P633" s="15" t="n">
        <f aca="false">N633*$E$2*(1+$I$616)/($F$616-$I$616)/(1+$F$616)^$N$3</f>
        <v>3380.28839241323</v>
      </c>
      <c r="Q633" s="15" t="n">
        <f aca="false">O633+P633</f>
        <v>5621.95409473157</v>
      </c>
      <c r="R633" s="15" t="n">
        <f aca="false">Q633-$G$2+$I$2</f>
        <v>5789.35409473157</v>
      </c>
      <c r="S633" s="42" t="n">
        <f aca="false">R633/$K$2</f>
        <v>164.517024573219</v>
      </c>
      <c r="T633" s="43" t="n">
        <f aca="false">S633-$M$2</f>
        <v>-0.0183547959202315</v>
      </c>
    </row>
    <row r="634" customFormat="false" ht="15" hidden="false" customHeight="false" outlineLevel="0" collapsed="false">
      <c r="A634" s="5" t="n">
        <v>17</v>
      </c>
      <c r="B634" s="25" t="n">
        <f aca="false">IF(T633&gt;0,B633,D633)</f>
        <v>0.129676818847656</v>
      </c>
      <c r="C634" s="25" t="n">
        <f aca="false">IF(T633&gt;0,D633,C633)</f>
        <v>0.12969970703125</v>
      </c>
      <c r="D634" s="41" t="n">
        <f aca="false">(B634+C634)/2</f>
        <v>0.129688262939453</v>
      </c>
      <c r="E634" s="15" t="n">
        <f aca="false">$C$2*(1+IF(E$3&lt;=$O$2,$D634,$D634-($D634-$I$616)*MIN(E$3-$O$2,$Q$2)/$Q$2))</f>
        <v>982.862679405212</v>
      </c>
      <c r="F634" s="15" t="n">
        <f aca="false">E634*(1+IF(F$3&lt;=$O$2,$D634,$D634-($D634-$I$616)*MIN(F$3-$O$2,$Q$2)/$Q$2))</f>
        <v>1110.32843300529</v>
      </c>
      <c r="G634" s="15" t="n">
        <f aca="false">F634*(1+IF(G$3&lt;=$O$2,$D634,$D634-($D634-$I$616)*MIN(G$3-$O$2,$Q$2)/$Q$2))</f>
        <v>1254.32499877403</v>
      </c>
      <c r="H634" s="15" t="n">
        <f aca="false">G634*(1+IF(H$3&lt;=$O$2,$D634,$D634-($D634-$I$616)*MIN(H$3-$O$2,$Q$2)/$Q$2))</f>
        <v>1416.99622902657</v>
      </c>
      <c r="I634" s="15" t="n">
        <f aca="false">H634*(1+IF(I$3&lt;=$O$2,$D634,$D634-($D634-$I$616)*MIN(I$3-$O$2,$Q$2)/$Q$2))</f>
        <v>1600.76400856078</v>
      </c>
      <c r="J634" s="15" t="n">
        <f aca="false">I634*(1+IF(J$3&lt;=$O$2,$D634,$D634-($D634-$I$616)*MIN(J$3-$O$2,$Q$2)/$Q$2))</f>
        <v>1774.30381175767</v>
      </c>
      <c r="K634" s="15" t="n">
        <f aca="false">J634*(1+IF(K$3&lt;=$O$2,$D634,$D634-($D634-$I$616)*MIN(K$3-$O$2,$Q$2)/$Q$2))</f>
        <v>1928.90415084747</v>
      </c>
      <c r="L634" s="15" t="n">
        <f aca="false">K634*(1+IF(L$3&lt;=$O$2,$D634,$D634-($D634-$I$616)*MIN(L$3-$O$2,$Q$2)/$Q$2))</f>
        <v>2055.93272235636</v>
      </c>
      <c r="M634" s="15" t="n">
        <f aca="false">L634*(1+IF(M$3&lt;=$O$2,$D634,$D634-($D634-$I$616)*MIN(M$3-$O$2,$Q$2)/$Q$2))</f>
        <v>2147.58137699764</v>
      </c>
      <c r="N634" s="15" t="n">
        <f aca="false">M634*(1+IF(N$3&lt;=$O$2,$D634,$D634-($D634-$I$616)*MIN(N$3-$O$2,$Q$2)/$Q$2))</f>
        <v>2197.62002308169</v>
      </c>
      <c r="O634" s="15" t="n">
        <f aca="false">SUMPRODUCT(E634:N634,1/(1+$F$616)^$E$3:$N$3)*$E$2</f>
        <v>2241.77710674143</v>
      </c>
      <c r="P634" s="15" t="n">
        <f aca="false">N634*$E$2*(1+$I$616)/($F$616-$I$616)/(1+$F$616)^$N$3</f>
        <v>3380.53081425639</v>
      </c>
      <c r="Q634" s="15" t="n">
        <f aca="false">O634+P634</f>
        <v>5622.30792099782</v>
      </c>
      <c r="R634" s="15" t="n">
        <f aca="false">Q634-$G$2+$I$2</f>
        <v>5789.70792099782</v>
      </c>
      <c r="S634" s="42" t="n">
        <f aca="false">R634/$K$2</f>
        <v>164.527079312243</v>
      </c>
      <c r="T634" s="43" t="n">
        <f aca="false">S634-$M$2</f>
        <v>-0.0083000568963314</v>
      </c>
    </row>
    <row r="635" customFormat="false" ht="15" hidden="false" customHeight="false" outlineLevel="0" collapsed="false">
      <c r="A635" s="5" t="n">
        <v>18</v>
      </c>
      <c r="B635" s="25" t="n">
        <f aca="false">IF(T634&gt;0,B634,D634)</f>
        <v>0.129688262939453</v>
      </c>
      <c r="C635" s="25" t="n">
        <f aca="false">IF(T634&gt;0,D634,C634)</f>
        <v>0.12969970703125</v>
      </c>
      <c r="D635" s="41" t="n">
        <f aca="false">(B635+C635)/2</f>
        <v>0.129693984985352</v>
      </c>
      <c r="E635" s="15" t="n">
        <f aca="false">$C$2*(1+IF(E$3&lt;=$O$2,$D635,$D635-($D635-$I$616)*MIN(E$3-$O$2,$Q$2)/$Q$2))</f>
        <v>982.867657756805</v>
      </c>
      <c r="F635" s="15" t="n">
        <f aca="false">E635*(1+IF(F$3&lt;=$O$2,$D635,$D635-($D635-$I$616)*MIN(F$3-$O$2,$Q$2)/$Q$2))</f>
        <v>1110.3396810045</v>
      </c>
      <c r="G635" s="15" t="n">
        <f aca="false">F635*(1+IF(G$3&lt;=$O$2,$D635,$D635-($D635-$I$616)*MIN(G$3-$O$2,$Q$2)/$Q$2))</f>
        <v>1254.34405892134</v>
      </c>
      <c r="H635" s="15" t="n">
        <f aca="false">G635*(1+IF(H$3&lt;=$O$2,$D635,$D635-($D635-$I$616)*MIN(H$3-$O$2,$Q$2)/$Q$2))</f>
        <v>1417.02493846555</v>
      </c>
      <c r="I635" s="15" t="n">
        <f aca="false">H635*(1+IF(I$3&lt;=$O$2,$D635,$D635-($D635-$I$616)*MIN(I$3-$O$2,$Q$2)/$Q$2))</f>
        <v>1600.80454955877</v>
      </c>
      <c r="J635" s="15" t="n">
        <f aca="false">I635*(1+IF(J$3&lt;=$O$2,$D635,$D635-($D635-$I$616)*MIN(J$3-$O$2,$Q$2)/$Q$2))</f>
        <v>1774.35607573168</v>
      </c>
      <c r="K635" s="15" t="n">
        <f aca="false">J635*(1+IF(K$3&lt;=$O$2,$D635,$D635-($D635-$I$616)*MIN(K$3-$O$2,$Q$2)/$Q$2))</f>
        <v>1928.96706050427</v>
      </c>
      <c r="L635" s="15" t="n">
        <f aca="false">K635*(1+IF(L$3&lt;=$O$2,$D635,$D635-($D635-$I$616)*MIN(L$3-$O$2,$Q$2)/$Q$2))</f>
        <v>2056.00419000303</v>
      </c>
      <c r="M635" s="15" t="n">
        <f aca="false">L635*(1+IF(M$3&lt;=$O$2,$D635,$D635-($D635-$I$616)*MIN(M$3-$O$2,$Q$2)/$Q$2))</f>
        <v>2147.6583834143</v>
      </c>
      <c r="N635" s="15" t="n">
        <f aca="false">M635*(1+IF(N$3&lt;=$O$2,$D635,$D635-($D635-$I$616)*MIN(N$3-$O$2,$Q$2)/$Q$2))</f>
        <v>2197.69882374785</v>
      </c>
      <c r="O635" s="15" t="n">
        <f aca="false">SUMPRODUCT(E635:N635,1/(1+$F$616)^$E$3:$N$3)*$E$2</f>
        <v>2241.83281099769</v>
      </c>
      <c r="P635" s="15" t="n">
        <f aca="false">N635*$E$2*(1+$I$616)/($F$616-$I$616)/(1+$F$616)^$N$3</f>
        <v>3380.65203088045</v>
      </c>
      <c r="Q635" s="15" t="n">
        <f aca="false">O635+P635</f>
        <v>5622.48484187814</v>
      </c>
      <c r="R635" s="15" t="n">
        <f aca="false">Q635-$G$2+$I$2</f>
        <v>5789.88484187814</v>
      </c>
      <c r="S635" s="42" t="n">
        <f aca="false">R635/$K$2</f>
        <v>164.532106901908</v>
      </c>
      <c r="T635" s="43" t="n">
        <f aca="false">S635-$M$2</f>
        <v>-0.00327246723105645</v>
      </c>
    </row>
    <row r="636" customFormat="false" ht="15" hidden="false" customHeight="false" outlineLevel="0" collapsed="false">
      <c r="A636" s="5" t="n">
        <v>19</v>
      </c>
      <c r="B636" s="25" t="n">
        <f aca="false">IF(T635&gt;0,B635,D635)</f>
        <v>0.129693984985352</v>
      </c>
      <c r="C636" s="25" t="n">
        <f aca="false">IF(T635&gt;0,D635,C635)</f>
        <v>0.12969970703125</v>
      </c>
      <c r="D636" s="41" t="n">
        <f aca="false">(B636+C636)/2</f>
        <v>0.129696846008301</v>
      </c>
      <c r="E636" s="15" t="n">
        <f aca="false">$C$2*(1+IF(E$3&lt;=$O$2,$D636,$D636-($D636-$I$616)*MIN(E$3-$O$2,$Q$2)/$Q$2))</f>
        <v>982.870146932602</v>
      </c>
      <c r="F636" s="15" t="n">
        <f aca="false">E636*(1+IF(F$3&lt;=$O$2,$D636,$D636-($D636-$I$616)*MIN(F$3-$O$2,$Q$2)/$Q$2))</f>
        <v>1110.34530502548</v>
      </c>
      <c r="G636" s="15" t="n">
        <f aca="false">F636*(1+IF(G$3&lt;=$O$2,$D636,$D636-($D636-$I$616)*MIN(G$3-$O$2,$Q$2)/$Q$2))</f>
        <v>1254.3535890674</v>
      </c>
      <c r="H636" s="15" t="n">
        <f aca="false">G636*(1+IF(H$3&lt;=$O$2,$D636,$D636-($D636-$I$616)*MIN(H$3-$O$2,$Q$2)/$Q$2))</f>
        <v>1417.03929334864</v>
      </c>
      <c r="I636" s="15" t="n">
        <f aca="false">H636*(1+IF(I$3&lt;=$O$2,$D636,$D636-($D636-$I$616)*MIN(I$3-$O$2,$Q$2)/$Q$2))</f>
        <v>1600.82482036579</v>
      </c>
      <c r="J636" s="15" t="n">
        <f aca="false">I636*(1+IF(J$3&lt;=$O$2,$D636,$D636-($D636-$I$616)*MIN(J$3-$O$2,$Q$2)/$Q$2))</f>
        <v>1774.38220819929</v>
      </c>
      <c r="K636" s="15" t="n">
        <f aca="false">J636*(1+IF(K$3&lt;=$O$2,$D636,$D636-($D636-$I$616)*MIN(K$3-$O$2,$Q$2)/$Q$2))</f>
        <v>1928.99851598972</v>
      </c>
      <c r="L636" s="15" t="n">
        <f aca="false">K636*(1+IF(L$3&lt;=$O$2,$D636,$D636-($D636-$I$616)*MIN(L$3-$O$2,$Q$2)/$Q$2))</f>
        <v>2056.03992463468</v>
      </c>
      <c r="M636" s="15" t="n">
        <f aca="false">L636*(1+IF(M$3&lt;=$O$2,$D636,$D636-($D636-$I$616)*MIN(M$3-$O$2,$Q$2)/$Q$2))</f>
        <v>2147.69688752833</v>
      </c>
      <c r="N636" s="15" t="n">
        <f aca="false">M636*(1+IF(N$3&lt;=$O$2,$D636,$D636-($D636-$I$616)*MIN(N$3-$O$2,$Q$2)/$Q$2))</f>
        <v>2197.73822500774</v>
      </c>
      <c r="O636" s="15" t="n">
        <f aca="false">SUMPRODUCT(E636:N636,1/(1+$F$616)^$E$3:$N$3)*$E$2</f>
        <v>2241.86066363701</v>
      </c>
      <c r="P636" s="15" t="n">
        <f aca="false">N636*$E$2*(1+$I$616)/($F$616-$I$616)/(1+$F$616)^$N$3</f>
        <v>3380.71264061815</v>
      </c>
      <c r="Q636" s="15" t="n">
        <f aca="false">O636+P636</f>
        <v>5622.57330425516</v>
      </c>
      <c r="R636" s="15" t="n">
        <f aca="false">Q636-$G$2+$I$2</f>
        <v>5789.97330425516</v>
      </c>
      <c r="S636" s="42" t="n">
        <f aca="false">R636/$K$2</f>
        <v>164.534620751781</v>
      </c>
      <c r="T636" s="43" t="n">
        <f aca="false">S636-$M$2</f>
        <v>-0.000758617358400215</v>
      </c>
    </row>
    <row r="637" customFormat="false" ht="15" hidden="false" customHeight="false" outlineLevel="0" collapsed="false">
      <c r="A637" s="5" t="n">
        <v>20</v>
      </c>
      <c r="B637" s="25" t="n">
        <f aca="false">IF(T636&gt;0,B636,D636)</f>
        <v>0.129696846008301</v>
      </c>
      <c r="C637" s="25" t="n">
        <f aca="false">IF(T636&gt;0,D636,C636)</f>
        <v>0.12969970703125</v>
      </c>
      <c r="D637" s="41" t="n">
        <f aca="false">(B637+C637)/2</f>
        <v>0.129698276519775</v>
      </c>
      <c r="E637" s="15" t="n">
        <f aca="false">$C$2*(1+IF(E$3&lt;=$O$2,$D637,$D637-($D637-$I$616)*MIN(E$3-$O$2,$Q$2)/$Q$2))</f>
        <v>982.8713915205</v>
      </c>
      <c r="F637" s="15" t="n">
        <f aca="false">E637*(1+IF(F$3&lt;=$O$2,$D637,$D637-($D637-$I$616)*MIN(F$3-$O$2,$Q$2)/$Q$2))</f>
        <v>1110.3481170413</v>
      </c>
      <c r="G637" s="15" t="n">
        <f aca="false">F637*(1+IF(G$3&lt;=$O$2,$D637,$D637-($D637-$I$616)*MIN(G$3-$O$2,$Q$2)/$Q$2))</f>
        <v>1254.35835415854</v>
      </c>
      <c r="H637" s="15" t="n">
        <f aca="false">G637*(1+IF(H$3&lt;=$O$2,$D637,$D637-($D637-$I$616)*MIN(H$3-$O$2,$Q$2)/$Q$2))</f>
        <v>1417.04647083108</v>
      </c>
      <c r="I637" s="15" t="n">
        <f aca="false">H637*(1+IF(I$3&lt;=$O$2,$D637,$D637-($D637-$I$616)*MIN(I$3-$O$2,$Q$2)/$Q$2))</f>
        <v>1600.8349558463</v>
      </c>
      <c r="J637" s="15" t="n">
        <f aca="false">I637*(1+IF(J$3&lt;=$O$2,$D637,$D637-($D637-$I$616)*MIN(J$3-$O$2,$Q$2)/$Q$2))</f>
        <v>1774.39527455325</v>
      </c>
      <c r="K637" s="15" t="n">
        <f aca="false">J637*(1+IF(K$3&lt;=$O$2,$D637,$D637-($D637-$I$616)*MIN(K$3-$O$2,$Q$2)/$Q$2))</f>
        <v>1929.01424389672</v>
      </c>
      <c r="L637" s="15" t="n">
        <f aca="false">K637*(1+IF(L$3&lt;=$O$2,$D637,$D637-($D637-$I$616)*MIN(L$3-$O$2,$Q$2)/$Q$2))</f>
        <v>2056.05779215259</v>
      </c>
      <c r="M637" s="15" t="n">
        <f aca="false">L637*(1+IF(M$3&lt;=$O$2,$D637,$D637-($D637-$I$616)*MIN(M$3-$O$2,$Q$2)/$Q$2))</f>
        <v>2147.71613981177</v>
      </c>
      <c r="N637" s="15" t="n">
        <f aca="false">M637*(1+IF(N$3&lt;=$O$2,$D637,$D637-($D637-$I$616)*MIN(N$3-$O$2,$Q$2)/$Q$2))</f>
        <v>2197.75792586938</v>
      </c>
      <c r="O637" s="15" t="n">
        <f aca="false">SUMPRODUCT(E637:N637,1/(1+$F$616)^$E$3:$N$3)*$E$2</f>
        <v>2241.87459008447</v>
      </c>
      <c r="P637" s="15" t="n">
        <f aca="false">N637*$E$2*(1+$I$616)/($F$616-$I$616)/(1+$F$616)^$N$3</f>
        <v>3380.74294584342</v>
      </c>
      <c r="Q637" s="15" t="n">
        <f aca="false">O637+P637</f>
        <v>5622.61753592789</v>
      </c>
      <c r="R637" s="15" t="n">
        <f aca="false">Q637-$G$2+$I$2</f>
        <v>5790.01753592789</v>
      </c>
      <c r="S637" s="42" t="n">
        <f aca="false">R637/$K$2</f>
        <v>164.535877690477</v>
      </c>
      <c r="T637" s="43" t="n">
        <f aca="false">S637-$M$2</f>
        <v>0.000498321338142205</v>
      </c>
    </row>
    <row r="638" customFormat="false" ht="15" hidden="false" customHeight="false" outlineLevel="0" collapsed="false">
      <c r="A638" s="5" t="n">
        <v>21</v>
      </c>
      <c r="B638" s="25" t="n">
        <f aca="false">IF(T637&gt;0,B637,D637)</f>
        <v>0.129696846008301</v>
      </c>
      <c r="C638" s="25" t="n">
        <f aca="false">IF(T637&gt;0,D637,C637)</f>
        <v>0.129698276519775</v>
      </c>
      <c r="D638" s="41" t="n">
        <f aca="false">(B638+C638)/2</f>
        <v>0.129697561264038</v>
      </c>
      <c r="E638" s="15" t="n">
        <f aca="false">$C$2*(1+IF(E$3&lt;=$O$2,$D638,$D638-($D638-$I$616)*MIN(E$3-$O$2,$Q$2)/$Q$2))</f>
        <v>982.870769226551</v>
      </c>
      <c r="F638" s="15" t="n">
        <f aca="false">E638*(1+IF(F$3&lt;=$O$2,$D638,$D638-($D638-$I$616)*MIN(F$3-$O$2,$Q$2)/$Q$2))</f>
        <v>1110.34671103294</v>
      </c>
      <c r="G638" s="15" t="n">
        <f aca="false">F638*(1+IF(G$3&lt;=$O$2,$D638,$D638-($D638-$I$616)*MIN(G$3-$O$2,$Q$2)/$Q$2))</f>
        <v>1254.35597161146</v>
      </c>
      <c r="H638" s="15" t="n">
        <f aca="false">G638*(1+IF(H$3&lt;=$O$2,$D638,$D638-($D638-$I$616)*MIN(H$3-$O$2,$Q$2)/$Q$2))</f>
        <v>1417.04288208645</v>
      </c>
      <c r="I638" s="15" t="n">
        <f aca="false">H638*(1+IF(I$3&lt;=$O$2,$D638,$D638-($D638-$I$616)*MIN(I$3-$O$2,$Q$2)/$Q$2))</f>
        <v>1600.82988809963</v>
      </c>
      <c r="J638" s="15" t="n">
        <f aca="false">I638*(1+IF(J$3&lt;=$O$2,$D638,$D638-($D638-$I$616)*MIN(J$3-$O$2,$Q$2)/$Q$2))</f>
        <v>1774.38874136626</v>
      </c>
      <c r="K638" s="15" t="n">
        <f aca="false">J638*(1+IF(K$3&lt;=$O$2,$D638,$D638-($D638-$I$616)*MIN(K$3-$O$2,$Q$2)/$Q$2))</f>
        <v>1929.00637992953</v>
      </c>
      <c r="L638" s="15" t="n">
        <f aca="false">K638*(1+IF(L$3&lt;=$O$2,$D638,$D638-($D638-$I$616)*MIN(L$3-$O$2,$Q$2)/$Q$2))</f>
        <v>2056.0488583768</v>
      </c>
      <c r="M638" s="15" t="n">
        <f aca="false">L638*(1+IF(M$3&lt;=$O$2,$D638,$D638-($D638-$I$616)*MIN(M$3-$O$2,$Q$2)/$Q$2))</f>
        <v>2147.70651365118</v>
      </c>
      <c r="N638" s="15" t="n">
        <f aca="false">M638*(1+IF(N$3&lt;=$O$2,$D638,$D638-($D638-$I$616)*MIN(N$3-$O$2,$Q$2)/$Q$2))</f>
        <v>2197.74807541925</v>
      </c>
      <c r="O638" s="15" t="n">
        <f aca="false">SUMPRODUCT(E638:N638,1/(1+$F$616)^$E$3:$N$3)*$E$2</f>
        <v>2241.86762685009</v>
      </c>
      <c r="P638" s="15" t="n">
        <f aca="false">N638*$E$2*(1+$I$616)/($F$616-$I$616)/(1+$F$616)^$N$3</f>
        <v>3380.72779320108</v>
      </c>
      <c r="Q638" s="15" t="n">
        <f aca="false">O638+P638</f>
        <v>5622.59542005117</v>
      </c>
      <c r="R638" s="15" t="n">
        <f aca="false">Q638-$G$2+$I$2</f>
        <v>5789.99542005117</v>
      </c>
      <c r="S638" s="42" t="n">
        <f aca="false">R638/$K$2</f>
        <v>164.535249219982</v>
      </c>
      <c r="T638" s="43" t="n">
        <f aca="false">S638-$M$2</f>
        <v>-0.000130149156802872</v>
      </c>
    </row>
    <row r="639" customFormat="false" ht="15" hidden="false" customHeight="false" outlineLevel="0" collapsed="false">
      <c r="A639" s="5" t="n">
        <v>22</v>
      </c>
      <c r="B639" s="25" t="n">
        <f aca="false">IF(T638&gt;0,B638,D638)</f>
        <v>0.129697561264038</v>
      </c>
      <c r="C639" s="25" t="n">
        <f aca="false">IF(T638&gt;0,D638,C638)</f>
        <v>0.129698276519775</v>
      </c>
      <c r="D639" s="41" t="n">
        <f aca="false">(B639+C639)/2</f>
        <v>0.129697918891907</v>
      </c>
      <c r="E639" s="15" t="n">
        <f aca="false">$C$2*(1+IF(E$3&lt;=$O$2,$D639,$D639-($D639-$I$616)*MIN(E$3-$O$2,$Q$2)/$Q$2))</f>
        <v>982.871080373526</v>
      </c>
      <c r="F639" s="15" t="n">
        <f aca="false">E639*(1+IF(F$3&lt;=$O$2,$D639,$D639-($D639-$I$616)*MIN(F$3-$O$2,$Q$2)/$Q$2))</f>
        <v>1110.34741403701</v>
      </c>
      <c r="G639" s="15" t="n">
        <f aca="false">F639*(1+IF(G$3&lt;=$O$2,$D639,$D639-($D639-$I$616)*MIN(G$3-$O$2,$Q$2)/$Q$2))</f>
        <v>1254.35716288462</v>
      </c>
      <c r="H639" s="15" t="n">
        <f aca="false">G639*(1+IF(H$3&lt;=$O$2,$D639,$D639-($D639-$I$616)*MIN(H$3-$O$2,$Q$2)/$Q$2))</f>
        <v>1417.04467645791</v>
      </c>
      <c r="I639" s="15" t="n">
        <f aca="false">H639*(1+IF(I$3&lt;=$O$2,$D639,$D639-($D639-$I$616)*MIN(I$3-$O$2,$Q$2)/$Q$2))</f>
        <v>1600.83242197136</v>
      </c>
      <c r="J639" s="15" t="n">
        <f aca="false">I639*(1+IF(J$3&lt;=$O$2,$D639,$D639-($D639-$I$616)*MIN(J$3-$O$2,$Q$2)/$Q$2))</f>
        <v>1774.39200795725</v>
      </c>
      <c r="K639" s="15" t="n">
        <f aca="false">J639*(1+IF(K$3&lt;=$O$2,$D639,$D639-($D639-$I$616)*MIN(K$3-$O$2,$Q$2)/$Q$2))</f>
        <v>1929.0103119097</v>
      </c>
      <c r="L639" s="15" t="n">
        <f aca="false">K639*(1+IF(L$3&lt;=$O$2,$D639,$D639-($D639-$I$616)*MIN(L$3-$O$2,$Q$2)/$Q$2))</f>
        <v>2056.05332526049</v>
      </c>
      <c r="M639" s="15" t="n">
        <f aca="false">L639*(1+IF(M$3&lt;=$O$2,$D639,$D639-($D639-$I$616)*MIN(M$3-$O$2,$Q$2)/$Q$2))</f>
        <v>2147.71132672676</v>
      </c>
      <c r="N639" s="15" t="n">
        <f aca="false">M639*(1+IF(N$3&lt;=$O$2,$D639,$D639-($D639-$I$616)*MIN(N$3-$O$2,$Q$2)/$Q$2))</f>
        <v>2197.75300063949</v>
      </c>
      <c r="O639" s="15" t="n">
        <f aca="false">SUMPRODUCT(E639:N639,1/(1+$F$616)^$E$3:$N$3)*$E$2</f>
        <v>2241.87110846462</v>
      </c>
      <c r="P639" s="15" t="n">
        <f aca="false">N639*$E$2*(1+$I$616)/($F$616-$I$616)/(1+$F$616)^$N$3</f>
        <v>3380.73536951483</v>
      </c>
      <c r="Q639" s="15" t="n">
        <f aca="false">O639+P639</f>
        <v>5622.60647797945</v>
      </c>
      <c r="R639" s="15" t="n">
        <f aca="false">Q639-$G$2+$I$2</f>
        <v>5790.00647797945</v>
      </c>
      <c r="S639" s="42" t="n">
        <f aca="false">R639/$K$2</f>
        <v>164.535563454943</v>
      </c>
      <c r="T639" s="43" t="n">
        <f aca="false">S639-$M$2</f>
        <v>0.000184085804050937</v>
      </c>
    </row>
    <row r="640" customFormat="false" ht="15" hidden="false" customHeight="false" outlineLevel="0" collapsed="false">
      <c r="A640" s="5" t="n">
        <v>23</v>
      </c>
      <c r="B640" s="25" t="n">
        <f aca="false">IF(T639&gt;0,B639,D639)</f>
        <v>0.129697561264038</v>
      </c>
      <c r="C640" s="25" t="n">
        <f aca="false">IF(T639&gt;0,D639,C639)</f>
        <v>0.129697918891907</v>
      </c>
      <c r="D640" s="41" t="n">
        <f aca="false">(B640+C640)/2</f>
        <v>0.129697740077972</v>
      </c>
      <c r="E640" s="15" t="n">
        <f aca="false">$C$2*(1+IF(E$3&lt;=$O$2,$D640,$D640-($D640-$I$616)*MIN(E$3-$O$2,$Q$2)/$Q$2))</f>
        <v>982.870924800038</v>
      </c>
      <c r="F640" s="15" t="n">
        <f aca="false">E640*(1+IF(F$3&lt;=$O$2,$D640,$D640-($D640-$I$616)*MIN(F$3-$O$2,$Q$2)/$Q$2))</f>
        <v>1110.34706253495</v>
      </c>
      <c r="G640" s="15" t="n">
        <f aca="false">F640*(1+IF(G$3&lt;=$O$2,$D640,$D640-($D640-$I$616)*MIN(G$3-$O$2,$Q$2)/$Q$2))</f>
        <v>1254.35656724795</v>
      </c>
      <c r="H640" s="15" t="n">
        <f aca="false">G640*(1+IF(H$3&lt;=$O$2,$D640,$D640-($D640-$I$616)*MIN(H$3-$O$2,$Q$2)/$Q$2))</f>
        <v>1417.04377927197</v>
      </c>
      <c r="I640" s="15" t="n">
        <f aca="false">H640*(1+IF(I$3&lt;=$O$2,$D640,$D640-($D640-$I$616)*MIN(I$3-$O$2,$Q$2)/$Q$2))</f>
        <v>1600.83115503509</v>
      </c>
      <c r="J640" s="15" t="n">
        <f aca="false">I640*(1+IF(J$3&lt;=$O$2,$D640,$D640-($D640-$I$616)*MIN(J$3-$O$2,$Q$2)/$Q$2))</f>
        <v>1774.39037466113</v>
      </c>
      <c r="K640" s="15" t="n">
        <f aca="false">J640*(1+IF(K$3&lt;=$O$2,$D640,$D640-($D640-$I$616)*MIN(K$3-$O$2,$Q$2)/$Q$2))</f>
        <v>1929.00834591876</v>
      </c>
      <c r="L640" s="15" t="n">
        <f aca="false">K640*(1+IF(L$3&lt;=$O$2,$D640,$D640-($D640-$I$616)*MIN(L$3-$O$2,$Q$2)/$Q$2))</f>
        <v>2056.05109181759</v>
      </c>
      <c r="M640" s="15" t="n">
        <f aca="false">L640*(1+IF(M$3&lt;=$O$2,$D640,$D640-($D640-$I$616)*MIN(M$3-$O$2,$Q$2)/$Q$2))</f>
        <v>2147.70892018779</v>
      </c>
      <c r="N640" s="15" t="n">
        <f aca="false">M640*(1+IF(N$3&lt;=$O$2,$D640,$D640-($D640-$I$616)*MIN(N$3-$O$2,$Q$2)/$Q$2))</f>
        <v>2197.75053802816</v>
      </c>
      <c r="O640" s="15" t="n">
        <f aca="false">SUMPRODUCT(E640:N640,1/(1+$F$616)^$E$3:$N$3)*$E$2</f>
        <v>2241.86936765669</v>
      </c>
      <c r="P640" s="15" t="n">
        <f aca="false">N640*$E$2*(1+$I$616)/($F$616-$I$616)/(1+$F$616)^$N$3</f>
        <v>3380.7315813561</v>
      </c>
      <c r="Q640" s="15" t="n">
        <f aca="false">O640+P640</f>
        <v>5622.60094901279</v>
      </c>
      <c r="R640" s="15" t="n">
        <f aca="false">Q640-$G$2+$I$2</f>
        <v>5790.00094901279</v>
      </c>
      <c r="S640" s="42" t="n">
        <f aca="false">R640/$K$2</f>
        <v>164.535406337391</v>
      </c>
      <c r="T640" s="43" t="n">
        <f aca="false">S640-$M$2</f>
        <v>2.69682519160597E-005</v>
      </c>
    </row>
    <row r="641" customFormat="false" ht="15" hidden="false" customHeight="false" outlineLevel="0" collapsed="false">
      <c r="A641" s="5" t="n">
        <v>24</v>
      </c>
      <c r="B641" s="25" t="n">
        <f aca="false">IF(T640&gt;0,B640,D640)</f>
        <v>0.129697561264038</v>
      </c>
      <c r="C641" s="25" t="n">
        <f aca="false">IF(T640&gt;0,D640,C640)</f>
        <v>0.129697740077972</v>
      </c>
      <c r="D641" s="41" t="n">
        <f aca="false">(B641+C641)/2</f>
        <v>0.129697650671005</v>
      </c>
      <c r="E641" s="15" t="n">
        <f aca="false">$C$2*(1+IF(E$3&lt;=$O$2,$D641,$D641-($D641-$I$616)*MIN(E$3-$O$2,$Q$2)/$Q$2))</f>
        <v>982.870847013295</v>
      </c>
      <c r="F641" s="15" t="n">
        <f aca="false">E641*(1+IF(F$3&lt;=$O$2,$D641,$D641-($D641-$I$616)*MIN(F$3-$O$2,$Q$2)/$Q$2))</f>
        <v>1110.34688678394</v>
      </c>
      <c r="G641" s="15" t="n">
        <f aca="false">F641*(1+IF(G$3&lt;=$O$2,$D641,$D641-($D641-$I$616)*MIN(G$3-$O$2,$Q$2)/$Q$2))</f>
        <v>1254.35626942968</v>
      </c>
      <c r="H641" s="15" t="n">
        <f aca="false">G641*(1+IF(H$3&lt;=$O$2,$D641,$D641-($D641-$I$616)*MIN(H$3-$O$2,$Q$2)/$Q$2))</f>
        <v>1417.04333067916</v>
      </c>
      <c r="I641" s="15" t="n">
        <f aca="false">H641*(1+IF(I$3&lt;=$O$2,$D641,$D641-($D641-$I$616)*MIN(I$3-$O$2,$Q$2)/$Q$2))</f>
        <v>1600.83052156726</v>
      </c>
      <c r="J641" s="15" t="n">
        <f aca="false">I641*(1+IF(J$3&lt;=$O$2,$D641,$D641-($D641-$I$616)*MIN(J$3-$O$2,$Q$2)/$Q$2))</f>
        <v>1774.38955801354</v>
      </c>
      <c r="K641" s="15" t="n">
        <f aca="false">J641*(1+IF(K$3&lt;=$O$2,$D641,$D641-($D641-$I$616)*MIN(K$3-$O$2,$Q$2)/$Q$2))</f>
        <v>1929.00736292393</v>
      </c>
      <c r="L641" s="15" t="n">
        <f aca="false">K641*(1+IF(L$3&lt;=$O$2,$D641,$D641-($D641-$I$616)*MIN(L$3-$O$2,$Q$2)/$Q$2))</f>
        <v>2056.04997509693</v>
      </c>
      <c r="M641" s="15" t="n">
        <f aca="false">L641*(1+IF(M$3&lt;=$O$2,$D641,$D641-($D641-$I$616)*MIN(M$3-$O$2,$Q$2)/$Q$2))</f>
        <v>2147.70771691919</v>
      </c>
      <c r="N641" s="15" t="n">
        <f aca="false">M641*(1+IF(N$3&lt;=$O$2,$D641,$D641-($D641-$I$616)*MIN(N$3-$O$2,$Q$2)/$Q$2))</f>
        <v>2197.74930672341</v>
      </c>
      <c r="O641" s="15" t="n">
        <f aca="false">SUMPRODUCT(E641:N641,1/(1+$F$616)^$E$3:$N$3)*$E$2</f>
        <v>2241.86849725322</v>
      </c>
      <c r="P641" s="15" t="n">
        <f aca="false">N641*$E$2*(1+$I$616)/($F$616-$I$616)/(1+$F$616)^$N$3</f>
        <v>3380.72968727813</v>
      </c>
      <c r="Q641" s="15" t="n">
        <f aca="false">O641+P641</f>
        <v>5622.59818453135</v>
      </c>
      <c r="R641" s="15" t="n">
        <f aca="false">Q641-$G$2+$I$2</f>
        <v>5789.99818453135</v>
      </c>
      <c r="S641" s="42" t="n">
        <f aca="false">R641/$K$2</f>
        <v>164.535327778669</v>
      </c>
      <c r="T641" s="43" t="n">
        <f aca="false">S641-$M$2</f>
        <v>-5.15904703206616E-005</v>
      </c>
    </row>
    <row r="643" customFormat="false" ht="15" hidden="false" customHeight="false" outlineLevel="0" collapsed="false">
      <c r="A643" s="38" t="s">
        <v>210</v>
      </c>
      <c r="E643" s="5" t="s">
        <v>12</v>
      </c>
      <c r="F643" s="12" t="n">
        <f aca="false">Sensitivity!$B$14</f>
        <v>0.0875075820986394</v>
      </c>
      <c r="G643" s="5" t="s">
        <v>13</v>
      </c>
      <c r="I643" s="12" t="n">
        <f aca="false">Sensitivity!$E$9</f>
        <v>0.0283</v>
      </c>
    </row>
    <row r="644" customFormat="false" ht="23.85" hidden="false" customHeight="false" outlineLevel="0" collapsed="false">
      <c r="A644" s="38" t="s">
        <v>168</v>
      </c>
      <c r="B644" s="28" t="s">
        <v>169</v>
      </c>
      <c r="C644" s="28" t="s">
        <v>170</v>
      </c>
      <c r="D644" s="28" t="s">
        <v>171</v>
      </c>
      <c r="E644" s="28" t="s">
        <v>172</v>
      </c>
      <c r="F644" s="28" t="s">
        <v>173</v>
      </c>
      <c r="G644" s="28" t="s">
        <v>174</v>
      </c>
      <c r="H644" s="28" t="s">
        <v>175</v>
      </c>
      <c r="I644" s="28" t="s">
        <v>176</v>
      </c>
      <c r="J644" s="28" t="s">
        <v>177</v>
      </c>
      <c r="K644" s="28" t="s">
        <v>178</v>
      </c>
      <c r="L644" s="28" t="s">
        <v>179</v>
      </c>
      <c r="M644" s="28" t="s">
        <v>180</v>
      </c>
      <c r="N644" s="28" t="s">
        <v>181</v>
      </c>
      <c r="O644" s="28" t="s">
        <v>182</v>
      </c>
      <c r="P644" s="28" t="s">
        <v>183</v>
      </c>
      <c r="Q644" s="28" t="s">
        <v>184</v>
      </c>
      <c r="R644" s="28" t="s">
        <v>185</v>
      </c>
      <c r="S644" s="28" t="s">
        <v>186</v>
      </c>
      <c r="T644" s="28" t="s">
        <v>187</v>
      </c>
    </row>
    <row r="645" customFormat="false" ht="15" hidden="false" customHeight="false" outlineLevel="0" collapsed="false">
      <c r="A645" s="5" t="n">
        <v>1</v>
      </c>
      <c r="B645" s="24" t="n">
        <v>-0.5</v>
      </c>
      <c r="C645" s="24" t="n">
        <v>1</v>
      </c>
      <c r="D645" s="41" t="n">
        <f aca="false">(B645+C645)/2</f>
        <v>0.25</v>
      </c>
      <c r="E645" s="15" t="n">
        <f aca="false">$C$2*(1+IF(E$3&lt;=$O$2,$D645,$D645-($D645-$I$643)*MIN(E$3-$O$2,$Q$2)/$Q$2))</f>
        <v>1087.5375</v>
      </c>
      <c r="F645" s="15" t="n">
        <f aca="false">E645*(1+IF(F$3&lt;=$O$2,$D645,$D645-($D645-$I$643)*MIN(F$3-$O$2,$Q$2)/$Q$2))</f>
        <v>1359.421875</v>
      </c>
      <c r="G645" s="15" t="n">
        <f aca="false">F645*(1+IF(G$3&lt;=$O$2,$D645,$D645-($D645-$I$643)*MIN(G$3-$O$2,$Q$2)/$Q$2))</f>
        <v>1699.27734375</v>
      </c>
      <c r="H645" s="15" t="n">
        <f aca="false">G645*(1+IF(H$3&lt;=$O$2,$D645,$D645-($D645-$I$643)*MIN(H$3-$O$2,$Q$2)/$Q$2))</f>
        <v>2124.0966796875</v>
      </c>
      <c r="I645" s="15" t="n">
        <f aca="false">H645*(1+IF(I$3&lt;=$O$2,$D645,$D645-($D645-$I$643)*MIN(I$3-$O$2,$Q$2)/$Q$2))</f>
        <v>2655.12084960938</v>
      </c>
      <c r="J645" s="15" t="n">
        <f aca="false">I645*(1+IF(J$3&lt;=$O$2,$D645,$D645-($D645-$I$643)*MIN(J$3-$O$2,$Q$2)/$Q$2))</f>
        <v>3201.17300354004</v>
      </c>
      <c r="K645" s="15" t="n">
        <f aca="false">J645*(1+IF(K$3&lt;=$O$2,$D645,$D645-($D645-$I$643)*MIN(K$3-$O$2,$Q$2)/$Q$2))</f>
        <v>3717.58623247112</v>
      </c>
      <c r="L645" s="15" t="n">
        <f aca="false">K645*(1+IF(L$3&lt;=$O$2,$D645,$D645-($D645-$I$643)*MIN(L$3-$O$2,$Q$2)/$Q$2))</f>
        <v>4152.46946994559</v>
      </c>
      <c r="M645" s="15" t="n">
        <f aca="false">L645*(1+IF(M$3&lt;=$O$2,$D645,$D645-($D645-$I$643)*MIN(M$3-$O$2,$Q$2)/$Q$2))</f>
        <v>4454.10485224244</v>
      </c>
      <c r="N645" s="15" t="n">
        <f aca="false">M645*(1+IF(N$3&lt;=$O$2,$D645,$D645-($D645-$I$643)*MIN(N$3-$O$2,$Q$2)/$Q$2))</f>
        <v>4580.1560195609</v>
      </c>
      <c r="O645" s="15" t="n">
        <f aca="false">SUMPRODUCT(E645:N645,1/(1+$F$643)^$E$3:$N$3)*$E$2</f>
        <v>3781.33557087172</v>
      </c>
      <c r="P645" s="15" t="n">
        <f aca="false">N645*$E$2*(1+$I$643)/($F$643-$I$643)/(1+$F$643)^$N$3</f>
        <v>7677.82871716074</v>
      </c>
      <c r="Q645" s="15" t="n">
        <f aca="false">O645+P645</f>
        <v>11459.1642880325</v>
      </c>
      <c r="R645" s="15" t="n">
        <f aca="false">Q645-$G$2+$I$2</f>
        <v>11626.5642880325</v>
      </c>
      <c r="S645" s="42" t="n">
        <f aca="false">R645/$K$2</f>
        <v>330.393983746305</v>
      </c>
      <c r="T645" s="43" t="n">
        <f aca="false">S645-$M$2</f>
        <v>165.858604377166</v>
      </c>
    </row>
    <row r="646" customFormat="false" ht="15" hidden="false" customHeight="false" outlineLevel="0" collapsed="false">
      <c r="A646" s="5" t="n">
        <v>2</v>
      </c>
      <c r="B646" s="25" t="n">
        <f aca="false">IF(T645&gt;0,B645,D645)</f>
        <v>-0.5</v>
      </c>
      <c r="C646" s="25" t="n">
        <f aca="false">IF(T645&gt;0,D645,C645)</f>
        <v>0.25</v>
      </c>
      <c r="D646" s="41" t="n">
        <f aca="false">(B646+C646)/2</f>
        <v>-0.125</v>
      </c>
      <c r="E646" s="15" t="n">
        <f aca="false">$C$2*(1+IF(E$3&lt;=$O$2,$D646,$D646-($D646-$I$643)*MIN(E$3-$O$2,$Q$2)/$Q$2))</f>
        <v>761.27625</v>
      </c>
      <c r="F646" s="15" t="n">
        <f aca="false">E646*(1+IF(F$3&lt;=$O$2,$D646,$D646-($D646-$I$643)*MIN(F$3-$O$2,$Q$2)/$Q$2))</f>
        <v>666.11671875</v>
      </c>
      <c r="G646" s="15" t="n">
        <f aca="false">F646*(1+IF(G$3&lt;=$O$2,$D646,$D646-($D646-$I$643)*MIN(G$3-$O$2,$Q$2)/$Q$2))</f>
        <v>582.85212890625</v>
      </c>
      <c r="H646" s="15" t="n">
        <f aca="false">G646*(1+IF(H$3&lt;=$O$2,$D646,$D646-($D646-$I$643)*MIN(H$3-$O$2,$Q$2)/$Q$2))</f>
        <v>509.995612792969</v>
      </c>
      <c r="I646" s="15" t="n">
        <f aca="false">H646*(1+IF(I$3&lt;=$O$2,$D646,$D646-($D646-$I$643)*MIN(I$3-$O$2,$Q$2)/$Q$2))</f>
        <v>446.246161193848</v>
      </c>
      <c r="J646" s="15" t="n">
        <f aca="false">I646*(1+IF(J$3&lt;=$O$2,$D646,$D646-($D646-$I$643)*MIN(J$3-$O$2,$Q$2)/$Q$2))</f>
        <v>404.14729834682</v>
      </c>
      <c r="K646" s="15" t="n">
        <f aca="false">J646*(1+IF(K$3&lt;=$O$2,$D646,$D646-($D646-$I$643)*MIN(K$3-$O$2,$Q$2)/$Q$2))</f>
        <v>378.411198388095</v>
      </c>
      <c r="L646" s="15" t="n">
        <f aca="false">K646*(1+IF(L$3&lt;=$O$2,$D646,$D646-($D646-$I$643)*MIN(L$3-$O$2,$Q$2)/$Q$2))</f>
        <v>365.91606061732</v>
      </c>
      <c r="M646" s="15" t="n">
        <f aca="false">L646*(1+IF(M$3&lt;=$O$2,$D646,$D646-($D646-$I$643)*MIN(M$3-$O$2,$Q$2)/$Q$2))</f>
        <v>365.052498714263</v>
      </c>
      <c r="N646" s="15" t="n">
        <f aca="false">M646*(1+IF(N$3&lt;=$O$2,$D646,$D646-($D646-$I$643)*MIN(N$3-$O$2,$Q$2)/$Q$2))</f>
        <v>375.383484427876</v>
      </c>
      <c r="O646" s="15" t="n">
        <f aca="false">SUMPRODUCT(E646:N646,1/(1+$F$643)^$E$3:$N$3)*$E$2</f>
        <v>748.122481888326</v>
      </c>
      <c r="P646" s="15" t="n">
        <f aca="false">N646*$E$2*(1+$I$643)/($F$643-$I$643)/(1+$F$643)^$N$3</f>
        <v>629.264611157181</v>
      </c>
      <c r="Q646" s="15" t="n">
        <f aca="false">O646+P646</f>
        <v>1377.38709304551</v>
      </c>
      <c r="R646" s="15" t="n">
        <f aca="false">Q646-$G$2+$I$2</f>
        <v>1544.78709304551</v>
      </c>
      <c r="S646" s="42" t="n">
        <f aca="false">R646/$K$2</f>
        <v>43.8984681172352</v>
      </c>
      <c r="T646" s="43" t="n">
        <f aca="false">S646-$M$2</f>
        <v>-120.636911251904</v>
      </c>
    </row>
    <row r="647" customFormat="false" ht="15" hidden="false" customHeight="false" outlineLevel="0" collapsed="false">
      <c r="A647" s="5" t="n">
        <v>3</v>
      </c>
      <c r="B647" s="25" t="n">
        <f aca="false">IF(T646&gt;0,B646,D646)</f>
        <v>-0.125</v>
      </c>
      <c r="C647" s="25" t="n">
        <f aca="false">IF(T646&gt;0,D646,C646)</f>
        <v>0.25</v>
      </c>
      <c r="D647" s="41" t="n">
        <f aca="false">(B647+C647)/2</f>
        <v>0.0625</v>
      </c>
      <c r="E647" s="15" t="n">
        <f aca="false">$C$2*(1+IF(E$3&lt;=$O$2,$D647,$D647-($D647-$I$643)*MIN(E$3-$O$2,$Q$2)/$Q$2))</f>
        <v>924.406875</v>
      </c>
      <c r="F647" s="15" t="n">
        <f aca="false">E647*(1+IF(F$3&lt;=$O$2,$D647,$D647-($D647-$I$643)*MIN(F$3-$O$2,$Q$2)/$Q$2))</f>
        <v>982.1823046875</v>
      </c>
      <c r="G647" s="15" t="n">
        <f aca="false">F647*(1+IF(G$3&lt;=$O$2,$D647,$D647-($D647-$I$643)*MIN(G$3-$O$2,$Q$2)/$Q$2))</f>
        <v>1043.56869873047</v>
      </c>
      <c r="H647" s="15" t="n">
        <f aca="false">G647*(1+IF(H$3&lt;=$O$2,$D647,$D647-($D647-$I$643)*MIN(H$3-$O$2,$Q$2)/$Q$2))</f>
        <v>1108.79174240112</v>
      </c>
      <c r="I647" s="15" t="n">
        <f aca="false">H647*(1+IF(I$3&lt;=$O$2,$D647,$D647-($D647-$I$643)*MIN(I$3-$O$2,$Q$2)/$Q$2))</f>
        <v>1178.09122630119</v>
      </c>
      <c r="J647" s="15" t="n">
        <f aca="false">I647*(1+IF(J$3&lt;=$O$2,$D647,$D647-($D647-$I$643)*MIN(J$3-$O$2,$Q$2)/$Q$2))</f>
        <v>1243.66378395712</v>
      </c>
      <c r="K647" s="15" t="n">
        <f aca="false">J647*(1+IF(K$3&lt;=$O$2,$D647,$D647-($D647-$I$643)*MIN(K$3-$O$2,$Q$2)/$Q$2))</f>
        <v>1304.3794498899</v>
      </c>
      <c r="L647" s="15" t="n">
        <f aca="false">K647*(1+IF(L$3&lt;=$O$2,$D647,$D647-($D647-$I$643)*MIN(L$3-$O$2,$Q$2)/$Q$2))</f>
        <v>1359.13729919628</v>
      </c>
      <c r="M647" s="15" t="n">
        <f aca="false">L647*(1+IF(M$3&lt;=$O$2,$D647,$D647-($D647-$I$643)*MIN(M$3-$O$2,$Q$2)/$Q$2))</f>
        <v>1406.89738389004</v>
      </c>
      <c r="N647" s="15" t="n">
        <f aca="false">M647*(1+IF(N$3&lt;=$O$2,$D647,$D647-($D647-$I$643)*MIN(N$3-$O$2,$Q$2)/$Q$2))</f>
        <v>1446.71257985413</v>
      </c>
      <c r="O647" s="15" t="n">
        <f aca="false">SUMPRODUCT(E647:N647,1/(1+$F$643)^$E$3:$N$3)*$E$2</f>
        <v>1678.78409263572</v>
      </c>
      <c r="P647" s="15" t="n">
        <f aca="false">N647*$E$2*(1+$I$643)/($F$643-$I$643)/(1+$F$643)^$N$3</f>
        <v>2425.16004774584</v>
      </c>
      <c r="Q647" s="15" t="n">
        <f aca="false">O647+P647</f>
        <v>4103.94414038156</v>
      </c>
      <c r="R647" s="15" t="n">
        <f aca="false">Q647-$G$2+$I$2</f>
        <v>4271.34414038156</v>
      </c>
      <c r="S647" s="42" t="n">
        <f aca="false">R647/$K$2</f>
        <v>121.379486796862</v>
      </c>
      <c r="T647" s="43" t="n">
        <f aca="false">S647-$M$2</f>
        <v>-43.1558925722774</v>
      </c>
    </row>
    <row r="648" customFormat="false" ht="15" hidden="false" customHeight="false" outlineLevel="0" collapsed="false">
      <c r="A648" s="5" t="n">
        <v>4</v>
      </c>
      <c r="B648" s="25" t="n">
        <f aca="false">IF(T647&gt;0,B647,D647)</f>
        <v>0.0625</v>
      </c>
      <c r="C648" s="25" t="n">
        <f aca="false">IF(T647&gt;0,D647,C647)</f>
        <v>0.25</v>
      </c>
      <c r="D648" s="41" t="n">
        <f aca="false">(B648+C648)/2</f>
        <v>0.15625</v>
      </c>
      <c r="E648" s="15" t="n">
        <f aca="false">$C$2*(1+IF(E$3&lt;=$O$2,$D648,$D648-($D648-$I$643)*MIN(E$3-$O$2,$Q$2)/$Q$2))</f>
        <v>1005.9721875</v>
      </c>
      <c r="F648" s="15" t="n">
        <f aca="false">E648*(1+IF(F$3&lt;=$O$2,$D648,$D648-($D648-$I$643)*MIN(F$3-$O$2,$Q$2)/$Q$2))</f>
        <v>1163.15534179688</v>
      </c>
      <c r="G648" s="15" t="n">
        <f aca="false">F648*(1+IF(G$3&lt;=$O$2,$D648,$D648-($D648-$I$643)*MIN(G$3-$O$2,$Q$2)/$Q$2))</f>
        <v>1344.89836395264</v>
      </c>
      <c r="H648" s="15" t="n">
        <f aca="false">G648*(1+IF(H$3&lt;=$O$2,$D648,$D648-($D648-$I$643)*MIN(H$3-$O$2,$Q$2)/$Q$2))</f>
        <v>1555.03873332024</v>
      </c>
      <c r="I648" s="15" t="n">
        <f aca="false">H648*(1+IF(I$3&lt;=$O$2,$D648,$D648-($D648-$I$643)*MIN(I$3-$O$2,$Q$2)/$Q$2))</f>
        <v>1798.01353540152</v>
      </c>
      <c r="J648" s="15" t="n">
        <f aca="false">I648*(1+IF(J$3&lt;=$O$2,$D648,$D648-($D648-$I$643)*MIN(J$3-$O$2,$Q$2)/$Q$2))</f>
        <v>2032.94198393709</v>
      </c>
      <c r="K648" s="15" t="n">
        <f aca="false">J648*(1+IF(K$3&lt;=$O$2,$D648,$D648-($D648-$I$643)*MIN(K$3-$O$2,$Q$2)/$Q$2))</f>
        <v>2246.54319818936</v>
      </c>
      <c r="L648" s="15" t="n">
        <f aca="false">K648*(1+IF(L$3&lt;=$O$2,$D648,$D648-($D648-$I$643)*MIN(L$3-$O$2,$Q$2)/$Q$2))</f>
        <v>2425.09845158145</v>
      </c>
      <c r="M648" s="15" t="n">
        <f aca="false">L648*(1+IF(M$3&lt;=$O$2,$D648,$D648-($D648-$I$643)*MIN(M$3-$O$2,$Q$2)/$Q$2))</f>
        <v>2555.78700713717</v>
      </c>
      <c r="N648" s="15" t="n">
        <f aca="false">M648*(1+IF(N$3&lt;=$O$2,$D648,$D648-($D648-$I$643)*MIN(N$3-$O$2,$Q$2)/$Q$2))</f>
        <v>2628.11577943915</v>
      </c>
      <c r="O648" s="15" t="n">
        <f aca="false">SUMPRODUCT(E648:N648,1/(1+$F$643)^$E$3:$N$3)*$E$2</f>
        <v>2524.11362568328</v>
      </c>
      <c r="P648" s="15" t="n">
        <f aca="false">N648*$E$2*(1+$I$643)/($F$643-$I$643)/(1+$F$643)^$N$3</f>
        <v>4405.57542520914</v>
      </c>
      <c r="Q648" s="15" t="n">
        <f aca="false">O648+P648</f>
        <v>6929.68905089242</v>
      </c>
      <c r="R648" s="15" t="n">
        <f aca="false">Q648-$G$2+$I$2</f>
        <v>7097.08905089242</v>
      </c>
      <c r="S648" s="42" t="n">
        <f aca="false">R648/$K$2</f>
        <v>201.679143247866</v>
      </c>
      <c r="T648" s="43" t="n">
        <f aca="false">S648-$M$2</f>
        <v>37.1437638787274</v>
      </c>
    </row>
    <row r="649" customFormat="false" ht="15" hidden="false" customHeight="false" outlineLevel="0" collapsed="false">
      <c r="A649" s="5" t="n">
        <v>5</v>
      </c>
      <c r="B649" s="25" t="n">
        <f aca="false">IF(T648&gt;0,B648,D648)</f>
        <v>0.0625</v>
      </c>
      <c r="C649" s="25" t="n">
        <f aca="false">IF(T648&gt;0,D648,C648)</f>
        <v>0.15625</v>
      </c>
      <c r="D649" s="41" t="n">
        <f aca="false">(B649+C649)/2</f>
        <v>0.109375</v>
      </c>
      <c r="E649" s="15" t="n">
        <f aca="false">$C$2*(1+IF(E$3&lt;=$O$2,$D649,$D649-($D649-$I$643)*MIN(E$3-$O$2,$Q$2)/$Q$2))</f>
        <v>965.18953125</v>
      </c>
      <c r="F649" s="15" t="n">
        <f aca="false">E649*(1+IF(F$3&lt;=$O$2,$D649,$D649-($D649-$I$643)*MIN(F$3-$O$2,$Q$2)/$Q$2))</f>
        <v>1070.75713623047</v>
      </c>
      <c r="G649" s="15" t="n">
        <f aca="false">F649*(1+IF(G$3&lt;=$O$2,$D649,$D649-($D649-$I$643)*MIN(G$3-$O$2,$Q$2)/$Q$2))</f>
        <v>1187.87119800568</v>
      </c>
      <c r="H649" s="15" t="n">
        <f aca="false">G649*(1+IF(H$3&lt;=$O$2,$D649,$D649-($D649-$I$643)*MIN(H$3-$O$2,$Q$2)/$Q$2))</f>
        <v>1317.79461028755</v>
      </c>
      <c r="I649" s="15" t="n">
        <f aca="false">H649*(1+IF(I$3&lt;=$O$2,$D649,$D649-($D649-$I$643)*MIN(I$3-$O$2,$Q$2)/$Q$2))</f>
        <v>1461.92839578775</v>
      </c>
      <c r="J649" s="15" t="n">
        <f aca="false">I649*(1+IF(J$3&lt;=$O$2,$D649,$D649-($D649-$I$643)*MIN(J$3-$O$2,$Q$2)/$Q$2))</f>
        <v>1598.12164513933</v>
      </c>
      <c r="K649" s="15" t="n">
        <f aca="false">J649*(1+IF(K$3&lt;=$O$2,$D649,$D649-($D649-$I$643)*MIN(K$3-$O$2,$Q$2)/$Q$2))</f>
        <v>1721.08911512458</v>
      </c>
      <c r="L649" s="15" t="n">
        <f aca="false">K649*(1+IF(L$3&lt;=$O$2,$D649,$D649-($D649-$I$643)*MIN(L$3-$O$2,$Q$2)/$Q$2))</f>
        <v>1825.6108570861</v>
      </c>
      <c r="M649" s="15" t="n">
        <f aca="false">L649*(1+IF(M$3&lt;=$O$2,$D649,$D649-($D649-$I$643)*MIN(M$3-$O$2,$Q$2)/$Q$2))</f>
        <v>1906.87792438928</v>
      </c>
      <c r="N649" s="15" t="n">
        <f aca="false">M649*(1+IF(N$3&lt;=$O$2,$D649,$D649-($D649-$I$643)*MIN(N$3-$O$2,$Q$2)/$Q$2))</f>
        <v>1960.8425696495</v>
      </c>
      <c r="O649" s="15" t="n">
        <f aca="false">SUMPRODUCT(E649:N649,1/(1+$F$643)^$E$3:$N$3)*$E$2</f>
        <v>2058.92001592903</v>
      </c>
      <c r="P649" s="15" t="n">
        <f aca="false">N649*$E$2*(1+$I$643)/($F$643-$I$643)/(1+$F$643)^$N$3</f>
        <v>3287.0088544559</v>
      </c>
      <c r="Q649" s="15" t="n">
        <f aca="false">O649+P649</f>
        <v>5345.92887038493</v>
      </c>
      <c r="R649" s="15" t="n">
        <f aca="false">Q649-$G$2+$I$2</f>
        <v>5513.32887038493</v>
      </c>
      <c r="S649" s="42" t="n">
        <f aca="false">R649/$K$2</f>
        <v>156.673170513922</v>
      </c>
      <c r="T649" s="43" t="n">
        <f aca="false">S649-$M$2</f>
        <v>-7.86220885521655</v>
      </c>
    </row>
    <row r="650" customFormat="false" ht="15" hidden="false" customHeight="false" outlineLevel="0" collapsed="false">
      <c r="A650" s="5" t="n">
        <v>6</v>
      </c>
      <c r="B650" s="25" t="n">
        <f aca="false">IF(T649&gt;0,B649,D649)</f>
        <v>0.109375</v>
      </c>
      <c r="C650" s="25" t="n">
        <f aca="false">IF(T649&gt;0,D649,C649)</f>
        <v>0.15625</v>
      </c>
      <c r="D650" s="41" t="n">
        <f aca="false">(B650+C650)/2</f>
        <v>0.1328125</v>
      </c>
      <c r="E650" s="15" t="n">
        <f aca="false">$C$2*(1+IF(E$3&lt;=$O$2,$D650,$D650-($D650-$I$643)*MIN(E$3-$O$2,$Q$2)/$Q$2))</f>
        <v>985.580859375</v>
      </c>
      <c r="F650" s="15" t="n">
        <f aca="false">E650*(1+IF(F$3&lt;=$O$2,$D650,$D650-($D650-$I$643)*MIN(F$3-$O$2,$Q$2)/$Q$2))</f>
        <v>1116.47831726074</v>
      </c>
      <c r="G650" s="15" t="n">
        <f aca="false">F650*(1+IF(G$3&lt;=$O$2,$D650,$D650-($D650-$I$643)*MIN(G$3-$O$2,$Q$2)/$Q$2))</f>
        <v>1264.76059377193</v>
      </c>
      <c r="H650" s="15" t="n">
        <f aca="false">G650*(1+IF(H$3&lt;=$O$2,$D650,$D650-($D650-$I$643)*MIN(H$3-$O$2,$Q$2)/$Q$2))</f>
        <v>1432.73661013227</v>
      </c>
      <c r="I650" s="15" t="n">
        <f aca="false">H650*(1+IF(I$3&lt;=$O$2,$D650,$D650-($D650-$I$643)*MIN(I$3-$O$2,$Q$2)/$Q$2))</f>
        <v>1623.02194116546</v>
      </c>
      <c r="J650" s="15" t="n">
        <f aca="false">I650*(1+IF(J$3&lt;=$O$2,$D650,$D650-($D650-$I$643)*MIN(J$3-$O$2,$Q$2)/$Q$2))</f>
        <v>1804.65432660129</v>
      </c>
      <c r="K650" s="15" t="n">
        <f aca="false">J650*(1+IF(K$3&lt;=$O$2,$D650,$D650-($D650-$I$643)*MIN(K$3-$O$2,$Q$2)/$Q$2))</f>
        <v>1968.89140522946</v>
      </c>
      <c r="L650" s="15" t="n">
        <f aca="false">K650*(1+IF(L$3&lt;=$O$2,$D650,$D650-($D650-$I$643)*MIN(L$3-$O$2,$Q$2)/$Q$2))</f>
        <v>2106.92053719307</v>
      </c>
      <c r="M650" s="15" t="n">
        <f aca="false">L650*(1+IF(M$3&lt;=$O$2,$D650,$D650-($D650-$I$643)*MIN(M$3-$O$2,$Q$2)/$Q$2))</f>
        <v>2210.58629492431</v>
      </c>
      <c r="N650" s="15" t="n">
        <f aca="false">M650*(1+IF(N$3&lt;=$O$2,$D650,$D650-($D650-$I$643)*MIN(N$3-$O$2,$Q$2)/$Q$2))</f>
        <v>2273.14588707067</v>
      </c>
      <c r="O650" s="15" t="n">
        <f aca="false">SUMPRODUCT(E650:N650,1/(1+$F$643)^$E$3:$N$3)*$E$2</f>
        <v>2279.87448684764</v>
      </c>
      <c r="P650" s="15" t="n">
        <f aca="false">N650*$E$2*(1+$I$643)/($F$643-$I$643)/(1+$F$643)^$N$3</f>
        <v>3810.53062286734</v>
      </c>
      <c r="Q650" s="15" t="n">
        <f aca="false">O650+P650</f>
        <v>6090.40510971498</v>
      </c>
      <c r="R650" s="15" t="n">
        <f aca="false">Q650-$G$2+$I$2</f>
        <v>6257.80510971498</v>
      </c>
      <c r="S650" s="42" t="n">
        <f aca="false">R650/$K$2</f>
        <v>177.829073876527</v>
      </c>
      <c r="T650" s="43" t="n">
        <f aca="false">S650-$M$2</f>
        <v>13.2936945073878</v>
      </c>
    </row>
    <row r="651" customFormat="false" ht="15" hidden="false" customHeight="false" outlineLevel="0" collapsed="false">
      <c r="A651" s="5" t="n">
        <v>7</v>
      </c>
      <c r="B651" s="25" t="n">
        <f aca="false">IF(T650&gt;0,B650,D650)</f>
        <v>0.109375</v>
      </c>
      <c r="C651" s="25" t="n">
        <f aca="false">IF(T650&gt;0,D650,C650)</f>
        <v>0.1328125</v>
      </c>
      <c r="D651" s="41" t="n">
        <f aca="false">(B651+C651)/2</f>
        <v>0.12109375</v>
      </c>
      <c r="E651" s="15" t="n">
        <f aca="false">$C$2*(1+IF(E$3&lt;=$O$2,$D651,$D651-($D651-$I$643)*MIN(E$3-$O$2,$Q$2)/$Q$2))</f>
        <v>975.3851953125</v>
      </c>
      <c r="F651" s="15" t="n">
        <f aca="false">E651*(1+IF(F$3&lt;=$O$2,$D651,$D651-($D651-$I$643)*MIN(F$3-$O$2,$Q$2)/$Q$2))</f>
        <v>1093.49824630737</v>
      </c>
      <c r="G651" s="15" t="n">
        <f aca="false">F651*(1+IF(G$3&lt;=$O$2,$D651,$D651-($D651-$I$643)*MIN(G$3-$O$2,$Q$2)/$Q$2))</f>
        <v>1225.91404957116</v>
      </c>
      <c r="H651" s="15" t="n">
        <f aca="false">G651*(1+IF(H$3&lt;=$O$2,$D651,$D651-($D651-$I$643)*MIN(H$3-$O$2,$Q$2)/$Q$2))</f>
        <v>1374.36457901141</v>
      </c>
      <c r="I651" s="15" t="n">
        <f aca="false">H651*(1+IF(I$3&lt;=$O$2,$D651,$D651-($D651-$I$643)*MIN(I$3-$O$2,$Q$2)/$Q$2))</f>
        <v>1540.79153975108</v>
      </c>
      <c r="J651" s="15" t="n">
        <f aca="false">I651*(1+IF(J$3&lt;=$O$2,$D651,$D651-($D651-$I$643)*MIN(J$3-$O$2,$Q$2)/$Q$2))</f>
        <v>1698.77660027945</v>
      </c>
      <c r="K651" s="15" t="n">
        <f aca="false">J651*(1+IF(K$3&lt;=$O$2,$D651,$D651-($D651-$I$643)*MIN(K$3-$O$2,$Q$2)/$Q$2))</f>
        <v>1841.43348875867</v>
      </c>
      <c r="L651" s="15" t="n">
        <f aca="false">K651*(1+IF(L$3&lt;=$O$2,$D651,$D651-($D651-$I$643)*MIN(L$3-$O$2,$Q$2)/$Q$2))</f>
        <v>1961.89546400954</v>
      </c>
      <c r="M651" s="15" t="n">
        <f aca="false">L651*(1+IF(M$3&lt;=$O$2,$D651,$D651-($D651-$I$643)*MIN(M$3-$O$2,$Q$2)/$Q$2))</f>
        <v>2053.8274330837</v>
      </c>
      <c r="N651" s="15" t="n">
        <f aca="false">M651*(1+IF(N$3&lt;=$O$2,$D651,$D651-($D651-$I$643)*MIN(N$3-$O$2,$Q$2)/$Q$2))</f>
        <v>2111.95074943997</v>
      </c>
      <c r="O651" s="15" t="n">
        <f aca="false">SUMPRODUCT(E651:N651,1/(1+$F$643)^$E$3:$N$3)*$E$2</f>
        <v>2166.61929604601</v>
      </c>
      <c r="P651" s="15" t="n">
        <f aca="false">N651*$E$2*(1+$I$643)/($F$643-$I$643)/(1+$F$643)^$N$3</f>
        <v>3540.31523031695</v>
      </c>
      <c r="Q651" s="15" t="n">
        <f aca="false">O651+P651</f>
        <v>5706.93452636296</v>
      </c>
      <c r="R651" s="15" t="n">
        <f aca="false">Q651-$G$2+$I$2</f>
        <v>5874.33452636296</v>
      </c>
      <c r="S651" s="42" t="n">
        <f aca="false">R651/$K$2</f>
        <v>166.931927432878</v>
      </c>
      <c r="T651" s="43" t="n">
        <f aca="false">S651-$M$2</f>
        <v>2.39654806373855</v>
      </c>
    </row>
    <row r="652" customFormat="false" ht="15" hidden="false" customHeight="false" outlineLevel="0" collapsed="false">
      <c r="A652" s="5" t="n">
        <v>8</v>
      </c>
      <c r="B652" s="25" t="n">
        <f aca="false">IF(T651&gt;0,B651,D651)</f>
        <v>0.109375</v>
      </c>
      <c r="C652" s="25" t="n">
        <f aca="false">IF(T651&gt;0,D651,C651)</f>
        <v>0.12109375</v>
      </c>
      <c r="D652" s="41" t="n">
        <f aca="false">(B652+C652)/2</f>
        <v>0.115234375</v>
      </c>
      <c r="E652" s="15" t="n">
        <f aca="false">$C$2*(1+IF(E$3&lt;=$O$2,$D652,$D652-($D652-$I$643)*MIN(E$3-$O$2,$Q$2)/$Q$2))</f>
        <v>970.28736328125</v>
      </c>
      <c r="F652" s="15" t="n">
        <f aca="false">E652*(1+IF(F$3&lt;=$O$2,$D652,$D652-($D652-$I$643)*MIN(F$3-$O$2,$Q$2)/$Q$2))</f>
        <v>1082.09782115936</v>
      </c>
      <c r="G652" s="15" t="n">
        <f aca="false">F652*(1+IF(G$3&lt;=$O$2,$D652,$D652-($D652-$I$643)*MIN(G$3-$O$2,$Q$2)/$Q$2))</f>
        <v>1206.79268726952</v>
      </c>
      <c r="H652" s="15" t="n">
        <f aca="false">G652*(1+IF(H$3&lt;=$O$2,$D652,$D652-($D652-$I$643)*MIN(H$3-$O$2,$Q$2)/$Q$2))</f>
        <v>1345.8566883416</v>
      </c>
      <c r="I652" s="15" t="n">
        <f aca="false">H652*(1+IF(I$3&lt;=$O$2,$D652,$D652-($D652-$I$643)*MIN(I$3-$O$2,$Q$2)/$Q$2))</f>
        <v>1500.94564266221</v>
      </c>
      <c r="J652" s="15" t="n">
        <f aca="false">I652*(1+IF(J$3&lt;=$O$2,$D652,$D652-($D652-$I$643)*MIN(J$3-$O$2,$Q$2)/$Q$2))</f>
        <v>1647.8094214326</v>
      </c>
      <c r="K652" s="15" t="n">
        <f aca="false">J652*(1+IF(K$3&lt;=$O$2,$D652,$D652-($D652-$I$643)*MIN(K$3-$O$2,$Q$2)/$Q$2))</f>
        <v>1780.39319736196</v>
      </c>
      <c r="L652" s="15" t="n">
        <f aca="false">K652*(1+IF(L$3&lt;=$O$2,$D652,$D652-($D652-$I$643)*MIN(L$3-$O$2,$Q$2)/$Q$2))</f>
        <v>1892.68927279407</v>
      </c>
      <c r="M652" s="15" t="n">
        <f aca="false">L652*(1+IF(M$3&lt;=$O$2,$D652,$D652-($D652-$I$643)*MIN(M$3-$O$2,$Q$2)/$Q$2))</f>
        <v>1979.16033101405</v>
      </c>
      <c r="N652" s="15" t="n">
        <f aca="false">M652*(1+IF(N$3&lt;=$O$2,$D652,$D652-($D652-$I$643)*MIN(N$3-$O$2,$Q$2)/$Q$2))</f>
        <v>2035.17056838175</v>
      </c>
      <c r="O652" s="15" t="n">
        <f aca="false">SUMPRODUCT(E652:N652,1/(1+$F$643)^$E$3:$N$3)*$E$2</f>
        <v>2112.09117235511</v>
      </c>
      <c r="P652" s="15" t="n">
        <f aca="false">N652*$E$2*(1+$I$643)/($F$643-$I$643)/(1+$F$643)^$N$3</f>
        <v>3411.60671547162</v>
      </c>
      <c r="Q652" s="15" t="n">
        <f aca="false">O652+P652</f>
        <v>5523.69788782673</v>
      </c>
      <c r="R652" s="15" t="n">
        <f aca="false">Q652-$G$2+$I$2</f>
        <v>5691.09788782673</v>
      </c>
      <c r="S652" s="42" t="n">
        <f aca="false">R652/$K$2</f>
        <v>161.724861830825</v>
      </c>
      <c r="T652" s="43" t="n">
        <f aca="false">S652-$M$2</f>
        <v>-2.81051753831417</v>
      </c>
    </row>
    <row r="653" customFormat="false" ht="15" hidden="false" customHeight="false" outlineLevel="0" collapsed="false">
      <c r="A653" s="5" t="n">
        <v>9</v>
      </c>
      <c r="B653" s="25" t="n">
        <f aca="false">IF(T652&gt;0,B652,D652)</f>
        <v>0.115234375</v>
      </c>
      <c r="C653" s="25" t="n">
        <f aca="false">IF(T652&gt;0,D652,C652)</f>
        <v>0.12109375</v>
      </c>
      <c r="D653" s="41" t="n">
        <f aca="false">(B653+C653)/2</f>
        <v>0.1181640625</v>
      </c>
      <c r="E653" s="15" t="n">
        <f aca="false">$C$2*(1+IF(E$3&lt;=$O$2,$D653,$D653-($D653-$I$643)*MIN(E$3-$O$2,$Q$2)/$Q$2))</f>
        <v>972.836279296875</v>
      </c>
      <c r="F653" s="15" t="n">
        <f aca="false">E653*(1+IF(F$3&lt;=$O$2,$D653,$D653-($D653-$I$643)*MIN(F$3-$O$2,$Q$2)/$Q$2))</f>
        <v>1087.79056620598</v>
      </c>
      <c r="G653" s="15" t="n">
        <f aca="false">F653*(1+IF(G$3&lt;=$O$2,$D653,$D653-($D653-$I$643)*MIN(G$3-$O$2,$Q$2)/$Q$2))</f>
        <v>1216.32831865805</v>
      </c>
      <c r="H653" s="15" t="n">
        <f aca="false">G653*(1+IF(H$3&lt;=$O$2,$D653,$D653-($D653-$I$643)*MIN(H$3-$O$2,$Q$2)/$Q$2))</f>
        <v>1360.05461412448</v>
      </c>
      <c r="I653" s="15" t="n">
        <f aca="false">H653*(1+IF(I$3&lt;=$O$2,$D653,$D653-($D653-$I$643)*MIN(I$3-$O$2,$Q$2)/$Q$2))</f>
        <v>1520.7641925513</v>
      </c>
      <c r="J653" s="15" t="n">
        <f aca="false">I653*(1+IF(J$3&lt;=$O$2,$D653,$D653-($D653-$I$643)*MIN(J$3-$O$2,$Q$2)/$Q$2))</f>
        <v>1673.13145795826</v>
      </c>
      <c r="K653" s="15" t="n">
        <f aca="false">J653*(1+IF(K$3&lt;=$O$2,$D653,$D653-($D653-$I$643)*MIN(K$3-$O$2,$Q$2)/$Q$2))</f>
        <v>1810.69371216368</v>
      </c>
      <c r="L653" s="15" t="n">
        <f aca="false">K653*(1+IF(L$3&lt;=$O$2,$D653,$D653-($D653-$I$643)*MIN(L$3-$O$2,$Q$2)/$Q$2))</f>
        <v>1927.02286138521</v>
      </c>
      <c r="M653" s="15" t="n">
        <f aca="false">L653*(1+IF(M$3&lt;=$O$2,$D653,$D653-($D653-$I$643)*MIN(M$3-$O$2,$Q$2)/$Q$2))</f>
        <v>2016.1916289333</v>
      </c>
      <c r="N653" s="15" t="n">
        <f aca="false">M653*(1+IF(N$3&lt;=$O$2,$D653,$D653-($D653-$I$643)*MIN(N$3-$O$2,$Q$2)/$Q$2))</f>
        <v>2073.24985203211</v>
      </c>
      <c r="O653" s="15" t="n">
        <f aca="false">SUMPRODUCT(E653:N653,1/(1+$F$643)^$E$3:$N$3)*$E$2</f>
        <v>2139.18363769117</v>
      </c>
      <c r="P653" s="15" t="n">
        <f aca="false">N653*$E$2*(1+$I$643)/($F$643-$I$643)/(1+$F$643)^$N$3</f>
        <v>3475.439959643</v>
      </c>
      <c r="Q653" s="15" t="n">
        <f aca="false">O653+P653</f>
        <v>5614.62359733418</v>
      </c>
      <c r="R653" s="15" t="n">
        <f aca="false">Q653-$G$2+$I$2</f>
        <v>5782.02359733418</v>
      </c>
      <c r="S653" s="42" t="n">
        <f aca="false">R653/$K$2</f>
        <v>164.308712626717</v>
      </c>
      <c r="T653" s="43" t="n">
        <f aca="false">S653-$M$2</f>
        <v>-0.226666742421855</v>
      </c>
    </row>
    <row r="654" customFormat="false" ht="15" hidden="false" customHeight="false" outlineLevel="0" collapsed="false">
      <c r="A654" s="5" t="n">
        <v>10</v>
      </c>
      <c r="B654" s="25" t="n">
        <f aca="false">IF(T653&gt;0,B653,D653)</f>
        <v>0.1181640625</v>
      </c>
      <c r="C654" s="25" t="n">
        <f aca="false">IF(T653&gt;0,D653,C653)</f>
        <v>0.12109375</v>
      </c>
      <c r="D654" s="41" t="n">
        <f aca="false">(B654+C654)/2</f>
        <v>0.11962890625</v>
      </c>
      <c r="E654" s="15" t="n">
        <f aca="false">$C$2*(1+IF(E$3&lt;=$O$2,$D654,$D654-($D654-$I$643)*MIN(E$3-$O$2,$Q$2)/$Q$2))</f>
        <v>974.110737304688</v>
      </c>
      <c r="F654" s="15" t="n">
        <f aca="false">E654*(1+IF(F$3&lt;=$O$2,$D654,$D654-($D654-$I$643)*MIN(F$3-$O$2,$Q$2)/$Q$2))</f>
        <v>1090.64253937483</v>
      </c>
      <c r="G654" s="15" t="n">
        <f aca="false">F654*(1+IF(G$3&lt;=$O$2,$D654,$D654-($D654-$I$643)*MIN(G$3-$O$2,$Q$2)/$Q$2))</f>
        <v>1221.11491346996</v>
      </c>
      <c r="H654" s="15" t="n">
        <f aca="false">G654*(1+IF(H$3&lt;=$O$2,$D654,$D654-($D654-$I$643)*MIN(H$3-$O$2,$Q$2)/$Q$2))</f>
        <v>1367.19555497394</v>
      </c>
      <c r="I654" s="15" t="n">
        <f aca="false">H654*(1+IF(I$3&lt;=$O$2,$D654,$D654-($D654-$I$643)*MIN(I$3-$O$2,$Q$2)/$Q$2))</f>
        <v>1530.75166384533</v>
      </c>
      <c r="J654" s="15" t="n">
        <f aca="false">I654*(1+IF(J$3&lt;=$O$2,$D654,$D654-($D654-$I$643)*MIN(J$3-$O$2,$Q$2)/$Q$2))</f>
        <v>1685.91343609164</v>
      </c>
      <c r="K654" s="15" t="n">
        <f aca="false">J654*(1+IF(K$3&lt;=$O$2,$D654,$D654-($D654-$I$643)*MIN(K$3-$O$2,$Q$2)/$Q$2))</f>
        <v>1826.00836442329</v>
      </c>
      <c r="L654" s="15" t="n">
        <f aca="false">K654*(1+IF(L$3&lt;=$O$2,$D654,$D654-($D654-$I$643)*MIN(L$3-$O$2,$Q$2)/$Q$2))</f>
        <v>1944.39133982692</v>
      </c>
      <c r="M654" s="15" t="n">
        <f aca="false">L654*(1+IF(M$3&lt;=$O$2,$D654,$D654-($D654-$I$643)*MIN(M$3-$O$2,$Q$2)/$Q$2))</f>
        <v>2034.9334416217</v>
      </c>
      <c r="N654" s="15" t="n">
        <f aca="false">M654*(1+IF(N$3&lt;=$O$2,$D654,$D654-($D654-$I$643)*MIN(N$3-$O$2,$Q$2)/$Q$2))</f>
        <v>2092.52205801959</v>
      </c>
      <c r="O654" s="15" t="n">
        <f aca="false">SUMPRODUCT(E654:N654,1/(1+$F$643)^$E$3:$N$3)*$E$2</f>
        <v>2152.85831861558</v>
      </c>
      <c r="P654" s="15" t="n">
        <f aca="false">N654*$E$2*(1+$I$643)/($F$643-$I$643)/(1+$F$643)^$N$3</f>
        <v>3507.74643478092</v>
      </c>
      <c r="Q654" s="15" t="n">
        <f aca="false">O654+P654</f>
        <v>5660.60475339651</v>
      </c>
      <c r="R654" s="15" t="n">
        <f aca="false">Q654-$G$2+$I$2</f>
        <v>5828.00475339651</v>
      </c>
      <c r="S654" s="42" t="n">
        <f aca="false">R654/$K$2</f>
        <v>165.615366677934</v>
      </c>
      <c r="T654" s="43" t="n">
        <f aca="false">S654-$M$2</f>
        <v>1.07998730879524</v>
      </c>
    </row>
    <row r="655" customFormat="false" ht="15" hidden="false" customHeight="false" outlineLevel="0" collapsed="false">
      <c r="A655" s="5" t="n">
        <v>11</v>
      </c>
      <c r="B655" s="25" t="n">
        <f aca="false">IF(T654&gt;0,B654,D654)</f>
        <v>0.1181640625</v>
      </c>
      <c r="C655" s="25" t="n">
        <f aca="false">IF(T654&gt;0,D654,C654)</f>
        <v>0.11962890625</v>
      </c>
      <c r="D655" s="41" t="n">
        <f aca="false">(B655+C655)/2</f>
        <v>0.118896484375</v>
      </c>
      <c r="E655" s="15" t="n">
        <f aca="false">$C$2*(1+IF(E$3&lt;=$O$2,$D655,$D655-($D655-$I$643)*MIN(E$3-$O$2,$Q$2)/$Q$2))</f>
        <v>973.473508300781</v>
      </c>
      <c r="F655" s="15" t="n">
        <f aca="false">E655*(1+IF(F$3&lt;=$O$2,$D655,$D655-($D655-$I$643)*MIN(F$3-$O$2,$Q$2)/$Q$2))</f>
        <v>1089.21608606994</v>
      </c>
      <c r="G655" s="15" t="n">
        <f aca="false">F655*(1+IF(G$3&lt;=$O$2,$D655,$D655-($D655-$I$643)*MIN(G$3-$O$2,$Q$2)/$Q$2))</f>
        <v>1218.72004942836</v>
      </c>
      <c r="H655" s="15" t="n">
        <f aca="false">G655*(1+IF(H$3&lt;=$O$2,$D655,$D655-($D655-$I$643)*MIN(H$3-$O$2,$Q$2)/$Q$2))</f>
        <v>1363.62157874271</v>
      </c>
      <c r="I655" s="15" t="n">
        <f aca="false">H655*(1+IF(I$3&lt;=$O$2,$D655,$D655-($D655-$I$643)*MIN(I$3-$O$2,$Q$2)/$Q$2))</f>
        <v>1525.75139047311</v>
      </c>
      <c r="J655" s="15" t="n">
        <f aca="false">I655*(1+IF(J$3&lt;=$O$2,$D655,$D655-($D655-$I$643)*MIN(J$3-$O$2,$Q$2)/$Q$2))</f>
        <v>1679.5123244292</v>
      </c>
      <c r="K655" s="15" t="n">
        <f aca="false">J655*(1+IF(K$3&lt;=$O$2,$D655,$D655-($D655-$I$643)*MIN(K$3-$O$2,$Q$2)/$Q$2))</f>
        <v>1818.33727044521</v>
      </c>
      <c r="L655" s="15" t="n">
        <f aca="false">K655*(1+IF(L$3&lt;=$O$2,$D655,$D655-($D655-$I$643)*MIN(L$3-$O$2,$Q$2)/$Q$2))</f>
        <v>1935.69020084296</v>
      </c>
      <c r="M655" s="15" t="n">
        <f aca="false">L655*(1+IF(M$3&lt;=$O$2,$D655,$D655-($D655-$I$643)*MIN(M$3-$O$2,$Q$2)/$Q$2))</f>
        <v>2025.54357893392</v>
      </c>
      <c r="N655" s="15" t="n">
        <f aca="false">M655*(1+IF(N$3&lt;=$O$2,$D655,$D655-($D655-$I$643)*MIN(N$3-$O$2,$Q$2)/$Q$2))</f>
        <v>2082.86646221775</v>
      </c>
      <c r="O655" s="15" t="n">
        <f aca="false">SUMPRODUCT(E655:N655,1/(1+$F$643)^$E$3:$N$3)*$E$2</f>
        <v>2146.01022232848</v>
      </c>
      <c r="P655" s="15" t="n">
        <f aca="false">N655*$E$2*(1+$I$643)/($F$643-$I$643)/(1+$F$643)^$N$3</f>
        <v>3491.56052093604</v>
      </c>
      <c r="Q655" s="15" t="n">
        <f aca="false">O655+P655</f>
        <v>5637.57074326452</v>
      </c>
      <c r="R655" s="15" t="n">
        <f aca="false">Q655-$G$2+$I$2</f>
        <v>5804.97074326452</v>
      </c>
      <c r="S655" s="42" t="n">
        <f aca="false">R655/$K$2</f>
        <v>164.960805435195</v>
      </c>
      <c r="T655" s="43" t="n">
        <f aca="false">S655-$M$2</f>
        <v>0.425426066056218</v>
      </c>
    </row>
    <row r="656" customFormat="false" ht="15" hidden="false" customHeight="false" outlineLevel="0" collapsed="false">
      <c r="A656" s="5" t="n">
        <v>12</v>
      </c>
      <c r="B656" s="25" t="n">
        <f aca="false">IF(T655&gt;0,B655,D655)</f>
        <v>0.1181640625</v>
      </c>
      <c r="C656" s="25" t="n">
        <f aca="false">IF(T655&gt;0,D655,C655)</f>
        <v>0.118896484375</v>
      </c>
      <c r="D656" s="41" t="n">
        <f aca="false">(B656+C656)/2</f>
        <v>0.1185302734375</v>
      </c>
      <c r="E656" s="15" t="n">
        <f aca="false">$C$2*(1+IF(E$3&lt;=$O$2,$D656,$D656-($D656-$I$643)*MIN(E$3-$O$2,$Q$2)/$Q$2))</f>
        <v>973.154893798828</v>
      </c>
      <c r="F656" s="15" t="n">
        <f aca="false">E656*(1+IF(F$3&lt;=$O$2,$D656,$D656-($D656-$I$643)*MIN(F$3-$O$2,$Q$2)/$Q$2))</f>
        <v>1088.50320945784</v>
      </c>
      <c r="G656" s="15" t="n">
        <f aca="false">F656*(1+IF(G$3&lt;=$O$2,$D656,$D656-($D656-$I$643)*MIN(G$3-$O$2,$Q$2)/$Q$2))</f>
        <v>1217.52379251248</v>
      </c>
      <c r="H656" s="15" t="n">
        <f aca="false">G656*(1+IF(H$3&lt;=$O$2,$D656,$D656-($D656-$I$643)*MIN(H$3-$O$2,$Q$2)/$Q$2))</f>
        <v>1361.83722055565</v>
      </c>
      <c r="I656" s="15" t="n">
        <f aca="false">H656*(1+IF(I$3&lt;=$O$2,$D656,$D656-($D656-$I$643)*MIN(I$3-$O$2,$Q$2)/$Q$2))</f>
        <v>1523.25615868547</v>
      </c>
      <c r="J656" s="15" t="n">
        <f aca="false">I656*(1+IF(J$3&lt;=$O$2,$D656,$D656-($D656-$I$643)*MIN(J$3-$O$2,$Q$2)/$Q$2))</f>
        <v>1676.31936374711</v>
      </c>
      <c r="K656" s="15" t="n">
        <f aca="false">J656*(1+IF(K$3&lt;=$O$2,$D656,$D656-($D656-$I$643)*MIN(K$3-$O$2,$Q$2)/$Q$2))</f>
        <v>1814.51205447684</v>
      </c>
      <c r="L656" s="15" t="n">
        <f aca="false">K656*(1+IF(L$3&lt;=$O$2,$D656,$D656-($D656-$I$643)*MIN(L$3-$O$2,$Q$2)/$Q$2))</f>
        <v>1931.35231315096</v>
      </c>
      <c r="M656" s="15" t="n">
        <f aca="false">L656*(1+IF(M$3&lt;=$O$2,$D656,$D656-($D656-$I$643)*MIN(M$3-$O$2,$Q$2)/$Q$2))</f>
        <v>2020.86287307709</v>
      </c>
      <c r="N656" s="15" t="n">
        <f aca="false">M656*(1+IF(N$3&lt;=$O$2,$D656,$D656-($D656-$I$643)*MIN(N$3-$O$2,$Q$2)/$Q$2))</f>
        <v>2078.05329238517</v>
      </c>
      <c r="O656" s="15" t="n">
        <f aca="false">SUMPRODUCT(E656:N656,1/(1+$F$643)^$E$3:$N$3)*$E$2</f>
        <v>2142.59424494983</v>
      </c>
      <c r="P656" s="15" t="n">
        <f aca="false">N656*$E$2*(1+$I$643)/($F$643-$I$643)/(1+$F$643)^$N$3</f>
        <v>3483.49208540605</v>
      </c>
      <c r="Q656" s="15" t="n">
        <f aca="false">O656+P656</f>
        <v>5626.08633035589</v>
      </c>
      <c r="R656" s="15" t="n">
        <f aca="false">Q656-$G$2+$I$2</f>
        <v>5793.48633035589</v>
      </c>
      <c r="S656" s="42" t="n">
        <f aca="false">R656/$K$2</f>
        <v>164.634450990505</v>
      </c>
      <c r="T656" s="43" t="n">
        <f aca="false">S656-$M$2</f>
        <v>0.09907162136642</v>
      </c>
    </row>
    <row r="657" customFormat="false" ht="15" hidden="false" customHeight="false" outlineLevel="0" collapsed="false">
      <c r="A657" s="5" t="n">
        <v>13</v>
      </c>
      <c r="B657" s="25" t="n">
        <f aca="false">IF(T656&gt;0,B656,D656)</f>
        <v>0.1181640625</v>
      </c>
      <c r="C657" s="25" t="n">
        <f aca="false">IF(T656&gt;0,D656,C656)</f>
        <v>0.1185302734375</v>
      </c>
      <c r="D657" s="41" t="n">
        <f aca="false">(B657+C657)/2</f>
        <v>0.11834716796875</v>
      </c>
      <c r="E657" s="15" t="n">
        <f aca="false">$C$2*(1+IF(E$3&lt;=$O$2,$D657,$D657-($D657-$I$643)*MIN(E$3-$O$2,$Q$2)/$Q$2))</f>
        <v>972.995586547852</v>
      </c>
      <c r="F657" s="15" t="n">
        <f aca="false">E657*(1+IF(F$3&lt;=$O$2,$D657,$D657-($D657-$I$643)*MIN(F$3-$O$2,$Q$2)/$Q$2))</f>
        <v>1088.14685866188</v>
      </c>
      <c r="G657" s="15" t="n">
        <f aca="false">F657*(1+IF(G$3&lt;=$O$2,$D657,$D657-($D657-$I$643)*MIN(G$3-$O$2,$Q$2)/$Q$2))</f>
        <v>1216.92595771861</v>
      </c>
      <c r="H657" s="15" t="n">
        <f aca="false">G657*(1+IF(H$3&lt;=$O$2,$D657,$D657-($D657-$I$643)*MIN(H$3-$O$2,$Q$2)/$Q$2))</f>
        <v>1360.94569844226</v>
      </c>
      <c r="I657" s="15" t="n">
        <f aca="false">H657*(1+IF(I$3&lt;=$O$2,$D657,$D657-($D657-$I$643)*MIN(I$3-$O$2,$Q$2)/$Q$2))</f>
        <v>1522.00976761216</v>
      </c>
      <c r="J657" s="15" t="n">
        <f aca="false">I657*(1+IF(J$3&lt;=$O$2,$D657,$D657-($D657-$I$643)*MIN(J$3-$O$2,$Q$2)/$Q$2))</f>
        <v>1674.72477939098</v>
      </c>
      <c r="K657" s="15" t="n">
        <f aca="false">J657*(1+IF(K$3&lt;=$O$2,$D657,$D657-($D657-$I$643)*MIN(K$3-$O$2,$Q$2)/$Q$2))</f>
        <v>1812.6020247545</v>
      </c>
      <c r="L657" s="15" t="n">
        <f aca="false">K657*(1+IF(L$3&lt;=$O$2,$D657,$D657-($D657-$I$643)*MIN(L$3-$O$2,$Q$2)/$Q$2))</f>
        <v>1929.18653364847</v>
      </c>
      <c r="M657" s="15" t="n">
        <f aca="false">L657*(1+IF(M$3&lt;=$O$2,$D657,$D657-($D657-$I$643)*MIN(M$3-$O$2,$Q$2)/$Q$2))</f>
        <v>2018.52606931842</v>
      </c>
      <c r="N657" s="15" t="n">
        <f aca="false">M657*(1+IF(N$3&lt;=$O$2,$D657,$D657-($D657-$I$643)*MIN(N$3-$O$2,$Q$2)/$Q$2))</f>
        <v>2075.65035708014</v>
      </c>
      <c r="O657" s="15" t="n">
        <f aca="false">SUMPRODUCT(E657:N657,1/(1+$F$643)^$E$3:$N$3)*$E$2</f>
        <v>2140.888270542</v>
      </c>
      <c r="P657" s="15" t="n">
        <f aca="false">N657*$E$2*(1+$I$643)/($F$643-$I$643)/(1+$F$643)^$N$3</f>
        <v>3479.46398557459</v>
      </c>
      <c r="Q657" s="15" t="n">
        <f aca="false">O657+P657</f>
        <v>5620.35225611659</v>
      </c>
      <c r="R657" s="15" t="n">
        <f aca="false">Q657-$G$2+$I$2</f>
        <v>5787.75225611659</v>
      </c>
      <c r="S657" s="42" t="n">
        <f aca="false">R657/$K$2</f>
        <v>164.471504862648</v>
      </c>
      <c r="T657" s="43" t="n">
        <f aca="false">S657-$M$2</f>
        <v>-0.0638745064908051</v>
      </c>
    </row>
    <row r="658" customFormat="false" ht="15" hidden="false" customHeight="false" outlineLevel="0" collapsed="false">
      <c r="A658" s="5" t="n">
        <v>14</v>
      </c>
      <c r="B658" s="25" t="n">
        <f aca="false">IF(T657&gt;0,B657,D657)</f>
        <v>0.11834716796875</v>
      </c>
      <c r="C658" s="25" t="n">
        <f aca="false">IF(T657&gt;0,D657,C657)</f>
        <v>0.1185302734375</v>
      </c>
      <c r="D658" s="41" t="n">
        <f aca="false">(B658+C658)/2</f>
        <v>0.118438720703125</v>
      </c>
      <c r="E658" s="15" t="n">
        <f aca="false">$C$2*(1+IF(E$3&lt;=$O$2,$D658,$D658-($D658-$I$643)*MIN(E$3-$O$2,$Q$2)/$Q$2))</f>
        <v>973.07524017334</v>
      </c>
      <c r="F658" s="15" t="n">
        <f aca="false">E658*(1+IF(F$3&lt;=$O$2,$D658,$D658-($D658-$I$643)*MIN(F$3-$O$2,$Q$2)/$Q$2))</f>
        <v>1088.32502676736</v>
      </c>
      <c r="G658" s="15" t="n">
        <f aca="false">F658*(1+IF(G$3&lt;=$O$2,$D658,$D658-($D658-$I$643)*MIN(G$3-$O$2,$Q$2)/$Q$2))</f>
        <v>1217.22485064688</v>
      </c>
      <c r="H658" s="15" t="n">
        <f aca="false">G658*(1+IF(H$3&lt;=$O$2,$D658,$D658-($D658-$I$643)*MIN(H$3-$O$2,$Q$2)/$Q$2))</f>
        <v>1361.39140476554</v>
      </c>
      <c r="I658" s="15" t="n">
        <f aca="false">H658*(1+IF(I$3&lt;=$O$2,$D658,$D658-($D658-$I$643)*MIN(I$3-$O$2,$Q$2)/$Q$2))</f>
        <v>1522.63286112221</v>
      </c>
      <c r="J658" s="15" t="n">
        <f aca="false">I658*(1+IF(J$3&lt;=$O$2,$D658,$D658-($D658-$I$643)*MIN(J$3-$O$2,$Q$2)/$Q$2))</f>
        <v>1675.52191365364</v>
      </c>
      <c r="K658" s="15" t="n">
        <f aca="false">J658*(1+IF(K$3&lt;=$O$2,$D658,$D658-($D658-$I$643)*MIN(K$3-$O$2,$Q$2)/$Q$2))</f>
        <v>1813.55682489411</v>
      </c>
      <c r="L658" s="15" t="n">
        <f aca="false">K658*(1+IF(L$3&lt;=$O$2,$D658,$D658-($D658-$I$643)*MIN(L$3-$O$2,$Q$2)/$Q$2))</f>
        <v>1930.26915988597</v>
      </c>
      <c r="M658" s="15" t="n">
        <f aca="false">L658*(1+IF(M$3&lt;=$O$2,$D658,$D658-($D658-$I$643)*MIN(M$3-$O$2,$Q$2)/$Q$2))</f>
        <v>2019.6941756477</v>
      </c>
      <c r="N658" s="15" t="n">
        <f aca="false">M658*(1+IF(N$3&lt;=$O$2,$D658,$D658-($D658-$I$643)*MIN(N$3-$O$2,$Q$2)/$Q$2))</f>
        <v>2076.85152081853</v>
      </c>
      <c r="O658" s="15" t="n">
        <f aca="false">SUMPRODUCT(E658:N658,1/(1+$F$643)^$E$3:$N$3)*$E$2</f>
        <v>2141.7410899905</v>
      </c>
      <c r="P658" s="15" t="n">
        <f aca="false">N658*$E$2*(1+$I$643)/($F$643-$I$643)/(1+$F$643)^$N$3</f>
        <v>3481.47752603157</v>
      </c>
      <c r="Q658" s="15" t="n">
        <f aca="false">O658+P658</f>
        <v>5623.21861602207</v>
      </c>
      <c r="R658" s="15" t="n">
        <f aca="false">Q658-$G$2+$I$2</f>
        <v>5790.61861602207</v>
      </c>
      <c r="S658" s="42" t="n">
        <f aca="false">R658/$K$2</f>
        <v>164.552958682071</v>
      </c>
      <c r="T658" s="43" t="n">
        <f aca="false">S658-$M$2</f>
        <v>0.017579312931872</v>
      </c>
    </row>
    <row r="659" customFormat="false" ht="15" hidden="false" customHeight="false" outlineLevel="0" collapsed="false">
      <c r="A659" s="5" t="n">
        <v>15</v>
      </c>
      <c r="B659" s="25" t="n">
        <f aca="false">IF(T658&gt;0,B658,D658)</f>
        <v>0.11834716796875</v>
      </c>
      <c r="C659" s="25" t="n">
        <f aca="false">IF(T658&gt;0,D658,C658)</f>
        <v>0.118438720703125</v>
      </c>
      <c r="D659" s="41" t="n">
        <f aca="false">(B659+C659)/2</f>
        <v>0.118392944335938</v>
      </c>
      <c r="E659" s="15" t="n">
        <f aca="false">$C$2*(1+IF(E$3&lt;=$O$2,$D659,$D659-($D659-$I$643)*MIN(E$3-$O$2,$Q$2)/$Q$2))</f>
        <v>973.035413360596</v>
      </c>
      <c r="F659" s="15" t="n">
        <f aca="false">E659*(1+IF(F$3&lt;=$O$2,$D659,$D659-($D659-$I$643)*MIN(F$3-$O$2,$Q$2)/$Q$2))</f>
        <v>1088.23594089149</v>
      </c>
      <c r="G659" s="15" t="n">
        <f aca="false">F659*(1+IF(G$3&lt;=$O$2,$D659,$D659-($D659-$I$643)*MIN(G$3-$O$2,$Q$2)/$Q$2))</f>
        <v>1217.07539806583</v>
      </c>
      <c r="H659" s="15" t="n">
        <f aca="false">G659*(1+IF(H$3&lt;=$O$2,$D659,$D659-($D659-$I$643)*MIN(H$3-$O$2,$Q$2)/$Q$2))</f>
        <v>1361.16853792167</v>
      </c>
      <c r="I659" s="15" t="n">
        <f aca="false">H659*(1+IF(I$3&lt;=$O$2,$D659,$D659-($D659-$I$643)*MIN(I$3-$O$2,$Q$2)/$Q$2))</f>
        <v>1522.32128886366</v>
      </c>
      <c r="J659" s="15" t="n">
        <f aca="false">I659*(1+IF(J$3&lt;=$O$2,$D659,$D659-($D659-$I$643)*MIN(J$3-$O$2,$Q$2)/$Q$2))</f>
        <v>1675.12330704971</v>
      </c>
      <c r="K659" s="15" t="n">
        <f aca="false">J659*(1+IF(K$3&lt;=$O$2,$D659,$D659-($D659-$I$643)*MIN(K$3-$O$2,$Q$2)/$Q$2))</f>
        <v>1813.07937115393</v>
      </c>
      <c r="L659" s="15" t="n">
        <f aca="false">K659*(1+IF(L$3&lt;=$O$2,$D659,$D659-($D659-$I$643)*MIN(L$3-$O$2,$Q$2)/$Q$2))</f>
        <v>1929.72778090239</v>
      </c>
      <c r="M659" s="15" t="n">
        <f aca="false">L659*(1+IF(M$3&lt;=$O$2,$D659,$D659-($D659-$I$643)*MIN(M$3-$O$2,$Q$2)/$Q$2))</f>
        <v>2019.1100486116</v>
      </c>
      <c r="N659" s="15" t="n">
        <f aca="false">M659*(1+IF(N$3&lt;=$O$2,$D659,$D659-($D659-$I$643)*MIN(N$3-$O$2,$Q$2)/$Q$2))</f>
        <v>2076.25086298731</v>
      </c>
      <c r="O659" s="15" t="n">
        <f aca="false">SUMPRODUCT(E659:N659,1/(1+$F$643)^$E$3:$N$3)*$E$2</f>
        <v>2141.314638335</v>
      </c>
      <c r="P659" s="15" t="n">
        <f aca="false">N659*$E$2*(1+$I$643)/($F$643-$I$643)/(1+$F$643)^$N$3</f>
        <v>3480.47062846606</v>
      </c>
      <c r="Q659" s="15" t="n">
        <f aca="false">O659+P659</f>
        <v>5621.78526680106</v>
      </c>
      <c r="R659" s="15" t="n">
        <f aca="false">Q659-$G$2+$I$2</f>
        <v>5789.18526680106</v>
      </c>
      <c r="S659" s="42" t="n">
        <f aca="false">R659/$K$2</f>
        <v>164.512226962235</v>
      </c>
      <c r="T659" s="43" t="n">
        <f aca="false">S659-$M$2</f>
        <v>-0.0231524069038471</v>
      </c>
    </row>
    <row r="660" customFormat="false" ht="15" hidden="false" customHeight="false" outlineLevel="0" collapsed="false">
      <c r="A660" s="5" t="n">
        <v>16</v>
      </c>
      <c r="B660" s="25" t="n">
        <f aca="false">IF(T659&gt;0,B659,D659)</f>
        <v>0.118392944335938</v>
      </c>
      <c r="C660" s="25" t="n">
        <f aca="false">IF(T659&gt;0,D659,C659)</f>
        <v>0.118438720703125</v>
      </c>
      <c r="D660" s="41" t="n">
        <f aca="false">(B660+C660)/2</f>
        <v>0.118415832519531</v>
      </c>
      <c r="E660" s="15" t="n">
        <f aca="false">$C$2*(1+IF(E$3&lt;=$O$2,$D660,$D660-($D660-$I$643)*MIN(E$3-$O$2,$Q$2)/$Q$2))</f>
        <v>973.055326766968</v>
      </c>
      <c r="F660" s="15" t="n">
        <f aca="false">E660*(1+IF(F$3&lt;=$O$2,$D660,$D660-($D660-$I$643)*MIN(F$3-$O$2,$Q$2)/$Q$2))</f>
        <v>1088.28048337364</v>
      </c>
      <c r="G660" s="15" t="n">
        <f aca="false">F660*(1+IF(G$3&lt;=$O$2,$D660,$D660-($D660-$I$643)*MIN(G$3-$O$2,$Q$2)/$Q$2))</f>
        <v>1217.15012282709</v>
      </c>
      <c r="H660" s="15" t="n">
        <f aca="false">G660*(1+IF(H$3&lt;=$O$2,$D660,$D660-($D660-$I$643)*MIN(H$3-$O$2,$Q$2)/$Q$2))</f>
        <v>1361.27996792291</v>
      </c>
      <c r="I660" s="15" t="n">
        <f aca="false">H660*(1+IF(I$3&lt;=$O$2,$D660,$D660-($D660-$I$643)*MIN(I$3-$O$2,$Q$2)/$Q$2))</f>
        <v>1522.47706861666</v>
      </c>
      <c r="J660" s="15" t="n">
        <f aca="false">I660*(1+IF(J$3&lt;=$O$2,$D660,$D660-($D660-$I$643)*MIN(J$3-$O$2,$Q$2)/$Q$2))</f>
        <v>1675.32260048274</v>
      </c>
      <c r="K660" s="15" t="n">
        <f aca="false">J660*(1+IF(K$3&lt;=$O$2,$D660,$D660-($D660-$I$643)*MIN(K$3-$O$2,$Q$2)/$Q$2))</f>
        <v>1813.31808460518</v>
      </c>
      <c r="L660" s="15" t="n">
        <f aca="false">K660*(1+IF(L$3&lt;=$O$2,$D660,$D660-($D660-$I$643)*MIN(L$3-$O$2,$Q$2)/$Q$2))</f>
        <v>1929.99845392627</v>
      </c>
      <c r="M660" s="15" t="n">
        <f aca="false">L660*(1+IF(M$3&lt;=$O$2,$D660,$D660-($D660-$I$643)*MIN(M$3-$O$2,$Q$2)/$Q$2))</f>
        <v>2019.40209365978</v>
      </c>
      <c r="N660" s="15" t="n">
        <f aca="false">M660*(1+IF(N$3&lt;=$O$2,$D660,$D660-($D660-$I$643)*MIN(N$3-$O$2,$Q$2)/$Q$2))</f>
        <v>2076.55117291035</v>
      </c>
      <c r="O660" s="15" t="n">
        <f aca="false">SUMPRODUCT(E660:N660,1/(1+$F$643)^$E$3:$N$3)*$E$2</f>
        <v>2141.52785367899</v>
      </c>
      <c r="P660" s="15" t="n">
        <f aca="false">N660*$E$2*(1+$I$643)/($F$643-$I$643)/(1+$F$643)^$N$3</f>
        <v>3480.9740454111</v>
      </c>
      <c r="Q660" s="15" t="n">
        <f aca="false">O660+P660</f>
        <v>5622.50189909009</v>
      </c>
      <c r="R660" s="15" t="n">
        <f aca="false">Q660-$G$2+$I$2</f>
        <v>5789.90189909009</v>
      </c>
      <c r="S660" s="42" t="n">
        <f aca="false">R660/$K$2</f>
        <v>164.532591619497</v>
      </c>
      <c r="T660" s="43" t="n">
        <f aca="false">S660-$M$2</f>
        <v>-0.0027877496423514</v>
      </c>
    </row>
    <row r="661" customFormat="false" ht="15" hidden="false" customHeight="false" outlineLevel="0" collapsed="false">
      <c r="A661" s="5" t="n">
        <v>17</v>
      </c>
      <c r="B661" s="25" t="n">
        <f aca="false">IF(T660&gt;0,B660,D660)</f>
        <v>0.118415832519531</v>
      </c>
      <c r="C661" s="25" t="n">
        <f aca="false">IF(T660&gt;0,D660,C660)</f>
        <v>0.118438720703125</v>
      </c>
      <c r="D661" s="41" t="n">
        <f aca="false">(B661+C661)/2</f>
        <v>0.118427276611328</v>
      </c>
      <c r="E661" s="15" t="n">
        <f aca="false">$C$2*(1+IF(E$3&lt;=$O$2,$D661,$D661-($D661-$I$643)*MIN(E$3-$O$2,$Q$2)/$Q$2))</f>
        <v>973.065283470154</v>
      </c>
      <c r="F661" s="15" t="n">
        <f aca="false">E661*(1+IF(F$3&lt;=$O$2,$D661,$D661-($D661-$I$643)*MIN(F$3-$O$2,$Q$2)/$Q$2))</f>
        <v>1088.30275495655</v>
      </c>
      <c r="G661" s="15" t="n">
        <f aca="false">F661*(1+IF(G$3&lt;=$O$2,$D661,$D661-($D661-$I$643)*MIN(G$3-$O$2,$Q$2)/$Q$2))</f>
        <v>1217.18748635466</v>
      </c>
      <c r="H661" s="15" t="n">
        <f aca="false">G661*(1+IF(H$3&lt;=$O$2,$D661,$D661-($D661-$I$643)*MIN(H$3-$O$2,$Q$2)/$Q$2))</f>
        <v>1361.33568548904</v>
      </c>
      <c r="I661" s="15" t="n">
        <f aca="false">H661*(1+IF(I$3&lt;=$O$2,$D661,$D661-($D661-$I$643)*MIN(I$3-$O$2,$Q$2)/$Q$2))</f>
        <v>1522.55496327532</v>
      </c>
      <c r="J661" s="15" t="n">
        <f aca="false">I661*(1+IF(J$3&lt;=$O$2,$D661,$D661-($D661-$I$643)*MIN(J$3-$O$2,$Q$2)/$Q$2))</f>
        <v>1675.42225460086</v>
      </c>
      <c r="K661" s="15" t="n">
        <f aca="false">J661*(1+IF(K$3&lt;=$O$2,$D661,$D661-($D661-$I$643)*MIN(K$3-$O$2,$Q$2)/$Q$2))</f>
        <v>1813.43745139478</v>
      </c>
      <c r="L661" s="15" t="n">
        <f aca="false">K661*(1+IF(L$3&lt;=$O$2,$D661,$D661-($D661-$I$643)*MIN(L$3-$O$2,$Q$2)/$Q$2))</f>
        <v>1930.13380278893</v>
      </c>
      <c r="M661" s="15" t="n">
        <f aca="false">L661*(1+IF(M$3&lt;=$O$2,$D661,$D661-($D661-$I$643)*MIN(M$3-$O$2,$Q$2)/$Q$2))</f>
        <v>2019.54813003602</v>
      </c>
      <c r="N661" s="15" t="n">
        <f aca="false">M661*(1+IF(N$3&lt;=$O$2,$D661,$D661-($D661-$I$643)*MIN(N$3-$O$2,$Q$2)/$Q$2))</f>
        <v>2076.70134211604</v>
      </c>
      <c r="O661" s="15" t="n">
        <f aca="false">SUMPRODUCT(E661:N661,1/(1+$F$643)^$E$3:$N$3)*$E$2</f>
        <v>2141.63446921369</v>
      </c>
      <c r="P661" s="15" t="n">
        <f aca="false">N661*$E$2*(1+$I$643)/($F$643-$I$643)/(1+$F$643)^$N$3</f>
        <v>3481.22577776147</v>
      </c>
      <c r="Q661" s="15" t="n">
        <f aca="false">O661+P661</f>
        <v>5622.86024697516</v>
      </c>
      <c r="R661" s="15" t="n">
        <f aca="false">Q661-$G$2+$I$2</f>
        <v>5790.26024697516</v>
      </c>
      <c r="S661" s="42" t="n">
        <f aca="false">R661/$K$2</f>
        <v>164.542774850104</v>
      </c>
      <c r="T661" s="43" t="n">
        <f aca="false">S661-$M$2</f>
        <v>0.00739548096501608</v>
      </c>
    </row>
    <row r="662" customFormat="false" ht="15" hidden="false" customHeight="false" outlineLevel="0" collapsed="false">
      <c r="A662" s="5" t="n">
        <v>18</v>
      </c>
      <c r="B662" s="25" t="n">
        <f aca="false">IF(T661&gt;0,B661,D661)</f>
        <v>0.118415832519531</v>
      </c>
      <c r="C662" s="25" t="n">
        <f aca="false">IF(T661&gt;0,D661,C661)</f>
        <v>0.118427276611328</v>
      </c>
      <c r="D662" s="41" t="n">
        <f aca="false">(B662+C662)/2</f>
        <v>0.11842155456543</v>
      </c>
      <c r="E662" s="15" t="n">
        <f aca="false">$C$2*(1+IF(E$3&lt;=$O$2,$D662,$D662-($D662-$I$643)*MIN(E$3-$O$2,$Q$2)/$Q$2))</f>
        <v>973.060305118561</v>
      </c>
      <c r="F662" s="15" t="n">
        <f aca="false">E662*(1+IF(F$3&lt;=$O$2,$D662,$D662-($D662-$I$643)*MIN(F$3-$O$2,$Q$2)/$Q$2))</f>
        <v>1088.29161913661</v>
      </c>
      <c r="G662" s="15" t="n">
        <f aca="false">F662*(1+IF(G$3&lt;=$O$2,$D662,$D662-($D662-$I$643)*MIN(G$3-$O$2,$Q$2)/$Q$2))</f>
        <v>1217.1688044953</v>
      </c>
      <c r="H662" s="15" t="n">
        <f aca="false">G662*(1+IF(H$3&lt;=$O$2,$D662,$D662-($D662-$I$643)*MIN(H$3-$O$2,$Q$2)/$Q$2))</f>
        <v>1361.30782649218</v>
      </c>
      <c r="I662" s="15" t="n">
        <f aca="false">H662*(1+IF(I$3&lt;=$O$2,$D662,$D662-($D662-$I$643)*MIN(I$3-$O$2,$Q$2)/$Q$2))</f>
        <v>1522.51601554747</v>
      </c>
      <c r="J662" s="15" t="n">
        <f aca="false">I662*(1+IF(J$3&lt;=$O$2,$D662,$D662-($D662-$I$643)*MIN(J$3-$O$2,$Q$2)/$Q$2))</f>
        <v>1675.37242692498</v>
      </c>
      <c r="K662" s="15" t="n">
        <f aca="false">J662*(1+IF(K$3&lt;=$O$2,$D662,$D662-($D662-$I$643)*MIN(K$3-$O$2,$Q$2)/$Q$2))</f>
        <v>1813.37776716128</v>
      </c>
      <c r="L662" s="15" t="n">
        <f aca="false">K662*(1+IF(L$3&lt;=$O$2,$D662,$D662-($D662-$I$643)*MIN(L$3-$O$2,$Q$2)/$Q$2))</f>
        <v>1930.06612732833</v>
      </c>
      <c r="M662" s="15" t="n">
        <f aca="false">L662*(1+IF(M$3&lt;=$O$2,$D662,$D662-($D662-$I$643)*MIN(M$3-$O$2,$Q$2)/$Q$2))</f>
        <v>2019.4751106935</v>
      </c>
      <c r="N662" s="15" t="n">
        <f aca="false">M662*(1+IF(N$3&lt;=$O$2,$D662,$D662-($D662-$I$643)*MIN(N$3-$O$2,$Q$2)/$Q$2))</f>
        <v>2076.62625632613</v>
      </c>
      <c r="O662" s="15" t="n">
        <f aca="false">SUMPRODUCT(E662:N662,1/(1+$F$643)^$E$3:$N$3)*$E$2</f>
        <v>2141.58116079109</v>
      </c>
      <c r="P662" s="15" t="n">
        <f aca="false">N662*$E$2*(1+$I$643)/($F$643-$I$643)/(1+$F$643)^$N$3</f>
        <v>3481.09990959638</v>
      </c>
      <c r="Q662" s="15" t="n">
        <f aca="false">O662+P662</f>
        <v>5622.68107038746</v>
      </c>
      <c r="R662" s="15" t="n">
        <f aca="false">Q662-$G$2+$I$2</f>
        <v>5790.08107038746</v>
      </c>
      <c r="S662" s="42" t="n">
        <f aca="false">R662/$K$2</f>
        <v>164.537683159632</v>
      </c>
      <c r="T662" s="43" t="n">
        <f aca="false">S662-$M$2</f>
        <v>0.0023037904933858</v>
      </c>
    </row>
    <row r="663" customFormat="false" ht="15" hidden="false" customHeight="false" outlineLevel="0" collapsed="false">
      <c r="A663" s="5" t="n">
        <v>19</v>
      </c>
      <c r="B663" s="25" t="n">
        <f aca="false">IF(T662&gt;0,B662,D662)</f>
        <v>0.118415832519531</v>
      </c>
      <c r="C663" s="25" t="n">
        <f aca="false">IF(T662&gt;0,D662,C662)</f>
        <v>0.11842155456543</v>
      </c>
      <c r="D663" s="41" t="n">
        <f aca="false">(B663+C663)/2</f>
        <v>0.11841869354248</v>
      </c>
      <c r="E663" s="15" t="n">
        <f aca="false">$C$2*(1+IF(E$3&lt;=$O$2,$D663,$D663-($D663-$I$643)*MIN(E$3-$O$2,$Q$2)/$Q$2))</f>
        <v>973.057815942764</v>
      </c>
      <c r="F663" s="15" t="n">
        <f aca="false">E663*(1+IF(F$3&lt;=$O$2,$D663,$D663-($D663-$I$643)*MIN(F$3-$O$2,$Q$2)/$Q$2))</f>
        <v>1088.28605124801</v>
      </c>
      <c r="G663" s="15" t="n">
        <f aca="false">F663*(1+IF(G$3&lt;=$O$2,$D663,$D663-($D663-$I$643)*MIN(G$3-$O$2,$Q$2)/$Q$2))</f>
        <v>1217.1594636373</v>
      </c>
      <c r="H663" s="15" t="n">
        <f aca="false">G663*(1+IF(H$3&lt;=$O$2,$D663,$D663-($D663-$I$643)*MIN(H$3-$O$2,$Q$2)/$Q$2))</f>
        <v>1361.2938971541</v>
      </c>
      <c r="I663" s="15" t="n">
        <f aca="false">H663*(1+IF(I$3&lt;=$O$2,$D663,$D663-($D663-$I$643)*MIN(I$3-$O$2,$Q$2)/$Q$2))</f>
        <v>1522.49654198243</v>
      </c>
      <c r="J663" s="15" t="n">
        <f aca="false">I663*(1+IF(J$3&lt;=$O$2,$D663,$D663-($D663-$I$643)*MIN(J$3-$O$2,$Q$2)/$Q$2))</f>
        <v>1675.34751354966</v>
      </c>
      <c r="K663" s="15" t="n">
        <f aca="false">J663*(1+IF(K$3&lt;=$O$2,$D663,$D663-($D663-$I$643)*MIN(K$3-$O$2,$Q$2)/$Q$2))</f>
        <v>1813.34792567356</v>
      </c>
      <c r="L663" s="15" t="n">
        <f aca="false">K663*(1+IF(L$3&lt;=$O$2,$D663,$D663-($D663-$I$643)*MIN(L$3-$O$2,$Q$2)/$Q$2))</f>
        <v>1930.03229036999</v>
      </c>
      <c r="M663" s="15" t="n">
        <f aca="false">L663*(1+IF(M$3&lt;=$O$2,$D663,$D663-($D663-$I$643)*MIN(M$3-$O$2,$Q$2)/$Q$2))</f>
        <v>2019.43860188805</v>
      </c>
      <c r="N663" s="15" t="n">
        <f aca="false">M663*(1+IF(N$3&lt;=$O$2,$D663,$D663-($D663-$I$643)*MIN(N$3-$O$2,$Q$2)/$Q$2))</f>
        <v>2076.58871432148</v>
      </c>
      <c r="O663" s="15" t="n">
        <f aca="false">SUMPRODUCT(E663:N663,1/(1+$F$643)^$E$3:$N$3)*$E$2</f>
        <v>2141.55450707123</v>
      </c>
      <c r="P663" s="15" t="n">
        <f aca="false">N663*$E$2*(1+$I$643)/($F$643-$I$643)/(1+$F$643)^$N$3</f>
        <v>3481.03697700627</v>
      </c>
      <c r="Q663" s="15" t="n">
        <f aca="false">O663+P663</f>
        <v>5622.59148407749</v>
      </c>
      <c r="R663" s="15" t="n">
        <f aca="false">Q663-$G$2+$I$2</f>
        <v>5789.99148407749</v>
      </c>
      <c r="S663" s="42" t="n">
        <f aca="false">R663/$K$2</f>
        <v>164.535137370773</v>
      </c>
      <c r="T663" s="43" t="n">
        <f aca="false">S663-$M$2</f>
        <v>-0.000241998366220741</v>
      </c>
    </row>
    <row r="664" customFormat="false" ht="15" hidden="false" customHeight="false" outlineLevel="0" collapsed="false">
      <c r="A664" s="5" t="n">
        <v>20</v>
      </c>
      <c r="B664" s="25" t="n">
        <f aca="false">IF(T663&gt;0,B663,D663)</f>
        <v>0.11841869354248</v>
      </c>
      <c r="C664" s="25" t="n">
        <f aca="false">IF(T663&gt;0,D663,C663)</f>
        <v>0.11842155456543</v>
      </c>
      <c r="D664" s="41" t="n">
        <f aca="false">(B664+C664)/2</f>
        <v>0.118420124053955</v>
      </c>
      <c r="E664" s="15" t="n">
        <f aca="false">$C$2*(1+IF(E$3&lt;=$O$2,$D664,$D664-($D664-$I$643)*MIN(E$3-$O$2,$Q$2)/$Q$2))</f>
        <v>973.059060530663</v>
      </c>
      <c r="F664" s="15" t="n">
        <f aca="false">E664*(1+IF(F$3&lt;=$O$2,$D664,$D664-($D664-$I$643)*MIN(F$3-$O$2,$Q$2)/$Q$2))</f>
        <v>1088.28883519053</v>
      </c>
      <c r="G664" s="15" t="n">
        <f aca="false">F664*(1+IF(G$3&lt;=$O$2,$D664,$D664-($D664-$I$643)*MIN(G$3-$O$2,$Q$2)/$Q$2))</f>
        <v>1217.16413406033</v>
      </c>
      <c r="H664" s="15" t="n">
        <f aca="false">G664*(1+IF(H$3&lt;=$O$2,$D664,$D664-($D664-$I$643)*MIN(H$3-$O$2,$Q$2)/$Q$2))</f>
        <v>1361.30086180977</v>
      </c>
      <c r="I664" s="15" t="n">
        <f aca="false">H664*(1+IF(I$3&lt;=$O$2,$D664,$D664-($D664-$I$643)*MIN(I$3-$O$2,$Q$2)/$Q$2))</f>
        <v>1522.50627874004</v>
      </c>
      <c r="J664" s="15" t="n">
        <f aca="false">I664*(1+IF(J$3&lt;=$O$2,$D664,$D664-($D664-$I$643)*MIN(J$3-$O$2,$Q$2)/$Q$2))</f>
        <v>1675.35997019877</v>
      </c>
      <c r="K664" s="15" t="n">
        <f aca="false">J664*(1+IF(K$3&lt;=$O$2,$D664,$D664-($D664-$I$643)*MIN(K$3-$O$2,$Q$2)/$Q$2))</f>
        <v>1813.362846365</v>
      </c>
      <c r="L664" s="15" t="n">
        <f aca="false">K664*(1+IF(L$3&lt;=$O$2,$D664,$D664-($D664-$I$643)*MIN(L$3-$O$2,$Q$2)/$Q$2))</f>
        <v>1930.04920878483</v>
      </c>
      <c r="M664" s="15" t="n">
        <f aca="false">L664*(1+IF(M$3&lt;=$O$2,$D664,$D664-($D664-$I$643)*MIN(M$3-$O$2,$Q$2)/$Q$2))</f>
        <v>2019.45685621862</v>
      </c>
      <c r="N664" s="15" t="n">
        <f aca="false">M664*(1+IF(N$3&lt;=$O$2,$D664,$D664-($D664-$I$643)*MIN(N$3-$O$2,$Q$2)/$Q$2))</f>
        <v>2076.60748524961</v>
      </c>
      <c r="O664" s="15" t="n">
        <f aca="false">SUMPRODUCT(E664:N664,1/(1+$F$643)^$E$3:$N$3)*$E$2</f>
        <v>2141.5678338902</v>
      </c>
      <c r="P664" s="15" t="n">
        <f aca="false">N664*$E$2*(1+$I$643)/($F$643-$I$643)/(1+$F$643)^$N$3</f>
        <v>3481.06844317695</v>
      </c>
      <c r="Q664" s="15" t="n">
        <f aca="false">O664+P664</f>
        <v>5622.63627706716</v>
      </c>
      <c r="R664" s="15" t="n">
        <f aca="false">Q664-$G$2+$I$2</f>
        <v>5790.03627706716</v>
      </c>
      <c r="S664" s="42" t="n">
        <f aca="false">R664/$K$2</f>
        <v>164.536410260505</v>
      </c>
      <c r="T664" s="43" t="n">
        <f aca="false">S664-$M$2</f>
        <v>0.00103089136561607</v>
      </c>
    </row>
    <row r="665" customFormat="false" ht="15" hidden="false" customHeight="false" outlineLevel="0" collapsed="false">
      <c r="A665" s="5" t="n">
        <v>21</v>
      </c>
      <c r="B665" s="25" t="n">
        <f aca="false">IF(T664&gt;0,B664,D664)</f>
        <v>0.11841869354248</v>
      </c>
      <c r="C665" s="25" t="n">
        <f aca="false">IF(T664&gt;0,D664,C664)</f>
        <v>0.118420124053955</v>
      </c>
      <c r="D665" s="41" t="n">
        <f aca="false">(B665+C665)/2</f>
        <v>0.118419408798218</v>
      </c>
      <c r="E665" s="15" t="n">
        <f aca="false">$C$2*(1+IF(E$3&lt;=$O$2,$D665,$D665-($D665-$I$643)*MIN(E$3-$O$2,$Q$2)/$Q$2))</f>
        <v>973.058438236713</v>
      </c>
      <c r="F665" s="15" t="n">
        <f aca="false">E665*(1+IF(F$3&lt;=$O$2,$D665,$D665-($D665-$I$643)*MIN(F$3-$O$2,$Q$2)/$Q$2))</f>
        <v>1088.28744321882</v>
      </c>
      <c r="G665" s="15" t="n">
        <f aca="false">F665*(1+IF(G$3&lt;=$O$2,$D665,$D665-($D665-$I$643)*MIN(G$3-$O$2,$Q$2)/$Q$2))</f>
        <v>1217.16179884732</v>
      </c>
      <c r="H665" s="15" t="n">
        <f aca="false">G665*(1+IF(H$3&lt;=$O$2,$D665,$D665-($D665-$I$643)*MIN(H$3-$O$2,$Q$2)/$Q$2))</f>
        <v>1361.29737947859</v>
      </c>
      <c r="I665" s="15" t="n">
        <f aca="false">H665*(1+IF(I$3&lt;=$O$2,$D665,$D665-($D665-$I$643)*MIN(I$3-$O$2,$Q$2)/$Q$2))</f>
        <v>1522.50141035501</v>
      </c>
      <c r="J665" s="15" t="n">
        <f aca="false">I665*(1+IF(J$3&lt;=$O$2,$D665,$D665-($D665-$I$643)*MIN(J$3-$O$2,$Q$2)/$Q$2))</f>
        <v>1675.35374186458</v>
      </c>
      <c r="K665" s="15" t="n">
        <f aca="false">J665*(1+IF(K$3&lt;=$O$2,$D665,$D665-($D665-$I$643)*MIN(K$3-$O$2,$Q$2)/$Q$2))</f>
        <v>1813.35538600617</v>
      </c>
      <c r="L665" s="15" t="n">
        <f aca="false">K665*(1+IF(L$3&lt;=$O$2,$D665,$D665-($D665-$I$643)*MIN(L$3-$O$2,$Q$2)/$Q$2))</f>
        <v>1930.04074956132</v>
      </c>
      <c r="M665" s="15" t="n">
        <f aca="false">L665*(1+IF(M$3&lt;=$O$2,$D665,$D665-($D665-$I$643)*MIN(M$3-$O$2,$Q$2)/$Q$2))</f>
        <v>2019.4477290353</v>
      </c>
      <c r="N665" s="15" t="n">
        <f aca="false">M665*(1+IF(N$3&lt;=$O$2,$D665,$D665-($D665-$I$643)*MIN(N$3-$O$2,$Q$2)/$Q$2))</f>
        <v>2076.598099767</v>
      </c>
      <c r="O665" s="15" t="n">
        <f aca="false">SUMPRODUCT(E665:N665,1/(1+$F$643)^$E$3:$N$3)*$E$2</f>
        <v>2141.56117047048</v>
      </c>
      <c r="P665" s="15" t="n">
        <f aca="false">N665*$E$2*(1+$I$643)/($F$643-$I$643)/(1+$F$643)^$N$3</f>
        <v>3481.05271006052</v>
      </c>
      <c r="Q665" s="15" t="n">
        <f aca="false">O665+P665</f>
        <v>5622.613880531</v>
      </c>
      <c r="R665" s="15" t="n">
        <f aca="false">Q665-$G$2+$I$2</f>
        <v>5790.013880531</v>
      </c>
      <c r="S665" s="42" t="n">
        <f aca="false">R665/$K$2</f>
        <v>164.535773814464</v>
      </c>
      <c r="T665" s="43" t="n">
        <f aca="false">S665-$M$2</f>
        <v>0.000394445325213155</v>
      </c>
    </row>
    <row r="666" customFormat="false" ht="15" hidden="false" customHeight="false" outlineLevel="0" collapsed="false">
      <c r="A666" s="5" t="n">
        <v>22</v>
      </c>
      <c r="B666" s="25" t="n">
        <f aca="false">IF(T665&gt;0,B665,D665)</f>
        <v>0.11841869354248</v>
      </c>
      <c r="C666" s="25" t="n">
        <f aca="false">IF(T665&gt;0,D665,C665)</f>
        <v>0.118419408798218</v>
      </c>
      <c r="D666" s="41" t="n">
        <f aca="false">(B666+C666)/2</f>
        <v>0.118419051170349</v>
      </c>
      <c r="E666" s="15" t="n">
        <f aca="false">$C$2*(1+IF(E$3&lt;=$O$2,$D666,$D666-($D666-$I$643)*MIN(E$3-$O$2,$Q$2)/$Q$2))</f>
        <v>973.058127089739</v>
      </c>
      <c r="F666" s="15" t="n">
        <f aca="false">E666*(1+IF(F$3&lt;=$O$2,$D666,$D666-($D666-$I$643)*MIN(F$3-$O$2,$Q$2)/$Q$2))</f>
        <v>1088.2867472333</v>
      </c>
      <c r="G666" s="15" t="n">
        <f aca="false">F666*(1+IF(G$3&lt;=$O$2,$D666,$D666-($D666-$I$643)*MIN(G$3-$O$2,$Q$2)/$Q$2))</f>
        <v>1217.16063124194</v>
      </c>
      <c r="H666" s="15" t="n">
        <f aca="false">G666*(1+IF(H$3&lt;=$O$2,$D666,$D666-($D666-$I$643)*MIN(H$3-$O$2,$Q$2)/$Q$2))</f>
        <v>1361.29563831551</v>
      </c>
      <c r="I666" s="15" t="n">
        <f aca="false">H666*(1+IF(I$3&lt;=$O$2,$D666,$D666-($D666-$I$643)*MIN(I$3-$O$2,$Q$2)/$Q$2))</f>
        <v>1522.49897616717</v>
      </c>
      <c r="J666" s="15" t="n">
        <f aca="false">I666*(1+IF(J$3&lt;=$O$2,$D666,$D666-($D666-$I$643)*MIN(J$3-$O$2,$Q$2)/$Q$2))</f>
        <v>1675.35062770471</v>
      </c>
      <c r="K666" s="15" t="n">
        <f aca="false">J666*(1+IF(K$3&lt;=$O$2,$D666,$D666-($D666-$I$643)*MIN(K$3-$O$2,$Q$2)/$Q$2))</f>
        <v>1813.35165583659</v>
      </c>
      <c r="L666" s="15" t="n">
        <f aca="false">K666*(1+IF(L$3&lt;=$O$2,$D666,$D666-($D666-$I$643)*MIN(L$3-$O$2,$Q$2)/$Q$2))</f>
        <v>1930.03651996164</v>
      </c>
      <c r="M666" s="15" t="n">
        <f aca="false">L666*(1+IF(M$3&lt;=$O$2,$D666,$D666-($D666-$I$643)*MIN(M$3-$O$2,$Q$2)/$Q$2))</f>
        <v>2019.44316545716</v>
      </c>
      <c r="N666" s="15" t="n">
        <f aca="false">M666*(1+IF(N$3&lt;=$O$2,$D666,$D666-($D666-$I$643)*MIN(N$3-$O$2,$Q$2)/$Q$2))</f>
        <v>2076.5934070396</v>
      </c>
      <c r="O666" s="15" t="n">
        <f aca="false">SUMPRODUCT(E666:N666,1/(1+$F$643)^$E$3:$N$3)*$E$2</f>
        <v>2141.55783876829</v>
      </c>
      <c r="P666" s="15" t="n">
        <f aca="false">N666*$E$2*(1+$I$643)/($F$643-$I$643)/(1+$F$643)^$N$3</f>
        <v>3481.04484352562</v>
      </c>
      <c r="Q666" s="15" t="n">
        <f aca="false">O666+P666</f>
        <v>5622.60268229391</v>
      </c>
      <c r="R666" s="15" t="n">
        <f aca="false">Q666-$G$2+$I$2</f>
        <v>5790.00268229391</v>
      </c>
      <c r="S666" s="42" t="n">
        <f aca="false">R666/$K$2</f>
        <v>164.535455592325</v>
      </c>
      <c r="T666" s="43" t="n">
        <f aca="false">S666-$M$2</f>
        <v>7.62231858857376E-005</v>
      </c>
    </row>
    <row r="667" customFormat="false" ht="15" hidden="false" customHeight="false" outlineLevel="0" collapsed="false">
      <c r="A667" s="5" t="n">
        <v>23</v>
      </c>
      <c r="B667" s="25" t="n">
        <f aca="false">IF(T666&gt;0,B666,D666)</f>
        <v>0.11841869354248</v>
      </c>
      <c r="C667" s="25" t="n">
        <f aca="false">IF(T666&gt;0,D666,C666)</f>
        <v>0.118419051170349</v>
      </c>
      <c r="D667" s="41" t="n">
        <f aca="false">(B667+C667)/2</f>
        <v>0.118418872356415</v>
      </c>
      <c r="E667" s="15" t="n">
        <f aca="false">$C$2*(1+IF(E$3&lt;=$O$2,$D667,$D667-($D667-$I$643)*MIN(E$3-$O$2,$Q$2)/$Q$2))</f>
        <v>973.057971516252</v>
      </c>
      <c r="F667" s="15" t="n">
        <f aca="false">E667*(1+IF(F$3&lt;=$O$2,$D667,$D667-($D667-$I$643)*MIN(F$3-$O$2,$Q$2)/$Q$2))</f>
        <v>1088.28639924063</v>
      </c>
      <c r="G667" s="15" t="n">
        <f aca="false">F667*(1+IF(G$3&lt;=$O$2,$D667,$D667-($D667-$I$643)*MIN(G$3-$O$2,$Q$2)/$Q$2))</f>
        <v>1217.16004743952</v>
      </c>
      <c r="H667" s="15" t="n">
        <f aca="false">G667*(1+IF(H$3&lt;=$O$2,$D667,$D667-($D667-$I$643)*MIN(H$3-$O$2,$Q$2)/$Q$2))</f>
        <v>1361.29476773459</v>
      </c>
      <c r="I667" s="15" t="n">
        <f aca="false">H667*(1+IF(I$3&lt;=$O$2,$D667,$D667-($D667-$I$643)*MIN(I$3-$O$2,$Q$2)/$Q$2))</f>
        <v>1522.49775907441</v>
      </c>
      <c r="J667" s="15" t="n">
        <f aca="false">I667*(1+IF(J$3&lt;=$O$2,$D667,$D667-($D667-$I$643)*MIN(J$3-$O$2,$Q$2)/$Q$2))</f>
        <v>1675.34907062658</v>
      </c>
      <c r="K667" s="15" t="n">
        <f aca="false">J667*(1+IF(K$3&lt;=$O$2,$D667,$D667-($D667-$I$643)*MIN(K$3-$O$2,$Q$2)/$Q$2))</f>
        <v>1813.34979075425</v>
      </c>
      <c r="L667" s="15" t="n">
        <f aca="false">K667*(1+IF(L$3&lt;=$O$2,$D667,$D667-($D667-$I$643)*MIN(L$3-$O$2,$Q$2)/$Q$2))</f>
        <v>1930.0344051648</v>
      </c>
      <c r="M667" s="15" t="n">
        <f aca="false">L667*(1+IF(M$3&lt;=$O$2,$D667,$D667-($D667-$I$643)*MIN(M$3-$O$2,$Q$2)/$Q$2))</f>
        <v>2019.44088367148</v>
      </c>
      <c r="N667" s="15" t="n">
        <f aca="false">M667*(1+IF(N$3&lt;=$O$2,$D667,$D667-($D667-$I$643)*MIN(N$3-$O$2,$Q$2)/$Q$2))</f>
        <v>2076.59106067938</v>
      </c>
      <c r="O667" s="15" t="n">
        <f aca="false">SUMPRODUCT(E667:N667,1/(1+$F$643)^$E$3:$N$3)*$E$2</f>
        <v>2141.55617291912</v>
      </c>
      <c r="P667" s="15" t="n">
        <f aca="false">N667*$E$2*(1+$I$643)/($F$643-$I$643)/(1+$F$643)^$N$3</f>
        <v>3481.040910264</v>
      </c>
      <c r="Q667" s="15" t="n">
        <f aca="false">O667+P667</f>
        <v>5622.59708318312</v>
      </c>
      <c r="R667" s="15" t="n">
        <f aca="false">Q667-$G$2+$I$2</f>
        <v>5789.99708318312</v>
      </c>
      <c r="S667" s="42" t="n">
        <f aca="false">R667/$K$2</f>
        <v>164.535296481475</v>
      </c>
      <c r="T667" s="43" t="n">
        <f aca="false">S667-$M$2</f>
        <v>-8.28876635807774E-005</v>
      </c>
    </row>
    <row r="668" customFormat="false" ht="15" hidden="false" customHeight="false" outlineLevel="0" collapsed="false">
      <c r="A668" s="5" t="n">
        <v>24</v>
      </c>
      <c r="B668" s="25" t="n">
        <f aca="false">IF(T667&gt;0,B667,D667)</f>
        <v>0.118418872356415</v>
      </c>
      <c r="C668" s="25" t="n">
        <f aca="false">IF(T667&gt;0,D667,C667)</f>
        <v>0.118419051170349</v>
      </c>
      <c r="D668" s="41" t="n">
        <f aca="false">(B668+C668)/2</f>
        <v>0.118418961763382</v>
      </c>
      <c r="E668" s="15" t="n">
        <f aca="false">$C$2*(1+IF(E$3&lt;=$O$2,$D668,$D668-($D668-$I$643)*MIN(E$3-$O$2,$Q$2)/$Q$2))</f>
        <v>973.058049302995</v>
      </c>
      <c r="F668" s="15" t="n">
        <f aca="false">E668*(1+IF(F$3&lt;=$O$2,$D668,$D668-($D668-$I$643)*MIN(F$3-$O$2,$Q$2)/$Q$2))</f>
        <v>1088.28657323696</v>
      </c>
      <c r="G668" s="15" t="n">
        <f aca="false">F668*(1+IF(G$3&lt;=$O$2,$D668,$D668-($D668-$I$643)*MIN(G$3-$O$2,$Q$2)/$Q$2))</f>
        <v>1217.16033934071</v>
      </c>
      <c r="H668" s="15" t="n">
        <f aca="false">G668*(1+IF(H$3&lt;=$O$2,$D668,$D668-($D668-$I$643)*MIN(H$3-$O$2,$Q$2)/$Q$2))</f>
        <v>1361.295203025</v>
      </c>
      <c r="I668" s="15" t="n">
        <f aca="false">H668*(1+IF(I$3&lt;=$O$2,$D668,$D668-($D668-$I$643)*MIN(I$3-$O$2,$Q$2)/$Q$2))</f>
        <v>1522.49836762069</v>
      </c>
      <c r="J668" s="15" t="n">
        <f aca="false">I668*(1+IF(J$3&lt;=$O$2,$D668,$D668-($D668-$I$643)*MIN(J$3-$O$2,$Q$2)/$Q$2))</f>
        <v>1675.34984916549</v>
      </c>
      <c r="K668" s="15" t="n">
        <f aca="false">J668*(1+IF(K$3&lt;=$O$2,$D668,$D668-($D668-$I$643)*MIN(K$3-$O$2,$Q$2)/$Q$2))</f>
        <v>1813.35072329522</v>
      </c>
      <c r="L668" s="15" t="n">
        <f aca="false">K668*(1+IF(L$3&lt;=$O$2,$D668,$D668-($D668-$I$643)*MIN(L$3-$O$2,$Q$2)/$Q$2))</f>
        <v>1930.03546256297</v>
      </c>
      <c r="M668" s="15" t="n">
        <f aca="false">L668*(1+IF(M$3&lt;=$O$2,$D668,$D668-($D668-$I$643)*MIN(M$3-$O$2,$Q$2)/$Q$2))</f>
        <v>2019.44202456404</v>
      </c>
      <c r="N668" s="15" t="n">
        <f aca="false">M668*(1+IF(N$3&lt;=$O$2,$D668,$D668-($D668-$I$643)*MIN(N$3-$O$2,$Q$2)/$Q$2))</f>
        <v>2076.5922338592</v>
      </c>
      <c r="O668" s="15" t="n">
        <f aca="false">SUMPRODUCT(E668:N668,1/(1+$F$643)^$E$3:$N$3)*$E$2</f>
        <v>2141.55700584355</v>
      </c>
      <c r="P668" s="15" t="n">
        <f aca="false">N668*$E$2*(1+$I$643)/($F$643-$I$643)/(1+$F$643)^$N$3</f>
        <v>3481.04287689432</v>
      </c>
      <c r="Q668" s="15" t="n">
        <f aca="false">O668+P668</f>
        <v>5622.59988273787</v>
      </c>
      <c r="R668" s="15" t="n">
        <f aca="false">Q668-$G$2+$I$2</f>
        <v>5789.99988273787</v>
      </c>
      <c r="S668" s="42" t="n">
        <f aca="false">R668/$K$2</f>
        <v>164.535376036882</v>
      </c>
      <c r="T668" s="43" t="n">
        <f aca="false">S668-$M$2</f>
        <v>-3.33225719373331E-006</v>
      </c>
    </row>
    <row r="670" customFormat="false" ht="15" hidden="false" customHeight="false" outlineLevel="0" collapsed="false">
      <c r="A670" s="38" t="s">
        <v>211</v>
      </c>
      <c r="E670" s="5" t="s">
        <v>12</v>
      </c>
      <c r="F670" s="12" t="n">
        <f aca="false">Sensitivity!$B$14</f>
        <v>0.0875075820986394</v>
      </c>
      <c r="G670" s="5" t="s">
        <v>13</v>
      </c>
      <c r="I670" s="12" t="n">
        <f aca="false">Sensitivity!$F$9</f>
        <v>0.0333</v>
      </c>
    </row>
    <row r="671" customFormat="false" ht="23.85" hidden="false" customHeight="false" outlineLevel="0" collapsed="false">
      <c r="A671" s="38" t="s">
        <v>168</v>
      </c>
      <c r="B671" s="28" t="s">
        <v>169</v>
      </c>
      <c r="C671" s="28" t="s">
        <v>170</v>
      </c>
      <c r="D671" s="28" t="s">
        <v>171</v>
      </c>
      <c r="E671" s="28" t="s">
        <v>172</v>
      </c>
      <c r="F671" s="28" t="s">
        <v>173</v>
      </c>
      <c r="G671" s="28" t="s">
        <v>174</v>
      </c>
      <c r="H671" s="28" t="s">
        <v>175</v>
      </c>
      <c r="I671" s="28" t="s">
        <v>176</v>
      </c>
      <c r="J671" s="28" t="s">
        <v>177</v>
      </c>
      <c r="K671" s="28" t="s">
        <v>178</v>
      </c>
      <c r="L671" s="28" t="s">
        <v>179</v>
      </c>
      <c r="M671" s="28" t="s">
        <v>180</v>
      </c>
      <c r="N671" s="28" t="s">
        <v>181</v>
      </c>
      <c r="O671" s="28" t="s">
        <v>182</v>
      </c>
      <c r="P671" s="28" t="s">
        <v>183</v>
      </c>
      <c r="Q671" s="28" t="s">
        <v>184</v>
      </c>
      <c r="R671" s="28" t="s">
        <v>185</v>
      </c>
      <c r="S671" s="28" t="s">
        <v>186</v>
      </c>
      <c r="T671" s="28" t="s">
        <v>187</v>
      </c>
    </row>
    <row r="672" customFormat="false" ht="15" hidden="false" customHeight="false" outlineLevel="0" collapsed="false">
      <c r="A672" s="5" t="n">
        <v>1</v>
      </c>
      <c r="B672" s="24" t="n">
        <v>-0.5</v>
      </c>
      <c r="C672" s="24" t="n">
        <v>1</v>
      </c>
      <c r="D672" s="41" t="n">
        <f aca="false">(B672+C672)/2</f>
        <v>0.25</v>
      </c>
      <c r="E672" s="15" t="n">
        <f aca="false">$C$2*(1+IF(E$3&lt;=$O$2,$D672,$D672-($D672-$I$670)*MIN(E$3-$O$2,$Q$2)/$Q$2))</f>
        <v>1087.5375</v>
      </c>
      <c r="F672" s="15" t="n">
        <f aca="false">E672*(1+IF(F$3&lt;=$O$2,$D672,$D672-($D672-$I$670)*MIN(F$3-$O$2,$Q$2)/$Q$2))</f>
        <v>1359.421875</v>
      </c>
      <c r="G672" s="15" t="n">
        <f aca="false">F672*(1+IF(G$3&lt;=$O$2,$D672,$D672-($D672-$I$670)*MIN(G$3-$O$2,$Q$2)/$Q$2))</f>
        <v>1699.27734375</v>
      </c>
      <c r="H672" s="15" t="n">
        <f aca="false">G672*(1+IF(H$3&lt;=$O$2,$D672,$D672-($D672-$I$670)*MIN(H$3-$O$2,$Q$2)/$Q$2))</f>
        <v>2124.0966796875</v>
      </c>
      <c r="I672" s="15" t="n">
        <f aca="false">H672*(1+IF(I$3&lt;=$O$2,$D672,$D672-($D672-$I$670)*MIN(I$3-$O$2,$Q$2)/$Q$2))</f>
        <v>2655.12084960938</v>
      </c>
      <c r="J672" s="15" t="n">
        <f aca="false">I672*(1+IF(J$3&lt;=$O$2,$D672,$D672-($D672-$I$670)*MIN(J$3-$O$2,$Q$2)/$Q$2))</f>
        <v>3203.82812438965</v>
      </c>
      <c r="K672" s="15" t="n">
        <f aca="false">J672*(1+IF(K$3&lt;=$O$2,$D672,$D672-($D672-$I$670)*MIN(K$3-$O$2,$Q$2)/$Q$2))</f>
        <v>3727.07733366497</v>
      </c>
      <c r="L672" s="15" t="n">
        <f aca="false">K672*(1+IF(L$3&lt;=$O$2,$D672,$D672-($D672-$I$670)*MIN(L$3-$O$2,$Q$2)/$Q$2))</f>
        <v>4174.25207215809</v>
      </c>
      <c r="M672" s="15" t="n">
        <f aca="false">L672*(1+IF(M$3&lt;=$O$2,$D672,$D672-($D672-$I$670)*MIN(M$3-$O$2,$Q$2)/$Q$2))</f>
        <v>4494.16675096829</v>
      </c>
      <c r="N672" s="15" t="n">
        <f aca="false">M672*(1+IF(N$3&lt;=$O$2,$D672,$D672-($D672-$I$670)*MIN(N$3-$O$2,$Q$2)/$Q$2))</f>
        <v>4643.82250377553</v>
      </c>
      <c r="O672" s="15" t="n">
        <f aca="false">SUMPRODUCT(E672:N672,1/(1+$F$670)^$E$3:$N$3)*$E$2</f>
        <v>3795.70895308187</v>
      </c>
      <c r="P672" s="15" t="n">
        <f aca="false">N672*$E$2*(1+$I$670)/($F$670-$I$670)/(1+$F$670)^$N$3</f>
        <v>8543.9292246906</v>
      </c>
      <c r="Q672" s="15" t="n">
        <f aca="false">O672+P672</f>
        <v>12339.6381777725</v>
      </c>
      <c r="R672" s="15" t="n">
        <f aca="false">Q672-$G$2+$I$2</f>
        <v>12507.0381777725</v>
      </c>
      <c r="S672" s="42" t="n">
        <f aca="false">R672/$K$2</f>
        <v>355.414554639741</v>
      </c>
      <c r="T672" s="43" t="n">
        <f aca="false">S672-$M$2</f>
        <v>190.879175270602</v>
      </c>
    </row>
    <row r="673" customFormat="false" ht="15" hidden="false" customHeight="false" outlineLevel="0" collapsed="false">
      <c r="A673" s="5" t="n">
        <v>2</v>
      </c>
      <c r="B673" s="25" t="n">
        <f aca="false">IF(T672&gt;0,B672,D672)</f>
        <v>-0.5</v>
      </c>
      <c r="C673" s="25" t="n">
        <f aca="false">IF(T672&gt;0,D672,C672)</f>
        <v>0.25</v>
      </c>
      <c r="D673" s="41" t="n">
        <f aca="false">(B673+C673)/2</f>
        <v>-0.125</v>
      </c>
      <c r="E673" s="15" t="n">
        <f aca="false">$C$2*(1+IF(E$3&lt;=$O$2,$D673,$D673-($D673-$I$670)*MIN(E$3-$O$2,$Q$2)/$Q$2))</f>
        <v>761.27625</v>
      </c>
      <c r="F673" s="15" t="n">
        <f aca="false">E673*(1+IF(F$3&lt;=$O$2,$D673,$D673-($D673-$I$670)*MIN(F$3-$O$2,$Q$2)/$Q$2))</f>
        <v>666.11671875</v>
      </c>
      <c r="G673" s="15" t="n">
        <f aca="false">F673*(1+IF(G$3&lt;=$O$2,$D673,$D673-($D673-$I$670)*MIN(G$3-$O$2,$Q$2)/$Q$2))</f>
        <v>582.85212890625</v>
      </c>
      <c r="H673" s="15" t="n">
        <f aca="false">G673*(1+IF(H$3&lt;=$O$2,$D673,$D673-($D673-$I$670)*MIN(H$3-$O$2,$Q$2)/$Q$2))</f>
        <v>509.995612792969</v>
      </c>
      <c r="I673" s="15" t="n">
        <f aca="false">H673*(1+IF(I$3&lt;=$O$2,$D673,$D673-($D673-$I$670)*MIN(I$3-$O$2,$Q$2)/$Q$2))</f>
        <v>446.246161193848</v>
      </c>
      <c r="J673" s="15" t="n">
        <f aca="false">I673*(1+IF(J$3&lt;=$O$2,$D673,$D673-($D673-$I$670)*MIN(J$3-$O$2,$Q$2)/$Q$2))</f>
        <v>404.593544508014</v>
      </c>
      <c r="K673" s="15" t="n">
        <f aca="false">J673*(1+IF(K$3&lt;=$O$2,$D673,$D673-($D673-$I$670)*MIN(K$3-$O$2,$Q$2)/$Q$2))</f>
        <v>379.63821468276</v>
      </c>
      <c r="L673" s="15" t="n">
        <f aca="false">K673*(1+IF(L$3&lt;=$O$2,$D673,$D673-($D673-$I$670)*MIN(L$3-$O$2,$Q$2)/$Q$2))</f>
        <v>368.241475477983</v>
      </c>
      <c r="M673" s="15" t="n">
        <f aca="false">L673*(1+IF(M$3&lt;=$O$2,$D673,$D673-($D673-$I$670)*MIN(M$3-$O$2,$Q$2)/$Q$2))</f>
        <v>368.845391497767</v>
      </c>
      <c r="N673" s="15" t="n">
        <f aca="false">M673*(1+IF(N$3&lt;=$O$2,$D673,$D673-($D673-$I$670)*MIN(N$3-$O$2,$Q$2)/$Q$2))</f>
        <v>381.127943034643</v>
      </c>
      <c r="O673" s="15" t="n">
        <f aca="false">SUMPRODUCT(E673:N673,1/(1+$F$670)^$E$3:$N$3)*$E$2</f>
        <v>749.553074598623</v>
      </c>
      <c r="P673" s="15" t="n">
        <f aca="false">N673*$E$2*(1+$I$670)/($F$670-$I$670)/(1+$F$670)^$N$3</f>
        <v>701.217621515989</v>
      </c>
      <c r="Q673" s="15" t="n">
        <f aca="false">O673+P673</f>
        <v>1450.77069611461</v>
      </c>
      <c r="R673" s="15" t="n">
        <f aca="false">Q673-$G$2+$I$2</f>
        <v>1618.17069611461</v>
      </c>
      <c r="S673" s="42" t="n">
        <f aca="false">R673/$K$2</f>
        <v>45.9838219981419</v>
      </c>
      <c r="T673" s="43" t="n">
        <f aca="false">S673-$M$2</f>
        <v>-118.551557370997</v>
      </c>
    </row>
    <row r="674" customFormat="false" ht="15" hidden="false" customHeight="false" outlineLevel="0" collapsed="false">
      <c r="A674" s="5" t="n">
        <v>3</v>
      </c>
      <c r="B674" s="25" t="n">
        <f aca="false">IF(T673&gt;0,B673,D673)</f>
        <v>-0.125</v>
      </c>
      <c r="C674" s="25" t="n">
        <f aca="false">IF(T673&gt;0,D673,C673)</f>
        <v>0.25</v>
      </c>
      <c r="D674" s="41" t="n">
        <f aca="false">(B674+C674)/2</f>
        <v>0.0625</v>
      </c>
      <c r="E674" s="15" t="n">
        <f aca="false">$C$2*(1+IF(E$3&lt;=$O$2,$D674,$D674-($D674-$I$670)*MIN(E$3-$O$2,$Q$2)/$Q$2))</f>
        <v>924.406875</v>
      </c>
      <c r="F674" s="15" t="n">
        <f aca="false">E674*(1+IF(F$3&lt;=$O$2,$D674,$D674-($D674-$I$670)*MIN(F$3-$O$2,$Q$2)/$Q$2))</f>
        <v>982.1823046875</v>
      </c>
      <c r="G674" s="15" t="n">
        <f aca="false">F674*(1+IF(G$3&lt;=$O$2,$D674,$D674-($D674-$I$670)*MIN(G$3-$O$2,$Q$2)/$Q$2))</f>
        <v>1043.56869873047</v>
      </c>
      <c r="H674" s="15" t="n">
        <f aca="false">G674*(1+IF(H$3&lt;=$O$2,$D674,$D674-($D674-$I$670)*MIN(H$3-$O$2,$Q$2)/$Q$2))</f>
        <v>1108.79174240112</v>
      </c>
      <c r="I674" s="15" t="n">
        <f aca="false">H674*(1+IF(I$3&lt;=$O$2,$D674,$D674-($D674-$I$670)*MIN(I$3-$O$2,$Q$2)/$Q$2))</f>
        <v>1178.09122630119</v>
      </c>
      <c r="J674" s="15" t="n">
        <f aca="false">I674*(1+IF(J$3&lt;=$O$2,$D674,$D674-($D674-$I$670)*MIN(J$3-$O$2,$Q$2)/$Q$2))</f>
        <v>1244.84187518342</v>
      </c>
      <c r="K674" s="15" t="n">
        <f aca="false">J674*(1+IF(K$3&lt;=$O$2,$D674,$D674-($D674-$I$670)*MIN(K$3-$O$2,$Q$2)/$Q$2))</f>
        <v>1308.10473928024</v>
      </c>
      <c r="L674" s="15" t="n">
        <f aca="false">K674*(1+IF(L$3&lt;=$O$2,$D674,$D674-($D674-$I$670)*MIN(L$3-$O$2,$Q$2)/$Q$2))</f>
        <v>1366.94329045307</v>
      </c>
      <c r="M674" s="15" t="n">
        <f aca="false">L674*(1+IF(M$3&lt;=$O$2,$D674,$D674-($D674-$I$670)*MIN(M$3-$O$2,$Q$2)/$Q$2))</f>
        <v>1420.4454508414</v>
      </c>
      <c r="N674" s="15" t="n">
        <f aca="false">M674*(1+IF(N$3&lt;=$O$2,$D674,$D674-($D674-$I$670)*MIN(N$3-$O$2,$Q$2)/$Q$2))</f>
        <v>1467.74628435442</v>
      </c>
      <c r="O674" s="15" t="n">
        <f aca="false">SUMPRODUCT(E674:N674,1/(1+$F$670)^$E$3:$N$3)*$E$2</f>
        <v>1683.74890936087</v>
      </c>
      <c r="P674" s="15" t="n">
        <f aca="false">N674*$E$2*(1+$I$670)/($F$670-$I$670)/(1+$F$670)^$N$3</f>
        <v>2700.43059637426</v>
      </c>
      <c r="Q674" s="15" t="n">
        <f aca="false">O674+P674</f>
        <v>4384.17950573513</v>
      </c>
      <c r="R674" s="15" t="n">
        <f aca="false">Q674-$G$2+$I$2</f>
        <v>4551.57950573513</v>
      </c>
      <c r="S674" s="42" t="n">
        <f aca="false">R674/$K$2</f>
        <v>129.342981123476</v>
      </c>
      <c r="T674" s="43" t="n">
        <f aca="false">S674-$M$2</f>
        <v>-35.1923982456627</v>
      </c>
    </row>
    <row r="675" customFormat="false" ht="15" hidden="false" customHeight="false" outlineLevel="0" collapsed="false">
      <c r="A675" s="5" t="n">
        <v>4</v>
      </c>
      <c r="B675" s="25" t="n">
        <f aca="false">IF(T674&gt;0,B674,D674)</f>
        <v>0.0625</v>
      </c>
      <c r="C675" s="25" t="n">
        <f aca="false">IF(T674&gt;0,D674,C674)</f>
        <v>0.25</v>
      </c>
      <c r="D675" s="41" t="n">
        <f aca="false">(B675+C675)/2</f>
        <v>0.15625</v>
      </c>
      <c r="E675" s="15" t="n">
        <f aca="false">$C$2*(1+IF(E$3&lt;=$O$2,$D675,$D675-($D675-$I$670)*MIN(E$3-$O$2,$Q$2)/$Q$2))</f>
        <v>1005.9721875</v>
      </c>
      <c r="F675" s="15" t="n">
        <f aca="false">E675*(1+IF(F$3&lt;=$O$2,$D675,$D675-($D675-$I$670)*MIN(F$3-$O$2,$Q$2)/$Q$2))</f>
        <v>1163.15534179688</v>
      </c>
      <c r="G675" s="15" t="n">
        <f aca="false">F675*(1+IF(G$3&lt;=$O$2,$D675,$D675-($D675-$I$670)*MIN(G$3-$O$2,$Q$2)/$Q$2))</f>
        <v>1344.89836395264</v>
      </c>
      <c r="H675" s="15" t="n">
        <f aca="false">G675*(1+IF(H$3&lt;=$O$2,$D675,$D675-($D675-$I$670)*MIN(H$3-$O$2,$Q$2)/$Q$2))</f>
        <v>1555.03873332024</v>
      </c>
      <c r="I675" s="15" t="n">
        <f aca="false">H675*(1+IF(I$3&lt;=$O$2,$D675,$D675-($D675-$I$670)*MIN(I$3-$O$2,$Q$2)/$Q$2))</f>
        <v>1798.01353540152</v>
      </c>
      <c r="J675" s="15" t="n">
        <f aca="false">I675*(1+IF(J$3&lt;=$O$2,$D675,$D675-($D675-$I$670)*MIN(J$3-$O$2,$Q$2)/$Q$2))</f>
        <v>2034.73999747249</v>
      </c>
      <c r="K675" s="15" t="n">
        <f aca="false">J675*(1+IF(K$3&lt;=$O$2,$D675,$D675-($D675-$I$670)*MIN(K$3-$O$2,$Q$2)/$Q$2))</f>
        <v>2252.59960900187</v>
      </c>
      <c r="L675" s="15" t="n">
        <f aca="false">K675*(1+IF(L$3&lt;=$O$2,$D675,$D675-($D675-$I$670)*MIN(L$3-$O$2,$Q$2)/$Q$2))</f>
        <v>2438.39402475234</v>
      </c>
      <c r="M675" s="15" t="n">
        <f aca="false">L675*(1+IF(M$3&lt;=$O$2,$D675,$D675-($D675-$I$670)*MIN(M$3-$O$2,$Q$2)/$Q$2))</f>
        <v>2579.55265484525</v>
      </c>
      <c r="N675" s="15" t="n">
        <f aca="false">M675*(1+IF(N$3&lt;=$O$2,$D675,$D675-($D675-$I$670)*MIN(N$3-$O$2,$Q$2)/$Q$2))</f>
        <v>2665.4517582516</v>
      </c>
      <c r="O675" s="15" t="n">
        <f aca="false">SUMPRODUCT(E675:N675,1/(1+$F$670)^$E$3:$N$3)*$E$2</f>
        <v>2532.72414822677</v>
      </c>
      <c r="P675" s="15" t="n">
        <f aca="false">N675*$E$2*(1+$I$670)/($F$670-$I$670)/(1+$F$670)^$N$3</f>
        <v>4904.02705008934</v>
      </c>
      <c r="Q675" s="15" t="n">
        <f aca="false">O675+P675</f>
        <v>7436.75119831611</v>
      </c>
      <c r="R675" s="15" t="n">
        <f aca="false">Q675-$G$2+$I$2</f>
        <v>7604.15119831611</v>
      </c>
      <c r="S675" s="42" t="n">
        <f aca="false">R675/$K$2</f>
        <v>216.088411432683</v>
      </c>
      <c r="T675" s="43" t="n">
        <f aca="false">S675-$M$2</f>
        <v>51.553032063544</v>
      </c>
    </row>
    <row r="676" customFormat="false" ht="15" hidden="false" customHeight="false" outlineLevel="0" collapsed="false">
      <c r="A676" s="5" t="n">
        <v>5</v>
      </c>
      <c r="B676" s="25" t="n">
        <f aca="false">IF(T675&gt;0,B675,D675)</f>
        <v>0.0625</v>
      </c>
      <c r="C676" s="25" t="n">
        <f aca="false">IF(T675&gt;0,D675,C675)</f>
        <v>0.15625</v>
      </c>
      <c r="D676" s="41" t="n">
        <f aca="false">(B676+C676)/2</f>
        <v>0.109375</v>
      </c>
      <c r="E676" s="15" t="n">
        <f aca="false">$C$2*(1+IF(E$3&lt;=$O$2,$D676,$D676-($D676-$I$670)*MIN(E$3-$O$2,$Q$2)/$Q$2))</f>
        <v>965.18953125</v>
      </c>
      <c r="F676" s="15" t="n">
        <f aca="false">E676*(1+IF(F$3&lt;=$O$2,$D676,$D676-($D676-$I$670)*MIN(F$3-$O$2,$Q$2)/$Q$2))</f>
        <v>1070.75713623047</v>
      </c>
      <c r="G676" s="15" t="n">
        <f aca="false">F676*(1+IF(G$3&lt;=$O$2,$D676,$D676-($D676-$I$670)*MIN(G$3-$O$2,$Q$2)/$Q$2))</f>
        <v>1187.87119800568</v>
      </c>
      <c r="H676" s="15" t="n">
        <f aca="false">G676*(1+IF(H$3&lt;=$O$2,$D676,$D676-($D676-$I$670)*MIN(H$3-$O$2,$Q$2)/$Q$2))</f>
        <v>1317.79461028755</v>
      </c>
      <c r="I676" s="15" t="n">
        <f aca="false">H676*(1+IF(I$3&lt;=$O$2,$D676,$D676-($D676-$I$670)*MIN(I$3-$O$2,$Q$2)/$Q$2))</f>
        <v>1461.92839578775</v>
      </c>
      <c r="J676" s="15" t="n">
        <f aca="false">I676*(1+IF(J$3&lt;=$O$2,$D676,$D676-($D676-$I$670)*MIN(J$3-$O$2,$Q$2)/$Q$2))</f>
        <v>1599.58357353512</v>
      </c>
      <c r="K676" s="15" t="n">
        <f aca="false">J676*(1+IF(K$3&lt;=$O$2,$D676,$D676-($D676-$I$670)*MIN(K$3-$O$2,$Q$2)/$Q$2))</f>
        <v>1725.86269874785</v>
      </c>
      <c r="L676" s="15" t="n">
        <f aca="false">K676*(1+IF(L$3&lt;=$O$2,$D676,$D676-($D676-$I$670)*MIN(L$3-$O$2,$Q$2)/$Q$2))</f>
        <v>1835.85192853905</v>
      </c>
      <c r="M676" s="15" t="n">
        <f aca="false">L676*(1+IF(M$3&lt;=$O$2,$D676,$D676-($D676-$I$670)*MIN(M$3-$O$2,$Q$2)/$Q$2))</f>
        <v>1924.91828485213</v>
      </c>
      <c r="N676" s="15" t="n">
        <f aca="false">M676*(1+IF(N$3&lt;=$O$2,$D676,$D676-($D676-$I$670)*MIN(N$3-$O$2,$Q$2)/$Q$2))</f>
        <v>1989.0180637377</v>
      </c>
      <c r="O676" s="15" t="n">
        <f aca="false">SUMPRODUCT(E676:N676,1/(1+$F$670)^$E$3:$N$3)*$E$2</f>
        <v>2065.49211446035</v>
      </c>
      <c r="P676" s="15" t="n">
        <f aca="false">N676*$E$2*(1+$I$670)/($F$670-$I$670)/(1+$F$670)^$N$3</f>
        <v>3659.49162557129</v>
      </c>
      <c r="Q676" s="15" t="n">
        <f aca="false">O676+P676</f>
        <v>5724.98374003165</v>
      </c>
      <c r="R676" s="15" t="n">
        <f aca="false">Q676-$G$2+$I$2</f>
        <v>5892.38374003165</v>
      </c>
      <c r="S676" s="42" t="n">
        <f aca="false">R676/$K$2</f>
        <v>167.444834897177</v>
      </c>
      <c r="T676" s="43" t="n">
        <f aca="false">S676-$M$2</f>
        <v>2.90945552803763</v>
      </c>
    </row>
    <row r="677" customFormat="false" ht="15" hidden="false" customHeight="false" outlineLevel="0" collapsed="false">
      <c r="A677" s="5" t="n">
        <v>6</v>
      </c>
      <c r="B677" s="25" t="n">
        <f aca="false">IF(T676&gt;0,B676,D676)</f>
        <v>0.0625</v>
      </c>
      <c r="C677" s="25" t="n">
        <f aca="false">IF(T676&gt;0,D676,C676)</f>
        <v>0.109375</v>
      </c>
      <c r="D677" s="41" t="n">
        <f aca="false">(B677+C677)/2</f>
        <v>0.0859375</v>
      </c>
      <c r="E677" s="15" t="n">
        <f aca="false">$C$2*(1+IF(E$3&lt;=$O$2,$D677,$D677-($D677-$I$670)*MIN(E$3-$O$2,$Q$2)/$Q$2))</f>
        <v>944.798203125</v>
      </c>
      <c r="F677" s="15" t="n">
        <f aca="false">E677*(1+IF(F$3&lt;=$O$2,$D677,$D677-($D677-$I$670)*MIN(F$3-$O$2,$Q$2)/$Q$2))</f>
        <v>1025.99179870605</v>
      </c>
      <c r="G677" s="15" t="n">
        <f aca="false">F677*(1+IF(G$3&lt;=$O$2,$D677,$D677-($D677-$I$670)*MIN(G$3-$O$2,$Q$2)/$Q$2))</f>
        <v>1114.16296890736</v>
      </c>
      <c r="H677" s="15" t="n">
        <f aca="false">G677*(1+IF(H$3&lt;=$O$2,$D677,$D677-($D677-$I$670)*MIN(H$3-$O$2,$Q$2)/$Q$2))</f>
        <v>1209.91134904783</v>
      </c>
      <c r="I677" s="15" t="n">
        <f aca="false">H677*(1+IF(I$3&lt;=$O$2,$D677,$D677-($D677-$I$670)*MIN(I$3-$O$2,$Q$2)/$Q$2))</f>
        <v>1313.88810560663</v>
      </c>
      <c r="J677" s="15" t="n">
        <f aca="false">I677*(1+IF(J$3&lt;=$O$2,$D677,$D677-($D677-$I$670)*MIN(J$3-$O$2,$Q$2)/$Q$2))</f>
        <v>1412.96840765043</v>
      </c>
      <c r="K677" s="15" t="n">
        <f aca="false">J677*(1+IF(K$3&lt;=$O$2,$D677,$D677-($D677-$I$670)*MIN(K$3-$O$2,$Q$2)/$Q$2))</f>
        <v>1504.6453303598</v>
      </c>
      <c r="L677" s="15" t="n">
        <f aca="false">K677*(1+IF(L$3&lt;=$O$2,$D677,$D677-($D677-$I$670)*MIN(L$3-$O$2,$Q$2)/$Q$2))</f>
        <v>1586.43032729151</v>
      </c>
      <c r="M677" s="15" t="n">
        <f aca="false">L677*(1+IF(M$3&lt;=$O$2,$D677,$D677-($D677-$I$670)*MIN(M$3-$O$2,$Q$2)/$Q$2))</f>
        <v>1655.95960246088</v>
      </c>
      <c r="N677" s="15" t="n">
        <f aca="false">M677*(1+IF(N$3&lt;=$O$2,$D677,$D677-($D677-$I$670)*MIN(N$3-$O$2,$Q$2)/$Q$2))</f>
        <v>1711.10305722283</v>
      </c>
      <c r="O677" s="15" t="n">
        <f aca="false">SUMPRODUCT(E677:N677,1/(1+$F$670)^$E$3:$N$3)*$E$2</f>
        <v>1864.90990805679</v>
      </c>
      <c r="P677" s="15" t="n">
        <f aca="false">N677*$E$2*(1+$I$670)/($F$670-$I$670)/(1+$F$670)^$N$3</f>
        <v>3148.1701561973</v>
      </c>
      <c r="Q677" s="15" t="n">
        <f aca="false">O677+P677</f>
        <v>5013.08006425409</v>
      </c>
      <c r="R677" s="15" t="n">
        <f aca="false">Q677-$G$2+$I$2</f>
        <v>5180.4800642541</v>
      </c>
      <c r="S677" s="42" t="n">
        <f aca="false">R677/$K$2</f>
        <v>147.21455141387</v>
      </c>
      <c r="T677" s="43" t="n">
        <f aca="false">S677-$M$2</f>
        <v>-17.3208279552687</v>
      </c>
    </row>
    <row r="678" customFormat="false" ht="15" hidden="false" customHeight="false" outlineLevel="0" collapsed="false">
      <c r="A678" s="5" t="n">
        <v>7</v>
      </c>
      <c r="B678" s="25" t="n">
        <f aca="false">IF(T677&gt;0,B677,D677)</f>
        <v>0.0859375</v>
      </c>
      <c r="C678" s="25" t="n">
        <f aca="false">IF(T677&gt;0,D677,C677)</f>
        <v>0.109375</v>
      </c>
      <c r="D678" s="41" t="n">
        <f aca="false">(B678+C678)/2</f>
        <v>0.09765625</v>
      </c>
      <c r="E678" s="15" t="n">
        <f aca="false">$C$2*(1+IF(E$3&lt;=$O$2,$D678,$D678-($D678-$I$670)*MIN(E$3-$O$2,$Q$2)/$Q$2))</f>
        <v>954.9938671875</v>
      </c>
      <c r="F678" s="15" t="n">
        <f aca="false">E678*(1+IF(F$3&lt;=$O$2,$D678,$D678-($D678-$I$670)*MIN(F$3-$O$2,$Q$2)/$Q$2))</f>
        <v>1048.25498703003</v>
      </c>
      <c r="G678" s="15" t="n">
        <f aca="false">F678*(1+IF(G$3&lt;=$O$2,$D678,$D678-($D678-$I$670)*MIN(G$3-$O$2,$Q$2)/$Q$2))</f>
        <v>1150.62363810718</v>
      </c>
      <c r="H678" s="15" t="n">
        <f aca="false">G678*(1+IF(H$3&lt;=$O$2,$D678,$D678-($D678-$I$670)*MIN(H$3-$O$2,$Q$2)/$Q$2))</f>
        <v>1262.98922776609</v>
      </c>
      <c r="I678" s="15" t="n">
        <f aca="false">H678*(1+IF(I$3&lt;=$O$2,$D678,$D678-($D678-$I$670)*MIN(I$3-$O$2,$Q$2)/$Q$2))</f>
        <v>1386.32801954012</v>
      </c>
      <c r="J678" s="15" t="n">
        <f aca="false">I678*(1+IF(J$3&lt;=$O$2,$D678,$D678-($D678-$I$670)*MIN(J$3-$O$2,$Q$2)/$Q$2))</f>
        <v>1503.86784067683</v>
      </c>
      <c r="K678" s="15" t="n">
        <f aca="false">J678*(1+IF(K$3&lt;=$O$2,$D678,$D678-($D678-$I$670)*MIN(K$3-$O$2,$Q$2)/$Q$2))</f>
        <v>1612.0166166043</v>
      </c>
      <c r="L678" s="15" t="n">
        <f aca="false">K678*(1+IF(L$3&lt;=$O$2,$D678,$D678-($D678-$I$670)*MIN(L$3-$O$2,$Q$2)/$Q$2))</f>
        <v>1707.19410769016</v>
      </c>
      <c r="M678" s="15" t="n">
        <f aca="false">L678*(1+IF(M$3&lt;=$O$2,$D678,$D678-($D678-$I$670)*MIN(M$3-$O$2,$Q$2)/$Q$2))</f>
        <v>1786.01739363485</v>
      </c>
      <c r="N678" s="15" t="n">
        <f aca="false">M678*(1+IF(N$3&lt;=$O$2,$D678,$D678-($D678-$I$670)*MIN(N$3-$O$2,$Q$2)/$Q$2))</f>
        <v>1845.49177284289</v>
      </c>
      <c r="O678" s="15" t="n">
        <f aca="false">SUMPRODUCT(E678:N678,1/(1+$F$670)^$E$3:$N$3)*$E$2</f>
        <v>1962.65757101816</v>
      </c>
      <c r="P678" s="15" t="n">
        <f aca="false">N678*$E$2*(1+$I$670)/($F$670-$I$670)/(1+$F$670)^$N$3</f>
        <v>3395.42501443561</v>
      </c>
      <c r="Q678" s="15" t="n">
        <f aca="false">O678+P678</f>
        <v>5358.08258545377</v>
      </c>
      <c r="R678" s="15" t="n">
        <f aca="false">Q678-$G$2+$I$2</f>
        <v>5525.48258545377</v>
      </c>
      <c r="S678" s="42" t="n">
        <f aca="false">R678/$K$2</f>
        <v>157.018544627842</v>
      </c>
      <c r="T678" s="43" t="n">
        <f aca="false">S678-$M$2</f>
        <v>-7.51683474129669</v>
      </c>
    </row>
    <row r="679" customFormat="false" ht="15" hidden="false" customHeight="false" outlineLevel="0" collapsed="false">
      <c r="A679" s="5" t="n">
        <v>8</v>
      </c>
      <c r="B679" s="25" t="n">
        <f aca="false">IF(T678&gt;0,B678,D678)</f>
        <v>0.09765625</v>
      </c>
      <c r="C679" s="25" t="n">
        <f aca="false">IF(T678&gt;0,D678,C678)</f>
        <v>0.109375</v>
      </c>
      <c r="D679" s="41" t="n">
        <f aca="false">(B679+C679)/2</f>
        <v>0.103515625</v>
      </c>
      <c r="E679" s="15" t="n">
        <f aca="false">$C$2*(1+IF(E$3&lt;=$O$2,$D679,$D679-($D679-$I$670)*MIN(E$3-$O$2,$Q$2)/$Q$2))</f>
        <v>960.09169921875</v>
      </c>
      <c r="F679" s="15" t="n">
        <f aca="false">E679*(1+IF(F$3&lt;=$O$2,$D679,$D679-($D679-$I$670)*MIN(F$3-$O$2,$Q$2)/$Q$2))</f>
        <v>1059.47619152069</v>
      </c>
      <c r="G679" s="15" t="n">
        <f aca="false">F679*(1+IF(G$3&lt;=$O$2,$D679,$D679-($D679-$I$670)*MIN(G$3-$O$2,$Q$2)/$Q$2))</f>
        <v>1169.14853165858</v>
      </c>
      <c r="H679" s="15" t="n">
        <f aca="false">G679*(1+IF(H$3&lt;=$O$2,$D679,$D679-($D679-$I$670)*MIN(H$3-$O$2,$Q$2)/$Q$2))</f>
        <v>1290.17367263104</v>
      </c>
      <c r="I679" s="15" t="n">
        <f aca="false">H679*(1+IF(I$3&lt;=$O$2,$D679,$D679-($D679-$I$670)*MIN(I$3-$O$2,$Q$2)/$Q$2))</f>
        <v>1423.72680671199</v>
      </c>
      <c r="J679" s="15" t="n">
        <f aca="false">I679*(1+IF(J$3&lt;=$O$2,$D679,$D679-($D679-$I$670)*MIN(J$3-$O$2,$Q$2)/$Q$2))</f>
        <v>1551.11120342553</v>
      </c>
      <c r="K679" s="15" t="n">
        <f aca="false">J679*(1+IF(K$3&lt;=$O$2,$D679,$D679-($D679-$I$670)*MIN(K$3-$O$2,$Q$2)/$Q$2))</f>
        <v>1668.11055205542</v>
      </c>
      <c r="L679" s="15" t="n">
        <f aca="false">K679*(1+IF(L$3&lt;=$O$2,$D679,$D679-($D679-$I$670)*MIN(L$3-$O$2,$Q$2)/$Q$2))</f>
        <v>1770.50960343153</v>
      </c>
      <c r="M679" s="15" t="n">
        <f aca="false">L679*(1+IF(M$3&lt;=$O$2,$D679,$D679-($D679-$I$670)*MIN(M$3-$O$2,$Q$2)/$Q$2))</f>
        <v>1854.33106090049</v>
      </c>
      <c r="N679" s="15" t="n">
        <f aca="false">M679*(1+IF(N$3&lt;=$O$2,$D679,$D679-($D679-$I$670)*MIN(N$3-$O$2,$Q$2)/$Q$2))</f>
        <v>1916.08028522847</v>
      </c>
      <c r="O679" s="15" t="n">
        <f aca="false">SUMPRODUCT(E679:N679,1/(1+$F$670)^$E$3:$N$3)*$E$2</f>
        <v>2013.42398722202</v>
      </c>
      <c r="P679" s="15" t="n">
        <f aca="false">N679*$E$2*(1+$I$670)/($F$670-$I$670)/(1+$F$670)^$N$3</f>
        <v>3525.29717328929</v>
      </c>
      <c r="Q679" s="15" t="n">
        <f aca="false">O679+P679</f>
        <v>5538.72116051131</v>
      </c>
      <c r="R679" s="15" t="n">
        <f aca="false">Q679-$G$2+$I$2</f>
        <v>5706.12116051131</v>
      </c>
      <c r="S679" s="42" t="n">
        <f aca="false">R679/$K$2</f>
        <v>162.151780634024</v>
      </c>
      <c r="T679" s="43" t="n">
        <f aca="false">S679-$M$2</f>
        <v>-2.38359873511487</v>
      </c>
    </row>
    <row r="680" customFormat="false" ht="15" hidden="false" customHeight="false" outlineLevel="0" collapsed="false">
      <c r="A680" s="5" t="n">
        <v>9</v>
      </c>
      <c r="B680" s="25" t="n">
        <f aca="false">IF(T679&gt;0,B679,D679)</f>
        <v>0.103515625</v>
      </c>
      <c r="C680" s="25" t="n">
        <f aca="false">IF(T679&gt;0,D679,C679)</f>
        <v>0.109375</v>
      </c>
      <c r="D680" s="41" t="n">
        <f aca="false">(B680+C680)/2</f>
        <v>0.1064453125</v>
      </c>
      <c r="E680" s="15" t="n">
        <f aca="false">$C$2*(1+IF(E$3&lt;=$O$2,$D680,$D680-($D680-$I$670)*MIN(E$3-$O$2,$Q$2)/$Q$2))</f>
        <v>962.640615234375</v>
      </c>
      <c r="F680" s="15" t="n">
        <f aca="false">E680*(1+IF(F$3&lt;=$O$2,$D680,$D680-($D680-$I$670)*MIN(F$3-$O$2,$Q$2)/$Q$2))</f>
        <v>1065.10919634819</v>
      </c>
      <c r="G680" s="15" t="n">
        <f aca="false">F680*(1+IF(G$3&lt;=$O$2,$D680,$D680-($D680-$I$670)*MIN(G$3-$O$2,$Q$2)/$Q$2))</f>
        <v>1178.4850776001</v>
      </c>
      <c r="H680" s="15" t="n">
        <f aca="false">G680*(1+IF(H$3&lt;=$O$2,$D680,$D680-($D680-$I$670)*MIN(H$3-$O$2,$Q$2)/$Q$2))</f>
        <v>1303.92928996183</v>
      </c>
      <c r="I680" s="15" t="n">
        <f aca="false">H680*(1+IF(I$3&lt;=$O$2,$D680,$D680-($D680-$I$670)*MIN(I$3-$O$2,$Q$2)/$Q$2))</f>
        <v>1442.72645070972</v>
      </c>
      <c r="J680" s="15" t="n">
        <f aca="false">I680*(1+IF(J$3&lt;=$O$2,$D680,$D680-($D680-$I$670)*MIN(J$3-$O$2,$Q$2)/$Q$2))</f>
        <v>1575.19218318969</v>
      </c>
      <c r="K680" s="15" t="n">
        <f aca="false">J680*(1+IF(K$3&lt;=$O$2,$D680,$D680-($D680-$I$670)*MIN(K$3-$O$2,$Q$2)/$Q$2))</f>
        <v>1696.77683758209</v>
      </c>
      <c r="L680" s="15" t="n">
        <f aca="false">K680*(1+IF(L$3&lt;=$O$2,$D680,$D680-($D680-$I$670)*MIN(L$3-$O$2,$Q$2)/$Q$2))</f>
        <v>1802.92401508465</v>
      </c>
      <c r="M680" s="15" t="n">
        <f aca="false">L680*(1+IF(M$3&lt;=$O$2,$D680,$D680-($D680-$I$670)*MIN(M$3-$O$2,$Q$2)/$Q$2))</f>
        <v>1889.3364728864</v>
      </c>
      <c r="N680" s="15" t="n">
        <f aca="false">M680*(1+IF(N$3&lt;=$O$2,$D680,$D680-($D680-$I$670)*MIN(N$3-$O$2,$Q$2)/$Q$2))</f>
        <v>1952.25137743352</v>
      </c>
      <c r="O680" s="15" t="n">
        <f aca="false">SUMPRODUCT(E680:N680,1/(1+$F$670)^$E$3:$N$3)*$E$2</f>
        <v>2039.29342909079</v>
      </c>
      <c r="P680" s="15" t="n">
        <f aca="false">N680*$E$2*(1+$I$670)/($F$670-$I$670)/(1+$F$670)^$N$3</f>
        <v>3591.84649801657</v>
      </c>
      <c r="Q680" s="15" t="n">
        <f aca="false">O680+P680</f>
        <v>5631.13992710736</v>
      </c>
      <c r="R680" s="15" t="n">
        <f aca="false">Q680-$G$2+$I$2</f>
        <v>5798.53992710736</v>
      </c>
      <c r="S680" s="42" t="n">
        <f aca="false">R680/$K$2</f>
        <v>164.778059878015</v>
      </c>
      <c r="T680" s="43" t="n">
        <f aca="false">S680-$M$2</f>
        <v>0.242680508876418</v>
      </c>
    </row>
    <row r="681" customFormat="false" ht="15" hidden="false" customHeight="false" outlineLevel="0" collapsed="false">
      <c r="A681" s="5" t="n">
        <v>10</v>
      </c>
      <c r="B681" s="25" t="n">
        <f aca="false">IF(T680&gt;0,B680,D680)</f>
        <v>0.103515625</v>
      </c>
      <c r="C681" s="25" t="n">
        <f aca="false">IF(T680&gt;0,D680,C680)</f>
        <v>0.1064453125</v>
      </c>
      <c r="D681" s="41" t="n">
        <f aca="false">(B681+C681)/2</f>
        <v>0.10498046875</v>
      </c>
      <c r="E681" s="15" t="n">
        <f aca="false">$C$2*(1+IF(E$3&lt;=$O$2,$D681,$D681-($D681-$I$670)*MIN(E$3-$O$2,$Q$2)/$Q$2))</f>
        <v>961.366157226562</v>
      </c>
      <c r="F681" s="15" t="n">
        <f aca="false">E681*(1+IF(F$3&lt;=$O$2,$D681,$D681-($D681-$I$670)*MIN(F$3-$O$2,$Q$2)/$Q$2))</f>
        <v>1062.29082705259</v>
      </c>
      <c r="G681" s="15" t="n">
        <f aca="false">F681*(1+IF(G$3&lt;=$O$2,$D681,$D681-($D681-$I$670)*MIN(G$3-$O$2,$Q$2)/$Q$2))</f>
        <v>1173.8106160254</v>
      </c>
      <c r="H681" s="15" t="n">
        <f aca="false">G681*(1+IF(H$3&lt;=$O$2,$D681,$D681-($D681-$I$670)*MIN(H$3-$O$2,$Q$2)/$Q$2))</f>
        <v>1297.03780471947</v>
      </c>
      <c r="I681" s="15" t="n">
        <f aca="false">H681*(1+IF(I$3&lt;=$O$2,$D681,$D681-($D681-$I$670)*MIN(I$3-$O$2,$Q$2)/$Q$2))</f>
        <v>1433.20144144539</v>
      </c>
      <c r="J681" s="15" t="n">
        <f aca="false">I681*(1+IF(J$3&lt;=$O$2,$D681,$D681-($D681-$I$670)*MIN(J$3-$O$2,$Q$2)/$Q$2))</f>
        <v>1563.11309035431</v>
      </c>
      <c r="K681" s="15" t="n">
        <f aca="false">J681*(1+IF(K$3&lt;=$O$2,$D681,$D681-($D681-$I$670)*MIN(K$3-$O$2,$Q$2)/$Q$2))</f>
        <v>1682.39156367862</v>
      </c>
      <c r="L681" s="15" t="n">
        <f aca="false">K681*(1+IF(L$3&lt;=$O$2,$D681,$D681-($D681-$I$670)*MIN(L$3-$O$2,$Q$2)/$Q$2))</f>
        <v>1786.65304911133</v>
      </c>
      <c r="M681" s="15" t="n">
        <f aca="false">L681*(1+IF(M$3&lt;=$O$2,$D681,$D681-($D681-$I$670)*MIN(M$3-$O$2,$Q$2)/$Q$2))</f>
        <v>1871.76222125752</v>
      </c>
      <c r="N681" s="15" t="n">
        <f aca="false">M681*(1+IF(N$3&lt;=$O$2,$D681,$D681-($D681-$I$670)*MIN(N$3-$O$2,$Q$2)/$Q$2))</f>
        <v>1934.0919032254</v>
      </c>
      <c r="O681" s="15" t="n">
        <f aca="false">SUMPRODUCT(E681:N681,1/(1+$F$670)^$E$3:$N$3)*$E$2</f>
        <v>2026.31779271175</v>
      </c>
      <c r="P681" s="15" t="n">
        <f aca="false">N681*$E$2*(1+$I$670)/($F$670-$I$670)/(1+$F$670)^$N$3</f>
        <v>3558.43581914898</v>
      </c>
      <c r="Q681" s="15" t="n">
        <f aca="false">O681+P681</f>
        <v>5584.75361186073</v>
      </c>
      <c r="R681" s="15" t="n">
        <f aca="false">Q681-$G$2+$I$2</f>
        <v>5752.15361186073</v>
      </c>
      <c r="S681" s="42" t="n">
        <f aca="false">R681/$K$2</f>
        <v>163.459892351825</v>
      </c>
      <c r="T681" s="43" t="n">
        <f aca="false">S681-$M$2</f>
        <v>-1.07548701731375</v>
      </c>
    </row>
    <row r="682" customFormat="false" ht="15" hidden="false" customHeight="false" outlineLevel="0" collapsed="false">
      <c r="A682" s="5" t="n">
        <v>11</v>
      </c>
      <c r="B682" s="25" t="n">
        <f aca="false">IF(T681&gt;0,B681,D681)</f>
        <v>0.10498046875</v>
      </c>
      <c r="C682" s="25" t="n">
        <f aca="false">IF(T681&gt;0,D681,C681)</f>
        <v>0.1064453125</v>
      </c>
      <c r="D682" s="41" t="n">
        <f aca="false">(B682+C682)/2</f>
        <v>0.105712890625</v>
      </c>
      <c r="E682" s="15" t="n">
        <f aca="false">$C$2*(1+IF(E$3&lt;=$O$2,$D682,$D682-($D682-$I$670)*MIN(E$3-$O$2,$Q$2)/$Q$2))</f>
        <v>962.003386230469</v>
      </c>
      <c r="F682" s="15" t="n">
        <f aca="false">E682*(1+IF(F$3&lt;=$O$2,$D682,$D682-($D682-$I$670)*MIN(F$3-$O$2,$Q$2)/$Q$2))</f>
        <v>1063.69954497993</v>
      </c>
      <c r="G682" s="15" t="n">
        <f aca="false">F682*(1+IF(G$3&lt;=$O$2,$D682,$D682-($D682-$I$670)*MIN(G$3-$O$2,$Q$2)/$Q$2))</f>
        <v>1176.14629863626</v>
      </c>
      <c r="H682" s="15" t="n">
        <f aca="false">G682*(1+IF(H$3&lt;=$O$2,$D682,$D682-($D682-$I$670)*MIN(H$3-$O$2,$Q$2)/$Q$2))</f>
        <v>1300.48012366299</v>
      </c>
      <c r="I682" s="15" t="n">
        <f aca="false">H682*(1+IF(I$3&lt;=$O$2,$D682,$D682-($D682-$I$670)*MIN(I$3-$O$2,$Q$2)/$Q$2))</f>
        <v>1437.95763673576</v>
      </c>
      <c r="J682" s="15" t="n">
        <f aca="false">I682*(1+IF(J$3&lt;=$O$2,$D682,$D682-($D682-$I$670)*MIN(J$3-$O$2,$Q$2)/$Q$2))</f>
        <v>1569.14296129693</v>
      </c>
      <c r="K682" s="15" t="n">
        <f aca="false">J682*(1+IF(K$3&lt;=$O$2,$D682,$D682-($D682-$I$670)*MIN(K$3-$O$2,$Q$2)/$Q$2))</f>
        <v>1689.57112848694</v>
      </c>
      <c r="L682" s="15" t="n">
        <f aca="false">K682*(1+IF(L$3&lt;=$O$2,$D682,$D682-($D682-$I$670)*MIN(L$3-$O$2,$Q$2)/$Q$2))</f>
        <v>1794.77253879767</v>
      </c>
      <c r="M682" s="15" t="n">
        <f aca="false">L682*(1+IF(M$3&lt;=$O$2,$D682,$D682-($D682-$I$670)*MIN(M$3-$O$2,$Q$2)/$Q$2))</f>
        <v>1880.53139784938</v>
      </c>
      <c r="N682" s="15" t="n">
        <f aca="false">M682*(1+IF(N$3&lt;=$O$2,$D682,$D682-($D682-$I$670)*MIN(N$3-$O$2,$Q$2)/$Q$2))</f>
        <v>1943.15309339776</v>
      </c>
      <c r="O682" s="15" t="n">
        <f aca="false">SUMPRODUCT(E682:N682,1/(1+$F$670)^$E$3:$N$3)*$E$2</f>
        <v>2032.79535213573</v>
      </c>
      <c r="P682" s="15" t="n">
        <f aca="false">N682*$E$2*(1+$I$670)/($F$670-$I$670)/(1+$F$670)^$N$3</f>
        <v>3575.10703504088</v>
      </c>
      <c r="Q682" s="15" t="n">
        <f aca="false">O682+P682</f>
        <v>5607.90238717662</v>
      </c>
      <c r="R682" s="15" t="n">
        <f aca="false">Q682-$G$2+$I$2</f>
        <v>5775.30238717662</v>
      </c>
      <c r="S682" s="42" t="n">
        <f aca="false">R682/$K$2</f>
        <v>164.117714895613</v>
      </c>
      <c r="T682" s="43" t="n">
        <f aca="false">S682-$M$2</f>
        <v>-0.417664473526088</v>
      </c>
    </row>
    <row r="683" customFormat="false" ht="15" hidden="false" customHeight="false" outlineLevel="0" collapsed="false">
      <c r="A683" s="5" t="n">
        <v>12</v>
      </c>
      <c r="B683" s="25" t="n">
        <f aca="false">IF(T682&gt;0,B682,D682)</f>
        <v>0.105712890625</v>
      </c>
      <c r="C683" s="25" t="n">
        <f aca="false">IF(T682&gt;0,D682,C682)</f>
        <v>0.1064453125</v>
      </c>
      <c r="D683" s="41" t="n">
        <f aca="false">(B683+C683)/2</f>
        <v>0.1060791015625</v>
      </c>
      <c r="E683" s="15" t="n">
        <f aca="false">$C$2*(1+IF(E$3&lt;=$O$2,$D683,$D683-($D683-$I$670)*MIN(E$3-$O$2,$Q$2)/$Q$2))</f>
        <v>962.322000732422</v>
      </c>
      <c r="F683" s="15" t="n">
        <f aca="false">E683*(1+IF(F$3&lt;=$O$2,$D683,$D683-($D683-$I$670)*MIN(F$3-$O$2,$Q$2)/$Q$2))</f>
        <v>1064.40425398394</v>
      </c>
      <c r="G683" s="15" t="n">
        <f aca="false">F683*(1+IF(G$3&lt;=$O$2,$D683,$D683-($D683-$I$670)*MIN(G$3-$O$2,$Q$2)/$Q$2))</f>
        <v>1177.31530094586</v>
      </c>
      <c r="H683" s="15" t="n">
        <f aca="false">G683*(1+IF(H$3&lt;=$O$2,$D683,$D683-($D683-$I$670)*MIN(H$3-$O$2,$Q$2)/$Q$2))</f>
        <v>1302.20385032599</v>
      </c>
      <c r="I683" s="15" t="n">
        <f aca="false">H683*(1+IF(I$3&lt;=$O$2,$D683,$D683-($D683-$I$670)*MIN(I$3-$O$2,$Q$2)/$Q$2))</f>
        <v>1440.3404648198</v>
      </c>
      <c r="J683" s="15" t="n">
        <f aca="false">I683*(1+IF(J$3&lt;=$O$2,$D683,$D683-($D683-$I$670)*MIN(J$3-$O$2,$Q$2)/$Q$2))</f>
        <v>1572.16515027725</v>
      </c>
      <c r="K683" s="15" t="n">
        <f aca="false">J683*(1+IF(K$3&lt;=$O$2,$D683,$D683-($D683-$I$670)*MIN(K$3-$O$2,$Q$2)/$Q$2))</f>
        <v>1693.17071006852</v>
      </c>
      <c r="L683" s="15" t="n">
        <f aca="false">K683*(1+IF(L$3&lt;=$O$2,$D683,$D683-($D683-$I$670)*MIN(L$3-$O$2,$Q$2)/$Q$2))</f>
        <v>1798.84427194209</v>
      </c>
      <c r="M683" s="15" t="n">
        <f aca="false">L683*(1+IF(M$3&lt;=$O$2,$D683,$D683-($D683-$I$670)*MIN(M$3-$O$2,$Q$2)/$Q$2))</f>
        <v>1884.92944019032</v>
      </c>
      <c r="N683" s="15" t="n">
        <f aca="false">M683*(1+IF(N$3&lt;=$O$2,$D683,$D683-($D683-$I$670)*MIN(N$3-$O$2,$Q$2)/$Q$2))</f>
        <v>1947.69759054866</v>
      </c>
      <c r="O683" s="15" t="n">
        <f aca="false">SUMPRODUCT(E683:N683,1/(1+$F$670)^$E$3:$N$3)*$E$2</f>
        <v>2036.04182217556</v>
      </c>
      <c r="P683" s="15" t="n">
        <f aca="false">N683*$E$2*(1+$I$670)/($F$670-$I$670)/(1+$F$670)^$N$3</f>
        <v>3583.46822067782</v>
      </c>
      <c r="Q683" s="15" t="n">
        <f aca="false">O683+P683</f>
        <v>5619.51004285338</v>
      </c>
      <c r="R683" s="15" t="n">
        <f aca="false">Q683-$G$2+$I$2</f>
        <v>5786.91004285338</v>
      </c>
      <c r="S683" s="42" t="n">
        <f aca="false">R683/$K$2</f>
        <v>164.447571550252</v>
      </c>
      <c r="T683" s="43" t="n">
        <f aca="false">S683-$M$2</f>
        <v>-0.0878078188866027</v>
      </c>
    </row>
    <row r="684" customFormat="false" ht="15" hidden="false" customHeight="false" outlineLevel="0" collapsed="false">
      <c r="A684" s="5" t="n">
        <v>13</v>
      </c>
      <c r="B684" s="25" t="n">
        <f aca="false">IF(T683&gt;0,B683,D683)</f>
        <v>0.1060791015625</v>
      </c>
      <c r="C684" s="25" t="n">
        <f aca="false">IF(T683&gt;0,D683,C683)</f>
        <v>0.1064453125</v>
      </c>
      <c r="D684" s="41" t="n">
        <f aca="false">(B684+C684)/2</f>
        <v>0.10626220703125</v>
      </c>
      <c r="E684" s="15" t="n">
        <f aca="false">$C$2*(1+IF(E$3&lt;=$O$2,$D684,$D684-($D684-$I$670)*MIN(E$3-$O$2,$Q$2)/$Q$2))</f>
        <v>962.481307983398</v>
      </c>
      <c r="F684" s="15" t="n">
        <f aca="false">E684*(1+IF(F$3&lt;=$O$2,$D684,$D684-($D684-$I$670)*MIN(F$3-$O$2,$Q$2)/$Q$2))</f>
        <v>1064.75669599604</v>
      </c>
      <c r="G684" s="15" t="n">
        <f aca="false">F684*(1+IF(G$3&lt;=$O$2,$D684,$D684-($D684-$I$670)*MIN(G$3-$O$2,$Q$2)/$Q$2))</f>
        <v>1177.90009246388</v>
      </c>
      <c r="H684" s="15" t="n">
        <f aca="false">G684*(1+IF(H$3&lt;=$O$2,$D684,$D684-($D684-$I$670)*MIN(H$3-$O$2,$Q$2)/$Q$2))</f>
        <v>1303.0663559514</v>
      </c>
      <c r="I684" s="15" t="n">
        <f aca="false">H684*(1+IF(I$3&lt;=$O$2,$D684,$D684-($D684-$I$670)*MIN(I$3-$O$2,$Q$2)/$Q$2))</f>
        <v>1441.53306284297</v>
      </c>
      <c r="J684" s="15" t="n">
        <f aca="false">I684*(1+IF(J$3&lt;=$O$2,$D684,$D684-($D684-$I$670)*MIN(J$3-$O$2,$Q$2)/$Q$2))</f>
        <v>1573.67806085447</v>
      </c>
      <c r="K684" s="15" t="n">
        <f aca="false">J684*(1+IF(K$3&lt;=$O$2,$D684,$D684-($D684-$I$670)*MIN(K$3-$O$2,$Q$2)/$Q$2))</f>
        <v>1694.97295496689</v>
      </c>
      <c r="L684" s="15" t="n">
        <f aca="false">K684*(1+IF(L$3&lt;=$O$2,$D684,$D684-($D684-$I$670)*MIN(L$3-$O$2,$Q$2)/$Q$2))</f>
        <v>1800.88314142835</v>
      </c>
      <c r="M684" s="15" t="n">
        <f aca="false">L684*(1+IF(M$3&lt;=$O$2,$D684,$D684-($D684-$I$670)*MIN(M$3-$O$2,$Q$2)/$Q$2))</f>
        <v>1887.13183175871</v>
      </c>
      <c r="N684" s="15" t="n">
        <f aca="false">M684*(1+IF(N$3&lt;=$O$2,$D684,$D684-($D684-$I$670)*MIN(N$3-$O$2,$Q$2)/$Q$2))</f>
        <v>1949.97332175628</v>
      </c>
      <c r="O684" s="15" t="n">
        <f aca="false">SUMPRODUCT(E684:N684,1/(1+$F$670)^$E$3:$N$3)*$E$2</f>
        <v>2037.66698305494</v>
      </c>
      <c r="P684" s="15" t="n">
        <f aca="false">N684*$E$2*(1+$I$670)/($F$670-$I$670)/(1+$F$670)^$N$3</f>
        <v>3587.65522101139</v>
      </c>
      <c r="Q684" s="15" t="n">
        <f aca="false">O684+P684</f>
        <v>5625.32220406633</v>
      </c>
      <c r="R684" s="15" t="n">
        <f aca="false">Q684-$G$2+$I$2</f>
        <v>5792.72220406633</v>
      </c>
      <c r="S684" s="42" t="n">
        <f aca="false">R684/$K$2</f>
        <v>164.612736688444</v>
      </c>
      <c r="T684" s="43" t="n">
        <f aca="false">S684-$M$2</f>
        <v>0.0773573193044967</v>
      </c>
    </row>
    <row r="685" customFormat="false" ht="15" hidden="false" customHeight="false" outlineLevel="0" collapsed="false">
      <c r="A685" s="5" t="n">
        <v>14</v>
      </c>
      <c r="B685" s="25" t="n">
        <f aca="false">IF(T684&gt;0,B684,D684)</f>
        <v>0.1060791015625</v>
      </c>
      <c r="C685" s="25" t="n">
        <f aca="false">IF(T684&gt;0,D684,C684)</f>
        <v>0.10626220703125</v>
      </c>
      <c r="D685" s="41" t="n">
        <f aca="false">(B685+C685)/2</f>
        <v>0.106170654296875</v>
      </c>
      <c r="E685" s="15" t="n">
        <f aca="false">$C$2*(1+IF(E$3&lt;=$O$2,$D685,$D685-($D685-$I$670)*MIN(E$3-$O$2,$Q$2)/$Q$2))</f>
        <v>962.40165435791</v>
      </c>
      <c r="F685" s="15" t="n">
        <f aca="false">E685*(1+IF(F$3&lt;=$O$2,$D685,$D685-($D685-$I$670)*MIN(F$3-$O$2,$Q$2)/$Q$2))</f>
        <v>1064.58046769748</v>
      </c>
      <c r="G685" s="15" t="n">
        <f aca="false">F685*(1+IF(G$3&lt;=$O$2,$D685,$D685-($D685-$I$670)*MIN(G$3-$O$2,$Q$2)/$Q$2))</f>
        <v>1177.6076725046</v>
      </c>
      <c r="H685" s="15" t="n">
        <f aca="false">G685*(1+IF(H$3&lt;=$O$2,$D685,$D685-($D685-$I$670)*MIN(H$3-$O$2,$Q$2)/$Q$2))</f>
        <v>1302.63504959943</v>
      </c>
      <c r="I685" s="15" t="n">
        <f aca="false">H685*(1+IF(I$3&lt;=$O$2,$D685,$D685-($D685-$I$670)*MIN(I$3-$O$2,$Q$2)/$Q$2))</f>
        <v>1440.93666512545</v>
      </c>
      <c r="J685" s="15" t="n">
        <f aca="false">I685*(1+IF(J$3&lt;=$O$2,$D685,$D685-($D685-$I$670)*MIN(J$3-$O$2,$Q$2)/$Q$2))</f>
        <v>1572.92145414456</v>
      </c>
      <c r="K685" s="15" t="n">
        <f aca="false">J685*(1+IF(K$3&lt;=$O$2,$D685,$D685-($D685-$I$670)*MIN(K$3-$O$2,$Q$2)/$Q$2))</f>
        <v>1694.07162788024</v>
      </c>
      <c r="L685" s="15" t="n">
        <f aca="false">K685*(1+IF(L$3&lt;=$O$2,$D685,$D685-($D685-$I$670)*MIN(L$3-$O$2,$Q$2)/$Q$2))</f>
        <v>1799.86345626842</v>
      </c>
      <c r="M685" s="15" t="n">
        <f aca="false">L685*(1+IF(M$3&lt;=$O$2,$D685,$D685-($D685-$I$670)*MIN(M$3-$O$2,$Q$2)/$Q$2))</f>
        <v>1886.03035490282</v>
      </c>
      <c r="N685" s="15" t="n">
        <f aca="false">M685*(1+IF(N$3&lt;=$O$2,$D685,$D685-($D685-$I$670)*MIN(N$3-$O$2,$Q$2)/$Q$2))</f>
        <v>1948.83516572108</v>
      </c>
      <c r="O685" s="15" t="n">
        <f aca="false">SUMPRODUCT(E685:N685,1/(1+$F$670)^$E$3:$N$3)*$E$2</f>
        <v>2036.85424202931</v>
      </c>
      <c r="P685" s="15" t="n">
        <f aca="false">N685*$E$2*(1+$I$670)/($F$670-$I$670)/(1+$F$670)^$N$3</f>
        <v>3585.5611864949</v>
      </c>
      <c r="Q685" s="15" t="n">
        <f aca="false">O685+P685</f>
        <v>5622.41542852421</v>
      </c>
      <c r="R685" s="15" t="n">
        <f aca="false">Q685-$G$2+$I$2</f>
        <v>5789.81542852421</v>
      </c>
      <c r="S685" s="42" t="n">
        <f aca="false">R685/$K$2</f>
        <v>164.530134371248</v>
      </c>
      <c r="T685" s="43" t="n">
        <f aca="false">S685-$M$2</f>
        <v>-0.00524499789119659</v>
      </c>
    </row>
    <row r="686" customFormat="false" ht="15" hidden="false" customHeight="false" outlineLevel="0" collapsed="false">
      <c r="A686" s="5" t="n">
        <v>15</v>
      </c>
      <c r="B686" s="25" t="n">
        <f aca="false">IF(T685&gt;0,B685,D685)</f>
        <v>0.106170654296875</v>
      </c>
      <c r="C686" s="25" t="n">
        <f aca="false">IF(T685&gt;0,D685,C685)</f>
        <v>0.10626220703125</v>
      </c>
      <c r="D686" s="41" t="n">
        <f aca="false">(B686+C686)/2</f>
        <v>0.106216430664063</v>
      </c>
      <c r="E686" s="15" t="n">
        <f aca="false">$C$2*(1+IF(E$3&lt;=$O$2,$D686,$D686-($D686-$I$670)*MIN(E$3-$O$2,$Q$2)/$Q$2))</f>
        <v>962.441481170654</v>
      </c>
      <c r="F686" s="15" t="n">
        <f aca="false">E686*(1+IF(F$3&lt;=$O$2,$D686,$D686-($D686-$I$670)*MIN(F$3-$O$2,$Q$2)/$Q$2))</f>
        <v>1064.66858002363</v>
      </c>
      <c r="G686" s="15" t="n">
        <f aca="false">F686*(1+IF(G$3&lt;=$O$2,$D686,$D686-($D686-$I$670)*MIN(G$3-$O$2,$Q$2)/$Q$2))</f>
        <v>1177.75387643392</v>
      </c>
      <c r="H686" s="15" t="n">
        <f aca="false">G686*(1+IF(H$3&lt;=$O$2,$D686,$D686-($D686-$I$670)*MIN(H$3-$O$2,$Q$2)/$Q$2))</f>
        <v>1302.8506893895</v>
      </c>
      <c r="I686" s="15" t="n">
        <f aca="false">H686*(1+IF(I$3&lt;=$O$2,$D686,$D686-($D686-$I$670)*MIN(I$3-$O$2,$Q$2)/$Q$2))</f>
        <v>1441.23483930466</v>
      </c>
      <c r="J686" s="15" t="n">
        <f aca="false">I686*(1+IF(J$3&lt;=$O$2,$D686,$D686-($D686-$I$670)*MIN(J$3-$O$2,$Q$2)/$Q$2))</f>
        <v>1573.29971963814</v>
      </c>
      <c r="K686" s="15" t="n">
        <f aca="false">J686*(1+IF(K$3&lt;=$O$2,$D686,$D686-($D686-$I$670)*MIN(K$3-$O$2,$Q$2)/$Q$2))</f>
        <v>1694.52224025456</v>
      </c>
      <c r="L686" s="15" t="n">
        <f aca="false">K686*(1+IF(L$3&lt;=$O$2,$D686,$D686-($D686-$I$670)*MIN(L$3-$O$2,$Q$2)/$Q$2))</f>
        <v>1800.37323623113</v>
      </c>
      <c r="M686" s="15" t="n">
        <f aca="false">L686*(1+IF(M$3&lt;=$O$2,$D686,$D686-($D686-$I$670)*MIN(M$3-$O$2,$Q$2)/$Q$2))</f>
        <v>1886.58102304744</v>
      </c>
      <c r="N686" s="15" t="n">
        <f aca="false">M686*(1+IF(N$3&lt;=$O$2,$D686,$D686-($D686-$I$670)*MIN(N$3-$O$2,$Q$2)/$Q$2))</f>
        <v>1949.40417111492</v>
      </c>
      <c r="O686" s="15" t="n">
        <f aca="false">SUMPRODUCT(E686:N686,1/(1+$F$670)^$E$3:$N$3)*$E$2</f>
        <v>2037.26057238832</v>
      </c>
      <c r="P686" s="15" t="n">
        <f aca="false">N686*$E$2*(1+$I$670)/($F$670-$I$670)/(1+$F$670)^$N$3</f>
        <v>3586.60807013644</v>
      </c>
      <c r="Q686" s="15" t="n">
        <f aca="false">O686+P686</f>
        <v>5623.86864252476</v>
      </c>
      <c r="R686" s="15" t="n">
        <f aca="false">Q686-$G$2+$I$2</f>
        <v>5791.26864252476</v>
      </c>
      <c r="S686" s="42" t="n">
        <f aca="false">R686/$K$2</f>
        <v>164.571430591781</v>
      </c>
      <c r="T686" s="43" t="n">
        <f aca="false">S686-$M$2</f>
        <v>0.0360512226415324</v>
      </c>
    </row>
    <row r="687" customFormat="false" ht="15" hidden="false" customHeight="false" outlineLevel="0" collapsed="false">
      <c r="A687" s="5" t="n">
        <v>16</v>
      </c>
      <c r="B687" s="25" t="n">
        <f aca="false">IF(T686&gt;0,B686,D686)</f>
        <v>0.106170654296875</v>
      </c>
      <c r="C687" s="25" t="n">
        <f aca="false">IF(T686&gt;0,D686,C686)</f>
        <v>0.106216430664063</v>
      </c>
      <c r="D687" s="41" t="n">
        <f aca="false">(B687+C687)/2</f>
        <v>0.106193542480469</v>
      </c>
      <c r="E687" s="15" t="n">
        <f aca="false">$C$2*(1+IF(E$3&lt;=$O$2,$D687,$D687-($D687-$I$670)*MIN(E$3-$O$2,$Q$2)/$Q$2))</f>
        <v>962.421567764282</v>
      </c>
      <c r="F687" s="15" t="n">
        <f aca="false">E687*(1+IF(F$3&lt;=$O$2,$D687,$D687-($D687-$I$670)*MIN(F$3-$O$2,$Q$2)/$Q$2))</f>
        <v>1064.62452340478</v>
      </c>
      <c r="G687" s="15" t="n">
        <f aca="false">F687*(1+IF(G$3&lt;=$O$2,$D687,$D687-($D687-$I$670)*MIN(G$3-$O$2,$Q$2)/$Q$2))</f>
        <v>1177.68077295671</v>
      </c>
      <c r="H687" s="15" t="n">
        <f aca="false">G687*(1+IF(H$3&lt;=$O$2,$D687,$D687-($D687-$I$670)*MIN(H$3-$O$2,$Q$2)/$Q$2))</f>
        <v>1302.74286614812</v>
      </c>
      <c r="I687" s="15" t="n">
        <f aca="false">H687*(1+IF(I$3&lt;=$O$2,$D687,$D687-($D687-$I$670)*MIN(I$3-$O$2,$Q$2)/$Q$2))</f>
        <v>1441.08574604555</v>
      </c>
      <c r="J687" s="15" t="n">
        <f aca="false">I687*(1+IF(J$3&lt;=$O$2,$D687,$D687-($D687-$I$670)*MIN(J$3-$O$2,$Q$2)/$Q$2))</f>
        <v>1573.11057742676</v>
      </c>
      <c r="K687" s="15" t="n">
        <f aca="false">J687*(1+IF(K$3&lt;=$O$2,$D687,$D687-($D687-$I$670)*MIN(K$3-$O$2,$Q$2)/$Q$2))</f>
        <v>1694.29692127635</v>
      </c>
      <c r="L687" s="15" t="n">
        <f aca="false">K687*(1+IF(L$3&lt;=$O$2,$D687,$D687-($D687-$I$670)*MIN(L$3-$O$2,$Q$2)/$Q$2))</f>
        <v>1800.11833059709</v>
      </c>
      <c r="M687" s="15" t="n">
        <f aca="false">L687*(1+IF(M$3&lt;=$O$2,$D687,$D687-($D687-$I$670)*MIN(M$3-$O$2,$Q$2)/$Q$2))</f>
        <v>1886.30567140622</v>
      </c>
      <c r="N687" s="15" t="n">
        <f aca="false">M687*(1+IF(N$3&lt;=$O$2,$D687,$D687-($D687-$I$670)*MIN(N$3-$O$2,$Q$2)/$Q$2))</f>
        <v>1949.11965026405</v>
      </c>
      <c r="O687" s="15" t="n">
        <f aca="false">SUMPRODUCT(E687:N687,1/(1+$F$670)^$E$3:$N$3)*$E$2</f>
        <v>2037.05739717128</v>
      </c>
      <c r="P687" s="15" t="n">
        <f aca="false">N687*$E$2*(1+$I$670)/($F$670-$I$670)/(1+$F$670)^$N$3</f>
        <v>3586.08459491515</v>
      </c>
      <c r="Q687" s="15" t="n">
        <f aca="false">O687+P687</f>
        <v>5623.14199208643</v>
      </c>
      <c r="R687" s="15" t="n">
        <f aca="false">Q687-$G$2+$I$2</f>
        <v>5790.54199208643</v>
      </c>
      <c r="S687" s="42" t="n">
        <f aca="false">R687/$K$2</f>
        <v>164.550781247128</v>
      </c>
      <c r="T687" s="43" t="n">
        <f aca="false">S687-$M$2</f>
        <v>0.0154018779888929</v>
      </c>
    </row>
    <row r="688" customFormat="false" ht="15" hidden="false" customHeight="false" outlineLevel="0" collapsed="false">
      <c r="A688" s="5" t="n">
        <v>17</v>
      </c>
      <c r="B688" s="25" t="n">
        <f aca="false">IF(T687&gt;0,B687,D687)</f>
        <v>0.106170654296875</v>
      </c>
      <c r="C688" s="25" t="n">
        <f aca="false">IF(T687&gt;0,D687,C687)</f>
        <v>0.106193542480469</v>
      </c>
      <c r="D688" s="41" t="n">
        <f aca="false">(B688+C688)/2</f>
        <v>0.106182098388672</v>
      </c>
      <c r="E688" s="15" t="n">
        <f aca="false">$C$2*(1+IF(E$3&lt;=$O$2,$D688,$D688-($D688-$I$670)*MIN(E$3-$O$2,$Q$2)/$Q$2))</f>
        <v>962.411611061096</v>
      </c>
      <c r="F688" s="15" t="n">
        <f aca="false">E688*(1+IF(F$3&lt;=$O$2,$D688,$D688-($D688-$I$670)*MIN(F$3-$O$2,$Q$2)/$Q$2))</f>
        <v>1064.60249543719</v>
      </c>
      <c r="G688" s="15" t="n">
        <f aca="false">F688*(1+IF(G$3&lt;=$O$2,$D688,$D688-($D688-$I$670)*MIN(G$3-$O$2,$Q$2)/$Q$2))</f>
        <v>1177.64422235252</v>
      </c>
      <c r="H688" s="15" t="n">
        <f aca="false">G688*(1+IF(H$3&lt;=$O$2,$D688,$D688-($D688-$I$670)*MIN(H$3-$O$2,$Q$2)/$Q$2))</f>
        <v>1302.68895703721</v>
      </c>
      <c r="I688" s="15" t="n">
        <f aca="false">H688*(1+IF(I$3&lt;=$O$2,$D688,$D688-($D688-$I$670)*MIN(I$3-$O$2,$Q$2)/$Q$2))</f>
        <v>1441.01120404317</v>
      </c>
      <c r="J688" s="15" t="n">
        <f aca="false">I688*(1+IF(J$3&lt;=$O$2,$D688,$D688-($D688-$I$670)*MIN(J$3-$O$2,$Q$2)/$Q$2))</f>
        <v>1573.01601341961</v>
      </c>
      <c r="K688" s="15" t="n">
        <f aca="false">J688*(1+IF(K$3&lt;=$O$2,$D688,$D688-($D688-$I$670)*MIN(K$3-$O$2,$Q$2)/$Q$2))</f>
        <v>1694.18427138069</v>
      </c>
      <c r="L688" s="15" t="n">
        <f aca="false">K688*(1+IF(L$3&lt;=$O$2,$D688,$D688-($D688-$I$670)*MIN(L$3-$O$2,$Q$2)/$Q$2))</f>
        <v>1799.99088951979</v>
      </c>
      <c r="M688" s="15" t="n">
        <f aca="false">L688*(1+IF(M$3&lt;=$O$2,$D688,$D688-($D688-$I$670)*MIN(M$3-$O$2,$Q$2)/$Q$2))</f>
        <v>1886.16800876253</v>
      </c>
      <c r="N688" s="15" t="n">
        <f aca="false">M688*(1+IF(N$3&lt;=$O$2,$D688,$D688-($D688-$I$670)*MIN(N$3-$O$2,$Q$2)/$Q$2))</f>
        <v>1948.97740345433</v>
      </c>
      <c r="O688" s="15" t="n">
        <f aca="false">SUMPRODUCT(E688:N688,1/(1+$F$670)^$E$3:$N$3)*$E$2</f>
        <v>2036.95581709103</v>
      </c>
      <c r="P688" s="15" t="n">
        <f aca="false">N688*$E$2*(1+$I$670)/($F$670-$I$670)/(1+$F$670)^$N$3</f>
        <v>3585.82288235535</v>
      </c>
      <c r="Q688" s="15" t="n">
        <f aca="false">O688+P688</f>
        <v>5622.77869944638</v>
      </c>
      <c r="R688" s="15" t="n">
        <f aca="false">Q688-$G$2+$I$2</f>
        <v>5790.17869944638</v>
      </c>
      <c r="S688" s="42" t="n">
        <f aca="false">R688/$K$2</f>
        <v>164.540457500608</v>
      </c>
      <c r="T688" s="43" t="n">
        <f aca="false">S688-$M$2</f>
        <v>0.00507813146853664</v>
      </c>
    </row>
    <row r="689" customFormat="false" ht="15" hidden="false" customHeight="false" outlineLevel="0" collapsed="false">
      <c r="A689" s="5" t="n">
        <v>18</v>
      </c>
      <c r="B689" s="25" t="n">
        <f aca="false">IF(T688&gt;0,B688,D688)</f>
        <v>0.106170654296875</v>
      </c>
      <c r="C689" s="25" t="n">
        <f aca="false">IF(T688&gt;0,D688,C688)</f>
        <v>0.106182098388672</v>
      </c>
      <c r="D689" s="41" t="n">
        <f aca="false">(B689+C689)/2</f>
        <v>0.106176376342773</v>
      </c>
      <c r="E689" s="15" t="n">
        <f aca="false">$C$2*(1+IF(E$3&lt;=$O$2,$D689,$D689-($D689-$I$670)*MIN(E$3-$O$2,$Q$2)/$Q$2))</f>
        <v>962.406632709503</v>
      </c>
      <c r="F689" s="15" t="n">
        <f aca="false">E689*(1+IF(F$3&lt;=$O$2,$D689,$D689-($D689-$I$670)*MIN(F$3-$O$2,$Q$2)/$Q$2))</f>
        <v>1064.59148153885</v>
      </c>
      <c r="G689" s="15" t="n">
        <f aca="false">F689*(1+IF(G$3&lt;=$O$2,$D689,$D689-($D689-$I$670)*MIN(G$3-$O$2,$Q$2)/$Q$2))</f>
        <v>1177.62594733403</v>
      </c>
      <c r="H689" s="15" t="n">
        <f aca="false">G689*(1+IF(H$3&lt;=$O$2,$D689,$D689-($D689-$I$670)*MIN(H$3-$O$2,$Q$2)/$Q$2))</f>
        <v>1302.66200310918</v>
      </c>
      <c r="I689" s="15" t="n">
        <f aca="false">H689*(1+IF(I$3&lt;=$O$2,$D689,$D689-($D689-$I$670)*MIN(I$3-$O$2,$Q$2)/$Q$2))</f>
        <v>1440.97393419873</v>
      </c>
      <c r="J689" s="15" t="n">
        <f aca="false">I689*(1+IF(J$3&lt;=$O$2,$D689,$D689-($D689-$I$670)*MIN(J$3-$O$2,$Q$2)/$Q$2))</f>
        <v>1572.96873319059</v>
      </c>
      <c r="K689" s="15" t="n">
        <f aca="false">J689*(1+IF(K$3&lt;=$O$2,$D689,$D689-($D689-$I$670)*MIN(K$3-$O$2,$Q$2)/$Q$2))</f>
        <v>1694.12794883108</v>
      </c>
      <c r="L689" s="15" t="n">
        <f aca="false">K689*(1+IF(L$3&lt;=$O$2,$D689,$D689-($D689-$I$670)*MIN(L$3-$O$2,$Q$2)/$Q$2))</f>
        <v>1799.92717191588</v>
      </c>
      <c r="M689" s="15" t="n">
        <f aca="false">L689*(1+IF(M$3&lt;=$O$2,$D689,$D689-($D689-$I$670)*MIN(M$3-$O$2,$Q$2)/$Q$2))</f>
        <v>1886.09918073471</v>
      </c>
      <c r="N689" s="15" t="n">
        <f aca="false">M689*(1+IF(N$3&lt;=$O$2,$D689,$D689-($D689-$I$670)*MIN(N$3-$O$2,$Q$2)/$Q$2))</f>
        <v>1948.90628345317</v>
      </c>
      <c r="O689" s="15" t="n">
        <f aca="false">SUMPRODUCT(E689:N689,1/(1+$F$670)^$E$3:$N$3)*$E$2</f>
        <v>2036.90502893287</v>
      </c>
      <c r="P689" s="15" t="n">
        <f aca="false">N689*$E$2*(1+$I$670)/($F$670-$I$670)/(1+$F$670)^$N$3</f>
        <v>3585.69203233776</v>
      </c>
      <c r="Q689" s="15" t="n">
        <f aca="false">O689+P689</f>
        <v>5622.59706127063</v>
      </c>
      <c r="R689" s="15" t="n">
        <f aca="false">Q689-$G$2+$I$2</f>
        <v>5789.99706127063</v>
      </c>
      <c r="S689" s="42" t="n">
        <f aca="false">R689/$K$2</f>
        <v>164.535295858785</v>
      </c>
      <c r="T689" s="43" t="n">
        <f aca="false">S689-$M$2</f>
        <v>-8.35103543579407E-005</v>
      </c>
    </row>
    <row r="690" customFormat="false" ht="15" hidden="false" customHeight="false" outlineLevel="0" collapsed="false">
      <c r="A690" s="5" t="n">
        <v>19</v>
      </c>
      <c r="B690" s="25" t="n">
        <f aca="false">IF(T689&gt;0,B689,D689)</f>
        <v>0.106176376342773</v>
      </c>
      <c r="C690" s="25" t="n">
        <f aca="false">IF(T689&gt;0,D689,C689)</f>
        <v>0.106182098388672</v>
      </c>
      <c r="D690" s="41" t="n">
        <f aca="false">(B690+C690)/2</f>
        <v>0.106179237365723</v>
      </c>
      <c r="E690" s="15" t="n">
        <f aca="false">$C$2*(1+IF(E$3&lt;=$O$2,$D690,$D690-($D690-$I$670)*MIN(E$3-$O$2,$Q$2)/$Q$2))</f>
        <v>962.4091218853</v>
      </c>
      <c r="F690" s="15" t="n">
        <f aca="false">E690*(1+IF(F$3&lt;=$O$2,$D690,$D690-($D690-$I$670)*MIN(F$3-$O$2,$Q$2)/$Q$2))</f>
        <v>1064.5969884809</v>
      </c>
      <c r="G690" s="15" t="n">
        <f aca="false">F690*(1+IF(G$3&lt;=$O$2,$D690,$D690-($D690-$I$670)*MIN(G$3-$O$2,$Q$2)/$Q$2))</f>
        <v>1177.63508481964</v>
      </c>
      <c r="H690" s="15" t="n">
        <f aca="false">G690*(1+IF(H$3&lt;=$O$2,$D690,$D690-($D690-$I$670)*MIN(H$3-$O$2,$Q$2)/$Q$2))</f>
        <v>1302.67548002091</v>
      </c>
      <c r="I690" s="15" t="n">
        <f aca="false">H690*(1+IF(I$3&lt;=$O$2,$D690,$D690-($D690-$I$670)*MIN(I$3-$O$2,$Q$2)/$Q$2))</f>
        <v>1440.99256902456</v>
      </c>
      <c r="J690" s="15" t="n">
        <f aca="false">I690*(1+IF(J$3&lt;=$O$2,$D690,$D690-($D690-$I$670)*MIN(J$3-$O$2,$Q$2)/$Q$2))</f>
        <v>1572.99237315722</v>
      </c>
      <c r="K690" s="15" t="n">
        <f aca="false">J690*(1+IF(K$3&lt;=$O$2,$D690,$D690-($D690-$I$670)*MIN(K$3-$O$2,$Q$2)/$Q$2))</f>
        <v>1694.15610990603</v>
      </c>
      <c r="L690" s="15" t="n">
        <f aca="false">K690*(1+IF(L$3&lt;=$O$2,$D690,$D690-($D690-$I$670)*MIN(L$3-$O$2,$Q$2)/$Q$2))</f>
        <v>1799.95903047328</v>
      </c>
      <c r="M690" s="15" t="n">
        <f aca="false">L690*(1+IF(M$3&lt;=$O$2,$D690,$D690-($D690-$I$670)*MIN(M$3-$O$2,$Q$2)/$Q$2))</f>
        <v>1886.13359447413</v>
      </c>
      <c r="N690" s="15" t="n">
        <f aca="false">M690*(1+IF(N$3&lt;=$O$2,$D690,$D690-($D690-$I$670)*MIN(N$3-$O$2,$Q$2)/$Q$2))</f>
        <v>1948.94184317011</v>
      </c>
      <c r="O690" s="15" t="n">
        <f aca="false">SUMPRODUCT(E690:N690,1/(1+$F$670)^$E$3:$N$3)*$E$2</f>
        <v>2036.93042285512</v>
      </c>
      <c r="P690" s="15" t="n">
        <f aca="false">N690*$E$2*(1+$I$670)/($F$670-$I$670)/(1+$F$670)^$N$3</f>
        <v>3585.75745682471</v>
      </c>
      <c r="Q690" s="15" t="n">
        <f aca="false">O690+P690</f>
        <v>5622.68787967983</v>
      </c>
      <c r="R690" s="15" t="n">
        <f aca="false">Q690-$G$2+$I$2</f>
        <v>5790.08787967983</v>
      </c>
      <c r="S690" s="42" t="n">
        <f aca="false">R690/$K$2</f>
        <v>164.53787666041</v>
      </c>
      <c r="T690" s="43" t="n">
        <f aca="false">S690-$M$2</f>
        <v>0.00249729127105525</v>
      </c>
    </row>
    <row r="691" customFormat="false" ht="15" hidden="false" customHeight="false" outlineLevel="0" collapsed="false">
      <c r="A691" s="5" t="n">
        <v>20</v>
      </c>
      <c r="B691" s="25" t="n">
        <f aca="false">IF(T690&gt;0,B690,D690)</f>
        <v>0.106176376342773</v>
      </c>
      <c r="C691" s="25" t="n">
        <f aca="false">IF(T690&gt;0,D690,C690)</f>
        <v>0.106179237365723</v>
      </c>
      <c r="D691" s="41" t="n">
        <f aca="false">(B691+C691)/2</f>
        <v>0.106177806854248</v>
      </c>
      <c r="E691" s="15" t="n">
        <f aca="false">$C$2*(1+IF(E$3&lt;=$O$2,$D691,$D691-($D691-$I$670)*MIN(E$3-$O$2,$Q$2)/$Q$2))</f>
        <v>962.407877297401</v>
      </c>
      <c r="F691" s="15" t="n">
        <f aca="false">E691*(1+IF(F$3&lt;=$O$2,$D691,$D691-($D691-$I$670)*MIN(F$3-$O$2,$Q$2)/$Q$2))</f>
        <v>1064.59423500809</v>
      </c>
      <c r="G691" s="15" t="n">
        <f aca="false">F691*(1+IF(G$3&lt;=$O$2,$D691,$D691-($D691-$I$670)*MIN(G$3-$O$2,$Q$2)/$Q$2))</f>
        <v>1177.63051607093</v>
      </c>
      <c r="H691" s="15" t="n">
        <f aca="false">G691*(1+IF(H$3&lt;=$O$2,$D691,$D691-($D691-$I$670)*MIN(H$3-$O$2,$Q$2)/$Q$2))</f>
        <v>1302.66874155197</v>
      </c>
      <c r="I691" s="15" t="n">
        <f aca="false">H691*(1+IF(I$3&lt;=$O$2,$D691,$D691-($D691-$I$670)*MIN(I$3-$O$2,$Q$2)/$Q$2))</f>
        <v>1440.98325158755</v>
      </c>
      <c r="J691" s="15" t="n">
        <f aca="false">I691*(1+IF(J$3&lt;=$O$2,$D691,$D691-($D691-$I$670)*MIN(J$3-$O$2,$Q$2)/$Q$2))</f>
        <v>1572.98055313693</v>
      </c>
      <c r="K691" s="15" t="n">
        <f aca="false">J691*(1+IF(K$3&lt;=$O$2,$D691,$D691-($D691-$I$670)*MIN(K$3-$O$2,$Q$2)/$Q$2))</f>
        <v>1694.1420293186</v>
      </c>
      <c r="L691" s="15" t="n">
        <f aca="false">K691*(1+IF(L$3&lt;=$O$2,$D691,$D691-($D691-$I$670)*MIN(L$3-$O$2,$Q$2)/$Q$2))</f>
        <v>1799.94310113344</v>
      </c>
      <c r="M691" s="15" t="n">
        <f aca="false">L691*(1+IF(M$3&lt;=$O$2,$D691,$D691-($D691-$I$670)*MIN(M$3-$O$2,$Q$2)/$Q$2))</f>
        <v>1886.11638753579</v>
      </c>
      <c r="N691" s="15" t="n">
        <f aca="false">M691*(1+IF(N$3&lt;=$O$2,$D691,$D691-($D691-$I$670)*MIN(N$3-$O$2,$Q$2)/$Q$2))</f>
        <v>1948.92406324074</v>
      </c>
      <c r="O691" s="15" t="n">
        <f aca="false">SUMPRODUCT(E691:N691,1/(1+$F$670)^$E$3:$N$3)*$E$2</f>
        <v>2036.91772585479</v>
      </c>
      <c r="P691" s="15" t="n">
        <f aca="false">N691*$E$2*(1+$I$670)/($F$670-$I$670)/(1+$F$670)^$N$3</f>
        <v>3585.72474445078</v>
      </c>
      <c r="Q691" s="15" t="n">
        <f aca="false">O691+P691</f>
        <v>5622.64247030556</v>
      </c>
      <c r="R691" s="15" t="n">
        <f aca="false">Q691-$G$2+$I$2</f>
        <v>5790.04247030556</v>
      </c>
      <c r="S691" s="42" t="n">
        <f aca="false">R691/$K$2</f>
        <v>164.536586254776</v>
      </c>
      <c r="T691" s="43" t="n">
        <f aca="false">S691-$M$2</f>
        <v>0.00120688563686144</v>
      </c>
    </row>
    <row r="692" customFormat="false" ht="15" hidden="false" customHeight="false" outlineLevel="0" collapsed="false">
      <c r="A692" s="5" t="n">
        <v>21</v>
      </c>
      <c r="B692" s="25" t="n">
        <f aca="false">IF(T691&gt;0,B691,D691)</f>
        <v>0.106176376342773</v>
      </c>
      <c r="C692" s="25" t="n">
        <f aca="false">IF(T691&gt;0,D691,C691)</f>
        <v>0.106177806854248</v>
      </c>
      <c r="D692" s="41" t="n">
        <f aca="false">(B692+C692)/2</f>
        <v>0.106177091598511</v>
      </c>
      <c r="E692" s="15" t="n">
        <f aca="false">$C$2*(1+IF(E$3&lt;=$O$2,$D692,$D692-($D692-$I$670)*MIN(E$3-$O$2,$Q$2)/$Q$2))</f>
        <v>962.407255003452</v>
      </c>
      <c r="F692" s="15" t="n">
        <f aca="false">E692*(1+IF(F$3&lt;=$O$2,$D692,$D692-($D692-$I$670)*MIN(F$3-$O$2,$Q$2)/$Q$2))</f>
        <v>1064.59285827303</v>
      </c>
      <c r="G692" s="15" t="n">
        <f aca="false">F692*(1+IF(G$3&lt;=$O$2,$D692,$D692-($D692-$I$670)*MIN(G$3-$O$2,$Q$2)/$Q$2))</f>
        <v>1177.628231701</v>
      </c>
      <c r="H692" s="15" t="n">
        <f aca="false">G692*(1+IF(H$3&lt;=$O$2,$D692,$D692-($D692-$I$670)*MIN(H$3-$O$2,$Q$2)/$Q$2))</f>
        <v>1302.66537232731</v>
      </c>
      <c r="I692" s="15" t="n">
        <f aca="false">H692*(1+IF(I$3&lt;=$O$2,$D692,$D692-($D692-$I$670)*MIN(I$3-$O$2,$Q$2)/$Q$2))</f>
        <v>1440.97859288711</v>
      </c>
      <c r="J692" s="15" t="n">
        <f aca="false">I692*(1+IF(J$3&lt;=$O$2,$D692,$D692-($D692-$I$670)*MIN(J$3-$O$2,$Q$2)/$Q$2))</f>
        <v>1572.97464315452</v>
      </c>
      <c r="K692" s="15" t="n">
        <f aca="false">J692*(1+IF(K$3&lt;=$O$2,$D692,$D692-($D692-$I$670)*MIN(K$3-$O$2,$Q$2)/$Q$2))</f>
        <v>1694.13498906235</v>
      </c>
      <c r="L692" s="15" t="n">
        <f aca="false">K692*(1+IF(L$3&lt;=$O$2,$D692,$D692-($D692-$I$670)*MIN(L$3-$O$2,$Q$2)/$Q$2))</f>
        <v>1799.93513650938</v>
      </c>
      <c r="M692" s="15" t="n">
        <f aca="false">L692*(1+IF(M$3&lt;=$O$2,$D692,$D692-($D692-$I$670)*MIN(M$3-$O$2,$Q$2)/$Q$2))</f>
        <v>1886.1077841181</v>
      </c>
      <c r="N692" s="15" t="n">
        <f aca="false">M692*(1+IF(N$3&lt;=$O$2,$D692,$D692-($D692-$I$670)*MIN(N$3-$O$2,$Q$2)/$Q$2))</f>
        <v>1948.91517332923</v>
      </c>
      <c r="O692" s="15" t="n">
        <f aca="false">SUMPRODUCT(E692:N692,1/(1+$F$670)^$E$3:$N$3)*$E$2</f>
        <v>2036.91137738403</v>
      </c>
      <c r="P692" s="15" t="n">
        <f aca="false">N692*$E$2*(1+$I$670)/($F$670-$I$670)/(1+$F$670)^$N$3</f>
        <v>3585.70838836165</v>
      </c>
      <c r="Q692" s="15" t="n">
        <f aca="false">O692+P692</f>
        <v>5622.61976574568</v>
      </c>
      <c r="R692" s="15" t="n">
        <f aca="false">Q692-$G$2+$I$2</f>
        <v>5790.01976574568</v>
      </c>
      <c r="S692" s="42" t="n">
        <f aca="false">R692/$K$2</f>
        <v>164.535941055575</v>
      </c>
      <c r="T692" s="43" t="n">
        <f aca="false">S692-$M$2</f>
        <v>0.000561686435872844</v>
      </c>
    </row>
    <row r="693" customFormat="false" ht="15" hidden="false" customHeight="false" outlineLevel="0" collapsed="false">
      <c r="A693" s="5" t="n">
        <v>22</v>
      </c>
      <c r="B693" s="25" t="n">
        <f aca="false">IF(T692&gt;0,B692,D692)</f>
        <v>0.106176376342773</v>
      </c>
      <c r="C693" s="25" t="n">
        <f aca="false">IF(T692&gt;0,D692,C692)</f>
        <v>0.106177091598511</v>
      </c>
      <c r="D693" s="41" t="n">
        <f aca="false">(B693+C693)/2</f>
        <v>0.106176733970642</v>
      </c>
      <c r="E693" s="15" t="n">
        <f aca="false">$C$2*(1+IF(E$3&lt;=$O$2,$D693,$D693-($D693-$I$670)*MIN(E$3-$O$2,$Q$2)/$Q$2))</f>
        <v>962.406943856478</v>
      </c>
      <c r="F693" s="15" t="n">
        <f aca="false">E693*(1+IF(F$3&lt;=$O$2,$D693,$D693-($D693-$I$670)*MIN(F$3-$O$2,$Q$2)/$Q$2))</f>
        <v>1064.59216990583</v>
      </c>
      <c r="G693" s="15" t="n">
        <f aca="false">F693*(1+IF(G$3&lt;=$O$2,$D693,$D693-($D693-$I$670)*MIN(G$3-$O$2,$Q$2)/$Q$2))</f>
        <v>1177.62708951715</v>
      </c>
      <c r="H693" s="15" t="n">
        <f aca="false">G693*(1+IF(H$3&lt;=$O$2,$D693,$D693-($D693-$I$670)*MIN(H$3-$O$2,$Q$2)/$Q$2))</f>
        <v>1302.66368771743</v>
      </c>
      <c r="I693" s="15" t="n">
        <f aca="false">H693*(1+IF(I$3&lt;=$O$2,$D693,$D693-($D693-$I$670)*MIN(I$3-$O$2,$Q$2)/$Q$2))</f>
        <v>1440.97626354142</v>
      </c>
      <c r="J693" s="15" t="n">
        <f aca="false">I693*(1+IF(J$3&lt;=$O$2,$D693,$D693-($D693-$I$670)*MIN(J$3-$O$2,$Q$2)/$Q$2))</f>
        <v>1572.97168817024</v>
      </c>
      <c r="K693" s="15" t="n">
        <f aca="false">J693*(1+IF(K$3&lt;=$O$2,$D693,$D693-($D693-$I$670)*MIN(K$3-$O$2,$Q$2)/$Q$2))</f>
        <v>1694.13146894359</v>
      </c>
      <c r="L693" s="15" t="n">
        <f aca="false">K693*(1+IF(L$3&lt;=$O$2,$D693,$D693-($D693-$I$670)*MIN(L$3-$O$2,$Q$2)/$Q$2))</f>
        <v>1799.93115420881</v>
      </c>
      <c r="M693" s="15" t="n">
        <f aca="false">L693*(1+IF(M$3&lt;=$O$2,$D693,$D693-($D693-$I$670)*MIN(M$3-$O$2,$Q$2)/$Q$2))</f>
        <v>1886.10348242211</v>
      </c>
      <c r="N693" s="15" t="n">
        <f aca="false">M693*(1+IF(N$3&lt;=$O$2,$D693,$D693-($D693-$I$670)*MIN(N$3-$O$2,$Q$2)/$Q$2))</f>
        <v>1948.91072838677</v>
      </c>
      <c r="O693" s="15" t="n">
        <f aca="false">SUMPRODUCT(E693:N693,1/(1+$F$670)^$E$3:$N$3)*$E$2</f>
        <v>2036.908203156</v>
      </c>
      <c r="P693" s="15" t="n">
        <f aca="false">N693*$E$2*(1+$I$670)/($F$670-$I$670)/(1+$F$670)^$N$3</f>
        <v>3585.70021034155</v>
      </c>
      <c r="Q693" s="15" t="n">
        <f aca="false">O693+P693</f>
        <v>5622.60841349755</v>
      </c>
      <c r="R693" s="15" t="n">
        <f aca="false">Q693-$G$2+$I$2</f>
        <v>5790.00841349755</v>
      </c>
      <c r="S693" s="42" t="n">
        <f aca="false">R693/$K$2</f>
        <v>164.535618456878</v>
      </c>
      <c r="T693" s="43" t="n">
        <f aca="false">S693-$M$2</f>
        <v>0.000239087739402066</v>
      </c>
    </row>
    <row r="694" customFormat="false" ht="15" hidden="false" customHeight="false" outlineLevel="0" collapsed="false">
      <c r="A694" s="5" t="n">
        <v>23</v>
      </c>
      <c r="B694" s="25" t="n">
        <f aca="false">IF(T693&gt;0,B693,D693)</f>
        <v>0.106176376342773</v>
      </c>
      <c r="C694" s="25" t="n">
        <f aca="false">IF(T693&gt;0,D693,C693)</f>
        <v>0.106176733970642</v>
      </c>
      <c r="D694" s="41" t="n">
        <f aca="false">(B694+C694)/2</f>
        <v>0.106176555156708</v>
      </c>
      <c r="E694" s="15" t="n">
        <f aca="false">$C$2*(1+IF(E$3&lt;=$O$2,$D694,$D694-($D694-$I$670)*MIN(E$3-$O$2,$Q$2)/$Q$2))</f>
        <v>962.40678828299</v>
      </c>
      <c r="F694" s="15" t="n">
        <f aca="false">E694*(1+IF(F$3&lt;=$O$2,$D694,$D694-($D694-$I$670)*MIN(F$3-$O$2,$Q$2)/$Q$2))</f>
        <v>1064.59182572231</v>
      </c>
      <c r="G694" s="15" t="n">
        <f aca="false">F694*(1+IF(G$3&lt;=$O$2,$D694,$D694-($D694-$I$670)*MIN(G$3-$O$2,$Q$2)/$Q$2))</f>
        <v>1177.62651842549</v>
      </c>
      <c r="H694" s="15" t="n">
        <f aca="false">G694*(1+IF(H$3&lt;=$O$2,$D694,$D694-($D694-$I$670)*MIN(H$3-$O$2,$Q$2)/$Q$2))</f>
        <v>1302.6628454131</v>
      </c>
      <c r="I694" s="15" t="n">
        <f aca="false">H694*(1+IF(I$3&lt;=$O$2,$D694,$D694-($D694-$I$670)*MIN(I$3-$O$2,$Q$2)/$Q$2))</f>
        <v>1440.9750988697</v>
      </c>
      <c r="J694" s="15" t="n">
        <f aca="false">I694*(1+IF(J$3&lt;=$O$2,$D694,$D694-($D694-$I$670)*MIN(J$3-$O$2,$Q$2)/$Q$2))</f>
        <v>1572.97021067984</v>
      </c>
      <c r="K694" s="15" t="n">
        <f aca="false">J694*(1+IF(K$3&lt;=$O$2,$D694,$D694-($D694-$I$670)*MIN(K$3-$O$2,$Q$2)/$Q$2))</f>
        <v>1694.12970888655</v>
      </c>
      <c r="L694" s="15" t="n">
        <f aca="false">K694*(1+IF(L$3&lt;=$O$2,$D694,$D694-($D694-$I$670)*MIN(L$3-$O$2,$Q$2)/$Q$2))</f>
        <v>1799.92916306139</v>
      </c>
      <c r="M694" s="15" t="n">
        <f aca="false">L694*(1+IF(M$3&lt;=$O$2,$D694,$D694-($D694-$I$670)*MIN(M$3-$O$2,$Q$2)/$Q$2))</f>
        <v>1886.10133157734</v>
      </c>
      <c r="N694" s="15" t="n">
        <f aca="false">M694*(1+IF(N$3&lt;=$O$2,$D694,$D694-($D694-$I$670)*MIN(N$3-$O$2,$Q$2)/$Q$2))</f>
        <v>1948.90850591886</v>
      </c>
      <c r="O694" s="15" t="n">
        <f aca="false">SUMPRODUCT(E694:N694,1/(1+$F$670)^$E$3:$N$3)*$E$2</f>
        <v>2036.90661604382</v>
      </c>
      <c r="P694" s="15" t="n">
        <f aca="false">N694*$E$2*(1+$I$670)/($F$670-$I$670)/(1+$F$670)^$N$3</f>
        <v>3585.69612133762</v>
      </c>
      <c r="Q694" s="15" t="n">
        <f aca="false">O694+P694</f>
        <v>5622.60273738144</v>
      </c>
      <c r="R694" s="15" t="n">
        <f aca="false">Q694-$G$2+$I$2</f>
        <v>5790.00273738144</v>
      </c>
      <c r="S694" s="42" t="n">
        <f aca="false">R694/$K$2</f>
        <v>164.535457157756</v>
      </c>
      <c r="T694" s="43" t="n">
        <f aca="false">S694-$M$2</f>
        <v>7.77886171476894E-005</v>
      </c>
    </row>
    <row r="695" customFormat="false" ht="15" hidden="false" customHeight="false" outlineLevel="0" collapsed="false">
      <c r="A695" s="5" t="n">
        <v>24</v>
      </c>
      <c r="B695" s="25" t="n">
        <f aca="false">IF(T694&gt;0,B694,D694)</f>
        <v>0.106176376342773</v>
      </c>
      <c r="C695" s="25" t="n">
        <f aca="false">IF(T694&gt;0,D694,C694)</f>
        <v>0.106176555156708</v>
      </c>
      <c r="D695" s="41" t="n">
        <f aca="false">(B695+C695)/2</f>
        <v>0.106176465749741</v>
      </c>
      <c r="E695" s="15" t="n">
        <f aca="false">$C$2*(1+IF(E$3&lt;=$O$2,$D695,$D695-($D695-$I$670)*MIN(E$3-$O$2,$Q$2)/$Q$2))</f>
        <v>962.406710496247</v>
      </c>
      <c r="F695" s="15" t="n">
        <f aca="false">E695*(1+IF(F$3&lt;=$O$2,$D695,$D695-($D695-$I$670)*MIN(F$3-$O$2,$Q$2)/$Q$2))</f>
        <v>1064.59165363057</v>
      </c>
      <c r="G695" s="15" t="n">
        <f aca="false">F695*(1+IF(G$3&lt;=$O$2,$D695,$D695-($D695-$I$670)*MIN(G$3-$O$2,$Q$2)/$Q$2))</f>
        <v>1177.62623287974</v>
      </c>
      <c r="H695" s="15" t="n">
        <f aca="false">G695*(1+IF(H$3&lt;=$O$2,$D695,$D695-($D695-$I$670)*MIN(H$3-$O$2,$Q$2)/$Q$2))</f>
        <v>1302.66242426109</v>
      </c>
      <c r="I695" s="15" t="n">
        <f aca="false">H695*(1+IF(I$3&lt;=$O$2,$D695,$D695-($D695-$I$670)*MIN(I$3-$O$2,$Q$2)/$Q$2))</f>
        <v>1440.97451653412</v>
      </c>
      <c r="J695" s="15" t="n">
        <f aca="false">I695*(1+IF(J$3&lt;=$O$2,$D695,$D695-($D695-$I$670)*MIN(J$3-$O$2,$Q$2)/$Q$2))</f>
        <v>1572.96947193507</v>
      </c>
      <c r="K695" s="15" t="n">
        <f aca="false">J695*(1+IF(K$3&lt;=$O$2,$D695,$D695-($D695-$I$670)*MIN(K$3-$O$2,$Q$2)/$Q$2))</f>
        <v>1694.12882885862</v>
      </c>
      <c r="L695" s="15" t="n">
        <f aca="false">K695*(1+IF(L$3&lt;=$O$2,$D695,$D695-($D695-$I$670)*MIN(L$3-$O$2,$Q$2)/$Q$2))</f>
        <v>1799.9281674884</v>
      </c>
      <c r="M695" s="15" t="n">
        <f aca="false">L695*(1+IF(M$3&lt;=$O$2,$D695,$D695-($D695-$I$670)*MIN(M$3-$O$2,$Q$2)/$Q$2))</f>
        <v>1886.10025615576</v>
      </c>
      <c r="N695" s="15" t="n">
        <f aca="false">M695*(1+IF(N$3&lt;=$O$2,$D695,$D695-($D695-$I$670)*MIN(N$3-$O$2,$Q$2)/$Q$2))</f>
        <v>1948.90739468574</v>
      </c>
      <c r="O695" s="15" t="n">
        <f aca="false">SUMPRODUCT(E695:N695,1/(1+$F$670)^$E$3:$N$3)*$E$2</f>
        <v>2036.90582248819</v>
      </c>
      <c r="P695" s="15" t="n">
        <f aca="false">N695*$E$2*(1+$I$670)/($F$670-$I$670)/(1+$F$670)^$N$3</f>
        <v>3585.69407683718</v>
      </c>
      <c r="Q695" s="15" t="n">
        <f aca="false">O695+P695</f>
        <v>5622.59989932537</v>
      </c>
      <c r="R695" s="15" t="n">
        <f aca="false">Q695-$G$2+$I$2</f>
        <v>5789.99989932537</v>
      </c>
      <c r="S695" s="42" t="n">
        <f aca="false">R695/$K$2</f>
        <v>164.535376508252</v>
      </c>
      <c r="T695" s="43" t="n">
        <f aca="false">S695-$M$2</f>
        <v>-2.86088743450819E-006</v>
      </c>
    </row>
    <row r="697" customFormat="false" ht="15" hidden="false" customHeight="false" outlineLevel="0" collapsed="false">
      <c r="A697" s="38" t="s">
        <v>212</v>
      </c>
      <c r="E697" s="5" t="s">
        <v>12</v>
      </c>
      <c r="F697" s="12" t="n">
        <f aca="false">Sensitivity!$B$14</f>
        <v>0.0875075820986394</v>
      </c>
      <c r="G697" s="5" t="s">
        <v>13</v>
      </c>
      <c r="I697" s="12" t="n">
        <f aca="false">Sensitivity!$G$9</f>
        <v>0.0383</v>
      </c>
    </row>
    <row r="698" customFormat="false" ht="23.85" hidden="false" customHeight="false" outlineLevel="0" collapsed="false">
      <c r="A698" s="38" t="s">
        <v>168</v>
      </c>
      <c r="B698" s="28" t="s">
        <v>169</v>
      </c>
      <c r="C698" s="28" t="s">
        <v>170</v>
      </c>
      <c r="D698" s="28" t="s">
        <v>171</v>
      </c>
      <c r="E698" s="28" t="s">
        <v>172</v>
      </c>
      <c r="F698" s="28" t="s">
        <v>173</v>
      </c>
      <c r="G698" s="28" t="s">
        <v>174</v>
      </c>
      <c r="H698" s="28" t="s">
        <v>175</v>
      </c>
      <c r="I698" s="28" t="s">
        <v>176</v>
      </c>
      <c r="J698" s="28" t="s">
        <v>177</v>
      </c>
      <c r="K698" s="28" t="s">
        <v>178</v>
      </c>
      <c r="L698" s="28" t="s">
        <v>179</v>
      </c>
      <c r="M698" s="28" t="s">
        <v>180</v>
      </c>
      <c r="N698" s="28" t="s">
        <v>181</v>
      </c>
      <c r="O698" s="28" t="s">
        <v>182</v>
      </c>
      <c r="P698" s="28" t="s">
        <v>183</v>
      </c>
      <c r="Q698" s="28" t="s">
        <v>184</v>
      </c>
      <c r="R698" s="28" t="s">
        <v>185</v>
      </c>
      <c r="S698" s="28" t="s">
        <v>186</v>
      </c>
      <c r="T698" s="28" t="s">
        <v>187</v>
      </c>
    </row>
    <row r="699" customFormat="false" ht="15" hidden="false" customHeight="false" outlineLevel="0" collapsed="false">
      <c r="A699" s="5" t="n">
        <v>1</v>
      </c>
      <c r="B699" s="24" t="n">
        <v>-0.5</v>
      </c>
      <c r="C699" s="24" t="n">
        <v>1</v>
      </c>
      <c r="D699" s="41" t="n">
        <f aca="false">(B699+C699)/2</f>
        <v>0.25</v>
      </c>
      <c r="E699" s="15" t="n">
        <f aca="false">$C$2*(1+IF(E$3&lt;=$O$2,$D699,$D699-($D699-$I$697)*MIN(E$3-$O$2,$Q$2)/$Q$2))</f>
        <v>1087.5375</v>
      </c>
      <c r="F699" s="15" t="n">
        <f aca="false">E699*(1+IF(F$3&lt;=$O$2,$D699,$D699-($D699-$I$697)*MIN(F$3-$O$2,$Q$2)/$Q$2))</f>
        <v>1359.421875</v>
      </c>
      <c r="G699" s="15" t="n">
        <f aca="false">F699*(1+IF(G$3&lt;=$O$2,$D699,$D699-($D699-$I$697)*MIN(G$3-$O$2,$Q$2)/$Q$2))</f>
        <v>1699.27734375</v>
      </c>
      <c r="H699" s="15" t="n">
        <f aca="false">G699*(1+IF(H$3&lt;=$O$2,$D699,$D699-($D699-$I$697)*MIN(H$3-$O$2,$Q$2)/$Q$2))</f>
        <v>2124.0966796875</v>
      </c>
      <c r="I699" s="15" t="n">
        <f aca="false">H699*(1+IF(I$3&lt;=$O$2,$D699,$D699-($D699-$I$697)*MIN(I$3-$O$2,$Q$2)/$Q$2))</f>
        <v>2655.12084960938</v>
      </c>
      <c r="J699" s="15" t="n">
        <f aca="false">I699*(1+IF(J$3&lt;=$O$2,$D699,$D699-($D699-$I$697)*MIN(J$3-$O$2,$Q$2)/$Q$2))</f>
        <v>3206.48324523926</v>
      </c>
      <c r="K699" s="15" t="n">
        <f aca="false">J699*(1+IF(K$3&lt;=$O$2,$D699,$D699-($D699-$I$697)*MIN(K$3-$O$2,$Q$2)/$Q$2))</f>
        <v>3736.57905534221</v>
      </c>
      <c r="L699" s="15" t="n">
        <f aca="false">K699*(1+IF(L$3&lt;=$O$2,$D699,$D699-($D699-$I$697)*MIN(L$3-$O$2,$Q$2)/$Q$2))</f>
        <v>4196.1035475682</v>
      </c>
      <c r="M699" s="15" t="n">
        <f aca="false">L699*(1+IF(M$3&lt;=$O$2,$D699,$D699-($D699-$I$697)*MIN(M$3-$O$2,$Q$2)/$Q$2))</f>
        <v>4534.4773376441</v>
      </c>
      <c r="N699" s="15" t="n">
        <f aca="false">M699*(1+IF(N$3&lt;=$O$2,$D699,$D699-($D699-$I$697)*MIN(N$3-$O$2,$Q$2)/$Q$2))</f>
        <v>4708.14781967587</v>
      </c>
      <c r="O699" s="15" t="n">
        <f aca="false">SUMPRODUCT(E699:N699,1/(1+$F$697)^$E$3:$N$3)*$E$2</f>
        <v>3810.18120959984</v>
      </c>
      <c r="P699" s="15" t="n">
        <f aca="false">N699*$E$2*(1+$I$697)/($F$697-$I$697)/(1+$F$697)^$N$3</f>
        <v>9588.62987973887</v>
      </c>
      <c r="Q699" s="15" t="n">
        <f aca="false">O699+P699</f>
        <v>13398.8110893387</v>
      </c>
      <c r="R699" s="15" t="n">
        <f aca="false">Q699-$G$2+$I$2</f>
        <v>13566.2110893387</v>
      </c>
      <c r="S699" s="42" t="n">
        <f aca="false">R699/$K$2</f>
        <v>385.513244937161</v>
      </c>
      <c r="T699" s="43" t="n">
        <f aca="false">S699-$M$2</f>
        <v>220.977865568022</v>
      </c>
    </row>
    <row r="700" customFormat="false" ht="15" hidden="false" customHeight="false" outlineLevel="0" collapsed="false">
      <c r="A700" s="5" t="n">
        <v>2</v>
      </c>
      <c r="B700" s="25" t="n">
        <f aca="false">IF(T699&gt;0,B699,D699)</f>
        <v>-0.5</v>
      </c>
      <c r="C700" s="25" t="n">
        <f aca="false">IF(T699&gt;0,D699,C699)</f>
        <v>0.25</v>
      </c>
      <c r="D700" s="41" t="n">
        <f aca="false">(B700+C700)/2</f>
        <v>-0.125</v>
      </c>
      <c r="E700" s="15" t="n">
        <f aca="false">$C$2*(1+IF(E$3&lt;=$O$2,$D700,$D700-($D700-$I$697)*MIN(E$3-$O$2,$Q$2)/$Q$2))</f>
        <v>761.27625</v>
      </c>
      <c r="F700" s="15" t="n">
        <f aca="false">E700*(1+IF(F$3&lt;=$O$2,$D700,$D700-($D700-$I$697)*MIN(F$3-$O$2,$Q$2)/$Q$2))</f>
        <v>666.11671875</v>
      </c>
      <c r="G700" s="15" t="n">
        <f aca="false">F700*(1+IF(G$3&lt;=$O$2,$D700,$D700-($D700-$I$697)*MIN(G$3-$O$2,$Q$2)/$Q$2))</f>
        <v>582.85212890625</v>
      </c>
      <c r="H700" s="15" t="n">
        <f aca="false">G700*(1+IF(H$3&lt;=$O$2,$D700,$D700-($D700-$I$697)*MIN(H$3-$O$2,$Q$2)/$Q$2))</f>
        <v>509.995612792969</v>
      </c>
      <c r="I700" s="15" t="n">
        <f aca="false">H700*(1+IF(I$3&lt;=$O$2,$D700,$D700-($D700-$I$697)*MIN(I$3-$O$2,$Q$2)/$Q$2))</f>
        <v>446.246161193848</v>
      </c>
      <c r="J700" s="15" t="n">
        <f aca="false">I700*(1+IF(J$3&lt;=$O$2,$D700,$D700-($D700-$I$697)*MIN(J$3-$O$2,$Q$2)/$Q$2))</f>
        <v>405.039790669208</v>
      </c>
      <c r="K700" s="15" t="n">
        <f aca="false">J700*(1+IF(K$3&lt;=$O$2,$D700,$D700-($D700-$I$697)*MIN(K$3-$O$2,$Q$2)/$Q$2))</f>
        <v>380.86701596207</v>
      </c>
      <c r="L700" s="15" t="n">
        <f aca="false">K700*(1+IF(L$3&lt;=$O$2,$D700,$D700-($D700-$I$697)*MIN(L$3-$O$2,$Q$2)/$Q$2))</f>
        <v>370.575989190774</v>
      </c>
      <c r="M700" s="15" t="n">
        <f aca="false">L700*(1+IF(M$3&lt;=$O$2,$D700,$D700-($D700-$I$697)*MIN(M$3-$O$2,$Q$2)/$Q$2))</f>
        <v>372.66603776981</v>
      </c>
      <c r="N700" s="15" t="n">
        <f aca="false">M700*(1+IF(N$3&lt;=$O$2,$D700,$D700-($D700-$I$697)*MIN(N$3-$O$2,$Q$2)/$Q$2))</f>
        <v>386.939147016394</v>
      </c>
      <c r="O700" s="15" t="n">
        <f aca="false">SUMPRODUCT(E700:N700,1/(1+$F$697)^$E$3:$N$3)*$E$2</f>
        <v>750.994282948186</v>
      </c>
      <c r="P700" s="15" t="n">
        <f aca="false">N700*$E$2*(1+$I$697)/($F$697-$I$697)/(1+$F$697)^$N$3</f>
        <v>788.04158425457</v>
      </c>
      <c r="Q700" s="15" t="n">
        <f aca="false">O700+P700</f>
        <v>1539.03586720276</v>
      </c>
      <c r="R700" s="15" t="n">
        <f aca="false">Q700-$G$2+$I$2</f>
        <v>1706.43586720276</v>
      </c>
      <c r="S700" s="42" t="n">
        <f aca="false">R700/$K$2</f>
        <v>48.4920678375321</v>
      </c>
      <c r="T700" s="43" t="n">
        <f aca="false">S700-$M$2</f>
        <v>-116.043311531607</v>
      </c>
    </row>
    <row r="701" customFormat="false" ht="15" hidden="false" customHeight="false" outlineLevel="0" collapsed="false">
      <c r="A701" s="5" t="n">
        <v>3</v>
      </c>
      <c r="B701" s="25" t="n">
        <f aca="false">IF(T700&gt;0,B700,D700)</f>
        <v>-0.125</v>
      </c>
      <c r="C701" s="25" t="n">
        <f aca="false">IF(T700&gt;0,D700,C700)</f>
        <v>0.25</v>
      </c>
      <c r="D701" s="41" t="n">
        <f aca="false">(B701+C701)/2</f>
        <v>0.0625</v>
      </c>
      <c r="E701" s="15" t="n">
        <f aca="false">$C$2*(1+IF(E$3&lt;=$O$2,$D701,$D701-($D701-$I$697)*MIN(E$3-$O$2,$Q$2)/$Q$2))</f>
        <v>924.406875</v>
      </c>
      <c r="F701" s="15" t="n">
        <f aca="false">E701*(1+IF(F$3&lt;=$O$2,$D701,$D701-($D701-$I$697)*MIN(F$3-$O$2,$Q$2)/$Q$2))</f>
        <v>982.1823046875</v>
      </c>
      <c r="G701" s="15" t="n">
        <f aca="false">F701*(1+IF(G$3&lt;=$O$2,$D701,$D701-($D701-$I$697)*MIN(G$3-$O$2,$Q$2)/$Q$2))</f>
        <v>1043.56869873047</v>
      </c>
      <c r="H701" s="15" t="n">
        <f aca="false">G701*(1+IF(H$3&lt;=$O$2,$D701,$D701-($D701-$I$697)*MIN(H$3-$O$2,$Q$2)/$Q$2))</f>
        <v>1108.79174240112</v>
      </c>
      <c r="I701" s="15" t="n">
        <f aca="false">H701*(1+IF(I$3&lt;=$O$2,$D701,$D701-($D701-$I$697)*MIN(I$3-$O$2,$Q$2)/$Q$2))</f>
        <v>1178.09122630119</v>
      </c>
      <c r="J701" s="15" t="n">
        <f aca="false">I701*(1+IF(J$3&lt;=$O$2,$D701,$D701-($D701-$I$697)*MIN(J$3-$O$2,$Q$2)/$Q$2))</f>
        <v>1246.01996640972</v>
      </c>
      <c r="K701" s="15" t="n">
        <f aca="false">J701*(1+IF(K$3&lt;=$O$2,$D701,$D701-($D701-$I$697)*MIN(K$3-$O$2,$Q$2)/$Q$2))</f>
        <v>1311.83474103548</v>
      </c>
      <c r="L701" s="15" t="n">
        <f aca="false">K701*(1+IF(L$3&lt;=$O$2,$D701,$D701-($D701-$I$697)*MIN(L$3-$O$2,$Q$2)/$Q$2))</f>
        <v>1374.77657191036</v>
      </c>
      <c r="M701" s="15" t="n">
        <f aca="false">L701*(1+IF(M$3&lt;=$O$2,$D701,$D701-($D701-$I$697)*MIN(M$3-$O$2,$Q$2)/$Q$2))</f>
        <v>1434.08443322258</v>
      </c>
      <c r="N701" s="15" t="n">
        <f aca="false">M701*(1+IF(N$3&lt;=$O$2,$D701,$D701-($D701-$I$697)*MIN(N$3-$O$2,$Q$2)/$Q$2))</f>
        <v>1489.009867015</v>
      </c>
      <c r="O701" s="15" t="n">
        <f aca="false">SUMPRODUCT(E701:N701,1/(1+$F$697)^$E$3:$N$3)*$E$2</f>
        <v>1688.74915705501</v>
      </c>
      <c r="P701" s="15" t="n">
        <f aca="false">N701*$E$2*(1+$I$697)/($F$697-$I$697)/(1+$F$697)^$N$3</f>
        <v>3032.52256490727</v>
      </c>
      <c r="Q701" s="15" t="n">
        <f aca="false">O701+P701</f>
        <v>4721.27172196229</v>
      </c>
      <c r="R701" s="15" t="n">
        <f aca="false">Q701-$G$2+$I$2</f>
        <v>4888.67172196229</v>
      </c>
      <c r="S701" s="42" t="n">
        <f aca="false">R701/$K$2</f>
        <v>138.922185904015</v>
      </c>
      <c r="T701" s="43" t="n">
        <f aca="false">S701-$M$2</f>
        <v>-25.6131934651241</v>
      </c>
    </row>
    <row r="702" customFormat="false" ht="15" hidden="false" customHeight="false" outlineLevel="0" collapsed="false">
      <c r="A702" s="5" t="n">
        <v>4</v>
      </c>
      <c r="B702" s="25" t="n">
        <f aca="false">IF(T701&gt;0,B701,D701)</f>
        <v>0.0625</v>
      </c>
      <c r="C702" s="25" t="n">
        <f aca="false">IF(T701&gt;0,D701,C701)</f>
        <v>0.25</v>
      </c>
      <c r="D702" s="41" t="n">
        <f aca="false">(B702+C702)/2</f>
        <v>0.15625</v>
      </c>
      <c r="E702" s="15" t="n">
        <f aca="false">$C$2*(1+IF(E$3&lt;=$O$2,$D702,$D702-($D702-$I$697)*MIN(E$3-$O$2,$Q$2)/$Q$2))</f>
        <v>1005.9721875</v>
      </c>
      <c r="F702" s="15" t="n">
        <f aca="false">E702*(1+IF(F$3&lt;=$O$2,$D702,$D702-($D702-$I$697)*MIN(F$3-$O$2,$Q$2)/$Q$2))</f>
        <v>1163.15534179688</v>
      </c>
      <c r="G702" s="15" t="n">
        <f aca="false">F702*(1+IF(G$3&lt;=$O$2,$D702,$D702-($D702-$I$697)*MIN(G$3-$O$2,$Q$2)/$Q$2))</f>
        <v>1344.89836395264</v>
      </c>
      <c r="H702" s="15" t="n">
        <f aca="false">G702*(1+IF(H$3&lt;=$O$2,$D702,$D702-($D702-$I$697)*MIN(H$3-$O$2,$Q$2)/$Q$2))</f>
        <v>1555.03873332024</v>
      </c>
      <c r="I702" s="15" t="n">
        <f aca="false">H702*(1+IF(I$3&lt;=$O$2,$D702,$D702-($D702-$I$697)*MIN(I$3-$O$2,$Q$2)/$Q$2))</f>
        <v>1798.01353540152</v>
      </c>
      <c r="J702" s="15" t="n">
        <f aca="false">I702*(1+IF(J$3&lt;=$O$2,$D702,$D702-($D702-$I$697)*MIN(J$3-$O$2,$Q$2)/$Q$2))</f>
        <v>2036.53801100789</v>
      </c>
      <c r="K702" s="15" t="n">
        <f aca="false">J702*(1+IF(K$3&lt;=$O$2,$D702,$D702-($D702-$I$697)*MIN(K$3-$O$2,$Q$2)/$Q$2))</f>
        <v>2258.66321186852</v>
      </c>
      <c r="L702" s="15" t="n">
        <f aca="false">K702*(1+IF(L$3&lt;=$O$2,$D702,$D702-($D702-$I$697)*MIN(L$3-$O$2,$Q$2)/$Q$2))</f>
        <v>2451.73374321904</v>
      </c>
      <c r="M702" s="15" t="n">
        <f aca="false">L702*(1+IF(M$3&lt;=$O$2,$D702,$D702-($D702-$I$697)*MIN(M$3-$O$2,$Q$2)/$Q$2))</f>
        <v>2603.47154458687</v>
      </c>
      <c r="N702" s="15" t="n">
        <f aca="false">M702*(1+IF(N$3&lt;=$O$2,$D702,$D702-($D702-$I$697)*MIN(N$3-$O$2,$Q$2)/$Q$2))</f>
        <v>2703.18450474454</v>
      </c>
      <c r="O702" s="15" t="n">
        <f aca="false">SUMPRODUCT(E702:N702,1/(1+$F$697)^$E$3:$N$3)*$E$2</f>
        <v>2541.39498387444</v>
      </c>
      <c r="P702" s="15" t="n">
        <f aca="false">N702*$E$2*(1+$I$697)/($F$697-$I$697)/(1+$F$697)^$N$3</f>
        <v>5505.31476609949</v>
      </c>
      <c r="Q702" s="15" t="n">
        <f aca="false">O702+P702</f>
        <v>8046.70974997393</v>
      </c>
      <c r="R702" s="15" t="n">
        <f aca="false">Q702-$G$2+$I$2</f>
        <v>8214.10974997393</v>
      </c>
      <c r="S702" s="42" t="n">
        <f aca="false">R702/$K$2</f>
        <v>233.421703608239</v>
      </c>
      <c r="T702" s="43" t="n">
        <f aca="false">S702-$M$2</f>
        <v>68.8863242390999</v>
      </c>
    </row>
    <row r="703" customFormat="false" ht="15" hidden="false" customHeight="false" outlineLevel="0" collapsed="false">
      <c r="A703" s="5" t="n">
        <v>5</v>
      </c>
      <c r="B703" s="25" t="n">
        <f aca="false">IF(T702&gt;0,B702,D702)</f>
        <v>0.0625</v>
      </c>
      <c r="C703" s="25" t="n">
        <f aca="false">IF(T702&gt;0,D702,C702)</f>
        <v>0.15625</v>
      </c>
      <c r="D703" s="41" t="n">
        <f aca="false">(B703+C703)/2</f>
        <v>0.109375</v>
      </c>
      <c r="E703" s="15" t="n">
        <f aca="false">$C$2*(1+IF(E$3&lt;=$O$2,$D703,$D703-($D703-$I$697)*MIN(E$3-$O$2,$Q$2)/$Q$2))</f>
        <v>965.18953125</v>
      </c>
      <c r="F703" s="15" t="n">
        <f aca="false">E703*(1+IF(F$3&lt;=$O$2,$D703,$D703-($D703-$I$697)*MIN(F$3-$O$2,$Q$2)/$Q$2))</f>
        <v>1070.75713623047</v>
      </c>
      <c r="G703" s="15" t="n">
        <f aca="false">F703*(1+IF(G$3&lt;=$O$2,$D703,$D703-($D703-$I$697)*MIN(G$3-$O$2,$Q$2)/$Q$2))</f>
        <v>1187.87119800568</v>
      </c>
      <c r="H703" s="15" t="n">
        <f aca="false">G703*(1+IF(H$3&lt;=$O$2,$D703,$D703-($D703-$I$697)*MIN(H$3-$O$2,$Q$2)/$Q$2))</f>
        <v>1317.79461028755</v>
      </c>
      <c r="I703" s="15" t="n">
        <f aca="false">H703*(1+IF(I$3&lt;=$O$2,$D703,$D703-($D703-$I$697)*MIN(I$3-$O$2,$Q$2)/$Q$2))</f>
        <v>1461.92839578775</v>
      </c>
      <c r="J703" s="15" t="n">
        <f aca="false">I703*(1+IF(J$3&lt;=$O$2,$D703,$D703-($D703-$I$697)*MIN(J$3-$O$2,$Q$2)/$Q$2))</f>
        <v>1601.04550193091</v>
      </c>
      <c r="K703" s="15" t="n">
        <f aca="false">J703*(1+IF(K$3&lt;=$O$2,$D703,$D703-($D703-$I$697)*MIN(K$3-$O$2,$Q$2)/$Q$2))</f>
        <v>1730.64213008471</v>
      </c>
      <c r="L703" s="15" t="n">
        <f aca="false">K703*(1+IF(L$3&lt;=$O$2,$D703,$D703-($D703-$I$697)*MIN(L$3-$O$2,$Q$2)/$Q$2))</f>
        <v>1846.12787942526</v>
      </c>
      <c r="M703" s="15" t="n">
        <f aca="false">L703*(1+IF(M$3&lt;=$O$2,$D703,$D703-($D703-$I$697)*MIN(M$3-$O$2,$Q$2)/$Q$2))</f>
        <v>1943.07728501328</v>
      </c>
      <c r="N703" s="15" t="n">
        <f aca="false">M703*(1+IF(N$3&lt;=$O$2,$D703,$D703-($D703-$I$697)*MIN(N$3-$O$2,$Q$2)/$Q$2))</f>
        <v>2017.49714502929</v>
      </c>
      <c r="O703" s="15" t="n">
        <f aca="false">SUMPRODUCT(E703:N703,1/(1+$F$697)^$E$3:$N$3)*$E$2</f>
        <v>2072.11067569275</v>
      </c>
      <c r="P703" s="15" t="n">
        <f aca="false">N703*$E$2*(1+$I$697)/($F$697-$I$697)/(1+$F$697)^$N$3</f>
        <v>4108.84155469178</v>
      </c>
      <c r="Q703" s="15" t="n">
        <f aca="false">O703+P703</f>
        <v>6180.95223038453</v>
      </c>
      <c r="R703" s="15" t="n">
        <f aca="false">Q703-$G$2+$I$2</f>
        <v>6348.35223038453</v>
      </c>
      <c r="S703" s="42" t="n">
        <f aca="false">R703/$K$2</f>
        <v>180.402166251336</v>
      </c>
      <c r="T703" s="43" t="n">
        <f aca="false">S703-$M$2</f>
        <v>15.8667868821974</v>
      </c>
    </row>
    <row r="704" customFormat="false" ht="15" hidden="false" customHeight="false" outlineLevel="0" collapsed="false">
      <c r="A704" s="5" t="n">
        <v>6</v>
      </c>
      <c r="B704" s="25" t="n">
        <f aca="false">IF(T703&gt;0,B703,D703)</f>
        <v>0.0625</v>
      </c>
      <c r="C704" s="25" t="n">
        <f aca="false">IF(T703&gt;0,D703,C703)</f>
        <v>0.109375</v>
      </c>
      <c r="D704" s="41" t="n">
        <f aca="false">(B704+C704)/2</f>
        <v>0.0859375</v>
      </c>
      <c r="E704" s="15" t="n">
        <f aca="false">$C$2*(1+IF(E$3&lt;=$O$2,$D704,$D704-($D704-$I$697)*MIN(E$3-$O$2,$Q$2)/$Q$2))</f>
        <v>944.798203125</v>
      </c>
      <c r="F704" s="15" t="n">
        <f aca="false">E704*(1+IF(F$3&lt;=$O$2,$D704,$D704-($D704-$I$697)*MIN(F$3-$O$2,$Q$2)/$Q$2))</f>
        <v>1025.99179870605</v>
      </c>
      <c r="G704" s="15" t="n">
        <f aca="false">F704*(1+IF(G$3&lt;=$O$2,$D704,$D704-($D704-$I$697)*MIN(G$3-$O$2,$Q$2)/$Q$2))</f>
        <v>1114.16296890736</v>
      </c>
      <c r="H704" s="15" t="n">
        <f aca="false">G704*(1+IF(H$3&lt;=$O$2,$D704,$D704-($D704-$I$697)*MIN(H$3-$O$2,$Q$2)/$Q$2))</f>
        <v>1209.91134904783</v>
      </c>
      <c r="I704" s="15" t="n">
        <f aca="false">H704*(1+IF(I$3&lt;=$O$2,$D704,$D704-($D704-$I$697)*MIN(I$3-$O$2,$Q$2)/$Q$2))</f>
        <v>1313.88810560663</v>
      </c>
      <c r="J704" s="15" t="n">
        <f aca="false">I704*(1+IF(J$3&lt;=$O$2,$D704,$D704-($D704-$I$697)*MIN(J$3-$O$2,$Q$2)/$Q$2))</f>
        <v>1414.28229575603</v>
      </c>
      <c r="K704" s="15" t="n">
        <f aca="false">J704*(1+IF(K$3&lt;=$O$2,$D704,$D704-($D704-$I$697)*MIN(K$3-$O$2,$Q$2)/$Q$2))</f>
        <v>1508.87303140194</v>
      </c>
      <c r="L704" s="15" t="n">
        <f aca="false">K704*(1+IF(L$3&lt;=$O$2,$D704,$D704-($D704-$I$697)*MIN(L$3-$O$2,$Q$2)/$Q$2))</f>
        <v>1595.41444411799</v>
      </c>
      <c r="M704" s="15" t="n">
        <f aca="false">L704*(1+IF(M$3&lt;=$O$2,$D704,$D704-($D704-$I$697)*MIN(M$3-$O$2,$Q$2)/$Q$2))</f>
        <v>1671.71912844405</v>
      </c>
      <c r="N704" s="15" t="n">
        <f aca="false">M704*(1+IF(N$3&lt;=$O$2,$D704,$D704-($D704-$I$697)*MIN(N$3-$O$2,$Q$2)/$Q$2))</f>
        <v>1735.74597106345</v>
      </c>
      <c r="O704" s="15" t="n">
        <f aca="false">SUMPRODUCT(E704:N704,1/(1+$F$697)^$E$3:$N$3)*$E$2</f>
        <v>1870.67039885545</v>
      </c>
      <c r="P704" s="15" t="n">
        <f aca="false">N704*$E$2*(1+$I$697)/($F$697-$I$697)/(1+$F$697)^$N$3</f>
        <v>3535.02615449343</v>
      </c>
      <c r="Q704" s="15" t="n">
        <f aca="false">O704+P704</f>
        <v>5405.69655334888</v>
      </c>
      <c r="R704" s="15" t="n">
        <f aca="false">Q704-$G$2+$I$2</f>
        <v>5573.09655334888</v>
      </c>
      <c r="S704" s="42" t="n">
        <f aca="false">R704/$K$2</f>
        <v>158.371598560639</v>
      </c>
      <c r="T704" s="43" t="n">
        <f aca="false">S704-$M$2</f>
        <v>-6.16378080850015</v>
      </c>
    </row>
    <row r="705" customFormat="false" ht="15" hidden="false" customHeight="false" outlineLevel="0" collapsed="false">
      <c r="A705" s="5" t="n">
        <v>7</v>
      </c>
      <c r="B705" s="25" t="n">
        <f aca="false">IF(T704&gt;0,B704,D704)</f>
        <v>0.0859375</v>
      </c>
      <c r="C705" s="25" t="n">
        <f aca="false">IF(T704&gt;0,D704,C704)</f>
        <v>0.109375</v>
      </c>
      <c r="D705" s="41" t="n">
        <f aca="false">(B705+C705)/2</f>
        <v>0.09765625</v>
      </c>
      <c r="E705" s="15" t="n">
        <f aca="false">$C$2*(1+IF(E$3&lt;=$O$2,$D705,$D705-($D705-$I$697)*MIN(E$3-$O$2,$Q$2)/$Q$2))</f>
        <v>954.9938671875</v>
      </c>
      <c r="F705" s="15" t="n">
        <f aca="false">E705*(1+IF(F$3&lt;=$O$2,$D705,$D705-($D705-$I$697)*MIN(F$3-$O$2,$Q$2)/$Q$2))</f>
        <v>1048.25498703003</v>
      </c>
      <c r="G705" s="15" t="n">
        <f aca="false">F705*(1+IF(G$3&lt;=$O$2,$D705,$D705-($D705-$I$697)*MIN(G$3-$O$2,$Q$2)/$Q$2))</f>
        <v>1150.62363810718</v>
      </c>
      <c r="H705" s="15" t="n">
        <f aca="false">G705*(1+IF(H$3&lt;=$O$2,$D705,$D705-($D705-$I$697)*MIN(H$3-$O$2,$Q$2)/$Q$2))</f>
        <v>1262.98922776609</v>
      </c>
      <c r="I705" s="15" t="n">
        <f aca="false">H705*(1+IF(I$3&lt;=$O$2,$D705,$D705-($D705-$I$697)*MIN(I$3-$O$2,$Q$2)/$Q$2))</f>
        <v>1386.32801954012</v>
      </c>
      <c r="J705" s="15" t="n">
        <f aca="false">I705*(1+IF(J$3&lt;=$O$2,$D705,$D705-($D705-$I$697)*MIN(J$3-$O$2,$Q$2)/$Q$2))</f>
        <v>1505.25416869637</v>
      </c>
      <c r="K705" s="15" t="n">
        <f aca="false">J705*(1+IF(K$3&lt;=$O$2,$D705,$D705-($D705-$I$697)*MIN(K$3-$O$2,$Q$2)/$Q$2))</f>
        <v>1616.51314900785</v>
      </c>
      <c r="L705" s="15" t="n">
        <f aca="false">K705*(1+IF(L$3&lt;=$O$2,$D705,$D705-($D705-$I$697)*MIN(L$3-$O$2,$Q$2)/$Q$2))</f>
        <v>1716.80566605517</v>
      </c>
      <c r="M705" s="15" t="n">
        <f aca="false">L705*(1+IF(M$3&lt;=$O$2,$D705,$D705-($D705-$I$697)*MIN(M$3-$O$2,$Q$2)/$Q$2))</f>
        <v>1802.93995232824</v>
      </c>
      <c r="N705" s="15" t="n">
        <f aca="false">M705*(1+IF(N$3&lt;=$O$2,$D705,$D705-($D705-$I$697)*MIN(N$3-$O$2,$Q$2)/$Q$2))</f>
        <v>1871.99255250241</v>
      </c>
      <c r="O705" s="15" t="n">
        <f aca="false">SUMPRODUCT(E705:N705,1/(1+$F$697)^$E$3:$N$3)*$E$2</f>
        <v>1968.83423660768</v>
      </c>
      <c r="P705" s="15" t="n">
        <f aca="false">N705*$E$2*(1+$I$697)/($F$697-$I$697)/(1+$F$697)^$N$3</f>
        <v>3812.50640614104</v>
      </c>
      <c r="Q705" s="15" t="n">
        <f aca="false">O705+P705</f>
        <v>5781.34064274872</v>
      </c>
      <c r="R705" s="15" t="n">
        <f aca="false">Q705-$G$2+$I$2</f>
        <v>5948.74064274872</v>
      </c>
      <c r="S705" s="42" t="n">
        <f aca="false">R705/$K$2</f>
        <v>169.046338242362</v>
      </c>
      <c r="T705" s="43" t="n">
        <f aca="false">S705-$M$2</f>
        <v>4.51095887322313</v>
      </c>
    </row>
    <row r="706" customFormat="false" ht="15" hidden="false" customHeight="false" outlineLevel="0" collapsed="false">
      <c r="A706" s="5" t="n">
        <v>8</v>
      </c>
      <c r="B706" s="25" t="n">
        <f aca="false">IF(T705&gt;0,B705,D705)</f>
        <v>0.0859375</v>
      </c>
      <c r="C706" s="25" t="n">
        <f aca="false">IF(T705&gt;0,D705,C705)</f>
        <v>0.09765625</v>
      </c>
      <c r="D706" s="41" t="n">
        <f aca="false">(B706+C706)/2</f>
        <v>0.091796875</v>
      </c>
      <c r="E706" s="15" t="n">
        <f aca="false">$C$2*(1+IF(E$3&lt;=$O$2,$D706,$D706-($D706-$I$697)*MIN(E$3-$O$2,$Q$2)/$Q$2))</f>
        <v>949.89603515625</v>
      </c>
      <c r="F706" s="15" t="n">
        <f aca="false">E706*(1+IF(F$3&lt;=$O$2,$D706,$D706-($D706-$I$697)*MIN(F$3-$O$2,$Q$2)/$Q$2))</f>
        <v>1037.09352275848</v>
      </c>
      <c r="G706" s="15" t="n">
        <f aca="false">F706*(1+IF(G$3&lt;=$O$2,$D706,$D706-($D706-$I$697)*MIN(G$3-$O$2,$Q$2)/$Q$2))</f>
        <v>1132.29546723045</v>
      </c>
      <c r="H706" s="15" t="n">
        <f aca="false">G706*(1+IF(H$3&lt;=$O$2,$D706,$D706-($D706-$I$697)*MIN(H$3-$O$2,$Q$2)/$Q$2))</f>
        <v>1236.23665269887</v>
      </c>
      <c r="I706" s="15" t="n">
        <f aca="false">H706*(1+IF(I$3&lt;=$O$2,$D706,$D706-($D706-$I$697)*MIN(I$3-$O$2,$Q$2)/$Q$2))</f>
        <v>1349.71931417709</v>
      </c>
      <c r="J706" s="15" t="n">
        <f aca="false">I706*(1+IF(J$3&lt;=$O$2,$D706,$D706-($D706-$I$697)*MIN(J$3-$O$2,$Q$2)/$Q$2))</f>
        <v>1459.17817625857</v>
      </c>
      <c r="K706" s="15" t="n">
        <f aca="false">J706*(1+IF(K$3&lt;=$O$2,$D706,$D706-($D706-$I$697)*MIN(K$3-$O$2,$Q$2)/$Q$2))</f>
        <v>1561.90158390809</v>
      </c>
      <c r="L706" s="15" t="n">
        <f aca="false">K706*(1+IF(L$3&lt;=$O$2,$D706,$D706-($D706-$I$697)*MIN(L$3-$O$2,$Q$2)/$Q$2))</f>
        <v>1655.14515609042</v>
      </c>
      <c r="M706" s="15" t="n">
        <f aca="false">L706*(1+IF(M$3&lt;=$O$2,$D706,$D706-($D706-$I$697)*MIN(M$3-$O$2,$Q$2)/$Q$2))</f>
        <v>1736.24623427313</v>
      </c>
      <c r="N706" s="15" t="n">
        <f aca="false">M706*(1+IF(N$3&lt;=$O$2,$D706,$D706-($D706-$I$697)*MIN(N$3-$O$2,$Q$2)/$Q$2))</f>
        <v>1802.74446504579</v>
      </c>
      <c r="O706" s="15" t="n">
        <f aca="false">SUMPRODUCT(E706:N706,1/(1+$F$697)^$E$3:$N$3)*$E$2</f>
        <v>1919.12816750684</v>
      </c>
      <c r="P706" s="15" t="n">
        <f aca="false">N706*$E$2*(1+$I$697)/($F$697-$I$697)/(1+$F$697)^$N$3</f>
        <v>3671.4755154527</v>
      </c>
      <c r="Q706" s="15" t="n">
        <f aca="false">O706+P706</f>
        <v>5590.60368295955</v>
      </c>
      <c r="R706" s="15" t="n">
        <f aca="false">Q706-$G$2+$I$2</f>
        <v>5758.00368295955</v>
      </c>
      <c r="S706" s="42" t="n">
        <f aca="false">R706/$K$2</f>
        <v>163.626134781459</v>
      </c>
      <c r="T706" s="43" t="n">
        <f aca="false">S706-$M$2</f>
        <v>-0.909244587679865</v>
      </c>
    </row>
    <row r="707" customFormat="false" ht="15" hidden="false" customHeight="false" outlineLevel="0" collapsed="false">
      <c r="A707" s="5" t="n">
        <v>9</v>
      </c>
      <c r="B707" s="25" t="n">
        <f aca="false">IF(T706&gt;0,B706,D706)</f>
        <v>0.091796875</v>
      </c>
      <c r="C707" s="25" t="n">
        <f aca="false">IF(T706&gt;0,D706,C706)</f>
        <v>0.09765625</v>
      </c>
      <c r="D707" s="41" t="n">
        <f aca="false">(B707+C707)/2</f>
        <v>0.0947265625</v>
      </c>
      <c r="E707" s="15" t="n">
        <f aca="false">$C$2*(1+IF(E$3&lt;=$O$2,$D707,$D707-($D707-$I$697)*MIN(E$3-$O$2,$Q$2)/$Q$2))</f>
        <v>952.444951171875</v>
      </c>
      <c r="F707" s="15" t="n">
        <f aca="false">E707*(1+IF(F$3&lt;=$O$2,$D707,$D707-($D707-$I$697)*MIN(F$3-$O$2,$Q$2)/$Q$2))</f>
        <v>1042.66678736687</v>
      </c>
      <c r="G707" s="15" t="n">
        <f aca="false">F707*(1+IF(G$3&lt;=$O$2,$D707,$D707-($D707-$I$697)*MIN(G$3-$O$2,$Q$2)/$Q$2))</f>
        <v>1141.43502796705</v>
      </c>
      <c r="H707" s="15" t="n">
        <f aca="false">G707*(1+IF(H$3&lt;=$O$2,$D707,$D707-($D707-$I$697)*MIN(H$3-$O$2,$Q$2)/$Q$2))</f>
        <v>1249.55924448346</v>
      </c>
      <c r="I707" s="15" t="n">
        <f aca="false">H707*(1+IF(I$3&lt;=$O$2,$D707,$D707-($D707-$I$697)*MIN(I$3-$O$2,$Q$2)/$Q$2))</f>
        <v>1367.92569635347</v>
      </c>
      <c r="J707" s="15" t="n">
        <f aca="false">I707*(1+IF(J$3&lt;=$O$2,$D707,$D707-($D707-$I$697)*MIN(J$3-$O$2,$Q$2)/$Q$2))</f>
        <v>1482.06712636433</v>
      </c>
      <c r="K707" s="15" t="n">
        <f aca="false">J707*(1+IF(K$3&lt;=$O$2,$D707,$D707-($D707-$I$697)*MIN(K$3-$O$2,$Q$2)/$Q$2))</f>
        <v>1589.00706930508</v>
      </c>
      <c r="L707" s="15" t="n">
        <f aca="false">K707*(1+IF(L$3&lt;=$O$2,$D707,$D707-($D707-$I$697)*MIN(L$3-$O$2,$Q$2)/$Q$2))</f>
        <v>1685.7309227431</v>
      </c>
      <c r="M707" s="15" t="n">
        <f aca="false">L707*(1+IF(M$3&lt;=$O$2,$D707,$D707-($D707-$I$697)*MIN(M$3-$O$2,$Q$2)/$Q$2))</f>
        <v>1769.31841733823</v>
      </c>
      <c r="N707" s="15" t="n">
        <f aca="false">M707*(1+IF(N$3&lt;=$O$2,$D707,$D707-($D707-$I$697)*MIN(N$3-$O$2,$Q$2)/$Q$2))</f>
        <v>1837.08331272228</v>
      </c>
      <c r="O707" s="15" t="n">
        <f aca="false">SUMPRODUCT(E707:N707,1/(1+$F$697)^$E$3:$N$3)*$E$2</f>
        <v>1943.82332258249</v>
      </c>
      <c r="P707" s="15" t="n">
        <f aca="false">N707*$E$2*(1+$I$697)/($F$697-$I$697)/(1+$F$697)^$N$3</f>
        <v>3741.41012954671</v>
      </c>
      <c r="Q707" s="15" t="n">
        <f aca="false">O707+P707</f>
        <v>5685.23345212919</v>
      </c>
      <c r="R707" s="15" t="n">
        <f aca="false">Q707-$G$2+$I$2</f>
        <v>5852.63345212919</v>
      </c>
      <c r="S707" s="42" t="n">
        <f aca="false">R707/$K$2</f>
        <v>166.315244448116</v>
      </c>
      <c r="T707" s="43" t="n">
        <f aca="false">S707-$M$2</f>
        <v>1.77986507897674</v>
      </c>
    </row>
    <row r="708" customFormat="false" ht="15" hidden="false" customHeight="false" outlineLevel="0" collapsed="false">
      <c r="A708" s="5" t="n">
        <v>10</v>
      </c>
      <c r="B708" s="25" t="n">
        <f aca="false">IF(T707&gt;0,B707,D707)</f>
        <v>0.091796875</v>
      </c>
      <c r="C708" s="25" t="n">
        <f aca="false">IF(T707&gt;0,D707,C707)</f>
        <v>0.0947265625</v>
      </c>
      <c r="D708" s="41" t="n">
        <f aca="false">(B708+C708)/2</f>
        <v>0.09326171875</v>
      </c>
      <c r="E708" s="15" t="n">
        <f aca="false">$C$2*(1+IF(E$3&lt;=$O$2,$D708,$D708-($D708-$I$697)*MIN(E$3-$O$2,$Q$2)/$Q$2))</f>
        <v>951.170493164063</v>
      </c>
      <c r="F708" s="15" t="n">
        <f aca="false">E708*(1+IF(F$3&lt;=$O$2,$D708,$D708-($D708-$I$697)*MIN(F$3-$O$2,$Q$2)/$Q$2))</f>
        <v>1039.87828818083</v>
      </c>
      <c r="G708" s="15" t="n">
        <f aca="false">F708*(1+IF(G$3&lt;=$O$2,$D708,$D708-($D708-$I$697)*MIN(G$3-$O$2,$Q$2)/$Q$2))</f>
        <v>1136.85912462738</v>
      </c>
      <c r="H708" s="15" t="n">
        <f aca="false">G708*(1+IF(H$3&lt;=$O$2,$D708,$D708-($D708-$I$697)*MIN(H$3-$O$2,$Q$2)/$Q$2))</f>
        <v>1242.88456056675</v>
      </c>
      <c r="I708" s="15" t="n">
        <f aca="false">H708*(1+IF(I$3&lt;=$O$2,$D708,$D708-($D708-$I$697)*MIN(I$3-$O$2,$Q$2)/$Q$2))</f>
        <v>1358.79811089304</v>
      </c>
      <c r="J708" s="15" t="n">
        <f aca="false">I708*(1+IF(J$3&lt;=$O$2,$D708,$D708-($D708-$I$697)*MIN(J$3-$O$2,$Q$2)/$Q$2))</f>
        <v>1470.58558222739</v>
      </c>
      <c r="K708" s="15" t="n">
        <f aca="false">J708*(1+IF(K$3&lt;=$O$2,$D708,$D708-($D708-$I$697)*MIN(K$3-$O$2,$Q$2)/$Q$2))</f>
        <v>1575.40455672762</v>
      </c>
      <c r="L708" s="15" t="n">
        <f aca="false">K708*(1+IF(L$3&lt;=$O$2,$D708,$D708-($D708-$I$697)*MIN(L$3-$O$2,$Q$2)/$Q$2))</f>
        <v>1670.37732811602</v>
      </c>
      <c r="M708" s="15" t="n">
        <f aca="false">L708*(1+IF(M$3&lt;=$O$2,$D708,$D708-($D708-$I$697)*MIN(M$3-$O$2,$Q$2)/$Q$2))</f>
        <v>1752.71414156572</v>
      </c>
      <c r="N708" s="15" t="n">
        <f aca="false">M708*(1+IF(N$3&lt;=$O$2,$D708,$D708-($D708-$I$697)*MIN(N$3-$O$2,$Q$2)/$Q$2))</f>
        <v>1819.84309318768</v>
      </c>
      <c r="O708" s="15" t="n">
        <f aca="false">SUMPRODUCT(E708:N708,1/(1+$F$697)^$E$3:$N$3)*$E$2</f>
        <v>1931.43650688335</v>
      </c>
      <c r="P708" s="15" t="n">
        <f aca="false">N708*$E$2*(1+$I$697)/($F$697-$I$697)/(1+$F$697)^$N$3</f>
        <v>3706.29863974347</v>
      </c>
      <c r="Q708" s="15" t="n">
        <f aca="false">O708+P708</f>
        <v>5637.73514662682</v>
      </c>
      <c r="R708" s="15" t="n">
        <f aca="false">Q708-$G$2+$I$2</f>
        <v>5805.13514662682</v>
      </c>
      <c r="S708" s="42" t="n">
        <f aca="false">R708/$K$2</f>
        <v>164.965477312498</v>
      </c>
      <c r="T708" s="43" t="n">
        <f aca="false">S708-$M$2</f>
        <v>0.430097943359471</v>
      </c>
    </row>
    <row r="709" customFormat="false" ht="15" hidden="false" customHeight="false" outlineLevel="0" collapsed="false">
      <c r="A709" s="5" t="n">
        <v>11</v>
      </c>
      <c r="B709" s="25" t="n">
        <f aca="false">IF(T708&gt;0,B708,D708)</f>
        <v>0.091796875</v>
      </c>
      <c r="C709" s="25" t="n">
        <f aca="false">IF(T708&gt;0,D708,C708)</f>
        <v>0.09326171875</v>
      </c>
      <c r="D709" s="41" t="n">
        <f aca="false">(B709+C709)/2</f>
        <v>0.092529296875</v>
      </c>
      <c r="E709" s="15" t="n">
        <f aca="false">$C$2*(1+IF(E$3&lt;=$O$2,$D709,$D709-($D709-$I$697)*MIN(E$3-$O$2,$Q$2)/$Q$2))</f>
        <v>950.533264160156</v>
      </c>
      <c r="F709" s="15" t="n">
        <f aca="false">E709*(1+IF(F$3&lt;=$O$2,$D709,$D709-($D709-$I$697)*MIN(F$3-$O$2,$Q$2)/$Q$2))</f>
        <v>1038.48543874919</v>
      </c>
      <c r="G709" s="15" t="n">
        <f aca="false">F709*(1+IF(G$3&lt;=$O$2,$D709,$D709-($D709-$I$697)*MIN(G$3-$O$2,$Q$2)/$Q$2))</f>
        <v>1134.57576621158</v>
      </c>
      <c r="H709" s="15" t="n">
        <f aca="false">G709*(1+IF(H$3&lt;=$O$2,$D709,$D709-($D709-$I$697)*MIN(H$3-$O$2,$Q$2)/$Q$2))</f>
        <v>1239.55726411056</v>
      </c>
      <c r="I709" s="15" t="n">
        <f aca="false">H709*(1+IF(I$3&lt;=$O$2,$D709,$D709-($D709-$I$697)*MIN(I$3-$O$2,$Q$2)/$Q$2))</f>
        <v>1354.252626195</v>
      </c>
      <c r="J709" s="15" t="n">
        <f aca="false">I709*(1+IF(J$3&lt;=$O$2,$D709,$D709-($D709-$I$697)*MIN(J$3-$O$2,$Q$2)/$Q$2))</f>
        <v>1464.87263594601</v>
      </c>
      <c r="K709" s="15" t="n">
        <f aca="false">J709*(1+IF(K$3&lt;=$O$2,$D709,$D709-($D709-$I$697)*MIN(K$3-$O$2,$Q$2)/$Q$2))</f>
        <v>1568.64066573801</v>
      </c>
      <c r="L709" s="15" t="n">
        <f aca="false">K709*(1+IF(L$3&lt;=$O$2,$D709,$D709-($D709-$I$697)*MIN(L$3-$O$2,$Q$2)/$Q$2))</f>
        <v>1662.74611537678</v>
      </c>
      <c r="M709" s="15" t="n">
        <f aca="false">L709*(1+IF(M$3&lt;=$O$2,$D709,$D709-($D709-$I$697)*MIN(M$3-$O$2,$Q$2)/$Q$2))</f>
        <v>1744.46320213942</v>
      </c>
      <c r="N709" s="15" t="n">
        <f aca="false">M709*(1+IF(N$3&lt;=$O$2,$D709,$D709-($D709-$I$697)*MIN(N$3-$O$2,$Q$2)/$Q$2))</f>
        <v>1811.27614278136</v>
      </c>
      <c r="O709" s="15" t="n">
        <f aca="false">SUMPRODUCT(E709:N709,1/(1+$F$697)^$E$3:$N$3)*$E$2</f>
        <v>1925.2725564893</v>
      </c>
      <c r="P709" s="15" t="n">
        <f aca="false">N709*$E$2*(1+$I$697)/($F$697-$I$697)/(1+$F$697)^$N$3</f>
        <v>3688.8511593774</v>
      </c>
      <c r="Q709" s="15" t="n">
        <f aca="false">O709+P709</f>
        <v>5614.12371586669</v>
      </c>
      <c r="R709" s="15" t="n">
        <f aca="false">Q709-$G$2+$I$2</f>
        <v>5781.52371586669</v>
      </c>
      <c r="S709" s="42" t="n">
        <f aca="false">R709/$K$2</f>
        <v>164.294507413092</v>
      </c>
      <c r="T709" s="43" t="n">
        <f aca="false">S709-$M$2</f>
        <v>-0.240871956047386</v>
      </c>
    </row>
    <row r="710" customFormat="false" ht="15" hidden="false" customHeight="false" outlineLevel="0" collapsed="false">
      <c r="A710" s="5" t="n">
        <v>12</v>
      </c>
      <c r="B710" s="25" t="n">
        <f aca="false">IF(T709&gt;0,B709,D709)</f>
        <v>0.092529296875</v>
      </c>
      <c r="C710" s="25" t="n">
        <f aca="false">IF(T709&gt;0,D709,C709)</f>
        <v>0.09326171875</v>
      </c>
      <c r="D710" s="41" t="n">
        <f aca="false">(B710+C710)/2</f>
        <v>0.0928955078125</v>
      </c>
      <c r="E710" s="15" t="n">
        <f aca="false">$C$2*(1+IF(E$3&lt;=$O$2,$D710,$D710-($D710-$I$697)*MIN(E$3-$O$2,$Q$2)/$Q$2))</f>
        <v>950.851878662109</v>
      </c>
      <c r="F710" s="15" t="n">
        <f aca="false">E710*(1+IF(F$3&lt;=$O$2,$D710,$D710-($D710-$I$697)*MIN(F$3-$O$2,$Q$2)/$Q$2))</f>
        <v>1039.1817467849</v>
      </c>
      <c r="G710" s="15" t="n">
        <f aca="false">F710*(1+IF(G$3&lt;=$O$2,$D710,$D710-($D710-$I$697)*MIN(G$3-$O$2,$Q$2)/$Q$2))</f>
        <v>1135.71706286196</v>
      </c>
      <c r="H710" s="15" t="n">
        <f aca="false">G710*(1+IF(H$3&lt;=$O$2,$D710,$D710-($D710-$I$697)*MIN(H$3-$O$2,$Q$2)/$Q$2))</f>
        <v>1241.22007614784</v>
      </c>
      <c r="I710" s="15" t="n">
        <f aca="false">H710*(1+IF(I$3&lt;=$O$2,$D710,$D710-($D710-$I$697)*MIN(I$3-$O$2,$Q$2)/$Q$2))</f>
        <v>1356.52384542867</v>
      </c>
      <c r="J710" s="15" t="n">
        <f aca="false">I710*(1+IF(J$3&lt;=$O$2,$D710,$D710-($D710-$I$697)*MIN(J$3-$O$2,$Q$2)/$Q$2))</f>
        <v>1467.72679526934</v>
      </c>
      <c r="K710" s="15" t="n">
        <f aca="false">J710*(1+IF(K$3&lt;=$O$2,$D710,$D710-($D710-$I$697)*MIN(K$3-$O$2,$Q$2)/$Q$2))</f>
        <v>1572.0195053588</v>
      </c>
      <c r="L710" s="15" t="n">
        <f aca="false">K710*(1+IF(L$3&lt;=$O$2,$D710,$D710-($D710-$I$697)*MIN(L$3-$O$2,$Q$2)/$Q$2))</f>
        <v>1666.55793368853</v>
      </c>
      <c r="M710" s="15" t="n">
        <f aca="false">L710*(1+IF(M$3&lt;=$O$2,$D710,$D710-($D710-$I$697)*MIN(M$3-$O$2,$Q$2)/$Q$2))</f>
        <v>1748.58441788653</v>
      </c>
      <c r="N710" s="15" t="n">
        <f aca="false">M710*(1+IF(N$3&lt;=$O$2,$D710,$D710-($D710-$I$697)*MIN(N$3-$O$2,$Q$2)/$Q$2))</f>
        <v>1815.55520109159</v>
      </c>
      <c r="O710" s="15" t="n">
        <f aca="false">SUMPRODUCT(E710:N710,1/(1+$F$697)^$E$3:$N$3)*$E$2</f>
        <v>1928.3520829113</v>
      </c>
      <c r="P710" s="15" t="n">
        <f aca="false">N710*$E$2*(1+$I$697)/($F$697-$I$697)/(1+$F$697)^$N$3</f>
        <v>3697.56590410125</v>
      </c>
      <c r="Q710" s="15" t="n">
        <f aca="false">O710+P710</f>
        <v>5625.91798701255</v>
      </c>
      <c r="R710" s="15" t="n">
        <f aca="false">Q710-$G$2+$I$2</f>
        <v>5793.31798701255</v>
      </c>
      <c r="S710" s="42" t="n">
        <f aca="false">R710/$K$2</f>
        <v>164.629667150115</v>
      </c>
      <c r="T710" s="43" t="n">
        <f aca="false">S710-$M$2</f>
        <v>0.094287780975975</v>
      </c>
    </row>
    <row r="711" customFormat="false" ht="15" hidden="false" customHeight="false" outlineLevel="0" collapsed="false">
      <c r="A711" s="5" t="n">
        <v>13</v>
      </c>
      <c r="B711" s="25" t="n">
        <f aca="false">IF(T710&gt;0,B710,D710)</f>
        <v>0.092529296875</v>
      </c>
      <c r="C711" s="25" t="n">
        <f aca="false">IF(T710&gt;0,D710,C710)</f>
        <v>0.0928955078125</v>
      </c>
      <c r="D711" s="41" t="n">
        <f aca="false">(B711+C711)/2</f>
        <v>0.09271240234375</v>
      </c>
      <c r="E711" s="15" t="n">
        <f aca="false">$C$2*(1+IF(E$3&lt;=$O$2,$D711,$D711-($D711-$I$697)*MIN(E$3-$O$2,$Q$2)/$Q$2))</f>
        <v>950.692571411133</v>
      </c>
      <c r="F711" s="15" t="n">
        <f aca="false">E711*(1+IF(F$3&lt;=$O$2,$D711,$D711-($D711-$I$697)*MIN(F$3-$O$2,$Q$2)/$Q$2))</f>
        <v>1038.83356359702</v>
      </c>
      <c r="G711" s="15" t="n">
        <f aca="false">F711*(1+IF(G$3&lt;=$O$2,$D711,$D711-($D711-$I$697)*MIN(G$3-$O$2,$Q$2)/$Q$2))</f>
        <v>1135.14631891341</v>
      </c>
      <c r="H711" s="15" t="n">
        <f aca="false">G711*(1+IF(H$3&lt;=$O$2,$D711,$D711-($D711-$I$697)*MIN(H$3-$O$2,$Q$2)/$Q$2))</f>
        <v>1240.38846115154</v>
      </c>
      <c r="I711" s="15" t="n">
        <f aca="false">H711*(1+IF(I$3&lt;=$O$2,$D711,$D711-($D711-$I$697)*MIN(I$3-$O$2,$Q$2)/$Q$2))</f>
        <v>1355.38785522437</v>
      </c>
      <c r="J711" s="15" t="n">
        <f aca="false">I711*(1+IF(J$3&lt;=$O$2,$D711,$D711-($D711-$I$697)*MIN(J$3-$O$2,$Q$2)/$Q$2))</f>
        <v>1466.2991375277</v>
      </c>
      <c r="K711" s="15" t="n">
        <f aca="false">J711*(1+IF(K$3&lt;=$O$2,$D711,$D711-($D711-$I$697)*MIN(K$3-$O$2,$Q$2)/$Q$2))</f>
        <v>1570.32930967148</v>
      </c>
      <c r="L711" s="15" t="n">
        <f aca="false">K711*(1+IF(L$3&lt;=$O$2,$D711,$D711-($D711-$I$697)*MIN(L$3-$O$2,$Q$2)/$Q$2))</f>
        <v>1664.65107831591</v>
      </c>
      <c r="M711" s="15" t="n">
        <f aca="false">L711*(1+IF(M$3&lt;=$O$2,$D711,$D711-($D711-$I$697)*MIN(M$3-$O$2,$Q$2)/$Q$2))</f>
        <v>1746.52274746247</v>
      </c>
      <c r="N711" s="15" t="n">
        <f aca="false">M711*(1+IF(N$3&lt;=$O$2,$D711,$D711-($D711-$I$697)*MIN(N$3-$O$2,$Q$2)/$Q$2))</f>
        <v>1813.41456869028</v>
      </c>
      <c r="O711" s="15" t="n">
        <f aca="false">SUMPRODUCT(E711:N711,1/(1+$F$697)^$E$3:$N$3)*$E$2</f>
        <v>1926.81170795672</v>
      </c>
      <c r="P711" s="15" t="n">
        <f aca="false">N711*$E$2*(1+$I$697)/($F$697-$I$697)/(1+$F$697)^$N$3</f>
        <v>3693.20628486437</v>
      </c>
      <c r="Q711" s="15" t="n">
        <f aca="false">O711+P711</f>
        <v>5620.01799282109</v>
      </c>
      <c r="R711" s="15" t="n">
        <f aca="false">Q711-$G$2+$I$2</f>
        <v>5787.41799282109</v>
      </c>
      <c r="S711" s="42" t="n">
        <f aca="false">R711/$K$2</f>
        <v>164.462006047772</v>
      </c>
      <c r="T711" s="43" t="n">
        <f aca="false">S711-$M$2</f>
        <v>-0.0733733213671428</v>
      </c>
    </row>
    <row r="712" customFormat="false" ht="15" hidden="false" customHeight="false" outlineLevel="0" collapsed="false">
      <c r="A712" s="5" t="n">
        <v>14</v>
      </c>
      <c r="B712" s="25" t="n">
        <f aca="false">IF(T711&gt;0,B711,D711)</f>
        <v>0.09271240234375</v>
      </c>
      <c r="C712" s="25" t="n">
        <f aca="false">IF(T711&gt;0,D711,C711)</f>
        <v>0.0928955078125</v>
      </c>
      <c r="D712" s="41" t="n">
        <f aca="false">(B712+C712)/2</f>
        <v>0.092803955078125</v>
      </c>
      <c r="E712" s="15" t="n">
        <f aca="false">$C$2*(1+IF(E$3&lt;=$O$2,$D712,$D712-($D712-$I$697)*MIN(E$3-$O$2,$Q$2)/$Q$2))</f>
        <v>950.772225036621</v>
      </c>
      <c r="F712" s="15" t="n">
        <f aca="false">E712*(1+IF(F$3&lt;=$O$2,$D712,$D712-($D712-$I$697)*MIN(F$3-$O$2,$Q$2)/$Q$2))</f>
        <v>1039.00764789845</v>
      </c>
      <c r="G712" s="15" t="n">
        <f aca="false">F712*(1+IF(G$3&lt;=$O$2,$D712,$D712-($D712-$I$697)*MIN(G$3-$O$2,$Q$2)/$Q$2))</f>
        <v>1135.43166697984</v>
      </c>
      <c r="H712" s="15" t="n">
        <f aca="false">G712*(1+IF(H$3&lt;=$O$2,$D712,$D712-($D712-$I$697)*MIN(H$3-$O$2,$Q$2)/$Q$2))</f>
        <v>1240.80421639652</v>
      </c>
      <c r="I712" s="15" t="n">
        <f aca="false">H712*(1+IF(I$3&lt;=$O$2,$D712,$D712-($D712-$I$697)*MIN(I$3-$O$2,$Q$2)/$Q$2))</f>
        <v>1355.95575515573</v>
      </c>
      <c r="J712" s="15" t="n">
        <f aca="false">I712*(1+IF(J$3&lt;=$O$2,$D712,$D712-($D712-$I$697)*MIN(J$3-$O$2,$Q$2)/$Q$2))</f>
        <v>1467.01282183175</v>
      </c>
      <c r="K712" s="15" t="n">
        <f aca="false">J712*(1+IF(K$3&lt;=$O$2,$D712,$D712-($D712-$I$697)*MIN(K$3-$O$2,$Q$2)/$Q$2))</f>
        <v>1571.17421347199</v>
      </c>
      <c r="L712" s="15" t="n">
        <f aca="false">K712*(1+IF(L$3&lt;=$O$2,$D712,$D712-($D712-$I$697)*MIN(L$3-$O$2,$Q$2)/$Q$2))</f>
        <v>1665.60426934836</v>
      </c>
      <c r="M712" s="15" t="n">
        <f aca="false">L712*(1+IF(M$3&lt;=$O$2,$D712,$D712-($D712-$I$697)*MIN(M$3-$O$2,$Q$2)/$Q$2))</f>
        <v>1747.5533169193</v>
      </c>
      <c r="N712" s="15" t="n">
        <f aca="false">M712*(1+IF(N$3&lt;=$O$2,$D712,$D712-($D712-$I$697)*MIN(N$3-$O$2,$Q$2)/$Q$2))</f>
        <v>1814.48460895731</v>
      </c>
      <c r="O712" s="15" t="n">
        <f aca="false">SUMPRODUCT(E712:N712,1/(1+$F$697)^$E$3:$N$3)*$E$2</f>
        <v>1927.58174244186</v>
      </c>
      <c r="P712" s="15" t="n">
        <f aca="false">N712*$E$2*(1+$I$697)/($F$697-$I$697)/(1+$F$697)^$N$3</f>
        <v>3695.38553251546</v>
      </c>
      <c r="Q712" s="15" t="n">
        <f aca="false">O712+P712</f>
        <v>5622.96727495732</v>
      </c>
      <c r="R712" s="15" t="n">
        <f aca="false">Q712-$G$2+$I$2</f>
        <v>5790.36727495732</v>
      </c>
      <c r="S712" s="42" t="n">
        <f aca="false">R712/$K$2</f>
        <v>164.545816281822</v>
      </c>
      <c r="T712" s="43" t="n">
        <f aca="false">S712-$M$2</f>
        <v>0.0104369126831898</v>
      </c>
    </row>
    <row r="713" customFormat="false" ht="15" hidden="false" customHeight="false" outlineLevel="0" collapsed="false">
      <c r="A713" s="5" t="n">
        <v>15</v>
      </c>
      <c r="B713" s="25" t="n">
        <f aca="false">IF(T712&gt;0,B712,D712)</f>
        <v>0.09271240234375</v>
      </c>
      <c r="C713" s="25" t="n">
        <f aca="false">IF(T712&gt;0,D712,C712)</f>
        <v>0.092803955078125</v>
      </c>
      <c r="D713" s="41" t="n">
        <f aca="false">(B713+C713)/2</f>
        <v>0.0927581787109375</v>
      </c>
      <c r="E713" s="15" t="n">
        <f aca="false">$C$2*(1+IF(E$3&lt;=$O$2,$D713,$D713-($D713-$I$697)*MIN(E$3-$O$2,$Q$2)/$Q$2))</f>
        <v>950.732398223877</v>
      </c>
      <c r="F713" s="15" t="n">
        <f aca="false">E713*(1+IF(F$3&lt;=$O$2,$D713,$D713-($D713-$I$697)*MIN(F$3-$O$2,$Q$2)/$Q$2))</f>
        <v>1038.92060392461</v>
      </c>
      <c r="G713" s="15" t="n">
        <f aca="false">F713*(1+IF(G$3&lt;=$O$2,$D713,$D713-($D713-$I$697)*MIN(G$3-$O$2,$Q$2)/$Q$2))</f>
        <v>1135.28898696992</v>
      </c>
      <c r="H713" s="15" t="n">
        <f aca="false">G713*(1+IF(H$3&lt;=$O$2,$D713,$D713-($D713-$I$697)*MIN(H$3-$O$2,$Q$2)/$Q$2))</f>
        <v>1240.59632571183</v>
      </c>
      <c r="I713" s="15" t="n">
        <f aca="false">H713*(1+IF(I$3&lt;=$O$2,$D713,$D713-($D713-$I$697)*MIN(I$3-$O$2,$Q$2)/$Q$2))</f>
        <v>1355.67178140035</v>
      </c>
      <c r="J713" s="15" t="n">
        <f aca="false">I713*(1+IF(J$3&lt;=$O$2,$D713,$D713-($D713-$I$697)*MIN(J$3-$O$2,$Q$2)/$Q$2))</f>
        <v>1466.65594354388</v>
      </c>
      <c r="K713" s="15" t="n">
        <f aca="false">J713*(1+IF(K$3&lt;=$O$2,$D713,$D713-($D713-$I$697)*MIN(K$3-$O$2,$Q$2)/$Q$2))</f>
        <v>1570.75171307019</v>
      </c>
      <c r="L713" s="15" t="n">
        <f aca="false">K713*(1+IF(L$3&lt;=$O$2,$D713,$D713-($D713-$I$697)*MIN(L$3-$O$2,$Q$2)/$Q$2))</f>
        <v>1665.12761468114</v>
      </c>
      <c r="M713" s="15" t="n">
        <f aca="false">L713*(1+IF(M$3&lt;=$O$2,$D713,$D713-($D713-$I$697)*MIN(M$3-$O$2,$Q$2)/$Q$2))</f>
        <v>1747.03796576679</v>
      </c>
      <c r="N713" s="15" t="n">
        <f aca="false">M713*(1+IF(N$3&lt;=$O$2,$D713,$D713-($D713-$I$697)*MIN(N$3-$O$2,$Q$2)/$Q$2))</f>
        <v>1813.94951985566</v>
      </c>
      <c r="O713" s="15" t="n">
        <f aca="false">SUMPRODUCT(E713:N713,1/(1+$F$697)^$E$3:$N$3)*$E$2</f>
        <v>1927.19668695829</v>
      </c>
      <c r="P713" s="15" t="n">
        <f aca="false">N713*$E$2*(1+$I$697)/($F$697-$I$697)/(1+$F$697)^$N$3</f>
        <v>3694.29576822916</v>
      </c>
      <c r="Q713" s="15" t="n">
        <f aca="false">O713+P713</f>
        <v>5621.49245518745</v>
      </c>
      <c r="R713" s="15" t="n">
        <f aca="false">Q713-$G$2+$I$2</f>
        <v>5788.89245518745</v>
      </c>
      <c r="S713" s="42" t="n">
        <f aca="false">R713/$K$2</f>
        <v>164.5039060866</v>
      </c>
      <c r="T713" s="43" t="n">
        <f aca="false">S713-$M$2</f>
        <v>-0.031473282539082</v>
      </c>
    </row>
    <row r="714" customFormat="false" ht="15" hidden="false" customHeight="false" outlineLevel="0" collapsed="false">
      <c r="A714" s="5" t="n">
        <v>16</v>
      </c>
      <c r="B714" s="25" t="n">
        <f aca="false">IF(T713&gt;0,B713,D713)</f>
        <v>0.0927581787109375</v>
      </c>
      <c r="C714" s="25" t="n">
        <f aca="false">IF(T713&gt;0,D713,C713)</f>
        <v>0.092803955078125</v>
      </c>
      <c r="D714" s="41" t="n">
        <f aca="false">(B714+C714)/2</f>
        <v>0.0927810668945313</v>
      </c>
      <c r="E714" s="15" t="n">
        <f aca="false">$C$2*(1+IF(E$3&lt;=$O$2,$D714,$D714-($D714-$I$697)*MIN(E$3-$O$2,$Q$2)/$Q$2))</f>
        <v>950.752311630249</v>
      </c>
      <c r="F714" s="15" t="n">
        <f aca="false">E714*(1+IF(F$3&lt;=$O$2,$D714,$D714-($D714-$I$697)*MIN(F$3-$O$2,$Q$2)/$Q$2))</f>
        <v>1038.96412545575</v>
      </c>
      <c r="G714" s="15" t="n">
        <f aca="false">F714*(1+IF(G$3&lt;=$O$2,$D714,$D714-($D714-$I$697)*MIN(G$3-$O$2,$Q$2)/$Q$2))</f>
        <v>1135.36032548067</v>
      </c>
      <c r="H714" s="15" t="n">
        <f aca="false">G714*(1+IF(H$3&lt;=$O$2,$D714,$D714-($D714-$I$697)*MIN(H$3-$O$2,$Q$2)/$Q$2))</f>
        <v>1240.70026778849</v>
      </c>
      <c r="I714" s="15" t="n">
        <f aca="false">H714*(1+IF(I$3&lt;=$O$2,$D714,$D714-($D714-$I$697)*MIN(I$3-$O$2,$Q$2)/$Q$2))</f>
        <v>1355.81376233024</v>
      </c>
      <c r="J714" s="15" t="n">
        <f aca="false">I714*(1+IF(J$3&lt;=$O$2,$D714,$D714-($D714-$I$697)*MIN(J$3-$O$2,$Q$2)/$Q$2))</f>
        <v>1466.83437365312</v>
      </c>
      <c r="K714" s="15" t="n">
        <f aca="false">J714*(1+IF(K$3&lt;=$O$2,$D714,$D714-($D714-$I$697)*MIN(K$3-$O$2,$Q$2)/$Q$2))</f>
        <v>1570.96295114455</v>
      </c>
      <c r="L714" s="15" t="n">
        <f aca="false">K714*(1+IF(L$3&lt;=$O$2,$D714,$D714-($D714-$I$697)*MIN(L$3-$O$2,$Q$2)/$Q$2))</f>
        <v>1665.36592722544</v>
      </c>
      <c r="M714" s="15" t="n">
        <f aca="false">L714*(1+IF(M$3&lt;=$O$2,$D714,$D714-($D714-$I$697)*MIN(M$3-$O$2,$Q$2)/$Q$2))</f>
        <v>1747.29562473518</v>
      </c>
      <c r="N714" s="15" t="n">
        <f aca="false">M714*(1+IF(N$3&lt;=$O$2,$D714,$D714-($D714-$I$697)*MIN(N$3-$O$2,$Q$2)/$Q$2))</f>
        <v>1814.21704716254</v>
      </c>
      <c r="O714" s="15" t="n">
        <f aca="false">SUMPRODUCT(E714:N714,1/(1+$F$697)^$E$3:$N$3)*$E$2</f>
        <v>1927.38920513894</v>
      </c>
      <c r="P714" s="15" t="n">
        <f aca="false">N714*$E$2*(1+$I$697)/($F$697-$I$697)/(1+$F$697)^$N$3</f>
        <v>3694.84061525324</v>
      </c>
      <c r="Q714" s="15" t="n">
        <f aca="false">O714+P714</f>
        <v>5622.22982039218</v>
      </c>
      <c r="R714" s="15" t="n">
        <f aca="false">Q714-$G$2+$I$2</f>
        <v>5789.62982039218</v>
      </c>
      <c r="S714" s="42" t="n">
        <f aca="false">R714/$K$2</f>
        <v>164.524859914526</v>
      </c>
      <c r="T714" s="43" t="n">
        <f aca="false">S714-$M$2</f>
        <v>-0.0105194546126768</v>
      </c>
    </row>
    <row r="715" customFormat="false" ht="15" hidden="false" customHeight="false" outlineLevel="0" collapsed="false">
      <c r="A715" s="5" t="n">
        <v>17</v>
      </c>
      <c r="B715" s="25" t="n">
        <f aca="false">IF(T714&gt;0,B714,D714)</f>
        <v>0.0927810668945313</v>
      </c>
      <c r="C715" s="25" t="n">
        <f aca="false">IF(T714&gt;0,D714,C714)</f>
        <v>0.092803955078125</v>
      </c>
      <c r="D715" s="41" t="n">
        <f aca="false">(B715+C715)/2</f>
        <v>0.0927925109863281</v>
      </c>
      <c r="E715" s="15" t="n">
        <f aca="false">$C$2*(1+IF(E$3&lt;=$O$2,$D715,$D715-($D715-$I$697)*MIN(E$3-$O$2,$Q$2)/$Q$2))</f>
        <v>950.762268333435</v>
      </c>
      <c r="F715" s="15" t="n">
        <f aca="false">E715*(1+IF(F$3&lt;=$O$2,$D715,$D715-($D715-$I$697)*MIN(F$3-$O$2,$Q$2)/$Q$2))</f>
        <v>1038.98588656315</v>
      </c>
      <c r="G715" s="15" t="n">
        <f aca="false">F715*(1+IF(G$3&lt;=$O$2,$D715,$D715-($D715-$I$697)*MIN(G$3-$O$2,$Q$2)/$Q$2))</f>
        <v>1135.3959958567</v>
      </c>
      <c r="H715" s="15" t="n">
        <f aca="false">G715*(1+IF(H$3&lt;=$O$2,$D715,$D715-($D715-$I$697)*MIN(H$3-$O$2,$Q$2)/$Q$2))</f>
        <v>1240.75224127607</v>
      </c>
      <c r="I715" s="15" t="n">
        <f aca="false">H715*(1+IF(I$3&lt;=$O$2,$D715,$D715-($D715-$I$697)*MIN(I$3-$O$2,$Q$2)/$Q$2))</f>
        <v>1355.88475725599</v>
      </c>
      <c r="J715" s="15" t="n">
        <f aca="false">I715*(1+IF(J$3&lt;=$O$2,$D715,$D715-($D715-$I$697)*MIN(J$3-$O$2,$Q$2)/$Q$2))</f>
        <v>1466.92359548367</v>
      </c>
      <c r="K715" s="15" t="n">
        <f aca="false">J715*(1+IF(K$3&lt;=$O$2,$D715,$D715-($D715-$I$697)*MIN(K$3-$O$2,$Q$2)/$Q$2))</f>
        <v>1571.06857927649</v>
      </c>
      <c r="L715" s="15" t="n">
        <f aca="false">K715*(1+IF(L$3&lt;=$O$2,$D715,$D715-($D715-$I$697)*MIN(L$3-$O$2,$Q$2)/$Q$2))</f>
        <v>1665.48509458938</v>
      </c>
      <c r="M715" s="15" t="n">
        <f aca="false">L715*(1+IF(M$3&lt;=$O$2,$D715,$D715-($D715-$I$697)*MIN(M$3-$O$2,$Q$2)/$Q$2))</f>
        <v>1747.42446667505</v>
      </c>
      <c r="N715" s="15" t="n">
        <f aca="false">M715*(1+IF(N$3&lt;=$O$2,$D715,$D715-($D715-$I$697)*MIN(N$3-$O$2,$Q$2)/$Q$2))</f>
        <v>1814.3508237487</v>
      </c>
      <c r="O715" s="15" t="n">
        <f aca="false">SUMPRODUCT(E715:N715,1/(1+$F$697)^$E$3:$N$3)*$E$2</f>
        <v>1927.48547140001</v>
      </c>
      <c r="P715" s="15" t="n">
        <f aca="false">N715*$E$2*(1+$I$697)/($F$697-$I$697)/(1+$F$697)^$N$3</f>
        <v>3695.11306510409</v>
      </c>
      <c r="Q715" s="15" t="n">
        <f aca="false">O715+P715</f>
        <v>5622.59853650411</v>
      </c>
      <c r="R715" s="15" t="n">
        <f aca="false">Q715-$G$2+$I$2</f>
        <v>5789.99853650411</v>
      </c>
      <c r="S715" s="42" t="n">
        <f aca="false">R715/$K$2</f>
        <v>164.535337780736</v>
      </c>
      <c r="T715" s="43" t="n">
        <f aca="false">S715-$M$2</f>
        <v>-4.15884028086566E-005</v>
      </c>
    </row>
    <row r="716" customFormat="false" ht="15" hidden="false" customHeight="false" outlineLevel="0" collapsed="false">
      <c r="A716" s="5" t="n">
        <v>18</v>
      </c>
      <c r="B716" s="25" t="n">
        <f aca="false">IF(T715&gt;0,B715,D715)</f>
        <v>0.0927925109863281</v>
      </c>
      <c r="C716" s="25" t="n">
        <f aca="false">IF(T715&gt;0,D715,C715)</f>
        <v>0.092803955078125</v>
      </c>
      <c r="D716" s="41" t="n">
        <f aca="false">(B716+C716)/2</f>
        <v>0.0927982330322266</v>
      </c>
      <c r="E716" s="15" t="n">
        <f aca="false">$C$2*(1+IF(E$3&lt;=$O$2,$D716,$D716-($D716-$I$697)*MIN(E$3-$O$2,$Q$2)/$Q$2))</f>
        <v>950.767246685028</v>
      </c>
      <c r="F716" s="15" t="n">
        <f aca="false">E716*(1+IF(F$3&lt;=$O$2,$D716,$D716-($D716-$I$697)*MIN(F$3-$O$2,$Q$2)/$Q$2))</f>
        <v>1038.99676720231</v>
      </c>
      <c r="G716" s="15" t="n">
        <f aca="false">F716*(1+IF(G$3&lt;=$O$2,$D716,$D716-($D716-$I$697)*MIN(G$3-$O$2,$Q$2)/$Q$2))</f>
        <v>1135.41383132488</v>
      </c>
      <c r="H716" s="15" t="n">
        <f aca="false">G716*(1+IF(H$3&lt;=$O$2,$D716,$D716-($D716-$I$697)*MIN(H$3-$O$2,$Q$2)/$Q$2))</f>
        <v>1240.77822863218</v>
      </c>
      <c r="I716" s="15" t="n">
        <f aca="false">H716*(1+IF(I$3&lt;=$O$2,$D716,$D716-($D716-$I$697)*MIN(I$3-$O$2,$Q$2)/$Q$2))</f>
        <v>1355.92025583411</v>
      </c>
      <c r="J716" s="15" t="n">
        <f aca="false">I716*(1+IF(J$3&lt;=$O$2,$D716,$D716-($D716-$I$697)*MIN(J$3-$O$2,$Q$2)/$Q$2))</f>
        <v>1466.968208093</v>
      </c>
      <c r="K716" s="15" t="n">
        <f aca="false">J716*(1+IF(K$3&lt;=$O$2,$D716,$D716-($D716-$I$697)*MIN(K$3-$O$2,$Q$2)/$Q$2))</f>
        <v>1571.12139561628</v>
      </c>
      <c r="L716" s="15" t="n">
        <f aca="false">K716*(1+IF(L$3&lt;=$O$2,$D716,$D716-($D716-$I$697)*MIN(L$3-$O$2,$Q$2)/$Q$2))</f>
        <v>1665.54468104447</v>
      </c>
      <c r="M716" s="15" t="n">
        <f aca="false">L716*(1+IF(M$3&lt;=$O$2,$D716,$D716-($D716-$I$697)*MIN(M$3-$O$2,$Q$2)/$Q$2))</f>
        <v>1747.4888907591</v>
      </c>
      <c r="N716" s="15" t="n">
        <f aca="false">M716*(1+IF(N$3&lt;=$O$2,$D716,$D716-($D716-$I$697)*MIN(N$3-$O$2,$Q$2)/$Q$2))</f>
        <v>1814.41771527517</v>
      </c>
      <c r="O716" s="15" t="n">
        <f aca="false">SUMPRODUCT(E716:N716,1/(1+$F$697)^$E$3:$N$3)*$E$2</f>
        <v>1927.53360632333</v>
      </c>
      <c r="P716" s="15" t="n">
        <f aca="false">N716*$E$2*(1+$I$697)/($F$697-$I$697)/(1+$F$697)^$N$3</f>
        <v>3695.24929661465</v>
      </c>
      <c r="Q716" s="15" t="n">
        <f aca="false">O716+P716</f>
        <v>5622.78290293798</v>
      </c>
      <c r="R716" s="15" t="n">
        <f aca="false">Q716-$G$2+$I$2</f>
        <v>5790.18290293798</v>
      </c>
      <c r="S716" s="42" t="n">
        <f aca="false">R716/$K$2</f>
        <v>164.540576951918</v>
      </c>
      <c r="T716" s="43" t="n">
        <f aca="false">S716-$M$2</f>
        <v>0.00519758277852134</v>
      </c>
    </row>
    <row r="717" customFormat="false" ht="15" hidden="false" customHeight="false" outlineLevel="0" collapsed="false">
      <c r="A717" s="5" t="n">
        <v>19</v>
      </c>
      <c r="B717" s="25" t="n">
        <f aca="false">IF(T716&gt;0,B716,D716)</f>
        <v>0.0927925109863281</v>
      </c>
      <c r="C717" s="25" t="n">
        <f aca="false">IF(T716&gt;0,D716,C716)</f>
        <v>0.0927982330322266</v>
      </c>
      <c r="D717" s="41" t="n">
        <f aca="false">(B717+C717)/2</f>
        <v>0.0927953720092773</v>
      </c>
      <c r="E717" s="15" t="n">
        <f aca="false">$C$2*(1+IF(E$3&lt;=$O$2,$D717,$D717-($D717-$I$697)*MIN(E$3-$O$2,$Q$2)/$Q$2))</f>
        <v>950.764757509232</v>
      </c>
      <c r="F717" s="15" t="n">
        <f aca="false">E717*(1+IF(F$3&lt;=$O$2,$D717,$D717-($D717-$I$697)*MIN(F$3-$O$2,$Q$2)/$Q$2))</f>
        <v>1038.99132687561</v>
      </c>
      <c r="G717" s="15" t="n">
        <f aca="false">F717*(1+IF(G$3&lt;=$O$2,$D717,$D717-($D717-$I$697)*MIN(G$3-$O$2,$Q$2)/$Q$2))</f>
        <v>1135.40491356745</v>
      </c>
      <c r="H717" s="15" t="n">
        <f aca="false">G717*(1+IF(H$3&lt;=$O$2,$D717,$D717-($D717-$I$697)*MIN(H$3-$O$2,$Q$2)/$Q$2))</f>
        <v>1240.7652349031</v>
      </c>
      <c r="I717" s="15" t="n">
        <f aca="false">H717*(1+IF(I$3&lt;=$O$2,$D717,$D717-($D717-$I$697)*MIN(I$3-$O$2,$Q$2)/$Q$2))</f>
        <v>1355.90250645211</v>
      </c>
      <c r="J717" s="15" t="n">
        <f aca="false">I717*(1+IF(J$3&lt;=$O$2,$D717,$D717-($D717-$I$697)*MIN(J$3-$O$2,$Q$2)/$Q$2))</f>
        <v>1466.94590164716</v>
      </c>
      <c r="K717" s="15" t="n">
        <f aca="false">J717*(1+IF(K$3&lt;=$O$2,$D717,$D717-($D717-$I$697)*MIN(K$3-$O$2,$Q$2)/$Q$2))</f>
        <v>1571.0949872569</v>
      </c>
      <c r="L717" s="15" t="n">
        <f aca="false">K717*(1+IF(L$3&lt;=$O$2,$D717,$D717-($D717-$I$697)*MIN(L$3-$O$2,$Q$2)/$Q$2))</f>
        <v>1665.51488758582</v>
      </c>
      <c r="M717" s="15" t="n">
        <f aca="false">L717*(1+IF(M$3&lt;=$O$2,$D717,$D717-($D717-$I$697)*MIN(M$3-$O$2,$Q$2)/$Q$2))</f>
        <v>1747.45667845756</v>
      </c>
      <c r="N717" s="15" t="n">
        <f aca="false">M717*(1+IF(N$3&lt;=$O$2,$D717,$D717-($D717-$I$697)*MIN(N$3-$O$2,$Q$2)/$Q$2))</f>
        <v>1814.38426924248</v>
      </c>
      <c r="O717" s="15" t="n">
        <f aca="false">SUMPRODUCT(E717:N717,1/(1+$F$697)^$E$3:$N$3)*$E$2</f>
        <v>1927.50953871227</v>
      </c>
      <c r="P717" s="15" t="n">
        <f aca="false">N717*$E$2*(1+$I$697)/($F$697-$I$697)/(1+$F$697)^$N$3</f>
        <v>3695.1811803106</v>
      </c>
      <c r="Q717" s="15" t="n">
        <f aca="false">O717+P717</f>
        <v>5622.69071902287</v>
      </c>
      <c r="R717" s="15" t="n">
        <f aca="false">Q717-$G$2+$I$2</f>
        <v>5790.09071902287</v>
      </c>
      <c r="S717" s="42" t="n">
        <f aca="false">R717/$K$2</f>
        <v>164.537957346487</v>
      </c>
      <c r="T717" s="43" t="n">
        <f aca="false">S717-$M$2</f>
        <v>0.00257797734766996</v>
      </c>
    </row>
    <row r="718" customFormat="false" ht="15" hidden="false" customHeight="false" outlineLevel="0" collapsed="false">
      <c r="A718" s="5" t="n">
        <v>20</v>
      </c>
      <c r="B718" s="25" t="n">
        <f aca="false">IF(T717&gt;0,B717,D717)</f>
        <v>0.0927925109863281</v>
      </c>
      <c r="C718" s="25" t="n">
        <f aca="false">IF(T717&gt;0,D717,C717)</f>
        <v>0.0927953720092773</v>
      </c>
      <c r="D718" s="41" t="n">
        <f aca="false">(B718+C718)/2</f>
        <v>0.0927939414978027</v>
      </c>
      <c r="E718" s="15" t="n">
        <f aca="false">$C$2*(1+IF(E$3&lt;=$O$2,$D718,$D718-($D718-$I$697)*MIN(E$3-$O$2,$Q$2)/$Q$2))</f>
        <v>950.763512921333</v>
      </c>
      <c r="F718" s="15" t="n">
        <f aca="false">E718*(1+IF(F$3&lt;=$O$2,$D718,$D718-($D718-$I$697)*MIN(F$3-$O$2,$Q$2)/$Q$2))</f>
        <v>1038.9886067176</v>
      </c>
      <c r="G718" s="15" t="n">
        <f aca="false">F718*(1+IF(G$3&lt;=$O$2,$D718,$D718-($D718-$I$697)*MIN(G$3-$O$2,$Q$2)/$Q$2))</f>
        <v>1135.40045470624</v>
      </c>
      <c r="H718" s="15" t="n">
        <f aca="false">G718*(1+IF(H$3&lt;=$O$2,$D718,$D718-($D718-$I$697)*MIN(H$3-$O$2,$Q$2)/$Q$2))</f>
        <v>1240.75873807683</v>
      </c>
      <c r="I718" s="15" t="n">
        <f aca="false">H718*(1+IF(I$3&lt;=$O$2,$D718,$D718-($D718-$I$697)*MIN(I$3-$O$2,$Q$2)/$Q$2))</f>
        <v>1355.89363183082</v>
      </c>
      <c r="J718" s="15" t="n">
        <f aca="false">I718*(1+IF(J$3&lt;=$O$2,$D718,$D718-($D718-$I$697)*MIN(J$3-$O$2,$Q$2)/$Q$2))</f>
        <v>1466.93474853012</v>
      </c>
      <c r="K718" s="15" t="n">
        <f aca="false">J718*(1+IF(K$3&lt;=$O$2,$D718,$D718-($D718-$I$697)*MIN(K$3-$O$2,$Q$2)/$Q$2))</f>
        <v>1571.08178321932</v>
      </c>
      <c r="L718" s="15" t="n">
        <f aca="false">K718*(1+IF(L$3&lt;=$O$2,$D718,$D718-($D718-$I$697)*MIN(L$3-$O$2,$Q$2)/$Q$2))</f>
        <v>1665.49999102983</v>
      </c>
      <c r="M718" s="15" t="n">
        <f aca="false">L718*(1+IF(M$3&lt;=$O$2,$D718,$D718-($D718-$I$697)*MIN(M$3-$O$2,$Q$2)/$Q$2))</f>
        <v>1747.44057250142</v>
      </c>
      <c r="N718" s="15" t="n">
        <f aca="false">M718*(1+IF(N$3&lt;=$O$2,$D718,$D718-($D718-$I$697)*MIN(N$3-$O$2,$Q$2)/$Q$2))</f>
        <v>1814.36754642823</v>
      </c>
      <c r="O718" s="15" t="n">
        <f aca="false">SUMPRODUCT(E718:N718,1/(1+$F$697)^$E$3:$N$3)*$E$2</f>
        <v>1927.49750501879</v>
      </c>
      <c r="P718" s="15" t="n">
        <f aca="false">N718*$E$2*(1+$I$697)/($F$697-$I$697)/(1+$F$697)^$N$3</f>
        <v>3695.14712257015</v>
      </c>
      <c r="Q718" s="15" t="n">
        <f aca="false">O718+P718</f>
        <v>5622.64462758894</v>
      </c>
      <c r="R718" s="15" t="n">
        <f aca="false">Q718-$G$2+$I$2</f>
        <v>5790.04462758894</v>
      </c>
      <c r="S718" s="42" t="n">
        <f aca="false">R718/$K$2</f>
        <v>164.536647558651</v>
      </c>
      <c r="T718" s="43" t="n">
        <f aca="false">S718-$M$2</f>
        <v>0.00126818951238761</v>
      </c>
    </row>
    <row r="719" customFormat="false" ht="15" hidden="false" customHeight="false" outlineLevel="0" collapsed="false">
      <c r="A719" s="5" t="n">
        <v>21</v>
      </c>
      <c r="B719" s="25" t="n">
        <f aca="false">IF(T718&gt;0,B718,D718)</f>
        <v>0.0927925109863281</v>
      </c>
      <c r="C719" s="25" t="n">
        <f aca="false">IF(T718&gt;0,D718,C718)</f>
        <v>0.0927939414978027</v>
      </c>
      <c r="D719" s="41" t="n">
        <f aca="false">(B719+C719)/2</f>
        <v>0.0927932262420654</v>
      </c>
      <c r="E719" s="15" t="n">
        <f aca="false">$C$2*(1+IF(E$3&lt;=$O$2,$D719,$D719-($D719-$I$697)*MIN(E$3-$O$2,$Q$2)/$Q$2))</f>
        <v>950.762890627384</v>
      </c>
      <c r="F719" s="15" t="n">
        <f aca="false">E719*(1+IF(F$3&lt;=$O$2,$D719,$D719-($D719-$I$697)*MIN(F$3-$O$2,$Q$2)/$Q$2))</f>
        <v>1038.98724663993</v>
      </c>
      <c r="G719" s="15" t="n">
        <f aca="false">F719*(1+IF(G$3&lt;=$O$2,$D719,$D719-($D719-$I$697)*MIN(G$3-$O$2,$Q$2)/$Q$2))</f>
        <v>1135.39822528001</v>
      </c>
      <c r="H719" s="15" t="n">
        <f aca="false">G719*(1+IF(H$3&lt;=$O$2,$D719,$D719-($D719-$I$697)*MIN(H$3-$O$2,$Q$2)/$Q$2))</f>
        <v>1240.75548967326</v>
      </c>
      <c r="I719" s="15" t="n">
        <f aca="false">H719*(1+IF(I$3&lt;=$O$2,$D719,$D719-($D719-$I$697)*MIN(I$3-$O$2,$Q$2)/$Q$2))</f>
        <v>1355.88919453759</v>
      </c>
      <c r="J719" s="15" t="n">
        <f aca="false">I719*(1+IF(J$3&lt;=$O$2,$D719,$D719-($D719-$I$697)*MIN(J$3-$O$2,$Q$2)/$Q$2))</f>
        <v>1466.92917199807</v>
      </c>
      <c r="K719" s="15" t="n">
        <f aca="false">J719*(1+IF(K$3&lt;=$O$2,$D719,$D719-($D719-$I$697)*MIN(K$3-$O$2,$Q$2)/$Q$2))</f>
        <v>1571.07518123606</v>
      </c>
      <c r="L719" s="15" t="n">
        <f aca="false">K719*(1+IF(L$3&lt;=$O$2,$D719,$D719-($D719-$I$697)*MIN(L$3-$O$2,$Q$2)/$Q$2))</f>
        <v>1665.49254279516</v>
      </c>
      <c r="M719" s="15" t="n">
        <f aca="false">L719*(1+IF(M$3&lt;=$O$2,$D719,$D719-($D719-$I$697)*MIN(M$3-$O$2,$Q$2)/$Q$2))</f>
        <v>1747.43251957202</v>
      </c>
      <c r="N719" s="15" t="n">
        <f aca="false">M719*(1+IF(N$3&lt;=$O$2,$D719,$D719-($D719-$I$697)*MIN(N$3-$O$2,$Q$2)/$Q$2))</f>
        <v>1814.35918507163</v>
      </c>
      <c r="O719" s="15" t="n">
        <f aca="false">SUMPRODUCT(E719:N719,1/(1+$F$697)^$E$3:$N$3)*$E$2</f>
        <v>1927.49148820006</v>
      </c>
      <c r="P719" s="15" t="n">
        <f aca="false">N719*$E$2*(1+$I$697)/($F$697-$I$697)/(1+$F$697)^$N$3</f>
        <v>3695.13009380283</v>
      </c>
      <c r="Q719" s="15" t="n">
        <f aca="false">O719+P719</f>
        <v>5622.62158200289</v>
      </c>
      <c r="R719" s="15" t="n">
        <f aca="false">Q719-$G$2+$I$2</f>
        <v>5790.02158200289</v>
      </c>
      <c r="S719" s="42" t="n">
        <f aca="false">R719/$K$2</f>
        <v>164.535992668454</v>
      </c>
      <c r="T719" s="43" t="n">
        <f aca="false">S719-$M$2</f>
        <v>0.000613299314778715</v>
      </c>
    </row>
    <row r="720" customFormat="false" ht="15" hidden="false" customHeight="false" outlineLevel="0" collapsed="false">
      <c r="A720" s="5" t="n">
        <v>22</v>
      </c>
      <c r="B720" s="25" t="n">
        <f aca="false">IF(T719&gt;0,B719,D719)</f>
        <v>0.0927925109863281</v>
      </c>
      <c r="C720" s="25" t="n">
        <f aca="false">IF(T719&gt;0,D719,C719)</f>
        <v>0.0927932262420654</v>
      </c>
      <c r="D720" s="41" t="n">
        <f aca="false">(B720+C720)/2</f>
        <v>0.0927928686141968</v>
      </c>
      <c r="E720" s="15" t="n">
        <f aca="false">$C$2*(1+IF(E$3&lt;=$O$2,$D720,$D720-($D720-$I$697)*MIN(E$3-$O$2,$Q$2)/$Q$2))</f>
        <v>950.76257948041</v>
      </c>
      <c r="F720" s="15" t="n">
        <f aca="false">E720*(1+IF(F$3&lt;=$O$2,$D720,$D720-($D720-$I$697)*MIN(F$3-$O$2,$Q$2)/$Q$2))</f>
        <v>1038.98656660143</v>
      </c>
      <c r="G720" s="15" t="n">
        <f aca="false">F720*(1+IF(G$3&lt;=$O$2,$D720,$D720-($D720-$I$697)*MIN(G$3-$O$2,$Q$2)/$Q$2))</f>
        <v>1135.39711056799</v>
      </c>
      <c r="H720" s="15" t="n">
        <f aca="false">G720*(1+IF(H$3&lt;=$O$2,$D720,$D720-($D720-$I$697)*MIN(H$3-$O$2,$Q$2)/$Q$2))</f>
        <v>1240.75386547387</v>
      </c>
      <c r="I720" s="15" t="n">
        <f aca="false">H720*(1+IF(I$3&lt;=$O$2,$D720,$D720-($D720-$I$697)*MIN(I$3-$O$2,$Q$2)/$Q$2))</f>
        <v>1355.88697589534</v>
      </c>
      <c r="J720" s="15" t="n">
        <f aca="false">I720*(1+IF(J$3&lt;=$O$2,$D720,$D720-($D720-$I$697)*MIN(J$3-$O$2,$Q$2)/$Q$2))</f>
        <v>1466.92638373866</v>
      </c>
      <c r="K720" s="15" t="n">
        <f aca="false">J720*(1+IF(K$3&lt;=$O$2,$D720,$D720-($D720-$I$697)*MIN(K$3-$O$2,$Q$2)/$Q$2))</f>
        <v>1571.07188025332</v>
      </c>
      <c r="L720" s="15" t="n">
        <f aca="false">K720*(1+IF(L$3&lt;=$O$2,$D720,$D720-($D720-$I$697)*MIN(L$3-$O$2,$Q$2)/$Q$2))</f>
        <v>1665.48881868866</v>
      </c>
      <c r="M720" s="15" t="n">
        <f aca="false">L720*(1+IF(M$3&lt;=$O$2,$D720,$D720-($D720-$I$697)*MIN(M$3-$O$2,$Q$2)/$Q$2))</f>
        <v>1747.42849311948</v>
      </c>
      <c r="N720" s="15" t="n">
        <f aca="false">M720*(1+IF(N$3&lt;=$O$2,$D720,$D720-($D720-$I$697)*MIN(N$3-$O$2,$Q$2)/$Q$2))</f>
        <v>1814.35500440595</v>
      </c>
      <c r="O720" s="15" t="n">
        <f aca="false">SUMPRODUCT(E720:N720,1/(1+$F$697)^$E$3:$N$3)*$E$2</f>
        <v>1927.4884797977</v>
      </c>
      <c r="P720" s="15" t="n">
        <f aca="false">N720*$E$2*(1+$I$697)/($F$697-$I$697)/(1+$F$697)^$N$3</f>
        <v>3695.12157944488</v>
      </c>
      <c r="Q720" s="15" t="n">
        <f aca="false">O720+P720</f>
        <v>5622.61005924259</v>
      </c>
      <c r="R720" s="15" t="n">
        <f aca="false">Q720-$G$2+$I$2</f>
        <v>5790.01005924259</v>
      </c>
      <c r="S720" s="42" t="n">
        <f aca="false">R720/$K$2</f>
        <v>164.535665224285</v>
      </c>
      <c r="T720" s="43" t="n">
        <f aca="false">S720-$M$2</f>
        <v>0.000285855145961023</v>
      </c>
    </row>
    <row r="721" customFormat="false" ht="15" hidden="false" customHeight="false" outlineLevel="0" collapsed="false">
      <c r="A721" s="5" t="n">
        <v>23</v>
      </c>
      <c r="B721" s="25" t="n">
        <f aca="false">IF(T720&gt;0,B720,D720)</f>
        <v>0.0927925109863281</v>
      </c>
      <c r="C721" s="25" t="n">
        <f aca="false">IF(T720&gt;0,D720,C720)</f>
        <v>0.0927928686141968</v>
      </c>
      <c r="D721" s="41" t="n">
        <f aca="false">(B721+C721)/2</f>
        <v>0.0927926898002625</v>
      </c>
      <c r="E721" s="15" t="n">
        <f aca="false">$C$2*(1+IF(E$3&lt;=$O$2,$D721,$D721-($D721-$I$697)*MIN(E$3-$O$2,$Q$2)/$Q$2))</f>
        <v>950.762423906922</v>
      </c>
      <c r="F721" s="15" t="n">
        <f aca="false">E721*(1+IF(F$3&lt;=$O$2,$D721,$D721-($D721-$I$697)*MIN(F$3-$O$2,$Q$2)/$Q$2))</f>
        <v>1038.98622658226</v>
      </c>
      <c r="G721" s="15" t="n">
        <f aca="false">F721*(1+IF(G$3&lt;=$O$2,$D721,$D721-($D721-$I$697)*MIN(G$3-$O$2,$Q$2)/$Q$2))</f>
        <v>1135.39655321226</v>
      </c>
      <c r="H721" s="15" t="n">
        <f aca="false">G721*(1+IF(H$3&lt;=$O$2,$D721,$D721-($D721-$I$697)*MIN(H$3-$O$2,$Q$2)/$Q$2))</f>
        <v>1240.75305337477</v>
      </c>
      <c r="I721" s="15" t="n">
        <f aca="false">H721*(1+IF(I$3&lt;=$O$2,$D721,$D721-($D721-$I$697)*MIN(I$3-$O$2,$Q$2)/$Q$2))</f>
        <v>1355.8858665753</v>
      </c>
      <c r="J721" s="15" t="n">
        <f aca="false">I721*(1+IF(J$3&lt;=$O$2,$D721,$D721-($D721-$I$697)*MIN(J$3-$O$2,$Q$2)/$Q$2))</f>
        <v>1466.92498961061</v>
      </c>
      <c r="K721" s="15" t="n">
        <f aca="false">J721*(1+IF(K$3&lt;=$O$2,$D721,$D721-($D721-$I$697)*MIN(K$3-$O$2,$Q$2)/$Q$2))</f>
        <v>1571.07022976416</v>
      </c>
      <c r="L721" s="15" t="n">
        <f aca="false">K721*(1+IF(L$3&lt;=$O$2,$D721,$D721-($D721-$I$697)*MIN(L$3-$O$2,$Q$2)/$Q$2))</f>
        <v>1665.48695663812</v>
      </c>
      <c r="M721" s="15" t="n">
        <f aca="false">L721*(1+IF(M$3&lt;=$O$2,$D721,$D721-($D721-$I$697)*MIN(M$3-$O$2,$Q$2)/$Q$2))</f>
        <v>1747.42647989625</v>
      </c>
      <c r="N721" s="15" t="n">
        <f aca="false">M721*(1+IF(N$3&lt;=$O$2,$D721,$D721-($D721-$I$697)*MIN(N$3-$O$2,$Q$2)/$Q$2))</f>
        <v>1814.35291407628</v>
      </c>
      <c r="O721" s="15" t="n">
        <f aca="false">SUMPRODUCT(E721:N721,1/(1+$F$697)^$E$3:$N$3)*$E$2</f>
        <v>1927.48697559827</v>
      </c>
      <c r="P721" s="15" t="n">
        <f aca="false">N721*$E$2*(1+$I$697)/($F$697-$I$697)/(1+$F$697)^$N$3</f>
        <v>3695.11732227235</v>
      </c>
      <c r="Q721" s="15" t="n">
        <f aca="false">O721+P721</f>
        <v>5622.60429787062</v>
      </c>
      <c r="R721" s="15" t="n">
        <f aca="false">Q721-$G$2+$I$2</f>
        <v>5790.00429787062</v>
      </c>
      <c r="S721" s="42" t="n">
        <f aca="false">R721/$K$2</f>
        <v>164.535501502433</v>
      </c>
      <c r="T721" s="43" t="n">
        <f aca="false">S721-$M$2</f>
        <v>0.00012213329404176</v>
      </c>
    </row>
    <row r="722" customFormat="false" ht="15" hidden="false" customHeight="false" outlineLevel="0" collapsed="false">
      <c r="A722" s="5" t="n">
        <v>24</v>
      </c>
      <c r="B722" s="25" t="n">
        <f aca="false">IF(T721&gt;0,B721,D721)</f>
        <v>0.0927925109863281</v>
      </c>
      <c r="C722" s="25" t="n">
        <f aca="false">IF(T721&gt;0,D721,C721)</f>
        <v>0.0927926898002625</v>
      </c>
      <c r="D722" s="41" t="n">
        <f aca="false">(B722+C722)/2</f>
        <v>0.0927926003932953</v>
      </c>
      <c r="E722" s="15" t="n">
        <f aca="false">$C$2*(1+IF(E$3&lt;=$O$2,$D722,$D722-($D722-$I$697)*MIN(E$3-$O$2,$Q$2)/$Q$2))</f>
        <v>950.762346120179</v>
      </c>
      <c r="F722" s="15" t="n">
        <f aca="false">E722*(1+IF(F$3&lt;=$O$2,$D722,$D722-($D722-$I$697)*MIN(F$3-$O$2,$Q$2)/$Q$2))</f>
        <v>1038.9860565727</v>
      </c>
      <c r="G722" s="15" t="n">
        <f aca="false">F722*(1+IF(G$3&lt;=$O$2,$D722,$D722-($D722-$I$697)*MIN(G$3-$O$2,$Q$2)/$Q$2))</f>
        <v>1135.39627453446</v>
      </c>
      <c r="H722" s="15" t="n">
        <f aca="false">G722*(1+IF(H$3&lt;=$O$2,$D722,$D722-($D722-$I$697)*MIN(H$3-$O$2,$Q$2)/$Q$2))</f>
        <v>1240.75264732537</v>
      </c>
      <c r="I722" s="15" t="n">
        <f aca="false">H722*(1+IF(I$3&lt;=$O$2,$D722,$D722-($D722-$I$697)*MIN(I$3-$O$2,$Q$2)/$Q$2))</f>
        <v>1355.88531191555</v>
      </c>
      <c r="J722" s="15" t="n">
        <f aca="false">I722*(1+IF(J$3&lt;=$O$2,$D722,$D722-($D722-$I$697)*MIN(J$3-$O$2,$Q$2)/$Q$2))</f>
        <v>1466.924292547</v>
      </c>
      <c r="K722" s="15" t="n">
        <f aca="false">J722*(1+IF(K$3&lt;=$O$2,$D722,$D722-($D722-$I$697)*MIN(K$3-$O$2,$Q$2)/$Q$2))</f>
        <v>1571.06940452014</v>
      </c>
      <c r="L722" s="15" t="n">
        <f aca="false">K722*(1+IF(L$3&lt;=$O$2,$D722,$D722-($D722-$I$697)*MIN(L$3-$O$2,$Q$2)/$Q$2))</f>
        <v>1665.48602561352</v>
      </c>
      <c r="M722" s="15" t="n">
        <f aca="false">L722*(1+IF(M$3&lt;=$O$2,$D722,$D722-($D722-$I$697)*MIN(M$3-$O$2,$Q$2)/$Q$2))</f>
        <v>1747.4254732854</v>
      </c>
      <c r="N722" s="15" t="n">
        <f aca="false">M722*(1+IF(N$3&lt;=$O$2,$D722,$D722-($D722-$I$697)*MIN(N$3-$O$2,$Q$2)/$Q$2))</f>
        <v>1814.35186891223</v>
      </c>
      <c r="O722" s="15" t="n">
        <f aca="false">SUMPRODUCT(E722:N722,1/(1+$F$697)^$E$3:$N$3)*$E$2</f>
        <v>1927.486223499</v>
      </c>
      <c r="P722" s="15" t="n">
        <f aca="false">N722*$E$2*(1+$I$697)/($F$697-$I$697)/(1+$F$697)^$N$3</f>
        <v>3695.11519368768</v>
      </c>
      <c r="Q722" s="15" t="n">
        <f aca="false">O722+P722</f>
        <v>5622.60141718668</v>
      </c>
      <c r="R722" s="15" t="n">
        <f aca="false">Q722-$G$2+$I$2</f>
        <v>5790.00141718668</v>
      </c>
      <c r="S722" s="42" t="n">
        <f aca="false">R722/$K$2</f>
        <v>164.535419641565</v>
      </c>
      <c r="T722" s="43" t="n">
        <f aca="false">S722-$M$2</f>
        <v>4.02724262187348E-005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13" min="3" style="0" width="12"/>
  </cols>
  <sheetData>
    <row r="2" customFormat="false" ht="19.7" hidden="false" customHeight="false" outlineLevel="0" collapsed="false">
      <c r="B2" s="1" t="s">
        <v>213</v>
      </c>
    </row>
    <row r="3" customFormat="false" ht="15" hidden="false" customHeight="false" outlineLevel="0" collapsed="false">
      <c r="B3" s="2" t="s">
        <v>214</v>
      </c>
    </row>
    <row r="5" customFormat="false" ht="15" hidden="false" customHeight="false" outlineLevel="0" collapsed="false">
      <c r="B5" s="3" t="s">
        <v>215</v>
      </c>
    </row>
    <row r="6" customFormat="false" ht="15" hidden="false" customHeight="false" outlineLevel="0" collapsed="false">
      <c r="B6" s="28" t="s">
        <v>164</v>
      </c>
      <c r="C6" s="44" t="n">
        <v>1</v>
      </c>
      <c r="D6" s="44" t="n">
        <v>2</v>
      </c>
      <c r="E6" s="44" t="n">
        <v>3</v>
      </c>
      <c r="F6" s="44" t="n">
        <v>4</v>
      </c>
      <c r="G6" s="44" t="n">
        <v>5</v>
      </c>
      <c r="H6" s="44" t="n">
        <v>6</v>
      </c>
      <c r="I6" s="44" t="n">
        <v>7</v>
      </c>
      <c r="J6" s="44" t="n">
        <v>8</v>
      </c>
      <c r="K6" s="44" t="n">
        <v>9</v>
      </c>
      <c r="L6" s="44" t="n">
        <v>10</v>
      </c>
    </row>
    <row r="7" customFormat="false" ht="15" hidden="false" customHeight="false" outlineLevel="0" collapsed="false">
      <c r="B7" s="5" t="s">
        <v>216</v>
      </c>
      <c r="C7" s="23" t="n">
        <f aca="false">IF(C$6&lt;=Inputs!$C$46,Solver!$W$7,Solver!$W$7-(Solver!$W$7-Inputs!$C$37)*MIN(C$6-Inputs!$C$46,Inputs!$C$47)/Inputs!$C$47)</f>
        <v>0.0840076838262576</v>
      </c>
      <c r="D7" s="23" t="n">
        <f aca="false">IF(D$6&lt;=Inputs!$C$46,Solver!$W$7,Solver!$W$7-(Solver!$W$7-Inputs!$C$37)*MIN(D$6-Inputs!$C$46,Inputs!$C$47)/Inputs!$C$47)</f>
        <v>0.0840076838262576</v>
      </c>
      <c r="E7" s="23" t="n">
        <f aca="false">IF(E$6&lt;=Inputs!$C$46,Solver!$W$7,Solver!$W$7-(Solver!$W$7-Inputs!$C$37)*MIN(E$6-Inputs!$C$46,Inputs!$C$47)/Inputs!$C$47)</f>
        <v>0.0840076838262576</v>
      </c>
      <c r="F7" s="23" t="n">
        <f aca="false">IF(F$6&lt;=Inputs!$C$46,Solver!$W$7,Solver!$W$7-(Solver!$W$7-Inputs!$C$37)*MIN(F$6-Inputs!$C$46,Inputs!$C$47)/Inputs!$C$47)</f>
        <v>0.0840076838262576</v>
      </c>
      <c r="G7" s="23" t="n">
        <f aca="false">IF(G$6&lt;=Inputs!$C$46,Solver!$W$7,Solver!$W$7-(Solver!$W$7-Inputs!$C$37)*MIN(G$6-Inputs!$C$46,Inputs!$C$47)/Inputs!$C$47)</f>
        <v>0.0840076838262576</v>
      </c>
      <c r="H7" s="23" t="n">
        <f aca="false">IF(H$6&lt;=Inputs!$C$46,Solver!$W$7,Solver!$W$7-(Solver!$W$7-Inputs!$C$37)*MIN(H$6-Inputs!$C$46,Inputs!$C$47)/Inputs!$C$47)</f>
        <v>0.0728661470610061</v>
      </c>
      <c r="I7" s="23" t="n">
        <f aca="false">IF(I$6&lt;=Inputs!$C$46,Solver!$W$7,Solver!$W$7-(Solver!$W$7-Inputs!$C$37)*MIN(I$6-Inputs!$C$46,Inputs!$C$47)/Inputs!$C$47)</f>
        <v>0.0617246102957545</v>
      </c>
      <c r="J7" s="23" t="n">
        <f aca="false">IF(J$6&lt;=Inputs!$C$46,Solver!$W$7,Solver!$W$7-(Solver!$W$7-Inputs!$C$37)*MIN(J$6-Inputs!$C$46,Inputs!$C$47)/Inputs!$C$47)</f>
        <v>0.050583073530503</v>
      </c>
      <c r="K7" s="23" t="n">
        <f aca="false">IF(K$6&lt;=Inputs!$C$46,Solver!$W$7,Solver!$W$7-(Solver!$W$7-Inputs!$C$37)*MIN(K$6-Inputs!$C$46,Inputs!$C$47)/Inputs!$C$47)</f>
        <v>0.0394415367652515</v>
      </c>
      <c r="L7" s="23" t="n">
        <f aca="false">IF(L$6&lt;=Inputs!$C$46,Solver!$W$7,Solver!$W$7-(Solver!$W$7-Inputs!$C$37)*MIN(L$6-Inputs!$C$46,Inputs!$C$47)/Inputs!$C$47)</f>
        <v>0.0283</v>
      </c>
    </row>
    <row r="8" customFormat="false" ht="15" hidden="false" customHeight="false" outlineLevel="0" collapsed="false">
      <c r="B8" s="5" t="s">
        <v>106</v>
      </c>
      <c r="C8" s="15" t="n">
        <f aca="false">Inputs!$C$12*(1+C7)</f>
        <v>943.119205159359</v>
      </c>
      <c r="D8" s="15" t="n">
        <f aca="false">C8*(1+D7)</f>
        <v>1022.34846515686</v>
      </c>
      <c r="E8" s="15" t="n">
        <f aca="false">D8*(1+E7)</f>
        <v>1108.23359177801</v>
      </c>
      <c r="F8" s="15" t="n">
        <f aca="false">E8*(1+F7)</f>
        <v>1201.33372896174</v>
      </c>
      <c r="G8" s="15" t="n">
        <f aca="false">F8*(1+G7)</f>
        <v>1302.25499303418</v>
      </c>
      <c r="H8" s="15" t="n">
        <f aca="false">G8*(1+H7)</f>
        <v>1397.14529686753</v>
      </c>
      <c r="I8" s="15" t="n">
        <f aca="false">H8*(1+I7)</f>
        <v>1483.38354584323</v>
      </c>
      <c r="J8" s="15" t="n">
        <f aca="false">I8*(1+J7)</f>
        <v>1558.41764481656</v>
      </c>
      <c r="K8" s="15" t="n">
        <f aca="false">J8*(1+K7)</f>
        <v>1619.8840316502</v>
      </c>
      <c r="L8" s="15" t="n">
        <f aca="false">K8*(1+L7)</f>
        <v>1665.72674974591</v>
      </c>
    </row>
    <row r="9" customFormat="false" ht="15" hidden="false" customHeight="false" outlineLevel="0" collapsed="false">
      <c r="B9" s="5" t="s">
        <v>61</v>
      </c>
      <c r="C9" s="15" t="n">
        <f aca="false">C8*Inputs!$C$23</f>
        <v>210.622692967442</v>
      </c>
      <c r="D9" s="15" t="n">
        <f aca="false">D8*Inputs!$C$23</f>
        <v>228.316617564886</v>
      </c>
      <c r="E9" s="15" t="n">
        <f aca="false">E8*Inputs!$C$23</f>
        <v>247.496967785557</v>
      </c>
      <c r="F9" s="15" t="n">
        <f aca="false">F8*Inputs!$C$23</f>
        <v>268.288614803244</v>
      </c>
      <c r="G9" s="15" t="n">
        <f aca="false">G8*Inputs!$C$23</f>
        <v>290.826919929819</v>
      </c>
      <c r="H9" s="15" t="n">
        <f aca="false">H8*Inputs!$C$23</f>
        <v>312.018357046725</v>
      </c>
      <c r="I9" s="15" t="n">
        <f aca="false">I8*Inputs!$C$23</f>
        <v>331.277568540556</v>
      </c>
      <c r="J9" s="15" t="n">
        <f aca="false">J8*Inputs!$C$23</f>
        <v>348.034606149049</v>
      </c>
      <c r="K9" s="15" t="n">
        <f aca="false">K8*Inputs!$C$23</f>
        <v>361.761625863056</v>
      </c>
      <c r="L9" s="15" t="n">
        <f aca="false">L8*Inputs!$C$23</f>
        <v>371.999479874981</v>
      </c>
    </row>
    <row r="10" customFormat="false" ht="15" hidden="false" customHeight="false" outlineLevel="0" collapsed="false">
      <c r="B10" s="5" t="s">
        <v>217</v>
      </c>
      <c r="C10" s="45" t="n">
        <f aca="false">1/(1+WACC!$C$37)^C$6</f>
        <v>0.928067715358736</v>
      </c>
      <c r="D10" s="45" t="n">
        <f aca="false">1/(1+WACC!$C$37)^D$6</f>
        <v>0.861309684291184</v>
      </c>
      <c r="E10" s="45" t="n">
        <f aca="false">1/(1+WACC!$C$37)^E$6</f>
        <v>0.799353710916473</v>
      </c>
      <c r="F10" s="45" t="n">
        <f aca="false">1/(1+WACC!$C$37)^F$6</f>
        <v>0.741854372253779</v>
      </c>
      <c r="G10" s="45" t="n">
        <f aca="false">1/(1+WACC!$C$37)^G$6</f>
        <v>0.688491092386454</v>
      </c>
      <c r="H10" s="45" t="n">
        <f aca="false">1/(1+WACC!$C$37)^H$6</f>
        <v>0.638966355155937</v>
      </c>
      <c r="I10" s="45" t="n">
        <f aca="false">1/(1+WACC!$C$37)^I$6</f>
        <v>0.593004045420669</v>
      </c>
      <c r="J10" s="45" t="n">
        <f aca="false">1/(1+WACC!$C$37)^J$6</f>
        <v>0.550347909632048</v>
      </c>
      <c r="K10" s="45" t="n">
        <f aca="false">1/(1+WACC!$C$37)^K$6</f>
        <v>0.510760127144671</v>
      </c>
      <c r="L10" s="45" t="n">
        <f aca="false">1/(1+WACC!$C$37)^L$6</f>
        <v>0.474019984295492</v>
      </c>
    </row>
    <row r="11" customFormat="false" ht="15" hidden="false" customHeight="false" outlineLevel="0" collapsed="false">
      <c r="B11" s="5" t="s">
        <v>218</v>
      </c>
      <c r="C11" s="15" t="n">
        <f aca="false">C9*C10</f>
        <v>195.472121464998</v>
      </c>
      <c r="D11" s="15" t="n">
        <f aca="false">D9*D10</f>
        <v>196.651313793243</v>
      </c>
      <c r="E11" s="15" t="n">
        <f aca="false">E9*E10</f>
        <v>197.83761963996</v>
      </c>
      <c r="F11" s="15" t="n">
        <f aca="false">F9*F10</f>
        <v>199.031081917696</v>
      </c>
      <c r="G11" s="15" t="n">
        <f aca="false">G9*G10</f>
        <v>200.231743797869</v>
      </c>
      <c r="H11" s="15" t="n">
        <f aca="false">H9*H10</f>
        <v>199.369232343889</v>
      </c>
      <c r="I11" s="15" t="n">
        <f aca="false">I9*I10</f>
        <v>196.448938301672</v>
      </c>
      <c r="J11" s="15" t="n">
        <f aca="false">J9*J10</f>
        <v>191.540117973742</v>
      </c>
      <c r="K11" s="15" t="n">
        <f aca="false">K9*K10</f>
        <v>184.773414021877</v>
      </c>
      <c r="L11" s="15" t="n">
        <f aca="false">L9*L10</f>
        <v>176.33518760827</v>
      </c>
    </row>
    <row r="13" customFormat="false" ht="15" hidden="false" customHeight="false" outlineLevel="0" collapsed="false">
      <c r="B13" s="5" t="s">
        <v>219</v>
      </c>
      <c r="C13" s="15" t="n">
        <f aca="false">SUM(C11:L11)</f>
        <v>1937.69077086322</v>
      </c>
    </row>
    <row r="14" customFormat="false" ht="15" hidden="false" customHeight="false" outlineLevel="0" collapsed="false">
      <c r="B14" s="5" t="s">
        <v>220</v>
      </c>
      <c r="C14" s="15" t="n">
        <f aca="false">L9*(1+Inputs!$C$37)/(WACC!$C$37-Inputs!$C$37)</f>
        <v>7773.74235516481</v>
      </c>
    </row>
    <row r="15" customFormat="false" ht="15" hidden="false" customHeight="false" outlineLevel="0" collapsed="false">
      <c r="B15" s="5" t="s">
        <v>221</v>
      </c>
      <c r="C15" s="15" t="n">
        <f aca="false">C14*L10</f>
        <v>3684.90922911242</v>
      </c>
    </row>
    <row r="16" customFormat="false" ht="15" hidden="false" customHeight="false" outlineLevel="0" collapsed="false">
      <c r="B16" s="7" t="s">
        <v>222</v>
      </c>
      <c r="C16" s="15" t="n">
        <f aca="false">C13+C15</f>
        <v>5622.59999997564</v>
      </c>
    </row>
    <row r="17" customFormat="false" ht="15" hidden="false" customHeight="false" outlineLevel="0" collapsed="false">
      <c r="B17" s="5" t="s">
        <v>223</v>
      </c>
      <c r="C17" s="16" t="n">
        <f aca="false">-Inputs!$C$27</f>
        <v>-178.91</v>
      </c>
    </row>
    <row r="18" customFormat="false" ht="15" hidden="false" customHeight="false" outlineLevel="0" collapsed="false">
      <c r="B18" s="5" t="s">
        <v>224</v>
      </c>
      <c r="C18" s="16" t="n">
        <f aca="false">Inputs!$C$28</f>
        <v>346.31</v>
      </c>
    </row>
    <row r="19" customFormat="false" ht="15" hidden="false" customHeight="false" outlineLevel="0" collapsed="false">
      <c r="B19" s="5" t="s">
        <v>225</v>
      </c>
      <c r="C19" s="15" t="n">
        <f aca="false">SUM(C16:C18)</f>
        <v>5789.99999997564</v>
      </c>
    </row>
    <row r="20" customFormat="false" ht="15" hidden="false" customHeight="false" outlineLevel="0" collapsed="false">
      <c r="B20" s="5" t="s">
        <v>226</v>
      </c>
      <c r="C20" s="36" t="n">
        <f aca="false">Inputs!$C$7</f>
        <v>35.19</v>
      </c>
    </row>
    <row r="21" customFormat="false" ht="15" hidden="false" customHeight="false" outlineLevel="0" collapsed="false">
      <c r="B21" s="7" t="s">
        <v>227</v>
      </c>
      <c r="C21" s="46" t="n">
        <f aca="false">C19/C20</f>
        <v>164.535379368447</v>
      </c>
    </row>
    <row r="22" customFormat="false" ht="15" hidden="false" customHeight="false" outlineLevel="0" collapsed="false">
      <c r="B22" s="5" t="s">
        <v>6</v>
      </c>
      <c r="C22" s="6" t="n">
        <f aca="false">Inputs!$C$6</f>
        <v>164.535379369139</v>
      </c>
    </row>
    <row r="23" customFormat="false" ht="15" hidden="false" customHeight="false" outlineLevel="0" collapsed="false">
      <c r="B23" s="5" t="s">
        <v>228</v>
      </c>
      <c r="C23" s="23" t="n">
        <f aca="false">C21/C22-1</f>
        <v>-4.20719015181703E-012</v>
      </c>
    </row>
    <row r="24" customFormat="false" ht="15" hidden="false" customHeight="false" outlineLevel="0" collapsed="false">
      <c r="B24" s="5" t="s">
        <v>229</v>
      </c>
      <c r="C24" s="23" t="n">
        <f aca="false">C15/C16</f>
        <v>0.65537460056351</v>
      </c>
    </row>
    <row r="25" customFormat="false" ht="15" hidden="false" customHeight="false" outlineLevel="0" collapsed="false">
      <c r="B25" s="3" t="s">
        <v>230</v>
      </c>
    </row>
    <row r="26" customFormat="false" ht="15" hidden="false" customHeight="false" outlineLevel="0" collapsed="false">
      <c r="B26" s="28" t="s">
        <v>164</v>
      </c>
      <c r="C26" s="44" t="n">
        <v>1</v>
      </c>
      <c r="D26" s="44" t="n">
        <v>2</v>
      </c>
      <c r="E26" s="44" t="n">
        <v>3</v>
      </c>
      <c r="F26" s="44" t="n">
        <v>4</v>
      </c>
      <c r="G26" s="44" t="n">
        <v>5</v>
      </c>
      <c r="H26" s="44" t="n">
        <v>6</v>
      </c>
      <c r="I26" s="44" t="n">
        <v>7</v>
      </c>
      <c r="J26" s="44" t="n">
        <v>8</v>
      </c>
      <c r="K26" s="44" t="n">
        <v>9</v>
      </c>
      <c r="L26" s="44" t="n">
        <v>10</v>
      </c>
    </row>
    <row r="27" customFormat="false" ht="15" hidden="false" customHeight="false" outlineLevel="0" collapsed="false">
      <c r="B27" s="5" t="s">
        <v>216</v>
      </c>
      <c r="C27" s="23" t="n">
        <f aca="false">IF(C$26&lt;=Inputs!$C$46,Inputs!$C$45,Inputs!$C$45-(Inputs!$C$45-Inputs!$C$37)*MIN(C$26-Inputs!$C$46,Inputs!$C$47)/Inputs!$C$47)</f>
        <v>0.057829158495506</v>
      </c>
      <c r="D27" s="23" t="n">
        <f aca="false">IF(D$26&lt;=Inputs!$C$46,Inputs!$C$45,Inputs!$C$45-(Inputs!$C$45-Inputs!$C$37)*MIN(D$26-Inputs!$C$46,Inputs!$C$47)/Inputs!$C$47)</f>
        <v>0.057829158495506</v>
      </c>
      <c r="E27" s="23" t="n">
        <f aca="false">IF(E$26&lt;=Inputs!$C$46,Inputs!$C$45,Inputs!$C$45-(Inputs!$C$45-Inputs!$C$37)*MIN(E$26-Inputs!$C$46,Inputs!$C$47)/Inputs!$C$47)</f>
        <v>0.057829158495506</v>
      </c>
      <c r="F27" s="23" t="n">
        <f aca="false">IF(F$26&lt;=Inputs!$C$46,Inputs!$C$45,Inputs!$C$45-(Inputs!$C$45-Inputs!$C$37)*MIN(F$26-Inputs!$C$46,Inputs!$C$47)/Inputs!$C$47)</f>
        <v>0.057829158495506</v>
      </c>
      <c r="G27" s="23" t="n">
        <f aca="false">IF(G$26&lt;=Inputs!$C$46,Inputs!$C$45,Inputs!$C$45-(Inputs!$C$45-Inputs!$C$37)*MIN(G$26-Inputs!$C$46,Inputs!$C$47)/Inputs!$C$47)</f>
        <v>0.057829158495506</v>
      </c>
      <c r="H27" s="23" t="n">
        <f aca="false">IF(H$26&lt;=Inputs!$C$46,Inputs!$C$45,Inputs!$C$45-(Inputs!$C$45-Inputs!$C$37)*MIN(H$26-Inputs!$C$46,Inputs!$C$47)/Inputs!$C$47)</f>
        <v>0.0519233267964048</v>
      </c>
      <c r="I27" s="23" t="n">
        <f aca="false">IF(I$26&lt;=Inputs!$C$46,Inputs!$C$45,Inputs!$C$45-(Inputs!$C$45-Inputs!$C$37)*MIN(I$26-Inputs!$C$46,Inputs!$C$47)/Inputs!$C$47)</f>
        <v>0.0460174950973036</v>
      </c>
      <c r="J27" s="23" t="n">
        <f aca="false">IF(J$26&lt;=Inputs!$C$46,Inputs!$C$45,Inputs!$C$45-(Inputs!$C$45-Inputs!$C$37)*MIN(J$26-Inputs!$C$46,Inputs!$C$47)/Inputs!$C$47)</f>
        <v>0.0401116633982024</v>
      </c>
      <c r="K27" s="23" t="n">
        <f aca="false">IF(K$26&lt;=Inputs!$C$46,Inputs!$C$45,Inputs!$C$45-(Inputs!$C$45-Inputs!$C$37)*MIN(K$26-Inputs!$C$46,Inputs!$C$47)/Inputs!$C$47)</f>
        <v>0.0342058316991012</v>
      </c>
      <c r="L27" s="23" t="n">
        <f aca="false">IF(L$26&lt;=Inputs!$C$46,Inputs!$C$45,Inputs!$C$45-(Inputs!$C$45-Inputs!$C$37)*MIN(L$26-Inputs!$C$46,Inputs!$C$47)/Inputs!$C$47)</f>
        <v>0.0283</v>
      </c>
    </row>
    <row r="28" customFormat="false" ht="15" hidden="false" customHeight="false" outlineLevel="0" collapsed="false">
      <c r="B28" s="5" t="s">
        <v>106</v>
      </c>
      <c r="C28" s="15" t="n">
        <f aca="false">Inputs!$C$12*(1+C27)</f>
        <v>920.343102765845</v>
      </c>
      <c r="D28" s="15" t="n">
        <f aca="false">C28*(1+D27)</f>
        <v>973.565769925937</v>
      </c>
      <c r="E28" s="15" t="n">
        <f aca="false">D28*(1+E27)</f>
        <v>1029.86625914078</v>
      </c>
      <c r="F28" s="15" t="n">
        <f aca="false">E28*(1+F27)</f>
        <v>1089.42255826981</v>
      </c>
      <c r="G28" s="15" t="n">
        <f aca="false">F28*(1+G27)</f>
        <v>1152.42294806057</v>
      </c>
      <c r="H28" s="15" t="n">
        <f aca="false">G28*(1+H27)</f>
        <v>1212.2605814004</v>
      </c>
      <c r="I28" s="15" t="n">
        <f aca="false">H28*(1+I27)</f>
        <v>1268.04577676165</v>
      </c>
      <c r="J28" s="15" t="n">
        <f aca="false">I28*(1+J27)</f>
        <v>1318.90920213262</v>
      </c>
      <c r="K28" s="15" t="n">
        <f aca="false">J28*(1+K27)</f>
        <v>1364.02358832717</v>
      </c>
      <c r="L28" s="15" t="n">
        <f aca="false">K28*(1+L27)</f>
        <v>1402.62545587682</v>
      </c>
    </row>
    <row r="29" customFormat="false" ht="15" hidden="false" customHeight="false" outlineLevel="0" collapsed="false">
      <c r="B29" s="5" t="s">
        <v>61</v>
      </c>
      <c r="C29" s="15" t="n">
        <f aca="false">C28*Inputs!$C$23</f>
        <v>205.536205495677</v>
      </c>
      <c r="D29" s="15" t="n">
        <f aca="false">D28*Inputs!$C$23</f>
        <v>217.422191299851</v>
      </c>
      <c r="E29" s="15" t="n">
        <f aca="false">E28*Inputs!$C$23</f>
        <v>229.995533660971</v>
      </c>
      <c r="F29" s="15" t="n">
        <f aca="false">F28*Inputs!$C$23</f>
        <v>243.295981830309</v>
      </c>
      <c r="G29" s="15" t="n">
        <f aca="false">G28*Inputs!$C$23</f>
        <v>257.365583724894</v>
      </c>
      <c r="H29" s="15" t="n">
        <f aca="false">H28*Inputs!$C$23</f>
        <v>270.728861034789</v>
      </c>
      <c r="I29" s="15" t="n">
        <f aca="false">I28*Inputs!$C$23</f>
        <v>283.187125070156</v>
      </c>
      <c r="J29" s="15" t="n">
        <f aca="false">J28*Inputs!$C$23</f>
        <v>294.546231709675</v>
      </c>
      <c r="K29" s="15" t="n">
        <f aca="false">K28*Inputs!$C$23</f>
        <v>304.62143053914</v>
      </c>
      <c r="L29" s="15" t="n">
        <f aca="false">L28*Inputs!$C$23</f>
        <v>313.242217023398</v>
      </c>
    </row>
    <row r="30" customFormat="false" ht="15" hidden="false" customHeight="false" outlineLevel="0" collapsed="false">
      <c r="B30" s="5" t="s">
        <v>217</v>
      </c>
      <c r="C30" s="45" t="n">
        <f aca="false">1/(1+WACC!$C$37)^C$26</f>
        <v>0.928067715358736</v>
      </c>
      <c r="D30" s="45" t="n">
        <f aca="false">1/(1+WACC!$C$37)^D$26</f>
        <v>0.861309684291184</v>
      </c>
      <c r="E30" s="45" t="n">
        <f aca="false">1/(1+WACC!$C$37)^E$26</f>
        <v>0.799353710916473</v>
      </c>
      <c r="F30" s="45" t="n">
        <f aca="false">1/(1+WACC!$C$37)^F$26</f>
        <v>0.741854372253779</v>
      </c>
      <c r="G30" s="45" t="n">
        <f aca="false">1/(1+WACC!$C$37)^G$26</f>
        <v>0.688491092386454</v>
      </c>
      <c r="H30" s="45" t="n">
        <f aca="false">1/(1+WACC!$C$37)^H$26</f>
        <v>0.638966355155937</v>
      </c>
      <c r="I30" s="45" t="n">
        <f aca="false">1/(1+WACC!$C$37)^I$26</f>
        <v>0.593004045420669</v>
      </c>
      <c r="J30" s="45" t="n">
        <f aca="false">1/(1+WACC!$C$37)^J$26</f>
        <v>0.550347909632048</v>
      </c>
      <c r="K30" s="45" t="n">
        <f aca="false">1/(1+WACC!$C$37)^K$26</f>
        <v>0.510760127144671</v>
      </c>
      <c r="L30" s="45" t="n">
        <f aca="false">1/(1+WACC!$C$37)^L$26</f>
        <v>0.474019984295492</v>
      </c>
    </row>
    <row r="31" customFormat="false" ht="15" hidden="false" customHeight="false" outlineLevel="0" collapsed="false">
      <c r="B31" s="5" t="s">
        <v>218</v>
      </c>
      <c r="C31" s="15" t="n">
        <f aca="false">C29*C30</f>
        <v>190.751516657876</v>
      </c>
      <c r="D31" s="15" t="n">
        <f aca="false">D29*D30</f>
        <v>187.267838946372</v>
      </c>
      <c r="E31" s="15" t="n">
        <f aca="false">E29*E30</f>
        <v>183.847783326111</v>
      </c>
      <c r="F31" s="15" t="n">
        <f aca="false">F29*F30</f>
        <v>180.490187872591</v>
      </c>
      <c r="G31" s="15" t="n">
        <f aca="false">G29*G30</f>
        <v>177.19391188143</v>
      </c>
      <c r="H31" s="15" t="n">
        <f aca="false">H29*H30</f>
        <v>172.986633570917</v>
      </c>
      <c r="I31" s="15" t="n">
        <f aca="false">I29*I30</f>
        <v>167.931110777651</v>
      </c>
      <c r="J31" s="15" t="n">
        <f aca="false">J29*J30</f>
        <v>162.102902911416</v>
      </c>
      <c r="K31" s="15" t="n">
        <f aca="false">K29*K30</f>
        <v>155.588480593163</v>
      </c>
      <c r="L31" s="15" t="n">
        <f aca="false">L29*L30</f>
        <v>148.483070794116</v>
      </c>
    </row>
    <row r="33" customFormat="false" ht="15" hidden="false" customHeight="false" outlineLevel="0" collapsed="false">
      <c r="B33" s="5" t="s">
        <v>219</v>
      </c>
      <c r="C33" s="15" t="n">
        <f aca="false">SUM(C31:L31)</f>
        <v>1726.64343733164</v>
      </c>
    </row>
    <row r="34" customFormat="false" ht="15" hidden="false" customHeight="false" outlineLevel="0" collapsed="false">
      <c r="B34" s="5" t="s">
        <v>220</v>
      </c>
      <c r="C34" s="15" t="n">
        <f aca="false">L29*(1+Inputs!$C$37)/(WACC!$C$37-Inputs!$C$37)</f>
        <v>6545.88089940039</v>
      </c>
    </row>
    <row r="35" customFormat="false" ht="15" hidden="false" customHeight="false" outlineLevel="0" collapsed="false">
      <c r="B35" s="5" t="s">
        <v>221</v>
      </c>
      <c r="C35" s="15" t="n">
        <f aca="false">C34*L30</f>
        <v>3102.87836113393</v>
      </c>
    </row>
    <row r="36" customFormat="false" ht="15" hidden="false" customHeight="false" outlineLevel="0" collapsed="false">
      <c r="B36" s="7" t="s">
        <v>222</v>
      </c>
      <c r="C36" s="15" t="n">
        <f aca="false">C33+C35</f>
        <v>4829.52179846558</v>
      </c>
    </row>
    <row r="37" customFormat="false" ht="15" hidden="false" customHeight="false" outlineLevel="0" collapsed="false">
      <c r="B37" s="5" t="s">
        <v>223</v>
      </c>
      <c r="C37" s="16" t="n">
        <f aca="false">-Inputs!$C$27</f>
        <v>-178.91</v>
      </c>
    </row>
    <row r="38" customFormat="false" ht="15" hidden="false" customHeight="false" outlineLevel="0" collapsed="false">
      <c r="B38" s="5" t="s">
        <v>224</v>
      </c>
      <c r="C38" s="16" t="n">
        <f aca="false">Inputs!$C$28</f>
        <v>346.31</v>
      </c>
    </row>
    <row r="39" customFormat="false" ht="15" hidden="false" customHeight="false" outlineLevel="0" collapsed="false">
      <c r="B39" s="5" t="s">
        <v>225</v>
      </c>
      <c r="C39" s="15" t="n">
        <f aca="false">SUM(C36:C38)</f>
        <v>4996.92179846558</v>
      </c>
    </row>
    <row r="40" customFormat="false" ht="15" hidden="false" customHeight="false" outlineLevel="0" collapsed="false">
      <c r="B40" s="5" t="s">
        <v>226</v>
      </c>
      <c r="C40" s="36" t="n">
        <f aca="false">Inputs!$C$7</f>
        <v>35.19</v>
      </c>
    </row>
    <row r="41" customFormat="false" ht="15" hidden="false" customHeight="false" outlineLevel="0" collapsed="false">
      <c r="B41" s="7" t="s">
        <v>227</v>
      </c>
      <c r="C41" s="46" t="n">
        <f aca="false">C39/C40</f>
        <v>141.998346077453</v>
      </c>
    </row>
    <row r="42" customFormat="false" ht="15" hidden="false" customHeight="false" outlineLevel="0" collapsed="false">
      <c r="B42" s="5" t="s">
        <v>6</v>
      </c>
      <c r="C42" s="6" t="n">
        <f aca="false">Inputs!$C$6</f>
        <v>164.535379369139</v>
      </c>
    </row>
    <row r="43" customFormat="false" ht="15" hidden="false" customHeight="false" outlineLevel="0" collapsed="false">
      <c r="B43" s="5" t="s">
        <v>228</v>
      </c>
      <c r="C43" s="23" t="n">
        <f aca="false">C41/C42-1</f>
        <v>-0.136973782648432</v>
      </c>
    </row>
    <row r="44" customFormat="false" ht="15" hidden="false" customHeight="false" outlineLevel="0" collapsed="false">
      <c r="B44" s="5" t="s">
        <v>229</v>
      </c>
      <c r="C44" s="23" t="n">
        <f aca="false">C35/C36</f>
        <v>0.64248149001414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7" min="3" style="0" width="13"/>
    <col collapsed="false" customWidth="true" hidden="false" outlineLevel="0" max="8" min="8" style="0" width="4"/>
    <col collapsed="false" customWidth="true" hidden="false" outlineLevel="0" max="9" min="9" style="0" width="60"/>
  </cols>
  <sheetData>
    <row r="2" customFormat="false" ht="19.7" hidden="false" customHeight="false" outlineLevel="0" collapsed="false">
      <c r="B2" s="1" t="s">
        <v>231</v>
      </c>
    </row>
    <row r="3" customFormat="false" ht="15" hidden="false" customHeight="false" outlineLevel="0" collapsed="false">
      <c r="B3" s="2" t="s">
        <v>232</v>
      </c>
    </row>
    <row r="5" customFormat="false" ht="15" hidden="false" customHeight="false" outlineLevel="0" collapsed="false">
      <c r="B5" s="5" t="s">
        <v>233</v>
      </c>
      <c r="C5" s="24" t="n">
        <v>0.005</v>
      </c>
      <c r="D5" s="5" t="s">
        <v>234</v>
      </c>
      <c r="F5" s="24" t="n">
        <v>0.005</v>
      </c>
    </row>
    <row r="6" customFormat="false" ht="15" hidden="false" customHeight="false" outlineLevel="0" collapsed="false">
      <c r="B6" s="5" t="s">
        <v>235</v>
      </c>
      <c r="C6" s="24" t="n">
        <v>0.02</v>
      </c>
    </row>
    <row r="8" customFormat="false" ht="15" hidden="false" customHeight="false" outlineLevel="0" collapsed="false">
      <c r="B8" s="3" t="s">
        <v>236</v>
      </c>
    </row>
    <row r="9" customFormat="false" ht="15" hidden="false" customHeight="false" outlineLevel="0" collapsed="false">
      <c r="C9" s="47" t="n">
        <f aca="false">Inputs!$C$37+(0-2)*$F$5</f>
        <v>0.0183</v>
      </c>
      <c r="D9" s="47" t="n">
        <f aca="false">Inputs!$C$37+(1-2)*$F$5</f>
        <v>0.0233</v>
      </c>
      <c r="E9" s="47" t="n">
        <f aca="false">Inputs!$C$37+(2-2)*$F$5</f>
        <v>0.0283</v>
      </c>
      <c r="F9" s="47" t="n">
        <f aca="false">Inputs!$C$37+(3-2)*$F$5</f>
        <v>0.0333</v>
      </c>
      <c r="G9" s="47" t="n">
        <f aca="false">Inputs!$C$37+(4-2)*$F$5</f>
        <v>0.0383</v>
      </c>
    </row>
    <row r="10" customFormat="false" ht="15" hidden="false" customHeight="false" outlineLevel="0" collapsed="false">
      <c r="B10" s="47" t="n">
        <f aca="false">WACC!$C$37+(0-2)*$C$5</f>
        <v>0.0675075820986394</v>
      </c>
      <c r="C10" s="9" t="n">
        <f aca="false">Solver!$D$74</f>
        <v>0.0752114355564117</v>
      </c>
      <c r="D10" s="9" t="n">
        <f aca="false">Solver!$D$101</f>
        <v>0.0607135593891144</v>
      </c>
      <c r="E10" s="9" t="n">
        <f aca="false">Solver!$D$128</f>
        <v>0.0445566475391388</v>
      </c>
      <c r="F10" s="9" t="n">
        <f aca="false">Solver!$D$155</f>
        <v>0.0263122618198395</v>
      </c>
      <c r="G10" s="9" t="n">
        <f aca="false">Solver!$D$182</f>
        <v>0.00535669922828674</v>
      </c>
      <c r="I10" s="19" t="s">
        <v>237</v>
      </c>
    </row>
    <row r="11" customFormat="false" ht="15" hidden="false" customHeight="false" outlineLevel="0" collapsed="false">
      <c r="B11" s="47" t="n">
        <f aca="false">WACC!$C$37+(1-2)*$C$5</f>
        <v>0.0725075820986394</v>
      </c>
      <c r="C11" s="9" t="n">
        <f aca="false">Solver!$D$209</f>
        <v>0.0928172767162323</v>
      </c>
      <c r="D11" s="9" t="n">
        <f aca="false">Solver!$D$236</f>
        <v>0.0796109735965729</v>
      </c>
      <c r="E11" s="9" t="n">
        <f aca="false">Solver!$D$263</f>
        <v>0.0650480091571808</v>
      </c>
      <c r="F11" s="9" t="n">
        <f aca="false">Solver!$D$290</f>
        <v>0.0488192141056061</v>
      </c>
      <c r="G11" s="9" t="n">
        <f aca="false">Solver!$D$317</f>
        <v>0.030493825674057</v>
      </c>
    </row>
    <row r="12" customFormat="false" ht="15" hidden="false" customHeight="false" outlineLevel="0" collapsed="false">
      <c r="B12" s="47" t="n">
        <f aca="false">WACC!$C$37+(2-2)*$C$5</f>
        <v>0.0775075820986394</v>
      </c>
      <c r="C12" s="9" t="n">
        <f aca="false">Solver!$D$344</f>
        <v>0.109406739473343</v>
      </c>
      <c r="D12" s="9" t="n">
        <f aca="false">Solver!$D$371</f>
        <v>0.0972731411457062</v>
      </c>
      <c r="E12" s="8" t="n">
        <f aca="false">Solver!$D$398</f>
        <v>0.0840076506137848</v>
      </c>
      <c r="F12" s="9" t="n">
        <f aca="false">Solver!$D$425</f>
        <v>0.0693797767162323</v>
      </c>
      <c r="G12" s="9" t="n">
        <f aca="false">Solver!$D$452</f>
        <v>0.0530787408351898</v>
      </c>
    </row>
    <row r="13" customFormat="false" ht="15" hidden="false" customHeight="false" outlineLevel="0" collapsed="false">
      <c r="B13" s="47" t="n">
        <f aca="false">WACC!$C$37+(3-2)*$C$5</f>
        <v>0.0825075820986394</v>
      </c>
      <c r="C13" s="9" t="n">
        <f aca="false">Solver!$D$479</f>
        <v>0.125142723321915</v>
      </c>
      <c r="D13" s="9" t="n">
        <f aca="false">Solver!$D$506</f>
        <v>0.113914281129837</v>
      </c>
      <c r="E13" s="9" t="n">
        <f aca="false">Solver!$D$533</f>
        <v>0.101726144552231</v>
      </c>
      <c r="F13" s="9" t="n">
        <f aca="false">Solver!$D$560</f>
        <v>0.0884014666080475</v>
      </c>
      <c r="G13" s="9" t="n">
        <f aca="false">Solver!$D$587</f>
        <v>0.0737085044384003</v>
      </c>
    </row>
    <row r="14" customFormat="false" ht="15" hidden="false" customHeight="false" outlineLevel="0" collapsed="false">
      <c r="B14" s="47" t="n">
        <f aca="false">WACC!$C$37+(4-2)*$C$5</f>
        <v>0.0875075820986394</v>
      </c>
      <c r="C14" s="9" t="n">
        <f aca="false">Solver!$D$614</f>
        <v>0.140151649713516</v>
      </c>
      <c r="D14" s="9" t="n">
        <f aca="false">Solver!$D$641</f>
        <v>0.129697650671005</v>
      </c>
      <c r="E14" s="9" t="n">
        <f aca="false">Solver!$D$668</f>
        <v>0.118418961763382</v>
      </c>
      <c r="F14" s="9" t="n">
        <f aca="false">Solver!$D$695</f>
        <v>0.106176465749741</v>
      </c>
      <c r="G14" s="9" t="n">
        <f aca="false">Solver!$D$722</f>
        <v>0.0927926003932953</v>
      </c>
    </row>
    <row r="17" customFormat="false" ht="15" hidden="false" customHeight="false" outlineLevel="0" collapsed="false">
      <c r="B17" s="3" t="s">
        <v>238</v>
      </c>
    </row>
    <row r="18" customFormat="false" ht="15" hidden="false" customHeight="false" outlineLevel="0" collapsed="false">
      <c r="C18" s="48" t="n">
        <f aca="false">Inputs!$C$45+(0-2)*$C$6</f>
        <v>0.017829158495506</v>
      </c>
      <c r="D18" s="48" t="n">
        <f aca="false">Inputs!$C$45+(1-2)*$C$6</f>
        <v>0.037829158495506</v>
      </c>
      <c r="E18" s="48" t="n">
        <f aca="false">Inputs!$C$45+(2-2)*$C$6</f>
        <v>0.057829158495506</v>
      </c>
      <c r="F18" s="48" t="n">
        <f aca="false">Inputs!$C$45+(3-2)*$C$6</f>
        <v>0.077829158495506</v>
      </c>
      <c r="G18" s="48" t="n">
        <f aca="false">Inputs!$C$45+(4-2)*$C$6</f>
        <v>0.097829158495506</v>
      </c>
    </row>
    <row r="19" customFormat="false" ht="15" hidden="false" customHeight="false" outlineLevel="0" collapsed="false">
      <c r="B19" s="47" t="n">
        <f aca="false">WACC!$C$37+(0-2)*$C$5</f>
        <v>0.0675075820986394</v>
      </c>
      <c r="C19" s="42" t="n">
        <f aca="false">(SUMPRODUCT($C28:$L28,1/(1+$B19)^$C$27:$L$27)*Inputs!$C$23+$L28*Inputs!$C$23*(1+Inputs!$C$37)/($B19-Inputs!$C$37)/(1+$B19)^$L$27-Inputs!$C$27+Inputs!$C$28)/Inputs!$C$7</f>
        <v>140.62608690872</v>
      </c>
      <c r="D19" s="42" t="n">
        <f aca="false">(SUMPRODUCT($C29:$L29,1/(1+$B19)^$C$27:$L$27)*Inputs!$C$23+$L29*Inputs!$C$23*(1+Inputs!$C$37)/($B19-Inputs!$C$37)/(1+$B19)^$L$27-Inputs!$C$27+Inputs!$C$28)/Inputs!$C$7</f>
        <v>158.176605395995</v>
      </c>
      <c r="E19" s="42" t="n">
        <f aca="false">(SUMPRODUCT($C30:$L30,1/(1+$B19)^$C$27:$L$27)*Inputs!$C$23+$L30*Inputs!$C$23*(1+Inputs!$C$37)/($B19-Inputs!$C$37)/(1+$B19)^$L$27-Inputs!$C$27+Inputs!$C$28)/Inputs!$C$7</f>
        <v>177.797513972907</v>
      </c>
      <c r="F19" s="42" t="n">
        <f aca="false">(SUMPRODUCT($C31:$L31,1/(1+$B19)^$C$27:$L$27)*Inputs!$C$23+$L31*Inputs!$C$23*(1+Inputs!$C$37)/($B19-Inputs!$C$37)/(1+$B19)^$L$27-Inputs!$C$27+Inputs!$C$28)/Inputs!$C$7</f>
        <v>199.700166623367</v>
      </c>
      <c r="G19" s="42" t="n">
        <f aca="false">(SUMPRODUCT($C32:$L32,1/(1+$B19)^$C$27:$L$27)*Inputs!$C$23+$L32*Inputs!$C$23*(1+Inputs!$C$37)/($B19-Inputs!$C$37)/(1+$B19)^$L$27-Inputs!$C$27+Inputs!$C$28)/Inputs!$C$7</f>
        <v>224.113874642048</v>
      </c>
      <c r="I19" s="19" t="s">
        <v>239</v>
      </c>
    </row>
    <row r="20" customFormat="false" ht="15" hidden="false" customHeight="false" outlineLevel="0" collapsed="false">
      <c r="B20" s="47" t="n">
        <f aca="false">WACC!$C$37+(1-2)*$C$5</f>
        <v>0.0725075820986394</v>
      </c>
      <c r="C20" s="42" t="n">
        <f aca="false">(SUMPRODUCT($C28:$L28,1/(1+$B20)^$C$27:$L$27)*Inputs!$C$23+$L28*Inputs!$C$23*(1+Inputs!$C$37)/($B20-Inputs!$C$37)/(1+$B20)^$L$27-Inputs!$C$27+Inputs!$C$28)/Inputs!$C$7</f>
        <v>125.365729978416</v>
      </c>
      <c r="D20" s="42" t="n">
        <f aca="false">(SUMPRODUCT($C29:$L29,1/(1+$B20)^$C$27:$L$27)*Inputs!$C$23+$L29*Inputs!$C$23*(1+Inputs!$C$37)/($B20-Inputs!$C$37)/(1+$B20)^$L$27-Inputs!$C$27+Inputs!$C$28)/Inputs!$C$7</f>
        <v>140.718516717803</v>
      </c>
      <c r="E20" s="42" t="n">
        <f aca="false">(SUMPRODUCT($C30:$L30,1/(1+$B20)^$C$27:$L$27)*Inputs!$C$23+$L30*Inputs!$C$23*(1+Inputs!$C$37)/($B20-Inputs!$C$37)/(1+$B20)^$L$27-Inputs!$C$27+Inputs!$C$28)/Inputs!$C$7</f>
        <v>157.86878003488</v>
      </c>
      <c r="F20" s="42" t="n">
        <f aca="false">(SUMPRODUCT($C31:$L31,1/(1+$B20)^$C$27:$L$27)*Inputs!$C$23+$L31*Inputs!$C$23*(1+Inputs!$C$37)/($B20-Inputs!$C$37)/(1+$B20)^$L$27-Inputs!$C$27+Inputs!$C$28)/Inputs!$C$7</f>
        <v>176.999235074831</v>
      </c>
      <c r="G20" s="42" t="n">
        <f aca="false">(SUMPRODUCT($C32:$L32,1/(1+$B20)^$C$27:$L$27)*Inputs!$C$23+$L32*Inputs!$C$23*(1+Inputs!$C$37)/($B20-Inputs!$C$37)/(1+$B20)^$L$27-Inputs!$C$27+Inputs!$C$28)/Inputs!$C$7</f>
        <v>198.308075695959</v>
      </c>
    </row>
    <row r="21" customFormat="false" ht="15" hidden="false" customHeight="false" outlineLevel="0" collapsed="false">
      <c r="B21" s="47" t="n">
        <f aca="false">WACC!$C$37+(2-2)*$C$5</f>
        <v>0.0775075820986394</v>
      </c>
      <c r="C21" s="42" t="n">
        <f aca="false">(SUMPRODUCT($C28:$L28,1/(1+$B21)^$C$27:$L$27)*Inputs!$C$23+$L28*Inputs!$C$23*(1+Inputs!$C$37)/($B21-Inputs!$C$37)/(1+$B21)^$L$27-Inputs!$C$27+Inputs!$C$28)/Inputs!$C$7</f>
        <v>113.204144013554</v>
      </c>
      <c r="D21" s="42" t="n">
        <f aca="false">(SUMPRODUCT($C29:$L29,1/(1+$B21)^$C$27:$L$27)*Inputs!$C$23+$L29*Inputs!$C$23*(1+Inputs!$C$37)/($B21-Inputs!$C$37)/(1+$B21)^$L$27-Inputs!$C$27+Inputs!$C$28)/Inputs!$C$7</f>
        <v>126.810728173072</v>
      </c>
      <c r="E21" s="46" t="n">
        <f aca="false">(SUMPRODUCT($C30:$L30,1/(1+$B21)^$C$27:$L$27)*Inputs!$C$23+$L30*Inputs!$C$23*(1+Inputs!$C$37)/($B21-Inputs!$C$37)/(1+$B21)^$L$27-Inputs!$C$27+Inputs!$C$28)/Inputs!$C$7</f>
        <v>141.998346077453</v>
      </c>
      <c r="F21" s="42" t="n">
        <f aca="false">(SUMPRODUCT($C31:$L31,1/(1+$B21)^$C$27:$L$27)*Inputs!$C$23+$L31*Inputs!$C$23*(1+Inputs!$C$37)/($B21-Inputs!$C$37)/(1+$B21)^$L$27-Inputs!$C$27+Inputs!$C$28)/Inputs!$C$7</f>
        <v>158.92702879618</v>
      </c>
      <c r="G21" s="42" t="n">
        <f aca="false">(SUMPRODUCT($C32:$L32,1/(1+$B21)^$C$27:$L$27)*Inputs!$C$23+$L32*Inputs!$C$23*(1+Inputs!$C$37)/($B21-Inputs!$C$37)/(1+$B21)^$L$27-Inputs!$C$27+Inputs!$C$28)/Inputs!$C$7</f>
        <v>177.77032480644</v>
      </c>
    </row>
    <row r="22" customFormat="false" ht="15" hidden="false" customHeight="false" outlineLevel="0" collapsed="false">
      <c r="B22" s="47" t="n">
        <f aca="false">WACC!$C$37+(3-2)*$C$5</f>
        <v>0.0825075820986394</v>
      </c>
      <c r="C22" s="42" t="n">
        <f aca="false">(SUMPRODUCT($C28:$L28,1/(1+$B22)^$C$27:$L$27)*Inputs!$C$23+$L28*Inputs!$C$23*(1+Inputs!$C$37)/($B22-Inputs!$C$37)/(1+$B22)^$L$27-Inputs!$C$27+Inputs!$C$28)/Inputs!$C$7</f>
        <v>103.283928561798</v>
      </c>
      <c r="D22" s="42" t="n">
        <f aca="false">(SUMPRODUCT($C29:$L29,1/(1+$B22)^$C$27:$L$27)*Inputs!$C$23+$L29*Inputs!$C$23*(1+Inputs!$C$37)/($B22-Inputs!$C$37)/(1+$B22)^$L$27-Inputs!$C$27+Inputs!$C$28)/Inputs!$C$7</f>
        <v>115.470748114815</v>
      </c>
      <c r="E22" s="42" t="n">
        <f aca="false">(SUMPRODUCT($C30:$L30,1/(1+$B22)^$C$27:$L$27)*Inputs!$C$23+$L30*Inputs!$C$23*(1+Inputs!$C$37)/($B22-Inputs!$C$37)/(1+$B22)^$L$27-Inputs!$C$27+Inputs!$C$28)/Inputs!$C$7</f>
        <v>129.062970589717</v>
      </c>
      <c r="F22" s="42" t="n">
        <f aca="false">(SUMPRODUCT($C31:$L31,1/(1+$B22)^$C$27:$L$27)*Inputs!$C$23+$L31*Inputs!$C$23*(1+Inputs!$C$37)/($B22-Inputs!$C$37)/(1+$B22)^$L$27-Inputs!$C$27+Inputs!$C$28)/Inputs!$C$7</f>
        <v>144.202245397285</v>
      </c>
      <c r="G22" s="42" t="n">
        <f aca="false">(SUMPRODUCT($C32:$L32,1/(1+$B22)^$C$27:$L$27)*Inputs!$C$23+$L32*Inputs!$C$23*(1+Inputs!$C$37)/($B22-Inputs!$C$37)/(1+$B22)^$L$27-Inputs!$C$27+Inputs!$C$28)/Inputs!$C$7</f>
        <v>161.042151718349</v>
      </c>
    </row>
    <row r="23" customFormat="false" ht="15" hidden="false" customHeight="false" outlineLevel="0" collapsed="false">
      <c r="B23" s="47" t="n">
        <f aca="false">WACC!$C$37+(4-2)*$C$5</f>
        <v>0.0875075820986394</v>
      </c>
      <c r="C23" s="42" t="n">
        <f aca="false">(SUMPRODUCT($C28:$L28,1/(1+$B23)^$C$27:$L$27)*Inputs!$C$23+$L28*Inputs!$C$23*(1+Inputs!$C$37)/($B23-Inputs!$C$37)/(1+$B23)^$L$27-Inputs!$C$27+Inputs!$C$28)/Inputs!$C$7</f>
        <v>95.0373057727678</v>
      </c>
      <c r="D23" s="42" t="n">
        <f aca="false">(SUMPRODUCT($C29:$L29,1/(1+$B23)^$C$27:$L$27)*Inputs!$C$23+$L29*Inputs!$C$23*(1+Inputs!$C$37)/($B23-Inputs!$C$37)/(1+$B23)^$L$27-Inputs!$C$27+Inputs!$C$28)/Inputs!$C$7</f>
        <v>106.047967898958</v>
      </c>
      <c r="E23" s="42" t="n">
        <f aca="false">(SUMPRODUCT($C30:$L30,1/(1+$B23)^$C$27:$L$27)*Inputs!$C$23+$L30*Inputs!$C$23*(1+Inputs!$C$37)/($B23-Inputs!$C$37)/(1+$B23)^$L$27-Inputs!$C$27+Inputs!$C$28)/Inputs!$C$7</f>
        <v>118.318846101137</v>
      </c>
      <c r="F23" s="42" t="n">
        <f aca="false">(SUMPRODUCT($C31:$L31,1/(1+$B23)^$C$27:$L$27)*Inputs!$C$23+$L31*Inputs!$C$23*(1+Inputs!$C$37)/($B23-Inputs!$C$37)/(1+$B23)^$L$27-Inputs!$C$27+Inputs!$C$28)/Inputs!$C$7</f>
        <v>131.97641653527</v>
      </c>
      <c r="G23" s="42" t="n">
        <f aca="false">(SUMPRODUCT($C32:$L32,1/(1+$B23)^$C$27:$L$27)*Inputs!$C$23+$L32*Inputs!$C$23*(1+Inputs!$C$37)/($B23-Inputs!$C$37)/(1+$B23)^$L$27-Inputs!$C$27+Inputs!$C$28)/Inputs!$C$7</f>
        <v>147.15777606806</v>
      </c>
    </row>
    <row r="26" customFormat="false" ht="15" hidden="false" customHeight="false" outlineLevel="0" collapsed="false">
      <c r="B26" s="19" t="s">
        <v>240</v>
      </c>
    </row>
    <row r="27" customFormat="false" ht="15" hidden="false" customHeight="false" outlineLevel="0" collapsed="false">
      <c r="C27" s="39" t="n">
        <v>1</v>
      </c>
      <c r="D27" s="39" t="n">
        <v>2</v>
      </c>
      <c r="E27" s="39" t="n">
        <v>3</v>
      </c>
      <c r="F27" s="39" t="n">
        <v>4</v>
      </c>
      <c r="G27" s="39" t="n">
        <v>5</v>
      </c>
      <c r="H27" s="39" t="n">
        <v>6</v>
      </c>
      <c r="I27" s="39" t="n">
        <v>7</v>
      </c>
      <c r="J27" s="39" t="n">
        <v>8</v>
      </c>
      <c r="K27" s="39" t="n">
        <v>9</v>
      </c>
      <c r="L27" s="39" t="n">
        <v>10</v>
      </c>
    </row>
    <row r="28" customFormat="false" ht="15" hidden="false" customHeight="false" outlineLevel="0" collapsed="false">
      <c r="B28" s="23" t="n">
        <f aca="false">C$18</f>
        <v>0.017829158495506</v>
      </c>
      <c r="C28" s="15" t="n">
        <f aca="false">Inputs!$C$12*(1+IF(C$27&lt;=Inputs!$C$46,$B28,$B28-($B28-Inputs!$C$37)*MIN(C$27-Inputs!$C$46,Inputs!$C$47)/Inputs!$C$47))</f>
        <v>885.541902765845</v>
      </c>
      <c r="D28" s="15" t="n">
        <f aca="false">C28*(1+IF(D$27&lt;=Inputs!$C$46,$B28,$B28-($B28-Inputs!$C$37)*MIN(D$27-Inputs!$C$46,Inputs!$C$47)/Inputs!$C$47))</f>
        <v>901.330369704669</v>
      </c>
      <c r="E28" s="15" t="n">
        <f aca="false">D28*(1+IF(E$27&lt;=Inputs!$C$46,$B28,$B28-($B28-Inputs!$C$37)*MIN(E$27-Inputs!$C$46,Inputs!$C$47)/Inputs!$C$47))</f>
        <v>917.400331722947</v>
      </c>
      <c r="F28" s="15" t="n">
        <f aca="false">E28*(1+IF(F$27&lt;=Inputs!$C$46,$B28,$B28-($B28-Inputs!$C$37)*MIN(F$27-Inputs!$C$46,Inputs!$C$47)/Inputs!$C$47))</f>
        <v>933.756807641065</v>
      </c>
      <c r="G28" s="15" t="n">
        <f aca="false">F28*(1+IF(G$27&lt;=Inputs!$C$46,$B28,$B28-($B28-Inputs!$C$37)*MIN(G$27-Inputs!$C$46,Inputs!$C$47)/Inputs!$C$47))</f>
        <v>950.404905760755</v>
      </c>
      <c r="H28" s="15" t="n">
        <f aca="false">G28*(1+IF(H$27&lt;=Inputs!$C$46,$B28,$B28-($B28-Inputs!$C$37)*MIN(H$27-Inputs!$C$46,Inputs!$C$47)/Inputs!$C$47))</f>
        <v>969.340133287133</v>
      </c>
      <c r="I28" s="15" t="n">
        <f aca="false">H28*(1+IF(I$27&lt;=Inputs!$C$46,$B28,$B28-($B28-Inputs!$C$37)*MIN(I$27-Inputs!$C$46,Inputs!$C$47)/Inputs!$C$47))</f>
        <v>990.682574919402</v>
      </c>
      <c r="J28" s="15" t="n">
        <f aca="false">I28*(1+IF(J$27&lt;=Inputs!$C$46,$B28,$B28-($B28-Inputs!$C$37)*MIN(J$27-Inputs!$C$46,Inputs!$C$47)/Inputs!$C$47))</f>
        <v>1014.56957970032</v>
      </c>
      <c r="K28" s="15" t="n">
        <f aca="false">J28*(1+IF(K$27&lt;=Inputs!$C$46,$B28,$B28-($B28-Inputs!$C$37)*MIN(K$27-Inputs!$C$46,Inputs!$C$47)/Inputs!$C$47))</f>
        <v>1041.15721935298</v>
      </c>
      <c r="L28" s="15" t="n">
        <f aca="false">K28*(1+IF(L$27&lt;=Inputs!$C$46,$B28,$B28-($B28-Inputs!$C$37)*MIN(L$27-Inputs!$C$46,Inputs!$C$47)/Inputs!$C$47))</f>
        <v>1070.62196866067</v>
      </c>
    </row>
    <row r="29" customFormat="false" ht="15" hidden="false" customHeight="false" outlineLevel="0" collapsed="false">
      <c r="B29" s="23" t="n">
        <f aca="false">D$18</f>
        <v>0.037829158495506</v>
      </c>
      <c r="C29" s="15" t="n">
        <f aca="false">Inputs!$C$12*(1+IF(C$27&lt;=Inputs!$C$46,$B29,$B29-($B29-Inputs!$C$37)*MIN(C$27-Inputs!$C$46,Inputs!$C$47)/Inputs!$C$47))</f>
        <v>902.942502765845</v>
      </c>
      <c r="D29" s="15" t="n">
        <f aca="false">C29*(1+IF(D$27&lt;=Inputs!$C$46,$B29,$B29-($B29-Inputs!$C$37)*MIN(D$27-Inputs!$C$46,Inputs!$C$47)/Inputs!$C$47))</f>
        <v>937.100057815303</v>
      </c>
      <c r="E29" s="15" t="n">
        <f aca="false">D29*(1+IF(E$27&lt;=Inputs!$C$46,$B29,$B29-($B29-Inputs!$C$37)*MIN(E$27-Inputs!$C$46,Inputs!$C$47)/Inputs!$C$47))</f>
        <v>972.549764428546</v>
      </c>
      <c r="F29" s="15" t="n">
        <f aca="false">E29*(1+IF(F$27&lt;=Inputs!$C$46,$B29,$B29-($B29-Inputs!$C$37)*MIN(F$27-Inputs!$C$46,Inputs!$C$47)/Inputs!$C$47))</f>
        <v>1009.34050361188</v>
      </c>
      <c r="G29" s="15" t="n">
        <f aca="false">F29*(1+IF(G$27&lt;=Inputs!$C$46,$B29,$B29-($B29-Inputs!$C$37)*MIN(G$27-Inputs!$C$46,Inputs!$C$47)/Inputs!$C$47))</f>
        <v>1047.52300549895</v>
      </c>
      <c r="H29" s="15" t="n">
        <f aca="false">G29*(1+IF(H$27&lt;=Inputs!$C$46,$B29,$B29-($B29-Inputs!$C$37)*MIN(H$27-Inputs!$C$46,Inputs!$C$47)/Inputs!$C$47))</f>
        <v>1085.15351675224</v>
      </c>
      <c r="I29" s="15" t="n">
        <f aca="false">H29*(1+IF(I$27&lt;=Inputs!$C$46,$B29,$B29-($B29-Inputs!$C$37)*MIN(I$27-Inputs!$C$46,Inputs!$C$47)/Inputs!$C$47))</f>
        <v>1122.06772118818</v>
      </c>
      <c r="J29" s="15" t="n">
        <f aca="false">I29*(1+IF(J$27&lt;=Inputs!$C$46,$B29,$B29-($B29-Inputs!$C$37)*MIN(J$27-Inputs!$C$46,Inputs!$C$47)/Inputs!$C$47))</f>
        <v>1158.09918216096</v>
      </c>
      <c r="K29" s="15" t="n">
        <f aca="false">J29*(1+IF(K$27&lt;=Inputs!$C$46,$B29,$B29-($B29-Inputs!$C$37)*MIN(K$27-Inputs!$C$46,Inputs!$C$47)/Inputs!$C$47))</f>
        <v>1193.08053114818</v>
      </c>
      <c r="L29" s="15" t="n">
        <f aca="false">K29*(1+IF(L$27&lt;=Inputs!$C$46,$B29,$B29-($B29-Inputs!$C$37)*MIN(L$27-Inputs!$C$46,Inputs!$C$47)/Inputs!$C$47))</f>
        <v>1226.84471017968</v>
      </c>
    </row>
    <row r="30" customFormat="false" ht="15" hidden="false" customHeight="false" outlineLevel="0" collapsed="false">
      <c r="B30" s="23" t="n">
        <f aca="false">E$18</f>
        <v>0.057829158495506</v>
      </c>
      <c r="C30" s="15" t="n">
        <f aca="false">Inputs!$C$12*(1+IF(C$27&lt;=Inputs!$C$46,$B30,$B30-($B30-Inputs!$C$37)*MIN(C$27-Inputs!$C$46,Inputs!$C$47)/Inputs!$C$47))</f>
        <v>920.343102765845</v>
      </c>
      <c r="D30" s="15" t="n">
        <f aca="false">C30*(1+IF(D$27&lt;=Inputs!$C$46,$B30,$B30-($B30-Inputs!$C$37)*MIN(D$27-Inputs!$C$46,Inputs!$C$47)/Inputs!$C$47))</f>
        <v>973.565769925937</v>
      </c>
      <c r="E30" s="15" t="n">
        <f aca="false">D30*(1+IF(E$27&lt;=Inputs!$C$46,$B30,$B30-($B30-Inputs!$C$37)*MIN(E$27-Inputs!$C$46,Inputs!$C$47)/Inputs!$C$47))</f>
        <v>1029.86625914078</v>
      </c>
      <c r="F30" s="15" t="n">
        <f aca="false">E30*(1+IF(F$27&lt;=Inputs!$C$46,$B30,$B30-($B30-Inputs!$C$37)*MIN(F$27-Inputs!$C$46,Inputs!$C$47)/Inputs!$C$47))</f>
        <v>1089.42255826981</v>
      </c>
      <c r="G30" s="15" t="n">
        <f aca="false">F30*(1+IF(G$27&lt;=Inputs!$C$46,$B30,$B30-($B30-Inputs!$C$37)*MIN(G$27-Inputs!$C$46,Inputs!$C$47)/Inputs!$C$47))</f>
        <v>1152.42294806057</v>
      </c>
      <c r="H30" s="15" t="n">
        <f aca="false">G30*(1+IF(H$27&lt;=Inputs!$C$46,$B30,$B30-($B30-Inputs!$C$37)*MIN(H$27-Inputs!$C$46,Inputs!$C$47)/Inputs!$C$47))</f>
        <v>1212.2605814004</v>
      </c>
      <c r="I30" s="15" t="n">
        <f aca="false">H30*(1+IF(I$27&lt;=Inputs!$C$46,$B30,$B30-($B30-Inputs!$C$37)*MIN(I$27-Inputs!$C$46,Inputs!$C$47)/Inputs!$C$47))</f>
        <v>1268.04577676165</v>
      </c>
      <c r="J30" s="15" t="n">
        <f aca="false">I30*(1+IF(J$27&lt;=Inputs!$C$46,$B30,$B30-($B30-Inputs!$C$37)*MIN(J$27-Inputs!$C$46,Inputs!$C$47)/Inputs!$C$47))</f>
        <v>1318.90920213262</v>
      </c>
      <c r="K30" s="15" t="n">
        <f aca="false">J30*(1+IF(K$27&lt;=Inputs!$C$46,$B30,$B30-($B30-Inputs!$C$37)*MIN(K$27-Inputs!$C$46,Inputs!$C$47)/Inputs!$C$47))</f>
        <v>1364.02358832717</v>
      </c>
      <c r="L30" s="15" t="n">
        <f aca="false">K30*(1+IF(L$27&lt;=Inputs!$C$46,$B30,$B30-($B30-Inputs!$C$37)*MIN(L$27-Inputs!$C$46,Inputs!$C$47)/Inputs!$C$47))</f>
        <v>1402.62545587682</v>
      </c>
    </row>
    <row r="31" customFormat="false" ht="15" hidden="false" customHeight="false" outlineLevel="0" collapsed="false">
      <c r="B31" s="23" t="n">
        <f aca="false">F$18</f>
        <v>0.077829158495506</v>
      </c>
      <c r="C31" s="15" t="n">
        <f aca="false">Inputs!$C$12*(1+IF(C$27&lt;=Inputs!$C$46,$B31,$B31-($B31-Inputs!$C$37)*MIN(C$27-Inputs!$C$46,Inputs!$C$47)/Inputs!$C$47))</f>
        <v>937.743702765845</v>
      </c>
      <c r="D31" s="15" t="n">
        <f aca="false">C31*(1+IF(D$27&lt;=Inputs!$C$46,$B31,$B31-($B31-Inputs!$C$37)*MIN(D$27-Inputs!$C$46,Inputs!$C$47)/Inputs!$C$47))</f>
        <v>1010.72750603657</v>
      </c>
      <c r="E31" s="15" t="n">
        <f aca="false">D31*(1+IF(E$27&lt;=Inputs!$C$46,$B31,$B31-($B31-Inputs!$C$37)*MIN(E$27-Inputs!$C$46,Inputs!$C$47)/Inputs!$C$47))</f>
        <v>1089.39157729966</v>
      </c>
      <c r="F31" s="15" t="n">
        <f aca="false">E31*(1+IF(F$27&lt;=Inputs!$C$46,$B31,$B31-($B31-Inputs!$C$37)*MIN(F$27-Inputs!$C$46,Inputs!$C$47)/Inputs!$C$47))</f>
        <v>1174.17800703298</v>
      </c>
      <c r="G31" s="15" t="n">
        <f aca="false">F31*(1+IF(G$27&lt;=Inputs!$C$46,$B31,$B31-($B31-Inputs!$C$37)*MIN(G$27-Inputs!$C$46,Inputs!$C$47)/Inputs!$C$47))</f>
        <v>1265.56329324429</v>
      </c>
      <c r="H31" s="15" t="n">
        <f aca="false">G31*(1+IF(H$27&lt;=Inputs!$C$46,$B31,$B31-($B31-Inputs!$C$37)*MIN(H$27-Inputs!$C$46,Inputs!$C$47)/Inputs!$C$47))</f>
        <v>1351.52456239286</v>
      </c>
      <c r="I31" s="15" t="n">
        <f aca="false">H31*(1+IF(I$27&lt;=Inputs!$C$46,$B31,$B31-($B31-Inputs!$C$37)*MIN(I$27-Inputs!$C$46,Inputs!$C$47)/Inputs!$C$47))</f>
        <v>1429.93663206537</v>
      </c>
      <c r="J31" s="15" t="n">
        <f aca="false">I31*(1+IF(J$27&lt;=Inputs!$C$46,$B31,$B31-($B31-Inputs!$C$37)*MIN(J$27-Inputs!$C$46,Inputs!$C$47)/Inputs!$C$47))</f>
        <v>1498.73326198806</v>
      </c>
      <c r="K31" s="15" t="n">
        <f aca="false">J31*(1+IF(K$27&lt;=Inputs!$C$46,$B31,$B31-($B31-Inputs!$C$37)*MIN(K$27-Inputs!$C$46,Inputs!$C$47)/Inputs!$C$47))</f>
        <v>1555.99361275742</v>
      </c>
      <c r="L31" s="15" t="n">
        <f aca="false">K31*(1+IF(L$27&lt;=Inputs!$C$46,$B31,$B31-($B31-Inputs!$C$37)*MIN(L$27-Inputs!$C$46,Inputs!$C$47)/Inputs!$C$47))</f>
        <v>1600.02823199845</v>
      </c>
    </row>
    <row r="32" customFormat="false" ht="15" hidden="false" customHeight="false" outlineLevel="0" collapsed="false">
      <c r="B32" s="23" t="n">
        <f aca="false">G$18</f>
        <v>0.097829158495506</v>
      </c>
      <c r="C32" s="15" t="n">
        <f aca="false">Inputs!$C$12*(1+IF(C$27&lt;=Inputs!$C$46,$B32,$B32-($B32-Inputs!$C$37)*MIN(C$27-Inputs!$C$46,Inputs!$C$47)/Inputs!$C$47))</f>
        <v>955.144302765845</v>
      </c>
      <c r="D32" s="15" t="n">
        <f aca="false">C32*(1+IF(D$27&lt;=Inputs!$C$46,$B32,$B32-($B32-Inputs!$C$37)*MIN(D$27-Inputs!$C$46,Inputs!$C$47)/Inputs!$C$47))</f>
        <v>1048.5852661472</v>
      </c>
      <c r="E32" s="15" t="n">
        <f aca="false">D32*(1+IF(E$27&lt;=Inputs!$C$46,$B32,$B32-($B32-Inputs!$C$37)*MIN(E$27-Inputs!$C$46,Inputs!$C$47)/Inputs!$C$47))</f>
        <v>1151.16748034517</v>
      </c>
      <c r="F32" s="15" t="n">
        <f aca="false">E32*(1+IF(F$27&lt;=Inputs!$C$46,$B32,$B32-($B32-Inputs!$C$37)*MIN(F$27-Inputs!$C$46,Inputs!$C$47)/Inputs!$C$47))</f>
        <v>1263.78522623473</v>
      </c>
      <c r="G32" s="15" t="n">
        <f aca="false">F32*(1+IF(G$27&lt;=Inputs!$C$46,$B32,$B32-($B32-Inputs!$C$37)*MIN(G$27-Inputs!$C$46,Inputs!$C$47)/Inputs!$C$47))</f>
        <v>1387.42027143633</v>
      </c>
      <c r="H32" s="15" t="n">
        <f aca="false">G32*(1+IF(H$27&lt;=Inputs!$C$46,$B32,$B32-($B32-Inputs!$C$37)*MIN(H$27-Inputs!$C$46,Inputs!$C$47)/Inputs!$C$47))</f>
        <v>1503.85719628004</v>
      </c>
      <c r="I32" s="15" t="n">
        <f aca="false">H32*(1+IF(I$27&lt;=Inputs!$C$46,$B32,$B32-($B32-Inputs!$C$37)*MIN(I$27-Inputs!$C$46,Inputs!$C$47)/Inputs!$C$47))</f>
        <v>1609.15351014762</v>
      </c>
      <c r="J32" s="15" t="n">
        <f aca="false">I32*(1+IF(J$27&lt;=Inputs!$C$46,$B32,$B32-($B32-Inputs!$C$37)*MIN(J$27-Inputs!$C$46,Inputs!$C$47)/Inputs!$C$47))</f>
        <v>1699.44579026506</v>
      </c>
      <c r="K32" s="15" t="n">
        <f aca="false">J32*(1+IF(K$27&lt;=Inputs!$C$46,$B32,$B32-($B32-Inputs!$C$37)*MIN(K$27-Inputs!$C$46,Inputs!$C$47)/Inputs!$C$47))</f>
        <v>1771.17231327073</v>
      </c>
      <c r="L32" s="15" t="n">
        <f aca="false">K32*(1+IF(L$27&lt;=Inputs!$C$46,$B32,$B32-($B32-Inputs!$C$37)*MIN(L$27-Inputs!$C$46,Inputs!$C$47)/Inputs!$C$47))</f>
        <v>1821.29648973629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50"/>
  </cols>
  <sheetData>
    <row r="2" customFormat="false" ht="19.7" hidden="false" customHeight="false" outlineLevel="0" collapsed="false">
      <c r="B2" s="1" t="s">
        <v>241</v>
      </c>
    </row>
    <row r="3" customFormat="false" ht="15" hidden="false" customHeight="false" outlineLevel="0" collapsed="false">
      <c r="B3" s="2" t="s">
        <v>242</v>
      </c>
    </row>
    <row r="5" customFormat="false" ht="15" hidden="false" customHeight="false" outlineLevel="0" collapsed="false">
      <c r="B5" s="28" t="s">
        <v>243</v>
      </c>
      <c r="C5" s="28" t="s">
        <v>244</v>
      </c>
      <c r="D5" s="28" t="s">
        <v>245</v>
      </c>
      <c r="E5" s="28" t="s">
        <v>246</v>
      </c>
      <c r="F5" s="28" t="s">
        <v>247</v>
      </c>
    </row>
    <row r="6" customFormat="false" ht="15" hidden="false" customHeight="false" outlineLevel="0" collapsed="false">
      <c r="B6" s="5" t="s">
        <v>14</v>
      </c>
      <c r="C6" s="12" t="n">
        <f aca="false">Inputs!$C$23</f>
        <v>0.223325632449456</v>
      </c>
      <c r="D6" s="24" t="n">
        <v>0.22332563</v>
      </c>
      <c r="E6" s="49" t="n">
        <f aca="false">C6-D6</f>
        <v>2.44945577709821E-009</v>
      </c>
      <c r="F6" s="5" t="str">
        <f aca="false">IF(ABS(E6)&lt;=0.00005,"Pass","Check")</f>
        <v>Pass</v>
      </c>
    </row>
    <row r="7" customFormat="false" ht="15" hidden="false" customHeight="false" outlineLevel="0" collapsed="false">
      <c r="B7" s="5" t="s">
        <v>137</v>
      </c>
      <c r="C7" s="50" t="n">
        <f aca="false">WACC!$C$14</f>
        <v>0.609131529999621</v>
      </c>
      <c r="D7" s="51" t="n">
        <v>0.60913153</v>
      </c>
      <c r="E7" s="49" t="n">
        <f aca="false">C7-D7</f>
        <v>-3.78919118304566E-013</v>
      </c>
      <c r="F7" s="5" t="str">
        <f aca="false">IF(ABS(E7)&lt;=0.0005,"Pass","Check")</f>
        <v>Pass</v>
      </c>
    </row>
    <row r="8" customFormat="false" ht="15" hidden="false" customHeight="false" outlineLevel="0" collapsed="false">
      <c r="B8" s="5" t="s">
        <v>12</v>
      </c>
      <c r="C8" s="12" t="n">
        <f aca="false">WACC!$C$37</f>
        <v>0.0775075820986394</v>
      </c>
      <c r="D8" s="24" t="n">
        <v>0.07750758</v>
      </c>
      <c r="E8" s="49" t="n">
        <f aca="false">C8-D8</f>
        <v>2.09863940114907E-009</v>
      </c>
      <c r="F8" s="5" t="str">
        <f aca="false">IF(ABS(E8)&lt;=0.00005,"Pass","Check")</f>
        <v>Pass</v>
      </c>
    </row>
    <row r="9" customFormat="false" ht="15" hidden="false" customHeight="false" outlineLevel="0" collapsed="false">
      <c r="B9" s="5" t="s">
        <v>13</v>
      </c>
      <c r="C9" s="12" t="n">
        <f aca="false">Inputs!$C$37</f>
        <v>0.0283</v>
      </c>
      <c r="D9" s="24" t="n">
        <v>0.0283</v>
      </c>
      <c r="E9" s="49" t="n">
        <f aca="false">C9-D9</f>
        <v>0</v>
      </c>
      <c r="F9" s="5" t="str">
        <f aca="false">IF(ABS(E9)&lt;=0.00005,"Pass","Check")</f>
        <v>Pass</v>
      </c>
    </row>
    <row r="10" customFormat="false" ht="15" hidden="false" customHeight="false" outlineLevel="0" collapsed="false">
      <c r="B10" s="5" t="s">
        <v>248</v>
      </c>
      <c r="C10" s="12" t="n">
        <f aca="false">Inputs!$C$43</f>
        <v>0.057829158495506</v>
      </c>
      <c r="D10" s="24" t="n">
        <v>0.05782916</v>
      </c>
      <c r="E10" s="49" t="n">
        <f aca="false">C10-D10</f>
        <v>-1.50449396690844E-009</v>
      </c>
      <c r="F10" s="5" t="str">
        <f aca="false">IF(ABS(E10)&lt;=0.00005,"Pass","Check")</f>
        <v>Pass</v>
      </c>
    </row>
    <row r="11" customFormat="false" ht="15" hidden="false" customHeight="false" outlineLevel="0" collapsed="false">
      <c r="B11" s="5" t="s">
        <v>249</v>
      </c>
      <c r="C11" s="12" t="n">
        <f aca="false">Solver!$W$7</f>
        <v>0.0840076838262576</v>
      </c>
      <c r="D11" s="24" t="n">
        <v>0.0840077</v>
      </c>
      <c r="E11" s="49" t="n">
        <f aca="false">C11-D11</f>
        <v>-1.61737424425601E-008</v>
      </c>
      <c r="F11" s="5" t="str">
        <f aca="false">IF(ABS(E11)&lt;=0.00005,"Pass","Check")</f>
        <v>Pass</v>
      </c>
    </row>
    <row r="12" customFormat="false" ht="15" hidden="false" customHeight="false" outlineLevel="0" collapsed="false">
      <c r="B12" s="5" t="s">
        <v>250</v>
      </c>
      <c r="C12" s="12" t="n">
        <f aca="false">Sensitivity!$E$14</f>
        <v>0.118418961763382</v>
      </c>
      <c r="D12" s="24" t="n">
        <v>0.11841896</v>
      </c>
      <c r="E12" s="49" t="n">
        <f aca="false">C12-D12</f>
        <v>1.763381954345E-009</v>
      </c>
      <c r="F12" s="5" t="str">
        <f aca="false">IF(ABS(E12)&lt;=0.0002,"Pass","Check")</f>
        <v>Pass</v>
      </c>
    </row>
    <row r="13" customFormat="false" ht="15" hidden="false" customHeight="false" outlineLevel="0" collapsed="false">
      <c r="B13" s="5" t="s">
        <v>251</v>
      </c>
      <c r="C13" s="6" t="n">
        <f aca="false">DCF!$C$41</f>
        <v>141.998346077453</v>
      </c>
      <c r="D13" s="20" t="n">
        <v>141.99834608</v>
      </c>
      <c r="E13" s="49" t="n">
        <f aca="false">C13-D13</f>
        <v>-2.54675569522078E-009</v>
      </c>
      <c r="F13" s="5" t="str">
        <f aca="false">IF(ABS(E13)&lt;=0.02,"Pass","Check")</f>
        <v>Pass</v>
      </c>
    </row>
    <row r="14" customFormat="false" ht="15" hidden="false" customHeight="false" outlineLevel="0" collapsed="false">
      <c r="B14" s="5" t="s">
        <v>252</v>
      </c>
      <c r="C14" s="6" t="n">
        <f aca="false">DCF!$C$21-DCF!$C$22</f>
        <v>-6.9223915488692E-010</v>
      </c>
      <c r="D14" s="20" t="n">
        <v>0</v>
      </c>
      <c r="E14" s="49" t="n">
        <f aca="false">C14-D14</f>
        <v>-6.9223915488692E-010</v>
      </c>
      <c r="F14" s="5" t="str">
        <f aca="false">IF(ABS(E14)&lt;=0.01,"Pass","Check")</f>
        <v>Pass</v>
      </c>
      <c r="G14" s="19" t="s">
        <v>253</v>
      </c>
    </row>
    <row r="16" customFormat="false" ht="15" hidden="false" customHeight="false" outlineLevel="0" collapsed="false">
      <c r="B16" s="38" t="s">
        <v>254</v>
      </c>
      <c r="C16" s="7" t="str">
        <f aca="false">IF(COUNTIF(F6:F14,"Pass")=9,"All checks pass","Review")</f>
        <v>All checks 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2026-10-14T16:48:46Z</dcterms:created>
  <dc:creator>openpyxl</dc:creator>
  <dc:description/>
  <dc:language>en-US</dc:language>
  <cp:lastModifiedBy/>
  <dcterms:modified xsi:type="dcterms:W3CDTF">2026-10-14T16:48:46Z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